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01 PROJECT" sheetId="1" state="visible" r:id="rId1"/>
    <sheet xmlns:r="http://schemas.openxmlformats.org/officeDocument/2006/relationships" name="02 START HERE" sheetId="2" state="visible" r:id="rId2"/>
    <sheet xmlns:r="http://schemas.openxmlformats.org/officeDocument/2006/relationships" name="03 EXECUTIVE VIEW" sheetId="3" state="visible" r:id="rId3"/>
    <sheet xmlns:r="http://schemas.openxmlformats.org/officeDocument/2006/relationships" name="04 ISSUES FOR REVIEW" sheetId="4" state="visible" r:id="rId4"/>
    <sheet xmlns:r="http://schemas.openxmlformats.org/officeDocument/2006/relationships" name="05 INTEGRATION HEALTH" sheetId="5" state="visible" r:id="rId5"/>
    <sheet xmlns:r="http://schemas.openxmlformats.org/officeDocument/2006/relationships" name="06 INTEGRATED PROJECT" sheetId="6" state="visible" r:id="rId6"/>
    <sheet xmlns:r="http://schemas.openxmlformats.org/officeDocument/2006/relationships" name="07 CHANGES &amp; REVALIDATION" sheetId="7" state="visible" r:id="rId7"/>
    <sheet xmlns:r="http://schemas.openxmlformats.org/officeDocument/2006/relationships" name="08 CROSSWALK" sheetId="8" state="visible" r:id="rId8"/>
    <sheet xmlns:r="http://schemas.openxmlformats.org/officeDocument/2006/relationships" name="09 WBS EXPLORER" sheetId="9" state="visible" r:id="rId9"/>
    <sheet xmlns:r="http://schemas.openxmlformats.org/officeDocument/2006/relationships" name="10 EVIDENCE &amp; DECISIONS" sheetId="10" state="visible" r:id="rId10"/>
    <sheet xmlns:r="http://schemas.openxmlformats.org/officeDocument/2006/relationships" name="11 SOURCES &amp; PROVENANCE" sheetId="11" state="visible" r:id="rId11"/>
    <sheet xmlns:r="http://schemas.openxmlformats.org/officeDocument/2006/relationships" name="12 ASSURANCE" sheetId="12" state="visible" r:id="rId12"/>
    <sheet xmlns:r="http://schemas.openxmlformats.org/officeDocument/2006/relationships" name="13 REVISIONS &amp; PERIODS" sheetId="13" state="visible" r:id="rId13"/>
    <sheet xmlns:r="http://schemas.openxmlformats.org/officeDocument/2006/relationships" name="14 WBS HIERARCHY" sheetId="14" state="visible" r:id="rId14"/>
    <sheet xmlns:r="http://schemas.openxmlformats.org/officeDocument/2006/relationships" name="15 ANALYSIS" sheetId="15" state="visible" r:id="rId15"/>
    <sheet xmlns:r="http://schemas.openxmlformats.org/officeDocument/2006/relationships" name="MASTER DATA" sheetId="16" state="visible" r:id="rId16"/>
    <sheet xmlns:r="http://schemas.openxmlformats.org/officeDocument/2006/relationships" name="OWNER WBS" sheetId="17" state="visible" r:id="rId17"/>
    <sheet xmlns:r="http://schemas.openxmlformats.org/officeDocument/2006/relationships" name="RELATIONSHIP EXPLORER" sheetId="18" state="visible" r:id="rId18"/>
    <sheet xmlns:r="http://schemas.openxmlformats.org/officeDocument/2006/relationships" name="UNRESOLVED" sheetId="19" state="visible" r:id="rId19"/>
    <sheet xmlns:r="http://schemas.openxmlformats.org/officeDocument/2006/relationships" name="HISTORY" sheetId="20" state="visible" r:id="rId20"/>
    <sheet xmlns:r="http://schemas.openxmlformats.org/officeDocument/2006/relationships" name="SUMMARY" sheetId="21" state="visible" r:id="rId21"/>
  </sheets>
  <definedNames>
    <definedName name="WBSLINK_GOVERNED_RECORDS">'MASTER DATA'!$A$1:$W$1624</definedName>
    <definedName name="_xlnm.Print_Area" localSheetId="0">'01 PROJECT'!$A$1:$B$23</definedName>
    <definedName name="_xlnm.Print_Area" localSheetId="1">'02 START HERE'!$A$1:$B$71</definedName>
    <definedName name="_xlnm.Print_Area" localSheetId="2">'03 EXECUTIVE VIEW'!$A$1:$I$195</definedName>
    <definedName name="_xlnm._FilterDatabase" localSheetId="3" hidden="1">'04 ISSUES FOR REVIEW'!$A$5:$H$9</definedName>
    <definedName name="_xlnm._FilterDatabase" localSheetId="4" hidden="1">'05 INTEGRATION HEALTH'!$A$5:$I$11</definedName>
    <definedName name="_xlnm._FilterDatabase" localSheetId="5" hidden="1">'06 INTEGRATED PROJECT'!$A$5:$J$85</definedName>
    <definedName name="_xlnm._FilterDatabase" localSheetId="6" hidden="1">'07 CHANGES &amp; REVALIDATION'!$A$12:$H$1634</definedName>
    <definedName name="_xlnm._FilterDatabase" localSheetId="7" hidden="1">'08 CROSSWALK'!$A$5:$N$1628</definedName>
    <definedName name="_xlnm._FilterDatabase" localSheetId="8" hidden="1">'09 WBS EXPLORER'!$A$5:$K$85</definedName>
    <definedName name="_xlnm._FilterDatabase" localSheetId="9" hidden="1">'10 EVIDENCE &amp; DECISIONS'!$A$5:$J$1628</definedName>
    <definedName name="_xlnm._FilterDatabase" localSheetId="12" hidden="1">'13 REVISIONS &amp; PERIODS'!$A$18:$P$22</definedName>
    <definedName name="_xlnm._FilterDatabase" localSheetId="13" hidden="1">'14 WBS HIERARCHY'!$A$6:$J$85</definedName>
    <definedName name="_xlnm._FilterDatabase" localSheetId="15" hidden="1">'MASTER DATA'!$A$1:$W$1624</definedName>
    <definedName name="_xlnm._FilterDatabase" localSheetId="16" hidden="1">'OWNER WBS'!$A$1:$H$80</definedName>
    <definedName name="_xlnm._FilterDatabase" localSheetId="17" hidden="1">'RELATIONSHIP EXPLORER'!$A$1:$J$81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Archivo"/>
      <b val="1"/>
      <color rgb="008F5A28"/>
      <sz val="10"/>
    </font>
    <font>
      <name val="Archivo"/>
      <b val="1"/>
      <color rgb="00121A2E"/>
      <sz val="28"/>
    </font>
    <font>
      <name val="Archivo"/>
      <b val="1"/>
      <color rgb="001B2A4A"/>
      <sz val="17"/>
    </font>
    <font>
      <name val="Archivo"/>
      <b val="1"/>
      <color rgb="00121A2E"/>
      <sz val="17"/>
    </font>
    <font>
      <name val="Archivo"/>
      <b val="1"/>
      <color rgb="00565B64"/>
      <sz val="9"/>
    </font>
    <font>
      <name val="Archivo"/>
      <color rgb="00121A2E"/>
      <sz val="9"/>
    </font>
    <font>
      <name val="Archivo"/>
      <i val="1"/>
      <color rgb="00565B64"/>
      <sz val="10"/>
    </font>
    <font>
      <name val="Archivo"/>
      <color rgb="008F5A28"/>
      <sz val="9"/>
      <u val="single"/>
    </font>
    <font>
      <name val="Archivo"/>
      <b val="1"/>
      <color rgb="00121A2E"/>
      <sz val="20"/>
    </font>
    <font>
      <name val="Archivo"/>
      <color rgb="00565B64"/>
      <sz val="9"/>
    </font>
    <font>
      <name val="Archivo"/>
      <b val="1"/>
      <color rgb="008F5A28"/>
      <sz val="8"/>
      <u val="single"/>
    </font>
    <font>
      <name val="Archivo"/>
      <b val="1"/>
      <color rgb="00FFFFFF"/>
      <sz val="9"/>
    </font>
    <font>
      <name val="Archivo"/>
      <b val="1"/>
      <color rgb="00121A2E"/>
      <sz val="11"/>
    </font>
    <font>
      <name val="Archivo"/>
      <b val="1"/>
      <color rgb="00565B64"/>
      <sz val="10"/>
    </font>
    <font>
      <name val="Archivo"/>
      <b val="1"/>
      <color rgb="00121A2E"/>
      <sz val="16"/>
    </font>
    <font>
      <name val="Archivo"/>
      <b val="1"/>
      <color rgb="008F5A28"/>
      <sz val="9"/>
    </font>
    <font>
      <name val="Archivo"/>
      <b val="1"/>
      <color rgb="00121A2E"/>
      <sz val="13"/>
    </font>
    <font>
      <name val="Archivo"/>
      <i val="1"/>
      <color rgb="00565B64"/>
      <sz val="8"/>
    </font>
    <font>
      <name val="Archivo"/>
      <b val="1"/>
      <color rgb="00121A2E"/>
      <sz val="12"/>
    </font>
    <font>
      <name val="Archivo"/>
      <color rgb="00121A2E"/>
      <sz val="10"/>
    </font>
    <font>
      <name val="Archivo"/>
      <i val="1"/>
      <color rgb="00565B64"/>
      <sz val="11"/>
    </font>
    <font>
      <name val="Archivo"/>
      <b val="1"/>
      <color rgb="00FFFFFF"/>
      <sz val="11"/>
    </font>
    <font>
      <name val="Archivo"/>
      <color rgb="00121A2E"/>
      <sz val="11"/>
    </font>
    <font>
      <name val="Archivo"/>
      <b val="1"/>
      <color rgb="00121A2E"/>
      <sz val="10"/>
    </font>
    <font>
      <name val="Archivo"/>
      <b val="1"/>
      <color rgb="00FFFFFF"/>
      <sz val="8"/>
    </font>
    <font>
      <name val="Archivo"/>
      <color rgb="00121A2E"/>
      <sz val="8"/>
    </font>
    <font>
      <name val="Archivo"/>
      <b val="1"/>
      <color rgb="00A66A2C"/>
      <sz val="10"/>
    </font>
    <font>
      <name val="Archivo"/>
      <b val="1"/>
      <color rgb="00121A2E"/>
      <sz val="9"/>
    </font>
    <font>
      <name val="Archivo"/>
      <b val="1"/>
      <color rgb="00121A2E"/>
      <sz val="14"/>
    </font>
    <font>
      <name val="Archivo"/>
      <b val="1"/>
      <color rgb="002F6B4F"/>
      <sz val="12"/>
    </font>
    <font>
      <name val="Archivo"/>
      <b val="1"/>
      <color rgb="00121A2E"/>
      <sz val="15"/>
    </font>
    <font>
      <name val="Archivo"/>
      <i val="1"/>
      <color rgb="00565B64"/>
      <sz val="9"/>
    </font>
    <font>
      <name val="Archivo"/>
      <b val="1"/>
      <color rgb="0024304D"/>
      <sz val="10"/>
    </font>
    <font>
      <name val="Archivo"/>
      <b val="1"/>
      <color rgb="008F5A28"/>
      <sz val="11"/>
    </font>
    <font>
      <name val="Archivo"/>
      <b val="1"/>
      <color rgb="00565B64"/>
      <sz val="11"/>
    </font>
    <font>
      <name val="Archivo"/>
      <color rgb="008F5A28"/>
      <sz val="11"/>
      <u val="single"/>
    </font>
    <font>
      <name val="Archivo"/>
      <color rgb="00565B64"/>
      <sz val="11"/>
    </font>
    <font>
      <name val="Archivo"/>
      <b val="1"/>
      <color rgb="008F5A28"/>
      <sz val="11"/>
      <u val="single"/>
    </font>
    <font>
      <name val="Archivo"/>
      <family val="2"/>
      <color theme="1"/>
      <sz val="11"/>
      <scheme val="minor"/>
    </font>
    <font>
      <name val="Archivo"/>
      <b val="1"/>
      <color rgb="0024304D"/>
      <sz val="11"/>
    </font>
  </fonts>
  <fills count="6">
    <fill>
      <patternFill/>
    </fill>
    <fill>
      <patternFill patternType="gray125"/>
    </fill>
    <fill>
      <patternFill patternType="solid">
        <fgColor rgb="00121A2E"/>
      </patternFill>
    </fill>
    <fill>
      <patternFill patternType="solid">
        <fgColor rgb="00F5E9DA"/>
      </patternFill>
    </fill>
    <fill>
      <patternFill patternType="solid">
        <fgColor rgb="00F5F5F3"/>
      </patternFill>
    </fill>
    <fill>
      <patternFill patternType="solid">
        <fgColor rgb="00E7F0EB"/>
      </patternFill>
    </fill>
  </fills>
  <borders count="4">
    <border>
      <left/>
      <right/>
      <top/>
      <bottom/>
      <diagonal/>
    </border>
    <border>
      <bottom style="thin">
        <color rgb="00EAEAE6"/>
      </bottom>
    </border>
    <border>
      <right/>
      <bottom style="thin">
        <color rgb="00EAEAE6"/>
      </bottom>
    </border>
    <border>
      <left/>
      <right/>
      <top/>
      <bottom style="thin">
        <color rgb="00EAEAE6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left"/>
    </xf>
    <xf numFmtId="0" fontId="22" fillId="2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1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2" fillId="2" borderId="0" applyAlignment="1" pivotButton="0" quotePrefix="0" xfId="0">
      <alignment vertical="center" wrapText="1"/>
    </xf>
    <xf numFmtId="0" fontId="14" fillId="0" borderId="0" applyAlignment="1" pivotButton="0" quotePrefix="0" xfId="0">
      <alignment wrapText="1"/>
    </xf>
    <xf numFmtId="0" fontId="14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  <xf numFmtId="3" fontId="23" fillId="0" borderId="1" applyAlignment="1" pivotButton="0" quotePrefix="0" xfId="0">
      <alignment vertical="top"/>
    </xf>
    <xf numFmtId="0" fontId="13" fillId="4" borderId="0" applyAlignment="1" pivotButton="0" quotePrefix="0" xfId="0">
      <alignment vertical="top" wrapText="1"/>
    </xf>
    <xf numFmtId="3" fontId="13" fillId="4" borderId="0" applyAlignment="1" pivotButton="0" quotePrefix="0" xfId="0">
      <alignment vertical="top"/>
    </xf>
    <xf numFmtId="0" fontId="12" fillId="2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2" applyAlignment="1" pivotButton="0" quotePrefix="0" xfId="0">
      <alignment vertical="top" wrapText="1"/>
    </xf>
    <xf numFmtId="0" fontId="0" fillId="0" borderId="3" pivotButton="0" quotePrefix="0" xfId="0"/>
    <xf numFmtId="0" fontId="8" fillId="0" borderId="1" applyAlignment="1" pivotButton="0" quotePrefix="0" xfId="0">
      <alignment vertical="top" wrapText="1"/>
    </xf>
    <xf numFmtId="0" fontId="18" fillId="0" borderId="0" applyAlignment="1" pivotButton="0" quotePrefix="0" xfId="0">
      <alignment wrapText="1"/>
    </xf>
    <xf numFmtId="0" fontId="24" fillId="0" borderId="0" pivotButton="0" quotePrefix="0" xfId="0"/>
    <xf numFmtId="0" fontId="25" fillId="2" borderId="0" pivotButton="0" quotePrefix="0" xfId="0"/>
    <xf numFmtId="0" fontId="25" fillId="2" borderId="0" applyAlignment="1" pivotButton="0" quotePrefix="0" xfId="0">
      <alignment wrapText="1"/>
    </xf>
    <xf numFmtId="0" fontId="6" fillId="5" borderId="1" applyAlignment="1" pivotButton="0" quotePrefix="0" xfId="0">
      <alignment vertical="top" wrapText="1"/>
    </xf>
    <xf numFmtId="0" fontId="26" fillId="0" borderId="0" pivotButton="0" quotePrefix="0" xfId="0"/>
    <xf numFmtId="0" fontId="6" fillId="3" borderId="1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3" fillId="0" borderId="0" applyAlignment="1" pivotButton="0" quotePrefix="0" xfId="0">
      <alignment vertical="top" wrapText="1"/>
    </xf>
    <xf numFmtId="0" fontId="28" fillId="0" borderId="1" applyAlignment="1" pivotButton="0" quotePrefix="0" xfId="0">
      <alignment vertical="top"/>
    </xf>
    <xf numFmtId="0" fontId="28" fillId="0" borderId="1" applyAlignment="1" pivotButton="0" quotePrefix="0" xfId="0">
      <alignment vertical="top"/>
    </xf>
    <xf numFmtId="0" fontId="28" fillId="0" borderId="1" applyAlignment="1" pivotButton="0" quotePrefix="0" xfId="0">
      <alignment vertical="top" wrapText="1"/>
    </xf>
    <xf numFmtId="0" fontId="28" fillId="0" borderId="1" applyAlignment="1" pivotButton="0" quotePrefix="0" xfId="0">
      <alignment vertical="top" indent="1"/>
    </xf>
    <xf numFmtId="0" fontId="6" fillId="0" borderId="1" applyAlignment="1" pivotButton="0" quotePrefix="0" xfId="0">
      <alignment vertical="top" indent="2"/>
    </xf>
    <xf numFmtId="0" fontId="6" fillId="0" borderId="1" applyAlignment="1" pivotButton="0" quotePrefix="0" xfId="0">
      <alignment vertical="top" indent="3"/>
    </xf>
    <xf numFmtId="0" fontId="6" fillId="0" borderId="1" applyAlignment="1" pivotButton="0" quotePrefix="0" xfId="0">
      <alignment vertical="top" indent="4"/>
    </xf>
    <xf numFmtId="0" fontId="6" fillId="0" borderId="1" applyAlignment="1" pivotButton="0" quotePrefix="0" xfId="0">
      <alignment vertical="top" wrapText="1" indent="4"/>
    </xf>
    <xf numFmtId="0" fontId="6" fillId="0" borderId="1" applyAlignment="1" pivotButton="0" quotePrefix="0" xfId="0">
      <alignment vertical="top" wrapText="1" indent="3"/>
    </xf>
    <xf numFmtId="0" fontId="29" fillId="0" borderId="0" pivotButton="0" quotePrefix="0" xfId="0"/>
    <xf numFmtId="0" fontId="5" fillId="0" borderId="0" applyAlignment="1" pivotButton="0" quotePrefix="0" xfId="0">
      <alignment wrapText="1"/>
    </xf>
    <xf numFmtId="0" fontId="30" fillId="0" borderId="0" pivotButton="0" quotePrefix="0" xfId="0"/>
    <xf numFmtId="0" fontId="2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13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0" borderId="0" pivotButton="0" quotePrefix="0" xfId="0"/>
    <xf numFmtId="0" fontId="28" fillId="0" borderId="0" pivotButton="0" quotePrefix="0" xfId="0"/>
    <xf numFmtId="0" fontId="10" fillId="0" borderId="0" pivotButton="0" quotePrefix="0" xfId="0"/>
    <xf numFmtId="0" fontId="28" fillId="0" borderId="2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indent="1"/>
    </xf>
    <xf numFmtId="0" fontId="31" fillId="0" borderId="0" pivotButton="0" quotePrefix="0" xfId="0"/>
    <xf numFmtId="0" fontId="32" fillId="0" borderId="0" pivotButton="0" quotePrefix="0" xfId="0"/>
    <xf numFmtId="0" fontId="28" fillId="4" borderId="0" pivotButton="0" quotePrefix="0" xfId="0"/>
    <xf numFmtId="0" fontId="0" fillId="4" borderId="0" pivotButton="0" quotePrefix="0" xfId="0"/>
    <xf numFmtId="3" fontId="6" fillId="0" borderId="0" pivotButton="0" quotePrefix="0" xfId="0"/>
    <xf numFmtId="0" fontId="3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7" fillId="0" borderId="0" applyAlignment="1" pivotButton="0" quotePrefix="0" xfId="0">
      <alignment vertical="top" wrapText="1"/>
    </xf>
    <xf numFmtId="0" fontId="38" fillId="0" borderId="0" applyAlignment="1" pivotButton="0" quotePrefix="0" xfId="0">
      <alignment horizontal="left" vertical="top" wrapText="1"/>
    </xf>
    <xf numFmtId="0" fontId="22" fillId="2" borderId="0" applyAlignment="1" pivotButton="0" quotePrefix="0" xfId="0">
      <alignment vertical="top" wrapText="1"/>
    </xf>
    <xf numFmtId="0" fontId="36" fillId="0" borderId="1" applyAlignment="1" pivotButton="0" quotePrefix="0" xfId="0">
      <alignment vertical="top" wrapText="1"/>
    </xf>
    <xf numFmtId="0" fontId="39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/>
    </xf>
    <xf numFmtId="0" fontId="23" fillId="0" borderId="1" applyAlignment="1" pivotButton="0" quotePrefix="0" xfId="0">
      <alignment vertical="top"/>
    </xf>
    <xf numFmtId="0" fontId="23" fillId="0" borderId="2" applyAlignment="1" pivotButton="0" quotePrefix="0" xfId="0">
      <alignment vertical="top" wrapText="1"/>
    </xf>
    <xf numFmtId="0" fontId="23" fillId="5" borderId="1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3" borderId="1" applyAlignment="1" pivotButton="0" quotePrefix="0" xfId="0">
      <alignment vertical="top" wrapText="1"/>
    </xf>
    <xf numFmtId="0" fontId="36" fillId="0" borderId="2" applyAlignment="1" pivotButton="0" quotePrefix="0" xfId="0">
      <alignment vertical="top" wrapText="1"/>
    </xf>
    <xf numFmtId="0" fontId="40" fillId="0" borderId="0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 indent="1"/>
    </xf>
    <xf numFmtId="0" fontId="23" fillId="0" borderId="1" applyAlignment="1" pivotButton="0" quotePrefix="0" xfId="0">
      <alignment vertical="top" wrapText="1" indent="2"/>
    </xf>
    <xf numFmtId="0" fontId="23" fillId="0" borderId="1" applyAlignment="1" pivotButton="0" quotePrefix="0" xfId="0">
      <alignment vertical="top" wrapText="1" indent="3"/>
    </xf>
    <xf numFmtId="0" fontId="23" fillId="0" borderId="1" applyAlignment="1" pivotButton="0" quotePrefix="0" xfId="0">
      <alignment vertical="top" wrapText="1" indent="4"/>
    </xf>
    <xf numFmtId="0" fontId="29" fillId="0" borderId="0" applyAlignment="1" pivotButton="0" quotePrefix="0" xfId="0">
      <alignment vertical="top"/>
    </xf>
    <xf numFmtId="0" fontId="30" fillId="0" borderId="0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37" fillId="0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 indent="1"/>
    </xf>
    <xf numFmtId="0" fontId="31" fillId="0" borderId="0" applyAlignment="1" pivotButton="0" quotePrefix="0" xfId="0">
      <alignment vertical="top" wrapText="1"/>
    </xf>
    <xf numFmtId="3" fontId="2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Archivo"/>
        <color rgb="00121A2E"/>
      </font>
      <fill>
        <patternFill patternType="solid">
          <fgColor rgb="00F5E9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21A2E"/>
                </a:solidFill>
                <a:latin typeface="Archivo"/>
              </a:defRPr>
            </a:pPr>
            <a:r>
              <a:t>Figure 01 | Schedule and cost coverage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21A2E"/>
            </a:solidFill>
            <a:ln xmlns:a="http://schemas.openxmlformats.org/drawingml/2006/main">
              <a:solidFill>
                <a:srgbClr val="121A2E"/>
              </a:solidFill>
              <a:prstDash val="solid"/>
            </a:ln>
          </spPr>
          <dLbls>
            <numFmt formatCode="#,##0;-#,##0;0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121A2E"/>
                    </a:solidFill>
                    <a:latin typeface="Archivo"/>
                  </a:defRPr>
                </a:pPr>
                <a:r>
                  <a:t>None</a:t>
                </a:r>
                <a:endParaRPr sz="1200" b="1">
                  <a:solidFill>
                    <a:srgbClr val="121A2E"/>
                  </a:solidFill>
                  <a:latin typeface="Archivo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'03 EXECUTIVE VIEW'!$A$105:$A$108</f>
            </numRef>
          </cat>
          <val>
            <numRef>
              <f>'03 EXECUTIVE VIEW'!$C$105:$C$108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121A2E"/>
                </a:solidFill>
                <a:latin typeface="Archivo"/>
              </a:defRPr>
            </a:pPr>
            <a:r>
              <a:t>None</a:t>
            </a:r>
            <a:endParaRPr sz="1200" b="0">
              <a:solidFill>
                <a:srgbClr val="121A2E"/>
              </a:solidFill>
              <a:latin typeface="Archivo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21A2E"/>
                </a:solidFill>
                <a:latin typeface="Archivo"/>
              </a:defRPr>
            </a:pPr>
            <a:r>
              <a:t>Figure 02 | Current source outcomes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'03 EXECUTIVE VIEW'!C129</f>
              <strCache>
                <ptCount val="1"/>
                <pt idx="0">
                  <v>Related to a WBS element</v>
                </pt>
              </strCache>
            </strRef>
          </tx>
          <spPr>
            <a:solidFill xmlns:a="http://schemas.openxmlformats.org/drawingml/2006/main">
              <a:srgbClr val="121A2E"/>
            </a:solidFill>
            <a:ln xmlns:a="http://schemas.openxmlformats.org/drawingml/2006/main">
              <a:solidFill>
                <a:srgbClr val="121A2E"/>
              </a:solidFill>
              <a:prstDash val="solid"/>
            </a:ln>
          </spPr>
          <cat>
            <numRef>
              <f>'03 EXECUTIVE VIEW'!$A$130:$A$132</f>
            </numRef>
          </cat>
          <val>
            <numRef>
              <f>'03 EXECUTIVE VIEW'!$C$130:$C$132</f>
            </numRef>
          </val>
        </ser>
        <ser>
          <idx val="1"/>
          <order val="1"/>
          <tx>
            <strRef>
              <f>'03 EXECUTIVE VIEW'!E129</f>
              <strCache>
                <ptCount val="1"/>
                <pt idx="0">
                  <v>Recorded outside the WBS</v>
                </pt>
              </strCache>
            </strRef>
          </tx>
          <spPr>
            <a:solidFill xmlns:a="http://schemas.openxmlformats.org/drawingml/2006/main">
              <a:srgbClr val="B5793D"/>
            </a:solidFill>
            <a:pattFill xmlns:a="http://schemas.openxmlformats.org/drawingml/2006/main" prst="ltDnDiag">
              <a:fgClr>
                <a:srgbClr val="121A2E"/>
              </a:fgClr>
              <a:bgClr>
                <a:srgbClr val="FFFFFF"/>
              </a:bgClr>
            </a:pattFill>
            <a:ln xmlns:a="http://schemas.openxmlformats.org/drawingml/2006/main">
              <a:solidFill>
                <a:srgbClr val="B5793D"/>
              </a:solidFill>
              <a:prstDash val="solid"/>
            </a:ln>
          </spPr>
          <cat>
            <numRef>
              <f>'03 EXECUTIVE VIEW'!$A$130:$A$132</f>
            </numRef>
          </cat>
          <val>
            <numRef>
              <f>'03 EXECUTIVE VIEW'!$E$130:$E$132</f>
            </numRef>
          </val>
        </ser>
        <ser>
          <idx val="2"/>
          <order val="2"/>
          <tx>
            <strRef>
              <f>'03 EXECUTIVE VIEW'!G129</f>
              <strCache>
                <ptCount val="1"/>
                <pt idx="0">
                  <v>Left unresolved</v>
                </pt>
              </strCache>
            </strRef>
          </tx>
          <spPr>
            <a:solidFill xmlns:a="http://schemas.openxmlformats.org/drawingml/2006/main">
              <a:srgbClr val="8B8F97"/>
            </a:solidFill>
            <a:pattFill xmlns:a="http://schemas.openxmlformats.org/drawingml/2006/main" prst="pct20">
              <a:fgClr>
                <a:srgbClr val="121A2E"/>
              </a:fgClr>
              <a:bgClr>
                <a:srgbClr val="FFFFFF"/>
              </a:bgClr>
            </a:pattFill>
            <a:ln xmlns:a="http://schemas.openxmlformats.org/drawingml/2006/main">
              <a:solidFill>
                <a:srgbClr val="8B8F97"/>
              </a:solidFill>
              <a:prstDash val="solid"/>
            </a:ln>
          </spPr>
          <cat>
            <numRef>
              <f>'03 EXECUTIVE VIEW'!$A$130:$A$132</f>
            </numRef>
          </cat>
          <val>
            <numRef>
              <f>'03 EXECUTIVE VIEW'!$G$130:$G$132</f>
            </numRef>
          </val>
        </ser>
        <gapWidth val="5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121A2E"/>
                </a:solidFill>
                <a:latin typeface="Archivo"/>
              </a:defRPr>
            </a:pPr>
            <a:r>
              <a:t>None</a:t>
            </a:r>
            <a:endParaRPr sz="1200" b="0">
              <a:solidFill>
                <a:srgbClr val="121A2E"/>
              </a:solidFill>
              <a:latin typeface="Archivo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1200" b="0">
              <a:solidFill>
                <a:srgbClr val="121A2E"/>
              </a:solidFill>
              <a:latin typeface="Archivo"/>
            </a:defRPr>
          </a:pPr>
          <a:r>
            <a:t>None</a:t>
          </a:r>
          <a:endParaRPr sz="1200" b="0">
            <a:solidFill>
              <a:srgbClr val="121A2E"/>
            </a:solidFill>
            <a:latin typeface="Archivo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21A2E"/>
                </a:solidFill>
                <a:latin typeface="Archivo"/>
              </a:defRPr>
            </a:pPr>
            <a:r>
              <a:t>Figure 03 | Initial reporting baseline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8F5A28"/>
            </a:solidFill>
            <a:ln xmlns:a="http://schemas.openxmlformats.org/drawingml/2006/main">
              <a:solidFill>
                <a:srgbClr val="8F5A28"/>
              </a:solidFill>
              <a:prstDash val="solid"/>
            </a:ln>
          </spPr>
          <dLbls>
            <numFmt formatCode="#,##0;-#,##0;0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121A2E"/>
                    </a:solidFill>
                    <a:latin typeface="Archivo"/>
                  </a:defRPr>
                </a:pPr>
                <a:r>
                  <a:t>None</a:t>
                </a:r>
                <a:endParaRPr sz="1200" b="1">
                  <a:solidFill>
                    <a:srgbClr val="121A2E"/>
                  </a:solidFill>
                  <a:latin typeface="Archivo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'03 EXECUTIVE VIEW'!$A$154:$A$158</f>
            </numRef>
          </cat>
          <val>
            <numRef>
              <f>'03 EXECUTIVE VIEW'!$C$154:$C$158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121A2E"/>
                </a:solidFill>
                <a:latin typeface="Archivo"/>
              </a:defRPr>
            </a:pPr>
            <a:r>
              <a:t>None</a:t>
            </a:r>
            <a:endParaRPr sz="1200" b="0">
              <a:solidFill>
                <a:srgbClr val="121A2E"/>
              </a:solidFill>
              <a:latin typeface="Archivo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21A2E"/>
                </a:solidFill>
                <a:latin typeface="Archivo"/>
              </a:defRPr>
            </a:pPr>
            <a:r>
              <a:t>Figure 04 | Unresolved / outside WBS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A66A2C"/>
            </a:solidFill>
            <a:ln xmlns:a="http://schemas.openxmlformats.org/drawingml/2006/main">
              <a:solidFill>
                <a:srgbClr val="A66A2C"/>
              </a:solidFill>
              <a:prstDash val="solid"/>
            </a:ln>
          </spPr>
          <dLbls>
            <numFmt formatCode="#,##0;-#,##0;0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121A2E"/>
                    </a:solidFill>
                    <a:latin typeface="Archivo"/>
                  </a:defRPr>
                </a:pPr>
                <a:r>
                  <a:t>None</a:t>
                </a:r>
                <a:endParaRPr sz="1200" b="1">
                  <a:solidFill>
                    <a:srgbClr val="121A2E"/>
                  </a:solidFill>
                  <a:latin typeface="Archivo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'03 EXECUTIVE VIEW'!$A$180:$A$182</f>
            </numRef>
          </cat>
          <val>
            <numRef>
              <f>'03 EXECUTIVE VIEW'!$C$180:$C$182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121A2E"/>
                </a:solidFill>
                <a:latin typeface="Archivo"/>
              </a:defRPr>
            </a:pPr>
            <a:r>
              <a:t>None</a:t>
            </a:r>
            <a:endParaRPr sz="1200" b="0">
              <a:solidFill>
                <a:srgbClr val="121A2E"/>
              </a:solidFill>
              <a:latin typeface="Archivo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Publication identity, approved version and source-set orientation; then open the index.
Start with 02 START HERE. Executive / diagnostics / sources / assurance are separate tasks.</t>
      </text>
    </comment>
  </commentList>
</comments>
</file>

<file path=xl/comments/comment2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Primary task index and discoverable supporting/advanced destinations.
Start with 02 START HERE. Executive / diagnostics / sources / assurance are separate tasks.</t>
      </text>
    </comment>
  </commentList>
</comments>
</file>

<file path=xl/comments/comment3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Canonical executive decision surface and four retained native charts.
Start with 02 START HERE. Executive / diagnostics / sources / assurance are separate tasks.</t>
      </text>
    </comment>
  </commentList>
</comments>
</file>

<file path=xl/comments/comment4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Exact governed matters and professional Actions; no materiality ranking.
Start with 02 START HERE. Executive / diagnostics / sources / assurance are separate tasks.</t>
      </text>
    </comment>
  </commentList>
</comments>
</file>

<file path=xl/comments/comment5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Cross-view relationship availability and gated analytical populations.
Start with 02 START HERE. Executive / diagnostics / sources / assurance are separate tasks.</t>
      </text>
    </comment>
  </commentList>
</comments>
</file>

<file path=xl/comments/comment6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Supporting cross-view projections by WBS; use 09 for first scope navigation.
Start with 02 START HERE. Executive / diagnostics / sources / assurance are separate tasks.</t>
      </text>
    </comment>
  </commentList>
</comments>
</file>

<file path=xl/comments/comment7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Relationship change classification and separate revalidation.
Start with 02 START HERE. Executive / diagnostics / sources / assurance are separate tasks.</t>
      </text>
    </comment>
  </commentList>
</comments>
</file>

<file path=xl/comments/comment8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Approved source-to-WBS targets; split targets are separate rows.
Start with 02 START HERE. Executive / diagnostics / sources / assurance are separate tasks.</t>
      </text>
    </comment>
  </commentList>
</comments>
</file>

<file path=xl/comments/comment9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Primary scope navigation: distinct relationship coverage/status.
Start with 02 START HERE. Executive / diagnostics / sources / assurance are separate tasks.</t>
      </text>
    </comment>
  </commentList>
</comments>
</file>

<file path=xl/comments/comment10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Source assertion, interpretation, contrary evidence and human decision.
Start with 02 START HERE. Executive / diagnostics / sources / assurance are separate tasks.</t>
      </text>
    </comment>
  </commentList>
</comments>
</file>

<file path=xl/comments/comment11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Approval-time source revisions and representation integrity.
Start with 02 START HERE. Executive / diagnostics / sources / assurance are separate tasks.</t>
      </text>
    </comment>
  </commentList>
</comments>
</file>

<file path=xl/comments/comment12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Withholding, metric ledger, evidence boundary and reconciliation.
Start with 02 START HERE. Executive / diagnostics / sources / assurance are separate tasks.</t>
      </text>
    </comment>
  </commentList>
</comments>
</file>

<file path=xl/comments/comment13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Advanced revision lineage and reporting-period state of record.
Start with 02 START HERE. Executive / diagnostics / sources / assurance are separate tasks.</t>
      </text>
    </comment>
  </commentList>
</comments>
</file>

<file path=xl/comments/comment14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Advanced approved scope tree and relationship ROW rollups; split/retired included unless filtered.
Start with 02 START HERE. Executive / diagnostics / sources / assurance are separate tasks.</t>
      </text>
    </comment>
  </commentList>
</comments>
</file>

<file path=xl/comments/comment15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Advanced filter/formula analysis; not the executive first-use summary.
Start with 02 START HERE. Executive / diagnostics / sources / assurance are separate tasks.</t>
      </text>
    </comment>
  </commentList>
</comments>
</file>

<file path=xl/comments/comment16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Compatibility/formula source table; one row per relationship target.
Start with 02 START HERE. Executive / diagnostics / sources / assurance are separate tasks.</t>
      </text>
    </comment>
  </commentList>
</comments>
</file>

<file path=xl/comments/comment17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Approved Owner WBS source hierarchy; original names, ancestry and evidence.
Start with 02 START HERE. Executive / diagnostics / sources / assurance are separate tasks.</t>
      </text>
    </comment>
  </commentList>
</comments>
</file>

<file path=xl/comments/comment18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Advanced formula-based target-row explorer; 09 is the primary scope view.
Start with 02 START HERE. Executive / diagnostics / sources / assurance are separate tasks.</t>
      </text>
    </comment>
  </commentList>
</comments>
</file>

<file path=xl/comments/comment19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Supporting outcome records; uncertainty is not assessed outside scope.
Start with 02 START HERE. Executive / diagnostics / sources / assurance are separate tasks.</t>
      </text>
    </comment>
  </commentList>
</comments>
</file>

<file path=xl/comments/comment20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Compatibility approved-version history; 13 provides revision lineage.
Start with 02 START HERE. Executive / diagnostics / sources / assurance are separate tasks.</t>
      </text>
    </comment>
  </commentList>
</comments>
</file>

<file path=xl/comments/comment21.xml><?xml version="1.0" encoding="utf-8"?>
<comments xmlns="http://schemas.openxmlformats.org/spreadsheetml/2006/main">
  <authors>
    <author>ZP Synergy Group</author>
  </authors>
  <commentList>
    <comment ref="A1" authorId="0" shapeId="0">
      <text>
        <t>PURPOSE
Compatibility calculations; 03 is the canonical executive decision surface.
Start with 02 START HERE. Executive / diagnostics / sources / assurance are separate tasks.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3384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29</row>
      <rowOff>0</rowOff>
    </from>
    <ext cx="3384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59</row>
      <rowOff>0</rowOff>
    </from>
    <ext cx="3384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59</row>
      <rowOff>0</rowOff>
    </from>
    <ext cx="3384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2 START HERE'!A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03 EXECUTIVE VIEW'!A1" TargetMode="External" Id="rId9"/><Relationship Type="http://schemas.openxmlformats.org/officeDocument/2006/relationships/hyperlink" Target="#'04 ISSUES FOR REVIEW'!A1" TargetMode="External" Id="rId10"/><Relationship Type="http://schemas.openxmlformats.org/officeDocument/2006/relationships/hyperlink" Target="#'09 WBS EXPLORER'!A1" TargetMode="External" Id="rId11"/><Relationship Type="http://schemas.openxmlformats.org/officeDocument/2006/relationships/hyperlink" Target="#'08 CROSSWALK'!A1" TargetMode="External" Id="rId12"/><Relationship Type="http://schemas.openxmlformats.org/officeDocument/2006/relationships/hyperlink" Target="#'10 EVIDENCE &amp; DECISIONS'!A1" TargetMode="External" Id="rId13"/><Relationship Type="http://schemas.openxmlformats.org/officeDocument/2006/relationships/hyperlink" Target="#'07 CHANGES &amp; REVALIDATION'!A1" TargetMode="External" Id="rId14"/><Relationship Type="http://schemas.openxmlformats.org/officeDocument/2006/relationships/hyperlink" Target="#'11 SOURCES &amp; PROVENANCE'!A1" TargetMode="External" Id="rId15"/><Relationship Type="http://schemas.openxmlformats.org/officeDocument/2006/relationships/hyperlink" Target="#'12 ASSURANCE'!A1" TargetMode="External" Id="rId16"/><Relationship Type="http://schemas.openxmlformats.org/officeDocument/2006/relationships/hyperlink" Target="#'13 REVISIONS &amp; PERIODS'!A1" TargetMode="External" Id="rId17"/><Relationship Type="http://schemas.openxmlformats.org/officeDocument/2006/relationships/hyperlink" Target="#'14 WBS HIERARCHY'!A1" TargetMode="External" Id="rId18"/><Relationship Type="http://schemas.openxmlformats.org/officeDocument/2006/relationships/hyperlink" Target="#'15 ANALYSIS'!A1" TargetMode="External" Id="rId19"/><Relationship Type="http://schemas.openxmlformats.org/officeDocument/2006/relationships/hyperlink" Target="#'03 EXECUTIVE VIEW'!A1" TargetMode="External" Id="rId20"/><Relationship Type="http://schemas.openxmlformats.org/officeDocument/2006/relationships/hyperlink" Target="#'04 ISSUES FOR REVIEW'!A1" TargetMode="External" Id="rId21"/><Relationship Type="http://schemas.openxmlformats.org/officeDocument/2006/relationships/hyperlink" Target="#'10 EVIDENCE &amp; DECISIONS'!A1" TargetMode="External" Id="rId22"/><Relationship Type="http://schemas.openxmlformats.org/officeDocument/2006/relationships/hyperlink" Target="#'11 SOURCES &amp; PROVENANCE'!A1" TargetMode="External" Id="rId23"/><Relationship Type="http://schemas.openxmlformats.org/officeDocument/2006/relationships/hyperlink" Target="#'05 INTEGRATION HEALTH'!A1" TargetMode="External" Id="rId24"/><Relationship Type="http://schemas.openxmlformats.org/officeDocument/2006/relationships/hyperlink" Target="#'05 INTEGRATION HEALTH'!A1" TargetMode="External" Id="rId25"/><Relationship Type="http://schemas.openxmlformats.org/officeDocument/2006/relationships/hyperlink" Target="#'06 INTEGRATED PROJECT'!A1" TargetMode="External" Id="rId26"/><Relationship Type="http://schemas.openxmlformats.org/officeDocument/2006/relationships/hyperlink" Target="#'MASTER DATA'!A1" TargetMode="External" Id="rId27"/><Relationship Type="http://schemas.openxmlformats.org/officeDocument/2006/relationships/hyperlink" Target="#'OWNER WBS'!A1" TargetMode="External" Id="rId28"/><Relationship Type="http://schemas.openxmlformats.org/officeDocument/2006/relationships/hyperlink" Target="#'RELATIONSHIP EXPLORER'!A1" TargetMode="External" Id="rId29"/><Relationship Type="http://schemas.openxmlformats.org/officeDocument/2006/relationships/hyperlink" Target="#'UNRESOLVED'!A1" TargetMode="External" Id="rId30"/><Relationship Type="http://schemas.openxmlformats.org/officeDocument/2006/relationships/hyperlink" Target="#'HISTORY'!A1" TargetMode="External" Id="rId31"/><Relationship Type="http://schemas.openxmlformats.org/officeDocument/2006/relationships/hyperlink" Target="#'SUMMARY'!A1" TargetMode="External" Id="rId32"/><Relationship Type="http://schemas.openxmlformats.org/officeDocument/2006/relationships/hyperlink" Target="#'01 PROJECT'!A1" TargetMode="External" Id="rId33"/><Relationship Type="http://schemas.openxmlformats.org/officeDocument/2006/relationships/hyperlink" Target="#'02 START HERE'!A1" TargetMode="External" Id="rId34"/><Relationship Type="http://schemas.openxmlformats.org/officeDocument/2006/relationships/hyperlink" Target="#'03 EXECUTIVE VIEW'!A1" TargetMode="External" Id="rId35"/><Relationship Type="http://schemas.openxmlformats.org/officeDocument/2006/relationships/hyperlink" Target="#'04 ISSUES FOR REVIEW'!A1" TargetMode="External" Id="rId36"/><Relationship Type="http://schemas.openxmlformats.org/officeDocument/2006/relationships/hyperlink" Target="#'05 INTEGRATION HEALTH'!A1" TargetMode="External" Id="rId37"/><Relationship Type="http://schemas.openxmlformats.org/officeDocument/2006/relationships/hyperlink" Target="#'06 INTEGRATED PROJECT'!A1" TargetMode="External" Id="rId38"/><Relationship Type="http://schemas.openxmlformats.org/officeDocument/2006/relationships/hyperlink" Target="#'07 CHANGES &amp; REVALIDATION'!A1" TargetMode="External" Id="rId39"/><Relationship Type="http://schemas.openxmlformats.org/officeDocument/2006/relationships/hyperlink" Target="#'08 CROSSWALK'!A1" TargetMode="External" Id="rId40"/><Relationship Type="http://schemas.openxmlformats.org/officeDocument/2006/relationships/hyperlink" Target="#'09 WBS EXPLORER'!A1" TargetMode="External" Id="rId41"/><Relationship Type="http://schemas.openxmlformats.org/officeDocument/2006/relationships/hyperlink" Target="#'10 EVIDENCE &amp; DECISIONS'!A1" TargetMode="External" Id="rId42"/><Relationship Type="http://schemas.openxmlformats.org/officeDocument/2006/relationships/hyperlink" Target="#'11 SOURCES &amp; PROVENANCE'!A1" TargetMode="External" Id="rId43"/><Relationship Type="http://schemas.openxmlformats.org/officeDocument/2006/relationships/hyperlink" Target="#'12 ASSURANCE'!A1" TargetMode="External" Id="rId44"/><Relationship Type="http://schemas.openxmlformats.org/officeDocument/2006/relationships/hyperlink" Target="#'13 REVISIONS &amp; PERIODS'!A1" TargetMode="External" Id="rId45"/><Relationship Type="http://schemas.openxmlformats.org/officeDocument/2006/relationships/hyperlink" Target="#'14 WBS HIERARCHY'!A1" TargetMode="External" Id="rId46"/><Relationship Type="http://schemas.openxmlformats.org/officeDocument/2006/relationships/hyperlink" Target="#'15 ANALYSIS'!A1" TargetMode="External" Id="rId47"/><Relationship Type="http://schemas.openxmlformats.org/officeDocument/2006/relationships/hyperlink" Target="#'MASTER DATA'!A1" TargetMode="External" Id="rId48"/><Relationship Type="http://schemas.openxmlformats.org/officeDocument/2006/relationships/hyperlink" Target="#'OWNER WBS'!A1" TargetMode="External" Id="rId49"/><Relationship Type="http://schemas.openxmlformats.org/officeDocument/2006/relationships/hyperlink" Target="#'RELATIONSHIP EXPLORER'!A1" TargetMode="External" Id="rId50"/><Relationship Type="http://schemas.openxmlformats.org/officeDocument/2006/relationships/hyperlink" Target="#'UNRESOLVED'!A1" TargetMode="External" Id="rId51"/><Relationship Type="http://schemas.openxmlformats.org/officeDocument/2006/relationships/hyperlink" Target="#'HISTORY'!A1" TargetMode="External" Id="rId52"/><Relationship Type="http://schemas.openxmlformats.org/officeDocument/2006/relationships/hyperlink" Target="#'SUMMARY'!A1" TargetMode="External" Id="rId5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04 ISSUES FOR REVIEW'!A1" TargetMode="External" Id="rId9"/><Relationship Type="http://schemas.openxmlformats.org/officeDocument/2006/relationships/hyperlink" Target="#'05 INTEGRATION HEALTH'!A1" TargetMode="External" Id="rId10"/><Relationship Type="http://schemas.openxmlformats.org/officeDocument/2006/relationships/hyperlink" Target="#'07 CHANGES &amp; REVALIDATION'!A1" TargetMode="External" Id="rId11"/><Relationship Type="http://schemas.openxmlformats.org/officeDocument/2006/relationships/hyperlink" Target="#'08 CROSSWALK'!A1" TargetMode="External" Id="rId12"/><Relationship Type="http://schemas.openxmlformats.org/officeDocument/2006/relationships/drawing" Target="/xl/drawings/drawing1.xml" Id="rId1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09 WBS EXPLORER'!A60" TargetMode="External" Id="rId9"/><Relationship Type="http://schemas.openxmlformats.org/officeDocument/2006/relationships/hyperlink" Target="#'05 INTEGRATION HEALTH'!A1" TargetMode="External" Id="rId10"/><Relationship Type="http://schemas.openxmlformats.org/officeDocument/2006/relationships/hyperlink" Target="#'09 WBS EXPLORER'!A73" TargetMode="External" Id="rId11"/><Relationship Type="http://schemas.openxmlformats.org/officeDocument/2006/relationships/hyperlink" Target="#'05 INTEGRATION HEALTH'!A1" TargetMode="External" Id="rId12"/><Relationship Type="http://schemas.openxmlformats.org/officeDocument/2006/relationships/hyperlink" Target="#'08 CROSSWALK'!A1" TargetMode="External" Id="rId13"/><Relationship Type="http://schemas.openxmlformats.org/officeDocument/2006/relationships/hyperlink" Target="#'08 CROSSWALK'!A1" TargetMode="External" Id="rId14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06 INTEGRATED PROJECT'!A8" TargetMode="External" Id="rId9"/><Relationship Type="http://schemas.openxmlformats.org/officeDocument/2006/relationships/hyperlink" Target="#'06 INTEGRATED PROJECT'!A21" TargetMode="External" Id="rId10"/><Relationship Type="http://schemas.openxmlformats.org/officeDocument/2006/relationships/hyperlink" Target="#'06 INTEGRATED PROJECT'!A34" TargetMode="External" Id="rId11"/><Relationship Type="http://schemas.openxmlformats.org/officeDocument/2006/relationships/hyperlink" Target="#'06 INTEGRATED PROJECT'!A47" TargetMode="External" Id="rId12"/><Relationship Type="http://schemas.openxmlformats.org/officeDocument/2006/relationships/hyperlink" Target="#'06 INTEGRATED PROJECT'!A60" TargetMode="External" Id="rId13"/><Relationship Type="http://schemas.openxmlformats.org/officeDocument/2006/relationships/hyperlink" Target="#'06 INTEGRATED PROJECT'!A73" TargetMode="External" Id="rId14"/><Relationship Type="http://schemas.openxmlformats.org/officeDocument/2006/relationships/hyperlink" Target="#'06 INTEGRATED PROJECT'!A1" TargetMode="External" Id="rId15"/><Relationship Type="http://schemas.openxmlformats.org/officeDocument/2006/relationships/hyperlink" Target="#'06 INTEGRATED PROJECT'!A1" TargetMode="External" Id="rId16"/><Relationship Type="http://schemas.openxmlformats.org/officeDocument/2006/relationships/hyperlink" Target="#'06 INTEGRATED PROJECT'!A1" TargetMode="External" Id="rId17"/><Relationship Type="http://schemas.openxmlformats.org/officeDocument/2006/relationships/hyperlink" Target="#'06 INTEGRATED PROJECT'!A1" TargetMode="External" Id="rId18"/><Relationship Type="http://schemas.openxmlformats.org/officeDocument/2006/relationships/hyperlink" Target="#'06 INTEGRATED PROJECT'!A1" TargetMode="External" Id="rId19"/><Relationship Type="http://schemas.openxmlformats.org/officeDocument/2006/relationships/hyperlink" Target="#'06 INTEGRATED PROJECT'!A1" TargetMode="External" Id="rId20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08 CROSSWALK'!A1" TargetMode="External" Id="rId9"/><Relationship Type="http://schemas.openxmlformats.org/officeDocument/2006/relationships/hyperlink" Target="#'08 CROSSWALK'!A6" TargetMode="External" Id="rId10"/><Relationship Type="http://schemas.openxmlformats.org/officeDocument/2006/relationships/hyperlink" Target="#'08 CROSSWALK'!A6" TargetMode="External" Id="rId11"/><Relationship Type="http://schemas.openxmlformats.org/officeDocument/2006/relationships/hyperlink" Target="#'08 CROSSWALK'!A16" TargetMode="External" Id="rId12"/><Relationship Type="http://schemas.openxmlformats.org/officeDocument/2006/relationships/hyperlink" Target="#'08 CROSSWALK'!A1" TargetMode="External" Id="rId13"/><Relationship Type="http://schemas.openxmlformats.org/officeDocument/2006/relationships/hyperlink" Target="#'08 CROSSWALK'!A1" TargetMode="External" Id="rId14"/><Relationship Type="http://schemas.openxmlformats.org/officeDocument/2006/relationships/hyperlink" Target="#'08 CROSSWALK'!A176" TargetMode="External" Id="rId15"/><Relationship Type="http://schemas.openxmlformats.org/officeDocument/2006/relationships/hyperlink" Target="#'08 CROSSWALK'!A1" TargetMode="External" Id="rId16"/><Relationship Type="http://schemas.openxmlformats.org/officeDocument/2006/relationships/hyperlink" Target="#'08 CROSSWALK'!A1" TargetMode="External" Id="rId17"/><Relationship Type="http://schemas.openxmlformats.org/officeDocument/2006/relationships/hyperlink" Target="#'08 CROSSWALK'!A1" TargetMode="External" Id="rId18"/><Relationship Type="http://schemas.openxmlformats.org/officeDocument/2006/relationships/hyperlink" Target="#'08 CROSSWALK'!A1" TargetMode="External" Id="rId19"/><Relationship Type="http://schemas.openxmlformats.org/officeDocument/2006/relationships/hyperlink" Target="#'08 CROSSWALK'!A1" TargetMode="External" Id="rId20"/><Relationship Type="http://schemas.openxmlformats.org/officeDocument/2006/relationships/hyperlink" Target="#'08 CROSSWALK'!A1" TargetMode="External" Id="rId21"/><Relationship Type="http://schemas.openxmlformats.org/officeDocument/2006/relationships/hyperlink" Target="#'08 CROSSWALK'!A1" TargetMode="External" Id="rId22"/><Relationship Type="http://schemas.openxmlformats.org/officeDocument/2006/relationships/hyperlink" Target="#'08 CROSSWALK'!A1" TargetMode="External" Id="rId23"/><Relationship Type="http://schemas.openxmlformats.org/officeDocument/2006/relationships/hyperlink" Target="#'08 CROSSWALK'!A276" TargetMode="External" Id="rId24"/><Relationship Type="http://schemas.openxmlformats.org/officeDocument/2006/relationships/hyperlink" Target="#'08 CROSSWALK'!A287" TargetMode="External" Id="rId25"/><Relationship Type="http://schemas.openxmlformats.org/officeDocument/2006/relationships/hyperlink" Target="#'08 CROSSWALK'!A1" TargetMode="External" Id="rId26"/><Relationship Type="http://schemas.openxmlformats.org/officeDocument/2006/relationships/hyperlink" Target="#'08 CROSSWALK'!A1" TargetMode="External" Id="rId27"/><Relationship Type="http://schemas.openxmlformats.org/officeDocument/2006/relationships/hyperlink" Target="#'08 CROSSWALK'!A447" TargetMode="External" Id="rId28"/><Relationship Type="http://schemas.openxmlformats.org/officeDocument/2006/relationships/hyperlink" Target="#'08 CROSSWALK'!A1" TargetMode="External" Id="rId29"/><Relationship Type="http://schemas.openxmlformats.org/officeDocument/2006/relationships/hyperlink" Target="#'08 CROSSWALK'!A1" TargetMode="External" Id="rId30"/><Relationship Type="http://schemas.openxmlformats.org/officeDocument/2006/relationships/hyperlink" Target="#'08 CROSSWALK'!A1" TargetMode="External" Id="rId31"/><Relationship Type="http://schemas.openxmlformats.org/officeDocument/2006/relationships/hyperlink" Target="#'08 CROSSWALK'!A1" TargetMode="External" Id="rId32"/><Relationship Type="http://schemas.openxmlformats.org/officeDocument/2006/relationships/hyperlink" Target="#'08 CROSSWALK'!A1" TargetMode="External" Id="rId33"/><Relationship Type="http://schemas.openxmlformats.org/officeDocument/2006/relationships/hyperlink" Target="#'08 CROSSWALK'!A1" TargetMode="External" Id="rId34"/><Relationship Type="http://schemas.openxmlformats.org/officeDocument/2006/relationships/hyperlink" Target="#'08 CROSSWALK'!A1" TargetMode="External" Id="rId35"/><Relationship Type="http://schemas.openxmlformats.org/officeDocument/2006/relationships/hyperlink" Target="#'08 CROSSWALK'!A1" TargetMode="External" Id="rId36"/><Relationship Type="http://schemas.openxmlformats.org/officeDocument/2006/relationships/hyperlink" Target="#'08 CROSSWALK'!A546" TargetMode="External" Id="rId37"/><Relationship Type="http://schemas.openxmlformats.org/officeDocument/2006/relationships/hyperlink" Target="#'08 CROSSWALK'!A556" TargetMode="External" Id="rId38"/><Relationship Type="http://schemas.openxmlformats.org/officeDocument/2006/relationships/hyperlink" Target="#'08 CROSSWALK'!A1" TargetMode="External" Id="rId39"/><Relationship Type="http://schemas.openxmlformats.org/officeDocument/2006/relationships/hyperlink" Target="#'08 CROSSWALK'!A1" TargetMode="External" Id="rId40"/><Relationship Type="http://schemas.openxmlformats.org/officeDocument/2006/relationships/hyperlink" Target="#'08 CROSSWALK'!A716" TargetMode="External" Id="rId41"/><Relationship Type="http://schemas.openxmlformats.org/officeDocument/2006/relationships/hyperlink" Target="#'08 CROSSWALK'!A1" TargetMode="External" Id="rId42"/><Relationship Type="http://schemas.openxmlformats.org/officeDocument/2006/relationships/hyperlink" Target="#'08 CROSSWALK'!A1" TargetMode="External" Id="rId43"/><Relationship Type="http://schemas.openxmlformats.org/officeDocument/2006/relationships/hyperlink" Target="#'08 CROSSWALK'!A1" TargetMode="External" Id="rId44"/><Relationship Type="http://schemas.openxmlformats.org/officeDocument/2006/relationships/hyperlink" Target="#'08 CROSSWALK'!A1" TargetMode="External" Id="rId45"/><Relationship Type="http://schemas.openxmlformats.org/officeDocument/2006/relationships/hyperlink" Target="#'08 CROSSWALK'!A1" TargetMode="External" Id="rId46"/><Relationship Type="http://schemas.openxmlformats.org/officeDocument/2006/relationships/hyperlink" Target="#'08 CROSSWALK'!A1" TargetMode="External" Id="rId47"/><Relationship Type="http://schemas.openxmlformats.org/officeDocument/2006/relationships/hyperlink" Target="#'08 CROSSWALK'!A1" TargetMode="External" Id="rId48"/><Relationship Type="http://schemas.openxmlformats.org/officeDocument/2006/relationships/hyperlink" Target="#'08 CROSSWALK'!A1" TargetMode="External" Id="rId49"/><Relationship Type="http://schemas.openxmlformats.org/officeDocument/2006/relationships/hyperlink" Target="#'08 CROSSWALK'!A815" TargetMode="External" Id="rId50"/><Relationship Type="http://schemas.openxmlformats.org/officeDocument/2006/relationships/hyperlink" Target="#'08 CROSSWALK'!A825" TargetMode="External" Id="rId51"/><Relationship Type="http://schemas.openxmlformats.org/officeDocument/2006/relationships/hyperlink" Target="#'08 CROSSWALK'!A1" TargetMode="External" Id="rId52"/><Relationship Type="http://schemas.openxmlformats.org/officeDocument/2006/relationships/hyperlink" Target="#'08 CROSSWALK'!A1" TargetMode="External" Id="rId53"/><Relationship Type="http://schemas.openxmlformats.org/officeDocument/2006/relationships/hyperlink" Target="#'08 CROSSWALK'!A985" TargetMode="External" Id="rId54"/><Relationship Type="http://schemas.openxmlformats.org/officeDocument/2006/relationships/hyperlink" Target="#'08 CROSSWALK'!A1" TargetMode="External" Id="rId55"/><Relationship Type="http://schemas.openxmlformats.org/officeDocument/2006/relationships/hyperlink" Target="#'08 CROSSWALK'!A1" TargetMode="External" Id="rId56"/><Relationship Type="http://schemas.openxmlformats.org/officeDocument/2006/relationships/hyperlink" Target="#'08 CROSSWALK'!A1" TargetMode="External" Id="rId57"/><Relationship Type="http://schemas.openxmlformats.org/officeDocument/2006/relationships/hyperlink" Target="#'08 CROSSWALK'!A1" TargetMode="External" Id="rId58"/><Relationship Type="http://schemas.openxmlformats.org/officeDocument/2006/relationships/hyperlink" Target="#'08 CROSSWALK'!A1" TargetMode="External" Id="rId59"/><Relationship Type="http://schemas.openxmlformats.org/officeDocument/2006/relationships/hyperlink" Target="#'08 CROSSWALK'!A1" TargetMode="External" Id="rId60"/><Relationship Type="http://schemas.openxmlformats.org/officeDocument/2006/relationships/hyperlink" Target="#'08 CROSSWALK'!A1" TargetMode="External" Id="rId61"/><Relationship Type="http://schemas.openxmlformats.org/officeDocument/2006/relationships/hyperlink" Target="#'08 CROSSWALK'!A1" TargetMode="External" Id="rId62"/><Relationship Type="http://schemas.openxmlformats.org/officeDocument/2006/relationships/hyperlink" Target="#'08 CROSSWALK'!A1084" TargetMode="External" Id="rId63"/><Relationship Type="http://schemas.openxmlformats.org/officeDocument/2006/relationships/hyperlink" Target="#'08 CROSSWALK'!A1094" TargetMode="External" Id="rId64"/><Relationship Type="http://schemas.openxmlformats.org/officeDocument/2006/relationships/hyperlink" Target="#'08 CROSSWALK'!A1" TargetMode="External" Id="rId65"/><Relationship Type="http://schemas.openxmlformats.org/officeDocument/2006/relationships/hyperlink" Target="#'08 CROSSWALK'!A1" TargetMode="External" Id="rId66"/><Relationship Type="http://schemas.openxmlformats.org/officeDocument/2006/relationships/hyperlink" Target="#'08 CROSSWALK'!A1214" TargetMode="External" Id="rId67"/><Relationship Type="http://schemas.openxmlformats.org/officeDocument/2006/relationships/hyperlink" Target="#'08 CROSSWALK'!A1" TargetMode="External" Id="rId68"/><Relationship Type="http://schemas.openxmlformats.org/officeDocument/2006/relationships/hyperlink" Target="#'08 CROSSWALK'!A1" TargetMode="External" Id="rId69"/><Relationship Type="http://schemas.openxmlformats.org/officeDocument/2006/relationships/hyperlink" Target="#'08 CROSSWALK'!A1" TargetMode="External" Id="rId70"/><Relationship Type="http://schemas.openxmlformats.org/officeDocument/2006/relationships/hyperlink" Target="#'08 CROSSWALK'!A1" TargetMode="External" Id="rId71"/><Relationship Type="http://schemas.openxmlformats.org/officeDocument/2006/relationships/hyperlink" Target="#'08 CROSSWALK'!A1" TargetMode="External" Id="rId72"/><Relationship Type="http://schemas.openxmlformats.org/officeDocument/2006/relationships/hyperlink" Target="#'08 CROSSWALK'!A1" TargetMode="External" Id="rId73"/><Relationship Type="http://schemas.openxmlformats.org/officeDocument/2006/relationships/hyperlink" Target="#'08 CROSSWALK'!A1" TargetMode="External" Id="rId74"/><Relationship Type="http://schemas.openxmlformats.org/officeDocument/2006/relationships/hyperlink" Target="#'08 CROSSWALK'!A1" TargetMode="External" Id="rId75"/><Relationship Type="http://schemas.openxmlformats.org/officeDocument/2006/relationships/hyperlink" Target="#'08 CROSSWALK'!A1274" TargetMode="External" Id="rId76"/><Relationship Type="http://schemas.openxmlformats.org/officeDocument/2006/relationships/hyperlink" Target="#'08 CROSSWALK'!A1284" TargetMode="External" Id="rId77"/><Relationship Type="http://schemas.openxmlformats.org/officeDocument/2006/relationships/hyperlink" Target="#'08 CROSSWALK'!A1" TargetMode="External" Id="rId78"/><Relationship Type="http://schemas.openxmlformats.org/officeDocument/2006/relationships/hyperlink" Target="#'08 CROSSWALK'!A1" TargetMode="External" Id="rId79"/><Relationship Type="http://schemas.openxmlformats.org/officeDocument/2006/relationships/hyperlink" Target="#'08 CROSSWALK'!A1324" TargetMode="External" Id="rId80"/><Relationship Type="http://schemas.openxmlformats.org/officeDocument/2006/relationships/hyperlink" Target="#'08 CROSSWALK'!A1" TargetMode="External" Id="rId81"/><Relationship Type="http://schemas.openxmlformats.org/officeDocument/2006/relationships/hyperlink" Target="#'08 CROSSWALK'!A1" TargetMode="External" Id="rId82"/><Relationship Type="http://schemas.openxmlformats.org/officeDocument/2006/relationships/hyperlink" Target="#'08 CROSSWALK'!A1" TargetMode="External" Id="rId83"/><Relationship Type="http://schemas.openxmlformats.org/officeDocument/2006/relationships/hyperlink" Target="#'08 CROSSWALK'!A1" TargetMode="External" Id="rId84"/><Relationship Type="http://schemas.openxmlformats.org/officeDocument/2006/relationships/hyperlink" Target="#'08 CROSSWALK'!A1" TargetMode="External" Id="rId85"/><Relationship Type="http://schemas.openxmlformats.org/officeDocument/2006/relationships/hyperlink" Target="#'08 CROSSWALK'!A1" TargetMode="External" Id="rId86"/><Relationship Type="http://schemas.openxmlformats.org/officeDocument/2006/relationships/hyperlink" Target="#'08 CROSSWALK'!A1" TargetMode="External" Id="rId87"/><Relationship Type="http://schemas.openxmlformats.org/officeDocument/2006/relationships/hyperlink" Target="#'08 CROSSWALK'!A1" TargetMode="External" Id="rId88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10 EVIDENCE &amp; DECISIONS'!A6" TargetMode="External" Id="rId9"/><Relationship Type="http://schemas.openxmlformats.org/officeDocument/2006/relationships/hyperlink" Target="#'10 EVIDENCE &amp; DECISIONS'!A7" TargetMode="External" Id="rId10"/><Relationship Type="http://schemas.openxmlformats.org/officeDocument/2006/relationships/hyperlink" Target="#'10 EVIDENCE &amp; DECISIONS'!A8" TargetMode="External" Id="rId11"/><Relationship Type="http://schemas.openxmlformats.org/officeDocument/2006/relationships/hyperlink" Target="#'10 EVIDENCE &amp; DECISIONS'!A9" TargetMode="External" Id="rId12"/><Relationship Type="http://schemas.openxmlformats.org/officeDocument/2006/relationships/hyperlink" Target="#'10 EVIDENCE &amp; DECISIONS'!A10" TargetMode="External" Id="rId13"/><Relationship Type="http://schemas.openxmlformats.org/officeDocument/2006/relationships/hyperlink" Target="#'10 EVIDENCE &amp; DECISIONS'!A11" TargetMode="External" Id="rId14"/><Relationship Type="http://schemas.openxmlformats.org/officeDocument/2006/relationships/hyperlink" Target="#'10 EVIDENCE &amp; DECISIONS'!A12" TargetMode="External" Id="rId15"/><Relationship Type="http://schemas.openxmlformats.org/officeDocument/2006/relationships/hyperlink" Target="#'10 EVIDENCE &amp; DECISIONS'!A13" TargetMode="External" Id="rId16"/><Relationship Type="http://schemas.openxmlformats.org/officeDocument/2006/relationships/hyperlink" Target="#'10 EVIDENCE &amp; DECISIONS'!A14" TargetMode="External" Id="rId17"/><Relationship Type="http://schemas.openxmlformats.org/officeDocument/2006/relationships/hyperlink" Target="#'10 EVIDENCE &amp; DECISIONS'!A15" TargetMode="External" Id="rId18"/><Relationship Type="http://schemas.openxmlformats.org/officeDocument/2006/relationships/hyperlink" Target="#'10 EVIDENCE &amp; DECISIONS'!A16" TargetMode="External" Id="rId19"/><Relationship Type="http://schemas.openxmlformats.org/officeDocument/2006/relationships/hyperlink" Target="#'10 EVIDENCE &amp; DECISIONS'!A22" TargetMode="External" Id="rId20"/><Relationship Type="http://schemas.openxmlformats.org/officeDocument/2006/relationships/hyperlink" Target="#'10 EVIDENCE &amp; DECISIONS'!A82" TargetMode="External" Id="rId21"/><Relationship Type="http://schemas.openxmlformats.org/officeDocument/2006/relationships/hyperlink" Target="#'10 EVIDENCE &amp; DECISIONS'!A83" TargetMode="External" Id="rId22"/><Relationship Type="http://schemas.openxmlformats.org/officeDocument/2006/relationships/hyperlink" Target="#'10 EVIDENCE &amp; DECISIONS'!A84" TargetMode="External" Id="rId23"/><Relationship Type="http://schemas.openxmlformats.org/officeDocument/2006/relationships/hyperlink" Target="#'10 EVIDENCE &amp; DECISIONS'!A85" TargetMode="External" Id="rId24"/><Relationship Type="http://schemas.openxmlformats.org/officeDocument/2006/relationships/hyperlink" Target="#'10 EVIDENCE &amp; DECISIONS'!A86" TargetMode="External" Id="rId25"/><Relationship Type="http://schemas.openxmlformats.org/officeDocument/2006/relationships/hyperlink" Target="#'10 EVIDENCE &amp; DECISIONS'!A87" TargetMode="External" Id="rId26"/><Relationship Type="http://schemas.openxmlformats.org/officeDocument/2006/relationships/hyperlink" Target="#'10 EVIDENCE &amp; DECISIONS'!A136" TargetMode="External" Id="rId27"/><Relationship Type="http://schemas.openxmlformats.org/officeDocument/2006/relationships/hyperlink" Target="#'10 EVIDENCE &amp; DECISIONS'!A137" TargetMode="External" Id="rId28"/><Relationship Type="http://schemas.openxmlformats.org/officeDocument/2006/relationships/hyperlink" Target="#'10 EVIDENCE &amp; DECISIONS'!A138" TargetMode="External" Id="rId29"/><Relationship Type="http://schemas.openxmlformats.org/officeDocument/2006/relationships/hyperlink" Target="#'10 EVIDENCE &amp; DECISIONS'!A139" TargetMode="External" Id="rId30"/><Relationship Type="http://schemas.openxmlformats.org/officeDocument/2006/relationships/hyperlink" Target="#'10 EVIDENCE &amp; DECISIONS'!A88" TargetMode="External" Id="rId31"/><Relationship Type="http://schemas.openxmlformats.org/officeDocument/2006/relationships/hyperlink" Target="#'10 EVIDENCE &amp; DECISIONS'!A140" TargetMode="External" Id="rId32"/><Relationship Type="http://schemas.openxmlformats.org/officeDocument/2006/relationships/hyperlink" Target="#'10 EVIDENCE &amp; DECISIONS'!A141" TargetMode="External" Id="rId33"/><Relationship Type="http://schemas.openxmlformats.org/officeDocument/2006/relationships/hyperlink" Target="#'10 EVIDENCE &amp; DECISIONS'!A142" TargetMode="External" Id="rId34"/><Relationship Type="http://schemas.openxmlformats.org/officeDocument/2006/relationships/hyperlink" Target="#'10 EVIDENCE &amp; DECISIONS'!A143" TargetMode="External" Id="rId35"/><Relationship Type="http://schemas.openxmlformats.org/officeDocument/2006/relationships/hyperlink" Target="#'10 EVIDENCE &amp; DECISIONS'!A144" TargetMode="External" Id="rId36"/><Relationship Type="http://schemas.openxmlformats.org/officeDocument/2006/relationships/hyperlink" Target="#'10 EVIDENCE &amp; DECISIONS'!A23" TargetMode="External" Id="rId37"/><Relationship Type="http://schemas.openxmlformats.org/officeDocument/2006/relationships/hyperlink" Target="#'10 EVIDENCE &amp; DECISIONS'!A89" TargetMode="External" Id="rId38"/><Relationship Type="http://schemas.openxmlformats.org/officeDocument/2006/relationships/hyperlink" Target="#'10 EVIDENCE &amp; DECISIONS'!A145" TargetMode="External" Id="rId39"/><Relationship Type="http://schemas.openxmlformats.org/officeDocument/2006/relationships/hyperlink" Target="#'10 EVIDENCE &amp; DECISIONS'!A146" TargetMode="External" Id="rId40"/><Relationship Type="http://schemas.openxmlformats.org/officeDocument/2006/relationships/hyperlink" Target="#'10 EVIDENCE &amp; DECISIONS'!A147" TargetMode="External" Id="rId41"/><Relationship Type="http://schemas.openxmlformats.org/officeDocument/2006/relationships/hyperlink" Target="#'10 EVIDENCE &amp; DECISIONS'!A148" TargetMode="External" Id="rId42"/><Relationship Type="http://schemas.openxmlformats.org/officeDocument/2006/relationships/hyperlink" Target="#'10 EVIDENCE &amp; DECISIONS'!A149" TargetMode="External" Id="rId43"/><Relationship Type="http://schemas.openxmlformats.org/officeDocument/2006/relationships/hyperlink" Target="#'10 EVIDENCE &amp; DECISIONS'!A150" TargetMode="External" Id="rId44"/><Relationship Type="http://schemas.openxmlformats.org/officeDocument/2006/relationships/hyperlink" Target="#'10 EVIDENCE &amp; DECISIONS'!A151" TargetMode="External" Id="rId45"/><Relationship Type="http://schemas.openxmlformats.org/officeDocument/2006/relationships/hyperlink" Target="#'10 EVIDENCE &amp; DECISIONS'!A152" TargetMode="External" Id="rId46"/><Relationship Type="http://schemas.openxmlformats.org/officeDocument/2006/relationships/hyperlink" Target="#'10 EVIDENCE &amp; DECISIONS'!A153" TargetMode="External" Id="rId47"/><Relationship Type="http://schemas.openxmlformats.org/officeDocument/2006/relationships/hyperlink" Target="#'10 EVIDENCE &amp; DECISIONS'!A154" TargetMode="External" Id="rId48"/><Relationship Type="http://schemas.openxmlformats.org/officeDocument/2006/relationships/hyperlink" Target="#'10 EVIDENCE &amp; DECISIONS'!A90" TargetMode="External" Id="rId49"/><Relationship Type="http://schemas.openxmlformats.org/officeDocument/2006/relationships/hyperlink" Target="#'10 EVIDENCE &amp; DECISIONS'!A155" TargetMode="External" Id="rId50"/><Relationship Type="http://schemas.openxmlformats.org/officeDocument/2006/relationships/hyperlink" Target="#'10 EVIDENCE &amp; DECISIONS'!A156" TargetMode="External" Id="rId51"/><Relationship Type="http://schemas.openxmlformats.org/officeDocument/2006/relationships/hyperlink" Target="#'10 EVIDENCE &amp; DECISIONS'!A157" TargetMode="External" Id="rId52"/><Relationship Type="http://schemas.openxmlformats.org/officeDocument/2006/relationships/hyperlink" Target="#'10 EVIDENCE &amp; DECISIONS'!A158" TargetMode="External" Id="rId53"/><Relationship Type="http://schemas.openxmlformats.org/officeDocument/2006/relationships/hyperlink" Target="#'10 EVIDENCE &amp; DECISIONS'!A159" TargetMode="External" Id="rId54"/><Relationship Type="http://schemas.openxmlformats.org/officeDocument/2006/relationships/hyperlink" Target="#'10 EVIDENCE &amp; DECISIONS'!A91" TargetMode="External" Id="rId55"/><Relationship Type="http://schemas.openxmlformats.org/officeDocument/2006/relationships/hyperlink" Target="#'10 EVIDENCE &amp; DECISIONS'!A160" TargetMode="External" Id="rId56"/><Relationship Type="http://schemas.openxmlformats.org/officeDocument/2006/relationships/hyperlink" Target="#'10 EVIDENCE &amp; DECISIONS'!A161" TargetMode="External" Id="rId57"/><Relationship Type="http://schemas.openxmlformats.org/officeDocument/2006/relationships/hyperlink" Target="#'10 EVIDENCE &amp; DECISIONS'!A162" TargetMode="External" Id="rId58"/><Relationship Type="http://schemas.openxmlformats.org/officeDocument/2006/relationships/hyperlink" Target="#'10 EVIDENCE &amp; DECISIONS'!A163" TargetMode="External" Id="rId59"/><Relationship Type="http://schemas.openxmlformats.org/officeDocument/2006/relationships/hyperlink" Target="#'10 EVIDENCE &amp; DECISIONS'!A164" TargetMode="External" Id="rId60"/><Relationship Type="http://schemas.openxmlformats.org/officeDocument/2006/relationships/hyperlink" Target="#'10 EVIDENCE &amp; DECISIONS'!A165" TargetMode="External" Id="rId61"/><Relationship Type="http://schemas.openxmlformats.org/officeDocument/2006/relationships/hyperlink" Target="#'10 EVIDENCE &amp; DECISIONS'!A166" TargetMode="External" Id="rId62"/><Relationship Type="http://schemas.openxmlformats.org/officeDocument/2006/relationships/hyperlink" Target="#'10 EVIDENCE &amp; DECISIONS'!A167" TargetMode="External" Id="rId63"/><Relationship Type="http://schemas.openxmlformats.org/officeDocument/2006/relationships/hyperlink" Target="#'10 EVIDENCE &amp; DECISIONS'!A168" TargetMode="External" Id="rId64"/><Relationship Type="http://schemas.openxmlformats.org/officeDocument/2006/relationships/hyperlink" Target="#'10 EVIDENCE &amp; DECISIONS'!A169" TargetMode="External" Id="rId65"/><Relationship Type="http://schemas.openxmlformats.org/officeDocument/2006/relationships/hyperlink" Target="#'10 EVIDENCE &amp; DECISIONS'!A92" TargetMode="External" Id="rId66"/><Relationship Type="http://schemas.openxmlformats.org/officeDocument/2006/relationships/hyperlink" Target="#'10 EVIDENCE &amp; DECISIONS'!A170" TargetMode="External" Id="rId67"/><Relationship Type="http://schemas.openxmlformats.org/officeDocument/2006/relationships/hyperlink" Target="#'10 EVIDENCE &amp; DECISIONS'!A171" TargetMode="External" Id="rId68"/><Relationship Type="http://schemas.openxmlformats.org/officeDocument/2006/relationships/hyperlink" Target="#'10 EVIDENCE &amp; DECISIONS'!A172" TargetMode="External" Id="rId69"/><Relationship Type="http://schemas.openxmlformats.org/officeDocument/2006/relationships/hyperlink" Target="#'10 EVIDENCE &amp; DECISIONS'!A173" TargetMode="External" Id="rId70"/><Relationship Type="http://schemas.openxmlformats.org/officeDocument/2006/relationships/hyperlink" Target="#'10 EVIDENCE &amp; DECISIONS'!A174" TargetMode="External" Id="rId71"/><Relationship Type="http://schemas.openxmlformats.org/officeDocument/2006/relationships/hyperlink" Target="#'10 EVIDENCE &amp; DECISIONS'!A93" TargetMode="External" Id="rId72"/><Relationship Type="http://schemas.openxmlformats.org/officeDocument/2006/relationships/hyperlink" Target="#'10 EVIDENCE &amp; DECISIONS'!A175" TargetMode="External" Id="rId73"/><Relationship Type="http://schemas.openxmlformats.org/officeDocument/2006/relationships/hyperlink" Target="#'10 EVIDENCE &amp; DECISIONS'!A94" TargetMode="External" Id="rId74"/><Relationship Type="http://schemas.openxmlformats.org/officeDocument/2006/relationships/hyperlink" Target="#'10 EVIDENCE &amp; DECISIONS'!A95" TargetMode="External" Id="rId75"/><Relationship Type="http://schemas.openxmlformats.org/officeDocument/2006/relationships/hyperlink" Target="#'10 EVIDENCE &amp; DECISIONS'!A96" TargetMode="External" Id="rId76"/><Relationship Type="http://schemas.openxmlformats.org/officeDocument/2006/relationships/hyperlink" Target="#'10 EVIDENCE &amp; DECISIONS'!A97" TargetMode="External" Id="rId77"/><Relationship Type="http://schemas.openxmlformats.org/officeDocument/2006/relationships/hyperlink" Target="#'10 EVIDENCE &amp; DECISIONS'!A98" TargetMode="External" Id="rId78"/><Relationship Type="http://schemas.openxmlformats.org/officeDocument/2006/relationships/hyperlink" Target="#'10 EVIDENCE &amp; DECISIONS'!A99" TargetMode="External" Id="rId79"/><Relationship Type="http://schemas.openxmlformats.org/officeDocument/2006/relationships/hyperlink" Target="#'10 EVIDENCE &amp; DECISIONS'!A100" TargetMode="External" Id="rId80"/><Relationship Type="http://schemas.openxmlformats.org/officeDocument/2006/relationships/hyperlink" Target="#'10 EVIDENCE &amp; DECISIONS'!A101" TargetMode="External" Id="rId81"/><Relationship Type="http://schemas.openxmlformats.org/officeDocument/2006/relationships/hyperlink" Target="#'10 EVIDENCE &amp; DECISIONS'!A24" TargetMode="External" Id="rId82"/><Relationship Type="http://schemas.openxmlformats.org/officeDocument/2006/relationships/hyperlink" Target="#'10 EVIDENCE &amp; DECISIONS'!A102" TargetMode="External" Id="rId83"/><Relationship Type="http://schemas.openxmlformats.org/officeDocument/2006/relationships/hyperlink" Target="#'10 EVIDENCE &amp; DECISIONS'!A103" TargetMode="External" Id="rId84"/><Relationship Type="http://schemas.openxmlformats.org/officeDocument/2006/relationships/hyperlink" Target="#'10 EVIDENCE &amp; DECISIONS'!A104" TargetMode="External" Id="rId85"/><Relationship Type="http://schemas.openxmlformats.org/officeDocument/2006/relationships/hyperlink" Target="#'10 EVIDENCE &amp; DECISIONS'!A105" TargetMode="External" Id="rId86"/><Relationship Type="http://schemas.openxmlformats.org/officeDocument/2006/relationships/hyperlink" Target="#'10 EVIDENCE &amp; DECISIONS'!A106" TargetMode="External" Id="rId87"/><Relationship Type="http://schemas.openxmlformats.org/officeDocument/2006/relationships/hyperlink" Target="#'10 EVIDENCE &amp; DECISIONS'!A107" TargetMode="External" Id="rId88"/><Relationship Type="http://schemas.openxmlformats.org/officeDocument/2006/relationships/hyperlink" Target="#'10 EVIDENCE &amp; DECISIONS'!A108" TargetMode="External" Id="rId89"/><Relationship Type="http://schemas.openxmlformats.org/officeDocument/2006/relationships/hyperlink" Target="#'10 EVIDENCE &amp; DECISIONS'!A25" TargetMode="External" Id="rId90"/><Relationship Type="http://schemas.openxmlformats.org/officeDocument/2006/relationships/hyperlink" Target="#'10 EVIDENCE &amp; DECISIONS'!A109" TargetMode="External" Id="rId91"/><Relationship Type="http://schemas.openxmlformats.org/officeDocument/2006/relationships/hyperlink" Target="#'10 EVIDENCE &amp; DECISIONS'!A110" TargetMode="External" Id="rId92"/><Relationship Type="http://schemas.openxmlformats.org/officeDocument/2006/relationships/hyperlink" Target="#'10 EVIDENCE &amp; DECISIONS'!A111" TargetMode="External" Id="rId93"/><Relationship Type="http://schemas.openxmlformats.org/officeDocument/2006/relationships/hyperlink" Target="#'10 EVIDENCE &amp; DECISIONS'!A112" TargetMode="External" Id="rId94"/><Relationship Type="http://schemas.openxmlformats.org/officeDocument/2006/relationships/hyperlink" Target="#'10 EVIDENCE &amp; DECISIONS'!A113" TargetMode="External" Id="rId95"/><Relationship Type="http://schemas.openxmlformats.org/officeDocument/2006/relationships/hyperlink" Target="#'10 EVIDENCE &amp; DECISIONS'!A114" TargetMode="External" Id="rId96"/><Relationship Type="http://schemas.openxmlformats.org/officeDocument/2006/relationships/hyperlink" Target="#'10 EVIDENCE &amp; DECISIONS'!A115" TargetMode="External" Id="rId97"/><Relationship Type="http://schemas.openxmlformats.org/officeDocument/2006/relationships/hyperlink" Target="#'10 EVIDENCE &amp; DECISIONS'!A116" TargetMode="External" Id="rId98"/><Relationship Type="http://schemas.openxmlformats.org/officeDocument/2006/relationships/hyperlink" Target="#'10 EVIDENCE &amp; DECISIONS'!A117" TargetMode="External" Id="rId99"/><Relationship Type="http://schemas.openxmlformats.org/officeDocument/2006/relationships/hyperlink" Target="#'10 EVIDENCE &amp; DECISIONS'!A118" TargetMode="External" Id="rId100"/><Relationship Type="http://schemas.openxmlformats.org/officeDocument/2006/relationships/hyperlink" Target="#'10 EVIDENCE &amp; DECISIONS'!A119" TargetMode="External" Id="rId101"/><Relationship Type="http://schemas.openxmlformats.org/officeDocument/2006/relationships/hyperlink" Target="#'10 EVIDENCE &amp; DECISIONS'!A120" TargetMode="External" Id="rId102"/><Relationship Type="http://schemas.openxmlformats.org/officeDocument/2006/relationships/hyperlink" Target="#'10 EVIDENCE &amp; DECISIONS'!A121" TargetMode="External" Id="rId103"/><Relationship Type="http://schemas.openxmlformats.org/officeDocument/2006/relationships/hyperlink" Target="#'10 EVIDENCE &amp; DECISIONS'!A26" TargetMode="External" Id="rId104"/><Relationship Type="http://schemas.openxmlformats.org/officeDocument/2006/relationships/hyperlink" Target="#'10 EVIDENCE &amp; DECISIONS'!A122" TargetMode="External" Id="rId105"/><Relationship Type="http://schemas.openxmlformats.org/officeDocument/2006/relationships/hyperlink" Target="#'10 EVIDENCE &amp; DECISIONS'!A123" TargetMode="External" Id="rId106"/><Relationship Type="http://schemas.openxmlformats.org/officeDocument/2006/relationships/hyperlink" Target="#'10 EVIDENCE &amp; DECISIONS'!A124" TargetMode="External" Id="rId107"/><Relationship Type="http://schemas.openxmlformats.org/officeDocument/2006/relationships/hyperlink" Target="#'10 EVIDENCE &amp; DECISIONS'!A125" TargetMode="External" Id="rId108"/><Relationship Type="http://schemas.openxmlformats.org/officeDocument/2006/relationships/hyperlink" Target="#'10 EVIDENCE &amp; DECISIONS'!A126" TargetMode="External" Id="rId109"/><Relationship Type="http://schemas.openxmlformats.org/officeDocument/2006/relationships/hyperlink" Target="#'10 EVIDENCE &amp; DECISIONS'!A127" TargetMode="External" Id="rId110"/><Relationship Type="http://schemas.openxmlformats.org/officeDocument/2006/relationships/hyperlink" Target="#'10 EVIDENCE &amp; DECISIONS'!A128" TargetMode="External" Id="rId111"/><Relationship Type="http://schemas.openxmlformats.org/officeDocument/2006/relationships/hyperlink" Target="#'10 EVIDENCE &amp; DECISIONS'!A27" TargetMode="External" Id="rId112"/><Relationship Type="http://schemas.openxmlformats.org/officeDocument/2006/relationships/hyperlink" Target="#'10 EVIDENCE &amp; DECISIONS'!A129" TargetMode="External" Id="rId113"/><Relationship Type="http://schemas.openxmlformats.org/officeDocument/2006/relationships/hyperlink" Target="#'10 EVIDENCE &amp; DECISIONS'!A130" TargetMode="External" Id="rId114"/><Relationship Type="http://schemas.openxmlformats.org/officeDocument/2006/relationships/hyperlink" Target="#'10 EVIDENCE &amp; DECISIONS'!A131" TargetMode="External" Id="rId115"/><Relationship Type="http://schemas.openxmlformats.org/officeDocument/2006/relationships/hyperlink" Target="#'10 EVIDENCE &amp; DECISIONS'!A132" TargetMode="External" Id="rId116"/><Relationship Type="http://schemas.openxmlformats.org/officeDocument/2006/relationships/hyperlink" Target="#'10 EVIDENCE &amp; DECISIONS'!A133" TargetMode="External" Id="rId117"/><Relationship Type="http://schemas.openxmlformats.org/officeDocument/2006/relationships/hyperlink" Target="#'10 EVIDENCE &amp; DECISIONS'!A134" TargetMode="External" Id="rId118"/><Relationship Type="http://schemas.openxmlformats.org/officeDocument/2006/relationships/hyperlink" Target="#'10 EVIDENCE &amp; DECISIONS'!A135" TargetMode="External" Id="rId119"/><Relationship Type="http://schemas.openxmlformats.org/officeDocument/2006/relationships/hyperlink" Target="#'10 EVIDENCE &amp; DECISIONS'!A28" TargetMode="External" Id="rId120"/><Relationship Type="http://schemas.openxmlformats.org/officeDocument/2006/relationships/hyperlink" Target="#'10 EVIDENCE &amp; DECISIONS'!A17" TargetMode="External" Id="rId121"/><Relationship Type="http://schemas.openxmlformats.org/officeDocument/2006/relationships/hyperlink" Target="#'10 EVIDENCE &amp; DECISIONS'!A29" TargetMode="External" Id="rId122"/><Relationship Type="http://schemas.openxmlformats.org/officeDocument/2006/relationships/hyperlink" Target="#'10 EVIDENCE &amp; DECISIONS'!A30" TargetMode="External" Id="rId123"/><Relationship Type="http://schemas.openxmlformats.org/officeDocument/2006/relationships/hyperlink" Target="#'10 EVIDENCE &amp; DECISIONS'!A31" TargetMode="External" Id="rId124"/><Relationship Type="http://schemas.openxmlformats.org/officeDocument/2006/relationships/hyperlink" Target="#'10 EVIDENCE &amp; DECISIONS'!A32" TargetMode="External" Id="rId125"/><Relationship Type="http://schemas.openxmlformats.org/officeDocument/2006/relationships/hyperlink" Target="#'10 EVIDENCE &amp; DECISIONS'!A33" TargetMode="External" Id="rId126"/><Relationship Type="http://schemas.openxmlformats.org/officeDocument/2006/relationships/hyperlink" Target="#'10 EVIDENCE &amp; DECISIONS'!A34" TargetMode="External" Id="rId127"/><Relationship Type="http://schemas.openxmlformats.org/officeDocument/2006/relationships/hyperlink" Target="#'10 EVIDENCE &amp; DECISIONS'!A35" TargetMode="External" Id="rId128"/><Relationship Type="http://schemas.openxmlformats.org/officeDocument/2006/relationships/hyperlink" Target="#'10 EVIDENCE &amp; DECISIONS'!A36" TargetMode="External" Id="rId129"/><Relationship Type="http://schemas.openxmlformats.org/officeDocument/2006/relationships/hyperlink" Target="#'10 EVIDENCE &amp; DECISIONS'!A37" TargetMode="External" Id="rId130"/><Relationship Type="http://schemas.openxmlformats.org/officeDocument/2006/relationships/hyperlink" Target="#'10 EVIDENCE &amp; DECISIONS'!A38" TargetMode="External" Id="rId131"/><Relationship Type="http://schemas.openxmlformats.org/officeDocument/2006/relationships/hyperlink" Target="#'10 EVIDENCE &amp; DECISIONS'!A39" TargetMode="External" Id="rId132"/><Relationship Type="http://schemas.openxmlformats.org/officeDocument/2006/relationships/hyperlink" Target="#'10 EVIDENCE &amp; DECISIONS'!A40" TargetMode="External" Id="rId133"/><Relationship Type="http://schemas.openxmlformats.org/officeDocument/2006/relationships/hyperlink" Target="#'10 EVIDENCE &amp; DECISIONS'!A41" TargetMode="External" Id="rId134"/><Relationship Type="http://schemas.openxmlformats.org/officeDocument/2006/relationships/hyperlink" Target="#'10 EVIDENCE &amp; DECISIONS'!A18" TargetMode="External" Id="rId135"/><Relationship Type="http://schemas.openxmlformats.org/officeDocument/2006/relationships/hyperlink" Target="#'10 EVIDENCE &amp; DECISIONS'!A42" TargetMode="External" Id="rId136"/><Relationship Type="http://schemas.openxmlformats.org/officeDocument/2006/relationships/hyperlink" Target="#'10 EVIDENCE &amp; DECISIONS'!A43" TargetMode="External" Id="rId137"/><Relationship Type="http://schemas.openxmlformats.org/officeDocument/2006/relationships/hyperlink" Target="#'10 EVIDENCE &amp; DECISIONS'!A44" TargetMode="External" Id="rId138"/><Relationship Type="http://schemas.openxmlformats.org/officeDocument/2006/relationships/hyperlink" Target="#'10 EVIDENCE &amp; DECISIONS'!A45" TargetMode="External" Id="rId139"/><Relationship Type="http://schemas.openxmlformats.org/officeDocument/2006/relationships/hyperlink" Target="#'10 EVIDENCE &amp; DECISIONS'!A46" TargetMode="External" Id="rId140"/><Relationship Type="http://schemas.openxmlformats.org/officeDocument/2006/relationships/hyperlink" Target="#'10 EVIDENCE &amp; DECISIONS'!A47" TargetMode="External" Id="rId141"/><Relationship Type="http://schemas.openxmlformats.org/officeDocument/2006/relationships/hyperlink" Target="#'10 EVIDENCE &amp; DECISIONS'!A48" TargetMode="External" Id="rId142"/><Relationship Type="http://schemas.openxmlformats.org/officeDocument/2006/relationships/hyperlink" Target="#'10 EVIDENCE &amp; DECISIONS'!A19" TargetMode="External" Id="rId143"/><Relationship Type="http://schemas.openxmlformats.org/officeDocument/2006/relationships/hyperlink" Target="#'10 EVIDENCE &amp; DECISIONS'!A49" TargetMode="External" Id="rId144"/><Relationship Type="http://schemas.openxmlformats.org/officeDocument/2006/relationships/hyperlink" Target="#'10 EVIDENCE &amp; DECISIONS'!A50" TargetMode="External" Id="rId145"/><Relationship Type="http://schemas.openxmlformats.org/officeDocument/2006/relationships/hyperlink" Target="#'10 EVIDENCE &amp; DECISIONS'!A51" TargetMode="External" Id="rId146"/><Relationship Type="http://schemas.openxmlformats.org/officeDocument/2006/relationships/hyperlink" Target="#'10 EVIDENCE &amp; DECISIONS'!A52" TargetMode="External" Id="rId147"/><Relationship Type="http://schemas.openxmlformats.org/officeDocument/2006/relationships/hyperlink" Target="#'10 EVIDENCE &amp; DECISIONS'!A53" TargetMode="External" Id="rId148"/><Relationship Type="http://schemas.openxmlformats.org/officeDocument/2006/relationships/hyperlink" Target="#'10 EVIDENCE &amp; DECISIONS'!A54" TargetMode="External" Id="rId149"/><Relationship Type="http://schemas.openxmlformats.org/officeDocument/2006/relationships/hyperlink" Target="#'10 EVIDENCE &amp; DECISIONS'!A55" TargetMode="External" Id="rId150"/><Relationship Type="http://schemas.openxmlformats.org/officeDocument/2006/relationships/hyperlink" Target="#'10 EVIDENCE &amp; DECISIONS'!A56" TargetMode="External" Id="rId151"/><Relationship Type="http://schemas.openxmlformats.org/officeDocument/2006/relationships/hyperlink" Target="#'10 EVIDENCE &amp; DECISIONS'!A57" TargetMode="External" Id="rId152"/><Relationship Type="http://schemas.openxmlformats.org/officeDocument/2006/relationships/hyperlink" Target="#'10 EVIDENCE &amp; DECISIONS'!A58" TargetMode="External" Id="rId153"/><Relationship Type="http://schemas.openxmlformats.org/officeDocument/2006/relationships/hyperlink" Target="#'10 EVIDENCE &amp; DECISIONS'!A59" TargetMode="External" Id="rId154"/><Relationship Type="http://schemas.openxmlformats.org/officeDocument/2006/relationships/hyperlink" Target="#'10 EVIDENCE &amp; DECISIONS'!A60" TargetMode="External" Id="rId155"/><Relationship Type="http://schemas.openxmlformats.org/officeDocument/2006/relationships/hyperlink" Target="#'10 EVIDENCE &amp; DECISIONS'!A61" TargetMode="External" Id="rId156"/><Relationship Type="http://schemas.openxmlformats.org/officeDocument/2006/relationships/hyperlink" Target="#'10 EVIDENCE &amp; DECISIONS'!A20" TargetMode="External" Id="rId157"/><Relationship Type="http://schemas.openxmlformats.org/officeDocument/2006/relationships/hyperlink" Target="#'10 EVIDENCE &amp; DECISIONS'!A62" TargetMode="External" Id="rId158"/><Relationship Type="http://schemas.openxmlformats.org/officeDocument/2006/relationships/hyperlink" Target="#'10 EVIDENCE &amp; DECISIONS'!A63" TargetMode="External" Id="rId159"/><Relationship Type="http://schemas.openxmlformats.org/officeDocument/2006/relationships/hyperlink" Target="#'10 EVIDENCE &amp; DECISIONS'!A64" TargetMode="External" Id="rId160"/><Relationship Type="http://schemas.openxmlformats.org/officeDocument/2006/relationships/hyperlink" Target="#'10 EVIDENCE &amp; DECISIONS'!A65" TargetMode="External" Id="rId161"/><Relationship Type="http://schemas.openxmlformats.org/officeDocument/2006/relationships/hyperlink" Target="#'10 EVIDENCE &amp; DECISIONS'!A66" TargetMode="External" Id="rId162"/><Relationship Type="http://schemas.openxmlformats.org/officeDocument/2006/relationships/hyperlink" Target="#'10 EVIDENCE &amp; DECISIONS'!A67" TargetMode="External" Id="rId163"/><Relationship Type="http://schemas.openxmlformats.org/officeDocument/2006/relationships/hyperlink" Target="#'10 EVIDENCE &amp; DECISIONS'!A68" TargetMode="External" Id="rId164"/><Relationship Type="http://schemas.openxmlformats.org/officeDocument/2006/relationships/hyperlink" Target="#'10 EVIDENCE &amp; DECISIONS'!A21" TargetMode="External" Id="rId165"/><Relationship Type="http://schemas.openxmlformats.org/officeDocument/2006/relationships/hyperlink" Target="#'10 EVIDENCE &amp; DECISIONS'!A69" TargetMode="External" Id="rId166"/><Relationship Type="http://schemas.openxmlformats.org/officeDocument/2006/relationships/hyperlink" Target="#'10 EVIDENCE &amp; DECISIONS'!A70" TargetMode="External" Id="rId167"/><Relationship Type="http://schemas.openxmlformats.org/officeDocument/2006/relationships/hyperlink" Target="#'10 EVIDENCE &amp; DECISIONS'!A71" TargetMode="External" Id="rId168"/><Relationship Type="http://schemas.openxmlformats.org/officeDocument/2006/relationships/hyperlink" Target="#'10 EVIDENCE &amp; DECISIONS'!A72" TargetMode="External" Id="rId169"/><Relationship Type="http://schemas.openxmlformats.org/officeDocument/2006/relationships/hyperlink" Target="#'10 EVIDENCE &amp; DECISIONS'!A73" TargetMode="External" Id="rId170"/><Relationship Type="http://schemas.openxmlformats.org/officeDocument/2006/relationships/hyperlink" Target="#'10 EVIDENCE &amp; DECISIONS'!A74" TargetMode="External" Id="rId171"/><Relationship Type="http://schemas.openxmlformats.org/officeDocument/2006/relationships/hyperlink" Target="#'10 EVIDENCE &amp; DECISIONS'!A75" TargetMode="External" Id="rId172"/><Relationship Type="http://schemas.openxmlformats.org/officeDocument/2006/relationships/hyperlink" Target="#'10 EVIDENCE &amp; DECISIONS'!A76" TargetMode="External" Id="rId173"/><Relationship Type="http://schemas.openxmlformats.org/officeDocument/2006/relationships/hyperlink" Target="#'10 EVIDENCE &amp; DECISIONS'!A77" TargetMode="External" Id="rId174"/><Relationship Type="http://schemas.openxmlformats.org/officeDocument/2006/relationships/hyperlink" Target="#'10 EVIDENCE &amp; DECISIONS'!A78" TargetMode="External" Id="rId175"/><Relationship Type="http://schemas.openxmlformats.org/officeDocument/2006/relationships/hyperlink" Target="#'10 EVIDENCE &amp; DECISIONS'!A79" TargetMode="External" Id="rId176"/><Relationship Type="http://schemas.openxmlformats.org/officeDocument/2006/relationships/hyperlink" Target="#'10 EVIDENCE &amp; DECISIONS'!A80" TargetMode="External" Id="rId177"/><Relationship Type="http://schemas.openxmlformats.org/officeDocument/2006/relationships/hyperlink" Target="#'10 EVIDENCE &amp; DECISIONS'!A81" TargetMode="External" Id="rId178"/><Relationship Type="http://schemas.openxmlformats.org/officeDocument/2006/relationships/hyperlink" Target="#'10 EVIDENCE &amp; DECISIONS'!A209" TargetMode="External" Id="rId179"/><Relationship Type="http://schemas.openxmlformats.org/officeDocument/2006/relationships/hyperlink" Target="#'10 EVIDENCE &amp; DECISIONS'!A210" TargetMode="External" Id="rId180"/><Relationship Type="http://schemas.openxmlformats.org/officeDocument/2006/relationships/hyperlink" Target="#'10 EVIDENCE &amp; DECISIONS'!A211" TargetMode="External" Id="rId181"/><Relationship Type="http://schemas.openxmlformats.org/officeDocument/2006/relationships/hyperlink" Target="#'10 EVIDENCE &amp; DECISIONS'!A236" TargetMode="External" Id="rId182"/><Relationship Type="http://schemas.openxmlformats.org/officeDocument/2006/relationships/hyperlink" Target="#'10 EVIDENCE &amp; DECISIONS'!A237" TargetMode="External" Id="rId183"/><Relationship Type="http://schemas.openxmlformats.org/officeDocument/2006/relationships/hyperlink" Target="#'10 EVIDENCE &amp; DECISIONS'!A238" TargetMode="External" Id="rId184"/><Relationship Type="http://schemas.openxmlformats.org/officeDocument/2006/relationships/hyperlink" Target="#'10 EVIDENCE &amp; DECISIONS'!A239" TargetMode="External" Id="rId185"/><Relationship Type="http://schemas.openxmlformats.org/officeDocument/2006/relationships/hyperlink" Target="#'10 EVIDENCE &amp; DECISIONS'!A240" TargetMode="External" Id="rId186"/><Relationship Type="http://schemas.openxmlformats.org/officeDocument/2006/relationships/hyperlink" Target="#'10 EVIDENCE &amp; DECISIONS'!A241" TargetMode="External" Id="rId187"/><Relationship Type="http://schemas.openxmlformats.org/officeDocument/2006/relationships/hyperlink" Target="#'10 EVIDENCE &amp; DECISIONS'!A242" TargetMode="External" Id="rId188"/><Relationship Type="http://schemas.openxmlformats.org/officeDocument/2006/relationships/hyperlink" Target="#'10 EVIDENCE &amp; DECISIONS'!A243" TargetMode="External" Id="rId189"/><Relationship Type="http://schemas.openxmlformats.org/officeDocument/2006/relationships/hyperlink" Target="#'10 EVIDENCE &amp; DECISIONS'!A244" TargetMode="External" Id="rId190"/><Relationship Type="http://schemas.openxmlformats.org/officeDocument/2006/relationships/hyperlink" Target="#'10 EVIDENCE &amp; DECISIONS'!A245" TargetMode="External" Id="rId191"/><Relationship Type="http://schemas.openxmlformats.org/officeDocument/2006/relationships/hyperlink" Target="#'10 EVIDENCE &amp; DECISIONS'!A246" TargetMode="External" Id="rId192"/><Relationship Type="http://schemas.openxmlformats.org/officeDocument/2006/relationships/hyperlink" Target="#'10 EVIDENCE &amp; DECISIONS'!A247" TargetMode="External" Id="rId193"/><Relationship Type="http://schemas.openxmlformats.org/officeDocument/2006/relationships/hyperlink" Target="#'10 EVIDENCE &amp; DECISIONS'!A248" TargetMode="External" Id="rId194"/><Relationship Type="http://schemas.openxmlformats.org/officeDocument/2006/relationships/hyperlink" Target="#'10 EVIDENCE &amp; DECISIONS'!A212" TargetMode="External" Id="rId195"/><Relationship Type="http://schemas.openxmlformats.org/officeDocument/2006/relationships/hyperlink" Target="#'10 EVIDENCE &amp; DECISIONS'!A249" TargetMode="External" Id="rId196"/><Relationship Type="http://schemas.openxmlformats.org/officeDocument/2006/relationships/hyperlink" Target="#'10 EVIDENCE &amp; DECISIONS'!A250" TargetMode="External" Id="rId197"/><Relationship Type="http://schemas.openxmlformats.org/officeDocument/2006/relationships/hyperlink" Target="#'10 EVIDENCE &amp; DECISIONS'!A251" TargetMode="External" Id="rId198"/><Relationship Type="http://schemas.openxmlformats.org/officeDocument/2006/relationships/hyperlink" Target="#'10 EVIDENCE &amp; DECISIONS'!A252" TargetMode="External" Id="rId199"/><Relationship Type="http://schemas.openxmlformats.org/officeDocument/2006/relationships/hyperlink" Target="#'10 EVIDENCE &amp; DECISIONS'!A253" TargetMode="External" Id="rId200"/><Relationship Type="http://schemas.openxmlformats.org/officeDocument/2006/relationships/hyperlink" Target="#'10 EVIDENCE &amp; DECISIONS'!A254" TargetMode="External" Id="rId201"/><Relationship Type="http://schemas.openxmlformats.org/officeDocument/2006/relationships/hyperlink" Target="#'10 EVIDENCE &amp; DECISIONS'!A255" TargetMode="External" Id="rId202"/><Relationship Type="http://schemas.openxmlformats.org/officeDocument/2006/relationships/hyperlink" Target="#'10 EVIDENCE &amp; DECISIONS'!A256" TargetMode="External" Id="rId203"/><Relationship Type="http://schemas.openxmlformats.org/officeDocument/2006/relationships/hyperlink" Target="#'10 EVIDENCE &amp; DECISIONS'!A257" TargetMode="External" Id="rId204"/><Relationship Type="http://schemas.openxmlformats.org/officeDocument/2006/relationships/hyperlink" Target="#'10 EVIDENCE &amp; DECISIONS'!A258" TargetMode="External" Id="rId205"/><Relationship Type="http://schemas.openxmlformats.org/officeDocument/2006/relationships/hyperlink" Target="#'10 EVIDENCE &amp; DECISIONS'!A259" TargetMode="External" Id="rId206"/><Relationship Type="http://schemas.openxmlformats.org/officeDocument/2006/relationships/hyperlink" Target="#'10 EVIDENCE &amp; DECISIONS'!A260" TargetMode="External" Id="rId207"/><Relationship Type="http://schemas.openxmlformats.org/officeDocument/2006/relationships/hyperlink" Target="#'10 EVIDENCE &amp; DECISIONS'!A261" TargetMode="External" Id="rId208"/><Relationship Type="http://schemas.openxmlformats.org/officeDocument/2006/relationships/hyperlink" Target="#'10 EVIDENCE &amp; DECISIONS'!A262" TargetMode="External" Id="rId209"/><Relationship Type="http://schemas.openxmlformats.org/officeDocument/2006/relationships/hyperlink" Target="#'10 EVIDENCE &amp; DECISIONS'!A263" TargetMode="External" Id="rId210"/><Relationship Type="http://schemas.openxmlformats.org/officeDocument/2006/relationships/hyperlink" Target="#'10 EVIDENCE &amp; DECISIONS'!A213" TargetMode="External" Id="rId211"/><Relationship Type="http://schemas.openxmlformats.org/officeDocument/2006/relationships/hyperlink" Target="#'10 EVIDENCE &amp; DECISIONS'!A264" TargetMode="External" Id="rId212"/><Relationship Type="http://schemas.openxmlformats.org/officeDocument/2006/relationships/hyperlink" Target="#'10 EVIDENCE &amp; DECISIONS'!A265" TargetMode="External" Id="rId213"/><Relationship Type="http://schemas.openxmlformats.org/officeDocument/2006/relationships/hyperlink" Target="#'10 EVIDENCE &amp; DECISIONS'!A266" TargetMode="External" Id="rId214"/><Relationship Type="http://schemas.openxmlformats.org/officeDocument/2006/relationships/hyperlink" Target="#'10 EVIDENCE &amp; DECISIONS'!A267" TargetMode="External" Id="rId215"/><Relationship Type="http://schemas.openxmlformats.org/officeDocument/2006/relationships/hyperlink" Target="#'10 EVIDENCE &amp; DECISIONS'!A268" TargetMode="External" Id="rId216"/><Relationship Type="http://schemas.openxmlformats.org/officeDocument/2006/relationships/hyperlink" Target="#'10 EVIDENCE &amp; DECISIONS'!A269" TargetMode="External" Id="rId217"/><Relationship Type="http://schemas.openxmlformats.org/officeDocument/2006/relationships/hyperlink" Target="#'10 EVIDENCE &amp; DECISIONS'!A270" TargetMode="External" Id="rId218"/><Relationship Type="http://schemas.openxmlformats.org/officeDocument/2006/relationships/hyperlink" Target="#'10 EVIDENCE &amp; DECISIONS'!A271" TargetMode="External" Id="rId219"/><Relationship Type="http://schemas.openxmlformats.org/officeDocument/2006/relationships/hyperlink" Target="#'10 EVIDENCE &amp; DECISIONS'!A272" TargetMode="External" Id="rId220"/><Relationship Type="http://schemas.openxmlformats.org/officeDocument/2006/relationships/hyperlink" Target="#'10 EVIDENCE &amp; DECISIONS'!A273" TargetMode="External" Id="rId221"/><Relationship Type="http://schemas.openxmlformats.org/officeDocument/2006/relationships/hyperlink" Target="#'10 EVIDENCE &amp; DECISIONS'!A274" TargetMode="External" Id="rId222"/><Relationship Type="http://schemas.openxmlformats.org/officeDocument/2006/relationships/hyperlink" Target="#'10 EVIDENCE &amp; DECISIONS'!A275" TargetMode="External" Id="rId223"/><Relationship Type="http://schemas.openxmlformats.org/officeDocument/2006/relationships/hyperlink" Target="#'10 EVIDENCE &amp; DECISIONS'!A214" TargetMode="External" Id="rId224"/><Relationship Type="http://schemas.openxmlformats.org/officeDocument/2006/relationships/hyperlink" Target="#'10 EVIDENCE &amp; DECISIONS'!A179" TargetMode="External" Id="rId225"/><Relationship Type="http://schemas.openxmlformats.org/officeDocument/2006/relationships/hyperlink" Target="#'10 EVIDENCE &amp; DECISIONS'!A215" TargetMode="External" Id="rId226"/><Relationship Type="http://schemas.openxmlformats.org/officeDocument/2006/relationships/hyperlink" Target="#'10 EVIDENCE &amp; DECISIONS'!A216" TargetMode="External" Id="rId227"/><Relationship Type="http://schemas.openxmlformats.org/officeDocument/2006/relationships/hyperlink" Target="#'10 EVIDENCE &amp; DECISIONS'!A217" TargetMode="External" Id="rId228"/><Relationship Type="http://schemas.openxmlformats.org/officeDocument/2006/relationships/hyperlink" Target="#'10 EVIDENCE &amp; DECISIONS'!A218" TargetMode="External" Id="rId229"/><Relationship Type="http://schemas.openxmlformats.org/officeDocument/2006/relationships/hyperlink" Target="#'10 EVIDENCE &amp; DECISIONS'!A219" TargetMode="External" Id="rId230"/><Relationship Type="http://schemas.openxmlformats.org/officeDocument/2006/relationships/hyperlink" Target="#'10 EVIDENCE &amp; DECISIONS'!A220" TargetMode="External" Id="rId231"/><Relationship Type="http://schemas.openxmlformats.org/officeDocument/2006/relationships/hyperlink" Target="#'10 EVIDENCE &amp; DECISIONS'!A221" TargetMode="External" Id="rId232"/><Relationship Type="http://schemas.openxmlformats.org/officeDocument/2006/relationships/hyperlink" Target="#'10 EVIDENCE &amp; DECISIONS'!A222" TargetMode="External" Id="rId233"/><Relationship Type="http://schemas.openxmlformats.org/officeDocument/2006/relationships/hyperlink" Target="#'10 EVIDENCE &amp; DECISIONS'!A223" TargetMode="External" Id="rId234"/><Relationship Type="http://schemas.openxmlformats.org/officeDocument/2006/relationships/hyperlink" Target="#'10 EVIDENCE &amp; DECISIONS'!A224" TargetMode="External" Id="rId235"/><Relationship Type="http://schemas.openxmlformats.org/officeDocument/2006/relationships/hyperlink" Target="#'10 EVIDENCE &amp; DECISIONS'!A180" TargetMode="External" Id="rId236"/><Relationship Type="http://schemas.openxmlformats.org/officeDocument/2006/relationships/hyperlink" Target="#'10 EVIDENCE &amp; DECISIONS'!A225" TargetMode="External" Id="rId237"/><Relationship Type="http://schemas.openxmlformats.org/officeDocument/2006/relationships/hyperlink" Target="#'10 EVIDENCE &amp; DECISIONS'!A226" TargetMode="External" Id="rId238"/><Relationship Type="http://schemas.openxmlformats.org/officeDocument/2006/relationships/hyperlink" Target="#'10 EVIDENCE &amp; DECISIONS'!A227" TargetMode="External" Id="rId239"/><Relationship Type="http://schemas.openxmlformats.org/officeDocument/2006/relationships/hyperlink" Target="#'10 EVIDENCE &amp; DECISIONS'!A228" TargetMode="External" Id="rId240"/><Relationship Type="http://schemas.openxmlformats.org/officeDocument/2006/relationships/hyperlink" Target="#'10 EVIDENCE &amp; DECISIONS'!A229" TargetMode="External" Id="rId241"/><Relationship Type="http://schemas.openxmlformats.org/officeDocument/2006/relationships/hyperlink" Target="#'10 EVIDENCE &amp; DECISIONS'!A230" TargetMode="External" Id="rId242"/><Relationship Type="http://schemas.openxmlformats.org/officeDocument/2006/relationships/hyperlink" Target="#'10 EVIDENCE &amp; DECISIONS'!A231" TargetMode="External" Id="rId243"/><Relationship Type="http://schemas.openxmlformats.org/officeDocument/2006/relationships/hyperlink" Target="#'10 EVIDENCE &amp; DECISIONS'!A232" TargetMode="External" Id="rId244"/><Relationship Type="http://schemas.openxmlformats.org/officeDocument/2006/relationships/hyperlink" Target="#'10 EVIDENCE &amp; DECISIONS'!A233" TargetMode="External" Id="rId245"/><Relationship Type="http://schemas.openxmlformats.org/officeDocument/2006/relationships/hyperlink" Target="#'10 EVIDENCE &amp; DECISIONS'!A234" TargetMode="External" Id="rId246"/><Relationship Type="http://schemas.openxmlformats.org/officeDocument/2006/relationships/hyperlink" Target="#'10 EVIDENCE &amp; DECISIONS'!A181" TargetMode="External" Id="rId247"/><Relationship Type="http://schemas.openxmlformats.org/officeDocument/2006/relationships/hyperlink" Target="#'10 EVIDENCE &amp; DECISIONS'!A235" TargetMode="External" Id="rId248"/><Relationship Type="http://schemas.openxmlformats.org/officeDocument/2006/relationships/hyperlink" Target="#'10 EVIDENCE &amp; DECISIONS'!A182" TargetMode="External" Id="rId249"/><Relationship Type="http://schemas.openxmlformats.org/officeDocument/2006/relationships/hyperlink" Target="#'10 EVIDENCE &amp; DECISIONS'!A183" TargetMode="External" Id="rId250"/><Relationship Type="http://schemas.openxmlformats.org/officeDocument/2006/relationships/hyperlink" Target="#'10 EVIDENCE &amp; DECISIONS'!A184" TargetMode="External" Id="rId251"/><Relationship Type="http://schemas.openxmlformats.org/officeDocument/2006/relationships/hyperlink" Target="#'10 EVIDENCE &amp; DECISIONS'!A176" TargetMode="External" Id="rId252"/><Relationship Type="http://schemas.openxmlformats.org/officeDocument/2006/relationships/hyperlink" Target="#'10 EVIDENCE &amp; DECISIONS'!A185" TargetMode="External" Id="rId253"/><Relationship Type="http://schemas.openxmlformats.org/officeDocument/2006/relationships/hyperlink" Target="#'10 EVIDENCE &amp; DECISIONS'!A186" TargetMode="External" Id="rId254"/><Relationship Type="http://schemas.openxmlformats.org/officeDocument/2006/relationships/hyperlink" Target="#'10 EVIDENCE &amp; DECISIONS'!A187" TargetMode="External" Id="rId255"/><Relationship Type="http://schemas.openxmlformats.org/officeDocument/2006/relationships/hyperlink" Target="#'10 EVIDENCE &amp; DECISIONS'!A188" TargetMode="External" Id="rId256"/><Relationship Type="http://schemas.openxmlformats.org/officeDocument/2006/relationships/hyperlink" Target="#'10 EVIDENCE &amp; DECISIONS'!A189" TargetMode="External" Id="rId257"/><Relationship Type="http://schemas.openxmlformats.org/officeDocument/2006/relationships/hyperlink" Target="#'10 EVIDENCE &amp; DECISIONS'!A190" TargetMode="External" Id="rId258"/><Relationship Type="http://schemas.openxmlformats.org/officeDocument/2006/relationships/hyperlink" Target="#'10 EVIDENCE &amp; DECISIONS'!A191" TargetMode="External" Id="rId259"/><Relationship Type="http://schemas.openxmlformats.org/officeDocument/2006/relationships/hyperlink" Target="#'10 EVIDENCE &amp; DECISIONS'!A192" TargetMode="External" Id="rId260"/><Relationship Type="http://schemas.openxmlformats.org/officeDocument/2006/relationships/hyperlink" Target="#'10 EVIDENCE &amp; DECISIONS'!A193" TargetMode="External" Id="rId261"/><Relationship Type="http://schemas.openxmlformats.org/officeDocument/2006/relationships/hyperlink" Target="#'10 EVIDENCE &amp; DECISIONS'!A194" TargetMode="External" Id="rId262"/><Relationship Type="http://schemas.openxmlformats.org/officeDocument/2006/relationships/hyperlink" Target="#'10 EVIDENCE &amp; DECISIONS'!A177" TargetMode="External" Id="rId263"/><Relationship Type="http://schemas.openxmlformats.org/officeDocument/2006/relationships/hyperlink" Target="#'10 EVIDENCE &amp; DECISIONS'!A195" TargetMode="External" Id="rId264"/><Relationship Type="http://schemas.openxmlformats.org/officeDocument/2006/relationships/hyperlink" Target="#'10 EVIDENCE &amp; DECISIONS'!A196" TargetMode="External" Id="rId265"/><Relationship Type="http://schemas.openxmlformats.org/officeDocument/2006/relationships/hyperlink" Target="#'10 EVIDENCE &amp; DECISIONS'!A197" TargetMode="External" Id="rId266"/><Relationship Type="http://schemas.openxmlformats.org/officeDocument/2006/relationships/hyperlink" Target="#'10 EVIDENCE &amp; DECISIONS'!A198" TargetMode="External" Id="rId267"/><Relationship Type="http://schemas.openxmlformats.org/officeDocument/2006/relationships/hyperlink" Target="#'10 EVIDENCE &amp; DECISIONS'!A199" TargetMode="External" Id="rId268"/><Relationship Type="http://schemas.openxmlformats.org/officeDocument/2006/relationships/hyperlink" Target="#'10 EVIDENCE &amp; DECISIONS'!A200" TargetMode="External" Id="rId269"/><Relationship Type="http://schemas.openxmlformats.org/officeDocument/2006/relationships/hyperlink" Target="#'10 EVIDENCE &amp; DECISIONS'!A201" TargetMode="External" Id="rId270"/><Relationship Type="http://schemas.openxmlformats.org/officeDocument/2006/relationships/hyperlink" Target="#'10 EVIDENCE &amp; DECISIONS'!A202" TargetMode="External" Id="rId271"/><Relationship Type="http://schemas.openxmlformats.org/officeDocument/2006/relationships/hyperlink" Target="#'10 EVIDENCE &amp; DECISIONS'!A203" TargetMode="External" Id="rId272"/><Relationship Type="http://schemas.openxmlformats.org/officeDocument/2006/relationships/hyperlink" Target="#'10 EVIDENCE &amp; DECISIONS'!A204" TargetMode="External" Id="rId273"/><Relationship Type="http://schemas.openxmlformats.org/officeDocument/2006/relationships/hyperlink" Target="#'10 EVIDENCE &amp; DECISIONS'!A178" TargetMode="External" Id="rId274"/><Relationship Type="http://schemas.openxmlformats.org/officeDocument/2006/relationships/hyperlink" Target="#'10 EVIDENCE &amp; DECISIONS'!A205" TargetMode="External" Id="rId275"/><Relationship Type="http://schemas.openxmlformats.org/officeDocument/2006/relationships/hyperlink" Target="#'10 EVIDENCE &amp; DECISIONS'!A206" TargetMode="External" Id="rId276"/><Relationship Type="http://schemas.openxmlformats.org/officeDocument/2006/relationships/hyperlink" Target="#'10 EVIDENCE &amp; DECISIONS'!A207" TargetMode="External" Id="rId277"/><Relationship Type="http://schemas.openxmlformats.org/officeDocument/2006/relationships/hyperlink" Target="#'10 EVIDENCE &amp; DECISIONS'!A208" TargetMode="External" Id="rId278"/><Relationship Type="http://schemas.openxmlformats.org/officeDocument/2006/relationships/hyperlink" Target="#'10 EVIDENCE &amp; DECISIONS'!A277" TargetMode="External" Id="rId279"/><Relationship Type="http://schemas.openxmlformats.org/officeDocument/2006/relationships/hyperlink" Target="#'10 EVIDENCE &amp; DECISIONS'!A278" TargetMode="External" Id="rId280"/><Relationship Type="http://schemas.openxmlformats.org/officeDocument/2006/relationships/hyperlink" Target="#'10 EVIDENCE &amp; DECISIONS'!A279" TargetMode="External" Id="rId281"/><Relationship Type="http://schemas.openxmlformats.org/officeDocument/2006/relationships/hyperlink" Target="#'10 EVIDENCE &amp; DECISIONS'!A280" TargetMode="External" Id="rId282"/><Relationship Type="http://schemas.openxmlformats.org/officeDocument/2006/relationships/hyperlink" Target="#'10 EVIDENCE &amp; DECISIONS'!A281" TargetMode="External" Id="rId283"/><Relationship Type="http://schemas.openxmlformats.org/officeDocument/2006/relationships/hyperlink" Target="#'10 EVIDENCE &amp; DECISIONS'!A282" TargetMode="External" Id="rId284"/><Relationship Type="http://schemas.openxmlformats.org/officeDocument/2006/relationships/hyperlink" Target="#'10 EVIDENCE &amp; DECISIONS'!A283" TargetMode="External" Id="rId285"/><Relationship Type="http://schemas.openxmlformats.org/officeDocument/2006/relationships/hyperlink" Target="#'10 EVIDENCE &amp; DECISIONS'!A284" TargetMode="External" Id="rId286"/><Relationship Type="http://schemas.openxmlformats.org/officeDocument/2006/relationships/hyperlink" Target="#'10 EVIDENCE &amp; DECISIONS'!A285" TargetMode="External" Id="rId287"/><Relationship Type="http://schemas.openxmlformats.org/officeDocument/2006/relationships/hyperlink" Target="#'10 EVIDENCE &amp; DECISIONS'!A286" TargetMode="External" Id="rId288"/><Relationship Type="http://schemas.openxmlformats.org/officeDocument/2006/relationships/hyperlink" Target="#'10 EVIDENCE &amp; DECISIONS'!A407" TargetMode="External" Id="rId289"/><Relationship Type="http://schemas.openxmlformats.org/officeDocument/2006/relationships/hyperlink" Target="#'10 EVIDENCE &amp; DECISIONS'!A408" TargetMode="External" Id="rId290"/><Relationship Type="http://schemas.openxmlformats.org/officeDocument/2006/relationships/hyperlink" Target="#'10 EVIDENCE &amp; DECISIONS'!A409" TargetMode="External" Id="rId291"/><Relationship Type="http://schemas.openxmlformats.org/officeDocument/2006/relationships/hyperlink" Target="#'10 EVIDENCE &amp; DECISIONS'!A410" TargetMode="External" Id="rId292"/><Relationship Type="http://schemas.openxmlformats.org/officeDocument/2006/relationships/hyperlink" Target="#'10 EVIDENCE &amp; DECISIONS'!A411" TargetMode="External" Id="rId293"/><Relationship Type="http://schemas.openxmlformats.org/officeDocument/2006/relationships/hyperlink" Target="#'10 EVIDENCE &amp; DECISIONS'!A412" TargetMode="External" Id="rId294"/><Relationship Type="http://schemas.openxmlformats.org/officeDocument/2006/relationships/hyperlink" Target="#'10 EVIDENCE &amp; DECISIONS'!A413" TargetMode="External" Id="rId295"/><Relationship Type="http://schemas.openxmlformats.org/officeDocument/2006/relationships/hyperlink" Target="#'10 EVIDENCE &amp; DECISIONS'!A414" TargetMode="External" Id="rId296"/><Relationship Type="http://schemas.openxmlformats.org/officeDocument/2006/relationships/hyperlink" Target="#'10 EVIDENCE &amp; DECISIONS'!A415" TargetMode="External" Id="rId297"/><Relationship Type="http://schemas.openxmlformats.org/officeDocument/2006/relationships/hyperlink" Target="#'10 EVIDENCE &amp; DECISIONS'!A416" TargetMode="External" Id="rId298"/><Relationship Type="http://schemas.openxmlformats.org/officeDocument/2006/relationships/hyperlink" Target="#'10 EVIDENCE &amp; DECISIONS'!A417" TargetMode="External" Id="rId299"/><Relationship Type="http://schemas.openxmlformats.org/officeDocument/2006/relationships/hyperlink" Target="#'10 EVIDENCE &amp; DECISIONS'!A418" TargetMode="External" Id="rId300"/><Relationship Type="http://schemas.openxmlformats.org/officeDocument/2006/relationships/hyperlink" Target="#'10 EVIDENCE &amp; DECISIONS'!A419" TargetMode="External" Id="rId301"/><Relationship Type="http://schemas.openxmlformats.org/officeDocument/2006/relationships/hyperlink" Target="#'10 EVIDENCE &amp; DECISIONS'!A420" TargetMode="External" Id="rId302"/><Relationship Type="http://schemas.openxmlformats.org/officeDocument/2006/relationships/hyperlink" Target="#'10 EVIDENCE &amp; DECISIONS'!A421" TargetMode="External" Id="rId303"/><Relationship Type="http://schemas.openxmlformats.org/officeDocument/2006/relationships/hyperlink" Target="#'10 EVIDENCE &amp; DECISIONS'!A422" TargetMode="External" Id="rId304"/><Relationship Type="http://schemas.openxmlformats.org/officeDocument/2006/relationships/hyperlink" Target="#'10 EVIDENCE &amp; DECISIONS'!A423" TargetMode="External" Id="rId305"/><Relationship Type="http://schemas.openxmlformats.org/officeDocument/2006/relationships/hyperlink" Target="#'10 EVIDENCE &amp; DECISIONS'!A424" TargetMode="External" Id="rId306"/><Relationship Type="http://schemas.openxmlformats.org/officeDocument/2006/relationships/hyperlink" Target="#'10 EVIDENCE &amp; DECISIONS'!A425" TargetMode="External" Id="rId307"/><Relationship Type="http://schemas.openxmlformats.org/officeDocument/2006/relationships/hyperlink" Target="#'10 EVIDENCE &amp; DECISIONS'!A426" TargetMode="External" Id="rId308"/><Relationship Type="http://schemas.openxmlformats.org/officeDocument/2006/relationships/hyperlink" Target="#'10 EVIDENCE &amp; DECISIONS'!A427" TargetMode="External" Id="rId309"/><Relationship Type="http://schemas.openxmlformats.org/officeDocument/2006/relationships/hyperlink" Target="#'10 EVIDENCE &amp; DECISIONS'!A428" TargetMode="External" Id="rId310"/><Relationship Type="http://schemas.openxmlformats.org/officeDocument/2006/relationships/hyperlink" Target="#'10 EVIDENCE &amp; DECISIONS'!A429" TargetMode="External" Id="rId311"/><Relationship Type="http://schemas.openxmlformats.org/officeDocument/2006/relationships/hyperlink" Target="#'10 EVIDENCE &amp; DECISIONS'!A430" TargetMode="External" Id="rId312"/><Relationship Type="http://schemas.openxmlformats.org/officeDocument/2006/relationships/hyperlink" Target="#'10 EVIDENCE &amp; DECISIONS'!A431" TargetMode="External" Id="rId313"/><Relationship Type="http://schemas.openxmlformats.org/officeDocument/2006/relationships/hyperlink" Target="#'10 EVIDENCE &amp; DECISIONS'!A432" TargetMode="External" Id="rId314"/><Relationship Type="http://schemas.openxmlformats.org/officeDocument/2006/relationships/hyperlink" Target="#'10 EVIDENCE &amp; DECISIONS'!A433" TargetMode="External" Id="rId315"/><Relationship Type="http://schemas.openxmlformats.org/officeDocument/2006/relationships/hyperlink" Target="#'10 EVIDENCE &amp; DECISIONS'!A434" TargetMode="External" Id="rId316"/><Relationship Type="http://schemas.openxmlformats.org/officeDocument/2006/relationships/hyperlink" Target="#'10 EVIDENCE &amp; DECISIONS'!A435" TargetMode="External" Id="rId317"/><Relationship Type="http://schemas.openxmlformats.org/officeDocument/2006/relationships/hyperlink" Target="#'10 EVIDENCE &amp; DECISIONS'!A436" TargetMode="External" Id="rId318"/><Relationship Type="http://schemas.openxmlformats.org/officeDocument/2006/relationships/hyperlink" Target="#'10 EVIDENCE &amp; DECISIONS'!A437" TargetMode="External" Id="rId319"/><Relationship Type="http://schemas.openxmlformats.org/officeDocument/2006/relationships/hyperlink" Target="#'10 EVIDENCE &amp; DECISIONS'!A438" TargetMode="External" Id="rId320"/><Relationship Type="http://schemas.openxmlformats.org/officeDocument/2006/relationships/hyperlink" Target="#'10 EVIDENCE &amp; DECISIONS'!A439" TargetMode="External" Id="rId321"/><Relationship Type="http://schemas.openxmlformats.org/officeDocument/2006/relationships/hyperlink" Target="#'10 EVIDENCE &amp; DECISIONS'!A440" TargetMode="External" Id="rId322"/><Relationship Type="http://schemas.openxmlformats.org/officeDocument/2006/relationships/hyperlink" Target="#'10 EVIDENCE &amp; DECISIONS'!A441" TargetMode="External" Id="rId323"/><Relationship Type="http://schemas.openxmlformats.org/officeDocument/2006/relationships/hyperlink" Target="#'10 EVIDENCE &amp; DECISIONS'!A442" TargetMode="External" Id="rId324"/><Relationship Type="http://schemas.openxmlformats.org/officeDocument/2006/relationships/hyperlink" Target="#'10 EVIDENCE &amp; DECISIONS'!A443" TargetMode="External" Id="rId325"/><Relationship Type="http://schemas.openxmlformats.org/officeDocument/2006/relationships/hyperlink" Target="#'10 EVIDENCE &amp; DECISIONS'!A444" TargetMode="External" Id="rId326"/><Relationship Type="http://schemas.openxmlformats.org/officeDocument/2006/relationships/hyperlink" Target="#'10 EVIDENCE &amp; DECISIONS'!A445" TargetMode="External" Id="rId327"/><Relationship Type="http://schemas.openxmlformats.org/officeDocument/2006/relationships/hyperlink" Target="#'10 EVIDENCE &amp; DECISIONS'!A446" TargetMode="External" Id="rId328"/><Relationship Type="http://schemas.openxmlformats.org/officeDocument/2006/relationships/hyperlink" Target="#'10 EVIDENCE &amp; DECISIONS'!A287" TargetMode="External" Id="rId329"/><Relationship Type="http://schemas.openxmlformats.org/officeDocument/2006/relationships/hyperlink" Target="#'10 EVIDENCE &amp; DECISIONS'!A288" TargetMode="External" Id="rId330"/><Relationship Type="http://schemas.openxmlformats.org/officeDocument/2006/relationships/hyperlink" Target="#'10 EVIDENCE &amp; DECISIONS'!A289" TargetMode="External" Id="rId331"/><Relationship Type="http://schemas.openxmlformats.org/officeDocument/2006/relationships/hyperlink" Target="#'10 EVIDENCE &amp; DECISIONS'!A290" TargetMode="External" Id="rId332"/><Relationship Type="http://schemas.openxmlformats.org/officeDocument/2006/relationships/hyperlink" Target="#'10 EVIDENCE &amp; DECISIONS'!A291" TargetMode="External" Id="rId333"/><Relationship Type="http://schemas.openxmlformats.org/officeDocument/2006/relationships/hyperlink" Target="#'10 EVIDENCE &amp; DECISIONS'!A292" TargetMode="External" Id="rId334"/><Relationship Type="http://schemas.openxmlformats.org/officeDocument/2006/relationships/hyperlink" Target="#'10 EVIDENCE &amp; DECISIONS'!A293" TargetMode="External" Id="rId335"/><Relationship Type="http://schemas.openxmlformats.org/officeDocument/2006/relationships/hyperlink" Target="#'10 EVIDENCE &amp; DECISIONS'!A294" TargetMode="External" Id="rId336"/><Relationship Type="http://schemas.openxmlformats.org/officeDocument/2006/relationships/hyperlink" Target="#'10 EVIDENCE &amp; DECISIONS'!A295" TargetMode="External" Id="rId337"/><Relationship Type="http://schemas.openxmlformats.org/officeDocument/2006/relationships/hyperlink" Target="#'10 EVIDENCE &amp; DECISIONS'!A296" TargetMode="External" Id="rId338"/><Relationship Type="http://schemas.openxmlformats.org/officeDocument/2006/relationships/hyperlink" Target="#'10 EVIDENCE &amp; DECISIONS'!A297" TargetMode="External" Id="rId339"/><Relationship Type="http://schemas.openxmlformats.org/officeDocument/2006/relationships/hyperlink" Target="#'10 EVIDENCE &amp; DECISIONS'!A298" TargetMode="External" Id="rId340"/><Relationship Type="http://schemas.openxmlformats.org/officeDocument/2006/relationships/hyperlink" Target="#'10 EVIDENCE &amp; DECISIONS'!A299" TargetMode="External" Id="rId341"/><Relationship Type="http://schemas.openxmlformats.org/officeDocument/2006/relationships/hyperlink" Target="#'10 EVIDENCE &amp; DECISIONS'!A300" TargetMode="External" Id="rId342"/><Relationship Type="http://schemas.openxmlformats.org/officeDocument/2006/relationships/hyperlink" Target="#'10 EVIDENCE &amp; DECISIONS'!A301" TargetMode="External" Id="rId343"/><Relationship Type="http://schemas.openxmlformats.org/officeDocument/2006/relationships/hyperlink" Target="#'10 EVIDENCE &amp; DECISIONS'!A302" TargetMode="External" Id="rId344"/><Relationship Type="http://schemas.openxmlformats.org/officeDocument/2006/relationships/hyperlink" Target="#'10 EVIDENCE &amp; DECISIONS'!A303" TargetMode="External" Id="rId345"/><Relationship Type="http://schemas.openxmlformats.org/officeDocument/2006/relationships/hyperlink" Target="#'10 EVIDENCE &amp; DECISIONS'!A304" TargetMode="External" Id="rId346"/><Relationship Type="http://schemas.openxmlformats.org/officeDocument/2006/relationships/hyperlink" Target="#'10 EVIDENCE &amp; DECISIONS'!A305" TargetMode="External" Id="rId347"/><Relationship Type="http://schemas.openxmlformats.org/officeDocument/2006/relationships/hyperlink" Target="#'10 EVIDENCE &amp; DECISIONS'!A306" TargetMode="External" Id="rId348"/><Relationship Type="http://schemas.openxmlformats.org/officeDocument/2006/relationships/hyperlink" Target="#'10 EVIDENCE &amp; DECISIONS'!A307" TargetMode="External" Id="rId349"/><Relationship Type="http://schemas.openxmlformats.org/officeDocument/2006/relationships/hyperlink" Target="#'10 EVIDENCE &amp; DECISIONS'!A308" TargetMode="External" Id="rId350"/><Relationship Type="http://schemas.openxmlformats.org/officeDocument/2006/relationships/hyperlink" Target="#'10 EVIDENCE &amp; DECISIONS'!A309" TargetMode="External" Id="rId351"/><Relationship Type="http://schemas.openxmlformats.org/officeDocument/2006/relationships/hyperlink" Target="#'10 EVIDENCE &amp; DECISIONS'!A310" TargetMode="External" Id="rId352"/><Relationship Type="http://schemas.openxmlformats.org/officeDocument/2006/relationships/hyperlink" Target="#'10 EVIDENCE &amp; DECISIONS'!A311" TargetMode="External" Id="rId353"/><Relationship Type="http://schemas.openxmlformats.org/officeDocument/2006/relationships/hyperlink" Target="#'10 EVIDENCE &amp; DECISIONS'!A312" TargetMode="External" Id="rId354"/><Relationship Type="http://schemas.openxmlformats.org/officeDocument/2006/relationships/hyperlink" Target="#'10 EVIDENCE &amp; DECISIONS'!A313" TargetMode="External" Id="rId355"/><Relationship Type="http://schemas.openxmlformats.org/officeDocument/2006/relationships/hyperlink" Target="#'10 EVIDENCE &amp; DECISIONS'!A314" TargetMode="External" Id="rId356"/><Relationship Type="http://schemas.openxmlformats.org/officeDocument/2006/relationships/hyperlink" Target="#'10 EVIDENCE &amp; DECISIONS'!A315" TargetMode="External" Id="rId357"/><Relationship Type="http://schemas.openxmlformats.org/officeDocument/2006/relationships/hyperlink" Target="#'10 EVIDENCE &amp; DECISIONS'!A316" TargetMode="External" Id="rId358"/><Relationship Type="http://schemas.openxmlformats.org/officeDocument/2006/relationships/hyperlink" Target="#'10 EVIDENCE &amp; DECISIONS'!A317" TargetMode="External" Id="rId359"/><Relationship Type="http://schemas.openxmlformats.org/officeDocument/2006/relationships/hyperlink" Target="#'10 EVIDENCE &amp; DECISIONS'!A318" TargetMode="External" Id="rId360"/><Relationship Type="http://schemas.openxmlformats.org/officeDocument/2006/relationships/hyperlink" Target="#'10 EVIDENCE &amp; DECISIONS'!A319" TargetMode="External" Id="rId361"/><Relationship Type="http://schemas.openxmlformats.org/officeDocument/2006/relationships/hyperlink" Target="#'10 EVIDENCE &amp; DECISIONS'!A320" TargetMode="External" Id="rId362"/><Relationship Type="http://schemas.openxmlformats.org/officeDocument/2006/relationships/hyperlink" Target="#'10 EVIDENCE &amp; DECISIONS'!A321" TargetMode="External" Id="rId363"/><Relationship Type="http://schemas.openxmlformats.org/officeDocument/2006/relationships/hyperlink" Target="#'10 EVIDENCE &amp; DECISIONS'!A322" TargetMode="External" Id="rId364"/><Relationship Type="http://schemas.openxmlformats.org/officeDocument/2006/relationships/hyperlink" Target="#'10 EVIDENCE &amp; DECISIONS'!A323" TargetMode="External" Id="rId365"/><Relationship Type="http://schemas.openxmlformats.org/officeDocument/2006/relationships/hyperlink" Target="#'10 EVIDENCE &amp; DECISIONS'!A324" TargetMode="External" Id="rId366"/><Relationship Type="http://schemas.openxmlformats.org/officeDocument/2006/relationships/hyperlink" Target="#'10 EVIDENCE &amp; DECISIONS'!A325" TargetMode="External" Id="rId367"/><Relationship Type="http://schemas.openxmlformats.org/officeDocument/2006/relationships/hyperlink" Target="#'10 EVIDENCE &amp; DECISIONS'!A326" TargetMode="External" Id="rId368"/><Relationship Type="http://schemas.openxmlformats.org/officeDocument/2006/relationships/hyperlink" Target="#'10 EVIDENCE &amp; DECISIONS'!A327" TargetMode="External" Id="rId369"/><Relationship Type="http://schemas.openxmlformats.org/officeDocument/2006/relationships/hyperlink" Target="#'10 EVIDENCE &amp; DECISIONS'!A328" TargetMode="External" Id="rId370"/><Relationship Type="http://schemas.openxmlformats.org/officeDocument/2006/relationships/hyperlink" Target="#'10 EVIDENCE &amp; DECISIONS'!A329" TargetMode="External" Id="rId371"/><Relationship Type="http://schemas.openxmlformats.org/officeDocument/2006/relationships/hyperlink" Target="#'10 EVIDENCE &amp; DECISIONS'!A330" TargetMode="External" Id="rId372"/><Relationship Type="http://schemas.openxmlformats.org/officeDocument/2006/relationships/hyperlink" Target="#'10 EVIDENCE &amp; DECISIONS'!A331" TargetMode="External" Id="rId373"/><Relationship Type="http://schemas.openxmlformats.org/officeDocument/2006/relationships/hyperlink" Target="#'10 EVIDENCE &amp; DECISIONS'!A332" TargetMode="External" Id="rId374"/><Relationship Type="http://schemas.openxmlformats.org/officeDocument/2006/relationships/hyperlink" Target="#'10 EVIDENCE &amp; DECISIONS'!A333" TargetMode="External" Id="rId375"/><Relationship Type="http://schemas.openxmlformats.org/officeDocument/2006/relationships/hyperlink" Target="#'10 EVIDENCE &amp; DECISIONS'!A334" TargetMode="External" Id="rId376"/><Relationship Type="http://schemas.openxmlformats.org/officeDocument/2006/relationships/hyperlink" Target="#'10 EVIDENCE &amp; DECISIONS'!A335" TargetMode="External" Id="rId377"/><Relationship Type="http://schemas.openxmlformats.org/officeDocument/2006/relationships/hyperlink" Target="#'10 EVIDENCE &amp; DECISIONS'!A336" TargetMode="External" Id="rId378"/><Relationship Type="http://schemas.openxmlformats.org/officeDocument/2006/relationships/hyperlink" Target="#'10 EVIDENCE &amp; DECISIONS'!A337" TargetMode="External" Id="rId379"/><Relationship Type="http://schemas.openxmlformats.org/officeDocument/2006/relationships/hyperlink" Target="#'10 EVIDENCE &amp; DECISIONS'!A338" TargetMode="External" Id="rId380"/><Relationship Type="http://schemas.openxmlformats.org/officeDocument/2006/relationships/hyperlink" Target="#'10 EVIDENCE &amp; DECISIONS'!A339" TargetMode="External" Id="rId381"/><Relationship Type="http://schemas.openxmlformats.org/officeDocument/2006/relationships/hyperlink" Target="#'10 EVIDENCE &amp; DECISIONS'!A340" TargetMode="External" Id="rId382"/><Relationship Type="http://schemas.openxmlformats.org/officeDocument/2006/relationships/hyperlink" Target="#'10 EVIDENCE &amp; DECISIONS'!A341" TargetMode="External" Id="rId383"/><Relationship Type="http://schemas.openxmlformats.org/officeDocument/2006/relationships/hyperlink" Target="#'10 EVIDENCE &amp; DECISIONS'!A342" TargetMode="External" Id="rId384"/><Relationship Type="http://schemas.openxmlformats.org/officeDocument/2006/relationships/hyperlink" Target="#'10 EVIDENCE &amp; DECISIONS'!A343" TargetMode="External" Id="rId385"/><Relationship Type="http://schemas.openxmlformats.org/officeDocument/2006/relationships/hyperlink" Target="#'10 EVIDENCE &amp; DECISIONS'!A344" TargetMode="External" Id="rId386"/><Relationship Type="http://schemas.openxmlformats.org/officeDocument/2006/relationships/hyperlink" Target="#'10 EVIDENCE &amp; DECISIONS'!A345" TargetMode="External" Id="rId387"/><Relationship Type="http://schemas.openxmlformats.org/officeDocument/2006/relationships/hyperlink" Target="#'10 EVIDENCE &amp; DECISIONS'!A346" TargetMode="External" Id="rId388"/><Relationship Type="http://schemas.openxmlformats.org/officeDocument/2006/relationships/hyperlink" Target="#'10 EVIDENCE &amp; DECISIONS'!A347" TargetMode="External" Id="rId389"/><Relationship Type="http://schemas.openxmlformats.org/officeDocument/2006/relationships/hyperlink" Target="#'10 EVIDENCE &amp; DECISIONS'!A348" TargetMode="External" Id="rId390"/><Relationship Type="http://schemas.openxmlformats.org/officeDocument/2006/relationships/hyperlink" Target="#'10 EVIDENCE &amp; DECISIONS'!A349" TargetMode="External" Id="rId391"/><Relationship Type="http://schemas.openxmlformats.org/officeDocument/2006/relationships/hyperlink" Target="#'10 EVIDENCE &amp; DECISIONS'!A350" TargetMode="External" Id="rId392"/><Relationship Type="http://schemas.openxmlformats.org/officeDocument/2006/relationships/hyperlink" Target="#'10 EVIDENCE &amp; DECISIONS'!A351" TargetMode="External" Id="rId393"/><Relationship Type="http://schemas.openxmlformats.org/officeDocument/2006/relationships/hyperlink" Target="#'10 EVIDENCE &amp; DECISIONS'!A352" TargetMode="External" Id="rId394"/><Relationship Type="http://schemas.openxmlformats.org/officeDocument/2006/relationships/hyperlink" Target="#'10 EVIDENCE &amp; DECISIONS'!A353" TargetMode="External" Id="rId395"/><Relationship Type="http://schemas.openxmlformats.org/officeDocument/2006/relationships/hyperlink" Target="#'10 EVIDENCE &amp; DECISIONS'!A354" TargetMode="External" Id="rId396"/><Relationship Type="http://schemas.openxmlformats.org/officeDocument/2006/relationships/hyperlink" Target="#'10 EVIDENCE &amp; DECISIONS'!A355" TargetMode="External" Id="rId397"/><Relationship Type="http://schemas.openxmlformats.org/officeDocument/2006/relationships/hyperlink" Target="#'10 EVIDENCE &amp; DECISIONS'!A356" TargetMode="External" Id="rId398"/><Relationship Type="http://schemas.openxmlformats.org/officeDocument/2006/relationships/hyperlink" Target="#'10 EVIDENCE &amp; DECISIONS'!A357" TargetMode="External" Id="rId399"/><Relationship Type="http://schemas.openxmlformats.org/officeDocument/2006/relationships/hyperlink" Target="#'10 EVIDENCE &amp; DECISIONS'!A358" TargetMode="External" Id="rId400"/><Relationship Type="http://schemas.openxmlformats.org/officeDocument/2006/relationships/hyperlink" Target="#'10 EVIDENCE &amp; DECISIONS'!A359" TargetMode="External" Id="rId401"/><Relationship Type="http://schemas.openxmlformats.org/officeDocument/2006/relationships/hyperlink" Target="#'10 EVIDENCE &amp; DECISIONS'!A360" TargetMode="External" Id="rId402"/><Relationship Type="http://schemas.openxmlformats.org/officeDocument/2006/relationships/hyperlink" Target="#'10 EVIDENCE &amp; DECISIONS'!A361" TargetMode="External" Id="rId403"/><Relationship Type="http://schemas.openxmlformats.org/officeDocument/2006/relationships/hyperlink" Target="#'10 EVIDENCE &amp; DECISIONS'!A362" TargetMode="External" Id="rId404"/><Relationship Type="http://schemas.openxmlformats.org/officeDocument/2006/relationships/hyperlink" Target="#'10 EVIDENCE &amp; DECISIONS'!A363" TargetMode="External" Id="rId405"/><Relationship Type="http://schemas.openxmlformats.org/officeDocument/2006/relationships/hyperlink" Target="#'10 EVIDENCE &amp; DECISIONS'!A364" TargetMode="External" Id="rId406"/><Relationship Type="http://schemas.openxmlformats.org/officeDocument/2006/relationships/hyperlink" Target="#'10 EVIDENCE &amp; DECISIONS'!A365" TargetMode="External" Id="rId407"/><Relationship Type="http://schemas.openxmlformats.org/officeDocument/2006/relationships/hyperlink" Target="#'10 EVIDENCE &amp; DECISIONS'!A366" TargetMode="External" Id="rId408"/><Relationship Type="http://schemas.openxmlformats.org/officeDocument/2006/relationships/hyperlink" Target="#'10 EVIDENCE &amp; DECISIONS'!A367" TargetMode="External" Id="rId409"/><Relationship Type="http://schemas.openxmlformats.org/officeDocument/2006/relationships/hyperlink" Target="#'10 EVIDENCE &amp; DECISIONS'!A368" TargetMode="External" Id="rId410"/><Relationship Type="http://schemas.openxmlformats.org/officeDocument/2006/relationships/hyperlink" Target="#'10 EVIDENCE &amp; DECISIONS'!A369" TargetMode="External" Id="rId411"/><Relationship Type="http://schemas.openxmlformats.org/officeDocument/2006/relationships/hyperlink" Target="#'10 EVIDENCE &amp; DECISIONS'!A370" TargetMode="External" Id="rId412"/><Relationship Type="http://schemas.openxmlformats.org/officeDocument/2006/relationships/hyperlink" Target="#'10 EVIDENCE &amp; DECISIONS'!A371" TargetMode="External" Id="rId413"/><Relationship Type="http://schemas.openxmlformats.org/officeDocument/2006/relationships/hyperlink" Target="#'10 EVIDENCE &amp; DECISIONS'!A372" TargetMode="External" Id="rId414"/><Relationship Type="http://schemas.openxmlformats.org/officeDocument/2006/relationships/hyperlink" Target="#'10 EVIDENCE &amp; DECISIONS'!A373" TargetMode="External" Id="rId415"/><Relationship Type="http://schemas.openxmlformats.org/officeDocument/2006/relationships/hyperlink" Target="#'10 EVIDENCE &amp; DECISIONS'!A374" TargetMode="External" Id="rId416"/><Relationship Type="http://schemas.openxmlformats.org/officeDocument/2006/relationships/hyperlink" Target="#'10 EVIDENCE &amp; DECISIONS'!A375" TargetMode="External" Id="rId417"/><Relationship Type="http://schemas.openxmlformats.org/officeDocument/2006/relationships/hyperlink" Target="#'10 EVIDENCE &amp; DECISIONS'!A376" TargetMode="External" Id="rId418"/><Relationship Type="http://schemas.openxmlformats.org/officeDocument/2006/relationships/hyperlink" Target="#'10 EVIDENCE &amp; DECISIONS'!A377" TargetMode="External" Id="rId419"/><Relationship Type="http://schemas.openxmlformats.org/officeDocument/2006/relationships/hyperlink" Target="#'10 EVIDENCE &amp; DECISIONS'!A378" TargetMode="External" Id="rId420"/><Relationship Type="http://schemas.openxmlformats.org/officeDocument/2006/relationships/hyperlink" Target="#'10 EVIDENCE &amp; DECISIONS'!A379" TargetMode="External" Id="rId421"/><Relationship Type="http://schemas.openxmlformats.org/officeDocument/2006/relationships/hyperlink" Target="#'10 EVIDENCE &amp; DECISIONS'!A380" TargetMode="External" Id="rId422"/><Relationship Type="http://schemas.openxmlformats.org/officeDocument/2006/relationships/hyperlink" Target="#'10 EVIDENCE &amp; DECISIONS'!A381" TargetMode="External" Id="rId423"/><Relationship Type="http://schemas.openxmlformats.org/officeDocument/2006/relationships/hyperlink" Target="#'10 EVIDENCE &amp; DECISIONS'!A382" TargetMode="External" Id="rId424"/><Relationship Type="http://schemas.openxmlformats.org/officeDocument/2006/relationships/hyperlink" Target="#'10 EVIDENCE &amp; DECISIONS'!A383" TargetMode="External" Id="rId425"/><Relationship Type="http://schemas.openxmlformats.org/officeDocument/2006/relationships/hyperlink" Target="#'10 EVIDENCE &amp; DECISIONS'!A384" TargetMode="External" Id="rId426"/><Relationship Type="http://schemas.openxmlformats.org/officeDocument/2006/relationships/hyperlink" Target="#'10 EVIDENCE &amp; DECISIONS'!A385" TargetMode="External" Id="rId427"/><Relationship Type="http://schemas.openxmlformats.org/officeDocument/2006/relationships/hyperlink" Target="#'10 EVIDENCE &amp; DECISIONS'!A386" TargetMode="External" Id="rId428"/><Relationship Type="http://schemas.openxmlformats.org/officeDocument/2006/relationships/hyperlink" Target="#'10 EVIDENCE &amp; DECISIONS'!A387" TargetMode="External" Id="rId429"/><Relationship Type="http://schemas.openxmlformats.org/officeDocument/2006/relationships/hyperlink" Target="#'10 EVIDENCE &amp; DECISIONS'!A388" TargetMode="External" Id="rId430"/><Relationship Type="http://schemas.openxmlformats.org/officeDocument/2006/relationships/hyperlink" Target="#'10 EVIDENCE &amp; DECISIONS'!A389" TargetMode="External" Id="rId431"/><Relationship Type="http://schemas.openxmlformats.org/officeDocument/2006/relationships/hyperlink" Target="#'10 EVIDENCE &amp; DECISIONS'!A390" TargetMode="External" Id="rId432"/><Relationship Type="http://schemas.openxmlformats.org/officeDocument/2006/relationships/hyperlink" Target="#'10 EVIDENCE &amp; DECISIONS'!A391" TargetMode="External" Id="rId433"/><Relationship Type="http://schemas.openxmlformats.org/officeDocument/2006/relationships/hyperlink" Target="#'10 EVIDENCE &amp; DECISIONS'!A392" TargetMode="External" Id="rId434"/><Relationship Type="http://schemas.openxmlformats.org/officeDocument/2006/relationships/hyperlink" Target="#'10 EVIDENCE &amp; DECISIONS'!A393" TargetMode="External" Id="rId435"/><Relationship Type="http://schemas.openxmlformats.org/officeDocument/2006/relationships/hyperlink" Target="#'10 EVIDENCE &amp; DECISIONS'!A394" TargetMode="External" Id="rId436"/><Relationship Type="http://schemas.openxmlformats.org/officeDocument/2006/relationships/hyperlink" Target="#'10 EVIDENCE &amp; DECISIONS'!A395" TargetMode="External" Id="rId437"/><Relationship Type="http://schemas.openxmlformats.org/officeDocument/2006/relationships/hyperlink" Target="#'10 EVIDENCE &amp; DECISIONS'!A396" TargetMode="External" Id="rId438"/><Relationship Type="http://schemas.openxmlformats.org/officeDocument/2006/relationships/hyperlink" Target="#'10 EVIDENCE &amp; DECISIONS'!A397" TargetMode="External" Id="rId439"/><Relationship Type="http://schemas.openxmlformats.org/officeDocument/2006/relationships/hyperlink" Target="#'10 EVIDENCE &amp; DECISIONS'!A398" TargetMode="External" Id="rId440"/><Relationship Type="http://schemas.openxmlformats.org/officeDocument/2006/relationships/hyperlink" Target="#'10 EVIDENCE &amp; DECISIONS'!A399" TargetMode="External" Id="rId441"/><Relationship Type="http://schemas.openxmlformats.org/officeDocument/2006/relationships/hyperlink" Target="#'10 EVIDENCE &amp; DECISIONS'!A400" TargetMode="External" Id="rId442"/><Relationship Type="http://schemas.openxmlformats.org/officeDocument/2006/relationships/hyperlink" Target="#'10 EVIDENCE &amp; DECISIONS'!A401" TargetMode="External" Id="rId443"/><Relationship Type="http://schemas.openxmlformats.org/officeDocument/2006/relationships/hyperlink" Target="#'10 EVIDENCE &amp; DECISIONS'!A402" TargetMode="External" Id="rId444"/><Relationship Type="http://schemas.openxmlformats.org/officeDocument/2006/relationships/hyperlink" Target="#'10 EVIDENCE &amp; DECISIONS'!A403" TargetMode="External" Id="rId445"/><Relationship Type="http://schemas.openxmlformats.org/officeDocument/2006/relationships/hyperlink" Target="#'10 EVIDENCE &amp; DECISIONS'!A404" TargetMode="External" Id="rId446"/><Relationship Type="http://schemas.openxmlformats.org/officeDocument/2006/relationships/hyperlink" Target="#'10 EVIDENCE &amp; DECISIONS'!A405" TargetMode="External" Id="rId447"/><Relationship Type="http://schemas.openxmlformats.org/officeDocument/2006/relationships/hyperlink" Target="#'10 EVIDENCE &amp; DECISIONS'!A406" TargetMode="External" Id="rId448"/><Relationship Type="http://schemas.openxmlformats.org/officeDocument/2006/relationships/hyperlink" Target="#'10 EVIDENCE &amp; DECISIONS'!A506" TargetMode="External" Id="rId449"/><Relationship Type="http://schemas.openxmlformats.org/officeDocument/2006/relationships/hyperlink" Target="#'10 EVIDENCE &amp; DECISIONS'!A507" TargetMode="External" Id="rId450"/><Relationship Type="http://schemas.openxmlformats.org/officeDocument/2006/relationships/hyperlink" Target="#'10 EVIDENCE &amp; DECISIONS'!A508" TargetMode="External" Id="rId451"/><Relationship Type="http://schemas.openxmlformats.org/officeDocument/2006/relationships/hyperlink" Target="#'10 EVIDENCE &amp; DECISIONS'!A509" TargetMode="External" Id="rId452"/><Relationship Type="http://schemas.openxmlformats.org/officeDocument/2006/relationships/hyperlink" Target="#'10 EVIDENCE &amp; DECISIONS'!A510" TargetMode="External" Id="rId453"/><Relationship Type="http://schemas.openxmlformats.org/officeDocument/2006/relationships/hyperlink" Target="#'10 EVIDENCE &amp; DECISIONS'!A511" TargetMode="External" Id="rId454"/><Relationship Type="http://schemas.openxmlformats.org/officeDocument/2006/relationships/hyperlink" Target="#'10 EVIDENCE &amp; DECISIONS'!A512" TargetMode="External" Id="rId455"/><Relationship Type="http://schemas.openxmlformats.org/officeDocument/2006/relationships/hyperlink" Target="#'10 EVIDENCE &amp; DECISIONS'!A513" TargetMode="External" Id="rId456"/><Relationship Type="http://schemas.openxmlformats.org/officeDocument/2006/relationships/hyperlink" Target="#'10 EVIDENCE &amp; DECISIONS'!A514" TargetMode="External" Id="rId457"/><Relationship Type="http://schemas.openxmlformats.org/officeDocument/2006/relationships/hyperlink" Target="#'10 EVIDENCE &amp; DECISIONS'!A515" TargetMode="External" Id="rId458"/><Relationship Type="http://schemas.openxmlformats.org/officeDocument/2006/relationships/hyperlink" Target="#'10 EVIDENCE &amp; DECISIONS'!A516" TargetMode="External" Id="rId459"/><Relationship Type="http://schemas.openxmlformats.org/officeDocument/2006/relationships/hyperlink" Target="#'10 EVIDENCE &amp; DECISIONS'!A517" TargetMode="External" Id="rId460"/><Relationship Type="http://schemas.openxmlformats.org/officeDocument/2006/relationships/hyperlink" Target="#'10 EVIDENCE &amp; DECISIONS'!A518" TargetMode="External" Id="rId461"/><Relationship Type="http://schemas.openxmlformats.org/officeDocument/2006/relationships/hyperlink" Target="#'10 EVIDENCE &amp; DECISIONS'!A519" TargetMode="External" Id="rId462"/><Relationship Type="http://schemas.openxmlformats.org/officeDocument/2006/relationships/hyperlink" Target="#'10 EVIDENCE &amp; DECISIONS'!A520" TargetMode="External" Id="rId463"/><Relationship Type="http://schemas.openxmlformats.org/officeDocument/2006/relationships/hyperlink" Target="#'10 EVIDENCE &amp; DECISIONS'!A521" TargetMode="External" Id="rId464"/><Relationship Type="http://schemas.openxmlformats.org/officeDocument/2006/relationships/hyperlink" Target="#'10 EVIDENCE &amp; DECISIONS'!A522" TargetMode="External" Id="rId465"/><Relationship Type="http://schemas.openxmlformats.org/officeDocument/2006/relationships/hyperlink" Target="#'10 EVIDENCE &amp; DECISIONS'!A523" TargetMode="External" Id="rId466"/><Relationship Type="http://schemas.openxmlformats.org/officeDocument/2006/relationships/hyperlink" Target="#'10 EVIDENCE &amp; DECISIONS'!A524" TargetMode="External" Id="rId467"/><Relationship Type="http://schemas.openxmlformats.org/officeDocument/2006/relationships/hyperlink" Target="#'10 EVIDENCE &amp; DECISIONS'!A525" TargetMode="External" Id="rId468"/><Relationship Type="http://schemas.openxmlformats.org/officeDocument/2006/relationships/hyperlink" Target="#'10 EVIDENCE &amp; DECISIONS'!A526" TargetMode="External" Id="rId469"/><Relationship Type="http://schemas.openxmlformats.org/officeDocument/2006/relationships/hyperlink" Target="#'10 EVIDENCE &amp; DECISIONS'!A527" TargetMode="External" Id="rId470"/><Relationship Type="http://schemas.openxmlformats.org/officeDocument/2006/relationships/hyperlink" Target="#'10 EVIDENCE &amp; DECISIONS'!A528" TargetMode="External" Id="rId471"/><Relationship Type="http://schemas.openxmlformats.org/officeDocument/2006/relationships/hyperlink" Target="#'10 EVIDENCE &amp; DECISIONS'!A529" TargetMode="External" Id="rId472"/><Relationship Type="http://schemas.openxmlformats.org/officeDocument/2006/relationships/hyperlink" Target="#'10 EVIDENCE &amp; DECISIONS'!A530" TargetMode="External" Id="rId473"/><Relationship Type="http://schemas.openxmlformats.org/officeDocument/2006/relationships/hyperlink" Target="#'10 EVIDENCE &amp; DECISIONS'!A531" TargetMode="External" Id="rId474"/><Relationship Type="http://schemas.openxmlformats.org/officeDocument/2006/relationships/hyperlink" Target="#'10 EVIDENCE &amp; DECISIONS'!A532" TargetMode="External" Id="rId475"/><Relationship Type="http://schemas.openxmlformats.org/officeDocument/2006/relationships/hyperlink" Target="#'10 EVIDENCE &amp; DECISIONS'!A533" TargetMode="External" Id="rId476"/><Relationship Type="http://schemas.openxmlformats.org/officeDocument/2006/relationships/hyperlink" Target="#'10 EVIDENCE &amp; DECISIONS'!A534" TargetMode="External" Id="rId477"/><Relationship Type="http://schemas.openxmlformats.org/officeDocument/2006/relationships/hyperlink" Target="#'10 EVIDENCE &amp; DECISIONS'!A535" TargetMode="External" Id="rId478"/><Relationship Type="http://schemas.openxmlformats.org/officeDocument/2006/relationships/hyperlink" Target="#'10 EVIDENCE &amp; DECISIONS'!A536" TargetMode="External" Id="rId479"/><Relationship Type="http://schemas.openxmlformats.org/officeDocument/2006/relationships/hyperlink" Target="#'10 EVIDENCE &amp; DECISIONS'!A537" TargetMode="External" Id="rId480"/><Relationship Type="http://schemas.openxmlformats.org/officeDocument/2006/relationships/hyperlink" Target="#'10 EVIDENCE &amp; DECISIONS'!A538" TargetMode="External" Id="rId481"/><Relationship Type="http://schemas.openxmlformats.org/officeDocument/2006/relationships/hyperlink" Target="#'10 EVIDENCE &amp; DECISIONS'!A539" TargetMode="External" Id="rId482"/><Relationship Type="http://schemas.openxmlformats.org/officeDocument/2006/relationships/hyperlink" Target="#'10 EVIDENCE &amp; DECISIONS'!A540" TargetMode="External" Id="rId483"/><Relationship Type="http://schemas.openxmlformats.org/officeDocument/2006/relationships/hyperlink" Target="#'10 EVIDENCE &amp; DECISIONS'!A541" TargetMode="External" Id="rId484"/><Relationship Type="http://schemas.openxmlformats.org/officeDocument/2006/relationships/hyperlink" Target="#'10 EVIDENCE &amp; DECISIONS'!A542" TargetMode="External" Id="rId485"/><Relationship Type="http://schemas.openxmlformats.org/officeDocument/2006/relationships/hyperlink" Target="#'10 EVIDENCE &amp; DECISIONS'!A543" TargetMode="External" Id="rId486"/><Relationship Type="http://schemas.openxmlformats.org/officeDocument/2006/relationships/hyperlink" Target="#'10 EVIDENCE &amp; DECISIONS'!A544" TargetMode="External" Id="rId487"/><Relationship Type="http://schemas.openxmlformats.org/officeDocument/2006/relationships/hyperlink" Target="#'10 EVIDENCE &amp; DECISIONS'!A545" TargetMode="External" Id="rId488"/><Relationship Type="http://schemas.openxmlformats.org/officeDocument/2006/relationships/hyperlink" Target="#'10 EVIDENCE &amp; DECISIONS'!A447" TargetMode="External" Id="rId489"/><Relationship Type="http://schemas.openxmlformats.org/officeDocument/2006/relationships/hyperlink" Target="#'10 EVIDENCE &amp; DECISIONS'!A448" TargetMode="External" Id="rId490"/><Relationship Type="http://schemas.openxmlformats.org/officeDocument/2006/relationships/hyperlink" Target="#'10 EVIDENCE &amp; DECISIONS'!A449" TargetMode="External" Id="rId491"/><Relationship Type="http://schemas.openxmlformats.org/officeDocument/2006/relationships/hyperlink" Target="#'10 EVIDENCE &amp; DECISIONS'!A450" TargetMode="External" Id="rId492"/><Relationship Type="http://schemas.openxmlformats.org/officeDocument/2006/relationships/hyperlink" Target="#'10 EVIDENCE &amp; DECISIONS'!A451" TargetMode="External" Id="rId493"/><Relationship Type="http://schemas.openxmlformats.org/officeDocument/2006/relationships/hyperlink" Target="#'10 EVIDENCE &amp; DECISIONS'!A452" TargetMode="External" Id="rId494"/><Relationship Type="http://schemas.openxmlformats.org/officeDocument/2006/relationships/hyperlink" Target="#'10 EVIDENCE &amp; DECISIONS'!A453" TargetMode="External" Id="rId495"/><Relationship Type="http://schemas.openxmlformats.org/officeDocument/2006/relationships/hyperlink" Target="#'10 EVIDENCE &amp; DECISIONS'!A454" TargetMode="External" Id="rId496"/><Relationship Type="http://schemas.openxmlformats.org/officeDocument/2006/relationships/hyperlink" Target="#'10 EVIDENCE &amp; DECISIONS'!A455" TargetMode="External" Id="rId497"/><Relationship Type="http://schemas.openxmlformats.org/officeDocument/2006/relationships/hyperlink" Target="#'10 EVIDENCE &amp; DECISIONS'!A456" TargetMode="External" Id="rId498"/><Relationship Type="http://schemas.openxmlformats.org/officeDocument/2006/relationships/hyperlink" Target="#'10 EVIDENCE &amp; DECISIONS'!A457" TargetMode="External" Id="rId499"/><Relationship Type="http://schemas.openxmlformats.org/officeDocument/2006/relationships/hyperlink" Target="#'10 EVIDENCE &amp; DECISIONS'!A458" TargetMode="External" Id="rId500"/><Relationship Type="http://schemas.openxmlformats.org/officeDocument/2006/relationships/hyperlink" Target="#'10 EVIDENCE &amp; DECISIONS'!A459" TargetMode="External" Id="rId501"/><Relationship Type="http://schemas.openxmlformats.org/officeDocument/2006/relationships/hyperlink" Target="#'10 EVIDENCE &amp; DECISIONS'!A460" TargetMode="External" Id="rId502"/><Relationship Type="http://schemas.openxmlformats.org/officeDocument/2006/relationships/hyperlink" Target="#'10 EVIDENCE &amp; DECISIONS'!A461" TargetMode="External" Id="rId503"/><Relationship Type="http://schemas.openxmlformats.org/officeDocument/2006/relationships/hyperlink" Target="#'10 EVIDENCE &amp; DECISIONS'!A462" TargetMode="External" Id="rId504"/><Relationship Type="http://schemas.openxmlformats.org/officeDocument/2006/relationships/hyperlink" Target="#'10 EVIDENCE &amp; DECISIONS'!A463" TargetMode="External" Id="rId505"/><Relationship Type="http://schemas.openxmlformats.org/officeDocument/2006/relationships/hyperlink" Target="#'10 EVIDENCE &amp; DECISIONS'!A464" TargetMode="External" Id="rId506"/><Relationship Type="http://schemas.openxmlformats.org/officeDocument/2006/relationships/hyperlink" Target="#'10 EVIDENCE &amp; DECISIONS'!A465" TargetMode="External" Id="rId507"/><Relationship Type="http://schemas.openxmlformats.org/officeDocument/2006/relationships/hyperlink" Target="#'10 EVIDENCE &amp; DECISIONS'!A466" TargetMode="External" Id="rId508"/><Relationship Type="http://schemas.openxmlformats.org/officeDocument/2006/relationships/hyperlink" Target="#'10 EVIDENCE &amp; DECISIONS'!A467" TargetMode="External" Id="rId509"/><Relationship Type="http://schemas.openxmlformats.org/officeDocument/2006/relationships/hyperlink" Target="#'10 EVIDENCE &amp; DECISIONS'!A468" TargetMode="External" Id="rId510"/><Relationship Type="http://schemas.openxmlformats.org/officeDocument/2006/relationships/hyperlink" Target="#'10 EVIDENCE &amp; DECISIONS'!A469" TargetMode="External" Id="rId511"/><Relationship Type="http://schemas.openxmlformats.org/officeDocument/2006/relationships/hyperlink" Target="#'10 EVIDENCE &amp; DECISIONS'!A470" TargetMode="External" Id="rId512"/><Relationship Type="http://schemas.openxmlformats.org/officeDocument/2006/relationships/hyperlink" Target="#'10 EVIDENCE &amp; DECISIONS'!A471" TargetMode="External" Id="rId513"/><Relationship Type="http://schemas.openxmlformats.org/officeDocument/2006/relationships/hyperlink" Target="#'10 EVIDENCE &amp; DECISIONS'!A472" TargetMode="External" Id="rId514"/><Relationship Type="http://schemas.openxmlformats.org/officeDocument/2006/relationships/hyperlink" Target="#'10 EVIDENCE &amp; DECISIONS'!A473" TargetMode="External" Id="rId515"/><Relationship Type="http://schemas.openxmlformats.org/officeDocument/2006/relationships/hyperlink" Target="#'10 EVIDENCE &amp; DECISIONS'!A474" TargetMode="External" Id="rId516"/><Relationship Type="http://schemas.openxmlformats.org/officeDocument/2006/relationships/hyperlink" Target="#'10 EVIDENCE &amp; DECISIONS'!A475" TargetMode="External" Id="rId517"/><Relationship Type="http://schemas.openxmlformats.org/officeDocument/2006/relationships/hyperlink" Target="#'10 EVIDENCE &amp; DECISIONS'!A476" TargetMode="External" Id="rId518"/><Relationship Type="http://schemas.openxmlformats.org/officeDocument/2006/relationships/hyperlink" Target="#'10 EVIDENCE &amp; DECISIONS'!A477" TargetMode="External" Id="rId519"/><Relationship Type="http://schemas.openxmlformats.org/officeDocument/2006/relationships/hyperlink" Target="#'10 EVIDENCE &amp; DECISIONS'!A478" TargetMode="External" Id="rId520"/><Relationship Type="http://schemas.openxmlformats.org/officeDocument/2006/relationships/hyperlink" Target="#'10 EVIDENCE &amp; DECISIONS'!A479" TargetMode="External" Id="rId521"/><Relationship Type="http://schemas.openxmlformats.org/officeDocument/2006/relationships/hyperlink" Target="#'10 EVIDENCE &amp; DECISIONS'!A480" TargetMode="External" Id="rId522"/><Relationship Type="http://schemas.openxmlformats.org/officeDocument/2006/relationships/hyperlink" Target="#'10 EVIDENCE &amp; DECISIONS'!A481" TargetMode="External" Id="rId523"/><Relationship Type="http://schemas.openxmlformats.org/officeDocument/2006/relationships/hyperlink" Target="#'10 EVIDENCE &amp; DECISIONS'!A482" TargetMode="External" Id="rId524"/><Relationship Type="http://schemas.openxmlformats.org/officeDocument/2006/relationships/hyperlink" Target="#'10 EVIDENCE &amp; DECISIONS'!A483" TargetMode="External" Id="rId525"/><Relationship Type="http://schemas.openxmlformats.org/officeDocument/2006/relationships/hyperlink" Target="#'10 EVIDENCE &amp; DECISIONS'!A484" TargetMode="External" Id="rId526"/><Relationship Type="http://schemas.openxmlformats.org/officeDocument/2006/relationships/hyperlink" Target="#'10 EVIDENCE &amp; DECISIONS'!A485" TargetMode="External" Id="rId527"/><Relationship Type="http://schemas.openxmlformats.org/officeDocument/2006/relationships/hyperlink" Target="#'10 EVIDENCE &amp; DECISIONS'!A486" TargetMode="External" Id="rId528"/><Relationship Type="http://schemas.openxmlformats.org/officeDocument/2006/relationships/hyperlink" Target="#'10 EVIDENCE &amp; DECISIONS'!A487" TargetMode="External" Id="rId529"/><Relationship Type="http://schemas.openxmlformats.org/officeDocument/2006/relationships/hyperlink" Target="#'10 EVIDENCE &amp; DECISIONS'!A488" TargetMode="External" Id="rId530"/><Relationship Type="http://schemas.openxmlformats.org/officeDocument/2006/relationships/hyperlink" Target="#'10 EVIDENCE &amp; DECISIONS'!A489" TargetMode="External" Id="rId531"/><Relationship Type="http://schemas.openxmlformats.org/officeDocument/2006/relationships/hyperlink" Target="#'10 EVIDENCE &amp; DECISIONS'!A490" TargetMode="External" Id="rId532"/><Relationship Type="http://schemas.openxmlformats.org/officeDocument/2006/relationships/hyperlink" Target="#'10 EVIDENCE &amp; DECISIONS'!A491" TargetMode="External" Id="rId533"/><Relationship Type="http://schemas.openxmlformats.org/officeDocument/2006/relationships/hyperlink" Target="#'10 EVIDENCE &amp; DECISIONS'!A492" TargetMode="External" Id="rId534"/><Relationship Type="http://schemas.openxmlformats.org/officeDocument/2006/relationships/hyperlink" Target="#'10 EVIDENCE &amp; DECISIONS'!A493" TargetMode="External" Id="rId535"/><Relationship Type="http://schemas.openxmlformats.org/officeDocument/2006/relationships/hyperlink" Target="#'10 EVIDENCE &amp; DECISIONS'!A494" TargetMode="External" Id="rId536"/><Relationship Type="http://schemas.openxmlformats.org/officeDocument/2006/relationships/hyperlink" Target="#'10 EVIDENCE &amp; DECISIONS'!A495" TargetMode="External" Id="rId537"/><Relationship Type="http://schemas.openxmlformats.org/officeDocument/2006/relationships/hyperlink" Target="#'10 EVIDENCE &amp; DECISIONS'!A496" TargetMode="External" Id="rId538"/><Relationship Type="http://schemas.openxmlformats.org/officeDocument/2006/relationships/hyperlink" Target="#'10 EVIDENCE &amp; DECISIONS'!A497" TargetMode="External" Id="rId539"/><Relationship Type="http://schemas.openxmlformats.org/officeDocument/2006/relationships/hyperlink" Target="#'10 EVIDENCE &amp; DECISIONS'!A498" TargetMode="External" Id="rId540"/><Relationship Type="http://schemas.openxmlformats.org/officeDocument/2006/relationships/hyperlink" Target="#'10 EVIDENCE &amp; DECISIONS'!A499" TargetMode="External" Id="rId541"/><Relationship Type="http://schemas.openxmlformats.org/officeDocument/2006/relationships/hyperlink" Target="#'10 EVIDENCE &amp; DECISIONS'!A500" TargetMode="External" Id="rId542"/><Relationship Type="http://schemas.openxmlformats.org/officeDocument/2006/relationships/hyperlink" Target="#'10 EVIDENCE &amp; DECISIONS'!A501" TargetMode="External" Id="rId543"/><Relationship Type="http://schemas.openxmlformats.org/officeDocument/2006/relationships/hyperlink" Target="#'10 EVIDENCE &amp; DECISIONS'!A502" TargetMode="External" Id="rId544"/><Relationship Type="http://schemas.openxmlformats.org/officeDocument/2006/relationships/hyperlink" Target="#'10 EVIDENCE &amp; DECISIONS'!A503" TargetMode="External" Id="rId545"/><Relationship Type="http://schemas.openxmlformats.org/officeDocument/2006/relationships/hyperlink" Target="#'10 EVIDENCE &amp; DECISIONS'!A504" TargetMode="External" Id="rId546"/><Relationship Type="http://schemas.openxmlformats.org/officeDocument/2006/relationships/hyperlink" Target="#'10 EVIDENCE &amp; DECISIONS'!A505" TargetMode="External" Id="rId547"/><Relationship Type="http://schemas.openxmlformats.org/officeDocument/2006/relationships/hyperlink" Target="#'10 EVIDENCE &amp; DECISIONS'!A546" TargetMode="External" Id="rId548"/><Relationship Type="http://schemas.openxmlformats.org/officeDocument/2006/relationships/hyperlink" Target="#'10 EVIDENCE &amp; DECISIONS'!A547" TargetMode="External" Id="rId549"/><Relationship Type="http://schemas.openxmlformats.org/officeDocument/2006/relationships/hyperlink" Target="#'10 EVIDENCE &amp; DECISIONS'!A548" TargetMode="External" Id="rId550"/><Relationship Type="http://schemas.openxmlformats.org/officeDocument/2006/relationships/hyperlink" Target="#'10 EVIDENCE &amp; DECISIONS'!A549" TargetMode="External" Id="rId551"/><Relationship Type="http://schemas.openxmlformats.org/officeDocument/2006/relationships/hyperlink" Target="#'10 EVIDENCE &amp; DECISIONS'!A550" TargetMode="External" Id="rId552"/><Relationship Type="http://schemas.openxmlformats.org/officeDocument/2006/relationships/hyperlink" Target="#'10 EVIDENCE &amp; DECISIONS'!A551" TargetMode="External" Id="rId553"/><Relationship Type="http://schemas.openxmlformats.org/officeDocument/2006/relationships/hyperlink" Target="#'10 EVIDENCE &amp; DECISIONS'!A552" TargetMode="External" Id="rId554"/><Relationship Type="http://schemas.openxmlformats.org/officeDocument/2006/relationships/hyperlink" Target="#'10 EVIDENCE &amp; DECISIONS'!A553" TargetMode="External" Id="rId555"/><Relationship Type="http://schemas.openxmlformats.org/officeDocument/2006/relationships/hyperlink" Target="#'10 EVIDENCE &amp; DECISIONS'!A554" TargetMode="External" Id="rId556"/><Relationship Type="http://schemas.openxmlformats.org/officeDocument/2006/relationships/hyperlink" Target="#'10 EVIDENCE &amp; DECISIONS'!A555" TargetMode="External" Id="rId557"/><Relationship Type="http://schemas.openxmlformats.org/officeDocument/2006/relationships/hyperlink" Target="#'10 EVIDENCE &amp; DECISIONS'!A676" TargetMode="External" Id="rId558"/><Relationship Type="http://schemas.openxmlformats.org/officeDocument/2006/relationships/hyperlink" Target="#'10 EVIDENCE &amp; DECISIONS'!A677" TargetMode="External" Id="rId559"/><Relationship Type="http://schemas.openxmlformats.org/officeDocument/2006/relationships/hyperlink" Target="#'10 EVIDENCE &amp; DECISIONS'!A678" TargetMode="External" Id="rId560"/><Relationship Type="http://schemas.openxmlformats.org/officeDocument/2006/relationships/hyperlink" Target="#'10 EVIDENCE &amp; DECISIONS'!A679" TargetMode="External" Id="rId561"/><Relationship Type="http://schemas.openxmlformats.org/officeDocument/2006/relationships/hyperlink" Target="#'10 EVIDENCE &amp; DECISIONS'!A680" TargetMode="External" Id="rId562"/><Relationship Type="http://schemas.openxmlformats.org/officeDocument/2006/relationships/hyperlink" Target="#'10 EVIDENCE &amp; DECISIONS'!A681" TargetMode="External" Id="rId563"/><Relationship Type="http://schemas.openxmlformats.org/officeDocument/2006/relationships/hyperlink" Target="#'10 EVIDENCE &amp; DECISIONS'!A682" TargetMode="External" Id="rId564"/><Relationship Type="http://schemas.openxmlformats.org/officeDocument/2006/relationships/hyperlink" Target="#'10 EVIDENCE &amp; DECISIONS'!A683" TargetMode="External" Id="rId565"/><Relationship Type="http://schemas.openxmlformats.org/officeDocument/2006/relationships/hyperlink" Target="#'10 EVIDENCE &amp; DECISIONS'!A684" TargetMode="External" Id="rId566"/><Relationship Type="http://schemas.openxmlformats.org/officeDocument/2006/relationships/hyperlink" Target="#'10 EVIDENCE &amp; DECISIONS'!A685" TargetMode="External" Id="rId567"/><Relationship Type="http://schemas.openxmlformats.org/officeDocument/2006/relationships/hyperlink" Target="#'10 EVIDENCE &amp; DECISIONS'!A686" TargetMode="External" Id="rId568"/><Relationship Type="http://schemas.openxmlformats.org/officeDocument/2006/relationships/hyperlink" Target="#'10 EVIDENCE &amp; DECISIONS'!A687" TargetMode="External" Id="rId569"/><Relationship Type="http://schemas.openxmlformats.org/officeDocument/2006/relationships/hyperlink" Target="#'10 EVIDENCE &amp; DECISIONS'!A688" TargetMode="External" Id="rId570"/><Relationship Type="http://schemas.openxmlformats.org/officeDocument/2006/relationships/hyperlink" Target="#'10 EVIDENCE &amp; DECISIONS'!A689" TargetMode="External" Id="rId571"/><Relationship Type="http://schemas.openxmlformats.org/officeDocument/2006/relationships/hyperlink" Target="#'10 EVIDENCE &amp; DECISIONS'!A690" TargetMode="External" Id="rId572"/><Relationship Type="http://schemas.openxmlformats.org/officeDocument/2006/relationships/hyperlink" Target="#'10 EVIDENCE &amp; DECISIONS'!A691" TargetMode="External" Id="rId573"/><Relationship Type="http://schemas.openxmlformats.org/officeDocument/2006/relationships/hyperlink" Target="#'10 EVIDENCE &amp; DECISIONS'!A692" TargetMode="External" Id="rId574"/><Relationship Type="http://schemas.openxmlformats.org/officeDocument/2006/relationships/hyperlink" Target="#'10 EVIDENCE &amp; DECISIONS'!A693" TargetMode="External" Id="rId575"/><Relationship Type="http://schemas.openxmlformats.org/officeDocument/2006/relationships/hyperlink" Target="#'10 EVIDENCE &amp; DECISIONS'!A694" TargetMode="External" Id="rId576"/><Relationship Type="http://schemas.openxmlformats.org/officeDocument/2006/relationships/hyperlink" Target="#'10 EVIDENCE &amp; DECISIONS'!A695" TargetMode="External" Id="rId577"/><Relationship Type="http://schemas.openxmlformats.org/officeDocument/2006/relationships/hyperlink" Target="#'10 EVIDENCE &amp; DECISIONS'!A696" TargetMode="External" Id="rId578"/><Relationship Type="http://schemas.openxmlformats.org/officeDocument/2006/relationships/hyperlink" Target="#'10 EVIDENCE &amp; DECISIONS'!A697" TargetMode="External" Id="rId579"/><Relationship Type="http://schemas.openxmlformats.org/officeDocument/2006/relationships/hyperlink" Target="#'10 EVIDENCE &amp; DECISIONS'!A698" TargetMode="External" Id="rId580"/><Relationship Type="http://schemas.openxmlformats.org/officeDocument/2006/relationships/hyperlink" Target="#'10 EVIDENCE &amp; DECISIONS'!A699" TargetMode="External" Id="rId581"/><Relationship Type="http://schemas.openxmlformats.org/officeDocument/2006/relationships/hyperlink" Target="#'10 EVIDENCE &amp; DECISIONS'!A700" TargetMode="External" Id="rId582"/><Relationship Type="http://schemas.openxmlformats.org/officeDocument/2006/relationships/hyperlink" Target="#'10 EVIDENCE &amp; DECISIONS'!A701" TargetMode="External" Id="rId583"/><Relationship Type="http://schemas.openxmlformats.org/officeDocument/2006/relationships/hyperlink" Target="#'10 EVIDENCE &amp; DECISIONS'!A702" TargetMode="External" Id="rId584"/><Relationship Type="http://schemas.openxmlformats.org/officeDocument/2006/relationships/hyperlink" Target="#'10 EVIDENCE &amp; DECISIONS'!A703" TargetMode="External" Id="rId585"/><Relationship Type="http://schemas.openxmlformats.org/officeDocument/2006/relationships/hyperlink" Target="#'10 EVIDENCE &amp; DECISIONS'!A704" TargetMode="External" Id="rId586"/><Relationship Type="http://schemas.openxmlformats.org/officeDocument/2006/relationships/hyperlink" Target="#'10 EVIDENCE &amp; DECISIONS'!A705" TargetMode="External" Id="rId587"/><Relationship Type="http://schemas.openxmlformats.org/officeDocument/2006/relationships/hyperlink" Target="#'10 EVIDENCE &amp; DECISIONS'!A706" TargetMode="External" Id="rId588"/><Relationship Type="http://schemas.openxmlformats.org/officeDocument/2006/relationships/hyperlink" Target="#'10 EVIDENCE &amp; DECISIONS'!A707" TargetMode="External" Id="rId589"/><Relationship Type="http://schemas.openxmlformats.org/officeDocument/2006/relationships/hyperlink" Target="#'10 EVIDENCE &amp; DECISIONS'!A708" TargetMode="External" Id="rId590"/><Relationship Type="http://schemas.openxmlformats.org/officeDocument/2006/relationships/hyperlink" Target="#'10 EVIDENCE &amp; DECISIONS'!A709" TargetMode="External" Id="rId591"/><Relationship Type="http://schemas.openxmlformats.org/officeDocument/2006/relationships/hyperlink" Target="#'10 EVIDENCE &amp; DECISIONS'!A710" TargetMode="External" Id="rId592"/><Relationship Type="http://schemas.openxmlformats.org/officeDocument/2006/relationships/hyperlink" Target="#'10 EVIDENCE &amp; DECISIONS'!A711" TargetMode="External" Id="rId593"/><Relationship Type="http://schemas.openxmlformats.org/officeDocument/2006/relationships/hyperlink" Target="#'10 EVIDENCE &amp; DECISIONS'!A712" TargetMode="External" Id="rId594"/><Relationship Type="http://schemas.openxmlformats.org/officeDocument/2006/relationships/hyperlink" Target="#'10 EVIDENCE &amp; DECISIONS'!A713" TargetMode="External" Id="rId595"/><Relationship Type="http://schemas.openxmlformats.org/officeDocument/2006/relationships/hyperlink" Target="#'10 EVIDENCE &amp; DECISIONS'!A714" TargetMode="External" Id="rId596"/><Relationship Type="http://schemas.openxmlformats.org/officeDocument/2006/relationships/hyperlink" Target="#'10 EVIDENCE &amp; DECISIONS'!A715" TargetMode="External" Id="rId597"/><Relationship Type="http://schemas.openxmlformats.org/officeDocument/2006/relationships/hyperlink" Target="#'10 EVIDENCE &amp; DECISIONS'!A556" TargetMode="External" Id="rId598"/><Relationship Type="http://schemas.openxmlformats.org/officeDocument/2006/relationships/hyperlink" Target="#'10 EVIDENCE &amp; DECISIONS'!A557" TargetMode="External" Id="rId599"/><Relationship Type="http://schemas.openxmlformats.org/officeDocument/2006/relationships/hyperlink" Target="#'10 EVIDENCE &amp; DECISIONS'!A558" TargetMode="External" Id="rId600"/><Relationship Type="http://schemas.openxmlformats.org/officeDocument/2006/relationships/hyperlink" Target="#'10 EVIDENCE &amp; DECISIONS'!A559" TargetMode="External" Id="rId601"/><Relationship Type="http://schemas.openxmlformats.org/officeDocument/2006/relationships/hyperlink" Target="#'10 EVIDENCE &amp; DECISIONS'!A560" TargetMode="External" Id="rId602"/><Relationship Type="http://schemas.openxmlformats.org/officeDocument/2006/relationships/hyperlink" Target="#'10 EVIDENCE &amp; DECISIONS'!A561" TargetMode="External" Id="rId603"/><Relationship Type="http://schemas.openxmlformats.org/officeDocument/2006/relationships/hyperlink" Target="#'10 EVIDENCE &amp; DECISIONS'!A562" TargetMode="External" Id="rId604"/><Relationship Type="http://schemas.openxmlformats.org/officeDocument/2006/relationships/hyperlink" Target="#'10 EVIDENCE &amp; DECISIONS'!A563" TargetMode="External" Id="rId605"/><Relationship Type="http://schemas.openxmlformats.org/officeDocument/2006/relationships/hyperlink" Target="#'10 EVIDENCE &amp; DECISIONS'!A564" TargetMode="External" Id="rId606"/><Relationship Type="http://schemas.openxmlformats.org/officeDocument/2006/relationships/hyperlink" Target="#'10 EVIDENCE &amp; DECISIONS'!A565" TargetMode="External" Id="rId607"/><Relationship Type="http://schemas.openxmlformats.org/officeDocument/2006/relationships/hyperlink" Target="#'10 EVIDENCE &amp; DECISIONS'!A566" TargetMode="External" Id="rId608"/><Relationship Type="http://schemas.openxmlformats.org/officeDocument/2006/relationships/hyperlink" Target="#'10 EVIDENCE &amp; DECISIONS'!A567" TargetMode="External" Id="rId609"/><Relationship Type="http://schemas.openxmlformats.org/officeDocument/2006/relationships/hyperlink" Target="#'10 EVIDENCE &amp; DECISIONS'!A568" TargetMode="External" Id="rId610"/><Relationship Type="http://schemas.openxmlformats.org/officeDocument/2006/relationships/hyperlink" Target="#'10 EVIDENCE &amp; DECISIONS'!A569" TargetMode="External" Id="rId611"/><Relationship Type="http://schemas.openxmlformats.org/officeDocument/2006/relationships/hyperlink" Target="#'10 EVIDENCE &amp; DECISIONS'!A570" TargetMode="External" Id="rId612"/><Relationship Type="http://schemas.openxmlformats.org/officeDocument/2006/relationships/hyperlink" Target="#'10 EVIDENCE &amp; DECISIONS'!A571" TargetMode="External" Id="rId613"/><Relationship Type="http://schemas.openxmlformats.org/officeDocument/2006/relationships/hyperlink" Target="#'10 EVIDENCE &amp; DECISIONS'!A572" TargetMode="External" Id="rId614"/><Relationship Type="http://schemas.openxmlformats.org/officeDocument/2006/relationships/hyperlink" Target="#'10 EVIDENCE &amp; DECISIONS'!A573" TargetMode="External" Id="rId615"/><Relationship Type="http://schemas.openxmlformats.org/officeDocument/2006/relationships/hyperlink" Target="#'10 EVIDENCE &amp; DECISIONS'!A574" TargetMode="External" Id="rId616"/><Relationship Type="http://schemas.openxmlformats.org/officeDocument/2006/relationships/hyperlink" Target="#'10 EVIDENCE &amp; DECISIONS'!A575" TargetMode="External" Id="rId617"/><Relationship Type="http://schemas.openxmlformats.org/officeDocument/2006/relationships/hyperlink" Target="#'10 EVIDENCE &amp; DECISIONS'!A576" TargetMode="External" Id="rId618"/><Relationship Type="http://schemas.openxmlformats.org/officeDocument/2006/relationships/hyperlink" Target="#'10 EVIDENCE &amp; DECISIONS'!A577" TargetMode="External" Id="rId619"/><Relationship Type="http://schemas.openxmlformats.org/officeDocument/2006/relationships/hyperlink" Target="#'10 EVIDENCE &amp; DECISIONS'!A578" TargetMode="External" Id="rId620"/><Relationship Type="http://schemas.openxmlformats.org/officeDocument/2006/relationships/hyperlink" Target="#'10 EVIDENCE &amp; DECISIONS'!A579" TargetMode="External" Id="rId621"/><Relationship Type="http://schemas.openxmlformats.org/officeDocument/2006/relationships/hyperlink" Target="#'10 EVIDENCE &amp; DECISIONS'!A580" TargetMode="External" Id="rId622"/><Relationship Type="http://schemas.openxmlformats.org/officeDocument/2006/relationships/hyperlink" Target="#'10 EVIDENCE &amp; DECISIONS'!A581" TargetMode="External" Id="rId623"/><Relationship Type="http://schemas.openxmlformats.org/officeDocument/2006/relationships/hyperlink" Target="#'10 EVIDENCE &amp; DECISIONS'!A582" TargetMode="External" Id="rId624"/><Relationship Type="http://schemas.openxmlformats.org/officeDocument/2006/relationships/hyperlink" Target="#'10 EVIDENCE &amp; DECISIONS'!A583" TargetMode="External" Id="rId625"/><Relationship Type="http://schemas.openxmlformats.org/officeDocument/2006/relationships/hyperlink" Target="#'10 EVIDENCE &amp; DECISIONS'!A584" TargetMode="External" Id="rId626"/><Relationship Type="http://schemas.openxmlformats.org/officeDocument/2006/relationships/hyperlink" Target="#'10 EVIDENCE &amp; DECISIONS'!A585" TargetMode="External" Id="rId627"/><Relationship Type="http://schemas.openxmlformats.org/officeDocument/2006/relationships/hyperlink" Target="#'10 EVIDENCE &amp; DECISIONS'!A586" TargetMode="External" Id="rId628"/><Relationship Type="http://schemas.openxmlformats.org/officeDocument/2006/relationships/hyperlink" Target="#'10 EVIDENCE &amp; DECISIONS'!A587" TargetMode="External" Id="rId629"/><Relationship Type="http://schemas.openxmlformats.org/officeDocument/2006/relationships/hyperlink" Target="#'10 EVIDENCE &amp; DECISIONS'!A588" TargetMode="External" Id="rId630"/><Relationship Type="http://schemas.openxmlformats.org/officeDocument/2006/relationships/hyperlink" Target="#'10 EVIDENCE &amp; DECISIONS'!A589" TargetMode="External" Id="rId631"/><Relationship Type="http://schemas.openxmlformats.org/officeDocument/2006/relationships/hyperlink" Target="#'10 EVIDENCE &amp; DECISIONS'!A590" TargetMode="External" Id="rId632"/><Relationship Type="http://schemas.openxmlformats.org/officeDocument/2006/relationships/hyperlink" Target="#'10 EVIDENCE &amp; DECISIONS'!A591" TargetMode="External" Id="rId633"/><Relationship Type="http://schemas.openxmlformats.org/officeDocument/2006/relationships/hyperlink" Target="#'10 EVIDENCE &amp; DECISIONS'!A592" TargetMode="External" Id="rId634"/><Relationship Type="http://schemas.openxmlformats.org/officeDocument/2006/relationships/hyperlink" Target="#'10 EVIDENCE &amp; DECISIONS'!A593" TargetMode="External" Id="rId635"/><Relationship Type="http://schemas.openxmlformats.org/officeDocument/2006/relationships/hyperlink" Target="#'10 EVIDENCE &amp; DECISIONS'!A594" TargetMode="External" Id="rId636"/><Relationship Type="http://schemas.openxmlformats.org/officeDocument/2006/relationships/hyperlink" Target="#'10 EVIDENCE &amp; DECISIONS'!A595" TargetMode="External" Id="rId637"/><Relationship Type="http://schemas.openxmlformats.org/officeDocument/2006/relationships/hyperlink" Target="#'10 EVIDENCE &amp; DECISIONS'!A596" TargetMode="External" Id="rId638"/><Relationship Type="http://schemas.openxmlformats.org/officeDocument/2006/relationships/hyperlink" Target="#'10 EVIDENCE &amp; DECISIONS'!A597" TargetMode="External" Id="rId639"/><Relationship Type="http://schemas.openxmlformats.org/officeDocument/2006/relationships/hyperlink" Target="#'10 EVIDENCE &amp; DECISIONS'!A598" TargetMode="External" Id="rId640"/><Relationship Type="http://schemas.openxmlformats.org/officeDocument/2006/relationships/hyperlink" Target="#'10 EVIDENCE &amp; DECISIONS'!A599" TargetMode="External" Id="rId641"/><Relationship Type="http://schemas.openxmlformats.org/officeDocument/2006/relationships/hyperlink" Target="#'10 EVIDENCE &amp; DECISIONS'!A600" TargetMode="External" Id="rId642"/><Relationship Type="http://schemas.openxmlformats.org/officeDocument/2006/relationships/hyperlink" Target="#'10 EVIDENCE &amp; DECISIONS'!A601" TargetMode="External" Id="rId643"/><Relationship Type="http://schemas.openxmlformats.org/officeDocument/2006/relationships/hyperlink" Target="#'10 EVIDENCE &amp; DECISIONS'!A602" TargetMode="External" Id="rId644"/><Relationship Type="http://schemas.openxmlformats.org/officeDocument/2006/relationships/hyperlink" Target="#'10 EVIDENCE &amp; DECISIONS'!A603" TargetMode="External" Id="rId645"/><Relationship Type="http://schemas.openxmlformats.org/officeDocument/2006/relationships/hyperlink" Target="#'10 EVIDENCE &amp; DECISIONS'!A604" TargetMode="External" Id="rId646"/><Relationship Type="http://schemas.openxmlformats.org/officeDocument/2006/relationships/hyperlink" Target="#'10 EVIDENCE &amp; DECISIONS'!A605" TargetMode="External" Id="rId647"/><Relationship Type="http://schemas.openxmlformats.org/officeDocument/2006/relationships/hyperlink" Target="#'10 EVIDENCE &amp; DECISIONS'!A606" TargetMode="External" Id="rId648"/><Relationship Type="http://schemas.openxmlformats.org/officeDocument/2006/relationships/hyperlink" Target="#'10 EVIDENCE &amp; DECISIONS'!A607" TargetMode="External" Id="rId649"/><Relationship Type="http://schemas.openxmlformats.org/officeDocument/2006/relationships/hyperlink" Target="#'10 EVIDENCE &amp; DECISIONS'!A608" TargetMode="External" Id="rId650"/><Relationship Type="http://schemas.openxmlformats.org/officeDocument/2006/relationships/hyperlink" Target="#'10 EVIDENCE &amp; DECISIONS'!A609" TargetMode="External" Id="rId651"/><Relationship Type="http://schemas.openxmlformats.org/officeDocument/2006/relationships/hyperlink" Target="#'10 EVIDENCE &amp; DECISIONS'!A610" TargetMode="External" Id="rId652"/><Relationship Type="http://schemas.openxmlformats.org/officeDocument/2006/relationships/hyperlink" Target="#'10 EVIDENCE &amp; DECISIONS'!A611" TargetMode="External" Id="rId653"/><Relationship Type="http://schemas.openxmlformats.org/officeDocument/2006/relationships/hyperlink" Target="#'10 EVIDENCE &amp; DECISIONS'!A612" TargetMode="External" Id="rId654"/><Relationship Type="http://schemas.openxmlformats.org/officeDocument/2006/relationships/hyperlink" Target="#'10 EVIDENCE &amp; DECISIONS'!A613" TargetMode="External" Id="rId655"/><Relationship Type="http://schemas.openxmlformats.org/officeDocument/2006/relationships/hyperlink" Target="#'10 EVIDENCE &amp; DECISIONS'!A614" TargetMode="External" Id="rId656"/><Relationship Type="http://schemas.openxmlformats.org/officeDocument/2006/relationships/hyperlink" Target="#'10 EVIDENCE &amp; DECISIONS'!A615" TargetMode="External" Id="rId657"/><Relationship Type="http://schemas.openxmlformats.org/officeDocument/2006/relationships/hyperlink" Target="#'10 EVIDENCE &amp; DECISIONS'!A616" TargetMode="External" Id="rId658"/><Relationship Type="http://schemas.openxmlformats.org/officeDocument/2006/relationships/hyperlink" Target="#'10 EVIDENCE &amp; DECISIONS'!A617" TargetMode="External" Id="rId659"/><Relationship Type="http://schemas.openxmlformats.org/officeDocument/2006/relationships/hyperlink" Target="#'10 EVIDENCE &amp; DECISIONS'!A618" TargetMode="External" Id="rId660"/><Relationship Type="http://schemas.openxmlformats.org/officeDocument/2006/relationships/hyperlink" Target="#'10 EVIDENCE &amp; DECISIONS'!A619" TargetMode="External" Id="rId661"/><Relationship Type="http://schemas.openxmlformats.org/officeDocument/2006/relationships/hyperlink" Target="#'10 EVIDENCE &amp; DECISIONS'!A620" TargetMode="External" Id="rId662"/><Relationship Type="http://schemas.openxmlformats.org/officeDocument/2006/relationships/hyperlink" Target="#'10 EVIDENCE &amp; DECISIONS'!A621" TargetMode="External" Id="rId663"/><Relationship Type="http://schemas.openxmlformats.org/officeDocument/2006/relationships/hyperlink" Target="#'10 EVIDENCE &amp; DECISIONS'!A622" TargetMode="External" Id="rId664"/><Relationship Type="http://schemas.openxmlformats.org/officeDocument/2006/relationships/hyperlink" Target="#'10 EVIDENCE &amp; DECISIONS'!A623" TargetMode="External" Id="rId665"/><Relationship Type="http://schemas.openxmlformats.org/officeDocument/2006/relationships/hyperlink" Target="#'10 EVIDENCE &amp; DECISIONS'!A624" TargetMode="External" Id="rId666"/><Relationship Type="http://schemas.openxmlformats.org/officeDocument/2006/relationships/hyperlink" Target="#'10 EVIDENCE &amp; DECISIONS'!A625" TargetMode="External" Id="rId667"/><Relationship Type="http://schemas.openxmlformats.org/officeDocument/2006/relationships/hyperlink" Target="#'10 EVIDENCE &amp; DECISIONS'!A626" TargetMode="External" Id="rId668"/><Relationship Type="http://schemas.openxmlformats.org/officeDocument/2006/relationships/hyperlink" Target="#'10 EVIDENCE &amp; DECISIONS'!A627" TargetMode="External" Id="rId669"/><Relationship Type="http://schemas.openxmlformats.org/officeDocument/2006/relationships/hyperlink" Target="#'10 EVIDENCE &amp; DECISIONS'!A628" TargetMode="External" Id="rId670"/><Relationship Type="http://schemas.openxmlformats.org/officeDocument/2006/relationships/hyperlink" Target="#'10 EVIDENCE &amp; DECISIONS'!A629" TargetMode="External" Id="rId671"/><Relationship Type="http://schemas.openxmlformats.org/officeDocument/2006/relationships/hyperlink" Target="#'10 EVIDENCE &amp; DECISIONS'!A630" TargetMode="External" Id="rId672"/><Relationship Type="http://schemas.openxmlformats.org/officeDocument/2006/relationships/hyperlink" Target="#'10 EVIDENCE &amp; DECISIONS'!A631" TargetMode="External" Id="rId673"/><Relationship Type="http://schemas.openxmlformats.org/officeDocument/2006/relationships/hyperlink" Target="#'10 EVIDENCE &amp; DECISIONS'!A632" TargetMode="External" Id="rId674"/><Relationship Type="http://schemas.openxmlformats.org/officeDocument/2006/relationships/hyperlink" Target="#'10 EVIDENCE &amp; DECISIONS'!A633" TargetMode="External" Id="rId675"/><Relationship Type="http://schemas.openxmlformats.org/officeDocument/2006/relationships/hyperlink" Target="#'10 EVIDENCE &amp; DECISIONS'!A634" TargetMode="External" Id="rId676"/><Relationship Type="http://schemas.openxmlformats.org/officeDocument/2006/relationships/hyperlink" Target="#'10 EVIDENCE &amp; DECISIONS'!A635" TargetMode="External" Id="rId677"/><Relationship Type="http://schemas.openxmlformats.org/officeDocument/2006/relationships/hyperlink" Target="#'10 EVIDENCE &amp; DECISIONS'!A636" TargetMode="External" Id="rId678"/><Relationship Type="http://schemas.openxmlformats.org/officeDocument/2006/relationships/hyperlink" Target="#'10 EVIDENCE &amp; DECISIONS'!A637" TargetMode="External" Id="rId679"/><Relationship Type="http://schemas.openxmlformats.org/officeDocument/2006/relationships/hyperlink" Target="#'10 EVIDENCE &amp; DECISIONS'!A638" TargetMode="External" Id="rId680"/><Relationship Type="http://schemas.openxmlformats.org/officeDocument/2006/relationships/hyperlink" Target="#'10 EVIDENCE &amp; DECISIONS'!A639" TargetMode="External" Id="rId681"/><Relationship Type="http://schemas.openxmlformats.org/officeDocument/2006/relationships/hyperlink" Target="#'10 EVIDENCE &amp; DECISIONS'!A640" TargetMode="External" Id="rId682"/><Relationship Type="http://schemas.openxmlformats.org/officeDocument/2006/relationships/hyperlink" Target="#'10 EVIDENCE &amp; DECISIONS'!A641" TargetMode="External" Id="rId683"/><Relationship Type="http://schemas.openxmlformats.org/officeDocument/2006/relationships/hyperlink" Target="#'10 EVIDENCE &amp; DECISIONS'!A642" TargetMode="External" Id="rId684"/><Relationship Type="http://schemas.openxmlformats.org/officeDocument/2006/relationships/hyperlink" Target="#'10 EVIDENCE &amp; DECISIONS'!A643" TargetMode="External" Id="rId685"/><Relationship Type="http://schemas.openxmlformats.org/officeDocument/2006/relationships/hyperlink" Target="#'10 EVIDENCE &amp; DECISIONS'!A644" TargetMode="External" Id="rId686"/><Relationship Type="http://schemas.openxmlformats.org/officeDocument/2006/relationships/hyperlink" Target="#'10 EVIDENCE &amp; DECISIONS'!A645" TargetMode="External" Id="rId687"/><Relationship Type="http://schemas.openxmlformats.org/officeDocument/2006/relationships/hyperlink" Target="#'10 EVIDENCE &amp; DECISIONS'!A646" TargetMode="External" Id="rId688"/><Relationship Type="http://schemas.openxmlformats.org/officeDocument/2006/relationships/hyperlink" Target="#'10 EVIDENCE &amp; DECISIONS'!A647" TargetMode="External" Id="rId689"/><Relationship Type="http://schemas.openxmlformats.org/officeDocument/2006/relationships/hyperlink" Target="#'10 EVIDENCE &amp; DECISIONS'!A648" TargetMode="External" Id="rId690"/><Relationship Type="http://schemas.openxmlformats.org/officeDocument/2006/relationships/hyperlink" Target="#'10 EVIDENCE &amp; DECISIONS'!A649" TargetMode="External" Id="rId691"/><Relationship Type="http://schemas.openxmlformats.org/officeDocument/2006/relationships/hyperlink" Target="#'10 EVIDENCE &amp; DECISIONS'!A650" TargetMode="External" Id="rId692"/><Relationship Type="http://schemas.openxmlformats.org/officeDocument/2006/relationships/hyperlink" Target="#'10 EVIDENCE &amp; DECISIONS'!A651" TargetMode="External" Id="rId693"/><Relationship Type="http://schemas.openxmlformats.org/officeDocument/2006/relationships/hyperlink" Target="#'10 EVIDENCE &amp; DECISIONS'!A652" TargetMode="External" Id="rId694"/><Relationship Type="http://schemas.openxmlformats.org/officeDocument/2006/relationships/hyperlink" Target="#'10 EVIDENCE &amp; DECISIONS'!A653" TargetMode="External" Id="rId695"/><Relationship Type="http://schemas.openxmlformats.org/officeDocument/2006/relationships/hyperlink" Target="#'10 EVIDENCE &amp; DECISIONS'!A654" TargetMode="External" Id="rId696"/><Relationship Type="http://schemas.openxmlformats.org/officeDocument/2006/relationships/hyperlink" Target="#'10 EVIDENCE &amp; DECISIONS'!A655" TargetMode="External" Id="rId697"/><Relationship Type="http://schemas.openxmlformats.org/officeDocument/2006/relationships/hyperlink" Target="#'10 EVIDENCE &amp; DECISIONS'!A656" TargetMode="External" Id="rId698"/><Relationship Type="http://schemas.openxmlformats.org/officeDocument/2006/relationships/hyperlink" Target="#'10 EVIDENCE &amp; DECISIONS'!A657" TargetMode="External" Id="rId699"/><Relationship Type="http://schemas.openxmlformats.org/officeDocument/2006/relationships/hyperlink" Target="#'10 EVIDENCE &amp; DECISIONS'!A658" TargetMode="External" Id="rId700"/><Relationship Type="http://schemas.openxmlformats.org/officeDocument/2006/relationships/hyperlink" Target="#'10 EVIDENCE &amp; DECISIONS'!A659" TargetMode="External" Id="rId701"/><Relationship Type="http://schemas.openxmlformats.org/officeDocument/2006/relationships/hyperlink" Target="#'10 EVIDENCE &amp; DECISIONS'!A660" TargetMode="External" Id="rId702"/><Relationship Type="http://schemas.openxmlformats.org/officeDocument/2006/relationships/hyperlink" Target="#'10 EVIDENCE &amp; DECISIONS'!A661" TargetMode="External" Id="rId703"/><Relationship Type="http://schemas.openxmlformats.org/officeDocument/2006/relationships/hyperlink" Target="#'10 EVIDENCE &amp; DECISIONS'!A662" TargetMode="External" Id="rId704"/><Relationship Type="http://schemas.openxmlformats.org/officeDocument/2006/relationships/hyperlink" Target="#'10 EVIDENCE &amp; DECISIONS'!A663" TargetMode="External" Id="rId705"/><Relationship Type="http://schemas.openxmlformats.org/officeDocument/2006/relationships/hyperlink" Target="#'10 EVIDENCE &amp; DECISIONS'!A664" TargetMode="External" Id="rId706"/><Relationship Type="http://schemas.openxmlformats.org/officeDocument/2006/relationships/hyperlink" Target="#'10 EVIDENCE &amp; DECISIONS'!A665" TargetMode="External" Id="rId707"/><Relationship Type="http://schemas.openxmlformats.org/officeDocument/2006/relationships/hyperlink" Target="#'10 EVIDENCE &amp; DECISIONS'!A666" TargetMode="External" Id="rId708"/><Relationship Type="http://schemas.openxmlformats.org/officeDocument/2006/relationships/hyperlink" Target="#'10 EVIDENCE &amp; DECISIONS'!A667" TargetMode="External" Id="rId709"/><Relationship Type="http://schemas.openxmlformats.org/officeDocument/2006/relationships/hyperlink" Target="#'10 EVIDENCE &amp; DECISIONS'!A668" TargetMode="External" Id="rId710"/><Relationship Type="http://schemas.openxmlformats.org/officeDocument/2006/relationships/hyperlink" Target="#'10 EVIDENCE &amp; DECISIONS'!A669" TargetMode="External" Id="rId711"/><Relationship Type="http://schemas.openxmlformats.org/officeDocument/2006/relationships/hyperlink" Target="#'10 EVIDENCE &amp; DECISIONS'!A670" TargetMode="External" Id="rId712"/><Relationship Type="http://schemas.openxmlformats.org/officeDocument/2006/relationships/hyperlink" Target="#'10 EVIDENCE &amp; DECISIONS'!A671" TargetMode="External" Id="rId713"/><Relationship Type="http://schemas.openxmlformats.org/officeDocument/2006/relationships/hyperlink" Target="#'10 EVIDENCE &amp; DECISIONS'!A672" TargetMode="External" Id="rId714"/><Relationship Type="http://schemas.openxmlformats.org/officeDocument/2006/relationships/hyperlink" Target="#'10 EVIDENCE &amp; DECISIONS'!A673" TargetMode="External" Id="rId715"/><Relationship Type="http://schemas.openxmlformats.org/officeDocument/2006/relationships/hyperlink" Target="#'10 EVIDENCE &amp; DECISIONS'!A674" TargetMode="External" Id="rId716"/><Relationship Type="http://schemas.openxmlformats.org/officeDocument/2006/relationships/hyperlink" Target="#'10 EVIDENCE &amp; DECISIONS'!A675" TargetMode="External" Id="rId717"/><Relationship Type="http://schemas.openxmlformats.org/officeDocument/2006/relationships/hyperlink" Target="#'10 EVIDENCE &amp; DECISIONS'!A776" TargetMode="External" Id="rId718"/><Relationship Type="http://schemas.openxmlformats.org/officeDocument/2006/relationships/hyperlink" Target="#'10 EVIDENCE &amp; DECISIONS'!A777" TargetMode="External" Id="rId719"/><Relationship Type="http://schemas.openxmlformats.org/officeDocument/2006/relationships/hyperlink" Target="#'10 EVIDENCE &amp; DECISIONS'!A778" TargetMode="External" Id="rId720"/><Relationship Type="http://schemas.openxmlformats.org/officeDocument/2006/relationships/hyperlink" Target="#'10 EVIDENCE &amp; DECISIONS'!A779" TargetMode="External" Id="rId721"/><Relationship Type="http://schemas.openxmlformats.org/officeDocument/2006/relationships/hyperlink" Target="#'10 EVIDENCE &amp; DECISIONS'!A780" TargetMode="External" Id="rId722"/><Relationship Type="http://schemas.openxmlformats.org/officeDocument/2006/relationships/hyperlink" Target="#'10 EVIDENCE &amp; DECISIONS'!A781" TargetMode="External" Id="rId723"/><Relationship Type="http://schemas.openxmlformats.org/officeDocument/2006/relationships/hyperlink" Target="#'10 EVIDENCE &amp; DECISIONS'!A782" TargetMode="External" Id="rId724"/><Relationship Type="http://schemas.openxmlformats.org/officeDocument/2006/relationships/hyperlink" Target="#'10 EVIDENCE &amp; DECISIONS'!A783" TargetMode="External" Id="rId725"/><Relationship Type="http://schemas.openxmlformats.org/officeDocument/2006/relationships/hyperlink" Target="#'10 EVIDENCE &amp; DECISIONS'!A784" TargetMode="External" Id="rId726"/><Relationship Type="http://schemas.openxmlformats.org/officeDocument/2006/relationships/hyperlink" Target="#'10 EVIDENCE &amp; DECISIONS'!A785" TargetMode="External" Id="rId727"/><Relationship Type="http://schemas.openxmlformats.org/officeDocument/2006/relationships/hyperlink" Target="#'10 EVIDENCE &amp; DECISIONS'!A786" TargetMode="External" Id="rId728"/><Relationship Type="http://schemas.openxmlformats.org/officeDocument/2006/relationships/hyperlink" Target="#'10 EVIDENCE &amp; DECISIONS'!A787" TargetMode="External" Id="rId729"/><Relationship Type="http://schemas.openxmlformats.org/officeDocument/2006/relationships/hyperlink" Target="#'10 EVIDENCE &amp; DECISIONS'!A788" TargetMode="External" Id="rId730"/><Relationship Type="http://schemas.openxmlformats.org/officeDocument/2006/relationships/hyperlink" Target="#'10 EVIDENCE &amp; DECISIONS'!A789" TargetMode="External" Id="rId731"/><Relationship Type="http://schemas.openxmlformats.org/officeDocument/2006/relationships/hyperlink" Target="#'10 EVIDENCE &amp; DECISIONS'!A790" TargetMode="External" Id="rId732"/><Relationship Type="http://schemas.openxmlformats.org/officeDocument/2006/relationships/hyperlink" Target="#'10 EVIDENCE &amp; DECISIONS'!A791" TargetMode="External" Id="rId733"/><Relationship Type="http://schemas.openxmlformats.org/officeDocument/2006/relationships/hyperlink" Target="#'10 EVIDENCE &amp; DECISIONS'!A792" TargetMode="External" Id="rId734"/><Relationship Type="http://schemas.openxmlformats.org/officeDocument/2006/relationships/hyperlink" Target="#'10 EVIDENCE &amp; DECISIONS'!A793" TargetMode="External" Id="rId735"/><Relationship Type="http://schemas.openxmlformats.org/officeDocument/2006/relationships/hyperlink" Target="#'10 EVIDENCE &amp; DECISIONS'!A794" TargetMode="External" Id="rId736"/><Relationship Type="http://schemas.openxmlformats.org/officeDocument/2006/relationships/hyperlink" Target="#'10 EVIDENCE &amp; DECISIONS'!A795" TargetMode="External" Id="rId737"/><Relationship Type="http://schemas.openxmlformats.org/officeDocument/2006/relationships/hyperlink" Target="#'10 EVIDENCE &amp; DECISIONS'!A796" TargetMode="External" Id="rId738"/><Relationship Type="http://schemas.openxmlformats.org/officeDocument/2006/relationships/hyperlink" Target="#'10 EVIDENCE &amp; DECISIONS'!A797" TargetMode="External" Id="rId739"/><Relationship Type="http://schemas.openxmlformats.org/officeDocument/2006/relationships/hyperlink" Target="#'10 EVIDENCE &amp; DECISIONS'!A798" TargetMode="External" Id="rId740"/><Relationship Type="http://schemas.openxmlformats.org/officeDocument/2006/relationships/hyperlink" Target="#'10 EVIDENCE &amp; DECISIONS'!A799" TargetMode="External" Id="rId741"/><Relationship Type="http://schemas.openxmlformats.org/officeDocument/2006/relationships/hyperlink" Target="#'10 EVIDENCE &amp; DECISIONS'!A800" TargetMode="External" Id="rId742"/><Relationship Type="http://schemas.openxmlformats.org/officeDocument/2006/relationships/hyperlink" Target="#'10 EVIDENCE &amp; DECISIONS'!A801" TargetMode="External" Id="rId743"/><Relationship Type="http://schemas.openxmlformats.org/officeDocument/2006/relationships/hyperlink" Target="#'10 EVIDENCE &amp; DECISIONS'!A802" TargetMode="External" Id="rId744"/><Relationship Type="http://schemas.openxmlformats.org/officeDocument/2006/relationships/hyperlink" Target="#'10 EVIDENCE &amp; DECISIONS'!A803" TargetMode="External" Id="rId745"/><Relationship Type="http://schemas.openxmlformats.org/officeDocument/2006/relationships/hyperlink" Target="#'10 EVIDENCE &amp; DECISIONS'!A804" TargetMode="External" Id="rId746"/><Relationship Type="http://schemas.openxmlformats.org/officeDocument/2006/relationships/hyperlink" Target="#'10 EVIDENCE &amp; DECISIONS'!A805" TargetMode="External" Id="rId747"/><Relationship Type="http://schemas.openxmlformats.org/officeDocument/2006/relationships/hyperlink" Target="#'10 EVIDENCE &amp; DECISIONS'!A806" TargetMode="External" Id="rId748"/><Relationship Type="http://schemas.openxmlformats.org/officeDocument/2006/relationships/hyperlink" Target="#'10 EVIDENCE &amp; DECISIONS'!A807" TargetMode="External" Id="rId749"/><Relationship Type="http://schemas.openxmlformats.org/officeDocument/2006/relationships/hyperlink" Target="#'10 EVIDENCE &amp; DECISIONS'!A808" TargetMode="External" Id="rId750"/><Relationship Type="http://schemas.openxmlformats.org/officeDocument/2006/relationships/hyperlink" Target="#'10 EVIDENCE &amp; DECISIONS'!A809" TargetMode="External" Id="rId751"/><Relationship Type="http://schemas.openxmlformats.org/officeDocument/2006/relationships/hyperlink" Target="#'10 EVIDENCE &amp; DECISIONS'!A810" TargetMode="External" Id="rId752"/><Relationship Type="http://schemas.openxmlformats.org/officeDocument/2006/relationships/hyperlink" Target="#'10 EVIDENCE &amp; DECISIONS'!A811" TargetMode="External" Id="rId753"/><Relationship Type="http://schemas.openxmlformats.org/officeDocument/2006/relationships/hyperlink" Target="#'10 EVIDENCE &amp; DECISIONS'!A812" TargetMode="External" Id="rId754"/><Relationship Type="http://schemas.openxmlformats.org/officeDocument/2006/relationships/hyperlink" Target="#'10 EVIDENCE &amp; DECISIONS'!A813" TargetMode="External" Id="rId755"/><Relationship Type="http://schemas.openxmlformats.org/officeDocument/2006/relationships/hyperlink" Target="#'10 EVIDENCE &amp; DECISIONS'!A814" TargetMode="External" Id="rId756"/><Relationship Type="http://schemas.openxmlformats.org/officeDocument/2006/relationships/hyperlink" Target="#'10 EVIDENCE &amp; DECISIONS'!A716" TargetMode="External" Id="rId757"/><Relationship Type="http://schemas.openxmlformats.org/officeDocument/2006/relationships/hyperlink" Target="#'10 EVIDENCE &amp; DECISIONS'!A717" TargetMode="External" Id="rId758"/><Relationship Type="http://schemas.openxmlformats.org/officeDocument/2006/relationships/hyperlink" Target="#'10 EVIDENCE &amp; DECISIONS'!A718" TargetMode="External" Id="rId759"/><Relationship Type="http://schemas.openxmlformats.org/officeDocument/2006/relationships/hyperlink" Target="#'10 EVIDENCE &amp; DECISIONS'!A719" TargetMode="External" Id="rId760"/><Relationship Type="http://schemas.openxmlformats.org/officeDocument/2006/relationships/hyperlink" Target="#'10 EVIDENCE &amp; DECISIONS'!A720" TargetMode="External" Id="rId761"/><Relationship Type="http://schemas.openxmlformats.org/officeDocument/2006/relationships/hyperlink" Target="#'10 EVIDENCE &amp; DECISIONS'!A721" TargetMode="External" Id="rId762"/><Relationship Type="http://schemas.openxmlformats.org/officeDocument/2006/relationships/hyperlink" Target="#'10 EVIDENCE &amp; DECISIONS'!A722" TargetMode="External" Id="rId763"/><Relationship Type="http://schemas.openxmlformats.org/officeDocument/2006/relationships/hyperlink" Target="#'10 EVIDENCE &amp; DECISIONS'!A723" TargetMode="External" Id="rId764"/><Relationship Type="http://schemas.openxmlformats.org/officeDocument/2006/relationships/hyperlink" Target="#'10 EVIDENCE &amp; DECISIONS'!A724" TargetMode="External" Id="rId765"/><Relationship Type="http://schemas.openxmlformats.org/officeDocument/2006/relationships/hyperlink" Target="#'10 EVIDENCE &amp; DECISIONS'!A725" TargetMode="External" Id="rId766"/><Relationship Type="http://schemas.openxmlformats.org/officeDocument/2006/relationships/hyperlink" Target="#'10 EVIDENCE &amp; DECISIONS'!A726" TargetMode="External" Id="rId767"/><Relationship Type="http://schemas.openxmlformats.org/officeDocument/2006/relationships/hyperlink" Target="#'10 EVIDENCE &amp; DECISIONS'!A727" TargetMode="External" Id="rId768"/><Relationship Type="http://schemas.openxmlformats.org/officeDocument/2006/relationships/hyperlink" Target="#'10 EVIDENCE &amp; DECISIONS'!A728" TargetMode="External" Id="rId769"/><Relationship Type="http://schemas.openxmlformats.org/officeDocument/2006/relationships/hyperlink" Target="#'10 EVIDENCE &amp; DECISIONS'!A729" TargetMode="External" Id="rId770"/><Relationship Type="http://schemas.openxmlformats.org/officeDocument/2006/relationships/hyperlink" Target="#'10 EVIDENCE &amp; DECISIONS'!A730" TargetMode="External" Id="rId771"/><Relationship Type="http://schemas.openxmlformats.org/officeDocument/2006/relationships/hyperlink" Target="#'10 EVIDENCE &amp; DECISIONS'!A731" TargetMode="External" Id="rId772"/><Relationship Type="http://schemas.openxmlformats.org/officeDocument/2006/relationships/hyperlink" Target="#'10 EVIDENCE &amp; DECISIONS'!A732" TargetMode="External" Id="rId773"/><Relationship Type="http://schemas.openxmlformats.org/officeDocument/2006/relationships/hyperlink" Target="#'10 EVIDENCE &amp; DECISIONS'!A733" TargetMode="External" Id="rId774"/><Relationship Type="http://schemas.openxmlformats.org/officeDocument/2006/relationships/hyperlink" Target="#'10 EVIDENCE &amp; DECISIONS'!A734" TargetMode="External" Id="rId775"/><Relationship Type="http://schemas.openxmlformats.org/officeDocument/2006/relationships/hyperlink" Target="#'10 EVIDENCE &amp; DECISIONS'!A735" TargetMode="External" Id="rId776"/><Relationship Type="http://schemas.openxmlformats.org/officeDocument/2006/relationships/hyperlink" Target="#'10 EVIDENCE &amp; DECISIONS'!A736" TargetMode="External" Id="rId777"/><Relationship Type="http://schemas.openxmlformats.org/officeDocument/2006/relationships/hyperlink" Target="#'10 EVIDENCE &amp; DECISIONS'!A737" TargetMode="External" Id="rId778"/><Relationship Type="http://schemas.openxmlformats.org/officeDocument/2006/relationships/hyperlink" Target="#'10 EVIDENCE &amp; DECISIONS'!A738" TargetMode="External" Id="rId779"/><Relationship Type="http://schemas.openxmlformats.org/officeDocument/2006/relationships/hyperlink" Target="#'10 EVIDENCE &amp; DECISIONS'!A739" TargetMode="External" Id="rId780"/><Relationship Type="http://schemas.openxmlformats.org/officeDocument/2006/relationships/hyperlink" Target="#'10 EVIDENCE &amp; DECISIONS'!A740" TargetMode="External" Id="rId781"/><Relationship Type="http://schemas.openxmlformats.org/officeDocument/2006/relationships/hyperlink" Target="#'10 EVIDENCE &amp; DECISIONS'!A741" TargetMode="External" Id="rId782"/><Relationship Type="http://schemas.openxmlformats.org/officeDocument/2006/relationships/hyperlink" Target="#'10 EVIDENCE &amp; DECISIONS'!A742" TargetMode="External" Id="rId783"/><Relationship Type="http://schemas.openxmlformats.org/officeDocument/2006/relationships/hyperlink" Target="#'10 EVIDENCE &amp; DECISIONS'!A743" TargetMode="External" Id="rId784"/><Relationship Type="http://schemas.openxmlformats.org/officeDocument/2006/relationships/hyperlink" Target="#'10 EVIDENCE &amp; DECISIONS'!A744" TargetMode="External" Id="rId785"/><Relationship Type="http://schemas.openxmlformats.org/officeDocument/2006/relationships/hyperlink" Target="#'10 EVIDENCE &amp; DECISIONS'!A745" TargetMode="External" Id="rId786"/><Relationship Type="http://schemas.openxmlformats.org/officeDocument/2006/relationships/hyperlink" Target="#'10 EVIDENCE &amp; DECISIONS'!A746" TargetMode="External" Id="rId787"/><Relationship Type="http://schemas.openxmlformats.org/officeDocument/2006/relationships/hyperlink" Target="#'10 EVIDENCE &amp; DECISIONS'!A747" TargetMode="External" Id="rId788"/><Relationship Type="http://schemas.openxmlformats.org/officeDocument/2006/relationships/hyperlink" Target="#'10 EVIDENCE &amp; DECISIONS'!A748" TargetMode="External" Id="rId789"/><Relationship Type="http://schemas.openxmlformats.org/officeDocument/2006/relationships/hyperlink" Target="#'10 EVIDENCE &amp; DECISIONS'!A749" TargetMode="External" Id="rId790"/><Relationship Type="http://schemas.openxmlformats.org/officeDocument/2006/relationships/hyperlink" Target="#'10 EVIDENCE &amp; DECISIONS'!A750" TargetMode="External" Id="rId791"/><Relationship Type="http://schemas.openxmlformats.org/officeDocument/2006/relationships/hyperlink" Target="#'10 EVIDENCE &amp; DECISIONS'!A751" TargetMode="External" Id="rId792"/><Relationship Type="http://schemas.openxmlformats.org/officeDocument/2006/relationships/hyperlink" Target="#'10 EVIDENCE &amp; DECISIONS'!A752" TargetMode="External" Id="rId793"/><Relationship Type="http://schemas.openxmlformats.org/officeDocument/2006/relationships/hyperlink" Target="#'10 EVIDENCE &amp; DECISIONS'!A753" TargetMode="External" Id="rId794"/><Relationship Type="http://schemas.openxmlformats.org/officeDocument/2006/relationships/hyperlink" Target="#'10 EVIDENCE &amp; DECISIONS'!A754" TargetMode="External" Id="rId795"/><Relationship Type="http://schemas.openxmlformats.org/officeDocument/2006/relationships/hyperlink" Target="#'10 EVIDENCE &amp; DECISIONS'!A755" TargetMode="External" Id="rId796"/><Relationship Type="http://schemas.openxmlformats.org/officeDocument/2006/relationships/hyperlink" Target="#'10 EVIDENCE &amp; DECISIONS'!A756" TargetMode="External" Id="rId797"/><Relationship Type="http://schemas.openxmlformats.org/officeDocument/2006/relationships/hyperlink" Target="#'10 EVIDENCE &amp; DECISIONS'!A757" TargetMode="External" Id="rId798"/><Relationship Type="http://schemas.openxmlformats.org/officeDocument/2006/relationships/hyperlink" Target="#'10 EVIDENCE &amp; DECISIONS'!A758" TargetMode="External" Id="rId799"/><Relationship Type="http://schemas.openxmlformats.org/officeDocument/2006/relationships/hyperlink" Target="#'10 EVIDENCE &amp; DECISIONS'!A759" TargetMode="External" Id="rId800"/><Relationship Type="http://schemas.openxmlformats.org/officeDocument/2006/relationships/hyperlink" Target="#'10 EVIDENCE &amp; DECISIONS'!A760" TargetMode="External" Id="rId801"/><Relationship Type="http://schemas.openxmlformats.org/officeDocument/2006/relationships/hyperlink" Target="#'10 EVIDENCE &amp; DECISIONS'!A761" TargetMode="External" Id="rId802"/><Relationship Type="http://schemas.openxmlformats.org/officeDocument/2006/relationships/hyperlink" Target="#'10 EVIDENCE &amp; DECISIONS'!A762" TargetMode="External" Id="rId803"/><Relationship Type="http://schemas.openxmlformats.org/officeDocument/2006/relationships/hyperlink" Target="#'10 EVIDENCE &amp; DECISIONS'!A763" TargetMode="External" Id="rId804"/><Relationship Type="http://schemas.openxmlformats.org/officeDocument/2006/relationships/hyperlink" Target="#'10 EVIDENCE &amp; DECISIONS'!A764" TargetMode="External" Id="rId805"/><Relationship Type="http://schemas.openxmlformats.org/officeDocument/2006/relationships/hyperlink" Target="#'10 EVIDENCE &amp; DECISIONS'!A765" TargetMode="External" Id="rId806"/><Relationship Type="http://schemas.openxmlformats.org/officeDocument/2006/relationships/hyperlink" Target="#'10 EVIDENCE &amp; DECISIONS'!A766" TargetMode="External" Id="rId807"/><Relationship Type="http://schemas.openxmlformats.org/officeDocument/2006/relationships/hyperlink" Target="#'10 EVIDENCE &amp; DECISIONS'!A767" TargetMode="External" Id="rId808"/><Relationship Type="http://schemas.openxmlformats.org/officeDocument/2006/relationships/hyperlink" Target="#'10 EVIDENCE &amp; DECISIONS'!A768" TargetMode="External" Id="rId809"/><Relationship Type="http://schemas.openxmlformats.org/officeDocument/2006/relationships/hyperlink" Target="#'10 EVIDENCE &amp; DECISIONS'!A769" TargetMode="External" Id="rId810"/><Relationship Type="http://schemas.openxmlformats.org/officeDocument/2006/relationships/hyperlink" Target="#'10 EVIDENCE &amp; DECISIONS'!A770" TargetMode="External" Id="rId811"/><Relationship Type="http://schemas.openxmlformats.org/officeDocument/2006/relationships/hyperlink" Target="#'10 EVIDENCE &amp; DECISIONS'!A771" TargetMode="External" Id="rId812"/><Relationship Type="http://schemas.openxmlformats.org/officeDocument/2006/relationships/hyperlink" Target="#'10 EVIDENCE &amp; DECISIONS'!A772" TargetMode="External" Id="rId813"/><Relationship Type="http://schemas.openxmlformats.org/officeDocument/2006/relationships/hyperlink" Target="#'10 EVIDENCE &amp; DECISIONS'!A773" TargetMode="External" Id="rId814"/><Relationship Type="http://schemas.openxmlformats.org/officeDocument/2006/relationships/hyperlink" Target="#'10 EVIDENCE &amp; DECISIONS'!A774" TargetMode="External" Id="rId815"/><Relationship Type="http://schemas.openxmlformats.org/officeDocument/2006/relationships/hyperlink" Target="#'10 EVIDENCE &amp; DECISIONS'!A775" TargetMode="External" Id="rId816"/><Relationship Type="http://schemas.openxmlformats.org/officeDocument/2006/relationships/hyperlink" Target="#'10 EVIDENCE &amp; DECISIONS'!A815" TargetMode="External" Id="rId817"/><Relationship Type="http://schemas.openxmlformats.org/officeDocument/2006/relationships/hyperlink" Target="#'10 EVIDENCE &amp; DECISIONS'!A816" TargetMode="External" Id="rId818"/><Relationship Type="http://schemas.openxmlformats.org/officeDocument/2006/relationships/hyperlink" Target="#'10 EVIDENCE &amp; DECISIONS'!A817" TargetMode="External" Id="rId819"/><Relationship Type="http://schemas.openxmlformats.org/officeDocument/2006/relationships/hyperlink" Target="#'10 EVIDENCE &amp; DECISIONS'!A818" TargetMode="External" Id="rId820"/><Relationship Type="http://schemas.openxmlformats.org/officeDocument/2006/relationships/hyperlink" Target="#'10 EVIDENCE &amp; DECISIONS'!A819" TargetMode="External" Id="rId821"/><Relationship Type="http://schemas.openxmlformats.org/officeDocument/2006/relationships/hyperlink" Target="#'10 EVIDENCE &amp; DECISIONS'!A820" TargetMode="External" Id="rId822"/><Relationship Type="http://schemas.openxmlformats.org/officeDocument/2006/relationships/hyperlink" Target="#'10 EVIDENCE &amp; DECISIONS'!A821" TargetMode="External" Id="rId823"/><Relationship Type="http://schemas.openxmlformats.org/officeDocument/2006/relationships/hyperlink" Target="#'10 EVIDENCE &amp; DECISIONS'!A822" TargetMode="External" Id="rId824"/><Relationship Type="http://schemas.openxmlformats.org/officeDocument/2006/relationships/hyperlink" Target="#'10 EVIDENCE &amp; DECISIONS'!A823" TargetMode="External" Id="rId825"/><Relationship Type="http://schemas.openxmlformats.org/officeDocument/2006/relationships/hyperlink" Target="#'10 EVIDENCE &amp; DECISIONS'!A824" TargetMode="External" Id="rId826"/><Relationship Type="http://schemas.openxmlformats.org/officeDocument/2006/relationships/hyperlink" Target="#'10 EVIDENCE &amp; DECISIONS'!A945" TargetMode="External" Id="rId827"/><Relationship Type="http://schemas.openxmlformats.org/officeDocument/2006/relationships/hyperlink" Target="#'10 EVIDENCE &amp; DECISIONS'!A946" TargetMode="External" Id="rId828"/><Relationship Type="http://schemas.openxmlformats.org/officeDocument/2006/relationships/hyperlink" Target="#'10 EVIDENCE &amp; DECISIONS'!A947" TargetMode="External" Id="rId829"/><Relationship Type="http://schemas.openxmlformats.org/officeDocument/2006/relationships/hyperlink" Target="#'10 EVIDENCE &amp; DECISIONS'!A948" TargetMode="External" Id="rId830"/><Relationship Type="http://schemas.openxmlformats.org/officeDocument/2006/relationships/hyperlink" Target="#'10 EVIDENCE &amp; DECISIONS'!A949" TargetMode="External" Id="rId831"/><Relationship Type="http://schemas.openxmlformats.org/officeDocument/2006/relationships/hyperlink" Target="#'10 EVIDENCE &amp; DECISIONS'!A950" TargetMode="External" Id="rId832"/><Relationship Type="http://schemas.openxmlformats.org/officeDocument/2006/relationships/hyperlink" Target="#'10 EVIDENCE &amp; DECISIONS'!A951" TargetMode="External" Id="rId833"/><Relationship Type="http://schemas.openxmlformats.org/officeDocument/2006/relationships/hyperlink" Target="#'10 EVIDENCE &amp; DECISIONS'!A952" TargetMode="External" Id="rId834"/><Relationship Type="http://schemas.openxmlformats.org/officeDocument/2006/relationships/hyperlink" Target="#'10 EVIDENCE &amp; DECISIONS'!A953" TargetMode="External" Id="rId835"/><Relationship Type="http://schemas.openxmlformats.org/officeDocument/2006/relationships/hyperlink" Target="#'10 EVIDENCE &amp; DECISIONS'!A954" TargetMode="External" Id="rId836"/><Relationship Type="http://schemas.openxmlformats.org/officeDocument/2006/relationships/hyperlink" Target="#'10 EVIDENCE &amp; DECISIONS'!A955" TargetMode="External" Id="rId837"/><Relationship Type="http://schemas.openxmlformats.org/officeDocument/2006/relationships/hyperlink" Target="#'10 EVIDENCE &amp; DECISIONS'!A956" TargetMode="External" Id="rId838"/><Relationship Type="http://schemas.openxmlformats.org/officeDocument/2006/relationships/hyperlink" Target="#'10 EVIDENCE &amp; DECISIONS'!A957" TargetMode="External" Id="rId839"/><Relationship Type="http://schemas.openxmlformats.org/officeDocument/2006/relationships/hyperlink" Target="#'10 EVIDENCE &amp; DECISIONS'!A958" TargetMode="External" Id="rId840"/><Relationship Type="http://schemas.openxmlformats.org/officeDocument/2006/relationships/hyperlink" Target="#'10 EVIDENCE &amp; DECISIONS'!A959" TargetMode="External" Id="rId841"/><Relationship Type="http://schemas.openxmlformats.org/officeDocument/2006/relationships/hyperlink" Target="#'10 EVIDENCE &amp; DECISIONS'!A960" TargetMode="External" Id="rId842"/><Relationship Type="http://schemas.openxmlformats.org/officeDocument/2006/relationships/hyperlink" Target="#'10 EVIDENCE &amp; DECISIONS'!A961" TargetMode="External" Id="rId843"/><Relationship Type="http://schemas.openxmlformats.org/officeDocument/2006/relationships/hyperlink" Target="#'10 EVIDENCE &amp; DECISIONS'!A962" TargetMode="External" Id="rId844"/><Relationship Type="http://schemas.openxmlformats.org/officeDocument/2006/relationships/hyperlink" Target="#'10 EVIDENCE &amp; DECISIONS'!A963" TargetMode="External" Id="rId845"/><Relationship Type="http://schemas.openxmlformats.org/officeDocument/2006/relationships/hyperlink" Target="#'10 EVIDENCE &amp; DECISIONS'!A964" TargetMode="External" Id="rId846"/><Relationship Type="http://schemas.openxmlformats.org/officeDocument/2006/relationships/hyperlink" Target="#'10 EVIDENCE &amp; DECISIONS'!A965" TargetMode="External" Id="rId847"/><Relationship Type="http://schemas.openxmlformats.org/officeDocument/2006/relationships/hyperlink" Target="#'10 EVIDENCE &amp; DECISIONS'!A966" TargetMode="External" Id="rId848"/><Relationship Type="http://schemas.openxmlformats.org/officeDocument/2006/relationships/hyperlink" Target="#'10 EVIDENCE &amp; DECISIONS'!A967" TargetMode="External" Id="rId849"/><Relationship Type="http://schemas.openxmlformats.org/officeDocument/2006/relationships/hyperlink" Target="#'10 EVIDENCE &amp; DECISIONS'!A968" TargetMode="External" Id="rId850"/><Relationship Type="http://schemas.openxmlformats.org/officeDocument/2006/relationships/hyperlink" Target="#'10 EVIDENCE &amp; DECISIONS'!A969" TargetMode="External" Id="rId851"/><Relationship Type="http://schemas.openxmlformats.org/officeDocument/2006/relationships/hyperlink" Target="#'10 EVIDENCE &amp; DECISIONS'!A970" TargetMode="External" Id="rId852"/><Relationship Type="http://schemas.openxmlformats.org/officeDocument/2006/relationships/hyperlink" Target="#'10 EVIDENCE &amp; DECISIONS'!A971" TargetMode="External" Id="rId853"/><Relationship Type="http://schemas.openxmlformats.org/officeDocument/2006/relationships/hyperlink" Target="#'10 EVIDENCE &amp; DECISIONS'!A972" TargetMode="External" Id="rId854"/><Relationship Type="http://schemas.openxmlformats.org/officeDocument/2006/relationships/hyperlink" Target="#'10 EVIDENCE &amp; DECISIONS'!A973" TargetMode="External" Id="rId855"/><Relationship Type="http://schemas.openxmlformats.org/officeDocument/2006/relationships/hyperlink" Target="#'10 EVIDENCE &amp; DECISIONS'!A974" TargetMode="External" Id="rId856"/><Relationship Type="http://schemas.openxmlformats.org/officeDocument/2006/relationships/hyperlink" Target="#'10 EVIDENCE &amp; DECISIONS'!A975" TargetMode="External" Id="rId857"/><Relationship Type="http://schemas.openxmlformats.org/officeDocument/2006/relationships/hyperlink" Target="#'10 EVIDENCE &amp; DECISIONS'!A976" TargetMode="External" Id="rId858"/><Relationship Type="http://schemas.openxmlformats.org/officeDocument/2006/relationships/hyperlink" Target="#'10 EVIDENCE &amp; DECISIONS'!A977" TargetMode="External" Id="rId859"/><Relationship Type="http://schemas.openxmlformats.org/officeDocument/2006/relationships/hyperlink" Target="#'10 EVIDENCE &amp; DECISIONS'!A978" TargetMode="External" Id="rId860"/><Relationship Type="http://schemas.openxmlformats.org/officeDocument/2006/relationships/hyperlink" Target="#'10 EVIDENCE &amp; DECISIONS'!A979" TargetMode="External" Id="rId861"/><Relationship Type="http://schemas.openxmlformats.org/officeDocument/2006/relationships/hyperlink" Target="#'10 EVIDENCE &amp; DECISIONS'!A980" TargetMode="External" Id="rId862"/><Relationship Type="http://schemas.openxmlformats.org/officeDocument/2006/relationships/hyperlink" Target="#'10 EVIDENCE &amp; DECISIONS'!A981" TargetMode="External" Id="rId863"/><Relationship Type="http://schemas.openxmlformats.org/officeDocument/2006/relationships/hyperlink" Target="#'10 EVIDENCE &amp; DECISIONS'!A982" TargetMode="External" Id="rId864"/><Relationship Type="http://schemas.openxmlformats.org/officeDocument/2006/relationships/hyperlink" Target="#'10 EVIDENCE &amp; DECISIONS'!A983" TargetMode="External" Id="rId865"/><Relationship Type="http://schemas.openxmlformats.org/officeDocument/2006/relationships/hyperlink" Target="#'10 EVIDENCE &amp; DECISIONS'!A984" TargetMode="External" Id="rId866"/><Relationship Type="http://schemas.openxmlformats.org/officeDocument/2006/relationships/hyperlink" Target="#'10 EVIDENCE &amp; DECISIONS'!A825" TargetMode="External" Id="rId867"/><Relationship Type="http://schemas.openxmlformats.org/officeDocument/2006/relationships/hyperlink" Target="#'10 EVIDENCE &amp; DECISIONS'!A826" TargetMode="External" Id="rId868"/><Relationship Type="http://schemas.openxmlformats.org/officeDocument/2006/relationships/hyperlink" Target="#'10 EVIDENCE &amp; DECISIONS'!A827" TargetMode="External" Id="rId869"/><Relationship Type="http://schemas.openxmlformats.org/officeDocument/2006/relationships/hyperlink" Target="#'10 EVIDENCE &amp; DECISIONS'!A828" TargetMode="External" Id="rId870"/><Relationship Type="http://schemas.openxmlformats.org/officeDocument/2006/relationships/hyperlink" Target="#'10 EVIDENCE &amp; DECISIONS'!A829" TargetMode="External" Id="rId871"/><Relationship Type="http://schemas.openxmlformats.org/officeDocument/2006/relationships/hyperlink" Target="#'10 EVIDENCE &amp; DECISIONS'!A830" TargetMode="External" Id="rId872"/><Relationship Type="http://schemas.openxmlformats.org/officeDocument/2006/relationships/hyperlink" Target="#'10 EVIDENCE &amp; DECISIONS'!A831" TargetMode="External" Id="rId873"/><Relationship Type="http://schemas.openxmlformats.org/officeDocument/2006/relationships/hyperlink" Target="#'10 EVIDENCE &amp; DECISIONS'!A832" TargetMode="External" Id="rId874"/><Relationship Type="http://schemas.openxmlformats.org/officeDocument/2006/relationships/hyperlink" Target="#'10 EVIDENCE &amp; DECISIONS'!A833" TargetMode="External" Id="rId875"/><Relationship Type="http://schemas.openxmlformats.org/officeDocument/2006/relationships/hyperlink" Target="#'10 EVIDENCE &amp; DECISIONS'!A834" TargetMode="External" Id="rId876"/><Relationship Type="http://schemas.openxmlformats.org/officeDocument/2006/relationships/hyperlink" Target="#'10 EVIDENCE &amp; DECISIONS'!A835" TargetMode="External" Id="rId877"/><Relationship Type="http://schemas.openxmlformats.org/officeDocument/2006/relationships/hyperlink" Target="#'10 EVIDENCE &amp; DECISIONS'!A836" TargetMode="External" Id="rId878"/><Relationship Type="http://schemas.openxmlformats.org/officeDocument/2006/relationships/hyperlink" Target="#'10 EVIDENCE &amp; DECISIONS'!A837" TargetMode="External" Id="rId879"/><Relationship Type="http://schemas.openxmlformats.org/officeDocument/2006/relationships/hyperlink" Target="#'10 EVIDENCE &amp; DECISIONS'!A838" TargetMode="External" Id="rId880"/><Relationship Type="http://schemas.openxmlformats.org/officeDocument/2006/relationships/hyperlink" Target="#'10 EVIDENCE &amp; DECISIONS'!A839" TargetMode="External" Id="rId881"/><Relationship Type="http://schemas.openxmlformats.org/officeDocument/2006/relationships/hyperlink" Target="#'10 EVIDENCE &amp; DECISIONS'!A840" TargetMode="External" Id="rId882"/><Relationship Type="http://schemas.openxmlformats.org/officeDocument/2006/relationships/hyperlink" Target="#'10 EVIDENCE &amp; DECISIONS'!A841" TargetMode="External" Id="rId883"/><Relationship Type="http://schemas.openxmlformats.org/officeDocument/2006/relationships/hyperlink" Target="#'10 EVIDENCE &amp; DECISIONS'!A842" TargetMode="External" Id="rId884"/><Relationship Type="http://schemas.openxmlformats.org/officeDocument/2006/relationships/hyperlink" Target="#'10 EVIDENCE &amp; DECISIONS'!A843" TargetMode="External" Id="rId885"/><Relationship Type="http://schemas.openxmlformats.org/officeDocument/2006/relationships/hyperlink" Target="#'10 EVIDENCE &amp; DECISIONS'!A844" TargetMode="External" Id="rId886"/><Relationship Type="http://schemas.openxmlformats.org/officeDocument/2006/relationships/hyperlink" Target="#'10 EVIDENCE &amp; DECISIONS'!A845" TargetMode="External" Id="rId887"/><Relationship Type="http://schemas.openxmlformats.org/officeDocument/2006/relationships/hyperlink" Target="#'10 EVIDENCE &amp; DECISIONS'!A846" TargetMode="External" Id="rId888"/><Relationship Type="http://schemas.openxmlformats.org/officeDocument/2006/relationships/hyperlink" Target="#'10 EVIDENCE &amp; DECISIONS'!A847" TargetMode="External" Id="rId889"/><Relationship Type="http://schemas.openxmlformats.org/officeDocument/2006/relationships/hyperlink" Target="#'10 EVIDENCE &amp; DECISIONS'!A848" TargetMode="External" Id="rId890"/><Relationship Type="http://schemas.openxmlformats.org/officeDocument/2006/relationships/hyperlink" Target="#'10 EVIDENCE &amp; DECISIONS'!A849" TargetMode="External" Id="rId891"/><Relationship Type="http://schemas.openxmlformats.org/officeDocument/2006/relationships/hyperlink" Target="#'10 EVIDENCE &amp; DECISIONS'!A850" TargetMode="External" Id="rId892"/><Relationship Type="http://schemas.openxmlformats.org/officeDocument/2006/relationships/hyperlink" Target="#'10 EVIDENCE &amp; DECISIONS'!A851" TargetMode="External" Id="rId893"/><Relationship Type="http://schemas.openxmlformats.org/officeDocument/2006/relationships/hyperlink" Target="#'10 EVIDENCE &amp; DECISIONS'!A852" TargetMode="External" Id="rId894"/><Relationship Type="http://schemas.openxmlformats.org/officeDocument/2006/relationships/hyperlink" Target="#'10 EVIDENCE &amp; DECISIONS'!A853" TargetMode="External" Id="rId895"/><Relationship Type="http://schemas.openxmlformats.org/officeDocument/2006/relationships/hyperlink" Target="#'10 EVIDENCE &amp; DECISIONS'!A854" TargetMode="External" Id="rId896"/><Relationship Type="http://schemas.openxmlformats.org/officeDocument/2006/relationships/hyperlink" Target="#'10 EVIDENCE &amp; DECISIONS'!A855" TargetMode="External" Id="rId897"/><Relationship Type="http://schemas.openxmlformats.org/officeDocument/2006/relationships/hyperlink" Target="#'10 EVIDENCE &amp; DECISIONS'!A856" TargetMode="External" Id="rId898"/><Relationship Type="http://schemas.openxmlformats.org/officeDocument/2006/relationships/hyperlink" Target="#'10 EVIDENCE &amp; DECISIONS'!A857" TargetMode="External" Id="rId899"/><Relationship Type="http://schemas.openxmlformats.org/officeDocument/2006/relationships/hyperlink" Target="#'10 EVIDENCE &amp; DECISIONS'!A858" TargetMode="External" Id="rId900"/><Relationship Type="http://schemas.openxmlformats.org/officeDocument/2006/relationships/hyperlink" Target="#'10 EVIDENCE &amp; DECISIONS'!A859" TargetMode="External" Id="rId901"/><Relationship Type="http://schemas.openxmlformats.org/officeDocument/2006/relationships/hyperlink" Target="#'10 EVIDENCE &amp; DECISIONS'!A860" TargetMode="External" Id="rId902"/><Relationship Type="http://schemas.openxmlformats.org/officeDocument/2006/relationships/hyperlink" Target="#'10 EVIDENCE &amp; DECISIONS'!A861" TargetMode="External" Id="rId903"/><Relationship Type="http://schemas.openxmlformats.org/officeDocument/2006/relationships/hyperlink" Target="#'10 EVIDENCE &amp; DECISIONS'!A862" TargetMode="External" Id="rId904"/><Relationship Type="http://schemas.openxmlformats.org/officeDocument/2006/relationships/hyperlink" Target="#'10 EVIDENCE &amp; DECISIONS'!A863" TargetMode="External" Id="rId905"/><Relationship Type="http://schemas.openxmlformats.org/officeDocument/2006/relationships/hyperlink" Target="#'10 EVIDENCE &amp; DECISIONS'!A864" TargetMode="External" Id="rId906"/><Relationship Type="http://schemas.openxmlformats.org/officeDocument/2006/relationships/hyperlink" Target="#'10 EVIDENCE &amp; DECISIONS'!A865" TargetMode="External" Id="rId907"/><Relationship Type="http://schemas.openxmlformats.org/officeDocument/2006/relationships/hyperlink" Target="#'10 EVIDENCE &amp; DECISIONS'!A866" TargetMode="External" Id="rId908"/><Relationship Type="http://schemas.openxmlformats.org/officeDocument/2006/relationships/hyperlink" Target="#'10 EVIDENCE &amp; DECISIONS'!A867" TargetMode="External" Id="rId909"/><Relationship Type="http://schemas.openxmlformats.org/officeDocument/2006/relationships/hyperlink" Target="#'10 EVIDENCE &amp; DECISIONS'!A868" TargetMode="External" Id="rId910"/><Relationship Type="http://schemas.openxmlformats.org/officeDocument/2006/relationships/hyperlink" Target="#'10 EVIDENCE &amp; DECISIONS'!A869" TargetMode="External" Id="rId911"/><Relationship Type="http://schemas.openxmlformats.org/officeDocument/2006/relationships/hyperlink" Target="#'10 EVIDENCE &amp; DECISIONS'!A870" TargetMode="External" Id="rId912"/><Relationship Type="http://schemas.openxmlformats.org/officeDocument/2006/relationships/hyperlink" Target="#'10 EVIDENCE &amp; DECISIONS'!A871" TargetMode="External" Id="rId913"/><Relationship Type="http://schemas.openxmlformats.org/officeDocument/2006/relationships/hyperlink" Target="#'10 EVIDENCE &amp; DECISIONS'!A872" TargetMode="External" Id="rId914"/><Relationship Type="http://schemas.openxmlformats.org/officeDocument/2006/relationships/hyperlink" Target="#'10 EVIDENCE &amp; DECISIONS'!A873" TargetMode="External" Id="rId915"/><Relationship Type="http://schemas.openxmlformats.org/officeDocument/2006/relationships/hyperlink" Target="#'10 EVIDENCE &amp; DECISIONS'!A874" TargetMode="External" Id="rId916"/><Relationship Type="http://schemas.openxmlformats.org/officeDocument/2006/relationships/hyperlink" Target="#'10 EVIDENCE &amp; DECISIONS'!A875" TargetMode="External" Id="rId917"/><Relationship Type="http://schemas.openxmlformats.org/officeDocument/2006/relationships/hyperlink" Target="#'10 EVIDENCE &amp; DECISIONS'!A876" TargetMode="External" Id="rId918"/><Relationship Type="http://schemas.openxmlformats.org/officeDocument/2006/relationships/hyperlink" Target="#'10 EVIDENCE &amp; DECISIONS'!A877" TargetMode="External" Id="rId919"/><Relationship Type="http://schemas.openxmlformats.org/officeDocument/2006/relationships/hyperlink" Target="#'10 EVIDENCE &amp; DECISIONS'!A878" TargetMode="External" Id="rId920"/><Relationship Type="http://schemas.openxmlformats.org/officeDocument/2006/relationships/hyperlink" Target="#'10 EVIDENCE &amp; DECISIONS'!A879" TargetMode="External" Id="rId921"/><Relationship Type="http://schemas.openxmlformats.org/officeDocument/2006/relationships/hyperlink" Target="#'10 EVIDENCE &amp; DECISIONS'!A880" TargetMode="External" Id="rId922"/><Relationship Type="http://schemas.openxmlformats.org/officeDocument/2006/relationships/hyperlink" Target="#'10 EVIDENCE &amp; DECISIONS'!A881" TargetMode="External" Id="rId923"/><Relationship Type="http://schemas.openxmlformats.org/officeDocument/2006/relationships/hyperlink" Target="#'10 EVIDENCE &amp; DECISIONS'!A882" TargetMode="External" Id="rId924"/><Relationship Type="http://schemas.openxmlformats.org/officeDocument/2006/relationships/hyperlink" Target="#'10 EVIDENCE &amp; DECISIONS'!A883" TargetMode="External" Id="rId925"/><Relationship Type="http://schemas.openxmlformats.org/officeDocument/2006/relationships/hyperlink" Target="#'10 EVIDENCE &amp; DECISIONS'!A884" TargetMode="External" Id="rId926"/><Relationship Type="http://schemas.openxmlformats.org/officeDocument/2006/relationships/hyperlink" Target="#'10 EVIDENCE &amp; DECISIONS'!A885" TargetMode="External" Id="rId927"/><Relationship Type="http://schemas.openxmlformats.org/officeDocument/2006/relationships/hyperlink" Target="#'10 EVIDENCE &amp; DECISIONS'!A886" TargetMode="External" Id="rId928"/><Relationship Type="http://schemas.openxmlformats.org/officeDocument/2006/relationships/hyperlink" Target="#'10 EVIDENCE &amp; DECISIONS'!A887" TargetMode="External" Id="rId929"/><Relationship Type="http://schemas.openxmlformats.org/officeDocument/2006/relationships/hyperlink" Target="#'10 EVIDENCE &amp; DECISIONS'!A888" TargetMode="External" Id="rId930"/><Relationship Type="http://schemas.openxmlformats.org/officeDocument/2006/relationships/hyperlink" Target="#'10 EVIDENCE &amp; DECISIONS'!A889" TargetMode="External" Id="rId931"/><Relationship Type="http://schemas.openxmlformats.org/officeDocument/2006/relationships/hyperlink" Target="#'10 EVIDENCE &amp; DECISIONS'!A890" TargetMode="External" Id="rId932"/><Relationship Type="http://schemas.openxmlformats.org/officeDocument/2006/relationships/hyperlink" Target="#'10 EVIDENCE &amp; DECISIONS'!A891" TargetMode="External" Id="rId933"/><Relationship Type="http://schemas.openxmlformats.org/officeDocument/2006/relationships/hyperlink" Target="#'10 EVIDENCE &amp; DECISIONS'!A892" TargetMode="External" Id="rId934"/><Relationship Type="http://schemas.openxmlformats.org/officeDocument/2006/relationships/hyperlink" Target="#'10 EVIDENCE &amp; DECISIONS'!A893" TargetMode="External" Id="rId935"/><Relationship Type="http://schemas.openxmlformats.org/officeDocument/2006/relationships/hyperlink" Target="#'10 EVIDENCE &amp; DECISIONS'!A894" TargetMode="External" Id="rId936"/><Relationship Type="http://schemas.openxmlformats.org/officeDocument/2006/relationships/hyperlink" Target="#'10 EVIDENCE &amp; DECISIONS'!A895" TargetMode="External" Id="rId937"/><Relationship Type="http://schemas.openxmlformats.org/officeDocument/2006/relationships/hyperlink" Target="#'10 EVIDENCE &amp; DECISIONS'!A896" TargetMode="External" Id="rId938"/><Relationship Type="http://schemas.openxmlformats.org/officeDocument/2006/relationships/hyperlink" Target="#'10 EVIDENCE &amp; DECISIONS'!A897" TargetMode="External" Id="rId939"/><Relationship Type="http://schemas.openxmlformats.org/officeDocument/2006/relationships/hyperlink" Target="#'10 EVIDENCE &amp; DECISIONS'!A898" TargetMode="External" Id="rId940"/><Relationship Type="http://schemas.openxmlformats.org/officeDocument/2006/relationships/hyperlink" Target="#'10 EVIDENCE &amp; DECISIONS'!A899" TargetMode="External" Id="rId941"/><Relationship Type="http://schemas.openxmlformats.org/officeDocument/2006/relationships/hyperlink" Target="#'10 EVIDENCE &amp; DECISIONS'!A900" TargetMode="External" Id="rId942"/><Relationship Type="http://schemas.openxmlformats.org/officeDocument/2006/relationships/hyperlink" Target="#'10 EVIDENCE &amp; DECISIONS'!A901" TargetMode="External" Id="rId943"/><Relationship Type="http://schemas.openxmlformats.org/officeDocument/2006/relationships/hyperlink" Target="#'10 EVIDENCE &amp; DECISIONS'!A902" TargetMode="External" Id="rId944"/><Relationship Type="http://schemas.openxmlformats.org/officeDocument/2006/relationships/hyperlink" Target="#'10 EVIDENCE &amp; DECISIONS'!A903" TargetMode="External" Id="rId945"/><Relationship Type="http://schemas.openxmlformats.org/officeDocument/2006/relationships/hyperlink" Target="#'10 EVIDENCE &amp; DECISIONS'!A904" TargetMode="External" Id="rId946"/><Relationship Type="http://schemas.openxmlformats.org/officeDocument/2006/relationships/hyperlink" Target="#'10 EVIDENCE &amp; DECISIONS'!A905" TargetMode="External" Id="rId947"/><Relationship Type="http://schemas.openxmlformats.org/officeDocument/2006/relationships/hyperlink" Target="#'10 EVIDENCE &amp; DECISIONS'!A906" TargetMode="External" Id="rId948"/><Relationship Type="http://schemas.openxmlformats.org/officeDocument/2006/relationships/hyperlink" Target="#'10 EVIDENCE &amp; DECISIONS'!A907" TargetMode="External" Id="rId949"/><Relationship Type="http://schemas.openxmlformats.org/officeDocument/2006/relationships/hyperlink" Target="#'10 EVIDENCE &amp; DECISIONS'!A908" TargetMode="External" Id="rId950"/><Relationship Type="http://schemas.openxmlformats.org/officeDocument/2006/relationships/hyperlink" Target="#'10 EVIDENCE &amp; DECISIONS'!A909" TargetMode="External" Id="rId951"/><Relationship Type="http://schemas.openxmlformats.org/officeDocument/2006/relationships/hyperlink" Target="#'10 EVIDENCE &amp; DECISIONS'!A910" TargetMode="External" Id="rId952"/><Relationship Type="http://schemas.openxmlformats.org/officeDocument/2006/relationships/hyperlink" Target="#'10 EVIDENCE &amp; DECISIONS'!A911" TargetMode="External" Id="rId953"/><Relationship Type="http://schemas.openxmlformats.org/officeDocument/2006/relationships/hyperlink" Target="#'10 EVIDENCE &amp; DECISIONS'!A912" TargetMode="External" Id="rId954"/><Relationship Type="http://schemas.openxmlformats.org/officeDocument/2006/relationships/hyperlink" Target="#'10 EVIDENCE &amp; DECISIONS'!A913" TargetMode="External" Id="rId955"/><Relationship Type="http://schemas.openxmlformats.org/officeDocument/2006/relationships/hyperlink" Target="#'10 EVIDENCE &amp; DECISIONS'!A914" TargetMode="External" Id="rId956"/><Relationship Type="http://schemas.openxmlformats.org/officeDocument/2006/relationships/hyperlink" Target="#'10 EVIDENCE &amp; DECISIONS'!A915" TargetMode="External" Id="rId957"/><Relationship Type="http://schemas.openxmlformats.org/officeDocument/2006/relationships/hyperlink" Target="#'10 EVIDENCE &amp; DECISIONS'!A916" TargetMode="External" Id="rId958"/><Relationship Type="http://schemas.openxmlformats.org/officeDocument/2006/relationships/hyperlink" Target="#'10 EVIDENCE &amp; DECISIONS'!A917" TargetMode="External" Id="rId959"/><Relationship Type="http://schemas.openxmlformats.org/officeDocument/2006/relationships/hyperlink" Target="#'10 EVIDENCE &amp; DECISIONS'!A918" TargetMode="External" Id="rId960"/><Relationship Type="http://schemas.openxmlformats.org/officeDocument/2006/relationships/hyperlink" Target="#'10 EVIDENCE &amp; DECISIONS'!A919" TargetMode="External" Id="rId961"/><Relationship Type="http://schemas.openxmlformats.org/officeDocument/2006/relationships/hyperlink" Target="#'10 EVIDENCE &amp; DECISIONS'!A920" TargetMode="External" Id="rId962"/><Relationship Type="http://schemas.openxmlformats.org/officeDocument/2006/relationships/hyperlink" Target="#'10 EVIDENCE &amp; DECISIONS'!A921" TargetMode="External" Id="rId963"/><Relationship Type="http://schemas.openxmlformats.org/officeDocument/2006/relationships/hyperlink" Target="#'10 EVIDENCE &amp; DECISIONS'!A922" TargetMode="External" Id="rId964"/><Relationship Type="http://schemas.openxmlformats.org/officeDocument/2006/relationships/hyperlink" Target="#'10 EVIDENCE &amp; DECISIONS'!A923" TargetMode="External" Id="rId965"/><Relationship Type="http://schemas.openxmlformats.org/officeDocument/2006/relationships/hyperlink" Target="#'10 EVIDENCE &amp; DECISIONS'!A924" TargetMode="External" Id="rId966"/><Relationship Type="http://schemas.openxmlformats.org/officeDocument/2006/relationships/hyperlink" Target="#'10 EVIDENCE &amp; DECISIONS'!A925" TargetMode="External" Id="rId967"/><Relationship Type="http://schemas.openxmlformats.org/officeDocument/2006/relationships/hyperlink" Target="#'10 EVIDENCE &amp; DECISIONS'!A926" TargetMode="External" Id="rId968"/><Relationship Type="http://schemas.openxmlformats.org/officeDocument/2006/relationships/hyperlink" Target="#'10 EVIDENCE &amp; DECISIONS'!A927" TargetMode="External" Id="rId969"/><Relationship Type="http://schemas.openxmlformats.org/officeDocument/2006/relationships/hyperlink" Target="#'10 EVIDENCE &amp; DECISIONS'!A928" TargetMode="External" Id="rId970"/><Relationship Type="http://schemas.openxmlformats.org/officeDocument/2006/relationships/hyperlink" Target="#'10 EVIDENCE &amp; DECISIONS'!A929" TargetMode="External" Id="rId971"/><Relationship Type="http://schemas.openxmlformats.org/officeDocument/2006/relationships/hyperlink" Target="#'10 EVIDENCE &amp; DECISIONS'!A930" TargetMode="External" Id="rId972"/><Relationship Type="http://schemas.openxmlformats.org/officeDocument/2006/relationships/hyperlink" Target="#'10 EVIDENCE &amp; DECISIONS'!A931" TargetMode="External" Id="rId973"/><Relationship Type="http://schemas.openxmlformats.org/officeDocument/2006/relationships/hyperlink" Target="#'10 EVIDENCE &amp; DECISIONS'!A932" TargetMode="External" Id="rId974"/><Relationship Type="http://schemas.openxmlformats.org/officeDocument/2006/relationships/hyperlink" Target="#'10 EVIDENCE &amp; DECISIONS'!A933" TargetMode="External" Id="rId975"/><Relationship Type="http://schemas.openxmlformats.org/officeDocument/2006/relationships/hyperlink" Target="#'10 EVIDENCE &amp; DECISIONS'!A934" TargetMode="External" Id="rId976"/><Relationship Type="http://schemas.openxmlformats.org/officeDocument/2006/relationships/hyperlink" Target="#'10 EVIDENCE &amp; DECISIONS'!A935" TargetMode="External" Id="rId977"/><Relationship Type="http://schemas.openxmlformats.org/officeDocument/2006/relationships/hyperlink" Target="#'10 EVIDENCE &amp; DECISIONS'!A936" TargetMode="External" Id="rId978"/><Relationship Type="http://schemas.openxmlformats.org/officeDocument/2006/relationships/hyperlink" Target="#'10 EVIDENCE &amp; DECISIONS'!A937" TargetMode="External" Id="rId979"/><Relationship Type="http://schemas.openxmlformats.org/officeDocument/2006/relationships/hyperlink" Target="#'10 EVIDENCE &amp; DECISIONS'!A938" TargetMode="External" Id="rId980"/><Relationship Type="http://schemas.openxmlformats.org/officeDocument/2006/relationships/hyperlink" Target="#'10 EVIDENCE &amp; DECISIONS'!A939" TargetMode="External" Id="rId981"/><Relationship Type="http://schemas.openxmlformats.org/officeDocument/2006/relationships/hyperlink" Target="#'10 EVIDENCE &amp; DECISIONS'!A940" TargetMode="External" Id="rId982"/><Relationship Type="http://schemas.openxmlformats.org/officeDocument/2006/relationships/hyperlink" Target="#'10 EVIDENCE &amp; DECISIONS'!A941" TargetMode="External" Id="rId983"/><Relationship Type="http://schemas.openxmlformats.org/officeDocument/2006/relationships/hyperlink" Target="#'10 EVIDENCE &amp; DECISIONS'!A942" TargetMode="External" Id="rId984"/><Relationship Type="http://schemas.openxmlformats.org/officeDocument/2006/relationships/hyperlink" Target="#'10 EVIDENCE &amp; DECISIONS'!A943" TargetMode="External" Id="rId985"/><Relationship Type="http://schemas.openxmlformats.org/officeDocument/2006/relationships/hyperlink" Target="#'10 EVIDENCE &amp; DECISIONS'!A944" TargetMode="External" Id="rId986"/><Relationship Type="http://schemas.openxmlformats.org/officeDocument/2006/relationships/hyperlink" Target="#'10 EVIDENCE &amp; DECISIONS'!A1044" TargetMode="External" Id="rId987"/><Relationship Type="http://schemas.openxmlformats.org/officeDocument/2006/relationships/hyperlink" Target="#'10 EVIDENCE &amp; DECISIONS'!A1045" TargetMode="External" Id="rId988"/><Relationship Type="http://schemas.openxmlformats.org/officeDocument/2006/relationships/hyperlink" Target="#'10 EVIDENCE &amp; DECISIONS'!A1046" TargetMode="External" Id="rId989"/><Relationship Type="http://schemas.openxmlformats.org/officeDocument/2006/relationships/hyperlink" Target="#'10 EVIDENCE &amp; DECISIONS'!A1047" TargetMode="External" Id="rId990"/><Relationship Type="http://schemas.openxmlformats.org/officeDocument/2006/relationships/hyperlink" Target="#'10 EVIDENCE &amp; DECISIONS'!A1048" TargetMode="External" Id="rId991"/><Relationship Type="http://schemas.openxmlformats.org/officeDocument/2006/relationships/hyperlink" Target="#'10 EVIDENCE &amp; DECISIONS'!A1049" TargetMode="External" Id="rId992"/><Relationship Type="http://schemas.openxmlformats.org/officeDocument/2006/relationships/hyperlink" Target="#'10 EVIDENCE &amp; DECISIONS'!A1050" TargetMode="External" Id="rId993"/><Relationship Type="http://schemas.openxmlformats.org/officeDocument/2006/relationships/hyperlink" Target="#'10 EVIDENCE &amp; DECISIONS'!A1051" TargetMode="External" Id="rId994"/><Relationship Type="http://schemas.openxmlformats.org/officeDocument/2006/relationships/hyperlink" Target="#'10 EVIDENCE &amp; DECISIONS'!A1052" TargetMode="External" Id="rId995"/><Relationship Type="http://schemas.openxmlformats.org/officeDocument/2006/relationships/hyperlink" Target="#'10 EVIDENCE &amp; DECISIONS'!A1053" TargetMode="External" Id="rId996"/><Relationship Type="http://schemas.openxmlformats.org/officeDocument/2006/relationships/hyperlink" Target="#'10 EVIDENCE &amp; DECISIONS'!A1054" TargetMode="External" Id="rId997"/><Relationship Type="http://schemas.openxmlformats.org/officeDocument/2006/relationships/hyperlink" Target="#'10 EVIDENCE &amp; DECISIONS'!A1055" TargetMode="External" Id="rId998"/><Relationship Type="http://schemas.openxmlformats.org/officeDocument/2006/relationships/hyperlink" Target="#'10 EVIDENCE &amp; DECISIONS'!A1056" TargetMode="External" Id="rId999"/><Relationship Type="http://schemas.openxmlformats.org/officeDocument/2006/relationships/hyperlink" Target="#'10 EVIDENCE &amp; DECISIONS'!A1057" TargetMode="External" Id="rId1000"/><Relationship Type="http://schemas.openxmlformats.org/officeDocument/2006/relationships/hyperlink" Target="#'10 EVIDENCE &amp; DECISIONS'!A1058" TargetMode="External" Id="rId1001"/><Relationship Type="http://schemas.openxmlformats.org/officeDocument/2006/relationships/hyperlink" Target="#'10 EVIDENCE &amp; DECISIONS'!A1059" TargetMode="External" Id="rId1002"/><Relationship Type="http://schemas.openxmlformats.org/officeDocument/2006/relationships/hyperlink" Target="#'10 EVIDENCE &amp; DECISIONS'!A1060" TargetMode="External" Id="rId1003"/><Relationship Type="http://schemas.openxmlformats.org/officeDocument/2006/relationships/hyperlink" Target="#'10 EVIDENCE &amp; DECISIONS'!A1061" TargetMode="External" Id="rId1004"/><Relationship Type="http://schemas.openxmlformats.org/officeDocument/2006/relationships/hyperlink" Target="#'10 EVIDENCE &amp; DECISIONS'!A1062" TargetMode="External" Id="rId1005"/><Relationship Type="http://schemas.openxmlformats.org/officeDocument/2006/relationships/hyperlink" Target="#'10 EVIDENCE &amp; DECISIONS'!A1063" TargetMode="External" Id="rId1006"/><Relationship Type="http://schemas.openxmlformats.org/officeDocument/2006/relationships/hyperlink" Target="#'10 EVIDENCE &amp; DECISIONS'!A1064" TargetMode="External" Id="rId1007"/><Relationship Type="http://schemas.openxmlformats.org/officeDocument/2006/relationships/hyperlink" Target="#'10 EVIDENCE &amp; DECISIONS'!A1065" TargetMode="External" Id="rId1008"/><Relationship Type="http://schemas.openxmlformats.org/officeDocument/2006/relationships/hyperlink" Target="#'10 EVIDENCE &amp; DECISIONS'!A1066" TargetMode="External" Id="rId1009"/><Relationship Type="http://schemas.openxmlformats.org/officeDocument/2006/relationships/hyperlink" Target="#'10 EVIDENCE &amp; DECISIONS'!A1067" TargetMode="External" Id="rId1010"/><Relationship Type="http://schemas.openxmlformats.org/officeDocument/2006/relationships/hyperlink" Target="#'10 EVIDENCE &amp; DECISIONS'!A1068" TargetMode="External" Id="rId1011"/><Relationship Type="http://schemas.openxmlformats.org/officeDocument/2006/relationships/hyperlink" Target="#'10 EVIDENCE &amp; DECISIONS'!A1069" TargetMode="External" Id="rId1012"/><Relationship Type="http://schemas.openxmlformats.org/officeDocument/2006/relationships/hyperlink" Target="#'10 EVIDENCE &amp; DECISIONS'!A1070" TargetMode="External" Id="rId1013"/><Relationship Type="http://schemas.openxmlformats.org/officeDocument/2006/relationships/hyperlink" Target="#'10 EVIDENCE &amp; DECISIONS'!A1071" TargetMode="External" Id="rId1014"/><Relationship Type="http://schemas.openxmlformats.org/officeDocument/2006/relationships/hyperlink" Target="#'10 EVIDENCE &amp; DECISIONS'!A1072" TargetMode="External" Id="rId1015"/><Relationship Type="http://schemas.openxmlformats.org/officeDocument/2006/relationships/hyperlink" Target="#'10 EVIDENCE &amp; DECISIONS'!A1073" TargetMode="External" Id="rId1016"/><Relationship Type="http://schemas.openxmlformats.org/officeDocument/2006/relationships/hyperlink" Target="#'10 EVIDENCE &amp; DECISIONS'!A1074" TargetMode="External" Id="rId1017"/><Relationship Type="http://schemas.openxmlformats.org/officeDocument/2006/relationships/hyperlink" Target="#'10 EVIDENCE &amp; DECISIONS'!A1075" TargetMode="External" Id="rId1018"/><Relationship Type="http://schemas.openxmlformats.org/officeDocument/2006/relationships/hyperlink" Target="#'10 EVIDENCE &amp; DECISIONS'!A1076" TargetMode="External" Id="rId1019"/><Relationship Type="http://schemas.openxmlformats.org/officeDocument/2006/relationships/hyperlink" Target="#'10 EVIDENCE &amp; DECISIONS'!A1077" TargetMode="External" Id="rId1020"/><Relationship Type="http://schemas.openxmlformats.org/officeDocument/2006/relationships/hyperlink" Target="#'10 EVIDENCE &amp; DECISIONS'!A1078" TargetMode="External" Id="rId1021"/><Relationship Type="http://schemas.openxmlformats.org/officeDocument/2006/relationships/hyperlink" Target="#'10 EVIDENCE &amp; DECISIONS'!A1079" TargetMode="External" Id="rId1022"/><Relationship Type="http://schemas.openxmlformats.org/officeDocument/2006/relationships/hyperlink" Target="#'10 EVIDENCE &amp; DECISIONS'!A1080" TargetMode="External" Id="rId1023"/><Relationship Type="http://schemas.openxmlformats.org/officeDocument/2006/relationships/hyperlink" Target="#'10 EVIDENCE &amp; DECISIONS'!A1081" TargetMode="External" Id="rId1024"/><Relationship Type="http://schemas.openxmlformats.org/officeDocument/2006/relationships/hyperlink" Target="#'10 EVIDENCE &amp; DECISIONS'!A1082" TargetMode="External" Id="rId1025"/><Relationship Type="http://schemas.openxmlformats.org/officeDocument/2006/relationships/hyperlink" Target="#'10 EVIDENCE &amp; DECISIONS'!A1083" TargetMode="External" Id="rId1026"/><Relationship Type="http://schemas.openxmlformats.org/officeDocument/2006/relationships/hyperlink" Target="#'10 EVIDENCE &amp; DECISIONS'!A985" TargetMode="External" Id="rId1027"/><Relationship Type="http://schemas.openxmlformats.org/officeDocument/2006/relationships/hyperlink" Target="#'10 EVIDENCE &amp; DECISIONS'!A986" TargetMode="External" Id="rId1028"/><Relationship Type="http://schemas.openxmlformats.org/officeDocument/2006/relationships/hyperlink" Target="#'10 EVIDENCE &amp; DECISIONS'!A987" TargetMode="External" Id="rId1029"/><Relationship Type="http://schemas.openxmlformats.org/officeDocument/2006/relationships/hyperlink" Target="#'10 EVIDENCE &amp; DECISIONS'!A988" TargetMode="External" Id="rId1030"/><Relationship Type="http://schemas.openxmlformats.org/officeDocument/2006/relationships/hyperlink" Target="#'10 EVIDENCE &amp; DECISIONS'!A989" TargetMode="External" Id="rId1031"/><Relationship Type="http://schemas.openxmlformats.org/officeDocument/2006/relationships/hyperlink" Target="#'10 EVIDENCE &amp; DECISIONS'!A990" TargetMode="External" Id="rId1032"/><Relationship Type="http://schemas.openxmlformats.org/officeDocument/2006/relationships/hyperlink" Target="#'10 EVIDENCE &amp; DECISIONS'!A991" TargetMode="External" Id="rId1033"/><Relationship Type="http://schemas.openxmlformats.org/officeDocument/2006/relationships/hyperlink" Target="#'10 EVIDENCE &amp; DECISIONS'!A992" TargetMode="External" Id="rId1034"/><Relationship Type="http://schemas.openxmlformats.org/officeDocument/2006/relationships/hyperlink" Target="#'10 EVIDENCE &amp; DECISIONS'!A993" TargetMode="External" Id="rId1035"/><Relationship Type="http://schemas.openxmlformats.org/officeDocument/2006/relationships/hyperlink" Target="#'10 EVIDENCE &amp; DECISIONS'!A994" TargetMode="External" Id="rId1036"/><Relationship Type="http://schemas.openxmlformats.org/officeDocument/2006/relationships/hyperlink" Target="#'10 EVIDENCE &amp; DECISIONS'!A995" TargetMode="External" Id="rId1037"/><Relationship Type="http://schemas.openxmlformats.org/officeDocument/2006/relationships/hyperlink" Target="#'10 EVIDENCE &amp; DECISIONS'!A996" TargetMode="External" Id="rId1038"/><Relationship Type="http://schemas.openxmlformats.org/officeDocument/2006/relationships/hyperlink" Target="#'10 EVIDENCE &amp; DECISIONS'!A997" TargetMode="External" Id="rId1039"/><Relationship Type="http://schemas.openxmlformats.org/officeDocument/2006/relationships/hyperlink" Target="#'10 EVIDENCE &amp; DECISIONS'!A998" TargetMode="External" Id="rId1040"/><Relationship Type="http://schemas.openxmlformats.org/officeDocument/2006/relationships/hyperlink" Target="#'10 EVIDENCE &amp; DECISIONS'!A999" TargetMode="External" Id="rId1041"/><Relationship Type="http://schemas.openxmlformats.org/officeDocument/2006/relationships/hyperlink" Target="#'10 EVIDENCE &amp; DECISIONS'!A1000" TargetMode="External" Id="rId1042"/><Relationship Type="http://schemas.openxmlformats.org/officeDocument/2006/relationships/hyperlink" Target="#'10 EVIDENCE &amp; DECISIONS'!A1001" TargetMode="External" Id="rId1043"/><Relationship Type="http://schemas.openxmlformats.org/officeDocument/2006/relationships/hyperlink" Target="#'10 EVIDENCE &amp; DECISIONS'!A1002" TargetMode="External" Id="rId1044"/><Relationship Type="http://schemas.openxmlformats.org/officeDocument/2006/relationships/hyperlink" Target="#'10 EVIDENCE &amp; DECISIONS'!A1003" TargetMode="External" Id="rId1045"/><Relationship Type="http://schemas.openxmlformats.org/officeDocument/2006/relationships/hyperlink" Target="#'10 EVIDENCE &amp; DECISIONS'!A1004" TargetMode="External" Id="rId1046"/><Relationship Type="http://schemas.openxmlformats.org/officeDocument/2006/relationships/hyperlink" Target="#'10 EVIDENCE &amp; DECISIONS'!A1005" TargetMode="External" Id="rId1047"/><Relationship Type="http://schemas.openxmlformats.org/officeDocument/2006/relationships/hyperlink" Target="#'10 EVIDENCE &amp; DECISIONS'!A1006" TargetMode="External" Id="rId1048"/><Relationship Type="http://schemas.openxmlformats.org/officeDocument/2006/relationships/hyperlink" Target="#'10 EVIDENCE &amp; DECISIONS'!A1007" TargetMode="External" Id="rId1049"/><Relationship Type="http://schemas.openxmlformats.org/officeDocument/2006/relationships/hyperlink" Target="#'10 EVIDENCE &amp; DECISIONS'!A1008" TargetMode="External" Id="rId1050"/><Relationship Type="http://schemas.openxmlformats.org/officeDocument/2006/relationships/hyperlink" Target="#'10 EVIDENCE &amp; DECISIONS'!A1009" TargetMode="External" Id="rId1051"/><Relationship Type="http://schemas.openxmlformats.org/officeDocument/2006/relationships/hyperlink" Target="#'10 EVIDENCE &amp; DECISIONS'!A1010" TargetMode="External" Id="rId1052"/><Relationship Type="http://schemas.openxmlformats.org/officeDocument/2006/relationships/hyperlink" Target="#'10 EVIDENCE &amp; DECISIONS'!A1011" TargetMode="External" Id="rId1053"/><Relationship Type="http://schemas.openxmlformats.org/officeDocument/2006/relationships/hyperlink" Target="#'10 EVIDENCE &amp; DECISIONS'!A1012" TargetMode="External" Id="rId1054"/><Relationship Type="http://schemas.openxmlformats.org/officeDocument/2006/relationships/hyperlink" Target="#'10 EVIDENCE &amp; DECISIONS'!A1013" TargetMode="External" Id="rId1055"/><Relationship Type="http://schemas.openxmlformats.org/officeDocument/2006/relationships/hyperlink" Target="#'10 EVIDENCE &amp; DECISIONS'!A1014" TargetMode="External" Id="rId1056"/><Relationship Type="http://schemas.openxmlformats.org/officeDocument/2006/relationships/hyperlink" Target="#'10 EVIDENCE &amp; DECISIONS'!A1015" TargetMode="External" Id="rId1057"/><Relationship Type="http://schemas.openxmlformats.org/officeDocument/2006/relationships/hyperlink" Target="#'10 EVIDENCE &amp; DECISIONS'!A1016" TargetMode="External" Id="rId1058"/><Relationship Type="http://schemas.openxmlformats.org/officeDocument/2006/relationships/hyperlink" Target="#'10 EVIDENCE &amp; DECISIONS'!A1017" TargetMode="External" Id="rId1059"/><Relationship Type="http://schemas.openxmlformats.org/officeDocument/2006/relationships/hyperlink" Target="#'10 EVIDENCE &amp; DECISIONS'!A1018" TargetMode="External" Id="rId1060"/><Relationship Type="http://schemas.openxmlformats.org/officeDocument/2006/relationships/hyperlink" Target="#'10 EVIDENCE &amp; DECISIONS'!A1019" TargetMode="External" Id="rId1061"/><Relationship Type="http://schemas.openxmlformats.org/officeDocument/2006/relationships/hyperlink" Target="#'10 EVIDENCE &amp; DECISIONS'!A1020" TargetMode="External" Id="rId1062"/><Relationship Type="http://schemas.openxmlformats.org/officeDocument/2006/relationships/hyperlink" Target="#'10 EVIDENCE &amp; DECISIONS'!A1021" TargetMode="External" Id="rId1063"/><Relationship Type="http://schemas.openxmlformats.org/officeDocument/2006/relationships/hyperlink" Target="#'10 EVIDENCE &amp; DECISIONS'!A1022" TargetMode="External" Id="rId1064"/><Relationship Type="http://schemas.openxmlformats.org/officeDocument/2006/relationships/hyperlink" Target="#'10 EVIDENCE &amp; DECISIONS'!A1023" TargetMode="External" Id="rId1065"/><Relationship Type="http://schemas.openxmlformats.org/officeDocument/2006/relationships/hyperlink" Target="#'10 EVIDENCE &amp; DECISIONS'!A1024" TargetMode="External" Id="rId1066"/><Relationship Type="http://schemas.openxmlformats.org/officeDocument/2006/relationships/hyperlink" Target="#'10 EVIDENCE &amp; DECISIONS'!A1025" TargetMode="External" Id="rId1067"/><Relationship Type="http://schemas.openxmlformats.org/officeDocument/2006/relationships/hyperlink" Target="#'10 EVIDENCE &amp; DECISIONS'!A1026" TargetMode="External" Id="rId1068"/><Relationship Type="http://schemas.openxmlformats.org/officeDocument/2006/relationships/hyperlink" Target="#'10 EVIDENCE &amp; DECISIONS'!A1027" TargetMode="External" Id="rId1069"/><Relationship Type="http://schemas.openxmlformats.org/officeDocument/2006/relationships/hyperlink" Target="#'10 EVIDENCE &amp; DECISIONS'!A1028" TargetMode="External" Id="rId1070"/><Relationship Type="http://schemas.openxmlformats.org/officeDocument/2006/relationships/hyperlink" Target="#'10 EVIDENCE &amp; DECISIONS'!A1029" TargetMode="External" Id="rId1071"/><Relationship Type="http://schemas.openxmlformats.org/officeDocument/2006/relationships/hyperlink" Target="#'10 EVIDENCE &amp; DECISIONS'!A1030" TargetMode="External" Id="rId1072"/><Relationship Type="http://schemas.openxmlformats.org/officeDocument/2006/relationships/hyperlink" Target="#'10 EVIDENCE &amp; DECISIONS'!A1031" TargetMode="External" Id="rId1073"/><Relationship Type="http://schemas.openxmlformats.org/officeDocument/2006/relationships/hyperlink" Target="#'10 EVIDENCE &amp; DECISIONS'!A1032" TargetMode="External" Id="rId1074"/><Relationship Type="http://schemas.openxmlformats.org/officeDocument/2006/relationships/hyperlink" Target="#'10 EVIDENCE &amp; DECISIONS'!A1033" TargetMode="External" Id="rId1075"/><Relationship Type="http://schemas.openxmlformats.org/officeDocument/2006/relationships/hyperlink" Target="#'10 EVIDENCE &amp; DECISIONS'!A1034" TargetMode="External" Id="rId1076"/><Relationship Type="http://schemas.openxmlformats.org/officeDocument/2006/relationships/hyperlink" Target="#'10 EVIDENCE &amp; DECISIONS'!A1035" TargetMode="External" Id="rId1077"/><Relationship Type="http://schemas.openxmlformats.org/officeDocument/2006/relationships/hyperlink" Target="#'10 EVIDENCE &amp; DECISIONS'!A1036" TargetMode="External" Id="rId1078"/><Relationship Type="http://schemas.openxmlformats.org/officeDocument/2006/relationships/hyperlink" Target="#'10 EVIDENCE &amp; DECISIONS'!A1037" TargetMode="External" Id="rId1079"/><Relationship Type="http://schemas.openxmlformats.org/officeDocument/2006/relationships/hyperlink" Target="#'10 EVIDENCE &amp; DECISIONS'!A1038" TargetMode="External" Id="rId1080"/><Relationship Type="http://schemas.openxmlformats.org/officeDocument/2006/relationships/hyperlink" Target="#'10 EVIDENCE &amp; DECISIONS'!A1039" TargetMode="External" Id="rId1081"/><Relationship Type="http://schemas.openxmlformats.org/officeDocument/2006/relationships/hyperlink" Target="#'10 EVIDENCE &amp; DECISIONS'!A1040" TargetMode="External" Id="rId1082"/><Relationship Type="http://schemas.openxmlformats.org/officeDocument/2006/relationships/hyperlink" Target="#'10 EVIDENCE &amp; DECISIONS'!A1041" TargetMode="External" Id="rId1083"/><Relationship Type="http://schemas.openxmlformats.org/officeDocument/2006/relationships/hyperlink" Target="#'10 EVIDENCE &amp; DECISIONS'!A1042" TargetMode="External" Id="rId1084"/><Relationship Type="http://schemas.openxmlformats.org/officeDocument/2006/relationships/hyperlink" Target="#'10 EVIDENCE &amp; DECISIONS'!A1043" TargetMode="External" Id="rId1085"/><Relationship Type="http://schemas.openxmlformats.org/officeDocument/2006/relationships/hyperlink" Target="#'10 EVIDENCE &amp; DECISIONS'!A1084" TargetMode="External" Id="rId1086"/><Relationship Type="http://schemas.openxmlformats.org/officeDocument/2006/relationships/hyperlink" Target="#'10 EVIDENCE &amp; DECISIONS'!A1085" TargetMode="External" Id="rId1087"/><Relationship Type="http://schemas.openxmlformats.org/officeDocument/2006/relationships/hyperlink" Target="#'10 EVIDENCE &amp; DECISIONS'!A1086" TargetMode="External" Id="rId1088"/><Relationship Type="http://schemas.openxmlformats.org/officeDocument/2006/relationships/hyperlink" Target="#'10 EVIDENCE &amp; DECISIONS'!A1087" TargetMode="External" Id="rId1089"/><Relationship Type="http://schemas.openxmlformats.org/officeDocument/2006/relationships/hyperlink" Target="#'10 EVIDENCE &amp; DECISIONS'!A1088" TargetMode="External" Id="rId1090"/><Relationship Type="http://schemas.openxmlformats.org/officeDocument/2006/relationships/hyperlink" Target="#'10 EVIDENCE &amp; DECISIONS'!A1089" TargetMode="External" Id="rId1091"/><Relationship Type="http://schemas.openxmlformats.org/officeDocument/2006/relationships/hyperlink" Target="#'10 EVIDENCE &amp; DECISIONS'!A1090" TargetMode="External" Id="rId1092"/><Relationship Type="http://schemas.openxmlformats.org/officeDocument/2006/relationships/hyperlink" Target="#'10 EVIDENCE &amp; DECISIONS'!A1091" TargetMode="External" Id="rId1093"/><Relationship Type="http://schemas.openxmlformats.org/officeDocument/2006/relationships/hyperlink" Target="#'10 EVIDENCE &amp; DECISIONS'!A1092" TargetMode="External" Id="rId1094"/><Relationship Type="http://schemas.openxmlformats.org/officeDocument/2006/relationships/hyperlink" Target="#'10 EVIDENCE &amp; DECISIONS'!A1093" TargetMode="External" Id="rId1095"/><Relationship Type="http://schemas.openxmlformats.org/officeDocument/2006/relationships/hyperlink" Target="#'10 EVIDENCE &amp; DECISIONS'!A1094" TargetMode="External" Id="rId1096"/><Relationship Type="http://schemas.openxmlformats.org/officeDocument/2006/relationships/hyperlink" Target="#'10 EVIDENCE &amp; DECISIONS'!A1095" TargetMode="External" Id="rId1097"/><Relationship Type="http://schemas.openxmlformats.org/officeDocument/2006/relationships/hyperlink" Target="#'10 EVIDENCE &amp; DECISIONS'!A1096" TargetMode="External" Id="rId1098"/><Relationship Type="http://schemas.openxmlformats.org/officeDocument/2006/relationships/hyperlink" Target="#'10 EVIDENCE &amp; DECISIONS'!A1097" TargetMode="External" Id="rId1099"/><Relationship Type="http://schemas.openxmlformats.org/officeDocument/2006/relationships/hyperlink" Target="#'10 EVIDENCE &amp; DECISIONS'!A1098" TargetMode="External" Id="rId1100"/><Relationship Type="http://schemas.openxmlformats.org/officeDocument/2006/relationships/hyperlink" Target="#'10 EVIDENCE &amp; DECISIONS'!A1099" TargetMode="External" Id="rId1101"/><Relationship Type="http://schemas.openxmlformats.org/officeDocument/2006/relationships/hyperlink" Target="#'10 EVIDENCE &amp; DECISIONS'!A1100" TargetMode="External" Id="rId1102"/><Relationship Type="http://schemas.openxmlformats.org/officeDocument/2006/relationships/hyperlink" Target="#'10 EVIDENCE &amp; DECISIONS'!A1101" TargetMode="External" Id="rId1103"/><Relationship Type="http://schemas.openxmlformats.org/officeDocument/2006/relationships/hyperlink" Target="#'10 EVIDENCE &amp; DECISIONS'!A1102" TargetMode="External" Id="rId1104"/><Relationship Type="http://schemas.openxmlformats.org/officeDocument/2006/relationships/hyperlink" Target="#'10 EVIDENCE &amp; DECISIONS'!A1103" TargetMode="External" Id="rId1105"/><Relationship Type="http://schemas.openxmlformats.org/officeDocument/2006/relationships/hyperlink" Target="#'10 EVIDENCE &amp; DECISIONS'!A1104" TargetMode="External" Id="rId1106"/><Relationship Type="http://schemas.openxmlformats.org/officeDocument/2006/relationships/hyperlink" Target="#'10 EVIDENCE &amp; DECISIONS'!A1105" TargetMode="External" Id="rId1107"/><Relationship Type="http://schemas.openxmlformats.org/officeDocument/2006/relationships/hyperlink" Target="#'10 EVIDENCE &amp; DECISIONS'!A1106" TargetMode="External" Id="rId1108"/><Relationship Type="http://schemas.openxmlformats.org/officeDocument/2006/relationships/hyperlink" Target="#'10 EVIDENCE &amp; DECISIONS'!A1107" TargetMode="External" Id="rId1109"/><Relationship Type="http://schemas.openxmlformats.org/officeDocument/2006/relationships/hyperlink" Target="#'10 EVIDENCE &amp; DECISIONS'!A1108" TargetMode="External" Id="rId1110"/><Relationship Type="http://schemas.openxmlformats.org/officeDocument/2006/relationships/hyperlink" Target="#'10 EVIDENCE &amp; DECISIONS'!A1109" TargetMode="External" Id="rId1111"/><Relationship Type="http://schemas.openxmlformats.org/officeDocument/2006/relationships/hyperlink" Target="#'10 EVIDENCE &amp; DECISIONS'!A1110" TargetMode="External" Id="rId1112"/><Relationship Type="http://schemas.openxmlformats.org/officeDocument/2006/relationships/hyperlink" Target="#'10 EVIDENCE &amp; DECISIONS'!A1111" TargetMode="External" Id="rId1113"/><Relationship Type="http://schemas.openxmlformats.org/officeDocument/2006/relationships/hyperlink" Target="#'10 EVIDENCE &amp; DECISIONS'!A1112" TargetMode="External" Id="rId1114"/><Relationship Type="http://schemas.openxmlformats.org/officeDocument/2006/relationships/hyperlink" Target="#'10 EVIDENCE &amp; DECISIONS'!A1113" TargetMode="External" Id="rId1115"/><Relationship Type="http://schemas.openxmlformats.org/officeDocument/2006/relationships/hyperlink" Target="#'10 EVIDENCE &amp; DECISIONS'!A1114" TargetMode="External" Id="rId1116"/><Relationship Type="http://schemas.openxmlformats.org/officeDocument/2006/relationships/hyperlink" Target="#'10 EVIDENCE &amp; DECISIONS'!A1115" TargetMode="External" Id="rId1117"/><Relationship Type="http://schemas.openxmlformats.org/officeDocument/2006/relationships/hyperlink" Target="#'10 EVIDENCE &amp; DECISIONS'!A1116" TargetMode="External" Id="rId1118"/><Relationship Type="http://schemas.openxmlformats.org/officeDocument/2006/relationships/hyperlink" Target="#'10 EVIDENCE &amp; DECISIONS'!A1117" TargetMode="External" Id="rId1119"/><Relationship Type="http://schemas.openxmlformats.org/officeDocument/2006/relationships/hyperlink" Target="#'10 EVIDENCE &amp; DECISIONS'!A1118" TargetMode="External" Id="rId1120"/><Relationship Type="http://schemas.openxmlformats.org/officeDocument/2006/relationships/hyperlink" Target="#'10 EVIDENCE &amp; DECISIONS'!A1119" TargetMode="External" Id="rId1121"/><Relationship Type="http://schemas.openxmlformats.org/officeDocument/2006/relationships/hyperlink" Target="#'10 EVIDENCE &amp; DECISIONS'!A1120" TargetMode="External" Id="rId1122"/><Relationship Type="http://schemas.openxmlformats.org/officeDocument/2006/relationships/hyperlink" Target="#'10 EVIDENCE &amp; DECISIONS'!A1121" TargetMode="External" Id="rId1123"/><Relationship Type="http://schemas.openxmlformats.org/officeDocument/2006/relationships/hyperlink" Target="#'10 EVIDENCE &amp; DECISIONS'!A1122" TargetMode="External" Id="rId1124"/><Relationship Type="http://schemas.openxmlformats.org/officeDocument/2006/relationships/hyperlink" Target="#'10 EVIDENCE &amp; DECISIONS'!A1123" TargetMode="External" Id="rId1125"/><Relationship Type="http://schemas.openxmlformats.org/officeDocument/2006/relationships/hyperlink" Target="#'10 EVIDENCE &amp; DECISIONS'!A1124" TargetMode="External" Id="rId1126"/><Relationship Type="http://schemas.openxmlformats.org/officeDocument/2006/relationships/hyperlink" Target="#'10 EVIDENCE &amp; DECISIONS'!A1125" TargetMode="External" Id="rId1127"/><Relationship Type="http://schemas.openxmlformats.org/officeDocument/2006/relationships/hyperlink" Target="#'10 EVIDENCE &amp; DECISIONS'!A1126" TargetMode="External" Id="rId1128"/><Relationship Type="http://schemas.openxmlformats.org/officeDocument/2006/relationships/hyperlink" Target="#'10 EVIDENCE &amp; DECISIONS'!A1127" TargetMode="External" Id="rId1129"/><Relationship Type="http://schemas.openxmlformats.org/officeDocument/2006/relationships/hyperlink" Target="#'10 EVIDENCE &amp; DECISIONS'!A1128" TargetMode="External" Id="rId1130"/><Relationship Type="http://schemas.openxmlformats.org/officeDocument/2006/relationships/hyperlink" Target="#'10 EVIDENCE &amp; DECISIONS'!A1129" TargetMode="External" Id="rId1131"/><Relationship Type="http://schemas.openxmlformats.org/officeDocument/2006/relationships/hyperlink" Target="#'10 EVIDENCE &amp; DECISIONS'!A1130" TargetMode="External" Id="rId1132"/><Relationship Type="http://schemas.openxmlformats.org/officeDocument/2006/relationships/hyperlink" Target="#'10 EVIDENCE &amp; DECISIONS'!A1131" TargetMode="External" Id="rId1133"/><Relationship Type="http://schemas.openxmlformats.org/officeDocument/2006/relationships/hyperlink" Target="#'10 EVIDENCE &amp; DECISIONS'!A1132" TargetMode="External" Id="rId1134"/><Relationship Type="http://schemas.openxmlformats.org/officeDocument/2006/relationships/hyperlink" Target="#'10 EVIDENCE &amp; DECISIONS'!A1133" TargetMode="External" Id="rId1135"/><Relationship Type="http://schemas.openxmlformats.org/officeDocument/2006/relationships/hyperlink" Target="#'10 EVIDENCE &amp; DECISIONS'!A1134" TargetMode="External" Id="rId1136"/><Relationship Type="http://schemas.openxmlformats.org/officeDocument/2006/relationships/hyperlink" Target="#'10 EVIDENCE &amp; DECISIONS'!A1135" TargetMode="External" Id="rId1137"/><Relationship Type="http://schemas.openxmlformats.org/officeDocument/2006/relationships/hyperlink" Target="#'10 EVIDENCE &amp; DECISIONS'!A1136" TargetMode="External" Id="rId1138"/><Relationship Type="http://schemas.openxmlformats.org/officeDocument/2006/relationships/hyperlink" Target="#'10 EVIDENCE &amp; DECISIONS'!A1137" TargetMode="External" Id="rId1139"/><Relationship Type="http://schemas.openxmlformats.org/officeDocument/2006/relationships/hyperlink" Target="#'10 EVIDENCE &amp; DECISIONS'!A1138" TargetMode="External" Id="rId1140"/><Relationship Type="http://schemas.openxmlformats.org/officeDocument/2006/relationships/hyperlink" Target="#'10 EVIDENCE &amp; DECISIONS'!A1139" TargetMode="External" Id="rId1141"/><Relationship Type="http://schemas.openxmlformats.org/officeDocument/2006/relationships/hyperlink" Target="#'10 EVIDENCE &amp; DECISIONS'!A1140" TargetMode="External" Id="rId1142"/><Relationship Type="http://schemas.openxmlformats.org/officeDocument/2006/relationships/hyperlink" Target="#'10 EVIDENCE &amp; DECISIONS'!A1141" TargetMode="External" Id="rId1143"/><Relationship Type="http://schemas.openxmlformats.org/officeDocument/2006/relationships/hyperlink" Target="#'10 EVIDENCE &amp; DECISIONS'!A1142" TargetMode="External" Id="rId1144"/><Relationship Type="http://schemas.openxmlformats.org/officeDocument/2006/relationships/hyperlink" Target="#'10 EVIDENCE &amp; DECISIONS'!A1143" TargetMode="External" Id="rId1145"/><Relationship Type="http://schemas.openxmlformats.org/officeDocument/2006/relationships/hyperlink" Target="#'10 EVIDENCE &amp; DECISIONS'!A1144" TargetMode="External" Id="rId1146"/><Relationship Type="http://schemas.openxmlformats.org/officeDocument/2006/relationships/hyperlink" Target="#'10 EVIDENCE &amp; DECISIONS'!A1145" TargetMode="External" Id="rId1147"/><Relationship Type="http://schemas.openxmlformats.org/officeDocument/2006/relationships/hyperlink" Target="#'10 EVIDENCE &amp; DECISIONS'!A1146" TargetMode="External" Id="rId1148"/><Relationship Type="http://schemas.openxmlformats.org/officeDocument/2006/relationships/hyperlink" Target="#'10 EVIDENCE &amp; DECISIONS'!A1147" TargetMode="External" Id="rId1149"/><Relationship Type="http://schemas.openxmlformats.org/officeDocument/2006/relationships/hyperlink" Target="#'10 EVIDENCE &amp; DECISIONS'!A1148" TargetMode="External" Id="rId1150"/><Relationship Type="http://schemas.openxmlformats.org/officeDocument/2006/relationships/hyperlink" Target="#'10 EVIDENCE &amp; DECISIONS'!A1149" TargetMode="External" Id="rId1151"/><Relationship Type="http://schemas.openxmlformats.org/officeDocument/2006/relationships/hyperlink" Target="#'10 EVIDENCE &amp; DECISIONS'!A1150" TargetMode="External" Id="rId1152"/><Relationship Type="http://schemas.openxmlformats.org/officeDocument/2006/relationships/hyperlink" Target="#'10 EVIDENCE &amp; DECISIONS'!A1151" TargetMode="External" Id="rId1153"/><Relationship Type="http://schemas.openxmlformats.org/officeDocument/2006/relationships/hyperlink" Target="#'10 EVIDENCE &amp; DECISIONS'!A1152" TargetMode="External" Id="rId1154"/><Relationship Type="http://schemas.openxmlformats.org/officeDocument/2006/relationships/hyperlink" Target="#'10 EVIDENCE &amp; DECISIONS'!A1153" TargetMode="External" Id="rId1155"/><Relationship Type="http://schemas.openxmlformats.org/officeDocument/2006/relationships/hyperlink" Target="#'10 EVIDENCE &amp; DECISIONS'!A1154" TargetMode="External" Id="rId1156"/><Relationship Type="http://schemas.openxmlformats.org/officeDocument/2006/relationships/hyperlink" Target="#'10 EVIDENCE &amp; DECISIONS'!A1155" TargetMode="External" Id="rId1157"/><Relationship Type="http://schemas.openxmlformats.org/officeDocument/2006/relationships/hyperlink" Target="#'10 EVIDENCE &amp; DECISIONS'!A1156" TargetMode="External" Id="rId1158"/><Relationship Type="http://schemas.openxmlformats.org/officeDocument/2006/relationships/hyperlink" Target="#'10 EVIDENCE &amp; DECISIONS'!A1157" TargetMode="External" Id="rId1159"/><Relationship Type="http://schemas.openxmlformats.org/officeDocument/2006/relationships/hyperlink" Target="#'10 EVIDENCE &amp; DECISIONS'!A1158" TargetMode="External" Id="rId1160"/><Relationship Type="http://schemas.openxmlformats.org/officeDocument/2006/relationships/hyperlink" Target="#'10 EVIDENCE &amp; DECISIONS'!A1159" TargetMode="External" Id="rId1161"/><Relationship Type="http://schemas.openxmlformats.org/officeDocument/2006/relationships/hyperlink" Target="#'10 EVIDENCE &amp; DECISIONS'!A1160" TargetMode="External" Id="rId1162"/><Relationship Type="http://schemas.openxmlformats.org/officeDocument/2006/relationships/hyperlink" Target="#'10 EVIDENCE &amp; DECISIONS'!A1161" TargetMode="External" Id="rId1163"/><Relationship Type="http://schemas.openxmlformats.org/officeDocument/2006/relationships/hyperlink" Target="#'10 EVIDENCE &amp; DECISIONS'!A1162" TargetMode="External" Id="rId1164"/><Relationship Type="http://schemas.openxmlformats.org/officeDocument/2006/relationships/hyperlink" Target="#'10 EVIDENCE &amp; DECISIONS'!A1163" TargetMode="External" Id="rId1165"/><Relationship Type="http://schemas.openxmlformats.org/officeDocument/2006/relationships/hyperlink" Target="#'10 EVIDENCE &amp; DECISIONS'!A1164" TargetMode="External" Id="rId1166"/><Relationship Type="http://schemas.openxmlformats.org/officeDocument/2006/relationships/hyperlink" Target="#'10 EVIDENCE &amp; DECISIONS'!A1165" TargetMode="External" Id="rId1167"/><Relationship Type="http://schemas.openxmlformats.org/officeDocument/2006/relationships/hyperlink" Target="#'10 EVIDENCE &amp; DECISIONS'!A1166" TargetMode="External" Id="rId1168"/><Relationship Type="http://schemas.openxmlformats.org/officeDocument/2006/relationships/hyperlink" Target="#'10 EVIDENCE &amp; DECISIONS'!A1167" TargetMode="External" Id="rId1169"/><Relationship Type="http://schemas.openxmlformats.org/officeDocument/2006/relationships/hyperlink" Target="#'10 EVIDENCE &amp; DECISIONS'!A1168" TargetMode="External" Id="rId1170"/><Relationship Type="http://schemas.openxmlformats.org/officeDocument/2006/relationships/hyperlink" Target="#'10 EVIDENCE &amp; DECISIONS'!A1169" TargetMode="External" Id="rId1171"/><Relationship Type="http://schemas.openxmlformats.org/officeDocument/2006/relationships/hyperlink" Target="#'10 EVIDENCE &amp; DECISIONS'!A1170" TargetMode="External" Id="rId1172"/><Relationship Type="http://schemas.openxmlformats.org/officeDocument/2006/relationships/hyperlink" Target="#'10 EVIDENCE &amp; DECISIONS'!A1171" TargetMode="External" Id="rId1173"/><Relationship Type="http://schemas.openxmlformats.org/officeDocument/2006/relationships/hyperlink" Target="#'10 EVIDENCE &amp; DECISIONS'!A1172" TargetMode="External" Id="rId1174"/><Relationship Type="http://schemas.openxmlformats.org/officeDocument/2006/relationships/hyperlink" Target="#'10 EVIDENCE &amp; DECISIONS'!A1173" TargetMode="External" Id="rId1175"/><Relationship Type="http://schemas.openxmlformats.org/officeDocument/2006/relationships/hyperlink" Target="#'10 EVIDENCE &amp; DECISIONS'!A1174" TargetMode="External" Id="rId1176"/><Relationship Type="http://schemas.openxmlformats.org/officeDocument/2006/relationships/hyperlink" Target="#'10 EVIDENCE &amp; DECISIONS'!A1175" TargetMode="External" Id="rId1177"/><Relationship Type="http://schemas.openxmlformats.org/officeDocument/2006/relationships/hyperlink" Target="#'10 EVIDENCE &amp; DECISIONS'!A1176" TargetMode="External" Id="rId1178"/><Relationship Type="http://schemas.openxmlformats.org/officeDocument/2006/relationships/hyperlink" Target="#'10 EVIDENCE &amp; DECISIONS'!A1177" TargetMode="External" Id="rId1179"/><Relationship Type="http://schemas.openxmlformats.org/officeDocument/2006/relationships/hyperlink" Target="#'10 EVIDENCE &amp; DECISIONS'!A1178" TargetMode="External" Id="rId1180"/><Relationship Type="http://schemas.openxmlformats.org/officeDocument/2006/relationships/hyperlink" Target="#'10 EVIDENCE &amp; DECISIONS'!A1179" TargetMode="External" Id="rId1181"/><Relationship Type="http://schemas.openxmlformats.org/officeDocument/2006/relationships/hyperlink" Target="#'10 EVIDENCE &amp; DECISIONS'!A1180" TargetMode="External" Id="rId1182"/><Relationship Type="http://schemas.openxmlformats.org/officeDocument/2006/relationships/hyperlink" Target="#'10 EVIDENCE &amp; DECISIONS'!A1181" TargetMode="External" Id="rId1183"/><Relationship Type="http://schemas.openxmlformats.org/officeDocument/2006/relationships/hyperlink" Target="#'10 EVIDENCE &amp; DECISIONS'!A1182" TargetMode="External" Id="rId1184"/><Relationship Type="http://schemas.openxmlformats.org/officeDocument/2006/relationships/hyperlink" Target="#'10 EVIDENCE &amp; DECISIONS'!A1183" TargetMode="External" Id="rId1185"/><Relationship Type="http://schemas.openxmlformats.org/officeDocument/2006/relationships/hyperlink" Target="#'10 EVIDENCE &amp; DECISIONS'!A1184" TargetMode="External" Id="rId1186"/><Relationship Type="http://schemas.openxmlformats.org/officeDocument/2006/relationships/hyperlink" Target="#'10 EVIDENCE &amp; DECISIONS'!A1185" TargetMode="External" Id="rId1187"/><Relationship Type="http://schemas.openxmlformats.org/officeDocument/2006/relationships/hyperlink" Target="#'10 EVIDENCE &amp; DECISIONS'!A1186" TargetMode="External" Id="rId1188"/><Relationship Type="http://schemas.openxmlformats.org/officeDocument/2006/relationships/hyperlink" Target="#'10 EVIDENCE &amp; DECISIONS'!A1187" TargetMode="External" Id="rId1189"/><Relationship Type="http://schemas.openxmlformats.org/officeDocument/2006/relationships/hyperlink" Target="#'10 EVIDENCE &amp; DECISIONS'!A1188" TargetMode="External" Id="rId1190"/><Relationship Type="http://schemas.openxmlformats.org/officeDocument/2006/relationships/hyperlink" Target="#'10 EVIDENCE &amp; DECISIONS'!A1189" TargetMode="External" Id="rId1191"/><Relationship Type="http://schemas.openxmlformats.org/officeDocument/2006/relationships/hyperlink" Target="#'10 EVIDENCE &amp; DECISIONS'!A1190" TargetMode="External" Id="rId1192"/><Relationship Type="http://schemas.openxmlformats.org/officeDocument/2006/relationships/hyperlink" Target="#'10 EVIDENCE &amp; DECISIONS'!A1191" TargetMode="External" Id="rId1193"/><Relationship Type="http://schemas.openxmlformats.org/officeDocument/2006/relationships/hyperlink" Target="#'10 EVIDENCE &amp; DECISIONS'!A1192" TargetMode="External" Id="rId1194"/><Relationship Type="http://schemas.openxmlformats.org/officeDocument/2006/relationships/hyperlink" Target="#'10 EVIDENCE &amp; DECISIONS'!A1193" TargetMode="External" Id="rId1195"/><Relationship Type="http://schemas.openxmlformats.org/officeDocument/2006/relationships/hyperlink" Target="#'10 EVIDENCE &amp; DECISIONS'!A1194" TargetMode="External" Id="rId1196"/><Relationship Type="http://schemas.openxmlformats.org/officeDocument/2006/relationships/hyperlink" Target="#'10 EVIDENCE &amp; DECISIONS'!A1195" TargetMode="External" Id="rId1197"/><Relationship Type="http://schemas.openxmlformats.org/officeDocument/2006/relationships/hyperlink" Target="#'10 EVIDENCE &amp; DECISIONS'!A1196" TargetMode="External" Id="rId1198"/><Relationship Type="http://schemas.openxmlformats.org/officeDocument/2006/relationships/hyperlink" Target="#'10 EVIDENCE &amp; DECISIONS'!A1197" TargetMode="External" Id="rId1199"/><Relationship Type="http://schemas.openxmlformats.org/officeDocument/2006/relationships/hyperlink" Target="#'10 EVIDENCE &amp; DECISIONS'!A1198" TargetMode="External" Id="rId1200"/><Relationship Type="http://schemas.openxmlformats.org/officeDocument/2006/relationships/hyperlink" Target="#'10 EVIDENCE &amp; DECISIONS'!A1199" TargetMode="External" Id="rId1201"/><Relationship Type="http://schemas.openxmlformats.org/officeDocument/2006/relationships/hyperlink" Target="#'10 EVIDENCE &amp; DECISIONS'!A1200" TargetMode="External" Id="rId1202"/><Relationship Type="http://schemas.openxmlformats.org/officeDocument/2006/relationships/hyperlink" Target="#'10 EVIDENCE &amp; DECISIONS'!A1201" TargetMode="External" Id="rId1203"/><Relationship Type="http://schemas.openxmlformats.org/officeDocument/2006/relationships/hyperlink" Target="#'10 EVIDENCE &amp; DECISIONS'!A1202" TargetMode="External" Id="rId1204"/><Relationship Type="http://schemas.openxmlformats.org/officeDocument/2006/relationships/hyperlink" Target="#'10 EVIDENCE &amp; DECISIONS'!A1203" TargetMode="External" Id="rId1205"/><Relationship Type="http://schemas.openxmlformats.org/officeDocument/2006/relationships/hyperlink" Target="#'10 EVIDENCE &amp; DECISIONS'!A1204" TargetMode="External" Id="rId1206"/><Relationship Type="http://schemas.openxmlformats.org/officeDocument/2006/relationships/hyperlink" Target="#'10 EVIDENCE &amp; DECISIONS'!A1205" TargetMode="External" Id="rId1207"/><Relationship Type="http://schemas.openxmlformats.org/officeDocument/2006/relationships/hyperlink" Target="#'10 EVIDENCE &amp; DECISIONS'!A1206" TargetMode="External" Id="rId1208"/><Relationship Type="http://schemas.openxmlformats.org/officeDocument/2006/relationships/hyperlink" Target="#'10 EVIDENCE &amp; DECISIONS'!A1207" TargetMode="External" Id="rId1209"/><Relationship Type="http://schemas.openxmlformats.org/officeDocument/2006/relationships/hyperlink" Target="#'10 EVIDENCE &amp; DECISIONS'!A1208" TargetMode="External" Id="rId1210"/><Relationship Type="http://schemas.openxmlformats.org/officeDocument/2006/relationships/hyperlink" Target="#'10 EVIDENCE &amp; DECISIONS'!A1209" TargetMode="External" Id="rId1211"/><Relationship Type="http://schemas.openxmlformats.org/officeDocument/2006/relationships/hyperlink" Target="#'10 EVIDENCE &amp; DECISIONS'!A1210" TargetMode="External" Id="rId1212"/><Relationship Type="http://schemas.openxmlformats.org/officeDocument/2006/relationships/hyperlink" Target="#'10 EVIDENCE &amp; DECISIONS'!A1211" TargetMode="External" Id="rId1213"/><Relationship Type="http://schemas.openxmlformats.org/officeDocument/2006/relationships/hyperlink" Target="#'10 EVIDENCE &amp; DECISIONS'!A1212" TargetMode="External" Id="rId1214"/><Relationship Type="http://schemas.openxmlformats.org/officeDocument/2006/relationships/hyperlink" Target="#'10 EVIDENCE &amp; DECISIONS'!A1213" TargetMode="External" Id="rId1215"/><Relationship Type="http://schemas.openxmlformats.org/officeDocument/2006/relationships/hyperlink" Target="#'10 EVIDENCE &amp; DECISIONS'!A1214" TargetMode="External" Id="rId1216"/><Relationship Type="http://schemas.openxmlformats.org/officeDocument/2006/relationships/hyperlink" Target="#'10 EVIDENCE &amp; DECISIONS'!A1215" TargetMode="External" Id="rId1217"/><Relationship Type="http://schemas.openxmlformats.org/officeDocument/2006/relationships/hyperlink" Target="#'10 EVIDENCE &amp; DECISIONS'!A1216" TargetMode="External" Id="rId1218"/><Relationship Type="http://schemas.openxmlformats.org/officeDocument/2006/relationships/hyperlink" Target="#'10 EVIDENCE &amp; DECISIONS'!A1217" TargetMode="External" Id="rId1219"/><Relationship Type="http://schemas.openxmlformats.org/officeDocument/2006/relationships/hyperlink" Target="#'10 EVIDENCE &amp; DECISIONS'!A1218" TargetMode="External" Id="rId1220"/><Relationship Type="http://schemas.openxmlformats.org/officeDocument/2006/relationships/hyperlink" Target="#'10 EVIDENCE &amp; DECISIONS'!A1219" TargetMode="External" Id="rId1221"/><Relationship Type="http://schemas.openxmlformats.org/officeDocument/2006/relationships/hyperlink" Target="#'10 EVIDENCE &amp; DECISIONS'!A1220" TargetMode="External" Id="rId1222"/><Relationship Type="http://schemas.openxmlformats.org/officeDocument/2006/relationships/hyperlink" Target="#'10 EVIDENCE &amp; DECISIONS'!A1221" TargetMode="External" Id="rId1223"/><Relationship Type="http://schemas.openxmlformats.org/officeDocument/2006/relationships/hyperlink" Target="#'10 EVIDENCE &amp; DECISIONS'!A1222" TargetMode="External" Id="rId1224"/><Relationship Type="http://schemas.openxmlformats.org/officeDocument/2006/relationships/hyperlink" Target="#'10 EVIDENCE &amp; DECISIONS'!A1223" TargetMode="External" Id="rId1225"/><Relationship Type="http://schemas.openxmlformats.org/officeDocument/2006/relationships/hyperlink" Target="#'10 EVIDENCE &amp; DECISIONS'!A1224" TargetMode="External" Id="rId1226"/><Relationship Type="http://schemas.openxmlformats.org/officeDocument/2006/relationships/hyperlink" Target="#'10 EVIDENCE &amp; DECISIONS'!A1225" TargetMode="External" Id="rId1227"/><Relationship Type="http://schemas.openxmlformats.org/officeDocument/2006/relationships/hyperlink" Target="#'10 EVIDENCE &amp; DECISIONS'!A1226" TargetMode="External" Id="rId1228"/><Relationship Type="http://schemas.openxmlformats.org/officeDocument/2006/relationships/hyperlink" Target="#'10 EVIDENCE &amp; DECISIONS'!A1227" TargetMode="External" Id="rId1229"/><Relationship Type="http://schemas.openxmlformats.org/officeDocument/2006/relationships/hyperlink" Target="#'10 EVIDENCE &amp; DECISIONS'!A1228" TargetMode="External" Id="rId1230"/><Relationship Type="http://schemas.openxmlformats.org/officeDocument/2006/relationships/hyperlink" Target="#'10 EVIDENCE &amp; DECISIONS'!A1229" TargetMode="External" Id="rId1231"/><Relationship Type="http://schemas.openxmlformats.org/officeDocument/2006/relationships/hyperlink" Target="#'10 EVIDENCE &amp; DECISIONS'!A1230" TargetMode="External" Id="rId1232"/><Relationship Type="http://schemas.openxmlformats.org/officeDocument/2006/relationships/hyperlink" Target="#'10 EVIDENCE &amp; DECISIONS'!A1231" TargetMode="External" Id="rId1233"/><Relationship Type="http://schemas.openxmlformats.org/officeDocument/2006/relationships/hyperlink" Target="#'10 EVIDENCE &amp; DECISIONS'!A1232" TargetMode="External" Id="rId1234"/><Relationship Type="http://schemas.openxmlformats.org/officeDocument/2006/relationships/hyperlink" Target="#'10 EVIDENCE &amp; DECISIONS'!A1233" TargetMode="External" Id="rId1235"/><Relationship Type="http://schemas.openxmlformats.org/officeDocument/2006/relationships/hyperlink" Target="#'10 EVIDENCE &amp; DECISIONS'!A1234" TargetMode="External" Id="rId1236"/><Relationship Type="http://schemas.openxmlformats.org/officeDocument/2006/relationships/hyperlink" Target="#'10 EVIDENCE &amp; DECISIONS'!A1235" TargetMode="External" Id="rId1237"/><Relationship Type="http://schemas.openxmlformats.org/officeDocument/2006/relationships/hyperlink" Target="#'10 EVIDENCE &amp; DECISIONS'!A1236" TargetMode="External" Id="rId1238"/><Relationship Type="http://schemas.openxmlformats.org/officeDocument/2006/relationships/hyperlink" Target="#'10 EVIDENCE &amp; DECISIONS'!A1237" TargetMode="External" Id="rId1239"/><Relationship Type="http://schemas.openxmlformats.org/officeDocument/2006/relationships/hyperlink" Target="#'10 EVIDENCE &amp; DECISIONS'!A1238" TargetMode="External" Id="rId1240"/><Relationship Type="http://schemas.openxmlformats.org/officeDocument/2006/relationships/hyperlink" Target="#'10 EVIDENCE &amp; DECISIONS'!A1239" TargetMode="External" Id="rId1241"/><Relationship Type="http://schemas.openxmlformats.org/officeDocument/2006/relationships/hyperlink" Target="#'10 EVIDENCE &amp; DECISIONS'!A1240" TargetMode="External" Id="rId1242"/><Relationship Type="http://schemas.openxmlformats.org/officeDocument/2006/relationships/hyperlink" Target="#'10 EVIDENCE &amp; DECISIONS'!A1241" TargetMode="External" Id="rId1243"/><Relationship Type="http://schemas.openxmlformats.org/officeDocument/2006/relationships/hyperlink" Target="#'10 EVIDENCE &amp; DECISIONS'!A1242" TargetMode="External" Id="rId1244"/><Relationship Type="http://schemas.openxmlformats.org/officeDocument/2006/relationships/hyperlink" Target="#'10 EVIDENCE &amp; DECISIONS'!A1243" TargetMode="External" Id="rId1245"/><Relationship Type="http://schemas.openxmlformats.org/officeDocument/2006/relationships/hyperlink" Target="#'10 EVIDENCE &amp; DECISIONS'!A1244" TargetMode="External" Id="rId1246"/><Relationship Type="http://schemas.openxmlformats.org/officeDocument/2006/relationships/hyperlink" Target="#'10 EVIDENCE &amp; DECISIONS'!A1245" TargetMode="External" Id="rId1247"/><Relationship Type="http://schemas.openxmlformats.org/officeDocument/2006/relationships/hyperlink" Target="#'10 EVIDENCE &amp; DECISIONS'!A1246" TargetMode="External" Id="rId1248"/><Relationship Type="http://schemas.openxmlformats.org/officeDocument/2006/relationships/hyperlink" Target="#'10 EVIDENCE &amp; DECISIONS'!A1247" TargetMode="External" Id="rId1249"/><Relationship Type="http://schemas.openxmlformats.org/officeDocument/2006/relationships/hyperlink" Target="#'10 EVIDENCE &amp; DECISIONS'!A1248" TargetMode="External" Id="rId1250"/><Relationship Type="http://schemas.openxmlformats.org/officeDocument/2006/relationships/hyperlink" Target="#'10 EVIDENCE &amp; DECISIONS'!A1249" TargetMode="External" Id="rId1251"/><Relationship Type="http://schemas.openxmlformats.org/officeDocument/2006/relationships/hyperlink" Target="#'10 EVIDENCE &amp; DECISIONS'!A1250" TargetMode="External" Id="rId1252"/><Relationship Type="http://schemas.openxmlformats.org/officeDocument/2006/relationships/hyperlink" Target="#'10 EVIDENCE &amp; DECISIONS'!A1251" TargetMode="External" Id="rId1253"/><Relationship Type="http://schemas.openxmlformats.org/officeDocument/2006/relationships/hyperlink" Target="#'10 EVIDENCE &amp; DECISIONS'!A1252" TargetMode="External" Id="rId1254"/><Relationship Type="http://schemas.openxmlformats.org/officeDocument/2006/relationships/hyperlink" Target="#'10 EVIDENCE &amp; DECISIONS'!A1253" TargetMode="External" Id="rId1255"/><Relationship Type="http://schemas.openxmlformats.org/officeDocument/2006/relationships/hyperlink" Target="#'10 EVIDENCE &amp; DECISIONS'!A1254" TargetMode="External" Id="rId1256"/><Relationship Type="http://schemas.openxmlformats.org/officeDocument/2006/relationships/hyperlink" Target="#'10 EVIDENCE &amp; DECISIONS'!A1255" TargetMode="External" Id="rId1257"/><Relationship Type="http://schemas.openxmlformats.org/officeDocument/2006/relationships/hyperlink" Target="#'10 EVIDENCE &amp; DECISIONS'!A1256" TargetMode="External" Id="rId1258"/><Relationship Type="http://schemas.openxmlformats.org/officeDocument/2006/relationships/hyperlink" Target="#'10 EVIDENCE &amp; DECISIONS'!A1257" TargetMode="External" Id="rId1259"/><Relationship Type="http://schemas.openxmlformats.org/officeDocument/2006/relationships/hyperlink" Target="#'10 EVIDENCE &amp; DECISIONS'!A1258" TargetMode="External" Id="rId1260"/><Relationship Type="http://schemas.openxmlformats.org/officeDocument/2006/relationships/hyperlink" Target="#'10 EVIDENCE &amp; DECISIONS'!A1259" TargetMode="External" Id="rId1261"/><Relationship Type="http://schemas.openxmlformats.org/officeDocument/2006/relationships/hyperlink" Target="#'10 EVIDENCE &amp; DECISIONS'!A1260" TargetMode="External" Id="rId1262"/><Relationship Type="http://schemas.openxmlformats.org/officeDocument/2006/relationships/hyperlink" Target="#'10 EVIDENCE &amp; DECISIONS'!A1261" TargetMode="External" Id="rId1263"/><Relationship Type="http://schemas.openxmlformats.org/officeDocument/2006/relationships/hyperlink" Target="#'10 EVIDENCE &amp; DECISIONS'!A1262" TargetMode="External" Id="rId1264"/><Relationship Type="http://schemas.openxmlformats.org/officeDocument/2006/relationships/hyperlink" Target="#'10 EVIDENCE &amp; DECISIONS'!A1263" TargetMode="External" Id="rId1265"/><Relationship Type="http://schemas.openxmlformats.org/officeDocument/2006/relationships/hyperlink" Target="#'10 EVIDENCE &amp; DECISIONS'!A1264" TargetMode="External" Id="rId1266"/><Relationship Type="http://schemas.openxmlformats.org/officeDocument/2006/relationships/hyperlink" Target="#'10 EVIDENCE &amp; DECISIONS'!A1265" TargetMode="External" Id="rId1267"/><Relationship Type="http://schemas.openxmlformats.org/officeDocument/2006/relationships/hyperlink" Target="#'10 EVIDENCE &amp; DECISIONS'!A1266" TargetMode="External" Id="rId1268"/><Relationship Type="http://schemas.openxmlformats.org/officeDocument/2006/relationships/hyperlink" Target="#'10 EVIDENCE &amp; DECISIONS'!A1267" TargetMode="External" Id="rId1269"/><Relationship Type="http://schemas.openxmlformats.org/officeDocument/2006/relationships/hyperlink" Target="#'10 EVIDENCE &amp; DECISIONS'!A1268" TargetMode="External" Id="rId1270"/><Relationship Type="http://schemas.openxmlformats.org/officeDocument/2006/relationships/hyperlink" Target="#'10 EVIDENCE &amp; DECISIONS'!A1269" TargetMode="External" Id="rId1271"/><Relationship Type="http://schemas.openxmlformats.org/officeDocument/2006/relationships/hyperlink" Target="#'10 EVIDENCE &amp; DECISIONS'!A1270" TargetMode="External" Id="rId1272"/><Relationship Type="http://schemas.openxmlformats.org/officeDocument/2006/relationships/hyperlink" Target="#'10 EVIDENCE &amp; DECISIONS'!A1271" TargetMode="External" Id="rId1273"/><Relationship Type="http://schemas.openxmlformats.org/officeDocument/2006/relationships/hyperlink" Target="#'10 EVIDENCE &amp; DECISIONS'!A1272" TargetMode="External" Id="rId1274"/><Relationship Type="http://schemas.openxmlformats.org/officeDocument/2006/relationships/hyperlink" Target="#'10 EVIDENCE &amp; DECISIONS'!A1273" TargetMode="External" Id="rId1275"/><Relationship Type="http://schemas.openxmlformats.org/officeDocument/2006/relationships/hyperlink" Target="#'10 EVIDENCE &amp; DECISIONS'!A1274" TargetMode="External" Id="rId1276"/><Relationship Type="http://schemas.openxmlformats.org/officeDocument/2006/relationships/hyperlink" Target="#'10 EVIDENCE &amp; DECISIONS'!A1275" TargetMode="External" Id="rId1277"/><Relationship Type="http://schemas.openxmlformats.org/officeDocument/2006/relationships/hyperlink" Target="#'10 EVIDENCE &amp; DECISIONS'!A1276" TargetMode="External" Id="rId1278"/><Relationship Type="http://schemas.openxmlformats.org/officeDocument/2006/relationships/hyperlink" Target="#'10 EVIDENCE &amp; DECISIONS'!A1277" TargetMode="External" Id="rId1279"/><Relationship Type="http://schemas.openxmlformats.org/officeDocument/2006/relationships/hyperlink" Target="#'10 EVIDENCE &amp; DECISIONS'!A1278" TargetMode="External" Id="rId1280"/><Relationship Type="http://schemas.openxmlformats.org/officeDocument/2006/relationships/hyperlink" Target="#'10 EVIDENCE &amp; DECISIONS'!A1279" TargetMode="External" Id="rId1281"/><Relationship Type="http://schemas.openxmlformats.org/officeDocument/2006/relationships/hyperlink" Target="#'10 EVIDENCE &amp; DECISIONS'!A1280" TargetMode="External" Id="rId1282"/><Relationship Type="http://schemas.openxmlformats.org/officeDocument/2006/relationships/hyperlink" Target="#'10 EVIDENCE &amp; DECISIONS'!A1281" TargetMode="External" Id="rId1283"/><Relationship Type="http://schemas.openxmlformats.org/officeDocument/2006/relationships/hyperlink" Target="#'10 EVIDENCE &amp; DECISIONS'!A1282" TargetMode="External" Id="rId1284"/><Relationship Type="http://schemas.openxmlformats.org/officeDocument/2006/relationships/hyperlink" Target="#'10 EVIDENCE &amp; DECISIONS'!A1283" TargetMode="External" Id="rId1285"/><Relationship Type="http://schemas.openxmlformats.org/officeDocument/2006/relationships/hyperlink" Target="#'10 EVIDENCE &amp; DECISIONS'!A1284" TargetMode="External" Id="rId1286"/><Relationship Type="http://schemas.openxmlformats.org/officeDocument/2006/relationships/hyperlink" Target="#'10 EVIDENCE &amp; DECISIONS'!A1285" TargetMode="External" Id="rId1287"/><Relationship Type="http://schemas.openxmlformats.org/officeDocument/2006/relationships/hyperlink" Target="#'10 EVIDENCE &amp; DECISIONS'!A1286" TargetMode="External" Id="rId1288"/><Relationship Type="http://schemas.openxmlformats.org/officeDocument/2006/relationships/hyperlink" Target="#'10 EVIDENCE &amp; DECISIONS'!A1287" TargetMode="External" Id="rId1289"/><Relationship Type="http://schemas.openxmlformats.org/officeDocument/2006/relationships/hyperlink" Target="#'10 EVIDENCE &amp; DECISIONS'!A1288" TargetMode="External" Id="rId1290"/><Relationship Type="http://schemas.openxmlformats.org/officeDocument/2006/relationships/hyperlink" Target="#'10 EVIDENCE &amp; DECISIONS'!A1289" TargetMode="External" Id="rId1291"/><Relationship Type="http://schemas.openxmlformats.org/officeDocument/2006/relationships/hyperlink" Target="#'10 EVIDENCE &amp; DECISIONS'!A1290" TargetMode="External" Id="rId1292"/><Relationship Type="http://schemas.openxmlformats.org/officeDocument/2006/relationships/hyperlink" Target="#'10 EVIDENCE &amp; DECISIONS'!A1291" TargetMode="External" Id="rId1293"/><Relationship Type="http://schemas.openxmlformats.org/officeDocument/2006/relationships/hyperlink" Target="#'10 EVIDENCE &amp; DECISIONS'!A1292" TargetMode="External" Id="rId1294"/><Relationship Type="http://schemas.openxmlformats.org/officeDocument/2006/relationships/hyperlink" Target="#'10 EVIDENCE &amp; DECISIONS'!A1293" TargetMode="External" Id="rId1295"/><Relationship Type="http://schemas.openxmlformats.org/officeDocument/2006/relationships/hyperlink" Target="#'10 EVIDENCE &amp; DECISIONS'!A1294" TargetMode="External" Id="rId1296"/><Relationship Type="http://schemas.openxmlformats.org/officeDocument/2006/relationships/hyperlink" Target="#'10 EVIDENCE &amp; DECISIONS'!A1295" TargetMode="External" Id="rId1297"/><Relationship Type="http://schemas.openxmlformats.org/officeDocument/2006/relationships/hyperlink" Target="#'10 EVIDENCE &amp; DECISIONS'!A1296" TargetMode="External" Id="rId1298"/><Relationship Type="http://schemas.openxmlformats.org/officeDocument/2006/relationships/hyperlink" Target="#'10 EVIDENCE &amp; DECISIONS'!A1297" TargetMode="External" Id="rId1299"/><Relationship Type="http://schemas.openxmlformats.org/officeDocument/2006/relationships/hyperlink" Target="#'10 EVIDENCE &amp; DECISIONS'!A1298" TargetMode="External" Id="rId1300"/><Relationship Type="http://schemas.openxmlformats.org/officeDocument/2006/relationships/hyperlink" Target="#'10 EVIDENCE &amp; DECISIONS'!A1299" TargetMode="External" Id="rId1301"/><Relationship Type="http://schemas.openxmlformats.org/officeDocument/2006/relationships/hyperlink" Target="#'10 EVIDENCE &amp; DECISIONS'!A1300" TargetMode="External" Id="rId1302"/><Relationship Type="http://schemas.openxmlformats.org/officeDocument/2006/relationships/hyperlink" Target="#'10 EVIDENCE &amp; DECISIONS'!A1301" TargetMode="External" Id="rId1303"/><Relationship Type="http://schemas.openxmlformats.org/officeDocument/2006/relationships/hyperlink" Target="#'10 EVIDENCE &amp; DECISIONS'!A1302" TargetMode="External" Id="rId1304"/><Relationship Type="http://schemas.openxmlformats.org/officeDocument/2006/relationships/hyperlink" Target="#'10 EVIDENCE &amp; DECISIONS'!A1303" TargetMode="External" Id="rId1305"/><Relationship Type="http://schemas.openxmlformats.org/officeDocument/2006/relationships/hyperlink" Target="#'10 EVIDENCE &amp; DECISIONS'!A1304" TargetMode="External" Id="rId1306"/><Relationship Type="http://schemas.openxmlformats.org/officeDocument/2006/relationships/hyperlink" Target="#'10 EVIDENCE &amp; DECISIONS'!A1305" TargetMode="External" Id="rId1307"/><Relationship Type="http://schemas.openxmlformats.org/officeDocument/2006/relationships/hyperlink" Target="#'10 EVIDENCE &amp; DECISIONS'!A1306" TargetMode="External" Id="rId1308"/><Relationship Type="http://schemas.openxmlformats.org/officeDocument/2006/relationships/hyperlink" Target="#'10 EVIDENCE &amp; DECISIONS'!A1307" TargetMode="External" Id="rId1309"/><Relationship Type="http://schemas.openxmlformats.org/officeDocument/2006/relationships/hyperlink" Target="#'10 EVIDENCE &amp; DECISIONS'!A1308" TargetMode="External" Id="rId1310"/><Relationship Type="http://schemas.openxmlformats.org/officeDocument/2006/relationships/hyperlink" Target="#'10 EVIDENCE &amp; DECISIONS'!A1309" TargetMode="External" Id="rId1311"/><Relationship Type="http://schemas.openxmlformats.org/officeDocument/2006/relationships/hyperlink" Target="#'10 EVIDENCE &amp; DECISIONS'!A1310" TargetMode="External" Id="rId1312"/><Relationship Type="http://schemas.openxmlformats.org/officeDocument/2006/relationships/hyperlink" Target="#'10 EVIDENCE &amp; DECISIONS'!A1311" TargetMode="External" Id="rId1313"/><Relationship Type="http://schemas.openxmlformats.org/officeDocument/2006/relationships/hyperlink" Target="#'10 EVIDENCE &amp; DECISIONS'!A1312" TargetMode="External" Id="rId1314"/><Relationship Type="http://schemas.openxmlformats.org/officeDocument/2006/relationships/hyperlink" Target="#'10 EVIDENCE &amp; DECISIONS'!A1313" TargetMode="External" Id="rId1315"/><Relationship Type="http://schemas.openxmlformats.org/officeDocument/2006/relationships/hyperlink" Target="#'10 EVIDENCE &amp; DECISIONS'!A1314" TargetMode="External" Id="rId1316"/><Relationship Type="http://schemas.openxmlformats.org/officeDocument/2006/relationships/hyperlink" Target="#'10 EVIDENCE &amp; DECISIONS'!A1315" TargetMode="External" Id="rId1317"/><Relationship Type="http://schemas.openxmlformats.org/officeDocument/2006/relationships/hyperlink" Target="#'10 EVIDENCE &amp; DECISIONS'!A1316" TargetMode="External" Id="rId1318"/><Relationship Type="http://schemas.openxmlformats.org/officeDocument/2006/relationships/hyperlink" Target="#'10 EVIDENCE &amp; DECISIONS'!A1317" TargetMode="External" Id="rId1319"/><Relationship Type="http://schemas.openxmlformats.org/officeDocument/2006/relationships/hyperlink" Target="#'10 EVIDENCE &amp; DECISIONS'!A1318" TargetMode="External" Id="rId1320"/><Relationship Type="http://schemas.openxmlformats.org/officeDocument/2006/relationships/hyperlink" Target="#'10 EVIDENCE &amp; DECISIONS'!A1319" TargetMode="External" Id="rId1321"/><Relationship Type="http://schemas.openxmlformats.org/officeDocument/2006/relationships/hyperlink" Target="#'10 EVIDENCE &amp; DECISIONS'!A1320" TargetMode="External" Id="rId1322"/><Relationship Type="http://schemas.openxmlformats.org/officeDocument/2006/relationships/hyperlink" Target="#'10 EVIDENCE &amp; DECISIONS'!A1321" TargetMode="External" Id="rId1323"/><Relationship Type="http://schemas.openxmlformats.org/officeDocument/2006/relationships/hyperlink" Target="#'10 EVIDENCE &amp; DECISIONS'!A1322" TargetMode="External" Id="rId1324"/><Relationship Type="http://schemas.openxmlformats.org/officeDocument/2006/relationships/hyperlink" Target="#'10 EVIDENCE &amp; DECISIONS'!A1323" TargetMode="External" Id="rId1325"/><Relationship Type="http://schemas.openxmlformats.org/officeDocument/2006/relationships/hyperlink" Target="#'10 EVIDENCE &amp; DECISIONS'!A1324" TargetMode="External" Id="rId1326"/><Relationship Type="http://schemas.openxmlformats.org/officeDocument/2006/relationships/hyperlink" Target="#'10 EVIDENCE &amp; DECISIONS'!A1325" TargetMode="External" Id="rId1327"/><Relationship Type="http://schemas.openxmlformats.org/officeDocument/2006/relationships/hyperlink" Target="#'10 EVIDENCE &amp; DECISIONS'!A1326" TargetMode="External" Id="rId1328"/><Relationship Type="http://schemas.openxmlformats.org/officeDocument/2006/relationships/hyperlink" Target="#'10 EVIDENCE &amp; DECISIONS'!A1327" TargetMode="External" Id="rId1329"/><Relationship Type="http://schemas.openxmlformats.org/officeDocument/2006/relationships/hyperlink" Target="#'10 EVIDENCE &amp; DECISIONS'!A1328" TargetMode="External" Id="rId1330"/><Relationship Type="http://schemas.openxmlformats.org/officeDocument/2006/relationships/hyperlink" Target="#'10 EVIDENCE &amp; DECISIONS'!A1329" TargetMode="External" Id="rId1331"/><Relationship Type="http://schemas.openxmlformats.org/officeDocument/2006/relationships/hyperlink" Target="#'10 EVIDENCE &amp; DECISIONS'!A1330" TargetMode="External" Id="rId1332"/><Relationship Type="http://schemas.openxmlformats.org/officeDocument/2006/relationships/hyperlink" Target="#'10 EVIDENCE &amp; DECISIONS'!A1331" TargetMode="External" Id="rId1333"/><Relationship Type="http://schemas.openxmlformats.org/officeDocument/2006/relationships/hyperlink" Target="#'10 EVIDENCE &amp; DECISIONS'!A1332" TargetMode="External" Id="rId1334"/><Relationship Type="http://schemas.openxmlformats.org/officeDocument/2006/relationships/hyperlink" Target="#'10 EVIDENCE &amp; DECISIONS'!A1333" TargetMode="External" Id="rId1335"/><Relationship Type="http://schemas.openxmlformats.org/officeDocument/2006/relationships/hyperlink" Target="#'10 EVIDENCE &amp; DECISIONS'!A1334" TargetMode="External" Id="rId1336"/><Relationship Type="http://schemas.openxmlformats.org/officeDocument/2006/relationships/hyperlink" Target="#'10 EVIDENCE &amp; DECISIONS'!A1335" TargetMode="External" Id="rId1337"/><Relationship Type="http://schemas.openxmlformats.org/officeDocument/2006/relationships/hyperlink" Target="#'10 EVIDENCE &amp; DECISIONS'!A1336" TargetMode="External" Id="rId1338"/><Relationship Type="http://schemas.openxmlformats.org/officeDocument/2006/relationships/hyperlink" Target="#'10 EVIDENCE &amp; DECISIONS'!A1337" TargetMode="External" Id="rId1339"/><Relationship Type="http://schemas.openxmlformats.org/officeDocument/2006/relationships/hyperlink" Target="#'10 EVIDENCE &amp; DECISIONS'!A1338" TargetMode="External" Id="rId1340"/><Relationship Type="http://schemas.openxmlformats.org/officeDocument/2006/relationships/hyperlink" Target="#'10 EVIDENCE &amp; DECISIONS'!A1339" TargetMode="External" Id="rId1341"/><Relationship Type="http://schemas.openxmlformats.org/officeDocument/2006/relationships/hyperlink" Target="#'10 EVIDENCE &amp; DECISIONS'!A1340" TargetMode="External" Id="rId1342"/><Relationship Type="http://schemas.openxmlformats.org/officeDocument/2006/relationships/hyperlink" Target="#'10 EVIDENCE &amp; DECISIONS'!A1341" TargetMode="External" Id="rId1343"/><Relationship Type="http://schemas.openxmlformats.org/officeDocument/2006/relationships/hyperlink" Target="#'10 EVIDENCE &amp; DECISIONS'!A1342" TargetMode="External" Id="rId1344"/><Relationship Type="http://schemas.openxmlformats.org/officeDocument/2006/relationships/hyperlink" Target="#'10 EVIDENCE &amp; DECISIONS'!A1343" TargetMode="External" Id="rId1345"/><Relationship Type="http://schemas.openxmlformats.org/officeDocument/2006/relationships/hyperlink" Target="#'10 EVIDENCE &amp; DECISIONS'!A1344" TargetMode="External" Id="rId1346"/><Relationship Type="http://schemas.openxmlformats.org/officeDocument/2006/relationships/hyperlink" Target="#'10 EVIDENCE &amp; DECISIONS'!A1345" TargetMode="External" Id="rId1347"/><Relationship Type="http://schemas.openxmlformats.org/officeDocument/2006/relationships/hyperlink" Target="#'10 EVIDENCE &amp; DECISIONS'!A1346" TargetMode="External" Id="rId1348"/><Relationship Type="http://schemas.openxmlformats.org/officeDocument/2006/relationships/hyperlink" Target="#'10 EVIDENCE &amp; DECISIONS'!A1347" TargetMode="External" Id="rId1349"/><Relationship Type="http://schemas.openxmlformats.org/officeDocument/2006/relationships/hyperlink" Target="#'10 EVIDENCE &amp; DECISIONS'!A1348" TargetMode="External" Id="rId1350"/><Relationship Type="http://schemas.openxmlformats.org/officeDocument/2006/relationships/hyperlink" Target="#'10 EVIDENCE &amp; DECISIONS'!A1349" TargetMode="External" Id="rId1351"/><Relationship Type="http://schemas.openxmlformats.org/officeDocument/2006/relationships/hyperlink" Target="#'10 EVIDENCE &amp; DECISIONS'!A1350" TargetMode="External" Id="rId1352"/><Relationship Type="http://schemas.openxmlformats.org/officeDocument/2006/relationships/hyperlink" Target="#'10 EVIDENCE &amp; DECISIONS'!A1351" TargetMode="External" Id="rId1353"/><Relationship Type="http://schemas.openxmlformats.org/officeDocument/2006/relationships/hyperlink" Target="#'10 EVIDENCE &amp; DECISIONS'!A1352" TargetMode="External" Id="rId1354"/><Relationship Type="http://schemas.openxmlformats.org/officeDocument/2006/relationships/hyperlink" Target="#'10 EVIDENCE &amp; DECISIONS'!A1353" TargetMode="External" Id="rId1355"/><Relationship Type="http://schemas.openxmlformats.org/officeDocument/2006/relationships/hyperlink" Target="#'10 EVIDENCE &amp; DECISIONS'!A1354" TargetMode="External" Id="rId1356"/><Relationship Type="http://schemas.openxmlformats.org/officeDocument/2006/relationships/hyperlink" Target="#'10 EVIDENCE &amp; DECISIONS'!A1355" TargetMode="External" Id="rId1357"/><Relationship Type="http://schemas.openxmlformats.org/officeDocument/2006/relationships/hyperlink" Target="#'10 EVIDENCE &amp; DECISIONS'!A1356" TargetMode="External" Id="rId1358"/><Relationship Type="http://schemas.openxmlformats.org/officeDocument/2006/relationships/hyperlink" Target="#'10 EVIDENCE &amp; DECISIONS'!A1357" TargetMode="External" Id="rId1359"/><Relationship Type="http://schemas.openxmlformats.org/officeDocument/2006/relationships/hyperlink" Target="#'10 EVIDENCE &amp; DECISIONS'!A1358" TargetMode="External" Id="rId1360"/><Relationship Type="http://schemas.openxmlformats.org/officeDocument/2006/relationships/hyperlink" Target="#'10 EVIDENCE &amp; DECISIONS'!A1359" TargetMode="External" Id="rId1361"/><Relationship Type="http://schemas.openxmlformats.org/officeDocument/2006/relationships/hyperlink" Target="#'10 EVIDENCE &amp; DECISIONS'!A1360" TargetMode="External" Id="rId1362"/><Relationship Type="http://schemas.openxmlformats.org/officeDocument/2006/relationships/hyperlink" Target="#'10 EVIDENCE &amp; DECISIONS'!A1361" TargetMode="External" Id="rId1363"/><Relationship Type="http://schemas.openxmlformats.org/officeDocument/2006/relationships/hyperlink" Target="#'10 EVIDENCE &amp; DECISIONS'!A1362" TargetMode="External" Id="rId1364"/><Relationship Type="http://schemas.openxmlformats.org/officeDocument/2006/relationships/hyperlink" Target="#'10 EVIDENCE &amp; DECISIONS'!A1363" TargetMode="External" Id="rId1365"/><Relationship Type="http://schemas.openxmlformats.org/officeDocument/2006/relationships/hyperlink" Target="#'10 EVIDENCE &amp; DECISIONS'!A1364" TargetMode="External" Id="rId1366"/><Relationship Type="http://schemas.openxmlformats.org/officeDocument/2006/relationships/hyperlink" Target="#'10 EVIDENCE &amp; DECISIONS'!A1365" TargetMode="External" Id="rId1367"/><Relationship Type="http://schemas.openxmlformats.org/officeDocument/2006/relationships/hyperlink" Target="#'10 EVIDENCE &amp; DECISIONS'!A1467" TargetMode="External" Id="rId1368"/><Relationship Type="http://schemas.openxmlformats.org/officeDocument/2006/relationships/hyperlink" Target="#'10 EVIDENCE &amp; DECISIONS'!A1468" TargetMode="External" Id="rId1369"/><Relationship Type="http://schemas.openxmlformats.org/officeDocument/2006/relationships/hyperlink" Target="#'10 EVIDENCE &amp; DECISIONS'!A1469" TargetMode="External" Id="rId1370"/><Relationship Type="http://schemas.openxmlformats.org/officeDocument/2006/relationships/hyperlink" Target="#'10 EVIDENCE &amp; DECISIONS'!A1470" TargetMode="External" Id="rId1371"/><Relationship Type="http://schemas.openxmlformats.org/officeDocument/2006/relationships/hyperlink" Target="#'10 EVIDENCE &amp; DECISIONS'!A1471" TargetMode="External" Id="rId1372"/><Relationship Type="http://schemas.openxmlformats.org/officeDocument/2006/relationships/hyperlink" Target="#'10 EVIDENCE &amp; DECISIONS'!A1472" TargetMode="External" Id="rId1373"/><Relationship Type="http://schemas.openxmlformats.org/officeDocument/2006/relationships/hyperlink" Target="#'10 EVIDENCE &amp; DECISIONS'!A1473" TargetMode="External" Id="rId1374"/><Relationship Type="http://schemas.openxmlformats.org/officeDocument/2006/relationships/hyperlink" Target="#'10 EVIDENCE &amp; DECISIONS'!A1474" TargetMode="External" Id="rId1375"/><Relationship Type="http://schemas.openxmlformats.org/officeDocument/2006/relationships/hyperlink" Target="#'10 EVIDENCE &amp; DECISIONS'!A1475" TargetMode="External" Id="rId1376"/><Relationship Type="http://schemas.openxmlformats.org/officeDocument/2006/relationships/hyperlink" Target="#'10 EVIDENCE &amp; DECISIONS'!A1476" TargetMode="External" Id="rId1377"/><Relationship Type="http://schemas.openxmlformats.org/officeDocument/2006/relationships/hyperlink" Target="#'10 EVIDENCE &amp; DECISIONS'!A1477" TargetMode="External" Id="rId1378"/><Relationship Type="http://schemas.openxmlformats.org/officeDocument/2006/relationships/hyperlink" Target="#'10 EVIDENCE &amp; DECISIONS'!A1478" TargetMode="External" Id="rId1379"/><Relationship Type="http://schemas.openxmlformats.org/officeDocument/2006/relationships/hyperlink" Target="#'10 EVIDENCE &amp; DECISIONS'!A1479" TargetMode="External" Id="rId1380"/><Relationship Type="http://schemas.openxmlformats.org/officeDocument/2006/relationships/hyperlink" Target="#'10 EVIDENCE &amp; DECISIONS'!A1480" TargetMode="External" Id="rId1381"/><Relationship Type="http://schemas.openxmlformats.org/officeDocument/2006/relationships/hyperlink" Target="#'10 EVIDENCE &amp; DECISIONS'!A1481" TargetMode="External" Id="rId1382"/><Relationship Type="http://schemas.openxmlformats.org/officeDocument/2006/relationships/hyperlink" Target="#'10 EVIDENCE &amp; DECISIONS'!A1482" TargetMode="External" Id="rId1383"/><Relationship Type="http://schemas.openxmlformats.org/officeDocument/2006/relationships/hyperlink" Target="#'10 EVIDENCE &amp; DECISIONS'!A1483" TargetMode="External" Id="rId1384"/><Relationship Type="http://schemas.openxmlformats.org/officeDocument/2006/relationships/hyperlink" Target="#'10 EVIDENCE &amp; DECISIONS'!A1484" TargetMode="External" Id="rId1385"/><Relationship Type="http://schemas.openxmlformats.org/officeDocument/2006/relationships/hyperlink" Target="#'10 EVIDENCE &amp; DECISIONS'!A1485" TargetMode="External" Id="rId1386"/><Relationship Type="http://schemas.openxmlformats.org/officeDocument/2006/relationships/hyperlink" Target="#'10 EVIDENCE &amp; DECISIONS'!A1486" TargetMode="External" Id="rId1387"/><Relationship Type="http://schemas.openxmlformats.org/officeDocument/2006/relationships/hyperlink" Target="#'10 EVIDENCE &amp; DECISIONS'!A1487" TargetMode="External" Id="rId1388"/><Relationship Type="http://schemas.openxmlformats.org/officeDocument/2006/relationships/hyperlink" Target="#'10 EVIDENCE &amp; DECISIONS'!A1488" TargetMode="External" Id="rId1389"/><Relationship Type="http://schemas.openxmlformats.org/officeDocument/2006/relationships/hyperlink" Target="#'10 EVIDENCE &amp; DECISIONS'!A1489" TargetMode="External" Id="rId1390"/><Relationship Type="http://schemas.openxmlformats.org/officeDocument/2006/relationships/hyperlink" Target="#'10 EVIDENCE &amp; DECISIONS'!A1490" TargetMode="External" Id="rId1391"/><Relationship Type="http://schemas.openxmlformats.org/officeDocument/2006/relationships/hyperlink" Target="#'10 EVIDENCE &amp; DECISIONS'!A1491" TargetMode="External" Id="rId1392"/><Relationship Type="http://schemas.openxmlformats.org/officeDocument/2006/relationships/hyperlink" Target="#'10 EVIDENCE &amp; DECISIONS'!A1492" TargetMode="External" Id="rId1393"/><Relationship Type="http://schemas.openxmlformats.org/officeDocument/2006/relationships/hyperlink" Target="#'10 EVIDENCE &amp; DECISIONS'!A1493" TargetMode="External" Id="rId1394"/><Relationship Type="http://schemas.openxmlformats.org/officeDocument/2006/relationships/hyperlink" Target="#'10 EVIDENCE &amp; DECISIONS'!A1494" TargetMode="External" Id="rId1395"/><Relationship Type="http://schemas.openxmlformats.org/officeDocument/2006/relationships/hyperlink" Target="#'10 EVIDENCE &amp; DECISIONS'!A1495" TargetMode="External" Id="rId1396"/><Relationship Type="http://schemas.openxmlformats.org/officeDocument/2006/relationships/hyperlink" Target="#'10 EVIDENCE &amp; DECISIONS'!A1496" TargetMode="External" Id="rId1397"/><Relationship Type="http://schemas.openxmlformats.org/officeDocument/2006/relationships/hyperlink" Target="#'10 EVIDENCE &amp; DECISIONS'!A1497" TargetMode="External" Id="rId1398"/><Relationship Type="http://schemas.openxmlformats.org/officeDocument/2006/relationships/hyperlink" Target="#'10 EVIDENCE &amp; DECISIONS'!A1498" TargetMode="External" Id="rId1399"/><Relationship Type="http://schemas.openxmlformats.org/officeDocument/2006/relationships/hyperlink" Target="#'10 EVIDENCE &amp; DECISIONS'!A1499" TargetMode="External" Id="rId1400"/><Relationship Type="http://schemas.openxmlformats.org/officeDocument/2006/relationships/hyperlink" Target="#'10 EVIDENCE &amp; DECISIONS'!A1500" TargetMode="External" Id="rId1401"/><Relationship Type="http://schemas.openxmlformats.org/officeDocument/2006/relationships/hyperlink" Target="#'10 EVIDENCE &amp; DECISIONS'!A1501" TargetMode="External" Id="rId1402"/><Relationship Type="http://schemas.openxmlformats.org/officeDocument/2006/relationships/hyperlink" Target="#'10 EVIDENCE &amp; DECISIONS'!A1502" TargetMode="External" Id="rId1403"/><Relationship Type="http://schemas.openxmlformats.org/officeDocument/2006/relationships/hyperlink" Target="#'10 EVIDENCE &amp; DECISIONS'!A1503" TargetMode="External" Id="rId1404"/><Relationship Type="http://schemas.openxmlformats.org/officeDocument/2006/relationships/hyperlink" Target="#'10 EVIDENCE &amp; DECISIONS'!A1504" TargetMode="External" Id="rId1405"/><Relationship Type="http://schemas.openxmlformats.org/officeDocument/2006/relationships/hyperlink" Target="#'10 EVIDENCE &amp; DECISIONS'!A1505" TargetMode="External" Id="rId1406"/><Relationship Type="http://schemas.openxmlformats.org/officeDocument/2006/relationships/hyperlink" Target="#'10 EVIDENCE &amp; DECISIONS'!A1506" TargetMode="External" Id="rId1407"/><Relationship Type="http://schemas.openxmlformats.org/officeDocument/2006/relationships/hyperlink" Target="#'10 EVIDENCE &amp; DECISIONS'!A1507" TargetMode="External" Id="rId1408"/><Relationship Type="http://schemas.openxmlformats.org/officeDocument/2006/relationships/hyperlink" Target="#'10 EVIDENCE &amp; DECISIONS'!A1508" TargetMode="External" Id="rId1409"/><Relationship Type="http://schemas.openxmlformats.org/officeDocument/2006/relationships/hyperlink" Target="#'10 EVIDENCE &amp; DECISIONS'!A1509" TargetMode="External" Id="rId1410"/><Relationship Type="http://schemas.openxmlformats.org/officeDocument/2006/relationships/hyperlink" Target="#'10 EVIDENCE &amp; DECISIONS'!A1510" TargetMode="External" Id="rId1411"/><Relationship Type="http://schemas.openxmlformats.org/officeDocument/2006/relationships/hyperlink" Target="#'10 EVIDENCE &amp; DECISIONS'!A1511" TargetMode="External" Id="rId1412"/><Relationship Type="http://schemas.openxmlformats.org/officeDocument/2006/relationships/hyperlink" Target="#'10 EVIDENCE &amp; DECISIONS'!A1512" TargetMode="External" Id="rId1413"/><Relationship Type="http://schemas.openxmlformats.org/officeDocument/2006/relationships/hyperlink" Target="#'10 EVIDENCE &amp; DECISIONS'!A1513" TargetMode="External" Id="rId1414"/><Relationship Type="http://schemas.openxmlformats.org/officeDocument/2006/relationships/hyperlink" Target="#'10 EVIDENCE &amp; DECISIONS'!A1514" TargetMode="External" Id="rId1415"/><Relationship Type="http://schemas.openxmlformats.org/officeDocument/2006/relationships/hyperlink" Target="#'10 EVIDENCE &amp; DECISIONS'!A1515" TargetMode="External" Id="rId1416"/><Relationship Type="http://schemas.openxmlformats.org/officeDocument/2006/relationships/hyperlink" Target="#'10 EVIDENCE &amp; DECISIONS'!A1516" TargetMode="External" Id="rId1417"/><Relationship Type="http://schemas.openxmlformats.org/officeDocument/2006/relationships/hyperlink" Target="#'10 EVIDENCE &amp; DECISIONS'!A1517" TargetMode="External" Id="rId1418"/><Relationship Type="http://schemas.openxmlformats.org/officeDocument/2006/relationships/hyperlink" Target="#'10 EVIDENCE &amp; DECISIONS'!A1518" TargetMode="External" Id="rId1419"/><Relationship Type="http://schemas.openxmlformats.org/officeDocument/2006/relationships/hyperlink" Target="#'10 EVIDENCE &amp; DECISIONS'!A1519" TargetMode="External" Id="rId1420"/><Relationship Type="http://schemas.openxmlformats.org/officeDocument/2006/relationships/hyperlink" Target="#'10 EVIDENCE &amp; DECISIONS'!A1520" TargetMode="External" Id="rId1421"/><Relationship Type="http://schemas.openxmlformats.org/officeDocument/2006/relationships/hyperlink" Target="#'10 EVIDENCE &amp; DECISIONS'!A1521" TargetMode="External" Id="rId1422"/><Relationship Type="http://schemas.openxmlformats.org/officeDocument/2006/relationships/hyperlink" Target="#'10 EVIDENCE &amp; DECISIONS'!A1522" TargetMode="External" Id="rId1423"/><Relationship Type="http://schemas.openxmlformats.org/officeDocument/2006/relationships/hyperlink" Target="#'10 EVIDENCE &amp; DECISIONS'!A1523" TargetMode="External" Id="rId1424"/><Relationship Type="http://schemas.openxmlformats.org/officeDocument/2006/relationships/hyperlink" Target="#'10 EVIDENCE &amp; DECISIONS'!A1524" TargetMode="External" Id="rId1425"/><Relationship Type="http://schemas.openxmlformats.org/officeDocument/2006/relationships/hyperlink" Target="#'10 EVIDENCE &amp; DECISIONS'!A1525" TargetMode="External" Id="rId1426"/><Relationship Type="http://schemas.openxmlformats.org/officeDocument/2006/relationships/hyperlink" Target="#'10 EVIDENCE &amp; DECISIONS'!A1526" TargetMode="External" Id="rId1427"/><Relationship Type="http://schemas.openxmlformats.org/officeDocument/2006/relationships/hyperlink" Target="#'10 EVIDENCE &amp; DECISIONS'!A1527" TargetMode="External" Id="rId1428"/><Relationship Type="http://schemas.openxmlformats.org/officeDocument/2006/relationships/hyperlink" Target="#'10 EVIDENCE &amp; DECISIONS'!A1528" TargetMode="External" Id="rId1429"/><Relationship Type="http://schemas.openxmlformats.org/officeDocument/2006/relationships/hyperlink" Target="#'10 EVIDENCE &amp; DECISIONS'!A1529" TargetMode="External" Id="rId1430"/><Relationship Type="http://schemas.openxmlformats.org/officeDocument/2006/relationships/hyperlink" Target="#'10 EVIDENCE &amp; DECISIONS'!A1530" TargetMode="External" Id="rId1431"/><Relationship Type="http://schemas.openxmlformats.org/officeDocument/2006/relationships/hyperlink" Target="#'10 EVIDENCE &amp; DECISIONS'!A1531" TargetMode="External" Id="rId1432"/><Relationship Type="http://schemas.openxmlformats.org/officeDocument/2006/relationships/hyperlink" Target="#'10 EVIDENCE &amp; DECISIONS'!A1532" TargetMode="External" Id="rId1433"/><Relationship Type="http://schemas.openxmlformats.org/officeDocument/2006/relationships/hyperlink" Target="#'10 EVIDENCE &amp; DECISIONS'!A1533" TargetMode="External" Id="rId1434"/><Relationship Type="http://schemas.openxmlformats.org/officeDocument/2006/relationships/hyperlink" Target="#'10 EVIDENCE &amp; DECISIONS'!A1534" TargetMode="External" Id="rId1435"/><Relationship Type="http://schemas.openxmlformats.org/officeDocument/2006/relationships/hyperlink" Target="#'10 EVIDENCE &amp; DECISIONS'!A1535" TargetMode="External" Id="rId1436"/><Relationship Type="http://schemas.openxmlformats.org/officeDocument/2006/relationships/hyperlink" Target="#'10 EVIDENCE &amp; DECISIONS'!A1536" TargetMode="External" Id="rId1437"/><Relationship Type="http://schemas.openxmlformats.org/officeDocument/2006/relationships/hyperlink" Target="#'10 EVIDENCE &amp; DECISIONS'!A1537" TargetMode="External" Id="rId1438"/><Relationship Type="http://schemas.openxmlformats.org/officeDocument/2006/relationships/hyperlink" Target="#'10 EVIDENCE &amp; DECISIONS'!A1538" TargetMode="External" Id="rId1439"/><Relationship Type="http://schemas.openxmlformats.org/officeDocument/2006/relationships/hyperlink" Target="#'10 EVIDENCE &amp; DECISIONS'!A1539" TargetMode="External" Id="rId1440"/><Relationship Type="http://schemas.openxmlformats.org/officeDocument/2006/relationships/hyperlink" Target="#'10 EVIDENCE &amp; DECISIONS'!A1540" TargetMode="External" Id="rId1441"/><Relationship Type="http://schemas.openxmlformats.org/officeDocument/2006/relationships/hyperlink" Target="#'10 EVIDENCE &amp; DECISIONS'!A1541" TargetMode="External" Id="rId1442"/><Relationship Type="http://schemas.openxmlformats.org/officeDocument/2006/relationships/hyperlink" Target="#'10 EVIDENCE &amp; DECISIONS'!A1542" TargetMode="External" Id="rId1443"/><Relationship Type="http://schemas.openxmlformats.org/officeDocument/2006/relationships/hyperlink" Target="#'10 EVIDENCE &amp; DECISIONS'!A1543" TargetMode="External" Id="rId1444"/><Relationship Type="http://schemas.openxmlformats.org/officeDocument/2006/relationships/hyperlink" Target="#'10 EVIDENCE &amp; DECISIONS'!A1544" TargetMode="External" Id="rId1445"/><Relationship Type="http://schemas.openxmlformats.org/officeDocument/2006/relationships/hyperlink" Target="#'10 EVIDENCE &amp; DECISIONS'!A1545" TargetMode="External" Id="rId1446"/><Relationship Type="http://schemas.openxmlformats.org/officeDocument/2006/relationships/hyperlink" Target="#'10 EVIDENCE &amp; DECISIONS'!A1546" TargetMode="External" Id="rId1447"/><Relationship Type="http://schemas.openxmlformats.org/officeDocument/2006/relationships/hyperlink" Target="#'10 EVIDENCE &amp; DECISIONS'!A1547" TargetMode="External" Id="rId1448"/><Relationship Type="http://schemas.openxmlformats.org/officeDocument/2006/relationships/hyperlink" Target="#'10 EVIDENCE &amp; DECISIONS'!A1548" TargetMode="External" Id="rId1449"/><Relationship Type="http://schemas.openxmlformats.org/officeDocument/2006/relationships/hyperlink" Target="#'10 EVIDENCE &amp; DECISIONS'!A1549" TargetMode="External" Id="rId1450"/><Relationship Type="http://schemas.openxmlformats.org/officeDocument/2006/relationships/hyperlink" Target="#'10 EVIDENCE &amp; DECISIONS'!A1550" TargetMode="External" Id="rId1451"/><Relationship Type="http://schemas.openxmlformats.org/officeDocument/2006/relationships/hyperlink" Target="#'10 EVIDENCE &amp; DECISIONS'!A1551" TargetMode="External" Id="rId1452"/><Relationship Type="http://schemas.openxmlformats.org/officeDocument/2006/relationships/hyperlink" Target="#'10 EVIDENCE &amp; DECISIONS'!A1552" TargetMode="External" Id="rId1453"/><Relationship Type="http://schemas.openxmlformats.org/officeDocument/2006/relationships/hyperlink" Target="#'10 EVIDENCE &amp; DECISIONS'!A1553" TargetMode="External" Id="rId1454"/><Relationship Type="http://schemas.openxmlformats.org/officeDocument/2006/relationships/hyperlink" Target="#'10 EVIDENCE &amp; DECISIONS'!A1554" TargetMode="External" Id="rId1455"/><Relationship Type="http://schemas.openxmlformats.org/officeDocument/2006/relationships/hyperlink" Target="#'10 EVIDENCE &amp; DECISIONS'!A1555" TargetMode="External" Id="rId1456"/><Relationship Type="http://schemas.openxmlformats.org/officeDocument/2006/relationships/hyperlink" Target="#'10 EVIDENCE &amp; DECISIONS'!A1556" TargetMode="External" Id="rId1457"/><Relationship Type="http://schemas.openxmlformats.org/officeDocument/2006/relationships/hyperlink" Target="#'10 EVIDENCE &amp; DECISIONS'!A1557" TargetMode="External" Id="rId1458"/><Relationship Type="http://schemas.openxmlformats.org/officeDocument/2006/relationships/hyperlink" Target="#'10 EVIDENCE &amp; DECISIONS'!A1558" TargetMode="External" Id="rId1459"/><Relationship Type="http://schemas.openxmlformats.org/officeDocument/2006/relationships/hyperlink" Target="#'10 EVIDENCE &amp; DECISIONS'!A1559" TargetMode="External" Id="rId1460"/><Relationship Type="http://schemas.openxmlformats.org/officeDocument/2006/relationships/hyperlink" Target="#'10 EVIDENCE &amp; DECISIONS'!A1560" TargetMode="External" Id="rId1461"/><Relationship Type="http://schemas.openxmlformats.org/officeDocument/2006/relationships/hyperlink" Target="#'10 EVIDENCE &amp; DECISIONS'!A1561" TargetMode="External" Id="rId1462"/><Relationship Type="http://schemas.openxmlformats.org/officeDocument/2006/relationships/hyperlink" Target="#'10 EVIDENCE &amp; DECISIONS'!A1562" TargetMode="External" Id="rId1463"/><Relationship Type="http://schemas.openxmlformats.org/officeDocument/2006/relationships/hyperlink" Target="#'10 EVIDENCE &amp; DECISIONS'!A1563" TargetMode="External" Id="rId1464"/><Relationship Type="http://schemas.openxmlformats.org/officeDocument/2006/relationships/hyperlink" Target="#'10 EVIDENCE &amp; DECISIONS'!A1564" TargetMode="External" Id="rId1465"/><Relationship Type="http://schemas.openxmlformats.org/officeDocument/2006/relationships/hyperlink" Target="#'10 EVIDENCE &amp; DECISIONS'!A1565" TargetMode="External" Id="rId1466"/><Relationship Type="http://schemas.openxmlformats.org/officeDocument/2006/relationships/hyperlink" Target="#'10 EVIDENCE &amp; DECISIONS'!A1566" TargetMode="External" Id="rId1467"/><Relationship Type="http://schemas.openxmlformats.org/officeDocument/2006/relationships/hyperlink" Target="#'10 EVIDENCE &amp; DECISIONS'!A1567" TargetMode="External" Id="rId1468"/><Relationship Type="http://schemas.openxmlformats.org/officeDocument/2006/relationships/hyperlink" Target="#'10 EVIDENCE &amp; DECISIONS'!A1568" TargetMode="External" Id="rId1469"/><Relationship Type="http://schemas.openxmlformats.org/officeDocument/2006/relationships/hyperlink" Target="#'10 EVIDENCE &amp; DECISIONS'!A1569" TargetMode="External" Id="rId1470"/><Relationship Type="http://schemas.openxmlformats.org/officeDocument/2006/relationships/hyperlink" Target="#'10 EVIDENCE &amp; DECISIONS'!A1570" TargetMode="External" Id="rId1471"/><Relationship Type="http://schemas.openxmlformats.org/officeDocument/2006/relationships/hyperlink" Target="#'10 EVIDENCE &amp; DECISIONS'!A1571" TargetMode="External" Id="rId1472"/><Relationship Type="http://schemas.openxmlformats.org/officeDocument/2006/relationships/hyperlink" Target="#'10 EVIDENCE &amp; DECISIONS'!A1572" TargetMode="External" Id="rId1473"/><Relationship Type="http://schemas.openxmlformats.org/officeDocument/2006/relationships/hyperlink" Target="#'10 EVIDENCE &amp; DECISIONS'!A1573" TargetMode="External" Id="rId1474"/><Relationship Type="http://schemas.openxmlformats.org/officeDocument/2006/relationships/hyperlink" Target="#'10 EVIDENCE &amp; DECISIONS'!A1574" TargetMode="External" Id="rId1475"/><Relationship Type="http://schemas.openxmlformats.org/officeDocument/2006/relationships/hyperlink" Target="#'10 EVIDENCE &amp; DECISIONS'!A1575" TargetMode="External" Id="rId1476"/><Relationship Type="http://schemas.openxmlformats.org/officeDocument/2006/relationships/hyperlink" Target="#'10 EVIDENCE &amp; DECISIONS'!A1576" TargetMode="External" Id="rId1477"/><Relationship Type="http://schemas.openxmlformats.org/officeDocument/2006/relationships/hyperlink" Target="#'10 EVIDENCE &amp; DECISIONS'!A1577" TargetMode="External" Id="rId1478"/><Relationship Type="http://schemas.openxmlformats.org/officeDocument/2006/relationships/hyperlink" Target="#'10 EVIDENCE &amp; DECISIONS'!A1578" TargetMode="External" Id="rId1479"/><Relationship Type="http://schemas.openxmlformats.org/officeDocument/2006/relationships/hyperlink" Target="#'10 EVIDENCE &amp; DECISIONS'!A1579" TargetMode="External" Id="rId1480"/><Relationship Type="http://schemas.openxmlformats.org/officeDocument/2006/relationships/hyperlink" Target="#'10 EVIDENCE &amp; DECISIONS'!A1580" TargetMode="External" Id="rId1481"/><Relationship Type="http://schemas.openxmlformats.org/officeDocument/2006/relationships/hyperlink" Target="#'10 EVIDENCE &amp; DECISIONS'!A1581" TargetMode="External" Id="rId1482"/><Relationship Type="http://schemas.openxmlformats.org/officeDocument/2006/relationships/hyperlink" Target="#'10 EVIDENCE &amp; DECISIONS'!A1582" TargetMode="External" Id="rId1483"/><Relationship Type="http://schemas.openxmlformats.org/officeDocument/2006/relationships/hyperlink" Target="#'10 EVIDENCE &amp; DECISIONS'!A1583" TargetMode="External" Id="rId1484"/><Relationship Type="http://schemas.openxmlformats.org/officeDocument/2006/relationships/hyperlink" Target="#'10 EVIDENCE &amp; DECISIONS'!A1584" TargetMode="External" Id="rId1485"/><Relationship Type="http://schemas.openxmlformats.org/officeDocument/2006/relationships/hyperlink" Target="#'10 EVIDENCE &amp; DECISIONS'!A1585" TargetMode="External" Id="rId1486"/><Relationship Type="http://schemas.openxmlformats.org/officeDocument/2006/relationships/hyperlink" Target="#'10 EVIDENCE &amp; DECISIONS'!A1586" TargetMode="External" Id="rId1487"/><Relationship Type="http://schemas.openxmlformats.org/officeDocument/2006/relationships/hyperlink" Target="#'10 EVIDENCE &amp; DECISIONS'!A1587" TargetMode="External" Id="rId1488"/><Relationship Type="http://schemas.openxmlformats.org/officeDocument/2006/relationships/hyperlink" Target="#'10 EVIDENCE &amp; DECISIONS'!A1588" TargetMode="External" Id="rId1489"/><Relationship Type="http://schemas.openxmlformats.org/officeDocument/2006/relationships/hyperlink" Target="#'10 EVIDENCE &amp; DECISIONS'!A1589" TargetMode="External" Id="rId1490"/><Relationship Type="http://schemas.openxmlformats.org/officeDocument/2006/relationships/hyperlink" Target="#'10 EVIDENCE &amp; DECISIONS'!A1590" TargetMode="External" Id="rId1491"/><Relationship Type="http://schemas.openxmlformats.org/officeDocument/2006/relationships/hyperlink" Target="#'10 EVIDENCE &amp; DECISIONS'!A1591" TargetMode="External" Id="rId1492"/><Relationship Type="http://schemas.openxmlformats.org/officeDocument/2006/relationships/hyperlink" Target="#'10 EVIDENCE &amp; DECISIONS'!A1592" TargetMode="External" Id="rId1493"/><Relationship Type="http://schemas.openxmlformats.org/officeDocument/2006/relationships/hyperlink" Target="#'10 EVIDENCE &amp; DECISIONS'!A1593" TargetMode="External" Id="rId1494"/><Relationship Type="http://schemas.openxmlformats.org/officeDocument/2006/relationships/hyperlink" Target="#'10 EVIDENCE &amp; DECISIONS'!A1594" TargetMode="External" Id="rId1495"/><Relationship Type="http://schemas.openxmlformats.org/officeDocument/2006/relationships/hyperlink" Target="#'10 EVIDENCE &amp; DECISIONS'!A1595" TargetMode="External" Id="rId1496"/><Relationship Type="http://schemas.openxmlformats.org/officeDocument/2006/relationships/hyperlink" Target="#'10 EVIDENCE &amp; DECISIONS'!A1596" TargetMode="External" Id="rId1497"/><Relationship Type="http://schemas.openxmlformats.org/officeDocument/2006/relationships/hyperlink" Target="#'10 EVIDENCE &amp; DECISIONS'!A1597" TargetMode="External" Id="rId1498"/><Relationship Type="http://schemas.openxmlformats.org/officeDocument/2006/relationships/hyperlink" Target="#'10 EVIDENCE &amp; DECISIONS'!A1598" TargetMode="External" Id="rId1499"/><Relationship Type="http://schemas.openxmlformats.org/officeDocument/2006/relationships/hyperlink" Target="#'10 EVIDENCE &amp; DECISIONS'!A1599" TargetMode="External" Id="rId1500"/><Relationship Type="http://schemas.openxmlformats.org/officeDocument/2006/relationships/hyperlink" Target="#'10 EVIDENCE &amp; DECISIONS'!A1600" TargetMode="External" Id="rId1501"/><Relationship Type="http://schemas.openxmlformats.org/officeDocument/2006/relationships/hyperlink" Target="#'10 EVIDENCE &amp; DECISIONS'!A1601" TargetMode="External" Id="rId1502"/><Relationship Type="http://schemas.openxmlformats.org/officeDocument/2006/relationships/hyperlink" Target="#'10 EVIDENCE &amp; DECISIONS'!A1602" TargetMode="External" Id="rId1503"/><Relationship Type="http://schemas.openxmlformats.org/officeDocument/2006/relationships/hyperlink" Target="#'10 EVIDENCE &amp; DECISIONS'!A1603" TargetMode="External" Id="rId1504"/><Relationship Type="http://schemas.openxmlformats.org/officeDocument/2006/relationships/hyperlink" Target="#'10 EVIDENCE &amp; DECISIONS'!A1604" TargetMode="External" Id="rId1505"/><Relationship Type="http://schemas.openxmlformats.org/officeDocument/2006/relationships/hyperlink" Target="#'10 EVIDENCE &amp; DECISIONS'!A1605" TargetMode="External" Id="rId1506"/><Relationship Type="http://schemas.openxmlformats.org/officeDocument/2006/relationships/hyperlink" Target="#'10 EVIDENCE &amp; DECISIONS'!A1606" TargetMode="External" Id="rId1507"/><Relationship Type="http://schemas.openxmlformats.org/officeDocument/2006/relationships/hyperlink" Target="#'10 EVIDENCE &amp; DECISIONS'!A1607" TargetMode="External" Id="rId1508"/><Relationship Type="http://schemas.openxmlformats.org/officeDocument/2006/relationships/hyperlink" Target="#'10 EVIDENCE &amp; DECISIONS'!A1608" TargetMode="External" Id="rId1509"/><Relationship Type="http://schemas.openxmlformats.org/officeDocument/2006/relationships/hyperlink" Target="#'10 EVIDENCE &amp; DECISIONS'!A1609" TargetMode="External" Id="rId1510"/><Relationship Type="http://schemas.openxmlformats.org/officeDocument/2006/relationships/hyperlink" Target="#'10 EVIDENCE &amp; DECISIONS'!A1610" TargetMode="External" Id="rId1511"/><Relationship Type="http://schemas.openxmlformats.org/officeDocument/2006/relationships/hyperlink" Target="#'10 EVIDENCE &amp; DECISIONS'!A1611" TargetMode="External" Id="rId1512"/><Relationship Type="http://schemas.openxmlformats.org/officeDocument/2006/relationships/hyperlink" Target="#'10 EVIDENCE &amp; DECISIONS'!A1612" TargetMode="External" Id="rId1513"/><Relationship Type="http://schemas.openxmlformats.org/officeDocument/2006/relationships/hyperlink" Target="#'10 EVIDENCE &amp; DECISIONS'!A1613" TargetMode="External" Id="rId1514"/><Relationship Type="http://schemas.openxmlformats.org/officeDocument/2006/relationships/hyperlink" Target="#'10 EVIDENCE &amp; DECISIONS'!A1614" TargetMode="External" Id="rId1515"/><Relationship Type="http://schemas.openxmlformats.org/officeDocument/2006/relationships/hyperlink" Target="#'10 EVIDENCE &amp; DECISIONS'!A1615" TargetMode="External" Id="rId1516"/><Relationship Type="http://schemas.openxmlformats.org/officeDocument/2006/relationships/hyperlink" Target="#'10 EVIDENCE &amp; DECISIONS'!A1616" TargetMode="External" Id="rId1517"/><Relationship Type="http://schemas.openxmlformats.org/officeDocument/2006/relationships/hyperlink" Target="#'10 EVIDENCE &amp; DECISIONS'!A1617" TargetMode="External" Id="rId1518"/><Relationship Type="http://schemas.openxmlformats.org/officeDocument/2006/relationships/hyperlink" Target="#'10 EVIDENCE &amp; DECISIONS'!A1618" TargetMode="External" Id="rId1519"/><Relationship Type="http://schemas.openxmlformats.org/officeDocument/2006/relationships/hyperlink" Target="#'10 EVIDENCE &amp; DECISIONS'!A1619" TargetMode="External" Id="rId1520"/><Relationship Type="http://schemas.openxmlformats.org/officeDocument/2006/relationships/hyperlink" Target="#'10 EVIDENCE &amp; DECISIONS'!A1620" TargetMode="External" Id="rId1521"/><Relationship Type="http://schemas.openxmlformats.org/officeDocument/2006/relationships/hyperlink" Target="#'10 EVIDENCE &amp; DECISIONS'!A1621" TargetMode="External" Id="rId1522"/><Relationship Type="http://schemas.openxmlformats.org/officeDocument/2006/relationships/hyperlink" Target="#'10 EVIDENCE &amp; DECISIONS'!A1622" TargetMode="External" Id="rId1523"/><Relationship Type="http://schemas.openxmlformats.org/officeDocument/2006/relationships/hyperlink" Target="#'10 EVIDENCE &amp; DECISIONS'!A1623" TargetMode="External" Id="rId1524"/><Relationship Type="http://schemas.openxmlformats.org/officeDocument/2006/relationships/hyperlink" Target="#'10 EVIDENCE &amp; DECISIONS'!A1624" TargetMode="External" Id="rId1525"/><Relationship Type="http://schemas.openxmlformats.org/officeDocument/2006/relationships/hyperlink" Target="#'10 EVIDENCE &amp; DECISIONS'!A1625" TargetMode="External" Id="rId1526"/><Relationship Type="http://schemas.openxmlformats.org/officeDocument/2006/relationships/hyperlink" Target="#'10 EVIDENCE &amp; DECISIONS'!A1626" TargetMode="External" Id="rId1527"/><Relationship Type="http://schemas.openxmlformats.org/officeDocument/2006/relationships/hyperlink" Target="#'10 EVIDENCE &amp; DECISIONS'!A1627" TargetMode="External" Id="rId1528"/><Relationship Type="http://schemas.openxmlformats.org/officeDocument/2006/relationships/hyperlink" Target="#'10 EVIDENCE &amp; DECISIONS'!A1628" TargetMode="External" Id="rId1529"/><Relationship Type="http://schemas.openxmlformats.org/officeDocument/2006/relationships/hyperlink" Target="#'10 EVIDENCE &amp; DECISIONS'!A1366" TargetMode="External" Id="rId1530"/><Relationship Type="http://schemas.openxmlformats.org/officeDocument/2006/relationships/hyperlink" Target="#'10 EVIDENCE &amp; DECISIONS'!A1367" TargetMode="External" Id="rId1531"/><Relationship Type="http://schemas.openxmlformats.org/officeDocument/2006/relationships/hyperlink" Target="#'10 EVIDENCE &amp; DECISIONS'!A1368" TargetMode="External" Id="rId1532"/><Relationship Type="http://schemas.openxmlformats.org/officeDocument/2006/relationships/hyperlink" Target="#'10 EVIDENCE &amp; DECISIONS'!A1369" TargetMode="External" Id="rId1533"/><Relationship Type="http://schemas.openxmlformats.org/officeDocument/2006/relationships/hyperlink" Target="#'10 EVIDENCE &amp; DECISIONS'!A1370" TargetMode="External" Id="rId1534"/><Relationship Type="http://schemas.openxmlformats.org/officeDocument/2006/relationships/hyperlink" Target="#'10 EVIDENCE &amp; DECISIONS'!A1371" TargetMode="External" Id="rId1535"/><Relationship Type="http://schemas.openxmlformats.org/officeDocument/2006/relationships/hyperlink" Target="#'10 EVIDENCE &amp; DECISIONS'!A1372" TargetMode="External" Id="rId1536"/><Relationship Type="http://schemas.openxmlformats.org/officeDocument/2006/relationships/hyperlink" Target="#'10 EVIDENCE &amp; DECISIONS'!A1373" TargetMode="External" Id="rId1537"/><Relationship Type="http://schemas.openxmlformats.org/officeDocument/2006/relationships/hyperlink" Target="#'10 EVIDENCE &amp; DECISIONS'!A1374" TargetMode="External" Id="rId1538"/><Relationship Type="http://schemas.openxmlformats.org/officeDocument/2006/relationships/hyperlink" Target="#'10 EVIDENCE &amp; DECISIONS'!A1375" TargetMode="External" Id="rId1539"/><Relationship Type="http://schemas.openxmlformats.org/officeDocument/2006/relationships/hyperlink" Target="#'10 EVIDENCE &amp; DECISIONS'!A1376" TargetMode="External" Id="rId1540"/><Relationship Type="http://schemas.openxmlformats.org/officeDocument/2006/relationships/hyperlink" Target="#'10 EVIDENCE &amp; DECISIONS'!A1377" TargetMode="External" Id="rId1541"/><Relationship Type="http://schemas.openxmlformats.org/officeDocument/2006/relationships/hyperlink" Target="#'10 EVIDENCE &amp; DECISIONS'!A1378" TargetMode="External" Id="rId1542"/><Relationship Type="http://schemas.openxmlformats.org/officeDocument/2006/relationships/hyperlink" Target="#'10 EVIDENCE &amp; DECISIONS'!A1379" TargetMode="External" Id="rId1543"/><Relationship Type="http://schemas.openxmlformats.org/officeDocument/2006/relationships/hyperlink" Target="#'10 EVIDENCE &amp; DECISIONS'!A1380" TargetMode="External" Id="rId1544"/><Relationship Type="http://schemas.openxmlformats.org/officeDocument/2006/relationships/hyperlink" Target="#'10 EVIDENCE &amp; DECISIONS'!A1381" TargetMode="External" Id="rId1545"/><Relationship Type="http://schemas.openxmlformats.org/officeDocument/2006/relationships/hyperlink" Target="#'10 EVIDENCE &amp; DECISIONS'!A1382" TargetMode="External" Id="rId1546"/><Relationship Type="http://schemas.openxmlformats.org/officeDocument/2006/relationships/hyperlink" Target="#'10 EVIDENCE &amp; DECISIONS'!A1383" TargetMode="External" Id="rId1547"/><Relationship Type="http://schemas.openxmlformats.org/officeDocument/2006/relationships/hyperlink" Target="#'10 EVIDENCE &amp; DECISIONS'!A1384" TargetMode="External" Id="rId1548"/><Relationship Type="http://schemas.openxmlformats.org/officeDocument/2006/relationships/hyperlink" Target="#'10 EVIDENCE &amp; DECISIONS'!A1385" TargetMode="External" Id="rId1549"/><Relationship Type="http://schemas.openxmlformats.org/officeDocument/2006/relationships/hyperlink" Target="#'10 EVIDENCE &amp; DECISIONS'!A1386" TargetMode="External" Id="rId1550"/><Relationship Type="http://schemas.openxmlformats.org/officeDocument/2006/relationships/hyperlink" Target="#'10 EVIDENCE &amp; DECISIONS'!A1387" TargetMode="External" Id="rId1551"/><Relationship Type="http://schemas.openxmlformats.org/officeDocument/2006/relationships/hyperlink" Target="#'10 EVIDENCE &amp; DECISIONS'!A1388" TargetMode="External" Id="rId1552"/><Relationship Type="http://schemas.openxmlformats.org/officeDocument/2006/relationships/hyperlink" Target="#'10 EVIDENCE &amp; DECISIONS'!A1389" TargetMode="External" Id="rId1553"/><Relationship Type="http://schemas.openxmlformats.org/officeDocument/2006/relationships/hyperlink" Target="#'10 EVIDENCE &amp; DECISIONS'!A1390" TargetMode="External" Id="rId1554"/><Relationship Type="http://schemas.openxmlformats.org/officeDocument/2006/relationships/hyperlink" Target="#'10 EVIDENCE &amp; DECISIONS'!A1391" TargetMode="External" Id="rId1555"/><Relationship Type="http://schemas.openxmlformats.org/officeDocument/2006/relationships/hyperlink" Target="#'10 EVIDENCE &amp; DECISIONS'!A1392" TargetMode="External" Id="rId1556"/><Relationship Type="http://schemas.openxmlformats.org/officeDocument/2006/relationships/hyperlink" Target="#'10 EVIDENCE &amp; DECISIONS'!A1393" TargetMode="External" Id="rId1557"/><Relationship Type="http://schemas.openxmlformats.org/officeDocument/2006/relationships/hyperlink" Target="#'10 EVIDENCE &amp; DECISIONS'!A1394" TargetMode="External" Id="rId1558"/><Relationship Type="http://schemas.openxmlformats.org/officeDocument/2006/relationships/hyperlink" Target="#'10 EVIDENCE &amp; DECISIONS'!A1395" TargetMode="External" Id="rId1559"/><Relationship Type="http://schemas.openxmlformats.org/officeDocument/2006/relationships/hyperlink" Target="#'10 EVIDENCE &amp; DECISIONS'!A1396" TargetMode="External" Id="rId1560"/><Relationship Type="http://schemas.openxmlformats.org/officeDocument/2006/relationships/hyperlink" Target="#'10 EVIDENCE &amp; DECISIONS'!A1397" TargetMode="External" Id="rId1561"/><Relationship Type="http://schemas.openxmlformats.org/officeDocument/2006/relationships/hyperlink" Target="#'10 EVIDENCE &amp; DECISIONS'!A1398" TargetMode="External" Id="rId1562"/><Relationship Type="http://schemas.openxmlformats.org/officeDocument/2006/relationships/hyperlink" Target="#'10 EVIDENCE &amp; DECISIONS'!A1399" TargetMode="External" Id="rId1563"/><Relationship Type="http://schemas.openxmlformats.org/officeDocument/2006/relationships/hyperlink" Target="#'10 EVIDENCE &amp; DECISIONS'!A1400" TargetMode="External" Id="rId1564"/><Relationship Type="http://schemas.openxmlformats.org/officeDocument/2006/relationships/hyperlink" Target="#'10 EVIDENCE &amp; DECISIONS'!A1401" TargetMode="External" Id="rId1565"/><Relationship Type="http://schemas.openxmlformats.org/officeDocument/2006/relationships/hyperlink" Target="#'10 EVIDENCE &amp; DECISIONS'!A1402" TargetMode="External" Id="rId1566"/><Relationship Type="http://schemas.openxmlformats.org/officeDocument/2006/relationships/hyperlink" Target="#'10 EVIDENCE &amp; DECISIONS'!A1403" TargetMode="External" Id="rId1567"/><Relationship Type="http://schemas.openxmlformats.org/officeDocument/2006/relationships/hyperlink" Target="#'10 EVIDENCE &amp; DECISIONS'!A1404" TargetMode="External" Id="rId1568"/><Relationship Type="http://schemas.openxmlformats.org/officeDocument/2006/relationships/hyperlink" Target="#'10 EVIDENCE &amp; DECISIONS'!A1405" TargetMode="External" Id="rId1569"/><Relationship Type="http://schemas.openxmlformats.org/officeDocument/2006/relationships/hyperlink" Target="#'10 EVIDENCE &amp; DECISIONS'!A1406" TargetMode="External" Id="rId1570"/><Relationship Type="http://schemas.openxmlformats.org/officeDocument/2006/relationships/hyperlink" Target="#'10 EVIDENCE &amp; DECISIONS'!A1407" TargetMode="External" Id="rId1571"/><Relationship Type="http://schemas.openxmlformats.org/officeDocument/2006/relationships/hyperlink" Target="#'10 EVIDENCE &amp; DECISIONS'!A1408" TargetMode="External" Id="rId1572"/><Relationship Type="http://schemas.openxmlformats.org/officeDocument/2006/relationships/hyperlink" Target="#'10 EVIDENCE &amp; DECISIONS'!A1409" TargetMode="External" Id="rId1573"/><Relationship Type="http://schemas.openxmlformats.org/officeDocument/2006/relationships/hyperlink" Target="#'10 EVIDENCE &amp; DECISIONS'!A1410" TargetMode="External" Id="rId1574"/><Relationship Type="http://schemas.openxmlformats.org/officeDocument/2006/relationships/hyperlink" Target="#'10 EVIDENCE &amp; DECISIONS'!A1411" TargetMode="External" Id="rId1575"/><Relationship Type="http://schemas.openxmlformats.org/officeDocument/2006/relationships/hyperlink" Target="#'10 EVIDENCE &amp; DECISIONS'!A1412" TargetMode="External" Id="rId1576"/><Relationship Type="http://schemas.openxmlformats.org/officeDocument/2006/relationships/hyperlink" Target="#'10 EVIDENCE &amp; DECISIONS'!A1413" TargetMode="External" Id="rId1577"/><Relationship Type="http://schemas.openxmlformats.org/officeDocument/2006/relationships/hyperlink" Target="#'10 EVIDENCE &amp; DECISIONS'!A1414" TargetMode="External" Id="rId1578"/><Relationship Type="http://schemas.openxmlformats.org/officeDocument/2006/relationships/hyperlink" Target="#'10 EVIDENCE &amp; DECISIONS'!A1415" TargetMode="External" Id="rId1579"/><Relationship Type="http://schemas.openxmlformats.org/officeDocument/2006/relationships/hyperlink" Target="#'10 EVIDENCE &amp; DECISIONS'!A1416" TargetMode="External" Id="rId1580"/><Relationship Type="http://schemas.openxmlformats.org/officeDocument/2006/relationships/hyperlink" Target="#'10 EVIDENCE &amp; DECISIONS'!A1417" TargetMode="External" Id="rId1581"/><Relationship Type="http://schemas.openxmlformats.org/officeDocument/2006/relationships/hyperlink" Target="#'10 EVIDENCE &amp; DECISIONS'!A1418" TargetMode="External" Id="rId1582"/><Relationship Type="http://schemas.openxmlformats.org/officeDocument/2006/relationships/hyperlink" Target="#'10 EVIDENCE &amp; DECISIONS'!A1419" TargetMode="External" Id="rId1583"/><Relationship Type="http://schemas.openxmlformats.org/officeDocument/2006/relationships/hyperlink" Target="#'10 EVIDENCE &amp; DECISIONS'!A1420" TargetMode="External" Id="rId1584"/><Relationship Type="http://schemas.openxmlformats.org/officeDocument/2006/relationships/hyperlink" Target="#'10 EVIDENCE &amp; DECISIONS'!A1421" TargetMode="External" Id="rId1585"/><Relationship Type="http://schemas.openxmlformats.org/officeDocument/2006/relationships/hyperlink" Target="#'10 EVIDENCE &amp; DECISIONS'!A1422" TargetMode="External" Id="rId1586"/><Relationship Type="http://schemas.openxmlformats.org/officeDocument/2006/relationships/hyperlink" Target="#'10 EVIDENCE &amp; DECISIONS'!A1423" TargetMode="External" Id="rId1587"/><Relationship Type="http://schemas.openxmlformats.org/officeDocument/2006/relationships/hyperlink" Target="#'10 EVIDENCE &amp; DECISIONS'!A1424" TargetMode="External" Id="rId1588"/><Relationship Type="http://schemas.openxmlformats.org/officeDocument/2006/relationships/hyperlink" Target="#'10 EVIDENCE &amp; DECISIONS'!A1425" TargetMode="External" Id="rId1589"/><Relationship Type="http://schemas.openxmlformats.org/officeDocument/2006/relationships/hyperlink" Target="#'10 EVIDENCE &amp; DECISIONS'!A1426" TargetMode="External" Id="rId1590"/><Relationship Type="http://schemas.openxmlformats.org/officeDocument/2006/relationships/hyperlink" Target="#'10 EVIDENCE &amp; DECISIONS'!A1427" TargetMode="External" Id="rId1591"/><Relationship Type="http://schemas.openxmlformats.org/officeDocument/2006/relationships/hyperlink" Target="#'10 EVIDENCE &amp; DECISIONS'!A1428" TargetMode="External" Id="rId1592"/><Relationship Type="http://schemas.openxmlformats.org/officeDocument/2006/relationships/hyperlink" Target="#'10 EVIDENCE &amp; DECISIONS'!A1429" TargetMode="External" Id="rId1593"/><Relationship Type="http://schemas.openxmlformats.org/officeDocument/2006/relationships/hyperlink" Target="#'10 EVIDENCE &amp; DECISIONS'!A1430" TargetMode="External" Id="rId1594"/><Relationship Type="http://schemas.openxmlformats.org/officeDocument/2006/relationships/hyperlink" Target="#'10 EVIDENCE &amp; DECISIONS'!A1431" TargetMode="External" Id="rId1595"/><Relationship Type="http://schemas.openxmlformats.org/officeDocument/2006/relationships/hyperlink" Target="#'10 EVIDENCE &amp; DECISIONS'!A1432" TargetMode="External" Id="rId1596"/><Relationship Type="http://schemas.openxmlformats.org/officeDocument/2006/relationships/hyperlink" Target="#'10 EVIDENCE &amp; DECISIONS'!A1433" TargetMode="External" Id="rId1597"/><Relationship Type="http://schemas.openxmlformats.org/officeDocument/2006/relationships/hyperlink" Target="#'10 EVIDENCE &amp; DECISIONS'!A1434" TargetMode="External" Id="rId1598"/><Relationship Type="http://schemas.openxmlformats.org/officeDocument/2006/relationships/hyperlink" Target="#'10 EVIDENCE &amp; DECISIONS'!A1435" TargetMode="External" Id="rId1599"/><Relationship Type="http://schemas.openxmlformats.org/officeDocument/2006/relationships/hyperlink" Target="#'10 EVIDENCE &amp; DECISIONS'!A1436" TargetMode="External" Id="rId1600"/><Relationship Type="http://schemas.openxmlformats.org/officeDocument/2006/relationships/hyperlink" Target="#'10 EVIDENCE &amp; DECISIONS'!A1437" TargetMode="External" Id="rId1601"/><Relationship Type="http://schemas.openxmlformats.org/officeDocument/2006/relationships/hyperlink" Target="#'10 EVIDENCE &amp; DECISIONS'!A1438" TargetMode="External" Id="rId1602"/><Relationship Type="http://schemas.openxmlformats.org/officeDocument/2006/relationships/hyperlink" Target="#'10 EVIDENCE &amp; DECISIONS'!A1439" TargetMode="External" Id="rId1603"/><Relationship Type="http://schemas.openxmlformats.org/officeDocument/2006/relationships/hyperlink" Target="#'10 EVIDENCE &amp; DECISIONS'!A1440" TargetMode="External" Id="rId1604"/><Relationship Type="http://schemas.openxmlformats.org/officeDocument/2006/relationships/hyperlink" Target="#'10 EVIDENCE &amp; DECISIONS'!A1441" TargetMode="External" Id="rId1605"/><Relationship Type="http://schemas.openxmlformats.org/officeDocument/2006/relationships/hyperlink" Target="#'10 EVIDENCE &amp; DECISIONS'!A1442" TargetMode="External" Id="rId1606"/><Relationship Type="http://schemas.openxmlformats.org/officeDocument/2006/relationships/hyperlink" Target="#'10 EVIDENCE &amp; DECISIONS'!A1443" TargetMode="External" Id="rId1607"/><Relationship Type="http://schemas.openxmlformats.org/officeDocument/2006/relationships/hyperlink" Target="#'10 EVIDENCE &amp; DECISIONS'!A1444" TargetMode="External" Id="rId1608"/><Relationship Type="http://schemas.openxmlformats.org/officeDocument/2006/relationships/hyperlink" Target="#'10 EVIDENCE &amp; DECISIONS'!A1445" TargetMode="External" Id="rId1609"/><Relationship Type="http://schemas.openxmlformats.org/officeDocument/2006/relationships/hyperlink" Target="#'10 EVIDENCE &amp; DECISIONS'!A1446" TargetMode="External" Id="rId1610"/><Relationship Type="http://schemas.openxmlformats.org/officeDocument/2006/relationships/hyperlink" Target="#'10 EVIDENCE &amp; DECISIONS'!A1447" TargetMode="External" Id="rId1611"/><Relationship Type="http://schemas.openxmlformats.org/officeDocument/2006/relationships/hyperlink" Target="#'10 EVIDENCE &amp; DECISIONS'!A1448" TargetMode="External" Id="rId1612"/><Relationship Type="http://schemas.openxmlformats.org/officeDocument/2006/relationships/hyperlink" Target="#'10 EVIDENCE &amp; DECISIONS'!A1449" TargetMode="External" Id="rId1613"/><Relationship Type="http://schemas.openxmlformats.org/officeDocument/2006/relationships/hyperlink" Target="#'10 EVIDENCE &amp; DECISIONS'!A1450" TargetMode="External" Id="rId1614"/><Relationship Type="http://schemas.openxmlformats.org/officeDocument/2006/relationships/hyperlink" Target="#'10 EVIDENCE &amp; DECISIONS'!A1451" TargetMode="External" Id="rId1615"/><Relationship Type="http://schemas.openxmlformats.org/officeDocument/2006/relationships/hyperlink" Target="#'10 EVIDENCE &amp; DECISIONS'!A1452" TargetMode="External" Id="rId1616"/><Relationship Type="http://schemas.openxmlformats.org/officeDocument/2006/relationships/hyperlink" Target="#'10 EVIDENCE &amp; DECISIONS'!A1453" TargetMode="External" Id="rId1617"/><Relationship Type="http://schemas.openxmlformats.org/officeDocument/2006/relationships/hyperlink" Target="#'10 EVIDENCE &amp; DECISIONS'!A1454" TargetMode="External" Id="rId1618"/><Relationship Type="http://schemas.openxmlformats.org/officeDocument/2006/relationships/hyperlink" Target="#'10 EVIDENCE &amp; DECISIONS'!A1455" TargetMode="External" Id="rId1619"/><Relationship Type="http://schemas.openxmlformats.org/officeDocument/2006/relationships/hyperlink" Target="#'10 EVIDENCE &amp; DECISIONS'!A1456" TargetMode="External" Id="rId1620"/><Relationship Type="http://schemas.openxmlformats.org/officeDocument/2006/relationships/hyperlink" Target="#'10 EVIDENCE &amp; DECISIONS'!A1457" TargetMode="External" Id="rId1621"/><Relationship Type="http://schemas.openxmlformats.org/officeDocument/2006/relationships/hyperlink" Target="#'10 EVIDENCE &amp; DECISIONS'!A1458" TargetMode="External" Id="rId1622"/><Relationship Type="http://schemas.openxmlformats.org/officeDocument/2006/relationships/hyperlink" Target="#'10 EVIDENCE &amp; DECISIONS'!A1459" TargetMode="External" Id="rId1623"/><Relationship Type="http://schemas.openxmlformats.org/officeDocument/2006/relationships/hyperlink" Target="#'10 EVIDENCE &amp; DECISIONS'!A1460" TargetMode="External" Id="rId1624"/><Relationship Type="http://schemas.openxmlformats.org/officeDocument/2006/relationships/hyperlink" Target="#'10 EVIDENCE &amp; DECISIONS'!A1461" TargetMode="External" Id="rId1625"/><Relationship Type="http://schemas.openxmlformats.org/officeDocument/2006/relationships/hyperlink" Target="#'10 EVIDENCE &amp; DECISIONS'!A1462" TargetMode="External" Id="rId1626"/><Relationship Type="http://schemas.openxmlformats.org/officeDocument/2006/relationships/hyperlink" Target="#'10 EVIDENCE &amp; DECISIONS'!A1463" TargetMode="External" Id="rId1627"/><Relationship Type="http://schemas.openxmlformats.org/officeDocument/2006/relationships/hyperlink" Target="#'10 EVIDENCE &amp; DECISIONS'!A1464" TargetMode="External" Id="rId1628"/><Relationship Type="http://schemas.openxmlformats.org/officeDocument/2006/relationships/hyperlink" Target="#'10 EVIDENCE &amp; DECISIONS'!A1465" TargetMode="External" Id="rId1629"/><Relationship Type="http://schemas.openxmlformats.org/officeDocument/2006/relationships/hyperlink" Target="#'10 EVIDENCE &amp; DECISIONS'!A1466" TargetMode="External" Id="rId1630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10 EVIDENCE &amp; DECISIONS'!A6" TargetMode="External" Id="rId9"/><Relationship Type="http://schemas.openxmlformats.org/officeDocument/2006/relationships/hyperlink" Target="#'10 EVIDENCE &amp; DECISIONS'!A7" TargetMode="External" Id="rId10"/><Relationship Type="http://schemas.openxmlformats.org/officeDocument/2006/relationships/hyperlink" Target="#'10 EVIDENCE &amp; DECISIONS'!A8" TargetMode="External" Id="rId11"/><Relationship Type="http://schemas.openxmlformats.org/officeDocument/2006/relationships/hyperlink" Target="#'10 EVIDENCE &amp; DECISIONS'!A9" TargetMode="External" Id="rId12"/><Relationship Type="http://schemas.openxmlformats.org/officeDocument/2006/relationships/hyperlink" Target="#'10 EVIDENCE &amp; DECISIONS'!A10" TargetMode="External" Id="rId13"/><Relationship Type="http://schemas.openxmlformats.org/officeDocument/2006/relationships/hyperlink" Target="#'10 EVIDENCE &amp; DECISIONS'!A11" TargetMode="External" Id="rId14"/><Relationship Type="http://schemas.openxmlformats.org/officeDocument/2006/relationships/hyperlink" Target="#'10 EVIDENCE &amp; DECISIONS'!A12" TargetMode="External" Id="rId15"/><Relationship Type="http://schemas.openxmlformats.org/officeDocument/2006/relationships/hyperlink" Target="#'10 EVIDENCE &amp; DECISIONS'!A13" TargetMode="External" Id="rId16"/><Relationship Type="http://schemas.openxmlformats.org/officeDocument/2006/relationships/hyperlink" Target="#'10 EVIDENCE &amp; DECISIONS'!A14" TargetMode="External" Id="rId17"/><Relationship Type="http://schemas.openxmlformats.org/officeDocument/2006/relationships/hyperlink" Target="#'10 EVIDENCE &amp; DECISIONS'!A15" TargetMode="External" Id="rId18"/><Relationship Type="http://schemas.openxmlformats.org/officeDocument/2006/relationships/hyperlink" Target="#'10 EVIDENCE &amp; DECISIONS'!A16" TargetMode="External" Id="rId19"/><Relationship Type="http://schemas.openxmlformats.org/officeDocument/2006/relationships/hyperlink" Target="#'10 EVIDENCE &amp; DECISIONS'!A17" TargetMode="External" Id="rId20"/><Relationship Type="http://schemas.openxmlformats.org/officeDocument/2006/relationships/hyperlink" Target="#'10 EVIDENCE &amp; DECISIONS'!A18" TargetMode="External" Id="rId21"/><Relationship Type="http://schemas.openxmlformats.org/officeDocument/2006/relationships/hyperlink" Target="#'10 EVIDENCE &amp; DECISIONS'!A19" TargetMode="External" Id="rId22"/><Relationship Type="http://schemas.openxmlformats.org/officeDocument/2006/relationships/hyperlink" Target="#'10 EVIDENCE &amp; DECISIONS'!A20" TargetMode="External" Id="rId23"/><Relationship Type="http://schemas.openxmlformats.org/officeDocument/2006/relationships/hyperlink" Target="#'10 EVIDENCE &amp; DECISIONS'!A21" TargetMode="External" Id="rId24"/><Relationship Type="http://schemas.openxmlformats.org/officeDocument/2006/relationships/hyperlink" Target="#'10 EVIDENCE &amp; DECISIONS'!A22" TargetMode="External" Id="rId25"/><Relationship Type="http://schemas.openxmlformats.org/officeDocument/2006/relationships/hyperlink" Target="#'10 EVIDENCE &amp; DECISIONS'!A23" TargetMode="External" Id="rId26"/><Relationship Type="http://schemas.openxmlformats.org/officeDocument/2006/relationships/hyperlink" Target="#'10 EVIDENCE &amp; DECISIONS'!A24" TargetMode="External" Id="rId27"/><Relationship Type="http://schemas.openxmlformats.org/officeDocument/2006/relationships/hyperlink" Target="#'10 EVIDENCE &amp; DECISIONS'!A25" TargetMode="External" Id="rId28"/><Relationship Type="http://schemas.openxmlformats.org/officeDocument/2006/relationships/hyperlink" Target="#'10 EVIDENCE &amp; DECISIONS'!A26" TargetMode="External" Id="rId29"/><Relationship Type="http://schemas.openxmlformats.org/officeDocument/2006/relationships/hyperlink" Target="#'10 EVIDENCE &amp; DECISIONS'!A27" TargetMode="External" Id="rId30"/><Relationship Type="http://schemas.openxmlformats.org/officeDocument/2006/relationships/hyperlink" Target="#'10 EVIDENCE &amp; DECISIONS'!A28" TargetMode="External" Id="rId31"/><Relationship Type="http://schemas.openxmlformats.org/officeDocument/2006/relationships/hyperlink" Target="#'10 EVIDENCE &amp; DECISIONS'!A29" TargetMode="External" Id="rId32"/><Relationship Type="http://schemas.openxmlformats.org/officeDocument/2006/relationships/hyperlink" Target="#'10 EVIDENCE &amp; DECISIONS'!A30" TargetMode="External" Id="rId33"/><Relationship Type="http://schemas.openxmlformats.org/officeDocument/2006/relationships/hyperlink" Target="#'10 EVIDENCE &amp; DECISIONS'!A31" TargetMode="External" Id="rId34"/><Relationship Type="http://schemas.openxmlformats.org/officeDocument/2006/relationships/hyperlink" Target="#'10 EVIDENCE &amp; DECISIONS'!A32" TargetMode="External" Id="rId35"/><Relationship Type="http://schemas.openxmlformats.org/officeDocument/2006/relationships/hyperlink" Target="#'10 EVIDENCE &amp; DECISIONS'!A33" TargetMode="External" Id="rId36"/><Relationship Type="http://schemas.openxmlformats.org/officeDocument/2006/relationships/hyperlink" Target="#'10 EVIDENCE &amp; DECISIONS'!A34" TargetMode="External" Id="rId37"/><Relationship Type="http://schemas.openxmlformats.org/officeDocument/2006/relationships/hyperlink" Target="#'10 EVIDENCE &amp; DECISIONS'!A35" TargetMode="External" Id="rId38"/><Relationship Type="http://schemas.openxmlformats.org/officeDocument/2006/relationships/hyperlink" Target="#'10 EVIDENCE &amp; DECISIONS'!A36" TargetMode="External" Id="rId39"/><Relationship Type="http://schemas.openxmlformats.org/officeDocument/2006/relationships/hyperlink" Target="#'10 EVIDENCE &amp; DECISIONS'!A37" TargetMode="External" Id="rId40"/><Relationship Type="http://schemas.openxmlformats.org/officeDocument/2006/relationships/hyperlink" Target="#'10 EVIDENCE &amp; DECISIONS'!A38" TargetMode="External" Id="rId41"/><Relationship Type="http://schemas.openxmlformats.org/officeDocument/2006/relationships/hyperlink" Target="#'10 EVIDENCE &amp; DECISIONS'!A39" TargetMode="External" Id="rId42"/><Relationship Type="http://schemas.openxmlformats.org/officeDocument/2006/relationships/hyperlink" Target="#'10 EVIDENCE &amp; DECISIONS'!A40" TargetMode="External" Id="rId43"/><Relationship Type="http://schemas.openxmlformats.org/officeDocument/2006/relationships/hyperlink" Target="#'10 EVIDENCE &amp; DECISIONS'!A41" TargetMode="External" Id="rId44"/><Relationship Type="http://schemas.openxmlformats.org/officeDocument/2006/relationships/hyperlink" Target="#'10 EVIDENCE &amp; DECISIONS'!A42" TargetMode="External" Id="rId45"/><Relationship Type="http://schemas.openxmlformats.org/officeDocument/2006/relationships/hyperlink" Target="#'10 EVIDENCE &amp; DECISIONS'!A43" TargetMode="External" Id="rId46"/><Relationship Type="http://schemas.openxmlformats.org/officeDocument/2006/relationships/hyperlink" Target="#'10 EVIDENCE &amp; DECISIONS'!A44" TargetMode="External" Id="rId47"/><Relationship Type="http://schemas.openxmlformats.org/officeDocument/2006/relationships/hyperlink" Target="#'10 EVIDENCE &amp; DECISIONS'!A45" TargetMode="External" Id="rId48"/><Relationship Type="http://schemas.openxmlformats.org/officeDocument/2006/relationships/hyperlink" Target="#'10 EVIDENCE &amp; DECISIONS'!A46" TargetMode="External" Id="rId49"/><Relationship Type="http://schemas.openxmlformats.org/officeDocument/2006/relationships/hyperlink" Target="#'10 EVIDENCE &amp; DECISIONS'!A47" TargetMode="External" Id="rId50"/><Relationship Type="http://schemas.openxmlformats.org/officeDocument/2006/relationships/hyperlink" Target="#'10 EVIDENCE &amp; DECISIONS'!A48" TargetMode="External" Id="rId51"/><Relationship Type="http://schemas.openxmlformats.org/officeDocument/2006/relationships/hyperlink" Target="#'10 EVIDENCE &amp; DECISIONS'!A49" TargetMode="External" Id="rId52"/><Relationship Type="http://schemas.openxmlformats.org/officeDocument/2006/relationships/hyperlink" Target="#'10 EVIDENCE &amp; DECISIONS'!A50" TargetMode="External" Id="rId53"/><Relationship Type="http://schemas.openxmlformats.org/officeDocument/2006/relationships/hyperlink" Target="#'10 EVIDENCE &amp; DECISIONS'!A51" TargetMode="External" Id="rId54"/><Relationship Type="http://schemas.openxmlformats.org/officeDocument/2006/relationships/hyperlink" Target="#'10 EVIDENCE &amp; DECISIONS'!A52" TargetMode="External" Id="rId55"/><Relationship Type="http://schemas.openxmlformats.org/officeDocument/2006/relationships/hyperlink" Target="#'10 EVIDENCE &amp; DECISIONS'!A53" TargetMode="External" Id="rId56"/><Relationship Type="http://schemas.openxmlformats.org/officeDocument/2006/relationships/hyperlink" Target="#'10 EVIDENCE &amp; DECISIONS'!A54" TargetMode="External" Id="rId57"/><Relationship Type="http://schemas.openxmlformats.org/officeDocument/2006/relationships/hyperlink" Target="#'10 EVIDENCE &amp; DECISIONS'!A55" TargetMode="External" Id="rId58"/><Relationship Type="http://schemas.openxmlformats.org/officeDocument/2006/relationships/hyperlink" Target="#'10 EVIDENCE &amp; DECISIONS'!A56" TargetMode="External" Id="rId59"/><Relationship Type="http://schemas.openxmlformats.org/officeDocument/2006/relationships/hyperlink" Target="#'10 EVIDENCE &amp; DECISIONS'!A57" TargetMode="External" Id="rId60"/><Relationship Type="http://schemas.openxmlformats.org/officeDocument/2006/relationships/hyperlink" Target="#'10 EVIDENCE &amp; DECISIONS'!A58" TargetMode="External" Id="rId61"/><Relationship Type="http://schemas.openxmlformats.org/officeDocument/2006/relationships/hyperlink" Target="#'10 EVIDENCE &amp; DECISIONS'!A59" TargetMode="External" Id="rId62"/><Relationship Type="http://schemas.openxmlformats.org/officeDocument/2006/relationships/hyperlink" Target="#'10 EVIDENCE &amp; DECISIONS'!A60" TargetMode="External" Id="rId63"/><Relationship Type="http://schemas.openxmlformats.org/officeDocument/2006/relationships/hyperlink" Target="#'10 EVIDENCE &amp; DECISIONS'!A61" TargetMode="External" Id="rId64"/><Relationship Type="http://schemas.openxmlformats.org/officeDocument/2006/relationships/hyperlink" Target="#'10 EVIDENCE &amp; DECISIONS'!A62" TargetMode="External" Id="rId65"/><Relationship Type="http://schemas.openxmlformats.org/officeDocument/2006/relationships/hyperlink" Target="#'10 EVIDENCE &amp; DECISIONS'!A63" TargetMode="External" Id="rId66"/><Relationship Type="http://schemas.openxmlformats.org/officeDocument/2006/relationships/hyperlink" Target="#'10 EVIDENCE &amp; DECISIONS'!A64" TargetMode="External" Id="rId67"/><Relationship Type="http://schemas.openxmlformats.org/officeDocument/2006/relationships/hyperlink" Target="#'10 EVIDENCE &amp; DECISIONS'!A65" TargetMode="External" Id="rId68"/><Relationship Type="http://schemas.openxmlformats.org/officeDocument/2006/relationships/hyperlink" Target="#'10 EVIDENCE &amp; DECISIONS'!A66" TargetMode="External" Id="rId69"/><Relationship Type="http://schemas.openxmlformats.org/officeDocument/2006/relationships/hyperlink" Target="#'10 EVIDENCE &amp; DECISIONS'!A67" TargetMode="External" Id="rId70"/><Relationship Type="http://schemas.openxmlformats.org/officeDocument/2006/relationships/hyperlink" Target="#'10 EVIDENCE &amp; DECISIONS'!A68" TargetMode="External" Id="rId71"/><Relationship Type="http://schemas.openxmlformats.org/officeDocument/2006/relationships/hyperlink" Target="#'10 EVIDENCE &amp; DECISIONS'!A69" TargetMode="External" Id="rId72"/><Relationship Type="http://schemas.openxmlformats.org/officeDocument/2006/relationships/hyperlink" Target="#'10 EVIDENCE &amp; DECISIONS'!A70" TargetMode="External" Id="rId73"/><Relationship Type="http://schemas.openxmlformats.org/officeDocument/2006/relationships/hyperlink" Target="#'10 EVIDENCE &amp; DECISIONS'!A71" TargetMode="External" Id="rId74"/><Relationship Type="http://schemas.openxmlformats.org/officeDocument/2006/relationships/hyperlink" Target="#'10 EVIDENCE &amp; DECISIONS'!A72" TargetMode="External" Id="rId75"/><Relationship Type="http://schemas.openxmlformats.org/officeDocument/2006/relationships/hyperlink" Target="#'10 EVIDENCE &amp; DECISIONS'!A73" TargetMode="External" Id="rId76"/><Relationship Type="http://schemas.openxmlformats.org/officeDocument/2006/relationships/hyperlink" Target="#'10 EVIDENCE &amp; DECISIONS'!A74" TargetMode="External" Id="rId77"/><Relationship Type="http://schemas.openxmlformats.org/officeDocument/2006/relationships/hyperlink" Target="#'10 EVIDENCE &amp; DECISIONS'!A75" TargetMode="External" Id="rId78"/><Relationship Type="http://schemas.openxmlformats.org/officeDocument/2006/relationships/hyperlink" Target="#'10 EVIDENCE &amp; DECISIONS'!A76" TargetMode="External" Id="rId79"/><Relationship Type="http://schemas.openxmlformats.org/officeDocument/2006/relationships/hyperlink" Target="#'10 EVIDENCE &amp; DECISIONS'!A77" TargetMode="External" Id="rId80"/><Relationship Type="http://schemas.openxmlformats.org/officeDocument/2006/relationships/hyperlink" Target="#'10 EVIDENCE &amp; DECISIONS'!A78" TargetMode="External" Id="rId81"/><Relationship Type="http://schemas.openxmlformats.org/officeDocument/2006/relationships/hyperlink" Target="#'10 EVIDENCE &amp; DECISIONS'!A79" TargetMode="External" Id="rId82"/><Relationship Type="http://schemas.openxmlformats.org/officeDocument/2006/relationships/hyperlink" Target="#'10 EVIDENCE &amp; DECISIONS'!A80" TargetMode="External" Id="rId83"/><Relationship Type="http://schemas.openxmlformats.org/officeDocument/2006/relationships/hyperlink" Target="#'10 EVIDENCE &amp; DECISIONS'!A81" TargetMode="External" Id="rId84"/><Relationship Type="http://schemas.openxmlformats.org/officeDocument/2006/relationships/hyperlink" Target="#'10 EVIDENCE &amp; DECISIONS'!A82" TargetMode="External" Id="rId85"/><Relationship Type="http://schemas.openxmlformats.org/officeDocument/2006/relationships/hyperlink" Target="#'10 EVIDENCE &amp; DECISIONS'!A83" TargetMode="External" Id="rId86"/><Relationship Type="http://schemas.openxmlformats.org/officeDocument/2006/relationships/hyperlink" Target="#'10 EVIDENCE &amp; DECISIONS'!A84" TargetMode="External" Id="rId87"/><Relationship Type="http://schemas.openxmlformats.org/officeDocument/2006/relationships/hyperlink" Target="#'10 EVIDENCE &amp; DECISIONS'!A85" TargetMode="External" Id="rId88"/><Relationship Type="http://schemas.openxmlformats.org/officeDocument/2006/relationships/hyperlink" Target="#'10 EVIDENCE &amp; DECISIONS'!A86" TargetMode="External" Id="rId89"/><Relationship Type="http://schemas.openxmlformats.org/officeDocument/2006/relationships/hyperlink" Target="#'10 EVIDENCE &amp; DECISIONS'!A87" TargetMode="External" Id="rId90"/><Relationship Type="http://schemas.openxmlformats.org/officeDocument/2006/relationships/hyperlink" Target="#'10 EVIDENCE &amp; DECISIONS'!A88" TargetMode="External" Id="rId91"/><Relationship Type="http://schemas.openxmlformats.org/officeDocument/2006/relationships/hyperlink" Target="#'10 EVIDENCE &amp; DECISIONS'!A89" TargetMode="External" Id="rId92"/><Relationship Type="http://schemas.openxmlformats.org/officeDocument/2006/relationships/hyperlink" Target="#'10 EVIDENCE &amp; DECISIONS'!A90" TargetMode="External" Id="rId93"/><Relationship Type="http://schemas.openxmlformats.org/officeDocument/2006/relationships/hyperlink" Target="#'10 EVIDENCE &amp; DECISIONS'!A91" TargetMode="External" Id="rId94"/><Relationship Type="http://schemas.openxmlformats.org/officeDocument/2006/relationships/hyperlink" Target="#'10 EVIDENCE &amp; DECISIONS'!A92" TargetMode="External" Id="rId95"/><Relationship Type="http://schemas.openxmlformats.org/officeDocument/2006/relationships/hyperlink" Target="#'10 EVIDENCE &amp; DECISIONS'!A93" TargetMode="External" Id="rId96"/><Relationship Type="http://schemas.openxmlformats.org/officeDocument/2006/relationships/hyperlink" Target="#'10 EVIDENCE &amp; DECISIONS'!A94" TargetMode="External" Id="rId97"/><Relationship Type="http://schemas.openxmlformats.org/officeDocument/2006/relationships/hyperlink" Target="#'10 EVIDENCE &amp; DECISIONS'!A95" TargetMode="External" Id="rId98"/><Relationship Type="http://schemas.openxmlformats.org/officeDocument/2006/relationships/hyperlink" Target="#'10 EVIDENCE &amp; DECISIONS'!A96" TargetMode="External" Id="rId99"/><Relationship Type="http://schemas.openxmlformats.org/officeDocument/2006/relationships/hyperlink" Target="#'10 EVIDENCE &amp; DECISIONS'!A97" TargetMode="External" Id="rId100"/><Relationship Type="http://schemas.openxmlformats.org/officeDocument/2006/relationships/hyperlink" Target="#'10 EVIDENCE &amp; DECISIONS'!A98" TargetMode="External" Id="rId101"/><Relationship Type="http://schemas.openxmlformats.org/officeDocument/2006/relationships/hyperlink" Target="#'10 EVIDENCE &amp; DECISIONS'!A99" TargetMode="External" Id="rId102"/><Relationship Type="http://schemas.openxmlformats.org/officeDocument/2006/relationships/hyperlink" Target="#'10 EVIDENCE &amp; DECISIONS'!A100" TargetMode="External" Id="rId103"/><Relationship Type="http://schemas.openxmlformats.org/officeDocument/2006/relationships/hyperlink" Target="#'10 EVIDENCE &amp; DECISIONS'!A101" TargetMode="External" Id="rId104"/><Relationship Type="http://schemas.openxmlformats.org/officeDocument/2006/relationships/hyperlink" Target="#'10 EVIDENCE &amp; DECISIONS'!A102" TargetMode="External" Id="rId105"/><Relationship Type="http://schemas.openxmlformats.org/officeDocument/2006/relationships/hyperlink" Target="#'10 EVIDENCE &amp; DECISIONS'!A103" TargetMode="External" Id="rId106"/><Relationship Type="http://schemas.openxmlformats.org/officeDocument/2006/relationships/hyperlink" Target="#'10 EVIDENCE &amp; DECISIONS'!A104" TargetMode="External" Id="rId107"/><Relationship Type="http://schemas.openxmlformats.org/officeDocument/2006/relationships/hyperlink" Target="#'10 EVIDENCE &amp; DECISIONS'!A105" TargetMode="External" Id="rId108"/><Relationship Type="http://schemas.openxmlformats.org/officeDocument/2006/relationships/hyperlink" Target="#'10 EVIDENCE &amp; DECISIONS'!A106" TargetMode="External" Id="rId109"/><Relationship Type="http://schemas.openxmlformats.org/officeDocument/2006/relationships/hyperlink" Target="#'10 EVIDENCE &amp; DECISIONS'!A107" TargetMode="External" Id="rId110"/><Relationship Type="http://schemas.openxmlformats.org/officeDocument/2006/relationships/hyperlink" Target="#'10 EVIDENCE &amp; DECISIONS'!A108" TargetMode="External" Id="rId111"/><Relationship Type="http://schemas.openxmlformats.org/officeDocument/2006/relationships/hyperlink" Target="#'10 EVIDENCE &amp; DECISIONS'!A109" TargetMode="External" Id="rId112"/><Relationship Type="http://schemas.openxmlformats.org/officeDocument/2006/relationships/hyperlink" Target="#'10 EVIDENCE &amp; DECISIONS'!A110" TargetMode="External" Id="rId113"/><Relationship Type="http://schemas.openxmlformats.org/officeDocument/2006/relationships/hyperlink" Target="#'10 EVIDENCE &amp; DECISIONS'!A111" TargetMode="External" Id="rId114"/><Relationship Type="http://schemas.openxmlformats.org/officeDocument/2006/relationships/hyperlink" Target="#'10 EVIDENCE &amp; DECISIONS'!A112" TargetMode="External" Id="rId115"/><Relationship Type="http://schemas.openxmlformats.org/officeDocument/2006/relationships/hyperlink" Target="#'10 EVIDENCE &amp; DECISIONS'!A113" TargetMode="External" Id="rId116"/><Relationship Type="http://schemas.openxmlformats.org/officeDocument/2006/relationships/hyperlink" Target="#'10 EVIDENCE &amp; DECISIONS'!A114" TargetMode="External" Id="rId117"/><Relationship Type="http://schemas.openxmlformats.org/officeDocument/2006/relationships/hyperlink" Target="#'10 EVIDENCE &amp; DECISIONS'!A115" TargetMode="External" Id="rId118"/><Relationship Type="http://schemas.openxmlformats.org/officeDocument/2006/relationships/hyperlink" Target="#'10 EVIDENCE &amp; DECISIONS'!A116" TargetMode="External" Id="rId119"/><Relationship Type="http://schemas.openxmlformats.org/officeDocument/2006/relationships/hyperlink" Target="#'10 EVIDENCE &amp; DECISIONS'!A117" TargetMode="External" Id="rId120"/><Relationship Type="http://schemas.openxmlformats.org/officeDocument/2006/relationships/hyperlink" Target="#'10 EVIDENCE &amp; DECISIONS'!A118" TargetMode="External" Id="rId121"/><Relationship Type="http://schemas.openxmlformats.org/officeDocument/2006/relationships/hyperlink" Target="#'10 EVIDENCE &amp; DECISIONS'!A119" TargetMode="External" Id="rId122"/><Relationship Type="http://schemas.openxmlformats.org/officeDocument/2006/relationships/hyperlink" Target="#'10 EVIDENCE &amp; DECISIONS'!A120" TargetMode="External" Id="rId123"/><Relationship Type="http://schemas.openxmlformats.org/officeDocument/2006/relationships/hyperlink" Target="#'10 EVIDENCE &amp; DECISIONS'!A121" TargetMode="External" Id="rId124"/><Relationship Type="http://schemas.openxmlformats.org/officeDocument/2006/relationships/hyperlink" Target="#'10 EVIDENCE &amp; DECISIONS'!A122" TargetMode="External" Id="rId125"/><Relationship Type="http://schemas.openxmlformats.org/officeDocument/2006/relationships/hyperlink" Target="#'10 EVIDENCE &amp; DECISIONS'!A123" TargetMode="External" Id="rId126"/><Relationship Type="http://schemas.openxmlformats.org/officeDocument/2006/relationships/hyperlink" Target="#'10 EVIDENCE &amp; DECISIONS'!A124" TargetMode="External" Id="rId127"/><Relationship Type="http://schemas.openxmlformats.org/officeDocument/2006/relationships/hyperlink" Target="#'10 EVIDENCE &amp; DECISIONS'!A125" TargetMode="External" Id="rId128"/><Relationship Type="http://schemas.openxmlformats.org/officeDocument/2006/relationships/hyperlink" Target="#'10 EVIDENCE &amp; DECISIONS'!A126" TargetMode="External" Id="rId129"/><Relationship Type="http://schemas.openxmlformats.org/officeDocument/2006/relationships/hyperlink" Target="#'10 EVIDENCE &amp; DECISIONS'!A127" TargetMode="External" Id="rId130"/><Relationship Type="http://schemas.openxmlformats.org/officeDocument/2006/relationships/hyperlink" Target="#'10 EVIDENCE &amp; DECISIONS'!A128" TargetMode="External" Id="rId131"/><Relationship Type="http://schemas.openxmlformats.org/officeDocument/2006/relationships/hyperlink" Target="#'10 EVIDENCE &amp; DECISIONS'!A129" TargetMode="External" Id="rId132"/><Relationship Type="http://schemas.openxmlformats.org/officeDocument/2006/relationships/hyperlink" Target="#'10 EVIDENCE &amp; DECISIONS'!A130" TargetMode="External" Id="rId133"/><Relationship Type="http://schemas.openxmlformats.org/officeDocument/2006/relationships/hyperlink" Target="#'10 EVIDENCE &amp; DECISIONS'!A131" TargetMode="External" Id="rId134"/><Relationship Type="http://schemas.openxmlformats.org/officeDocument/2006/relationships/hyperlink" Target="#'10 EVIDENCE &amp; DECISIONS'!A132" TargetMode="External" Id="rId135"/><Relationship Type="http://schemas.openxmlformats.org/officeDocument/2006/relationships/hyperlink" Target="#'10 EVIDENCE &amp; DECISIONS'!A133" TargetMode="External" Id="rId136"/><Relationship Type="http://schemas.openxmlformats.org/officeDocument/2006/relationships/hyperlink" Target="#'10 EVIDENCE &amp; DECISIONS'!A134" TargetMode="External" Id="rId137"/><Relationship Type="http://schemas.openxmlformats.org/officeDocument/2006/relationships/hyperlink" Target="#'10 EVIDENCE &amp; DECISIONS'!A135" TargetMode="External" Id="rId138"/><Relationship Type="http://schemas.openxmlformats.org/officeDocument/2006/relationships/hyperlink" Target="#'10 EVIDENCE &amp; DECISIONS'!A136" TargetMode="External" Id="rId139"/><Relationship Type="http://schemas.openxmlformats.org/officeDocument/2006/relationships/hyperlink" Target="#'10 EVIDENCE &amp; DECISIONS'!A137" TargetMode="External" Id="rId140"/><Relationship Type="http://schemas.openxmlformats.org/officeDocument/2006/relationships/hyperlink" Target="#'10 EVIDENCE &amp; DECISIONS'!A138" TargetMode="External" Id="rId141"/><Relationship Type="http://schemas.openxmlformats.org/officeDocument/2006/relationships/hyperlink" Target="#'10 EVIDENCE &amp; DECISIONS'!A139" TargetMode="External" Id="rId142"/><Relationship Type="http://schemas.openxmlformats.org/officeDocument/2006/relationships/hyperlink" Target="#'10 EVIDENCE &amp; DECISIONS'!A140" TargetMode="External" Id="rId143"/><Relationship Type="http://schemas.openxmlformats.org/officeDocument/2006/relationships/hyperlink" Target="#'10 EVIDENCE &amp; DECISIONS'!A141" TargetMode="External" Id="rId144"/><Relationship Type="http://schemas.openxmlformats.org/officeDocument/2006/relationships/hyperlink" Target="#'10 EVIDENCE &amp; DECISIONS'!A142" TargetMode="External" Id="rId145"/><Relationship Type="http://schemas.openxmlformats.org/officeDocument/2006/relationships/hyperlink" Target="#'10 EVIDENCE &amp; DECISIONS'!A143" TargetMode="External" Id="rId146"/><Relationship Type="http://schemas.openxmlformats.org/officeDocument/2006/relationships/hyperlink" Target="#'10 EVIDENCE &amp; DECISIONS'!A144" TargetMode="External" Id="rId147"/><Relationship Type="http://schemas.openxmlformats.org/officeDocument/2006/relationships/hyperlink" Target="#'10 EVIDENCE &amp; DECISIONS'!A145" TargetMode="External" Id="rId148"/><Relationship Type="http://schemas.openxmlformats.org/officeDocument/2006/relationships/hyperlink" Target="#'10 EVIDENCE &amp; DECISIONS'!A146" TargetMode="External" Id="rId149"/><Relationship Type="http://schemas.openxmlformats.org/officeDocument/2006/relationships/hyperlink" Target="#'10 EVIDENCE &amp; DECISIONS'!A147" TargetMode="External" Id="rId150"/><Relationship Type="http://schemas.openxmlformats.org/officeDocument/2006/relationships/hyperlink" Target="#'10 EVIDENCE &amp; DECISIONS'!A148" TargetMode="External" Id="rId151"/><Relationship Type="http://schemas.openxmlformats.org/officeDocument/2006/relationships/hyperlink" Target="#'10 EVIDENCE &amp; DECISIONS'!A149" TargetMode="External" Id="rId152"/><Relationship Type="http://schemas.openxmlformats.org/officeDocument/2006/relationships/hyperlink" Target="#'10 EVIDENCE &amp; DECISIONS'!A150" TargetMode="External" Id="rId153"/><Relationship Type="http://schemas.openxmlformats.org/officeDocument/2006/relationships/hyperlink" Target="#'10 EVIDENCE &amp; DECISIONS'!A151" TargetMode="External" Id="rId154"/><Relationship Type="http://schemas.openxmlformats.org/officeDocument/2006/relationships/hyperlink" Target="#'10 EVIDENCE &amp; DECISIONS'!A152" TargetMode="External" Id="rId155"/><Relationship Type="http://schemas.openxmlformats.org/officeDocument/2006/relationships/hyperlink" Target="#'10 EVIDENCE &amp; DECISIONS'!A153" TargetMode="External" Id="rId156"/><Relationship Type="http://schemas.openxmlformats.org/officeDocument/2006/relationships/hyperlink" Target="#'10 EVIDENCE &amp; DECISIONS'!A154" TargetMode="External" Id="rId157"/><Relationship Type="http://schemas.openxmlformats.org/officeDocument/2006/relationships/hyperlink" Target="#'10 EVIDENCE &amp; DECISIONS'!A155" TargetMode="External" Id="rId158"/><Relationship Type="http://schemas.openxmlformats.org/officeDocument/2006/relationships/hyperlink" Target="#'10 EVIDENCE &amp; DECISIONS'!A156" TargetMode="External" Id="rId159"/><Relationship Type="http://schemas.openxmlformats.org/officeDocument/2006/relationships/hyperlink" Target="#'10 EVIDENCE &amp; DECISIONS'!A157" TargetMode="External" Id="rId160"/><Relationship Type="http://schemas.openxmlformats.org/officeDocument/2006/relationships/hyperlink" Target="#'10 EVIDENCE &amp; DECISIONS'!A158" TargetMode="External" Id="rId161"/><Relationship Type="http://schemas.openxmlformats.org/officeDocument/2006/relationships/hyperlink" Target="#'10 EVIDENCE &amp; DECISIONS'!A159" TargetMode="External" Id="rId162"/><Relationship Type="http://schemas.openxmlformats.org/officeDocument/2006/relationships/hyperlink" Target="#'10 EVIDENCE &amp; DECISIONS'!A160" TargetMode="External" Id="rId163"/><Relationship Type="http://schemas.openxmlformats.org/officeDocument/2006/relationships/hyperlink" Target="#'10 EVIDENCE &amp; DECISIONS'!A161" TargetMode="External" Id="rId164"/><Relationship Type="http://schemas.openxmlformats.org/officeDocument/2006/relationships/hyperlink" Target="#'10 EVIDENCE &amp; DECISIONS'!A162" TargetMode="External" Id="rId165"/><Relationship Type="http://schemas.openxmlformats.org/officeDocument/2006/relationships/hyperlink" Target="#'10 EVIDENCE &amp; DECISIONS'!A163" TargetMode="External" Id="rId166"/><Relationship Type="http://schemas.openxmlformats.org/officeDocument/2006/relationships/hyperlink" Target="#'10 EVIDENCE &amp; DECISIONS'!A164" TargetMode="External" Id="rId167"/><Relationship Type="http://schemas.openxmlformats.org/officeDocument/2006/relationships/hyperlink" Target="#'10 EVIDENCE &amp; DECISIONS'!A165" TargetMode="External" Id="rId168"/><Relationship Type="http://schemas.openxmlformats.org/officeDocument/2006/relationships/hyperlink" Target="#'10 EVIDENCE &amp; DECISIONS'!A166" TargetMode="External" Id="rId169"/><Relationship Type="http://schemas.openxmlformats.org/officeDocument/2006/relationships/hyperlink" Target="#'10 EVIDENCE &amp; DECISIONS'!A167" TargetMode="External" Id="rId170"/><Relationship Type="http://schemas.openxmlformats.org/officeDocument/2006/relationships/hyperlink" Target="#'10 EVIDENCE &amp; DECISIONS'!A168" TargetMode="External" Id="rId171"/><Relationship Type="http://schemas.openxmlformats.org/officeDocument/2006/relationships/hyperlink" Target="#'10 EVIDENCE &amp; DECISIONS'!A169" TargetMode="External" Id="rId172"/><Relationship Type="http://schemas.openxmlformats.org/officeDocument/2006/relationships/hyperlink" Target="#'10 EVIDENCE &amp; DECISIONS'!A170" TargetMode="External" Id="rId173"/><Relationship Type="http://schemas.openxmlformats.org/officeDocument/2006/relationships/hyperlink" Target="#'10 EVIDENCE &amp; DECISIONS'!A171" TargetMode="External" Id="rId174"/><Relationship Type="http://schemas.openxmlformats.org/officeDocument/2006/relationships/hyperlink" Target="#'10 EVIDENCE &amp; DECISIONS'!A172" TargetMode="External" Id="rId175"/><Relationship Type="http://schemas.openxmlformats.org/officeDocument/2006/relationships/hyperlink" Target="#'10 EVIDENCE &amp; DECISIONS'!A173" TargetMode="External" Id="rId176"/><Relationship Type="http://schemas.openxmlformats.org/officeDocument/2006/relationships/hyperlink" Target="#'10 EVIDENCE &amp; DECISIONS'!A174" TargetMode="External" Id="rId177"/><Relationship Type="http://schemas.openxmlformats.org/officeDocument/2006/relationships/hyperlink" Target="#'10 EVIDENCE &amp; DECISIONS'!A175" TargetMode="External" Id="rId178"/><Relationship Type="http://schemas.openxmlformats.org/officeDocument/2006/relationships/hyperlink" Target="#'10 EVIDENCE &amp; DECISIONS'!A176" TargetMode="External" Id="rId179"/><Relationship Type="http://schemas.openxmlformats.org/officeDocument/2006/relationships/hyperlink" Target="#'10 EVIDENCE &amp; DECISIONS'!A177" TargetMode="External" Id="rId180"/><Relationship Type="http://schemas.openxmlformats.org/officeDocument/2006/relationships/hyperlink" Target="#'10 EVIDENCE &amp; DECISIONS'!A178" TargetMode="External" Id="rId181"/><Relationship Type="http://schemas.openxmlformats.org/officeDocument/2006/relationships/hyperlink" Target="#'10 EVIDENCE &amp; DECISIONS'!A179" TargetMode="External" Id="rId182"/><Relationship Type="http://schemas.openxmlformats.org/officeDocument/2006/relationships/hyperlink" Target="#'10 EVIDENCE &amp; DECISIONS'!A180" TargetMode="External" Id="rId183"/><Relationship Type="http://schemas.openxmlformats.org/officeDocument/2006/relationships/hyperlink" Target="#'10 EVIDENCE &amp; DECISIONS'!A181" TargetMode="External" Id="rId184"/><Relationship Type="http://schemas.openxmlformats.org/officeDocument/2006/relationships/hyperlink" Target="#'10 EVIDENCE &amp; DECISIONS'!A182" TargetMode="External" Id="rId185"/><Relationship Type="http://schemas.openxmlformats.org/officeDocument/2006/relationships/hyperlink" Target="#'10 EVIDENCE &amp; DECISIONS'!A183" TargetMode="External" Id="rId186"/><Relationship Type="http://schemas.openxmlformats.org/officeDocument/2006/relationships/hyperlink" Target="#'10 EVIDENCE &amp; DECISIONS'!A184" TargetMode="External" Id="rId187"/><Relationship Type="http://schemas.openxmlformats.org/officeDocument/2006/relationships/hyperlink" Target="#'10 EVIDENCE &amp; DECISIONS'!A185" TargetMode="External" Id="rId188"/><Relationship Type="http://schemas.openxmlformats.org/officeDocument/2006/relationships/hyperlink" Target="#'10 EVIDENCE &amp; DECISIONS'!A186" TargetMode="External" Id="rId189"/><Relationship Type="http://schemas.openxmlformats.org/officeDocument/2006/relationships/hyperlink" Target="#'10 EVIDENCE &amp; DECISIONS'!A187" TargetMode="External" Id="rId190"/><Relationship Type="http://schemas.openxmlformats.org/officeDocument/2006/relationships/hyperlink" Target="#'10 EVIDENCE &amp; DECISIONS'!A188" TargetMode="External" Id="rId191"/><Relationship Type="http://schemas.openxmlformats.org/officeDocument/2006/relationships/hyperlink" Target="#'10 EVIDENCE &amp; DECISIONS'!A189" TargetMode="External" Id="rId192"/><Relationship Type="http://schemas.openxmlformats.org/officeDocument/2006/relationships/hyperlink" Target="#'10 EVIDENCE &amp; DECISIONS'!A190" TargetMode="External" Id="rId193"/><Relationship Type="http://schemas.openxmlformats.org/officeDocument/2006/relationships/hyperlink" Target="#'10 EVIDENCE &amp; DECISIONS'!A191" TargetMode="External" Id="rId194"/><Relationship Type="http://schemas.openxmlformats.org/officeDocument/2006/relationships/hyperlink" Target="#'10 EVIDENCE &amp; DECISIONS'!A192" TargetMode="External" Id="rId195"/><Relationship Type="http://schemas.openxmlformats.org/officeDocument/2006/relationships/hyperlink" Target="#'10 EVIDENCE &amp; DECISIONS'!A193" TargetMode="External" Id="rId196"/><Relationship Type="http://schemas.openxmlformats.org/officeDocument/2006/relationships/hyperlink" Target="#'10 EVIDENCE &amp; DECISIONS'!A194" TargetMode="External" Id="rId197"/><Relationship Type="http://schemas.openxmlformats.org/officeDocument/2006/relationships/hyperlink" Target="#'10 EVIDENCE &amp; DECISIONS'!A195" TargetMode="External" Id="rId198"/><Relationship Type="http://schemas.openxmlformats.org/officeDocument/2006/relationships/hyperlink" Target="#'10 EVIDENCE &amp; DECISIONS'!A196" TargetMode="External" Id="rId199"/><Relationship Type="http://schemas.openxmlformats.org/officeDocument/2006/relationships/hyperlink" Target="#'10 EVIDENCE &amp; DECISIONS'!A197" TargetMode="External" Id="rId200"/><Relationship Type="http://schemas.openxmlformats.org/officeDocument/2006/relationships/hyperlink" Target="#'10 EVIDENCE &amp; DECISIONS'!A198" TargetMode="External" Id="rId201"/><Relationship Type="http://schemas.openxmlformats.org/officeDocument/2006/relationships/hyperlink" Target="#'10 EVIDENCE &amp; DECISIONS'!A199" TargetMode="External" Id="rId202"/><Relationship Type="http://schemas.openxmlformats.org/officeDocument/2006/relationships/hyperlink" Target="#'10 EVIDENCE &amp; DECISIONS'!A200" TargetMode="External" Id="rId203"/><Relationship Type="http://schemas.openxmlformats.org/officeDocument/2006/relationships/hyperlink" Target="#'10 EVIDENCE &amp; DECISIONS'!A201" TargetMode="External" Id="rId204"/><Relationship Type="http://schemas.openxmlformats.org/officeDocument/2006/relationships/hyperlink" Target="#'10 EVIDENCE &amp; DECISIONS'!A202" TargetMode="External" Id="rId205"/><Relationship Type="http://schemas.openxmlformats.org/officeDocument/2006/relationships/hyperlink" Target="#'10 EVIDENCE &amp; DECISIONS'!A203" TargetMode="External" Id="rId206"/><Relationship Type="http://schemas.openxmlformats.org/officeDocument/2006/relationships/hyperlink" Target="#'10 EVIDENCE &amp; DECISIONS'!A204" TargetMode="External" Id="rId207"/><Relationship Type="http://schemas.openxmlformats.org/officeDocument/2006/relationships/hyperlink" Target="#'10 EVIDENCE &amp; DECISIONS'!A205" TargetMode="External" Id="rId208"/><Relationship Type="http://schemas.openxmlformats.org/officeDocument/2006/relationships/hyperlink" Target="#'10 EVIDENCE &amp; DECISIONS'!A206" TargetMode="External" Id="rId209"/><Relationship Type="http://schemas.openxmlformats.org/officeDocument/2006/relationships/hyperlink" Target="#'10 EVIDENCE &amp; DECISIONS'!A207" TargetMode="External" Id="rId210"/><Relationship Type="http://schemas.openxmlformats.org/officeDocument/2006/relationships/hyperlink" Target="#'10 EVIDENCE &amp; DECISIONS'!A208" TargetMode="External" Id="rId211"/><Relationship Type="http://schemas.openxmlformats.org/officeDocument/2006/relationships/hyperlink" Target="#'10 EVIDENCE &amp; DECISIONS'!A209" TargetMode="External" Id="rId212"/><Relationship Type="http://schemas.openxmlformats.org/officeDocument/2006/relationships/hyperlink" Target="#'10 EVIDENCE &amp; DECISIONS'!A210" TargetMode="External" Id="rId213"/><Relationship Type="http://schemas.openxmlformats.org/officeDocument/2006/relationships/hyperlink" Target="#'10 EVIDENCE &amp; DECISIONS'!A211" TargetMode="External" Id="rId214"/><Relationship Type="http://schemas.openxmlformats.org/officeDocument/2006/relationships/hyperlink" Target="#'10 EVIDENCE &amp; DECISIONS'!A212" TargetMode="External" Id="rId215"/><Relationship Type="http://schemas.openxmlformats.org/officeDocument/2006/relationships/hyperlink" Target="#'10 EVIDENCE &amp; DECISIONS'!A213" TargetMode="External" Id="rId216"/><Relationship Type="http://schemas.openxmlformats.org/officeDocument/2006/relationships/hyperlink" Target="#'10 EVIDENCE &amp; DECISIONS'!A214" TargetMode="External" Id="rId217"/><Relationship Type="http://schemas.openxmlformats.org/officeDocument/2006/relationships/hyperlink" Target="#'10 EVIDENCE &amp; DECISIONS'!A215" TargetMode="External" Id="rId218"/><Relationship Type="http://schemas.openxmlformats.org/officeDocument/2006/relationships/hyperlink" Target="#'10 EVIDENCE &amp; DECISIONS'!A216" TargetMode="External" Id="rId219"/><Relationship Type="http://schemas.openxmlformats.org/officeDocument/2006/relationships/hyperlink" Target="#'10 EVIDENCE &amp; DECISIONS'!A217" TargetMode="External" Id="rId220"/><Relationship Type="http://schemas.openxmlformats.org/officeDocument/2006/relationships/hyperlink" Target="#'10 EVIDENCE &amp; DECISIONS'!A218" TargetMode="External" Id="rId221"/><Relationship Type="http://schemas.openxmlformats.org/officeDocument/2006/relationships/hyperlink" Target="#'10 EVIDENCE &amp; DECISIONS'!A219" TargetMode="External" Id="rId222"/><Relationship Type="http://schemas.openxmlformats.org/officeDocument/2006/relationships/hyperlink" Target="#'10 EVIDENCE &amp; DECISIONS'!A220" TargetMode="External" Id="rId223"/><Relationship Type="http://schemas.openxmlformats.org/officeDocument/2006/relationships/hyperlink" Target="#'10 EVIDENCE &amp; DECISIONS'!A221" TargetMode="External" Id="rId224"/><Relationship Type="http://schemas.openxmlformats.org/officeDocument/2006/relationships/hyperlink" Target="#'10 EVIDENCE &amp; DECISIONS'!A222" TargetMode="External" Id="rId225"/><Relationship Type="http://schemas.openxmlformats.org/officeDocument/2006/relationships/hyperlink" Target="#'10 EVIDENCE &amp; DECISIONS'!A223" TargetMode="External" Id="rId226"/><Relationship Type="http://schemas.openxmlformats.org/officeDocument/2006/relationships/hyperlink" Target="#'10 EVIDENCE &amp; DECISIONS'!A224" TargetMode="External" Id="rId227"/><Relationship Type="http://schemas.openxmlformats.org/officeDocument/2006/relationships/hyperlink" Target="#'10 EVIDENCE &amp; DECISIONS'!A225" TargetMode="External" Id="rId228"/><Relationship Type="http://schemas.openxmlformats.org/officeDocument/2006/relationships/hyperlink" Target="#'10 EVIDENCE &amp; DECISIONS'!A226" TargetMode="External" Id="rId229"/><Relationship Type="http://schemas.openxmlformats.org/officeDocument/2006/relationships/hyperlink" Target="#'10 EVIDENCE &amp; DECISIONS'!A227" TargetMode="External" Id="rId230"/><Relationship Type="http://schemas.openxmlformats.org/officeDocument/2006/relationships/hyperlink" Target="#'10 EVIDENCE &amp; DECISIONS'!A228" TargetMode="External" Id="rId231"/><Relationship Type="http://schemas.openxmlformats.org/officeDocument/2006/relationships/hyperlink" Target="#'10 EVIDENCE &amp; DECISIONS'!A229" TargetMode="External" Id="rId232"/><Relationship Type="http://schemas.openxmlformats.org/officeDocument/2006/relationships/hyperlink" Target="#'10 EVIDENCE &amp; DECISIONS'!A230" TargetMode="External" Id="rId233"/><Relationship Type="http://schemas.openxmlformats.org/officeDocument/2006/relationships/hyperlink" Target="#'10 EVIDENCE &amp; DECISIONS'!A231" TargetMode="External" Id="rId234"/><Relationship Type="http://schemas.openxmlformats.org/officeDocument/2006/relationships/hyperlink" Target="#'10 EVIDENCE &amp; DECISIONS'!A232" TargetMode="External" Id="rId235"/><Relationship Type="http://schemas.openxmlformats.org/officeDocument/2006/relationships/hyperlink" Target="#'10 EVIDENCE &amp; DECISIONS'!A233" TargetMode="External" Id="rId236"/><Relationship Type="http://schemas.openxmlformats.org/officeDocument/2006/relationships/hyperlink" Target="#'10 EVIDENCE &amp; DECISIONS'!A234" TargetMode="External" Id="rId237"/><Relationship Type="http://schemas.openxmlformats.org/officeDocument/2006/relationships/hyperlink" Target="#'10 EVIDENCE &amp; DECISIONS'!A235" TargetMode="External" Id="rId238"/><Relationship Type="http://schemas.openxmlformats.org/officeDocument/2006/relationships/hyperlink" Target="#'10 EVIDENCE &amp; DECISIONS'!A236" TargetMode="External" Id="rId239"/><Relationship Type="http://schemas.openxmlformats.org/officeDocument/2006/relationships/hyperlink" Target="#'10 EVIDENCE &amp; DECISIONS'!A237" TargetMode="External" Id="rId240"/><Relationship Type="http://schemas.openxmlformats.org/officeDocument/2006/relationships/hyperlink" Target="#'10 EVIDENCE &amp; DECISIONS'!A238" TargetMode="External" Id="rId241"/><Relationship Type="http://schemas.openxmlformats.org/officeDocument/2006/relationships/hyperlink" Target="#'10 EVIDENCE &amp; DECISIONS'!A239" TargetMode="External" Id="rId242"/><Relationship Type="http://schemas.openxmlformats.org/officeDocument/2006/relationships/hyperlink" Target="#'10 EVIDENCE &amp; DECISIONS'!A240" TargetMode="External" Id="rId243"/><Relationship Type="http://schemas.openxmlformats.org/officeDocument/2006/relationships/hyperlink" Target="#'10 EVIDENCE &amp; DECISIONS'!A241" TargetMode="External" Id="rId244"/><Relationship Type="http://schemas.openxmlformats.org/officeDocument/2006/relationships/hyperlink" Target="#'10 EVIDENCE &amp; DECISIONS'!A242" TargetMode="External" Id="rId245"/><Relationship Type="http://schemas.openxmlformats.org/officeDocument/2006/relationships/hyperlink" Target="#'10 EVIDENCE &amp; DECISIONS'!A243" TargetMode="External" Id="rId246"/><Relationship Type="http://schemas.openxmlformats.org/officeDocument/2006/relationships/hyperlink" Target="#'10 EVIDENCE &amp; DECISIONS'!A244" TargetMode="External" Id="rId247"/><Relationship Type="http://schemas.openxmlformats.org/officeDocument/2006/relationships/hyperlink" Target="#'10 EVIDENCE &amp; DECISIONS'!A245" TargetMode="External" Id="rId248"/><Relationship Type="http://schemas.openxmlformats.org/officeDocument/2006/relationships/hyperlink" Target="#'10 EVIDENCE &amp; DECISIONS'!A246" TargetMode="External" Id="rId249"/><Relationship Type="http://schemas.openxmlformats.org/officeDocument/2006/relationships/hyperlink" Target="#'10 EVIDENCE &amp; DECISIONS'!A247" TargetMode="External" Id="rId250"/><Relationship Type="http://schemas.openxmlformats.org/officeDocument/2006/relationships/hyperlink" Target="#'10 EVIDENCE &amp; DECISIONS'!A248" TargetMode="External" Id="rId251"/><Relationship Type="http://schemas.openxmlformats.org/officeDocument/2006/relationships/hyperlink" Target="#'10 EVIDENCE &amp; DECISIONS'!A249" TargetMode="External" Id="rId252"/><Relationship Type="http://schemas.openxmlformats.org/officeDocument/2006/relationships/hyperlink" Target="#'10 EVIDENCE &amp; DECISIONS'!A250" TargetMode="External" Id="rId253"/><Relationship Type="http://schemas.openxmlformats.org/officeDocument/2006/relationships/hyperlink" Target="#'10 EVIDENCE &amp; DECISIONS'!A251" TargetMode="External" Id="rId254"/><Relationship Type="http://schemas.openxmlformats.org/officeDocument/2006/relationships/hyperlink" Target="#'10 EVIDENCE &amp; DECISIONS'!A252" TargetMode="External" Id="rId255"/><Relationship Type="http://schemas.openxmlformats.org/officeDocument/2006/relationships/hyperlink" Target="#'10 EVIDENCE &amp; DECISIONS'!A253" TargetMode="External" Id="rId256"/><Relationship Type="http://schemas.openxmlformats.org/officeDocument/2006/relationships/hyperlink" Target="#'10 EVIDENCE &amp; DECISIONS'!A254" TargetMode="External" Id="rId257"/><Relationship Type="http://schemas.openxmlformats.org/officeDocument/2006/relationships/hyperlink" Target="#'10 EVIDENCE &amp; DECISIONS'!A255" TargetMode="External" Id="rId258"/><Relationship Type="http://schemas.openxmlformats.org/officeDocument/2006/relationships/hyperlink" Target="#'10 EVIDENCE &amp; DECISIONS'!A256" TargetMode="External" Id="rId259"/><Relationship Type="http://schemas.openxmlformats.org/officeDocument/2006/relationships/hyperlink" Target="#'10 EVIDENCE &amp; DECISIONS'!A257" TargetMode="External" Id="rId260"/><Relationship Type="http://schemas.openxmlformats.org/officeDocument/2006/relationships/hyperlink" Target="#'10 EVIDENCE &amp; DECISIONS'!A258" TargetMode="External" Id="rId261"/><Relationship Type="http://schemas.openxmlformats.org/officeDocument/2006/relationships/hyperlink" Target="#'10 EVIDENCE &amp; DECISIONS'!A259" TargetMode="External" Id="rId262"/><Relationship Type="http://schemas.openxmlformats.org/officeDocument/2006/relationships/hyperlink" Target="#'10 EVIDENCE &amp; DECISIONS'!A260" TargetMode="External" Id="rId263"/><Relationship Type="http://schemas.openxmlformats.org/officeDocument/2006/relationships/hyperlink" Target="#'10 EVIDENCE &amp; DECISIONS'!A261" TargetMode="External" Id="rId264"/><Relationship Type="http://schemas.openxmlformats.org/officeDocument/2006/relationships/hyperlink" Target="#'10 EVIDENCE &amp; DECISIONS'!A262" TargetMode="External" Id="rId265"/><Relationship Type="http://schemas.openxmlformats.org/officeDocument/2006/relationships/hyperlink" Target="#'10 EVIDENCE &amp; DECISIONS'!A263" TargetMode="External" Id="rId266"/><Relationship Type="http://schemas.openxmlformats.org/officeDocument/2006/relationships/hyperlink" Target="#'10 EVIDENCE &amp; DECISIONS'!A264" TargetMode="External" Id="rId267"/><Relationship Type="http://schemas.openxmlformats.org/officeDocument/2006/relationships/hyperlink" Target="#'10 EVIDENCE &amp; DECISIONS'!A265" TargetMode="External" Id="rId268"/><Relationship Type="http://schemas.openxmlformats.org/officeDocument/2006/relationships/hyperlink" Target="#'10 EVIDENCE &amp; DECISIONS'!A266" TargetMode="External" Id="rId269"/><Relationship Type="http://schemas.openxmlformats.org/officeDocument/2006/relationships/hyperlink" Target="#'10 EVIDENCE &amp; DECISIONS'!A267" TargetMode="External" Id="rId270"/><Relationship Type="http://schemas.openxmlformats.org/officeDocument/2006/relationships/hyperlink" Target="#'10 EVIDENCE &amp; DECISIONS'!A268" TargetMode="External" Id="rId271"/><Relationship Type="http://schemas.openxmlformats.org/officeDocument/2006/relationships/hyperlink" Target="#'10 EVIDENCE &amp; DECISIONS'!A269" TargetMode="External" Id="rId272"/><Relationship Type="http://schemas.openxmlformats.org/officeDocument/2006/relationships/hyperlink" Target="#'10 EVIDENCE &amp; DECISIONS'!A270" TargetMode="External" Id="rId273"/><Relationship Type="http://schemas.openxmlformats.org/officeDocument/2006/relationships/hyperlink" Target="#'10 EVIDENCE &amp; DECISIONS'!A271" TargetMode="External" Id="rId274"/><Relationship Type="http://schemas.openxmlformats.org/officeDocument/2006/relationships/hyperlink" Target="#'10 EVIDENCE &amp; DECISIONS'!A272" TargetMode="External" Id="rId275"/><Relationship Type="http://schemas.openxmlformats.org/officeDocument/2006/relationships/hyperlink" Target="#'10 EVIDENCE &amp; DECISIONS'!A273" TargetMode="External" Id="rId276"/><Relationship Type="http://schemas.openxmlformats.org/officeDocument/2006/relationships/hyperlink" Target="#'10 EVIDENCE &amp; DECISIONS'!A274" TargetMode="External" Id="rId277"/><Relationship Type="http://schemas.openxmlformats.org/officeDocument/2006/relationships/hyperlink" Target="#'10 EVIDENCE &amp; DECISIONS'!A275" TargetMode="External" Id="rId278"/><Relationship Type="http://schemas.openxmlformats.org/officeDocument/2006/relationships/hyperlink" Target="#'10 EVIDENCE &amp; DECISIONS'!A276" TargetMode="External" Id="rId279"/><Relationship Type="http://schemas.openxmlformats.org/officeDocument/2006/relationships/hyperlink" Target="#'10 EVIDENCE &amp; DECISIONS'!A277" TargetMode="External" Id="rId280"/><Relationship Type="http://schemas.openxmlformats.org/officeDocument/2006/relationships/hyperlink" Target="#'10 EVIDENCE &amp; DECISIONS'!A278" TargetMode="External" Id="rId281"/><Relationship Type="http://schemas.openxmlformats.org/officeDocument/2006/relationships/hyperlink" Target="#'10 EVIDENCE &amp; DECISIONS'!A279" TargetMode="External" Id="rId282"/><Relationship Type="http://schemas.openxmlformats.org/officeDocument/2006/relationships/hyperlink" Target="#'10 EVIDENCE &amp; DECISIONS'!A280" TargetMode="External" Id="rId283"/><Relationship Type="http://schemas.openxmlformats.org/officeDocument/2006/relationships/hyperlink" Target="#'10 EVIDENCE &amp; DECISIONS'!A281" TargetMode="External" Id="rId284"/><Relationship Type="http://schemas.openxmlformats.org/officeDocument/2006/relationships/hyperlink" Target="#'10 EVIDENCE &amp; DECISIONS'!A282" TargetMode="External" Id="rId285"/><Relationship Type="http://schemas.openxmlformats.org/officeDocument/2006/relationships/hyperlink" Target="#'10 EVIDENCE &amp; DECISIONS'!A283" TargetMode="External" Id="rId286"/><Relationship Type="http://schemas.openxmlformats.org/officeDocument/2006/relationships/hyperlink" Target="#'10 EVIDENCE &amp; DECISIONS'!A284" TargetMode="External" Id="rId287"/><Relationship Type="http://schemas.openxmlformats.org/officeDocument/2006/relationships/hyperlink" Target="#'10 EVIDENCE &amp; DECISIONS'!A285" TargetMode="External" Id="rId288"/><Relationship Type="http://schemas.openxmlformats.org/officeDocument/2006/relationships/hyperlink" Target="#'10 EVIDENCE &amp; DECISIONS'!A286" TargetMode="External" Id="rId289"/><Relationship Type="http://schemas.openxmlformats.org/officeDocument/2006/relationships/hyperlink" Target="#'10 EVIDENCE &amp; DECISIONS'!A287" TargetMode="External" Id="rId290"/><Relationship Type="http://schemas.openxmlformats.org/officeDocument/2006/relationships/hyperlink" Target="#'10 EVIDENCE &amp; DECISIONS'!A288" TargetMode="External" Id="rId291"/><Relationship Type="http://schemas.openxmlformats.org/officeDocument/2006/relationships/hyperlink" Target="#'10 EVIDENCE &amp; DECISIONS'!A289" TargetMode="External" Id="rId292"/><Relationship Type="http://schemas.openxmlformats.org/officeDocument/2006/relationships/hyperlink" Target="#'10 EVIDENCE &amp; DECISIONS'!A290" TargetMode="External" Id="rId293"/><Relationship Type="http://schemas.openxmlformats.org/officeDocument/2006/relationships/hyperlink" Target="#'10 EVIDENCE &amp; DECISIONS'!A291" TargetMode="External" Id="rId294"/><Relationship Type="http://schemas.openxmlformats.org/officeDocument/2006/relationships/hyperlink" Target="#'10 EVIDENCE &amp; DECISIONS'!A292" TargetMode="External" Id="rId295"/><Relationship Type="http://schemas.openxmlformats.org/officeDocument/2006/relationships/hyperlink" Target="#'10 EVIDENCE &amp; DECISIONS'!A293" TargetMode="External" Id="rId296"/><Relationship Type="http://schemas.openxmlformats.org/officeDocument/2006/relationships/hyperlink" Target="#'10 EVIDENCE &amp; DECISIONS'!A294" TargetMode="External" Id="rId297"/><Relationship Type="http://schemas.openxmlformats.org/officeDocument/2006/relationships/hyperlink" Target="#'10 EVIDENCE &amp; DECISIONS'!A295" TargetMode="External" Id="rId298"/><Relationship Type="http://schemas.openxmlformats.org/officeDocument/2006/relationships/hyperlink" Target="#'10 EVIDENCE &amp; DECISIONS'!A296" TargetMode="External" Id="rId299"/><Relationship Type="http://schemas.openxmlformats.org/officeDocument/2006/relationships/hyperlink" Target="#'10 EVIDENCE &amp; DECISIONS'!A297" TargetMode="External" Id="rId300"/><Relationship Type="http://schemas.openxmlformats.org/officeDocument/2006/relationships/hyperlink" Target="#'10 EVIDENCE &amp; DECISIONS'!A298" TargetMode="External" Id="rId301"/><Relationship Type="http://schemas.openxmlformats.org/officeDocument/2006/relationships/hyperlink" Target="#'10 EVIDENCE &amp; DECISIONS'!A299" TargetMode="External" Id="rId302"/><Relationship Type="http://schemas.openxmlformats.org/officeDocument/2006/relationships/hyperlink" Target="#'10 EVIDENCE &amp; DECISIONS'!A300" TargetMode="External" Id="rId303"/><Relationship Type="http://schemas.openxmlformats.org/officeDocument/2006/relationships/hyperlink" Target="#'10 EVIDENCE &amp; DECISIONS'!A301" TargetMode="External" Id="rId304"/><Relationship Type="http://schemas.openxmlformats.org/officeDocument/2006/relationships/hyperlink" Target="#'10 EVIDENCE &amp; DECISIONS'!A302" TargetMode="External" Id="rId305"/><Relationship Type="http://schemas.openxmlformats.org/officeDocument/2006/relationships/hyperlink" Target="#'10 EVIDENCE &amp; DECISIONS'!A303" TargetMode="External" Id="rId306"/><Relationship Type="http://schemas.openxmlformats.org/officeDocument/2006/relationships/hyperlink" Target="#'10 EVIDENCE &amp; DECISIONS'!A304" TargetMode="External" Id="rId307"/><Relationship Type="http://schemas.openxmlformats.org/officeDocument/2006/relationships/hyperlink" Target="#'10 EVIDENCE &amp; DECISIONS'!A305" TargetMode="External" Id="rId308"/><Relationship Type="http://schemas.openxmlformats.org/officeDocument/2006/relationships/hyperlink" Target="#'10 EVIDENCE &amp; DECISIONS'!A306" TargetMode="External" Id="rId309"/><Relationship Type="http://schemas.openxmlformats.org/officeDocument/2006/relationships/hyperlink" Target="#'10 EVIDENCE &amp; DECISIONS'!A307" TargetMode="External" Id="rId310"/><Relationship Type="http://schemas.openxmlformats.org/officeDocument/2006/relationships/hyperlink" Target="#'10 EVIDENCE &amp; DECISIONS'!A308" TargetMode="External" Id="rId311"/><Relationship Type="http://schemas.openxmlformats.org/officeDocument/2006/relationships/hyperlink" Target="#'10 EVIDENCE &amp; DECISIONS'!A309" TargetMode="External" Id="rId312"/><Relationship Type="http://schemas.openxmlformats.org/officeDocument/2006/relationships/hyperlink" Target="#'10 EVIDENCE &amp; DECISIONS'!A310" TargetMode="External" Id="rId313"/><Relationship Type="http://schemas.openxmlformats.org/officeDocument/2006/relationships/hyperlink" Target="#'10 EVIDENCE &amp; DECISIONS'!A311" TargetMode="External" Id="rId314"/><Relationship Type="http://schemas.openxmlformats.org/officeDocument/2006/relationships/hyperlink" Target="#'10 EVIDENCE &amp; DECISIONS'!A312" TargetMode="External" Id="rId315"/><Relationship Type="http://schemas.openxmlformats.org/officeDocument/2006/relationships/hyperlink" Target="#'10 EVIDENCE &amp; DECISIONS'!A313" TargetMode="External" Id="rId316"/><Relationship Type="http://schemas.openxmlformats.org/officeDocument/2006/relationships/hyperlink" Target="#'10 EVIDENCE &amp; DECISIONS'!A314" TargetMode="External" Id="rId317"/><Relationship Type="http://schemas.openxmlformats.org/officeDocument/2006/relationships/hyperlink" Target="#'10 EVIDENCE &amp; DECISIONS'!A315" TargetMode="External" Id="rId318"/><Relationship Type="http://schemas.openxmlformats.org/officeDocument/2006/relationships/hyperlink" Target="#'10 EVIDENCE &amp; DECISIONS'!A316" TargetMode="External" Id="rId319"/><Relationship Type="http://schemas.openxmlformats.org/officeDocument/2006/relationships/hyperlink" Target="#'10 EVIDENCE &amp; DECISIONS'!A317" TargetMode="External" Id="rId320"/><Relationship Type="http://schemas.openxmlformats.org/officeDocument/2006/relationships/hyperlink" Target="#'10 EVIDENCE &amp; DECISIONS'!A318" TargetMode="External" Id="rId321"/><Relationship Type="http://schemas.openxmlformats.org/officeDocument/2006/relationships/hyperlink" Target="#'10 EVIDENCE &amp; DECISIONS'!A319" TargetMode="External" Id="rId322"/><Relationship Type="http://schemas.openxmlformats.org/officeDocument/2006/relationships/hyperlink" Target="#'10 EVIDENCE &amp; DECISIONS'!A320" TargetMode="External" Id="rId323"/><Relationship Type="http://schemas.openxmlformats.org/officeDocument/2006/relationships/hyperlink" Target="#'10 EVIDENCE &amp; DECISIONS'!A321" TargetMode="External" Id="rId324"/><Relationship Type="http://schemas.openxmlformats.org/officeDocument/2006/relationships/hyperlink" Target="#'10 EVIDENCE &amp; DECISIONS'!A322" TargetMode="External" Id="rId325"/><Relationship Type="http://schemas.openxmlformats.org/officeDocument/2006/relationships/hyperlink" Target="#'10 EVIDENCE &amp; DECISIONS'!A323" TargetMode="External" Id="rId326"/><Relationship Type="http://schemas.openxmlformats.org/officeDocument/2006/relationships/hyperlink" Target="#'10 EVIDENCE &amp; DECISIONS'!A324" TargetMode="External" Id="rId327"/><Relationship Type="http://schemas.openxmlformats.org/officeDocument/2006/relationships/hyperlink" Target="#'10 EVIDENCE &amp; DECISIONS'!A325" TargetMode="External" Id="rId328"/><Relationship Type="http://schemas.openxmlformats.org/officeDocument/2006/relationships/hyperlink" Target="#'10 EVIDENCE &amp; DECISIONS'!A326" TargetMode="External" Id="rId329"/><Relationship Type="http://schemas.openxmlformats.org/officeDocument/2006/relationships/hyperlink" Target="#'10 EVIDENCE &amp; DECISIONS'!A327" TargetMode="External" Id="rId330"/><Relationship Type="http://schemas.openxmlformats.org/officeDocument/2006/relationships/hyperlink" Target="#'10 EVIDENCE &amp; DECISIONS'!A328" TargetMode="External" Id="rId331"/><Relationship Type="http://schemas.openxmlformats.org/officeDocument/2006/relationships/hyperlink" Target="#'10 EVIDENCE &amp; DECISIONS'!A329" TargetMode="External" Id="rId332"/><Relationship Type="http://schemas.openxmlformats.org/officeDocument/2006/relationships/hyperlink" Target="#'10 EVIDENCE &amp; DECISIONS'!A330" TargetMode="External" Id="rId333"/><Relationship Type="http://schemas.openxmlformats.org/officeDocument/2006/relationships/hyperlink" Target="#'10 EVIDENCE &amp; DECISIONS'!A331" TargetMode="External" Id="rId334"/><Relationship Type="http://schemas.openxmlformats.org/officeDocument/2006/relationships/hyperlink" Target="#'10 EVIDENCE &amp; DECISIONS'!A332" TargetMode="External" Id="rId335"/><Relationship Type="http://schemas.openxmlformats.org/officeDocument/2006/relationships/hyperlink" Target="#'10 EVIDENCE &amp; DECISIONS'!A333" TargetMode="External" Id="rId336"/><Relationship Type="http://schemas.openxmlformats.org/officeDocument/2006/relationships/hyperlink" Target="#'10 EVIDENCE &amp; DECISIONS'!A334" TargetMode="External" Id="rId337"/><Relationship Type="http://schemas.openxmlformats.org/officeDocument/2006/relationships/hyperlink" Target="#'10 EVIDENCE &amp; DECISIONS'!A335" TargetMode="External" Id="rId338"/><Relationship Type="http://schemas.openxmlformats.org/officeDocument/2006/relationships/hyperlink" Target="#'10 EVIDENCE &amp; DECISIONS'!A336" TargetMode="External" Id="rId339"/><Relationship Type="http://schemas.openxmlformats.org/officeDocument/2006/relationships/hyperlink" Target="#'10 EVIDENCE &amp; DECISIONS'!A337" TargetMode="External" Id="rId340"/><Relationship Type="http://schemas.openxmlformats.org/officeDocument/2006/relationships/hyperlink" Target="#'10 EVIDENCE &amp; DECISIONS'!A338" TargetMode="External" Id="rId341"/><Relationship Type="http://schemas.openxmlformats.org/officeDocument/2006/relationships/hyperlink" Target="#'10 EVIDENCE &amp; DECISIONS'!A339" TargetMode="External" Id="rId342"/><Relationship Type="http://schemas.openxmlformats.org/officeDocument/2006/relationships/hyperlink" Target="#'10 EVIDENCE &amp; DECISIONS'!A340" TargetMode="External" Id="rId343"/><Relationship Type="http://schemas.openxmlformats.org/officeDocument/2006/relationships/hyperlink" Target="#'10 EVIDENCE &amp; DECISIONS'!A341" TargetMode="External" Id="rId344"/><Relationship Type="http://schemas.openxmlformats.org/officeDocument/2006/relationships/hyperlink" Target="#'10 EVIDENCE &amp; DECISIONS'!A342" TargetMode="External" Id="rId345"/><Relationship Type="http://schemas.openxmlformats.org/officeDocument/2006/relationships/hyperlink" Target="#'10 EVIDENCE &amp; DECISIONS'!A343" TargetMode="External" Id="rId346"/><Relationship Type="http://schemas.openxmlformats.org/officeDocument/2006/relationships/hyperlink" Target="#'10 EVIDENCE &amp; DECISIONS'!A344" TargetMode="External" Id="rId347"/><Relationship Type="http://schemas.openxmlformats.org/officeDocument/2006/relationships/hyperlink" Target="#'10 EVIDENCE &amp; DECISIONS'!A345" TargetMode="External" Id="rId348"/><Relationship Type="http://schemas.openxmlformats.org/officeDocument/2006/relationships/hyperlink" Target="#'10 EVIDENCE &amp; DECISIONS'!A346" TargetMode="External" Id="rId349"/><Relationship Type="http://schemas.openxmlformats.org/officeDocument/2006/relationships/hyperlink" Target="#'10 EVIDENCE &amp; DECISIONS'!A347" TargetMode="External" Id="rId350"/><Relationship Type="http://schemas.openxmlformats.org/officeDocument/2006/relationships/hyperlink" Target="#'10 EVIDENCE &amp; DECISIONS'!A348" TargetMode="External" Id="rId351"/><Relationship Type="http://schemas.openxmlformats.org/officeDocument/2006/relationships/hyperlink" Target="#'10 EVIDENCE &amp; DECISIONS'!A349" TargetMode="External" Id="rId352"/><Relationship Type="http://schemas.openxmlformats.org/officeDocument/2006/relationships/hyperlink" Target="#'10 EVIDENCE &amp; DECISIONS'!A350" TargetMode="External" Id="rId353"/><Relationship Type="http://schemas.openxmlformats.org/officeDocument/2006/relationships/hyperlink" Target="#'10 EVIDENCE &amp; DECISIONS'!A351" TargetMode="External" Id="rId354"/><Relationship Type="http://schemas.openxmlformats.org/officeDocument/2006/relationships/hyperlink" Target="#'10 EVIDENCE &amp; DECISIONS'!A352" TargetMode="External" Id="rId355"/><Relationship Type="http://schemas.openxmlformats.org/officeDocument/2006/relationships/hyperlink" Target="#'10 EVIDENCE &amp; DECISIONS'!A353" TargetMode="External" Id="rId356"/><Relationship Type="http://schemas.openxmlformats.org/officeDocument/2006/relationships/hyperlink" Target="#'10 EVIDENCE &amp; DECISIONS'!A354" TargetMode="External" Id="rId357"/><Relationship Type="http://schemas.openxmlformats.org/officeDocument/2006/relationships/hyperlink" Target="#'10 EVIDENCE &amp; DECISIONS'!A355" TargetMode="External" Id="rId358"/><Relationship Type="http://schemas.openxmlformats.org/officeDocument/2006/relationships/hyperlink" Target="#'10 EVIDENCE &amp; DECISIONS'!A356" TargetMode="External" Id="rId359"/><Relationship Type="http://schemas.openxmlformats.org/officeDocument/2006/relationships/hyperlink" Target="#'10 EVIDENCE &amp; DECISIONS'!A357" TargetMode="External" Id="rId360"/><Relationship Type="http://schemas.openxmlformats.org/officeDocument/2006/relationships/hyperlink" Target="#'10 EVIDENCE &amp; DECISIONS'!A358" TargetMode="External" Id="rId361"/><Relationship Type="http://schemas.openxmlformats.org/officeDocument/2006/relationships/hyperlink" Target="#'10 EVIDENCE &amp; DECISIONS'!A359" TargetMode="External" Id="rId362"/><Relationship Type="http://schemas.openxmlformats.org/officeDocument/2006/relationships/hyperlink" Target="#'10 EVIDENCE &amp; DECISIONS'!A360" TargetMode="External" Id="rId363"/><Relationship Type="http://schemas.openxmlformats.org/officeDocument/2006/relationships/hyperlink" Target="#'10 EVIDENCE &amp; DECISIONS'!A361" TargetMode="External" Id="rId364"/><Relationship Type="http://schemas.openxmlformats.org/officeDocument/2006/relationships/hyperlink" Target="#'10 EVIDENCE &amp; DECISIONS'!A362" TargetMode="External" Id="rId365"/><Relationship Type="http://schemas.openxmlformats.org/officeDocument/2006/relationships/hyperlink" Target="#'10 EVIDENCE &amp; DECISIONS'!A363" TargetMode="External" Id="rId366"/><Relationship Type="http://schemas.openxmlformats.org/officeDocument/2006/relationships/hyperlink" Target="#'10 EVIDENCE &amp; DECISIONS'!A364" TargetMode="External" Id="rId367"/><Relationship Type="http://schemas.openxmlformats.org/officeDocument/2006/relationships/hyperlink" Target="#'10 EVIDENCE &amp; DECISIONS'!A365" TargetMode="External" Id="rId368"/><Relationship Type="http://schemas.openxmlformats.org/officeDocument/2006/relationships/hyperlink" Target="#'10 EVIDENCE &amp; DECISIONS'!A366" TargetMode="External" Id="rId369"/><Relationship Type="http://schemas.openxmlformats.org/officeDocument/2006/relationships/hyperlink" Target="#'10 EVIDENCE &amp; DECISIONS'!A367" TargetMode="External" Id="rId370"/><Relationship Type="http://schemas.openxmlformats.org/officeDocument/2006/relationships/hyperlink" Target="#'10 EVIDENCE &amp; DECISIONS'!A368" TargetMode="External" Id="rId371"/><Relationship Type="http://schemas.openxmlformats.org/officeDocument/2006/relationships/hyperlink" Target="#'10 EVIDENCE &amp; DECISIONS'!A369" TargetMode="External" Id="rId372"/><Relationship Type="http://schemas.openxmlformats.org/officeDocument/2006/relationships/hyperlink" Target="#'10 EVIDENCE &amp; DECISIONS'!A370" TargetMode="External" Id="rId373"/><Relationship Type="http://schemas.openxmlformats.org/officeDocument/2006/relationships/hyperlink" Target="#'10 EVIDENCE &amp; DECISIONS'!A371" TargetMode="External" Id="rId374"/><Relationship Type="http://schemas.openxmlformats.org/officeDocument/2006/relationships/hyperlink" Target="#'10 EVIDENCE &amp; DECISIONS'!A372" TargetMode="External" Id="rId375"/><Relationship Type="http://schemas.openxmlformats.org/officeDocument/2006/relationships/hyperlink" Target="#'10 EVIDENCE &amp; DECISIONS'!A373" TargetMode="External" Id="rId376"/><Relationship Type="http://schemas.openxmlformats.org/officeDocument/2006/relationships/hyperlink" Target="#'10 EVIDENCE &amp; DECISIONS'!A374" TargetMode="External" Id="rId377"/><Relationship Type="http://schemas.openxmlformats.org/officeDocument/2006/relationships/hyperlink" Target="#'10 EVIDENCE &amp; DECISIONS'!A375" TargetMode="External" Id="rId378"/><Relationship Type="http://schemas.openxmlformats.org/officeDocument/2006/relationships/hyperlink" Target="#'10 EVIDENCE &amp; DECISIONS'!A376" TargetMode="External" Id="rId379"/><Relationship Type="http://schemas.openxmlformats.org/officeDocument/2006/relationships/hyperlink" Target="#'10 EVIDENCE &amp; DECISIONS'!A377" TargetMode="External" Id="rId380"/><Relationship Type="http://schemas.openxmlformats.org/officeDocument/2006/relationships/hyperlink" Target="#'10 EVIDENCE &amp; DECISIONS'!A378" TargetMode="External" Id="rId381"/><Relationship Type="http://schemas.openxmlformats.org/officeDocument/2006/relationships/hyperlink" Target="#'10 EVIDENCE &amp; DECISIONS'!A379" TargetMode="External" Id="rId382"/><Relationship Type="http://schemas.openxmlformats.org/officeDocument/2006/relationships/hyperlink" Target="#'10 EVIDENCE &amp; DECISIONS'!A380" TargetMode="External" Id="rId383"/><Relationship Type="http://schemas.openxmlformats.org/officeDocument/2006/relationships/hyperlink" Target="#'10 EVIDENCE &amp; DECISIONS'!A381" TargetMode="External" Id="rId384"/><Relationship Type="http://schemas.openxmlformats.org/officeDocument/2006/relationships/hyperlink" Target="#'10 EVIDENCE &amp; DECISIONS'!A382" TargetMode="External" Id="rId385"/><Relationship Type="http://schemas.openxmlformats.org/officeDocument/2006/relationships/hyperlink" Target="#'10 EVIDENCE &amp; DECISIONS'!A383" TargetMode="External" Id="rId386"/><Relationship Type="http://schemas.openxmlformats.org/officeDocument/2006/relationships/hyperlink" Target="#'10 EVIDENCE &amp; DECISIONS'!A384" TargetMode="External" Id="rId387"/><Relationship Type="http://schemas.openxmlformats.org/officeDocument/2006/relationships/hyperlink" Target="#'10 EVIDENCE &amp; DECISIONS'!A385" TargetMode="External" Id="rId388"/><Relationship Type="http://schemas.openxmlformats.org/officeDocument/2006/relationships/hyperlink" Target="#'10 EVIDENCE &amp; DECISIONS'!A386" TargetMode="External" Id="rId389"/><Relationship Type="http://schemas.openxmlformats.org/officeDocument/2006/relationships/hyperlink" Target="#'10 EVIDENCE &amp; DECISIONS'!A387" TargetMode="External" Id="rId390"/><Relationship Type="http://schemas.openxmlformats.org/officeDocument/2006/relationships/hyperlink" Target="#'10 EVIDENCE &amp; DECISIONS'!A388" TargetMode="External" Id="rId391"/><Relationship Type="http://schemas.openxmlformats.org/officeDocument/2006/relationships/hyperlink" Target="#'10 EVIDENCE &amp; DECISIONS'!A389" TargetMode="External" Id="rId392"/><Relationship Type="http://schemas.openxmlformats.org/officeDocument/2006/relationships/hyperlink" Target="#'10 EVIDENCE &amp; DECISIONS'!A390" TargetMode="External" Id="rId393"/><Relationship Type="http://schemas.openxmlformats.org/officeDocument/2006/relationships/hyperlink" Target="#'10 EVIDENCE &amp; DECISIONS'!A391" TargetMode="External" Id="rId394"/><Relationship Type="http://schemas.openxmlformats.org/officeDocument/2006/relationships/hyperlink" Target="#'10 EVIDENCE &amp; DECISIONS'!A392" TargetMode="External" Id="rId395"/><Relationship Type="http://schemas.openxmlformats.org/officeDocument/2006/relationships/hyperlink" Target="#'10 EVIDENCE &amp; DECISIONS'!A393" TargetMode="External" Id="rId396"/><Relationship Type="http://schemas.openxmlformats.org/officeDocument/2006/relationships/hyperlink" Target="#'10 EVIDENCE &amp; DECISIONS'!A394" TargetMode="External" Id="rId397"/><Relationship Type="http://schemas.openxmlformats.org/officeDocument/2006/relationships/hyperlink" Target="#'10 EVIDENCE &amp; DECISIONS'!A395" TargetMode="External" Id="rId398"/><Relationship Type="http://schemas.openxmlformats.org/officeDocument/2006/relationships/hyperlink" Target="#'10 EVIDENCE &amp; DECISIONS'!A396" TargetMode="External" Id="rId399"/><Relationship Type="http://schemas.openxmlformats.org/officeDocument/2006/relationships/hyperlink" Target="#'10 EVIDENCE &amp; DECISIONS'!A397" TargetMode="External" Id="rId400"/><Relationship Type="http://schemas.openxmlformats.org/officeDocument/2006/relationships/hyperlink" Target="#'10 EVIDENCE &amp; DECISIONS'!A398" TargetMode="External" Id="rId401"/><Relationship Type="http://schemas.openxmlformats.org/officeDocument/2006/relationships/hyperlink" Target="#'10 EVIDENCE &amp; DECISIONS'!A399" TargetMode="External" Id="rId402"/><Relationship Type="http://schemas.openxmlformats.org/officeDocument/2006/relationships/hyperlink" Target="#'10 EVIDENCE &amp; DECISIONS'!A400" TargetMode="External" Id="rId403"/><Relationship Type="http://schemas.openxmlformats.org/officeDocument/2006/relationships/hyperlink" Target="#'10 EVIDENCE &amp; DECISIONS'!A401" TargetMode="External" Id="rId404"/><Relationship Type="http://schemas.openxmlformats.org/officeDocument/2006/relationships/hyperlink" Target="#'10 EVIDENCE &amp; DECISIONS'!A402" TargetMode="External" Id="rId405"/><Relationship Type="http://schemas.openxmlformats.org/officeDocument/2006/relationships/hyperlink" Target="#'10 EVIDENCE &amp; DECISIONS'!A403" TargetMode="External" Id="rId406"/><Relationship Type="http://schemas.openxmlformats.org/officeDocument/2006/relationships/hyperlink" Target="#'10 EVIDENCE &amp; DECISIONS'!A404" TargetMode="External" Id="rId407"/><Relationship Type="http://schemas.openxmlformats.org/officeDocument/2006/relationships/hyperlink" Target="#'10 EVIDENCE &amp; DECISIONS'!A405" TargetMode="External" Id="rId408"/><Relationship Type="http://schemas.openxmlformats.org/officeDocument/2006/relationships/hyperlink" Target="#'10 EVIDENCE &amp; DECISIONS'!A406" TargetMode="External" Id="rId409"/><Relationship Type="http://schemas.openxmlformats.org/officeDocument/2006/relationships/hyperlink" Target="#'10 EVIDENCE &amp; DECISIONS'!A407" TargetMode="External" Id="rId410"/><Relationship Type="http://schemas.openxmlformats.org/officeDocument/2006/relationships/hyperlink" Target="#'10 EVIDENCE &amp; DECISIONS'!A408" TargetMode="External" Id="rId411"/><Relationship Type="http://schemas.openxmlformats.org/officeDocument/2006/relationships/hyperlink" Target="#'10 EVIDENCE &amp; DECISIONS'!A409" TargetMode="External" Id="rId412"/><Relationship Type="http://schemas.openxmlformats.org/officeDocument/2006/relationships/hyperlink" Target="#'10 EVIDENCE &amp; DECISIONS'!A410" TargetMode="External" Id="rId413"/><Relationship Type="http://schemas.openxmlformats.org/officeDocument/2006/relationships/hyperlink" Target="#'10 EVIDENCE &amp; DECISIONS'!A411" TargetMode="External" Id="rId414"/><Relationship Type="http://schemas.openxmlformats.org/officeDocument/2006/relationships/hyperlink" Target="#'10 EVIDENCE &amp; DECISIONS'!A412" TargetMode="External" Id="rId415"/><Relationship Type="http://schemas.openxmlformats.org/officeDocument/2006/relationships/hyperlink" Target="#'10 EVIDENCE &amp; DECISIONS'!A413" TargetMode="External" Id="rId416"/><Relationship Type="http://schemas.openxmlformats.org/officeDocument/2006/relationships/hyperlink" Target="#'10 EVIDENCE &amp; DECISIONS'!A414" TargetMode="External" Id="rId417"/><Relationship Type="http://schemas.openxmlformats.org/officeDocument/2006/relationships/hyperlink" Target="#'10 EVIDENCE &amp; DECISIONS'!A415" TargetMode="External" Id="rId418"/><Relationship Type="http://schemas.openxmlformats.org/officeDocument/2006/relationships/hyperlink" Target="#'10 EVIDENCE &amp; DECISIONS'!A416" TargetMode="External" Id="rId419"/><Relationship Type="http://schemas.openxmlformats.org/officeDocument/2006/relationships/hyperlink" Target="#'10 EVIDENCE &amp; DECISIONS'!A417" TargetMode="External" Id="rId420"/><Relationship Type="http://schemas.openxmlformats.org/officeDocument/2006/relationships/hyperlink" Target="#'10 EVIDENCE &amp; DECISIONS'!A418" TargetMode="External" Id="rId421"/><Relationship Type="http://schemas.openxmlformats.org/officeDocument/2006/relationships/hyperlink" Target="#'10 EVIDENCE &amp; DECISIONS'!A419" TargetMode="External" Id="rId422"/><Relationship Type="http://schemas.openxmlformats.org/officeDocument/2006/relationships/hyperlink" Target="#'10 EVIDENCE &amp; DECISIONS'!A420" TargetMode="External" Id="rId423"/><Relationship Type="http://schemas.openxmlformats.org/officeDocument/2006/relationships/hyperlink" Target="#'10 EVIDENCE &amp; DECISIONS'!A421" TargetMode="External" Id="rId424"/><Relationship Type="http://schemas.openxmlformats.org/officeDocument/2006/relationships/hyperlink" Target="#'10 EVIDENCE &amp; DECISIONS'!A422" TargetMode="External" Id="rId425"/><Relationship Type="http://schemas.openxmlformats.org/officeDocument/2006/relationships/hyperlink" Target="#'10 EVIDENCE &amp; DECISIONS'!A423" TargetMode="External" Id="rId426"/><Relationship Type="http://schemas.openxmlformats.org/officeDocument/2006/relationships/hyperlink" Target="#'10 EVIDENCE &amp; DECISIONS'!A424" TargetMode="External" Id="rId427"/><Relationship Type="http://schemas.openxmlformats.org/officeDocument/2006/relationships/hyperlink" Target="#'10 EVIDENCE &amp; DECISIONS'!A425" TargetMode="External" Id="rId428"/><Relationship Type="http://schemas.openxmlformats.org/officeDocument/2006/relationships/hyperlink" Target="#'10 EVIDENCE &amp; DECISIONS'!A426" TargetMode="External" Id="rId429"/><Relationship Type="http://schemas.openxmlformats.org/officeDocument/2006/relationships/hyperlink" Target="#'10 EVIDENCE &amp; DECISIONS'!A427" TargetMode="External" Id="rId430"/><Relationship Type="http://schemas.openxmlformats.org/officeDocument/2006/relationships/hyperlink" Target="#'10 EVIDENCE &amp; DECISIONS'!A428" TargetMode="External" Id="rId431"/><Relationship Type="http://schemas.openxmlformats.org/officeDocument/2006/relationships/hyperlink" Target="#'10 EVIDENCE &amp; DECISIONS'!A429" TargetMode="External" Id="rId432"/><Relationship Type="http://schemas.openxmlformats.org/officeDocument/2006/relationships/hyperlink" Target="#'10 EVIDENCE &amp; DECISIONS'!A430" TargetMode="External" Id="rId433"/><Relationship Type="http://schemas.openxmlformats.org/officeDocument/2006/relationships/hyperlink" Target="#'10 EVIDENCE &amp; DECISIONS'!A431" TargetMode="External" Id="rId434"/><Relationship Type="http://schemas.openxmlformats.org/officeDocument/2006/relationships/hyperlink" Target="#'10 EVIDENCE &amp; DECISIONS'!A432" TargetMode="External" Id="rId435"/><Relationship Type="http://schemas.openxmlformats.org/officeDocument/2006/relationships/hyperlink" Target="#'10 EVIDENCE &amp; DECISIONS'!A433" TargetMode="External" Id="rId436"/><Relationship Type="http://schemas.openxmlformats.org/officeDocument/2006/relationships/hyperlink" Target="#'10 EVIDENCE &amp; DECISIONS'!A434" TargetMode="External" Id="rId437"/><Relationship Type="http://schemas.openxmlformats.org/officeDocument/2006/relationships/hyperlink" Target="#'10 EVIDENCE &amp; DECISIONS'!A435" TargetMode="External" Id="rId438"/><Relationship Type="http://schemas.openxmlformats.org/officeDocument/2006/relationships/hyperlink" Target="#'10 EVIDENCE &amp; DECISIONS'!A436" TargetMode="External" Id="rId439"/><Relationship Type="http://schemas.openxmlformats.org/officeDocument/2006/relationships/hyperlink" Target="#'10 EVIDENCE &amp; DECISIONS'!A437" TargetMode="External" Id="rId440"/><Relationship Type="http://schemas.openxmlformats.org/officeDocument/2006/relationships/hyperlink" Target="#'10 EVIDENCE &amp; DECISIONS'!A438" TargetMode="External" Id="rId441"/><Relationship Type="http://schemas.openxmlformats.org/officeDocument/2006/relationships/hyperlink" Target="#'10 EVIDENCE &amp; DECISIONS'!A439" TargetMode="External" Id="rId442"/><Relationship Type="http://schemas.openxmlformats.org/officeDocument/2006/relationships/hyperlink" Target="#'10 EVIDENCE &amp; DECISIONS'!A440" TargetMode="External" Id="rId443"/><Relationship Type="http://schemas.openxmlformats.org/officeDocument/2006/relationships/hyperlink" Target="#'10 EVIDENCE &amp; DECISIONS'!A441" TargetMode="External" Id="rId444"/><Relationship Type="http://schemas.openxmlformats.org/officeDocument/2006/relationships/hyperlink" Target="#'10 EVIDENCE &amp; DECISIONS'!A442" TargetMode="External" Id="rId445"/><Relationship Type="http://schemas.openxmlformats.org/officeDocument/2006/relationships/hyperlink" Target="#'10 EVIDENCE &amp; DECISIONS'!A443" TargetMode="External" Id="rId446"/><Relationship Type="http://schemas.openxmlformats.org/officeDocument/2006/relationships/hyperlink" Target="#'10 EVIDENCE &amp; DECISIONS'!A444" TargetMode="External" Id="rId447"/><Relationship Type="http://schemas.openxmlformats.org/officeDocument/2006/relationships/hyperlink" Target="#'10 EVIDENCE &amp; DECISIONS'!A445" TargetMode="External" Id="rId448"/><Relationship Type="http://schemas.openxmlformats.org/officeDocument/2006/relationships/hyperlink" Target="#'10 EVIDENCE &amp; DECISIONS'!A446" TargetMode="External" Id="rId449"/><Relationship Type="http://schemas.openxmlformats.org/officeDocument/2006/relationships/hyperlink" Target="#'10 EVIDENCE &amp; DECISIONS'!A447" TargetMode="External" Id="rId450"/><Relationship Type="http://schemas.openxmlformats.org/officeDocument/2006/relationships/hyperlink" Target="#'10 EVIDENCE &amp; DECISIONS'!A448" TargetMode="External" Id="rId451"/><Relationship Type="http://schemas.openxmlformats.org/officeDocument/2006/relationships/hyperlink" Target="#'10 EVIDENCE &amp; DECISIONS'!A449" TargetMode="External" Id="rId452"/><Relationship Type="http://schemas.openxmlformats.org/officeDocument/2006/relationships/hyperlink" Target="#'10 EVIDENCE &amp; DECISIONS'!A450" TargetMode="External" Id="rId453"/><Relationship Type="http://schemas.openxmlformats.org/officeDocument/2006/relationships/hyperlink" Target="#'10 EVIDENCE &amp; DECISIONS'!A451" TargetMode="External" Id="rId454"/><Relationship Type="http://schemas.openxmlformats.org/officeDocument/2006/relationships/hyperlink" Target="#'10 EVIDENCE &amp; DECISIONS'!A452" TargetMode="External" Id="rId455"/><Relationship Type="http://schemas.openxmlformats.org/officeDocument/2006/relationships/hyperlink" Target="#'10 EVIDENCE &amp; DECISIONS'!A453" TargetMode="External" Id="rId456"/><Relationship Type="http://schemas.openxmlformats.org/officeDocument/2006/relationships/hyperlink" Target="#'10 EVIDENCE &amp; DECISIONS'!A454" TargetMode="External" Id="rId457"/><Relationship Type="http://schemas.openxmlformats.org/officeDocument/2006/relationships/hyperlink" Target="#'10 EVIDENCE &amp; DECISIONS'!A455" TargetMode="External" Id="rId458"/><Relationship Type="http://schemas.openxmlformats.org/officeDocument/2006/relationships/hyperlink" Target="#'10 EVIDENCE &amp; DECISIONS'!A456" TargetMode="External" Id="rId459"/><Relationship Type="http://schemas.openxmlformats.org/officeDocument/2006/relationships/hyperlink" Target="#'10 EVIDENCE &amp; DECISIONS'!A457" TargetMode="External" Id="rId460"/><Relationship Type="http://schemas.openxmlformats.org/officeDocument/2006/relationships/hyperlink" Target="#'10 EVIDENCE &amp; DECISIONS'!A458" TargetMode="External" Id="rId461"/><Relationship Type="http://schemas.openxmlformats.org/officeDocument/2006/relationships/hyperlink" Target="#'10 EVIDENCE &amp; DECISIONS'!A459" TargetMode="External" Id="rId462"/><Relationship Type="http://schemas.openxmlformats.org/officeDocument/2006/relationships/hyperlink" Target="#'10 EVIDENCE &amp; DECISIONS'!A460" TargetMode="External" Id="rId463"/><Relationship Type="http://schemas.openxmlformats.org/officeDocument/2006/relationships/hyperlink" Target="#'10 EVIDENCE &amp; DECISIONS'!A461" TargetMode="External" Id="rId464"/><Relationship Type="http://schemas.openxmlformats.org/officeDocument/2006/relationships/hyperlink" Target="#'10 EVIDENCE &amp; DECISIONS'!A462" TargetMode="External" Id="rId465"/><Relationship Type="http://schemas.openxmlformats.org/officeDocument/2006/relationships/hyperlink" Target="#'10 EVIDENCE &amp; DECISIONS'!A463" TargetMode="External" Id="rId466"/><Relationship Type="http://schemas.openxmlformats.org/officeDocument/2006/relationships/hyperlink" Target="#'10 EVIDENCE &amp; DECISIONS'!A464" TargetMode="External" Id="rId467"/><Relationship Type="http://schemas.openxmlformats.org/officeDocument/2006/relationships/hyperlink" Target="#'10 EVIDENCE &amp; DECISIONS'!A465" TargetMode="External" Id="rId468"/><Relationship Type="http://schemas.openxmlformats.org/officeDocument/2006/relationships/hyperlink" Target="#'10 EVIDENCE &amp; DECISIONS'!A466" TargetMode="External" Id="rId469"/><Relationship Type="http://schemas.openxmlformats.org/officeDocument/2006/relationships/hyperlink" Target="#'10 EVIDENCE &amp; DECISIONS'!A467" TargetMode="External" Id="rId470"/><Relationship Type="http://schemas.openxmlformats.org/officeDocument/2006/relationships/hyperlink" Target="#'10 EVIDENCE &amp; DECISIONS'!A468" TargetMode="External" Id="rId471"/><Relationship Type="http://schemas.openxmlformats.org/officeDocument/2006/relationships/hyperlink" Target="#'10 EVIDENCE &amp; DECISIONS'!A469" TargetMode="External" Id="rId472"/><Relationship Type="http://schemas.openxmlformats.org/officeDocument/2006/relationships/hyperlink" Target="#'10 EVIDENCE &amp; DECISIONS'!A470" TargetMode="External" Id="rId473"/><Relationship Type="http://schemas.openxmlformats.org/officeDocument/2006/relationships/hyperlink" Target="#'10 EVIDENCE &amp; DECISIONS'!A471" TargetMode="External" Id="rId474"/><Relationship Type="http://schemas.openxmlformats.org/officeDocument/2006/relationships/hyperlink" Target="#'10 EVIDENCE &amp; DECISIONS'!A472" TargetMode="External" Id="rId475"/><Relationship Type="http://schemas.openxmlformats.org/officeDocument/2006/relationships/hyperlink" Target="#'10 EVIDENCE &amp; DECISIONS'!A473" TargetMode="External" Id="rId476"/><Relationship Type="http://schemas.openxmlformats.org/officeDocument/2006/relationships/hyperlink" Target="#'10 EVIDENCE &amp; DECISIONS'!A474" TargetMode="External" Id="rId477"/><Relationship Type="http://schemas.openxmlformats.org/officeDocument/2006/relationships/hyperlink" Target="#'10 EVIDENCE &amp; DECISIONS'!A475" TargetMode="External" Id="rId478"/><Relationship Type="http://schemas.openxmlformats.org/officeDocument/2006/relationships/hyperlink" Target="#'10 EVIDENCE &amp; DECISIONS'!A476" TargetMode="External" Id="rId479"/><Relationship Type="http://schemas.openxmlformats.org/officeDocument/2006/relationships/hyperlink" Target="#'10 EVIDENCE &amp; DECISIONS'!A477" TargetMode="External" Id="rId480"/><Relationship Type="http://schemas.openxmlformats.org/officeDocument/2006/relationships/hyperlink" Target="#'10 EVIDENCE &amp; DECISIONS'!A478" TargetMode="External" Id="rId481"/><Relationship Type="http://schemas.openxmlformats.org/officeDocument/2006/relationships/hyperlink" Target="#'10 EVIDENCE &amp; DECISIONS'!A479" TargetMode="External" Id="rId482"/><Relationship Type="http://schemas.openxmlformats.org/officeDocument/2006/relationships/hyperlink" Target="#'10 EVIDENCE &amp; DECISIONS'!A480" TargetMode="External" Id="rId483"/><Relationship Type="http://schemas.openxmlformats.org/officeDocument/2006/relationships/hyperlink" Target="#'10 EVIDENCE &amp; DECISIONS'!A481" TargetMode="External" Id="rId484"/><Relationship Type="http://schemas.openxmlformats.org/officeDocument/2006/relationships/hyperlink" Target="#'10 EVIDENCE &amp; DECISIONS'!A482" TargetMode="External" Id="rId485"/><Relationship Type="http://schemas.openxmlformats.org/officeDocument/2006/relationships/hyperlink" Target="#'10 EVIDENCE &amp; DECISIONS'!A483" TargetMode="External" Id="rId486"/><Relationship Type="http://schemas.openxmlformats.org/officeDocument/2006/relationships/hyperlink" Target="#'10 EVIDENCE &amp; DECISIONS'!A484" TargetMode="External" Id="rId487"/><Relationship Type="http://schemas.openxmlformats.org/officeDocument/2006/relationships/hyperlink" Target="#'10 EVIDENCE &amp; DECISIONS'!A485" TargetMode="External" Id="rId488"/><Relationship Type="http://schemas.openxmlformats.org/officeDocument/2006/relationships/hyperlink" Target="#'10 EVIDENCE &amp; DECISIONS'!A486" TargetMode="External" Id="rId489"/><Relationship Type="http://schemas.openxmlformats.org/officeDocument/2006/relationships/hyperlink" Target="#'10 EVIDENCE &amp; DECISIONS'!A487" TargetMode="External" Id="rId490"/><Relationship Type="http://schemas.openxmlformats.org/officeDocument/2006/relationships/hyperlink" Target="#'10 EVIDENCE &amp; DECISIONS'!A488" TargetMode="External" Id="rId491"/><Relationship Type="http://schemas.openxmlformats.org/officeDocument/2006/relationships/hyperlink" Target="#'10 EVIDENCE &amp; DECISIONS'!A489" TargetMode="External" Id="rId492"/><Relationship Type="http://schemas.openxmlformats.org/officeDocument/2006/relationships/hyperlink" Target="#'10 EVIDENCE &amp; DECISIONS'!A490" TargetMode="External" Id="rId493"/><Relationship Type="http://schemas.openxmlformats.org/officeDocument/2006/relationships/hyperlink" Target="#'10 EVIDENCE &amp; DECISIONS'!A491" TargetMode="External" Id="rId494"/><Relationship Type="http://schemas.openxmlformats.org/officeDocument/2006/relationships/hyperlink" Target="#'10 EVIDENCE &amp; DECISIONS'!A492" TargetMode="External" Id="rId495"/><Relationship Type="http://schemas.openxmlformats.org/officeDocument/2006/relationships/hyperlink" Target="#'10 EVIDENCE &amp; DECISIONS'!A493" TargetMode="External" Id="rId496"/><Relationship Type="http://schemas.openxmlformats.org/officeDocument/2006/relationships/hyperlink" Target="#'10 EVIDENCE &amp; DECISIONS'!A494" TargetMode="External" Id="rId497"/><Relationship Type="http://schemas.openxmlformats.org/officeDocument/2006/relationships/hyperlink" Target="#'10 EVIDENCE &amp; DECISIONS'!A495" TargetMode="External" Id="rId498"/><Relationship Type="http://schemas.openxmlformats.org/officeDocument/2006/relationships/hyperlink" Target="#'10 EVIDENCE &amp; DECISIONS'!A496" TargetMode="External" Id="rId499"/><Relationship Type="http://schemas.openxmlformats.org/officeDocument/2006/relationships/hyperlink" Target="#'10 EVIDENCE &amp; DECISIONS'!A497" TargetMode="External" Id="rId500"/><Relationship Type="http://schemas.openxmlformats.org/officeDocument/2006/relationships/hyperlink" Target="#'10 EVIDENCE &amp; DECISIONS'!A498" TargetMode="External" Id="rId501"/><Relationship Type="http://schemas.openxmlformats.org/officeDocument/2006/relationships/hyperlink" Target="#'10 EVIDENCE &amp; DECISIONS'!A499" TargetMode="External" Id="rId502"/><Relationship Type="http://schemas.openxmlformats.org/officeDocument/2006/relationships/hyperlink" Target="#'10 EVIDENCE &amp; DECISIONS'!A500" TargetMode="External" Id="rId503"/><Relationship Type="http://schemas.openxmlformats.org/officeDocument/2006/relationships/hyperlink" Target="#'10 EVIDENCE &amp; DECISIONS'!A501" TargetMode="External" Id="rId504"/><Relationship Type="http://schemas.openxmlformats.org/officeDocument/2006/relationships/hyperlink" Target="#'10 EVIDENCE &amp; DECISIONS'!A502" TargetMode="External" Id="rId505"/><Relationship Type="http://schemas.openxmlformats.org/officeDocument/2006/relationships/hyperlink" Target="#'10 EVIDENCE &amp; DECISIONS'!A503" TargetMode="External" Id="rId506"/><Relationship Type="http://schemas.openxmlformats.org/officeDocument/2006/relationships/hyperlink" Target="#'10 EVIDENCE &amp; DECISIONS'!A504" TargetMode="External" Id="rId507"/><Relationship Type="http://schemas.openxmlformats.org/officeDocument/2006/relationships/hyperlink" Target="#'10 EVIDENCE &amp; DECISIONS'!A505" TargetMode="External" Id="rId508"/><Relationship Type="http://schemas.openxmlformats.org/officeDocument/2006/relationships/hyperlink" Target="#'10 EVIDENCE &amp; DECISIONS'!A506" TargetMode="External" Id="rId509"/><Relationship Type="http://schemas.openxmlformats.org/officeDocument/2006/relationships/hyperlink" Target="#'10 EVIDENCE &amp; DECISIONS'!A507" TargetMode="External" Id="rId510"/><Relationship Type="http://schemas.openxmlformats.org/officeDocument/2006/relationships/hyperlink" Target="#'10 EVIDENCE &amp; DECISIONS'!A508" TargetMode="External" Id="rId511"/><Relationship Type="http://schemas.openxmlformats.org/officeDocument/2006/relationships/hyperlink" Target="#'10 EVIDENCE &amp; DECISIONS'!A509" TargetMode="External" Id="rId512"/><Relationship Type="http://schemas.openxmlformats.org/officeDocument/2006/relationships/hyperlink" Target="#'10 EVIDENCE &amp; DECISIONS'!A510" TargetMode="External" Id="rId513"/><Relationship Type="http://schemas.openxmlformats.org/officeDocument/2006/relationships/hyperlink" Target="#'10 EVIDENCE &amp; DECISIONS'!A511" TargetMode="External" Id="rId514"/><Relationship Type="http://schemas.openxmlformats.org/officeDocument/2006/relationships/hyperlink" Target="#'10 EVIDENCE &amp; DECISIONS'!A512" TargetMode="External" Id="rId515"/><Relationship Type="http://schemas.openxmlformats.org/officeDocument/2006/relationships/hyperlink" Target="#'10 EVIDENCE &amp; DECISIONS'!A513" TargetMode="External" Id="rId516"/><Relationship Type="http://schemas.openxmlformats.org/officeDocument/2006/relationships/hyperlink" Target="#'10 EVIDENCE &amp; DECISIONS'!A514" TargetMode="External" Id="rId517"/><Relationship Type="http://schemas.openxmlformats.org/officeDocument/2006/relationships/hyperlink" Target="#'10 EVIDENCE &amp; DECISIONS'!A515" TargetMode="External" Id="rId518"/><Relationship Type="http://schemas.openxmlformats.org/officeDocument/2006/relationships/hyperlink" Target="#'10 EVIDENCE &amp; DECISIONS'!A516" TargetMode="External" Id="rId519"/><Relationship Type="http://schemas.openxmlformats.org/officeDocument/2006/relationships/hyperlink" Target="#'10 EVIDENCE &amp; DECISIONS'!A517" TargetMode="External" Id="rId520"/><Relationship Type="http://schemas.openxmlformats.org/officeDocument/2006/relationships/hyperlink" Target="#'10 EVIDENCE &amp; DECISIONS'!A518" TargetMode="External" Id="rId521"/><Relationship Type="http://schemas.openxmlformats.org/officeDocument/2006/relationships/hyperlink" Target="#'10 EVIDENCE &amp; DECISIONS'!A519" TargetMode="External" Id="rId522"/><Relationship Type="http://schemas.openxmlformats.org/officeDocument/2006/relationships/hyperlink" Target="#'10 EVIDENCE &amp; DECISIONS'!A520" TargetMode="External" Id="rId523"/><Relationship Type="http://schemas.openxmlformats.org/officeDocument/2006/relationships/hyperlink" Target="#'10 EVIDENCE &amp; DECISIONS'!A521" TargetMode="External" Id="rId524"/><Relationship Type="http://schemas.openxmlformats.org/officeDocument/2006/relationships/hyperlink" Target="#'10 EVIDENCE &amp; DECISIONS'!A522" TargetMode="External" Id="rId525"/><Relationship Type="http://schemas.openxmlformats.org/officeDocument/2006/relationships/hyperlink" Target="#'10 EVIDENCE &amp; DECISIONS'!A523" TargetMode="External" Id="rId526"/><Relationship Type="http://schemas.openxmlformats.org/officeDocument/2006/relationships/hyperlink" Target="#'10 EVIDENCE &amp; DECISIONS'!A524" TargetMode="External" Id="rId527"/><Relationship Type="http://schemas.openxmlformats.org/officeDocument/2006/relationships/hyperlink" Target="#'10 EVIDENCE &amp; DECISIONS'!A525" TargetMode="External" Id="rId528"/><Relationship Type="http://schemas.openxmlformats.org/officeDocument/2006/relationships/hyperlink" Target="#'10 EVIDENCE &amp; DECISIONS'!A526" TargetMode="External" Id="rId529"/><Relationship Type="http://schemas.openxmlformats.org/officeDocument/2006/relationships/hyperlink" Target="#'10 EVIDENCE &amp; DECISIONS'!A527" TargetMode="External" Id="rId530"/><Relationship Type="http://schemas.openxmlformats.org/officeDocument/2006/relationships/hyperlink" Target="#'10 EVIDENCE &amp; DECISIONS'!A528" TargetMode="External" Id="rId531"/><Relationship Type="http://schemas.openxmlformats.org/officeDocument/2006/relationships/hyperlink" Target="#'10 EVIDENCE &amp; DECISIONS'!A529" TargetMode="External" Id="rId532"/><Relationship Type="http://schemas.openxmlformats.org/officeDocument/2006/relationships/hyperlink" Target="#'10 EVIDENCE &amp; DECISIONS'!A530" TargetMode="External" Id="rId533"/><Relationship Type="http://schemas.openxmlformats.org/officeDocument/2006/relationships/hyperlink" Target="#'10 EVIDENCE &amp; DECISIONS'!A531" TargetMode="External" Id="rId534"/><Relationship Type="http://schemas.openxmlformats.org/officeDocument/2006/relationships/hyperlink" Target="#'10 EVIDENCE &amp; DECISIONS'!A532" TargetMode="External" Id="rId535"/><Relationship Type="http://schemas.openxmlformats.org/officeDocument/2006/relationships/hyperlink" Target="#'10 EVIDENCE &amp; DECISIONS'!A533" TargetMode="External" Id="rId536"/><Relationship Type="http://schemas.openxmlformats.org/officeDocument/2006/relationships/hyperlink" Target="#'10 EVIDENCE &amp; DECISIONS'!A534" TargetMode="External" Id="rId537"/><Relationship Type="http://schemas.openxmlformats.org/officeDocument/2006/relationships/hyperlink" Target="#'10 EVIDENCE &amp; DECISIONS'!A535" TargetMode="External" Id="rId538"/><Relationship Type="http://schemas.openxmlformats.org/officeDocument/2006/relationships/hyperlink" Target="#'10 EVIDENCE &amp; DECISIONS'!A536" TargetMode="External" Id="rId539"/><Relationship Type="http://schemas.openxmlformats.org/officeDocument/2006/relationships/hyperlink" Target="#'10 EVIDENCE &amp; DECISIONS'!A537" TargetMode="External" Id="rId540"/><Relationship Type="http://schemas.openxmlformats.org/officeDocument/2006/relationships/hyperlink" Target="#'10 EVIDENCE &amp; DECISIONS'!A538" TargetMode="External" Id="rId541"/><Relationship Type="http://schemas.openxmlformats.org/officeDocument/2006/relationships/hyperlink" Target="#'10 EVIDENCE &amp; DECISIONS'!A539" TargetMode="External" Id="rId542"/><Relationship Type="http://schemas.openxmlformats.org/officeDocument/2006/relationships/hyperlink" Target="#'10 EVIDENCE &amp; DECISIONS'!A540" TargetMode="External" Id="rId543"/><Relationship Type="http://schemas.openxmlformats.org/officeDocument/2006/relationships/hyperlink" Target="#'10 EVIDENCE &amp; DECISIONS'!A541" TargetMode="External" Id="rId544"/><Relationship Type="http://schemas.openxmlformats.org/officeDocument/2006/relationships/hyperlink" Target="#'10 EVIDENCE &amp; DECISIONS'!A542" TargetMode="External" Id="rId545"/><Relationship Type="http://schemas.openxmlformats.org/officeDocument/2006/relationships/hyperlink" Target="#'10 EVIDENCE &amp; DECISIONS'!A543" TargetMode="External" Id="rId546"/><Relationship Type="http://schemas.openxmlformats.org/officeDocument/2006/relationships/hyperlink" Target="#'10 EVIDENCE &amp; DECISIONS'!A544" TargetMode="External" Id="rId547"/><Relationship Type="http://schemas.openxmlformats.org/officeDocument/2006/relationships/hyperlink" Target="#'10 EVIDENCE &amp; DECISIONS'!A545" TargetMode="External" Id="rId548"/><Relationship Type="http://schemas.openxmlformats.org/officeDocument/2006/relationships/hyperlink" Target="#'10 EVIDENCE &amp; DECISIONS'!A546" TargetMode="External" Id="rId549"/><Relationship Type="http://schemas.openxmlformats.org/officeDocument/2006/relationships/hyperlink" Target="#'10 EVIDENCE &amp; DECISIONS'!A547" TargetMode="External" Id="rId550"/><Relationship Type="http://schemas.openxmlformats.org/officeDocument/2006/relationships/hyperlink" Target="#'10 EVIDENCE &amp; DECISIONS'!A548" TargetMode="External" Id="rId551"/><Relationship Type="http://schemas.openxmlformats.org/officeDocument/2006/relationships/hyperlink" Target="#'10 EVIDENCE &amp; DECISIONS'!A549" TargetMode="External" Id="rId552"/><Relationship Type="http://schemas.openxmlformats.org/officeDocument/2006/relationships/hyperlink" Target="#'10 EVIDENCE &amp; DECISIONS'!A550" TargetMode="External" Id="rId553"/><Relationship Type="http://schemas.openxmlformats.org/officeDocument/2006/relationships/hyperlink" Target="#'10 EVIDENCE &amp; DECISIONS'!A551" TargetMode="External" Id="rId554"/><Relationship Type="http://schemas.openxmlformats.org/officeDocument/2006/relationships/hyperlink" Target="#'10 EVIDENCE &amp; DECISIONS'!A552" TargetMode="External" Id="rId555"/><Relationship Type="http://schemas.openxmlformats.org/officeDocument/2006/relationships/hyperlink" Target="#'10 EVIDENCE &amp; DECISIONS'!A553" TargetMode="External" Id="rId556"/><Relationship Type="http://schemas.openxmlformats.org/officeDocument/2006/relationships/hyperlink" Target="#'10 EVIDENCE &amp; DECISIONS'!A554" TargetMode="External" Id="rId557"/><Relationship Type="http://schemas.openxmlformats.org/officeDocument/2006/relationships/hyperlink" Target="#'10 EVIDENCE &amp; DECISIONS'!A555" TargetMode="External" Id="rId558"/><Relationship Type="http://schemas.openxmlformats.org/officeDocument/2006/relationships/hyperlink" Target="#'10 EVIDENCE &amp; DECISIONS'!A556" TargetMode="External" Id="rId559"/><Relationship Type="http://schemas.openxmlformats.org/officeDocument/2006/relationships/hyperlink" Target="#'10 EVIDENCE &amp; DECISIONS'!A557" TargetMode="External" Id="rId560"/><Relationship Type="http://schemas.openxmlformats.org/officeDocument/2006/relationships/hyperlink" Target="#'10 EVIDENCE &amp; DECISIONS'!A558" TargetMode="External" Id="rId561"/><Relationship Type="http://schemas.openxmlformats.org/officeDocument/2006/relationships/hyperlink" Target="#'10 EVIDENCE &amp; DECISIONS'!A559" TargetMode="External" Id="rId562"/><Relationship Type="http://schemas.openxmlformats.org/officeDocument/2006/relationships/hyperlink" Target="#'10 EVIDENCE &amp; DECISIONS'!A560" TargetMode="External" Id="rId563"/><Relationship Type="http://schemas.openxmlformats.org/officeDocument/2006/relationships/hyperlink" Target="#'10 EVIDENCE &amp; DECISIONS'!A561" TargetMode="External" Id="rId564"/><Relationship Type="http://schemas.openxmlformats.org/officeDocument/2006/relationships/hyperlink" Target="#'10 EVIDENCE &amp; DECISIONS'!A562" TargetMode="External" Id="rId565"/><Relationship Type="http://schemas.openxmlformats.org/officeDocument/2006/relationships/hyperlink" Target="#'10 EVIDENCE &amp; DECISIONS'!A563" TargetMode="External" Id="rId566"/><Relationship Type="http://schemas.openxmlformats.org/officeDocument/2006/relationships/hyperlink" Target="#'10 EVIDENCE &amp; DECISIONS'!A564" TargetMode="External" Id="rId567"/><Relationship Type="http://schemas.openxmlformats.org/officeDocument/2006/relationships/hyperlink" Target="#'10 EVIDENCE &amp; DECISIONS'!A565" TargetMode="External" Id="rId568"/><Relationship Type="http://schemas.openxmlformats.org/officeDocument/2006/relationships/hyperlink" Target="#'10 EVIDENCE &amp; DECISIONS'!A566" TargetMode="External" Id="rId569"/><Relationship Type="http://schemas.openxmlformats.org/officeDocument/2006/relationships/hyperlink" Target="#'10 EVIDENCE &amp; DECISIONS'!A567" TargetMode="External" Id="rId570"/><Relationship Type="http://schemas.openxmlformats.org/officeDocument/2006/relationships/hyperlink" Target="#'10 EVIDENCE &amp; DECISIONS'!A568" TargetMode="External" Id="rId571"/><Relationship Type="http://schemas.openxmlformats.org/officeDocument/2006/relationships/hyperlink" Target="#'10 EVIDENCE &amp; DECISIONS'!A569" TargetMode="External" Id="rId572"/><Relationship Type="http://schemas.openxmlformats.org/officeDocument/2006/relationships/hyperlink" Target="#'10 EVIDENCE &amp; DECISIONS'!A570" TargetMode="External" Id="rId573"/><Relationship Type="http://schemas.openxmlformats.org/officeDocument/2006/relationships/hyperlink" Target="#'10 EVIDENCE &amp; DECISIONS'!A571" TargetMode="External" Id="rId574"/><Relationship Type="http://schemas.openxmlformats.org/officeDocument/2006/relationships/hyperlink" Target="#'10 EVIDENCE &amp; DECISIONS'!A572" TargetMode="External" Id="rId575"/><Relationship Type="http://schemas.openxmlformats.org/officeDocument/2006/relationships/hyperlink" Target="#'10 EVIDENCE &amp; DECISIONS'!A573" TargetMode="External" Id="rId576"/><Relationship Type="http://schemas.openxmlformats.org/officeDocument/2006/relationships/hyperlink" Target="#'10 EVIDENCE &amp; DECISIONS'!A574" TargetMode="External" Id="rId577"/><Relationship Type="http://schemas.openxmlformats.org/officeDocument/2006/relationships/hyperlink" Target="#'10 EVIDENCE &amp; DECISIONS'!A575" TargetMode="External" Id="rId578"/><Relationship Type="http://schemas.openxmlformats.org/officeDocument/2006/relationships/hyperlink" Target="#'10 EVIDENCE &amp; DECISIONS'!A576" TargetMode="External" Id="rId579"/><Relationship Type="http://schemas.openxmlformats.org/officeDocument/2006/relationships/hyperlink" Target="#'10 EVIDENCE &amp; DECISIONS'!A577" TargetMode="External" Id="rId580"/><Relationship Type="http://schemas.openxmlformats.org/officeDocument/2006/relationships/hyperlink" Target="#'10 EVIDENCE &amp; DECISIONS'!A578" TargetMode="External" Id="rId581"/><Relationship Type="http://schemas.openxmlformats.org/officeDocument/2006/relationships/hyperlink" Target="#'10 EVIDENCE &amp; DECISIONS'!A579" TargetMode="External" Id="rId582"/><Relationship Type="http://schemas.openxmlformats.org/officeDocument/2006/relationships/hyperlink" Target="#'10 EVIDENCE &amp; DECISIONS'!A580" TargetMode="External" Id="rId583"/><Relationship Type="http://schemas.openxmlformats.org/officeDocument/2006/relationships/hyperlink" Target="#'10 EVIDENCE &amp; DECISIONS'!A581" TargetMode="External" Id="rId584"/><Relationship Type="http://schemas.openxmlformats.org/officeDocument/2006/relationships/hyperlink" Target="#'10 EVIDENCE &amp; DECISIONS'!A582" TargetMode="External" Id="rId585"/><Relationship Type="http://schemas.openxmlformats.org/officeDocument/2006/relationships/hyperlink" Target="#'10 EVIDENCE &amp; DECISIONS'!A583" TargetMode="External" Id="rId586"/><Relationship Type="http://schemas.openxmlformats.org/officeDocument/2006/relationships/hyperlink" Target="#'10 EVIDENCE &amp; DECISIONS'!A584" TargetMode="External" Id="rId587"/><Relationship Type="http://schemas.openxmlformats.org/officeDocument/2006/relationships/hyperlink" Target="#'10 EVIDENCE &amp; DECISIONS'!A585" TargetMode="External" Id="rId588"/><Relationship Type="http://schemas.openxmlformats.org/officeDocument/2006/relationships/hyperlink" Target="#'10 EVIDENCE &amp; DECISIONS'!A586" TargetMode="External" Id="rId589"/><Relationship Type="http://schemas.openxmlformats.org/officeDocument/2006/relationships/hyperlink" Target="#'10 EVIDENCE &amp; DECISIONS'!A587" TargetMode="External" Id="rId590"/><Relationship Type="http://schemas.openxmlformats.org/officeDocument/2006/relationships/hyperlink" Target="#'10 EVIDENCE &amp; DECISIONS'!A588" TargetMode="External" Id="rId591"/><Relationship Type="http://schemas.openxmlformats.org/officeDocument/2006/relationships/hyperlink" Target="#'10 EVIDENCE &amp; DECISIONS'!A589" TargetMode="External" Id="rId592"/><Relationship Type="http://schemas.openxmlformats.org/officeDocument/2006/relationships/hyperlink" Target="#'10 EVIDENCE &amp; DECISIONS'!A590" TargetMode="External" Id="rId593"/><Relationship Type="http://schemas.openxmlformats.org/officeDocument/2006/relationships/hyperlink" Target="#'10 EVIDENCE &amp; DECISIONS'!A591" TargetMode="External" Id="rId594"/><Relationship Type="http://schemas.openxmlformats.org/officeDocument/2006/relationships/hyperlink" Target="#'10 EVIDENCE &amp; DECISIONS'!A592" TargetMode="External" Id="rId595"/><Relationship Type="http://schemas.openxmlformats.org/officeDocument/2006/relationships/hyperlink" Target="#'10 EVIDENCE &amp; DECISIONS'!A593" TargetMode="External" Id="rId596"/><Relationship Type="http://schemas.openxmlformats.org/officeDocument/2006/relationships/hyperlink" Target="#'10 EVIDENCE &amp; DECISIONS'!A594" TargetMode="External" Id="rId597"/><Relationship Type="http://schemas.openxmlformats.org/officeDocument/2006/relationships/hyperlink" Target="#'10 EVIDENCE &amp; DECISIONS'!A595" TargetMode="External" Id="rId598"/><Relationship Type="http://schemas.openxmlformats.org/officeDocument/2006/relationships/hyperlink" Target="#'10 EVIDENCE &amp; DECISIONS'!A596" TargetMode="External" Id="rId599"/><Relationship Type="http://schemas.openxmlformats.org/officeDocument/2006/relationships/hyperlink" Target="#'10 EVIDENCE &amp; DECISIONS'!A597" TargetMode="External" Id="rId600"/><Relationship Type="http://schemas.openxmlformats.org/officeDocument/2006/relationships/hyperlink" Target="#'10 EVIDENCE &amp; DECISIONS'!A598" TargetMode="External" Id="rId601"/><Relationship Type="http://schemas.openxmlformats.org/officeDocument/2006/relationships/hyperlink" Target="#'10 EVIDENCE &amp; DECISIONS'!A599" TargetMode="External" Id="rId602"/><Relationship Type="http://schemas.openxmlformats.org/officeDocument/2006/relationships/hyperlink" Target="#'10 EVIDENCE &amp; DECISIONS'!A600" TargetMode="External" Id="rId603"/><Relationship Type="http://schemas.openxmlformats.org/officeDocument/2006/relationships/hyperlink" Target="#'10 EVIDENCE &amp; DECISIONS'!A601" TargetMode="External" Id="rId604"/><Relationship Type="http://schemas.openxmlformats.org/officeDocument/2006/relationships/hyperlink" Target="#'10 EVIDENCE &amp; DECISIONS'!A602" TargetMode="External" Id="rId605"/><Relationship Type="http://schemas.openxmlformats.org/officeDocument/2006/relationships/hyperlink" Target="#'10 EVIDENCE &amp; DECISIONS'!A603" TargetMode="External" Id="rId606"/><Relationship Type="http://schemas.openxmlformats.org/officeDocument/2006/relationships/hyperlink" Target="#'10 EVIDENCE &amp; DECISIONS'!A604" TargetMode="External" Id="rId607"/><Relationship Type="http://schemas.openxmlformats.org/officeDocument/2006/relationships/hyperlink" Target="#'10 EVIDENCE &amp; DECISIONS'!A605" TargetMode="External" Id="rId608"/><Relationship Type="http://schemas.openxmlformats.org/officeDocument/2006/relationships/hyperlink" Target="#'10 EVIDENCE &amp; DECISIONS'!A606" TargetMode="External" Id="rId609"/><Relationship Type="http://schemas.openxmlformats.org/officeDocument/2006/relationships/hyperlink" Target="#'10 EVIDENCE &amp; DECISIONS'!A607" TargetMode="External" Id="rId610"/><Relationship Type="http://schemas.openxmlformats.org/officeDocument/2006/relationships/hyperlink" Target="#'10 EVIDENCE &amp; DECISIONS'!A608" TargetMode="External" Id="rId611"/><Relationship Type="http://schemas.openxmlformats.org/officeDocument/2006/relationships/hyperlink" Target="#'10 EVIDENCE &amp; DECISIONS'!A609" TargetMode="External" Id="rId612"/><Relationship Type="http://schemas.openxmlformats.org/officeDocument/2006/relationships/hyperlink" Target="#'10 EVIDENCE &amp; DECISIONS'!A610" TargetMode="External" Id="rId613"/><Relationship Type="http://schemas.openxmlformats.org/officeDocument/2006/relationships/hyperlink" Target="#'10 EVIDENCE &amp; DECISIONS'!A611" TargetMode="External" Id="rId614"/><Relationship Type="http://schemas.openxmlformats.org/officeDocument/2006/relationships/hyperlink" Target="#'10 EVIDENCE &amp; DECISIONS'!A612" TargetMode="External" Id="rId615"/><Relationship Type="http://schemas.openxmlformats.org/officeDocument/2006/relationships/hyperlink" Target="#'10 EVIDENCE &amp; DECISIONS'!A613" TargetMode="External" Id="rId616"/><Relationship Type="http://schemas.openxmlformats.org/officeDocument/2006/relationships/hyperlink" Target="#'10 EVIDENCE &amp; DECISIONS'!A614" TargetMode="External" Id="rId617"/><Relationship Type="http://schemas.openxmlformats.org/officeDocument/2006/relationships/hyperlink" Target="#'10 EVIDENCE &amp; DECISIONS'!A615" TargetMode="External" Id="rId618"/><Relationship Type="http://schemas.openxmlformats.org/officeDocument/2006/relationships/hyperlink" Target="#'10 EVIDENCE &amp; DECISIONS'!A616" TargetMode="External" Id="rId619"/><Relationship Type="http://schemas.openxmlformats.org/officeDocument/2006/relationships/hyperlink" Target="#'10 EVIDENCE &amp; DECISIONS'!A617" TargetMode="External" Id="rId620"/><Relationship Type="http://schemas.openxmlformats.org/officeDocument/2006/relationships/hyperlink" Target="#'10 EVIDENCE &amp; DECISIONS'!A618" TargetMode="External" Id="rId621"/><Relationship Type="http://schemas.openxmlformats.org/officeDocument/2006/relationships/hyperlink" Target="#'10 EVIDENCE &amp; DECISIONS'!A619" TargetMode="External" Id="rId622"/><Relationship Type="http://schemas.openxmlformats.org/officeDocument/2006/relationships/hyperlink" Target="#'10 EVIDENCE &amp; DECISIONS'!A620" TargetMode="External" Id="rId623"/><Relationship Type="http://schemas.openxmlformats.org/officeDocument/2006/relationships/hyperlink" Target="#'10 EVIDENCE &amp; DECISIONS'!A621" TargetMode="External" Id="rId624"/><Relationship Type="http://schemas.openxmlformats.org/officeDocument/2006/relationships/hyperlink" Target="#'10 EVIDENCE &amp; DECISIONS'!A622" TargetMode="External" Id="rId625"/><Relationship Type="http://schemas.openxmlformats.org/officeDocument/2006/relationships/hyperlink" Target="#'10 EVIDENCE &amp; DECISIONS'!A623" TargetMode="External" Id="rId626"/><Relationship Type="http://schemas.openxmlformats.org/officeDocument/2006/relationships/hyperlink" Target="#'10 EVIDENCE &amp; DECISIONS'!A624" TargetMode="External" Id="rId627"/><Relationship Type="http://schemas.openxmlformats.org/officeDocument/2006/relationships/hyperlink" Target="#'10 EVIDENCE &amp; DECISIONS'!A625" TargetMode="External" Id="rId628"/><Relationship Type="http://schemas.openxmlformats.org/officeDocument/2006/relationships/hyperlink" Target="#'10 EVIDENCE &amp; DECISIONS'!A626" TargetMode="External" Id="rId629"/><Relationship Type="http://schemas.openxmlformats.org/officeDocument/2006/relationships/hyperlink" Target="#'10 EVIDENCE &amp; DECISIONS'!A627" TargetMode="External" Id="rId630"/><Relationship Type="http://schemas.openxmlformats.org/officeDocument/2006/relationships/hyperlink" Target="#'10 EVIDENCE &amp; DECISIONS'!A628" TargetMode="External" Id="rId631"/><Relationship Type="http://schemas.openxmlformats.org/officeDocument/2006/relationships/hyperlink" Target="#'10 EVIDENCE &amp; DECISIONS'!A629" TargetMode="External" Id="rId632"/><Relationship Type="http://schemas.openxmlformats.org/officeDocument/2006/relationships/hyperlink" Target="#'10 EVIDENCE &amp; DECISIONS'!A630" TargetMode="External" Id="rId633"/><Relationship Type="http://schemas.openxmlformats.org/officeDocument/2006/relationships/hyperlink" Target="#'10 EVIDENCE &amp; DECISIONS'!A631" TargetMode="External" Id="rId634"/><Relationship Type="http://schemas.openxmlformats.org/officeDocument/2006/relationships/hyperlink" Target="#'10 EVIDENCE &amp; DECISIONS'!A632" TargetMode="External" Id="rId635"/><Relationship Type="http://schemas.openxmlformats.org/officeDocument/2006/relationships/hyperlink" Target="#'10 EVIDENCE &amp; DECISIONS'!A633" TargetMode="External" Id="rId636"/><Relationship Type="http://schemas.openxmlformats.org/officeDocument/2006/relationships/hyperlink" Target="#'10 EVIDENCE &amp; DECISIONS'!A634" TargetMode="External" Id="rId637"/><Relationship Type="http://schemas.openxmlformats.org/officeDocument/2006/relationships/hyperlink" Target="#'10 EVIDENCE &amp; DECISIONS'!A635" TargetMode="External" Id="rId638"/><Relationship Type="http://schemas.openxmlformats.org/officeDocument/2006/relationships/hyperlink" Target="#'10 EVIDENCE &amp; DECISIONS'!A636" TargetMode="External" Id="rId639"/><Relationship Type="http://schemas.openxmlformats.org/officeDocument/2006/relationships/hyperlink" Target="#'10 EVIDENCE &amp; DECISIONS'!A637" TargetMode="External" Id="rId640"/><Relationship Type="http://schemas.openxmlformats.org/officeDocument/2006/relationships/hyperlink" Target="#'10 EVIDENCE &amp; DECISIONS'!A638" TargetMode="External" Id="rId641"/><Relationship Type="http://schemas.openxmlformats.org/officeDocument/2006/relationships/hyperlink" Target="#'10 EVIDENCE &amp; DECISIONS'!A639" TargetMode="External" Id="rId642"/><Relationship Type="http://schemas.openxmlformats.org/officeDocument/2006/relationships/hyperlink" Target="#'10 EVIDENCE &amp; DECISIONS'!A640" TargetMode="External" Id="rId643"/><Relationship Type="http://schemas.openxmlformats.org/officeDocument/2006/relationships/hyperlink" Target="#'10 EVIDENCE &amp; DECISIONS'!A641" TargetMode="External" Id="rId644"/><Relationship Type="http://schemas.openxmlformats.org/officeDocument/2006/relationships/hyperlink" Target="#'10 EVIDENCE &amp; DECISIONS'!A642" TargetMode="External" Id="rId645"/><Relationship Type="http://schemas.openxmlformats.org/officeDocument/2006/relationships/hyperlink" Target="#'10 EVIDENCE &amp; DECISIONS'!A643" TargetMode="External" Id="rId646"/><Relationship Type="http://schemas.openxmlformats.org/officeDocument/2006/relationships/hyperlink" Target="#'10 EVIDENCE &amp; DECISIONS'!A644" TargetMode="External" Id="rId647"/><Relationship Type="http://schemas.openxmlformats.org/officeDocument/2006/relationships/hyperlink" Target="#'10 EVIDENCE &amp; DECISIONS'!A645" TargetMode="External" Id="rId648"/><Relationship Type="http://schemas.openxmlformats.org/officeDocument/2006/relationships/hyperlink" Target="#'10 EVIDENCE &amp; DECISIONS'!A646" TargetMode="External" Id="rId649"/><Relationship Type="http://schemas.openxmlformats.org/officeDocument/2006/relationships/hyperlink" Target="#'10 EVIDENCE &amp; DECISIONS'!A647" TargetMode="External" Id="rId650"/><Relationship Type="http://schemas.openxmlformats.org/officeDocument/2006/relationships/hyperlink" Target="#'10 EVIDENCE &amp; DECISIONS'!A648" TargetMode="External" Id="rId651"/><Relationship Type="http://schemas.openxmlformats.org/officeDocument/2006/relationships/hyperlink" Target="#'10 EVIDENCE &amp; DECISIONS'!A649" TargetMode="External" Id="rId652"/><Relationship Type="http://schemas.openxmlformats.org/officeDocument/2006/relationships/hyperlink" Target="#'10 EVIDENCE &amp; DECISIONS'!A650" TargetMode="External" Id="rId653"/><Relationship Type="http://schemas.openxmlformats.org/officeDocument/2006/relationships/hyperlink" Target="#'10 EVIDENCE &amp; DECISIONS'!A651" TargetMode="External" Id="rId654"/><Relationship Type="http://schemas.openxmlformats.org/officeDocument/2006/relationships/hyperlink" Target="#'10 EVIDENCE &amp; DECISIONS'!A652" TargetMode="External" Id="rId655"/><Relationship Type="http://schemas.openxmlformats.org/officeDocument/2006/relationships/hyperlink" Target="#'10 EVIDENCE &amp; DECISIONS'!A653" TargetMode="External" Id="rId656"/><Relationship Type="http://schemas.openxmlformats.org/officeDocument/2006/relationships/hyperlink" Target="#'10 EVIDENCE &amp; DECISIONS'!A654" TargetMode="External" Id="rId657"/><Relationship Type="http://schemas.openxmlformats.org/officeDocument/2006/relationships/hyperlink" Target="#'10 EVIDENCE &amp; DECISIONS'!A655" TargetMode="External" Id="rId658"/><Relationship Type="http://schemas.openxmlformats.org/officeDocument/2006/relationships/hyperlink" Target="#'10 EVIDENCE &amp; DECISIONS'!A656" TargetMode="External" Id="rId659"/><Relationship Type="http://schemas.openxmlformats.org/officeDocument/2006/relationships/hyperlink" Target="#'10 EVIDENCE &amp; DECISIONS'!A657" TargetMode="External" Id="rId660"/><Relationship Type="http://schemas.openxmlformats.org/officeDocument/2006/relationships/hyperlink" Target="#'10 EVIDENCE &amp; DECISIONS'!A658" TargetMode="External" Id="rId661"/><Relationship Type="http://schemas.openxmlformats.org/officeDocument/2006/relationships/hyperlink" Target="#'10 EVIDENCE &amp; DECISIONS'!A659" TargetMode="External" Id="rId662"/><Relationship Type="http://schemas.openxmlformats.org/officeDocument/2006/relationships/hyperlink" Target="#'10 EVIDENCE &amp; DECISIONS'!A660" TargetMode="External" Id="rId663"/><Relationship Type="http://schemas.openxmlformats.org/officeDocument/2006/relationships/hyperlink" Target="#'10 EVIDENCE &amp; DECISIONS'!A661" TargetMode="External" Id="rId664"/><Relationship Type="http://schemas.openxmlformats.org/officeDocument/2006/relationships/hyperlink" Target="#'10 EVIDENCE &amp; DECISIONS'!A662" TargetMode="External" Id="rId665"/><Relationship Type="http://schemas.openxmlformats.org/officeDocument/2006/relationships/hyperlink" Target="#'10 EVIDENCE &amp; DECISIONS'!A663" TargetMode="External" Id="rId666"/><Relationship Type="http://schemas.openxmlformats.org/officeDocument/2006/relationships/hyperlink" Target="#'10 EVIDENCE &amp; DECISIONS'!A664" TargetMode="External" Id="rId667"/><Relationship Type="http://schemas.openxmlformats.org/officeDocument/2006/relationships/hyperlink" Target="#'10 EVIDENCE &amp; DECISIONS'!A665" TargetMode="External" Id="rId668"/><Relationship Type="http://schemas.openxmlformats.org/officeDocument/2006/relationships/hyperlink" Target="#'10 EVIDENCE &amp; DECISIONS'!A666" TargetMode="External" Id="rId669"/><Relationship Type="http://schemas.openxmlformats.org/officeDocument/2006/relationships/hyperlink" Target="#'10 EVIDENCE &amp; DECISIONS'!A667" TargetMode="External" Id="rId670"/><Relationship Type="http://schemas.openxmlformats.org/officeDocument/2006/relationships/hyperlink" Target="#'10 EVIDENCE &amp; DECISIONS'!A668" TargetMode="External" Id="rId671"/><Relationship Type="http://schemas.openxmlformats.org/officeDocument/2006/relationships/hyperlink" Target="#'10 EVIDENCE &amp; DECISIONS'!A669" TargetMode="External" Id="rId672"/><Relationship Type="http://schemas.openxmlformats.org/officeDocument/2006/relationships/hyperlink" Target="#'10 EVIDENCE &amp; DECISIONS'!A670" TargetMode="External" Id="rId673"/><Relationship Type="http://schemas.openxmlformats.org/officeDocument/2006/relationships/hyperlink" Target="#'10 EVIDENCE &amp; DECISIONS'!A671" TargetMode="External" Id="rId674"/><Relationship Type="http://schemas.openxmlformats.org/officeDocument/2006/relationships/hyperlink" Target="#'10 EVIDENCE &amp; DECISIONS'!A672" TargetMode="External" Id="rId675"/><Relationship Type="http://schemas.openxmlformats.org/officeDocument/2006/relationships/hyperlink" Target="#'10 EVIDENCE &amp; DECISIONS'!A673" TargetMode="External" Id="rId676"/><Relationship Type="http://schemas.openxmlformats.org/officeDocument/2006/relationships/hyperlink" Target="#'10 EVIDENCE &amp; DECISIONS'!A674" TargetMode="External" Id="rId677"/><Relationship Type="http://schemas.openxmlformats.org/officeDocument/2006/relationships/hyperlink" Target="#'10 EVIDENCE &amp; DECISIONS'!A675" TargetMode="External" Id="rId678"/><Relationship Type="http://schemas.openxmlformats.org/officeDocument/2006/relationships/hyperlink" Target="#'10 EVIDENCE &amp; DECISIONS'!A676" TargetMode="External" Id="rId679"/><Relationship Type="http://schemas.openxmlformats.org/officeDocument/2006/relationships/hyperlink" Target="#'10 EVIDENCE &amp; DECISIONS'!A677" TargetMode="External" Id="rId680"/><Relationship Type="http://schemas.openxmlformats.org/officeDocument/2006/relationships/hyperlink" Target="#'10 EVIDENCE &amp; DECISIONS'!A678" TargetMode="External" Id="rId681"/><Relationship Type="http://schemas.openxmlformats.org/officeDocument/2006/relationships/hyperlink" Target="#'10 EVIDENCE &amp; DECISIONS'!A679" TargetMode="External" Id="rId682"/><Relationship Type="http://schemas.openxmlformats.org/officeDocument/2006/relationships/hyperlink" Target="#'10 EVIDENCE &amp; DECISIONS'!A680" TargetMode="External" Id="rId683"/><Relationship Type="http://schemas.openxmlformats.org/officeDocument/2006/relationships/hyperlink" Target="#'10 EVIDENCE &amp; DECISIONS'!A681" TargetMode="External" Id="rId684"/><Relationship Type="http://schemas.openxmlformats.org/officeDocument/2006/relationships/hyperlink" Target="#'10 EVIDENCE &amp; DECISIONS'!A682" TargetMode="External" Id="rId685"/><Relationship Type="http://schemas.openxmlformats.org/officeDocument/2006/relationships/hyperlink" Target="#'10 EVIDENCE &amp; DECISIONS'!A683" TargetMode="External" Id="rId686"/><Relationship Type="http://schemas.openxmlformats.org/officeDocument/2006/relationships/hyperlink" Target="#'10 EVIDENCE &amp; DECISIONS'!A684" TargetMode="External" Id="rId687"/><Relationship Type="http://schemas.openxmlformats.org/officeDocument/2006/relationships/hyperlink" Target="#'10 EVIDENCE &amp; DECISIONS'!A685" TargetMode="External" Id="rId688"/><Relationship Type="http://schemas.openxmlformats.org/officeDocument/2006/relationships/hyperlink" Target="#'10 EVIDENCE &amp; DECISIONS'!A686" TargetMode="External" Id="rId689"/><Relationship Type="http://schemas.openxmlformats.org/officeDocument/2006/relationships/hyperlink" Target="#'10 EVIDENCE &amp; DECISIONS'!A687" TargetMode="External" Id="rId690"/><Relationship Type="http://schemas.openxmlformats.org/officeDocument/2006/relationships/hyperlink" Target="#'10 EVIDENCE &amp; DECISIONS'!A688" TargetMode="External" Id="rId691"/><Relationship Type="http://schemas.openxmlformats.org/officeDocument/2006/relationships/hyperlink" Target="#'10 EVIDENCE &amp; DECISIONS'!A689" TargetMode="External" Id="rId692"/><Relationship Type="http://schemas.openxmlformats.org/officeDocument/2006/relationships/hyperlink" Target="#'10 EVIDENCE &amp; DECISIONS'!A690" TargetMode="External" Id="rId693"/><Relationship Type="http://schemas.openxmlformats.org/officeDocument/2006/relationships/hyperlink" Target="#'10 EVIDENCE &amp; DECISIONS'!A691" TargetMode="External" Id="rId694"/><Relationship Type="http://schemas.openxmlformats.org/officeDocument/2006/relationships/hyperlink" Target="#'10 EVIDENCE &amp; DECISIONS'!A692" TargetMode="External" Id="rId695"/><Relationship Type="http://schemas.openxmlformats.org/officeDocument/2006/relationships/hyperlink" Target="#'10 EVIDENCE &amp; DECISIONS'!A693" TargetMode="External" Id="rId696"/><Relationship Type="http://schemas.openxmlformats.org/officeDocument/2006/relationships/hyperlink" Target="#'10 EVIDENCE &amp; DECISIONS'!A694" TargetMode="External" Id="rId697"/><Relationship Type="http://schemas.openxmlformats.org/officeDocument/2006/relationships/hyperlink" Target="#'10 EVIDENCE &amp; DECISIONS'!A695" TargetMode="External" Id="rId698"/><Relationship Type="http://schemas.openxmlformats.org/officeDocument/2006/relationships/hyperlink" Target="#'10 EVIDENCE &amp; DECISIONS'!A696" TargetMode="External" Id="rId699"/><Relationship Type="http://schemas.openxmlformats.org/officeDocument/2006/relationships/hyperlink" Target="#'10 EVIDENCE &amp; DECISIONS'!A697" TargetMode="External" Id="rId700"/><Relationship Type="http://schemas.openxmlformats.org/officeDocument/2006/relationships/hyperlink" Target="#'10 EVIDENCE &amp; DECISIONS'!A698" TargetMode="External" Id="rId701"/><Relationship Type="http://schemas.openxmlformats.org/officeDocument/2006/relationships/hyperlink" Target="#'10 EVIDENCE &amp; DECISIONS'!A699" TargetMode="External" Id="rId702"/><Relationship Type="http://schemas.openxmlformats.org/officeDocument/2006/relationships/hyperlink" Target="#'10 EVIDENCE &amp; DECISIONS'!A700" TargetMode="External" Id="rId703"/><Relationship Type="http://schemas.openxmlformats.org/officeDocument/2006/relationships/hyperlink" Target="#'10 EVIDENCE &amp; DECISIONS'!A701" TargetMode="External" Id="rId704"/><Relationship Type="http://schemas.openxmlformats.org/officeDocument/2006/relationships/hyperlink" Target="#'10 EVIDENCE &amp; DECISIONS'!A702" TargetMode="External" Id="rId705"/><Relationship Type="http://schemas.openxmlformats.org/officeDocument/2006/relationships/hyperlink" Target="#'10 EVIDENCE &amp; DECISIONS'!A703" TargetMode="External" Id="rId706"/><Relationship Type="http://schemas.openxmlformats.org/officeDocument/2006/relationships/hyperlink" Target="#'10 EVIDENCE &amp; DECISIONS'!A704" TargetMode="External" Id="rId707"/><Relationship Type="http://schemas.openxmlformats.org/officeDocument/2006/relationships/hyperlink" Target="#'10 EVIDENCE &amp; DECISIONS'!A705" TargetMode="External" Id="rId708"/><Relationship Type="http://schemas.openxmlformats.org/officeDocument/2006/relationships/hyperlink" Target="#'10 EVIDENCE &amp; DECISIONS'!A706" TargetMode="External" Id="rId709"/><Relationship Type="http://schemas.openxmlformats.org/officeDocument/2006/relationships/hyperlink" Target="#'10 EVIDENCE &amp; DECISIONS'!A707" TargetMode="External" Id="rId710"/><Relationship Type="http://schemas.openxmlformats.org/officeDocument/2006/relationships/hyperlink" Target="#'10 EVIDENCE &amp; DECISIONS'!A708" TargetMode="External" Id="rId711"/><Relationship Type="http://schemas.openxmlformats.org/officeDocument/2006/relationships/hyperlink" Target="#'10 EVIDENCE &amp; DECISIONS'!A709" TargetMode="External" Id="rId712"/><Relationship Type="http://schemas.openxmlformats.org/officeDocument/2006/relationships/hyperlink" Target="#'10 EVIDENCE &amp; DECISIONS'!A710" TargetMode="External" Id="rId713"/><Relationship Type="http://schemas.openxmlformats.org/officeDocument/2006/relationships/hyperlink" Target="#'10 EVIDENCE &amp; DECISIONS'!A711" TargetMode="External" Id="rId714"/><Relationship Type="http://schemas.openxmlformats.org/officeDocument/2006/relationships/hyperlink" Target="#'10 EVIDENCE &amp; DECISIONS'!A712" TargetMode="External" Id="rId715"/><Relationship Type="http://schemas.openxmlformats.org/officeDocument/2006/relationships/hyperlink" Target="#'10 EVIDENCE &amp; DECISIONS'!A713" TargetMode="External" Id="rId716"/><Relationship Type="http://schemas.openxmlformats.org/officeDocument/2006/relationships/hyperlink" Target="#'10 EVIDENCE &amp; DECISIONS'!A714" TargetMode="External" Id="rId717"/><Relationship Type="http://schemas.openxmlformats.org/officeDocument/2006/relationships/hyperlink" Target="#'10 EVIDENCE &amp; DECISIONS'!A715" TargetMode="External" Id="rId718"/><Relationship Type="http://schemas.openxmlformats.org/officeDocument/2006/relationships/hyperlink" Target="#'10 EVIDENCE &amp; DECISIONS'!A716" TargetMode="External" Id="rId719"/><Relationship Type="http://schemas.openxmlformats.org/officeDocument/2006/relationships/hyperlink" Target="#'10 EVIDENCE &amp; DECISIONS'!A717" TargetMode="External" Id="rId720"/><Relationship Type="http://schemas.openxmlformats.org/officeDocument/2006/relationships/hyperlink" Target="#'10 EVIDENCE &amp; DECISIONS'!A718" TargetMode="External" Id="rId721"/><Relationship Type="http://schemas.openxmlformats.org/officeDocument/2006/relationships/hyperlink" Target="#'10 EVIDENCE &amp; DECISIONS'!A719" TargetMode="External" Id="rId722"/><Relationship Type="http://schemas.openxmlformats.org/officeDocument/2006/relationships/hyperlink" Target="#'10 EVIDENCE &amp; DECISIONS'!A720" TargetMode="External" Id="rId723"/><Relationship Type="http://schemas.openxmlformats.org/officeDocument/2006/relationships/hyperlink" Target="#'10 EVIDENCE &amp; DECISIONS'!A721" TargetMode="External" Id="rId724"/><Relationship Type="http://schemas.openxmlformats.org/officeDocument/2006/relationships/hyperlink" Target="#'10 EVIDENCE &amp; DECISIONS'!A722" TargetMode="External" Id="rId725"/><Relationship Type="http://schemas.openxmlformats.org/officeDocument/2006/relationships/hyperlink" Target="#'10 EVIDENCE &amp; DECISIONS'!A723" TargetMode="External" Id="rId726"/><Relationship Type="http://schemas.openxmlformats.org/officeDocument/2006/relationships/hyperlink" Target="#'10 EVIDENCE &amp; DECISIONS'!A724" TargetMode="External" Id="rId727"/><Relationship Type="http://schemas.openxmlformats.org/officeDocument/2006/relationships/hyperlink" Target="#'10 EVIDENCE &amp; DECISIONS'!A725" TargetMode="External" Id="rId728"/><Relationship Type="http://schemas.openxmlformats.org/officeDocument/2006/relationships/hyperlink" Target="#'10 EVIDENCE &amp; DECISIONS'!A726" TargetMode="External" Id="rId729"/><Relationship Type="http://schemas.openxmlformats.org/officeDocument/2006/relationships/hyperlink" Target="#'10 EVIDENCE &amp; DECISIONS'!A727" TargetMode="External" Id="rId730"/><Relationship Type="http://schemas.openxmlformats.org/officeDocument/2006/relationships/hyperlink" Target="#'10 EVIDENCE &amp; DECISIONS'!A728" TargetMode="External" Id="rId731"/><Relationship Type="http://schemas.openxmlformats.org/officeDocument/2006/relationships/hyperlink" Target="#'10 EVIDENCE &amp; DECISIONS'!A729" TargetMode="External" Id="rId732"/><Relationship Type="http://schemas.openxmlformats.org/officeDocument/2006/relationships/hyperlink" Target="#'10 EVIDENCE &amp; DECISIONS'!A730" TargetMode="External" Id="rId733"/><Relationship Type="http://schemas.openxmlformats.org/officeDocument/2006/relationships/hyperlink" Target="#'10 EVIDENCE &amp; DECISIONS'!A731" TargetMode="External" Id="rId734"/><Relationship Type="http://schemas.openxmlformats.org/officeDocument/2006/relationships/hyperlink" Target="#'10 EVIDENCE &amp; DECISIONS'!A732" TargetMode="External" Id="rId735"/><Relationship Type="http://schemas.openxmlformats.org/officeDocument/2006/relationships/hyperlink" Target="#'10 EVIDENCE &amp; DECISIONS'!A733" TargetMode="External" Id="rId736"/><Relationship Type="http://schemas.openxmlformats.org/officeDocument/2006/relationships/hyperlink" Target="#'10 EVIDENCE &amp; DECISIONS'!A734" TargetMode="External" Id="rId737"/><Relationship Type="http://schemas.openxmlformats.org/officeDocument/2006/relationships/hyperlink" Target="#'10 EVIDENCE &amp; DECISIONS'!A735" TargetMode="External" Id="rId738"/><Relationship Type="http://schemas.openxmlformats.org/officeDocument/2006/relationships/hyperlink" Target="#'10 EVIDENCE &amp; DECISIONS'!A736" TargetMode="External" Id="rId739"/><Relationship Type="http://schemas.openxmlformats.org/officeDocument/2006/relationships/hyperlink" Target="#'10 EVIDENCE &amp; DECISIONS'!A737" TargetMode="External" Id="rId740"/><Relationship Type="http://schemas.openxmlformats.org/officeDocument/2006/relationships/hyperlink" Target="#'10 EVIDENCE &amp; DECISIONS'!A738" TargetMode="External" Id="rId741"/><Relationship Type="http://schemas.openxmlformats.org/officeDocument/2006/relationships/hyperlink" Target="#'10 EVIDENCE &amp; DECISIONS'!A739" TargetMode="External" Id="rId742"/><Relationship Type="http://schemas.openxmlformats.org/officeDocument/2006/relationships/hyperlink" Target="#'10 EVIDENCE &amp; DECISIONS'!A740" TargetMode="External" Id="rId743"/><Relationship Type="http://schemas.openxmlformats.org/officeDocument/2006/relationships/hyperlink" Target="#'10 EVIDENCE &amp; DECISIONS'!A741" TargetMode="External" Id="rId744"/><Relationship Type="http://schemas.openxmlformats.org/officeDocument/2006/relationships/hyperlink" Target="#'10 EVIDENCE &amp; DECISIONS'!A742" TargetMode="External" Id="rId745"/><Relationship Type="http://schemas.openxmlformats.org/officeDocument/2006/relationships/hyperlink" Target="#'10 EVIDENCE &amp; DECISIONS'!A743" TargetMode="External" Id="rId746"/><Relationship Type="http://schemas.openxmlformats.org/officeDocument/2006/relationships/hyperlink" Target="#'10 EVIDENCE &amp; DECISIONS'!A744" TargetMode="External" Id="rId747"/><Relationship Type="http://schemas.openxmlformats.org/officeDocument/2006/relationships/hyperlink" Target="#'10 EVIDENCE &amp; DECISIONS'!A745" TargetMode="External" Id="rId748"/><Relationship Type="http://schemas.openxmlformats.org/officeDocument/2006/relationships/hyperlink" Target="#'10 EVIDENCE &amp; DECISIONS'!A746" TargetMode="External" Id="rId749"/><Relationship Type="http://schemas.openxmlformats.org/officeDocument/2006/relationships/hyperlink" Target="#'10 EVIDENCE &amp; DECISIONS'!A747" TargetMode="External" Id="rId750"/><Relationship Type="http://schemas.openxmlformats.org/officeDocument/2006/relationships/hyperlink" Target="#'10 EVIDENCE &amp; DECISIONS'!A748" TargetMode="External" Id="rId751"/><Relationship Type="http://schemas.openxmlformats.org/officeDocument/2006/relationships/hyperlink" Target="#'10 EVIDENCE &amp; DECISIONS'!A749" TargetMode="External" Id="rId752"/><Relationship Type="http://schemas.openxmlformats.org/officeDocument/2006/relationships/hyperlink" Target="#'10 EVIDENCE &amp; DECISIONS'!A750" TargetMode="External" Id="rId753"/><Relationship Type="http://schemas.openxmlformats.org/officeDocument/2006/relationships/hyperlink" Target="#'10 EVIDENCE &amp; DECISIONS'!A751" TargetMode="External" Id="rId754"/><Relationship Type="http://schemas.openxmlformats.org/officeDocument/2006/relationships/hyperlink" Target="#'10 EVIDENCE &amp; DECISIONS'!A752" TargetMode="External" Id="rId755"/><Relationship Type="http://schemas.openxmlformats.org/officeDocument/2006/relationships/hyperlink" Target="#'10 EVIDENCE &amp; DECISIONS'!A753" TargetMode="External" Id="rId756"/><Relationship Type="http://schemas.openxmlformats.org/officeDocument/2006/relationships/hyperlink" Target="#'10 EVIDENCE &amp; DECISIONS'!A754" TargetMode="External" Id="rId757"/><Relationship Type="http://schemas.openxmlformats.org/officeDocument/2006/relationships/hyperlink" Target="#'10 EVIDENCE &amp; DECISIONS'!A755" TargetMode="External" Id="rId758"/><Relationship Type="http://schemas.openxmlformats.org/officeDocument/2006/relationships/hyperlink" Target="#'10 EVIDENCE &amp; DECISIONS'!A756" TargetMode="External" Id="rId759"/><Relationship Type="http://schemas.openxmlformats.org/officeDocument/2006/relationships/hyperlink" Target="#'10 EVIDENCE &amp; DECISIONS'!A757" TargetMode="External" Id="rId760"/><Relationship Type="http://schemas.openxmlformats.org/officeDocument/2006/relationships/hyperlink" Target="#'10 EVIDENCE &amp; DECISIONS'!A758" TargetMode="External" Id="rId761"/><Relationship Type="http://schemas.openxmlformats.org/officeDocument/2006/relationships/hyperlink" Target="#'10 EVIDENCE &amp; DECISIONS'!A759" TargetMode="External" Id="rId762"/><Relationship Type="http://schemas.openxmlformats.org/officeDocument/2006/relationships/hyperlink" Target="#'10 EVIDENCE &amp; DECISIONS'!A760" TargetMode="External" Id="rId763"/><Relationship Type="http://schemas.openxmlformats.org/officeDocument/2006/relationships/hyperlink" Target="#'10 EVIDENCE &amp; DECISIONS'!A761" TargetMode="External" Id="rId764"/><Relationship Type="http://schemas.openxmlformats.org/officeDocument/2006/relationships/hyperlink" Target="#'10 EVIDENCE &amp; DECISIONS'!A762" TargetMode="External" Id="rId765"/><Relationship Type="http://schemas.openxmlformats.org/officeDocument/2006/relationships/hyperlink" Target="#'10 EVIDENCE &amp; DECISIONS'!A763" TargetMode="External" Id="rId766"/><Relationship Type="http://schemas.openxmlformats.org/officeDocument/2006/relationships/hyperlink" Target="#'10 EVIDENCE &amp; DECISIONS'!A764" TargetMode="External" Id="rId767"/><Relationship Type="http://schemas.openxmlformats.org/officeDocument/2006/relationships/hyperlink" Target="#'10 EVIDENCE &amp; DECISIONS'!A765" TargetMode="External" Id="rId768"/><Relationship Type="http://schemas.openxmlformats.org/officeDocument/2006/relationships/hyperlink" Target="#'10 EVIDENCE &amp; DECISIONS'!A766" TargetMode="External" Id="rId769"/><Relationship Type="http://schemas.openxmlformats.org/officeDocument/2006/relationships/hyperlink" Target="#'10 EVIDENCE &amp; DECISIONS'!A767" TargetMode="External" Id="rId770"/><Relationship Type="http://schemas.openxmlformats.org/officeDocument/2006/relationships/hyperlink" Target="#'10 EVIDENCE &amp; DECISIONS'!A768" TargetMode="External" Id="rId771"/><Relationship Type="http://schemas.openxmlformats.org/officeDocument/2006/relationships/hyperlink" Target="#'10 EVIDENCE &amp; DECISIONS'!A769" TargetMode="External" Id="rId772"/><Relationship Type="http://schemas.openxmlformats.org/officeDocument/2006/relationships/hyperlink" Target="#'10 EVIDENCE &amp; DECISIONS'!A770" TargetMode="External" Id="rId773"/><Relationship Type="http://schemas.openxmlformats.org/officeDocument/2006/relationships/hyperlink" Target="#'10 EVIDENCE &amp; DECISIONS'!A771" TargetMode="External" Id="rId774"/><Relationship Type="http://schemas.openxmlformats.org/officeDocument/2006/relationships/hyperlink" Target="#'10 EVIDENCE &amp; DECISIONS'!A772" TargetMode="External" Id="rId775"/><Relationship Type="http://schemas.openxmlformats.org/officeDocument/2006/relationships/hyperlink" Target="#'10 EVIDENCE &amp; DECISIONS'!A773" TargetMode="External" Id="rId776"/><Relationship Type="http://schemas.openxmlformats.org/officeDocument/2006/relationships/hyperlink" Target="#'10 EVIDENCE &amp; DECISIONS'!A774" TargetMode="External" Id="rId777"/><Relationship Type="http://schemas.openxmlformats.org/officeDocument/2006/relationships/hyperlink" Target="#'10 EVIDENCE &amp; DECISIONS'!A775" TargetMode="External" Id="rId778"/><Relationship Type="http://schemas.openxmlformats.org/officeDocument/2006/relationships/hyperlink" Target="#'10 EVIDENCE &amp; DECISIONS'!A776" TargetMode="External" Id="rId779"/><Relationship Type="http://schemas.openxmlformats.org/officeDocument/2006/relationships/hyperlink" Target="#'10 EVIDENCE &amp; DECISIONS'!A777" TargetMode="External" Id="rId780"/><Relationship Type="http://schemas.openxmlformats.org/officeDocument/2006/relationships/hyperlink" Target="#'10 EVIDENCE &amp; DECISIONS'!A778" TargetMode="External" Id="rId781"/><Relationship Type="http://schemas.openxmlformats.org/officeDocument/2006/relationships/hyperlink" Target="#'10 EVIDENCE &amp; DECISIONS'!A779" TargetMode="External" Id="rId782"/><Relationship Type="http://schemas.openxmlformats.org/officeDocument/2006/relationships/hyperlink" Target="#'10 EVIDENCE &amp; DECISIONS'!A780" TargetMode="External" Id="rId783"/><Relationship Type="http://schemas.openxmlformats.org/officeDocument/2006/relationships/hyperlink" Target="#'10 EVIDENCE &amp; DECISIONS'!A781" TargetMode="External" Id="rId784"/><Relationship Type="http://schemas.openxmlformats.org/officeDocument/2006/relationships/hyperlink" Target="#'10 EVIDENCE &amp; DECISIONS'!A782" TargetMode="External" Id="rId785"/><Relationship Type="http://schemas.openxmlformats.org/officeDocument/2006/relationships/hyperlink" Target="#'10 EVIDENCE &amp; DECISIONS'!A783" TargetMode="External" Id="rId786"/><Relationship Type="http://schemas.openxmlformats.org/officeDocument/2006/relationships/hyperlink" Target="#'10 EVIDENCE &amp; DECISIONS'!A784" TargetMode="External" Id="rId787"/><Relationship Type="http://schemas.openxmlformats.org/officeDocument/2006/relationships/hyperlink" Target="#'10 EVIDENCE &amp; DECISIONS'!A785" TargetMode="External" Id="rId788"/><Relationship Type="http://schemas.openxmlformats.org/officeDocument/2006/relationships/hyperlink" Target="#'10 EVIDENCE &amp; DECISIONS'!A786" TargetMode="External" Id="rId789"/><Relationship Type="http://schemas.openxmlformats.org/officeDocument/2006/relationships/hyperlink" Target="#'10 EVIDENCE &amp; DECISIONS'!A787" TargetMode="External" Id="rId790"/><Relationship Type="http://schemas.openxmlformats.org/officeDocument/2006/relationships/hyperlink" Target="#'10 EVIDENCE &amp; DECISIONS'!A788" TargetMode="External" Id="rId791"/><Relationship Type="http://schemas.openxmlformats.org/officeDocument/2006/relationships/hyperlink" Target="#'10 EVIDENCE &amp; DECISIONS'!A789" TargetMode="External" Id="rId792"/><Relationship Type="http://schemas.openxmlformats.org/officeDocument/2006/relationships/hyperlink" Target="#'10 EVIDENCE &amp; DECISIONS'!A790" TargetMode="External" Id="rId793"/><Relationship Type="http://schemas.openxmlformats.org/officeDocument/2006/relationships/hyperlink" Target="#'10 EVIDENCE &amp; DECISIONS'!A791" TargetMode="External" Id="rId794"/><Relationship Type="http://schemas.openxmlformats.org/officeDocument/2006/relationships/hyperlink" Target="#'10 EVIDENCE &amp; DECISIONS'!A792" TargetMode="External" Id="rId795"/><Relationship Type="http://schemas.openxmlformats.org/officeDocument/2006/relationships/hyperlink" Target="#'10 EVIDENCE &amp; DECISIONS'!A793" TargetMode="External" Id="rId796"/><Relationship Type="http://schemas.openxmlformats.org/officeDocument/2006/relationships/hyperlink" Target="#'10 EVIDENCE &amp; DECISIONS'!A794" TargetMode="External" Id="rId797"/><Relationship Type="http://schemas.openxmlformats.org/officeDocument/2006/relationships/hyperlink" Target="#'10 EVIDENCE &amp; DECISIONS'!A795" TargetMode="External" Id="rId798"/><Relationship Type="http://schemas.openxmlformats.org/officeDocument/2006/relationships/hyperlink" Target="#'10 EVIDENCE &amp; DECISIONS'!A796" TargetMode="External" Id="rId799"/><Relationship Type="http://schemas.openxmlformats.org/officeDocument/2006/relationships/hyperlink" Target="#'10 EVIDENCE &amp; DECISIONS'!A797" TargetMode="External" Id="rId800"/><Relationship Type="http://schemas.openxmlformats.org/officeDocument/2006/relationships/hyperlink" Target="#'10 EVIDENCE &amp; DECISIONS'!A798" TargetMode="External" Id="rId801"/><Relationship Type="http://schemas.openxmlformats.org/officeDocument/2006/relationships/hyperlink" Target="#'10 EVIDENCE &amp; DECISIONS'!A799" TargetMode="External" Id="rId802"/><Relationship Type="http://schemas.openxmlformats.org/officeDocument/2006/relationships/hyperlink" Target="#'10 EVIDENCE &amp; DECISIONS'!A800" TargetMode="External" Id="rId803"/><Relationship Type="http://schemas.openxmlformats.org/officeDocument/2006/relationships/hyperlink" Target="#'10 EVIDENCE &amp; DECISIONS'!A801" TargetMode="External" Id="rId804"/><Relationship Type="http://schemas.openxmlformats.org/officeDocument/2006/relationships/hyperlink" Target="#'10 EVIDENCE &amp; DECISIONS'!A802" TargetMode="External" Id="rId805"/><Relationship Type="http://schemas.openxmlformats.org/officeDocument/2006/relationships/hyperlink" Target="#'10 EVIDENCE &amp; DECISIONS'!A803" TargetMode="External" Id="rId806"/><Relationship Type="http://schemas.openxmlformats.org/officeDocument/2006/relationships/hyperlink" Target="#'10 EVIDENCE &amp; DECISIONS'!A804" TargetMode="External" Id="rId807"/><Relationship Type="http://schemas.openxmlformats.org/officeDocument/2006/relationships/hyperlink" Target="#'10 EVIDENCE &amp; DECISIONS'!A805" TargetMode="External" Id="rId808"/><Relationship Type="http://schemas.openxmlformats.org/officeDocument/2006/relationships/hyperlink" Target="#'10 EVIDENCE &amp; DECISIONS'!A806" TargetMode="External" Id="rId809"/><Relationship Type="http://schemas.openxmlformats.org/officeDocument/2006/relationships/hyperlink" Target="#'10 EVIDENCE &amp; DECISIONS'!A807" TargetMode="External" Id="rId810"/><Relationship Type="http://schemas.openxmlformats.org/officeDocument/2006/relationships/hyperlink" Target="#'10 EVIDENCE &amp; DECISIONS'!A808" TargetMode="External" Id="rId811"/><Relationship Type="http://schemas.openxmlformats.org/officeDocument/2006/relationships/hyperlink" Target="#'10 EVIDENCE &amp; DECISIONS'!A809" TargetMode="External" Id="rId812"/><Relationship Type="http://schemas.openxmlformats.org/officeDocument/2006/relationships/hyperlink" Target="#'10 EVIDENCE &amp; DECISIONS'!A810" TargetMode="External" Id="rId813"/><Relationship Type="http://schemas.openxmlformats.org/officeDocument/2006/relationships/hyperlink" Target="#'10 EVIDENCE &amp; DECISIONS'!A811" TargetMode="External" Id="rId814"/><Relationship Type="http://schemas.openxmlformats.org/officeDocument/2006/relationships/hyperlink" Target="#'10 EVIDENCE &amp; DECISIONS'!A812" TargetMode="External" Id="rId815"/><Relationship Type="http://schemas.openxmlformats.org/officeDocument/2006/relationships/hyperlink" Target="#'10 EVIDENCE &amp; DECISIONS'!A813" TargetMode="External" Id="rId816"/><Relationship Type="http://schemas.openxmlformats.org/officeDocument/2006/relationships/hyperlink" Target="#'10 EVIDENCE &amp; DECISIONS'!A814" TargetMode="External" Id="rId817"/><Relationship Type="http://schemas.openxmlformats.org/officeDocument/2006/relationships/hyperlink" Target="#'10 EVIDENCE &amp; DECISIONS'!A815" TargetMode="External" Id="rId818"/><Relationship Type="http://schemas.openxmlformats.org/officeDocument/2006/relationships/hyperlink" Target="#'10 EVIDENCE &amp; DECISIONS'!A816" TargetMode="External" Id="rId819"/><Relationship Type="http://schemas.openxmlformats.org/officeDocument/2006/relationships/hyperlink" Target="#'10 EVIDENCE &amp; DECISIONS'!A817" TargetMode="External" Id="rId820"/><Relationship Type="http://schemas.openxmlformats.org/officeDocument/2006/relationships/hyperlink" Target="#'10 EVIDENCE &amp; DECISIONS'!A818" TargetMode="External" Id="rId821"/><Relationship Type="http://schemas.openxmlformats.org/officeDocument/2006/relationships/hyperlink" Target="#'10 EVIDENCE &amp; DECISIONS'!A819" TargetMode="External" Id="rId822"/><Relationship Type="http://schemas.openxmlformats.org/officeDocument/2006/relationships/hyperlink" Target="#'10 EVIDENCE &amp; DECISIONS'!A820" TargetMode="External" Id="rId823"/><Relationship Type="http://schemas.openxmlformats.org/officeDocument/2006/relationships/hyperlink" Target="#'10 EVIDENCE &amp; DECISIONS'!A821" TargetMode="External" Id="rId824"/><Relationship Type="http://schemas.openxmlformats.org/officeDocument/2006/relationships/hyperlink" Target="#'10 EVIDENCE &amp; DECISIONS'!A822" TargetMode="External" Id="rId825"/><Relationship Type="http://schemas.openxmlformats.org/officeDocument/2006/relationships/hyperlink" Target="#'10 EVIDENCE &amp; DECISIONS'!A823" TargetMode="External" Id="rId826"/><Relationship Type="http://schemas.openxmlformats.org/officeDocument/2006/relationships/hyperlink" Target="#'10 EVIDENCE &amp; DECISIONS'!A824" TargetMode="External" Id="rId827"/><Relationship Type="http://schemas.openxmlformats.org/officeDocument/2006/relationships/hyperlink" Target="#'10 EVIDENCE &amp; DECISIONS'!A825" TargetMode="External" Id="rId828"/><Relationship Type="http://schemas.openxmlformats.org/officeDocument/2006/relationships/hyperlink" Target="#'10 EVIDENCE &amp; DECISIONS'!A826" TargetMode="External" Id="rId829"/><Relationship Type="http://schemas.openxmlformats.org/officeDocument/2006/relationships/hyperlink" Target="#'10 EVIDENCE &amp; DECISIONS'!A827" TargetMode="External" Id="rId830"/><Relationship Type="http://schemas.openxmlformats.org/officeDocument/2006/relationships/hyperlink" Target="#'10 EVIDENCE &amp; DECISIONS'!A828" TargetMode="External" Id="rId831"/><Relationship Type="http://schemas.openxmlformats.org/officeDocument/2006/relationships/hyperlink" Target="#'10 EVIDENCE &amp; DECISIONS'!A829" TargetMode="External" Id="rId832"/><Relationship Type="http://schemas.openxmlformats.org/officeDocument/2006/relationships/hyperlink" Target="#'10 EVIDENCE &amp; DECISIONS'!A830" TargetMode="External" Id="rId833"/><Relationship Type="http://schemas.openxmlformats.org/officeDocument/2006/relationships/hyperlink" Target="#'10 EVIDENCE &amp; DECISIONS'!A831" TargetMode="External" Id="rId834"/><Relationship Type="http://schemas.openxmlformats.org/officeDocument/2006/relationships/hyperlink" Target="#'10 EVIDENCE &amp; DECISIONS'!A832" TargetMode="External" Id="rId835"/><Relationship Type="http://schemas.openxmlformats.org/officeDocument/2006/relationships/hyperlink" Target="#'10 EVIDENCE &amp; DECISIONS'!A833" TargetMode="External" Id="rId836"/><Relationship Type="http://schemas.openxmlformats.org/officeDocument/2006/relationships/hyperlink" Target="#'10 EVIDENCE &amp; DECISIONS'!A834" TargetMode="External" Id="rId837"/><Relationship Type="http://schemas.openxmlformats.org/officeDocument/2006/relationships/hyperlink" Target="#'10 EVIDENCE &amp; DECISIONS'!A835" TargetMode="External" Id="rId838"/><Relationship Type="http://schemas.openxmlformats.org/officeDocument/2006/relationships/hyperlink" Target="#'10 EVIDENCE &amp; DECISIONS'!A836" TargetMode="External" Id="rId839"/><Relationship Type="http://schemas.openxmlformats.org/officeDocument/2006/relationships/hyperlink" Target="#'10 EVIDENCE &amp; DECISIONS'!A837" TargetMode="External" Id="rId840"/><Relationship Type="http://schemas.openxmlformats.org/officeDocument/2006/relationships/hyperlink" Target="#'10 EVIDENCE &amp; DECISIONS'!A838" TargetMode="External" Id="rId841"/><Relationship Type="http://schemas.openxmlformats.org/officeDocument/2006/relationships/hyperlink" Target="#'10 EVIDENCE &amp; DECISIONS'!A839" TargetMode="External" Id="rId842"/><Relationship Type="http://schemas.openxmlformats.org/officeDocument/2006/relationships/hyperlink" Target="#'10 EVIDENCE &amp; DECISIONS'!A840" TargetMode="External" Id="rId843"/><Relationship Type="http://schemas.openxmlformats.org/officeDocument/2006/relationships/hyperlink" Target="#'10 EVIDENCE &amp; DECISIONS'!A841" TargetMode="External" Id="rId844"/><Relationship Type="http://schemas.openxmlformats.org/officeDocument/2006/relationships/hyperlink" Target="#'10 EVIDENCE &amp; DECISIONS'!A842" TargetMode="External" Id="rId845"/><Relationship Type="http://schemas.openxmlformats.org/officeDocument/2006/relationships/hyperlink" Target="#'10 EVIDENCE &amp; DECISIONS'!A843" TargetMode="External" Id="rId846"/><Relationship Type="http://schemas.openxmlformats.org/officeDocument/2006/relationships/hyperlink" Target="#'10 EVIDENCE &amp; DECISIONS'!A844" TargetMode="External" Id="rId847"/><Relationship Type="http://schemas.openxmlformats.org/officeDocument/2006/relationships/hyperlink" Target="#'10 EVIDENCE &amp; DECISIONS'!A845" TargetMode="External" Id="rId848"/><Relationship Type="http://schemas.openxmlformats.org/officeDocument/2006/relationships/hyperlink" Target="#'10 EVIDENCE &amp; DECISIONS'!A846" TargetMode="External" Id="rId849"/><Relationship Type="http://schemas.openxmlformats.org/officeDocument/2006/relationships/hyperlink" Target="#'10 EVIDENCE &amp; DECISIONS'!A847" TargetMode="External" Id="rId850"/><Relationship Type="http://schemas.openxmlformats.org/officeDocument/2006/relationships/hyperlink" Target="#'10 EVIDENCE &amp; DECISIONS'!A848" TargetMode="External" Id="rId851"/><Relationship Type="http://schemas.openxmlformats.org/officeDocument/2006/relationships/hyperlink" Target="#'10 EVIDENCE &amp; DECISIONS'!A849" TargetMode="External" Id="rId852"/><Relationship Type="http://schemas.openxmlformats.org/officeDocument/2006/relationships/hyperlink" Target="#'10 EVIDENCE &amp; DECISIONS'!A850" TargetMode="External" Id="rId853"/><Relationship Type="http://schemas.openxmlformats.org/officeDocument/2006/relationships/hyperlink" Target="#'10 EVIDENCE &amp; DECISIONS'!A851" TargetMode="External" Id="rId854"/><Relationship Type="http://schemas.openxmlformats.org/officeDocument/2006/relationships/hyperlink" Target="#'10 EVIDENCE &amp; DECISIONS'!A852" TargetMode="External" Id="rId855"/><Relationship Type="http://schemas.openxmlformats.org/officeDocument/2006/relationships/hyperlink" Target="#'10 EVIDENCE &amp; DECISIONS'!A853" TargetMode="External" Id="rId856"/><Relationship Type="http://schemas.openxmlformats.org/officeDocument/2006/relationships/hyperlink" Target="#'10 EVIDENCE &amp; DECISIONS'!A854" TargetMode="External" Id="rId857"/><Relationship Type="http://schemas.openxmlformats.org/officeDocument/2006/relationships/hyperlink" Target="#'10 EVIDENCE &amp; DECISIONS'!A855" TargetMode="External" Id="rId858"/><Relationship Type="http://schemas.openxmlformats.org/officeDocument/2006/relationships/hyperlink" Target="#'10 EVIDENCE &amp; DECISIONS'!A856" TargetMode="External" Id="rId859"/><Relationship Type="http://schemas.openxmlformats.org/officeDocument/2006/relationships/hyperlink" Target="#'10 EVIDENCE &amp; DECISIONS'!A857" TargetMode="External" Id="rId860"/><Relationship Type="http://schemas.openxmlformats.org/officeDocument/2006/relationships/hyperlink" Target="#'10 EVIDENCE &amp; DECISIONS'!A858" TargetMode="External" Id="rId861"/><Relationship Type="http://schemas.openxmlformats.org/officeDocument/2006/relationships/hyperlink" Target="#'10 EVIDENCE &amp; DECISIONS'!A859" TargetMode="External" Id="rId862"/><Relationship Type="http://schemas.openxmlformats.org/officeDocument/2006/relationships/hyperlink" Target="#'10 EVIDENCE &amp; DECISIONS'!A860" TargetMode="External" Id="rId863"/><Relationship Type="http://schemas.openxmlformats.org/officeDocument/2006/relationships/hyperlink" Target="#'10 EVIDENCE &amp; DECISIONS'!A861" TargetMode="External" Id="rId864"/><Relationship Type="http://schemas.openxmlformats.org/officeDocument/2006/relationships/hyperlink" Target="#'10 EVIDENCE &amp; DECISIONS'!A862" TargetMode="External" Id="rId865"/><Relationship Type="http://schemas.openxmlformats.org/officeDocument/2006/relationships/hyperlink" Target="#'10 EVIDENCE &amp; DECISIONS'!A863" TargetMode="External" Id="rId866"/><Relationship Type="http://schemas.openxmlformats.org/officeDocument/2006/relationships/hyperlink" Target="#'10 EVIDENCE &amp; DECISIONS'!A864" TargetMode="External" Id="rId867"/><Relationship Type="http://schemas.openxmlformats.org/officeDocument/2006/relationships/hyperlink" Target="#'10 EVIDENCE &amp; DECISIONS'!A865" TargetMode="External" Id="rId868"/><Relationship Type="http://schemas.openxmlformats.org/officeDocument/2006/relationships/hyperlink" Target="#'10 EVIDENCE &amp; DECISIONS'!A866" TargetMode="External" Id="rId869"/><Relationship Type="http://schemas.openxmlformats.org/officeDocument/2006/relationships/hyperlink" Target="#'10 EVIDENCE &amp; DECISIONS'!A867" TargetMode="External" Id="rId870"/><Relationship Type="http://schemas.openxmlformats.org/officeDocument/2006/relationships/hyperlink" Target="#'10 EVIDENCE &amp; DECISIONS'!A868" TargetMode="External" Id="rId871"/><Relationship Type="http://schemas.openxmlformats.org/officeDocument/2006/relationships/hyperlink" Target="#'10 EVIDENCE &amp; DECISIONS'!A869" TargetMode="External" Id="rId872"/><Relationship Type="http://schemas.openxmlformats.org/officeDocument/2006/relationships/hyperlink" Target="#'10 EVIDENCE &amp; DECISIONS'!A870" TargetMode="External" Id="rId873"/><Relationship Type="http://schemas.openxmlformats.org/officeDocument/2006/relationships/hyperlink" Target="#'10 EVIDENCE &amp; DECISIONS'!A871" TargetMode="External" Id="rId874"/><Relationship Type="http://schemas.openxmlformats.org/officeDocument/2006/relationships/hyperlink" Target="#'10 EVIDENCE &amp; DECISIONS'!A872" TargetMode="External" Id="rId875"/><Relationship Type="http://schemas.openxmlformats.org/officeDocument/2006/relationships/hyperlink" Target="#'10 EVIDENCE &amp; DECISIONS'!A873" TargetMode="External" Id="rId876"/><Relationship Type="http://schemas.openxmlformats.org/officeDocument/2006/relationships/hyperlink" Target="#'10 EVIDENCE &amp; DECISIONS'!A874" TargetMode="External" Id="rId877"/><Relationship Type="http://schemas.openxmlformats.org/officeDocument/2006/relationships/hyperlink" Target="#'10 EVIDENCE &amp; DECISIONS'!A875" TargetMode="External" Id="rId878"/><Relationship Type="http://schemas.openxmlformats.org/officeDocument/2006/relationships/hyperlink" Target="#'10 EVIDENCE &amp; DECISIONS'!A876" TargetMode="External" Id="rId879"/><Relationship Type="http://schemas.openxmlformats.org/officeDocument/2006/relationships/hyperlink" Target="#'10 EVIDENCE &amp; DECISIONS'!A877" TargetMode="External" Id="rId880"/><Relationship Type="http://schemas.openxmlformats.org/officeDocument/2006/relationships/hyperlink" Target="#'10 EVIDENCE &amp; DECISIONS'!A878" TargetMode="External" Id="rId881"/><Relationship Type="http://schemas.openxmlformats.org/officeDocument/2006/relationships/hyperlink" Target="#'10 EVIDENCE &amp; DECISIONS'!A879" TargetMode="External" Id="rId882"/><Relationship Type="http://schemas.openxmlformats.org/officeDocument/2006/relationships/hyperlink" Target="#'10 EVIDENCE &amp; DECISIONS'!A880" TargetMode="External" Id="rId883"/><Relationship Type="http://schemas.openxmlformats.org/officeDocument/2006/relationships/hyperlink" Target="#'10 EVIDENCE &amp; DECISIONS'!A881" TargetMode="External" Id="rId884"/><Relationship Type="http://schemas.openxmlformats.org/officeDocument/2006/relationships/hyperlink" Target="#'10 EVIDENCE &amp; DECISIONS'!A882" TargetMode="External" Id="rId885"/><Relationship Type="http://schemas.openxmlformats.org/officeDocument/2006/relationships/hyperlink" Target="#'10 EVIDENCE &amp; DECISIONS'!A883" TargetMode="External" Id="rId886"/><Relationship Type="http://schemas.openxmlformats.org/officeDocument/2006/relationships/hyperlink" Target="#'10 EVIDENCE &amp; DECISIONS'!A884" TargetMode="External" Id="rId887"/><Relationship Type="http://schemas.openxmlformats.org/officeDocument/2006/relationships/hyperlink" Target="#'10 EVIDENCE &amp; DECISIONS'!A885" TargetMode="External" Id="rId888"/><Relationship Type="http://schemas.openxmlformats.org/officeDocument/2006/relationships/hyperlink" Target="#'10 EVIDENCE &amp; DECISIONS'!A886" TargetMode="External" Id="rId889"/><Relationship Type="http://schemas.openxmlformats.org/officeDocument/2006/relationships/hyperlink" Target="#'10 EVIDENCE &amp; DECISIONS'!A887" TargetMode="External" Id="rId890"/><Relationship Type="http://schemas.openxmlformats.org/officeDocument/2006/relationships/hyperlink" Target="#'10 EVIDENCE &amp; DECISIONS'!A888" TargetMode="External" Id="rId891"/><Relationship Type="http://schemas.openxmlformats.org/officeDocument/2006/relationships/hyperlink" Target="#'10 EVIDENCE &amp; DECISIONS'!A889" TargetMode="External" Id="rId892"/><Relationship Type="http://schemas.openxmlformats.org/officeDocument/2006/relationships/hyperlink" Target="#'10 EVIDENCE &amp; DECISIONS'!A890" TargetMode="External" Id="rId893"/><Relationship Type="http://schemas.openxmlformats.org/officeDocument/2006/relationships/hyperlink" Target="#'10 EVIDENCE &amp; DECISIONS'!A891" TargetMode="External" Id="rId894"/><Relationship Type="http://schemas.openxmlformats.org/officeDocument/2006/relationships/hyperlink" Target="#'10 EVIDENCE &amp; DECISIONS'!A892" TargetMode="External" Id="rId895"/><Relationship Type="http://schemas.openxmlformats.org/officeDocument/2006/relationships/hyperlink" Target="#'10 EVIDENCE &amp; DECISIONS'!A893" TargetMode="External" Id="rId896"/><Relationship Type="http://schemas.openxmlformats.org/officeDocument/2006/relationships/hyperlink" Target="#'10 EVIDENCE &amp; DECISIONS'!A894" TargetMode="External" Id="rId897"/><Relationship Type="http://schemas.openxmlformats.org/officeDocument/2006/relationships/hyperlink" Target="#'10 EVIDENCE &amp; DECISIONS'!A895" TargetMode="External" Id="rId898"/><Relationship Type="http://schemas.openxmlformats.org/officeDocument/2006/relationships/hyperlink" Target="#'10 EVIDENCE &amp; DECISIONS'!A896" TargetMode="External" Id="rId899"/><Relationship Type="http://schemas.openxmlformats.org/officeDocument/2006/relationships/hyperlink" Target="#'10 EVIDENCE &amp; DECISIONS'!A897" TargetMode="External" Id="rId900"/><Relationship Type="http://schemas.openxmlformats.org/officeDocument/2006/relationships/hyperlink" Target="#'10 EVIDENCE &amp; DECISIONS'!A898" TargetMode="External" Id="rId901"/><Relationship Type="http://schemas.openxmlformats.org/officeDocument/2006/relationships/hyperlink" Target="#'10 EVIDENCE &amp; DECISIONS'!A899" TargetMode="External" Id="rId902"/><Relationship Type="http://schemas.openxmlformats.org/officeDocument/2006/relationships/hyperlink" Target="#'10 EVIDENCE &amp; DECISIONS'!A900" TargetMode="External" Id="rId903"/><Relationship Type="http://schemas.openxmlformats.org/officeDocument/2006/relationships/hyperlink" Target="#'10 EVIDENCE &amp; DECISIONS'!A901" TargetMode="External" Id="rId904"/><Relationship Type="http://schemas.openxmlformats.org/officeDocument/2006/relationships/hyperlink" Target="#'10 EVIDENCE &amp; DECISIONS'!A902" TargetMode="External" Id="rId905"/><Relationship Type="http://schemas.openxmlformats.org/officeDocument/2006/relationships/hyperlink" Target="#'10 EVIDENCE &amp; DECISIONS'!A903" TargetMode="External" Id="rId906"/><Relationship Type="http://schemas.openxmlformats.org/officeDocument/2006/relationships/hyperlink" Target="#'10 EVIDENCE &amp; DECISIONS'!A904" TargetMode="External" Id="rId907"/><Relationship Type="http://schemas.openxmlformats.org/officeDocument/2006/relationships/hyperlink" Target="#'10 EVIDENCE &amp; DECISIONS'!A905" TargetMode="External" Id="rId908"/><Relationship Type="http://schemas.openxmlformats.org/officeDocument/2006/relationships/hyperlink" Target="#'10 EVIDENCE &amp; DECISIONS'!A906" TargetMode="External" Id="rId909"/><Relationship Type="http://schemas.openxmlformats.org/officeDocument/2006/relationships/hyperlink" Target="#'10 EVIDENCE &amp; DECISIONS'!A907" TargetMode="External" Id="rId910"/><Relationship Type="http://schemas.openxmlformats.org/officeDocument/2006/relationships/hyperlink" Target="#'10 EVIDENCE &amp; DECISIONS'!A908" TargetMode="External" Id="rId911"/><Relationship Type="http://schemas.openxmlformats.org/officeDocument/2006/relationships/hyperlink" Target="#'10 EVIDENCE &amp; DECISIONS'!A909" TargetMode="External" Id="rId912"/><Relationship Type="http://schemas.openxmlformats.org/officeDocument/2006/relationships/hyperlink" Target="#'10 EVIDENCE &amp; DECISIONS'!A910" TargetMode="External" Id="rId913"/><Relationship Type="http://schemas.openxmlformats.org/officeDocument/2006/relationships/hyperlink" Target="#'10 EVIDENCE &amp; DECISIONS'!A911" TargetMode="External" Id="rId914"/><Relationship Type="http://schemas.openxmlformats.org/officeDocument/2006/relationships/hyperlink" Target="#'10 EVIDENCE &amp; DECISIONS'!A912" TargetMode="External" Id="rId915"/><Relationship Type="http://schemas.openxmlformats.org/officeDocument/2006/relationships/hyperlink" Target="#'10 EVIDENCE &amp; DECISIONS'!A913" TargetMode="External" Id="rId916"/><Relationship Type="http://schemas.openxmlformats.org/officeDocument/2006/relationships/hyperlink" Target="#'10 EVIDENCE &amp; DECISIONS'!A914" TargetMode="External" Id="rId917"/><Relationship Type="http://schemas.openxmlformats.org/officeDocument/2006/relationships/hyperlink" Target="#'10 EVIDENCE &amp; DECISIONS'!A915" TargetMode="External" Id="rId918"/><Relationship Type="http://schemas.openxmlformats.org/officeDocument/2006/relationships/hyperlink" Target="#'10 EVIDENCE &amp; DECISIONS'!A916" TargetMode="External" Id="rId919"/><Relationship Type="http://schemas.openxmlformats.org/officeDocument/2006/relationships/hyperlink" Target="#'10 EVIDENCE &amp; DECISIONS'!A917" TargetMode="External" Id="rId920"/><Relationship Type="http://schemas.openxmlformats.org/officeDocument/2006/relationships/hyperlink" Target="#'10 EVIDENCE &amp; DECISIONS'!A918" TargetMode="External" Id="rId921"/><Relationship Type="http://schemas.openxmlformats.org/officeDocument/2006/relationships/hyperlink" Target="#'10 EVIDENCE &amp; DECISIONS'!A919" TargetMode="External" Id="rId922"/><Relationship Type="http://schemas.openxmlformats.org/officeDocument/2006/relationships/hyperlink" Target="#'10 EVIDENCE &amp; DECISIONS'!A920" TargetMode="External" Id="rId923"/><Relationship Type="http://schemas.openxmlformats.org/officeDocument/2006/relationships/hyperlink" Target="#'10 EVIDENCE &amp; DECISIONS'!A921" TargetMode="External" Id="rId924"/><Relationship Type="http://schemas.openxmlformats.org/officeDocument/2006/relationships/hyperlink" Target="#'10 EVIDENCE &amp; DECISIONS'!A922" TargetMode="External" Id="rId925"/><Relationship Type="http://schemas.openxmlformats.org/officeDocument/2006/relationships/hyperlink" Target="#'10 EVIDENCE &amp; DECISIONS'!A923" TargetMode="External" Id="rId926"/><Relationship Type="http://schemas.openxmlformats.org/officeDocument/2006/relationships/hyperlink" Target="#'10 EVIDENCE &amp; DECISIONS'!A924" TargetMode="External" Id="rId927"/><Relationship Type="http://schemas.openxmlformats.org/officeDocument/2006/relationships/hyperlink" Target="#'10 EVIDENCE &amp; DECISIONS'!A925" TargetMode="External" Id="rId928"/><Relationship Type="http://schemas.openxmlformats.org/officeDocument/2006/relationships/hyperlink" Target="#'10 EVIDENCE &amp; DECISIONS'!A926" TargetMode="External" Id="rId929"/><Relationship Type="http://schemas.openxmlformats.org/officeDocument/2006/relationships/hyperlink" Target="#'10 EVIDENCE &amp; DECISIONS'!A927" TargetMode="External" Id="rId930"/><Relationship Type="http://schemas.openxmlformats.org/officeDocument/2006/relationships/hyperlink" Target="#'10 EVIDENCE &amp; DECISIONS'!A928" TargetMode="External" Id="rId931"/><Relationship Type="http://schemas.openxmlformats.org/officeDocument/2006/relationships/hyperlink" Target="#'10 EVIDENCE &amp; DECISIONS'!A929" TargetMode="External" Id="rId932"/><Relationship Type="http://schemas.openxmlformats.org/officeDocument/2006/relationships/hyperlink" Target="#'10 EVIDENCE &amp; DECISIONS'!A930" TargetMode="External" Id="rId933"/><Relationship Type="http://schemas.openxmlformats.org/officeDocument/2006/relationships/hyperlink" Target="#'10 EVIDENCE &amp; DECISIONS'!A931" TargetMode="External" Id="rId934"/><Relationship Type="http://schemas.openxmlformats.org/officeDocument/2006/relationships/hyperlink" Target="#'10 EVIDENCE &amp; DECISIONS'!A932" TargetMode="External" Id="rId935"/><Relationship Type="http://schemas.openxmlformats.org/officeDocument/2006/relationships/hyperlink" Target="#'10 EVIDENCE &amp; DECISIONS'!A933" TargetMode="External" Id="rId936"/><Relationship Type="http://schemas.openxmlformats.org/officeDocument/2006/relationships/hyperlink" Target="#'10 EVIDENCE &amp; DECISIONS'!A934" TargetMode="External" Id="rId937"/><Relationship Type="http://schemas.openxmlformats.org/officeDocument/2006/relationships/hyperlink" Target="#'10 EVIDENCE &amp; DECISIONS'!A935" TargetMode="External" Id="rId938"/><Relationship Type="http://schemas.openxmlformats.org/officeDocument/2006/relationships/hyperlink" Target="#'10 EVIDENCE &amp; DECISIONS'!A936" TargetMode="External" Id="rId939"/><Relationship Type="http://schemas.openxmlformats.org/officeDocument/2006/relationships/hyperlink" Target="#'10 EVIDENCE &amp; DECISIONS'!A937" TargetMode="External" Id="rId940"/><Relationship Type="http://schemas.openxmlformats.org/officeDocument/2006/relationships/hyperlink" Target="#'10 EVIDENCE &amp; DECISIONS'!A938" TargetMode="External" Id="rId941"/><Relationship Type="http://schemas.openxmlformats.org/officeDocument/2006/relationships/hyperlink" Target="#'10 EVIDENCE &amp; DECISIONS'!A939" TargetMode="External" Id="rId942"/><Relationship Type="http://schemas.openxmlformats.org/officeDocument/2006/relationships/hyperlink" Target="#'10 EVIDENCE &amp; DECISIONS'!A940" TargetMode="External" Id="rId943"/><Relationship Type="http://schemas.openxmlformats.org/officeDocument/2006/relationships/hyperlink" Target="#'10 EVIDENCE &amp; DECISIONS'!A941" TargetMode="External" Id="rId944"/><Relationship Type="http://schemas.openxmlformats.org/officeDocument/2006/relationships/hyperlink" Target="#'10 EVIDENCE &amp; DECISIONS'!A942" TargetMode="External" Id="rId945"/><Relationship Type="http://schemas.openxmlformats.org/officeDocument/2006/relationships/hyperlink" Target="#'10 EVIDENCE &amp; DECISIONS'!A943" TargetMode="External" Id="rId946"/><Relationship Type="http://schemas.openxmlformats.org/officeDocument/2006/relationships/hyperlink" Target="#'10 EVIDENCE &amp; DECISIONS'!A944" TargetMode="External" Id="rId947"/><Relationship Type="http://schemas.openxmlformats.org/officeDocument/2006/relationships/hyperlink" Target="#'10 EVIDENCE &amp; DECISIONS'!A945" TargetMode="External" Id="rId948"/><Relationship Type="http://schemas.openxmlformats.org/officeDocument/2006/relationships/hyperlink" Target="#'10 EVIDENCE &amp; DECISIONS'!A946" TargetMode="External" Id="rId949"/><Relationship Type="http://schemas.openxmlformats.org/officeDocument/2006/relationships/hyperlink" Target="#'10 EVIDENCE &amp; DECISIONS'!A947" TargetMode="External" Id="rId950"/><Relationship Type="http://schemas.openxmlformats.org/officeDocument/2006/relationships/hyperlink" Target="#'10 EVIDENCE &amp; DECISIONS'!A948" TargetMode="External" Id="rId951"/><Relationship Type="http://schemas.openxmlformats.org/officeDocument/2006/relationships/hyperlink" Target="#'10 EVIDENCE &amp; DECISIONS'!A949" TargetMode="External" Id="rId952"/><Relationship Type="http://schemas.openxmlformats.org/officeDocument/2006/relationships/hyperlink" Target="#'10 EVIDENCE &amp; DECISIONS'!A950" TargetMode="External" Id="rId953"/><Relationship Type="http://schemas.openxmlformats.org/officeDocument/2006/relationships/hyperlink" Target="#'10 EVIDENCE &amp; DECISIONS'!A951" TargetMode="External" Id="rId954"/><Relationship Type="http://schemas.openxmlformats.org/officeDocument/2006/relationships/hyperlink" Target="#'10 EVIDENCE &amp; DECISIONS'!A952" TargetMode="External" Id="rId955"/><Relationship Type="http://schemas.openxmlformats.org/officeDocument/2006/relationships/hyperlink" Target="#'10 EVIDENCE &amp; DECISIONS'!A953" TargetMode="External" Id="rId956"/><Relationship Type="http://schemas.openxmlformats.org/officeDocument/2006/relationships/hyperlink" Target="#'10 EVIDENCE &amp; DECISIONS'!A954" TargetMode="External" Id="rId957"/><Relationship Type="http://schemas.openxmlformats.org/officeDocument/2006/relationships/hyperlink" Target="#'10 EVIDENCE &amp; DECISIONS'!A955" TargetMode="External" Id="rId958"/><Relationship Type="http://schemas.openxmlformats.org/officeDocument/2006/relationships/hyperlink" Target="#'10 EVIDENCE &amp; DECISIONS'!A956" TargetMode="External" Id="rId959"/><Relationship Type="http://schemas.openxmlformats.org/officeDocument/2006/relationships/hyperlink" Target="#'10 EVIDENCE &amp; DECISIONS'!A957" TargetMode="External" Id="rId960"/><Relationship Type="http://schemas.openxmlformats.org/officeDocument/2006/relationships/hyperlink" Target="#'10 EVIDENCE &amp; DECISIONS'!A958" TargetMode="External" Id="rId961"/><Relationship Type="http://schemas.openxmlformats.org/officeDocument/2006/relationships/hyperlink" Target="#'10 EVIDENCE &amp; DECISIONS'!A959" TargetMode="External" Id="rId962"/><Relationship Type="http://schemas.openxmlformats.org/officeDocument/2006/relationships/hyperlink" Target="#'10 EVIDENCE &amp; DECISIONS'!A960" TargetMode="External" Id="rId963"/><Relationship Type="http://schemas.openxmlformats.org/officeDocument/2006/relationships/hyperlink" Target="#'10 EVIDENCE &amp; DECISIONS'!A961" TargetMode="External" Id="rId964"/><Relationship Type="http://schemas.openxmlformats.org/officeDocument/2006/relationships/hyperlink" Target="#'10 EVIDENCE &amp; DECISIONS'!A962" TargetMode="External" Id="rId965"/><Relationship Type="http://schemas.openxmlformats.org/officeDocument/2006/relationships/hyperlink" Target="#'10 EVIDENCE &amp; DECISIONS'!A963" TargetMode="External" Id="rId966"/><Relationship Type="http://schemas.openxmlformats.org/officeDocument/2006/relationships/hyperlink" Target="#'10 EVIDENCE &amp; DECISIONS'!A964" TargetMode="External" Id="rId967"/><Relationship Type="http://schemas.openxmlformats.org/officeDocument/2006/relationships/hyperlink" Target="#'10 EVIDENCE &amp; DECISIONS'!A965" TargetMode="External" Id="rId968"/><Relationship Type="http://schemas.openxmlformats.org/officeDocument/2006/relationships/hyperlink" Target="#'10 EVIDENCE &amp; DECISIONS'!A966" TargetMode="External" Id="rId969"/><Relationship Type="http://schemas.openxmlformats.org/officeDocument/2006/relationships/hyperlink" Target="#'10 EVIDENCE &amp; DECISIONS'!A967" TargetMode="External" Id="rId970"/><Relationship Type="http://schemas.openxmlformats.org/officeDocument/2006/relationships/hyperlink" Target="#'10 EVIDENCE &amp; DECISIONS'!A968" TargetMode="External" Id="rId971"/><Relationship Type="http://schemas.openxmlformats.org/officeDocument/2006/relationships/hyperlink" Target="#'10 EVIDENCE &amp; DECISIONS'!A969" TargetMode="External" Id="rId972"/><Relationship Type="http://schemas.openxmlformats.org/officeDocument/2006/relationships/hyperlink" Target="#'10 EVIDENCE &amp; DECISIONS'!A970" TargetMode="External" Id="rId973"/><Relationship Type="http://schemas.openxmlformats.org/officeDocument/2006/relationships/hyperlink" Target="#'10 EVIDENCE &amp; DECISIONS'!A971" TargetMode="External" Id="rId974"/><Relationship Type="http://schemas.openxmlformats.org/officeDocument/2006/relationships/hyperlink" Target="#'10 EVIDENCE &amp; DECISIONS'!A972" TargetMode="External" Id="rId975"/><Relationship Type="http://schemas.openxmlformats.org/officeDocument/2006/relationships/hyperlink" Target="#'10 EVIDENCE &amp; DECISIONS'!A973" TargetMode="External" Id="rId976"/><Relationship Type="http://schemas.openxmlformats.org/officeDocument/2006/relationships/hyperlink" Target="#'10 EVIDENCE &amp; DECISIONS'!A974" TargetMode="External" Id="rId977"/><Relationship Type="http://schemas.openxmlformats.org/officeDocument/2006/relationships/hyperlink" Target="#'10 EVIDENCE &amp; DECISIONS'!A975" TargetMode="External" Id="rId978"/><Relationship Type="http://schemas.openxmlformats.org/officeDocument/2006/relationships/hyperlink" Target="#'10 EVIDENCE &amp; DECISIONS'!A976" TargetMode="External" Id="rId979"/><Relationship Type="http://schemas.openxmlformats.org/officeDocument/2006/relationships/hyperlink" Target="#'10 EVIDENCE &amp; DECISIONS'!A977" TargetMode="External" Id="rId980"/><Relationship Type="http://schemas.openxmlformats.org/officeDocument/2006/relationships/hyperlink" Target="#'10 EVIDENCE &amp; DECISIONS'!A978" TargetMode="External" Id="rId981"/><Relationship Type="http://schemas.openxmlformats.org/officeDocument/2006/relationships/hyperlink" Target="#'10 EVIDENCE &amp; DECISIONS'!A979" TargetMode="External" Id="rId982"/><Relationship Type="http://schemas.openxmlformats.org/officeDocument/2006/relationships/hyperlink" Target="#'10 EVIDENCE &amp; DECISIONS'!A980" TargetMode="External" Id="rId983"/><Relationship Type="http://schemas.openxmlformats.org/officeDocument/2006/relationships/hyperlink" Target="#'10 EVIDENCE &amp; DECISIONS'!A981" TargetMode="External" Id="rId984"/><Relationship Type="http://schemas.openxmlformats.org/officeDocument/2006/relationships/hyperlink" Target="#'10 EVIDENCE &amp; DECISIONS'!A982" TargetMode="External" Id="rId985"/><Relationship Type="http://schemas.openxmlformats.org/officeDocument/2006/relationships/hyperlink" Target="#'10 EVIDENCE &amp; DECISIONS'!A983" TargetMode="External" Id="rId986"/><Relationship Type="http://schemas.openxmlformats.org/officeDocument/2006/relationships/hyperlink" Target="#'10 EVIDENCE &amp; DECISIONS'!A984" TargetMode="External" Id="rId987"/><Relationship Type="http://schemas.openxmlformats.org/officeDocument/2006/relationships/hyperlink" Target="#'10 EVIDENCE &amp; DECISIONS'!A985" TargetMode="External" Id="rId988"/><Relationship Type="http://schemas.openxmlformats.org/officeDocument/2006/relationships/hyperlink" Target="#'10 EVIDENCE &amp; DECISIONS'!A986" TargetMode="External" Id="rId989"/><Relationship Type="http://schemas.openxmlformats.org/officeDocument/2006/relationships/hyperlink" Target="#'10 EVIDENCE &amp; DECISIONS'!A987" TargetMode="External" Id="rId990"/><Relationship Type="http://schemas.openxmlformats.org/officeDocument/2006/relationships/hyperlink" Target="#'10 EVIDENCE &amp; DECISIONS'!A988" TargetMode="External" Id="rId991"/><Relationship Type="http://schemas.openxmlformats.org/officeDocument/2006/relationships/hyperlink" Target="#'10 EVIDENCE &amp; DECISIONS'!A989" TargetMode="External" Id="rId992"/><Relationship Type="http://schemas.openxmlformats.org/officeDocument/2006/relationships/hyperlink" Target="#'10 EVIDENCE &amp; DECISIONS'!A990" TargetMode="External" Id="rId993"/><Relationship Type="http://schemas.openxmlformats.org/officeDocument/2006/relationships/hyperlink" Target="#'10 EVIDENCE &amp; DECISIONS'!A991" TargetMode="External" Id="rId994"/><Relationship Type="http://schemas.openxmlformats.org/officeDocument/2006/relationships/hyperlink" Target="#'10 EVIDENCE &amp; DECISIONS'!A992" TargetMode="External" Id="rId995"/><Relationship Type="http://schemas.openxmlformats.org/officeDocument/2006/relationships/hyperlink" Target="#'10 EVIDENCE &amp; DECISIONS'!A993" TargetMode="External" Id="rId996"/><Relationship Type="http://schemas.openxmlformats.org/officeDocument/2006/relationships/hyperlink" Target="#'10 EVIDENCE &amp; DECISIONS'!A994" TargetMode="External" Id="rId997"/><Relationship Type="http://schemas.openxmlformats.org/officeDocument/2006/relationships/hyperlink" Target="#'10 EVIDENCE &amp; DECISIONS'!A995" TargetMode="External" Id="rId998"/><Relationship Type="http://schemas.openxmlformats.org/officeDocument/2006/relationships/hyperlink" Target="#'10 EVIDENCE &amp; DECISIONS'!A996" TargetMode="External" Id="rId999"/><Relationship Type="http://schemas.openxmlformats.org/officeDocument/2006/relationships/hyperlink" Target="#'10 EVIDENCE &amp; DECISIONS'!A997" TargetMode="External" Id="rId1000"/><Relationship Type="http://schemas.openxmlformats.org/officeDocument/2006/relationships/hyperlink" Target="#'10 EVIDENCE &amp; DECISIONS'!A998" TargetMode="External" Id="rId1001"/><Relationship Type="http://schemas.openxmlformats.org/officeDocument/2006/relationships/hyperlink" Target="#'10 EVIDENCE &amp; DECISIONS'!A999" TargetMode="External" Id="rId1002"/><Relationship Type="http://schemas.openxmlformats.org/officeDocument/2006/relationships/hyperlink" Target="#'10 EVIDENCE &amp; DECISIONS'!A1000" TargetMode="External" Id="rId1003"/><Relationship Type="http://schemas.openxmlformats.org/officeDocument/2006/relationships/hyperlink" Target="#'10 EVIDENCE &amp; DECISIONS'!A1001" TargetMode="External" Id="rId1004"/><Relationship Type="http://schemas.openxmlformats.org/officeDocument/2006/relationships/hyperlink" Target="#'10 EVIDENCE &amp; DECISIONS'!A1002" TargetMode="External" Id="rId1005"/><Relationship Type="http://schemas.openxmlformats.org/officeDocument/2006/relationships/hyperlink" Target="#'10 EVIDENCE &amp; DECISIONS'!A1003" TargetMode="External" Id="rId1006"/><Relationship Type="http://schemas.openxmlformats.org/officeDocument/2006/relationships/hyperlink" Target="#'10 EVIDENCE &amp; DECISIONS'!A1004" TargetMode="External" Id="rId1007"/><Relationship Type="http://schemas.openxmlformats.org/officeDocument/2006/relationships/hyperlink" Target="#'10 EVIDENCE &amp; DECISIONS'!A1005" TargetMode="External" Id="rId1008"/><Relationship Type="http://schemas.openxmlformats.org/officeDocument/2006/relationships/hyperlink" Target="#'10 EVIDENCE &amp; DECISIONS'!A1006" TargetMode="External" Id="rId1009"/><Relationship Type="http://schemas.openxmlformats.org/officeDocument/2006/relationships/hyperlink" Target="#'10 EVIDENCE &amp; DECISIONS'!A1007" TargetMode="External" Id="rId1010"/><Relationship Type="http://schemas.openxmlformats.org/officeDocument/2006/relationships/hyperlink" Target="#'10 EVIDENCE &amp; DECISIONS'!A1008" TargetMode="External" Id="rId1011"/><Relationship Type="http://schemas.openxmlformats.org/officeDocument/2006/relationships/hyperlink" Target="#'10 EVIDENCE &amp; DECISIONS'!A1009" TargetMode="External" Id="rId1012"/><Relationship Type="http://schemas.openxmlformats.org/officeDocument/2006/relationships/hyperlink" Target="#'10 EVIDENCE &amp; DECISIONS'!A1010" TargetMode="External" Id="rId1013"/><Relationship Type="http://schemas.openxmlformats.org/officeDocument/2006/relationships/hyperlink" Target="#'10 EVIDENCE &amp; DECISIONS'!A1011" TargetMode="External" Id="rId1014"/><Relationship Type="http://schemas.openxmlformats.org/officeDocument/2006/relationships/hyperlink" Target="#'10 EVIDENCE &amp; DECISIONS'!A1012" TargetMode="External" Id="rId1015"/><Relationship Type="http://schemas.openxmlformats.org/officeDocument/2006/relationships/hyperlink" Target="#'10 EVIDENCE &amp; DECISIONS'!A1013" TargetMode="External" Id="rId1016"/><Relationship Type="http://schemas.openxmlformats.org/officeDocument/2006/relationships/hyperlink" Target="#'10 EVIDENCE &amp; DECISIONS'!A1014" TargetMode="External" Id="rId1017"/><Relationship Type="http://schemas.openxmlformats.org/officeDocument/2006/relationships/hyperlink" Target="#'10 EVIDENCE &amp; DECISIONS'!A1015" TargetMode="External" Id="rId1018"/><Relationship Type="http://schemas.openxmlformats.org/officeDocument/2006/relationships/hyperlink" Target="#'10 EVIDENCE &amp; DECISIONS'!A1016" TargetMode="External" Id="rId1019"/><Relationship Type="http://schemas.openxmlformats.org/officeDocument/2006/relationships/hyperlink" Target="#'10 EVIDENCE &amp; DECISIONS'!A1017" TargetMode="External" Id="rId1020"/><Relationship Type="http://schemas.openxmlformats.org/officeDocument/2006/relationships/hyperlink" Target="#'10 EVIDENCE &amp; DECISIONS'!A1018" TargetMode="External" Id="rId1021"/><Relationship Type="http://schemas.openxmlformats.org/officeDocument/2006/relationships/hyperlink" Target="#'10 EVIDENCE &amp; DECISIONS'!A1019" TargetMode="External" Id="rId1022"/><Relationship Type="http://schemas.openxmlformats.org/officeDocument/2006/relationships/hyperlink" Target="#'10 EVIDENCE &amp; DECISIONS'!A1020" TargetMode="External" Id="rId1023"/><Relationship Type="http://schemas.openxmlformats.org/officeDocument/2006/relationships/hyperlink" Target="#'10 EVIDENCE &amp; DECISIONS'!A1021" TargetMode="External" Id="rId1024"/><Relationship Type="http://schemas.openxmlformats.org/officeDocument/2006/relationships/hyperlink" Target="#'10 EVIDENCE &amp; DECISIONS'!A1022" TargetMode="External" Id="rId1025"/><Relationship Type="http://schemas.openxmlformats.org/officeDocument/2006/relationships/hyperlink" Target="#'10 EVIDENCE &amp; DECISIONS'!A1023" TargetMode="External" Id="rId1026"/><Relationship Type="http://schemas.openxmlformats.org/officeDocument/2006/relationships/hyperlink" Target="#'10 EVIDENCE &amp; DECISIONS'!A1024" TargetMode="External" Id="rId1027"/><Relationship Type="http://schemas.openxmlformats.org/officeDocument/2006/relationships/hyperlink" Target="#'10 EVIDENCE &amp; DECISIONS'!A1025" TargetMode="External" Id="rId1028"/><Relationship Type="http://schemas.openxmlformats.org/officeDocument/2006/relationships/hyperlink" Target="#'10 EVIDENCE &amp; DECISIONS'!A1026" TargetMode="External" Id="rId1029"/><Relationship Type="http://schemas.openxmlformats.org/officeDocument/2006/relationships/hyperlink" Target="#'10 EVIDENCE &amp; DECISIONS'!A1027" TargetMode="External" Id="rId1030"/><Relationship Type="http://schemas.openxmlformats.org/officeDocument/2006/relationships/hyperlink" Target="#'10 EVIDENCE &amp; DECISIONS'!A1028" TargetMode="External" Id="rId1031"/><Relationship Type="http://schemas.openxmlformats.org/officeDocument/2006/relationships/hyperlink" Target="#'10 EVIDENCE &amp; DECISIONS'!A1029" TargetMode="External" Id="rId1032"/><Relationship Type="http://schemas.openxmlformats.org/officeDocument/2006/relationships/hyperlink" Target="#'10 EVIDENCE &amp; DECISIONS'!A1030" TargetMode="External" Id="rId1033"/><Relationship Type="http://schemas.openxmlformats.org/officeDocument/2006/relationships/hyperlink" Target="#'10 EVIDENCE &amp; DECISIONS'!A1031" TargetMode="External" Id="rId1034"/><Relationship Type="http://schemas.openxmlformats.org/officeDocument/2006/relationships/hyperlink" Target="#'10 EVIDENCE &amp; DECISIONS'!A1032" TargetMode="External" Id="rId1035"/><Relationship Type="http://schemas.openxmlformats.org/officeDocument/2006/relationships/hyperlink" Target="#'10 EVIDENCE &amp; DECISIONS'!A1033" TargetMode="External" Id="rId1036"/><Relationship Type="http://schemas.openxmlformats.org/officeDocument/2006/relationships/hyperlink" Target="#'10 EVIDENCE &amp; DECISIONS'!A1034" TargetMode="External" Id="rId1037"/><Relationship Type="http://schemas.openxmlformats.org/officeDocument/2006/relationships/hyperlink" Target="#'10 EVIDENCE &amp; DECISIONS'!A1035" TargetMode="External" Id="rId1038"/><Relationship Type="http://schemas.openxmlformats.org/officeDocument/2006/relationships/hyperlink" Target="#'10 EVIDENCE &amp; DECISIONS'!A1036" TargetMode="External" Id="rId1039"/><Relationship Type="http://schemas.openxmlformats.org/officeDocument/2006/relationships/hyperlink" Target="#'10 EVIDENCE &amp; DECISIONS'!A1037" TargetMode="External" Id="rId1040"/><Relationship Type="http://schemas.openxmlformats.org/officeDocument/2006/relationships/hyperlink" Target="#'10 EVIDENCE &amp; DECISIONS'!A1038" TargetMode="External" Id="rId1041"/><Relationship Type="http://schemas.openxmlformats.org/officeDocument/2006/relationships/hyperlink" Target="#'10 EVIDENCE &amp; DECISIONS'!A1039" TargetMode="External" Id="rId1042"/><Relationship Type="http://schemas.openxmlformats.org/officeDocument/2006/relationships/hyperlink" Target="#'10 EVIDENCE &amp; DECISIONS'!A1040" TargetMode="External" Id="rId1043"/><Relationship Type="http://schemas.openxmlformats.org/officeDocument/2006/relationships/hyperlink" Target="#'10 EVIDENCE &amp; DECISIONS'!A1041" TargetMode="External" Id="rId1044"/><Relationship Type="http://schemas.openxmlformats.org/officeDocument/2006/relationships/hyperlink" Target="#'10 EVIDENCE &amp; DECISIONS'!A1042" TargetMode="External" Id="rId1045"/><Relationship Type="http://schemas.openxmlformats.org/officeDocument/2006/relationships/hyperlink" Target="#'10 EVIDENCE &amp; DECISIONS'!A1043" TargetMode="External" Id="rId1046"/><Relationship Type="http://schemas.openxmlformats.org/officeDocument/2006/relationships/hyperlink" Target="#'10 EVIDENCE &amp; DECISIONS'!A1044" TargetMode="External" Id="rId1047"/><Relationship Type="http://schemas.openxmlformats.org/officeDocument/2006/relationships/hyperlink" Target="#'10 EVIDENCE &amp; DECISIONS'!A1045" TargetMode="External" Id="rId1048"/><Relationship Type="http://schemas.openxmlformats.org/officeDocument/2006/relationships/hyperlink" Target="#'10 EVIDENCE &amp; DECISIONS'!A1046" TargetMode="External" Id="rId1049"/><Relationship Type="http://schemas.openxmlformats.org/officeDocument/2006/relationships/hyperlink" Target="#'10 EVIDENCE &amp; DECISIONS'!A1047" TargetMode="External" Id="rId1050"/><Relationship Type="http://schemas.openxmlformats.org/officeDocument/2006/relationships/hyperlink" Target="#'10 EVIDENCE &amp; DECISIONS'!A1048" TargetMode="External" Id="rId1051"/><Relationship Type="http://schemas.openxmlformats.org/officeDocument/2006/relationships/hyperlink" Target="#'10 EVIDENCE &amp; DECISIONS'!A1049" TargetMode="External" Id="rId1052"/><Relationship Type="http://schemas.openxmlformats.org/officeDocument/2006/relationships/hyperlink" Target="#'10 EVIDENCE &amp; DECISIONS'!A1050" TargetMode="External" Id="rId1053"/><Relationship Type="http://schemas.openxmlformats.org/officeDocument/2006/relationships/hyperlink" Target="#'10 EVIDENCE &amp; DECISIONS'!A1051" TargetMode="External" Id="rId1054"/><Relationship Type="http://schemas.openxmlformats.org/officeDocument/2006/relationships/hyperlink" Target="#'10 EVIDENCE &amp; DECISIONS'!A1052" TargetMode="External" Id="rId1055"/><Relationship Type="http://schemas.openxmlformats.org/officeDocument/2006/relationships/hyperlink" Target="#'10 EVIDENCE &amp; DECISIONS'!A1053" TargetMode="External" Id="rId1056"/><Relationship Type="http://schemas.openxmlformats.org/officeDocument/2006/relationships/hyperlink" Target="#'10 EVIDENCE &amp; DECISIONS'!A1054" TargetMode="External" Id="rId1057"/><Relationship Type="http://schemas.openxmlformats.org/officeDocument/2006/relationships/hyperlink" Target="#'10 EVIDENCE &amp; DECISIONS'!A1055" TargetMode="External" Id="rId1058"/><Relationship Type="http://schemas.openxmlformats.org/officeDocument/2006/relationships/hyperlink" Target="#'10 EVIDENCE &amp; DECISIONS'!A1056" TargetMode="External" Id="rId1059"/><Relationship Type="http://schemas.openxmlformats.org/officeDocument/2006/relationships/hyperlink" Target="#'10 EVIDENCE &amp; DECISIONS'!A1057" TargetMode="External" Id="rId1060"/><Relationship Type="http://schemas.openxmlformats.org/officeDocument/2006/relationships/hyperlink" Target="#'10 EVIDENCE &amp; DECISIONS'!A1058" TargetMode="External" Id="rId1061"/><Relationship Type="http://schemas.openxmlformats.org/officeDocument/2006/relationships/hyperlink" Target="#'10 EVIDENCE &amp; DECISIONS'!A1059" TargetMode="External" Id="rId1062"/><Relationship Type="http://schemas.openxmlformats.org/officeDocument/2006/relationships/hyperlink" Target="#'10 EVIDENCE &amp; DECISIONS'!A1060" TargetMode="External" Id="rId1063"/><Relationship Type="http://schemas.openxmlformats.org/officeDocument/2006/relationships/hyperlink" Target="#'10 EVIDENCE &amp; DECISIONS'!A1061" TargetMode="External" Id="rId1064"/><Relationship Type="http://schemas.openxmlformats.org/officeDocument/2006/relationships/hyperlink" Target="#'10 EVIDENCE &amp; DECISIONS'!A1062" TargetMode="External" Id="rId1065"/><Relationship Type="http://schemas.openxmlformats.org/officeDocument/2006/relationships/hyperlink" Target="#'10 EVIDENCE &amp; DECISIONS'!A1063" TargetMode="External" Id="rId1066"/><Relationship Type="http://schemas.openxmlformats.org/officeDocument/2006/relationships/hyperlink" Target="#'10 EVIDENCE &amp; DECISIONS'!A1064" TargetMode="External" Id="rId1067"/><Relationship Type="http://schemas.openxmlformats.org/officeDocument/2006/relationships/hyperlink" Target="#'10 EVIDENCE &amp; DECISIONS'!A1065" TargetMode="External" Id="rId1068"/><Relationship Type="http://schemas.openxmlformats.org/officeDocument/2006/relationships/hyperlink" Target="#'10 EVIDENCE &amp; DECISIONS'!A1066" TargetMode="External" Id="rId1069"/><Relationship Type="http://schemas.openxmlformats.org/officeDocument/2006/relationships/hyperlink" Target="#'10 EVIDENCE &amp; DECISIONS'!A1067" TargetMode="External" Id="rId1070"/><Relationship Type="http://schemas.openxmlformats.org/officeDocument/2006/relationships/hyperlink" Target="#'10 EVIDENCE &amp; DECISIONS'!A1068" TargetMode="External" Id="rId1071"/><Relationship Type="http://schemas.openxmlformats.org/officeDocument/2006/relationships/hyperlink" Target="#'10 EVIDENCE &amp; DECISIONS'!A1069" TargetMode="External" Id="rId1072"/><Relationship Type="http://schemas.openxmlformats.org/officeDocument/2006/relationships/hyperlink" Target="#'10 EVIDENCE &amp; DECISIONS'!A1070" TargetMode="External" Id="rId1073"/><Relationship Type="http://schemas.openxmlformats.org/officeDocument/2006/relationships/hyperlink" Target="#'10 EVIDENCE &amp; DECISIONS'!A1071" TargetMode="External" Id="rId1074"/><Relationship Type="http://schemas.openxmlformats.org/officeDocument/2006/relationships/hyperlink" Target="#'10 EVIDENCE &amp; DECISIONS'!A1072" TargetMode="External" Id="rId1075"/><Relationship Type="http://schemas.openxmlformats.org/officeDocument/2006/relationships/hyperlink" Target="#'10 EVIDENCE &amp; DECISIONS'!A1073" TargetMode="External" Id="rId1076"/><Relationship Type="http://schemas.openxmlformats.org/officeDocument/2006/relationships/hyperlink" Target="#'10 EVIDENCE &amp; DECISIONS'!A1074" TargetMode="External" Id="rId1077"/><Relationship Type="http://schemas.openxmlformats.org/officeDocument/2006/relationships/hyperlink" Target="#'10 EVIDENCE &amp; DECISIONS'!A1075" TargetMode="External" Id="rId1078"/><Relationship Type="http://schemas.openxmlformats.org/officeDocument/2006/relationships/hyperlink" Target="#'10 EVIDENCE &amp; DECISIONS'!A1076" TargetMode="External" Id="rId1079"/><Relationship Type="http://schemas.openxmlformats.org/officeDocument/2006/relationships/hyperlink" Target="#'10 EVIDENCE &amp; DECISIONS'!A1077" TargetMode="External" Id="rId1080"/><Relationship Type="http://schemas.openxmlformats.org/officeDocument/2006/relationships/hyperlink" Target="#'10 EVIDENCE &amp; DECISIONS'!A1078" TargetMode="External" Id="rId1081"/><Relationship Type="http://schemas.openxmlformats.org/officeDocument/2006/relationships/hyperlink" Target="#'10 EVIDENCE &amp; DECISIONS'!A1079" TargetMode="External" Id="rId1082"/><Relationship Type="http://schemas.openxmlformats.org/officeDocument/2006/relationships/hyperlink" Target="#'10 EVIDENCE &amp; DECISIONS'!A1080" TargetMode="External" Id="rId1083"/><Relationship Type="http://schemas.openxmlformats.org/officeDocument/2006/relationships/hyperlink" Target="#'10 EVIDENCE &amp; DECISIONS'!A1081" TargetMode="External" Id="rId1084"/><Relationship Type="http://schemas.openxmlformats.org/officeDocument/2006/relationships/hyperlink" Target="#'10 EVIDENCE &amp; DECISIONS'!A1082" TargetMode="External" Id="rId1085"/><Relationship Type="http://schemas.openxmlformats.org/officeDocument/2006/relationships/hyperlink" Target="#'10 EVIDENCE &amp; DECISIONS'!A1083" TargetMode="External" Id="rId1086"/><Relationship Type="http://schemas.openxmlformats.org/officeDocument/2006/relationships/hyperlink" Target="#'10 EVIDENCE &amp; DECISIONS'!A1084" TargetMode="External" Id="rId1087"/><Relationship Type="http://schemas.openxmlformats.org/officeDocument/2006/relationships/hyperlink" Target="#'10 EVIDENCE &amp; DECISIONS'!A1085" TargetMode="External" Id="rId1088"/><Relationship Type="http://schemas.openxmlformats.org/officeDocument/2006/relationships/hyperlink" Target="#'10 EVIDENCE &amp; DECISIONS'!A1086" TargetMode="External" Id="rId1089"/><Relationship Type="http://schemas.openxmlformats.org/officeDocument/2006/relationships/hyperlink" Target="#'10 EVIDENCE &amp; DECISIONS'!A1087" TargetMode="External" Id="rId1090"/><Relationship Type="http://schemas.openxmlformats.org/officeDocument/2006/relationships/hyperlink" Target="#'10 EVIDENCE &amp; DECISIONS'!A1088" TargetMode="External" Id="rId1091"/><Relationship Type="http://schemas.openxmlformats.org/officeDocument/2006/relationships/hyperlink" Target="#'10 EVIDENCE &amp; DECISIONS'!A1089" TargetMode="External" Id="rId1092"/><Relationship Type="http://schemas.openxmlformats.org/officeDocument/2006/relationships/hyperlink" Target="#'10 EVIDENCE &amp; DECISIONS'!A1090" TargetMode="External" Id="rId1093"/><Relationship Type="http://schemas.openxmlformats.org/officeDocument/2006/relationships/hyperlink" Target="#'10 EVIDENCE &amp; DECISIONS'!A1091" TargetMode="External" Id="rId1094"/><Relationship Type="http://schemas.openxmlformats.org/officeDocument/2006/relationships/hyperlink" Target="#'10 EVIDENCE &amp; DECISIONS'!A1092" TargetMode="External" Id="rId1095"/><Relationship Type="http://schemas.openxmlformats.org/officeDocument/2006/relationships/hyperlink" Target="#'10 EVIDENCE &amp; DECISIONS'!A1093" TargetMode="External" Id="rId1096"/><Relationship Type="http://schemas.openxmlformats.org/officeDocument/2006/relationships/hyperlink" Target="#'10 EVIDENCE &amp; DECISIONS'!A1094" TargetMode="External" Id="rId1097"/><Relationship Type="http://schemas.openxmlformats.org/officeDocument/2006/relationships/hyperlink" Target="#'10 EVIDENCE &amp; DECISIONS'!A1095" TargetMode="External" Id="rId1098"/><Relationship Type="http://schemas.openxmlformats.org/officeDocument/2006/relationships/hyperlink" Target="#'10 EVIDENCE &amp; DECISIONS'!A1096" TargetMode="External" Id="rId1099"/><Relationship Type="http://schemas.openxmlformats.org/officeDocument/2006/relationships/hyperlink" Target="#'10 EVIDENCE &amp; DECISIONS'!A1097" TargetMode="External" Id="rId1100"/><Relationship Type="http://schemas.openxmlformats.org/officeDocument/2006/relationships/hyperlink" Target="#'10 EVIDENCE &amp; DECISIONS'!A1098" TargetMode="External" Id="rId1101"/><Relationship Type="http://schemas.openxmlformats.org/officeDocument/2006/relationships/hyperlink" Target="#'10 EVIDENCE &amp; DECISIONS'!A1099" TargetMode="External" Id="rId1102"/><Relationship Type="http://schemas.openxmlformats.org/officeDocument/2006/relationships/hyperlink" Target="#'10 EVIDENCE &amp; DECISIONS'!A1100" TargetMode="External" Id="rId1103"/><Relationship Type="http://schemas.openxmlformats.org/officeDocument/2006/relationships/hyperlink" Target="#'10 EVIDENCE &amp; DECISIONS'!A1101" TargetMode="External" Id="rId1104"/><Relationship Type="http://schemas.openxmlformats.org/officeDocument/2006/relationships/hyperlink" Target="#'10 EVIDENCE &amp; DECISIONS'!A1102" TargetMode="External" Id="rId1105"/><Relationship Type="http://schemas.openxmlformats.org/officeDocument/2006/relationships/hyperlink" Target="#'10 EVIDENCE &amp; DECISIONS'!A1103" TargetMode="External" Id="rId1106"/><Relationship Type="http://schemas.openxmlformats.org/officeDocument/2006/relationships/hyperlink" Target="#'10 EVIDENCE &amp; DECISIONS'!A1104" TargetMode="External" Id="rId1107"/><Relationship Type="http://schemas.openxmlformats.org/officeDocument/2006/relationships/hyperlink" Target="#'10 EVIDENCE &amp; DECISIONS'!A1105" TargetMode="External" Id="rId1108"/><Relationship Type="http://schemas.openxmlformats.org/officeDocument/2006/relationships/hyperlink" Target="#'10 EVIDENCE &amp; DECISIONS'!A1106" TargetMode="External" Id="rId1109"/><Relationship Type="http://schemas.openxmlformats.org/officeDocument/2006/relationships/hyperlink" Target="#'10 EVIDENCE &amp; DECISIONS'!A1107" TargetMode="External" Id="rId1110"/><Relationship Type="http://schemas.openxmlformats.org/officeDocument/2006/relationships/hyperlink" Target="#'10 EVIDENCE &amp; DECISIONS'!A1108" TargetMode="External" Id="rId1111"/><Relationship Type="http://schemas.openxmlformats.org/officeDocument/2006/relationships/hyperlink" Target="#'10 EVIDENCE &amp; DECISIONS'!A1109" TargetMode="External" Id="rId1112"/><Relationship Type="http://schemas.openxmlformats.org/officeDocument/2006/relationships/hyperlink" Target="#'10 EVIDENCE &amp; DECISIONS'!A1110" TargetMode="External" Id="rId1113"/><Relationship Type="http://schemas.openxmlformats.org/officeDocument/2006/relationships/hyperlink" Target="#'10 EVIDENCE &amp; DECISIONS'!A1111" TargetMode="External" Id="rId1114"/><Relationship Type="http://schemas.openxmlformats.org/officeDocument/2006/relationships/hyperlink" Target="#'10 EVIDENCE &amp; DECISIONS'!A1112" TargetMode="External" Id="rId1115"/><Relationship Type="http://schemas.openxmlformats.org/officeDocument/2006/relationships/hyperlink" Target="#'10 EVIDENCE &amp; DECISIONS'!A1113" TargetMode="External" Id="rId1116"/><Relationship Type="http://schemas.openxmlformats.org/officeDocument/2006/relationships/hyperlink" Target="#'10 EVIDENCE &amp; DECISIONS'!A1114" TargetMode="External" Id="rId1117"/><Relationship Type="http://schemas.openxmlformats.org/officeDocument/2006/relationships/hyperlink" Target="#'10 EVIDENCE &amp; DECISIONS'!A1115" TargetMode="External" Id="rId1118"/><Relationship Type="http://schemas.openxmlformats.org/officeDocument/2006/relationships/hyperlink" Target="#'10 EVIDENCE &amp; DECISIONS'!A1116" TargetMode="External" Id="rId1119"/><Relationship Type="http://schemas.openxmlformats.org/officeDocument/2006/relationships/hyperlink" Target="#'10 EVIDENCE &amp; DECISIONS'!A1117" TargetMode="External" Id="rId1120"/><Relationship Type="http://schemas.openxmlformats.org/officeDocument/2006/relationships/hyperlink" Target="#'10 EVIDENCE &amp; DECISIONS'!A1118" TargetMode="External" Id="rId1121"/><Relationship Type="http://schemas.openxmlformats.org/officeDocument/2006/relationships/hyperlink" Target="#'10 EVIDENCE &amp; DECISIONS'!A1119" TargetMode="External" Id="rId1122"/><Relationship Type="http://schemas.openxmlformats.org/officeDocument/2006/relationships/hyperlink" Target="#'10 EVIDENCE &amp; DECISIONS'!A1120" TargetMode="External" Id="rId1123"/><Relationship Type="http://schemas.openxmlformats.org/officeDocument/2006/relationships/hyperlink" Target="#'10 EVIDENCE &amp; DECISIONS'!A1121" TargetMode="External" Id="rId1124"/><Relationship Type="http://schemas.openxmlformats.org/officeDocument/2006/relationships/hyperlink" Target="#'10 EVIDENCE &amp; DECISIONS'!A1122" TargetMode="External" Id="rId1125"/><Relationship Type="http://schemas.openxmlformats.org/officeDocument/2006/relationships/hyperlink" Target="#'10 EVIDENCE &amp; DECISIONS'!A1123" TargetMode="External" Id="rId1126"/><Relationship Type="http://schemas.openxmlformats.org/officeDocument/2006/relationships/hyperlink" Target="#'10 EVIDENCE &amp; DECISIONS'!A1124" TargetMode="External" Id="rId1127"/><Relationship Type="http://schemas.openxmlformats.org/officeDocument/2006/relationships/hyperlink" Target="#'10 EVIDENCE &amp; DECISIONS'!A1125" TargetMode="External" Id="rId1128"/><Relationship Type="http://schemas.openxmlformats.org/officeDocument/2006/relationships/hyperlink" Target="#'10 EVIDENCE &amp; DECISIONS'!A1126" TargetMode="External" Id="rId1129"/><Relationship Type="http://schemas.openxmlformats.org/officeDocument/2006/relationships/hyperlink" Target="#'10 EVIDENCE &amp; DECISIONS'!A1127" TargetMode="External" Id="rId1130"/><Relationship Type="http://schemas.openxmlformats.org/officeDocument/2006/relationships/hyperlink" Target="#'10 EVIDENCE &amp; DECISIONS'!A1128" TargetMode="External" Id="rId1131"/><Relationship Type="http://schemas.openxmlformats.org/officeDocument/2006/relationships/hyperlink" Target="#'10 EVIDENCE &amp; DECISIONS'!A1129" TargetMode="External" Id="rId1132"/><Relationship Type="http://schemas.openxmlformats.org/officeDocument/2006/relationships/hyperlink" Target="#'10 EVIDENCE &amp; DECISIONS'!A1130" TargetMode="External" Id="rId1133"/><Relationship Type="http://schemas.openxmlformats.org/officeDocument/2006/relationships/hyperlink" Target="#'10 EVIDENCE &amp; DECISIONS'!A1131" TargetMode="External" Id="rId1134"/><Relationship Type="http://schemas.openxmlformats.org/officeDocument/2006/relationships/hyperlink" Target="#'10 EVIDENCE &amp; DECISIONS'!A1132" TargetMode="External" Id="rId1135"/><Relationship Type="http://schemas.openxmlformats.org/officeDocument/2006/relationships/hyperlink" Target="#'10 EVIDENCE &amp; DECISIONS'!A1133" TargetMode="External" Id="rId1136"/><Relationship Type="http://schemas.openxmlformats.org/officeDocument/2006/relationships/hyperlink" Target="#'10 EVIDENCE &amp; DECISIONS'!A1134" TargetMode="External" Id="rId1137"/><Relationship Type="http://schemas.openxmlformats.org/officeDocument/2006/relationships/hyperlink" Target="#'10 EVIDENCE &amp; DECISIONS'!A1135" TargetMode="External" Id="rId1138"/><Relationship Type="http://schemas.openxmlformats.org/officeDocument/2006/relationships/hyperlink" Target="#'10 EVIDENCE &amp; DECISIONS'!A1136" TargetMode="External" Id="rId1139"/><Relationship Type="http://schemas.openxmlformats.org/officeDocument/2006/relationships/hyperlink" Target="#'10 EVIDENCE &amp; DECISIONS'!A1137" TargetMode="External" Id="rId1140"/><Relationship Type="http://schemas.openxmlformats.org/officeDocument/2006/relationships/hyperlink" Target="#'10 EVIDENCE &amp; DECISIONS'!A1138" TargetMode="External" Id="rId1141"/><Relationship Type="http://schemas.openxmlformats.org/officeDocument/2006/relationships/hyperlink" Target="#'10 EVIDENCE &amp; DECISIONS'!A1139" TargetMode="External" Id="rId1142"/><Relationship Type="http://schemas.openxmlformats.org/officeDocument/2006/relationships/hyperlink" Target="#'10 EVIDENCE &amp; DECISIONS'!A1140" TargetMode="External" Id="rId1143"/><Relationship Type="http://schemas.openxmlformats.org/officeDocument/2006/relationships/hyperlink" Target="#'10 EVIDENCE &amp; DECISIONS'!A1141" TargetMode="External" Id="rId1144"/><Relationship Type="http://schemas.openxmlformats.org/officeDocument/2006/relationships/hyperlink" Target="#'10 EVIDENCE &amp; DECISIONS'!A1142" TargetMode="External" Id="rId1145"/><Relationship Type="http://schemas.openxmlformats.org/officeDocument/2006/relationships/hyperlink" Target="#'10 EVIDENCE &amp; DECISIONS'!A1143" TargetMode="External" Id="rId1146"/><Relationship Type="http://schemas.openxmlformats.org/officeDocument/2006/relationships/hyperlink" Target="#'10 EVIDENCE &amp; DECISIONS'!A1144" TargetMode="External" Id="rId1147"/><Relationship Type="http://schemas.openxmlformats.org/officeDocument/2006/relationships/hyperlink" Target="#'10 EVIDENCE &amp; DECISIONS'!A1145" TargetMode="External" Id="rId1148"/><Relationship Type="http://schemas.openxmlformats.org/officeDocument/2006/relationships/hyperlink" Target="#'10 EVIDENCE &amp; DECISIONS'!A1146" TargetMode="External" Id="rId1149"/><Relationship Type="http://schemas.openxmlformats.org/officeDocument/2006/relationships/hyperlink" Target="#'10 EVIDENCE &amp; DECISIONS'!A1147" TargetMode="External" Id="rId1150"/><Relationship Type="http://schemas.openxmlformats.org/officeDocument/2006/relationships/hyperlink" Target="#'10 EVIDENCE &amp; DECISIONS'!A1148" TargetMode="External" Id="rId1151"/><Relationship Type="http://schemas.openxmlformats.org/officeDocument/2006/relationships/hyperlink" Target="#'10 EVIDENCE &amp; DECISIONS'!A1149" TargetMode="External" Id="rId1152"/><Relationship Type="http://schemas.openxmlformats.org/officeDocument/2006/relationships/hyperlink" Target="#'10 EVIDENCE &amp; DECISIONS'!A1150" TargetMode="External" Id="rId1153"/><Relationship Type="http://schemas.openxmlformats.org/officeDocument/2006/relationships/hyperlink" Target="#'10 EVIDENCE &amp; DECISIONS'!A1151" TargetMode="External" Id="rId1154"/><Relationship Type="http://schemas.openxmlformats.org/officeDocument/2006/relationships/hyperlink" Target="#'10 EVIDENCE &amp; DECISIONS'!A1152" TargetMode="External" Id="rId1155"/><Relationship Type="http://schemas.openxmlformats.org/officeDocument/2006/relationships/hyperlink" Target="#'10 EVIDENCE &amp; DECISIONS'!A1153" TargetMode="External" Id="rId1156"/><Relationship Type="http://schemas.openxmlformats.org/officeDocument/2006/relationships/hyperlink" Target="#'10 EVIDENCE &amp; DECISIONS'!A1154" TargetMode="External" Id="rId1157"/><Relationship Type="http://schemas.openxmlformats.org/officeDocument/2006/relationships/hyperlink" Target="#'10 EVIDENCE &amp; DECISIONS'!A1155" TargetMode="External" Id="rId1158"/><Relationship Type="http://schemas.openxmlformats.org/officeDocument/2006/relationships/hyperlink" Target="#'10 EVIDENCE &amp; DECISIONS'!A1156" TargetMode="External" Id="rId1159"/><Relationship Type="http://schemas.openxmlformats.org/officeDocument/2006/relationships/hyperlink" Target="#'10 EVIDENCE &amp; DECISIONS'!A1157" TargetMode="External" Id="rId1160"/><Relationship Type="http://schemas.openxmlformats.org/officeDocument/2006/relationships/hyperlink" Target="#'10 EVIDENCE &amp; DECISIONS'!A1158" TargetMode="External" Id="rId1161"/><Relationship Type="http://schemas.openxmlformats.org/officeDocument/2006/relationships/hyperlink" Target="#'10 EVIDENCE &amp; DECISIONS'!A1159" TargetMode="External" Id="rId1162"/><Relationship Type="http://schemas.openxmlformats.org/officeDocument/2006/relationships/hyperlink" Target="#'10 EVIDENCE &amp; DECISIONS'!A1160" TargetMode="External" Id="rId1163"/><Relationship Type="http://schemas.openxmlformats.org/officeDocument/2006/relationships/hyperlink" Target="#'10 EVIDENCE &amp; DECISIONS'!A1161" TargetMode="External" Id="rId1164"/><Relationship Type="http://schemas.openxmlformats.org/officeDocument/2006/relationships/hyperlink" Target="#'10 EVIDENCE &amp; DECISIONS'!A1162" TargetMode="External" Id="rId1165"/><Relationship Type="http://schemas.openxmlformats.org/officeDocument/2006/relationships/hyperlink" Target="#'10 EVIDENCE &amp; DECISIONS'!A1163" TargetMode="External" Id="rId1166"/><Relationship Type="http://schemas.openxmlformats.org/officeDocument/2006/relationships/hyperlink" Target="#'10 EVIDENCE &amp; DECISIONS'!A1164" TargetMode="External" Id="rId1167"/><Relationship Type="http://schemas.openxmlformats.org/officeDocument/2006/relationships/hyperlink" Target="#'10 EVIDENCE &amp; DECISIONS'!A1165" TargetMode="External" Id="rId1168"/><Relationship Type="http://schemas.openxmlformats.org/officeDocument/2006/relationships/hyperlink" Target="#'10 EVIDENCE &amp; DECISIONS'!A1166" TargetMode="External" Id="rId1169"/><Relationship Type="http://schemas.openxmlformats.org/officeDocument/2006/relationships/hyperlink" Target="#'10 EVIDENCE &amp; DECISIONS'!A1167" TargetMode="External" Id="rId1170"/><Relationship Type="http://schemas.openxmlformats.org/officeDocument/2006/relationships/hyperlink" Target="#'10 EVIDENCE &amp; DECISIONS'!A1168" TargetMode="External" Id="rId1171"/><Relationship Type="http://schemas.openxmlformats.org/officeDocument/2006/relationships/hyperlink" Target="#'10 EVIDENCE &amp; DECISIONS'!A1169" TargetMode="External" Id="rId1172"/><Relationship Type="http://schemas.openxmlformats.org/officeDocument/2006/relationships/hyperlink" Target="#'10 EVIDENCE &amp; DECISIONS'!A1170" TargetMode="External" Id="rId1173"/><Relationship Type="http://schemas.openxmlformats.org/officeDocument/2006/relationships/hyperlink" Target="#'10 EVIDENCE &amp; DECISIONS'!A1171" TargetMode="External" Id="rId1174"/><Relationship Type="http://schemas.openxmlformats.org/officeDocument/2006/relationships/hyperlink" Target="#'10 EVIDENCE &amp; DECISIONS'!A1172" TargetMode="External" Id="rId1175"/><Relationship Type="http://schemas.openxmlformats.org/officeDocument/2006/relationships/hyperlink" Target="#'10 EVIDENCE &amp; DECISIONS'!A1173" TargetMode="External" Id="rId1176"/><Relationship Type="http://schemas.openxmlformats.org/officeDocument/2006/relationships/hyperlink" Target="#'10 EVIDENCE &amp; DECISIONS'!A1174" TargetMode="External" Id="rId1177"/><Relationship Type="http://schemas.openxmlformats.org/officeDocument/2006/relationships/hyperlink" Target="#'10 EVIDENCE &amp; DECISIONS'!A1175" TargetMode="External" Id="rId1178"/><Relationship Type="http://schemas.openxmlformats.org/officeDocument/2006/relationships/hyperlink" Target="#'10 EVIDENCE &amp; DECISIONS'!A1176" TargetMode="External" Id="rId1179"/><Relationship Type="http://schemas.openxmlformats.org/officeDocument/2006/relationships/hyperlink" Target="#'10 EVIDENCE &amp; DECISIONS'!A1177" TargetMode="External" Id="rId1180"/><Relationship Type="http://schemas.openxmlformats.org/officeDocument/2006/relationships/hyperlink" Target="#'10 EVIDENCE &amp; DECISIONS'!A1178" TargetMode="External" Id="rId1181"/><Relationship Type="http://schemas.openxmlformats.org/officeDocument/2006/relationships/hyperlink" Target="#'10 EVIDENCE &amp; DECISIONS'!A1179" TargetMode="External" Id="rId1182"/><Relationship Type="http://schemas.openxmlformats.org/officeDocument/2006/relationships/hyperlink" Target="#'10 EVIDENCE &amp; DECISIONS'!A1180" TargetMode="External" Id="rId1183"/><Relationship Type="http://schemas.openxmlformats.org/officeDocument/2006/relationships/hyperlink" Target="#'10 EVIDENCE &amp; DECISIONS'!A1181" TargetMode="External" Id="rId1184"/><Relationship Type="http://schemas.openxmlformats.org/officeDocument/2006/relationships/hyperlink" Target="#'10 EVIDENCE &amp; DECISIONS'!A1182" TargetMode="External" Id="rId1185"/><Relationship Type="http://schemas.openxmlformats.org/officeDocument/2006/relationships/hyperlink" Target="#'10 EVIDENCE &amp; DECISIONS'!A1183" TargetMode="External" Id="rId1186"/><Relationship Type="http://schemas.openxmlformats.org/officeDocument/2006/relationships/hyperlink" Target="#'10 EVIDENCE &amp; DECISIONS'!A1184" TargetMode="External" Id="rId1187"/><Relationship Type="http://schemas.openxmlformats.org/officeDocument/2006/relationships/hyperlink" Target="#'10 EVIDENCE &amp; DECISIONS'!A1185" TargetMode="External" Id="rId1188"/><Relationship Type="http://schemas.openxmlformats.org/officeDocument/2006/relationships/hyperlink" Target="#'10 EVIDENCE &amp; DECISIONS'!A1186" TargetMode="External" Id="rId1189"/><Relationship Type="http://schemas.openxmlformats.org/officeDocument/2006/relationships/hyperlink" Target="#'10 EVIDENCE &amp; DECISIONS'!A1187" TargetMode="External" Id="rId1190"/><Relationship Type="http://schemas.openxmlformats.org/officeDocument/2006/relationships/hyperlink" Target="#'10 EVIDENCE &amp; DECISIONS'!A1188" TargetMode="External" Id="rId1191"/><Relationship Type="http://schemas.openxmlformats.org/officeDocument/2006/relationships/hyperlink" Target="#'10 EVIDENCE &amp; DECISIONS'!A1189" TargetMode="External" Id="rId1192"/><Relationship Type="http://schemas.openxmlformats.org/officeDocument/2006/relationships/hyperlink" Target="#'10 EVIDENCE &amp; DECISIONS'!A1190" TargetMode="External" Id="rId1193"/><Relationship Type="http://schemas.openxmlformats.org/officeDocument/2006/relationships/hyperlink" Target="#'10 EVIDENCE &amp; DECISIONS'!A1191" TargetMode="External" Id="rId1194"/><Relationship Type="http://schemas.openxmlformats.org/officeDocument/2006/relationships/hyperlink" Target="#'10 EVIDENCE &amp; DECISIONS'!A1192" TargetMode="External" Id="rId1195"/><Relationship Type="http://schemas.openxmlformats.org/officeDocument/2006/relationships/hyperlink" Target="#'10 EVIDENCE &amp; DECISIONS'!A1193" TargetMode="External" Id="rId1196"/><Relationship Type="http://schemas.openxmlformats.org/officeDocument/2006/relationships/hyperlink" Target="#'10 EVIDENCE &amp; DECISIONS'!A1194" TargetMode="External" Id="rId1197"/><Relationship Type="http://schemas.openxmlformats.org/officeDocument/2006/relationships/hyperlink" Target="#'10 EVIDENCE &amp; DECISIONS'!A1195" TargetMode="External" Id="rId1198"/><Relationship Type="http://schemas.openxmlformats.org/officeDocument/2006/relationships/hyperlink" Target="#'10 EVIDENCE &amp; DECISIONS'!A1196" TargetMode="External" Id="rId1199"/><Relationship Type="http://schemas.openxmlformats.org/officeDocument/2006/relationships/hyperlink" Target="#'10 EVIDENCE &amp; DECISIONS'!A1197" TargetMode="External" Id="rId1200"/><Relationship Type="http://schemas.openxmlformats.org/officeDocument/2006/relationships/hyperlink" Target="#'10 EVIDENCE &amp; DECISIONS'!A1198" TargetMode="External" Id="rId1201"/><Relationship Type="http://schemas.openxmlformats.org/officeDocument/2006/relationships/hyperlink" Target="#'10 EVIDENCE &amp; DECISIONS'!A1199" TargetMode="External" Id="rId1202"/><Relationship Type="http://schemas.openxmlformats.org/officeDocument/2006/relationships/hyperlink" Target="#'10 EVIDENCE &amp; DECISIONS'!A1200" TargetMode="External" Id="rId1203"/><Relationship Type="http://schemas.openxmlformats.org/officeDocument/2006/relationships/hyperlink" Target="#'10 EVIDENCE &amp; DECISIONS'!A1201" TargetMode="External" Id="rId1204"/><Relationship Type="http://schemas.openxmlformats.org/officeDocument/2006/relationships/hyperlink" Target="#'10 EVIDENCE &amp; DECISIONS'!A1202" TargetMode="External" Id="rId1205"/><Relationship Type="http://schemas.openxmlformats.org/officeDocument/2006/relationships/hyperlink" Target="#'10 EVIDENCE &amp; DECISIONS'!A1203" TargetMode="External" Id="rId1206"/><Relationship Type="http://schemas.openxmlformats.org/officeDocument/2006/relationships/hyperlink" Target="#'10 EVIDENCE &amp; DECISIONS'!A1204" TargetMode="External" Id="rId1207"/><Relationship Type="http://schemas.openxmlformats.org/officeDocument/2006/relationships/hyperlink" Target="#'10 EVIDENCE &amp; DECISIONS'!A1205" TargetMode="External" Id="rId1208"/><Relationship Type="http://schemas.openxmlformats.org/officeDocument/2006/relationships/hyperlink" Target="#'10 EVIDENCE &amp; DECISIONS'!A1206" TargetMode="External" Id="rId1209"/><Relationship Type="http://schemas.openxmlformats.org/officeDocument/2006/relationships/hyperlink" Target="#'10 EVIDENCE &amp; DECISIONS'!A1207" TargetMode="External" Id="rId1210"/><Relationship Type="http://schemas.openxmlformats.org/officeDocument/2006/relationships/hyperlink" Target="#'10 EVIDENCE &amp; DECISIONS'!A1208" TargetMode="External" Id="rId1211"/><Relationship Type="http://schemas.openxmlformats.org/officeDocument/2006/relationships/hyperlink" Target="#'10 EVIDENCE &amp; DECISIONS'!A1209" TargetMode="External" Id="rId1212"/><Relationship Type="http://schemas.openxmlformats.org/officeDocument/2006/relationships/hyperlink" Target="#'10 EVIDENCE &amp; DECISIONS'!A1210" TargetMode="External" Id="rId1213"/><Relationship Type="http://schemas.openxmlformats.org/officeDocument/2006/relationships/hyperlink" Target="#'10 EVIDENCE &amp; DECISIONS'!A1211" TargetMode="External" Id="rId1214"/><Relationship Type="http://schemas.openxmlformats.org/officeDocument/2006/relationships/hyperlink" Target="#'10 EVIDENCE &amp; DECISIONS'!A1212" TargetMode="External" Id="rId1215"/><Relationship Type="http://schemas.openxmlformats.org/officeDocument/2006/relationships/hyperlink" Target="#'10 EVIDENCE &amp; DECISIONS'!A1213" TargetMode="External" Id="rId1216"/><Relationship Type="http://schemas.openxmlformats.org/officeDocument/2006/relationships/hyperlink" Target="#'10 EVIDENCE &amp; DECISIONS'!A1214" TargetMode="External" Id="rId1217"/><Relationship Type="http://schemas.openxmlformats.org/officeDocument/2006/relationships/hyperlink" Target="#'10 EVIDENCE &amp; DECISIONS'!A1215" TargetMode="External" Id="rId1218"/><Relationship Type="http://schemas.openxmlformats.org/officeDocument/2006/relationships/hyperlink" Target="#'10 EVIDENCE &amp; DECISIONS'!A1216" TargetMode="External" Id="rId1219"/><Relationship Type="http://schemas.openxmlformats.org/officeDocument/2006/relationships/hyperlink" Target="#'10 EVIDENCE &amp; DECISIONS'!A1217" TargetMode="External" Id="rId1220"/><Relationship Type="http://schemas.openxmlformats.org/officeDocument/2006/relationships/hyperlink" Target="#'10 EVIDENCE &amp; DECISIONS'!A1218" TargetMode="External" Id="rId1221"/><Relationship Type="http://schemas.openxmlformats.org/officeDocument/2006/relationships/hyperlink" Target="#'10 EVIDENCE &amp; DECISIONS'!A1219" TargetMode="External" Id="rId1222"/><Relationship Type="http://schemas.openxmlformats.org/officeDocument/2006/relationships/hyperlink" Target="#'10 EVIDENCE &amp; DECISIONS'!A1220" TargetMode="External" Id="rId1223"/><Relationship Type="http://schemas.openxmlformats.org/officeDocument/2006/relationships/hyperlink" Target="#'10 EVIDENCE &amp; DECISIONS'!A1221" TargetMode="External" Id="rId1224"/><Relationship Type="http://schemas.openxmlformats.org/officeDocument/2006/relationships/hyperlink" Target="#'10 EVIDENCE &amp; DECISIONS'!A1222" TargetMode="External" Id="rId1225"/><Relationship Type="http://schemas.openxmlformats.org/officeDocument/2006/relationships/hyperlink" Target="#'10 EVIDENCE &amp; DECISIONS'!A1223" TargetMode="External" Id="rId1226"/><Relationship Type="http://schemas.openxmlformats.org/officeDocument/2006/relationships/hyperlink" Target="#'10 EVIDENCE &amp; DECISIONS'!A1224" TargetMode="External" Id="rId1227"/><Relationship Type="http://schemas.openxmlformats.org/officeDocument/2006/relationships/hyperlink" Target="#'10 EVIDENCE &amp; DECISIONS'!A1225" TargetMode="External" Id="rId1228"/><Relationship Type="http://schemas.openxmlformats.org/officeDocument/2006/relationships/hyperlink" Target="#'10 EVIDENCE &amp; DECISIONS'!A1226" TargetMode="External" Id="rId1229"/><Relationship Type="http://schemas.openxmlformats.org/officeDocument/2006/relationships/hyperlink" Target="#'10 EVIDENCE &amp; DECISIONS'!A1227" TargetMode="External" Id="rId1230"/><Relationship Type="http://schemas.openxmlformats.org/officeDocument/2006/relationships/hyperlink" Target="#'10 EVIDENCE &amp; DECISIONS'!A1228" TargetMode="External" Id="rId1231"/><Relationship Type="http://schemas.openxmlformats.org/officeDocument/2006/relationships/hyperlink" Target="#'10 EVIDENCE &amp; DECISIONS'!A1229" TargetMode="External" Id="rId1232"/><Relationship Type="http://schemas.openxmlformats.org/officeDocument/2006/relationships/hyperlink" Target="#'10 EVIDENCE &amp; DECISIONS'!A1230" TargetMode="External" Id="rId1233"/><Relationship Type="http://schemas.openxmlformats.org/officeDocument/2006/relationships/hyperlink" Target="#'10 EVIDENCE &amp; DECISIONS'!A1231" TargetMode="External" Id="rId1234"/><Relationship Type="http://schemas.openxmlformats.org/officeDocument/2006/relationships/hyperlink" Target="#'10 EVIDENCE &amp; DECISIONS'!A1232" TargetMode="External" Id="rId1235"/><Relationship Type="http://schemas.openxmlformats.org/officeDocument/2006/relationships/hyperlink" Target="#'10 EVIDENCE &amp; DECISIONS'!A1233" TargetMode="External" Id="rId1236"/><Relationship Type="http://schemas.openxmlformats.org/officeDocument/2006/relationships/hyperlink" Target="#'10 EVIDENCE &amp; DECISIONS'!A1234" TargetMode="External" Id="rId1237"/><Relationship Type="http://schemas.openxmlformats.org/officeDocument/2006/relationships/hyperlink" Target="#'10 EVIDENCE &amp; DECISIONS'!A1235" TargetMode="External" Id="rId1238"/><Relationship Type="http://schemas.openxmlformats.org/officeDocument/2006/relationships/hyperlink" Target="#'10 EVIDENCE &amp; DECISIONS'!A1236" TargetMode="External" Id="rId1239"/><Relationship Type="http://schemas.openxmlformats.org/officeDocument/2006/relationships/hyperlink" Target="#'10 EVIDENCE &amp; DECISIONS'!A1237" TargetMode="External" Id="rId1240"/><Relationship Type="http://schemas.openxmlformats.org/officeDocument/2006/relationships/hyperlink" Target="#'10 EVIDENCE &amp; DECISIONS'!A1238" TargetMode="External" Id="rId1241"/><Relationship Type="http://schemas.openxmlformats.org/officeDocument/2006/relationships/hyperlink" Target="#'10 EVIDENCE &amp; DECISIONS'!A1239" TargetMode="External" Id="rId1242"/><Relationship Type="http://schemas.openxmlformats.org/officeDocument/2006/relationships/hyperlink" Target="#'10 EVIDENCE &amp; DECISIONS'!A1240" TargetMode="External" Id="rId1243"/><Relationship Type="http://schemas.openxmlformats.org/officeDocument/2006/relationships/hyperlink" Target="#'10 EVIDENCE &amp; DECISIONS'!A1241" TargetMode="External" Id="rId1244"/><Relationship Type="http://schemas.openxmlformats.org/officeDocument/2006/relationships/hyperlink" Target="#'10 EVIDENCE &amp; DECISIONS'!A1242" TargetMode="External" Id="rId1245"/><Relationship Type="http://schemas.openxmlformats.org/officeDocument/2006/relationships/hyperlink" Target="#'10 EVIDENCE &amp; DECISIONS'!A1243" TargetMode="External" Id="rId1246"/><Relationship Type="http://schemas.openxmlformats.org/officeDocument/2006/relationships/hyperlink" Target="#'10 EVIDENCE &amp; DECISIONS'!A1244" TargetMode="External" Id="rId1247"/><Relationship Type="http://schemas.openxmlformats.org/officeDocument/2006/relationships/hyperlink" Target="#'10 EVIDENCE &amp; DECISIONS'!A1245" TargetMode="External" Id="rId1248"/><Relationship Type="http://schemas.openxmlformats.org/officeDocument/2006/relationships/hyperlink" Target="#'10 EVIDENCE &amp; DECISIONS'!A1246" TargetMode="External" Id="rId1249"/><Relationship Type="http://schemas.openxmlformats.org/officeDocument/2006/relationships/hyperlink" Target="#'10 EVIDENCE &amp; DECISIONS'!A1247" TargetMode="External" Id="rId1250"/><Relationship Type="http://schemas.openxmlformats.org/officeDocument/2006/relationships/hyperlink" Target="#'10 EVIDENCE &amp; DECISIONS'!A1248" TargetMode="External" Id="rId1251"/><Relationship Type="http://schemas.openxmlformats.org/officeDocument/2006/relationships/hyperlink" Target="#'10 EVIDENCE &amp; DECISIONS'!A1249" TargetMode="External" Id="rId1252"/><Relationship Type="http://schemas.openxmlformats.org/officeDocument/2006/relationships/hyperlink" Target="#'10 EVIDENCE &amp; DECISIONS'!A1250" TargetMode="External" Id="rId1253"/><Relationship Type="http://schemas.openxmlformats.org/officeDocument/2006/relationships/hyperlink" Target="#'10 EVIDENCE &amp; DECISIONS'!A1251" TargetMode="External" Id="rId1254"/><Relationship Type="http://schemas.openxmlformats.org/officeDocument/2006/relationships/hyperlink" Target="#'10 EVIDENCE &amp; DECISIONS'!A1252" TargetMode="External" Id="rId1255"/><Relationship Type="http://schemas.openxmlformats.org/officeDocument/2006/relationships/hyperlink" Target="#'10 EVIDENCE &amp; DECISIONS'!A1253" TargetMode="External" Id="rId1256"/><Relationship Type="http://schemas.openxmlformats.org/officeDocument/2006/relationships/hyperlink" Target="#'10 EVIDENCE &amp; DECISIONS'!A1254" TargetMode="External" Id="rId1257"/><Relationship Type="http://schemas.openxmlformats.org/officeDocument/2006/relationships/hyperlink" Target="#'10 EVIDENCE &amp; DECISIONS'!A1255" TargetMode="External" Id="rId1258"/><Relationship Type="http://schemas.openxmlformats.org/officeDocument/2006/relationships/hyperlink" Target="#'10 EVIDENCE &amp; DECISIONS'!A1256" TargetMode="External" Id="rId1259"/><Relationship Type="http://schemas.openxmlformats.org/officeDocument/2006/relationships/hyperlink" Target="#'10 EVIDENCE &amp; DECISIONS'!A1257" TargetMode="External" Id="rId1260"/><Relationship Type="http://schemas.openxmlformats.org/officeDocument/2006/relationships/hyperlink" Target="#'10 EVIDENCE &amp; DECISIONS'!A1258" TargetMode="External" Id="rId1261"/><Relationship Type="http://schemas.openxmlformats.org/officeDocument/2006/relationships/hyperlink" Target="#'10 EVIDENCE &amp; DECISIONS'!A1259" TargetMode="External" Id="rId1262"/><Relationship Type="http://schemas.openxmlformats.org/officeDocument/2006/relationships/hyperlink" Target="#'10 EVIDENCE &amp; DECISIONS'!A1260" TargetMode="External" Id="rId1263"/><Relationship Type="http://schemas.openxmlformats.org/officeDocument/2006/relationships/hyperlink" Target="#'10 EVIDENCE &amp; DECISIONS'!A1261" TargetMode="External" Id="rId1264"/><Relationship Type="http://schemas.openxmlformats.org/officeDocument/2006/relationships/hyperlink" Target="#'10 EVIDENCE &amp; DECISIONS'!A1262" TargetMode="External" Id="rId1265"/><Relationship Type="http://schemas.openxmlformats.org/officeDocument/2006/relationships/hyperlink" Target="#'10 EVIDENCE &amp; DECISIONS'!A1263" TargetMode="External" Id="rId1266"/><Relationship Type="http://schemas.openxmlformats.org/officeDocument/2006/relationships/hyperlink" Target="#'10 EVIDENCE &amp; DECISIONS'!A1264" TargetMode="External" Id="rId1267"/><Relationship Type="http://schemas.openxmlformats.org/officeDocument/2006/relationships/hyperlink" Target="#'10 EVIDENCE &amp; DECISIONS'!A1265" TargetMode="External" Id="rId1268"/><Relationship Type="http://schemas.openxmlformats.org/officeDocument/2006/relationships/hyperlink" Target="#'10 EVIDENCE &amp; DECISIONS'!A1266" TargetMode="External" Id="rId1269"/><Relationship Type="http://schemas.openxmlformats.org/officeDocument/2006/relationships/hyperlink" Target="#'10 EVIDENCE &amp; DECISIONS'!A1267" TargetMode="External" Id="rId1270"/><Relationship Type="http://schemas.openxmlformats.org/officeDocument/2006/relationships/hyperlink" Target="#'10 EVIDENCE &amp; DECISIONS'!A1268" TargetMode="External" Id="rId1271"/><Relationship Type="http://schemas.openxmlformats.org/officeDocument/2006/relationships/hyperlink" Target="#'10 EVIDENCE &amp; DECISIONS'!A1269" TargetMode="External" Id="rId1272"/><Relationship Type="http://schemas.openxmlformats.org/officeDocument/2006/relationships/hyperlink" Target="#'10 EVIDENCE &amp; DECISIONS'!A1270" TargetMode="External" Id="rId1273"/><Relationship Type="http://schemas.openxmlformats.org/officeDocument/2006/relationships/hyperlink" Target="#'10 EVIDENCE &amp; DECISIONS'!A1271" TargetMode="External" Id="rId1274"/><Relationship Type="http://schemas.openxmlformats.org/officeDocument/2006/relationships/hyperlink" Target="#'10 EVIDENCE &amp; DECISIONS'!A1272" TargetMode="External" Id="rId1275"/><Relationship Type="http://schemas.openxmlformats.org/officeDocument/2006/relationships/hyperlink" Target="#'10 EVIDENCE &amp; DECISIONS'!A1273" TargetMode="External" Id="rId1276"/><Relationship Type="http://schemas.openxmlformats.org/officeDocument/2006/relationships/hyperlink" Target="#'10 EVIDENCE &amp; DECISIONS'!A1274" TargetMode="External" Id="rId1277"/><Relationship Type="http://schemas.openxmlformats.org/officeDocument/2006/relationships/hyperlink" Target="#'10 EVIDENCE &amp; DECISIONS'!A1275" TargetMode="External" Id="rId1278"/><Relationship Type="http://schemas.openxmlformats.org/officeDocument/2006/relationships/hyperlink" Target="#'10 EVIDENCE &amp; DECISIONS'!A1276" TargetMode="External" Id="rId1279"/><Relationship Type="http://schemas.openxmlformats.org/officeDocument/2006/relationships/hyperlink" Target="#'10 EVIDENCE &amp; DECISIONS'!A1277" TargetMode="External" Id="rId1280"/><Relationship Type="http://schemas.openxmlformats.org/officeDocument/2006/relationships/hyperlink" Target="#'10 EVIDENCE &amp; DECISIONS'!A1278" TargetMode="External" Id="rId1281"/><Relationship Type="http://schemas.openxmlformats.org/officeDocument/2006/relationships/hyperlink" Target="#'10 EVIDENCE &amp; DECISIONS'!A1279" TargetMode="External" Id="rId1282"/><Relationship Type="http://schemas.openxmlformats.org/officeDocument/2006/relationships/hyperlink" Target="#'10 EVIDENCE &amp; DECISIONS'!A1280" TargetMode="External" Id="rId1283"/><Relationship Type="http://schemas.openxmlformats.org/officeDocument/2006/relationships/hyperlink" Target="#'10 EVIDENCE &amp; DECISIONS'!A1281" TargetMode="External" Id="rId1284"/><Relationship Type="http://schemas.openxmlformats.org/officeDocument/2006/relationships/hyperlink" Target="#'10 EVIDENCE &amp; DECISIONS'!A1282" TargetMode="External" Id="rId1285"/><Relationship Type="http://schemas.openxmlformats.org/officeDocument/2006/relationships/hyperlink" Target="#'10 EVIDENCE &amp; DECISIONS'!A1283" TargetMode="External" Id="rId1286"/><Relationship Type="http://schemas.openxmlformats.org/officeDocument/2006/relationships/hyperlink" Target="#'10 EVIDENCE &amp; DECISIONS'!A1284" TargetMode="External" Id="rId1287"/><Relationship Type="http://schemas.openxmlformats.org/officeDocument/2006/relationships/hyperlink" Target="#'10 EVIDENCE &amp; DECISIONS'!A1285" TargetMode="External" Id="rId1288"/><Relationship Type="http://schemas.openxmlformats.org/officeDocument/2006/relationships/hyperlink" Target="#'10 EVIDENCE &amp; DECISIONS'!A1286" TargetMode="External" Id="rId1289"/><Relationship Type="http://schemas.openxmlformats.org/officeDocument/2006/relationships/hyperlink" Target="#'10 EVIDENCE &amp; DECISIONS'!A1287" TargetMode="External" Id="rId1290"/><Relationship Type="http://schemas.openxmlformats.org/officeDocument/2006/relationships/hyperlink" Target="#'10 EVIDENCE &amp; DECISIONS'!A1288" TargetMode="External" Id="rId1291"/><Relationship Type="http://schemas.openxmlformats.org/officeDocument/2006/relationships/hyperlink" Target="#'10 EVIDENCE &amp; DECISIONS'!A1289" TargetMode="External" Id="rId1292"/><Relationship Type="http://schemas.openxmlformats.org/officeDocument/2006/relationships/hyperlink" Target="#'10 EVIDENCE &amp; DECISIONS'!A1290" TargetMode="External" Id="rId1293"/><Relationship Type="http://schemas.openxmlformats.org/officeDocument/2006/relationships/hyperlink" Target="#'10 EVIDENCE &amp; DECISIONS'!A1291" TargetMode="External" Id="rId1294"/><Relationship Type="http://schemas.openxmlformats.org/officeDocument/2006/relationships/hyperlink" Target="#'10 EVIDENCE &amp; DECISIONS'!A1292" TargetMode="External" Id="rId1295"/><Relationship Type="http://schemas.openxmlformats.org/officeDocument/2006/relationships/hyperlink" Target="#'10 EVIDENCE &amp; DECISIONS'!A1293" TargetMode="External" Id="rId1296"/><Relationship Type="http://schemas.openxmlformats.org/officeDocument/2006/relationships/hyperlink" Target="#'10 EVIDENCE &amp; DECISIONS'!A1294" TargetMode="External" Id="rId1297"/><Relationship Type="http://schemas.openxmlformats.org/officeDocument/2006/relationships/hyperlink" Target="#'10 EVIDENCE &amp; DECISIONS'!A1295" TargetMode="External" Id="rId1298"/><Relationship Type="http://schemas.openxmlformats.org/officeDocument/2006/relationships/hyperlink" Target="#'10 EVIDENCE &amp; DECISIONS'!A1296" TargetMode="External" Id="rId1299"/><Relationship Type="http://schemas.openxmlformats.org/officeDocument/2006/relationships/hyperlink" Target="#'10 EVIDENCE &amp; DECISIONS'!A1297" TargetMode="External" Id="rId1300"/><Relationship Type="http://schemas.openxmlformats.org/officeDocument/2006/relationships/hyperlink" Target="#'10 EVIDENCE &amp; DECISIONS'!A1298" TargetMode="External" Id="rId1301"/><Relationship Type="http://schemas.openxmlformats.org/officeDocument/2006/relationships/hyperlink" Target="#'10 EVIDENCE &amp; DECISIONS'!A1299" TargetMode="External" Id="rId1302"/><Relationship Type="http://schemas.openxmlformats.org/officeDocument/2006/relationships/hyperlink" Target="#'10 EVIDENCE &amp; DECISIONS'!A1300" TargetMode="External" Id="rId1303"/><Relationship Type="http://schemas.openxmlformats.org/officeDocument/2006/relationships/hyperlink" Target="#'10 EVIDENCE &amp; DECISIONS'!A1301" TargetMode="External" Id="rId1304"/><Relationship Type="http://schemas.openxmlformats.org/officeDocument/2006/relationships/hyperlink" Target="#'10 EVIDENCE &amp; DECISIONS'!A1302" TargetMode="External" Id="rId1305"/><Relationship Type="http://schemas.openxmlformats.org/officeDocument/2006/relationships/hyperlink" Target="#'10 EVIDENCE &amp; DECISIONS'!A1303" TargetMode="External" Id="rId1306"/><Relationship Type="http://schemas.openxmlformats.org/officeDocument/2006/relationships/hyperlink" Target="#'10 EVIDENCE &amp; DECISIONS'!A1304" TargetMode="External" Id="rId1307"/><Relationship Type="http://schemas.openxmlformats.org/officeDocument/2006/relationships/hyperlink" Target="#'10 EVIDENCE &amp; DECISIONS'!A1305" TargetMode="External" Id="rId1308"/><Relationship Type="http://schemas.openxmlformats.org/officeDocument/2006/relationships/hyperlink" Target="#'10 EVIDENCE &amp; DECISIONS'!A1306" TargetMode="External" Id="rId1309"/><Relationship Type="http://schemas.openxmlformats.org/officeDocument/2006/relationships/hyperlink" Target="#'10 EVIDENCE &amp; DECISIONS'!A1307" TargetMode="External" Id="rId1310"/><Relationship Type="http://schemas.openxmlformats.org/officeDocument/2006/relationships/hyperlink" Target="#'10 EVIDENCE &amp; DECISIONS'!A1308" TargetMode="External" Id="rId1311"/><Relationship Type="http://schemas.openxmlformats.org/officeDocument/2006/relationships/hyperlink" Target="#'10 EVIDENCE &amp; DECISIONS'!A1309" TargetMode="External" Id="rId1312"/><Relationship Type="http://schemas.openxmlformats.org/officeDocument/2006/relationships/hyperlink" Target="#'10 EVIDENCE &amp; DECISIONS'!A1310" TargetMode="External" Id="rId1313"/><Relationship Type="http://schemas.openxmlformats.org/officeDocument/2006/relationships/hyperlink" Target="#'10 EVIDENCE &amp; DECISIONS'!A1311" TargetMode="External" Id="rId1314"/><Relationship Type="http://schemas.openxmlformats.org/officeDocument/2006/relationships/hyperlink" Target="#'10 EVIDENCE &amp; DECISIONS'!A1312" TargetMode="External" Id="rId1315"/><Relationship Type="http://schemas.openxmlformats.org/officeDocument/2006/relationships/hyperlink" Target="#'10 EVIDENCE &amp; DECISIONS'!A1313" TargetMode="External" Id="rId1316"/><Relationship Type="http://schemas.openxmlformats.org/officeDocument/2006/relationships/hyperlink" Target="#'10 EVIDENCE &amp; DECISIONS'!A1314" TargetMode="External" Id="rId1317"/><Relationship Type="http://schemas.openxmlformats.org/officeDocument/2006/relationships/hyperlink" Target="#'10 EVIDENCE &amp; DECISIONS'!A1315" TargetMode="External" Id="rId1318"/><Relationship Type="http://schemas.openxmlformats.org/officeDocument/2006/relationships/hyperlink" Target="#'10 EVIDENCE &amp; DECISIONS'!A1316" TargetMode="External" Id="rId1319"/><Relationship Type="http://schemas.openxmlformats.org/officeDocument/2006/relationships/hyperlink" Target="#'10 EVIDENCE &amp; DECISIONS'!A1317" TargetMode="External" Id="rId1320"/><Relationship Type="http://schemas.openxmlformats.org/officeDocument/2006/relationships/hyperlink" Target="#'10 EVIDENCE &amp; DECISIONS'!A1318" TargetMode="External" Id="rId1321"/><Relationship Type="http://schemas.openxmlformats.org/officeDocument/2006/relationships/hyperlink" Target="#'10 EVIDENCE &amp; DECISIONS'!A1319" TargetMode="External" Id="rId1322"/><Relationship Type="http://schemas.openxmlformats.org/officeDocument/2006/relationships/hyperlink" Target="#'10 EVIDENCE &amp; DECISIONS'!A1320" TargetMode="External" Id="rId1323"/><Relationship Type="http://schemas.openxmlformats.org/officeDocument/2006/relationships/hyperlink" Target="#'10 EVIDENCE &amp; DECISIONS'!A1321" TargetMode="External" Id="rId1324"/><Relationship Type="http://schemas.openxmlformats.org/officeDocument/2006/relationships/hyperlink" Target="#'10 EVIDENCE &amp; DECISIONS'!A1322" TargetMode="External" Id="rId1325"/><Relationship Type="http://schemas.openxmlformats.org/officeDocument/2006/relationships/hyperlink" Target="#'10 EVIDENCE &amp; DECISIONS'!A1323" TargetMode="External" Id="rId1326"/><Relationship Type="http://schemas.openxmlformats.org/officeDocument/2006/relationships/hyperlink" Target="#'10 EVIDENCE &amp; DECISIONS'!A1324" TargetMode="External" Id="rId1327"/><Relationship Type="http://schemas.openxmlformats.org/officeDocument/2006/relationships/hyperlink" Target="#'10 EVIDENCE &amp; DECISIONS'!A1325" TargetMode="External" Id="rId1328"/><Relationship Type="http://schemas.openxmlformats.org/officeDocument/2006/relationships/hyperlink" Target="#'10 EVIDENCE &amp; DECISIONS'!A1326" TargetMode="External" Id="rId1329"/><Relationship Type="http://schemas.openxmlformats.org/officeDocument/2006/relationships/hyperlink" Target="#'10 EVIDENCE &amp; DECISIONS'!A1327" TargetMode="External" Id="rId1330"/><Relationship Type="http://schemas.openxmlformats.org/officeDocument/2006/relationships/hyperlink" Target="#'10 EVIDENCE &amp; DECISIONS'!A1328" TargetMode="External" Id="rId1331"/><Relationship Type="http://schemas.openxmlformats.org/officeDocument/2006/relationships/hyperlink" Target="#'10 EVIDENCE &amp; DECISIONS'!A1329" TargetMode="External" Id="rId1332"/><Relationship Type="http://schemas.openxmlformats.org/officeDocument/2006/relationships/hyperlink" Target="#'10 EVIDENCE &amp; DECISIONS'!A1330" TargetMode="External" Id="rId1333"/><Relationship Type="http://schemas.openxmlformats.org/officeDocument/2006/relationships/hyperlink" Target="#'10 EVIDENCE &amp; DECISIONS'!A1331" TargetMode="External" Id="rId1334"/><Relationship Type="http://schemas.openxmlformats.org/officeDocument/2006/relationships/hyperlink" Target="#'10 EVIDENCE &amp; DECISIONS'!A1332" TargetMode="External" Id="rId1335"/><Relationship Type="http://schemas.openxmlformats.org/officeDocument/2006/relationships/hyperlink" Target="#'10 EVIDENCE &amp; DECISIONS'!A1333" TargetMode="External" Id="rId1336"/><Relationship Type="http://schemas.openxmlformats.org/officeDocument/2006/relationships/hyperlink" Target="#'10 EVIDENCE &amp; DECISIONS'!A1334" TargetMode="External" Id="rId1337"/><Relationship Type="http://schemas.openxmlformats.org/officeDocument/2006/relationships/hyperlink" Target="#'10 EVIDENCE &amp; DECISIONS'!A1335" TargetMode="External" Id="rId1338"/><Relationship Type="http://schemas.openxmlformats.org/officeDocument/2006/relationships/hyperlink" Target="#'10 EVIDENCE &amp; DECISIONS'!A1336" TargetMode="External" Id="rId1339"/><Relationship Type="http://schemas.openxmlformats.org/officeDocument/2006/relationships/hyperlink" Target="#'10 EVIDENCE &amp; DECISIONS'!A1337" TargetMode="External" Id="rId1340"/><Relationship Type="http://schemas.openxmlformats.org/officeDocument/2006/relationships/hyperlink" Target="#'10 EVIDENCE &amp; DECISIONS'!A1338" TargetMode="External" Id="rId1341"/><Relationship Type="http://schemas.openxmlformats.org/officeDocument/2006/relationships/hyperlink" Target="#'10 EVIDENCE &amp; DECISIONS'!A1339" TargetMode="External" Id="rId1342"/><Relationship Type="http://schemas.openxmlformats.org/officeDocument/2006/relationships/hyperlink" Target="#'10 EVIDENCE &amp; DECISIONS'!A1340" TargetMode="External" Id="rId1343"/><Relationship Type="http://schemas.openxmlformats.org/officeDocument/2006/relationships/hyperlink" Target="#'10 EVIDENCE &amp; DECISIONS'!A1341" TargetMode="External" Id="rId1344"/><Relationship Type="http://schemas.openxmlformats.org/officeDocument/2006/relationships/hyperlink" Target="#'10 EVIDENCE &amp; DECISIONS'!A1342" TargetMode="External" Id="rId1345"/><Relationship Type="http://schemas.openxmlformats.org/officeDocument/2006/relationships/hyperlink" Target="#'10 EVIDENCE &amp; DECISIONS'!A1343" TargetMode="External" Id="rId1346"/><Relationship Type="http://schemas.openxmlformats.org/officeDocument/2006/relationships/hyperlink" Target="#'10 EVIDENCE &amp; DECISIONS'!A1344" TargetMode="External" Id="rId1347"/><Relationship Type="http://schemas.openxmlformats.org/officeDocument/2006/relationships/hyperlink" Target="#'10 EVIDENCE &amp; DECISIONS'!A1345" TargetMode="External" Id="rId1348"/><Relationship Type="http://schemas.openxmlformats.org/officeDocument/2006/relationships/hyperlink" Target="#'10 EVIDENCE &amp; DECISIONS'!A1346" TargetMode="External" Id="rId1349"/><Relationship Type="http://schemas.openxmlformats.org/officeDocument/2006/relationships/hyperlink" Target="#'10 EVIDENCE &amp; DECISIONS'!A1347" TargetMode="External" Id="rId1350"/><Relationship Type="http://schemas.openxmlformats.org/officeDocument/2006/relationships/hyperlink" Target="#'10 EVIDENCE &amp; DECISIONS'!A1348" TargetMode="External" Id="rId1351"/><Relationship Type="http://schemas.openxmlformats.org/officeDocument/2006/relationships/hyperlink" Target="#'10 EVIDENCE &amp; DECISIONS'!A1349" TargetMode="External" Id="rId1352"/><Relationship Type="http://schemas.openxmlformats.org/officeDocument/2006/relationships/hyperlink" Target="#'10 EVIDENCE &amp; DECISIONS'!A1350" TargetMode="External" Id="rId1353"/><Relationship Type="http://schemas.openxmlformats.org/officeDocument/2006/relationships/hyperlink" Target="#'10 EVIDENCE &amp; DECISIONS'!A1351" TargetMode="External" Id="rId1354"/><Relationship Type="http://schemas.openxmlformats.org/officeDocument/2006/relationships/hyperlink" Target="#'10 EVIDENCE &amp; DECISIONS'!A1352" TargetMode="External" Id="rId1355"/><Relationship Type="http://schemas.openxmlformats.org/officeDocument/2006/relationships/hyperlink" Target="#'10 EVIDENCE &amp; DECISIONS'!A1353" TargetMode="External" Id="rId1356"/><Relationship Type="http://schemas.openxmlformats.org/officeDocument/2006/relationships/hyperlink" Target="#'10 EVIDENCE &amp; DECISIONS'!A1354" TargetMode="External" Id="rId1357"/><Relationship Type="http://schemas.openxmlformats.org/officeDocument/2006/relationships/hyperlink" Target="#'10 EVIDENCE &amp; DECISIONS'!A1355" TargetMode="External" Id="rId1358"/><Relationship Type="http://schemas.openxmlformats.org/officeDocument/2006/relationships/hyperlink" Target="#'10 EVIDENCE &amp; DECISIONS'!A1356" TargetMode="External" Id="rId1359"/><Relationship Type="http://schemas.openxmlformats.org/officeDocument/2006/relationships/hyperlink" Target="#'10 EVIDENCE &amp; DECISIONS'!A1357" TargetMode="External" Id="rId1360"/><Relationship Type="http://schemas.openxmlformats.org/officeDocument/2006/relationships/hyperlink" Target="#'10 EVIDENCE &amp; DECISIONS'!A1358" TargetMode="External" Id="rId1361"/><Relationship Type="http://schemas.openxmlformats.org/officeDocument/2006/relationships/hyperlink" Target="#'10 EVIDENCE &amp; DECISIONS'!A1359" TargetMode="External" Id="rId1362"/><Relationship Type="http://schemas.openxmlformats.org/officeDocument/2006/relationships/hyperlink" Target="#'10 EVIDENCE &amp; DECISIONS'!A1360" TargetMode="External" Id="rId1363"/><Relationship Type="http://schemas.openxmlformats.org/officeDocument/2006/relationships/hyperlink" Target="#'10 EVIDENCE &amp; DECISIONS'!A1361" TargetMode="External" Id="rId1364"/><Relationship Type="http://schemas.openxmlformats.org/officeDocument/2006/relationships/hyperlink" Target="#'10 EVIDENCE &amp; DECISIONS'!A1362" TargetMode="External" Id="rId1365"/><Relationship Type="http://schemas.openxmlformats.org/officeDocument/2006/relationships/hyperlink" Target="#'10 EVIDENCE &amp; DECISIONS'!A1363" TargetMode="External" Id="rId1366"/><Relationship Type="http://schemas.openxmlformats.org/officeDocument/2006/relationships/hyperlink" Target="#'10 EVIDENCE &amp; DECISIONS'!A1364" TargetMode="External" Id="rId1367"/><Relationship Type="http://schemas.openxmlformats.org/officeDocument/2006/relationships/hyperlink" Target="#'10 EVIDENCE &amp; DECISIONS'!A1365" TargetMode="External" Id="rId1368"/><Relationship Type="http://schemas.openxmlformats.org/officeDocument/2006/relationships/hyperlink" Target="#'10 EVIDENCE &amp; DECISIONS'!A1366" TargetMode="External" Id="rId1369"/><Relationship Type="http://schemas.openxmlformats.org/officeDocument/2006/relationships/hyperlink" Target="#'10 EVIDENCE &amp; DECISIONS'!A1367" TargetMode="External" Id="rId1370"/><Relationship Type="http://schemas.openxmlformats.org/officeDocument/2006/relationships/hyperlink" Target="#'10 EVIDENCE &amp; DECISIONS'!A1368" TargetMode="External" Id="rId1371"/><Relationship Type="http://schemas.openxmlformats.org/officeDocument/2006/relationships/hyperlink" Target="#'10 EVIDENCE &amp; DECISIONS'!A1369" TargetMode="External" Id="rId1372"/><Relationship Type="http://schemas.openxmlformats.org/officeDocument/2006/relationships/hyperlink" Target="#'10 EVIDENCE &amp; DECISIONS'!A1370" TargetMode="External" Id="rId1373"/><Relationship Type="http://schemas.openxmlformats.org/officeDocument/2006/relationships/hyperlink" Target="#'10 EVIDENCE &amp; DECISIONS'!A1371" TargetMode="External" Id="rId1374"/><Relationship Type="http://schemas.openxmlformats.org/officeDocument/2006/relationships/hyperlink" Target="#'10 EVIDENCE &amp; DECISIONS'!A1372" TargetMode="External" Id="rId1375"/><Relationship Type="http://schemas.openxmlformats.org/officeDocument/2006/relationships/hyperlink" Target="#'10 EVIDENCE &amp; DECISIONS'!A1373" TargetMode="External" Id="rId1376"/><Relationship Type="http://schemas.openxmlformats.org/officeDocument/2006/relationships/hyperlink" Target="#'10 EVIDENCE &amp; DECISIONS'!A1374" TargetMode="External" Id="rId1377"/><Relationship Type="http://schemas.openxmlformats.org/officeDocument/2006/relationships/hyperlink" Target="#'10 EVIDENCE &amp; DECISIONS'!A1375" TargetMode="External" Id="rId1378"/><Relationship Type="http://schemas.openxmlformats.org/officeDocument/2006/relationships/hyperlink" Target="#'10 EVIDENCE &amp; DECISIONS'!A1376" TargetMode="External" Id="rId1379"/><Relationship Type="http://schemas.openxmlformats.org/officeDocument/2006/relationships/hyperlink" Target="#'10 EVIDENCE &amp; DECISIONS'!A1377" TargetMode="External" Id="rId1380"/><Relationship Type="http://schemas.openxmlformats.org/officeDocument/2006/relationships/hyperlink" Target="#'10 EVIDENCE &amp; DECISIONS'!A1378" TargetMode="External" Id="rId1381"/><Relationship Type="http://schemas.openxmlformats.org/officeDocument/2006/relationships/hyperlink" Target="#'10 EVIDENCE &amp; DECISIONS'!A1379" TargetMode="External" Id="rId1382"/><Relationship Type="http://schemas.openxmlformats.org/officeDocument/2006/relationships/hyperlink" Target="#'10 EVIDENCE &amp; DECISIONS'!A1380" TargetMode="External" Id="rId1383"/><Relationship Type="http://schemas.openxmlformats.org/officeDocument/2006/relationships/hyperlink" Target="#'10 EVIDENCE &amp; DECISIONS'!A1381" TargetMode="External" Id="rId1384"/><Relationship Type="http://schemas.openxmlformats.org/officeDocument/2006/relationships/hyperlink" Target="#'10 EVIDENCE &amp; DECISIONS'!A1382" TargetMode="External" Id="rId1385"/><Relationship Type="http://schemas.openxmlformats.org/officeDocument/2006/relationships/hyperlink" Target="#'10 EVIDENCE &amp; DECISIONS'!A1383" TargetMode="External" Id="rId1386"/><Relationship Type="http://schemas.openxmlformats.org/officeDocument/2006/relationships/hyperlink" Target="#'10 EVIDENCE &amp; DECISIONS'!A1384" TargetMode="External" Id="rId1387"/><Relationship Type="http://schemas.openxmlformats.org/officeDocument/2006/relationships/hyperlink" Target="#'10 EVIDENCE &amp; DECISIONS'!A1385" TargetMode="External" Id="rId1388"/><Relationship Type="http://schemas.openxmlformats.org/officeDocument/2006/relationships/hyperlink" Target="#'10 EVIDENCE &amp; DECISIONS'!A1386" TargetMode="External" Id="rId1389"/><Relationship Type="http://schemas.openxmlformats.org/officeDocument/2006/relationships/hyperlink" Target="#'10 EVIDENCE &amp; DECISIONS'!A1387" TargetMode="External" Id="rId1390"/><Relationship Type="http://schemas.openxmlformats.org/officeDocument/2006/relationships/hyperlink" Target="#'10 EVIDENCE &amp; DECISIONS'!A1388" TargetMode="External" Id="rId1391"/><Relationship Type="http://schemas.openxmlformats.org/officeDocument/2006/relationships/hyperlink" Target="#'10 EVIDENCE &amp; DECISIONS'!A1389" TargetMode="External" Id="rId1392"/><Relationship Type="http://schemas.openxmlformats.org/officeDocument/2006/relationships/hyperlink" Target="#'10 EVIDENCE &amp; DECISIONS'!A1390" TargetMode="External" Id="rId1393"/><Relationship Type="http://schemas.openxmlformats.org/officeDocument/2006/relationships/hyperlink" Target="#'10 EVIDENCE &amp; DECISIONS'!A1391" TargetMode="External" Id="rId1394"/><Relationship Type="http://schemas.openxmlformats.org/officeDocument/2006/relationships/hyperlink" Target="#'10 EVIDENCE &amp; DECISIONS'!A1392" TargetMode="External" Id="rId1395"/><Relationship Type="http://schemas.openxmlformats.org/officeDocument/2006/relationships/hyperlink" Target="#'10 EVIDENCE &amp; DECISIONS'!A1393" TargetMode="External" Id="rId1396"/><Relationship Type="http://schemas.openxmlformats.org/officeDocument/2006/relationships/hyperlink" Target="#'10 EVIDENCE &amp; DECISIONS'!A1394" TargetMode="External" Id="rId1397"/><Relationship Type="http://schemas.openxmlformats.org/officeDocument/2006/relationships/hyperlink" Target="#'10 EVIDENCE &amp; DECISIONS'!A1395" TargetMode="External" Id="rId1398"/><Relationship Type="http://schemas.openxmlformats.org/officeDocument/2006/relationships/hyperlink" Target="#'10 EVIDENCE &amp; DECISIONS'!A1396" TargetMode="External" Id="rId1399"/><Relationship Type="http://schemas.openxmlformats.org/officeDocument/2006/relationships/hyperlink" Target="#'10 EVIDENCE &amp; DECISIONS'!A1397" TargetMode="External" Id="rId1400"/><Relationship Type="http://schemas.openxmlformats.org/officeDocument/2006/relationships/hyperlink" Target="#'10 EVIDENCE &amp; DECISIONS'!A1398" TargetMode="External" Id="rId1401"/><Relationship Type="http://schemas.openxmlformats.org/officeDocument/2006/relationships/hyperlink" Target="#'10 EVIDENCE &amp; DECISIONS'!A1399" TargetMode="External" Id="rId1402"/><Relationship Type="http://schemas.openxmlformats.org/officeDocument/2006/relationships/hyperlink" Target="#'10 EVIDENCE &amp; DECISIONS'!A1400" TargetMode="External" Id="rId1403"/><Relationship Type="http://schemas.openxmlformats.org/officeDocument/2006/relationships/hyperlink" Target="#'10 EVIDENCE &amp; DECISIONS'!A1401" TargetMode="External" Id="rId1404"/><Relationship Type="http://schemas.openxmlformats.org/officeDocument/2006/relationships/hyperlink" Target="#'10 EVIDENCE &amp; DECISIONS'!A1402" TargetMode="External" Id="rId1405"/><Relationship Type="http://schemas.openxmlformats.org/officeDocument/2006/relationships/hyperlink" Target="#'10 EVIDENCE &amp; DECISIONS'!A1403" TargetMode="External" Id="rId1406"/><Relationship Type="http://schemas.openxmlformats.org/officeDocument/2006/relationships/hyperlink" Target="#'10 EVIDENCE &amp; DECISIONS'!A1404" TargetMode="External" Id="rId1407"/><Relationship Type="http://schemas.openxmlformats.org/officeDocument/2006/relationships/hyperlink" Target="#'10 EVIDENCE &amp; DECISIONS'!A1405" TargetMode="External" Id="rId1408"/><Relationship Type="http://schemas.openxmlformats.org/officeDocument/2006/relationships/hyperlink" Target="#'10 EVIDENCE &amp; DECISIONS'!A1406" TargetMode="External" Id="rId1409"/><Relationship Type="http://schemas.openxmlformats.org/officeDocument/2006/relationships/hyperlink" Target="#'10 EVIDENCE &amp; DECISIONS'!A1407" TargetMode="External" Id="rId1410"/><Relationship Type="http://schemas.openxmlformats.org/officeDocument/2006/relationships/hyperlink" Target="#'10 EVIDENCE &amp; DECISIONS'!A1408" TargetMode="External" Id="rId1411"/><Relationship Type="http://schemas.openxmlformats.org/officeDocument/2006/relationships/hyperlink" Target="#'10 EVIDENCE &amp; DECISIONS'!A1409" TargetMode="External" Id="rId1412"/><Relationship Type="http://schemas.openxmlformats.org/officeDocument/2006/relationships/hyperlink" Target="#'10 EVIDENCE &amp; DECISIONS'!A1410" TargetMode="External" Id="rId1413"/><Relationship Type="http://schemas.openxmlformats.org/officeDocument/2006/relationships/hyperlink" Target="#'10 EVIDENCE &amp; DECISIONS'!A1411" TargetMode="External" Id="rId1414"/><Relationship Type="http://schemas.openxmlformats.org/officeDocument/2006/relationships/hyperlink" Target="#'10 EVIDENCE &amp; DECISIONS'!A1412" TargetMode="External" Id="rId1415"/><Relationship Type="http://schemas.openxmlformats.org/officeDocument/2006/relationships/hyperlink" Target="#'10 EVIDENCE &amp; DECISIONS'!A1413" TargetMode="External" Id="rId1416"/><Relationship Type="http://schemas.openxmlformats.org/officeDocument/2006/relationships/hyperlink" Target="#'10 EVIDENCE &amp; DECISIONS'!A1414" TargetMode="External" Id="rId1417"/><Relationship Type="http://schemas.openxmlformats.org/officeDocument/2006/relationships/hyperlink" Target="#'10 EVIDENCE &amp; DECISIONS'!A1415" TargetMode="External" Id="rId1418"/><Relationship Type="http://schemas.openxmlformats.org/officeDocument/2006/relationships/hyperlink" Target="#'10 EVIDENCE &amp; DECISIONS'!A1416" TargetMode="External" Id="rId1419"/><Relationship Type="http://schemas.openxmlformats.org/officeDocument/2006/relationships/hyperlink" Target="#'10 EVIDENCE &amp; DECISIONS'!A1417" TargetMode="External" Id="rId1420"/><Relationship Type="http://schemas.openxmlformats.org/officeDocument/2006/relationships/hyperlink" Target="#'10 EVIDENCE &amp; DECISIONS'!A1418" TargetMode="External" Id="rId1421"/><Relationship Type="http://schemas.openxmlformats.org/officeDocument/2006/relationships/hyperlink" Target="#'10 EVIDENCE &amp; DECISIONS'!A1419" TargetMode="External" Id="rId1422"/><Relationship Type="http://schemas.openxmlformats.org/officeDocument/2006/relationships/hyperlink" Target="#'10 EVIDENCE &amp; DECISIONS'!A1420" TargetMode="External" Id="rId1423"/><Relationship Type="http://schemas.openxmlformats.org/officeDocument/2006/relationships/hyperlink" Target="#'10 EVIDENCE &amp; DECISIONS'!A1421" TargetMode="External" Id="rId1424"/><Relationship Type="http://schemas.openxmlformats.org/officeDocument/2006/relationships/hyperlink" Target="#'10 EVIDENCE &amp; DECISIONS'!A1422" TargetMode="External" Id="rId1425"/><Relationship Type="http://schemas.openxmlformats.org/officeDocument/2006/relationships/hyperlink" Target="#'10 EVIDENCE &amp; DECISIONS'!A1423" TargetMode="External" Id="rId1426"/><Relationship Type="http://schemas.openxmlformats.org/officeDocument/2006/relationships/hyperlink" Target="#'10 EVIDENCE &amp; DECISIONS'!A1424" TargetMode="External" Id="rId1427"/><Relationship Type="http://schemas.openxmlformats.org/officeDocument/2006/relationships/hyperlink" Target="#'10 EVIDENCE &amp; DECISIONS'!A1425" TargetMode="External" Id="rId1428"/><Relationship Type="http://schemas.openxmlformats.org/officeDocument/2006/relationships/hyperlink" Target="#'10 EVIDENCE &amp; DECISIONS'!A1426" TargetMode="External" Id="rId1429"/><Relationship Type="http://schemas.openxmlformats.org/officeDocument/2006/relationships/hyperlink" Target="#'10 EVIDENCE &amp; DECISIONS'!A1427" TargetMode="External" Id="rId1430"/><Relationship Type="http://schemas.openxmlformats.org/officeDocument/2006/relationships/hyperlink" Target="#'10 EVIDENCE &amp; DECISIONS'!A1428" TargetMode="External" Id="rId1431"/><Relationship Type="http://schemas.openxmlformats.org/officeDocument/2006/relationships/hyperlink" Target="#'10 EVIDENCE &amp; DECISIONS'!A1429" TargetMode="External" Id="rId1432"/><Relationship Type="http://schemas.openxmlformats.org/officeDocument/2006/relationships/hyperlink" Target="#'10 EVIDENCE &amp; DECISIONS'!A1430" TargetMode="External" Id="rId1433"/><Relationship Type="http://schemas.openxmlformats.org/officeDocument/2006/relationships/hyperlink" Target="#'10 EVIDENCE &amp; DECISIONS'!A1431" TargetMode="External" Id="rId1434"/><Relationship Type="http://schemas.openxmlformats.org/officeDocument/2006/relationships/hyperlink" Target="#'10 EVIDENCE &amp; DECISIONS'!A1432" TargetMode="External" Id="rId1435"/><Relationship Type="http://schemas.openxmlformats.org/officeDocument/2006/relationships/hyperlink" Target="#'10 EVIDENCE &amp; DECISIONS'!A1433" TargetMode="External" Id="rId1436"/><Relationship Type="http://schemas.openxmlformats.org/officeDocument/2006/relationships/hyperlink" Target="#'10 EVIDENCE &amp; DECISIONS'!A1434" TargetMode="External" Id="rId1437"/><Relationship Type="http://schemas.openxmlformats.org/officeDocument/2006/relationships/hyperlink" Target="#'10 EVIDENCE &amp; DECISIONS'!A1435" TargetMode="External" Id="rId1438"/><Relationship Type="http://schemas.openxmlformats.org/officeDocument/2006/relationships/hyperlink" Target="#'10 EVIDENCE &amp; DECISIONS'!A1436" TargetMode="External" Id="rId1439"/><Relationship Type="http://schemas.openxmlformats.org/officeDocument/2006/relationships/hyperlink" Target="#'10 EVIDENCE &amp; DECISIONS'!A1437" TargetMode="External" Id="rId1440"/><Relationship Type="http://schemas.openxmlformats.org/officeDocument/2006/relationships/hyperlink" Target="#'10 EVIDENCE &amp; DECISIONS'!A1438" TargetMode="External" Id="rId1441"/><Relationship Type="http://schemas.openxmlformats.org/officeDocument/2006/relationships/hyperlink" Target="#'10 EVIDENCE &amp; DECISIONS'!A1439" TargetMode="External" Id="rId1442"/><Relationship Type="http://schemas.openxmlformats.org/officeDocument/2006/relationships/hyperlink" Target="#'10 EVIDENCE &amp; DECISIONS'!A1440" TargetMode="External" Id="rId1443"/><Relationship Type="http://schemas.openxmlformats.org/officeDocument/2006/relationships/hyperlink" Target="#'10 EVIDENCE &amp; DECISIONS'!A1441" TargetMode="External" Id="rId1444"/><Relationship Type="http://schemas.openxmlformats.org/officeDocument/2006/relationships/hyperlink" Target="#'10 EVIDENCE &amp; DECISIONS'!A1442" TargetMode="External" Id="rId1445"/><Relationship Type="http://schemas.openxmlformats.org/officeDocument/2006/relationships/hyperlink" Target="#'10 EVIDENCE &amp; DECISIONS'!A1443" TargetMode="External" Id="rId1446"/><Relationship Type="http://schemas.openxmlformats.org/officeDocument/2006/relationships/hyperlink" Target="#'10 EVIDENCE &amp; DECISIONS'!A1444" TargetMode="External" Id="rId1447"/><Relationship Type="http://schemas.openxmlformats.org/officeDocument/2006/relationships/hyperlink" Target="#'10 EVIDENCE &amp; DECISIONS'!A1445" TargetMode="External" Id="rId1448"/><Relationship Type="http://schemas.openxmlformats.org/officeDocument/2006/relationships/hyperlink" Target="#'10 EVIDENCE &amp; DECISIONS'!A1446" TargetMode="External" Id="rId1449"/><Relationship Type="http://schemas.openxmlformats.org/officeDocument/2006/relationships/hyperlink" Target="#'10 EVIDENCE &amp; DECISIONS'!A1447" TargetMode="External" Id="rId1450"/><Relationship Type="http://schemas.openxmlformats.org/officeDocument/2006/relationships/hyperlink" Target="#'10 EVIDENCE &amp; DECISIONS'!A1448" TargetMode="External" Id="rId1451"/><Relationship Type="http://schemas.openxmlformats.org/officeDocument/2006/relationships/hyperlink" Target="#'10 EVIDENCE &amp; DECISIONS'!A1449" TargetMode="External" Id="rId1452"/><Relationship Type="http://schemas.openxmlformats.org/officeDocument/2006/relationships/hyperlink" Target="#'10 EVIDENCE &amp; DECISIONS'!A1450" TargetMode="External" Id="rId1453"/><Relationship Type="http://schemas.openxmlformats.org/officeDocument/2006/relationships/hyperlink" Target="#'10 EVIDENCE &amp; DECISIONS'!A1451" TargetMode="External" Id="rId1454"/><Relationship Type="http://schemas.openxmlformats.org/officeDocument/2006/relationships/hyperlink" Target="#'10 EVIDENCE &amp; DECISIONS'!A1452" TargetMode="External" Id="rId1455"/><Relationship Type="http://schemas.openxmlformats.org/officeDocument/2006/relationships/hyperlink" Target="#'10 EVIDENCE &amp; DECISIONS'!A1453" TargetMode="External" Id="rId1456"/><Relationship Type="http://schemas.openxmlformats.org/officeDocument/2006/relationships/hyperlink" Target="#'10 EVIDENCE &amp; DECISIONS'!A1454" TargetMode="External" Id="rId1457"/><Relationship Type="http://schemas.openxmlformats.org/officeDocument/2006/relationships/hyperlink" Target="#'10 EVIDENCE &amp; DECISIONS'!A1455" TargetMode="External" Id="rId1458"/><Relationship Type="http://schemas.openxmlformats.org/officeDocument/2006/relationships/hyperlink" Target="#'10 EVIDENCE &amp; DECISIONS'!A1456" TargetMode="External" Id="rId1459"/><Relationship Type="http://schemas.openxmlformats.org/officeDocument/2006/relationships/hyperlink" Target="#'10 EVIDENCE &amp; DECISIONS'!A1457" TargetMode="External" Id="rId1460"/><Relationship Type="http://schemas.openxmlformats.org/officeDocument/2006/relationships/hyperlink" Target="#'10 EVIDENCE &amp; DECISIONS'!A1458" TargetMode="External" Id="rId1461"/><Relationship Type="http://schemas.openxmlformats.org/officeDocument/2006/relationships/hyperlink" Target="#'10 EVIDENCE &amp; DECISIONS'!A1459" TargetMode="External" Id="rId1462"/><Relationship Type="http://schemas.openxmlformats.org/officeDocument/2006/relationships/hyperlink" Target="#'10 EVIDENCE &amp; DECISIONS'!A1460" TargetMode="External" Id="rId1463"/><Relationship Type="http://schemas.openxmlformats.org/officeDocument/2006/relationships/hyperlink" Target="#'10 EVIDENCE &amp; DECISIONS'!A1461" TargetMode="External" Id="rId1464"/><Relationship Type="http://schemas.openxmlformats.org/officeDocument/2006/relationships/hyperlink" Target="#'10 EVIDENCE &amp; DECISIONS'!A1462" TargetMode="External" Id="rId1465"/><Relationship Type="http://schemas.openxmlformats.org/officeDocument/2006/relationships/hyperlink" Target="#'10 EVIDENCE &amp; DECISIONS'!A1463" TargetMode="External" Id="rId1466"/><Relationship Type="http://schemas.openxmlformats.org/officeDocument/2006/relationships/hyperlink" Target="#'10 EVIDENCE &amp; DECISIONS'!A1464" TargetMode="External" Id="rId1467"/><Relationship Type="http://schemas.openxmlformats.org/officeDocument/2006/relationships/hyperlink" Target="#'10 EVIDENCE &amp; DECISIONS'!A1465" TargetMode="External" Id="rId1468"/><Relationship Type="http://schemas.openxmlformats.org/officeDocument/2006/relationships/hyperlink" Target="#'10 EVIDENCE &amp; DECISIONS'!A1466" TargetMode="External" Id="rId1469"/><Relationship Type="http://schemas.openxmlformats.org/officeDocument/2006/relationships/hyperlink" Target="#'10 EVIDENCE &amp; DECISIONS'!A1467" TargetMode="External" Id="rId1470"/><Relationship Type="http://schemas.openxmlformats.org/officeDocument/2006/relationships/hyperlink" Target="#'10 EVIDENCE &amp; DECISIONS'!A1468" TargetMode="External" Id="rId1471"/><Relationship Type="http://schemas.openxmlformats.org/officeDocument/2006/relationships/hyperlink" Target="#'10 EVIDENCE &amp; DECISIONS'!A1469" TargetMode="External" Id="rId1472"/><Relationship Type="http://schemas.openxmlformats.org/officeDocument/2006/relationships/hyperlink" Target="#'10 EVIDENCE &amp; DECISIONS'!A1470" TargetMode="External" Id="rId1473"/><Relationship Type="http://schemas.openxmlformats.org/officeDocument/2006/relationships/hyperlink" Target="#'10 EVIDENCE &amp; DECISIONS'!A1471" TargetMode="External" Id="rId1474"/><Relationship Type="http://schemas.openxmlformats.org/officeDocument/2006/relationships/hyperlink" Target="#'10 EVIDENCE &amp; DECISIONS'!A1472" TargetMode="External" Id="rId1475"/><Relationship Type="http://schemas.openxmlformats.org/officeDocument/2006/relationships/hyperlink" Target="#'10 EVIDENCE &amp; DECISIONS'!A1473" TargetMode="External" Id="rId1476"/><Relationship Type="http://schemas.openxmlformats.org/officeDocument/2006/relationships/hyperlink" Target="#'10 EVIDENCE &amp; DECISIONS'!A1474" TargetMode="External" Id="rId1477"/><Relationship Type="http://schemas.openxmlformats.org/officeDocument/2006/relationships/hyperlink" Target="#'10 EVIDENCE &amp; DECISIONS'!A1475" TargetMode="External" Id="rId1478"/><Relationship Type="http://schemas.openxmlformats.org/officeDocument/2006/relationships/hyperlink" Target="#'10 EVIDENCE &amp; DECISIONS'!A1476" TargetMode="External" Id="rId1479"/><Relationship Type="http://schemas.openxmlformats.org/officeDocument/2006/relationships/hyperlink" Target="#'10 EVIDENCE &amp; DECISIONS'!A1477" TargetMode="External" Id="rId1480"/><Relationship Type="http://schemas.openxmlformats.org/officeDocument/2006/relationships/hyperlink" Target="#'10 EVIDENCE &amp; DECISIONS'!A1478" TargetMode="External" Id="rId1481"/><Relationship Type="http://schemas.openxmlformats.org/officeDocument/2006/relationships/hyperlink" Target="#'10 EVIDENCE &amp; DECISIONS'!A1479" TargetMode="External" Id="rId1482"/><Relationship Type="http://schemas.openxmlformats.org/officeDocument/2006/relationships/hyperlink" Target="#'10 EVIDENCE &amp; DECISIONS'!A1480" TargetMode="External" Id="rId1483"/><Relationship Type="http://schemas.openxmlformats.org/officeDocument/2006/relationships/hyperlink" Target="#'10 EVIDENCE &amp; DECISIONS'!A1481" TargetMode="External" Id="rId1484"/><Relationship Type="http://schemas.openxmlformats.org/officeDocument/2006/relationships/hyperlink" Target="#'10 EVIDENCE &amp; DECISIONS'!A1482" TargetMode="External" Id="rId1485"/><Relationship Type="http://schemas.openxmlformats.org/officeDocument/2006/relationships/hyperlink" Target="#'10 EVIDENCE &amp; DECISIONS'!A1483" TargetMode="External" Id="rId1486"/><Relationship Type="http://schemas.openxmlformats.org/officeDocument/2006/relationships/hyperlink" Target="#'10 EVIDENCE &amp; DECISIONS'!A1484" TargetMode="External" Id="rId1487"/><Relationship Type="http://schemas.openxmlformats.org/officeDocument/2006/relationships/hyperlink" Target="#'10 EVIDENCE &amp; DECISIONS'!A1485" TargetMode="External" Id="rId1488"/><Relationship Type="http://schemas.openxmlformats.org/officeDocument/2006/relationships/hyperlink" Target="#'10 EVIDENCE &amp; DECISIONS'!A1486" TargetMode="External" Id="rId1489"/><Relationship Type="http://schemas.openxmlformats.org/officeDocument/2006/relationships/hyperlink" Target="#'10 EVIDENCE &amp; DECISIONS'!A1487" TargetMode="External" Id="rId1490"/><Relationship Type="http://schemas.openxmlformats.org/officeDocument/2006/relationships/hyperlink" Target="#'10 EVIDENCE &amp; DECISIONS'!A1488" TargetMode="External" Id="rId1491"/><Relationship Type="http://schemas.openxmlformats.org/officeDocument/2006/relationships/hyperlink" Target="#'10 EVIDENCE &amp; DECISIONS'!A1489" TargetMode="External" Id="rId1492"/><Relationship Type="http://schemas.openxmlformats.org/officeDocument/2006/relationships/hyperlink" Target="#'10 EVIDENCE &amp; DECISIONS'!A1490" TargetMode="External" Id="rId1493"/><Relationship Type="http://schemas.openxmlformats.org/officeDocument/2006/relationships/hyperlink" Target="#'10 EVIDENCE &amp; DECISIONS'!A1491" TargetMode="External" Id="rId1494"/><Relationship Type="http://schemas.openxmlformats.org/officeDocument/2006/relationships/hyperlink" Target="#'10 EVIDENCE &amp; DECISIONS'!A1492" TargetMode="External" Id="rId1495"/><Relationship Type="http://schemas.openxmlformats.org/officeDocument/2006/relationships/hyperlink" Target="#'10 EVIDENCE &amp; DECISIONS'!A1493" TargetMode="External" Id="rId1496"/><Relationship Type="http://schemas.openxmlformats.org/officeDocument/2006/relationships/hyperlink" Target="#'10 EVIDENCE &amp; DECISIONS'!A1494" TargetMode="External" Id="rId1497"/><Relationship Type="http://schemas.openxmlformats.org/officeDocument/2006/relationships/hyperlink" Target="#'10 EVIDENCE &amp; DECISIONS'!A1495" TargetMode="External" Id="rId1498"/><Relationship Type="http://schemas.openxmlformats.org/officeDocument/2006/relationships/hyperlink" Target="#'10 EVIDENCE &amp; DECISIONS'!A1496" TargetMode="External" Id="rId1499"/><Relationship Type="http://schemas.openxmlformats.org/officeDocument/2006/relationships/hyperlink" Target="#'10 EVIDENCE &amp; DECISIONS'!A1497" TargetMode="External" Id="rId1500"/><Relationship Type="http://schemas.openxmlformats.org/officeDocument/2006/relationships/hyperlink" Target="#'10 EVIDENCE &amp; DECISIONS'!A1498" TargetMode="External" Id="rId1501"/><Relationship Type="http://schemas.openxmlformats.org/officeDocument/2006/relationships/hyperlink" Target="#'10 EVIDENCE &amp; DECISIONS'!A1499" TargetMode="External" Id="rId1502"/><Relationship Type="http://schemas.openxmlformats.org/officeDocument/2006/relationships/hyperlink" Target="#'10 EVIDENCE &amp; DECISIONS'!A1500" TargetMode="External" Id="rId1503"/><Relationship Type="http://schemas.openxmlformats.org/officeDocument/2006/relationships/hyperlink" Target="#'10 EVIDENCE &amp; DECISIONS'!A1501" TargetMode="External" Id="rId1504"/><Relationship Type="http://schemas.openxmlformats.org/officeDocument/2006/relationships/hyperlink" Target="#'10 EVIDENCE &amp; DECISIONS'!A1502" TargetMode="External" Id="rId1505"/><Relationship Type="http://schemas.openxmlformats.org/officeDocument/2006/relationships/hyperlink" Target="#'10 EVIDENCE &amp; DECISIONS'!A1503" TargetMode="External" Id="rId1506"/><Relationship Type="http://schemas.openxmlformats.org/officeDocument/2006/relationships/hyperlink" Target="#'10 EVIDENCE &amp; DECISIONS'!A1504" TargetMode="External" Id="rId1507"/><Relationship Type="http://schemas.openxmlformats.org/officeDocument/2006/relationships/hyperlink" Target="#'10 EVIDENCE &amp; DECISIONS'!A1505" TargetMode="External" Id="rId1508"/><Relationship Type="http://schemas.openxmlformats.org/officeDocument/2006/relationships/hyperlink" Target="#'10 EVIDENCE &amp; DECISIONS'!A1506" TargetMode="External" Id="rId1509"/><Relationship Type="http://schemas.openxmlformats.org/officeDocument/2006/relationships/hyperlink" Target="#'10 EVIDENCE &amp; DECISIONS'!A1507" TargetMode="External" Id="rId1510"/><Relationship Type="http://schemas.openxmlformats.org/officeDocument/2006/relationships/hyperlink" Target="#'10 EVIDENCE &amp; DECISIONS'!A1508" TargetMode="External" Id="rId1511"/><Relationship Type="http://schemas.openxmlformats.org/officeDocument/2006/relationships/hyperlink" Target="#'10 EVIDENCE &amp; DECISIONS'!A1509" TargetMode="External" Id="rId1512"/><Relationship Type="http://schemas.openxmlformats.org/officeDocument/2006/relationships/hyperlink" Target="#'10 EVIDENCE &amp; DECISIONS'!A1510" TargetMode="External" Id="rId1513"/><Relationship Type="http://schemas.openxmlformats.org/officeDocument/2006/relationships/hyperlink" Target="#'10 EVIDENCE &amp; DECISIONS'!A1511" TargetMode="External" Id="rId1514"/><Relationship Type="http://schemas.openxmlformats.org/officeDocument/2006/relationships/hyperlink" Target="#'10 EVIDENCE &amp; DECISIONS'!A1512" TargetMode="External" Id="rId1515"/><Relationship Type="http://schemas.openxmlformats.org/officeDocument/2006/relationships/hyperlink" Target="#'10 EVIDENCE &amp; DECISIONS'!A1513" TargetMode="External" Id="rId1516"/><Relationship Type="http://schemas.openxmlformats.org/officeDocument/2006/relationships/hyperlink" Target="#'10 EVIDENCE &amp; DECISIONS'!A1514" TargetMode="External" Id="rId1517"/><Relationship Type="http://schemas.openxmlformats.org/officeDocument/2006/relationships/hyperlink" Target="#'10 EVIDENCE &amp; DECISIONS'!A1515" TargetMode="External" Id="rId1518"/><Relationship Type="http://schemas.openxmlformats.org/officeDocument/2006/relationships/hyperlink" Target="#'10 EVIDENCE &amp; DECISIONS'!A1516" TargetMode="External" Id="rId1519"/><Relationship Type="http://schemas.openxmlformats.org/officeDocument/2006/relationships/hyperlink" Target="#'10 EVIDENCE &amp; DECISIONS'!A1517" TargetMode="External" Id="rId1520"/><Relationship Type="http://schemas.openxmlformats.org/officeDocument/2006/relationships/hyperlink" Target="#'10 EVIDENCE &amp; DECISIONS'!A1518" TargetMode="External" Id="rId1521"/><Relationship Type="http://schemas.openxmlformats.org/officeDocument/2006/relationships/hyperlink" Target="#'10 EVIDENCE &amp; DECISIONS'!A1519" TargetMode="External" Id="rId1522"/><Relationship Type="http://schemas.openxmlformats.org/officeDocument/2006/relationships/hyperlink" Target="#'10 EVIDENCE &amp; DECISIONS'!A1520" TargetMode="External" Id="rId1523"/><Relationship Type="http://schemas.openxmlformats.org/officeDocument/2006/relationships/hyperlink" Target="#'10 EVIDENCE &amp; DECISIONS'!A1521" TargetMode="External" Id="rId1524"/><Relationship Type="http://schemas.openxmlformats.org/officeDocument/2006/relationships/hyperlink" Target="#'10 EVIDENCE &amp; DECISIONS'!A1522" TargetMode="External" Id="rId1525"/><Relationship Type="http://schemas.openxmlformats.org/officeDocument/2006/relationships/hyperlink" Target="#'10 EVIDENCE &amp; DECISIONS'!A1523" TargetMode="External" Id="rId1526"/><Relationship Type="http://schemas.openxmlformats.org/officeDocument/2006/relationships/hyperlink" Target="#'10 EVIDENCE &amp; DECISIONS'!A1524" TargetMode="External" Id="rId1527"/><Relationship Type="http://schemas.openxmlformats.org/officeDocument/2006/relationships/hyperlink" Target="#'10 EVIDENCE &amp; DECISIONS'!A1525" TargetMode="External" Id="rId1528"/><Relationship Type="http://schemas.openxmlformats.org/officeDocument/2006/relationships/hyperlink" Target="#'10 EVIDENCE &amp; DECISIONS'!A1526" TargetMode="External" Id="rId1529"/><Relationship Type="http://schemas.openxmlformats.org/officeDocument/2006/relationships/hyperlink" Target="#'10 EVIDENCE &amp; DECISIONS'!A1527" TargetMode="External" Id="rId1530"/><Relationship Type="http://schemas.openxmlformats.org/officeDocument/2006/relationships/hyperlink" Target="#'10 EVIDENCE &amp; DECISIONS'!A1528" TargetMode="External" Id="rId1531"/><Relationship Type="http://schemas.openxmlformats.org/officeDocument/2006/relationships/hyperlink" Target="#'10 EVIDENCE &amp; DECISIONS'!A1529" TargetMode="External" Id="rId1532"/><Relationship Type="http://schemas.openxmlformats.org/officeDocument/2006/relationships/hyperlink" Target="#'10 EVIDENCE &amp; DECISIONS'!A1530" TargetMode="External" Id="rId1533"/><Relationship Type="http://schemas.openxmlformats.org/officeDocument/2006/relationships/hyperlink" Target="#'10 EVIDENCE &amp; DECISIONS'!A1531" TargetMode="External" Id="rId1534"/><Relationship Type="http://schemas.openxmlformats.org/officeDocument/2006/relationships/hyperlink" Target="#'10 EVIDENCE &amp; DECISIONS'!A1532" TargetMode="External" Id="rId1535"/><Relationship Type="http://schemas.openxmlformats.org/officeDocument/2006/relationships/hyperlink" Target="#'10 EVIDENCE &amp; DECISIONS'!A1533" TargetMode="External" Id="rId1536"/><Relationship Type="http://schemas.openxmlformats.org/officeDocument/2006/relationships/hyperlink" Target="#'10 EVIDENCE &amp; DECISIONS'!A1534" TargetMode="External" Id="rId1537"/><Relationship Type="http://schemas.openxmlformats.org/officeDocument/2006/relationships/hyperlink" Target="#'10 EVIDENCE &amp; DECISIONS'!A1535" TargetMode="External" Id="rId1538"/><Relationship Type="http://schemas.openxmlformats.org/officeDocument/2006/relationships/hyperlink" Target="#'10 EVIDENCE &amp; DECISIONS'!A1536" TargetMode="External" Id="rId1539"/><Relationship Type="http://schemas.openxmlformats.org/officeDocument/2006/relationships/hyperlink" Target="#'10 EVIDENCE &amp; DECISIONS'!A1537" TargetMode="External" Id="rId1540"/><Relationship Type="http://schemas.openxmlformats.org/officeDocument/2006/relationships/hyperlink" Target="#'10 EVIDENCE &amp; DECISIONS'!A1538" TargetMode="External" Id="rId1541"/><Relationship Type="http://schemas.openxmlformats.org/officeDocument/2006/relationships/hyperlink" Target="#'10 EVIDENCE &amp; DECISIONS'!A1539" TargetMode="External" Id="rId1542"/><Relationship Type="http://schemas.openxmlformats.org/officeDocument/2006/relationships/hyperlink" Target="#'10 EVIDENCE &amp; DECISIONS'!A1540" TargetMode="External" Id="rId1543"/><Relationship Type="http://schemas.openxmlformats.org/officeDocument/2006/relationships/hyperlink" Target="#'10 EVIDENCE &amp; DECISIONS'!A1541" TargetMode="External" Id="rId1544"/><Relationship Type="http://schemas.openxmlformats.org/officeDocument/2006/relationships/hyperlink" Target="#'10 EVIDENCE &amp; DECISIONS'!A1542" TargetMode="External" Id="rId1545"/><Relationship Type="http://schemas.openxmlformats.org/officeDocument/2006/relationships/hyperlink" Target="#'10 EVIDENCE &amp; DECISIONS'!A1543" TargetMode="External" Id="rId1546"/><Relationship Type="http://schemas.openxmlformats.org/officeDocument/2006/relationships/hyperlink" Target="#'10 EVIDENCE &amp; DECISIONS'!A1544" TargetMode="External" Id="rId1547"/><Relationship Type="http://schemas.openxmlformats.org/officeDocument/2006/relationships/hyperlink" Target="#'10 EVIDENCE &amp; DECISIONS'!A1545" TargetMode="External" Id="rId1548"/><Relationship Type="http://schemas.openxmlformats.org/officeDocument/2006/relationships/hyperlink" Target="#'10 EVIDENCE &amp; DECISIONS'!A1546" TargetMode="External" Id="rId1549"/><Relationship Type="http://schemas.openxmlformats.org/officeDocument/2006/relationships/hyperlink" Target="#'10 EVIDENCE &amp; DECISIONS'!A1547" TargetMode="External" Id="rId1550"/><Relationship Type="http://schemas.openxmlformats.org/officeDocument/2006/relationships/hyperlink" Target="#'10 EVIDENCE &amp; DECISIONS'!A1548" TargetMode="External" Id="rId1551"/><Relationship Type="http://schemas.openxmlformats.org/officeDocument/2006/relationships/hyperlink" Target="#'10 EVIDENCE &amp; DECISIONS'!A1549" TargetMode="External" Id="rId1552"/><Relationship Type="http://schemas.openxmlformats.org/officeDocument/2006/relationships/hyperlink" Target="#'10 EVIDENCE &amp; DECISIONS'!A1550" TargetMode="External" Id="rId1553"/><Relationship Type="http://schemas.openxmlformats.org/officeDocument/2006/relationships/hyperlink" Target="#'10 EVIDENCE &amp; DECISIONS'!A1551" TargetMode="External" Id="rId1554"/><Relationship Type="http://schemas.openxmlformats.org/officeDocument/2006/relationships/hyperlink" Target="#'10 EVIDENCE &amp; DECISIONS'!A1552" TargetMode="External" Id="rId1555"/><Relationship Type="http://schemas.openxmlformats.org/officeDocument/2006/relationships/hyperlink" Target="#'10 EVIDENCE &amp; DECISIONS'!A1553" TargetMode="External" Id="rId1556"/><Relationship Type="http://schemas.openxmlformats.org/officeDocument/2006/relationships/hyperlink" Target="#'10 EVIDENCE &amp; DECISIONS'!A1554" TargetMode="External" Id="rId1557"/><Relationship Type="http://schemas.openxmlformats.org/officeDocument/2006/relationships/hyperlink" Target="#'10 EVIDENCE &amp; DECISIONS'!A1555" TargetMode="External" Id="rId1558"/><Relationship Type="http://schemas.openxmlformats.org/officeDocument/2006/relationships/hyperlink" Target="#'10 EVIDENCE &amp; DECISIONS'!A1556" TargetMode="External" Id="rId1559"/><Relationship Type="http://schemas.openxmlformats.org/officeDocument/2006/relationships/hyperlink" Target="#'10 EVIDENCE &amp; DECISIONS'!A1557" TargetMode="External" Id="rId1560"/><Relationship Type="http://schemas.openxmlformats.org/officeDocument/2006/relationships/hyperlink" Target="#'10 EVIDENCE &amp; DECISIONS'!A1558" TargetMode="External" Id="rId1561"/><Relationship Type="http://schemas.openxmlformats.org/officeDocument/2006/relationships/hyperlink" Target="#'10 EVIDENCE &amp; DECISIONS'!A1559" TargetMode="External" Id="rId1562"/><Relationship Type="http://schemas.openxmlformats.org/officeDocument/2006/relationships/hyperlink" Target="#'10 EVIDENCE &amp; DECISIONS'!A1560" TargetMode="External" Id="rId1563"/><Relationship Type="http://schemas.openxmlformats.org/officeDocument/2006/relationships/hyperlink" Target="#'10 EVIDENCE &amp; DECISIONS'!A1561" TargetMode="External" Id="rId1564"/><Relationship Type="http://schemas.openxmlformats.org/officeDocument/2006/relationships/hyperlink" Target="#'10 EVIDENCE &amp; DECISIONS'!A1562" TargetMode="External" Id="rId1565"/><Relationship Type="http://schemas.openxmlformats.org/officeDocument/2006/relationships/hyperlink" Target="#'10 EVIDENCE &amp; DECISIONS'!A1563" TargetMode="External" Id="rId1566"/><Relationship Type="http://schemas.openxmlformats.org/officeDocument/2006/relationships/hyperlink" Target="#'10 EVIDENCE &amp; DECISIONS'!A1564" TargetMode="External" Id="rId1567"/><Relationship Type="http://schemas.openxmlformats.org/officeDocument/2006/relationships/hyperlink" Target="#'10 EVIDENCE &amp; DECISIONS'!A1565" TargetMode="External" Id="rId1568"/><Relationship Type="http://schemas.openxmlformats.org/officeDocument/2006/relationships/hyperlink" Target="#'10 EVIDENCE &amp; DECISIONS'!A1566" TargetMode="External" Id="rId1569"/><Relationship Type="http://schemas.openxmlformats.org/officeDocument/2006/relationships/hyperlink" Target="#'10 EVIDENCE &amp; DECISIONS'!A1567" TargetMode="External" Id="rId1570"/><Relationship Type="http://schemas.openxmlformats.org/officeDocument/2006/relationships/hyperlink" Target="#'10 EVIDENCE &amp; DECISIONS'!A1568" TargetMode="External" Id="rId1571"/><Relationship Type="http://schemas.openxmlformats.org/officeDocument/2006/relationships/hyperlink" Target="#'10 EVIDENCE &amp; DECISIONS'!A1569" TargetMode="External" Id="rId1572"/><Relationship Type="http://schemas.openxmlformats.org/officeDocument/2006/relationships/hyperlink" Target="#'10 EVIDENCE &amp; DECISIONS'!A1570" TargetMode="External" Id="rId1573"/><Relationship Type="http://schemas.openxmlformats.org/officeDocument/2006/relationships/hyperlink" Target="#'10 EVIDENCE &amp; DECISIONS'!A1571" TargetMode="External" Id="rId1574"/><Relationship Type="http://schemas.openxmlformats.org/officeDocument/2006/relationships/hyperlink" Target="#'10 EVIDENCE &amp; DECISIONS'!A1572" TargetMode="External" Id="rId1575"/><Relationship Type="http://schemas.openxmlformats.org/officeDocument/2006/relationships/hyperlink" Target="#'10 EVIDENCE &amp; DECISIONS'!A1573" TargetMode="External" Id="rId1576"/><Relationship Type="http://schemas.openxmlformats.org/officeDocument/2006/relationships/hyperlink" Target="#'10 EVIDENCE &amp; DECISIONS'!A1574" TargetMode="External" Id="rId1577"/><Relationship Type="http://schemas.openxmlformats.org/officeDocument/2006/relationships/hyperlink" Target="#'10 EVIDENCE &amp; DECISIONS'!A1575" TargetMode="External" Id="rId1578"/><Relationship Type="http://schemas.openxmlformats.org/officeDocument/2006/relationships/hyperlink" Target="#'10 EVIDENCE &amp; DECISIONS'!A1576" TargetMode="External" Id="rId1579"/><Relationship Type="http://schemas.openxmlformats.org/officeDocument/2006/relationships/hyperlink" Target="#'10 EVIDENCE &amp; DECISIONS'!A1577" TargetMode="External" Id="rId1580"/><Relationship Type="http://schemas.openxmlformats.org/officeDocument/2006/relationships/hyperlink" Target="#'10 EVIDENCE &amp; DECISIONS'!A1578" TargetMode="External" Id="rId1581"/><Relationship Type="http://schemas.openxmlformats.org/officeDocument/2006/relationships/hyperlink" Target="#'10 EVIDENCE &amp; DECISIONS'!A1579" TargetMode="External" Id="rId1582"/><Relationship Type="http://schemas.openxmlformats.org/officeDocument/2006/relationships/hyperlink" Target="#'10 EVIDENCE &amp; DECISIONS'!A1580" TargetMode="External" Id="rId1583"/><Relationship Type="http://schemas.openxmlformats.org/officeDocument/2006/relationships/hyperlink" Target="#'10 EVIDENCE &amp; DECISIONS'!A1581" TargetMode="External" Id="rId1584"/><Relationship Type="http://schemas.openxmlformats.org/officeDocument/2006/relationships/hyperlink" Target="#'10 EVIDENCE &amp; DECISIONS'!A1582" TargetMode="External" Id="rId1585"/><Relationship Type="http://schemas.openxmlformats.org/officeDocument/2006/relationships/hyperlink" Target="#'10 EVIDENCE &amp; DECISIONS'!A1583" TargetMode="External" Id="rId1586"/><Relationship Type="http://schemas.openxmlformats.org/officeDocument/2006/relationships/hyperlink" Target="#'10 EVIDENCE &amp; DECISIONS'!A1584" TargetMode="External" Id="rId1587"/><Relationship Type="http://schemas.openxmlformats.org/officeDocument/2006/relationships/hyperlink" Target="#'10 EVIDENCE &amp; DECISIONS'!A1585" TargetMode="External" Id="rId1588"/><Relationship Type="http://schemas.openxmlformats.org/officeDocument/2006/relationships/hyperlink" Target="#'10 EVIDENCE &amp; DECISIONS'!A1586" TargetMode="External" Id="rId1589"/><Relationship Type="http://schemas.openxmlformats.org/officeDocument/2006/relationships/hyperlink" Target="#'10 EVIDENCE &amp; DECISIONS'!A1587" TargetMode="External" Id="rId1590"/><Relationship Type="http://schemas.openxmlformats.org/officeDocument/2006/relationships/hyperlink" Target="#'10 EVIDENCE &amp; DECISIONS'!A1588" TargetMode="External" Id="rId1591"/><Relationship Type="http://schemas.openxmlformats.org/officeDocument/2006/relationships/hyperlink" Target="#'10 EVIDENCE &amp; DECISIONS'!A1589" TargetMode="External" Id="rId1592"/><Relationship Type="http://schemas.openxmlformats.org/officeDocument/2006/relationships/hyperlink" Target="#'10 EVIDENCE &amp; DECISIONS'!A1590" TargetMode="External" Id="rId1593"/><Relationship Type="http://schemas.openxmlformats.org/officeDocument/2006/relationships/hyperlink" Target="#'10 EVIDENCE &amp; DECISIONS'!A1591" TargetMode="External" Id="rId1594"/><Relationship Type="http://schemas.openxmlformats.org/officeDocument/2006/relationships/hyperlink" Target="#'10 EVIDENCE &amp; DECISIONS'!A1592" TargetMode="External" Id="rId1595"/><Relationship Type="http://schemas.openxmlformats.org/officeDocument/2006/relationships/hyperlink" Target="#'10 EVIDENCE &amp; DECISIONS'!A1593" TargetMode="External" Id="rId1596"/><Relationship Type="http://schemas.openxmlformats.org/officeDocument/2006/relationships/hyperlink" Target="#'10 EVIDENCE &amp; DECISIONS'!A1594" TargetMode="External" Id="rId1597"/><Relationship Type="http://schemas.openxmlformats.org/officeDocument/2006/relationships/hyperlink" Target="#'10 EVIDENCE &amp; DECISIONS'!A1595" TargetMode="External" Id="rId1598"/><Relationship Type="http://schemas.openxmlformats.org/officeDocument/2006/relationships/hyperlink" Target="#'10 EVIDENCE &amp; DECISIONS'!A1596" TargetMode="External" Id="rId1599"/><Relationship Type="http://schemas.openxmlformats.org/officeDocument/2006/relationships/hyperlink" Target="#'10 EVIDENCE &amp; DECISIONS'!A1597" TargetMode="External" Id="rId1600"/><Relationship Type="http://schemas.openxmlformats.org/officeDocument/2006/relationships/hyperlink" Target="#'10 EVIDENCE &amp; DECISIONS'!A1598" TargetMode="External" Id="rId1601"/><Relationship Type="http://schemas.openxmlformats.org/officeDocument/2006/relationships/hyperlink" Target="#'10 EVIDENCE &amp; DECISIONS'!A1599" TargetMode="External" Id="rId1602"/><Relationship Type="http://schemas.openxmlformats.org/officeDocument/2006/relationships/hyperlink" Target="#'10 EVIDENCE &amp; DECISIONS'!A1600" TargetMode="External" Id="rId1603"/><Relationship Type="http://schemas.openxmlformats.org/officeDocument/2006/relationships/hyperlink" Target="#'10 EVIDENCE &amp; DECISIONS'!A1601" TargetMode="External" Id="rId1604"/><Relationship Type="http://schemas.openxmlformats.org/officeDocument/2006/relationships/hyperlink" Target="#'10 EVIDENCE &amp; DECISIONS'!A1602" TargetMode="External" Id="rId1605"/><Relationship Type="http://schemas.openxmlformats.org/officeDocument/2006/relationships/hyperlink" Target="#'10 EVIDENCE &amp; DECISIONS'!A1603" TargetMode="External" Id="rId1606"/><Relationship Type="http://schemas.openxmlformats.org/officeDocument/2006/relationships/hyperlink" Target="#'10 EVIDENCE &amp; DECISIONS'!A1604" TargetMode="External" Id="rId1607"/><Relationship Type="http://schemas.openxmlformats.org/officeDocument/2006/relationships/hyperlink" Target="#'10 EVIDENCE &amp; DECISIONS'!A1605" TargetMode="External" Id="rId1608"/><Relationship Type="http://schemas.openxmlformats.org/officeDocument/2006/relationships/hyperlink" Target="#'10 EVIDENCE &amp; DECISIONS'!A1606" TargetMode="External" Id="rId1609"/><Relationship Type="http://schemas.openxmlformats.org/officeDocument/2006/relationships/hyperlink" Target="#'10 EVIDENCE &amp; DECISIONS'!A1607" TargetMode="External" Id="rId1610"/><Relationship Type="http://schemas.openxmlformats.org/officeDocument/2006/relationships/hyperlink" Target="#'10 EVIDENCE &amp; DECISIONS'!A1608" TargetMode="External" Id="rId1611"/><Relationship Type="http://schemas.openxmlformats.org/officeDocument/2006/relationships/hyperlink" Target="#'10 EVIDENCE &amp; DECISIONS'!A1609" TargetMode="External" Id="rId1612"/><Relationship Type="http://schemas.openxmlformats.org/officeDocument/2006/relationships/hyperlink" Target="#'10 EVIDENCE &amp; DECISIONS'!A1610" TargetMode="External" Id="rId1613"/><Relationship Type="http://schemas.openxmlformats.org/officeDocument/2006/relationships/hyperlink" Target="#'10 EVIDENCE &amp; DECISIONS'!A1611" TargetMode="External" Id="rId1614"/><Relationship Type="http://schemas.openxmlformats.org/officeDocument/2006/relationships/hyperlink" Target="#'10 EVIDENCE &amp; DECISIONS'!A1612" TargetMode="External" Id="rId1615"/><Relationship Type="http://schemas.openxmlformats.org/officeDocument/2006/relationships/hyperlink" Target="#'10 EVIDENCE &amp; DECISIONS'!A1613" TargetMode="External" Id="rId1616"/><Relationship Type="http://schemas.openxmlformats.org/officeDocument/2006/relationships/hyperlink" Target="#'10 EVIDENCE &amp; DECISIONS'!A1614" TargetMode="External" Id="rId1617"/><Relationship Type="http://schemas.openxmlformats.org/officeDocument/2006/relationships/hyperlink" Target="#'10 EVIDENCE &amp; DECISIONS'!A1615" TargetMode="External" Id="rId1618"/><Relationship Type="http://schemas.openxmlformats.org/officeDocument/2006/relationships/hyperlink" Target="#'10 EVIDENCE &amp; DECISIONS'!A1616" TargetMode="External" Id="rId1619"/><Relationship Type="http://schemas.openxmlformats.org/officeDocument/2006/relationships/hyperlink" Target="#'10 EVIDENCE &amp; DECISIONS'!A1617" TargetMode="External" Id="rId1620"/><Relationship Type="http://schemas.openxmlformats.org/officeDocument/2006/relationships/hyperlink" Target="#'10 EVIDENCE &amp; DECISIONS'!A1618" TargetMode="External" Id="rId1621"/><Relationship Type="http://schemas.openxmlformats.org/officeDocument/2006/relationships/hyperlink" Target="#'10 EVIDENCE &amp; DECISIONS'!A1619" TargetMode="External" Id="rId1622"/><Relationship Type="http://schemas.openxmlformats.org/officeDocument/2006/relationships/hyperlink" Target="#'10 EVIDENCE &amp; DECISIONS'!A1620" TargetMode="External" Id="rId1623"/><Relationship Type="http://schemas.openxmlformats.org/officeDocument/2006/relationships/hyperlink" Target="#'10 EVIDENCE &amp; DECISIONS'!A1621" TargetMode="External" Id="rId1624"/><Relationship Type="http://schemas.openxmlformats.org/officeDocument/2006/relationships/hyperlink" Target="#'10 EVIDENCE &amp; DECISIONS'!A1622" TargetMode="External" Id="rId1625"/><Relationship Type="http://schemas.openxmlformats.org/officeDocument/2006/relationships/hyperlink" Target="#'10 EVIDENCE &amp; DECISIONS'!A1623" TargetMode="External" Id="rId1626"/><Relationship Type="http://schemas.openxmlformats.org/officeDocument/2006/relationships/hyperlink" Target="#'10 EVIDENCE &amp; DECISIONS'!A1624" TargetMode="External" Id="rId1627"/><Relationship Type="http://schemas.openxmlformats.org/officeDocument/2006/relationships/hyperlink" Target="#'10 EVIDENCE &amp; DECISIONS'!A1625" TargetMode="External" Id="rId1628"/><Relationship Type="http://schemas.openxmlformats.org/officeDocument/2006/relationships/hyperlink" Target="#'10 EVIDENCE &amp; DECISIONS'!A1626" TargetMode="External" Id="rId1629"/><Relationship Type="http://schemas.openxmlformats.org/officeDocument/2006/relationships/hyperlink" Target="#'10 EVIDENCE &amp; DECISIONS'!A1627" TargetMode="External" Id="rId1630"/><Relationship Type="http://schemas.openxmlformats.org/officeDocument/2006/relationships/hyperlink" Target="#'10 EVIDENCE &amp; DECISIONS'!A1628" TargetMode="External" Id="rId163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14 WBS HIERARCHY'!A1" TargetMode="External" Id="rId9"/><Relationship Type="http://schemas.openxmlformats.org/officeDocument/2006/relationships/hyperlink" Target="#'08 CROSSWALK'!A1" TargetMode="External" Id="rId10"/><Relationship Type="http://schemas.openxmlformats.org/officeDocument/2006/relationships/hyperlink" Target="#'08 CROSSWALK'!A6" TargetMode="External" Id="rId11"/><Relationship Type="http://schemas.openxmlformats.org/officeDocument/2006/relationships/hyperlink" Target="#'08 CROSSWALK'!A6" TargetMode="External" Id="rId12"/><Relationship Type="http://schemas.openxmlformats.org/officeDocument/2006/relationships/hyperlink" Target="#'08 CROSSWALK'!A16" TargetMode="External" Id="rId13"/><Relationship Type="http://schemas.openxmlformats.org/officeDocument/2006/relationships/hyperlink" Target="#'08 CROSSWALK'!A1" TargetMode="External" Id="rId14"/><Relationship Type="http://schemas.openxmlformats.org/officeDocument/2006/relationships/hyperlink" Target="#'08 CROSSWALK'!A1" TargetMode="External" Id="rId15"/><Relationship Type="http://schemas.openxmlformats.org/officeDocument/2006/relationships/hyperlink" Target="#'08 CROSSWALK'!A176" TargetMode="External" Id="rId16"/><Relationship Type="http://schemas.openxmlformats.org/officeDocument/2006/relationships/hyperlink" Target="#'08 CROSSWALK'!A1" TargetMode="External" Id="rId17"/><Relationship Type="http://schemas.openxmlformats.org/officeDocument/2006/relationships/hyperlink" Target="#'08 CROSSWALK'!A1" TargetMode="External" Id="rId18"/><Relationship Type="http://schemas.openxmlformats.org/officeDocument/2006/relationships/hyperlink" Target="#'08 CROSSWALK'!A1" TargetMode="External" Id="rId19"/><Relationship Type="http://schemas.openxmlformats.org/officeDocument/2006/relationships/hyperlink" Target="#'08 CROSSWALK'!A1" TargetMode="External" Id="rId20"/><Relationship Type="http://schemas.openxmlformats.org/officeDocument/2006/relationships/hyperlink" Target="#'08 CROSSWALK'!A1" TargetMode="External" Id="rId21"/><Relationship Type="http://schemas.openxmlformats.org/officeDocument/2006/relationships/hyperlink" Target="#'08 CROSSWALK'!A1" TargetMode="External" Id="rId22"/><Relationship Type="http://schemas.openxmlformats.org/officeDocument/2006/relationships/hyperlink" Target="#'08 CROSSWALK'!A1" TargetMode="External" Id="rId23"/><Relationship Type="http://schemas.openxmlformats.org/officeDocument/2006/relationships/hyperlink" Target="#'08 CROSSWALK'!A1" TargetMode="External" Id="rId24"/><Relationship Type="http://schemas.openxmlformats.org/officeDocument/2006/relationships/hyperlink" Target="#'08 CROSSWALK'!A276" TargetMode="External" Id="rId25"/><Relationship Type="http://schemas.openxmlformats.org/officeDocument/2006/relationships/hyperlink" Target="#'08 CROSSWALK'!A287" TargetMode="External" Id="rId26"/><Relationship Type="http://schemas.openxmlformats.org/officeDocument/2006/relationships/hyperlink" Target="#'08 CROSSWALK'!A1" TargetMode="External" Id="rId27"/><Relationship Type="http://schemas.openxmlformats.org/officeDocument/2006/relationships/hyperlink" Target="#'08 CROSSWALK'!A1" TargetMode="External" Id="rId28"/><Relationship Type="http://schemas.openxmlformats.org/officeDocument/2006/relationships/hyperlink" Target="#'08 CROSSWALK'!A447" TargetMode="External" Id="rId29"/><Relationship Type="http://schemas.openxmlformats.org/officeDocument/2006/relationships/hyperlink" Target="#'08 CROSSWALK'!A1" TargetMode="External" Id="rId30"/><Relationship Type="http://schemas.openxmlformats.org/officeDocument/2006/relationships/hyperlink" Target="#'08 CROSSWALK'!A1" TargetMode="External" Id="rId31"/><Relationship Type="http://schemas.openxmlformats.org/officeDocument/2006/relationships/hyperlink" Target="#'08 CROSSWALK'!A1" TargetMode="External" Id="rId32"/><Relationship Type="http://schemas.openxmlformats.org/officeDocument/2006/relationships/hyperlink" Target="#'08 CROSSWALK'!A1" TargetMode="External" Id="rId33"/><Relationship Type="http://schemas.openxmlformats.org/officeDocument/2006/relationships/hyperlink" Target="#'08 CROSSWALK'!A1" TargetMode="External" Id="rId34"/><Relationship Type="http://schemas.openxmlformats.org/officeDocument/2006/relationships/hyperlink" Target="#'08 CROSSWALK'!A1" TargetMode="External" Id="rId35"/><Relationship Type="http://schemas.openxmlformats.org/officeDocument/2006/relationships/hyperlink" Target="#'08 CROSSWALK'!A1" TargetMode="External" Id="rId36"/><Relationship Type="http://schemas.openxmlformats.org/officeDocument/2006/relationships/hyperlink" Target="#'08 CROSSWALK'!A1" TargetMode="External" Id="rId37"/><Relationship Type="http://schemas.openxmlformats.org/officeDocument/2006/relationships/hyperlink" Target="#'08 CROSSWALK'!A546" TargetMode="External" Id="rId38"/><Relationship Type="http://schemas.openxmlformats.org/officeDocument/2006/relationships/hyperlink" Target="#'08 CROSSWALK'!A556" TargetMode="External" Id="rId39"/><Relationship Type="http://schemas.openxmlformats.org/officeDocument/2006/relationships/hyperlink" Target="#'08 CROSSWALK'!A1" TargetMode="External" Id="rId40"/><Relationship Type="http://schemas.openxmlformats.org/officeDocument/2006/relationships/hyperlink" Target="#'08 CROSSWALK'!A1" TargetMode="External" Id="rId41"/><Relationship Type="http://schemas.openxmlformats.org/officeDocument/2006/relationships/hyperlink" Target="#'08 CROSSWALK'!A716" TargetMode="External" Id="rId42"/><Relationship Type="http://schemas.openxmlformats.org/officeDocument/2006/relationships/hyperlink" Target="#'08 CROSSWALK'!A1" TargetMode="External" Id="rId43"/><Relationship Type="http://schemas.openxmlformats.org/officeDocument/2006/relationships/hyperlink" Target="#'08 CROSSWALK'!A1" TargetMode="External" Id="rId44"/><Relationship Type="http://schemas.openxmlformats.org/officeDocument/2006/relationships/hyperlink" Target="#'08 CROSSWALK'!A1" TargetMode="External" Id="rId45"/><Relationship Type="http://schemas.openxmlformats.org/officeDocument/2006/relationships/hyperlink" Target="#'08 CROSSWALK'!A1" TargetMode="External" Id="rId46"/><Relationship Type="http://schemas.openxmlformats.org/officeDocument/2006/relationships/hyperlink" Target="#'08 CROSSWALK'!A1" TargetMode="External" Id="rId47"/><Relationship Type="http://schemas.openxmlformats.org/officeDocument/2006/relationships/hyperlink" Target="#'08 CROSSWALK'!A1" TargetMode="External" Id="rId48"/><Relationship Type="http://schemas.openxmlformats.org/officeDocument/2006/relationships/hyperlink" Target="#'08 CROSSWALK'!A1" TargetMode="External" Id="rId49"/><Relationship Type="http://schemas.openxmlformats.org/officeDocument/2006/relationships/hyperlink" Target="#'08 CROSSWALK'!A1" TargetMode="External" Id="rId50"/><Relationship Type="http://schemas.openxmlformats.org/officeDocument/2006/relationships/hyperlink" Target="#'08 CROSSWALK'!A815" TargetMode="External" Id="rId51"/><Relationship Type="http://schemas.openxmlformats.org/officeDocument/2006/relationships/hyperlink" Target="#'08 CROSSWALK'!A825" TargetMode="External" Id="rId52"/><Relationship Type="http://schemas.openxmlformats.org/officeDocument/2006/relationships/hyperlink" Target="#'08 CROSSWALK'!A1" TargetMode="External" Id="rId53"/><Relationship Type="http://schemas.openxmlformats.org/officeDocument/2006/relationships/hyperlink" Target="#'08 CROSSWALK'!A1" TargetMode="External" Id="rId54"/><Relationship Type="http://schemas.openxmlformats.org/officeDocument/2006/relationships/hyperlink" Target="#'08 CROSSWALK'!A985" TargetMode="External" Id="rId55"/><Relationship Type="http://schemas.openxmlformats.org/officeDocument/2006/relationships/hyperlink" Target="#'08 CROSSWALK'!A1" TargetMode="External" Id="rId56"/><Relationship Type="http://schemas.openxmlformats.org/officeDocument/2006/relationships/hyperlink" Target="#'08 CROSSWALK'!A1" TargetMode="External" Id="rId57"/><Relationship Type="http://schemas.openxmlformats.org/officeDocument/2006/relationships/hyperlink" Target="#'08 CROSSWALK'!A1" TargetMode="External" Id="rId58"/><Relationship Type="http://schemas.openxmlformats.org/officeDocument/2006/relationships/hyperlink" Target="#'08 CROSSWALK'!A1" TargetMode="External" Id="rId59"/><Relationship Type="http://schemas.openxmlformats.org/officeDocument/2006/relationships/hyperlink" Target="#'08 CROSSWALK'!A1" TargetMode="External" Id="rId60"/><Relationship Type="http://schemas.openxmlformats.org/officeDocument/2006/relationships/hyperlink" Target="#'08 CROSSWALK'!A1" TargetMode="External" Id="rId61"/><Relationship Type="http://schemas.openxmlformats.org/officeDocument/2006/relationships/hyperlink" Target="#'08 CROSSWALK'!A1" TargetMode="External" Id="rId62"/><Relationship Type="http://schemas.openxmlformats.org/officeDocument/2006/relationships/hyperlink" Target="#'08 CROSSWALK'!A1" TargetMode="External" Id="rId63"/><Relationship Type="http://schemas.openxmlformats.org/officeDocument/2006/relationships/hyperlink" Target="#'08 CROSSWALK'!A1084" TargetMode="External" Id="rId64"/><Relationship Type="http://schemas.openxmlformats.org/officeDocument/2006/relationships/hyperlink" Target="#'08 CROSSWALK'!A1094" TargetMode="External" Id="rId65"/><Relationship Type="http://schemas.openxmlformats.org/officeDocument/2006/relationships/hyperlink" Target="#'08 CROSSWALK'!A1" TargetMode="External" Id="rId66"/><Relationship Type="http://schemas.openxmlformats.org/officeDocument/2006/relationships/hyperlink" Target="#'08 CROSSWALK'!A1" TargetMode="External" Id="rId67"/><Relationship Type="http://schemas.openxmlformats.org/officeDocument/2006/relationships/hyperlink" Target="#'08 CROSSWALK'!A1214" TargetMode="External" Id="rId68"/><Relationship Type="http://schemas.openxmlformats.org/officeDocument/2006/relationships/hyperlink" Target="#'08 CROSSWALK'!A1" TargetMode="External" Id="rId69"/><Relationship Type="http://schemas.openxmlformats.org/officeDocument/2006/relationships/hyperlink" Target="#'08 CROSSWALK'!A1" TargetMode="External" Id="rId70"/><Relationship Type="http://schemas.openxmlformats.org/officeDocument/2006/relationships/hyperlink" Target="#'08 CROSSWALK'!A1" TargetMode="External" Id="rId71"/><Relationship Type="http://schemas.openxmlformats.org/officeDocument/2006/relationships/hyperlink" Target="#'08 CROSSWALK'!A1" TargetMode="External" Id="rId72"/><Relationship Type="http://schemas.openxmlformats.org/officeDocument/2006/relationships/hyperlink" Target="#'08 CROSSWALK'!A1" TargetMode="External" Id="rId73"/><Relationship Type="http://schemas.openxmlformats.org/officeDocument/2006/relationships/hyperlink" Target="#'08 CROSSWALK'!A1" TargetMode="External" Id="rId74"/><Relationship Type="http://schemas.openxmlformats.org/officeDocument/2006/relationships/hyperlink" Target="#'08 CROSSWALK'!A1" TargetMode="External" Id="rId75"/><Relationship Type="http://schemas.openxmlformats.org/officeDocument/2006/relationships/hyperlink" Target="#'08 CROSSWALK'!A1" TargetMode="External" Id="rId76"/><Relationship Type="http://schemas.openxmlformats.org/officeDocument/2006/relationships/hyperlink" Target="#'08 CROSSWALK'!A1274" TargetMode="External" Id="rId77"/><Relationship Type="http://schemas.openxmlformats.org/officeDocument/2006/relationships/hyperlink" Target="#'08 CROSSWALK'!A1284" TargetMode="External" Id="rId78"/><Relationship Type="http://schemas.openxmlformats.org/officeDocument/2006/relationships/hyperlink" Target="#'08 CROSSWALK'!A1" TargetMode="External" Id="rId79"/><Relationship Type="http://schemas.openxmlformats.org/officeDocument/2006/relationships/hyperlink" Target="#'08 CROSSWALK'!A1" TargetMode="External" Id="rId80"/><Relationship Type="http://schemas.openxmlformats.org/officeDocument/2006/relationships/hyperlink" Target="#'08 CROSSWALK'!A1324" TargetMode="External" Id="rId81"/><Relationship Type="http://schemas.openxmlformats.org/officeDocument/2006/relationships/hyperlink" Target="#'08 CROSSWALK'!A1" TargetMode="External" Id="rId82"/><Relationship Type="http://schemas.openxmlformats.org/officeDocument/2006/relationships/hyperlink" Target="#'08 CROSSWALK'!A1" TargetMode="External" Id="rId83"/><Relationship Type="http://schemas.openxmlformats.org/officeDocument/2006/relationships/hyperlink" Target="#'08 CROSSWALK'!A1" TargetMode="External" Id="rId84"/><Relationship Type="http://schemas.openxmlformats.org/officeDocument/2006/relationships/hyperlink" Target="#'08 CROSSWALK'!A1" TargetMode="External" Id="rId85"/><Relationship Type="http://schemas.openxmlformats.org/officeDocument/2006/relationships/hyperlink" Target="#'08 CROSSWALK'!A1" TargetMode="External" Id="rId86"/><Relationship Type="http://schemas.openxmlformats.org/officeDocument/2006/relationships/hyperlink" Target="#'08 CROSSWALK'!A1" TargetMode="External" Id="rId87"/><Relationship Type="http://schemas.openxmlformats.org/officeDocument/2006/relationships/hyperlink" Target="#'08 CROSSWALK'!A1" TargetMode="External" Id="rId88"/><Relationship Type="http://schemas.openxmlformats.org/officeDocument/2006/relationships/hyperlink" Target="#'08 CROSSWALK'!A1" TargetMode="External" Id="rId89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08 CROSSWALK'!A6" TargetMode="External" Id="rId9"/><Relationship Type="http://schemas.openxmlformats.org/officeDocument/2006/relationships/hyperlink" Target="#'08 CROSSWALK'!A7" TargetMode="External" Id="rId10"/><Relationship Type="http://schemas.openxmlformats.org/officeDocument/2006/relationships/hyperlink" Target="#'08 CROSSWALK'!A8" TargetMode="External" Id="rId11"/><Relationship Type="http://schemas.openxmlformats.org/officeDocument/2006/relationships/hyperlink" Target="#'08 CROSSWALK'!A9" TargetMode="External" Id="rId12"/><Relationship Type="http://schemas.openxmlformats.org/officeDocument/2006/relationships/hyperlink" Target="#'08 CROSSWALK'!A10" TargetMode="External" Id="rId13"/><Relationship Type="http://schemas.openxmlformats.org/officeDocument/2006/relationships/hyperlink" Target="#'08 CROSSWALK'!A11" TargetMode="External" Id="rId14"/><Relationship Type="http://schemas.openxmlformats.org/officeDocument/2006/relationships/hyperlink" Target="#'08 CROSSWALK'!A12" TargetMode="External" Id="rId15"/><Relationship Type="http://schemas.openxmlformats.org/officeDocument/2006/relationships/hyperlink" Target="#'08 CROSSWALK'!A13" TargetMode="External" Id="rId16"/><Relationship Type="http://schemas.openxmlformats.org/officeDocument/2006/relationships/hyperlink" Target="#'08 CROSSWALK'!A14" TargetMode="External" Id="rId17"/><Relationship Type="http://schemas.openxmlformats.org/officeDocument/2006/relationships/hyperlink" Target="#'08 CROSSWALK'!A15" TargetMode="External" Id="rId18"/><Relationship Type="http://schemas.openxmlformats.org/officeDocument/2006/relationships/hyperlink" Target="#'08 CROSSWALK'!A16" TargetMode="External" Id="rId19"/><Relationship Type="http://schemas.openxmlformats.org/officeDocument/2006/relationships/hyperlink" Target="#'08 CROSSWALK'!A17" TargetMode="External" Id="rId20"/><Relationship Type="http://schemas.openxmlformats.org/officeDocument/2006/relationships/hyperlink" Target="#'08 CROSSWALK'!A18" TargetMode="External" Id="rId21"/><Relationship Type="http://schemas.openxmlformats.org/officeDocument/2006/relationships/hyperlink" Target="#'08 CROSSWALK'!A19" TargetMode="External" Id="rId22"/><Relationship Type="http://schemas.openxmlformats.org/officeDocument/2006/relationships/hyperlink" Target="#'08 CROSSWALK'!A20" TargetMode="External" Id="rId23"/><Relationship Type="http://schemas.openxmlformats.org/officeDocument/2006/relationships/hyperlink" Target="#'08 CROSSWALK'!A21" TargetMode="External" Id="rId24"/><Relationship Type="http://schemas.openxmlformats.org/officeDocument/2006/relationships/hyperlink" Target="#'08 CROSSWALK'!A22" TargetMode="External" Id="rId25"/><Relationship Type="http://schemas.openxmlformats.org/officeDocument/2006/relationships/hyperlink" Target="#'08 CROSSWALK'!A23" TargetMode="External" Id="rId26"/><Relationship Type="http://schemas.openxmlformats.org/officeDocument/2006/relationships/hyperlink" Target="#'08 CROSSWALK'!A24" TargetMode="External" Id="rId27"/><Relationship Type="http://schemas.openxmlformats.org/officeDocument/2006/relationships/hyperlink" Target="#'08 CROSSWALK'!A25" TargetMode="External" Id="rId28"/><Relationship Type="http://schemas.openxmlformats.org/officeDocument/2006/relationships/hyperlink" Target="#'08 CROSSWALK'!A26" TargetMode="External" Id="rId29"/><Relationship Type="http://schemas.openxmlformats.org/officeDocument/2006/relationships/hyperlink" Target="#'08 CROSSWALK'!A27" TargetMode="External" Id="rId30"/><Relationship Type="http://schemas.openxmlformats.org/officeDocument/2006/relationships/hyperlink" Target="#'08 CROSSWALK'!A28" TargetMode="External" Id="rId31"/><Relationship Type="http://schemas.openxmlformats.org/officeDocument/2006/relationships/hyperlink" Target="#'08 CROSSWALK'!A29" TargetMode="External" Id="rId32"/><Relationship Type="http://schemas.openxmlformats.org/officeDocument/2006/relationships/hyperlink" Target="#'08 CROSSWALK'!A30" TargetMode="External" Id="rId33"/><Relationship Type="http://schemas.openxmlformats.org/officeDocument/2006/relationships/hyperlink" Target="#'08 CROSSWALK'!A31" TargetMode="External" Id="rId34"/><Relationship Type="http://schemas.openxmlformats.org/officeDocument/2006/relationships/hyperlink" Target="#'08 CROSSWALK'!A32" TargetMode="External" Id="rId35"/><Relationship Type="http://schemas.openxmlformats.org/officeDocument/2006/relationships/hyperlink" Target="#'08 CROSSWALK'!A33" TargetMode="External" Id="rId36"/><Relationship Type="http://schemas.openxmlformats.org/officeDocument/2006/relationships/hyperlink" Target="#'08 CROSSWALK'!A34" TargetMode="External" Id="rId37"/><Relationship Type="http://schemas.openxmlformats.org/officeDocument/2006/relationships/hyperlink" Target="#'08 CROSSWALK'!A35" TargetMode="External" Id="rId38"/><Relationship Type="http://schemas.openxmlformats.org/officeDocument/2006/relationships/hyperlink" Target="#'08 CROSSWALK'!A36" TargetMode="External" Id="rId39"/><Relationship Type="http://schemas.openxmlformats.org/officeDocument/2006/relationships/hyperlink" Target="#'08 CROSSWALK'!A37" TargetMode="External" Id="rId40"/><Relationship Type="http://schemas.openxmlformats.org/officeDocument/2006/relationships/hyperlink" Target="#'08 CROSSWALK'!A38" TargetMode="External" Id="rId41"/><Relationship Type="http://schemas.openxmlformats.org/officeDocument/2006/relationships/hyperlink" Target="#'08 CROSSWALK'!A39" TargetMode="External" Id="rId42"/><Relationship Type="http://schemas.openxmlformats.org/officeDocument/2006/relationships/hyperlink" Target="#'08 CROSSWALK'!A40" TargetMode="External" Id="rId43"/><Relationship Type="http://schemas.openxmlformats.org/officeDocument/2006/relationships/hyperlink" Target="#'08 CROSSWALK'!A41" TargetMode="External" Id="rId44"/><Relationship Type="http://schemas.openxmlformats.org/officeDocument/2006/relationships/hyperlink" Target="#'08 CROSSWALK'!A42" TargetMode="External" Id="rId45"/><Relationship Type="http://schemas.openxmlformats.org/officeDocument/2006/relationships/hyperlink" Target="#'08 CROSSWALK'!A43" TargetMode="External" Id="rId46"/><Relationship Type="http://schemas.openxmlformats.org/officeDocument/2006/relationships/hyperlink" Target="#'08 CROSSWALK'!A44" TargetMode="External" Id="rId47"/><Relationship Type="http://schemas.openxmlformats.org/officeDocument/2006/relationships/hyperlink" Target="#'08 CROSSWALK'!A45" TargetMode="External" Id="rId48"/><Relationship Type="http://schemas.openxmlformats.org/officeDocument/2006/relationships/hyperlink" Target="#'08 CROSSWALK'!A46" TargetMode="External" Id="rId49"/><Relationship Type="http://schemas.openxmlformats.org/officeDocument/2006/relationships/hyperlink" Target="#'08 CROSSWALK'!A47" TargetMode="External" Id="rId50"/><Relationship Type="http://schemas.openxmlformats.org/officeDocument/2006/relationships/hyperlink" Target="#'08 CROSSWALK'!A48" TargetMode="External" Id="rId51"/><Relationship Type="http://schemas.openxmlformats.org/officeDocument/2006/relationships/hyperlink" Target="#'08 CROSSWALK'!A49" TargetMode="External" Id="rId52"/><Relationship Type="http://schemas.openxmlformats.org/officeDocument/2006/relationships/hyperlink" Target="#'08 CROSSWALK'!A50" TargetMode="External" Id="rId53"/><Relationship Type="http://schemas.openxmlformats.org/officeDocument/2006/relationships/hyperlink" Target="#'08 CROSSWALK'!A51" TargetMode="External" Id="rId54"/><Relationship Type="http://schemas.openxmlformats.org/officeDocument/2006/relationships/hyperlink" Target="#'08 CROSSWALK'!A52" TargetMode="External" Id="rId55"/><Relationship Type="http://schemas.openxmlformats.org/officeDocument/2006/relationships/hyperlink" Target="#'08 CROSSWALK'!A53" TargetMode="External" Id="rId56"/><Relationship Type="http://schemas.openxmlformats.org/officeDocument/2006/relationships/hyperlink" Target="#'08 CROSSWALK'!A54" TargetMode="External" Id="rId57"/><Relationship Type="http://schemas.openxmlformats.org/officeDocument/2006/relationships/hyperlink" Target="#'08 CROSSWALK'!A55" TargetMode="External" Id="rId58"/><Relationship Type="http://schemas.openxmlformats.org/officeDocument/2006/relationships/hyperlink" Target="#'08 CROSSWALK'!A56" TargetMode="External" Id="rId59"/><Relationship Type="http://schemas.openxmlformats.org/officeDocument/2006/relationships/hyperlink" Target="#'08 CROSSWALK'!A57" TargetMode="External" Id="rId60"/><Relationship Type="http://schemas.openxmlformats.org/officeDocument/2006/relationships/hyperlink" Target="#'08 CROSSWALK'!A58" TargetMode="External" Id="rId61"/><Relationship Type="http://schemas.openxmlformats.org/officeDocument/2006/relationships/hyperlink" Target="#'08 CROSSWALK'!A59" TargetMode="External" Id="rId62"/><Relationship Type="http://schemas.openxmlformats.org/officeDocument/2006/relationships/hyperlink" Target="#'08 CROSSWALK'!A60" TargetMode="External" Id="rId63"/><Relationship Type="http://schemas.openxmlformats.org/officeDocument/2006/relationships/hyperlink" Target="#'08 CROSSWALK'!A61" TargetMode="External" Id="rId64"/><Relationship Type="http://schemas.openxmlformats.org/officeDocument/2006/relationships/hyperlink" Target="#'08 CROSSWALK'!A62" TargetMode="External" Id="rId65"/><Relationship Type="http://schemas.openxmlformats.org/officeDocument/2006/relationships/hyperlink" Target="#'08 CROSSWALK'!A63" TargetMode="External" Id="rId66"/><Relationship Type="http://schemas.openxmlformats.org/officeDocument/2006/relationships/hyperlink" Target="#'08 CROSSWALK'!A64" TargetMode="External" Id="rId67"/><Relationship Type="http://schemas.openxmlformats.org/officeDocument/2006/relationships/hyperlink" Target="#'08 CROSSWALK'!A65" TargetMode="External" Id="rId68"/><Relationship Type="http://schemas.openxmlformats.org/officeDocument/2006/relationships/hyperlink" Target="#'08 CROSSWALK'!A66" TargetMode="External" Id="rId69"/><Relationship Type="http://schemas.openxmlformats.org/officeDocument/2006/relationships/hyperlink" Target="#'08 CROSSWALK'!A67" TargetMode="External" Id="rId70"/><Relationship Type="http://schemas.openxmlformats.org/officeDocument/2006/relationships/hyperlink" Target="#'08 CROSSWALK'!A68" TargetMode="External" Id="rId71"/><Relationship Type="http://schemas.openxmlformats.org/officeDocument/2006/relationships/hyperlink" Target="#'08 CROSSWALK'!A69" TargetMode="External" Id="rId72"/><Relationship Type="http://schemas.openxmlformats.org/officeDocument/2006/relationships/hyperlink" Target="#'08 CROSSWALK'!A70" TargetMode="External" Id="rId73"/><Relationship Type="http://schemas.openxmlformats.org/officeDocument/2006/relationships/hyperlink" Target="#'08 CROSSWALK'!A71" TargetMode="External" Id="rId74"/><Relationship Type="http://schemas.openxmlformats.org/officeDocument/2006/relationships/hyperlink" Target="#'08 CROSSWALK'!A72" TargetMode="External" Id="rId75"/><Relationship Type="http://schemas.openxmlformats.org/officeDocument/2006/relationships/hyperlink" Target="#'08 CROSSWALK'!A73" TargetMode="External" Id="rId76"/><Relationship Type="http://schemas.openxmlformats.org/officeDocument/2006/relationships/hyperlink" Target="#'08 CROSSWALK'!A74" TargetMode="External" Id="rId77"/><Relationship Type="http://schemas.openxmlformats.org/officeDocument/2006/relationships/hyperlink" Target="#'08 CROSSWALK'!A75" TargetMode="External" Id="rId78"/><Relationship Type="http://schemas.openxmlformats.org/officeDocument/2006/relationships/hyperlink" Target="#'08 CROSSWALK'!A76" TargetMode="External" Id="rId79"/><Relationship Type="http://schemas.openxmlformats.org/officeDocument/2006/relationships/hyperlink" Target="#'08 CROSSWALK'!A77" TargetMode="External" Id="rId80"/><Relationship Type="http://schemas.openxmlformats.org/officeDocument/2006/relationships/hyperlink" Target="#'08 CROSSWALK'!A78" TargetMode="External" Id="rId81"/><Relationship Type="http://schemas.openxmlformats.org/officeDocument/2006/relationships/hyperlink" Target="#'08 CROSSWALK'!A79" TargetMode="External" Id="rId82"/><Relationship Type="http://schemas.openxmlformats.org/officeDocument/2006/relationships/hyperlink" Target="#'08 CROSSWALK'!A80" TargetMode="External" Id="rId83"/><Relationship Type="http://schemas.openxmlformats.org/officeDocument/2006/relationships/hyperlink" Target="#'08 CROSSWALK'!A81" TargetMode="External" Id="rId84"/><Relationship Type="http://schemas.openxmlformats.org/officeDocument/2006/relationships/hyperlink" Target="#'08 CROSSWALK'!A82" TargetMode="External" Id="rId85"/><Relationship Type="http://schemas.openxmlformats.org/officeDocument/2006/relationships/hyperlink" Target="#'08 CROSSWALK'!A83" TargetMode="External" Id="rId86"/><Relationship Type="http://schemas.openxmlformats.org/officeDocument/2006/relationships/hyperlink" Target="#'08 CROSSWALK'!A84" TargetMode="External" Id="rId87"/><Relationship Type="http://schemas.openxmlformats.org/officeDocument/2006/relationships/hyperlink" Target="#'08 CROSSWALK'!A85" TargetMode="External" Id="rId88"/><Relationship Type="http://schemas.openxmlformats.org/officeDocument/2006/relationships/hyperlink" Target="#'08 CROSSWALK'!A86" TargetMode="External" Id="rId89"/><Relationship Type="http://schemas.openxmlformats.org/officeDocument/2006/relationships/hyperlink" Target="#'08 CROSSWALK'!A87" TargetMode="External" Id="rId90"/><Relationship Type="http://schemas.openxmlformats.org/officeDocument/2006/relationships/hyperlink" Target="#'08 CROSSWALK'!A88" TargetMode="External" Id="rId91"/><Relationship Type="http://schemas.openxmlformats.org/officeDocument/2006/relationships/hyperlink" Target="#'08 CROSSWALK'!A89" TargetMode="External" Id="rId92"/><Relationship Type="http://schemas.openxmlformats.org/officeDocument/2006/relationships/hyperlink" Target="#'08 CROSSWALK'!A90" TargetMode="External" Id="rId93"/><Relationship Type="http://schemas.openxmlformats.org/officeDocument/2006/relationships/hyperlink" Target="#'08 CROSSWALK'!A91" TargetMode="External" Id="rId94"/><Relationship Type="http://schemas.openxmlformats.org/officeDocument/2006/relationships/hyperlink" Target="#'08 CROSSWALK'!A92" TargetMode="External" Id="rId95"/><Relationship Type="http://schemas.openxmlformats.org/officeDocument/2006/relationships/hyperlink" Target="#'08 CROSSWALK'!A93" TargetMode="External" Id="rId96"/><Relationship Type="http://schemas.openxmlformats.org/officeDocument/2006/relationships/hyperlink" Target="#'08 CROSSWALK'!A94" TargetMode="External" Id="rId97"/><Relationship Type="http://schemas.openxmlformats.org/officeDocument/2006/relationships/hyperlink" Target="#'08 CROSSWALK'!A95" TargetMode="External" Id="rId98"/><Relationship Type="http://schemas.openxmlformats.org/officeDocument/2006/relationships/hyperlink" Target="#'08 CROSSWALK'!A96" TargetMode="External" Id="rId99"/><Relationship Type="http://schemas.openxmlformats.org/officeDocument/2006/relationships/hyperlink" Target="#'08 CROSSWALK'!A97" TargetMode="External" Id="rId100"/><Relationship Type="http://schemas.openxmlformats.org/officeDocument/2006/relationships/hyperlink" Target="#'08 CROSSWALK'!A98" TargetMode="External" Id="rId101"/><Relationship Type="http://schemas.openxmlformats.org/officeDocument/2006/relationships/hyperlink" Target="#'08 CROSSWALK'!A99" TargetMode="External" Id="rId102"/><Relationship Type="http://schemas.openxmlformats.org/officeDocument/2006/relationships/hyperlink" Target="#'08 CROSSWALK'!A100" TargetMode="External" Id="rId103"/><Relationship Type="http://schemas.openxmlformats.org/officeDocument/2006/relationships/hyperlink" Target="#'08 CROSSWALK'!A101" TargetMode="External" Id="rId104"/><Relationship Type="http://schemas.openxmlformats.org/officeDocument/2006/relationships/hyperlink" Target="#'08 CROSSWALK'!A102" TargetMode="External" Id="rId105"/><Relationship Type="http://schemas.openxmlformats.org/officeDocument/2006/relationships/hyperlink" Target="#'08 CROSSWALK'!A103" TargetMode="External" Id="rId106"/><Relationship Type="http://schemas.openxmlformats.org/officeDocument/2006/relationships/hyperlink" Target="#'08 CROSSWALK'!A104" TargetMode="External" Id="rId107"/><Relationship Type="http://schemas.openxmlformats.org/officeDocument/2006/relationships/hyperlink" Target="#'08 CROSSWALK'!A105" TargetMode="External" Id="rId108"/><Relationship Type="http://schemas.openxmlformats.org/officeDocument/2006/relationships/hyperlink" Target="#'08 CROSSWALK'!A106" TargetMode="External" Id="rId109"/><Relationship Type="http://schemas.openxmlformats.org/officeDocument/2006/relationships/hyperlink" Target="#'08 CROSSWALK'!A107" TargetMode="External" Id="rId110"/><Relationship Type="http://schemas.openxmlformats.org/officeDocument/2006/relationships/hyperlink" Target="#'08 CROSSWALK'!A108" TargetMode="External" Id="rId111"/><Relationship Type="http://schemas.openxmlformats.org/officeDocument/2006/relationships/hyperlink" Target="#'08 CROSSWALK'!A109" TargetMode="External" Id="rId112"/><Relationship Type="http://schemas.openxmlformats.org/officeDocument/2006/relationships/hyperlink" Target="#'08 CROSSWALK'!A110" TargetMode="External" Id="rId113"/><Relationship Type="http://schemas.openxmlformats.org/officeDocument/2006/relationships/hyperlink" Target="#'08 CROSSWALK'!A111" TargetMode="External" Id="rId114"/><Relationship Type="http://schemas.openxmlformats.org/officeDocument/2006/relationships/hyperlink" Target="#'08 CROSSWALK'!A112" TargetMode="External" Id="rId115"/><Relationship Type="http://schemas.openxmlformats.org/officeDocument/2006/relationships/hyperlink" Target="#'08 CROSSWALK'!A113" TargetMode="External" Id="rId116"/><Relationship Type="http://schemas.openxmlformats.org/officeDocument/2006/relationships/hyperlink" Target="#'08 CROSSWALK'!A114" TargetMode="External" Id="rId117"/><Relationship Type="http://schemas.openxmlformats.org/officeDocument/2006/relationships/hyperlink" Target="#'08 CROSSWALK'!A115" TargetMode="External" Id="rId118"/><Relationship Type="http://schemas.openxmlformats.org/officeDocument/2006/relationships/hyperlink" Target="#'08 CROSSWALK'!A116" TargetMode="External" Id="rId119"/><Relationship Type="http://schemas.openxmlformats.org/officeDocument/2006/relationships/hyperlink" Target="#'08 CROSSWALK'!A117" TargetMode="External" Id="rId120"/><Relationship Type="http://schemas.openxmlformats.org/officeDocument/2006/relationships/hyperlink" Target="#'08 CROSSWALK'!A118" TargetMode="External" Id="rId121"/><Relationship Type="http://schemas.openxmlformats.org/officeDocument/2006/relationships/hyperlink" Target="#'08 CROSSWALK'!A119" TargetMode="External" Id="rId122"/><Relationship Type="http://schemas.openxmlformats.org/officeDocument/2006/relationships/hyperlink" Target="#'08 CROSSWALK'!A120" TargetMode="External" Id="rId123"/><Relationship Type="http://schemas.openxmlformats.org/officeDocument/2006/relationships/hyperlink" Target="#'08 CROSSWALK'!A121" TargetMode="External" Id="rId124"/><Relationship Type="http://schemas.openxmlformats.org/officeDocument/2006/relationships/hyperlink" Target="#'08 CROSSWALK'!A122" TargetMode="External" Id="rId125"/><Relationship Type="http://schemas.openxmlformats.org/officeDocument/2006/relationships/hyperlink" Target="#'08 CROSSWALK'!A123" TargetMode="External" Id="rId126"/><Relationship Type="http://schemas.openxmlformats.org/officeDocument/2006/relationships/hyperlink" Target="#'08 CROSSWALK'!A124" TargetMode="External" Id="rId127"/><Relationship Type="http://schemas.openxmlformats.org/officeDocument/2006/relationships/hyperlink" Target="#'08 CROSSWALK'!A125" TargetMode="External" Id="rId128"/><Relationship Type="http://schemas.openxmlformats.org/officeDocument/2006/relationships/hyperlink" Target="#'08 CROSSWALK'!A126" TargetMode="External" Id="rId129"/><Relationship Type="http://schemas.openxmlformats.org/officeDocument/2006/relationships/hyperlink" Target="#'08 CROSSWALK'!A127" TargetMode="External" Id="rId130"/><Relationship Type="http://schemas.openxmlformats.org/officeDocument/2006/relationships/hyperlink" Target="#'08 CROSSWALK'!A128" TargetMode="External" Id="rId131"/><Relationship Type="http://schemas.openxmlformats.org/officeDocument/2006/relationships/hyperlink" Target="#'08 CROSSWALK'!A129" TargetMode="External" Id="rId132"/><Relationship Type="http://schemas.openxmlformats.org/officeDocument/2006/relationships/hyperlink" Target="#'08 CROSSWALK'!A130" TargetMode="External" Id="rId133"/><Relationship Type="http://schemas.openxmlformats.org/officeDocument/2006/relationships/hyperlink" Target="#'08 CROSSWALK'!A131" TargetMode="External" Id="rId134"/><Relationship Type="http://schemas.openxmlformats.org/officeDocument/2006/relationships/hyperlink" Target="#'08 CROSSWALK'!A132" TargetMode="External" Id="rId135"/><Relationship Type="http://schemas.openxmlformats.org/officeDocument/2006/relationships/hyperlink" Target="#'08 CROSSWALK'!A133" TargetMode="External" Id="rId136"/><Relationship Type="http://schemas.openxmlformats.org/officeDocument/2006/relationships/hyperlink" Target="#'08 CROSSWALK'!A134" TargetMode="External" Id="rId137"/><Relationship Type="http://schemas.openxmlformats.org/officeDocument/2006/relationships/hyperlink" Target="#'08 CROSSWALK'!A135" TargetMode="External" Id="rId138"/><Relationship Type="http://schemas.openxmlformats.org/officeDocument/2006/relationships/hyperlink" Target="#'08 CROSSWALK'!A136" TargetMode="External" Id="rId139"/><Relationship Type="http://schemas.openxmlformats.org/officeDocument/2006/relationships/hyperlink" Target="#'08 CROSSWALK'!A137" TargetMode="External" Id="rId140"/><Relationship Type="http://schemas.openxmlformats.org/officeDocument/2006/relationships/hyperlink" Target="#'08 CROSSWALK'!A138" TargetMode="External" Id="rId141"/><Relationship Type="http://schemas.openxmlformats.org/officeDocument/2006/relationships/hyperlink" Target="#'08 CROSSWALK'!A139" TargetMode="External" Id="rId142"/><Relationship Type="http://schemas.openxmlformats.org/officeDocument/2006/relationships/hyperlink" Target="#'08 CROSSWALK'!A140" TargetMode="External" Id="rId143"/><Relationship Type="http://schemas.openxmlformats.org/officeDocument/2006/relationships/hyperlink" Target="#'08 CROSSWALK'!A141" TargetMode="External" Id="rId144"/><Relationship Type="http://schemas.openxmlformats.org/officeDocument/2006/relationships/hyperlink" Target="#'08 CROSSWALK'!A142" TargetMode="External" Id="rId145"/><Relationship Type="http://schemas.openxmlformats.org/officeDocument/2006/relationships/hyperlink" Target="#'08 CROSSWALK'!A143" TargetMode="External" Id="rId146"/><Relationship Type="http://schemas.openxmlformats.org/officeDocument/2006/relationships/hyperlink" Target="#'08 CROSSWALK'!A144" TargetMode="External" Id="rId147"/><Relationship Type="http://schemas.openxmlformats.org/officeDocument/2006/relationships/hyperlink" Target="#'08 CROSSWALK'!A145" TargetMode="External" Id="rId148"/><Relationship Type="http://schemas.openxmlformats.org/officeDocument/2006/relationships/hyperlink" Target="#'08 CROSSWALK'!A146" TargetMode="External" Id="rId149"/><Relationship Type="http://schemas.openxmlformats.org/officeDocument/2006/relationships/hyperlink" Target="#'08 CROSSWALK'!A147" TargetMode="External" Id="rId150"/><Relationship Type="http://schemas.openxmlformats.org/officeDocument/2006/relationships/hyperlink" Target="#'08 CROSSWALK'!A148" TargetMode="External" Id="rId151"/><Relationship Type="http://schemas.openxmlformats.org/officeDocument/2006/relationships/hyperlink" Target="#'08 CROSSWALK'!A149" TargetMode="External" Id="rId152"/><Relationship Type="http://schemas.openxmlformats.org/officeDocument/2006/relationships/hyperlink" Target="#'08 CROSSWALK'!A150" TargetMode="External" Id="rId153"/><Relationship Type="http://schemas.openxmlformats.org/officeDocument/2006/relationships/hyperlink" Target="#'08 CROSSWALK'!A151" TargetMode="External" Id="rId154"/><Relationship Type="http://schemas.openxmlformats.org/officeDocument/2006/relationships/hyperlink" Target="#'08 CROSSWALK'!A152" TargetMode="External" Id="rId155"/><Relationship Type="http://schemas.openxmlformats.org/officeDocument/2006/relationships/hyperlink" Target="#'08 CROSSWALK'!A153" TargetMode="External" Id="rId156"/><Relationship Type="http://schemas.openxmlformats.org/officeDocument/2006/relationships/hyperlink" Target="#'08 CROSSWALK'!A154" TargetMode="External" Id="rId157"/><Relationship Type="http://schemas.openxmlformats.org/officeDocument/2006/relationships/hyperlink" Target="#'08 CROSSWALK'!A155" TargetMode="External" Id="rId158"/><Relationship Type="http://schemas.openxmlformats.org/officeDocument/2006/relationships/hyperlink" Target="#'08 CROSSWALK'!A156" TargetMode="External" Id="rId159"/><Relationship Type="http://schemas.openxmlformats.org/officeDocument/2006/relationships/hyperlink" Target="#'08 CROSSWALK'!A157" TargetMode="External" Id="rId160"/><Relationship Type="http://schemas.openxmlformats.org/officeDocument/2006/relationships/hyperlink" Target="#'08 CROSSWALK'!A158" TargetMode="External" Id="rId161"/><Relationship Type="http://schemas.openxmlformats.org/officeDocument/2006/relationships/hyperlink" Target="#'08 CROSSWALK'!A159" TargetMode="External" Id="rId162"/><Relationship Type="http://schemas.openxmlformats.org/officeDocument/2006/relationships/hyperlink" Target="#'08 CROSSWALK'!A160" TargetMode="External" Id="rId163"/><Relationship Type="http://schemas.openxmlformats.org/officeDocument/2006/relationships/hyperlink" Target="#'08 CROSSWALK'!A161" TargetMode="External" Id="rId164"/><Relationship Type="http://schemas.openxmlformats.org/officeDocument/2006/relationships/hyperlink" Target="#'08 CROSSWALK'!A162" TargetMode="External" Id="rId165"/><Relationship Type="http://schemas.openxmlformats.org/officeDocument/2006/relationships/hyperlink" Target="#'08 CROSSWALK'!A163" TargetMode="External" Id="rId166"/><Relationship Type="http://schemas.openxmlformats.org/officeDocument/2006/relationships/hyperlink" Target="#'08 CROSSWALK'!A164" TargetMode="External" Id="rId167"/><Relationship Type="http://schemas.openxmlformats.org/officeDocument/2006/relationships/hyperlink" Target="#'08 CROSSWALK'!A165" TargetMode="External" Id="rId168"/><Relationship Type="http://schemas.openxmlformats.org/officeDocument/2006/relationships/hyperlink" Target="#'08 CROSSWALK'!A166" TargetMode="External" Id="rId169"/><Relationship Type="http://schemas.openxmlformats.org/officeDocument/2006/relationships/hyperlink" Target="#'08 CROSSWALK'!A167" TargetMode="External" Id="rId170"/><Relationship Type="http://schemas.openxmlformats.org/officeDocument/2006/relationships/hyperlink" Target="#'08 CROSSWALK'!A168" TargetMode="External" Id="rId171"/><Relationship Type="http://schemas.openxmlformats.org/officeDocument/2006/relationships/hyperlink" Target="#'08 CROSSWALK'!A169" TargetMode="External" Id="rId172"/><Relationship Type="http://schemas.openxmlformats.org/officeDocument/2006/relationships/hyperlink" Target="#'08 CROSSWALK'!A170" TargetMode="External" Id="rId173"/><Relationship Type="http://schemas.openxmlformats.org/officeDocument/2006/relationships/hyperlink" Target="#'08 CROSSWALK'!A171" TargetMode="External" Id="rId174"/><Relationship Type="http://schemas.openxmlformats.org/officeDocument/2006/relationships/hyperlink" Target="#'08 CROSSWALK'!A172" TargetMode="External" Id="rId175"/><Relationship Type="http://schemas.openxmlformats.org/officeDocument/2006/relationships/hyperlink" Target="#'08 CROSSWALK'!A173" TargetMode="External" Id="rId176"/><Relationship Type="http://schemas.openxmlformats.org/officeDocument/2006/relationships/hyperlink" Target="#'08 CROSSWALK'!A174" TargetMode="External" Id="rId177"/><Relationship Type="http://schemas.openxmlformats.org/officeDocument/2006/relationships/hyperlink" Target="#'08 CROSSWALK'!A175" TargetMode="External" Id="rId178"/><Relationship Type="http://schemas.openxmlformats.org/officeDocument/2006/relationships/hyperlink" Target="#'08 CROSSWALK'!A176" TargetMode="External" Id="rId179"/><Relationship Type="http://schemas.openxmlformats.org/officeDocument/2006/relationships/hyperlink" Target="#'08 CROSSWALK'!A177" TargetMode="External" Id="rId180"/><Relationship Type="http://schemas.openxmlformats.org/officeDocument/2006/relationships/hyperlink" Target="#'08 CROSSWALK'!A178" TargetMode="External" Id="rId181"/><Relationship Type="http://schemas.openxmlformats.org/officeDocument/2006/relationships/hyperlink" Target="#'08 CROSSWALK'!A179" TargetMode="External" Id="rId182"/><Relationship Type="http://schemas.openxmlformats.org/officeDocument/2006/relationships/hyperlink" Target="#'08 CROSSWALK'!A180" TargetMode="External" Id="rId183"/><Relationship Type="http://schemas.openxmlformats.org/officeDocument/2006/relationships/hyperlink" Target="#'08 CROSSWALK'!A181" TargetMode="External" Id="rId184"/><Relationship Type="http://schemas.openxmlformats.org/officeDocument/2006/relationships/hyperlink" Target="#'08 CROSSWALK'!A182" TargetMode="External" Id="rId185"/><Relationship Type="http://schemas.openxmlformats.org/officeDocument/2006/relationships/hyperlink" Target="#'08 CROSSWALK'!A183" TargetMode="External" Id="rId186"/><Relationship Type="http://schemas.openxmlformats.org/officeDocument/2006/relationships/hyperlink" Target="#'08 CROSSWALK'!A184" TargetMode="External" Id="rId187"/><Relationship Type="http://schemas.openxmlformats.org/officeDocument/2006/relationships/hyperlink" Target="#'08 CROSSWALK'!A185" TargetMode="External" Id="rId188"/><Relationship Type="http://schemas.openxmlformats.org/officeDocument/2006/relationships/hyperlink" Target="#'08 CROSSWALK'!A186" TargetMode="External" Id="rId189"/><Relationship Type="http://schemas.openxmlformats.org/officeDocument/2006/relationships/hyperlink" Target="#'08 CROSSWALK'!A187" TargetMode="External" Id="rId190"/><Relationship Type="http://schemas.openxmlformats.org/officeDocument/2006/relationships/hyperlink" Target="#'08 CROSSWALK'!A188" TargetMode="External" Id="rId191"/><Relationship Type="http://schemas.openxmlformats.org/officeDocument/2006/relationships/hyperlink" Target="#'08 CROSSWALK'!A189" TargetMode="External" Id="rId192"/><Relationship Type="http://schemas.openxmlformats.org/officeDocument/2006/relationships/hyperlink" Target="#'08 CROSSWALK'!A190" TargetMode="External" Id="rId193"/><Relationship Type="http://schemas.openxmlformats.org/officeDocument/2006/relationships/hyperlink" Target="#'08 CROSSWALK'!A191" TargetMode="External" Id="rId194"/><Relationship Type="http://schemas.openxmlformats.org/officeDocument/2006/relationships/hyperlink" Target="#'08 CROSSWALK'!A192" TargetMode="External" Id="rId195"/><Relationship Type="http://schemas.openxmlformats.org/officeDocument/2006/relationships/hyperlink" Target="#'08 CROSSWALK'!A193" TargetMode="External" Id="rId196"/><Relationship Type="http://schemas.openxmlformats.org/officeDocument/2006/relationships/hyperlink" Target="#'08 CROSSWALK'!A194" TargetMode="External" Id="rId197"/><Relationship Type="http://schemas.openxmlformats.org/officeDocument/2006/relationships/hyperlink" Target="#'08 CROSSWALK'!A195" TargetMode="External" Id="rId198"/><Relationship Type="http://schemas.openxmlformats.org/officeDocument/2006/relationships/hyperlink" Target="#'08 CROSSWALK'!A196" TargetMode="External" Id="rId199"/><Relationship Type="http://schemas.openxmlformats.org/officeDocument/2006/relationships/hyperlink" Target="#'08 CROSSWALK'!A197" TargetMode="External" Id="rId200"/><Relationship Type="http://schemas.openxmlformats.org/officeDocument/2006/relationships/hyperlink" Target="#'08 CROSSWALK'!A198" TargetMode="External" Id="rId201"/><Relationship Type="http://schemas.openxmlformats.org/officeDocument/2006/relationships/hyperlink" Target="#'08 CROSSWALK'!A199" TargetMode="External" Id="rId202"/><Relationship Type="http://schemas.openxmlformats.org/officeDocument/2006/relationships/hyperlink" Target="#'08 CROSSWALK'!A200" TargetMode="External" Id="rId203"/><Relationship Type="http://schemas.openxmlformats.org/officeDocument/2006/relationships/hyperlink" Target="#'08 CROSSWALK'!A201" TargetMode="External" Id="rId204"/><Relationship Type="http://schemas.openxmlformats.org/officeDocument/2006/relationships/hyperlink" Target="#'08 CROSSWALK'!A202" TargetMode="External" Id="rId205"/><Relationship Type="http://schemas.openxmlformats.org/officeDocument/2006/relationships/hyperlink" Target="#'08 CROSSWALK'!A203" TargetMode="External" Id="rId206"/><Relationship Type="http://schemas.openxmlformats.org/officeDocument/2006/relationships/hyperlink" Target="#'08 CROSSWALK'!A204" TargetMode="External" Id="rId207"/><Relationship Type="http://schemas.openxmlformats.org/officeDocument/2006/relationships/hyperlink" Target="#'08 CROSSWALK'!A205" TargetMode="External" Id="rId208"/><Relationship Type="http://schemas.openxmlformats.org/officeDocument/2006/relationships/hyperlink" Target="#'08 CROSSWALK'!A206" TargetMode="External" Id="rId209"/><Relationship Type="http://schemas.openxmlformats.org/officeDocument/2006/relationships/hyperlink" Target="#'08 CROSSWALK'!A207" TargetMode="External" Id="rId210"/><Relationship Type="http://schemas.openxmlformats.org/officeDocument/2006/relationships/hyperlink" Target="#'08 CROSSWALK'!A208" TargetMode="External" Id="rId211"/><Relationship Type="http://schemas.openxmlformats.org/officeDocument/2006/relationships/hyperlink" Target="#'08 CROSSWALK'!A209" TargetMode="External" Id="rId212"/><Relationship Type="http://schemas.openxmlformats.org/officeDocument/2006/relationships/hyperlink" Target="#'08 CROSSWALK'!A210" TargetMode="External" Id="rId213"/><Relationship Type="http://schemas.openxmlformats.org/officeDocument/2006/relationships/hyperlink" Target="#'08 CROSSWALK'!A211" TargetMode="External" Id="rId214"/><Relationship Type="http://schemas.openxmlformats.org/officeDocument/2006/relationships/hyperlink" Target="#'08 CROSSWALK'!A212" TargetMode="External" Id="rId215"/><Relationship Type="http://schemas.openxmlformats.org/officeDocument/2006/relationships/hyperlink" Target="#'08 CROSSWALK'!A213" TargetMode="External" Id="rId216"/><Relationship Type="http://schemas.openxmlformats.org/officeDocument/2006/relationships/hyperlink" Target="#'08 CROSSWALK'!A214" TargetMode="External" Id="rId217"/><Relationship Type="http://schemas.openxmlformats.org/officeDocument/2006/relationships/hyperlink" Target="#'08 CROSSWALK'!A215" TargetMode="External" Id="rId218"/><Relationship Type="http://schemas.openxmlformats.org/officeDocument/2006/relationships/hyperlink" Target="#'08 CROSSWALK'!A216" TargetMode="External" Id="rId219"/><Relationship Type="http://schemas.openxmlformats.org/officeDocument/2006/relationships/hyperlink" Target="#'08 CROSSWALK'!A217" TargetMode="External" Id="rId220"/><Relationship Type="http://schemas.openxmlformats.org/officeDocument/2006/relationships/hyperlink" Target="#'08 CROSSWALK'!A218" TargetMode="External" Id="rId221"/><Relationship Type="http://schemas.openxmlformats.org/officeDocument/2006/relationships/hyperlink" Target="#'08 CROSSWALK'!A219" TargetMode="External" Id="rId222"/><Relationship Type="http://schemas.openxmlformats.org/officeDocument/2006/relationships/hyperlink" Target="#'08 CROSSWALK'!A220" TargetMode="External" Id="rId223"/><Relationship Type="http://schemas.openxmlformats.org/officeDocument/2006/relationships/hyperlink" Target="#'08 CROSSWALK'!A221" TargetMode="External" Id="rId224"/><Relationship Type="http://schemas.openxmlformats.org/officeDocument/2006/relationships/hyperlink" Target="#'08 CROSSWALK'!A222" TargetMode="External" Id="rId225"/><Relationship Type="http://schemas.openxmlformats.org/officeDocument/2006/relationships/hyperlink" Target="#'08 CROSSWALK'!A223" TargetMode="External" Id="rId226"/><Relationship Type="http://schemas.openxmlformats.org/officeDocument/2006/relationships/hyperlink" Target="#'08 CROSSWALK'!A224" TargetMode="External" Id="rId227"/><Relationship Type="http://schemas.openxmlformats.org/officeDocument/2006/relationships/hyperlink" Target="#'08 CROSSWALK'!A225" TargetMode="External" Id="rId228"/><Relationship Type="http://schemas.openxmlformats.org/officeDocument/2006/relationships/hyperlink" Target="#'08 CROSSWALK'!A226" TargetMode="External" Id="rId229"/><Relationship Type="http://schemas.openxmlformats.org/officeDocument/2006/relationships/hyperlink" Target="#'08 CROSSWALK'!A227" TargetMode="External" Id="rId230"/><Relationship Type="http://schemas.openxmlformats.org/officeDocument/2006/relationships/hyperlink" Target="#'08 CROSSWALK'!A228" TargetMode="External" Id="rId231"/><Relationship Type="http://schemas.openxmlformats.org/officeDocument/2006/relationships/hyperlink" Target="#'08 CROSSWALK'!A229" TargetMode="External" Id="rId232"/><Relationship Type="http://schemas.openxmlformats.org/officeDocument/2006/relationships/hyperlink" Target="#'08 CROSSWALK'!A230" TargetMode="External" Id="rId233"/><Relationship Type="http://schemas.openxmlformats.org/officeDocument/2006/relationships/hyperlink" Target="#'08 CROSSWALK'!A231" TargetMode="External" Id="rId234"/><Relationship Type="http://schemas.openxmlformats.org/officeDocument/2006/relationships/hyperlink" Target="#'08 CROSSWALK'!A232" TargetMode="External" Id="rId235"/><Relationship Type="http://schemas.openxmlformats.org/officeDocument/2006/relationships/hyperlink" Target="#'08 CROSSWALK'!A233" TargetMode="External" Id="rId236"/><Relationship Type="http://schemas.openxmlformats.org/officeDocument/2006/relationships/hyperlink" Target="#'08 CROSSWALK'!A234" TargetMode="External" Id="rId237"/><Relationship Type="http://schemas.openxmlformats.org/officeDocument/2006/relationships/hyperlink" Target="#'08 CROSSWALK'!A235" TargetMode="External" Id="rId238"/><Relationship Type="http://schemas.openxmlformats.org/officeDocument/2006/relationships/hyperlink" Target="#'08 CROSSWALK'!A236" TargetMode="External" Id="rId239"/><Relationship Type="http://schemas.openxmlformats.org/officeDocument/2006/relationships/hyperlink" Target="#'08 CROSSWALK'!A237" TargetMode="External" Id="rId240"/><Relationship Type="http://schemas.openxmlformats.org/officeDocument/2006/relationships/hyperlink" Target="#'08 CROSSWALK'!A238" TargetMode="External" Id="rId241"/><Relationship Type="http://schemas.openxmlformats.org/officeDocument/2006/relationships/hyperlink" Target="#'08 CROSSWALK'!A239" TargetMode="External" Id="rId242"/><Relationship Type="http://schemas.openxmlformats.org/officeDocument/2006/relationships/hyperlink" Target="#'08 CROSSWALK'!A240" TargetMode="External" Id="rId243"/><Relationship Type="http://schemas.openxmlformats.org/officeDocument/2006/relationships/hyperlink" Target="#'08 CROSSWALK'!A241" TargetMode="External" Id="rId244"/><Relationship Type="http://schemas.openxmlformats.org/officeDocument/2006/relationships/hyperlink" Target="#'08 CROSSWALK'!A242" TargetMode="External" Id="rId245"/><Relationship Type="http://schemas.openxmlformats.org/officeDocument/2006/relationships/hyperlink" Target="#'08 CROSSWALK'!A243" TargetMode="External" Id="rId246"/><Relationship Type="http://schemas.openxmlformats.org/officeDocument/2006/relationships/hyperlink" Target="#'08 CROSSWALK'!A244" TargetMode="External" Id="rId247"/><Relationship Type="http://schemas.openxmlformats.org/officeDocument/2006/relationships/hyperlink" Target="#'08 CROSSWALK'!A245" TargetMode="External" Id="rId248"/><Relationship Type="http://schemas.openxmlformats.org/officeDocument/2006/relationships/hyperlink" Target="#'08 CROSSWALK'!A246" TargetMode="External" Id="rId249"/><Relationship Type="http://schemas.openxmlformats.org/officeDocument/2006/relationships/hyperlink" Target="#'08 CROSSWALK'!A247" TargetMode="External" Id="rId250"/><Relationship Type="http://schemas.openxmlformats.org/officeDocument/2006/relationships/hyperlink" Target="#'08 CROSSWALK'!A248" TargetMode="External" Id="rId251"/><Relationship Type="http://schemas.openxmlformats.org/officeDocument/2006/relationships/hyperlink" Target="#'08 CROSSWALK'!A249" TargetMode="External" Id="rId252"/><Relationship Type="http://schemas.openxmlformats.org/officeDocument/2006/relationships/hyperlink" Target="#'08 CROSSWALK'!A250" TargetMode="External" Id="rId253"/><Relationship Type="http://schemas.openxmlformats.org/officeDocument/2006/relationships/hyperlink" Target="#'08 CROSSWALK'!A251" TargetMode="External" Id="rId254"/><Relationship Type="http://schemas.openxmlformats.org/officeDocument/2006/relationships/hyperlink" Target="#'08 CROSSWALK'!A252" TargetMode="External" Id="rId255"/><Relationship Type="http://schemas.openxmlformats.org/officeDocument/2006/relationships/hyperlink" Target="#'08 CROSSWALK'!A253" TargetMode="External" Id="rId256"/><Relationship Type="http://schemas.openxmlformats.org/officeDocument/2006/relationships/hyperlink" Target="#'08 CROSSWALK'!A254" TargetMode="External" Id="rId257"/><Relationship Type="http://schemas.openxmlformats.org/officeDocument/2006/relationships/hyperlink" Target="#'08 CROSSWALK'!A255" TargetMode="External" Id="rId258"/><Relationship Type="http://schemas.openxmlformats.org/officeDocument/2006/relationships/hyperlink" Target="#'08 CROSSWALK'!A256" TargetMode="External" Id="rId259"/><Relationship Type="http://schemas.openxmlformats.org/officeDocument/2006/relationships/hyperlink" Target="#'08 CROSSWALK'!A257" TargetMode="External" Id="rId260"/><Relationship Type="http://schemas.openxmlformats.org/officeDocument/2006/relationships/hyperlink" Target="#'08 CROSSWALK'!A258" TargetMode="External" Id="rId261"/><Relationship Type="http://schemas.openxmlformats.org/officeDocument/2006/relationships/hyperlink" Target="#'08 CROSSWALK'!A259" TargetMode="External" Id="rId262"/><Relationship Type="http://schemas.openxmlformats.org/officeDocument/2006/relationships/hyperlink" Target="#'08 CROSSWALK'!A260" TargetMode="External" Id="rId263"/><Relationship Type="http://schemas.openxmlformats.org/officeDocument/2006/relationships/hyperlink" Target="#'08 CROSSWALK'!A261" TargetMode="External" Id="rId264"/><Relationship Type="http://schemas.openxmlformats.org/officeDocument/2006/relationships/hyperlink" Target="#'08 CROSSWALK'!A262" TargetMode="External" Id="rId265"/><Relationship Type="http://schemas.openxmlformats.org/officeDocument/2006/relationships/hyperlink" Target="#'08 CROSSWALK'!A263" TargetMode="External" Id="rId266"/><Relationship Type="http://schemas.openxmlformats.org/officeDocument/2006/relationships/hyperlink" Target="#'08 CROSSWALK'!A264" TargetMode="External" Id="rId267"/><Relationship Type="http://schemas.openxmlformats.org/officeDocument/2006/relationships/hyperlink" Target="#'08 CROSSWALK'!A265" TargetMode="External" Id="rId268"/><Relationship Type="http://schemas.openxmlformats.org/officeDocument/2006/relationships/hyperlink" Target="#'08 CROSSWALK'!A266" TargetMode="External" Id="rId269"/><Relationship Type="http://schemas.openxmlformats.org/officeDocument/2006/relationships/hyperlink" Target="#'08 CROSSWALK'!A267" TargetMode="External" Id="rId270"/><Relationship Type="http://schemas.openxmlformats.org/officeDocument/2006/relationships/hyperlink" Target="#'08 CROSSWALK'!A268" TargetMode="External" Id="rId271"/><Relationship Type="http://schemas.openxmlformats.org/officeDocument/2006/relationships/hyperlink" Target="#'08 CROSSWALK'!A269" TargetMode="External" Id="rId272"/><Relationship Type="http://schemas.openxmlformats.org/officeDocument/2006/relationships/hyperlink" Target="#'08 CROSSWALK'!A270" TargetMode="External" Id="rId273"/><Relationship Type="http://schemas.openxmlformats.org/officeDocument/2006/relationships/hyperlink" Target="#'08 CROSSWALK'!A271" TargetMode="External" Id="rId274"/><Relationship Type="http://schemas.openxmlformats.org/officeDocument/2006/relationships/hyperlink" Target="#'08 CROSSWALK'!A272" TargetMode="External" Id="rId275"/><Relationship Type="http://schemas.openxmlformats.org/officeDocument/2006/relationships/hyperlink" Target="#'08 CROSSWALK'!A273" TargetMode="External" Id="rId276"/><Relationship Type="http://schemas.openxmlformats.org/officeDocument/2006/relationships/hyperlink" Target="#'08 CROSSWALK'!A274" TargetMode="External" Id="rId277"/><Relationship Type="http://schemas.openxmlformats.org/officeDocument/2006/relationships/hyperlink" Target="#'08 CROSSWALK'!A275" TargetMode="External" Id="rId278"/><Relationship Type="http://schemas.openxmlformats.org/officeDocument/2006/relationships/hyperlink" Target="#'08 CROSSWALK'!A276" TargetMode="External" Id="rId279"/><Relationship Type="http://schemas.openxmlformats.org/officeDocument/2006/relationships/hyperlink" Target="#'08 CROSSWALK'!A277" TargetMode="External" Id="rId280"/><Relationship Type="http://schemas.openxmlformats.org/officeDocument/2006/relationships/hyperlink" Target="#'08 CROSSWALK'!A278" TargetMode="External" Id="rId281"/><Relationship Type="http://schemas.openxmlformats.org/officeDocument/2006/relationships/hyperlink" Target="#'08 CROSSWALK'!A279" TargetMode="External" Id="rId282"/><Relationship Type="http://schemas.openxmlformats.org/officeDocument/2006/relationships/hyperlink" Target="#'08 CROSSWALK'!A280" TargetMode="External" Id="rId283"/><Relationship Type="http://schemas.openxmlformats.org/officeDocument/2006/relationships/hyperlink" Target="#'08 CROSSWALK'!A281" TargetMode="External" Id="rId284"/><Relationship Type="http://schemas.openxmlformats.org/officeDocument/2006/relationships/hyperlink" Target="#'08 CROSSWALK'!A282" TargetMode="External" Id="rId285"/><Relationship Type="http://schemas.openxmlformats.org/officeDocument/2006/relationships/hyperlink" Target="#'08 CROSSWALK'!A283" TargetMode="External" Id="rId286"/><Relationship Type="http://schemas.openxmlformats.org/officeDocument/2006/relationships/hyperlink" Target="#'08 CROSSWALK'!A284" TargetMode="External" Id="rId287"/><Relationship Type="http://schemas.openxmlformats.org/officeDocument/2006/relationships/hyperlink" Target="#'08 CROSSWALK'!A285" TargetMode="External" Id="rId288"/><Relationship Type="http://schemas.openxmlformats.org/officeDocument/2006/relationships/hyperlink" Target="#'08 CROSSWALK'!A286" TargetMode="External" Id="rId289"/><Relationship Type="http://schemas.openxmlformats.org/officeDocument/2006/relationships/hyperlink" Target="#'08 CROSSWALK'!A287" TargetMode="External" Id="rId290"/><Relationship Type="http://schemas.openxmlformats.org/officeDocument/2006/relationships/hyperlink" Target="#'08 CROSSWALK'!A288" TargetMode="External" Id="rId291"/><Relationship Type="http://schemas.openxmlformats.org/officeDocument/2006/relationships/hyperlink" Target="#'08 CROSSWALK'!A289" TargetMode="External" Id="rId292"/><Relationship Type="http://schemas.openxmlformats.org/officeDocument/2006/relationships/hyperlink" Target="#'08 CROSSWALK'!A290" TargetMode="External" Id="rId293"/><Relationship Type="http://schemas.openxmlformats.org/officeDocument/2006/relationships/hyperlink" Target="#'08 CROSSWALK'!A291" TargetMode="External" Id="rId294"/><Relationship Type="http://schemas.openxmlformats.org/officeDocument/2006/relationships/hyperlink" Target="#'08 CROSSWALK'!A292" TargetMode="External" Id="rId295"/><Relationship Type="http://schemas.openxmlformats.org/officeDocument/2006/relationships/hyperlink" Target="#'08 CROSSWALK'!A293" TargetMode="External" Id="rId296"/><Relationship Type="http://schemas.openxmlformats.org/officeDocument/2006/relationships/hyperlink" Target="#'08 CROSSWALK'!A294" TargetMode="External" Id="rId297"/><Relationship Type="http://schemas.openxmlformats.org/officeDocument/2006/relationships/hyperlink" Target="#'08 CROSSWALK'!A295" TargetMode="External" Id="rId298"/><Relationship Type="http://schemas.openxmlformats.org/officeDocument/2006/relationships/hyperlink" Target="#'08 CROSSWALK'!A296" TargetMode="External" Id="rId299"/><Relationship Type="http://schemas.openxmlformats.org/officeDocument/2006/relationships/hyperlink" Target="#'08 CROSSWALK'!A297" TargetMode="External" Id="rId300"/><Relationship Type="http://schemas.openxmlformats.org/officeDocument/2006/relationships/hyperlink" Target="#'08 CROSSWALK'!A298" TargetMode="External" Id="rId301"/><Relationship Type="http://schemas.openxmlformats.org/officeDocument/2006/relationships/hyperlink" Target="#'08 CROSSWALK'!A299" TargetMode="External" Id="rId302"/><Relationship Type="http://schemas.openxmlformats.org/officeDocument/2006/relationships/hyperlink" Target="#'08 CROSSWALK'!A300" TargetMode="External" Id="rId303"/><Relationship Type="http://schemas.openxmlformats.org/officeDocument/2006/relationships/hyperlink" Target="#'08 CROSSWALK'!A301" TargetMode="External" Id="rId304"/><Relationship Type="http://schemas.openxmlformats.org/officeDocument/2006/relationships/hyperlink" Target="#'08 CROSSWALK'!A302" TargetMode="External" Id="rId305"/><Relationship Type="http://schemas.openxmlformats.org/officeDocument/2006/relationships/hyperlink" Target="#'08 CROSSWALK'!A303" TargetMode="External" Id="rId306"/><Relationship Type="http://schemas.openxmlformats.org/officeDocument/2006/relationships/hyperlink" Target="#'08 CROSSWALK'!A304" TargetMode="External" Id="rId307"/><Relationship Type="http://schemas.openxmlformats.org/officeDocument/2006/relationships/hyperlink" Target="#'08 CROSSWALK'!A305" TargetMode="External" Id="rId308"/><Relationship Type="http://schemas.openxmlformats.org/officeDocument/2006/relationships/hyperlink" Target="#'08 CROSSWALK'!A306" TargetMode="External" Id="rId309"/><Relationship Type="http://schemas.openxmlformats.org/officeDocument/2006/relationships/hyperlink" Target="#'08 CROSSWALK'!A307" TargetMode="External" Id="rId310"/><Relationship Type="http://schemas.openxmlformats.org/officeDocument/2006/relationships/hyperlink" Target="#'08 CROSSWALK'!A308" TargetMode="External" Id="rId311"/><Relationship Type="http://schemas.openxmlformats.org/officeDocument/2006/relationships/hyperlink" Target="#'08 CROSSWALK'!A309" TargetMode="External" Id="rId312"/><Relationship Type="http://schemas.openxmlformats.org/officeDocument/2006/relationships/hyperlink" Target="#'08 CROSSWALK'!A310" TargetMode="External" Id="rId313"/><Relationship Type="http://schemas.openxmlformats.org/officeDocument/2006/relationships/hyperlink" Target="#'08 CROSSWALK'!A311" TargetMode="External" Id="rId314"/><Relationship Type="http://schemas.openxmlformats.org/officeDocument/2006/relationships/hyperlink" Target="#'08 CROSSWALK'!A312" TargetMode="External" Id="rId315"/><Relationship Type="http://schemas.openxmlformats.org/officeDocument/2006/relationships/hyperlink" Target="#'08 CROSSWALK'!A313" TargetMode="External" Id="rId316"/><Relationship Type="http://schemas.openxmlformats.org/officeDocument/2006/relationships/hyperlink" Target="#'08 CROSSWALK'!A314" TargetMode="External" Id="rId317"/><Relationship Type="http://schemas.openxmlformats.org/officeDocument/2006/relationships/hyperlink" Target="#'08 CROSSWALK'!A315" TargetMode="External" Id="rId318"/><Relationship Type="http://schemas.openxmlformats.org/officeDocument/2006/relationships/hyperlink" Target="#'08 CROSSWALK'!A316" TargetMode="External" Id="rId319"/><Relationship Type="http://schemas.openxmlformats.org/officeDocument/2006/relationships/hyperlink" Target="#'08 CROSSWALK'!A317" TargetMode="External" Id="rId320"/><Relationship Type="http://schemas.openxmlformats.org/officeDocument/2006/relationships/hyperlink" Target="#'08 CROSSWALK'!A318" TargetMode="External" Id="rId321"/><Relationship Type="http://schemas.openxmlformats.org/officeDocument/2006/relationships/hyperlink" Target="#'08 CROSSWALK'!A319" TargetMode="External" Id="rId322"/><Relationship Type="http://schemas.openxmlformats.org/officeDocument/2006/relationships/hyperlink" Target="#'08 CROSSWALK'!A320" TargetMode="External" Id="rId323"/><Relationship Type="http://schemas.openxmlformats.org/officeDocument/2006/relationships/hyperlink" Target="#'08 CROSSWALK'!A321" TargetMode="External" Id="rId324"/><Relationship Type="http://schemas.openxmlformats.org/officeDocument/2006/relationships/hyperlink" Target="#'08 CROSSWALK'!A322" TargetMode="External" Id="rId325"/><Relationship Type="http://schemas.openxmlformats.org/officeDocument/2006/relationships/hyperlink" Target="#'08 CROSSWALK'!A323" TargetMode="External" Id="rId326"/><Relationship Type="http://schemas.openxmlformats.org/officeDocument/2006/relationships/hyperlink" Target="#'08 CROSSWALK'!A324" TargetMode="External" Id="rId327"/><Relationship Type="http://schemas.openxmlformats.org/officeDocument/2006/relationships/hyperlink" Target="#'08 CROSSWALK'!A325" TargetMode="External" Id="rId328"/><Relationship Type="http://schemas.openxmlformats.org/officeDocument/2006/relationships/hyperlink" Target="#'08 CROSSWALK'!A326" TargetMode="External" Id="rId329"/><Relationship Type="http://schemas.openxmlformats.org/officeDocument/2006/relationships/hyperlink" Target="#'08 CROSSWALK'!A327" TargetMode="External" Id="rId330"/><Relationship Type="http://schemas.openxmlformats.org/officeDocument/2006/relationships/hyperlink" Target="#'08 CROSSWALK'!A328" TargetMode="External" Id="rId331"/><Relationship Type="http://schemas.openxmlformats.org/officeDocument/2006/relationships/hyperlink" Target="#'08 CROSSWALK'!A329" TargetMode="External" Id="rId332"/><Relationship Type="http://schemas.openxmlformats.org/officeDocument/2006/relationships/hyperlink" Target="#'08 CROSSWALK'!A330" TargetMode="External" Id="rId333"/><Relationship Type="http://schemas.openxmlformats.org/officeDocument/2006/relationships/hyperlink" Target="#'08 CROSSWALK'!A331" TargetMode="External" Id="rId334"/><Relationship Type="http://schemas.openxmlformats.org/officeDocument/2006/relationships/hyperlink" Target="#'08 CROSSWALK'!A332" TargetMode="External" Id="rId335"/><Relationship Type="http://schemas.openxmlformats.org/officeDocument/2006/relationships/hyperlink" Target="#'08 CROSSWALK'!A333" TargetMode="External" Id="rId336"/><Relationship Type="http://schemas.openxmlformats.org/officeDocument/2006/relationships/hyperlink" Target="#'08 CROSSWALK'!A334" TargetMode="External" Id="rId337"/><Relationship Type="http://schemas.openxmlformats.org/officeDocument/2006/relationships/hyperlink" Target="#'08 CROSSWALK'!A335" TargetMode="External" Id="rId338"/><Relationship Type="http://schemas.openxmlformats.org/officeDocument/2006/relationships/hyperlink" Target="#'08 CROSSWALK'!A336" TargetMode="External" Id="rId339"/><Relationship Type="http://schemas.openxmlformats.org/officeDocument/2006/relationships/hyperlink" Target="#'08 CROSSWALK'!A337" TargetMode="External" Id="rId340"/><Relationship Type="http://schemas.openxmlformats.org/officeDocument/2006/relationships/hyperlink" Target="#'08 CROSSWALK'!A338" TargetMode="External" Id="rId341"/><Relationship Type="http://schemas.openxmlformats.org/officeDocument/2006/relationships/hyperlink" Target="#'08 CROSSWALK'!A339" TargetMode="External" Id="rId342"/><Relationship Type="http://schemas.openxmlformats.org/officeDocument/2006/relationships/hyperlink" Target="#'08 CROSSWALK'!A340" TargetMode="External" Id="rId343"/><Relationship Type="http://schemas.openxmlformats.org/officeDocument/2006/relationships/hyperlink" Target="#'08 CROSSWALK'!A341" TargetMode="External" Id="rId344"/><Relationship Type="http://schemas.openxmlformats.org/officeDocument/2006/relationships/hyperlink" Target="#'08 CROSSWALK'!A342" TargetMode="External" Id="rId345"/><Relationship Type="http://schemas.openxmlformats.org/officeDocument/2006/relationships/hyperlink" Target="#'08 CROSSWALK'!A343" TargetMode="External" Id="rId346"/><Relationship Type="http://schemas.openxmlformats.org/officeDocument/2006/relationships/hyperlink" Target="#'08 CROSSWALK'!A344" TargetMode="External" Id="rId347"/><Relationship Type="http://schemas.openxmlformats.org/officeDocument/2006/relationships/hyperlink" Target="#'08 CROSSWALK'!A345" TargetMode="External" Id="rId348"/><Relationship Type="http://schemas.openxmlformats.org/officeDocument/2006/relationships/hyperlink" Target="#'08 CROSSWALK'!A346" TargetMode="External" Id="rId349"/><Relationship Type="http://schemas.openxmlformats.org/officeDocument/2006/relationships/hyperlink" Target="#'08 CROSSWALK'!A347" TargetMode="External" Id="rId350"/><Relationship Type="http://schemas.openxmlformats.org/officeDocument/2006/relationships/hyperlink" Target="#'08 CROSSWALK'!A348" TargetMode="External" Id="rId351"/><Relationship Type="http://schemas.openxmlformats.org/officeDocument/2006/relationships/hyperlink" Target="#'08 CROSSWALK'!A349" TargetMode="External" Id="rId352"/><Relationship Type="http://schemas.openxmlformats.org/officeDocument/2006/relationships/hyperlink" Target="#'08 CROSSWALK'!A350" TargetMode="External" Id="rId353"/><Relationship Type="http://schemas.openxmlformats.org/officeDocument/2006/relationships/hyperlink" Target="#'08 CROSSWALK'!A351" TargetMode="External" Id="rId354"/><Relationship Type="http://schemas.openxmlformats.org/officeDocument/2006/relationships/hyperlink" Target="#'08 CROSSWALK'!A352" TargetMode="External" Id="rId355"/><Relationship Type="http://schemas.openxmlformats.org/officeDocument/2006/relationships/hyperlink" Target="#'08 CROSSWALK'!A353" TargetMode="External" Id="rId356"/><Relationship Type="http://schemas.openxmlformats.org/officeDocument/2006/relationships/hyperlink" Target="#'08 CROSSWALK'!A354" TargetMode="External" Id="rId357"/><Relationship Type="http://schemas.openxmlformats.org/officeDocument/2006/relationships/hyperlink" Target="#'08 CROSSWALK'!A355" TargetMode="External" Id="rId358"/><Relationship Type="http://schemas.openxmlformats.org/officeDocument/2006/relationships/hyperlink" Target="#'08 CROSSWALK'!A356" TargetMode="External" Id="rId359"/><Relationship Type="http://schemas.openxmlformats.org/officeDocument/2006/relationships/hyperlink" Target="#'08 CROSSWALK'!A357" TargetMode="External" Id="rId360"/><Relationship Type="http://schemas.openxmlformats.org/officeDocument/2006/relationships/hyperlink" Target="#'08 CROSSWALK'!A358" TargetMode="External" Id="rId361"/><Relationship Type="http://schemas.openxmlformats.org/officeDocument/2006/relationships/hyperlink" Target="#'08 CROSSWALK'!A359" TargetMode="External" Id="rId362"/><Relationship Type="http://schemas.openxmlformats.org/officeDocument/2006/relationships/hyperlink" Target="#'08 CROSSWALK'!A360" TargetMode="External" Id="rId363"/><Relationship Type="http://schemas.openxmlformats.org/officeDocument/2006/relationships/hyperlink" Target="#'08 CROSSWALK'!A361" TargetMode="External" Id="rId364"/><Relationship Type="http://schemas.openxmlformats.org/officeDocument/2006/relationships/hyperlink" Target="#'08 CROSSWALK'!A362" TargetMode="External" Id="rId365"/><Relationship Type="http://schemas.openxmlformats.org/officeDocument/2006/relationships/hyperlink" Target="#'08 CROSSWALK'!A363" TargetMode="External" Id="rId366"/><Relationship Type="http://schemas.openxmlformats.org/officeDocument/2006/relationships/hyperlink" Target="#'08 CROSSWALK'!A364" TargetMode="External" Id="rId367"/><Relationship Type="http://schemas.openxmlformats.org/officeDocument/2006/relationships/hyperlink" Target="#'08 CROSSWALK'!A365" TargetMode="External" Id="rId368"/><Relationship Type="http://schemas.openxmlformats.org/officeDocument/2006/relationships/hyperlink" Target="#'08 CROSSWALK'!A366" TargetMode="External" Id="rId369"/><Relationship Type="http://schemas.openxmlformats.org/officeDocument/2006/relationships/hyperlink" Target="#'08 CROSSWALK'!A367" TargetMode="External" Id="rId370"/><Relationship Type="http://schemas.openxmlformats.org/officeDocument/2006/relationships/hyperlink" Target="#'08 CROSSWALK'!A368" TargetMode="External" Id="rId371"/><Relationship Type="http://schemas.openxmlformats.org/officeDocument/2006/relationships/hyperlink" Target="#'08 CROSSWALK'!A369" TargetMode="External" Id="rId372"/><Relationship Type="http://schemas.openxmlformats.org/officeDocument/2006/relationships/hyperlink" Target="#'08 CROSSWALK'!A370" TargetMode="External" Id="rId373"/><Relationship Type="http://schemas.openxmlformats.org/officeDocument/2006/relationships/hyperlink" Target="#'08 CROSSWALK'!A371" TargetMode="External" Id="rId374"/><Relationship Type="http://schemas.openxmlformats.org/officeDocument/2006/relationships/hyperlink" Target="#'08 CROSSWALK'!A372" TargetMode="External" Id="rId375"/><Relationship Type="http://schemas.openxmlformats.org/officeDocument/2006/relationships/hyperlink" Target="#'08 CROSSWALK'!A373" TargetMode="External" Id="rId376"/><Relationship Type="http://schemas.openxmlformats.org/officeDocument/2006/relationships/hyperlink" Target="#'08 CROSSWALK'!A374" TargetMode="External" Id="rId377"/><Relationship Type="http://schemas.openxmlformats.org/officeDocument/2006/relationships/hyperlink" Target="#'08 CROSSWALK'!A375" TargetMode="External" Id="rId378"/><Relationship Type="http://schemas.openxmlformats.org/officeDocument/2006/relationships/hyperlink" Target="#'08 CROSSWALK'!A376" TargetMode="External" Id="rId379"/><Relationship Type="http://schemas.openxmlformats.org/officeDocument/2006/relationships/hyperlink" Target="#'08 CROSSWALK'!A377" TargetMode="External" Id="rId380"/><Relationship Type="http://schemas.openxmlformats.org/officeDocument/2006/relationships/hyperlink" Target="#'08 CROSSWALK'!A378" TargetMode="External" Id="rId381"/><Relationship Type="http://schemas.openxmlformats.org/officeDocument/2006/relationships/hyperlink" Target="#'08 CROSSWALK'!A379" TargetMode="External" Id="rId382"/><Relationship Type="http://schemas.openxmlformats.org/officeDocument/2006/relationships/hyperlink" Target="#'08 CROSSWALK'!A380" TargetMode="External" Id="rId383"/><Relationship Type="http://schemas.openxmlformats.org/officeDocument/2006/relationships/hyperlink" Target="#'08 CROSSWALK'!A381" TargetMode="External" Id="rId384"/><Relationship Type="http://schemas.openxmlformats.org/officeDocument/2006/relationships/hyperlink" Target="#'08 CROSSWALK'!A382" TargetMode="External" Id="rId385"/><Relationship Type="http://schemas.openxmlformats.org/officeDocument/2006/relationships/hyperlink" Target="#'08 CROSSWALK'!A383" TargetMode="External" Id="rId386"/><Relationship Type="http://schemas.openxmlformats.org/officeDocument/2006/relationships/hyperlink" Target="#'08 CROSSWALK'!A384" TargetMode="External" Id="rId387"/><Relationship Type="http://schemas.openxmlformats.org/officeDocument/2006/relationships/hyperlink" Target="#'08 CROSSWALK'!A385" TargetMode="External" Id="rId388"/><Relationship Type="http://schemas.openxmlformats.org/officeDocument/2006/relationships/hyperlink" Target="#'08 CROSSWALK'!A386" TargetMode="External" Id="rId389"/><Relationship Type="http://schemas.openxmlformats.org/officeDocument/2006/relationships/hyperlink" Target="#'08 CROSSWALK'!A387" TargetMode="External" Id="rId390"/><Relationship Type="http://schemas.openxmlformats.org/officeDocument/2006/relationships/hyperlink" Target="#'08 CROSSWALK'!A388" TargetMode="External" Id="rId391"/><Relationship Type="http://schemas.openxmlformats.org/officeDocument/2006/relationships/hyperlink" Target="#'08 CROSSWALK'!A389" TargetMode="External" Id="rId392"/><Relationship Type="http://schemas.openxmlformats.org/officeDocument/2006/relationships/hyperlink" Target="#'08 CROSSWALK'!A390" TargetMode="External" Id="rId393"/><Relationship Type="http://schemas.openxmlformats.org/officeDocument/2006/relationships/hyperlink" Target="#'08 CROSSWALK'!A391" TargetMode="External" Id="rId394"/><Relationship Type="http://schemas.openxmlformats.org/officeDocument/2006/relationships/hyperlink" Target="#'08 CROSSWALK'!A392" TargetMode="External" Id="rId395"/><Relationship Type="http://schemas.openxmlformats.org/officeDocument/2006/relationships/hyperlink" Target="#'08 CROSSWALK'!A393" TargetMode="External" Id="rId396"/><Relationship Type="http://schemas.openxmlformats.org/officeDocument/2006/relationships/hyperlink" Target="#'08 CROSSWALK'!A394" TargetMode="External" Id="rId397"/><Relationship Type="http://schemas.openxmlformats.org/officeDocument/2006/relationships/hyperlink" Target="#'08 CROSSWALK'!A395" TargetMode="External" Id="rId398"/><Relationship Type="http://schemas.openxmlformats.org/officeDocument/2006/relationships/hyperlink" Target="#'08 CROSSWALK'!A396" TargetMode="External" Id="rId399"/><Relationship Type="http://schemas.openxmlformats.org/officeDocument/2006/relationships/hyperlink" Target="#'08 CROSSWALK'!A397" TargetMode="External" Id="rId400"/><Relationship Type="http://schemas.openxmlformats.org/officeDocument/2006/relationships/hyperlink" Target="#'08 CROSSWALK'!A398" TargetMode="External" Id="rId401"/><Relationship Type="http://schemas.openxmlformats.org/officeDocument/2006/relationships/hyperlink" Target="#'08 CROSSWALK'!A399" TargetMode="External" Id="rId402"/><Relationship Type="http://schemas.openxmlformats.org/officeDocument/2006/relationships/hyperlink" Target="#'08 CROSSWALK'!A400" TargetMode="External" Id="rId403"/><Relationship Type="http://schemas.openxmlformats.org/officeDocument/2006/relationships/hyperlink" Target="#'08 CROSSWALK'!A401" TargetMode="External" Id="rId404"/><Relationship Type="http://schemas.openxmlformats.org/officeDocument/2006/relationships/hyperlink" Target="#'08 CROSSWALK'!A402" TargetMode="External" Id="rId405"/><Relationship Type="http://schemas.openxmlformats.org/officeDocument/2006/relationships/hyperlink" Target="#'08 CROSSWALK'!A403" TargetMode="External" Id="rId406"/><Relationship Type="http://schemas.openxmlformats.org/officeDocument/2006/relationships/hyperlink" Target="#'08 CROSSWALK'!A404" TargetMode="External" Id="rId407"/><Relationship Type="http://schemas.openxmlformats.org/officeDocument/2006/relationships/hyperlink" Target="#'08 CROSSWALK'!A405" TargetMode="External" Id="rId408"/><Relationship Type="http://schemas.openxmlformats.org/officeDocument/2006/relationships/hyperlink" Target="#'08 CROSSWALK'!A406" TargetMode="External" Id="rId409"/><Relationship Type="http://schemas.openxmlformats.org/officeDocument/2006/relationships/hyperlink" Target="#'08 CROSSWALK'!A407" TargetMode="External" Id="rId410"/><Relationship Type="http://schemas.openxmlformats.org/officeDocument/2006/relationships/hyperlink" Target="#'08 CROSSWALK'!A408" TargetMode="External" Id="rId411"/><Relationship Type="http://schemas.openxmlformats.org/officeDocument/2006/relationships/hyperlink" Target="#'08 CROSSWALK'!A409" TargetMode="External" Id="rId412"/><Relationship Type="http://schemas.openxmlformats.org/officeDocument/2006/relationships/hyperlink" Target="#'08 CROSSWALK'!A410" TargetMode="External" Id="rId413"/><Relationship Type="http://schemas.openxmlformats.org/officeDocument/2006/relationships/hyperlink" Target="#'08 CROSSWALK'!A411" TargetMode="External" Id="rId414"/><Relationship Type="http://schemas.openxmlformats.org/officeDocument/2006/relationships/hyperlink" Target="#'08 CROSSWALK'!A412" TargetMode="External" Id="rId415"/><Relationship Type="http://schemas.openxmlformats.org/officeDocument/2006/relationships/hyperlink" Target="#'08 CROSSWALK'!A413" TargetMode="External" Id="rId416"/><Relationship Type="http://schemas.openxmlformats.org/officeDocument/2006/relationships/hyperlink" Target="#'08 CROSSWALK'!A414" TargetMode="External" Id="rId417"/><Relationship Type="http://schemas.openxmlformats.org/officeDocument/2006/relationships/hyperlink" Target="#'08 CROSSWALK'!A415" TargetMode="External" Id="rId418"/><Relationship Type="http://schemas.openxmlformats.org/officeDocument/2006/relationships/hyperlink" Target="#'08 CROSSWALK'!A416" TargetMode="External" Id="rId419"/><Relationship Type="http://schemas.openxmlformats.org/officeDocument/2006/relationships/hyperlink" Target="#'08 CROSSWALK'!A417" TargetMode="External" Id="rId420"/><Relationship Type="http://schemas.openxmlformats.org/officeDocument/2006/relationships/hyperlink" Target="#'08 CROSSWALK'!A418" TargetMode="External" Id="rId421"/><Relationship Type="http://schemas.openxmlformats.org/officeDocument/2006/relationships/hyperlink" Target="#'08 CROSSWALK'!A419" TargetMode="External" Id="rId422"/><Relationship Type="http://schemas.openxmlformats.org/officeDocument/2006/relationships/hyperlink" Target="#'08 CROSSWALK'!A420" TargetMode="External" Id="rId423"/><Relationship Type="http://schemas.openxmlformats.org/officeDocument/2006/relationships/hyperlink" Target="#'08 CROSSWALK'!A421" TargetMode="External" Id="rId424"/><Relationship Type="http://schemas.openxmlformats.org/officeDocument/2006/relationships/hyperlink" Target="#'08 CROSSWALK'!A422" TargetMode="External" Id="rId425"/><Relationship Type="http://schemas.openxmlformats.org/officeDocument/2006/relationships/hyperlink" Target="#'08 CROSSWALK'!A423" TargetMode="External" Id="rId426"/><Relationship Type="http://schemas.openxmlformats.org/officeDocument/2006/relationships/hyperlink" Target="#'08 CROSSWALK'!A424" TargetMode="External" Id="rId427"/><Relationship Type="http://schemas.openxmlformats.org/officeDocument/2006/relationships/hyperlink" Target="#'08 CROSSWALK'!A425" TargetMode="External" Id="rId428"/><Relationship Type="http://schemas.openxmlformats.org/officeDocument/2006/relationships/hyperlink" Target="#'08 CROSSWALK'!A426" TargetMode="External" Id="rId429"/><Relationship Type="http://schemas.openxmlformats.org/officeDocument/2006/relationships/hyperlink" Target="#'08 CROSSWALK'!A427" TargetMode="External" Id="rId430"/><Relationship Type="http://schemas.openxmlformats.org/officeDocument/2006/relationships/hyperlink" Target="#'08 CROSSWALK'!A428" TargetMode="External" Id="rId431"/><Relationship Type="http://schemas.openxmlformats.org/officeDocument/2006/relationships/hyperlink" Target="#'08 CROSSWALK'!A429" TargetMode="External" Id="rId432"/><Relationship Type="http://schemas.openxmlformats.org/officeDocument/2006/relationships/hyperlink" Target="#'08 CROSSWALK'!A430" TargetMode="External" Id="rId433"/><Relationship Type="http://schemas.openxmlformats.org/officeDocument/2006/relationships/hyperlink" Target="#'08 CROSSWALK'!A431" TargetMode="External" Id="rId434"/><Relationship Type="http://schemas.openxmlformats.org/officeDocument/2006/relationships/hyperlink" Target="#'08 CROSSWALK'!A432" TargetMode="External" Id="rId435"/><Relationship Type="http://schemas.openxmlformats.org/officeDocument/2006/relationships/hyperlink" Target="#'08 CROSSWALK'!A433" TargetMode="External" Id="rId436"/><Relationship Type="http://schemas.openxmlformats.org/officeDocument/2006/relationships/hyperlink" Target="#'08 CROSSWALK'!A434" TargetMode="External" Id="rId437"/><Relationship Type="http://schemas.openxmlformats.org/officeDocument/2006/relationships/hyperlink" Target="#'08 CROSSWALK'!A435" TargetMode="External" Id="rId438"/><Relationship Type="http://schemas.openxmlformats.org/officeDocument/2006/relationships/hyperlink" Target="#'08 CROSSWALK'!A436" TargetMode="External" Id="rId439"/><Relationship Type="http://schemas.openxmlformats.org/officeDocument/2006/relationships/hyperlink" Target="#'08 CROSSWALK'!A437" TargetMode="External" Id="rId440"/><Relationship Type="http://schemas.openxmlformats.org/officeDocument/2006/relationships/hyperlink" Target="#'08 CROSSWALK'!A438" TargetMode="External" Id="rId441"/><Relationship Type="http://schemas.openxmlformats.org/officeDocument/2006/relationships/hyperlink" Target="#'08 CROSSWALK'!A439" TargetMode="External" Id="rId442"/><Relationship Type="http://schemas.openxmlformats.org/officeDocument/2006/relationships/hyperlink" Target="#'08 CROSSWALK'!A440" TargetMode="External" Id="rId443"/><Relationship Type="http://schemas.openxmlformats.org/officeDocument/2006/relationships/hyperlink" Target="#'08 CROSSWALK'!A441" TargetMode="External" Id="rId444"/><Relationship Type="http://schemas.openxmlformats.org/officeDocument/2006/relationships/hyperlink" Target="#'08 CROSSWALK'!A442" TargetMode="External" Id="rId445"/><Relationship Type="http://schemas.openxmlformats.org/officeDocument/2006/relationships/hyperlink" Target="#'08 CROSSWALK'!A443" TargetMode="External" Id="rId446"/><Relationship Type="http://schemas.openxmlformats.org/officeDocument/2006/relationships/hyperlink" Target="#'08 CROSSWALK'!A444" TargetMode="External" Id="rId447"/><Relationship Type="http://schemas.openxmlformats.org/officeDocument/2006/relationships/hyperlink" Target="#'08 CROSSWALK'!A445" TargetMode="External" Id="rId448"/><Relationship Type="http://schemas.openxmlformats.org/officeDocument/2006/relationships/hyperlink" Target="#'08 CROSSWALK'!A446" TargetMode="External" Id="rId449"/><Relationship Type="http://schemas.openxmlformats.org/officeDocument/2006/relationships/hyperlink" Target="#'08 CROSSWALK'!A447" TargetMode="External" Id="rId450"/><Relationship Type="http://schemas.openxmlformats.org/officeDocument/2006/relationships/hyperlink" Target="#'08 CROSSWALK'!A448" TargetMode="External" Id="rId451"/><Relationship Type="http://schemas.openxmlformats.org/officeDocument/2006/relationships/hyperlink" Target="#'08 CROSSWALK'!A449" TargetMode="External" Id="rId452"/><Relationship Type="http://schemas.openxmlformats.org/officeDocument/2006/relationships/hyperlink" Target="#'08 CROSSWALK'!A450" TargetMode="External" Id="rId453"/><Relationship Type="http://schemas.openxmlformats.org/officeDocument/2006/relationships/hyperlink" Target="#'08 CROSSWALK'!A451" TargetMode="External" Id="rId454"/><Relationship Type="http://schemas.openxmlformats.org/officeDocument/2006/relationships/hyperlink" Target="#'08 CROSSWALK'!A452" TargetMode="External" Id="rId455"/><Relationship Type="http://schemas.openxmlformats.org/officeDocument/2006/relationships/hyperlink" Target="#'08 CROSSWALK'!A453" TargetMode="External" Id="rId456"/><Relationship Type="http://schemas.openxmlformats.org/officeDocument/2006/relationships/hyperlink" Target="#'08 CROSSWALK'!A454" TargetMode="External" Id="rId457"/><Relationship Type="http://schemas.openxmlformats.org/officeDocument/2006/relationships/hyperlink" Target="#'08 CROSSWALK'!A455" TargetMode="External" Id="rId458"/><Relationship Type="http://schemas.openxmlformats.org/officeDocument/2006/relationships/hyperlink" Target="#'08 CROSSWALK'!A456" TargetMode="External" Id="rId459"/><Relationship Type="http://schemas.openxmlformats.org/officeDocument/2006/relationships/hyperlink" Target="#'08 CROSSWALK'!A457" TargetMode="External" Id="rId460"/><Relationship Type="http://schemas.openxmlformats.org/officeDocument/2006/relationships/hyperlink" Target="#'08 CROSSWALK'!A458" TargetMode="External" Id="rId461"/><Relationship Type="http://schemas.openxmlformats.org/officeDocument/2006/relationships/hyperlink" Target="#'08 CROSSWALK'!A459" TargetMode="External" Id="rId462"/><Relationship Type="http://schemas.openxmlformats.org/officeDocument/2006/relationships/hyperlink" Target="#'08 CROSSWALK'!A460" TargetMode="External" Id="rId463"/><Relationship Type="http://schemas.openxmlformats.org/officeDocument/2006/relationships/hyperlink" Target="#'08 CROSSWALK'!A461" TargetMode="External" Id="rId464"/><Relationship Type="http://schemas.openxmlformats.org/officeDocument/2006/relationships/hyperlink" Target="#'08 CROSSWALK'!A462" TargetMode="External" Id="rId465"/><Relationship Type="http://schemas.openxmlformats.org/officeDocument/2006/relationships/hyperlink" Target="#'08 CROSSWALK'!A463" TargetMode="External" Id="rId466"/><Relationship Type="http://schemas.openxmlformats.org/officeDocument/2006/relationships/hyperlink" Target="#'08 CROSSWALK'!A464" TargetMode="External" Id="rId467"/><Relationship Type="http://schemas.openxmlformats.org/officeDocument/2006/relationships/hyperlink" Target="#'08 CROSSWALK'!A465" TargetMode="External" Id="rId468"/><Relationship Type="http://schemas.openxmlformats.org/officeDocument/2006/relationships/hyperlink" Target="#'08 CROSSWALK'!A466" TargetMode="External" Id="rId469"/><Relationship Type="http://schemas.openxmlformats.org/officeDocument/2006/relationships/hyperlink" Target="#'08 CROSSWALK'!A467" TargetMode="External" Id="rId470"/><Relationship Type="http://schemas.openxmlformats.org/officeDocument/2006/relationships/hyperlink" Target="#'08 CROSSWALK'!A468" TargetMode="External" Id="rId471"/><Relationship Type="http://schemas.openxmlformats.org/officeDocument/2006/relationships/hyperlink" Target="#'08 CROSSWALK'!A469" TargetMode="External" Id="rId472"/><Relationship Type="http://schemas.openxmlformats.org/officeDocument/2006/relationships/hyperlink" Target="#'08 CROSSWALK'!A470" TargetMode="External" Id="rId473"/><Relationship Type="http://schemas.openxmlformats.org/officeDocument/2006/relationships/hyperlink" Target="#'08 CROSSWALK'!A471" TargetMode="External" Id="rId474"/><Relationship Type="http://schemas.openxmlformats.org/officeDocument/2006/relationships/hyperlink" Target="#'08 CROSSWALK'!A472" TargetMode="External" Id="rId475"/><Relationship Type="http://schemas.openxmlformats.org/officeDocument/2006/relationships/hyperlink" Target="#'08 CROSSWALK'!A473" TargetMode="External" Id="rId476"/><Relationship Type="http://schemas.openxmlformats.org/officeDocument/2006/relationships/hyperlink" Target="#'08 CROSSWALK'!A474" TargetMode="External" Id="rId477"/><Relationship Type="http://schemas.openxmlformats.org/officeDocument/2006/relationships/hyperlink" Target="#'08 CROSSWALK'!A475" TargetMode="External" Id="rId478"/><Relationship Type="http://schemas.openxmlformats.org/officeDocument/2006/relationships/hyperlink" Target="#'08 CROSSWALK'!A476" TargetMode="External" Id="rId479"/><Relationship Type="http://schemas.openxmlformats.org/officeDocument/2006/relationships/hyperlink" Target="#'08 CROSSWALK'!A477" TargetMode="External" Id="rId480"/><Relationship Type="http://schemas.openxmlformats.org/officeDocument/2006/relationships/hyperlink" Target="#'08 CROSSWALK'!A478" TargetMode="External" Id="rId481"/><Relationship Type="http://schemas.openxmlformats.org/officeDocument/2006/relationships/hyperlink" Target="#'08 CROSSWALK'!A479" TargetMode="External" Id="rId482"/><Relationship Type="http://schemas.openxmlformats.org/officeDocument/2006/relationships/hyperlink" Target="#'08 CROSSWALK'!A480" TargetMode="External" Id="rId483"/><Relationship Type="http://schemas.openxmlformats.org/officeDocument/2006/relationships/hyperlink" Target="#'08 CROSSWALK'!A481" TargetMode="External" Id="rId484"/><Relationship Type="http://schemas.openxmlformats.org/officeDocument/2006/relationships/hyperlink" Target="#'08 CROSSWALK'!A482" TargetMode="External" Id="rId485"/><Relationship Type="http://schemas.openxmlformats.org/officeDocument/2006/relationships/hyperlink" Target="#'08 CROSSWALK'!A483" TargetMode="External" Id="rId486"/><Relationship Type="http://schemas.openxmlformats.org/officeDocument/2006/relationships/hyperlink" Target="#'08 CROSSWALK'!A484" TargetMode="External" Id="rId487"/><Relationship Type="http://schemas.openxmlformats.org/officeDocument/2006/relationships/hyperlink" Target="#'08 CROSSWALK'!A485" TargetMode="External" Id="rId488"/><Relationship Type="http://schemas.openxmlformats.org/officeDocument/2006/relationships/hyperlink" Target="#'08 CROSSWALK'!A486" TargetMode="External" Id="rId489"/><Relationship Type="http://schemas.openxmlformats.org/officeDocument/2006/relationships/hyperlink" Target="#'08 CROSSWALK'!A487" TargetMode="External" Id="rId490"/><Relationship Type="http://schemas.openxmlformats.org/officeDocument/2006/relationships/hyperlink" Target="#'08 CROSSWALK'!A488" TargetMode="External" Id="rId491"/><Relationship Type="http://schemas.openxmlformats.org/officeDocument/2006/relationships/hyperlink" Target="#'08 CROSSWALK'!A489" TargetMode="External" Id="rId492"/><Relationship Type="http://schemas.openxmlformats.org/officeDocument/2006/relationships/hyperlink" Target="#'08 CROSSWALK'!A490" TargetMode="External" Id="rId493"/><Relationship Type="http://schemas.openxmlformats.org/officeDocument/2006/relationships/hyperlink" Target="#'08 CROSSWALK'!A491" TargetMode="External" Id="rId494"/><Relationship Type="http://schemas.openxmlformats.org/officeDocument/2006/relationships/hyperlink" Target="#'08 CROSSWALK'!A492" TargetMode="External" Id="rId495"/><Relationship Type="http://schemas.openxmlformats.org/officeDocument/2006/relationships/hyperlink" Target="#'08 CROSSWALK'!A493" TargetMode="External" Id="rId496"/><Relationship Type="http://schemas.openxmlformats.org/officeDocument/2006/relationships/hyperlink" Target="#'08 CROSSWALK'!A494" TargetMode="External" Id="rId497"/><Relationship Type="http://schemas.openxmlformats.org/officeDocument/2006/relationships/hyperlink" Target="#'08 CROSSWALK'!A495" TargetMode="External" Id="rId498"/><Relationship Type="http://schemas.openxmlformats.org/officeDocument/2006/relationships/hyperlink" Target="#'08 CROSSWALK'!A496" TargetMode="External" Id="rId499"/><Relationship Type="http://schemas.openxmlformats.org/officeDocument/2006/relationships/hyperlink" Target="#'08 CROSSWALK'!A497" TargetMode="External" Id="rId500"/><Relationship Type="http://schemas.openxmlformats.org/officeDocument/2006/relationships/hyperlink" Target="#'08 CROSSWALK'!A498" TargetMode="External" Id="rId501"/><Relationship Type="http://schemas.openxmlformats.org/officeDocument/2006/relationships/hyperlink" Target="#'08 CROSSWALK'!A499" TargetMode="External" Id="rId502"/><Relationship Type="http://schemas.openxmlformats.org/officeDocument/2006/relationships/hyperlink" Target="#'08 CROSSWALK'!A500" TargetMode="External" Id="rId503"/><Relationship Type="http://schemas.openxmlformats.org/officeDocument/2006/relationships/hyperlink" Target="#'08 CROSSWALK'!A501" TargetMode="External" Id="rId504"/><Relationship Type="http://schemas.openxmlformats.org/officeDocument/2006/relationships/hyperlink" Target="#'08 CROSSWALK'!A502" TargetMode="External" Id="rId505"/><Relationship Type="http://schemas.openxmlformats.org/officeDocument/2006/relationships/hyperlink" Target="#'08 CROSSWALK'!A503" TargetMode="External" Id="rId506"/><Relationship Type="http://schemas.openxmlformats.org/officeDocument/2006/relationships/hyperlink" Target="#'08 CROSSWALK'!A504" TargetMode="External" Id="rId507"/><Relationship Type="http://schemas.openxmlformats.org/officeDocument/2006/relationships/hyperlink" Target="#'08 CROSSWALK'!A505" TargetMode="External" Id="rId508"/><Relationship Type="http://schemas.openxmlformats.org/officeDocument/2006/relationships/hyperlink" Target="#'08 CROSSWALK'!A506" TargetMode="External" Id="rId509"/><Relationship Type="http://schemas.openxmlformats.org/officeDocument/2006/relationships/hyperlink" Target="#'08 CROSSWALK'!A507" TargetMode="External" Id="rId510"/><Relationship Type="http://schemas.openxmlformats.org/officeDocument/2006/relationships/hyperlink" Target="#'08 CROSSWALK'!A508" TargetMode="External" Id="rId511"/><Relationship Type="http://schemas.openxmlformats.org/officeDocument/2006/relationships/hyperlink" Target="#'08 CROSSWALK'!A509" TargetMode="External" Id="rId512"/><Relationship Type="http://schemas.openxmlformats.org/officeDocument/2006/relationships/hyperlink" Target="#'08 CROSSWALK'!A510" TargetMode="External" Id="rId513"/><Relationship Type="http://schemas.openxmlformats.org/officeDocument/2006/relationships/hyperlink" Target="#'08 CROSSWALK'!A511" TargetMode="External" Id="rId514"/><Relationship Type="http://schemas.openxmlformats.org/officeDocument/2006/relationships/hyperlink" Target="#'08 CROSSWALK'!A512" TargetMode="External" Id="rId515"/><Relationship Type="http://schemas.openxmlformats.org/officeDocument/2006/relationships/hyperlink" Target="#'08 CROSSWALK'!A513" TargetMode="External" Id="rId516"/><Relationship Type="http://schemas.openxmlformats.org/officeDocument/2006/relationships/hyperlink" Target="#'08 CROSSWALK'!A514" TargetMode="External" Id="rId517"/><Relationship Type="http://schemas.openxmlformats.org/officeDocument/2006/relationships/hyperlink" Target="#'08 CROSSWALK'!A515" TargetMode="External" Id="rId518"/><Relationship Type="http://schemas.openxmlformats.org/officeDocument/2006/relationships/hyperlink" Target="#'08 CROSSWALK'!A516" TargetMode="External" Id="rId519"/><Relationship Type="http://schemas.openxmlformats.org/officeDocument/2006/relationships/hyperlink" Target="#'08 CROSSWALK'!A517" TargetMode="External" Id="rId520"/><Relationship Type="http://schemas.openxmlformats.org/officeDocument/2006/relationships/hyperlink" Target="#'08 CROSSWALK'!A518" TargetMode="External" Id="rId521"/><Relationship Type="http://schemas.openxmlformats.org/officeDocument/2006/relationships/hyperlink" Target="#'08 CROSSWALK'!A519" TargetMode="External" Id="rId522"/><Relationship Type="http://schemas.openxmlformats.org/officeDocument/2006/relationships/hyperlink" Target="#'08 CROSSWALK'!A520" TargetMode="External" Id="rId523"/><Relationship Type="http://schemas.openxmlformats.org/officeDocument/2006/relationships/hyperlink" Target="#'08 CROSSWALK'!A521" TargetMode="External" Id="rId524"/><Relationship Type="http://schemas.openxmlformats.org/officeDocument/2006/relationships/hyperlink" Target="#'08 CROSSWALK'!A522" TargetMode="External" Id="rId525"/><Relationship Type="http://schemas.openxmlformats.org/officeDocument/2006/relationships/hyperlink" Target="#'08 CROSSWALK'!A523" TargetMode="External" Id="rId526"/><Relationship Type="http://schemas.openxmlformats.org/officeDocument/2006/relationships/hyperlink" Target="#'08 CROSSWALK'!A524" TargetMode="External" Id="rId527"/><Relationship Type="http://schemas.openxmlformats.org/officeDocument/2006/relationships/hyperlink" Target="#'08 CROSSWALK'!A525" TargetMode="External" Id="rId528"/><Relationship Type="http://schemas.openxmlformats.org/officeDocument/2006/relationships/hyperlink" Target="#'08 CROSSWALK'!A526" TargetMode="External" Id="rId529"/><Relationship Type="http://schemas.openxmlformats.org/officeDocument/2006/relationships/hyperlink" Target="#'08 CROSSWALK'!A527" TargetMode="External" Id="rId530"/><Relationship Type="http://schemas.openxmlformats.org/officeDocument/2006/relationships/hyperlink" Target="#'08 CROSSWALK'!A528" TargetMode="External" Id="rId531"/><Relationship Type="http://schemas.openxmlformats.org/officeDocument/2006/relationships/hyperlink" Target="#'08 CROSSWALK'!A529" TargetMode="External" Id="rId532"/><Relationship Type="http://schemas.openxmlformats.org/officeDocument/2006/relationships/hyperlink" Target="#'08 CROSSWALK'!A530" TargetMode="External" Id="rId533"/><Relationship Type="http://schemas.openxmlformats.org/officeDocument/2006/relationships/hyperlink" Target="#'08 CROSSWALK'!A531" TargetMode="External" Id="rId534"/><Relationship Type="http://schemas.openxmlformats.org/officeDocument/2006/relationships/hyperlink" Target="#'08 CROSSWALK'!A532" TargetMode="External" Id="rId535"/><Relationship Type="http://schemas.openxmlformats.org/officeDocument/2006/relationships/hyperlink" Target="#'08 CROSSWALK'!A533" TargetMode="External" Id="rId536"/><Relationship Type="http://schemas.openxmlformats.org/officeDocument/2006/relationships/hyperlink" Target="#'08 CROSSWALK'!A534" TargetMode="External" Id="rId537"/><Relationship Type="http://schemas.openxmlformats.org/officeDocument/2006/relationships/hyperlink" Target="#'08 CROSSWALK'!A535" TargetMode="External" Id="rId538"/><Relationship Type="http://schemas.openxmlformats.org/officeDocument/2006/relationships/hyperlink" Target="#'08 CROSSWALK'!A536" TargetMode="External" Id="rId539"/><Relationship Type="http://schemas.openxmlformats.org/officeDocument/2006/relationships/hyperlink" Target="#'08 CROSSWALK'!A537" TargetMode="External" Id="rId540"/><Relationship Type="http://schemas.openxmlformats.org/officeDocument/2006/relationships/hyperlink" Target="#'08 CROSSWALK'!A538" TargetMode="External" Id="rId541"/><Relationship Type="http://schemas.openxmlformats.org/officeDocument/2006/relationships/hyperlink" Target="#'08 CROSSWALK'!A539" TargetMode="External" Id="rId542"/><Relationship Type="http://schemas.openxmlformats.org/officeDocument/2006/relationships/hyperlink" Target="#'08 CROSSWALK'!A540" TargetMode="External" Id="rId543"/><Relationship Type="http://schemas.openxmlformats.org/officeDocument/2006/relationships/hyperlink" Target="#'08 CROSSWALK'!A541" TargetMode="External" Id="rId544"/><Relationship Type="http://schemas.openxmlformats.org/officeDocument/2006/relationships/hyperlink" Target="#'08 CROSSWALK'!A542" TargetMode="External" Id="rId545"/><Relationship Type="http://schemas.openxmlformats.org/officeDocument/2006/relationships/hyperlink" Target="#'08 CROSSWALK'!A543" TargetMode="External" Id="rId546"/><Relationship Type="http://schemas.openxmlformats.org/officeDocument/2006/relationships/hyperlink" Target="#'08 CROSSWALK'!A544" TargetMode="External" Id="rId547"/><Relationship Type="http://schemas.openxmlformats.org/officeDocument/2006/relationships/hyperlink" Target="#'08 CROSSWALK'!A545" TargetMode="External" Id="rId548"/><Relationship Type="http://schemas.openxmlformats.org/officeDocument/2006/relationships/hyperlink" Target="#'08 CROSSWALK'!A546" TargetMode="External" Id="rId549"/><Relationship Type="http://schemas.openxmlformats.org/officeDocument/2006/relationships/hyperlink" Target="#'08 CROSSWALK'!A547" TargetMode="External" Id="rId550"/><Relationship Type="http://schemas.openxmlformats.org/officeDocument/2006/relationships/hyperlink" Target="#'08 CROSSWALK'!A548" TargetMode="External" Id="rId551"/><Relationship Type="http://schemas.openxmlformats.org/officeDocument/2006/relationships/hyperlink" Target="#'08 CROSSWALK'!A549" TargetMode="External" Id="rId552"/><Relationship Type="http://schemas.openxmlformats.org/officeDocument/2006/relationships/hyperlink" Target="#'08 CROSSWALK'!A550" TargetMode="External" Id="rId553"/><Relationship Type="http://schemas.openxmlformats.org/officeDocument/2006/relationships/hyperlink" Target="#'08 CROSSWALK'!A551" TargetMode="External" Id="rId554"/><Relationship Type="http://schemas.openxmlformats.org/officeDocument/2006/relationships/hyperlink" Target="#'08 CROSSWALK'!A552" TargetMode="External" Id="rId555"/><Relationship Type="http://schemas.openxmlformats.org/officeDocument/2006/relationships/hyperlink" Target="#'08 CROSSWALK'!A553" TargetMode="External" Id="rId556"/><Relationship Type="http://schemas.openxmlformats.org/officeDocument/2006/relationships/hyperlink" Target="#'08 CROSSWALK'!A554" TargetMode="External" Id="rId557"/><Relationship Type="http://schemas.openxmlformats.org/officeDocument/2006/relationships/hyperlink" Target="#'08 CROSSWALK'!A555" TargetMode="External" Id="rId558"/><Relationship Type="http://schemas.openxmlformats.org/officeDocument/2006/relationships/hyperlink" Target="#'08 CROSSWALK'!A556" TargetMode="External" Id="rId559"/><Relationship Type="http://schemas.openxmlformats.org/officeDocument/2006/relationships/hyperlink" Target="#'08 CROSSWALK'!A557" TargetMode="External" Id="rId560"/><Relationship Type="http://schemas.openxmlformats.org/officeDocument/2006/relationships/hyperlink" Target="#'08 CROSSWALK'!A558" TargetMode="External" Id="rId561"/><Relationship Type="http://schemas.openxmlformats.org/officeDocument/2006/relationships/hyperlink" Target="#'08 CROSSWALK'!A559" TargetMode="External" Id="rId562"/><Relationship Type="http://schemas.openxmlformats.org/officeDocument/2006/relationships/hyperlink" Target="#'08 CROSSWALK'!A560" TargetMode="External" Id="rId563"/><Relationship Type="http://schemas.openxmlformats.org/officeDocument/2006/relationships/hyperlink" Target="#'08 CROSSWALK'!A561" TargetMode="External" Id="rId564"/><Relationship Type="http://schemas.openxmlformats.org/officeDocument/2006/relationships/hyperlink" Target="#'08 CROSSWALK'!A562" TargetMode="External" Id="rId565"/><Relationship Type="http://schemas.openxmlformats.org/officeDocument/2006/relationships/hyperlink" Target="#'08 CROSSWALK'!A563" TargetMode="External" Id="rId566"/><Relationship Type="http://schemas.openxmlformats.org/officeDocument/2006/relationships/hyperlink" Target="#'08 CROSSWALK'!A564" TargetMode="External" Id="rId567"/><Relationship Type="http://schemas.openxmlformats.org/officeDocument/2006/relationships/hyperlink" Target="#'08 CROSSWALK'!A565" TargetMode="External" Id="rId568"/><Relationship Type="http://schemas.openxmlformats.org/officeDocument/2006/relationships/hyperlink" Target="#'08 CROSSWALK'!A566" TargetMode="External" Id="rId569"/><Relationship Type="http://schemas.openxmlformats.org/officeDocument/2006/relationships/hyperlink" Target="#'08 CROSSWALK'!A567" TargetMode="External" Id="rId570"/><Relationship Type="http://schemas.openxmlformats.org/officeDocument/2006/relationships/hyperlink" Target="#'08 CROSSWALK'!A568" TargetMode="External" Id="rId571"/><Relationship Type="http://schemas.openxmlformats.org/officeDocument/2006/relationships/hyperlink" Target="#'08 CROSSWALK'!A569" TargetMode="External" Id="rId572"/><Relationship Type="http://schemas.openxmlformats.org/officeDocument/2006/relationships/hyperlink" Target="#'08 CROSSWALK'!A570" TargetMode="External" Id="rId573"/><Relationship Type="http://schemas.openxmlformats.org/officeDocument/2006/relationships/hyperlink" Target="#'08 CROSSWALK'!A571" TargetMode="External" Id="rId574"/><Relationship Type="http://schemas.openxmlformats.org/officeDocument/2006/relationships/hyperlink" Target="#'08 CROSSWALK'!A572" TargetMode="External" Id="rId575"/><Relationship Type="http://schemas.openxmlformats.org/officeDocument/2006/relationships/hyperlink" Target="#'08 CROSSWALK'!A573" TargetMode="External" Id="rId576"/><Relationship Type="http://schemas.openxmlformats.org/officeDocument/2006/relationships/hyperlink" Target="#'08 CROSSWALK'!A574" TargetMode="External" Id="rId577"/><Relationship Type="http://schemas.openxmlformats.org/officeDocument/2006/relationships/hyperlink" Target="#'08 CROSSWALK'!A575" TargetMode="External" Id="rId578"/><Relationship Type="http://schemas.openxmlformats.org/officeDocument/2006/relationships/hyperlink" Target="#'08 CROSSWALK'!A576" TargetMode="External" Id="rId579"/><Relationship Type="http://schemas.openxmlformats.org/officeDocument/2006/relationships/hyperlink" Target="#'08 CROSSWALK'!A577" TargetMode="External" Id="rId580"/><Relationship Type="http://schemas.openxmlformats.org/officeDocument/2006/relationships/hyperlink" Target="#'08 CROSSWALK'!A578" TargetMode="External" Id="rId581"/><Relationship Type="http://schemas.openxmlformats.org/officeDocument/2006/relationships/hyperlink" Target="#'08 CROSSWALK'!A579" TargetMode="External" Id="rId582"/><Relationship Type="http://schemas.openxmlformats.org/officeDocument/2006/relationships/hyperlink" Target="#'08 CROSSWALK'!A580" TargetMode="External" Id="rId583"/><Relationship Type="http://schemas.openxmlformats.org/officeDocument/2006/relationships/hyperlink" Target="#'08 CROSSWALK'!A581" TargetMode="External" Id="rId584"/><Relationship Type="http://schemas.openxmlformats.org/officeDocument/2006/relationships/hyperlink" Target="#'08 CROSSWALK'!A582" TargetMode="External" Id="rId585"/><Relationship Type="http://schemas.openxmlformats.org/officeDocument/2006/relationships/hyperlink" Target="#'08 CROSSWALK'!A583" TargetMode="External" Id="rId586"/><Relationship Type="http://schemas.openxmlformats.org/officeDocument/2006/relationships/hyperlink" Target="#'08 CROSSWALK'!A584" TargetMode="External" Id="rId587"/><Relationship Type="http://schemas.openxmlformats.org/officeDocument/2006/relationships/hyperlink" Target="#'08 CROSSWALK'!A585" TargetMode="External" Id="rId588"/><Relationship Type="http://schemas.openxmlformats.org/officeDocument/2006/relationships/hyperlink" Target="#'08 CROSSWALK'!A586" TargetMode="External" Id="rId589"/><Relationship Type="http://schemas.openxmlformats.org/officeDocument/2006/relationships/hyperlink" Target="#'08 CROSSWALK'!A587" TargetMode="External" Id="rId590"/><Relationship Type="http://schemas.openxmlformats.org/officeDocument/2006/relationships/hyperlink" Target="#'08 CROSSWALK'!A588" TargetMode="External" Id="rId591"/><Relationship Type="http://schemas.openxmlformats.org/officeDocument/2006/relationships/hyperlink" Target="#'08 CROSSWALK'!A589" TargetMode="External" Id="rId592"/><Relationship Type="http://schemas.openxmlformats.org/officeDocument/2006/relationships/hyperlink" Target="#'08 CROSSWALK'!A590" TargetMode="External" Id="rId593"/><Relationship Type="http://schemas.openxmlformats.org/officeDocument/2006/relationships/hyperlink" Target="#'08 CROSSWALK'!A591" TargetMode="External" Id="rId594"/><Relationship Type="http://schemas.openxmlformats.org/officeDocument/2006/relationships/hyperlink" Target="#'08 CROSSWALK'!A592" TargetMode="External" Id="rId595"/><Relationship Type="http://schemas.openxmlformats.org/officeDocument/2006/relationships/hyperlink" Target="#'08 CROSSWALK'!A593" TargetMode="External" Id="rId596"/><Relationship Type="http://schemas.openxmlformats.org/officeDocument/2006/relationships/hyperlink" Target="#'08 CROSSWALK'!A594" TargetMode="External" Id="rId597"/><Relationship Type="http://schemas.openxmlformats.org/officeDocument/2006/relationships/hyperlink" Target="#'08 CROSSWALK'!A595" TargetMode="External" Id="rId598"/><Relationship Type="http://schemas.openxmlformats.org/officeDocument/2006/relationships/hyperlink" Target="#'08 CROSSWALK'!A596" TargetMode="External" Id="rId599"/><Relationship Type="http://schemas.openxmlformats.org/officeDocument/2006/relationships/hyperlink" Target="#'08 CROSSWALK'!A597" TargetMode="External" Id="rId600"/><Relationship Type="http://schemas.openxmlformats.org/officeDocument/2006/relationships/hyperlink" Target="#'08 CROSSWALK'!A598" TargetMode="External" Id="rId601"/><Relationship Type="http://schemas.openxmlformats.org/officeDocument/2006/relationships/hyperlink" Target="#'08 CROSSWALK'!A599" TargetMode="External" Id="rId602"/><Relationship Type="http://schemas.openxmlformats.org/officeDocument/2006/relationships/hyperlink" Target="#'08 CROSSWALK'!A600" TargetMode="External" Id="rId603"/><Relationship Type="http://schemas.openxmlformats.org/officeDocument/2006/relationships/hyperlink" Target="#'08 CROSSWALK'!A601" TargetMode="External" Id="rId604"/><Relationship Type="http://schemas.openxmlformats.org/officeDocument/2006/relationships/hyperlink" Target="#'08 CROSSWALK'!A602" TargetMode="External" Id="rId605"/><Relationship Type="http://schemas.openxmlformats.org/officeDocument/2006/relationships/hyperlink" Target="#'08 CROSSWALK'!A603" TargetMode="External" Id="rId606"/><Relationship Type="http://schemas.openxmlformats.org/officeDocument/2006/relationships/hyperlink" Target="#'08 CROSSWALK'!A604" TargetMode="External" Id="rId607"/><Relationship Type="http://schemas.openxmlformats.org/officeDocument/2006/relationships/hyperlink" Target="#'08 CROSSWALK'!A605" TargetMode="External" Id="rId608"/><Relationship Type="http://schemas.openxmlformats.org/officeDocument/2006/relationships/hyperlink" Target="#'08 CROSSWALK'!A606" TargetMode="External" Id="rId609"/><Relationship Type="http://schemas.openxmlformats.org/officeDocument/2006/relationships/hyperlink" Target="#'08 CROSSWALK'!A607" TargetMode="External" Id="rId610"/><Relationship Type="http://schemas.openxmlformats.org/officeDocument/2006/relationships/hyperlink" Target="#'08 CROSSWALK'!A608" TargetMode="External" Id="rId611"/><Relationship Type="http://schemas.openxmlformats.org/officeDocument/2006/relationships/hyperlink" Target="#'08 CROSSWALK'!A609" TargetMode="External" Id="rId612"/><Relationship Type="http://schemas.openxmlformats.org/officeDocument/2006/relationships/hyperlink" Target="#'08 CROSSWALK'!A610" TargetMode="External" Id="rId613"/><Relationship Type="http://schemas.openxmlformats.org/officeDocument/2006/relationships/hyperlink" Target="#'08 CROSSWALK'!A611" TargetMode="External" Id="rId614"/><Relationship Type="http://schemas.openxmlformats.org/officeDocument/2006/relationships/hyperlink" Target="#'08 CROSSWALK'!A612" TargetMode="External" Id="rId615"/><Relationship Type="http://schemas.openxmlformats.org/officeDocument/2006/relationships/hyperlink" Target="#'08 CROSSWALK'!A613" TargetMode="External" Id="rId616"/><Relationship Type="http://schemas.openxmlformats.org/officeDocument/2006/relationships/hyperlink" Target="#'08 CROSSWALK'!A614" TargetMode="External" Id="rId617"/><Relationship Type="http://schemas.openxmlformats.org/officeDocument/2006/relationships/hyperlink" Target="#'08 CROSSWALK'!A615" TargetMode="External" Id="rId618"/><Relationship Type="http://schemas.openxmlformats.org/officeDocument/2006/relationships/hyperlink" Target="#'08 CROSSWALK'!A616" TargetMode="External" Id="rId619"/><Relationship Type="http://schemas.openxmlformats.org/officeDocument/2006/relationships/hyperlink" Target="#'08 CROSSWALK'!A617" TargetMode="External" Id="rId620"/><Relationship Type="http://schemas.openxmlformats.org/officeDocument/2006/relationships/hyperlink" Target="#'08 CROSSWALK'!A618" TargetMode="External" Id="rId621"/><Relationship Type="http://schemas.openxmlformats.org/officeDocument/2006/relationships/hyperlink" Target="#'08 CROSSWALK'!A619" TargetMode="External" Id="rId622"/><Relationship Type="http://schemas.openxmlformats.org/officeDocument/2006/relationships/hyperlink" Target="#'08 CROSSWALK'!A620" TargetMode="External" Id="rId623"/><Relationship Type="http://schemas.openxmlformats.org/officeDocument/2006/relationships/hyperlink" Target="#'08 CROSSWALK'!A621" TargetMode="External" Id="rId624"/><Relationship Type="http://schemas.openxmlformats.org/officeDocument/2006/relationships/hyperlink" Target="#'08 CROSSWALK'!A622" TargetMode="External" Id="rId625"/><Relationship Type="http://schemas.openxmlformats.org/officeDocument/2006/relationships/hyperlink" Target="#'08 CROSSWALK'!A623" TargetMode="External" Id="rId626"/><Relationship Type="http://schemas.openxmlformats.org/officeDocument/2006/relationships/hyperlink" Target="#'08 CROSSWALK'!A624" TargetMode="External" Id="rId627"/><Relationship Type="http://schemas.openxmlformats.org/officeDocument/2006/relationships/hyperlink" Target="#'08 CROSSWALK'!A625" TargetMode="External" Id="rId628"/><Relationship Type="http://schemas.openxmlformats.org/officeDocument/2006/relationships/hyperlink" Target="#'08 CROSSWALK'!A626" TargetMode="External" Id="rId629"/><Relationship Type="http://schemas.openxmlformats.org/officeDocument/2006/relationships/hyperlink" Target="#'08 CROSSWALK'!A627" TargetMode="External" Id="rId630"/><Relationship Type="http://schemas.openxmlformats.org/officeDocument/2006/relationships/hyperlink" Target="#'08 CROSSWALK'!A628" TargetMode="External" Id="rId631"/><Relationship Type="http://schemas.openxmlformats.org/officeDocument/2006/relationships/hyperlink" Target="#'08 CROSSWALK'!A629" TargetMode="External" Id="rId632"/><Relationship Type="http://schemas.openxmlformats.org/officeDocument/2006/relationships/hyperlink" Target="#'08 CROSSWALK'!A630" TargetMode="External" Id="rId633"/><Relationship Type="http://schemas.openxmlformats.org/officeDocument/2006/relationships/hyperlink" Target="#'08 CROSSWALK'!A631" TargetMode="External" Id="rId634"/><Relationship Type="http://schemas.openxmlformats.org/officeDocument/2006/relationships/hyperlink" Target="#'08 CROSSWALK'!A632" TargetMode="External" Id="rId635"/><Relationship Type="http://schemas.openxmlformats.org/officeDocument/2006/relationships/hyperlink" Target="#'08 CROSSWALK'!A633" TargetMode="External" Id="rId636"/><Relationship Type="http://schemas.openxmlformats.org/officeDocument/2006/relationships/hyperlink" Target="#'08 CROSSWALK'!A634" TargetMode="External" Id="rId637"/><Relationship Type="http://schemas.openxmlformats.org/officeDocument/2006/relationships/hyperlink" Target="#'08 CROSSWALK'!A635" TargetMode="External" Id="rId638"/><Relationship Type="http://schemas.openxmlformats.org/officeDocument/2006/relationships/hyperlink" Target="#'08 CROSSWALK'!A636" TargetMode="External" Id="rId639"/><Relationship Type="http://schemas.openxmlformats.org/officeDocument/2006/relationships/hyperlink" Target="#'08 CROSSWALK'!A637" TargetMode="External" Id="rId640"/><Relationship Type="http://schemas.openxmlformats.org/officeDocument/2006/relationships/hyperlink" Target="#'08 CROSSWALK'!A638" TargetMode="External" Id="rId641"/><Relationship Type="http://schemas.openxmlformats.org/officeDocument/2006/relationships/hyperlink" Target="#'08 CROSSWALK'!A639" TargetMode="External" Id="rId642"/><Relationship Type="http://schemas.openxmlformats.org/officeDocument/2006/relationships/hyperlink" Target="#'08 CROSSWALK'!A640" TargetMode="External" Id="rId643"/><Relationship Type="http://schemas.openxmlformats.org/officeDocument/2006/relationships/hyperlink" Target="#'08 CROSSWALK'!A641" TargetMode="External" Id="rId644"/><Relationship Type="http://schemas.openxmlformats.org/officeDocument/2006/relationships/hyperlink" Target="#'08 CROSSWALK'!A642" TargetMode="External" Id="rId645"/><Relationship Type="http://schemas.openxmlformats.org/officeDocument/2006/relationships/hyperlink" Target="#'08 CROSSWALK'!A643" TargetMode="External" Id="rId646"/><Relationship Type="http://schemas.openxmlformats.org/officeDocument/2006/relationships/hyperlink" Target="#'08 CROSSWALK'!A644" TargetMode="External" Id="rId647"/><Relationship Type="http://schemas.openxmlformats.org/officeDocument/2006/relationships/hyperlink" Target="#'08 CROSSWALK'!A645" TargetMode="External" Id="rId648"/><Relationship Type="http://schemas.openxmlformats.org/officeDocument/2006/relationships/hyperlink" Target="#'08 CROSSWALK'!A646" TargetMode="External" Id="rId649"/><Relationship Type="http://schemas.openxmlformats.org/officeDocument/2006/relationships/hyperlink" Target="#'08 CROSSWALK'!A647" TargetMode="External" Id="rId650"/><Relationship Type="http://schemas.openxmlformats.org/officeDocument/2006/relationships/hyperlink" Target="#'08 CROSSWALK'!A648" TargetMode="External" Id="rId651"/><Relationship Type="http://schemas.openxmlformats.org/officeDocument/2006/relationships/hyperlink" Target="#'08 CROSSWALK'!A649" TargetMode="External" Id="rId652"/><Relationship Type="http://schemas.openxmlformats.org/officeDocument/2006/relationships/hyperlink" Target="#'08 CROSSWALK'!A650" TargetMode="External" Id="rId653"/><Relationship Type="http://schemas.openxmlformats.org/officeDocument/2006/relationships/hyperlink" Target="#'08 CROSSWALK'!A651" TargetMode="External" Id="rId654"/><Relationship Type="http://schemas.openxmlformats.org/officeDocument/2006/relationships/hyperlink" Target="#'08 CROSSWALK'!A652" TargetMode="External" Id="rId655"/><Relationship Type="http://schemas.openxmlformats.org/officeDocument/2006/relationships/hyperlink" Target="#'08 CROSSWALK'!A653" TargetMode="External" Id="rId656"/><Relationship Type="http://schemas.openxmlformats.org/officeDocument/2006/relationships/hyperlink" Target="#'08 CROSSWALK'!A654" TargetMode="External" Id="rId657"/><Relationship Type="http://schemas.openxmlformats.org/officeDocument/2006/relationships/hyperlink" Target="#'08 CROSSWALK'!A655" TargetMode="External" Id="rId658"/><Relationship Type="http://schemas.openxmlformats.org/officeDocument/2006/relationships/hyperlink" Target="#'08 CROSSWALK'!A656" TargetMode="External" Id="rId659"/><Relationship Type="http://schemas.openxmlformats.org/officeDocument/2006/relationships/hyperlink" Target="#'08 CROSSWALK'!A657" TargetMode="External" Id="rId660"/><Relationship Type="http://schemas.openxmlformats.org/officeDocument/2006/relationships/hyperlink" Target="#'08 CROSSWALK'!A658" TargetMode="External" Id="rId661"/><Relationship Type="http://schemas.openxmlformats.org/officeDocument/2006/relationships/hyperlink" Target="#'08 CROSSWALK'!A659" TargetMode="External" Id="rId662"/><Relationship Type="http://schemas.openxmlformats.org/officeDocument/2006/relationships/hyperlink" Target="#'08 CROSSWALK'!A660" TargetMode="External" Id="rId663"/><Relationship Type="http://schemas.openxmlformats.org/officeDocument/2006/relationships/hyperlink" Target="#'08 CROSSWALK'!A661" TargetMode="External" Id="rId664"/><Relationship Type="http://schemas.openxmlformats.org/officeDocument/2006/relationships/hyperlink" Target="#'08 CROSSWALK'!A662" TargetMode="External" Id="rId665"/><Relationship Type="http://schemas.openxmlformats.org/officeDocument/2006/relationships/hyperlink" Target="#'08 CROSSWALK'!A663" TargetMode="External" Id="rId666"/><Relationship Type="http://schemas.openxmlformats.org/officeDocument/2006/relationships/hyperlink" Target="#'08 CROSSWALK'!A664" TargetMode="External" Id="rId667"/><Relationship Type="http://schemas.openxmlformats.org/officeDocument/2006/relationships/hyperlink" Target="#'08 CROSSWALK'!A665" TargetMode="External" Id="rId668"/><Relationship Type="http://schemas.openxmlformats.org/officeDocument/2006/relationships/hyperlink" Target="#'08 CROSSWALK'!A666" TargetMode="External" Id="rId669"/><Relationship Type="http://schemas.openxmlformats.org/officeDocument/2006/relationships/hyperlink" Target="#'08 CROSSWALK'!A667" TargetMode="External" Id="rId670"/><Relationship Type="http://schemas.openxmlformats.org/officeDocument/2006/relationships/hyperlink" Target="#'08 CROSSWALK'!A668" TargetMode="External" Id="rId671"/><Relationship Type="http://schemas.openxmlformats.org/officeDocument/2006/relationships/hyperlink" Target="#'08 CROSSWALK'!A669" TargetMode="External" Id="rId672"/><Relationship Type="http://schemas.openxmlformats.org/officeDocument/2006/relationships/hyperlink" Target="#'08 CROSSWALK'!A670" TargetMode="External" Id="rId673"/><Relationship Type="http://schemas.openxmlformats.org/officeDocument/2006/relationships/hyperlink" Target="#'08 CROSSWALK'!A671" TargetMode="External" Id="rId674"/><Relationship Type="http://schemas.openxmlformats.org/officeDocument/2006/relationships/hyperlink" Target="#'08 CROSSWALK'!A672" TargetMode="External" Id="rId675"/><Relationship Type="http://schemas.openxmlformats.org/officeDocument/2006/relationships/hyperlink" Target="#'08 CROSSWALK'!A673" TargetMode="External" Id="rId676"/><Relationship Type="http://schemas.openxmlformats.org/officeDocument/2006/relationships/hyperlink" Target="#'08 CROSSWALK'!A674" TargetMode="External" Id="rId677"/><Relationship Type="http://schemas.openxmlformats.org/officeDocument/2006/relationships/hyperlink" Target="#'08 CROSSWALK'!A675" TargetMode="External" Id="rId678"/><Relationship Type="http://schemas.openxmlformats.org/officeDocument/2006/relationships/hyperlink" Target="#'08 CROSSWALK'!A676" TargetMode="External" Id="rId679"/><Relationship Type="http://schemas.openxmlformats.org/officeDocument/2006/relationships/hyperlink" Target="#'08 CROSSWALK'!A677" TargetMode="External" Id="rId680"/><Relationship Type="http://schemas.openxmlformats.org/officeDocument/2006/relationships/hyperlink" Target="#'08 CROSSWALK'!A678" TargetMode="External" Id="rId681"/><Relationship Type="http://schemas.openxmlformats.org/officeDocument/2006/relationships/hyperlink" Target="#'08 CROSSWALK'!A679" TargetMode="External" Id="rId682"/><Relationship Type="http://schemas.openxmlformats.org/officeDocument/2006/relationships/hyperlink" Target="#'08 CROSSWALK'!A680" TargetMode="External" Id="rId683"/><Relationship Type="http://schemas.openxmlformats.org/officeDocument/2006/relationships/hyperlink" Target="#'08 CROSSWALK'!A681" TargetMode="External" Id="rId684"/><Relationship Type="http://schemas.openxmlformats.org/officeDocument/2006/relationships/hyperlink" Target="#'08 CROSSWALK'!A682" TargetMode="External" Id="rId685"/><Relationship Type="http://schemas.openxmlformats.org/officeDocument/2006/relationships/hyperlink" Target="#'08 CROSSWALK'!A683" TargetMode="External" Id="rId686"/><Relationship Type="http://schemas.openxmlformats.org/officeDocument/2006/relationships/hyperlink" Target="#'08 CROSSWALK'!A684" TargetMode="External" Id="rId687"/><Relationship Type="http://schemas.openxmlformats.org/officeDocument/2006/relationships/hyperlink" Target="#'08 CROSSWALK'!A685" TargetMode="External" Id="rId688"/><Relationship Type="http://schemas.openxmlformats.org/officeDocument/2006/relationships/hyperlink" Target="#'08 CROSSWALK'!A686" TargetMode="External" Id="rId689"/><Relationship Type="http://schemas.openxmlformats.org/officeDocument/2006/relationships/hyperlink" Target="#'08 CROSSWALK'!A687" TargetMode="External" Id="rId690"/><Relationship Type="http://schemas.openxmlformats.org/officeDocument/2006/relationships/hyperlink" Target="#'08 CROSSWALK'!A688" TargetMode="External" Id="rId691"/><Relationship Type="http://schemas.openxmlformats.org/officeDocument/2006/relationships/hyperlink" Target="#'08 CROSSWALK'!A689" TargetMode="External" Id="rId692"/><Relationship Type="http://schemas.openxmlformats.org/officeDocument/2006/relationships/hyperlink" Target="#'08 CROSSWALK'!A690" TargetMode="External" Id="rId693"/><Relationship Type="http://schemas.openxmlformats.org/officeDocument/2006/relationships/hyperlink" Target="#'08 CROSSWALK'!A691" TargetMode="External" Id="rId694"/><Relationship Type="http://schemas.openxmlformats.org/officeDocument/2006/relationships/hyperlink" Target="#'08 CROSSWALK'!A692" TargetMode="External" Id="rId695"/><Relationship Type="http://schemas.openxmlformats.org/officeDocument/2006/relationships/hyperlink" Target="#'08 CROSSWALK'!A693" TargetMode="External" Id="rId696"/><Relationship Type="http://schemas.openxmlformats.org/officeDocument/2006/relationships/hyperlink" Target="#'08 CROSSWALK'!A694" TargetMode="External" Id="rId697"/><Relationship Type="http://schemas.openxmlformats.org/officeDocument/2006/relationships/hyperlink" Target="#'08 CROSSWALK'!A695" TargetMode="External" Id="rId698"/><Relationship Type="http://schemas.openxmlformats.org/officeDocument/2006/relationships/hyperlink" Target="#'08 CROSSWALK'!A696" TargetMode="External" Id="rId699"/><Relationship Type="http://schemas.openxmlformats.org/officeDocument/2006/relationships/hyperlink" Target="#'08 CROSSWALK'!A697" TargetMode="External" Id="rId700"/><Relationship Type="http://schemas.openxmlformats.org/officeDocument/2006/relationships/hyperlink" Target="#'08 CROSSWALK'!A698" TargetMode="External" Id="rId701"/><Relationship Type="http://schemas.openxmlformats.org/officeDocument/2006/relationships/hyperlink" Target="#'08 CROSSWALK'!A699" TargetMode="External" Id="rId702"/><Relationship Type="http://schemas.openxmlformats.org/officeDocument/2006/relationships/hyperlink" Target="#'08 CROSSWALK'!A700" TargetMode="External" Id="rId703"/><Relationship Type="http://schemas.openxmlformats.org/officeDocument/2006/relationships/hyperlink" Target="#'08 CROSSWALK'!A701" TargetMode="External" Id="rId704"/><Relationship Type="http://schemas.openxmlformats.org/officeDocument/2006/relationships/hyperlink" Target="#'08 CROSSWALK'!A702" TargetMode="External" Id="rId705"/><Relationship Type="http://schemas.openxmlformats.org/officeDocument/2006/relationships/hyperlink" Target="#'08 CROSSWALK'!A703" TargetMode="External" Id="rId706"/><Relationship Type="http://schemas.openxmlformats.org/officeDocument/2006/relationships/hyperlink" Target="#'08 CROSSWALK'!A704" TargetMode="External" Id="rId707"/><Relationship Type="http://schemas.openxmlformats.org/officeDocument/2006/relationships/hyperlink" Target="#'08 CROSSWALK'!A705" TargetMode="External" Id="rId708"/><Relationship Type="http://schemas.openxmlformats.org/officeDocument/2006/relationships/hyperlink" Target="#'08 CROSSWALK'!A706" TargetMode="External" Id="rId709"/><Relationship Type="http://schemas.openxmlformats.org/officeDocument/2006/relationships/hyperlink" Target="#'08 CROSSWALK'!A707" TargetMode="External" Id="rId710"/><Relationship Type="http://schemas.openxmlformats.org/officeDocument/2006/relationships/hyperlink" Target="#'08 CROSSWALK'!A708" TargetMode="External" Id="rId711"/><Relationship Type="http://schemas.openxmlformats.org/officeDocument/2006/relationships/hyperlink" Target="#'08 CROSSWALK'!A709" TargetMode="External" Id="rId712"/><Relationship Type="http://schemas.openxmlformats.org/officeDocument/2006/relationships/hyperlink" Target="#'08 CROSSWALK'!A710" TargetMode="External" Id="rId713"/><Relationship Type="http://schemas.openxmlformats.org/officeDocument/2006/relationships/hyperlink" Target="#'08 CROSSWALK'!A711" TargetMode="External" Id="rId714"/><Relationship Type="http://schemas.openxmlformats.org/officeDocument/2006/relationships/hyperlink" Target="#'08 CROSSWALK'!A712" TargetMode="External" Id="rId715"/><Relationship Type="http://schemas.openxmlformats.org/officeDocument/2006/relationships/hyperlink" Target="#'08 CROSSWALK'!A713" TargetMode="External" Id="rId716"/><Relationship Type="http://schemas.openxmlformats.org/officeDocument/2006/relationships/hyperlink" Target="#'08 CROSSWALK'!A714" TargetMode="External" Id="rId717"/><Relationship Type="http://schemas.openxmlformats.org/officeDocument/2006/relationships/hyperlink" Target="#'08 CROSSWALK'!A715" TargetMode="External" Id="rId718"/><Relationship Type="http://schemas.openxmlformats.org/officeDocument/2006/relationships/hyperlink" Target="#'08 CROSSWALK'!A716" TargetMode="External" Id="rId719"/><Relationship Type="http://schemas.openxmlformats.org/officeDocument/2006/relationships/hyperlink" Target="#'08 CROSSWALK'!A717" TargetMode="External" Id="rId720"/><Relationship Type="http://schemas.openxmlformats.org/officeDocument/2006/relationships/hyperlink" Target="#'08 CROSSWALK'!A718" TargetMode="External" Id="rId721"/><Relationship Type="http://schemas.openxmlformats.org/officeDocument/2006/relationships/hyperlink" Target="#'08 CROSSWALK'!A719" TargetMode="External" Id="rId722"/><Relationship Type="http://schemas.openxmlformats.org/officeDocument/2006/relationships/hyperlink" Target="#'08 CROSSWALK'!A720" TargetMode="External" Id="rId723"/><Relationship Type="http://schemas.openxmlformats.org/officeDocument/2006/relationships/hyperlink" Target="#'08 CROSSWALK'!A721" TargetMode="External" Id="rId724"/><Relationship Type="http://schemas.openxmlformats.org/officeDocument/2006/relationships/hyperlink" Target="#'08 CROSSWALK'!A722" TargetMode="External" Id="rId725"/><Relationship Type="http://schemas.openxmlformats.org/officeDocument/2006/relationships/hyperlink" Target="#'08 CROSSWALK'!A723" TargetMode="External" Id="rId726"/><Relationship Type="http://schemas.openxmlformats.org/officeDocument/2006/relationships/hyperlink" Target="#'08 CROSSWALK'!A724" TargetMode="External" Id="rId727"/><Relationship Type="http://schemas.openxmlformats.org/officeDocument/2006/relationships/hyperlink" Target="#'08 CROSSWALK'!A725" TargetMode="External" Id="rId728"/><Relationship Type="http://schemas.openxmlformats.org/officeDocument/2006/relationships/hyperlink" Target="#'08 CROSSWALK'!A726" TargetMode="External" Id="rId729"/><Relationship Type="http://schemas.openxmlformats.org/officeDocument/2006/relationships/hyperlink" Target="#'08 CROSSWALK'!A727" TargetMode="External" Id="rId730"/><Relationship Type="http://schemas.openxmlformats.org/officeDocument/2006/relationships/hyperlink" Target="#'08 CROSSWALK'!A728" TargetMode="External" Id="rId731"/><Relationship Type="http://schemas.openxmlformats.org/officeDocument/2006/relationships/hyperlink" Target="#'08 CROSSWALK'!A729" TargetMode="External" Id="rId732"/><Relationship Type="http://schemas.openxmlformats.org/officeDocument/2006/relationships/hyperlink" Target="#'08 CROSSWALK'!A730" TargetMode="External" Id="rId733"/><Relationship Type="http://schemas.openxmlformats.org/officeDocument/2006/relationships/hyperlink" Target="#'08 CROSSWALK'!A731" TargetMode="External" Id="rId734"/><Relationship Type="http://schemas.openxmlformats.org/officeDocument/2006/relationships/hyperlink" Target="#'08 CROSSWALK'!A732" TargetMode="External" Id="rId735"/><Relationship Type="http://schemas.openxmlformats.org/officeDocument/2006/relationships/hyperlink" Target="#'08 CROSSWALK'!A733" TargetMode="External" Id="rId736"/><Relationship Type="http://schemas.openxmlformats.org/officeDocument/2006/relationships/hyperlink" Target="#'08 CROSSWALK'!A734" TargetMode="External" Id="rId737"/><Relationship Type="http://schemas.openxmlformats.org/officeDocument/2006/relationships/hyperlink" Target="#'08 CROSSWALK'!A735" TargetMode="External" Id="rId738"/><Relationship Type="http://schemas.openxmlformats.org/officeDocument/2006/relationships/hyperlink" Target="#'08 CROSSWALK'!A736" TargetMode="External" Id="rId739"/><Relationship Type="http://schemas.openxmlformats.org/officeDocument/2006/relationships/hyperlink" Target="#'08 CROSSWALK'!A737" TargetMode="External" Id="rId740"/><Relationship Type="http://schemas.openxmlformats.org/officeDocument/2006/relationships/hyperlink" Target="#'08 CROSSWALK'!A738" TargetMode="External" Id="rId741"/><Relationship Type="http://schemas.openxmlformats.org/officeDocument/2006/relationships/hyperlink" Target="#'08 CROSSWALK'!A739" TargetMode="External" Id="rId742"/><Relationship Type="http://schemas.openxmlformats.org/officeDocument/2006/relationships/hyperlink" Target="#'08 CROSSWALK'!A740" TargetMode="External" Id="rId743"/><Relationship Type="http://schemas.openxmlformats.org/officeDocument/2006/relationships/hyperlink" Target="#'08 CROSSWALK'!A741" TargetMode="External" Id="rId744"/><Relationship Type="http://schemas.openxmlformats.org/officeDocument/2006/relationships/hyperlink" Target="#'08 CROSSWALK'!A742" TargetMode="External" Id="rId745"/><Relationship Type="http://schemas.openxmlformats.org/officeDocument/2006/relationships/hyperlink" Target="#'08 CROSSWALK'!A743" TargetMode="External" Id="rId746"/><Relationship Type="http://schemas.openxmlformats.org/officeDocument/2006/relationships/hyperlink" Target="#'08 CROSSWALK'!A744" TargetMode="External" Id="rId747"/><Relationship Type="http://schemas.openxmlformats.org/officeDocument/2006/relationships/hyperlink" Target="#'08 CROSSWALK'!A745" TargetMode="External" Id="rId748"/><Relationship Type="http://schemas.openxmlformats.org/officeDocument/2006/relationships/hyperlink" Target="#'08 CROSSWALK'!A746" TargetMode="External" Id="rId749"/><Relationship Type="http://schemas.openxmlformats.org/officeDocument/2006/relationships/hyperlink" Target="#'08 CROSSWALK'!A747" TargetMode="External" Id="rId750"/><Relationship Type="http://schemas.openxmlformats.org/officeDocument/2006/relationships/hyperlink" Target="#'08 CROSSWALK'!A748" TargetMode="External" Id="rId751"/><Relationship Type="http://schemas.openxmlformats.org/officeDocument/2006/relationships/hyperlink" Target="#'08 CROSSWALK'!A749" TargetMode="External" Id="rId752"/><Relationship Type="http://schemas.openxmlformats.org/officeDocument/2006/relationships/hyperlink" Target="#'08 CROSSWALK'!A750" TargetMode="External" Id="rId753"/><Relationship Type="http://schemas.openxmlformats.org/officeDocument/2006/relationships/hyperlink" Target="#'08 CROSSWALK'!A751" TargetMode="External" Id="rId754"/><Relationship Type="http://schemas.openxmlformats.org/officeDocument/2006/relationships/hyperlink" Target="#'08 CROSSWALK'!A752" TargetMode="External" Id="rId755"/><Relationship Type="http://schemas.openxmlformats.org/officeDocument/2006/relationships/hyperlink" Target="#'08 CROSSWALK'!A753" TargetMode="External" Id="rId756"/><Relationship Type="http://schemas.openxmlformats.org/officeDocument/2006/relationships/hyperlink" Target="#'08 CROSSWALK'!A754" TargetMode="External" Id="rId757"/><Relationship Type="http://schemas.openxmlformats.org/officeDocument/2006/relationships/hyperlink" Target="#'08 CROSSWALK'!A755" TargetMode="External" Id="rId758"/><Relationship Type="http://schemas.openxmlformats.org/officeDocument/2006/relationships/hyperlink" Target="#'08 CROSSWALK'!A756" TargetMode="External" Id="rId759"/><Relationship Type="http://schemas.openxmlformats.org/officeDocument/2006/relationships/hyperlink" Target="#'08 CROSSWALK'!A757" TargetMode="External" Id="rId760"/><Relationship Type="http://schemas.openxmlformats.org/officeDocument/2006/relationships/hyperlink" Target="#'08 CROSSWALK'!A758" TargetMode="External" Id="rId761"/><Relationship Type="http://schemas.openxmlformats.org/officeDocument/2006/relationships/hyperlink" Target="#'08 CROSSWALK'!A759" TargetMode="External" Id="rId762"/><Relationship Type="http://schemas.openxmlformats.org/officeDocument/2006/relationships/hyperlink" Target="#'08 CROSSWALK'!A760" TargetMode="External" Id="rId763"/><Relationship Type="http://schemas.openxmlformats.org/officeDocument/2006/relationships/hyperlink" Target="#'08 CROSSWALK'!A761" TargetMode="External" Id="rId764"/><Relationship Type="http://schemas.openxmlformats.org/officeDocument/2006/relationships/hyperlink" Target="#'08 CROSSWALK'!A762" TargetMode="External" Id="rId765"/><Relationship Type="http://schemas.openxmlformats.org/officeDocument/2006/relationships/hyperlink" Target="#'08 CROSSWALK'!A763" TargetMode="External" Id="rId766"/><Relationship Type="http://schemas.openxmlformats.org/officeDocument/2006/relationships/hyperlink" Target="#'08 CROSSWALK'!A764" TargetMode="External" Id="rId767"/><Relationship Type="http://schemas.openxmlformats.org/officeDocument/2006/relationships/hyperlink" Target="#'08 CROSSWALK'!A765" TargetMode="External" Id="rId768"/><Relationship Type="http://schemas.openxmlformats.org/officeDocument/2006/relationships/hyperlink" Target="#'08 CROSSWALK'!A766" TargetMode="External" Id="rId769"/><Relationship Type="http://schemas.openxmlformats.org/officeDocument/2006/relationships/hyperlink" Target="#'08 CROSSWALK'!A767" TargetMode="External" Id="rId770"/><Relationship Type="http://schemas.openxmlformats.org/officeDocument/2006/relationships/hyperlink" Target="#'08 CROSSWALK'!A768" TargetMode="External" Id="rId771"/><Relationship Type="http://schemas.openxmlformats.org/officeDocument/2006/relationships/hyperlink" Target="#'08 CROSSWALK'!A769" TargetMode="External" Id="rId772"/><Relationship Type="http://schemas.openxmlformats.org/officeDocument/2006/relationships/hyperlink" Target="#'08 CROSSWALK'!A770" TargetMode="External" Id="rId773"/><Relationship Type="http://schemas.openxmlformats.org/officeDocument/2006/relationships/hyperlink" Target="#'08 CROSSWALK'!A771" TargetMode="External" Id="rId774"/><Relationship Type="http://schemas.openxmlformats.org/officeDocument/2006/relationships/hyperlink" Target="#'08 CROSSWALK'!A772" TargetMode="External" Id="rId775"/><Relationship Type="http://schemas.openxmlformats.org/officeDocument/2006/relationships/hyperlink" Target="#'08 CROSSWALK'!A773" TargetMode="External" Id="rId776"/><Relationship Type="http://schemas.openxmlformats.org/officeDocument/2006/relationships/hyperlink" Target="#'08 CROSSWALK'!A774" TargetMode="External" Id="rId777"/><Relationship Type="http://schemas.openxmlformats.org/officeDocument/2006/relationships/hyperlink" Target="#'08 CROSSWALK'!A775" TargetMode="External" Id="rId778"/><Relationship Type="http://schemas.openxmlformats.org/officeDocument/2006/relationships/hyperlink" Target="#'08 CROSSWALK'!A776" TargetMode="External" Id="rId779"/><Relationship Type="http://schemas.openxmlformats.org/officeDocument/2006/relationships/hyperlink" Target="#'08 CROSSWALK'!A777" TargetMode="External" Id="rId780"/><Relationship Type="http://schemas.openxmlformats.org/officeDocument/2006/relationships/hyperlink" Target="#'08 CROSSWALK'!A778" TargetMode="External" Id="rId781"/><Relationship Type="http://schemas.openxmlformats.org/officeDocument/2006/relationships/hyperlink" Target="#'08 CROSSWALK'!A779" TargetMode="External" Id="rId782"/><Relationship Type="http://schemas.openxmlformats.org/officeDocument/2006/relationships/hyperlink" Target="#'08 CROSSWALK'!A780" TargetMode="External" Id="rId783"/><Relationship Type="http://schemas.openxmlformats.org/officeDocument/2006/relationships/hyperlink" Target="#'08 CROSSWALK'!A781" TargetMode="External" Id="rId784"/><Relationship Type="http://schemas.openxmlformats.org/officeDocument/2006/relationships/hyperlink" Target="#'08 CROSSWALK'!A782" TargetMode="External" Id="rId785"/><Relationship Type="http://schemas.openxmlformats.org/officeDocument/2006/relationships/hyperlink" Target="#'08 CROSSWALK'!A783" TargetMode="External" Id="rId786"/><Relationship Type="http://schemas.openxmlformats.org/officeDocument/2006/relationships/hyperlink" Target="#'08 CROSSWALK'!A784" TargetMode="External" Id="rId787"/><Relationship Type="http://schemas.openxmlformats.org/officeDocument/2006/relationships/hyperlink" Target="#'08 CROSSWALK'!A785" TargetMode="External" Id="rId788"/><Relationship Type="http://schemas.openxmlformats.org/officeDocument/2006/relationships/hyperlink" Target="#'08 CROSSWALK'!A786" TargetMode="External" Id="rId789"/><Relationship Type="http://schemas.openxmlformats.org/officeDocument/2006/relationships/hyperlink" Target="#'08 CROSSWALK'!A787" TargetMode="External" Id="rId790"/><Relationship Type="http://schemas.openxmlformats.org/officeDocument/2006/relationships/hyperlink" Target="#'08 CROSSWALK'!A788" TargetMode="External" Id="rId791"/><Relationship Type="http://schemas.openxmlformats.org/officeDocument/2006/relationships/hyperlink" Target="#'08 CROSSWALK'!A789" TargetMode="External" Id="rId792"/><Relationship Type="http://schemas.openxmlformats.org/officeDocument/2006/relationships/hyperlink" Target="#'08 CROSSWALK'!A790" TargetMode="External" Id="rId793"/><Relationship Type="http://schemas.openxmlformats.org/officeDocument/2006/relationships/hyperlink" Target="#'08 CROSSWALK'!A791" TargetMode="External" Id="rId794"/><Relationship Type="http://schemas.openxmlformats.org/officeDocument/2006/relationships/hyperlink" Target="#'08 CROSSWALK'!A792" TargetMode="External" Id="rId795"/><Relationship Type="http://schemas.openxmlformats.org/officeDocument/2006/relationships/hyperlink" Target="#'08 CROSSWALK'!A793" TargetMode="External" Id="rId796"/><Relationship Type="http://schemas.openxmlformats.org/officeDocument/2006/relationships/hyperlink" Target="#'08 CROSSWALK'!A794" TargetMode="External" Id="rId797"/><Relationship Type="http://schemas.openxmlformats.org/officeDocument/2006/relationships/hyperlink" Target="#'08 CROSSWALK'!A795" TargetMode="External" Id="rId798"/><Relationship Type="http://schemas.openxmlformats.org/officeDocument/2006/relationships/hyperlink" Target="#'08 CROSSWALK'!A796" TargetMode="External" Id="rId799"/><Relationship Type="http://schemas.openxmlformats.org/officeDocument/2006/relationships/hyperlink" Target="#'08 CROSSWALK'!A797" TargetMode="External" Id="rId800"/><Relationship Type="http://schemas.openxmlformats.org/officeDocument/2006/relationships/hyperlink" Target="#'08 CROSSWALK'!A798" TargetMode="External" Id="rId801"/><Relationship Type="http://schemas.openxmlformats.org/officeDocument/2006/relationships/hyperlink" Target="#'08 CROSSWALK'!A799" TargetMode="External" Id="rId802"/><Relationship Type="http://schemas.openxmlformats.org/officeDocument/2006/relationships/hyperlink" Target="#'08 CROSSWALK'!A800" TargetMode="External" Id="rId803"/><Relationship Type="http://schemas.openxmlformats.org/officeDocument/2006/relationships/hyperlink" Target="#'08 CROSSWALK'!A801" TargetMode="External" Id="rId804"/><Relationship Type="http://schemas.openxmlformats.org/officeDocument/2006/relationships/hyperlink" Target="#'08 CROSSWALK'!A802" TargetMode="External" Id="rId805"/><Relationship Type="http://schemas.openxmlformats.org/officeDocument/2006/relationships/hyperlink" Target="#'08 CROSSWALK'!A803" TargetMode="External" Id="rId806"/><Relationship Type="http://schemas.openxmlformats.org/officeDocument/2006/relationships/hyperlink" Target="#'08 CROSSWALK'!A804" TargetMode="External" Id="rId807"/><Relationship Type="http://schemas.openxmlformats.org/officeDocument/2006/relationships/hyperlink" Target="#'08 CROSSWALK'!A805" TargetMode="External" Id="rId808"/><Relationship Type="http://schemas.openxmlformats.org/officeDocument/2006/relationships/hyperlink" Target="#'08 CROSSWALK'!A806" TargetMode="External" Id="rId809"/><Relationship Type="http://schemas.openxmlformats.org/officeDocument/2006/relationships/hyperlink" Target="#'08 CROSSWALK'!A807" TargetMode="External" Id="rId810"/><Relationship Type="http://schemas.openxmlformats.org/officeDocument/2006/relationships/hyperlink" Target="#'08 CROSSWALK'!A808" TargetMode="External" Id="rId811"/><Relationship Type="http://schemas.openxmlformats.org/officeDocument/2006/relationships/hyperlink" Target="#'08 CROSSWALK'!A809" TargetMode="External" Id="rId812"/><Relationship Type="http://schemas.openxmlformats.org/officeDocument/2006/relationships/hyperlink" Target="#'08 CROSSWALK'!A810" TargetMode="External" Id="rId813"/><Relationship Type="http://schemas.openxmlformats.org/officeDocument/2006/relationships/hyperlink" Target="#'08 CROSSWALK'!A811" TargetMode="External" Id="rId814"/><Relationship Type="http://schemas.openxmlformats.org/officeDocument/2006/relationships/hyperlink" Target="#'08 CROSSWALK'!A812" TargetMode="External" Id="rId815"/><Relationship Type="http://schemas.openxmlformats.org/officeDocument/2006/relationships/hyperlink" Target="#'08 CROSSWALK'!A813" TargetMode="External" Id="rId816"/><Relationship Type="http://schemas.openxmlformats.org/officeDocument/2006/relationships/hyperlink" Target="#'08 CROSSWALK'!A814" TargetMode="External" Id="rId817"/><Relationship Type="http://schemas.openxmlformats.org/officeDocument/2006/relationships/hyperlink" Target="#'08 CROSSWALK'!A815" TargetMode="External" Id="rId818"/><Relationship Type="http://schemas.openxmlformats.org/officeDocument/2006/relationships/hyperlink" Target="#'08 CROSSWALK'!A816" TargetMode="External" Id="rId819"/><Relationship Type="http://schemas.openxmlformats.org/officeDocument/2006/relationships/hyperlink" Target="#'08 CROSSWALK'!A817" TargetMode="External" Id="rId820"/><Relationship Type="http://schemas.openxmlformats.org/officeDocument/2006/relationships/hyperlink" Target="#'08 CROSSWALK'!A818" TargetMode="External" Id="rId821"/><Relationship Type="http://schemas.openxmlformats.org/officeDocument/2006/relationships/hyperlink" Target="#'08 CROSSWALK'!A819" TargetMode="External" Id="rId822"/><Relationship Type="http://schemas.openxmlformats.org/officeDocument/2006/relationships/hyperlink" Target="#'08 CROSSWALK'!A820" TargetMode="External" Id="rId823"/><Relationship Type="http://schemas.openxmlformats.org/officeDocument/2006/relationships/hyperlink" Target="#'08 CROSSWALK'!A821" TargetMode="External" Id="rId824"/><Relationship Type="http://schemas.openxmlformats.org/officeDocument/2006/relationships/hyperlink" Target="#'08 CROSSWALK'!A822" TargetMode="External" Id="rId825"/><Relationship Type="http://schemas.openxmlformats.org/officeDocument/2006/relationships/hyperlink" Target="#'08 CROSSWALK'!A823" TargetMode="External" Id="rId826"/><Relationship Type="http://schemas.openxmlformats.org/officeDocument/2006/relationships/hyperlink" Target="#'08 CROSSWALK'!A824" TargetMode="External" Id="rId827"/><Relationship Type="http://schemas.openxmlformats.org/officeDocument/2006/relationships/hyperlink" Target="#'08 CROSSWALK'!A825" TargetMode="External" Id="rId828"/><Relationship Type="http://schemas.openxmlformats.org/officeDocument/2006/relationships/hyperlink" Target="#'08 CROSSWALK'!A826" TargetMode="External" Id="rId829"/><Relationship Type="http://schemas.openxmlformats.org/officeDocument/2006/relationships/hyperlink" Target="#'08 CROSSWALK'!A827" TargetMode="External" Id="rId830"/><Relationship Type="http://schemas.openxmlformats.org/officeDocument/2006/relationships/hyperlink" Target="#'08 CROSSWALK'!A828" TargetMode="External" Id="rId831"/><Relationship Type="http://schemas.openxmlformats.org/officeDocument/2006/relationships/hyperlink" Target="#'08 CROSSWALK'!A829" TargetMode="External" Id="rId832"/><Relationship Type="http://schemas.openxmlformats.org/officeDocument/2006/relationships/hyperlink" Target="#'08 CROSSWALK'!A830" TargetMode="External" Id="rId833"/><Relationship Type="http://schemas.openxmlformats.org/officeDocument/2006/relationships/hyperlink" Target="#'08 CROSSWALK'!A831" TargetMode="External" Id="rId834"/><Relationship Type="http://schemas.openxmlformats.org/officeDocument/2006/relationships/hyperlink" Target="#'08 CROSSWALK'!A832" TargetMode="External" Id="rId835"/><Relationship Type="http://schemas.openxmlformats.org/officeDocument/2006/relationships/hyperlink" Target="#'08 CROSSWALK'!A833" TargetMode="External" Id="rId836"/><Relationship Type="http://schemas.openxmlformats.org/officeDocument/2006/relationships/hyperlink" Target="#'08 CROSSWALK'!A834" TargetMode="External" Id="rId837"/><Relationship Type="http://schemas.openxmlformats.org/officeDocument/2006/relationships/hyperlink" Target="#'08 CROSSWALK'!A835" TargetMode="External" Id="rId838"/><Relationship Type="http://schemas.openxmlformats.org/officeDocument/2006/relationships/hyperlink" Target="#'08 CROSSWALK'!A836" TargetMode="External" Id="rId839"/><Relationship Type="http://schemas.openxmlformats.org/officeDocument/2006/relationships/hyperlink" Target="#'08 CROSSWALK'!A837" TargetMode="External" Id="rId840"/><Relationship Type="http://schemas.openxmlformats.org/officeDocument/2006/relationships/hyperlink" Target="#'08 CROSSWALK'!A838" TargetMode="External" Id="rId841"/><Relationship Type="http://schemas.openxmlformats.org/officeDocument/2006/relationships/hyperlink" Target="#'08 CROSSWALK'!A839" TargetMode="External" Id="rId842"/><Relationship Type="http://schemas.openxmlformats.org/officeDocument/2006/relationships/hyperlink" Target="#'08 CROSSWALK'!A840" TargetMode="External" Id="rId843"/><Relationship Type="http://schemas.openxmlformats.org/officeDocument/2006/relationships/hyperlink" Target="#'08 CROSSWALK'!A841" TargetMode="External" Id="rId844"/><Relationship Type="http://schemas.openxmlformats.org/officeDocument/2006/relationships/hyperlink" Target="#'08 CROSSWALK'!A842" TargetMode="External" Id="rId845"/><Relationship Type="http://schemas.openxmlformats.org/officeDocument/2006/relationships/hyperlink" Target="#'08 CROSSWALK'!A843" TargetMode="External" Id="rId846"/><Relationship Type="http://schemas.openxmlformats.org/officeDocument/2006/relationships/hyperlink" Target="#'08 CROSSWALK'!A844" TargetMode="External" Id="rId847"/><Relationship Type="http://schemas.openxmlformats.org/officeDocument/2006/relationships/hyperlink" Target="#'08 CROSSWALK'!A845" TargetMode="External" Id="rId848"/><Relationship Type="http://schemas.openxmlformats.org/officeDocument/2006/relationships/hyperlink" Target="#'08 CROSSWALK'!A846" TargetMode="External" Id="rId849"/><Relationship Type="http://schemas.openxmlformats.org/officeDocument/2006/relationships/hyperlink" Target="#'08 CROSSWALK'!A847" TargetMode="External" Id="rId850"/><Relationship Type="http://schemas.openxmlformats.org/officeDocument/2006/relationships/hyperlink" Target="#'08 CROSSWALK'!A848" TargetMode="External" Id="rId851"/><Relationship Type="http://schemas.openxmlformats.org/officeDocument/2006/relationships/hyperlink" Target="#'08 CROSSWALK'!A849" TargetMode="External" Id="rId852"/><Relationship Type="http://schemas.openxmlformats.org/officeDocument/2006/relationships/hyperlink" Target="#'08 CROSSWALK'!A850" TargetMode="External" Id="rId853"/><Relationship Type="http://schemas.openxmlformats.org/officeDocument/2006/relationships/hyperlink" Target="#'08 CROSSWALK'!A851" TargetMode="External" Id="rId854"/><Relationship Type="http://schemas.openxmlformats.org/officeDocument/2006/relationships/hyperlink" Target="#'08 CROSSWALK'!A852" TargetMode="External" Id="rId855"/><Relationship Type="http://schemas.openxmlformats.org/officeDocument/2006/relationships/hyperlink" Target="#'08 CROSSWALK'!A853" TargetMode="External" Id="rId856"/><Relationship Type="http://schemas.openxmlformats.org/officeDocument/2006/relationships/hyperlink" Target="#'08 CROSSWALK'!A854" TargetMode="External" Id="rId857"/><Relationship Type="http://schemas.openxmlformats.org/officeDocument/2006/relationships/hyperlink" Target="#'08 CROSSWALK'!A855" TargetMode="External" Id="rId858"/><Relationship Type="http://schemas.openxmlformats.org/officeDocument/2006/relationships/hyperlink" Target="#'08 CROSSWALK'!A856" TargetMode="External" Id="rId859"/><Relationship Type="http://schemas.openxmlformats.org/officeDocument/2006/relationships/hyperlink" Target="#'08 CROSSWALK'!A857" TargetMode="External" Id="rId860"/><Relationship Type="http://schemas.openxmlformats.org/officeDocument/2006/relationships/hyperlink" Target="#'08 CROSSWALK'!A858" TargetMode="External" Id="rId861"/><Relationship Type="http://schemas.openxmlformats.org/officeDocument/2006/relationships/hyperlink" Target="#'08 CROSSWALK'!A859" TargetMode="External" Id="rId862"/><Relationship Type="http://schemas.openxmlformats.org/officeDocument/2006/relationships/hyperlink" Target="#'08 CROSSWALK'!A860" TargetMode="External" Id="rId863"/><Relationship Type="http://schemas.openxmlformats.org/officeDocument/2006/relationships/hyperlink" Target="#'08 CROSSWALK'!A861" TargetMode="External" Id="rId864"/><Relationship Type="http://schemas.openxmlformats.org/officeDocument/2006/relationships/hyperlink" Target="#'08 CROSSWALK'!A862" TargetMode="External" Id="rId865"/><Relationship Type="http://schemas.openxmlformats.org/officeDocument/2006/relationships/hyperlink" Target="#'08 CROSSWALK'!A863" TargetMode="External" Id="rId866"/><Relationship Type="http://schemas.openxmlformats.org/officeDocument/2006/relationships/hyperlink" Target="#'08 CROSSWALK'!A864" TargetMode="External" Id="rId867"/><Relationship Type="http://schemas.openxmlformats.org/officeDocument/2006/relationships/hyperlink" Target="#'08 CROSSWALK'!A865" TargetMode="External" Id="rId868"/><Relationship Type="http://schemas.openxmlformats.org/officeDocument/2006/relationships/hyperlink" Target="#'08 CROSSWALK'!A866" TargetMode="External" Id="rId869"/><Relationship Type="http://schemas.openxmlformats.org/officeDocument/2006/relationships/hyperlink" Target="#'08 CROSSWALK'!A867" TargetMode="External" Id="rId870"/><Relationship Type="http://schemas.openxmlformats.org/officeDocument/2006/relationships/hyperlink" Target="#'08 CROSSWALK'!A868" TargetMode="External" Id="rId871"/><Relationship Type="http://schemas.openxmlformats.org/officeDocument/2006/relationships/hyperlink" Target="#'08 CROSSWALK'!A869" TargetMode="External" Id="rId872"/><Relationship Type="http://schemas.openxmlformats.org/officeDocument/2006/relationships/hyperlink" Target="#'08 CROSSWALK'!A870" TargetMode="External" Id="rId873"/><Relationship Type="http://schemas.openxmlformats.org/officeDocument/2006/relationships/hyperlink" Target="#'08 CROSSWALK'!A871" TargetMode="External" Id="rId874"/><Relationship Type="http://schemas.openxmlformats.org/officeDocument/2006/relationships/hyperlink" Target="#'08 CROSSWALK'!A872" TargetMode="External" Id="rId875"/><Relationship Type="http://schemas.openxmlformats.org/officeDocument/2006/relationships/hyperlink" Target="#'08 CROSSWALK'!A873" TargetMode="External" Id="rId876"/><Relationship Type="http://schemas.openxmlformats.org/officeDocument/2006/relationships/hyperlink" Target="#'08 CROSSWALK'!A874" TargetMode="External" Id="rId877"/><Relationship Type="http://schemas.openxmlformats.org/officeDocument/2006/relationships/hyperlink" Target="#'08 CROSSWALK'!A875" TargetMode="External" Id="rId878"/><Relationship Type="http://schemas.openxmlformats.org/officeDocument/2006/relationships/hyperlink" Target="#'08 CROSSWALK'!A876" TargetMode="External" Id="rId879"/><Relationship Type="http://schemas.openxmlformats.org/officeDocument/2006/relationships/hyperlink" Target="#'08 CROSSWALK'!A877" TargetMode="External" Id="rId880"/><Relationship Type="http://schemas.openxmlformats.org/officeDocument/2006/relationships/hyperlink" Target="#'08 CROSSWALK'!A878" TargetMode="External" Id="rId881"/><Relationship Type="http://schemas.openxmlformats.org/officeDocument/2006/relationships/hyperlink" Target="#'08 CROSSWALK'!A879" TargetMode="External" Id="rId882"/><Relationship Type="http://schemas.openxmlformats.org/officeDocument/2006/relationships/hyperlink" Target="#'08 CROSSWALK'!A880" TargetMode="External" Id="rId883"/><Relationship Type="http://schemas.openxmlformats.org/officeDocument/2006/relationships/hyperlink" Target="#'08 CROSSWALK'!A881" TargetMode="External" Id="rId884"/><Relationship Type="http://schemas.openxmlformats.org/officeDocument/2006/relationships/hyperlink" Target="#'08 CROSSWALK'!A882" TargetMode="External" Id="rId885"/><Relationship Type="http://schemas.openxmlformats.org/officeDocument/2006/relationships/hyperlink" Target="#'08 CROSSWALK'!A883" TargetMode="External" Id="rId886"/><Relationship Type="http://schemas.openxmlformats.org/officeDocument/2006/relationships/hyperlink" Target="#'08 CROSSWALK'!A884" TargetMode="External" Id="rId887"/><Relationship Type="http://schemas.openxmlformats.org/officeDocument/2006/relationships/hyperlink" Target="#'08 CROSSWALK'!A885" TargetMode="External" Id="rId888"/><Relationship Type="http://schemas.openxmlformats.org/officeDocument/2006/relationships/hyperlink" Target="#'08 CROSSWALK'!A886" TargetMode="External" Id="rId889"/><Relationship Type="http://schemas.openxmlformats.org/officeDocument/2006/relationships/hyperlink" Target="#'08 CROSSWALK'!A887" TargetMode="External" Id="rId890"/><Relationship Type="http://schemas.openxmlformats.org/officeDocument/2006/relationships/hyperlink" Target="#'08 CROSSWALK'!A888" TargetMode="External" Id="rId891"/><Relationship Type="http://schemas.openxmlformats.org/officeDocument/2006/relationships/hyperlink" Target="#'08 CROSSWALK'!A889" TargetMode="External" Id="rId892"/><Relationship Type="http://schemas.openxmlformats.org/officeDocument/2006/relationships/hyperlink" Target="#'08 CROSSWALK'!A890" TargetMode="External" Id="rId893"/><Relationship Type="http://schemas.openxmlformats.org/officeDocument/2006/relationships/hyperlink" Target="#'08 CROSSWALK'!A891" TargetMode="External" Id="rId894"/><Relationship Type="http://schemas.openxmlformats.org/officeDocument/2006/relationships/hyperlink" Target="#'08 CROSSWALK'!A892" TargetMode="External" Id="rId895"/><Relationship Type="http://schemas.openxmlformats.org/officeDocument/2006/relationships/hyperlink" Target="#'08 CROSSWALK'!A893" TargetMode="External" Id="rId896"/><Relationship Type="http://schemas.openxmlformats.org/officeDocument/2006/relationships/hyperlink" Target="#'08 CROSSWALK'!A894" TargetMode="External" Id="rId897"/><Relationship Type="http://schemas.openxmlformats.org/officeDocument/2006/relationships/hyperlink" Target="#'08 CROSSWALK'!A895" TargetMode="External" Id="rId898"/><Relationship Type="http://schemas.openxmlformats.org/officeDocument/2006/relationships/hyperlink" Target="#'08 CROSSWALK'!A896" TargetMode="External" Id="rId899"/><Relationship Type="http://schemas.openxmlformats.org/officeDocument/2006/relationships/hyperlink" Target="#'08 CROSSWALK'!A897" TargetMode="External" Id="rId900"/><Relationship Type="http://schemas.openxmlformats.org/officeDocument/2006/relationships/hyperlink" Target="#'08 CROSSWALK'!A898" TargetMode="External" Id="rId901"/><Relationship Type="http://schemas.openxmlformats.org/officeDocument/2006/relationships/hyperlink" Target="#'08 CROSSWALK'!A899" TargetMode="External" Id="rId902"/><Relationship Type="http://schemas.openxmlformats.org/officeDocument/2006/relationships/hyperlink" Target="#'08 CROSSWALK'!A900" TargetMode="External" Id="rId903"/><Relationship Type="http://schemas.openxmlformats.org/officeDocument/2006/relationships/hyperlink" Target="#'08 CROSSWALK'!A901" TargetMode="External" Id="rId904"/><Relationship Type="http://schemas.openxmlformats.org/officeDocument/2006/relationships/hyperlink" Target="#'08 CROSSWALK'!A902" TargetMode="External" Id="rId905"/><Relationship Type="http://schemas.openxmlformats.org/officeDocument/2006/relationships/hyperlink" Target="#'08 CROSSWALK'!A903" TargetMode="External" Id="rId906"/><Relationship Type="http://schemas.openxmlformats.org/officeDocument/2006/relationships/hyperlink" Target="#'08 CROSSWALK'!A904" TargetMode="External" Id="rId907"/><Relationship Type="http://schemas.openxmlformats.org/officeDocument/2006/relationships/hyperlink" Target="#'08 CROSSWALK'!A905" TargetMode="External" Id="rId908"/><Relationship Type="http://schemas.openxmlformats.org/officeDocument/2006/relationships/hyperlink" Target="#'08 CROSSWALK'!A906" TargetMode="External" Id="rId909"/><Relationship Type="http://schemas.openxmlformats.org/officeDocument/2006/relationships/hyperlink" Target="#'08 CROSSWALK'!A907" TargetMode="External" Id="rId910"/><Relationship Type="http://schemas.openxmlformats.org/officeDocument/2006/relationships/hyperlink" Target="#'08 CROSSWALK'!A908" TargetMode="External" Id="rId911"/><Relationship Type="http://schemas.openxmlformats.org/officeDocument/2006/relationships/hyperlink" Target="#'08 CROSSWALK'!A909" TargetMode="External" Id="rId912"/><Relationship Type="http://schemas.openxmlformats.org/officeDocument/2006/relationships/hyperlink" Target="#'08 CROSSWALK'!A910" TargetMode="External" Id="rId913"/><Relationship Type="http://schemas.openxmlformats.org/officeDocument/2006/relationships/hyperlink" Target="#'08 CROSSWALK'!A911" TargetMode="External" Id="rId914"/><Relationship Type="http://schemas.openxmlformats.org/officeDocument/2006/relationships/hyperlink" Target="#'08 CROSSWALK'!A912" TargetMode="External" Id="rId915"/><Relationship Type="http://schemas.openxmlformats.org/officeDocument/2006/relationships/hyperlink" Target="#'08 CROSSWALK'!A913" TargetMode="External" Id="rId916"/><Relationship Type="http://schemas.openxmlformats.org/officeDocument/2006/relationships/hyperlink" Target="#'08 CROSSWALK'!A914" TargetMode="External" Id="rId917"/><Relationship Type="http://schemas.openxmlformats.org/officeDocument/2006/relationships/hyperlink" Target="#'08 CROSSWALK'!A915" TargetMode="External" Id="rId918"/><Relationship Type="http://schemas.openxmlformats.org/officeDocument/2006/relationships/hyperlink" Target="#'08 CROSSWALK'!A916" TargetMode="External" Id="rId919"/><Relationship Type="http://schemas.openxmlformats.org/officeDocument/2006/relationships/hyperlink" Target="#'08 CROSSWALK'!A917" TargetMode="External" Id="rId920"/><Relationship Type="http://schemas.openxmlformats.org/officeDocument/2006/relationships/hyperlink" Target="#'08 CROSSWALK'!A918" TargetMode="External" Id="rId921"/><Relationship Type="http://schemas.openxmlformats.org/officeDocument/2006/relationships/hyperlink" Target="#'08 CROSSWALK'!A919" TargetMode="External" Id="rId922"/><Relationship Type="http://schemas.openxmlformats.org/officeDocument/2006/relationships/hyperlink" Target="#'08 CROSSWALK'!A920" TargetMode="External" Id="rId923"/><Relationship Type="http://schemas.openxmlformats.org/officeDocument/2006/relationships/hyperlink" Target="#'08 CROSSWALK'!A921" TargetMode="External" Id="rId924"/><Relationship Type="http://schemas.openxmlformats.org/officeDocument/2006/relationships/hyperlink" Target="#'08 CROSSWALK'!A922" TargetMode="External" Id="rId925"/><Relationship Type="http://schemas.openxmlformats.org/officeDocument/2006/relationships/hyperlink" Target="#'08 CROSSWALK'!A923" TargetMode="External" Id="rId926"/><Relationship Type="http://schemas.openxmlformats.org/officeDocument/2006/relationships/hyperlink" Target="#'08 CROSSWALK'!A924" TargetMode="External" Id="rId927"/><Relationship Type="http://schemas.openxmlformats.org/officeDocument/2006/relationships/hyperlink" Target="#'08 CROSSWALK'!A925" TargetMode="External" Id="rId928"/><Relationship Type="http://schemas.openxmlformats.org/officeDocument/2006/relationships/hyperlink" Target="#'08 CROSSWALK'!A926" TargetMode="External" Id="rId929"/><Relationship Type="http://schemas.openxmlformats.org/officeDocument/2006/relationships/hyperlink" Target="#'08 CROSSWALK'!A927" TargetMode="External" Id="rId930"/><Relationship Type="http://schemas.openxmlformats.org/officeDocument/2006/relationships/hyperlink" Target="#'08 CROSSWALK'!A928" TargetMode="External" Id="rId931"/><Relationship Type="http://schemas.openxmlformats.org/officeDocument/2006/relationships/hyperlink" Target="#'08 CROSSWALK'!A929" TargetMode="External" Id="rId932"/><Relationship Type="http://schemas.openxmlformats.org/officeDocument/2006/relationships/hyperlink" Target="#'08 CROSSWALK'!A930" TargetMode="External" Id="rId933"/><Relationship Type="http://schemas.openxmlformats.org/officeDocument/2006/relationships/hyperlink" Target="#'08 CROSSWALK'!A931" TargetMode="External" Id="rId934"/><Relationship Type="http://schemas.openxmlformats.org/officeDocument/2006/relationships/hyperlink" Target="#'08 CROSSWALK'!A932" TargetMode="External" Id="rId935"/><Relationship Type="http://schemas.openxmlformats.org/officeDocument/2006/relationships/hyperlink" Target="#'08 CROSSWALK'!A933" TargetMode="External" Id="rId936"/><Relationship Type="http://schemas.openxmlformats.org/officeDocument/2006/relationships/hyperlink" Target="#'08 CROSSWALK'!A934" TargetMode="External" Id="rId937"/><Relationship Type="http://schemas.openxmlformats.org/officeDocument/2006/relationships/hyperlink" Target="#'08 CROSSWALK'!A935" TargetMode="External" Id="rId938"/><Relationship Type="http://schemas.openxmlformats.org/officeDocument/2006/relationships/hyperlink" Target="#'08 CROSSWALK'!A936" TargetMode="External" Id="rId939"/><Relationship Type="http://schemas.openxmlformats.org/officeDocument/2006/relationships/hyperlink" Target="#'08 CROSSWALK'!A937" TargetMode="External" Id="rId940"/><Relationship Type="http://schemas.openxmlformats.org/officeDocument/2006/relationships/hyperlink" Target="#'08 CROSSWALK'!A938" TargetMode="External" Id="rId941"/><Relationship Type="http://schemas.openxmlformats.org/officeDocument/2006/relationships/hyperlink" Target="#'08 CROSSWALK'!A939" TargetMode="External" Id="rId942"/><Relationship Type="http://schemas.openxmlformats.org/officeDocument/2006/relationships/hyperlink" Target="#'08 CROSSWALK'!A940" TargetMode="External" Id="rId943"/><Relationship Type="http://schemas.openxmlformats.org/officeDocument/2006/relationships/hyperlink" Target="#'08 CROSSWALK'!A941" TargetMode="External" Id="rId944"/><Relationship Type="http://schemas.openxmlformats.org/officeDocument/2006/relationships/hyperlink" Target="#'08 CROSSWALK'!A942" TargetMode="External" Id="rId945"/><Relationship Type="http://schemas.openxmlformats.org/officeDocument/2006/relationships/hyperlink" Target="#'08 CROSSWALK'!A943" TargetMode="External" Id="rId946"/><Relationship Type="http://schemas.openxmlformats.org/officeDocument/2006/relationships/hyperlink" Target="#'08 CROSSWALK'!A944" TargetMode="External" Id="rId947"/><Relationship Type="http://schemas.openxmlformats.org/officeDocument/2006/relationships/hyperlink" Target="#'08 CROSSWALK'!A945" TargetMode="External" Id="rId948"/><Relationship Type="http://schemas.openxmlformats.org/officeDocument/2006/relationships/hyperlink" Target="#'08 CROSSWALK'!A946" TargetMode="External" Id="rId949"/><Relationship Type="http://schemas.openxmlformats.org/officeDocument/2006/relationships/hyperlink" Target="#'08 CROSSWALK'!A947" TargetMode="External" Id="rId950"/><Relationship Type="http://schemas.openxmlformats.org/officeDocument/2006/relationships/hyperlink" Target="#'08 CROSSWALK'!A948" TargetMode="External" Id="rId951"/><Relationship Type="http://schemas.openxmlformats.org/officeDocument/2006/relationships/hyperlink" Target="#'08 CROSSWALK'!A949" TargetMode="External" Id="rId952"/><Relationship Type="http://schemas.openxmlformats.org/officeDocument/2006/relationships/hyperlink" Target="#'08 CROSSWALK'!A950" TargetMode="External" Id="rId953"/><Relationship Type="http://schemas.openxmlformats.org/officeDocument/2006/relationships/hyperlink" Target="#'08 CROSSWALK'!A951" TargetMode="External" Id="rId954"/><Relationship Type="http://schemas.openxmlformats.org/officeDocument/2006/relationships/hyperlink" Target="#'08 CROSSWALK'!A952" TargetMode="External" Id="rId955"/><Relationship Type="http://schemas.openxmlformats.org/officeDocument/2006/relationships/hyperlink" Target="#'08 CROSSWALK'!A953" TargetMode="External" Id="rId956"/><Relationship Type="http://schemas.openxmlformats.org/officeDocument/2006/relationships/hyperlink" Target="#'08 CROSSWALK'!A954" TargetMode="External" Id="rId957"/><Relationship Type="http://schemas.openxmlformats.org/officeDocument/2006/relationships/hyperlink" Target="#'08 CROSSWALK'!A955" TargetMode="External" Id="rId958"/><Relationship Type="http://schemas.openxmlformats.org/officeDocument/2006/relationships/hyperlink" Target="#'08 CROSSWALK'!A956" TargetMode="External" Id="rId959"/><Relationship Type="http://schemas.openxmlformats.org/officeDocument/2006/relationships/hyperlink" Target="#'08 CROSSWALK'!A957" TargetMode="External" Id="rId960"/><Relationship Type="http://schemas.openxmlformats.org/officeDocument/2006/relationships/hyperlink" Target="#'08 CROSSWALK'!A958" TargetMode="External" Id="rId961"/><Relationship Type="http://schemas.openxmlformats.org/officeDocument/2006/relationships/hyperlink" Target="#'08 CROSSWALK'!A959" TargetMode="External" Id="rId962"/><Relationship Type="http://schemas.openxmlformats.org/officeDocument/2006/relationships/hyperlink" Target="#'08 CROSSWALK'!A960" TargetMode="External" Id="rId963"/><Relationship Type="http://schemas.openxmlformats.org/officeDocument/2006/relationships/hyperlink" Target="#'08 CROSSWALK'!A961" TargetMode="External" Id="rId964"/><Relationship Type="http://schemas.openxmlformats.org/officeDocument/2006/relationships/hyperlink" Target="#'08 CROSSWALK'!A962" TargetMode="External" Id="rId965"/><Relationship Type="http://schemas.openxmlformats.org/officeDocument/2006/relationships/hyperlink" Target="#'08 CROSSWALK'!A963" TargetMode="External" Id="rId966"/><Relationship Type="http://schemas.openxmlformats.org/officeDocument/2006/relationships/hyperlink" Target="#'08 CROSSWALK'!A964" TargetMode="External" Id="rId967"/><Relationship Type="http://schemas.openxmlformats.org/officeDocument/2006/relationships/hyperlink" Target="#'08 CROSSWALK'!A965" TargetMode="External" Id="rId968"/><Relationship Type="http://schemas.openxmlformats.org/officeDocument/2006/relationships/hyperlink" Target="#'08 CROSSWALK'!A966" TargetMode="External" Id="rId969"/><Relationship Type="http://schemas.openxmlformats.org/officeDocument/2006/relationships/hyperlink" Target="#'08 CROSSWALK'!A967" TargetMode="External" Id="rId970"/><Relationship Type="http://schemas.openxmlformats.org/officeDocument/2006/relationships/hyperlink" Target="#'08 CROSSWALK'!A968" TargetMode="External" Id="rId971"/><Relationship Type="http://schemas.openxmlformats.org/officeDocument/2006/relationships/hyperlink" Target="#'08 CROSSWALK'!A969" TargetMode="External" Id="rId972"/><Relationship Type="http://schemas.openxmlformats.org/officeDocument/2006/relationships/hyperlink" Target="#'08 CROSSWALK'!A970" TargetMode="External" Id="rId973"/><Relationship Type="http://schemas.openxmlformats.org/officeDocument/2006/relationships/hyperlink" Target="#'08 CROSSWALK'!A971" TargetMode="External" Id="rId974"/><Relationship Type="http://schemas.openxmlformats.org/officeDocument/2006/relationships/hyperlink" Target="#'08 CROSSWALK'!A972" TargetMode="External" Id="rId975"/><Relationship Type="http://schemas.openxmlformats.org/officeDocument/2006/relationships/hyperlink" Target="#'08 CROSSWALK'!A973" TargetMode="External" Id="rId976"/><Relationship Type="http://schemas.openxmlformats.org/officeDocument/2006/relationships/hyperlink" Target="#'08 CROSSWALK'!A974" TargetMode="External" Id="rId977"/><Relationship Type="http://schemas.openxmlformats.org/officeDocument/2006/relationships/hyperlink" Target="#'08 CROSSWALK'!A975" TargetMode="External" Id="rId978"/><Relationship Type="http://schemas.openxmlformats.org/officeDocument/2006/relationships/hyperlink" Target="#'08 CROSSWALK'!A976" TargetMode="External" Id="rId979"/><Relationship Type="http://schemas.openxmlformats.org/officeDocument/2006/relationships/hyperlink" Target="#'08 CROSSWALK'!A977" TargetMode="External" Id="rId980"/><Relationship Type="http://schemas.openxmlformats.org/officeDocument/2006/relationships/hyperlink" Target="#'08 CROSSWALK'!A978" TargetMode="External" Id="rId981"/><Relationship Type="http://schemas.openxmlformats.org/officeDocument/2006/relationships/hyperlink" Target="#'08 CROSSWALK'!A979" TargetMode="External" Id="rId982"/><Relationship Type="http://schemas.openxmlformats.org/officeDocument/2006/relationships/hyperlink" Target="#'08 CROSSWALK'!A980" TargetMode="External" Id="rId983"/><Relationship Type="http://schemas.openxmlformats.org/officeDocument/2006/relationships/hyperlink" Target="#'08 CROSSWALK'!A981" TargetMode="External" Id="rId984"/><Relationship Type="http://schemas.openxmlformats.org/officeDocument/2006/relationships/hyperlink" Target="#'08 CROSSWALK'!A982" TargetMode="External" Id="rId985"/><Relationship Type="http://schemas.openxmlformats.org/officeDocument/2006/relationships/hyperlink" Target="#'08 CROSSWALK'!A983" TargetMode="External" Id="rId986"/><Relationship Type="http://schemas.openxmlformats.org/officeDocument/2006/relationships/hyperlink" Target="#'08 CROSSWALK'!A984" TargetMode="External" Id="rId987"/><Relationship Type="http://schemas.openxmlformats.org/officeDocument/2006/relationships/hyperlink" Target="#'08 CROSSWALK'!A985" TargetMode="External" Id="rId988"/><Relationship Type="http://schemas.openxmlformats.org/officeDocument/2006/relationships/hyperlink" Target="#'08 CROSSWALK'!A986" TargetMode="External" Id="rId989"/><Relationship Type="http://schemas.openxmlformats.org/officeDocument/2006/relationships/hyperlink" Target="#'08 CROSSWALK'!A987" TargetMode="External" Id="rId990"/><Relationship Type="http://schemas.openxmlformats.org/officeDocument/2006/relationships/hyperlink" Target="#'08 CROSSWALK'!A988" TargetMode="External" Id="rId991"/><Relationship Type="http://schemas.openxmlformats.org/officeDocument/2006/relationships/hyperlink" Target="#'08 CROSSWALK'!A989" TargetMode="External" Id="rId992"/><Relationship Type="http://schemas.openxmlformats.org/officeDocument/2006/relationships/hyperlink" Target="#'08 CROSSWALK'!A990" TargetMode="External" Id="rId993"/><Relationship Type="http://schemas.openxmlformats.org/officeDocument/2006/relationships/hyperlink" Target="#'08 CROSSWALK'!A991" TargetMode="External" Id="rId994"/><Relationship Type="http://schemas.openxmlformats.org/officeDocument/2006/relationships/hyperlink" Target="#'08 CROSSWALK'!A992" TargetMode="External" Id="rId995"/><Relationship Type="http://schemas.openxmlformats.org/officeDocument/2006/relationships/hyperlink" Target="#'08 CROSSWALK'!A993" TargetMode="External" Id="rId996"/><Relationship Type="http://schemas.openxmlformats.org/officeDocument/2006/relationships/hyperlink" Target="#'08 CROSSWALK'!A994" TargetMode="External" Id="rId997"/><Relationship Type="http://schemas.openxmlformats.org/officeDocument/2006/relationships/hyperlink" Target="#'08 CROSSWALK'!A995" TargetMode="External" Id="rId998"/><Relationship Type="http://schemas.openxmlformats.org/officeDocument/2006/relationships/hyperlink" Target="#'08 CROSSWALK'!A996" TargetMode="External" Id="rId999"/><Relationship Type="http://schemas.openxmlformats.org/officeDocument/2006/relationships/hyperlink" Target="#'08 CROSSWALK'!A997" TargetMode="External" Id="rId1000"/><Relationship Type="http://schemas.openxmlformats.org/officeDocument/2006/relationships/hyperlink" Target="#'08 CROSSWALK'!A998" TargetMode="External" Id="rId1001"/><Relationship Type="http://schemas.openxmlformats.org/officeDocument/2006/relationships/hyperlink" Target="#'08 CROSSWALK'!A999" TargetMode="External" Id="rId1002"/><Relationship Type="http://schemas.openxmlformats.org/officeDocument/2006/relationships/hyperlink" Target="#'08 CROSSWALK'!A1000" TargetMode="External" Id="rId1003"/><Relationship Type="http://schemas.openxmlformats.org/officeDocument/2006/relationships/hyperlink" Target="#'08 CROSSWALK'!A1001" TargetMode="External" Id="rId1004"/><Relationship Type="http://schemas.openxmlformats.org/officeDocument/2006/relationships/hyperlink" Target="#'08 CROSSWALK'!A1002" TargetMode="External" Id="rId1005"/><Relationship Type="http://schemas.openxmlformats.org/officeDocument/2006/relationships/hyperlink" Target="#'08 CROSSWALK'!A1003" TargetMode="External" Id="rId1006"/><Relationship Type="http://schemas.openxmlformats.org/officeDocument/2006/relationships/hyperlink" Target="#'08 CROSSWALK'!A1004" TargetMode="External" Id="rId1007"/><Relationship Type="http://schemas.openxmlformats.org/officeDocument/2006/relationships/hyperlink" Target="#'08 CROSSWALK'!A1005" TargetMode="External" Id="rId1008"/><Relationship Type="http://schemas.openxmlformats.org/officeDocument/2006/relationships/hyperlink" Target="#'08 CROSSWALK'!A1006" TargetMode="External" Id="rId1009"/><Relationship Type="http://schemas.openxmlformats.org/officeDocument/2006/relationships/hyperlink" Target="#'08 CROSSWALK'!A1007" TargetMode="External" Id="rId1010"/><Relationship Type="http://schemas.openxmlformats.org/officeDocument/2006/relationships/hyperlink" Target="#'08 CROSSWALK'!A1008" TargetMode="External" Id="rId1011"/><Relationship Type="http://schemas.openxmlformats.org/officeDocument/2006/relationships/hyperlink" Target="#'08 CROSSWALK'!A1009" TargetMode="External" Id="rId1012"/><Relationship Type="http://schemas.openxmlformats.org/officeDocument/2006/relationships/hyperlink" Target="#'08 CROSSWALK'!A1010" TargetMode="External" Id="rId1013"/><Relationship Type="http://schemas.openxmlformats.org/officeDocument/2006/relationships/hyperlink" Target="#'08 CROSSWALK'!A1011" TargetMode="External" Id="rId1014"/><Relationship Type="http://schemas.openxmlformats.org/officeDocument/2006/relationships/hyperlink" Target="#'08 CROSSWALK'!A1012" TargetMode="External" Id="rId1015"/><Relationship Type="http://schemas.openxmlformats.org/officeDocument/2006/relationships/hyperlink" Target="#'08 CROSSWALK'!A1013" TargetMode="External" Id="rId1016"/><Relationship Type="http://schemas.openxmlformats.org/officeDocument/2006/relationships/hyperlink" Target="#'08 CROSSWALK'!A1014" TargetMode="External" Id="rId1017"/><Relationship Type="http://schemas.openxmlformats.org/officeDocument/2006/relationships/hyperlink" Target="#'08 CROSSWALK'!A1015" TargetMode="External" Id="rId1018"/><Relationship Type="http://schemas.openxmlformats.org/officeDocument/2006/relationships/hyperlink" Target="#'08 CROSSWALK'!A1016" TargetMode="External" Id="rId1019"/><Relationship Type="http://schemas.openxmlformats.org/officeDocument/2006/relationships/hyperlink" Target="#'08 CROSSWALK'!A1017" TargetMode="External" Id="rId1020"/><Relationship Type="http://schemas.openxmlformats.org/officeDocument/2006/relationships/hyperlink" Target="#'08 CROSSWALK'!A1018" TargetMode="External" Id="rId1021"/><Relationship Type="http://schemas.openxmlformats.org/officeDocument/2006/relationships/hyperlink" Target="#'08 CROSSWALK'!A1019" TargetMode="External" Id="rId1022"/><Relationship Type="http://schemas.openxmlformats.org/officeDocument/2006/relationships/hyperlink" Target="#'08 CROSSWALK'!A1020" TargetMode="External" Id="rId1023"/><Relationship Type="http://schemas.openxmlformats.org/officeDocument/2006/relationships/hyperlink" Target="#'08 CROSSWALK'!A1021" TargetMode="External" Id="rId1024"/><Relationship Type="http://schemas.openxmlformats.org/officeDocument/2006/relationships/hyperlink" Target="#'08 CROSSWALK'!A1022" TargetMode="External" Id="rId1025"/><Relationship Type="http://schemas.openxmlformats.org/officeDocument/2006/relationships/hyperlink" Target="#'08 CROSSWALK'!A1023" TargetMode="External" Id="rId1026"/><Relationship Type="http://schemas.openxmlformats.org/officeDocument/2006/relationships/hyperlink" Target="#'08 CROSSWALK'!A1024" TargetMode="External" Id="rId1027"/><Relationship Type="http://schemas.openxmlformats.org/officeDocument/2006/relationships/hyperlink" Target="#'08 CROSSWALK'!A1025" TargetMode="External" Id="rId1028"/><Relationship Type="http://schemas.openxmlformats.org/officeDocument/2006/relationships/hyperlink" Target="#'08 CROSSWALK'!A1026" TargetMode="External" Id="rId1029"/><Relationship Type="http://schemas.openxmlformats.org/officeDocument/2006/relationships/hyperlink" Target="#'08 CROSSWALK'!A1027" TargetMode="External" Id="rId1030"/><Relationship Type="http://schemas.openxmlformats.org/officeDocument/2006/relationships/hyperlink" Target="#'08 CROSSWALK'!A1028" TargetMode="External" Id="rId1031"/><Relationship Type="http://schemas.openxmlformats.org/officeDocument/2006/relationships/hyperlink" Target="#'08 CROSSWALK'!A1029" TargetMode="External" Id="rId1032"/><Relationship Type="http://schemas.openxmlformats.org/officeDocument/2006/relationships/hyperlink" Target="#'08 CROSSWALK'!A1030" TargetMode="External" Id="rId1033"/><Relationship Type="http://schemas.openxmlformats.org/officeDocument/2006/relationships/hyperlink" Target="#'08 CROSSWALK'!A1031" TargetMode="External" Id="rId1034"/><Relationship Type="http://schemas.openxmlformats.org/officeDocument/2006/relationships/hyperlink" Target="#'08 CROSSWALK'!A1032" TargetMode="External" Id="rId1035"/><Relationship Type="http://schemas.openxmlformats.org/officeDocument/2006/relationships/hyperlink" Target="#'08 CROSSWALK'!A1033" TargetMode="External" Id="rId1036"/><Relationship Type="http://schemas.openxmlformats.org/officeDocument/2006/relationships/hyperlink" Target="#'08 CROSSWALK'!A1034" TargetMode="External" Id="rId1037"/><Relationship Type="http://schemas.openxmlformats.org/officeDocument/2006/relationships/hyperlink" Target="#'08 CROSSWALK'!A1035" TargetMode="External" Id="rId1038"/><Relationship Type="http://schemas.openxmlformats.org/officeDocument/2006/relationships/hyperlink" Target="#'08 CROSSWALK'!A1036" TargetMode="External" Id="rId1039"/><Relationship Type="http://schemas.openxmlformats.org/officeDocument/2006/relationships/hyperlink" Target="#'08 CROSSWALK'!A1037" TargetMode="External" Id="rId1040"/><Relationship Type="http://schemas.openxmlformats.org/officeDocument/2006/relationships/hyperlink" Target="#'08 CROSSWALK'!A1038" TargetMode="External" Id="rId1041"/><Relationship Type="http://schemas.openxmlformats.org/officeDocument/2006/relationships/hyperlink" Target="#'08 CROSSWALK'!A1039" TargetMode="External" Id="rId1042"/><Relationship Type="http://schemas.openxmlformats.org/officeDocument/2006/relationships/hyperlink" Target="#'08 CROSSWALK'!A1040" TargetMode="External" Id="rId1043"/><Relationship Type="http://schemas.openxmlformats.org/officeDocument/2006/relationships/hyperlink" Target="#'08 CROSSWALK'!A1041" TargetMode="External" Id="rId1044"/><Relationship Type="http://schemas.openxmlformats.org/officeDocument/2006/relationships/hyperlink" Target="#'08 CROSSWALK'!A1042" TargetMode="External" Id="rId1045"/><Relationship Type="http://schemas.openxmlformats.org/officeDocument/2006/relationships/hyperlink" Target="#'08 CROSSWALK'!A1043" TargetMode="External" Id="rId1046"/><Relationship Type="http://schemas.openxmlformats.org/officeDocument/2006/relationships/hyperlink" Target="#'08 CROSSWALK'!A1044" TargetMode="External" Id="rId1047"/><Relationship Type="http://schemas.openxmlformats.org/officeDocument/2006/relationships/hyperlink" Target="#'08 CROSSWALK'!A1045" TargetMode="External" Id="rId1048"/><Relationship Type="http://schemas.openxmlformats.org/officeDocument/2006/relationships/hyperlink" Target="#'08 CROSSWALK'!A1046" TargetMode="External" Id="rId1049"/><Relationship Type="http://schemas.openxmlformats.org/officeDocument/2006/relationships/hyperlink" Target="#'08 CROSSWALK'!A1047" TargetMode="External" Id="rId1050"/><Relationship Type="http://schemas.openxmlformats.org/officeDocument/2006/relationships/hyperlink" Target="#'08 CROSSWALK'!A1048" TargetMode="External" Id="rId1051"/><Relationship Type="http://schemas.openxmlformats.org/officeDocument/2006/relationships/hyperlink" Target="#'08 CROSSWALK'!A1049" TargetMode="External" Id="rId1052"/><Relationship Type="http://schemas.openxmlformats.org/officeDocument/2006/relationships/hyperlink" Target="#'08 CROSSWALK'!A1050" TargetMode="External" Id="rId1053"/><Relationship Type="http://schemas.openxmlformats.org/officeDocument/2006/relationships/hyperlink" Target="#'08 CROSSWALK'!A1051" TargetMode="External" Id="rId1054"/><Relationship Type="http://schemas.openxmlformats.org/officeDocument/2006/relationships/hyperlink" Target="#'08 CROSSWALK'!A1052" TargetMode="External" Id="rId1055"/><Relationship Type="http://schemas.openxmlformats.org/officeDocument/2006/relationships/hyperlink" Target="#'08 CROSSWALK'!A1053" TargetMode="External" Id="rId1056"/><Relationship Type="http://schemas.openxmlformats.org/officeDocument/2006/relationships/hyperlink" Target="#'08 CROSSWALK'!A1054" TargetMode="External" Id="rId1057"/><Relationship Type="http://schemas.openxmlformats.org/officeDocument/2006/relationships/hyperlink" Target="#'08 CROSSWALK'!A1055" TargetMode="External" Id="rId1058"/><Relationship Type="http://schemas.openxmlformats.org/officeDocument/2006/relationships/hyperlink" Target="#'08 CROSSWALK'!A1056" TargetMode="External" Id="rId1059"/><Relationship Type="http://schemas.openxmlformats.org/officeDocument/2006/relationships/hyperlink" Target="#'08 CROSSWALK'!A1057" TargetMode="External" Id="rId1060"/><Relationship Type="http://schemas.openxmlformats.org/officeDocument/2006/relationships/hyperlink" Target="#'08 CROSSWALK'!A1058" TargetMode="External" Id="rId1061"/><Relationship Type="http://schemas.openxmlformats.org/officeDocument/2006/relationships/hyperlink" Target="#'08 CROSSWALK'!A1059" TargetMode="External" Id="rId1062"/><Relationship Type="http://schemas.openxmlformats.org/officeDocument/2006/relationships/hyperlink" Target="#'08 CROSSWALK'!A1060" TargetMode="External" Id="rId1063"/><Relationship Type="http://schemas.openxmlformats.org/officeDocument/2006/relationships/hyperlink" Target="#'08 CROSSWALK'!A1061" TargetMode="External" Id="rId1064"/><Relationship Type="http://schemas.openxmlformats.org/officeDocument/2006/relationships/hyperlink" Target="#'08 CROSSWALK'!A1062" TargetMode="External" Id="rId1065"/><Relationship Type="http://schemas.openxmlformats.org/officeDocument/2006/relationships/hyperlink" Target="#'08 CROSSWALK'!A1063" TargetMode="External" Id="rId1066"/><Relationship Type="http://schemas.openxmlformats.org/officeDocument/2006/relationships/hyperlink" Target="#'08 CROSSWALK'!A1064" TargetMode="External" Id="rId1067"/><Relationship Type="http://schemas.openxmlformats.org/officeDocument/2006/relationships/hyperlink" Target="#'08 CROSSWALK'!A1065" TargetMode="External" Id="rId1068"/><Relationship Type="http://schemas.openxmlformats.org/officeDocument/2006/relationships/hyperlink" Target="#'08 CROSSWALK'!A1066" TargetMode="External" Id="rId1069"/><Relationship Type="http://schemas.openxmlformats.org/officeDocument/2006/relationships/hyperlink" Target="#'08 CROSSWALK'!A1067" TargetMode="External" Id="rId1070"/><Relationship Type="http://schemas.openxmlformats.org/officeDocument/2006/relationships/hyperlink" Target="#'08 CROSSWALK'!A1068" TargetMode="External" Id="rId1071"/><Relationship Type="http://schemas.openxmlformats.org/officeDocument/2006/relationships/hyperlink" Target="#'08 CROSSWALK'!A1069" TargetMode="External" Id="rId1072"/><Relationship Type="http://schemas.openxmlformats.org/officeDocument/2006/relationships/hyperlink" Target="#'08 CROSSWALK'!A1070" TargetMode="External" Id="rId1073"/><Relationship Type="http://schemas.openxmlformats.org/officeDocument/2006/relationships/hyperlink" Target="#'08 CROSSWALK'!A1071" TargetMode="External" Id="rId1074"/><Relationship Type="http://schemas.openxmlformats.org/officeDocument/2006/relationships/hyperlink" Target="#'08 CROSSWALK'!A1072" TargetMode="External" Id="rId1075"/><Relationship Type="http://schemas.openxmlformats.org/officeDocument/2006/relationships/hyperlink" Target="#'08 CROSSWALK'!A1073" TargetMode="External" Id="rId1076"/><Relationship Type="http://schemas.openxmlformats.org/officeDocument/2006/relationships/hyperlink" Target="#'08 CROSSWALK'!A1074" TargetMode="External" Id="rId1077"/><Relationship Type="http://schemas.openxmlformats.org/officeDocument/2006/relationships/hyperlink" Target="#'08 CROSSWALK'!A1075" TargetMode="External" Id="rId1078"/><Relationship Type="http://schemas.openxmlformats.org/officeDocument/2006/relationships/hyperlink" Target="#'08 CROSSWALK'!A1076" TargetMode="External" Id="rId1079"/><Relationship Type="http://schemas.openxmlformats.org/officeDocument/2006/relationships/hyperlink" Target="#'08 CROSSWALK'!A1077" TargetMode="External" Id="rId1080"/><Relationship Type="http://schemas.openxmlformats.org/officeDocument/2006/relationships/hyperlink" Target="#'08 CROSSWALK'!A1078" TargetMode="External" Id="rId1081"/><Relationship Type="http://schemas.openxmlformats.org/officeDocument/2006/relationships/hyperlink" Target="#'08 CROSSWALK'!A1079" TargetMode="External" Id="rId1082"/><Relationship Type="http://schemas.openxmlformats.org/officeDocument/2006/relationships/hyperlink" Target="#'08 CROSSWALK'!A1080" TargetMode="External" Id="rId1083"/><Relationship Type="http://schemas.openxmlformats.org/officeDocument/2006/relationships/hyperlink" Target="#'08 CROSSWALK'!A1081" TargetMode="External" Id="rId1084"/><Relationship Type="http://schemas.openxmlformats.org/officeDocument/2006/relationships/hyperlink" Target="#'08 CROSSWALK'!A1082" TargetMode="External" Id="rId1085"/><Relationship Type="http://schemas.openxmlformats.org/officeDocument/2006/relationships/hyperlink" Target="#'08 CROSSWALK'!A1083" TargetMode="External" Id="rId1086"/><Relationship Type="http://schemas.openxmlformats.org/officeDocument/2006/relationships/hyperlink" Target="#'08 CROSSWALK'!A1084" TargetMode="External" Id="rId1087"/><Relationship Type="http://schemas.openxmlformats.org/officeDocument/2006/relationships/hyperlink" Target="#'08 CROSSWALK'!A1085" TargetMode="External" Id="rId1088"/><Relationship Type="http://schemas.openxmlformats.org/officeDocument/2006/relationships/hyperlink" Target="#'08 CROSSWALK'!A1086" TargetMode="External" Id="rId1089"/><Relationship Type="http://schemas.openxmlformats.org/officeDocument/2006/relationships/hyperlink" Target="#'08 CROSSWALK'!A1087" TargetMode="External" Id="rId1090"/><Relationship Type="http://schemas.openxmlformats.org/officeDocument/2006/relationships/hyperlink" Target="#'08 CROSSWALK'!A1088" TargetMode="External" Id="rId1091"/><Relationship Type="http://schemas.openxmlformats.org/officeDocument/2006/relationships/hyperlink" Target="#'08 CROSSWALK'!A1089" TargetMode="External" Id="rId1092"/><Relationship Type="http://schemas.openxmlformats.org/officeDocument/2006/relationships/hyperlink" Target="#'08 CROSSWALK'!A1090" TargetMode="External" Id="rId1093"/><Relationship Type="http://schemas.openxmlformats.org/officeDocument/2006/relationships/hyperlink" Target="#'08 CROSSWALK'!A1091" TargetMode="External" Id="rId1094"/><Relationship Type="http://schemas.openxmlformats.org/officeDocument/2006/relationships/hyperlink" Target="#'08 CROSSWALK'!A1092" TargetMode="External" Id="rId1095"/><Relationship Type="http://schemas.openxmlformats.org/officeDocument/2006/relationships/hyperlink" Target="#'08 CROSSWALK'!A1093" TargetMode="External" Id="rId1096"/><Relationship Type="http://schemas.openxmlformats.org/officeDocument/2006/relationships/hyperlink" Target="#'08 CROSSWALK'!A1094" TargetMode="External" Id="rId1097"/><Relationship Type="http://schemas.openxmlformats.org/officeDocument/2006/relationships/hyperlink" Target="#'08 CROSSWALK'!A1095" TargetMode="External" Id="rId1098"/><Relationship Type="http://schemas.openxmlformats.org/officeDocument/2006/relationships/hyperlink" Target="#'08 CROSSWALK'!A1096" TargetMode="External" Id="rId1099"/><Relationship Type="http://schemas.openxmlformats.org/officeDocument/2006/relationships/hyperlink" Target="#'08 CROSSWALK'!A1097" TargetMode="External" Id="rId1100"/><Relationship Type="http://schemas.openxmlformats.org/officeDocument/2006/relationships/hyperlink" Target="#'08 CROSSWALK'!A1098" TargetMode="External" Id="rId1101"/><Relationship Type="http://schemas.openxmlformats.org/officeDocument/2006/relationships/hyperlink" Target="#'08 CROSSWALK'!A1099" TargetMode="External" Id="rId1102"/><Relationship Type="http://schemas.openxmlformats.org/officeDocument/2006/relationships/hyperlink" Target="#'08 CROSSWALK'!A1100" TargetMode="External" Id="rId1103"/><Relationship Type="http://schemas.openxmlformats.org/officeDocument/2006/relationships/hyperlink" Target="#'08 CROSSWALK'!A1101" TargetMode="External" Id="rId1104"/><Relationship Type="http://schemas.openxmlformats.org/officeDocument/2006/relationships/hyperlink" Target="#'08 CROSSWALK'!A1102" TargetMode="External" Id="rId1105"/><Relationship Type="http://schemas.openxmlformats.org/officeDocument/2006/relationships/hyperlink" Target="#'08 CROSSWALK'!A1103" TargetMode="External" Id="rId1106"/><Relationship Type="http://schemas.openxmlformats.org/officeDocument/2006/relationships/hyperlink" Target="#'08 CROSSWALK'!A1104" TargetMode="External" Id="rId1107"/><Relationship Type="http://schemas.openxmlformats.org/officeDocument/2006/relationships/hyperlink" Target="#'08 CROSSWALK'!A1105" TargetMode="External" Id="rId1108"/><Relationship Type="http://schemas.openxmlformats.org/officeDocument/2006/relationships/hyperlink" Target="#'08 CROSSWALK'!A1106" TargetMode="External" Id="rId1109"/><Relationship Type="http://schemas.openxmlformats.org/officeDocument/2006/relationships/hyperlink" Target="#'08 CROSSWALK'!A1107" TargetMode="External" Id="rId1110"/><Relationship Type="http://schemas.openxmlformats.org/officeDocument/2006/relationships/hyperlink" Target="#'08 CROSSWALK'!A1108" TargetMode="External" Id="rId1111"/><Relationship Type="http://schemas.openxmlformats.org/officeDocument/2006/relationships/hyperlink" Target="#'08 CROSSWALK'!A1109" TargetMode="External" Id="rId1112"/><Relationship Type="http://schemas.openxmlformats.org/officeDocument/2006/relationships/hyperlink" Target="#'08 CROSSWALK'!A1110" TargetMode="External" Id="rId1113"/><Relationship Type="http://schemas.openxmlformats.org/officeDocument/2006/relationships/hyperlink" Target="#'08 CROSSWALK'!A1111" TargetMode="External" Id="rId1114"/><Relationship Type="http://schemas.openxmlformats.org/officeDocument/2006/relationships/hyperlink" Target="#'08 CROSSWALK'!A1112" TargetMode="External" Id="rId1115"/><Relationship Type="http://schemas.openxmlformats.org/officeDocument/2006/relationships/hyperlink" Target="#'08 CROSSWALK'!A1113" TargetMode="External" Id="rId1116"/><Relationship Type="http://schemas.openxmlformats.org/officeDocument/2006/relationships/hyperlink" Target="#'08 CROSSWALK'!A1114" TargetMode="External" Id="rId1117"/><Relationship Type="http://schemas.openxmlformats.org/officeDocument/2006/relationships/hyperlink" Target="#'08 CROSSWALK'!A1115" TargetMode="External" Id="rId1118"/><Relationship Type="http://schemas.openxmlformats.org/officeDocument/2006/relationships/hyperlink" Target="#'08 CROSSWALK'!A1116" TargetMode="External" Id="rId1119"/><Relationship Type="http://schemas.openxmlformats.org/officeDocument/2006/relationships/hyperlink" Target="#'08 CROSSWALK'!A1117" TargetMode="External" Id="rId1120"/><Relationship Type="http://schemas.openxmlformats.org/officeDocument/2006/relationships/hyperlink" Target="#'08 CROSSWALK'!A1118" TargetMode="External" Id="rId1121"/><Relationship Type="http://schemas.openxmlformats.org/officeDocument/2006/relationships/hyperlink" Target="#'08 CROSSWALK'!A1119" TargetMode="External" Id="rId1122"/><Relationship Type="http://schemas.openxmlformats.org/officeDocument/2006/relationships/hyperlink" Target="#'08 CROSSWALK'!A1120" TargetMode="External" Id="rId1123"/><Relationship Type="http://schemas.openxmlformats.org/officeDocument/2006/relationships/hyperlink" Target="#'08 CROSSWALK'!A1121" TargetMode="External" Id="rId1124"/><Relationship Type="http://schemas.openxmlformats.org/officeDocument/2006/relationships/hyperlink" Target="#'08 CROSSWALK'!A1122" TargetMode="External" Id="rId1125"/><Relationship Type="http://schemas.openxmlformats.org/officeDocument/2006/relationships/hyperlink" Target="#'08 CROSSWALK'!A1123" TargetMode="External" Id="rId1126"/><Relationship Type="http://schemas.openxmlformats.org/officeDocument/2006/relationships/hyperlink" Target="#'08 CROSSWALK'!A1124" TargetMode="External" Id="rId1127"/><Relationship Type="http://schemas.openxmlformats.org/officeDocument/2006/relationships/hyperlink" Target="#'08 CROSSWALK'!A1125" TargetMode="External" Id="rId1128"/><Relationship Type="http://schemas.openxmlformats.org/officeDocument/2006/relationships/hyperlink" Target="#'08 CROSSWALK'!A1126" TargetMode="External" Id="rId1129"/><Relationship Type="http://schemas.openxmlformats.org/officeDocument/2006/relationships/hyperlink" Target="#'08 CROSSWALK'!A1127" TargetMode="External" Id="rId1130"/><Relationship Type="http://schemas.openxmlformats.org/officeDocument/2006/relationships/hyperlink" Target="#'08 CROSSWALK'!A1128" TargetMode="External" Id="rId1131"/><Relationship Type="http://schemas.openxmlformats.org/officeDocument/2006/relationships/hyperlink" Target="#'08 CROSSWALK'!A1129" TargetMode="External" Id="rId1132"/><Relationship Type="http://schemas.openxmlformats.org/officeDocument/2006/relationships/hyperlink" Target="#'08 CROSSWALK'!A1130" TargetMode="External" Id="rId1133"/><Relationship Type="http://schemas.openxmlformats.org/officeDocument/2006/relationships/hyperlink" Target="#'08 CROSSWALK'!A1131" TargetMode="External" Id="rId1134"/><Relationship Type="http://schemas.openxmlformats.org/officeDocument/2006/relationships/hyperlink" Target="#'08 CROSSWALK'!A1132" TargetMode="External" Id="rId1135"/><Relationship Type="http://schemas.openxmlformats.org/officeDocument/2006/relationships/hyperlink" Target="#'08 CROSSWALK'!A1133" TargetMode="External" Id="rId1136"/><Relationship Type="http://schemas.openxmlformats.org/officeDocument/2006/relationships/hyperlink" Target="#'08 CROSSWALK'!A1134" TargetMode="External" Id="rId1137"/><Relationship Type="http://schemas.openxmlformats.org/officeDocument/2006/relationships/hyperlink" Target="#'08 CROSSWALK'!A1135" TargetMode="External" Id="rId1138"/><Relationship Type="http://schemas.openxmlformats.org/officeDocument/2006/relationships/hyperlink" Target="#'08 CROSSWALK'!A1136" TargetMode="External" Id="rId1139"/><Relationship Type="http://schemas.openxmlformats.org/officeDocument/2006/relationships/hyperlink" Target="#'08 CROSSWALK'!A1137" TargetMode="External" Id="rId1140"/><Relationship Type="http://schemas.openxmlformats.org/officeDocument/2006/relationships/hyperlink" Target="#'08 CROSSWALK'!A1138" TargetMode="External" Id="rId1141"/><Relationship Type="http://schemas.openxmlformats.org/officeDocument/2006/relationships/hyperlink" Target="#'08 CROSSWALK'!A1139" TargetMode="External" Id="rId1142"/><Relationship Type="http://schemas.openxmlformats.org/officeDocument/2006/relationships/hyperlink" Target="#'08 CROSSWALK'!A1140" TargetMode="External" Id="rId1143"/><Relationship Type="http://schemas.openxmlformats.org/officeDocument/2006/relationships/hyperlink" Target="#'08 CROSSWALK'!A1141" TargetMode="External" Id="rId1144"/><Relationship Type="http://schemas.openxmlformats.org/officeDocument/2006/relationships/hyperlink" Target="#'08 CROSSWALK'!A1142" TargetMode="External" Id="rId1145"/><Relationship Type="http://schemas.openxmlformats.org/officeDocument/2006/relationships/hyperlink" Target="#'08 CROSSWALK'!A1143" TargetMode="External" Id="rId1146"/><Relationship Type="http://schemas.openxmlformats.org/officeDocument/2006/relationships/hyperlink" Target="#'08 CROSSWALK'!A1144" TargetMode="External" Id="rId1147"/><Relationship Type="http://schemas.openxmlformats.org/officeDocument/2006/relationships/hyperlink" Target="#'08 CROSSWALK'!A1145" TargetMode="External" Id="rId1148"/><Relationship Type="http://schemas.openxmlformats.org/officeDocument/2006/relationships/hyperlink" Target="#'08 CROSSWALK'!A1146" TargetMode="External" Id="rId1149"/><Relationship Type="http://schemas.openxmlformats.org/officeDocument/2006/relationships/hyperlink" Target="#'08 CROSSWALK'!A1147" TargetMode="External" Id="rId1150"/><Relationship Type="http://schemas.openxmlformats.org/officeDocument/2006/relationships/hyperlink" Target="#'08 CROSSWALK'!A1148" TargetMode="External" Id="rId1151"/><Relationship Type="http://schemas.openxmlformats.org/officeDocument/2006/relationships/hyperlink" Target="#'08 CROSSWALK'!A1149" TargetMode="External" Id="rId1152"/><Relationship Type="http://schemas.openxmlformats.org/officeDocument/2006/relationships/hyperlink" Target="#'08 CROSSWALK'!A1150" TargetMode="External" Id="rId1153"/><Relationship Type="http://schemas.openxmlformats.org/officeDocument/2006/relationships/hyperlink" Target="#'08 CROSSWALK'!A1151" TargetMode="External" Id="rId1154"/><Relationship Type="http://schemas.openxmlformats.org/officeDocument/2006/relationships/hyperlink" Target="#'08 CROSSWALK'!A1152" TargetMode="External" Id="rId1155"/><Relationship Type="http://schemas.openxmlformats.org/officeDocument/2006/relationships/hyperlink" Target="#'08 CROSSWALK'!A1153" TargetMode="External" Id="rId1156"/><Relationship Type="http://schemas.openxmlformats.org/officeDocument/2006/relationships/hyperlink" Target="#'08 CROSSWALK'!A1154" TargetMode="External" Id="rId1157"/><Relationship Type="http://schemas.openxmlformats.org/officeDocument/2006/relationships/hyperlink" Target="#'08 CROSSWALK'!A1155" TargetMode="External" Id="rId1158"/><Relationship Type="http://schemas.openxmlformats.org/officeDocument/2006/relationships/hyperlink" Target="#'08 CROSSWALK'!A1156" TargetMode="External" Id="rId1159"/><Relationship Type="http://schemas.openxmlformats.org/officeDocument/2006/relationships/hyperlink" Target="#'08 CROSSWALK'!A1157" TargetMode="External" Id="rId1160"/><Relationship Type="http://schemas.openxmlformats.org/officeDocument/2006/relationships/hyperlink" Target="#'08 CROSSWALK'!A1158" TargetMode="External" Id="rId1161"/><Relationship Type="http://schemas.openxmlformats.org/officeDocument/2006/relationships/hyperlink" Target="#'08 CROSSWALK'!A1159" TargetMode="External" Id="rId1162"/><Relationship Type="http://schemas.openxmlformats.org/officeDocument/2006/relationships/hyperlink" Target="#'08 CROSSWALK'!A1160" TargetMode="External" Id="rId1163"/><Relationship Type="http://schemas.openxmlformats.org/officeDocument/2006/relationships/hyperlink" Target="#'08 CROSSWALK'!A1161" TargetMode="External" Id="rId1164"/><Relationship Type="http://schemas.openxmlformats.org/officeDocument/2006/relationships/hyperlink" Target="#'08 CROSSWALK'!A1162" TargetMode="External" Id="rId1165"/><Relationship Type="http://schemas.openxmlformats.org/officeDocument/2006/relationships/hyperlink" Target="#'08 CROSSWALK'!A1163" TargetMode="External" Id="rId1166"/><Relationship Type="http://schemas.openxmlformats.org/officeDocument/2006/relationships/hyperlink" Target="#'08 CROSSWALK'!A1164" TargetMode="External" Id="rId1167"/><Relationship Type="http://schemas.openxmlformats.org/officeDocument/2006/relationships/hyperlink" Target="#'08 CROSSWALK'!A1165" TargetMode="External" Id="rId1168"/><Relationship Type="http://schemas.openxmlformats.org/officeDocument/2006/relationships/hyperlink" Target="#'08 CROSSWALK'!A1166" TargetMode="External" Id="rId1169"/><Relationship Type="http://schemas.openxmlformats.org/officeDocument/2006/relationships/hyperlink" Target="#'08 CROSSWALK'!A1167" TargetMode="External" Id="rId1170"/><Relationship Type="http://schemas.openxmlformats.org/officeDocument/2006/relationships/hyperlink" Target="#'08 CROSSWALK'!A1168" TargetMode="External" Id="rId1171"/><Relationship Type="http://schemas.openxmlformats.org/officeDocument/2006/relationships/hyperlink" Target="#'08 CROSSWALK'!A1169" TargetMode="External" Id="rId1172"/><Relationship Type="http://schemas.openxmlformats.org/officeDocument/2006/relationships/hyperlink" Target="#'08 CROSSWALK'!A1170" TargetMode="External" Id="rId1173"/><Relationship Type="http://schemas.openxmlformats.org/officeDocument/2006/relationships/hyperlink" Target="#'08 CROSSWALK'!A1171" TargetMode="External" Id="rId1174"/><Relationship Type="http://schemas.openxmlformats.org/officeDocument/2006/relationships/hyperlink" Target="#'08 CROSSWALK'!A1172" TargetMode="External" Id="rId1175"/><Relationship Type="http://schemas.openxmlformats.org/officeDocument/2006/relationships/hyperlink" Target="#'08 CROSSWALK'!A1173" TargetMode="External" Id="rId1176"/><Relationship Type="http://schemas.openxmlformats.org/officeDocument/2006/relationships/hyperlink" Target="#'08 CROSSWALK'!A1174" TargetMode="External" Id="rId1177"/><Relationship Type="http://schemas.openxmlformats.org/officeDocument/2006/relationships/hyperlink" Target="#'08 CROSSWALK'!A1175" TargetMode="External" Id="rId1178"/><Relationship Type="http://schemas.openxmlformats.org/officeDocument/2006/relationships/hyperlink" Target="#'08 CROSSWALK'!A1176" TargetMode="External" Id="rId1179"/><Relationship Type="http://schemas.openxmlformats.org/officeDocument/2006/relationships/hyperlink" Target="#'08 CROSSWALK'!A1177" TargetMode="External" Id="rId1180"/><Relationship Type="http://schemas.openxmlformats.org/officeDocument/2006/relationships/hyperlink" Target="#'08 CROSSWALK'!A1178" TargetMode="External" Id="rId1181"/><Relationship Type="http://schemas.openxmlformats.org/officeDocument/2006/relationships/hyperlink" Target="#'08 CROSSWALK'!A1179" TargetMode="External" Id="rId1182"/><Relationship Type="http://schemas.openxmlformats.org/officeDocument/2006/relationships/hyperlink" Target="#'08 CROSSWALK'!A1180" TargetMode="External" Id="rId1183"/><Relationship Type="http://schemas.openxmlformats.org/officeDocument/2006/relationships/hyperlink" Target="#'08 CROSSWALK'!A1181" TargetMode="External" Id="rId1184"/><Relationship Type="http://schemas.openxmlformats.org/officeDocument/2006/relationships/hyperlink" Target="#'08 CROSSWALK'!A1182" TargetMode="External" Id="rId1185"/><Relationship Type="http://schemas.openxmlformats.org/officeDocument/2006/relationships/hyperlink" Target="#'08 CROSSWALK'!A1183" TargetMode="External" Id="rId1186"/><Relationship Type="http://schemas.openxmlformats.org/officeDocument/2006/relationships/hyperlink" Target="#'08 CROSSWALK'!A1184" TargetMode="External" Id="rId1187"/><Relationship Type="http://schemas.openxmlformats.org/officeDocument/2006/relationships/hyperlink" Target="#'08 CROSSWALK'!A1185" TargetMode="External" Id="rId1188"/><Relationship Type="http://schemas.openxmlformats.org/officeDocument/2006/relationships/hyperlink" Target="#'08 CROSSWALK'!A1186" TargetMode="External" Id="rId1189"/><Relationship Type="http://schemas.openxmlformats.org/officeDocument/2006/relationships/hyperlink" Target="#'08 CROSSWALK'!A1187" TargetMode="External" Id="rId1190"/><Relationship Type="http://schemas.openxmlformats.org/officeDocument/2006/relationships/hyperlink" Target="#'08 CROSSWALK'!A1188" TargetMode="External" Id="rId1191"/><Relationship Type="http://schemas.openxmlformats.org/officeDocument/2006/relationships/hyperlink" Target="#'08 CROSSWALK'!A1189" TargetMode="External" Id="rId1192"/><Relationship Type="http://schemas.openxmlformats.org/officeDocument/2006/relationships/hyperlink" Target="#'08 CROSSWALK'!A1190" TargetMode="External" Id="rId1193"/><Relationship Type="http://schemas.openxmlformats.org/officeDocument/2006/relationships/hyperlink" Target="#'08 CROSSWALK'!A1191" TargetMode="External" Id="rId1194"/><Relationship Type="http://schemas.openxmlformats.org/officeDocument/2006/relationships/hyperlink" Target="#'08 CROSSWALK'!A1192" TargetMode="External" Id="rId1195"/><Relationship Type="http://schemas.openxmlformats.org/officeDocument/2006/relationships/hyperlink" Target="#'08 CROSSWALK'!A1193" TargetMode="External" Id="rId1196"/><Relationship Type="http://schemas.openxmlformats.org/officeDocument/2006/relationships/hyperlink" Target="#'08 CROSSWALK'!A1194" TargetMode="External" Id="rId1197"/><Relationship Type="http://schemas.openxmlformats.org/officeDocument/2006/relationships/hyperlink" Target="#'08 CROSSWALK'!A1195" TargetMode="External" Id="rId1198"/><Relationship Type="http://schemas.openxmlformats.org/officeDocument/2006/relationships/hyperlink" Target="#'08 CROSSWALK'!A1196" TargetMode="External" Id="rId1199"/><Relationship Type="http://schemas.openxmlformats.org/officeDocument/2006/relationships/hyperlink" Target="#'08 CROSSWALK'!A1197" TargetMode="External" Id="rId1200"/><Relationship Type="http://schemas.openxmlformats.org/officeDocument/2006/relationships/hyperlink" Target="#'08 CROSSWALK'!A1198" TargetMode="External" Id="rId1201"/><Relationship Type="http://schemas.openxmlformats.org/officeDocument/2006/relationships/hyperlink" Target="#'08 CROSSWALK'!A1199" TargetMode="External" Id="rId1202"/><Relationship Type="http://schemas.openxmlformats.org/officeDocument/2006/relationships/hyperlink" Target="#'08 CROSSWALK'!A1200" TargetMode="External" Id="rId1203"/><Relationship Type="http://schemas.openxmlformats.org/officeDocument/2006/relationships/hyperlink" Target="#'08 CROSSWALK'!A1201" TargetMode="External" Id="rId1204"/><Relationship Type="http://schemas.openxmlformats.org/officeDocument/2006/relationships/hyperlink" Target="#'08 CROSSWALK'!A1202" TargetMode="External" Id="rId1205"/><Relationship Type="http://schemas.openxmlformats.org/officeDocument/2006/relationships/hyperlink" Target="#'08 CROSSWALK'!A1203" TargetMode="External" Id="rId1206"/><Relationship Type="http://schemas.openxmlformats.org/officeDocument/2006/relationships/hyperlink" Target="#'08 CROSSWALK'!A1204" TargetMode="External" Id="rId1207"/><Relationship Type="http://schemas.openxmlformats.org/officeDocument/2006/relationships/hyperlink" Target="#'08 CROSSWALK'!A1205" TargetMode="External" Id="rId1208"/><Relationship Type="http://schemas.openxmlformats.org/officeDocument/2006/relationships/hyperlink" Target="#'08 CROSSWALK'!A1206" TargetMode="External" Id="rId1209"/><Relationship Type="http://schemas.openxmlformats.org/officeDocument/2006/relationships/hyperlink" Target="#'08 CROSSWALK'!A1207" TargetMode="External" Id="rId1210"/><Relationship Type="http://schemas.openxmlformats.org/officeDocument/2006/relationships/hyperlink" Target="#'08 CROSSWALK'!A1208" TargetMode="External" Id="rId1211"/><Relationship Type="http://schemas.openxmlformats.org/officeDocument/2006/relationships/hyperlink" Target="#'08 CROSSWALK'!A1209" TargetMode="External" Id="rId1212"/><Relationship Type="http://schemas.openxmlformats.org/officeDocument/2006/relationships/hyperlink" Target="#'08 CROSSWALK'!A1210" TargetMode="External" Id="rId1213"/><Relationship Type="http://schemas.openxmlformats.org/officeDocument/2006/relationships/hyperlink" Target="#'08 CROSSWALK'!A1211" TargetMode="External" Id="rId1214"/><Relationship Type="http://schemas.openxmlformats.org/officeDocument/2006/relationships/hyperlink" Target="#'08 CROSSWALK'!A1212" TargetMode="External" Id="rId1215"/><Relationship Type="http://schemas.openxmlformats.org/officeDocument/2006/relationships/hyperlink" Target="#'08 CROSSWALK'!A1213" TargetMode="External" Id="rId1216"/><Relationship Type="http://schemas.openxmlformats.org/officeDocument/2006/relationships/hyperlink" Target="#'08 CROSSWALK'!A1214" TargetMode="External" Id="rId1217"/><Relationship Type="http://schemas.openxmlformats.org/officeDocument/2006/relationships/hyperlink" Target="#'08 CROSSWALK'!A1215" TargetMode="External" Id="rId1218"/><Relationship Type="http://schemas.openxmlformats.org/officeDocument/2006/relationships/hyperlink" Target="#'08 CROSSWALK'!A1216" TargetMode="External" Id="rId1219"/><Relationship Type="http://schemas.openxmlformats.org/officeDocument/2006/relationships/hyperlink" Target="#'08 CROSSWALK'!A1217" TargetMode="External" Id="rId1220"/><Relationship Type="http://schemas.openxmlformats.org/officeDocument/2006/relationships/hyperlink" Target="#'08 CROSSWALK'!A1218" TargetMode="External" Id="rId1221"/><Relationship Type="http://schemas.openxmlformats.org/officeDocument/2006/relationships/hyperlink" Target="#'08 CROSSWALK'!A1219" TargetMode="External" Id="rId1222"/><Relationship Type="http://schemas.openxmlformats.org/officeDocument/2006/relationships/hyperlink" Target="#'08 CROSSWALK'!A1220" TargetMode="External" Id="rId1223"/><Relationship Type="http://schemas.openxmlformats.org/officeDocument/2006/relationships/hyperlink" Target="#'08 CROSSWALK'!A1221" TargetMode="External" Id="rId1224"/><Relationship Type="http://schemas.openxmlformats.org/officeDocument/2006/relationships/hyperlink" Target="#'08 CROSSWALK'!A1222" TargetMode="External" Id="rId1225"/><Relationship Type="http://schemas.openxmlformats.org/officeDocument/2006/relationships/hyperlink" Target="#'08 CROSSWALK'!A1223" TargetMode="External" Id="rId1226"/><Relationship Type="http://schemas.openxmlformats.org/officeDocument/2006/relationships/hyperlink" Target="#'08 CROSSWALK'!A1224" TargetMode="External" Id="rId1227"/><Relationship Type="http://schemas.openxmlformats.org/officeDocument/2006/relationships/hyperlink" Target="#'08 CROSSWALK'!A1225" TargetMode="External" Id="rId1228"/><Relationship Type="http://schemas.openxmlformats.org/officeDocument/2006/relationships/hyperlink" Target="#'08 CROSSWALK'!A1226" TargetMode="External" Id="rId1229"/><Relationship Type="http://schemas.openxmlformats.org/officeDocument/2006/relationships/hyperlink" Target="#'08 CROSSWALK'!A1227" TargetMode="External" Id="rId1230"/><Relationship Type="http://schemas.openxmlformats.org/officeDocument/2006/relationships/hyperlink" Target="#'08 CROSSWALK'!A1228" TargetMode="External" Id="rId1231"/><Relationship Type="http://schemas.openxmlformats.org/officeDocument/2006/relationships/hyperlink" Target="#'08 CROSSWALK'!A1229" TargetMode="External" Id="rId1232"/><Relationship Type="http://schemas.openxmlformats.org/officeDocument/2006/relationships/hyperlink" Target="#'08 CROSSWALK'!A1230" TargetMode="External" Id="rId1233"/><Relationship Type="http://schemas.openxmlformats.org/officeDocument/2006/relationships/hyperlink" Target="#'08 CROSSWALK'!A1231" TargetMode="External" Id="rId1234"/><Relationship Type="http://schemas.openxmlformats.org/officeDocument/2006/relationships/hyperlink" Target="#'08 CROSSWALK'!A1232" TargetMode="External" Id="rId1235"/><Relationship Type="http://schemas.openxmlformats.org/officeDocument/2006/relationships/hyperlink" Target="#'08 CROSSWALK'!A1233" TargetMode="External" Id="rId1236"/><Relationship Type="http://schemas.openxmlformats.org/officeDocument/2006/relationships/hyperlink" Target="#'08 CROSSWALK'!A1234" TargetMode="External" Id="rId1237"/><Relationship Type="http://schemas.openxmlformats.org/officeDocument/2006/relationships/hyperlink" Target="#'08 CROSSWALK'!A1235" TargetMode="External" Id="rId1238"/><Relationship Type="http://schemas.openxmlformats.org/officeDocument/2006/relationships/hyperlink" Target="#'08 CROSSWALK'!A1236" TargetMode="External" Id="rId1239"/><Relationship Type="http://schemas.openxmlformats.org/officeDocument/2006/relationships/hyperlink" Target="#'08 CROSSWALK'!A1237" TargetMode="External" Id="rId1240"/><Relationship Type="http://schemas.openxmlformats.org/officeDocument/2006/relationships/hyperlink" Target="#'08 CROSSWALK'!A1238" TargetMode="External" Id="rId1241"/><Relationship Type="http://schemas.openxmlformats.org/officeDocument/2006/relationships/hyperlink" Target="#'08 CROSSWALK'!A1239" TargetMode="External" Id="rId1242"/><Relationship Type="http://schemas.openxmlformats.org/officeDocument/2006/relationships/hyperlink" Target="#'08 CROSSWALK'!A1240" TargetMode="External" Id="rId1243"/><Relationship Type="http://schemas.openxmlformats.org/officeDocument/2006/relationships/hyperlink" Target="#'08 CROSSWALK'!A1241" TargetMode="External" Id="rId1244"/><Relationship Type="http://schemas.openxmlformats.org/officeDocument/2006/relationships/hyperlink" Target="#'08 CROSSWALK'!A1242" TargetMode="External" Id="rId1245"/><Relationship Type="http://schemas.openxmlformats.org/officeDocument/2006/relationships/hyperlink" Target="#'08 CROSSWALK'!A1243" TargetMode="External" Id="rId1246"/><Relationship Type="http://schemas.openxmlformats.org/officeDocument/2006/relationships/hyperlink" Target="#'08 CROSSWALK'!A1244" TargetMode="External" Id="rId1247"/><Relationship Type="http://schemas.openxmlformats.org/officeDocument/2006/relationships/hyperlink" Target="#'08 CROSSWALK'!A1245" TargetMode="External" Id="rId1248"/><Relationship Type="http://schemas.openxmlformats.org/officeDocument/2006/relationships/hyperlink" Target="#'08 CROSSWALK'!A1246" TargetMode="External" Id="rId1249"/><Relationship Type="http://schemas.openxmlformats.org/officeDocument/2006/relationships/hyperlink" Target="#'08 CROSSWALK'!A1247" TargetMode="External" Id="rId1250"/><Relationship Type="http://schemas.openxmlformats.org/officeDocument/2006/relationships/hyperlink" Target="#'08 CROSSWALK'!A1248" TargetMode="External" Id="rId1251"/><Relationship Type="http://schemas.openxmlformats.org/officeDocument/2006/relationships/hyperlink" Target="#'08 CROSSWALK'!A1249" TargetMode="External" Id="rId1252"/><Relationship Type="http://schemas.openxmlformats.org/officeDocument/2006/relationships/hyperlink" Target="#'08 CROSSWALK'!A1250" TargetMode="External" Id="rId1253"/><Relationship Type="http://schemas.openxmlformats.org/officeDocument/2006/relationships/hyperlink" Target="#'08 CROSSWALK'!A1251" TargetMode="External" Id="rId1254"/><Relationship Type="http://schemas.openxmlformats.org/officeDocument/2006/relationships/hyperlink" Target="#'08 CROSSWALK'!A1252" TargetMode="External" Id="rId1255"/><Relationship Type="http://schemas.openxmlformats.org/officeDocument/2006/relationships/hyperlink" Target="#'08 CROSSWALK'!A1253" TargetMode="External" Id="rId1256"/><Relationship Type="http://schemas.openxmlformats.org/officeDocument/2006/relationships/hyperlink" Target="#'08 CROSSWALK'!A1254" TargetMode="External" Id="rId1257"/><Relationship Type="http://schemas.openxmlformats.org/officeDocument/2006/relationships/hyperlink" Target="#'08 CROSSWALK'!A1255" TargetMode="External" Id="rId1258"/><Relationship Type="http://schemas.openxmlformats.org/officeDocument/2006/relationships/hyperlink" Target="#'08 CROSSWALK'!A1256" TargetMode="External" Id="rId1259"/><Relationship Type="http://schemas.openxmlformats.org/officeDocument/2006/relationships/hyperlink" Target="#'08 CROSSWALK'!A1257" TargetMode="External" Id="rId1260"/><Relationship Type="http://schemas.openxmlformats.org/officeDocument/2006/relationships/hyperlink" Target="#'08 CROSSWALK'!A1258" TargetMode="External" Id="rId1261"/><Relationship Type="http://schemas.openxmlformats.org/officeDocument/2006/relationships/hyperlink" Target="#'08 CROSSWALK'!A1259" TargetMode="External" Id="rId1262"/><Relationship Type="http://schemas.openxmlformats.org/officeDocument/2006/relationships/hyperlink" Target="#'08 CROSSWALK'!A1260" TargetMode="External" Id="rId1263"/><Relationship Type="http://schemas.openxmlformats.org/officeDocument/2006/relationships/hyperlink" Target="#'08 CROSSWALK'!A1261" TargetMode="External" Id="rId1264"/><Relationship Type="http://schemas.openxmlformats.org/officeDocument/2006/relationships/hyperlink" Target="#'08 CROSSWALK'!A1262" TargetMode="External" Id="rId1265"/><Relationship Type="http://schemas.openxmlformats.org/officeDocument/2006/relationships/hyperlink" Target="#'08 CROSSWALK'!A1263" TargetMode="External" Id="rId1266"/><Relationship Type="http://schemas.openxmlformats.org/officeDocument/2006/relationships/hyperlink" Target="#'08 CROSSWALK'!A1264" TargetMode="External" Id="rId1267"/><Relationship Type="http://schemas.openxmlformats.org/officeDocument/2006/relationships/hyperlink" Target="#'08 CROSSWALK'!A1265" TargetMode="External" Id="rId1268"/><Relationship Type="http://schemas.openxmlformats.org/officeDocument/2006/relationships/hyperlink" Target="#'08 CROSSWALK'!A1266" TargetMode="External" Id="rId1269"/><Relationship Type="http://schemas.openxmlformats.org/officeDocument/2006/relationships/hyperlink" Target="#'08 CROSSWALK'!A1267" TargetMode="External" Id="rId1270"/><Relationship Type="http://schemas.openxmlformats.org/officeDocument/2006/relationships/hyperlink" Target="#'08 CROSSWALK'!A1268" TargetMode="External" Id="rId1271"/><Relationship Type="http://schemas.openxmlformats.org/officeDocument/2006/relationships/hyperlink" Target="#'08 CROSSWALK'!A1269" TargetMode="External" Id="rId1272"/><Relationship Type="http://schemas.openxmlformats.org/officeDocument/2006/relationships/hyperlink" Target="#'08 CROSSWALK'!A1270" TargetMode="External" Id="rId1273"/><Relationship Type="http://schemas.openxmlformats.org/officeDocument/2006/relationships/hyperlink" Target="#'08 CROSSWALK'!A1271" TargetMode="External" Id="rId1274"/><Relationship Type="http://schemas.openxmlformats.org/officeDocument/2006/relationships/hyperlink" Target="#'08 CROSSWALK'!A1272" TargetMode="External" Id="rId1275"/><Relationship Type="http://schemas.openxmlformats.org/officeDocument/2006/relationships/hyperlink" Target="#'08 CROSSWALK'!A1273" TargetMode="External" Id="rId1276"/><Relationship Type="http://schemas.openxmlformats.org/officeDocument/2006/relationships/hyperlink" Target="#'08 CROSSWALK'!A1274" TargetMode="External" Id="rId1277"/><Relationship Type="http://schemas.openxmlformats.org/officeDocument/2006/relationships/hyperlink" Target="#'08 CROSSWALK'!A1275" TargetMode="External" Id="rId1278"/><Relationship Type="http://schemas.openxmlformats.org/officeDocument/2006/relationships/hyperlink" Target="#'08 CROSSWALK'!A1276" TargetMode="External" Id="rId1279"/><Relationship Type="http://schemas.openxmlformats.org/officeDocument/2006/relationships/hyperlink" Target="#'08 CROSSWALK'!A1277" TargetMode="External" Id="rId1280"/><Relationship Type="http://schemas.openxmlformats.org/officeDocument/2006/relationships/hyperlink" Target="#'08 CROSSWALK'!A1278" TargetMode="External" Id="rId1281"/><Relationship Type="http://schemas.openxmlformats.org/officeDocument/2006/relationships/hyperlink" Target="#'08 CROSSWALK'!A1279" TargetMode="External" Id="rId1282"/><Relationship Type="http://schemas.openxmlformats.org/officeDocument/2006/relationships/hyperlink" Target="#'08 CROSSWALK'!A1280" TargetMode="External" Id="rId1283"/><Relationship Type="http://schemas.openxmlformats.org/officeDocument/2006/relationships/hyperlink" Target="#'08 CROSSWALK'!A1281" TargetMode="External" Id="rId1284"/><Relationship Type="http://schemas.openxmlformats.org/officeDocument/2006/relationships/hyperlink" Target="#'08 CROSSWALK'!A1282" TargetMode="External" Id="rId1285"/><Relationship Type="http://schemas.openxmlformats.org/officeDocument/2006/relationships/hyperlink" Target="#'08 CROSSWALK'!A1283" TargetMode="External" Id="rId1286"/><Relationship Type="http://schemas.openxmlformats.org/officeDocument/2006/relationships/hyperlink" Target="#'08 CROSSWALK'!A1284" TargetMode="External" Id="rId1287"/><Relationship Type="http://schemas.openxmlformats.org/officeDocument/2006/relationships/hyperlink" Target="#'08 CROSSWALK'!A1285" TargetMode="External" Id="rId1288"/><Relationship Type="http://schemas.openxmlformats.org/officeDocument/2006/relationships/hyperlink" Target="#'08 CROSSWALK'!A1286" TargetMode="External" Id="rId1289"/><Relationship Type="http://schemas.openxmlformats.org/officeDocument/2006/relationships/hyperlink" Target="#'08 CROSSWALK'!A1287" TargetMode="External" Id="rId1290"/><Relationship Type="http://schemas.openxmlformats.org/officeDocument/2006/relationships/hyperlink" Target="#'08 CROSSWALK'!A1288" TargetMode="External" Id="rId1291"/><Relationship Type="http://schemas.openxmlformats.org/officeDocument/2006/relationships/hyperlink" Target="#'08 CROSSWALK'!A1289" TargetMode="External" Id="rId1292"/><Relationship Type="http://schemas.openxmlformats.org/officeDocument/2006/relationships/hyperlink" Target="#'08 CROSSWALK'!A1290" TargetMode="External" Id="rId1293"/><Relationship Type="http://schemas.openxmlformats.org/officeDocument/2006/relationships/hyperlink" Target="#'08 CROSSWALK'!A1291" TargetMode="External" Id="rId1294"/><Relationship Type="http://schemas.openxmlformats.org/officeDocument/2006/relationships/hyperlink" Target="#'08 CROSSWALK'!A1292" TargetMode="External" Id="rId1295"/><Relationship Type="http://schemas.openxmlformats.org/officeDocument/2006/relationships/hyperlink" Target="#'08 CROSSWALK'!A1293" TargetMode="External" Id="rId1296"/><Relationship Type="http://schemas.openxmlformats.org/officeDocument/2006/relationships/hyperlink" Target="#'08 CROSSWALK'!A1294" TargetMode="External" Id="rId1297"/><Relationship Type="http://schemas.openxmlformats.org/officeDocument/2006/relationships/hyperlink" Target="#'08 CROSSWALK'!A1295" TargetMode="External" Id="rId1298"/><Relationship Type="http://schemas.openxmlformats.org/officeDocument/2006/relationships/hyperlink" Target="#'08 CROSSWALK'!A1296" TargetMode="External" Id="rId1299"/><Relationship Type="http://schemas.openxmlformats.org/officeDocument/2006/relationships/hyperlink" Target="#'08 CROSSWALK'!A1297" TargetMode="External" Id="rId1300"/><Relationship Type="http://schemas.openxmlformats.org/officeDocument/2006/relationships/hyperlink" Target="#'08 CROSSWALK'!A1298" TargetMode="External" Id="rId1301"/><Relationship Type="http://schemas.openxmlformats.org/officeDocument/2006/relationships/hyperlink" Target="#'08 CROSSWALK'!A1299" TargetMode="External" Id="rId1302"/><Relationship Type="http://schemas.openxmlformats.org/officeDocument/2006/relationships/hyperlink" Target="#'08 CROSSWALK'!A1300" TargetMode="External" Id="rId1303"/><Relationship Type="http://schemas.openxmlformats.org/officeDocument/2006/relationships/hyperlink" Target="#'08 CROSSWALK'!A1301" TargetMode="External" Id="rId1304"/><Relationship Type="http://schemas.openxmlformats.org/officeDocument/2006/relationships/hyperlink" Target="#'08 CROSSWALK'!A1302" TargetMode="External" Id="rId1305"/><Relationship Type="http://schemas.openxmlformats.org/officeDocument/2006/relationships/hyperlink" Target="#'08 CROSSWALK'!A1303" TargetMode="External" Id="rId1306"/><Relationship Type="http://schemas.openxmlformats.org/officeDocument/2006/relationships/hyperlink" Target="#'08 CROSSWALK'!A1304" TargetMode="External" Id="rId1307"/><Relationship Type="http://schemas.openxmlformats.org/officeDocument/2006/relationships/hyperlink" Target="#'08 CROSSWALK'!A1305" TargetMode="External" Id="rId1308"/><Relationship Type="http://schemas.openxmlformats.org/officeDocument/2006/relationships/hyperlink" Target="#'08 CROSSWALK'!A1306" TargetMode="External" Id="rId1309"/><Relationship Type="http://schemas.openxmlformats.org/officeDocument/2006/relationships/hyperlink" Target="#'08 CROSSWALK'!A1307" TargetMode="External" Id="rId1310"/><Relationship Type="http://schemas.openxmlformats.org/officeDocument/2006/relationships/hyperlink" Target="#'08 CROSSWALK'!A1308" TargetMode="External" Id="rId1311"/><Relationship Type="http://schemas.openxmlformats.org/officeDocument/2006/relationships/hyperlink" Target="#'08 CROSSWALK'!A1309" TargetMode="External" Id="rId1312"/><Relationship Type="http://schemas.openxmlformats.org/officeDocument/2006/relationships/hyperlink" Target="#'08 CROSSWALK'!A1310" TargetMode="External" Id="rId1313"/><Relationship Type="http://schemas.openxmlformats.org/officeDocument/2006/relationships/hyperlink" Target="#'08 CROSSWALK'!A1311" TargetMode="External" Id="rId1314"/><Relationship Type="http://schemas.openxmlformats.org/officeDocument/2006/relationships/hyperlink" Target="#'08 CROSSWALK'!A1312" TargetMode="External" Id="rId1315"/><Relationship Type="http://schemas.openxmlformats.org/officeDocument/2006/relationships/hyperlink" Target="#'08 CROSSWALK'!A1313" TargetMode="External" Id="rId1316"/><Relationship Type="http://schemas.openxmlformats.org/officeDocument/2006/relationships/hyperlink" Target="#'08 CROSSWALK'!A1314" TargetMode="External" Id="rId1317"/><Relationship Type="http://schemas.openxmlformats.org/officeDocument/2006/relationships/hyperlink" Target="#'08 CROSSWALK'!A1315" TargetMode="External" Id="rId1318"/><Relationship Type="http://schemas.openxmlformats.org/officeDocument/2006/relationships/hyperlink" Target="#'08 CROSSWALK'!A1316" TargetMode="External" Id="rId1319"/><Relationship Type="http://schemas.openxmlformats.org/officeDocument/2006/relationships/hyperlink" Target="#'08 CROSSWALK'!A1317" TargetMode="External" Id="rId1320"/><Relationship Type="http://schemas.openxmlformats.org/officeDocument/2006/relationships/hyperlink" Target="#'08 CROSSWALK'!A1318" TargetMode="External" Id="rId1321"/><Relationship Type="http://schemas.openxmlformats.org/officeDocument/2006/relationships/hyperlink" Target="#'08 CROSSWALK'!A1319" TargetMode="External" Id="rId1322"/><Relationship Type="http://schemas.openxmlformats.org/officeDocument/2006/relationships/hyperlink" Target="#'08 CROSSWALK'!A1320" TargetMode="External" Id="rId1323"/><Relationship Type="http://schemas.openxmlformats.org/officeDocument/2006/relationships/hyperlink" Target="#'08 CROSSWALK'!A1321" TargetMode="External" Id="rId1324"/><Relationship Type="http://schemas.openxmlformats.org/officeDocument/2006/relationships/hyperlink" Target="#'08 CROSSWALK'!A1322" TargetMode="External" Id="rId1325"/><Relationship Type="http://schemas.openxmlformats.org/officeDocument/2006/relationships/hyperlink" Target="#'08 CROSSWALK'!A1323" TargetMode="External" Id="rId1326"/><Relationship Type="http://schemas.openxmlformats.org/officeDocument/2006/relationships/hyperlink" Target="#'08 CROSSWALK'!A1324" TargetMode="External" Id="rId1327"/><Relationship Type="http://schemas.openxmlformats.org/officeDocument/2006/relationships/hyperlink" Target="#'08 CROSSWALK'!A1325" TargetMode="External" Id="rId1328"/><Relationship Type="http://schemas.openxmlformats.org/officeDocument/2006/relationships/hyperlink" Target="#'08 CROSSWALK'!A1326" TargetMode="External" Id="rId1329"/><Relationship Type="http://schemas.openxmlformats.org/officeDocument/2006/relationships/hyperlink" Target="#'08 CROSSWALK'!A1327" TargetMode="External" Id="rId1330"/><Relationship Type="http://schemas.openxmlformats.org/officeDocument/2006/relationships/hyperlink" Target="#'08 CROSSWALK'!A1328" TargetMode="External" Id="rId1331"/><Relationship Type="http://schemas.openxmlformats.org/officeDocument/2006/relationships/hyperlink" Target="#'08 CROSSWALK'!A1329" TargetMode="External" Id="rId1332"/><Relationship Type="http://schemas.openxmlformats.org/officeDocument/2006/relationships/hyperlink" Target="#'08 CROSSWALK'!A1330" TargetMode="External" Id="rId1333"/><Relationship Type="http://schemas.openxmlformats.org/officeDocument/2006/relationships/hyperlink" Target="#'08 CROSSWALK'!A1331" TargetMode="External" Id="rId1334"/><Relationship Type="http://schemas.openxmlformats.org/officeDocument/2006/relationships/hyperlink" Target="#'08 CROSSWALK'!A1332" TargetMode="External" Id="rId1335"/><Relationship Type="http://schemas.openxmlformats.org/officeDocument/2006/relationships/hyperlink" Target="#'08 CROSSWALK'!A1333" TargetMode="External" Id="rId1336"/><Relationship Type="http://schemas.openxmlformats.org/officeDocument/2006/relationships/hyperlink" Target="#'08 CROSSWALK'!A1334" TargetMode="External" Id="rId1337"/><Relationship Type="http://schemas.openxmlformats.org/officeDocument/2006/relationships/hyperlink" Target="#'08 CROSSWALK'!A1335" TargetMode="External" Id="rId1338"/><Relationship Type="http://schemas.openxmlformats.org/officeDocument/2006/relationships/hyperlink" Target="#'08 CROSSWALK'!A1336" TargetMode="External" Id="rId1339"/><Relationship Type="http://schemas.openxmlformats.org/officeDocument/2006/relationships/hyperlink" Target="#'08 CROSSWALK'!A1337" TargetMode="External" Id="rId1340"/><Relationship Type="http://schemas.openxmlformats.org/officeDocument/2006/relationships/hyperlink" Target="#'08 CROSSWALK'!A1338" TargetMode="External" Id="rId1341"/><Relationship Type="http://schemas.openxmlformats.org/officeDocument/2006/relationships/hyperlink" Target="#'08 CROSSWALK'!A1339" TargetMode="External" Id="rId1342"/><Relationship Type="http://schemas.openxmlformats.org/officeDocument/2006/relationships/hyperlink" Target="#'08 CROSSWALK'!A1340" TargetMode="External" Id="rId1343"/><Relationship Type="http://schemas.openxmlformats.org/officeDocument/2006/relationships/hyperlink" Target="#'08 CROSSWALK'!A1341" TargetMode="External" Id="rId1344"/><Relationship Type="http://schemas.openxmlformats.org/officeDocument/2006/relationships/hyperlink" Target="#'08 CROSSWALK'!A1342" TargetMode="External" Id="rId1345"/><Relationship Type="http://schemas.openxmlformats.org/officeDocument/2006/relationships/hyperlink" Target="#'08 CROSSWALK'!A1343" TargetMode="External" Id="rId1346"/><Relationship Type="http://schemas.openxmlformats.org/officeDocument/2006/relationships/hyperlink" Target="#'08 CROSSWALK'!A1344" TargetMode="External" Id="rId1347"/><Relationship Type="http://schemas.openxmlformats.org/officeDocument/2006/relationships/hyperlink" Target="#'08 CROSSWALK'!A1345" TargetMode="External" Id="rId1348"/><Relationship Type="http://schemas.openxmlformats.org/officeDocument/2006/relationships/hyperlink" Target="#'08 CROSSWALK'!A1346" TargetMode="External" Id="rId1349"/><Relationship Type="http://schemas.openxmlformats.org/officeDocument/2006/relationships/hyperlink" Target="#'08 CROSSWALK'!A1347" TargetMode="External" Id="rId1350"/><Relationship Type="http://schemas.openxmlformats.org/officeDocument/2006/relationships/hyperlink" Target="#'08 CROSSWALK'!A1348" TargetMode="External" Id="rId1351"/><Relationship Type="http://schemas.openxmlformats.org/officeDocument/2006/relationships/hyperlink" Target="#'08 CROSSWALK'!A1349" TargetMode="External" Id="rId1352"/><Relationship Type="http://schemas.openxmlformats.org/officeDocument/2006/relationships/hyperlink" Target="#'08 CROSSWALK'!A1350" TargetMode="External" Id="rId1353"/><Relationship Type="http://schemas.openxmlformats.org/officeDocument/2006/relationships/hyperlink" Target="#'08 CROSSWALK'!A1351" TargetMode="External" Id="rId1354"/><Relationship Type="http://schemas.openxmlformats.org/officeDocument/2006/relationships/hyperlink" Target="#'08 CROSSWALK'!A1352" TargetMode="External" Id="rId1355"/><Relationship Type="http://schemas.openxmlformats.org/officeDocument/2006/relationships/hyperlink" Target="#'08 CROSSWALK'!A1353" TargetMode="External" Id="rId1356"/><Relationship Type="http://schemas.openxmlformats.org/officeDocument/2006/relationships/hyperlink" Target="#'08 CROSSWALK'!A1354" TargetMode="External" Id="rId1357"/><Relationship Type="http://schemas.openxmlformats.org/officeDocument/2006/relationships/hyperlink" Target="#'08 CROSSWALK'!A1355" TargetMode="External" Id="rId1358"/><Relationship Type="http://schemas.openxmlformats.org/officeDocument/2006/relationships/hyperlink" Target="#'08 CROSSWALK'!A1356" TargetMode="External" Id="rId1359"/><Relationship Type="http://schemas.openxmlformats.org/officeDocument/2006/relationships/hyperlink" Target="#'08 CROSSWALK'!A1357" TargetMode="External" Id="rId1360"/><Relationship Type="http://schemas.openxmlformats.org/officeDocument/2006/relationships/hyperlink" Target="#'08 CROSSWALK'!A1358" TargetMode="External" Id="rId1361"/><Relationship Type="http://schemas.openxmlformats.org/officeDocument/2006/relationships/hyperlink" Target="#'08 CROSSWALK'!A1359" TargetMode="External" Id="rId1362"/><Relationship Type="http://schemas.openxmlformats.org/officeDocument/2006/relationships/hyperlink" Target="#'08 CROSSWALK'!A1360" TargetMode="External" Id="rId1363"/><Relationship Type="http://schemas.openxmlformats.org/officeDocument/2006/relationships/hyperlink" Target="#'08 CROSSWALK'!A1361" TargetMode="External" Id="rId1364"/><Relationship Type="http://schemas.openxmlformats.org/officeDocument/2006/relationships/hyperlink" Target="#'08 CROSSWALK'!A1362" TargetMode="External" Id="rId1365"/><Relationship Type="http://schemas.openxmlformats.org/officeDocument/2006/relationships/hyperlink" Target="#'08 CROSSWALK'!A1363" TargetMode="External" Id="rId1366"/><Relationship Type="http://schemas.openxmlformats.org/officeDocument/2006/relationships/hyperlink" Target="#'08 CROSSWALK'!A1364" TargetMode="External" Id="rId1367"/><Relationship Type="http://schemas.openxmlformats.org/officeDocument/2006/relationships/hyperlink" Target="#'08 CROSSWALK'!A1365" TargetMode="External" Id="rId1368"/><Relationship Type="http://schemas.openxmlformats.org/officeDocument/2006/relationships/hyperlink" Target="#'08 CROSSWALK'!A1366" TargetMode="External" Id="rId1369"/><Relationship Type="http://schemas.openxmlformats.org/officeDocument/2006/relationships/hyperlink" Target="#'08 CROSSWALK'!A1367" TargetMode="External" Id="rId1370"/><Relationship Type="http://schemas.openxmlformats.org/officeDocument/2006/relationships/hyperlink" Target="#'08 CROSSWALK'!A1368" TargetMode="External" Id="rId1371"/><Relationship Type="http://schemas.openxmlformats.org/officeDocument/2006/relationships/hyperlink" Target="#'08 CROSSWALK'!A1369" TargetMode="External" Id="rId1372"/><Relationship Type="http://schemas.openxmlformats.org/officeDocument/2006/relationships/hyperlink" Target="#'08 CROSSWALK'!A1370" TargetMode="External" Id="rId1373"/><Relationship Type="http://schemas.openxmlformats.org/officeDocument/2006/relationships/hyperlink" Target="#'08 CROSSWALK'!A1371" TargetMode="External" Id="rId1374"/><Relationship Type="http://schemas.openxmlformats.org/officeDocument/2006/relationships/hyperlink" Target="#'08 CROSSWALK'!A1372" TargetMode="External" Id="rId1375"/><Relationship Type="http://schemas.openxmlformats.org/officeDocument/2006/relationships/hyperlink" Target="#'08 CROSSWALK'!A1373" TargetMode="External" Id="rId1376"/><Relationship Type="http://schemas.openxmlformats.org/officeDocument/2006/relationships/hyperlink" Target="#'08 CROSSWALK'!A1374" TargetMode="External" Id="rId1377"/><Relationship Type="http://schemas.openxmlformats.org/officeDocument/2006/relationships/hyperlink" Target="#'08 CROSSWALK'!A1375" TargetMode="External" Id="rId1378"/><Relationship Type="http://schemas.openxmlformats.org/officeDocument/2006/relationships/hyperlink" Target="#'08 CROSSWALK'!A1376" TargetMode="External" Id="rId1379"/><Relationship Type="http://schemas.openxmlformats.org/officeDocument/2006/relationships/hyperlink" Target="#'08 CROSSWALK'!A1377" TargetMode="External" Id="rId1380"/><Relationship Type="http://schemas.openxmlformats.org/officeDocument/2006/relationships/hyperlink" Target="#'08 CROSSWALK'!A1378" TargetMode="External" Id="rId1381"/><Relationship Type="http://schemas.openxmlformats.org/officeDocument/2006/relationships/hyperlink" Target="#'08 CROSSWALK'!A1379" TargetMode="External" Id="rId1382"/><Relationship Type="http://schemas.openxmlformats.org/officeDocument/2006/relationships/hyperlink" Target="#'08 CROSSWALK'!A1380" TargetMode="External" Id="rId1383"/><Relationship Type="http://schemas.openxmlformats.org/officeDocument/2006/relationships/hyperlink" Target="#'08 CROSSWALK'!A1381" TargetMode="External" Id="rId1384"/><Relationship Type="http://schemas.openxmlformats.org/officeDocument/2006/relationships/hyperlink" Target="#'08 CROSSWALK'!A1382" TargetMode="External" Id="rId1385"/><Relationship Type="http://schemas.openxmlformats.org/officeDocument/2006/relationships/hyperlink" Target="#'08 CROSSWALK'!A1383" TargetMode="External" Id="rId1386"/><Relationship Type="http://schemas.openxmlformats.org/officeDocument/2006/relationships/hyperlink" Target="#'08 CROSSWALK'!A1384" TargetMode="External" Id="rId1387"/><Relationship Type="http://schemas.openxmlformats.org/officeDocument/2006/relationships/hyperlink" Target="#'08 CROSSWALK'!A1385" TargetMode="External" Id="rId1388"/><Relationship Type="http://schemas.openxmlformats.org/officeDocument/2006/relationships/hyperlink" Target="#'08 CROSSWALK'!A1386" TargetMode="External" Id="rId1389"/><Relationship Type="http://schemas.openxmlformats.org/officeDocument/2006/relationships/hyperlink" Target="#'08 CROSSWALK'!A1387" TargetMode="External" Id="rId1390"/><Relationship Type="http://schemas.openxmlformats.org/officeDocument/2006/relationships/hyperlink" Target="#'08 CROSSWALK'!A1388" TargetMode="External" Id="rId1391"/><Relationship Type="http://schemas.openxmlformats.org/officeDocument/2006/relationships/hyperlink" Target="#'08 CROSSWALK'!A1389" TargetMode="External" Id="rId1392"/><Relationship Type="http://schemas.openxmlformats.org/officeDocument/2006/relationships/hyperlink" Target="#'08 CROSSWALK'!A1390" TargetMode="External" Id="rId1393"/><Relationship Type="http://schemas.openxmlformats.org/officeDocument/2006/relationships/hyperlink" Target="#'08 CROSSWALK'!A1391" TargetMode="External" Id="rId1394"/><Relationship Type="http://schemas.openxmlformats.org/officeDocument/2006/relationships/hyperlink" Target="#'08 CROSSWALK'!A1392" TargetMode="External" Id="rId1395"/><Relationship Type="http://schemas.openxmlformats.org/officeDocument/2006/relationships/hyperlink" Target="#'08 CROSSWALK'!A1393" TargetMode="External" Id="rId1396"/><Relationship Type="http://schemas.openxmlformats.org/officeDocument/2006/relationships/hyperlink" Target="#'08 CROSSWALK'!A1394" TargetMode="External" Id="rId1397"/><Relationship Type="http://schemas.openxmlformats.org/officeDocument/2006/relationships/hyperlink" Target="#'08 CROSSWALK'!A1395" TargetMode="External" Id="rId1398"/><Relationship Type="http://schemas.openxmlformats.org/officeDocument/2006/relationships/hyperlink" Target="#'08 CROSSWALK'!A1396" TargetMode="External" Id="rId1399"/><Relationship Type="http://schemas.openxmlformats.org/officeDocument/2006/relationships/hyperlink" Target="#'08 CROSSWALK'!A1397" TargetMode="External" Id="rId1400"/><Relationship Type="http://schemas.openxmlformats.org/officeDocument/2006/relationships/hyperlink" Target="#'08 CROSSWALK'!A1398" TargetMode="External" Id="rId1401"/><Relationship Type="http://schemas.openxmlformats.org/officeDocument/2006/relationships/hyperlink" Target="#'08 CROSSWALK'!A1399" TargetMode="External" Id="rId1402"/><Relationship Type="http://schemas.openxmlformats.org/officeDocument/2006/relationships/hyperlink" Target="#'08 CROSSWALK'!A1400" TargetMode="External" Id="rId1403"/><Relationship Type="http://schemas.openxmlformats.org/officeDocument/2006/relationships/hyperlink" Target="#'08 CROSSWALK'!A1401" TargetMode="External" Id="rId1404"/><Relationship Type="http://schemas.openxmlformats.org/officeDocument/2006/relationships/hyperlink" Target="#'08 CROSSWALK'!A1402" TargetMode="External" Id="rId1405"/><Relationship Type="http://schemas.openxmlformats.org/officeDocument/2006/relationships/hyperlink" Target="#'08 CROSSWALK'!A1403" TargetMode="External" Id="rId1406"/><Relationship Type="http://schemas.openxmlformats.org/officeDocument/2006/relationships/hyperlink" Target="#'08 CROSSWALK'!A1404" TargetMode="External" Id="rId1407"/><Relationship Type="http://schemas.openxmlformats.org/officeDocument/2006/relationships/hyperlink" Target="#'08 CROSSWALK'!A1405" TargetMode="External" Id="rId1408"/><Relationship Type="http://schemas.openxmlformats.org/officeDocument/2006/relationships/hyperlink" Target="#'08 CROSSWALK'!A1406" TargetMode="External" Id="rId1409"/><Relationship Type="http://schemas.openxmlformats.org/officeDocument/2006/relationships/hyperlink" Target="#'08 CROSSWALK'!A1407" TargetMode="External" Id="rId1410"/><Relationship Type="http://schemas.openxmlformats.org/officeDocument/2006/relationships/hyperlink" Target="#'08 CROSSWALK'!A1408" TargetMode="External" Id="rId1411"/><Relationship Type="http://schemas.openxmlformats.org/officeDocument/2006/relationships/hyperlink" Target="#'08 CROSSWALK'!A1409" TargetMode="External" Id="rId1412"/><Relationship Type="http://schemas.openxmlformats.org/officeDocument/2006/relationships/hyperlink" Target="#'08 CROSSWALK'!A1410" TargetMode="External" Id="rId1413"/><Relationship Type="http://schemas.openxmlformats.org/officeDocument/2006/relationships/hyperlink" Target="#'08 CROSSWALK'!A1411" TargetMode="External" Id="rId1414"/><Relationship Type="http://schemas.openxmlformats.org/officeDocument/2006/relationships/hyperlink" Target="#'08 CROSSWALK'!A1412" TargetMode="External" Id="rId1415"/><Relationship Type="http://schemas.openxmlformats.org/officeDocument/2006/relationships/hyperlink" Target="#'08 CROSSWALK'!A1413" TargetMode="External" Id="rId1416"/><Relationship Type="http://schemas.openxmlformats.org/officeDocument/2006/relationships/hyperlink" Target="#'08 CROSSWALK'!A1414" TargetMode="External" Id="rId1417"/><Relationship Type="http://schemas.openxmlformats.org/officeDocument/2006/relationships/hyperlink" Target="#'08 CROSSWALK'!A1415" TargetMode="External" Id="rId1418"/><Relationship Type="http://schemas.openxmlformats.org/officeDocument/2006/relationships/hyperlink" Target="#'08 CROSSWALK'!A1416" TargetMode="External" Id="rId1419"/><Relationship Type="http://schemas.openxmlformats.org/officeDocument/2006/relationships/hyperlink" Target="#'08 CROSSWALK'!A1417" TargetMode="External" Id="rId1420"/><Relationship Type="http://schemas.openxmlformats.org/officeDocument/2006/relationships/hyperlink" Target="#'08 CROSSWALK'!A1418" TargetMode="External" Id="rId1421"/><Relationship Type="http://schemas.openxmlformats.org/officeDocument/2006/relationships/hyperlink" Target="#'08 CROSSWALK'!A1419" TargetMode="External" Id="rId1422"/><Relationship Type="http://schemas.openxmlformats.org/officeDocument/2006/relationships/hyperlink" Target="#'08 CROSSWALK'!A1420" TargetMode="External" Id="rId1423"/><Relationship Type="http://schemas.openxmlformats.org/officeDocument/2006/relationships/hyperlink" Target="#'08 CROSSWALK'!A1421" TargetMode="External" Id="rId1424"/><Relationship Type="http://schemas.openxmlformats.org/officeDocument/2006/relationships/hyperlink" Target="#'08 CROSSWALK'!A1422" TargetMode="External" Id="rId1425"/><Relationship Type="http://schemas.openxmlformats.org/officeDocument/2006/relationships/hyperlink" Target="#'08 CROSSWALK'!A1423" TargetMode="External" Id="rId1426"/><Relationship Type="http://schemas.openxmlformats.org/officeDocument/2006/relationships/hyperlink" Target="#'08 CROSSWALK'!A1424" TargetMode="External" Id="rId1427"/><Relationship Type="http://schemas.openxmlformats.org/officeDocument/2006/relationships/hyperlink" Target="#'08 CROSSWALK'!A1425" TargetMode="External" Id="rId1428"/><Relationship Type="http://schemas.openxmlformats.org/officeDocument/2006/relationships/hyperlink" Target="#'08 CROSSWALK'!A1426" TargetMode="External" Id="rId1429"/><Relationship Type="http://schemas.openxmlformats.org/officeDocument/2006/relationships/hyperlink" Target="#'08 CROSSWALK'!A1427" TargetMode="External" Id="rId1430"/><Relationship Type="http://schemas.openxmlformats.org/officeDocument/2006/relationships/hyperlink" Target="#'08 CROSSWALK'!A1428" TargetMode="External" Id="rId1431"/><Relationship Type="http://schemas.openxmlformats.org/officeDocument/2006/relationships/hyperlink" Target="#'08 CROSSWALK'!A1429" TargetMode="External" Id="rId1432"/><Relationship Type="http://schemas.openxmlformats.org/officeDocument/2006/relationships/hyperlink" Target="#'08 CROSSWALK'!A1430" TargetMode="External" Id="rId1433"/><Relationship Type="http://schemas.openxmlformats.org/officeDocument/2006/relationships/hyperlink" Target="#'08 CROSSWALK'!A1431" TargetMode="External" Id="rId1434"/><Relationship Type="http://schemas.openxmlformats.org/officeDocument/2006/relationships/hyperlink" Target="#'08 CROSSWALK'!A1432" TargetMode="External" Id="rId1435"/><Relationship Type="http://schemas.openxmlformats.org/officeDocument/2006/relationships/hyperlink" Target="#'08 CROSSWALK'!A1433" TargetMode="External" Id="rId1436"/><Relationship Type="http://schemas.openxmlformats.org/officeDocument/2006/relationships/hyperlink" Target="#'08 CROSSWALK'!A1434" TargetMode="External" Id="rId1437"/><Relationship Type="http://schemas.openxmlformats.org/officeDocument/2006/relationships/hyperlink" Target="#'08 CROSSWALK'!A1435" TargetMode="External" Id="rId1438"/><Relationship Type="http://schemas.openxmlformats.org/officeDocument/2006/relationships/hyperlink" Target="#'08 CROSSWALK'!A1436" TargetMode="External" Id="rId1439"/><Relationship Type="http://schemas.openxmlformats.org/officeDocument/2006/relationships/hyperlink" Target="#'08 CROSSWALK'!A1437" TargetMode="External" Id="rId1440"/><Relationship Type="http://schemas.openxmlformats.org/officeDocument/2006/relationships/hyperlink" Target="#'08 CROSSWALK'!A1438" TargetMode="External" Id="rId1441"/><Relationship Type="http://schemas.openxmlformats.org/officeDocument/2006/relationships/hyperlink" Target="#'08 CROSSWALK'!A1439" TargetMode="External" Id="rId1442"/><Relationship Type="http://schemas.openxmlformats.org/officeDocument/2006/relationships/hyperlink" Target="#'08 CROSSWALK'!A1440" TargetMode="External" Id="rId1443"/><Relationship Type="http://schemas.openxmlformats.org/officeDocument/2006/relationships/hyperlink" Target="#'08 CROSSWALK'!A1441" TargetMode="External" Id="rId1444"/><Relationship Type="http://schemas.openxmlformats.org/officeDocument/2006/relationships/hyperlink" Target="#'08 CROSSWALK'!A1442" TargetMode="External" Id="rId1445"/><Relationship Type="http://schemas.openxmlformats.org/officeDocument/2006/relationships/hyperlink" Target="#'08 CROSSWALK'!A1443" TargetMode="External" Id="rId1446"/><Relationship Type="http://schemas.openxmlformats.org/officeDocument/2006/relationships/hyperlink" Target="#'08 CROSSWALK'!A1444" TargetMode="External" Id="rId1447"/><Relationship Type="http://schemas.openxmlformats.org/officeDocument/2006/relationships/hyperlink" Target="#'08 CROSSWALK'!A1445" TargetMode="External" Id="rId1448"/><Relationship Type="http://schemas.openxmlformats.org/officeDocument/2006/relationships/hyperlink" Target="#'08 CROSSWALK'!A1446" TargetMode="External" Id="rId1449"/><Relationship Type="http://schemas.openxmlformats.org/officeDocument/2006/relationships/hyperlink" Target="#'08 CROSSWALK'!A1447" TargetMode="External" Id="rId1450"/><Relationship Type="http://schemas.openxmlformats.org/officeDocument/2006/relationships/hyperlink" Target="#'08 CROSSWALK'!A1448" TargetMode="External" Id="rId1451"/><Relationship Type="http://schemas.openxmlformats.org/officeDocument/2006/relationships/hyperlink" Target="#'08 CROSSWALK'!A1449" TargetMode="External" Id="rId1452"/><Relationship Type="http://schemas.openxmlformats.org/officeDocument/2006/relationships/hyperlink" Target="#'08 CROSSWALK'!A1450" TargetMode="External" Id="rId1453"/><Relationship Type="http://schemas.openxmlformats.org/officeDocument/2006/relationships/hyperlink" Target="#'08 CROSSWALK'!A1451" TargetMode="External" Id="rId1454"/><Relationship Type="http://schemas.openxmlformats.org/officeDocument/2006/relationships/hyperlink" Target="#'08 CROSSWALK'!A1452" TargetMode="External" Id="rId1455"/><Relationship Type="http://schemas.openxmlformats.org/officeDocument/2006/relationships/hyperlink" Target="#'08 CROSSWALK'!A1453" TargetMode="External" Id="rId1456"/><Relationship Type="http://schemas.openxmlformats.org/officeDocument/2006/relationships/hyperlink" Target="#'08 CROSSWALK'!A1454" TargetMode="External" Id="rId1457"/><Relationship Type="http://schemas.openxmlformats.org/officeDocument/2006/relationships/hyperlink" Target="#'08 CROSSWALK'!A1455" TargetMode="External" Id="rId1458"/><Relationship Type="http://schemas.openxmlformats.org/officeDocument/2006/relationships/hyperlink" Target="#'08 CROSSWALK'!A1456" TargetMode="External" Id="rId1459"/><Relationship Type="http://schemas.openxmlformats.org/officeDocument/2006/relationships/hyperlink" Target="#'08 CROSSWALK'!A1457" TargetMode="External" Id="rId1460"/><Relationship Type="http://schemas.openxmlformats.org/officeDocument/2006/relationships/hyperlink" Target="#'08 CROSSWALK'!A1458" TargetMode="External" Id="rId1461"/><Relationship Type="http://schemas.openxmlformats.org/officeDocument/2006/relationships/hyperlink" Target="#'08 CROSSWALK'!A1459" TargetMode="External" Id="rId1462"/><Relationship Type="http://schemas.openxmlformats.org/officeDocument/2006/relationships/hyperlink" Target="#'08 CROSSWALK'!A1460" TargetMode="External" Id="rId1463"/><Relationship Type="http://schemas.openxmlformats.org/officeDocument/2006/relationships/hyperlink" Target="#'08 CROSSWALK'!A1461" TargetMode="External" Id="rId1464"/><Relationship Type="http://schemas.openxmlformats.org/officeDocument/2006/relationships/hyperlink" Target="#'08 CROSSWALK'!A1462" TargetMode="External" Id="rId1465"/><Relationship Type="http://schemas.openxmlformats.org/officeDocument/2006/relationships/hyperlink" Target="#'08 CROSSWALK'!A1463" TargetMode="External" Id="rId1466"/><Relationship Type="http://schemas.openxmlformats.org/officeDocument/2006/relationships/hyperlink" Target="#'08 CROSSWALK'!A1464" TargetMode="External" Id="rId1467"/><Relationship Type="http://schemas.openxmlformats.org/officeDocument/2006/relationships/hyperlink" Target="#'08 CROSSWALK'!A1465" TargetMode="External" Id="rId1468"/><Relationship Type="http://schemas.openxmlformats.org/officeDocument/2006/relationships/hyperlink" Target="#'08 CROSSWALK'!A1466" TargetMode="External" Id="rId1469"/><Relationship Type="http://schemas.openxmlformats.org/officeDocument/2006/relationships/hyperlink" Target="#'08 CROSSWALK'!A1467" TargetMode="External" Id="rId1470"/><Relationship Type="http://schemas.openxmlformats.org/officeDocument/2006/relationships/hyperlink" Target="#'08 CROSSWALK'!A1468" TargetMode="External" Id="rId1471"/><Relationship Type="http://schemas.openxmlformats.org/officeDocument/2006/relationships/hyperlink" Target="#'08 CROSSWALK'!A1469" TargetMode="External" Id="rId1472"/><Relationship Type="http://schemas.openxmlformats.org/officeDocument/2006/relationships/hyperlink" Target="#'08 CROSSWALK'!A1470" TargetMode="External" Id="rId1473"/><Relationship Type="http://schemas.openxmlformats.org/officeDocument/2006/relationships/hyperlink" Target="#'08 CROSSWALK'!A1471" TargetMode="External" Id="rId1474"/><Relationship Type="http://schemas.openxmlformats.org/officeDocument/2006/relationships/hyperlink" Target="#'08 CROSSWALK'!A1472" TargetMode="External" Id="rId1475"/><Relationship Type="http://schemas.openxmlformats.org/officeDocument/2006/relationships/hyperlink" Target="#'08 CROSSWALK'!A1473" TargetMode="External" Id="rId1476"/><Relationship Type="http://schemas.openxmlformats.org/officeDocument/2006/relationships/hyperlink" Target="#'08 CROSSWALK'!A1474" TargetMode="External" Id="rId1477"/><Relationship Type="http://schemas.openxmlformats.org/officeDocument/2006/relationships/hyperlink" Target="#'08 CROSSWALK'!A1475" TargetMode="External" Id="rId1478"/><Relationship Type="http://schemas.openxmlformats.org/officeDocument/2006/relationships/hyperlink" Target="#'08 CROSSWALK'!A1476" TargetMode="External" Id="rId1479"/><Relationship Type="http://schemas.openxmlformats.org/officeDocument/2006/relationships/hyperlink" Target="#'08 CROSSWALK'!A1477" TargetMode="External" Id="rId1480"/><Relationship Type="http://schemas.openxmlformats.org/officeDocument/2006/relationships/hyperlink" Target="#'08 CROSSWALK'!A1478" TargetMode="External" Id="rId1481"/><Relationship Type="http://schemas.openxmlformats.org/officeDocument/2006/relationships/hyperlink" Target="#'08 CROSSWALK'!A1479" TargetMode="External" Id="rId1482"/><Relationship Type="http://schemas.openxmlformats.org/officeDocument/2006/relationships/hyperlink" Target="#'08 CROSSWALK'!A1480" TargetMode="External" Id="rId1483"/><Relationship Type="http://schemas.openxmlformats.org/officeDocument/2006/relationships/hyperlink" Target="#'08 CROSSWALK'!A1481" TargetMode="External" Id="rId1484"/><Relationship Type="http://schemas.openxmlformats.org/officeDocument/2006/relationships/hyperlink" Target="#'08 CROSSWALK'!A1482" TargetMode="External" Id="rId1485"/><Relationship Type="http://schemas.openxmlformats.org/officeDocument/2006/relationships/hyperlink" Target="#'08 CROSSWALK'!A1483" TargetMode="External" Id="rId1486"/><Relationship Type="http://schemas.openxmlformats.org/officeDocument/2006/relationships/hyperlink" Target="#'08 CROSSWALK'!A1484" TargetMode="External" Id="rId1487"/><Relationship Type="http://schemas.openxmlformats.org/officeDocument/2006/relationships/hyperlink" Target="#'08 CROSSWALK'!A1485" TargetMode="External" Id="rId1488"/><Relationship Type="http://schemas.openxmlformats.org/officeDocument/2006/relationships/hyperlink" Target="#'08 CROSSWALK'!A1486" TargetMode="External" Id="rId1489"/><Relationship Type="http://schemas.openxmlformats.org/officeDocument/2006/relationships/hyperlink" Target="#'08 CROSSWALK'!A1487" TargetMode="External" Id="rId1490"/><Relationship Type="http://schemas.openxmlformats.org/officeDocument/2006/relationships/hyperlink" Target="#'08 CROSSWALK'!A1488" TargetMode="External" Id="rId1491"/><Relationship Type="http://schemas.openxmlformats.org/officeDocument/2006/relationships/hyperlink" Target="#'08 CROSSWALK'!A1489" TargetMode="External" Id="rId1492"/><Relationship Type="http://schemas.openxmlformats.org/officeDocument/2006/relationships/hyperlink" Target="#'08 CROSSWALK'!A1490" TargetMode="External" Id="rId1493"/><Relationship Type="http://schemas.openxmlformats.org/officeDocument/2006/relationships/hyperlink" Target="#'08 CROSSWALK'!A1491" TargetMode="External" Id="rId1494"/><Relationship Type="http://schemas.openxmlformats.org/officeDocument/2006/relationships/hyperlink" Target="#'08 CROSSWALK'!A1492" TargetMode="External" Id="rId1495"/><Relationship Type="http://schemas.openxmlformats.org/officeDocument/2006/relationships/hyperlink" Target="#'08 CROSSWALK'!A1493" TargetMode="External" Id="rId1496"/><Relationship Type="http://schemas.openxmlformats.org/officeDocument/2006/relationships/hyperlink" Target="#'08 CROSSWALK'!A1494" TargetMode="External" Id="rId1497"/><Relationship Type="http://schemas.openxmlformats.org/officeDocument/2006/relationships/hyperlink" Target="#'08 CROSSWALK'!A1495" TargetMode="External" Id="rId1498"/><Relationship Type="http://schemas.openxmlformats.org/officeDocument/2006/relationships/hyperlink" Target="#'08 CROSSWALK'!A1496" TargetMode="External" Id="rId1499"/><Relationship Type="http://schemas.openxmlformats.org/officeDocument/2006/relationships/hyperlink" Target="#'08 CROSSWALK'!A1497" TargetMode="External" Id="rId1500"/><Relationship Type="http://schemas.openxmlformats.org/officeDocument/2006/relationships/hyperlink" Target="#'08 CROSSWALK'!A1498" TargetMode="External" Id="rId1501"/><Relationship Type="http://schemas.openxmlformats.org/officeDocument/2006/relationships/hyperlink" Target="#'08 CROSSWALK'!A1499" TargetMode="External" Id="rId1502"/><Relationship Type="http://schemas.openxmlformats.org/officeDocument/2006/relationships/hyperlink" Target="#'08 CROSSWALK'!A1500" TargetMode="External" Id="rId1503"/><Relationship Type="http://schemas.openxmlformats.org/officeDocument/2006/relationships/hyperlink" Target="#'08 CROSSWALK'!A1501" TargetMode="External" Id="rId1504"/><Relationship Type="http://schemas.openxmlformats.org/officeDocument/2006/relationships/hyperlink" Target="#'08 CROSSWALK'!A1502" TargetMode="External" Id="rId1505"/><Relationship Type="http://schemas.openxmlformats.org/officeDocument/2006/relationships/hyperlink" Target="#'08 CROSSWALK'!A1503" TargetMode="External" Id="rId1506"/><Relationship Type="http://schemas.openxmlformats.org/officeDocument/2006/relationships/hyperlink" Target="#'08 CROSSWALK'!A1504" TargetMode="External" Id="rId1507"/><Relationship Type="http://schemas.openxmlformats.org/officeDocument/2006/relationships/hyperlink" Target="#'08 CROSSWALK'!A1505" TargetMode="External" Id="rId1508"/><Relationship Type="http://schemas.openxmlformats.org/officeDocument/2006/relationships/hyperlink" Target="#'08 CROSSWALK'!A1506" TargetMode="External" Id="rId1509"/><Relationship Type="http://schemas.openxmlformats.org/officeDocument/2006/relationships/hyperlink" Target="#'08 CROSSWALK'!A1507" TargetMode="External" Id="rId1510"/><Relationship Type="http://schemas.openxmlformats.org/officeDocument/2006/relationships/hyperlink" Target="#'08 CROSSWALK'!A1508" TargetMode="External" Id="rId1511"/><Relationship Type="http://schemas.openxmlformats.org/officeDocument/2006/relationships/hyperlink" Target="#'08 CROSSWALK'!A1509" TargetMode="External" Id="rId1512"/><Relationship Type="http://schemas.openxmlformats.org/officeDocument/2006/relationships/hyperlink" Target="#'08 CROSSWALK'!A1510" TargetMode="External" Id="rId1513"/><Relationship Type="http://schemas.openxmlformats.org/officeDocument/2006/relationships/hyperlink" Target="#'08 CROSSWALK'!A1511" TargetMode="External" Id="rId1514"/><Relationship Type="http://schemas.openxmlformats.org/officeDocument/2006/relationships/hyperlink" Target="#'08 CROSSWALK'!A1512" TargetMode="External" Id="rId1515"/><Relationship Type="http://schemas.openxmlformats.org/officeDocument/2006/relationships/hyperlink" Target="#'08 CROSSWALK'!A1513" TargetMode="External" Id="rId1516"/><Relationship Type="http://schemas.openxmlformats.org/officeDocument/2006/relationships/hyperlink" Target="#'08 CROSSWALK'!A1514" TargetMode="External" Id="rId1517"/><Relationship Type="http://schemas.openxmlformats.org/officeDocument/2006/relationships/hyperlink" Target="#'08 CROSSWALK'!A1515" TargetMode="External" Id="rId1518"/><Relationship Type="http://schemas.openxmlformats.org/officeDocument/2006/relationships/hyperlink" Target="#'08 CROSSWALK'!A1516" TargetMode="External" Id="rId1519"/><Relationship Type="http://schemas.openxmlformats.org/officeDocument/2006/relationships/hyperlink" Target="#'08 CROSSWALK'!A1517" TargetMode="External" Id="rId1520"/><Relationship Type="http://schemas.openxmlformats.org/officeDocument/2006/relationships/hyperlink" Target="#'08 CROSSWALK'!A1518" TargetMode="External" Id="rId1521"/><Relationship Type="http://schemas.openxmlformats.org/officeDocument/2006/relationships/hyperlink" Target="#'08 CROSSWALK'!A1519" TargetMode="External" Id="rId1522"/><Relationship Type="http://schemas.openxmlformats.org/officeDocument/2006/relationships/hyperlink" Target="#'08 CROSSWALK'!A1520" TargetMode="External" Id="rId1523"/><Relationship Type="http://schemas.openxmlformats.org/officeDocument/2006/relationships/hyperlink" Target="#'08 CROSSWALK'!A1521" TargetMode="External" Id="rId1524"/><Relationship Type="http://schemas.openxmlformats.org/officeDocument/2006/relationships/hyperlink" Target="#'08 CROSSWALK'!A1522" TargetMode="External" Id="rId1525"/><Relationship Type="http://schemas.openxmlformats.org/officeDocument/2006/relationships/hyperlink" Target="#'08 CROSSWALK'!A1523" TargetMode="External" Id="rId1526"/><Relationship Type="http://schemas.openxmlformats.org/officeDocument/2006/relationships/hyperlink" Target="#'08 CROSSWALK'!A1524" TargetMode="External" Id="rId1527"/><Relationship Type="http://schemas.openxmlformats.org/officeDocument/2006/relationships/hyperlink" Target="#'08 CROSSWALK'!A1525" TargetMode="External" Id="rId1528"/><Relationship Type="http://schemas.openxmlformats.org/officeDocument/2006/relationships/hyperlink" Target="#'08 CROSSWALK'!A1526" TargetMode="External" Id="rId1529"/><Relationship Type="http://schemas.openxmlformats.org/officeDocument/2006/relationships/hyperlink" Target="#'08 CROSSWALK'!A1527" TargetMode="External" Id="rId1530"/><Relationship Type="http://schemas.openxmlformats.org/officeDocument/2006/relationships/hyperlink" Target="#'08 CROSSWALK'!A1528" TargetMode="External" Id="rId1531"/><Relationship Type="http://schemas.openxmlformats.org/officeDocument/2006/relationships/hyperlink" Target="#'08 CROSSWALK'!A1529" TargetMode="External" Id="rId1532"/><Relationship Type="http://schemas.openxmlformats.org/officeDocument/2006/relationships/hyperlink" Target="#'08 CROSSWALK'!A1530" TargetMode="External" Id="rId1533"/><Relationship Type="http://schemas.openxmlformats.org/officeDocument/2006/relationships/hyperlink" Target="#'08 CROSSWALK'!A1531" TargetMode="External" Id="rId1534"/><Relationship Type="http://schemas.openxmlformats.org/officeDocument/2006/relationships/hyperlink" Target="#'08 CROSSWALK'!A1532" TargetMode="External" Id="rId1535"/><Relationship Type="http://schemas.openxmlformats.org/officeDocument/2006/relationships/hyperlink" Target="#'08 CROSSWALK'!A1533" TargetMode="External" Id="rId1536"/><Relationship Type="http://schemas.openxmlformats.org/officeDocument/2006/relationships/hyperlink" Target="#'08 CROSSWALK'!A1534" TargetMode="External" Id="rId1537"/><Relationship Type="http://schemas.openxmlformats.org/officeDocument/2006/relationships/hyperlink" Target="#'08 CROSSWALK'!A1535" TargetMode="External" Id="rId1538"/><Relationship Type="http://schemas.openxmlformats.org/officeDocument/2006/relationships/hyperlink" Target="#'08 CROSSWALK'!A1536" TargetMode="External" Id="rId1539"/><Relationship Type="http://schemas.openxmlformats.org/officeDocument/2006/relationships/hyperlink" Target="#'08 CROSSWALK'!A1537" TargetMode="External" Id="rId1540"/><Relationship Type="http://schemas.openxmlformats.org/officeDocument/2006/relationships/hyperlink" Target="#'08 CROSSWALK'!A1538" TargetMode="External" Id="rId1541"/><Relationship Type="http://schemas.openxmlformats.org/officeDocument/2006/relationships/hyperlink" Target="#'08 CROSSWALK'!A1539" TargetMode="External" Id="rId1542"/><Relationship Type="http://schemas.openxmlformats.org/officeDocument/2006/relationships/hyperlink" Target="#'08 CROSSWALK'!A1540" TargetMode="External" Id="rId1543"/><Relationship Type="http://schemas.openxmlformats.org/officeDocument/2006/relationships/hyperlink" Target="#'08 CROSSWALK'!A1541" TargetMode="External" Id="rId1544"/><Relationship Type="http://schemas.openxmlformats.org/officeDocument/2006/relationships/hyperlink" Target="#'08 CROSSWALK'!A1542" TargetMode="External" Id="rId1545"/><Relationship Type="http://schemas.openxmlformats.org/officeDocument/2006/relationships/hyperlink" Target="#'08 CROSSWALK'!A1543" TargetMode="External" Id="rId1546"/><Relationship Type="http://schemas.openxmlformats.org/officeDocument/2006/relationships/hyperlink" Target="#'08 CROSSWALK'!A1544" TargetMode="External" Id="rId1547"/><Relationship Type="http://schemas.openxmlformats.org/officeDocument/2006/relationships/hyperlink" Target="#'08 CROSSWALK'!A1545" TargetMode="External" Id="rId1548"/><Relationship Type="http://schemas.openxmlformats.org/officeDocument/2006/relationships/hyperlink" Target="#'08 CROSSWALK'!A1546" TargetMode="External" Id="rId1549"/><Relationship Type="http://schemas.openxmlformats.org/officeDocument/2006/relationships/hyperlink" Target="#'08 CROSSWALK'!A1547" TargetMode="External" Id="rId1550"/><Relationship Type="http://schemas.openxmlformats.org/officeDocument/2006/relationships/hyperlink" Target="#'08 CROSSWALK'!A1548" TargetMode="External" Id="rId1551"/><Relationship Type="http://schemas.openxmlformats.org/officeDocument/2006/relationships/hyperlink" Target="#'08 CROSSWALK'!A1549" TargetMode="External" Id="rId1552"/><Relationship Type="http://schemas.openxmlformats.org/officeDocument/2006/relationships/hyperlink" Target="#'08 CROSSWALK'!A1550" TargetMode="External" Id="rId1553"/><Relationship Type="http://schemas.openxmlformats.org/officeDocument/2006/relationships/hyperlink" Target="#'08 CROSSWALK'!A1551" TargetMode="External" Id="rId1554"/><Relationship Type="http://schemas.openxmlformats.org/officeDocument/2006/relationships/hyperlink" Target="#'08 CROSSWALK'!A1552" TargetMode="External" Id="rId1555"/><Relationship Type="http://schemas.openxmlformats.org/officeDocument/2006/relationships/hyperlink" Target="#'08 CROSSWALK'!A1553" TargetMode="External" Id="rId1556"/><Relationship Type="http://schemas.openxmlformats.org/officeDocument/2006/relationships/hyperlink" Target="#'08 CROSSWALK'!A1554" TargetMode="External" Id="rId1557"/><Relationship Type="http://schemas.openxmlformats.org/officeDocument/2006/relationships/hyperlink" Target="#'08 CROSSWALK'!A1555" TargetMode="External" Id="rId1558"/><Relationship Type="http://schemas.openxmlformats.org/officeDocument/2006/relationships/hyperlink" Target="#'08 CROSSWALK'!A1556" TargetMode="External" Id="rId1559"/><Relationship Type="http://schemas.openxmlformats.org/officeDocument/2006/relationships/hyperlink" Target="#'08 CROSSWALK'!A1557" TargetMode="External" Id="rId1560"/><Relationship Type="http://schemas.openxmlformats.org/officeDocument/2006/relationships/hyperlink" Target="#'08 CROSSWALK'!A1558" TargetMode="External" Id="rId1561"/><Relationship Type="http://schemas.openxmlformats.org/officeDocument/2006/relationships/hyperlink" Target="#'08 CROSSWALK'!A1559" TargetMode="External" Id="rId1562"/><Relationship Type="http://schemas.openxmlformats.org/officeDocument/2006/relationships/hyperlink" Target="#'08 CROSSWALK'!A1560" TargetMode="External" Id="rId1563"/><Relationship Type="http://schemas.openxmlformats.org/officeDocument/2006/relationships/hyperlink" Target="#'08 CROSSWALK'!A1561" TargetMode="External" Id="rId1564"/><Relationship Type="http://schemas.openxmlformats.org/officeDocument/2006/relationships/hyperlink" Target="#'08 CROSSWALK'!A1562" TargetMode="External" Id="rId1565"/><Relationship Type="http://schemas.openxmlformats.org/officeDocument/2006/relationships/hyperlink" Target="#'08 CROSSWALK'!A1563" TargetMode="External" Id="rId1566"/><Relationship Type="http://schemas.openxmlformats.org/officeDocument/2006/relationships/hyperlink" Target="#'08 CROSSWALK'!A1564" TargetMode="External" Id="rId1567"/><Relationship Type="http://schemas.openxmlformats.org/officeDocument/2006/relationships/hyperlink" Target="#'08 CROSSWALK'!A1565" TargetMode="External" Id="rId1568"/><Relationship Type="http://schemas.openxmlformats.org/officeDocument/2006/relationships/hyperlink" Target="#'08 CROSSWALK'!A1566" TargetMode="External" Id="rId1569"/><Relationship Type="http://schemas.openxmlformats.org/officeDocument/2006/relationships/hyperlink" Target="#'08 CROSSWALK'!A1567" TargetMode="External" Id="rId1570"/><Relationship Type="http://schemas.openxmlformats.org/officeDocument/2006/relationships/hyperlink" Target="#'08 CROSSWALK'!A1568" TargetMode="External" Id="rId1571"/><Relationship Type="http://schemas.openxmlformats.org/officeDocument/2006/relationships/hyperlink" Target="#'08 CROSSWALK'!A1569" TargetMode="External" Id="rId1572"/><Relationship Type="http://schemas.openxmlformats.org/officeDocument/2006/relationships/hyperlink" Target="#'08 CROSSWALK'!A1570" TargetMode="External" Id="rId1573"/><Relationship Type="http://schemas.openxmlformats.org/officeDocument/2006/relationships/hyperlink" Target="#'08 CROSSWALK'!A1571" TargetMode="External" Id="rId1574"/><Relationship Type="http://schemas.openxmlformats.org/officeDocument/2006/relationships/hyperlink" Target="#'08 CROSSWALK'!A1572" TargetMode="External" Id="rId1575"/><Relationship Type="http://schemas.openxmlformats.org/officeDocument/2006/relationships/hyperlink" Target="#'08 CROSSWALK'!A1573" TargetMode="External" Id="rId1576"/><Relationship Type="http://schemas.openxmlformats.org/officeDocument/2006/relationships/hyperlink" Target="#'08 CROSSWALK'!A1574" TargetMode="External" Id="rId1577"/><Relationship Type="http://schemas.openxmlformats.org/officeDocument/2006/relationships/hyperlink" Target="#'08 CROSSWALK'!A1575" TargetMode="External" Id="rId1578"/><Relationship Type="http://schemas.openxmlformats.org/officeDocument/2006/relationships/hyperlink" Target="#'08 CROSSWALK'!A1576" TargetMode="External" Id="rId1579"/><Relationship Type="http://schemas.openxmlformats.org/officeDocument/2006/relationships/hyperlink" Target="#'08 CROSSWALK'!A1577" TargetMode="External" Id="rId1580"/><Relationship Type="http://schemas.openxmlformats.org/officeDocument/2006/relationships/hyperlink" Target="#'08 CROSSWALK'!A1578" TargetMode="External" Id="rId1581"/><Relationship Type="http://schemas.openxmlformats.org/officeDocument/2006/relationships/hyperlink" Target="#'08 CROSSWALK'!A1579" TargetMode="External" Id="rId1582"/><Relationship Type="http://schemas.openxmlformats.org/officeDocument/2006/relationships/hyperlink" Target="#'08 CROSSWALK'!A1580" TargetMode="External" Id="rId1583"/><Relationship Type="http://schemas.openxmlformats.org/officeDocument/2006/relationships/hyperlink" Target="#'08 CROSSWALK'!A1581" TargetMode="External" Id="rId1584"/><Relationship Type="http://schemas.openxmlformats.org/officeDocument/2006/relationships/hyperlink" Target="#'08 CROSSWALK'!A1582" TargetMode="External" Id="rId1585"/><Relationship Type="http://schemas.openxmlformats.org/officeDocument/2006/relationships/hyperlink" Target="#'08 CROSSWALK'!A1583" TargetMode="External" Id="rId1586"/><Relationship Type="http://schemas.openxmlformats.org/officeDocument/2006/relationships/hyperlink" Target="#'08 CROSSWALK'!A1584" TargetMode="External" Id="rId1587"/><Relationship Type="http://schemas.openxmlformats.org/officeDocument/2006/relationships/hyperlink" Target="#'08 CROSSWALK'!A1585" TargetMode="External" Id="rId1588"/><Relationship Type="http://schemas.openxmlformats.org/officeDocument/2006/relationships/hyperlink" Target="#'08 CROSSWALK'!A1586" TargetMode="External" Id="rId1589"/><Relationship Type="http://schemas.openxmlformats.org/officeDocument/2006/relationships/hyperlink" Target="#'08 CROSSWALK'!A1587" TargetMode="External" Id="rId1590"/><Relationship Type="http://schemas.openxmlformats.org/officeDocument/2006/relationships/hyperlink" Target="#'08 CROSSWALK'!A1588" TargetMode="External" Id="rId1591"/><Relationship Type="http://schemas.openxmlformats.org/officeDocument/2006/relationships/hyperlink" Target="#'08 CROSSWALK'!A1589" TargetMode="External" Id="rId1592"/><Relationship Type="http://schemas.openxmlformats.org/officeDocument/2006/relationships/hyperlink" Target="#'08 CROSSWALK'!A1590" TargetMode="External" Id="rId1593"/><Relationship Type="http://schemas.openxmlformats.org/officeDocument/2006/relationships/hyperlink" Target="#'08 CROSSWALK'!A1591" TargetMode="External" Id="rId1594"/><Relationship Type="http://schemas.openxmlformats.org/officeDocument/2006/relationships/hyperlink" Target="#'08 CROSSWALK'!A1592" TargetMode="External" Id="rId1595"/><Relationship Type="http://schemas.openxmlformats.org/officeDocument/2006/relationships/hyperlink" Target="#'08 CROSSWALK'!A1593" TargetMode="External" Id="rId1596"/><Relationship Type="http://schemas.openxmlformats.org/officeDocument/2006/relationships/hyperlink" Target="#'08 CROSSWALK'!A1594" TargetMode="External" Id="rId1597"/><Relationship Type="http://schemas.openxmlformats.org/officeDocument/2006/relationships/hyperlink" Target="#'08 CROSSWALK'!A1595" TargetMode="External" Id="rId1598"/><Relationship Type="http://schemas.openxmlformats.org/officeDocument/2006/relationships/hyperlink" Target="#'08 CROSSWALK'!A1596" TargetMode="External" Id="rId1599"/><Relationship Type="http://schemas.openxmlformats.org/officeDocument/2006/relationships/hyperlink" Target="#'08 CROSSWALK'!A1597" TargetMode="External" Id="rId1600"/><Relationship Type="http://schemas.openxmlformats.org/officeDocument/2006/relationships/hyperlink" Target="#'08 CROSSWALK'!A1598" TargetMode="External" Id="rId1601"/><Relationship Type="http://schemas.openxmlformats.org/officeDocument/2006/relationships/hyperlink" Target="#'08 CROSSWALK'!A1599" TargetMode="External" Id="rId1602"/><Relationship Type="http://schemas.openxmlformats.org/officeDocument/2006/relationships/hyperlink" Target="#'08 CROSSWALK'!A1600" TargetMode="External" Id="rId1603"/><Relationship Type="http://schemas.openxmlformats.org/officeDocument/2006/relationships/hyperlink" Target="#'08 CROSSWALK'!A1601" TargetMode="External" Id="rId1604"/><Relationship Type="http://schemas.openxmlformats.org/officeDocument/2006/relationships/hyperlink" Target="#'08 CROSSWALK'!A1602" TargetMode="External" Id="rId1605"/><Relationship Type="http://schemas.openxmlformats.org/officeDocument/2006/relationships/hyperlink" Target="#'08 CROSSWALK'!A1603" TargetMode="External" Id="rId1606"/><Relationship Type="http://schemas.openxmlformats.org/officeDocument/2006/relationships/hyperlink" Target="#'08 CROSSWALK'!A1604" TargetMode="External" Id="rId1607"/><Relationship Type="http://schemas.openxmlformats.org/officeDocument/2006/relationships/hyperlink" Target="#'08 CROSSWALK'!A1605" TargetMode="External" Id="rId1608"/><Relationship Type="http://schemas.openxmlformats.org/officeDocument/2006/relationships/hyperlink" Target="#'08 CROSSWALK'!A1606" TargetMode="External" Id="rId1609"/><Relationship Type="http://schemas.openxmlformats.org/officeDocument/2006/relationships/hyperlink" Target="#'08 CROSSWALK'!A1607" TargetMode="External" Id="rId1610"/><Relationship Type="http://schemas.openxmlformats.org/officeDocument/2006/relationships/hyperlink" Target="#'08 CROSSWALK'!A1608" TargetMode="External" Id="rId1611"/><Relationship Type="http://schemas.openxmlformats.org/officeDocument/2006/relationships/hyperlink" Target="#'08 CROSSWALK'!A1609" TargetMode="External" Id="rId1612"/><Relationship Type="http://schemas.openxmlformats.org/officeDocument/2006/relationships/hyperlink" Target="#'08 CROSSWALK'!A1610" TargetMode="External" Id="rId1613"/><Relationship Type="http://schemas.openxmlformats.org/officeDocument/2006/relationships/hyperlink" Target="#'08 CROSSWALK'!A1611" TargetMode="External" Id="rId1614"/><Relationship Type="http://schemas.openxmlformats.org/officeDocument/2006/relationships/hyperlink" Target="#'08 CROSSWALK'!A1612" TargetMode="External" Id="rId1615"/><Relationship Type="http://schemas.openxmlformats.org/officeDocument/2006/relationships/hyperlink" Target="#'08 CROSSWALK'!A1613" TargetMode="External" Id="rId1616"/><Relationship Type="http://schemas.openxmlformats.org/officeDocument/2006/relationships/hyperlink" Target="#'08 CROSSWALK'!A1614" TargetMode="External" Id="rId1617"/><Relationship Type="http://schemas.openxmlformats.org/officeDocument/2006/relationships/hyperlink" Target="#'08 CROSSWALK'!A1615" TargetMode="External" Id="rId1618"/><Relationship Type="http://schemas.openxmlformats.org/officeDocument/2006/relationships/hyperlink" Target="#'08 CROSSWALK'!A1616" TargetMode="External" Id="rId1619"/><Relationship Type="http://schemas.openxmlformats.org/officeDocument/2006/relationships/hyperlink" Target="#'08 CROSSWALK'!A1617" TargetMode="External" Id="rId1620"/><Relationship Type="http://schemas.openxmlformats.org/officeDocument/2006/relationships/hyperlink" Target="#'08 CROSSWALK'!A1618" TargetMode="External" Id="rId1621"/><Relationship Type="http://schemas.openxmlformats.org/officeDocument/2006/relationships/hyperlink" Target="#'08 CROSSWALK'!A1619" TargetMode="External" Id="rId1622"/><Relationship Type="http://schemas.openxmlformats.org/officeDocument/2006/relationships/hyperlink" Target="#'08 CROSSWALK'!A1620" TargetMode="External" Id="rId1623"/><Relationship Type="http://schemas.openxmlformats.org/officeDocument/2006/relationships/hyperlink" Target="#'08 CROSSWALK'!A1621" TargetMode="External" Id="rId1624"/><Relationship Type="http://schemas.openxmlformats.org/officeDocument/2006/relationships/hyperlink" Target="#'08 CROSSWALK'!A1622" TargetMode="External" Id="rId1625"/><Relationship Type="http://schemas.openxmlformats.org/officeDocument/2006/relationships/hyperlink" Target="#'08 CROSSWALK'!A1623" TargetMode="External" Id="rId1626"/><Relationship Type="http://schemas.openxmlformats.org/officeDocument/2006/relationships/hyperlink" Target="#'08 CROSSWALK'!A1624" TargetMode="External" Id="rId1627"/><Relationship Type="http://schemas.openxmlformats.org/officeDocument/2006/relationships/hyperlink" Target="#'08 CROSSWALK'!A1625" TargetMode="External" Id="rId1628"/><Relationship Type="http://schemas.openxmlformats.org/officeDocument/2006/relationships/hyperlink" Target="#'08 CROSSWALK'!A1626" TargetMode="External" Id="rId1629"/><Relationship Type="http://schemas.openxmlformats.org/officeDocument/2006/relationships/hyperlink" Target="#'08 CROSSWALK'!A1627" TargetMode="External" Id="rId1630"/><Relationship Type="http://schemas.openxmlformats.org/officeDocument/2006/relationships/hyperlink" Target="#'08 CROSSWALK'!A1628" TargetMode="External" Id="rId163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10 EVIDENCE &amp; DECISIONS'!A136" TargetMode="External" Id="rId9"/><Relationship Type="http://schemas.openxmlformats.org/officeDocument/2006/relationships/hyperlink" Target="#'10 EVIDENCE &amp; DECISIONS'!A236" TargetMode="External" Id="rId10"/><Relationship Type="http://schemas.openxmlformats.org/officeDocument/2006/relationships/hyperlink" Target="#'10 EVIDENCE &amp; DECISIONS'!A137" TargetMode="External" Id="rId11"/><Relationship Type="http://schemas.openxmlformats.org/officeDocument/2006/relationships/hyperlink" Target="#'10 EVIDENCE &amp; DECISIONS'!A237" TargetMode="External" Id="rId12"/><Relationship Type="http://schemas.openxmlformats.org/officeDocument/2006/relationships/hyperlink" Target="#'10 EVIDENCE &amp; DECISIONS'!A138" TargetMode="External" Id="rId13"/><Relationship Type="http://schemas.openxmlformats.org/officeDocument/2006/relationships/hyperlink" Target="#'10 EVIDENCE &amp; DECISIONS'!A238" TargetMode="External" Id="rId14"/><Relationship Type="http://schemas.openxmlformats.org/officeDocument/2006/relationships/hyperlink" Target="#'10 EVIDENCE &amp; DECISIONS'!A139" TargetMode="External" Id="rId15"/><Relationship Type="http://schemas.openxmlformats.org/officeDocument/2006/relationships/hyperlink" Target="#'10 EVIDENCE &amp; DECISIONS'!A239" TargetMode="External" Id="rId16"/><Relationship Type="http://schemas.openxmlformats.org/officeDocument/2006/relationships/hyperlink" Target="#'10 EVIDENCE &amp; DECISIONS'!A140" TargetMode="External" Id="rId17"/><Relationship Type="http://schemas.openxmlformats.org/officeDocument/2006/relationships/hyperlink" Target="#'10 EVIDENCE &amp; DECISIONS'!A240" TargetMode="External" Id="rId18"/><Relationship Type="http://schemas.openxmlformats.org/officeDocument/2006/relationships/hyperlink" Target="#'10 EVIDENCE &amp; DECISIONS'!A141" TargetMode="External" Id="rId19"/><Relationship Type="http://schemas.openxmlformats.org/officeDocument/2006/relationships/hyperlink" Target="#'10 EVIDENCE &amp; DECISIONS'!A241" TargetMode="External" Id="rId20"/><Relationship Type="http://schemas.openxmlformats.org/officeDocument/2006/relationships/hyperlink" Target="#'10 EVIDENCE &amp; DECISIONS'!A142" TargetMode="External" Id="rId21"/><Relationship Type="http://schemas.openxmlformats.org/officeDocument/2006/relationships/hyperlink" Target="#'10 EVIDENCE &amp; DECISIONS'!A242" TargetMode="External" Id="rId22"/><Relationship Type="http://schemas.openxmlformats.org/officeDocument/2006/relationships/hyperlink" Target="#'10 EVIDENCE &amp; DECISIONS'!A143" TargetMode="External" Id="rId23"/><Relationship Type="http://schemas.openxmlformats.org/officeDocument/2006/relationships/hyperlink" Target="#'10 EVIDENCE &amp; DECISIONS'!A243" TargetMode="External" Id="rId24"/><Relationship Type="http://schemas.openxmlformats.org/officeDocument/2006/relationships/hyperlink" Target="#'10 EVIDENCE &amp; DECISIONS'!A144" TargetMode="External" Id="rId25"/><Relationship Type="http://schemas.openxmlformats.org/officeDocument/2006/relationships/hyperlink" Target="#'10 EVIDENCE &amp; DECISIONS'!A244" TargetMode="External" Id="rId26"/><Relationship Type="http://schemas.openxmlformats.org/officeDocument/2006/relationships/hyperlink" Target="#'10 EVIDENCE &amp; DECISIONS'!A145" TargetMode="External" Id="rId27"/><Relationship Type="http://schemas.openxmlformats.org/officeDocument/2006/relationships/hyperlink" Target="#'10 EVIDENCE &amp; DECISIONS'!A245" TargetMode="External" Id="rId28"/><Relationship Type="http://schemas.openxmlformats.org/officeDocument/2006/relationships/hyperlink" Target="#'10 EVIDENCE &amp; DECISIONS'!A146" TargetMode="External" Id="rId29"/><Relationship Type="http://schemas.openxmlformats.org/officeDocument/2006/relationships/hyperlink" Target="#'10 EVIDENCE &amp; DECISIONS'!A246" TargetMode="External" Id="rId30"/><Relationship Type="http://schemas.openxmlformats.org/officeDocument/2006/relationships/hyperlink" Target="#'10 EVIDENCE &amp; DECISIONS'!A147" TargetMode="External" Id="rId31"/><Relationship Type="http://schemas.openxmlformats.org/officeDocument/2006/relationships/hyperlink" Target="#'10 EVIDENCE &amp; DECISIONS'!A247" TargetMode="External" Id="rId32"/><Relationship Type="http://schemas.openxmlformats.org/officeDocument/2006/relationships/hyperlink" Target="#'10 EVIDENCE &amp; DECISIONS'!A148" TargetMode="External" Id="rId33"/><Relationship Type="http://schemas.openxmlformats.org/officeDocument/2006/relationships/hyperlink" Target="#'10 EVIDENCE &amp; DECISIONS'!A248" TargetMode="External" Id="rId34"/><Relationship Type="http://schemas.openxmlformats.org/officeDocument/2006/relationships/hyperlink" Target="#'10 EVIDENCE &amp; DECISIONS'!A149" TargetMode="External" Id="rId35"/><Relationship Type="http://schemas.openxmlformats.org/officeDocument/2006/relationships/hyperlink" Target="#'10 EVIDENCE &amp; DECISIONS'!A249" TargetMode="External" Id="rId36"/><Relationship Type="http://schemas.openxmlformats.org/officeDocument/2006/relationships/hyperlink" Target="#'10 EVIDENCE &amp; DECISIONS'!A150" TargetMode="External" Id="rId37"/><Relationship Type="http://schemas.openxmlformats.org/officeDocument/2006/relationships/hyperlink" Target="#'10 EVIDENCE &amp; DECISIONS'!A250" TargetMode="External" Id="rId38"/><Relationship Type="http://schemas.openxmlformats.org/officeDocument/2006/relationships/hyperlink" Target="#'10 EVIDENCE &amp; DECISIONS'!A151" TargetMode="External" Id="rId39"/><Relationship Type="http://schemas.openxmlformats.org/officeDocument/2006/relationships/hyperlink" Target="#'10 EVIDENCE &amp; DECISIONS'!A251" TargetMode="External" Id="rId40"/><Relationship Type="http://schemas.openxmlformats.org/officeDocument/2006/relationships/hyperlink" Target="#'10 EVIDENCE &amp; DECISIONS'!A152" TargetMode="External" Id="rId41"/><Relationship Type="http://schemas.openxmlformats.org/officeDocument/2006/relationships/hyperlink" Target="#'10 EVIDENCE &amp; DECISIONS'!A252" TargetMode="External" Id="rId42"/><Relationship Type="http://schemas.openxmlformats.org/officeDocument/2006/relationships/hyperlink" Target="#'10 EVIDENCE &amp; DECISIONS'!A153" TargetMode="External" Id="rId43"/><Relationship Type="http://schemas.openxmlformats.org/officeDocument/2006/relationships/hyperlink" Target="#'10 EVIDENCE &amp; DECISIONS'!A253" TargetMode="External" Id="rId44"/><Relationship Type="http://schemas.openxmlformats.org/officeDocument/2006/relationships/hyperlink" Target="#'10 EVIDENCE &amp; DECISIONS'!A154" TargetMode="External" Id="rId45"/><Relationship Type="http://schemas.openxmlformats.org/officeDocument/2006/relationships/hyperlink" Target="#'10 EVIDENCE &amp; DECISIONS'!A254" TargetMode="External" Id="rId46"/><Relationship Type="http://schemas.openxmlformats.org/officeDocument/2006/relationships/hyperlink" Target="#'10 EVIDENCE &amp; DECISIONS'!A155" TargetMode="External" Id="rId47"/><Relationship Type="http://schemas.openxmlformats.org/officeDocument/2006/relationships/hyperlink" Target="#'10 EVIDENCE &amp; DECISIONS'!A255" TargetMode="External" Id="rId48"/><Relationship Type="http://schemas.openxmlformats.org/officeDocument/2006/relationships/hyperlink" Target="#'10 EVIDENCE &amp; DECISIONS'!A156" TargetMode="External" Id="rId49"/><Relationship Type="http://schemas.openxmlformats.org/officeDocument/2006/relationships/hyperlink" Target="#'10 EVIDENCE &amp; DECISIONS'!A256" TargetMode="External" Id="rId50"/><Relationship Type="http://schemas.openxmlformats.org/officeDocument/2006/relationships/hyperlink" Target="#'10 EVIDENCE &amp; DECISIONS'!A157" TargetMode="External" Id="rId51"/><Relationship Type="http://schemas.openxmlformats.org/officeDocument/2006/relationships/hyperlink" Target="#'10 EVIDENCE &amp; DECISIONS'!A257" TargetMode="External" Id="rId52"/><Relationship Type="http://schemas.openxmlformats.org/officeDocument/2006/relationships/hyperlink" Target="#'10 EVIDENCE &amp; DECISIONS'!A158" TargetMode="External" Id="rId53"/><Relationship Type="http://schemas.openxmlformats.org/officeDocument/2006/relationships/hyperlink" Target="#'10 EVIDENCE &amp; DECISIONS'!A258" TargetMode="External" Id="rId54"/><Relationship Type="http://schemas.openxmlformats.org/officeDocument/2006/relationships/hyperlink" Target="#'10 EVIDENCE &amp; DECISIONS'!A159" TargetMode="External" Id="rId55"/><Relationship Type="http://schemas.openxmlformats.org/officeDocument/2006/relationships/hyperlink" Target="#'10 EVIDENCE &amp; DECISIONS'!A259" TargetMode="External" Id="rId56"/><Relationship Type="http://schemas.openxmlformats.org/officeDocument/2006/relationships/hyperlink" Target="#'10 EVIDENCE &amp; DECISIONS'!A160" TargetMode="External" Id="rId57"/><Relationship Type="http://schemas.openxmlformats.org/officeDocument/2006/relationships/hyperlink" Target="#'10 EVIDENCE &amp; DECISIONS'!A260" TargetMode="External" Id="rId58"/><Relationship Type="http://schemas.openxmlformats.org/officeDocument/2006/relationships/hyperlink" Target="#'10 EVIDENCE &amp; DECISIONS'!A161" TargetMode="External" Id="rId59"/><Relationship Type="http://schemas.openxmlformats.org/officeDocument/2006/relationships/hyperlink" Target="#'10 EVIDENCE &amp; DECISIONS'!A261" TargetMode="External" Id="rId60"/><Relationship Type="http://schemas.openxmlformats.org/officeDocument/2006/relationships/hyperlink" Target="#'10 EVIDENCE &amp; DECISIONS'!A162" TargetMode="External" Id="rId61"/><Relationship Type="http://schemas.openxmlformats.org/officeDocument/2006/relationships/hyperlink" Target="#'10 EVIDENCE &amp; DECISIONS'!A262" TargetMode="External" Id="rId62"/><Relationship Type="http://schemas.openxmlformats.org/officeDocument/2006/relationships/hyperlink" Target="#'10 EVIDENCE &amp; DECISIONS'!A163" TargetMode="External" Id="rId63"/><Relationship Type="http://schemas.openxmlformats.org/officeDocument/2006/relationships/hyperlink" Target="#'10 EVIDENCE &amp; DECISIONS'!A263" TargetMode="External" Id="rId64"/><Relationship Type="http://schemas.openxmlformats.org/officeDocument/2006/relationships/hyperlink" Target="#'10 EVIDENCE &amp; DECISIONS'!A164" TargetMode="External" Id="rId65"/><Relationship Type="http://schemas.openxmlformats.org/officeDocument/2006/relationships/hyperlink" Target="#'10 EVIDENCE &amp; DECISIONS'!A264" TargetMode="External" Id="rId66"/><Relationship Type="http://schemas.openxmlformats.org/officeDocument/2006/relationships/hyperlink" Target="#'10 EVIDENCE &amp; DECISIONS'!A165" TargetMode="External" Id="rId67"/><Relationship Type="http://schemas.openxmlformats.org/officeDocument/2006/relationships/hyperlink" Target="#'10 EVIDENCE &amp; DECISIONS'!A265" TargetMode="External" Id="rId68"/><Relationship Type="http://schemas.openxmlformats.org/officeDocument/2006/relationships/hyperlink" Target="#'10 EVIDENCE &amp; DECISIONS'!A166" TargetMode="External" Id="rId69"/><Relationship Type="http://schemas.openxmlformats.org/officeDocument/2006/relationships/hyperlink" Target="#'10 EVIDENCE &amp; DECISIONS'!A266" TargetMode="External" Id="rId70"/><Relationship Type="http://schemas.openxmlformats.org/officeDocument/2006/relationships/hyperlink" Target="#'10 EVIDENCE &amp; DECISIONS'!A167" TargetMode="External" Id="rId71"/><Relationship Type="http://schemas.openxmlformats.org/officeDocument/2006/relationships/hyperlink" Target="#'10 EVIDENCE &amp; DECISIONS'!A267" TargetMode="External" Id="rId72"/><Relationship Type="http://schemas.openxmlformats.org/officeDocument/2006/relationships/hyperlink" Target="#'10 EVIDENCE &amp; DECISIONS'!A168" TargetMode="External" Id="rId73"/><Relationship Type="http://schemas.openxmlformats.org/officeDocument/2006/relationships/hyperlink" Target="#'10 EVIDENCE &amp; DECISIONS'!A268" TargetMode="External" Id="rId74"/><Relationship Type="http://schemas.openxmlformats.org/officeDocument/2006/relationships/hyperlink" Target="#'10 EVIDENCE &amp; DECISIONS'!A169" TargetMode="External" Id="rId75"/><Relationship Type="http://schemas.openxmlformats.org/officeDocument/2006/relationships/hyperlink" Target="#'10 EVIDENCE &amp; DECISIONS'!A269" TargetMode="External" Id="rId76"/><Relationship Type="http://schemas.openxmlformats.org/officeDocument/2006/relationships/hyperlink" Target="#'10 EVIDENCE &amp; DECISIONS'!A170" TargetMode="External" Id="rId77"/><Relationship Type="http://schemas.openxmlformats.org/officeDocument/2006/relationships/hyperlink" Target="#'10 EVIDENCE &amp; DECISIONS'!A270" TargetMode="External" Id="rId78"/><Relationship Type="http://schemas.openxmlformats.org/officeDocument/2006/relationships/hyperlink" Target="#'10 EVIDENCE &amp; DECISIONS'!A171" TargetMode="External" Id="rId79"/><Relationship Type="http://schemas.openxmlformats.org/officeDocument/2006/relationships/hyperlink" Target="#'10 EVIDENCE &amp; DECISIONS'!A271" TargetMode="External" Id="rId80"/><Relationship Type="http://schemas.openxmlformats.org/officeDocument/2006/relationships/hyperlink" Target="#'10 EVIDENCE &amp; DECISIONS'!A172" TargetMode="External" Id="rId81"/><Relationship Type="http://schemas.openxmlformats.org/officeDocument/2006/relationships/hyperlink" Target="#'10 EVIDENCE &amp; DECISIONS'!A272" TargetMode="External" Id="rId82"/><Relationship Type="http://schemas.openxmlformats.org/officeDocument/2006/relationships/hyperlink" Target="#'10 EVIDENCE &amp; DECISIONS'!A173" TargetMode="External" Id="rId83"/><Relationship Type="http://schemas.openxmlformats.org/officeDocument/2006/relationships/hyperlink" Target="#'10 EVIDENCE &amp; DECISIONS'!A273" TargetMode="External" Id="rId84"/><Relationship Type="http://schemas.openxmlformats.org/officeDocument/2006/relationships/hyperlink" Target="#'10 EVIDENCE &amp; DECISIONS'!A174" TargetMode="External" Id="rId85"/><Relationship Type="http://schemas.openxmlformats.org/officeDocument/2006/relationships/hyperlink" Target="#'10 EVIDENCE &amp; DECISIONS'!A274" TargetMode="External" Id="rId86"/><Relationship Type="http://schemas.openxmlformats.org/officeDocument/2006/relationships/hyperlink" Target="#'10 EVIDENCE &amp; DECISIONS'!A175" TargetMode="External" Id="rId87"/><Relationship Type="http://schemas.openxmlformats.org/officeDocument/2006/relationships/hyperlink" Target="#'10 EVIDENCE &amp; DECISIONS'!A275" TargetMode="External" Id="rId88"/><Relationship Type="http://schemas.openxmlformats.org/officeDocument/2006/relationships/hyperlink" Target="#'10 EVIDENCE &amp; DECISIONS'!A407" TargetMode="External" Id="rId89"/><Relationship Type="http://schemas.openxmlformats.org/officeDocument/2006/relationships/hyperlink" Target="#'10 EVIDENCE &amp; DECISIONS'!A506" TargetMode="External" Id="rId90"/><Relationship Type="http://schemas.openxmlformats.org/officeDocument/2006/relationships/hyperlink" Target="#'10 EVIDENCE &amp; DECISIONS'!A408" TargetMode="External" Id="rId91"/><Relationship Type="http://schemas.openxmlformats.org/officeDocument/2006/relationships/hyperlink" Target="#'10 EVIDENCE &amp; DECISIONS'!A507" TargetMode="External" Id="rId92"/><Relationship Type="http://schemas.openxmlformats.org/officeDocument/2006/relationships/hyperlink" Target="#'10 EVIDENCE &amp; DECISIONS'!A409" TargetMode="External" Id="rId93"/><Relationship Type="http://schemas.openxmlformats.org/officeDocument/2006/relationships/hyperlink" Target="#'10 EVIDENCE &amp; DECISIONS'!A508" TargetMode="External" Id="rId94"/><Relationship Type="http://schemas.openxmlformats.org/officeDocument/2006/relationships/hyperlink" Target="#'10 EVIDENCE &amp; DECISIONS'!A410" TargetMode="External" Id="rId95"/><Relationship Type="http://schemas.openxmlformats.org/officeDocument/2006/relationships/hyperlink" Target="#'10 EVIDENCE &amp; DECISIONS'!A509" TargetMode="External" Id="rId96"/><Relationship Type="http://schemas.openxmlformats.org/officeDocument/2006/relationships/hyperlink" Target="#'10 EVIDENCE &amp; DECISIONS'!A411" TargetMode="External" Id="rId97"/><Relationship Type="http://schemas.openxmlformats.org/officeDocument/2006/relationships/hyperlink" Target="#'10 EVIDENCE &amp; DECISIONS'!A510" TargetMode="External" Id="rId98"/><Relationship Type="http://schemas.openxmlformats.org/officeDocument/2006/relationships/hyperlink" Target="#'10 EVIDENCE &amp; DECISIONS'!A412" TargetMode="External" Id="rId99"/><Relationship Type="http://schemas.openxmlformats.org/officeDocument/2006/relationships/hyperlink" Target="#'10 EVIDENCE &amp; DECISIONS'!A511" TargetMode="External" Id="rId100"/><Relationship Type="http://schemas.openxmlformats.org/officeDocument/2006/relationships/hyperlink" Target="#'10 EVIDENCE &amp; DECISIONS'!A413" TargetMode="External" Id="rId101"/><Relationship Type="http://schemas.openxmlformats.org/officeDocument/2006/relationships/hyperlink" Target="#'10 EVIDENCE &amp; DECISIONS'!A512" TargetMode="External" Id="rId102"/><Relationship Type="http://schemas.openxmlformats.org/officeDocument/2006/relationships/hyperlink" Target="#'10 EVIDENCE &amp; DECISIONS'!A414" TargetMode="External" Id="rId103"/><Relationship Type="http://schemas.openxmlformats.org/officeDocument/2006/relationships/hyperlink" Target="#'10 EVIDENCE &amp; DECISIONS'!A513" TargetMode="External" Id="rId104"/><Relationship Type="http://schemas.openxmlformats.org/officeDocument/2006/relationships/hyperlink" Target="#'10 EVIDENCE &amp; DECISIONS'!A415" TargetMode="External" Id="rId105"/><Relationship Type="http://schemas.openxmlformats.org/officeDocument/2006/relationships/hyperlink" Target="#'10 EVIDENCE &amp; DECISIONS'!A514" TargetMode="External" Id="rId106"/><Relationship Type="http://schemas.openxmlformats.org/officeDocument/2006/relationships/hyperlink" Target="#'10 EVIDENCE &amp; DECISIONS'!A416" TargetMode="External" Id="rId107"/><Relationship Type="http://schemas.openxmlformats.org/officeDocument/2006/relationships/hyperlink" Target="#'10 EVIDENCE &amp; DECISIONS'!A515" TargetMode="External" Id="rId108"/><Relationship Type="http://schemas.openxmlformats.org/officeDocument/2006/relationships/hyperlink" Target="#'10 EVIDENCE &amp; DECISIONS'!A417" TargetMode="External" Id="rId109"/><Relationship Type="http://schemas.openxmlformats.org/officeDocument/2006/relationships/hyperlink" Target="#'10 EVIDENCE &amp; DECISIONS'!A516" TargetMode="External" Id="rId110"/><Relationship Type="http://schemas.openxmlformats.org/officeDocument/2006/relationships/hyperlink" Target="#'10 EVIDENCE &amp; DECISIONS'!A418" TargetMode="External" Id="rId111"/><Relationship Type="http://schemas.openxmlformats.org/officeDocument/2006/relationships/hyperlink" Target="#'10 EVIDENCE &amp; DECISIONS'!A517" TargetMode="External" Id="rId112"/><Relationship Type="http://schemas.openxmlformats.org/officeDocument/2006/relationships/hyperlink" Target="#'10 EVIDENCE &amp; DECISIONS'!A419" TargetMode="External" Id="rId113"/><Relationship Type="http://schemas.openxmlformats.org/officeDocument/2006/relationships/hyperlink" Target="#'10 EVIDENCE &amp; DECISIONS'!A518" TargetMode="External" Id="rId114"/><Relationship Type="http://schemas.openxmlformats.org/officeDocument/2006/relationships/hyperlink" Target="#'10 EVIDENCE &amp; DECISIONS'!A420" TargetMode="External" Id="rId115"/><Relationship Type="http://schemas.openxmlformats.org/officeDocument/2006/relationships/hyperlink" Target="#'10 EVIDENCE &amp; DECISIONS'!A519" TargetMode="External" Id="rId116"/><Relationship Type="http://schemas.openxmlformats.org/officeDocument/2006/relationships/hyperlink" Target="#'10 EVIDENCE &amp; DECISIONS'!A421" TargetMode="External" Id="rId117"/><Relationship Type="http://schemas.openxmlformats.org/officeDocument/2006/relationships/hyperlink" Target="#'10 EVIDENCE &amp; DECISIONS'!A520" TargetMode="External" Id="rId118"/><Relationship Type="http://schemas.openxmlformats.org/officeDocument/2006/relationships/hyperlink" Target="#'10 EVIDENCE &amp; DECISIONS'!A422" TargetMode="External" Id="rId119"/><Relationship Type="http://schemas.openxmlformats.org/officeDocument/2006/relationships/hyperlink" Target="#'10 EVIDENCE &amp; DECISIONS'!A521" TargetMode="External" Id="rId120"/><Relationship Type="http://schemas.openxmlformats.org/officeDocument/2006/relationships/hyperlink" Target="#'10 EVIDENCE &amp; DECISIONS'!A423" TargetMode="External" Id="rId121"/><Relationship Type="http://schemas.openxmlformats.org/officeDocument/2006/relationships/hyperlink" Target="#'10 EVIDENCE &amp; DECISIONS'!A522" TargetMode="External" Id="rId122"/><Relationship Type="http://schemas.openxmlformats.org/officeDocument/2006/relationships/hyperlink" Target="#'10 EVIDENCE &amp; DECISIONS'!A424" TargetMode="External" Id="rId123"/><Relationship Type="http://schemas.openxmlformats.org/officeDocument/2006/relationships/hyperlink" Target="#'10 EVIDENCE &amp; DECISIONS'!A523" TargetMode="External" Id="rId124"/><Relationship Type="http://schemas.openxmlformats.org/officeDocument/2006/relationships/hyperlink" Target="#'10 EVIDENCE &amp; DECISIONS'!A425" TargetMode="External" Id="rId125"/><Relationship Type="http://schemas.openxmlformats.org/officeDocument/2006/relationships/hyperlink" Target="#'10 EVIDENCE &amp; DECISIONS'!A524" TargetMode="External" Id="rId126"/><Relationship Type="http://schemas.openxmlformats.org/officeDocument/2006/relationships/hyperlink" Target="#'10 EVIDENCE &amp; DECISIONS'!A426" TargetMode="External" Id="rId127"/><Relationship Type="http://schemas.openxmlformats.org/officeDocument/2006/relationships/hyperlink" Target="#'10 EVIDENCE &amp; DECISIONS'!A525" TargetMode="External" Id="rId128"/><Relationship Type="http://schemas.openxmlformats.org/officeDocument/2006/relationships/hyperlink" Target="#'10 EVIDENCE &amp; DECISIONS'!A427" TargetMode="External" Id="rId129"/><Relationship Type="http://schemas.openxmlformats.org/officeDocument/2006/relationships/hyperlink" Target="#'10 EVIDENCE &amp; DECISIONS'!A526" TargetMode="External" Id="rId130"/><Relationship Type="http://schemas.openxmlformats.org/officeDocument/2006/relationships/hyperlink" Target="#'10 EVIDENCE &amp; DECISIONS'!A428" TargetMode="External" Id="rId131"/><Relationship Type="http://schemas.openxmlformats.org/officeDocument/2006/relationships/hyperlink" Target="#'10 EVIDENCE &amp; DECISIONS'!A527" TargetMode="External" Id="rId132"/><Relationship Type="http://schemas.openxmlformats.org/officeDocument/2006/relationships/hyperlink" Target="#'10 EVIDENCE &amp; DECISIONS'!A429" TargetMode="External" Id="rId133"/><Relationship Type="http://schemas.openxmlformats.org/officeDocument/2006/relationships/hyperlink" Target="#'10 EVIDENCE &amp; DECISIONS'!A528" TargetMode="External" Id="rId134"/><Relationship Type="http://schemas.openxmlformats.org/officeDocument/2006/relationships/hyperlink" Target="#'10 EVIDENCE &amp; DECISIONS'!A430" TargetMode="External" Id="rId135"/><Relationship Type="http://schemas.openxmlformats.org/officeDocument/2006/relationships/hyperlink" Target="#'10 EVIDENCE &amp; DECISIONS'!A529" TargetMode="External" Id="rId136"/><Relationship Type="http://schemas.openxmlformats.org/officeDocument/2006/relationships/hyperlink" Target="#'10 EVIDENCE &amp; DECISIONS'!A431" TargetMode="External" Id="rId137"/><Relationship Type="http://schemas.openxmlformats.org/officeDocument/2006/relationships/hyperlink" Target="#'10 EVIDENCE &amp; DECISIONS'!A530" TargetMode="External" Id="rId138"/><Relationship Type="http://schemas.openxmlformats.org/officeDocument/2006/relationships/hyperlink" Target="#'10 EVIDENCE &amp; DECISIONS'!A432" TargetMode="External" Id="rId139"/><Relationship Type="http://schemas.openxmlformats.org/officeDocument/2006/relationships/hyperlink" Target="#'10 EVIDENCE &amp; DECISIONS'!A531" TargetMode="External" Id="rId140"/><Relationship Type="http://schemas.openxmlformats.org/officeDocument/2006/relationships/hyperlink" Target="#'10 EVIDENCE &amp; DECISIONS'!A433" TargetMode="External" Id="rId141"/><Relationship Type="http://schemas.openxmlformats.org/officeDocument/2006/relationships/hyperlink" Target="#'10 EVIDENCE &amp; DECISIONS'!A532" TargetMode="External" Id="rId142"/><Relationship Type="http://schemas.openxmlformats.org/officeDocument/2006/relationships/hyperlink" Target="#'10 EVIDENCE &amp; DECISIONS'!A434" TargetMode="External" Id="rId143"/><Relationship Type="http://schemas.openxmlformats.org/officeDocument/2006/relationships/hyperlink" Target="#'10 EVIDENCE &amp; DECISIONS'!A533" TargetMode="External" Id="rId144"/><Relationship Type="http://schemas.openxmlformats.org/officeDocument/2006/relationships/hyperlink" Target="#'10 EVIDENCE &amp; DECISIONS'!A435" TargetMode="External" Id="rId145"/><Relationship Type="http://schemas.openxmlformats.org/officeDocument/2006/relationships/hyperlink" Target="#'10 EVIDENCE &amp; DECISIONS'!A534" TargetMode="External" Id="rId146"/><Relationship Type="http://schemas.openxmlformats.org/officeDocument/2006/relationships/hyperlink" Target="#'10 EVIDENCE &amp; DECISIONS'!A436" TargetMode="External" Id="rId147"/><Relationship Type="http://schemas.openxmlformats.org/officeDocument/2006/relationships/hyperlink" Target="#'10 EVIDENCE &amp; DECISIONS'!A535" TargetMode="External" Id="rId148"/><Relationship Type="http://schemas.openxmlformats.org/officeDocument/2006/relationships/hyperlink" Target="#'10 EVIDENCE &amp; DECISIONS'!A437" TargetMode="External" Id="rId149"/><Relationship Type="http://schemas.openxmlformats.org/officeDocument/2006/relationships/hyperlink" Target="#'10 EVIDENCE &amp; DECISIONS'!A536" TargetMode="External" Id="rId150"/><Relationship Type="http://schemas.openxmlformats.org/officeDocument/2006/relationships/hyperlink" Target="#'10 EVIDENCE &amp; DECISIONS'!A438" TargetMode="External" Id="rId151"/><Relationship Type="http://schemas.openxmlformats.org/officeDocument/2006/relationships/hyperlink" Target="#'10 EVIDENCE &amp; DECISIONS'!A537" TargetMode="External" Id="rId152"/><Relationship Type="http://schemas.openxmlformats.org/officeDocument/2006/relationships/hyperlink" Target="#'10 EVIDENCE &amp; DECISIONS'!A439" TargetMode="External" Id="rId153"/><Relationship Type="http://schemas.openxmlformats.org/officeDocument/2006/relationships/hyperlink" Target="#'10 EVIDENCE &amp; DECISIONS'!A538" TargetMode="External" Id="rId154"/><Relationship Type="http://schemas.openxmlformats.org/officeDocument/2006/relationships/hyperlink" Target="#'10 EVIDENCE &amp; DECISIONS'!A440" TargetMode="External" Id="rId155"/><Relationship Type="http://schemas.openxmlformats.org/officeDocument/2006/relationships/hyperlink" Target="#'10 EVIDENCE &amp; DECISIONS'!A539" TargetMode="External" Id="rId156"/><Relationship Type="http://schemas.openxmlformats.org/officeDocument/2006/relationships/hyperlink" Target="#'10 EVIDENCE &amp; DECISIONS'!A441" TargetMode="External" Id="rId157"/><Relationship Type="http://schemas.openxmlformats.org/officeDocument/2006/relationships/hyperlink" Target="#'10 EVIDENCE &amp; DECISIONS'!A540" TargetMode="External" Id="rId158"/><Relationship Type="http://schemas.openxmlformats.org/officeDocument/2006/relationships/hyperlink" Target="#'10 EVIDENCE &amp; DECISIONS'!A442" TargetMode="External" Id="rId159"/><Relationship Type="http://schemas.openxmlformats.org/officeDocument/2006/relationships/hyperlink" Target="#'10 EVIDENCE &amp; DECISIONS'!A541" TargetMode="External" Id="rId160"/><Relationship Type="http://schemas.openxmlformats.org/officeDocument/2006/relationships/hyperlink" Target="#'10 EVIDENCE &amp; DECISIONS'!A443" TargetMode="External" Id="rId161"/><Relationship Type="http://schemas.openxmlformats.org/officeDocument/2006/relationships/hyperlink" Target="#'10 EVIDENCE &amp; DECISIONS'!A542" TargetMode="External" Id="rId162"/><Relationship Type="http://schemas.openxmlformats.org/officeDocument/2006/relationships/hyperlink" Target="#'10 EVIDENCE &amp; DECISIONS'!A444" TargetMode="External" Id="rId163"/><Relationship Type="http://schemas.openxmlformats.org/officeDocument/2006/relationships/hyperlink" Target="#'10 EVIDENCE &amp; DECISIONS'!A543" TargetMode="External" Id="rId164"/><Relationship Type="http://schemas.openxmlformats.org/officeDocument/2006/relationships/hyperlink" Target="#'10 EVIDENCE &amp; DECISIONS'!A445" TargetMode="External" Id="rId165"/><Relationship Type="http://schemas.openxmlformats.org/officeDocument/2006/relationships/hyperlink" Target="#'10 EVIDENCE &amp; DECISIONS'!A544" TargetMode="External" Id="rId166"/><Relationship Type="http://schemas.openxmlformats.org/officeDocument/2006/relationships/hyperlink" Target="#'10 EVIDENCE &amp; DECISIONS'!A446" TargetMode="External" Id="rId167"/><Relationship Type="http://schemas.openxmlformats.org/officeDocument/2006/relationships/hyperlink" Target="#'10 EVIDENCE &amp; DECISIONS'!A545" TargetMode="External" Id="rId168"/><Relationship Type="http://schemas.openxmlformats.org/officeDocument/2006/relationships/hyperlink" Target="#'10 EVIDENCE &amp; DECISIONS'!A676" TargetMode="External" Id="rId169"/><Relationship Type="http://schemas.openxmlformats.org/officeDocument/2006/relationships/hyperlink" Target="#'10 EVIDENCE &amp; DECISIONS'!A776" TargetMode="External" Id="rId170"/><Relationship Type="http://schemas.openxmlformats.org/officeDocument/2006/relationships/hyperlink" Target="#'10 EVIDENCE &amp; DECISIONS'!A677" TargetMode="External" Id="rId171"/><Relationship Type="http://schemas.openxmlformats.org/officeDocument/2006/relationships/hyperlink" Target="#'10 EVIDENCE &amp; DECISIONS'!A1548" TargetMode="External" Id="rId172"/><Relationship Type="http://schemas.openxmlformats.org/officeDocument/2006/relationships/hyperlink" Target="#'10 EVIDENCE &amp; DECISIONS'!A678" TargetMode="External" Id="rId173"/><Relationship Type="http://schemas.openxmlformats.org/officeDocument/2006/relationships/hyperlink" Target="#'10 EVIDENCE &amp; DECISIONS'!A777" TargetMode="External" Id="rId174"/><Relationship Type="http://schemas.openxmlformats.org/officeDocument/2006/relationships/hyperlink" Target="#'10 EVIDENCE &amp; DECISIONS'!A679" TargetMode="External" Id="rId175"/><Relationship Type="http://schemas.openxmlformats.org/officeDocument/2006/relationships/hyperlink" Target="#'10 EVIDENCE &amp; DECISIONS'!A778" TargetMode="External" Id="rId176"/><Relationship Type="http://schemas.openxmlformats.org/officeDocument/2006/relationships/hyperlink" Target="#'10 EVIDENCE &amp; DECISIONS'!A680" TargetMode="External" Id="rId177"/><Relationship Type="http://schemas.openxmlformats.org/officeDocument/2006/relationships/hyperlink" Target="#'10 EVIDENCE &amp; DECISIONS'!A779" TargetMode="External" Id="rId178"/><Relationship Type="http://schemas.openxmlformats.org/officeDocument/2006/relationships/hyperlink" Target="#'10 EVIDENCE &amp; DECISIONS'!A681" TargetMode="External" Id="rId179"/><Relationship Type="http://schemas.openxmlformats.org/officeDocument/2006/relationships/hyperlink" Target="#'10 EVIDENCE &amp; DECISIONS'!A780" TargetMode="External" Id="rId180"/><Relationship Type="http://schemas.openxmlformats.org/officeDocument/2006/relationships/hyperlink" Target="#'10 EVIDENCE &amp; DECISIONS'!A682" TargetMode="External" Id="rId181"/><Relationship Type="http://schemas.openxmlformats.org/officeDocument/2006/relationships/hyperlink" Target="#'10 EVIDENCE &amp; DECISIONS'!A781" TargetMode="External" Id="rId182"/><Relationship Type="http://schemas.openxmlformats.org/officeDocument/2006/relationships/hyperlink" Target="#'10 EVIDENCE &amp; DECISIONS'!A683" TargetMode="External" Id="rId183"/><Relationship Type="http://schemas.openxmlformats.org/officeDocument/2006/relationships/hyperlink" Target="#'10 EVIDENCE &amp; DECISIONS'!A782" TargetMode="External" Id="rId184"/><Relationship Type="http://schemas.openxmlformats.org/officeDocument/2006/relationships/hyperlink" Target="#'10 EVIDENCE &amp; DECISIONS'!A684" TargetMode="External" Id="rId185"/><Relationship Type="http://schemas.openxmlformats.org/officeDocument/2006/relationships/hyperlink" Target="#'10 EVIDENCE &amp; DECISIONS'!A783" TargetMode="External" Id="rId186"/><Relationship Type="http://schemas.openxmlformats.org/officeDocument/2006/relationships/hyperlink" Target="#'10 EVIDENCE &amp; DECISIONS'!A685" TargetMode="External" Id="rId187"/><Relationship Type="http://schemas.openxmlformats.org/officeDocument/2006/relationships/hyperlink" Target="#'10 EVIDENCE &amp; DECISIONS'!A784" TargetMode="External" Id="rId188"/><Relationship Type="http://schemas.openxmlformats.org/officeDocument/2006/relationships/hyperlink" Target="#'10 EVIDENCE &amp; DECISIONS'!A686" TargetMode="External" Id="rId189"/><Relationship Type="http://schemas.openxmlformats.org/officeDocument/2006/relationships/hyperlink" Target="#'10 EVIDENCE &amp; DECISIONS'!A785" TargetMode="External" Id="rId190"/><Relationship Type="http://schemas.openxmlformats.org/officeDocument/2006/relationships/hyperlink" Target="#'10 EVIDENCE &amp; DECISIONS'!A687" TargetMode="External" Id="rId191"/><Relationship Type="http://schemas.openxmlformats.org/officeDocument/2006/relationships/hyperlink" Target="#'10 EVIDENCE &amp; DECISIONS'!A786" TargetMode="External" Id="rId192"/><Relationship Type="http://schemas.openxmlformats.org/officeDocument/2006/relationships/hyperlink" Target="#'10 EVIDENCE &amp; DECISIONS'!A688" TargetMode="External" Id="rId193"/><Relationship Type="http://schemas.openxmlformats.org/officeDocument/2006/relationships/hyperlink" Target="#'10 EVIDENCE &amp; DECISIONS'!A787" TargetMode="External" Id="rId194"/><Relationship Type="http://schemas.openxmlformats.org/officeDocument/2006/relationships/hyperlink" Target="#'10 EVIDENCE &amp; DECISIONS'!A689" TargetMode="External" Id="rId195"/><Relationship Type="http://schemas.openxmlformats.org/officeDocument/2006/relationships/hyperlink" Target="#'10 EVIDENCE &amp; DECISIONS'!A788" TargetMode="External" Id="rId196"/><Relationship Type="http://schemas.openxmlformats.org/officeDocument/2006/relationships/hyperlink" Target="#'10 EVIDENCE &amp; DECISIONS'!A690" TargetMode="External" Id="rId197"/><Relationship Type="http://schemas.openxmlformats.org/officeDocument/2006/relationships/hyperlink" Target="#'10 EVIDENCE &amp; DECISIONS'!A789" TargetMode="External" Id="rId198"/><Relationship Type="http://schemas.openxmlformats.org/officeDocument/2006/relationships/hyperlink" Target="#'10 EVIDENCE &amp; DECISIONS'!A691" TargetMode="External" Id="rId199"/><Relationship Type="http://schemas.openxmlformats.org/officeDocument/2006/relationships/hyperlink" Target="#'10 EVIDENCE &amp; DECISIONS'!A790" TargetMode="External" Id="rId200"/><Relationship Type="http://schemas.openxmlformats.org/officeDocument/2006/relationships/hyperlink" Target="#'10 EVIDENCE &amp; DECISIONS'!A692" TargetMode="External" Id="rId201"/><Relationship Type="http://schemas.openxmlformats.org/officeDocument/2006/relationships/hyperlink" Target="#'10 EVIDENCE &amp; DECISIONS'!A791" TargetMode="External" Id="rId202"/><Relationship Type="http://schemas.openxmlformats.org/officeDocument/2006/relationships/hyperlink" Target="#'10 EVIDENCE &amp; DECISIONS'!A693" TargetMode="External" Id="rId203"/><Relationship Type="http://schemas.openxmlformats.org/officeDocument/2006/relationships/hyperlink" Target="#'10 EVIDENCE &amp; DECISIONS'!A792" TargetMode="External" Id="rId204"/><Relationship Type="http://schemas.openxmlformats.org/officeDocument/2006/relationships/hyperlink" Target="#'10 EVIDENCE &amp; DECISIONS'!A694" TargetMode="External" Id="rId205"/><Relationship Type="http://schemas.openxmlformats.org/officeDocument/2006/relationships/hyperlink" Target="#'10 EVIDENCE &amp; DECISIONS'!A793" TargetMode="External" Id="rId206"/><Relationship Type="http://schemas.openxmlformats.org/officeDocument/2006/relationships/hyperlink" Target="#'10 EVIDENCE &amp; DECISIONS'!A695" TargetMode="External" Id="rId207"/><Relationship Type="http://schemas.openxmlformats.org/officeDocument/2006/relationships/hyperlink" Target="#'10 EVIDENCE &amp; DECISIONS'!A794" TargetMode="External" Id="rId208"/><Relationship Type="http://schemas.openxmlformats.org/officeDocument/2006/relationships/hyperlink" Target="#'10 EVIDENCE &amp; DECISIONS'!A696" TargetMode="External" Id="rId209"/><Relationship Type="http://schemas.openxmlformats.org/officeDocument/2006/relationships/hyperlink" Target="#'10 EVIDENCE &amp; DECISIONS'!A795" TargetMode="External" Id="rId210"/><Relationship Type="http://schemas.openxmlformats.org/officeDocument/2006/relationships/hyperlink" Target="#'10 EVIDENCE &amp; DECISIONS'!A697" TargetMode="External" Id="rId211"/><Relationship Type="http://schemas.openxmlformats.org/officeDocument/2006/relationships/hyperlink" Target="#'10 EVIDENCE &amp; DECISIONS'!A796" TargetMode="External" Id="rId212"/><Relationship Type="http://schemas.openxmlformats.org/officeDocument/2006/relationships/hyperlink" Target="#'10 EVIDENCE &amp; DECISIONS'!A698" TargetMode="External" Id="rId213"/><Relationship Type="http://schemas.openxmlformats.org/officeDocument/2006/relationships/hyperlink" Target="#'10 EVIDENCE &amp; DECISIONS'!A797" TargetMode="External" Id="rId214"/><Relationship Type="http://schemas.openxmlformats.org/officeDocument/2006/relationships/hyperlink" Target="#'10 EVIDENCE &amp; DECISIONS'!A699" TargetMode="External" Id="rId215"/><Relationship Type="http://schemas.openxmlformats.org/officeDocument/2006/relationships/hyperlink" Target="#'10 EVIDENCE &amp; DECISIONS'!A798" TargetMode="External" Id="rId216"/><Relationship Type="http://schemas.openxmlformats.org/officeDocument/2006/relationships/hyperlink" Target="#'10 EVIDENCE &amp; DECISIONS'!A700" TargetMode="External" Id="rId217"/><Relationship Type="http://schemas.openxmlformats.org/officeDocument/2006/relationships/hyperlink" Target="#'10 EVIDENCE &amp; DECISIONS'!A799" TargetMode="External" Id="rId218"/><Relationship Type="http://schemas.openxmlformats.org/officeDocument/2006/relationships/hyperlink" Target="#'10 EVIDENCE &amp; DECISIONS'!A701" TargetMode="External" Id="rId219"/><Relationship Type="http://schemas.openxmlformats.org/officeDocument/2006/relationships/hyperlink" Target="#'10 EVIDENCE &amp; DECISIONS'!A800" TargetMode="External" Id="rId220"/><Relationship Type="http://schemas.openxmlformats.org/officeDocument/2006/relationships/hyperlink" Target="#'10 EVIDENCE &amp; DECISIONS'!A702" TargetMode="External" Id="rId221"/><Relationship Type="http://schemas.openxmlformats.org/officeDocument/2006/relationships/hyperlink" Target="#'10 EVIDENCE &amp; DECISIONS'!A801" TargetMode="External" Id="rId222"/><Relationship Type="http://schemas.openxmlformats.org/officeDocument/2006/relationships/hyperlink" Target="#'10 EVIDENCE &amp; DECISIONS'!A703" TargetMode="External" Id="rId223"/><Relationship Type="http://schemas.openxmlformats.org/officeDocument/2006/relationships/hyperlink" Target="#'10 EVIDENCE &amp; DECISIONS'!A802" TargetMode="External" Id="rId224"/><Relationship Type="http://schemas.openxmlformats.org/officeDocument/2006/relationships/hyperlink" Target="#'10 EVIDENCE &amp; DECISIONS'!A704" TargetMode="External" Id="rId225"/><Relationship Type="http://schemas.openxmlformats.org/officeDocument/2006/relationships/hyperlink" Target="#'10 EVIDENCE &amp; DECISIONS'!A803" TargetMode="External" Id="rId226"/><Relationship Type="http://schemas.openxmlformats.org/officeDocument/2006/relationships/hyperlink" Target="#'10 EVIDENCE &amp; DECISIONS'!A705" TargetMode="External" Id="rId227"/><Relationship Type="http://schemas.openxmlformats.org/officeDocument/2006/relationships/hyperlink" Target="#'10 EVIDENCE &amp; DECISIONS'!A804" TargetMode="External" Id="rId228"/><Relationship Type="http://schemas.openxmlformats.org/officeDocument/2006/relationships/hyperlink" Target="#'10 EVIDENCE &amp; DECISIONS'!A706" TargetMode="External" Id="rId229"/><Relationship Type="http://schemas.openxmlformats.org/officeDocument/2006/relationships/hyperlink" Target="#'10 EVIDENCE &amp; DECISIONS'!A805" TargetMode="External" Id="rId230"/><Relationship Type="http://schemas.openxmlformats.org/officeDocument/2006/relationships/hyperlink" Target="#'10 EVIDENCE &amp; DECISIONS'!A707" TargetMode="External" Id="rId231"/><Relationship Type="http://schemas.openxmlformats.org/officeDocument/2006/relationships/hyperlink" Target="#'10 EVIDENCE &amp; DECISIONS'!A806" TargetMode="External" Id="rId232"/><Relationship Type="http://schemas.openxmlformats.org/officeDocument/2006/relationships/hyperlink" Target="#'10 EVIDENCE &amp; DECISIONS'!A708" TargetMode="External" Id="rId233"/><Relationship Type="http://schemas.openxmlformats.org/officeDocument/2006/relationships/hyperlink" Target="#'10 EVIDENCE &amp; DECISIONS'!A807" TargetMode="External" Id="rId234"/><Relationship Type="http://schemas.openxmlformats.org/officeDocument/2006/relationships/hyperlink" Target="#'10 EVIDENCE &amp; DECISIONS'!A709" TargetMode="External" Id="rId235"/><Relationship Type="http://schemas.openxmlformats.org/officeDocument/2006/relationships/hyperlink" Target="#'10 EVIDENCE &amp; DECISIONS'!A808" TargetMode="External" Id="rId236"/><Relationship Type="http://schemas.openxmlformats.org/officeDocument/2006/relationships/hyperlink" Target="#'10 EVIDENCE &amp; DECISIONS'!A710" TargetMode="External" Id="rId237"/><Relationship Type="http://schemas.openxmlformats.org/officeDocument/2006/relationships/hyperlink" Target="#'10 EVIDENCE &amp; DECISIONS'!A809" TargetMode="External" Id="rId238"/><Relationship Type="http://schemas.openxmlformats.org/officeDocument/2006/relationships/hyperlink" Target="#'10 EVIDENCE &amp; DECISIONS'!A711" TargetMode="External" Id="rId239"/><Relationship Type="http://schemas.openxmlformats.org/officeDocument/2006/relationships/hyperlink" Target="#'10 EVIDENCE &amp; DECISIONS'!A810" TargetMode="External" Id="rId240"/><Relationship Type="http://schemas.openxmlformats.org/officeDocument/2006/relationships/hyperlink" Target="#'10 EVIDENCE &amp; DECISIONS'!A712" TargetMode="External" Id="rId241"/><Relationship Type="http://schemas.openxmlformats.org/officeDocument/2006/relationships/hyperlink" Target="#'10 EVIDENCE &amp; DECISIONS'!A811" TargetMode="External" Id="rId242"/><Relationship Type="http://schemas.openxmlformats.org/officeDocument/2006/relationships/hyperlink" Target="#'10 EVIDENCE &amp; DECISIONS'!A713" TargetMode="External" Id="rId243"/><Relationship Type="http://schemas.openxmlformats.org/officeDocument/2006/relationships/hyperlink" Target="#'10 EVIDENCE &amp; DECISIONS'!A812" TargetMode="External" Id="rId244"/><Relationship Type="http://schemas.openxmlformats.org/officeDocument/2006/relationships/hyperlink" Target="#'10 EVIDENCE &amp; DECISIONS'!A714" TargetMode="External" Id="rId245"/><Relationship Type="http://schemas.openxmlformats.org/officeDocument/2006/relationships/hyperlink" Target="#'10 EVIDENCE &amp; DECISIONS'!A813" TargetMode="External" Id="rId246"/><Relationship Type="http://schemas.openxmlformats.org/officeDocument/2006/relationships/hyperlink" Target="#'10 EVIDENCE &amp; DECISIONS'!A715" TargetMode="External" Id="rId247"/><Relationship Type="http://schemas.openxmlformats.org/officeDocument/2006/relationships/hyperlink" Target="#'10 EVIDENCE &amp; DECISIONS'!A814" TargetMode="External" Id="rId248"/><Relationship Type="http://schemas.openxmlformats.org/officeDocument/2006/relationships/hyperlink" Target="#'10 EVIDENCE &amp; DECISIONS'!A945" TargetMode="External" Id="rId249"/><Relationship Type="http://schemas.openxmlformats.org/officeDocument/2006/relationships/hyperlink" Target="#'10 EVIDENCE &amp; DECISIONS'!A1044" TargetMode="External" Id="rId250"/><Relationship Type="http://schemas.openxmlformats.org/officeDocument/2006/relationships/hyperlink" Target="#'10 EVIDENCE &amp; DECISIONS'!A946" TargetMode="External" Id="rId251"/><Relationship Type="http://schemas.openxmlformats.org/officeDocument/2006/relationships/hyperlink" Target="#'10 EVIDENCE &amp; DECISIONS'!A1045" TargetMode="External" Id="rId252"/><Relationship Type="http://schemas.openxmlformats.org/officeDocument/2006/relationships/hyperlink" Target="#'10 EVIDENCE &amp; DECISIONS'!A947" TargetMode="External" Id="rId253"/><Relationship Type="http://schemas.openxmlformats.org/officeDocument/2006/relationships/hyperlink" Target="#'10 EVIDENCE &amp; DECISIONS'!A1046" TargetMode="External" Id="rId254"/><Relationship Type="http://schemas.openxmlformats.org/officeDocument/2006/relationships/hyperlink" Target="#'10 EVIDENCE &amp; DECISIONS'!A948" TargetMode="External" Id="rId255"/><Relationship Type="http://schemas.openxmlformats.org/officeDocument/2006/relationships/hyperlink" Target="#'10 EVIDENCE &amp; DECISIONS'!A1047" TargetMode="External" Id="rId256"/><Relationship Type="http://schemas.openxmlformats.org/officeDocument/2006/relationships/hyperlink" Target="#'10 EVIDENCE &amp; DECISIONS'!A949" TargetMode="External" Id="rId257"/><Relationship Type="http://schemas.openxmlformats.org/officeDocument/2006/relationships/hyperlink" Target="#'10 EVIDENCE &amp; DECISIONS'!A1048" TargetMode="External" Id="rId258"/><Relationship Type="http://schemas.openxmlformats.org/officeDocument/2006/relationships/hyperlink" Target="#'10 EVIDENCE &amp; DECISIONS'!A950" TargetMode="External" Id="rId259"/><Relationship Type="http://schemas.openxmlformats.org/officeDocument/2006/relationships/hyperlink" Target="#'10 EVIDENCE &amp; DECISIONS'!A1049" TargetMode="External" Id="rId260"/><Relationship Type="http://schemas.openxmlformats.org/officeDocument/2006/relationships/hyperlink" Target="#'10 EVIDENCE &amp; DECISIONS'!A951" TargetMode="External" Id="rId261"/><Relationship Type="http://schemas.openxmlformats.org/officeDocument/2006/relationships/hyperlink" Target="#'10 EVIDENCE &amp; DECISIONS'!A1050" TargetMode="External" Id="rId262"/><Relationship Type="http://schemas.openxmlformats.org/officeDocument/2006/relationships/hyperlink" Target="#'10 EVIDENCE &amp; DECISIONS'!A952" TargetMode="External" Id="rId263"/><Relationship Type="http://schemas.openxmlformats.org/officeDocument/2006/relationships/hyperlink" Target="#'10 EVIDENCE &amp; DECISIONS'!A1051" TargetMode="External" Id="rId264"/><Relationship Type="http://schemas.openxmlformats.org/officeDocument/2006/relationships/hyperlink" Target="#'10 EVIDENCE &amp; DECISIONS'!A953" TargetMode="External" Id="rId265"/><Relationship Type="http://schemas.openxmlformats.org/officeDocument/2006/relationships/hyperlink" Target="#'10 EVIDENCE &amp; DECISIONS'!A1052" TargetMode="External" Id="rId266"/><Relationship Type="http://schemas.openxmlformats.org/officeDocument/2006/relationships/hyperlink" Target="#'10 EVIDENCE &amp; DECISIONS'!A954" TargetMode="External" Id="rId267"/><Relationship Type="http://schemas.openxmlformats.org/officeDocument/2006/relationships/hyperlink" Target="#'10 EVIDENCE &amp; DECISIONS'!A1053" TargetMode="External" Id="rId268"/><Relationship Type="http://schemas.openxmlformats.org/officeDocument/2006/relationships/hyperlink" Target="#'10 EVIDENCE &amp; DECISIONS'!A955" TargetMode="External" Id="rId269"/><Relationship Type="http://schemas.openxmlformats.org/officeDocument/2006/relationships/hyperlink" Target="#'10 EVIDENCE &amp; DECISIONS'!A1054" TargetMode="External" Id="rId270"/><Relationship Type="http://schemas.openxmlformats.org/officeDocument/2006/relationships/hyperlink" Target="#'10 EVIDENCE &amp; DECISIONS'!A956" TargetMode="External" Id="rId271"/><Relationship Type="http://schemas.openxmlformats.org/officeDocument/2006/relationships/hyperlink" Target="#'10 EVIDENCE &amp; DECISIONS'!A1055" TargetMode="External" Id="rId272"/><Relationship Type="http://schemas.openxmlformats.org/officeDocument/2006/relationships/hyperlink" Target="#'10 EVIDENCE &amp; DECISIONS'!A957" TargetMode="External" Id="rId273"/><Relationship Type="http://schemas.openxmlformats.org/officeDocument/2006/relationships/hyperlink" Target="#'10 EVIDENCE &amp; DECISIONS'!A1056" TargetMode="External" Id="rId274"/><Relationship Type="http://schemas.openxmlformats.org/officeDocument/2006/relationships/hyperlink" Target="#'10 EVIDENCE &amp; DECISIONS'!A958" TargetMode="External" Id="rId275"/><Relationship Type="http://schemas.openxmlformats.org/officeDocument/2006/relationships/hyperlink" Target="#'10 EVIDENCE &amp; DECISIONS'!A1057" TargetMode="External" Id="rId276"/><Relationship Type="http://schemas.openxmlformats.org/officeDocument/2006/relationships/hyperlink" Target="#'10 EVIDENCE &amp; DECISIONS'!A959" TargetMode="External" Id="rId277"/><Relationship Type="http://schemas.openxmlformats.org/officeDocument/2006/relationships/hyperlink" Target="#'10 EVIDENCE &amp; DECISIONS'!A1058" TargetMode="External" Id="rId278"/><Relationship Type="http://schemas.openxmlformats.org/officeDocument/2006/relationships/hyperlink" Target="#'10 EVIDENCE &amp; DECISIONS'!A960" TargetMode="External" Id="rId279"/><Relationship Type="http://schemas.openxmlformats.org/officeDocument/2006/relationships/hyperlink" Target="#'10 EVIDENCE &amp; DECISIONS'!A1059" TargetMode="External" Id="rId280"/><Relationship Type="http://schemas.openxmlformats.org/officeDocument/2006/relationships/hyperlink" Target="#'10 EVIDENCE &amp; DECISIONS'!A961" TargetMode="External" Id="rId281"/><Relationship Type="http://schemas.openxmlformats.org/officeDocument/2006/relationships/hyperlink" Target="#'10 EVIDENCE &amp; DECISIONS'!A1060" TargetMode="External" Id="rId282"/><Relationship Type="http://schemas.openxmlformats.org/officeDocument/2006/relationships/hyperlink" Target="#'10 EVIDENCE &amp; DECISIONS'!A962" TargetMode="External" Id="rId283"/><Relationship Type="http://schemas.openxmlformats.org/officeDocument/2006/relationships/hyperlink" Target="#'10 EVIDENCE &amp; DECISIONS'!A1061" TargetMode="External" Id="rId284"/><Relationship Type="http://schemas.openxmlformats.org/officeDocument/2006/relationships/hyperlink" Target="#'10 EVIDENCE &amp; DECISIONS'!A963" TargetMode="External" Id="rId285"/><Relationship Type="http://schemas.openxmlformats.org/officeDocument/2006/relationships/hyperlink" Target="#'10 EVIDENCE &amp; DECISIONS'!A1062" TargetMode="External" Id="rId286"/><Relationship Type="http://schemas.openxmlformats.org/officeDocument/2006/relationships/hyperlink" Target="#'10 EVIDENCE &amp; DECISIONS'!A964" TargetMode="External" Id="rId287"/><Relationship Type="http://schemas.openxmlformats.org/officeDocument/2006/relationships/hyperlink" Target="#'10 EVIDENCE &amp; DECISIONS'!A1063" TargetMode="External" Id="rId288"/><Relationship Type="http://schemas.openxmlformats.org/officeDocument/2006/relationships/hyperlink" Target="#'10 EVIDENCE &amp; DECISIONS'!A965" TargetMode="External" Id="rId289"/><Relationship Type="http://schemas.openxmlformats.org/officeDocument/2006/relationships/hyperlink" Target="#'10 EVIDENCE &amp; DECISIONS'!A1064" TargetMode="External" Id="rId290"/><Relationship Type="http://schemas.openxmlformats.org/officeDocument/2006/relationships/hyperlink" Target="#'10 EVIDENCE &amp; DECISIONS'!A966" TargetMode="External" Id="rId291"/><Relationship Type="http://schemas.openxmlformats.org/officeDocument/2006/relationships/hyperlink" Target="#'10 EVIDENCE &amp; DECISIONS'!A1065" TargetMode="External" Id="rId292"/><Relationship Type="http://schemas.openxmlformats.org/officeDocument/2006/relationships/hyperlink" Target="#'10 EVIDENCE &amp; DECISIONS'!A967" TargetMode="External" Id="rId293"/><Relationship Type="http://schemas.openxmlformats.org/officeDocument/2006/relationships/hyperlink" Target="#'10 EVIDENCE &amp; DECISIONS'!A1066" TargetMode="External" Id="rId294"/><Relationship Type="http://schemas.openxmlformats.org/officeDocument/2006/relationships/hyperlink" Target="#'10 EVIDENCE &amp; DECISIONS'!A968" TargetMode="External" Id="rId295"/><Relationship Type="http://schemas.openxmlformats.org/officeDocument/2006/relationships/hyperlink" Target="#'10 EVIDENCE &amp; DECISIONS'!A1067" TargetMode="External" Id="rId296"/><Relationship Type="http://schemas.openxmlformats.org/officeDocument/2006/relationships/hyperlink" Target="#'10 EVIDENCE &amp; DECISIONS'!A969" TargetMode="External" Id="rId297"/><Relationship Type="http://schemas.openxmlformats.org/officeDocument/2006/relationships/hyperlink" Target="#'10 EVIDENCE &amp; DECISIONS'!A1068" TargetMode="External" Id="rId298"/><Relationship Type="http://schemas.openxmlformats.org/officeDocument/2006/relationships/hyperlink" Target="#'10 EVIDENCE &amp; DECISIONS'!A970" TargetMode="External" Id="rId299"/><Relationship Type="http://schemas.openxmlformats.org/officeDocument/2006/relationships/hyperlink" Target="#'10 EVIDENCE &amp; DECISIONS'!A1069" TargetMode="External" Id="rId300"/><Relationship Type="http://schemas.openxmlformats.org/officeDocument/2006/relationships/hyperlink" Target="#'10 EVIDENCE &amp; DECISIONS'!A971" TargetMode="External" Id="rId301"/><Relationship Type="http://schemas.openxmlformats.org/officeDocument/2006/relationships/hyperlink" Target="#'10 EVIDENCE &amp; DECISIONS'!A1070" TargetMode="External" Id="rId302"/><Relationship Type="http://schemas.openxmlformats.org/officeDocument/2006/relationships/hyperlink" Target="#'10 EVIDENCE &amp; DECISIONS'!A972" TargetMode="External" Id="rId303"/><Relationship Type="http://schemas.openxmlformats.org/officeDocument/2006/relationships/hyperlink" Target="#'10 EVIDENCE &amp; DECISIONS'!A1071" TargetMode="External" Id="rId304"/><Relationship Type="http://schemas.openxmlformats.org/officeDocument/2006/relationships/hyperlink" Target="#'10 EVIDENCE &amp; DECISIONS'!A973" TargetMode="External" Id="rId305"/><Relationship Type="http://schemas.openxmlformats.org/officeDocument/2006/relationships/hyperlink" Target="#'10 EVIDENCE &amp; DECISIONS'!A1072" TargetMode="External" Id="rId306"/><Relationship Type="http://schemas.openxmlformats.org/officeDocument/2006/relationships/hyperlink" Target="#'10 EVIDENCE &amp; DECISIONS'!A974" TargetMode="External" Id="rId307"/><Relationship Type="http://schemas.openxmlformats.org/officeDocument/2006/relationships/hyperlink" Target="#'10 EVIDENCE &amp; DECISIONS'!A1073" TargetMode="External" Id="rId308"/><Relationship Type="http://schemas.openxmlformats.org/officeDocument/2006/relationships/hyperlink" Target="#'10 EVIDENCE &amp; DECISIONS'!A975" TargetMode="External" Id="rId309"/><Relationship Type="http://schemas.openxmlformats.org/officeDocument/2006/relationships/hyperlink" Target="#'10 EVIDENCE &amp; DECISIONS'!A1074" TargetMode="External" Id="rId310"/><Relationship Type="http://schemas.openxmlformats.org/officeDocument/2006/relationships/hyperlink" Target="#'10 EVIDENCE &amp; DECISIONS'!A976" TargetMode="External" Id="rId311"/><Relationship Type="http://schemas.openxmlformats.org/officeDocument/2006/relationships/hyperlink" Target="#'10 EVIDENCE &amp; DECISIONS'!A1075" TargetMode="External" Id="rId312"/><Relationship Type="http://schemas.openxmlformats.org/officeDocument/2006/relationships/hyperlink" Target="#'10 EVIDENCE &amp; DECISIONS'!A977" TargetMode="External" Id="rId313"/><Relationship Type="http://schemas.openxmlformats.org/officeDocument/2006/relationships/hyperlink" Target="#'10 EVIDENCE &amp; DECISIONS'!A1076" TargetMode="External" Id="rId314"/><Relationship Type="http://schemas.openxmlformats.org/officeDocument/2006/relationships/hyperlink" Target="#'10 EVIDENCE &amp; DECISIONS'!A978" TargetMode="External" Id="rId315"/><Relationship Type="http://schemas.openxmlformats.org/officeDocument/2006/relationships/hyperlink" Target="#'10 EVIDENCE &amp; DECISIONS'!A1077" TargetMode="External" Id="rId316"/><Relationship Type="http://schemas.openxmlformats.org/officeDocument/2006/relationships/hyperlink" Target="#'10 EVIDENCE &amp; DECISIONS'!A979" TargetMode="External" Id="rId317"/><Relationship Type="http://schemas.openxmlformats.org/officeDocument/2006/relationships/hyperlink" Target="#'10 EVIDENCE &amp; DECISIONS'!A1078" TargetMode="External" Id="rId318"/><Relationship Type="http://schemas.openxmlformats.org/officeDocument/2006/relationships/hyperlink" Target="#'10 EVIDENCE &amp; DECISIONS'!A980" TargetMode="External" Id="rId319"/><Relationship Type="http://schemas.openxmlformats.org/officeDocument/2006/relationships/hyperlink" Target="#'10 EVIDENCE &amp; DECISIONS'!A1079" TargetMode="External" Id="rId320"/><Relationship Type="http://schemas.openxmlformats.org/officeDocument/2006/relationships/hyperlink" Target="#'10 EVIDENCE &amp; DECISIONS'!A981" TargetMode="External" Id="rId321"/><Relationship Type="http://schemas.openxmlformats.org/officeDocument/2006/relationships/hyperlink" Target="#'10 EVIDENCE &amp; DECISIONS'!A1080" TargetMode="External" Id="rId322"/><Relationship Type="http://schemas.openxmlformats.org/officeDocument/2006/relationships/hyperlink" Target="#'10 EVIDENCE &amp; DECISIONS'!A982" TargetMode="External" Id="rId323"/><Relationship Type="http://schemas.openxmlformats.org/officeDocument/2006/relationships/hyperlink" Target="#'10 EVIDENCE &amp; DECISIONS'!A1081" TargetMode="External" Id="rId324"/><Relationship Type="http://schemas.openxmlformats.org/officeDocument/2006/relationships/hyperlink" Target="#'10 EVIDENCE &amp; DECISIONS'!A983" TargetMode="External" Id="rId325"/><Relationship Type="http://schemas.openxmlformats.org/officeDocument/2006/relationships/hyperlink" Target="#'10 EVIDENCE &amp; DECISIONS'!A1082" TargetMode="External" Id="rId326"/><Relationship Type="http://schemas.openxmlformats.org/officeDocument/2006/relationships/hyperlink" Target="#'10 EVIDENCE &amp; DECISIONS'!A984" TargetMode="External" Id="rId327"/><Relationship Type="http://schemas.openxmlformats.org/officeDocument/2006/relationships/hyperlink" Target="#'10 EVIDENCE &amp; DECISIONS'!A1083" TargetMode="External" Id="rId328"/><Relationship Type="http://schemas.openxmlformats.org/officeDocument/2006/relationships/hyperlink" Target="#'10 EVIDENCE &amp; DECISIONS'!A1549" TargetMode="External" Id="rId329"/><Relationship Type="http://schemas.openxmlformats.org/officeDocument/2006/relationships/hyperlink" Target="#'10 EVIDENCE &amp; DECISIONS'!A1550" TargetMode="External" Id="rId330"/><Relationship Type="http://schemas.openxmlformats.org/officeDocument/2006/relationships/hyperlink" Target="#'10 EVIDENCE &amp; DECISIONS'!A1551" TargetMode="External" Id="rId331"/><Relationship Type="http://schemas.openxmlformats.org/officeDocument/2006/relationships/hyperlink" Target="#'10 EVIDENCE &amp; DECISIONS'!A1552" TargetMode="External" Id="rId332"/><Relationship Type="http://schemas.openxmlformats.org/officeDocument/2006/relationships/hyperlink" Target="#'10 EVIDENCE &amp; DECISIONS'!A1553" TargetMode="External" Id="rId333"/><Relationship Type="http://schemas.openxmlformats.org/officeDocument/2006/relationships/hyperlink" Target="#'10 EVIDENCE &amp; DECISIONS'!A1554" TargetMode="External" Id="rId334"/><Relationship Type="http://schemas.openxmlformats.org/officeDocument/2006/relationships/hyperlink" Target="#'10 EVIDENCE &amp; DECISIONS'!A1555" TargetMode="External" Id="rId335"/><Relationship Type="http://schemas.openxmlformats.org/officeDocument/2006/relationships/hyperlink" Target="#'10 EVIDENCE &amp; DECISIONS'!A1556" TargetMode="External" Id="rId336"/><Relationship Type="http://schemas.openxmlformats.org/officeDocument/2006/relationships/hyperlink" Target="#'10 EVIDENCE &amp; DECISIONS'!A1557" TargetMode="External" Id="rId337"/><Relationship Type="http://schemas.openxmlformats.org/officeDocument/2006/relationships/hyperlink" Target="#'10 EVIDENCE &amp; DECISIONS'!A1558" TargetMode="External" Id="rId338"/><Relationship Type="http://schemas.openxmlformats.org/officeDocument/2006/relationships/hyperlink" Target="#'10 EVIDENCE &amp; DECISIONS'!A1559" TargetMode="External" Id="rId339"/><Relationship Type="http://schemas.openxmlformats.org/officeDocument/2006/relationships/hyperlink" Target="#'10 EVIDENCE &amp; DECISIONS'!A1560" TargetMode="External" Id="rId340"/><Relationship Type="http://schemas.openxmlformats.org/officeDocument/2006/relationships/hyperlink" Target="#'10 EVIDENCE &amp; DECISIONS'!A1561" TargetMode="External" Id="rId341"/><Relationship Type="http://schemas.openxmlformats.org/officeDocument/2006/relationships/hyperlink" Target="#'10 EVIDENCE &amp; DECISIONS'!A1562" TargetMode="External" Id="rId342"/><Relationship Type="http://schemas.openxmlformats.org/officeDocument/2006/relationships/hyperlink" Target="#'10 EVIDENCE &amp; DECISIONS'!A1563" TargetMode="External" Id="rId343"/><Relationship Type="http://schemas.openxmlformats.org/officeDocument/2006/relationships/hyperlink" Target="#'10 EVIDENCE &amp; DECISIONS'!A1564" TargetMode="External" Id="rId344"/><Relationship Type="http://schemas.openxmlformats.org/officeDocument/2006/relationships/hyperlink" Target="#'10 EVIDENCE &amp; DECISIONS'!A1565" TargetMode="External" Id="rId345"/><Relationship Type="http://schemas.openxmlformats.org/officeDocument/2006/relationships/hyperlink" Target="#'10 EVIDENCE &amp; DECISIONS'!A1566" TargetMode="External" Id="rId346"/><Relationship Type="http://schemas.openxmlformats.org/officeDocument/2006/relationships/hyperlink" Target="#'10 EVIDENCE &amp; DECISIONS'!A1567" TargetMode="External" Id="rId347"/><Relationship Type="http://schemas.openxmlformats.org/officeDocument/2006/relationships/hyperlink" Target="#'10 EVIDENCE &amp; DECISIONS'!A1568" TargetMode="External" Id="rId348"/><Relationship Type="http://schemas.openxmlformats.org/officeDocument/2006/relationships/hyperlink" Target="#'10 EVIDENCE &amp; DECISIONS'!A1569" TargetMode="External" Id="rId349"/><Relationship Type="http://schemas.openxmlformats.org/officeDocument/2006/relationships/hyperlink" Target="#'10 EVIDENCE &amp; DECISIONS'!A1570" TargetMode="External" Id="rId350"/><Relationship Type="http://schemas.openxmlformats.org/officeDocument/2006/relationships/hyperlink" Target="#'10 EVIDENCE &amp; DECISIONS'!A1571" TargetMode="External" Id="rId351"/><Relationship Type="http://schemas.openxmlformats.org/officeDocument/2006/relationships/hyperlink" Target="#'10 EVIDENCE &amp; DECISIONS'!A1572" TargetMode="External" Id="rId352"/><Relationship Type="http://schemas.openxmlformats.org/officeDocument/2006/relationships/hyperlink" Target="#'10 EVIDENCE &amp; DECISIONS'!A1573" TargetMode="External" Id="rId353"/><Relationship Type="http://schemas.openxmlformats.org/officeDocument/2006/relationships/hyperlink" Target="#'10 EVIDENCE &amp; DECISIONS'!A1574" TargetMode="External" Id="rId354"/><Relationship Type="http://schemas.openxmlformats.org/officeDocument/2006/relationships/hyperlink" Target="#'10 EVIDENCE &amp; DECISIONS'!A1575" TargetMode="External" Id="rId355"/><Relationship Type="http://schemas.openxmlformats.org/officeDocument/2006/relationships/hyperlink" Target="#'10 EVIDENCE &amp; DECISIONS'!A1576" TargetMode="External" Id="rId356"/><Relationship Type="http://schemas.openxmlformats.org/officeDocument/2006/relationships/hyperlink" Target="#'10 EVIDENCE &amp; DECISIONS'!A1577" TargetMode="External" Id="rId357"/><Relationship Type="http://schemas.openxmlformats.org/officeDocument/2006/relationships/hyperlink" Target="#'10 EVIDENCE &amp; DECISIONS'!A1578" TargetMode="External" Id="rId358"/><Relationship Type="http://schemas.openxmlformats.org/officeDocument/2006/relationships/hyperlink" Target="#'10 EVIDENCE &amp; DECISIONS'!A1579" TargetMode="External" Id="rId359"/><Relationship Type="http://schemas.openxmlformats.org/officeDocument/2006/relationships/hyperlink" Target="#'10 EVIDENCE &amp; DECISIONS'!A1580" TargetMode="External" Id="rId360"/><Relationship Type="http://schemas.openxmlformats.org/officeDocument/2006/relationships/hyperlink" Target="#'10 EVIDENCE &amp; DECISIONS'!A1581" TargetMode="External" Id="rId361"/><Relationship Type="http://schemas.openxmlformats.org/officeDocument/2006/relationships/hyperlink" Target="#'10 EVIDENCE &amp; DECISIONS'!A1582" TargetMode="External" Id="rId362"/><Relationship Type="http://schemas.openxmlformats.org/officeDocument/2006/relationships/hyperlink" Target="#'10 EVIDENCE &amp; DECISIONS'!A1583" TargetMode="External" Id="rId363"/><Relationship Type="http://schemas.openxmlformats.org/officeDocument/2006/relationships/hyperlink" Target="#'10 EVIDENCE &amp; DECISIONS'!A1584" TargetMode="External" Id="rId364"/><Relationship Type="http://schemas.openxmlformats.org/officeDocument/2006/relationships/hyperlink" Target="#'10 EVIDENCE &amp; DECISIONS'!A1585" TargetMode="External" Id="rId365"/><Relationship Type="http://schemas.openxmlformats.org/officeDocument/2006/relationships/hyperlink" Target="#'10 EVIDENCE &amp; DECISIONS'!A1586" TargetMode="External" Id="rId366"/><Relationship Type="http://schemas.openxmlformats.org/officeDocument/2006/relationships/hyperlink" Target="#'10 EVIDENCE &amp; DECISIONS'!A1587" TargetMode="External" Id="rId367"/><Relationship Type="http://schemas.openxmlformats.org/officeDocument/2006/relationships/hyperlink" Target="#'10 EVIDENCE &amp; DECISIONS'!A1588" TargetMode="External" Id="rId368"/><Relationship Type="http://schemas.openxmlformats.org/officeDocument/2006/relationships/hyperlink" Target="#'10 EVIDENCE &amp; DECISIONS'!A1589" TargetMode="External" Id="rId369"/><Relationship Type="http://schemas.openxmlformats.org/officeDocument/2006/relationships/hyperlink" Target="#'10 EVIDENCE &amp; DECISIONS'!A1590" TargetMode="External" Id="rId370"/><Relationship Type="http://schemas.openxmlformats.org/officeDocument/2006/relationships/hyperlink" Target="#'10 EVIDENCE &amp; DECISIONS'!A1591" TargetMode="External" Id="rId371"/><Relationship Type="http://schemas.openxmlformats.org/officeDocument/2006/relationships/hyperlink" Target="#'10 EVIDENCE &amp; DECISIONS'!A1592" TargetMode="External" Id="rId372"/><Relationship Type="http://schemas.openxmlformats.org/officeDocument/2006/relationships/hyperlink" Target="#'10 EVIDENCE &amp; DECISIONS'!A1593" TargetMode="External" Id="rId373"/><Relationship Type="http://schemas.openxmlformats.org/officeDocument/2006/relationships/hyperlink" Target="#'10 EVIDENCE &amp; DECISIONS'!A1594" TargetMode="External" Id="rId374"/><Relationship Type="http://schemas.openxmlformats.org/officeDocument/2006/relationships/hyperlink" Target="#'10 EVIDENCE &amp; DECISIONS'!A1595" TargetMode="External" Id="rId375"/><Relationship Type="http://schemas.openxmlformats.org/officeDocument/2006/relationships/hyperlink" Target="#'10 EVIDENCE &amp; DECISIONS'!A1596" TargetMode="External" Id="rId376"/><Relationship Type="http://schemas.openxmlformats.org/officeDocument/2006/relationships/hyperlink" Target="#'10 EVIDENCE &amp; DECISIONS'!A1597" TargetMode="External" Id="rId377"/><Relationship Type="http://schemas.openxmlformats.org/officeDocument/2006/relationships/hyperlink" Target="#'10 EVIDENCE &amp; DECISIONS'!A1598" TargetMode="External" Id="rId378"/><Relationship Type="http://schemas.openxmlformats.org/officeDocument/2006/relationships/hyperlink" Target="#'10 EVIDENCE &amp; DECISIONS'!A1599" TargetMode="External" Id="rId379"/><Relationship Type="http://schemas.openxmlformats.org/officeDocument/2006/relationships/hyperlink" Target="#'10 EVIDENCE &amp; DECISIONS'!A1600" TargetMode="External" Id="rId380"/><Relationship Type="http://schemas.openxmlformats.org/officeDocument/2006/relationships/hyperlink" Target="#'10 EVIDENCE &amp; DECISIONS'!A1601" TargetMode="External" Id="rId381"/><Relationship Type="http://schemas.openxmlformats.org/officeDocument/2006/relationships/hyperlink" Target="#'10 EVIDENCE &amp; DECISIONS'!A1602" TargetMode="External" Id="rId382"/><Relationship Type="http://schemas.openxmlformats.org/officeDocument/2006/relationships/hyperlink" Target="#'10 EVIDENCE &amp; DECISIONS'!A1603" TargetMode="External" Id="rId383"/><Relationship Type="http://schemas.openxmlformats.org/officeDocument/2006/relationships/hyperlink" Target="#'10 EVIDENCE &amp; DECISIONS'!A1604" TargetMode="External" Id="rId384"/><Relationship Type="http://schemas.openxmlformats.org/officeDocument/2006/relationships/hyperlink" Target="#'10 EVIDENCE &amp; DECISIONS'!A1605" TargetMode="External" Id="rId385"/><Relationship Type="http://schemas.openxmlformats.org/officeDocument/2006/relationships/hyperlink" Target="#'10 EVIDENCE &amp; DECISIONS'!A1606" TargetMode="External" Id="rId386"/><Relationship Type="http://schemas.openxmlformats.org/officeDocument/2006/relationships/hyperlink" Target="#'10 EVIDENCE &amp; DECISIONS'!A1607" TargetMode="External" Id="rId387"/><Relationship Type="http://schemas.openxmlformats.org/officeDocument/2006/relationships/hyperlink" Target="#'10 EVIDENCE &amp; DECISIONS'!A1608" TargetMode="External" Id="rId388"/><Relationship Type="http://schemas.openxmlformats.org/officeDocument/2006/relationships/hyperlink" Target="#'10 EVIDENCE &amp; DECISIONS'!A1609" TargetMode="External" Id="rId389"/><Relationship Type="http://schemas.openxmlformats.org/officeDocument/2006/relationships/hyperlink" Target="#'10 EVIDENCE &amp; DECISIONS'!A1610" TargetMode="External" Id="rId390"/><Relationship Type="http://schemas.openxmlformats.org/officeDocument/2006/relationships/hyperlink" Target="#'10 EVIDENCE &amp; DECISIONS'!A1611" TargetMode="External" Id="rId391"/><Relationship Type="http://schemas.openxmlformats.org/officeDocument/2006/relationships/hyperlink" Target="#'10 EVIDENCE &amp; DECISIONS'!A1612" TargetMode="External" Id="rId392"/><Relationship Type="http://schemas.openxmlformats.org/officeDocument/2006/relationships/hyperlink" Target="#'10 EVIDENCE &amp; DECISIONS'!A1613" TargetMode="External" Id="rId393"/><Relationship Type="http://schemas.openxmlformats.org/officeDocument/2006/relationships/hyperlink" Target="#'10 EVIDENCE &amp; DECISIONS'!A1614" TargetMode="External" Id="rId394"/><Relationship Type="http://schemas.openxmlformats.org/officeDocument/2006/relationships/hyperlink" Target="#'10 EVIDENCE &amp; DECISIONS'!A1615" TargetMode="External" Id="rId395"/><Relationship Type="http://schemas.openxmlformats.org/officeDocument/2006/relationships/hyperlink" Target="#'10 EVIDENCE &amp; DECISIONS'!A1616" TargetMode="External" Id="rId396"/><Relationship Type="http://schemas.openxmlformats.org/officeDocument/2006/relationships/hyperlink" Target="#'10 EVIDENCE &amp; DECISIONS'!A1617" TargetMode="External" Id="rId397"/><Relationship Type="http://schemas.openxmlformats.org/officeDocument/2006/relationships/hyperlink" Target="#'10 EVIDENCE &amp; DECISIONS'!A1618" TargetMode="External" Id="rId398"/><Relationship Type="http://schemas.openxmlformats.org/officeDocument/2006/relationships/hyperlink" Target="#'10 EVIDENCE &amp; DECISIONS'!A1619" TargetMode="External" Id="rId399"/><Relationship Type="http://schemas.openxmlformats.org/officeDocument/2006/relationships/hyperlink" Target="#'10 EVIDENCE &amp; DECISIONS'!A1620" TargetMode="External" Id="rId400"/><Relationship Type="http://schemas.openxmlformats.org/officeDocument/2006/relationships/hyperlink" Target="#'10 EVIDENCE &amp; DECISIONS'!A1621" TargetMode="External" Id="rId401"/><Relationship Type="http://schemas.openxmlformats.org/officeDocument/2006/relationships/hyperlink" Target="#'10 EVIDENCE &amp; DECISIONS'!A1622" TargetMode="External" Id="rId402"/><Relationship Type="http://schemas.openxmlformats.org/officeDocument/2006/relationships/hyperlink" Target="#'10 EVIDENCE &amp; DECISIONS'!A1623" TargetMode="External" Id="rId403"/><Relationship Type="http://schemas.openxmlformats.org/officeDocument/2006/relationships/hyperlink" Target="#'10 EVIDENCE &amp; DECISIONS'!A1624" TargetMode="External" Id="rId404"/><Relationship Type="http://schemas.openxmlformats.org/officeDocument/2006/relationships/hyperlink" Target="#'10 EVIDENCE &amp; DECISIONS'!A1625" TargetMode="External" Id="rId405"/><Relationship Type="http://schemas.openxmlformats.org/officeDocument/2006/relationships/hyperlink" Target="#'10 EVIDENCE &amp; DECISIONS'!A1626" TargetMode="External" Id="rId406"/><Relationship Type="http://schemas.openxmlformats.org/officeDocument/2006/relationships/hyperlink" Target="#'10 EVIDENCE &amp; DECISIONS'!A1627" TargetMode="External" Id="rId407"/><Relationship Type="http://schemas.openxmlformats.org/officeDocument/2006/relationships/hyperlink" Target="#'10 EVIDENCE &amp; DECISIONS'!A1628" TargetMode="External" Id="rId408"/><Relationship Type="http://schemas.openxmlformats.org/officeDocument/2006/relationships/hyperlink" Target="#'10 EVIDENCE &amp; DECISIONS'!A1284" TargetMode="External" Id="rId409"/><Relationship Type="http://schemas.openxmlformats.org/officeDocument/2006/relationships/hyperlink" Target="#'10 EVIDENCE &amp; DECISIONS'!A1324" TargetMode="External" Id="rId410"/><Relationship Type="http://schemas.openxmlformats.org/officeDocument/2006/relationships/hyperlink" Target="#'10 EVIDENCE &amp; DECISIONS'!A1285" TargetMode="External" Id="rId411"/><Relationship Type="http://schemas.openxmlformats.org/officeDocument/2006/relationships/hyperlink" Target="#'10 EVIDENCE &amp; DECISIONS'!A1325" TargetMode="External" Id="rId412"/><Relationship Type="http://schemas.openxmlformats.org/officeDocument/2006/relationships/hyperlink" Target="#'10 EVIDENCE &amp; DECISIONS'!A1286" TargetMode="External" Id="rId413"/><Relationship Type="http://schemas.openxmlformats.org/officeDocument/2006/relationships/hyperlink" Target="#'10 EVIDENCE &amp; DECISIONS'!A1326" TargetMode="External" Id="rId414"/><Relationship Type="http://schemas.openxmlformats.org/officeDocument/2006/relationships/hyperlink" Target="#'10 EVIDENCE &amp; DECISIONS'!A1287" TargetMode="External" Id="rId415"/><Relationship Type="http://schemas.openxmlformats.org/officeDocument/2006/relationships/hyperlink" Target="#'10 EVIDENCE &amp; DECISIONS'!A1327" TargetMode="External" Id="rId416"/><Relationship Type="http://schemas.openxmlformats.org/officeDocument/2006/relationships/hyperlink" Target="#'10 EVIDENCE &amp; DECISIONS'!A1288" TargetMode="External" Id="rId417"/><Relationship Type="http://schemas.openxmlformats.org/officeDocument/2006/relationships/hyperlink" Target="#'10 EVIDENCE &amp; DECISIONS'!A1328" TargetMode="External" Id="rId418"/><Relationship Type="http://schemas.openxmlformats.org/officeDocument/2006/relationships/hyperlink" Target="#'10 EVIDENCE &amp; DECISIONS'!A1289" TargetMode="External" Id="rId419"/><Relationship Type="http://schemas.openxmlformats.org/officeDocument/2006/relationships/hyperlink" Target="#'10 EVIDENCE &amp; DECISIONS'!A1329" TargetMode="External" Id="rId420"/><Relationship Type="http://schemas.openxmlformats.org/officeDocument/2006/relationships/hyperlink" Target="#'10 EVIDENCE &amp; DECISIONS'!A1290" TargetMode="External" Id="rId421"/><Relationship Type="http://schemas.openxmlformats.org/officeDocument/2006/relationships/hyperlink" Target="#'10 EVIDENCE &amp; DECISIONS'!A1330" TargetMode="External" Id="rId422"/><Relationship Type="http://schemas.openxmlformats.org/officeDocument/2006/relationships/hyperlink" Target="#'10 EVIDENCE &amp; DECISIONS'!A1291" TargetMode="External" Id="rId423"/><Relationship Type="http://schemas.openxmlformats.org/officeDocument/2006/relationships/hyperlink" Target="#'10 EVIDENCE &amp; DECISIONS'!A1331" TargetMode="External" Id="rId424"/><Relationship Type="http://schemas.openxmlformats.org/officeDocument/2006/relationships/hyperlink" Target="#'10 EVIDENCE &amp; DECISIONS'!A1292" TargetMode="External" Id="rId425"/><Relationship Type="http://schemas.openxmlformats.org/officeDocument/2006/relationships/hyperlink" Target="#'10 EVIDENCE &amp; DECISIONS'!A1332" TargetMode="External" Id="rId426"/><Relationship Type="http://schemas.openxmlformats.org/officeDocument/2006/relationships/hyperlink" Target="#'10 EVIDENCE &amp; DECISIONS'!A1293" TargetMode="External" Id="rId427"/><Relationship Type="http://schemas.openxmlformats.org/officeDocument/2006/relationships/hyperlink" Target="#'10 EVIDENCE &amp; DECISIONS'!A1333" TargetMode="External" Id="rId428"/><Relationship Type="http://schemas.openxmlformats.org/officeDocument/2006/relationships/hyperlink" Target="#'10 EVIDENCE &amp; DECISIONS'!A1294" TargetMode="External" Id="rId429"/><Relationship Type="http://schemas.openxmlformats.org/officeDocument/2006/relationships/hyperlink" Target="#'10 EVIDENCE &amp; DECISIONS'!A1334" TargetMode="External" Id="rId430"/><Relationship Type="http://schemas.openxmlformats.org/officeDocument/2006/relationships/hyperlink" Target="#'10 EVIDENCE &amp; DECISIONS'!A1295" TargetMode="External" Id="rId431"/><Relationship Type="http://schemas.openxmlformats.org/officeDocument/2006/relationships/hyperlink" Target="#'10 EVIDENCE &amp; DECISIONS'!A1335" TargetMode="External" Id="rId432"/><Relationship Type="http://schemas.openxmlformats.org/officeDocument/2006/relationships/hyperlink" Target="#'10 EVIDENCE &amp; DECISIONS'!A1296" TargetMode="External" Id="rId433"/><Relationship Type="http://schemas.openxmlformats.org/officeDocument/2006/relationships/hyperlink" Target="#'10 EVIDENCE &amp; DECISIONS'!A1336" TargetMode="External" Id="rId434"/><Relationship Type="http://schemas.openxmlformats.org/officeDocument/2006/relationships/hyperlink" Target="#'10 EVIDENCE &amp; DECISIONS'!A1297" TargetMode="External" Id="rId435"/><Relationship Type="http://schemas.openxmlformats.org/officeDocument/2006/relationships/hyperlink" Target="#'10 EVIDENCE &amp; DECISIONS'!A1337" TargetMode="External" Id="rId436"/><Relationship Type="http://schemas.openxmlformats.org/officeDocument/2006/relationships/hyperlink" Target="#'10 EVIDENCE &amp; DECISIONS'!A1298" TargetMode="External" Id="rId437"/><Relationship Type="http://schemas.openxmlformats.org/officeDocument/2006/relationships/hyperlink" Target="#'10 EVIDENCE &amp; DECISIONS'!A1338" TargetMode="External" Id="rId438"/><Relationship Type="http://schemas.openxmlformats.org/officeDocument/2006/relationships/hyperlink" Target="#'10 EVIDENCE &amp; DECISIONS'!A1299" TargetMode="External" Id="rId439"/><Relationship Type="http://schemas.openxmlformats.org/officeDocument/2006/relationships/hyperlink" Target="#'10 EVIDENCE &amp; DECISIONS'!A1339" TargetMode="External" Id="rId440"/><Relationship Type="http://schemas.openxmlformats.org/officeDocument/2006/relationships/hyperlink" Target="#'10 EVIDENCE &amp; DECISIONS'!A1300" TargetMode="External" Id="rId441"/><Relationship Type="http://schemas.openxmlformats.org/officeDocument/2006/relationships/hyperlink" Target="#'10 EVIDENCE &amp; DECISIONS'!A1340" TargetMode="External" Id="rId442"/><Relationship Type="http://schemas.openxmlformats.org/officeDocument/2006/relationships/hyperlink" Target="#'10 EVIDENCE &amp; DECISIONS'!A1301" TargetMode="External" Id="rId443"/><Relationship Type="http://schemas.openxmlformats.org/officeDocument/2006/relationships/hyperlink" Target="#'10 EVIDENCE &amp; DECISIONS'!A1341" TargetMode="External" Id="rId444"/><Relationship Type="http://schemas.openxmlformats.org/officeDocument/2006/relationships/hyperlink" Target="#'10 EVIDENCE &amp; DECISIONS'!A1302" TargetMode="External" Id="rId445"/><Relationship Type="http://schemas.openxmlformats.org/officeDocument/2006/relationships/hyperlink" Target="#'10 EVIDENCE &amp; DECISIONS'!A1342" TargetMode="External" Id="rId446"/><Relationship Type="http://schemas.openxmlformats.org/officeDocument/2006/relationships/hyperlink" Target="#'10 EVIDENCE &amp; DECISIONS'!A1303" TargetMode="External" Id="rId447"/><Relationship Type="http://schemas.openxmlformats.org/officeDocument/2006/relationships/hyperlink" Target="#'10 EVIDENCE &amp; DECISIONS'!A1343" TargetMode="External" Id="rId448"/><Relationship Type="http://schemas.openxmlformats.org/officeDocument/2006/relationships/hyperlink" Target="#'10 EVIDENCE &amp; DECISIONS'!A1304" TargetMode="External" Id="rId449"/><Relationship Type="http://schemas.openxmlformats.org/officeDocument/2006/relationships/hyperlink" Target="#'10 EVIDENCE &amp; DECISIONS'!A1344" TargetMode="External" Id="rId450"/><Relationship Type="http://schemas.openxmlformats.org/officeDocument/2006/relationships/hyperlink" Target="#'10 EVIDENCE &amp; DECISIONS'!A1305" TargetMode="External" Id="rId451"/><Relationship Type="http://schemas.openxmlformats.org/officeDocument/2006/relationships/hyperlink" Target="#'10 EVIDENCE &amp; DECISIONS'!A1345" TargetMode="External" Id="rId452"/><Relationship Type="http://schemas.openxmlformats.org/officeDocument/2006/relationships/hyperlink" Target="#'10 EVIDENCE &amp; DECISIONS'!A1306" TargetMode="External" Id="rId453"/><Relationship Type="http://schemas.openxmlformats.org/officeDocument/2006/relationships/hyperlink" Target="#'10 EVIDENCE &amp; DECISIONS'!A1346" TargetMode="External" Id="rId454"/><Relationship Type="http://schemas.openxmlformats.org/officeDocument/2006/relationships/hyperlink" Target="#'10 EVIDENCE &amp; DECISIONS'!A1307" TargetMode="External" Id="rId455"/><Relationship Type="http://schemas.openxmlformats.org/officeDocument/2006/relationships/hyperlink" Target="#'10 EVIDENCE &amp; DECISIONS'!A1347" TargetMode="External" Id="rId456"/><Relationship Type="http://schemas.openxmlformats.org/officeDocument/2006/relationships/hyperlink" Target="#'10 EVIDENCE &amp; DECISIONS'!A1308" TargetMode="External" Id="rId457"/><Relationship Type="http://schemas.openxmlformats.org/officeDocument/2006/relationships/hyperlink" Target="#'10 EVIDENCE &amp; DECISIONS'!A1348" TargetMode="External" Id="rId458"/><Relationship Type="http://schemas.openxmlformats.org/officeDocument/2006/relationships/hyperlink" Target="#'10 EVIDENCE &amp; DECISIONS'!A1309" TargetMode="External" Id="rId459"/><Relationship Type="http://schemas.openxmlformats.org/officeDocument/2006/relationships/hyperlink" Target="#'10 EVIDENCE &amp; DECISIONS'!A1349" TargetMode="External" Id="rId460"/><Relationship Type="http://schemas.openxmlformats.org/officeDocument/2006/relationships/hyperlink" Target="#'10 EVIDENCE &amp; DECISIONS'!A1310" TargetMode="External" Id="rId461"/><Relationship Type="http://schemas.openxmlformats.org/officeDocument/2006/relationships/hyperlink" Target="#'10 EVIDENCE &amp; DECISIONS'!A1350" TargetMode="External" Id="rId462"/><Relationship Type="http://schemas.openxmlformats.org/officeDocument/2006/relationships/hyperlink" Target="#'10 EVIDENCE &amp; DECISIONS'!A1311" TargetMode="External" Id="rId463"/><Relationship Type="http://schemas.openxmlformats.org/officeDocument/2006/relationships/hyperlink" Target="#'10 EVIDENCE &amp; DECISIONS'!A1351" TargetMode="External" Id="rId464"/><Relationship Type="http://schemas.openxmlformats.org/officeDocument/2006/relationships/hyperlink" Target="#'10 EVIDENCE &amp; DECISIONS'!A1312" TargetMode="External" Id="rId465"/><Relationship Type="http://schemas.openxmlformats.org/officeDocument/2006/relationships/hyperlink" Target="#'10 EVIDENCE &amp; DECISIONS'!A1352" TargetMode="External" Id="rId466"/><Relationship Type="http://schemas.openxmlformats.org/officeDocument/2006/relationships/hyperlink" Target="#'10 EVIDENCE &amp; DECISIONS'!A1313" TargetMode="External" Id="rId467"/><Relationship Type="http://schemas.openxmlformats.org/officeDocument/2006/relationships/hyperlink" Target="#'10 EVIDENCE &amp; DECISIONS'!A1353" TargetMode="External" Id="rId468"/><Relationship Type="http://schemas.openxmlformats.org/officeDocument/2006/relationships/hyperlink" Target="#'10 EVIDENCE &amp; DECISIONS'!A1314" TargetMode="External" Id="rId469"/><Relationship Type="http://schemas.openxmlformats.org/officeDocument/2006/relationships/hyperlink" Target="#'10 EVIDENCE &amp; DECISIONS'!A1354" TargetMode="External" Id="rId470"/><Relationship Type="http://schemas.openxmlformats.org/officeDocument/2006/relationships/hyperlink" Target="#'10 EVIDENCE &amp; DECISIONS'!A1315" TargetMode="External" Id="rId471"/><Relationship Type="http://schemas.openxmlformats.org/officeDocument/2006/relationships/hyperlink" Target="#'10 EVIDENCE &amp; DECISIONS'!A1355" TargetMode="External" Id="rId472"/><Relationship Type="http://schemas.openxmlformats.org/officeDocument/2006/relationships/hyperlink" Target="#'10 EVIDENCE &amp; DECISIONS'!A1316" TargetMode="External" Id="rId473"/><Relationship Type="http://schemas.openxmlformats.org/officeDocument/2006/relationships/hyperlink" Target="#'10 EVIDENCE &amp; DECISIONS'!A1356" TargetMode="External" Id="rId474"/><Relationship Type="http://schemas.openxmlformats.org/officeDocument/2006/relationships/hyperlink" Target="#'10 EVIDENCE &amp; DECISIONS'!A1317" TargetMode="External" Id="rId475"/><Relationship Type="http://schemas.openxmlformats.org/officeDocument/2006/relationships/hyperlink" Target="#'10 EVIDENCE &amp; DECISIONS'!A1357" TargetMode="External" Id="rId476"/><Relationship Type="http://schemas.openxmlformats.org/officeDocument/2006/relationships/hyperlink" Target="#'10 EVIDENCE &amp; DECISIONS'!A1318" TargetMode="External" Id="rId477"/><Relationship Type="http://schemas.openxmlformats.org/officeDocument/2006/relationships/hyperlink" Target="#'10 EVIDENCE &amp; DECISIONS'!A1358" TargetMode="External" Id="rId478"/><Relationship Type="http://schemas.openxmlformats.org/officeDocument/2006/relationships/hyperlink" Target="#'10 EVIDENCE &amp; DECISIONS'!A1319" TargetMode="External" Id="rId479"/><Relationship Type="http://schemas.openxmlformats.org/officeDocument/2006/relationships/hyperlink" Target="#'10 EVIDENCE &amp; DECISIONS'!A1359" TargetMode="External" Id="rId480"/><Relationship Type="http://schemas.openxmlformats.org/officeDocument/2006/relationships/hyperlink" Target="#'10 EVIDENCE &amp; DECISIONS'!A1320" TargetMode="External" Id="rId481"/><Relationship Type="http://schemas.openxmlformats.org/officeDocument/2006/relationships/hyperlink" Target="#'10 EVIDENCE &amp; DECISIONS'!A1360" TargetMode="External" Id="rId482"/><Relationship Type="http://schemas.openxmlformats.org/officeDocument/2006/relationships/hyperlink" Target="#'10 EVIDENCE &amp; DECISIONS'!A1321" TargetMode="External" Id="rId483"/><Relationship Type="http://schemas.openxmlformats.org/officeDocument/2006/relationships/hyperlink" Target="#'10 EVIDENCE &amp; DECISIONS'!A1361" TargetMode="External" Id="rId484"/><Relationship Type="http://schemas.openxmlformats.org/officeDocument/2006/relationships/hyperlink" Target="#'10 EVIDENCE &amp; DECISIONS'!A1322" TargetMode="External" Id="rId485"/><Relationship Type="http://schemas.openxmlformats.org/officeDocument/2006/relationships/hyperlink" Target="#'10 EVIDENCE &amp; DECISIONS'!A1362" TargetMode="External" Id="rId486"/><Relationship Type="http://schemas.openxmlformats.org/officeDocument/2006/relationships/hyperlink" Target="#'10 EVIDENCE &amp; DECISIONS'!A1323" TargetMode="External" Id="rId487"/><Relationship Type="http://schemas.openxmlformats.org/officeDocument/2006/relationships/hyperlink" Target="#'10 EVIDENCE &amp; DECISIONS'!A1363" TargetMode="External" Id="rId488"/><Relationship Type="http://schemas.openxmlformats.org/officeDocument/2006/relationships/hyperlink" Target="#'10 EVIDENCE &amp; DECISIONS'!A6" TargetMode="External" Id="rId489"/><Relationship Type="http://schemas.openxmlformats.org/officeDocument/2006/relationships/hyperlink" Target="#'10 EVIDENCE &amp; DECISIONS'!A7" TargetMode="External" Id="rId490"/><Relationship Type="http://schemas.openxmlformats.org/officeDocument/2006/relationships/hyperlink" Target="#'10 EVIDENCE &amp; DECISIONS'!A8" TargetMode="External" Id="rId491"/><Relationship Type="http://schemas.openxmlformats.org/officeDocument/2006/relationships/hyperlink" Target="#'10 EVIDENCE &amp; DECISIONS'!A9" TargetMode="External" Id="rId492"/><Relationship Type="http://schemas.openxmlformats.org/officeDocument/2006/relationships/hyperlink" Target="#'10 EVIDENCE &amp; DECISIONS'!A10" TargetMode="External" Id="rId493"/><Relationship Type="http://schemas.openxmlformats.org/officeDocument/2006/relationships/hyperlink" Target="#'10 EVIDENCE &amp; DECISIONS'!A11" TargetMode="External" Id="rId494"/><Relationship Type="http://schemas.openxmlformats.org/officeDocument/2006/relationships/hyperlink" Target="#'10 EVIDENCE &amp; DECISIONS'!A12" TargetMode="External" Id="rId495"/><Relationship Type="http://schemas.openxmlformats.org/officeDocument/2006/relationships/hyperlink" Target="#'10 EVIDENCE &amp; DECISIONS'!A13" TargetMode="External" Id="rId496"/><Relationship Type="http://schemas.openxmlformats.org/officeDocument/2006/relationships/hyperlink" Target="#'10 EVIDENCE &amp; DECISIONS'!A14" TargetMode="External" Id="rId497"/><Relationship Type="http://schemas.openxmlformats.org/officeDocument/2006/relationships/hyperlink" Target="#'10 EVIDENCE &amp; DECISIONS'!A15" TargetMode="External" Id="rId498"/><Relationship Type="http://schemas.openxmlformats.org/officeDocument/2006/relationships/hyperlink" Target="#'10 EVIDENCE &amp; DECISIONS'!A277" TargetMode="External" Id="rId499"/><Relationship Type="http://schemas.openxmlformats.org/officeDocument/2006/relationships/hyperlink" Target="#'10 EVIDENCE &amp; DECISIONS'!A278" TargetMode="External" Id="rId500"/><Relationship Type="http://schemas.openxmlformats.org/officeDocument/2006/relationships/hyperlink" Target="#'10 EVIDENCE &amp; DECISIONS'!A279" TargetMode="External" Id="rId501"/><Relationship Type="http://schemas.openxmlformats.org/officeDocument/2006/relationships/hyperlink" Target="#'10 EVIDENCE &amp; DECISIONS'!A280" TargetMode="External" Id="rId502"/><Relationship Type="http://schemas.openxmlformats.org/officeDocument/2006/relationships/hyperlink" Target="#'10 EVIDENCE &amp; DECISIONS'!A281" TargetMode="External" Id="rId503"/><Relationship Type="http://schemas.openxmlformats.org/officeDocument/2006/relationships/hyperlink" Target="#'10 EVIDENCE &amp; DECISIONS'!A282" TargetMode="External" Id="rId504"/><Relationship Type="http://schemas.openxmlformats.org/officeDocument/2006/relationships/hyperlink" Target="#'10 EVIDENCE &amp; DECISIONS'!A283" TargetMode="External" Id="rId505"/><Relationship Type="http://schemas.openxmlformats.org/officeDocument/2006/relationships/hyperlink" Target="#'10 EVIDENCE &amp; DECISIONS'!A284" TargetMode="External" Id="rId506"/><Relationship Type="http://schemas.openxmlformats.org/officeDocument/2006/relationships/hyperlink" Target="#'10 EVIDENCE &amp; DECISIONS'!A285" TargetMode="External" Id="rId507"/><Relationship Type="http://schemas.openxmlformats.org/officeDocument/2006/relationships/hyperlink" Target="#'10 EVIDENCE &amp; DECISIONS'!A286" TargetMode="External" Id="rId508"/><Relationship Type="http://schemas.openxmlformats.org/officeDocument/2006/relationships/hyperlink" Target="#'10 EVIDENCE &amp; DECISIONS'!A546" TargetMode="External" Id="rId509"/><Relationship Type="http://schemas.openxmlformats.org/officeDocument/2006/relationships/hyperlink" Target="#'10 EVIDENCE &amp; DECISIONS'!A547" TargetMode="External" Id="rId510"/><Relationship Type="http://schemas.openxmlformats.org/officeDocument/2006/relationships/hyperlink" Target="#'10 EVIDENCE &amp; DECISIONS'!A548" TargetMode="External" Id="rId511"/><Relationship Type="http://schemas.openxmlformats.org/officeDocument/2006/relationships/hyperlink" Target="#'10 EVIDENCE &amp; DECISIONS'!A549" TargetMode="External" Id="rId512"/><Relationship Type="http://schemas.openxmlformats.org/officeDocument/2006/relationships/hyperlink" Target="#'10 EVIDENCE &amp; DECISIONS'!A550" TargetMode="External" Id="rId513"/><Relationship Type="http://schemas.openxmlformats.org/officeDocument/2006/relationships/hyperlink" Target="#'10 EVIDENCE &amp; DECISIONS'!A551" TargetMode="External" Id="rId514"/><Relationship Type="http://schemas.openxmlformats.org/officeDocument/2006/relationships/hyperlink" Target="#'10 EVIDENCE &amp; DECISIONS'!A552" TargetMode="External" Id="rId515"/><Relationship Type="http://schemas.openxmlformats.org/officeDocument/2006/relationships/hyperlink" Target="#'10 EVIDENCE &amp; DECISIONS'!A553" TargetMode="External" Id="rId516"/><Relationship Type="http://schemas.openxmlformats.org/officeDocument/2006/relationships/hyperlink" Target="#'10 EVIDENCE &amp; DECISIONS'!A554" TargetMode="External" Id="rId517"/><Relationship Type="http://schemas.openxmlformats.org/officeDocument/2006/relationships/hyperlink" Target="#'10 EVIDENCE &amp; DECISIONS'!A555" TargetMode="External" Id="rId518"/><Relationship Type="http://schemas.openxmlformats.org/officeDocument/2006/relationships/hyperlink" Target="#'10 EVIDENCE &amp; DECISIONS'!A815" TargetMode="External" Id="rId519"/><Relationship Type="http://schemas.openxmlformats.org/officeDocument/2006/relationships/hyperlink" Target="#'10 EVIDENCE &amp; DECISIONS'!A816" TargetMode="External" Id="rId520"/><Relationship Type="http://schemas.openxmlformats.org/officeDocument/2006/relationships/hyperlink" Target="#'10 EVIDENCE &amp; DECISIONS'!A817" TargetMode="External" Id="rId521"/><Relationship Type="http://schemas.openxmlformats.org/officeDocument/2006/relationships/hyperlink" Target="#'10 EVIDENCE &amp; DECISIONS'!A818" TargetMode="External" Id="rId522"/><Relationship Type="http://schemas.openxmlformats.org/officeDocument/2006/relationships/hyperlink" Target="#'10 EVIDENCE &amp; DECISIONS'!A819" TargetMode="External" Id="rId523"/><Relationship Type="http://schemas.openxmlformats.org/officeDocument/2006/relationships/hyperlink" Target="#'10 EVIDENCE &amp; DECISIONS'!A820" TargetMode="External" Id="rId524"/><Relationship Type="http://schemas.openxmlformats.org/officeDocument/2006/relationships/hyperlink" Target="#'10 EVIDENCE &amp; DECISIONS'!A821" TargetMode="External" Id="rId525"/><Relationship Type="http://schemas.openxmlformats.org/officeDocument/2006/relationships/hyperlink" Target="#'10 EVIDENCE &amp; DECISIONS'!A822" TargetMode="External" Id="rId526"/><Relationship Type="http://schemas.openxmlformats.org/officeDocument/2006/relationships/hyperlink" Target="#'10 EVIDENCE &amp; DECISIONS'!A823" TargetMode="External" Id="rId527"/><Relationship Type="http://schemas.openxmlformats.org/officeDocument/2006/relationships/hyperlink" Target="#'10 EVIDENCE &amp; DECISIONS'!A824" TargetMode="External" Id="rId528"/><Relationship Type="http://schemas.openxmlformats.org/officeDocument/2006/relationships/hyperlink" Target="#'10 EVIDENCE &amp; DECISIONS'!A1084" TargetMode="External" Id="rId529"/><Relationship Type="http://schemas.openxmlformats.org/officeDocument/2006/relationships/hyperlink" Target="#'10 EVIDENCE &amp; DECISIONS'!A1085" TargetMode="External" Id="rId530"/><Relationship Type="http://schemas.openxmlformats.org/officeDocument/2006/relationships/hyperlink" Target="#'10 EVIDENCE &amp; DECISIONS'!A1086" TargetMode="External" Id="rId531"/><Relationship Type="http://schemas.openxmlformats.org/officeDocument/2006/relationships/hyperlink" Target="#'10 EVIDENCE &amp; DECISIONS'!A1087" TargetMode="External" Id="rId532"/><Relationship Type="http://schemas.openxmlformats.org/officeDocument/2006/relationships/hyperlink" Target="#'10 EVIDENCE &amp; DECISIONS'!A1088" TargetMode="External" Id="rId533"/><Relationship Type="http://schemas.openxmlformats.org/officeDocument/2006/relationships/hyperlink" Target="#'10 EVIDENCE &amp; DECISIONS'!A1089" TargetMode="External" Id="rId534"/><Relationship Type="http://schemas.openxmlformats.org/officeDocument/2006/relationships/hyperlink" Target="#'10 EVIDENCE &amp; DECISIONS'!A1090" TargetMode="External" Id="rId535"/><Relationship Type="http://schemas.openxmlformats.org/officeDocument/2006/relationships/hyperlink" Target="#'10 EVIDENCE &amp; DECISIONS'!A1091" TargetMode="External" Id="rId536"/><Relationship Type="http://schemas.openxmlformats.org/officeDocument/2006/relationships/hyperlink" Target="#'10 EVIDENCE &amp; DECISIONS'!A1092" TargetMode="External" Id="rId537"/><Relationship Type="http://schemas.openxmlformats.org/officeDocument/2006/relationships/hyperlink" Target="#'10 EVIDENCE &amp; DECISIONS'!A1093" TargetMode="External" Id="rId538"/><Relationship Type="http://schemas.openxmlformats.org/officeDocument/2006/relationships/hyperlink" Target="#'10 EVIDENCE &amp; DECISIONS'!A1274" TargetMode="External" Id="rId539"/><Relationship Type="http://schemas.openxmlformats.org/officeDocument/2006/relationships/hyperlink" Target="#'10 EVIDENCE &amp; DECISIONS'!A1275" TargetMode="External" Id="rId540"/><Relationship Type="http://schemas.openxmlformats.org/officeDocument/2006/relationships/hyperlink" Target="#'10 EVIDENCE &amp; DECISIONS'!A1276" TargetMode="External" Id="rId541"/><Relationship Type="http://schemas.openxmlformats.org/officeDocument/2006/relationships/hyperlink" Target="#'10 EVIDENCE &amp; DECISIONS'!A1277" TargetMode="External" Id="rId542"/><Relationship Type="http://schemas.openxmlformats.org/officeDocument/2006/relationships/hyperlink" Target="#'10 EVIDENCE &amp; DECISIONS'!A1278" TargetMode="External" Id="rId543"/><Relationship Type="http://schemas.openxmlformats.org/officeDocument/2006/relationships/hyperlink" Target="#'10 EVIDENCE &amp; DECISIONS'!A1279" TargetMode="External" Id="rId544"/><Relationship Type="http://schemas.openxmlformats.org/officeDocument/2006/relationships/hyperlink" Target="#'10 EVIDENCE &amp; DECISIONS'!A1280" TargetMode="External" Id="rId545"/><Relationship Type="http://schemas.openxmlformats.org/officeDocument/2006/relationships/hyperlink" Target="#'10 EVIDENCE &amp; DECISIONS'!A1281" TargetMode="External" Id="rId546"/><Relationship Type="http://schemas.openxmlformats.org/officeDocument/2006/relationships/hyperlink" Target="#'10 EVIDENCE &amp; DECISIONS'!A1282" TargetMode="External" Id="rId547"/><Relationship Type="http://schemas.openxmlformats.org/officeDocument/2006/relationships/hyperlink" Target="#'10 EVIDENCE &amp; DECISIONS'!A1283" TargetMode="External" Id="rId548"/><Relationship Type="http://schemas.openxmlformats.org/officeDocument/2006/relationships/hyperlink" Target="#'10 EVIDENCE &amp; DECISIONS'!A16" TargetMode="External" Id="rId549"/><Relationship Type="http://schemas.openxmlformats.org/officeDocument/2006/relationships/hyperlink" Target="#'10 EVIDENCE &amp; DECISIONS'!A17" TargetMode="External" Id="rId550"/><Relationship Type="http://schemas.openxmlformats.org/officeDocument/2006/relationships/hyperlink" Target="#'10 EVIDENCE &amp; DECISIONS'!A176" TargetMode="External" Id="rId551"/><Relationship Type="http://schemas.openxmlformats.org/officeDocument/2006/relationships/hyperlink" Target="#'10 EVIDENCE &amp; DECISIONS'!A18" TargetMode="External" Id="rId552"/><Relationship Type="http://schemas.openxmlformats.org/officeDocument/2006/relationships/hyperlink" Target="#'10 EVIDENCE &amp; DECISIONS'!A19" TargetMode="External" Id="rId553"/><Relationship Type="http://schemas.openxmlformats.org/officeDocument/2006/relationships/hyperlink" Target="#'10 EVIDENCE &amp; DECISIONS'!A177" TargetMode="External" Id="rId554"/><Relationship Type="http://schemas.openxmlformats.org/officeDocument/2006/relationships/hyperlink" Target="#'10 EVIDENCE &amp; DECISIONS'!A20" TargetMode="External" Id="rId555"/><Relationship Type="http://schemas.openxmlformats.org/officeDocument/2006/relationships/hyperlink" Target="#'10 EVIDENCE &amp; DECISIONS'!A21" TargetMode="External" Id="rId556"/><Relationship Type="http://schemas.openxmlformats.org/officeDocument/2006/relationships/hyperlink" Target="#'10 EVIDENCE &amp; DECISIONS'!A178" TargetMode="External" Id="rId557"/><Relationship Type="http://schemas.openxmlformats.org/officeDocument/2006/relationships/hyperlink" Target="#'10 EVIDENCE &amp; DECISIONS'!A22" TargetMode="External" Id="rId558"/><Relationship Type="http://schemas.openxmlformats.org/officeDocument/2006/relationships/hyperlink" Target="#'10 EVIDENCE &amp; DECISIONS'!A23" TargetMode="External" Id="rId559"/><Relationship Type="http://schemas.openxmlformats.org/officeDocument/2006/relationships/hyperlink" Target="#'10 EVIDENCE &amp; DECISIONS'!A179" TargetMode="External" Id="rId560"/><Relationship Type="http://schemas.openxmlformats.org/officeDocument/2006/relationships/hyperlink" Target="#'10 EVIDENCE &amp; DECISIONS'!A24" TargetMode="External" Id="rId561"/><Relationship Type="http://schemas.openxmlformats.org/officeDocument/2006/relationships/hyperlink" Target="#'10 EVIDENCE &amp; DECISIONS'!A25" TargetMode="External" Id="rId562"/><Relationship Type="http://schemas.openxmlformats.org/officeDocument/2006/relationships/hyperlink" Target="#'10 EVIDENCE &amp; DECISIONS'!A180" TargetMode="External" Id="rId563"/><Relationship Type="http://schemas.openxmlformats.org/officeDocument/2006/relationships/hyperlink" Target="#'10 EVIDENCE &amp; DECISIONS'!A26" TargetMode="External" Id="rId564"/><Relationship Type="http://schemas.openxmlformats.org/officeDocument/2006/relationships/hyperlink" Target="#'10 EVIDENCE &amp; DECISIONS'!A27" TargetMode="External" Id="rId565"/><Relationship Type="http://schemas.openxmlformats.org/officeDocument/2006/relationships/hyperlink" Target="#'10 EVIDENCE &amp; DECISIONS'!A181" TargetMode="External" Id="rId566"/><Relationship Type="http://schemas.openxmlformats.org/officeDocument/2006/relationships/hyperlink" Target="#'10 EVIDENCE &amp; DECISIONS'!A28" TargetMode="External" Id="rId567"/><Relationship Type="http://schemas.openxmlformats.org/officeDocument/2006/relationships/hyperlink" Target="#'10 EVIDENCE &amp; DECISIONS'!A29" TargetMode="External" Id="rId568"/><Relationship Type="http://schemas.openxmlformats.org/officeDocument/2006/relationships/hyperlink" Target="#'10 EVIDENCE &amp; DECISIONS'!A182" TargetMode="External" Id="rId569"/><Relationship Type="http://schemas.openxmlformats.org/officeDocument/2006/relationships/hyperlink" Target="#'10 EVIDENCE &amp; DECISIONS'!A30" TargetMode="External" Id="rId570"/><Relationship Type="http://schemas.openxmlformats.org/officeDocument/2006/relationships/hyperlink" Target="#'10 EVIDENCE &amp; DECISIONS'!A31" TargetMode="External" Id="rId571"/><Relationship Type="http://schemas.openxmlformats.org/officeDocument/2006/relationships/hyperlink" Target="#'10 EVIDENCE &amp; DECISIONS'!A183" TargetMode="External" Id="rId572"/><Relationship Type="http://schemas.openxmlformats.org/officeDocument/2006/relationships/hyperlink" Target="#'10 EVIDENCE &amp; DECISIONS'!A32" TargetMode="External" Id="rId573"/><Relationship Type="http://schemas.openxmlformats.org/officeDocument/2006/relationships/hyperlink" Target="#'10 EVIDENCE &amp; DECISIONS'!A33" TargetMode="External" Id="rId574"/><Relationship Type="http://schemas.openxmlformats.org/officeDocument/2006/relationships/hyperlink" Target="#'10 EVIDENCE &amp; DECISIONS'!A184" TargetMode="External" Id="rId575"/><Relationship Type="http://schemas.openxmlformats.org/officeDocument/2006/relationships/hyperlink" Target="#'10 EVIDENCE &amp; DECISIONS'!A34" TargetMode="External" Id="rId576"/><Relationship Type="http://schemas.openxmlformats.org/officeDocument/2006/relationships/hyperlink" Target="#'10 EVIDENCE &amp; DECISIONS'!A35" TargetMode="External" Id="rId577"/><Relationship Type="http://schemas.openxmlformats.org/officeDocument/2006/relationships/hyperlink" Target="#'10 EVIDENCE &amp; DECISIONS'!A185" TargetMode="External" Id="rId578"/><Relationship Type="http://schemas.openxmlformats.org/officeDocument/2006/relationships/hyperlink" Target="#'10 EVIDENCE &amp; DECISIONS'!A36" TargetMode="External" Id="rId579"/><Relationship Type="http://schemas.openxmlformats.org/officeDocument/2006/relationships/hyperlink" Target="#'10 EVIDENCE &amp; DECISIONS'!A37" TargetMode="External" Id="rId580"/><Relationship Type="http://schemas.openxmlformats.org/officeDocument/2006/relationships/hyperlink" Target="#'10 EVIDENCE &amp; DECISIONS'!A186" TargetMode="External" Id="rId581"/><Relationship Type="http://schemas.openxmlformats.org/officeDocument/2006/relationships/hyperlink" Target="#'10 EVIDENCE &amp; DECISIONS'!A38" TargetMode="External" Id="rId582"/><Relationship Type="http://schemas.openxmlformats.org/officeDocument/2006/relationships/hyperlink" Target="#'10 EVIDENCE &amp; DECISIONS'!A39" TargetMode="External" Id="rId583"/><Relationship Type="http://schemas.openxmlformats.org/officeDocument/2006/relationships/hyperlink" Target="#'10 EVIDENCE &amp; DECISIONS'!A187" TargetMode="External" Id="rId584"/><Relationship Type="http://schemas.openxmlformats.org/officeDocument/2006/relationships/hyperlink" Target="#'10 EVIDENCE &amp; DECISIONS'!A40" TargetMode="External" Id="rId585"/><Relationship Type="http://schemas.openxmlformats.org/officeDocument/2006/relationships/hyperlink" Target="#'10 EVIDENCE &amp; DECISIONS'!A41" TargetMode="External" Id="rId586"/><Relationship Type="http://schemas.openxmlformats.org/officeDocument/2006/relationships/hyperlink" Target="#'10 EVIDENCE &amp; DECISIONS'!A188" TargetMode="External" Id="rId587"/><Relationship Type="http://schemas.openxmlformats.org/officeDocument/2006/relationships/hyperlink" Target="#'10 EVIDENCE &amp; DECISIONS'!A42" TargetMode="External" Id="rId588"/><Relationship Type="http://schemas.openxmlformats.org/officeDocument/2006/relationships/hyperlink" Target="#'10 EVIDENCE &amp; DECISIONS'!A43" TargetMode="External" Id="rId589"/><Relationship Type="http://schemas.openxmlformats.org/officeDocument/2006/relationships/hyperlink" Target="#'10 EVIDENCE &amp; DECISIONS'!A189" TargetMode="External" Id="rId590"/><Relationship Type="http://schemas.openxmlformats.org/officeDocument/2006/relationships/hyperlink" Target="#'10 EVIDENCE &amp; DECISIONS'!A44" TargetMode="External" Id="rId591"/><Relationship Type="http://schemas.openxmlformats.org/officeDocument/2006/relationships/hyperlink" Target="#'10 EVIDENCE &amp; DECISIONS'!A45" TargetMode="External" Id="rId592"/><Relationship Type="http://schemas.openxmlformats.org/officeDocument/2006/relationships/hyperlink" Target="#'10 EVIDENCE &amp; DECISIONS'!A190" TargetMode="External" Id="rId593"/><Relationship Type="http://schemas.openxmlformats.org/officeDocument/2006/relationships/hyperlink" Target="#'10 EVIDENCE &amp; DECISIONS'!A46" TargetMode="External" Id="rId594"/><Relationship Type="http://schemas.openxmlformats.org/officeDocument/2006/relationships/hyperlink" Target="#'10 EVIDENCE &amp; DECISIONS'!A47" TargetMode="External" Id="rId595"/><Relationship Type="http://schemas.openxmlformats.org/officeDocument/2006/relationships/hyperlink" Target="#'10 EVIDENCE &amp; DECISIONS'!A191" TargetMode="External" Id="rId596"/><Relationship Type="http://schemas.openxmlformats.org/officeDocument/2006/relationships/hyperlink" Target="#'10 EVIDENCE &amp; DECISIONS'!A48" TargetMode="External" Id="rId597"/><Relationship Type="http://schemas.openxmlformats.org/officeDocument/2006/relationships/hyperlink" Target="#'10 EVIDENCE &amp; DECISIONS'!A49" TargetMode="External" Id="rId598"/><Relationship Type="http://schemas.openxmlformats.org/officeDocument/2006/relationships/hyperlink" Target="#'10 EVIDENCE &amp; DECISIONS'!A192" TargetMode="External" Id="rId599"/><Relationship Type="http://schemas.openxmlformats.org/officeDocument/2006/relationships/hyperlink" Target="#'10 EVIDENCE &amp; DECISIONS'!A50" TargetMode="External" Id="rId600"/><Relationship Type="http://schemas.openxmlformats.org/officeDocument/2006/relationships/hyperlink" Target="#'10 EVIDENCE &amp; DECISIONS'!A51" TargetMode="External" Id="rId601"/><Relationship Type="http://schemas.openxmlformats.org/officeDocument/2006/relationships/hyperlink" Target="#'10 EVIDENCE &amp; DECISIONS'!A193" TargetMode="External" Id="rId602"/><Relationship Type="http://schemas.openxmlformats.org/officeDocument/2006/relationships/hyperlink" Target="#'10 EVIDENCE &amp; DECISIONS'!A52" TargetMode="External" Id="rId603"/><Relationship Type="http://schemas.openxmlformats.org/officeDocument/2006/relationships/hyperlink" Target="#'10 EVIDENCE &amp; DECISIONS'!A53" TargetMode="External" Id="rId604"/><Relationship Type="http://schemas.openxmlformats.org/officeDocument/2006/relationships/hyperlink" Target="#'10 EVIDENCE &amp; DECISIONS'!A194" TargetMode="External" Id="rId605"/><Relationship Type="http://schemas.openxmlformats.org/officeDocument/2006/relationships/hyperlink" Target="#'10 EVIDENCE &amp; DECISIONS'!A54" TargetMode="External" Id="rId606"/><Relationship Type="http://schemas.openxmlformats.org/officeDocument/2006/relationships/hyperlink" Target="#'10 EVIDENCE &amp; DECISIONS'!A55" TargetMode="External" Id="rId607"/><Relationship Type="http://schemas.openxmlformats.org/officeDocument/2006/relationships/hyperlink" Target="#'10 EVIDENCE &amp; DECISIONS'!A195" TargetMode="External" Id="rId608"/><Relationship Type="http://schemas.openxmlformats.org/officeDocument/2006/relationships/hyperlink" Target="#'10 EVIDENCE &amp; DECISIONS'!A56" TargetMode="External" Id="rId609"/><Relationship Type="http://schemas.openxmlformats.org/officeDocument/2006/relationships/hyperlink" Target="#'10 EVIDENCE &amp; DECISIONS'!A57" TargetMode="External" Id="rId610"/><Relationship Type="http://schemas.openxmlformats.org/officeDocument/2006/relationships/hyperlink" Target="#'10 EVIDENCE &amp; DECISIONS'!A196" TargetMode="External" Id="rId611"/><Relationship Type="http://schemas.openxmlformats.org/officeDocument/2006/relationships/hyperlink" Target="#'10 EVIDENCE &amp; DECISIONS'!A58" TargetMode="External" Id="rId612"/><Relationship Type="http://schemas.openxmlformats.org/officeDocument/2006/relationships/hyperlink" Target="#'10 EVIDENCE &amp; DECISIONS'!A59" TargetMode="External" Id="rId613"/><Relationship Type="http://schemas.openxmlformats.org/officeDocument/2006/relationships/hyperlink" Target="#'10 EVIDENCE &amp; DECISIONS'!A197" TargetMode="External" Id="rId614"/><Relationship Type="http://schemas.openxmlformats.org/officeDocument/2006/relationships/hyperlink" Target="#'10 EVIDENCE &amp; DECISIONS'!A60" TargetMode="External" Id="rId615"/><Relationship Type="http://schemas.openxmlformats.org/officeDocument/2006/relationships/hyperlink" Target="#'10 EVIDENCE &amp; DECISIONS'!A61" TargetMode="External" Id="rId616"/><Relationship Type="http://schemas.openxmlformats.org/officeDocument/2006/relationships/hyperlink" Target="#'10 EVIDENCE &amp; DECISIONS'!A198" TargetMode="External" Id="rId617"/><Relationship Type="http://schemas.openxmlformats.org/officeDocument/2006/relationships/hyperlink" Target="#'10 EVIDENCE &amp; DECISIONS'!A62" TargetMode="External" Id="rId618"/><Relationship Type="http://schemas.openxmlformats.org/officeDocument/2006/relationships/hyperlink" Target="#'10 EVIDENCE &amp; DECISIONS'!A63" TargetMode="External" Id="rId619"/><Relationship Type="http://schemas.openxmlformats.org/officeDocument/2006/relationships/hyperlink" Target="#'10 EVIDENCE &amp; DECISIONS'!A199" TargetMode="External" Id="rId620"/><Relationship Type="http://schemas.openxmlformats.org/officeDocument/2006/relationships/hyperlink" Target="#'10 EVIDENCE &amp; DECISIONS'!A64" TargetMode="External" Id="rId621"/><Relationship Type="http://schemas.openxmlformats.org/officeDocument/2006/relationships/hyperlink" Target="#'10 EVIDENCE &amp; DECISIONS'!A65" TargetMode="External" Id="rId622"/><Relationship Type="http://schemas.openxmlformats.org/officeDocument/2006/relationships/hyperlink" Target="#'10 EVIDENCE &amp; DECISIONS'!A200" TargetMode="External" Id="rId623"/><Relationship Type="http://schemas.openxmlformats.org/officeDocument/2006/relationships/hyperlink" Target="#'10 EVIDENCE &amp; DECISIONS'!A66" TargetMode="External" Id="rId624"/><Relationship Type="http://schemas.openxmlformats.org/officeDocument/2006/relationships/hyperlink" Target="#'10 EVIDENCE &amp; DECISIONS'!A67" TargetMode="External" Id="rId625"/><Relationship Type="http://schemas.openxmlformats.org/officeDocument/2006/relationships/hyperlink" Target="#'10 EVIDENCE &amp; DECISIONS'!A201" TargetMode="External" Id="rId626"/><Relationship Type="http://schemas.openxmlformats.org/officeDocument/2006/relationships/hyperlink" Target="#'10 EVIDENCE &amp; DECISIONS'!A68" TargetMode="External" Id="rId627"/><Relationship Type="http://schemas.openxmlformats.org/officeDocument/2006/relationships/hyperlink" Target="#'10 EVIDENCE &amp; DECISIONS'!A69" TargetMode="External" Id="rId628"/><Relationship Type="http://schemas.openxmlformats.org/officeDocument/2006/relationships/hyperlink" Target="#'10 EVIDENCE &amp; DECISIONS'!A202" TargetMode="External" Id="rId629"/><Relationship Type="http://schemas.openxmlformats.org/officeDocument/2006/relationships/hyperlink" Target="#'10 EVIDENCE &amp; DECISIONS'!A70" TargetMode="External" Id="rId630"/><Relationship Type="http://schemas.openxmlformats.org/officeDocument/2006/relationships/hyperlink" Target="#'10 EVIDENCE &amp; DECISIONS'!A71" TargetMode="External" Id="rId631"/><Relationship Type="http://schemas.openxmlformats.org/officeDocument/2006/relationships/hyperlink" Target="#'10 EVIDENCE &amp; DECISIONS'!A203" TargetMode="External" Id="rId632"/><Relationship Type="http://schemas.openxmlformats.org/officeDocument/2006/relationships/hyperlink" Target="#'10 EVIDENCE &amp; DECISIONS'!A72" TargetMode="External" Id="rId633"/><Relationship Type="http://schemas.openxmlformats.org/officeDocument/2006/relationships/hyperlink" Target="#'10 EVIDENCE &amp; DECISIONS'!A73" TargetMode="External" Id="rId634"/><Relationship Type="http://schemas.openxmlformats.org/officeDocument/2006/relationships/hyperlink" Target="#'10 EVIDENCE &amp; DECISIONS'!A204" TargetMode="External" Id="rId635"/><Relationship Type="http://schemas.openxmlformats.org/officeDocument/2006/relationships/hyperlink" Target="#'10 EVIDENCE &amp; DECISIONS'!A74" TargetMode="External" Id="rId636"/><Relationship Type="http://schemas.openxmlformats.org/officeDocument/2006/relationships/hyperlink" Target="#'10 EVIDENCE &amp; DECISIONS'!A75" TargetMode="External" Id="rId637"/><Relationship Type="http://schemas.openxmlformats.org/officeDocument/2006/relationships/hyperlink" Target="#'10 EVIDENCE &amp; DECISIONS'!A205" TargetMode="External" Id="rId638"/><Relationship Type="http://schemas.openxmlformats.org/officeDocument/2006/relationships/hyperlink" Target="#'10 EVIDENCE &amp; DECISIONS'!A76" TargetMode="External" Id="rId639"/><Relationship Type="http://schemas.openxmlformats.org/officeDocument/2006/relationships/hyperlink" Target="#'10 EVIDENCE &amp; DECISIONS'!A77" TargetMode="External" Id="rId640"/><Relationship Type="http://schemas.openxmlformats.org/officeDocument/2006/relationships/hyperlink" Target="#'10 EVIDENCE &amp; DECISIONS'!A206" TargetMode="External" Id="rId641"/><Relationship Type="http://schemas.openxmlformats.org/officeDocument/2006/relationships/hyperlink" Target="#'10 EVIDENCE &amp; DECISIONS'!A78" TargetMode="External" Id="rId642"/><Relationship Type="http://schemas.openxmlformats.org/officeDocument/2006/relationships/hyperlink" Target="#'10 EVIDENCE &amp; DECISIONS'!A79" TargetMode="External" Id="rId643"/><Relationship Type="http://schemas.openxmlformats.org/officeDocument/2006/relationships/hyperlink" Target="#'10 EVIDENCE &amp; DECISIONS'!A207" TargetMode="External" Id="rId644"/><Relationship Type="http://schemas.openxmlformats.org/officeDocument/2006/relationships/hyperlink" Target="#'10 EVIDENCE &amp; DECISIONS'!A80" TargetMode="External" Id="rId645"/><Relationship Type="http://schemas.openxmlformats.org/officeDocument/2006/relationships/hyperlink" Target="#'10 EVIDENCE &amp; DECISIONS'!A81" TargetMode="External" Id="rId646"/><Relationship Type="http://schemas.openxmlformats.org/officeDocument/2006/relationships/hyperlink" Target="#'10 EVIDENCE &amp; DECISIONS'!A208" TargetMode="External" Id="rId647"/><Relationship Type="http://schemas.openxmlformats.org/officeDocument/2006/relationships/hyperlink" Target="#'10 EVIDENCE &amp; DECISIONS'!A82" TargetMode="External" Id="rId648"/><Relationship Type="http://schemas.openxmlformats.org/officeDocument/2006/relationships/hyperlink" Target="#'10 EVIDENCE &amp; DECISIONS'!A83" TargetMode="External" Id="rId649"/><Relationship Type="http://schemas.openxmlformats.org/officeDocument/2006/relationships/hyperlink" Target="#'10 EVIDENCE &amp; DECISIONS'!A209" TargetMode="External" Id="rId650"/><Relationship Type="http://schemas.openxmlformats.org/officeDocument/2006/relationships/hyperlink" Target="#'10 EVIDENCE &amp; DECISIONS'!A84" TargetMode="External" Id="rId651"/><Relationship Type="http://schemas.openxmlformats.org/officeDocument/2006/relationships/hyperlink" Target="#'10 EVIDENCE &amp; DECISIONS'!A85" TargetMode="External" Id="rId652"/><Relationship Type="http://schemas.openxmlformats.org/officeDocument/2006/relationships/hyperlink" Target="#'10 EVIDENCE &amp; DECISIONS'!A210" TargetMode="External" Id="rId653"/><Relationship Type="http://schemas.openxmlformats.org/officeDocument/2006/relationships/hyperlink" Target="#'10 EVIDENCE &amp; DECISIONS'!A86" TargetMode="External" Id="rId654"/><Relationship Type="http://schemas.openxmlformats.org/officeDocument/2006/relationships/hyperlink" Target="#'10 EVIDENCE &amp; DECISIONS'!A87" TargetMode="External" Id="rId655"/><Relationship Type="http://schemas.openxmlformats.org/officeDocument/2006/relationships/hyperlink" Target="#'10 EVIDENCE &amp; DECISIONS'!A211" TargetMode="External" Id="rId656"/><Relationship Type="http://schemas.openxmlformats.org/officeDocument/2006/relationships/hyperlink" Target="#'10 EVIDENCE &amp; DECISIONS'!A88" TargetMode="External" Id="rId657"/><Relationship Type="http://schemas.openxmlformats.org/officeDocument/2006/relationships/hyperlink" Target="#'10 EVIDENCE &amp; DECISIONS'!A89" TargetMode="External" Id="rId658"/><Relationship Type="http://schemas.openxmlformats.org/officeDocument/2006/relationships/hyperlink" Target="#'10 EVIDENCE &amp; DECISIONS'!A212" TargetMode="External" Id="rId659"/><Relationship Type="http://schemas.openxmlformats.org/officeDocument/2006/relationships/hyperlink" Target="#'10 EVIDENCE &amp; DECISIONS'!A90" TargetMode="External" Id="rId660"/><Relationship Type="http://schemas.openxmlformats.org/officeDocument/2006/relationships/hyperlink" Target="#'10 EVIDENCE &amp; DECISIONS'!A91" TargetMode="External" Id="rId661"/><Relationship Type="http://schemas.openxmlformats.org/officeDocument/2006/relationships/hyperlink" Target="#'10 EVIDENCE &amp; DECISIONS'!A213" TargetMode="External" Id="rId662"/><Relationship Type="http://schemas.openxmlformats.org/officeDocument/2006/relationships/hyperlink" Target="#'10 EVIDENCE &amp; DECISIONS'!A92" TargetMode="External" Id="rId663"/><Relationship Type="http://schemas.openxmlformats.org/officeDocument/2006/relationships/hyperlink" Target="#'10 EVIDENCE &amp; DECISIONS'!A93" TargetMode="External" Id="rId664"/><Relationship Type="http://schemas.openxmlformats.org/officeDocument/2006/relationships/hyperlink" Target="#'10 EVIDENCE &amp; DECISIONS'!A214" TargetMode="External" Id="rId665"/><Relationship Type="http://schemas.openxmlformats.org/officeDocument/2006/relationships/hyperlink" Target="#'10 EVIDENCE &amp; DECISIONS'!A94" TargetMode="External" Id="rId666"/><Relationship Type="http://schemas.openxmlformats.org/officeDocument/2006/relationships/hyperlink" Target="#'10 EVIDENCE &amp; DECISIONS'!A95" TargetMode="External" Id="rId667"/><Relationship Type="http://schemas.openxmlformats.org/officeDocument/2006/relationships/hyperlink" Target="#'10 EVIDENCE &amp; DECISIONS'!A215" TargetMode="External" Id="rId668"/><Relationship Type="http://schemas.openxmlformats.org/officeDocument/2006/relationships/hyperlink" Target="#'10 EVIDENCE &amp; DECISIONS'!A96" TargetMode="External" Id="rId669"/><Relationship Type="http://schemas.openxmlformats.org/officeDocument/2006/relationships/hyperlink" Target="#'10 EVIDENCE &amp; DECISIONS'!A97" TargetMode="External" Id="rId670"/><Relationship Type="http://schemas.openxmlformats.org/officeDocument/2006/relationships/hyperlink" Target="#'10 EVIDENCE &amp; DECISIONS'!A216" TargetMode="External" Id="rId671"/><Relationship Type="http://schemas.openxmlformats.org/officeDocument/2006/relationships/hyperlink" Target="#'10 EVIDENCE &amp; DECISIONS'!A98" TargetMode="External" Id="rId672"/><Relationship Type="http://schemas.openxmlformats.org/officeDocument/2006/relationships/hyperlink" Target="#'10 EVIDENCE &amp; DECISIONS'!A99" TargetMode="External" Id="rId673"/><Relationship Type="http://schemas.openxmlformats.org/officeDocument/2006/relationships/hyperlink" Target="#'10 EVIDENCE &amp; DECISIONS'!A217" TargetMode="External" Id="rId674"/><Relationship Type="http://schemas.openxmlformats.org/officeDocument/2006/relationships/hyperlink" Target="#'10 EVIDENCE &amp; DECISIONS'!A100" TargetMode="External" Id="rId675"/><Relationship Type="http://schemas.openxmlformats.org/officeDocument/2006/relationships/hyperlink" Target="#'10 EVIDENCE &amp; DECISIONS'!A101" TargetMode="External" Id="rId676"/><Relationship Type="http://schemas.openxmlformats.org/officeDocument/2006/relationships/hyperlink" Target="#'10 EVIDENCE &amp; DECISIONS'!A218" TargetMode="External" Id="rId677"/><Relationship Type="http://schemas.openxmlformats.org/officeDocument/2006/relationships/hyperlink" Target="#'10 EVIDENCE &amp; DECISIONS'!A102" TargetMode="External" Id="rId678"/><Relationship Type="http://schemas.openxmlformats.org/officeDocument/2006/relationships/hyperlink" Target="#'10 EVIDENCE &amp; DECISIONS'!A103" TargetMode="External" Id="rId679"/><Relationship Type="http://schemas.openxmlformats.org/officeDocument/2006/relationships/hyperlink" Target="#'10 EVIDENCE &amp; DECISIONS'!A219" TargetMode="External" Id="rId680"/><Relationship Type="http://schemas.openxmlformats.org/officeDocument/2006/relationships/hyperlink" Target="#'10 EVIDENCE &amp; DECISIONS'!A104" TargetMode="External" Id="rId681"/><Relationship Type="http://schemas.openxmlformats.org/officeDocument/2006/relationships/hyperlink" Target="#'10 EVIDENCE &amp; DECISIONS'!A105" TargetMode="External" Id="rId682"/><Relationship Type="http://schemas.openxmlformats.org/officeDocument/2006/relationships/hyperlink" Target="#'10 EVIDENCE &amp; DECISIONS'!A220" TargetMode="External" Id="rId683"/><Relationship Type="http://schemas.openxmlformats.org/officeDocument/2006/relationships/hyperlink" Target="#'10 EVIDENCE &amp; DECISIONS'!A106" TargetMode="External" Id="rId684"/><Relationship Type="http://schemas.openxmlformats.org/officeDocument/2006/relationships/hyperlink" Target="#'10 EVIDENCE &amp; DECISIONS'!A107" TargetMode="External" Id="rId685"/><Relationship Type="http://schemas.openxmlformats.org/officeDocument/2006/relationships/hyperlink" Target="#'10 EVIDENCE &amp; DECISIONS'!A221" TargetMode="External" Id="rId686"/><Relationship Type="http://schemas.openxmlformats.org/officeDocument/2006/relationships/hyperlink" Target="#'10 EVIDENCE &amp; DECISIONS'!A108" TargetMode="External" Id="rId687"/><Relationship Type="http://schemas.openxmlformats.org/officeDocument/2006/relationships/hyperlink" Target="#'10 EVIDENCE &amp; DECISIONS'!A109" TargetMode="External" Id="rId688"/><Relationship Type="http://schemas.openxmlformats.org/officeDocument/2006/relationships/hyperlink" Target="#'10 EVIDENCE &amp; DECISIONS'!A222" TargetMode="External" Id="rId689"/><Relationship Type="http://schemas.openxmlformats.org/officeDocument/2006/relationships/hyperlink" Target="#'10 EVIDENCE &amp; DECISIONS'!A110" TargetMode="External" Id="rId690"/><Relationship Type="http://schemas.openxmlformats.org/officeDocument/2006/relationships/hyperlink" Target="#'10 EVIDENCE &amp; DECISIONS'!A111" TargetMode="External" Id="rId691"/><Relationship Type="http://schemas.openxmlformats.org/officeDocument/2006/relationships/hyperlink" Target="#'10 EVIDENCE &amp; DECISIONS'!A223" TargetMode="External" Id="rId692"/><Relationship Type="http://schemas.openxmlformats.org/officeDocument/2006/relationships/hyperlink" Target="#'10 EVIDENCE &amp; DECISIONS'!A112" TargetMode="External" Id="rId693"/><Relationship Type="http://schemas.openxmlformats.org/officeDocument/2006/relationships/hyperlink" Target="#'10 EVIDENCE &amp; DECISIONS'!A113" TargetMode="External" Id="rId694"/><Relationship Type="http://schemas.openxmlformats.org/officeDocument/2006/relationships/hyperlink" Target="#'10 EVIDENCE &amp; DECISIONS'!A224" TargetMode="External" Id="rId695"/><Relationship Type="http://schemas.openxmlformats.org/officeDocument/2006/relationships/hyperlink" Target="#'10 EVIDENCE &amp; DECISIONS'!A114" TargetMode="External" Id="rId696"/><Relationship Type="http://schemas.openxmlformats.org/officeDocument/2006/relationships/hyperlink" Target="#'10 EVIDENCE &amp; DECISIONS'!A115" TargetMode="External" Id="rId697"/><Relationship Type="http://schemas.openxmlformats.org/officeDocument/2006/relationships/hyperlink" Target="#'10 EVIDENCE &amp; DECISIONS'!A225" TargetMode="External" Id="rId698"/><Relationship Type="http://schemas.openxmlformats.org/officeDocument/2006/relationships/hyperlink" Target="#'10 EVIDENCE &amp; DECISIONS'!A116" TargetMode="External" Id="rId699"/><Relationship Type="http://schemas.openxmlformats.org/officeDocument/2006/relationships/hyperlink" Target="#'10 EVIDENCE &amp; DECISIONS'!A117" TargetMode="External" Id="rId700"/><Relationship Type="http://schemas.openxmlformats.org/officeDocument/2006/relationships/hyperlink" Target="#'10 EVIDENCE &amp; DECISIONS'!A226" TargetMode="External" Id="rId701"/><Relationship Type="http://schemas.openxmlformats.org/officeDocument/2006/relationships/hyperlink" Target="#'10 EVIDENCE &amp; DECISIONS'!A118" TargetMode="External" Id="rId702"/><Relationship Type="http://schemas.openxmlformats.org/officeDocument/2006/relationships/hyperlink" Target="#'10 EVIDENCE &amp; DECISIONS'!A119" TargetMode="External" Id="rId703"/><Relationship Type="http://schemas.openxmlformats.org/officeDocument/2006/relationships/hyperlink" Target="#'10 EVIDENCE &amp; DECISIONS'!A227" TargetMode="External" Id="rId704"/><Relationship Type="http://schemas.openxmlformats.org/officeDocument/2006/relationships/hyperlink" Target="#'10 EVIDENCE &amp; DECISIONS'!A120" TargetMode="External" Id="rId705"/><Relationship Type="http://schemas.openxmlformats.org/officeDocument/2006/relationships/hyperlink" Target="#'10 EVIDENCE &amp; DECISIONS'!A121" TargetMode="External" Id="rId706"/><Relationship Type="http://schemas.openxmlformats.org/officeDocument/2006/relationships/hyperlink" Target="#'10 EVIDENCE &amp; DECISIONS'!A228" TargetMode="External" Id="rId707"/><Relationship Type="http://schemas.openxmlformats.org/officeDocument/2006/relationships/hyperlink" Target="#'10 EVIDENCE &amp; DECISIONS'!A122" TargetMode="External" Id="rId708"/><Relationship Type="http://schemas.openxmlformats.org/officeDocument/2006/relationships/hyperlink" Target="#'10 EVIDENCE &amp; DECISIONS'!A123" TargetMode="External" Id="rId709"/><Relationship Type="http://schemas.openxmlformats.org/officeDocument/2006/relationships/hyperlink" Target="#'10 EVIDENCE &amp; DECISIONS'!A229" TargetMode="External" Id="rId710"/><Relationship Type="http://schemas.openxmlformats.org/officeDocument/2006/relationships/hyperlink" Target="#'10 EVIDENCE &amp; DECISIONS'!A124" TargetMode="External" Id="rId711"/><Relationship Type="http://schemas.openxmlformats.org/officeDocument/2006/relationships/hyperlink" Target="#'10 EVIDENCE &amp; DECISIONS'!A125" TargetMode="External" Id="rId712"/><Relationship Type="http://schemas.openxmlformats.org/officeDocument/2006/relationships/hyperlink" Target="#'10 EVIDENCE &amp; DECISIONS'!A230" TargetMode="External" Id="rId713"/><Relationship Type="http://schemas.openxmlformats.org/officeDocument/2006/relationships/hyperlink" Target="#'10 EVIDENCE &amp; DECISIONS'!A126" TargetMode="External" Id="rId714"/><Relationship Type="http://schemas.openxmlformats.org/officeDocument/2006/relationships/hyperlink" Target="#'10 EVIDENCE &amp; DECISIONS'!A127" TargetMode="External" Id="rId715"/><Relationship Type="http://schemas.openxmlformats.org/officeDocument/2006/relationships/hyperlink" Target="#'10 EVIDENCE &amp; DECISIONS'!A231" TargetMode="External" Id="rId716"/><Relationship Type="http://schemas.openxmlformats.org/officeDocument/2006/relationships/hyperlink" Target="#'10 EVIDENCE &amp; DECISIONS'!A128" TargetMode="External" Id="rId717"/><Relationship Type="http://schemas.openxmlformats.org/officeDocument/2006/relationships/hyperlink" Target="#'10 EVIDENCE &amp; DECISIONS'!A129" TargetMode="External" Id="rId718"/><Relationship Type="http://schemas.openxmlformats.org/officeDocument/2006/relationships/hyperlink" Target="#'10 EVIDENCE &amp; DECISIONS'!A232" TargetMode="External" Id="rId719"/><Relationship Type="http://schemas.openxmlformats.org/officeDocument/2006/relationships/hyperlink" Target="#'10 EVIDENCE &amp; DECISIONS'!A130" TargetMode="External" Id="rId720"/><Relationship Type="http://schemas.openxmlformats.org/officeDocument/2006/relationships/hyperlink" Target="#'10 EVIDENCE &amp; DECISIONS'!A131" TargetMode="External" Id="rId721"/><Relationship Type="http://schemas.openxmlformats.org/officeDocument/2006/relationships/hyperlink" Target="#'10 EVIDENCE &amp; DECISIONS'!A233" TargetMode="External" Id="rId722"/><Relationship Type="http://schemas.openxmlformats.org/officeDocument/2006/relationships/hyperlink" Target="#'10 EVIDENCE &amp; DECISIONS'!A132" TargetMode="External" Id="rId723"/><Relationship Type="http://schemas.openxmlformats.org/officeDocument/2006/relationships/hyperlink" Target="#'10 EVIDENCE &amp; DECISIONS'!A133" TargetMode="External" Id="rId724"/><Relationship Type="http://schemas.openxmlformats.org/officeDocument/2006/relationships/hyperlink" Target="#'10 EVIDENCE &amp; DECISIONS'!A234" TargetMode="External" Id="rId725"/><Relationship Type="http://schemas.openxmlformats.org/officeDocument/2006/relationships/hyperlink" Target="#'10 EVIDENCE &amp; DECISIONS'!A134" TargetMode="External" Id="rId726"/><Relationship Type="http://schemas.openxmlformats.org/officeDocument/2006/relationships/hyperlink" Target="#'10 EVIDENCE &amp; DECISIONS'!A135" TargetMode="External" Id="rId727"/><Relationship Type="http://schemas.openxmlformats.org/officeDocument/2006/relationships/hyperlink" Target="#'10 EVIDENCE &amp; DECISIONS'!A235" TargetMode="External" Id="rId728"/><Relationship Type="http://schemas.openxmlformats.org/officeDocument/2006/relationships/hyperlink" Target="#'10 EVIDENCE &amp; DECISIONS'!A287" TargetMode="External" Id="rId729"/><Relationship Type="http://schemas.openxmlformats.org/officeDocument/2006/relationships/hyperlink" Target="#'10 EVIDENCE &amp; DECISIONS'!A288" TargetMode="External" Id="rId730"/><Relationship Type="http://schemas.openxmlformats.org/officeDocument/2006/relationships/hyperlink" Target="#'10 EVIDENCE &amp; DECISIONS'!A1366" TargetMode="External" Id="rId731"/><Relationship Type="http://schemas.openxmlformats.org/officeDocument/2006/relationships/hyperlink" Target="#'10 EVIDENCE &amp; DECISIONS'!A289" TargetMode="External" Id="rId732"/><Relationship Type="http://schemas.openxmlformats.org/officeDocument/2006/relationships/hyperlink" Target="#'10 EVIDENCE &amp; DECISIONS'!A290" TargetMode="External" Id="rId733"/><Relationship Type="http://schemas.openxmlformats.org/officeDocument/2006/relationships/hyperlink" Target="#'10 EVIDENCE &amp; DECISIONS'!A447" TargetMode="External" Id="rId734"/><Relationship Type="http://schemas.openxmlformats.org/officeDocument/2006/relationships/hyperlink" Target="#'10 EVIDENCE &amp; DECISIONS'!A291" TargetMode="External" Id="rId735"/><Relationship Type="http://schemas.openxmlformats.org/officeDocument/2006/relationships/hyperlink" Target="#'10 EVIDENCE &amp; DECISIONS'!A292" TargetMode="External" Id="rId736"/><Relationship Type="http://schemas.openxmlformats.org/officeDocument/2006/relationships/hyperlink" Target="#'10 EVIDENCE &amp; DECISIONS'!A448" TargetMode="External" Id="rId737"/><Relationship Type="http://schemas.openxmlformats.org/officeDocument/2006/relationships/hyperlink" Target="#'10 EVIDENCE &amp; DECISIONS'!A293" TargetMode="External" Id="rId738"/><Relationship Type="http://schemas.openxmlformats.org/officeDocument/2006/relationships/hyperlink" Target="#'10 EVIDENCE &amp; DECISIONS'!A294" TargetMode="External" Id="rId739"/><Relationship Type="http://schemas.openxmlformats.org/officeDocument/2006/relationships/hyperlink" Target="#'10 EVIDENCE &amp; DECISIONS'!A449" TargetMode="External" Id="rId740"/><Relationship Type="http://schemas.openxmlformats.org/officeDocument/2006/relationships/hyperlink" Target="#'10 EVIDENCE &amp; DECISIONS'!A295" TargetMode="External" Id="rId741"/><Relationship Type="http://schemas.openxmlformats.org/officeDocument/2006/relationships/hyperlink" Target="#'10 EVIDENCE &amp; DECISIONS'!A296" TargetMode="External" Id="rId742"/><Relationship Type="http://schemas.openxmlformats.org/officeDocument/2006/relationships/hyperlink" Target="#'10 EVIDENCE &amp; DECISIONS'!A450" TargetMode="External" Id="rId743"/><Relationship Type="http://schemas.openxmlformats.org/officeDocument/2006/relationships/hyperlink" Target="#'10 EVIDENCE &amp; DECISIONS'!A297" TargetMode="External" Id="rId744"/><Relationship Type="http://schemas.openxmlformats.org/officeDocument/2006/relationships/hyperlink" Target="#'10 EVIDENCE &amp; DECISIONS'!A298" TargetMode="External" Id="rId745"/><Relationship Type="http://schemas.openxmlformats.org/officeDocument/2006/relationships/hyperlink" Target="#'10 EVIDENCE &amp; DECISIONS'!A451" TargetMode="External" Id="rId746"/><Relationship Type="http://schemas.openxmlformats.org/officeDocument/2006/relationships/hyperlink" Target="#'10 EVIDENCE &amp; DECISIONS'!A299" TargetMode="External" Id="rId747"/><Relationship Type="http://schemas.openxmlformats.org/officeDocument/2006/relationships/hyperlink" Target="#'10 EVIDENCE &amp; DECISIONS'!A300" TargetMode="External" Id="rId748"/><Relationship Type="http://schemas.openxmlformats.org/officeDocument/2006/relationships/hyperlink" Target="#'10 EVIDENCE &amp; DECISIONS'!A452" TargetMode="External" Id="rId749"/><Relationship Type="http://schemas.openxmlformats.org/officeDocument/2006/relationships/hyperlink" Target="#'10 EVIDENCE &amp; DECISIONS'!A301" TargetMode="External" Id="rId750"/><Relationship Type="http://schemas.openxmlformats.org/officeDocument/2006/relationships/hyperlink" Target="#'10 EVIDENCE &amp; DECISIONS'!A302" TargetMode="External" Id="rId751"/><Relationship Type="http://schemas.openxmlformats.org/officeDocument/2006/relationships/hyperlink" Target="#'10 EVIDENCE &amp; DECISIONS'!A453" TargetMode="External" Id="rId752"/><Relationship Type="http://schemas.openxmlformats.org/officeDocument/2006/relationships/hyperlink" Target="#'10 EVIDENCE &amp; DECISIONS'!A303" TargetMode="External" Id="rId753"/><Relationship Type="http://schemas.openxmlformats.org/officeDocument/2006/relationships/hyperlink" Target="#'10 EVIDENCE &amp; DECISIONS'!A304" TargetMode="External" Id="rId754"/><Relationship Type="http://schemas.openxmlformats.org/officeDocument/2006/relationships/hyperlink" Target="#'10 EVIDENCE &amp; DECISIONS'!A454" TargetMode="External" Id="rId755"/><Relationship Type="http://schemas.openxmlformats.org/officeDocument/2006/relationships/hyperlink" Target="#'10 EVIDENCE &amp; DECISIONS'!A305" TargetMode="External" Id="rId756"/><Relationship Type="http://schemas.openxmlformats.org/officeDocument/2006/relationships/hyperlink" Target="#'10 EVIDENCE &amp; DECISIONS'!A306" TargetMode="External" Id="rId757"/><Relationship Type="http://schemas.openxmlformats.org/officeDocument/2006/relationships/hyperlink" Target="#'10 EVIDENCE &amp; DECISIONS'!A455" TargetMode="External" Id="rId758"/><Relationship Type="http://schemas.openxmlformats.org/officeDocument/2006/relationships/hyperlink" Target="#'10 EVIDENCE &amp; DECISIONS'!A307" TargetMode="External" Id="rId759"/><Relationship Type="http://schemas.openxmlformats.org/officeDocument/2006/relationships/hyperlink" Target="#'10 EVIDENCE &amp; DECISIONS'!A308" TargetMode="External" Id="rId760"/><Relationship Type="http://schemas.openxmlformats.org/officeDocument/2006/relationships/hyperlink" Target="#'10 EVIDENCE &amp; DECISIONS'!A456" TargetMode="External" Id="rId761"/><Relationship Type="http://schemas.openxmlformats.org/officeDocument/2006/relationships/hyperlink" Target="#'10 EVIDENCE &amp; DECISIONS'!A309" TargetMode="External" Id="rId762"/><Relationship Type="http://schemas.openxmlformats.org/officeDocument/2006/relationships/hyperlink" Target="#'10 EVIDENCE &amp; DECISIONS'!A310" TargetMode="External" Id="rId763"/><Relationship Type="http://schemas.openxmlformats.org/officeDocument/2006/relationships/hyperlink" Target="#'10 EVIDENCE &amp; DECISIONS'!A457" TargetMode="External" Id="rId764"/><Relationship Type="http://schemas.openxmlformats.org/officeDocument/2006/relationships/hyperlink" Target="#'10 EVIDENCE &amp; DECISIONS'!A311" TargetMode="External" Id="rId765"/><Relationship Type="http://schemas.openxmlformats.org/officeDocument/2006/relationships/hyperlink" Target="#'10 EVIDENCE &amp; DECISIONS'!A312" TargetMode="External" Id="rId766"/><Relationship Type="http://schemas.openxmlformats.org/officeDocument/2006/relationships/hyperlink" Target="#'10 EVIDENCE &amp; DECISIONS'!A458" TargetMode="External" Id="rId767"/><Relationship Type="http://schemas.openxmlformats.org/officeDocument/2006/relationships/hyperlink" Target="#'10 EVIDENCE &amp; DECISIONS'!A313" TargetMode="External" Id="rId768"/><Relationship Type="http://schemas.openxmlformats.org/officeDocument/2006/relationships/hyperlink" Target="#'10 EVIDENCE &amp; DECISIONS'!A314" TargetMode="External" Id="rId769"/><Relationship Type="http://schemas.openxmlformats.org/officeDocument/2006/relationships/hyperlink" Target="#'10 EVIDENCE &amp; DECISIONS'!A459" TargetMode="External" Id="rId770"/><Relationship Type="http://schemas.openxmlformats.org/officeDocument/2006/relationships/hyperlink" Target="#'10 EVIDENCE &amp; DECISIONS'!A315" TargetMode="External" Id="rId771"/><Relationship Type="http://schemas.openxmlformats.org/officeDocument/2006/relationships/hyperlink" Target="#'10 EVIDENCE &amp; DECISIONS'!A316" TargetMode="External" Id="rId772"/><Relationship Type="http://schemas.openxmlformats.org/officeDocument/2006/relationships/hyperlink" Target="#'10 EVIDENCE &amp; DECISIONS'!A460" TargetMode="External" Id="rId773"/><Relationship Type="http://schemas.openxmlformats.org/officeDocument/2006/relationships/hyperlink" Target="#'10 EVIDENCE &amp; DECISIONS'!A317" TargetMode="External" Id="rId774"/><Relationship Type="http://schemas.openxmlformats.org/officeDocument/2006/relationships/hyperlink" Target="#'10 EVIDENCE &amp; DECISIONS'!A318" TargetMode="External" Id="rId775"/><Relationship Type="http://schemas.openxmlformats.org/officeDocument/2006/relationships/hyperlink" Target="#'10 EVIDENCE &amp; DECISIONS'!A461" TargetMode="External" Id="rId776"/><Relationship Type="http://schemas.openxmlformats.org/officeDocument/2006/relationships/hyperlink" Target="#'10 EVIDENCE &amp; DECISIONS'!A319" TargetMode="External" Id="rId777"/><Relationship Type="http://schemas.openxmlformats.org/officeDocument/2006/relationships/hyperlink" Target="#'10 EVIDENCE &amp; DECISIONS'!A320" TargetMode="External" Id="rId778"/><Relationship Type="http://schemas.openxmlformats.org/officeDocument/2006/relationships/hyperlink" Target="#'10 EVIDENCE &amp; DECISIONS'!A462" TargetMode="External" Id="rId779"/><Relationship Type="http://schemas.openxmlformats.org/officeDocument/2006/relationships/hyperlink" Target="#'10 EVIDENCE &amp; DECISIONS'!A321" TargetMode="External" Id="rId780"/><Relationship Type="http://schemas.openxmlformats.org/officeDocument/2006/relationships/hyperlink" Target="#'10 EVIDENCE &amp; DECISIONS'!A322" TargetMode="External" Id="rId781"/><Relationship Type="http://schemas.openxmlformats.org/officeDocument/2006/relationships/hyperlink" Target="#'10 EVIDENCE &amp; DECISIONS'!A463" TargetMode="External" Id="rId782"/><Relationship Type="http://schemas.openxmlformats.org/officeDocument/2006/relationships/hyperlink" Target="#'10 EVIDENCE &amp; DECISIONS'!A323" TargetMode="External" Id="rId783"/><Relationship Type="http://schemas.openxmlformats.org/officeDocument/2006/relationships/hyperlink" Target="#'10 EVIDENCE &amp; DECISIONS'!A324" TargetMode="External" Id="rId784"/><Relationship Type="http://schemas.openxmlformats.org/officeDocument/2006/relationships/hyperlink" Target="#'10 EVIDENCE &amp; DECISIONS'!A464" TargetMode="External" Id="rId785"/><Relationship Type="http://schemas.openxmlformats.org/officeDocument/2006/relationships/hyperlink" Target="#'10 EVIDENCE &amp; DECISIONS'!A325" TargetMode="External" Id="rId786"/><Relationship Type="http://schemas.openxmlformats.org/officeDocument/2006/relationships/hyperlink" Target="#'10 EVIDENCE &amp; DECISIONS'!A326" TargetMode="External" Id="rId787"/><Relationship Type="http://schemas.openxmlformats.org/officeDocument/2006/relationships/hyperlink" Target="#'10 EVIDENCE &amp; DECISIONS'!A465" TargetMode="External" Id="rId788"/><Relationship Type="http://schemas.openxmlformats.org/officeDocument/2006/relationships/hyperlink" Target="#'10 EVIDENCE &amp; DECISIONS'!A327" TargetMode="External" Id="rId789"/><Relationship Type="http://schemas.openxmlformats.org/officeDocument/2006/relationships/hyperlink" Target="#'10 EVIDENCE &amp; DECISIONS'!A328" TargetMode="External" Id="rId790"/><Relationship Type="http://schemas.openxmlformats.org/officeDocument/2006/relationships/hyperlink" Target="#'10 EVIDENCE &amp; DECISIONS'!A466" TargetMode="External" Id="rId791"/><Relationship Type="http://schemas.openxmlformats.org/officeDocument/2006/relationships/hyperlink" Target="#'10 EVIDENCE &amp; DECISIONS'!A329" TargetMode="External" Id="rId792"/><Relationship Type="http://schemas.openxmlformats.org/officeDocument/2006/relationships/hyperlink" Target="#'10 EVIDENCE &amp; DECISIONS'!A330" TargetMode="External" Id="rId793"/><Relationship Type="http://schemas.openxmlformats.org/officeDocument/2006/relationships/hyperlink" Target="#'10 EVIDENCE &amp; DECISIONS'!A467" TargetMode="External" Id="rId794"/><Relationship Type="http://schemas.openxmlformats.org/officeDocument/2006/relationships/hyperlink" Target="#'10 EVIDENCE &amp; DECISIONS'!A331" TargetMode="External" Id="rId795"/><Relationship Type="http://schemas.openxmlformats.org/officeDocument/2006/relationships/hyperlink" Target="#'10 EVIDENCE &amp; DECISIONS'!A332" TargetMode="External" Id="rId796"/><Relationship Type="http://schemas.openxmlformats.org/officeDocument/2006/relationships/hyperlink" Target="#'10 EVIDENCE &amp; DECISIONS'!A468" TargetMode="External" Id="rId797"/><Relationship Type="http://schemas.openxmlformats.org/officeDocument/2006/relationships/hyperlink" Target="#'10 EVIDENCE &amp; DECISIONS'!A333" TargetMode="External" Id="rId798"/><Relationship Type="http://schemas.openxmlformats.org/officeDocument/2006/relationships/hyperlink" Target="#'10 EVIDENCE &amp; DECISIONS'!A334" TargetMode="External" Id="rId799"/><Relationship Type="http://schemas.openxmlformats.org/officeDocument/2006/relationships/hyperlink" Target="#'10 EVIDENCE &amp; DECISIONS'!A469" TargetMode="External" Id="rId800"/><Relationship Type="http://schemas.openxmlformats.org/officeDocument/2006/relationships/hyperlink" Target="#'10 EVIDENCE &amp; DECISIONS'!A335" TargetMode="External" Id="rId801"/><Relationship Type="http://schemas.openxmlformats.org/officeDocument/2006/relationships/hyperlink" Target="#'10 EVIDENCE &amp; DECISIONS'!A336" TargetMode="External" Id="rId802"/><Relationship Type="http://schemas.openxmlformats.org/officeDocument/2006/relationships/hyperlink" Target="#'10 EVIDENCE &amp; DECISIONS'!A470" TargetMode="External" Id="rId803"/><Relationship Type="http://schemas.openxmlformats.org/officeDocument/2006/relationships/hyperlink" Target="#'10 EVIDENCE &amp; DECISIONS'!A337" TargetMode="External" Id="rId804"/><Relationship Type="http://schemas.openxmlformats.org/officeDocument/2006/relationships/hyperlink" Target="#'10 EVIDENCE &amp; DECISIONS'!A338" TargetMode="External" Id="rId805"/><Relationship Type="http://schemas.openxmlformats.org/officeDocument/2006/relationships/hyperlink" Target="#'10 EVIDENCE &amp; DECISIONS'!A471" TargetMode="External" Id="rId806"/><Relationship Type="http://schemas.openxmlformats.org/officeDocument/2006/relationships/hyperlink" Target="#'10 EVIDENCE &amp; DECISIONS'!A339" TargetMode="External" Id="rId807"/><Relationship Type="http://schemas.openxmlformats.org/officeDocument/2006/relationships/hyperlink" Target="#'10 EVIDENCE &amp; DECISIONS'!A340" TargetMode="External" Id="rId808"/><Relationship Type="http://schemas.openxmlformats.org/officeDocument/2006/relationships/hyperlink" Target="#'10 EVIDENCE &amp; DECISIONS'!A472" TargetMode="External" Id="rId809"/><Relationship Type="http://schemas.openxmlformats.org/officeDocument/2006/relationships/hyperlink" Target="#'10 EVIDENCE &amp; DECISIONS'!A341" TargetMode="External" Id="rId810"/><Relationship Type="http://schemas.openxmlformats.org/officeDocument/2006/relationships/hyperlink" Target="#'10 EVIDENCE &amp; DECISIONS'!A342" TargetMode="External" Id="rId811"/><Relationship Type="http://schemas.openxmlformats.org/officeDocument/2006/relationships/hyperlink" Target="#'10 EVIDENCE &amp; DECISIONS'!A473" TargetMode="External" Id="rId812"/><Relationship Type="http://schemas.openxmlformats.org/officeDocument/2006/relationships/hyperlink" Target="#'10 EVIDENCE &amp; DECISIONS'!A343" TargetMode="External" Id="rId813"/><Relationship Type="http://schemas.openxmlformats.org/officeDocument/2006/relationships/hyperlink" Target="#'10 EVIDENCE &amp; DECISIONS'!A344" TargetMode="External" Id="rId814"/><Relationship Type="http://schemas.openxmlformats.org/officeDocument/2006/relationships/hyperlink" Target="#'10 EVIDENCE &amp; DECISIONS'!A474" TargetMode="External" Id="rId815"/><Relationship Type="http://schemas.openxmlformats.org/officeDocument/2006/relationships/hyperlink" Target="#'10 EVIDENCE &amp; DECISIONS'!A345" TargetMode="External" Id="rId816"/><Relationship Type="http://schemas.openxmlformats.org/officeDocument/2006/relationships/hyperlink" Target="#'10 EVIDENCE &amp; DECISIONS'!A346" TargetMode="External" Id="rId817"/><Relationship Type="http://schemas.openxmlformats.org/officeDocument/2006/relationships/hyperlink" Target="#'10 EVIDENCE &amp; DECISIONS'!A475" TargetMode="External" Id="rId818"/><Relationship Type="http://schemas.openxmlformats.org/officeDocument/2006/relationships/hyperlink" Target="#'10 EVIDENCE &amp; DECISIONS'!A347" TargetMode="External" Id="rId819"/><Relationship Type="http://schemas.openxmlformats.org/officeDocument/2006/relationships/hyperlink" Target="#'10 EVIDENCE &amp; DECISIONS'!A348" TargetMode="External" Id="rId820"/><Relationship Type="http://schemas.openxmlformats.org/officeDocument/2006/relationships/hyperlink" Target="#'10 EVIDENCE &amp; DECISIONS'!A476" TargetMode="External" Id="rId821"/><Relationship Type="http://schemas.openxmlformats.org/officeDocument/2006/relationships/hyperlink" Target="#'10 EVIDENCE &amp; DECISIONS'!A349" TargetMode="External" Id="rId822"/><Relationship Type="http://schemas.openxmlformats.org/officeDocument/2006/relationships/hyperlink" Target="#'10 EVIDENCE &amp; DECISIONS'!A350" TargetMode="External" Id="rId823"/><Relationship Type="http://schemas.openxmlformats.org/officeDocument/2006/relationships/hyperlink" Target="#'10 EVIDENCE &amp; DECISIONS'!A477" TargetMode="External" Id="rId824"/><Relationship Type="http://schemas.openxmlformats.org/officeDocument/2006/relationships/hyperlink" Target="#'10 EVIDENCE &amp; DECISIONS'!A351" TargetMode="External" Id="rId825"/><Relationship Type="http://schemas.openxmlformats.org/officeDocument/2006/relationships/hyperlink" Target="#'10 EVIDENCE &amp; DECISIONS'!A352" TargetMode="External" Id="rId826"/><Relationship Type="http://schemas.openxmlformats.org/officeDocument/2006/relationships/hyperlink" Target="#'10 EVIDENCE &amp; DECISIONS'!A478" TargetMode="External" Id="rId827"/><Relationship Type="http://schemas.openxmlformats.org/officeDocument/2006/relationships/hyperlink" Target="#'10 EVIDENCE &amp; DECISIONS'!A353" TargetMode="External" Id="rId828"/><Relationship Type="http://schemas.openxmlformats.org/officeDocument/2006/relationships/hyperlink" Target="#'10 EVIDENCE &amp; DECISIONS'!A354" TargetMode="External" Id="rId829"/><Relationship Type="http://schemas.openxmlformats.org/officeDocument/2006/relationships/hyperlink" Target="#'10 EVIDENCE &amp; DECISIONS'!A479" TargetMode="External" Id="rId830"/><Relationship Type="http://schemas.openxmlformats.org/officeDocument/2006/relationships/hyperlink" Target="#'10 EVIDENCE &amp; DECISIONS'!A355" TargetMode="External" Id="rId831"/><Relationship Type="http://schemas.openxmlformats.org/officeDocument/2006/relationships/hyperlink" Target="#'10 EVIDENCE &amp; DECISIONS'!A356" TargetMode="External" Id="rId832"/><Relationship Type="http://schemas.openxmlformats.org/officeDocument/2006/relationships/hyperlink" Target="#'10 EVIDENCE &amp; DECISIONS'!A480" TargetMode="External" Id="rId833"/><Relationship Type="http://schemas.openxmlformats.org/officeDocument/2006/relationships/hyperlink" Target="#'10 EVIDENCE &amp; DECISIONS'!A357" TargetMode="External" Id="rId834"/><Relationship Type="http://schemas.openxmlformats.org/officeDocument/2006/relationships/hyperlink" Target="#'10 EVIDENCE &amp; DECISIONS'!A358" TargetMode="External" Id="rId835"/><Relationship Type="http://schemas.openxmlformats.org/officeDocument/2006/relationships/hyperlink" Target="#'10 EVIDENCE &amp; DECISIONS'!A481" TargetMode="External" Id="rId836"/><Relationship Type="http://schemas.openxmlformats.org/officeDocument/2006/relationships/hyperlink" Target="#'10 EVIDENCE &amp; DECISIONS'!A359" TargetMode="External" Id="rId837"/><Relationship Type="http://schemas.openxmlformats.org/officeDocument/2006/relationships/hyperlink" Target="#'10 EVIDENCE &amp; DECISIONS'!A360" TargetMode="External" Id="rId838"/><Relationship Type="http://schemas.openxmlformats.org/officeDocument/2006/relationships/hyperlink" Target="#'10 EVIDENCE &amp; DECISIONS'!A482" TargetMode="External" Id="rId839"/><Relationship Type="http://schemas.openxmlformats.org/officeDocument/2006/relationships/hyperlink" Target="#'10 EVIDENCE &amp; DECISIONS'!A361" TargetMode="External" Id="rId840"/><Relationship Type="http://schemas.openxmlformats.org/officeDocument/2006/relationships/hyperlink" Target="#'10 EVIDENCE &amp; DECISIONS'!A362" TargetMode="External" Id="rId841"/><Relationship Type="http://schemas.openxmlformats.org/officeDocument/2006/relationships/hyperlink" Target="#'10 EVIDENCE &amp; DECISIONS'!A483" TargetMode="External" Id="rId842"/><Relationship Type="http://schemas.openxmlformats.org/officeDocument/2006/relationships/hyperlink" Target="#'10 EVIDENCE &amp; DECISIONS'!A363" TargetMode="External" Id="rId843"/><Relationship Type="http://schemas.openxmlformats.org/officeDocument/2006/relationships/hyperlink" Target="#'10 EVIDENCE &amp; DECISIONS'!A364" TargetMode="External" Id="rId844"/><Relationship Type="http://schemas.openxmlformats.org/officeDocument/2006/relationships/hyperlink" Target="#'10 EVIDENCE &amp; DECISIONS'!A484" TargetMode="External" Id="rId845"/><Relationship Type="http://schemas.openxmlformats.org/officeDocument/2006/relationships/hyperlink" Target="#'10 EVIDENCE &amp; DECISIONS'!A365" TargetMode="External" Id="rId846"/><Relationship Type="http://schemas.openxmlformats.org/officeDocument/2006/relationships/hyperlink" Target="#'10 EVIDENCE &amp; DECISIONS'!A366" TargetMode="External" Id="rId847"/><Relationship Type="http://schemas.openxmlformats.org/officeDocument/2006/relationships/hyperlink" Target="#'10 EVIDENCE &amp; DECISIONS'!A485" TargetMode="External" Id="rId848"/><Relationship Type="http://schemas.openxmlformats.org/officeDocument/2006/relationships/hyperlink" Target="#'10 EVIDENCE &amp; DECISIONS'!A367" TargetMode="External" Id="rId849"/><Relationship Type="http://schemas.openxmlformats.org/officeDocument/2006/relationships/hyperlink" Target="#'10 EVIDENCE &amp; DECISIONS'!A368" TargetMode="External" Id="rId850"/><Relationship Type="http://schemas.openxmlformats.org/officeDocument/2006/relationships/hyperlink" Target="#'10 EVIDENCE &amp; DECISIONS'!A486" TargetMode="External" Id="rId851"/><Relationship Type="http://schemas.openxmlformats.org/officeDocument/2006/relationships/hyperlink" Target="#'10 EVIDENCE &amp; DECISIONS'!A369" TargetMode="External" Id="rId852"/><Relationship Type="http://schemas.openxmlformats.org/officeDocument/2006/relationships/hyperlink" Target="#'10 EVIDENCE &amp; DECISIONS'!A370" TargetMode="External" Id="rId853"/><Relationship Type="http://schemas.openxmlformats.org/officeDocument/2006/relationships/hyperlink" Target="#'10 EVIDENCE &amp; DECISIONS'!A487" TargetMode="External" Id="rId854"/><Relationship Type="http://schemas.openxmlformats.org/officeDocument/2006/relationships/hyperlink" Target="#'10 EVIDENCE &amp; DECISIONS'!A371" TargetMode="External" Id="rId855"/><Relationship Type="http://schemas.openxmlformats.org/officeDocument/2006/relationships/hyperlink" Target="#'10 EVIDENCE &amp; DECISIONS'!A372" TargetMode="External" Id="rId856"/><Relationship Type="http://schemas.openxmlformats.org/officeDocument/2006/relationships/hyperlink" Target="#'10 EVIDENCE &amp; DECISIONS'!A488" TargetMode="External" Id="rId857"/><Relationship Type="http://schemas.openxmlformats.org/officeDocument/2006/relationships/hyperlink" Target="#'10 EVIDENCE &amp; DECISIONS'!A373" TargetMode="External" Id="rId858"/><Relationship Type="http://schemas.openxmlformats.org/officeDocument/2006/relationships/hyperlink" Target="#'10 EVIDENCE &amp; DECISIONS'!A374" TargetMode="External" Id="rId859"/><Relationship Type="http://schemas.openxmlformats.org/officeDocument/2006/relationships/hyperlink" Target="#'10 EVIDENCE &amp; DECISIONS'!A489" TargetMode="External" Id="rId860"/><Relationship Type="http://schemas.openxmlformats.org/officeDocument/2006/relationships/hyperlink" Target="#'10 EVIDENCE &amp; DECISIONS'!A375" TargetMode="External" Id="rId861"/><Relationship Type="http://schemas.openxmlformats.org/officeDocument/2006/relationships/hyperlink" Target="#'10 EVIDENCE &amp; DECISIONS'!A376" TargetMode="External" Id="rId862"/><Relationship Type="http://schemas.openxmlformats.org/officeDocument/2006/relationships/hyperlink" Target="#'10 EVIDENCE &amp; DECISIONS'!A490" TargetMode="External" Id="rId863"/><Relationship Type="http://schemas.openxmlformats.org/officeDocument/2006/relationships/hyperlink" Target="#'10 EVIDENCE &amp; DECISIONS'!A377" TargetMode="External" Id="rId864"/><Relationship Type="http://schemas.openxmlformats.org/officeDocument/2006/relationships/hyperlink" Target="#'10 EVIDENCE &amp; DECISIONS'!A378" TargetMode="External" Id="rId865"/><Relationship Type="http://schemas.openxmlformats.org/officeDocument/2006/relationships/hyperlink" Target="#'10 EVIDENCE &amp; DECISIONS'!A491" TargetMode="External" Id="rId866"/><Relationship Type="http://schemas.openxmlformats.org/officeDocument/2006/relationships/hyperlink" Target="#'10 EVIDENCE &amp; DECISIONS'!A379" TargetMode="External" Id="rId867"/><Relationship Type="http://schemas.openxmlformats.org/officeDocument/2006/relationships/hyperlink" Target="#'10 EVIDENCE &amp; DECISIONS'!A380" TargetMode="External" Id="rId868"/><Relationship Type="http://schemas.openxmlformats.org/officeDocument/2006/relationships/hyperlink" Target="#'10 EVIDENCE &amp; DECISIONS'!A492" TargetMode="External" Id="rId869"/><Relationship Type="http://schemas.openxmlformats.org/officeDocument/2006/relationships/hyperlink" Target="#'10 EVIDENCE &amp; DECISIONS'!A381" TargetMode="External" Id="rId870"/><Relationship Type="http://schemas.openxmlformats.org/officeDocument/2006/relationships/hyperlink" Target="#'10 EVIDENCE &amp; DECISIONS'!A382" TargetMode="External" Id="rId871"/><Relationship Type="http://schemas.openxmlformats.org/officeDocument/2006/relationships/hyperlink" Target="#'10 EVIDENCE &amp; DECISIONS'!A493" TargetMode="External" Id="rId872"/><Relationship Type="http://schemas.openxmlformats.org/officeDocument/2006/relationships/hyperlink" Target="#'10 EVIDENCE &amp; DECISIONS'!A383" TargetMode="External" Id="rId873"/><Relationship Type="http://schemas.openxmlformats.org/officeDocument/2006/relationships/hyperlink" Target="#'10 EVIDENCE &amp; DECISIONS'!A384" TargetMode="External" Id="rId874"/><Relationship Type="http://schemas.openxmlformats.org/officeDocument/2006/relationships/hyperlink" Target="#'10 EVIDENCE &amp; DECISIONS'!A494" TargetMode="External" Id="rId875"/><Relationship Type="http://schemas.openxmlformats.org/officeDocument/2006/relationships/hyperlink" Target="#'10 EVIDENCE &amp; DECISIONS'!A385" TargetMode="External" Id="rId876"/><Relationship Type="http://schemas.openxmlformats.org/officeDocument/2006/relationships/hyperlink" Target="#'10 EVIDENCE &amp; DECISIONS'!A386" TargetMode="External" Id="rId877"/><Relationship Type="http://schemas.openxmlformats.org/officeDocument/2006/relationships/hyperlink" Target="#'10 EVIDENCE &amp; DECISIONS'!A495" TargetMode="External" Id="rId878"/><Relationship Type="http://schemas.openxmlformats.org/officeDocument/2006/relationships/hyperlink" Target="#'10 EVIDENCE &amp; DECISIONS'!A387" TargetMode="External" Id="rId879"/><Relationship Type="http://schemas.openxmlformats.org/officeDocument/2006/relationships/hyperlink" Target="#'10 EVIDENCE &amp; DECISIONS'!A388" TargetMode="External" Id="rId880"/><Relationship Type="http://schemas.openxmlformats.org/officeDocument/2006/relationships/hyperlink" Target="#'10 EVIDENCE &amp; DECISIONS'!A496" TargetMode="External" Id="rId881"/><Relationship Type="http://schemas.openxmlformats.org/officeDocument/2006/relationships/hyperlink" Target="#'10 EVIDENCE &amp; DECISIONS'!A389" TargetMode="External" Id="rId882"/><Relationship Type="http://schemas.openxmlformats.org/officeDocument/2006/relationships/hyperlink" Target="#'10 EVIDENCE &amp; DECISIONS'!A390" TargetMode="External" Id="rId883"/><Relationship Type="http://schemas.openxmlformats.org/officeDocument/2006/relationships/hyperlink" Target="#'10 EVIDENCE &amp; DECISIONS'!A497" TargetMode="External" Id="rId884"/><Relationship Type="http://schemas.openxmlformats.org/officeDocument/2006/relationships/hyperlink" Target="#'10 EVIDENCE &amp; DECISIONS'!A391" TargetMode="External" Id="rId885"/><Relationship Type="http://schemas.openxmlformats.org/officeDocument/2006/relationships/hyperlink" Target="#'10 EVIDENCE &amp; DECISIONS'!A392" TargetMode="External" Id="rId886"/><Relationship Type="http://schemas.openxmlformats.org/officeDocument/2006/relationships/hyperlink" Target="#'10 EVIDENCE &amp; DECISIONS'!A498" TargetMode="External" Id="rId887"/><Relationship Type="http://schemas.openxmlformats.org/officeDocument/2006/relationships/hyperlink" Target="#'10 EVIDENCE &amp; DECISIONS'!A393" TargetMode="External" Id="rId888"/><Relationship Type="http://schemas.openxmlformats.org/officeDocument/2006/relationships/hyperlink" Target="#'10 EVIDENCE &amp; DECISIONS'!A394" TargetMode="External" Id="rId889"/><Relationship Type="http://schemas.openxmlformats.org/officeDocument/2006/relationships/hyperlink" Target="#'10 EVIDENCE &amp; DECISIONS'!A499" TargetMode="External" Id="rId890"/><Relationship Type="http://schemas.openxmlformats.org/officeDocument/2006/relationships/hyperlink" Target="#'10 EVIDENCE &amp; DECISIONS'!A395" TargetMode="External" Id="rId891"/><Relationship Type="http://schemas.openxmlformats.org/officeDocument/2006/relationships/hyperlink" Target="#'10 EVIDENCE &amp; DECISIONS'!A396" TargetMode="External" Id="rId892"/><Relationship Type="http://schemas.openxmlformats.org/officeDocument/2006/relationships/hyperlink" Target="#'10 EVIDENCE &amp; DECISIONS'!A500" TargetMode="External" Id="rId893"/><Relationship Type="http://schemas.openxmlformats.org/officeDocument/2006/relationships/hyperlink" Target="#'10 EVIDENCE &amp; DECISIONS'!A397" TargetMode="External" Id="rId894"/><Relationship Type="http://schemas.openxmlformats.org/officeDocument/2006/relationships/hyperlink" Target="#'10 EVIDENCE &amp; DECISIONS'!A398" TargetMode="External" Id="rId895"/><Relationship Type="http://schemas.openxmlformats.org/officeDocument/2006/relationships/hyperlink" Target="#'10 EVIDENCE &amp; DECISIONS'!A501" TargetMode="External" Id="rId896"/><Relationship Type="http://schemas.openxmlformats.org/officeDocument/2006/relationships/hyperlink" Target="#'10 EVIDENCE &amp; DECISIONS'!A399" TargetMode="External" Id="rId897"/><Relationship Type="http://schemas.openxmlformats.org/officeDocument/2006/relationships/hyperlink" Target="#'10 EVIDENCE &amp; DECISIONS'!A400" TargetMode="External" Id="rId898"/><Relationship Type="http://schemas.openxmlformats.org/officeDocument/2006/relationships/hyperlink" Target="#'10 EVIDENCE &amp; DECISIONS'!A502" TargetMode="External" Id="rId899"/><Relationship Type="http://schemas.openxmlformats.org/officeDocument/2006/relationships/hyperlink" Target="#'10 EVIDENCE &amp; DECISIONS'!A401" TargetMode="External" Id="rId900"/><Relationship Type="http://schemas.openxmlformats.org/officeDocument/2006/relationships/hyperlink" Target="#'10 EVIDENCE &amp; DECISIONS'!A402" TargetMode="External" Id="rId901"/><Relationship Type="http://schemas.openxmlformats.org/officeDocument/2006/relationships/hyperlink" Target="#'10 EVIDENCE &amp; DECISIONS'!A503" TargetMode="External" Id="rId902"/><Relationship Type="http://schemas.openxmlformats.org/officeDocument/2006/relationships/hyperlink" Target="#'10 EVIDENCE &amp; DECISIONS'!A403" TargetMode="External" Id="rId903"/><Relationship Type="http://schemas.openxmlformats.org/officeDocument/2006/relationships/hyperlink" Target="#'10 EVIDENCE &amp; DECISIONS'!A404" TargetMode="External" Id="rId904"/><Relationship Type="http://schemas.openxmlformats.org/officeDocument/2006/relationships/hyperlink" Target="#'10 EVIDENCE &amp; DECISIONS'!A504" TargetMode="External" Id="rId905"/><Relationship Type="http://schemas.openxmlformats.org/officeDocument/2006/relationships/hyperlink" Target="#'10 EVIDENCE &amp; DECISIONS'!A405" TargetMode="External" Id="rId906"/><Relationship Type="http://schemas.openxmlformats.org/officeDocument/2006/relationships/hyperlink" Target="#'10 EVIDENCE &amp; DECISIONS'!A406" TargetMode="External" Id="rId907"/><Relationship Type="http://schemas.openxmlformats.org/officeDocument/2006/relationships/hyperlink" Target="#'10 EVIDENCE &amp; DECISIONS'!A505" TargetMode="External" Id="rId908"/><Relationship Type="http://schemas.openxmlformats.org/officeDocument/2006/relationships/hyperlink" Target="#'10 EVIDENCE &amp; DECISIONS'!A556" TargetMode="External" Id="rId909"/><Relationship Type="http://schemas.openxmlformats.org/officeDocument/2006/relationships/hyperlink" Target="#'10 EVIDENCE &amp; DECISIONS'!A557" TargetMode="External" Id="rId910"/><Relationship Type="http://schemas.openxmlformats.org/officeDocument/2006/relationships/hyperlink" Target="#'10 EVIDENCE &amp; DECISIONS'!A716" TargetMode="External" Id="rId911"/><Relationship Type="http://schemas.openxmlformats.org/officeDocument/2006/relationships/hyperlink" Target="#'10 EVIDENCE &amp; DECISIONS'!A558" TargetMode="External" Id="rId912"/><Relationship Type="http://schemas.openxmlformats.org/officeDocument/2006/relationships/hyperlink" Target="#'10 EVIDENCE &amp; DECISIONS'!A559" TargetMode="External" Id="rId913"/><Relationship Type="http://schemas.openxmlformats.org/officeDocument/2006/relationships/hyperlink" Target="#'10 EVIDENCE &amp; DECISIONS'!A717" TargetMode="External" Id="rId914"/><Relationship Type="http://schemas.openxmlformats.org/officeDocument/2006/relationships/hyperlink" Target="#'10 EVIDENCE &amp; DECISIONS'!A560" TargetMode="External" Id="rId915"/><Relationship Type="http://schemas.openxmlformats.org/officeDocument/2006/relationships/hyperlink" Target="#'10 EVIDENCE &amp; DECISIONS'!A561" TargetMode="External" Id="rId916"/><Relationship Type="http://schemas.openxmlformats.org/officeDocument/2006/relationships/hyperlink" Target="#'10 EVIDENCE &amp; DECISIONS'!A718" TargetMode="External" Id="rId917"/><Relationship Type="http://schemas.openxmlformats.org/officeDocument/2006/relationships/hyperlink" Target="#'10 EVIDENCE &amp; DECISIONS'!A562" TargetMode="External" Id="rId918"/><Relationship Type="http://schemas.openxmlformats.org/officeDocument/2006/relationships/hyperlink" Target="#'10 EVIDENCE &amp; DECISIONS'!A563" TargetMode="External" Id="rId919"/><Relationship Type="http://schemas.openxmlformats.org/officeDocument/2006/relationships/hyperlink" Target="#'10 EVIDENCE &amp; DECISIONS'!A719" TargetMode="External" Id="rId920"/><Relationship Type="http://schemas.openxmlformats.org/officeDocument/2006/relationships/hyperlink" Target="#'10 EVIDENCE &amp; DECISIONS'!A564" TargetMode="External" Id="rId921"/><Relationship Type="http://schemas.openxmlformats.org/officeDocument/2006/relationships/hyperlink" Target="#'10 EVIDENCE &amp; DECISIONS'!A565" TargetMode="External" Id="rId922"/><Relationship Type="http://schemas.openxmlformats.org/officeDocument/2006/relationships/hyperlink" Target="#'10 EVIDENCE &amp; DECISIONS'!A720" TargetMode="External" Id="rId923"/><Relationship Type="http://schemas.openxmlformats.org/officeDocument/2006/relationships/hyperlink" Target="#'10 EVIDENCE &amp; DECISIONS'!A566" TargetMode="External" Id="rId924"/><Relationship Type="http://schemas.openxmlformats.org/officeDocument/2006/relationships/hyperlink" Target="#'10 EVIDENCE &amp; DECISIONS'!A567" TargetMode="External" Id="rId925"/><Relationship Type="http://schemas.openxmlformats.org/officeDocument/2006/relationships/hyperlink" Target="#'10 EVIDENCE &amp; DECISIONS'!A721" TargetMode="External" Id="rId926"/><Relationship Type="http://schemas.openxmlformats.org/officeDocument/2006/relationships/hyperlink" Target="#'10 EVIDENCE &amp; DECISIONS'!A568" TargetMode="External" Id="rId927"/><Relationship Type="http://schemas.openxmlformats.org/officeDocument/2006/relationships/hyperlink" Target="#'10 EVIDENCE &amp; DECISIONS'!A569" TargetMode="External" Id="rId928"/><Relationship Type="http://schemas.openxmlformats.org/officeDocument/2006/relationships/hyperlink" Target="#'10 EVIDENCE &amp; DECISIONS'!A722" TargetMode="External" Id="rId929"/><Relationship Type="http://schemas.openxmlformats.org/officeDocument/2006/relationships/hyperlink" Target="#'10 EVIDENCE &amp; DECISIONS'!A570" TargetMode="External" Id="rId930"/><Relationship Type="http://schemas.openxmlformats.org/officeDocument/2006/relationships/hyperlink" Target="#'10 EVIDENCE &amp; DECISIONS'!A571" TargetMode="External" Id="rId931"/><Relationship Type="http://schemas.openxmlformats.org/officeDocument/2006/relationships/hyperlink" Target="#'10 EVIDENCE &amp; DECISIONS'!A723" TargetMode="External" Id="rId932"/><Relationship Type="http://schemas.openxmlformats.org/officeDocument/2006/relationships/hyperlink" Target="#'10 EVIDENCE &amp; DECISIONS'!A572" TargetMode="External" Id="rId933"/><Relationship Type="http://schemas.openxmlformats.org/officeDocument/2006/relationships/hyperlink" Target="#'10 EVIDENCE &amp; DECISIONS'!A573" TargetMode="External" Id="rId934"/><Relationship Type="http://schemas.openxmlformats.org/officeDocument/2006/relationships/hyperlink" Target="#'10 EVIDENCE &amp; DECISIONS'!A724" TargetMode="External" Id="rId935"/><Relationship Type="http://schemas.openxmlformats.org/officeDocument/2006/relationships/hyperlink" Target="#'10 EVIDENCE &amp; DECISIONS'!A574" TargetMode="External" Id="rId936"/><Relationship Type="http://schemas.openxmlformats.org/officeDocument/2006/relationships/hyperlink" Target="#'10 EVIDENCE &amp; DECISIONS'!A575" TargetMode="External" Id="rId937"/><Relationship Type="http://schemas.openxmlformats.org/officeDocument/2006/relationships/hyperlink" Target="#'10 EVIDENCE &amp; DECISIONS'!A725" TargetMode="External" Id="rId938"/><Relationship Type="http://schemas.openxmlformats.org/officeDocument/2006/relationships/hyperlink" Target="#'10 EVIDENCE &amp; DECISIONS'!A576" TargetMode="External" Id="rId939"/><Relationship Type="http://schemas.openxmlformats.org/officeDocument/2006/relationships/hyperlink" Target="#'10 EVIDENCE &amp; DECISIONS'!A577" TargetMode="External" Id="rId940"/><Relationship Type="http://schemas.openxmlformats.org/officeDocument/2006/relationships/hyperlink" Target="#'10 EVIDENCE &amp; DECISIONS'!A726" TargetMode="External" Id="rId941"/><Relationship Type="http://schemas.openxmlformats.org/officeDocument/2006/relationships/hyperlink" Target="#'10 EVIDENCE &amp; DECISIONS'!A578" TargetMode="External" Id="rId942"/><Relationship Type="http://schemas.openxmlformats.org/officeDocument/2006/relationships/hyperlink" Target="#'10 EVIDENCE &amp; DECISIONS'!A579" TargetMode="External" Id="rId943"/><Relationship Type="http://schemas.openxmlformats.org/officeDocument/2006/relationships/hyperlink" Target="#'10 EVIDENCE &amp; DECISIONS'!A727" TargetMode="External" Id="rId944"/><Relationship Type="http://schemas.openxmlformats.org/officeDocument/2006/relationships/hyperlink" Target="#'10 EVIDENCE &amp; DECISIONS'!A580" TargetMode="External" Id="rId945"/><Relationship Type="http://schemas.openxmlformats.org/officeDocument/2006/relationships/hyperlink" Target="#'10 EVIDENCE &amp; DECISIONS'!A581" TargetMode="External" Id="rId946"/><Relationship Type="http://schemas.openxmlformats.org/officeDocument/2006/relationships/hyperlink" Target="#'10 EVIDENCE &amp; DECISIONS'!A728" TargetMode="External" Id="rId947"/><Relationship Type="http://schemas.openxmlformats.org/officeDocument/2006/relationships/hyperlink" Target="#'10 EVIDENCE &amp; DECISIONS'!A582" TargetMode="External" Id="rId948"/><Relationship Type="http://schemas.openxmlformats.org/officeDocument/2006/relationships/hyperlink" Target="#'10 EVIDENCE &amp; DECISIONS'!A583" TargetMode="External" Id="rId949"/><Relationship Type="http://schemas.openxmlformats.org/officeDocument/2006/relationships/hyperlink" Target="#'10 EVIDENCE &amp; DECISIONS'!A729" TargetMode="External" Id="rId950"/><Relationship Type="http://schemas.openxmlformats.org/officeDocument/2006/relationships/hyperlink" Target="#'10 EVIDENCE &amp; DECISIONS'!A584" TargetMode="External" Id="rId951"/><Relationship Type="http://schemas.openxmlformats.org/officeDocument/2006/relationships/hyperlink" Target="#'10 EVIDENCE &amp; DECISIONS'!A585" TargetMode="External" Id="rId952"/><Relationship Type="http://schemas.openxmlformats.org/officeDocument/2006/relationships/hyperlink" Target="#'10 EVIDENCE &amp; DECISIONS'!A730" TargetMode="External" Id="rId953"/><Relationship Type="http://schemas.openxmlformats.org/officeDocument/2006/relationships/hyperlink" Target="#'10 EVIDENCE &amp; DECISIONS'!A586" TargetMode="External" Id="rId954"/><Relationship Type="http://schemas.openxmlformats.org/officeDocument/2006/relationships/hyperlink" Target="#'10 EVIDENCE &amp; DECISIONS'!A587" TargetMode="External" Id="rId955"/><Relationship Type="http://schemas.openxmlformats.org/officeDocument/2006/relationships/hyperlink" Target="#'10 EVIDENCE &amp; DECISIONS'!A731" TargetMode="External" Id="rId956"/><Relationship Type="http://schemas.openxmlformats.org/officeDocument/2006/relationships/hyperlink" Target="#'10 EVIDENCE &amp; DECISIONS'!A588" TargetMode="External" Id="rId957"/><Relationship Type="http://schemas.openxmlformats.org/officeDocument/2006/relationships/hyperlink" Target="#'10 EVIDENCE &amp; DECISIONS'!A589" TargetMode="External" Id="rId958"/><Relationship Type="http://schemas.openxmlformats.org/officeDocument/2006/relationships/hyperlink" Target="#'10 EVIDENCE &amp; DECISIONS'!A732" TargetMode="External" Id="rId959"/><Relationship Type="http://schemas.openxmlformats.org/officeDocument/2006/relationships/hyperlink" Target="#'10 EVIDENCE &amp; DECISIONS'!A590" TargetMode="External" Id="rId960"/><Relationship Type="http://schemas.openxmlformats.org/officeDocument/2006/relationships/hyperlink" Target="#'10 EVIDENCE &amp; DECISIONS'!A591" TargetMode="External" Id="rId961"/><Relationship Type="http://schemas.openxmlformats.org/officeDocument/2006/relationships/hyperlink" Target="#'10 EVIDENCE &amp; DECISIONS'!A733" TargetMode="External" Id="rId962"/><Relationship Type="http://schemas.openxmlformats.org/officeDocument/2006/relationships/hyperlink" Target="#'10 EVIDENCE &amp; DECISIONS'!A592" TargetMode="External" Id="rId963"/><Relationship Type="http://schemas.openxmlformats.org/officeDocument/2006/relationships/hyperlink" Target="#'10 EVIDENCE &amp; DECISIONS'!A593" TargetMode="External" Id="rId964"/><Relationship Type="http://schemas.openxmlformats.org/officeDocument/2006/relationships/hyperlink" Target="#'10 EVIDENCE &amp; DECISIONS'!A734" TargetMode="External" Id="rId965"/><Relationship Type="http://schemas.openxmlformats.org/officeDocument/2006/relationships/hyperlink" Target="#'10 EVIDENCE &amp; DECISIONS'!A594" TargetMode="External" Id="rId966"/><Relationship Type="http://schemas.openxmlformats.org/officeDocument/2006/relationships/hyperlink" Target="#'10 EVIDENCE &amp; DECISIONS'!A595" TargetMode="External" Id="rId967"/><Relationship Type="http://schemas.openxmlformats.org/officeDocument/2006/relationships/hyperlink" Target="#'10 EVIDENCE &amp; DECISIONS'!A735" TargetMode="External" Id="rId968"/><Relationship Type="http://schemas.openxmlformats.org/officeDocument/2006/relationships/hyperlink" Target="#'10 EVIDENCE &amp; DECISIONS'!A596" TargetMode="External" Id="rId969"/><Relationship Type="http://schemas.openxmlformats.org/officeDocument/2006/relationships/hyperlink" Target="#'10 EVIDENCE &amp; DECISIONS'!A597" TargetMode="External" Id="rId970"/><Relationship Type="http://schemas.openxmlformats.org/officeDocument/2006/relationships/hyperlink" Target="#'10 EVIDENCE &amp; DECISIONS'!A736" TargetMode="External" Id="rId971"/><Relationship Type="http://schemas.openxmlformats.org/officeDocument/2006/relationships/hyperlink" Target="#'10 EVIDENCE &amp; DECISIONS'!A598" TargetMode="External" Id="rId972"/><Relationship Type="http://schemas.openxmlformats.org/officeDocument/2006/relationships/hyperlink" Target="#'10 EVIDENCE &amp; DECISIONS'!A599" TargetMode="External" Id="rId973"/><Relationship Type="http://schemas.openxmlformats.org/officeDocument/2006/relationships/hyperlink" Target="#'10 EVIDENCE &amp; DECISIONS'!A737" TargetMode="External" Id="rId974"/><Relationship Type="http://schemas.openxmlformats.org/officeDocument/2006/relationships/hyperlink" Target="#'10 EVIDENCE &amp; DECISIONS'!A600" TargetMode="External" Id="rId975"/><Relationship Type="http://schemas.openxmlformats.org/officeDocument/2006/relationships/hyperlink" Target="#'10 EVIDENCE &amp; DECISIONS'!A601" TargetMode="External" Id="rId976"/><Relationship Type="http://schemas.openxmlformats.org/officeDocument/2006/relationships/hyperlink" Target="#'10 EVIDENCE &amp; DECISIONS'!A738" TargetMode="External" Id="rId977"/><Relationship Type="http://schemas.openxmlformats.org/officeDocument/2006/relationships/hyperlink" Target="#'10 EVIDENCE &amp; DECISIONS'!A602" TargetMode="External" Id="rId978"/><Relationship Type="http://schemas.openxmlformats.org/officeDocument/2006/relationships/hyperlink" Target="#'10 EVIDENCE &amp; DECISIONS'!A603" TargetMode="External" Id="rId979"/><Relationship Type="http://schemas.openxmlformats.org/officeDocument/2006/relationships/hyperlink" Target="#'10 EVIDENCE &amp; DECISIONS'!A739" TargetMode="External" Id="rId980"/><Relationship Type="http://schemas.openxmlformats.org/officeDocument/2006/relationships/hyperlink" Target="#'10 EVIDENCE &amp; DECISIONS'!A604" TargetMode="External" Id="rId981"/><Relationship Type="http://schemas.openxmlformats.org/officeDocument/2006/relationships/hyperlink" Target="#'10 EVIDENCE &amp; DECISIONS'!A605" TargetMode="External" Id="rId982"/><Relationship Type="http://schemas.openxmlformats.org/officeDocument/2006/relationships/hyperlink" Target="#'10 EVIDENCE &amp; DECISIONS'!A740" TargetMode="External" Id="rId983"/><Relationship Type="http://schemas.openxmlformats.org/officeDocument/2006/relationships/hyperlink" Target="#'10 EVIDENCE &amp; DECISIONS'!A606" TargetMode="External" Id="rId984"/><Relationship Type="http://schemas.openxmlformats.org/officeDocument/2006/relationships/hyperlink" Target="#'10 EVIDENCE &amp; DECISIONS'!A607" TargetMode="External" Id="rId985"/><Relationship Type="http://schemas.openxmlformats.org/officeDocument/2006/relationships/hyperlink" Target="#'10 EVIDENCE &amp; DECISIONS'!A741" TargetMode="External" Id="rId986"/><Relationship Type="http://schemas.openxmlformats.org/officeDocument/2006/relationships/hyperlink" Target="#'10 EVIDENCE &amp; DECISIONS'!A608" TargetMode="External" Id="rId987"/><Relationship Type="http://schemas.openxmlformats.org/officeDocument/2006/relationships/hyperlink" Target="#'10 EVIDENCE &amp; DECISIONS'!A609" TargetMode="External" Id="rId988"/><Relationship Type="http://schemas.openxmlformats.org/officeDocument/2006/relationships/hyperlink" Target="#'10 EVIDENCE &amp; DECISIONS'!A742" TargetMode="External" Id="rId989"/><Relationship Type="http://schemas.openxmlformats.org/officeDocument/2006/relationships/hyperlink" Target="#'10 EVIDENCE &amp; DECISIONS'!A610" TargetMode="External" Id="rId990"/><Relationship Type="http://schemas.openxmlformats.org/officeDocument/2006/relationships/hyperlink" Target="#'10 EVIDENCE &amp; DECISIONS'!A611" TargetMode="External" Id="rId991"/><Relationship Type="http://schemas.openxmlformats.org/officeDocument/2006/relationships/hyperlink" Target="#'10 EVIDENCE &amp; DECISIONS'!A743" TargetMode="External" Id="rId992"/><Relationship Type="http://schemas.openxmlformats.org/officeDocument/2006/relationships/hyperlink" Target="#'10 EVIDENCE &amp; DECISIONS'!A612" TargetMode="External" Id="rId993"/><Relationship Type="http://schemas.openxmlformats.org/officeDocument/2006/relationships/hyperlink" Target="#'10 EVIDENCE &amp; DECISIONS'!A613" TargetMode="External" Id="rId994"/><Relationship Type="http://schemas.openxmlformats.org/officeDocument/2006/relationships/hyperlink" Target="#'10 EVIDENCE &amp; DECISIONS'!A744" TargetMode="External" Id="rId995"/><Relationship Type="http://schemas.openxmlformats.org/officeDocument/2006/relationships/hyperlink" Target="#'10 EVIDENCE &amp; DECISIONS'!A614" TargetMode="External" Id="rId996"/><Relationship Type="http://schemas.openxmlformats.org/officeDocument/2006/relationships/hyperlink" Target="#'10 EVIDENCE &amp; DECISIONS'!A615" TargetMode="External" Id="rId997"/><Relationship Type="http://schemas.openxmlformats.org/officeDocument/2006/relationships/hyperlink" Target="#'10 EVIDENCE &amp; DECISIONS'!A745" TargetMode="External" Id="rId998"/><Relationship Type="http://schemas.openxmlformats.org/officeDocument/2006/relationships/hyperlink" Target="#'10 EVIDENCE &amp; DECISIONS'!A616" TargetMode="External" Id="rId999"/><Relationship Type="http://schemas.openxmlformats.org/officeDocument/2006/relationships/hyperlink" Target="#'10 EVIDENCE &amp; DECISIONS'!A617" TargetMode="External" Id="rId1000"/><Relationship Type="http://schemas.openxmlformats.org/officeDocument/2006/relationships/hyperlink" Target="#'10 EVIDENCE &amp; DECISIONS'!A746" TargetMode="External" Id="rId1001"/><Relationship Type="http://schemas.openxmlformats.org/officeDocument/2006/relationships/hyperlink" Target="#'10 EVIDENCE &amp; DECISIONS'!A618" TargetMode="External" Id="rId1002"/><Relationship Type="http://schemas.openxmlformats.org/officeDocument/2006/relationships/hyperlink" Target="#'10 EVIDENCE &amp; DECISIONS'!A619" TargetMode="External" Id="rId1003"/><Relationship Type="http://schemas.openxmlformats.org/officeDocument/2006/relationships/hyperlink" Target="#'10 EVIDENCE &amp; DECISIONS'!A747" TargetMode="External" Id="rId1004"/><Relationship Type="http://schemas.openxmlformats.org/officeDocument/2006/relationships/hyperlink" Target="#'10 EVIDENCE &amp; DECISIONS'!A620" TargetMode="External" Id="rId1005"/><Relationship Type="http://schemas.openxmlformats.org/officeDocument/2006/relationships/hyperlink" Target="#'10 EVIDENCE &amp; DECISIONS'!A621" TargetMode="External" Id="rId1006"/><Relationship Type="http://schemas.openxmlformats.org/officeDocument/2006/relationships/hyperlink" Target="#'10 EVIDENCE &amp; DECISIONS'!A748" TargetMode="External" Id="rId1007"/><Relationship Type="http://schemas.openxmlformats.org/officeDocument/2006/relationships/hyperlink" Target="#'10 EVIDENCE &amp; DECISIONS'!A622" TargetMode="External" Id="rId1008"/><Relationship Type="http://schemas.openxmlformats.org/officeDocument/2006/relationships/hyperlink" Target="#'10 EVIDENCE &amp; DECISIONS'!A623" TargetMode="External" Id="rId1009"/><Relationship Type="http://schemas.openxmlformats.org/officeDocument/2006/relationships/hyperlink" Target="#'10 EVIDENCE &amp; DECISIONS'!A749" TargetMode="External" Id="rId1010"/><Relationship Type="http://schemas.openxmlformats.org/officeDocument/2006/relationships/hyperlink" Target="#'10 EVIDENCE &amp; DECISIONS'!A624" TargetMode="External" Id="rId1011"/><Relationship Type="http://schemas.openxmlformats.org/officeDocument/2006/relationships/hyperlink" Target="#'10 EVIDENCE &amp; DECISIONS'!A625" TargetMode="External" Id="rId1012"/><Relationship Type="http://schemas.openxmlformats.org/officeDocument/2006/relationships/hyperlink" Target="#'10 EVIDENCE &amp; DECISIONS'!A750" TargetMode="External" Id="rId1013"/><Relationship Type="http://schemas.openxmlformats.org/officeDocument/2006/relationships/hyperlink" Target="#'10 EVIDENCE &amp; DECISIONS'!A626" TargetMode="External" Id="rId1014"/><Relationship Type="http://schemas.openxmlformats.org/officeDocument/2006/relationships/hyperlink" Target="#'10 EVIDENCE &amp; DECISIONS'!A627" TargetMode="External" Id="rId1015"/><Relationship Type="http://schemas.openxmlformats.org/officeDocument/2006/relationships/hyperlink" Target="#'10 EVIDENCE &amp; DECISIONS'!A751" TargetMode="External" Id="rId1016"/><Relationship Type="http://schemas.openxmlformats.org/officeDocument/2006/relationships/hyperlink" Target="#'10 EVIDENCE &amp; DECISIONS'!A628" TargetMode="External" Id="rId1017"/><Relationship Type="http://schemas.openxmlformats.org/officeDocument/2006/relationships/hyperlink" Target="#'10 EVIDENCE &amp; DECISIONS'!A629" TargetMode="External" Id="rId1018"/><Relationship Type="http://schemas.openxmlformats.org/officeDocument/2006/relationships/hyperlink" Target="#'10 EVIDENCE &amp; DECISIONS'!A752" TargetMode="External" Id="rId1019"/><Relationship Type="http://schemas.openxmlformats.org/officeDocument/2006/relationships/hyperlink" Target="#'10 EVIDENCE &amp; DECISIONS'!A630" TargetMode="External" Id="rId1020"/><Relationship Type="http://schemas.openxmlformats.org/officeDocument/2006/relationships/hyperlink" Target="#'10 EVIDENCE &amp; DECISIONS'!A631" TargetMode="External" Id="rId1021"/><Relationship Type="http://schemas.openxmlformats.org/officeDocument/2006/relationships/hyperlink" Target="#'10 EVIDENCE &amp; DECISIONS'!A753" TargetMode="External" Id="rId1022"/><Relationship Type="http://schemas.openxmlformats.org/officeDocument/2006/relationships/hyperlink" Target="#'10 EVIDENCE &amp; DECISIONS'!A632" TargetMode="External" Id="rId1023"/><Relationship Type="http://schemas.openxmlformats.org/officeDocument/2006/relationships/hyperlink" Target="#'10 EVIDENCE &amp; DECISIONS'!A633" TargetMode="External" Id="rId1024"/><Relationship Type="http://schemas.openxmlformats.org/officeDocument/2006/relationships/hyperlink" Target="#'10 EVIDENCE &amp; DECISIONS'!A754" TargetMode="External" Id="rId1025"/><Relationship Type="http://schemas.openxmlformats.org/officeDocument/2006/relationships/hyperlink" Target="#'10 EVIDENCE &amp; DECISIONS'!A634" TargetMode="External" Id="rId1026"/><Relationship Type="http://schemas.openxmlformats.org/officeDocument/2006/relationships/hyperlink" Target="#'10 EVIDENCE &amp; DECISIONS'!A635" TargetMode="External" Id="rId1027"/><Relationship Type="http://schemas.openxmlformats.org/officeDocument/2006/relationships/hyperlink" Target="#'10 EVIDENCE &amp; DECISIONS'!A755" TargetMode="External" Id="rId1028"/><Relationship Type="http://schemas.openxmlformats.org/officeDocument/2006/relationships/hyperlink" Target="#'10 EVIDENCE &amp; DECISIONS'!A636" TargetMode="External" Id="rId1029"/><Relationship Type="http://schemas.openxmlformats.org/officeDocument/2006/relationships/hyperlink" Target="#'10 EVIDENCE &amp; DECISIONS'!A637" TargetMode="External" Id="rId1030"/><Relationship Type="http://schemas.openxmlformats.org/officeDocument/2006/relationships/hyperlink" Target="#'10 EVIDENCE &amp; DECISIONS'!A756" TargetMode="External" Id="rId1031"/><Relationship Type="http://schemas.openxmlformats.org/officeDocument/2006/relationships/hyperlink" Target="#'10 EVIDENCE &amp; DECISIONS'!A638" TargetMode="External" Id="rId1032"/><Relationship Type="http://schemas.openxmlformats.org/officeDocument/2006/relationships/hyperlink" Target="#'10 EVIDENCE &amp; DECISIONS'!A639" TargetMode="External" Id="rId1033"/><Relationship Type="http://schemas.openxmlformats.org/officeDocument/2006/relationships/hyperlink" Target="#'10 EVIDENCE &amp; DECISIONS'!A757" TargetMode="External" Id="rId1034"/><Relationship Type="http://schemas.openxmlformats.org/officeDocument/2006/relationships/hyperlink" Target="#'10 EVIDENCE &amp; DECISIONS'!A640" TargetMode="External" Id="rId1035"/><Relationship Type="http://schemas.openxmlformats.org/officeDocument/2006/relationships/hyperlink" Target="#'10 EVIDENCE &amp; DECISIONS'!A641" TargetMode="External" Id="rId1036"/><Relationship Type="http://schemas.openxmlformats.org/officeDocument/2006/relationships/hyperlink" Target="#'10 EVIDENCE &amp; DECISIONS'!A758" TargetMode="External" Id="rId1037"/><Relationship Type="http://schemas.openxmlformats.org/officeDocument/2006/relationships/hyperlink" Target="#'10 EVIDENCE &amp; DECISIONS'!A642" TargetMode="External" Id="rId1038"/><Relationship Type="http://schemas.openxmlformats.org/officeDocument/2006/relationships/hyperlink" Target="#'10 EVIDENCE &amp; DECISIONS'!A643" TargetMode="External" Id="rId1039"/><Relationship Type="http://schemas.openxmlformats.org/officeDocument/2006/relationships/hyperlink" Target="#'10 EVIDENCE &amp; DECISIONS'!A759" TargetMode="External" Id="rId1040"/><Relationship Type="http://schemas.openxmlformats.org/officeDocument/2006/relationships/hyperlink" Target="#'10 EVIDENCE &amp; DECISIONS'!A644" TargetMode="External" Id="rId1041"/><Relationship Type="http://schemas.openxmlformats.org/officeDocument/2006/relationships/hyperlink" Target="#'10 EVIDENCE &amp; DECISIONS'!A645" TargetMode="External" Id="rId1042"/><Relationship Type="http://schemas.openxmlformats.org/officeDocument/2006/relationships/hyperlink" Target="#'10 EVIDENCE &amp; DECISIONS'!A760" TargetMode="External" Id="rId1043"/><Relationship Type="http://schemas.openxmlformats.org/officeDocument/2006/relationships/hyperlink" Target="#'10 EVIDENCE &amp; DECISIONS'!A646" TargetMode="External" Id="rId1044"/><Relationship Type="http://schemas.openxmlformats.org/officeDocument/2006/relationships/hyperlink" Target="#'10 EVIDENCE &amp; DECISIONS'!A647" TargetMode="External" Id="rId1045"/><Relationship Type="http://schemas.openxmlformats.org/officeDocument/2006/relationships/hyperlink" Target="#'10 EVIDENCE &amp; DECISIONS'!A761" TargetMode="External" Id="rId1046"/><Relationship Type="http://schemas.openxmlformats.org/officeDocument/2006/relationships/hyperlink" Target="#'10 EVIDENCE &amp; DECISIONS'!A648" TargetMode="External" Id="rId1047"/><Relationship Type="http://schemas.openxmlformats.org/officeDocument/2006/relationships/hyperlink" Target="#'10 EVIDENCE &amp; DECISIONS'!A649" TargetMode="External" Id="rId1048"/><Relationship Type="http://schemas.openxmlformats.org/officeDocument/2006/relationships/hyperlink" Target="#'10 EVIDENCE &amp; DECISIONS'!A762" TargetMode="External" Id="rId1049"/><Relationship Type="http://schemas.openxmlformats.org/officeDocument/2006/relationships/hyperlink" Target="#'10 EVIDENCE &amp; DECISIONS'!A650" TargetMode="External" Id="rId1050"/><Relationship Type="http://schemas.openxmlformats.org/officeDocument/2006/relationships/hyperlink" Target="#'10 EVIDENCE &amp; DECISIONS'!A651" TargetMode="External" Id="rId1051"/><Relationship Type="http://schemas.openxmlformats.org/officeDocument/2006/relationships/hyperlink" Target="#'10 EVIDENCE &amp; DECISIONS'!A763" TargetMode="External" Id="rId1052"/><Relationship Type="http://schemas.openxmlformats.org/officeDocument/2006/relationships/hyperlink" Target="#'10 EVIDENCE &amp; DECISIONS'!A652" TargetMode="External" Id="rId1053"/><Relationship Type="http://schemas.openxmlformats.org/officeDocument/2006/relationships/hyperlink" Target="#'10 EVIDENCE &amp; DECISIONS'!A653" TargetMode="External" Id="rId1054"/><Relationship Type="http://schemas.openxmlformats.org/officeDocument/2006/relationships/hyperlink" Target="#'10 EVIDENCE &amp; DECISIONS'!A764" TargetMode="External" Id="rId1055"/><Relationship Type="http://schemas.openxmlformats.org/officeDocument/2006/relationships/hyperlink" Target="#'10 EVIDENCE &amp; DECISIONS'!A654" TargetMode="External" Id="rId1056"/><Relationship Type="http://schemas.openxmlformats.org/officeDocument/2006/relationships/hyperlink" Target="#'10 EVIDENCE &amp; DECISIONS'!A655" TargetMode="External" Id="rId1057"/><Relationship Type="http://schemas.openxmlformats.org/officeDocument/2006/relationships/hyperlink" Target="#'10 EVIDENCE &amp; DECISIONS'!A765" TargetMode="External" Id="rId1058"/><Relationship Type="http://schemas.openxmlformats.org/officeDocument/2006/relationships/hyperlink" Target="#'10 EVIDENCE &amp; DECISIONS'!A656" TargetMode="External" Id="rId1059"/><Relationship Type="http://schemas.openxmlformats.org/officeDocument/2006/relationships/hyperlink" Target="#'10 EVIDENCE &amp; DECISIONS'!A657" TargetMode="External" Id="rId1060"/><Relationship Type="http://schemas.openxmlformats.org/officeDocument/2006/relationships/hyperlink" Target="#'10 EVIDENCE &amp; DECISIONS'!A766" TargetMode="External" Id="rId1061"/><Relationship Type="http://schemas.openxmlformats.org/officeDocument/2006/relationships/hyperlink" Target="#'10 EVIDENCE &amp; DECISIONS'!A658" TargetMode="External" Id="rId1062"/><Relationship Type="http://schemas.openxmlformats.org/officeDocument/2006/relationships/hyperlink" Target="#'10 EVIDENCE &amp; DECISIONS'!A659" TargetMode="External" Id="rId1063"/><Relationship Type="http://schemas.openxmlformats.org/officeDocument/2006/relationships/hyperlink" Target="#'10 EVIDENCE &amp; DECISIONS'!A767" TargetMode="External" Id="rId1064"/><Relationship Type="http://schemas.openxmlformats.org/officeDocument/2006/relationships/hyperlink" Target="#'10 EVIDENCE &amp; DECISIONS'!A660" TargetMode="External" Id="rId1065"/><Relationship Type="http://schemas.openxmlformats.org/officeDocument/2006/relationships/hyperlink" Target="#'10 EVIDENCE &amp; DECISIONS'!A661" TargetMode="External" Id="rId1066"/><Relationship Type="http://schemas.openxmlformats.org/officeDocument/2006/relationships/hyperlink" Target="#'10 EVIDENCE &amp; DECISIONS'!A768" TargetMode="External" Id="rId1067"/><Relationship Type="http://schemas.openxmlformats.org/officeDocument/2006/relationships/hyperlink" Target="#'10 EVIDENCE &amp; DECISIONS'!A662" TargetMode="External" Id="rId1068"/><Relationship Type="http://schemas.openxmlformats.org/officeDocument/2006/relationships/hyperlink" Target="#'10 EVIDENCE &amp; DECISIONS'!A663" TargetMode="External" Id="rId1069"/><Relationship Type="http://schemas.openxmlformats.org/officeDocument/2006/relationships/hyperlink" Target="#'10 EVIDENCE &amp; DECISIONS'!A769" TargetMode="External" Id="rId1070"/><Relationship Type="http://schemas.openxmlformats.org/officeDocument/2006/relationships/hyperlink" Target="#'10 EVIDENCE &amp; DECISIONS'!A664" TargetMode="External" Id="rId1071"/><Relationship Type="http://schemas.openxmlformats.org/officeDocument/2006/relationships/hyperlink" Target="#'10 EVIDENCE &amp; DECISIONS'!A665" TargetMode="External" Id="rId1072"/><Relationship Type="http://schemas.openxmlformats.org/officeDocument/2006/relationships/hyperlink" Target="#'10 EVIDENCE &amp; DECISIONS'!A770" TargetMode="External" Id="rId1073"/><Relationship Type="http://schemas.openxmlformats.org/officeDocument/2006/relationships/hyperlink" Target="#'10 EVIDENCE &amp; DECISIONS'!A666" TargetMode="External" Id="rId1074"/><Relationship Type="http://schemas.openxmlformats.org/officeDocument/2006/relationships/hyperlink" Target="#'10 EVIDENCE &amp; DECISIONS'!A667" TargetMode="External" Id="rId1075"/><Relationship Type="http://schemas.openxmlformats.org/officeDocument/2006/relationships/hyperlink" Target="#'10 EVIDENCE &amp; DECISIONS'!A771" TargetMode="External" Id="rId1076"/><Relationship Type="http://schemas.openxmlformats.org/officeDocument/2006/relationships/hyperlink" Target="#'10 EVIDENCE &amp; DECISIONS'!A668" TargetMode="External" Id="rId1077"/><Relationship Type="http://schemas.openxmlformats.org/officeDocument/2006/relationships/hyperlink" Target="#'10 EVIDENCE &amp; DECISIONS'!A669" TargetMode="External" Id="rId1078"/><Relationship Type="http://schemas.openxmlformats.org/officeDocument/2006/relationships/hyperlink" Target="#'10 EVIDENCE &amp; DECISIONS'!A772" TargetMode="External" Id="rId1079"/><Relationship Type="http://schemas.openxmlformats.org/officeDocument/2006/relationships/hyperlink" Target="#'10 EVIDENCE &amp; DECISIONS'!A670" TargetMode="External" Id="rId1080"/><Relationship Type="http://schemas.openxmlformats.org/officeDocument/2006/relationships/hyperlink" Target="#'10 EVIDENCE &amp; DECISIONS'!A671" TargetMode="External" Id="rId1081"/><Relationship Type="http://schemas.openxmlformats.org/officeDocument/2006/relationships/hyperlink" Target="#'10 EVIDENCE &amp; DECISIONS'!A773" TargetMode="External" Id="rId1082"/><Relationship Type="http://schemas.openxmlformats.org/officeDocument/2006/relationships/hyperlink" Target="#'10 EVIDENCE &amp; DECISIONS'!A672" TargetMode="External" Id="rId1083"/><Relationship Type="http://schemas.openxmlformats.org/officeDocument/2006/relationships/hyperlink" Target="#'10 EVIDENCE &amp; DECISIONS'!A673" TargetMode="External" Id="rId1084"/><Relationship Type="http://schemas.openxmlformats.org/officeDocument/2006/relationships/hyperlink" Target="#'10 EVIDENCE &amp; DECISIONS'!A774" TargetMode="External" Id="rId1085"/><Relationship Type="http://schemas.openxmlformats.org/officeDocument/2006/relationships/hyperlink" Target="#'10 EVIDENCE &amp; DECISIONS'!A674" TargetMode="External" Id="rId1086"/><Relationship Type="http://schemas.openxmlformats.org/officeDocument/2006/relationships/hyperlink" Target="#'10 EVIDENCE &amp; DECISIONS'!A675" TargetMode="External" Id="rId1087"/><Relationship Type="http://schemas.openxmlformats.org/officeDocument/2006/relationships/hyperlink" Target="#'10 EVIDENCE &amp; DECISIONS'!A775" TargetMode="External" Id="rId1088"/><Relationship Type="http://schemas.openxmlformats.org/officeDocument/2006/relationships/hyperlink" Target="#'10 EVIDENCE &amp; DECISIONS'!A825" TargetMode="External" Id="rId1089"/><Relationship Type="http://schemas.openxmlformats.org/officeDocument/2006/relationships/hyperlink" Target="#'10 EVIDENCE &amp; DECISIONS'!A826" TargetMode="External" Id="rId1090"/><Relationship Type="http://schemas.openxmlformats.org/officeDocument/2006/relationships/hyperlink" Target="#'10 EVIDENCE &amp; DECISIONS'!A1367" TargetMode="External" Id="rId1091"/><Relationship Type="http://schemas.openxmlformats.org/officeDocument/2006/relationships/hyperlink" Target="#'10 EVIDENCE &amp; DECISIONS'!A827" TargetMode="External" Id="rId1092"/><Relationship Type="http://schemas.openxmlformats.org/officeDocument/2006/relationships/hyperlink" Target="#'10 EVIDENCE &amp; DECISIONS'!A828" TargetMode="External" Id="rId1093"/><Relationship Type="http://schemas.openxmlformats.org/officeDocument/2006/relationships/hyperlink" Target="#'10 EVIDENCE &amp; DECISIONS'!A985" TargetMode="External" Id="rId1094"/><Relationship Type="http://schemas.openxmlformats.org/officeDocument/2006/relationships/hyperlink" Target="#'10 EVIDENCE &amp; DECISIONS'!A829" TargetMode="External" Id="rId1095"/><Relationship Type="http://schemas.openxmlformats.org/officeDocument/2006/relationships/hyperlink" Target="#'10 EVIDENCE &amp; DECISIONS'!A830" TargetMode="External" Id="rId1096"/><Relationship Type="http://schemas.openxmlformats.org/officeDocument/2006/relationships/hyperlink" Target="#'10 EVIDENCE &amp; DECISIONS'!A986" TargetMode="External" Id="rId1097"/><Relationship Type="http://schemas.openxmlformats.org/officeDocument/2006/relationships/hyperlink" Target="#'10 EVIDENCE &amp; DECISIONS'!A831" TargetMode="External" Id="rId1098"/><Relationship Type="http://schemas.openxmlformats.org/officeDocument/2006/relationships/hyperlink" Target="#'10 EVIDENCE &amp; DECISIONS'!A832" TargetMode="External" Id="rId1099"/><Relationship Type="http://schemas.openxmlformats.org/officeDocument/2006/relationships/hyperlink" Target="#'10 EVIDENCE &amp; DECISIONS'!A987" TargetMode="External" Id="rId1100"/><Relationship Type="http://schemas.openxmlformats.org/officeDocument/2006/relationships/hyperlink" Target="#'10 EVIDENCE &amp; DECISIONS'!A833" TargetMode="External" Id="rId1101"/><Relationship Type="http://schemas.openxmlformats.org/officeDocument/2006/relationships/hyperlink" Target="#'10 EVIDENCE &amp; DECISIONS'!A834" TargetMode="External" Id="rId1102"/><Relationship Type="http://schemas.openxmlformats.org/officeDocument/2006/relationships/hyperlink" Target="#'10 EVIDENCE &amp; DECISIONS'!A988" TargetMode="External" Id="rId1103"/><Relationship Type="http://schemas.openxmlformats.org/officeDocument/2006/relationships/hyperlink" Target="#'10 EVIDENCE &amp; DECISIONS'!A835" TargetMode="External" Id="rId1104"/><Relationship Type="http://schemas.openxmlformats.org/officeDocument/2006/relationships/hyperlink" Target="#'10 EVIDENCE &amp; DECISIONS'!A836" TargetMode="External" Id="rId1105"/><Relationship Type="http://schemas.openxmlformats.org/officeDocument/2006/relationships/hyperlink" Target="#'10 EVIDENCE &amp; DECISIONS'!A989" TargetMode="External" Id="rId1106"/><Relationship Type="http://schemas.openxmlformats.org/officeDocument/2006/relationships/hyperlink" Target="#'10 EVIDENCE &amp; DECISIONS'!A837" TargetMode="External" Id="rId1107"/><Relationship Type="http://schemas.openxmlformats.org/officeDocument/2006/relationships/hyperlink" Target="#'10 EVIDENCE &amp; DECISIONS'!A838" TargetMode="External" Id="rId1108"/><Relationship Type="http://schemas.openxmlformats.org/officeDocument/2006/relationships/hyperlink" Target="#'10 EVIDENCE &amp; DECISIONS'!A990" TargetMode="External" Id="rId1109"/><Relationship Type="http://schemas.openxmlformats.org/officeDocument/2006/relationships/hyperlink" Target="#'10 EVIDENCE &amp; DECISIONS'!A839" TargetMode="External" Id="rId1110"/><Relationship Type="http://schemas.openxmlformats.org/officeDocument/2006/relationships/hyperlink" Target="#'10 EVIDENCE &amp; DECISIONS'!A840" TargetMode="External" Id="rId1111"/><Relationship Type="http://schemas.openxmlformats.org/officeDocument/2006/relationships/hyperlink" Target="#'10 EVIDENCE &amp; DECISIONS'!A991" TargetMode="External" Id="rId1112"/><Relationship Type="http://schemas.openxmlformats.org/officeDocument/2006/relationships/hyperlink" Target="#'10 EVIDENCE &amp; DECISIONS'!A841" TargetMode="External" Id="rId1113"/><Relationship Type="http://schemas.openxmlformats.org/officeDocument/2006/relationships/hyperlink" Target="#'10 EVIDENCE &amp; DECISIONS'!A842" TargetMode="External" Id="rId1114"/><Relationship Type="http://schemas.openxmlformats.org/officeDocument/2006/relationships/hyperlink" Target="#'10 EVIDENCE &amp; DECISIONS'!A992" TargetMode="External" Id="rId1115"/><Relationship Type="http://schemas.openxmlformats.org/officeDocument/2006/relationships/hyperlink" Target="#'10 EVIDENCE &amp; DECISIONS'!A843" TargetMode="External" Id="rId1116"/><Relationship Type="http://schemas.openxmlformats.org/officeDocument/2006/relationships/hyperlink" Target="#'10 EVIDENCE &amp; DECISIONS'!A844" TargetMode="External" Id="rId1117"/><Relationship Type="http://schemas.openxmlformats.org/officeDocument/2006/relationships/hyperlink" Target="#'10 EVIDENCE &amp; DECISIONS'!A993" TargetMode="External" Id="rId1118"/><Relationship Type="http://schemas.openxmlformats.org/officeDocument/2006/relationships/hyperlink" Target="#'10 EVIDENCE &amp; DECISIONS'!A845" TargetMode="External" Id="rId1119"/><Relationship Type="http://schemas.openxmlformats.org/officeDocument/2006/relationships/hyperlink" Target="#'10 EVIDENCE &amp; DECISIONS'!A846" TargetMode="External" Id="rId1120"/><Relationship Type="http://schemas.openxmlformats.org/officeDocument/2006/relationships/hyperlink" Target="#'10 EVIDENCE &amp; DECISIONS'!A994" TargetMode="External" Id="rId1121"/><Relationship Type="http://schemas.openxmlformats.org/officeDocument/2006/relationships/hyperlink" Target="#'10 EVIDENCE &amp; DECISIONS'!A847" TargetMode="External" Id="rId1122"/><Relationship Type="http://schemas.openxmlformats.org/officeDocument/2006/relationships/hyperlink" Target="#'10 EVIDENCE &amp; DECISIONS'!A848" TargetMode="External" Id="rId1123"/><Relationship Type="http://schemas.openxmlformats.org/officeDocument/2006/relationships/hyperlink" Target="#'10 EVIDENCE &amp; DECISIONS'!A995" TargetMode="External" Id="rId1124"/><Relationship Type="http://schemas.openxmlformats.org/officeDocument/2006/relationships/hyperlink" Target="#'10 EVIDENCE &amp; DECISIONS'!A849" TargetMode="External" Id="rId1125"/><Relationship Type="http://schemas.openxmlformats.org/officeDocument/2006/relationships/hyperlink" Target="#'10 EVIDENCE &amp; DECISIONS'!A850" TargetMode="External" Id="rId1126"/><Relationship Type="http://schemas.openxmlformats.org/officeDocument/2006/relationships/hyperlink" Target="#'10 EVIDENCE &amp; DECISIONS'!A996" TargetMode="External" Id="rId1127"/><Relationship Type="http://schemas.openxmlformats.org/officeDocument/2006/relationships/hyperlink" Target="#'10 EVIDENCE &amp; DECISIONS'!A851" TargetMode="External" Id="rId1128"/><Relationship Type="http://schemas.openxmlformats.org/officeDocument/2006/relationships/hyperlink" Target="#'10 EVIDENCE &amp; DECISIONS'!A852" TargetMode="External" Id="rId1129"/><Relationship Type="http://schemas.openxmlformats.org/officeDocument/2006/relationships/hyperlink" Target="#'10 EVIDENCE &amp; DECISIONS'!A997" TargetMode="External" Id="rId1130"/><Relationship Type="http://schemas.openxmlformats.org/officeDocument/2006/relationships/hyperlink" Target="#'10 EVIDENCE &amp; DECISIONS'!A853" TargetMode="External" Id="rId1131"/><Relationship Type="http://schemas.openxmlformats.org/officeDocument/2006/relationships/hyperlink" Target="#'10 EVIDENCE &amp; DECISIONS'!A854" TargetMode="External" Id="rId1132"/><Relationship Type="http://schemas.openxmlformats.org/officeDocument/2006/relationships/hyperlink" Target="#'10 EVIDENCE &amp; DECISIONS'!A998" TargetMode="External" Id="rId1133"/><Relationship Type="http://schemas.openxmlformats.org/officeDocument/2006/relationships/hyperlink" Target="#'10 EVIDENCE &amp; DECISIONS'!A855" TargetMode="External" Id="rId1134"/><Relationship Type="http://schemas.openxmlformats.org/officeDocument/2006/relationships/hyperlink" Target="#'10 EVIDENCE &amp; DECISIONS'!A856" TargetMode="External" Id="rId1135"/><Relationship Type="http://schemas.openxmlformats.org/officeDocument/2006/relationships/hyperlink" Target="#'10 EVIDENCE &amp; DECISIONS'!A999" TargetMode="External" Id="rId1136"/><Relationship Type="http://schemas.openxmlformats.org/officeDocument/2006/relationships/hyperlink" Target="#'10 EVIDENCE &amp; DECISIONS'!A857" TargetMode="External" Id="rId1137"/><Relationship Type="http://schemas.openxmlformats.org/officeDocument/2006/relationships/hyperlink" Target="#'10 EVIDENCE &amp; DECISIONS'!A858" TargetMode="External" Id="rId1138"/><Relationship Type="http://schemas.openxmlformats.org/officeDocument/2006/relationships/hyperlink" Target="#'10 EVIDENCE &amp; DECISIONS'!A1000" TargetMode="External" Id="rId1139"/><Relationship Type="http://schemas.openxmlformats.org/officeDocument/2006/relationships/hyperlink" Target="#'10 EVIDENCE &amp; DECISIONS'!A859" TargetMode="External" Id="rId1140"/><Relationship Type="http://schemas.openxmlformats.org/officeDocument/2006/relationships/hyperlink" Target="#'10 EVIDENCE &amp; DECISIONS'!A860" TargetMode="External" Id="rId1141"/><Relationship Type="http://schemas.openxmlformats.org/officeDocument/2006/relationships/hyperlink" Target="#'10 EVIDENCE &amp; DECISIONS'!A1001" TargetMode="External" Id="rId1142"/><Relationship Type="http://schemas.openxmlformats.org/officeDocument/2006/relationships/hyperlink" Target="#'10 EVIDENCE &amp; DECISIONS'!A861" TargetMode="External" Id="rId1143"/><Relationship Type="http://schemas.openxmlformats.org/officeDocument/2006/relationships/hyperlink" Target="#'10 EVIDENCE &amp; DECISIONS'!A862" TargetMode="External" Id="rId1144"/><Relationship Type="http://schemas.openxmlformats.org/officeDocument/2006/relationships/hyperlink" Target="#'10 EVIDENCE &amp; DECISIONS'!A1002" TargetMode="External" Id="rId1145"/><Relationship Type="http://schemas.openxmlformats.org/officeDocument/2006/relationships/hyperlink" Target="#'10 EVIDENCE &amp; DECISIONS'!A863" TargetMode="External" Id="rId1146"/><Relationship Type="http://schemas.openxmlformats.org/officeDocument/2006/relationships/hyperlink" Target="#'10 EVIDENCE &amp; DECISIONS'!A864" TargetMode="External" Id="rId1147"/><Relationship Type="http://schemas.openxmlformats.org/officeDocument/2006/relationships/hyperlink" Target="#'10 EVIDENCE &amp; DECISIONS'!A1003" TargetMode="External" Id="rId1148"/><Relationship Type="http://schemas.openxmlformats.org/officeDocument/2006/relationships/hyperlink" Target="#'10 EVIDENCE &amp; DECISIONS'!A865" TargetMode="External" Id="rId1149"/><Relationship Type="http://schemas.openxmlformats.org/officeDocument/2006/relationships/hyperlink" Target="#'10 EVIDENCE &amp; DECISIONS'!A866" TargetMode="External" Id="rId1150"/><Relationship Type="http://schemas.openxmlformats.org/officeDocument/2006/relationships/hyperlink" Target="#'10 EVIDENCE &amp; DECISIONS'!A1004" TargetMode="External" Id="rId1151"/><Relationship Type="http://schemas.openxmlformats.org/officeDocument/2006/relationships/hyperlink" Target="#'10 EVIDENCE &amp; DECISIONS'!A867" TargetMode="External" Id="rId1152"/><Relationship Type="http://schemas.openxmlformats.org/officeDocument/2006/relationships/hyperlink" Target="#'10 EVIDENCE &amp; DECISIONS'!A868" TargetMode="External" Id="rId1153"/><Relationship Type="http://schemas.openxmlformats.org/officeDocument/2006/relationships/hyperlink" Target="#'10 EVIDENCE &amp; DECISIONS'!A1005" TargetMode="External" Id="rId1154"/><Relationship Type="http://schemas.openxmlformats.org/officeDocument/2006/relationships/hyperlink" Target="#'10 EVIDENCE &amp; DECISIONS'!A869" TargetMode="External" Id="rId1155"/><Relationship Type="http://schemas.openxmlformats.org/officeDocument/2006/relationships/hyperlink" Target="#'10 EVIDENCE &amp; DECISIONS'!A870" TargetMode="External" Id="rId1156"/><Relationship Type="http://schemas.openxmlformats.org/officeDocument/2006/relationships/hyperlink" Target="#'10 EVIDENCE &amp; DECISIONS'!A1006" TargetMode="External" Id="rId1157"/><Relationship Type="http://schemas.openxmlformats.org/officeDocument/2006/relationships/hyperlink" Target="#'10 EVIDENCE &amp; DECISIONS'!A871" TargetMode="External" Id="rId1158"/><Relationship Type="http://schemas.openxmlformats.org/officeDocument/2006/relationships/hyperlink" Target="#'10 EVIDENCE &amp; DECISIONS'!A872" TargetMode="External" Id="rId1159"/><Relationship Type="http://schemas.openxmlformats.org/officeDocument/2006/relationships/hyperlink" Target="#'10 EVIDENCE &amp; DECISIONS'!A1007" TargetMode="External" Id="rId1160"/><Relationship Type="http://schemas.openxmlformats.org/officeDocument/2006/relationships/hyperlink" Target="#'10 EVIDENCE &amp; DECISIONS'!A873" TargetMode="External" Id="rId1161"/><Relationship Type="http://schemas.openxmlformats.org/officeDocument/2006/relationships/hyperlink" Target="#'10 EVIDENCE &amp; DECISIONS'!A874" TargetMode="External" Id="rId1162"/><Relationship Type="http://schemas.openxmlformats.org/officeDocument/2006/relationships/hyperlink" Target="#'10 EVIDENCE &amp; DECISIONS'!A1008" TargetMode="External" Id="rId1163"/><Relationship Type="http://schemas.openxmlformats.org/officeDocument/2006/relationships/hyperlink" Target="#'10 EVIDENCE &amp; DECISIONS'!A875" TargetMode="External" Id="rId1164"/><Relationship Type="http://schemas.openxmlformats.org/officeDocument/2006/relationships/hyperlink" Target="#'10 EVIDENCE &amp; DECISIONS'!A876" TargetMode="External" Id="rId1165"/><Relationship Type="http://schemas.openxmlformats.org/officeDocument/2006/relationships/hyperlink" Target="#'10 EVIDENCE &amp; DECISIONS'!A1009" TargetMode="External" Id="rId1166"/><Relationship Type="http://schemas.openxmlformats.org/officeDocument/2006/relationships/hyperlink" Target="#'10 EVIDENCE &amp; DECISIONS'!A877" TargetMode="External" Id="rId1167"/><Relationship Type="http://schemas.openxmlformats.org/officeDocument/2006/relationships/hyperlink" Target="#'10 EVIDENCE &amp; DECISIONS'!A878" TargetMode="External" Id="rId1168"/><Relationship Type="http://schemas.openxmlformats.org/officeDocument/2006/relationships/hyperlink" Target="#'10 EVIDENCE &amp; DECISIONS'!A1010" TargetMode="External" Id="rId1169"/><Relationship Type="http://schemas.openxmlformats.org/officeDocument/2006/relationships/hyperlink" Target="#'10 EVIDENCE &amp; DECISIONS'!A879" TargetMode="External" Id="rId1170"/><Relationship Type="http://schemas.openxmlformats.org/officeDocument/2006/relationships/hyperlink" Target="#'10 EVIDENCE &amp; DECISIONS'!A880" TargetMode="External" Id="rId1171"/><Relationship Type="http://schemas.openxmlformats.org/officeDocument/2006/relationships/hyperlink" Target="#'10 EVIDENCE &amp; DECISIONS'!A1011" TargetMode="External" Id="rId1172"/><Relationship Type="http://schemas.openxmlformats.org/officeDocument/2006/relationships/hyperlink" Target="#'10 EVIDENCE &amp; DECISIONS'!A881" TargetMode="External" Id="rId1173"/><Relationship Type="http://schemas.openxmlformats.org/officeDocument/2006/relationships/hyperlink" Target="#'10 EVIDENCE &amp; DECISIONS'!A882" TargetMode="External" Id="rId1174"/><Relationship Type="http://schemas.openxmlformats.org/officeDocument/2006/relationships/hyperlink" Target="#'10 EVIDENCE &amp; DECISIONS'!A1012" TargetMode="External" Id="rId1175"/><Relationship Type="http://schemas.openxmlformats.org/officeDocument/2006/relationships/hyperlink" Target="#'10 EVIDENCE &amp; DECISIONS'!A883" TargetMode="External" Id="rId1176"/><Relationship Type="http://schemas.openxmlformats.org/officeDocument/2006/relationships/hyperlink" Target="#'10 EVIDENCE &amp; DECISIONS'!A884" TargetMode="External" Id="rId1177"/><Relationship Type="http://schemas.openxmlformats.org/officeDocument/2006/relationships/hyperlink" Target="#'10 EVIDENCE &amp; DECISIONS'!A1013" TargetMode="External" Id="rId1178"/><Relationship Type="http://schemas.openxmlformats.org/officeDocument/2006/relationships/hyperlink" Target="#'10 EVIDENCE &amp; DECISIONS'!A885" TargetMode="External" Id="rId1179"/><Relationship Type="http://schemas.openxmlformats.org/officeDocument/2006/relationships/hyperlink" Target="#'10 EVIDENCE &amp; DECISIONS'!A886" TargetMode="External" Id="rId1180"/><Relationship Type="http://schemas.openxmlformats.org/officeDocument/2006/relationships/hyperlink" Target="#'10 EVIDENCE &amp; DECISIONS'!A1014" TargetMode="External" Id="rId1181"/><Relationship Type="http://schemas.openxmlformats.org/officeDocument/2006/relationships/hyperlink" Target="#'10 EVIDENCE &amp; DECISIONS'!A887" TargetMode="External" Id="rId1182"/><Relationship Type="http://schemas.openxmlformats.org/officeDocument/2006/relationships/hyperlink" Target="#'10 EVIDENCE &amp; DECISIONS'!A888" TargetMode="External" Id="rId1183"/><Relationship Type="http://schemas.openxmlformats.org/officeDocument/2006/relationships/hyperlink" Target="#'10 EVIDENCE &amp; DECISIONS'!A1015" TargetMode="External" Id="rId1184"/><Relationship Type="http://schemas.openxmlformats.org/officeDocument/2006/relationships/hyperlink" Target="#'10 EVIDENCE &amp; DECISIONS'!A889" TargetMode="External" Id="rId1185"/><Relationship Type="http://schemas.openxmlformats.org/officeDocument/2006/relationships/hyperlink" Target="#'10 EVIDENCE &amp; DECISIONS'!A890" TargetMode="External" Id="rId1186"/><Relationship Type="http://schemas.openxmlformats.org/officeDocument/2006/relationships/hyperlink" Target="#'10 EVIDENCE &amp; DECISIONS'!A1016" TargetMode="External" Id="rId1187"/><Relationship Type="http://schemas.openxmlformats.org/officeDocument/2006/relationships/hyperlink" Target="#'10 EVIDENCE &amp; DECISIONS'!A891" TargetMode="External" Id="rId1188"/><Relationship Type="http://schemas.openxmlformats.org/officeDocument/2006/relationships/hyperlink" Target="#'10 EVIDENCE &amp; DECISIONS'!A892" TargetMode="External" Id="rId1189"/><Relationship Type="http://schemas.openxmlformats.org/officeDocument/2006/relationships/hyperlink" Target="#'10 EVIDENCE &amp; DECISIONS'!A1017" TargetMode="External" Id="rId1190"/><Relationship Type="http://schemas.openxmlformats.org/officeDocument/2006/relationships/hyperlink" Target="#'10 EVIDENCE &amp; DECISIONS'!A893" TargetMode="External" Id="rId1191"/><Relationship Type="http://schemas.openxmlformats.org/officeDocument/2006/relationships/hyperlink" Target="#'10 EVIDENCE &amp; DECISIONS'!A894" TargetMode="External" Id="rId1192"/><Relationship Type="http://schemas.openxmlformats.org/officeDocument/2006/relationships/hyperlink" Target="#'10 EVIDENCE &amp; DECISIONS'!A1018" TargetMode="External" Id="rId1193"/><Relationship Type="http://schemas.openxmlformats.org/officeDocument/2006/relationships/hyperlink" Target="#'10 EVIDENCE &amp; DECISIONS'!A895" TargetMode="External" Id="rId1194"/><Relationship Type="http://schemas.openxmlformats.org/officeDocument/2006/relationships/hyperlink" Target="#'10 EVIDENCE &amp; DECISIONS'!A896" TargetMode="External" Id="rId1195"/><Relationship Type="http://schemas.openxmlformats.org/officeDocument/2006/relationships/hyperlink" Target="#'10 EVIDENCE &amp; DECISIONS'!A1019" TargetMode="External" Id="rId1196"/><Relationship Type="http://schemas.openxmlformats.org/officeDocument/2006/relationships/hyperlink" Target="#'10 EVIDENCE &amp; DECISIONS'!A897" TargetMode="External" Id="rId1197"/><Relationship Type="http://schemas.openxmlformats.org/officeDocument/2006/relationships/hyperlink" Target="#'10 EVIDENCE &amp; DECISIONS'!A898" TargetMode="External" Id="rId1198"/><Relationship Type="http://schemas.openxmlformats.org/officeDocument/2006/relationships/hyperlink" Target="#'10 EVIDENCE &amp; DECISIONS'!A1020" TargetMode="External" Id="rId1199"/><Relationship Type="http://schemas.openxmlformats.org/officeDocument/2006/relationships/hyperlink" Target="#'10 EVIDENCE &amp; DECISIONS'!A899" TargetMode="External" Id="rId1200"/><Relationship Type="http://schemas.openxmlformats.org/officeDocument/2006/relationships/hyperlink" Target="#'10 EVIDENCE &amp; DECISIONS'!A900" TargetMode="External" Id="rId1201"/><Relationship Type="http://schemas.openxmlformats.org/officeDocument/2006/relationships/hyperlink" Target="#'10 EVIDENCE &amp; DECISIONS'!A1021" TargetMode="External" Id="rId1202"/><Relationship Type="http://schemas.openxmlformats.org/officeDocument/2006/relationships/hyperlink" Target="#'10 EVIDENCE &amp; DECISIONS'!A901" TargetMode="External" Id="rId1203"/><Relationship Type="http://schemas.openxmlformats.org/officeDocument/2006/relationships/hyperlink" Target="#'10 EVIDENCE &amp; DECISIONS'!A902" TargetMode="External" Id="rId1204"/><Relationship Type="http://schemas.openxmlformats.org/officeDocument/2006/relationships/hyperlink" Target="#'10 EVIDENCE &amp; DECISIONS'!A1022" TargetMode="External" Id="rId1205"/><Relationship Type="http://schemas.openxmlformats.org/officeDocument/2006/relationships/hyperlink" Target="#'10 EVIDENCE &amp; DECISIONS'!A903" TargetMode="External" Id="rId1206"/><Relationship Type="http://schemas.openxmlformats.org/officeDocument/2006/relationships/hyperlink" Target="#'10 EVIDENCE &amp; DECISIONS'!A904" TargetMode="External" Id="rId1207"/><Relationship Type="http://schemas.openxmlformats.org/officeDocument/2006/relationships/hyperlink" Target="#'10 EVIDENCE &amp; DECISIONS'!A1023" TargetMode="External" Id="rId1208"/><Relationship Type="http://schemas.openxmlformats.org/officeDocument/2006/relationships/hyperlink" Target="#'10 EVIDENCE &amp; DECISIONS'!A905" TargetMode="External" Id="rId1209"/><Relationship Type="http://schemas.openxmlformats.org/officeDocument/2006/relationships/hyperlink" Target="#'10 EVIDENCE &amp; DECISIONS'!A906" TargetMode="External" Id="rId1210"/><Relationship Type="http://schemas.openxmlformats.org/officeDocument/2006/relationships/hyperlink" Target="#'10 EVIDENCE &amp; DECISIONS'!A1024" TargetMode="External" Id="rId1211"/><Relationship Type="http://schemas.openxmlformats.org/officeDocument/2006/relationships/hyperlink" Target="#'10 EVIDENCE &amp; DECISIONS'!A907" TargetMode="External" Id="rId1212"/><Relationship Type="http://schemas.openxmlformats.org/officeDocument/2006/relationships/hyperlink" Target="#'10 EVIDENCE &amp; DECISIONS'!A908" TargetMode="External" Id="rId1213"/><Relationship Type="http://schemas.openxmlformats.org/officeDocument/2006/relationships/hyperlink" Target="#'10 EVIDENCE &amp; DECISIONS'!A1025" TargetMode="External" Id="rId1214"/><Relationship Type="http://schemas.openxmlformats.org/officeDocument/2006/relationships/hyperlink" Target="#'10 EVIDENCE &amp; DECISIONS'!A909" TargetMode="External" Id="rId1215"/><Relationship Type="http://schemas.openxmlformats.org/officeDocument/2006/relationships/hyperlink" Target="#'10 EVIDENCE &amp; DECISIONS'!A910" TargetMode="External" Id="rId1216"/><Relationship Type="http://schemas.openxmlformats.org/officeDocument/2006/relationships/hyperlink" Target="#'10 EVIDENCE &amp; DECISIONS'!A1026" TargetMode="External" Id="rId1217"/><Relationship Type="http://schemas.openxmlformats.org/officeDocument/2006/relationships/hyperlink" Target="#'10 EVIDENCE &amp; DECISIONS'!A911" TargetMode="External" Id="rId1218"/><Relationship Type="http://schemas.openxmlformats.org/officeDocument/2006/relationships/hyperlink" Target="#'10 EVIDENCE &amp; DECISIONS'!A912" TargetMode="External" Id="rId1219"/><Relationship Type="http://schemas.openxmlformats.org/officeDocument/2006/relationships/hyperlink" Target="#'10 EVIDENCE &amp; DECISIONS'!A1027" TargetMode="External" Id="rId1220"/><Relationship Type="http://schemas.openxmlformats.org/officeDocument/2006/relationships/hyperlink" Target="#'10 EVIDENCE &amp; DECISIONS'!A913" TargetMode="External" Id="rId1221"/><Relationship Type="http://schemas.openxmlformats.org/officeDocument/2006/relationships/hyperlink" Target="#'10 EVIDENCE &amp; DECISIONS'!A914" TargetMode="External" Id="rId1222"/><Relationship Type="http://schemas.openxmlformats.org/officeDocument/2006/relationships/hyperlink" Target="#'10 EVIDENCE &amp; DECISIONS'!A1028" TargetMode="External" Id="rId1223"/><Relationship Type="http://schemas.openxmlformats.org/officeDocument/2006/relationships/hyperlink" Target="#'10 EVIDENCE &amp; DECISIONS'!A915" TargetMode="External" Id="rId1224"/><Relationship Type="http://schemas.openxmlformats.org/officeDocument/2006/relationships/hyperlink" Target="#'10 EVIDENCE &amp; DECISIONS'!A916" TargetMode="External" Id="rId1225"/><Relationship Type="http://schemas.openxmlformats.org/officeDocument/2006/relationships/hyperlink" Target="#'10 EVIDENCE &amp; DECISIONS'!A1029" TargetMode="External" Id="rId1226"/><Relationship Type="http://schemas.openxmlformats.org/officeDocument/2006/relationships/hyperlink" Target="#'10 EVIDENCE &amp; DECISIONS'!A917" TargetMode="External" Id="rId1227"/><Relationship Type="http://schemas.openxmlformats.org/officeDocument/2006/relationships/hyperlink" Target="#'10 EVIDENCE &amp; DECISIONS'!A918" TargetMode="External" Id="rId1228"/><Relationship Type="http://schemas.openxmlformats.org/officeDocument/2006/relationships/hyperlink" Target="#'10 EVIDENCE &amp; DECISIONS'!A1030" TargetMode="External" Id="rId1229"/><Relationship Type="http://schemas.openxmlformats.org/officeDocument/2006/relationships/hyperlink" Target="#'10 EVIDENCE &amp; DECISIONS'!A919" TargetMode="External" Id="rId1230"/><Relationship Type="http://schemas.openxmlformats.org/officeDocument/2006/relationships/hyperlink" Target="#'10 EVIDENCE &amp; DECISIONS'!A920" TargetMode="External" Id="rId1231"/><Relationship Type="http://schemas.openxmlformats.org/officeDocument/2006/relationships/hyperlink" Target="#'10 EVIDENCE &amp; DECISIONS'!A1031" TargetMode="External" Id="rId1232"/><Relationship Type="http://schemas.openxmlformats.org/officeDocument/2006/relationships/hyperlink" Target="#'10 EVIDENCE &amp; DECISIONS'!A921" TargetMode="External" Id="rId1233"/><Relationship Type="http://schemas.openxmlformats.org/officeDocument/2006/relationships/hyperlink" Target="#'10 EVIDENCE &amp; DECISIONS'!A922" TargetMode="External" Id="rId1234"/><Relationship Type="http://schemas.openxmlformats.org/officeDocument/2006/relationships/hyperlink" Target="#'10 EVIDENCE &amp; DECISIONS'!A1032" TargetMode="External" Id="rId1235"/><Relationship Type="http://schemas.openxmlformats.org/officeDocument/2006/relationships/hyperlink" Target="#'10 EVIDENCE &amp; DECISIONS'!A923" TargetMode="External" Id="rId1236"/><Relationship Type="http://schemas.openxmlformats.org/officeDocument/2006/relationships/hyperlink" Target="#'10 EVIDENCE &amp; DECISIONS'!A924" TargetMode="External" Id="rId1237"/><Relationship Type="http://schemas.openxmlformats.org/officeDocument/2006/relationships/hyperlink" Target="#'10 EVIDENCE &amp; DECISIONS'!A1033" TargetMode="External" Id="rId1238"/><Relationship Type="http://schemas.openxmlformats.org/officeDocument/2006/relationships/hyperlink" Target="#'10 EVIDENCE &amp; DECISIONS'!A925" TargetMode="External" Id="rId1239"/><Relationship Type="http://schemas.openxmlformats.org/officeDocument/2006/relationships/hyperlink" Target="#'10 EVIDENCE &amp; DECISIONS'!A926" TargetMode="External" Id="rId1240"/><Relationship Type="http://schemas.openxmlformats.org/officeDocument/2006/relationships/hyperlink" Target="#'10 EVIDENCE &amp; DECISIONS'!A1034" TargetMode="External" Id="rId1241"/><Relationship Type="http://schemas.openxmlformats.org/officeDocument/2006/relationships/hyperlink" Target="#'10 EVIDENCE &amp; DECISIONS'!A927" TargetMode="External" Id="rId1242"/><Relationship Type="http://schemas.openxmlformats.org/officeDocument/2006/relationships/hyperlink" Target="#'10 EVIDENCE &amp; DECISIONS'!A928" TargetMode="External" Id="rId1243"/><Relationship Type="http://schemas.openxmlformats.org/officeDocument/2006/relationships/hyperlink" Target="#'10 EVIDENCE &amp; DECISIONS'!A1035" TargetMode="External" Id="rId1244"/><Relationship Type="http://schemas.openxmlformats.org/officeDocument/2006/relationships/hyperlink" Target="#'10 EVIDENCE &amp; DECISIONS'!A929" TargetMode="External" Id="rId1245"/><Relationship Type="http://schemas.openxmlformats.org/officeDocument/2006/relationships/hyperlink" Target="#'10 EVIDENCE &amp; DECISIONS'!A930" TargetMode="External" Id="rId1246"/><Relationship Type="http://schemas.openxmlformats.org/officeDocument/2006/relationships/hyperlink" Target="#'10 EVIDENCE &amp; DECISIONS'!A1036" TargetMode="External" Id="rId1247"/><Relationship Type="http://schemas.openxmlformats.org/officeDocument/2006/relationships/hyperlink" Target="#'10 EVIDENCE &amp; DECISIONS'!A931" TargetMode="External" Id="rId1248"/><Relationship Type="http://schemas.openxmlformats.org/officeDocument/2006/relationships/hyperlink" Target="#'10 EVIDENCE &amp; DECISIONS'!A932" TargetMode="External" Id="rId1249"/><Relationship Type="http://schemas.openxmlformats.org/officeDocument/2006/relationships/hyperlink" Target="#'10 EVIDENCE &amp; DECISIONS'!A1037" TargetMode="External" Id="rId1250"/><Relationship Type="http://schemas.openxmlformats.org/officeDocument/2006/relationships/hyperlink" Target="#'10 EVIDENCE &amp; DECISIONS'!A933" TargetMode="External" Id="rId1251"/><Relationship Type="http://schemas.openxmlformats.org/officeDocument/2006/relationships/hyperlink" Target="#'10 EVIDENCE &amp; DECISIONS'!A934" TargetMode="External" Id="rId1252"/><Relationship Type="http://schemas.openxmlformats.org/officeDocument/2006/relationships/hyperlink" Target="#'10 EVIDENCE &amp; DECISIONS'!A1038" TargetMode="External" Id="rId1253"/><Relationship Type="http://schemas.openxmlformats.org/officeDocument/2006/relationships/hyperlink" Target="#'10 EVIDENCE &amp; DECISIONS'!A935" TargetMode="External" Id="rId1254"/><Relationship Type="http://schemas.openxmlformats.org/officeDocument/2006/relationships/hyperlink" Target="#'10 EVIDENCE &amp; DECISIONS'!A936" TargetMode="External" Id="rId1255"/><Relationship Type="http://schemas.openxmlformats.org/officeDocument/2006/relationships/hyperlink" Target="#'10 EVIDENCE &amp; DECISIONS'!A1039" TargetMode="External" Id="rId1256"/><Relationship Type="http://schemas.openxmlformats.org/officeDocument/2006/relationships/hyperlink" Target="#'10 EVIDENCE &amp; DECISIONS'!A937" TargetMode="External" Id="rId1257"/><Relationship Type="http://schemas.openxmlformats.org/officeDocument/2006/relationships/hyperlink" Target="#'10 EVIDENCE &amp; DECISIONS'!A938" TargetMode="External" Id="rId1258"/><Relationship Type="http://schemas.openxmlformats.org/officeDocument/2006/relationships/hyperlink" Target="#'10 EVIDENCE &amp; DECISIONS'!A1040" TargetMode="External" Id="rId1259"/><Relationship Type="http://schemas.openxmlformats.org/officeDocument/2006/relationships/hyperlink" Target="#'10 EVIDENCE &amp; DECISIONS'!A939" TargetMode="External" Id="rId1260"/><Relationship Type="http://schemas.openxmlformats.org/officeDocument/2006/relationships/hyperlink" Target="#'10 EVIDENCE &amp; DECISIONS'!A940" TargetMode="External" Id="rId1261"/><Relationship Type="http://schemas.openxmlformats.org/officeDocument/2006/relationships/hyperlink" Target="#'10 EVIDENCE &amp; DECISIONS'!A1041" TargetMode="External" Id="rId1262"/><Relationship Type="http://schemas.openxmlformats.org/officeDocument/2006/relationships/hyperlink" Target="#'10 EVIDENCE &amp; DECISIONS'!A941" TargetMode="External" Id="rId1263"/><Relationship Type="http://schemas.openxmlformats.org/officeDocument/2006/relationships/hyperlink" Target="#'10 EVIDENCE &amp; DECISIONS'!A942" TargetMode="External" Id="rId1264"/><Relationship Type="http://schemas.openxmlformats.org/officeDocument/2006/relationships/hyperlink" Target="#'10 EVIDENCE &amp; DECISIONS'!A1042" TargetMode="External" Id="rId1265"/><Relationship Type="http://schemas.openxmlformats.org/officeDocument/2006/relationships/hyperlink" Target="#'10 EVIDENCE &amp; DECISIONS'!A943" TargetMode="External" Id="rId1266"/><Relationship Type="http://schemas.openxmlformats.org/officeDocument/2006/relationships/hyperlink" Target="#'10 EVIDENCE &amp; DECISIONS'!A944" TargetMode="External" Id="rId1267"/><Relationship Type="http://schemas.openxmlformats.org/officeDocument/2006/relationships/hyperlink" Target="#'10 EVIDENCE &amp; DECISIONS'!A1043" TargetMode="External" Id="rId1268"/><Relationship Type="http://schemas.openxmlformats.org/officeDocument/2006/relationships/hyperlink" Target="#'10 EVIDENCE &amp; DECISIONS'!A1094" TargetMode="External" Id="rId1269"/><Relationship Type="http://schemas.openxmlformats.org/officeDocument/2006/relationships/hyperlink" Target="#'10 EVIDENCE &amp; DECISIONS'!A1095" TargetMode="External" Id="rId1270"/><Relationship Type="http://schemas.openxmlformats.org/officeDocument/2006/relationships/hyperlink" Target="#'10 EVIDENCE &amp; DECISIONS'!A1214" TargetMode="External" Id="rId1271"/><Relationship Type="http://schemas.openxmlformats.org/officeDocument/2006/relationships/hyperlink" Target="#'10 EVIDENCE &amp; DECISIONS'!A1096" TargetMode="External" Id="rId1272"/><Relationship Type="http://schemas.openxmlformats.org/officeDocument/2006/relationships/hyperlink" Target="#'10 EVIDENCE &amp; DECISIONS'!A1097" TargetMode="External" Id="rId1273"/><Relationship Type="http://schemas.openxmlformats.org/officeDocument/2006/relationships/hyperlink" Target="#'10 EVIDENCE &amp; DECISIONS'!A1215" TargetMode="External" Id="rId1274"/><Relationship Type="http://schemas.openxmlformats.org/officeDocument/2006/relationships/hyperlink" Target="#'10 EVIDENCE &amp; DECISIONS'!A1098" TargetMode="External" Id="rId1275"/><Relationship Type="http://schemas.openxmlformats.org/officeDocument/2006/relationships/hyperlink" Target="#'10 EVIDENCE &amp; DECISIONS'!A1099" TargetMode="External" Id="rId1276"/><Relationship Type="http://schemas.openxmlformats.org/officeDocument/2006/relationships/hyperlink" Target="#'10 EVIDENCE &amp; DECISIONS'!A1216" TargetMode="External" Id="rId1277"/><Relationship Type="http://schemas.openxmlformats.org/officeDocument/2006/relationships/hyperlink" Target="#'10 EVIDENCE &amp; DECISIONS'!A1100" TargetMode="External" Id="rId1278"/><Relationship Type="http://schemas.openxmlformats.org/officeDocument/2006/relationships/hyperlink" Target="#'10 EVIDENCE &amp; DECISIONS'!A1101" TargetMode="External" Id="rId1279"/><Relationship Type="http://schemas.openxmlformats.org/officeDocument/2006/relationships/hyperlink" Target="#'10 EVIDENCE &amp; DECISIONS'!A1217" TargetMode="External" Id="rId1280"/><Relationship Type="http://schemas.openxmlformats.org/officeDocument/2006/relationships/hyperlink" Target="#'10 EVIDENCE &amp; DECISIONS'!A1102" TargetMode="External" Id="rId1281"/><Relationship Type="http://schemas.openxmlformats.org/officeDocument/2006/relationships/hyperlink" Target="#'10 EVIDENCE &amp; DECISIONS'!A1103" TargetMode="External" Id="rId1282"/><Relationship Type="http://schemas.openxmlformats.org/officeDocument/2006/relationships/hyperlink" Target="#'10 EVIDENCE &amp; DECISIONS'!A1218" TargetMode="External" Id="rId1283"/><Relationship Type="http://schemas.openxmlformats.org/officeDocument/2006/relationships/hyperlink" Target="#'10 EVIDENCE &amp; DECISIONS'!A1104" TargetMode="External" Id="rId1284"/><Relationship Type="http://schemas.openxmlformats.org/officeDocument/2006/relationships/hyperlink" Target="#'10 EVIDENCE &amp; DECISIONS'!A1105" TargetMode="External" Id="rId1285"/><Relationship Type="http://schemas.openxmlformats.org/officeDocument/2006/relationships/hyperlink" Target="#'10 EVIDENCE &amp; DECISIONS'!A1219" TargetMode="External" Id="rId1286"/><Relationship Type="http://schemas.openxmlformats.org/officeDocument/2006/relationships/hyperlink" Target="#'10 EVIDENCE &amp; DECISIONS'!A1106" TargetMode="External" Id="rId1287"/><Relationship Type="http://schemas.openxmlformats.org/officeDocument/2006/relationships/hyperlink" Target="#'10 EVIDENCE &amp; DECISIONS'!A1107" TargetMode="External" Id="rId1288"/><Relationship Type="http://schemas.openxmlformats.org/officeDocument/2006/relationships/hyperlink" Target="#'10 EVIDENCE &amp; DECISIONS'!A1220" TargetMode="External" Id="rId1289"/><Relationship Type="http://schemas.openxmlformats.org/officeDocument/2006/relationships/hyperlink" Target="#'10 EVIDENCE &amp; DECISIONS'!A1108" TargetMode="External" Id="rId1290"/><Relationship Type="http://schemas.openxmlformats.org/officeDocument/2006/relationships/hyperlink" Target="#'10 EVIDENCE &amp; DECISIONS'!A1109" TargetMode="External" Id="rId1291"/><Relationship Type="http://schemas.openxmlformats.org/officeDocument/2006/relationships/hyperlink" Target="#'10 EVIDENCE &amp; DECISIONS'!A1221" TargetMode="External" Id="rId1292"/><Relationship Type="http://schemas.openxmlformats.org/officeDocument/2006/relationships/hyperlink" Target="#'10 EVIDENCE &amp; DECISIONS'!A1110" TargetMode="External" Id="rId1293"/><Relationship Type="http://schemas.openxmlformats.org/officeDocument/2006/relationships/hyperlink" Target="#'10 EVIDENCE &amp; DECISIONS'!A1111" TargetMode="External" Id="rId1294"/><Relationship Type="http://schemas.openxmlformats.org/officeDocument/2006/relationships/hyperlink" Target="#'10 EVIDENCE &amp; DECISIONS'!A1222" TargetMode="External" Id="rId1295"/><Relationship Type="http://schemas.openxmlformats.org/officeDocument/2006/relationships/hyperlink" Target="#'10 EVIDENCE &amp; DECISIONS'!A1112" TargetMode="External" Id="rId1296"/><Relationship Type="http://schemas.openxmlformats.org/officeDocument/2006/relationships/hyperlink" Target="#'10 EVIDENCE &amp; DECISIONS'!A1113" TargetMode="External" Id="rId1297"/><Relationship Type="http://schemas.openxmlformats.org/officeDocument/2006/relationships/hyperlink" Target="#'10 EVIDENCE &amp; DECISIONS'!A1223" TargetMode="External" Id="rId1298"/><Relationship Type="http://schemas.openxmlformats.org/officeDocument/2006/relationships/hyperlink" Target="#'10 EVIDENCE &amp; DECISIONS'!A1114" TargetMode="External" Id="rId1299"/><Relationship Type="http://schemas.openxmlformats.org/officeDocument/2006/relationships/hyperlink" Target="#'10 EVIDENCE &amp; DECISIONS'!A1115" TargetMode="External" Id="rId1300"/><Relationship Type="http://schemas.openxmlformats.org/officeDocument/2006/relationships/hyperlink" Target="#'10 EVIDENCE &amp; DECISIONS'!A1224" TargetMode="External" Id="rId1301"/><Relationship Type="http://schemas.openxmlformats.org/officeDocument/2006/relationships/hyperlink" Target="#'10 EVIDENCE &amp; DECISIONS'!A1116" TargetMode="External" Id="rId1302"/><Relationship Type="http://schemas.openxmlformats.org/officeDocument/2006/relationships/hyperlink" Target="#'10 EVIDENCE &amp; DECISIONS'!A1117" TargetMode="External" Id="rId1303"/><Relationship Type="http://schemas.openxmlformats.org/officeDocument/2006/relationships/hyperlink" Target="#'10 EVIDENCE &amp; DECISIONS'!A1225" TargetMode="External" Id="rId1304"/><Relationship Type="http://schemas.openxmlformats.org/officeDocument/2006/relationships/hyperlink" Target="#'10 EVIDENCE &amp; DECISIONS'!A1118" TargetMode="External" Id="rId1305"/><Relationship Type="http://schemas.openxmlformats.org/officeDocument/2006/relationships/hyperlink" Target="#'10 EVIDENCE &amp; DECISIONS'!A1119" TargetMode="External" Id="rId1306"/><Relationship Type="http://schemas.openxmlformats.org/officeDocument/2006/relationships/hyperlink" Target="#'10 EVIDENCE &amp; DECISIONS'!A1226" TargetMode="External" Id="rId1307"/><Relationship Type="http://schemas.openxmlformats.org/officeDocument/2006/relationships/hyperlink" Target="#'10 EVIDENCE &amp; DECISIONS'!A1120" TargetMode="External" Id="rId1308"/><Relationship Type="http://schemas.openxmlformats.org/officeDocument/2006/relationships/hyperlink" Target="#'10 EVIDENCE &amp; DECISIONS'!A1121" TargetMode="External" Id="rId1309"/><Relationship Type="http://schemas.openxmlformats.org/officeDocument/2006/relationships/hyperlink" Target="#'10 EVIDENCE &amp; DECISIONS'!A1227" TargetMode="External" Id="rId1310"/><Relationship Type="http://schemas.openxmlformats.org/officeDocument/2006/relationships/hyperlink" Target="#'10 EVIDENCE &amp; DECISIONS'!A1122" TargetMode="External" Id="rId1311"/><Relationship Type="http://schemas.openxmlformats.org/officeDocument/2006/relationships/hyperlink" Target="#'10 EVIDENCE &amp; DECISIONS'!A1123" TargetMode="External" Id="rId1312"/><Relationship Type="http://schemas.openxmlformats.org/officeDocument/2006/relationships/hyperlink" Target="#'10 EVIDENCE &amp; DECISIONS'!A1228" TargetMode="External" Id="rId1313"/><Relationship Type="http://schemas.openxmlformats.org/officeDocument/2006/relationships/hyperlink" Target="#'10 EVIDENCE &amp; DECISIONS'!A1124" TargetMode="External" Id="rId1314"/><Relationship Type="http://schemas.openxmlformats.org/officeDocument/2006/relationships/hyperlink" Target="#'10 EVIDENCE &amp; DECISIONS'!A1125" TargetMode="External" Id="rId1315"/><Relationship Type="http://schemas.openxmlformats.org/officeDocument/2006/relationships/hyperlink" Target="#'10 EVIDENCE &amp; DECISIONS'!A1229" TargetMode="External" Id="rId1316"/><Relationship Type="http://schemas.openxmlformats.org/officeDocument/2006/relationships/hyperlink" Target="#'10 EVIDENCE &amp; DECISIONS'!A1126" TargetMode="External" Id="rId1317"/><Relationship Type="http://schemas.openxmlformats.org/officeDocument/2006/relationships/hyperlink" Target="#'10 EVIDENCE &amp; DECISIONS'!A1127" TargetMode="External" Id="rId1318"/><Relationship Type="http://schemas.openxmlformats.org/officeDocument/2006/relationships/hyperlink" Target="#'10 EVIDENCE &amp; DECISIONS'!A1230" TargetMode="External" Id="rId1319"/><Relationship Type="http://schemas.openxmlformats.org/officeDocument/2006/relationships/hyperlink" Target="#'10 EVIDENCE &amp; DECISIONS'!A1128" TargetMode="External" Id="rId1320"/><Relationship Type="http://schemas.openxmlformats.org/officeDocument/2006/relationships/hyperlink" Target="#'10 EVIDENCE &amp; DECISIONS'!A1129" TargetMode="External" Id="rId1321"/><Relationship Type="http://schemas.openxmlformats.org/officeDocument/2006/relationships/hyperlink" Target="#'10 EVIDENCE &amp; DECISIONS'!A1231" TargetMode="External" Id="rId1322"/><Relationship Type="http://schemas.openxmlformats.org/officeDocument/2006/relationships/hyperlink" Target="#'10 EVIDENCE &amp; DECISIONS'!A1130" TargetMode="External" Id="rId1323"/><Relationship Type="http://schemas.openxmlformats.org/officeDocument/2006/relationships/hyperlink" Target="#'10 EVIDENCE &amp; DECISIONS'!A1131" TargetMode="External" Id="rId1324"/><Relationship Type="http://schemas.openxmlformats.org/officeDocument/2006/relationships/hyperlink" Target="#'10 EVIDENCE &amp; DECISIONS'!A1232" TargetMode="External" Id="rId1325"/><Relationship Type="http://schemas.openxmlformats.org/officeDocument/2006/relationships/hyperlink" Target="#'10 EVIDENCE &amp; DECISIONS'!A1132" TargetMode="External" Id="rId1326"/><Relationship Type="http://schemas.openxmlformats.org/officeDocument/2006/relationships/hyperlink" Target="#'10 EVIDENCE &amp; DECISIONS'!A1133" TargetMode="External" Id="rId1327"/><Relationship Type="http://schemas.openxmlformats.org/officeDocument/2006/relationships/hyperlink" Target="#'10 EVIDENCE &amp; DECISIONS'!A1233" TargetMode="External" Id="rId1328"/><Relationship Type="http://schemas.openxmlformats.org/officeDocument/2006/relationships/hyperlink" Target="#'10 EVIDENCE &amp; DECISIONS'!A1134" TargetMode="External" Id="rId1329"/><Relationship Type="http://schemas.openxmlformats.org/officeDocument/2006/relationships/hyperlink" Target="#'10 EVIDENCE &amp; DECISIONS'!A1135" TargetMode="External" Id="rId1330"/><Relationship Type="http://schemas.openxmlformats.org/officeDocument/2006/relationships/hyperlink" Target="#'10 EVIDENCE &amp; DECISIONS'!A1234" TargetMode="External" Id="rId1331"/><Relationship Type="http://schemas.openxmlformats.org/officeDocument/2006/relationships/hyperlink" Target="#'10 EVIDENCE &amp; DECISIONS'!A1136" TargetMode="External" Id="rId1332"/><Relationship Type="http://schemas.openxmlformats.org/officeDocument/2006/relationships/hyperlink" Target="#'10 EVIDENCE &amp; DECISIONS'!A1137" TargetMode="External" Id="rId1333"/><Relationship Type="http://schemas.openxmlformats.org/officeDocument/2006/relationships/hyperlink" Target="#'10 EVIDENCE &amp; DECISIONS'!A1235" TargetMode="External" Id="rId1334"/><Relationship Type="http://schemas.openxmlformats.org/officeDocument/2006/relationships/hyperlink" Target="#'10 EVIDENCE &amp; DECISIONS'!A1138" TargetMode="External" Id="rId1335"/><Relationship Type="http://schemas.openxmlformats.org/officeDocument/2006/relationships/hyperlink" Target="#'10 EVIDENCE &amp; DECISIONS'!A1139" TargetMode="External" Id="rId1336"/><Relationship Type="http://schemas.openxmlformats.org/officeDocument/2006/relationships/hyperlink" Target="#'10 EVIDENCE &amp; DECISIONS'!A1236" TargetMode="External" Id="rId1337"/><Relationship Type="http://schemas.openxmlformats.org/officeDocument/2006/relationships/hyperlink" Target="#'10 EVIDENCE &amp; DECISIONS'!A1140" TargetMode="External" Id="rId1338"/><Relationship Type="http://schemas.openxmlformats.org/officeDocument/2006/relationships/hyperlink" Target="#'10 EVIDENCE &amp; DECISIONS'!A1141" TargetMode="External" Id="rId1339"/><Relationship Type="http://schemas.openxmlformats.org/officeDocument/2006/relationships/hyperlink" Target="#'10 EVIDENCE &amp; DECISIONS'!A1237" TargetMode="External" Id="rId1340"/><Relationship Type="http://schemas.openxmlformats.org/officeDocument/2006/relationships/hyperlink" Target="#'10 EVIDENCE &amp; DECISIONS'!A1142" TargetMode="External" Id="rId1341"/><Relationship Type="http://schemas.openxmlformats.org/officeDocument/2006/relationships/hyperlink" Target="#'10 EVIDENCE &amp; DECISIONS'!A1143" TargetMode="External" Id="rId1342"/><Relationship Type="http://schemas.openxmlformats.org/officeDocument/2006/relationships/hyperlink" Target="#'10 EVIDENCE &amp; DECISIONS'!A1238" TargetMode="External" Id="rId1343"/><Relationship Type="http://schemas.openxmlformats.org/officeDocument/2006/relationships/hyperlink" Target="#'10 EVIDENCE &amp; DECISIONS'!A1144" TargetMode="External" Id="rId1344"/><Relationship Type="http://schemas.openxmlformats.org/officeDocument/2006/relationships/hyperlink" Target="#'10 EVIDENCE &amp; DECISIONS'!A1145" TargetMode="External" Id="rId1345"/><Relationship Type="http://schemas.openxmlformats.org/officeDocument/2006/relationships/hyperlink" Target="#'10 EVIDENCE &amp; DECISIONS'!A1239" TargetMode="External" Id="rId1346"/><Relationship Type="http://schemas.openxmlformats.org/officeDocument/2006/relationships/hyperlink" Target="#'10 EVIDENCE &amp; DECISIONS'!A1146" TargetMode="External" Id="rId1347"/><Relationship Type="http://schemas.openxmlformats.org/officeDocument/2006/relationships/hyperlink" Target="#'10 EVIDENCE &amp; DECISIONS'!A1147" TargetMode="External" Id="rId1348"/><Relationship Type="http://schemas.openxmlformats.org/officeDocument/2006/relationships/hyperlink" Target="#'10 EVIDENCE &amp; DECISIONS'!A1240" TargetMode="External" Id="rId1349"/><Relationship Type="http://schemas.openxmlformats.org/officeDocument/2006/relationships/hyperlink" Target="#'10 EVIDENCE &amp; DECISIONS'!A1148" TargetMode="External" Id="rId1350"/><Relationship Type="http://schemas.openxmlformats.org/officeDocument/2006/relationships/hyperlink" Target="#'10 EVIDENCE &amp; DECISIONS'!A1149" TargetMode="External" Id="rId1351"/><Relationship Type="http://schemas.openxmlformats.org/officeDocument/2006/relationships/hyperlink" Target="#'10 EVIDENCE &amp; DECISIONS'!A1241" TargetMode="External" Id="rId1352"/><Relationship Type="http://schemas.openxmlformats.org/officeDocument/2006/relationships/hyperlink" Target="#'10 EVIDENCE &amp; DECISIONS'!A1150" TargetMode="External" Id="rId1353"/><Relationship Type="http://schemas.openxmlformats.org/officeDocument/2006/relationships/hyperlink" Target="#'10 EVIDENCE &amp; DECISIONS'!A1151" TargetMode="External" Id="rId1354"/><Relationship Type="http://schemas.openxmlformats.org/officeDocument/2006/relationships/hyperlink" Target="#'10 EVIDENCE &amp; DECISIONS'!A1242" TargetMode="External" Id="rId1355"/><Relationship Type="http://schemas.openxmlformats.org/officeDocument/2006/relationships/hyperlink" Target="#'10 EVIDENCE &amp; DECISIONS'!A1152" TargetMode="External" Id="rId1356"/><Relationship Type="http://schemas.openxmlformats.org/officeDocument/2006/relationships/hyperlink" Target="#'10 EVIDENCE &amp; DECISIONS'!A1153" TargetMode="External" Id="rId1357"/><Relationship Type="http://schemas.openxmlformats.org/officeDocument/2006/relationships/hyperlink" Target="#'10 EVIDENCE &amp; DECISIONS'!A1243" TargetMode="External" Id="rId1358"/><Relationship Type="http://schemas.openxmlformats.org/officeDocument/2006/relationships/hyperlink" Target="#'10 EVIDENCE &amp; DECISIONS'!A1154" TargetMode="External" Id="rId1359"/><Relationship Type="http://schemas.openxmlformats.org/officeDocument/2006/relationships/hyperlink" Target="#'10 EVIDENCE &amp; DECISIONS'!A1155" TargetMode="External" Id="rId1360"/><Relationship Type="http://schemas.openxmlformats.org/officeDocument/2006/relationships/hyperlink" Target="#'10 EVIDENCE &amp; DECISIONS'!A1244" TargetMode="External" Id="rId1361"/><Relationship Type="http://schemas.openxmlformats.org/officeDocument/2006/relationships/hyperlink" Target="#'10 EVIDENCE &amp; DECISIONS'!A1156" TargetMode="External" Id="rId1362"/><Relationship Type="http://schemas.openxmlformats.org/officeDocument/2006/relationships/hyperlink" Target="#'10 EVIDENCE &amp; DECISIONS'!A1157" TargetMode="External" Id="rId1363"/><Relationship Type="http://schemas.openxmlformats.org/officeDocument/2006/relationships/hyperlink" Target="#'10 EVIDENCE &amp; DECISIONS'!A1245" TargetMode="External" Id="rId1364"/><Relationship Type="http://schemas.openxmlformats.org/officeDocument/2006/relationships/hyperlink" Target="#'10 EVIDENCE &amp; DECISIONS'!A1158" TargetMode="External" Id="rId1365"/><Relationship Type="http://schemas.openxmlformats.org/officeDocument/2006/relationships/hyperlink" Target="#'10 EVIDENCE &amp; DECISIONS'!A1159" TargetMode="External" Id="rId1366"/><Relationship Type="http://schemas.openxmlformats.org/officeDocument/2006/relationships/hyperlink" Target="#'10 EVIDENCE &amp; DECISIONS'!A1246" TargetMode="External" Id="rId1367"/><Relationship Type="http://schemas.openxmlformats.org/officeDocument/2006/relationships/hyperlink" Target="#'10 EVIDENCE &amp; DECISIONS'!A1160" TargetMode="External" Id="rId1368"/><Relationship Type="http://schemas.openxmlformats.org/officeDocument/2006/relationships/hyperlink" Target="#'10 EVIDENCE &amp; DECISIONS'!A1161" TargetMode="External" Id="rId1369"/><Relationship Type="http://schemas.openxmlformats.org/officeDocument/2006/relationships/hyperlink" Target="#'10 EVIDENCE &amp; DECISIONS'!A1247" TargetMode="External" Id="rId1370"/><Relationship Type="http://schemas.openxmlformats.org/officeDocument/2006/relationships/hyperlink" Target="#'10 EVIDENCE &amp; DECISIONS'!A1162" TargetMode="External" Id="rId1371"/><Relationship Type="http://schemas.openxmlformats.org/officeDocument/2006/relationships/hyperlink" Target="#'10 EVIDENCE &amp; DECISIONS'!A1163" TargetMode="External" Id="rId1372"/><Relationship Type="http://schemas.openxmlformats.org/officeDocument/2006/relationships/hyperlink" Target="#'10 EVIDENCE &amp; DECISIONS'!A1248" TargetMode="External" Id="rId1373"/><Relationship Type="http://schemas.openxmlformats.org/officeDocument/2006/relationships/hyperlink" Target="#'10 EVIDENCE &amp; DECISIONS'!A1164" TargetMode="External" Id="rId1374"/><Relationship Type="http://schemas.openxmlformats.org/officeDocument/2006/relationships/hyperlink" Target="#'10 EVIDENCE &amp; DECISIONS'!A1165" TargetMode="External" Id="rId1375"/><Relationship Type="http://schemas.openxmlformats.org/officeDocument/2006/relationships/hyperlink" Target="#'10 EVIDENCE &amp; DECISIONS'!A1249" TargetMode="External" Id="rId1376"/><Relationship Type="http://schemas.openxmlformats.org/officeDocument/2006/relationships/hyperlink" Target="#'10 EVIDENCE &amp; DECISIONS'!A1166" TargetMode="External" Id="rId1377"/><Relationship Type="http://schemas.openxmlformats.org/officeDocument/2006/relationships/hyperlink" Target="#'10 EVIDENCE &amp; DECISIONS'!A1167" TargetMode="External" Id="rId1378"/><Relationship Type="http://schemas.openxmlformats.org/officeDocument/2006/relationships/hyperlink" Target="#'10 EVIDENCE &amp; DECISIONS'!A1250" TargetMode="External" Id="rId1379"/><Relationship Type="http://schemas.openxmlformats.org/officeDocument/2006/relationships/hyperlink" Target="#'10 EVIDENCE &amp; DECISIONS'!A1168" TargetMode="External" Id="rId1380"/><Relationship Type="http://schemas.openxmlformats.org/officeDocument/2006/relationships/hyperlink" Target="#'10 EVIDENCE &amp; DECISIONS'!A1169" TargetMode="External" Id="rId1381"/><Relationship Type="http://schemas.openxmlformats.org/officeDocument/2006/relationships/hyperlink" Target="#'10 EVIDENCE &amp; DECISIONS'!A1251" TargetMode="External" Id="rId1382"/><Relationship Type="http://schemas.openxmlformats.org/officeDocument/2006/relationships/hyperlink" Target="#'10 EVIDENCE &amp; DECISIONS'!A1170" TargetMode="External" Id="rId1383"/><Relationship Type="http://schemas.openxmlformats.org/officeDocument/2006/relationships/hyperlink" Target="#'10 EVIDENCE &amp; DECISIONS'!A1171" TargetMode="External" Id="rId1384"/><Relationship Type="http://schemas.openxmlformats.org/officeDocument/2006/relationships/hyperlink" Target="#'10 EVIDENCE &amp; DECISIONS'!A1252" TargetMode="External" Id="rId1385"/><Relationship Type="http://schemas.openxmlformats.org/officeDocument/2006/relationships/hyperlink" Target="#'10 EVIDENCE &amp; DECISIONS'!A1172" TargetMode="External" Id="rId1386"/><Relationship Type="http://schemas.openxmlformats.org/officeDocument/2006/relationships/hyperlink" Target="#'10 EVIDENCE &amp; DECISIONS'!A1173" TargetMode="External" Id="rId1387"/><Relationship Type="http://schemas.openxmlformats.org/officeDocument/2006/relationships/hyperlink" Target="#'10 EVIDENCE &amp; DECISIONS'!A1253" TargetMode="External" Id="rId1388"/><Relationship Type="http://schemas.openxmlformats.org/officeDocument/2006/relationships/hyperlink" Target="#'10 EVIDENCE &amp; DECISIONS'!A1174" TargetMode="External" Id="rId1389"/><Relationship Type="http://schemas.openxmlformats.org/officeDocument/2006/relationships/hyperlink" Target="#'10 EVIDENCE &amp; DECISIONS'!A1175" TargetMode="External" Id="rId1390"/><Relationship Type="http://schemas.openxmlformats.org/officeDocument/2006/relationships/hyperlink" Target="#'10 EVIDENCE &amp; DECISIONS'!A1254" TargetMode="External" Id="rId1391"/><Relationship Type="http://schemas.openxmlformats.org/officeDocument/2006/relationships/hyperlink" Target="#'10 EVIDENCE &amp; DECISIONS'!A1176" TargetMode="External" Id="rId1392"/><Relationship Type="http://schemas.openxmlformats.org/officeDocument/2006/relationships/hyperlink" Target="#'10 EVIDENCE &amp; DECISIONS'!A1177" TargetMode="External" Id="rId1393"/><Relationship Type="http://schemas.openxmlformats.org/officeDocument/2006/relationships/hyperlink" Target="#'10 EVIDENCE &amp; DECISIONS'!A1255" TargetMode="External" Id="rId1394"/><Relationship Type="http://schemas.openxmlformats.org/officeDocument/2006/relationships/hyperlink" Target="#'10 EVIDENCE &amp; DECISIONS'!A1178" TargetMode="External" Id="rId1395"/><Relationship Type="http://schemas.openxmlformats.org/officeDocument/2006/relationships/hyperlink" Target="#'10 EVIDENCE &amp; DECISIONS'!A1179" TargetMode="External" Id="rId1396"/><Relationship Type="http://schemas.openxmlformats.org/officeDocument/2006/relationships/hyperlink" Target="#'10 EVIDENCE &amp; DECISIONS'!A1256" TargetMode="External" Id="rId1397"/><Relationship Type="http://schemas.openxmlformats.org/officeDocument/2006/relationships/hyperlink" Target="#'10 EVIDENCE &amp; DECISIONS'!A1180" TargetMode="External" Id="rId1398"/><Relationship Type="http://schemas.openxmlformats.org/officeDocument/2006/relationships/hyperlink" Target="#'10 EVIDENCE &amp; DECISIONS'!A1181" TargetMode="External" Id="rId1399"/><Relationship Type="http://schemas.openxmlformats.org/officeDocument/2006/relationships/hyperlink" Target="#'10 EVIDENCE &amp; DECISIONS'!A1257" TargetMode="External" Id="rId1400"/><Relationship Type="http://schemas.openxmlformats.org/officeDocument/2006/relationships/hyperlink" Target="#'10 EVIDENCE &amp; DECISIONS'!A1182" TargetMode="External" Id="rId1401"/><Relationship Type="http://schemas.openxmlformats.org/officeDocument/2006/relationships/hyperlink" Target="#'10 EVIDENCE &amp; DECISIONS'!A1183" TargetMode="External" Id="rId1402"/><Relationship Type="http://schemas.openxmlformats.org/officeDocument/2006/relationships/hyperlink" Target="#'10 EVIDENCE &amp; DECISIONS'!A1258" TargetMode="External" Id="rId1403"/><Relationship Type="http://schemas.openxmlformats.org/officeDocument/2006/relationships/hyperlink" Target="#'10 EVIDENCE &amp; DECISIONS'!A1184" TargetMode="External" Id="rId1404"/><Relationship Type="http://schemas.openxmlformats.org/officeDocument/2006/relationships/hyperlink" Target="#'10 EVIDENCE &amp; DECISIONS'!A1185" TargetMode="External" Id="rId1405"/><Relationship Type="http://schemas.openxmlformats.org/officeDocument/2006/relationships/hyperlink" Target="#'10 EVIDENCE &amp; DECISIONS'!A1259" TargetMode="External" Id="rId1406"/><Relationship Type="http://schemas.openxmlformats.org/officeDocument/2006/relationships/hyperlink" Target="#'10 EVIDENCE &amp; DECISIONS'!A1186" TargetMode="External" Id="rId1407"/><Relationship Type="http://schemas.openxmlformats.org/officeDocument/2006/relationships/hyperlink" Target="#'10 EVIDENCE &amp; DECISIONS'!A1187" TargetMode="External" Id="rId1408"/><Relationship Type="http://schemas.openxmlformats.org/officeDocument/2006/relationships/hyperlink" Target="#'10 EVIDENCE &amp; DECISIONS'!A1260" TargetMode="External" Id="rId1409"/><Relationship Type="http://schemas.openxmlformats.org/officeDocument/2006/relationships/hyperlink" Target="#'10 EVIDENCE &amp; DECISIONS'!A1188" TargetMode="External" Id="rId1410"/><Relationship Type="http://schemas.openxmlformats.org/officeDocument/2006/relationships/hyperlink" Target="#'10 EVIDENCE &amp; DECISIONS'!A1189" TargetMode="External" Id="rId1411"/><Relationship Type="http://schemas.openxmlformats.org/officeDocument/2006/relationships/hyperlink" Target="#'10 EVIDENCE &amp; DECISIONS'!A1261" TargetMode="External" Id="rId1412"/><Relationship Type="http://schemas.openxmlformats.org/officeDocument/2006/relationships/hyperlink" Target="#'10 EVIDENCE &amp; DECISIONS'!A1190" TargetMode="External" Id="rId1413"/><Relationship Type="http://schemas.openxmlformats.org/officeDocument/2006/relationships/hyperlink" Target="#'10 EVIDENCE &amp; DECISIONS'!A1191" TargetMode="External" Id="rId1414"/><Relationship Type="http://schemas.openxmlformats.org/officeDocument/2006/relationships/hyperlink" Target="#'10 EVIDENCE &amp; DECISIONS'!A1262" TargetMode="External" Id="rId1415"/><Relationship Type="http://schemas.openxmlformats.org/officeDocument/2006/relationships/hyperlink" Target="#'10 EVIDENCE &amp; DECISIONS'!A1192" TargetMode="External" Id="rId1416"/><Relationship Type="http://schemas.openxmlformats.org/officeDocument/2006/relationships/hyperlink" Target="#'10 EVIDENCE &amp; DECISIONS'!A1193" TargetMode="External" Id="rId1417"/><Relationship Type="http://schemas.openxmlformats.org/officeDocument/2006/relationships/hyperlink" Target="#'10 EVIDENCE &amp; DECISIONS'!A1263" TargetMode="External" Id="rId1418"/><Relationship Type="http://schemas.openxmlformats.org/officeDocument/2006/relationships/hyperlink" Target="#'10 EVIDENCE &amp; DECISIONS'!A1194" TargetMode="External" Id="rId1419"/><Relationship Type="http://schemas.openxmlformats.org/officeDocument/2006/relationships/hyperlink" Target="#'10 EVIDENCE &amp; DECISIONS'!A1195" TargetMode="External" Id="rId1420"/><Relationship Type="http://schemas.openxmlformats.org/officeDocument/2006/relationships/hyperlink" Target="#'10 EVIDENCE &amp; DECISIONS'!A1264" TargetMode="External" Id="rId1421"/><Relationship Type="http://schemas.openxmlformats.org/officeDocument/2006/relationships/hyperlink" Target="#'10 EVIDENCE &amp; DECISIONS'!A1196" TargetMode="External" Id="rId1422"/><Relationship Type="http://schemas.openxmlformats.org/officeDocument/2006/relationships/hyperlink" Target="#'10 EVIDENCE &amp; DECISIONS'!A1197" TargetMode="External" Id="rId1423"/><Relationship Type="http://schemas.openxmlformats.org/officeDocument/2006/relationships/hyperlink" Target="#'10 EVIDENCE &amp; DECISIONS'!A1265" TargetMode="External" Id="rId1424"/><Relationship Type="http://schemas.openxmlformats.org/officeDocument/2006/relationships/hyperlink" Target="#'10 EVIDENCE &amp; DECISIONS'!A1198" TargetMode="External" Id="rId1425"/><Relationship Type="http://schemas.openxmlformats.org/officeDocument/2006/relationships/hyperlink" Target="#'10 EVIDENCE &amp; DECISIONS'!A1199" TargetMode="External" Id="rId1426"/><Relationship Type="http://schemas.openxmlformats.org/officeDocument/2006/relationships/hyperlink" Target="#'10 EVIDENCE &amp; DECISIONS'!A1266" TargetMode="External" Id="rId1427"/><Relationship Type="http://schemas.openxmlformats.org/officeDocument/2006/relationships/hyperlink" Target="#'10 EVIDENCE &amp; DECISIONS'!A1200" TargetMode="External" Id="rId1428"/><Relationship Type="http://schemas.openxmlformats.org/officeDocument/2006/relationships/hyperlink" Target="#'10 EVIDENCE &amp; DECISIONS'!A1201" TargetMode="External" Id="rId1429"/><Relationship Type="http://schemas.openxmlformats.org/officeDocument/2006/relationships/hyperlink" Target="#'10 EVIDENCE &amp; DECISIONS'!A1267" TargetMode="External" Id="rId1430"/><Relationship Type="http://schemas.openxmlformats.org/officeDocument/2006/relationships/hyperlink" Target="#'10 EVIDENCE &amp; DECISIONS'!A1202" TargetMode="External" Id="rId1431"/><Relationship Type="http://schemas.openxmlformats.org/officeDocument/2006/relationships/hyperlink" Target="#'10 EVIDENCE &amp; DECISIONS'!A1203" TargetMode="External" Id="rId1432"/><Relationship Type="http://schemas.openxmlformats.org/officeDocument/2006/relationships/hyperlink" Target="#'10 EVIDENCE &amp; DECISIONS'!A1268" TargetMode="External" Id="rId1433"/><Relationship Type="http://schemas.openxmlformats.org/officeDocument/2006/relationships/hyperlink" Target="#'10 EVIDENCE &amp; DECISIONS'!A1204" TargetMode="External" Id="rId1434"/><Relationship Type="http://schemas.openxmlformats.org/officeDocument/2006/relationships/hyperlink" Target="#'10 EVIDENCE &amp; DECISIONS'!A1205" TargetMode="External" Id="rId1435"/><Relationship Type="http://schemas.openxmlformats.org/officeDocument/2006/relationships/hyperlink" Target="#'10 EVIDENCE &amp; DECISIONS'!A1269" TargetMode="External" Id="rId1436"/><Relationship Type="http://schemas.openxmlformats.org/officeDocument/2006/relationships/hyperlink" Target="#'10 EVIDENCE &amp; DECISIONS'!A1206" TargetMode="External" Id="rId1437"/><Relationship Type="http://schemas.openxmlformats.org/officeDocument/2006/relationships/hyperlink" Target="#'10 EVIDENCE &amp; DECISIONS'!A1207" TargetMode="External" Id="rId1438"/><Relationship Type="http://schemas.openxmlformats.org/officeDocument/2006/relationships/hyperlink" Target="#'10 EVIDENCE &amp; DECISIONS'!A1270" TargetMode="External" Id="rId1439"/><Relationship Type="http://schemas.openxmlformats.org/officeDocument/2006/relationships/hyperlink" Target="#'10 EVIDENCE &amp; DECISIONS'!A1208" TargetMode="External" Id="rId1440"/><Relationship Type="http://schemas.openxmlformats.org/officeDocument/2006/relationships/hyperlink" Target="#'10 EVIDENCE &amp; DECISIONS'!A1209" TargetMode="External" Id="rId1441"/><Relationship Type="http://schemas.openxmlformats.org/officeDocument/2006/relationships/hyperlink" Target="#'10 EVIDENCE &amp; DECISIONS'!A1271" TargetMode="External" Id="rId1442"/><Relationship Type="http://schemas.openxmlformats.org/officeDocument/2006/relationships/hyperlink" Target="#'10 EVIDENCE &amp; DECISIONS'!A1210" TargetMode="External" Id="rId1443"/><Relationship Type="http://schemas.openxmlformats.org/officeDocument/2006/relationships/hyperlink" Target="#'10 EVIDENCE &amp; DECISIONS'!A1211" TargetMode="External" Id="rId1444"/><Relationship Type="http://schemas.openxmlformats.org/officeDocument/2006/relationships/hyperlink" Target="#'10 EVIDENCE &amp; DECISIONS'!A1272" TargetMode="External" Id="rId1445"/><Relationship Type="http://schemas.openxmlformats.org/officeDocument/2006/relationships/hyperlink" Target="#'10 EVIDENCE &amp; DECISIONS'!A1212" TargetMode="External" Id="rId1446"/><Relationship Type="http://schemas.openxmlformats.org/officeDocument/2006/relationships/hyperlink" Target="#'10 EVIDENCE &amp; DECISIONS'!A1213" TargetMode="External" Id="rId1447"/><Relationship Type="http://schemas.openxmlformats.org/officeDocument/2006/relationships/hyperlink" Target="#'10 EVIDENCE &amp; DECISIONS'!A1273" TargetMode="External" Id="rId1448"/><Relationship Type="http://schemas.openxmlformats.org/officeDocument/2006/relationships/hyperlink" Target="#'10 EVIDENCE &amp; DECISIONS'!A1368" TargetMode="External" Id="rId1449"/><Relationship Type="http://schemas.openxmlformats.org/officeDocument/2006/relationships/hyperlink" Target="#'10 EVIDENCE &amp; DECISIONS'!A1369" TargetMode="External" Id="rId1450"/><Relationship Type="http://schemas.openxmlformats.org/officeDocument/2006/relationships/hyperlink" Target="#'10 EVIDENCE &amp; DECISIONS'!A1370" TargetMode="External" Id="rId1451"/><Relationship Type="http://schemas.openxmlformats.org/officeDocument/2006/relationships/hyperlink" Target="#'10 EVIDENCE &amp; DECISIONS'!A1371" TargetMode="External" Id="rId1452"/><Relationship Type="http://schemas.openxmlformats.org/officeDocument/2006/relationships/hyperlink" Target="#'10 EVIDENCE &amp; DECISIONS'!A1372" TargetMode="External" Id="rId1453"/><Relationship Type="http://schemas.openxmlformats.org/officeDocument/2006/relationships/hyperlink" Target="#'10 EVIDENCE &amp; DECISIONS'!A1373" TargetMode="External" Id="rId1454"/><Relationship Type="http://schemas.openxmlformats.org/officeDocument/2006/relationships/hyperlink" Target="#'10 EVIDENCE &amp; DECISIONS'!A1374" TargetMode="External" Id="rId1455"/><Relationship Type="http://schemas.openxmlformats.org/officeDocument/2006/relationships/hyperlink" Target="#'10 EVIDENCE &amp; DECISIONS'!A1375" TargetMode="External" Id="rId1456"/><Relationship Type="http://schemas.openxmlformats.org/officeDocument/2006/relationships/hyperlink" Target="#'10 EVIDENCE &amp; DECISIONS'!A1376" TargetMode="External" Id="rId1457"/><Relationship Type="http://schemas.openxmlformats.org/officeDocument/2006/relationships/hyperlink" Target="#'10 EVIDENCE &amp; DECISIONS'!A1377" TargetMode="External" Id="rId1458"/><Relationship Type="http://schemas.openxmlformats.org/officeDocument/2006/relationships/hyperlink" Target="#'10 EVIDENCE &amp; DECISIONS'!A1378" TargetMode="External" Id="rId1459"/><Relationship Type="http://schemas.openxmlformats.org/officeDocument/2006/relationships/hyperlink" Target="#'10 EVIDENCE &amp; DECISIONS'!A1379" TargetMode="External" Id="rId1460"/><Relationship Type="http://schemas.openxmlformats.org/officeDocument/2006/relationships/hyperlink" Target="#'10 EVIDENCE &amp; DECISIONS'!A1380" TargetMode="External" Id="rId1461"/><Relationship Type="http://schemas.openxmlformats.org/officeDocument/2006/relationships/hyperlink" Target="#'10 EVIDENCE &amp; DECISIONS'!A1381" TargetMode="External" Id="rId1462"/><Relationship Type="http://schemas.openxmlformats.org/officeDocument/2006/relationships/hyperlink" Target="#'10 EVIDENCE &amp; DECISIONS'!A1382" TargetMode="External" Id="rId1463"/><Relationship Type="http://schemas.openxmlformats.org/officeDocument/2006/relationships/hyperlink" Target="#'10 EVIDENCE &amp; DECISIONS'!A1383" TargetMode="External" Id="rId1464"/><Relationship Type="http://schemas.openxmlformats.org/officeDocument/2006/relationships/hyperlink" Target="#'10 EVIDENCE &amp; DECISIONS'!A1384" TargetMode="External" Id="rId1465"/><Relationship Type="http://schemas.openxmlformats.org/officeDocument/2006/relationships/hyperlink" Target="#'10 EVIDENCE &amp; DECISIONS'!A1385" TargetMode="External" Id="rId1466"/><Relationship Type="http://schemas.openxmlformats.org/officeDocument/2006/relationships/hyperlink" Target="#'10 EVIDENCE &amp; DECISIONS'!A1386" TargetMode="External" Id="rId1467"/><Relationship Type="http://schemas.openxmlformats.org/officeDocument/2006/relationships/hyperlink" Target="#'10 EVIDENCE &amp; DECISIONS'!A1387" TargetMode="External" Id="rId1468"/><Relationship Type="http://schemas.openxmlformats.org/officeDocument/2006/relationships/hyperlink" Target="#'10 EVIDENCE &amp; DECISIONS'!A1388" TargetMode="External" Id="rId1469"/><Relationship Type="http://schemas.openxmlformats.org/officeDocument/2006/relationships/hyperlink" Target="#'10 EVIDENCE &amp; DECISIONS'!A1389" TargetMode="External" Id="rId1470"/><Relationship Type="http://schemas.openxmlformats.org/officeDocument/2006/relationships/hyperlink" Target="#'10 EVIDENCE &amp; DECISIONS'!A1390" TargetMode="External" Id="rId1471"/><Relationship Type="http://schemas.openxmlformats.org/officeDocument/2006/relationships/hyperlink" Target="#'10 EVIDENCE &amp; DECISIONS'!A1391" TargetMode="External" Id="rId1472"/><Relationship Type="http://schemas.openxmlformats.org/officeDocument/2006/relationships/hyperlink" Target="#'10 EVIDENCE &amp; DECISIONS'!A1392" TargetMode="External" Id="rId1473"/><Relationship Type="http://schemas.openxmlformats.org/officeDocument/2006/relationships/hyperlink" Target="#'10 EVIDENCE &amp; DECISIONS'!A1393" TargetMode="External" Id="rId1474"/><Relationship Type="http://schemas.openxmlformats.org/officeDocument/2006/relationships/hyperlink" Target="#'10 EVIDENCE &amp; DECISIONS'!A1394" TargetMode="External" Id="rId1475"/><Relationship Type="http://schemas.openxmlformats.org/officeDocument/2006/relationships/hyperlink" Target="#'10 EVIDENCE &amp; DECISIONS'!A1395" TargetMode="External" Id="rId1476"/><Relationship Type="http://schemas.openxmlformats.org/officeDocument/2006/relationships/hyperlink" Target="#'10 EVIDENCE &amp; DECISIONS'!A1396" TargetMode="External" Id="rId1477"/><Relationship Type="http://schemas.openxmlformats.org/officeDocument/2006/relationships/hyperlink" Target="#'10 EVIDENCE &amp; DECISIONS'!A1397" TargetMode="External" Id="rId1478"/><Relationship Type="http://schemas.openxmlformats.org/officeDocument/2006/relationships/hyperlink" Target="#'10 EVIDENCE &amp; DECISIONS'!A1398" TargetMode="External" Id="rId1479"/><Relationship Type="http://schemas.openxmlformats.org/officeDocument/2006/relationships/hyperlink" Target="#'10 EVIDENCE &amp; DECISIONS'!A1399" TargetMode="External" Id="rId1480"/><Relationship Type="http://schemas.openxmlformats.org/officeDocument/2006/relationships/hyperlink" Target="#'10 EVIDENCE &amp; DECISIONS'!A1400" TargetMode="External" Id="rId1481"/><Relationship Type="http://schemas.openxmlformats.org/officeDocument/2006/relationships/hyperlink" Target="#'10 EVIDENCE &amp; DECISIONS'!A1401" TargetMode="External" Id="rId1482"/><Relationship Type="http://schemas.openxmlformats.org/officeDocument/2006/relationships/hyperlink" Target="#'10 EVIDENCE &amp; DECISIONS'!A1402" TargetMode="External" Id="rId1483"/><Relationship Type="http://schemas.openxmlformats.org/officeDocument/2006/relationships/hyperlink" Target="#'10 EVIDENCE &amp; DECISIONS'!A1403" TargetMode="External" Id="rId1484"/><Relationship Type="http://schemas.openxmlformats.org/officeDocument/2006/relationships/hyperlink" Target="#'10 EVIDENCE &amp; DECISIONS'!A1404" TargetMode="External" Id="rId1485"/><Relationship Type="http://schemas.openxmlformats.org/officeDocument/2006/relationships/hyperlink" Target="#'10 EVIDENCE &amp; DECISIONS'!A1405" TargetMode="External" Id="rId1486"/><Relationship Type="http://schemas.openxmlformats.org/officeDocument/2006/relationships/hyperlink" Target="#'10 EVIDENCE &amp; DECISIONS'!A1406" TargetMode="External" Id="rId1487"/><Relationship Type="http://schemas.openxmlformats.org/officeDocument/2006/relationships/hyperlink" Target="#'10 EVIDENCE &amp; DECISIONS'!A1407" TargetMode="External" Id="rId1488"/><Relationship Type="http://schemas.openxmlformats.org/officeDocument/2006/relationships/hyperlink" Target="#'10 EVIDENCE &amp; DECISIONS'!A1408" TargetMode="External" Id="rId1489"/><Relationship Type="http://schemas.openxmlformats.org/officeDocument/2006/relationships/hyperlink" Target="#'10 EVIDENCE &amp; DECISIONS'!A1409" TargetMode="External" Id="rId1490"/><Relationship Type="http://schemas.openxmlformats.org/officeDocument/2006/relationships/hyperlink" Target="#'10 EVIDENCE &amp; DECISIONS'!A1410" TargetMode="External" Id="rId1491"/><Relationship Type="http://schemas.openxmlformats.org/officeDocument/2006/relationships/hyperlink" Target="#'10 EVIDENCE &amp; DECISIONS'!A1411" TargetMode="External" Id="rId1492"/><Relationship Type="http://schemas.openxmlformats.org/officeDocument/2006/relationships/hyperlink" Target="#'10 EVIDENCE &amp; DECISIONS'!A1412" TargetMode="External" Id="rId1493"/><Relationship Type="http://schemas.openxmlformats.org/officeDocument/2006/relationships/hyperlink" Target="#'10 EVIDENCE &amp; DECISIONS'!A1413" TargetMode="External" Id="rId1494"/><Relationship Type="http://schemas.openxmlformats.org/officeDocument/2006/relationships/hyperlink" Target="#'10 EVIDENCE &amp; DECISIONS'!A1414" TargetMode="External" Id="rId1495"/><Relationship Type="http://schemas.openxmlformats.org/officeDocument/2006/relationships/hyperlink" Target="#'10 EVIDENCE &amp; DECISIONS'!A1415" TargetMode="External" Id="rId1496"/><Relationship Type="http://schemas.openxmlformats.org/officeDocument/2006/relationships/hyperlink" Target="#'10 EVIDENCE &amp; DECISIONS'!A1416" TargetMode="External" Id="rId1497"/><Relationship Type="http://schemas.openxmlformats.org/officeDocument/2006/relationships/hyperlink" Target="#'10 EVIDENCE &amp; DECISIONS'!A1417" TargetMode="External" Id="rId1498"/><Relationship Type="http://schemas.openxmlformats.org/officeDocument/2006/relationships/hyperlink" Target="#'10 EVIDENCE &amp; DECISIONS'!A1418" TargetMode="External" Id="rId1499"/><Relationship Type="http://schemas.openxmlformats.org/officeDocument/2006/relationships/hyperlink" Target="#'10 EVIDENCE &amp; DECISIONS'!A1419" TargetMode="External" Id="rId1500"/><Relationship Type="http://schemas.openxmlformats.org/officeDocument/2006/relationships/hyperlink" Target="#'10 EVIDENCE &amp; DECISIONS'!A1420" TargetMode="External" Id="rId1501"/><Relationship Type="http://schemas.openxmlformats.org/officeDocument/2006/relationships/hyperlink" Target="#'10 EVIDENCE &amp; DECISIONS'!A1421" TargetMode="External" Id="rId1502"/><Relationship Type="http://schemas.openxmlformats.org/officeDocument/2006/relationships/hyperlink" Target="#'10 EVIDENCE &amp; DECISIONS'!A1422" TargetMode="External" Id="rId1503"/><Relationship Type="http://schemas.openxmlformats.org/officeDocument/2006/relationships/hyperlink" Target="#'10 EVIDENCE &amp; DECISIONS'!A1423" TargetMode="External" Id="rId1504"/><Relationship Type="http://schemas.openxmlformats.org/officeDocument/2006/relationships/hyperlink" Target="#'10 EVIDENCE &amp; DECISIONS'!A1424" TargetMode="External" Id="rId1505"/><Relationship Type="http://schemas.openxmlformats.org/officeDocument/2006/relationships/hyperlink" Target="#'10 EVIDENCE &amp; DECISIONS'!A1425" TargetMode="External" Id="rId1506"/><Relationship Type="http://schemas.openxmlformats.org/officeDocument/2006/relationships/hyperlink" Target="#'10 EVIDENCE &amp; DECISIONS'!A1426" TargetMode="External" Id="rId1507"/><Relationship Type="http://schemas.openxmlformats.org/officeDocument/2006/relationships/hyperlink" Target="#'10 EVIDENCE &amp; DECISIONS'!A1427" TargetMode="External" Id="rId1508"/><Relationship Type="http://schemas.openxmlformats.org/officeDocument/2006/relationships/hyperlink" Target="#'10 EVIDENCE &amp; DECISIONS'!A1428" TargetMode="External" Id="rId1509"/><Relationship Type="http://schemas.openxmlformats.org/officeDocument/2006/relationships/hyperlink" Target="#'10 EVIDENCE &amp; DECISIONS'!A1429" TargetMode="External" Id="rId1510"/><Relationship Type="http://schemas.openxmlformats.org/officeDocument/2006/relationships/hyperlink" Target="#'10 EVIDENCE &amp; DECISIONS'!A1430" TargetMode="External" Id="rId1511"/><Relationship Type="http://schemas.openxmlformats.org/officeDocument/2006/relationships/hyperlink" Target="#'10 EVIDENCE &amp; DECISIONS'!A1431" TargetMode="External" Id="rId1512"/><Relationship Type="http://schemas.openxmlformats.org/officeDocument/2006/relationships/hyperlink" Target="#'10 EVIDENCE &amp; DECISIONS'!A1432" TargetMode="External" Id="rId1513"/><Relationship Type="http://schemas.openxmlformats.org/officeDocument/2006/relationships/hyperlink" Target="#'10 EVIDENCE &amp; DECISIONS'!A1433" TargetMode="External" Id="rId1514"/><Relationship Type="http://schemas.openxmlformats.org/officeDocument/2006/relationships/hyperlink" Target="#'10 EVIDENCE &amp; DECISIONS'!A1434" TargetMode="External" Id="rId1515"/><Relationship Type="http://schemas.openxmlformats.org/officeDocument/2006/relationships/hyperlink" Target="#'10 EVIDENCE &amp; DECISIONS'!A1435" TargetMode="External" Id="rId1516"/><Relationship Type="http://schemas.openxmlformats.org/officeDocument/2006/relationships/hyperlink" Target="#'10 EVIDENCE &amp; DECISIONS'!A1436" TargetMode="External" Id="rId1517"/><Relationship Type="http://schemas.openxmlformats.org/officeDocument/2006/relationships/hyperlink" Target="#'10 EVIDENCE &amp; DECISIONS'!A1437" TargetMode="External" Id="rId1518"/><Relationship Type="http://schemas.openxmlformats.org/officeDocument/2006/relationships/hyperlink" Target="#'10 EVIDENCE &amp; DECISIONS'!A1438" TargetMode="External" Id="rId1519"/><Relationship Type="http://schemas.openxmlformats.org/officeDocument/2006/relationships/hyperlink" Target="#'10 EVIDENCE &amp; DECISIONS'!A1439" TargetMode="External" Id="rId1520"/><Relationship Type="http://schemas.openxmlformats.org/officeDocument/2006/relationships/hyperlink" Target="#'10 EVIDENCE &amp; DECISIONS'!A1440" TargetMode="External" Id="rId1521"/><Relationship Type="http://schemas.openxmlformats.org/officeDocument/2006/relationships/hyperlink" Target="#'10 EVIDENCE &amp; DECISIONS'!A1441" TargetMode="External" Id="rId1522"/><Relationship Type="http://schemas.openxmlformats.org/officeDocument/2006/relationships/hyperlink" Target="#'10 EVIDENCE &amp; DECISIONS'!A1442" TargetMode="External" Id="rId1523"/><Relationship Type="http://schemas.openxmlformats.org/officeDocument/2006/relationships/hyperlink" Target="#'10 EVIDENCE &amp; DECISIONS'!A1443" TargetMode="External" Id="rId1524"/><Relationship Type="http://schemas.openxmlformats.org/officeDocument/2006/relationships/hyperlink" Target="#'10 EVIDENCE &amp; DECISIONS'!A1444" TargetMode="External" Id="rId1525"/><Relationship Type="http://schemas.openxmlformats.org/officeDocument/2006/relationships/hyperlink" Target="#'10 EVIDENCE &amp; DECISIONS'!A1445" TargetMode="External" Id="rId1526"/><Relationship Type="http://schemas.openxmlformats.org/officeDocument/2006/relationships/hyperlink" Target="#'10 EVIDENCE &amp; DECISIONS'!A1446" TargetMode="External" Id="rId1527"/><Relationship Type="http://schemas.openxmlformats.org/officeDocument/2006/relationships/hyperlink" Target="#'10 EVIDENCE &amp; DECISIONS'!A1447" TargetMode="External" Id="rId1528"/><Relationship Type="http://schemas.openxmlformats.org/officeDocument/2006/relationships/hyperlink" Target="#'10 EVIDENCE &amp; DECISIONS'!A1448" TargetMode="External" Id="rId1529"/><Relationship Type="http://schemas.openxmlformats.org/officeDocument/2006/relationships/hyperlink" Target="#'10 EVIDENCE &amp; DECISIONS'!A1449" TargetMode="External" Id="rId1530"/><Relationship Type="http://schemas.openxmlformats.org/officeDocument/2006/relationships/hyperlink" Target="#'10 EVIDENCE &amp; DECISIONS'!A1450" TargetMode="External" Id="rId1531"/><Relationship Type="http://schemas.openxmlformats.org/officeDocument/2006/relationships/hyperlink" Target="#'10 EVIDENCE &amp; DECISIONS'!A1451" TargetMode="External" Id="rId1532"/><Relationship Type="http://schemas.openxmlformats.org/officeDocument/2006/relationships/hyperlink" Target="#'10 EVIDENCE &amp; DECISIONS'!A1452" TargetMode="External" Id="rId1533"/><Relationship Type="http://schemas.openxmlformats.org/officeDocument/2006/relationships/hyperlink" Target="#'10 EVIDENCE &amp; DECISIONS'!A1453" TargetMode="External" Id="rId1534"/><Relationship Type="http://schemas.openxmlformats.org/officeDocument/2006/relationships/hyperlink" Target="#'10 EVIDENCE &amp; DECISIONS'!A1454" TargetMode="External" Id="rId1535"/><Relationship Type="http://schemas.openxmlformats.org/officeDocument/2006/relationships/hyperlink" Target="#'10 EVIDENCE &amp; DECISIONS'!A1455" TargetMode="External" Id="rId1536"/><Relationship Type="http://schemas.openxmlformats.org/officeDocument/2006/relationships/hyperlink" Target="#'10 EVIDENCE &amp; DECISIONS'!A1456" TargetMode="External" Id="rId1537"/><Relationship Type="http://schemas.openxmlformats.org/officeDocument/2006/relationships/hyperlink" Target="#'10 EVIDENCE &amp; DECISIONS'!A1457" TargetMode="External" Id="rId1538"/><Relationship Type="http://schemas.openxmlformats.org/officeDocument/2006/relationships/hyperlink" Target="#'10 EVIDENCE &amp; DECISIONS'!A1458" TargetMode="External" Id="rId1539"/><Relationship Type="http://schemas.openxmlformats.org/officeDocument/2006/relationships/hyperlink" Target="#'10 EVIDENCE &amp; DECISIONS'!A1459" TargetMode="External" Id="rId1540"/><Relationship Type="http://schemas.openxmlformats.org/officeDocument/2006/relationships/hyperlink" Target="#'10 EVIDENCE &amp; DECISIONS'!A1460" TargetMode="External" Id="rId1541"/><Relationship Type="http://schemas.openxmlformats.org/officeDocument/2006/relationships/hyperlink" Target="#'10 EVIDENCE &amp; DECISIONS'!A1461" TargetMode="External" Id="rId1542"/><Relationship Type="http://schemas.openxmlformats.org/officeDocument/2006/relationships/hyperlink" Target="#'10 EVIDENCE &amp; DECISIONS'!A1462" TargetMode="External" Id="rId1543"/><Relationship Type="http://schemas.openxmlformats.org/officeDocument/2006/relationships/hyperlink" Target="#'10 EVIDENCE &amp; DECISIONS'!A1463" TargetMode="External" Id="rId1544"/><Relationship Type="http://schemas.openxmlformats.org/officeDocument/2006/relationships/hyperlink" Target="#'10 EVIDENCE &amp; DECISIONS'!A1464" TargetMode="External" Id="rId1545"/><Relationship Type="http://schemas.openxmlformats.org/officeDocument/2006/relationships/hyperlink" Target="#'10 EVIDENCE &amp; DECISIONS'!A1465" TargetMode="External" Id="rId1546"/><Relationship Type="http://schemas.openxmlformats.org/officeDocument/2006/relationships/hyperlink" Target="#'10 EVIDENCE &amp; DECISIONS'!A1466" TargetMode="External" Id="rId1547"/><Relationship Type="http://schemas.openxmlformats.org/officeDocument/2006/relationships/hyperlink" Target="#'10 EVIDENCE &amp; DECISIONS'!A1467" TargetMode="External" Id="rId1548"/><Relationship Type="http://schemas.openxmlformats.org/officeDocument/2006/relationships/hyperlink" Target="#'10 EVIDENCE &amp; DECISIONS'!A1468" TargetMode="External" Id="rId1549"/><Relationship Type="http://schemas.openxmlformats.org/officeDocument/2006/relationships/hyperlink" Target="#'10 EVIDENCE &amp; DECISIONS'!A1469" TargetMode="External" Id="rId1550"/><Relationship Type="http://schemas.openxmlformats.org/officeDocument/2006/relationships/hyperlink" Target="#'10 EVIDENCE &amp; DECISIONS'!A1470" TargetMode="External" Id="rId1551"/><Relationship Type="http://schemas.openxmlformats.org/officeDocument/2006/relationships/hyperlink" Target="#'10 EVIDENCE &amp; DECISIONS'!A1471" TargetMode="External" Id="rId1552"/><Relationship Type="http://schemas.openxmlformats.org/officeDocument/2006/relationships/hyperlink" Target="#'10 EVIDENCE &amp; DECISIONS'!A1472" TargetMode="External" Id="rId1553"/><Relationship Type="http://schemas.openxmlformats.org/officeDocument/2006/relationships/hyperlink" Target="#'10 EVIDENCE &amp; DECISIONS'!A1473" TargetMode="External" Id="rId1554"/><Relationship Type="http://schemas.openxmlformats.org/officeDocument/2006/relationships/hyperlink" Target="#'10 EVIDENCE &amp; DECISIONS'!A1474" TargetMode="External" Id="rId1555"/><Relationship Type="http://schemas.openxmlformats.org/officeDocument/2006/relationships/hyperlink" Target="#'10 EVIDENCE &amp; DECISIONS'!A1475" TargetMode="External" Id="rId1556"/><Relationship Type="http://schemas.openxmlformats.org/officeDocument/2006/relationships/hyperlink" Target="#'10 EVIDENCE &amp; DECISIONS'!A1476" TargetMode="External" Id="rId1557"/><Relationship Type="http://schemas.openxmlformats.org/officeDocument/2006/relationships/hyperlink" Target="#'10 EVIDENCE &amp; DECISIONS'!A1477" TargetMode="External" Id="rId1558"/><Relationship Type="http://schemas.openxmlformats.org/officeDocument/2006/relationships/hyperlink" Target="#'10 EVIDENCE &amp; DECISIONS'!A1478" TargetMode="External" Id="rId1559"/><Relationship Type="http://schemas.openxmlformats.org/officeDocument/2006/relationships/hyperlink" Target="#'10 EVIDENCE &amp; DECISIONS'!A1479" TargetMode="External" Id="rId1560"/><Relationship Type="http://schemas.openxmlformats.org/officeDocument/2006/relationships/hyperlink" Target="#'10 EVIDENCE &amp; DECISIONS'!A1480" TargetMode="External" Id="rId1561"/><Relationship Type="http://schemas.openxmlformats.org/officeDocument/2006/relationships/hyperlink" Target="#'10 EVIDENCE &amp; DECISIONS'!A1481" TargetMode="External" Id="rId1562"/><Relationship Type="http://schemas.openxmlformats.org/officeDocument/2006/relationships/hyperlink" Target="#'10 EVIDENCE &amp; DECISIONS'!A1482" TargetMode="External" Id="rId1563"/><Relationship Type="http://schemas.openxmlformats.org/officeDocument/2006/relationships/hyperlink" Target="#'10 EVIDENCE &amp; DECISIONS'!A1483" TargetMode="External" Id="rId1564"/><Relationship Type="http://schemas.openxmlformats.org/officeDocument/2006/relationships/hyperlink" Target="#'10 EVIDENCE &amp; DECISIONS'!A1484" TargetMode="External" Id="rId1565"/><Relationship Type="http://schemas.openxmlformats.org/officeDocument/2006/relationships/hyperlink" Target="#'10 EVIDENCE &amp; DECISIONS'!A1485" TargetMode="External" Id="rId1566"/><Relationship Type="http://schemas.openxmlformats.org/officeDocument/2006/relationships/hyperlink" Target="#'10 EVIDENCE &amp; DECISIONS'!A1486" TargetMode="External" Id="rId1567"/><Relationship Type="http://schemas.openxmlformats.org/officeDocument/2006/relationships/hyperlink" Target="#'10 EVIDENCE &amp; DECISIONS'!A1487" TargetMode="External" Id="rId1568"/><Relationship Type="http://schemas.openxmlformats.org/officeDocument/2006/relationships/hyperlink" Target="#'10 EVIDENCE &amp; DECISIONS'!A1488" TargetMode="External" Id="rId1569"/><Relationship Type="http://schemas.openxmlformats.org/officeDocument/2006/relationships/hyperlink" Target="#'10 EVIDENCE &amp; DECISIONS'!A1489" TargetMode="External" Id="rId1570"/><Relationship Type="http://schemas.openxmlformats.org/officeDocument/2006/relationships/hyperlink" Target="#'10 EVIDENCE &amp; DECISIONS'!A1490" TargetMode="External" Id="rId1571"/><Relationship Type="http://schemas.openxmlformats.org/officeDocument/2006/relationships/hyperlink" Target="#'10 EVIDENCE &amp; DECISIONS'!A1491" TargetMode="External" Id="rId1572"/><Relationship Type="http://schemas.openxmlformats.org/officeDocument/2006/relationships/hyperlink" Target="#'10 EVIDENCE &amp; DECISIONS'!A1492" TargetMode="External" Id="rId1573"/><Relationship Type="http://schemas.openxmlformats.org/officeDocument/2006/relationships/hyperlink" Target="#'10 EVIDENCE &amp; DECISIONS'!A1493" TargetMode="External" Id="rId1574"/><Relationship Type="http://schemas.openxmlformats.org/officeDocument/2006/relationships/hyperlink" Target="#'10 EVIDENCE &amp; DECISIONS'!A1494" TargetMode="External" Id="rId1575"/><Relationship Type="http://schemas.openxmlformats.org/officeDocument/2006/relationships/hyperlink" Target="#'10 EVIDENCE &amp; DECISIONS'!A1495" TargetMode="External" Id="rId1576"/><Relationship Type="http://schemas.openxmlformats.org/officeDocument/2006/relationships/hyperlink" Target="#'10 EVIDENCE &amp; DECISIONS'!A1496" TargetMode="External" Id="rId1577"/><Relationship Type="http://schemas.openxmlformats.org/officeDocument/2006/relationships/hyperlink" Target="#'10 EVIDENCE &amp; DECISIONS'!A1497" TargetMode="External" Id="rId1578"/><Relationship Type="http://schemas.openxmlformats.org/officeDocument/2006/relationships/hyperlink" Target="#'10 EVIDENCE &amp; DECISIONS'!A1498" TargetMode="External" Id="rId1579"/><Relationship Type="http://schemas.openxmlformats.org/officeDocument/2006/relationships/hyperlink" Target="#'10 EVIDENCE &amp; DECISIONS'!A1499" TargetMode="External" Id="rId1580"/><Relationship Type="http://schemas.openxmlformats.org/officeDocument/2006/relationships/hyperlink" Target="#'10 EVIDENCE &amp; DECISIONS'!A1500" TargetMode="External" Id="rId1581"/><Relationship Type="http://schemas.openxmlformats.org/officeDocument/2006/relationships/hyperlink" Target="#'10 EVIDENCE &amp; DECISIONS'!A1501" TargetMode="External" Id="rId1582"/><Relationship Type="http://schemas.openxmlformats.org/officeDocument/2006/relationships/hyperlink" Target="#'10 EVIDENCE &amp; DECISIONS'!A1502" TargetMode="External" Id="rId1583"/><Relationship Type="http://schemas.openxmlformats.org/officeDocument/2006/relationships/hyperlink" Target="#'10 EVIDENCE &amp; DECISIONS'!A1503" TargetMode="External" Id="rId1584"/><Relationship Type="http://schemas.openxmlformats.org/officeDocument/2006/relationships/hyperlink" Target="#'10 EVIDENCE &amp; DECISIONS'!A1504" TargetMode="External" Id="rId1585"/><Relationship Type="http://schemas.openxmlformats.org/officeDocument/2006/relationships/hyperlink" Target="#'10 EVIDENCE &amp; DECISIONS'!A1505" TargetMode="External" Id="rId1586"/><Relationship Type="http://schemas.openxmlformats.org/officeDocument/2006/relationships/hyperlink" Target="#'10 EVIDENCE &amp; DECISIONS'!A1506" TargetMode="External" Id="rId1587"/><Relationship Type="http://schemas.openxmlformats.org/officeDocument/2006/relationships/hyperlink" Target="#'10 EVIDENCE &amp; DECISIONS'!A1507" TargetMode="External" Id="rId1588"/><Relationship Type="http://schemas.openxmlformats.org/officeDocument/2006/relationships/hyperlink" Target="#'10 EVIDENCE &amp; DECISIONS'!A1508" TargetMode="External" Id="rId1589"/><Relationship Type="http://schemas.openxmlformats.org/officeDocument/2006/relationships/hyperlink" Target="#'10 EVIDENCE &amp; DECISIONS'!A1509" TargetMode="External" Id="rId1590"/><Relationship Type="http://schemas.openxmlformats.org/officeDocument/2006/relationships/hyperlink" Target="#'10 EVIDENCE &amp; DECISIONS'!A1510" TargetMode="External" Id="rId1591"/><Relationship Type="http://schemas.openxmlformats.org/officeDocument/2006/relationships/hyperlink" Target="#'10 EVIDENCE &amp; DECISIONS'!A1511" TargetMode="External" Id="rId1592"/><Relationship Type="http://schemas.openxmlformats.org/officeDocument/2006/relationships/hyperlink" Target="#'10 EVIDENCE &amp; DECISIONS'!A1512" TargetMode="External" Id="rId1593"/><Relationship Type="http://schemas.openxmlformats.org/officeDocument/2006/relationships/hyperlink" Target="#'10 EVIDENCE &amp; DECISIONS'!A1513" TargetMode="External" Id="rId1594"/><Relationship Type="http://schemas.openxmlformats.org/officeDocument/2006/relationships/hyperlink" Target="#'10 EVIDENCE &amp; DECISIONS'!A1514" TargetMode="External" Id="rId1595"/><Relationship Type="http://schemas.openxmlformats.org/officeDocument/2006/relationships/hyperlink" Target="#'10 EVIDENCE &amp; DECISIONS'!A1515" TargetMode="External" Id="rId1596"/><Relationship Type="http://schemas.openxmlformats.org/officeDocument/2006/relationships/hyperlink" Target="#'10 EVIDENCE &amp; DECISIONS'!A1516" TargetMode="External" Id="rId1597"/><Relationship Type="http://schemas.openxmlformats.org/officeDocument/2006/relationships/hyperlink" Target="#'10 EVIDENCE &amp; DECISIONS'!A1517" TargetMode="External" Id="rId1598"/><Relationship Type="http://schemas.openxmlformats.org/officeDocument/2006/relationships/hyperlink" Target="#'10 EVIDENCE &amp; DECISIONS'!A1518" TargetMode="External" Id="rId1599"/><Relationship Type="http://schemas.openxmlformats.org/officeDocument/2006/relationships/hyperlink" Target="#'10 EVIDENCE &amp; DECISIONS'!A1519" TargetMode="External" Id="rId1600"/><Relationship Type="http://schemas.openxmlformats.org/officeDocument/2006/relationships/hyperlink" Target="#'10 EVIDENCE &amp; DECISIONS'!A1520" TargetMode="External" Id="rId1601"/><Relationship Type="http://schemas.openxmlformats.org/officeDocument/2006/relationships/hyperlink" Target="#'10 EVIDENCE &amp; DECISIONS'!A1521" TargetMode="External" Id="rId1602"/><Relationship Type="http://schemas.openxmlformats.org/officeDocument/2006/relationships/hyperlink" Target="#'10 EVIDENCE &amp; DECISIONS'!A1522" TargetMode="External" Id="rId1603"/><Relationship Type="http://schemas.openxmlformats.org/officeDocument/2006/relationships/hyperlink" Target="#'10 EVIDENCE &amp; DECISIONS'!A1523" TargetMode="External" Id="rId1604"/><Relationship Type="http://schemas.openxmlformats.org/officeDocument/2006/relationships/hyperlink" Target="#'10 EVIDENCE &amp; DECISIONS'!A1524" TargetMode="External" Id="rId1605"/><Relationship Type="http://schemas.openxmlformats.org/officeDocument/2006/relationships/hyperlink" Target="#'10 EVIDENCE &amp; DECISIONS'!A1525" TargetMode="External" Id="rId1606"/><Relationship Type="http://schemas.openxmlformats.org/officeDocument/2006/relationships/hyperlink" Target="#'10 EVIDENCE &amp; DECISIONS'!A1526" TargetMode="External" Id="rId1607"/><Relationship Type="http://schemas.openxmlformats.org/officeDocument/2006/relationships/hyperlink" Target="#'10 EVIDENCE &amp; DECISIONS'!A1527" TargetMode="External" Id="rId1608"/><Relationship Type="http://schemas.openxmlformats.org/officeDocument/2006/relationships/hyperlink" Target="#'10 EVIDENCE &amp; DECISIONS'!A1528" TargetMode="External" Id="rId1609"/><Relationship Type="http://schemas.openxmlformats.org/officeDocument/2006/relationships/hyperlink" Target="#'10 EVIDENCE &amp; DECISIONS'!A1529" TargetMode="External" Id="rId1610"/><Relationship Type="http://schemas.openxmlformats.org/officeDocument/2006/relationships/hyperlink" Target="#'10 EVIDENCE &amp; DECISIONS'!A1530" TargetMode="External" Id="rId1611"/><Relationship Type="http://schemas.openxmlformats.org/officeDocument/2006/relationships/hyperlink" Target="#'10 EVIDENCE &amp; DECISIONS'!A1531" TargetMode="External" Id="rId1612"/><Relationship Type="http://schemas.openxmlformats.org/officeDocument/2006/relationships/hyperlink" Target="#'10 EVIDENCE &amp; DECISIONS'!A1532" TargetMode="External" Id="rId1613"/><Relationship Type="http://schemas.openxmlformats.org/officeDocument/2006/relationships/hyperlink" Target="#'10 EVIDENCE &amp; DECISIONS'!A1533" TargetMode="External" Id="rId1614"/><Relationship Type="http://schemas.openxmlformats.org/officeDocument/2006/relationships/hyperlink" Target="#'10 EVIDENCE &amp; DECISIONS'!A1534" TargetMode="External" Id="rId1615"/><Relationship Type="http://schemas.openxmlformats.org/officeDocument/2006/relationships/hyperlink" Target="#'10 EVIDENCE &amp; DECISIONS'!A1535" TargetMode="External" Id="rId1616"/><Relationship Type="http://schemas.openxmlformats.org/officeDocument/2006/relationships/hyperlink" Target="#'10 EVIDENCE &amp; DECISIONS'!A1536" TargetMode="External" Id="rId1617"/><Relationship Type="http://schemas.openxmlformats.org/officeDocument/2006/relationships/hyperlink" Target="#'10 EVIDENCE &amp; DECISIONS'!A1537" TargetMode="External" Id="rId1618"/><Relationship Type="http://schemas.openxmlformats.org/officeDocument/2006/relationships/hyperlink" Target="#'10 EVIDENCE &amp; DECISIONS'!A1538" TargetMode="External" Id="rId1619"/><Relationship Type="http://schemas.openxmlformats.org/officeDocument/2006/relationships/hyperlink" Target="#'10 EVIDENCE &amp; DECISIONS'!A1539" TargetMode="External" Id="rId1620"/><Relationship Type="http://schemas.openxmlformats.org/officeDocument/2006/relationships/hyperlink" Target="#'10 EVIDENCE &amp; DECISIONS'!A1540" TargetMode="External" Id="rId1621"/><Relationship Type="http://schemas.openxmlformats.org/officeDocument/2006/relationships/hyperlink" Target="#'10 EVIDENCE &amp; DECISIONS'!A1541" TargetMode="External" Id="rId1622"/><Relationship Type="http://schemas.openxmlformats.org/officeDocument/2006/relationships/hyperlink" Target="#'10 EVIDENCE &amp; DECISIONS'!A1542" TargetMode="External" Id="rId1623"/><Relationship Type="http://schemas.openxmlformats.org/officeDocument/2006/relationships/hyperlink" Target="#'10 EVIDENCE &amp; DECISIONS'!A1543" TargetMode="External" Id="rId1624"/><Relationship Type="http://schemas.openxmlformats.org/officeDocument/2006/relationships/hyperlink" Target="#'10 EVIDENCE &amp; DECISIONS'!A1544" TargetMode="External" Id="rId1625"/><Relationship Type="http://schemas.openxmlformats.org/officeDocument/2006/relationships/hyperlink" Target="#'10 EVIDENCE &amp; DECISIONS'!A1545" TargetMode="External" Id="rId1626"/><Relationship Type="http://schemas.openxmlformats.org/officeDocument/2006/relationships/hyperlink" Target="#'10 EVIDENCE &amp; DECISIONS'!A1546" TargetMode="External" Id="rId1627"/><Relationship Type="http://schemas.openxmlformats.org/officeDocument/2006/relationships/hyperlink" Target="#'10 EVIDENCE &amp; DECISIONS'!A1547" TargetMode="External" Id="rId1628"/><Relationship Type="http://schemas.openxmlformats.org/officeDocument/2006/relationships/hyperlink" Target="#'10 EVIDENCE &amp; DECISIONS'!A1364" TargetMode="External" Id="rId1629"/><Relationship Type="http://schemas.openxmlformats.org/officeDocument/2006/relationships/hyperlink" Target="#'10 EVIDENCE &amp; DECISIONS'!A1365" TargetMode="External" Id="rId1630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09 WBS EXPLORER'!A1" TargetMode="External" Id="rId9"/><Relationship Type="http://schemas.openxmlformats.org/officeDocument/2006/relationships/hyperlink" Target="#'08 CROSSWALK'!A6" TargetMode="External" Id="rId10"/><Relationship Type="http://schemas.openxmlformats.org/officeDocument/2006/relationships/hyperlink" Target="#'08 CROSSWALK'!A6" TargetMode="External" Id="rId11"/><Relationship Type="http://schemas.openxmlformats.org/officeDocument/2006/relationships/hyperlink" Target="#'08 CROSSWALK'!A16" TargetMode="External" Id="rId12"/><Relationship Type="http://schemas.openxmlformats.org/officeDocument/2006/relationships/hyperlink" Target="#'08 CROSSWALK'!A176" TargetMode="External" Id="rId13"/><Relationship Type="http://schemas.openxmlformats.org/officeDocument/2006/relationships/hyperlink" Target="#'08 CROSSWALK'!A276" TargetMode="External" Id="rId14"/><Relationship Type="http://schemas.openxmlformats.org/officeDocument/2006/relationships/hyperlink" Target="#'08 CROSSWALK'!A287" TargetMode="External" Id="rId15"/><Relationship Type="http://schemas.openxmlformats.org/officeDocument/2006/relationships/hyperlink" Target="#'08 CROSSWALK'!A447" TargetMode="External" Id="rId16"/><Relationship Type="http://schemas.openxmlformats.org/officeDocument/2006/relationships/hyperlink" Target="#'08 CROSSWALK'!A546" TargetMode="External" Id="rId17"/><Relationship Type="http://schemas.openxmlformats.org/officeDocument/2006/relationships/hyperlink" Target="#'08 CROSSWALK'!A556" TargetMode="External" Id="rId18"/><Relationship Type="http://schemas.openxmlformats.org/officeDocument/2006/relationships/hyperlink" Target="#'08 CROSSWALK'!A716" TargetMode="External" Id="rId19"/><Relationship Type="http://schemas.openxmlformats.org/officeDocument/2006/relationships/hyperlink" Target="#'08 CROSSWALK'!A815" TargetMode="External" Id="rId20"/><Relationship Type="http://schemas.openxmlformats.org/officeDocument/2006/relationships/hyperlink" Target="#'08 CROSSWALK'!A825" TargetMode="External" Id="rId21"/><Relationship Type="http://schemas.openxmlformats.org/officeDocument/2006/relationships/hyperlink" Target="#'08 CROSSWALK'!A985" TargetMode="External" Id="rId22"/><Relationship Type="http://schemas.openxmlformats.org/officeDocument/2006/relationships/hyperlink" Target="#'08 CROSSWALK'!A1084" TargetMode="External" Id="rId23"/><Relationship Type="http://schemas.openxmlformats.org/officeDocument/2006/relationships/hyperlink" Target="#'08 CROSSWALK'!A1094" TargetMode="External" Id="rId24"/><Relationship Type="http://schemas.openxmlformats.org/officeDocument/2006/relationships/hyperlink" Target="#'08 CROSSWALK'!A1214" TargetMode="External" Id="rId25"/><Relationship Type="http://schemas.openxmlformats.org/officeDocument/2006/relationships/hyperlink" Target="#'08 CROSSWALK'!A1274" TargetMode="External" Id="rId26"/><Relationship Type="http://schemas.openxmlformats.org/officeDocument/2006/relationships/hyperlink" Target="#'08 CROSSWALK'!A1284" TargetMode="External" Id="rId27"/><Relationship Type="http://schemas.openxmlformats.org/officeDocument/2006/relationships/hyperlink" Target="#'08 CROSSWALK'!A1324" TargetMode="External" Id="rId28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hyperlink" Target="#'04 ISSUES FOR REVIEW'!A1" TargetMode="External" Id="rId2"/><Relationship Type="http://schemas.openxmlformats.org/officeDocument/2006/relationships/hyperlink" Target="#'05 INTEGRATION HEALTH'!A1" TargetMode="External" Id="rId3"/><Relationship Type="http://schemas.openxmlformats.org/officeDocument/2006/relationships/hyperlink" Target="#'06 INTEGRATED PROJECT'!A1" TargetMode="External" Id="rId4"/><Relationship Type="http://schemas.openxmlformats.org/officeDocument/2006/relationships/hyperlink" Target="#'07 CHANGES &amp; REVALIDATION'!A1" TargetMode="External" Id="rId5"/><Relationship Type="http://schemas.openxmlformats.org/officeDocument/2006/relationships/hyperlink" Target="#'08 CROSSWALK'!A1" TargetMode="External" Id="rId6"/><Relationship Type="http://schemas.openxmlformats.org/officeDocument/2006/relationships/hyperlink" Target="#'10 EVIDENCE &amp; DECISIONS'!A1" TargetMode="External" Id="rId7"/><Relationship Type="http://schemas.openxmlformats.org/officeDocument/2006/relationships/hyperlink" Target="#'11 SOURCES &amp; PROVENANCE'!A1" TargetMode="External" Id="rId8"/><Relationship Type="http://schemas.openxmlformats.org/officeDocument/2006/relationships/hyperlink" Target="#'08 CROSSWALK'!A1" TargetMode="External" Id="rId9"/><Relationship Type="http://schemas.openxmlformats.org/officeDocument/2006/relationships/hyperlink" Target="#'08 CROSSWALK'!A1" TargetMode="External" Id="rId10"/><Relationship Type="http://schemas.openxmlformats.org/officeDocument/2006/relationships/hyperlink" Target="#'08 CROSSWALK'!A1" TargetMode="External" Id="rId11"/><Relationship Type="http://schemas.openxmlformats.org/officeDocument/2006/relationships/hyperlink" Target="#'08 CROSSWALK'!A1" TargetMode="External" Id="rId12"/><Relationship Type="http://schemas.openxmlformats.org/officeDocument/2006/relationships/hyperlink" Target="#'08 CROSSWALK'!A1" TargetMode="External" Id="rId13"/><Relationship Type="http://schemas.openxmlformats.org/officeDocument/2006/relationships/hyperlink" Target="#'08 CROSSWALK'!A1" TargetMode="External" Id="rId14"/><Relationship Type="http://schemas.openxmlformats.org/officeDocument/2006/relationships/hyperlink" Target="#'08 CROSSWALK'!A1" TargetMode="External" Id="rId15"/><Relationship Type="http://schemas.openxmlformats.org/officeDocument/2006/relationships/hyperlink" Target="#'08 CROSSWALK'!A1" TargetMode="External" Id="rId16"/><Relationship Type="http://schemas.openxmlformats.org/officeDocument/2006/relationships/hyperlink" Target="#'08 CROSSWALK'!A1" TargetMode="External" Id="rId17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1.xml.rels><Relationships xmlns="http://schemas.openxmlformats.org/package/2006/relationships"><Relationship Type="http://schemas.openxmlformats.org/officeDocument/2006/relationships/hyperlink" Target="#'03 EXECUTIVE VIEW'!A1" TargetMode="External" Id="rId1"/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sheet1.xml><?xml version="1.0" encoding="utf-8"?>
<worksheet xmlns="http://schemas.openxmlformats.org/spreadsheetml/2006/main">
  <sheetPr>
    <tabColor rgb="008F5A28"/>
    <outlinePr summaryBelow="0" summaryRight="0"/>
    <pageSetUpPr fitToPage="1"/>
  </sheetPr>
  <dimension ref="A1:B22"/>
  <sheetViews>
    <sheetView showGridLines="0" tabSelected="0" topLeftCell="A1" zoomScale="100" zoomScaleNormal="100"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13" customWidth="1" min="3" max="3"/>
  </cols>
  <sheetData>
    <row r="1">
      <c r="A1" t="n"/>
    </row>
    <row r="2" ht="38" customHeight="1">
      <c r="A2" s="82" t="inlineStr">
        <is>
          <t>ZP SYNERGY GROUP INC.</t>
        </is>
      </c>
    </row>
    <row r="4" ht="43" customHeight="1">
      <c r="A4" s="83" t="inlineStr">
        <is>
          <r>
            <t>WBS</t>
          </r>
          <r>
            <rPr>
              <rFont val="DejaVu Sans"/>
              <b val="1"/>
              <sz val="28"/>
            </rPr>
            <t>↔</t>
          </r>
          <r>
            <t>LINK™</t>
          </r>
        </is>
      </c>
    </row>
    <row r="5" ht="51" customHeight="1">
      <c r="A5" s="84" t="inlineStr">
        <is>
          <t>Premium Integrated Project Controls Workbook</t>
        </is>
      </c>
    </row>
    <row r="7" ht="44" customHeight="1">
      <c r="A7" s="85" t="inlineStr">
        <is>
          <t>HarbourLink Urban Transit Expansion</t>
        </is>
      </c>
    </row>
    <row r="10" ht="38" customHeight="1">
      <c r="A10" s="86" t="inlineStr">
        <is>
          <t>Workbook state</t>
        </is>
      </c>
      <c r="B10" s="22" t="inlineStr">
        <is>
          <t>Approved project-controls relationship state</t>
        </is>
      </c>
    </row>
    <row r="11" ht="64" customHeight="1">
      <c r="A11" s="86" t="inlineStr">
        <is>
          <t>Reporting / data date</t>
        </is>
      </c>
      <c r="B11" s="22" t="inlineStr">
        <is>
          <t>2027-06-30 (Contractor Programme Rev 0); 2027-06-30 (Cost &amp; Forecast Control Accounts Rev 0); 2027-06-30 (Commercial Package Register Rev 0)</t>
        </is>
      </c>
    </row>
    <row r="12" ht="38" customHeight="1">
      <c r="A12" s="86" t="inlineStr">
        <is>
          <t>Approved by</t>
        </is>
      </c>
      <c r="B12" s="22" t="inlineStr">
        <is>
          <t>Maya Chen, Owner Project Controls</t>
        </is>
      </c>
    </row>
    <row r="13" ht="38" customHeight="1">
      <c r="A13" s="86" t="inlineStr">
        <is>
          <t>Approved (UTC)</t>
        </is>
      </c>
      <c r="B13" s="22" t="inlineStr">
        <is>
          <t>2026-10-12 14:25</t>
        </is>
      </c>
    </row>
    <row r="14" ht="38" customHeight="1">
      <c r="A14" s="86" t="inlineStr">
        <is>
          <t>WBS version</t>
        </is>
      </c>
      <c r="B14" s="22" t="inlineStr">
        <is>
          <t>1</t>
        </is>
      </c>
    </row>
    <row r="15" ht="79" customHeight="1">
      <c r="A15" s="86" t="inlineStr">
        <is>
          <t>Source set</t>
        </is>
      </c>
      <c r="B15" s="22" t="inlineStr">
        <is>
          <t>Commercial Package Register (WORK_PACKAGE_LIST, Rev 0); Contractor Programme (SCHEDULE, Rev 0); Cost &amp; Forecast Control Accounts (COST_ESTIMATE, Rev 0); Owner WBS (WBS_DICTIONARY, Rev 0)</t>
        </is>
      </c>
    </row>
    <row r="18" ht="67" customHeight="1">
      <c r="A18" s="33" t="inlineStr">
        <is>
          <t>HarbourLink is a fictional infrastructure example. Begin with the approved position, choose one finding, then follow the original source and recorded professional authority. Use the report Print PDF for the executive print route; this workbook is the deeper working evidence tool.</t>
        </is>
      </c>
    </row>
    <row r="19" ht="67" customHeight="1"/>
    <row r="20" ht="67" customHeight="1"/>
    <row r="22" ht="34" customHeight="1">
      <c r="A22" s="87" t="inlineStr">
        <is>
          <t>Begin with 02 START HERE →</t>
        </is>
      </c>
    </row>
  </sheetData>
  <mergeCells count="5">
    <mergeCell ref="A4:B4"/>
    <mergeCell ref="A2:B2"/>
    <mergeCell ref="A7:B7"/>
    <mergeCell ref="A5:B5"/>
    <mergeCell ref="A18:A20"/>
  </mergeCells>
  <hyperlinks>
    <hyperlink xmlns:r="http://schemas.openxmlformats.org/officeDocument/2006/relationships" ref="A22" r:id="rId1"/>
  </hyperlinks>
  <pageMargins left="0.75" right="0.75" top="1" bottom="1" header="0.5" footer="0.5"/>
  <pageSetup orientation="landscape" fitToHeight="1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8F5A28"/>
    <outlinePr summaryBelow="0" summaryRight="0"/>
    <pageSetUpPr fitToPage="1"/>
  </sheetPr>
  <dimension ref="A1:H71"/>
  <sheetViews>
    <sheetView showGridLines="0" tabSelected="0" topLeftCell="A1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8" customHeight="1">
      <c r="A1" s="88" t="inlineStr">
        <is>
          <t>HOW TO USE THIS WORKBOOK</t>
        </is>
      </c>
    </row>
    <row r="2" ht="64" customHeight="1">
      <c r="A2" s="89" t="inlineStr">
        <is>
          <t>Choose your task. Follow the same finding from the approved position to original evidence.</t>
        </is>
      </c>
    </row>
    <row r="3" ht="34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34" customHeight="1">
      <c r="A5" s="91" t="inlineStr">
        <is>
          <t>Start with your task</t>
        </is>
      </c>
      <c r="B5" s="91" t="inlineStr">
        <is>
          <t>Purpose and next step</t>
        </is>
      </c>
    </row>
    <row r="6" ht="34" customHeight="1">
      <c r="A6" s="92" t="inlineStr">
        <is>
          <t>Executive | Position</t>
        </is>
      </c>
      <c r="B6" s="34" t="inlineStr">
        <is>
          <t>Read the approved position; four governed charts and their source tables.</t>
        </is>
      </c>
    </row>
    <row r="7" ht="49" customHeight="1">
      <c r="A7" s="92" t="inlineStr">
        <is>
          <t>Controls | Issues</t>
        </is>
      </c>
      <c r="B7" s="34" t="inlineStr">
        <is>
          <t>Choose one issue and its exact professional Action. Issues are not ranked.</t>
        </is>
      </c>
    </row>
    <row r="8" ht="34" customHeight="1">
      <c r="A8" s="92" t="inlineStr">
        <is>
          <t>Controls | WBS scope</t>
        </is>
      </c>
      <c r="B8" s="34" t="inlineStr">
        <is>
          <t>Primary WBS view: governed relationship coverage/status. Then open Crosswalk.</t>
        </is>
      </c>
    </row>
    <row r="9" ht="34" customHeight="1">
      <c r="A9" s="92" t="inlineStr">
        <is>
          <t>Analyst | Crosswalk</t>
        </is>
      </c>
      <c r="B9" s="34" t="inlineStr">
        <is>
          <t>Filter WBS code / Source Record ID; follow the stable Relationship ID.</t>
        </is>
      </c>
    </row>
    <row r="10" ht="49" customHeight="1">
      <c r="A10" s="92" t="inlineStr">
        <is>
          <t>Analyst | Evidence</t>
        </is>
      </c>
      <c r="B10" s="34" t="inlineStr">
        <is>
          <t>Match Relationship ID: source assertion, interpretation, contrary evidence, human decision.</t>
        </is>
      </c>
    </row>
    <row r="11" ht="34" customHeight="1">
      <c r="A11" s="92" t="inlineStr">
        <is>
          <t>Controls | Cycle change</t>
        </is>
      </c>
      <c r="B11" s="34" t="inlineStr">
        <is>
          <t>Inspect the approved-cycle movement and what returned for review.</t>
        </is>
      </c>
    </row>
    <row r="12" ht="34" customHeight="1">
      <c r="A12" s="92" t="inlineStr">
        <is>
          <t>Assurance | Sources</t>
        </is>
      </c>
      <c r="B12" s="34" t="inlineStr">
        <is>
          <t>Identify source, approved revision and original representation.</t>
        </is>
      </c>
    </row>
    <row r="13" ht="34" customHeight="1">
      <c r="A13" s="92" t="inlineStr">
        <is>
          <t>Assurance | Withholding</t>
        </is>
      </c>
      <c r="B13" s="34" t="inlineStr">
        <is>
          <t>Check withholding, approved basis and definitions.</t>
        </is>
      </c>
    </row>
    <row r="14" ht="29" customHeight="1">
      <c r="A14" s="13" t="n"/>
      <c r="B14" s="14" t="n"/>
    </row>
    <row r="17" ht="34" customHeight="1">
      <c r="A17" s="28" t="inlineStr">
        <is>
          <t>One evidence path</t>
        </is>
      </c>
    </row>
    <row r="18" ht="47" customHeight="1">
      <c r="A18" s="89" t="inlineStr">
        <is>
          <t>Approved position → named finding → Owner WBS → Crosswalk → original source / interpretation → professional decision → separate approval. Compare the next cycle only after reading the approved baseline.</t>
        </is>
      </c>
    </row>
    <row r="19" ht="47" customHeight="1"/>
    <row r="20" ht="47" customHeight="1"/>
    <row r="22" ht="49" customHeight="1">
      <c r="A22" s="28" t="inlineStr">
        <is>
          <t>Supporting diagnostics and scope detail</t>
        </is>
      </c>
    </row>
    <row r="23" ht="49" customHeight="1">
      <c r="A23" s="92" t="inlineStr">
        <is>
          <t>13 REVISIONS &amp; PERIODS</t>
        </is>
      </c>
      <c r="B23" s="34" t="inlineStr">
        <is>
          <t>See which reporting revision each source is on, what superseded what, and why only part of the relationship state reopened.</t>
        </is>
      </c>
    </row>
    <row r="24" ht="79" customHeight="1">
      <c r="A24" s="92" t="inlineStr">
        <is>
          <t>14 WBS HIERARCHY</t>
        </is>
      </c>
      <c r="B24" s="34" t="inlineStr">
        <is>
          <t>Approved scope tree and direct/branch relationship ROW counts. Split targets may create multiple rows; retired rows are included unless filtered. Not interchangeable with 09 WBS EXPLORER.</t>
        </is>
      </c>
    </row>
    <row r="25" ht="34" customHeight="1">
      <c r="A25" s="92" t="inlineStr">
        <is>
          <t>15 ANALYSIS</t>
        </is>
      </c>
      <c r="B25" s="34" t="inlineStr">
        <is>
          <t>Cross-tabulate governed dimensions from MASTER DATA (formulas, self-checking).</t>
        </is>
      </c>
    </row>
    <row r="28" ht="64" customHeight="1">
      <c r="A28" s="92" t="inlineStr">
        <is>
          <t>EXECUTIVE</t>
        </is>
      </c>
      <c r="B28" s="34" t="inlineStr">
        <is>
          <t>Start at 03 EXECUTIVE VIEW. Read the position, exact Actions and withholding; inspect the four figures when a question needs diagnosis.</t>
        </is>
      </c>
    </row>
    <row r="29" ht="64" customHeight="1">
      <c r="A29" s="92" t="inlineStr">
        <is>
          <t>PROJECT CONTROLS</t>
        </is>
      </c>
      <c r="B29" s="34" t="inlineStr">
        <is>
          <t>Start at 04 ISSUES FOR REVIEW. Choose a finding, open its WBS scope in 09, then follow the actual source record and stable Relationship ID.</t>
        </is>
      </c>
    </row>
    <row r="30" ht="94" customHeight="1">
      <c r="A30" s="92" t="inlineStr">
        <is>
          <t>EVIDENCE</t>
        </is>
      </c>
      <c r="B30" s="34" t="inlineStr">
        <is>
          <t>Start at 10 EVIDENCE &amp; DECISIONS. Match the stable Relationship ID to source assertion, interpretation, contrary evidence and the recorded professional decision. Check approval-time sources in 11.</t>
        </is>
      </c>
    </row>
    <row r="31" ht="64" customHeight="1">
      <c r="A31" s="92" t="inlineStr">
        <is>
          <t>ASSURANCE / SOURCES</t>
        </is>
      </c>
      <c r="B31" s="34" t="inlineStr">
        <is>
          <t>Use 12 ASSURANCE for withholding and counting definitions; 13 REVISIONS &amp; PERIODS records lineage. Approval is separate from a record-level decision.</t>
        </is>
      </c>
    </row>
    <row r="32" ht="94" customHeight="1">
      <c r="A32" s="92" t="inlineStr">
        <is>
          <t>STUDENT · HARBOURLINK</t>
        </is>
      </c>
      <c r="B32" s="34" t="inlineStr">
        <is>
          <t>Start at WBS 1.5 Testing and Commissioning. Compare schedule and cost coverage; follow the issue to Crosswalk and Evidence. Inspect the recorded decision, then Cycle 2 Changes. This is a synthetic example, not an answer key.</t>
        </is>
      </c>
    </row>
    <row r="34" ht="124" customHeight="1">
      <c r="A34" s="93" t="inlineStr">
        <is>
          <t>Tab groups</t>
        </is>
      </c>
      <c r="B34" s="93" t="inlineStr">
        <is>
          <t>Cognac: orientation. Navy: executive decisions. Navy veil: diagnostics. Grey: source and assurance evidence. Steel: advanced and compatibility views. Colours support the sheet names; they do not indicate risk or project health.</t>
        </is>
      </c>
    </row>
    <row r="35" ht="124" customHeight="1">
      <c r="A35" s="93" t="inlineStr">
        <is>
          <t>Why the counts differ</t>
        </is>
      </c>
      <c r="B35" s="93" t="inlineStr">
        <is>
          <t>09 WBS EXPLORER counts distinct relationship coverage/status. 14 WBS HIERARCHY counts relationship ROWS per target, including split targets and retired rows unless filtered. Current movement, issue groups and unplaced outcomes have different populations.</t>
        </is>
      </c>
    </row>
    <row r="37" ht="34" customHeight="1">
      <c r="A37" s="93" t="inlineStr">
        <is>
          <t>Advanced evidence and supporting views</t>
        </is>
      </c>
    </row>
    <row r="38" ht="34" customHeight="1">
      <c r="A38" s="92" t="inlineStr">
        <is>
          <t>05 INTEGRATION HEALTH</t>
        </is>
      </c>
      <c r="B38" s="34" t="inlineStr">
        <is>
          <t>Cross-view relationship availability and gated analytical populations.</t>
        </is>
      </c>
    </row>
    <row r="39" ht="34" customHeight="1">
      <c r="A39" s="92" t="inlineStr">
        <is>
          <t>06 INTEGRATED PROJECT</t>
        </is>
      </c>
      <c r="B39" s="34" t="inlineStr">
        <is>
          <t>Supporting cross-view projections by WBS; use 09 for first scope navigation.</t>
        </is>
      </c>
    </row>
    <row r="40" ht="34" customHeight="1">
      <c r="A40" s="92" t="inlineStr">
        <is>
          <t>MASTER DATA</t>
        </is>
      </c>
      <c r="B40" s="34" t="inlineStr">
        <is>
          <t>Compatibility/formula source table; one row per relationship target.</t>
        </is>
      </c>
    </row>
    <row r="41" ht="34" customHeight="1">
      <c r="A41" s="92" t="inlineStr">
        <is>
          <t>OWNER WBS</t>
        </is>
      </c>
      <c r="B41" s="34" t="inlineStr">
        <is>
          <t>Approved source scope tree; original names, ancestry and evidence retained.</t>
        </is>
      </c>
    </row>
    <row r="42" ht="34" customHeight="1">
      <c r="A42" s="92" t="inlineStr">
        <is>
          <t>RELATIONSHIP EXPLORER</t>
        </is>
      </c>
      <c r="B42" s="34" t="inlineStr">
        <is>
          <t>Advanced formula-based target-row explorer; 09 is the primary scope view.</t>
        </is>
      </c>
    </row>
    <row r="43" ht="34" customHeight="1">
      <c r="A43" s="92" t="inlineStr">
        <is>
          <t>UNRESOLVED</t>
        </is>
      </c>
      <c r="B43" s="34" t="inlineStr">
        <is>
          <t>Supporting outcome records; uncertainty is not assessed outside scope.</t>
        </is>
      </c>
    </row>
    <row r="44" ht="34" customHeight="1">
      <c r="A44" s="92" t="inlineStr">
        <is>
          <t>HISTORY</t>
        </is>
      </c>
      <c r="B44" s="34" t="inlineStr">
        <is>
          <t>Compatibility approved-version history; 13 provides revision lineage.</t>
        </is>
      </c>
    </row>
    <row r="45" ht="34" customHeight="1">
      <c r="A45" s="92" t="inlineStr">
        <is>
          <t>SUMMARY</t>
        </is>
      </c>
      <c r="B45" s="34" t="inlineStr">
        <is>
          <t>Compatibility calculations; 03 is the canonical executive decision surface.</t>
        </is>
      </c>
    </row>
    <row r="50" ht="30" customHeight="1">
      <c r="A50" s="91" t="inlineStr">
        <is>
          <t>All-sheet purpose index</t>
        </is>
      </c>
      <c r="B50" s="91" t="inlineStr">
        <is>
          <t>Role and counting population</t>
        </is>
      </c>
    </row>
    <row r="51" ht="49" customHeight="1">
      <c r="A51" s="92" t="inlineStr">
        <is>
          <t>01 PROJECT</t>
        </is>
      </c>
      <c r="B51" s="34" t="inlineStr">
        <is>
          <t>Publication identity, approved version and source-set orientation; then open the index.</t>
        </is>
      </c>
    </row>
    <row r="52" ht="34" customHeight="1">
      <c r="A52" s="92" t="inlineStr">
        <is>
          <t>02 START HERE</t>
        </is>
      </c>
      <c r="B52" s="34" t="inlineStr">
        <is>
          <t>Primary task index and discoverable supporting/advanced destinations.</t>
        </is>
      </c>
    </row>
    <row r="53" ht="34" customHeight="1">
      <c r="A53" s="92" t="inlineStr">
        <is>
          <t>03 EXECUTIVE VIEW</t>
        </is>
      </c>
      <c r="B53" s="34" t="inlineStr">
        <is>
          <t>Canonical executive decision surface and four retained native charts.</t>
        </is>
      </c>
    </row>
    <row r="54" ht="34" customHeight="1">
      <c r="A54" s="92" t="inlineStr">
        <is>
          <t>04 ISSUES FOR REVIEW</t>
        </is>
      </c>
      <c r="B54" s="34" t="inlineStr">
        <is>
          <t>Exact governed matters and professional Actions; no materiality ranking.</t>
        </is>
      </c>
    </row>
    <row r="55" ht="34" customHeight="1">
      <c r="A55" s="92" t="inlineStr">
        <is>
          <t>05 INTEGRATION HEALTH</t>
        </is>
      </c>
      <c r="B55" s="34" t="inlineStr">
        <is>
          <t>Cross-view relationship availability and gated analytical populations.</t>
        </is>
      </c>
    </row>
    <row r="56" ht="34" customHeight="1">
      <c r="A56" s="92" t="inlineStr">
        <is>
          <t>06 INTEGRATED PROJECT</t>
        </is>
      </c>
      <c r="B56" s="34" t="inlineStr">
        <is>
          <t>Supporting cross-view projections by WBS; use 09 for first scope navigation.</t>
        </is>
      </c>
    </row>
    <row r="57" ht="34" customHeight="1">
      <c r="A57" s="92" t="inlineStr">
        <is>
          <t>07 CHANGES &amp; REVALIDATION</t>
        </is>
      </c>
      <c r="B57" s="34" t="inlineStr">
        <is>
          <t>Relationship change classification and separate revalidation.</t>
        </is>
      </c>
    </row>
    <row r="58" ht="34" customHeight="1">
      <c r="A58" s="92" t="inlineStr">
        <is>
          <t>08 CROSSWALK</t>
        </is>
      </c>
      <c r="B58" s="34" t="inlineStr">
        <is>
          <t>Approved source-to-WBS targets; split targets are separate rows.</t>
        </is>
      </c>
    </row>
    <row r="59" ht="34" customHeight="1">
      <c r="A59" s="92" t="inlineStr">
        <is>
          <t>09 WBS EXPLORER</t>
        </is>
      </c>
      <c r="B59" s="34" t="inlineStr">
        <is>
          <t>Primary scope navigation: distinct relationship coverage/status.</t>
        </is>
      </c>
    </row>
    <row r="60" ht="34" customHeight="1">
      <c r="A60" s="92" t="inlineStr">
        <is>
          <t>10 EVIDENCE &amp; DECISIONS</t>
        </is>
      </c>
      <c r="B60" s="34" t="inlineStr">
        <is>
          <t>Source assertion, interpretation, contrary evidence and human decision.</t>
        </is>
      </c>
    </row>
    <row r="61" ht="34" customHeight="1">
      <c r="A61" s="92" t="inlineStr">
        <is>
          <t>11 SOURCES &amp; PROVENANCE</t>
        </is>
      </c>
      <c r="B61" s="34" t="inlineStr">
        <is>
          <t>Approval-time source revisions and representation integrity.</t>
        </is>
      </c>
    </row>
    <row r="62" ht="34" customHeight="1">
      <c r="A62" s="92" t="inlineStr">
        <is>
          <t>12 ASSURANCE</t>
        </is>
      </c>
      <c r="B62" s="34" t="inlineStr">
        <is>
          <t>Withholding, metric ledger, evidence boundary and reconciliation.</t>
        </is>
      </c>
    </row>
    <row r="63" ht="34" customHeight="1">
      <c r="A63" s="92" t="inlineStr">
        <is>
          <t>13 REVISIONS &amp; PERIODS</t>
        </is>
      </c>
      <c r="B63" s="34" t="inlineStr">
        <is>
          <t>Advanced revision lineage and reporting-period state of record.</t>
        </is>
      </c>
    </row>
    <row r="64" ht="49" customHeight="1">
      <c r="A64" s="92" t="inlineStr">
        <is>
          <t>14 WBS HIERARCHY</t>
        </is>
      </c>
      <c r="B64" s="34" t="inlineStr">
        <is>
          <t>Advanced approved scope tree and relationship ROW rollups; split/retired included unless filtered.</t>
        </is>
      </c>
    </row>
    <row r="65" ht="34" customHeight="1">
      <c r="A65" s="92" t="inlineStr">
        <is>
          <t>15 ANALYSIS</t>
        </is>
      </c>
      <c r="B65" s="34" t="inlineStr">
        <is>
          <t>Advanced filter/formula analysis; not the executive first-use summary.</t>
        </is>
      </c>
    </row>
    <row r="66" ht="34" customHeight="1">
      <c r="A66" s="92" t="inlineStr">
        <is>
          <t>MASTER DATA</t>
        </is>
      </c>
      <c r="B66" s="34" t="inlineStr">
        <is>
          <t>Compatibility/formula source table; one row per relationship target.</t>
        </is>
      </c>
    </row>
    <row r="67" ht="34" customHeight="1">
      <c r="A67" s="92" t="inlineStr">
        <is>
          <t>OWNER WBS</t>
        </is>
      </c>
      <c r="B67" s="34" t="inlineStr">
        <is>
          <t>Approved source scope tree; original names, ancestry and evidence retained.</t>
        </is>
      </c>
    </row>
    <row r="68" ht="34" customHeight="1">
      <c r="A68" s="92" t="inlineStr">
        <is>
          <t>RELATIONSHIP EXPLORER</t>
        </is>
      </c>
      <c r="B68" s="34" t="inlineStr">
        <is>
          <t>Advanced formula-based target-row explorer; 09 is the primary scope view.</t>
        </is>
      </c>
    </row>
    <row r="69" ht="34" customHeight="1">
      <c r="A69" s="92" t="inlineStr">
        <is>
          <t>UNRESOLVED</t>
        </is>
      </c>
      <c r="B69" s="34" t="inlineStr">
        <is>
          <t>Supporting outcome records; uncertainty is not assessed outside scope.</t>
        </is>
      </c>
    </row>
    <row r="70" ht="34" customHeight="1">
      <c r="A70" s="92" t="inlineStr">
        <is>
          <t>HISTORY</t>
        </is>
      </c>
      <c r="B70" s="34" t="inlineStr">
        <is>
          <t>Compatibility approved-version history; 13 provides revision lineage.</t>
        </is>
      </c>
    </row>
    <row r="71" ht="34" customHeight="1">
      <c r="A71" s="92" t="inlineStr">
        <is>
          <t>SUMMARY</t>
        </is>
      </c>
      <c r="B71" s="34" t="inlineStr">
        <is>
          <t>Compatibility calculations; 03 is the canonical executive decision surface.</t>
        </is>
      </c>
    </row>
  </sheetData>
  <mergeCells count="2">
    <mergeCell ref="A18:A20"/>
    <mergeCell ref="A1:B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A6" r:id="rId9"/>
    <hyperlink xmlns:r="http://schemas.openxmlformats.org/officeDocument/2006/relationships" ref="A7" r:id="rId10"/>
    <hyperlink xmlns:r="http://schemas.openxmlformats.org/officeDocument/2006/relationships" ref="A8" r:id="rId11"/>
    <hyperlink xmlns:r="http://schemas.openxmlformats.org/officeDocument/2006/relationships" ref="A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8" r:id="rId25"/>
    <hyperlink xmlns:r="http://schemas.openxmlformats.org/officeDocument/2006/relationships" ref="A39" r:id="rId26"/>
    <hyperlink xmlns:r="http://schemas.openxmlformats.org/officeDocument/2006/relationships" ref="A40" r:id="rId27"/>
    <hyperlink xmlns:r="http://schemas.openxmlformats.org/officeDocument/2006/relationships" ref="A41" r:id="rId28"/>
    <hyperlink xmlns:r="http://schemas.openxmlformats.org/officeDocument/2006/relationships" ref="A42" r:id="rId29"/>
    <hyperlink xmlns:r="http://schemas.openxmlformats.org/officeDocument/2006/relationships" ref="A43" r:id="rId30"/>
    <hyperlink xmlns:r="http://schemas.openxmlformats.org/officeDocument/2006/relationships" ref="A44" r:id="rId31"/>
    <hyperlink xmlns:r="http://schemas.openxmlformats.org/officeDocument/2006/relationships" ref="A45" r:id="rId32"/>
    <hyperlink xmlns:r="http://schemas.openxmlformats.org/officeDocument/2006/relationships" ref="A51" r:id="rId33"/>
    <hyperlink xmlns:r="http://schemas.openxmlformats.org/officeDocument/2006/relationships" ref="A52" r:id="rId34"/>
    <hyperlink xmlns:r="http://schemas.openxmlformats.org/officeDocument/2006/relationships" ref="A53" r:id="rId35"/>
    <hyperlink xmlns:r="http://schemas.openxmlformats.org/officeDocument/2006/relationships" ref="A54" r:id="rId36"/>
    <hyperlink xmlns:r="http://schemas.openxmlformats.org/officeDocument/2006/relationships" ref="A55" r:id="rId37"/>
    <hyperlink xmlns:r="http://schemas.openxmlformats.org/officeDocument/2006/relationships" ref="A56" r:id="rId38"/>
    <hyperlink xmlns:r="http://schemas.openxmlformats.org/officeDocument/2006/relationships" ref="A57" r:id="rId39"/>
    <hyperlink xmlns:r="http://schemas.openxmlformats.org/officeDocument/2006/relationships" ref="A58" r:id="rId40"/>
    <hyperlink xmlns:r="http://schemas.openxmlformats.org/officeDocument/2006/relationships" ref="A59" r:id="rId41"/>
    <hyperlink xmlns:r="http://schemas.openxmlformats.org/officeDocument/2006/relationships" ref="A60" r:id="rId42"/>
    <hyperlink xmlns:r="http://schemas.openxmlformats.org/officeDocument/2006/relationships" ref="A61" r:id="rId43"/>
    <hyperlink xmlns:r="http://schemas.openxmlformats.org/officeDocument/2006/relationships" ref="A62" r:id="rId44"/>
    <hyperlink xmlns:r="http://schemas.openxmlformats.org/officeDocument/2006/relationships" ref="A63" r:id="rId45"/>
    <hyperlink xmlns:r="http://schemas.openxmlformats.org/officeDocument/2006/relationships" ref="A64" r:id="rId46"/>
    <hyperlink xmlns:r="http://schemas.openxmlformats.org/officeDocument/2006/relationships" ref="A65" r:id="rId47"/>
    <hyperlink xmlns:r="http://schemas.openxmlformats.org/officeDocument/2006/relationships" ref="A66" r:id="rId48"/>
    <hyperlink xmlns:r="http://schemas.openxmlformats.org/officeDocument/2006/relationships" ref="A67" r:id="rId49"/>
    <hyperlink xmlns:r="http://schemas.openxmlformats.org/officeDocument/2006/relationships" ref="A68" r:id="rId50"/>
    <hyperlink xmlns:r="http://schemas.openxmlformats.org/officeDocument/2006/relationships" ref="A69" r:id="rId51"/>
    <hyperlink xmlns:r="http://schemas.openxmlformats.org/officeDocument/2006/relationships" ref="A70" r:id="rId52"/>
    <hyperlink xmlns:r="http://schemas.openxmlformats.org/officeDocument/2006/relationships" ref="A71" r:id="rId53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21A2E"/>
    <outlinePr summaryBelow="0" summaryRight="0"/>
    <pageSetUpPr fitToPage="1"/>
  </sheetPr>
  <dimension ref="A1:I195"/>
  <sheetViews>
    <sheetView showGridLines="0" tabSelected="1" topLeftCell="A1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" customWidth="1" min="2" max="2"/>
    <col width="22" customWidth="1" min="3" max="3"/>
    <col width="3" customWidth="1" min="4" max="4"/>
    <col width="22" customWidth="1" min="5" max="5"/>
    <col width="3" customWidth="1" min="6" max="6"/>
    <col width="22" customWidth="1" min="7" max="7"/>
    <col width="3" customWidth="1" min="8" max="8"/>
    <col width="13" customWidth="1" min="9" max="9"/>
    <col width="13" customWidth="1" min="10" max="10"/>
  </cols>
  <sheetData>
    <row r="1" ht="59" customHeight="1">
      <c r="A1" s="88" t="inlineStr">
        <is>
          <t>EXECUTIVE VIEW</t>
        </is>
      </c>
    </row>
    <row r="2" ht="34" customHeight="1">
      <c r="A2" s="89" t="inlineStr">
        <is>
          <t>HarbourLink Urban Transit Expansion · approved integrated project view</t>
        </is>
      </c>
    </row>
    <row r="3" ht="19" customHeight="1">
      <c r="A3" s="90" t="inlineStr">
        <is>
          <t>Executive</t>
        </is>
      </c>
      <c r="C3" s="90" t="inlineStr">
        <is>
          <t>Issues</t>
        </is>
      </c>
      <c r="E3" s="90" t="inlineStr">
        <is>
          <t>Integration</t>
        </is>
      </c>
      <c r="G3" s="90" t="inlineStr">
        <is>
          <t>Project</t>
        </is>
      </c>
    </row>
    <row r="4" ht="19" customHeight="1">
      <c r="A4" s="90" t="inlineStr">
        <is>
          <t>Changes</t>
        </is>
      </c>
      <c r="C4" s="90" t="inlineStr">
        <is>
          <t>Crosswalk</t>
        </is>
      </c>
      <c r="E4" s="90" t="inlineStr">
        <is>
          <t>Evidence</t>
        </is>
      </c>
      <c r="G4" s="90" t="inlineStr">
        <is>
          <t>Sources</t>
        </is>
      </c>
    </row>
    <row r="5" ht="34" customHeight="1">
      <c r="A5" s="86" t="inlineStr">
        <is>
          <t>WHERE THE PROJECT STANDS</t>
        </is>
      </c>
      <c r="E5" s="86" t="inlineStr">
        <is>
          <t>ISSUES AND WITHHOLDING</t>
        </is>
      </c>
    </row>
    <row r="6" ht="57" customHeight="1">
      <c r="A6" s="21" t="inlineStr">
        <is>
          <t>4 / 6 Owner-WBS branches
schedule AND cost present</t>
        </is>
      </c>
      <c r="E6" s="22" t="inlineStr">
        <is>
          <t>1. 1.5 Testing and Commissioning: Schedule without cost coverage.
2. 1.6 Program Management: Cost without schedule coverage.
3. 1 item is recorded outside the current Owner WBS · Outside the current Owner WBS
4. 263 items still need more information before they can be placed in the Owner WBS</t>
        </is>
      </c>
    </row>
    <row r="7" ht="57" customHeight="1"/>
    <row r="8" ht="92" customHeight="1">
      <c r="A8" s="22" t="inlineStr">
        <is>
          <t>1.1 Guideway and Civil
Schedule: Present · Cost: Present
1.2 Stations
Schedule: Present · Cost: Present
1.3 Systems
Schedule: Present · Cost: Present
1.4 Vehicles and Depot
Schedule: Present · Cost: Present
1.5 Testing and Commissioning
Schedule: Present · Cost: ABSENT
1.6 Program Management
Schedule: ABSENT · Cost: Present</t>
        </is>
      </c>
    </row>
    <row r="9" ht="92" customHeight="1">
      <c r="E9" s="82" t="inlineStr">
        <is>
          <t>Cost / forecast total: Withheld. Aggregation eligibility is not established. See 12 ASSURANCE.</t>
        </is>
      </c>
    </row>
    <row r="10" ht="64" customHeight="1">
      <c r="A10" s="82" t="inlineStr">
        <is>
          <t>Next step: Confirm whether the missing governed relationship is expected or requires project-controls attention. (4 issues on sheet 04.)</t>
        </is>
      </c>
    </row>
    <row r="11" ht="34" customHeight="1">
      <c r="A11" s="86" t="inlineStr">
        <is>
          <t>Issues for review</t>
        </is>
      </c>
      <c r="C11" s="86" t="inlineStr">
        <is>
          <t>Initial relationships</t>
        </is>
      </c>
      <c r="E11" s="86" t="inlineStr">
        <is>
          <t>Reopened this cycle</t>
        </is>
      </c>
      <c r="G11" s="86" t="inlineStr">
        <is>
          <t>Source integrity</t>
        </is>
      </c>
    </row>
    <row r="12" ht="32" customHeight="1">
      <c r="A12" s="94" t="n">
        <v>4</v>
      </c>
      <c r="C12" s="94" t="n">
        <v>1622</v>
      </c>
      <c r="E12" s="94" t="n">
        <v>0</v>
      </c>
      <c r="G12" s="88" t="inlineStr">
        <is>
          <t>Established</t>
        </is>
      </c>
    </row>
    <row r="13" ht="79" customHeight="1">
      <c r="A13" s="89" t="inlineStr">
        <is>
          <t>Listed on sheet 04</t>
        </is>
      </c>
      <c r="C13" s="89" t="inlineStr">
        <is>
          <t>Established in the current reporting baseline</t>
        </is>
      </c>
      <c r="E13" s="89" t="inlineStr">
        <is>
          <t>Event count in the current baseline; issues needing attention now are on sheet 04</t>
        </is>
      </c>
      <c r="G13" s="89" t="inlineStr">
        <is>
          <t>Upstream truth gate</t>
        </is>
      </c>
    </row>
    <row r="15" ht="34" customHeight="1">
      <c r="A15" s="87" t="inlineStr">
        <is>
          <t>Review the issues →</t>
        </is>
      </c>
      <c r="C15" s="87" t="inlineStr">
        <is>
          <t>Open Integration Health →</t>
        </is>
      </c>
      <c r="E15" s="87" t="inlineStr">
        <is>
          <t>Open Changes →</t>
        </is>
      </c>
      <c r="G15" s="87" t="inlineStr">
        <is>
          <t>Prove it in Crosswalk →</t>
        </is>
      </c>
    </row>
    <row r="18" ht="19" customHeight="1">
      <c r="A18" s="28" t="inlineStr">
        <is>
          <t>What this workbook cannot establish</t>
        </is>
      </c>
    </row>
    <row r="19" ht="49" customHeight="1">
      <c r="A19" s="89" t="inlineStr">
        <is>
          <t>• Amount/date/duration management measures are withheld unless their field semantics are explicitly governed for that use.</t>
        </is>
      </c>
    </row>
    <row r="21" ht="17" customHeight="1">
      <c r="A21" s="28" t="inlineStr">
        <is>
          <t>1 · Schedule and cost relationships by WBS branch</t>
        </is>
      </c>
      <c r="E21" s="28" t="inlineStr">
        <is>
          <t>2 · Relationship outcomes by source</t>
        </is>
      </c>
    </row>
    <row r="22" ht="17" customHeight="1"/>
    <row r="23" ht="22" customHeight="1">
      <c r="A23" s="22" t="inlineStr">
        <is>
          <t>4 of 6 WBS branches carry both schedule and cost relationships; 2 branches are covered by only one of them.</t>
        </is>
      </c>
      <c r="E23" s="22" t="inlineStr">
        <is>
          <t>1,357 of 1,622 current relationships relate a source record to a WBS element, across 3 source documents. 265 are recorded outside the WBS or left unresolved.</t>
        </is>
      </c>
    </row>
    <row r="24" ht="22" customHeight="1"/>
    <row r="25" ht="22" customHeight="1"/>
    <row r="26" ht="22" customHeight="1">
      <c r="A26" s="22" t="inlineStr">
        <is>
          <t>Out of 6 reported WBS branches. Coverage is observed through the WBS; it is not a direct schedule-to-cost link. Detail: 05 INTEGRATION HEALTH.</t>
        </is>
      </c>
      <c r="E26" s="22" t="inlineStr">
        <is>
          <t>Out of 1,622 current relationships (retired relationships excluded); one relationship counted once even when split across several WBS elements. Detail: 08 CROSSWALK.</t>
        </is>
      </c>
    </row>
    <row r="27" ht="22" customHeight="1"/>
    <row r="28" ht="22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7" customHeight="1">
      <c r="A51" s="28" t="inlineStr">
        <is>
          <t>3 · No previous approved version to compare</t>
        </is>
      </c>
      <c r="E51" s="28" t="inlineStr">
        <is>
          <t>4 · Outcomes left unresolved or outside the WBS</t>
        </is>
      </c>
    </row>
    <row r="52" ht="17" customHeight="1"/>
    <row r="53" ht="27" customHeight="1">
      <c r="A53" s="22" t="inlineStr">
        <is>
          <t>No previous approved version is recorded, so all 1,622 relationships are new in this reporting baseline. The next cycle will show what carried forward and what changed.</t>
        </is>
      </c>
      <c r="E53" s="22" t="inlineStr">
        <is>
          <t>265 of 1,622 current relationships are left unresolved or recorded outside the approved WBS. Rely only on conclusions that do not depend on them; sheet 04 groups them into the issues for review.</t>
        </is>
      </c>
    </row>
    <row r="54" ht="27" customHeight="1"/>
    <row r="55" ht="27" customHeight="1"/>
    <row r="56" ht="22" customHeight="1">
      <c r="A56" s="22" t="inlineStr">
        <is>
          <t>Out of 1,622 relationships in this baseline, by change label. Detail: 07 CHANGES &amp; REVALIDATION.</t>
        </is>
      </c>
      <c r="E56" s="22" t="inlineStr">
        <is>
          <t>Out of 1,622 current relationships (retired excluded). These are recorded, governed outcomes, not errors. Detail: sheet 04 (issues for review) and 08 CROSSWALK.</t>
        </is>
      </c>
    </row>
    <row r="57" ht="22" customHeight="1"/>
    <row r="58" ht="22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3" ht="22" customHeight="1">
      <c r="A83" s="30" t="inlineStr">
        <is>
          <t>FOUR VIEWS OF THE APPROVED PROJECT</t>
        </is>
      </c>
    </row>
    <row r="84" ht="64" customHeight="1">
      <c r="A84" s="33" t="inlineStr">
        <is>
          <t>Each chart draws on the approved relationship records. It states what it counts, the population covered and the source table beneath it.</t>
        </is>
      </c>
    </row>
    <row r="86" ht="37" customHeight="1">
      <c r="A86" s="32" t="inlineStr">
        <is>
          <t>1 · Schedule and cost relationships by WBS branch</t>
        </is>
      </c>
    </row>
    <row r="87" ht="49" customHeight="1">
      <c r="A87" s="22" t="inlineStr">
        <is>
          <t>4 of 6 WBS branches carry both schedule and cost relationships; 2 branches are covered by only one of them.</t>
        </is>
      </c>
    </row>
    <row r="88" ht="64" customHeight="1">
      <c r="A88" s="33" t="inlineStr">
        <is>
          <t>Out of 6 reported WBS branches. Coverage is observed through the WBS; it is not a direct schedule-to-cost link. Detail: 05 INTEGRATION HEALTH.</t>
        </is>
      </c>
    </row>
    <row r="104" ht="19" customHeight="1">
      <c r="A104" s="91" t="inlineStr">
        <is>
          <t>WBS branches</t>
        </is>
      </c>
      <c r="C104" s="91" t="inlineStr">
        <is>
          <t>Count</t>
        </is>
      </c>
    </row>
    <row r="105" ht="19" customHeight="1">
      <c r="A105" s="34" t="inlineStr">
        <is>
          <t>Schedule and cost</t>
        </is>
      </c>
      <c r="C105" s="35" t="n">
        <v>4</v>
      </c>
    </row>
    <row r="106" ht="19" customHeight="1">
      <c r="A106" s="34" t="inlineStr">
        <is>
          <t>Schedule only</t>
        </is>
      </c>
      <c r="C106" s="35" t="n">
        <v>1</v>
      </c>
    </row>
    <row r="107" ht="19" customHeight="1">
      <c r="A107" s="34" t="inlineStr">
        <is>
          <t>Cost only</t>
        </is>
      </c>
      <c r="C107" s="35" t="n">
        <v>1</v>
      </c>
    </row>
    <row r="108" ht="34" customHeight="1">
      <c r="A108" s="34" t="inlineStr">
        <is>
          <t>Neither schedule nor cost</t>
        </is>
      </c>
      <c r="C108" s="35" t="n">
        <v>0</v>
      </c>
    </row>
    <row r="109" ht="34" customHeight="1">
      <c r="A109" s="36" t="inlineStr">
        <is>
          <t>Total WBS branches</t>
        </is>
      </c>
      <c r="C109" s="37" t="n">
        <v>6</v>
      </c>
    </row>
    <row r="111" ht="21" customHeight="1">
      <c r="A111" s="32" t="inlineStr">
        <is>
          <t>2 · Relationship outcomes by source</t>
        </is>
      </c>
    </row>
    <row r="112" ht="64" customHeight="1">
      <c r="A112" s="22" t="inlineStr">
        <is>
          <t>1,357 of 1,622 current relationships relate a source record to a WBS element, across 3 source documents. 265 are recorded outside the WBS or left unresolved.</t>
        </is>
      </c>
    </row>
    <row r="113" ht="64" customHeight="1">
      <c r="A113" s="33" t="inlineStr">
        <is>
          <t>Out of 1,622 current relationships (retired relationships excluded); one relationship counted once even when split across several WBS elements. Detail: 08 CROSSWALK.</t>
        </is>
      </c>
    </row>
    <row r="129" ht="34" customHeight="1">
      <c r="A129" s="91" t="inlineStr">
        <is>
          <t>Source document</t>
        </is>
      </c>
      <c r="C129" s="91" t="inlineStr">
        <is>
          <t>Related to a WBS element</t>
        </is>
      </c>
      <c r="E129" s="91" t="inlineStr">
        <is>
          <t>Recorded outside the WBS</t>
        </is>
      </c>
      <c r="G129" s="91" t="inlineStr">
        <is>
          <t>Left unresolved</t>
        </is>
      </c>
      <c r="I129" s="91" t="inlineStr">
        <is>
          <t>Total</t>
        </is>
      </c>
    </row>
    <row r="130" ht="34" customHeight="1">
      <c r="A130" s="34" t="inlineStr">
        <is>
          <t>Commercial Package Register</t>
        </is>
      </c>
      <c r="C130" s="35" t="n">
        <v>60</v>
      </c>
      <c r="E130" s="35" t="n">
        <v>0</v>
      </c>
      <c r="G130" s="35" t="n">
        <v>0</v>
      </c>
      <c r="I130" s="35" t="n">
        <v>60</v>
      </c>
    </row>
    <row r="131" ht="34" customHeight="1">
      <c r="A131" s="34" t="inlineStr">
        <is>
          <t>Contractor Programme</t>
        </is>
      </c>
      <c r="C131" s="35" t="n">
        <v>898</v>
      </c>
      <c r="E131" s="35" t="n">
        <v>2</v>
      </c>
      <c r="G131" s="35" t="n">
        <v>182</v>
      </c>
      <c r="I131" s="35" t="n">
        <v>1082</v>
      </c>
    </row>
    <row r="132" ht="34" customHeight="1">
      <c r="A132" s="34" t="inlineStr">
        <is>
          <t>Cost &amp; Forecast Control Accounts</t>
        </is>
      </c>
      <c r="C132" s="35" t="n">
        <v>399</v>
      </c>
      <c r="E132" s="35" t="n">
        <v>0</v>
      </c>
      <c r="G132" s="35" t="n">
        <v>81</v>
      </c>
      <c r="I132" s="35" t="n">
        <v>480</v>
      </c>
    </row>
    <row r="133" ht="19" customHeight="1">
      <c r="A133" s="36" t="inlineStr">
        <is>
          <t>All sources</t>
        </is>
      </c>
      <c r="C133" s="37" t="n">
        <v>1357</v>
      </c>
      <c r="E133" s="37" t="n">
        <v>2</v>
      </c>
      <c r="G133" s="37" t="n">
        <v>263</v>
      </c>
      <c r="I133" s="37" t="n">
        <v>1622</v>
      </c>
    </row>
    <row r="135" ht="37" customHeight="1">
      <c r="A135" s="32" t="inlineStr">
        <is>
          <t>3 · No previous approved version to compare</t>
        </is>
      </c>
    </row>
    <row r="136" ht="64" customHeight="1">
      <c r="A136" s="22" t="inlineStr">
        <is>
          <t>No previous approved version is recorded, so all 1,622 relationships are new in this reporting baseline. The next cycle will show what carried forward and what changed.</t>
        </is>
      </c>
    </row>
    <row r="137" ht="49" customHeight="1">
      <c r="A137" s="33" t="inlineStr">
        <is>
          <t>Out of 1,622 relationships in this baseline, by change label. Detail: 07 CHANGES &amp; REVALIDATION.</t>
        </is>
      </c>
    </row>
    <row r="153" ht="19" customHeight="1">
      <c r="A153" s="91" t="inlineStr">
        <is>
          <t>Change label</t>
        </is>
      </c>
      <c r="C153" s="91" t="inlineStr">
        <is>
          <t>Count</t>
        </is>
      </c>
    </row>
    <row r="154" ht="19" customHeight="1">
      <c r="A154" s="34" t="inlineStr">
        <is>
          <t>Carried forward</t>
        </is>
      </c>
      <c r="C154" s="35" t="n">
        <v>0</v>
      </c>
    </row>
    <row r="155" ht="34" customHeight="1">
      <c r="A155" s="34" t="inlineStr">
        <is>
          <t>Re-keyed, revalidated</t>
        </is>
      </c>
      <c r="C155" s="35" t="n">
        <v>0</v>
      </c>
    </row>
    <row r="156" ht="19" customHeight="1">
      <c r="A156" s="34" t="inlineStr">
        <is>
          <t>Changed, re-decided</t>
        </is>
      </c>
      <c r="C156" s="35" t="n">
        <v>0</v>
      </c>
    </row>
    <row r="157" ht="19" customHeight="1">
      <c r="A157" s="34" t="inlineStr">
        <is>
          <t>New</t>
        </is>
      </c>
      <c r="C157" s="35" t="n">
        <v>1622</v>
      </c>
    </row>
    <row r="158" ht="19" customHeight="1">
      <c r="A158" s="34" t="inlineStr">
        <is>
          <t>Retired</t>
        </is>
      </c>
      <c r="C158" s="35" t="n">
        <v>0</v>
      </c>
    </row>
    <row r="159" ht="34" customHeight="1">
      <c r="A159" s="36" t="inlineStr">
        <is>
          <t>Total relationships</t>
        </is>
      </c>
      <c r="C159" s="37" t="n">
        <v>1622</v>
      </c>
    </row>
    <row r="161" ht="37" customHeight="1">
      <c r="A161" s="32" t="inlineStr">
        <is>
          <t>4 · Outcomes left unresolved or outside the WBS</t>
        </is>
      </c>
    </row>
    <row r="162" ht="79" customHeight="1">
      <c r="A162" s="22" t="inlineStr">
        <is>
          <t>265 of 1,622 current relationships are left unresolved or recorded outside the approved WBS. Rely only on conclusions that do not depend on them; sheet 04 groups them into the issues for review.</t>
        </is>
      </c>
    </row>
    <row r="163" ht="64" customHeight="1">
      <c r="A163" s="33" t="inlineStr">
        <is>
          <t>Out of 1,622 current relationships (retired excluded). These are recorded, governed outcomes, not errors. Detail: sheet 04 (issues for review) and 08 CROSSWALK.</t>
        </is>
      </c>
    </row>
    <row r="179" ht="19" customHeight="1">
      <c r="A179" s="91" t="inlineStr">
        <is>
          <t>Outcome</t>
        </is>
      </c>
      <c r="C179" s="91" t="inlineStr">
        <is>
          <t>Count</t>
        </is>
      </c>
    </row>
    <row r="180" ht="34" customHeight="1">
      <c r="A180" s="34" t="inlineStr">
        <is>
          <t>Left unresolved on purpose (UNSURE)</t>
        </is>
      </c>
      <c r="C180" s="35" t="n">
        <v>263</v>
      </c>
    </row>
    <row r="181" ht="49" customHeight="1">
      <c r="A181" s="34" t="inlineStr">
        <is>
          <t>Scope not in the approved WBS (NEW_SCOPE)</t>
        </is>
      </c>
      <c r="C181" s="35" t="n">
        <v>1</v>
      </c>
    </row>
    <row r="182" ht="34" customHeight="1">
      <c r="A182" s="34" t="inlineStr">
        <is>
          <t>No WBS element applies (NO_WBS)</t>
        </is>
      </c>
      <c r="C182" s="35" t="n">
        <v>1</v>
      </c>
    </row>
    <row r="183" ht="34" customHeight="1">
      <c r="A183" s="36" t="inlineStr">
        <is>
          <t>Unresolved or outside the WBS</t>
        </is>
      </c>
      <c r="C183" s="37" t="n">
        <v>265</v>
      </c>
    </row>
    <row r="187" ht="229" customHeight="1">
      <c r="A187" s="91" t="inlineStr">
        <is>
          <t>E01 · Owner-WBS branch</t>
        </is>
      </c>
      <c r="B187" s="91" t="inlineStr">
        <is>
          <t>Schedule relationships</t>
        </is>
      </c>
      <c r="C187" s="91" t="inlineStr">
        <is>
          <t>Cost relationships</t>
        </is>
      </c>
      <c r="D187" s="91" t="inlineStr">
        <is>
          <t>Coverage state</t>
        </is>
      </c>
    </row>
    <row r="188" ht="34" customHeight="1">
      <c r="A188" s="34" t="inlineStr">
        <is>
          <t>1.1 Guideway and Civil</t>
        </is>
      </c>
      <c r="B188" s="95" t="n">
        <v>180</v>
      </c>
      <c r="C188" s="95" t="n">
        <v>80</v>
      </c>
      <c r="D188" s="96" t="inlineStr">
        <is>
          <t>Both views present</t>
        </is>
      </c>
      <c r="E188" s="41" t="n"/>
      <c r="F188" s="41" t="n"/>
      <c r="G188" s="41" t="n"/>
    </row>
    <row r="189" ht="19" customHeight="1">
      <c r="A189" s="34" t="inlineStr">
        <is>
          <t>1.2 Stations</t>
        </is>
      </c>
      <c r="B189" s="95" t="n">
        <v>179</v>
      </c>
      <c r="C189" s="95" t="n">
        <v>80</v>
      </c>
      <c r="D189" s="96" t="inlineStr">
        <is>
          <t>Both views present</t>
        </is>
      </c>
      <c r="E189" s="41" t="n"/>
      <c r="F189" s="41" t="n"/>
      <c r="G189" s="41" t="n"/>
    </row>
    <row r="190" ht="19" customHeight="1">
      <c r="A190" s="34" t="inlineStr">
        <is>
          <t>1.3 Systems</t>
        </is>
      </c>
      <c r="B190" s="95" t="n">
        <v>180</v>
      </c>
      <c r="C190" s="95" t="n">
        <v>79</v>
      </c>
      <c r="D190" s="96" t="inlineStr">
        <is>
          <t>Both views present</t>
        </is>
      </c>
      <c r="E190" s="41" t="n"/>
      <c r="F190" s="41" t="n"/>
      <c r="G190" s="41" t="n"/>
    </row>
    <row r="191" ht="34" customHeight="1">
      <c r="A191" s="34" t="inlineStr">
        <is>
          <t>1.4 Vehicles and Depot</t>
        </is>
      </c>
      <c r="B191" s="95" t="n">
        <v>179</v>
      </c>
      <c r="C191" s="95" t="n">
        <v>80</v>
      </c>
      <c r="D191" s="96" t="inlineStr">
        <is>
          <t>Both views present</t>
        </is>
      </c>
      <c r="E191" s="41" t="n"/>
      <c r="F191" s="41" t="n"/>
      <c r="G191" s="41" t="n"/>
    </row>
    <row r="192" ht="34" customHeight="1">
      <c r="A192" s="34" t="inlineStr">
        <is>
          <t>1.5 Testing and Commissioning</t>
        </is>
      </c>
      <c r="B192" s="95" t="n">
        <v>180</v>
      </c>
      <c r="C192" s="95" t="n">
        <v>0</v>
      </c>
      <c r="D192" s="96" t="inlineStr">
        <is>
          <t>Cost coverage gap</t>
        </is>
      </c>
      <c r="E192" s="41" t="n"/>
      <c r="F192" s="41" t="n"/>
      <c r="G192" s="41" t="n"/>
    </row>
    <row r="193" ht="34" customHeight="1">
      <c r="A193" s="34" t="inlineStr">
        <is>
          <t>1.6 Program Management</t>
        </is>
      </c>
      <c r="B193" s="95" t="n">
        <v>0</v>
      </c>
      <c r="C193" s="95" t="n">
        <v>80</v>
      </c>
      <c r="D193" s="96" t="inlineStr">
        <is>
          <t>Schedule coverage gap</t>
        </is>
      </c>
      <c r="E193" s="41" t="n"/>
      <c r="F193" s="41" t="n"/>
      <c r="G193" s="41" t="n"/>
    </row>
    <row r="195" ht="49" customHeight="1">
      <c r="A195" s="93" t="inlineStr">
        <is>
          <t>Coverage through the Owner WBS; not project health or direct schedule-to-cost equivalence. 2 have only one of these views.</t>
        </is>
      </c>
    </row>
  </sheetData>
  <mergeCells count="52">
    <mergeCell ref="A56:D58"/>
    <mergeCell ref="D193:G193"/>
    <mergeCell ref="A26:D28"/>
    <mergeCell ref="A135:D135"/>
    <mergeCell ref="A51:D52"/>
    <mergeCell ref="D192:G192"/>
    <mergeCell ref="E51:H52"/>
    <mergeCell ref="A112:D112"/>
    <mergeCell ref="A19:D19"/>
    <mergeCell ref="D188:G188"/>
    <mergeCell ref="A10:D10"/>
    <mergeCell ref="A23:D25"/>
    <mergeCell ref="A161:D161"/>
    <mergeCell ref="A6:D7"/>
    <mergeCell ref="A111:D111"/>
    <mergeCell ref="C4:D4"/>
    <mergeCell ref="E4:F4"/>
    <mergeCell ref="E26:H28"/>
    <mergeCell ref="A53:D55"/>
    <mergeCell ref="E9:H10"/>
    <mergeCell ref="A83:D83"/>
    <mergeCell ref="E56:H58"/>
    <mergeCell ref="E53:H55"/>
    <mergeCell ref="D191:G191"/>
    <mergeCell ref="D187:G187"/>
    <mergeCell ref="A3:B3"/>
    <mergeCell ref="G3:H3"/>
    <mergeCell ref="E5:H5"/>
    <mergeCell ref="D190:G190"/>
    <mergeCell ref="A21:D22"/>
    <mergeCell ref="A8:D9"/>
    <mergeCell ref="A88:D88"/>
    <mergeCell ref="A162:D162"/>
    <mergeCell ref="A87:D87"/>
    <mergeCell ref="G12:I12"/>
    <mergeCell ref="D189:G189"/>
    <mergeCell ref="A137:D137"/>
    <mergeCell ref="E23:H25"/>
    <mergeCell ref="A84:D84"/>
    <mergeCell ref="A4:B4"/>
    <mergeCell ref="G4:H4"/>
    <mergeCell ref="E6:H8"/>
    <mergeCell ref="A18:D18"/>
    <mergeCell ref="A136:D136"/>
    <mergeCell ref="A163:D163"/>
    <mergeCell ref="A86:D86"/>
    <mergeCell ref="A195:D195"/>
    <mergeCell ref="E21:H22"/>
    <mergeCell ref="A113:D113"/>
    <mergeCell ref="A2:D2"/>
    <mergeCell ref="C3:D3"/>
    <mergeCell ref="E3:F3"/>
  </mergeCells>
  <hyperlinks>
    <hyperlink xmlns:r="http://schemas.openxmlformats.org/officeDocument/2006/relationships" ref="A3" r:id="rId1"/>
    <hyperlink xmlns:r="http://schemas.openxmlformats.org/officeDocument/2006/relationships" ref="C3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A15" r:id="rId9"/>
    <hyperlink xmlns:r="http://schemas.openxmlformats.org/officeDocument/2006/relationships" ref="C15" r:id="rId10"/>
    <hyperlink xmlns:r="http://schemas.openxmlformats.org/officeDocument/2006/relationships" ref="E15" r:id="rId11"/>
    <hyperlink xmlns:r="http://schemas.openxmlformats.org/officeDocument/2006/relationships" ref="G15" r:id="rId12"/>
  </hyperlinks>
  <pageMargins left="0.3" right="0.3" top="0.3" bottom="0.3" header="0.12" footer="0.12"/>
  <pageSetup orientation="landscape"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rowBreaks count="4" manualBreakCount="4">
    <brk id="10" min="0" max="16383" man="1"/>
    <brk id="20" min="0" max="16383" man="1"/>
    <brk id="50" min="0" max="16383" man="1"/>
    <brk id="82" min="0" max="16383" man="1"/>
  </rowBreaks>
  <drawing xmlns:r="http://schemas.openxmlformats.org/officeDocument/2006/relationships" r:id="rId1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21A2E"/>
    <outlinePr summaryBelow="0" summaryRight="0"/>
    <pageSetUpPr fitToPage="1"/>
  </sheetPr>
  <dimension ref="A1:H11"/>
  <sheetViews>
    <sheetView showGridLines="0" tabSelected="0" topLeftCell="A1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28" customWidth="1" min="3" max="3"/>
    <col width="22" customWidth="1" min="4" max="4"/>
    <col width="28" customWidth="1" min="5" max="5"/>
    <col width="45" customWidth="1" min="6" max="6"/>
    <col width="32" customWidth="1" min="7" max="7"/>
    <col width="32" customWidth="1" min="8" max="8"/>
  </cols>
  <sheetData>
    <row r="1" ht="59" customHeight="1">
      <c r="A1" s="88" t="inlineStr">
        <is>
          <t>ISSUES FOR REVIEW</t>
        </is>
      </c>
    </row>
    <row r="2" ht="94" customHeight="1">
      <c r="A2" s="89" t="inlineStr">
        <is>
          <t>The issues the governed evidence supports raising with the project team now. Grouped by type and WBS code; not ranked by importance.</t>
        </is>
      </c>
    </row>
    <row r="3" ht="19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34" customHeight="1">
      <c r="A5" s="91" t="inlineStr">
        <is>
          <t>Matter</t>
        </is>
      </c>
      <c r="B5" s="91" t="inlineStr">
        <is>
          <t>Why it matters</t>
        </is>
      </c>
      <c r="C5" s="91" t="inlineStr">
        <is>
          <t>Affected WBS scope</t>
        </is>
      </c>
      <c r="D5" s="91" t="inlineStr">
        <is>
          <t>Affected source view(s)</t>
        </is>
      </c>
      <c r="E5" s="91" t="inlineStr">
        <is>
          <t>State</t>
        </is>
      </c>
      <c r="F5" s="91" t="inlineStr">
        <is>
          <t>Recommended professional action</t>
        </is>
      </c>
      <c r="G5" s="91" t="inlineStr">
        <is>
          <t>Evidence path</t>
        </is>
      </c>
      <c r="H5" s="91" t="inlineStr">
        <is>
          <t>Authority</t>
        </is>
      </c>
    </row>
    <row r="6" ht="49" customHeight="1">
      <c r="A6" s="34" t="inlineStr">
        <is>
          <t>Schedule scope has no governed cost relationships</t>
        </is>
      </c>
      <c r="B6" s="34" t="inlineStr">
        <is>
          <t>The supplied schedule and cost views do not both project through this approved WBS branch.</t>
        </is>
      </c>
      <c r="C6" s="92" t="inlineStr">
        <is>
          <t>1.5 Testing and Commissioning</t>
        </is>
      </c>
      <c r="D6" s="34" t="inlineStr">
        <is>
          <t>Schedule + Cost</t>
        </is>
      </c>
      <c r="E6" s="34" t="inlineStr">
        <is>
          <t>Derived observation from governed relationships</t>
        </is>
      </c>
      <c r="F6" s="34" t="inlineStr">
        <is>
          <t>Confirm whether the missing governed relationship is expected or requires project-controls attention.</t>
        </is>
      </c>
      <c r="G6" s="92" t="inlineStr">
        <is>
          <t>05 INTEGRATION HEALTH / 08 CROSSWALK: WBS 1.5</t>
        </is>
      </c>
      <c r="H6" s="34" t="inlineStr">
        <is>
          <t>Derived observation; no direct schedule↔cost relationship asserted</t>
        </is>
      </c>
    </row>
    <row r="7" ht="49" customHeight="1">
      <c r="A7" s="34" t="inlineStr">
        <is>
          <t>Cost scope has no governed schedule relationships</t>
        </is>
      </c>
      <c r="B7" s="34" t="inlineStr">
        <is>
          <t>The supplied schedule and cost views do not both project through this approved WBS branch.</t>
        </is>
      </c>
      <c r="C7" s="92" t="inlineStr">
        <is>
          <t>1.6 Program Management</t>
        </is>
      </c>
      <c r="D7" s="34" t="inlineStr">
        <is>
          <t>Schedule + Cost</t>
        </is>
      </c>
      <c r="E7" s="34" t="inlineStr">
        <is>
          <t>Derived observation from governed relationships</t>
        </is>
      </c>
      <c r="F7" s="34" t="inlineStr">
        <is>
          <t>Confirm whether the missing governed relationship is expected or requires project-controls attention.</t>
        </is>
      </c>
      <c r="G7" s="92" t="inlineStr">
        <is>
          <t>05 INTEGRATION HEALTH / 08 CROSSWALK: WBS 1.6</t>
        </is>
      </c>
      <c r="H7" s="34" t="inlineStr">
        <is>
          <t>Derived observation; no direct schedule↔cost relationship asserted</t>
        </is>
      </c>
    </row>
    <row r="8" ht="49" customHeight="1">
      <c r="A8" s="34" t="inlineStr">
        <is>
          <t>1 governed relationship outcome(s) record NEW_SCOPE</t>
        </is>
      </c>
      <c r="B8" s="34" t="inlineStr">
        <is>
          <t>The approved relationship state records scope not represented by the current approved WBS.</t>
        </is>
      </c>
      <c r="C8" s="34" t="inlineStr">
        <is>
          <t>Outside current approved WBS</t>
        </is>
      </c>
      <c r="D8" s="34" t="inlineStr">
        <is>
          <t>See Crosswalk</t>
        </is>
      </c>
      <c r="E8" s="34" t="inlineStr">
        <is>
          <t>Professional/governed outcome</t>
        </is>
      </c>
      <c r="F8" s="34" t="inlineStr">
        <is>
          <t>Review the governed NEW_SCOPE outcomes in the project-controls context.</t>
        </is>
      </c>
      <c r="G8" s="92" t="inlineStr">
        <is>
          <t>08 CROSSWALK: filter Relationship Type = NEW_SCOPE</t>
        </is>
      </c>
      <c r="H8" s="34" t="inlineStr">
        <is>
          <t>Governed relationship outcome</t>
        </is>
      </c>
    </row>
    <row r="9" ht="49" customHeight="1">
      <c r="A9" s="34" t="inlineStr">
        <is>
          <t>263 relationship outcome(s) remain deliberately unresolved</t>
        </is>
      </c>
      <c r="B9" s="34" t="inlineStr">
        <is>
          <t>The approved state preserves uncertainty rather than forcing a WBS relationship.</t>
        </is>
      </c>
      <c r="C9" s="34" t="inlineStr">
        <is>
          <t>See Crosswalk</t>
        </is>
      </c>
      <c r="D9" s="34" t="inlineStr">
        <is>
          <t>See Crosswalk</t>
        </is>
      </c>
      <c r="E9" s="34" t="inlineStr">
        <is>
          <t>Professionally/governed unresolved outcome</t>
        </is>
      </c>
      <c r="F9" s="34" t="inlineStr">
        <is>
          <t>Use only conclusions that do not depend on these unresolved relationships.</t>
        </is>
      </c>
      <c r="G9" s="92" t="inlineStr">
        <is>
          <t>08 CROSSWALK / 10 EVIDENCE &amp; DECISIONS</t>
        </is>
      </c>
      <c r="H9" s="34" t="inlineStr">
        <is>
          <t>Governed uncertainty</t>
        </is>
      </c>
    </row>
    <row r="11" ht="109" customHeight="1">
      <c r="A11" s="33" t="inlineStr">
        <is>
          <t>Ordering note: matters are grouped deterministically by governed matter class and WBS code. No claim of objective project materiality or #1 priority is made.</t>
        </is>
      </c>
    </row>
  </sheetData>
  <autoFilter ref="A5:H9"/>
  <conditionalFormatting sqref="A9">
    <cfRule type="expression" priority="1" dxfId="0">
      <formula>ISNUMBER(SEARCH("Unresolved",A9))</formula>
    </cfRule>
  </conditionalFormatting>
  <conditionalFormatting sqref="E9">
    <cfRule type="expression" priority="2" dxfId="0">
      <formula>ISNUMBER(SEARCH("Unresolved",E9))</formula>
    </cfRule>
  </conditionalFormatting>
  <conditionalFormatting sqref="F9">
    <cfRule type="expression" priority="3" dxfId="0">
      <formula>ISNUMBER(SEARCH("Unresolved",F9))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C6" tooltip="Primary relationship coverage/status view; then follow its exact Crosswalk evidence link. Advanced 14 counts relationship ROWS." r:id="rId9"/>
    <hyperlink xmlns:r="http://schemas.openxmlformats.org/officeDocument/2006/relationships" ref="G6" r:id="rId10"/>
    <hyperlink xmlns:r="http://schemas.openxmlformats.org/officeDocument/2006/relationships" ref="C7" tooltip="Primary relationship coverage/status view; then follow its exact Crosswalk evidence link. Advanced 14 counts relationship ROWS." r:id="rId11"/>
    <hyperlink xmlns:r="http://schemas.openxmlformats.org/officeDocument/2006/relationships" ref="G7" r:id="rId12"/>
    <hyperlink xmlns:r="http://schemas.openxmlformats.org/officeDocument/2006/relationships" ref="G8" r:id="rId13"/>
    <hyperlink xmlns:r="http://schemas.openxmlformats.org/officeDocument/2006/relationships" ref="G9" r:id="rId14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43553"/>
    <outlinePr summaryBelow="0" summaryRight="0"/>
    <pageSetUpPr fitToPage="1"/>
  </sheetPr>
  <dimension ref="A1:O27"/>
  <sheetViews>
    <sheetView showGridLines="0" tabSelected="0" topLeftCell="A1" zoomScale="100" zoomScaleNormal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2" customWidth="1" min="3" max="3"/>
    <col width="22" customWidth="1" min="4" max="4"/>
    <col width="22" customWidth="1" min="5" max="5"/>
    <col width="46" customWidth="1" min="6" max="6"/>
    <col width="18" customWidth="1" min="7" max="7"/>
    <col width="12" customWidth="1" min="8" max="8"/>
    <col width="3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140" customHeight="1">
      <c r="A1" s="88" t="inlineStr">
        <is>
          <t>INTEGRATION HEALTH</t>
        </is>
      </c>
    </row>
    <row r="2" ht="49" customHeight="1">
      <c r="A2" s="89" t="inlineStr">
        <is>
          <t>WBS branch view of governed project-control relationships. No single aggregate health percentage is asserted.</t>
        </is>
      </c>
    </row>
    <row r="3" ht="124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  <c r="K3" s="28" t="inlineStr">
        <is>
          <t>V2 · WHERE PROFESSIONAL ATTENTION IS CONCENTRATED</t>
        </is>
      </c>
    </row>
    <row r="4" ht="64" customHeight="1">
      <c r="K4" s="89" t="inlineStr">
        <is>
          <t>Where are governed reopened, unresolved or contradictory relationship populations concentrated?</t>
        </is>
      </c>
    </row>
    <row r="5" ht="34" customHeight="1">
      <c r="A5" s="91" t="inlineStr">
        <is>
          <t>WBS</t>
        </is>
      </c>
      <c r="B5" s="91" t="inlineStr">
        <is>
          <t>Scope</t>
        </is>
      </c>
      <c r="C5" s="91" t="inlineStr">
        <is>
          <t>Schedule</t>
        </is>
      </c>
      <c r="D5" s="91" t="inlineStr">
        <is>
          <t>Cost / forecast</t>
        </is>
      </c>
      <c r="E5" s="91" t="inlineStr">
        <is>
          <t>Package / contract</t>
        </is>
      </c>
      <c r="F5" s="91" t="inlineStr">
        <is>
          <t>Integration condition</t>
        </is>
      </c>
      <c r="G5" s="91" t="inlineStr">
        <is>
          <t>Attention / unresolved</t>
        </is>
      </c>
      <c r="H5" s="91" t="inlineStr">
        <is>
          <t>Changed</t>
        </is>
      </c>
      <c r="I5" s="91" t="inlineStr">
        <is>
          <t>Evidence path</t>
        </is>
      </c>
      <c r="K5" s="91" t="inlineStr">
        <is>
          <t>WBS</t>
        </is>
      </c>
      <c r="L5" s="91" t="inlineStr">
        <is>
          <t>Reopened</t>
        </is>
      </c>
      <c r="M5" s="91" t="inlineStr">
        <is>
          <t>Unresolved</t>
        </is>
      </c>
      <c r="N5" s="91" t="inlineStr">
        <is>
          <t>Contradictory</t>
        </is>
      </c>
      <c r="O5" s="91" t="inlineStr">
        <is>
          <t>Attention records</t>
        </is>
      </c>
    </row>
    <row r="6" ht="64" customHeight="1">
      <c r="A6" s="34" t="inlineStr">
        <is>
          <t>1.1</t>
        </is>
      </c>
      <c r="B6" s="34" t="inlineStr">
        <is>
          <t>Guideway and Civil</t>
        </is>
      </c>
      <c r="C6" s="34" t="inlineStr">
        <is>
          <t>180 governed relationships</t>
        </is>
      </c>
      <c r="D6" s="34" t="inlineStr">
        <is>
          <t>80 governed relationships</t>
        </is>
      </c>
      <c r="E6" s="34" t="inlineStr">
        <is>
          <t>10 governed relationships</t>
        </is>
      </c>
      <c r="F6" s="97" t="inlineStr">
        <is>
          <t>Aligned: Schedule and cost both relate through this WBS branch. 10 package/contract relationships also project through this branch.</t>
        </is>
      </c>
      <c r="G6" s="95" t="n">
        <v>0</v>
      </c>
      <c r="H6" s="95" t="n">
        <v>270</v>
      </c>
      <c r="I6" s="92" t="inlineStr">
        <is>
          <t>06 INTEGRATED PROJECT / 08 CROSSWALK: WBS 1.1</t>
        </is>
      </c>
      <c r="K6" s="22" t="inlineStr">
        <is>
          <t>1.1</t>
        </is>
      </c>
      <c r="L6" s="98" t="n">
        <v>0</v>
      </c>
      <c r="M6" s="98" t="n">
        <v>0</v>
      </c>
      <c r="N6" s="98" t="n">
        <v>1</v>
      </c>
      <c r="O6" s="98" t="n">
        <v>1</v>
      </c>
    </row>
    <row r="7" ht="64" customHeight="1">
      <c r="A7" s="34" t="inlineStr">
        <is>
          <t>1.2</t>
        </is>
      </c>
      <c r="B7" s="34" t="inlineStr">
        <is>
          <t>Stations</t>
        </is>
      </c>
      <c r="C7" s="34" t="inlineStr">
        <is>
          <t>179 governed relationships</t>
        </is>
      </c>
      <c r="D7" s="34" t="inlineStr">
        <is>
          <t>80 governed relationships</t>
        </is>
      </c>
      <c r="E7" s="34" t="inlineStr">
        <is>
          <t>11 governed relationships</t>
        </is>
      </c>
      <c r="F7" s="97" t="inlineStr">
        <is>
          <t>Aligned: Schedule and cost both relate through this WBS branch. 11 package/contract relationships also project through this branch.</t>
        </is>
      </c>
      <c r="G7" s="95" t="n">
        <v>0</v>
      </c>
      <c r="H7" s="95" t="n">
        <v>270</v>
      </c>
      <c r="I7" s="92" t="inlineStr">
        <is>
          <t>06 INTEGRATED PROJECT / 08 CROSSWALK: WBS 1.2</t>
        </is>
      </c>
      <c r="K7" s="22" t="inlineStr">
        <is>
          <t>1.2</t>
        </is>
      </c>
      <c r="L7" s="98" t="n">
        <v>0</v>
      </c>
      <c r="M7" s="98" t="n">
        <v>0</v>
      </c>
      <c r="N7" s="98" t="n">
        <v>1</v>
      </c>
      <c r="O7" s="98" t="n">
        <v>1</v>
      </c>
    </row>
    <row r="8" ht="64" customHeight="1">
      <c r="A8" s="34" t="inlineStr">
        <is>
          <t>1.3</t>
        </is>
      </c>
      <c r="B8" s="34" t="inlineStr">
        <is>
          <t>Systems</t>
        </is>
      </c>
      <c r="C8" s="34" t="inlineStr">
        <is>
          <t>180 governed relationships</t>
        </is>
      </c>
      <c r="D8" s="34" t="inlineStr">
        <is>
          <t>79 governed relationships</t>
        </is>
      </c>
      <c r="E8" s="34" t="inlineStr">
        <is>
          <t>10 governed relationships</t>
        </is>
      </c>
      <c r="F8" s="97" t="inlineStr">
        <is>
          <t>Aligned: Schedule and cost both relate through this WBS branch. 10 package/contract relationships also project through this branch.</t>
        </is>
      </c>
      <c r="G8" s="95" t="n">
        <v>0</v>
      </c>
      <c r="H8" s="95" t="n">
        <v>269</v>
      </c>
      <c r="I8" s="92" t="inlineStr">
        <is>
          <t>06 INTEGRATED PROJECT / 08 CROSSWALK: WBS 1.3</t>
        </is>
      </c>
      <c r="K8" s="22" t="inlineStr">
        <is>
          <t>1.3</t>
        </is>
      </c>
      <c r="L8" s="98" t="n">
        <v>0</v>
      </c>
      <c r="M8" s="98" t="n">
        <v>0</v>
      </c>
      <c r="N8" s="98" t="n">
        <v>0</v>
      </c>
      <c r="O8" s="98" t="n">
        <v>0</v>
      </c>
    </row>
    <row r="9" ht="64" customHeight="1">
      <c r="A9" s="34" t="inlineStr">
        <is>
          <t>1.4</t>
        </is>
      </c>
      <c r="B9" s="34" t="inlineStr">
        <is>
          <t>Vehicles and Depot</t>
        </is>
      </c>
      <c r="C9" s="34" t="inlineStr">
        <is>
          <t>179 governed relationships</t>
        </is>
      </c>
      <c r="D9" s="34" t="inlineStr">
        <is>
          <t>80 governed relationships</t>
        </is>
      </c>
      <c r="E9" s="34" t="inlineStr">
        <is>
          <t>10 governed relationships</t>
        </is>
      </c>
      <c r="F9" s="97" t="inlineStr">
        <is>
          <t>Aligned: Schedule and cost both relate through this WBS branch. 10 package/contract relationships also project through this branch.</t>
        </is>
      </c>
      <c r="G9" s="95" t="n">
        <v>0</v>
      </c>
      <c r="H9" s="95" t="n">
        <v>269</v>
      </c>
      <c r="I9" s="92" t="inlineStr">
        <is>
          <t>06 INTEGRATED PROJECT / 08 CROSSWALK: WBS 1.4</t>
        </is>
      </c>
      <c r="K9" s="22" t="inlineStr">
        <is>
          <t>1.4</t>
        </is>
      </c>
      <c r="L9" s="98" t="n">
        <v>0</v>
      </c>
      <c r="M9" s="98" t="n">
        <v>0</v>
      </c>
      <c r="N9" s="98" t="n">
        <v>0</v>
      </c>
      <c r="O9" s="98" t="n">
        <v>0</v>
      </c>
    </row>
    <row r="10" ht="64" customHeight="1">
      <c r="A10" s="34" t="inlineStr">
        <is>
          <t>1.5</t>
        </is>
      </c>
      <c r="B10" s="34" t="inlineStr">
        <is>
          <t>Testing and Commissioning</t>
        </is>
      </c>
      <c r="C10" s="34" t="inlineStr">
        <is>
          <t>180 governed relationships</t>
        </is>
      </c>
      <c r="D10" s="34" t="inlineStr">
        <is>
          <t>0 governed relationships</t>
        </is>
      </c>
      <c r="E10" s="34" t="inlineStr">
        <is>
          <t>10 governed relationships</t>
        </is>
      </c>
      <c r="F10" s="99" t="inlineStr">
        <is>
          <t>Attention: Schedule scope has no governed cost relationships in this WBS branch. 10 package/contract relationships also project through this branch.</t>
        </is>
      </c>
      <c r="G10" s="95" t="n">
        <v>0</v>
      </c>
      <c r="H10" s="95" t="n">
        <v>190</v>
      </c>
      <c r="I10" s="92" t="inlineStr">
        <is>
          <t>06 INTEGRATED PROJECT / 08 CROSSWALK: WBS 1.5</t>
        </is>
      </c>
      <c r="K10" s="22" t="inlineStr">
        <is>
          <t>1.5</t>
        </is>
      </c>
      <c r="L10" s="98" t="n">
        <v>0</v>
      </c>
      <c r="M10" s="98" t="n">
        <v>0</v>
      </c>
      <c r="N10" s="98" t="n">
        <v>0</v>
      </c>
      <c r="O10" s="98" t="n">
        <v>0</v>
      </c>
    </row>
    <row r="11" ht="64" customHeight="1">
      <c r="A11" s="34" t="inlineStr">
        <is>
          <t>1.6</t>
        </is>
      </c>
      <c r="B11" s="34" t="inlineStr">
        <is>
          <t>Program Management</t>
        </is>
      </c>
      <c r="C11" s="34" t="inlineStr">
        <is>
          <t>0 governed relationships</t>
        </is>
      </c>
      <c r="D11" s="34" t="inlineStr">
        <is>
          <t>80 governed relationships</t>
        </is>
      </c>
      <c r="E11" s="34" t="inlineStr">
        <is>
          <t>10 governed relationships</t>
        </is>
      </c>
      <c r="F11" s="99" t="inlineStr">
        <is>
          <t>Attention: Cost scope has no governed schedule relationships in this WBS branch. 10 package/contract relationships also project through this branch.</t>
        </is>
      </c>
      <c r="G11" s="95" t="n">
        <v>0</v>
      </c>
      <c r="H11" s="95" t="n">
        <v>90</v>
      </c>
      <c r="I11" s="92" t="inlineStr">
        <is>
          <t>06 INTEGRATED PROJECT / 08 CROSSWALK: WBS 1.6</t>
        </is>
      </c>
      <c r="K11" s="22" t="inlineStr">
        <is>
          <t>1.6</t>
        </is>
      </c>
      <c r="L11" s="98" t="n">
        <v>0</v>
      </c>
      <c r="M11" s="98" t="n">
        <v>0</v>
      </c>
      <c r="N11" s="98" t="n">
        <v>0</v>
      </c>
      <c r="O11" s="98" t="n">
        <v>0</v>
      </c>
    </row>
    <row r="12" ht="49" customHeight="1">
      <c r="K12" s="33" t="inlineStr">
        <is>
          <t>Counts locate governed professional-attention populations only; they are not financial or schedule materiality rankings.</t>
        </is>
      </c>
    </row>
    <row r="13" ht="34" customHeight="1">
      <c r="B13" s="28" t="inlineStr">
        <is>
          <t>V1 · WBS × CONTROL-VIEW INTEGRATION MATRIX</t>
        </is>
      </c>
    </row>
    <row r="14" ht="64" customHeight="1">
      <c r="B14" s="89" t="inlineStr">
        <is>
          <t>Which supplied project-control views have governed relationships through each major Owner-WBS branch?</t>
        </is>
      </c>
    </row>
    <row r="16" ht="34" customHeight="1">
      <c r="B16" s="91" t="inlineStr">
        <is>
          <t>WBS</t>
        </is>
      </c>
      <c r="C16" s="91" t="inlineStr">
        <is>
          <t>Scope</t>
        </is>
      </c>
      <c r="D16" s="91" t="inlineStr">
        <is>
          <t>Schedule</t>
        </is>
      </c>
      <c r="E16" s="91" t="inlineStr">
        <is>
          <t>Cost / forecast</t>
        </is>
      </c>
      <c r="F16" s="91" t="inlineStr">
        <is>
          <t>Package / contract</t>
        </is>
      </c>
      <c r="G16" s="91" t="inlineStr">
        <is>
          <t>Responsibility</t>
        </is>
      </c>
      <c r="H16" s="91" t="inlineStr">
        <is>
          <t>Proof path</t>
        </is>
      </c>
    </row>
    <row r="17" ht="34" customHeight="1">
      <c r="B17" s="34" t="inlineStr">
        <is>
          <t>1.1</t>
        </is>
      </c>
      <c r="C17" s="34" t="inlineStr">
        <is>
          <t>Guideway and Civil</t>
        </is>
      </c>
      <c r="D17" s="34" t="inlineStr">
        <is>
          <t>180 governed relationships</t>
        </is>
      </c>
      <c r="E17" s="34" t="inlineStr">
        <is>
          <t>80 governed relationships</t>
        </is>
      </c>
      <c r="F17" s="34" t="inlineStr">
        <is>
          <t>10 governed relationships</t>
        </is>
      </c>
      <c r="G17" s="34" t="inlineStr">
        <is>
          <t>Not supplied</t>
        </is>
      </c>
      <c r="H17" s="100" t="inlineStr">
        <is>
          <t>06 INTEGRATED PROJECT / 08 CROSSWALK: WBS 1.1</t>
        </is>
      </c>
      <c r="I17" s="41" t="n"/>
    </row>
    <row r="18" ht="34" customHeight="1">
      <c r="B18" s="34" t="inlineStr">
        <is>
          <t>1.2</t>
        </is>
      </c>
      <c r="C18" s="34" t="inlineStr">
        <is>
          <t>Stations</t>
        </is>
      </c>
      <c r="D18" s="34" t="inlineStr">
        <is>
          <t>179 governed relationships</t>
        </is>
      </c>
      <c r="E18" s="34" t="inlineStr">
        <is>
          <t>80 governed relationships</t>
        </is>
      </c>
      <c r="F18" s="34" t="inlineStr">
        <is>
          <t>11 governed relationships</t>
        </is>
      </c>
      <c r="G18" s="34" t="inlineStr">
        <is>
          <t>Not supplied</t>
        </is>
      </c>
      <c r="H18" s="100" t="inlineStr">
        <is>
          <t>06 INTEGRATED PROJECT / 08 CROSSWALK: WBS 1.2</t>
        </is>
      </c>
      <c r="I18" s="41" t="n"/>
    </row>
    <row r="19" ht="34" customHeight="1">
      <c r="B19" s="34" t="inlineStr">
        <is>
          <t>1.3</t>
        </is>
      </c>
      <c r="C19" s="34" t="inlineStr">
        <is>
          <t>Systems</t>
        </is>
      </c>
      <c r="D19" s="34" t="inlineStr">
        <is>
          <t>180 governed relationships</t>
        </is>
      </c>
      <c r="E19" s="34" t="inlineStr">
        <is>
          <t>79 governed relationships</t>
        </is>
      </c>
      <c r="F19" s="34" t="inlineStr">
        <is>
          <t>10 governed relationships</t>
        </is>
      </c>
      <c r="G19" s="34" t="inlineStr">
        <is>
          <t>Not supplied</t>
        </is>
      </c>
      <c r="H19" s="100" t="inlineStr">
        <is>
          <t>06 INTEGRATED PROJECT / 08 CROSSWALK: WBS 1.3</t>
        </is>
      </c>
      <c r="I19" s="41" t="n"/>
    </row>
    <row r="20" ht="34" customHeight="1">
      <c r="B20" s="34" t="inlineStr">
        <is>
          <t>1.4</t>
        </is>
      </c>
      <c r="C20" s="34" t="inlineStr">
        <is>
          <t>Vehicles and Depot</t>
        </is>
      </c>
      <c r="D20" s="34" t="inlineStr">
        <is>
          <t>179 governed relationships</t>
        </is>
      </c>
      <c r="E20" s="34" t="inlineStr">
        <is>
          <t>80 governed relationships</t>
        </is>
      </c>
      <c r="F20" s="34" t="inlineStr">
        <is>
          <t>10 governed relationships</t>
        </is>
      </c>
      <c r="G20" s="34" t="inlineStr">
        <is>
          <t>Not supplied</t>
        </is>
      </c>
      <c r="H20" s="100" t="inlineStr">
        <is>
          <t>06 INTEGRATED PROJECT / 08 CROSSWALK: WBS 1.4</t>
        </is>
      </c>
      <c r="I20" s="41" t="n"/>
    </row>
    <row r="21" ht="34" customHeight="1">
      <c r="B21" s="34" t="inlineStr">
        <is>
          <t>1.5</t>
        </is>
      </c>
      <c r="C21" s="34" t="inlineStr">
        <is>
          <t>Testing and Commissioning</t>
        </is>
      </c>
      <c r="D21" s="34" t="inlineStr">
        <is>
          <t>180 governed relationships</t>
        </is>
      </c>
      <c r="E21" s="34" t="inlineStr">
        <is>
          <t>Assessed · no governed coverage</t>
        </is>
      </c>
      <c r="F21" s="34" t="inlineStr">
        <is>
          <t>10 governed relationships</t>
        </is>
      </c>
      <c r="G21" s="34" t="inlineStr">
        <is>
          <t>Not supplied</t>
        </is>
      </c>
      <c r="H21" s="100" t="inlineStr">
        <is>
          <t>06 INTEGRATED PROJECT / 08 CROSSWALK: WBS 1.5</t>
        </is>
      </c>
      <c r="I21" s="41" t="n"/>
    </row>
    <row r="22" ht="34" customHeight="1">
      <c r="B22" s="34" t="inlineStr">
        <is>
          <t>1.6</t>
        </is>
      </c>
      <c r="C22" s="34" t="inlineStr">
        <is>
          <t>Program Management</t>
        </is>
      </c>
      <c r="D22" s="34" t="inlineStr">
        <is>
          <t>Assessed · no governed coverage</t>
        </is>
      </c>
      <c r="E22" s="34" t="inlineStr">
        <is>
          <t>80 governed relationships</t>
        </is>
      </c>
      <c r="F22" s="34" t="inlineStr">
        <is>
          <t>10 governed relationships</t>
        </is>
      </c>
      <c r="G22" s="34" t="inlineStr">
        <is>
          <t>Not supplied</t>
        </is>
      </c>
      <c r="H22" s="100" t="inlineStr">
        <is>
          <t>06 INTEGRATED PROJECT / 08 CROSSWALK: WBS 1.6</t>
        </is>
      </c>
      <c r="I22" s="41" t="n"/>
    </row>
    <row r="23" ht="49" customHeight="1">
      <c r="B23" s="33" t="inlineStr">
        <is>
          <t>Unresolved is distinct from assessed zero coverage and source-not-supplied.</t>
        </is>
      </c>
    </row>
    <row r="25" ht="19" customHeight="1">
      <c r="A25" s="101" t="inlineStr">
        <is>
          <t>V4 · COST / FORECAST VISUAL WITHHELD</t>
        </is>
      </c>
    </row>
    <row r="26" ht="47" customHeight="1">
      <c r="A26" s="89" t="inlineStr">
        <is>
          <t>Withheld: current generic field-name recognition is not a governed quantitative contract. Measure meaning, currency/unit, period, grain, WBS basis, allocation and unresolved treatment must all be established.</t>
        </is>
      </c>
    </row>
    <row r="27" ht="47" customHeight="1"/>
  </sheetData>
  <autoFilter ref="A5:I11"/>
  <mergeCells count="11">
    <mergeCell ref="K12:O12"/>
    <mergeCell ref="A2:B2"/>
    <mergeCell ref="A26:B27"/>
    <mergeCell ref="H20:I20"/>
    <mergeCell ref="H21:I21"/>
    <mergeCell ref="A25:B25"/>
    <mergeCell ref="K4:M4"/>
    <mergeCell ref="H18:I18"/>
    <mergeCell ref="H19:I19"/>
    <mergeCell ref="H22:I22"/>
    <mergeCell ref="H17:I17"/>
  </mergeCells>
  <conditionalFormatting sqref="B23">
    <cfRule type="expression" priority="1" dxfId="0">
      <formula>ISNUMBER(SEARCH("Unresolved",B23))</formula>
    </cfRule>
  </conditionalFormatting>
  <conditionalFormatting sqref="A26">
    <cfRule type="expression" priority="2" dxfId="0">
      <formula>ISNUMBER(SEARCH("Unresolved",A26))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6" r:id="rId9"/>
    <hyperlink xmlns:r="http://schemas.openxmlformats.org/officeDocument/2006/relationships" ref="I7" r:id="rId10"/>
    <hyperlink xmlns:r="http://schemas.openxmlformats.org/officeDocument/2006/relationships" ref="I8" r:id="rId11"/>
    <hyperlink xmlns:r="http://schemas.openxmlformats.org/officeDocument/2006/relationships" ref="I9" r:id="rId12"/>
    <hyperlink xmlns:r="http://schemas.openxmlformats.org/officeDocument/2006/relationships" ref="I10" r:id="rId13"/>
    <hyperlink xmlns:r="http://schemas.openxmlformats.org/officeDocument/2006/relationships" ref="I11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43553"/>
    <outlinePr summaryBelow="0" summaryRight="0"/>
    <pageSetUpPr fitToPage="1"/>
  </sheetPr>
  <dimension ref="A1:J85"/>
  <sheetViews>
    <sheetView showGridLines="0" tabSelected="0" topLeftCell="A1" zoomScale="100" zoomScaleNormal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22" customWidth="1" min="4" max="4"/>
    <col width="24" customWidth="1" min="5" max="5"/>
    <col width="20" customWidth="1" min="6" max="6"/>
    <col width="17" customWidth="1" min="7" max="7"/>
    <col width="12" customWidth="1" min="8" max="8"/>
    <col width="46" customWidth="1" min="9" max="9"/>
    <col width="28" customWidth="1" min="10" max="10"/>
  </cols>
  <sheetData>
    <row r="1" ht="140" customHeight="1">
      <c r="A1" s="88" t="inlineStr">
        <is>
          <t>INTEGRATED PROJECT</t>
        </is>
      </c>
    </row>
    <row r="2" ht="214" customHeight="1">
      <c r="A2" s="89" t="inlineStr">
        <is>
          <t>Working projection of independently authored project views through the approved WBS integration spine.</t>
        </is>
      </c>
    </row>
    <row r="3" ht="19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34" customHeight="1">
      <c r="A5" s="91" t="inlineStr">
        <is>
          <t>WBS</t>
        </is>
      </c>
      <c r="B5" s="91" t="inlineStr">
        <is>
          <t>Scope</t>
        </is>
      </c>
      <c r="C5" s="91" t="inlineStr">
        <is>
          <t>Schedule relationships</t>
        </is>
      </c>
      <c r="D5" s="91" t="inlineStr">
        <is>
          <t>Cost relationships</t>
        </is>
      </c>
      <c r="E5" s="91" t="inlineStr">
        <is>
          <t>Package / contract relationships</t>
        </is>
      </c>
      <c r="F5" s="91" t="inlineStr">
        <is>
          <t>Other relationships</t>
        </is>
      </c>
      <c r="G5" s="91" t="inlineStr">
        <is>
          <t>Open / unresolved</t>
        </is>
      </c>
      <c r="H5" s="91" t="inlineStr">
        <is>
          <t>Changed</t>
        </is>
      </c>
      <c r="I5" s="91" t="inlineStr">
        <is>
          <t>Current integration observation</t>
        </is>
      </c>
      <c r="J5" s="91" t="inlineStr">
        <is>
          <t>Drill to proof</t>
        </is>
      </c>
    </row>
    <row r="6" ht="64" customHeight="1">
      <c r="A6" s="53" t="inlineStr"/>
      <c r="B6" s="102" t="inlineStr">
        <is>
          <t>HarbourLink Urban Transit Expansion</t>
        </is>
      </c>
      <c r="C6" s="102" t="inlineStr">
        <is>
          <t>898 governed relationships</t>
        </is>
      </c>
      <c r="D6" s="102" t="inlineStr">
        <is>
          <t>399 governed relationships</t>
        </is>
      </c>
      <c r="E6" s="102" t="inlineStr">
        <is>
          <t>60 governed relationships</t>
        </is>
      </c>
      <c r="F6" s="102" t="inlineStr">
        <is>
          <t>0 governed relationships</t>
        </is>
      </c>
      <c r="G6" s="66" t="n">
        <v>0</v>
      </c>
      <c r="H6" s="66" t="n">
        <v>1357</v>
      </c>
      <c r="I6" s="102" t="inlineStr">
        <is>
          <t>Schedule and cost both relate through this WBS branch. 60 package/contract relationships also project through this branch.</t>
        </is>
      </c>
      <c r="J6" s="92" t="inlineStr">
        <is>
          <t xml:space="preserve">08 CROSSWALK: WBS </t>
        </is>
      </c>
    </row>
    <row r="7" ht="64" customHeight="1">
      <c r="A7" s="102" t="inlineStr">
        <is>
          <t>1</t>
        </is>
      </c>
      <c r="B7" s="103" t="inlineStr">
        <is>
          <t>HarbourLink Urban Transit Expansion</t>
        </is>
      </c>
      <c r="C7" s="102" t="inlineStr">
        <is>
          <t>898 governed relationships</t>
        </is>
      </c>
      <c r="D7" s="102" t="inlineStr">
        <is>
          <t>399 governed relationships</t>
        </is>
      </c>
      <c r="E7" s="102" t="inlineStr">
        <is>
          <t>60 governed relationships</t>
        </is>
      </c>
      <c r="F7" s="102" t="inlineStr">
        <is>
          <t>0 governed relationships</t>
        </is>
      </c>
      <c r="G7" s="66" t="n">
        <v>0</v>
      </c>
      <c r="H7" s="66" t="n">
        <v>1357</v>
      </c>
      <c r="I7" s="102" t="inlineStr">
        <is>
          <t>Schedule and cost both relate through this WBS branch. 60 package/contract relationships also project through this branch.</t>
        </is>
      </c>
      <c r="J7" s="92" t="inlineStr">
        <is>
          <t>08 CROSSWALK: WBS 1</t>
        </is>
      </c>
    </row>
    <row r="8" ht="64" customHeight="1">
      <c r="A8" s="34" t="inlineStr">
        <is>
          <t>1.1</t>
        </is>
      </c>
      <c r="B8" s="104" t="inlineStr">
        <is>
          <t>Guideway and Civil</t>
        </is>
      </c>
      <c r="C8" s="34" t="inlineStr">
        <is>
          <t>180 governed relationships</t>
        </is>
      </c>
      <c r="D8" s="34" t="inlineStr">
        <is>
          <t>80 governed relationships</t>
        </is>
      </c>
      <c r="E8" s="34" t="inlineStr">
        <is>
          <t>10 governed relationships</t>
        </is>
      </c>
      <c r="F8" s="34" t="inlineStr">
        <is>
          <t>0 governed relationships</t>
        </is>
      </c>
      <c r="G8" s="95" t="n">
        <v>0</v>
      </c>
      <c r="H8" s="95" t="n">
        <v>270</v>
      </c>
      <c r="I8" s="34" t="inlineStr">
        <is>
          <t>Schedule and cost both relate through this WBS branch. 10 package/contract relationships also project through this branch.</t>
        </is>
      </c>
      <c r="J8" s="92" t="inlineStr">
        <is>
          <t>08 CROSSWALK: WBS 1.1</t>
        </is>
      </c>
    </row>
    <row r="9" ht="34" customHeight="1">
      <c r="A9" s="34" t="inlineStr">
        <is>
          <t>1.1.1</t>
        </is>
      </c>
      <c r="B9" s="105" t="inlineStr">
        <is>
          <t>Guideway and Civil - Guideway Structures</t>
        </is>
      </c>
      <c r="C9" s="34" t="inlineStr">
        <is>
          <t>120 governed relationships</t>
        </is>
      </c>
      <c r="D9" s="34" t="inlineStr">
        <is>
          <t>40 governed relationships</t>
        </is>
      </c>
      <c r="E9" s="34" t="inlineStr">
        <is>
          <t>0 governed relationships</t>
        </is>
      </c>
      <c r="F9" s="34" t="inlineStr">
        <is>
          <t>0 governed relationships</t>
        </is>
      </c>
      <c r="G9" s="95" t="n">
        <v>0</v>
      </c>
      <c r="H9" s="95" t="n">
        <v>160</v>
      </c>
      <c r="I9" s="34" t="inlineStr">
        <is>
          <t>Schedule and cost both relate through this WBS branch.</t>
        </is>
      </c>
      <c r="J9" s="92" t="inlineStr">
        <is>
          <t>08 CROSSWALK: WBS 1.1.1</t>
        </is>
      </c>
    </row>
    <row r="10" ht="34" customHeight="1">
      <c r="A10" s="34" t="inlineStr">
        <is>
          <t>1.1.1.1</t>
        </is>
      </c>
      <c r="B10" s="106" t="inlineStr">
        <is>
          <t>Guideway Structures - East Segment</t>
        </is>
      </c>
      <c r="C10" s="34" t="inlineStr">
        <is>
          <t>0 governed relationships</t>
        </is>
      </c>
      <c r="D10" s="34" t="inlineStr">
        <is>
          <t>0 governed relationships</t>
        </is>
      </c>
      <c r="E10" s="34" t="inlineStr">
        <is>
          <t>0 governed relationships</t>
        </is>
      </c>
      <c r="F10" s="34" t="inlineStr">
        <is>
          <t>0 governed relationships</t>
        </is>
      </c>
      <c r="G10" s="95" t="n">
        <v>0</v>
      </c>
      <c r="H10" s="95" t="n">
        <v>0</v>
      </c>
      <c r="I10" s="34" t="inlineStr">
        <is>
          <t>No governed schedule or cost relationships in this WBS branch.</t>
        </is>
      </c>
      <c r="J10" s="92" t="inlineStr">
        <is>
          <t>08 CROSSWALK: WBS 1.1.1.1</t>
        </is>
      </c>
    </row>
    <row r="11" ht="34" customHeight="1">
      <c r="A11" s="34" t="inlineStr">
        <is>
          <t>1.1.1.2</t>
        </is>
      </c>
      <c r="B11" s="106" t="inlineStr">
        <is>
          <t>Guideway Structures - West Segment</t>
        </is>
      </c>
      <c r="C11" s="34" t="inlineStr">
        <is>
          <t>0 governed relationships</t>
        </is>
      </c>
      <c r="D11" s="34" t="inlineStr">
        <is>
          <t>0 governed relationships</t>
        </is>
      </c>
      <c r="E11" s="34" t="inlineStr">
        <is>
          <t>0 governed relationships</t>
        </is>
      </c>
      <c r="F11" s="34" t="inlineStr">
        <is>
          <t>0 governed relationships</t>
        </is>
      </c>
      <c r="G11" s="95" t="n">
        <v>0</v>
      </c>
      <c r="H11" s="95" t="n">
        <v>0</v>
      </c>
      <c r="I11" s="34" t="inlineStr">
        <is>
          <t>No governed schedule or cost relationships in this WBS branch.</t>
        </is>
      </c>
      <c r="J11" s="92" t="inlineStr">
        <is>
          <t>08 CROSSWALK: WBS 1.1.1.2</t>
        </is>
      </c>
    </row>
    <row r="12" ht="34" customHeight="1">
      <c r="A12" s="34" t="inlineStr">
        <is>
          <t>1.1.2</t>
        </is>
      </c>
      <c r="B12" s="105" t="inlineStr">
        <is>
          <t>Guideway and Civil - Utility &amp; Roadworks</t>
        </is>
      </c>
      <c r="C12" s="34" t="inlineStr">
        <is>
          <t>60 governed relationships</t>
        </is>
      </c>
      <c r="D12" s="34" t="inlineStr">
        <is>
          <t>40 governed relationships</t>
        </is>
      </c>
      <c r="E12" s="34" t="inlineStr">
        <is>
          <t>0 governed relationships</t>
        </is>
      </c>
      <c r="F12" s="34" t="inlineStr">
        <is>
          <t>0 governed relationships</t>
        </is>
      </c>
      <c r="G12" s="95" t="n">
        <v>0</v>
      </c>
      <c r="H12" s="95" t="n">
        <v>100</v>
      </c>
      <c r="I12" s="34" t="inlineStr">
        <is>
          <t>Schedule and cost both relate through this WBS branch.</t>
        </is>
      </c>
      <c r="J12" s="92" t="inlineStr">
        <is>
          <t>08 CROSSWALK: WBS 1.1.2</t>
        </is>
      </c>
    </row>
    <row r="13" ht="34" customHeight="1">
      <c r="A13" s="34" t="inlineStr">
        <is>
          <t>1.1.2.1</t>
        </is>
      </c>
      <c r="B13" s="106" t="inlineStr">
        <is>
          <t>Utility &amp; Roadworks - East Segment</t>
        </is>
      </c>
      <c r="C13" s="34" t="inlineStr">
        <is>
          <t>0 governed relationships</t>
        </is>
      </c>
      <c r="D13" s="34" t="inlineStr">
        <is>
          <t>0 governed relationships</t>
        </is>
      </c>
      <c r="E13" s="34" t="inlineStr">
        <is>
          <t>0 governed relationships</t>
        </is>
      </c>
      <c r="F13" s="34" t="inlineStr">
        <is>
          <t>0 governed relationships</t>
        </is>
      </c>
      <c r="G13" s="95" t="n">
        <v>0</v>
      </c>
      <c r="H13" s="95" t="n">
        <v>0</v>
      </c>
      <c r="I13" s="34" t="inlineStr">
        <is>
          <t>No governed schedule or cost relationships in this WBS branch.</t>
        </is>
      </c>
      <c r="J13" s="92" t="inlineStr">
        <is>
          <t>08 CROSSWALK: WBS 1.1.2.1</t>
        </is>
      </c>
    </row>
    <row r="14" ht="34" customHeight="1">
      <c r="A14" s="34" t="inlineStr">
        <is>
          <t>1.1.2.2</t>
        </is>
      </c>
      <c r="B14" s="106" t="inlineStr">
        <is>
          <t>Utility &amp; Roadworks - West Segment</t>
        </is>
      </c>
      <c r="C14" s="34" t="inlineStr">
        <is>
          <t>0 governed relationships</t>
        </is>
      </c>
      <c r="D14" s="34" t="inlineStr">
        <is>
          <t>0 governed relationships</t>
        </is>
      </c>
      <c r="E14" s="34" t="inlineStr">
        <is>
          <t>0 governed relationships</t>
        </is>
      </c>
      <c r="F14" s="34" t="inlineStr">
        <is>
          <t>0 governed relationships</t>
        </is>
      </c>
      <c r="G14" s="95" t="n">
        <v>0</v>
      </c>
      <c r="H14" s="95" t="n">
        <v>0</v>
      </c>
      <c r="I14" s="34" t="inlineStr">
        <is>
          <t>No governed schedule or cost relationships in this WBS branch.</t>
        </is>
      </c>
      <c r="J14" s="92" t="inlineStr">
        <is>
          <t>08 CROSSWALK: WBS 1.1.2.2</t>
        </is>
      </c>
    </row>
    <row r="15" ht="34" customHeight="1">
      <c r="A15" s="34" t="inlineStr">
        <is>
          <t>1.1.3</t>
        </is>
      </c>
      <c r="B15" s="105" t="inlineStr">
        <is>
          <t>Guideway and Civil - Track Support Works</t>
        </is>
      </c>
      <c r="C15" s="34" t="inlineStr">
        <is>
          <t>0 governed relationships</t>
        </is>
      </c>
      <c r="D15" s="34" t="inlineStr">
        <is>
          <t>0 governed relationships</t>
        </is>
      </c>
      <c r="E15" s="34" t="inlineStr">
        <is>
          <t>0 governed relationships</t>
        </is>
      </c>
      <c r="F15" s="34" t="inlineStr">
        <is>
          <t>0 governed relationships</t>
        </is>
      </c>
      <c r="G15" s="95" t="n">
        <v>0</v>
      </c>
      <c r="H15" s="95" t="n">
        <v>0</v>
      </c>
      <c r="I15" s="34" t="inlineStr">
        <is>
          <t>No governed schedule or cost relationships in this WBS branch.</t>
        </is>
      </c>
      <c r="J15" s="92" t="inlineStr">
        <is>
          <t>08 CROSSWALK: WBS 1.1.3</t>
        </is>
      </c>
    </row>
    <row r="16" ht="34" customHeight="1">
      <c r="A16" s="34" t="inlineStr">
        <is>
          <t>1.1.3.1</t>
        </is>
      </c>
      <c r="B16" s="106" t="inlineStr">
        <is>
          <t>Track Support Works - East Segment</t>
        </is>
      </c>
      <c r="C16" s="34" t="inlineStr">
        <is>
          <t>0 governed relationships</t>
        </is>
      </c>
      <c r="D16" s="34" t="inlineStr">
        <is>
          <t>0 governed relationships</t>
        </is>
      </c>
      <c r="E16" s="34" t="inlineStr">
        <is>
          <t>0 governed relationships</t>
        </is>
      </c>
      <c r="F16" s="34" t="inlineStr">
        <is>
          <t>0 governed relationships</t>
        </is>
      </c>
      <c r="G16" s="95" t="n">
        <v>0</v>
      </c>
      <c r="H16" s="95" t="n">
        <v>0</v>
      </c>
      <c r="I16" s="34" t="inlineStr">
        <is>
          <t>No governed schedule or cost relationships in this WBS branch.</t>
        </is>
      </c>
      <c r="J16" s="92" t="inlineStr">
        <is>
          <t>08 CROSSWALK: WBS 1.1.3.1</t>
        </is>
      </c>
    </row>
    <row r="17" ht="34" customHeight="1">
      <c r="A17" s="34" t="inlineStr">
        <is>
          <t>1.1.3.2</t>
        </is>
      </c>
      <c r="B17" s="106" t="inlineStr">
        <is>
          <t>Track Support Works - West Segment</t>
        </is>
      </c>
      <c r="C17" s="34" t="inlineStr">
        <is>
          <t>0 governed relationships</t>
        </is>
      </c>
      <c r="D17" s="34" t="inlineStr">
        <is>
          <t>0 governed relationships</t>
        </is>
      </c>
      <c r="E17" s="34" t="inlineStr">
        <is>
          <t>0 governed relationships</t>
        </is>
      </c>
      <c r="F17" s="34" t="inlineStr">
        <is>
          <t>0 governed relationships</t>
        </is>
      </c>
      <c r="G17" s="95" t="n">
        <v>0</v>
      </c>
      <c r="H17" s="95" t="n">
        <v>0</v>
      </c>
      <c r="I17" s="34" t="inlineStr">
        <is>
          <t>No governed schedule or cost relationships in this WBS branch.</t>
        </is>
      </c>
      <c r="J17" s="92" t="inlineStr">
        <is>
          <t>08 CROSSWALK: WBS 1.1.3.2</t>
        </is>
      </c>
    </row>
    <row r="18" ht="34" customHeight="1">
      <c r="A18" s="34" t="inlineStr">
        <is>
          <t>1.1.4</t>
        </is>
      </c>
      <c r="B18" s="105" t="inlineStr">
        <is>
          <t>Guideway and Civil - Civil Interfaces</t>
        </is>
      </c>
      <c r="C18" s="34" t="inlineStr">
        <is>
          <t>0 governed relationships</t>
        </is>
      </c>
      <c r="D18" s="34" t="inlineStr">
        <is>
          <t>0 governed relationships</t>
        </is>
      </c>
      <c r="E18" s="34" t="inlineStr">
        <is>
          <t>0 governed relationships</t>
        </is>
      </c>
      <c r="F18" s="34" t="inlineStr">
        <is>
          <t>0 governed relationships</t>
        </is>
      </c>
      <c r="G18" s="95" t="n">
        <v>0</v>
      </c>
      <c r="H18" s="95" t="n">
        <v>0</v>
      </c>
      <c r="I18" s="34" t="inlineStr">
        <is>
          <t>No governed schedule or cost relationships in this WBS branch.</t>
        </is>
      </c>
      <c r="J18" s="92" t="inlineStr">
        <is>
          <t>08 CROSSWALK: WBS 1.1.4</t>
        </is>
      </c>
    </row>
    <row r="19" ht="34" customHeight="1">
      <c r="A19" s="34" t="inlineStr">
        <is>
          <t>1.1.4.1</t>
        </is>
      </c>
      <c r="B19" s="106" t="inlineStr">
        <is>
          <t>Civil Interfaces - East Segment</t>
        </is>
      </c>
      <c r="C19" s="34" t="inlineStr">
        <is>
          <t>0 governed relationships</t>
        </is>
      </c>
      <c r="D19" s="34" t="inlineStr">
        <is>
          <t>0 governed relationships</t>
        </is>
      </c>
      <c r="E19" s="34" t="inlineStr">
        <is>
          <t>0 governed relationships</t>
        </is>
      </c>
      <c r="F19" s="34" t="inlineStr">
        <is>
          <t>0 governed relationships</t>
        </is>
      </c>
      <c r="G19" s="95" t="n">
        <v>0</v>
      </c>
      <c r="H19" s="95" t="n">
        <v>0</v>
      </c>
      <c r="I19" s="34" t="inlineStr">
        <is>
          <t>No governed schedule or cost relationships in this WBS branch.</t>
        </is>
      </c>
      <c r="J19" s="92" t="inlineStr">
        <is>
          <t>08 CROSSWALK: WBS 1.1.4.1</t>
        </is>
      </c>
    </row>
    <row r="20" ht="34" customHeight="1">
      <c r="A20" s="34" t="inlineStr">
        <is>
          <t>1.1.4.2</t>
        </is>
      </c>
      <c r="B20" s="106" t="inlineStr">
        <is>
          <t>Civil Interfaces - West Segment</t>
        </is>
      </c>
      <c r="C20" s="34" t="inlineStr">
        <is>
          <t>0 governed relationships</t>
        </is>
      </c>
      <c r="D20" s="34" t="inlineStr">
        <is>
          <t>0 governed relationships</t>
        </is>
      </c>
      <c r="E20" s="34" t="inlineStr">
        <is>
          <t>0 governed relationships</t>
        </is>
      </c>
      <c r="F20" s="34" t="inlineStr">
        <is>
          <t>0 governed relationships</t>
        </is>
      </c>
      <c r="G20" s="95" t="n">
        <v>0</v>
      </c>
      <c r="H20" s="95" t="n">
        <v>0</v>
      </c>
      <c r="I20" s="34" t="inlineStr">
        <is>
          <t>No governed schedule or cost relationships in this WBS branch.</t>
        </is>
      </c>
      <c r="J20" s="92" t="inlineStr">
        <is>
          <t>08 CROSSWALK: WBS 1.1.4.2</t>
        </is>
      </c>
    </row>
    <row r="21" ht="64" customHeight="1">
      <c r="A21" s="34" t="inlineStr">
        <is>
          <t>1.2</t>
        </is>
      </c>
      <c r="B21" s="104" t="inlineStr">
        <is>
          <t>Stations</t>
        </is>
      </c>
      <c r="C21" s="34" t="inlineStr">
        <is>
          <t>179 governed relationships</t>
        </is>
      </c>
      <c r="D21" s="34" t="inlineStr">
        <is>
          <t>80 governed relationships</t>
        </is>
      </c>
      <c r="E21" s="34" t="inlineStr">
        <is>
          <t>11 governed relationships</t>
        </is>
      </c>
      <c r="F21" s="34" t="inlineStr">
        <is>
          <t>0 governed relationships</t>
        </is>
      </c>
      <c r="G21" s="95" t="n">
        <v>0</v>
      </c>
      <c r="H21" s="95" t="n">
        <v>270</v>
      </c>
      <c r="I21" s="34" t="inlineStr">
        <is>
          <t>Schedule and cost both relate through this WBS branch. 11 package/contract relationships also project through this branch.</t>
        </is>
      </c>
      <c r="J21" s="92" t="inlineStr">
        <is>
          <t>08 CROSSWALK: WBS 1.2</t>
        </is>
      </c>
    </row>
    <row r="22" ht="34" customHeight="1">
      <c r="A22" s="34" t="inlineStr">
        <is>
          <t>1.2.1</t>
        </is>
      </c>
      <c r="B22" s="105" t="inlineStr">
        <is>
          <t>Stations - Station Structures</t>
        </is>
      </c>
      <c r="C22" s="34" t="inlineStr">
        <is>
          <t>120 governed relationships</t>
        </is>
      </c>
      <c r="D22" s="34" t="inlineStr">
        <is>
          <t>40 governed relationships</t>
        </is>
      </c>
      <c r="E22" s="34" t="inlineStr">
        <is>
          <t>0 governed relationships</t>
        </is>
      </c>
      <c r="F22" s="34" t="inlineStr">
        <is>
          <t>0 governed relationships</t>
        </is>
      </c>
      <c r="G22" s="95" t="n">
        <v>0</v>
      </c>
      <c r="H22" s="95" t="n">
        <v>160</v>
      </c>
      <c r="I22" s="34" t="inlineStr">
        <is>
          <t>Schedule and cost both relate through this WBS branch.</t>
        </is>
      </c>
      <c r="J22" s="92" t="inlineStr">
        <is>
          <t>08 CROSSWALK: WBS 1.2.1</t>
        </is>
      </c>
    </row>
    <row r="23" ht="34" customHeight="1">
      <c r="A23" s="34" t="inlineStr">
        <is>
          <t>1.2.1.1</t>
        </is>
      </c>
      <c r="B23" s="106" t="inlineStr">
        <is>
          <t>Station Structures - Concourse &amp; Entries</t>
        </is>
      </c>
      <c r="C23" s="34" t="inlineStr">
        <is>
          <t>0 governed relationships</t>
        </is>
      </c>
      <c r="D23" s="34" t="inlineStr">
        <is>
          <t>0 governed relationships</t>
        </is>
      </c>
      <c r="E23" s="34" t="inlineStr">
        <is>
          <t>0 governed relationships</t>
        </is>
      </c>
      <c r="F23" s="34" t="inlineStr">
        <is>
          <t>0 governed relationships</t>
        </is>
      </c>
      <c r="G23" s="95" t="n">
        <v>0</v>
      </c>
      <c r="H23" s="95" t="n">
        <v>0</v>
      </c>
      <c r="I23" s="34" t="inlineStr">
        <is>
          <t>No governed schedule or cost relationships in this WBS branch.</t>
        </is>
      </c>
      <c r="J23" s="92" t="inlineStr">
        <is>
          <t>08 CROSSWALK: WBS 1.2.1.1</t>
        </is>
      </c>
    </row>
    <row r="24" ht="34" customHeight="1">
      <c r="A24" s="34" t="inlineStr">
        <is>
          <t>1.2.1.2</t>
        </is>
      </c>
      <c r="B24" s="106" t="inlineStr">
        <is>
          <t>Station Structures - Platforms &amp; Back-of-House</t>
        </is>
      </c>
      <c r="C24" s="34" t="inlineStr">
        <is>
          <t>0 governed relationships</t>
        </is>
      </c>
      <c r="D24" s="34" t="inlineStr">
        <is>
          <t>0 governed relationships</t>
        </is>
      </c>
      <c r="E24" s="34" t="inlineStr">
        <is>
          <t>0 governed relationships</t>
        </is>
      </c>
      <c r="F24" s="34" t="inlineStr">
        <is>
          <t>0 governed relationships</t>
        </is>
      </c>
      <c r="G24" s="95" t="n">
        <v>0</v>
      </c>
      <c r="H24" s="95" t="n">
        <v>0</v>
      </c>
      <c r="I24" s="34" t="inlineStr">
        <is>
          <t>No governed schedule or cost relationships in this WBS branch.</t>
        </is>
      </c>
      <c r="J24" s="92" t="inlineStr">
        <is>
          <t>08 CROSSWALK: WBS 1.2.1.2</t>
        </is>
      </c>
    </row>
    <row r="25" ht="34" customHeight="1">
      <c r="A25" s="34" t="inlineStr">
        <is>
          <t>1.2.2</t>
        </is>
      </c>
      <c r="B25" s="105" t="inlineStr">
        <is>
          <t>Stations - Architectural Fit-Out</t>
        </is>
      </c>
      <c r="C25" s="34" t="inlineStr">
        <is>
          <t>59 governed relationships</t>
        </is>
      </c>
      <c r="D25" s="34" t="inlineStr">
        <is>
          <t>40 governed relationships</t>
        </is>
      </c>
      <c r="E25" s="34" t="inlineStr">
        <is>
          <t>0 governed relationships</t>
        </is>
      </c>
      <c r="F25" s="34" t="inlineStr">
        <is>
          <t>0 governed relationships</t>
        </is>
      </c>
      <c r="G25" s="95" t="n">
        <v>0</v>
      </c>
      <c r="H25" s="95" t="n">
        <v>99</v>
      </c>
      <c r="I25" s="34" t="inlineStr">
        <is>
          <t>Schedule and cost both relate through this WBS branch.</t>
        </is>
      </c>
      <c r="J25" s="92" t="inlineStr">
        <is>
          <t>08 CROSSWALK: WBS 1.2.2</t>
        </is>
      </c>
    </row>
    <row r="26" ht="34" customHeight="1">
      <c r="A26" s="34" t="inlineStr">
        <is>
          <t>1.2.2.1</t>
        </is>
      </c>
      <c r="B26" s="106" t="inlineStr">
        <is>
          <t>Architectural Fit-Out - Concourse &amp; Entries</t>
        </is>
      </c>
      <c r="C26" s="34" t="inlineStr">
        <is>
          <t>0 governed relationships</t>
        </is>
      </c>
      <c r="D26" s="34" t="inlineStr">
        <is>
          <t>0 governed relationships</t>
        </is>
      </c>
      <c r="E26" s="34" t="inlineStr">
        <is>
          <t>0 governed relationships</t>
        </is>
      </c>
      <c r="F26" s="34" t="inlineStr">
        <is>
          <t>0 governed relationships</t>
        </is>
      </c>
      <c r="G26" s="95" t="n">
        <v>0</v>
      </c>
      <c r="H26" s="95" t="n">
        <v>0</v>
      </c>
      <c r="I26" s="34" t="inlineStr">
        <is>
          <t>No governed schedule or cost relationships in this WBS branch.</t>
        </is>
      </c>
      <c r="J26" s="92" t="inlineStr">
        <is>
          <t>08 CROSSWALK: WBS 1.2.2.1</t>
        </is>
      </c>
    </row>
    <row r="27" ht="34" customHeight="1">
      <c r="A27" s="34" t="inlineStr">
        <is>
          <t>1.2.2.2</t>
        </is>
      </c>
      <c r="B27" s="106" t="inlineStr">
        <is>
          <t>Architectural Fit-Out - Platforms &amp; Back-of-House</t>
        </is>
      </c>
      <c r="C27" s="34" t="inlineStr">
        <is>
          <t>0 governed relationships</t>
        </is>
      </c>
      <c r="D27" s="34" t="inlineStr">
        <is>
          <t>0 governed relationships</t>
        </is>
      </c>
      <c r="E27" s="34" t="inlineStr">
        <is>
          <t>0 governed relationships</t>
        </is>
      </c>
      <c r="F27" s="34" t="inlineStr">
        <is>
          <t>0 governed relationships</t>
        </is>
      </c>
      <c r="G27" s="95" t="n">
        <v>0</v>
      </c>
      <c r="H27" s="95" t="n">
        <v>0</v>
      </c>
      <c r="I27" s="34" t="inlineStr">
        <is>
          <t>No governed schedule or cost relationships in this WBS branch.</t>
        </is>
      </c>
      <c r="J27" s="92" t="inlineStr">
        <is>
          <t>08 CROSSWALK: WBS 1.2.2.2</t>
        </is>
      </c>
    </row>
    <row r="28" ht="34" customHeight="1">
      <c r="A28" s="34" t="inlineStr">
        <is>
          <t>1.2.3</t>
        </is>
      </c>
      <c r="B28" s="105" t="inlineStr">
        <is>
          <t>Stations - Station Building Services</t>
        </is>
      </c>
      <c r="C28" s="34" t="inlineStr">
        <is>
          <t>0 governed relationships</t>
        </is>
      </c>
      <c r="D28" s="34" t="inlineStr">
        <is>
          <t>0 governed relationships</t>
        </is>
      </c>
      <c r="E28" s="34" t="inlineStr">
        <is>
          <t>0 governed relationships</t>
        </is>
      </c>
      <c r="F28" s="34" t="inlineStr">
        <is>
          <t>0 governed relationships</t>
        </is>
      </c>
      <c r="G28" s="95" t="n">
        <v>0</v>
      </c>
      <c r="H28" s="95" t="n">
        <v>0</v>
      </c>
      <c r="I28" s="34" t="inlineStr">
        <is>
          <t>No governed schedule or cost relationships in this WBS branch.</t>
        </is>
      </c>
      <c r="J28" s="92" t="inlineStr">
        <is>
          <t>08 CROSSWALK: WBS 1.2.3</t>
        </is>
      </c>
    </row>
    <row r="29" ht="34" customHeight="1">
      <c r="A29" s="34" t="inlineStr">
        <is>
          <t>1.2.3.1</t>
        </is>
      </c>
      <c r="B29" s="106" t="inlineStr">
        <is>
          <t>Station Building Services - Concourse &amp; Entries</t>
        </is>
      </c>
      <c r="C29" s="34" t="inlineStr">
        <is>
          <t>0 governed relationships</t>
        </is>
      </c>
      <c r="D29" s="34" t="inlineStr">
        <is>
          <t>0 governed relationships</t>
        </is>
      </c>
      <c r="E29" s="34" t="inlineStr">
        <is>
          <t>0 governed relationships</t>
        </is>
      </c>
      <c r="F29" s="34" t="inlineStr">
        <is>
          <t>0 governed relationships</t>
        </is>
      </c>
      <c r="G29" s="95" t="n">
        <v>0</v>
      </c>
      <c r="H29" s="95" t="n">
        <v>0</v>
      </c>
      <c r="I29" s="34" t="inlineStr">
        <is>
          <t>No governed schedule or cost relationships in this WBS branch.</t>
        </is>
      </c>
      <c r="J29" s="92" t="inlineStr">
        <is>
          <t>08 CROSSWALK: WBS 1.2.3.1</t>
        </is>
      </c>
    </row>
    <row r="30" ht="34" customHeight="1">
      <c r="A30" s="34" t="inlineStr">
        <is>
          <t>1.2.3.2</t>
        </is>
      </c>
      <c r="B30" s="106" t="inlineStr">
        <is>
          <t>Station Building Services - Platforms &amp; Back-of-House</t>
        </is>
      </c>
      <c r="C30" s="34" t="inlineStr">
        <is>
          <t>0 governed relationships</t>
        </is>
      </c>
      <c r="D30" s="34" t="inlineStr">
        <is>
          <t>0 governed relationships</t>
        </is>
      </c>
      <c r="E30" s="34" t="inlineStr">
        <is>
          <t>0 governed relationships</t>
        </is>
      </c>
      <c r="F30" s="34" t="inlineStr">
        <is>
          <t>0 governed relationships</t>
        </is>
      </c>
      <c r="G30" s="95" t="n">
        <v>0</v>
      </c>
      <c r="H30" s="95" t="n">
        <v>0</v>
      </c>
      <c r="I30" s="34" t="inlineStr">
        <is>
          <t>No governed schedule or cost relationships in this WBS branch.</t>
        </is>
      </c>
      <c r="J30" s="92" t="inlineStr">
        <is>
          <t>08 CROSSWALK: WBS 1.2.3.2</t>
        </is>
      </c>
    </row>
    <row r="31" ht="34" customHeight="1">
      <c r="A31" s="34" t="inlineStr">
        <is>
          <t>1.2.4</t>
        </is>
      </c>
      <c r="B31" s="105" t="inlineStr">
        <is>
          <t>Stations - Public Realm</t>
        </is>
      </c>
      <c r="C31" s="34" t="inlineStr">
        <is>
          <t>0 governed relationships</t>
        </is>
      </c>
      <c r="D31" s="34" t="inlineStr">
        <is>
          <t>0 governed relationships</t>
        </is>
      </c>
      <c r="E31" s="34" t="inlineStr">
        <is>
          <t>0 governed relationships</t>
        </is>
      </c>
      <c r="F31" s="34" t="inlineStr">
        <is>
          <t>0 governed relationships</t>
        </is>
      </c>
      <c r="G31" s="95" t="n">
        <v>0</v>
      </c>
      <c r="H31" s="95" t="n">
        <v>0</v>
      </c>
      <c r="I31" s="34" t="inlineStr">
        <is>
          <t>No governed schedule or cost relationships in this WBS branch.</t>
        </is>
      </c>
      <c r="J31" s="92" t="inlineStr">
        <is>
          <t>08 CROSSWALK: WBS 1.2.4</t>
        </is>
      </c>
    </row>
    <row r="32" ht="34" customHeight="1">
      <c r="A32" s="34" t="inlineStr">
        <is>
          <t>1.2.4.1</t>
        </is>
      </c>
      <c r="B32" s="106" t="inlineStr">
        <is>
          <t>Public Realm - Concourse &amp; Entries</t>
        </is>
      </c>
      <c r="C32" s="34" t="inlineStr">
        <is>
          <t>0 governed relationships</t>
        </is>
      </c>
      <c r="D32" s="34" t="inlineStr">
        <is>
          <t>0 governed relationships</t>
        </is>
      </c>
      <c r="E32" s="34" t="inlineStr">
        <is>
          <t>0 governed relationships</t>
        </is>
      </c>
      <c r="F32" s="34" t="inlineStr">
        <is>
          <t>0 governed relationships</t>
        </is>
      </c>
      <c r="G32" s="95" t="n">
        <v>0</v>
      </c>
      <c r="H32" s="95" t="n">
        <v>0</v>
      </c>
      <c r="I32" s="34" t="inlineStr">
        <is>
          <t>No governed schedule or cost relationships in this WBS branch.</t>
        </is>
      </c>
      <c r="J32" s="92" t="inlineStr">
        <is>
          <t>08 CROSSWALK: WBS 1.2.4.1</t>
        </is>
      </c>
    </row>
    <row r="33" ht="34" customHeight="1">
      <c r="A33" s="34" t="inlineStr">
        <is>
          <t>1.2.4.2</t>
        </is>
      </c>
      <c r="B33" s="106" t="inlineStr">
        <is>
          <t>Public Realm - Platforms &amp; Back-of-House</t>
        </is>
      </c>
      <c r="C33" s="34" t="inlineStr">
        <is>
          <t>0 governed relationships</t>
        </is>
      </c>
      <c r="D33" s="34" t="inlineStr">
        <is>
          <t>0 governed relationships</t>
        </is>
      </c>
      <c r="E33" s="34" t="inlineStr">
        <is>
          <t>0 governed relationships</t>
        </is>
      </c>
      <c r="F33" s="34" t="inlineStr">
        <is>
          <t>0 governed relationships</t>
        </is>
      </c>
      <c r="G33" s="95" t="n">
        <v>0</v>
      </c>
      <c r="H33" s="95" t="n">
        <v>0</v>
      </c>
      <c r="I33" s="34" t="inlineStr">
        <is>
          <t>No governed schedule or cost relationships in this WBS branch.</t>
        </is>
      </c>
      <c r="J33" s="92" t="inlineStr">
        <is>
          <t>08 CROSSWALK: WBS 1.2.4.2</t>
        </is>
      </c>
    </row>
    <row r="34" ht="64" customHeight="1">
      <c r="A34" s="34" t="inlineStr">
        <is>
          <t>1.3</t>
        </is>
      </c>
      <c r="B34" s="104" t="inlineStr">
        <is>
          <t>Systems</t>
        </is>
      </c>
      <c r="C34" s="34" t="inlineStr">
        <is>
          <t>180 governed relationships</t>
        </is>
      </c>
      <c r="D34" s="34" t="inlineStr">
        <is>
          <t>79 governed relationships</t>
        </is>
      </c>
      <c r="E34" s="34" t="inlineStr">
        <is>
          <t>10 governed relationships</t>
        </is>
      </c>
      <c r="F34" s="34" t="inlineStr">
        <is>
          <t>0 governed relationships</t>
        </is>
      </c>
      <c r="G34" s="95" t="n">
        <v>0</v>
      </c>
      <c r="H34" s="95" t="n">
        <v>269</v>
      </c>
      <c r="I34" s="34" t="inlineStr">
        <is>
          <t>Schedule and cost both relate through this WBS branch. 10 package/contract relationships also project through this branch.</t>
        </is>
      </c>
      <c r="J34" s="92" t="inlineStr">
        <is>
          <t>08 CROSSWALK: WBS 1.3</t>
        </is>
      </c>
    </row>
    <row r="35" ht="34" customHeight="1">
      <c r="A35" s="34" t="inlineStr">
        <is>
          <t>1.3.1</t>
        </is>
      </c>
      <c r="B35" s="105" t="inlineStr">
        <is>
          <t>Systems - Traction Power</t>
        </is>
      </c>
      <c r="C35" s="34" t="inlineStr">
        <is>
          <t>120 governed relationships</t>
        </is>
      </c>
      <c r="D35" s="34" t="inlineStr">
        <is>
          <t>40 governed relationships</t>
        </is>
      </c>
      <c r="E35" s="34" t="inlineStr">
        <is>
          <t>0 governed relationships</t>
        </is>
      </c>
      <c r="F35" s="34" t="inlineStr">
        <is>
          <t>0 governed relationships</t>
        </is>
      </c>
      <c r="G35" s="95" t="n">
        <v>0</v>
      </c>
      <c r="H35" s="95" t="n">
        <v>160</v>
      </c>
      <c r="I35" s="34" t="inlineStr">
        <is>
          <t>Schedule and cost both relate through this WBS branch.</t>
        </is>
      </c>
      <c r="J35" s="92" t="inlineStr">
        <is>
          <t>08 CROSSWALK: WBS 1.3.1</t>
        </is>
      </c>
    </row>
    <row r="36" ht="34" customHeight="1">
      <c r="A36" s="34" t="inlineStr">
        <is>
          <t>1.3.1.1</t>
        </is>
      </c>
      <c r="B36" s="106" t="inlineStr">
        <is>
          <t>Traction Power - Wayside</t>
        </is>
      </c>
      <c r="C36" s="34" t="inlineStr">
        <is>
          <t>0 governed relationships</t>
        </is>
      </c>
      <c r="D36" s="34" t="inlineStr">
        <is>
          <t>0 governed relationships</t>
        </is>
      </c>
      <c r="E36" s="34" t="inlineStr">
        <is>
          <t>0 governed relationships</t>
        </is>
      </c>
      <c r="F36" s="34" t="inlineStr">
        <is>
          <t>0 governed relationships</t>
        </is>
      </c>
      <c r="G36" s="95" t="n">
        <v>0</v>
      </c>
      <c r="H36" s="95" t="n">
        <v>0</v>
      </c>
      <c r="I36" s="34" t="inlineStr">
        <is>
          <t>No governed schedule or cost relationships in this WBS branch.</t>
        </is>
      </c>
      <c r="J36" s="92" t="inlineStr">
        <is>
          <t>08 CROSSWALK: WBS 1.3.1.1</t>
        </is>
      </c>
    </row>
    <row r="37" ht="34" customHeight="1">
      <c r="A37" s="34" t="inlineStr">
        <is>
          <t>1.3.1.2</t>
        </is>
      </c>
      <c r="B37" s="106" t="inlineStr">
        <is>
          <t>Traction Power - Control Centre &amp; Stations</t>
        </is>
      </c>
      <c r="C37" s="34" t="inlineStr">
        <is>
          <t>0 governed relationships</t>
        </is>
      </c>
      <c r="D37" s="34" t="inlineStr">
        <is>
          <t>0 governed relationships</t>
        </is>
      </c>
      <c r="E37" s="34" t="inlineStr">
        <is>
          <t>0 governed relationships</t>
        </is>
      </c>
      <c r="F37" s="34" t="inlineStr">
        <is>
          <t>0 governed relationships</t>
        </is>
      </c>
      <c r="G37" s="95" t="n">
        <v>0</v>
      </c>
      <c r="H37" s="95" t="n">
        <v>0</v>
      </c>
      <c r="I37" s="34" t="inlineStr">
        <is>
          <t>No governed schedule or cost relationships in this WBS branch.</t>
        </is>
      </c>
      <c r="J37" s="92" t="inlineStr">
        <is>
          <t>08 CROSSWALK: WBS 1.3.1.2</t>
        </is>
      </c>
    </row>
    <row r="38" ht="34" customHeight="1">
      <c r="A38" s="34" t="inlineStr">
        <is>
          <t>1.3.2</t>
        </is>
      </c>
      <c r="B38" s="105" t="inlineStr">
        <is>
          <t>Systems - Signalling &amp; Train Control</t>
        </is>
      </c>
      <c r="C38" s="34" t="inlineStr">
        <is>
          <t>60 governed relationships</t>
        </is>
      </c>
      <c r="D38" s="34" t="inlineStr">
        <is>
          <t>39 governed relationships</t>
        </is>
      </c>
      <c r="E38" s="34" t="inlineStr">
        <is>
          <t>0 governed relationships</t>
        </is>
      </c>
      <c r="F38" s="34" t="inlineStr">
        <is>
          <t>0 governed relationships</t>
        </is>
      </c>
      <c r="G38" s="95" t="n">
        <v>0</v>
      </c>
      <c r="H38" s="95" t="n">
        <v>99</v>
      </c>
      <c r="I38" s="34" t="inlineStr">
        <is>
          <t>Schedule and cost both relate through this WBS branch.</t>
        </is>
      </c>
      <c r="J38" s="92" t="inlineStr">
        <is>
          <t>08 CROSSWALK: WBS 1.3.2</t>
        </is>
      </c>
    </row>
    <row r="39" ht="34" customHeight="1">
      <c r="A39" s="34" t="inlineStr">
        <is>
          <t>1.3.2.1</t>
        </is>
      </c>
      <c r="B39" s="106" t="inlineStr">
        <is>
          <t>Signalling &amp; Train Control - Wayside</t>
        </is>
      </c>
      <c r="C39" s="34" t="inlineStr">
        <is>
          <t>0 governed relationships</t>
        </is>
      </c>
      <c r="D39" s="34" t="inlineStr">
        <is>
          <t>0 governed relationships</t>
        </is>
      </c>
      <c r="E39" s="34" t="inlineStr">
        <is>
          <t>0 governed relationships</t>
        </is>
      </c>
      <c r="F39" s="34" t="inlineStr">
        <is>
          <t>0 governed relationships</t>
        </is>
      </c>
      <c r="G39" s="95" t="n">
        <v>0</v>
      </c>
      <c r="H39" s="95" t="n">
        <v>0</v>
      </c>
      <c r="I39" s="34" t="inlineStr">
        <is>
          <t>No governed schedule or cost relationships in this WBS branch.</t>
        </is>
      </c>
      <c r="J39" s="92" t="inlineStr">
        <is>
          <t>08 CROSSWALK: WBS 1.3.2.1</t>
        </is>
      </c>
    </row>
    <row r="40" ht="34" customHeight="1">
      <c r="A40" s="34" t="inlineStr">
        <is>
          <t>1.3.2.2</t>
        </is>
      </c>
      <c r="B40" s="106" t="inlineStr">
        <is>
          <t>Signalling &amp; Train Control - Control Centre &amp; Stations</t>
        </is>
      </c>
      <c r="C40" s="34" t="inlineStr">
        <is>
          <t>0 governed relationships</t>
        </is>
      </c>
      <c r="D40" s="34" t="inlineStr">
        <is>
          <t>0 governed relationships</t>
        </is>
      </c>
      <c r="E40" s="34" t="inlineStr">
        <is>
          <t>0 governed relationships</t>
        </is>
      </c>
      <c r="F40" s="34" t="inlineStr">
        <is>
          <t>0 governed relationships</t>
        </is>
      </c>
      <c r="G40" s="95" t="n">
        <v>0</v>
      </c>
      <c r="H40" s="95" t="n">
        <v>0</v>
      </c>
      <c r="I40" s="34" t="inlineStr">
        <is>
          <t>No governed schedule or cost relationships in this WBS branch.</t>
        </is>
      </c>
      <c r="J40" s="92" t="inlineStr">
        <is>
          <t>08 CROSSWALK: WBS 1.3.2.2</t>
        </is>
      </c>
    </row>
    <row r="41" ht="34" customHeight="1">
      <c r="A41" s="34" t="inlineStr">
        <is>
          <t>1.3.3</t>
        </is>
      </c>
      <c r="B41" s="105" t="inlineStr">
        <is>
          <t>Systems - Communications</t>
        </is>
      </c>
      <c r="C41" s="34" t="inlineStr">
        <is>
          <t>0 governed relationships</t>
        </is>
      </c>
      <c r="D41" s="34" t="inlineStr">
        <is>
          <t>0 governed relationships</t>
        </is>
      </c>
      <c r="E41" s="34" t="inlineStr">
        <is>
          <t>0 governed relationships</t>
        </is>
      </c>
      <c r="F41" s="34" t="inlineStr">
        <is>
          <t>0 governed relationships</t>
        </is>
      </c>
      <c r="G41" s="95" t="n">
        <v>0</v>
      </c>
      <c r="H41" s="95" t="n">
        <v>0</v>
      </c>
      <c r="I41" s="34" t="inlineStr">
        <is>
          <t>No governed schedule or cost relationships in this WBS branch.</t>
        </is>
      </c>
      <c r="J41" s="92" t="inlineStr">
        <is>
          <t>08 CROSSWALK: WBS 1.3.3</t>
        </is>
      </c>
    </row>
    <row r="42" ht="34" customHeight="1">
      <c r="A42" s="34" t="inlineStr">
        <is>
          <t>1.3.3.1</t>
        </is>
      </c>
      <c r="B42" s="106" t="inlineStr">
        <is>
          <t>Communications - Wayside</t>
        </is>
      </c>
      <c r="C42" s="34" t="inlineStr">
        <is>
          <t>0 governed relationships</t>
        </is>
      </c>
      <c r="D42" s="34" t="inlineStr">
        <is>
          <t>0 governed relationships</t>
        </is>
      </c>
      <c r="E42" s="34" t="inlineStr">
        <is>
          <t>0 governed relationships</t>
        </is>
      </c>
      <c r="F42" s="34" t="inlineStr">
        <is>
          <t>0 governed relationships</t>
        </is>
      </c>
      <c r="G42" s="95" t="n">
        <v>0</v>
      </c>
      <c r="H42" s="95" t="n">
        <v>0</v>
      </c>
      <c r="I42" s="34" t="inlineStr">
        <is>
          <t>No governed schedule or cost relationships in this WBS branch.</t>
        </is>
      </c>
      <c r="J42" s="92" t="inlineStr">
        <is>
          <t>08 CROSSWALK: WBS 1.3.3.1</t>
        </is>
      </c>
    </row>
    <row r="43" ht="34" customHeight="1">
      <c r="A43" s="34" t="inlineStr">
        <is>
          <t>1.3.3.2</t>
        </is>
      </c>
      <c r="B43" s="106" t="inlineStr">
        <is>
          <t>Communications - Control Centre &amp; Stations</t>
        </is>
      </c>
      <c r="C43" s="34" t="inlineStr">
        <is>
          <t>0 governed relationships</t>
        </is>
      </c>
      <c r="D43" s="34" t="inlineStr">
        <is>
          <t>0 governed relationships</t>
        </is>
      </c>
      <c r="E43" s="34" t="inlineStr">
        <is>
          <t>0 governed relationships</t>
        </is>
      </c>
      <c r="F43" s="34" t="inlineStr">
        <is>
          <t>0 governed relationships</t>
        </is>
      </c>
      <c r="G43" s="95" t="n">
        <v>0</v>
      </c>
      <c r="H43" s="95" t="n">
        <v>0</v>
      </c>
      <c r="I43" s="34" t="inlineStr">
        <is>
          <t>No governed schedule or cost relationships in this WBS branch.</t>
        </is>
      </c>
      <c r="J43" s="92" t="inlineStr">
        <is>
          <t>08 CROSSWALK: WBS 1.3.3.2</t>
        </is>
      </c>
    </row>
    <row r="44" ht="34" customHeight="1">
      <c r="A44" s="34" t="inlineStr">
        <is>
          <t>1.3.4</t>
        </is>
      </c>
      <c r="B44" s="105" t="inlineStr">
        <is>
          <t>Systems - Systems Integration</t>
        </is>
      </c>
      <c r="C44" s="34" t="inlineStr">
        <is>
          <t>0 governed relationships</t>
        </is>
      </c>
      <c r="D44" s="34" t="inlineStr">
        <is>
          <t>0 governed relationships</t>
        </is>
      </c>
      <c r="E44" s="34" t="inlineStr">
        <is>
          <t>0 governed relationships</t>
        </is>
      </c>
      <c r="F44" s="34" t="inlineStr">
        <is>
          <t>0 governed relationships</t>
        </is>
      </c>
      <c r="G44" s="95" t="n">
        <v>0</v>
      </c>
      <c r="H44" s="95" t="n">
        <v>0</v>
      </c>
      <c r="I44" s="34" t="inlineStr">
        <is>
          <t>No governed schedule or cost relationships in this WBS branch.</t>
        </is>
      </c>
      <c r="J44" s="92" t="inlineStr">
        <is>
          <t>08 CROSSWALK: WBS 1.3.4</t>
        </is>
      </c>
    </row>
    <row r="45" ht="34" customHeight="1">
      <c r="A45" s="34" t="inlineStr">
        <is>
          <t>1.3.4.1</t>
        </is>
      </c>
      <c r="B45" s="106" t="inlineStr">
        <is>
          <t>Systems Integration - Wayside</t>
        </is>
      </c>
      <c r="C45" s="34" t="inlineStr">
        <is>
          <t>0 governed relationships</t>
        </is>
      </c>
      <c r="D45" s="34" t="inlineStr">
        <is>
          <t>0 governed relationships</t>
        </is>
      </c>
      <c r="E45" s="34" t="inlineStr">
        <is>
          <t>0 governed relationships</t>
        </is>
      </c>
      <c r="F45" s="34" t="inlineStr">
        <is>
          <t>0 governed relationships</t>
        </is>
      </c>
      <c r="G45" s="95" t="n">
        <v>0</v>
      </c>
      <c r="H45" s="95" t="n">
        <v>0</v>
      </c>
      <c r="I45" s="34" t="inlineStr">
        <is>
          <t>No governed schedule or cost relationships in this WBS branch.</t>
        </is>
      </c>
      <c r="J45" s="92" t="inlineStr">
        <is>
          <t>08 CROSSWALK: WBS 1.3.4.1</t>
        </is>
      </c>
    </row>
    <row r="46" ht="34" customHeight="1">
      <c r="A46" s="34" t="inlineStr">
        <is>
          <t>1.3.4.2</t>
        </is>
      </c>
      <c r="B46" s="106" t="inlineStr">
        <is>
          <t>Systems Integration - Control Centre &amp; Stations</t>
        </is>
      </c>
      <c r="C46" s="34" t="inlineStr">
        <is>
          <t>0 governed relationships</t>
        </is>
      </c>
      <c r="D46" s="34" t="inlineStr">
        <is>
          <t>0 governed relationships</t>
        </is>
      </c>
      <c r="E46" s="34" t="inlineStr">
        <is>
          <t>0 governed relationships</t>
        </is>
      </c>
      <c r="F46" s="34" t="inlineStr">
        <is>
          <t>0 governed relationships</t>
        </is>
      </c>
      <c r="G46" s="95" t="n">
        <v>0</v>
      </c>
      <c r="H46" s="95" t="n">
        <v>0</v>
      </c>
      <c r="I46" s="34" t="inlineStr">
        <is>
          <t>No governed schedule or cost relationships in this WBS branch.</t>
        </is>
      </c>
      <c r="J46" s="92" t="inlineStr">
        <is>
          <t>08 CROSSWALK: WBS 1.3.4.2</t>
        </is>
      </c>
    </row>
    <row r="47" ht="64" customHeight="1">
      <c r="A47" s="34" t="inlineStr">
        <is>
          <t>1.4</t>
        </is>
      </c>
      <c r="B47" s="104" t="inlineStr">
        <is>
          <t>Vehicles and Depot</t>
        </is>
      </c>
      <c r="C47" s="34" t="inlineStr">
        <is>
          <t>179 governed relationships</t>
        </is>
      </c>
      <c r="D47" s="34" t="inlineStr">
        <is>
          <t>80 governed relationships</t>
        </is>
      </c>
      <c r="E47" s="34" t="inlineStr">
        <is>
          <t>10 governed relationships</t>
        </is>
      </c>
      <c r="F47" s="34" t="inlineStr">
        <is>
          <t>0 governed relationships</t>
        </is>
      </c>
      <c r="G47" s="95" t="n">
        <v>0</v>
      </c>
      <c r="H47" s="95" t="n">
        <v>269</v>
      </c>
      <c r="I47" s="34" t="inlineStr">
        <is>
          <t>Schedule and cost both relate through this WBS branch. 10 package/contract relationships also project through this branch.</t>
        </is>
      </c>
      <c r="J47" s="92" t="inlineStr">
        <is>
          <t>08 CROSSWALK: WBS 1.4</t>
        </is>
      </c>
    </row>
    <row r="48" ht="34" customHeight="1">
      <c r="A48" s="34" t="inlineStr">
        <is>
          <t>1.4.1</t>
        </is>
      </c>
      <c r="B48" s="105" t="inlineStr">
        <is>
          <t>Vehicles and Depot - Fleet Supply</t>
        </is>
      </c>
      <c r="C48" s="34" t="inlineStr">
        <is>
          <t>120 governed relationships</t>
        </is>
      </c>
      <c r="D48" s="34" t="inlineStr">
        <is>
          <t>40 governed relationships</t>
        </is>
      </c>
      <c r="E48" s="34" t="inlineStr">
        <is>
          <t>0 governed relationships</t>
        </is>
      </c>
      <c r="F48" s="34" t="inlineStr">
        <is>
          <t>0 governed relationships</t>
        </is>
      </c>
      <c r="G48" s="95" t="n">
        <v>0</v>
      </c>
      <c r="H48" s="95" t="n">
        <v>160</v>
      </c>
      <c r="I48" s="34" t="inlineStr">
        <is>
          <t>Schedule and cost both relate through this WBS branch.</t>
        </is>
      </c>
      <c r="J48" s="92" t="inlineStr">
        <is>
          <t>08 CROSSWALK: WBS 1.4.1</t>
        </is>
      </c>
    </row>
    <row r="49" ht="34" customHeight="1">
      <c r="A49" s="34" t="inlineStr">
        <is>
          <t>1.4.1.1</t>
        </is>
      </c>
      <c r="B49" s="106" t="inlineStr">
        <is>
          <t>Fleet Supply - Maintenance Facility</t>
        </is>
      </c>
      <c r="C49" s="34" t="inlineStr">
        <is>
          <t>0 governed relationships</t>
        </is>
      </c>
      <c r="D49" s="34" t="inlineStr">
        <is>
          <t>0 governed relationships</t>
        </is>
      </c>
      <c r="E49" s="34" t="inlineStr">
        <is>
          <t>0 governed relationships</t>
        </is>
      </c>
      <c r="F49" s="34" t="inlineStr">
        <is>
          <t>0 governed relationships</t>
        </is>
      </c>
      <c r="G49" s="95" t="n">
        <v>0</v>
      </c>
      <c r="H49" s="95" t="n">
        <v>0</v>
      </c>
      <c r="I49" s="34" t="inlineStr">
        <is>
          <t>No governed schedule or cost relationships in this WBS branch.</t>
        </is>
      </c>
      <c r="J49" s="92" t="inlineStr">
        <is>
          <t>08 CROSSWALK: WBS 1.4.1.1</t>
        </is>
      </c>
    </row>
    <row r="50" ht="34" customHeight="1">
      <c r="A50" s="34" t="inlineStr">
        <is>
          <t>1.4.1.2</t>
        </is>
      </c>
      <c r="B50" s="106" t="inlineStr">
        <is>
          <t>Fleet Supply - Storage &amp; Commissioning Yard</t>
        </is>
      </c>
      <c r="C50" s="34" t="inlineStr">
        <is>
          <t>0 governed relationships</t>
        </is>
      </c>
      <c r="D50" s="34" t="inlineStr">
        <is>
          <t>0 governed relationships</t>
        </is>
      </c>
      <c r="E50" s="34" t="inlineStr">
        <is>
          <t>0 governed relationships</t>
        </is>
      </c>
      <c r="F50" s="34" t="inlineStr">
        <is>
          <t>0 governed relationships</t>
        </is>
      </c>
      <c r="G50" s="95" t="n">
        <v>0</v>
      </c>
      <c r="H50" s="95" t="n">
        <v>0</v>
      </c>
      <c r="I50" s="34" t="inlineStr">
        <is>
          <t>No governed schedule or cost relationships in this WBS branch.</t>
        </is>
      </c>
      <c r="J50" s="92" t="inlineStr">
        <is>
          <t>08 CROSSWALK: WBS 1.4.1.2</t>
        </is>
      </c>
    </row>
    <row r="51" ht="34" customHeight="1">
      <c r="A51" s="34" t="inlineStr">
        <is>
          <t>1.4.2</t>
        </is>
      </c>
      <c r="B51" s="105" t="inlineStr">
        <is>
          <t>Vehicles and Depot - Depot Buildings</t>
        </is>
      </c>
      <c r="C51" s="34" t="inlineStr">
        <is>
          <t>59 governed relationships</t>
        </is>
      </c>
      <c r="D51" s="34" t="inlineStr">
        <is>
          <t>40 governed relationships</t>
        </is>
      </c>
      <c r="E51" s="34" t="inlineStr">
        <is>
          <t>0 governed relationships</t>
        </is>
      </c>
      <c r="F51" s="34" t="inlineStr">
        <is>
          <t>0 governed relationships</t>
        </is>
      </c>
      <c r="G51" s="95" t="n">
        <v>0</v>
      </c>
      <c r="H51" s="95" t="n">
        <v>99</v>
      </c>
      <c r="I51" s="34" t="inlineStr">
        <is>
          <t>Schedule and cost both relate through this WBS branch.</t>
        </is>
      </c>
      <c r="J51" s="92" t="inlineStr">
        <is>
          <t>08 CROSSWALK: WBS 1.4.2</t>
        </is>
      </c>
    </row>
    <row r="52" ht="34" customHeight="1">
      <c r="A52" s="34" t="inlineStr">
        <is>
          <t>1.4.2.1</t>
        </is>
      </c>
      <c r="B52" s="106" t="inlineStr">
        <is>
          <t>Depot Buildings - Maintenance Facility</t>
        </is>
      </c>
      <c r="C52" s="34" t="inlineStr">
        <is>
          <t>0 governed relationships</t>
        </is>
      </c>
      <c r="D52" s="34" t="inlineStr">
        <is>
          <t>0 governed relationships</t>
        </is>
      </c>
      <c r="E52" s="34" t="inlineStr">
        <is>
          <t>0 governed relationships</t>
        </is>
      </c>
      <c r="F52" s="34" t="inlineStr">
        <is>
          <t>0 governed relationships</t>
        </is>
      </c>
      <c r="G52" s="95" t="n">
        <v>0</v>
      </c>
      <c r="H52" s="95" t="n">
        <v>0</v>
      </c>
      <c r="I52" s="34" t="inlineStr">
        <is>
          <t>No governed schedule or cost relationships in this WBS branch.</t>
        </is>
      </c>
      <c r="J52" s="92" t="inlineStr">
        <is>
          <t>08 CROSSWALK: WBS 1.4.2.1</t>
        </is>
      </c>
    </row>
    <row r="53" ht="34" customHeight="1">
      <c r="A53" s="34" t="inlineStr">
        <is>
          <t>1.4.2.2</t>
        </is>
      </c>
      <c r="B53" s="106" t="inlineStr">
        <is>
          <t>Depot Buildings - Storage &amp; Commissioning Yard</t>
        </is>
      </c>
      <c r="C53" s="34" t="inlineStr">
        <is>
          <t>0 governed relationships</t>
        </is>
      </c>
      <c r="D53" s="34" t="inlineStr">
        <is>
          <t>0 governed relationships</t>
        </is>
      </c>
      <c r="E53" s="34" t="inlineStr">
        <is>
          <t>0 governed relationships</t>
        </is>
      </c>
      <c r="F53" s="34" t="inlineStr">
        <is>
          <t>0 governed relationships</t>
        </is>
      </c>
      <c r="G53" s="95" t="n">
        <v>0</v>
      </c>
      <c r="H53" s="95" t="n">
        <v>0</v>
      </c>
      <c r="I53" s="34" t="inlineStr">
        <is>
          <t>No governed schedule or cost relationships in this WBS branch.</t>
        </is>
      </c>
      <c r="J53" s="92" t="inlineStr">
        <is>
          <t>08 CROSSWALK: WBS 1.4.2.2</t>
        </is>
      </c>
    </row>
    <row r="54" ht="34" customHeight="1">
      <c r="A54" s="34" t="inlineStr">
        <is>
          <t>1.4.3</t>
        </is>
      </c>
      <c r="B54" s="105" t="inlineStr">
        <is>
          <t>Vehicles and Depot - Workshop Equipment</t>
        </is>
      </c>
      <c r="C54" s="34" t="inlineStr">
        <is>
          <t>0 governed relationships</t>
        </is>
      </c>
      <c r="D54" s="34" t="inlineStr">
        <is>
          <t>0 governed relationships</t>
        </is>
      </c>
      <c r="E54" s="34" t="inlineStr">
        <is>
          <t>0 governed relationships</t>
        </is>
      </c>
      <c r="F54" s="34" t="inlineStr">
        <is>
          <t>0 governed relationships</t>
        </is>
      </c>
      <c r="G54" s="95" t="n">
        <v>0</v>
      </c>
      <c r="H54" s="95" t="n">
        <v>0</v>
      </c>
      <c r="I54" s="34" t="inlineStr">
        <is>
          <t>No governed schedule or cost relationships in this WBS branch.</t>
        </is>
      </c>
      <c r="J54" s="92" t="inlineStr">
        <is>
          <t>08 CROSSWALK: WBS 1.4.3</t>
        </is>
      </c>
    </row>
    <row r="55" ht="34" customHeight="1">
      <c r="A55" s="34" t="inlineStr">
        <is>
          <t>1.4.3.1</t>
        </is>
      </c>
      <c r="B55" s="106" t="inlineStr">
        <is>
          <t>Workshop Equipment - Maintenance Facility</t>
        </is>
      </c>
      <c r="C55" s="34" t="inlineStr">
        <is>
          <t>0 governed relationships</t>
        </is>
      </c>
      <c r="D55" s="34" t="inlineStr">
        <is>
          <t>0 governed relationships</t>
        </is>
      </c>
      <c r="E55" s="34" t="inlineStr">
        <is>
          <t>0 governed relationships</t>
        </is>
      </c>
      <c r="F55" s="34" t="inlineStr">
        <is>
          <t>0 governed relationships</t>
        </is>
      </c>
      <c r="G55" s="95" t="n">
        <v>0</v>
      </c>
      <c r="H55" s="95" t="n">
        <v>0</v>
      </c>
      <c r="I55" s="34" t="inlineStr">
        <is>
          <t>No governed schedule or cost relationships in this WBS branch.</t>
        </is>
      </c>
      <c r="J55" s="92" t="inlineStr">
        <is>
          <t>08 CROSSWALK: WBS 1.4.3.1</t>
        </is>
      </c>
    </row>
    <row r="56" ht="34" customHeight="1">
      <c r="A56" s="34" t="inlineStr">
        <is>
          <t>1.4.3.2</t>
        </is>
      </c>
      <c r="B56" s="106" t="inlineStr">
        <is>
          <t>Workshop Equipment - Storage &amp; Commissioning Yard</t>
        </is>
      </c>
      <c r="C56" s="34" t="inlineStr">
        <is>
          <t>0 governed relationships</t>
        </is>
      </c>
      <c r="D56" s="34" t="inlineStr">
        <is>
          <t>0 governed relationships</t>
        </is>
      </c>
      <c r="E56" s="34" t="inlineStr">
        <is>
          <t>0 governed relationships</t>
        </is>
      </c>
      <c r="F56" s="34" t="inlineStr">
        <is>
          <t>0 governed relationships</t>
        </is>
      </c>
      <c r="G56" s="95" t="n">
        <v>0</v>
      </c>
      <c r="H56" s="95" t="n">
        <v>0</v>
      </c>
      <c r="I56" s="34" t="inlineStr">
        <is>
          <t>No governed schedule or cost relationships in this WBS branch.</t>
        </is>
      </c>
      <c r="J56" s="92" t="inlineStr">
        <is>
          <t>08 CROSSWALK: WBS 1.4.3.2</t>
        </is>
      </c>
    </row>
    <row r="57" ht="34" customHeight="1">
      <c r="A57" s="34" t="inlineStr">
        <is>
          <t>1.4.4</t>
        </is>
      </c>
      <c r="B57" s="105" t="inlineStr">
        <is>
          <t>Vehicles and Depot - Vehicle Integration</t>
        </is>
      </c>
      <c r="C57" s="34" t="inlineStr">
        <is>
          <t>0 governed relationships</t>
        </is>
      </c>
      <c r="D57" s="34" t="inlineStr">
        <is>
          <t>0 governed relationships</t>
        </is>
      </c>
      <c r="E57" s="34" t="inlineStr">
        <is>
          <t>0 governed relationships</t>
        </is>
      </c>
      <c r="F57" s="34" t="inlineStr">
        <is>
          <t>0 governed relationships</t>
        </is>
      </c>
      <c r="G57" s="95" t="n">
        <v>0</v>
      </c>
      <c r="H57" s="95" t="n">
        <v>0</v>
      </c>
      <c r="I57" s="34" t="inlineStr">
        <is>
          <t>No governed schedule or cost relationships in this WBS branch.</t>
        </is>
      </c>
      <c r="J57" s="92" t="inlineStr">
        <is>
          <t>08 CROSSWALK: WBS 1.4.4</t>
        </is>
      </c>
    </row>
    <row r="58" ht="34" customHeight="1">
      <c r="A58" s="34" t="inlineStr">
        <is>
          <t>1.4.4.1</t>
        </is>
      </c>
      <c r="B58" s="106" t="inlineStr">
        <is>
          <t>Vehicle Integration - Maintenance Facility</t>
        </is>
      </c>
      <c r="C58" s="34" t="inlineStr">
        <is>
          <t>0 governed relationships</t>
        </is>
      </c>
      <c r="D58" s="34" t="inlineStr">
        <is>
          <t>0 governed relationships</t>
        </is>
      </c>
      <c r="E58" s="34" t="inlineStr">
        <is>
          <t>0 governed relationships</t>
        </is>
      </c>
      <c r="F58" s="34" t="inlineStr">
        <is>
          <t>0 governed relationships</t>
        </is>
      </c>
      <c r="G58" s="95" t="n">
        <v>0</v>
      </c>
      <c r="H58" s="95" t="n">
        <v>0</v>
      </c>
      <c r="I58" s="34" t="inlineStr">
        <is>
          <t>No governed schedule or cost relationships in this WBS branch.</t>
        </is>
      </c>
      <c r="J58" s="92" t="inlineStr">
        <is>
          <t>08 CROSSWALK: WBS 1.4.4.1</t>
        </is>
      </c>
    </row>
    <row r="59" ht="34" customHeight="1">
      <c r="A59" s="34" t="inlineStr">
        <is>
          <t>1.4.4.2</t>
        </is>
      </c>
      <c r="B59" s="106" t="inlineStr">
        <is>
          <t>Vehicle Integration - Storage &amp; Commissioning Yard</t>
        </is>
      </c>
      <c r="C59" s="34" t="inlineStr">
        <is>
          <t>0 governed relationships</t>
        </is>
      </c>
      <c r="D59" s="34" t="inlineStr">
        <is>
          <t>0 governed relationships</t>
        </is>
      </c>
      <c r="E59" s="34" t="inlineStr">
        <is>
          <t>0 governed relationships</t>
        </is>
      </c>
      <c r="F59" s="34" t="inlineStr">
        <is>
          <t>0 governed relationships</t>
        </is>
      </c>
      <c r="G59" s="95" t="n">
        <v>0</v>
      </c>
      <c r="H59" s="95" t="n">
        <v>0</v>
      </c>
      <c r="I59" s="34" t="inlineStr">
        <is>
          <t>No governed schedule or cost relationships in this WBS branch.</t>
        </is>
      </c>
      <c r="J59" s="92" t="inlineStr">
        <is>
          <t>08 CROSSWALK: WBS 1.4.4.2</t>
        </is>
      </c>
    </row>
    <row r="60" ht="64" customHeight="1">
      <c r="A60" s="34" t="inlineStr">
        <is>
          <t>1.5</t>
        </is>
      </c>
      <c r="B60" s="104" t="inlineStr">
        <is>
          <t>Testing and Commissioning</t>
        </is>
      </c>
      <c r="C60" s="34" t="inlineStr">
        <is>
          <t>180 governed relationships</t>
        </is>
      </c>
      <c r="D60" s="34" t="inlineStr">
        <is>
          <t>0 governed relationships</t>
        </is>
      </c>
      <c r="E60" s="34" t="inlineStr">
        <is>
          <t>10 governed relationships</t>
        </is>
      </c>
      <c r="F60" s="34" t="inlineStr">
        <is>
          <t>0 governed relationships</t>
        </is>
      </c>
      <c r="G60" s="95" t="n">
        <v>0</v>
      </c>
      <c r="H60" s="95" t="n">
        <v>190</v>
      </c>
      <c r="I60" s="34" t="inlineStr">
        <is>
          <t>Schedule scope has no governed cost relationships in this WBS branch. 10 package/contract relationships also project through this branch.</t>
        </is>
      </c>
      <c r="J60" s="92" t="inlineStr">
        <is>
          <t>08 CROSSWALK: WBS 1.5</t>
        </is>
      </c>
    </row>
    <row r="61" ht="34" customHeight="1">
      <c r="A61" s="34" t="inlineStr">
        <is>
          <t>1.5.1</t>
        </is>
      </c>
      <c r="B61" s="105" t="inlineStr">
        <is>
          <t>Testing and Commissioning - Test Readiness</t>
        </is>
      </c>
      <c r="C61" s="34" t="inlineStr">
        <is>
          <t>120 governed relationships</t>
        </is>
      </c>
      <c r="D61" s="34" t="inlineStr">
        <is>
          <t>0 governed relationships</t>
        </is>
      </c>
      <c r="E61" s="34" t="inlineStr">
        <is>
          <t>0 governed relationships</t>
        </is>
      </c>
      <c r="F61" s="34" t="inlineStr">
        <is>
          <t>0 governed relationships</t>
        </is>
      </c>
      <c r="G61" s="95" t="n">
        <v>0</v>
      </c>
      <c r="H61" s="95" t="n">
        <v>120</v>
      </c>
      <c r="I61" s="34" t="inlineStr">
        <is>
          <t>Schedule scope has no governed cost relationships in this WBS branch.</t>
        </is>
      </c>
      <c r="J61" s="92" t="inlineStr">
        <is>
          <t>08 CROSSWALK: WBS 1.5.1</t>
        </is>
      </c>
    </row>
    <row r="62" ht="34" customHeight="1">
      <c r="A62" s="34" t="inlineStr">
        <is>
          <t>1.5.1.1</t>
        </is>
      </c>
      <c r="B62" s="106" t="inlineStr">
        <is>
          <t>Test Readiness - Mainline</t>
        </is>
      </c>
      <c r="C62" s="34" t="inlineStr">
        <is>
          <t>0 governed relationships</t>
        </is>
      </c>
      <c r="D62" s="34" t="inlineStr">
        <is>
          <t>0 governed relationships</t>
        </is>
      </c>
      <c r="E62" s="34" t="inlineStr">
        <is>
          <t>0 governed relationships</t>
        </is>
      </c>
      <c r="F62" s="34" t="inlineStr">
        <is>
          <t>0 governed relationships</t>
        </is>
      </c>
      <c r="G62" s="95" t="n">
        <v>0</v>
      </c>
      <c r="H62" s="95" t="n">
        <v>0</v>
      </c>
      <c r="I62" s="34" t="inlineStr">
        <is>
          <t>No governed schedule or cost relationships in this WBS branch.</t>
        </is>
      </c>
      <c r="J62" s="92" t="inlineStr">
        <is>
          <t>08 CROSSWALK: WBS 1.5.1.1</t>
        </is>
      </c>
    </row>
    <row r="63" ht="34" customHeight="1">
      <c r="A63" s="34" t="inlineStr">
        <is>
          <t>1.5.1.2</t>
        </is>
      </c>
      <c r="B63" s="106" t="inlineStr">
        <is>
          <t>Test Readiness - Depot &amp; Stations</t>
        </is>
      </c>
      <c r="C63" s="34" t="inlineStr">
        <is>
          <t>0 governed relationships</t>
        </is>
      </c>
      <c r="D63" s="34" t="inlineStr">
        <is>
          <t>0 governed relationships</t>
        </is>
      </c>
      <c r="E63" s="34" t="inlineStr">
        <is>
          <t>0 governed relationships</t>
        </is>
      </c>
      <c r="F63" s="34" t="inlineStr">
        <is>
          <t>0 governed relationships</t>
        </is>
      </c>
      <c r="G63" s="95" t="n">
        <v>0</v>
      </c>
      <c r="H63" s="95" t="n">
        <v>0</v>
      </c>
      <c r="I63" s="34" t="inlineStr">
        <is>
          <t>No governed schedule or cost relationships in this WBS branch.</t>
        </is>
      </c>
      <c r="J63" s="92" t="inlineStr">
        <is>
          <t>08 CROSSWALK: WBS 1.5.1.2</t>
        </is>
      </c>
    </row>
    <row r="64" ht="34" customHeight="1">
      <c r="A64" s="34" t="inlineStr">
        <is>
          <t>1.5.2</t>
        </is>
      </c>
      <c r="B64" s="105" t="inlineStr">
        <is>
          <t>Testing and Commissioning - Dynamic Testing</t>
        </is>
      </c>
      <c r="C64" s="34" t="inlineStr">
        <is>
          <t>60 governed relationships</t>
        </is>
      </c>
      <c r="D64" s="34" t="inlineStr">
        <is>
          <t>0 governed relationships</t>
        </is>
      </c>
      <c r="E64" s="34" t="inlineStr">
        <is>
          <t>0 governed relationships</t>
        </is>
      </c>
      <c r="F64" s="34" t="inlineStr">
        <is>
          <t>0 governed relationships</t>
        </is>
      </c>
      <c r="G64" s="95" t="n">
        <v>0</v>
      </c>
      <c r="H64" s="95" t="n">
        <v>60</v>
      </c>
      <c r="I64" s="34" t="inlineStr">
        <is>
          <t>Schedule scope has no governed cost relationships in this WBS branch.</t>
        </is>
      </c>
      <c r="J64" s="92" t="inlineStr">
        <is>
          <t>08 CROSSWALK: WBS 1.5.2</t>
        </is>
      </c>
    </row>
    <row r="65" ht="34" customHeight="1">
      <c r="A65" s="34" t="inlineStr">
        <is>
          <t>1.5.2.1</t>
        </is>
      </c>
      <c r="B65" s="106" t="inlineStr">
        <is>
          <t>Dynamic Testing - Mainline</t>
        </is>
      </c>
      <c r="C65" s="34" t="inlineStr">
        <is>
          <t>0 governed relationships</t>
        </is>
      </c>
      <c r="D65" s="34" t="inlineStr">
        <is>
          <t>0 governed relationships</t>
        </is>
      </c>
      <c r="E65" s="34" t="inlineStr">
        <is>
          <t>0 governed relationships</t>
        </is>
      </c>
      <c r="F65" s="34" t="inlineStr">
        <is>
          <t>0 governed relationships</t>
        </is>
      </c>
      <c r="G65" s="95" t="n">
        <v>0</v>
      </c>
      <c r="H65" s="95" t="n">
        <v>0</v>
      </c>
      <c r="I65" s="34" t="inlineStr">
        <is>
          <t>No governed schedule or cost relationships in this WBS branch.</t>
        </is>
      </c>
      <c r="J65" s="92" t="inlineStr">
        <is>
          <t>08 CROSSWALK: WBS 1.5.2.1</t>
        </is>
      </c>
    </row>
    <row r="66" ht="34" customHeight="1">
      <c r="A66" s="34" t="inlineStr">
        <is>
          <t>1.5.2.2</t>
        </is>
      </c>
      <c r="B66" s="106" t="inlineStr">
        <is>
          <t>Dynamic Testing - Depot &amp; Stations</t>
        </is>
      </c>
      <c r="C66" s="34" t="inlineStr">
        <is>
          <t>0 governed relationships</t>
        </is>
      </c>
      <c r="D66" s="34" t="inlineStr">
        <is>
          <t>0 governed relationships</t>
        </is>
      </c>
      <c r="E66" s="34" t="inlineStr">
        <is>
          <t>0 governed relationships</t>
        </is>
      </c>
      <c r="F66" s="34" t="inlineStr">
        <is>
          <t>0 governed relationships</t>
        </is>
      </c>
      <c r="G66" s="95" t="n">
        <v>0</v>
      </c>
      <c r="H66" s="95" t="n">
        <v>0</v>
      </c>
      <c r="I66" s="34" t="inlineStr">
        <is>
          <t>No governed schedule or cost relationships in this WBS branch.</t>
        </is>
      </c>
      <c r="J66" s="92" t="inlineStr">
        <is>
          <t>08 CROSSWALK: WBS 1.5.2.2</t>
        </is>
      </c>
    </row>
    <row r="67" ht="34" customHeight="1">
      <c r="A67" s="34" t="inlineStr">
        <is>
          <t>1.5.3</t>
        </is>
      </c>
      <c r="B67" s="105" t="inlineStr">
        <is>
          <t>Testing and Commissioning - Safety Certification</t>
        </is>
      </c>
      <c r="C67" s="34" t="inlineStr">
        <is>
          <t>0 governed relationships</t>
        </is>
      </c>
      <c r="D67" s="34" t="inlineStr">
        <is>
          <t>0 governed relationships</t>
        </is>
      </c>
      <c r="E67" s="34" t="inlineStr">
        <is>
          <t>0 governed relationships</t>
        </is>
      </c>
      <c r="F67" s="34" t="inlineStr">
        <is>
          <t>0 governed relationships</t>
        </is>
      </c>
      <c r="G67" s="95" t="n">
        <v>0</v>
      </c>
      <c r="H67" s="95" t="n">
        <v>0</v>
      </c>
      <c r="I67" s="34" t="inlineStr">
        <is>
          <t>No governed schedule or cost relationships in this WBS branch.</t>
        </is>
      </c>
      <c r="J67" s="92" t="inlineStr">
        <is>
          <t>08 CROSSWALK: WBS 1.5.3</t>
        </is>
      </c>
    </row>
    <row r="68" ht="34" customHeight="1">
      <c r="A68" s="34" t="inlineStr">
        <is>
          <t>1.5.3.1</t>
        </is>
      </c>
      <c r="B68" s="106" t="inlineStr">
        <is>
          <t>Safety Certification - Mainline</t>
        </is>
      </c>
      <c r="C68" s="34" t="inlineStr">
        <is>
          <t>0 governed relationships</t>
        </is>
      </c>
      <c r="D68" s="34" t="inlineStr">
        <is>
          <t>0 governed relationships</t>
        </is>
      </c>
      <c r="E68" s="34" t="inlineStr">
        <is>
          <t>0 governed relationships</t>
        </is>
      </c>
      <c r="F68" s="34" t="inlineStr">
        <is>
          <t>0 governed relationships</t>
        </is>
      </c>
      <c r="G68" s="95" t="n">
        <v>0</v>
      </c>
      <c r="H68" s="95" t="n">
        <v>0</v>
      </c>
      <c r="I68" s="34" t="inlineStr">
        <is>
          <t>No governed schedule or cost relationships in this WBS branch.</t>
        </is>
      </c>
      <c r="J68" s="92" t="inlineStr">
        <is>
          <t>08 CROSSWALK: WBS 1.5.3.1</t>
        </is>
      </c>
    </row>
    <row r="69" ht="34" customHeight="1">
      <c r="A69" s="34" t="inlineStr">
        <is>
          <t>1.5.3.2</t>
        </is>
      </c>
      <c r="B69" s="106" t="inlineStr">
        <is>
          <t>Safety Certification - Depot &amp; Stations</t>
        </is>
      </c>
      <c r="C69" s="34" t="inlineStr">
        <is>
          <t>0 governed relationships</t>
        </is>
      </c>
      <c r="D69" s="34" t="inlineStr">
        <is>
          <t>0 governed relationships</t>
        </is>
      </c>
      <c r="E69" s="34" t="inlineStr">
        <is>
          <t>0 governed relationships</t>
        </is>
      </c>
      <c r="F69" s="34" t="inlineStr">
        <is>
          <t>0 governed relationships</t>
        </is>
      </c>
      <c r="G69" s="95" t="n">
        <v>0</v>
      </c>
      <c r="H69" s="95" t="n">
        <v>0</v>
      </c>
      <c r="I69" s="34" t="inlineStr">
        <is>
          <t>No governed schedule or cost relationships in this WBS branch.</t>
        </is>
      </c>
      <c r="J69" s="92" t="inlineStr">
        <is>
          <t>08 CROSSWALK: WBS 1.5.3.2</t>
        </is>
      </c>
    </row>
    <row r="70" ht="34" customHeight="1">
      <c r="A70" s="34" t="inlineStr">
        <is>
          <t>1.5.4</t>
        </is>
      </c>
      <c r="B70" s="105" t="inlineStr">
        <is>
          <t>Testing and Commissioning - Service Readiness</t>
        </is>
      </c>
      <c r="C70" s="34" t="inlineStr">
        <is>
          <t>0 governed relationships</t>
        </is>
      </c>
      <c r="D70" s="34" t="inlineStr">
        <is>
          <t>0 governed relationships</t>
        </is>
      </c>
      <c r="E70" s="34" t="inlineStr">
        <is>
          <t>0 governed relationships</t>
        </is>
      </c>
      <c r="F70" s="34" t="inlineStr">
        <is>
          <t>0 governed relationships</t>
        </is>
      </c>
      <c r="G70" s="95" t="n">
        <v>0</v>
      </c>
      <c r="H70" s="95" t="n">
        <v>0</v>
      </c>
      <c r="I70" s="34" t="inlineStr">
        <is>
          <t>No governed schedule or cost relationships in this WBS branch.</t>
        </is>
      </c>
      <c r="J70" s="92" t="inlineStr">
        <is>
          <t>08 CROSSWALK: WBS 1.5.4</t>
        </is>
      </c>
    </row>
    <row r="71" ht="34" customHeight="1">
      <c r="A71" s="34" t="inlineStr">
        <is>
          <t>1.5.4.1</t>
        </is>
      </c>
      <c r="B71" s="106" t="inlineStr">
        <is>
          <t>Service Readiness - Mainline</t>
        </is>
      </c>
      <c r="C71" s="34" t="inlineStr">
        <is>
          <t>0 governed relationships</t>
        </is>
      </c>
      <c r="D71" s="34" t="inlineStr">
        <is>
          <t>0 governed relationships</t>
        </is>
      </c>
      <c r="E71" s="34" t="inlineStr">
        <is>
          <t>0 governed relationships</t>
        </is>
      </c>
      <c r="F71" s="34" t="inlineStr">
        <is>
          <t>0 governed relationships</t>
        </is>
      </c>
      <c r="G71" s="95" t="n">
        <v>0</v>
      </c>
      <c r="H71" s="95" t="n">
        <v>0</v>
      </c>
      <c r="I71" s="34" t="inlineStr">
        <is>
          <t>No governed schedule or cost relationships in this WBS branch.</t>
        </is>
      </c>
      <c r="J71" s="92" t="inlineStr">
        <is>
          <t>08 CROSSWALK: WBS 1.5.4.1</t>
        </is>
      </c>
    </row>
    <row r="72" ht="34" customHeight="1">
      <c r="A72" s="34" t="inlineStr">
        <is>
          <t>1.5.4.2</t>
        </is>
      </c>
      <c r="B72" s="106" t="inlineStr">
        <is>
          <t>Service Readiness - Depot &amp; Stations</t>
        </is>
      </c>
      <c r="C72" s="34" t="inlineStr">
        <is>
          <t>0 governed relationships</t>
        </is>
      </c>
      <c r="D72" s="34" t="inlineStr">
        <is>
          <t>0 governed relationships</t>
        </is>
      </c>
      <c r="E72" s="34" t="inlineStr">
        <is>
          <t>0 governed relationships</t>
        </is>
      </c>
      <c r="F72" s="34" t="inlineStr">
        <is>
          <t>0 governed relationships</t>
        </is>
      </c>
      <c r="G72" s="95" t="n">
        <v>0</v>
      </c>
      <c r="H72" s="95" t="n">
        <v>0</v>
      </c>
      <c r="I72" s="34" t="inlineStr">
        <is>
          <t>No governed schedule or cost relationships in this WBS branch.</t>
        </is>
      </c>
      <c r="J72" s="92" t="inlineStr">
        <is>
          <t>08 CROSSWALK: WBS 1.5.4.2</t>
        </is>
      </c>
    </row>
    <row r="73" ht="64" customHeight="1">
      <c r="A73" s="34" t="inlineStr">
        <is>
          <t>1.6</t>
        </is>
      </c>
      <c r="B73" s="104" t="inlineStr">
        <is>
          <t>Program Management</t>
        </is>
      </c>
      <c r="C73" s="34" t="inlineStr">
        <is>
          <t>0 governed relationships</t>
        </is>
      </c>
      <c r="D73" s="34" t="inlineStr">
        <is>
          <t>80 governed relationships</t>
        </is>
      </c>
      <c r="E73" s="34" t="inlineStr">
        <is>
          <t>10 governed relationships</t>
        </is>
      </c>
      <c r="F73" s="34" t="inlineStr">
        <is>
          <t>0 governed relationships</t>
        </is>
      </c>
      <c r="G73" s="95" t="n">
        <v>0</v>
      </c>
      <c r="H73" s="95" t="n">
        <v>90</v>
      </c>
      <c r="I73" s="34" t="inlineStr">
        <is>
          <t>Cost scope has no governed schedule relationships in this WBS branch. 10 package/contract relationships also project through this branch.</t>
        </is>
      </c>
      <c r="J73" s="92" t="inlineStr">
        <is>
          <t>08 CROSSWALK: WBS 1.6</t>
        </is>
      </c>
    </row>
    <row r="74" ht="34" customHeight="1">
      <c r="A74" s="34" t="inlineStr">
        <is>
          <t>1.6.1</t>
        </is>
      </c>
      <c r="B74" s="105" t="inlineStr">
        <is>
          <t>Program Management - Program Controls</t>
        </is>
      </c>
      <c r="C74" s="34" t="inlineStr">
        <is>
          <t>0 governed relationships</t>
        </is>
      </c>
      <c r="D74" s="34" t="inlineStr">
        <is>
          <t>40 governed relationships</t>
        </is>
      </c>
      <c r="E74" s="34" t="inlineStr">
        <is>
          <t>0 governed relationships</t>
        </is>
      </c>
      <c r="F74" s="34" t="inlineStr">
        <is>
          <t>0 governed relationships</t>
        </is>
      </c>
      <c r="G74" s="95" t="n">
        <v>0</v>
      </c>
      <c r="H74" s="95" t="n">
        <v>40</v>
      </c>
      <c r="I74" s="34" t="inlineStr">
        <is>
          <t>Cost scope has no governed schedule relationships in this WBS branch.</t>
        </is>
      </c>
      <c r="J74" s="92" t="inlineStr">
        <is>
          <t>08 CROSSWALK: WBS 1.6.1</t>
        </is>
      </c>
    </row>
    <row r="75" ht="34" customHeight="1">
      <c r="A75" s="34" t="inlineStr">
        <is>
          <t>1.6.1.1</t>
        </is>
      </c>
      <c r="B75" s="106" t="inlineStr">
        <is>
          <t>Program Controls - Owner Team</t>
        </is>
      </c>
      <c r="C75" s="34" t="inlineStr">
        <is>
          <t>0 governed relationships</t>
        </is>
      </c>
      <c r="D75" s="34" t="inlineStr">
        <is>
          <t>0 governed relationships</t>
        </is>
      </c>
      <c r="E75" s="34" t="inlineStr">
        <is>
          <t>0 governed relationships</t>
        </is>
      </c>
      <c r="F75" s="34" t="inlineStr">
        <is>
          <t>0 governed relationships</t>
        </is>
      </c>
      <c r="G75" s="95" t="n">
        <v>0</v>
      </c>
      <c r="H75" s="95" t="n">
        <v>0</v>
      </c>
      <c r="I75" s="34" t="inlineStr">
        <is>
          <t>No governed schedule or cost relationships in this WBS branch.</t>
        </is>
      </c>
      <c r="J75" s="92" t="inlineStr">
        <is>
          <t>08 CROSSWALK: WBS 1.6.1.1</t>
        </is>
      </c>
    </row>
    <row r="76" ht="34" customHeight="1">
      <c r="A76" s="34" t="inlineStr">
        <is>
          <t>1.6.1.2</t>
        </is>
      </c>
      <c r="B76" s="106" t="inlineStr">
        <is>
          <t>Program Controls - Delivery Partners</t>
        </is>
      </c>
      <c r="C76" s="34" t="inlineStr">
        <is>
          <t>0 governed relationships</t>
        </is>
      </c>
      <c r="D76" s="34" t="inlineStr">
        <is>
          <t>0 governed relationships</t>
        </is>
      </c>
      <c r="E76" s="34" t="inlineStr">
        <is>
          <t>0 governed relationships</t>
        </is>
      </c>
      <c r="F76" s="34" t="inlineStr">
        <is>
          <t>0 governed relationships</t>
        </is>
      </c>
      <c r="G76" s="95" t="n">
        <v>0</v>
      </c>
      <c r="H76" s="95" t="n">
        <v>0</v>
      </c>
      <c r="I76" s="34" t="inlineStr">
        <is>
          <t>No governed schedule or cost relationships in this WBS branch.</t>
        </is>
      </c>
      <c r="J76" s="92" t="inlineStr">
        <is>
          <t>08 CROSSWALK: WBS 1.6.1.2</t>
        </is>
      </c>
    </row>
    <row r="77" ht="34" customHeight="1">
      <c r="A77" s="34" t="inlineStr">
        <is>
          <t>1.6.2</t>
        </is>
      </c>
      <c r="B77" s="105" t="inlineStr">
        <is>
          <t>Program Management - Commercial &amp; Procurement</t>
        </is>
      </c>
      <c r="C77" s="34" t="inlineStr">
        <is>
          <t>0 governed relationships</t>
        </is>
      </c>
      <c r="D77" s="34" t="inlineStr">
        <is>
          <t>40 governed relationships</t>
        </is>
      </c>
      <c r="E77" s="34" t="inlineStr">
        <is>
          <t>0 governed relationships</t>
        </is>
      </c>
      <c r="F77" s="34" t="inlineStr">
        <is>
          <t>0 governed relationships</t>
        </is>
      </c>
      <c r="G77" s="95" t="n">
        <v>0</v>
      </c>
      <c r="H77" s="95" t="n">
        <v>40</v>
      </c>
      <c r="I77" s="34" t="inlineStr">
        <is>
          <t>Cost scope has no governed schedule relationships in this WBS branch.</t>
        </is>
      </c>
      <c r="J77" s="92" t="inlineStr">
        <is>
          <t>08 CROSSWALK: WBS 1.6.2</t>
        </is>
      </c>
    </row>
    <row r="78" ht="34" customHeight="1">
      <c r="A78" s="34" t="inlineStr">
        <is>
          <t>1.6.2.1</t>
        </is>
      </c>
      <c r="B78" s="106" t="inlineStr">
        <is>
          <t>Commercial &amp; Procurement - Owner Team</t>
        </is>
      </c>
      <c r="C78" s="34" t="inlineStr">
        <is>
          <t>0 governed relationships</t>
        </is>
      </c>
      <c r="D78" s="34" t="inlineStr">
        <is>
          <t>0 governed relationships</t>
        </is>
      </c>
      <c r="E78" s="34" t="inlineStr">
        <is>
          <t>0 governed relationships</t>
        </is>
      </c>
      <c r="F78" s="34" t="inlineStr">
        <is>
          <t>0 governed relationships</t>
        </is>
      </c>
      <c r="G78" s="95" t="n">
        <v>0</v>
      </c>
      <c r="H78" s="95" t="n">
        <v>0</v>
      </c>
      <c r="I78" s="34" t="inlineStr">
        <is>
          <t>No governed schedule or cost relationships in this WBS branch.</t>
        </is>
      </c>
      <c r="J78" s="92" t="inlineStr">
        <is>
          <t>08 CROSSWALK: WBS 1.6.2.1</t>
        </is>
      </c>
    </row>
    <row r="79" ht="34" customHeight="1">
      <c r="A79" s="34" t="inlineStr">
        <is>
          <t>1.6.2.2</t>
        </is>
      </c>
      <c r="B79" s="106" t="inlineStr">
        <is>
          <t>Commercial &amp; Procurement - Delivery Partners</t>
        </is>
      </c>
      <c r="C79" s="34" t="inlineStr">
        <is>
          <t>0 governed relationships</t>
        </is>
      </c>
      <c r="D79" s="34" t="inlineStr">
        <is>
          <t>0 governed relationships</t>
        </is>
      </c>
      <c r="E79" s="34" t="inlineStr">
        <is>
          <t>0 governed relationships</t>
        </is>
      </c>
      <c r="F79" s="34" t="inlineStr">
        <is>
          <t>0 governed relationships</t>
        </is>
      </c>
      <c r="G79" s="95" t="n">
        <v>0</v>
      </c>
      <c r="H79" s="95" t="n">
        <v>0</v>
      </c>
      <c r="I79" s="34" t="inlineStr">
        <is>
          <t>No governed schedule or cost relationships in this WBS branch.</t>
        </is>
      </c>
      <c r="J79" s="92" t="inlineStr">
        <is>
          <t>08 CROSSWALK: WBS 1.6.2.2</t>
        </is>
      </c>
    </row>
    <row r="80" ht="34" customHeight="1">
      <c r="A80" s="34" t="inlineStr">
        <is>
          <t>1.6.3</t>
        </is>
      </c>
      <c r="B80" s="105" t="inlineStr">
        <is>
          <t>Program Management - Stakeholder &amp; Permits</t>
        </is>
      </c>
      <c r="C80" s="34" t="inlineStr">
        <is>
          <t>0 governed relationships</t>
        </is>
      </c>
      <c r="D80" s="34" t="inlineStr">
        <is>
          <t>0 governed relationships</t>
        </is>
      </c>
      <c r="E80" s="34" t="inlineStr">
        <is>
          <t>0 governed relationships</t>
        </is>
      </c>
      <c r="F80" s="34" t="inlineStr">
        <is>
          <t>0 governed relationships</t>
        </is>
      </c>
      <c r="G80" s="95" t="n">
        <v>0</v>
      </c>
      <c r="H80" s="95" t="n">
        <v>0</v>
      </c>
      <c r="I80" s="34" t="inlineStr">
        <is>
          <t>No governed schedule or cost relationships in this WBS branch.</t>
        </is>
      </c>
      <c r="J80" s="92" t="inlineStr">
        <is>
          <t>08 CROSSWALK: WBS 1.6.3</t>
        </is>
      </c>
    </row>
    <row r="81" ht="34" customHeight="1">
      <c r="A81" s="34" t="inlineStr">
        <is>
          <t>1.6.3.1</t>
        </is>
      </c>
      <c r="B81" s="106" t="inlineStr">
        <is>
          <t>Stakeholder &amp; Permits - Owner Team</t>
        </is>
      </c>
      <c r="C81" s="34" t="inlineStr">
        <is>
          <t>0 governed relationships</t>
        </is>
      </c>
      <c r="D81" s="34" t="inlineStr">
        <is>
          <t>0 governed relationships</t>
        </is>
      </c>
      <c r="E81" s="34" t="inlineStr">
        <is>
          <t>0 governed relationships</t>
        </is>
      </c>
      <c r="F81" s="34" t="inlineStr">
        <is>
          <t>0 governed relationships</t>
        </is>
      </c>
      <c r="G81" s="95" t="n">
        <v>0</v>
      </c>
      <c r="H81" s="95" t="n">
        <v>0</v>
      </c>
      <c r="I81" s="34" t="inlineStr">
        <is>
          <t>No governed schedule or cost relationships in this WBS branch.</t>
        </is>
      </c>
      <c r="J81" s="92" t="inlineStr">
        <is>
          <t>08 CROSSWALK: WBS 1.6.3.1</t>
        </is>
      </c>
    </row>
    <row r="82" ht="34" customHeight="1">
      <c r="A82" s="34" t="inlineStr">
        <is>
          <t>1.6.3.2</t>
        </is>
      </c>
      <c r="B82" s="106" t="inlineStr">
        <is>
          <t>Stakeholder &amp; Permits - Delivery Partners</t>
        </is>
      </c>
      <c r="C82" s="34" t="inlineStr">
        <is>
          <t>0 governed relationships</t>
        </is>
      </c>
      <c r="D82" s="34" t="inlineStr">
        <is>
          <t>0 governed relationships</t>
        </is>
      </c>
      <c r="E82" s="34" t="inlineStr">
        <is>
          <t>0 governed relationships</t>
        </is>
      </c>
      <c r="F82" s="34" t="inlineStr">
        <is>
          <t>0 governed relationships</t>
        </is>
      </c>
      <c r="G82" s="95" t="n">
        <v>0</v>
      </c>
      <c r="H82" s="95" t="n">
        <v>0</v>
      </c>
      <c r="I82" s="34" t="inlineStr">
        <is>
          <t>No governed schedule or cost relationships in this WBS branch.</t>
        </is>
      </c>
      <c r="J82" s="92" t="inlineStr">
        <is>
          <t>08 CROSSWALK: WBS 1.6.3.2</t>
        </is>
      </c>
    </row>
    <row r="83" ht="34" customHeight="1">
      <c r="A83" s="34" t="inlineStr">
        <is>
          <t>1.6.4</t>
        </is>
      </c>
      <c r="B83" s="105" t="inlineStr">
        <is>
          <t>Program Management - Delivery Integration</t>
        </is>
      </c>
      <c r="C83" s="34" t="inlineStr">
        <is>
          <t>0 governed relationships</t>
        </is>
      </c>
      <c r="D83" s="34" t="inlineStr">
        <is>
          <t>0 governed relationships</t>
        </is>
      </c>
      <c r="E83" s="34" t="inlineStr">
        <is>
          <t>0 governed relationships</t>
        </is>
      </c>
      <c r="F83" s="34" t="inlineStr">
        <is>
          <t>0 governed relationships</t>
        </is>
      </c>
      <c r="G83" s="95" t="n">
        <v>0</v>
      </c>
      <c r="H83" s="95" t="n">
        <v>0</v>
      </c>
      <c r="I83" s="34" t="inlineStr">
        <is>
          <t>No governed schedule or cost relationships in this WBS branch.</t>
        </is>
      </c>
      <c r="J83" s="92" t="inlineStr">
        <is>
          <t>08 CROSSWALK: WBS 1.6.4</t>
        </is>
      </c>
    </row>
    <row r="84" ht="34" customHeight="1">
      <c r="A84" s="34" t="inlineStr">
        <is>
          <t>1.6.4.1</t>
        </is>
      </c>
      <c r="B84" s="106" t="inlineStr">
        <is>
          <t>Delivery Integration - Owner Team</t>
        </is>
      </c>
      <c r="C84" s="34" t="inlineStr">
        <is>
          <t>0 governed relationships</t>
        </is>
      </c>
      <c r="D84" s="34" t="inlineStr">
        <is>
          <t>0 governed relationships</t>
        </is>
      </c>
      <c r="E84" s="34" t="inlineStr">
        <is>
          <t>0 governed relationships</t>
        </is>
      </c>
      <c r="F84" s="34" t="inlineStr">
        <is>
          <t>0 governed relationships</t>
        </is>
      </c>
      <c r="G84" s="95" t="n">
        <v>0</v>
      </c>
      <c r="H84" s="95" t="n">
        <v>0</v>
      </c>
      <c r="I84" s="34" t="inlineStr">
        <is>
          <t>No governed schedule or cost relationships in this WBS branch.</t>
        </is>
      </c>
      <c r="J84" s="92" t="inlineStr">
        <is>
          <t>08 CROSSWALK: WBS 1.6.4.1</t>
        </is>
      </c>
    </row>
    <row r="85" ht="34" customHeight="1">
      <c r="A85" s="34" t="inlineStr">
        <is>
          <t>1.6.4.2</t>
        </is>
      </c>
      <c r="B85" s="106" t="inlineStr">
        <is>
          <t>Delivery Integration - Delivery Partners</t>
        </is>
      </c>
      <c r="C85" s="34" t="inlineStr">
        <is>
          <t>0 governed relationships</t>
        </is>
      </c>
      <c r="D85" s="34" t="inlineStr">
        <is>
          <t>0 governed relationships</t>
        </is>
      </c>
      <c r="E85" s="34" t="inlineStr">
        <is>
          <t>0 governed relationships</t>
        </is>
      </c>
      <c r="F85" s="34" t="inlineStr">
        <is>
          <t>0 governed relationships</t>
        </is>
      </c>
      <c r="G85" s="95" t="n">
        <v>0</v>
      </c>
      <c r="H85" s="95" t="n">
        <v>0</v>
      </c>
      <c r="I85" s="34" t="inlineStr">
        <is>
          <t>No governed schedule or cost relationships in this WBS branch.</t>
        </is>
      </c>
      <c r="J85" s="92" t="inlineStr">
        <is>
          <t>08 CROSSWALK: WBS 1.6.4.2</t>
        </is>
      </c>
    </row>
  </sheetData>
  <autoFilter ref="A5:J85"/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J6" r:id="rId9"/>
    <hyperlink xmlns:r="http://schemas.openxmlformats.org/officeDocument/2006/relationships" ref="J7" tooltip="First relationship in this approved WBS branch; use the WBS Explorer hierarchy and Target WBS filter to inspect all descendant targets." r:id="rId10"/>
    <hyperlink xmlns:r="http://schemas.openxmlformats.org/officeDocument/2006/relationships" ref="J8" tooltip="First relationship in this approved WBS branch; use the WBS Explorer hierarchy and Target WBS filter to inspect all descendant targets." r:id="rId11"/>
    <hyperlink xmlns:r="http://schemas.openxmlformats.org/officeDocument/2006/relationships" ref="J9" tooltip="First relationship in this approved WBS branch; use the WBS Explorer hierarchy and Target WBS filter to inspect all descendant targets." r:id="rId12"/>
    <hyperlink xmlns:r="http://schemas.openxmlformats.org/officeDocument/2006/relationships" ref="J10" r:id="rId13"/>
    <hyperlink xmlns:r="http://schemas.openxmlformats.org/officeDocument/2006/relationships" ref="J11" r:id="rId14"/>
    <hyperlink xmlns:r="http://schemas.openxmlformats.org/officeDocument/2006/relationships" ref="J12" tooltip="First relationship in this approved WBS branch; use the WBS Explorer hierarchy and Target WBS filter to inspect all descendant targets." r:id="rId15"/>
    <hyperlink xmlns:r="http://schemas.openxmlformats.org/officeDocument/2006/relationships" ref="J13" r:id="rId16"/>
    <hyperlink xmlns:r="http://schemas.openxmlformats.org/officeDocument/2006/relationships" ref="J14" r:id="rId17"/>
    <hyperlink xmlns:r="http://schemas.openxmlformats.org/officeDocument/2006/relationships" ref="J15" r:id="rId18"/>
    <hyperlink xmlns:r="http://schemas.openxmlformats.org/officeDocument/2006/relationships" ref="J16" r:id="rId19"/>
    <hyperlink xmlns:r="http://schemas.openxmlformats.org/officeDocument/2006/relationships" ref="J17" r:id="rId20"/>
    <hyperlink xmlns:r="http://schemas.openxmlformats.org/officeDocument/2006/relationships" ref="J18" r:id="rId21"/>
    <hyperlink xmlns:r="http://schemas.openxmlformats.org/officeDocument/2006/relationships" ref="J19" r:id="rId22"/>
    <hyperlink xmlns:r="http://schemas.openxmlformats.org/officeDocument/2006/relationships" ref="J20" r:id="rId23"/>
    <hyperlink xmlns:r="http://schemas.openxmlformats.org/officeDocument/2006/relationships" ref="J21" tooltip="First relationship in this approved WBS branch; use the WBS Explorer hierarchy and Target WBS filter to inspect all descendant targets." r:id="rId24"/>
    <hyperlink xmlns:r="http://schemas.openxmlformats.org/officeDocument/2006/relationships" ref="J22" tooltip="First relationship in this approved WBS branch; use the WBS Explorer hierarchy and Target WBS filter to inspect all descendant targets." r:id="rId25"/>
    <hyperlink xmlns:r="http://schemas.openxmlformats.org/officeDocument/2006/relationships" ref="J23" r:id="rId26"/>
    <hyperlink xmlns:r="http://schemas.openxmlformats.org/officeDocument/2006/relationships" ref="J24" r:id="rId27"/>
    <hyperlink xmlns:r="http://schemas.openxmlformats.org/officeDocument/2006/relationships" ref="J25" tooltip="First relationship in this approved WBS branch; use the WBS Explorer hierarchy and Target WBS filter to inspect all descendant targets." r:id="rId28"/>
    <hyperlink xmlns:r="http://schemas.openxmlformats.org/officeDocument/2006/relationships" ref="J26" r:id="rId29"/>
    <hyperlink xmlns:r="http://schemas.openxmlformats.org/officeDocument/2006/relationships" ref="J27" r:id="rId30"/>
    <hyperlink xmlns:r="http://schemas.openxmlformats.org/officeDocument/2006/relationships" ref="J28" r:id="rId31"/>
    <hyperlink xmlns:r="http://schemas.openxmlformats.org/officeDocument/2006/relationships" ref="J29" r:id="rId32"/>
    <hyperlink xmlns:r="http://schemas.openxmlformats.org/officeDocument/2006/relationships" ref="J30" r:id="rId33"/>
    <hyperlink xmlns:r="http://schemas.openxmlformats.org/officeDocument/2006/relationships" ref="J31" r:id="rId34"/>
    <hyperlink xmlns:r="http://schemas.openxmlformats.org/officeDocument/2006/relationships" ref="J32" r:id="rId35"/>
    <hyperlink xmlns:r="http://schemas.openxmlformats.org/officeDocument/2006/relationships" ref="J33" r:id="rId36"/>
    <hyperlink xmlns:r="http://schemas.openxmlformats.org/officeDocument/2006/relationships" ref="J34" tooltip="First relationship in this approved WBS branch; use the WBS Explorer hierarchy and Target WBS filter to inspect all descendant targets." r:id="rId37"/>
    <hyperlink xmlns:r="http://schemas.openxmlformats.org/officeDocument/2006/relationships" ref="J35" tooltip="First relationship in this approved WBS branch; use the WBS Explorer hierarchy and Target WBS filter to inspect all descendant targets." r:id="rId38"/>
    <hyperlink xmlns:r="http://schemas.openxmlformats.org/officeDocument/2006/relationships" ref="J36" r:id="rId39"/>
    <hyperlink xmlns:r="http://schemas.openxmlformats.org/officeDocument/2006/relationships" ref="J37" r:id="rId40"/>
    <hyperlink xmlns:r="http://schemas.openxmlformats.org/officeDocument/2006/relationships" ref="J38" tooltip="First relationship in this approved WBS branch; use the WBS Explorer hierarchy and Target WBS filter to inspect all descendant targets." r:id="rId41"/>
    <hyperlink xmlns:r="http://schemas.openxmlformats.org/officeDocument/2006/relationships" ref="J39" r:id="rId42"/>
    <hyperlink xmlns:r="http://schemas.openxmlformats.org/officeDocument/2006/relationships" ref="J40" r:id="rId43"/>
    <hyperlink xmlns:r="http://schemas.openxmlformats.org/officeDocument/2006/relationships" ref="J41" r:id="rId44"/>
    <hyperlink xmlns:r="http://schemas.openxmlformats.org/officeDocument/2006/relationships" ref="J42" r:id="rId45"/>
    <hyperlink xmlns:r="http://schemas.openxmlformats.org/officeDocument/2006/relationships" ref="J43" r:id="rId46"/>
    <hyperlink xmlns:r="http://schemas.openxmlformats.org/officeDocument/2006/relationships" ref="J44" r:id="rId47"/>
    <hyperlink xmlns:r="http://schemas.openxmlformats.org/officeDocument/2006/relationships" ref="J45" r:id="rId48"/>
    <hyperlink xmlns:r="http://schemas.openxmlformats.org/officeDocument/2006/relationships" ref="J46" r:id="rId49"/>
    <hyperlink xmlns:r="http://schemas.openxmlformats.org/officeDocument/2006/relationships" ref="J47" tooltip="First relationship in this approved WBS branch; use the WBS Explorer hierarchy and Target WBS filter to inspect all descendant targets." r:id="rId50"/>
    <hyperlink xmlns:r="http://schemas.openxmlformats.org/officeDocument/2006/relationships" ref="J48" tooltip="First relationship in this approved WBS branch; use the WBS Explorer hierarchy and Target WBS filter to inspect all descendant targets." r:id="rId51"/>
    <hyperlink xmlns:r="http://schemas.openxmlformats.org/officeDocument/2006/relationships" ref="J49" r:id="rId52"/>
    <hyperlink xmlns:r="http://schemas.openxmlformats.org/officeDocument/2006/relationships" ref="J50" r:id="rId53"/>
    <hyperlink xmlns:r="http://schemas.openxmlformats.org/officeDocument/2006/relationships" ref="J51" tooltip="First relationship in this approved WBS branch; use the WBS Explorer hierarchy and Target WBS filter to inspect all descendant targets." r:id="rId54"/>
    <hyperlink xmlns:r="http://schemas.openxmlformats.org/officeDocument/2006/relationships" ref="J52" r:id="rId55"/>
    <hyperlink xmlns:r="http://schemas.openxmlformats.org/officeDocument/2006/relationships" ref="J53" r:id="rId56"/>
    <hyperlink xmlns:r="http://schemas.openxmlformats.org/officeDocument/2006/relationships" ref="J54" r:id="rId57"/>
    <hyperlink xmlns:r="http://schemas.openxmlformats.org/officeDocument/2006/relationships" ref="J55" r:id="rId58"/>
    <hyperlink xmlns:r="http://schemas.openxmlformats.org/officeDocument/2006/relationships" ref="J56" r:id="rId59"/>
    <hyperlink xmlns:r="http://schemas.openxmlformats.org/officeDocument/2006/relationships" ref="J57" r:id="rId60"/>
    <hyperlink xmlns:r="http://schemas.openxmlformats.org/officeDocument/2006/relationships" ref="J58" r:id="rId61"/>
    <hyperlink xmlns:r="http://schemas.openxmlformats.org/officeDocument/2006/relationships" ref="J59" r:id="rId62"/>
    <hyperlink xmlns:r="http://schemas.openxmlformats.org/officeDocument/2006/relationships" ref="J60" tooltip="First relationship in this approved WBS branch; use the WBS Explorer hierarchy and Target WBS filter to inspect all descendant targets." r:id="rId63"/>
    <hyperlink xmlns:r="http://schemas.openxmlformats.org/officeDocument/2006/relationships" ref="J61" tooltip="First relationship in this approved WBS branch; use the WBS Explorer hierarchy and Target WBS filter to inspect all descendant targets." r:id="rId64"/>
    <hyperlink xmlns:r="http://schemas.openxmlformats.org/officeDocument/2006/relationships" ref="J62" r:id="rId65"/>
    <hyperlink xmlns:r="http://schemas.openxmlformats.org/officeDocument/2006/relationships" ref="J63" r:id="rId66"/>
    <hyperlink xmlns:r="http://schemas.openxmlformats.org/officeDocument/2006/relationships" ref="J64" tooltip="First relationship in this approved WBS branch; use the WBS Explorer hierarchy and Target WBS filter to inspect all descendant targets." r:id="rId67"/>
    <hyperlink xmlns:r="http://schemas.openxmlformats.org/officeDocument/2006/relationships" ref="J65" r:id="rId68"/>
    <hyperlink xmlns:r="http://schemas.openxmlformats.org/officeDocument/2006/relationships" ref="J66" r:id="rId69"/>
    <hyperlink xmlns:r="http://schemas.openxmlformats.org/officeDocument/2006/relationships" ref="J67" r:id="rId70"/>
    <hyperlink xmlns:r="http://schemas.openxmlformats.org/officeDocument/2006/relationships" ref="J68" r:id="rId71"/>
    <hyperlink xmlns:r="http://schemas.openxmlformats.org/officeDocument/2006/relationships" ref="J69" r:id="rId72"/>
    <hyperlink xmlns:r="http://schemas.openxmlformats.org/officeDocument/2006/relationships" ref="J70" r:id="rId73"/>
    <hyperlink xmlns:r="http://schemas.openxmlformats.org/officeDocument/2006/relationships" ref="J71" r:id="rId74"/>
    <hyperlink xmlns:r="http://schemas.openxmlformats.org/officeDocument/2006/relationships" ref="J72" r:id="rId75"/>
    <hyperlink xmlns:r="http://schemas.openxmlformats.org/officeDocument/2006/relationships" ref="J73" tooltip="First relationship in this approved WBS branch; use the WBS Explorer hierarchy and Target WBS filter to inspect all descendant targets." r:id="rId76"/>
    <hyperlink xmlns:r="http://schemas.openxmlformats.org/officeDocument/2006/relationships" ref="J74" tooltip="First relationship in this approved WBS branch; use the WBS Explorer hierarchy and Target WBS filter to inspect all descendant targets." r:id="rId77"/>
    <hyperlink xmlns:r="http://schemas.openxmlformats.org/officeDocument/2006/relationships" ref="J75" r:id="rId78"/>
    <hyperlink xmlns:r="http://schemas.openxmlformats.org/officeDocument/2006/relationships" ref="J76" r:id="rId79"/>
    <hyperlink xmlns:r="http://schemas.openxmlformats.org/officeDocument/2006/relationships" ref="J77" tooltip="First relationship in this approved WBS branch; use the WBS Explorer hierarchy and Target WBS filter to inspect all descendant targets." r:id="rId80"/>
    <hyperlink xmlns:r="http://schemas.openxmlformats.org/officeDocument/2006/relationships" ref="J78" r:id="rId81"/>
    <hyperlink xmlns:r="http://schemas.openxmlformats.org/officeDocument/2006/relationships" ref="J79" r:id="rId82"/>
    <hyperlink xmlns:r="http://schemas.openxmlformats.org/officeDocument/2006/relationships" ref="J80" r:id="rId83"/>
    <hyperlink xmlns:r="http://schemas.openxmlformats.org/officeDocument/2006/relationships" ref="J81" r:id="rId84"/>
    <hyperlink xmlns:r="http://schemas.openxmlformats.org/officeDocument/2006/relationships" ref="J82" r:id="rId85"/>
    <hyperlink xmlns:r="http://schemas.openxmlformats.org/officeDocument/2006/relationships" ref="J83" r:id="rId86"/>
    <hyperlink xmlns:r="http://schemas.openxmlformats.org/officeDocument/2006/relationships" ref="J84" r:id="rId87"/>
    <hyperlink xmlns:r="http://schemas.openxmlformats.org/officeDocument/2006/relationships" ref="J85" r:id="rId88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43553"/>
    <outlinePr summaryBelow="0" summaryRight="0"/>
    <pageSetUpPr fitToPage="1"/>
  </sheetPr>
  <dimension ref="A1:H1634"/>
  <sheetViews>
    <sheetView showGridLines="0" tabSelected="0" topLeftCell="A1" zoomScale="100" zoomScaleNormal="10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34" customWidth="1" min="4" max="4"/>
    <col width="22" customWidth="1" min="5" max="5"/>
    <col width="46" customWidth="1" min="6" max="6"/>
    <col width="30" customWidth="1" min="7" max="7"/>
    <col width="26" customWidth="1" min="8" max="8"/>
  </cols>
  <sheetData>
    <row r="1" ht="113" customHeight="1">
      <c r="A1" s="88" t="inlineStr">
        <is>
          <t>CHANGES &amp; REVALIDATION</t>
        </is>
      </c>
    </row>
    <row r="2" ht="49" customHeight="1">
      <c r="A2" s="89" t="inlineStr">
        <is>
          <t>What changed that matters, what remained valid, and where revalidation occurred.</t>
        </is>
      </c>
    </row>
    <row r="3" ht="19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109" customHeight="1">
      <c r="A5" s="28" t="inlineStr">
        <is>
          <t>Initial approved relationship state · current reporting baseline</t>
        </is>
      </c>
      <c r="D5" s="28" t="inlineStr">
        <is>
          <t>V3 · CYCLE CONTINUITY</t>
        </is>
      </c>
    </row>
    <row r="6" ht="34" customHeight="1">
      <c r="A6" s="86" t="inlineStr">
        <is>
          <t>Carried forward</t>
        </is>
      </c>
      <c r="B6" s="107" t="n">
        <v>0</v>
      </c>
      <c r="D6" s="89" t="inlineStr">
        <is>
          <t>This is the initial approved relationship baseline; the counts at left describe the current governed state.</t>
        </is>
      </c>
    </row>
    <row r="7" ht="34" customHeight="1">
      <c r="A7" s="86" t="inlineStr">
        <is>
          <t>Re-keyed, revalidated</t>
        </is>
      </c>
      <c r="B7" s="107" t="n">
        <v>0</v>
      </c>
    </row>
    <row r="8" ht="34" customHeight="1">
      <c r="A8" s="86" t="inlineStr">
        <is>
          <t>Changed, re-decided</t>
        </is>
      </c>
      <c r="B8" s="107" t="n">
        <v>0</v>
      </c>
    </row>
    <row r="9" ht="24" customHeight="1">
      <c r="A9" s="86" t="inlineStr">
        <is>
          <t>New</t>
        </is>
      </c>
      <c r="B9" s="107" t="n">
        <v>1622</v>
      </c>
      <c r="D9" s="33" t="inlineStr">
        <is>
          <t>All relationships shown as New were established in this initial baseline; they are not changes from a prior approved cycle.</t>
        </is>
      </c>
    </row>
    <row r="10" ht="24" customHeight="1">
      <c r="A10" s="86" t="inlineStr">
        <is>
          <t>Retired</t>
        </is>
      </c>
      <c r="B10" s="107" t="n">
        <v>0</v>
      </c>
    </row>
    <row r="12" ht="34" customHeight="1">
      <c r="A12" s="91" t="inlineStr">
        <is>
          <t>Relationship</t>
        </is>
      </c>
      <c r="B12" s="91" t="inlineStr">
        <is>
          <t>Source</t>
        </is>
      </c>
      <c r="C12" s="91" t="inlineStr">
        <is>
          <t>Record</t>
        </is>
      </c>
      <c r="D12" s="91" t="inlineStr">
        <is>
          <t>WBS</t>
        </is>
      </c>
      <c r="E12" s="91" t="inlineStr">
        <is>
          <t>Change state</t>
        </is>
      </c>
      <c r="F12" s="91" t="inlineStr">
        <is>
          <t>Reopen / revalidation reason</t>
        </is>
      </c>
      <c r="G12" s="91" t="inlineStr">
        <is>
          <t>Decision provenance</t>
        </is>
      </c>
      <c r="H12" s="91" t="inlineStr">
        <is>
          <t>Evidence path</t>
        </is>
      </c>
    </row>
    <row r="13" ht="34" customHeight="1">
      <c r="A13" s="34" t="inlineStr">
        <is>
          <t>R1563-v2</t>
        </is>
      </c>
      <c r="B13" s="34" t="inlineStr">
        <is>
          <t>Commercial Package Register</t>
        </is>
      </c>
      <c r="C13" s="34" t="inlineStr">
        <is>
          <t>PKG-001</t>
        </is>
      </c>
      <c r="D13" s="34" t="inlineStr">
        <is>
          <t>1.1 Guideway and Civil</t>
        </is>
      </c>
      <c r="E13" s="34" t="inlineStr">
        <is>
          <t>New</t>
        </is>
      </c>
      <c r="F13" s="14" t="inlineStr"/>
      <c r="G13" s="34" t="inlineStr">
        <is>
          <t>Maya Chen, Owner Project Controls</t>
        </is>
      </c>
      <c r="H13" s="92" t="inlineStr">
        <is>
          <t>10 EVIDENCE &amp; DECISIONS</t>
        </is>
      </c>
    </row>
    <row r="14" ht="34" customHeight="1">
      <c r="A14" s="34" t="inlineStr">
        <is>
          <t>R1564-v1</t>
        </is>
      </c>
      <c r="B14" s="34" t="inlineStr">
        <is>
          <t>Commercial Package Register</t>
        </is>
      </c>
      <c r="C14" s="34" t="inlineStr">
        <is>
          <t>PKG-002</t>
        </is>
      </c>
      <c r="D14" s="34" t="inlineStr">
        <is>
          <t>1.1 Guideway and Civil</t>
        </is>
      </c>
      <c r="E14" s="34" t="inlineStr">
        <is>
          <t>New</t>
        </is>
      </c>
      <c r="F14" s="14" t="inlineStr"/>
      <c r="G14" s="34" t="inlineStr">
        <is>
          <t>Source assignment -- not individually reviewed</t>
        </is>
      </c>
      <c r="H14" s="92" t="inlineStr">
        <is>
          <t>10 EVIDENCE &amp; DECISIONS</t>
        </is>
      </c>
    </row>
    <row r="15" ht="34" customHeight="1">
      <c r="A15" s="34" t="inlineStr">
        <is>
          <t>R1565-v1</t>
        </is>
      </c>
      <c r="B15" s="34" t="inlineStr">
        <is>
          <t>Commercial Package Register</t>
        </is>
      </c>
      <c r="C15" s="34" t="inlineStr">
        <is>
          <t>PKG-003</t>
        </is>
      </c>
      <c r="D15" s="34" t="inlineStr">
        <is>
          <t>1.1 Guideway and Civil</t>
        </is>
      </c>
      <c r="E15" s="34" t="inlineStr">
        <is>
          <t>New</t>
        </is>
      </c>
      <c r="F15" s="14" t="inlineStr"/>
      <c r="G15" s="34" t="inlineStr">
        <is>
          <t>Source assignment -- not individually reviewed</t>
        </is>
      </c>
      <c r="H15" s="92" t="inlineStr">
        <is>
          <t>10 EVIDENCE &amp; DECISIONS</t>
        </is>
      </c>
    </row>
    <row r="16" ht="34" customHeight="1">
      <c r="A16" s="34" t="inlineStr">
        <is>
          <t>R1566-v1</t>
        </is>
      </c>
      <c r="B16" s="34" t="inlineStr">
        <is>
          <t>Commercial Package Register</t>
        </is>
      </c>
      <c r="C16" s="34" t="inlineStr">
        <is>
          <t>PKG-004</t>
        </is>
      </c>
      <c r="D16" s="34" t="inlineStr">
        <is>
          <t>1.1 Guideway and Civil</t>
        </is>
      </c>
      <c r="E16" s="34" t="inlineStr">
        <is>
          <t>New</t>
        </is>
      </c>
      <c r="F16" s="14" t="inlineStr"/>
      <c r="G16" s="34" t="inlineStr">
        <is>
          <t>Source assignment -- not individually reviewed</t>
        </is>
      </c>
      <c r="H16" s="92" t="inlineStr">
        <is>
          <t>10 EVIDENCE &amp; DECISIONS</t>
        </is>
      </c>
    </row>
    <row r="17" ht="34" customHeight="1">
      <c r="A17" s="34" t="inlineStr">
        <is>
          <t>R1567-v1</t>
        </is>
      </c>
      <c r="B17" s="34" t="inlineStr">
        <is>
          <t>Commercial Package Register</t>
        </is>
      </c>
      <c r="C17" s="34" t="inlineStr">
        <is>
          <t>PKG-005</t>
        </is>
      </c>
      <c r="D17" s="34" t="inlineStr">
        <is>
          <t>1.1 Guideway and Civil</t>
        </is>
      </c>
      <c r="E17" s="34" t="inlineStr">
        <is>
          <t>New</t>
        </is>
      </c>
      <c r="F17" s="14" t="inlineStr"/>
      <c r="G17" s="34" t="inlineStr">
        <is>
          <t>Source assignment -- not individually reviewed</t>
        </is>
      </c>
      <c r="H17" s="92" t="inlineStr">
        <is>
          <t>10 EVIDENCE &amp; DECISIONS</t>
        </is>
      </c>
    </row>
    <row r="18" ht="34" customHeight="1">
      <c r="A18" s="34" t="inlineStr">
        <is>
          <t>R1568-v1</t>
        </is>
      </c>
      <c r="B18" s="34" t="inlineStr">
        <is>
          <t>Commercial Package Register</t>
        </is>
      </c>
      <c r="C18" s="34" t="inlineStr">
        <is>
          <t>PKG-006</t>
        </is>
      </c>
      <c r="D18" s="34" t="inlineStr">
        <is>
          <t>1.1 Guideway and Civil</t>
        </is>
      </c>
      <c r="E18" s="34" t="inlineStr">
        <is>
          <t>New</t>
        </is>
      </c>
      <c r="F18" s="14" t="inlineStr"/>
      <c r="G18" s="34" t="inlineStr">
        <is>
          <t>Source assignment -- not individually reviewed</t>
        </is>
      </c>
      <c r="H18" s="92" t="inlineStr">
        <is>
          <t>10 EVIDENCE &amp; DECISIONS</t>
        </is>
      </c>
    </row>
    <row r="19" ht="34" customHeight="1">
      <c r="A19" s="34" t="inlineStr">
        <is>
          <t>R1569-v1</t>
        </is>
      </c>
      <c r="B19" s="34" t="inlineStr">
        <is>
          <t>Commercial Package Register</t>
        </is>
      </c>
      <c r="C19" s="34" t="inlineStr">
        <is>
          <t>PKG-007</t>
        </is>
      </c>
      <c r="D19" s="34" t="inlineStr">
        <is>
          <t>1.1 Guideway and Civil</t>
        </is>
      </c>
      <c r="E19" s="34" t="inlineStr">
        <is>
          <t>New</t>
        </is>
      </c>
      <c r="F19" s="14" t="inlineStr"/>
      <c r="G19" s="34" t="inlineStr">
        <is>
          <t>Source assignment -- not individually reviewed</t>
        </is>
      </c>
      <c r="H19" s="92" t="inlineStr">
        <is>
          <t>10 EVIDENCE &amp; DECISIONS</t>
        </is>
      </c>
    </row>
    <row r="20" ht="34" customHeight="1">
      <c r="A20" s="34" t="inlineStr">
        <is>
          <t>R1570-v1</t>
        </is>
      </c>
      <c r="B20" s="34" t="inlineStr">
        <is>
          <t>Commercial Package Register</t>
        </is>
      </c>
      <c r="C20" s="34" t="inlineStr">
        <is>
          <t>PKG-008</t>
        </is>
      </c>
      <c r="D20" s="34" t="inlineStr">
        <is>
          <t>1.1 Guideway and Civil</t>
        </is>
      </c>
      <c r="E20" s="34" t="inlineStr">
        <is>
          <t>New</t>
        </is>
      </c>
      <c r="F20" s="14" t="inlineStr"/>
      <c r="G20" s="34" t="inlineStr">
        <is>
          <t>Source assignment -- not individually reviewed</t>
        </is>
      </c>
      <c r="H20" s="92" t="inlineStr">
        <is>
          <t>10 EVIDENCE &amp; DECISIONS</t>
        </is>
      </c>
    </row>
    <row r="21" ht="34" customHeight="1">
      <c r="A21" s="34" t="inlineStr">
        <is>
          <t>R1571-v1</t>
        </is>
      </c>
      <c r="B21" s="34" t="inlineStr">
        <is>
          <t>Commercial Package Register</t>
        </is>
      </c>
      <c r="C21" s="34" t="inlineStr">
        <is>
          <t>PKG-009</t>
        </is>
      </c>
      <c r="D21" s="34" t="inlineStr">
        <is>
          <t>1.1 Guideway and Civil</t>
        </is>
      </c>
      <c r="E21" s="34" t="inlineStr">
        <is>
          <t>New</t>
        </is>
      </c>
      <c r="F21" s="14" t="inlineStr"/>
      <c r="G21" s="34" t="inlineStr">
        <is>
          <t>Source assignment -- not individually reviewed</t>
        </is>
      </c>
      <c r="H21" s="92" t="inlineStr">
        <is>
          <t>10 EVIDENCE &amp; DECISIONS</t>
        </is>
      </c>
    </row>
    <row r="22" ht="34" customHeight="1">
      <c r="A22" s="34" t="inlineStr">
        <is>
          <t>R1572-v1</t>
        </is>
      </c>
      <c r="B22" s="34" t="inlineStr">
        <is>
          <t>Commercial Package Register</t>
        </is>
      </c>
      <c r="C22" s="34" t="inlineStr">
        <is>
          <t>PKG-010</t>
        </is>
      </c>
      <c r="D22" s="34" t="inlineStr">
        <is>
          <t>1.1 Guideway and Civil</t>
        </is>
      </c>
      <c r="E22" s="34" t="inlineStr">
        <is>
          <t>New</t>
        </is>
      </c>
      <c r="F22" s="14" t="inlineStr"/>
      <c r="G22" s="34" t="inlineStr">
        <is>
          <t>Source assignment -- not individually reviewed</t>
        </is>
      </c>
      <c r="H22" s="92" t="inlineStr">
        <is>
          <t>10 EVIDENCE &amp; DECISIONS</t>
        </is>
      </c>
    </row>
    <row r="23" ht="34" customHeight="1">
      <c r="A23" s="34" t="inlineStr">
        <is>
          <t>R1-v1</t>
        </is>
      </c>
      <c r="B23" s="34" t="inlineStr">
        <is>
          <t>Contractor Programme</t>
        </is>
      </c>
      <c r="C23" s="34" t="inlineStr">
        <is>
          <t>SCH-01-001</t>
        </is>
      </c>
      <c r="D23" s="34" t="inlineStr">
        <is>
          <t>1.1.1 Guideway and Civil - Guideway Structures</t>
        </is>
      </c>
      <c r="E23" s="34" t="inlineStr">
        <is>
          <t>New</t>
        </is>
      </c>
      <c r="F23" s="14" t="inlineStr"/>
      <c r="G23" s="34" t="inlineStr">
        <is>
          <t>Source assignment -- not individually reviewed</t>
        </is>
      </c>
      <c r="H23" s="92" t="inlineStr">
        <is>
          <t>10 EVIDENCE &amp; DECISIONS</t>
        </is>
      </c>
    </row>
    <row r="24" ht="34" customHeight="1">
      <c r="A24" s="34" t="inlineStr">
        <is>
          <t>R10-v1</t>
        </is>
      </c>
      <c r="B24" s="34" t="inlineStr">
        <is>
          <t>Contractor Programme</t>
        </is>
      </c>
      <c r="C24" s="34" t="inlineStr">
        <is>
          <t>SCH-01-010</t>
        </is>
      </c>
      <c r="D24" s="34" t="inlineStr">
        <is>
          <t>1.1.1 Guideway and Civil - Guideway Structures</t>
        </is>
      </c>
      <c r="E24" s="34" t="inlineStr">
        <is>
          <t>New</t>
        </is>
      </c>
      <c r="F24" s="14" t="inlineStr"/>
      <c r="G24" s="34" t="inlineStr">
        <is>
          <t>Source assignment -- not individually reviewed</t>
        </is>
      </c>
      <c r="H24" s="92" t="inlineStr">
        <is>
          <t>10 EVIDENCE &amp; DECISIONS</t>
        </is>
      </c>
    </row>
    <row r="25" ht="34" customHeight="1">
      <c r="A25" s="34" t="inlineStr">
        <is>
          <t>R100-v1</t>
        </is>
      </c>
      <c r="B25" s="34" t="inlineStr">
        <is>
          <t>Contractor Programme</t>
        </is>
      </c>
      <c r="C25" s="34" t="inlineStr">
        <is>
          <t>SCH-01-100</t>
        </is>
      </c>
      <c r="D25" s="34" t="inlineStr">
        <is>
          <t>1.1.1 Guideway and Civil - Guideway Structures</t>
        </is>
      </c>
      <c r="E25" s="34" t="inlineStr">
        <is>
          <t>New</t>
        </is>
      </c>
      <c r="F25" s="14" t="inlineStr"/>
      <c r="G25" s="34" t="inlineStr">
        <is>
          <t>Source assignment -- not individually reviewed</t>
        </is>
      </c>
      <c r="H25" s="92" t="inlineStr">
        <is>
          <t>10 EVIDENCE &amp; DECISIONS</t>
        </is>
      </c>
    </row>
    <row r="26" ht="34" customHeight="1">
      <c r="A26" s="34" t="inlineStr">
        <is>
          <t>R101-v1</t>
        </is>
      </c>
      <c r="B26" s="34" t="inlineStr">
        <is>
          <t>Contractor Programme</t>
        </is>
      </c>
      <c r="C26" s="34" t="inlineStr">
        <is>
          <t>SCH-01-101</t>
        </is>
      </c>
      <c r="D26" s="34" t="inlineStr">
        <is>
          <t>1.1.1 Guideway and Civil - Guideway Structures</t>
        </is>
      </c>
      <c r="E26" s="34" t="inlineStr">
        <is>
          <t>New</t>
        </is>
      </c>
      <c r="F26" s="14" t="inlineStr"/>
      <c r="G26" s="34" t="inlineStr">
        <is>
          <t>Source assignment -- not individually reviewed</t>
        </is>
      </c>
      <c r="H26" s="92" t="inlineStr">
        <is>
          <t>10 EVIDENCE &amp; DECISIONS</t>
        </is>
      </c>
    </row>
    <row r="27" ht="34" customHeight="1">
      <c r="A27" s="34" t="inlineStr">
        <is>
          <t>R103-v1</t>
        </is>
      </c>
      <c r="B27" s="34" t="inlineStr">
        <is>
          <t>Contractor Programme</t>
        </is>
      </c>
      <c r="C27" s="34" t="inlineStr">
        <is>
          <t>SCH-01-103</t>
        </is>
      </c>
      <c r="D27" s="34" t="inlineStr">
        <is>
          <t>1.1.1 Guideway and Civil - Guideway Structures</t>
        </is>
      </c>
      <c r="E27" s="34" t="inlineStr">
        <is>
          <t>New</t>
        </is>
      </c>
      <c r="F27" s="14" t="inlineStr"/>
      <c r="G27" s="34" t="inlineStr">
        <is>
          <t>Source assignment -- not individually reviewed</t>
        </is>
      </c>
      <c r="H27" s="92" t="inlineStr">
        <is>
          <t>10 EVIDENCE &amp; DECISIONS</t>
        </is>
      </c>
    </row>
    <row r="28" ht="34" customHeight="1">
      <c r="A28" s="34" t="inlineStr">
        <is>
          <t>R104-v1</t>
        </is>
      </c>
      <c r="B28" s="34" t="inlineStr">
        <is>
          <t>Contractor Programme</t>
        </is>
      </c>
      <c r="C28" s="34" t="inlineStr">
        <is>
          <t>SCH-01-104</t>
        </is>
      </c>
      <c r="D28" s="34" t="inlineStr">
        <is>
          <t>1.1.1 Guideway and Civil - Guideway Structures</t>
        </is>
      </c>
      <c r="E28" s="34" t="inlineStr">
        <is>
          <t>New</t>
        </is>
      </c>
      <c r="F28" s="14" t="inlineStr"/>
      <c r="G28" s="34" t="inlineStr">
        <is>
          <t>Source assignment -- not individually reviewed</t>
        </is>
      </c>
      <c r="H28" s="92" t="inlineStr">
        <is>
          <t>10 EVIDENCE &amp; DECISIONS</t>
        </is>
      </c>
    </row>
    <row r="29" ht="34" customHeight="1">
      <c r="A29" s="34" t="inlineStr">
        <is>
          <t>R106-v1</t>
        </is>
      </c>
      <c r="B29" s="34" t="inlineStr">
        <is>
          <t>Contractor Programme</t>
        </is>
      </c>
      <c r="C29" s="34" t="inlineStr">
        <is>
          <t>SCH-01-106</t>
        </is>
      </c>
      <c r="D29" s="34" t="inlineStr">
        <is>
          <t>1.1.1 Guideway and Civil - Guideway Structures</t>
        </is>
      </c>
      <c r="E29" s="34" t="inlineStr">
        <is>
          <t>New</t>
        </is>
      </c>
      <c r="F29" s="14" t="inlineStr"/>
      <c r="G29" s="34" t="inlineStr">
        <is>
          <t>Source assignment -- not individually reviewed</t>
        </is>
      </c>
      <c r="H29" s="92" t="inlineStr">
        <is>
          <t>10 EVIDENCE &amp; DECISIONS</t>
        </is>
      </c>
    </row>
    <row r="30" ht="34" customHeight="1">
      <c r="A30" s="34" t="inlineStr">
        <is>
          <t>R107-v1</t>
        </is>
      </c>
      <c r="B30" s="34" t="inlineStr">
        <is>
          <t>Contractor Programme</t>
        </is>
      </c>
      <c r="C30" s="34" t="inlineStr">
        <is>
          <t>SCH-01-107</t>
        </is>
      </c>
      <c r="D30" s="34" t="inlineStr">
        <is>
          <t>1.1.1 Guideway and Civil - Guideway Structures</t>
        </is>
      </c>
      <c r="E30" s="34" t="inlineStr">
        <is>
          <t>New</t>
        </is>
      </c>
      <c r="F30" s="14" t="inlineStr"/>
      <c r="G30" s="34" t="inlineStr">
        <is>
          <t>Source assignment -- not individually reviewed</t>
        </is>
      </c>
      <c r="H30" s="92" t="inlineStr">
        <is>
          <t>10 EVIDENCE &amp; DECISIONS</t>
        </is>
      </c>
    </row>
    <row r="31" ht="34" customHeight="1">
      <c r="A31" s="34" t="inlineStr">
        <is>
          <t>R1083-v1</t>
        </is>
      </c>
      <c r="B31" s="34" t="inlineStr">
        <is>
          <t>Cost &amp; Forecast Control Accounts</t>
        </is>
      </c>
      <c r="C31" s="34" t="inlineStr">
        <is>
          <t>CST-01-001</t>
        </is>
      </c>
      <c r="D31" s="34" t="inlineStr">
        <is>
          <t>1.1.1 Guideway and Civil - Guideway Structures</t>
        </is>
      </c>
      <c r="E31" s="34" t="inlineStr">
        <is>
          <t>New</t>
        </is>
      </c>
      <c r="F31" s="14" t="inlineStr"/>
      <c r="G31" s="34" t="inlineStr">
        <is>
          <t>Source assignment -- not individually reviewed</t>
        </is>
      </c>
      <c r="H31" s="92" t="inlineStr">
        <is>
          <t>10 EVIDENCE &amp; DECISIONS</t>
        </is>
      </c>
    </row>
    <row r="32" ht="34" customHeight="1">
      <c r="A32" s="34" t="inlineStr">
        <is>
          <t>R1085-v1</t>
        </is>
      </c>
      <c r="B32" s="34" t="inlineStr">
        <is>
          <t>Cost &amp; Forecast Control Accounts</t>
        </is>
      </c>
      <c r="C32" s="34" t="inlineStr">
        <is>
          <t>CST-01-003</t>
        </is>
      </c>
      <c r="D32" s="34" t="inlineStr">
        <is>
          <t>1.1.1 Guideway and Civil - Guideway Structures</t>
        </is>
      </c>
      <c r="E32" s="34" t="inlineStr">
        <is>
          <t>New</t>
        </is>
      </c>
      <c r="F32" s="14" t="inlineStr"/>
      <c r="G32" s="34" t="inlineStr">
        <is>
          <t>Source assignment -- not individually reviewed</t>
        </is>
      </c>
      <c r="H32" s="92" t="inlineStr">
        <is>
          <t>10 EVIDENCE &amp; DECISIONS</t>
        </is>
      </c>
    </row>
    <row r="33" ht="34" customHeight="1">
      <c r="A33" s="34" t="inlineStr">
        <is>
          <t>R1087-v1</t>
        </is>
      </c>
      <c r="B33" s="34" t="inlineStr">
        <is>
          <t>Cost &amp; Forecast Control Accounts</t>
        </is>
      </c>
      <c r="C33" s="34" t="inlineStr">
        <is>
          <t>CST-01-005</t>
        </is>
      </c>
      <c r="D33" s="34" t="inlineStr">
        <is>
          <t>1.1.1 Guideway and Civil - Guideway Structures</t>
        </is>
      </c>
      <c r="E33" s="34" t="inlineStr">
        <is>
          <t>New</t>
        </is>
      </c>
      <c r="F33" s="14" t="inlineStr"/>
      <c r="G33" s="34" t="inlineStr">
        <is>
          <t>Source assignment -- not individually reviewed</t>
        </is>
      </c>
      <c r="H33" s="92" t="inlineStr">
        <is>
          <t>10 EVIDENCE &amp; DECISIONS</t>
        </is>
      </c>
    </row>
    <row r="34" ht="34" customHeight="1">
      <c r="A34" s="34" t="inlineStr">
        <is>
          <t>R1089-v1</t>
        </is>
      </c>
      <c r="B34" s="34" t="inlineStr">
        <is>
          <t>Cost &amp; Forecast Control Accounts</t>
        </is>
      </c>
      <c r="C34" s="34" t="inlineStr">
        <is>
          <t>CST-01-007</t>
        </is>
      </c>
      <c r="D34" s="34" t="inlineStr">
        <is>
          <t>1.1.1 Guideway and Civil - Guideway Structures</t>
        </is>
      </c>
      <c r="E34" s="34" t="inlineStr">
        <is>
          <t>New</t>
        </is>
      </c>
      <c r="F34" s="14" t="inlineStr"/>
      <c r="G34" s="34" t="inlineStr">
        <is>
          <t>Source assignment -- not individually reviewed</t>
        </is>
      </c>
      <c r="H34" s="92" t="inlineStr">
        <is>
          <t>10 EVIDENCE &amp; DECISIONS</t>
        </is>
      </c>
    </row>
    <row r="35" ht="34" customHeight="1">
      <c r="A35" s="34" t="inlineStr">
        <is>
          <t>R109-v1</t>
        </is>
      </c>
      <c r="B35" s="34" t="inlineStr">
        <is>
          <t>Contractor Programme</t>
        </is>
      </c>
      <c r="C35" s="34" t="inlineStr">
        <is>
          <t>SCH-01-109</t>
        </is>
      </c>
      <c r="D35" s="34" t="inlineStr">
        <is>
          <t>1.1.1 Guideway and Civil - Guideway Structures</t>
        </is>
      </c>
      <c r="E35" s="34" t="inlineStr">
        <is>
          <t>New</t>
        </is>
      </c>
      <c r="F35" s="14" t="inlineStr"/>
      <c r="G35" s="34" t="inlineStr">
        <is>
          <t>Source assignment -- not individually reviewed</t>
        </is>
      </c>
      <c r="H35" s="92" t="inlineStr">
        <is>
          <t>10 EVIDENCE &amp; DECISIONS</t>
        </is>
      </c>
    </row>
    <row r="36" ht="34" customHeight="1">
      <c r="A36" s="34" t="inlineStr">
        <is>
          <t>R1091-v1</t>
        </is>
      </c>
      <c r="B36" s="34" t="inlineStr">
        <is>
          <t>Cost &amp; Forecast Control Accounts</t>
        </is>
      </c>
      <c r="C36" s="34" t="inlineStr">
        <is>
          <t>CST-01-009</t>
        </is>
      </c>
      <c r="D36" s="34" t="inlineStr">
        <is>
          <t>1.1.1 Guideway and Civil - Guideway Structures</t>
        </is>
      </c>
      <c r="E36" s="34" t="inlineStr">
        <is>
          <t>New</t>
        </is>
      </c>
      <c r="F36" s="14" t="inlineStr"/>
      <c r="G36" s="34" t="inlineStr">
        <is>
          <t>Source assignment -- not individually reviewed</t>
        </is>
      </c>
      <c r="H36" s="92" t="inlineStr">
        <is>
          <t>10 EVIDENCE &amp; DECISIONS</t>
        </is>
      </c>
    </row>
    <row r="37" ht="34" customHeight="1">
      <c r="A37" s="34" t="inlineStr">
        <is>
          <t>R1093-v1</t>
        </is>
      </c>
      <c r="B37" s="34" t="inlineStr">
        <is>
          <t>Cost &amp; Forecast Control Accounts</t>
        </is>
      </c>
      <c r="C37" s="34" t="inlineStr">
        <is>
          <t>CST-01-011</t>
        </is>
      </c>
      <c r="D37" s="34" t="inlineStr">
        <is>
          <t>1.1.1 Guideway and Civil - Guideway Structures</t>
        </is>
      </c>
      <c r="E37" s="34" t="inlineStr">
        <is>
          <t>New</t>
        </is>
      </c>
      <c r="F37" s="14" t="inlineStr"/>
      <c r="G37" s="34" t="inlineStr">
        <is>
          <t>Source assignment -- not individually reviewed</t>
        </is>
      </c>
      <c r="H37" s="92" t="inlineStr">
        <is>
          <t>10 EVIDENCE &amp; DECISIONS</t>
        </is>
      </c>
    </row>
    <row r="38" ht="34" customHeight="1">
      <c r="A38" s="34" t="inlineStr">
        <is>
          <t>R1095-v1</t>
        </is>
      </c>
      <c r="B38" s="34" t="inlineStr">
        <is>
          <t>Cost &amp; Forecast Control Accounts</t>
        </is>
      </c>
      <c r="C38" s="34" t="inlineStr">
        <is>
          <t>CST-01-013</t>
        </is>
      </c>
      <c r="D38" s="34" t="inlineStr">
        <is>
          <t>1.1.1 Guideway and Civil - Guideway Structures</t>
        </is>
      </c>
      <c r="E38" s="34" t="inlineStr">
        <is>
          <t>New</t>
        </is>
      </c>
      <c r="F38" s="14" t="inlineStr"/>
      <c r="G38" s="34" t="inlineStr">
        <is>
          <t>Source assignment -- not individually reviewed</t>
        </is>
      </c>
      <c r="H38" s="92" t="inlineStr">
        <is>
          <t>10 EVIDENCE &amp; DECISIONS</t>
        </is>
      </c>
    </row>
    <row r="39" ht="34" customHeight="1">
      <c r="A39" s="34" t="inlineStr">
        <is>
          <t>R1097-v1</t>
        </is>
      </c>
      <c r="B39" s="34" t="inlineStr">
        <is>
          <t>Cost &amp; Forecast Control Accounts</t>
        </is>
      </c>
      <c r="C39" s="34" t="inlineStr">
        <is>
          <t>CST-01-015</t>
        </is>
      </c>
      <c r="D39" s="34" t="inlineStr">
        <is>
          <t>1.1.1 Guideway and Civil - Guideway Structures</t>
        </is>
      </c>
      <c r="E39" s="34" t="inlineStr">
        <is>
          <t>New</t>
        </is>
      </c>
      <c r="F39" s="14" t="inlineStr"/>
      <c r="G39" s="34" t="inlineStr">
        <is>
          <t>Source assignment -- not individually reviewed</t>
        </is>
      </c>
      <c r="H39" s="92" t="inlineStr">
        <is>
          <t>10 EVIDENCE &amp; DECISIONS</t>
        </is>
      </c>
    </row>
    <row r="40" ht="34" customHeight="1">
      <c r="A40" s="34" t="inlineStr">
        <is>
          <t>R1099-v1</t>
        </is>
      </c>
      <c r="B40" s="34" t="inlineStr">
        <is>
          <t>Cost &amp; Forecast Control Accounts</t>
        </is>
      </c>
      <c r="C40" s="34" t="inlineStr">
        <is>
          <t>CST-01-017</t>
        </is>
      </c>
      <c r="D40" s="34" t="inlineStr">
        <is>
          <t>1.1.1 Guideway and Civil - Guideway Structures</t>
        </is>
      </c>
      <c r="E40" s="34" t="inlineStr">
        <is>
          <t>New</t>
        </is>
      </c>
      <c r="F40" s="14" t="inlineStr"/>
      <c r="G40" s="34" t="inlineStr">
        <is>
          <t>Source assignment -- not individually reviewed</t>
        </is>
      </c>
      <c r="H40" s="92" t="inlineStr">
        <is>
          <t>10 EVIDENCE &amp; DECISIONS</t>
        </is>
      </c>
    </row>
    <row r="41" ht="34" customHeight="1">
      <c r="A41" s="34" t="inlineStr">
        <is>
          <t>R11-v1</t>
        </is>
      </c>
      <c r="B41" s="34" t="inlineStr">
        <is>
          <t>Contractor Programme</t>
        </is>
      </c>
      <c r="C41" s="34" t="inlineStr">
        <is>
          <t>SCH-01-011</t>
        </is>
      </c>
      <c r="D41" s="34" t="inlineStr">
        <is>
          <t>1.1.1 Guideway and Civil - Guideway Structures</t>
        </is>
      </c>
      <c r="E41" s="34" t="inlineStr">
        <is>
          <t>New</t>
        </is>
      </c>
      <c r="F41" s="14" t="inlineStr"/>
      <c r="G41" s="34" t="inlineStr">
        <is>
          <t>Source assignment -- not individually reviewed</t>
        </is>
      </c>
      <c r="H41" s="92" t="inlineStr">
        <is>
          <t>10 EVIDENCE &amp; DECISIONS</t>
        </is>
      </c>
    </row>
    <row r="42" ht="34" customHeight="1">
      <c r="A42" s="34" t="inlineStr">
        <is>
          <t>R110-v1</t>
        </is>
      </c>
      <c r="B42" s="34" t="inlineStr">
        <is>
          <t>Contractor Programme</t>
        </is>
      </c>
      <c r="C42" s="34" t="inlineStr">
        <is>
          <t>SCH-01-110</t>
        </is>
      </c>
      <c r="D42" s="34" t="inlineStr">
        <is>
          <t>1.1.1 Guideway and Civil - Guideway Structures</t>
        </is>
      </c>
      <c r="E42" s="34" t="inlineStr">
        <is>
          <t>New</t>
        </is>
      </c>
      <c r="F42" s="14" t="inlineStr"/>
      <c r="G42" s="34" t="inlineStr">
        <is>
          <t>Source assignment -- not individually reviewed</t>
        </is>
      </c>
      <c r="H42" s="92" t="inlineStr">
        <is>
          <t>10 EVIDENCE &amp; DECISIONS</t>
        </is>
      </c>
    </row>
    <row r="43" ht="34" customHeight="1">
      <c r="A43" s="34" t="inlineStr">
        <is>
          <t>R1101-v1</t>
        </is>
      </c>
      <c r="B43" s="34" t="inlineStr">
        <is>
          <t>Cost &amp; Forecast Control Accounts</t>
        </is>
      </c>
      <c r="C43" s="34" t="inlineStr">
        <is>
          <t>CST-01-019</t>
        </is>
      </c>
      <c r="D43" s="34" t="inlineStr">
        <is>
          <t>1.1.1 Guideway and Civil - Guideway Structures</t>
        </is>
      </c>
      <c r="E43" s="34" t="inlineStr">
        <is>
          <t>New</t>
        </is>
      </c>
      <c r="F43" s="14" t="inlineStr"/>
      <c r="G43" s="34" t="inlineStr">
        <is>
          <t>Source assignment -- not individually reviewed</t>
        </is>
      </c>
      <c r="H43" s="92" t="inlineStr">
        <is>
          <t>10 EVIDENCE &amp; DECISIONS</t>
        </is>
      </c>
    </row>
    <row r="44" ht="34" customHeight="1">
      <c r="A44" s="34" t="inlineStr">
        <is>
          <t>R1103-v1</t>
        </is>
      </c>
      <c r="B44" s="34" t="inlineStr">
        <is>
          <t>Cost &amp; Forecast Control Accounts</t>
        </is>
      </c>
      <c r="C44" s="34" t="inlineStr">
        <is>
          <t>CST-01-021</t>
        </is>
      </c>
      <c r="D44" s="34" t="inlineStr">
        <is>
          <t>1.1.1 Guideway and Civil - Guideway Structures</t>
        </is>
      </c>
      <c r="E44" s="34" t="inlineStr">
        <is>
          <t>New</t>
        </is>
      </c>
      <c r="F44" s="14" t="inlineStr"/>
      <c r="G44" s="34" t="inlineStr">
        <is>
          <t>Source assignment -- not individually reviewed</t>
        </is>
      </c>
      <c r="H44" s="92" t="inlineStr">
        <is>
          <t>10 EVIDENCE &amp; DECISIONS</t>
        </is>
      </c>
    </row>
    <row r="45" ht="34" customHeight="1">
      <c r="A45" s="34" t="inlineStr">
        <is>
          <t>R1105-v1</t>
        </is>
      </c>
      <c r="B45" s="34" t="inlineStr">
        <is>
          <t>Cost &amp; Forecast Control Accounts</t>
        </is>
      </c>
      <c r="C45" s="34" t="inlineStr">
        <is>
          <t>CST-01-023</t>
        </is>
      </c>
      <c r="D45" s="34" t="inlineStr">
        <is>
          <t>1.1.1 Guideway and Civil - Guideway Structures</t>
        </is>
      </c>
      <c r="E45" s="34" t="inlineStr">
        <is>
          <t>New</t>
        </is>
      </c>
      <c r="F45" s="14" t="inlineStr"/>
      <c r="G45" s="34" t="inlineStr">
        <is>
          <t>Source assignment -- not individually reviewed</t>
        </is>
      </c>
      <c r="H45" s="92" t="inlineStr">
        <is>
          <t>10 EVIDENCE &amp; DECISIONS</t>
        </is>
      </c>
    </row>
    <row r="46" ht="34" customHeight="1">
      <c r="A46" s="34" t="inlineStr">
        <is>
          <t>R1107-v1</t>
        </is>
      </c>
      <c r="B46" s="34" t="inlineStr">
        <is>
          <t>Cost &amp; Forecast Control Accounts</t>
        </is>
      </c>
      <c r="C46" s="34" t="inlineStr">
        <is>
          <t>CST-01-025</t>
        </is>
      </c>
      <c r="D46" s="34" t="inlineStr">
        <is>
          <t>1.1.1 Guideway and Civil - Guideway Structures</t>
        </is>
      </c>
      <c r="E46" s="34" t="inlineStr">
        <is>
          <t>New</t>
        </is>
      </c>
      <c r="F46" s="14" t="inlineStr"/>
      <c r="G46" s="34" t="inlineStr">
        <is>
          <t>Source assignment -- not individually reviewed</t>
        </is>
      </c>
      <c r="H46" s="92" t="inlineStr">
        <is>
          <t>10 EVIDENCE &amp; DECISIONS</t>
        </is>
      </c>
    </row>
    <row r="47" ht="34" customHeight="1">
      <c r="A47" s="34" t="inlineStr">
        <is>
          <t>R1109-v1</t>
        </is>
      </c>
      <c r="B47" s="34" t="inlineStr">
        <is>
          <t>Cost &amp; Forecast Control Accounts</t>
        </is>
      </c>
      <c r="C47" s="34" t="inlineStr">
        <is>
          <t>CST-01-027</t>
        </is>
      </c>
      <c r="D47" s="34" t="inlineStr">
        <is>
          <t>1.1.1 Guideway and Civil - Guideway Structures</t>
        </is>
      </c>
      <c r="E47" s="34" t="inlineStr">
        <is>
          <t>New</t>
        </is>
      </c>
      <c r="F47" s="14" t="inlineStr"/>
      <c r="G47" s="34" t="inlineStr">
        <is>
          <t>Source assignment -- not individually reviewed</t>
        </is>
      </c>
      <c r="H47" s="92" t="inlineStr">
        <is>
          <t>10 EVIDENCE &amp; DECISIONS</t>
        </is>
      </c>
    </row>
    <row r="48" ht="34" customHeight="1">
      <c r="A48" s="34" t="inlineStr">
        <is>
          <t>R1111-v1</t>
        </is>
      </c>
      <c r="B48" s="34" t="inlineStr">
        <is>
          <t>Cost &amp; Forecast Control Accounts</t>
        </is>
      </c>
      <c r="C48" s="34" t="inlineStr">
        <is>
          <t>CST-01-029</t>
        </is>
      </c>
      <c r="D48" s="34" t="inlineStr">
        <is>
          <t>1.1.1 Guideway and Civil - Guideway Structures</t>
        </is>
      </c>
      <c r="E48" s="34" t="inlineStr">
        <is>
          <t>New</t>
        </is>
      </c>
      <c r="F48" s="14" t="inlineStr"/>
      <c r="G48" s="34" t="inlineStr">
        <is>
          <t>Source assignment -- not individually reviewed</t>
        </is>
      </c>
      <c r="H48" s="92" t="inlineStr">
        <is>
          <t>10 EVIDENCE &amp; DECISIONS</t>
        </is>
      </c>
    </row>
    <row r="49" ht="34" customHeight="1">
      <c r="A49" s="34" t="inlineStr">
        <is>
          <t>R1113-v1</t>
        </is>
      </c>
      <c r="B49" s="34" t="inlineStr">
        <is>
          <t>Cost &amp; Forecast Control Accounts</t>
        </is>
      </c>
      <c r="C49" s="34" t="inlineStr">
        <is>
          <t>CST-01-031</t>
        </is>
      </c>
      <c r="D49" s="34" t="inlineStr">
        <is>
          <t>1.1.1 Guideway and Civil - Guideway Structures</t>
        </is>
      </c>
      <c r="E49" s="34" t="inlineStr">
        <is>
          <t>New</t>
        </is>
      </c>
      <c r="F49" s="14" t="inlineStr"/>
      <c r="G49" s="34" t="inlineStr">
        <is>
          <t>Source assignment -- not individually reviewed</t>
        </is>
      </c>
      <c r="H49" s="92" t="inlineStr">
        <is>
          <t>10 EVIDENCE &amp; DECISIONS</t>
        </is>
      </c>
    </row>
    <row r="50" ht="34" customHeight="1">
      <c r="A50" s="34" t="inlineStr">
        <is>
          <t>R1115-v1</t>
        </is>
      </c>
      <c r="B50" s="34" t="inlineStr">
        <is>
          <t>Cost &amp; Forecast Control Accounts</t>
        </is>
      </c>
      <c r="C50" s="34" t="inlineStr">
        <is>
          <t>CST-01-033</t>
        </is>
      </c>
      <c r="D50" s="34" t="inlineStr">
        <is>
          <t>1.1.1 Guideway and Civil - Guideway Structures</t>
        </is>
      </c>
      <c r="E50" s="34" t="inlineStr">
        <is>
          <t>New</t>
        </is>
      </c>
      <c r="F50" s="14" t="inlineStr"/>
      <c r="G50" s="34" t="inlineStr">
        <is>
          <t>Source assignment -- not individually reviewed</t>
        </is>
      </c>
      <c r="H50" s="92" t="inlineStr">
        <is>
          <t>10 EVIDENCE &amp; DECISIONS</t>
        </is>
      </c>
    </row>
    <row r="51" ht="34" customHeight="1">
      <c r="A51" s="34" t="inlineStr">
        <is>
          <t>R1117-v1</t>
        </is>
      </c>
      <c r="B51" s="34" t="inlineStr">
        <is>
          <t>Cost &amp; Forecast Control Accounts</t>
        </is>
      </c>
      <c r="C51" s="34" t="inlineStr">
        <is>
          <t>CST-01-035</t>
        </is>
      </c>
      <c r="D51" s="34" t="inlineStr">
        <is>
          <t>1.1.1 Guideway and Civil - Guideway Structures</t>
        </is>
      </c>
      <c r="E51" s="34" t="inlineStr">
        <is>
          <t>New</t>
        </is>
      </c>
      <c r="F51" s="14" t="inlineStr"/>
      <c r="G51" s="34" t="inlineStr">
        <is>
          <t>Source assignment -- not individually reviewed</t>
        </is>
      </c>
      <c r="H51" s="92" t="inlineStr">
        <is>
          <t>10 EVIDENCE &amp; DECISIONS</t>
        </is>
      </c>
    </row>
    <row r="52" ht="34" customHeight="1">
      <c r="A52" s="34" t="inlineStr">
        <is>
          <t>R1119-v1</t>
        </is>
      </c>
      <c r="B52" s="34" t="inlineStr">
        <is>
          <t>Cost &amp; Forecast Control Accounts</t>
        </is>
      </c>
      <c r="C52" s="34" t="inlineStr">
        <is>
          <t>CST-01-037</t>
        </is>
      </c>
      <c r="D52" s="34" t="inlineStr">
        <is>
          <t>1.1.1 Guideway and Civil - Guideway Structures</t>
        </is>
      </c>
      <c r="E52" s="34" t="inlineStr">
        <is>
          <t>New</t>
        </is>
      </c>
      <c r="F52" s="14" t="inlineStr"/>
      <c r="G52" s="34" t="inlineStr">
        <is>
          <t>Source assignment -- not individually reviewed</t>
        </is>
      </c>
      <c r="H52" s="92" t="inlineStr">
        <is>
          <t>10 EVIDENCE &amp; DECISIONS</t>
        </is>
      </c>
    </row>
    <row r="53" ht="34" customHeight="1">
      <c r="A53" s="34" t="inlineStr">
        <is>
          <t>R112-v1</t>
        </is>
      </c>
      <c r="B53" s="34" t="inlineStr">
        <is>
          <t>Contractor Programme</t>
        </is>
      </c>
      <c r="C53" s="34" t="inlineStr">
        <is>
          <t>SCH-01-112</t>
        </is>
      </c>
      <c r="D53" s="34" t="inlineStr">
        <is>
          <t>1.1.1 Guideway and Civil - Guideway Structures</t>
        </is>
      </c>
      <c r="E53" s="34" t="inlineStr">
        <is>
          <t>New</t>
        </is>
      </c>
      <c r="F53" s="14" t="inlineStr"/>
      <c r="G53" s="34" t="inlineStr">
        <is>
          <t>Source assignment -- not individually reviewed</t>
        </is>
      </c>
      <c r="H53" s="92" t="inlineStr">
        <is>
          <t>10 EVIDENCE &amp; DECISIONS</t>
        </is>
      </c>
    </row>
    <row r="54" ht="34" customHeight="1">
      <c r="A54" s="34" t="inlineStr">
        <is>
          <t>R1121-v1</t>
        </is>
      </c>
      <c r="B54" s="34" t="inlineStr">
        <is>
          <t>Cost &amp; Forecast Control Accounts</t>
        </is>
      </c>
      <c r="C54" s="34" t="inlineStr">
        <is>
          <t>CST-01-039</t>
        </is>
      </c>
      <c r="D54" s="34" t="inlineStr">
        <is>
          <t>1.1.1 Guideway and Civil - Guideway Structures</t>
        </is>
      </c>
      <c r="E54" s="34" t="inlineStr">
        <is>
          <t>New</t>
        </is>
      </c>
      <c r="F54" s="14" t="inlineStr"/>
      <c r="G54" s="34" t="inlineStr">
        <is>
          <t>Source assignment -- not individually reviewed</t>
        </is>
      </c>
      <c r="H54" s="92" t="inlineStr">
        <is>
          <t>10 EVIDENCE &amp; DECISIONS</t>
        </is>
      </c>
    </row>
    <row r="55" ht="34" customHeight="1">
      <c r="A55" s="34" t="inlineStr">
        <is>
          <t>R1123-v1</t>
        </is>
      </c>
      <c r="B55" s="34" t="inlineStr">
        <is>
          <t>Cost &amp; Forecast Control Accounts</t>
        </is>
      </c>
      <c r="C55" s="34" t="inlineStr">
        <is>
          <t>CST-01-041</t>
        </is>
      </c>
      <c r="D55" s="34" t="inlineStr">
        <is>
          <t>1.1.1 Guideway and Civil - Guideway Structures</t>
        </is>
      </c>
      <c r="E55" s="34" t="inlineStr">
        <is>
          <t>New</t>
        </is>
      </c>
      <c r="F55" s="14" t="inlineStr"/>
      <c r="G55" s="34" t="inlineStr">
        <is>
          <t>Source assignment -- not individually reviewed</t>
        </is>
      </c>
      <c r="H55" s="92" t="inlineStr">
        <is>
          <t>10 EVIDENCE &amp; DECISIONS</t>
        </is>
      </c>
    </row>
    <row r="56" ht="34" customHeight="1">
      <c r="A56" s="34" t="inlineStr">
        <is>
          <t>R1125-v1</t>
        </is>
      </c>
      <c r="B56" s="34" t="inlineStr">
        <is>
          <t>Cost &amp; Forecast Control Accounts</t>
        </is>
      </c>
      <c r="C56" s="34" t="inlineStr">
        <is>
          <t>CST-01-043</t>
        </is>
      </c>
      <c r="D56" s="34" t="inlineStr">
        <is>
          <t>1.1.1 Guideway and Civil - Guideway Structures</t>
        </is>
      </c>
      <c r="E56" s="34" t="inlineStr">
        <is>
          <t>New</t>
        </is>
      </c>
      <c r="F56" s="14" t="inlineStr"/>
      <c r="G56" s="34" t="inlineStr">
        <is>
          <t>Source assignment -- not individually reviewed</t>
        </is>
      </c>
      <c r="H56" s="92" t="inlineStr">
        <is>
          <t>10 EVIDENCE &amp; DECISIONS</t>
        </is>
      </c>
    </row>
    <row r="57" ht="34" customHeight="1">
      <c r="A57" s="34" t="inlineStr">
        <is>
          <t>R1127-v1</t>
        </is>
      </c>
      <c r="B57" s="34" t="inlineStr">
        <is>
          <t>Cost &amp; Forecast Control Accounts</t>
        </is>
      </c>
      <c r="C57" s="34" t="inlineStr">
        <is>
          <t>CST-01-045</t>
        </is>
      </c>
      <c r="D57" s="34" t="inlineStr">
        <is>
          <t>1.1.1 Guideway and Civil - Guideway Structures</t>
        </is>
      </c>
      <c r="E57" s="34" t="inlineStr">
        <is>
          <t>New</t>
        </is>
      </c>
      <c r="F57" s="14" t="inlineStr"/>
      <c r="G57" s="34" t="inlineStr">
        <is>
          <t>Source assignment -- not individually reviewed</t>
        </is>
      </c>
      <c r="H57" s="92" t="inlineStr">
        <is>
          <t>10 EVIDENCE &amp; DECISIONS</t>
        </is>
      </c>
    </row>
    <row r="58" ht="34" customHeight="1">
      <c r="A58" s="34" t="inlineStr">
        <is>
          <t>R1129-v1</t>
        </is>
      </c>
      <c r="B58" s="34" t="inlineStr">
        <is>
          <t>Cost &amp; Forecast Control Accounts</t>
        </is>
      </c>
      <c r="C58" s="34" t="inlineStr">
        <is>
          <t>CST-01-047</t>
        </is>
      </c>
      <c r="D58" s="34" t="inlineStr">
        <is>
          <t>1.1.1 Guideway and Civil - Guideway Structures</t>
        </is>
      </c>
      <c r="E58" s="34" t="inlineStr">
        <is>
          <t>New</t>
        </is>
      </c>
      <c r="F58" s="14" t="inlineStr"/>
      <c r="G58" s="34" t="inlineStr">
        <is>
          <t>Source assignment -- not individually reviewed</t>
        </is>
      </c>
      <c r="H58" s="92" t="inlineStr">
        <is>
          <t>10 EVIDENCE &amp; DECISIONS</t>
        </is>
      </c>
    </row>
    <row r="59" ht="34" customHeight="1">
      <c r="A59" s="34" t="inlineStr">
        <is>
          <t>R113-v1</t>
        </is>
      </c>
      <c r="B59" s="34" t="inlineStr">
        <is>
          <t>Contractor Programme</t>
        </is>
      </c>
      <c r="C59" s="34" t="inlineStr">
        <is>
          <t>SCH-01-113</t>
        </is>
      </c>
      <c r="D59" s="34" t="inlineStr">
        <is>
          <t>1.1.1 Guideway and Civil - Guideway Structures</t>
        </is>
      </c>
      <c r="E59" s="34" t="inlineStr">
        <is>
          <t>New</t>
        </is>
      </c>
      <c r="F59" s="14" t="inlineStr"/>
      <c r="G59" s="34" t="inlineStr">
        <is>
          <t>Source assignment -- not individually reviewed</t>
        </is>
      </c>
      <c r="H59" s="92" t="inlineStr">
        <is>
          <t>10 EVIDENCE &amp; DECISIONS</t>
        </is>
      </c>
    </row>
    <row r="60" ht="34" customHeight="1">
      <c r="A60" s="34" t="inlineStr">
        <is>
          <t>R1131-v1</t>
        </is>
      </c>
      <c r="B60" s="34" t="inlineStr">
        <is>
          <t>Cost &amp; Forecast Control Accounts</t>
        </is>
      </c>
      <c r="C60" s="34" t="inlineStr">
        <is>
          <t>CST-01-049</t>
        </is>
      </c>
      <c r="D60" s="34" t="inlineStr">
        <is>
          <t>1.1.1 Guideway and Civil - Guideway Structures</t>
        </is>
      </c>
      <c r="E60" s="34" t="inlineStr">
        <is>
          <t>New</t>
        </is>
      </c>
      <c r="F60" s="14" t="inlineStr"/>
      <c r="G60" s="34" t="inlineStr">
        <is>
          <t>Source assignment -- not individually reviewed</t>
        </is>
      </c>
      <c r="H60" s="92" t="inlineStr">
        <is>
          <t>10 EVIDENCE &amp; DECISIONS</t>
        </is>
      </c>
    </row>
    <row r="61" ht="34" customHeight="1">
      <c r="A61" s="34" t="inlineStr">
        <is>
          <t>R1133-v1</t>
        </is>
      </c>
      <c r="B61" s="34" t="inlineStr">
        <is>
          <t>Cost &amp; Forecast Control Accounts</t>
        </is>
      </c>
      <c r="C61" s="34" t="inlineStr">
        <is>
          <t>CST-01-051</t>
        </is>
      </c>
      <c r="D61" s="34" t="inlineStr">
        <is>
          <t>1.1.1 Guideway and Civil - Guideway Structures</t>
        </is>
      </c>
      <c r="E61" s="34" t="inlineStr">
        <is>
          <t>New</t>
        </is>
      </c>
      <c r="F61" s="14" t="inlineStr"/>
      <c r="G61" s="34" t="inlineStr">
        <is>
          <t>Source assignment -- not individually reviewed</t>
        </is>
      </c>
      <c r="H61" s="92" t="inlineStr">
        <is>
          <t>10 EVIDENCE &amp; DECISIONS</t>
        </is>
      </c>
    </row>
    <row r="62" ht="34" customHeight="1">
      <c r="A62" s="34" t="inlineStr">
        <is>
          <t>R1135-v1</t>
        </is>
      </c>
      <c r="B62" s="34" t="inlineStr">
        <is>
          <t>Cost &amp; Forecast Control Accounts</t>
        </is>
      </c>
      <c r="C62" s="34" t="inlineStr">
        <is>
          <t>CST-01-053</t>
        </is>
      </c>
      <c r="D62" s="34" t="inlineStr">
        <is>
          <t>1.1.1 Guideway and Civil - Guideway Structures</t>
        </is>
      </c>
      <c r="E62" s="34" t="inlineStr">
        <is>
          <t>New</t>
        </is>
      </c>
      <c r="F62" s="14" t="inlineStr"/>
      <c r="G62" s="34" t="inlineStr">
        <is>
          <t>Source assignment -- not individually reviewed</t>
        </is>
      </c>
      <c r="H62" s="92" t="inlineStr">
        <is>
          <t>10 EVIDENCE &amp; DECISIONS</t>
        </is>
      </c>
    </row>
    <row r="63" ht="34" customHeight="1">
      <c r="A63" s="34" t="inlineStr">
        <is>
          <t>R1137-v1</t>
        </is>
      </c>
      <c r="B63" s="34" t="inlineStr">
        <is>
          <t>Cost &amp; Forecast Control Accounts</t>
        </is>
      </c>
      <c r="C63" s="34" t="inlineStr">
        <is>
          <t>CST-01-055</t>
        </is>
      </c>
      <c r="D63" s="34" t="inlineStr">
        <is>
          <t>1.1.1 Guideway and Civil - Guideway Structures</t>
        </is>
      </c>
      <c r="E63" s="34" t="inlineStr">
        <is>
          <t>New</t>
        </is>
      </c>
      <c r="F63" s="14" t="inlineStr"/>
      <c r="G63" s="34" t="inlineStr">
        <is>
          <t>Source assignment -- not individually reviewed</t>
        </is>
      </c>
      <c r="H63" s="92" t="inlineStr">
        <is>
          <t>10 EVIDENCE &amp; DECISIONS</t>
        </is>
      </c>
    </row>
    <row r="64" ht="34" customHeight="1">
      <c r="A64" s="34" t="inlineStr">
        <is>
          <t>R1139-v1</t>
        </is>
      </c>
      <c r="B64" s="34" t="inlineStr">
        <is>
          <t>Cost &amp; Forecast Control Accounts</t>
        </is>
      </c>
      <c r="C64" s="34" t="inlineStr">
        <is>
          <t>CST-01-057</t>
        </is>
      </c>
      <c r="D64" s="34" t="inlineStr">
        <is>
          <t>1.1.1 Guideway and Civil - Guideway Structures</t>
        </is>
      </c>
      <c r="E64" s="34" t="inlineStr">
        <is>
          <t>New</t>
        </is>
      </c>
      <c r="F64" s="14" t="inlineStr"/>
      <c r="G64" s="34" t="inlineStr">
        <is>
          <t>Source assignment -- not individually reviewed</t>
        </is>
      </c>
      <c r="H64" s="92" t="inlineStr">
        <is>
          <t>10 EVIDENCE &amp; DECISIONS</t>
        </is>
      </c>
    </row>
    <row r="65" ht="34" customHeight="1">
      <c r="A65" s="34" t="inlineStr">
        <is>
          <t>R1141-v1</t>
        </is>
      </c>
      <c r="B65" s="34" t="inlineStr">
        <is>
          <t>Cost &amp; Forecast Control Accounts</t>
        </is>
      </c>
      <c r="C65" s="34" t="inlineStr">
        <is>
          <t>CST-01-059</t>
        </is>
      </c>
      <c r="D65" s="34" t="inlineStr">
        <is>
          <t>1.1.1 Guideway and Civil - Guideway Structures</t>
        </is>
      </c>
      <c r="E65" s="34" t="inlineStr">
        <is>
          <t>New</t>
        </is>
      </c>
      <c r="F65" s="14" t="inlineStr"/>
      <c r="G65" s="34" t="inlineStr">
        <is>
          <t>Source assignment -- not individually reviewed</t>
        </is>
      </c>
      <c r="H65" s="92" t="inlineStr">
        <is>
          <t>10 EVIDENCE &amp; DECISIONS</t>
        </is>
      </c>
    </row>
    <row r="66" ht="34" customHeight="1">
      <c r="A66" s="34" t="inlineStr">
        <is>
          <t>R1143-v1</t>
        </is>
      </c>
      <c r="B66" s="34" t="inlineStr">
        <is>
          <t>Cost &amp; Forecast Control Accounts</t>
        </is>
      </c>
      <c r="C66" s="34" t="inlineStr">
        <is>
          <t>CST-01-061</t>
        </is>
      </c>
      <c r="D66" s="34" t="inlineStr">
        <is>
          <t>1.1.1 Guideway and Civil - Guideway Structures</t>
        </is>
      </c>
      <c r="E66" s="34" t="inlineStr">
        <is>
          <t>New</t>
        </is>
      </c>
      <c r="F66" s="14" t="inlineStr"/>
      <c r="G66" s="34" t="inlineStr">
        <is>
          <t>Source assignment -- not individually reviewed</t>
        </is>
      </c>
      <c r="H66" s="92" t="inlineStr">
        <is>
          <t>10 EVIDENCE &amp; DECISIONS</t>
        </is>
      </c>
    </row>
    <row r="67" ht="34" customHeight="1">
      <c r="A67" s="34" t="inlineStr">
        <is>
          <t>R1145-v1</t>
        </is>
      </c>
      <c r="B67" s="34" t="inlineStr">
        <is>
          <t>Cost &amp; Forecast Control Accounts</t>
        </is>
      </c>
      <c r="C67" s="34" t="inlineStr">
        <is>
          <t>CST-01-063</t>
        </is>
      </c>
      <c r="D67" s="34" t="inlineStr">
        <is>
          <t>1.1.1 Guideway and Civil - Guideway Structures</t>
        </is>
      </c>
      <c r="E67" s="34" t="inlineStr">
        <is>
          <t>New</t>
        </is>
      </c>
      <c r="F67" s="14" t="inlineStr"/>
      <c r="G67" s="34" t="inlineStr">
        <is>
          <t>Source assignment -- not individually reviewed</t>
        </is>
      </c>
      <c r="H67" s="92" t="inlineStr">
        <is>
          <t>10 EVIDENCE &amp; DECISIONS</t>
        </is>
      </c>
    </row>
    <row r="68" ht="34" customHeight="1">
      <c r="A68" s="34" t="inlineStr">
        <is>
          <t>R1147-v1</t>
        </is>
      </c>
      <c r="B68" s="34" t="inlineStr">
        <is>
          <t>Cost &amp; Forecast Control Accounts</t>
        </is>
      </c>
      <c r="C68" s="34" t="inlineStr">
        <is>
          <t>CST-01-065</t>
        </is>
      </c>
      <c r="D68" s="34" t="inlineStr">
        <is>
          <t>1.1.1 Guideway and Civil - Guideway Structures</t>
        </is>
      </c>
      <c r="E68" s="34" t="inlineStr">
        <is>
          <t>New</t>
        </is>
      </c>
      <c r="F68" s="14" t="inlineStr"/>
      <c r="G68" s="34" t="inlineStr">
        <is>
          <t>Source assignment -- not individually reviewed</t>
        </is>
      </c>
      <c r="H68" s="92" t="inlineStr">
        <is>
          <t>10 EVIDENCE &amp; DECISIONS</t>
        </is>
      </c>
    </row>
    <row r="69" ht="34" customHeight="1">
      <c r="A69" s="34" t="inlineStr">
        <is>
          <t>R1149-v1</t>
        </is>
      </c>
      <c r="B69" s="34" t="inlineStr">
        <is>
          <t>Cost &amp; Forecast Control Accounts</t>
        </is>
      </c>
      <c r="C69" s="34" t="inlineStr">
        <is>
          <t>CST-01-067</t>
        </is>
      </c>
      <c r="D69" s="34" t="inlineStr">
        <is>
          <t>1.1.1 Guideway and Civil - Guideway Structures</t>
        </is>
      </c>
      <c r="E69" s="34" t="inlineStr">
        <is>
          <t>New</t>
        </is>
      </c>
      <c r="F69" s="14" t="inlineStr"/>
      <c r="G69" s="34" t="inlineStr">
        <is>
          <t>Source assignment -- not individually reviewed</t>
        </is>
      </c>
      <c r="H69" s="92" t="inlineStr">
        <is>
          <t>10 EVIDENCE &amp; DECISIONS</t>
        </is>
      </c>
    </row>
    <row r="70" ht="34" customHeight="1">
      <c r="A70" s="34" t="inlineStr">
        <is>
          <t>R115-v1</t>
        </is>
      </c>
      <c r="B70" s="34" t="inlineStr">
        <is>
          <t>Contractor Programme</t>
        </is>
      </c>
      <c r="C70" s="34" t="inlineStr">
        <is>
          <t>SCH-01-115</t>
        </is>
      </c>
      <c r="D70" s="34" t="inlineStr">
        <is>
          <t>1.1.1 Guideway and Civil - Guideway Structures</t>
        </is>
      </c>
      <c r="E70" s="34" t="inlineStr">
        <is>
          <t>New</t>
        </is>
      </c>
      <c r="F70" s="14" t="inlineStr"/>
      <c r="G70" s="34" t="inlineStr">
        <is>
          <t>Source assignment -- not individually reviewed</t>
        </is>
      </c>
      <c r="H70" s="92" t="inlineStr">
        <is>
          <t>10 EVIDENCE &amp; DECISIONS</t>
        </is>
      </c>
    </row>
    <row r="71" ht="34" customHeight="1">
      <c r="A71" s="34" t="inlineStr">
        <is>
          <t>R1151-v1</t>
        </is>
      </c>
      <c r="B71" s="34" t="inlineStr">
        <is>
          <t>Cost &amp; Forecast Control Accounts</t>
        </is>
      </c>
      <c r="C71" s="34" t="inlineStr">
        <is>
          <t>CST-01-069</t>
        </is>
      </c>
      <c r="D71" s="34" t="inlineStr">
        <is>
          <t>1.1.1 Guideway and Civil - Guideway Structures</t>
        </is>
      </c>
      <c r="E71" s="34" t="inlineStr">
        <is>
          <t>New</t>
        </is>
      </c>
      <c r="F71" s="14" t="inlineStr"/>
      <c r="G71" s="34" t="inlineStr">
        <is>
          <t>Source assignment -- not individually reviewed</t>
        </is>
      </c>
      <c r="H71" s="92" t="inlineStr">
        <is>
          <t>10 EVIDENCE &amp; DECISIONS</t>
        </is>
      </c>
    </row>
    <row r="72" ht="34" customHeight="1">
      <c r="A72" s="34" t="inlineStr">
        <is>
          <t>R1153-v1</t>
        </is>
      </c>
      <c r="B72" s="34" t="inlineStr">
        <is>
          <t>Cost &amp; Forecast Control Accounts</t>
        </is>
      </c>
      <c r="C72" s="34" t="inlineStr">
        <is>
          <t>CST-01-071</t>
        </is>
      </c>
      <c r="D72" s="34" t="inlineStr">
        <is>
          <t>1.1.1 Guideway and Civil - Guideway Structures</t>
        </is>
      </c>
      <c r="E72" s="34" t="inlineStr">
        <is>
          <t>New</t>
        </is>
      </c>
      <c r="F72" s="14" t="inlineStr"/>
      <c r="G72" s="34" t="inlineStr">
        <is>
          <t>Source assignment -- not individually reviewed</t>
        </is>
      </c>
      <c r="H72" s="92" t="inlineStr">
        <is>
          <t>10 EVIDENCE &amp; DECISIONS</t>
        </is>
      </c>
    </row>
    <row r="73" ht="34" customHeight="1">
      <c r="A73" s="34" t="inlineStr">
        <is>
          <t>R1155-v1</t>
        </is>
      </c>
      <c r="B73" s="34" t="inlineStr">
        <is>
          <t>Cost &amp; Forecast Control Accounts</t>
        </is>
      </c>
      <c r="C73" s="34" t="inlineStr">
        <is>
          <t>CST-01-073</t>
        </is>
      </c>
      <c r="D73" s="34" t="inlineStr">
        <is>
          <t>1.1.1 Guideway and Civil - Guideway Structures</t>
        </is>
      </c>
      <c r="E73" s="34" t="inlineStr">
        <is>
          <t>New</t>
        </is>
      </c>
      <c r="F73" s="14" t="inlineStr"/>
      <c r="G73" s="34" t="inlineStr">
        <is>
          <t>Source assignment -- not individually reviewed</t>
        </is>
      </c>
      <c r="H73" s="92" t="inlineStr">
        <is>
          <t>10 EVIDENCE &amp; DECISIONS</t>
        </is>
      </c>
    </row>
    <row r="74" ht="34" customHeight="1">
      <c r="A74" s="34" t="inlineStr">
        <is>
          <t>R1157-v1</t>
        </is>
      </c>
      <c r="B74" s="34" t="inlineStr">
        <is>
          <t>Cost &amp; Forecast Control Accounts</t>
        </is>
      </c>
      <c r="C74" s="34" t="inlineStr">
        <is>
          <t>CST-01-075</t>
        </is>
      </c>
      <c r="D74" s="34" t="inlineStr">
        <is>
          <t>1.1.1 Guideway and Civil - Guideway Structures</t>
        </is>
      </c>
      <c r="E74" s="34" t="inlineStr">
        <is>
          <t>New</t>
        </is>
      </c>
      <c r="F74" s="14" t="inlineStr"/>
      <c r="G74" s="34" t="inlineStr">
        <is>
          <t>Source assignment -- not individually reviewed</t>
        </is>
      </c>
      <c r="H74" s="92" t="inlineStr">
        <is>
          <t>10 EVIDENCE &amp; DECISIONS</t>
        </is>
      </c>
    </row>
    <row r="75" ht="34" customHeight="1">
      <c r="A75" s="34" t="inlineStr">
        <is>
          <t>R1159-v1</t>
        </is>
      </c>
      <c r="B75" s="34" t="inlineStr">
        <is>
          <t>Cost &amp; Forecast Control Accounts</t>
        </is>
      </c>
      <c r="C75" s="34" t="inlineStr">
        <is>
          <t>CST-01-077</t>
        </is>
      </c>
      <c r="D75" s="34" t="inlineStr">
        <is>
          <t>1.1.1 Guideway and Civil - Guideway Structures</t>
        </is>
      </c>
      <c r="E75" s="34" t="inlineStr">
        <is>
          <t>New</t>
        </is>
      </c>
      <c r="F75" s="14" t="inlineStr"/>
      <c r="G75" s="34" t="inlineStr">
        <is>
          <t>Source assignment -- not individually reviewed</t>
        </is>
      </c>
      <c r="H75" s="92" t="inlineStr">
        <is>
          <t>10 EVIDENCE &amp; DECISIONS</t>
        </is>
      </c>
    </row>
    <row r="76" ht="34" customHeight="1">
      <c r="A76" s="34" t="inlineStr">
        <is>
          <t>R116-v1</t>
        </is>
      </c>
      <c r="B76" s="34" t="inlineStr">
        <is>
          <t>Contractor Programme</t>
        </is>
      </c>
      <c r="C76" s="34" t="inlineStr">
        <is>
          <t>SCH-01-116</t>
        </is>
      </c>
      <c r="D76" s="34" t="inlineStr">
        <is>
          <t>1.1.1 Guideway and Civil - Guideway Structures</t>
        </is>
      </c>
      <c r="E76" s="34" t="inlineStr">
        <is>
          <t>New</t>
        </is>
      </c>
      <c r="F76" s="14" t="inlineStr"/>
      <c r="G76" s="34" t="inlineStr">
        <is>
          <t>Source assignment -- not individually reviewed</t>
        </is>
      </c>
      <c r="H76" s="92" t="inlineStr">
        <is>
          <t>10 EVIDENCE &amp; DECISIONS</t>
        </is>
      </c>
    </row>
    <row r="77" ht="34" customHeight="1">
      <c r="A77" s="34" t="inlineStr">
        <is>
          <t>R1161-v1</t>
        </is>
      </c>
      <c r="B77" s="34" t="inlineStr">
        <is>
          <t>Cost &amp; Forecast Control Accounts</t>
        </is>
      </c>
      <c r="C77" s="34" t="inlineStr">
        <is>
          <t>CST-01-079</t>
        </is>
      </c>
      <c r="D77" s="34" t="inlineStr">
        <is>
          <t>1.1.1 Guideway and Civil - Guideway Structures</t>
        </is>
      </c>
      <c r="E77" s="34" t="inlineStr">
        <is>
          <t>New</t>
        </is>
      </c>
      <c r="F77" s="14" t="inlineStr"/>
      <c r="G77" s="34" t="inlineStr">
        <is>
          <t>Source assignment -- not individually reviewed</t>
        </is>
      </c>
      <c r="H77" s="92" t="inlineStr">
        <is>
          <t>10 EVIDENCE &amp; DECISIONS</t>
        </is>
      </c>
    </row>
    <row r="78" ht="34" customHeight="1">
      <c r="A78" s="34" t="inlineStr">
        <is>
          <t>R118-v1</t>
        </is>
      </c>
      <c r="B78" s="34" t="inlineStr">
        <is>
          <t>Contractor Programme</t>
        </is>
      </c>
      <c r="C78" s="34" t="inlineStr">
        <is>
          <t>SCH-01-118</t>
        </is>
      </c>
      <c r="D78" s="34" t="inlineStr">
        <is>
          <t>1.1.1 Guideway and Civil - Guideway Structures</t>
        </is>
      </c>
      <c r="E78" s="34" t="inlineStr">
        <is>
          <t>New</t>
        </is>
      </c>
      <c r="F78" s="14" t="inlineStr"/>
      <c r="G78" s="34" t="inlineStr">
        <is>
          <t>Source assignment -- not individually reviewed</t>
        </is>
      </c>
      <c r="H78" s="92" t="inlineStr">
        <is>
          <t>10 EVIDENCE &amp; DECISIONS</t>
        </is>
      </c>
    </row>
    <row r="79" ht="34" customHeight="1">
      <c r="A79" s="34" t="inlineStr">
        <is>
          <t>R119-v1</t>
        </is>
      </c>
      <c r="B79" s="34" t="inlineStr">
        <is>
          <t>Contractor Programme</t>
        </is>
      </c>
      <c r="C79" s="34" t="inlineStr">
        <is>
          <t>SCH-01-119</t>
        </is>
      </c>
      <c r="D79" s="34" t="inlineStr">
        <is>
          <t>1.1.1 Guideway and Civil - Guideway Structures</t>
        </is>
      </c>
      <c r="E79" s="34" t="inlineStr">
        <is>
          <t>New</t>
        </is>
      </c>
      <c r="F79" s="14" t="inlineStr"/>
      <c r="G79" s="34" t="inlineStr">
        <is>
          <t>Source assignment -- not individually reviewed</t>
        </is>
      </c>
      <c r="H79" s="92" t="inlineStr">
        <is>
          <t>10 EVIDENCE &amp; DECISIONS</t>
        </is>
      </c>
    </row>
    <row r="80" ht="34" customHeight="1">
      <c r="A80" s="34" t="inlineStr">
        <is>
          <t>R121-v1</t>
        </is>
      </c>
      <c r="B80" s="34" t="inlineStr">
        <is>
          <t>Contractor Programme</t>
        </is>
      </c>
      <c r="C80" s="34" t="inlineStr">
        <is>
          <t>SCH-01-121</t>
        </is>
      </c>
      <c r="D80" s="34" t="inlineStr">
        <is>
          <t>1.1.1 Guideway and Civil - Guideway Structures</t>
        </is>
      </c>
      <c r="E80" s="34" t="inlineStr">
        <is>
          <t>New</t>
        </is>
      </c>
      <c r="F80" s="14" t="inlineStr"/>
      <c r="G80" s="34" t="inlineStr">
        <is>
          <t>Source assignment -- not individually reviewed</t>
        </is>
      </c>
      <c r="H80" s="92" t="inlineStr">
        <is>
          <t>10 EVIDENCE &amp; DECISIONS</t>
        </is>
      </c>
    </row>
    <row r="81" ht="34" customHeight="1">
      <c r="A81" s="34" t="inlineStr">
        <is>
          <t>R122-v1</t>
        </is>
      </c>
      <c r="B81" s="34" t="inlineStr">
        <is>
          <t>Contractor Programme</t>
        </is>
      </c>
      <c r="C81" s="34" t="inlineStr">
        <is>
          <t>SCH-01-122</t>
        </is>
      </c>
      <c r="D81" s="34" t="inlineStr">
        <is>
          <t>1.1.1 Guideway and Civil - Guideway Structures</t>
        </is>
      </c>
      <c r="E81" s="34" t="inlineStr">
        <is>
          <t>New</t>
        </is>
      </c>
      <c r="F81" s="14" t="inlineStr"/>
      <c r="G81" s="34" t="inlineStr">
        <is>
          <t>Source assignment -- not individually reviewed</t>
        </is>
      </c>
      <c r="H81" s="92" t="inlineStr">
        <is>
          <t>10 EVIDENCE &amp; DECISIONS</t>
        </is>
      </c>
    </row>
    <row r="82" ht="34" customHeight="1">
      <c r="A82" s="34" t="inlineStr">
        <is>
          <t>R124-v1</t>
        </is>
      </c>
      <c r="B82" s="34" t="inlineStr">
        <is>
          <t>Contractor Programme</t>
        </is>
      </c>
      <c r="C82" s="34" t="inlineStr">
        <is>
          <t>SCH-01-124</t>
        </is>
      </c>
      <c r="D82" s="34" t="inlineStr">
        <is>
          <t>1.1.1 Guideway and Civil - Guideway Structures</t>
        </is>
      </c>
      <c r="E82" s="34" t="inlineStr">
        <is>
          <t>New</t>
        </is>
      </c>
      <c r="F82" s="14" t="inlineStr"/>
      <c r="G82" s="34" t="inlineStr">
        <is>
          <t>Source assignment -- not individually reviewed</t>
        </is>
      </c>
      <c r="H82" s="92" t="inlineStr">
        <is>
          <t>10 EVIDENCE &amp; DECISIONS</t>
        </is>
      </c>
    </row>
    <row r="83" ht="34" customHeight="1">
      <c r="A83" s="34" t="inlineStr">
        <is>
          <t>R125-v1</t>
        </is>
      </c>
      <c r="B83" s="34" t="inlineStr">
        <is>
          <t>Contractor Programme</t>
        </is>
      </c>
      <c r="C83" s="34" t="inlineStr">
        <is>
          <t>SCH-01-125</t>
        </is>
      </c>
      <c r="D83" s="34" t="inlineStr">
        <is>
          <t>1.1.1 Guideway and Civil - Guideway Structures</t>
        </is>
      </c>
      <c r="E83" s="34" t="inlineStr">
        <is>
          <t>New</t>
        </is>
      </c>
      <c r="F83" s="14" t="inlineStr"/>
      <c r="G83" s="34" t="inlineStr">
        <is>
          <t>Source assignment -- not individually reviewed</t>
        </is>
      </c>
      <c r="H83" s="92" t="inlineStr">
        <is>
          <t>10 EVIDENCE &amp; DECISIONS</t>
        </is>
      </c>
    </row>
    <row r="84" ht="34" customHeight="1">
      <c r="A84" s="34" t="inlineStr">
        <is>
          <t>R127-v1</t>
        </is>
      </c>
      <c r="B84" s="34" t="inlineStr">
        <is>
          <t>Contractor Programme</t>
        </is>
      </c>
      <c r="C84" s="34" t="inlineStr">
        <is>
          <t>SCH-01-127</t>
        </is>
      </c>
      <c r="D84" s="34" t="inlineStr">
        <is>
          <t>1.1.1 Guideway and Civil - Guideway Structures</t>
        </is>
      </c>
      <c r="E84" s="34" t="inlineStr">
        <is>
          <t>New</t>
        </is>
      </c>
      <c r="F84" s="14" t="inlineStr"/>
      <c r="G84" s="34" t="inlineStr">
        <is>
          <t>Source assignment -- not individually reviewed</t>
        </is>
      </c>
      <c r="H84" s="92" t="inlineStr">
        <is>
          <t>10 EVIDENCE &amp; DECISIONS</t>
        </is>
      </c>
    </row>
    <row r="85" ht="34" customHeight="1">
      <c r="A85" s="34" t="inlineStr">
        <is>
          <t>R128-v1</t>
        </is>
      </c>
      <c r="B85" s="34" t="inlineStr">
        <is>
          <t>Contractor Programme</t>
        </is>
      </c>
      <c r="C85" s="34" t="inlineStr">
        <is>
          <t>SCH-01-128</t>
        </is>
      </c>
      <c r="D85" s="34" t="inlineStr">
        <is>
          <t>1.1.1 Guideway and Civil - Guideway Structures</t>
        </is>
      </c>
      <c r="E85" s="34" t="inlineStr">
        <is>
          <t>New</t>
        </is>
      </c>
      <c r="F85" s="14" t="inlineStr"/>
      <c r="G85" s="34" t="inlineStr">
        <is>
          <t>Source assignment -- not individually reviewed</t>
        </is>
      </c>
      <c r="H85" s="92" t="inlineStr">
        <is>
          <t>10 EVIDENCE &amp; DECISIONS</t>
        </is>
      </c>
    </row>
    <row r="86" ht="34" customHeight="1">
      <c r="A86" s="34" t="inlineStr">
        <is>
          <t>R13-v1</t>
        </is>
      </c>
      <c r="B86" s="34" t="inlineStr">
        <is>
          <t>Contractor Programme</t>
        </is>
      </c>
      <c r="C86" s="34" t="inlineStr">
        <is>
          <t>SCH-01-013</t>
        </is>
      </c>
      <c r="D86" s="34" t="inlineStr">
        <is>
          <t>1.1.1 Guideway and Civil - Guideway Structures</t>
        </is>
      </c>
      <c r="E86" s="34" t="inlineStr">
        <is>
          <t>New</t>
        </is>
      </c>
      <c r="F86" s="14" t="inlineStr"/>
      <c r="G86" s="34" t="inlineStr">
        <is>
          <t>Source assignment -- not individually reviewed</t>
        </is>
      </c>
      <c r="H86" s="92" t="inlineStr">
        <is>
          <t>10 EVIDENCE &amp; DECISIONS</t>
        </is>
      </c>
    </row>
    <row r="87" ht="34" customHeight="1">
      <c r="A87" s="34" t="inlineStr">
        <is>
          <t>R130-v1</t>
        </is>
      </c>
      <c r="B87" s="34" t="inlineStr">
        <is>
          <t>Contractor Programme</t>
        </is>
      </c>
      <c r="C87" s="34" t="inlineStr">
        <is>
          <t>SCH-01-130</t>
        </is>
      </c>
      <c r="D87" s="34" t="inlineStr">
        <is>
          <t>1.1.1 Guideway and Civil - Guideway Structures</t>
        </is>
      </c>
      <c r="E87" s="34" t="inlineStr">
        <is>
          <t>New</t>
        </is>
      </c>
      <c r="F87" s="14" t="inlineStr"/>
      <c r="G87" s="34" t="inlineStr">
        <is>
          <t>Source assignment -- not individually reviewed</t>
        </is>
      </c>
      <c r="H87" s="92" t="inlineStr">
        <is>
          <t>10 EVIDENCE &amp; DECISIONS</t>
        </is>
      </c>
    </row>
    <row r="88" ht="34" customHeight="1">
      <c r="A88" s="34" t="inlineStr">
        <is>
          <t>R131-v1</t>
        </is>
      </c>
      <c r="B88" s="34" t="inlineStr">
        <is>
          <t>Contractor Programme</t>
        </is>
      </c>
      <c r="C88" s="34" t="inlineStr">
        <is>
          <t>SCH-01-131</t>
        </is>
      </c>
      <c r="D88" s="34" t="inlineStr">
        <is>
          <t>1.1.1 Guideway and Civil - Guideway Structures</t>
        </is>
      </c>
      <c r="E88" s="34" t="inlineStr">
        <is>
          <t>New</t>
        </is>
      </c>
      <c r="F88" s="14" t="inlineStr"/>
      <c r="G88" s="34" t="inlineStr">
        <is>
          <t>Source assignment -- not individually reviewed</t>
        </is>
      </c>
      <c r="H88" s="92" t="inlineStr">
        <is>
          <t>10 EVIDENCE &amp; DECISIONS</t>
        </is>
      </c>
    </row>
    <row r="89" ht="34" customHeight="1">
      <c r="A89" s="34" t="inlineStr">
        <is>
          <t>R133-v1</t>
        </is>
      </c>
      <c r="B89" s="34" t="inlineStr">
        <is>
          <t>Contractor Programme</t>
        </is>
      </c>
      <c r="C89" s="34" t="inlineStr">
        <is>
          <t>SCH-01-133</t>
        </is>
      </c>
      <c r="D89" s="34" t="inlineStr">
        <is>
          <t>1.1.1 Guideway and Civil - Guideway Structures</t>
        </is>
      </c>
      <c r="E89" s="34" t="inlineStr">
        <is>
          <t>New</t>
        </is>
      </c>
      <c r="F89" s="14" t="inlineStr"/>
      <c r="G89" s="34" t="inlineStr">
        <is>
          <t>Source assignment -- not individually reviewed</t>
        </is>
      </c>
      <c r="H89" s="92" t="inlineStr">
        <is>
          <t>10 EVIDENCE &amp; DECISIONS</t>
        </is>
      </c>
    </row>
    <row r="90" ht="34" customHeight="1">
      <c r="A90" s="34" t="inlineStr">
        <is>
          <t>R134-v1</t>
        </is>
      </c>
      <c r="B90" s="34" t="inlineStr">
        <is>
          <t>Contractor Programme</t>
        </is>
      </c>
      <c r="C90" s="34" t="inlineStr">
        <is>
          <t>SCH-01-134</t>
        </is>
      </c>
      <c r="D90" s="34" t="inlineStr">
        <is>
          <t>1.1.1 Guideway and Civil - Guideway Structures</t>
        </is>
      </c>
      <c r="E90" s="34" t="inlineStr">
        <is>
          <t>New</t>
        </is>
      </c>
      <c r="F90" s="14" t="inlineStr"/>
      <c r="G90" s="34" t="inlineStr">
        <is>
          <t>Source assignment -- not individually reviewed</t>
        </is>
      </c>
      <c r="H90" s="92" t="inlineStr">
        <is>
          <t>10 EVIDENCE &amp; DECISIONS</t>
        </is>
      </c>
    </row>
    <row r="91" ht="34" customHeight="1">
      <c r="A91" s="34" t="inlineStr">
        <is>
          <t>R136-v1</t>
        </is>
      </c>
      <c r="B91" s="34" t="inlineStr">
        <is>
          <t>Contractor Programme</t>
        </is>
      </c>
      <c r="C91" s="34" t="inlineStr">
        <is>
          <t>SCH-01-136</t>
        </is>
      </c>
      <c r="D91" s="34" t="inlineStr">
        <is>
          <t>1.1.1 Guideway and Civil - Guideway Structures</t>
        </is>
      </c>
      <c r="E91" s="34" t="inlineStr">
        <is>
          <t>New</t>
        </is>
      </c>
      <c r="F91" s="14" t="inlineStr"/>
      <c r="G91" s="34" t="inlineStr">
        <is>
          <t>Source assignment -- not individually reviewed</t>
        </is>
      </c>
      <c r="H91" s="92" t="inlineStr">
        <is>
          <t>10 EVIDENCE &amp; DECISIONS</t>
        </is>
      </c>
    </row>
    <row r="92" ht="34" customHeight="1">
      <c r="A92" s="34" t="inlineStr">
        <is>
          <t>R137-v1</t>
        </is>
      </c>
      <c r="B92" s="34" t="inlineStr">
        <is>
          <t>Contractor Programme</t>
        </is>
      </c>
      <c r="C92" s="34" t="inlineStr">
        <is>
          <t>SCH-01-137</t>
        </is>
      </c>
      <c r="D92" s="34" t="inlineStr">
        <is>
          <t>1.1.1 Guideway and Civil - Guideway Structures</t>
        </is>
      </c>
      <c r="E92" s="34" t="inlineStr">
        <is>
          <t>New</t>
        </is>
      </c>
      <c r="F92" s="14" t="inlineStr"/>
      <c r="G92" s="34" t="inlineStr">
        <is>
          <t>Source assignment -- not individually reviewed</t>
        </is>
      </c>
      <c r="H92" s="92" t="inlineStr">
        <is>
          <t>10 EVIDENCE &amp; DECISIONS</t>
        </is>
      </c>
    </row>
    <row r="93" ht="34" customHeight="1">
      <c r="A93" s="34" t="inlineStr">
        <is>
          <t>R139-v1</t>
        </is>
      </c>
      <c r="B93" s="34" t="inlineStr">
        <is>
          <t>Contractor Programme</t>
        </is>
      </c>
      <c r="C93" s="34" t="inlineStr">
        <is>
          <t>SCH-01-139</t>
        </is>
      </c>
      <c r="D93" s="34" t="inlineStr">
        <is>
          <t>1.1.1 Guideway and Civil - Guideway Structures</t>
        </is>
      </c>
      <c r="E93" s="34" t="inlineStr">
        <is>
          <t>New</t>
        </is>
      </c>
      <c r="F93" s="14" t="inlineStr"/>
      <c r="G93" s="34" t="inlineStr">
        <is>
          <t>Source assignment -- not individually reviewed</t>
        </is>
      </c>
      <c r="H93" s="92" t="inlineStr">
        <is>
          <t>10 EVIDENCE &amp; DECISIONS</t>
        </is>
      </c>
    </row>
    <row r="94" ht="34" customHeight="1">
      <c r="A94" s="34" t="inlineStr">
        <is>
          <t>R14-v1</t>
        </is>
      </c>
      <c r="B94" s="34" t="inlineStr">
        <is>
          <t>Contractor Programme</t>
        </is>
      </c>
      <c r="C94" s="34" t="inlineStr">
        <is>
          <t>SCH-01-014</t>
        </is>
      </c>
      <c r="D94" s="34" t="inlineStr">
        <is>
          <t>1.1.1 Guideway and Civil - Guideway Structures</t>
        </is>
      </c>
      <c r="E94" s="34" t="inlineStr">
        <is>
          <t>New</t>
        </is>
      </c>
      <c r="F94" s="14" t="inlineStr"/>
      <c r="G94" s="34" t="inlineStr">
        <is>
          <t>Source assignment -- not individually reviewed</t>
        </is>
      </c>
      <c r="H94" s="92" t="inlineStr">
        <is>
          <t>10 EVIDENCE &amp; DECISIONS</t>
        </is>
      </c>
    </row>
    <row r="95" ht="34" customHeight="1">
      <c r="A95" s="34" t="inlineStr">
        <is>
          <t>R140-v1</t>
        </is>
      </c>
      <c r="B95" s="34" t="inlineStr">
        <is>
          <t>Contractor Programme</t>
        </is>
      </c>
      <c r="C95" s="34" t="inlineStr">
        <is>
          <t>SCH-01-140</t>
        </is>
      </c>
      <c r="D95" s="34" t="inlineStr">
        <is>
          <t>1.1.1 Guideway and Civil - Guideway Structures</t>
        </is>
      </c>
      <c r="E95" s="34" t="inlineStr">
        <is>
          <t>New</t>
        </is>
      </c>
      <c r="F95" s="14" t="inlineStr"/>
      <c r="G95" s="34" t="inlineStr">
        <is>
          <t>Source assignment -- not individually reviewed</t>
        </is>
      </c>
      <c r="H95" s="92" t="inlineStr">
        <is>
          <t>10 EVIDENCE &amp; DECISIONS</t>
        </is>
      </c>
    </row>
    <row r="96" ht="34" customHeight="1">
      <c r="A96" s="34" t="inlineStr">
        <is>
          <t>R142-v1</t>
        </is>
      </c>
      <c r="B96" s="34" t="inlineStr">
        <is>
          <t>Contractor Programme</t>
        </is>
      </c>
      <c r="C96" s="34" t="inlineStr">
        <is>
          <t>SCH-01-142</t>
        </is>
      </c>
      <c r="D96" s="34" t="inlineStr">
        <is>
          <t>1.1.1 Guideway and Civil - Guideway Structures</t>
        </is>
      </c>
      <c r="E96" s="34" t="inlineStr">
        <is>
          <t>New</t>
        </is>
      </c>
      <c r="F96" s="14" t="inlineStr"/>
      <c r="G96" s="34" t="inlineStr">
        <is>
          <t>Source assignment -- not individually reviewed</t>
        </is>
      </c>
      <c r="H96" s="92" t="inlineStr">
        <is>
          <t>10 EVIDENCE &amp; DECISIONS</t>
        </is>
      </c>
    </row>
    <row r="97" ht="34" customHeight="1">
      <c r="A97" s="34" t="inlineStr">
        <is>
          <t>R143-v1</t>
        </is>
      </c>
      <c r="B97" s="34" t="inlineStr">
        <is>
          <t>Contractor Programme</t>
        </is>
      </c>
      <c r="C97" s="34" t="inlineStr">
        <is>
          <t>SCH-01-143</t>
        </is>
      </c>
      <c r="D97" s="34" t="inlineStr">
        <is>
          <t>1.1.1 Guideway and Civil - Guideway Structures</t>
        </is>
      </c>
      <c r="E97" s="34" t="inlineStr">
        <is>
          <t>New</t>
        </is>
      </c>
      <c r="F97" s="14" t="inlineStr"/>
      <c r="G97" s="34" t="inlineStr">
        <is>
          <t>Source assignment -- not individually reviewed</t>
        </is>
      </c>
      <c r="H97" s="92" t="inlineStr">
        <is>
          <t>10 EVIDENCE &amp; DECISIONS</t>
        </is>
      </c>
    </row>
    <row r="98" ht="34" customHeight="1">
      <c r="A98" s="34" t="inlineStr">
        <is>
          <t>R145-v1</t>
        </is>
      </c>
      <c r="B98" s="34" t="inlineStr">
        <is>
          <t>Contractor Programme</t>
        </is>
      </c>
      <c r="C98" s="34" t="inlineStr">
        <is>
          <t>SCH-01-145</t>
        </is>
      </c>
      <c r="D98" s="34" t="inlineStr">
        <is>
          <t>1.1.1 Guideway and Civil - Guideway Structures</t>
        </is>
      </c>
      <c r="E98" s="34" t="inlineStr">
        <is>
          <t>New</t>
        </is>
      </c>
      <c r="F98" s="14" t="inlineStr"/>
      <c r="G98" s="34" t="inlineStr">
        <is>
          <t>Source assignment -- not individually reviewed</t>
        </is>
      </c>
      <c r="H98" s="92" t="inlineStr">
        <is>
          <t>10 EVIDENCE &amp; DECISIONS</t>
        </is>
      </c>
    </row>
    <row r="99" ht="34" customHeight="1">
      <c r="A99" s="34" t="inlineStr">
        <is>
          <t>R146-v1</t>
        </is>
      </c>
      <c r="B99" s="34" t="inlineStr">
        <is>
          <t>Contractor Programme</t>
        </is>
      </c>
      <c r="C99" s="34" t="inlineStr">
        <is>
          <t>SCH-01-146</t>
        </is>
      </c>
      <c r="D99" s="34" t="inlineStr">
        <is>
          <t>1.1.1 Guideway and Civil - Guideway Structures</t>
        </is>
      </c>
      <c r="E99" s="34" t="inlineStr">
        <is>
          <t>New</t>
        </is>
      </c>
      <c r="F99" s="14" t="inlineStr"/>
      <c r="G99" s="34" t="inlineStr">
        <is>
          <t>Source assignment -- not individually reviewed</t>
        </is>
      </c>
      <c r="H99" s="92" t="inlineStr">
        <is>
          <t>10 EVIDENCE &amp; DECISIONS</t>
        </is>
      </c>
    </row>
    <row r="100" ht="34" customHeight="1">
      <c r="A100" s="34" t="inlineStr">
        <is>
          <t>R148-v1</t>
        </is>
      </c>
      <c r="B100" s="34" t="inlineStr">
        <is>
          <t>Contractor Programme</t>
        </is>
      </c>
      <c r="C100" s="34" t="inlineStr">
        <is>
          <t>SCH-01-148</t>
        </is>
      </c>
      <c r="D100" s="34" t="inlineStr">
        <is>
          <t>1.1.1 Guideway and Civil - Guideway Structures</t>
        </is>
      </c>
      <c r="E100" s="34" t="inlineStr">
        <is>
          <t>New</t>
        </is>
      </c>
      <c r="F100" s="14" t="inlineStr"/>
      <c r="G100" s="34" t="inlineStr">
        <is>
          <t>Source assignment -- not individually reviewed</t>
        </is>
      </c>
      <c r="H100" s="92" t="inlineStr">
        <is>
          <t>10 EVIDENCE &amp; DECISIONS</t>
        </is>
      </c>
    </row>
    <row r="101" ht="34" customHeight="1">
      <c r="A101" s="34" t="inlineStr">
        <is>
          <t>R149-v1</t>
        </is>
      </c>
      <c r="B101" s="34" t="inlineStr">
        <is>
          <t>Contractor Programme</t>
        </is>
      </c>
      <c r="C101" s="34" t="inlineStr">
        <is>
          <t>SCH-01-149</t>
        </is>
      </c>
      <c r="D101" s="34" t="inlineStr">
        <is>
          <t>1.1.1 Guideway and Civil - Guideway Structures</t>
        </is>
      </c>
      <c r="E101" s="34" t="inlineStr">
        <is>
          <t>New</t>
        </is>
      </c>
      <c r="F101" s="14" t="inlineStr"/>
      <c r="G101" s="34" t="inlineStr">
        <is>
          <t>Source assignment -- not individually reviewed</t>
        </is>
      </c>
      <c r="H101" s="92" t="inlineStr">
        <is>
          <t>10 EVIDENCE &amp; DECISIONS</t>
        </is>
      </c>
    </row>
    <row r="102" ht="34" customHeight="1">
      <c r="A102" s="34" t="inlineStr">
        <is>
          <t>R151-v1</t>
        </is>
      </c>
      <c r="B102" s="34" t="inlineStr">
        <is>
          <t>Contractor Programme</t>
        </is>
      </c>
      <c r="C102" s="34" t="inlineStr">
        <is>
          <t>SCH-01-151</t>
        </is>
      </c>
      <c r="D102" s="34" t="inlineStr">
        <is>
          <t>1.1.1 Guideway and Civil - Guideway Structures</t>
        </is>
      </c>
      <c r="E102" s="34" t="inlineStr">
        <is>
          <t>New</t>
        </is>
      </c>
      <c r="F102" s="14" t="inlineStr"/>
      <c r="G102" s="34" t="inlineStr">
        <is>
          <t>Source assignment -- not individually reviewed</t>
        </is>
      </c>
      <c r="H102" s="92" t="inlineStr">
        <is>
          <t>10 EVIDENCE &amp; DECISIONS</t>
        </is>
      </c>
    </row>
    <row r="103" ht="34" customHeight="1">
      <c r="A103" s="34" t="inlineStr">
        <is>
          <t>R152-v1</t>
        </is>
      </c>
      <c r="B103" s="34" t="inlineStr">
        <is>
          <t>Contractor Programme</t>
        </is>
      </c>
      <c r="C103" s="34" t="inlineStr">
        <is>
          <t>SCH-01-152</t>
        </is>
      </c>
      <c r="D103" s="34" t="inlineStr">
        <is>
          <t>1.1.1 Guideway and Civil - Guideway Structures</t>
        </is>
      </c>
      <c r="E103" s="34" t="inlineStr">
        <is>
          <t>New</t>
        </is>
      </c>
      <c r="F103" s="14" t="inlineStr"/>
      <c r="G103" s="34" t="inlineStr">
        <is>
          <t>Source assignment -- not individually reviewed</t>
        </is>
      </c>
      <c r="H103" s="92" t="inlineStr">
        <is>
          <t>10 EVIDENCE &amp; DECISIONS</t>
        </is>
      </c>
    </row>
    <row r="104" ht="34" customHeight="1">
      <c r="A104" s="34" t="inlineStr">
        <is>
          <t>R154-v1</t>
        </is>
      </c>
      <c r="B104" s="34" t="inlineStr">
        <is>
          <t>Contractor Programme</t>
        </is>
      </c>
      <c r="C104" s="34" t="inlineStr">
        <is>
          <t>SCH-01-154</t>
        </is>
      </c>
      <c r="D104" s="34" t="inlineStr">
        <is>
          <t>1.1.1 Guideway and Civil - Guideway Structures</t>
        </is>
      </c>
      <c r="E104" s="34" t="inlineStr">
        <is>
          <t>New</t>
        </is>
      </c>
      <c r="F104" s="14" t="inlineStr"/>
      <c r="G104" s="34" t="inlineStr">
        <is>
          <t>Source assignment -- not individually reviewed</t>
        </is>
      </c>
      <c r="H104" s="92" t="inlineStr">
        <is>
          <t>10 EVIDENCE &amp; DECISIONS</t>
        </is>
      </c>
    </row>
    <row r="105" ht="34" customHeight="1">
      <c r="A105" s="34" t="inlineStr">
        <is>
          <t>R155-v1</t>
        </is>
      </c>
      <c r="B105" s="34" t="inlineStr">
        <is>
          <t>Contractor Programme</t>
        </is>
      </c>
      <c r="C105" s="34" t="inlineStr">
        <is>
          <t>SCH-01-155</t>
        </is>
      </c>
      <c r="D105" s="34" t="inlineStr">
        <is>
          <t>1.1.1 Guideway and Civil - Guideway Structures</t>
        </is>
      </c>
      <c r="E105" s="34" t="inlineStr">
        <is>
          <t>New</t>
        </is>
      </c>
      <c r="F105" s="14" t="inlineStr"/>
      <c r="G105" s="34" t="inlineStr">
        <is>
          <t>Source assignment -- not individually reviewed</t>
        </is>
      </c>
      <c r="H105" s="92" t="inlineStr">
        <is>
          <t>10 EVIDENCE &amp; DECISIONS</t>
        </is>
      </c>
    </row>
    <row r="106" ht="34" customHeight="1">
      <c r="A106" s="34" t="inlineStr">
        <is>
          <t>R157-v1</t>
        </is>
      </c>
      <c r="B106" s="34" t="inlineStr">
        <is>
          <t>Contractor Programme</t>
        </is>
      </c>
      <c r="C106" s="34" t="inlineStr">
        <is>
          <t>SCH-01-157</t>
        </is>
      </c>
      <c r="D106" s="34" t="inlineStr">
        <is>
          <t>1.1.1 Guideway and Civil - Guideway Structures</t>
        </is>
      </c>
      <c r="E106" s="34" t="inlineStr">
        <is>
          <t>New</t>
        </is>
      </c>
      <c r="F106" s="14" t="inlineStr"/>
      <c r="G106" s="34" t="inlineStr">
        <is>
          <t>Source assignment -- not individually reviewed</t>
        </is>
      </c>
      <c r="H106" s="92" t="inlineStr">
        <is>
          <t>10 EVIDENCE &amp; DECISIONS</t>
        </is>
      </c>
    </row>
    <row r="107" ht="34" customHeight="1">
      <c r="A107" s="34" t="inlineStr">
        <is>
          <t>R158-v1</t>
        </is>
      </c>
      <c r="B107" s="34" t="inlineStr">
        <is>
          <t>Contractor Programme</t>
        </is>
      </c>
      <c r="C107" s="34" t="inlineStr">
        <is>
          <t>SCH-01-158</t>
        </is>
      </c>
      <c r="D107" s="34" t="inlineStr">
        <is>
          <t>1.1.1 Guideway and Civil - Guideway Structures</t>
        </is>
      </c>
      <c r="E107" s="34" t="inlineStr">
        <is>
          <t>New</t>
        </is>
      </c>
      <c r="F107" s="14" t="inlineStr"/>
      <c r="G107" s="34" t="inlineStr">
        <is>
          <t>Source assignment -- not individually reviewed</t>
        </is>
      </c>
      <c r="H107" s="92" t="inlineStr">
        <is>
          <t>10 EVIDENCE &amp; DECISIONS</t>
        </is>
      </c>
    </row>
    <row r="108" ht="34" customHeight="1">
      <c r="A108" s="34" t="inlineStr">
        <is>
          <t>R16-v1</t>
        </is>
      </c>
      <c r="B108" s="34" t="inlineStr">
        <is>
          <t>Contractor Programme</t>
        </is>
      </c>
      <c r="C108" s="34" t="inlineStr">
        <is>
          <t>SCH-01-016</t>
        </is>
      </c>
      <c r="D108" s="34" t="inlineStr">
        <is>
          <t>1.1.1 Guideway and Civil - Guideway Structures</t>
        </is>
      </c>
      <c r="E108" s="34" t="inlineStr">
        <is>
          <t>New</t>
        </is>
      </c>
      <c r="F108" s="14" t="inlineStr"/>
      <c r="G108" s="34" t="inlineStr">
        <is>
          <t>Source assignment -- not individually reviewed</t>
        </is>
      </c>
      <c r="H108" s="92" t="inlineStr">
        <is>
          <t>10 EVIDENCE &amp; DECISIONS</t>
        </is>
      </c>
    </row>
    <row r="109" ht="34" customHeight="1">
      <c r="A109" s="34" t="inlineStr">
        <is>
          <t>R160-v1</t>
        </is>
      </c>
      <c r="B109" s="34" t="inlineStr">
        <is>
          <t>Contractor Programme</t>
        </is>
      </c>
      <c r="C109" s="34" t="inlineStr">
        <is>
          <t>SCH-01-160</t>
        </is>
      </c>
      <c r="D109" s="34" t="inlineStr">
        <is>
          <t>1.1.1 Guideway and Civil - Guideway Structures</t>
        </is>
      </c>
      <c r="E109" s="34" t="inlineStr">
        <is>
          <t>New</t>
        </is>
      </c>
      <c r="F109" s="14" t="inlineStr"/>
      <c r="G109" s="34" t="inlineStr">
        <is>
          <t>Source assignment -- not individually reviewed</t>
        </is>
      </c>
      <c r="H109" s="92" t="inlineStr">
        <is>
          <t>10 EVIDENCE &amp; DECISIONS</t>
        </is>
      </c>
    </row>
    <row r="110" ht="34" customHeight="1">
      <c r="A110" s="34" t="inlineStr">
        <is>
          <t>R161-v1</t>
        </is>
      </c>
      <c r="B110" s="34" t="inlineStr">
        <is>
          <t>Contractor Programme</t>
        </is>
      </c>
      <c r="C110" s="34" t="inlineStr">
        <is>
          <t>SCH-01-161</t>
        </is>
      </c>
      <c r="D110" s="34" t="inlineStr">
        <is>
          <t>1.1.1 Guideway and Civil - Guideway Structures</t>
        </is>
      </c>
      <c r="E110" s="34" t="inlineStr">
        <is>
          <t>New</t>
        </is>
      </c>
      <c r="F110" s="14" t="inlineStr"/>
      <c r="G110" s="34" t="inlineStr">
        <is>
          <t>Source assignment -- not individually reviewed</t>
        </is>
      </c>
      <c r="H110" s="92" t="inlineStr">
        <is>
          <t>10 EVIDENCE &amp; DECISIONS</t>
        </is>
      </c>
    </row>
    <row r="111" ht="34" customHeight="1">
      <c r="A111" s="34" t="inlineStr">
        <is>
          <t>R163-v1</t>
        </is>
      </c>
      <c r="B111" s="34" t="inlineStr">
        <is>
          <t>Contractor Programme</t>
        </is>
      </c>
      <c r="C111" s="34" t="inlineStr">
        <is>
          <t>SCH-01-163</t>
        </is>
      </c>
      <c r="D111" s="34" t="inlineStr">
        <is>
          <t>1.1.1 Guideway and Civil - Guideway Structures</t>
        </is>
      </c>
      <c r="E111" s="34" t="inlineStr">
        <is>
          <t>New</t>
        </is>
      </c>
      <c r="F111" s="14" t="inlineStr"/>
      <c r="G111" s="34" t="inlineStr">
        <is>
          <t>Source assignment -- not individually reviewed</t>
        </is>
      </c>
      <c r="H111" s="92" t="inlineStr">
        <is>
          <t>10 EVIDENCE &amp; DECISIONS</t>
        </is>
      </c>
    </row>
    <row r="112" ht="34" customHeight="1">
      <c r="A112" s="34" t="inlineStr">
        <is>
          <t>R164-v1</t>
        </is>
      </c>
      <c r="B112" s="34" t="inlineStr">
        <is>
          <t>Contractor Programme</t>
        </is>
      </c>
      <c r="C112" s="34" t="inlineStr">
        <is>
          <t>SCH-01-164</t>
        </is>
      </c>
      <c r="D112" s="34" t="inlineStr">
        <is>
          <t>1.1.1 Guideway and Civil - Guideway Structures</t>
        </is>
      </c>
      <c r="E112" s="34" t="inlineStr">
        <is>
          <t>New</t>
        </is>
      </c>
      <c r="F112" s="14" t="inlineStr"/>
      <c r="G112" s="34" t="inlineStr">
        <is>
          <t>Source assignment -- not individually reviewed</t>
        </is>
      </c>
      <c r="H112" s="92" t="inlineStr">
        <is>
          <t>10 EVIDENCE &amp; DECISIONS</t>
        </is>
      </c>
    </row>
    <row r="113" ht="34" customHeight="1">
      <c r="A113" s="34" t="inlineStr">
        <is>
          <t>R166-v1</t>
        </is>
      </c>
      <c r="B113" s="34" t="inlineStr">
        <is>
          <t>Contractor Programme</t>
        </is>
      </c>
      <c r="C113" s="34" t="inlineStr">
        <is>
          <t>SCH-01-166</t>
        </is>
      </c>
      <c r="D113" s="34" t="inlineStr">
        <is>
          <t>1.1.1 Guideway and Civil - Guideway Structures</t>
        </is>
      </c>
      <c r="E113" s="34" t="inlineStr">
        <is>
          <t>New</t>
        </is>
      </c>
      <c r="F113" s="14" t="inlineStr"/>
      <c r="G113" s="34" t="inlineStr">
        <is>
          <t>Source assignment -- not individually reviewed</t>
        </is>
      </c>
      <c r="H113" s="92" t="inlineStr">
        <is>
          <t>10 EVIDENCE &amp; DECISIONS</t>
        </is>
      </c>
    </row>
    <row r="114" ht="34" customHeight="1">
      <c r="A114" s="34" t="inlineStr">
        <is>
          <t>R167-v1</t>
        </is>
      </c>
      <c r="B114" s="34" t="inlineStr">
        <is>
          <t>Contractor Programme</t>
        </is>
      </c>
      <c r="C114" s="34" t="inlineStr">
        <is>
          <t>SCH-01-167</t>
        </is>
      </c>
      <c r="D114" s="34" t="inlineStr">
        <is>
          <t>1.1.1 Guideway and Civil - Guideway Structures</t>
        </is>
      </c>
      <c r="E114" s="34" t="inlineStr">
        <is>
          <t>New</t>
        </is>
      </c>
      <c r="F114" s="14" t="inlineStr"/>
      <c r="G114" s="34" t="inlineStr">
        <is>
          <t>Source assignment -- not individually reviewed</t>
        </is>
      </c>
      <c r="H114" s="92" t="inlineStr">
        <is>
          <t>10 EVIDENCE &amp; DECISIONS</t>
        </is>
      </c>
    </row>
    <row r="115" ht="34" customHeight="1">
      <c r="A115" s="34" t="inlineStr">
        <is>
          <t>R169-v1</t>
        </is>
      </c>
      <c r="B115" s="34" t="inlineStr">
        <is>
          <t>Contractor Programme</t>
        </is>
      </c>
      <c r="C115" s="34" t="inlineStr">
        <is>
          <t>SCH-01-169</t>
        </is>
      </c>
      <c r="D115" s="34" t="inlineStr">
        <is>
          <t>1.1.1 Guideway and Civil - Guideway Structures</t>
        </is>
      </c>
      <c r="E115" s="34" t="inlineStr">
        <is>
          <t>New</t>
        </is>
      </c>
      <c r="F115" s="14" t="inlineStr"/>
      <c r="G115" s="34" t="inlineStr">
        <is>
          <t>Source assignment -- not individually reviewed</t>
        </is>
      </c>
      <c r="H115" s="92" t="inlineStr">
        <is>
          <t>10 EVIDENCE &amp; DECISIONS</t>
        </is>
      </c>
    </row>
    <row r="116" ht="34" customHeight="1">
      <c r="A116" s="34" t="inlineStr">
        <is>
          <t>R17-v1</t>
        </is>
      </c>
      <c r="B116" s="34" t="inlineStr">
        <is>
          <t>Contractor Programme</t>
        </is>
      </c>
      <c r="C116" s="34" t="inlineStr">
        <is>
          <t>SCH-01-017</t>
        </is>
      </c>
      <c r="D116" s="34" t="inlineStr">
        <is>
          <t>1.1.1 Guideway and Civil - Guideway Structures</t>
        </is>
      </c>
      <c r="E116" s="34" t="inlineStr">
        <is>
          <t>New</t>
        </is>
      </c>
      <c r="F116" s="14" t="inlineStr"/>
      <c r="G116" s="34" t="inlineStr">
        <is>
          <t>Source assignment -- not individually reviewed</t>
        </is>
      </c>
      <c r="H116" s="92" t="inlineStr">
        <is>
          <t>10 EVIDENCE &amp; DECISIONS</t>
        </is>
      </c>
    </row>
    <row r="117" ht="34" customHeight="1">
      <c r="A117" s="34" t="inlineStr">
        <is>
          <t>R170-v1</t>
        </is>
      </c>
      <c r="B117" s="34" t="inlineStr">
        <is>
          <t>Contractor Programme</t>
        </is>
      </c>
      <c r="C117" s="34" t="inlineStr">
        <is>
          <t>SCH-01-170</t>
        </is>
      </c>
      <c r="D117" s="34" t="inlineStr">
        <is>
          <t>1.1.1 Guideway and Civil - Guideway Structures</t>
        </is>
      </c>
      <c r="E117" s="34" t="inlineStr">
        <is>
          <t>New</t>
        </is>
      </c>
      <c r="F117" s="14" t="inlineStr"/>
      <c r="G117" s="34" t="inlineStr">
        <is>
          <t>Source assignment -- not individually reviewed</t>
        </is>
      </c>
      <c r="H117" s="92" t="inlineStr">
        <is>
          <t>10 EVIDENCE &amp; DECISIONS</t>
        </is>
      </c>
    </row>
    <row r="118" ht="34" customHeight="1">
      <c r="A118" s="34" t="inlineStr">
        <is>
          <t>R172-v1</t>
        </is>
      </c>
      <c r="B118" s="34" t="inlineStr">
        <is>
          <t>Contractor Programme</t>
        </is>
      </c>
      <c r="C118" s="34" t="inlineStr">
        <is>
          <t>SCH-01-172</t>
        </is>
      </c>
      <c r="D118" s="34" t="inlineStr">
        <is>
          <t>1.1.1 Guideway and Civil - Guideway Structures</t>
        </is>
      </c>
      <c r="E118" s="34" t="inlineStr">
        <is>
          <t>New</t>
        </is>
      </c>
      <c r="F118" s="14" t="inlineStr"/>
      <c r="G118" s="34" t="inlineStr">
        <is>
          <t>Source assignment -- not individually reviewed</t>
        </is>
      </c>
      <c r="H118" s="92" t="inlineStr">
        <is>
          <t>10 EVIDENCE &amp; DECISIONS</t>
        </is>
      </c>
    </row>
    <row r="119" ht="34" customHeight="1">
      <c r="A119" s="34" t="inlineStr">
        <is>
          <t>R173-v1</t>
        </is>
      </c>
      <c r="B119" s="34" t="inlineStr">
        <is>
          <t>Contractor Programme</t>
        </is>
      </c>
      <c r="C119" s="34" t="inlineStr">
        <is>
          <t>SCH-01-173</t>
        </is>
      </c>
      <c r="D119" s="34" t="inlineStr">
        <is>
          <t>1.1.1 Guideway and Civil - Guideway Structures</t>
        </is>
      </c>
      <c r="E119" s="34" t="inlineStr">
        <is>
          <t>New</t>
        </is>
      </c>
      <c r="F119" s="14" t="inlineStr"/>
      <c r="G119" s="34" t="inlineStr">
        <is>
          <t>Source assignment -- not individually reviewed</t>
        </is>
      </c>
      <c r="H119" s="92" t="inlineStr">
        <is>
          <t>10 EVIDENCE &amp; DECISIONS</t>
        </is>
      </c>
    </row>
    <row r="120" ht="34" customHeight="1">
      <c r="A120" s="34" t="inlineStr">
        <is>
          <t>R175-v1</t>
        </is>
      </c>
      <c r="B120" s="34" t="inlineStr">
        <is>
          <t>Contractor Programme</t>
        </is>
      </c>
      <c r="C120" s="34" t="inlineStr">
        <is>
          <t>SCH-01-175</t>
        </is>
      </c>
      <c r="D120" s="34" t="inlineStr">
        <is>
          <t>1.1.1 Guideway and Civil - Guideway Structures</t>
        </is>
      </c>
      <c r="E120" s="34" t="inlineStr">
        <is>
          <t>New</t>
        </is>
      </c>
      <c r="F120" s="14" t="inlineStr"/>
      <c r="G120" s="34" t="inlineStr">
        <is>
          <t>Source assignment -- not individually reviewed</t>
        </is>
      </c>
      <c r="H120" s="92" t="inlineStr">
        <is>
          <t>10 EVIDENCE &amp; DECISIONS</t>
        </is>
      </c>
    </row>
    <row r="121" ht="34" customHeight="1">
      <c r="A121" s="34" t="inlineStr">
        <is>
          <t>R176-v1</t>
        </is>
      </c>
      <c r="B121" s="34" t="inlineStr">
        <is>
          <t>Contractor Programme</t>
        </is>
      </c>
      <c r="C121" s="34" t="inlineStr">
        <is>
          <t>SCH-01-176</t>
        </is>
      </c>
      <c r="D121" s="34" t="inlineStr">
        <is>
          <t>1.1.1 Guideway and Civil - Guideway Structures</t>
        </is>
      </c>
      <c r="E121" s="34" t="inlineStr">
        <is>
          <t>New</t>
        </is>
      </c>
      <c r="F121" s="14" t="inlineStr"/>
      <c r="G121" s="34" t="inlineStr">
        <is>
          <t>Source assignment -- not individually reviewed</t>
        </is>
      </c>
      <c r="H121" s="92" t="inlineStr">
        <is>
          <t>10 EVIDENCE &amp; DECISIONS</t>
        </is>
      </c>
    </row>
    <row r="122" ht="34" customHeight="1">
      <c r="A122" s="34" t="inlineStr">
        <is>
          <t>R178-v1</t>
        </is>
      </c>
      <c r="B122" s="34" t="inlineStr">
        <is>
          <t>Contractor Programme</t>
        </is>
      </c>
      <c r="C122" s="34" t="inlineStr">
        <is>
          <t>SCH-01-178</t>
        </is>
      </c>
      <c r="D122" s="34" t="inlineStr">
        <is>
          <t>1.1.1 Guideway and Civil - Guideway Structures</t>
        </is>
      </c>
      <c r="E122" s="34" t="inlineStr">
        <is>
          <t>New</t>
        </is>
      </c>
      <c r="F122" s="14" t="inlineStr"/>
      <c r="G122" s="34" t="inlineStr">
        <is>
          <t>Source assignment -- not individually reviewed</t>
        </is>
      </c>
      <c r="H122" s="92" t="inlineStr">
        <is>
          <t>10 EVIDENCE &amp; DECISIONS</t>
        </is>
      </c>
    </row>
    <row r="123" ht="34" customHeight="1">
      <c r="A123" s="34" t="inlineStr">
        <is>
          <t>R179-v1</t>
        </is>
      </c>
      <c r="B123" s="34" t="inlineStr">
        <is>
          <t>Contractor Programme</t>
        </is>
      </c>
      <c r="C123" s="34" t="inlineStr">
        <is>
          <t>SCH-01-179</t>
        </is>
      </c>
      <c r="D123" s="34" t="inlineStr">
        <is>
          <t>1.1.1 Guideway and Civil - Guideway Structures</t>
        </is>
      </c>
      <c r="E123" s="34" t="inlineStr">
        <is>
          <t>New</t>
        </is>
      </c>
      <c r="F123" s="14" t="inlineStr"/>
      <c r="G123" s="34" t="inlineStr">
        <is>
          <t>Source assignment -- not individually reviewed</t>
        </is>
      </c>
      <c r="H123" s="92" t="inlineStr">
        <is>
          <t>10 EVIDENCE &amp; DECISIONS</t>
        </is>
      </c>
    </row>
    <row r="124" ht="34" customHeight="1">
      <c r="A124" s="34" t="inlineStr">
        <is>
          <t>R19-v1</t>
        </is>
      </c>
      <c r="B124" s="34" t="inlineStr">
        <is>
          <t>Contractor Programme</t>
        </is>
      </c>
      <c r="C124" s="34" t="inlineStr">
        <is>
          <t>SCH-01-019</t>
        </is>
      </c>
      <c r="D124" s="34" t="inlineStr">
        <is>
          <t>1.1.1 Guideway and Civil - Guideway Structures</t>
        </is>
      </c>
      <c r="E124" s="34" t="inlineStr">
        <is>
          <t>New</t>
        </is>
      </c>
      <c r="F124" s="14" t="inlineStr"/>
      <c r="G124" s="34" t="inlineStr">
        <is>
          <t>Source assignment -- not individually reviewed</t>
        </is>
      </c>
      <c r="H124" s="92" t="inlineStr">
        <is>
          <t>10 EVIDENCE &amp; DECISIONS</t>
        </is>
      </c>
    </row>
    <row r="125" ht="34" customHeight="1">
      <c r="A125" s="34" t="inlineStr">
        <is>
          <t>R2-v1</t>
        </is>
      </c>
      <c r="B125" s="34" t="inlineStr">
        <is>
          <t>Contractor Programme</t>
        </is>
      </c>
      <c r="C125" s="34" t="inlineStr">
        <is>
          <t>SCH-01-002</t>
        </is>
      </c>
      <c r="D125" s="34" t="inlineStr">
        <is>
          <t>1.1.1 Guideway and Civil - Guideway Structures</t>
        </is>
      </c>
      <c r="E125" s="34" t="inlineStr">
        <is>
          <t>New</t>
        </is>
      </c>
      <c r="F125" s="14" t="inlineStr"/>
      <c r="G125" s="34" t="inlineStr">
        <is>
          <t>Source assignment -- not individually reviewed</t>
        </is>
      </c>
      <c r="H125" s="92" t="inlineStr">
        <is>
          <t>10 EVIDENCE &amp; DECISIONS</t>
        </is>
      </c>
    </row>
    <row r="126" ht="34" customHeight="1">
      <c r="A126" s="34" t="inlineStr">
        <is>
          <t>R20-v1</t>
        </is>
      </c>
      <c r="B126" s="34" t="inlineStr">
        <is>
          <t>Contractor Programme</t>
        </is>
      </c>
      <c r="C126" s="34" t="inlineStr">
        <is>
          <t>SCH-01-020</t>
        </is>
      </c>
      <c r="D126" s="34" t="inlineStr">
        <is>
          <t>1.1.1 Guideway and Civil - Guideway Structures</t>
        </is>
      </c>
      <c r="E126" s="34" t="inlineStr">
        <is>
          <t>New</t>
        </is>
      </c>
      <c r="F126" s="14" t="inlineStr"/>
      <c r="G126" s="34" t="inlineStr">
        <is>
          <t>Source assignment -- not individually reviewed</t>
        </is>
      </c>
      <c r="H126" s="92" t="inlineStr">
        <is>
          <t>10 EVIDENCE &amp; DECISIONS</t>
        </is>
      </c>
    </row>
    <row r="127" ht="34" customHeight="1">
      <c r="A127" s="34" t="inlineStr">
        <is>
          <t>R22-v1</t>
        </is>
      </c>
      <c r="B127" s="34" t="inlineStr">
        <is>
          <t>Contractor Programme</t>
        </is>
      </c>
      <c r="C127" s="34" t="inlineStr">
        <is>
          <t>SCH-01-022</t>
        </is>
      </c>
      <c r="D127" s="34" t="inlineStr">
        <is>
          <t>1.1.1 Guideway and Civil - Guideway Structures</t>
        </is>
      </c>
      <c r="E127" s="34" t="inlineStr">
        <is>
          <t>New</t>
        </is>
      </c>
      <c r="F127" s="14" t="inlineStr"/>
      <c r="G127" s="34" t="inlineStr">
        <is>
          <t>Source assignment -- not individually reviewed</t>
        </is>
      </c>
      <c r="H127" s="92" t="inlineStr">
        <is>
          <t>10 EVIDENCE &amp; DECISIONS</t>
        </is>
      </c>
    </row>
    <row r="128" ht="34" customHeight="1">
      <c r="A128" s="34" t="inlineStr">
        <is>
          <t>R23-v1</t>
        </is>
      </c>
      <c r="B128" s="34" t="inlineStr">
        <is>
          <t>Contractor Programme</t>
        </is>
      </c>
      <c r="C128" s="34" t="inlineStr">
        <is>
          <t>SCH-01-023</t>
        </is>
      </c>
      <c r="D128" s="34" t="inlineStr">
        <is>
          <t>1.1.1 Guideway and Civil - Guideway Structures</t>
        </is>
      </c>
      <c r="E128" s="34" t="inlineStr">
        <is>
          <t>New</t>
        </is>
      </c>
      <c r="F128" s="14" t="inlineStr"/>
      <c r="G128" s="34" t="inlineStr">
        <is>
          <t>Source assignment -- not individually reviewed</t>
        </is>
      </c>
      <c r="H128" s="92" t="inlineStr">
        <is>
          <t>10 EVIDENCE &amp; DECISIONS</t>
        </is>
      </c>
    </row>
    <row r="129" ht="34" customHeight="1">
      <c r="A129" s="34" t="inlineStr">
        <is>
          <t>R25-v1</t>
        </is>
      </c>
      <c r="B129" s="34" t="inlineStr">
        <is>
          <t>Contractor Programme</t>
        </is>
      </c>
      <c r="C129" s="34" t="inlineStr">
        <is>
          <t>SCH-01-025</t>
        </is>
      </c>
      <c r="D129" s="34" t="inlineStr">
        <is>
          <t>1.1.1 Guideway and Civil - Guideway Structures</t>
        </is>
      </c>
      <c r="E129" s="34" t="inlineStr">
        <is>
          <t>New</t>
        </is>
      </c>
      <c r="F129" s="14" t="inlineStr"/>
      <c r="G129" s="34" t="inlineStr">
        <is>
          <t>Source assignment -- not individually reviewed</t>
        </is>
      </c>
      <c r="H129" s="92" t="inlineStr">
        <is>
          <t>10 EVIDENCE &amp; DECISIONS</t>
        </is>
      </c>
    </row>
    <row r="130" ht="34" customHeight="1">
      <c r="A130" s="34" t="inlineStr">
        <is>
          <t>R26-v1</t>
        </is>
      </c>
      <c r="B130" s="34" t="inlineStr">
        <is>
          <t>Contractor Programme</t>
        </is>
      </c>
      <c r="C130" s="34" t="inlineStr">
        <is>
          <t>SCH-01-026</t>
        </is>
      </c>
      <c r="D130" s="34" t="inlineStr">
        <is>
          <t>1.1.1 Guideway and Civil - Guideway Structures</t>
        </is>
      </c>
      <c r="E130" s="34" t="inlineStr">
        <is>
          <t>New</t>
        </is>
      </c>
      <c r="F130" s="14" t="inlineStr"/>
      <c r="G130" s="34" t="inlineStr">
        <is>
          <t>Source assignment -- not individually reviewed</t>
        </is>
      </c>
      <c r="H130" s="92" t="inlineStr">
        <is>
          <t>10 EVIDENCE &amp; DECISIONS</t>
        </is>
      </c>
    </row>
    <row r="131" ht="34" customHeight="1">
      <c r="A131" s="34" t="inlineStr">
        <is>
          <t>R28-v1</t>
        </is>
      </c>
      <c r="B131" s="34" t="inlineStr">
        <is>
          <t>Contractor Programme</t>
        </is>
      </c>
      <c r="C131" s="34" t="inlineStr">
        <is>
          <t>SCH-01-028</t>
        </is>
      </c>
      <c r="D131" s="34" t="inlineStr">
        <is>
          <t>1.1.1 Guideway and Civil - Guideway Structures</t>
        </is>
      </c>
      <c r="E131" s="34" t="inlineStr">
        <is>
          <t>New</t>
        </is>
      </c>
      <c r="F131" s="14" t="inlineStr"/>
      <c r="G131" s="34" t="inlineStr">
        <is>
          <t>Source assignment -- not individually reviewed</t>
        </is>
      </c>
      <c r="H131" s="92" t="inlineStr">
        <is>
          <t>10 EVIDENCE &amp; DECISIONS</t>
        </is>
      </c>
    </row>
    <row r="132" ht="34" customHeight="1">
      <c r="A132" s="34" t="inlineStr">
        <is>
          <t>R29-v1</t>
        </is>
      </c>
      <c r="B132" s="34" t="inlineStr">
        <is>
          <t>Contractor Programme</t>
        </is>
      </c>
      <c r="C132" s="34" t="inlineStr">
        <is>
          <t>SCH-01-029</t>
        </is>
      </c>
      <c r="D132" s="34" t="inlineStr">
        <is>
          <t>1.1.1 Guideway and Civil - Guideway Structures</t>
        </is>
      </c>
      <c r="E132" s="34" t="inlineStr">
        <is>
          <t>New</t>
        </is>
      </c>
      <c r="F132" s="14" t="inlineStr"/>
      <c r="G132" s="34" t="inlineStr">
        <is>
          <t>Source assignment -- not individually reviewed</t>
        </is>
      </c>
      <c r="H132" s="92" t="inlineStr">
        <is>
          <t>10 EVIDENCE &amp; DECISIONS</t>
        </is>
      </c>
    </row>
    <row r="133" ht="34" customHeight="1">
      <c r="A133" s="34" t="inlineStr">
        <is>
          <t>R31-v1</t>
        </is>
      </c>
      <c r="B133" s="34" t="inlineStr">
        <is>
          <t>Contractor Programme</t>
        </is>
      </c>
      <c r="C133" s="34" t="inlineStr">
        <is>
          <t>SCH-01-031</t>
        </is>
      </c>
      <c r="D133" s="34" t="inlineStr">
        <is>
          <t>1.1.1 Guideway and Civil - Guideway Structures</t>
        </is>
      </c>
      <c r="E133" s="34" t="inlineStr">
        <is>
          <t>New</t>
        </is>
      </c>
      <c r="F133" s="14" t="inlineStr"/>
      <c r="G133" s="34" t="inlineStr">
        <is>
          <t>Source assignment -- not individually reviewed</t>
        </is>
      </c>
      <c r="H133" s="92" t="inlineStr">
        <is>
          <t>10 EVIDENCE &amp; DECISIONS</t>
        </is>
      </c>
    </row>
    <row r="134" ht="34" customHeight="1">
      <c r="A134" s="34" t="inlineStr">
        <is>
          <t>R32-v1</t>
        </is>
      </c>
      <c r="B134" s="34" t="inlineStr">
        <is>
          <t>Contractor Programme</t>
        </is>
      </c>
      <c r="C134" s="34" t="inlineStr">
        <is>
          <t>SCH-01-032</t>
        </is>
      </c>
      <c r="D134" s="34" t="inlineStr">
        <is>
          <t>1.1.1 Guideway and Civil - Guideway Structures</t>
        </is>
      </c>
      <c r="E134" s="34" t="inlineStr">
        <is>
          <t>New</t>
        </is>
      </c>
      <c r="F134" s="14" t="inlineStr"/>
      <c r="G134" s="34" t="inlineStr">
        <is>
          <t>Source assignment -- not individually reviewed</t>
        </is>
      </c>
      <c r="H134" s="92" t="inlineStr">
        <is>
          <t>10 EVIDENCE &amp; DECISIONS</t>
        </is>
      </c>
    </row>
    <row r="135" ht="34" customHeight="1">
      <c r="A135" s="34" t="inlineStr">
        <is>
          <t>R34-v1</t>
        </is>
      </c>
      <c r="B135" s="34" t="inlineStr">
        <is>
          <t>Contractor Programme</t>
        </is>
      </c>
      <c r="C135" s="34" t="inlineStr">
        <is>
          <t>SCH-01-034</t>
        </is>
      </c>
      <c r="D135" s="34" t="inlineStr">
        <is>
          <t>1.1.1 Guideway and Civil - Guideway Structures</t>
        </is>
      </c>
      <c r="E135" s="34" t="inlineStr">
        <is>
          <t>New</t>
        </is>
      </c>
      <c r="F135" s="14" t="inlineStr"/>
      <c r="G135" s="34" t="inlineStr">
        <is>
          <t>Source assignment -- not individually reviewed</t>
        </is>
      </c>
      <c r="H135" s="92" t="inlineStr">
        <is>
          <t>10 EVIDENCE &amp; DECISIONS</t>
        </is>
      </c>
    </row>
    <row r="136" ht="34" customHeight="1">
      <c r="A136" s="34" t="inlineStr">
        <is>
          <t>R35-v1</t>
        </is>
      </c>
      <c r="B136" s="34" t="inlineStr">
        <is>
          <t>Contractor Programme</t>
        </is>
      </c>
      <c r="C136" s="34" t="inlineStr">
        <is>
          <t>SCH-01-035</t>
        </is>
      </c>
      <c r="D136" s="34" t="inlineStr">
        <is>
          <t>1.1.1 Guideway and Civil - Guideway Structures</t>
        </is>
      </c>
      <c r="E136" s="34" t="inlineStr">
        <is>
          <t>New</t>
        </is>
      </c>
      <c r="F136" s="14" t="inlineStr"/>
      <c r="G136" s="34" t="inlineStr">
        <is>
          <t>Source assignment -- not individually reviewed</t>
        </is>
      </c>
      <c r="H136" s="92" t="inlineStr">
        <is>
          <t>10 EVIDENCE &amp; DECISIONS</t>
        </is>
      </c>
    </row>
    <row r="137" ht="34" customHeight="1">
      <c r="A137" s="34" t="inlineStr">
        <is>
          <t>R37-v1</t>
        </is>
      </c>
      <c r="B137" s="34" t="inlineStr">
        <is>
          <t>Contractor Programme</t>
        </is>
      </c>
      <c r="C137" s="34" t="inlineStr">
        <is>
          <t>SCH-01-037</t>
        </is>
      </c>
      <c r="D137" s="34" t="inlineStr">
        <is>
          <t>1.1.1 Guideway and Civil - Guideway Structures</t>
        </is>
      </c>
      <c r="E137" s="34" t="inlineStr">
        <is>
          <t>New</t>
        </is>
      </c>
      <c r="F137" s="14" t="inlineStr"/>
      <c r="G137" s="34" t="inlineStr">
        <is>
          <t>Source assignment -- not individually reviewed</t>
        </is>
      </c>
      <c r="H137" s="92" t="inlineStr">
        <is>
          <t>10 EVIDENCE &amp; DECISIONS</t>
        </is>
      </c>
    </row>
    <row r="138" ht="34" customHeight="1">
      <c r="A138" s="34" t="inlineStr">
        <is>
          <t>R38-v1</t>
        </is>
      </c>
      <c r="B138" s="34" t="inlineStr">
        <is>
          <t>Contractor Programme</t>
        </is>
      </c>
      <c r="C138" s="34" t="inlineStr">
        <is>
          <t>SCH-01-038</t>
        </is>
      </c>
      <c r="D138" s="34" t="inlineStr">
        <is>
          <t>1.1.1 Guideway and Civil - Guideway Structures</t>
        </is>
      </c>
      <c r="E138" s="34" t="inlineStr">
        <is>
          <t>New</t>
        </is>
      </c>
      <c r="F138" s="14" t="inlineStr"/>
      <c r="G138" s="34" t="inlineStr">
        <is>
          <t>Source assignment -- not individually reviewed</t>
        </is>
      </c>
      <c r="H138" s="92" t="inlineStr">
        <is>
          <t>10 EVIDENCE &amp; DECISIONS</t>
        </is>
      </c>
    </row>
    <row r="139" ht="34" customHeight="1">
      <c r="A139" s="34" t="inlineStr">
        <is>
          <t>R4-v1</t>
        </is>
      </c>
      <c r="B139" s="34" t="inlineStr">
        <is>
          <t>Contractor Programme</t>
        </is>
      </c>
      <c r="C139" s="34" t="inlineStr">
        <is>
          <t>SCH-01-004</t>
        </is>
      </c>
      <c r="D139" s="34" t="inlineStr">
        <is>
          <t>1.1.1 Guideway and Civil - Guideway Structures</t>
        </is>
      </c>
      <c r="E139" s="34" t="inlineStr">
        <is>
          <t>New</t>
        </is>
      </c>
      <c r="F139" s="14" t="inlineStr"/>
      <c r="G139" s="34" t="inlineStr">
        <is>
          <t>Source assignment -- not individually reviewed</t>
        </is>
      </c>
      <c r="H139" s="92" t="inlineStr">
        <is>
          <t>10 EVIDENCE &amp; DECISIONS</t>
        </is>
      </c>
    </row>
    <row r="140" ht="34" customHeight="1">
      <c r="A140" s="34" t="inlineStr">
        <is>
          <t>R40-v1</t>
        </is>
      </c>
      <c r="B140" s="34" t="inlineStr">
        <is>
          <t>Contractor Programme</t>
        </is>
      </c>
      <c r="C140" s="34" t="inlineStr">
        <is>
          <t>SCH-01-040</t>
        </is>
      </c>
      <c r="D140" s="34" t="inlineStr">
        <is>
          <t>1.1.1 Guideway and Civil - Guideway Structures</t>
        </is>
      </c>
      <c r="E140" s="34" t="inlineStr">
        <is>
          <t>New</t>
        </is>
      </c>
      <c r="F140" s="14" t="inlineStr"/>
      <c r="G140" s="34" t="inlineStr">
        <is>
          <t>Source assignment -- not individually reviewed</t>
        </is>
      </c>
      <c r="H140" s="92" t="inlineStr">
        <is>
          <t>10 EVIDENCE &amp; DECISIONS</t>
        </is>
      </c>
    </row>
    <row r="141" ht="34" customHeight="1">
      <c r="A141" s="34" t="inlineStr">
        <is>
          <t>R41-v1</t>
        </is>
      </c>
      <c r="B141" s="34" t="inlineStr">
        <is>
          <t>Contractor Programme</t>
        </is>
      </c>
      <c r="C141" s="34" t="inlineStr">
        <is>
          <t>SCH-01-041</t>
        </is>
      </c>
      <c r="D141" s="34" t="inlineStr">
        <is>
          <t>1.1.1 Guideway and Civil - Guideway Structures</t>
        </is>
      </c>
      <c r="E141" s="34" t="inlineStr">
        <is>
          <t>New</t>
        </is>
      </c>
      <c r="F141" s="14" t="inlineStr"/>
      <c r="G141" s="34" t="inlineStr">
        <is>
          <t>Source assignment -- not individually reviewed</t>
        </is>
      </c>
      <c r="H141" s="92" t="inlineStr">
        <is>
          <t>10 EVIDENCE &amp; DECISIONS</t>
        </is>
      </c>
    </row>
    <row r="142" ht="34" customHeight="1">
      <c r="A142" s="34" t="inlineStr">
        <is>
          <t>R43-v1</t>
        </is>
      </c>
      <c r="B142" s="34" t="inlineStr">
        <is>
          <t>Contractor Programme</t>
        </is>
      </c>
      <c r="C142" s="34" t="inlineStr">
        <is>
          <t>SCH-01-043</t>
        </is>
      </c>
      <c r="D142" s="34" t="inlineStr">
        <is>
          <t>1.1.1 Guideway and Civil - Guideway Structures</t>
        </is>
      </c>
      <c r="E142" s="34" t="inlineStr">
        <is>
          <t>New</t>
        </is>
      </c>
      <c r="F142" s="14" t="inlineStr"/>
      <c r="G142" s="34" t="inlineStr">
        <is>
          <t>Source assignment -- not individually reviewed</t>
        </is>
      </c>
      <c r="H142" s="92" t="inlineStr">
        <is>
          <t>10 EVIDENCE &amp; DECISIONS</t>
        </is>
      </c>
    </row>
    <row r="143" ht="34" customHeight="1">
      <c r="A143" s="34" t="inlineStr">
        <is>
          <t>R44-v1</t>
        </is>
      </c>
      <c r="B143" s="34" t="inlineStr">
        <is>
          <t>Contractor Programme</t>
        </is>
      </c>
      <c r="C143" s="34" t="inlineStr">
        <is>
          <t>SCH-01-044</t>
        </is>
      </c>
      <c r="D143" s="34" t="inlineStr">
        <is>
          <t>1.1.1 Guideway and Civil - Guideway Structures</t>
        </is>
      </c>
      <c r="E143" s="34" t="inlineStr">
        <is>
          <t>New</t>
        </is>
      </c>
      <c r="F143" s="14" t="inlineStr"/>
      <c r="G143" s="34" t="inlineStr">
        <is>
          <t>Source assignment -- not individually reviewed</t>
        </is>
      </c>
      <c r="H143" s="92" t="inlineStr">
        <is>
          <t>10 EVIDENCE &amp; DECISIONS</t>
        </is>
      </c>
    </row>
    <row r="144" ht="34" customHeight="1">
      <c r="A144" s="34" t="inlineStr">
        <is>
          <t>R46-v1</t>
        </is>
      </c>
      <c r="B144" s="34" t="inlineStr">
        <is>
          <t>Contractor Programme</t>
        </is>
      </c>
      <c r="C144" s="34" t="inlineStr">
        <is>
          <t>SCH-01-046</t>
        </is>
      </c>
      <c r="D144" s="34" t="inlineStr">
        <is>
          <t>1.1.1 Guideway and Civil - Guideway Structures</t>
        </is>
      </c>
      <c r="E144" s="34" t="inlineStr">
        <is>
          <t>New</t>
        </is>
      </c>
      <c r="F144" s="14" t="inlineStr"/>
      <c r="G144" s="34" t="inlineStr">
        <is>
          <t>Source assignment -- not individually reviewed</t>
        </is>
      </c>
      <c r="H144" s="92" t="inlineStr">
        <is>
          <t>10 EVIDENCE &amp; DECISIONS</t>
        </is>
      </c>
    </row>
    <row r="145" ht="34" customHeight="1">
      <c r="A145" s="34" t="inlineStr">
        <is>
          <t>R47-v1</t>
        </is>
      </c>
      <c r="B145" s="34" t="inlineStr">
        <is>
          <t>Contractor Programme</t>
        </is>
      </c>
      <c r="C145" s="34" t="inlineStr">
        <is>
          <t>SCH-01-047</t>
        </is>
      </c>
      <c r="D145" s="34" t="inlineStr">
        <is>
          <t>1.1.1 Guideway and Civil - Guideway Structures</t>
        </is>
      </c>
      <c r="E145" s="34" t="inlineStr">
        <is>
          <t>New</t>
        </is>
      </c>
      <c r="F145" s="14" t="inlineStr"/>
      <c r="G145" s="34" t="inlineStr">
        <is>
          <t>Source assignment -- not individually reviewed</t>
        </is>
      </c>
      <c r="H145" s="92" t="inlineStr">
        <is>
          <t>10 EVIDENCE &amp; DECISIONS</t>
        </is>
      </c>
    </row>
    <row r="146" ht="34" customHeight="1">
      <c r="A146" s="34" t="inlineStr">
        <is>
          <t>R49-v1</t>
        </is>
      </c>
      <c r="B146" s="34" t="inlineStr">
        <is>
          <t>Contractor Programme</t>
        </is>
      </c>
      <c r="C146" s="34" t="inlineStr">
        <is>
          <t>SCH-01-049</t>
        </is>
      </c>
      <c r="D146" s="34" t="inlineStr">
        <is>
          <t>1.1.1 Guideway and Civil - Guideway Structures</t>
        </is>
      </c>
      <c r="E146" s="34" t="inlineStr">
        <is>
          <t>New</t>
        </is>
      </c>
      <c r="F146" s="14" t="inlineStr"/>
      <c r="G146" s="34" t="inlineStr">
        <is>
          <t>Source assignment -- not individually reviewed</t>
        </is>
      </c>
      <c r="H146" s="92" t="inlineStr">
        <is>
          <t>10 EVIDENCE &amp; DECISIONS</t>
        </is>
      </c>
    </row>
    <row r="147" ht="34" customHeight="1">
      <c r="A147" s="34" t="inlineStr">
        <is>
          <t>R5-v1</t>
        </is>
      </c>
      <c r="B147" s="34" t="inlineStr">
        <is>
          <t>Contractor Programme</t>
        </is>
      </c>
      <c r="C147" s="34" t="inlineStr">
        <is>
          <t>SCH-01-005</t>
        </is>
      </c>
      <c r="D147" s="34" t="inlineStr">
        <is>
          <t>1.1.1 Guideway and Civil - Guideway Structures</t>
        </is>
      </c>
      <c r="E147" s="34" t="inlineStr">
        <is>
          <t>New</t>
        </is>
      </c>
      <c r="F147" s="14" t="inlineStr"/>
      <c r="G147" s="34" t="inlineStr">
        <is>
          <t>Source assignment -- not individually reviewed</t>
        </is>
      </c>
      <c r="H147" s="92" t="inlineStr">
        <is>
          <t>10 EVIDENCE &amp; DECISIONS</t>
        </is>
      </c>
    </row>
    <row r="148" ht="34" customHeight="1">
      <c r="A148" s="34" t="inlineStr">
        <is>
          <t>R50-v1</t>
        </is>
      </c>
      <c r="B148" s="34" t="inlineStr">
        <is>
          <t>Contractor Programme</t>
        </is>
      </c>
      <c r="C148" s="34" t="inlineStr">
        <is>
          <t>SCH-01-050</t>
        </is>
      </c>
      <c r="D148" s="34" t="inlineStr">
        <is>
          <t>1.1.1 Guideway and Civil - Guideway Structures</t>
        </is>
      </c>
      <c r="E148" s="34" t="inlineStr">
        <is>
          <t>New</t>
        </is>
      </c>
      <c r="F148" s="14" t="inlineStr"/>
      <c r="G148" s="34" t="inlineStr">
        <is>
          <t>Source assignment -- not individually reviewed</t>
        </is>
      </c>
      <c r="H148" s="92" t="inlineStr">
        <is>
          <t>10 EVIDENCE &amp; DECISIONS</t>
        </is>
      </c>
    </row>
    <row r="149" ht="34" customHeight="1">
      <c r="A149" s="34" t="inlineStr">
        <is>
          <t>R52-v1</t>
        </is>
      </c>
      <c r="B149" s="34" t="inlineStr">
        <is>
          <t>Contractor Programme</t>
        </is>
      </c>
      <c r="C149" s="34" t="inlineStr">
        <is>
          <t>SCH-01-052</t>
        </is>
      </c>
      <c r="D149" s="34" t="inlineStr">
        <is>
          <t>1.1.1 Guideway and Civil - Guideway Structures</t>
        </is>
      </c>
      <c r="E149" s="34" t="inlineStr">
        <is>
          <t>New</t>
        </is>
      </c>
      <c r="F149" s="14" t="inlineStr"/>
      <c r="G149" s="34" t="inlineStr">
        <is>
          <t>Source assignment -- not individually reviewed</t>
        </is>
      </c>
      <c r="H149" s="92" t="inlineStr">
        <is>
          <t>10 EVIDENCE &amp; DECISIONS</t>
        </is>
      </c>
    </row>
    <row r="150" ht="34" customHeight="1">
      <c r="A150" s="34" t="inlineStr">
        <is>
          <t>R53-v1</t>
        </is>
      </c>
      <c r="B150" s="34" t="inlineStr">
        <is>
          <t>Contractor Programme</t>
        </is>
      </c>
      <c r="C150" s="34" t="inlineStr">
        <is>
          <t>SCH-01-053</t>
        </is>
      </c>
      <c r="D150" s="34" t="inlineStr">
        <is>
          <t>1.1.1 Guideway and Civil - Guideway Structures</t>
        </is>
      </c>
      <c r="E150" s="34" t="inlineStr">
        <is>
          <t>New</t>
        </is>
      </c>
      <c r="F150" s="14" t="inlineStr"/>
      <c r="G150" s="34" t="inlineStr">
        <is>
          <t>Source assignment -- not individually reviewed</t>
        </is>
      </c>
      <c r="H150" s="92" t="inlineStr">
        <is>
          <t>10 EVIDENCE &amp; DECISIONS</t>
        </is>
      </c>
    </row>
    <row r="151" ht="34" customHeight="1">
      <c r="A151" s="34" t="inlineStr">
        <is>
          <t>R55-v1</t>
        </is>
      </c>
      <c r="B151" s="34" t="inlineStr">
        <is>
          <t>Contractor Programme</t>
        </is>
      </c>
      <c r="C151" s="34" t="inlineStr">
        <is>
          <t>SCH-01-055</t>
        </is>
      </c>
      <c r="D151" s="34" t="inlineStr">
        <is>
          <t>1.1.1 Guideway and Civil - Guideway Structures</t>
        </is>
      </c>
      <c r="E151" s="34" t="inlineStr">
        <is>
          <t>New</t>
        </is>
      </c>
      <c r="F151" s="14" t="inlineStr"/>
      <c r="G151" s="34" t="inlineStr">
        <is>
          <t>Source assignment -- not individually reviewed</t>
        </is>
      </c>
      <c r="H151" s="92" t="inlineStr">
        <is>
          <t>10 EVIDENCE &amp; DECISIONS</t>
        </is>
      </c>
    </row>
    <row r="152" ht="34" customHeight="1">
      <c r="A152" s="34" t="inlineStr">
        <is>
          <t>R56-v1</t>
        </is>
      </c>
      <c r="B152" s="34" t="inlineStr">
        <is>
          <t>Contractor Programme</t>
        </is>
      </c>
      <c r="C152" s="34" t="inlineStr">
        <is>
          <t>SCH-01-056</t>
        </is>
      </c>
      <c r="D152" s="34" t="inlineStr">
        <is>
          <t>1.1.1 Guideway and Civil - Guideway Structures</t>
        </is>
      </c>
      <c r="E152" s="34" t="inlineStr">
        <is>
          <t>New</t>
        </is>
      </c>
      <c r="F152" s="14" t="inlineStr"/>
      <c r="G152" s="34" t="inlineStr">
        <is>
          <t>Source assignment -- not individually reviewed</t>
        </is>
      </c>
      <c r="H152" s="92" t="inlineStr">
        <is>
          <t>10 EVIDENCE &amp; DECISIONS</t>
        </is>
      </c>
    </row>
    <row r="153" ht="34" customHeight="1">
      <c r="A153" s="34" t="inlineStr">
        <is>
          <t>R58-v1</t>
        </is>
      </c>
      <c r="B153" s="34" t="inlineStr">
        <is>
          <t>Contractor Programme</t>
        </is>
      </c>
      <c r="C153" s="34" t="inlineStr">
        <is>
          <t>SCH-01-058</t>
        </is>
      </c>
      <c r="D153" s="34" t="inlineStr">
        <is>
          <t>1.1.1 Guideway and Civil - Guideway Structures</t>
        </is>
      </c>
      <c r="E153" s="34" t="inlineStr">
        <is>
          <t>New</t>
        </is>
      </c>
      <c r="F153" s="14" t="inlineStr"/>
      <c r="G153" s="34" t="inlineStr">
        <is>
          <t>Source assignment -- not individually reviewed</t>
        </is>
      </c>
      <c r="H153" s="92" t="inlineStr">
        <is>
          <t>10 EVIDENCE &amp; DECISIONS</t>
        </is>
      </c>
    </row>
    <row r="154" ht="34" customHeight="1">
      <c r="A154" s="34" t="inlineStr">
        <is>
          <t>R59-v1</t>
        </is>
      </c>
      <c r="B154" s="34" t="inlineStr">
        <is>
          <t>Contractor Programme</t>
        </is>
      </c>
      <c r="C154" s="34" t="inlineStr">
        <is>
          <t>SCH-01-059</t>
        </is>
      </c>
      <c r="D154" s="34" t="inlineStr">
        <is>
          <t>1.1.1 Guideway and Civil - Guideway Structures</t>
        </is>
      </c>
      <c r="E154" s="34" t="inlineStr">
        <is>
          <t>New</t>
        </is>
      </c>
      <c r="F154" s="14" t="inlineStr"/>
      <c r="G154" s="34" t="inlineStr">
        <is>
          <t>Source assignment -- not individually reviewed</t>
        </is>
      </c>
      <c r="H154" s="92" t="inlineStr">
        <is>
          <t>10 EVIDENCE &amp; DECISIONS</t>
        </is>
      </c>
    </row>
    <row r="155" ht="34" customHeight="1">
      <c r="A155" s="34" t="inlineStr">
        <is>
          <t>R61-v1</t>
        </is>
      </c>
      <c r="B155" s="34" t="inlineStr">
        <is>
          <t>Contractor Programme</t>
        </is>
      </c>
      <c r="C155" s="34" t="inlineStr">
        <is>
          <t>SCH-01-061</t>
        </is>
      </c>
      <c r="D155" s="34" t="inlineStr">
        <is>
          <t>1.1.1 Guideway and Civil - Guideway Structures</t>
        </is>
      </c>
      <c r="E155" s="34" t="inlineStr">
        <is>
          <t>New</t>
        </is>
      </c>
      <c r="F155" s="14" t="inlineStr"/>
      <c r="G155" s="34" t="inlineStr">
        <is>
          <t>Source assignment -- not individually reviewed</t>
        </is>
      </c>
      <c r="H155" s="92" t="inlineStr">
        <is>
          <t>10 EVIDENCE &amp; DECISIONS</t>
        </is>
      </c>
    </row>
    <row r="156" ht="34" customHeight="1">
      <c r="A156" s="34" t="inlineStr">
        <is>
          <t>R62-v1</t>
        </is>
      </c>
      <c r="B156" s="34" t="inlineStr">
        <is>
          <t>Contractor Programme</t>
        </is>
      </c>
      <c r="C156" s="34" t="inlineStr">
        <is>
          <t>SCH-01-062</t>
        </is>
      </c>
      <c r="D156" s="34" t="inlineStr">
        <is>
          <t>1.1.1 Guideway and Civil - Guideway Structures</t>
        </is>
      </c>
      <c r="E156" s="34" t="inlineStr">
        <is>
          <t>New</t>
        </is>
      </c>
      <c r="F156" s="14" t="inlineStr"/>
      <c r="G156" s="34" t="inlineStr">
        <is>
          <t>Source assignment -- not individually reviewed</t>
        </is>
      </c>
      <c r="H156" s="92" t="inlineStr">
        <is>
          <t>10 EVIDENCE &amp; DECISIONS</t>
        </is>
      </c>
    </row>
    <row r="157" ht="34" customHeight="1">
      <c r="A157" s="34" t="inlineStr">
        <is>
          <t>R64-v1</t>
        </is>
      </c>
      <c r="B157" s="34" t="inlineStr">
        <is>
          <t>Contractor Programme</t>
        </is>
      </c>
      <c r="C157" s="34" t="inlineStr">
        <is>
          <t>SCH-01-064</t>
        </is>
      </c>
      <c r="D157" s="34" t="inlineStr">
        <is>
          <t>1.1.1 Guideway and Civil - Guideway Structures</t>
        </is>
      </c>
      <c r="E157" s="34" t="inlineStr">
        <is>
          <t>New</t>
        </is>
      </c>
      <c r="F157" s="14" t="inlineStr"/>
      <c r="G157" s="34" t="inlineStr">
        <is>
          <t>Source assignment -- not individually reviewed</t>
        </is>
      </c>
      <c r="H157" s="92" t="inlineStr">
        <is>
          <t>10 EVIDENCE &amp; DECISIONS</t>
        </is>
      </c>
    </row>
    <row r="158" ht="34" customHeight="1">
      <c r="A158" s="34" t="inlineStr">
        <is>
          <t>R65-v1</t>
        </is>
      </c>
      <c r="B158" s="34" t="inlineStr">
        <is>
          <t>Contractor Programme</t>
        </is>
      </c>
      <c r="C158" s="34" t="inlineStr">
        <is>
          <t>SCH-01-065</t>
        </is>
      </c>
      <c r="D158" s="34" t="inlineStr">
        <is>
          <t>1.1.1 Guideway and Civil - Guideway Structures</t>
        </is>
      </c>
      <c r="E158" s="34" t="inlineStr">
        <is>
          <t>New</t>
        </is>
      </c>
      <c r="F158" s="14" t="inlineStr"/>
      <c r="G158" s="34" t="inlineStr">
        <is>
          <t>Source assignment -- not individually reviewed</t>
        </is>
      </c>
      <c r="H158" s="92" t="inlineStr">
        <is>
          <t>10 EVIDENCE &amp; DECISIONS</t>
        </is>
      </c>
    </row>
    <row r="159" ht="34" customHeight="1">
      <c r="A159" s="34" t="inlineStr">
        <is>
          <t>R67-v1</t>
        </is>
      </c>
      <c r="B159" s="34" t="inlineStr">
        <is>
          <t>Contractor Programme</t>
        </is>
      </c>
      <c r="C159" s="34" t="inlineStr">
        <is>
          <t>SCH-01-067</t>
        </is>
      </c>
      <c r="D159" s="34" t="inlineStr">
        <is>
          <t>1.1.1 Guideway and Civil - Guideway Structures</t>
        </is>
      </c>
      <c r="E159" s="34" t="inlineStr">
        <is>
          <t>New</t>
        </is>
      </c>
      <c r="F159" s="14" t="inlineStr"/>
      <c r="G159" s="34" t="inlineStr">
        <is>
          <t>Source assignment -- not individually reviewed</t>
        </is>
      </c>
      <c r="H159" s="92" t="inlineStr">
        <is>
          <t>10 EVIDENCE &amp; DECISIONS</t>
        </is>
      </c>
    </row>
    <row r="160" ht="34" customHeight="1">
      <c r="A160" s="34" t="inlineStr">
        <is>
          <t>R68-v1</t>
        </is>
      </c>
      <c r="B160" s="34" t="inlineStr">
        <is>
          <t>Contractor Programme</t>
        </is>
      </c>
      <c r="C160" s="34" t="inlineStr">
        <is>
          <t>SCH-01-068</t>
        </is>
      </c>
      <c r="D160" s="34" t="inlineStr">
        <is>
          <t>1.1.1 Guideway and Civil - Guideway Structures</t>
        </is>
      </c>
      <c r="E160" s="34" t="inlineStr">
        <is>
          <t>New</t>
        </is>
      </c>
      <c r="F160" s="14" t="inlineStr"/>
      <c r="G160" s="34" t="inlineStr">
        <is>
          <t>Source assignment -- not individually reviewed</t>
        </is>
      </c>
      <c r="H160" s="92" t="inlineStr">
        <is>
          <t>10 EVIDENCE &amp; DECISIONS</t>
        </is>
      </c>
    </row>
    <row r="161" ht="34" customHeight="1">
      <c r="A161" s="34" t="inlineStr">
        <is>
          <t>R7-v1</t>
        </is>
      </c>
      <c r="B161" s="34" t="inlineStr">
        <is>
          <t>Contractor Programme</t>
        </is>
      </c>
      <c r="C161" s="34" t="inlineStr">
        <is>
          <t>SCH-01-007</t>
        </is>
      </c>
      <c r="D161" s="34" t="inlineStr">
        <is>
          <t>1.1.1 Guideway and Civil - Guideway Structures</t>
        </is>
      </c>
      <c r="E161" s="34" t="inlineStr">
        <is>
          <t>New</t>
        </is>
      </c>
      <c r="F161" s="14" t="inlineStr"/>
      <c r="G161" s="34" t="inlineStr">
        <is>
          <t>Source assignment -- not individually reviewed</t>
        </is>
      </c>
      <c r="H161" s="92" t="inlineStr">
        <is>
          <t>10 EVIDENCE &amp; DECISIONS</t>
        </is>
      </c>
    </row>
    <row r="162" ht="34" customHeight="1">
      <c r="A162" s="34" t="inlineStr">
        <is>
          <t>R70-v1</t>
        </is>
      </c>
      <c r="B162" s="34" t="inlineStr">
        <is>
          <t>Contractor Programme</t>
        </is>
      </c>
      <c r="C162" s="34" t="inlineStr">
        <is>
          <t>SCH-01-070</t>
        </is>
      </c>
      <c r="D162" s="34" t="inlineStr">
        <is>
          <t>1.1.1 Guideway and Civil - Guideway Structures</t>
        </is>
      </c>
      <c r="E162" s="34" t="inlineStr">
        <is>
          <t>New</t>
        </is>
      </c>
      <c r="F162" s="14" t="inlineStr"/>
      <c r="G162" s="34" t="inlineStr">
        <is>
          <t>Source assignment -- not individually reviewed</t>
        </is>
      </c>
      <c r="H162" s="92" t="inlineStr">
        <is>
          <t>10 EVIDENCE &amp; DECISIONS</t>
        </is>
      </c>
    </row>
    <row r="163" ht="34" customHeight="1">
      <c r="A163" s="34" t="inlineStr">
        <is>
          <t>R71-v1</t>
        </is>
      </c>
      <c r="B163" s="34" t="inlineStr">
        <is>
          <t>Contractor Programme</t>
        </is>
      </c>
      <c r="C163" s="34" t="inlineStr">
        <is>
          <t>SCH-01-071</t>
        </is>
      </c>
      <c r="D163" s="34" t="inlineStr">
        <is>
          <t>1.1.1 Guideway and Civil - Guideway Structures</t>
        </is>
      </c>
      <c r="E163" s="34" t="inlineStr">
        <is>
          <t>New</t>
        </is>
      </c>
      <c r="F163" s="14" t="inlineStr"/>
      <c r="G163" s="34" t="inlineStr">
        <is>
          <t>Source assignment -- not individually reviewed</t>
        </is>
      </c>
      <c r="H163" s="92" t="inlineStr">
        <is>
          <t>10 EVIDENCE &amp; DECISIONS</t>
        </is>
      </c>
    </row>
    <row r="164" ht="34" customHeight="1">
      <c r="A164" s="34" t="inlineStr">
        <is>
          <t>R73-v1</t>
        </is>
      </c>
      <c r="B164" s="34" t="inlineStr">
        <is>
          <t>Contractor Programme</t>
        </is>
      </c>
      <c r="C164" s="34" t="inlineStr">
        <is>
          <t>SCH-01-073</t>
        </is>
      </c>
      <c r="D164" s="34" t="inlineStr">
        <is>
          <t>1.1.1 Guideway and Civil - Guideway Structures</t>
        </is>
      </c>
      <c r="E164" s="34" t="inlineStr">
        <is>
          <t>New</t>
        </is>
      </c>
      <c r="F164" s="14" t="inlineStr"/>
      <c r="G164" s="34" t="inlineStr">
        <is>
          <t>Source assignment -- not individually reviewed</t>
        </is>
      </c>
      <c r="H164" s="92" t="inlineStr">
        <is>
          <t>10 EVIDENCE &amp; DECISIONS</t>
        </is>
      </c>
    </row>
    <row r="165" ht="34" customHeight="1">
      <c r="A165" s="34" t="inlineStr">
        <is>
          <t>R74-v1</t>
        </is>
      </c>
      <c r="B165" s="34" t="inlineStr">
        <is>
          <t>Contractor Programme</t>
        </is>
      </c>
      <c r="C165" s="34" t="inlineStr">
        <is>
          <t>SCH-01-074</t>
        </is>
      </c>
      <c r="D165" s="34" t="inlineStr">
        <is>
          <t>1.1.1 Guideway and Civil - Guideway Structures</t>
        </is>
      </c>
      <c r="E165" s="34" t="inlineStr">
        <is>
          <t>New</t>
        </is>
      </c>
      <c r="F165" s="14" t="inlineStr"/>
      <c r="G165" s="34" t="inlineStr">
        <is>
          <t>Source assignment -- not individually reviewed</t>
        </is>
      </c>
      <c r="H165" s="92" t="inlineStr">
        <is>
          <t>10 EVIDENCE &amp; DECISIONS</t>
        </is>
      </c>
    </row>
    <row r="166" ht="34" customHeight="1">
      <c r="A166" s="34" t="inlineStr">
        <is>
          <t>R76-v1</t>
        </is>
      </c>
      <c r="B166" s="34" t="inlineStr">
        <is>
          <t>Contractor Programme</t>
        </is>
      </c>
      <c r="C166" s="34" t="inlineStr">
        <is>
          <t>SCH-01-076</t>
        </is>
      </c>
      <c r="D166" s="34" t="inlineStr">
        <is>
          <t>1.1.1 Guideway and Civil - Guideway Structures</t>
        </is>
      </c>
      <c r="E166" s="34" t="inlineStr">
        <is>
          <t>New</t>
        </is>
      </c>
      <c r="F166" s="14" t="inlineStr"/>
      <c r="G166" s="34" t="inlineStr">
        <is>
          <t>Source assignment -- not individually reviewed</t>
        </is>
      </c>
      <c r="H166" s="92" t="inlineStr">
        <is>
          <t>10 EVIDENCE &amp; DECISIONS</t>
        </is>
      </c>
    </row>
    <row r="167" ht="34" customHeight="1">
      <c r="A167" s="34" t="inlineStr">
        <is>
          <t>R77-v1</t>
        </is>
      </c>
      <c r="B167" s="34" t="inlineStr">
        <is>
          <t>Contractor Programme</t>
        </is>
      </c>
      <c r="C167" s="34" t="inlineStr">
        <is>
          <t>SCH-01-077</t>
        </is>
      </c>
      <c r="D167" s="34" t="inlineStr">
        <is>
          <t>1.1.1 Guideway and Civil - Guideway Structures</t>
        </is>
      </c>
      <c r="E167" s="34" t="inlineStr">
        <is>
          <t>New</t>
        </is>
      </c>
      <c r="F167" s="14" t="inlineStr"/>
      <c r="G167" s="34" t="inlineStr">
        <is>
          <t>Source assignment -- not individually reviewed</t>
        </is>
      </c>
      <c r="H167" s="92" t="inlineStr">
        <is>
          <t>10 EVIDENCE &amp; DECISIONS</t>
        </is>
      </c>
    </row>
    <row r="168" ht="34" customHeight="1">
      <c r="A168" s="34" t="inlineStr">
        <is>
          <t>R79-v1</t>
        </is>
      </c>
      <c r="B168" s="34" t="inlineStr">
        <is>
          <t>Contractor Programme</t>
        </is>
      </c>
      <c r="C168" s="34" t="inlineStr">
        <is>
          <t>SCH-01-079</t>
        </is>
      </c>
      <c r="D168" s="34" t="inlineStr">
        <is>
          <t>1.1.1 Guideway and Civil - Guideway Structures</t>
        </is>
      </c>
      <c r="E168" s="34" t="inlineStr">
        <is>
          <t>New</t>
        </is>
      </c>
      <c r="F168" s="14" t="inlineStr"/>
      <c r="G168" s="34" t="inlineStr">
        <is>
          <t>Source assignment -- not individually reviewed</t>
        </is>
      </c>
      <c r="H168" s="92" t="inlineStr">
        <is>
          <t>10 EVIDENCE &amp; DECISIONS</t>
        </is>
      </c>
    </row>
    <row r="169" ht="34" customHeight="1">
      <c r="A169" s="34" t="inlineStr">
        <is>
          <t>R8-v1</t>
        </is>
      </c>
      <c r="B169" s="34" t="inlineStr">
        <is>
          <t>Contractor Programme</t>
        </is>
      </c>
      <c r="C169" s="34" t="inlineStr">
        <is>
          <t>SCH-01-008</t>
        </is>
      </c>
      <c r="D169" s="34" t="inlineStr">
        <is>
          <t>1.1.1 Guideway and Civil - Guideway Structures</t>
        </is>
      </c>
      <c r="E169" s="34" t="inlineStr">
        <is>
          <t>New</t>
        </is>
      </c>
      <c r="F169" s="14" t="inlineStr"/>
      <c r="G169" s="34" t="inlineStr">
        <is>
          <t>Source assignment -- not individually reviewed</t>
        </is>
      </c>
      <c r="H169" s="92" t="inlineStr">
        <is>
          <t>10 EVIDENCE &amp; DECISIONS</t>
        </is>
      </c>
    </row>
    <row r="170" ht="34" customHeight="1">
      <c r="A170" s="34" t="inlineStr">
        <is>
          <t>R80-v1</t>
        </is>
      </c>
      <c r="B170" s="34" t="inlineStr">
        <is>
          <t>Contractor Programme</t>
        </is>
      </c>
      <c r="C170" s="34" t="inlineStr">
        <is>
          <t>SCH-01-080</t>
        </is>
      </c>
      <c r="D170" s="34" t="inlineStr">
        <is>
          <t>1.1.1 Guideway and Civil - Guideway Structures</t>
        </is>
      </c>
      <c r="E170" s="34" t="inlineStr">
        <is>
          <t>New</t>
        </is>
      </c>
      <c r="F170" s="14" t="inlineStr"/>
      <c r="G170" s="34" t="inlineStr">
        <is>
          <t>Source assignment -- not individually reviewed</t>
        </is>
      </c>
      <c r="H170" s="92" t="inlineStr">
        <is>
          <t>10 EVIDENCE &amp; DECISIONS</t>
        </is>
      </c>
    </row>
    <row r="171" ht="34" customHeight="1">
      <c r="A171" s="34" t="inlineStr">
        <is>
          <t>R82-v1</t>
        </is>
      </c>
      <c r="B171" s="34" t="inlineStr">
        <is>
          <t>Contractor Programme</t>
        </is>
      </c>
      <c r="C171" s="34" t="inlineStr">
        <is>
          <t>SCH-01-082</t>
        </is>
      </c>
      <c r="D171" s="34" t="inlineStr">
        <is>
          <t>1.1.1 Guideway and Civil - Guideway Structures</t>
        </is>
      </c>
      <c r="E171" s="34" t="inlineStr">
        <is>
          <t>New</t>
        </is>
      </c>
      <c r="F171" s="14" t="inlineStr"/>
      <c r="G171" s="34" t="inlineStr">
        <is>
          <t>Source assignment -- not individually reviewed</t>
        </is>
      </c>
      <c r="H171" s="92" t="inlineStr">
        <is>
          <t>10 EVIDENCE &amp; DECISIONS</t>
        </is>
      </c>
    </row>
    <row r="172" ht="34" customHeight="1">
      <c r="A172" s="34" t="inlineStr">
        <is>
          <t>R83-v1</t>
        </is>
      </c>
      <c r="B172" s="34" t="inlineStr">
        <is>
          <t>Contractor Programme</t>
        </is>
      </c>
      <c r="C172" s="34" t="inlineStr">
        <is>
          <t>SCH-01-083</t>
        </is>
      </c>
      <c r="D172" s="34" t="inlineStr">
        <is>
          <t>1.1.1 Guideway and Civil - Guideway Structures</t>
        </is>
      </c>
      <c r="E172" s="34" t="inlineStr">
        <is>
          <t>New</t>
        </is>
      </c>
      <c r="F172" s="14" t="inlineStr"/>
      <c r="G172" s="34" t="inlineStr">
        <is>
          <t>Source assignment -- not individually reviewed</t>
        </is>
      </c>
      <c r="H172" s="92" t="inlineStr">
        <is>
          <t>10 EVIDENCE &amp; DECISIONS</t>
        </is>
      </c>
    </row>
    <row r="173" ht="34" customHeight="1">
      <c r="A173" s="34" t="inlineStr">
        <is>
          <t>R85-v1</t>
        </is>
      </c>
      <c r="B173" s="34" t="inlineStr">
        <is>
          <t>Contractor Programme</t>
        </is>
      </c>
      <c r="C173" s="34" t="inlineStr">
        <is>
          <t>SCH-01-085</t>
        </is>
      </c>
      <c r="D173" s="34" t="inlineStr">
        <is>
          <t>1.1.1 Guideway and Civil - Guideway Structures</t>
        </is>
      </c>
      <c r="E173" s="34" t="inlineStr">
        <is>
          <t>New</t>
        </is>
      </c>
      <c r="F173" s="14" t="inlineStr"/>
      <c r="G173" s="34" t="inlineStr">
        <is>
          <t>Source assignment -- not individually reviewed</t>
        </is>
      </c>
      <c r="H173" s="92" t="inlineStr">
        <is>
          <t>10 EVIDENCE &amp; DECISIONS</t>
        </is>
      </c>
    </row>
    <row r="174" ht="34" customHeight="1">
      <c r="A174" s="34" t="inlineStr">
        <is>
          <t>R86-v1</t>
        </is>
      </c>
      <c r="B174" s="34" t="inlineStr">
        <is>
          <t>Contractor Programme</t>
        </is>
      </c>
      <c r="C174" s="34" t="inlineStr">
        <is>
          <t>SCH-01-086</t>
        </is>
      </c>
      <c r="D174" s="34" t="inlineStr">
        <is>
          <t>1.1.1 Guideway and Civil - Guideway Structures</t>
        </is>
      </c>
      <c r="E174" s="34" t="inlineStr">
        <is>
          <t>New</t>
        </is>
      </c>
      <c r="F174" s="14" t="inlineStr"/>
      <c r="G174" s="34" t="inlineStr">
        <is>
          <t>Source assignment -- not individually reviewed</t>
        </is>
      </c>
      <c r="H174" s="92" t="inlineStr">
        <is>
          <t>10 EVIDENCE &amp; DECISIONS</t>
        </is>
      </c>
    </row>
    <row r="175" ht="34" customHeight="1">
      <c r="A175" s="34" t="inlineStr">
        <is>
          <t>R88-v1</t>
        </is>
      </c>
      <c r="B175" s="34" t="inlineStr">
        <is>
          <t>Contractor Programme</t>
        </is>
      </c>
      <c r="C175" s="34" t="inlineStr">
        <is>
          <t>SCH-01-088</t>
        </is>
      </c>
      <c r="D175" s="34" t="inlineStr">
        <is>
          <t>1.1.1 Guideway and Civil - Guideway Structures</t>
        </is>
      </c>
      <c r="E175" s="34" t="inlineStr">
        <is>
          <t>New</t>
        </is>
      </c>
      <c r="F175" s="14" t="inlineStr"/>
      <c r="G175" s="34" t="inlineStr">
        <is>
          <t>Source assignment -- not individually reviewed</t>
        </is>
      </c>
      <c r="H175" s="92" t="inlineStr">
        <is>
          <t>10 EVIDENCE &amp; DECISIONS</t>
        </is>
      </c>
    </row>
    <row r="176" ht="34" customHeight="1">
      <c r="A176" s="34" t="inlineStr">
        <is>
          <t>R89-v1</t>
        </is>
      </c>
      <c r="B176" s="34" t="inlineStr">
        <is>
          <t>Contractor Programme</t>
        </is>
      </c>
      <c r="C176" s="34" t="inlineStr">
        <is>
          <t>SCH-01-089</t>
        </is>
      </c>
      <c r="D176" s="34" t="inlineStr">
        <is>
          <t>1.1.1 Guideway and Civil - Guideway Structures</t>
        </is>
      </c>
      <c r="E176" s="34" t="inlineStr">
        <is>
          <t>New</t>
        </is>
      </c>
      <c r="F176" s="14" t="inlineStr"/>
      <c r="G176" s="34" t="inlineStr">
        <is>
          <t>Source assignment -- not individually reviewed</t>
        </is>
      </c>
      <c r="H176" s="92" t="inlineStr">
        <is>
          <t>10 EVIDENCE &amp; DECISIONS</t>
        </is>
      </c>
    </row>
    <row r="177" ht="34" customHeight="1">
      <c r="A177" s="34" t="inlineStr">
        <is>
          <t>R91-v1</t>
        </is>
      </c>
      <c r="B177" s="34" t="inlineStr">
        <is>
          <t>Contractor Programme</t>
        </is>
      </c>
      <c r="C177" s="34" t="inlineStr">
        <is>
          <t>SCH-01-091</t>
        </is>
      </c>
      <c r="D177" s="34" t="inlineStr">
        <is>
          <t>1.1.1 Guideway and Civil - Guideway Structures</t>
        </is>
      </c>
      <c r="E177" s="34" t="inlineStr">
        <is>
          <t>New</t>
        </is>
      </c>
      <c r="F177" s="14" t="inlineStr"/>
      <c r="G177" s="34" t="inlineStr">
        <is>
          <t>Source assignment -- not individually reviewed</t>
        </is>
      </c>
      <c r="H177" s="92" t="inlineStr">
        <is>
          <t>10 EVIDENCE &amp; DECISIONS</t>
        </is>
      </c>
    </row>
    <row r="178" ht="34" customHeight="1">
      <c r="A178" s="34" t="inlineStr">
        <is>
          <t>R92-v1</t>
        </is>
      </c>
      <c r="B178" s="34" t="inlineStr">
        <is>
          <t>Contractor Programme</t>
        </is>
      </c>
      <c r="C178" s="34" t="inlineStr">
        <is>
          <t>SCH-01-092</t>
        </is>
      </c>
      <c r="D178" s="34" t="inlineStr">
        <is>
          <t>1.1.1 Guideway and Civil - Guideway Structures</t>
        </is>
      </c>
      <c r="E178" s="34" t="inlineStr">
        <is>
          <t>New</t>
        </is>
      </c>
      <c r="F178" s="14" t="inlineStr"/>
      <c r="G178" s="34" t="inlineStr">
        <is>
          <t>Source assignment -- not individually reviewed</t>
        </is>
      </c>
      <c r="H178" s="92" t="inlineStr">
        <is>
          <t>10 EVIDENCE &amp; DECISIONS</t>
        </is>
      </c>
    </row>
    <row r="179" ht="34" customHeight="1">
      <c r="A179" s="34" t="inlineStr">
        <is>
          <t>R94-v1</t>
        </is>
      </c>
      <c r="B179" s="34" t="inlineStr">
        <is>
          <t>Contractor Programme</t>
        </is>
      </c>
      <c r="C179" s="34" t="inlineStr">
        <is>
          <t>SCH-01-094</t>
        </is>
      </c>
      <c r="D179" s="34" t="inlineStr">
        <is>
          <t>1.1.1 Guideway and Civil - Guideway Structures</t>
        </is>
      </c>
      <c r="E179" s="34" t="inlineStr">
        <is>
          <t>New</t>
        </is>
      </c>
      <c r="F179" s="14" t="inlineStr"/>
      <c r="G179" s="34" t="inlineStr">
        <is>
          <t>Source assignment -- not individually reviewed</t>
        </is>
      </c>
      <c r="H179" s="92" t="inlineStr">
        <is>
          <t>10 EVIDENCE &amp; DECISIONS</t>
        </is>
      </c>
    </row>
    <row r="180" ht="34" customHeight="1">
      <c r="A180" s="34" t="inlineStr">
        <is>
          <t>R95-v1</t>
        </is>
      </c>
      <c r="B180" s="34" t="inlineStr">
        <is>
          <t>Contractor Programme</t>
        </is>
      </c>
      <c r="C180" s="34" t="inlineStr">
        <is>
          <t>SCH-01-095</t>
        </is>
      </c>
      <c r="D180" s="34" t="inlineStr">
        <is>
          <t>1.1.1 Guideway and Civil - Guideway Structures</t>
        </is>
      </c>
      <c r="E180" s="34" t="inlineStr">
        <is>
          <t>New</t>
        </is>
      </c>
      <c r="F180" s="14" t="inlineStr"/>
      <c r="G180" s="34" t="inlineStr">
        <is>
          <t>Source assignment -- not individually reviewed</t>
        </is>
      </c>
      <c r="H180" s="92" t="inlineStr">
        <is>
          <t>10 EVIDENCE &amp; DECISIONS</t>
        </is>
      </c>
    </row>
    <row r="181" ht="34" customHeight="1">
      <c r="A181" s="34" t="inlineStr">
        <is>
          <t>R97-v1</t>
        </is>
      </c>
      <c r="B181" s="34" t="inlineStr">
        <is>
          <t>Contractor Programme</t>
        </is>
      </c>
      <c r="C181" s="34" t="inlineStr">
        <is>
          <t>SCH-01-097</t>
        </is>
      </c>
      <c r="D181" s="34" t="inlineStr">
        <is>
          <t>1.1.1 Guideway and Civil - Guideway Structures</t>
        </is>
      </c>
      <c r="E181" s="34" t="inlineStr">
        <is>
          <t>New</t>
        </is>
      </c>
      <c r="F181" s="14" t="inlineStr"/>
      <c r="G181" s="34" t="inlineStr">
        <is>
          <t>Source assignment -- not individually reviewed</t>
        </is>
      </c>
      <c r="H181" s="92" t="inlineStr">
        <is>
          <t>10 EVIDENCE &amp; DECISIONS</t>
        </is>
      </c>
    </row>
    <row r="182" ht="34" customHeight="1">
      <c r="A182" s="34" t="inlineStr">
        <is>
          <t>R98-v1</t>
        </is>
      </c>
      <c r="B182" s="34" t="inlineStr">
        <is>
          <t>Contractor Programme</t>
        </is>
      </c>
      <c r="C182" s="34" t="inlineStr">
        <is>
          <t>SCH-01-098</t>
        </is>
      </c>
      <c r="D182" s="34" t="inlineStr">
        <is>
          <t>1.1.1 Guideway and Civil - Guideway Structures</t>
        </is>
      </c>
      <c r="E182" s="34" t="inlineStr">
        <is>
          <t>New</t>
        </is>
      </c>
      <c r="F182" s="14" t="inlineStr"/>
      <c r="G182" s="34" t="inlineStr">
        <is>
          <t>Source assignment -- not individually reviewed</t>
        </is>
      </c>
      <c r="H182" s="92" t="inlineStr">
        <is>
          <t>10 EVIDENCE &amp; DECISIONS</t>
        </is>
      </c>
    </row>
    <row r="183" ht="34" customHeight="1">
      <c r="A183" s="34" t="inlineStr">
        <is>
          <t>R102-v1</t>
        </is>
      </c>
      <c r="B183" s="34" t="inlineStr">
        <is>
          <t>Contractor Programme</t>
        </is>
      </c>
      <c r="C183" s="34" t="inlineStr">
        <is>
          <t>SCH-01-102</t>
        </is>
      </c>
      <c r="D183" s="34" t="inlineStr">
        <is>
          <t>1.1.2 Guideway and Civil - Utility &amp; Roadworks</t>
        </is>
      </c>
      <c r="E183" s="34" t="inlineStr">
        <is>
          <t>New</t>
        </is>
      </c>
      <c r="F183" s="14" t="inlineStr"/>
      <c r="G183" s="34" t="inlineStr">
        <is>
          <t>Source assignment -- not individually reviewed</t>
        </is>
      </c>
      <c r="H183" s="92" t="inlineStr">
        <is>
          <t>10 EVIDENCE &amp; DECISIONS</t>
        </is>
      </c>
    </row>
    <row r="184" ht="34" customHeight="1">
      <c r="A184" s="34" t="inlineStr">
        <is>
          <t>R105-v1</t>
        </is>
      </c>
      <c r="B184" s="34" t="inlineStr">
        <is>
          <t>Contractor Programme</t>
        </is>
      </c>
      <c r="C184" s="34" t="inlineStr">
        <is>
          <t>SCH-01-105</t>
        </is>
      </c>
      <c r="D184" s="34" t="inlineStr">
        <is>
          <t>1.1.2 Guideway and Civil - Utility &amp; Roadworks</t>
        </is>
      </c>
      <c r="E184" s="34" t="inlineStr">
        <is>
          <t>New</t>
        </is>
      </c>
      <c r="F184" s="14" t="inlineStr"/>
      <c r="G184" s="34" t="inlineStr">
        <is>
          <t>Source assignment -- not individually reviewed</t>
        </is>
      </c>
      <c r="H184" s="92" t="inlineStr">
        <is>
          <t>10 EVIDENCE &amp; DECISIONS</t>
        </is>
      </c>
    </row>
    <row r="185" ht="34" customHeight="1">
      <c r="A185" s="34" t="inlineStr">
        <is>
          <t>R108-v1</t>
        </is>
      </c>
      <c r="B185" s="34" t="inlineStr">
        <is>
          <t>Contractor Programme</t>
        </is>
      </c>
      <c r="C185" s="34" t="inlineStr">
        <is>
          <t>SCH-01-108</t>
        </is>
      </c>
      <c r="D185" s="34" t="inlineStr">
        <is>
          <t>1.1.2 Guideway and Civil - Utility &amp; Roadworks</t>
        </is>
      </c>
      <c r="E185" s="34" t="inlineStr">
        <is>
          <t>New</t>
        </is>
      </c>
      <c r="F185" s="14" t="inlineStr"/>
      <c r="G185" s="34" t="inlineStr">
        <is>
          <t>Source assignment -- not individually reviewed</t>
        </is>
      </c>
      <c r="H185" s="92" t="inlineStr">
        <is>
          <t>10 EVIDENCE &amp; DECISIONS</t>
        </is>
      </c>
    </row>
    <row r="186" ht="34" customHeight="1">
      <c r="A186" s="34" t="inlineStr">
        <is>
          <t>R1084-v1</t>
        </is>
      </c>
      <c r="B186" s="34" t="inlineStr">
        <is>
          <t>Cost &amp; Forecast Control Accounts</t>
        </is>
      </c>
      <c r="C186" s="34" t="inlineStr">
        <is>
          <t>CST-01-002</t>
        </is>
      </c>
      <c r="D186" s="34" t="inlineStr">
        <is>
          <t>1.1.2 Guideway and Civil - Utility &amp; Roadworks</t>
        </is>
      </c>
      <c r="E186" s="34" t="inlineStr">
        <is>
          <t>New</t>
        </is>
      </c>
      <c r="F186" s="14" t="inlineStr"/>
      <c r="G186" s="34" t="inlineStr">
        <is>
          <t>Source assignment -- not individually reviewed</t>
        </is>
      </c>
      <c r="H186" s="92" t="inlineStr">
        <is>
          <t>10 EVIDENCE &amp; DECISIONS</t>
        </is>
      </c>
    </row>
    <row r="187" ht="34" customHeight="1">
      <c r="A187" s="34" t="inlineStr">
        <is>
          <t>R1086-v1</t>
        </is>
      </c>
      <c r="B187" s="34" t="inlineStr">
        <is>
          <t>Cost &amp; Forecast Control Accounts</t>
        </is>
      </c>
      <c r="C187" s="34" t="inlineStr">
        <is>
          <t>CST-01-004</t>
        </is>
      </c>
      <c r="D187" s="34" t="inlineStr">
        <is>
          <t>1.1.2 Guideway and Civil - Utility &amp; Roadworks</t>
        </is>
      </c>
      <c r="E187" s="34" t="inlineStr">
        <is>
          <t>New</t>
        </is>
      </c>
      <c r="F187" s="14" t="inlineStr"/>
      <c r="G187" s="34" t="inlineStr">
        <is>
          <t>Source assignment -- not individually reviewed</t>
        </is>
      </c>
      <c r="H187" s="92" t="inlineStr">
        <is>
          <t>10 EVIDENCE &amp; DECISIONS</t>
        </is>
      </c>
    </row>
    <row r="188" ht="34" customHeight="1">
      <c r="A188" s="34" t="inlineStr">
        <is>
          <t>R1088-v1</t>
        </is>
      </c>
      <c r="B188" s="34" t="inlineStr">
        <is>
          <t>Cost &amp; Forecast Control Accounts</t>
        </is>
      </c>
      <c r="C188" s="34" t="inlineStr">
        <is>
          <t>CST-01-006</t>
        </is>
      </c>
      <c r="D188" s="34" t="inlineStr">
        <is>
          <t>1.1.2 Guideway and Civil - Utility &amp; Roadworks</t>
        </is>
      </c>
      <c r="E188" s="34" t="inlineStr">
        <is>
          <t>New</t>
        </is>
      </c>
      <c r="F188" s="14" t="inlineStr"/>
      <c r="G188" s="34" t="inlineStr">
        <is>
          <t>Source assignment -- not individually reviewed</t>
        </is>
      </c>
      <c r="H188" s="92" t="inlineStr">
        <is>
          <t>10 EVIDENCE &amp; DECISIONS</t>
        </is>
      </c>
    </row>
    <row r="189" ht="34" customHeight="1">
      <c r="A189" s="34" t="inlineStr">
        <is>
          <t>R1090-v1</t>
        </is>
      </c>
      <c r="B189" s="34" t="inlineStr">
        <is>
          <t>Cost &amp; Forecast Control Accounts</t>
        </is>
      </c>
      <c r="C189" s="34" t="inlineStr">
        <is>
          <t>CST-01-008</t>
        </is>
      </c>
      <c r="D189" s="34" t="inlineStr">
        <is>
          <t>1.1.2 Guideway and Civil - Utility &amp; Roadworks</t>
        </is>
      </c>
      <c r="E189" s="34" t="inlineStr">
        <is>
          <t>New</t>
        </is>
      </c>
      <c r="F189" s="14" t="inlineStr"/>
      <c r="G189" s="34" t="inlineStr">
        <is>
          <t>Source assignment -- not individually reviewed</t>
        </is>
      </c>
      <c r="H189" s="92" t="inlineStr">
        <is>
          <t>10 EVIDENCE &amp; DECISIONS</t>
        </is>
      </c>
    </row>
    <row r="190" ht="34" customHeight="1">
      <c r="A190" s="34" t="inlineStr">
        <is>
          <t>R1092-v1</t>
        </is>
      </c>
      <c r="B190" s="34" t="inlineStr">
        <is>
          <t>Cost &amp; Forecast Control Accounts</t>
        </is>
      </c>
      <c r="C190" s="34" t="inlineStr">
        <is>
          <t>CST-01-010</t>
        </is>
      </c>
      <c r="D190" s="34" t="inlineStr">
        <is>
          <t>1.1.2 Guideway and Civil - Utility &amp; Roadworks</t>
        </is>
      </c>
      <c r="E190" s="34" t="inlineStr">
        <is>
          <t>New</t>
        </is>
      </c>
      <c r="F190" s="14" t="inlineStr"/>
      <c r="G190" s="34" t="inlineStr">
        <is>
          <t>Source assignment -- not individually reviewed</t>
        </is>
      </c>
      <c r="H190" s="92" t="inlineStr">
        <is>
          <t>10 EVIDENCE &amp; DECISIONS</t>
        </is>
      </c>
    </row>
    <row r="191" ht="34" customHeight="1">
      <c r="A191" s="34" t="inlineStr">
        <is>
          <t>R1094-v1</t>
        </is>
      </c>
      <c r="B191" s="34" t="inlineStr">
        <is>
          <t>Cost &amp; Forecast Control Accounts</t>
        </is>
      </c>
      <c r="C191" s="34" t="inlineStr">
        <is>
          <t>CST-01-012</t>
        </is>
      </c>
      <c r="D191" s="34" t="inlineStr">
        <is>
          <t>1.1.2 Guideway and Civil - Utility &amp; Roadworks</t>
        </is>
      </c>
      <c r="E191" s="34" t="inlineStr">
        <is>
          <t>New</t>
        </is>
      </c>
      <c r="F191" s="14" t="inlineStr"/>
      <c r="G191" s="34" t="inlineStr">
        <is>
          <t>Source assignment -- not individually reviewed</t>
        </is>
      </c>
      <c r="H191" s="92" t="inlineStr">
        <is>
          <t>10 EVIDENCE &amp; DECISIONS</t>
        </is>
      </c>
    </row>
    <row r="192" ht="34" customHeight="1">
      <c r="A192" s="34" t="inlineStr">
        <is>
          <t>R1096-v1</t>
        </is>
      </c>
      <c r="B192" s="34" t="inlineStr">
        <is>
          <t>Cost &amp; Forecast Control Accounts</t>
        </is>
      </c>
      <c r="C192" s="34" t="inlineStr">
        <is>
          <t>CST-01-014</t>
        </is>
      </c>
      <c r="D192" s="34" t="inlineStr">
        <is>
          <t>1.1.2 Guideway and Civil - Utility &amp; Roadworks</t>
        </is>
      </c>
      <c r="E192" s="34" t="inlineStr">
        <is>
          <t>New</t>
        </is>
      </c>
      <c r="F192" s="14" t="inlineStr"/>
      <c r="G192" s="34" t="inlineStr">
        <is>
          <t>Source assignment -- not individually reviewed</t>
        </is>
      </c>
      <c r="H192" s="92" t="inlineStr">
        <is>
          <t>10 EVIDENCE &amp; DECISIONS</t>
        </is>
      </c>
    </row>
    <row r="193" ht="34" customHeight="1">
      <c r="A193" s="34" t="inlineStr">
        <is>
          <t>R1098-v1</t>
        </is>
      </c>
      <c r="B193" s="34" t="inlineStr">
        <is>
          <t>Cost &amp; Forecast Control Accounts</t>
        </is>
      </c>
      <c r="C193" s="34" t="inlineStr">
        <is>
          <t>CST-01-016</t>
        </is>
      </c>
      <c r="D193" s="34" t="inlineStr">
        <is>
          <t>1.1.2 Guideway and Civil - Utility &amp; Roadworks</t>
        </is>
      </c>
      <c r="E193" s="34" t="inlineStr">
        <is>
          <t>New</t>
        </is>
      </c>
      <c r="F193" s="14" t="inlineStr"/>
      <c r="G193" s="34" t="inlineStr">
        <is>
          <t>Source assignment -- not individually reviewed</t>
        </is>
      </c>
      <c r="H193" s="92" t="inlineStr">
        <is>
          <t>10 EVIDENCE &amp; DECISIONS</t>
        </is>
      </c>
    </row>
    <row r="194" ht="34" customHeight="1">
      <c r="A194" s="34" t="inlineStr">
        <is>
          <t>R1100-v1</t>
        </is>
      </c>
      <c r="B194" s="34" t="inlineStr">
        <is>
          <t>Cost &amp; Forecast Control Accounts</t>
        </is>
      </c>
      <c r="C194" s="34" t="inlineStr">
        <is>
          <t>CST-01-018</t>
        </is>
      </c>
      <c r="D194" s="34" t="inlineStr">
        <is>
          <t>1.1.2 Guideway and Civil - Utility &amp; Roadworks</t>
        </is>
      </c>
      <c r="E194" s="34" t="inlineStr">
        <is>
          <t>New</t>
        </is>
      </c>
      <c r="F194" s="14" t="inlineStr"/>
      <c r="G194" s="34" t="inlineStr">
        <is>
          <t>Source assignment -- not individually reviewed</t>
        </is>
      </c>
      <c r="H194" s="92" t="inlineStr">
        <is>
          <t>10 EVIDENCE &amp; DECISIONS</t>
        </is>
      </c>
    </row>
    <row r="195" ht="34" customHeight="1">
      <c r="A195" s="34" t="inlineStr">
        <is>
          <t>R1102-v1</t>
        </is>
      </c>
      <c r="B195" s="34" t="inlineStr">
        <is>
          <t>Cost &amp; Forecast Control Accounts</t>
        </is>
      </c>
      <c r="C195" s="34" t="inlineStr">
        <is>
          <t>CST-01-020</t>
        </is>
      </c>
      <c r="D195" s="34" t="inlineStr">
        <is>
          <t>1.1.2 Guideway and Civil - Utility &amp; Roadworks</t>
        </is>
      </c>
      <c r="E195" s="34" t="inlineStr">
        <is>
          <t>New</t>
        </is>
      </c>
      <c r="F195" s="14" t="inlineStr"/>
      <c r="G195" s="34" t="inlineStr">
        <is>
          <t>Source assignment -- not individually reviewed</t>
        </is>
      </c>
      <c r="H195" s="92" t="inlineStr">
        <is>
          <t>10 EVIDENCE &amp; DECISIONS</t>
        </is>
      </c>
    </row>
    <row r="196" ht="34" customHeight="1">
      <c r="A196" s="34" t="inlineStr">
        <is>
          <t>R1104-v1</t>
        </is>
      </c>
      <c r="B196" s="34" t="inlineStr">
        <is>
          <t>Cost &amp; Forecast Control Accounts</t>
        </is>
      </c>
      <c r="C196" s="34" t="inlineStr">
        <is>
          <t>CST-01-022</t>
        </is>
      </c>
      <c r="D196" s="34" t="inlineStr">
        <is>
          <t>1.1.2 Guideway and Civil - Utility &amp; Roadworks</t>
        </is>
      </c>
      <c r="E196" s="34" t="inlineStr">
        <is>
          <t>New</t>
        </is>
      </c>
      <c r="F196" s="14" t="inlineStr"/>
      <c r="G196" s="34" t="inlineStr">
        <is>
          <t>Source assignment -- not individually reviewed</t>
        </is>
      </c>
      <c r="H196" s="92" t="inlineStr">
        <is>
          <t>10 EVIDENCE &amp; DECISIONS</t>
        </is>
      </c>
    </row>
    <row r="197" ht="34" customHeight="1">
      <c r="A197" s="34" t="inlineStr">
        <is>
          <t>R1106-v1</t>
        </is>
      </c>
      <c r="B197" s="34" t="inlineStr">
        <is>
          <t>Cost &amp; Forecast Control Accounts</t>
        </is>
      </c>
      <c r="C197" s="34" t="inlineStr">
        <is>
          <t>CST-01-024</t>
        </is>
      </c>
      <c r="D197" s="34" t="inlineStr">
        <is>
          <t>1.1.2 Guideway and Civil - Utility &amp; Roadworks</t>
        </is>
      </c>
      <c r="E197" s="34" t="inlineStr">
        <is>
          <t>New</t>
        </is>
      </c>
      <c r="F197" s="14" t="inlineStr"/>
      <c r="G197" s="34" t="inlineStr">
        <is>
          <t>Source assignment -- not individually reviewed</t>
        </is>
      </c>
      <c r="H197" s="92" t="inlineStr">
        <is>
          <t>10 EVIDENCE &amp; DECISIONS</t>
        </is>
      </c>
    </row>
    <row r="198" ht="34" customHeight="1">
      <c r="A198" s="34" t="inlineStr">
        <is>
          <t>R1108-v1</t>
        </is>
      </c>
      <c r="B198" s="34" t="inlineStr">
        <is>
          <t>Cost &amp; Forecast Control Accounts</t>
        </is>
      </c>
      <c r="C198" s="34" t="inlineStr">
        <is>
          <t>CST-01-026</t>
        </is>
      </c>
      <c r="D198" s="34" t="inlineStr">
        <is>
          <t>1.1.2 Guideway and Civil - Utility &amp; Roadworks</t>
        </is>
      </c>
      <c r="E198" s="34" t="inlineStr">
        <is>
          <t>New</t>
        </is>
      </c>
      <c r="F198" s="14" t="inlineStr"/>
      <c r="G198" s="34" t="inlineStr">
        <is>
          <t>Source assignment -- not individually reviewed</t>
        </is>
      </c>
      <c r="H198" s="92" t="inlineStr">
        <is>
          <t>10 EVIDENCE &amp; DECISIONS</t>
        </is>
      </c>
    </row>
    <row r="199" ht="34" customHeight="1">
      <c r="A199" s="34" t="inlineStr">
        <is>
          <t>R111-v1</t>
        </is>
      </c>
      <c r="B199" s="34" t="inlineStr">
        <is>
          <t>Contractor Programme</t>
        </is>
      </c>
      <c r="C199" s="34" t="inlineStr">
        <is>
          <t>SCH-01-111</t>
        </is>
      </c>
      <c r="D199" s="34" t="inlineStr">
        <is>
          <t>1.1.2 Guideway and Civil - Utility &amp; Roadworks</t>
        </is>
      </c>
      <c r="E199" s="34" t="inlineStr">
        <is>
          <t>New</t>
        </is>
      </c>
      <c r="F199" s="14" t="inlineStr"/>
      <c r="G199" s="34" t="inlineStr">
        <is>
          <t>Source assignment -- not individually reviewed</t>
        </is>
      </c>
      <c r="H199" s="92" t="inlineStr">
        <is>
          <t>10 EVIDENCE &amp; DECISIONS</t>
        </is>
      </c>
    </row>
    <row r="200" ht="34" customHeight="1">
      <c r="A200" s="34" t="inlineStr">
        <is>
          <t>R1110-v1</t>
        </is>
      </c>
      <c r="B200" s="34" t="inlineStr">
        <is>
          <t>Cost &amp; Forecast Control Accounts</t>
        </is>
      </c>
      <c r="C200" s="34" t="inlineStr">
        <is>
          <t>CST-01-028</t>
        </is>
      </c>
      <c r="D200" s="34" t="inlineStr">
        <is>
          <t>1.1.2 Guideway and Civil - Utility &amp; Roadworks</t>
        </is>
      </c>
      <c r="E200" s="34" t="inlineStr">
        <is>
          <t>New</t>
        </is>
      </c>
      <c r="F200" s="14" t="inlineStr"/>
      <c r="G200" s="34" t="inlineStr">
        <is>
          <t>Source assignment -- not individually reviewed</t>
        </is>
      </c>
      <c r="H200" s="92" t="inlineStr">
        <is>
          <t>10 EVIDENCE &amp; DECISIONS</t>
        </is>
      </c>
    </row>
    <row r="201" ht="34" customHeight="1">
      <c r="A201" s="34" t="inlineStr">
        <is>
          <t>R1112-v1</t>
        </is>
      </c>
      <c r="B201" s="34" t="inlineStr">
        <is>
          <t>Cost &amp; Forecast Control Accounts</t>
        </is>
      </c>
      <c r="C201" s="34" t="inlineStr">
        <is>
          <t>CST-01-030</t>
        </is>
      </c>
      <c r="D201" s="34" t="inlineStr">
        <is>
          <t>1.1.2 Guideway and Civil - Utility &amp; Roadworks</t>
        </is>
      </c>
      <c r="E201" s="34" t="inlineStr">
        <is>
          <t>New</t>
        </is>
      </c>
      <c r="F201" s="14" t="inlineStr"/>
      <c r="G201" s="34" t="inlineStr">
        <is>
          <t>Source assignment -- not individually reviewed</t>
        </is>
      </c>
      <c r="H201" s="92" t="inlineStr">
        <is>
          <t>10 EVIDENCE &amp; DECISIONS</t>
        </is>
      </c>
    </row>
    <row r="202" ht="34" customHeight="1">
      <c r="A202" s="34" t="inlineStr">
        <is>
          <t>R1114-v1</t>
        </is>
      </c>
      <c r="B202" s="34" t="inlineStr">
        <is>
          <t>Cost &amp; Forecast Control Accounts</t>
        </is>
      </c>
      <c r="C202" s="34" t="inlineStr">
        <is>
          <t>CST-01-032</t>
        </is>
      </c>
      <c r="D202" s="34" t="inlineStr">
        <is>
          <t>1.1.2 Guideway and Civil - Utility &amp; Roadworks</t>
        </is>
      </c>
      <c r="E202" s="34" t="inlineStr">
        <is>
          <t>New</t>
        </is>
      </c>
      <c r="F202" s="14" t="inlineStr"/>
      <c r="G202" s="34" t="inlineStr">
        <is>
          <t>Source assignment -- not individually reviewed</t>
        </is>
      </c>
      <c r="H202" s="92" t="inlineStr">
        <is>
          <t>10 EVIDENCE &amp; DECISIONS</t>
        </is>
      </c>
    </row>
    <row r="203" ht="34" customHeight="1">
      <c r="A203" s="34" t="inlineStr">
        <is>
          <t>R1116-v1</t>
        </is>
      </c>
      <c r="B203" s="34" t="inlineStr">
        <is>
          <t>Cost &amp; Forecast Control Accounts</t>
        </is>
      </c>
      <c r="C203" s="34" t="inlineStr">
        <is>
          <t>CST-01-034</t>
        </is>
      </c>
      <c r="D203" s="34" t="inlineStr">
        <is>
          <t>1.1.2 Guideway and Civil - Utility &amp; Roadworks</t>
        </is>
      </c>
      <c r="E203" s="34" t="inlineStr">
        <is>
          <t>New</t>
        </is>
      </c>
      <c r="F203" s="14" t="inlineStr"/>
      <c r="G203" s="34" t="inlineStr">
        <is>
          <t>Source assignment -- not individually reviewed</t>
        </is>
      </c>
      <c r="H203" s="92" t="inlineStr">
        <is>
          <t>10 EVIDENCE &amp; DECISIONS</t>
        </is>
      </c>
    </row>
    <row r="204" ht="34" customHeight="1">
      <c r="A204" s="34" t="inlineStr">
        <is>
          <t>R1118-v1</t>
        </is>
      </c>
      <c r="B204" s="34" t="inlineStr">
        <is>
          <t>Cost &amp; Forecast Control Accounts</t>
        </is>
      </c>
      <c r="C204" s="34" t="inlineStr">
        <is>
          <t>CST-01-036</t>
        </is>
      </c>
      <c r="D204" s="34" t="inlineStr">
        <is>
          <t>1.1.2 Guideway and Civil - Utility &amp; Roadworks</t>
        </is>
      </c>
      <c r="E204" s="34" t="inlineStr">
        <is>
          <t>New</t>
        </is>
      </c>
      <c r="F204" s="14" t="inlineStr"/>
      <c r="G204" s="34" t="inlineStr">
        <is>
          <t>Source assignment -- not individually reviewed</t>
        </is>
      </c>
      <c r="H204" s="92" t="inlineStr">
        <is>
          <t>10 EVIDENCE &amp; DECISIONS</t>
        </is>
      </c>
    </row>
    <row r="205" ht="34" customHeight="1">
      <c r="A205" s="34" t="inlineStr">
        <is>
          <t>R1120-v1</t>
        </is>
      </c>
      <c r="B205" s="34" t="inlineStr">
        <is>
          <t>Cost &amp; Forecast Control Accounts</t>
        </is>
      </c>
      <c r="C205" s="34" t="inlineStr">
        <is>
          <t>CST-01-038</t>
        </is>
      </c>
      <c r="D205" s="34" t="inlineStr">
        <is>
          <t>1.1.2 Guideway and Civil - Utility &amp; Roadworks</t>
        </is>
      </c>
      <c r="E205" s="34" t="inlineStr">
        <is>
          <t>New</t>
        </is>
      </c>
      <c r="F205" s="14" t="inlineStr"/>
      <c r="G205" s="34" t="inlineStr">
        <is>
          <t>Source assignment -- not individually reviewed</t>
        </is>
      </c>
      <c r="H205" s="92" t="inlineStr">
        <is>
          <t>10 EVIDENCE &amp; DECISIONS</t>
        </is>
      </c>
    </row>
    <row r="206" ht="34" customHeight="1">
      <c r="A206" s="34" t="inlineStr">
        <is>
          <t>R1122-v1</t>
        </is>
      </c>
      <c r="B206" s="34" t="inlineStr">
        <is>
          <t>Cost &amp; Forecast Control Accounts</t>
        </is>
      </c>
      <c r="C206" s="34" t="inlineStr">
        <is>
          <t>CST-01-040</t>
        </is>
      </c>
      <c r="D206" s="34" t="inlineStr">
        <is>
          <t>1.1.2 Guideway and Civil - Utility &amp; Roadworks</t>
        </is>
      </c>
      <c r="E206" s="34" t="inlineStr">
        <is>
          <t>New</t>
        </is>
      </c>
      <c r="F206" s="14" t="inlineStr"/>
      <c r="G206" s="34" t="inlineStr">
        <is>
          <t>Source assignment -- not individually reviewed</t>
        </is>
      </c>
      <c r="H206" s="92" t="inlineStr">
        <is>
          <t>10 EVIDENCE &amp; DECISIONS</t>
        </is>
      </c>
    </row>
    <row r="207" ht="34" customHeight="1">
      <c r="A207" s="34" t="inlineStr">
        <is>
          <t>R1124-v1</t>
        </is>
      </c>
      <c r="B207" s="34" t="inlineStr">
        <is>
          <t>Cost &amp; Forecast Control Accounts</t>
        </is>
      </c>
      <c r="C207" s="34" t="inlineStr">
        <is>
          <t>CST-01-042</t>
        </is>
      </c>
      <c r="D207" s="34" t="inlineStr">
        <is>
          <t>1.1.2 Guideway and Civil - Utility &amp; Roadworks</t>
        </is>
      </c>
      <c r="E207" s="34" t="inlineStr">
        <is>
          <t>New</t>
        </is>
      </c>
      <c r="F207" s="14" t="inlineStr"/>
      <c r="G207" s="34" t="inlineStr">
        <is>
          <t>Source assignment -- not individually reviewed</t>
        </is>
      </c>
      <c r="H207" s="92" t="inlineStr">
        <is>
          <t>10 EVIDENCE &amp; DECISIONS</t>
        </is>
      </c>
    </row>
    <row r="208" ht="34" customHeight="1">
      <c r="A208" s="34" t="inlineStr">
        <is>
          <t>R1126-v1</t>
        </is>
      </c>
      <c r="B208" s="34" t="inlineStr">
        <is>
          <t>Cost &amp; Forecast Control Accounts</t>
        </is>
      </c>
      <c r="C208" s="34" t="inlineStr">
        <is>
          <t>CST-01-044</t>
        </is>
      </c>
      <c r="D208" s="34" t="inlineStr">
        <is>
          <t>1.1.2 Guideway and Civil - Utility &amp; Roadworks</t>
        </is>
      </c>
      <c r="E208" s="34" t="inlineStr">
        <is>
          <t>New</t>
        </is>
      </c>
      <c r="F208" s="14" t="inlineStr"/>
      <c r="G208" s="34" t="inlineStr">
        <is>
          <t>Source assignment -- not individually reviewed</t>
        </is>
      </c>
      <c r="H208" s="92" t="inlineStr">
        <is>
          <t>10 EVIDENCE &amp; DECISIONS</t>
        </is>
      </c>
    </row>
    <row r="209" ht="34" customHeight="1">
      <c r="A209" s="34" t="inlineStr">
        <is>
          <t>R1128-v1</t>
        </is>
      </c>
      <c r="B209" s="34" t="inlineStr">
        <is>
          <t>Cost &amp; Forecast Control Accounts</t>
        </is>
      </c>
      <c r="C209" s="34" t="inlineStr">
        <is>
          <t>CST-01-046</t>
        </is>
      </c>
      <c r="D209" s="34" t="inlineStr">
        <is>
          <t>1.1.2 Guideway and Civil - Utility &amp; Roadworks</t>
        </is>
      </c>
      <c r="E209" s="34" t="inlineStr">
        <is>
          <t>New</t>
        </is>
      </c>
      <c r="F209" s="14" t="inlineStr"/>
      <c r="G209" s="34" t="inlineStr">
        <is>
          <t>Source assignment -- not individually reviewed</t>
        </is>
      </c>
      <c r="H209" s="92" t="inlineStr">
        <is>
          <t>10 EVIDENCE &amp; DECISIONS</t>
        </is>
      </c>
    </row>
    <row r="210" ht="34" customHeight="1">
      <c r="A210" s="34" t="inlineStr">
        <is>
          <t>R1130-v1</t>
        </is>
      </c>
      <c r="B210" s="34" t="inlineStr">
        <is>
          <t>Cost &amp; Forecast Control Accounts</t>
        </is>
      </c>
      <c r="C210" s="34" t="inlineStr">
        <is>
          <t>CST-01-048</t>
        </is>
      </c>
      <c r="D210" s="34" t="inlineStr">
        <is>
          <t>1.1.2 Guideway and Civil - Utility &amp; Roadworks</t>
        </is>
      </c>
      <c r="E210" s="34" t="inlineStr">
        <is>
          <t>New</t>
        </is>
      </c>
      <c r="F210" s="14" t="inlineStr"/>
      <c r="G210" s="34" t="inlineStr">
        <is>
          <t>Source assignment -- not individually reviewed</t>
        </is>
      </c>
      <c r="H210" s="92" t="inlineStr">
        <is>
          <t>10 EVIDENCE &amp; DECISIONS</t>
        </is>
      </c>
    </row>
    <row r="211" ht="34" customHeight="1">
      <c r="A211" s="34" t="inlineStr">
        <is>
          <t>R1132-v1</t>
        </is>
      </c>
      <c r="B211" s="34" t="inlineStr">
        <is>
          <t>Cost &amp; Forecast Control Accounts</t>
        </is>
      </c>
      <c r="C211" s="34" t="inlineStr">
        <is>
          <t>CST-01-050</t>
        </is>
      </c>
      <c r="D211" s="34" t="inlineStr">
        <is>
          <t>1.1.2 Guideway and Civil - Utility &amp; Roadworks</t>
        </is>
      </c>
      <c r="E211" s="34" t="inlineStr">
        <is>
          <t>New</t>
        </is>
      </c>
      <c r="F211" s="14" t="inlineStr"/>
      <c r="G211" s="34" t="inlineStr">
        <is>
          <t>Source assignment -- not individually reviewed</t>
        </is>
      </c>
      <c r="H211" s="92" t="inlineStr">
        <is>
          <t>10 EVIDENCE &amp; DECISIONS</t>
        </is>
      </c>
    </row>
    <row r="212" ht="34" customHeight="1">
      <c r="A212" s="34" t="inlineStr">
        <is>
          <t>R1134-v1</t>
        </is>
      </c>
      <c r="B212" s="34" t="inlineStr">
        <is>
          <t>Cost &amp; Forecast Control Accounts</t>
        </is>
      </c>
      <c r="C212" s="34" t="inlineStr">
        <is>
          <t>CST-01-052</t>
        </is>
      </c>
      <c r="D212" s="34" t="inlineStr">
        <is>
          <t>1.1.2 Guideway and Civil - Utility &amp; Roadworks</t>
        </is>
      </c>
      <c r="E212" s="34" t="inlineStr">
        <is>
          <t>New</t>
        </is>
      </c>
      <c r="F212" s="14" t="inlineStr"/>
      <c r="G212" s="34" t="inlineStr">
        <is>
          <t>Source assignment -- not individually reviewed</t>
        </is>
      </c>
      <c r="H212" s="92" t="inlineStr">
        <is>
          <t>10 EVIDENCE &amp; DECISIONS</t>
        </is>
      </c>
    </row>
    <row r="213" ht="34" customHeight="1">
      <c r="A213" s="34" t="inlineStr">
        <is>
          <t>R1136-v1</t>
        </is>
      </c>
      <c r="B213" s="34" t="inlineStr">
        <is>
          <t>Cost &amp; Forecast Control Accounts</t>
        </is>
      </c>
      <c r="C213" s="34" t="inlineStr">
        <is>
          <t>CST-01-054</t>
        </is>
      </c>
      <c r="D213" s="34" t="inlineStr">
        <is>
          <t>1.1.2 Guideway and Civil - Utility &amp; Roadworks</t>
        </is>
      </c>
      <c r="E213" s="34" t="inlineStr">
        <is>
          <t>New</t>
        </is>
      </c>
      <c r="F213" s="14" t="inlineStr"/>
      <c r="G213" s="34" t="inlineStr">
        <is>
          <t>Source assignment -- not individually reviewed</t>
        </is>
      </c>
      <c r="H213" s="92" t="inlineStr">
        <is>
          <t>10 EVIDENCE &amp; DECISIONS</t>
        </is>
      </c>
    </row>
    <row r="214" ht="34" customHeight="1">
      <c r="A214" s="34" t="inlineStr">
        <is>
          <t>R1138-v1</t>
        </is>
      </c>
      <c r="B214" s="34" t="inlineStr">
        <is>
          <t>Cost &amp; Forecast Control Accounts</t>
        </is>
      </c>
      <c r="C214" s="34" t="inlineStr">
        <is>
          <t>CST-01-056</t>
        </is>
      </c>
      <c r="D214" s="34" t="inlineStr">
        <is>
          <t>1.1.2 Guideway and Civil - Utility &amp; Roadworks</t>
        </is>
      </c>
      <c r="E214" s="34" t="inlineStr">
        <is>
          <t>New</t>
        </is>
      </c>
      <c r="F214" s="14" t="inlineStr"/>
      <c r="G214" s="34" t="inlineStr">
        <is>
          <t>Source assignment -- not individually reviewed</t>
        </is>
      </c>
      <c r="H214" s="92" t="inlineStr">
        <is>
          <t>10 EVIDENCE &amp; DECISIONS</t>
        </is>
      </c>
    </row>
    <row r="215" ht="34" customHeight="1">
      <c r="A215" s="34" t="inlineStr">
        <is>
          <t>R114-v1</t>
        </is>
      </c>
      <c r="B215" s="34" t="inlineStr">
        <is>
          <t>Contractor Programme</t>
        </is>
      </c>
      <c r="C215" s="34" t="inlineStr">
        <is>
          <t>SCH-01-114</t>
        </is>
      </c>
      <c r="D215" s="34" t="inlineStr">
        <is>
          <t>1.1.2 Guideway and Civil - Utility &amp; Roadworks</t>
        </is>
      </c>
      <c r="E215" s="34" t="inlineStr">
        <is>
          <t>New</t>
        </is>
      </c>
      <c r="F215" s="14" t="inlineStr"/>
      <c r="G215" s="34" t="inlineStr">
        <is>
          <t>Source assignment -- not individually reviewed</t>
        </is>
      </c>
      <c r="H215" s="92" t="inlineStr">
        <is>
          <t>10 EVIDENCE &amp; DECISIONS</t>
        </is>
      </c>
    </row>
    <row r="216" ht="34" customHeight="1">
      <c r="A216" s="34" t="inlineStr">
        <is>
          <t>R1140-v1</t>
        </is>
      </c>
      <c r="B216" s="34" t="inlineStr">
        <is>
          <t>Cost &amp; Forecast Control Accounts</t>
        </is>
      </c>
      <c r="C216" s="34" t="inlineStr">
        <is>
          <t>CST-01-058</t>
        </is>
      </c>
      <c r="D216" s="34" t="inlineStr">
        <is>
          <t>1.1.2 Guideway and Civil - Utility &amp; Roadworks</t>
        </is>
      </c>
      <c r="E216" s="34" t="inlineStr">
        <is>
          <t>New</t>
        </is>
      </c>
      <c r="F216" s="14" t="inlineStr"/>
      <c r="G216" s="34" t="inlineStr">
        <is>
          <t>Source assignment -- not individually reviewed</t>
        </is>
      </c>
      <c r="H216" s="92" t="inlineStr">
        <is>
          <t>10 EVIDENCE &amp; DECISIONS</t>
        </is>
      </c>
    </row>
    <row r="217" ht="34" customHeight="1">
      <c r="A217" s="34" t="inlineStr">
        <is>
          <t>R1142-v1</t>
        </is>
      </c>
      <c r="B217" s="34" t="inlineStr">
        <is>
          <t>Cost &amp; Forecast Control Accounts</t>
        </is>
      </c>
      <c r="C217" s="34" t="inlineStr">
        <is>
          <t>CST-01-060</t>
        </is>
      </c>
      <c r="D217" s="34" t="inlineStr">
        <is>
          <t>1.1.2 Guideway and Civil - Utility &amp; Roadworks</t>
        </is>
      </c>
      <c r="E217" s="34" t="inlineStr">
        <is>
          <t>New</t>
        </is>
      </c>
      <c r="F217" s="14" t="inlineStr"/>
      <c r="G217" s="34" t="inlineStr">
        <is>
          <t>Source assignment -- not individually reviewed</t>
        </is>
      </c>
      <c r="H217" s="92" t="inlineStr">
        <is>
          <t>10 EVIDENCE &amp; DECISIONS</t>
        </is>
      </c>
    </row>
    <row r="218" ht="34" customHeight="1">
      <c r="A218" s="34" t="inlineStr">
        <is>
          <t>R1144-v1</t>
        </is>
      </c>
      <c r="B218" s="34" t="inlineStr">
        <is>
          <t>Cost &amp; Forecast Control Accounts</t>
        </is>
      </c>
      <c r="C218" s="34" t="inlineStr">
        <is>
          <t>CST-01-062</t>
        </is>
      </c>
      <c r="D218" s="34" t="inlineStr">
        <is>
          <t>1.1.2 Guideway and Civil - Utility &amp; Roadworks</t>
        </is>
      </c>
      <c r="E218" s="34" t="inlineStr">
        <is>
          <t>New</t>
        </is>
      </c>
      <c r="F218" s="14" t="inlineStr"/>
      <c r="G218" s="34" t="inlineStr">
        <is>
          <t>Source assignment -- not individually reviewed</t>
        </is>
      </c>
      <c r="H218" s="92" t="inlineStr">
        <is>
          <t>10 EVIDENCE &amp; DECISIONS</t>
        </is>
      </c>
    </row>
    <row r="219" ht="34" customHeight="1">
      <c r="A219" s="34" t="inlineStr">
        <is>
          <t>R1146-v1</t>
        </is>
      </c>
      <c r="B219" s="34" t="inlineStr">
        <is>
          <t>Cost &amp; Forecast Control Accounts</t>
        </is>
      </c>
      <c r="C219" s="34" t="inlineStr">
        <is>
          <t>CST-01-064</t>
        </is>
      </c>
      <c r="D219" s="34" t="inlineStr">
        <is>
          <t>1.1.2 Guideway and Civil - Utility &amp; Roadworks</t>
        </is>
      </c>
      <c r="E219" s="34" t="inlineStr">
        <is>
          <t>New</t>
        </is>
      </c>
      <c r="F219" s="14" t="inlineStr"/>
      <c r="G219" s="34" t="inlineStr">
        <is>
          <t>Source assignment -- not individually reviewed</t>
        </is>
      </c>
      <c r="H219" s="92" t="inlineStr">
        <is>
          <t>10 EVIDENCE &amp; DECISIONS</t>
        </is>
      </c>
    </row>
    <row r="220" ht="34" customHeight="1">
      <c r="A220" s="34" t="inlineStr">
        <is>
          <t>R1148-v1</t>
        </is>
      </c>
      <c r="B220" s="34" t="inlineStr">
        <is>
          <t>Cost &amp; Forecast Control Accounts</t>
        </is>
      </c>
      <c r="C220" s="34" t="inlineStr">
        <is>
          <t>CST-01-066</t>
        </is>
      </c>
      <c r="D220" s="34" t="inlineStr">
        <is>
          <t>1.1.2 Guideway and Civil - Utility &amp; Roadworks</t>
        </is>
      </c>
      <c r="E220" s="34" t="inlineStr">
        <is>
          <t>New</t>
        </is>
      </c>
      <c r="F220" s="14" t="inlineStr"/>
      <c r="G220" s="34" t="inlineStr">
        <is>
          <t>Source assignment -- not individually reviewed</t>
        </is>
      </c>
      <c r="H220" s="92" t="inlineStr">
        <is>
          <t>10 EVIDENCE &amp; DECISIONS</t>
        </is>
      </c>
    </row>
    <row r="221" ht="34" customHeight="1">
      <c r="A221" s="34" t="inlineStr">
        <is>
          <t>R1150-v1</t>
        </is>
      </c>
      <c r="B221" s="34" t="inlineStr">
        <is>
          <t>Cost &amp; Forecast Control Accounts</t>
        </is>
      </c>
      <c r="C221" s="34" t="inlineStr">
        <is>
          <t>CST-01-068</t>
        </is>
      </c>
      <c r="D221" s="34" t="inlineStr">
        <is>
          <t>1.1.2 Guideway and Civil - Utility &amp; Roadworks</t>
        </is>
      </c>
      <c r="E221" s="34" t="inlineStr">
        <is>
          <t>New</t>
        </is>
      </c>
      <c r="F221" s="14" t="inlineStr"/>
      <c r="G221" s="34" t="inlineStr">
        <is>
          <t>Source assignment -- not individually reviewed</t>
        </is>
      </c>
      <c r="H221" s="92" t="inlineStr">
        <is>
          <t>10 EVIDENCE &amp; DECISIONS</t>
        </is>
      </c>
    </row>
    <row r="222" ht="34" customHeight="1">
      <c r="A222" s="34" t="inlineStr">
        <is>
          <t>R1152-v1</t>
        </is>
      </c>
      <c r="B222" s="34" t="inlineStr">
        <is>
          <t>Cost &amp; Forecast Control Accounts</t>
        </is>
      </c>
      <c r="C222" s="34" t="inlineStr">
        <is>
          <t>CST-01-070</t>
        </is>
      </c>
      <c r="D222" s="34" t="inlineStr">
        <is>
          <t>1.1.2 Guideway and Civil - Utility &amp; Roadworks</t>
        </is>
      </c>
      <c r="E222" s="34" t="inlineStr">
        <is>
          <t>New</t>
        </is>
      </c>
      <c r="F222" s="14" t="inlineStr"/>
      <c r="G222" s="34" t="inlineStr">
        <is>
          <t>Source assignment -- not individually reviewed</t>
        </is>
      </c>
      <c r="H222" s="92" t="inlineStr">
        <is>
          <t>10 EVIDENCE &amp; DECISIONS</t>
        </is>
      </c>
    </row>
    <row r="223" ht="34" customHeight="1">
      <c r="A223" s="34" t="inlineStr">
        <is>
          <t>R1154-v1</t>
        </is>
      </c>
      <c r="B223" s="34" t="inlineStr">
        <is>
          <t>Cost &amp; Forecast Control Accounts</t>
        </is>
      </c>
      <c r="C223" s="34" t="inlineStr">
        <is>
          <t>CST-01-072</t>
        </is>
      </c>
      <c r="D223" s="34" t="inlineStr">
        <is>
          <t>1.1.2 Guideway and Civil - Utility &amp; Roadworks</t>
        </is>
      </c>
      <c r="E223" s="34" t="inlineStr">
        <is>
          <t>New</t>
        </is>
      </c>
      <c r="F223" s="14" t="inlineStr"/>
      <c r="G223" s="34" t="inlineStr">
        <is>
          <t>Source assignment -- not individually reviewed</t>
        </is>
      </c>
      <c r="H223" s="92" t="inlineStr">
        <is>
          <t>10 EVIDENCE &amp; DECISIONS</t>
        </is>
      </c>
    </row>
    <row r="224" ht="34" customHeight="1">
      <c r="A224" s="34" t="inlineStr">
        <is>
          <t>R1156-v1</t>
        </is>
      </c>
      <c r="B224" s="34" t="inlineStr">
        <is>
          <t>Cost &amp; Forecast Control Accounts</t>
        </is>
      </c>
      <c r="C224" s="34" t="inlineStr">
        <is>
          <t>CST-01-074</t>
        </is>
      </c>
      <c r="D224" s="34" t="inlineStr">
        <is>
          <t>1.1.2 Guideway and Civil - Utility &amp; Roadworks</t>
        </is>
      </c>
      <c r="E224" s="34" t="inlineStr">
        <is>
          <t>New</t>
        </is>
      </c>
      <c r="F224" s="14" t="inlineStr"/>
      <c r="G224" s="34" t="inlineStr">
        <is>
          <t>Source assignment -- not individually reviewed</t>
        </is>
      </c>
      <c r="H224" s="92" t="inlineStr">
        <is>
          <t>10 EVIDENCE &amp; DECISIONS</t>
        </is>
      </c>
    </row>
    <row r="225" ht="34" customHeight="1">
      <c r="A225" s="34" t="inlineStr">
        <is>
          <t>R1158-v1</t>
        </is>
      </c>
      <c r="B225" s="34" t="inlineStr">
        <is>
          <t>Cost &amp; Forecast Control Accounts</t>
        </is>
      </c>
      <c r="C225" s="34" t="inlineStr">
        <is>
          <t>CST-01-076</t>
        </is>
      </c>
      <c r="D225" s="34" t="inlineStr">
        <is>
          <t>1.1.2 Guideway and Civil - Utility &amp; Roadworks</t>
        </is>
      </c>
      <c r="E225" s="34" t="inlineStr">
        <is>
          <t>New</t>
        </is>
      </c>
      <c r="F225" s="14" t="inlineStr"/>
      <c r="G225" s="34" t="inlineStr">
        <is>
          <t>Source assignment -- not individually reviewed</t>
        </is>
      </c>
      <c r="H225" s="92" t="inlineStr">
        <is>
          <t>10 EVIDENCE &amp; DECISIONS</t>
        </is>
      </c>
    </row>
    <row r="226" ht="34" customHeight="1">
      <c r="A226" s="34" t="inlineStr">
        <is>
          <t>R1160-v1</t>
        </is>
      </c>
      <c r="B226" s="34" t="inlineStr">
        <is>
          <t>Cost &amp; Forecast Control Accounts</t>
        </is>
      </c>
      <c r="C226" s="34" t="inlineStr">
        <is>
          <t>CST-01-078</t>
        </is>
      </c>
      <c r="D226" s="34" t="inlineStr">
        <is>
          <t>1.1.2 Guideway and Civil - Utility &amp; Roadworks</t>
        </is>
      </c>
      <c r="E226" s="34" t="inlineStr">
        <is>
          <t>New</t>
        </is>
      </c>
      <c r="F226" s="14" t="inlineStr"/>
      <c r="G226" s="34" t="inlineStr">
        <is>
          <t>Source assignment -- not individually reviewed</t>
        </is>
      </c>
      <c r="H226" s="92" t="inlineStr">
        <is>
          <t>10 EVIDENCE &amp; DECISIONS</t>
        </is>
      </c>
    </row>
    <row r="227" ht="34" customHeight="1">
      <c r="A227" s="34" t="inlineStr">
        <is>
          <t>R1162-v1</t>
        </is>
      </c>
      <c r="B227" s="34" t="inlineStr">
        <is>
          <t>Cost &amp; Forecast Control Accounts</t>
        </is>
      </c>
      <c r="C227" s="34" t="inlineStr">
        <is>
          <t>CST-01-080</t>
        </is>
      </c>
      <c r="D227" s="34" t="inlineStr">
        <is>
          <t>1.1.2 Guideway and Civil - Utility &amp; Roadworks</t>
        </is>
      </c>
      <c r="E227" s="34" t="inlineStr">
        <is>
          <t>New</t>
        </is>
      </c>
      <c r="F227" s="14" t="inlineStr"/>
      <c r="G227" s="34" t="inlineStr">
        <is>
          <t>Source assignment -- not individually reviewed</t>
        </is>
      </c>
      <c r="H227" s="92" t="inlineStr">
        <is>
          <t>10 EVIDENCE &amp; DECISIONS</t>
        </is>
      </c>
    </row>
    <row r="228" ht="34" customHeight="1">
      <c r="A228" s="34" t="inlineStr">
        <is>
          <t>R117-v1</t>
        </is>
      </c>
      <c r="B228" s="34" t="inlineStr">
        <is>
          <t>Contractor Programme</t>
        </is>
      </c>
      <c r="C228" s="34" t="inlineStr">
        <is>
          <t>SCH-01-117</t>
        </is>
      </c>
      <c r="D228" s="34" t="inlineStr">
        <is>
          <t>1.1.2 Guideway and Civil - Utility &amp; Roadworks</t>
        </is>
      </c>
      <c r="E228" s="34" t="inlineStr">
        <is>
          <t>New</t>
        </is>
      </c>
      <c r="F228" s="14" t="inlineStr"/>
      <c r="G228" s="34" t="inlineStr">
        <is>
          <t>Source assignment -- not individually reviewed</t>
        </is>
      </c>
      <c r="H228" s="92" t="inlineStr">
        <is>
          <t>10 EVIDENCE &amp; DECISIONS</t>
        </is>
      </c>
    </row>
    <row r="229" ht="34" customHeight="1">
      <c r="A229" s="34" t="inlineStr">
        <is>
          <t>R12-v1</t>
        </is>
      </c>
      <c r="B229" s="34" t="inlineStr">
        <is>
          <t>Contractor Programme</t>
        </is>
      </c>
      <c r="C229" s="34" t="inlineStr">
        <is>
          <t>SCH-01-012</t>
        </is>
      </c>
      <c r="D229" s="34" t="inlineStr">
        <is>
          <t>1.1.2 Guideway and Civil - Utility &amp; Roadworks</t>
        </is>
      </c>
      <c r="E229" s="34" t="inlineStr">
        <is>
          <t>New</t>
        </is>
      </c>
      <c r="F229" s="14" t="inlineStr"/>
      <c r="G229" s="34" t="inlineStr">
        <is>
          <t>Source assignment -- not individually reviewed</t>
        </is>
      </c>
      <c r="H229" s="92" t="inlineStr">
        <is>
          <t>10 EVIDENCE &amp; DECISIONS</t>
        </is>
      </c>
    </row>
    <row r="230" ht="34" customHeight="1">
      <c r="A230" s="34" t="inlineStr">
        <is>
          <t>R120-v1</t>
        </is>
      </c>
      <c r="B230" s="34" t="inlineStr">
        <is>
          <t>Contractor Programme</t>
        </is>
      </c>
      <c r="C230" s="34" t="inlineStr">
        <is>
          <t>SCH-01-120</t>
        </is>
      </c>
      <c r="D230" s="34" t="inlineStr">
        <is>
          <t>1.1.2 Guideway and Civil - Utility &amp; Roadworks</t>
        </is>
      </c>
      <c r="E230" s="34" t="inlineStr">
        <is>
          <t>New</t>
        </is>
      </c>
      <c r="F230" s="14" t="inlineStr"/>
      <c r="G230" s="34" t="inlineStr">
        <is>
          <t>Source assignment -- not individually reviewed</t>
        </is>
      </c>
      <c r="H230" s="92" t="inlineStr">
        <is>
          <t>10 EVIDENCE &amp; DECISIONS</t>
        </is>
      </c>
    </row>
    <row r="231" ht="34" customHeight="1">
      <c r="A231" s="34" t="inlineStr">
        <is>
          <t>R123-v1</t>
        </is>
      </c>
      <c r="B231" s="34" t="inlineStr">
        <is>
          <t>Contractor Programme</t>
        </is>
      </c>
      <c r="C231" s="34" t="inlineStr">
        <is>
          <t>SCH-01-123</t>
        </is>
      </c>
      <c r="D231" s="34" t="inlineStr">
        <is>
          <t>1.1.2 Guideway and Civil - Utility &amp; Roadworks</t>
        </is>
      </c>
      <c r="E231" s="34" t="inlineStr">
        <is>
          <t>New</t>
        </is>
      </c>
      <c r="F231" s="14" t="inlineStr"/>
      <c r="G231" s="34" t="inlineStr">
        <is>
          <t>Source assignment -- not individually reviewed</t>
        </is>
      </c>
      <c r="H231" s="92" t="inlineStr">
        <is>
          <t>10 EVIDENCE &amp; DECISIONS</t>
        </is>
      </c>
    </row>
    <row r="232" ht="34" customHeight="1">
      <c r="A232" s="34" t="inlineStr">
        <is>
          <t>R126-v1</t>
        </is>
      </c>
      <c r="B232" s="34" t="inlineStr">
        <is>
          <t>Contractor Programme</t>
        </is>
      </c>
      <c r="C232" s="34" t="inlineStr">
        <is>
          <t>SCH-01-126</t>
        </is>
      </c>
      <c r="D232" s="34" t="inlineStr">
        <is>
          <t>1.1.2 Guideway and Civil - Utility &amp; Roadworks</t>
        </is>
      </c>
      <c r="E232" s="34" t="inlineStr">
        <is>
          <t>New</t>
        </is>
      </c>
      <c r="F232" s="14" t="inlineStr"/>
      <c r="G232" s="34" t="inlineStr">
        <is>
          <t>Source assignment -- not individually reviewed</t>
        </is>
      </c>
      <c r="H232" s="92" t="inlineStr">
        <is>
          <t>10 EVIDENCE &amp; DECISIONS</t>
        </is>
      </c>
    </row>
    <row r="233" ht="34" customHeight="1">
      <c r="A233" s="34" t="inlineStr">
        <is>
          <t>R129-v1</t>
        </is>
      </c>
      <c r="B233" s="34" t="inlineStr">
        <is>
          <t>Contractor Programme</t>
        </is>
      </c>
      <c r="C233" s="34" t="inlineStr">
        <is>
          <t>SCH-01-129</t>
        </is>
      </c>
      <c r="D233" s="34" t="inlineStr">
        <is>
          <t>1.1.2 Guideway and Civil - Utility &amp; Roadworks</t>
        </is>
      </c>
      <c r="E233" s="34" t="inlineStr">
        <is>
          <t>New</t>
        </is>
      </c>
      <c r="F233" s="14" t="inlineStr"/>
      <c r="G233" s="34" t="inlineStr">
        <is>
          <t>Source assignment -- not individually reviewed</t>
        </is>
      </c>
      <c r="H233" s="92" t="inlineStr">
        <is>
          <t>10 EVIDENCE &amp; DECISIONS</t>
        </is>
      </c>
    </row>
    <row r="234" ht="34" customHeight="1">
      <c r="A234" s="34" t="inlineStr">
        <is>
          <t>R132-v1</t>
        </is>
      </c>
      <c r="B234" s="34" t="inlineStr">
        <is>
          <t>Contractor Programme</t>
        </is>
      </c>
      <c r="C234" s="34" t="inlineStr">
        <is>
          <t>SCH-01-132</t>
        </is>
      </c>
      <c r="D234" s="34" t="inlineStr">
        <is>
          <t>1.1.2 Guideway and Civil - Utility &amp; Roadworks</t>
        </is>
      </c>
      <c r="E234" s="34" t="inlineStr">
        <is>
          <t>New</t>
        </is>
      </c>
      <c r="F234" s="14" t="inlineStr"/>
      <c r="G234" s="34" t="inlineStr">
        <is>
          <t>Source assignment -- not individually reviewed</t>
        </is>
      </c>
      <c r="H234" s="92" t="inlineStr">
        <is>
          <t>10 EVIDENCE &amp; DECISIONS</t>
        </is>
      </c>
    </row>
    <row r="235" ht="34" customHeight="1">
      <c r="A235" s="34" t="inlineStr">
        <is>
          <t>R135-v1</t>
        </is>
      </c>
      <c r="B235" s="34" t="inlineStr">
        <is>
          <t>Contractor Programme</t>
        </is>
      </c>
      <c r="C235" s="34" t="inlineStr">
        <is>
          <t>SCH-01-135</t>
        </is>
      </c>
      <c r="D235" s="34" t="inlineStr">
        <is>
          <t>1.1.2 Guideway and Civil - Utility &amp; Roadworks</t>
        </is>
      </c>
      <c r="E235" s="34" t="inlineStr">
        <is>
          <t>New</t>
        </is>
      </c>
      <c r="F235" s="14" t="inlineStr"/>
      <c r="G235" s="34" t="inlineStr">
        <is>
          <t>Source assignment -- not individually reviewed</t>
        </is>
      </c>
      <c r="H235" s="92" t="inlineStr">
        <is>
          <t>10 EVIDENCE &amp; DECISIONS</t>
        </is>
      </c>
    </row>
    <row r="236" ht="34" customHeight="1">
      <c r="A236" s="34" t="inlineStr">
        <is>
          <t>R138-v1</t>
        </is>
      </c>
      <c r="B236" s="34" t="inlineStr">
        <is>
          <t>Contractor Programme</t>
        </is>
      </c>
      <c r="C236" s="34" t="inlineStr">
        <is>
          <t>SCH-01-138</t>
        </is>
      </c>
      <c r="D236" s="34" t="inlineStr">
        <is>
          <t>1.1.2 Guideway and Civil - Utility &amp; Roadworks</t>
        </is>
      </c>
      <c r="E236" s="34" t="inlineStr">
        <is>
          <t>New</t>
        </is>
      </c>
      <c r="F236" s="14" t="inlineStr"/>
      <c r="G236" s="34" t="inlineStr">
        <is>
          <t>Source assignment -- not individually reviewed</t>
        </is>
      </c>
      <c r="H236" s="92" t="inlineStr">
        <is>
          <t>10 EVIDENCE &amp; DECISIONS</t>
        </is>
      </c>
    </row>
    <row r="237" ht="34" customHeight="1">
      <c r="A237" s="34" t="inlineStr">
        <is>
          <t>R141-v1</t>
        </is>
      </c>
      <c r="B237" s="34" t="inlineStr">
        <is>
          <t>Contractor Programme</t>
        </is>
      </c>
      <c r="C237" s="34" t="inlineStr">
        <is>
          <t>SCH-01-141</t>
        </is>
      </c>
      <c r="D237" s="34" t="inlineStr">
        <is>
          <t>1.1.2 Guideway and Civil - Utility &amp; Roadworks</t>
        </is>
      </c>
      <c r="E237" s="34" t="inlineStr">
        <is>
          <t>New</t>
        </is>
      </c>
      <c r="F237" s="14" t="inlineStr"/>
      <c r="G237" s="34" t="inlineStr">
        <is>
          <t>Source assignment -- not individually reviewed</t>
        </is>
      </c>
      <c r="H237" s="92" t="inlineStr">
        <is>
          <t>10 EVIDENCE &amp; DECISIONS</t>
        </is>
      </c>
    </row>
    <row r="238" ht="34" customHeight="1">
      <c r="A238" s="34" t="inlineStr">
        <is>
          <t>R144-v1</t>
        </is>
      </c>
      <c r="B238" s="34" t="inlineStr">
        <is>
          <t>Contractor Programme</t>
        </is>
      </c>
      <c r="C238" s="34" t="inlineStr">
        <is>
          <t>SCH-01-144</t>
        </is>
      </c>
      <c r="D238" s="34" t="inlineStr">
        <is>
          <t>1.1.2 Guideway and Civil - Utility &amp; Roadworks</t>
        </is>
      </c>
      <c r="E238" s="34" t="inlineStr">
        <is>
          <t>New</t>
        </is>
      </c>
      <c r="F238" s="14" t="inlineStr"/>
      <c r="G238" s="34" t="inlineStr">
        <is>
          <t>Source assignment -- not individually reviewed</t>
        </is>
      </c>
      <c r="H238" s="92" t="inlineStr">
        <is>
          <t>10 EVIDENCE &amp; DECISIONS</t>
        </is>
      </c>
    </row>
    <row r="239" ht="34" customHeight="1">
      <c r="A239" s="34" t="inlineStr">
        <is>
          <t>R147-v1</t>
        </is>
      </c>
      <c r="B239" s="34" t="inlineStr">
        <is>
          <t>Contractor Programme</t>
        </is>
      </c>
      <c r="C239" s="34" t="inlineStr">
        <is>
          <t>SCH-01-147</t>
        </is>
      </c>
      <c r="D239" s="34" t="inlineStr">
        <is>
          <t>1.1.2 Guideway and Civil - Utility &amp; Roadworks</t>
        </is>
      </c>
      <c r="E239" s="34" t="inlineStr">
        <is>
          <t>New</t>
        </is>
      </c>
      <c r="F239" s="14" t="inlineStr"/>
      <c r="G239" s="34" t="inlineStr">
        <is>
          <t>Source assignment -- not individually reviewed</t>
        </is>
      </c>
      <c r="H239" s="92" t="inlineStr">
        <is>
          <t>10 EVIDENCE &amp; DECISIONS</t>
        </is>
      </c>
    </row>
    <row r="240" ht="34" customHeight="1">
      <c r="A240" s="34" t="inlineStr">
        <is>
          <t>R15-v1</t>
        </is>
      </c>
      <c r="B240" s="34" t="inlineStr">
        <is>
          <t>Contractor Programme</t>
        </is>
      </c>
      <c r="C240" s="34" t="inlineStr">
        <is>
          <t>SCH-01-015</t>
        </is>
      </c>
      <c r="D240" s="34" t="inlineStr">
        <is>
          <t>1.1.2 Guideway and Civil - Utility &amp; Roadworks</t>
        </is>
      </c>
      <c r="E240" s="34" t="inlineStr">
        <is>
          <t>New</t>
        </is>
      </c>
      <c r="F240" s="14" t="inlineStr"/>
      <c r="G240" s="34" t="inlineStr">
        <is>
          <t>Source assignment -- not individually reviewed</t>
        </is>
      </c>
      <c r="H240" s="92" t="inlineStr">
        <is>
          <t>10 EVIDENCE &amp; DECISIONS</t>
        </is>
      </c>
    </row>
    <row r="241" ht="34" customHeight="1">
      <c r="A241" s="34" t="inlineStr">
        <is>
          <t>R150-v1</t>
        </is>
      </c>
      <c r="B241" s="34" t="inlineStr">
        <is>
          <t>Contractor Programme</t>
        </is>
      </c>
      <c r="C241" s="34" t="inlineStr">
        <is>
          <t>SCH-01-150</t>
        </is>
      </c>
      <c r="D241" s="34" t="inlineStr">
        <is>
          <t>1.1.2 Guideway and Civil - Utility &amp; Roadworks</t>
        </is>
      </c>
      <c r="E241" s="34" t="inlineStr">
        <is>
          <t>New</t>
        </is>
      </c>
      <c r="F241" s="14" t="inlineStr"/>
      <c r="G241" s="34" t="inlineStr">
        <is>
          <t>Source assignment -- not individually reviewed</t>
        </is>
      </c>
      <c r="H241" s="92" t="inlineStr">
        <is>
          <t>10 EVIDENCE &amp; DECISIONS</t>
        </is>
      </c>
    </row>
    <row r="242" ht="34" customHeight="1">
      <c r="A242" s="34" t="inlineStr">
        <is>
          <t>R153-v1</t>
        </is>
      </c>
      <c r="B242" s="34" t="inlineStr">
        <is>
          <t>Contractor Programme</t>
        </is>
      </c>
      <c r="C242" s="34" t="inlineStr">
        <is>
          <t>SCH-01-153</t>
        </is>
      </c>
      <c r="D242" s="34" t="inlineStr">
        <is>
          <t>1.1.2 Guideway and Civil - Utility &amp; Roadworks</t>
        </is>
      </c>
      <c r="E242" s="34" t="inlineStr">
        <is>
          <t>New</t>
        </is>
      </c>
      <c r="F242" s="14" t="inlineStr"/>
      <c r="G242" s="34" t="inlineStr">
        <is>
          <t>Source assignment -- not individually reviewed</t>
        </is>
      </c>
      <c r="H242" s="92" t="inlineStr">
        <is>
          <t>10 EVIDENCE &amp; DECISIONS</t>
        </is>
      </c>
    </row>
    <row r="243" ht="34" customHeight="1">
      <c r="A243" s="34" t="inlineStr">
        <is>
          <t>R156-v1</t>
        </is>
      </c>
      <c r="B243" s="34" t="inlineStr">
        <is>
          <t>Contractor Programme</t>
        </is>
      </c>
      <c r="C243" s="34" t="inlineStr">
        <is>
          <t>SCH-01-156</t>
        </is>
      </c>
      <c r="D243" s="34" t="inlineStr">
        <is>
          <t>1.1.2 Guideway and Civil - Utility &amp; Roadworks</t>
        </is>
      </c>
      <c r="E243" s="34" t="inlineStr">
        <is>
          <t>New</t>
        </is>
      </c>
      <c r="F243" s="14" t="inlineStr"/>
      <c r="G243" s="34" t="inlineStr">
        <is>
          <t>Source assignment -- not individually reviewed</t>
        </is>
      </c>
      <c r="H243" s="92" t="inlineStr">
        <is>
          <t>10 EVIDENCE &amp; DECISIONS</t>
        </is>
      </c>
    </row>
    <row r="244" ht="34" customHeight="1">
      <c r="A244" s="34" t="inlineStr">
        <is>
          <t>R159-v1</t>
        </is>
      </c>
      <c r="B244" s="34" t="inlineStr">
        <is>
          <t>Contractor Programme</t>
        </is>
      </c>
      <c r="C244" s="34" t="inlineStr">
        <is>
          <t>SCH-01-159</t>
        </is>
      </c>
      <c r="D244" s="34" t="inlineStr">
        <is>
          <t>1.1.2 Guideway and Civil - Utility &amp; Roadworks</t>
        </is>
      </c>
      <c r="E244" s="34" t="inlineStr">
        <is>
          <t>New</t>
        </is>
      </c>
      <c r="F244" s="14" t="inlineStr"/>
      <c r="G244" s="34" t="inlineStr">
        <is>
          <t>Source assignment -- not individually reviewed</t>
        </is>
      </c>
      <c r="H244" s="92" t="inlineStr">
        <is>
          <t>10 EVIDENCE &amp; DECISIONS</t>
        </is>
      </c>
    </row>
    <row r="245" ht="34" customHeight="1">
      <c r="A245" s="34" t="inlineStr">
        <is>
          <t>R162-v1</t>
        </is>
      </c>
      <c r="B245" s="34" t="inlineStr">
        <is>
          <t>Contractor Programme</t>
        </is>
      </c>
      <c r="C245" s="34" t="inlineStr">
        <is>
          <t>SCH-01-162</t>
        </is>
      </c>
      <c r="D245" s="34" t="inlineStr">
        <is>
          <t>1.1.2 Guideway and Civil - Utility &amp; Roadworks</t>
        </is>
      </c>
      <c r="E245" s="34" t="inlineStr">
        <is>
          <t>New</t>
        </is>
      </c>
      <c r="F245" s="14" t="inlineStr"/>
      <c r="G245" s="34" t="inlineStr">
        <is>
          <t>Source assignment -- not individually reviewed</t>
        </is>
      </c>
      <c r="H245" s="92" t="inlineStr">
        <is>
          <t>10 EVIDENCE &amp; DECISIONS</t>
        </is>
      </c>
    </row>
    <row r="246" ht="34" customHeight="1">
      <c r="A246" s="34" t="inlineStr">
        <is>
          <t>R165-v1</t>
        </is>
      </c>
      <c r="B246" s="34" t="inlineStr">
        <is>
          <t>Contractor Programme</t>
        </is>
      </c>
      <c r="C246" s="34" t="inlineStr">
        <is>
          <t>SCH-01-165</t>
        </is>
      </c>
      <c r="D246" s="34" t="inlineStr">
        <is>
          <t>1.1.2 Guideway and Civil - Utility &amp; Roadworks</t>
        </is>
      </c>
      <c r="E246" s="34" t="inlineStr">
        <is>
          <t>New</t>
        </is>
      </c>
      <c r="F246" s="14" t="inlineStr"/>
      <c r="G246" s="34" t="inlineStr">
        <is>
          <t>Source assignment -- not individually reviewed</t>
        </is>
      </c>
      <c r="H246" s="92" t="inlineStr">
        <is>
          <t>10 EVIDENCE &amp; DECISIONS</t>
        </is>
      </c>
    </row>
    <row r="247" ht="34" customHeight="1">
      <c r="A247" s="34" t="inlineStr">
        <is>
          <t>R168-v1</t>
        </is>
      </c>
      <c r="B247" s="34" t="inlineStr">
        <is>
          <t>Contractor Programme</t>
        </is>
      </c>
      <c r="C247" s="34" t="inlineStr">
        <is>
          <t>SCH-01-168</t>
        </is>
      </c>
      <c r="D247" s="34" t="inlineStr">
        <is>
          <t>1.1.2 Guideway and Civil - Utility &amp; Roadworks</t>
        </is>
      </c>
      <c r="E247" s="34" t="inlineStr">
        <is>
          <t>New</t>
        </is>
      </c>
      <c r="F247" s="14" t="inlineStr"/>
      <c r="G247" s="34" t="inlineStr">
        <is>
          <t>Source assignment -- not individually reviewed</t>
        </is>
      </c>
      <c r="H247" s="92" t="inlineStr">
        <is>
          <t>10 EVIDENCE &amp; DECISIONS</t>
        </is>
      </c>
    </row>
    <row r="248" ht="34" customHeight="1">
      <c r="A248" s="34" t="inlineStr">
        <is>
          <t>R171-v1</t>
        </is>
      </c>
      <c r="B248" s="34" t="inlineStr">
        <is>
          <t>Contractor Programme</t>
        </is>
      </c>
      <c r="C248" s="34" t="inlineStr">
        <is>
          <t>SCH-01-171</t>
        </is>
      </c>
      <c r="D248" s="34" t="inlineStr">
        <is>
          <t>1.1.2 Guideway and Civil - Utility &amp; Roadworks</t>
        </is>
      </c>
      <c r="E248" s="34" t="inlineStr">
        <is>
          <t>New</t>
        </is>
      </c>
      <c r="F248" s="14" t="inlineStr"/>
      <c r="G248" s="34" t="inlineStr">
        <is>
          <t>Source assignment -- not individually reviewed</t>
        </is>
      </c>
      <c r="H248" s="92" t="inlineStr">
        <is>
          <t>10 EVIDENCE &amp; DECISIONS</t>
        </is>
      </c>
    </row>
    <row r="249" ht="34" customHeight="1">
      <c r="A249" s="34" t="inlineStr">
        <is>
          <t>R174-v1</t>
        </is>
      </c>
      <c r="B249" s="34" t="inlineStr">
        <is>
          <t>Contractor Programme</t>
        </is>
      </c>
      <c r="C249" s="34" t="inlineStr">
        <is>
          <t>SCH-01-174</t>
        </is>
      </c>
      <c r="D249" s="34" t="inlineStr">
        <is>
          <t>1.1.2 Guideway and Civil - Utility &amp; Roadworks</t>
        </is>
      </c>
      <c r="E249" s="34" t="inlineStr">
        <is>
          <t>New</t>
        </is>
      </c>
      <c r="F249" s="14" t="inlineStr"/>
      <c r="G249" s="34" t="inlineStr">
        <is>
          <t>Source assignment -- not individually reviewed</t>
        </is>
      </c>
      <c r="H249" s="92" t="inlineStr">
        <is>
          <t>10 EVIDENCE &amp; DECISIONS</t>
        </is>
      </c>
    </row>
    <row r="250" ht="34" customHeight="1">
      <c r="A250" s="34" t="inlineStr">
        <is>
          <t>R177-v1</t>
        </is>
      </c>
      <c r="B250" s="34" t="inlineStr">
        <is>
          <t>Contractor Programme</t>
        </is>
      </c>
      <c r="C250" s="34" t="inlineStr">
        <is>
          <t>SCH-01-177</t>
        </is>
      </c>
      <c r="D250" s="34" t="inlineStr">
        <is>
          <t>1.1.2 Guideway and Civil - Utility &amp; Roadworks</t>
        </is>
      </c>
      <c r="E250" s="34" t="inlineStr">
        <is>
          <t>New</t>
        </is>
      </c>
      <c r="F250" s="14" t="inlineStr"/>
      <c r="G250" s="34" t="inlineStr">
        <is>
          <t>Source assignment -- not individually reviewed</t>
        </is>
      </c>
      <c r="H250" s="92" t="inlineStr">
        <is>
          <t>10 EVIDENCE &amp; DECISIONS</t>
        </is>
      </c>
    </row>
    <row r="251" ht="34" customHeight="1">
      <c r="A251" s="34" t="inlineStr">
        <is>
          <t>R18-v1</t>
        </is>
      </c>
      <c r="B251" s="34" t="inlineStr">
        <is>
          <t>Contractor Programme</t>
        </is>
      </c>
      <c r="C251" s="34" t="inlineStr">
        <is>
          <t>SCH-01-018</t>
        </is>
      </c>
      <c r="D251" s="34" t="inlineStr">
        <is>
          <t>1.1.2 Guideway and Civil - Utility &amp; Roadworks</t>
        </is>
      </c>
      <c r="E251" s="34" t="inlineStr">
        <is>
          <t>New</t>
        </is>
      </c>
      <c r="F251" s="14" t="inlineStr"/>
      <c r="G251" s="34" t="inlineStr">
        <is>
          <t>Source assignment -- not individually reviewed</t>
        </is>
      </c>
      <c r="H251" s="92" t="inlineStr">
        <is>
          <t>10 EVIDENCE &amp; DECISIONS</t>
        </is>
      </c>
    </row>
    <row r="252" ht="34" customHeight="1">
      <c r="A252" s="34" t="inlineStr">
        <is>
          <t>R180-v1</t>
        </is>
      </c>
      <c r="B252" s="34" t="inlineStr">
        <is>
          <t>Contractor Programme</t>
        </is>
      </c>
      <c r="C252" s="34" t="inlineStr">
        <is>
          <t>SCH-01-180</t>
        </is>
      </c>
      <c r="D252" s="34" t="inlineStr">
        <is>
          <t>1.1.2 Guideway and Civil - Utility &amp; Roadworks</t>
        </is>
      </c>
      <c r="E252" s="34" t="inlineStr">
        <is>
          <t>New</t>
        </is>
      </c>
      <c r="F252" s="14" t="inlineStr"/>
      <c r="G252" s="34" t="inlineStr">
        <is>
          <t>Source assignment -- not individually reviewed</t>
        </is>
      </c>
      <c r="H252" s="92" t="inlineStr">
        <is>
          <t>10 EVIDENCE &amp; DECISIONS</t>
        </is>
      </c>
    </row>
    <row r="253" ht="34" customHeight="1">
      <c r="A253" s="34" t="inlineStr">
        <is>
          <t>R21-v1</t>
        </is>
      </c>
      <c r="B253" s="34" t="inlineStr">
        <is>
          <t>Contractor Programme</t>
        </is>
      </c>
      <c r="C253" s="34" t="inlineStr">
        <is>
          <t>SCH-01-021</t>
        </is>
      </c>
      <c r="D253" s="34" t="inlineStr">
        <is>
          <t>1.1.2 Guideway and Civil - Utility &amp; Roadworks</t>
        </is>
      </c>
      <c r="E253" s="34" t="inlineStr">
        <is>
          <t>New</t>
        </is>
      </c>
      <c r="F253" s="14" t="inlineStr"/>
      <c r="G253" s="34" t="inlineStr">
        <is>
          <t>Source assignment -- not individually reviewed</t>
        </is>
      </c>
      <c r="H253" s="92" t="inlineStr">
        <is>
          <t>10 EVIDENCE &amp; DECISIONS</t>
        </is>
      </c>
    </row>
    <row r="254" ht="34" customHeight="1">
      <c r="A254" s="34" t="inlineStr">
        <is>
          <t>R24-v1</t>
        </is>
      </c>
      <c r="B254" s="34" t="inlineStr">
        <is>
          <t>Contractor Programme</t>
        </is>
      </c>
      <c r="C254" s="34" t="inlineStr">
        <is>
          <t>SCH-01-024</t>
        </is>
      </c>
      <c r="D254" s="34" t="inlineStr">
        <is>
          <t>1.1.2 Guideway and Civil - Utility &amp; Roadworks</t>
        </is>
      </c>
      <c r="E254" s="34" t="inlineStr">
        <is>
          <t>New</t>
        </is>
      </c>
      <c r="F254" s="14" t="inlineStr"/>
      <c r="G254" s="34" t="inlineStr">
        <is>
          <t>Source assignment -- not individually reviewed</t>
        </is>
      </c>
      <c r="H254" s="92" t="inlineStr">
        <is>
          <t>10 EVIDENCE &amp; DECISIONS</t>
        </is>
      </c>
    </row>
    <row r="255" ht="34" customHeight="1">
      <c r="A255" s="34" t="inlineStr">
        <is>
          <t>R27-v1</t>
        </is>
      </c>
      <c r="B255" s="34" t="inlineStr">
        <is>
          <t>Contractor Programme</t>
        </is>
      </c>
      <c r="C255" s="34" t="inlineStr">
        <is>
          <t>SCH-01-027</t>
        </is>
      </c>
      <c r="D255" s="34" t="inlineStr">
        <is>
          <t>1.1.2 Guideway and Civil - Utility &amp; Roadworks</t>
        </is>
      </c>
      <c r="E255" s="34" t="inlineStr">
        <is>
          <t>New</t>
        </is>
      </c>
      <c r="F255" s="14" t="inlineStr"/>
      <c r="G255" s="34" t="inlineStr">
        <is>
          <t>Source assignment -- not individually reviewed</t>
        </is>
      </c>
      <c r="H255" s="92" t="inlineStr">
        <is>
          <t>10 EVIDENCE &amp; DECISIONS</t>
        </is>
      </c>
    </row>
    <row r="256" ht="34" customHeight="1">
      <c r="A256" s="34" t="inlineStr">
        <is>
          <t>R3-v1</t>
        </is>
      </c>
      <c r="B256" s="34" t="inlineStr">
        <is>
          <t>Contractor Programme</t>
        </is>
      </c>
      <c r="C256" s="34" t="inlineStr">
        <is>
          <t>SCH-01-003</t>
        </is>
      </c>
      <c r="D256" s="34" t="inlineStr">
        <is>
          <t>1.1.2 Guideway and Civil - Utility &amp; Roadworks</t>
        </is>
      </c>
      <c r="E256" s="34" t="inlineStr">
        <is>
          <t>New</t>
        </is>
      </c>
      <c r="F256" s="14" t="inlineStr"/>
      <c r="G256" s="34" t="inlineStr">
        <is>
          <t>Source assignment -- not individually reviewed</t>
        </is>
      </c>
      <c r="H256" s="92" t="inlineStr">
        <is>
          <t>10 EVIDENCE &amp; DECISIONS</t>
        </is>
      </c>
    </row>
    <row r="257" ht="34" customHeight="1">
      <c r="A257" s="34" t="inlineStr">
        <is>
          <t>R30-v1</t>
        </is>
      </c>
      <c r="B257" s="34" t="inlineStr">
        <is>
          <t>Contractor Programme</t>
        </is>
      </c>
      <c r="C257" s="34" t="inlineStr">
        <is>
          <t>SCH-01-030</t>
        </is>
      </c>
      <c r="D257" s="34" t="inlineStr">
        <is>
          <t>1.1.2 Guideway and Civil - Utility &amp; Roadworks</t>
        </is>
      </c>
      <c r="E257" s="34" t="inlineStr">
        <is>
          <t>New</t>
        </is>
      </c>
      <c r="F257" s="14" t="inlineStr"/>
      <c r="G257" s="34" t="inlineStr">
        <is>
          <t>Source assignment -- not individually reviewed</t>
        </is>
      </c>
      <c r="H257" s="92" t="inlineStr">
        <is>
          <t>10 EVIDENCE &amp; DECISIONS</t>
        </is>
      </c>
    </row>
    <row r="258" ht="34" customHeight="1">
      <c r="A258" s="34" t="inlineStr">
        <is>
          <t>R33-v1</t>
        </is>
      </c>
      <c r="B258" s="34" t="inlineStr">
        <is>
          <t>Contractor Programme</t>
        </is>
      </c>
      <c r="C258" s="34" t="inlineStr">
        <is>
          <t>SCH-01-033</t>
        </is>
      </c>
      <c r="D258" s="34" t="inlineStr">
        <is>
          <t>1.1.2 Guideway and Civil - Utility &amp; Roadworks</t>
        </is>
      </c>
      <c r="E258" s="34" t="inlineStr">
        <is>
          <t>New</t>
        </is>
      </c>
      <c r="F258" s="14" t="inlineStr"/>
      <c r="G258" s="34" t="inlineStr">
        <is>
          <t>Source assignment -- not individually reviewed</t>
        </is>
      </c>
      <c r="H258" s="92" t="inlineStr">
        <is>
          <t>10 EVIDENCE &amp; DECISIONS</t>
        </is>
      </c>
    </row>
    <row r="259" ht="34" customHeight="1">
      <c r="A259" s="34" t="inlineStr">
        <is>
          <t>R36-v1</t>
        </is>
      </c>
      <c r="B259" s="34" t="inlineStr">
        <is>
          <t>Contractor Programme</t>
        </is>
      </c>
      <c r="C259" s="34" t="inlineStr">
        <is>
          <t>SCH-01-036</t>
        </is>
      </c>
      <c r="D259" s="34" t="inlineStr">
        <is>
          <t>1.1.2 Guideway and Civil - Utility &amp; Roadworks</t>
        </is>
      </c>
      <c r="E259" s="34" t="inlineStr">
        <is>
          <t>New</t>
        </is>
      </c>
      <c r="F259" s="14" t="inlineStr"/>
      <c r="G259" s="34" t="inlineStr">
        <is>
          <t>Source assignment -- not individually reviewed</t>
        </is>
      </c>
      <c r="H259" s="92" t="inlineStr">
        <is>
          <t>10 EVIDENCE &amp; DECISIONS</t>
        </is>
      </c>
    </row>
    <row r="260" ht="34" customHeight="1">
      <c r="A260" s="34" t="inlineStr">
        <is>
          <t>R39-v1</t>
        </is>
      </c>
      <c r="B260" s="34" t="inlineStr">
        <is>
          <t>Contractor Programme</t>
        </is>
      </c>
      <c r="C260" s="34" t="inlineStr">
        <is>
          <t>SCH-01-039</t>
        </is>
      </c>
      <c r="D260" s="34" t="inlineStr">
        <is>
          <t>1.1.2 Guideway and Civil - Utility &amp; Roadworks</t>
        </is>
      </c>
      <c r="E260" s="34" t="inlineStr">
        <is>
          <t>New</t>
        </is>
      </c>
      <c r="F260" s="14" t="inlineStr"/>
      <c r="G260" s="34" t="inlineStr">
        <is>
          <t>Source assignment -- not individually reviewed</t>
        </is>
      </c>
      <c r="H260" s="92" t="inlineStr">
        <is>
          <t>10 EVIDENCE &amp; DECISIONS</t>
        </is>
      </c>
    </row>
    <row r="261" ht="34" customHeight="1">
      <c r="A261" s="34" t="inlineStr">
        <is>
          <t>R42-v1</t>
        </is>
      </c>
      <c r="B261" s="34" t="inlineStr">
        <is>
          <t>Contractor Programme</t>
        </is>
      </c>
      <c r="C261" s="34" t="inlineStr">
        <is>
          <t>SCH-01-042</t>
        </is>
      </c>
      <c r="D261" s="34" t="inlineStr">
        <is>
          <t>1.1.2 Guideway and Civil - Utility &amp; Roadworks</t>
        </is>
      </c>
      <c r="E261" s="34" t="inlineStr">
        <is>
          <t>New</t>
        </is>
      </c>
      <c r="F261" s="14" t="inlineStr"/>
      <c r="G261" s="34" t="inlineStr">
        <is>
          <t>Source assignment -- not individually reviewed</t>
        </is>
      </c>
      <c r="H261" s="92" t="inlineStr">
        <is>
          <t>10 EVIDENCE &amp; DECISIONS</t>
        </is>
      </c>
    </row>
    <row r="262" ht="34" customHeight="1">
      <c r="A262" s="34" t="inlineStr">
        <is>
          <t>R45-v1</t>
        </is>
      </c>
      <c r="B262" s="34" t="inlineStr">
        <is>
          <t>Contractor Programme</t>
        </is>
      </c>
      <c r="C262" s="34" t="inlineStr">
        <is>
          <t>SCH-01-045</t>
        </is>
      </c>
      <c r="D262" s="34" t="inlineStr">
        <is>
          <t>1.1.2 Guideway and Civil - Utility &amp; Roadworks</t>
        </is>
      </c>
      <c r="E262" s="34" t="inlineStr">
        <is>
          <t>New</t>
        </is>
      </c>
      <c r="F262" s="14" t="inlineStr"/>
      <c r="G262" s="34" t="inlineStr">
        <is>
          <t>Source assignment -- not individually reviewed</t>
        </is>
      </c>
      <c r="H262" s="92" t="inlineStr">
        <is>
          <t>10 EVIDENCE &amp; DECISIONS</t>
        </is>
      </c>
    </row>
    <row r="263" ht="34" customHeight="1">
      <c r="A263" s="34" t="inlineStr">
        <is>
          <t>R48-v1</t>
        </is>
      </c>
      <c r="B263" s="34" t="inlineStr">
        <is>
          <t>Contractor Programme</t>
        </is>
      </c>
      <c r="C263" s="34" t="inlineStr">
        <is>
          <t>SCH-01-048</t>
        </is>
      </c>
      <c r="D263" s="34" t="inlineStr">
        <is>
          <t>1.1.2 Guideway and Civil - Utility &amp; Roadworks</t>
        </is>
      </c>
      <c r="E263" s="34" t="inlineStr">
        <is>
          <t>New</t>
        </is>
      </c>
      <c r="F263" s="14" t="inlineStr"/>
      <c r="G263" s="34" t="inlineStr">
        <is>
          <t>Source assignment -- not individually reviewed</t>
        </is>
      </c>
      <c r="H263" s="92" t="inlineStr">
        <is>
          <t>10 EVIDENCE &amp; DECISIONS</t>
        </is>
      </c>
    </row>
    <row r="264" ht="34" customHeight="1">
      <c r="A264" s="34" t="inlineStr">
        <is>
          <t>R51-v1</t>
        </is>
      </c>
      <c r="B264" s="34" t="inlineStr">
        <is>
          <t>Contractor Programme</t>
        </is>
      </c>
      <c r="C264" s="34" t="inlineStr">
        <is>
          <t>SCH-01-051</t>
        </is>
      </c>
      <c r="D264" s="34" t="inlineStr">
        <is>
          <t>1.1.2 Guideway and Civil - Utility &amp; Roadworks</t>
        </is>
      </c>
      <c r="E264" s="34" t="inlineStr">
        <is>
          <t>New</t>
        </is>
      </c>
      <c r="F264" s="14" t="inlineStr"/>
      <c r="G264" s="34" t="inlineStr">
        <is>
          <t>Source assignment -- not individually reviewed</t>
        </is>
      </c>
      <c r="H264" s="92" t="inlineStr">
        <is>
          <t>10 EVIDENCE &amp; DECISIONS</t>
        </is>
      </c>
    </row>
    <row r="265" ht="34" customHeight="1">
      <c r="A265" s="34" t="inlineStr">
        <is>
          <t>R54-v1</t>
        </is>
      </c>
      <c r="B265" s="34" t="inlineStr">
        <is>
          <t>Contractor Programme</t>
        </is>
      </c>
      <c r="C265" s="34" t="inlineStr">
        <is>
          <t>SCH-01-054</t>
        </is>
      </c>
      <c r="D265" s="34" t="inlineStr">
        <is>
          <t>1.1.2 Guideway and Civil - Utility &amp; Roadworks</t>
        </is>
      </c>
      <c r="E265" s="34" t="inlineStr">
        <is>
          <t>New</t>
        </is>
      </c>
      <c r="F265" s="14" t="inlineStr"/>
      <c r="G265" s="34" t="inlineStr">
        <is>
          <t>Source assignment -- not individually reviewed</t>
        </is>
      </c>
      <c r="H265" s="92" t="inlineStr">
        <is>
          <t>10 EVIDENCE &amp; DECISIONS</t>
        </is>
      </c>
    </row>
    <row r="266" ht="34" customHeight="1">
      <c r="A266" s="34" t="inlineStr">
        <is>
          <t>R57-v1</t>
        </is>
      </c>
      <c r="B266" s="34" t="inlineStr">
        <is>
          <t>Contractor Programme</t>
        </is>
      </c>
      <c r="C266" s="34" t="inlineStr">
        <is>
          <t>SCH-01-057</t>
        </is>
      </c>
      <c r="D266" s="34" t="inlineStr">
        <is>
          <t>1.1.2 Guideway and Civil - Utility &amp; Roadworks</t>
        </is>
      </c>
      <c r="E266" s="34" t="inlineStr">
        <is>
          <t>New</t>
        </is>
      </c>
      <c r="F266" s="14" t="inlineStr"/>
      <c r="G266" s="34" t="inlineStr">
        <is>
          <t>Source assignment -- not individually reviewed</t>
        </is>
      </c>
      <c r="H266" s="92" t="inlineStr">
        <is>
          <t>10 EVIDENCE &amp; DECISIONS</t>
        </is>
      </c>
    </row>
    <row r="267" ht="34" customHeight="1">
      <c r="A267" s="34" t="inlineStr">
        <is>
          <t>R6-v1</t>
        </is>
      </c>
      <c r="B267" s="34" t="inlineStr">
        <is>
          <t>Contractor Programme</t>
        </is>
      </c>
      <c r="C267" s="34" t="inlineStr">
        <is>
          <t>SCH-01-006</t>
        </is>
      </c>
      <c r="D267" s="34" t="inlineStr">
        <is>
          <t>1.1.2 Guideway and Civil - Utility &amp; Roadworks</t>
        </is>
      </c>
      <c r="E267" s="34" t="inlineStr">
        <is>
          <t>New</t>
        </is>
      </c>
      <c r="F267" s="14" t="inlineStr"/>
      <c r="G267" s="34" t="inlineStr">
        <is>
          <t>Source assignment -- not individually reviewed</t>
        </is>
      </c>
      <c r="H267" s="92" t="inlineStr">
        <is>
          <t>10 EVIDENCE &amp; DECISIONS</t>
        </is>
      </c>
    </row>
    <row r="268" ht="34" customHeight="1">
      <c r="A268" s="34" t="inlineStr">
        <is>
          <t>R60-v1</t>
        </is>
      </c>
      <c r="B268" s="34" t="inlineStr">
        <is>
          <t>Contractor Programme</t>
        </is>
      </c>
      <c r="C268" s="34" t="inlineStr">
        <is>
          <t>SCH-01-060</t>
        </is>
      </c>
      <c r="D268" s="34" t="inlineStr">
        <is>
          <t>1.1.2 Guideway and Civil - Utility &amp; Roadworks</t>
        </is>
      </c>
      <c r="E268" s="34" t="inlineStr">
        <is>
          <t>New</t>
        </is>
      </c>
      <c r="F268" s="14" t="inlineStr"/>
      <c r="G268" s="34" t="inlineStr">
        <is>
          <t>Source assignment -- not individually reviewed</t>
        </is>
      </c>
      <c r="H268" s="92" t="inlineStr">
        <is>
          <t>10 EVIDENCE &amp; DECISIONS</t>
        </is>
      </c>
    </row>
    <row r="269" ht="34" customHeight="1">
      <c r="A269" s="34" t="inlineStr">
        <is>
          <t>R63-v1</t>
        </is>
      </c>
      <c r="B269" s="34" t="inlineStr">
        <is>
          <t>Contractor Programme</t>
        </is>
      </c>
      <c r="C269" s="34" t="inlineStr">
        <is>
          <t>SCH-01-063</t>
        </is>
      </c>
      <c r="D269" s="34" t="inlineStr">
        <is>
          <t>1.1.2 Guideway and Civil - Utility &amp; Roadworks</t>
        </is>
      </c>
      <c r="E269" s="34" t="inlineStr">
        <is>
          <t>New</t>
        </is>
      </c>
      <c r="F269" s="14" t="inlineStr"/>
      <c r="G269" s="34" t="inlineStr">
        <is>
          <t>Source assignment -- not individually reviewed</t>
        </is>
      </c>
      <c r="H269" s="92" t="inlineStr">
        <is>
          <t>10 EVIDENCE &amp; DECISIONS</t>
        </is>
      </c>
    </row>
    <row r="270" ht="34" customHeight="1">
      <c r="A270" s="34" t="inlineStr">
        <is>
          <t>R66-v1</t>
        </is>
      </c>
      <c r="B270" s="34" t="inlineStr">
        <is>
          <t>Contractor Programme</t>
        </is>
      </c>
      <c r="C270" s="34" t="inlineStr">
        <is>
          <t>SCH-01-066</t>
        </is>
      </c>
      <c r="D270" s="34" t="inlineStr">
        <is>
          <t>1.1.2 Guideway and Civil - Utility &amp; Roadworks</t>
        </is>
      </c>
      <c r="E270" s="34" t="inlineStr">
        <is>
          <t>New</t>
        </is>
      </c>
      <c r="F270" s="14" t="inlineStr"/>
      <c r="G270" s="34" t="inlineStr">
        <is>
          <t>Source assignment -- not individually reviewed</t>
        </is>
      </c>
      <c r="H270" s="92" t="inlineStr">
        <is>
          <t>10 EVIDENCE &amp; DECISIONS</t>
        </is>
      </c>
    </row>
    <row r="271" ht="34" customHeight="1">
      <c r="A271" s="34" t="inlineStr">
        <is>
          <t>R69-v1</t>
        </is>
      </c>
      <c r="B271" s="34" t="inlineStr">
        <is>
          <t>Contractor Programme</t>
        </is>
      </c>
      <c r="C271" s="34" t="inlineStr">
        <is>
          <t>SCH-01-069</t>
        </is>
      </c>
      <c r="D271" s="34" t="inlineStr">
        <is>
          <t>1.1.2 Guideway and Civil - Utility &amp; Roadworks</t>
        </is>
      </c>
      <c r="E271" s="34" t="inlineStr">
        <is>
          <t>New</t>
        </is>
      </c>
      <c r="F271" s="14" t="inlineStr"/>
      <c r="G271" s="34" t="inlineStr">
        <is>
          <t>Source assignment -- not individually reviewed</t>
        </is>
      </c>
      <c r="H271" s="92" t="inlineStr">
        <is>
          <t>10 EVIDENCE &amp; DECISIONS</t>
        </is>
      </c>
    </row>
    <row r="272" ht="34" customHeight="1">
      <c r="A272" s="34" t="inlineStr">
        <is>
          <t>R72-v1</t>
        </is>
      </c>
      <c r="B272" s="34" t="inlineStr">
        <is>
          <t>Contractor Programme</t>
        </is>
      </c>
      <c r="C272" s="34" t="inlineStr">
        <is>
          <t>SCH-01-072</t>
        </is>
      </c>
      <c r="D272" s="34" t="inlineStr">
        <is>
          <t>1.1.2 Guideway and Civil - Utility &amp; Roadworks</t>
        </is>
      </c>
      <c r="E272" s="34" t="inlineStr">
        <is>
          <t>New</t>
        </is>
      </c>
      <c r="F272" s="14" t="inlineStr"/>
      <c r="G272" s="34" t="inlineStr">
        <is>
          <t>Source assignment -- not individually reviewed</t>
        </is>
      </c>
      <c r="H272" s="92" t="inlineStr">
        <is>
          <t>10 EVIDENCE &amp; DECISIONS</t>
        </is>
      </c>
    </row>
    <row r="273" ht="34" customHeight="1">
      <c r="A273" s="34" t="inlineStr">
        <is>
          <t>R75-v1</t>
        </is>
      </c>
      <c r="B273" s="34" t="inlineStr">
        <is>
          <t>Contractor Programme</t>
        </is>
      </c>
      <c r="C273" s="34" t="inlineStr">
        <is>
          <t>SCH-01-075</t>
        </is>
      </c>
      <c r="D273" s="34" t="inlineStr">
        <is>
          <t>1.1.2 Guideway and Civil - Utility &amp; Roadworks</t>
        </is>
      </c>
      <c r="E273" s="34" t="inlineStr">
        <is>
          <t>New</t>
        </is>
      </c>
      <c r="F273" s="14" t="inlineStr"/>
      <c r="G273" s="34" t="inlineStr">
        <is>
          <t>Source assignment -- not individually reviewed</t>
        </is>
      </c>
      <c r="H273" s="92" t="inlineStr">
        <is>
          <t>10 EVIDENCE &amp; DECISIONS</t>
        </is>
      </c>
    </row>
    <row r="274" ht="34" customHeight="1">
      <c r="A274" s="34" t="inlineStr">
        <is>
          <t>R78-v1</t>
        </is>
      </c>
      <c r="B274" s="34" t="inlineStr">
        <is>
          <t>Contractor Programme</t>
        </is>
      </c>
      <c r="C274" s="34" t="inlineStr">
        <is>
          <t>SCH-01-078</t>
        </is>
      </c>
      <c r="D274" s="34" t="inlineStr">
        <is>
          <t>1.1.2 Guideway and Civil - Utility &amp; Roadworks</t>
        </is>
      </c>
      <c r="E274" s="34" t="inlineStr">
        <is>
          <t>New</t>
        </is>
      </c>
      <c r="F274" s="14" t="inlineStr"/>
      <c r="G274" s="34" t="inlineStr">
        <is>
          <t>Source assignment -- not individually reviewed</t>
        </is>
      </c>
      <c r="H274" s="92" t="inlineStr">
        <is>
          <t>10 EVIDENCE &amp; DECISIONS</t>
        </is>
      </c>
    </row>
    <row r="275" ht="34" customHeight="1">
      <c r="A275" s="34" t="inlineStr">
        <is>
          <t>R81-v1</t>
        </is>
      </c>
      <c r="B275" s="34" t="inlineStr">
        <is>
          <t>Contractor Programme</t>
        </is>
      </c>
      <c r="C275" s="34" t="inlineStr">
        <is>
          <t>SCH-01-081</t>
        </is>
      </c>
      <c r="D275" s="34" t="inlineStr">
        <is>
          <t>1.1.2 Guideway and Civil - Utility &amp; Roadworks</t>
        </is>
      </c>
      <c r="E275" s="34" t="inlineStr">
        <is>
          <t>New</t>
        </is>
      </c>
      <c r="F275" s="14" t="inlineStr"/>
      <c r="G275" s="34" t="inlineStr">
        <is>
          <t>Source assignment -- not individually reviewed</t>
        </is>
      </c>
      <c r="H275" s="92" t="inlineStr">
        <is>
          <t>10 EVIDENCE &amp; DECISIONS</t>
        </is>
      </c>
    </row>
    <row r="276" ht="34" customHeight="1">
      <c r="A276" s="34" t="inlineStr">
        <is>
          <t>R84-v1</t>
        </is>
      </c>
      <c r="B276" s="34" t="inlineStr">
        <is>
          <t>Contractor Programme</t>
        </is>
      </c>
      <c r="C276" s="34" t="inlineStr">
        <is>
          <t>SCH-01-084</t>
        </is>
      </c>
      <c r="D276" s="34" t="inlineStr">
        <is>
          <t>1.1.2 Guideway and Civil - Utility &amp; Roadworks</t>
        </is>
      </c>
      <c r="E276" s="34" t="inlineStr">
        <is>
          <t>New</t>
        </is>
      </c>
      <c r="F276" s="14" t="inlineStr"/>
      <c r="G276" s="34" t="inlineStr">
        <is>
          <t>Source assignment -- not individually reviewed</t>
        </is>
      </c>
      <c r="H276" s="92" t="inlineStr">
        <is>
          <t>10 EVIDENCE &amp; DECISIONS</t>
        </is>
      </c>
    </row>
    <row r="277" ht="34" customHeight="1">
      <c r="A277" s="34" t="inlineStr">
        <is>
          <t>R87-v1</t>
        </is>
      </c>
      <c r="B277" s="34" t="inlineStr">
        <is>
          <t>Contractor Programme</t>
        </is>
      </c>
      <c r="C277" s="34" t="inlineStr">
        <is>
          <t>SCH-01-087</t>
        </is>
      </c>
      <c r="D277" s="34" t="inlineStr">
        <is>
          <t>1.1.2 Guideway and Civil - Utility &amp; Roadworks</t>
        </is>
      </c>
      <c r="E277" s="34" t="inlineStr">
        <is>
          <t>New</t>
        </is>
      </c>
      <c r="F277" s="14" t="inlineStr"/>
      <c r="G277" s="34" t="inlineStr">
        <is>
          <t>Source assignment -- not individually reviewed</t>
        </is>
      </c>
      <c r="H277" s="92" t="inlineStr">
        <is>
          <t>10 EVIDENCE &amp; DECISIONS</t>
        </is>
      </c>
    </row>
    <row r="278" ht="34" customHeight="1">
      <c r="A278" s="34" t="inlineStr">
        <is>
          <t>R9-v1</t>
        </is>
      </c>
      <c r="B278" s="34" t="inlineStr">
        <is>
          <t>Contractor Programme</t>
        </is>
      </c>
      <c r="C278" s="34" t="inlineStr">
        <is>
          <t>SCH-01-009</t>
        </is>
      </c>
      <c r="D278" s="34" t="inlineStr">
        <is>
          <t>1.1.2 Guideway and Civil - Utility &amp; Roadworks</t>
        </is>
      </c>
      <c r="E278" s="34" t="inlineStr">
        <is>
          <t>New</t>
        </is>
      </c>
      <c r="F278" s="14" t="inlineStr"/>
      <c r="G278" s="34" t="inlineStr">
        <is>
          <t>Source assignment -- not individually reviewed</t>
        </is>
      </c>
      <c r="H278" s="92" t="inlineStr">
        <is>
          <t>10 EVIDENCE &amp; DECISIONS</t>
        </is>
      </c>
    </row>
    <row r="279" ht="34" customHeight="1">
      <c r="A279" s="34" t="inlineStr">
        <is>
          <t>R90-v1</t>
        </is>
      </c>
      <c r="B279" s="34" t="inlineStr">
        <is>
          <t>Contractor Programme</t>
        </is>
      </c>
      <c r="C279" s="34" t="inlineStr">
        <is>
          <t>SCH-01-090</t>
        </is>
      </c>
      <c r="D279" s="34" t="inlineStr">
        <is>
          <t>1.1.2 Guideway and Civil - Utility &amp; Roadworks</t>
        </is>
      </c>
      <c r="E279" s="34" t="inlineStr">
        <is>
          <t>New</t>
        </is>
      </c>
      <c r="F279" s="14" t="inlineStr"/>
      <c r="G279" s="34" t="inlineStr">
        <is>
          <t>Source assignment -- not individually reviewed</t>
        </is>
      </c>
      <c r="H279" s="92" t="inlineStr">
        <is>
          <t>10 EVIDENCE &amp; DECISIONS</t>
        </is>
      </c>
    </row>
    <row r="280" ht="34" customHeight="1">
      <c r="A280" s="34" t="inlineStr">
        <is>
          <t>R93-v1</t>
        </is>
      </c>
      <c r="B280" s="34" t="inlineStr">
        <is>
          <t>Contractor Programme</t>
        </is>
      </c>
      <c r="C280" s="34" t="inlineStr">
        <is>
          <t>SCH-01-093</t>
        </is>
      </c>
      <c r="D280" s="34" t="inlineStr">
        <is>
          <t>1.1.2 Guideway and Civil - Utility &amp; Roadworks</t>
        </is>
      </c>
      <c r="E280" s="34" t="inlineStr">
        <is>
          <t>New</t>
        </is>
      </c>
      <c r="F280" s="14" t="inlineStr"/>
      <c r="G280" s="34" t="inlineStr">
        <is>
          <t>Source assignment -- not individually reviewed</t>
        </is>
      </c>
      <c r="H280" s="92" t="inlineStr">
        <is>
          <t>10 EVIDENCE &amp; DECISIONS</t>
        </is>
      </c>
    </row>
    <row r="281" ht="34" customHeight="1">
      <c r="A281" s="34" t="inlineStr">
        <is>
          <t>R96-v1</t>
        </is>
      </c>
      <c r="B281" s="34" t="inlineStr">
        <is>
          <t>Contractor Programme</t>
        </is>
      </c>
      <c r="C281" s="34" t="inlineStr">
        <is>
          <t>SCH-01-096</t>
        </is>
      </c>
      <c r="D281" s="34" t="inlineStr">
        <is>
          <t>1.1.2 Guideway and Civil - Utility &amp; Roadworks</t>
        </is>
      </c>
      <c r="E281" s="34" t="inlineStr">
        <is>
          <t>New</t>
        </is>
      </c>
      <c r="F281" s="14" t="inlineStr"/>
      <c r="G281" s="34" t="inlineStr">
        <is>
          <t>Source assignment -- not individually reviewed</t>
        </is>
      </c>
      <c r="H281" s="92" t="inlineStr">
        <is>
          <t>10 EVIDENCE &amp; DECISIONS</t>
        </is>
      </c>
    </row>
    <row r="282" ht="34" customHeight="1">
      <c r="A282" s="34" t="inlineStr">
        <is>
          <t>R99-v1</t>
        </is>
      </c>
      <c r="B282" s="34" t="inlineStr">
        <is>
          <t>Contractor Programme</t>
        </is>
      </c>
      <c r="C282" s="34" t="inlineStr">
        <is>
          <t>SCH-01-099</t>
        </is>
      </c>
      <c r="D282" s="34" t="inlineStr">
        <is>
          <t>1.1.2 Guideway and Civil - Utility &amp; Roadworks</t>
        </is>
      </c>
      <c r="E282" s="34" t="inlineStr">
        <is>
          <t>New</t>
        </is>
      </c>
      <c r="F282" s="14" t="inlineStr"/>
      <c r="G282" s="34" t="inlineStr">
        <is>
          <t>Source assignment -- not individually reviewed</t>
        </is>
      </c>
      <c r="H282" s="92" t="inlineStr">
        <is>
          <t>10 EVIDENCE &amp; DECISIONS</t>
        </is>
      </c>
    </row>
    <row r="283" ht="34" customHeight="1">
      <c r="A283" s="34" t="inlineStr">
        <is>
          <t>R1573-v1</t>
        </is>
      </c>
      <c r="B283" s="34" t="inlineStr">
        <is>
          <t>Commercial Package Register</t>
        </is>
      </c>
      <c r="C283" s="34" t="inlineStr">
        <is>
          <t>PKG-011</t>
        </is>
      </c>
      <c r="D283" s="34" t="inlineStr">
        <is>
          <t>1.2 Stations</t>
        </is>
      </c>
      <c r="E283" s="34" t="inlineStr">
        <is>
          <t>New</t>
        </is>
      </c>
      <c r="F283" s="14" t="inlineStr"/>
      <c r="G283" s="34" t="inlineStr">
        <is>
          <t>Source assignment -- not individually reviewed</t>
        </is>
      </c>
      <c r="H283" s="92" t="inlineStr">
        <is>
          <t>10 EVIDENCE &amp; DECISIONS</t>
        </is>
      </c>
    </row>
    <row r="284" ht="34" customHeight="1">
      <c r="A284" s="34" t="inlineStr">
        <is>
          <t>R1574-v1</t>
        </is>
      </c>
      <c r="B284" s="34" t="inlineStr">
        <is>
          <t>Commercial Package Register</t>
        </is>
      </c>
      <c r="C284" s="34" t="inlineStr">
        <is>
          <t>PKG-012</t>
        </is>
      </c>
      <c r="D284" s="34" t="inlineStr">
        <is>
          <t>1.2 Stations</t>
        </is>
      </c>
      <c r="E284" s="34" t="inlineStr">
        <is>
          <t>New</t>
        </is>
      </c>
      <c r="F284" s="14" t="inlineStr"/>
      <c r="G284" s="34" t="inlineStr">
        <is>
          <t>Source assignment -- not individually reviewed</t>
        </is>
      </c>
      <c r="H284" s="92" t="inlineStr">
        <is>
          <t>10 EVIDENCE &amp; DECISIONS</t>
        </is>
      </c>
    </row>
    <row r="285" ht="34" customHeight="1">
      <c r="A285" s="34" t="inlineStr">
        <is>
          <t>R1575-v1</t>
        </is>
      </c>
      <c r="B285" s="34" t="inlineStr">
        <is>
          <t>Commercial Package Register</t>
        </is>
      </c>
      <c r="C285" s="34" t="inlineStr">
        <is>
          <t>PKG-013</t>
        </is>
      </c>
      <c r="D285" s="34" t="inlineStr">
        <is>
          <t>1.2 Stations</t>
        </is>
      </c>
      <c r="E285" s="34" t="inlineStr">
        <is>
          <t>New</t>
        </is>
      </c>
      <c r="F285" s="14" t="inlineStr"/>
      <c r="G285" s="34" t="inlineStr">
        <is>
          <t>Source assignment -- not individually reviewed</t>
        </is>
      </c>
      <c r="H285" s="92" t="inlineStr">
        <is>
          <t>10 EVIDENCE &amp; DECISIONS</t>
        </is>
      </c>
    </row>
    <row r="286" ht="34" customHeight="1">
      <c r="A286" s="34" t="inlineStr">
        <is>
          <t>R1576-v1</t>
        </is>
      </c>
      <c r="B286" s="34" t="inlineStr">
        <is>
          <t>Commercial Package Register</t>
        </is>
      </c>
      <c r="C286" s="34" t="inlineStr">
        <is>
          <t>PKG-014</t>
        </is>
      </c>
      <c r="D286" s="34" t="inlineStr">
        <is>
          <t>1.2 Stations</t>
        </is>
      </c>
      <c r="E286" s="34" t="inlineStr">
        <is>
          <t>New</t>
        </is>
      </c>
      <c r="F286" s="14" t="inlineStr"/>
      <c r="G286" s="34" t="inlineStr">
        <is>
          <t>Source assignment -- not individually reviewed</t>
        </is>
      </c>
      <c r="H286" s="92" t="inlineStr">
        <is>
          <t>10 EVIDENCE &amp; DECISIONS</t>
        </is>
      </c>
    </row>
    <row r="287" ht="34" customHeight="1">
      <c r="A287" s="34" t="inlineStr">
        <is>
          <t>R1577-v1</t>
        </is>
      </c>
      <c r="B287" s="34" t="inlineStr">
        <is>
          <t>Commercial Package Register</t>
        </is>
      </c>
      <c r="C287" s="34" t="inlineStr">
        <is>
          <t>PKG-015</t>
        </is>
      </c>
      <c r="D287" s="34" t="inlineStr">
        <is>
          <t>1.2 Stations</t>
        </is>
      </c>
      <c r="E287" s="34" t="inlineStr">
        <is>
          <t>New</t>
        </is>
      </c>
      <c r="F287" s="14" t="inlineStr"/>
      <c r="G287" s="34" t="inlineStr">
        <is>
          <t>Source assignment -- not individually reviewed</t>
        </is>
      </c>
      <c r="H287" s="92" t="inlineStr">
        <is>
          <t>10 EVIDENCE &amp; DECISIONS</t>
        </is>
      </c>
    </row>
    <row r="288" ht="34" customHeight="1">
      <c r="A288" s="34" t="inlineStr">
        <is>
          <t>R1578-v1</t>
        </is>
      </c>
      <c r="B288" s="34" t="inlineStr">
        <is>
          <t>Commercial Package Register</t>
        </is>
      </c>
      <c r="C288" s="34" t="inlineStr">
        <is>
          <t>PKG-016</t>
        </is>
      </c>
      <c r="D288" s="34" t="inlineStr">
        <is>
          <t>1.2 Stations</t>
        </is>
      </c>
      <c r="E288" s="34" t="inlineStr">
        <is>
          <t>New</t>
        </is>
      </c>
      <c r="F288" s="14" t="inlineStr"/>
      <c r="G288" s="34" t="inlineStr">
        <is>
          <t>Source assignment -- not individually reviewed</t>
        </is>
      </c>
      <c r="H288" s="92" t="inlineStr">
        <is>
          <t>10 EVIDENCE &amp; DECISIONS</t>
        </is>
      </c>
    </row>
    <row r="289" ht="34" customHeight="1">
      <c r="A289" s="34" t="inlineStr">
        <is>
          <t>R1579-v1</t>
        </is>
      </c>
      <c r="B289" s="34" t="inlineStr">
        <is>
          <t>Commercial Package Register</t>
        </is>
      </c>
      <c r="C289" s="34" t="inlineStr">
        <is>
          <t>PKG-017</t>
        </is>
      </c>
      <c r="D289" s="34" t="inlineStr">
        <is>
          <t>1.2 Stations</t>
        </is>
      </c>
      <c r="E289" s="34" t="inlineStr">
        <is>
          <t>New</t>
        </is>
      </c>
      <c r="F289" s="14" t="inlineStr"/>
      <c r="G289" s="34" t="inlineStr">
        <is>
          <t>Source assignment -- not individually reviewed</t>
        </is>
      </c>
      <c r="H289" s="92" t="inlineStr">
        <is>
          <t>10 EVIDENCE &amp; DECISIONS</t>
        </is>
      </c>
    </row>
    <row r="290" ht="34" customHeight="1">
      <c r="A290" s="34" t="inlineStr">
        <is>
          <t>R1580-v1</t>
        </is>
      </c>
      <c r="B290" s="34" t="inlineStr">
        <is>
          <t>Commercial Package Register</t>
        </is>
      </c>
      <c r="C290" s="34" t="inlineStr">
        <is>
          <t>PKG-018</t>
        </is>
      </c>
      <c r="D290" s="34" t="inlineStr">
        <is>
          <t>1.2 Stations</t>
        </is>
      </c>
      <c r="E290" s="34" t="inlineStr">
        <is>
          <t>New</t>
        </is>
      </c>
      <c r="F290" s="14" t="inlineStr"/>
      <c r="G290" s="34" t="inlineStr">
        <is>
          <t>Source assignment -- not individually reviewed</t>
        </is>
      </c>
      <c r="H290" s="92" t="inlineStr">
        <is>
          <t>10 EVIDENCE &amp; DECISIONS</t>
        </is>
      </c>
    </row>
    <row r="291" ht="34" customHeight="1">
      <c r="A291" s="34" t="inlineStr">
        <is>
          <t>R1581-v1</t>
        </is>
      </c>
      <c r="B291" s="34" t="inlineStr">
        <is>
          <t>Commercial Package Register</t>
        </is>
      </c>
      <c r="C291" s="34" t="inlineStr">
        <is>
          <t>PKG-019</t>
        </is>
      </c>
      <c r="D291" s="34" t="inlineStr">
        <is>
          <t>1.2 Stations</t>
        </is>
      </c>
      <c r="E291" s="34" t="inlineStr">
        <is>
          <t>New</t>
        </is>
      </c>
      <c r="F291" s="14" t="inlineStr"/>
      <c r="G291" s="34" t="inlineStr">
        <is>
          <t>Source assignment -- not individually reviewed</t>
        </is>
      </c>
      <c r="H291" s="92" t="inlineStr">
        <is>
          <t>10 EVIDENCE &amp; DECISIONS</t>
        </is>
      </c>
    </row>
    <row r="292" ht="34" customHeight="1">
      <c r="A292" s="34" t="inlineStr">
        <is>
          <t>R1582-v1</t>
        </is>
      </c>
      <c r="B292" s="34" t="inlineStr">
        <is>
          <t>Commercial Package Register</t>
        </is>
      </c>
      <c r="C292" s="34" t="inlineStr">
        <is>
          <t>PKG-020</t>
        </is>
      </c>
      <c r="D292" s="34" t="inlineStr">
        <is>
          <t>1.2 Stations</t>
        </is>
      </c>
      <c r="E292" s="34" t="inlineStr">
        <is>
          <t>New</t>
        </is>
      </c>
      <c r="F292" s="14" t="inlineStr"/>
      <c r="G292" s="34" t="inlineStr">
        <is>
          <t>Source assignment -- not individually reviewed</t>
        </is>
      </c>
      <c r="H292" s="92" t="inlineStr">
        <is>
          <t>10 EVIDENCE &amp; DECISIONS</t>
        </is>
      </c>
    </row>
    <row r="293" ht="34" customHeight="1">
      <c r="A293" s="34" t="inlineStr">
        <is>
          <t>R1163-v1</t>
        </is>
      </c>
      <c r="B293" s="34" t="inlineStr">
        <is>
          <t>Cost &amp; Forecast Control Accounts</t>
        </is>
      </c>
      <c r="C293" s="34" t="inlineStr">
        <is>
          <t>CST-02-001</t>
        </is>
      </c>
      <c r="D293" s="34" t="inlineStr">
        <is>
          <t>1.2.1 Stations - Station Structures</t>
        </is>
      </c>
      <c r="E293" s="34" t="inlineStr">
        <is>
          <t>New</t>
        </is>
      </c>
      <c r="F293" s="14" t="inlineStr"/>
      <c r="G293" s="34" t="inlineStr">
        <is>
          <t>Source assignment -- not individually reviewed</t>
        </is>
      </c>
      <c r="H293" s="92" t="inlineStr">
        <is>
          <t>10 EVIDENCE &amp; DECISIONS</t>
        </is>
      </c>
    </row>
    <row r="294" ht="34" customHeight="1">
      <c r="A294" s="34" t="inlineStr">
        <is>
          <t>R1165-v1</t>
        </is>
      </c>
      <c r="B294" s="34" t="inlineStr">
        <is>
          <t>Cost &amp; Forecast Control Accounts</t>
        </is>
      </c>
      <c r="C294" s="34" t="inlineStr">
        <is>
          <t>CST-02-003</t>
        </is>
      </c>
      <c r="D294" s="34" t="inlineStr">
        <is>
          <t>1.2.1 Stations - Station Structures</t>
        </is>
      </c>
      <c r="E294" s="34" t="inlineStr">
        <is>
          <t>New</t>
        </is>
      </c>
      <c r="F294" s="14" t="inlineStr"/>
      <c r="G294" s="34" t="inlineStr">
        <is>
          <t>Source assignment -- not individually reviewed</t>
        </is>
      </c>
      <c r="H294" s="92" t="inlineStr">
        <is>
          <t>10 EVIDENCE &amp; DECISIONS</t>
        </is>
      </c>
    </row>
    <row r="295" ht="34" customHeight="1">
      <c r="A295" s="34" t="inlineStr">
        <is>
          <t>R1167-v1</t>
        </is>
      </c>
      <c r="B295" s="34" t="inlineStr">
        <is>
          <t>Cost &amp; Forecast Control Accounts</t>
        </is>
      </c>
      <c r="C295" s="34" t="inlineStr">
        <is>
          <t>CST-02-005</t>
        </is>
      </c>
      <c r="D295" s="34" t="inlineStr">
        <is>
          <t>1.2.1 Stations - Station Structures</t>
        </is>
      </c>
      <c r="E295" s="34" t="inlineStr">
        <is>
          <t>New</t>
        </is>
      </c>
      <c r="F295" s="14" t="inlineStr"/>
      <c r="G295" s="34" t="inlineStr">
        <is>
          <t>Source assignment -- not individually reviewed</t>
        </is>
      </c>
      <c r="H295" s="92" t="inlineStr">
        <is>
          <t>10 EVIDENCE &amp; DECISIONS</t>
        </is>
      </c>
    </row>
    <row r="296" ht="34" customHeight="1">
      <c r="A296" s="34" t="inlineStr">
        <is>
          <t>R1169-v1</t>
        </is>
      </c>
      <c r="B296" s="34" t="inlineStr">
        <is>
          <t>Cost &amp; Forecast Control Accounts</t>
        </is>
      </c>
      <c r="C296" s="34" t="inlineStr">
        <is>
          <t>CST-02-007</t>
        </is>
      </c>
      <c r="D296" s="34" t="inlineStr">
        <is>
          <t>1.2.1 Stations - Station Structures</t>
        </is>
      </c>
      <c r="E296" s="34" t="inlineStr">
        <is>
          <t>New</t>
        </is>
      </c>
      <c r="F296" s="14" t="inlineStr"/>
      <c r="G296" s="34" t="inlineStr">
        <is>
          <t>Source assignment -- not individually reviewed</t>
        </is>
      </c>
      <c r="H296" s="92" t="inlineStr">
        <is>
          <t>10 EVIDENCE &amp; DECISIONS</t>
        </is>
      </c>
    </row>
    <row r="297" ht="34" customHeight="1">
      <c r="A297" s="34" t="inlineStr">
        <is>
          <t>R1171-v1</t>
        </is>
      </c>
      <c r="B297" s="34" t="inlineStr">
        <is>
          <t>Cost &amp; Forecast Control Accounts</t>
        </is>
      </c>
      <c r="C297" s="34" t="inlineStr">
        <is>
          <t>CST-02-009</t>
        </is>
      </c>
      <c r="D297" s="34" t="inlineStr">
        <is>
          <t>1.2.1 Stations - Station Structures</t>
        </is>
      </c>
      <c r="E297" s="34" t="inlineStr">
        <is>
          <t>New</t>
        </is>
      </c>
      <c r="F297" s="14" t="inlineStr"/>
      <c r="G297" s="34" t="inlineStr">
        <is>
          <t>Source assignment -- not individually reviewed</t>
        </is>
      </c>
      <c r="H297" s="92" t="inlineStr">
        <is>
          <t>10 EVIDENCE &amp; DECISIONS</t>
        </is>
      </c>
    </row>
    <row r="298" ht="34" customHeight="1">
      <c r="A298" s="34" t="inlineStr">
        <is>
          <t>R1173-v1</t>
        </is>
      </c>
      <c r="B298" s="34" t="inlineStr">
        <is>
          <t>Cost &amp; Forecast Control Accounts</t>
        </is>
      </c>
      <c r="C298" s="34" t="inlineStr">
        <is>
          <t>CST-02-011</t>
        </is>
      </c>
      <c r="D298" s="34" t="inlineStr">
        <is>
          <t>1.2.1 Stations - Station Structures</t>
        </is>
      </c>
      <c r="E298" s="34" t="inlineStr">
        <is>
          <t>New</t>
        </is>
      </c>
      <c r="F298" s="14" t="inlineStr"/>
      <c r="G298" s="34" t="inlineStr">
        <is>
          <t>Source assignment -- not individually reviewed</t>
        </is>
      </c>
      <c r="H298" s="92" t="inlineStr">
        <is>
          <t>10 EVIDENCE &amp; DECISIONS</t>
        </is>
      </c>
    </row>
    <row r="299" ht="34" customHeight="1">
      <c r="A299" s="34" t="inlineStr">
        <is>
          <t>R1175-v1</t>
        </is>
      </c>
      <c r="B299" s="34" t="inlineStr">
        <is>
          <t>Cost &amp; Forecast Control Accounts</t>
        </is>
      </c>
      <c r="C299" s="34" t="inlineStr">
        <is>
          <t>CST-02-013</t>
        </is>
      </c>
      <c r="D299" s="34" t="inlineStr">
        <is>
          <t>1.2.1 Stations - Station Structures</t>
        </is>
      </c>
      <c r="E299" s="34" t="inlineStr">
        <is>
          <t>New</t>
        </is>
      </c>
      <c r="F299" s="14" t="inlineStr"/>
      <c r="G299" s="34" t="inlineStr">
        <is>
          <t>Source assignment -- not individually reviewed</t>
        </is>
      </c>
      <c r="H299" s="92" t="inlineStr">
        <is>
          <t>10 EVIDENCE &amp; DECISIONS</t>
        </is>
      </c>
    </row>
    <row r="300" ht="34" customHeight="1">
      <c r="A300" s="34" t="inlineStr">
        <is>
          <t>R1177-v1</t>
        </is>
      </c>
      <c r="B300" s="34" t="inlineStr">
        <is>
          <t>Cost &amp; Forecast Control Accounts</t>
        </is>
      </c>
      <c r="C300" s="34" t="inlineStr">
        <is>
          <t>CST-02-015</t>
        </is>
      </c>
      <c r="D300" s="34" t="inlineStr">
        <is>
          <t>1.2.1 Stations - Station Structures</t>
        </is>
      </c>
      <c r="E300" s="34" t="inlineStr">
        <is>
          <t>New</t>
        </is>
      </c>
      <c r="F300" s="14" t="inlineStr"/>
      <c r="G300" s="34" t="inlineStr">
        <is>
          <t>Source assignment -- not individually reviewed</t>
        </is>
      </c>
      <c r="H300" s="92" t="inlineStr">
        <is>
          <t>10 EVIDENCE &amp; DECISIONS</t>
        </is>
      </c>
    </row>
    <row r="301" ht="34" customHeight="1">
      <c r="A301" s="34" t="inlineStr">
        <is>
          <t>R1179-v1</t>
        </is>
      </c>
      <c r="B301" s="34" t="inlineStr">
        <is>
          <t>Cost &amp; Forecast Control Accounts</t>
        </is>
      </c>
      <c r="C301" s="34" t="inlineStr">
        <is>
          <t>CST-02-017</t>
        </is>
      </c>
      <c r="D301" s="34" t="inlineStr">
        <is>
          <t>1.2.1 Stations - Station Structures</t>
        </is>
      </c>
      <c r="E301" s="34" t="inlineStr">
        <is>
          <t>New</t>
        </is>
      </c>
      <c r="F301" s="14" t="inlineStr"/>
      <c r="G301" s="34" t="inlineStr">
        <is>
          <t>Source assignment -- not individually reviewed</t>
        </is>
      </c>
      <c r="H301" s="92" t="inlineStr">
        <is>
          <t>10 EVIDENCE &amp; DECISIONS</t>
        </is>
      </c>
    </row>
    <row r="302" ht="34" customHeight="1">
      <c r="A302" s="34" t="inlineStr">
        <is>
          <t>R1181-v1</t>
        </is>
      </c>
      <c r="B302" s="34" t="inlineStr">
        <is>
          <t>Cost &amp; Forecast Control Accounts</t>
        </is>
      </c>
      <c r="C302" s="34" t="inlineStr">
        <is>
          <t>CST-02-019</t>
        </is>
      </c>
      <c r="D302" s="34" t="inlineStr">
        <is>
          <t>1.2.1 Stations - Station Structures</t>
        </is>
      </c>
      <c r="E302" s="34" t="inlineStr">
        <is>
          <t>New</t>
        </is>
      </c>
      <c r="F302" s="14" t="inlineStr"/>
      <c r="G302" s="34" t="inlineStr">
        <is>
          <t>Source assignment -- not individually reviewed</t>
        </is>
      </c>
      <c r="H302" s="92" t="inlineStr">
        <is>
          <t>10 EVIDENCE &amp; DECISIONS</t>
        </is>
      </c>
    </row>
    <row r="303" ht="34" customHeight="1">
      <c r="A303" s="34" t="inlineStr">
        <is>
          <t>R1183-v1</t>
        </is>
      </c>
      <c r="B303" s="34" t="inlineStr">
        <is>
          <t>Cost &amp; Forecast Control Accounts</t>
        </is>
      </c>
      <c r="C303" s="34" t="inlineStr">
        <is>
          <t>CST-02-021</t>
        </is>
      </c>
      <c r="D303" s="34" t="inlineStr">
        <is>
          <t>1.2.1 Stations - Station Structures</t>
        </is>
      </c>
      <c r="E303" s="34" t="inlineStr">
        <is>
          <t>New</t>
        </is>
      </c>
      <c r="F303" s="14" t="inlineStr"/>
      <c r="G303" s="34" t="inlineStr">
        <is>
          <t>Source assignment -- not individually reviewed</t>
        </is>
      </c>
      <c r="H303" s="92" t="inlineStr">
        <is>
          <t>10 EVIDENCE &amp; DECISIONS</t>
        </is>
      </c>
    </row>
    <row r="304" ht="34" customHeight="1">
      <c r="A304" s="34" t="inlineStr">
        <is>
          <t>R1185-v1</t>
        </is>
      </c>
      <c r="B304" s="34" t="inlineStr">
        <is>
          <t>Cost &amp; Forecast Control Accounts</t>
        </is>
      </c>
      <c r="C304" s="34" t="inlineStr">
        <is>
          <t>CST-02-023</t>
        </is>
      </c>
      <c r="D304" s="34" t="inlineStr">
        <is>
          <t>1.2.1 Stations - Station Structures</t>
        </is>
      </c>
      <c r="E304" s="34" t="inlineStr">
        <is>
          <t>New</t>
        </is>
      </c>
      <c r="F304" s="14" t="inlineStr"/>
      <c r="G304" s="34" t="inlineStr">
        <is>
          <t>Source assignment -- not individually reviewed</t>
        </is>
      </c>
      <c r="H304" s="92" t="inlineStr">
        <is>
          <t>10 EVIDENCE &amp; DECISIONS</t>
        </is>
      </c>
    </row>
    <row r="305" ht="34" customHeight="1">
      <c r="A305" s="34" t="inlineStr">
        <is>
          <t>R1187-v1</t>
        </is>
      </c>
      <c r="B305" s="34" t="inlineStr">
        <is>
          <t>Cost &amp; Forecast Control Accounts</t>
        </is>
      </c>
      <c r="C305" s="34" t="inlineStr">
        <is>
          <t>CST-02-025</t>
        </is>
      </c>
      <c r="D305" s="34" t="inlineStr">
        <is>
          <t>1.2.1 Stations - Station Structures</t>
        </is>
      </c>
      <c r="E305" s="34" t="inlineStr">
        <is>
          <t>New</t>
        </is>
      </c>
      <c r="F305" s="14" t="inlineStr"/>
      <c r="G305" s="34" t="inlineStr">
        <is>
          <t>Source assignment -- not individually reviewed</t>
        </is>
      </c>
      <c r="H305" s="92" t="inlineStr">
        <is>
          <t>10 EVIDENCE &amp; DECISIONS</t>
        </is>
      </c>
    </row>
    <row r="306" ht="34" customHeight="1">
      <c r="A306" s="34" t="inlineStr">
        <is>
          <t>R1189-v1</t>
        </is>
      </c>
      <c r="B306" s="34" t="inlineStr">
        <is>
          <t>Cost &amp; Forecast Control Accounts</t>
        </is>
      </c>
      <c r="C306" s="34" t="inlineStr">
        <is>
          <t>CST-02-027</t>
        </is>
      </c>
      <c r="D306" s="34" t="inlineStr">
        <is>
          <t>1.2.1 Stations - Station Structures</t>
        </is>
      </c>
      <c r="E306" s="34" t="inlineStr">
        <is>
          <t>New</t>
        </is>
      </c>
      <c r="F306" s="14" t="inlineStr"/>
      <c r="G306" s="34" t="inlineStr">
        <is>
          <t>Source assignment -- not individually reviewed</t>
        </is>
      </c>
      <c r="H306" s="92" t="inlineStr">
        <is>
          <t>10 EVIDENCE &amp; DECISIONS</t>
        </is>
      </c>
    </row>
    <row r="307" ht="34" customHeight="1">
      <c r="A307" s="34" t="inlineStr">
        <is>
          <t>R1191-v1</t>
        </is>
      </c>
      <c r="B307" s="34" t="inlineStr">
        <is>
          <t>Cost &amp; Forecast Control Accounts</t>
        </is>
      </c>
      <c r="C307" s="34" t="inlineStr">
        <is>
          <t>CST-02-029</t>
        </is>
      </c>
      <c r="D307" s="34" t="inlineStr">
        <is>
          <t>1.2.1 Stations - Station Structures</t>
        </is>
      </c>
      <c r="E307" s="34" t="inlineStr">
        <is>
          <t>New</t>
        </is>
      </c>
      <c r="F307" s="14" t="inlineStr"/>
      <c r="G307" s="34" t="inlineStr">
        <is>
          <t>Source assignment -- not individually reviewed</t>
        </is>
      </c>
      <c r="H307" s="92" t="inlineStr">
        <is>
          <t>10 EVIDENCE &amp; DECISIONS</t>
        </is>
      </c>
    </row>
    <row r="308" ht="34" customHeight="1">
      <c r="A308" s="34" t="inlineStr">
        <is>
          <t>R1193-v1</t>
        </is>
      </c>
      <c r="B308" s="34" t="inlineStr">
        <is>
          <t>Cost &amp; Forecast Control Accounts</t>
        </is>
      </c>
      <c r="C308" s="34" t="inlineStr">
        <is>
          <t>CST-02-031</t>
        </is>
      </c>
      <c r="D308" s="34" t="inlineStr">
        <is>
          <t>1.2.1 Stations - Station Structures</t>
        </is>
      </c>
      <c r="E308" s="34" t="inlineStr">
        <is>
          <t>New</t>
        </is>
      </c>
      <c r="F308" s="14" t="inlineStr"/>
      <c r="G308" s="34" t="inlineStr">
        <is>
          <t>Source assignment -- not individually reviewed</t>
        </is>
      </c>
      <c r="H308" s="92" t="inlineStr">
        <is>
          <t>10 EVIDENCE &amp; DECISIONS</t>
        </is>
      </c>
    </row>
    <row r="309" ht="34" customHeight="1">
      <c r="A309" s="34" t="inlineStr">
        <is>
          <t>R1195-v1</t>
        </is>
      </c>
      <c r="B309" s="34" t="inlineStr">
        <is>
          <t>Cost &amp; Forecast Control Accounts</t>
        </is>
      </c>
      <c r="C309" s="34" t="inlineStr">
        <is>
          <t>CST-02-033</t>
        </is>
      </c>
      <c r="D309" s="34" t="inlineStr">
        <is>
          <t>1.2.1 Stations - Station Structures</t>
        </is>
      </c>
      <c r="E309" s="34" t="inlineStr">
        <is>
          <t>New</t>
        </is>
      </c>
      <c r="F309" s="14" t="inlineStr"/>
      <c r="G309" s="34" t="inlineStr">
        <is>
          <t>Source assignment -- not individually reviewed</t>
        </is>
      </c>
      <c r="H309" s="92" t="inlineStr">
        <is>
          <t>10 EVIDENCE &amp; DECISIONS</t>
        </is>
      </c>
    </row>
    <row r="310" ht="34" customHeight="1">
      <c r="A310" s="34" t="inlineStr">
        <is>
          <t>R1197-v1</t>
        </is>
      </c>
      <c r="B310" s="34" t="inlineStr">
        <is>
          <t>Cost &amp; Forecast Control Accounts</t>
        </is>
      </c>
      <c r="C310" s="34" t="inlineStr">
        <is>
          <t>CST-02-035</t>
        </is>
      </c>
      <c r="D310" s="34" t="inlineStr">
        <is>
          <t>1.2.1 Stations - Station Structures</t>
        </is>
      </c>
      <c r="E310" s="34" t="inlineStr">
        <is>
          <t>New</t>
        </is>
      </c>
      <c r="F310" s="14" t="inlineStr"/>
      <c r="G310" s="34" t="inlineStr">
        <is>
          <t>Source assignment -- not individually reviewed</t>
        </is>
      </c>
      <c r="H310" s="92" t="inlineStr">
        <is>
          <t>10 EVIDENCE &amp; DECISIONS</t>
        </is>
      </c>
    </row>
    <row r="311" ht="34" customHeight="1">
      <c r="A311" s="34" t="inlineStr">
        <is>
          <t>R1199-v1</t>
        </is>
      </c>
      <c r="B311" s="34" t="inlineStr">
        <is>
          <t>Cost &amp; Forecast Control Accounts</t>
        </is>
      </c>
      <c r="C311" s="34" t="inlineStr">
        <is>
          <t>CST-02-037</t>
        </is>
      </c>
      <c r="D311" s="34" t="inlineStr">
        <is>
          <t>1.2.1 Stations - Station Structures</t>
        </is>
      </c>
      <c r="E311" s="34" t="inlineStr">
        <is>
          <t>New</t>
        </is>
      </c>
      <c r="F311" s="14" t="inlineStr"/>
      <c r="G311" s="34" t="inlineStr">
        <is>
          <t>Source assignment -- not individually reviewed</t>
        </is>
      </c>
      <c r="H311" s="92" t="inlineStr">
        <is>
          <t>10 EVIDENCE &amp; DECISIONS</t>
        </is>
      </c>
    </row>
    <row r="312" ht="34" customHeight="1">
      <c r="A312" s="34" t="inlineStr">
        <is>
          <t>R1201-v1</t>
        </is>
      </c>
      <c r="B312" s="34" t="inlineStr">
        <is>
          <t>Cost &amp; Forecast Control Accounts</t>
        </is>
      </c>
      <c r="C312" s="34" t="inlineStr">
        <is>
          <t>CST-02-039</t>
        </is>
      </c>
      <c r="D312" s="34" t="inlineStr">
        <is>
          <t>1.2.1 Stations - Station Structures</t>
        </is>
      </c>
      <c r="E312" s="34" t="inlineStr">
        <is>
          <t>New</t>
        </is>
      </c>
      <c r="F312" s="14" t="inlineStr"/>
      <c r="G312" s="34" t="inlineStr">
        <is>
          <t>Source assignment -- not individually reviewed</t>
        </is>
      </c>
      <c r="H312" s="92" t="inlineStr">
        <is>
          <t>10 EVIDENCE &amp; DECISIONS</t>
        </is>
      </c>
    </row>
    <row r="313" ht="34" customHeight="1">
      <c r="A313" s="34" t="inlineStr">
        <is>
          <t>R1203-v1</t>
        </is>
      </c>
      <c r="B313" s="34" t="inlineStr">
        <is>
          <t>Cost &amp; Forecast Control Accounts</t>
        </is>
      </c>
      <c r="C313" s="34" t="inlineStr">
        <is>
          <t>CST-02-041</t>
        </is>
      </c>
      <c r="D313" s="34" t="inlineStr">
        <is>
          <t>1.2.1 Stations - Station Structures</t>
        </is>
      </c>
      <c r="E313" s="34" t="inlineStr">
        <is>
          <t>New</t>
        </is>
      </c>
      <c r="F313" s="14" t="inlineStr"/>
      <c r="G313" s="34" t="inlineStr">
        <is>
          <t>Source assignment -- not individually reviewed</t>
        </is>
      </c>
      <c r="H313" s="92" t="inlineStr">
        <is>
          <t>10 EVIDENCE &amp; DECISIONS</t>
        </is>
      </c>
    </row>
    <row r="314" ht="34" customHeight="1">
      <c r="A314" s="34" t="inlineStr">
        <is>
          <t>R1205-v1</t>
        </is>
      </c>
      <c r="B314" s="34" t="inlineStr">
        <is>
          <t>Cost &amp; Forecast Control Accounts</t>
        </is>
      </c>
      <c r="C314" s="34" t="inlineStr">
        <is>
          <t>CST-02-043</t>
        </is>
      </c>
      <c r="D314" s="34" t="inlineStr">
        <is>
          <t>1.2.1 Stations - Station Structures</t>
        </is>
      </c>
      <c r="E314" s="34" t="inlineStr">
        <is>
          <t>New</t>
        </is>
      </c>
      <c r="F314" s="14" t="inlineStr"/>
      <c r="G314" s="34" t="inlineStr">
        <is>
          <t>Source assignment -- not individually reviewed</t>
        </is>
      </c>
      <c r="H314" s="92" t="inlineStr">
        <is>
          <t>10 EVIDENCE &amp; DECISIONS</t>
        </is>
      </c>
    </row>
    <row r="315" ht="34" customHeight="1">
      <c r="A315" s="34" t="inlineStr">
        <is>
          <t>R1207-v1</t>
        </is>
      </c>
      <c r="B315" s="34" t="inlineStr">
        <is>
          <t>Cost &amp; Forecast Control Accounts</t>
        </is>
      </c>
      <c r="C315" s="34" t="inlineStr">
        <is>
          <t>CST-02-045</t>
        </is>
      </c>
      <c r="D315" s="34" t="inlineStr">
        <is>
          <t>1.2.1 Stations - Station Structures</t>
        </is>
      </c>
      <c r="E315" s="34" t="inlineStr">
        <is>
          <t>New</t>
        </is>
      </c>
      <c r="F315" s="14" t="inlineStr"/>
      <c r="G315" s="34" t="inlineStr">
        <is>
          <t>Source assignment -- not individually reviewed</t>
        </is>
      </c>
      <c r="H315" s="92" t="inlineStr">
        <is>
          <t>10 EVIDENCE &amp; DECISIONS</t>
        </is>
      </c>
    </row>
    <row r="316" ht="34" customHeight="1">
      <c r="A316" s="34" t="inlineStr">
        <is>
          <t>R1209-v1</t>
        </is>
      </c>
      <c r="B316" s="34" t="inlineStr">
        <is>
          <t>Cost &amp; Forecast Control Accounts</t>
        </is>
      </c>
      <c r="C316" s="34" t="inlineStr">
        <is>
          <t>CST-02-047</t>
        </is>
      </c>
      <c r="D316" s="34" t="inlineStr">
        <is>
          <t>1.2.1 Stations - Station Structures</t>
        </is>
      </c>
      <c r="E316" s="34" t="inlineStr">
        <is>
          <t>New</t>
        </is>
      </c>
      <c r="F316" s="14" t="inlineStr"/>
      <c r="G316" s="34" t="inlineStr">
        <is>
          <t>Source assignment -- not individually reviewed</t>
        </is>
      </c>
      <c r="H316" s="92" t="inlineStr">
        <is>
          <t>10 EVIDENCE &amp; DECISIONS</t>
        </is>
      </c>
    </row>
    <row r="317" ht="34" customHeight="1">
      <c r="A317" s="34" t="inlineStr">
        <is>
          <t>R1211-v1</t>
        </is>
      </c>
      <c r="B317" s="34" t="inlineStr">
        <is>
          <t>Cost &amp; Forecast Control Accounts</t>
        </is>
      </c>
      <c r="C317" s="34" t="inlineStr">
        <is>
          <t>CST-02-049</t>
        </is>
      </c>
      <c r="D317" s="34" t="inlineStr">
        <is>
          <t>1.2.1 Stations - Station Structures</t>
        </is>
      </c>
      <c r="E317" s="34" t="inlineStr">
        <is>
          <t>New</t>
        </is>
      </c>
      <c r="F317" s="14" t="inlineStr"/>
      <c r="G317" s="34" t="inlineStr">
        <is>
          <t>Source assignment -- not individually reviewed</t>
        </is>
      </c>
      <c r="H317" s="92" t="inlineStr">
        <is>
          <t>10 EVIDENCE &amp; DECISIONS</t>
        </is>
      </c>
    </row>
    <row r="318" ht="34" customHeight="1">
      <c r="A318" s="34" t="inlineStr">
        <is>
          <t>R1213-v1</t>
        </is>
      </c>
      <c r="B318" s="34" t="inlineStr">
        <is>
          <t>Cost &amp; Forecast Control Accounts</t>
        </is>
      </c>
      <c r="C318" s="34" t="inlineStr">
        <is>
          <t>CST-02-051</t>
        </is>
      </c>
      <c r="D318" s="34" t="inlineStr">
        <is>
          <t>1.2.1 Stations - Station Structures</t>
        </is>
      </c>
      <c r="E318" s="34" t="inlineStr">
        <is>
          <t>New</t>
        </is>
      </c>
      <c r="F318" s="14" t="inlineStr"/>
      <c r="G318" s="34" t="inlineStr">
        <is>
          <t>Source assignment -- not individually reviewed</t>
        </is>
      </c>
      <c r="H318" s="92" t="inlineStr">
        <is>
          <t>10 EVIDENCE &amp; DECISIONS</t>
        </is>
      </c>
    </row>
    <row r="319" ht="34" customHeight="1">
      <c r="A319" s="34" t="inlineStr">
        <is>
          <t>R1215-v1</t>
        </is>
      </c>
      <c r="B319" s="34" t="inlineStr">
        <is>
          <t>Cost &amp; Forecast Control Accounts</t>
        </is>
      </c>
      <c r="C319" s="34" t="inlineStr">
        <is>
          <t>CST-02-053</t>
        </is>
      </c>
      <c r="D319" s="34" t="inlineStr">
        <is>
          <t>1.2.1 Stations - Station Structures</t>
        </is>
      </c>
      <c r="E319" s="34" t="inlineStr">
        <is>
          <t>New</t>
        </is>
      </c>
      <c r="F319" s="14" t="inlineStr"/>
      <c r="G319" s="34" t="inlineStr">
        <is>
          <t>Source assignment -- not individually reviewed</t>
        </is>
      </c>
      <c r="H319" s="92" t="inlineStr">
        <is>
          <t>10 EVIDENCE &amp; DECISIONS</t>
        </is>
      </c>
    </row>
    <row r="320" ht="34" customHeight="1">
      <c r="A320" s="34" t="inlineStr">
        <is>
          <t>R1217-v1</t>
        </is>
      </c>
      <c r="B320" s="34" t="inlineStr">
        <is>
          <t>Cost &amp; Forecast Control Accounts</t>
        </is>
      </c>
      <c r="C320" s="34" t="inlineStr">
        <is>
          <t>CST-02-055</t>
        </is>
      </c>
      <c r="D320" s="34" t="inlineStr">
        <is>
          <t>1.2.1 Stations - Station Structures</t>
        </is>
      </c>
      <c r="E320" s="34" t="inlineStr">
        <is>
          <t>New</t>
        </is>
      </c>
      <c r="F320" s="14" t="inlineStr"/>
      <c r="G320" s="34" t="inlineStr">
        <is>
          <t>Source assignment -- not individually reviewed</t>
        </is>
      </c>
      <c r="H320" s="92" t="inlineStr">
        <is>
          <t>10 EVIDENCE &amp; DECISIONS</t>
        </is>
      </c>
    </row>
    <row r="321" ht="34" customHeight="1">
      <c r="A321" s="34" t="inlineStr">
        <is>
          <t>R1219-v1</t>
        </is>
      </c>
      <c r="B321" s="34" t="inlineStr">
        <is>
          <t>Cost &amp; Forecast Control Accounts</t>
        </is>
      </c>
      <c r="C321" s="34" t="inlineStr">
        <is>
          <t>CST-02-057</t>
        </is>
      </c>
      <c r="D321" s="34" t="inlineStr">
        <is>
          <t>1.2.1 Stations - Station Structures</t>
        </is>
      </c>
      <c r="E321" s="34" t="inlineStr">
        <is>
          <t>New</t>
        </is>
      </c>
      <c r="F321" s="14" t="inlineStr"/>
      <c r="G321" s="34" t="inlineStr">
        <is>
          <t>Source assignment -- not individually reviewed</t>
        </is>
      </c>
      <c r="H321" s="92" t="inlineStr">
        <is>
          <t>10 EVIDENCE &amp; DECISIONS</t>
        </is>
      </c>
    </row>
    <row r="322" ht="34" customHeight="1">
      <c r="A322" s="34" t="inlineStr">
        <is>
          <t>R1221-v1</t>
        </is>
      </c>
      <c r="B322" s="34" t="inlineStr">
        <is>
          <t>Cost &amp; Forecast Control Accounts</t>
        </is>
      </c>
      <c r="C322" s="34" t="inlineStr">
        <is>
          <t>CST-02-059</t>
        </is>
      </c>
      <c r="D322" s="34" t="inlineStr">
        <is>
          <t>1.2.1 Stations - Station Structures</t>
        </is>
      </c>
      <c r="E322" s="34" t="inlineStr">
        <is>
          <t>New</t>
        </is>
      </c>
      <c r="F322" s="14" t="inlineStr"/>
      <c r="G322" s="34" t="inlineStr">
        <is>
          <t>Source assignment -- not individually reviewed</t>
        </is>
      </c>
      <c r="H322" s="92" t="inlineStr">
        <is>
          <t>10 EVIDENCE &amp; DECISIONS</t>
        </is>
      </c>
    </row>
    <row r="323" ht="34" customHeight="1">
      <c r="A323" s="34" t="inlineStr">
        <is>
          <t>R1223-v1</t>
        </is>
      </c>
      <c r="B323" s="34" t="inlineStr">
        <is>
          <t>Cost &amp; Forecast Control Accounts</t>
        </is>
      </c>
      <c r="C323" s="34" t="inlineStr">
        <is>
          <t>CST-02-061</t>
        </is>
      </c>
      <c r="D323" s="34" t="inlineStr">
        <is>
          <t>1.2.1 Stations - Station Structures</t>
        </is>
      </c>
      <c r="E323" s="34" t="inlineStr">
        <is>
          <t>New</t>
        </is>
      </c>
      <c r="F323" s="14" t="inlineStr"/>
      <c r="G323" s="34" t="inlineStr">
        <is>
          <t>Source assignment -- not individually reviewed</t>
        </is>
      </c>
      <c r="H323" s="92" t="inlineStr">
        <is>
          <t>10 EVIDENCE &amp; DECISIONS</t>
        </is>
      </c>
    </row>
    <row r="324" ht="34" customHeight="1">
      <c r="A324" s="34" t="inlineStr">
        <is>
          <t>R1225-v1</t>
        </is>
      </c>
      <c r="B324" s="34" t="inlineStr">
        <is>
          <t>Cost &amp; Forecast Control Accounts</t>
        </is>
      </c>
      <c r="C324" s="34" t="inlineStr">
        <is>
          <t>CST-02-063</t>
        </is>
      </c>
      <c r="D324" s="34" t="inlineStr">
        <is>
          <t>1.2.1 Stations - Station Structures</t>
        </is>
      </c>
      <c r="E324" s="34" t="inlineStr">
        <is>
          <t>New</t>
        </is>
      </c>
      <c r="F324" s="14" t="inlineStr"/>
      <c r="G324" s="34" t="inlineStr">
        <is>
          <t>Source assignment -- not individually reviewed</t>
        </is>
      </c>
      <c r="H324" s="92" t="inlineStr">
        <is>
          <t>10 EVIDENCE &amp; DECISIONS</t>
        </is>
      </c>
    </row>
    <row r="325" ht="34" customHeight="1">
      <c r="A325" s="34" t="inlineStr">
        <is>
          <t>R1227-v1</t>
        </is>
      </c>
      <c r="B325" s="34" t="inlineStr">
        <is>
          <t>Cost &amp; Forecast Control Accounts</t>
        </is>
      </c>
      <c r="C325" s="34" t="inlineStr">
        <is>
          <t>CST-02-065</t>
        </is>
      </c>
      <c r="D325" s="34" t="inlineStr">
        <is>
          <t>1.2.1 Stations - Station Structures</t>
        </is>
      </c>
      <c r="E325" s="34" t="inlineStr">
        <is>
          <t>New</t>
        </is>
      </c>
      <c r="F325" s="14" t="inlineStr"/>
      <c r="G325" s="34" t="inlineStr">
        <is>
          <t>Source assignment -- not individually reviewed</t>
        </is>
      </c>
      <c r="H325" s="92" t="inlineStr">
        <is>
          <t>10 EVIDENCE &amp; DECISIONS</t>
        </is>
      </c>
    </row>
    <row r="326" ht="34" customHeight="1">
      <c r="A326" s="34" t="inlineStr">
        <is>
          <t>R1229-v1</t>
        </is>
      </c>
      <c r="B326" s="34" t="inlineStr">
        <is>
          <t>Cost &amp; Forecast Control Accounts</t>
        </is>
      </c>
      <c r="C326" s="34" t="inlineStr">
        <is>
          <t>CST-02-067</t>
        </is>
      </c>
      <c r="D326" s="34" t="inlineStr">
        <is>
          <t>1.2.1 Stations - Station Structures</t>
        </is>
      </c>
      <c r="E326" s="34" t="inlineStr">
        <is>
          <t>New</t>
        </is>
      </c>
      <c r="F326" s="14" t="inlineStr"/>
      <c r="G326" s="34" t="inlineStr">
        <is>
          <t>Source assignment -- not individually reviewed</t>
        </is>
      </c>
      <c r="H326" s="92" t="inlineStr">
        <is>
          <t>10 EVIDENCE &amp; DECISIONS</t>
        </is>
      </c>
    </row>
    <row r="327" ht="34" customHeight="1">
      <c r="A327" s="34" t="inlineStr">
        <is>
          <t>R1231-v1</t>
        </is>
      </c>
      <c r="B327" s="34" t="inlineStr">
        <is>
          <t>Cost &amp; Forecast Control Accounts</t>
        </is>
      </c>
      <c r="C327" s="34" t="inlineStr">
        <is>
          <t>CST-02-069</t>
        </is>
      </c>
      <c r="D327" s="34" t="inlineStr">
        <is>
          <t>1.2.1 Stations - Station Structures</t>
        </is>
      </c>
      <c r="E327" s="34" t="inlineStr">
        <is>
          <t>New</t>
        </is>
      </c>
      <c r="F327" s="14" t="inlineStr"/>
      <c r="G327" s="34" t="inlineStr">
        <is>
          <t>Source assignment -- not individually reviewed</t>
        </is>
      </c>
      <c r="H327" s="92" t="inlineStr">
        <is>
          <t>10 EVIDENCE &amp; DECISIONS</t>
        </is>
      </c>
    </row>
    <row r="328" ht="34" customHeight="1">
      <c r="A328" s="34" t="inlineStr">
        <is>
          <t>R1233-v1</t>
        </is>
      </c>
      <c r="B328" s="34" t="inlineStr">
        <is>
          <t>Cost &amp; Forecast Control Accounts</t>
        </is>
      </c>
      <c r="C328" s="34" t="inlineStr">
        <is>
          <t>CST-02-071</t>
        </is>
      </c>
      <c r="D328" s="34" t="inlineStr">
        <is>
          <t>1.2.1 Stations - Station Structures</t>
        </is>
      </c>
      <c r="E328" s="34" t="inlineStr">
        <is>
          <t>New</t>
        </is>
      </c>
      <c r="F328" s="14" t="inlineStr"/>
      <c r="G328" s="34" t="inlineStr">
        <is>
          <t>Source assignment -- not individually reviewed</t>
        </is>
      </c>
      <c r="H328" s="92" t="inlineStr">
        <is>
          <t>10 EVIDENCE &amp; DECISIONS</t>
        </is>
      </c>
    </row>
    <row r="329" ht="34" customHeight="1">
      <c r="A329" s="34" t="inlineStr">
        <is>
          <t>R1235-v1</t>
        </is>
      </c>
      <c r="B329" s="34" t="inlineStr">
        <is>
          <t>Cost &amp; Forecast Control Accounts</t>
        </is>
      </c>
      <c r="C329" s="34" t="inlineStr">
        <is>
          <t>CST-02-073</t>
        </is>
      </c>
      <c r="D329" s="34" t="inlineStr">
        <is>
          <t>1.2.1 Stations - Station Structures</t>
        </is>
      </c>
      <c r="E329" s="34" t="inlineStr">
        <is>
          <t>New</t>
        </is>
      </c>
      <c r="F329" s="14" t="inlineStr"/>
      <c r="G329" s="34" t="inlineStr">
        <is>
          <t>Source assignment -- not individually reviewed</t>
        </is>
      </c>
      <c r="H329" s="92" t="inlineStr">
        <is>
          <t>10 EVIDENCE &amp; DECISIONS</t>
        </is>
      </c>
    </row>
    <row r="330" ht="34" customHeight="1">
      <c r="A330" s="34" t="inlineStr">
        <is>
          <t>R1237-v1</t>
        </is>
      </c>
      <c r="B330" s="34" t="inlineStr">
        <is>
          <t>Cost &amp; Forecast Control Accounts</t>
        </is>
      </c>
      <c r="C330" s="34" t="inlineStr">
        <is>
          <t>CST-02-075</t>
        </is>
      </c>
      <c r="D330" s="34" t="inlineStr">
        <is>
          <t>1.2.1 Stations - Station Structures</t>
        </is>
      </c>
      <c r="E330" s="34" t="inlineStr">
        <is>
          <t>New</t>
        </is>
      </c>
      <c r="F330" s="14" t="inlineStr"/>
      <c r="G330" s="34" t="inlineStr">
        <is>
          <t>Source assignment -- not individually reviewed</t>
        </is>
      </c>
      <c r="H330" s="92" t="inlineStr">
        <is>
          <t>10 EVIDENCE &amp; DECISIONS</t>
        </is>
      </c>
    </row>
    <row r="331" ht="34" customHeight="1">
      <c r="A331" s="34" t="inlineStr">
        <is>
          <t>R1239-v1</t>
        </is>
      </c>
      <c r="B331" s="34" t="inlineStr">
        <is>
          <t>Cost &amp; Forecast Control Accounts</t>
        </is>
      </c>
      <c r="C331" s="34" t="inlineStr">
        <is>
          <t>CST-02-077</t>
        </is>
      </c>
      <c r="D331" s="34" t="inlineStr">
        <is>
          <t>1.2.1 Stations - Station Structures</t>
        </is>
      </c>
      <c r="E331" s="34" t="inlineStr">
        <is>
          <t>New</t>
        </is>
      </c>
      <c r="F331" s="14" t="inlineStr"/>
      <c r="G331" s="34" t="inlineStr">
        <is>
          <t>Source assignment -- not individually reviewed</t>
        </is>
      </c>
      <c r="H331" s="92" t="inlineStr">
        <is>
          <t>10 EVIDENCE &amp; DECISIONS</t>
        </is>
      </c>
    </row>
    <row r="332" ht="34" customHeight="1">
      <c r="A332" s="34" t="inlineStr">
        <is>
          <t>R1241-v1</t>
        </is>
      </c>
      <c r="B332" s="34" t="inlineStr">
        <is>
          <t>Cost &amp; Forecast Control Accounts</t>
        </is>
      </c>
      <c r="C332" s="34" t="inlineStr">
        <is>
          <t>CST-02-079</t>
        </is>
      </c>
      <c r="D332" s="34" t="inlineStr">
        <is>
          <t>1.2.1 Stations - Station Structures</t>
        </is>
      </c>
      <c r="E332" s="34" t="inlineStr">
        <is>
          <t>New</t>
        </is>
      </c>
      <c r="F332" s="14" t="inlineStr"/>
      <c r="G332" s="34" t="inlineStr">
        <is>
          <t>Source assignment -- not individually reviewed</t>
        </is>
      </c>
      <c r="H332" s="92" t="inlineStr">
        <is>
          <t>10 EVIDENCE &amp; DECISIONS</t>
        </is>
      </c>
    </row>
    <row r="333" ht="34" customHeight="1">
      <c r="A333" s="34" t="inlineStr">
        <is>
          <t>R181-v1</t>
        </is>
      </c>
      <c r="B333" s="34" t="inlineStr">
        <is>
          <t>Contractor Programme</t>
        </is>
      </c>
      <c r="C333" s="34" t="inlineStr">
        <is>
          <t>SCH-02-001</t>
        </is>
      </c>
      <c r="D333" s="34" t="inlineStr">
        <is>
          <t>1.2.1 Stations - Station Structures</t>
        </is>
      </c>
      <c r="E333" s="34" t="inlineStr">
        <is>
          <t>New</t>
        </is>
      </c>
      <c r="F333" s="14" t="inlineStr"/>
      <c r="G333" s="34" t="inlineStr">
        <is>
          <t>Source assignment -- not individually reviewed</t>
        </is>
      </c>
      <c r="H333" s="92" t="inlineStr">
        <is>
          <t>10 EVIDENCE &amp; DECISIONS</t>
        </is>
      </c>
    </row>
    <row r="334" ht="34" customHeight="1">
      <c r="A334" s="34" t="inlineStr">
        <is>
          <t>R182-v1</t>
        </is>
      </c>
      <c r="B334" s="34" t="inlineStr">
        <is>
          <t>Contractor Programme</t>
        </is>
      </c>
      <c r="C334" s="34" t="inlineStr">
        <is>
          <t>SCH-02-002</t>
        </is>
      </c>
      <c r="D334" s="34" t="inlineStr">
        <is>
          <t>1.2.1 Stations - Station Structures</t>
        </is>
      </c>
      <c r="E334" s="34" t="inlineStr">
        <is>
          <t>New</t>
        </is>
      </c>
      <c r="F334" s="14" t="inlineStr"/>
      <c r="G334" s="34" t="inlineStr">
        <is>
          <t>Source assignment -- not individually reviewed</t>
        </is>
      </c>
      <c r="H334" s="92" t="inlineStr">
        <is>
          <t>10 EVIDENCE &amp; DECISIONS</t>
        </is>
      </c>
    </row>
    <row r="335" ht="34" customHeight="1">
      <c r="A335" s="34" t="inlineStr">
        <is>
          <t>R184-v1</t>
        </is>
      </c>
      <c r="B335" s="34" t="inlineStr">
        <is>
          <t>Contractor Programme</t>
        </is>
      </c>
      <c r="C335" s="34" t="inlineStr">
        <is>
          <t>SCH-02-004</t>
        </is>
      </c>
      <c r="D335" s="34" t="inlineStr">
        <is>
          <t>1.2.1 Stations - Station Structures</t>
        </is>
      </c>
      <c r="E335" s="34" t="inlineStr">
        <is>
          <t>New</t>
        </is>
      </c>
      <c r="F335" s="14" t="inlineStr"/>
      <c r="G335" s="34" t="inlineStr">
        <is>
          <t>Source assignment -- not individually reviewed</t>
        </is>
      </c>
      <c r="H335" s="92" t="inlineStr">
        <is>
          <t>10 EVIDENCE &amp; DECISIONS</t>
        </is>
      </c>
    </row>
    <row r="336" ht="34" customHeight="1">
      <c r="A336" s="34" t="inlineStr">
        <is>
          <t>R185-v1</t>
        </is>
      </c>
      <c r="B336" s="34" t="inlineStr">
        <is>
          <t>Contractor Programme</t>
        </is>
      </c>
      <c r="C336" s="34" t="inlineStr">
        <is>
          <t>SCH-02-005</t>
        </is>
      </c>
      <c r="D336" s="34" t="inlineStr">
        <is>
          <t>1.2.1 Stations - Station Structures</t>
        </is>
      </c>
      <c r="E336" s="34" t="inlineStr">
        <is>
          <t>New</t>
        </is>
      </c>
      <c r="F336" s="14" t="inlineStr"/>
      <c r="G336" s="34" t="inlineStr">
        <is>
          <t>Source assignment -- not individually reviewed</t>
        </is>
      </c>
      <c r="H336" s="92" t="inlineStr">
        <is>
          <t>10 EVIDENCE &amp; DECISIONS</t>
        </is>
      </c>
    </row>
    <row r="337" ht="34" customHeight="1">
      <c r="A337" s="34" t="inlineStr">
        <is>
          <t>R187-v1</t>
        </is>
      </c>
      <c r="B337" s="34" t="inlineStr">
        <is>
          <t>Contractor Programme</t>
        </is>
      </c>
      <c r="C337" s="34" t="inlineStr">
        <is>
          <t>SCH-02-007</t>
        </is>
      </c>
      <c r="D337" s="34" t="inlineStr">
        <is>
          <t>1.2.1 Stations - Station Structures</t>
        </is>
      </c>
      <c r="E337" s="34" t="inlineStr">
        <is>
          <t>New</t>
        </is>
      </c>
      <c r="F337" s="14" t="inlineStr"/>
      <c r="G337" s="34" t="inlineStr">
        <is>
          <t>Source assignment -- not individually reviewed</t>
        </is>
      </c>
      <c r="H337" s="92" t="inlineStr">
        <is>
          <t>10 EVIDENCE &amp; DECISIONS</t>
        </is>
      </c>
    </row>
    <row r="338" ht="34" customHeight="1">
      <c r="A338" s="34" t="inlineStr">
        <is>
          <t>R188-v1</t>
        </is>
      </c>
      <c r="B338" s="34" t="inlineStr">
        <is>
          <t>Contractor Programme</t>
        </is>
      </c>
      <c r="C338" s="34" t="inlineStr">
        <is>
          <t>SCH-02-008</t>
        </is>
      </c>
      <c r="D338" s="34" t="inlineStr">
        <is>
          <t>1.2.1 Stations - Station Structures</t>
        </is>
      </c>
      <c r="E338" s="34" t="inlineStr">
        <is>
          <t>New</t>
        </is>
      </c>
      <c r="F338" s="14" t="inlineStr"/>
      <c r="G338" s="34" t="inlineStr">
        <is>
          <t>Source assignment -- not individually reviewed</t>
        </is>
      </c>
      <c r="H338" s="92" t="inlineStr">
        <is>
          <t>10 EVIDENCE &amp; DECISIONS</t>
        </is>
      </c>
    </row>
    <row r="339" ht="34" customHeight="1">
      <c r="A339" s="34" t="inlineStr">
        <is>
          <t>R190-v1</t>
        </is>
      </c>
      <c r="B339" s="34" t="inlineStr">
        <is>
          <t>Contractor Programme</t>
        </is>
      </c>
      <c r="C339" s="34" t="inlineStr">
        <is>
          <t>SCH-02-010</t>
        </is>
      </c>
      <c r="D339" s="34" t="inlineStr">
        <is>
          <t>1.2.1 Stations - Station Structures</t>
        </is>
      </c>
      <c r="E339" s="34" t="inlineStr">
        <is>
          <t>New</t>
        </is>
      </c>
      <c r="F339" s="14" t="inlineStr"/>
      <c r="G339" s="34" t="inlineStr">
        <is>
          <t>Source assignment -- not individually reviewed</t>
        </is>
      </c>
      <c r="H339" s="92" t="inlineStr">
        <is>
          <t>10 EVIDENCE &amp; DECISIONS</t>
        </is>
      </c>
    </row>
    <row r="340" ht="34" customHeight="1">
      <c r="A340" s="34" t="inlineStr">
        <is>
          <t>R191-v1</t>
        </is>
      </c>
      <c r="B340" s="34" t="inlineStr">
        <is>
          <t>Contractor Programme</t>
        </is>
      </c>
      <c r="C340" s="34" t="inlineStr">
        <is>
          <t>SCH-02-011</t>
        </is>
      </c>
      <c r="D340" s="34" t="inlineStr">
        <is>
          <t>1.2.1 Stations - Station Structures</t>
        </is>
      </c>
      <c r="E340" s="34" t="inlineStr">
        <is>
          <t>New</t>
        </is>
      </c>
      <c r="F340" s="14" t="inlineStr"/>
      <c r="G340" s="34" t="inlineStr">
        <is>
          <t>Source assignment -- not individually reviewed</t>
        </is>
      </c>
      <c r="H340" s="92" t="inlineStr">
        <is>
          <t>10 EVIDENCE &amp; DECISIONS</t>
        </is>
      </c>
    </row>
    <row r="341" ht="34" customHeight="1">
      <c r="A341" s="34" t="inlineStr">
        <is>
          <t>R193-v1</t>
        </is>
      </c>
      <c r="B341" s="34" t="inlineStr">
        <is>
          <t>Contractor Programme</t>
        </is>
      </c>
      <c r="C341" s="34" t="inlineStr">
        <is>
          <t>SCH-02-013</t>
        </is>
      </c>
      <c r="D341" s="34" t="inlineStr">
        <is>
          <t>1.2.1 Stations - Station Structures</t>
        </is>
      </c>
      <c r="E341" s="34" t="inlineStr">
        <is>
          <t>New</t>
        </is>
      </c>
      <c r="F341" s="14" t="inlineStr"/>
      <c r="G341" s="34" t="inlineStr">
        <is>
          <t>Source assignment -- not individually reviewed</t>
        </is>
      </c>
      <c r="H341" s="92" t="inlineStr">
        <is>
          <t>10 EVIDENCE &amp; DECISIONS</t>
        </is>
      </c>
    </row>
    <row r="342" ht="34" customHeight="1">
      <c r="A342" s="34" t="inlineStr">
        <is>
          <t>R194-v1</t>
        </is>
      </c>
      <c r="B342" s="34" t="inlineStr">
        <is>
          <t>Contractor Programme</t>
        </is>
      </c>
      <c r="C342" s="34" t="inlineStr">
        <is>
          <t>SCH-02-014</t>
        </is>
      </c>
      <c r="D342" s="34" t="inlineStr">
        <is>
          <t>1.2.1 Stations - Station Structures</t>
        </is>
      </c>
      <c r="E342" s="34" t="inlineStr">
        <is>
          <t>New</t>
        </is>
      </c>
      <c r="F342" s="14" t="inlineStr"/>
      <c r="G342" s="34" t="inlineStr">
        <is>
          <t>Source assignment -- not individually reviewed</t>
        </is>
      </c>
      <c r="H342" s="92" t="inlineStr">
        <is>
          <t>10 EVIDENCE &amp; DECISIONS</t>
        </is>
      </c>
    </row>
    <row r="343" ht="34" customHeight="1">
      <c r="A343" s="34" t="inlineStr">
        <is>
          <t>R196-v1</t>
        </is>
      </c>
      <c r="B343" s="34" t="inlineStr">
        <is>
          <t>Contractor Programme</t>
        </is>
      </c>
      <c r="C343" s="34" t="inlineStr">
        <is>
          <t>SCH-02-016</t>
        </is>
      </c>
      <c r="D343" s="34" t="inlineStr">
        <is>
          <t>1.2.1 Stations - Station Structures</t>
        </is>
      </c>
      <c r="E343" s="34" t="inlineStr">
        <is>
          <t>New</t>
        </is>
      </c>
      <c r="F343" s="14" t="inlineStr"/>
      <c r="G343" s="34" t="inlineStr">
        <is>
          <t>Source assignment -- not individually reviewed</t>
        </is>
      </c>
      <c r="H343" s="92" t="inlineStr">
        <is>
          <t>10 EVIDENCE &amp; DECISIONS</t>
        </is>
      </c>
    </row>
    <row r="344" ht="34" customHeight="1">
      <c r="A344" s="34" t="inlineStr">
        <is>
          <t>R197-v1</t>
        </is>
      </c>
      <c r="B344" s="34" t="inlineStr">
        <is>
          <t>Contractor Programme</t>
        </is>
      </c>
      <c r="C344" s="34" t="inlineStr">
        <is>
          <t>SCH-02-017</t>
        </is>
      </c>
      <c r="D344" s="34" t="inlineStr">
        <is>
          <t>1.2.1 Stations - Station Structures</t>
        </is>
      </c>
      <c r="E344" s="34" t="inlineStr">
        <is>
          <t>New</t>
        </is>
      </c>
      <c r="F344" s="14" t="inlineStr"/>
      <c r="G344" s="34" t="inlineStr">
        <is>
          <t>Source assignment -- not individually reviewed</t>
        </is>
      </c>
      <c r="H344" s="92" t="inlineStr">
        <is>
          <t>10 EVIDENCE &amp; DECISIONS</t>
        </is>
      </c>
    </row>
    <row r="345" ht="34" customHeight="1">
      <c r="A345" s="34" t="inlineStr">
        <is>
          <t>R199-v1</t>
        </is>
      </c>
      <c r="B345" s="34" t="inlineStr">
        <is>
          <t>Contractor Programme</t>
        </is>
      </c>
      <c r="C345" s="34" t="inlineStr">
        <is>
          <t>SCH-02-019</t>
        </is>
      </c>
      <c r="D345" s="34" t="inlineStr">
        <is>
          <t>1.2.1 Stations - Station Structures</t>
        </is>
      </c>
      <c r="E345" s="34" t="inlineStr">
        <is>
          <t>New</t>
        </is>
      </c>
      <c r="F345" s="14" t="inlineStr"/>
      <c r="G345" s="34" t="inlineStr">
        <is>
          <t>Source assignment -- not individually reviewed</t>
        </is>
      </c>
      <c r="H345" s="92" t="inlineStr">
        <is>
          <t>10 EVIDENCE &amp; DECISIONS</t>
        </is>
      </c>
    </row>
    <row r="346" ht="34" customHeight="1">
      <c r="A346" s="34" t="inlineStr">
        <is>
          <t>R200-v1</t>
        </is>
      </c>
      <c r="B346" s="34" t="inlineStr">
        <is>
          <t>Contractor Programme</t>
        </is>
      </c>
      <c r="C346" s="34" t="inlineStr">
        <is>
          <t>SCH-02-020</t>
        </is>
      </c>
      <c r="D346" s="34" t="inlineStr">
        <is>
          <t>1.2.1 Stations - Station Structures</t>
        </is>
      </c>
      <c r="E346" s="34" t="inlineStr">
        <is>
          <t>New</t>
        </is>
      </c>
      <c r="F346" s="14" t="inlineStr"/>
      <c r="G346" s="34" t="inlineStr">
        <is>
          <t>Source assignment -- not individually reviewed</t>
        </is>
      </c>
      <c r="H346" s="92" t="inlineStr">
        <is>
          <t>10 EVIDENCE &amp; DECISIONS</t>
        </is>
      </c>
    </row>
    <row r="347" ht="34" customHeight="1">
      <c r="A347" s="34" t="inlineStr">
        <is>
          <t>R202-v1</t>
        </is>
      </c>
      <c r="B347" s="34" t="inlineStr">
        <is>
          <t>Contractor Programme</t>
        </is>
      </c>
      <c r="C347" s="34" t="inlineStr">
        <is>
          <t>SCH-02-022</t>
        </is>
      </c>
      <c r="D347" s="34" t="inlineStr">
        <is>
          <t>1.2.1 Stations - Station Structures</t>
        </is>
      </c>
      <c r="E347" s="34" t="inlineStr">
        <is>
          <t>New</t>
        </is>
      </c>
      <c r="F347" s="14" t="inlineStr"/>
      <c r="G347" s="34" t="inlineStr">
        <is>
          <t>Source assignment -- not individually reviewed</t>
        </is>
      </c>
      <c r="H347" s="92" t="inlineStr">
        <is>
          <t>10 EVIDENCE &amp; DECISIONS</t>
        </is>
      </c>
    </row>
    <row r="348" ht="34" customHeight="1">
      <c r="A348" s="34" t="inlineStr">
        <is>
          <t>R203-v1</t>
        </is>
      </c>
      <c r="B348" s="34" t="inlineStr">
        <is>
          <t>Contractor Programme</t>
        </is>
      </c>
      <c r="C348" s="34" t="inlineStr">
        <is>
          <t>SCH-02-023</t>
        </is>
      </c>
      <c r="D348" s="34" t="inlineStr">
        <is>
          <t>1.2.1 Stations - Station Structures</t>
        </is>
      </c>
      <c r="E348" s="34" t="inlineStr">
        <is>
          <t>New</t>
        </is>
      </c>
      <c r="F348" s="14" t="inlineStr"/>
      <c r="G348" s="34" t="inlineStr">
        <is>
          <t>Source assignment -- not individually reviewed</t>
        </is>
      </c>
      <c r="H348" s="92" t="inlineStr">
        <is>
          <t>10 EVIDENCE &amp; DECISIONS</t>
        </is>
      </c>
    </row>
    <row r="349" ht="34" customHeight="1">
      <c r="A349" s="34" t="inlineStr">
        <is>
          <t>R205-v1</t>
        </is>
      </c>
      <c r="B349" s="34" t="inlineStr">
        <is>
          <t>Contractor Programme</t>
        </is>
      </c>
      <c r="C349" s="34" t="inlineStr">
        <is>
          <t>SCH-02-025</t>
        </is>
      </c>
      <c r="D349" s="34" t="inlineStr">
        <is>
          <t>1.2.1 Stations - Station Structures</t>
        </is>
      </c>
      <c r="E349" s="34" t="inlineStr">
        <is>
          <t>New</t>
        </is>
      </c>
      <c r="F349" s="14" t="inlineStr"/>
      <c r="G349" s="34" t="inlineStr">
        <is>
          <t>Source assignment -- not individually reviewed</t>
        </is>
      </c>
      <c r="H349" s="92" t="inlineStr">
        <is>
          <t>10 EVIDENCE &amp; DECISIONS</t>
        </is>
      </c>
    </row>
    <row r="350" ht="34" customHeight="1">
      <c r="A350" s="34" t="inlineStr">
        <is>
          <t>R206-v1</t>
        </is>
      </c>
      <c r="B350" s="34" t="inlineStr">
        <is>
          <t>Contractor Programme</t>
        </is>
      </c>
      <c r="C350" s="34" t="inlineStr">
        <is>
          <t>SCH-02-026</t>
        </is>
      </c>
      <c r="D350" s="34" t="inlineStr">
        <is>
          <t>1.2.1 Stations - Station Structures</t>
        </is>
      </c>
      <c r="E350" s="34" t="inlineStr">
        <is>
          <t>New</t>
        </is>
      </c>
      <c r="F350" s="14" t="inlineStr"/>
      <c r="G350" s="34" t="inlineStr">
        <is>
          <t>Source assignment -- not individually reviewed</t>
        </is>
      </c>
      <c r="H350" s="92" t="inlineStr">
        <is>
          <t>10 EVIDENCE &amp; DECISIONS</t>
        </is>
      </c>
    </row>
    <row r="351" ht="34" customHeight="1">
      <c r="A351" s="34" t="inlineStr">
        <is>
          <t>R208-v1</t>
        </is>
      </c>
      <c r="B351" s="34" t="inlineStr">
        <is>
          <t>Contractor Programme</t>
        </is>
      </c>
      <c r="C351" s="34" t="inlineStr">
        <is>
          <t>SCH-02-028</t>
        </is>
      </c>
      <c r="D351" s="34" t="inlineStr">
        <is>
          <t>1.2.1 Stations - Station Structures</t>
        </is>
      </c>
      <c r="E351" s="34" t="inlineStr">
        <is>
          <t>New</t>
        </is>
      </c>
      <c r="F351" s="14" t="inlineStr"/>
      <c r="G351" s="34" t="inlineStr">
        <is>
          <t>Source assignment -- not individually reviewed</t>
        </is>
      </c>
      <c r="H351" s="92" t="inlineStr">
        <is>
          <t>10 EVIDENCE &amp; DECISIONS</t>
        </is>
      </c>
    </row>
    <row r="352" ht="34" customHeight="1">
      <c r="A352" s="34" t="inlineStr">
        <is>
          <t>R209-v1</t>
        </is>
      </c>
      <c r="B352" s="34" t="inlineStr">
        <is>
          <t>Contractor Programme</t>
        </is>
      </c>
      <c r="C352" s="34" t="inlineStr">
        <is>
          <t>SCH-02-029</t>
        </is>
      </c>
      <c r="D352" s="34" t="inlineStr">
        <is>
          <t>1.2.1 Stations - Station Structures</t>
        </is>
      </c>
      <c r="E352" s="34" t="inlineStr">
        <is>
          <t>New</t>
        </is>
      </c>
      <c r="F352" s="14" t="inlineStr"/>
      <c r="G352" s="34" t="inlineStr">
        <is>
          <t>Source assignment -- not individually reviewed</t>
        </is>
      </c>
      <c r="H352" s="92" t="inlineStr">
        <is>
          <t>10 EVIDENCE &amp; DECISIONS</t>
        </is>
      </c>
    </row>
    <row r="353" ht="34" customHeight="1">
      <c r="A353" s="34" t="inlineStr">
        <is>
          <t>R211-v1</t>
        </is>
      </c>
      <c r="B353" s="34" t="inlineStr">
        <is>
          <t>Contractor Programme</t>
        </is>
      </c>
      <c r="C353" s="34" t="inlineStr">
        <is>
          <t>SCH-02-031</t>
        </is>
      </c>
      <c r="D353" s="34" t="inlineStr">
        <is>
          <t>1.2.1 Stations - Station Structures</t>
        </is>
      </c>
      <c r="E353" s="34" t="inlineStr">
        <is>
          <t>New</t>
        </is>
      </c>
      <c r="F353" s="14" t="inlineStr"/>
      <c r="G353" s="34" t="inlineStr">
        <is>
          <t>Source assignment -- not individually reviewed</t>
        </is>
      </c>
      <c r="H353" s="92" t="inlineStr">
        <is>
          <t>10 EVIDENCE &amp; DECISIONS</t>
        </is>
      </c>
    </row>
    <row r="354" ht="34" customHeight="1">
      <c r="A354" s="34" t="inlineStr">
        <is>
          <t>R212-v1</t>
        </is>
      </c>
      <c r="B354" s="34" t="inlineStr">
        <is>
          <t>Contractor Programme</t>
        </is>
      </c>
      <c r="C354" s="34" t="inlineStr">
        <is>
          <t>SCH-02-032</t>
        </is>
      </c>
      <c r="D354" s="34" t="inlineStr">
        <is>
          <t>1.2.1 Stations - Station Structures</t>
        </is>
      </c>
      <c r="E354" s="34" t="inlineStr">
        <is>
          <t>New</t>
        </is>
      </c>
      <c r="F354" s="14" t="inlineStr"/>
      <c r="G354" s="34" t="inlineStr">
        <is>
          <t>Source assignment -- not individually reviewed</t>
        </is>
      </c>
      <c r="H354" s="92" t="inlineStr">
        <is>
          <t>10 EVIDENCE &amp; DECISIONS</t>
        </is>
      </c>
    </row>
    <row r="355" ht="34" customHeight="1">
      <c r="A355" s="34" t="inlineStr">
        <is>
          <t>R214-v1</t>
        </is>
      </c>
      <c r="B355" s="34" t="inlineStr">
        <is>
          <t>Contractor Programme</t>
        </is>
      </c>
      <c r="C355" s="34" t="inlineStr">
        <is>
          <t>SCH-02-034</t>
        </is>
      </c>
      <c r="D355" s="34" t="inlineStr">
        <is>
          <t>1.2.1 Stations - Station Structures</t>
        </is>
      </c>
      <c r="E355" s="34" t="inlineStr">
        <is>
          <t>New</t>
        </is>
      </c>
      <c r="F355" s="14" t="inlineStr"/>
      <c r="G355" s="34" t="inlineStr">
        <is>
          <t>Source assignment -- not individually reviewed</t>
        </is>
      </c>
      <c r="H355" s="92" t="inlineStr">
        <is>
          <t>10 EVIDENCE &amp; DECISIONS</t>
        </is>
      </c>
    </row>
    <row r="356" ht="34" customHeight="1">
      <c r="A356" s="34" t="inlineStr">
        <is>
          <t>R215-v1</t>
        </is>
      </c>
      <c r="B356" s="34" t="inlineStr">
        <is>
          <t>Contractor Programme</t>
        </is>
      </c>
      <c r="C356" s="34" t="inlineStr">
        <is>
          <t>SCH-02-035</t>
        </is>
      </c>
      <c r="D356" s="34" t="inlineStr">
        <is>
          <t>1.2.1 Stations - Station Structures</t>
        </is>
      </c>
      <c r="E356" s="34" t="inlineStr">
        <is>
          <t>New</t>
        </is>
      </c>
      <c r="F356" s="14" t="inlineStr"/>
      <c r="G356" s="34" t="inlineStr">
        <is>
          <t>Source assignment -- not individually reviewed</t>
        </is>
      </c>
      <c r="H356" s="92" t="inlineStr">
        <is>
          <t>10 EVIDENCE &amp; DECISIONS</t>
        </is>
      </c>
    </row>
    <row r="357" ht="34" customHeight="1">
      <c r="A357" s="34" t="inlineStr">
        <is>
          <t>R217-v1</t>
        </is>
      </c>
      <c r="B357" s="34" t="inlineStr">
        <is>
          <t>Contractor Programme</t>
        </is>
      </c>
      <c r="C357" s="34" t="inlineStr">
        <is>
          <t>SCH-02-037</t>
        </is>
      </c>
      <c r="D357" s="34" t="inlineStr">
        <is>
          <t>1.2.1 Stations - Station Structures</t>
        </is>
      </c>
      <c r="E357" s="34" t="inlineStr">
        <is>
          <t>New</t>
        </is>
      </c>
      <c r="F357" s="14" t="inlineStr"/>
      <c r="G357" s="34" t="inlineStr">
        <is>
          <t>Source assignment -- not individually reviewed</t>
        </is>
      </c>
      <c r="H357" s="92" t="inlineStr">
        <is>
          <t>10 EVIDENCE &amp; DECISIONS</t>
        </is>
      </c>
    </row>
    <row r="358" ht="34" customHeight="1">
      <c r="A358" s="34" t="inlineStr">
        <is>
          <t>R218-v1</t>
        </is>
      </c>
      <c r="B358" s="34" t="inlineStr">
        <is>
          <t>Contractor Programme</t>
        </is>
      </c>
      <c r="C358" s="34" t="inlineStr">
        <is>
          <t>SCH-02-038</t>
        </is>
      </c>
      <c r="D358" s="34" t="inlineStr">
        <is>
          <t>1.2.1 Stations - Station Structures</t>
        </is>
      </c>
      <c r="E358" s="34" t="inlineStr">
        <is>
          <t>New</t>
        </is>
      </c>
      <c r="F358" s="14" t="inlineStr"/>
      <c r="G358" s="34" t="inlineStr">
        <is>
          <t>Source assignment -- not individually reviewed</t>
        </is>
      </c>
      <c r="H358" s="92" t="inlineStr">
        <is>
          <t>10 EVIDENCE &amp; DECISIONS</t>
        </is>
      </c>
    </row>
    <row r="359" ht="34" customHeight="1">
      <c r="A359" s="34" t="inlineStr">
        <is>
          <t>R220-v1</t>
        </is>
      </c>
      <c r="B359" s="34" t="inlineStr">
        <is>
          <t>Contractor Programme</t>
        </is>
      </c>
      <c r="C359" s="34" t="inlineStr">
        <is>
          <t>SCH-02-040</t>
        </is>
      </c>
      <c r="D359" s="34" t="inlineStr">
        <is>
          <t>1.2.1 Stations - Station Structures</t>
        </is>
      </c>
      <c r="E359" s="34" t="inlineStr">
        <is>
          <t>New</t>
        </is>
      </c>
      <c r="F359" s="14" t="inlineStr"/>
      <c r="G359" s="34" t="inlineStr">
        <is>
          <t>Source assignment -- not individually reviewed</t>
        </is>
      </c>
      <c r="H359" s="92" t="inlineStr">
        <is>
          <t>10 EVIDENCE &amp; DECISIONS</t>
        </is>
      </c>
    </row>
    <row r="360" ht="34" customHeight="1">
      <c r="A360" s="34" t="inlineStr">
        <is>
          <t>R221-v1</t>
        </is>
      </c>
      <c r="B360" s="34" t="inlineStr">
        <is>
          <t>Contractor Programme</t>
        </is>
      </c>
      <c r="C360" s="34" t="inlineStr">
        <is>
          <t>SCH-02-041</t>
        </is>
      </c>
      <c r="D360" s="34" t="inlineStr">
        <is>
          <t>1.2.1 Stations - Station Structures</t>
        </is>
      </c>
      <c r="E360" s="34" t="inlineStr">
        <is>
          <t>New</t>
        </is>
      </c>
      <c r="F360" s="14" t="inlineStr"/>
      <c r="G360" s="34" t="inlineStr">
        <is>
          <t>Source assignment -- not individually reviewed</t>
        </is>
      </c>
      <c r="H360" s="92" t="inlineStr">
        <is>
          <t>10 EVIDENCE &amp; DECISIONS</t>
        </is>
      </c>
    </row>
    <row r="361" ht="34" customHeight="1">
      <c r="A361" s="34" t="inlineStr">
        <is>
          <t>R223-v1</t>
        </is>
      </c>
      <c r="B361" s="34" t="inlineStr">
        <is>
          <t>Contractor Programme</t>
        </is>
      </c>
      <c r="C361" s="34" t="inlineStr">
        <is>
          <t>SCH-02-043</t>
        </is>
      </c>
      <c r="D361" s="34" t="inlineStr">
        <is>
          <t>1.2.1 Stations - Station Structures</t>
        </is>
      </c>
      <c r="E361" s="34" t="inlineStr">
        <is>
          <t>New</t>
        </is>
      </c>
      <c r="F361" s="14" t="inlineStr"/>
      <c r="G361" s="34" t="inlineStr">
        <is>
          <t>Source assignment -- not individually reviewed</t>
        </is>
      </c>
      <c r="H361" s="92" t="inlineStr">
        <is>
          <t>10 EVIDENCE &amp; DECISIONS</t>
        </is>
      </c>
    </row>
    <row r="362" ht="34" customHeight="1">
      <c r="A362" s="34" t="inlineStr">
        <is>
          <t>R224-v1</t>
        </is>
      </c>
      <c r="B362" s="34" t="inlineStr">
        <is>
          <t>Contractor Programme</t>
        </is>
      </c>
      <c r="C362" s="34" t="inlineStr">
        <is>
          <t>SCH-02-044</t>
        </is>
      </c>
      <c r="D362" s="34" t="inlineStr">
        <is>
          <t>1.2.1 Stations - Station Structures</t>
        </is>
      </c>
      <c r="E362" s="34" t="inlineStr">
        <is>
          <t>New</t>
        </is>
      </c>
      <c r="F362" s="14" t="inlineStr"/>
      <c r="G362" s="34" t="inlineStr">
        <is>
          <t>Source assignment -- not individually reviewed</t>
        </is>
      </c>
      <c r="H362" s="92" t="inlineStr">
        <is>
          <t>10 EVIDENCE &amp; DECISIONS</t>
        </is>
      </c>
    </row>
    <row r="363" ht="34" customHeight="1">
      <c r="A363" s="34" t="inlineStr">
        <is>
          <t>R226-v1</t>
        </is>
      </c>
      <c r="B363" s="34" t="inlineStr">
        <is>
          <t>Contractor Programme</t>
        </is>
      </c>
      <c r="C363" s="34" t="inlineStr">
        <is>
          <t>SCH-02-046</t>
        </is>
      </c>
      <c r="D363" s="34" t="inlineStr">
        <is>
          <t>1.2.1 Stations - Station Structures</t>
        </is>
      </c>
      <c r="E363" s="34" t="inlineStr">
        <is>
          <t>New</t>
        </is>
      </c>
      <c r="F363" s="14" t="inlineStr"/>
      <c r="G363" s="34" t="inlineStr">
        <is>
          <t>Source assignment -- not individually reviewed</t>
        </is>
      </c>
      <c r="H363" s="92" t="inlineStr">
        <is>
          <t>10 EVIDENCE &amp; DECISIONS</t>
        </is>
      </c>
    </row>
    <row r="364" ht="34" customHeight="1">
      <c r="A364" s="34" t="inlineStr">
        <is>
          <t>R227-v1</t>
        </is>
      </c>
      <c r="B364" s="34" t="inlineStr">
        <is>
          <t>Contractor Programme</t>
        </is>
      </c>
      <c r="C364" s="34" t="inlineStr">
        <is>
          <t>SCH-02-047</t>
        </is>
      </c>
      <c r="D364" s="34" t="inlineStr">
        <is>
          <t>1.2.1 Stations - Station Structures</t>
        </is>
      </c>
      <c r="E364" s="34" t="inlineStr">
        <is>
          <t>New</t>
        </is>
      </c>
      <c r="F364" s="14" t="inlineStr"/>
      <c r="G364" s="34" t="inlineStr">
        <is>
          <t>Source assignment -- not individually reviewed</t>
        </is>
      </c>
      <c r="H364" s="92" t="inlineStr">
        <is>
          <t>10 EVIDENCE &amp; DECISIONS</t>
        </is>
      </c>
    </row>
    <row r="365" ht="34" customHeight="1">
      <c r="A365" s="34" t="inlineStr">
        <is>
          <t>R229-v1</t>
        </is>
      </c>
      <c r="B365" s="34" t="inlineStr">
        <is>
          <t>Contractor Programme</t>
        </is>
      </c>
      <c r="C365" s="34" t="inlineStr">
        <is>
          <t>SCH-02-049</t>
        </is>
      </c>
      <c r="D365" s="34" t="inlineStr">
        <is>
          <t>1.2.1 Stations - Station Structures</t>
        </is>
      </c>
      <c r="E365" s="34" t="inlineStr">
        <is>
          <t>New</t>
        </is>
      </c>
      <c r="F365" s="14" t="inlineStr"/>
      <c r="G365" s="34" t="inlineStr">
        <is>
          <t>Source assignment -- not individually reviewed</t>
        </is>
      </c>
      <c r="H365" s="92" t="inlineStr">
        <is>
          <t>10 EVIDENCE &amp; DECISIONS</t>
        </is>
      </c>
    </row>
    <row r="366" ht="34" customHeight="1">
      <c r="A366" s="34" t="inlineStr">
        <is>
          <t>R230-v1</t>
        </is>
      </c>
      <c r="B366" s="34" t="inlineStr">
        <is>
          <t>Contractor Programme</t>
        </is>
      </c>
      <c r="C366" s="34" t="inlineStr">
        <is>
          <t>SCH-02-050</t>
        </is>
      </c>
      <c r="D366" s="34" t="inlineStr">
        <is>
          <t>1.2.1 Stations - Station Structures</t>
        </is>
      </c>
      <c r="E366" s="34" t="inlineStr">
        <is>
          <t>New</t>
        </is>
      </c>
      <c r="F366" s="14" t="inlineStr"/>
      <c r="G366" s="34" t="inlineStr">
        <is>
          <t>Source assignment -- not individually reviewed</t>
        </is>
      </c>
      <c r="H366" s="92" t="inlineStr">
        <is>
          <t>10 EVIDENCE &amp; DECISIONS</t>
        </is>
      </c>
    </row>
    <row r="367" ht="34" customHeight="1">
      <c r="A367" s="34" t="inlineStr">
        <is>
          <t>R232-v1</t>
        </is>
      </c>
      <c r="B367" s="34" t="inlineStr">
        <is>
          <t>Contractor Programme</t>
        </is>
      </c>
      <c r="C367" s="34" t="inlineStr">
        <is>
          <t>SCH-02-052</t>
        </is>
      </c>
      <c r="D367" s="34" t="inlineStr">
        <is>
          <t>1.2.1 Stations - Station Structures</t>
        </is>
      </c>
      <c r="E367" s="34" t="inlineStr">
        <is>
          <t>New</t>
        </is>
      </c>
      <c r="F367" s="14" t="inlineStr"/>
      <c r="G367" s="34" t="inlineStr">
        <is>
          <t>Source assignment -- not individually reviewed</t>
        </is>
      </c>
      <c r="H367" s="92" t="inlineStr">
        <is>
          <t>10 EVIDENCE &amp; DECISIONS</t>
        </is>
      </c>
    </row>
    <row r="368" ht="34" customHeight="1">
      <c r="A368" s="34" t="inlineStr">
        <is>
          <t>R233-v1</t>
        </is>
      </c>
      <c r="B368" s="34" t="inlineStr">
        <is>
          <t>Contractor Programme</t>
        </is>
      </c>
      <c r="C368" s="34" t="inlineStr">
        <is>
          <t>SCH-02-053</t>
        </is>
      </c>
      <c r="D368" s="34" t="inlineStr">
        <is>
          <t>1.2.1 Stations - Station Structures</t>
        </is>
      </c>
      <c r="E368" s="34" t="inlineStr">
        <is>
          <t>New</t>
        </is>
      </c>
      <c r="F368" s="14" t="inlineStr"/>
      <c r="G368" s="34" t="inlineStr">
        <is>
          <t>Source assignment -- not individually reviewed</t>
        </is>
      </c>
      <c r="H368" s="92" t="inlineStr">
        <is>
          <t>10 EVIDENCE &amp; DECISIONS</t>
        </is>
      </c>
    </row>
    <row r="369" ht="34" customHeight="1">
      <c r="A369" s="34" t="inlineStr">
        <is>
          <t>R235-v1</t>
        </is>
      </c>
      <c r="B369" s="34" t="inlineStr">
        <is>
          <t>Contractor Programme</t>
        </is>
      </c>
      <c r="C369" s="34" t="inlineStr">
        <is>
          <t>SCH-02-055</t>
        </is>
      </c>
      <c r="D369" s="34" t="inlineStr">
        <is>
          <t>1.2.1 Stations - Station Structures</t>
        </is>
      </c>
      <c r="E369" s="34" t="inlineStr">
        <is>
          <t>New</t>
        </is>
      </c>
      <c r="F369" s="14" t="inlineStr"/>
      <c r="G369" s="34" t="inlineStr">
        <is>
          <t>Source assignment -- not individually reviewed</t>
        </is>
      </c>
      <c r="H369" s="92" t="inlineStr">
        <is>
          <t>10 EVIDENCE &amp; DECISIONS</t>
        </is>
      </c>
    </row>
    <row r="370" ht="34" customHeight="1">
      <c r="A370" s="34" t="inlineStr">
        <is>
          <t>R236-v1</t>
        </is>
      </c>
      <c r="B370" s="34" t="inlineStr">
        <is>
          <t>Contractor Programme</t>
        </is>
      </c>
      <c r="C370" s="34" t="inlineStr">
        <is>
          <t>SCH-02-056</t>
        </is>
      </c>
      <c r="D370" s="34" t="inlineStr">
        <is>
          <t>1.2.1 Stations - Station Structures</t>
        </is>
      </c>
      <c r="E370" s="34" t="inlineStr">
        <is>
          <t>New</t>
        </is>
      </c>
      <c r="F370" s="14" t="inlineStr"/>
      <c r="G370" s="34" t="inlineStr">
        <is>
          <t>Source assignment -- not individually reviewed</t>
        </is>
      </c>
      <c r="H370" s="92" t="inlineStr">
        <is>
          <t>10 EVIDENCE &amp; DECISIONS</t>
        </is>
      </c>
    </row>
    <row r="371" ht="34" customHeight="1">
      <c r="A371" s="34" t="inlineStr">
        <is>
          <t>R238-v1</t>
        </is>
      </c>
      <c r="B371" s="34" t="inlineStr">
        <is>
          <t>Contractor Programme</t>
        </is>
      </c>
      <c r="C371" s="34" t="inlineStr">
        <is>
          <t>SCH-02-058</t>
        </is>
      </c>
      <c r="D371" s="34" t="inlineStr">
        <is>
          <t>1.2.1 Stations - Station Structures</t>
        </is>
      </c>
      <c r="E371" s="34" t="inlineStr">
        <is>
          <t>New</t>
        </is>
      </c>
      <c r="F371" s="14" t="inlineStr"/>
      <c r="G371" s="34" t="inlineStr">
        <is>
          <t>Source assignment -- not individually reviewed</t>
        </is>
      </c>
      <c r="H371" s="92" t="inlineStr">
        <is>
          <t>10 EVIDENCE &amp; DECISIONS</t>
        </is>
      </c>
    </row>
    <row r="372" ht="34" customHeight="1">
      <c r="A372" s="34" t="inlineStr">
        <is>
          <t>R239-v1</t>
        </is>
      </c>
      <c r="B372" s="34" t="inlineStr">
        <is>
          <t>Contractor Programme</t>
        </is>
      </c>
      <c r="C372" s="34" t="inlineStr">
        <is>
          <t>SCH-02-059</t>
        </is>
      </c>
      <c r="D372" s="34" t="inlineStr">
        <is>
          <t>1.2.1 Stations - Station Structures</t>
        </is>
      </c>
      <c r="E372" s="34" t="inlineStr">
        <is>
          <t>New</t>
        </is>
      </c>
      <c r="F372" s="14" t="inlineStr"/>
      <c r="G372" s="34" t="inlineStr">
        <is>
          <t>Source assignment -- not individually reviewed</t>
        </is>
      </c>
      <c r="H372" s="92" t="inlineStr">
        <is>
          <t>10 EVIDENCE &amp; DECISIONS</t>
        </is>
      </c>
    </row>
    <row r="373" ht="34" customHeight="1">
      <c r="A373" s="34" t="inlineStr">
        <is>
          <t>R241-v1</t>
        </is>
      </c>
      <c r="B373" s="34" t="inlineStr">
        <is>
          <t>Contractor Programme</t>
        </is>
      </c>
      <c r="C373" s="34" t="inlineStr">
        <is>
          <t>SCH-02-061</t>
        </is>
      </c>
      <c r="D373" s="34" t="inlineStr">
        <is>
          <t>1.2.1 Stations - Station Structures</t>
        </is>
      </c>
      <c r="E373" s="34" t="inlineStr">
        <is>
          <t>New</t>
        </is>
      </c>
      <c r="F373" s="14" t="inlineStr"/>
      <c r="G373" s="34" t="inlineStr">
        <is>
          <t>Source assignment -- not individually reviewed</t>
        </is>
      </c>
      <c r="H373" s="92" t="inlineStr">
        <is>
          <t>10 EVIDENCE &amp; DECISIONS</t>
        </is>
      </c>
    </row>
    <row r="374" ht="34" customHeight="1">
      <c r="A374" s="34" t="inlineStr">
        <is>
          <t>R242-v1</t>
        </is>
      </c>
      <c r="B374" s="34" t="inlineStr">
        <is>
          <t>Contractor Programme</t>
        </is>
      </c>
      <c r="C374" s="34" t="inlineStr">
        <is>
          <t>SCH-02-062</t>
        </is>
      </c>
      <c r="D374" s="34" t="inlineStr">
        <is>
          <t>1.2.1 Stations - Station Structures</t>
        </is>
      </c>
      <c r="E374" s="34" t="inlineStr">
        <is>
          <t>New</t>
        </is>
      </c>
      <c r="F374" s="14" t="inlineStr"/>
      <c r="G374" s="34" t="inlineStr">
        <is>
          <t>Source assignment -- not individually reviewed</t>
        </is>
      </c>
      <c r="H374" s="92" t="inlineStr">
        <is>
          <t>10 EVIDENCE &amp; DECISIONS</t>
        </is>
      </c>
    </row>
    <row r="375" ht="34" customHeight="1">
      <c r="A375" s="34" t="inlineStr">
        <is>
          <t>R244-v1</t>
        </is>
      </c>
      <c r="B375" s="34" t="inlineStr">
        <is>
          <t>Contractor Programme</t>
        </is>
      </c>
      <c r="C375" s="34" t="inlineStr">
        <is>
          <t>SCH-02-064</t>
        </is>
      </c>
      <c r="D375" s="34" t="inlineStr">
        <is>
          <t>1.2.1 Stations - Station Structures</t>
        </is>
      </c>
      <c r="E375" s="34" t="inlineStr">
        <is>
          <t>New</t>
        </is>
      </c>
      <c r="F375" s="14" t="inlineStr"/>
      <c r="G375" s="34" t="inlineStr">
        <is>
          <t>Source assignment -- not individually reviewed</t>
        </is>
      </c>
      <c r="H375" s="92" t="inlineStr">
        <is>
          <t>10 EVIDENCE &amp; DECISIONS</t>
        </is>
      </c>
    </row>
    <row r="376" ht="34" customHeight="1">
      <c r="A376" s="34" t="inlineStr">
        <is>
          <t>R245-v1</t>
        </is>
      </c>
      <c r="B376" s="34" t="inlineStr">
        <is>
          <t>Contractor Programme</t>
        </is>
      </c>
      <c r="C376" s="34" t="inlineStr">
        <is>
          <t>SCH-02-065</t>
        </is>
      </c>
      <c r="D376" s="34" t="inlineStr">
        <is>
          <t>1.2.1 Stations - Station Structures</t>
        </is>
      </c>
      <c r="E376" s="34" t="inlineStr">
        <is>
          <t>New</t>
        </is>
      </c>
      <c r="F376" s="14" t="inlineStr"/>
      <c r="G376" s="34" t="inlineStr">
        <is>
          <t>Source assignment -- not individually reviewed</t>
        </is>
      </c>
      <c r="H376" s="92" t="inlineStr">
        <is>
          <t>10 EVIDENCE &amp; DECISIONS</t>
        </is>
      </c>
    </row>
    <row r="377" ht="34" customHeight="1">
      <c r="A377" s="34" t="inlineStr">
        <is>
          <t>R247-v1</t>
        </is>
      </c>
      <c r="B377" s="34" t="inlineStr">
        <is>
          <t>Contractor Programme</t>
        </is>
      </c>
      <c r="C377" s="34" t="inlineStr">
        <is>
          <t>SCH-02-067</t>
        </is>
      </c>
      <c r="D377" s="34" t="inlineStr">
        <is>
          <t>1.2.1 Stations - Station Structures</t>
        </is>
      </c>
      <c r="E377" s="34" t="inlineStr">
        <is>
          <t>New</t>
        </is>
      </c>
      <c r="F377" s="14" t="inlineStr"/>
      <c r="G377" s="34" t="inlineStr">
        <is>
          <t>Source assignment -- not individually reviewed</t>
        </is>
      </c>
      <c r="H377" s="92" t="inlineStr">
        <is>
          <t>10 EVIDENCE &amp; DECISIONS</t>
        </is>
      </c>
    </row>
    <row r="378" ht="34" customHeight="1">
      <c r="A378" s="34" t="inlineStr">
        <is>
          <t>R248-v1</t>
        </is>
      </c>
      <c r="B378" s="34" t="inlineStr">
        <is>
          <t>Contractor Programme</t>
        </is>
      </c>
      <c r="C378" s="34" t="inlineStr">
        <is>
          <t>SCH-02-068</t>
        </is>
      </c>
      <c r="D378" s="34" t="inlineStr">
        <is>
          <t>1.2.1 Stations - Station Structures</t>
        </is>
      </c>
      <c r="E378" s="34" t="inlineStr">
        <is>
          <t>New</t>
        </is>
      </c>
      <c r="F378" s="14" t="inlineStr"/>
      <c r="G378" s="34" t="inlineStr">
        <is>
          <t>Source assignment -- not individually reviewed</t>
        </is>
      </c>
      <c r="H378" s="92" t="inlineStr">
        <is>
          <t>10 EVIDENCE &amp; DECISIONS</t>
        </is>
      </c>
    </row>
    <row r="379" ht="34" customHeight="1">
      <c r="A379" s="34" t="inlineStr">
        <is>
          <t>R250-v1</t>
        </is>
      </c>
      <c r="B379" s="34" t="inlineStr">
        <is>
          <t>Contractor Programme</t>
        </is>
      </c>
      <c r="C379" s="34" t="inlineStr">
        <is>
          <t>SCH-02-070</t>
        </is>
      </c>
      <c r="D379" s="34" t="inlineStr">
        <is>
          <t>1.2.1 Stations - Station Structures</t>
        </is>
      </c>
      <c r="E379" s="34" t="inlineStr">
        <is>
          <t>New</t>
        </is>
      </c>
      <c r="F379" s="14" t="inlineStr"/>
      <c r="G379" s="34" t="inlineStr">
        <is>
          <t>Source assignment -- not individually reviewed</t>
        </is>
      </c>
      <c r="H379" s="92" t="inlineStr">
        <is>
          <t>10 EVIDENCE &amp; DECISIONS</t>
        </is>
      </c>
    </row>
    <row r="380" ht="34" customHeight="1">
      <c r="A380" s="34" t="inlineStr">
        <is>
          <t>R251-v1</t>
        </is>
      </c>
      <c r="B380" s="34" t="inlineStr">
        <is>
          <t>Contractor Programme</t>
        </is>
      </c>
      <c r="C380" s="34" t="inlineStr">
        <is>
          <t>SCH-02-071</t>
        </is>
      </c>
      <c r="D380" s="34" t="inlineStr">
        <is>
          <t>1.2.1 Stations - Station Structures</t>
        </is>
      </c>
      <c r="E380" s="34" t="inlineStr">
        <is>
          <t>New</t>
        </is>
      </c>
      <c r="F380" s="14" t="inlineStr"/>
      <c r="G380" s="34" t="inlineStr">
        <is>
          <t>Source assignment -- not individually reviewed</t>
        </is>
      </c>
      <c r="H380" s="92" t="inlineStr">
        <is>
          <t>10 EVIDENCE &amp; DECISIONS</t>
        </is>
      </c>
    </row>
    <row r="381" ht="34" customHeight="1">
      <c r="A381" s="34" t="inlineStr">
        <is>
          <t>R253-v1</t>
        </is>
      </c>
      <c r="B381" s="34" t="inlineStr">
        <is>
          <t>Contractor Programme</t>
        </is>
      </c>
      <c r="C381" s="34" t="inlineStr">
        <is>
          <t>SCH-02-073</t>
        </is>
      </c>
      <c r="D381" s="34" t="inlineStr">
        <is>
          <t>1.2.1 Stations - Station Structures</t>
        </is>
      </c>
      <c r="E381" s="34" t="inlineStr">
        <is>
          <t>New</t>
        </is>
      </c>
      <c r="F381" s="14" t="inlineStr"/>
      <c r="G381" s="34" t="inlineStr">
        <is>
          <t>Source assignment -- not individually reviewed</t>
        </is>
      </c>
      <c r="H381" s="92" t="inlineStr">
        <is>
          <t>10 EVIDENCE &amp; DECISIONS</t>
        </is>
      </c>
    </row>
    <row r="382" ht="34" customHeight="1">
      <c r="A382" s="34" t="inlineStr">
        <is>
          <t>R254-v1</t>
        </is>
      </c>
      <c r="B382" s="34" t="inlineStr">
        <is>
          <t>Contractor Programme</t>
        </is>
      </c>
      <c r="C382" s="34" t="inlineStr">
        <is>
          <t>SCH-02-074</t>
        </is>
      </c>
      <c r="D382" s="34" t="inlineStr">
        <is>
          <t>1.2.1 Stations - Station Structures</t>
        </is>
      </c>
      <c r="E382" s="34" t="inlineStr">
        <is>
          <t>New</t>
        </is>
      </c>
      <c r="F382" s="14" t="inlineStr"/>
      <c r="G382" s="34" t="inlineStr">
        <is>
          <t>Source assignment -- not individually reviewed</t>
        </is>
      </c>
      <c r="H382" s="92" t="inlineStr">
        <is>
          <t>10 EVIDENCE &amp; DECISIONS</t>
        </is>
      </c>
    </row>
    <row r="383" ht="34" customHeight="1">
      <c r="A383" s="34" t="inlineStr">
        <is>
          <t>R256-v1</t>
        </is>
      </c>
      <c r="B383" s="34" t="inlineStr">
        <is>
          <t>Contractor Programme</t>
        </is>
      </c>
      <c r="C383" s="34" t="inlineStr">
        <is>
          <t>SCH-02-076</t>
        </is>
      </c>
      <c r="D383" s="34" t="inlineStr">
        <is>
          <t>1.2.1 Stations - Station Structures</t>
        </is>
      </c>
      <c r="E383" s="34" t="inlineStr">
        <is>
          <t>New</t>
        </is>
      </c>
      <c r="F383" s="14" t="inlineStr"/>
      <c r="G383" s="34" t="inlineStr">
        <is>
          <t>Source assignment -- not individually reviewed</t>
        </is>
      </c>
      <c r="H383" s="92" t="inlineStr">
        <is>
          <t>10 EVIDENCE &amp; DECISIONS</t>
        </is>
      </c>
    </row>
    <row r="384" ht="34" customHeight="1">
      <c r="A384" s="34" t="inlineStr">
        <is>
          <t>R257-v1</t>
        </is>
      </c>
      <c r="B384" s="34" t="inlineStr">
        <is>
          <t>Contractor Programme</t>
        </is>
      </c>
      <c r="C384" s="34" t="inlineStr">
        <is>
          <t>SCH-02-077</t>
        </is>
      </c>
      <c r="D384" s="34" t="inlineStr">
        <is>
          <t>1.2.1 Stations - Station Structures</t>
        </is>
      </c>
      <c r="E384" s="34" t="inlineStr">
        <is>
          <t>New</t>
        </is>
      </c>
      <c r="F384" s="14" t="inlineStr"/>
      <c r="G384" s="34" t="inlineStr">
        <is>
          <t>Source assignment -- not individually reviewed</t>
        </is>
      </c>
      <c r="H384" s="92" t="inlineStr">
        <is>
          <t>10 EVIDENCE &amp; DECISIONS</t>
        </is>
      </c>
    </row>
    <row r="385" ht="34" customHeight="1">
      <c r="A385" s="34" t="inlineStr">
        <is>
          <t>R259-v1</t>
        </is>
      </c>
      <c r="B385" s="34" t="inlineStr">
        <is>
          <t>Contractor Programme</t>
        </is>
      </c>
      <c r="C385" s="34" t="inlineStr">
        <is>
          <t>SCH-02-079</t>
        </is>
      </c>
      <c r="D385" s="34" t="inlineStr">
        <is>
          <t>1.2.1 Stations - Station Structures</t>
        </is>
      </c>
      <c r="E385" s="34" t="inlineStr">
        <is>
          <t>New</t>
        </is>
      </c>
      <c r="F385" s="14" t="inlineStr"/>
      <c r="G385" s="34" t="inlineStr">
        <is>
          <t>Source assignment -- not individually reviewed</t>
        </is>
      </c>
      <c r="H385" s="92" t="inlineStr">
        <is>
          <t>10 EVIDENCE &amp; DECISIONS</t>
        </is>
      </c>
    </row>
    <row r="386" ht="34" customHeight="1">
      <c r="A386" s="34" t="inlineStr">
        <is>
          <t>R260-v1</t>
        </is>
      </c>
      <c r="B386" s="34" t="inlineStr">
        <is>
          <t>Contractor Programme</t>
        </is>
      </c>
      <c r="C386" s="34" t="inlineStr">
        <is>
          <t>SCH-02-080</t>
        </is>
      </c>
      <c r="D386" s="34" t="inlineStr">
        <is>
          <t>1.2.1 Stations - Station Structures</t>
        </is>
      </c>
      <c r="E386" s="34" t="inlineStr">
        <is>
          <t>New</t>
        </is>
      </c>
      <c r="F386" s="14" t="inlineStr"/>
      <c r="G386" s="34" t="inlineStr">
        <is>
          <t>Source assignment -- not individually reviewed</t>
        </is>
      </c>
      <c r="H386" s="92" t="inlineStr">
        <is>
          <t>10 EVIDENCE &amp; DECISIONS</t>
        </is>
      </c>
    </row>
    <row r="387" ht="34" customHeight="1">
      <c r="A387" s="34" t="inlineStr">
        <is>
          <t>R262-v1</t>
        </is>
      </c>
      <c r="B387" s="34" t="inlineStr">
        <is>
          <t>Contractor Programme</t>
        </is>
      </c>
      <c r="C387" s="34" t="inlineStr">
        <is>
          <t>SCH-02-082</t>
        </is>
      </c>
      <c r="D387" s="34" t="inlineStr">
        <is>
          <t>1.2.1 Stations - Station Structures</t>
        </is>
      </c>
      <c r="E387" s="34" t="inlineStr">
        <is>
          <t>New</t>
        </is>
      </c>
      <c r="F387" s="14" t="inlineStr"/>
      <c r="G387" s="34" t="inlineStr">
        <is>
          <t>Source assignment -- not individually reviewed</t>
        </is>
      </c>
      <c r="H387" s="92" t="inlineStr">
        <is>
          <t>10 EVIDENCE &amp; DECISIONS</t>
        </is>
      </c>
    </row>
    <row r="388" ht="34" customHeight="1">
      <c r="A388" s="34" t="inlineStr">
        <is>
          <t>R263-v1</t>
        </is>
      </c>
      <c r="B388" s="34" t="inlineStr">
        <is>
          <t>Contractor Programme</t>
        </is>
      </c>
      <c r="C388" s="34" t="inlineStr">
        <is>
          <t>SCH-02-083</t>
        </is>
      </c>
      <c r="D388" s="34" t="inlineStr">
        <is>
          <t>1.2.1 Stations - Station Structures</t>
        </is>
      </c>
      <c r="E388" s="34" t="inlineStr">
        <is>
          <t>New</t>
        </is>
      </c>
      <c r="F388" s="14" t="inlineStr"/>
      <c r="G388" s="34" t="inlineStr">
        <is>
          <t>Source assignment -- not individually reviewed</t>
        </is>
      </c>
      <c r="H388" s="92" t="inlineStr">
        <is>
          <t>10 EVIDENCE &amp; DECISIONS</t>
        </is>
      </c>
    </row>
    <row r="389" ht="34" customHeight="1">
      <c r="A389" s="34" t="inlineStr">
        <is>
          <t>R265-v1</t>
        </is>
      </c>
      <c r="B389" s="34" t="inlineStr">
        <is>
          <t>Contractor Programme</t>
        </is>
      </c>
      <c r="C389" s="34" t="inlineStr">
        <is>
          <t>SCH-02-085</t>
        </is>
      </c>
      <c r="D389" s="34" t="inlineStr">
        <is>
          <t>1.2.1 Stations - Station Structures</t>
        </is>
      </c>
      <c r="E389" s="34" t="inlineStr">
        <is>
          <t>New</t>
        </is>
      </c>
      <c r="F389" s="14" t="inlineStr"/>
      <c r="G389" s="34" t="inlineStr">
        <is>
          <t>Source assignment -- not individually reviewed</t>
        </is>
      </c>
      <c r="H389" s="92" t="inlineStr">
        <is>
          <t>10 EVIDENCE &amp; DECISIONS</t>
        </is>
      </c>
    </row>
    <row r="390" ht="34" customHeight="1">
      <c r="A390" s="34" t="inlineStr">
        <is>
          <t>R266-v1</t>
        </is>
      </c>
      <c r="B390" s="34" t="inlineStr">
        <is>
          <t>Contractor Programme</t>
        </is>
      </c>
      <c r="C390" s="34" t="inlineStr">
        <is>
          <t>SCH-02-086</t>
        </is>
      </c>
      <c r="D390" s="34" t="inlineStr">
        <is>
          <t>1.2.1 Stations - Station Structures</t>
        </is>
      </c>
      <c r="E390" s="34" t="inlineStr">
        <is>
          <t>New</t>
        </is>
      </c>
      <c r="F390" s="14" t="inlineStr"/>
      <c r="G390" s="34" t="inlineStr">
        <is>
          <t>Source assignment -- not individually reviewed</t>
        </is>
      </c>
      <c r="H390" s="92" t="inlineStr">
        <is>
          <t>10 EVIDENCE &amp; DECISIONS</t>
        </is>
      </c>
    </row>
    <row r="391" ht="34" customHeight="1">
      <c r="A391" s="34" t="inlineStr">
        <is>
          <t>R268-v1</t>
        </is>
      </c>
      <c r="B391" s="34" t="inlineStr">
        <is>
          <t>Contractor Programme</t>
        </is>
      </c>
      <c r="C391" s="34" t="inlineStr">
        <is>
          <t>SCH-02-088</t>
        </is>
      </c>
      <c r="D391" s="34" t="inlineStr">
        <is>
          <t>1.2.1 Stations - Station Structures</t>
        </is>
      </c>
      <c r="E391" s="34" t="inlineStr">
        <is>
          <t>New</t>
        </is>
      </c>
      <c r="F391" s="14" t="inlineStr"/>
      <c r="G391" s="34" t="inlineStr">
        <is>
          <t>Source assignment -- not individually reviewed</t>
        </is>
      </c>
      <c r="H391" s="92" t="inlineStr">
        <is>
          <t>10 EVIDENCE &amp; DECISIONS</t>
        </is>
      </c>
    </row>
    <row r="392" ht="34" customHeight="1">
      <c r="A392" s="34" t="inlineStr">
        <is>
          <t>R269-v1</t>
        </is>
      </c>
      <c r="B392" s="34" t="inlineStr">
        <is>
          <t>Contractor Programme</t>
        </is>
      </c>
      <c r="C392" s="34" t="inlineStr">
        <is>
          <t>SCH-02-089</t>
        </is>
      </c>
      <c r="D392" s="34" t="inlineStr">
        <is>
          <t>1.2.1 Stations - Station Structures</t>
        </is>
      </c>
      <c r="E392" s="34" t="inlineStr">
        <is>
          <t>New</t>
        </is>
      </c>
      <c r="F392" s="14" t="inlineStr"/>
      <c r="G392" s="34" t="inlineStr">
        <is>
          <t>Source assignment -- not individually reviewed</t>
        </is>
      </c>
      <c r="H392" s="92" t="inlineStr">
        <is>
          <t>10 EVIDENCE &amp; DECISIONS</t>
        </is>
      </c>
    </row>
    <row r="393" ht="34" customHeight="1">
      <c r="A393" s="34" t="inlineStr">
        <is>
          <t>R271-v1</t>
        </is>
      </c>
      <c r="B393" s="34" t="inlineStr">
        <is>
          <t>Contractor Programme</t>
        </is>
      </c>
      <c r="C393" s="34" t="inlineStr">
        <is>
          <t>SCH-02-091</t>
        </is>
      </c>
      <c r="D393" s="34" t="inlineStr">
        <is>
          <t>1.2.1 Stations - Station Structures</t>
        </is>
      </c>
      <c r="E393" s="34" t="inlineStr">
        <is>
          <t>New</t>
        </is>
      </c>
      <c r="F393" s="14" t="inlineStr"/>
      <c r="G393" s="34" t="inlineStr">
        <is>
          <t>Source assignment -- not individually reviewed</t>
        </is>
      </c>
      <c r="H393" s="92" t="inlineStr">
        <is>
          <t>10 EVIDENCE &amp; DECISIONS</t>
        </is>
      </c>
    </row>
    <row r="394" ht="34" customHeight="1">
      <c r="A394" s="34" t="inlineStr">
        <is>
          <t>R272-v1</t>
        </is>
      </c>
      <c r="B394" s="34" t="inlineStr">
        <is>
          <t>Contractor Programme</t>
        </is>
      </c>
      <c r="C394" s="34" t="inlineStr">
        <is>
          <t>SCH-02-092</t>
        </is>
      </c>
      <c r="D394" s="34" t="inlineStr">
        <is>
          <t>1.2.1 Stations - Station Structures</t>
        </is>
      </c>
      <c r="E394" s="34" t="inlineStr">
        <is>
          <t>New</t>
        </is>
      </c>
      <c r="F394" s="14" t="inlineStr"/>
      <c r="G394" s="34" t="inlineStr">
        <is>
          <t>Source assignment -- not individually reviewed</t>
        </is>
      </c>
      <c r="H394" s="92" t="inlineStr">
        <is>
          <t>10 EVIDENCE &amp; DECISIONS</t>
        </is>
      </c>
    </row>
    <row r="395" ht="34" customHeight="1">
      <c r="A395" s="34" t="inlineStr">
        <is>
          <t>R274-v1</t>
        </is>
      </c>
      <c r="B395" s="34" t="inlineStr">
        <is>
          <t>Contractor Programme</t>
        </is>
      </c>
      <c r="C395" s="34" t="inlineStr">
        <is>
          <t>SCH-02-094</t>
        </is>
      </c>
      <c r="D395" s="34" t="inlineStr">
        <is>
          <t>1.2.1 Stations - Station Structures</t>
        </is>
      </c>
      <c r="E395" s="34" t="inlineStr">
        <is>
          <t>New</t>
        </is>
      </c>
      <c r="F395" s="14" t="inlineStr"/>
      <c r="G395" s="34" t="inlineStr">
        <is>
          <t>Source assignment -- not individually reviewed</t>
        </is>
      </c>
      <c r="H395" s="92" t="inlineStr">
        <is>
          <t>10 EVIDENCE &amp; DECISIONS</t>
        </is>
      </c>
    </row>
    <row r="396" ht="34" customHeight="1">
      <c r="A396" s="34" t="inlineStr">
        <is>
          <t>R275-v1</t>
        </is>
      </c>
      <c r="B396" s="34" t="inlineStr">
        <is>
          <t>Contractor Programme</t>
        </is>
      </c>
      <c r="C396" s="34" t="inlineStr">
        <is>
          <t>SCH-02-095</t>
        </is>
      </c>
      <c r="D396" s="34" t="inlineStr">
        <is>
          <t>1.2.1 Stations - Station Structures</t>
        </is>
      </c>
      <c r="E396" s="34" t="inlineStr">
        <is>
          <t>New</t>
        </is>
      </c>
      <c r="F396" s="14" t="inlineStr"/>
      <c r="G396" s="34" t="inlineStr">
        <is>
          <t>Source assignment -- not individually reviewed</t>
        </is>
      </c>
      <c r="H396" s="92" t="inlineStr">
        <is>
          <t>10 EVIDENCE &amp; DECISIONS</t>
        </is>
      </c>
    </row>
    <row r="397" ht="34" customHeight="1">
      <c r="A397" s="34" t="inlineStr">
        <is>
          <t>R277-v1</t>
        </is>
      </c>
      <c r="B397" s="34" t="inlineStr">
        <is>
          <t>Contractor Programme</t>
        </is>
      </c>
      <c r="C397" s="34" t="inlineStr">
        <is>
          <t>SCH-02-097</t>
        </is>
      </c>
      <c r="D397" s="34" t="inlineStr">
        <is>
          <t>1.2.1 Stations - Station Structures</t>
        </is>
      </c>
      <c r="E397" s="34" t="inlineStr">
        <is>
          <t>New</t>
        </is>
      </c>
      <c r="F397" s="14" t="inlineStr"/>
      <c r="G397" s="34" t="inlineStr">
        <is>
          <t>Source assignment -- not individually reviewed</t>
        </is>
      </c>
      <c r="H397" s="92" t="inlineStr">
        <is>
          <t>10 EVIDENCE &amp; DECISIONS</t>
        </is>
      </c>
    </row>
    <row r="398" ht="34" customHeight="1">
      <c r="A398" s="34" t="inlineStr">
        <is>
          <t>R278-v1</t>
        </is>
      </c>
      <c r="B398" s="34" t="inlineStr">
        <is>
          <t>Contractor Programme</t>
        </is>
      </c>
      <c r="C398" s="34" t="inlineStr">
        <is>
          <t>SCH-02-098</t>
        </is>
      </c>
      <c r="D398" s="34" t="inlineStr">
        <is>
          <t>1.2.1 Stations - Station Structures</t>
        </is>
      </c>
      <c r="E398" s="34" t="inlineStr">
        <is>
          <t>New</t>
        </is>
      </c>
      <c r="F398" s="14" t="inlineStr"/>
      <c r="G398" s="34" t="inlineStr">
        <is>
          <t>Source assignment -- not individually reviewed</t>
        </is>
      </c>
      <c r="H398" s="92" t="inlineStr">
        <is>
          <t>10 EVIDENCE &amp; DECISIONS</t>
        </is>
      </c>
    </row>
    <row r="399" ht="34" customHeight="1">
      <c r="A399" s="34" t="inlineStr">
        <is>
          <t>R280-v1</t>
        </is>
      </c>
      <c r="B399" s="34" t="inlineStr">
        <is>
          <t>Contractor Programme</t>
        </is>
      </c>
      <c r="C399" s="34" t="inlineStr">
        <is>
          <t>SCH-02-100</t>
        </is>
      </c>
      <c r="D399" s="34" t="inlineStr">
        <is>
          <t>1.2.1 Stations - Station Structures</t>
        </is>
      </c>
      <c r="E399" s="34" t="inlineStr">
        <is>
          <t>New</t>
        </is>
      </c>
      <c r="F399" s="14" t="inlineStr"/>
      <c r="G399" s="34" t="inlineStr">
        <is>
          <t>Source assignment -- not individually reviewed</t>
        </is>
      </c>
      <c r="H399" s="92" t="inlineStr">
        <is>
          <t>10 EVIDENCE &amp; DECISIONS</t>
        </is>
      </c>
    </row>
    <row r="400" ht="34" customHeight="1">
      <c r="A400" s="34" t="inlineStr">
        <is>
          <t>R281-v1</t>
        </is>
      </c>
      <c r="B400" s="34" t="inlineStr">
        <is>
          <t>Contractor Programme</t>
        </is>
      </c>
      <c r="C400" s="34" t="inlineStr">
        <is>
          <t>SCH-02-101</t>
        </is>
      </c>
      <c r="D400" s="34" t="inlineStr">
        <is>
          <t>1.2.1 Stations - Station Structures</t>
        </is>
      </c>
      <c r="E400" s="34" t="inlineStr">
        <is>
          <t>New</t>
        </is>
      </c>
      <c r="F400" s="14" t="inlineStr"/>
      <c r="G400" s="34" t="inlineStr">
        <is>
          <t>Source assignment -- not individually reviewed</t>
        </is>
      </c>
      <c r="H400" s="92" t="inlineStr">
        <is>
          <t>10 EVIDENCE &amp; DECISIONS</t>
        </is>
      </c>
    </row>
    <row r="401" ht="34" customHeight="1">
      <c r="A401" s="34" t="inlineStr">
        <is>
          <t>R283-v1</t>
        </is>
      </c>
      <c r="B401" s="34" t="inlineStr">
        <is>
          <t>Contractor Programme</t>
        </is>
      </c>
      <c r="C401" s="34" t="inlineStr">
        <is>
          <t>SCH-02-103</t>
        </is>
      </c>
      <c r="D401" s="34" t="inlineStr">
        <is>
          <t>1.2.1 Stations - Station Structures</t>
        </is>
      </c>
      <c r="E401" s="34" t="inlineStr">
        <is>
          <t>New</t>
        </is>
      </c>
      <c r="F401" s="14" t="inlineStr"/>
      <c r="G401" s="34" t="inlineStr">
        <is>
          <t>Source assignment -- not individually reviewed</t>
        </is>
      </c>
      <c r="H401" s="92" t="inlineStr">
        <is>
          <t>10 EVIDENCE &amp; DECISIONS</t>
        </is>
      </c>
    </row>
    <row r="402" ht="34" customHeight="1">
      <c r="A402" s="34" t="inlineStr">
        <is>
          <t>R284-v1</t>
        </is>
      </c>
      <c r="B402" s="34" t="inlineStr">
        <is>
          <t>Contractor Programme</t>
        </is>
      </c>
      <c r="C402" s="34" t="inlineStr">
        <is>
          <t>SCH-02-104</t>
        </is>
      </c>
      <c r="D402" s="34" t="inlineStr">
        <is>
          <t>1.2.1 Stations - Station Structures</t>
        </is>
      </c>
      <c r="E402" s="34" t="inlineStr">
        <is>
          <t>New</t>
        </is>
      </c>
      <c r="F402" s="14" t="inlineStr"/>
      <c r="G402" s="34" t="inlineStr">
        <is>
          <t>Source assignment -- not individually reviewed</t>
        </is>
      </c>
      <c r="H402" s="92" t="inlineStr">
        <is>
          <t>10 EVIDENCE &amp; DECISIONS</t>
        </is>
      </c>
    </row>
    <row r="403" ht="34" customHeight="1">
      <c r="A403" s="34" t="inlineStr">
        <is>
          <t>R286-v1</t>
        </is>
      </c>
      <c r="B403" s="34" t="inlineStr">
        <is>
          <t>Contractor Programme</t>
        </is>
      </c>
      <c r="C403" s="34" t="inlineStr">
        <is>
          <t>SCH-02-106</t>
        </is>
      </c>
      <c r="D403" s="34" t="inlineStr">
        <is>
          <t>1.2.1 Stations - Station Structures</t>
        </is>
      </c>
      <c r="E403" s="34" t="inlineStr">
        <is>
          <t>New</t>
        </is>
      </c>
      <c r="F403" s="14" t="inlineStr"/>
      <c r="G403" s="34" t="inlineStr">
        <is>
          <t>Source assignment -- not individually reviewed</t>
        </is>
      </c>
      <c r="H403" s="92" t="inlineStr">
        <is>
          <t>10 EVIDENCE &amp; DECISIONS</t>
        </is>
      </c>
    </row>
    <row r="404" ht="34" customHeight="1">
      <c r="A404" s="34" t="inlineStr">
        <is>
          <t>R287-v1</t>
        </is>
      </c>
      <c r="B404" s="34" t="inlineStr">
        <is>
          <t>Contractor Programme</t>
        </is>
      </c>
      <c r="C404" s="34" t="inlineStr">
        <is>
          <t>SCH-02-107</t>
        </is>
      </c>
      <c r="D404" s="34" t="inlineStr">
        <is>
          <t>1.2.1 Stations - Station Structures</t>
        </is>
      </c>
      <c r="E404" s="34" t="inlineStr">
        <is>
          <t>New</t>
        </is>
      </c>
      <c r="F404" s="14" t="inlineStr"/>
      <c r="G404" s="34" t="inlineStr">
        <is>
          <t>Source assignment -- not individually reviewed</t>
        </is>
      </c>
      <c r="H404" s="92" t="inlineStr">
        <is>
          <t>10 EVIDENCE &amp; DECISIONS</t>
        </is>
      </c>
    </row>
    <row r="405" ht="34" customHeight="1">
      <c r="A405" s="34" t="inlineStr">
        <is>
          <t>R289-v1</t>
        </is>
      </c>
      <c r="B405" s="34" t="inlineStr">
        <is>
          <t>Contractor Programme</t>
        </is>
      </c>
      <c r="C405" s="34" t="inlineStr">
        <is>
          <t>SCH-02-109</t>
        </is>
      </c>
      <c r="D405" s="34" t="inlineStr">
        <is>
          <t>1.2.1 Stations - Station Structures</t>
        </is>
      </c>
      <c r="E405" s="34" t="inlineStr">
        <is>
          <t>New</t>
        </is>
      </c>
      <c r="F405" s="14" t="inlineStr"/>
      <c r="G405" s="34" t="inlineStr">
        <is>
          <t>Source assignment -- not individually reviewed</t>
        </is>
      </c>
      <c r="H405" s="92" t="inlineStr">
        <is>
          <t>10 EVIDENCE &amp; DECISIONS</t>
        </is>
      </c>
    </row>
    <row r="406" ht="34" customHeight="1">
      <c r="A406" s="34" t="inlineStr">
        <is>
          <t>R290-v1</t>
        </is>
      </c>
      <c r="B406" s="34" t="inlineStr">
        <is>
          <t>Contractor Programme</t>
        </is>
      </c>
      <c r="C406" s="34" t="inlineStr">
        <is>
          <t>SCH-02-110</t>
        </is>
      </c>
      <c r="D406" s="34" t="inlineStr">
        <is>
          <t>1.2.1 Stations - Station Structures</t>
        </is>
      </c>
      <c r="E406" s="34" t="inlineStr">
        <is>
          <t>New</t>
        </is>
      </c>
      <c r="F406" s="14" t="inlineStr"/>
      <c r="G406" s="34" t="inlineStr">
        <is>
          <t>Source assignment -- not individually reviewed</t>
        </is>
      </c>
      <c r="H406" s="92" t="inlineStr">
        <is>
          <t>10 EVIDENCE &amp; DECISIONS</t>
        </is>
      </c>
    </row>
    <row r="407" ht="34" customHeight="1">
      <c r="A407" s="34" t="inlineStr">
        <is>
          <t>R292-v1</t>
        </is>
      </c>
      <c r="B407" s="34" t="inlineStr">
        <is>
          <t>Contractor Programme</t>
        </is>
      </c>
      <c r="C407" s="34" t="inlineStr">
        <is>
          <t>SCH-02-112</t>
        </is>
      </c>
      <c r="D407" s="34" t="inlineStr">
        <is>
          <t>1.2.1 Stations - Station Structures</t>
        </is>
      </c>
      <c r="E407" s="34" t="inlineStr">
        <is>
          <t>New</t>
        </is>
      </c>
      <c r="F407" s="14" t="inlineStr"/>
      <c r="G407" s="34" t="inlineStr">
        <is>
          <t>Source assignment -- not individually reviewed</t>
        </is>
      </c>
      <c r="H407" s="92" t="inlineStr">
        <is>
          <t>10 EVIDENCE &amp; DECISIONS</t>
        </is>
      </c>
    </row>
    <row r="408" ht="34" customHeight="1">
      <c r="A408" s="34" t="inlineStr">
        <is>
          <t>R293-v1</t>
        </is>
      </c>
      <c r="B408" s="34" t="inlineStr">
        <is>
          <t>Contractor Programme</t>
        </is>
      </c>
      <c r="C408" s="34" t="inlineStr">
        <is>
          <t>SCH-02-113</t>
        </is>
      </c>
      <c r="D408" s="34" t="inlineStr">
        <is>
          <t>1.2.1 Stations - Station Structures</t>
        </is>
      </c>
      <c r="E408" s="34" t="inlineStr">
        <is>
          <t>New</t>
        </is>
      </c>
      <c r="F408" s="14" t="inlineStr"/>
      <c r="G408" s="34" t="inlineStr">
        <is>
          <t>Source assignment -- not individually reviewed</t>
        </is>
      </c>
      <c r="H408" s="92" t="inlineStr">
        <is>
          <t>10 EVIDENCE &amp; DECISIONS</t>
        </is>
      </c>
    </row>
    <row r="409" ht="34" customHeight="1">
      <c r="A409" s="34" t="inlineStr">
        <is>
          <t>R295-v1</t>
        </is>
      </c>
      <c r="B409" s="34" t="inlineStr">
        <is>
          <t>Contractor Programme</t>
        </is>
      </c>
      <c r="C409" s="34" t="inlineStr">
        <is>
          <t>SCH-02-115</t>
        </is>
      </c>
      <c r="D409" s="34" t="inlineStr">
        <is>
          <t>1.2.1 Stations - Station Structures</t>
        </is>
      </c>
      <c r="E409" s="34" t="inlineStr">
        <is>
          <t>New</t>
        </is>
      </c>
      <c r="F409" s="14" t="inlineStr"/>
      <c r="G409" s="34" t="inlineStr">
        <is>
          <t>Source assignment -- not individually reviewed</t>
        </is>
      </c>
      <c r="H409" s="92" t="inlineStr">
        <is>
          <t>10 EVIDENCE &amp; DECISIONS</t>
        </is>
      </c>
    </row>
    <row r="410" ht="34" customHeight="1">
      <c r="A410" s="34" t="inlineStr">
        <is>
          <t>R296-v1</t>
        </is>
      </c>
      <c r="B410" s="34" t="inlineStr">
        <is>
          <t>Contractor Programme</t>
        </is>
      </c>
      <c r="C410" s="34" t="inlineStr">
        <is>
          <t>SCH-02-116</t>
        </is>
      </c>
      <c r="D410" s="34" t="inlineStr">
        <is>
          <t>1.2.1 Stations - Station Structures</t>
        </is>
      </c>
      <c r="E410" s="34" t="inlineStr">
        <is>
          <t>New</t>
        </is>
      </c>
      <c r="F410" s="14" t="inlineStr"/>
      <c r="G410" s="34" t="inlineStr">
        <is>
          <t>Source assignment -- not individually reviewed</t>
        </is>
      </c>
      <c r="H410" s="92" t="inlineStr">
        <is>
          <t>10 EVIDENCE &amp; DECISIONS</t>
        </is>
      </c>
    </row>
    <row r="411" ht="34" customHeight="1">
      <c r="A411" s="34" t="inlineStr">
        <is>
          <t>R298-v1</t>
        </is>
      </c>
      <c r="B411" s="34" t="inlineStr">
        <is>
          <t>Contractor Programme</t>
        </is>
      </c>
      <c r="C411" s="34" t="inlineStr">
        <is>
          <t>SCH-02-118</t>
        </is>
      </c>
      <c r="D411" s="34" t="inlineStr">
        <is>
          <t>1.2.1 Stations - Station Structures</t>
        </is>
      </c>
      <c r="E411" s="34" t="inlineStr">
        <is>
          <t>New</t>
        </is>
      </c>
      <c r="F411" s="14" t="inlineStr"/>
      <c r="G411" s="34" t="inlineStr">
        <is>
          <t>Source assignment -- not individually reviewed</t>
        </is>
      </c>
      <c r="H411" s="92" t="inlineStr">
        <is>
          <t>10 EVIDENCE &amp; DECISIONS</t>
        </is>
      </c>
    </row>
    <row r="412" ht="34" customHeight="1">
      <c r="A412" s="34" t="inlineStr">
        <is>
          <t>R299-v1</t>
        </is>
      </c>
      <c r="B412" s="34" t="inlineStr">
        <is>
          <t>Contractor Programme</t>
        </is>
      </c>
      <c r="C412" s="34" t="inlineStr">
        <is>
          <t>SCH-02-119</t>
        </is>
      </c>
      <c r="D412" s="34" t="inlineStr">
        <is>
          <t>1.2.1 Stations - Station Structures</t>
        </is>
      </c>
      <c r="E412" s="34" t="inlineStr">
        <is>
          <t>New</t>
        </is>
      </c>
      <c r="F412" s="14" t="inlineStr"/>
      <c r="G412" s="34" t="inlineStr">
        <is>
          <t>Source assignment -- not individually reviewed</t>
        </is>
      </c>
      <c r="H412" s="92" t="inlineStr">
        <is>
          <t>10 EVIDENCE &amp; DECISIONS</t>
        </is>
      </c>
    </row>
    <row r="413" ht="34" customHeight="1">
      <c r="A413" s="34" t="inlineStr">
        <is>
          <t>R301-v1</t>
        </is>
      </c>
      <c r="B413" s="34" t="inlineStr">
        <is>
          <t>Contractor Programme</t>
        </is>
      </c>
      <c r="C413" s="34" t="inlineStr">
        <is>
          <t>SCH-02-121</t>
        </is>
      </c>
      <c r="D413" s="34" t="inlineStr">
        <is>
          <t>1.2.1 Stations - Station Structures</t>
        </is>
      </c>
      <c r="E413" s="34" t="inlineStr">
        <is>
          <t>New</t>
        </is>
      </c>
      <c r="F413" s="14" t="inlineStr"/>
      <c r="G413" s="34" t="inlineStr">
        <is>
          <t>Source assignment -- not individually reviewed</t>
        </is>
      </c>
      <c r="H413" s="92" t="inlineStr">
        <is>
          <t>10 EVIDENCE &amp; DECISIONS</t>
        </is>
      </c>
    </row>
    <row r="414" ht="34" customHeight="1">
      <c r="A414" s="34" t="inlineStr">
        <is>
          <t>R302-v1</t>
        </is>
      </c>
      <c r="B414" s="34" t="inlineStr">
        <is>
          <t>Contractor Programme</t>
        </is>
      </c>
      <c r="C414" s="34" t="inlineStr">
        <is>
          <t>SCH-02-122</t>
        </is>
      </c>
      <c r="D414" s="34" t="inlineStr">
        <is>
          <t>1.2.1 Stations - Station Structures</t>
        </is>
      </c>
      <c r="E414" s="34" t="inlineStr">
        <is>
          <t>New</t>
        </is>
      </c>
      <c r="F414" s="14" t="inlineStr"/>
      <c r="G414" s="34" t="inlineStr">
        <is>
          <t>Source assignment -- not individually reviewed</t>
        </is>
      </c>
      <c r="H414" s="92" t="inlineStr">
        <is>
          <t>10 EVIDENCE &amp; DECISIONS</t>
        </is>
      </c>
    </row>
    <row r="415" ht="34" customHeight="1">
      <c r="A415" s="34" t="inlineStr">
        <is>
          <t>R304-v1</t>
        </is>
      </c>
      <c r="B415" s="34" t="inlineStr">
        <is>
          <t>Contractor Programme</t>
        </is>
      </c>
      <c r="C415" s="34" t="inlineStr">
        <is>
          <t>SCH-02-124</t>
        </is>
      </c>
      <c r="D415" s="34" t="inlineStr">
        <is>
          <t>1.2.1 Stations - Station Structures</t>
        </is>
      </c>
      <c r="E415" s="34" t="inlineStr">
        <is>
          <t>New</t>
        </is>
      </c>
      <c r="F415" s="14" t="inlineStr"/>
      <c r="G415" s="34" t="inlineStr">
        <is>
          <t>Source assignment -- not individually reviewed</t>
        </is>
      </c>
      <c r="H415" s="92" t="inlineStr">
        <is>
          <t>10 EVIDENCE &amp; DECISIONS</t>
        </is>
      </c>
    </row>
    <row r="416" ht="34" customHeight="1">
      <c r="A416" s="34" t="inlineStr">
        <is>
          <t>R305-v1</t>
        </is>
      </c>
      <c r="B416" s="34" t="inlineStr">
        <is>
          <t>Contractor Programme</t>
        </is>
      </c>
      <c r="C416" s="34" t="inlineStr">
        <is>
          <t>SCH-02-125</t>
        </is>
      </c>
      <c r="D416" s="34" t="inlineStr">
        <is>
          <t>1.2.1 Stations - Station Structures</t>
        </is>
      </c>
      <c r="E416" s="34" t="inlineStr">
        <is>
          <t>New</t>
        </is>
      </c>
      <c r="F416" s="14" t="inlineStr"/>
      <c r="G416" s="34" t="inlineStr">
        <is>
          <t>Source assignment -- not individually reviewed</t>
        </is>
      </c>
      <c r="H416" s="92" t="inlineStr">
        <is>
          <t>10 EVIDENCE &amp; DECISIONS</t>
        </is>
      </c>
    </row>
    <row r="417" ht="34" customHeight="1">
      <c r="A417" s="34" t="inlineStr">
        <is>
          <t>R307-v1</t>
        </is>
      </c>
      <c r="B417" s="34" t="inlineStr">
        <is>
          <t>Contractor Programme</t>
        </is>
      </c>
      <c r="C417" s="34" t="inlineStr">
        <is>
          <t>SCH-02-127</t>
        </is>
      </c>
      <c r="D417" s="34" t="inlineStr">
        <is>
          <t>1.2.1 Stations - Station Structures</t>
        </is>
      </c>
      <c r="E417" s="34" t="inlineStr">
        <is>
          <t>New</t>
        </is>
      </c>
      <c r="F417" s="14" t="inlineStr"/>
      <c r="G417" s="34" t="inlineStr">
        <is>
          <t>Source assignment -- not individually reviewed</t>
        </is>
      </c>
      <c r="H417" s="92" t="inlineStr">
        <is>
          <t>10 EVIDENCE &amp; DECISIONS</t>
        </is>
      </c>
    </row>
    <row r="418" ht="34" customHeight="1">
      <c r="A418" s="34" t="inlineStr">
        <is>
          <t>R308-v1</t>
        </is>
      </c>
      <c r="B418" s="34" t="inlineStr">
        <is>
          <t>Contractor Programme</t>
        </is>
      </c>
      <c r="C418" s="34" t="inlineStr">
        <is>
          <t>SCH-02-128</t>
        </is>
      </c>
      <c r="D418" s="34" t="inlineStr">
        <is>
          <t>1.2.1 Stations - Station Structures</t>
        </is>
      </c>
      <c r="E418" s="34" t="inlineStr">
        <is>
          <t>New</t>
        </is>
      </c>
      <c r="F418" s="14" t="inlineStr"/>
      <c r="G418" s="34" t="inlineStr">
        <is>
          <t>Source assignment -- not individually reviewed</t>
        </is>
      </c>
      <c r="H418" s="92" t="inlineStr">
        <is>
          <t>10 EVIDENCE &amp; DECISIONS</t>
        </is>
      </c>
    </row>
    <row r="419" ht="34" customHeight="1">
      <c r="A419" s="34" t="inlineStr">
        <is>
          <t>R310-v1</t>
        </is>
      </c>
      <c r="B419" s="34" t="inlineStr">
        <is>
          <t>Contractor Programme</t>
        </is>
      </c>
      <c r="C419" s="34" t="inlineStr">
        <is>
          <t>SCH-02-130</t>
        </is>
      </c>
      <c r="D419" s="34" t="inlineStr">
        <is>
          <t>1.2.1 Stations - Station Structures</t>
        </is>
      </c>
      <c r="E419" s="34" t="inlineStr">
        <is>
          <t>New</t>
        </is>
      </c>
      <c r="F419" s="14" t="inlineStr"/>
      <c r="G419" s="34" t="inlineStr">
        <is>
          <t>Source assignment -- not individually reviewed</t>
        </is>
      </c>
      <c r="H419" s="92" t="inlineStr">
        <is>
          <t>10 EVIDENCE &amp; DECISIONS</t>
        </is>
      </c>
    </row>
    <row r="420" ht="34" customHeight="1">
      <c r="A420" s="34" t="inlineStr">
        <is>
          <t>R311-v1</t>
        </is>
      </c>
      <c r="B420" s="34" t="inlineStr">
        <is>
          <t>Contractor Programme</t>
        </is>
      </c>
      <c r="C420" s="34" t="inlineStr">
        <is>
          <t>SCH-02-131</t>
        </is>
      </c>
      <c r="D420" s="34" t="inlineStr">
        <is>
          <t>1.2.1 Stations - Station Structures</t>
        </is>
      </c>
      <c r="E420" s="34" t="inlineStr">
        <is>
          <t>New</t>
        </is>
      </c>
      <c r="F420" s="14" t="inlineStr"/>
      <c r="G420" s="34" t="inlineStr">
        <is>
          <t>Source assignment -- not individually reviewed</t>
        </is>
      </c>
      <c r="H420" s="92" t="inlineStr">
        <is>
          <t>10 EVIDENCE &amp; DECISIONS</t>
        </is>
      </c>
    </row>
    <row r="421" ht="34" customHeight="1">
      <c r="A421" s="34" t="inlineStr">
        <is>
          <t>R313-v1</t>
        </is>
      </c>
      <c r="B421" s="34" t="inlineStr">
        <is>
          <t>Contractor Programme</t>
        </is>
      </c>
      <c r="C421" s="34" t="inlineStr">
        <is>
          <t>SCH-02-133</t>
        </is>
      </c>
      <c r="D421" s="34" t="inlineStr">
        <is>
          <t>1.2.1 Stations - Station Structures</t>
        </is>
      </c>
      <c r="E421" s="34" t="inlineStr">
        <is>
          <t>New</t>
        </is>
      </c>
      <c r="F421" s="14" t="inlineStr"/>
      <c r="G421" s="34" t="inlineStr">
        <is>
          <t>Source assignment -- not individually reviewed</t>
        </is>
      </c>
      <c r="H421" s="92" t="inlineStr">
        <is>
          <t>10 EVIDENCE &amp; DECISIONS</t>
        </is>
      </c>
    </row>
    <row r="422" ht="34" customHeight="1">
      <c r="A422" s="34" t="inlineStr">
        <is>
          <t>R314-v1</t>
        </is>
      </c>
      <c r="B422" s="34" t="inlineStr">
        <is>
          <t>Contractor Programme</t>
        </is>
      </c>
      <c r="C422" s="34" t="inlineStr">
        <is>
          <t>SCH-02-134</t>
        </is>
      </c>
      <c r="D422" s="34" t="inlineStr">
        <is>
          <t>1.2.1 Stations - Station Structures</t>
        </is>
      </c>
      <c r="E422" s="34" t="inlineStr">
        <is>
          <t>New</t>
        </is>
      </c>
      <c r="F422" s="14" t="inlineStr"/>
      <c r="G422" s="34" t="inlineStr">
        <is>
          <t>Source assignment -- not individually reviewed</t>
        </is>
      </c>
      <c r="H422" s="92" t="inlineStr">
        <is>
          <t>10 EVIDENCE &amp; DECISIONS</t>
        </is>
      </c>
    </row>
    <row r="423" ht="34" customHeight="1">
      <c r="A423" s="34" t="inlineStr">
        <is>
          <t>R316-v1</t>
        </is>
      </c>
      <c r="B423" s="34" t="inlineStr">
        <is>
          <t>Contractor Programme</t>
        </is>
      </c>
      <c r="C423" s="34" t="inlineStr">
        <is>
          <t>SCH-02-136</t>
        </is>
      </c>
      <c r="D423" s="34" t="inlineStr">
        <is>
          <t>1.2.1 Stations - Station Structures</t>
        </is>
      </c>
      <c r="E423" s="34" t="inlineStr">
        <is>
          <t>New</t>
        </is>
      </c>
      <c r="F423" s="14" t="inlineStr"/>
      <c r="G423" s="34" t="inlineStr">
        <is>
          <t>Source assignment -- not individually reviewed</t>
        </is>
      </c>
      <c r="H423" s="92" t="inlineStr">
        <is>
          <t>10 EVIDENCE &amp; DECISIONS</t>
        </is>
      </c>
    </row>
    <row r="424" ht="34" customHeight="1">
      <c r="A424" s="34" t="inlineStr">
        <is>
          <t>R317-v1</t>
        </is>
      </c>
      <c r="B424" s="34" t="inlineStr">
        <is>
          <t>Contractor Programme</t>
        </is>
      </c>
      <c r="C424" s="34" t="inlineStr">
        <is>
          <t>SCH-02-137</t>
        </is>
      </c>
      <c r="D424" s="34" t="inlineStr">
        <is>
          <t>1.2.1 Stations - Station Structures</t>
        </is>
      </c>
      <c r="E424" s="34" t="inlineStr">
        <is>
          <t>New</t>
        </is>
      </c>
      <c r="F424" s="14" t="inlineStr"/>
      <c r="G424" s="34" t="inlineStr">
        <is>
          <t>Source assignment -- not individually reviewed</t>
        </is>
      </c>
      <c r="H424" s="92" t="inlineStr">
        <is>
          <t>10 EVIDENCE &amp; DECISIONS</t>
        </is>
      </c>
    </row>
    <row r="425" ht="34" customHeight="1">
      <c r="A425" s="34" t="inlineStr">
        <is>
          <t>R319-v1</t>
        </is>
      </c>
      <c r="B425" s="34" t="inlineStr">
        <is>
          <t>Contractor Programme</t>
        </is>
      </c>
      <c r="C425" s="34" t="inlineStr">
        <is>
          <t>SCH-02-139</t>
        </is>
      </c>
      <c r="D425" s="34" t="inlineStr">
        <is>
          <t>1.2.1 Stations - Station Structures</t>
        </is>
      </c>
      <c r="E425" s="34" t="inlineStr">
        <is>
          <t>New</t>
        </is>
      </c>
      <c r="F425" s="14" t="inlineStr"/>
      <c r="G425" s="34" t="inlineStr">
        <is>
          <t>Source assignment -- not individually reviewed</t>
        </is>
      </c>
      <c r="H425" s="92" t="inlineStr">
        <is>
          <t>10 EVIDENCE &amp; DECISIONS</t>
        </is>
      </c>
    </row>
    <row r="426" ht="34" customHeight="1">
      <c r="A426" s="34" t="inlineStr">
        <is>
          <t>R320-v1</t>
        </is>
      </c>
      <c r="B426" s="34" t="inlineStr">
        <is>
          <t>Contractor Programme</t>
        </is>
      </c>
      <c r="C426" s="34" t="inlineStr">
        <is>
          <t>SCH-02-140</t>
        </is>
      </c>
      <c r="D426" s="34" t="inlineStr">
        <is>
          <t>1.2.1 Stations - Station Structures</t>
        </is>
      </c>
      <c r="E426" s="34" t="inlineStr">
        <is>
          <t>New</t>
        </is>
      </c>
      <c r="F426" s="14" t="inlineStr"/>
      <c r="G426" s="34" t="inlineStr">
        <is>
          <t>Source assignment -- not individually reviewed</t>
        </is>
      </c>
      <c r="H426" s="92" t="inlineStr">
        <is>
          <t>10 EVIDENCE &amp; DECISIONS</t>
        </is>
      </c>
    </row>
    <row r="427" ht="34" customHeight="1">
      <c r="A427" s="34" t="inlineStr">
        <is>
          <t>R322-v1</t>
        </is>
      </c>
      <c r="B427" s="34" t="inlineStr">
        <is>
          <t>Contractor Programme</t>
        </is>
      </c>
      <c r="C427" s="34" t="inlineStr">
        <is>
          <t>SCH-02-142</t>
        </is>
      </c>
      <c r="D427" s="34" t="inlineStr">
        <is>
          <t>1.2.1 Stations - Station Structures</t>
        </is>
      </c>
      <c r="E427" s="34" t="inlineStr">
        <is>
          <t>New</t>
        </is>
      </c>
      <c r="F427" s="14" t="inlineStr"/>
      <c r="G427" s="34" t="inlineStr">
        <is>
          <t>Source assignment -- not individually reviewed</t>
        </is>
      </c>
      <c r="H427" s="92" t="inlineStr">
        <is>
          <t>10 EVIDENCE &amp; DECISIONS</t>
        </is>
      </c>
    </row>
    <row r="428" ht="34" customHeight="1">
      <c r="A428" s="34" t="inlineStr">
        <is>
          <t>R323-v1</t>
        </is>
      </c>
      <c r="B428" s="34" t="inlineStr">
        <is>
          <t>Contractor Programme</t>
        </is>
      </c>
      <c r="C428" s="34" t="inlineStr">
        <is>
          <t>SCH-02-143</t>
        </is>
      </c>
      <c r="D428" s="34" t="inlineStr">
        <is>
          <t>1.2.1 Stations - Station Structures</t>
        </is>
      </c>
      <c r="E428" s="34" t="inlineStr">
        <is>
          <t>New</t>
        </is>
      </c>
      <c r="F428" s="14" t="inlineStr"/>
      <c r="G428" s="34" t="inlineStr">
        <is>
          <t>Source assignment -- not individually reviewed</t>
        </is>
      </c>
      <c r="H428" s="92" t="inlineStr">
        <is>
          <t>10 EVIDENCE &amp; DECISIONS</t>
        </is>
      </c>
    </row>
    <row r="429" ht="34" customHeight="1">
      <c r="A429" s="34" t="inlineStr">
        <is>
          <t>R325-v1</t>
        </is>
      </c>
      <c r="B429" s="34" t="inlineStr">
        <is>
          <t>Contractor Programme</t>
        </is>
      </c>
      <c r="C429" s="34" t="inlineStr">
        <is>
          <t>SCH-02-145</t>
        </is>
      </c>
      <c r="D429" s="34" t="inlineStr">
        <is>
          <t>1.2.1 Stations - Station Structures</t>
        </is>
      </c>
      <c r="E429" s="34" t="inlineStr">
        <is>
          <t>New</t>
        </is>
      </c>
      <c r="F429" s="14" t="inlineStr"/>
      <c r="G429" s="34" t="inlineStr">
        <is>
          <t>Source assignment -- not individually reviewed</t>
        </is>
      </c>
      <c r="H429" s="92" t="inlineStr">
        <is>
          <t>10 EVIDENCE &amp; DECISIONS</t>
        </is>
      </c>
    </row>
    <row r="430" ht="34" customHeight="1">
      <c r="A430" s="34" t="inlineStr">
        <is>
          <t>R326-v1</t>
        </is>
      </c>
      <c r="B430" s="34" t="inlineStr">
        <is>
          <t>Contractor Programme</t>
        </is>
      </c>
      <c r="C430" s="34" t="inlineStr">
        <is>
          <t>SCH-02-146</t>
        </is>
      </c>
      <c r="D430" s="34" t="inlineStr">
        <is>
          <t>1.2.1 Stations - Station Structures</t>
        </is>
      </c>
      <c r="E430" s="34" t="inlineStr">
        <is>
          <t>New</t>
        </is>
      </c>
      <c r="F430" s="14" t="inlineStr"/>
      <c r="G430" s="34" t="inlineStr">
        <is>
          <t>Source assignment -- not individually reviewed</t>
        </is>
      </c>
      <c r="H430" s="92" t="inlineStr">
        <is>
          <t>10 EVIDENCE &amp; DECISIONS</t>
        </is>
      </c>
    </row>
    <row r="431" ht="34" customHeight="1">
      <c r="A431" s="34" t="inlineStr">
        <is>
          <t>R328-v1</t>
        </is>
      </c>
      <c r="B431" s="34" t="inlineStr">
        <is>
          <t>Contractor Programme</t>
        </is>
      </c>
      <c r="C431" s="34" t="inlineStr">
        <is>
          <t>SCH-02-148</t>
        </is>
      </c>
      <c r="D431" s="34" t="inlineStr">
        <is>
          <t>1.2.1 Stations - Station Structures</t>
        </is>
      </c>
      <c r="E431" s="34" t="inlineStr">
        <is>
          <t>New</t>
        </is>
      </c>
      <c r="F431" s="14" t="inlineStr"/>
      <c r="G431" s="34" t="inlineStr">
        <is>
          <t>Source assignment -- not individually reviewed</t>
        </is>
      </c>
      <c r="H431" s="92" t="inlineStr">
        <is>
          <t>10 EVIDENCE &amp; DECISIONS</t>
        </is>
      </c>
    </row>
    <row r="432" ht="34" customHeight="1">
      <c r="A432" s="34" t="inlineStr">
        <is>
          <t>R329-v1</t>
        </is>
      </c>
      <c r="B432" s="34" t="inlineStr">
        <is>
          <t>Contractor Programme</t>
        </is>
      </c>
      <c r="C432" s="34" t="inlineStr">
        <is>
          <t>SCH-02-149</t>
        </is>
      </c>
      <c r="D432" s="34" t="inlineStr">
        <is>
          <t>1.2.1 Stations - Station Structures</t>
        </is>
      </c>
      <c r="E432" s="34" t="inlineStr">
        <is>
          <t>New</t>
        </is>
      </c>
      <c r="F432" s="14" t="inlineStr"/>
      <c r="G432" s="34" t="inlineStr">
        <is>
          <t>Source assignment -- not individually reviewed</t>
        </is>
      </c>
      <c r="H432" s="92" t="inlineStr">
        <is>
          <t>10 EVIDENCE &amp; DECISIONS</t>
        </is>
      </c>
    </row>
    <row r="433" ht="34" customHeight="1">
      <c r="A433" s="34" t="inlineStr">
        <is>
          <t>R331-v1</t>
        </is>
      </c>
      <c r="B433" s="34" t="inlineStr">
        <is>
          <t>Contractor Programme</t>
        </is>
      </c>
      <c r="C433" s="34" t="inlineStr">
        <is>
          <t>SCH-02-151</t>
        </is>
      </c>
      <c r="D433" s="34" t="inlineStr">
        <is>
          <t>1.2.1 Stations - Station Structures</t>
        </is>
      </c>
      <c r="E433" s="34" t="inlineStr">
        <is>
          <t>New</t>
        </is>
      </c>
      <c r="F433" s="14" t="inlineStr"/>
      <c r="G433" s="34" t="inlineStr">
        <is>
          <t>Source assignment -- not individually reviewed</t>
        </is>
      </c>
      <c r="H433" s="92" t="inlineStr">
        <is>
          <t>10 EVIDENCE &amp; DECISIONS</t>
        </is>
      </c>
    </row>
    <row r="434" ht="34" customHeight="1">
      <c r="A434" s="34" t="inlineStr">
        <is>
          <t>R332-v1</t>
        </is>
      </c>
      <c r="B434" s="34" t="inlineStr">
        <is>
          <t>Contractor Programme</t>
        </is>
      </c>
      <c r="C434" s="34" t="inlineStr">
        <is>
          <t>SCH-02-152</t>
        </is>
      </c>
      <c r="D434" s="34" t="inlineStr">
        <is>
          <t>1.2.1 Stations - Station Structures</t>
        </is>
      </c>
      <c r="E434" s="34" t="inlineStr">
        <is>
          <t>New</t>
        </is>
      </c>
      <c r="F434" s="14" t="inlineStr"/>
      <c r="G434" s="34" t="inlineStr">
        <is>
          <t>Source assignment -- not individually reviewed</t>
        </is>
      </c>
      <c r="H434" s="92" t="inlineStr">
        <is>
          <t>10 EVIDENCE &amp; DECISIONS</t>
        </is>
      </c>
    </row>
    <row r="435" ht="34" customHeight="1">
      <c r="A435" s="34" t="inlineStr">
        <is>
          <t>R334-v1</t>
        </is>
      </c>
      <c r="B435" s="34" t="inlineStr">
        <is>
          <t>Contractor Programme</t>
        </is>
      </c>
      <c r="C435" s="34" t="inlineStr">
        <is>
          <t>SCH-02-154</t>
        </is>
      </c>
      <c r="D435" s="34" t="inlineStr">
        <is>
          <t>1.2.1 Stations - Station Structures</t>
        </is>
      </c>
      <c r="E435" s="34" t="inlineStr">
        <is>
          <t>New</t>
        </is>
      </c>
      <c r="F435" s="14" t="inlineStr"/>
      <c r="G435" s="34" t="inlineStr">
        <is>
          <t>Source assignment -- not individually reviewed</t>
        </is>
      </c>
      <c r="H435" s="92" t="inlineStr">
        <is>
          <t>10 EVIDENCE &amp; DECISIONS</t>
        </is>
      </c>
    </row>
    <row r="436" ht="34" customHeight="1">
      <c r="A436" s="34" t="inlineStr">
        <is>
          <t>R335-v1</t>
        </is>
      </c>
      <c r="B436" s="34" t="inlineStr">
        <is>
          <t>Contractor Programme</t>
        </is>
      </c>
      <c r="C436" s="34" t="inlineStr">
        <is>
          <t>SCH-02-155</t>
        </is>
      </c>
      <c r="D436" s="34" t="inlineStr">
        <is>
          <t>1.2.1 Stations - Station Structures</t>
        </is>
      </c>
      <c r="E436" s="34" t="inlineStr">
        <is>
          <t>New</t>
        </is>
      </c>
      <c r="F436" s="14" t="inlineStr"/>
      <c r="G436" s="34" t="inlineStr">
        <is>
          <t>Source assignment -- not individually reviewed</t>
        </is>
      </c>
      <c r="H436" s="92" t="inlineStr">
        <is>
          <t>10 EVIDENCE &amp; DECISIONS</t>
        </is>
      </c>
    </row>
    <row r="437" ht="34" customHeight="1">
      <c r="A437" s="34" t="inlineStr">
        <is>
          <t>R337-v1</t>
        </is>
      </c>
      <c r="B437" s="34" t="inlineStr">
        <is>
          <t>Contractor Programme</t>
        </is>
      </c>
      <c r="C437" s="34" t="inlineStr">
        <is>
          <t>SCH-02-157</t>
        </is>
      </c>
      <c r="D437" s="34" t="inlineStr">
        <is>
          <t>1.2.1 Stations - Station Structures</t>
        </is>
      </c>
      <c r="E437" s="34" t="inlineStr">
        <is>
          <t>New</t>
        </is>
      </c>
      <c r="F437" s="14" t="inlineStr"/>
      <c r="G437" s="34" t="inlineStr">
        <is>
          <t>Source assignment -- not individually reviewed</t>
        </is>
      </c>
      <c r="H437" s="92" t="inlineStr">
        <is>
          <t>10 EVIDENCE &amp; DECISIONS</t>
        </is>
      </c>
    </row>
    <row r="438" ht="34" customHeight="1">
      <c r="A438" s="34" t="inlineStr">
        <is>
          <t>R338-v1</t>
        </is>
      </c>
      <c r="B438" s="34" t="inlineStr">
        <is>
          <t>Contractor Programme</t>
        </is>
      </c>
      <c r="C438" s="34" t="inlineStr">
        <is>
          <t>SCH-02-158</t>
        </is>
      </c>
      <c r="D438" s="34" t="inlineStr">
        <is>
          <t>1.2.1 Stations - Station Structures</t>
        </is>
      </c>
      <c r="E438" s="34" t="inlineStr">
        <is>
          <t>New</t>
        </is>
      </c>
      <c r="F438" s="14" t="inlineStr"/>
      <c r="G438" s="34" t="inlineStr">
        <is>
          <t>Source assignment -- not individually reviewed</t>
        </is>
      </c>
      <c r="H438" s="92" t="inlineStr">
        <is>
          <t>10 EVIDENCE &amp; DECISIONS</t>
        </is>
      </c>
    </row>
    <row r="439" ht="34" customHeight="1">
      <c r="A439" s="34" t="inlineStr">
        <is>
          <t>R340-v1</t>
        </is>
      </c>
      <c r="B439" s="34" t="inlineStr">
        <is>
          <t>Contractor Programme</t>
        </is>
      </c>
      <c r="C439" s="34" t="inlineStr">
        <is>
          <t>SCH-02-160</t>
        </is>
      </c>
      <c r="D439" s="34" t="inlineStr">
        <is>
          <t>1.2.1 Stations - Station Structures</t>
        </is>
      </c>
      <c r="E439" s="34" t="inlineStr">
        <is>
          <t>New</t>
        </is>
      </c>
      <c r="F439" s="14" t="inlineStr"/>
      <c r="G439" s="34" t="inlineStr">
        <is>
          <t>Source assignment -- not individually reviewed</t>
        </is>
      </c>
      <c r="H439" s="92" t="inlineStr">
        <is>
          <t>10 EVIDENCE &amp; DECISIONS</t>
        </is>
      </c>
    </row>
    <row r="440" ht="34" customHeight="1">
      <c r="A440" s="34" t="inlineStr">
        <is>
          <t>R341-v1</t>
        </is>
      </c>
      <c r="B440" s="34" t="inlineStr">
        <is>
          <t>Contractor Programme</t>
        </is>
      </c>
      <c r="C440" s="34" t="inlineStr">
        <is>
          <t>SCH-02-161</t>
        </is>
      </c>
      <c r="D440" s="34" t="inlineStr">
        <is>
          <t>1.2.1 Stations - Station Structures</t>
        </is>
      </c>
      <c r="E440" s="34" t="inlineStr">
        <is>
          <t>New</t>
        </is>
      </c>
      <c r="F440" s="14" t="inlineStr"/>
      <c r="G440" s="34" t="inlineStr">
        <is>
          <t>Source assignment -- not individually reviewed</t>
        </is>
      </c>
      <c r="H440" s="92" t="inlineStr">
        <is>
          <t>10 EVIDENCE &amp; DECISIONS</t>
        </is>
      </c>
    </row>
    <row r="441" ht="34" customHeight="1">
      <c r="A441" s="34" t="inlineStr">
        <is>
          <t>R343-v1</t>
        </is>
      </c>
      <c r="B441" s="34" t="inlineStr">
        <is>
          <t>Contractor Programme</t>
        </is>
      </c>
      <c r="C441" s="34" t="inlineStr">
        <is>
          <t>SCH-02-163</t>
        </is>
      </c>
      <c r="D441" s="34" t="inlineStr">
        <is>
          <t>1.2.1 Stations - Station Structures</t>
        </is>
      </c>
      <c r="E441" s="34" t="inlineStr">
        <is>
          <t>New</t>
        </is>
      </c>
      <c r="F441" s="14" t="inlineStr"/>
      <c r="G441" s="34" t="inlineStr">
        <is>
          <t>Source assignment -- not individually reviewed</t>
        </is>
      </c>
      <c r="H441" s="92" t="inlineStr">
        <is>
          <t>10 EVIDENCE &amp; DECISIONS</t>
        </is>
      </c>
    </row>
    <row r="442" ht="34" customHeight="1">
      <c r="A442" s="34" t="inlineStr">
        <is>
          <t>R344-v1</t>
        </is>
      </c>
      <c r="B442" s="34" t="inlineStr">
        <is>
          <t>Contractor Programme</t>
        </is>
      </c>
      <c r="C442" s="34" t="inlineStr">
        <is>
          <t>SCH-02-164</t>
        </is>
      </c>
      <c r="D442" s="34" t="inlineStr">
        <is>
          <t>1.2.1 Stations - Station Structures</t>
        </is>
      </c>
      <c r="E442" s="34" t="inlineStr">
        <is>
          <t>New</t>
        </is>
      </c>
      <c r="F442" s="14" t="inlineStr"/>
      <c r="G442" s="34" t="inlineStr">
        <is>
          <t>Source assignment -- not individually reviewed</t>
        </is>
      </c>
      <c r="H442" s="92" t="inlineStr">
        <is>
          <t>10 EVIDENCE &amp; DECISIONS</t>
        </is>
      </c>
    </row>
    <row r="443" ht="34" customHeight="1">
      <c r="A443" s="34" t="inlineStr">
        <is>
          <t>R346-v1</t>
        </is>
      </c>
      <c r="B443" s="34" t="inlineStr">
        <is>
          <t>Contractor Programme</t>
        </is>
      </c>
      <c r="C443" s="34" t="inlineStr">
        <is>
          <t>SCH-02-166</t>
        </is>
      </c>
      <c r="D443" s="34" t="inlineStr">
        <is>
          <t>1.2.1 Stations - Station Structures</t>
        </is>
      </c>
      <c r="E443" s="34" t="inlineStr">
        <is>
          <t>New</t>
        </is>
      </c>
      <c r="F443" s="14" t="inlineStr"/>
      <c r="G443" s="34" t="inlineStr">
        <is>
          <t>Source assignment -- not individually reviewed</t>
        </is>
      </c>
      <c r="H443" s="92" t="inlineStr">
        <is>
          <t>10 EVIDENCE &amp; DECISIONS</t>
        </is>
      </c>
    </row>
    <row r="444" ht="34" customHeight="1">
      <c r="A444" s="34" t="inlineStr">
        <is>
          <t>R347-v1</t>
        </is>
      </c>
      <c r="B444" s="34" t="inlineStr">
        <is>
          <t>Contractor Programme</t>
        </is>
      </c>
      <c r="C444" s="34" t="inlineStr">
        <is>
          <t>SCH-02-167</t>
        </is>
      </c>
      <c r="D444" s="34" t="inlineStr">
        <is>
          <t>1.2.1 Stations - Station Structures</t>
        </is>
      </c>
      <c r="E444" s="34" t="inlineStr">
        <is>
          <t>New</t>
        </is>
      </c>
      <c r="F444" s="14" t="inlineStr"/>
      <c r="G444" s="34" t="inlineStr">
        <is>
          <t>Source assignment -- not individually reviewed</t>
        </is>
      </c>
      <c r="H444" s="92" t="inlineStr">
        <is>
          <t>10 EVIDENCE &amp; DECISIONS</t>
        </is>
      </c>
    </row>
    <row r="445" ht="34" customHeight="1">
      <c r="A445" s="34" t="inlineStr">
        <is>
          <t>R349-v1</t>
        </is>
      </c>
      <c r="B445" s="34" t="inlineStr">
        <is>
          <t>Contractor Programme</t>
        </is>
      </c>
      <c r="C445" s="34" t="inlineStr">
        <is>
          <t>SCH-02-169</t>
        </is>
      </c>
      <c r="D445" s="34" t="inlineStr">
        <is>
          <t>1.2.1 Stations - Station Structures</t>
        </is>
      </c>
      <c r="E445" s="34" t="inlineStr">
        <is>
          <t>New</t>
        </is>
      </c>
      <c r="F445" s="14" t="inlineStr"/>
      <c r="G445" s="34" t="inlineStr">
        <is>
          <t>Source assignment -- not individually reviewed</t>
        </is>
      </c>
      <c r="H445" s="92" t="inlineStr">
        <is>
          <t>10 EVIDENCE &amp; DECISIONS</t>
        </is>
      </c>
    </row>
    <row r="446" ht="34" customHeight="1">
      <c r="A446" s="34" t="inlineStr">
        <is>
          <t>R350-v1</t>
        </is>
      </c>
      <c r="B446" s="34" t="inlineStr">
        <is>
          <t>Contractor Programme</t>
        </is>
      </c>
      <c r="C446" s="34" t="inlineStr">
        <is>
          <t>SCH-02-170</t>
        </is>
      </c>
      <c r="D446" s="34" t="inlineStr">
        <is>
          <t>1.2.1 Stations - Station Structures</t>
        </is>
      </c>
      <c r="E446" s="34" t="inlineStr">
        <is>
          <t>New</t>
        </is>
      </c>
      <c r="F446" s="14" t="inlineStr"/>
      <c r="G446" s="34" t="inlineStr">
        <is>
          <t>Source assignment -- not individually reviewed</t>
        </is>
      </c>
      <c r="H446" s="92" t="inlineStr">
        <is>
          <t>10 EVIDENCE &amp; DECISIONS</t>
        </is>
      </c>
    </row>
    <row r="447" ht="34" customHeight="1">
      <c r="A447" s="34" t="inlineStr">
        <is>
          <t>R352-v1</t>
        </is>
      </c>
      <c r="B447" s="34" t="inlineStr">
        <is>
          <t>Contractor Programme</t>
        </is>
      </c>
      <c r="C447" s="34" t="inlineStr">
        <is>
          <t>SCH-02-172</t>
        </is>
      </c>
      <c r="D447" s="34" t="inlineStr">
        <is>
          <t>1.2.1 Stations - Station Structures</t>
        </is>
      </c>
      <c r="E447" s="34" t="inlineStr">
        <is>
          <t>New</t>
        </is>
      </c>
      <c r="F447" s="14" t="inlineStr"/>
      <c r="G447" s="34" t="inlineStr">
        <is>
          <t>Source assignment -- not individually reviewed</t>
        </is>
      </c>
      <c r="H447" s="92" t="inlineStr">
        <is>
          <t>10 EVIDENCE &amp; DECISIONS</t>
        </is>
      </c>
    </row>
    <row r="448" ht="34" customHeight="1">
      <c r="A448" s="34" t="inlineStr">
        <is>
          <t>R353-v1</t>
        </is>
      </c>
      <c r="B448" s="34" t="inlineStr">
        <is>
          <t>Contractor Programme</t>
        </is>
      </c>
      <c r="C448" s="34" t="inlineStr">
        <is>
          <t>SCH-02-173</t>
        </is>
      </c>
      <c r="D448" s="34" t="inlineStr">
        <is>
          <t>1.2.1 Stations - Station Structures</t>
        </is>
      </c>
      <c r="E448" s="34" t="inlineStr">
        <is>
          <t>New</t>
        </is>
      </c>
      <c r="F448" s="14" t="inlineStr"/>
      <c r="G448" s="34" t="inlineStr">
        <is>
          <t>Source assignment -- not individually reviewed</t>
        </is>
      </c>
      <c r="H448" s="92" t="inlineStr">
        <is>
          <t>10 EVIDENCE &amp; DECISIONS</t>
        </is>
      </c>
    </row>
    <row r="449" ht="34" customHeight="1">
      <c r="A449" s="34" t="inlineStr">
        <is>
          <t>R355-v1</t>
        </is>
      </c>
      <c r="B449" s="34" t="inlineStr">
        <is>
          <t>Contractor Programme</t>
        </is>
      </c>
      <c r="C449" s="34" t="inlineStr">
        <is>
          <t>SCH-02-175</t>
        </is>
      </c>
      <c r="D449" s="34" t="inlineStr">
        <is>
          <t>1.2.1 Stations - Station Structures</t>
        </is>
      </c>
      <c r="E449" s="34" t="inlineStr">
        <is>
          <t>New</t>
        </is>
      </c>
      <c r="F449" s="14" t="inlineStr"/>
      <c r="G449" s="34" t="inlineStr">
        <is>
          <t>Source assignment -- not individually reviewed</t>
        </is>
      </c>
      <c r="H449" s="92" t="inlineStr">
        <is>
          <t>10 EVIDENCE &amp; DECISIONS</t>
        </is>
      </c>
    </row>
    <row r="450" ht="34" customHeight="1">
      <c r="A450" s="34" t="inlineStr">
        <is>
          <t>R356-v1</t>
        </is>
      </c>
      <c r="B450" s="34" t="inlineStr">
        <is>
          <t>Contractor Programme</t>
        </is>
      </c>
      <c r="C450" s="34" t="inlineStr">
        <is>
          <t>SCH-02-176</t>
        </is>
      </c>
      <c r="D450" s="34" t="inlineStr">
        <is>
          <t>1.2.1 Stations - Station Structures</t>
        </is>
      </c>
      <c r="E450" s="34" t="inlineStr">
        <is>
          <t>New</t>
        </is>
      </c>
      <c r="F450" s="14" t="inlineStr"/>
      <c r="G450" s="34" t="inlineStr">
        <is>
          <t>Source assignment -- not individually reviewed</t>
        </is>
      </c>
      <c r="H450" s="92" t="inlineStr">
        <is>
          <t>10 EVIDENCE &amp; DECISIONS</t>
        </is>
      </c>
    </row>
    <row r="451" ht="34" customHeight="1">
      <c r="A451" s="34" t="inlineStr">
        <is>
          <t>R358-v1</t>
        </is>
      </c>
      <c r="B451" s="34" t="inlineStr">
        <is>
          <t>Contractor Programme</t>
        </is>
      </c>
      <c r="C451" s="34" t="inlineStr">
        <is>
          <t>SCH-02-178</t>
        </is>
      </c>
      <c r="D451" s="34" t="inlineStr">
        <is>
          <t>1.2.1 Stations - Station Structures</t>
        </is>
      </c>
      <c r="E451" s="34" t="inlineStr">
        <is>
          <t>New</t>
        </is>
      </c>
      <c r="F451" s="14" t="inlineStr"/>
      <c r="G451" s="34" t="inlineStr">
        <is>
          <t>Source assignment -- not individually reviewed</t>
        </is>
      </c>
      <c r="H451" s="92" t="inlineStr">
        <is>
          <t>10 EVIDENCE &amp; DECISIONS</t>
        </is>
      </c>
    </row>
    <row r="452" ht="34" customHeight="1">
      <c r="A452" s="34" t="inlineStr">
        <is>
          <t>R359-v1</t>
        </is>
      </c>
      <c r="B452" s="34" t="inlineStr">
        <is>
          <t>Contractor Programme</t>
        </is>
      </c>
      <c r="C452" s="34" t="inlineStr">
        <is>
          <t>SCH-02-179</t>
        </is>
      </c>
      <c r="D452" s="34" t="inlineStr">
        <is>
          <t>1.2.1 Stations - Station Structures</t>
        </is>
      </c>
      <c r="E452" s="34" t="inlineStr">
        <is>
          <t>New</t>
        </is>
      </c>
      <c r="F452" s="14" t="inlineStr"/>
      <c r="G452" s="34" t="inlineStr">
        <is>
          <t>Source assignment -- not individually reviewed</t>
        </is>
      </c>
      <c r="H452" s="92" t="inlineStr">
        <is>
          <t>10 EVIDENCE &amp; DECISIONS</t>
        </is>
      </c>
    </row>
    <row r="453" ht="34" customHeight="1">
      <c r="A453" s="34" t="inlineStr">
        <is>
          <t>R1164-v1</t>
        </is>
      </c>
      <c r="B453" s="34" t="inlineStr">
        <is>
          <t>Cost &amp; Forecast Control Accounts</t>
        </is>
      </c>
      <c r="C453" s="34" t="inlineStr">
        <is>
          <t>CST-02-002</t>
        </is>
      </c>
      <c r="D453" s="34" t="inlineStr">
        <is>
          <t>1.2.2 Stations - Architectural Fit-Out</t>
        </is>
      </c>
      <c r="E453" s="34" t="inlineStr">
        <is>
          <t>New</t>
        </is>
      </c>
      <c r="F453" s="14" t="inlineStr"/>
      <c r="G453" s="34" t="inlineStr">
        <is>
          <t>Source assignment -- not individually reviewed</t>
        </is>
      </c>
      <c r="H453" s="92" t="inlineStr">
        <is>
          <t>10 EVIDENCE &amp; DECISIONS</t>
        </is>
      </c>
    </row>
    <row r="454" ht="34" customHeight="1">
      <c r="A454" s="34" t="inlineStr">
        <is>
          <t>R1166-v1</t>
        </is>
      </c>
      <c r="B454" s="34" t="inlineStr">
        <is>
          <t>Cost &amp; Forecast Control Accounts</t>
        </is>
      </c>
      <c r="C454" s="34" t="inlineStr">
        <is>
          <t>CST-02-004</t>
        </is>
      </c>
      <c r="D454" s="34" t="inlineStr">
        <is>
          <t>1.2.2 Stations - Architectural Fit-Out</t>
        </is>
      </c>
      <c r="E454" s="34" t="inlineStr">
        <is>
          <t>New</t>
        </is>
      </c>
      <c r="F454" s="14" t="inlineStr"/>
      <c r="G454" s="34" t="inlineStr">
        <is>
          <t>Source assignment -- not individually reviewed</t>
        </is>
      </c>
      <c r="H454" s="92" t="inlineStr">
        <is>
          <t>10 EVIDENCE &amp; DECISIONS</t>
        </is>
      </c>
    </row>
    <row r="455" ht="34" customHeight="1">
      <c r="A455" s="34" t="inlineStr">
        <is>
          <t>R1168-v1</t>
        </is>
      </c>
      <c r="B455" s="34" t="inlineStr">
        <is>
          <t>Cost &amp; Forecast Control Accounts</t>
        </is>
      </c>
      <c r="C455" s="34" t="inlineStr">
        <is>
          <t>CST-02-006</t>
        </is>
      </c>
      <c r="D455" s="34" t="inlineStr">
        <is>
          <t>1.2.2 Stations - Architectural Fit-Out</t>
        </is>
      </c>
      <c r="E455" s="34" t="inlineStr">
        <is>
          <t>New</t>
        </is>
      </c>
      <c r="F455" s="14" t="inlineStr"/>
      <c r="G455" s="34" t="inlineStr">
        <is>
          <t>Source assignment -- not individually reviewed</t>
        </is>
      </c>
      <c r="H455" s="92" t="inlineStr">
        <is>
          <t>10 EVIDENCE &amp; DECISIONS</t>
        </is>
      </c>
    </row>
    <row r="456" ht="34" customHeight="1">
      <c r="A456" s="34" t="inlineStr">
        <is>
          <t>R1170-v1</t>
        </is>
      </c>
      <c r="B456" s="34" t="inlineStr">
        <is>
          <t>Cost &amp; Forecast Control Accounts</t>
        </is>
      </c>
      <c r="C456" s="34" t="inlineStr">
        <is>
          <t>CST-02-008</t>
        </is>
      </c>
      <c r="D456" s="34" t="inlineStr">
        <is>
          <t>1.2.2 Stations - Architectural Fit-Out</t>
        </is>
      </c>
      <c r="E456" s="34" t="inlineStr">
        <is>
          <t>New</t>
        </is>
      </c>
      <c r="F456" s="14" t="inlineStr"/>
      <c r="G456" s="34" t="inlineStr">
        <is>
          <t>Source assignment -- not individually reviewed</t>
        </is>
      </c>
      <c r="H456" s="92" t="inlineStr">
        <is>
          <t>10 EVIDENCE &amp; DECISIONS</t>
        </is>
      </c>
    </row>
    <row r="457" ht="34" customHeight="1">
      <c r="A457" s="34" t="inlineStr">
        <is>
          <t>R1172-v1</t>
        </is>
      </c>
      <c r="B457" s="34" t="inlineStr">
        <is>
          <t>Cost &amp; Forecast Control Accounts</t>
        </is>
      </c>
      <c r="C457" s="34" t="inlineStr">
        <is>
          <t>CST-02-010</t>
        </is>
      </c>
      <c r="D457" s="34" t="inlineStr">
        <is>
          <t>1.2.2 Stations - Architectural Fit-Out</t>
        </is>
      </c>
      <c r="E457" s="34" t="inlineStr">
        <is>
          <t>New</t>
        </is>
      </c>
      <c r="F457" s="14" t="inlineStr"/>
      <c r="G457" s="34" t="inlineStr">
        <is>
          <t>Source assignment -- not individually reviewed</t>
        </is>
      </c>
      <c r="H457" s="92" t="inlineStr">
        <is>
          <t>10 EVIDENCE &amp; DECISIONS</t>
        </is>
      </c>
    </row>
    <row r="458" ht="34" customHeight="1">
      <c r="A458" s="34" t="inlineStr">
        <is>
          <t>R1174-v1</t>
        </is>
      </c>
      <c r="B458" s="34" t="inlineStr">
        <is>
          <t>Cost &amp; Forecast Control Accounts</t>
        </is>
      </c>
      <c r="C458" s="34" t="inlineStr">
        <is>
          <t>CST-02-012</t>
        </is>
      </c>
      <c r="D458" s="34" t="inlineStr">
        <is>
          <t>1.2.2 Stations - Architectural Fit-Out</t>
        </is>
      </c>
      <c r="E458" s="34" t="inlineStr">
        <is>
          <t>New</t>
        </is>
      </c>
      <c r="F458" s="14" t="inlineStr"/>
      <c r="G458" s="34" t="inlineStr">
        <is>
          <t>Source assignment -- not individually reviewed</t>
        </is>
      </c>
      <c r="H458" s="92" t="inlineStr">
        <is>
          <t>10 EVIDENCE &amp; DECISIONS</t>
        </is>
      </c>
    </row>
    <row r="459" ht="34" customHeight="1">
      <c r="A459" s="34" t="inlineStr">
        <is>
          <t>R1176-v1</t>
        </is>
      </c>
      <c r="B459" s="34" t="inlineStr">
        <is>
          <t>Cost &amp; Forecast Control Accounts</t>
        </is>
      </c>
      <c r="C459" s="34" t="inlineStr">
        <is>
          <t>CST-02-014</t>
        </is>
      </c>
      <c r="D459" s="34" t="inlineStr">
        <is>
          <t>1.2.2 Stations - Architectural Fit-Out</t>
        </is>
      </c>
      <c r="E459" s="34" t="inlineStr">
        <is>
          <t>New</t>
        </is>
      </c>
      <c r="F459" s="14" t="inlineStr"/>
      <c r="G459" s="34" t="inlineStr">
        <is>
          <t>Source assignment -- not individually reviewed</t>
        </is>
      </c>
      <c r="H459" s="92" t="inlineStr">
        <is>
          <t>10 EVIDENCE &amp; DECISIONS</t>
        </is>
      </c>
    </row>
    <row r="460" ht="34" customHeight="1">
      <c r="A460" s="34" t="inlineStr">
        <is>
          <t>R1178-v1</t>
        </is>
      </c>
      <c r="B460" s="34" t="inlineStr">
        <is>
          <t>Cost &amp; Forecast Control Accounts</t>
        </is>
      </c>
      <c r="C460" s="34" t="inlineStr">
        <is>
          <t>CST-02-016</t>
        </is>
      </c>
      <c r="D460" s="34" t="inlineStr">
        <is>
          <t>1.2.2 Stations - Architectural Fit-Out</t>
        </is>
      </c>
      <c r="E460" s="34" t="inlineStr">
        <is>
          <t>New</t>
        </is>
      </c>
      <c r="F460" s="14" t="inlineStr"/>
      <c r="G460" s="34" t="inlineStr">
        <is>
          <t>Source assignment -- not individually reviewed</t>
        </is>
      </c>
      <c r="H460" s="92" t="inlineStr">
        <is>
          <t>10 EVIDENCE &amp; DECISIONS</t>
        </is>
      </c>
    </row>
    <row r="461" ht="34" customHeight="1">
      <c r="A461" s="34" t="inlineStr">
        <is>
          <t>R1180-v1</t>
        </is>
      </c>
      <c r="B461" s="34" t="inlineStr">
        <is>
          <t>Cost &amp; Forecast Control Accounts</t>
        </is>
      </c>
      <c r="C461" s="34" t="inlineStr">
        <is>
          <t>CST-02-018</t>
        </is>
      </c>
      <c r="D461" s="34" t="inlineStr">
        <is>
          <t>1.2.2 Stations - Architectural Fit-Out</t>
        </is>
      </c>
      <c r="E461" s="34" t="inlineStr">
        <is>
          <t>New</t>
        </is>
      </c>
      <c r="F461" s="14" t="inlineStr"/>
      <c r="G461" s="34" t="inlineStr">
        <is>
          <t>Source assignment -- not individually reviewed</t>
        </is>
      </c>
      <c r="H461" s="92" t="inlineStr">
        <is>
          <t>10 EVIDENCE &amp; DECISIONS</t>
        </is>
      </c>
    </row>
    <row r="462" ht="34" customHeight="1">
      <c r="A462" s="34" t="inlineStr">
        <is>
          <t>R1182-v1</t>
        </is>
      </c>
      <c r="B462" s="34" t="inlineStr">
        <is>
          <t>Cost &amp; Forecast Control Accounts</t>
        </is>
      </c>
      <c r="C462" s="34" t="inlineStr">
        <is>
          <t>CST-02-020</t>
        </is>
      </c>
      <c r="D462" s="34" t="inlineStr">
        <is>
          <t>1.2.2 Stations - Architectural Fit-Out</t>
        </is>
      </c>
      <c r="E462" s="34" t="inlineStr">
        <is>
          <t>New</t>
        </is>
      </c>
      <c r="F462" s="14" t="inlineStr"/>
      <c r="G462" s="34" t="inlineStr">
        <is>
          <t>Source assignment -- not individually reviewed</t>
        </is>
      </c>
      <c r="H462" s="92" t="inlineStr">
        <is>
          <t>10 EVIDENCE &amp; DECISIONS</t>
        </is>
      </c>
    </row>
    <row r="463" ht="34" customHeight="1">
      <c r="A463" s="34" t="inlineStr">
        <is>
          <t>R1184-v1</t>
        </is>
      </c>
      <c r="B463" s="34" t="inlineStr">
        <is>
          <t>Cost &amp; Forecast Control Accounts</t>
        </is>
      </c>
      <c r="C463" s="34" t="inlineStr">
        <is>
          <t>CST-02-022</t>
        </is>
      </c>
      <c r="D463" s="34" t="inlineStr">
        <is>
          <t>1.2.2 Stations - Architectural Fit-Out</t>
        </is>
      </c>
      <c r="E463" s="34" t="inlineStr">
        <is>
          <t>New</t>
        </is>
      </c>
      <c r="F463" s="14" t="inlineStr"/>
      <c r="G463" s="34" t="inlineStr">
        <is>
          <t>Source assignment -- not individually reviewed</t>
        </is>
      </c>
      <c r="H463" s="92" t="inlineStr">
        <is>
          <t>10 EVIDENCE &amp; DECISIONS</t>
        </is>
      </c>
    </row>
    <row r="464" ht="34" customHeight="1">
      <c r="A464" s="34" t="inlineStr">
        <is>
          <t>R1186-v1</t>
        </is>
      </c>
      <c r="B464" s="34" t="inlineStr">
        <is>
          <t>Cost &amp; Forecast Control Accounts</t>
        </is>
      </c>
      <c r="C464" s="34" t="inlineStr">
        <is>
          <t>CST-02-024</t>
        </is>
      </c>
      <c r="D464" s="34" t="inlineStr">
        <is>
          <t>1.2.2 Stations - Architectural Fit-Out</t>
        </is>
      </c>
      <c r="E464" s="34" t="inlineStr">
        <is>
          <t>New</t>
        </is>
      </c>
      <c r="F464" s="14" t="inlineStr"/>
      <c r="G464" s="34" t="inlineStr">
        <is>
          <t>Source assignment -- not individually reviewed</t>
        </is>
      </c>
      <c r="H464" s="92" t="inlineStr">
        <is>
          <t>10 EVIDENCE &amp; DECISIONS</t>
        </is>
      </c>
    </row>
    <row r="465" ht="34" customHeight="1">
      <c r="A465" s="34" t="inlineStr">
        <is>
          <t>R1188-v1</t>
        </is>
      </c>
      <c r="B465" s="34" t="inlineStr">
        <is>
          <t>Cost &amp; Forecast Control Accounts</t>
        </is>
      </c>
      <c r="C465" s="34" t="inlineStr">
        <is>
          <t>CST-02-026</t>
        </is>
      </c>
      <c r="D465" s="34" t="inlineStr">
        <is>
          <t>1.2.2 Stations - Architectural Fit-Out</t>
        </is>
      </c>
      <c r="E465" s="34" t="inlineStr">
        <is>
          <t>New</t>
        </is>
      </c>
      <c r="F465" s="14" t="inlineStr"/>
      <c r="G465" s="34" t="inlineStr">
        <is>
          <t>Source assignment -- not individually reviewed</t>
        </is>
      </c>
      <c r="H465" s="92" t="inlineStr">
        <is>
          <t>10 EVIDENCE &amp; DECISIONS</t>
        </is>
      </c>
    </row>
    <row r="466" ht="34" customHeight="1">
      <c r="A466" s="34" t="inlineStr">
        <is>
          <t>R1190-v1</t>
        </is>
      </c>
      <c r="B466" s="34" t="inlineStr">
        <is>
          <t>Cost &amp; Forecast Control Accounts</t>
        </is>
      </c>
      <c r="C466" s="34" t="inlineStr">
        <is>
          <t>CST-02-028</t>
        </is>
      </c>
      <c r="D466" s="34" t="inlineStr">
        <is>
          <t>1.2.2 Stations - Architectural Fit-Out</t>
        </is>
      </c>
      <c r="E466" s="34" t="inlineStr">
        <is>
          <t>New</t>
        </is>
      </c>
      <c r="F466" s="14" t="inlineStr"/>
      <c r="G466" s="34" t="inlineStr">
        <is>
          <t>Source assignment -- not individually reviewed</t>
        </is>
      </c>
      <c r="H466" s="92" t="inlineStr">
        <is>
          <t>10 EVIDENCE &amp; DECISIONS</t>
        </is>
      </c>
    </row>
    <row r="467" ht="34" customHeight="1">
      <c r="A467" s="34" t="inlineStr">
        <is>
          <t>R1192-v1</t>
        </is>
      </c>
      <c r="B467" s="34" t="inlineStr">
        <is>
          <t>Cost &amp; Forecast Control Accounts</t>
        </is>
      </c>
      <c r="C467" s="34" t="inlineStr">
        <is>
          <t>CST-02-030</t>
        </is>
      </c>
      <c r="D467" s="34" t="inlineStr">
        <is>
          <t>1.2.2 Stations - Architectural Fit-Out</t>
        </is>
      </c>
      <c r="E467" s="34" t="inlineStr">
        <is>
          <t>New</t>
        </is>
      </c>
      <c r="F467" s="14" t="inlineStr"/>
      <c r="G467" s="34" t="inlineStr">
        <is>
          <t>Source assignment -- not individually reviewed</t>
        </is>
      </c>
      <c r="H467" s="92" t="inlineStr">
        <is>
          <t>10 EVIDENCE &amp; DECISIONS</t>
        </is>
      </c>
    </row>
    <row r="468" ht="34" customHeight="1">
      <c r="A468" s="34" t="inlineStr">
        <is>
          <t>R1194-v1</t>
        </is>
      </c>
      <c r="B468" s="34" t="inlineStr">
        <is>
          <t>Cost &amp; Forecast Control Accounts</t>
        </is>
      </c>
      <c r="C468" s="34" t="inlineStr">
        <is>
          <t>CST-02-032</t>
        </is>
      </c>
      <c r="D468" s="34" t="inlineStr">
        <is>
          <t>1.2.2 Stations - Architectural Fit-Out</t>
        </is>
      </c>
      <c r="E468" s="34" t="inlineStr">
        <is>
          <t>New</t>
        </is>
      </c>
      <c r="F468" s="14" t="inlineStr"/>
      <c r="G468" s="34" t="inlineStr">
        <is>
          <t>Source assignment -- not individually reviewed</t>
        </is>
      </c>
      <c r="H468" s="92" t="inlineStr">
        <is>
          <t>10 EVIDENCE &amp; DECISIONS</t>
        </is>
      </c>
    </row>
    <row r="469" ht="34" customHeight="1">
      <c r="A469" s="34" t="inlineStr">
        <is>
          <t>R1196-v1</t>
        </is>
      </c>
      <c r="B469" s="34" t="inlineStr">
        <is>
          <t>Cost &amp; Forecast Control Accounts</t>
        </is>
      </c>
      <c r="C469" s="34" t="inlineStr">
        <is>
          <t>CST-02-034</t>
        </is>
      </c>
      <c r="D469" s="34" t="inlineStr">
        <is>
          <t>1.2.2 Stations - Architectural Fit-Out</t>
        </is>
      </c>
      <c r="E469" s="34" t="inlineStr">
        <is>
          <t>New</t>
        </is>
      </c>
      <c r="F469" s="14" t="inlineStr"/>
      <c r="G469" s="34" t="inlineStr">
        <is>
          <t>Source assignment -- not individually reviewed</t>
        </is>
      </c>
      <c r="H469" s="92" t="inlineStr">
        <is>
          <t>10 EVIDENCE &amp; DECISIONS</t>
        </is>
      </c>
    </row>
    <row r="470" ht="34" customHeight="1">
      <c r="A470" s="34" t="inlineStr">
        <is>
          <t>R1198-v1</t>
        </is>
      </c>
      <c r="B470" s="34" t="inlineStr">
        <is>
          <t>Cost &amp; Forecast Control Accounts</t>
        </is>
      </c>
      <c r="C470" s="34" t="inlineStr">
        <is>
          <t>CST-02-036</t>
        </is>
      </c>
      <c r="D470" s="34" t="inlineStr">
        <is>
          <t>1.2.2 Stations - Architectural Fit-Out</t>
        </is>
      </c>
      <c r="E470" s="34" t="inlineStr">
        <is>
          <t>New</t>
        </is>
      </c>
      <c r="F470" s="14" t="inlineStr"/>
      <c r="G470" s="34" t="inlineStr">
        <is>
          <t>Source assignment -- not individually reviewed</t>
        </is>
      </c>
      <c r="H470" s="92" t="inlineStr">
        <is>
          <t>10 EVIDENCE &amp; DECISIONS</t>
        </is>
      </c>
    </row>
    <row r="471" ht="34" customHeight="1">
      <c r="A471" s="34" t="inlineStr">
        <is>
          <t>R1200-v1</t>
        </is>
      </c>
      <c r="B471" s="34" t="inlineStr">
        <is>
          <t>Cost &amp; Forecast Control Accounts</t>
        </is>
      </c>
      <c r="C471" s="34" t="inlineStr">
        <is>
          <t>CST-02-038</t>
        </is>
      </c>
      <c r="D471" s="34" t="inlineStr">
        <is>
          <t>1.2.2 Stations - Architectural Fit-Out</t>
        </is>
      </c>
      <c r="E471" s="34" t="inlineStr">
        <is>
          <t>New</t>
        </is>
      </c>
      <c r="F471" s="14" t="inlineStr"/>
      <c r="G471" s="34" t="inlineStr">
        <is>
          <t>Source assignment -- not individually reviewed</t>
        </is>
      </c>
      <c r="H471" s="92" t="inlineStr">
        <is>
          <t>10 EVIDENCE &amp; DECISIONS</t>
        </is>
      </c>
    </row>
    <row r="472" ht="34" customHeight="1">
      <c r="A472" s="34" t="inlineStr">
        <is>
          <t>R1202-v1</t>
        </is>
      </c>
      <c r="B472" s="34" t="inlineStr">
        <is>
          <t>Cost &amp; Forecast Control Accounts</t>
        </is>
      </c>
      <c r="C472" s="34" t="inlineStr">
        <is>
          <t>CST-02-040</t>
        </is>
      </c>
      <c r="D472" s="34" t="inlineStr">
        <is>
          <t>1.2.2 Stations - Architectural Fit-Out</t>
        </is>
      </c>
      <c r="E472" s="34" t="inlineStr">
        <is>
          <t>New</t>
        </is>
      </c>
      <c r="F472" s="14" t="inlineStr"/>
      <c r="G472" s="34" t="inlineStr">
        <is>
          <t>Source assignment -- not individually reviewed</t>
        </is>
      </c>
      <c r="H472" s="92" t="inlineStr">
        <is>
          <t>10 EVIDENCE &amp; DECISIONS</t>
        </is>
      </c>
    </row>
    <row r="473" ht="34" customHeight="1">
      <c r="A473" s="34" t="inlineStr">
        <is>
          <t>R1204-v1</t>
        </is>
      </c>
      <c r="B473" s="34" t="inlineStr">
        <is>
          <t>Cost &amp; Forecast Control Accounts</t>
        </is>
      </c>
      <c r="C473" s="34" t="inlineStr">
        <is>
          <t>CST-02-042</t>
        </is>
      </c>
      <c r="D473" s="34" t="inlineStr">
        <is>
          <t>1.2.2 Stations - Architectural Fit-Out</t>
        </is>
      </c>
      <c r="E473" s="34" t="inlineStr">
        <is>
          <t>New</t>
        </is>
      </c>
      <c r="F473" s="14" t="inlineStr"/>
      <c r="G473" s="34" t="inlineStr">
        <is>
          <t>Source assignment -- not individually reviewed</t>
        </is>
      </c>
      <c r="H473" s="92" t="inlineStr">
        <is>
          <t>10 EVIDENCE &amp; DECISIONS</t>
        </is>
      </c>
    </row>
    <row r="474" ht="34" customHeight="1">
      <c r="A474" s="34" t="inlineStr">
        <is>
          <t>R1206-v1</t>
        </is>
      </c>
      <c r="B474" s="34" t="inlineStr">
        <is>
          <t>Cost &amp; Forecast Control Accounts</t>
        </is>
      </c>
      <c r="C474" s="34" t="inlineStr">
        <is>
          <t>CST-02-044</t>
        </is>
      </c>
      <c r="D474" s="34" t="inlineStr">
        <is>
          <t>1.2.2 Stations - Architectural Fit-Out</t>
        </is>
      </c>
      <c r="E474" s="34" t="inlineStr">
        <is>
          <t>New</t>
        </is>
      </c>
      <c r="F474" s="14" t="inlineStr"/>
      <c r="G474" s="34" t="inlineStr">
        <is>
          <t>Source assignment -- not individually reviewed</t>
        </is>
      </c>
      <c r="H474" s="92" t="inlineStr">
        <is>
          <t>10 EVIDENCE &amp; DECISIONS</t>
        </is>
      </c>
    </row>
    <row r="475" ht="34" customHeight="1">
      <c r="A475" s="34" t="inlineStr">
        <is>
          <t>R1208-v1</t>
        </is>
      </c>
      <c r="B475" s="34" t="inlineStr">
        <is>
          <t>Cost &amp; Forecast Control Accounts</t>
        </is>
      </c>
      <c r="C475" s="34" t="inlineStr">
        <is>
          <t>CST-02-046</t>
        </is>
      </c>
      <c r="D475" s="34" t="inlineStr">
        <is>
          <t>1.2.2 Stations - Architectural Fit-Out</t>
        </is>
      </c>
      <c r="E475" s="34" t="inlineStr">
        <is>
          <t>New</t>
        </is>
      </c>
      <c r="F475" s="14" t="inlineStr"/>
      <c r="G475" s="34" t="inlineStr">
        <is>
          <t>Source assignment -- not individually reviewed</t>
        </is>
      </c>
      <c r="H475" s="92" t="inlineStr">
        <is>
          <t>10 EVIDENCE &amp; DECISIONS</t>
        </is>
      </c>
    </row>
    <row r="476" ht="34" customHeight="1">
      <c r="A476" s="34" t="inlineStr">
        <is>
          <t>R1210-v1</t>
        </is>
      </c>
      <c r="B476" s="34" t="inlineStr">
        <is>
          <t>Cost &amp; Forecast Control Accounts</t>
        </is>
      </c>
      <c r="C476" s="34" t="inlineStr">
        <is>
          <t>CST-02-048</t>
        </is>
      </c>
      <c r="D476" s="34" t="inlineStr">
        <is>
          <t>1.2.2 Stations - Architectural Fit-Out</t>
        </is>
      </c>
      <c r="E476" s="34" t="inlineStr">
        <is>
          <t>New</t>
        </is>
      </c>
      <c r="F476" s="14" t="inlineStr"/>
      <c r="G476" s="34" t="inlineStr">
        <is>
          <t>Source assignment -- not individually reviewed</t>
        </is>
      </c>
      <c r="H476" s="92" t="inlineStr">
        <is>
          <t>10 EVIDENCE &amp; DECISIONS</t>
        </is>
      </c>
    </row>
    <row r="477" ht="34" customHeight="1">
      <c r="A477" s="34" t="inlineStr">
        <is>
          <t>R1212-v1</t>
        </is>
      </c>
      <c r="B477" s="34" t="inlineStr">
        <is>
          <t>Cost &amp; Forecast Control Accounts</t>
        </is>
      </c>
      <c r="C477" s="34" t="inlineStr">
        <is>
          <t>CST-02-050</t>
        </is>
      </c>
      <c r="D477" s="34" t="inlineStr">
        <is>
          <t>1.2.2 Stations - Architectural Fit-Out</t>
        </is>
      </c>
      <c r="E477" s="34" t="inlineStr">
        <is>
          <t>New</t>
        </is>
      </c>
      <c r="F477" s="14" t="inlineStr"/>
      <c r="G477" s="34" t="inlineStr">
        <is>
          <t>Source assignment -- not individually reviewed</t>
        </is>
      </c>
      <c r="H477" s="92" t="inlineStr">
        <is>
          <t>10 EVIDENCE &amp; DECISIONS</t>
        </is>
      </c>
    </row>
    <row r="478" ht="34" customHeight="1">
      <c r="A478" s="34" t="inlineStr">
        <is>
          <t>R1214-v1</t>
        </is>
      </c>
      <c r="B478" s="34" t="inlineStr">
        <is>
          <t>Cost &amp; Forecast Control Accounts</t>
        </is>
      </c>
      <c r="C478" s="34" t="inlineStr">
        <is>
          <t>CST-02-052</t>
        </is>
      </c>
      <c r="D478" s="34" t="inlineStr">
        <is>
          <t>1.2.2 Stations - Architectural Fit-Out</t>
        </is>
      </c>
      <c r="E478" s="34" t="inlineStr">
        <is>
          <t>New</t>
        </is>
      </c>
      <c r="F478" s="14" t="inlineStr"/>
      <c r="G478" s="34" t="inlineStr">
        <is>
          <t>Source assignment -- not individually reviewed</t>
        </is>
      </c>
      <c r="H478" s="92" t="inlineStr">
        <is>
          <t>10 EVIDENCE &amp; DECISIONS</t>
        </is>
      </c>
    </row>
    <row r="479" ht="34" customHeight="1">
      <c r="A479" s="34" t="inlineStr">
        <is>
          <t>R1216-v1</t>
        </is>
      </c>
      <c r="B479" s="34" t="inlineStr">
        <is>
          <t>Cost &amp; Forecast Control Accounts</t>
        </is>
      </c>
      <c r="C479" s="34" t="inlineStr">
        <is>
          <t>CST-02-054</t>
        </is>
      </c>
      <c r="D479" s="34" t="inlineStr">
        <is>
          <t>1.2.2 Stations - Architectural Fit-Out</t>
        </is>
      </c>
      <c r="E479" s="34" t="inlineStr">
        <is>
          <t>New</t>
        </is>
      </c>
      <c r="F479" s="14" t="inlineStr"/>
      <c r="G479" s="34" t="inlineStr">
        <is>
          <t>Source assignment -- not individually reviewed</t>
        </is>
      </c>
      <c r="H479" s="92" t="inlineStr">
        <is>
          <t>10 EVIDENCE &amp; DECISIONS</t>
        </is>
      </c>
    </row>
    <row r="480" ht="34" customHeight="1">
      <c r="A480" s="34" t="inlineStr">
        <is>
          <t>R1218-v1</t>
        </is>
      </c>
      <c r="B480" s="34" t="inlineStr">
        <is>
          <t>Cost &amp; Forecast Control Accounts</t>
        </is>
      </c>
      <c r="C480" s="34" t="inlineStr">
        <is>
          <t>CST-02-056</t>
        </is>
      </c>
      <c r="D480" s="34" t="inlineStr">
        <is>
          <t>1.2.2 Stations - Architectural Fit-Out</t>
        </is>
      </c>
      <c r="E480" s="34" t="inlineStr">
        <is>
          <t>New</t>
        </is>
      </c>
      <c r="F480" s="14" t="inlineStr"/>
      <c r="G480" s="34" t="inlineStr">
        <is>
          <t>Source assignment -- not individually reviewed</t>
        </is>
      </c>
      <c r="H480" s="92" t="inlineStr">
        <is>
          <t>10 EVIDENCE &amp; DECISIONS</t>
        </is>
      </c>
    </row>
    <row r="481" ht="34" customHeight="1">
      <c r="A481" s="34" t="inlineStr">
        <is>
          <t>R1220-v1</t>
        </is>
      </c>
      <c r="B481" s="34" t="inlineStr">
        <is>
          <t>Cost &amp; Forecast Control Accounts</t>
        </is>
      </c>
      <c r="C481" s="34" t="inlineStr">
        <is>
          <t>CST-02-058</t>
        </is>
      </c>
      <c r="D481" s="34" t="inlineStr">
        <is>
          <t>1.2.2 Stations - Architectural Fit-Out</t>
        </is>
      </c>
      <c r="E481" s="34" t="inlineStr">
        <is>
          <t>New</t>
        </is>
      </c>
      <c r="F481" s="14" t="inlineStr"/>
      <c r="G481" s="34" t="inlineStr">
        <is>
          <t>Source assignment -- not individually reviewed</t>
        </is>
      </c>
      <c r="H481" s="92" t="inlineStr">
        <is>
          <t>10 EVIDENCE &amp; DECISIONS</t>
        </is>
      </c>
    </row>
    <row r="482" ht="34" customHeight="1">
      <c r="A482" s="34" t="inlineStr">
        <is>
          <t>R1222-v1</t>
        </is>
      </c>
      <c r="B482" s="34" t="inlineStr">
        <is>
          <t>Cost &amp; Forecast Control Accounts</t>
        </is>
      </c>
      <c r="C482" s="34" t="inlineStr">
        <is>
          <t>CST-02-060</t>
        </is>
      </c>
      <c r="D482" s="34" t="inlineStr">
        <is>
          <t>1.2.2 Stations - Architectural Fit-Out</t>
        </is>
      </c>
      <c r="E482" s="34" t="inlineStr">
        <is>
          <t>New</t>
        </is>
      </c>
      <c r="F482" s="14" t="inlineStr"/>
      <c r="G482" s="34" t="inlineStr">
        <is>
          <t>Source assignment -- not individually reviewed</t>
        </is>
      </c>
      <c r="H482" s="92" t="inlineStr">
        <is>
          <t>10 EVIDENCE &amp; DECISIONS</t>
        </is>
      </c>
    </row>
    <row r="483" ht="34" customHeight="1">
      <c r="A483" s="34" t="inlineStr">
        <is>
          <t>R1224-v1</t>
        </is>
      </c>
      <c r="B483" s="34" t="inlineStr">
        <is>
          <t>Cost &amp; Forecast Control Accounts</t>
        </is>
      </c>
      <c r="C483" s="34" t="inlineStr">
        <is>
          <t>CST-02-062</t>
        </is>
      </c>
      <c r="D483" s="34" t="inlineStr">
        <is>
          <t>1.2.2 Stations - Architectural Fit-Out</t>
        </is>
      </c>
      <c r="E483" s="34" t="inlineStr">
        <is>
          <t>New</t>
        </is>
      </c>
      <c r="F483" s="14" t="inlineStr"/>
      <c r="G483" s="34" t="inlineStr">
        <is>
          <t>Source assignment -- not individually reviewed</t>
        </is>
      </c>
      <c r="H483" s="92" t="inlineStr">
        <is>
          <t>10 EVIDENCE &amp; DECISIONS</t>
        </is>
      </c>
    </row>
    <row r="484" ht="34" customHeight="1">
      <c r="A484" s="34" t="inlineStr">
        <is>
          <t>R1226-v1</t>
        </is>
      </c>
      <c r="B484" s="34" t="inlineStr">
        <is>
          <t>Cost &amp; Forecast Control Accounts</t>
        </is>
      </c>
      <c r="C484" s="34" t="inlineStr">
        <is>
          <t>CST-02-064</t>
        </is>
      </c>
      <c r="D484" s="34" t="inlineStr">
        <is>
          <t>1.2.2 Stations - Architectural Fit-Out</t>
        </is>
      </c>
      <c r="E484" s="34" t="inlineStr">
        <is>
          <t>New</t>
        </is>
      </c>
      <c r="F484" s="14" t="inlineStr"/>
      <c r="G484" s="34" t="inlineStr">
        <is>
          <t>Source assignment -- not individually reviewed</t>
        </is>
      </c>
      <c r="H484" s="92" t="inlineStr">
        <is>
          <t>10 EVIDENCE &amp; DECISIONS</t>
        </is>
      </c>
    </row>
    <row r="485" ht="34" customHeight="1">
      <c r="A485" s="34" t="inlineStr">
        <is>
          <t>R1228-v1</t>
        </is>
      </c>
      <c r="B485" s="34" t="inlineStr">
        <is>
          <t>Cost &amp; Forecast Control Accounts</t>
        </is>
      </c>
      <c r="C485" s="34" t="inlineStr">
        <is>
          <t>CST-02-066</t>
        </is>
      </c>
      <c r="D485" s="34" t="inlineStr">
        <is>
          <t>1.2.2 Stations - Architectural Fit-Out</t>
        </is>
      </c>
      <c r="E485" s="34" t="inlineStr">
        <is>
          <t>New</t>
        </is>
      </c>
      <c r="F485" s="14" t="inlineStr"/>
      <c r="G485" s="34" t="inlineStr">
        <is>
          <t>Source assignment -- not individually reviewed</t>
        </is>
      </c>
      <c r="H485" s="92" t="inlineStr">
        <is>
          <t>10 EVIDENCE &amp; DECISIONS</t>
        </is>
      </c>
    </row>
    <row r="486" ht="34" customHeight="1">
      <c r="A486" s="34" t="inlineStr">
        <is>
          <t>R1230-v1</t>
        </is>
      </c>
      <c r="B486" s="34" t="inlineStr">
        <is>
          <t>Cost &amp; Forecast Control Accounts</t>
        </is>
      </c>
      <c r="C486" s="34" t="inlineStr">
        <is>
          <t>CST-02-068</t>
        </is>
      </c>
      <c r="D486" s="34" t="inlineStr">
        <is>
          <t>1.2.2 Stations - Architectural Fit-Out</t>
        </is>
      </c>
      <c r="E486" s="34" t="inlineStr">
        <is>
          <t>New</t>
        </is>
      </c>
      <c r="F486" s="14" t="inlineStr"/>
      <c r="G486" s="34" t="inlineStr">
        <is>
          <t>Source assignment -- not individually reviewed</t>
        </is>
      </c>
      <c r="H486" s="92" t="inlineStr">
        <is>
          <t>10 EVIDENCE &amp; DECISIONS</t>
        </is>
      </c>
    </row>
    <row r="487" ht="34" customHeight="1">
      <c r="A487" s="34" t="inlineStr">
        <is>
          <t>R1232-v1</t>
        </is>
      </c>
      <c r="B487" s="34" t="inlineStr">
        <is>
          <t>Cost &amp; Forecast Control Accounts</t>
        </is>
      </c>
      <c r="C487" s="34" t="inlineStr">
        <is>
          <t>CST-02-070</t>
        </is>
      </c>
      <c r="D487" s="34" t="inlineStr">
        <is>
          <t>1.2.2 Stations - Architectural Fit-Out</t>
        </is>
      </c>
      <c r="E487" s="34" t="inlineStr">
        <is>
          <t>New</t>
        </is>
      </c>
      <c r="F487" s="14" t="inlineStr"/>
      <c r="G487" s="34" t="inlineStr">
        <is>
          <t>Source assignment -- not individually reviewed</t>
        </is>
      </c>
      <c r="H487" s="92" t="inlineStr">
        <is>
          <t>10 EVIDENCE &amp; DECISIONS</t>
        </is>
      </c>
    </row>
    <row r="488" ht="34" customHeight="1">
      <c r="A488" s="34" t="inlineStr">
        <is>
          <t>R1234-v1</t>
        </is>
      </c>
      <c r="B488" s="34" t="inlineStr">
        <is>
          <t>Cost &amp; Forecast Control Accounts</t>
        </is>
      </c>
      <c r="C488" s="34" t="inlineStr">
        <is>
          <t>CST-02-072</t>
        </is>
      </c>
      <c r="D488" s="34" t="inlineStr">
        <is>
          <t>1.2.2 Stations - Architectural Fit-Out</t>
        </is>
      </c>
      <c r="E488" s="34" t="inlineStr">
        <is>
          <t>New</t>
        </is>
      </c>
      <c r="F488" s="14" t="inlineStr"/>
      <c r="G488" s="34" t="inlineStr">
        <is>
          <t>Source assignment -- not individually reviewed</t>
        </is>
      </c>
      <c r="H488" s="92" t="inlineStr">
        <is>
          <t>10 EVIDENCE &amp; DECISIONS</t>
        </is>
      </c>
    </row>
    <row r="489" ht="34" customHeight="1">
      <c r="A489" s="34" t="inlineStr">
        <is>
          <t>R1236-v1</t>
        </is>
      </c>
      <c r="B489" s="34" t="inlineStr">
        <is>
          <t>Cost &amp; Forecast Control Accounts</t>
        </is>
      </c>
      <c r="C489" s="34" t="inlineStr">
        <is>
          <t>CST-02-074</t>
        </is>
      </c>
      <c r="D489" s="34" t="inlineStr">
        <is>
          <t>1.2.2 Stations - Architectural Fit-Out</t>
        </is>
      </c>
      <c r="E489" s="34" t="inlineStr">
        <is>
          <t>New</t>
        </is>
      </c>
      <c r="F489" s="14" t="inlineStr"/>
      <c r="G489" s="34" t="inlineStr">
        <is>
          <t>Source assignment -- not individually reviewed</t>
        </is>
      </c>
      <c r="H489" s="92" t="inlineStr">
        <is>
          <t>10 EVIDENCE &amp; DECISIONS</t>
        </is>
      </c>
    </row>
    <row r="490" ht="34" customHeight="1">
      <c r="A490" s="34" t="inlineStr">
        <is>
          <t>R1238-v1</t>
        </is>
      </c>
      <c r="B490" s="34" t="inlineStr">
        <is>
          <t>Cost &amp; Forecast Control Accounts</t>
        </is>
      </c>
      <c r="C490" s="34" t="inlineStr">
        <is>
          <t>CST-02-076</t>
        </is>
      </c>
      <c r="D490" s="34" t="inlineStr">
        <is>
          <t>1.2.2 Stations - Architectural Fit-Out</t>
        </is>
      </c>
      <c r="E490" s="34" t="inlineStr">
        <is>
          <t>New</t>
        </is>
      </c>
      <c r="F490" s="14" t="inlineStr"/>
      <c r="G490" s="34" t="inlineStr">
        <is>
          <t>Source assignment -- not individually reviewed</t>
        </is>
      </c>
      <c r="H490" s="92" t="inlineStr">
        <is>
          <t>10 EVIDENCE &amp; DECISIONS</t>
        </is>
      </c>
    </row>
    <row r="491" ht="34" customHeight="1">
      <c r="A491" s="34" t="inlineStr">
        <is>
          <t>R1240-v1</t>
        </is>
      </c>
      <c r="B491" s="34" t="inlineStr">
        <is>
          <t>Cost &amp; Forecast Control Accounts</t>
        </is>
      </c>
      <c r="C491" s="34" t="inlineStr">
        <is>
          <t>CST-02-078</t>
        </is>
      </c>
      <c r="D491" s="34" t="inlineStr">
        <is>
          <t>1.2.2 Stations - Architectural Fit-Out</t>
        </is>
      </c>
      <c r="E491" s="34" t="inlineStr">
        <is>
          <t>New</t>
        </is>
      </c>
      <c r="F491" s="14" t="inlineStr"/>
      <c r="G491" s="34" t="inlineStr">
        <is>
          <t>Source assignment -- not individually reviewed</t>
        </is>
      </c>
      <c r="H491" s="92" t="inlineStr">
        <is>
          <t>10 EVIDENCE &amp; DECISIONS</t>
        </is>
      </c>
    </row>
    <row r="492" ht="34" customHeight="1">
      <c r="A492" s="34" t="inlineStr">
        <is>
          <t>R1242-v1</t>
        </is>
      </c>
      <c r="B492" s="34" t="inlineStr">
        <is>
          <t>Cost &amp; Forecast Control Accounts</t>
        </is>
      </c>
      <c r="C492" s="34" t="inlineStr">
        <is>
          <t>CST-02-080</t>
        </is>
      </c>
      <c r="D492" s="34" t="inlineStr">
        <is>
          <t>1.2.2 Stations - Architectural Fit-Out</t>
        </is>
      </c>
      <c r="E492" s="34" t="inlineStr">
        <is>
          <t>New</t>
        </is>
      </c>
      <c r="F492" s="14" t="inlineStr"/>
      <c r="G492" s="34" t="inlineStr">
        <is>
          <t>Source assignment -- not individually reviewed</t>
        </is>
      </c>
      <c r="H492" s="92" t="inlineStr">
        <is>
          <t>10 EVIDENCE &amp; DECISIONS</t>
        </is>
      </c>
    </row>
    <row r="493" ht="34" customHeight="1">
      <c r="A493" s="34" t="inlineStr">
        <is>
          <t>R186-v1</t>
        </is>
      </c>
      <c r="B493" s="34" t="inlineStr">
        <is>
          <t>Contractor Programme</t>
        </is>
      </c>
      <c r="C493" s="34" t="inlineStr">
        <is>
          <t>SCH-02-006</t>
        </is>
      </c>
      <c r="D493" s="34" t="inlineStr">
        <is>
          <t>1.2.2 Stations - Architectural Fit-Out</t>
        </is>
      </c>
      <c r="E493" s="34" t="inlineStr">
        <is>
          <t>New</t>
        </is>
      </c>
      <c r="F493" s="14" t="inlineStr"/>
      <c r="G493" s="34" t="inlineStr">
        <is>
          <t>Source assignment -- not individually reviewed</t>
        </is>
      </c>
      <c r="H493" s="92" t="inlineStr">
        <is>
          <t>10 EVIDENCE &amp; DECISIONS</t>
        </is>
      </c>
    </row>
    <row r="494" ht="34" customHeight="1">
      <c r="A494" s="34" t="inlineStr">
        <is>
          <t>R189-v1</t>
        </is>
      </c>
      <c r="B494" s="34" t="inlineStr">
        <is>
          <t>Contractor Programme</t>
        </is>
      </c>
      <c r="C494" s="34" t="inlineStr">
        <is>
          <t>SCH-02-009</t>
        </is>
      </c>
      <c r="D494" s="34" t="inlineStr">
        <is>
          <t>1.2.2 Stations - Architectural Fit-Out</t>
        </is>
      </c>
      <c r="E494" s="34" t="inlineStr">
        <is>
          <t>New</t>
        </is>
      </c>
      <c r="F494" s="14" t="inlineStr"/>
      <c r="G494" s="34" t="inlineStr">
        <is>
          <t>Source assignment -- not individually reviewed</t>
        </is>
      </c>
      <c r="H494" s="92" t="inlineStr">
        <is>
          <t>10 EVIDENCE &amp; DECISIONS</t>
        </is>
      </c>
    </row>
    <row r="495" ht="34" customHeight="1">
      <c r="A495" s="34" t="inlineStr">
        <is>
          <t>R192-v1</t>
        </is>
      </c>
      <c r="B495" s="34" t="inlineStr">
        <is>
          <t>Contractor Programme</t>
        </is>
      </c>
      <c r="C495" s="34" t="inlineStr">
        <is>
          <t>SCH-02-012</t>
        </is>
      </c>
      <c r="D495" s="34" t="inlineStr">
        <is>
          <t>1.2.2 Stations - Architectural Fit-Out</t>
        </is>
      </c>
      <c r="E495" s="34" t="inlineStr">
        <is>
          <t>New</t>
        </is>
      </c>
      <c r="F495" s="14" t="inlineStr"/>
      <c r="G495" s="34" t="inlineStr">
        <is>
          <t>Source assignment -- not individually reviewed</t>
        </is>
      </c>
      <c r="H495" s="92" t="inlineStr">
        <is>
          <t>10 EVIDENCE &amp; DECISIONS</t>
        </is>
      </c>
    </row>
    <row r="496" ht="34" customHeight="1">
      <c r="A496" s="34" t="inlineStr">
        <is>
          <t>R195-v1</t>
        </is>
      </c>
      <c r="B496" s="34" t="inlineStr">
        <is>
          <t>Contractor Programme</t>
        </is>
      </c>
      <c r="C496" s="34" t="inlineStr">
        <is>
          <t>SCH-02-015</t>
        </is>
      </c>
      <c r="D496" s="34" t="inlineStr">
        <is>
          <t>1.2.2 Stations - Architectural Fit-Out</t>
        </is>
      </c>
      <c r="E496" s="34" t="inlineStr">
        <is>
          <t>New</t>
        </is>
      </c>
      <c r="F496" s="14" t="inlineStr"/>
      <c r="G496" s="34" t="inlineStr">
        <is>
          <t>Source assignment -- not individually reviewed</t>
        </is>
      </c>
      <c r="H496" s="92" t="inlineStr">
        <is>
          <t>10 EVIDENCE &amp; DECISIONS</t>
        </is>
      </c>
    </row>
    <row r="497" ht="34" customHeight="1">
      <c r="A497" s="34" t="inlineStr">
        <is>
          <t>R198-v1</t>
        </is>
      </c>
      <c r="B497" s="34" t="inlineStr">
        <is>
          <t>Contractor Programme</t>
        </is>
      </c>
      <c r="C497" s="34" t="inlineStr">
        <is>
          <t>SCH-02-018</t>
        </is>
      </c>
      <c r="D497" s="34" t="inlineStr">
        <is>
          <t>1.2.2 Stations - Architectural Fit-Out</t>
        </is>
      </c>
      <c r="E497" s="34" t="inlineStr">
        <is>
          <t>New</t>
        </is>
      </c>
      <c r="F497" s="14" t="inlineStr"/>
      <c r="G497" s="34" t="inlineStr">
        <is>
          <t>Source assignment -- not individually reviewed</t>
        </is>
      </c>
      <c r="H497" s="92" t="inlineStr">
        <is>
          <t>10 EVIDENCE &amp; DECISIONS</t>
        </is>
      </c>
    </row>
    <row r="498" ht="34" customHeight="1">
      <c r="A498" s="34" t="inlineStr">
        <is>
          <t>R201-v1</t>
        </is>
      </c>
      <c r="B498" s="34" t="inlineStr">
        <is>
          <t>Contractor Programme</t>
        </is>
      </c>
      <c r="C498" s="34" t="inlineStr">
        <is>
          <t>SCH-02-021</t>
        </is>
      </c>
      <c r="D498" s="34" t="inlineStr">
        <is>
          <t>1.2.2 Stations - Architectural Fit-Out</t>
        </is>
      </c>
      <c r="E498" s="34" t="inlineStr">
        <is>
          <t>New</t>
        </is>
      </c>
      <c r="F498" s="14" t="inlineStr"/>
      <c r="G498" s="34" t="inlineStr">
        <is>
          <t>Source assignment -- not individually reviewed</t>
        </is>
      </c>
      <c r="H498" s="92" t="inlineStr">
        <is>
          <t>10 EVIDENCE &amp; DECISIONS</t>
        </is>
      </c>
    </row>
    <row r="499" ht="34" customHeight="1">
      <c r="A499" s="34" t="inlineStr">
        <is>
          <t>R204-v1</t>
        </is>
      </c>
      <c r="B499" s="34" t="inlineStr">
        <is>
          <t>Contractor Programme</t>
        </is>
      </c>
      <c r="C499" s="34" t="inlineStr">
        <is>
          <t>SCH-02-024</t>
        </is>
      </c>
      <c r="D499" s="34" t="inlineStr">
        <is>
          <t>1.2.2 Stations - Architectural Fit-Out</t>
        </is>
      </c>
      <c r="E499" s="34" t="inlineStr">
        <is>
          <t>New</t>
        </is>
      </c>
      <c r="F499" s="14" t="inlineStr"/>
      <c r="G499" s="34" t="inlineStr">
        <is>
          <t>Source assignment -- not individually reviewed</t>
        </is>
      </c>
      <c r="H499" s="92" t="inlineStr">
        <is>
          <t>10 EVIDENCE &amp; DECISIONS</t>
        </is>
      </c>
    </row>
    <row r="500" ht="34" customHeight="1">
      <c r="A500" s="34" t="inlineStr">
        <is>
          <t>R207-v1</t>
        </is>
      </c>
      <c r="B500" s="34" t="inlineStr">
        <is>
          <t>Contractor Programme</t>
        </is>
      </c>
      <c r="C500" s="34" t="inlineStr">
        <is>
          <t>SCH-02-027</t>
        </is>
      </c>
      <c r="D500" s="34" t="inlineStr">
        <is>
          <t>1.2.2 Stations - Architectural Fit-Out</t>
        </is>
      </c>
      <c r="E500" s="34" t="inlineStr">
        <is>
          <t>New</t>
        </is>
      </c>
      <c r="F500" s="14" t="inlineStr"/>
      <c r="G500" s="34" t="inlineStr">
        <is>
          <t>Source assignment -- not individually reviewed</t>
        </is>
      </c>
      <c r="H500" s="92" t="inlineStr">
        <is>
          <t>10 EVIDENCE &amp; DECISIONS</t>
        </is>
      </c>
    </row>
    <row r="501" ht="34" customHeight="1">
      <c r="A501" s="34" t="inlineStr">
        <is>
          <t>R210-v1</t>
        </is>
      </c>
      <c r="B501" s="34" t="inlineStr">
        <is>
          <t>Contractor Programme</t>
        </is>
      </c>
      <c r="C501" s="34" t="inlineStr">
        <is>
          <t>SCH-02-030</t>
        </is>
      </c>
      <c r="D501" s="34" t="inlineStr">
        <is>
          <t>1.2.2 Stations - Architectural Fit-Out</t>
        </is>
      </c>
      <c r="E501" s="34" t="inlineStr">
        <is>
          <t>New</t>
        </is>
      </c>
      <c r="F501" s="14" t="inlineStr"/>
      <c r="G501" s="34" t="inlineStr">
        <is>
          <t>Source assignment -- not individually reviewed</t>
        </is>
      </c>
      <c r="H501" s="92" t="inlineStr">
        <is>
          <t>10 EVIDENCE &amp; DECISIONS</t>
        </is>
      </c>
    </row>
    <row r="502" ht="34" customHeight="1">
      <c r="A502" s="34" t="inlineStr">
        <is>
          <t>R213-v1</t>
        </is>
      </c>
      <c r="B502" s="34" t="inlineStr">
        <is>
          <t>Contractor Programme</t>
        </is>
      </c>
      <c r="C502" s="34" t="inlineStr">
        <is>
          <t>SCH-02-033</t>
        </is>
      </c>
      <c r="D502" s="34" t="inlineStr">
        <is>
          <t>1.2.2 Stations - Architectural Fit-Out</t>
        </is>
      </c>
      <c r="E502" s="34" t="inlineStr">
        <is>
          <t>New</t>
        </is>
      </c>
      <c r="F502" s="14" t="inlineStr"/>
      <c r="G502" s="34" t="inlineStr">
        <is>
          <t>Source assignment -- not individually reviewed</t>
        </is>
      </c>
      <c r="H502" s="92" t="inlineStr">
        <is>
          <t>10 EVIDENCE &amp; DECISIONS</t>
        </is>
      </c>
    </row>
    <row r="503" ht="34" customHeight="1">
      <c r="A503" s="34" t="inlineStr">
        <is>
          <t>R216-v1</t>
        </is>
      </c>
      <c r="B503" s="34" t="inlineStr">
        <is>
          <t>Contractor Programme</t>
        </is>
      </c>
      <c r="C503" s="34" t="inlineStr">
        <is>
          <t>SCH-02-036</t>
        </is>
      </c>
      <c r="D503" s="34" t="inlineStr">
        <is>
          <t>1.2.2 Stations - Architectural Fit-Out</t>
        </is>
      </c>
      <c r="E503" s="34" t="inlineStr">
        <is>
          <t>New</t>
        </is>
      </c>
      <c r="F503" s="14" t="inlineStr"/>
      <c r="G503" s="34" t="inlineStr">
        <is>
          <t>Source assignment -- not individually reviewed</t>
        </is>
      </c>
      <c r="H503" s="92" t="inlineStr">
        <is>
          <t>10 EVIDENCE &amp; DECISIONS</t>
        </is>
      </c>
    </row>
    <row r="504" ht="34" customHeight="1">
      <c r="A504" s="34" t="inlineStr">
        <is>
          <t>R219-v1</t>
        </is>
      </c>
      <c r="B504" s="34" t="inlineStr">
        <is>
          <t>Contractor Programme</t>
        </is>
      </c>
      <c r="C504" s="34" t="inlineStr">
        <is>
          <t>SCH-02-039</t>
        </is>
      </c>
      <c r="D504" s="34" t="inlineStr">
        <is>
          <t>1.2.2 Stations - Architectural Fit-Out</t>
        </is>
      </c>
      <c r="E504" s="34" t="inlineStr">
        <is>
          <t>New</t>
        </is>
      </c>
      <c r="F504" s="14" t="inlineStr"/>
      <c r="G504" s="34" t="inlineStr">
        <is>
          <t>Source assignment -- not individually reviewed</t>
        </is>
      </c>
      <c r="H504" s="92" t="inlineStr">
        <is>
          <t>10 EVIDENCE &amp; DECISIONS</t>
        </is>
      </c>
    </row>
    <row r="505" ht="34" customHeight="1">
      <c r="A505" s="34" t="inlineStr">
        <is>
          <t>R222-v1</t>
        </is>
      </c>
      <c r="B505" s="34" t="inlineStr">
        <is>
          <t>Contractor Programme</t>
        </is>
      </c>
      <c r="C505" s="34" t="inlineStr">
        <is>
          <t>SCH-02-042</t>
        </is>
      </c>
      <c r="D505" s="34" t="inlineStr">
        <is>
          <t>1.2.2 Stations - Architectural Fit-Out</t>
        </is>
      </c>
      <c r="E505" s="34" t="inlineStr">
        <is>
          <t>New</t>
        </is>
      </c>
      <c r="F505" s="14" t="inlineStr"/>
      <c r="G505" s="34" t="inlineStr">
        <is>
          <t>Source assignment -- not individually reviewed</t>
        </is>
      </c>
      <c r="H505" s="92" t="inlineStr">
        <is>
          <t>10 EVIDENCE &amp; DECISIONS</t>
        </is>
      </c>
    </row>
    <row r="506" ht="34" customHeight="1">
      <c r="A506" s="34" t="inlineStr">
        <is>
          <t>R225-v1</t>
        </is>
      </c>
      <c r="B506" s="34" t="inlineStr">
        <is>
          <t>Contractor Programme</t>
        </is>
      </c>
      <c r="C506" s="34" t="inlineStr">
        <is>
          <t>SCH-02-045</t>
        </is>
      </c>
      <c r="D506" s="34" t="inlineStr">
        <is>
          <t>1.2.2 Stations - Architectural Fit-Out</t>
        </is>
      </c>
      <c r="E506" s="34" t="inlineStr">
        <is>
          <t>New</t>
        </is>
      </c>
      <c r="F506" s="14" t="inlineStr"/>
      <c r="G506" s="34" t="inlineStr">
        <is>
          <t>Source assignment -- not individually reviewed</t>
        </is>
      </c>
      <c r="H506" s="92" t="inlineStr">
        <is>
          <t>10 EVIDENCE &amp; DECISIONS</t>
        </is>
      </c>
    </row>
    <row r="507" ht="34" customHeight="1">
      <c r="A507" s="34" t="inlineStr">
        <is>
          <t>R228-v1</t>
        </is>
      </c>
      <c r="B507" s="34" t="inlineStr">
        <is>
          <t>Contractor Programme</t>
        </is>
      </c>
      <c r="C507" s="34" t="inlineStr">
        <is>
          <t>SCH-02-048</t>
        </is>
      </c>
      <c r="D507" s="34" t="inlineStr">
        <is>
          <t>1.2.2 Stations - Architectural Fit-Out</t>
        </is>
      </c>
      <c r="E507" s="34" t="inlineStr">
        <is>
          <t>New</t>
        </is>
      </c>
      <c r="F507" s="14" t="inlineStr"/>
      <c r="G507" s="34" t="inlineStr">
        <is>
          <t>Source assignment -- not individually reviewed</t>
        </is>
      </c>
      <c r="H507" s="92" t="inlineStr">
        <is>
          <t>10 EVIDENCE &amp; DECISIONS</t>
        </is>
      </c>
    </row>
    <row r="508" ht="34" customHeight="1">
      <c r="A508" s="34" t="inlineStr">
        <is>
          <t>R231-v1</t>
        </is>
      </c>
      <c r="B508" s="34" t="inlineStr">
        <is>
          <t>Contractor Programme</t>
        </is>
      </c>
      <c r="C508" s="34" t="inlineStr">
        <is>
          <t>SCH-02-051</t>
        </is>
      </c>
      <c r="D508" s="34" t="inlineStr">
        <is>
          <t>1.2.2 Stations - Architectural Fit-Out</t>
        </is>
      </c>
      <c r="E508" s="34" t="inlineStr">
        <is>
          <t>New</t>
        </is>
      </c>
      <c r="F508" s="14" t="inlineStr"/>
      <c r="G508" s="34" t="inlineStr">
        <is>
          <t>Source assignment -- not individually reviewed</t>
        </is>
      </c>
      <c r="H508" s="92" t="inlineStr">
        <is>
          <t>10 EVIDENCE &amp; DECISIONS</t>
        </is>
      </c>
    </row>
    <row r="509" ht="34" customHeight="1">
      <c r="A509" s="34" t="inlineStr">
        <is>
          <t>R234-v1</t>
        </is>
      </c>
      <c r="B509" s="34" t="inlineStr">
        <is>
          <t>Contractor Programme</t>
        </is>
      </c>
      <c r="C509" s="34" t="inlineStr">
        <is>
          <t>SCH-02-054</t>
        </is>
      </c>
      <c r="D509" s="34" t="inlineStr">
        <is>
          <t>1.2.2 Stations - Architectural Fit-Out</t>
        </is>
      </c>
      <c r="E509" s="34" t="inlineStr">
        <is>
          <t>New</t>
        </is>
      </c>
      <c r="F509" s="14" t="inlineStr"/>
      <c r="G509" s="34" t="inlineStr">
        <is>
          <t>Source assignment -- not individually reviewed</t>
        </is>
      </c>
      <c r="H509" s="92" t="inlineStr">
        <is>
          <t>10 EVIDENCE &amp; DECISIONS</t>
        </is>
      </c>
    </row>
    <row r="510" ht="34" customHeight="1">
      <c r="A510" s="34" t="inlineStr">
        <is>
          <t>R237-v1</t>
        </is>
      </c>
      <c r="B510" s="34" t="inlineStr">
        <is>
          <t>Contractor Programme</t>
        </is>
      </c>
      <c r="C510" s="34" t="inlineStr">
        <is>
          <t>SCH-02-057</t>
        </is>
      </c>
      <c r="D510" s="34" t="inlineStr">
        <is>
          <t>1.2.2 Stations - Architectural Fit-Out</t>
        </is>
      </c>
      <c r="E510" s="34" t="inlineStr">
        <is>
          <t>New</t>
        </is>
      </c>
      <c r="F510" s="14" t="inlineStr"/>
      <c r="G510" s="34" t="inlineStr">
        <is>
          <t>Source assignment -- not individually reviewed</t>
        </is>
      </c>
      <c r="H510" s="92" t="inlineStr">
        <is>
          <t>10 EVIDENCE &amp; DECISIONS</t>
        </is>
      </c>
    </row>
    <row r="511" ht="34" customHeight="1">
      <c r="A511" s="34" t="inlineStr">
        <is>
          <t>R240-v1</t>
        </is>
      </c>
      <c r="B511" s="34" t="inlineStr">
        <is>
          <t>Contractor Programme</t>
        </is>
      </c>
      <c r="C511" s="34" t="inlineStr">
        <is>
          <t>SCH-02-060</t>
        </is>
      </c>
      <c r="D511" s="34" t="inlineStr">
        <is>
          <t>1.2.2 Stations - Architectural Fit-Out</t>
        </is>
      </c>
      <c r="E511" s="34" t="inlineStr">
        <is>
          <t>New</t>
        </is>
      </c>
      <c r="F511" s="14" t="inlineStr"/>
      <c r="G511" s="34" t="inlineStr">
        <is>
          <t>Source assignment -- not individually reviewed</t>
        </is>
      </c>
      <c r="H511" s="92" t="inlineStr">
        <is>
          <t>10 EVIDENCE &amp; DECISIONS</t>
        </is>
      </c>
    </row>
    <row r="512" ht="34" customHeight="1">
      <c r="A512" s="34" t="inlineStr">
        <is>
          <t>R243-v1</t>
        </is>
      </c>
      <c r="B512" s="34" t="inlineStr">
        <is>
          <t>Contractor Programme</t>
        </is>
      </c>
      <c r="C512" s="34" t="inlineStr">
        <is>
          <t>SCH-02-063</t>
        </is>
      </c>
      <c r="D512" s="34" t="inlineStr">
        <is>
          <t>1.2.2 Stations - Architectural Fit-Out</t>
        </is>
      </c>
      <c r="E512" s="34" t="inlineStr">
        <is>
          <t>New</t>
        </is>
      </c>
      <c r="F512" s="14" t="inlineStr"/>
      <c r="G512" s="34" t="inlineStr">
        <is>
          <t>Source assignment -- not individually reviewed</t>
        </is>
      </c>
      <c r="H512" s="92" t="inlineStr">
        <is>
          <t>10 EVIDENCE &amp; DECISIONS</t>
        </is>
      </c>
    </row>
    <row r="513" ht="34" customHeight="1">
      <c r="A513" s="34" t="inlineStr">
        <is>
          <t>R246-v1</t>
        </is>
      </c>
      <c r="B513" s="34" t="inlineStr">
        <is>
          <t>Contractor Programme</t>
        </is>
      </c>
      <c r="C513" s="34" t="inlineStr">
        <is>
          <t>SCH-02-066</t>
        </is>
      </c>
      <c r="D513" s="34" t="inlineStr">
        <is>
          <t>1.2.2 Stations - Architectural Fit-Out</t>
        </is>
      </c>
      <c r="E513" s="34" t="inlineStr">
        <is>
          <t>New</t>
        </is>
      </c>
      <c r="F513" s="14" t="inlineStr"/>
      <c r="G513" s="34" t="inlineStr">
        <is>
          <t>Source assignment -- not individually reviewed</t>
        </is>
      </c>
      <c r="H513" s="92" t="inlineStr">
        <is>
          <t>10 EVIDENCE &amp; DECISIONS</t>
        </is>
      </c>
    </row>
    <row r="514" ht="34" customHeight="1">
      <c r="A514" s="34" t="inlineStr">
        <is>
          <t>R249-v1</t>
        </is>
      </c>
      <c r="B514" s="34" t="inlineStr">
        <is>
          <t>Contractor Programme</t>
        </is>
      </c>
      <c r="C514" s="34" t="inlineStr">
        <is>
          <t>SCH-02-069</t>
        </is>
      </c>
      <c r="D514" s="34" t="inlineStr">
        <is>
          <t>1.2.2 Stations - Architectural Fit-Out</t>
        </is>
      </c>
      <c r="E514" s="34" t="inlineStr">
        <is>
          <t>New</t>
        </is>
      </c>
      <c r="F514" s="14" t="inlineStr"/>
      <c r="G514" s="34" t="inlineStr">
        <is>
          <t>Source assignment -- not individually reviewed</t>
        </is>
      </c>
      <c r="H514" s="92" t="inlineStr">
        <is>
          <t>10 EVIDENCE &amp; DECISIONS</t>
        </is>
      </c>
    </row>
    <row r="515" ht="34" customHeight="1">
      <c r="A515" s="34" t="inlineStr">
        <is>
          <t>R252-v1</t>
        </is>
      </c>
      <c r="B515" s="34" t="inlineStr">
        <is>
          <t>Contractor Programme</t>
        </is>
      </c>
      <c r="C515" s="34" t="inlineStr">
        <is>
          <t>SCH-02-072</t>
        </is>
      </c>
      <c r="D515" s="34" t="inlineStr">
        <is>
          <t>1.2.2 Stations - Architectural Fit-Out</t>
        </is>
      </c>
      <c r="E515" s="34" t="inlineStr">
        <is>
          <t>New</t>
        </is>
      </c>
      <c r="F515" s="14" t="inlineStr"/>
      <c r="G515" s="34" t="inlineStr">
        <is>
          <t>Source assignment -- not individually reviewed</t>
        </is>
      </c>
      <c r="H515" s="92" t="inlineStr">
        <is>
          <t>10 EVIDENCE &amp; DECISIONS</t>
        </is>
      </c>
    </row>
    <row r="516" ht="34" customHeight="1">
      <c r="A516" s="34" t="inlineStr">
        <is>
          <t>R255-v1</t>
        </is>
      </c>
      <c r="B516" s="34" t="inlineStr">
        <is>
          <t>Contractor Programme</t>
        </is>
      </c>
      <c r="C516" s="34" t="inlineStr">
        <is>
          <t>SCH-02-075</t>
        </is>
      </c>
      <c r="D516" s="34" t="inlineStr">
        <is>
          <t>1.2.2 Stations - Architectural Fit-Out</t>
        </is>
      </c>
      <c r="E516" s="34" t="inlineStr">
        <is>
          <t>New</t>
        </is>
      </c>
      <c r="F516" s="14" t="inlineStr"/>
      <c r="G516" s="34" t="inlineStr">
        <is>
          <t>Source assignment -- not individually reviewed</t>
        </is>
      </c>
      <c r="H516" s="92" t="inlineStr">
        <is>
          <t>10 EVIDENCE &amp; DECISIONS</t>
        </is>
      </c>
    </row>
    <row r="517" ht="34" customHeight="1">
      <c r="A517" s="34" t="inlineStr">
        <is>
          <t>R258-v1</t>
        </is>
      </c>
      <c r="B517" s="34" t="inlineStr">
        <is>
          <t>Contractor Programme</t>
        </is>
      </c>
      <c r="C517" s="34" t="inlineStr">
        <is>
          <t>SCH-02-078</t>
        </is>
      </c>
      <c r="D517" s="34" t="inlineStr">
        <is>
          <t>1.2.2 Stations - Architectural Fit-Out</t>
        </is>
      </c>
      <c r="E517" s="34" t="inlineStr">
        <is>
          <t>New</t>
        </is>
      </c>
      <c r="F517" s="14" t="inlineStr"/>
      <c r="G517" s="34" t="inlineStr">
        <is>
          <t>Source assignment -- not individually reviewed</t>
        </is>
      </c>
      <c r="H517" s="92" t="inlineStr">
        <is>
          <t>10 EVIDENCE &amp; DECISIONS</t>
        </is>
      </c>
    </row>
    <row r="518" ht="34" customHeight="1">
      <c r="A518" s="34" t="inlineStr">
        <is>
          <t>R261-v1</t>
        </is>
      </c>
      <c r="B518" s="34" t="inlineStr">
        <is>
          <t>Contractor Programme</t>
        </is>
      </c>
      <c r="C518" s="34" t="inlineStr">
        <is>
          <t>SCH-02-081</t>
        </is>
      </c>
      <c r="D518" s="34" t="inlineStr">
        <is>
          <t>1.2.2 Stations - Architectural Fit-Out</t>
        </is>
      </c>
      <c r="E518" s="34" t="inlineStr">
        <is>
          <t>New</t>
        </is>
      </c>
      <c r="F518" s="14" t="inlineStr"/>
      <c r="G518" s="34" t="inlineStr">
        <is>
          <t>Source assignment -- not individually reviewed</t>
        </is>
      </c>
      <c r="H518" s="92" t="inlineStr">
        <is>
          <t>10 EVIDENCE &amp; DECISIONS</t>
        </is>
      </c>
    </row>
    <row r="519" ht="34" customHeight="1">
      <c r="A519" s="34" t="inlineStr">
        <is>
          <t>R264-v1</t>
        </is>
      </c>
      <c r="B519" s="34" t="inlineStr">
        <is>
          <t>Contractor Programme</t>
        </is>
      </c>
      <c r="C519" s="34" t="inlineStr">
        <is>
          <t>SCH-02-084</t>
        </is>
      </c>
      <c r="D519" s="34" t="inlineStr">
        <is>
          <t>1.2.2 Stations - Architectural Fit-Out</t>
        </is>
      </c>
      <c r="E519" s="34" t="inlineStr">
        <is>
          <t>New</t>
        </is>
      </c>
      <c r="F519" s="14" t="inlineStr"/>
      <c r="G519" s="34" t="inlineStr">
        <is>
          <t>Source assignment -- not individually reviewed</t>
        </is>
      </c>
      <c r="H519" s="92" t="inlineStr">
        <is>
          <t>10 EVIDENCE &amp; DECISIONS</t>
        </is>
      </c>
    </row>
    <row r="520" ht="34" customHeight="1">
      <c r="A520" s="34" t="inlineStr">
        <is>
          <t>R267-v1</t>
        </is>
      </c>
      <c r="B520" s="34" t="inlineStr">
        <is>
          <t>Contractor Programme</t>
        </is>
      </c>
      <c r="C520" s="34" t="inlineStr">
        <is>
          <t>SCH-02-087</t>
        </is>
      </c>
      <c r="D520" s="34" t="inlineStr">
        <is>
          <t>1.2.2 Stations - Architectural Fit-Out</t>
        </is>
      </c>
      <c r="E520" s="34" t="inlineStr">
        <is>
          <t>New</t>
        </is>
      </c>
      <c r="F520" s="14" t="inlineStr"/>
      <c r="G520" s="34" t="inlineStr">
        <is>
          <t>Source assignment -- not individually reviewed</t>
        </is>
      </c>
      <c r="H520" s="92" t="inlineStr">
        <is>
          <t>10 EVIDENCE &amp; DECISIONS</t>
        </is>
      </c>
    </row>
    <row r="521" ht="34" customHeight="1">
      <c r="A521" s="34" t="inlineStr">
        <is>
          <t>R270-v1</t>
        </is>
      </c>
      <c r="B521" s="34" t="inlineStr">
        <is>
          <t>Contractor Programme</t>
        </is>
      </c>
      <c r="C521" s="34" t="inlineStr">
        <is>
          <t>SCH-02-090</t>
        </is>
      </c>
      <c r="D521" s="34" t="inlineStr">
        <is>
          <t>1.2.2 Stations - Architectural Fit-Out</t>
        </is>
      </c>
      <c r="E521" s="34" t="inlineStr">
        <is>
          <t>New</t>
        </is>
      </c>
      <c r="F521" s="14" t="inlineStr"/>
      <c r="G521" s="34" t="inlineStr">
        <is>
          <t>Source assignment -- not individually reviewed</t>
        </is>
      </c>
      <c r="H521" s="92" t="inlineStr">
        <is>
          <t>10 EVIDENCE &amp; DECISIONS</t>
        </is>
      </c>
    </row>
    <row r="522" ht="34" customHeight="1">
      <c r="A522" s="34" t="inlineStr">
        <is>
          <t>R273-v1</t>
        </is>
      </c>
      <c r="B522" s="34" t="inlineStr">
        <is>
          <t>Contractor Programme</t>
        </is>
      </c>
      <c r="C522" s="34" t="inlineStr">
        <is>
          <t>SCH-02-093</t>
        </is>
      </c>
      <c r="D522" s="34" t="inlineStr">
        <is>
          <t>1.2.2 Stations - Architectural Fit-Out</t>
        </is>
      </c>
      <c r="E522" s="34" t="inlineStr">
        <is>
          <t>New</t>
        </is>
      </c>
      <c r="F522" s="14" t="inlineStr"/>
      <c r="G522" s="34" t="inlineStr">
        <is>
          <t>Source assignment -- not individually reviewed</t>
        </is>
      </c>
      <c r="H522" s="92" t="inlineStr">
        <is>
          <t>10 EVIDENCE &amp; DECISIONS</t>
        </is>
      </c>
    </row>
    <row r="523" ht="34" customHeight="1">
      <c r="A523" s="34" t="inlineStr">
        <is>
          <t>R276-v1</t>
        </is>
      </c>
      <c r="B523" s="34" t="inlineStr">
        <is>
          <t>Contractor Programme</t>
        </is>
      </c>
      <c r="C523" s="34" t="inlineStr">
        <is>
          <t>SCH-02-096</t>
        </is>
      </c>
      <c r="D523" s="34" t="inlineStr">
        <is>
          <t>1.2.2 Stations - Architectural Fit-Out</t>
        </is>
      </c>
      <c r="E523" s="34" t="inlineStr">
        <is>
          <t>New</t>
        </is>
      </c>
      <c r="F523" s="14" t="inlineStr"/>
      <c r="G523" s="34" t="inlineStr">
        <is>
          <t>Source assignment -- not individually reviewed</t>
        </is>
      </c>
      <c r="H523" s="92" t="inlineStr">
        <is>
          <t>10 EVIDENCE &amp; DECISIONS</t>
        </is>
      </c>
    </row>
    <row r="524" ht="34" customHeight="1">
      <c r="A524" s="34" t="inlineStr">
        <is>
          <t>R279-v1</t>
        </is>
      </c>
      <c r="B524" s="34" t="inlineStr">
        <is>
          <t>Contractor Programme</t>
        </is>
      </c>
      <c r="C524" s="34" t="inlineStr">
        <is>
          <t>SCH-02-099</t>
        </is>
      </c>
      <c r="D524" s="34" t="inlineStr">
        <is>
          <t>1.2.2 Stations - Architectural Fit-Out</t>
        </is>
      </c>
      <c r="E524" s="34" t="inlineStr">
        <is>
          <t>New</t>
        </is>
      </c>
      <c r="F524" s="14" t="inlineStr"/>
      <c r="G524" s="34" t="inlineStr">
        <is>
          <t>Source assignment -- not individually reviewed</t>
        </is>
      </c>
      <c r="H524" s="92" t="inlineStr">
        <is>
          <t>10 EVIDENCE &amp; DECISIONS</t>
        </is>
      </c>
    </row>
    <row r="525" ht="34" customHeight="1">
      <c r="A525" s="34" t="inlineStr">
        <is>
          <t>R282-v1</t>
        </is>
      </c>
      <c r="B525" s="34" t="inlineStr">
        <is>
          <t>Contractor Programme</t>
        </is>
      </c>
      <c r="C525" s="34" t="inlineStr">
        <is>
          <t>SCH-02-102</t>
        </is>
      </c>
      <c r="D525" s="34" t="inlineStr">
        <is>
          <t>1.2.2 Stations - Architectural Fit-Out</t>
        </is>
      </c>
      <c r="E525" s="34" t="inlineStr">
        <is>
          <t>New</t>
        </is>
      </c>
      <c r="F525" s="14" t="inlineStr"/>
      <c r="G525" s="34" t="inlineStr">
        <is>
          <t>Source assignment -- not individually reviewed</t>
        </is>
      </c>
      <c r="H525" s="92" t="inlineStr">
        <is>
          <t>10 EVIDENCE &amp; DECISIONS</t>
        </is>
      </c>
    </row>
    <row r="526" ht="34" customHeight="1">
      <c r="A526" s="34" t="inlineStr">
        <is>
          <t>R285-v1</t>
        </is>
      </c>
      <c r="B526" s="34" t="inlineStr">
        <is>
          <t>Contractor Programme</t>
        </is>
      </c>
      <c r="C526" s="34" t="inlineStr">
        <is>
          <t>SCH-02-105</t>
        </is>
      </c>
      <c r="D526" s="34" t="inlineStr">
        <is>
          <t>1.2.2 Stations - Architectural Fit-Out</t>
        </is>
      </c>
      <c r="E526" s="34" t="inlineStr">
        <is>
          <t>New</t>
        </is>
      </c>
      <c r="F526" s="14" t="inlineStr"/>
      <c r="G526" s="34" t="inlineStr">
        <is>
          <t>Source assignment -- not individually reviewed</t>
        </is>
      </c>
      <c r="H526" s="92" t="inlineStr">
        <is>
          <t>10 EVIDENCE &amp; DECISIONS</t>
        </is>
      </c>
    </row>
    <row r="527" ht="34" customHeight="1">
      <c r="A527" s="34" t="inlineStr">
        <is>
          <t>R288-v1</t>
        </is>
      </c>
      <c r="B527" s="34" t="inlineStr">
        <is>
          <t>Contractor Programme</t>
        </is>
      </c>
      <c r="C527" s="34" t="inlineStr">
        <is>
          <t>SCH-02-108</t>
        </is>
      </c>
      <c r="D527" s="34" t="inlineStr">
        <is>
          <t>1.2.2 Stations - Architectural Fit-Out</t>
        </is>
      </c>
      <c r="E527" s="34" t="inlineStr">
        <is>
          <t>New</t>
        </is>
      </c>
      <c r="F527" s="14" t="inlineStr"/>
      <c r="G527" s="34" t="inlineStr">
        <is>
          <t>Source assignment -- not individually reviewed</t>
        </is>
      </c>
      <c r="H527" s="92" t="inlineStr">
        <is>
          <t>10 EVIDENCE &amp; DECISIONS</t>
        </is>
      </c>
    </row>
    <row r="528" ht="34" customHeight="1">
      <c r="A528" s="34" t="inlineStr">
        <is>
          <t>R291-v1</t>
        </is>
      </c>
      <c r="B528" s="34" t="inlineStr">
        <is>
          <t>Contractor Programme</t>
        </is>
      </c>
      <c r="C528" s="34" t="inlineStr">
        <is>
          <t>SCH-02-111</t>
        </is>
      </c>
      <c r="D528" s="34" t="inlineStr">
        <is>
          <t>1.2.2 Stations - Architectural Fit-Out</t>
        </is>
      </c>
      <c r="E528" s="34" t="inlineStr">
        <is>
          <t>New</t>
        </is>
      </c>
      <c r="F528" s="14" t="inlineStr"/>
      <c r="G528" s="34" t="inlineStr">
        <is>
          <t>Source assignment -- not individually reviewed</t>
        </is>
      </c>
      <c r="H528" s="92" t="inlineStr">
        <is>
          <t>10 EVIDENCE &amp; DECISIONS</t>
        </is>
      </c>
    </row>
    <row r="529" ht="34" customHeight="1">
      <c r="A529" s="34" t="inlineStr">
        <is>
          <t>R294-v1</t>
        </is>
      </c>
      <c r="B529" s="34" t="inlineStr">
        <is>
          <t>Contractor Programme</t>
        </is>
      </c>
      <c r="C529" s="34" t="inlineStr">
        <is>
          <t>SCH-02-114</t>
        </is>
      </c>
      <c r="D529" s="34" t="inlineStr">
        <is>
          <t>1.2.2 Stations - Architectural Fit-Out</t>
        </is>
      </c>
      <c r="E529" s="34" t="inlineStr">
        <is>
          <t>New</t>
        </is>
      </c>
      <c r="F529" s="14" t="inlineStr"/>
      <c r="G529" s="34" t="inlineStr">
        <is>
          <t>Source assignment -- not individually reviewed</t>
        </is>
      </c>
      <c r="H529" s="92" t="inlineStr">
        <is>
          <t>10 EVIDENCE &amp; DECISIONS</t>
        </is>
      </c>
    </row>
    <row r="530" ht="34" customHeight="1">
      <c r="A530" s="34" t="inlineStr">
        <is>
          <t>R297-v1</t>
        </is>
      </c>
      <c r="B530" s="34" t="inlineStr">
        <is>
          <t>Contractor Programme</t>
        </is>
      </c>
      <c r="C530" s="34" t="inlineStr">
        <is>
          <t>SCH-02-117</t>
        </is>
      </c>
      <c r="D530" s="34" t="inlineStr">
        <is>
          <t>1.2.2 Stations - Architectural Fit-Out</t>
        </is>
      </c>
      <c r="E530" s="34" t="inlineStr">
        <is>
          <t>New</t>
        </is>
      </c>
      <c r="F530" s="14" t="inlineStr"/>
      <c r="G530" s="34" t="inlineStr">
        <is>
          <t>Source assignment -- not individually reviewed</t>
        </is>
      </c>
      <c r="H530" s="92" t="inlineStr">
        <is>
          <t>10 EVIDENCE &amp; DECISIONS</t>
        </is>
      </c>
    </row>
    <row r="531" ht="34" customHeight="1">
      <c r="A531" s="34" t="inlineStr">
        <is>
          <t>R300-v1</t>
        </is>
      </c>
      <c r="B531" s="34" t="inlineStr">
        <is>
          <t>Contractor Programme</t>
        </is>
      </c>
      <c r="C531" s="34" t="inlineStr">
        <is>
          <t>SCH-02-120</t>
        </is>
      </c>
      <c r="D531" s="34" t="inlineStr">
        <is>
          <t>1.2.2 Stations - Architectural Fit-Out</t>
        </is>
      </c>
      <c r="E531" s="34" t="inlineStr">
        <is>
          <t>New</t>
        </is>
      </c>
      <c r="F531" s="14" t="inlineStr"/>
      <c r="G531" s="34" t="inlineStr">
        <is>
          <t>Source assignment -- not individually reviewed</t>
        </is>
      </c>
      <c r="H531" s="92" t="inlineStr">
        <is>
          <t>10 EVIDENCE &amp; DECISIONS</t>
        </is>
      </c>
    </row>
    <row r="532" ht="34" customHeight="1">
      <c r="A532" s="34" t="inlineStr">
        <is>
          <t>R303-v1</t>
        </is>
      </c>
      <c r="B532" s="34" t="inlineStr">
        <is>
          <t>Contractor Programme</t>
        </is>
      </c>
      <c r="C532" s="34" t="inlineStr">
        <is>
          <t>SCH-02-123</t>
        </is>
      </c>
      <c r="D532" s="34" t="inlineStr">
        <is>
          <t>1.2.2 Stations - Architectural Fit-Out</t>
        </is>
      </c>
      <c r="E532" s="34" t="inlineStr">
        <is>
          <t>New</t>
        </is>
      </c>
      <c r="F532" s="14" t="inlineStr"/>
      <c r="G532" s="34" t="inlineStr">
        <is>
          <t>Source assignment -- not individually reviewed</t>
        </is>
      </c>
      <c r="H532" s="92" t="inlineStr">
        <is>
          <t>10 EVIDENCE &amp; DECISIONS</t>
        </is>
      </c>
    </row>
    <row r="533" ht="34" customHeight="1">
      <c r="A533" s="34" t="inlineStr">
        <is>
          <t>R306-v1</t>
        </is>
      </c>
      <c r="B533" s="34" t="inlineStr">
        <is>
          <t>Contractor Programme</t>
        </is>
      </c>
      <c r="C533" s="34" t="inlineStr">
        <is>
          <t>SCH-02-126</t>
        </is>
      </c>
      <c r="D533" s="34" t="inlineStr">
        <is>
          <t>1.2.2 Stations - Architectural Fit-Out</t>
        </is>
      </c>
      <c r="E533" s="34" t="inlineStr">
        <is>
          <t>New</t>
        </is>
      </c>
      <c r="F533" s="14" t="inlineStr"/>
      <c r="G533" s="34" t="inlineStr">
        <is>
          <t>Source assignment -- not individually reviewed</t>
        </is>
      </c>
      <c r="H533" s="92" t="inlineStr">
        <is>
          <t>10 EVIDENCE &amp; DECISIONS</t>
        </is>
      </c>
    </row>
    <row r="534" ht="34" customHeight="1">
      <c r="A534" s="34" t="inlineStr">
        <is>
          <t>R309-v1</t>
        </is>
      </c>
      <c r="B534" s="34" t="inlineStr">
        <is>
          <t>Contractor Programme</t>
        </is>
      </c>
      <c r="C534" s="34" t="inlineStr">
        <is>
          <t>SCH-02-129</t>
        </is>
      </c>
      <c r="D534" s="34" t="inlineStr">
        <is>
          <t>1.2.2 Stations - Architectural Fit-Out</t>
        </is>
      </c>
      <c r="E534" s="34" t="inlineStr">
        <is>
          <t>New</t>
        </is>
      </c>
      <c r="F534" s="14" t="inlineStr"/>
      <c r="G534" s="34" t="inlineStr">
        <is>
          <t>Source assignment -- not individually reviewed</t>
        </is>
      </c>
      <c r="H534" s="92" t="inlineStr">
        <is>
          <t>10 EVIDENCE &amp; DECISIONS</t>
        </is>
      </c>
    </row>
    <row r="535" ht="34" customHeight="1">
      <c r="A535" s="34" t="inlineStr">
        <is>
          <t>R312-v1</t>
        </is>
      </c>
      <c r="B535" s="34" t="inlineStr">
        <is>
          <t>Contractor Programme</t>
        </is>
      </c>
      <c r="C535" s="34" t="inlineStr">
        <is>
          <t>SCH-02-132</t>
        </is>
      </c>
      <c r="D535" s="34" t="inlineStr">
        <is>
          <t>1.2.2 Stations - Architectural Fit-Out</t>
        </is>
      </c>
      <c r="E535" s="34" t="inlineStr">
        <is>
          <t>New</t>
        </is>
      </c>
      <c r="F535" s="14" t="inlineStr"/>
      <c r="G535" s="34" t="inlineStr">
        <is>
          <t>Source assignment -- not individually reviewed</t>
        </is>
      </c>
      <c r="H535" s="92" t="inlineStr">
        <is>
          <t>10 EVIDENCE &amp; DECISIONS</t>
        </is>
      </c>
    </row>
    <row r="536" ht="34" customHeight="1">
      <c r="A536" s="34" t="inlineStr">
        <is>
          <t>R315-v1</t>
        </is>
      </c>
      <c r="B536" s="34" t="inlineStr">
        <is>
          <t>Contractor Programme</t>
        </is>
      </c>
      <c r="C536" s="34" t="inlineStr">
        <is>
          <t>SCH-02-135</t>
        </is>
      </c>
      <c r="D536" s="34" t="inlineStr">
        <is>
          <t>1.2.2 Stations - Architectural Fit-Out</t>
        </is>
      </c>
      <c r="E536" s="34" t="inlineStr">
        <is>
          <t>New</t>
        </is>
      </c>
      <c r="F536" s="14" t="inlineStr"/>
      <c r="G536" s="34" t="inlineStr">
        <is>
          <t>Source assignment -- not individually reviewed</t>
        </is>
      </c>
      <c r="H536" s="92" t="inlineStr">
        <is>
          <t>10 EVIDENCE &amp; DECISIONS</t>
        </is>
      </c>
    </row>
    <row r="537" ht="34" customHeight="1">
      <c r="A537" s="34" t="inlineStr">
        <is>
          <t>R318-v1</t>
        </is>
      </c>
      <c r="B537" s="34" t="inlineStr">
        <is>
          <t>Contractor Programme</t>
        </is>
      </c>
      <c r="C537" s="34" t="inlineStr">
        <is>
          <t>SCH-02-138</t>
        </is>
      </c>
      <c r="D537" s="34" t="inlineStr">
        <is>
          <t>1.2.2 Stations - Architectural Fit-Out</t>
        </is>
      </c>
      <c r="E537" s="34" t="inlineStr">
        <is>
          <t>New</t>
        </is>
      </c>
      <c r="F537" s="14" t="inlineStr"/>
      <c r="G537" s="34" t="inlineStr">
        <is>
          <t>Source assignment -- not individually reviewed</t>
        </is>
      </c>
      <c r="H537" s="92" t="inlineStr">
        <is>
          <t>10 EVIDENCE &amp; DECISIONS</t>
        </is>
      </c>
    </row>
    <row r="538" ht="34" customHeight="1">
      <c r="A538" s="34" t="inlineStr">
        <is>
          <t>R321-v1</t>
        </is>
      </c>
      <c r="B538" s="34" t="inlineStr">
        <is>
          <t>Contractor Programme</t>
        </is>
      </c>
      <c r="C538" s="34" t="inlineStr">
        <is>
          <t>SCH-02-141</t>
        </is>
      </c>
      <c r="D538" s="34" t="inlineStr">
        <is>
          <t>1.2.2 Stations - Architectural Fit-Out</t>
        </is>
      </c>
      <c r="E538" s="34" t="inlineStr">
        <is>
          <t>New</t>
        </is>
      </c>
      <c r="F538" s="14" t="inlineStr"/>
      <c r="G538" s="34" t="inlineStr">
        <is>
          <t>Source assignment -- not individually reviewed</t>
        </is>
      </c>
      <c r="H538" s="92" t="inlineStr">
        <is>
          <t>10 EVIDENCE &amp; DECISIONS</t>
        </is>
      </c>
    </row>
    <row r="539" ht="34" customHeight="1">
      <c r="A539" s="34" t="inlineStr">
        <is>
          <t>R324-v1</t>
        </is>
      </c>
      <c r="B539" s="34" t="inlineStr">
        <is>
          <t>Contractor Programme</t>
        </is>
      </c>
      <c r="C539" s="34" t="inlineStr">
        <is>
          <t>SCH-02-144</t>
        </is>
      </c>
      <c r="D539" s="34" t="inlineStr">
        <is>
          <t>1.2.2 Stations - Architectural Fit-Out</t>
        </is>
      </c>
      <c r="E539" s="34" t="inlineStr">
        <is>
          <t>New</t>
        </is>
      </c>
      <c r="F539" s="14" t="inlineStr"/>
      <c r="G539" s="34" t="inlineStr">
        <is>
          <t>Source assignment -- not individually reviewed</t>
        </is>
      </c>
      <c r="H539" s="92" t="inlineStr">
        <is>
          <t>10 EVIDENCE &amp; DECISIONS</t>
        </is>
      </c>
    </row>
    <row r="540" ht="34" customHeight="1">
      <c r="A540" s="34" t="inlineStr">
        <is>
          <t>R327-v1</t>
        </is>
      </c>
      <c r="B540" s="34" t="inlineStr">
        <is>
          <t>Contractor Programme</t>
        </is>
      </c>
      <c r="C540" s="34" t="inlineStr">
        <is>
          <t>SCH-02-147</t>
        </is>
      </c>
      <c r="D540" s="34" t="inlineStr">
        <is>
          <t>1.2.2 Stations - Architectural Fit-Out</t>
        </is>
      </c>
      <c r="E540" s="34" t="inlineStr">
        <is>
          <t>New</t>
        </is>
      </c>
      <c r="F540" s="14" t="inlineStr"/>
      <c r="G540" s="34" t="inlineStr">
        <is>
          <t>Source assignment -- not individually reviewed</t>
        </is>
      </c>
      <c r="H540" s="92" t="inlineStr">
        <is>
          <t>10 EVIDENCE &amp; DECISIONS</t>
        </is>
      </c>
    </row>
    <row r="541" ht="34" customHeight="1">
      <c r="A541" s="34" t="inlineStr">
        <is>
          <t>R330-v1</t>
        </is>
      </c>
      <c r="B541" s="34" t="inlineStr">
        <is>
          <t>Contractor Programme</t>
        </is>
      </c>
      <c r="C541" s="34" t="inlineStr">
        <is>
          <t>SCH-02-150</t>
        </is>
      </c>
      <c r="D541" s="34" t="inlineStr">
        <is>
          <t>1.2.2 Stations - Architectural Fit-Out</t>
        </is>
      </c>
      <c r="E541" s="34" t="inlineStr">
        <is>
          <t>New</t>
        </is>
      </c>
      <c r="F541" s="14" t="inlineStr"/>
      <c r="G541" s="34" t="inlineStr">
        <is>
          <t>Source assignment -- not individually reviewed</t>
        </is>
      </c>
      <c r="H541" s="92" t="inlineStr">
        <is>
          <t>10 EVIDENCE &amp; DECISIONS</t>
        </is>
      </c>
    </row>
    <row r="542" ht="34" customHeight="1">
      <c r="A542" s="34" t="inlineStr">
        <is>
          <t>R333-v1</t>
        </is>
      </c>
      <c r="B542" s="34" t="inlineStr">
        <is>
          <t>Contractor Programme</t>
        </is>
      </c>
      <c r="C542" s="34" t="inlineStr">
        <is>
          <t>SCH-02-153</t>
        </is>
      </c>
      <c r="D542" s="34" t="inlineStr">
        <is>
          <t>1.2.2 Stations - Architectural Fit-Out</t>
        </is>
      </c>
      <c r="E542" s="34" t="inlineStr">
        <is>
          <t>New</t>
        </is>
      </c>
      <c r="F542" s="14" t="inlineStr"/>
      <c r="G542" s="34" t="inlineStr">
        <is>
          <t>Source assignment -- not individually reviewed</t>
        </is>
      </c>
      <c r="H542" s="92" t="inlineStr">
        <is>
          <t>10 EVIDENCE &amp; DECISIONS</t>
        </is>
      </c>
    </row>
    <row r="543" ht="34" customHeight="1">
      <c r="A543" s="34" t="inlineStr">
        <is>
          <t>R336-v1</t>
        </is>
      </c>
      <c r="B543" s="34" t="inlineStr">
        <is>
          <t>Contractor Programme</t>
        </is>
      </c>
      <c r="C543" s="34" t="inlineStr">
        <is>
          <t>SCH-02-156</t>
        </is>
      </c>
      <c r="D543" s="34" t="inlineStr">
        <is>
          <t>1.2.2 Stations - Architectural Fit-Out</t>
        </is>
      </c>
      <c r="E543" s="34" t="inlineStr">
        <is>
          <t>New</t>
        </is>
      </c>
      <c r="F543" s="14" t="inlineStr"/>
      <c r="G543" s="34" t="inlineStr">
        <is>
          <t>Source assignment -- not individually reviewed</t>
        </is>
      </c>
      <c r="H543" s="92" t="inlineStr">
        <is>
          <t>10 EVIDENCE &amp; DECISIONS</t>
        </is>
      </c>
    </row>
    <row r="544" ht="34" customHeight="1">
      <c r="A544" s="34" t="inlineStr">
        <is>
          <t>R339-v1</t>
        </is>
      </c>
      <c r="B544" s="34" t="inlineStr">
        <is>
          <t>Contractor Programme</t>
        </is>
      </c>
      <c r="C544" s="34" t="inlineStr">
        <is>
          <t>SCH-02-159</t>
        </is>
      </c>
      <c r="D544" s="34" t="inlineStr">
        <is>
          <t>1.2.2 Stations - Architectural Fit-Out</t>
        </is>
      </c>
      <c r="E544" s="34" t="inlineStr">
        <is>
          <t>New</t>
        </is>
      </c>
      <c r="F544" s="14" t="inlineStr"/>
      <c r="G544" s="34" t="inlineStr">
        <is>
          <t>Source assignment -- not individually reviewed</t>
        </is>
      </c>
      <c r="H544" s="92" t="inlineStr">
        <is>
          <t>10 EVIDENCE &amp; DECISIONS</t>
        </is>
      </c>
    </row>
    <row r="545" ht="34" customHeight="1">
      <c r="A545" s="34" t="inlineStr">
        <is>
          <t>R342-v1</t>
        </is>
      </c>
      <c r="B545" s="34" t="inlineStr">
        <is>
          <t>Contractor Programme</t>
        </is>
      </c>
      <c r="C545" s="34" t="inlineStr">
        <is>
          <t>SCH-02-162</t>
        </is>
      </c>
      <c r="D545" s="34" t="inlineStr">
        <is>
          <t>1.2.2 Stations - Architectural Fit-Out</t>
        </is>
      </c>
      <c r="E545" s="34" t="inlineStr">
        <is>
          <t>New</t>
        </is>
      </c>
      <c r="F545" s="14" t="inlineStr"/>
      <c r="G545" s="34" t="inlineStr">
        <is>
          <t>Source assignment -- not individually reviewed</t>
        </is>
      </c>
      <c r="H545" s="92" t="inlineStr">
        <is>
          <t>10 EVIDENCE &amp; DECISIONS</t>
        </is>
      </c>
    </row>
    <row r="546" ht="34" customHeight="1">
      <c r="A546" s="34" t="inlineStr">
        <is>
          <t>R345-v1</t>
        </is>
      </c>
      <c r="B546" s="34" t="inlineStr">
        <is>
          <t>Contractor Programme</t>
        </is>
      </c>
      <c r="C546" s="34" t="inlineStr">
        <is>
          <t>SCH-02-165</t>
        </is>
      </c>
      <c r="D546" s="34" t="inlineStr">
        <is>
          <t>1.2.2 Stations - Architectural Fit-Out</t>
        </is>
      </c>
      <c r="E546" s="34" t="inlineStr">
        <is>
          <t>New</t>
        </is>
      </c>
      <c r="F546" s="14" t="inlineStr"/>
      <c r="G546" s="34" t="inlineStr">
        <is>
          <t>Source assignment -- not individually reviewed</t>
        </is>
      </c>
      <c r="H546" s="92" t="inlineStr">
        <is>
          <t>10 EVIDENCE &amp; DECISIONS</t>
        </is>
      </c>
    </row>
    <row r="547" ht="34" customHeight="1">
      <c r="A547" s="34" t="inlineStr">
        <is>
          <t>R348-v1</t>
        </is>
      </c>
      <c r="B547" s="34" t="inlineStr">
        <is>
          <t>Contractor Programme</t>
        </is>
      </c>
      <c r="C547" s="34" t="inlineStr">
        <is>
          <t>SCH-02-168</t>
        </is>
      </c>
      <c r="D547" s="34" t="inlineStr">
        <is>
          <t>1.2.2 Stations - Architectural Fit-Out</t>
        </is>
      </c>
      <c r="E547" s="34" t="inlineStr">
        <is>
          <t>New</t>
        </is>
      </c>
      <c r="F547" s="14" t="inlineStr"/>
      <c r="G547" s="34" t="inlineStr">
        <is>
          <t>Source assignment -- not individually reviewed</t>
        </is>
      </c>
      <c r="H547" s="92" t="inlineStr">
        <is>
          <t>10 EVIDENCE &amp; DECISIONS</t>
        </is>
      </c>
    </row>
    <row r="548" ht="34" customHeight="1">
      <c r="A548" s="34" t="inlineStr">
        <is>
          <t>R351-v1</t>
        </is>
      </c>
      <c r="B548" s="34" t="inlineStr">
        <is>
          <t>Contractor Programme</t>
        </is>
      </c>
      <c r="C548" s="34" t="inlineStr">
        <is>
          <t>SCH-02-171</t>
        </is>
      </c>
      <c r="D548" s="34" t="inlineStr">
        <is>
          <t>1.2.2 Stations - Architectural Fit-Out</t>
        </is>
      </c>
      <c r="E548" s="34" t="inlineStr">
        <is>
          <t>New</t>
        </is>
      </c>
      <c r="F548" s="14" t="inlineStr"/>
      <c r="G548" s="34" t="inlineStr">
        <is>
          <t>Source assignment -- not individually reviewed</t>
        </is>
      </c>
      <c r="H548" s="92" t="inlineStr">
        <is>
          <t>10 EVIDENCE &amp; DECISIONS</t>
        </is>
      </c>
    </row>
    <row r="549" ht="34" customHeight="1">
      <c r="A549" s="34" t="inlineStr">
        <is>
          <t>R354-v1</t>
        </is>
      </c>
      <c r="B549" s="34" t="inlineStr">
        <is>
          <t>Contractor Programme</t>
        </is>
      </c>
      <c r="C549" s="34" t="inlineStr">
        <is>
          <t>SCH-02-174</t>
        </is>
      </c>
      <c r="D549" s="34" t="inlineStr">
        <is>
          <t>1.2.2 Stations - Architectural Fit-Out</t>
        </is>
      </c>
      <c r="E549" s="34" t="inlineStr">
        <is>
          <t>New</t>
        </is>
      </c>
      <c r="F549" s="14" t="inlineStr"/>
      <c r="G549" s="34" t="inlineStr">
        <is>
          <t>Source assignment -- not individually reviewed</t>
        </is>
      </c>
      <c r="H549" s="92" t="inlineStr">
        <is>
          <t>10 EVIDENCE &amp; DECISIONS</t>
        </is>
      </c>
    </row>
    <row r="550" ht="34" customHeight="1">
      <c r="A550" s="34" t="inlineStr">
        <is>
          <t>R357-v1</t>
        </is>
      </c>
      <c r="B550" s="34" t="inlineStr">
        <is>
          <t>Contractor Programme</t>
        </is>
      </c>
      <c r="C550" s="34" t="inlineStr">
        <is>
          <t>SCH-02-177</t>
        </is>
      </c>
      <c r="D550" s="34" t="inlineStr">
        <is>
          <t>1.2.2 Stations - Architectural Fit-Out</t>
        </is>
      </c>
      <c r="E550" s="34" t="inlineStr">
        <is>
          <t>New</t>
        </is>
      </c>
      <c r="F550" s="14" t="inlineStr"/>
      <c r="G550" s="34" t="inlineStr">
        <is>
          <t>Source assignment -- not individually reviewed</t>
        </is>
      </c>
      <c r="H550" s="92" t="inlineStr">
        <is>
          <t>10 EVIDENCE &amp; DECISIONS</t>
        </is>
      </c>
    </row>
    <row r="551" ht="34" customHeight="1">
      <c r="A551" s="34" t="inlineStr">
        <is>
          <t>R360-v1</t>
        </is>
      </c>
      <c r="B551" s="34" t="inlineStr">
        <is>
          <t>Contractor Programme</t>
        </is>
      </c>
      <c r="C551" s="34" t="inlineStr">
        <is>
          <t>SCH-02-180</t>
        </is>
      </c>
      <c r="D551" s="34" t="inlineStr">
        <is>
          <t>1.2.2 Stations - Architectural Fit-Out</t>
        </is>
      </c>
      <c r="E551" s="34" t="inlineStr">
        <is>
          <t>New</t>
        </is>
      </c>
      <c r="F551" s="14" t="inlineStr"/>
      <c r="G551" s="34" t="inlineStr">
        <is>
          <t>Source assignment -- not individually reviewed</t>
        </is>
      </c>
      <c r="H551" s="92" t="inlineStr">
        <is>
          <t>10 EVIDENCE &amp; DECISIONS</t>
        </is>
      </c>
    </row>
    <row r="552" ht="34" customHeight="1">
      <c r="A552" s="34" t="inlineStr">
        <is>
          <t>R1583-v1</t>
        </is>
      </c>
      <c r="B552" s="34" t="inlineStr">
        <is>
          <t>Commercial Package Register</t>
        </is>
      </c>
      <c r="C552" s="34" t="inlineStr">
        <is>
          <t>PKG-021</t>
        </is>
      </c>
      <c r="D552" s="34" t="inlineStr">
        <is>
          <t>1.3 Systems</t>
        </is>
      </c>
      <c r="E552" s="34" t="inlineStr">
        <is>
          <t>New</t>
        </is>
      </c>
      <c r="F552" s="14" t="inlineStr"/>
      <c r="G552" s="34" t="inlineStr">
        <is>
          <t>Source assignment -- not individually reviewed</t>
        </is>
      </c>
      <c r="H552" s="92" t="inlineStr">
        <is>
          <t>10 EVIDENCE &amp; DECISIONS</t>
        </is>
      </c>
    </row>
    <row r="553" ht="34" customHeight="1">
      <c r="A553" s="34" t="inlineStr">
        <is>
          <t>R1584-v1</t>
        </is>
      </c>
      <c r="B553" s="34" t="inlineStr">
        <is>
          <t>Commercial Package Register</t>
        </is>
      </c>
      <c r="C553" s="34" t="inlineStr">
        <is>
          <t>PKG-022</t>
        </is>
      </c>
      <c r="D553" s="34" t="inlineStr">
        <is>
          <t>1.3 Systems</t>
        </is>
      </c>
      <c r="E553" s="34" t="inlineStr">
        <is>
          <t>New</t>
        </is>
      </c>
      <c r="F553" s="14" t="inlineStr"/>
      <c r="G553" s="34" t="inlineStr">
        <is>
          <t>Source assignment -- not individually reviewed</t>
        </is>
      </c>
      <c r="H553" s="92" t="inlineStr">
        <is>
          <t>10 EVIDENCE &amp; DECISIONS</t>
        </is>
      </c>
    </row>
    <row r="554" ht="34" customHeight="1">
      <c r="A554" s="34" t="inlineStr">
        <is>
          <t>R1585-v1</t>
        </is>
      </c>
      <c r="B554" s="34" t="inlineStr">
        <is>
          <t>Commercial Package Register</t>
        </is>
      </c>
      <c r="C554" s="34" t="inlineStr">
        <is>
          <t>PKG-023</t>
        </is>
      </c>
      <c r="D554" s="34" t="inlineStr">
        <is>
          <t>1.3 Systems</t>
        </is>
      </c>
      <c r="E554" s="34" t="inlineStr">
        <is>
          <t>New</t>
        </is>
      </c>
      <c r="F554" s="14" t="inlineStr"/>
      <c r="G554" s="34" t="inlineStr">
        <is>
          <t>Source assignment -- not individually reviewed</t>
        </is>
      </c>
      <c r="H554" s="92" t="inlineStr">
        <is>
          <t>10 EVIDENCE &amp; DECISIONS</t>
        </is>
      </c>
    </row>
    <row r="555" ht="34" customHeight="1">
      <c r="A555" s="34" t="inlineStr">
        <is>
          <t>R1586-v1</t>
        </is>
      </c>
      <c r="B555" s="34" t="inlineStr">
        <is>
          <t>Commercial Package Register</t>
        </is>
      </c>
      <c r="C555" s="34" t="inlineStr">
        <is>
          <t>PKG-024</t>
        </is>
      </c>
      <c r="D555" s="34" t="inlineStr">
        <is>
          <t>1.3 Systems</t>
        </is>
      </c>
      <c r="E555" s="34" t="inlineStr">
        <is>
          <t>New</t>
        </is>
      </c>
      <c r="F555" s="14" t="inlineStr"/>
      <c r="G555" s="34" t="inlineStr">
        <is>
          <t>Source assignment -- not individually reviewed</t>
        </is>
      </c>
      <c r="H555" s="92" t="inlineStr">
        <is>
          <t>10 EVIDENCE &amp; DECISIONS</t>
        </is>
      </c>
    </row>
    <row r="556" ht="34" customHeight="1">
      <c r="A556" s="34" t="inlineStr">
        <is>
          <t>R1587-v1</t>
        </is>
      </c>
      <c r="B556" s="34" t="inlineStr">
        <is>
          <t>Commercial Package Register</t>
        </is>
      </c>
      <c r="C556" s="34" t="inlineStr">
        <is>
          <t>PKG-025</t>
        </is>
      </c>
      <c r="D556" s="34" t="inlineStr">
        <is>
          <t>1.3 Systems</t>
        </is>
      </c>
      <c r="E556" s="34" t="inlineStr">
        <is>
          <t>New</t>
        </is>
      </c>
      <c r="F556" s="14" t="inlineStr"/>
      <c r="G556" s="34" t="inlineStr">
        <is>
          <t>Source assignment -- not individually reviewed</t>
        </is>
      </c>
      <c r="H556" s="92" t="inlineStr">
        <is>
          <t>10 EVIDENCE &amp; DECISIONS</t>
        </is>
      </c>
    </row>
    <row r="557" ht="34" customHeight="1">
      <c r="A557" s="34" t="inlineStr">
        <is>
          <t>R1588-v1</t>
        </is>
      </c>
      <c r="B557" s="34" t="inlineStr">
        <is>
          <t>Commercial Package Register</t>
        </is>
      </c>
      <c r="C557" s="34" t="inlineStr">
        <is>
          <t>PKG-026</t>
        </is>
      </c>
      <c r="D557" s="34" t="inlineStr">
        <is>
          <t>1.3 Systems</t>
        </is>
      </c>
      <c r="E557" s="34" t="inlineStr">
        <is>
          <t>New</t>
        </is>
      </c>
      <c r="F557" s="14" t="inlineStr"/>
      <c r="G557" s="34" t="inlineStr">
        <is>
          <t>Source assignment -- not individually reviewed</t>
        </is>
      </c>
      <c r="H557" s="92" t="inlineStr">
        <is>
          <t>10 EVIDENCE &amp; DECISIONS</t>
        </is>
      </c>
    </row>
    <row r="558" ht="34" customHeight="1">
      <c r="A558" s="34" t="inlineStr">
        <is>
          <t>R1589-v1</t>
        </is>
      </c>
      <c r="B558" s="34" t="inlineStr">
        <is>
          <t>Commercial Package Register</t>
        </is>
      </c>
      <c r="C558" s="34" t="inlineStr">
        <is>
          <t>PKG-027</t>
        </is>
      </c>
      <c r="D558" s="34" t="inlineStr">
        <is>
          <t>1.3 Systems</t>
        </is>
      </c>
      <c r="E558" s="34" t="inlineStr">
        <is>
          <t>New</t>
        </is>
      </c>
      <c r="F558" s="14" t="inlineStr"/>
      <c r="G558" s="34" t="inlineStr">
        <is>
          <t>Source assignment -- not individually reviewed</t>
        </is>
      </c>
      <c r="H558" s="92" t="inlineStr">
        <is>
          <t>10 EVIDENCE &amp; DECISIONS</t>
        </is>
      </c>
    </row>
    <row r="559" ht="34" customHeight="1">
      <c r="A559" s="34" t="inlineStr">
        <is>
          <t>R1590-v1</t>
        </is>
      </c>
      <c r="B559" s="34" t="inlineStr">
        <is>
          <t>Commercial Package Register</t>
        </is>
      </c>
      <c r="C559" s="34" t="inlineStr">
        <is>
          <t>PKG-028</t>
        </is>
      </c>
      <c r="D559" s="34" t="inlineStr">
        <is>
          <t>1.3 Systems</t>
        </is>
      </c>
      <c r="E559" s="34" t="inlineStr">
        <is>
          <t>New</t>
        </is>
      </c>
      <c r="F559" s="14" t="inlineStr"/>
      <c r="G559" s="34" t="inlineStr">
        <is>
          <t>Source assignment -- not individually reviewed</t>
        </is>
      </c>
      <c r="H559" s="92" t="inlineStr">
        <is>
          <t>10 EVIDENCE &amp; DECISIONS</t>
        </is>
      </c>
    </row>
    <row r="560" ht="34" customHeight="1">
      <c r="A560" s="34" t="inlineStr">
        <is>
          <t>R1591-v1</t>
        </is>
      </c>
      <c r="B560" s="34" t="inlineStr">
        <is>
          <t>Commercial Package Register</t>
        </is>
      </c>
      <c r="C560" s="34" t="inlineStr">
        <is>
          <t>PKG-029</t>
        </is>
      </c>
      <c r="D560" s="34" t="inlineStr">
        <is>
          <t>1.3 Systems</t>
        </is>
      </c>
      <c r="E560" s="34" t="inlineStr">
        <is>
          <t>New</t>
        </is>
      </c>
      <c r="F560" s="14" t="inlineStr"/>
      <c r="G560" s="34" t="inlineStr">
        <is>
          <t>Source assignment -- not individually reviewed</t>
        </is>
      </c>
      <c r="H560" s="92" t="inlineStr">
        <is>
          <t>10 EVIDENCE &amp; DECISIONS</t>
        </is>
      </c>
    </row>
    <row r="561" ht="34" customHeight="1">
      <c r="A561" s="34" t="inlineStr">
        <is>
          <t>R1592-v1</t>
        </is>
      </c>
      <c r="B561" s="34" t="inlineStr">
        <is>
          <t>Commercial Package Register</t>
        </is>
      </c>
      <c r="C561" s="34" t="inlineStr">
        <is>
          <t>PKG-030</t>
        </is>
      </c>
      <c r="D561" s="34" t="inlineStr">
        <is>
          <t>1.3 Systems</t>
        </is>
      </c>
      <c r="E561" s="34" t="inlineStr">
        <is>
          <t>New</t>
        </is>
      </c>
      <c r="F561" s="14" t="inlineStr"/>
      <c r="G561" s="34" t="inlineStr">
        <is>
          <t>Source assignment -- not individually reviewed</t>
        </is>
      </c>
      <c r="H561" s="92" t="inlineStr">
        <is>
          <t>10 EVIDENCE &amp; DECISIONS</t>
        </is>
      </c>
    </row>
    <row r="562" ht="34" customHeight="1">
      <c r="A562" s="34" t="inlineStr">
        <is>
          <t>R1243-v1</t>
        </is>
      </c>
      <c r="B562" s="34" t="inlineStr">
        <is>
          <t>Cost &amp; Forecast Control Accounts</t>
        </is>
      </c>
      <c r="C562" s="34" t="inlineStr">
        <is>
          <t>CST-03-001</t>
        </is>
      </c>
      <c r="D562" s="34" t="inlineStr">
        <is>
          <t>1.3.1 Systems - Traction Power</t>
        </is>
      </c>
      <c r="E562" s="34" t="inlineStr">
        <is>
          <t>New</t>
        </is>
      </c>
      <c r="F562" s="14" t="inlineStr"/>
      <c r="G562" s="34" t="inlineStr">
        <is>
          <t>Source assignment -- not individually reviewed</t>
        </is>
      </c>
      <c r="H562" s="92" t="inlineStr">
        <is>
          <t>10 EVIDENCE &amp; DECISIONS</t>
        </is>
      </c>
    </row>
    <row r="563" ht="34" customHeight="1">
      <c r="A563" s="34" t="inlineStr">
        <is>
          <t>R1245-v1</t>
        </is>
      </c>
      <c r="B563" s="34" t="inlineStr">
        <is>
          <t>Cost &amp; Forecast Control Accounts</t>
        </is>
      </c>
      <c r="C563" s="34" t="inlineStr">
        <is>
          <t>CST-03-003</t>
        </is>
      </c>
      <c r="D563" s="34" t="inlineStr">
        <is>
          <t>1.3.1 Systems - Traction Power</t>
        </is>
      </c>
      <c r="E563" s="34" t="inlineStr">
        <is>
          <t>New</t>
        </is>
      </c>
      <c r="F563" s="14" t="inlineStr"/>
      <c r="G563" s="34" t="inlineStr">
        <is>
          <t>Source assignment -- not individually reviewed</t>
        </is>
      </c>
      <c r="H563" s="92" t="inlineStr">
        <is>
          <t>10 EVIDENCE &amp; DECISIONS</t>
        </is>
      </c>
    </row>
    <row r="564" ht="34" customHeight="1">
      <c r="A564" s="34" t="inlineStr">
        <is>
          <t>R1247-v1</t>
        </is>
      </c>
      <c r="B564" s="34" t="inlineStr">
        <is>
          <t>Cost &amp; Forecast Control Accounts</t>
        </is>
      </c>
      <c r="C564" s="34" t="inlineStr">
        <is>
          <t>CST-03-005</t>
        </is>
      </c>
      <c r="D564" s="34" t="inlineStr">
        <is>
          <t>1.3.1 Systems - Traction Power</t>
        </is>
      </c>
      <c r="E564" s="34" t="inlineStr">
        <is>
          <t>New</t>
        </is>
      </c>
      <c r="F564" s="14" t="inlineStr"/>
      <c r="G564" s="34" t="inlineStr">
        <is>
          <t>Source assignment -- not individually reviewed</t>
        </is>
      </c>
      <c r="H564" s="92" t="inlineStr">
        <is>
          <t>10 EVIDENCE &amp; DECISIONS</t>
        </is>
      </c>
    </row>
    <row r="565" ht="34" customHeight="1">
      <c r="A565" s="34" t="inlineStr">
        <is>
          <t>R1249-v1</t>
        </is>
      </c>
      <c r="B565" s="34" t="inlineStr">
        <is>
          <t>Cost &amp; Forecast Control Accounts</t>
        </is>
      </c>
      <c r="C565" s="34" t="inlineStr">
        <is>
          <t>CST-03-007</t>
        </is>
      </c>
      <c r="D565" s="34" t="inlineStr">
        <is>
          <t>1.3.1 Systems - Traction Power</t>
        </is>
      </c>
      <c r="E565" s="34" t="inlineStr">
        <is>
          <t>New</t>
        </is>
      </c>
      <c r="F565" s="14" t="inlineStr"/>
      <c r="G565" s="34" t="inlineStr">
        <is>
          <t>Source assignment -- not individually reviewed</t>
        </is>
      </c>
      <c r="H565" s="92" t="inlineStr">
        <is>
          <t>10 EVIDENCE &amp; DECISIONS</t>
        </is>
      </c>
    </row>
    <row r="566" ht="34" customHeight="1">
      <c r="A566" s="34" t="inlineStr">
        <is>
          <t>R1251-v1</t>
        </is>
      </c>
      <c r="B566" s="34" t="inlineStr">
        <is>
          <t>Cost &amp; Forecast Control Accounts</t>
        </is>
      </c>
      <c r="C566" s="34" t="inlineStr">
        <is>
          <t>CST-03-009</t>
        </is>
      </c>
      <c r="D566" s="34" t="inlineStr">
        <is>
          <t>1.3.1 Systems - Traction Power</t>
        </is>
      </c>
      <c r="E566" s="34" t="inlineStr">
        <is>
          <t>New</t>
        </is>
      </c>
      <c r="F566" s="14" t="inlineStr"/>
      <c r="G566" s="34" t="inlineStr">
        <is>
          <t>Source assignment -- not individually reviewed</t>
        </is>
      </c>
      <c r="H566" s="92" t="inlineStr">
        <is>
          <t>10 EVIDENCE &amp; DECISIONS</t>
        </is>
      </c>
    </row>
    <row r="567" ht="34" customHeight="1">
      <c r="A567" s="34" t="inlineStr">
        <is>
          <t>R1253-v1</t>
        </is>
      </c>
      <c r="B567" s="34" t="inlineStr">
        <is>
          <t>Cost &amp; Forecast Control Accounts</t>
        </is>
      </c>
      <c r="C567" s="34" t="inlineStr">
        <is>
          <t>CST-03-011</t>
        </is>
      </c>
      <c r="D567" s="34" t="inlineStr">
        <is>
          <t>1.3.1 Systems - Traction Power</t>
        </is>
      </c>
      <c r="E567" s="34" t="inlineStr">
        <is>
          <t>New</t>
        </is>
      </c>
      <c r="F567" s="14" t="inlineStr"/>
      <c r="G567" s="34" t="inlineStr">
        <is>
          <t>Source assignment -- not individually reviewed</t>
        </is>
      </c>
      <c r="H567" s="92" t="inlineStr">
        <is>
          <t>10 EVIDENCE &amp; DECISIONS</t>
        </is>
      </c>
    </row>
    <row r="568" ht="34" customHeight="1">
      <c r="A568" s="34" t="inlineStr">
        <is>
          <t>R1255-v1</t>
        </is>
      </c>
      <c r="B568" s="34" t="inlineStr">
        <is>
          <t>Cost &amp; Forecast Control Accounts</t>
        </is>
      </c>
      <c r="C568" s="34" t="inlineStr">
        <is>
          <t>CST-03-013</t>
        </is>
      </c>
      <c r="D568" s="34" t="inlineStr">
        <is>
          <t>1.3.1 Systems - Traction Power</t>
        </is>
      </c>
      <c r="E568" s="34" t="inlineStr">
        <is>
          <t>New</t>
        </is>
      </c>
      <c r="F568" s="14" t="inlineStr"/>
      <c r="G568" s="34" t="inlineStr">
        <is>
          <t>Source assignment -- not individually reviewed</t>
        </is>
      </c>
      <c r="H568" s="92" t="inlineStr">
        <is>
          <t>10 EVIDENCE &amp; DECISIONS</t>
        </is>
      </c>
    </row>
    <row r="569" ht="34" customHeight="1">
      <c r="A569" s="34" t="inlineStr">
        <is>
          <t>R1257-v1</t>
        </is>
      </c>
      <c r="B569" s="34" t="inlineStr">
        <is>
          <t>Cost &amp; Forecast Control Accounts</t>
        </is>
      </c>
      <c r="C569" s="34" t="inlineStr">
        <is>
          <t>CST-03-015</t>
        </is>
      </c>
      <c r="D569" s="34" t="inlineStr">
        <is>
          <t>1.3.1 Systems - Traction Power</t>
        </is>
      </c>
      <c r="E569" s="34" t="inlineStr">
        <is>
          <t>New</t>
        </is>
      </c>
      <c r="F569" s="14" t="inlineStr"/>
      <c r="G569" s="34" t="inlineStr">
        <is>
          <t>Source assignment -- not individually reviewed</t>
        </is>
      </c>
      <c r="H569" s="92" t="inlineStr">
        <is>
          <t>10 EVIDENCE &amp; DECISIONS</t>
        </is>
      </c>
    </row>
    <row r="570" ht="34" customHeight="1">
      <c r="A570" s="34" t="inlineStr">
        <is>
          <t>R1259-v1</t>
        </is>
      </c>
      <c r="B570" s="34" t="inlineStr">
        <is>
          <t>Cost &amp; Forecast Control Accounts</t>
        </is>
      </c>
      <c r="C570" s="34" t="inlineStr">
        <is>
          <t>CST-03-017</t>
        </is>
      </c>
      <c r="D570" s="34" t="inlineStr">
        <is>
          <t>1.3.1 Systems - Traction Power</t>
        </is>
      </c>
      <c r="E570" s="34" t="inlineStr">
        <is>
          <t>New</t>
        </is>
      </c>
      <c r="F570" s="14" t="inlineStr"/>
      <c r="G570" s="34" t="inlineStr">
        <is>
          <t>Source assignment -- not individually reviewed</t>
        </is>
      </c>
      <c r="H570" s="92" t="inlineStr">
        <is>
          <t>10 EVIDENCE &amp; DECISIONS</t>
        </is>
      </c>
    </row>
    <row r="571" ht="34" customHeight="1">
      <c r="A571" s="34" t="inlineStr">
        <is>
          <t>R1261-v1</t>
        </is>
      </c>
      <c r="B571" s="34" t="inlineStr">
        <is>
          <t>Cost &amp; Forecast Control Accounts</t>
        </is>
      </c>
      <c r="C571" s="34" t="inlineStr">
        <is>
          <t>CST-03-019</t>
        </is>
      </c>
      <c r="D571" s="34" t="inlineStr">
        <is>
          <t>1.3.1 Systems - Traction Power</t>
        </is>
      </c>
      <c r="E571" s="34" t="inlineStr">
        <is>
          <t>New</t>
        </is>
      </c>
      <c r="F571" s="14" t="inlineStr"/>
      <c r="G571" s="34" t="inlineStr">
        <is>
          <t>Source assignment -- not individually reviewed</t>
        </is>
      </c>
      <c r="H571" s="92" t="inlineStr">
        <is>
          <t>10 EVIDENCE &amp; DECISIONS</t>
        </is>
      </c>
    </row>
    <row r="572" ht="34" customHeight="1">
      <c r="A572" s="34" t="inlineStr">
        <is>
          <t>R1263-v1</t>
        </is>
      </c>
      <c r="B572" s="34" t="inlineStr">
        <is>
          <t>Cost &amp; Forecast Control Accounts</t>
        </is>
      </c>
      <c r="C572" s="34" t="inlineStr">
        <is>
          <t>CST-03-021</t>
        </is>
      </c>
      <c r="D572" s="34" t="inlineStr">
        <is>
          <t>1.3.1 Systems - Traction Power</t>
        </is>
      </c>
      <c r="E572" s="34" t="inlineStr">
        <is>
          <t>New</t>
        </is>
      </c>
      <c r="F572" s="14" t="inlineStr"/>
      <c r="G572" s="34" t="inlineStr">
        <is>
          <t>Source assignment -- not individually reviewed</t>
        </is>
      </c>
      <c r="H572" s="92" t="inlineStr">
        <is>
          <t>10 EVIDENCE &amp; DECISIONS</t>
        </is>
      </c>
    </row>
    <row r="573" ht="34" customHeight="1">
      <c r="A573" s="34" t="inlineStr">
        <is>
          <t>R1265-v1</t>
        </is>
      </c>
      <c r="B573" s="34" t="inlineStr">
        <is>
          <t>Cost &amp; Forecast Control Accounts</t>
        </is>
      </c>
      <c r="C573" s="34" t="inlineStr">
        <is>
          <t>CST-03-023</t>
        </is>
      </c>
      <c r="D573" s="34" t="inlineStr">
        <is>
          <t>1.3.1 Systems - Traction Power</t>
        </is>
      </c>
      <c r="E573" s="34" t="inlineStr">
        <is>
          <t>New</t>
        </is>
      </c>
      <c r="F573" s="14" t="inlineStr"/>
      <c r="G573" s="34" t="inlineStr">
        <is>
          <t>Source assignment -- not individually reviewed</t>
        </is>
      </c>
      <c r="H573" s="92" t="inlineStr">
        <is>
          <t>10 EVIDENCE &amp; DECISIONS</t>
        </is>
      </c>
    </row>
    <row r="574" ht="34" customHeight="1">
      <c r="A574" s="34" t="inlineStr">
        <is>
          <t>R1267-v1</t>
        </is>
      </c>
      <c r="B574" s="34" t="inlineStr">
        <is>
          <t>Cost &amp; Forecast Control Accounts</t>
        </is>
      </c>
      <c r="C574" s="34" t="inlineStr">
        <is>
          <t>CST-03-025</t>
        </is>
      </c>
      <c r="D574" s="34" t="inlineStr">
        <is>
          <t>1.3.1 Systems - Traction Power</t>
        </is>
      </c>
      <c r="E574" s="34" t="inlineStr">
        <is>
          <t>New</t>
        </is>
      </c>
      <c r="F574" s="14" t="inlineStr"/>
      <c r="G574" s="34" t="inlineStr">
        <is>
          <t>Source assignment -- not individually reviewed</t>
        </is>
      </c>
      <c r="H574" s="92" t="inlineStr">
        <is>
          <t>10 EVIDENCE &amp; DECISIONS</t>
        </is>
      </c>
    </row>
    <row r="575" ht="34" customHeight="1">
      <c r="A575" s="34" t="inlineStr">
        <is>
          <t>R1269-v1</t>
        </is>
      </c>
      <c r="B575" s="34" t="inlineStr">
        <is>
          <t>Cost &amp; Forecast Control Accounts</t>
        </is>
      </c>
      <c r="C575" s="34" t="inlineStr">
        <is>
          <t>CST-03-027</t>
        </is>
      </c>
      <c r="D575" s="34" t="inlineStr">
        <is>
          <t>1.3.1 Systems - Traction Power</t>
        </is>
      </c>
      <c r="E575" s="34" t="inlineStr">
        <is>
          <t>New</t>
        </is>
      </c>
      <c r="F575" s="14" t="inlineStr"/>
      <c r="G575" s="34" t="inlineStr">
        <is>
          <t>Source assignment -- not individually reviewed</t>
        </is>
      </c>
      <c r="H575" s="92" t="inlineStr">
        <is>
          <t>10 EVIDENCE &amp; DECISIONS</t>
        </is>
      </c>
    </row>
    <row r="576" ht="34" customHeight="1">
      <c r="A576" s="34" t="inlineStr">
        <is>
          <t>R1271-v1</t>
        </is>
      </c>
      <c r="B576" s="34" t="inlineStr">
        <is>
          <t>Cost &amp; Forecast Control Accounts</t>
        </is>
      </c>
      <c r="C576" s="34" t="inlineStr">
        <is>
          <t>CST-03-029</t>
        </is>
      </c>
      <c r="D576" s="34" t="inlineStr">
        <is>
          <t>1.3.1 Systems - Traction Power</t>
        </is>
      </c>
      <c r="E576" s="34" t="inlineStr">
        <is>
          <t>New</t>
        </is>
      </c>
      <c r="F576" s="14" t="inlineStr"/>
      <c r="G576" s="34" t="inlineStr">
        <is>
          <t>Source assignment -- not individually reviewed</t>
        </is>
      </c>
      <c r="H576" s="92" t="inlineStr">
        <is>
          <t>10 EVIDENCE &amp; DECISIONS</t>
        </is>
      </c>
    </row>
    <row r="577" ht="34" customHeight="1">
      <c r="A577" s="34" t="inlineStr">
        <is>
          <t>R1273-v1</t>
        </is>
      </c>
      <c r="B577" s="34" t="inlineStr">
        <is>
          <t>Cost &amp; Forecast Control Accounts</t>
        </is>
      </c>
      <c r="C577" s="34" t="inlineStr">
        <is>
          <t>CST-03-031</t>
        </is>
      </c>
      <c r="D577" s="34" t="inlineStr">
        <is>
          <t>1.3.1 Systems - Traction Power</t>
        </is>
      </c>
      <c r="E577" s="34" t="inlineStr">
        <is>
          <t>New</t>
        </is>
      </c>
      <c r="F577" s="14" t="inlineStr"/>
      <c r="G577" s="34" t="inlineStr">
        <is>
          <t>Source assignment -- not individually reviewed</t>
        </is>
      </c>
      <c r="H577" s="92" t="inlineStr">
        <is>
          <t>10 EVIDENCE &amp; DECISIONS</t>
        </is>
      </c>
    </row>
    <row r="578" ht="34" customHeight="1">
      <c r="A578" s="34" t="inlineStr">
        <is>
          <t>R1275-v1</t>
        </is>
      </c>
      <c r="B578" s="34" t="inlineStr">
        <is>
          <t>Cost &amp; Forecast Control Accounts</t>
        </is>
      </c>
      <c r="C578" s="34" t="inlineStr">
        <is>
          <t>CST-03-033</t>
        </is>
      </c>
      <c r="D578" s="34" t="inlineStr">
        <is>
          <t>1.3.1 Systems - Traction Power</t>
        </is>
      </c>
      <c r="E578" s="34" t="inlineStr">
        <is>
          <t>New</t>
        </is>
      </c>
      <c r="F578" s="14" t="inlineStr"/>
      <c r="G578" s="34" t="inlineStr">
        <is>
          <t>Source assignment -- not individually reviewed</t>
        </is>
      </c>
      <c r="H578" s="92" t="inlineStr">
        <is>
          <t>10 EVIDENCE &amp; DECISIONS</t>
        </is>
      </c>
    </row>
    <row r="579" ht="34" customHeight="1">
      <c r="A579" s="34" t="inlineStr">
        <is>
          <t>R1277-v1</t>
        </is>
      </c>
      <c r="B579" s="34" t="inlineStr">
        <is>
          <t>Cost &amp; Forecast Control Accounts</t>
        </is>
      </c>
      <c r="C579" s="34" t="inlineStr">
        <is>
          <t>CST-03-035</t>
        </is>
      </c>
      <c r="D579" s="34" t="inlineStr">
        <is>
          <t>1.3.1 Systems - Traction Power</t>
        </is>
      </c>
      <c r="E579" s="34" t="inlineStr">
        <is>
          <t>New</t>
        </is>
      </c>
      <c r="F579" s="14" t="inlineStr"/>
      <c r="G579" s="34" t="inlineStr">
        <is>
          <t>Source assignment -- not individually reviewed</t>
        </is>
      </c>
      <c r="H579" s="92" t="inlineStr">
        <is>
          <t>10 EVIDENCE &amp; DECISIONS</t>
        </is>
      </c>
    </row>
    <row r="580" ht="34" customHeight="1">
      <c r="A580" s="34" t="inlineStr">
        <is>
          <t>R1279-v1</t>
        </is>
      </c>
      <c r="B580" s="34" t="inlineStr">
        <is>
          <t>Cost &amp; Forecast Control Accounts</t>
        </is>
      </c>
      <c r="C580" s="34" t="inlineStr">
        <is>
          <t>CST-03-037</t>
        </is>
      </c>
      <c r="D580" s="34" t="inlineStr">
        <is>
          <t>1.3.1 Systems - Traction Power</t>
        </is>
      </c>
      <c r="E580" s="34" t="inlineStr">
        <is>
          <t>New</t>
        </is>
      </c>
      <c r="F580" s="14" t="inlineStr"/>
      <c r="G580" s="34" t="inlineStr">
        <is>
          <t>Source assignment -- not individually reviewed</t>
        </is>
      </c>
      <c r="H580" s="92" t="inlineStr">
        <is>
          <t>10 EVIDENCE &amp; DECISIONS</t>
        </is>
      </c>
    </row>
    <row r="581" ht="34" customHeight="1">
      <c r="A581" s="34" t="inlineStr">
        <is>
          <t>R1281-v1</t>
        </is>
      </c>
      <c r="B581" s="34" t="inlineStr">
        <is>
          <t>Cost &amp; Forecast Control Accounts</t>
        </is>
      </c>
      <c r="C581" s="34" t="inlineStr">
        <is>
          <t>CST-03-039</t>
        </is>
      </c>
      <c r="D581" s="34" t="inlineStr">
        <is>
          <t>1.3.1 Systems - Traction Power</t>
        </is>
      </c>
      <c r="E581" s="34" t="inlineStr">
        <is>
          <t>New</t>
        </is>
      </c>
      <c r="F581" s="14" t="inlineStr"/>
      <c r="G581" s="34" t="inlineStr">
        <is>
          <t>Source assignment -- not individually reviewed</t>
        </is>
      </c>
      <c r="H581" s="92" t="inlineStr">
        <is>
          <t>10 EVIDENCE &amp; DECISIONS</t>
        </is>
      </c>
    </row>
    <row r="582" ht="34" customHeight="1">
      <c r="A582" s="34" t="inlineStr">
        <is>
          <t>R1283-v1</t>
        </is>
      </c>
      <c r="B582" s="34" t="inlineStr">
        <is>
          <t>Cost &amp; Forecast Control Accounts</t>
        </is>
      </c>
      <c r="C582" s="34" t="inlineStr">
        <is>
          <t>CST-03-041</t>
        </is>
      </c>
      <c r="D582" s="34" t="inlineStr">
        <is>
          <t>1.3.1 Systems - Traction Power</t>
        </is>
      </c>
      <c r="E582" s="34" t="inlineStr">
        <is>
          <t>New</t>
        </is>
      </c>
      <c r="F582" s="14" t="inlineStr"/>
      <c r="G582" s="34" t="inlineStr">
        <is>
          <t>Source assignment -- not individually reviewed</t>
        </is>
      </c>
      <c r="H582" s="92" t="inlineStr">
        <is>
          <t>10 EVIDENCE &amp; DECISIONS</t>
        </is>
      </c>
    </row>
    <row r="583" ht="34" customHeight="1">
      <c r="A583" s="34" t="inlineStr">
        <is>
          <t>R1285-v1</t>
        </is>
      </c>
      <c r="B583" s="34" t="inlineStr">
        <is>
          <t>Cost &amp; Forecast Control Accounts</t>
        </is>
      </c>
      <c r="C583" s="34" t="inlineStr">
        <is>
          <t>CST-03-043</t>
        </is>
      </c>
      <c r="D583" s="34" t="inlineStr">
        <is>
          <t>1.3.1 Systems - Traction Power</t>
        </is>
      </c>
      <c r="E583" s="34" t="inlineStr">
        <is>
          <t>New</t>
        </is>
      </c>
      <c r="F583" s="14" t="inlineStr"/>
      <c r="G583" s="34" t="inlineStr">
        <is>
          <t>Source assignment -- not individually reviewed</t>
        </is>
      </c>
      <c r="H583" s="92" t="inlineStr">
        <is>
          <t>10 EVIDENCE &amp; DECISIONS</t>
        </is>
      </c>
    </row>
    <row r="584" ht="34" customHeight="1">
      <c r="A584" s="34" t="inlineStr">
        <is>
          <t>R1287-v1</t>
        </is>
      </c>
      <c r="B584" s="34" t="inlineStr">
        <is>
          <t>Cost &amp; Forecast Control Accounts</t>
        </is>
      </c>
      <c r="C584" s="34" t="inlineStr">
        <is>
          <t>CST-03-045</t>
        </is>
      </c>
      <c r="D584" s="34" t="inlineStr">
        <is>
          <t>1.3.1 Systems - Traction Power</t>
        </is>
      </c>
      <c r="E584" s="34" t="inlineStr">
        <is>
          <t>New</t>
        </is>
      </c>
      <c r="F584" s="14" t="inlineStr"/>
      <c r="G584" s="34" t="inlineStr">
        <is>
          <t>Source assignment -- not individually reviewed</t>
        </is>
      </c>
      <c r="H584" s="92" t="inlineStr">
        <is>
          <t>10 EVIDENCE &amp; DECISIONS</t>
        </is>
      </c>
    </row>
    <row r="585" ht="34" customHeight="1">
      <c r="A585" s="34" t="inlineStr">
        <is>
          <t>R1289-v1</t>
        </is>
      </c>
      <c r="B585" s="34" t="inlineStr">
        <is>
          <t>Cost &amp; Forecast Control Accounts</t>
        </is>
      </c>
      <c r="C585" s="34" t="inlineStr">
        <is>
          <t>CST-03-047</t>
        </is>
      </c>
      <c r="D585" s="34" t="inlineStr">
        <is>
          <t>1.3.1 Systems - Traction Power</t>
        </is>
      </c>
      <c r="E585" s="34" t="inlineStr">
        <is>
          <t>New</t>
        </is>
      </c>
      <c r="F585" s="14" t="inlineStr"/>
      <c r="G585" s="34" t="inlineStr">
        <is>
          <t>Source assignment -- not individually reviewed</t>
        </is>
      </c>
      <c r="H585" s="92" t="inlineStr">
        <is>
          <t>10 EVIDENCE &amp; DECISIONS</t>
        </is>
      </c>
    </row>
    <row r="586" ht="34" customHeight="1">
      <c r="A586" s="34" t="inlineStr">
        <is>
          <t>R1291-v1</t>
        </is>
      </c>
      <c r="B586" s="34" t="inlineStr">
        <is>
          <t>Cost &amp; Forecast Control Accounts</t>
        </is>
      </c>
      <c r="C586" s="34" t="inlineStr">
        <is>
          <t>CST-03-049</t>
        </is>
      </c>
      <c r="D586" s="34" t="inlineStr">
        <is>
          <t>1.3.1 Systems - Traction Power</t>
        </is>
      </c>
      <c r="E586" s="34" t="inlineStr">
        <is>
          <t>New</t>
        </is>
      </c>
      <c r="F586" s="14" t="inlineStr"/>
      <c r="G586" s="34" t="inlineStr">
        <is>
          <t>Source assignment -- not individually reviewed</t>
        </is>
      </c>
      <c r="H586" s="92" t="inlineStr">
        <is>
          <t>10 EVIDENCE &amp; DECISIONS</t>
        </is>
      </c>
    </row>
    <row r="587" ht="34" customHeight="1">
      <c r="A587" s="34" t="inlineStr">
        <is>
          <t>R1293-v1</t>
        </is>
      </c>
      <c r="B587" s="34" t="inlineStr">
        <is>
          <t>Cost &amp; Forecast Control Accounts</t>
        </is>
      </c>
      <c r="C587" s="34" t="inlineStr">
        <is>
          <t>CST-03-051</t>
        </is>
      </c>
      <c r="D587" s="34" t="inlineStr">
        <is>
          <t>1.3.1 Systems - Traction Power</t>
        </is>
      </c>
      <c r="E587" s="34" t="inlineStr">
        <is>
          <t>New</t>
        </is>
      </c>
      <c r="F587" s="14" t="inlineStr"/>
      <c r="G587" s="34" t="inlineStr">
        <is>
          <t>Source assignment -- not individually reviewed</t>
        </is>
      </c>
      <c r="H587" s="92" t="inlineStr">
        <is>
          <t>10 EVIDENCE &amp; DECISIONS</t>
        </is>
      </c>
    </row>
    <row r="588" ht="34" customHeight="1">
      <c r="A588" s="34" t="inlineStr">
        <is>
          <t>R1295-v1</t>
        </is>
      </c>
      <c r="B588" s="34" t="inlineStr">
        <is>
          <t>Cost &amp; Forecast Control Accounts</t>
        </is>
      </c>
      <c r="C588" s="34" t="inlineStr">
        <is>
          <t>CST-03-053</t>
        </is>
      </c>
      <c r="D588" s="34" t="inlineStr">
        <is>
          <t>1.3.1 Systems - Traction Power</t>
        </is>
      </c>
      <c r="E588" s="34" t="inlineStr">
        <is>
          <t>New</t>
        </is>
      </c>
      <c r="F588" s="14" t="inlineStr"/>
      <c r="G588" s="34" t="inlineStr">
        <is>
          <t>Source assignment -- not individually reviewed</t>
        </is>
      </c>
      <c r="H588" s="92" t="inlineStr">
        <is>
          <t>10 EVIDENCE &amp; DECISIONS</t>
        </is>
      </c>
    </row>
    <row r="589" ht="34" customHeight="1">
      <c r="A589" s="34" t="inlineStr">
        <is>
          <t>R1297-v1</t>
        </is>
      </c>
      <c r="B589" s="34" t="inlineStr">
        <is>
          <t>Cost &amp; Forecast Control Accounts</t>
        </is>
      </c>
      <c r="C589" s="34" t="inlineStr">
        <is>
          <t>CST-03-055</t>
        </is>
      </c>
      <c r="D589" s="34" t="inlineStr">
        <is>
          <t>1.3.1 Systems - Traction Power</t>
        </is>
      </c>
      <c r="E589" s="34" t="inlineStr">
        <is>
          <t>New</t>
        </is>
      </c>
      <c r="F589" s="14" t="inlineStr"/>
      <c r="G589" s="34" t="inlineStr">
        <is>
          <t>Source assignment -- not individually reviewed</t>
        </is>
      </c>
      <c r="H589" s="92" t="inlineStr">
        <is>
          <t>10 EVIDENCE &amp; DECISIONS</t>
        </is>
      </c>
    </row>
    <row r="590" ht="34" customHeight="1">
      <c r="A590" s="34" t="inlineStr">
        <is>
          <t>R1299-v1</t>
        </is>
      </c>
      <c r="B590" s="34" t="inlineStr">
        <is>
          <t>Cost &amp; Forecast Control Accounts</t>
        </is>
      </c>
      <c r="C590" s="34" t="inlineStr">
        <is>
          <t>CST-03-057</t>
        </is>
      </c>
      <c r="D590" s="34" t="inlineStr">
        <is>
          <t>1.3.1 Systems - Traction Power</t>
        </is>
      </c>
      <c r="E590" s="34" t="inlineStr">
        <is>
          <t>New</t>
        </is>
      </c>
      <c r="F590" s="14" t="inlineStr"/>
      <c r="G590" s="34" t="inlineStr">
        <is>
          <t>Source assignment -- not individually reviewed</t>
        </is>
      </c>
      <c r="H590" s="92" t="inlineStr">
        <is>
          <t>10 EVIDENCE &amp; DECISIONS</t>
        </is>
      </c>
    </row>
    <row r="591" ht="34" customHeight="1">
      <c r="A591" s="34" t="inlineStr">
        <is>
          <t>R1301-v1</t>
        </is>
      </c>
      <c r="B591" s="34" t="inlineStr">
        <is>
          <t>Cost &amp; Forecast Control Accounts</t>
        </is>
      </c>
      <c r="C591" s="34" t="inlineStr">
        <is>
          <t>CST-03-059</t>
        </is>
      </c>
      <c r="D591" s="34" t="inlineStr">
        <is>
          <t>1.3.1 Systems - Traction Power</t>
        </is>
      </c>
      <c r="E591" s="34" t="inlineStr">
        <is>
          <t>New</t>
        </is>
      </c>
      <c r="F591" s="14" t="inlineStr"/>
      <c r="G591" s="34" t="inlineStr">
        <is>
          <t>Source assignment -- not individually reviewed</t>
        </is>
      </c>
      <c r="H591" s="92" t="inlineStr">
        <is>
          <t>10 EVIDENCE &amp; DECISIONS</t>
        </is>
      </c>
    </row>
    <row r="592" ht="34" customHeight="1">
      <c r="A592" s="34" t="inlineStr">
        <is>
          <t>R1303-v1</t>
        </is>
      </c>
      <c r="B592" s="34" t="inlineStr">
        <is>
          <t>Cost &amp; Forecast Control Accounts</t>
        </is>
      </c>
      <c r="C592" s="34" t="inlineStr">
        <is>
          <t>CST-03-061</t>
        </is>
      </c>
      <c r="D592" s="34" t="inlineStr">
        <is>
          <t>1.3.1 Systems - Traction Power</t>
        </is>
      </c>
      <c r="E592" s="34" t="inlineStr">
        <is>
          <t>New</t>
        </is>
      </c>
      <c r="F592" s="14" t="inlineStr"/>
      <c r="G592" s="34" t="inlineStr">
        <is>
          <t>Source assignment -- not individually reviewed</t>
        </is>
      </c>
      <c r="H592" s="92" t="inlineStr">
        <is>
          <t>10 EVIDENCE &amp; DECISIONS</t>
        </is>
      </c>
    </row>
    <row r="593" ht="34" customHeight="1">
      <c r="A593" s="34" t="inlineStr">
        <is>
          <t>R1305-v1</t>
        </is>
      </c>
      <c r="B593" s="34" t="inlineStr">
        <is>
          <t>Cost &amp; Forecast Control Accounts</t>
        </is>
      </c>
      <c r="C593" s="34" t="inlineStr">
        <is>
          <t>CST-03-063</t>
        </is>
      </c>
      <c r="D593" s="34" t="inlineStr">
        <is>
          <t>1.3.1 Systems - Traction Power</t>
        </is>
      </c>
      <c r="E593" s="34" t="inlineStr">
        <is>
          <t>New</t>
        </is>
      </c>
      <c r="F593" s="14" t="inlineStr"/>
      <c r="G593" s="34" t="inlineStr">
        <is>
          <t>Source assignment -- not individually reviewed</t>
        </is>
      </c>
      <c r="H593" s="92" t="inlineStr">
        <is>
          <t>10 EVIDENCE &amp; DECISIONS</t>
        </is>
      </c>
    </row>
    <row r="594" ht="34" customHeight="1">
      <c r="A594" s="34" t="inlineStr">
        <is>
          <t>R1307-v1</t>
        </is>
      </c>
      <c r="B594" s="34" t="inlineStr">
        <is>
          <t>Cost &amp; Forecast Control Accounts</t>
        </is>
      </c>
      <c r="C594" s="34" t="inlineStr">
        <is>
          <t>CST-03-065</t>
        </is>
      </c>
      <c r="D594" s="34" t="inlineStr">
        <is>
          <t>1.3.1 Systems - Traction Power</t>
        </is>
      </c>
      <c r="E594" s="34" t="inlineStr">
        <is>
          <t>New</t>
        </is>
      </c>
      <c r="F594" s="14" t="inlineStr"/>
      <c r="G594" s="34" t="inlineStr">
        <is>
          <t>Source assignment -- not individually reviewed</t>
        </is>
      </c>
      <c r="H594" s="92" t="inlineStr">
        <is>
          <t>10 EVIDENCE &amp; DECISIONS</t>
        </is>
      </c>
    </row>
    <row r="595" ht="34" customHeight="1">
      <c r="A595" s="34" t="inlineStr">
        <is>
          <t>R1309-v1</t>
        </is>
      </c>
      <c r="B595" s="34" t="inlineStr">
        <is>
          <t>Cost &amp; Forecast Control Accounts</t>
        </is>
      </c>
      <c r="C595" s="34" t="inlineStr">
        <is>
          <t>CST-03-067</t>
        </is>
      </c>
      <c r="D595" s="34" t="inlineStr">
        <is>
          <t>1.3.1 Systems - Traction Power</t>
        </is>
      </c>
      <c r="E595" s="34" t="inlineStr">
        <is>
          <t>New</t>
        </is>
      </c>
      <c r="F595" s="14" t="inlineStr"/>
      <c r="G595" s="34" t="inlineStr">
        <is>
          <t>Source assignment -- not individually reviewed</t>
        </is>
      </c>
      <c r="H595" s="92" t="inlineStr">
        <is>
          <t>10 EVIDENCE &amp; DECISIONS</t>
        </is>
      </c>
    </row>
    <row r="596" ht="34" customHeight="1">
      <c r="A596" s="34" t="inlineStr">
        <is>
          <t>R1311-v1</t>
        </is>
      </c>
      <c r="B596" s="34" t="inlineStr">
        <is>
          <t>Cost &amp; Forecast Control Accounts</t>
        </is>
      </c>
      <c r="C596" s="34" t="inlineStr">
        <is>
          <t>CST-03-069</t>
        </is>
      </c>
      <c r="D596" s="34" t="inlineStr">
        <is>
          <t>1.3.1 Systems - Traction Power</t>
        </is>
      </c>
      <c r="E596" s="34" t="inlineStr">
        <is>
          <t>New</t>
        </is>
      </c>
      <c r="F596" s="14" t="inlineStr"/>
      <c r="G596" s="34" t="inlineStr">
        <is>
          <t>Source assignment -- not individually reviewed</t>
        </is>
      </c>
      <c r="H596" s="92" t="inlineStr">
        <is>
          <t>10 EVIDENCE &amp; DECISIONS</t>
        </is>
      </c>
    </row>
    <row r="597" ht="34" customHeight="1">
      <c r="A597" s="34" t="inlineStr">
        <is>
          <t>R1313-v1</t>
        </is>
      </c>
      <c r="B597" s="34" t="inlineStr">
        <is>
          <t>Cost &amp; Forecast Control Accounts</t>
        </is>
      </c>
      <c r="C597" s="34" t="inlineStr">
        <is>
          <t>CST-03-071</t>
        </is>
      </c>
      <c r="D597" s="34" t="inlineStr">
        <is>
          <t>1.3.1 Systems - Traction Power</t>
        </is>
      </c>
      <c r="E597" s="34" t="inlineStr">
        <is>
          <t>New</t>
        </is>
      </c>
      <c r="F597" s="14" t="inlineStr"/>
      <c r="G597" s="34" t="inlineStr">
        <is>
          <t>Source assignment -- not individually reviewed</t>
        </is>
      </c>
      <c r="H597" s="92" t="inlineStr">
        <is>
          <t>10 EVIDENCE &amp; DECISIONS</t>
        </is>
      </c>
    </row>
    <row r="598" ht="34" customHeight="1">
      <c r="A598" s="34" t="inlineStr">
        <is>
          <t>R1315-v1</t>
        </is>
      </c>
      <c r="B598" s="34" t="inlineStr">
        <is>
          <t>Cost &amp; Forecast Control Accounts</t>
        </is>
      </c>
      <c r="C598" s="34" t="inlineStr">
        <is>
          <t>CST-03-073</t>
        </is>
      </c>
      <c r="D598" s="34" t="inlineStr">
        <is>
          <t>1.3.1 Systems - Traction Power</t>
        </is>
      </c>
      <c r="E598" s="34" t="inlineStr">
        <is>
          <t>New</t>
        </is>
      </c>
      <c r="F598" s="14" t="inlineStr"/>
      <c r="G598" s="34" t="inlineStr">
        <is>
          <t>Source assignment -- not individually reviewed</t>
        </is>
      </c>
      <c r="H598" s="92" t="inlineStr">
        <is>
          <t>10 EVIDENCE &amp; DECISIONS</t>
        </is>
      </c>
    </row>
    <row r="599" ht="34" customHeight="1">
      <c r="A599" s="34" t="inlineStr">
        <is>
          <t>R1317-v1</t>
        </is>
      </c>
      <c r="B599" s="34" t="inlineStr">
        <is>
          <t>Cost &amp; Forecast Control Accounts</t>
        </is>
      </c>
      <c r="C599" s="34" t="inlineStr">
        <is>
          <t>CST-03-075</t>
        </is>
      </c>
      <c r="D599" s="34" t="inlineStr">
        <is>
          <t>1.3.1 Systems - Traction Power</t>
        </is>
      </c>
      <c r="E599" s="34" t="inlineStr">
        <is>
          <t>New</t>
        </is>
      </c>
      <c r="F599" s="14" t="inlineStr"/>
      <c r="G599" s="34" t="inlineStr">
        <is>
          <t>Source assignment -- not individually reviewed</t>
        </is>
      </c>
      <c r="H599" s="92" t="inlineStr">
        <is>
          <t>10 EVIDENCE &amp; DECISIONS</t>
        </is>
      </c>
    </row>
    <row r="600" ht="34" customHeight="1">
      <c r="A600" s="34" t="inlineStr">
        <is>
          <t>R1319-v1</t>
        </is>
      </c>
      <c r="B600" s="34" t="inlineStr">
        <is>
          <t>Cost &amp; Forecast Control Accounts</t>
        </is>
      </c>
      <c r="C600" s="34" t="inlineStr">
        <is>
          <t>CST-03-077</t>
        </is>
      </c>
      <c r="D600" s="34" t="inlineStr">
        <is>
          <t>1.3.1 Systems - Traction Power</t>
        </is>
      </c>
      <c r="E600" s="34" t="inlineStr">
        <is>
          <t>New</t>
        </is>
      </c>
      <c r="F600" s="14" t="inlineStr"/>
      <c r="G600" s="34" t="inlineStr">
        <is>
          <t>Source assignment -- not individually reviewed</t>
        </is>
      </c>
      <c r="H600" s="92" t="inlineStr">
        <is>
          <t>10 EVIDENCE &amp; DECISIONS</t>
        </is>
      </c>
    </row>
    <row r="601" ht="34" customHeight="1">
      <c r="A601" s="34" t="inlineStr">
        <is>
          <t>R1321-v1</t>
        </is>
      </c>
      <c r="B601" s="34" t="inlineStr">
        <is>
          <t>Cost &amp; Forecast Control Accounts</t>
        </is>
      </c>
      <c r="C601" s="34" t="inlineStr">
        <is>
          <t>CST-03-079</t>
        </is>
      </c>
      <c r="D601" s="34" t="inlineStr">
        <is>
          <t>1.3.1 Systems - Traction Power</t>
        </is>
      </c>
      <c r="E601" s="34" t="inlineStr">
        <is>
          <t>New</t>
        </is>
      </c>
      <c r="F601" s="14" t="inlineStr"/>
      <c r="G601" s="34" t="inlineStr">
        <is>
          <t>Source assignment -- not individually reviewed</t>
        </is>
      </c>
      <c r="H601" s="92" t="inlineStr">
        <is>
          <t>10 EVIDENCE &amp; DECISIONS</t>
        </is>
      </c>
    </row>
    <row r="602" ht="34" customHeight="1">
      <c r="A602" s="34" t="inlineStr">
        <is>
          <t>R361-v1</t>
        </is>
      </c>
      <c r="B602" s="34" t="inlineStr">
        <is>
          <t>Contractor Programme</t>
        </is>
      </c>
      <c r="C602" s="34" t="inlineStr">
        <is>
          <t>SCH-03-001</t>
        </is>
      </c>
      <c r="D602" s="34" t="inlineStr">
        <is>
          <t>1.3.1 Systems - Traction Power</t>
        </is>
      </c>
      <c r="E602" s="34" t="inlineStr">
        <is>
          <t>New</t>
        </is>
      </c>
      <c r="F602" s="14" t="inlineStr"/>
      <c r="G602" s="34" t="inlineStr">
        <is>
          <t>Source assignment -- not individually reviewed</t>
        </is>
      </c>
      <c r="H602" s="92" t="inlineStr">
        <is>
          <t>10 EVIDENCE &amp; DECISIONS</t>
        </is>
      </c>
    </row>
    <row r="603" ht="34" customHeight="1">
      <c r="A603" s="34" t="inlineStr">
        <is>
          <t>R362-v1</t>
        </is>
      </c>
      <c r="B603" s="34" t="inlineStr">
        <is>
          <t>Contractor Programme</t>
        </is>
      </c>
      <c r="C603" s="34" t="inlineStr">
        <is>
          <t>SCH-03-002</t>
        </is>
      </c>
      <c r="D603" s="34" t="inlineStr">
        <is>
          <t>1.3.1 Systems - Traction Power</t>
        </is>
      </c>
      <c r="E603" s="34" t="inlineStr">
        <is>
          <t>New</t>
        </is>
      </c>
      <c r="F603" s="14" t="inlineStr"/>
      <c r="G603" s="34" t="inlineStr">
        <is>
          <t>Source assignment -- not individually reviewed</t>
        </is>
      </c>
      <c r="H603" s="92" t="inlineStr">
        <is>
          <t>10 EVIDENCE &amp; DECISIONS</t>
        </is>
      </c>
    </row>
    <row r="604" ht="34" customHeight="1">
      <c r="A604" s="34" t="inlineStr">
        <is>
          <t>R364-v1</t>
        </is>
      </c>
      <c r="B604" s="34" t="inlineStr">
        <is>
          <t>Contractor Programme</t>
        </is>
      </c>
      <c r="C604" s="34" t="inlineStr">
        <is>
          <t>SCH-03-004</t>
        </is>
      </c>
      <c r="D604" s="34" t="inlineStr">
        <is>
          <t>1.3.1 Systems - Traction Power</t>
        </is>
      </c>
      <c r="E604" s="34" t="inlineStr">
        <is>
          <t>New</t>
        </is>
      </c>
      <c r="F604" s="14" t="inlineStr"/>
      <c r="G604" s="34" t="inlineStr">
        <is>
          <t>Source assignment -- not individually reviewed</t>
        </is>
      </c>
      <c r="H604" s="92" t="inlineStr">
        <is>
          <t>10 EVIDENCE &amp; DECISIONS</t>
        </is>
      </c>
    </row>
    <row r="605" ht="34" customHeight="1">
      <c r="A605" s="34" t="inlineStr">
        <is>
          <t>R365-v1</t>
        </is>
      </c>
      <c r="B605" s="34" t="inlineStr">
        <is>
          <t>Contractor Programme</t>
        </is>
      </c>
      <c r="C605" s="34" t="inlineStr">
        <is>
          <t>SCH-03-005</t>
        </is>
      </c>
      <c r="D605" s="34" t="inlineStr">
        <is>
          <t>1.3.1 Systems - Traction Power</t>
        </is>
      </c>
      <c r="E605" s="34" t="inlineStr">
        <is>
          <t>New</t>
        </is>
      </c>
      <c r="F605" s="14" t="inlineStr"/>
      <c r="G605" s="34" t="inlineStr">
        <is>
          <t>Source assignment -- not individually reviewed</t>
        </is>
      </c>
      <c r="H605" s="92" t="inlineStr">
        <is>
          <t>10 EVIDENCE &amp; DECISIONS</t>
        </is>
      </c>
    </row>
    <row r="606" ht="34" customHeight="1">
      <c r="A606" s="34" t="inlineStr">
        <is>
          <t>R367-v1</t>
        </is>
      </c>
      <c r="B606" s="34" t="inlineStr">
        <is>
          <t>Contractor Programme</t>
        </is>
      </c>
      <c r="C606" s="34" t="inlineStr">
        <is>
          <t>SCH-03-007</t>
        </is>
      </c>
      <c r="D606" s="34" t="inlineStr">
        <is>
          <t>1.3.1 Systems - Traction Power</t>
        </is>
      </c>
      <c r="E606" s="34" t="inlineStr">
        <is>
          <t>New</t>
        </is>
      </c>
      <c r="F606" s="14" t="inlineStr"/>
      <c r="G606" s="34" t="inlineStr">
        <is>
          <t>Source assignment -- not individually reviewed</t>
        </is>
      </c>
      <c r="H606" s="92" t="inlineStr">
        <is>
          <t>10 EVIDENCE &amp; DECISIONS</t>
        </is>
      </c>
    </row>
    <row r="607" ht="34" customHeight="1">
      <c r="A607" s="34" t="inlineStr">
        <is>
          <t>R368-v1</t>
        </is>
      </c>
      <c r="B607" s="34" t="inlineStr">
        <is>
          <t>Contractor Programme</t>
        </is>
      </c>
      <c r="C607" s="34" t="inlineStr">
        <is>
          <t>SCH-03-008</t>
        </is>
      </c>
      <c r="D607" s="34" t="inlineStr">
        <is>
          <t>1.3.1 Systems - Traction Power</t>
        </is>
      </c>
      <c r="E607" s="34" t="inlineStr">
        <is>
          <t>New</t>
        </is>
      </c>
      <c r="F607" s="14" t="inlineStr"/>
      <c r="G607" s="34" t="inlineStr">
        <is>
          <t>Source assignment -- not individually reviewed</t>
        </is>
      </c>
      <c r="H607" s="92" t="inlineStr">
        <is>
          <t>10 EVIDENCE &amp; DECISIONS</t>
        </is>
      </c>
    </row>
    <row r="608" ht="34" customHeight="1">
      <c r="A608" s="34" t="inlineStr">
        <is>
          <t>R370-v1</t>
        </is>
      </c>
      <c r="B608" s="34" t="inlineStr">
        <is>
          <t>Contractor Programme</t>
        </is>
      </c>
      <c r="C608" s="34" t="inlineStr">
        <is>
          <t>SCH-03-010</t>
        </is>
      </c>
      <c r="D608" s="34" t="inlineStr">
        <is>
          <t>1.3.1 Systems - Traction Power</t>
        </is>
      </c>
      <c r="E608" s="34" t="inlineStr">
        <is>
          <t>New</t>
        </is>
      </c>
      <c r="F608" s="14" t="inlineStr"/>
      <c r="G608" s="34" t="inlineStr">
        <is>
          <t>Source assignment -- not individually reviewed</t>
        </is>
      </c>
      <c r="H608" s="92" t="inlineStr">
        <is>
          <t>10 EVIDENCE &amp; DECISIONS</t>
        </is>
      </c>
    </row>
    <row r="609" ht="34" customHeight="1">
      <c r="A609" s="34" t="inlineStr">
        <is>
          <t>R371-v1</t>
        </is>
      </c>
      <c r="B609" s="34" t="inlineStr">
        <is>
          <t>Contractor Programme</t>
        </is>
      </c>
      <c r="C609" s="34" t="inlineStr">
        <is>
          <t>SCH-03-011</t>
        </is>
      </c>
      <c r="D609" s="34" t="inlineStr">
        <is>
          <t>1.3.1 Systems - Traction Power</t>
        </is>
      </c>
      <c r="E609" s="34" t="inlineStr">
        <is>
          <t>New</t>
        </is>
      </c>
      <c r="F609" s="14" t="inlineStr"/>
      <c r="G609" s="34" t="inlineStr">
        <is>
          <t>Source assignment -- not individually reviewed</t>
        </is>
      </c>
      <c r="H609" s="92" t="inlineStr">
        <is>
          <t>10 EVIDENCE &amp; DECISIONS</t>
        </is>
      </c>
    </row>
    <row r="610" ht="34" customHeight="1">
      <c r="A610" s="34" t="inlineStr">
        <is>
          <t>R373-v1</t>
        </is>
      </c>
      <c r="B610" s="34" t="inlineStr">
        <is>
          <t>Contractor Programme</t>
        </is>
      </c>
      <c r="C610" s="34" t="inlineStr">
        <is>
          <t>SCH-03-013</t>
        </is>
      </c>
      <c r="D610" s="34" t="inlineStr">
        <is>
          <t>1.3.1 Systems - Traction Power</t>
        </is>
      </c>
      <c r="E610" s="34" t="inlineStr">
        <is>
          <t>New</t>
        </is>
      </c>
      <c r="F610" s="14" t="inlineStr"/>
      <c r="G610" s="34" t="inlineStr">
        <is>
          <t>Source assignment -- not individually reviewed</t>
        </is>
      </c>
      <c r="H610" s="92" t="inlineStr">
        <is>
          <t>10 EVIDENCE &amp; DECISIONS</t>
        </is>
      </c>
    </row>
    <row r="611" ht="34" customHeight="1">
      <c r="A611" s="34" t="inlineStr">
        <is>
          <t>R374-v1</t>
        </is>
      </c>
      <c r="B611" s="34" t="inlineStr">
        <is>
          <t>Contractor Programme</t>
        </is>
      </c>
      <c r="C611" s="34" t="inlineStr">
        <is>
          <t>SCH-03-014</t>
        </is>
      </c>
      <c r="D611" s="34" t="inlineStr">
        <is>
          <t>1.3.1 Systems - Traction Power</t>
        </is>
      </c>
      <c r="E611" s="34" t="inlineStr">
        <is>
          <t>New</t>
        </is>
      </c>
      <c r="F611" s="14" t="inlineStr"/>
      <c r="G611" s="34" t="inlineStr">
        <is>
          <t>Source assignment -- not individually reviewed</t>
        </is>
      </c>
      <c r="H611" s="92" t="inlineStr">
        <is>
          <t>10 EVIDENCE &amp; DECISIONS</t>
        </is>
      </c>
    </row>
    <row r="612" ht="34" customHeight="1">
      <c r="A612" s="34" t="inlineStr">
        <is>
          <t>R376-v1</t>
        </is>
      </c>
      <c r="B612" s="34" t="inlineStr">
        <is>
          <t>Contractor Programme</t>
        </is>
      </c>
      <c r="C612" s="34" t="inlineStr">
        <is>
          <t>SCH-03-016</t>
        </is>
      </c>
      <c r="D612" s="34" t="inlineStr">
        <is>
          <t>1.3.1 Systems - Traction Power</t>
        </is>
      </c>
      <c r="E612" s="34" t="inlineStr">
        <is>
          <t>New</t>
        </is>
      </c>
      <c r="F612" s="14" t="inlineStr"/>
      <c r="G612" s="34" t="inlineStr">
        <is>
          <t>Source assignment -- not individually reviewed</t>
        </is>
      </c>
      <c r="H612" s="92" t="inlineStr">
        <is>
          <t>10 EVIDENCE &amp; DECISIONS</t>
        </is>
      </c>
    </row>
    <row r="613" ht="34" customHeight="1">
      <c r="A613" s="34" t="inlineStr">
        <is>
          <t>R377-v1</t>
        </is>
      </c>
      <c r="B613" s="34" t="inlineStr">
        <is>
          <t>Contractor Programme</t>
        </is>
      </c>
      <c r="C613" s="34" t="inlineStr">
        <is>
          <t>SCH-03-017</t>
        </is>
      </c>
      <c r="D613" s="34" t="inlineStr">
        <is>
          <t>1.3.1 Systems - Traction Power</t>
        </is>
      </c>
      <c r="E613" s="34" t="inlineStr">
        <is>
          <t>New</t>
        </is>
      </c>
      <c r="F613" s="14" t="inlineStr"/>
      <c r="G613" s="34" t="inlineStr">
        <is>
          <t>Source assignment -- not individually reviewed</t>
        </is>
      </c>
      <c r="H613" s="92" t="inlineStr">
        <is>
          <t>10 EVIDENCE &amp; DECISIONS</t>
        </is>
      </c>
    </row>
    <row r="614" ht="34" customHeight="1">
      <c r="A614" s="34" t="inlineStr">
        <is>
          <t>R379-v1</t>
        </is>
      </c>
      <c r="B614" s="34" t="inlineStr">
        <is>
          <t>Contractor Programme</t>
        </is>
      </c>
      <c r="C614" s="34" t="inlineStr">
        <is>
          <t>SCH-03-019</t>
        </is>
      </c>
      <c r="D614" s="34" t="inlineStr">
        <is>
          <t>1.3.1 Systems - Traction Power</t>
        </is>
      </c>
      <c r="E614" s="34" t="inlineStr">
        <is>
          <t>New</t>
        </is>
      </c>
      <c r="F614" s="14" t="inlineStr"/>
      <c r="G614" s="34" t="inlineStr">
        <is>
          <t>Source assignment -- not individually reviewed</t>
        </is>
      </c>
      <c r="H614" s="92" t="inlineStr">
        <is>
          <t>10 EVIDENCE &amp; DECISIONS</t>
        </is>
      </c>
    </row>
    <row r="615" ht="34" customHeight="1">
      <c r="A615" s="34" t="inlineStr">
        <is>
          <t>R380-v1</t>
        </is>
      </c>
      <c r="B615" s="34" t="inlineStr">
        <is>
          <t>Contractor Programme</t>
        </is>
      </c>
      <c r="C615" s="34" t="inlineStr">
        <is>
          <t>SCH-03-020</t>
        </is>
      </c>
      <c r="D615" s="34" t="inlineStr">
        <is>
          <t>1.3.1 Systems - Traction Power</t>
        </is>
      </c>
      <c r="E615" s="34" t="inlineStr">
        <is>
          <t>New</t>
        </is>
      </c>
      <c r="F615" s="14" t="inlineStr"/>
      <c r="G615" s="34" t="inlineStr">
        <is>
          <t>Source assignment -- not individually reviewed</t>
        </is>
      </c>
      <c r="H615" s="92" t="inlineStr">
        <is>
          <t>10 EVIDENCE &amp; DECISIONS</t>
        </is>
      </c>
    </row>
    <row r="616" ht="34" customHeight="1">
      <c r="A616" s="34" t="inlineStr">
        <is>
          <t>R382-v1</t>
        </is>
      </c>
      <c r="B616" s="34" t="inlineStr">
        <is>
          <t>Contractor Programme</t>
        </is>
      </c>
      <c r="C616" s="34" t="inlineStr">
        <is>
          <t>SCH-03-022</t>
        </is>
      </c>
      <c r="D616" s="34" t="inlineStr">
        <is>
          <t>1.3.1 Systems - Traction Power</t>
        </is>
      </c>
      <c r="E616" s="34" t="inlineStr">
        <is>
          <t>New</t>
        </is>
      </c>
      <c r="F616" s="14" t="inlineStr"/>
      <c r="G616" s="34" t="inlineStr">
        <is>
          <t>Source assignment -- not individually reviewed</t>
        </is>
      </c>
      <c r="H616" s="92" t="inlineStr">
        <is>
          <t>10 EVIDENCE &amp; DECISIONS</t>
        </is>
      </c>
    </row>
    <row r="617" ht="34" customHeight="1">
      <c r="A617" s="34" t="inlineStr">
        <is>
          <t>R383-v1</t>
        </is>
      </c>
      <c r="B617" s="34" t="inlineStr">
        <is>
          <t>Contractor Programme</t>
        </is>
      </c>
      <c r="C617" s="34" t="inlineStr">
        <is>
          <t>SCH-03-023</t>
        </is>
      </c>
      <c r="D617" s="34" t="inlineStr">
        <is>
          <t>1.3.1 Systems - Traction Power</t>
        </is>
      </c>
      <c r="E617" s="34" t="inlineStr">
        <is>
          <t>New</t>
        </is>
      </c>
      <c r="F617" s="14" t="inlineStr"/>
      <c r="G617" s="34" t="inlineStr">
        <is>
          <t>Source assignment -- not individually reviewed</t>
        </is>
      </c>
      <c r="H617" s="92" t="inlineStr">
        <is>
          <t>10 EVIDENCE &amp; DECISIONS</t>
        </is>
      </c>
    </row>
    <row r="618" ht="34" customHeight="1">
      <c r="A618" s="34" t="inlineStr">
        <is>
          <t>R385-v1</t>
        </is>
      </c>
      <c r="B618" s="34" t="inlineStr">
        <is>
          <t>Contractor Programme</t>
        </is>
      </c>
      <c r="C618" s="34" t="inlineStr">
        <is>
          <t>SCH-03-025</t>
        </is>
      </c>
      <c r="D618" s="34" t="inlineStr">
        <is>
          <t>1.3.1 Systems - Traction Power</t>
        </is>
      </c>
      <c r="E618" s="34" t="inlineStr">
        <is>
          <t>New</t>
        </is>
      </c>
      <c r="F618" s="14" t="inlineStr"/>
      <c r="G618" s="34" t="inlineStr">
        <is>
          <t>Source assignment -- not individually reviewed</t>
        </is>
      </c>
      <c r="H618" s="92" t="inlineStr">
        <is>
          <t>10 EVIDENCE &amp; DECISIONS</t>
        </is>
      </c>
    </row>
    <row r="619" ht="34" customHeight="1">
      <c r="A619" s="34" t="inlineStr">
        <is>
          <t>R386-v1</t>
        </is>
      </c>
      <c r="B619" s="34" t="inlineStr">
        <is>
          <t>Contractor Programme</t>
        </is>
      </c>
      <c r="C619" s="34" t="inlineStr">
        <is>
          <t>SCH-03-026</t>
        </is>
      </c>
      <c r="D619" s="34" t="inlineStr">
        <is>
          <t>1.3.1 Systems - Traction Power</t>
        </is>
      </c>
      <c r="E619" s="34" t="inlineStr">
        <is>
          <t>New</t>
        </is>
      </c>
      <c r="F619" s="14" t="inlineStr"/>
      <c r="G619" s="34" t="inlineStr">
        <is>
          <t>Source assignment -- not individually reviewed</t>
        </is>
      </c>
      <c r="H619" s="92" t="inlineStr">
        <is>
          <t>10 EVIDENCE &amp; DECISIONS</t>
        </is>
      </c>
    </row>
    <row r="620" ht="34" customHeight="1">
      <c r="A620" s="34" t="inlineStr">
        <is>
          <t>R388-v1</t>
        </is>
      </c>
      <c r="B620" s="34" t="inlineStr">
        <is>
          <t>Contractor Programme</t>
        </is>
      </c>
      <c r="C620" s="34" t="inlineStr">
        <is>
          <t>SCH-03-028</t>
        </is>
      </c>
      <c r="D620" s="34" t="inlineStr">
        <is>
          <t>1.3.1 Systems - Traction Power</t>
        </is>
      </c>
      <c r="E620" s="34" t="inlineStr">
        <is>
          <t>New</t>
        </is>
      </c>
      <c r="F620" s="14" t="inlineStr"/>
      <c r="G620" s="34" t="inlineStr">
        <is>
          <t>Source assignment -- not individually reviewed</t>
        </is>
      </c>
      <c r="H620" s="92" t="inlineStr">
        <is>
          <t>10 EVIDENCE &amp; DECISIONS</t>
        </is>
      </c>
    </row>
    <row r="621" ht="34" customHeight="1">
      <c r="A621" s="34" t="inlineStr">
        <is>
          <t>R389-v1</t>
        </is>
      </c>
      <c r="B621" s="34" t="inlineStr">
        <is>
          <t>Contractor Programme</t>
        </is>
      </c>
      <c r="C621" s="34" t="inlineStr">
        <is>
          <t>SCH-03-029</t>
        </is>
      </c>
      <c r="D621" s="34" t="inlineStr">
        <is>
          <t>1.3.1 Systems - Traction Power</t>
        </is>
      </c>
      <c r="E621" s="34" t="inlineStr">
        <is>
          <t>New</t>
        </is>
      </c>
      <c r="F621" s="14" t="inlineStr"/>
      <c r="G621" s="34" t="inlineStr">
        <is>
          <t>Source assignment -- not individually reviewed</t>
        </is>
      </c>
      <c r="H621" s="92" t="inlineStr">
        <is>
          <t>10 EVIDENCE &amp; DECISIONS</t>
        </is>
      </c>
    </row>
    <row r="622" ht="34" customHeight="1">
      <c r="A622" s="34" t="inlineStr">
        <is>
          <t>R391-v1</t>
        </is>
      </c>
      <c r="B622" s="34" t="inlineStr">
        <is>
          <t>Contractor Programme</t>
        </is>
      </c>
      <c r="C622" s="34" t="inlineStr">
        <is>
          <t>SCH-03-031</t>
        </is>
      </c>
      <c r="D622" s="34" t="inlineStr">
        <is>
          <t>1.3.1 Systems - Traction Power</t>
        </is>
      </c>
      <c r="E622" s="34" t="inlineStr">
        <is>
          <t>New</t>
        </is>
      </c>
      <c r="F622" s="14" t="inlineStr"/>
      <c r="G622" s="34" t="inlineStr">
        <is>
          <t>Source assignment -- not individually reviewed</t>
        </is>
      </c>
      <c r="H622" s="92" t="inlineStr">
        <is>
          <t>10 EVIDENCE &amp; DECISIONS</t>
        </is>
      </c>
    </row>
    <row r="623" ht="34" customHeight="1">
      <c r="A623" s="34" t="inlineStr">
        <is>
          <t>R392-v1</t>
        </is>
      </c>
      <c r="B623" s="34" t="inlineStr">
        <is>
          <t>Contractor Programme</t>
        </is>
      </c>
      <c r="C623" s="34" t="inlineStr">
        <is>
          <t>SCH-03-032</t>
        </is>
      </c>
      <c r="D623" s="34" t="inlineStr">
        <is>
          <t>1.3.1 Systems - Traction Power</t>
        </is>
      </c>
      <c r="E623" s="34" t="inlineStr">
        <is>
          <t>New</t>
        </is>
      </c>
      <c r="F623" s="14" t="inlineStr"/>
      <c r="G623" s="34" t="inlineStr">
        <is>
          <t>Source assignment -- not individually reviewed</t>
        </is>
      </c>
      <c r="H623" s="92" t="inlineStr">
        <is>
          <t>10 EVIDENCE &amp; DECISIONS</t>
        </is>
      </c>
    </row>
    <row r="624" ht="34" customHeight="1">
      <c r="A624" s="34" t="inlineStr">
        <is>
          <t>R394-v1</t>
        </is>
      </c>
      <c r="B624" s="34" t="inlineStr">
        <is>
          <t>Contractor Programme</t>
        </is>
      </c>
      <c r="C624" s="34" t="inlineStr">
        <is>
          <t>SCH-03-034</t>
        </is>
      </c>
      <c r="D624" s="34" t="inlineStr">
        <is>
          <t>1.3.1 Systems - Traction Power</t>
        </is>
      </c>
      <c r="E624" s="34" t="inlineStr">
        <is>
          <t>New</t>
        </is>
      </c>
      <c r="F624" s="14" t="inlineStr"/>
      <c r="G624" s="34" t="inlineStr">
        <is>
          <t>Source assignment -- not individually reviewed</t>
        </is>
      </c>
      <c r="H624" s="92" t="inlineStr">
        <is>
          <t>10 EVIDENCE &amp; DECISIONS</t>
        </is>
      </c>
    </row>
    <row r="625" ht="34" customHeight="1">
      <c r="A625" s="34" t="inlineStr">
        <is>
          <t>R395-v1</t>
        </is>
      </c>
      <c r="B625" s="34" t="inlineStr">
        <is>
          <t>Contractor Programme</t>
        </is>
      </c>
      <c r="C625" s="34" t="inlineStr">
        <is>
          <t>SCH-03-035</t>
        </is>
      </c>
      <c r="D625" s="34" t="inlineStr">
        <is>
          <t>1.3.1 Systems - Traction Power</t>
        </is>
      </c>
      <c r="E625" s="34" t="inlineStr">
        <is>
          <t>New</t>
        </is>
      </c>
      <c r="F625" s="14" t="inlineStr"/>
      <c r="G625" s="34" t="inlineStr">
        <is>
          <t>Source assignment -- not individually reviewed</t>
        </is>
      </c>
      <c r="H625" s="92" t="inlineStr">
        <is>
          <t>10 EVIDENCE &amp; DECISIONS</t>
        </is>
      </c>
    </row>
    <row r="626" ht="34" customHeight="1">
      <c r="A626" s="34" t="inlineStr">
        <is>
          <t>R397-v1</t>
        </is>
      </c>
      <c r="B626" s="34" t="inlineStr">
        <is>
          <t>Contractor Programme</t>
        </is>
      </c>
      <c r="C626" s="34" t="inlineStr">
        <is>
          <t>SCH-03-037</t>
        </is>
      </c>
      <c r="D626" s="34" t="inlineStr">
        <is>
          <t>1.3.1 Systems - Traction Power</t>
        </is>
      </c>
      <c r="E626" s="34" t="inlineStr">
        <is>
          <t>New</t>
        </is>
      </c>
      <c r="F626" s="14" t="inlineStr"/>
      <c r="G626" s="34" t="inlineStr">
        <is>
          <t>Source assignment -- not individually reviewed</t>
        </is>
      </c>
      <c r="H626" s="92" t="inlineStr">
        <is>
          <t>10 EVIDENCE &amp; DECISIONS</t>
        </is>
      </c>
    </row>
    <row r="627" ht="34" customHeight="1">
      <c r="A627" s="34" t="inlineStr">
        <is>
          <t>R398-v1</t>
        </is>
      </c>
      <c r="B627" s="34" t="inlineStr">
        <is>
          <t>Contractor Programme</t>
        </is>
      </c>
      <c r="C627" s="34" t="inlineStr">
        <is>
          <t>SCH-03-038</t>
        </is>
      </c>
      <c r="D627" s="34" t="inlineStr">
        <is>
          <t>1.3.1 Systems - Traction Power</t>
        </is>
      </c>
      <c r="E627" s="34" t="inlineStr">
        <is>
          <t>New</t>
        </is>
      </c>
      <c r="F627" s="14" t="inlineStr"/>
      <c r="G627" s="34" t="inlineStr">
        <is>
          <t>Source assignment -- not individually reviewed</t>
        </is>
      </c>
      <c r="H627" s="92" t="inlineStr">
        <is>
          <t>10 EVIDENCE &amp; DECISIONS</t>
        </is>
      </c>
    </row>
    <row r="628" ht="34" customHeight="1">
      <c r="A628" s="34" t="inlineStr">
        <is>
          <t>R400-v1</t>
        </is>
      </c>
      <c r="B628" s="34" t="inlineStr">
        <is>
          <t>Contractor Programme</t>
        </is>
      </c>
      <c r="C628" s="34" t="inlineStr">
        <is>
          <t>SCH-03-040</t>
        </is>
      </c>
      <c r="D628" s="34" t="inlineStr">
        <is>
          <t>1.3.1 Systems - Traction Power</t>
        </is>
      </c>
      <c r="E628" s="34" t="inlineStr">
        <is>
          <t>New</t>
        </is>
      </c>
      <c r="F628" s="14" t="inlineStr"/>
      <c r="G628" s="34" t="inlineStr">
        <is>
          <t>Source assignment -- not individually reviewed</t>
        </is>
      </c>
      <c r="H628" s="92" t="inlineStr">
        <is>
          <t>10 EVIDENCE &amp; DECISIONS</t>
        </is>
      </c>
    </row>
    <row r="629" ht="34" customHeight="1">
      <c r="A629" s="34" t="inlineStr">
        <is>
          <t>R401-v1</t>
        </is>
      </c>
      <c r="B629" s="34" t="inlineStr">
        <is>
          <t>Contractor Programme</t>
        </is>
      </c>
      <c r="C629" s="34" t="inlineStr">
        <is>
          <t>SCH-03-041</t>
        </is>
      </c>
      <c r="D629" s="34" t="inlineStr">
        <is>
          <t>1.3.1 Systems - Traction Power</t>
        </is>
      </c>
      <c r="E629" s="34" t="inlineStr">
        <is>
          <t>New</t>
        </is>
      </c>
      <c r="F629" s="14" t="inlineStr"/>
      <c r="G629" s="34" t="inlineStr">
        <is>
          <t>Source assignment -- not individually reviewed</t>
        </is>
      </c>
      <c r="H629" s="92" t="inlineStr">
        <is>
          <t>10 EVIDENCE &amp; DECISIONS</t>
        </is>
      </c>
    </row>
    <row r="630" ht="34" customHeight="1">
      <c r="A630" s="34" t="inlineStr">
        <is>
          <t>R403-v1</t>
        </is>
      </c>
      <c r="B630" s="34" t="inlineStr">
        <is>
          <t>Contractor Programme</t>
        </is>
      </c>
      <c r="C630" s="34" t="inlineStr">
        <is>
          <t>SCH-03-043</t>
        </is>
      </c>
      <c r="D630" s="34" t="inlineStr">
        <is>
          <t>1.3.1 Systems - Traction Power</t>
        </is>
      </c>
      <c r="E630" s="34" t="inlineStr">
        <is>
          <t>New</t>
        </is>
      </c>
      <c r="F630" s="14" t="inlineStr"/>
      <c r="G630" s="34" t="inlineStr">
        <is>
          <t>Source assignment -- not individually reviewed</t>
        </is>
      </c>
      <c r="H630" s="92" t="inlineStr">
        <is>
          <t>10 EVIDENCE &amp; DECISIONS</t>
        </is>
      </c>
    </row>
    <row r="631" ht="34" customHeight="1">
      <c r="A631" s="34" t="inlineStr">
        <is>
          <t>R404-v1</t>
        </is>
      </c>
      <c r="B631" s="34" t="inlineStr">
        <is>
          <t>Contractor Programme</t>
        </is>
      </c>
      <c r="C631" s="34" t="inlineStr">
        <is>
          <t>SCH-03-044</t>
        </is>
      </c>
      <c r="D631" s="34" t="inlineStr">
        <is>
          <t>1.3.1 Systems - Traction Power</t>
        </is>
      </c>
      <c r="E631" s="34" t="inlineStr">
        <is>
          <t>New</t>
        </is>
      </c>
      <c r="F631" s="14" t="inlineStr"/>
      <c r="G631" s="34" t="inlineStr">
        <is>
          <t>Source assignment -- not individually reviewed</t>
        </is>
      </c>
      <c r="H631" s="92" t="inlineStr">
        <is>
          <t>10 EVIDENCE &amp; DECISIONS</t>
        </is>
      </c>
    </row>
    <row r="632" ht="34" customHeight="1">
      <c r="A632" s="34" t="inlineStr">
        <is>
          <t>R406-v1</t>
        </is>
      </c>
      <c r="B632" s="34" t="inlineStr">
        <is>
          <t>Contractor Programme</t>
        </is>
      </c>
      <c r="C632" s="34" t="inlineStr">
        <is>
          <t>SCH-03-046</t>
        </is>
      </c>
      <c r="D632" s="34" t="inlineStr">
        <is>
          <t>1.3.1 Systems - Traction Power</t>
        </is>
      </c>
      <c r="E632" s="34" t="inlineStr">
        <is>
          <t>New</t>
        </is>
      </c>
      <c r="F632" s="14" t="inlineStr"/>
      <c r="G632" s="34" t="inlineStr">
        <is>
          <t>Source assignment -- not individually reviewed</t>
        </is>
      </c>
      <c r="H632" s="92" t="inlineStr">
        <is>
          <t>10 EVIDENCE &amp; DECISIONS</t>
        </is>
      </c>
    </row>
    <row r="633" ht="34" customHeight="1">
      <c r="A633" s="34" t="inlineStr">
        <is>
          <t>R407-v1</t>
        </is>
      </c>
      <c r="B633" s="34" t="inlineStr">
        <is>
          <t>Contractor Programme</t>
        </is>
      </c>
      <c r="C633" s="34" t="inlineStr">
        <is>
          <t>SCH-03-047</t>
        </is>
      </c>
      <c r="D633" s="34" t="inlineStr">
        <is>
          <t>1.3.1 Systems - Traction Power</t>
        </is>
      </c>
      <c r="E633" s="34" t="inlineStr">
        <is>
          <t>New</t>
        </is>
      </c>
      <c r="F633" s="14" t="inlineStr"/>
      <c r="G633" s="34" t="inlineStr">
        <is>
          <t>Source assignment -- not individually reviewed</t>
        </is>
      </c>
      <c r="H633" s="92" t="inlineStr">
        <is>
          <t>10 EVIDENCE &amp; DECISIONS</t>
        </is>
      </c>
    </row>
    <row r="634" ht="34" customHeight="1">
      <c r="A634" s="34" t="inlineStr">
        <is>
          <t>R409-v1</t>
        </is>
      </c>
      <c r="B634" s="34" t="inlineStr">
        <is>
          <t>Contractor Programme</t>
        </is>
      </c>
      <c r="C634" s="34" t="inlineStr">
        <is>
          <t>SCH-03-049</t>
        </is>
      </c>
      <c r="D634" s="34" t="inlineStr">
        <is>
          <t>1.3.1 Systems - Traction Power</t>
        </is>
      </c>
      <c r="E634" s="34" t="inlineStr">
        <is>
          <t>New</t>
        </is>
      </c>
      <c r="F634" s="14" t="inlineStr"/>
      <c r="G634" s="34" t="inlineStr">
        <is>
          <t>Source assignment -- not individually reviewed</t>
        </is>
      </c>
      <c r="H634" s="92" t="inlineStr">
        <is>
          <t>10 EVIDENCE &amp; DECISIONS</t>
        </is>
      </c>
    </row>
    <row r="635" ht="34" customHeight="1">
      <c r="A635" s="34" t="inlineStr">
        <is>
          <t>R410-v1</t>
        </is>
      </c>
      <c r="B635" s="34" t="inlineStr">
        <is>
          <t>Contractor Programme</t>
        </is>
      </c>
      <c r="C635" s="34" t="inlineStr">
        <is>
          <t>SCH-03-050</t>
        </is>
      </c>
      <c r="D635" s="34" t="inlineStr">
        <is>
          <t>1.3.1 Systems - Traction Power</t>
        </is>
      </c>
      <c r="E635" s="34" t="inlineStr">
        <is>
          <t>New</t>
        </is>
      </c>
      <c r="F635" s="14" t="inlineStr"/>
      <c r="G635" s="34" t="inlineStr">
        <is>
          <t>Source assignment -- not individually reviewed</t>
        </is>
      </c>
      <c r="H635" s="92" t="inlineStr">
        <is>
          <t>10 EVIDENCE &amp; DECISIONS</t>
        </is>
      </c>
    </row>
    <row r="636" ht="34" customHeight="1">
      <c r="A636" s="34" t="inlineStr">
        <is>
          <t>R412-v1</t>
        </is>
      </c>
      <c r="B636" s="34" t="inlineStr">
        <is>
          <t>Contractor Programme</t>
        </is>
      </c>
      <c r="C636" s="34" t="inlineStr">
        <is>
          <t>SCH-03-052</t>
        </is>
      </c>
      <c r="D636" s="34" t="inlineStr">
        <is>
          <t>1.3.1 Systems - Traction Power</t>
        </is>
      </c>
      <c r="E636" s="34" t="inlineStr">
        <is>
          <t>New</t>
        </is>
      </c>
      <c r="F636" s="14" t="inlineStr"/>
      <c r="G636" s="34" t="inlineStr">
        <is>
          <t>Source assignment -- not individually reviewed</t>
        </is>
      </c>
      <c r="H636" s="92" t="inlineStr">
        <is>
          <t>10 EVIDENCE &amp; DECISIONS</t>
        </is>
      </c>
    </row>
    <row r="637" ht="34" customHeight="1">
      <c r="A637" s="34" t="inlineStr">
        <is>
          <t>R413-v1</t>
        </is>
      </c>
      <c r="B637" s="34" t="inlineStr">
        <is>
          <t>Contractor Programme</t>
        </is>
      </c>
      <c r="C637" s="34" t="inlineStr">
        <is>
          <t>SCH-03-053</t>
        </is>
      </c>
      <c r="D637" s="34" t="inlineStr">
        <is>
          <t>1.3.1 Systems - Traction Power</t>
        </is>
      </c>
      <c r="E637" s="34" t="inlineStr">
        <is>
          <t>New</t>
        </is>
      </c>
      <c r="F637" s="14" t="inlineStr"/>
      <c r="G637" s="34" t="inlineStr">
        <is>
          <t>Source assignment -- not individually reviewed</t>
        </is>
      </c>
      <c r="H637" s="92" t="inlineStr">
        <is>
          <t>10 EVIDENCE &amp; DECISIONS</t>
        </is>
      </c>
    </row>
    <row r="638" ht="34" customHeight="1">
      <c r="A638" s="34" t="inlineStr">
        <is>
          <t>R415-v1</t>
        </is>
      </c>
      <c r="B638" s="34" t="inlineStr">
        <is>
          <t>Contractor Programme</t>
        </is>
      </c>
      <c r="C638" s="34" t="inlineStr">
        <is>
          <t>SCH-03-055</t>
        </is>
      </c>
      <c r="D638" s="34" t="inlineStr">
        <is>
          <t>1.3.1 Systems - Traction Power</t>
        </is>
      </c>
      <c r="E638" s="34" t="inlineStr">
        <is>
          <t>New</t>
        </is>
      </c>
      <c r="F638" s="14" t="inlineStr"/>
      <c r="G638" s="34" t="inlineStr">
        <is>
          <t>Source assignment -- not individually reviewed</t>
        </is>
      </c>
      <c r="H638" s="92" t="inlineStr">
        <is>
          <t>10 EVIDENCE &amp; DECISIONS</t>
        </is>
      </c>
    </row>
    <row r="639" ht="34" customHeight="1">
      <c r="A639" s="34" t="inlineStr">
        <is>
          <t>R416-v1</t>
        </is>
      </c>
      <c r="B639" s="34" t="inlineStr">
        <is>
          <t>Contractor Programme</t>
        </is>
      </c>
      <c r="C639" s="34" t="inlineStr">
        <is>
          <t>SCH-03-056</t>
        </is>
      </c>
      <c r="D639" s="34" t="inlineStr">
        <is>
          <t>1.3.1 Systems - Traction Power</t>
        </is>
      </c>
      <c r="E639" s="34" t="inlineStr">
        <is>
          <t>New</t>
        </is>
      </c>
      <c r="F639" s="14" t="inlineStr"/>
      <c r="G639" s="34" t="inlineStr">
        <is>
          <t>Source assignment -- not individually reviewed</t>
        </is>
      </c>
      <c r="H639" s="92" t="inlineStr">
        <is>
          <t>10 EVIDENCE &amp; DECISIONS</t>
        </is>
      </c>
    </row>
    <row r="640" ht="34" customHeight="1">
      <c r="A640" s="34" t="inlineStr">
        <is>
          <t>R418-v1</t>
        </is>
      </c>
      <c r="B640" s="34" t="inlineStr">
        <is>
          <t>Contractor Programme</t>
        </is>
      </c>
      <c r="C640" s="34" t="inlineStr">
        <is>
          <t>SCH-03-058</t>
        </is>
      </c>
      <c r="D640" s="34" t="inlineStr">
        <is>
          <t>1.3.1 Systems - Traction Power</t>
        </is>
      </c>
      <c r="E640" s="34" t="inlineStr">
        <is>
          <t>New</t>
        </is>
      </c>
      <c r="F640" s="14" t="inlineStr"/>
      <c r="G640" s="34" t="inlineStr">
        <is>
          <t>Source assignment -- not individually reviewed</t>
        </is>
      </c>
      <c r="H640" s="92" t="inlineStr">
        <is>
          <t>10 EVIDENCE &amp; DECISIONS</t>
        </is>
      </c>
    </row>
    <row r="641" ht="34" customHeight="1">
      <c r="A641" s="34" t="inlineStr">
        <is>
          <t>R419-v1</t>
        </is>
      </c>
      <c r="B641" s="34" t="inlineStr">
        <is>
          <t>Contractor Programme</t>
        </is>
      </c>
      <c r="C641" s="34" t="inlineStr">
        <is>
          <t>SCH-03-059</t>
        </is>
      </c>
      <c r="D641" s="34" t="inlineStr">
        <is>
          <t>1.3.1 Systems - Traction Power</t>
        </is>
      </c>
      <c r="E641" s="34" t="inlineStr">
        <is>
          <t>New</t>
        </is>
      </c>
      <c r="F641" s="14" t="inlineStr"/>
      <c r="G641" s="34" t="inlineStr">
        <is>
          <t>Source assignment -- not individually reviewed</t>
        </is>
      </c>
      <c r="H641" s="92" t="inlineStr">
        <is>
          <t>10 EVIDENCE &amp; DECISIONS</t>
        </is>
      </c>
    </row>
    <row r="642" ht="34" customHeight="1">
      <c r="A642" s="34" t="inlineStr">
        <is>
          <t>R421-v1</t>
        </is>
      </c>
      <c r="B642" s="34" t="inlineStr">
        <is>
          <t>Contractor Programme</t>
        </is>
      </c>
      <c r="C642" s="34" t="inlineStr">
        <is>
          <t>SCH-03-061</t>
        </is>
      </c>
      <c r="D642" s="34" t="inlineStr">
        <is>
          <t>1.3.1 Systems - Traction Power</t>
        </is>
      </c>
      <c r="E642" s="34" t="inlineStr">
        <is>
          <t>New</t>
        </is>
      </c>
      <c r="F642" s="14" t="inlineStr"/>
      <c r="G642" s="34" t="inlineStr">
        <is>
          <t>Source assignment -- not individually reviewed</t>
        </is>
      </c>
      <c r="H642" s="92" t="inlineStr">
        <is>
          <t>10 EVIDENCE &amp; DECISIONS</t>
        </is>
      </c>
    </row>
    <row r="643" ht="34" customHeight="1">
      <c r="A643" s="34" t="inlineStr">
        <is>
          <t>R422-v1</t>
        </is>
      </c>
      <c r="B643" s="34" t="inlineStr">
        <is>
          <t>Contractor Programme</t>
        </is>
      </c>
      <c r="C643" s="34" t="inlineStr">
        <is>
          <t>SCH-03-062</t>
        </is>
      </c>
      <c r="D643" s="34" t="inlineStr">
        <is>
          <t>1.3.1 Systems - Traction Power</t>
        </is>
      </c>
      <c r="E643" s="34" t="inlineStr">
        <is>
          <t>New</t>
        </is>
      </c>
      <c r="F643" s="14" t="inlineStr"/>
      <c r="G643" s="34" t="inlineStr">
        <is>
          <t>Source assignment -- not individually reviewed</t>
        </is>
      </c>
      <c r="H643" s="92" t="inlineStr">
        <is>
          <t>10 EVIDENCE &amp; DECISIONS</t>
        </is>
      </c>
    </row>
    <row r="644" ht="34" customHeight="1">
      <c r="A644" s="34" t="inlineStr">
        <is>
          <t>R424-v1</t>
        </is>
      </c>
      <c r="B644" s="34" t="inlineStr">
        <is>
          <t>Contractor Programme</t>
        </is>
      </c>
      <c r="C644" s="34" t="inlineStr">
        <is>
          <t>SCH-03-064</t>
        </is>
      </c>
      <c r="D644" s="34" t="inlineStr">
        <is>
          <t>1.3.1 Systems - Traction Power</t>
        </is>
      </c>
      <c r="E644" s="34" t="inlineStr">
        <is>
          <t>New</t>
        </is>
      </c>
      <c r="F644" s="14" t="inlineStr"/>
      <c r="G644" s="34" t="inlineStr">
        <is>
          <t>Source assignment -- not individually reviewed</t>
        </is>
      </c>
      <c r="H644" s="92" t="inlineStr">
        <is>
          <t>10 EVIDENCE &amp; DECISIONS</t>
        </is>
      </c>
    </row>
    <row r="645" ht="34" customHeight="1">
      <c r="A645" s="34" t="inlineStr">
        <is>
          <t>R425-v1</t>
        </is>
      </c>
      <c r="B645" s="34" t="inlineStr">
        <is>
          <t>Contractor Programme</t>
        </is>
      </c>
      <c r="C645" s="34" t="inlineStr">
        <is>
          <t>SCH-03-065</t>
        </is>
      </c>
      <c r="D645" s="34" t="inlineStr">
        <is>
          <t>1.3.1 Systems - Traction Power</t>
        </is>
      </c>
      <c r="E645" s="34" t="inlineStr">
        <is>
          <t>New</t>
        </is>
      </c>
      <c r="F645" s="14" t="inlineStr"/>
      <c r="G645" s="34" t="inlineStr">
        <is>
          <t>Source assignment -- not individually reviewed</t>
        </is>
      </c>
      <c r="H645" s="92" t="inlineStr">
        <is>
          <t>10 EVIDENCE &amp; DECISIONS</t>
        </is>
      </c>
    </row>
    <row r="646" ht="34" customHeight="1">
      <c r="A646" s="34" t="inlineStr">
        <is>
          <t>R427-v1</t>
        </is>
      </c>
      <c r="B646" s="34" t="inlineStr">
        <is>
          <t>Contractor Programme</t>
        </is>
      </c>
      <c r="C646" s="34" t="inlineStr">
        <is>
          <t>SCH-03-067</t>
        </is>
      </c>
      <c r="D646" s="34" t="inlineStr">
        <is>
          <t>1.3.1 Systems - Traction Power</t>
        </is>
      </c>
      <c r="E646" s="34" t="inlineStr">
        <is>
          <t>New</t>
        </is>
      </c>
      <c r="F646" s="14" t="inlineStr"/>
      <c r="G646" s="34" t="inlineStr">
        <is>
          <t>Source assignment -- not individually reviewed</t>
        </is>
      </c>
      <c r="H646" s="92" t="inlineStr">
        <is>
          <t>10 EVIDENCE &amp; DECISIONS</t>
        </is>
      </c>
    </row>
    <row r="647" ht="34" customHeight="1">
      <c r="A647" s="34" t="inlineStr">
        <is>
          <t>R428-v1</t>
        </is>
      </c>
      <c r="B647" s="34" t="inlineStr">
        <is>
          <t>Contractor Programme</t>
        </is>
      </c>
      <c r="C647" s="34" t="inlineStr">
        <is>
          <t>SCH-03-068</t>
        </is>
      </c>
      <c r="D647" s="34" t="inlineStr">
        <is>
          <t>1.3.1 Systems - Traction Power</t>
        </is>
      </c>
      <c r="E647" s="34" t="inlineStr">
        <is>
          <t>New</t>
        </is>
      </c>
      <c r="F647" s="14" t="inlineStr"/>
      <c r="G647" s="34" t="inlineStr">
        <is>
          <t>Source assignment -- not individually reviewed</t>
        </is>
      </c>
      <c r="H647" s="92" t="inlineStr">
        <is>
          <t>10 EVIDENCE &amp; DECISIONS</t>
        </is>
      </c>
    </row>
    <row r="648" ht="34" customHeight="1">
      <c r="A648" s="34" t="inlineStr">
        <is>
          <t>R430-v1</t>
        </is>
      </c>
      <c r="B648" s="34" t="inlineStr">
        <is>
          <t>Contractor Programme</t>
        </is>
      </c>
      <c r="C648" s="34" t="inlineStr">
        <is>
          <t>SCH-03-070</t>
        </is>
      </c>
      <c r="D648" s="34" t="inlineStr">
        <is>
          <t>1.3.1 Systems - Traction Power</t>
        </is>
      </c>
      <c r="E648" s="34" t="inlineStr">
        <is>
          <t>New</t>
        </is>
      </c>
      <c r="F648" s="14" t="inlineStr"/>
      <c r="G648" s="34" t="inlineStr">
        <is>
          <t>Source assignment -- not individually reviewed</t>
        </is>
      </c>
      <c r="H648" s="92" t="inlineStr">
        <is>
          <t>10 EVIDENCE &amp; DECISIONS</t>
        </is>
      </c>
    </row>
    <row r="649" ht="34" customHeight="1">
      <c r="A649" s="34" t="inlineStr">
        <is>
          <t>R431-v1</t>
        </is>
      </c>
      <c r="B649" s="34" t="inlineStr">
        <is>
          <t>Contractor Programme</t>
        </is>
      </c>
      <c r="C649" s="34" t="inlineStr">
        <is>
          <t>SCH-03-071</t>
        </is>
      </c>
      <c r="D649" s="34" t="inlineStr">
        <is>
          <t>1.3.1 Systems - Traction Power</t>
        </is>
      </c>
      <c r="E649" s="34" t="inlineStr">
        <is>
          <t>New</t>
        </is>
      </c>
      <c r="F649" s="14" t="inlineStr"/>
      <c r="G649" s="34" t="inlineStr">
        <is>
          <t>Source assignment -- not individually reviewed</t>
        </is>
      </c>
      <c r="H649" s="92" t="inlineStr">
        <is>
          <t>10 EVIDENCE &amp; DECISIONS</t>
        </is>
      </c>
    </row>
    <row r="650" ht="34" customHeight="1">
      <c r="A650" s="34" t="inlineStr">
        <is>
          <t>R433-v1</t>
        </is>
      </c>
      <c r="B650" s="34" t="inlineStr">
        <is>
          <t>Contractor Programme</t>
        </is>
      </c>
      <c r="C650" s="34" t="inlineStr">
        <is>
          <t>SCH-03-073</t>
        </is>
      </c>
      <c r="D650" s="34" t="inlineStr">
        <is>
          <t>1.3.1 Systems - Traction Power</t>
        </is>
      </c>
      <c r="E650" s="34" t="inlineStr">
        <is>
          <t>New</t>
        </is>
      </c>
      <c r="F650" s="14" t="inlineStr"/>
      <c r="G650" s="34" t="inlineStr">
        <is>
          <t>Source assignment -- not individually reviewed</t>
        </is>
      </c>
      <c r="H650" s="92" t="inlineStr">
        <is>
          <t>10 EVIDENCE &amp; DECISIONS</t>
        </is>
      </c>
    </row>
    <row r="651" ht="34" customHeight="1">
      <c r="A651" s="34" t="inlineStr">
        <is>
          <t>R434-v1</t>
        </is>
      </c>
      <c r="B651" s="34" t="inlineStr">
        <is>
          <t>Contractor Programme</t>
        </is>
      </c>
      <c r="C651" s="34" t="inlineStr">
        <is>
          <t>SCH-03-074</t>
        </is>
      </c>
      <c r="D651" s="34" t="inlineStr">
        <is>
          <t>1.3.1 Systems - Traction Power</t>
        </is>
      </c>
      <c r="E651" s="34" t="inlineStr">
        <is>
          <t>New</t>
        </is>
      </c>
      <c r="F651" s="14" t="inlineStr"/>
      <c r="G651" s="34" t="inlineStr">
        <is>
          <t>Source assignment -- not individually reviewed</t>
        </is>
      </c>
      <c r="H651" s="92" t="inlineStr">
        <is>
          <t>10 EVIDENCE &amp; DECISIONS</t>
        </is>
      </c>
    </row>
    <row r="652" ht="34" customHeight="1">
      <c r="A652" s="34" t="inlineStr">
        <is>
          <t>R436-v1</t>
        </is>
      </c>
      <c r="B652" s="34" t="inlineStr">
        <is>
          <t>Contractor Programme</t>
        </is>
      </c>
      <c r="C652" s="34" t="inlineStr">
        <is>
          <t>SCH-03-076</t>
        </is>
      </c>
      <c r="D652" s="34" t="inlineStr">
        <is>
          <t>1.3.1 Systems - Traction Power</t>
        </is>
      </c>
      <c r="E652" s="34" t="inlineStr">
        <is>
          <t>New</t>
        </is>
      </c>
      <c r="F652" s="14" t="inlineStr"/>
      <c r="G652" s="34" t="inlineStr">
        <is>
          <t>Source assignment -- not individually reviewed</t>
        </is>
      </c>
      <c r="H652" s="92" t="inlineStr">
        <is>
          <t>10 EVIDENCE &amp; DECISIONS</t>
        </is>
      </c>
    </row>
    <row r="653" ht="34" customHeight="1">
      <c r="A653" s="34" t="inlineStr">
        <is>
          <t>R437-v1</t>
        </is>
      </c>
      <c r="B653" s="34" t="inlineStr">
        <is>
          <t>Contractor Programme</t>
        </is>
      </c>
      <c r="C653" s="34" t="inlineStr">
        <is>
          <t>SCH-03-077</t>
        </is>
      </c>
      <c r="D653" s="34" t="inlineStr">
        <is>
          <t>1.3.1 Systems - Traction Power</t>
        </is>
      </c>
      <c r="E653" s="34" t="inlineStr">
        <is>
          <t>New</t>
        </is>
      </c>
      <c r="F653" s="14" t="inlineStr"/>
      <c r="G653" s="34" t="inlineStr">
        <is>
          <t>Source assignment -- not individually reviewed</t>
        </is>
      </c>
      <c r="H653" s="92" t="inlineStr">
        <is>
          <t>10 EVIDENCE &amp; DECISIONS</t>
        </is>
      </c>
    </row>
    <row r="654" ht="34" customHeight="1">
      <c r="A654" s="34" t="inlineStr">
        <is>
          <t>R439-v1</t>
        </is>
      </c>
      <c r="B654" s="34" t="inlineStr">
        <is>
          <t>Contractor Programme</t>
        </is>
      </c>
      <c r="C654" s="34" t="inlineStr">
        <is>
          <t>SCH-03-079</t>
        </is>
      </c>
      <c r="D654" s="34" t="inlineStr">
        <is>
          <t>1.3.1 Systems - Traction Power</t>
        </is>
      </c>
      <c r="E654" s="34" t="inlineStr">
        <is>
          <t>New</t>
        </is>
      </c>
      <c r="F654" s="14" t="inlineStr"/>
      <c r="G654" s="34" t="inlineStr">
        <is>
          <t>Source assignment -- not individually reviewed</t>
        </is>
      </c>
      <c r="H654" s="92" t="inlineStr">
        <is>
          <t>10 EVIDENCE &amp; DECISIONS</t>
        </is>
      </c>
    </row>
    <row r="655" ht="34" customHeight="1">
      <c r="A655" s="34" t="inlineStr">
        <is>
          <t>R440-v1</t>
        </is>
      </c>
      <c r="B655" s="34" t="inlineStr">
        <is>
          <t>Contractor Programme</t>
        </is>
      </c>
      <c r="C655" s="34" t="inlineStr">
        <is>
          <t>SCH-03-080</t>
        </is>
      </c>
      <c r="D655" s="34" t="inlineStr">
        <is>
          <t>1.3.1 Systems - Traction Power</t>
        </is>
      </c>
      <c r="E655" s="34" t="inlineStr">
        <is>
          <t>New</t>
        </is>
      </c>
      <c r="F655" s="14" t="inlineStr"/>
      <c r="G655" s="34" t="inlineStr">
        <is>
          <t>Source assignment -- not individually reviewed</t>
        </is>
      </c>
      <c r="H655" s="92" t="inlineStr">
        <is>
          <t>10 EVIDENCE &amp; DECISIONS</t>
        </is>
      </c>
    </row>
    <row r="656" ht="34" customHeight="1">
      <c r="A656" s="34" t="inlineStr">
        <is>
          <t>R442-v1</t>
        </is>
      </c>
      <c r="B656" s="34" t="inlineStr">
        <is>
          <t>Contractor Programme</t>
        </is>
      </c>
      <c r="C656" s="34" t="inlineStr">
        <is>
          <t>SCH-03-082</t>
        </is>
      </c>
      <c r="D656" s="34" t="inlineStr">
        <is>
          <t>1.3.1 Systems - Traction Power</t>
        </is>
      </c>
      <c r="E656" s="34" t="inlineStr">
        <is>
          <t>New</t>
        </is>
      </c>
      <c r="F656" s="14" t="inlineStr"/>
      <c r="G656" s="34" t="inlineStr">
        <is>
          <t>Source assignment -- not individually reviewed</t>
        </is>
      </c>
      <c r="H656" s="92" t="inlineStr">
        <is>
          <t>10 EVIDENCE &amp; DECISIONS</t>
        </is>
      </c>
    </row>
    <row r="657" ht="34" customHeight="1">
      <c r="A657" s="34" t="inlineStr">
        <is>
          <t>R443-v1</t>
        </is>
      </c>
      <c r="B657" s="34" t="inlineStr">
        <is>
          <t>Contractor Programme</t>
        </is>
      </c>
      <c r="C657" s="34" t="inlineStr">
        <is>
          <t>SCH-03-083</t>
        </is>
      </c>
      <c r="D657" s="34" t="inlineStr">
        <is>
          <t>1.3.1 Systems - Traction Power</t>
        </is>
      </c>
      <c r="E657" s="34" t="inlineStr">
        <is>
          <t>New</t>
        </is>
      </c>
      <c r="F657" s="14" t="inlineStr"/>
      <c r="G657" s="34" t="inlineStr">
        <is>
          <t>Source assignment -- not individually reviewed</t>
        </is>
      </c>
      <c r="H657" s="92" t="inlineStr">
        <is>
          <t>10 EVIDENCE &amp; DECISIONS</t>
        </is>
      </c>
    </row>
    <row r="658" ht="34" customHeight="1">
      <c r="A658" s="34" t="inlineStr">
        <is>
          <t>R445-v1</t>
        </is>
      </c>
      <c r="B658" s="34" t="inlineStr">
        <is>
          <t>Contractor Programme</t>
        </is>
      </c>
      <c r="C658" s="34" t="inlineStr">
        <is>
          <t>SCH-03-085</t>
        </is>
      </c>
      <c r="D658" s="34" t="inlineStr">
        <is>
          <t>1.3.1 Systems - Traction Power</t>
        </is>
      </c>
      <c r="E658" s="34" t="inlineStr">
        <is>
          <t>New</t>
        </is>
      </c>
      <c r="F658" s="14" t="inlineStr"/>
      <c r="G658" s="34" t="inlineStr">
        <is>
          <t>Source assignment -- not individually reviewed</t>
        </is>
      </c>
      <c r="H658" s="92" t="inlineStr">
        <is>
          <t>10 EVIDENCE &amp; DECISIONS</t>
        </is>
      </c>
    </row>
    <row r="659" ht="34" customHeight="1">
      <c r="A659" s="34" t="inlineStr">
        <is>
          <t>R446-v1</t>
        </is>
      </c>
      <c r="B659" s="34" t="inlineStr">
        <is>
          <t>Contractor Programme</t>
        </is>
      </c>
      <c r="C659" s="34" t="inlineStr">
        <is>
          <t>SCH-03-086</t>
        </is>
      </c>
      <c r="D659" s="34" t="inlineStr">
        <is>
          <t>1.3.1 Systems - Traction Power</t>
        </is>
      </c>
      <c r="E659" s="34" t="inlineStr">
        <is>
          <t>New</t>
        </is>
      </c>
      <c r="F659" s="14" t="inlineStr"/>
      <c r="G659" s="34" t="inlineStr">
        <is>
          <t>Source assignment -- not individually reviewed</t>
        </is>
      </c>
      <c r="H659" s="92" t="inlineStr">
        <is>
          <t>10 EVIDENCE &amp; DECISIONS</t>
        </is>
      </c>
    </row>
    <row r="660" ht="34" customHeight="1">
      <c r="A660" s="34" t="inlineStr">
        <is>
          <t>R448-v1</t>
        </is>
      </c>
      <c r="B660" s="34" t="inlineStr">
        <is>
          <t>Contractor Programme</t>
        </is>
      </c>
      <c r="C660" s="34" t="inlineStr">
        <is>
          <t>SCH-03-088</t>
        </is>
      </c>
      <c r="D660" s="34" t="inlineStr">
        <is>
          <t>1.3.1 Systems - Traction Power</t>
        </is>
      </c>
      <c r="E660" s="34" t="inlineStr">
        <is>
          <t>New</t>
        </is>
      </c>
      <c r="F660" s="14" t="inlineStr"/>
      <c r="G660" s="34" t="inlineStr">
        <is>
          <t>Source assignment -- not individually reviewed</t>
        </is>
      </c>
      <c r="H660" s="92" t="inlineStr">
        <is>
          <t>10 EVIDENCE &amp; DECISIONS</t>
        </is>
      </c>
    </row>
    <row r="661" ht="34" customHeight="1">
      <c r="A661" s="34" t="inlineStr">
        <is>
          <t>R449-v1</t>
        </is>
      </c>
      <c r="B661" s="34" t="inlineStr">
        <is>
          <t>Contractor Programme</t>
        </is>
      </c>
      <c r="C661" s="34" t="inlineStr">
        <is>
          <t>SCH-03-089</t>
        </is>
      </c>
      <c r="D661" s="34" t="inlineStr">
        <is>
          <t>1.3.1 Systems - Traction Power</t>
        </is>
      </c>
      <c r="E661" s="34" t="inlineStr">
        <is>
          <t>New</t>
        </is>
      </c>
      <c r="F661" s="14" t="inlineStr"/>
      <c r="G661" s="34" t="inlineStr">
        <is>
          <t>Source assignment -- not individually reviewed</t>
        </is>
      </c>
      <c r="H661" s="92" t="inlineStr">
        <is>
          <t>10 EVIDENCE &amp; DECISIONS</t>
        </is>
      </c>
    </row>
    <row r="662" ht="34" customHeight="1">
      <c r="A662" s="34" t="inlineStr">
        <is>
          <t>R451-v1</t>
        </is>
      </c>
      <c r="B662" s="34" t="inlineStr">
        <is>
          <t>Contractor Programme</t>
        </is>
      </c>
      <c r="C662" s="34" t="inlineStr">
        <is>
          <t>SCH-03-091</t>
        </is>
      </c>
      <c r="D662" s="34" t="inlineStr">
        <is>
          <t>1.3.1 Systems - Traction Power</t>
        </is>
      </c>
      <c r="E662" s="34" t="inlineStr">
        <is>
          <t>New</t>
        </is>
      </c>
      <c r="F662" s="14" t="inlineStr"/>
      <c r="G662" s="34" t="inlineStr">
        <is>
          <t>Source assignment -- not individually reviewed</t>
        </is>
      </c>
      <c r="H662" s="92" t="inlineStr">
        <is>
          <t>10 EVIDENCE &amp; DECISIONS</t>
        </is>
      </c>
    </row>
    <row r="663" ht="34" customHeight="1">
      <c r="A663" s="34" t="inlineStr">
        <is>
          <t>R452-v1</t>
        </is>
      </c>
      <c r="B663" s="34" t="inlineStr">
        <is>
          <t>Contractor Programme</t>
        </is>
      </c>
      <c r="C663" s="34" t="inlineStr">
        <is>
          <t>SCH-03-092</t>
        </is>
      </c>
      <c r="D663" s="34" t="inlineStr">
        <is>
          <t>1.3.1 Systems - Traction Power</t>
        </is>
      </c>
      <c r="E663" s="34" t="inlineStr">
        <is>
          <t>New</t>
        </is>
      </c>
      <c r="F663" s="14" t="inlineStr"/>
      <c r="G663" s="34" t="inlineStr">
        <is>
          <t>Source assignment -- not individually reviewed</t>
        </is>
      </c>
      <c r="H663" s="92" t="inlineStr">
        <is>
          <t>10 EVIDENCE &amp; DECISIONS</t>
        </is>
      </c>
    </row>
    <row r="664" ht="34" customHeight="1">
      <c r="A664" s="34" t="inlineStr">
        <is>
          <t>R454-v1</t>
        </is>
      </c>
      <c r="B664" s="34" t="inlineStr">
        <is>
          <t>Contractor Programme</t>
        </is>
      </c>
      <c r="C664" s="34" t="inlineStr">
        <is>
          <t>SCH-03-094</t>
        </is>
      </c>
      <c r="D664" s="34" t="inlineStr">
        <is>
          <t>1.3.1 Systems - Traction Power</t>
        </is>
      </c>
      <c r="E664" s="34" t="inlineStr">
        <is>
          <t>New</t>
        </is>
      </c>
      <c r="F664" s="14" t="inlineStr"/>
      <c r="G664" s="34" t="inlineStr">
        <is>
          <t>Source assignment -- not individually reviewed</t>
        </is>
      </c>
      <c r="H664" s="92" t="inlineStr">
        <is>
          <t>10 EVIDENCE &amp; DECISIONS</t>
        </is>
      </c>
    </row>
    <row r="665" ht="34" customHeight="1">
      <c r="A665" s="34" t="inlineStr">
        <is>
          <t>R455-v1</t>
        </is>
      </c>
      <c r="B665" s="34" t="inlineStr">
        <is>
          <t>Contractor Programme</t>
        </is>
      </c>
      <c r="C665" s="34" t="inlineStr">
        <is>
          <t>SCH-03-095</t>
        </is>
      </c>
      <c r="D665" s="34" t="inlineStr">
        <is>
          <t>1.3.1 Systems - Traction Power</t>
        </is>
      </c>
      <c r="E665" s="34" t="inlineStr">
        <is>
          <t>New</t>
        </is>
      </c>
      <c r="F665" s="14" t="inlineStr"/>
      <c r="G665" s="34" t="inlineStr">
        <is>
          <t>Source assignment -- not individually reviewed</t>
        </is>
      </c>
      <c r="H665" s="92" t="inlineStr">
        <is>
          <t>10 EVIDENCE &amp; DECISIONS</t>
        </is>
      </c>
    </row>
    <row r="666" ht="34" customHeight="1">
      <c r="A666" s="34" t="inlineStr">
        <is>
          <t>R457-v1</t>
        </is>
      </c>
      <c r="B666" s="34" t="inlineStr">
        <is>
          <t>Contractor Programme</t>
        </is>
      </c>
      <c r="C666" s="34" t="inlineStr">
        <is>
          <t>SCH-03-097</t>
        </is>
      </c>
      <c r="D666" s="34" t="inlineStr">
        <is>
          <t>1.3.1 Systems - Traction Power</t>
        </is>
      </c>
      <c r="E666" s="34" t="inlineStr">
        <is>
          <t>New</t>
        </is>
      </c>
      <c r="F666" s="14" t="inlineStr"/>
      <c r="G666" s="34" t="inlineStr">
        <is>
          <t>Source assignment -- not individually reviewed</t>
        </is>
      </c>
      <c r="H666" s="92" t="inlineStr">
        <is>
          <t>10 EVIDENCE &amp; DECISIONS</t>
        </is>
      </c>
    </row>
    <row r="667" ht="34" customHeight="1">
      <c r="A667" s="34" t="inlineStr">
        <is>
          <t>R458-v1</t>
        </is>
      </c>
      <c r="B667" s="34" t="inlineStr">
        <is>
          <t>Contractor Programme</t>
        </is>
      </c>
      <c r="C667" s="34" t="inlineStr">
        <is>
          <t>SCH-03-098</t>
        </is>
      </c>
      <c r="D667" s="34" t="inlineStr">
        <is>
          <t>1.3.1 Systems - Traction Power</t>
        </is>
      </c>
      <c r="E667" s="34" t="inlineStr">
        <is>
          <t>New</t>
        </is>
      </c>
      <c r="F667" s="14" t="inlineStr"/>
      <c r="G667" s="34" t="inlineStr">
        <is>
          <t>Source assignment -- not individually reviewed</t>
        </is>
      </c>
      <c r="H667" s="92" t="inlineStr">
        <is>
          <t>10 EVIDENCE &amp; DECISIONS</t>
        </is>
      </c>
    </row>
    <row r="668" ht="34" customHeight="1">
      <c r="A668" s="34" t="inlineStr">
        <is>
          <t>R460-v1</t>
        </is>
      </c>
      <c r="B668" s="34" t="inlineStr">
        <is>
          <t>Contractor Programme</t>
        </is>
      </c>
      <c r="C668" s="34" t="inlineStr">
        <is>
          <t>SCH-03-100</t>
        </is>
      </c>
      <c r="D668" s="34" t="inlineStr">
        <is>
          <t>1.3.1 Systems - Traction Power</t>
        </is>
      </c>
      <c r="E668" s="34" t="inlineStr">
        <is>
          <t>New</t>
        </is>
      </c>
      <c r="F668" s="14" t="inlineStr"/>
      <c r="G668" s="34" t="inlineStr">
        <is>
          <t>Source assignment -- not individually reviewed</t>
        </is>
      </c>
      <c r="H668" s="92" t="inlineStr">
        <is>
          <t>10 EVIDENCE &amp; DECISIONS</t>
        </is>
      </c>
    </row>
    <row r="669" ht="34" customHeight="1">
      <c r="A669" s="34" t="inlineStr">
        <is>
          <t>R461-v1</t>
        </is>
      </c>
      <c r="B669" s="34" t="inlineStr">
        <is>
          <t>Contractor Programme</t>
        </is>
      </c>
      <c r="C669" s="34" t="inlineStr">
        <is>
          <t>SCH-03-101</t>
        </is>
      </c>
      <c r="D669" s="34" t="inlineStr">
        <is>
          <t>1.3.1 Systems - Traction Power</t>
        </is>
      </c>
      <c r="E669" s="34" t="inlineStr">
        <is>
          <t>New</t>
        </is>
      </c>
      <c r="F669" s="14" t="inlineStr"/>
      <c r="G669" s="34" t="inlineStr">
        <is>
          <t>Source assignment -- not individually reviewed</t>
        </is>
      </c>
      <c r="H669" s="92" t="inlineStr">
        <is>
          <t>10 EVIDENCE &amp; DECISIONS</t>
        </is>
      </c>
    </row>
    <row r="670" ht="34" customHeight="1">
      <c r="A670" s="34" t="inlineStr">
        <is>
          <t>R463-v1</t>
        </is>
      </c>
      <c r="B670" s="34" t="inlineStr">
        <is>
          <t>Contractor Programme</t>
        </is>
      </c>
      <c r="C670" s="34" t="inlineStr">
        <is>
          <t>SCH-03-103</t>
        </is>
      </c>
      <c r="D670" s="34" t="inlineStr">
        <is>
          <t>1.3.1 Systems - Traction Power</t>
        </is>
      </c>
      <c r="E670" s="34" t="inlineStr">
        <is>
          <t>New</t>
        </is>
      </c>
      <c r="F670" s="14" t="inlineStr"/>
      <c r="G670" s="34" t="inlineStr">
        <is>
          <t>Source assignment -- not individually reviewed</t>
        </is>
      </c>
      <c r="H670" s="92" t="inlineStr">
        <is>
          <t>10 EVIDENCE &amp; DECISIONS</t>
        </is>
      </c>
    </row>
    <row r="671" ht="34" customHeight="1">
      <c r="A671" s="34" t="inlineStr">
        <is>
          <t>R464-v1</t>
        </is>
      </c>
      <c r="B671" s="34" t="inlineStr">
        <is>
          <t>Contractor Programme</t>
        </is>
      </c>
      <c r="C671" s="34" t="inlineStr">
        <is>
          <t>SCH-03-104</t>
        </is>
      </c>
      <c r="D671" s="34" t="inlineStr">
        <is>
          <t>1.3.1 Systems - Traction Power</t>
        </is>
      </c>
      <c r="E671" s="34" t="inlineStr">
        <is>
          <t>New</t>
        </is>
      </c>
      <c r="F671" s="14" t="inlineStr"/>
      <c r="G671" s="34" t="inlineStr">
        <is>
          <t>Source assignment -- not individually reviewed</t>
        </is>
      </c>
      <c r="H671" s="92" t="inlineStr">
        <is>
          <t>10 EVIDENCE &amp; DECISIONS</t>
        </is>
      </c>
    </row>
    <row r="672" ht="34" customHeight="1">
      <c r="A672" s="34" t="inlineStr">
        <is>
          <t>R466-v1</t>
        </is>
      </c>
      <c r="B672" s="34" t="inlineStr">
        <is>
          <t>Contractor Programme</t>
        </is>
      </c>
      <c r="C672" s="34" t="inlineStr">
        <is>
          <t>SCH-03-106</t>
        </is>
      </c>
      <c r="D672" s="34" t="inlineStr">
        <is>
          <t>1.3.1 Systems - Traction Power</t>
        </is>
      </c>
      <c r="E672" s="34" t="inlineStr">
        <is>
          <t>New</t>
        </is>
      </c>
      <c r="F672" s="14" t="inlineStr"/>
      <c r="G672" s="34" t="inlineStr">
        <is>
          <t>Source assignment -- not individually reviewed</t>
        </is>
      </c>
      <c r="H672" s="92" t="inlineStr">
        <is>
          <t>10 EVIDENCE &amp; DECISIONS</t>
        </is>
      </c>
    </row>
    <row r="673" ht="34" customHeight="1">
      <c r="A673" s="34" t="inlineStr">
        <is>
          <t>R467-v1</t>
        </is>
      </c>
      <c r="B673" s="34" t="inlineStr">
        <is>
          <t>Contractor Programme</t>
        </is>
      </c>
      <c r="C673" s="34" t="inlineStr">
        <is>
          <t>SCH-03-107</t>
        </is>
      </c>
      <c r="D673" s="34" t="inlineStr">
        <is>
          <t>1.3.1 Systems - Traction Power</t>
        </is>
      </c>
      <c r="E673" s="34" t="inlineStr">
        <is>
          <t>New</t>
        </is>
      </c>
      <c r="F673" s="14" t="inlineStr"/>
      <c r="G673" s="34" t="inlineStr">
        <is>
          <t>Source assignment -- not individually reviewed</t>
        </is>
      </c>
      <c r="H673" s="92" t="inlineStr">
        <is>
          <t>10 EVIDENCE &amp; DECISIONS</t>
        </is>
      </c>
    </row>
    <row r="674" ht="34" customHeight="1">
      <c r="A674" s="34" t="inlineStr">
        <is>
          <t>R469-v1</t>
        </is>
      </c>
      <c r="B674" s="34" t="inlineStr">
        <is>
          <t>Contractor Programme</t>
        </is>
      </c>
      <c r="C674" s="34" t="inlineStr">
        <is>
          <t>SCH-03-109</t>
        </is>
      </c>
      <c r="D674" s="34" t="inlineStr">
        <is>
          <t>1.3.1 Systems - Traction Power</t>
        </is>
      </c>
      <c r="E674" s="34" t="inlineStr">
        <is>
          <t>New</t>
        </is>
      </c>
      <c r="F674" s="14" t="inlineStr"/>
      <c r="G674" s="34" t="inlineStr">
        <is>
          <t>Source assignment -- not individually reviewed</t>
        </is>
      </c>
      <c r="H674" s="92" t="inlineStr">
        <is>
          <t>10 EVIDENCE &amp; DECISIONS</t>
        </is>
      </c>
    </row>
    <row r="675" ht="34" customHeight="1">
      <c r="A675" s="34" t="inlineStr">
        <is>
          <t>R470-v1</t>
        </is>
      </c>
      <c r="B675" s="34" t="inlineStr">
        <is>
          <t>Contractor Programme</t>
        </is>
      </c>
      <c r="C675" s="34" t="inlineStr">
        <is>
          <t>SCH-03-110</t>
        </is>
      </c>
      <c r="D675" s="34" t="inlineStr">
        <is>
          <t>1.3.1 Systems - Traction Power</t>
        </is>
      </c>
      <c r="E675" s="34" t="inlineStr">
        <is>
          <t>New</t>
        </is>
      </c>
      <c r="F675" s="14" t="inlineStr"/>
      <c r="G675" s="34" t="inlineStr">
        <is>
          <t>Source assignment -- not individually reviewed</t>
        </is>
      </c>
      <c r="H675" s="92" t="inlineStr">
        <is>
          <t>10 EVIDENCE &amp; DECISIONS</t>
        </is>
      </c>
    </row>
    <row r="676" ht="34" customHeight="1">
      <c r="A676" s="34" t="inlineStr">
        <is>
          <t>R472-v1</t>
        </is>
      </c>
      <c r="B676" s="34" t="inlineStr">
        <is>
          <t>Contractor Programme</t>
        </is>
      </c>
      <c r="C676" s="34" t="inlineStr">
        <is>
          <t>SCH-03-112</t>
        </is>
      </c>
      <c r="D676" s="34" t="inlineStr">
        <is>
          <t>1.3.1 Systems - Traction Power</t>
        </is>
      </c>
      <c r="E676" s="34" t="inlineStr">
        <is>
          <t>New</t>
        </is>
      </c>
      <c r="F676" s="14" t="inlineStr"/>
      <c r="G676" s="34" t="inlineStr">
        <is>
          <t>Source assignment -- not individually reviewed</t>
        </is>
      </c>
      <c r="H676" s="92" t="inlineStr">
        <is>
          <t>10 EVIDENCE &amp; DECISIONS</t>
        </is>
      </c>
    </row>
    <row r="677" ht="34" customHeight="1">
      <c r="A677" s="34" t="inlineStr">
        <is>
          <t>R473-v1</t>
        </is>
      </c>
      <c r="B677" s="34" t="inlineStr">
        <is>
          <t>Contractor Programme</t>
        </is>
      </c>
      <c r="C677" s="34" t="inlineStr">
        <is>
          <t>SCH-03-113</t>
        </is>
      </c>
      <c r="D677" s="34" t="inlineStr">
        <is>
          <t>1.3.1 Systems - Traction Power</t>
        </is>
      </c>
      <c r="E677" s="34" t="inlineStr">
        <is>
          <t>New</t>
        </is>
      </c>
      <c r="F677" s="14" t="inlineStr"/>
      <c r="G677" s="34" t="inlineStr">
        <is>
          <t>Source assignment -- not individually reviewed</t>
        </is>
      </c>
      <c r="H677" s="92" t="inlineStr">
        <is>
          <t>10 EVIDENCE &amp; DECISIONS</t>
        </is>
      </c>
    </row>
    <row r="678" ht="34" customHeight="1">
      <c r="A678" s="34" t="inlineStr">
        <is>
          <t>R475-v1</t>
        </is>
      </c>
      <c r="B678" s="34" t="inlineStr">
        <is>
          <t>Contractor Programme</t>
        </is>
      </c>
      <c r="C678" s="34" t="inlineStr">
        <is>
          <t>SCH-03-115</t>
        </is>
      </c>
      <c r="D678" s="34" t="inlineStr">
        <is>
          <t>1.3.1 Systems - Traction Power</t>
        </is>
      </c>
      <c r="E678" s="34" t="inlineStr">
        <is>
          <t>New</t>
        </is>
      </c>
      <c r="F678" s="14" t="inlineStr"/>
      <c r="G678" s="34" t="inlineStr">
        <is>
          <t>Source assignment -- not individually reviewed</t>
        </is>
      </c>
      <c r="H678" s="92" t="inlineStr">
        <is>
          <t>10 EVIDENCE &amp; DECISIONS</t>
        </is>
      </c>
    </row>
    <row r="679" ht="34" customHeight="1">
      <c r="A679" s="34" t="inlineStr">
        <is>
          <t>R476-v1</t>
        </is>
      </c>
      <c r="B679" s="34" t="inlineStr">
        <is>
          <t>Contractor Programme</t>
        </is>
      </c>
      <c r="C679" s="34" t="inlineStr">
        <is>
          <t>SCH-03-116</t>
        </is>
      </c>
      <c r="D679" s="34" t="inlineStr">
        <is>
          <t>1.3.1 Systems - Traction Power</t>
        </is>
      </c>
      <c r="E679" s="34" t="inlineStr">
        <is>
          <t>New</t>
        </is>
      </c>
      <c r="F679" s="14" t="inlineStr"/>
      <c r="G679" s="34" t="inlineStr">
        <is>
          <t>Source assignment -- not individually reviewed</t>
        </is>
      </c>
      <c r="H679" s="92" t="inlineStr">
        <is>
          <t>10 EVIDENCE &amp; DECISIONS</t>
        </is>
      </c>
    </row>
    <row r="680" ht="34" customHeight="1">
      <c r="A680" s="34" t="inlineStr">
        <is>
          <t>R478-v1</t>
        </is>
      </c>
      <c r="B680" s="34" t="inlineStr">
        <is>
          <t>Contractor Programme</t>
        </is>
      </c>
      <c r="C680" s="34" t="inlineStr">
        <is>
          <t>SCH-03-118</t>
        </is>
      </c>
      <c r="D680" s="34" t="inlineStr">
        <is>
          <t>1.3.1 Systems - Traction Power</t>
        </is>
      </c>
      <c r="E680" s="34" t="inlineStr">
        <is>
          <t>New</t>
        </is>
      </c>
      <c r="F680" s="14" t="inlineStr"/>
      <c r="G680" s="34" t="inlineStr">
        <is>
          <t>Source assignment -- not individually reviewed</t>
        </is>
      </c>
      <c r="H680" s="92" t="inlineStr">
        <is>
          <t>10 EVIDENCE &amp; DECISIONS</t>
        </is>
      </c>
    </row>
    <row r="681" ht="34" customHeight="1">
      <c r="A681" s="34" t="inlineStr">
        <is>
          <t>R479-v1</t>
        </is>
      </c>
      <c r="B681" s="34" t="inlineStr">
        <is>
          <t>Contractor Programme</t>
        </is>
      </c>
      <c r="C681" s="34" t="inlineStr">
        <is>
          <t>SCH-03-119</t>
        </is>
      </c>
      <c r="D681" s="34" t="inlineStr">
        <is>
          <t>1.3.1 Systems - Traction Power</t>
        </is>
      </c>
      <c r="E681" s="34" t="inlineStr">
        <is>
          <t>New</t>
        </is>
      </c>
      <c r="F681" s="14" t="inlineStr"/>
      <c r="G681" s="34" t="inlineStr">
        <is>
          <t>Source assignment -- not individually reviewed</t>
        </is>
      </c>
      <c r="H681" s="92" t="inlineStr">
        <is>
          <t>10 EVIDENCE &amp; DECISIONS</t>
        </is>
      </c>
    </row>
    <row r="682" ht="34" customHeight="1">
      <c r="A682" s="34" t="inlineStr">
        <is>
          <t>R481-v1</t>
        </is>
      </c>
      <c r="B682" s="34" t="inlineStr">
        <is>
          <t>Contractor Programme</t>
        </is>
      </c>
      <c r="C682" s="34" t="inlineStr">
        <is>
          <t>SCH-03-121</t>
        </is>
      </c>
      <c r="D682" s="34" t="inlineStr">
        <is>
          <t>1.3.1 Systems - Traction Power</t>
        </is>
      </c>
      <c r="E682" s="34" t="inlineStr">
        <is>
          <t>New</t>
        </is>
      </c>
      <c r="F682" s="14" t="inlineStr"/>
      <c r="G682" s="34" t="inlineStr">
        <is>
          <t>Source assignment -- not individually reviewed</t>
        </is>
      </c>
      <c r="H682" s="92" t="inlineStr">
        <is>
          <t>10 EVIDENCE &amp; DECISIONS</t>
        </is>
      </c>
    </row>
    <row r="683" ht="34" customHeight="1">
      <c r="A683" s="34" t="inlineStr">
        <is>
          <t>R482-v1</t>
        </is>
      </c>
      <c r="B683" s="34" t="inlineStr">
        <is>
          <t>Contractor Programme</t>
        </is>
      </c>
      <c r="C683" s="34" t="inlineStr">
        <is>
          <t>SCH-03-122</t>
        </is>
      </c>
      <c r="D683" s="34" t="inlineStr">
        <is>
          <t>1.3.1 Systems - Traction Power</t>
        </is>
      </c>
      <c r="E683" s="34" t="inlineStr">
        <is>
          <t>New</t>
        </is>
      </c>
      <c r="F683" s="14" t="inlineStr"/>
      <c r="G683" s="34" t="inlineStr">
        <is>
          <t>Source assignment -- not individually reviewed</t>
        </is>
      </c>
      <c r="H683" s="92" t="inlineStr">
        <is>
          <t>10 EVIDENCE &amp; DECISIONS</t>
        </is>
      </c>
    </row>
    <row r="684" ht="34" customHeight="1">
      <c r="A684" s="34" t="inlineStr">
        <is>
          <t>R484-v1</t>
        </is>
      </c>
      <c r="B684" s="34" t="inlineStr">
        <is>
          <t>Contractor Programme</t>
        </is>
      </c>
      <c r="C684" s="34" t="inlineStr">
        <is>
          <t>SCH-03-124</t>
        </is>
      </c>
      <c r="D684" s="34" t="inlineStr">
        <is>
          <t>1.3.1 Systems - Traction Power</t>
        </is>
      </c>
      <c r="E684" s="34" t="inlineStr">
        <is>
          <t>New</t>
        </is>
      </c>
      <c r="F684" s="14" t="inlineStr"/>
      <c r="G684" s="34" t="inlineStr">
        <is>
          <t>Source assignment -- not individually reviewed</t>
        </is>
      </c>
      <c r="H684" s="92" t="inlineStr">
        <is>
          <t>10 EVIDENCE &amp; DECISIONS</t>
        </is>
      </c>
    </row>
    <row r="685" ht="34" customHeight="1">
      <c r="A685" s="34" t="inlineStr">
        <is>
          <t>R485-v1</t>
        </is>
      </c>
      <c r="B685" s="34" t="inlineStr">
        <is>
          <t>Contractor Programme</t>
        </is>
      </c>
      <c r="C685" s="34" t="inlineStr">
        <is>
          <t>SCH-03-125</t>
        </is>
      </c>
      <c r="D685" s="34" t="inlineStr">
        <is>
          <t>1.3.1 Systems - Traction Power</t>
        </is>
      </c>
      <c r="E685" s="34" t="inlineStr">
        <is>
          <t>New</t>
        </is>
      </c>
      <c r="F685" s="14" t="inlineStr"/>
      <c r="G685" s="34" t="inlineStr">
        <is>
          <t>Source assignment -- not individually reviewed</t>
        </is>
      </c>
      <c r="H685" s="92" t="inlineStr">
        <is>
          <t>10 EVIDENCE &amp; DECISIONS</t>
        </is>
      </c>
    </row>
    <row r="686" ht="34" customHeight="1">
      <c r="A686" s="34" t="inlineStr">
        <is>
          <t>R487-v1</t>
        </is>
      </c>
      <c r="B686" s="34" t="inlineStr">
        <is>
          <t>Contractor Programme</t>
        </is>
      </c>
      <c r="C686" s="34" t="inlineStr">
        <is>
          <t>SCH-03-127</t>
        </is>
      </c>
      <c r="D686" s="34" t="inlineStr">
        <is>
          <t>1.3.1 Systems - Traction Power</t>
        </is>
      </c>
      <c r="E686" s="34" t="inlineStr">
        <is>
          <t>New</t>
        </is>
      </c>
      <c r="F686" s="14" t="inlineStr"/>
      <c r="G686" s="34" t="inlineStr">
        <is>
          <t>Source assignment -- not individually reviewed</t>
        </is>
      </c>
      <c r="H686" s="92" t="inlineStr">
        <is>
          <t>10 EVIDENCE &amp; DECISIONS</t>
        </is>
      </c>
    </row>
    <row r="687" ht="34" customHeight="1">
      <c r="A687" s="34" t="inlineStr">
        <is>
          <t>R488-v1</t>
        </is>
      </c>
      <c r="B687" s="34" t="inlineStr">
        <is>
          <t>Contractor Programme</t>
        </is>
      </c>
      <c r="C687" s="34" t="inlineStr">
        <is>
          <t>SCH-03-128</t>
        </is>
      </c>
      <c r="D687" s="34" t="inlineStr">
        <is>
          <t>1.3.1 Systems - Traction Power</t>
        </is>
      </c>
      <c r="E687" s="34" t="inlineStr">
        <is>
          <t>New</t>
        </is>
      </c>
      <c r="F687" s="14" t="inlineStr"/>
      <c r="G687" s="34" t="inlineStr">
        <is>
          <t>Source assignment -- not individually reviewed</t>
        </is>
      </c>
      <c r="H687" s="92" t="inlineStr">
        <is>
          <t>10 EVIDENCE &amp; DECISIONS</t>
        </is>
      </c>
    </row>
    <row r="688" ht="34" customHeight="1">
      <c r="A688" s="34" t="inlineStr">
        <is>
          <t>R490-v1</t>
        </is>
      </c>
      <c r="B688" s="34" t="inlineStr">
        <is>
          <t>Contractor Programme</t>
        </is>
      </c>
      <c r="C688" s="34" t="inlineStr">
        <is>
          <t>SCH-03-130</t>
        </is>
      </c>
      <c r="D688" s="34" t="inlineStr">
        <is>
          <t>1.3.1 Systems - Traction Power</t>
        </is>
      </c>
      <c r="E688" s="34" t="inlineStr">
        <is>
          <t>New</t>
        </is>
      </c>
      <c r="F688" s="14" t="inlineStr"/>
      <c r="G688" s="34" t="inlineStr">
        <is>
          <t>Source assignment -- not individually reviewed</t>
        </is>
      </c>
      <c r="H688" s="92" t="inlineStr">
        <is>
          <t>10 EVIDENCE &amp; DECISIONS</t>
        </is>
      </c>
    </row>
    <row r="689" ht="34" customHeight="1">
      <c r="A689" s="34" t="inlineStr">
        <is>
          <t>R491-v1</t>
        </is>
      </c>
      <c r="B689" s="34" t="inlineStr">
        <is>
          <t>Contractor Programme</t>
        </is>
      </c>
      <c r="C689" s="34" t="inlineStr">
        <is>
          <t>SCH-03-131</t>
        </is>
      </c>
      <c r="D689" s="34" t="inlineStr">
        <is>
          <t>1.3.1 Systems - Traction Power</t>
        </is>
      </c>
      <c r="E689" s="34" t="inlineStr">
        <is>
          <t>New</t>
        </is>
      </c>
      <c r="F689" s="14" t="inlineStr"/>
      <c r="G689" s="34" t="inlineStr">
        <is>
          <t>Source assignment -- not individually reviewed</t>
        </is>
      </c>
      <c r="H689" s="92" t="inlineStr">
        <is>
          <t>10 EVIDENCE &amp; DECISIONS</t>
        </is>
      </c>
    </row>
    <row r="690" ht="34" customHeight="1">
      <c r="A690" s="34" t="inlineStr">
        <is>
          <t>R493-v1</t>
        </is>
      </c>
      <c r="B690" s="34" t="inlineStr">
        <is>
          <t>Contractor Programme</t>
        </is>
      </c>
      <c r="C690" s="34" t="inlineStr">
        <is>
          <t>SCH-03-133</t>
        </is>
      </c>
      <c r="D690" s="34" t="inlineStr">
        <is>
          <t>1.3.1 Systems - Traction Power</t>
        </is>
      </c>
      <c r="E690" s="34" t="inlineStr">
        <is>
          <t>New</t>
        </is>
      </c>
      <c r="F690" s="14" t="inlineStr"/>
      <c r="G690" s="34" t="inlineStr">
        <is>
          <t>Source assignment -- not individually reviewed</t>
        </is>
      </c>
      <c r="H690" s="92" t="inlineStr">
        <is>
          <t>10 EVIDENCE &amp; DECISIONS</t>
        </is>
      </c>
    </row>
    <row r="691" ht="34" customHeight="1">
      <c r="A691" s="34" t="inlineStr">
        <is>
          <t>R494-v1</t>
        </is>
      </c>
      <c r="B691" s="34" t="inlineStr">
        <is>
          <t>Contractor Programme</t>
        </is>
      </c>
      <c r="C691" s="34" t="inlineStr">
        <is>
          <t>SCH-03-134</t>
        </is>
      </c>
      <c r="D691" s="34" t="inlineStr">
        <is>
          <t>1.3.1 Systems - Traction Power</t>
        </is>
      </c>
      <c r="E691" s="34" t="inlineStr">
        <is>
          <t>New</t>
        </is>
      </c>
      <c r="F691" s="14" t="inlineStr"/>
      <c r="G691" s="34" t="inlineStr">
        <is>
          <t>Source assignment -- not individually reviewed</t>
        </is>
      </c>
      <c r="H691" s="92" t="inlineStr">
        <is>
          <t>10 EVIDENCE &amp; DECISIONS</t>
        </is>
      </c>
    </row>
    <row r="692" ht="34" customHeight="1">
      <c r="A692" s="34" t="inlineStr">
        <is>
          <t>R496-v1</t>
        </is>
      </c>
      <c r="B692" s="34" t="inlineStr">
        <is>
          <t>Contractor Programme</t>
        </is>
      </c>
      <c r="C692" s="34" t="inlineStr">
        <is>
          <t>SCH-03-136</t>
        </is>
      </c>
      <c r="D692" s="34" t="inlineStr">
        <is>
          <t>1.3.1 Systems - Traction Power</t>
        </is>
      </c>
      <c r="E692" s="34" t="inlineStr">
        <is>
          <t>New</t>
        </is>
      </c>
      <c r="F692" s="14" t="inlineStr"/>
      <c r="G692" s="34" t="inlineStr">
        <is>
          <t>Source assignment -- not individually reviewed</t>
        </is>
      </c>
      <c r="H692" s="92" t="inlineStr">
        <is>
          <t>10 EVIDENCE &amp; DECISIONS</t>
        </is>
      </c>
    </row>
    <row r="693" ht="34" customHeight="1">
      <c r="A693" s="34" t="inlineStr">
        <is>
          <t>R497-v1</t>
        </is>
      </c>
      <c r="B693" s="34" t="inlineStr">
        <is>
          <t>Contractor Programme</t>
        </is>
      </c>
      <c r="C693" s="34" t="inlineStr">
        <is>
          <t>SCH-03-137</t>
        </is>
      </c>
      <c r="D693" s="34" t="inlineStr">
        <is>
          <t>1.3.1 Systems - Traction Power</t>
        </is>
      </c>
      <c r="E693" s="34" t="inlineStr">
        <is>
          <t>New</t>
        </is>
      </c>
      <c r="F693" s="14" t="inlineStr"/>
      <c r="G693" s="34" t="inlineStr">
        <is>
          <t>Source assignment -- not individually reviewed</t>
        </is>
      </c>
      <c r="H693" s="92" t="inlineStr">
        <is>
          <t>10 EVIDENCE &amp; DECISIONS</t>
        </is>
      </c>
    </row>
    <row r="694" ht="34" customHeight="1">
      <c r="A694" s="34" t="inlineStr">
        <is>
          <t>R499-v1</t>
        </is>
      </c>
      <c r="B694" s="34" t="inlineStr">
        <is>
          <t>Contractor Programme</t>
        </is>
      </c>
      <c r="C694" s="34" t="inlineStr">
        <is>
          <t>SCH-03-139</t>
        </is>
      </c>
      <c r="D694" s="34" t="inlineStr">
        <is>
          <t>1.3.1 Systems - Traction Power</t>
        </is>
      </c>
      <c r="E694" s="34" t="inlineStr">
        <is>
          <t>New</t>
        </is>
      </c>
      <c r="F694" s="14" t="inlineStr"/>
      <c r="G694" s="34" t="inlineStr">
        <is>
          <t>Source assignment -- not individually reviewed</t>
        </is>
      </c>
      <c r="H694" s="92" t="inlineStr">
        <is>
          <t>10 EVIDENCE &amp; DECISIONS</t>
        </is>
      </c>
    </row>
    <row r="695" ht="34" customHeight="1">
      <c r="A695" s="34" t="inlineStr">
        <is>
          <t>R500-v1</t>
        </is>
      </c>
      <c r="B695" s="34" t="inlineStr">
        <is>
          <t>Contractor Programme</t>
        </is>
      </c>
      <c r="C695" s="34" t="inlineStr">
        <is>
          <t>SCH-03-140</t>
        </is>
      </c>
      <c r="D695" s="34" t="inlineStr">
        <is>
          <t>1.3.1 Systems - Traction Power</t>
        </is>
      </c>
      <c r="E695" s="34" t="inlineStr">
        <is>
          <t>New</t>
        </is>
      </c>
      <c r="F695" s="14" t="inlineStr"/>
      <c r="G695" s="34" t="inlineStr">
        <is>
          <t>Source assignment -- not individually reviewed</t>
        </is>
      </c>
      <c r="H695" s="92" t="inlineStr">
        <is>
          <t>10 EVIDENCE &amp; DECISIONS</t>
        </is>
      </c>
    </row>
    <row r="696" ht="34" customHeight="1">
      <c r="A696" s="34" t="inlineStr">
        <is>
          <t>R502-v1</t>
        </is>
      </c>
      <c r="B696" s="34" t="inlineStr">
        <is>
          <t>Contractor Programme</t>
        </is>
      </c>
      <c r="C696" s="34" t="inlineStr">
        <is>
          <t>SCH-03-142</t>
        </is>
      </c>
      <c r="D696" s="34" t="inlineStr">
        <is>
          <t>1.3.1 Systems - Traction Power</t>
        </is>
      </c>
      <c r="E696" s="34" t="inlineStr">
        <is>
          <t>New</t>
        </is>
      </c>
      <c r="F696" s="14" t="inlineStr"/>
      <c r="G696" s="34" t="inlineStr">
        <is>
          <t>Source assignment -- not individually reviewed</t>
        </is>
      </c>
      <c r="H696" s="92" t="inlineStr">
        <is>
          <t>10 EVIDENCE &amp; DECISIONS</t>
        </is>
      </c>
    </row>
    <row r="697" ht="34" customHeight="1">
      <c r="A697" s="34" t="inlineStr">
        <is>
          <t>R503-v1</t>
        </is>
      </c>
      <c r="B697" s="34" t="inlineStr">
        <is>
          <t>Contractor Programme</t>
        </is>
      </c>
      <c r="C697" s="34" t="inlineStr">
        <is>
          <t>SCH-03-143</t>
        </is>
      </c>
      <c r="D697" s="34" t="inlineStr">
        <is>
          <t>1.3.1 Systems - Traction Power</t>
        </is>
      </c>
      <c r="E697" s="34" t="inlineStr">
        <is>
          <t>New</t>
        </is>
      </c>
      <c r="F697" s="14" t="inlineStr"/>
      <c r="G697" s="34" t="inlineStr">
        <is>
          <t>Source assignment -- not individually reviewed</t>
        </is>
      </c>
      <c r="H697" s="92" t="inlineStr">
        <is>
          <t>10 EVIDENCE &amp; DECISIONS</t>
        </is>
      </c>
    </row>
    <row r="698" ht="34" customHeight="1">
      <c r="A698" s="34" t="inlineStr">
        <is>
          <t>R505-v1</t>
        </is>
      </c>
      <c r="B698" s="34" t="inlineStr">
        <is>
          <t>Contractor Programme</t>
        </is>
      </c>
      <c r="C698" s="34" t="inlineStr">
        <is>
          <t>SCH-03-145</t>
        </is>
      </c>
      <c r="D698" s="34" t="inlineStr">
        <is>
          <t>1.3.1 Systems - Traction Power</t>
        </is>
      </c>
      <c r="E698" s="34" t="inlineStr">
        <is>
          <t>New</t>
        </is>
      </c>
      <c r="F698" s="14" t="inlineStr"/>
      <c r="G698" s="34" t="inlineStr">
        <is>
          <t>Source assignment -- not individually reviewed</t>
        </is>
      </c>
      <c r="H698" s="92" t="inlineStr">
        <is>
          <t>10 EVIDENCE &amp; DECISIONS</t>
        </is>
      </c>
    </row>
    <row r="699" ht="34" customHeight="1">
      <c r="A699" s="34" t="inlineStr">
        <is>
          <t>R506-v1</t>
        </is>
      </c>
      <c r="B699" s="34" t="inlineStr">
        <is>
          <t>Contractor Programme</t>
        </is>
      </c>
      <c r="C699" s="34" t="inlineStr">
        <is>
          <t>SCH-03-146</t>
        </is>
      </c>
      <c r="D699" s="34" t="inlineStr">
        <is>
          <t>1.3.1 Systems - Traction Power</t>
        </is>
      </c>
      <c r="E699" s="34" t="inlineStr">
        <is>
          <t>New</t>
        </is>
      </c>
      <c r="F699" s="14" t="inlineStr"/>
      <c r="G699" s="34" t="inlineStr">
        <is>
          <t>Source assignment -- not individually reviewed</t>
        </is>
      </c>
      <c r="H699" s="92" t="inlineStr">
        <is>
          <t>10 EVIDENCE &amp; DECISIONS</t>
        </is>
      </c>
    </row>
    <row r="700" ht="34" customHeight="1">
      <c r="A700" s="34" t="inlineStr">
        <is>
          <t>R508-v1</t>
        </is>
      </c>
      <c r="B700" s="34" t="inlineStr">
        <is>
          <t>Contractor Programme</t>
        </is>
      </c>
      <c r="C700" s="34" t="inlineStr">
        <is>
          <t>SCH-03-148</t>
        </is>
      </c>
      <c r="D700" s="34" t="inlineStr">
        <is>
          <t>1.3.1 Systems - Traction Power</t>
        </is>
      </c>
      <c r="E700" s="34" t="inlineStr">
        <is>
          <t>New</t>
        </is>
      </c>
      <c r="F700" s="14" t="inlineStr"/>
      <c r="G700" s="34" t="inlineStr">
        <is>
          <t>Source assignment -- not individually reviewed</t>
        </is>
      </c>
      <c r="H700" s="92" t="inlineStr">
        <is>
          <t>10 EVIDENCE &amp; DECISIONS</t>
        </is>
      </c>
    </row>
    <row r="701" ht="34" customHeight="1">
      <c r="A701" s="34" t="inlineStr">
        <is>
          <t>R509-v1</t>
        </is>
      </c>
      <c r="B701" s="34" t="inlineStr">
        <is>
          <t>Contractor Programme</t>
        </is>
      </c>
      <c r="C701" s="34" t="inlineStr">
        <is>
          <t>SCH-03-149</t>
        </is>
      </c>
      <c r="D701" s="34" t="inlineStr">
        <is>
          <t>1.3.1 Systems - Traction Power</t>
        </is>
      </c>
      <c r="E701" s="34" t="inlineStr">
        <is>
          <t>New</t>
        </is>
      </c>
      <c r="F701" s="14" t="inlineStr"/>
      <c r="G701" s="34" t="inlineStr">
        <is>
          <t>Source assignment -- not individually reviewed</t>
        </is>
      </c>
      <c r="H701" s="92" t="inlineStr">
        <is>
          <t>10 EVIDENCE &amp; DECISIONS</t>
        </is>
      </c>
    </row>
    <row r="702" ht="34" customHeight="1">
      <c r="A702" s="34" t="inlineStr">
        <is>
          <t>R511-v1</t>
        </is>
      </c>
      <c r="B702" s="34" t="inlineStr">
        <is>
          <t>Contractor Programme</t>
        </is>
      </c>
      <c r="C702" s="34" t="inlineStr">
        <is>
          <t>SCH-03-151</t>
        </is>
      </c>
      <c r="D702" s="34" t="inlineStr">
        <is>
          <t>1.3.1 Systems - Traction Power</t>
        </is>
      </c>
      <c r="E702" s="34" t="inlineStr">
        <is>
          <t>New</t>
        </is>
      </c>
      <c r="F702" s="14" t="inlineStr"/>
      <c r="G702" s="34" t="inlineStr">
        <is>
          <t>Source assignment -- not individually reviewed</t>
        </is>
      </c>
      <c r="H702" s="92" t="inlineStr">
        <is>
          <t>10 EVIDENCE &amp; DECISIONS</t>
        </is>
      </c>
    </row>
    <row r="703" ht="34" customHeight="1">
      <c r="A703" s="34" t="inlineStr">
        <is>
          <t>R512-v1</t>
        </is>
      </c>
      <c r="B703" s="34" t="inlineStr">
        <is>
          <t>Contractor Programme</t>
        </is>
      </c>
      <c r="C703" s="34" t="inlineStr">
        <is>
          <t>SCH-03-152</t>
        </is>
      </c>
      <c r="D703" s="34" t="inlineStr">
        <is>
          <t>1.3.1 Systems - Traction Power</t>
        </is>
      </c>
      <c r="E703" s="34" t="inlineStr">
        <is>
          <t>New</t>
        </is>
      </c>
      <c r="F703" s="14" t="inlineStr"/>
      <c r="G703" s="34" t="inlineStr">
        <is>
          <t>Source assignment -- not individually reviewed</t>
        </is>
      </c>
      <c r="H703" s="92" t="inlineStr">
        <is>
          <t>10 EVIDENCE &amp; DECISIONS</t>
        </is>
      </c>
    </row>
    <row r="704" ht="34" customHeight="1">
      <c r="A704" s="34" t="inlineStr">
        <is>
          <t>R514-v1</t>
        </is>
      </c>
      <c r="B704" s="34" t="inlineStr">
        <is>
          <t>Contractor Programme</t>
        </is>
      </c>
      <c r="C704" s="34" t="inlineStr">
        <is>
          <t>SCH-03-154</t>
        </is>
      </c>
      <c r="D704" s="34" t="inlineStr">
        <is>
          <t>1.3.1 Systems - Traction Power</t>
        </is>
      </c>
      <c r="E704" s="34" t="inlineStr">
        <is>
          <t>New</t>
        </is>
      </c>
      <c r="F704" s="14" t="inlineStr"/>
      <c r="G704" s="34" t="inlineStr">
        <is>
          <t>Source assignment -- not individually reviewed</t>
        </is>
      </c>
      <c r="H704" s="92" t="inlineStr">
        <is>
          <t>10 EVIDENCE &amp; DECISIONS</t>
        </is>
      </c>
    </row>
    <row r="705" ht="34" customHeight="1">
      <c r="A705" s="34" t="inlineStr">
        <is>
          <t>R515-v1</t>
        </is>
      </c>
      <c r="B705" s="34" t="inlineStr">
        <is>
          <t>Contractor Programme</t>
        </is>
      </c>
      <c r="C705" s="34" t="inlineStr">
        <is>
          <t>SCH-03-155</t>
        </is>
      </c>
      <c r="D705" s="34" t="inlineStr">
        <is>
          <t>1.3.1 Systems - Traction Power</t>
        </is>
      </c>
      <c r="E705" s="34" t="inlineStr">
        <is>
          <t>New</t>
        </is>
      </c>
      <c r="F705" s="14" t="inlineStr"/>
      <c r="G705" s="34" t="inlineStr">
        <is>
          <t>Source assignment -- not individually reviewed</t>
        </is>
      </c>
      <c r="H705" s="92" t="inlineStr">
        <is>
          <t>10 EVIDENCE &amp; DECISIONS</t>
        </is>
      </c>
    </row>
    <row r="706" ht="34" customHeight="1">
      <c r="A706" s="34" t="inlineStr">
        <is>
          <t>R517-v1</t>
        </is>
      </c>
      <c r="B706" s="34" t="inlineStr">
        <is>
          <t>Contractor Programme</t>
        </is>
      </c>
      <c r="C706" s="34" t="inlineStr">
        <is>
          <t>SCH-03-157</t>
        </is>
      </c>
      <c r="D706" s="34" t="inlineStr">
        <is>
          <t>1.3.1 Systems - Traction Power</t>
        </is>
      </c>
      <c r="E706" s="34" t="inlineStr">
        <is>
          <t>New</t>
        </is>
      </c>
      <c r="F706" s="14" t="inlineStr"/>
      <c r="G706" s="34" t="inlineStr">
        <is>
          <t>Source assignment -- not individually reviewed</t>
        </is>
      </c>
      <c r="H706" s="92" t="inlineStr">
        <is>
          <t>10 EVIDENCE &amp; DECISIONS</t>
        </is>
      </c>
    </row>
    <row r="707" ht="34" customHeight="1">
      <c r="A707" s="34" t="inlineStr">
        <is>
          <t>R518-v1</t>
        </is>
      </c>
      <c r="B707" s="34" t="inlineStr">
        <is>
          <t>Contractor Programme</t>
        </is>
      </c>
      <c r="C707" s="34" t="inlineStr">
        <is>
          <t>SCH-03-158</t>
        </is>
      </c>
      <c r="D707" s="34" t="inlineStr">
        <is>
          <t>1.3.1 Systems - Traction Power</t>
        </is>
      </c>
      <c r="E707" s="34" t="inlineStr">
        <is>
          <t>New</t>
        </is>
      </c>
      <c r="F707" s="14" t="inlineStr"/>
      <c r="G707" s="34" t="inlineStr">
        <is>
          <t>Source assignment -- not individually reviewed</t>
        </is>
      </c>
      <c r="H707" s="92" t="inlineStr">
        <is>
          <t>10 EVIDENCE &amp; DECISIONS</t>
        </is>
      </c>
    </row>
    <row r="708" ht="34" customHeight="1">
      <c r="A708" s="34" t="inlineStr">
        <is>
          <t>R520-v1</t>
        </is>
      </c>
      <c r="B708" s="34" t="inlineStr">
        <is>
          <t>Contractor Programme</t>
        </is>
      </c>
      <c r="C708" s="34" t="inlineStr">
        <is>
          <t>SCH-03-160</t>
        </is>
      </c>
      <c r="D708" s="34" t="inlineStr">
        <is>
          <t>1.3.1 Systems - Traction Power</t>
        </is>
      </c>
      <c r="E708" s="34" t="inlineStr">
        <is>
          <t>New</t>
        </is>
      </c>
      <c r="F708" s="14" t="inlineStr"/>
      <c r="G708" s="34" t="inlineStr">
        <is>
          <t>Source assignment -- not individually reviewed</t>
        </is>
      </c>
      <c r="H708" s="92" t="inlineStr">
        <is>
          <t>10 EVIDENCE &amp; DECISIONS</t>
        </is>
      </c>
    </row>
    <row r="709" ht="34" customHeight="1">
      <c r="A709" s="34" t="inlineStr">
        <is>
          <t>R521-v1</t>
        </is>
      </c>
      <c r="B709" s="34" t="inlineStr">
        <is>
          <t>Contractor Programme</t>
        </is>
      </c>
      <c r="C709" s="34" t="inlineStr">
        <is>
          <t>SCH-03-161</t>
        </is>
      </c>
      <c r="D709" s="34" t="inlineStr">
        <is>
          <t>1.3.1 Systems - Traction Power</t>
        </is>
      </c>
      <c r="E709" s="34" t="inlineStr">
        <is>
          <t>New</t>
        </is>
      </c>
      <c r="F709" s="14" t="inlineStr"/>
      <c r="G709" s="34" t="inlineStr">
        <is>
          <t>Source assignment -- not individually reviewed</t>
        </is>
      </c>
      <c r="H709" s="92" t="inlineStr">
        <is>
          <t>10 EVIDENCE &amp; DECISIONS</t>
        </is>
      </c>
    </row>
    <row r="710" ht="34" customHeight="1">
      <c r="A710" s="34" t="inlineStr">
        <is>
          <t>R523-v1</t>
        </is>
      </c>
      <c r="B710" s="34" t="inlineStr">
        <is>
          <t>Contractor Programme</t>
        </is>
      </c>
      <c r="C710" s="34" t="inlineStr">
        <is>
          <t>SCH-03-163</t>
        </is>
      </c>
      <c r="D710" s="34" t="inlineStr">
        <is>
          <t>1.3.1 Systems - Traction Power</t>
        </is>
      </c>
      <c r="E710" s="34" t="inlineStr">
        <is>
          <t>New</t>
        </is>
      </c>
      <c r="F710" s="14" t="inlineStr"/>
      <c r="G710" s="34" t="inlineStr">
        <is>
          <t>Source assignment -- not individually reviewed</t>
        </is>
      </c>
      <c r="H710" s="92" t="inlineStr">
        <is>
          <t>10 EVIDENCE &amp; DECISIONS</t>
        </is>
      </c>
    </row>
    <row r="711" ht="34" customHeight="1">
      <c r="A711" s="34" t="inlineStr">
        <is>
          <t>R524-v1</t>
        </is>
      </c>
      <c r="B711" s="34" t="inlineStr">
        <is>
          <t>Contractor Programme</t>
        </is>
      </c>
      <c r="C711" s="34" t="inlineStr">
        <is>
          <t>SCH-03-164</t>
        </is>
      </c>
      <c r="D711" s="34" t="inlineStr">
        <is>
          <t>1.3.1 Systems - Traction Power</t>
        </is>
      </c>
      <c r="E711" s="34" t="inlineStr">
        <is>
          <t>New</t>
        </is>
      </c>
      <c r="F711" s="14" t="inlineStr"/>
      <c r="G711" s="34" t="inlineStr">
        <is>
          <t>Source assignment -- not individually reviewed</t>
        </is>
      </c>
      <c r="H711" s="92" t="inlineStr">
        <is>
          <t>10 EVIDENCE &amp; DECISIONS</t>
        </is>
      </c>
    </row>
    <row r="712" ht="34" customHeight="1">
      <c r="A712" s="34" t="inlineStr">
        <is>
          <t>R526-v1</t>
        </is>
      </c>
      <c r="B712" s="34" t="inlineStr">
        <is>
          <t>Contractor Programme</t>
        </is>
      </c>
      <c r="C712" s="34" t="inlineStr">
        <is>
          <t>SCH-03-166</t>
        </is>
      </c>
      <c r="D712" s="34" t="inlineStr">
        <is>
          <t>1.3.1 Systems - Traction Power</t>
        </is>
      </c>
      <c r="E712" s="34" t="inlineStr">
        <is>
          <t>New</t>
        </is>
      </c>
      <c r="F712" s="14" t="inlineStr"/>
      <c r="G712" s="34" t="inlineStr">
        <is>
          <t>Source assignment -- not individually reviewed</t>
        </is>
      </c>
      <c r="H712" s="92" t="inlineStr">
        <is>
          <t>10 EVIDENCE &amp; DECISIONS</t>
        </is>
      </c>
    </row>
    <row r="713" ht="34" customHeight="1">
      <c r="A713" s="34" t="inlineStr">
        <is>
          <t>R527-v1</t>
        </is>
      </c>
      <c r="B713" s="34" t="inlineStr">
        <is>
          <t>Contractor Programme</t>
        </is>
      </c>
      <c r="C713" s="34" t="inlineStr">
        <is>
          <t>SCH-03-167</t>
        </is>
      </c>
      <c r="D713" s="34" t="inlineStr">
        <is>
          <t>1.3.1 Systems - Traction Power</t>
        </is>
      </c>
      <c r="E713" s="34" t="inlineStr">
        <is>
          <t>New</t>
        </is>
      </c>
      <c r="F713" s="14" t="inlineStr"/>
      <c r="G713" s="34" t="inlineStr">
        <is>
          <t>Source assignment -- not individually reviewed</t>
        </is>
      </c>
      <c r="H713" s="92" t="inlineStr">
        <is>
          <t>10 EVIDENCE &amp; DECISIONS</t>
        </is>
      </c>
    </row>
    <row r="714" ht="34" customHeight="1">
      <c r="A714" s="34" t="inlineStr">
        <is>
          <t>R529-v1</t>
        </is>
      </c>
      <c r="B714" s="34" t="inlineStr">
        <is>
          <t>Contractor Programme</t>
        </is>
      </c>
      <c r="C714" s="34" t="inlineStr">
        <is>
          <t>SCH-03-169</t>
        </is>
      </c>
      <c r="D714" s="34" t="inlineStr">
        <is>
          <t>1.3.1 Systems - Traction Power</t>
        </is>
      </c>
      <c r="E714" s="34" t="inlineStr">
        <is>
          <t>New</t>
        </is>
      </c>
      <c r="F714" s="14" t="inlineStr"/>
      <c r="G714" s="34" t="inlineStr">
        <is>
          <t>Source assignment -- not individually reviewed</t>
        </is>
      </c>
      <c r="H714" s="92" t="inlineStr">
        <is>
          <t>10 EVIDENCE &amp; DECISIONS</t>
        </is>
      </c>
    </row>
    <row r="715" ht="34" customHeight="1">
      <c r="A715" s="34" t="inlineStr">
        <is>
          <t>R530-v1</t>
        </is>
      </c>
      <c r="B715" s="34" t="inlineStr">
        <is>
          <t>Contractor Programme</t>
        </is>
      </c>
      <c r="C715" s="34" t="inlineStr">
        <is>
          <t>SCH-03-170</t>
        </is>
      </c>
      <c r="D715" s="34" t="inlineStr">
        <is>
          <t>1.3.1 Systems - Traction Power</t>
        </is>
      </c>
      <c r="E715" s="34" t="inlineStr">
        <is>
          <t>New</t>
        </is>
      </c>
      <c r="F715" s="14" t="inlineStr"/>
      <c r="G715" s="34" t="inlineStr">
        <is>
          <t>Source assignment -- not individually reviewed</t>
        </is>
      </c>
      <c r="H715" s="92" t="inlineStr">
        <is>
          <t>10 EVIDENCE &amp; DECISIONS</t>
        </is>
      </c>
    </row>
    <row r="716" ht="34" customHeight="1">
      <c r="A716" s="34" t="inlineStr">
        <is>
          <t>R532-v1</t>
        </is>
      </c>
      <c r="B716" s="34" t="inlineStr">
        <is>
          <t>Contractor Programme</t>
        </is>
      </c>
      <c r="C716" s="34" t="inlineStr">
        <is>
          <t>SCH-03-172</t>
        </is>
      </c>
      <c r="D716" s="34" t="inlineStr">
        <is>
          <t>1.3.1 Systems - Traction Power</t>
        </is>
      </c>
      <c r="E716" s="34" t="inlineStr">
        <is>
          <t>New</t>
        </is>
      </c>
      <c r="F716" s="14" t="inlineStr"/>
      <c r="G716" s="34" t="inlineStr">
        <is>
          <t>Source assignment -- not individually reviewed</t>
        </is>
      </c>
      <c r="H716" s="92" t="inlineStr">
        <is>
          <t>10 EVIDENCE &amp; DECISIONS</t>
        </is>
      </c>
    </row>
    <row r="717" ht="34" customHeight="1">
      <c r="A717" s="34" t="inlineStr">
        <is>
          <t>R533-v1</t>
        </is>
      </c>
      <c r="B717" s="34" t="inlineStr">
        <is>
          <t>Contractor Programme</t>
        </is>
      </c>
      <c r="C717" s="34" t="inlineStr">
        <is>
          <t>SCH-03-173</t>
        </is>
      </c>
      <c r="D717" s="34" t="inlineStr">
        <is>
          <t>1.3.1 Systems - Traction Power</t>
        </is>
      </c>
      <c r="E717" s="34" t="inlineStr">
        <is>
          <t>New</t>
        </is>
      </c>
      <c r="F717" s="14" t="inlineStr"/>
      <c r="G717" s="34" t="inlineStr">
        <is>
          <t>Source assignment -- not individually reviewed</t>
        </is>
      </c>
      <c r="H717" s="92" t="inlineStr">
        <is>
          <t>10 EVIDENCE &amp; DECISIONS</t>
        </is>
      </c>
    </row>
    <row r="718" ht="34" customHeight="1">
      <c r="A718" s="34" t="inlineStr">
        <is>
          <t>R535-v1</t>
        </is>
      </c>
      <c r="B718" s="34" t="inlineStr">
        <is>
          <t>Contractor Programme</t>
        </is>
      </c>
      <c r="C718" s="34" t="inlineStr">
        <is>
          <t>SCH-03-175</t>
        </is>
      </c>
      <c r="D718" s="34" t="inlineStr">
        <is>
          <t>1.3.1 Systems - Traction Power</t>
        </is>
      </c>
      <c r="E718" s="34" t="inlineStr">
        <is>
          <t>New</t>
        </is>
      </c>
      <c r="F718" s="14" t="inlineStr"/>
      <c r="G718" s="34" t="inlineStr">
        <is>
          <t>Source assignment -- not individually reviewed</t>
        </is>
      </c>
      <c r="H718" s="92" t="inlineStr">
        <is>
          <t>10 EVIDENCE &amp; DECISIONS</t>
        </is>
      </c>
    </row>
    <row r="719" ht="34" customHeight="1">
      <c r="A719" s="34" t="inlineStr">
        <is>
          <t>R536-v1</t>
        </is>
      </c>
      <c r="B719" s="34" t="inlineStr">
        <is>
          <t>Contractor Programme</t>
        </is>
      </c>
      <c r="C719" s="34" t="inlineStr">
        <is>
          <t>SCH-03-176</t>
        </is>
      </c>
      <c r="D719" s="34" t="inlineStr">
        <is>
          <t>1.3.1 Systems - Traction Power</t>
        </is>
      </c>
      <c r="E719" s="34" t="inlineStr">
        <is>
          <t>New</t>
        </is>
      </c>
      <c r="F719" s="14" t="inlineStr"/>
      <c r="G719" s="34" t="inlineStr">
        <is>
          <t>Source assignment -- not individually reviewed</t>
        </is>
      </c>
      <c r="H719" s="92" t="inlineStr">
        <is>
          <t>10 EVIDENCE &amp; DECISIONS</t>
        </is>
      </c>
    </row>
    <row r="720" ht="34" customHeight="1">
      <c r="A720" s="34" t="inlineStr">
        <is>
          <t>R538-v1</t>
        </is>
      </c>
      <c r="B720" s="34" t="inlineStr">
        <is>
          <t>Contractor Programme</t>
        </is>
      </c>
      <c r="C720" s="34" t="inlineStr">
        <is>
          <t>SCH-03-178</t>
        </is>
      </c>
      <c r="D720" s="34" t="inlineStr">
        <is>
          <t>1.3.1 Systems - Traction Power</t>
        </is>
      </c>
      <c r="E720" s="34" t="inlineStr">
        <is>
          <t>New</t>
        </is>
      </c>
      <c r="F720" s="14" t="inlineStr"/>
      <c r="G720" s="34" t="inlineStr">
        <is>
          <t>Source assignment -- not individually reviewed</t>
        </is>
      </c>
      <c r="H720" s="92" t="inlineStr">
        <is>
          <t>10 EVIDENCE &amp; DECISIONS</t>
        </is>
      </c>
    </row>
    <row r="721" ht="34" customHeight="1">
      <c r="A721" s="34" t="inlineStr">
        <is>
          <t>R539-v1</t>
        </is>
      </c>
      <c r="B721" s="34" t="inlineStr">
        <is>
          <t>Contractor Programme</t>
        </is>
      </c>
      <c r="C721" s="34" t="inlineStr">
        <is>
          <t>SCH-03-179</t>
        </is>
      </c>
      <c r="D721" s="34" t="inlineStr">
        <is>
          <t>1.3.1 Systems - Traction Power</t>
        </is>
      </c>
      <c r="E721" s="34" t="inlineStr">
        <is>
          <t>New</t>
        </is>
      </c>
      <c r="F721" s="14" t="inlineStr"/>
      <c r="G721" s="34" t="inlineStr">
        <is>
          <t>Source assignment -- not individually reviewed</t>
        </is>
      </c>
      <c r="H721" s="92" t="inlineStr">
        <is>
          <t>10 EVIDENCE &amp; DECISIONS</t>
        </is>
      </c>
    </row>
    <row r="722" ht="34" customHeight="1">
      <c r="A722" s="34" t="inlineStr">
        <is>
          <t>R1244-v1</t>
        </is>
      </c>
      <c r="B722" s="34" t="inlineStr">
        <is>
          <t>Cost &amp; Forecast Control Accounts</t>
        </is>
      </c>
      <c r="C722" s="34" t="inlineStr">
        <is>
          <t>CST-03-002</t>
        </is>
      </c>
      <c r="D722" s="34" t="inlineStr">
        <is>
          <t>1.3.2 Systems - Signalling &amp; Train Control</t>
        </is>
      </c>
      <c r="E722" s="34" t="inlineStr">
        <is>
          <t>New</t>
        </is>
      </c>
      <c r="F722" s="14" t="inlineStr"/>
      <c r="G722" s="34" t="inlineStr">
        <is>
          <t>Source assignment -- not individually reviewed</t>
        </is>
      </c>
      <c r="H722" s="92" t="inlineStr">
        <is>
          <t>10 EVIDENCE &amp; DECISIONS</t>
        </is>
      </c>
    </row>
    <row r="723" ht="34" customHeight="1">
      <c r="A723" s="34" t="inlineStr">
        <is>
          <t>R1248-v1</t>
        </is>
      </c>
      <c r="B723" s="34" t="inlineStr">
        <is>
          <t>Cost &amp; Forecast Control Accounts</t>
        </is>
      </c>
      <c r="C723" s="34" t="inlineStr">
        <is>
          <t>CST-03-006</t>
        </is>
      </c>
      <c r="D723" s="34" t="inlineStr">
        <is>
          <t>1.3.2 Systems - Signalling &amp; Train Control</t>
        </is>
      </c>
      <c r="E723" s="34" t="inlineStr">
        <is>
          <t>New</t>
        </is>
      </c>
      <c r="F723" s="14" t="inlineStr"/>
      <c r="G723" s="34" t="inlineStr">
        <is>
          <t>Source assignment -- not individually reviewed</t>
        </is>
      </c>
      <c r="H723" s="92" t="inlineStr">
        <is>
          <t>10 EVIDENCE &amp; DECISIONS</t>
        </is>
      </c>
    </row>
    <row r="724" ht="34" customHeight="1">
      <c r="A724" s="34" t="inlineStr">
        <is>
          <t>R1250-v1</t>
        </is>
      </c>
      <c r="B724" s="34" t="inlineStr">
        <is>
          <t>Cost &amp; Forecast Control Accounts</t>
        </is>
      </c>
      <c r="C724" s="34" t="inlineStr">
        <is>
          <t>CST-03-008</t>
        </is>
      </c>
      <c r="D724" s="34" t="inlineStr">
        <is>
          <t>1.3.2 Systems - Signalling &amp; Train Control</t>
        </is>
      </c>
      <c r="E724" s="34" t="inlineStr">
        <is>
          <t>New</t>
        </is>
      </c>
      <c r="F724" s="14" t="inlineStr"/>
      <c r="G724" s="34" t="inlineStr">
        <is>
          <t>Source assignment -- not individually reviewed</t>
        </is>
      </c>
      <c r="H724" s="92" t="inlineStr">
        <is>
          <t>10 EVIDENCE &amp; DECISIONS</t>
        </is>
      </c>
    </row>
    <row r="725" ht="34" customHeight="1">
      <c r="A725" s="34" t="inlineStr">
        <is>
          <t>R1252-v1</t>
        </is>
      </c>
      <c r="B725" s="34" t="inlineStr">
        <is>
          <t>Cost &amp; Forecast Control Accounts</t>
        </is>
      </c>
      <c r="C725" s="34" t="inlineStr">
        <is>
          <t>CST-03-010</t>
        </is>
      </c>
      <c r="D725" s="34" t="inlineStr">
        <is>
          <t>1.3.2 Systems - Signalling &amp; Train Control</t>
        </is>
      </c>
      <c r="E725" s="34" t="inlineStr">
        <is>
          <t>New</t>
        </is>
      </c>
      <c r="F725" s="14" t="inlineStr"/>
      <c r="G725" s="34" t="inlineStr">
        <is>
          <t>Source assignment -- not individually reviewed</t>
        </is>
      </c>
      <c r="H725" s="92" t="inlineStr">
        <is>
          <t>10 EVIDENCE &amp; DECISIONS</t>
        </is>
      </c>
    </row>
    <row r="726" ht="34" customHeight="1">
      <c r="A726" s="34" t="inlineStr">
        <is>
          <t>R1254-v1</t>
        </is>
      </c>
      <c r="B726" s="34" t="inlineStr">
        <is>
          <t>Cost &amp; Forecast Control Accounts</t>
        </is>
      </c>
      <c r="C726" s="34" t="inlineStr">
        <is>
          <t>CST-03-012</t>
        </is>
      </c>
      <c r="D726" s="34" t="inlineStr">
        <is>
          <t>1.3.2 Systems - Signalling &amp; Train Control</t>
        </is>
      </c>
      <c r="E726" s="34" t="inlineStr">
        <is>
          <t>New</t>
        </is>
      </c>
      <c r="F726" s="14" t="inlineStr"/>
      <c r="G726" s="34" t="inlineStr">
        <is>
          <t>Source assignment -- not individually reviewed</t>
        </is>
      </c>
      <c r="H726" s="92" t="inlineStr">
        <is>
          <t>10 EVIDENCE &amp; DECISIONS</t>
        </is>
      </c>
    </row>
    <row r="727" ht="34" customHeight="1">
      <c r="A727" s="34" t="inlineStr">
        <is>
          <t>R1256-v1</t>
        </is>
      </c>
      <c r="B727" s="34" t="inlineStr">
        <is>
          <t>Cost &amp; Forecast Control Accounts</t>
        </is>
      </c>
      <c r="C727" s="34" t="inlineStr">
        <is>
          <t>CST-03-014</t>
        </is>
      </c>
      <c r="D727" s="34" t="inlineStr">
        <is>
          <t>1.3.2 Systems - Signalling &amp; Train Control</t>
        </is>
      </c>
      <c r="E727" s="34" t="inlineStr">
        <is>
          <t>New</t>
        </is>
      </c>
      <c r="F727" s="14" t="inlineStr"/>
      <c r="G727" s="34" t="inlineStr">
        <is>
          <t>Source assignment -- not individually reviewed</t>
        </is>
      </c>
      <c r="H727" s="92" t="inlineStr">
        <is>
          <t>10 EVIDENCE &amp; DECISIONS</t>
        </is>
      </c>
    </row>
    <row r="728" ht="34" customHeight="1">
      <c r="A728" s="34" t="inlineStr">
        <is>
          <t>R1258-v1</t>
        </is>
      </c>
      <c r="B728" s="34" t="inlineStr">
        <is>
          <t>Cost &amp; Forecast Control Accounts</t>
        </is>
      </c>
      <c r="C728" s="34" t="inlineStr">
        <is>
          <t>CST-03-016</t>
        </is>
      </c>
      <c r="D728" s="34" t="inlineStr">
        <is>
          <t>1.3.2 Systems - Signalling &amp; Train Control</t>
        </is>
      </c>
      <c r="E728" s="34" t="inlineStr">
        <is>
          <t>New</t>
        </is>
      </c>
      <c r="F728" s="14" t="inlineStr"/>
      <c r="G728" s="34" t="inlineStr">
        <is>
          <t>Source assignment -- not individually reviewed</t>
        </is>
      </c>
      <c r="H728" s="92" t="inlineStr">
        <is>
          <t>10 EVIDENCE &amp; DECISIONS</t>
        </is>
      </c>
    </row>
    <row r="729" ht="34" customHeight="1">
      <c r="A729" s="34" t="inlineStr">
        <is>
          <t>R1260-v1</t>
        </is>
      </c>
      <c r="B729" s="34" t="inlineStr">
        <is>
          <t>Cost &amp; Forecast Control Accounts</t>
        </is>
      </c>
      <c r="C729" s="34" t="inlineStr">
        <is>
          <t>CST-03-018</t>
        </is>
      </c>
      <c r="D729" s="34" t="inlineStr">
        <is>
          <t>1.3.2 Systems - Signalling &amp; Train Control</t>
        </is>
      </c>
      <c r="E729" s="34" t="inlineStr">
        <is>
          <t>New</t>
        </is>
      </c>
      <c r="F729" s="14" t="inlineStr"/>
      <c r="G729" s="34" t="inlineStr">
        <is>
          <t>Source assignment -- not individually reviewed</t>
        </is>
      </c>
      <c r="H729" s="92" t="inlineStr">
        <is>
          <t>10 EVIDENCE &amp; DECISIONS</t>
        </is>
      </c>
    </row>
    <row r="730" ht="34" customHeight="1">
      <c r="A730" s="34" t="inlineStr">
        <is>
          <t>R1262-v1</t>
        </is>
      </c>
      <c r="B730" s="34" t="inlineStr">
        <is>
          <t>Cost &amp; Forecast Control Accounts</t>
        </is>
      </c>
      <c r="C730" s="34" t="inlineStr">
        <is>
          <t>CST-03-020</t>
        </is>
      </c>
      <c r="D730" s="34" t="inlineStr">
        <is>
          <t>1.3.2 Systems - Signalling &amp; Train Control</t>
        </is>
      </c>
      <c r="E730" s="34" t="inlineStr">
        <is>
          <t>New</t>
        </is>
      </c>
      <c r="F730" s="14" t="inlineStr"/>
      <c r="G730" s="34" t="inlineStr">
        <is>
          <t>Source assignment -- not individually reviewed</t>
        </is>
      </c>
      <c r="H730" s="92" t="inlineStr">
        <is>
          <t>10 EVIDENCE &amp; DECISIONS</t>
        </is>
      </c>
    </row>
    <row r="731" ht="34" customHeight="1">
      <c r="A731" s="34" t="inlineStr">
        <is>
          <t>R1264-v1</t>
        </is>
      </c>
      <c r="B731" s="34" t="inlineStr">
        <is>
          <t>Cost &amp; Forecast Control Accounts</t>
        </is>
      </c>
      <c r="C731" s="34" t="inlineStr">
        <is>
          <t>CST-03-022</t>
        </is>
      </c>
      <c r="D731" s="34" t="inlineStr">
        <is>
          <t>1.3.2 Systems - Signalling &amp; Train Control</t>
        </is>
      </c>
      <c r="E731" s="34" t="inlineStr">
        <is>
          <t>New</t>
        </is>
      </c>
      <c r="F731" s="14" t="inlineStr"/>
      <c r="G731" s="34" t="inlineStr">
        <is>
          <t>Source assignment -- not individually reviewed</t>
        </is>
      </c>
      <c r="H731" s="92" t="inlineStr">
        <is>
          <t>10 EVIDENCE &amp; DECISIONS</t>
        </is>
      </c>
    </row>
    <row r="732" ht="34" customHeight="1">
      <c r="A732" s="34" t="inlineStr">
        <is>
          <t>R1266-v1</t>
        </is>
      </c>
      <c r="B732" s="34" t="inlineStr">
        <is>
          <t>Cost &amp; Forecast Control Accounts</t>
        </is>
      </c>
      <c r="C732" s="34" t="inlineStr">
        <is>
          <t>CST-03-024</t>
        </is>
      </c>
      <c r="D732" s="34" t="inlineStr">
        <is>
          <t>1.3.2 Systems - Signalling &amp; Train Control</t>
        </is>
      </c>
      <c r="E732" s="34" t="inlineStr">
        <is>
          <t>New</t>
        </is>
      </c>
      <c r="F732" s="14" t="inlineStr"/>
      <c r="G732" s="34" t="inlineStr">
        <is>
          <t>Source assignment -- not individually reviewed</t>
        </is>
      </c>
      <c r="H732" s="92" t="inlineStr">
        <is>
          <t>10 EVIDENCE &amp; DECISIONS</t>
        </is>
      </c>
    </row>
    <row r="733" ht="34" customHeight="1">
      <c r="A733" s="34" t="inlineStr">
        <is>
          <t>R1268-v1</t>
        </is>
      </c>
      <c r="B733" s="34" t="inlineStr">
        <is>
          <t>Cost &amp; Forecast Control Accounts</t>
        </is>
      </c>
      <c r="C733" s="34" t="inlineStr">
        <is>
          <t>CST-03-026</t>
        </is>
      </c>
      <c r="D733" s="34" t="inlineStr">
        <is>
          <t>1.3.2 Systems - Signalling &amp; Train Control</t>
        </is>
      </c>
      <c r="E733" s="34" t="inlineStr">
        <is>
          <t>New</t>
        </is>
      </c>
      <c r="F733" s="14" t="inlineStr"/>
      <c r="G733" s="34" t="inlineStr">
        <is>
          <t>Source assignment -- not individually reviewed</t>
        </is>
      </c>
      <c r="H733" s="92" t="inlineStr">
        <is>
          <t>10 EVIDENCE &amp; DECISIONS</t>
        </is>
      </c>
    </row>
    <row r="734" ht="34" customHeight="1">
      <c r="A734" s="34" t="inlineStr">
        <is>
          <t>R1270-v1</t>
        </is>
      </c>
      <c r="B734" s="34" t="inlineStr">
        <is>
          <t>Cost &amp; Forecast Control Accounts</t>
        </is>
      </c>
      <c r="C734" s="34" t="inlineStr">
        <is>
          <t>CST-03-028</t>
        </is>
      </c>
      <c r="D734" s="34" t="inlineStr">
        <is>
          <t>1.3.2 Systems - Signalling &amp; Train Control</t>
        </is>
      </c>
      <c r="E734" s="34" t="inlineStr">
        <is>
          <t>New</t>
        </is>
      </c>
      <c r="F734" s="14" t="inlineStr"/>
      <c r="G734" s="34" t="inlineStr">
        <is>
          <t>Source assignment -- not individually reviewed</t>
        </is>
      </c>
      <c r="H734" s="92" t="inlineStr">
        <is>
          <t>10 EVIDENCE &amp; DECISIONS</t>
        </is>
      </c>
    </row>
    <row r="735" ht="34" customHeight="1">
      <c r="A735" s="34" t="inlineStr">
        <is>
          <t>R1272-v1</t>
        </is>
      </c>
      <c r="B735" s="34" t="inlineStr">
        <is>
          <t>Cost &amp; Forecast Control Accounts</t>
        </is>
      </c>
      <c r="C735" s="34" t="inlineStr">
        <is>
          <t>CST-03-030</t>
        </is>
      </c>
      <c r="D735" s="34" t="inlineStr">
        <is>
          <t>1.3.2 Systems - Signalling &amp; Train Control</t>
        </is>
      </c>
      <c r="E735" s="34" t="inlineStr">
        <is>
          <t>New</t>
        </is>
      </c>
      <c r="F735" s="14" t="inlineStr"/>
      <c r="G735" s="34" t="inlineStr">
        <is>
          <t>Source assignment -- not individually reviewed</t>
        </is>
      </c>
      <c r="H735" s="92" t="inlineStr">
        <is>
          <t>10 EVIDENCE &amp; DECISIONS</t>
        </is>
      </c>
    </row>
    <row r="736" ht="34" customHeight="1">
      <c r="A736" s="34" t="inlineStr">
        <is>
          <t>R1274-v1</t>
        </is>
      </c>
      <c r="B736" s="34" t="inlineStr">
        <is>
          <t>Cost &amp; Forecast Control Accounts</t>
        </is>
      </c>
      <c r="C736" s="34" t="inlineStr">
        <is>
          <t>CST-03-032</t>
        </is>
      </c>
      <c r="D736" s="34" t="inlineStr">
        <is>
          <t>1.3.2 Systems - Signalling &amp; Train Control</t>
        </is>
      </c>
      <c r="E736" s="34" t="inlineStr">
        <is>
          <t>New</t>
        </is>
      </c>
      <c r="F736" s="14" t="inlineStr"/>
      <c r="G736" s="34" t="inlineStr">
        <is>
          <t>Source assignment -- not individually reviewed</t>
        </is>
      </c>
      <c r="H736" s="92" t="inlineStr">
        <is>
          <t>10 EVIDENCE &amp; DECISIONS</t>
        </is>
      </c>
    </row>
    <row r="737" ht="34" customHeight="1">
      <c r="A737" s="34" t="inlineStr">
        <is>
          <t>R1276-v1</t>
        </is>
      </c>
      <c r="B737" s="34" t="inlineStr">
        <is>
          <t>Cost &amp; Forecast Control Accounts</t>
        </is>
      </c>
      <c r="C737" s="34" t="inlineStr">
        <is>
          <t>CST-03-034</t>
        </is>
      </c>
      <c r="D737" s="34" t="inlineStr">
        <is>
          <t>1.3.2 Systems - Signalling &amp; Train Control</t>
        </is>
      </c>
      <c r="E737" s="34" t="inlineStr">
        <is>
          <t>New</t>
        </is>
      </c>
      <c r="F737" s="14" t="inlineStr"/>
      <c r="G737" s="34" t="inlineStr">
        <is>
          <t>Source assignment -- not individually reviewed</t>
        </is>
      </c>
      <c r="H737" s="92" t="inlineStr">
        <is>
          <t>10 EVIDENCE &amp; DECISIONS</t>
        </is>
      </c>
    </row>
    <row r="738" ht="34" customHeight="1">
      <c r="A738" s="34" t="inlineStr">
        <is>
          <t>R1278-v1</t>
        </is>
      </c>
      <c r="B738" s="34" t="inlineStr">
        <is>
          <t>Cost &amp; Forecast Control Accounts</t>
        </is>
      </c>
      <c r="C738" s="34" t="inlineStr">
        <is>
          <t>CST-03-036</t>
        </is>
      </c>
      <c r="D738" s="34" t="inlineStr">
        <is>
          <t>1.3.2 Systems - Signalling &amp; Train Control</t>
        </is>
      </c>
      <c r="E738" s="34" t="inlineStr">
        <is>
          <t>New</t>
        </is>
      </c>
      <c r="F738" s="14" t="inlineStr"/>
      <c r="G738" s="34" t="inlineStr">
        <is>
          <t>Source assignment -- not individually reviewed</t>
        </is>
      </c>
      <c r="H738" s="92" t="inlineStr">
        <is>
          <t>10 EVIDENCE &amp; DECISIONS</t>
        </is>
      </c>
    </row>
    <row r="739" ht="34" customHeight="1">
      <c r="A739" s="34" t="inlineStr">
        <is>
          <t>R1280-v1</t>
        </is>
      </c>
      <c r="B739" s="34" t="inlineStr">
        <is>
          <t>Cost &amp; Forecast Control Accounts</t>
        </is>
      </c>
      <c r="C739" s="34" t="inlineStr">
        <is>
          <t>CST-03-038</t>
        </is>
      </c>
      <c r="D739" s="34" t="inlineStr">
        <is>
          <t>1.3.2 Systems - Signalling &amp; Train Control</t>
        </is>
      </c>
      <c r="E739" s="34" t="inlineStr">
        <is>
          <t>New</t>
        </is>
      </c>
      <c r="F739" s="14" t="inlineStr"/>
      <c r="G739" s="34" t="inlineStr">
        <is>
          <t>Source assignment -- not individually reviewed</t>
        </is>
      </c>
      <c r="H739" s="92" t="inlineStr">
        <is>
          <t>10 EVIDENCE &amp; DECISIONS</t>
        </is>
      </c>
    </row>
    <row r="740" ht="34" customHeight="1">
      <c r="A740" s="34" t="inlineStr">
        <is>
          <t>R1282-v1</t>
        </is>
      </c>
      <c r="B740" s="34" t="inlineStr">
        <is>
          <t>Cost &amp; Forecast Control Accounts</t>
        </is>
      </c>
      <c r="C740" s="34" t="inlineStr">
        <is>
          <t>CST-03-040</t>
        </is>
      </c>
      <c r="D740" s="34" t="inlineStr">
        <is>
          <t>1.3.2 Systems - Signalling &amp; Train Control</t>
        </is>
      </c>
      <c r="E740" s="34" t="inlineStr">
        <is>
          <t>New</t>
        </is>
      </c>
      <c r="F740" s="14" t="inlineStr"/>
      <c r="G740" s="34" t="inlineStr">
        <is>
          <t>Source assignment -- not individually reviewed</t>
        </is>
      </c>
      <c r="H740" s="92" t="inlineStr">
        <is>
          <t>10 EVIDENCE &amp; DECISIONS</t>
        </is>
      </c>
    </row>
    <row r="741" ht="34" customHeight="1">
      <c r="A741" s="34" t="inlineStr">
        <is>
          <t>R1284-v1</t>
        </is>
      </c>
      <c r="B741" s="34" t="inlineStr">
        <is>
          <t>Cost &amp; Forecast Control Accounts</t>
        </is>
      </c>
      <c r="C741" s="34" t="inlineStr">
        <is>
          <t>CST-03-042</t>
        </is>
      </c>
      <c r="D741" s="34" t="inlineStr">
        <is>
          <t>1.3.2 Systems - Signalling &amp; Train Control</t>
        </is>
      </c>
      <c r="E741" s="34" t="inlineStr">
        <is>
          <t>New</t>
        </is>
      </c>
      <c r="F741" s="14" t="inlineStr"/>
      <c r="G741" s="34" t="inlineStr">
        <is>
          <t>Source assignment -- not individually reviewed</t>
        </is>
      </c>
      <c r="H741" s="92" t="inlineStr">
        <is>
          <t>10 EVIDENCE &amp; DECISIONS</t>
        </is>
      </c>
    </row>
    <row r="742" ht="34" customHeight="1">
      <c r="A742" s="34" t="inlineStr">
        <is>
          <t>R1286-v1</t>
        </is>
      </c>
      <c r="B742" s="34" t="inlineStr">
        <is>
          <t>Cost &amp; Forecast Control Accounts</t>
        </is>
      </c>
      <c r="C742" s="34" t="inlineStr">
        <is>
          <t>CST-03-044</t>
        </is>
      </c>
      <c r="D742" s="34" t="inlineStr">
        <is>
          <t>1.3.2 Systems - Signalling &amp; Train Control</t>
        </is>
      </c>
      <c r="E742" s="34" t="inlineStr">
        <is>
          <t>New</t>
        </is>
      </c>
      <c r="F742" s="14" t="inlineStr"/>
      <c r="G742" s="34" t="inlineStr">
        <is>
          <t>Source assignment -- not individually reviewed</t>
        </is>
      </c>
      <c r="H742" s="92" t="inlineStr">
        <is>
          <t>10 EVIDENCE &amp; DECISIONS</t>
        </is>
      </c>
    </row>
    <row r="743" ht="34" customHeight="1">
      <c r="A743" s="34" t="inlineStr">
        <is>
          <t>R1288-v1</t>
        </is>
      </c>
      <c r="B743" s="34" t="inlineStr">
        <is>
          <t>Cost &amp; Forecast Control Accounts</t>
        </is>
      </c>
      <c r="C743" s="34" t="inlineStr">
        <is>
          <t>CST-03-046</t>
        </is>
      </c>
      <c r="D743" s="34" t="inlineStr">
        <is>
          <t>1.3.2 Systems - Signalling &amp; Train Control</t>
        </is>
      </c>
      <c r="E743" s="34" t="inlineStr">
        <is>
          <t>New</t>
        </is>
      </c>
      <c r="F743" s="14" t="inlineStr"/>
      <c r="G743" s="34" t="inlineStr">
        <is>
          <t>Source assignment -- not individually reviewed</t>
        </is>
      </c>
      <c r="H743" s="92" t="inlineStr">
        <is>
          <t>10 EVIDENCE &amp; DECISIONS</t>
        </is>
      </c>
    </row>
    <row r="744" ht="34" customHeight="1">
      <c r="A744" s="34" t="inlineStr">
        <is>
          <t>R1290-v1</t>
        </is>
      </c>
      <c r="B744" s="34" t="inlineStr">
        <is>
          <t>Cost &amp; Forecast Control Accounts</t>
        </is>
      </c>
      <c r="C744" s="34" t="inlineStr">
        <is>
          <t>CST-03-048</t>
        </is>
      </c>
      <c r="D744" s="34" t="inlineStr">
        <is>
          <t>1.3.2 Systems - Signalling &amp; Train Control</t>
        </is>
      </c>
      <c r="E744" s="34" t="inlineStr">
        <is>
          <t>New</t>
        </is>
      </c>
      <c r="F744" s="14" t="inlineStr"/>
      <c r="G744" s="34" t="inlineStr">
        <is>
          <t>Source assignment -- not individually reviewed</t>
        </is>
      </c>
      <c r="H744" s="92" t="inlineStr">
        <is>
          <t>10 EVIDENCE &amp; DECISIONS</t>
        </is>
      </c>
    </row>
    <row r="745" ht="34" customHeight="1">
      <c r="A745" s="34" t="inlineStr">
        <is>
          <t>R1292-v1</t>
        </is>
      </c>
      <c r="B745" s="34" t="inlineStr">
        <is>
          <t>Cost &amp; Forecast Control Accounts</t>
        </is>
      </c>
      <c r="C745" s="34" t="inlineStr">
        <is>
          <t>CST-03-050</t>
        </is>
      </c>
      <c r="D745" s="34" t="inlineStr">
        <is>
          <t>1.3.2 Systems - Signalling &amp; Train Control</t>
        </is>
      </c>
      <c r="E745" s="34" t="inlineStr">
        <is>
          <t>New</t>
        </is>
      </c>
      <c r="F745" s="14" t="inlineStr"/>
      <c r="G745" s="34" t="inlineStr">
        <is>
          <t>Source assignment -- not individually reviewed</t>
        </is>
      </c>
      <c r="H745" s="92" t="inlineStr">
        <is>
          <t>10 EVIDENCE &amp; DECISIONS</t>
        </is>
      </c>
    </row>
    <row r="746" ht="34" customHeight="1">
      <c r="A746" s="34" t="inlineStr">
        <is>
          <t>R1294-v1</t>
        </is>
      </c>
      <c r="B746" s="34" t="inlineStr">
        <is>
          <t>Cost &amp; Forecast Control Accounts</t>
        </is>
      </c>
      <c r="C746" s="34" t="inlineStr">
        <is>
          <t>CST-03-052</t>
        </is>
      </c>
      <c r="D746" s="34" t="inlineStr">
        <is>
          <t>1.3.2 Systems - Signalling &amp; Train Control</t>
        </is>
      </c>
      <c r="E746" s="34" t="inlineStr">
        <is>
          <t>New</t>
        </is>
      </c>
      <c r="F746" s="14" t="inlineStr"/>
      <c r="G746" s="34" t="inlineStr">
        <is>
          <t>Source assignment -- not individually reviewed</t>
        </is>
      </c>
      <c r="H746" s="92" t="inlineStr">
        <is>
          <t>10 EVIDENCE &amp; DECISIONS</t>
        </is>
      </c>
    </row>
    <row r="747" ht="34" customHeight="1">
      <c r="A747" s="34" t="inlineStr">
        <is>
          <t>R1296-v1</t>
        </is>
      </c>
      <c r="B747" s="34" t="inlineStr">
        <is>
          <t>Cost &amp; Forecast Control Accounts</t>
        </is>
      </c>
      <c r="C747" s="34" t="inlineStr">
        <is>
          <t>CST-03-054</t>
        </is>
      </c>
      <c r="D747" s="34" t="inlineStr">
        <is>
          <t>1.3.2 Systems - Signalling &amp; Train Control</t>
        </is>
      </c>
      <c r="E747" s="34" t="inlineStr">
        <is>
          <t>New</t>
        </is>
      </c>
      <c r="F747" s="14" t="inlineStr"/>
      <c r="G747" s="34" t="inlineStr">
        <is>
          <t>Source assignment -- not individually reviewed</t>
        </is>
      </c>
      <c r="H747" s="92" t="inlineStr">
        <is>
          <t>10 EVIDENCE &amp; DECISIONS</t>
        </is>
      </c>
    </row>
    <row r="748" ht="34" customHeight="1">
      <c r="A748" s="34" t="inlineStr">
        <is>
          <t>R1298-v1</t>
        </is>
      </c>
      <c r="B748" s="34" t="inlineStr">
        <is>
          <t>Cost &amp; Forecast Control Accounts</t>
        </is>
      </c>
      <c r="C748" s="34" t="inlineStr">
        <is>
          <t>CST-03-056</t>
        </is>
      </c>
      <c r="D748" s="34" t="inlineStr">
        <is>
          <t>1.3.2 Systems - Signalling &amp; Train Control</t>
        </is>
      </c>
      <c r="E748" s="34" t="inlineStr">
        <is>
          <t>New</t>
        </is>
      </c>
      <c r="F748" s="14" t="inlineStr"/>
      <c r="G748" s="34" t="inlineStr">
        <is>
          <t>Source assignment -- not individually reviewed</t>
        </is>
      </c>
      <c r="H748" s="92" t="inlineStr">
        <is>
          <t>10 EVIDENCE &amp; DECISIONS</t>
        </is>
      </c>
    </row>
    <row r="749" ht="34" customHeight="1">
      <c r="A749" s="34" t="inlineStr">
        <is>
          <t>R1300-v1</t>
        </is>
      </c>
      <c r="B749" s="34" t="inlineStr">
        <is>
          <t>Cost &amp; Forecast Control Accounts</t>
        </is>
      </c>
      <c r="C749" s="34" t="inlineStr">
        <is>
          <t>CST-03-058</t>
        </is>
      </c>
      <c r="D749" s="34" t="inlineStr">
        <is>
          <t>1.3.2 Systems - Signalling &amp; Train Control</t>
        </is>
      </c>
      <c r="E749" s="34" t="inlineStr">
        <is>
          <t>New</t>
        </is>
      </c>
      <c r="F749" s="14" t="inlineStr"/>
      <c r="G749" s="34" t="inlineStr">
        <is>
          <t>Source assignment -- not individually reviewed</t>
        </is>
      </c>
      <c r="H749" s="92" t="inlineStr">
        <is>
          <t>10 EVIDENCE &amp; DECISIONS</t>
        </is>
      </c>
    </row>
    <row r="750" ht="34" customHeight="1">
      <c r="A750" s="34" t="inlineStr">
        <is>
          <t>R1302-v1</t>
        </is>
      </c>
      <c r="B750" s="34" t="inlineStr">
        <is>
          <t>Cost &amp; Forecast Control Accounts</t>
        </is>
      </c>
      <c r="C750" s="34" t="inlineStr">
        <is>
          <t>CST-03-060</t>
        </is>
      </c>
      <c r="D750" s="34" t="inlineStr">
        <is>
          <t>1.3.2 Systems - Signalling &amp; Train Control</t>
        </is>
      </c>
      <c r="E750" s="34" t="inlineStr">
        <is>
          <t>New</t>
        </is>
      </c>
      <c r="F750" s="14" t="inlineStr"/>
      <c r="G750" s="34" t="inlineStr">
        <is>
          <t>Source assignment -- not individually reviewed</t>
        </is>
      </c>
      <c r="H750" s="92" t="inlineStr">
        <is>
          <t>10 EVIDENCE &amp; DECISIONS</t>
        </is>
      </c>
    </row>
    <row r="751" ht="34" customHeight="1">
      <c r="A751" s="34" t="inlineStr">
        <is>
          <t>R1304-v1</t>
        </is>
      </c>
      <c r="B751" s="34" t="inlineStr">
        <is>
          <t>Cost &amp; Forecast Control Accounts</t>
        </is>
      </c>
      <c r="C751" s="34" t="inlineStr">
        <is>
          <t>CST-03-062</t>
        </is>
      </c>
      <c r="D751" s="34" t="inlineStr">
        <is>
          <t>1.3.2 Systems - Signalling &amp; Train Control</t>
        </is>
      </c>
      <c r="E751" s="34" t="inlineStr">
        <is>
          <t>New</t>
        </is>
      </c>
      <c r="F751" s="14" t="inlineStr"/>
      <c r="G751" s="34" t="inlineStr">
        <is>
          <t>Source assignment -- not individually reviewed</t>
        </is>
      </c>
      <c r="H751" s="92" t="inlineStr">
        <is>
          <t>10 EVIDENCE &amp; DECISIONS</t>
        </is>
      </c>
    </row>
    <row r="752" ht="34" customHeight="1">
      <c r="A752" s="34" t="inlineStr">
        <is>
          <t>R1306-v1</t>
        </is>
      </c>
      <c r="B752" s="34" t="inlineStr">
        <is>
          <t>Cost &amp; Forecast Control Accounts</t>
        </is>
      </c>
      <c r="C752" s="34" t="inlineStr">
        <is>
          <t>CST-03-064</t>
        </is>
      </c>
      <c r="D752" s="34" t="inlineStr">
        <is>
          <t>1.3.2 Systems - Signalling &amp; Train Control</t>
        </is>
      </c>
      <c r="E752" s="34" t="inlineStr">
        <is>
          <t>New</t>
        </is>
      </c>
      <c r="F752" s="14" t="inlineStr"/>
      <c r="G752" s="34" t="inlineStr">
        <is>
          <t>Source assignment -- not individually reviewed</t>
        </is>
      </c>
      <c r="H752" s="92" t="inlineStr">
        <is>
          <t>10 EVIDENCE &amp; DECISIONS</t>
        </is>
      </c>
    </row>
    <row r="753" ht="34" customHeight="1">
      <c r="A753" s="34" t="inlineStr">
        <is>
          <t>R1308-v1</t>
        </is>
      </c>
      <c r="B753" s="34" t="inlineStr">
        <is>
          <t>Cost &amp; Forecast Control Accounts</t>
        </is>
      </c>
      <c r="C753" s="34" t="inlineStr">
        <is>
          <t>CST-03-066</t>
        </is>
      </c>
      <c r="D753" s="34" t="inlineStr">
        <is>
          <t>1.3.2 Systems - Signalling &amp; Train Control</t>
        </is>
      </c>
      <c r="E753" s="34" t="inlineStr">
        <is>
          <t>New</t>
        </is>
      </c>
      <c r="F753" s="14" t="inlineStr"/>
      <c r="G753" s="34" t="inlineStr">
        <is>
          <t>Source assignment -- not individually reviewed</t>
        </is>
      </c>
      <c r="H753" s="92" t="inlineStr">
        <is>
          <t>10 EVIDENCE &amp; DECISIONS</t>
        </is>
      </c>
    </row>
    <row r="754" ht="34" customHeight="1">
      <c r="A754" s="34" t="inlineStr">
        <is>
          <t>R1310-v1</t>
        </is>
      </c>
      <c r="B754" s="34" t="inlineStr">
        <is>
          <t>Cost &amp; Forecast Control Accounts</t>
        </is>
      </c>
      <c r="C754" s="34" t="inlineStr">
        <is>
          <t>CST-03-068</t>
        </is>
      </c>
      <c r="D754" s="34" t="inlineStr">
        <is>
          <t>1.3.2 Systems - Signalling &amp; Train Control</t>
        </is>
      </c>
      <c r="E754" s="34" t="inlineStr">
        <is>
          <t>New</t>
        </is>
      </c>
      <c r="F754" s="14" t="inlineStr"/>
      <c r="G754" s="34" t="inlineStr">
        <is>
          <t>Source assignment -- not individually reviewed</t>
        </is>
      </c>
      <c r="H754" s="92" t="inlineStr">
        <is>
          <t>10 EVIDENCE &amp; DECISIONS</t>
        </is>
      </c>
    </row>
    <row r="755" ht="34" customHeight="1">
      <c r="A755" s="34" t="inlineStr">
        <is>
          <t>R1312-v1</t>
        </is>
      </c>
      <c r="B755" s="34" t="inlineStr">
        <is>
          <t>Cost &amp; Forecast Control Accounts</t>
        </is>
      </c>
      <c r="C755" s="34" t="inlineStr">
        <is>
          <t>CST-03-070</t>
        </is>
      </c>
      <c r="D755" s="34" t="inlineStr">
        <is>
          <t>1.3.2 Systems - Signalling &amp; Train Control</t>
        </is>
      </c>
      <c r="E755" s="34" t="inlineStr">
        <is>
          <t>New</t>
        </is>
      </c>
      <c r="F755" s="14" t="inlineStr"/>
      <c r="G755" s="34" t="inlineStr">
        <is>
          <t>Source assignment -- not individually reviewed</t>
        </is>
      </c>
      <c r="H755" s="92" t="inlineStr">
        <is>
          <t>10 EVIDENCE &amp; DECISIONS</t>
        </is>
      </c>
    </row>
    <row r="756" ht="34" customHeight="1">
      <c r="A756" s="34" t="inlineStr">
        <is>
          <t>R1314-v1</t>
        </is>
      </c>
      <c r="B756" s="34" t="inlineStr">
        <is>
          <t>Cost &amp; Forecast Control Accounts</t>
        </is>
      </c>
      <c r="C756" s="34" t="inlineStr">
        <is>
          <t>CST-03-072</t>
        </is>
      </c>
      <c r="D756" s="34" t="inlineStr">
        <is>
          <t>1.3.2 Systems - Signalling &amp; Train Control</t>
        </is>
      </c>
      <c r="E756" s="34" t="inlineStr">
        <is>
          <t>New</t>
        </is>
      </c>
      <c r="F756" s="14" t="inlineStr"/>
      <c r="G756" s="34" t="inlineStr">
        <is>
          <t>Source assignment -- not individually reviewed</t>
        </is>
      </c>
      <c r="H756" s="92" t="inlineStr">
        <is>
          <t>10 EVIDENCE &amp; DECISIONS</t>
        </is>
      </c>
    </row>
    <row r="757" ht="34" customHeight="1">
      <c r="A757" s="34" t="inlineStr">
        <is>
          <t>R1316-v1</t>
        </is>
      </c>
      <c r="B757" s="34" t="inlineStr">
        <is>
          <t>Cost &amp; Forecast Control Accounts</t>
        </is>
      </c>
      <c r="C757" s="34" t="inlineStr">
        <is>
          <t>CST-03-074</t>
        </is>
      </c>
      <c r="D757" s="34" t="inlineStr">
        <is>
          <t>1.3.2 Systems - Signalling &amp; Train Control</t>
        </is>
      </c>
      <c r="E757" s="34" t="inlineStr">
        <is>
          <t>New</t>
        </is>
      </c>
      <c r="F757" s="14" t="inlineStr"/>
      <c r="G757" s="34" t="inlineStr">
        <is>
          <t>Source assignment -- not individually reviewed</t>
        </is>
      </c>
      <c r="H757" s="92" t="inlineStr">
        <is>
          <t>10 EVIDENCE &amp; DECISIONS</t>
        </is>
      </c>
    </row>
    <row r="758" ht="34" customHeight="1">
      <c r="A758" s="34" t="inlineStr">
        <is>
          <t>R1318-v1</t>
        </is>
      </c>
      <c r="B758" s="34" t="inlineStr">
        <is>
          <t>Cost &amp; Forecast Control Accounts</t>
        </is>
      </c>
      <c r="C758" s="34" t="inlineStr">
        <is>
          <t>CST-03-076</t>
        </is>
      </c>
      <c r="D758" s="34" t="inlineStr">
        <is>
          <t>1.3.2 Systems - Signalling &amp; Train Control</t>
        </is>
      </c>
      <c r="E758" s="34" t="inlineStr">
        <is>
          <t>New</t>
        </is>
      </c>
      <c r="F758" s="14" t="inlineStr"/>
      <c r="G758" s="34" t="inlineStr">
        <is>
          <t>Source assignment -- not individually reviewed</t>
        </is>
      </c>
      <c r="H758" s="92" t="inlineStr">
        <is>
          <t>10 EVIDENCE &amp; DECISIONS</t>
        </is>
      </c>
    </row>
    <row r="759" ht="34" customHeight="1">
      <c r="A759" s="34" t="inlineStr">
        <is>
          <t>R1320-v1</t>
        </is>
      </c>
      <c r="B759" s="34" t="inlineStr">
        <is>
          <t>Cost &amp; Forecast Control Accounts</t>
        </is>
      </c>
      <c r="C759" s="34" t="inlineStr">
        <is>
          <t>CST-03-078</t>
        </is>
      </c>
      <c r="D759" s="34" t="inlineStr">
        <is>
          <t>1.3.2 Systems - Signalling &amp; Train Control</t>
        </is>
      </c>
      <c r="E759" s="34" t="inlineStr">
        <is>
          <t>New</t>
        </is>
      </c>
      <c r="F759" s="14" t="inlineStr"/>
      <c r="G759" s="34" t="inlineStr">
        <is>
          <t>Source assignment -- not individually reviewed</t>
        </is>
      </c>
      <c r="H759" s="92" t="inlineStr">
        <is>
          <t>10 EVIDENCE &amp; DECISIONS</t>
        </is>
      </c>
    </row>
    <row r="760" ht="34" customHeight="1">
      <c r="A760" s="34" t="inlineStr">
        <is>
          <t>R1322-v1</t>
        </is>
      </c>
      <c r="B760" s="34" t="inlineStr">
        <is>
          <t>Cost &amp; Forecast Control Accounts</t>
        </is>
      </c>
      <c r="C760" s="34" t="inlineStr">
        <is>
          <t>CST-03-080</t>
        </is>
      </c>
      <c r="D760" s="34" t="inlineStr">
        <is>
          <t>1.3.2 Systems - Signalling &amp; Train Control</t>
        </is>
      </c>
      <c r="E760" s="34" t="inlineStr">
        <is>
          <t>New</t>
        </is>
      </c>
      <c r="F760" s="14" t="inlineStr"/>
      <c r="G760" s="34" t="inlineStr">
        <is>
          <t>Source assignment -- not individually reviewed</t>
        </is>
      </c>
      <c r="H760" s="92" t="inlineStr">
        <is>
          <t>10 EVIDENCE &amp; DECISIONS</t>
        </is>
      </c>
    </row>
    <row r="761" ht="34" customHeight="1">
      <c r="A761" s="34" t="inlineStr">
        <is>
          <t>R363-v1</t>
        </is>
      </c>
      <c r="B761" s="34" t="inlineStr">
        <is>
          <t>Contractor Programme</t>
        </is>
      </c>
      <c r="C761" s="34" t="inlineStr">
        <is>
          <t>SCH-03-003</t>
        </is>
      </c>
      <c r="D761" s="34" t="inlineStr">
        <is>
          <t>1.3.2 Systems - Signalling &amp; Train Control</t>
        </is>
      </c>
      <c r="E761" s="34" t="inlineStr">
        <is>
          <t>New</t>
        </is>
      </c>
      <c r="F761" s="14" t="inlineStr"/>
      <c r="G761" s="34" t="inlineStr">
        <is>
          <t>Source assignment -- not individually reviewed</t>
        </is>
      </c>
      <c r="H761" s="92" t="inlineStr">
        <is>
          <t>10 EVIDENCE &amp; DECISIONS</t>
        </is>
      </c>
    </row>
    <row r="762" ht="34" customHeight="1">
      <c r="A762" s="34" t="inlineStr">
        <is>
          <t>R366-v1</t>
        </is>
      </c>
      <c r="B762" s="34" t="inlineStr">
        <is>
          <t>Contractor Programme</t>
        </is>
      </c>
      <c r="C762" s="34" t="inlineStr">
        <is>
          <t>SCH-03-006</t>
        </is>
      </c>
      <c r="D762" s="34" t="inlineStr">
        <is>
          <t>1.3.2 Systems - Signalling &amp; Train Control</t>
        </is>
      </c>
      <c r="E762" s="34" t="inlineStr">
        <is>
          <t>New</t>
        </is>
      </c>
      <c r="F762" s="14" t="inlineStr"/>
      <c r="G762" s="34" t="inlineStr">
        <is>
          <t>Source assignment -- not individually reviewed</t>
        </is>
      </c>
      <c r="H762" s="92" t="inlineStr">
        <is>
          <t>10 EVIDENCE &amp; DECISIONS</t>
        </is>
      </c>
    </row>
    <row r="763" ht="34" customHeight="1">
      <c r="A763" s="34" t="inlineStr">
        <is>
          <t>R369-v1</t>
        </is>
      </c>
      <c r="B763" s="34" t="inlineStr">
        <is>
          <t>Contractor Programme</t>
        </is>
      </c>
      <c r="C763" s="34" t="inlineStr">
        <is>
          <t>SCH-03-009</t>
        </is>
      </c>
      <c r="D763" s="34" t="inlineStr">
        <is>
          <t>1.3.2 Systems - Signalling &amp; Train Control</t>
        </is>
      </c>
      <c r="E763" s="34" t="inlineStr">
        <is>
          <t>New</t>
        </is>
      </c>
      <c r="F763" s="14" t="inlineStr"/>
      <c r="G763" s="34" t="inlineStr">
        <is>
          <t>Source assignment -- not individually reviewed</t>
        </is>
      </c>
      <c r="H763" s="92" t="inlineStr">
        <is>
          <t>10 EVIDENCE &amp; DECISIONS</t>
        </is>
      </c>
    </row>
    <row r="764" ht="34" customHeight="1">
      <c r="A764" s="34" t="inlineStr">
        <is>
          <t>R372-v1</t>
        </is>
      </c>
      <c r="B764" s="34" t="inlineStr">
        <is>
          <t>Contractor Programme</t>
        </is>
      </c>
      <c r="C764" s="34" t="inlineStr">
        <is>
          <t>SCH-03-012</t>
        </is>
      </c>
      <c r="D764" s="34" t="inlineStr">
        <is>
          <t>1.3.2 Systems - Signalling &amp; Train Control</t>
        </is>
      </c>
      <c r="E764" s="34" t="inlineStr">
        <is>
          <t>New</t>
        </is>
      </c>
      <c r="F764" s="14" t="inlineStr"/>
      <c r="G764" s="34" t="inlineStr">
        <is>
          <t>Source assignment -- not individually reviewed</t>
        </is>
      </c>
      <c r="H764" s="92" t="inlineStr">
        <is>
          <t>10 EVIDENCE &amp; DECISIONS</t>
        </is>
      </c>
    </row>
    <row r="765" ht="34" customHeight="1">
      <c r="A765" s="34" t="inlineStr">
        <is>
          <t>R375-v1</t>
        </is>
      </c>
      <c r="B765" s="34" t="inlineStr">
        <is>
          <t>Contractor Programme</t>
        </is>
      </c>
      <c r="C765" s="34" t="inlineStr">
        <is>
          <t>SCH-03-015</t>
        </is>
      </c>
      <c r="D765" s="34" t="inlineStr">
        <is>
          <t>1.3.2 Systems - Signalling &amp; Train Control</t>
        </is>
      </c>
      <c r="E765" s="34" t="inlineStr">
        <is>
          <t>New</t>
        </is>
      </c>
      <c r="F765" s="14" t="inlineStr"/>
      <c r="G765" s="34" t="inlineStr">
        <is>
          <t>Source assignment -- not individually reviewed</t>
        </is>
      </c>
      <c r="H765" s="92" t="inlineStr">
        <is>
          <t>10 EVIDENCE &amp; DECISIONS</t>
        </is>
      </c>
    </row>
    <row r="766" ht="34" customHeight="1">
      <c r="A766" s="34" t="inlineStr">
        <is>
          <t>R378-v1</t>
        </is>
      </c>
      <c r="B766" s="34" t="inlineStr">
        <is>
          <t>Contractor Programme</t>
        </is>
      </c>
      <c r="C766" s="34" t="inlineStr">
        <is>
          <t>SCH-03-018</t>
        </is>
      </c>
      <c r="D766" s="34" t="inlineStr">
        <is>
          <t>1.3.2 Systems - Signalling &amp; Train Control</t>
        </is>
      </c>
      <c r="E766" s="34" t="inlineStr">
        <is>
          <t>New</t>
        </is>
      </c>
      <c r="F766" s="14" t="inlineStr"/>
      <c r="G766" s="34" t="inlineStr">
        <is>
          <t>Source assignment -- not individually reviewed</t>
        </is>
      </c>
      <c r="H766" s="92" t="inlineStr">
        <is>
          <t>10 EVIDENCE &amp; DECISIONS</t>
        </is>
      </c>
    </row>
    <row r="767" ht="34" customHeight="1">
      <c r="A767" s="34" t="inlineStr">
        <is>
          <t>R381-v1</t>
        </is>
      </c>
      <c r="B767" s="34" t="inlineStr">
        <is>
          <t>Contractor Programme</t>
        </is>
      </c>
      <c r="C767" s="34" t="inlineStr">
        <is>
          <t>SCH-03-021</t>
        </is>
      </c>
      <c r="D767" s="34" t="inlineStr">
        <is>
          <t>1.3.2 Systems - Signalling &amp; Train Control</t>
        </is>
      </c>
      <c r="E767" s="34" t="inlineStr">
        <is>
          <t>New</t>
        </is>
      </c>
      <c r="F767" s="14" t="inlineStr"/>
      <c r="G767" s="34" t="inlineStr">
        <is>
          <t>Source assignment -- not individually reviewed</t>
        </is>
      </c>
      <c r="H767" s="92" t="inlineStr">
        <is>
          <t>10 EVIDENCE &amp; DECISIONS</t>
        </is>
      </c>
    </row>
    <row r="768" ht="34" customHeight="1">
      <c r="A768" s="34" t="inlineStr">
        <is>
          <t>R384-v1</t>
        </is>
      </c>
      <c r="B768" s="34" t="inlineStr">
        <is>
          <t>Contractor Programme</t>
        </is>
      </c>
      <c r="C768" s="34" t="inlineStr">
        <is>
          <t>SCH-03-024</t>
        </is>
      </c>
      <c r="D768" s="34" t="inlineStr">
        <is>
          <t>1.3.2 Systems - Signalling &amp; Train Control</t>
        </is>
      </c>
      <c r="E768" s="34" t="inlineStr">
        <is>
          <t>New</t>
        </is>
      </c>
      <c r="F768" s="14" t="inlineStr"/>
      <c r="G768" s="34" t="inlineStr">
        <is>
          <t>Source assignment -- not individually reviewed</t>
        </is>
      </c>
      <c r="H768" s="92" t="inlineStr">
        <is>
          <t>10 EVIDENCE &amp; DECISIONS</t>
        </is>
      </c>
    </row>
    <row r="769" ht="34" customHeight="1">
      <c r="A769" s="34" t="inlineStr">
        <is>
          <t>R387-v1</t>
        </is>
      </c>
      <c r="B769" s="34" t="inlineStr">
        <is>
          <t>Contractor Programme</t>
        </is>
      </c>
      <c r="C769" s="34" t="inlineStr">
        <is>
          <t>SCH-03-027</t>
        </is>
      </c>
      <c r="D769" s="34" t="inlineStr">
        <is>
          <t>1.3.2 Systems - Signalling &amp; Train Control</t>
        </is>
      </c>
      <c r="E769" s="34" t="inlineStr">
        <is>
          <t>New</t>
        </is>
      </c>
      <c r="F769" s="14" t="inlineStr"/>
      <c r="G769" s="34" t="inlineStr">
        <is>
          <t>Source assignment -- not individually reviewed</t>
        </is>
      </c>
      <c r="H769" s="92" t="inlineStr">
        <is>
          <t>10 EVIDENCE &amp; DECISIONS</t>
        </is>
      </c>
    </row>
    <row r="770" ht="34" customHeight="1">
      <c r="A770" s="34" t="inlineStr">
        <is>
          <t>R390-v1</t>
        </is>
      </c>
      <c r="B770" s="34" t="inlineStr">
        <is>
          <t>Contractor Programme</t>
        </is>
      </c>
      <c r="C770" s="34" t="inlineStr">
        <is>
          <t>SCH-03-030</t>
        </is>
      </c>
      <c r="D770" s="34" t="inlineStr">
        <is>
          <t>1.3.2 Systems - Signalling &amp; Train Control</t>
        </is>
      </c>
      <c r="E770" s="34" t="inlineStr">
        <is>
          <t>New</t>
        </is>
      </c>
      <c r="F770" s="14" t="inlineStr"/>
      <c r="G770" s="34" t="inlineStr">
        <is>
          <t>Source assignment -- not individually reviewed</t>
        </is>
      </c>
      <c r="H770" s="92" t="inlineStr">
        <is>
          <t>10 EVIDENCE &amp; DECISIONS</t>
        </is>
      </c>
    </row>
    <row r="771" ht="34" customHeight="1">
      <c r="A771" s="34" t="inlineStr">
        <is>
          <t>R393-v1</t>
        </is>
      </c>
      <c r="B771" s="34" t="inlineStr">
        <is>
          <t>Contractor Programme</t>
        </is>
      </c>
      <c r="C771" s="34" t="inlineStr">
        <is>
          <t>SCH-03-033</t>
        </is>
      </c>
      <c r="D771" s="34" t="inlineStr">
        <is>
          <t>1.3.2 Systems - Signalling &amp; Train Control</t>
        </is>
      </c>
      <c r="E771" s="34" t="inlineStr">
        <is>
          <t>New</t>
        </is>
      </c>
      <c r="F771" s="14" t="inlineStr"/>
      <c r="G771" s="34" t="inlineStr">
        <is>
          <t>Source assignment -- not individually reviewed</t>
        </is>
      </c>
      <c r="H771" s="92" t="inlineStr">
        <is>
          <t>10 EVIDENCE &amp; DECISIONS</t>
        </is>
      </c>
    </row>
    <row r="772" ht="34" customHeight="1">
      <c r="A772" s="34" t="inlineStr">
        <is>
          <t>R396-v1</t>
        </is>
      </c>
      <c r="B772" s="34" t="inlineStr">
        <is>
          <t>Contractor Programme</t>
        </is>
      </c>
      <c r="C772" s="34" t="inlineStr">
        <is>
          <t>SCH-03-036</t>
        </is>
      </c>
      <c r="D772" s="34" t="inlineStr">
        <is>
          <t>1.3.2 Systems - Signalling &amp; Train Control</t>
        </is>
      </c>
      <c r="E772" s="34" t="inlineStr">
        <is>
          <t>New</t>
        </is>
      </c>
      <c r="F772" s="14" t="inlineStr"/>
      <c r="G772" s="34" t="inlineStr">
        <is>
          <t>Source assignment -- not individually reviewed</t>
        </is>
      </c>
      <c r="H772" s="92" t="inlineStr">
        <is>
          <t>10 EVIDENCE &amp; DECISIONS</t>
        </is>
      </c>
    </row>
    <row r="773" ht="34" customHeight="1">
      <c r="A773" s="34" t="inlineStr">
        <is>
          <t>R399-v1</t>
        </is>
      </c>
      <c r="B773" s="34" t="inlineStr">
        <is>
          <t>Contractor Programme</t>
        </is>
      </c>
      <c r="C773" s="34" t="inlineStr">
        <is>
          <t>SCH-03-039</t>
        </is>
      </c>
      <c r="D773" s="34" t="inlineStr">
        <is>
          <t>1.3.2 Systems - Signalling &amp; Train Control</t>
        </is>
      </c>
      <c r="E773" s="34" t="inlineStr">
        <is>
          <t>New</t>
        </is>
      </c>
      <c r="F773" s="14" t="inlineStr"/>
      <c r="G773" s="34" t="inlineStr">
        <is>
          <t>Source assignment -- not individually reviewed</t>
        </is>
      </c>
      <c r="H773" s="92" t="inlineStr">
        <is>
          <t>10 EVIDENCE &amp; DECISIONS</t>
        </is>
      </c>
    </row>
    <row r="774" ht="34" customHeight="1">
      <c r="A774" s="34" t="inlineStr">
        <is>
          <t>R402-v1</t>
        </is>
      </c>
      <c r="B774" s="34" t="inlineStr">
        <is>
          <t>Contractor Programme</t>
        </is>
      </c>
      <c r="C774" s="34" t="inlineStr">
        <is>
          <t>SCH-03-042</t>
        </is>
      </c>
      <c r="D774" s="34" t="inlineStr">
        <is>
          <t>1.3.2 Systems - Signalling &amp; Train Control</t>
        </is>
      </c>
      <c r="E774" s="34" t="inlineStr">
        <is>
          <t>New</t>
        </is>
      </c>
      <c r="F774" s="14" t="inlineStr"/>
      <c r="G774" s="34" t="inlineStr">
        <is>
          <t>Source assignment -- not individually reviewed</t>
        </is>
      </c>
      <c r="H774" s="92" t="inlineStr">
        <is>
          <t>10 EVIDENCE &amp; DECISIONS</t>
        </is>
      </c>
    </row>
    <row r="775" ht="34" customHeight="1">
      <c r="A775" s="34" t="inlineStr">
        <is>
          <t>R405-v1</t>
        </is>
      </c>
      <c r="B775" s="34" t="inlineStr">
        <is>
          <t>Contractor Programme</t>
        </is>
      </c>
      <c r="C775" s="34" t="inlineStr">
        <is>
          <t>SCH-03-045</t>
        </is>
      </c>
      <c r="D775" s="34" t="inlineStr">
        <is>
          <t>1.3.2 Systems - Signalling &amp; Train Control</t>
        </is>
      </c>
      <c r="E775" s="34" t="inlineStr">
        <is>
          <t>New</t>
        </is>
      </c>
      <c r="F775" s="14" t="inlineStr"/>
      <c r="G775" s="34" t="inlineStr">
        <is>
          <t>Source assignment -- not individually reviewed</t>
        </is>
      </c>
      <c r="H775" s="92" t="inlineStr">
        <is>
          <t>10 EVIDENCE &amp; DECISIONS</t>
        </is>
      </c>
    </row>
    <row r="776" ht="34" customHeight="1">
      <c r="A776" s="34" t="inlineStr">
        <is>
          <t>R408-v1</t>
        </is>
      </c>
      <c r="B776" s="34" t="inlineStr">
        <is>
          <t>Contractor Programme</t>
        </is>
      </c>
      <c r="C776" s="34" t="inlineStr">
        <is>
          <t>SCH-03-048</t>
        </is>
      </c>
      <c r="D776" s="34" t="inlineStr">
        <is>
          <t>1.3.2 Systems - Signalling &amp; Train Control</t>
        </is>
      </c>
      <c r="E776" s="34" t="inlineStr">
        <is>
          <t>New</t>
        </is>
      </c>
      <c r="F776" s="14" t="inlineStr"/>
      <c r="G776" s="34" t="inlineStr">
        <is>
          <t>Source assignment -- not individually reviewed</t>
        </is>
      </c>
      <c r="H776" s="92" t="inlineStr">
        <is>
          <t>10 EVIDENCE &amp; DECISIONS</t>
        </is>
      </c>
    </row>
    <row r="777" ht="34" customHeight="1">
      <c r="A777" s="34" t="inlineStr">
        <is>
          <t>R411-v1</t>
        </is>
      </c>
      <c r="B777" s="34" t="inlineStr">
        <is>
          <t>Contractor Programme</t>
        </is>
      </c>
      <c r="C777" s="34" t="inlineStr">
        <is>
          <t>SCH-03-051</t>
        </is>
      </c>
      <c r="D777" s="34" t="inlineStr">
        <is>
          <t>1.3.2 Systems - Signalling &amp; Train Control</t>
        </is>
      </c>
      <c r="E777" s="34" t="inlineStr">
        <is>
          <t>New</t>
        </is>
      </c>
      <c r="F777" s="14" t="inlineStr"/>
      <c r="G777" s="34" t="inlineStr">
        <is>
          <t>Source assignment -- not individually reviewed</t>
        </is>
      </c>
      <c r="H777" s="92" t="inlineStr">
        <is>
          <t>10 EVIDENCE &amp; DECISIONS</t>
        </is>
      </c>
    </row>
    <row r="778" ht="34" customHeight="1">
      <c r="A778" s="34" t="inlineStr">
        <is>
          <t>R414-v1</t>
        </is>
      </c>
      <c r="B778" s="34" t="inlineStr">
        <is>
          <t>Contractor Programme</t>
        </is>
      </c>
      <c r="C778" s="34" t="inlineStr">
        <is>
          <t>SCH-03-054</t>
        </is>
      </c>
      <c r="D778" s="34" t="inlineStr">
        <is>
          <t>1.3.2 Systems - Signalling &amp; Train Control</t>
        </is>
      </c>
      <c r="E778" s="34" t="inlineStr">
        <is>
          <t>New</t>
        </is>
      </c>
      <c r="F778" s="14" t="inlineStr"/>
      <c r="G778" s="34" t="inlineStr">
        <is>
          <t>Source assignment -- not individually reviewed</t>
        </is>
      </c>
      <c r="H778" s="92" t="inlineStr">
        <is>
          <t>10 EVIDENCE &amp; DECISIONS</t>
        </is>
      </c>
    </row>
    <row r="779" ht="34" customHeight="1">
      <c r="A779" s="34" t="inlineStr">
        <is>
          <t>R417-v1</t>
        </is>
      </c>
      <c r="B779" s="34" t="inlineStr">
        <is>
          <t>Contractor Programme</t>
        </is>
      </c>
      <c r="C779" s="34" t="inlineStr">
        <is>
          <t>SCH-03-057</t>
        </is>
      </c>
      <c r="D779" s="34" t="inlineStr">
        <is>
          <t>1.3.2 Systems - Signalling &amp; Train Control</t>
        </is>
      </c>
      <c r="E779" s="34" t="inlineStr">
        <is>
          <t>New</t>
        </is>
      </c>
      <c r="F779" s="14" t="inlineStr"/>
      <c r="G779" s="34" t="inlineStr">
        <is>
          <t>Source assignment -- not individually reviewed</t>
        </is>
      </c>
      <c r="H779" s="92" t="inlineStr">
        <is>
          <t>10 EVIDENCE &amp; DECISIONS</t>
        </is>
      </c>
    </row>
    <row r="780" ht="34" customHeight="1">
      <c r="A780" s="34" t="inlineStr">
        <is>
          <t>R420-v1</t>
        </is>
      </c>
      <c r="B780" s="34" t="inlineStr">
        <is>
          <t>Contractor Programme</t>
        </is>
      </c>
      <c r="C780" s="34" t="inlineStr">
        <is>
          <t>SCH-03-060</t>
        </is>
      </c>
      <c r="D780" s="34" t="inlineStr">
        <is>
          <t>1.3.2 Systems - Signalling &amp; Train Control</t>
        </is>
      </c>
      <c r="E780" s="34" t="inlineStr">
        <is>
          <t>New</t>
        </is>
      </c>
      <c r="F780" s="14" t="inlineStr"/>
      <c r="G780" s="34" t="inlineStr">
        <is>
          <t>Source assignment -- not individually reviewed</t>
        </is>
      </c>
      <c r="H780" s="92" t="inlineStr">
        <is>
          <t>10 EVIDENCE &amp; DECISIONS</t>
        </is>
      </c>
    </row>
    <row r="781" ht="34" customHeight="1">
      <c r="A781" s="34" t="inlineStr">
        <is>
          <t>R423-v1</t>
        </is>
      </c>
      <c r="B781" s="34" t="inlineStr">
        <is>
          <t>Contractor Programme</t>
        </is>
      </c>
      <c r="C781" s="34" t="inlineStr">
        <is>
          <t>SCH-03-063</t>
        </is>
      </c>
      <c r="D781" s="34" t="inlineStr">
        <is>
          <t>1.3.2 Systems - Signalling &amp; Train Control</t>
        </is>
      </c>
      <c r="E781" s="34" t="inlineStr">
        <is>
          <t>New</t>
        </is>
      </c>
      <c r="F781" s="14" t="inlineStr"/>
      <c r="G781" s="34" t="inlineStr">
        <is>
          <t>Source assignment -- not individually reviewed</t>
        </is>
      </c>
      <c r="H781" s="92" t="inlineStr">
        <is>
          <t>10 EVIDENCE &amp; DECISIONS</t>
        </is>
      </c>
    </row>
    <row r="782" ht="34" customHeight="1">
      <c r="A782" s="34" t="inlineStr">
        <is>
          <t>R426-v1</t>
        </is>
      </c>
      <c r="B782" s="34" t="inlineStr">
        <is>
          <t>Contractor Programme</t>
        </is>
      </c>
      <c r="C782" s="34" t="inlineStr">
        <is>
          <t>SCH-03-066</t>
        </is>
      </c>
      <c r="D782" s="34" t="inlineStr">
        <is>
          <t>1.3.2 Systems - Signalling &amp; Train Control</t>
        </is>
      </c>
      <c r="E782" s="34" t="inlineStr">
        <is>
          <t>New</t>
        </is>
      </c>
      <c r="F782" s="14" t="inlineStr"/>
      <c r="G782" s="34" t="inlineStr">
        <is>
          <t>Source assignment -- not individually reviewed</t>
        </is>
      </c>
      <c r="H782" s="92" t="inlineStr">
        <is>
          <t>10 EVIDENCE &amp; DECISIONS</t>
        </is>
      </c>
    </row>
    <row r="783" ht="34" customHeight="1">
      <c r="A783" s="34" t="inlineStr">
        <is>
          <t>R429-v1</t>
        </is>
      </c>
      <c r="B783" s="34" t="inlineStr">
        <is>
          <t>Contractor Programme</t>
        </is>
      </c>
      <c r="C783" s="34" t="inlineStr">
        <is>
          <t>SCH-03-069</t>
        </is>
      </c>
      <c r="D783" s="34" t="inlineStr">
        <is>
          <t>1.3.2 Systems - Signalling &amp; Train Control</t>
        </is>
      </c>
      <c r="E783" s="34" t="inlineStr">
        <is>
          <t>New</t>
        </is>
      </c>
      <c r="F783" s="14" t="inlineStr"/>
      <c r="G783" s="34" t="inlineStr">
        <is>
          <t>Source assignment -- not individually reviewed</t>
        </is>
      </c>
      <c r="H783" s="92" t="inlineStr">
        <is>
          <t>10 EVIDENCE &amp; DECISIONS</t>
        </is>
      </c>
    </row>
    <row r="784" ht="34" customHeight="1">
      <c r="A784" s="34" t="inlineStr">
        <is>
          <t>R432-v1</t>
        </is>
      </c>
      <c r="B784" s="34" t="inlineStr">
        <is>
          <t>Contractor Programme</t>
        </is>
      </c>
      <c r="C784" s="34" t="inlineStr">
        <is>
          <t>SCH-03-072</t>
        </is>
      </c>
      <c r="D784" s="34" t="inlineStr">
        <is>
          <t>1.3.2 Systems - Signalling &amp; Train Control</t>
        </is>
      </c>
      <c r="E784" s="34" t="inlineStr">
        <is>
          <t>New</t>
        </is>
      </c>
      <c r="F784" s="14" t="inlineStr"/>
      <c r="G784" s="34" t="inlineStr">
        <is>
          <t>Source assignment -- not individually reviewed</t>
        </is>
      </c>
      <c r="H784" s="92" t="inlineStr">
        <is>
          <t>10 EVIDENCE &amp; DECISIONS</t>
        </is>
      </c>
    </row>
    <row r="785" ht="34" customHeight="1">
      <c r="A785" s="34" t="inlineStr">
        <is>
          <t>R435-v1</t>
        </is>
      </c>
      <c r="B785" s="34" t="inlineStr">
        <is>
          <t>Contractor Programme</t>
        </is>
      </c>
      <c r="C785" s="34" t="inlineStr">
        <is>
          <t>SCH-03-075</t>
        </is>
      </c>
      <c r="D785" s="34" t="inlineStr">
        <is>
          <t>1.3.2 Systems - Signalling &amp; Train Control</t>
        </is>
      </c>
      <c r="E785" s="34" t="inlineStr">
        <is>
          <t>New</t>
        </is>
      </c>
      <c r="F785" s="14" t="inlineStr"/>
      <c r="G785" s="34" t="inlineStr">
        <is>
          <t>Source assignment -- not individually reviewed</t>
        </is>
      </c>
      <c r="H785" s="92" t="inlineStr">
        <is>
          <t>10 EVIDENCE &amp; DECISIONS</t>
        </is>
      </c>
    </row>
    <row r="786" ht="34" customHeight="1">
      <c r="A786" s="34" t="inlineStr">
        <is>
          <t>R438-v1</t>
        </is>
      </c>
      <c r="B786" s="34" t="inlineStr">
        <is>
          <t>Contractor Programme</t>
        </is>
      </c>
      <c r="C786" s="34" t="inlineStr">
        <is>
          <t>SCH-03-078</t>
        </is>
      </c>
      <c r="D786" s="34" t="inlineStr">
        <is>
          <t>1.3.2 Systems - Signalling &amp; Train Control</t>
        </is>
      </c>
      <c r="E786" s="34" t="inlineStr">
        <is>
          <t>New</t>
        </is>
      </c>
      <c r="F786" s="14" t="inlineStr"/>
      <c r="G786" s="34" t="inlineStr">
        <is>
          <t>Source assignment -- not individually reviewed</t>
        </is>
      </c>
      <c r="H786" s="92" t="inlineStr">
        <is>
          <t>10 EVIDENCE &amp; DECISIONS</t>
        </is>
      </c>
    </row>
    <row r="787" ht="34" customHeight="1">
      <c r="A787" s="34" t="inlineStr">
        <is>
          <t>R441-v1</t>
        </is>
      </c>
      <c r="B787" s="34" t="inlineStr">
        <is>
          <t>Contractor Programme</t>
        </is>
      </c>
      <c r="C787" s="34" t="inlineStr">
        <is>
          <t>SCH-03-081</t>
        </is>
      </c>
      <c r="D787" s="34" t="inlineStr">
        <is>
          <t>1.3.2 Systems - Signalling &amp; Train Control</t>
        </is>
      </c>
      <c r="E787" s="34" t="inlineStr">
        <is>
          <t>New</t>
        </is>
      </c>
      <c r="F787" s="14" t="inlineStr"/>
      <c r="G787" s="34" t="inlineStr">
        <is>
          <t>Source assignment -- not individually reviewed</t>
        </is>
      </c>
      <c r="H787" s="92" t="inlineStr">
        <is>
          <t>10 EVIDENCE &amp; DECISIONS</t>
        </is>
      </c>
    </row>
    <row r="788" ht="34" customHeight="1">
      <c r="A788" s="34" t="inlineStr">
        <is>
          <t>R444-v1</t>
        </is>
      </c>
      <c r="B788" s="34" t="inlineStr">
        <is>
          <t>Contractor Programme</t>
        </is>
      </c>
      <c r="C788" s="34" t="inlineStr">
        <is>
          <t>SCH-03-084</t>
        </is>
      </c>
      <c r="D788" s="34" t="inlineStr">
        <is>
          <t>1.3.2 Systems - Signalling &amp; Train Control</t>
        </is>
      </c>
      <c r="E788" s="34" t="inlineStr">
        <is>
          <t>New</t>
        </is>
      </c>
      <c r="F788" s="14" t="inlineStr"/>
      <c r="G788" s="34" t="inlineStr">
        <is>
          <t>Source assignment -- not individually reviewed</t>
        </is>
      </c>
      <c r="H788" s="92" t="inlineStr">
        <is>
          <t>10 EVIDENCE &amp; DECISIONS</t>
        </is>
      </c>
    </row>
    <row r="789" ht="34" customHeight="1">
      <c r="A789" s="34" t="inlineStr">
        <is>
          <t>R447-v1</t>
        </is>
      </c>
      <c r="B789" s="34" t="inlineStr">
        <is>
          <t>Contractor Programme</t>
        </is>
      </c>
      <c r="C789" s="34" t="inlineStr">
        <is>
          <t>SCH-03-087</t>
        </is>
      </c>
      <c r="D789" s="34" t="inlineStr">
        <is>
          <t>1.3.2 Systems - Signalling &amp; Train Control</t>
        </is>
      </c>
      <c r="E789" s="34" t="inlineStr">
        <is>
          <t>New</t>
        </is>
      </c>
      <c r="F789" s="14" t="inlineStr"/>
      <c r="G789" s="34" t="inlineStr">
        <is>
          <t>Source assignment -- not individually reviewed</t>
        </is>
      </c>
      <c r="H789" s="92" t="inlineStr">
        <is>
          <t>10 EVIDENCE &amp; DECISIONS</t>
        </is>
      </c>
    </row>
    <row r="790" ht="34" customHeight="1">
      <c r="A790" s="34" t="inlineStr">
        <is>
          <t>R450-v1</t>
        </is>
      </c>
      <c r="B790" s="34" t="inlineStr">
        <is>
          <t>Contractor Programme</t>
        </is>
      </c>
      <c r="C790" s="34" t="inlineStr">
        <is>
          <t>SCH-03-090</t>
        </is>
      </c>
      <c r="D790" s="34" t="inlineStr">
        <is>
          <t>1.3.2 Systems - Signalling &amp; Train Control</t>
        </is>
      </c>
      <c r="E790" s="34" t="inlineStr">
        <is>
          <t>New</t>
        </is>
      </c>
      <c r="F790" s="14" t="inlineStr"/>
      <c r="G790" s="34" t="inlineStr">
        <is>
          <t>Source assignment -- not individually reviewed</t>
        </is>
      </c>
      <c r="H790" s="92" t="inlineStr">
        <is>
          <t>10 EVIDENCE &amp; DECISIONS</t>
        </is>
      </c>
    </row>
    <row r="791" ht="34" customHeight="1">
      <c r="A791" s="34" t="inlineStr">
        <is>
          <t>R453-v1</t>
        </is>
      </c>
      <c r="B791" s="34" t="inlineStr">
        <is>
          <t>Contractor Programme</t>
        </is>
      </c>
      <c r="C791" s="34" t="inlineStr">
        <is>
          <t>SCH-03-093</t>
        </is>
      </c>
      <c r="D791" s="34" t="inlineStr">
        <is>
          <t>1.3.2 Systems - Signalling &amp; Train Control</t>
        </is>
      </c>
      <c r="E791" s="34" t="inlineStr">
        <is>
          <t>New</t>
        </is>
      </c>
      <c r="F791" s="14" t="inlineStr"/>
      <c r="G791" s="34" t="inlineStr">
        <is>
          <t>Source assignment -- not individually reviewed</t>
        </is>
      </c>
      <c r="H791" s="92" t="inlineStr">
        <is>
          <t>10 EVIDENCE &amp; DECISIONS</t>
        </is>
      </c>
    </row>
    <row r="792" ht="34" customHeight="1">
      <c r="A792" s="34" t="inlineStr">
        <is>
          <t>R456-v1</t>
        </is>
      </c>
      <c r="B792" s="34" t="inlineStr">
        <is>
          <t>Contractor Programme</t>
        </is>
      </c>
      <c r="C792" s="34" t="inlineStr">
        <is>
          <t>SCH-03-096</t>
        </is>
      </c>
      <c r="D792" s="34" t="inlineStr">
        <is>
          <t>1.3.2 Systems - Signalling &amp; Train Control</t>
        </is>
      </c>
      <c r="E792" s="34" t="inlineStr">
        <is>
          <t>New</t>
        </is>
      </c>
      <c r="F792" s="14" t="inlineStr"/>
      <c r="G792" s="34" t="inlineStr">
        <is>
          <t>Source assignment -- not individually reviewed</t>
        </is>
      </c>
      <c r="H792" s="92" t="inlineStr">
        <is>
          <t>10 EVIDENCE &amp; DECISIONS</t>
        </is>
      </c>
    </row>
    <row r="793" ht="34" customHeight="1">
      <c r="A793" s="34" t="inlineStr">
        <is>
          <t>R459-v1</t>
        </is>
      </c>
      <c r="B793" s="34" t="inlineStr">
        <is>
          <t>Contractor Programme</t>
        </is>
      </c>
      <c r="C793" s="34" t="inlineStr">
        <is>
          <t>SCH-03-099</t>
        </is>
      </c>
      <c r="D793" s="34" t="inlineStr">
        <is>
          <t>1.3.2 Systems - Signalling &amp; Train Control</t>
        </is>
      </c>
      <c r="E793" s="34" t="inlineStr">
        <is>
          <t>New</t>
        </is>
      </c>
      <c r="F793" s="14" t="inlineStr"/>
      <c r="G793" s="34" t="inlineStr">
        <is>
          <t>Source assignment -- not individually reviewed</t>
        </is>
      </c>
      <c r="H793" s="92" t="inlineStr">
        <is>
          <t>10 EVIDENCE &amp; DECISIONS</t>
        </is>
      </c>
    </row>
    <row r="794" ht="34" customHeight="1">
      <c r="A794" s="34" t="inlineStr">
        <is>
          <t>R462-v1</t>
        </is>
      </c>
      <c r="B794" s="34" t="inlineStr">
        <is>
          <t>Contractor Programme</t>
        </is>
      </c>
      <c r="C794" s="34" t="inlineStr">
        <is>
          <t>SCH-03-102</t>
        </is>
      </c>
      <c r="D794" s="34" t="inlineStr">
        <is>
          <t>1.3.2 Systems - Signalling &amp; Train Control</t>
        </is>
      </c>
      <c r="E794" s="34" t="inlineStr">
        <is>
          <t>New</t>
        </is>
      </c>
      <c r="F794" s="14" t="inlineStr"/>
      <c r="G794" s="34" t="inlineStr">
        <is>
          <t>Source assignment -- not individually reviewed</t>
        </is>
      </c>
      <c r="H794" s="92" t="inlineStr">
        <is>
          <t>10 EVIDENCE &amp; DECISIONS</t>
        </is>
      </c>
    </row>
    <row r="795" ht="34" customHeight="1">
      <c r="A795" s="34" t="inlineStr">
        <is>
          <t>R465-v1</t>
        </is>
      </c>
      <c r="B795" s="34" t="inlineStr">
        <is>
          <t>Contractor Programme</t>
        </is>
      </c>
      <c r="C795" s="34" t="inlineStr">
        <is>
          <t>SCH-03-105</t>
        </is>
      </c>
      <c r="D795" s="34" t="inlineStr">
        <is>
          <t>1.3.2 Systems - Signalling &amp; Train Control</t>
        </is>
      </c>
      <c r="E795" s="34" t="inlineStr">
        <is>
          <t>New</t>
        </is>
      </c>
      <c r="F795" s="14" t="inlineStr"/>
      <c r="G795" s="34" t="inlineStr">
        <is>
          <t>Source assignment -- not individually reviewed</t>
        </is>
      </c>
      <c r="H795" s="92" t="inlineStr">
        <is>
          <t>10 EVIDENCE &amp; DECISIONS</t>
        </is>
      </c>
    </row>
    <row r="796" ht="34" customHeight="1">
      <c r="A796" s="34" t="inlineStr">
        <is>
          <t>R468-v1</t>
        </is>
      </c>
      <c r="B796" s="34" t="inlineStr">
        <is>
          <t>Contractor Programme</t>
        </is>
      </c>
      <c r="C796" s="34" t="inlineStr">
        <is>
          <t>SCH-03-108</t>
        </is>
      </c>
      <c r="D796" s="34" t="inlineStr">
        <is>
          <t>1.3.2 Systems - Signalling &amp; Train Control</t>
        </is>
      </c>
      <c r="E796" s="34" t="inlineStr">
        <is>
          <t>New</t>
        </is>
      </c>
      <c r="F796" s="14" t="inlineStr"/>
      <c r="G796" s="34" t="inlineStr">
        <is>
          <t>Source assignment -- not individually reviewed</t>
        </is>
      </c>
      <c r="H796" s="92" t="inlineStr">
        <is>
          <t>10 EVIDENCE &amp; DECISIONS</t>
        </is>
      </c>
    </row>
    <row r="797" ht="34" customHeight="1">
      <c r="A797" s="34" t="inlineStr">
        <is>
          <t>R471-v1</t>
        </is>
      </c>
      <c r="B797" s="34" t="inlineStr">
        <is>
          <t>Contractor Programme</t>
        </is>
      </c>
      <c r="C797" s="34" t="inlineStr">
        <is>
          <t>SCH-03-111</t>
        </is>
      </c>
      <c r="D797" s="34" t="inlineStr">
        <is>
          <t>1.3.2 Systems - Signalling &amp; Train Control</t>
        </is>
      </c>
      <c r="E797" s="34" t="inlineStr">
        <is>
          <t>New</t>
        </is>
      </c>
      <c r="F797" s="14" t="inlineStr"/>
      <c r="G797" s="34" t="inlineStr">
        <is>
          <t>Source assignment -- not individually reviewed</t>
        </is>
      </c>
      <c r="H797" s="92" t="inlineStr">
        <is>
          <t>10 EVIDENCE &amp; DECISIONS</t>
        </is>
      </c>
    </row>
    <row r="798" ht="34" customHeight="1">
      <c r="A798" s="34" t="inlineStr">
        <is>
          <t>R474-v1</t>
        </is>
      </c>
      <c r="B798" s="34" t="inlineStr">
        <is>
          <t>Contractor Programme</t>
        </is>
      </c>
      <c r="C798" s="34" t="inlineStr">
        <is>
          <t>SCH-03-114</t>
        </is>
      </c>
      <c r="D798" s="34" t="inlineStr">
        <is>
          <t>1.3.2 Systems - Signalling &amp; Train Control</t>
        </is>
      </c>
      <c r="E798" s="34" t="inlineStr">
        <is>
          <t>New</t>
        </is>
      </c>
      <c r="F798" s="14" t="inlineStr"/>
      <c r="G798" s="34" t="inlineStr">
        <is>
          <t>Source assignment -- not individually reviewed</t>
        </is>
      </c>
      <c r="H798" s="92" t="inlineStr">
        <is>
          <t>10 EVIDENCE &amp; DECISIONS</t>
        </is>
      </c>
    </row>
    <row r="799" ht="34" customHeight="1">
      <c r="A799" s="34" t="inlineStr">
        <is>
          <t>R477-v1</t>
        </is>
      </c>
      <c r="B799" s="34" t="inlineStr">
        <is>
          <t>Contractor Programme</t>
        </is>
      </c>
      <c r="C799" s="34" t="inlineStr">
        <is>
          <t>SCH-03-117</t>
        </is>
      </c>
      <c r="D799" s="34" t="inlineStr">
        <is>
          <t>1.3.2 Systems - Signalling &amp; Train Control</t>
        </is>
      </c>
      <c r="E799" s="34" t="inlineStr">
        <is>
          <t>New</t>
        </is>
      </c>
      <c r="F799" s="14" t="inlineStr"/>
      <c r="G799" s="34" t="inlineStr">
        <is>
          <t>Source assignment -- not individually reviewed</t>
        </is>
      </c>
      <c r="H799" s="92" t="inlineStr">
        <is>
          <t>10 EVIDENCE &amp; DECISIONS</t>
        </is>
      </c>
    </row>
    <row r="800" ht="34" customHeight="1">
      <c r="A800" s="34" t="inlineStr">
        <is>
          <t>R480-v1</t>
        </is>
      </c>
      <c r="B800" s="34" t="inlineStr">
        <is>
          <t>Contractor Programme</t>
        </is>
      </c>
      <c r="C800" s="34" t="inlineStr">
        <is>
          <t>SCH-03-120</t>
        </is>
      </c>
      <c r="D800" s="34" t="inlineStr">
        <is>
          <t>1.3.2 Systems - Signalling &amp; Train Control</t>
        </is>
      </c>
      <c r="E800" s="34" t="inlineStr">
        <is>
          <t>New</t>
        </is>
      </c>
      <c r="F800" s="14" t="inlineStr"/>
      <c r="G800" s="34" t="inlineStr">
        <is>
          <t>Source assignment -- not individually reviewed</t>
        </is>
      </c>
      <c r="H800" s="92" t="inlineStr">
        <is>
          <t>10 EVIDENCE &amp; DECISIONS</t>
        </is>
      </c>
    </row>
    <row r="801" ht="34" customHeight="1">
      <c r="A801" s="34" t="inlineStr">
        <is>
          <t>R483-v1</t>
        </is>
      </c>
      <c r="B801" s="34" t="inlineStr">
        <is>
          <t>Contractor Programme</t>
        </is>
      </c>
      <c r="C801" s="34" t="inlineStr">
        <is>
          <t>SCH-03-123</t>
        </is>
      </c>
      <c r="D801" s="34" t="inlineStr">
        <is>
          <t>1.3.2 Systems - Signalling &amp; Train Control</t>
        </is>
      </c>
      <c r="E801" s="34" t="inlineStr">
        <is>
          <t>New</t>
        </is>
      </c>
      <c r="F801" s="14" t="inlineStr"/>
      <c r="G801" s="34" t="inlineStr">
        <is>
          <t>Source assignment -- not individually reviewed</t>
        </is>
      </c>
      <c r="H801" s="92" t="inlineStr">
        <is>
          <t>10 EVIDENCE &amp; DECISIONS</t>
        </is>
      </c>
    </row>
    <row r="802" ht="34" customHeight="1">
      <c r="A802" s="34" t="inlineStr">
        <is>
          <t>R486-v1</t>
        </is>
      </c>
      <c r="B802" s="34" t="inlineStr">
        <is>
          <t>Contractor Programme</t>
        </is>
      </c>
      <c r="C802" s="34" t="inlineStr">
        <is>
          <t>SCH-03-126</t>
        </is>
      </c>
      <c r="D802" s="34" t="inlineStr">
        <is>
          <t>1.3.2 Systems - Signalling &amp; Train Control</t>
        </is>
      </c>
      <c r="E802" s="34" t="inlineStr">
        <is>
          <t>New</t>
        </is>
      </c>
      <c r="F802" s="14" t="inlineStr"/>
      <c r="G802" s="34" t="inlineStr">
        <is>
          <t>Source assignment -- not individually reviewed</t>
        </is>
      </c>
      <c r="H802" s="92" t="inlineStr">
        <is>
          <t>10 EVIDENCE &amp; DECISIONS</t>
        </is>
      </c>
    </row>
    <row r="803" ht="34" customHeight="1">
      <c r="A803" s="34" t="inlineStr">
        <is>
          <t>R489-v1</t>
        </is>
      </c>
      <c r="B803" s="34" t="inlineStr">
        <is>
          <t>Contractor Programme</t>
        </is>
      </c>
      <c r="C803" s="34" t="inlineStr">
        <is>
          <t>SCH-03-129</t>
        </is>
      </c>
      <c r="D803" s="34" t="inlineStr">
        <is>
          <t>1.3.2 Systems - Signalling &amp; Train Control</t>
        </is>
      </c>
      <c r="E803" s="34" t="inlineStr">
        <is>
          <t>New</t>
        </is>
      </c>
      <c r="F803" s="14" t="inlineStr"/>
      <c r="G803" s="34" t="inlineStr">
        <is>
          <t>Source assignment -- not individually reviewed</t>
        </is>
      </c>
      <c r="H803" s="92" t="inlineStr">
        <is>
          <t>10 EVIDENCE &amp; DECISIONS</t>
        </is>
      </c>
    </row>
    <row r="804" ht="34" customHeight="1">
      <c r="A804" s="34" t="inlineStr">
        <is>
          <t>R492-v1</t>
        </is>
      </c>
      <c r="B804" s="34" t="inlineStr">
        <is>
          <t>Contractor Programme</t>
        </is>
      </c>
      <c r="C804" s="34" t="inlineStr">
        <is>
          <t>SCH-03-132</t>
        </is>
      </c>
      <c r="D804" s="34" t="inlineStr">
        <is>
          <t>1.3.2 Systems - Signalling &amp; Train Control</t>
        </is>
      </c>
      <c r="E804" s="34" t="inlineStr">
        <is>
          <t>New</t>
        </is>
      </c>
      <c r="F804" s="14" t="inlineStr"/>
      <c r="G804" s="34" t="inlineStr">
        <is>
          <t>Source assignment -- not individually reviewed</t>
        </is>
      </c>
      <c r="H804" s="92" t="inlineStr">
        <is>
          <t>10 EVIDENCE &amp; DECISIONS</t>
        </is>
      </c>
    </row>
    <row r="805" ht="34" customHeight="1">
      <c r="A805" s="34" t="inlineStr">
        <is>
          <t>R495-v1</t>
        </is>
      </c>
      <c r="B805" s="34" t="inlineStr">
        <is>
          <t>Contractor Programme</t>
        </is>
      </c>
      <c r="C805" s="34" t="inlineStr">
        <is>
          <t>SCH-03-135</t>
        </is>
      </c>
      <c r="D805" s="34" t="inlineStr">
        <is>
          <t>1.3.2 Systems - Signalling &amp; Train Control</t>
        </is>
      </c>
      <c r="E805" s="34" t="inlineStr">
        <is>
          <t>New</t>
        </is>
      </c>
      <c r="F805" s="14" t="inlineStr"/>
      <c r="G805" s="34" t="inlineStr">
        <is>
          <t>Source assignment -- not individually reviewed</t>
        </is>
      </c>
      <c r="H805" s="92" t="inlineStr">
        <is>
          <t>10 EVIDENCE &amp; DECISIONS</t>
        </is>
      </c>
    </row>
    <row r="806" ht="34" customHeight="1">
      <c r="A806" s="34" t="inlineStr">
        <is>
          <t>R498-v1</t>
        </is>
      </c>
      <c r="B806" s="34" t="inlineStr">
        <is>
          <t>Contractor Programme</t>
        </is>
      </c>
      <c r="C806" s="34" t="inlineStr">
        <is>
          <t>SCH-03-138</t>
        </is>
      </c>
      <c r="D806" s="34" t="inlineStr">
        <is>
          <t>1.3.2 Systems - Signalling &amp; Train Control</t>
        </is>
      </c>
      <c r="E806" s="34" t="inlineStr">
        <is>
          <t>New</t>
        </is>
      </c>
      <c r="F806" s="14" t="inlineStr"/>
      <c r="G806" s="34" t="inlineStr">
        <is>
          <t>Source assignment -- not individually reviewed</t>
        </is>
      </c>
      <c r="H806" s="92" t="inlineStr">
        <is>
          <t>10 EVIDENCE &amp; DECISIONS</t>
        </is>
      </c>
    </row>
    <row r="807" ht="34" customHeight="1">
      <c r="A807" s="34" t="inlineStr">
        <is>
          <t>R501-v1</t>
        </is>
      </c>
      <c r="B807" s="34" t="inlineStr">
        <is>
          <t>Contractor Programme</t>
        </is>
      </c>
      <c r="C807" s="34" t="inlineStr">
        <is>
          <t>SCH-03-141</t>
        </is>
      </c>
      <c r="D807" s="34" t="inlineStr">
        <is>
          <t>1.3.2 Systems - Signalling &amp; Train Control</t>
        </is>
      </c>
      <c r="E807" s="34" t="inlineStr">
        <is>
          <t>New</t>
        </is>
      </c>
      <c r="F807" s="14" t="inlineStr"/>
      <c r="G807" s="34" t="inlineStr">
        <is>
          <t>Source assignment -- not individually reviewed</t>
        </is>
      </c>
      <c r="H807" s="92" t="inlineStr">
        <is>
          <t>10 EVIDENCE &amp; DECISIONS</t>
        </is>
      </c>
    </row>
    <row r="808" ht="34" customHeight="1">
      <c r="A808" s="34" t="inlineStr">
        <is>
          <t>R504-v1</t>
        </is>
      </c>
      <c r="B808" s="34" t="inlineStr">
        <is>
          <t>Contractor Programme</t>
        </is>
      </c>
      <c r="C808" s="34" t="inlineStr">
        <is>
          <t>SCH-03-144</t>
        </is>
      </c>
      <c r="D808" s="34" t="inlineStr">
        <is>
          <t>1.3.2 Systems - Signalling &amp; Train Control</t>
        </is>
      </c>
      <c r="E808" s="34" t="inlineStr">
        <is>
          <t>New</t>
        </is>
      </c>
      <c r="F808" s="14" t="inlineStr"/>
      <c r="G808" s="34" t="inlineStr">
        <is>
          <t>Source assignment -- not individually reviewed</t>
        </is>
      </c>
      <c r="H808" s="92" t="inlineStr">
        <is>
          <t>10 EVIDENCE &amp; DECISIONS</t>
        </is>
      </c>
    </row>
    <row r="809" ht="34" customHeight="1">
      <c r="A809" s="34" t="inlineStr">
        <is>
          <t>R507-v1</t>
        </is>
      </c>
      <c r="B809" s="34" t="inlineStr">
        <is>
          <t>Contractor Programme</t>
        </is>
      </c>
      <c r="C809" s="34" t="inlineStr">
        <is>
          <t>SCH-03-147</t>
        </is>
      </c>
      <c r="D809" s="34" t="inlineStr">
        <is>
          <t>1.3.2 Systems - Signalling &amp; Train Control</t>
        </is>
      </c>
      <c r="E809" s="34" t="inlineStr">
        <is>
          <t>New</t>
        </is>
      </c>
      <c r="F809" s="14" t="inlineStr"/>
      <c r="G809" s="34" t="inlineStr">
        <is>
          <t>Source assignment -- not individually reviewed</t>
        </is>
      </c>
      <c r="H809" s="92" t="inlineStr">
        <is>
          <t>10 EVIDENCE &amp; DECISIONS</t>
        </is>
      </c>
    </row>
    <row r="810" ht="34" customHeight="1">
      <c r="A810" s="34" t="inlineStr">
        <is>
          <t>R510-v1</t>
        </is>
      </c>
      <c r="B810" s="34" t="inlineStr">
        <is>
          <t>Contractor Programme</t>
        </is>
      </c>
      <c r="C810" s="34" t="inlineStr">
        <is>
          <t>SCH-03-150</t>
        </is>
      </c>
      <c r="D810" s="34" t="inlineStr">
        <is>
          <t>1.3.2 Systems - Signalling &amp; Train Control</t>
        </is>
      </c>
      <c r="E810" s="34" t="inlineStr">
        <is>
          <t>New</t>
        </is>
      </c>
      <c r="F810" s="14" t="inlineStr"/>
      <c r="G810" s="34" t="inlineStr">
        <is>
          <t>Source assignment -- not individually reviewed</t>
        </is>
      </c>
      <c r="H810" s="92" t="inlineStr">
        <is>
          <t>10 EVIDENCE &amp; DECISIONS</t>
        </is>
      </c>
    </row>
    <row r="811" ht="34" customHeight="1">
      <c r="A811" s="34" t="inlineStr">
        <is>
          <t>R513-v1</t>
        </is>
      </c>
      <c r="B811" s="34" t="inlineStr">
        <is>
          <t>Contractor Programme</t>
        </is>
      </c>
      <c r="C811" s="34" t="inlineStr">
        <is>
          <t>SCH-03-153</t>
        </is>
      </c>
      <c r="D811" s="34" t="inlineStr">
        <is>
          <t>1.3.2 Systems - Signalling &amp; Train Control</t>
        </is>
      </c>
      <c r="E811" s="34" t="inlineStr">
        <is>
          <t>New</t>
        </is>
      </c>
      <c r="F811" s="14" t="inlineStr"/>
      <c r="G811" s="34" t="inlineStr">
        <is>
          <t>Source assignment -- not individually reviewed</t>
        </is>
      </c>
      <c r="H811" s="92" t="inlineStr">
        <is>
          <t>10 EVIDENCE &amp; DECISIONS</t>
        </is>
      </c>
    </row>
    <row r="812" ht="34" customHeight="1">
      <c r="A812" s="34" t="inlineStr">
        <is>
          <t>R516-v1</t>
        </is>
      </c>
      <c r="B812" s="34" t="inlineStr">
        <is>
          <t>Contractor Programme</t>
        </is>
      </c>
      <c r="C812" s="34" t="inlineStr">
        <is>
          <t>SCH-03-156</t>
        </is>
      </c>
      <c r="D812" s="34" t="inlineStr">
        <is>
          <t>1.3.2 Systems - Signalling &amp; Train Control</t>
        </is>
      </c>
      <c r="E812" s="34" t="inlineStr">
        <is>
          <t>New</t>
        </is>
      </c>
      <c r="F812" s="14" t="inlineStr"/>
      <c r="G812" s="34" t="inlineStr">
        <is>
          <t>Source assignment -- not individually reviewed</t>
        </is>
      </c>
      <c r="H812" s="92" t="inlineStr">
        <is>
          <t>10 EVIDENCE &amp; DECISIONS</t>
        </is>
      </c>
    </row>
    <row r="813" ht="34" customHeight="1">
      <c r="A813" s="34" t="inlineStr">
        <is>
          <t>R519-v1</t>
        </is>
      </c>
      <c r="B813" s="34" t="inlineStr">
        <is>
          <t>Contractor Programme</t>
        </is>
      </c>
      <c r="C813" s="34" t="inlineStr">
        <is>
          <t>SCH-03-159</t>
        </is>
      </c>
      <c r="D813" s="34" t="inlineStr">
        <is>
          <t>1.3.2 Systems - Signalling &amp; Train Control</t>
        </is>
      </c>
      <c r="E813" s="34" t="inlineStr">
        <is>
          <t>New</t>
        </is>
      </c>
      <c r="F813" s="14" t="inlineStr"/>
      <c r="G813" s="34" t="inlineStr">
        <is>
          <t>Source assignment -- not individually reviewed</t>
        </is>
      </c>
      <c r="H813" s="92" t="inlineStr">
        <is>
          <t>10 EVIDENCE &amp; DECISIONS</t>
        </is>
      </c>
    </row>
    <row r="814" ht="34" customHeight="1">
      <c r="A814" s="34" t="inlineStr">
        <is>
          <t>R522-v1</t>
        </is>
      </c>
      <c r="B814" s="34" t="inlineStr">
        <is>
          <t>Contractor Programme</t>
        </is>
      </c>
      <c r="C814" s="34" t="inlineStr">
        <is>
          <t>SCH-03-162</t>
        </is>
      </c>
      <c r="D814" s="34" t="inlineStr">
        <is>
          <t>1.3.2 Systems - Signalling &amp; Train Control</t>
        </is>
      </c>
      <c r="E814" s="34" t="inlineStr">
        <is>
          <t>New</t>
        </is>
      </c>
      <c r="F814" s="14" t="inlineStr"/>
      <c r="G814" s="34" t="inlineStr">
        <is>
          <t>Source assignment -- not individually reviewed</t>
        </is>
      </c>
      <c r="H814" s="92" t="inlineStr">
        <is>
          <t>10 EVIDENCE &amp; DECISIONS</t>
        </is>
      </c>
    </row>
    <row r="815" ht="34" customHeight="1">
      <c r="A815" s="34" t="inlineStr">
        <is>
          <t>R525-v1</t>
        </is>
      </c>
      <c r="B815" s="34" t="inlineStr">
        <is>
          <t>Contractor Programme</t>
        </is>
      </c>
      <c r="C815" s="34" t="inlineStr">
        <is>
          <t>SCH-03-165</t>
        </is>
      </c>
      <c r="D815" s="34" t="inlineStr">
        <is>
          <t>1.3.2 Systems - Signalling &amp; Train Control</t>
        </is>
      </c>
      <c r="E815" s="34" t="inlineStr">
        <is>
          <t>New</t>
        </is>
      </c>
      <c r="F815" s="14" t="inlineStr"/>
      <c r="G815" s="34" t="inlineStr">
        <is>
          <t>Source assignment -- not individually reviewed</t>
        </is>
      </c>
      <c r="H815" s="92" t="inlineStr">
        <is>
          <t>10 EVIDENCE &amp; DECISIONS</t>
        </is>
      </c>
    </row>
    <row r="816" ht="34" customHeight="1">
      <c r="A816" s="34" t="inlineStr">
        <is>
          <t>R528-v1</t>
        </is>
      </c>
      <c r="B816" s="34" t="inlineStr">
        <is>
          <t>Contractor Programme</t>
        </is>
      </c>
      <c r="C816" s="34" t="inlineStr">
        <is>
          <t>SCH-03-168</t>
        </is>
      </c>
      <c r="D816" s="34" t="inlineStr">
        <is>
          <t>1.3.2 Systems - Signalling &amp; Train Control</t>
        </is>
      </c>
      <c r="E816" s="34" t="inlineStr">
        <is>
          <t>New</t>
        </is>
      </c>
      <c r="F816" s="14" t="inlineStr"/>
      <c r="G816" s="34" t="inlineStr">
        <is>
          <t>Source assignment -- not individually reviewed</t>
        </is>
      </c>
      <c r="H816" s="92" t="inlineStr">
        <is>
          <t>10 EVIDENCE &amp; DECISIONS</t>
        </is>
      </c>
    </row>
    <row r="817" ht="34" customHeight="1">
      <c r="A817" s="34" t="inlineStr">
        <is>
          <t>R531-v1</t>
        </is>
      </c>
      <c r="B817" s="34" t="inlineStr">
        <is>
          <t>Contractor Programme</t>
        </is>
      </c>
      <c r="C817" s="34" t="inlineStr">
        <is>
          <t>SCH-03-171</t>
        </is>
      </c>
      <c r="D817" s="34" t="inlineStr">
        <is>
          <t>1.3.2 Systems - Signalling &amp; Train Control</t>
        </is>
      </c>
      <c r="E817" s="34" t="inlineStr">
        <is>
          <t>New</t>
        </is>
      </c>
      <c r="F817" s="14" t="inlineStr"/>
      <c r="G817" s="34" t="inlineStr">
        <is>
          <t>Source assignment -- not individually reviewed</t>
        </is>
      </c>
      <c r="H817" s="92" t="inlineStr">
        <is>
          <t>10 EVIDENCE &amp; DECISIONS</t>
        </is>
      </c>
    </row>
    <row r="818" ht="34" customHeight="1">
      <c r="A818" s="34" t="inlineStr">
        <is>
          <t>R534-v1</t>
        </is>
      </c>
      <c r="B818" s="34" t="inlineStr">
        <is>
          <t>Contractor Programme</t>
        </is>
      </c>
      <c r="C818" s="34" t="inlineStr">
        <is>
          <t>SCH-03-174</t>
        </is>
      </c>
      <c r="D818" s="34" t="inlineStr">
        <is>
          <t>1.3.2 Systems - Signalling &amp; Train Control</t>
        </is>
      </c>
      <c r="E818" s="34" t="inlineStr">
        <is>
          <t>New</t>
        </is>
      </c>
      <c r="F818" s="14" t="inlineStr"/>
      <c r="G818" s="34" t="inlineStr">
        <is>
          <t>Source assignment -- not individually reviewed</t>
        </is>
      </c>
      <c r="H818" s="92" t="inlineStr">
        <is>
          <t>10 EVIDENCE &amp; DECISIONS</t>
        </is>
      </c>
    </row>
    <row r="819" ht="34" customHeight="1">
      <c r="A819" s="34" t="inlineStr">
        <is>
          <t>R537-v1</t>
        </is>
      </c>
      <c r="B819" s="34" t="inlineStr">
        <is>
          <t>Contractor Programme</t>
        </is>
      </c>
      <c r="C819" s="34" t="inlineStr">
        <is>
          <t>SCH-03-177</t>
        </is>
      </c>
      <c r="D819" s="34" t="inlineStr">
        <is>
          <t>1.3.2 Systems - Signalling &amp; Train Control</t>
        </is>
      </c>
      <c r="E819" s="34" t="inlineStr">
        <is>
          <t>New</t>
        </is>
      </c>
      <c r="F819" s="14" t="inlineStr"/>
      <c r="G819" s="34" t="inlineStr">
        <is>
          <t>Source assignment -- not individually reviewed</t>
        </is>
      </c>
      <c r="H819" s="92" t="inlineStr">
        <is>
          <t>10 EVIDENCE &amp; DECISIONS</t>
        </is>
      </c>
    </row>
    <row r="820" ht="34" customHeight="1">
      <c r="A820" s="34" t="inlineStr">
        <is>
          <t>R540-v1</t>
        </is>
      </c>
      <c r="B820" s="34" t="inlineStr">
        <is>
          <t>Contractor Programme</t>
        </is>
      </c>
      <c r="C820" s="34" t="inlineStr">
        <is>
          <t>SCH-03-180</t>
        </is>
      </c>
      <c r="D820" s="34" t="inlineStr">
        <is>
          <t>1.3.2 Systems - Signalling &amp; Train Control</t>
        </is>
      </c>
      <c r="E820" s="34" t="inlineStr">
        <is>
          <t>New</t>
        </is>
      </c>
      <c r="F820" s="14" t="inlineStr"/>
      <c r="G820" s="34" t="inlineStr">
        <is>
          <t>Source assignment -- not individually reviewed</t>
        </is>
      </c>
      <c r="H820" s="92" t="inlineStr">
        <is>
          <t>10 EVIDENCE &amp; DECISIONS</t>
        </is>
      </c>
    </row>
    <row r="821" ht="34" customHeight="1">
      <c r="A821" s="34" t="inlineStr">
        <is>
          <t>R1593-v1</t>
        </is>
      </c>
      <c r="B821" s="34" t="inlineStr">
        <is>
          <t>Commercial Package Register</t>
        </is>
      </c>
      <c r="C821" s="34" t="inlineStr">
        <is>
          <t>PKG-031</t>
        </is>
      </c>
      <c r="D821" s="34" t="inlineStr">
        <is>
          <t>1.4 Vehicles and Depot</t>
        </is>
      </c>
      <c r="E821" s="34" t="inlineStr">
        <is>
          <t>New</t>
        </is>
      </c>
      <c r="F821" s="14" t="inlineStr"/>
      <c r="G821" s="34" t="inlineStr">
        <is>
          <t>Source assignment -- not individually reviewed</t>
        </is>
      </c>
      <c r="H821" s="92" t="inlineStr">
        <is>
          <t>10 EVIDENCE &amp; DECISIONS</t>
        </is>
      </c>
    </row>
    <row r="822" ht="34" customHeight="1">
      <c r="A822" s="34" t="inlineStr">
        <is>
          <t>R1594-v1</t>
        </is>
      </c>
      <c r="B822" s="34" t="inlineStr">
        <is>
          <t>Commercial Package Register</t>
        </is>
      </c>
      <c r="C822" s="34" t="inlineStr">
        <is>
          <t>PKG-032</t>
        </is>
      </c>
      <c r="D822" s="34" t="inlineStr">
        <is>
          <t>1.4 Vehicles and Depot</t>
        </is>
      </c>
      <c r="E822" s="34" t="inlineStr">
        <is>
          <t>New</t>
        </is>
      </c>
      <c r="F822" s="14" t="inlineStr"/>
      <c r="G822" s="34" t="inlineStr">
        <is>
          <t>Source assignment -- not individually reviewed</t>
        </is>
      </c>
      <c r="H822" s="92" t="inlineStr">
        <is>
          <t>10 EVIDENCE &amp; DECISIONS</t>
        </is>
      </c>
    </row>
    <row r="823" ht="34" customHeight="1">
      <c r="A823" s="34" t="inlineStr">
        <is>
          <t>R1595-v1</t>
        </is>
      </c>
      <c r="B823" s="34" t="inlineStr">
        <is>
          <t>Commercial Package Register</t>
        </is>
      </c>
      <c r="C823" s="34" t="inlineStr">
        <is>
          <t>PKG-033</t>
        </is>
      </c>
      <c r="D823" s="34" t="inlineStr">
        <is>
          <t>1.4 Vehicles and Depot</t>
        </is>
      </c>
      <c r="E823" s="34" t="inlineStr">
        <is>
          <t>New</t>
        </is>
      </c>
      <c r="F823" s="14" t="inlineStr"/>
      <c r="G823" s="34" t="inlineStr">
        <is>
          <t>Source assignment -- not individually reviewed</t>
        </is>
      </c>
      <c r="H823" s="92" t="inlineStr">
        <is>
          <t>10 EVIDENCE &amp; DECISIONS</t>
        </is>
      </c>
    </row>
    <row r="824" ht="34" customHeight="1">
      <c r="A824" s="34" t="inlineStr">
        <is>
          <t>R1596-v1</t>
        </is>
      </c>
      <c r="B824" s="34" t="inlineStr">
        <is>
          <t>Commercial Package Register</t>
        </is>
      </c>
      <c r="C824" s="34" t="inlineStr">
        <is>
          <t>PKG-034</t>
        </is>
      </c>
      <c r="D824" s="34" t="inlineStr">
        <is>
          <t>1.4 Vehicles and Depot</t>
        </is>
      </c>
      <c r="E824" s="34" t="inlineStr">
        <is>
          <t>New</t>
        </is>
      </c>
      <c r="F824" s="14" t="inlineStr"/>
      <c r="G824" s="34" t="inlineStr">
        <is>
          <t>Source assignment -- not individually reviewed</t>
        </is>
      </c>
      <c r="H824" s="92" t="inlineStr">
        <is>
          <t>10 EVIDENCE &amp; DECISIONS</t>
        </is>
      </c>
    </row>
    <row r="825" ht="34" customHeight="1">
      <c r="A825" s="34" t="inlineStr">
        <is>
          <t>R1597-v1</t>
        </is>
      </c>
      <c r="B825" s="34" t="inlineStr">
        <is>
          <t>Commercial Package Register</t>
        </is>
      </c>
      <c r="C825" s="34" t="inlineStr">
        <is>
          <t>PKG-035</t>
        </is>
      </c>
      <c r="D825" s="34" t="inlineStr">
        <is>
          <t>1.4 Vehicles and Depot</t>
        </is>
      </c>
      <c r="E825" s="34" t="inlineStr">
        <is>
          <t>New</t>
        </is>
      </c>
      <c r="F825" s="14" t="inlineStr"/>
      <c r="G825" s="34" t="inlineStr">
        <is>
          <t>Source assignment -- not individually reviewed</t>
        </is>
      </c>
      <c r="H825" s="92" t="inlineStr">
        <is>
          <t>10 EVIDENCE &amp; DECISIONS</t>
        </is>
      </c>
    </row>
    <row r="826" ht="34" customHeight="1">
      <c r="A826" s="34" t="inlineStr">
        <is>
          <t>R1598-v1</t>
        </is>
      </c>
      <c r="B826" s="34" t="inlineStr">
        <is>
          <t>Commercial Package Register</t>
        </is>
      </c>
      <c r="C826" s="34" t="inlineStr">
        <is>
          <t>PKG-036</t>
        </is>
      </c>
      <c r="D826" s="34" t="inlineStr">
        <is>
          <t>1.4 Vehicles and Depot</t>
        </is>
      </c>
      <c r="E826" s="34" t="inlineStr">
        <is>
          <t>New</t>
        </is>
      </c>
      <c r="F826" s="14" t="inlineStr"/>
      <c r="G826" s="34" t="inlineStr">
        <is>
          <t>Source assignment -- not individually reviewed</t>
        </is>
      </c>
      <c r="H826" s="92" t="inlineStr">
        <is>
          <t>10 EVIDENCE &amp; DECISIONS</t>
        </is>
      </c>
    </row>
    <row r="827" ht="34" customHeight="1">
      <c r="A827" s="34" t="inlineStr">
        <is>
          <t>R1599-v1</t>
        </is>
      </c>
      <c r="B827" s="34" t="inlineStr">
        <is>
          <t>Commercial Package Register</t>
        </is>
      </c>
      <c r="C827" s="34" t="inlineStr">
        <is>
          <t>PKG-037</t>
        </is>
      </c>
      <c r="D827" s="34" t="inlineStr">
        <is>
          <t>1.4 Vehicles and Depot</t>
        </is>
      </c>
      <c r="E827" s="34" t="inlineStr">
        <is>
          <t>New</t>
        </is>
      </c>
      <c r="F827" s="14" t="inlineStr"/>
      <c r="G827" s="34" t="inlineStr">
        <is>
          <t>Source assignment -- not individually reviewed</t>
        </is>
      </c>
      <c r="H827" s="92" t="inlineStr">
        <is>
          <t>10 EVIDENCE &amp; DECISIONS</t>
        </is>
      </c>
    </row>
    <row r="828" ht="34" customHeight="1">
      <c r="A828" s="34" t="inlineStr">
        <is>
          <t>R1600-v1</t>
        </is>
      </c>
      <c r="B828" s="34" t="inlineStr">
        <is>
          <t>Commercial Package Register</t>
        </is>
      </c>
      <c r="C828" s="34" t="inlineStr">
        <is>
          <t>PKG-038</t>
        </is>
      </c>
      <c r="D828" s="34" t="inlineStr">
        <is>
          <t>1.4 Vehicles and Depot</t>
        </is>
      </c>
      <c r="E828" s="34" t="inlineStr">
        <is>
          <t>New</t>
        </is>
      </c>
      <c r="F828" s="14" t="inlineStr"/>
      <c r="G828" s="34" t="inlineStr">
        <is>
          <t>Source assignment -- not individually reviewed</t>
        </is>
      </c>
      <c r="H828" s="92" t="inlineStr">
        <is>
          <t>10 EVIDENCE &amp; DECISIONS</t>
        </is>
      </c>
    </row>
    <row r="829" ht="34" customHeight="1">
      <c r="A829" s="34" t="inlineStr">
        <is>
          <t>R1601-v1</t>
        </is>
      </c>
      <c r="B829" s="34" t="inlineStr">
        <is>
          <t>Commercial Package Register</t>
        </is>
      </c>
      <c r="C829" s="34" t="inlineStr">
        <is>
          <t>PKG-039</t>
        </is>
      </c>
      <c r="D829" s="34" t="inlineStr">
        <is>
          <t>1.4 Vehicles and Depot</t>
        </is>
      </c>
      <c r="E829" s="34" t="inlineStr">
        <is>
          <t>New</t>
        </is>
      </c>
      <c r="F829" s="14" t="inlineStr"/>
      <c r="G829" s="34" t="inlineStr">
        <is>
          <t>Source assignment -- not individually reviewed</t>
        </is>
      </c>
      <c r="H829" s="92" t="inlineStr">
        <is>
          <t>10 EVIDENCE &amp; DECISIONS</t>
        </is>
      </c>
    </row>
    <row r="830" ht="34" customHeight="1">
      <c r="A830" s="34" t="inlineStr">
        <is>
          <t>R1602-v1</t>
        </is>
      </c>
      <c r="B830" s="34" t="inlineStr">
        <is>
          <t>Commercial Package Register</t>
        </is>
      </c>
      <c r="C830" s="34" t="inlineStr">
        <is>
          <t>PKG-040</t>
        </is>
      </c>
      <c r="D830" s="34" t="inlineStr">
        <is>
          <t>1.4 Vehicles and Depot</t>
        </is>
      </c>
      <c r="E830" s="34" t="inlineStr">
        <is>
          <t>New</t>
        </is>
      </c>
      <c r="F830" s="14" t="inlineStr"/>
      <c r="G830" s="34" t="inlineStr">
        <is>
          <t>Source assignment -- not individually reviewed</t>
        </is>
      </c>
      <c r="H830" s="92" t="inlineStr">
        <is>
          <t>10 EVIDENCE &amp; DECISIONS</t>
        </is>
      </c>
    </row>
    <row r="831" ht="34" customHeight="1">
      <c r="A831" s="34" t="inlineStr">
        <is>
          <t>R1323-v1</t>
        </is>
      </c>
      <c r="B831" s="34" t="inlineStr">
        <is>
          <t>Cost &amp; Forecast Control Accounts</t>
        </is>
      </c>
      <c r="C831" s="34" t="inlineStr">
        <is>
          <t>CST-04-001</t>
        </is>
      </c>
      <c r="D831" s="34" t="inlineStr">
        <is>
          <t>1.4.1 Vehicles and Depot - Fleet Supply</t>
        </is>
      </c>
      <c r="E831" s="34" t="inlineStr">
        <is>
          <t>New</t>
        </is>
      </c>
      <c r="F831" s="14" t="inlineStr"/>
      <c r="G831" s="34" t="inlineStr">
        <is>
          <t>Source assignment -- not individually reviewed</t>
        </is>
      </c>
      <c r="H831" s="92" t="inlineStr">
        <is>
          <t>10 EVIDENCE &amp; DECISIONS</t>
        </is>
      </c>
    </row>
    <row r="832" ht="34" customHeight="1">
      <c r="A832" s="34" t="inlineStr">
        <is>
          <t>R1325-v1</t>
        </is>
      </c>
      <c r="B832" s="34" t="inlineStr">
        <is>
          <t>Cost &amp; Forecast Control Accounts</t>
        </is>
      </c>
      <c r="C832" s="34" t="inlineStr">
        <is>
          <t>CST-04-003</t>
        </is>
      </c>
      <c r="D832" s="34" t="inlineStr">
        <is>
          <t>1.4.1 Vehicles and Depot - Fleet Supply</t>
        </is>
      </c>
      <c r="E832" s="34" t="inlineStr">
        <is>
          <t>New</t>
        </is>
      </c>
      <c r="F832" s="14" t="inlineStr"/>
      <c r="G832" s="34" t="inlineStr">
        <is>
          <t>Source assignment -- not individually reviewed</t>
        </is>
      </c>
      <c r="H832" s="92" t="inlineStr">
        <is>
          <t>10 EVIDENCE &amp; DECISIONS</t>
        </is>
      </c>
    </row>
    <row r="833" ht="34" customHeight="1">
      <c r="A833" s="34" t="inlineStr">
        <is>
          <t>R1327-v1</t>
        </is>
      </c>
      <c r="B833" s="34" t="inlineStr">
        <is>
          <t>Cost &amp; Forecast Control Accounts</t>
        </is>
      </c>
      <c r="C833" s="34" t="inlineStr">
        <is>
          <t>CST-04-005</t>
        </is>
      </c>
      <c r="D833" s="34" t="inlineStr">
        <is>
          <t>1.4.1 Vehicles and Depot - Fleet Supply</t>
        </is>
      </c>
      <c r="E833" s="34" t="inlineStr">
        <is>
          <t>New</t>
        </is>
      </c>
      <c r="F833" s="14" t="inlineStr"/>
      <c r="G833" s="34" t="inlineStr">
        <is>
          <t>Source assignment -- not individually reviewed</t>
        </is>
      </c>
      <c r="H833" s="92" t="inlineStr">
        <is>
          <t>10 EVIDENCE &amp; DECISIONS</t>
        </is>
      </c>
    </row>
    <row r="834" ht="34" customHeight="1">
      <c r="A834" s="34" t="inlineStr">
        <is>
          <t>R1329-v1</t>
        </is>
      </c>
      <c r="B834" s="34" t="inlineStr">
        <is>
          <t>Cost &amp; Forecast Control Accounts</t>
        </is>
      </c>
      <c r="C834" s="34" t="inlineStr">
        <is>
          <t>CST-04-007</t>
        </is>
      </c>
      <c r="D834" s="34" t="inlineStr">
        <is>
          <t>1.4.1 Vehicles and Depot - Fleet Supply</t>
        </is>
      </c>
      <c r="E834" s="34" t="inlineStr">
        <is>
          <t>New</t>
        </is>
      </c>
      <c r="F834" s="14" t="inlineStr"/>
      <c r="G834" s="34" t="inlineStr">
        <is>
          <t>Source assignment -- not individually reviewed</t>
        </is>
      </c>
      <c r="H834" s="92" t="inlineStr">
        <is>
          <t>10 EVIDENCE &amp; DECISIONS</t>
        </is>
      </c>
    </row>
    <row r="835" ht="34" customHeight="1">
      <c r="A835" s="34" t="inlineStr">
        <is>
          <t>R1331-v1</t>
        </is>
      </c>
      <c r="B835" s="34" t="inlineStr">
        <is>
          <t>Cost &amp; Forecast Control Accounts</t>
        </is>
      </c>
      <c r="C835" s="34" t="inlineStr">
        <is>
          <t>CST-04-009</t>
        </is>
      </c>
      <c r="D835" s="34" t="inlineStr">
        <is>
          <t>1.4.1 Vehicles and Depot - Fleet Supply</t>
        </is>
      </c>
      <c r="E835" s="34" t="inlineStr">
        <is>
          <t>New</t>
        </is>
      </c>
      <c r="F835" s="14" t="inlineStr"/>
      <c r="G835" s="34" t="inlineStr">
        <is>
          <t>Source assignment -- not individually reviewed</t>
        </is>
      </c>
      <c r="H835" s="92" t="inlineStr">
        <is>
          <t>10 EVIDENCE &amp; DECISIONS</t>
        </is>
      </c>
    </row>
    <row r="836" ht="34" customHeight="1">
      <c r="A836" s="34" t="inlineStr">
        <is>
          <t>R1333-v1</t>
        </is>
      </c>
      <c r="B836" s="34" t="inlineStr">
        <is>
          <t>Cost &amp; Forecast Control Accounts</t>
        </is>
      </c>
      <c r="C836" s="34" t="inlineStr">
        <is>
          <t>CST-04-011</t>
        </is>
      </c>
      <c r="D836" s="34" t="inlineStr">
        <is>
          <t>1.4.1 Vehicles and Depot - Fleet Supply</t>
        </is>
      </c>
      <c r="E836" s="34" t="inlineStr">
        <is>
          <t>New</t>
        </is>
      </c>
      <c r="F836" s="14" t="inlineStr"/>
      <c r="G836" s="34" t="inlineStr">
        <is>
          <t>Source assignment -- not individually reviewed</t>
        </is>
      </c>
      <c r="H836" s="92" t="inlineStr">
        <is>
          <t>10 EVIDENCE &amp; DECISIONS</t>
        </is>
      </c>
    </row>
    <row r="837" ht="34" customHeight="1">
      <c r="A837" s="34" t="inlineStr">
        <is>
          <t>R1335-v1</t>
        </is>
      </c>
      <c r="B837" s="34" t="inlineStr">
        <is>
          <t>Cost &amp; Forecast Control Accounts</t>
        </is>
      </c>
      <c r="C837" s="34" t="inlineStr">
        <is>
          <t>CST-04-013</t>
        </is>
      </c>
      <c r="D837" s="34" t="inlineStr">
        <is>
          <t>1.4.1 Vehicles and Depot - Fleet Supply</t>
        </is>
      </c>
      <c r="E837" s="34" t="inlineStr">
        <is>
          <t>New</t>
        </is>
      </c>
      <c r="F837" s="14" t="inlineStr"/>
      <c r="G837" s="34" t="inlineStr">
        <is>
          <t>Source assignment -- not individually reviewed</t>
        </is>
      </c>
      <c r="H837" s="92" t="inlineStr">
        <is>
          <t>10 EVIDENCE &amp; DECISIONS</t>
        </is>
      </c>
    </row>
    <row r="838" ht="34" customHeight="1">
      <c r="A838" s="34" t="inlineStr">
        <is>
          <t>R1337-v1</t>
        </is>
      </c>
      <c r="B838" s="34" t="inlineStr">
        <is>
          <t>Cost &amp; Forecast Control Accounts</t>
        </is>
      </c>
      <c r="C838" s="34" t="inlineStr">
        <is>
          <t>CST-04-015</t>
        </is>
      </c>
      <c r="D838" s="34" t="inlineStr">
        <is>
          <t>1.4.1 Vehicles and Depot - Fleet Supply</t>
        </is>
      </c>
      <c r="E838" s="34" t="inlineStr">
        <is>
          <t>New</t>
        </is>
      </c>
      <c r="F838" s="14" t="inlineStr"/>
      <c r="G838" s="34" t="inlineStr">
        <is>
          <t>Source assignment -- not individually reviewed</t>
        </is>
      </c>
      <c r="H838" s="92" t="inlineStr">
        <is>
          <t>10 EVIDENCE &amp; DECISIONS</t>
        </is>
      </c>
    </row>
    <row r="839" ht="34" customHeight="1">
      <c r="A839" s="34" t="inlineStr">
        <is>
          <t>R1339-v1</t>
        </is>
      </c>
      <c r="B839" s="34" t="inlineStr">
        <is>
          <t>Cost &amp; Forecast Control Accounts</t>
        </is>
      </c>
      <c r="C839" s="34" t="inlineStr">
        <is>
          <t>CST-04-017</t>
        </is>
      </c>
      <c r="D839" s="34" t="inlineStr">
        <is>
          <t>1.4.1 Vehicles and Depot - Fleet Supply</t>
        </is>
      </c>
      <c r="E839" s="34" t="inlineStr">
        <is>
          <t>New</t>
        </is>
      </c>
      <c r="F839" s="14" t="inlineStr"/>
      <c r="G839" s="34" t="inlineStr">
        <is>
          <t>Source assignment -- not individually reviewed</t>
        </is>
      </c>
      <c r="H839" s="92" t="inlineStr">
        <is>
          <t>10 EVIDENCE &amp; DECISIONS</t>
        </is>
      </c>
    </row>
    <row r="840" ht="34" customHeight="1">
      <c r="A840" s="34" t="inlineStr">
        <is>
          <t>R1341-v1</t>
        </is>
      </c>
      <c r="B840" s="34" t="inlineStr">
        <is>
          <t>Cost &amp; Forecast Control Accounts</t>
        </is>
      </c>
      <c r="C840" s="34" t="inlineStr">
        <is>
          <t>CST-04-019</t>
        </is>
      </c>
      <c r="D840" s="34" t="inlineStr">
        <is>
          <t>1.4.1 Vehicles and Depot - Fleet Supply</t>
        </is>
      </c>
      <c r="E840" s="34" t="inlineStr">
        <is>
          <t>New</t>
        </is>
      </c>
      <c r="F840" s="14" t="inlineStr"/>
      <c r="G840" s="34" t="inlineStr">
        <is>
          <t>Source assignment -- not individually reviewed</t>
        </is>
      </c>
      <c r="H840" s="92" t="inlineStr">
        <is>
          <t>10 EVIDENCE &amp; DECISIONS</t>
        </is>
      </c>
    </row>
    <row r="841" ht="34" customHeight="1">
      <c r="A841" s="34" t="inlineStr">
        <is>
          <t>R1343-v1</t>
        </is>
      </c>
      <c r="B841" s="34" t="inlineStr">
        <is>
          <t>Cost &amp; Forecast Control Accounts</t>
        </is>
      </c>
      <c r="C841" s="34" t="inlineStr">
        <is>
          <t>CST-04-021</t>
        </is>
      </c>
      <c r="D841" s="34" t="inlineStr">
        <is>
          <t>1.4.1 Vehicles and Depot - Fleet Supply</t>
        </is>
      </c>
      <c r="E841" s="34" t="inlineStr">
        <is>
          <t>New</t>
        </is>
      </c>
      <c r="F841" s="14" t="inlineStr"/>
      <c r="G841" s="34" t="inlineStr">
        <is>
          <t>Source assignment -- not individually reviewed</t>
        </is>
      </c>
      <c r="H841" s="92" t="inlineStr">
        <is>
          <t>10 EVIDENCE &amp; DECISIONS</t>
        </is>
      </c>
    </row>
    <row r="842" ht="34" customHeight="1">
      <c r="A842" s="34" t="inlineStr">
        <is>
          <t>R1345-v1</t>
        </is>
      </c>
      <c r="B842" s="34" t="inlineStr">
        <is>
          <t>Cost &amp; Forecast Control Accounts</t>
        </is>
      </c>
      <c r="C842" s="34" t="inlineStr">
        <is>
          <t>CST-04-023</t>
        </is>
      </c>
      <c r="D842" s="34" t="inlineStr">
        <is>
          <t>1.4.1 Vehicles and Depot - Fleet Supply</t>
        </is>
      </c>
      <c r="E842" s="34" t="inlineStr">
        <is>
          <t>New</t>
        </is>
      </c>
      <c r="F842" s="14" t="inlineStr"/>
      <c r="G842" s="34" t="inlineStr">
        <is>
          <t>Source assignment -- not individually reviewed</t>
        </is>
      </c>
      <c r="H842" s="92" t="inlineStr">
        <is>
          <t>10 EVIDENCE &amp; DECISIONS</t>
        </is>
      </c>
    </row>
    <row r="843" ht="34" customHeight="1">
      <c r="A843" s="34" t="inlineStr">
        <is>
          <t>R1347-v1</t>
        </is>
      </c>
      <c r="B843" s="34" t="inlineStr">
        <is>
          <t>Cost &amp; Forecast Control Accounts</t>
        </is>
      </c>
      <c r="C843" s="34" t="inlineStr">
        <is>
          <t>CST-04-025</t>
        </is>
      </c>
      <c r="D843" s="34" t="inlineStr">
        <is>
          <t>1.4.1 Vehicles and Depot - Fleet Supply</t>
        </is>
      </c>
      <c r="E843" s="34" t="inlineStr">
        <is>
          <t>New</t>
        </is>
      </c>
      <c r="F843" s="14" t="inlineStr"/>
      <c r="G843" s="34" t="inlineStr">
        <is>
          <t>Source assignment -- not individually reviewed</t>
        </is>
      </c>
      <c r="H843" s="92" t="inlineStr">
        <is>
          <t>10 EVIDENCE &amp; DECISIONS</t>
        </is>
      </c>
    </row>
    <row r="844" ht="34" customHeight="1">
      <c r="A844" s="34" t="inlineStr">
        <is>
          <t>R1349-v1</t>
        </is>
      </c>
      <c r="B844" s="34" t="inlineStr">
        <is>
          <t>Cost &amp; Forecast Control Accounts</t>
        </is>
      </c>
      <c r="C844" s="34" t="inlineStr">
        <is>
          <t>CST-04-027</t>
        </is>
      </c>
      <c r="D844" s="34" t="inlineStr">
        <is>
          <t>1.4.1 Vehicles and Depot - Fleet Supply</t>
        </is>
      </c>
      <c r="E844" s="34" t="inlineStr">
        <is>
          <t>New</t>
        </is>
      </c>
      <c r="F844" s="14" t="inlineStr"/>
      <c r="G844" s="34" t="inlineStr">
        <is>
          <t>Source assignment -- not individually reviewed</t>
        </is>
      </c>
      <c r="H844" s="92" t="inlineStr">
        <is>
          <t>10 EVIDENCE &amp; DECISIONS</t>
        </is>
      </c>
    </row>
    <row r="845" ht="34" customHeight="1">
      <c r="A845" s="34" t="inlineStr">
        <is>
          <t>R1351-v1</t>
        </is>
      </c>
      <c r="B845" s="34" t="inlineStr">
        <is>
          <t>Cost &amp; Forecast Control Accounts</t>
        </is>
      </c>
      <c r="C845" s="34" t="inlineStr">
        <is>
          <t>CST-04-029</t>
        </is>
      </c>
      <c r="D845" s="34" t="inlineStr">
        <is>
          <t>1.4.1 Vehicles and Depot - Fleet Supply</t>
        </is>
      </c>
      <c r="E845" s="34" t="inlineStr">
        <is>
          <t>New</t>
        </is>
      </c>
      <c r="F845" s="14" t="inlineStr"/>
      <c r="G845" s="34" t="inlineStr">
        <is>
          <t>Source assignment -- not individually reviewed</t>
        </is>
      </c>
      <c r="H845" s="92" t="inlineStr">
        <is>
          <t>10 EVIDENCE &amp; DECISIONS</t>
        </is>
      </c>
    </row>
    <row r="846" ht="34" customHeight="1">
      <c r="A846" s="34" t="inlineStr">
        <is>
          <t>R1353-v1</t>
        </is>
      </c>
      <c r="B846" s="34" t="inlineStr">
        <is>
          <t>Cost &amp; Forecast Control Accounts</t>
        </is>
      </c>
      <c r="C846" s="34" t="inlineStr">
        <is>
          <t>CST-04-031</t>
        </is>
      </c>
      <c r="D846" s="34" t="inlineStr">
        <is>
          <t>1.4.1 Vehicles and Depot - Fleet Supply</t>
        </is>
      </c>
      <c r="E846" s="34" t="inlineStr">
        <is>
          <t>New</t>
        </is>
      </c>
      <c r="F846" s="14" t="inlineStr"/>
      <c r="G846" s="34" t="inlineStr">
        <is>
          <t>Source assignment -- not individually reviewed</t>
        </is>
      </c>
      <c r="H846" s="92" t="inlineStr">
        <is>
          <t>10 EVIDENCE &amp; DECISIONS</t>
        </is>
      </c>
    </row>
    <row r="847" ht="34" customHeight="1">
      <c r="A847" s="34" t="inlineStr">
        <is>
          <t>R1355-v1</t>
        </is>
      </c>
      <c r="B847" s="34" t="inlineStr">
        <is>
          <t>Cost &amp; Forecast Control Accounts</t>
        </is>
      </c>
      <c r="C847" s="34" t="inlineStr">
        <is>
          <t>CST-04-033</t>
        </is>
      </c>
      <c r="D847" s="34" t="inlineStr">
        <is>
          <t>1.4.1 Vehicles and Depot - Fleet Supply</t>
        </is>
      </c>
      <c r="E847" s="34" t="inlineStr">
        <is>
          <t>New</t>
        </is>
      </c>
      <c r="F847" s="14" t="inlineStr"/>
      <c r="G847" s="34" t="inlineStr">
        <is>
          <t>Source assignment -- not individually reviewed</t>
        </is>
      </c>
      <c r="H847" s="92" t="inlineStr">
        <is>
          <t>10 EVIDENCE &amp; DECISIONS</t>
        </is>
      </c>
    </row>
    <row r="848" ht="34" customHeight="1">
      <c r="A848" s="34" t="inlineStr">
        <is>
          <t>R1357-v1</t>
        </is>
      </c>
      <c r="B848" s="34" t="inlineStr">
        <is>
          <t>Cost &amp; Forecast Control Accounts</t>
        </is>
      </c>
      <c r="C848" s="34" t="inlineStr">
        <is>
          <t>CST-04-035</t>
        </is>
      </c>
      <c r="D848" s="34" t="inlineStr">
        <is>
          <t>1.4.1 Vehicles and Depot - Fleet Supply</t>
        </is>
      </c>
      <c r="E848" s="34" t="inlineStr">
        <is>
          <t>New</t>
        </is>
      </c>
      <c r="F848" s="14" t="inlineStr"/>
      <c r="G848" s="34" t="inlineStr">
        <is>
          <t>Source assignment -- not individually reviewed</t>
        </is>
      </c>
      <c r="H848" s="92" t="inlineStr">
        <is>
          <t>10 EVIDENCE &amp; DECISIONS</t>
        </is>
      </c>
    </row>
    <row r="849" ht="34" customHeight="1">
      <c r="A849" s="34" t="inlineStr">
        <is>
          <t>R1359-v1</t>
        </is>
      </c>
      <c r="B849" s="34" t="inlineStr">
        <is>
          <t>Cost &amp; Forecast Control Accounts</t>
        </is>
      </c>
      <c r="C849" s="34" t="inlineStr">
        <is>
          <t>CST-04-037</t>
        </is>
      </c>
      <c r="D849" s="34" t="inlineStr">
        <is>
          <t>1.4.1 Vehicles and Depot - Fleet Supply</t>
        </is>
      </c>
      <c r="E849" s="34" t="inlineStr">
        <is>
          <t>New</t>
        </is>
      </c>
      <c r="F849" s="14" t="inlineStr"/>
      <c r="G849" s="34" t="inlineStr">
        <is>
          <t>Source assignment -- not individually reviewed</t>
        </is>
      </c>
      <c r="H849" s="92" t="inlineStr">
        <is>
          <t>10 EVIDENCE &amp; DECISIONS</t>
        </is>
      </c>
    </row>
    <row r="850" ht="34" customHeight="1">
      <c r="A850" s="34" t="inlineStr">
        <is>
          <t>R1361-v1</t>
        </is>
      </c>
      <c r="B850" s="34" t="inlineStr">
        <is>
          <t>Cost &amp; Forecast Control Accounts</t>
        </is>
      </c>
      <c r="C850" s="34" t="inlineStr">
        <is>
          <t>CST-04-039</t>
        </is>
      </c>
      <c r="D850" s="34" t="inlineStr">
        <is>
          <t>1.4.1 Vehicles and Depot - Fleet Supply</t>
        </is>
      </c>
      <c r="E850" s="34" t="inlineStr">
        <is>
          <t>New</t>
        </is>
      </c>
      <c r="F850" s="14" t="inlineStr"/>
      <c r="G850" s="34" t="inlineStr">
        <is>
          <t>Source assignment -- not individually reviewed</t>
        </is>
      </c>
      <c r="H850" s="92" t="inlineStr">
        <is>
          <t>10 EVIDENCE &amp; DECISIONS</t>
        </is>
      </c>
    </row>
    <row r="851" ht="34" customHeight="1">
      <c r="A851" s="34" t="inlineStr">
        <is>
          <t>R1363-v1</t>
        </is>
      </c>
      <c r="B851" s="34" t="inlineStr">
        <is>
          <t>Cost &amp; Forecast Control Accounts</t>
        </is>
      </c>
      <c r="C851" s="34" t="inlineStr">
        <is>
          <t>CST-04-041</t>
        </is>
      </c>
      <c r="D851" s="34" t="inlineStr">
        <is>
          <t>1.4.1 Vehicles and Depot - Fleet Supply</t>
        </is>
      </c>
      <c r="E851" s="34" t="inlineStr">
        <is>
          <t>New</t>
        </is>
      </c>
      <c r="F851" s="14" t="inlineStr"/>
      <c r="G851" s="34" t="inlineStr">
        <is>
          <t>Source assignment -- not individually reviewed</t>
        </is>
      </c>
      <c r="H851" s="92" t="inlineStr">
        <is>
          <t>10 EVIDENCE &amp; DECISIONS</t>
        </is>
      </c>
    </row>
    <row r="852" ht="34" customHeight="1">
      <c r="A852" s="34" t="inlineStr">
        <is>
          <t>R1365-v1</t>
        </is>
      </c>
      <c r="B852" s="34" t="inlineStr">
        <is>
          <t>Cost &amp; Forecast Control Accounts</t>
        </is>
      </c>
      <c r="C852" s="34" t="inlineStr">
        <is>
          <t>CST-04-043</t>
        </is>
      </c>
      <c r="D852" s="34" t="inlineStr">
        <is>
          <t>1.4.1 Vehicles and Depot - Fleet Supply</t>
        </is>
      </c>
      <c r="E852" s="34" t="inlineStr">
        <is>
          <t>New</t>
        </is>
      </c>
      <c r="F852" s="14" t="inlineStr"/>
      <c r="G852" s="34" t="inlineStr">
        <is>
          <t>Source assignment -- not individually reviewed</t>
        </is>
      </c>
      <c r="H852" s="92" t="inlineStr">
        <is>
          <t>10 EVIDENCE &amp; DECISIONS</t>
        </is>
      </c>
    </row>
    <row r="853" ht="34" customHeight="1">
      <c r="A853" s="34" t="inlineStr">
        <is>
          <t>R1367-v1</t>
        </is>
      </c>
      <c r="B853" s="34" t="inlineStr">
        <is>
          <t>Cost &amp; Forecast Control Accounts</t>
        </is>
      </c>
      <c r="C853" s="34" t="inlineStr">
        <is>
          <t>CST-04-045</t>
        </is>
      </c>
      <c r="D853" s="34" t="inlineStr">
        <is>
          <t>1.4.1 Vehicles and Depot - Fleet Supply</t>
        </is>
      </c>
      <c r="E853" s="34" t="inlineStr">
        <is>
          <t>New</t>
        </is>
      </c>
      <c r="F853" s="14" t="inlineStr"/>
      <c r="G853" s="34" t="inlineStr">
        <is>
          <t>Source assignment -- not individually reviewed</t>
        </is>
      </c>
      <c r="H853" s="92" t="inlineStr">
        <is>
          <t>10 EVIDENCE &amp; DECISIONS</t>
        </is>
      </c>
    </row>
    <row r="854" ht="34" customHeight="1">
      <c r="A854" s="34" t="inlineStr">
        <is>
          <t>R1369-v1</t>
        </is>
      </c>
      <c r="B854" s="34" t="inlineStr">
        <is>
          <t>Cost &amp; Forecast Control Accounts</t>
        </is>
      </c>
      <c r="C854" s="34" t="inlineStr">
        <is>
          <t>CST-04-047</t>
        </is>
      </c>
      <c r="D854" s="34" t="inlineStr">
        <is>
          <t>1.4.1 Vehicles and Depot - Fleet Supply</t>
        </is>
      </c>
      <c r="E854" s="34" t="inlineStr">
        <is>
          <t>New</t>
        </is>
      </c>
      <c r="F854" s="14" t="inlineStr"/>
      <c r="G854" s="34" t="inlineStr">
        <is>
          <t>Source assignment -- not individually reviewed</t>
        </is>
      </c>
      <c r="H854" s="92" t="inlineStr">
        <is>
          <t>10 EVIDENCE &amp; DECISIONS</t>
        </is>
      </c>
    </row>
    <row r="855" ht="34" customHeight="1">
      <c r="A855" s="34" t="inlineStr">
        <is>
          <t>R1371-v1</t>
        </is>
      </c>
      <c r="B855" s="34" t="inlineStr">
        <is>
          <t>Cost &amp; Forecast Control Accounts</t>
        </is>
      </c>
      <c r="C855" s="34" t="inlineStr">
        <is>
          <t>CST-04-049</t>
        </is>
      </c>
      <c r="D855" s="34" t="inlineStr">
        <is>
          <t>1.4.1 Vehicles and Depot - Fleet Supply</t>
        </is>
      </c>
      <c r="E855" s="34" t="inlineStr">
        <is>
          <t>New</t>
        </is>
      </c>
      <c r="F855" s="14" t="inlineStr"/>
      <c r="G855" s="34" t="inlineStr">
        <is>
          <t>Source assignment -- not individually reviewed</t>
        </is>
      </c>
      <c r="H855" s="92" t="inlineStr">
        <is>
          <t>10 EVIDENCE &amp; DECISIONS</t>
        </is>
      </c>
    </row>
    <row r="856" ht="34" customHeight="1">
      <c r="A856" s="34" t="inlineStr">
        <is>
          <t>R1373-v1</t>
        </is>
      </c>
      <c r="B856" s="34" t="inlineStr">
        <is>
          <t>Cost &amp; Forecast Control Accounts</t>
        </is>
      </c>
      <c r="C856" s="34" t="inlineStr">
        <is>
          <t>CST-04-051</t>
        </is>
      </c>
      <c r="D856" s="34" t="inlineStr">
        <is>
          <t>1.4.1 Vehicles and Depot - Fleet Supply</t>
        </is>
      </c>
      <c r="E856" s="34" t="inlineStr">
        <is>
          <t>New</t>
        </is>
      </c>
      <c r="F856" s="14" t="inlineStr"/>
      <c r="G856" s="34" t="inlineStr">
        <is>
          <t>Source assignment -- not individually reviewed</t>
        </is>
      </c>
      <c r="H856" s="92" t="inlineStr">
        <is>
          <t>10 EVIDENCE &amp; DECISIONS</t>
        </is>
      </c>
    </row>
    <row r="857" ht="34" customHeight="1">
      <c r="A857" s="34" t="inlineStr">
        <is>
          <t>R1375-v1</t>
        </is>
      </c>
      <c r="B857" s="34" t="inlineStr">
        <is>
          <t>Cost &amp; Forecast Control Accounts</t>
        </is>
      </c>
      <c r="C857" s="34" t="inlineStr">
        <is>
          <t>CST-04-053</t>
        </is>
      </c>
      <c r="D857" s="34" t="inlineStr">
        <is>
          <t>1.4.1 Vehicles and Depot - Fleet Supply</t>
        </is>
      </c>
      <c r="E857" s="34" t="inlineStr">
        <is>
          <t>New</t>
        </is>
      </c>
      <c r="F857" s="14" t="inlineStr"/>
      <c r="G857" s="34" t="inlineStr">
        <is>
          <t>Source assignment -- not individually reviewed</t>
        </is>
      </c>
      <c r="H857" s="92" t="inlineStr">
        <is>
          <t>10 EVIDENCE &amp; DECISIONS</t>
        </is>
      </c>
    </row>
    <row r="858" ht="34" customHeight="1">
      <c r="A858" s="34" t="inlineStr">
        <is>
          <t>R1377-v1</t>
        </is>
      </c>
      <c r="B858" s="34" t="inlineStr">
        <is>
          <t>Cost &amp; Forecast Control Accounts</t>
        </is>
      </c>
      <c r="C858" s="34" t="inlineStr">
        <is>
          <t>CST-04-055</t>
        </is>
      </c>
      <c r="D858" s="34" t="inlineStr">
        <is>
          <t>1.4.1 Vehicles and Depot - Fleet Supply</t>
        </is>
      </c>
      <c r="E858" s="34" t="inlineStr">
        <is>
          <t>New</t>
        </is>
      </c>
      <c r="F858" s="14" t="inlineStr"/>
      <c r="G858" s="34" t="inlineStr">
        <is>
          <t>Source assignment -- not individually reviewed</t>
        </is>
      </c>
      <c r="H858" s="92" t="inlineStr">
        <is>
          <t>10 EVIDENCE &amp; DECISIONS</t>
        </is>
      </c>
    </row>
    <row r="859" ht="34" customHeight="1">
      <c r="A859" s="34" t="inlineStr">
        <is>
          <t>R1379-v1</t>
        </is>
      </c>
      <c r="B859" s="34" t="inlineStr">
        <is>
          <t>Cost &amp; Forecast Control Accounts</t>
        </is>
      </c>
      <c r="C859" s="34" t="inlineStr">
        <is>
          <t>CST-04-057</t>
        </is>
      </c>
      <c r="D859" s="34" t="inlineStr">
        <is>
          <t>1.4.1 Vehicles and Depot - Fleet Supply</t>
        </is>
      </c>
      <c r="E859" s="34" t="inlineStr">
        <is>
          <t>New</t>
        </is>
      </c>
      <c r="F859" s="14" t="inlineStr"/>
      <c r="G859" s="34" t="inlineStr">
        <is>
          <t>Source assignment -- not individually reviewed</t>
        </is>
      </c>
      <c r="H859" s="92" t="inlineStr">
        <is>
          <t>10 EVIDENCE &amp; DECISIONS</t>
        </is>
      </c>
    </row>
    <row r="860" ht="34" customHeight="1">
      <c r="A860" s="34" t="inlineStr">
        <is>
          <t>R1381-v1</t>
        </is>
      </c>
      <c r="B860" s="34" t="inlineStr">
        <is>
          <t>Cost &amp; Forecast Control Accounts</t>
        </is>
      </c>
      <c r="C860" s="34" t="inlineStr">
        <is>
          <t>CST-04-059</t>
        </is>
      </c>
      <c r="D860" s="34" t="inlineStr">
        <is>
          <t>1.4.1 Vehicles and Depot - Fleet Supply</t>
        </is>
      </c>
      <c r="E860" s="34" t="inlineStr">
        <is>
          <t>New</t>
        </is>
      </c>
      <c r="F860" s="14" t="inlineStr"/>
      <c r="G860" s="34" t="inlineStr">
        <is>
          <t>Source assignment -- not individually reviewed</t>
        </is>
      </c>
      <c r="H860" s="92" t="inlineStr">
        <is>
          <t>10 EVIDENCE &amp; DECISIONS</t>
        </is>
      </c>
    </row>
    <row r="861" ht="34" customHeight="1">
      <c r="A861" s="34" t="inlineStr">
        <is>
          <t>R1383-v1</t>
        </is>
      </c>
      <c r="B861" s="34" t="inlineStr">
        <is>
          <t>Cost &amp; Forecast Control Accounts</t>
        </is>
      </c>
      <c r="C861" s="34" t="inlineStr">
        <is>
          <t>CST-04-061</t>
        </is>
      </c>
      <c r="D861" s="34" t="inlineStr">
        <is>
          <t>1.4.1 Vehicles and Depot - Fleet Supply</t>
        </is>
      </c>
      <c r="E861" s="34" t="inlineStr">
        <is>
          <t>New</t>
        </is>
      </c>
      <c r="F861" s="14" t="inlineStr"/>
      <c r="G861" s="34" t="inlineStr">
        <is>
          <t>Source assignment -- not individually reviewed</t>
        </is>
      </c>
      <c r="H861" s="92" t="inlineStr">
        <is>
          <t>10 EVIDENCE &amp; DECISIONS</t>
        </is>
      </c>
    </row>
    <row r="862" ht="34" customHeight="1">
      <c r="A862" s="34" t="inlineStr">
        <is>
          <t>R1385-v1</t>
        </is>
      </c>
      <c r="B862" s="34" t="inlineStr">
        <is>
          <t>Cost &amp; Forecast Control Accounts</t>
        </is>
      </c>
      <c r="C862" s="34" t="inlineStr">
        <is>
          <t>CST-04-063</t>
        </is>
      </c>
      <c r="D862" s="34" t="inlineStr">
        <is>
          <t>1.4.1 Vehicles and Depot - Fleet Supply</t>
        </is>
      </c>
      <c r="E862" s="34" t="inlineStr">
        <is>
          <t>New</t>
        </is>
      </c>
      <c r="F862" s="14" t="inlineStr"/>
      <c r="G862" s="34" t="inlineStr">
        <is>
          <t>Source assignment -- not individually reviewed</t>
        </is>
      </c>
      <c r="H862" s="92" t="inlineStr">
        <is>
          <t>10 EVIDENCE &amp; DECISIONS</t>
        </is>
      </c>
    </row>
    <row r="863" ht="34" customHeight="1">
      <c r="A863" s="34" t="inlineStr">
        <is>
          <t>R1387-v1</t>
        </is>
      </c>
      <c r="B863" s="34" t="inlineStr">
        <is>
          <t>Cost &amp; Forecast Control Accounts</t>
        </is>
      </c>
      <c r="C863" s="34" t="inlineStr">
        <is>
          <t>CST-04-065</t>
        </is>
      </c>
      <c r="D863" s="34" t="inlineStr">
        <is>
          <t>1.4.1 Vehicles and Depot - Fleet Supply</t>
        </is>
      </c>
      <c r="E863" s="34" t="inlineStr">
        <is>
          <t>New</t>
        </is>
      </c>
      <c r="F863" s="14" t="inlineStr"/>
      <c r="G863" s="34" t="inlineStr">
        <is>
          <t>Source assignment -- not individually reviewed</t>
        </is>
      </c>
      <c r="H863" s="92" t="inlineStr">
        <is>
          <t>10 EVIDENCE &amp; DECISIONS</t>
        </is>
      </c>
    </row>
    <row r="864" ht="34" customHeight="1">
      <c r="A864" s="34" t="inlineStr">
        <is>
          <t>R1389-v1</t>
        </is>
      </c>
      <c r="B864" s="34" t="inlineStr">
        <is>
          <t>Cost &amp; Forecast Control Accounts</t>
        </is>
      </c>
      <c r="C864" s="34" t="inlineStr">
        <is>
          <t>CST-04-067</t>
        </is>
      </c>
      <c r="D864" s="34" t="inlineStr">
        <is>
          <t>1.4.1 Vehicles and Depot - Fleet Supply</t>
        </is>
      </c>
      <c r="E864" s="34" t="inlineStr">
        <is>
          <t>New</t>
        </is>
      </c>
      <c r="F864" s="14" t="inlineStr"/>
      <c r="G864" s="34" t="inlineStr">
        <is>
          <t>Source assignment -- not individually reviewed</t>
        </is>
      </c>
      <c r="H864" s="92" t="inlineStr">
        <is>
          <t>10 EVIDENCE &amp; DECISIONS</t>
        </is>
      </c>
    </row>
    <row r="865" ht="34" customHeight="1">
      <c r="A865" s="34" t="inlineStr">
        <is>
          <t>R1391-v1</t>
        </is>
      </c>
      <c r="B865" s="34" t="inlineStr">
        <is>
          <t>Cost &amp; Forecast Control Accounts</t>
        </is>
      </c>
      <c r="C865" s="34" t="inlineStr">
        <is>
          <t>CST-04-069</t>
        </is>
      </c>
      <c r="D865" s="34" t="inlineStr">
        <is>
          <t>1.4.1 Vehicles and Depot - Fleet Supply</t>
        </is>
      </c>
      <c r="E865" s="34" t="inlineStr">
        <is>
          <t>New</t>
        </is>
      </c>
      <c r="F865" s="14" t="inlineStr"/>
      <c r="G865" s="34" t="inlineStr">
        <is>
          <t>Source assignment -- not individually reviewed</t>
        </is>
      </c>
      <c r="H865" s="92" t="inlineStr">
        <is>
          <t>10 EVIDENCE &amp; DECISIONS</t>
        </is>
      </c>
    </row>
    <row r="866" ht="34" customHeight="1">
      <c r="A866" s="34" t="inlineStr">
        <is>
          <t>R1393-v1</t>
        </is>
      </c>
      <c r="B866" s="34" t="inlineStr">
        <is>
          <t>Cost &amp; Forecast Control Accounts</t>
        </is>
      </c>
      <c r="C866" s="34" t="inlineStr">
        <is>
          <t>CST-04-071</t>
        </is>
      </c>
      <c r="D866" s="34" t="inlineStr">
        <is>
          <t>1.4.1 Vehicles and Depot - Fleet Supply</t>
        </is>
      </c>
      <c r="E866" s="34" t="inlineStr">
        <is>
          <t>New</t>
        </is>
      </c>
      <c r="F866" s="14" t="inlineStr"/>
      <c r="G866" s="34" t="inlineStr">
        <is>
          <t>Source assignment -- not individually reviewed</t>
        </is>
      </c>
      <c r="H866" s="92" t="inlineStr">
        <is>
          <t>10 EVIDENCE &amp; DECISIONS</t>
        </is>
      </c>
    </row>
    <row r="867" ht="34" customHeight="1">
      <c r="A867" s="34" t="inlineStr">
        <is>
          <t>R1395-v1</t>
        </is>
      </c>
      <c r="B867" s="34" t="inlineStr">
        <is>
          <t>Cost &amp; Forecast Control Accounts</t>
        </is>
      </c>
      <c r="C867" s="34" t="inlineStr">
        <is>
          <t>CST-04-073</t>
        </is>
      </c>
      <c r="D867" s="34" t="inlineStr">
        <is>
          <t>1.4.1 Vehicles and Depot - Fleet Supply</t>
        </is>
      </c>
      <c r="E867" s="34" t="inlineStr">
        <is>
          <t>New</t>
        </is>
      </c>
      <c r="F867" s="14" t="inlineStr"/>
      <c r="G867" s="34" t="inlineStr">
        <is>
          <t>Source assignment -- not individually reviewed</t>
        </is>
      </c>
      <c r="H867" s="92" t="inlineStr">
        <is>
          <t>10 EVIDENCE &amp; DECISIONS</t>
        </is>
      </c>
    </row>
    <row r="868" ht="34" customHeight="1">
      <c r="A868" s="34" t="inlineStr">
        <is>
          <t>R1397-v1</t>
        </is>
      </c>
      <c r="B868" s="34" t="inlineStr">
        <is>
          <t>Cost &amp; Forecast Control Accounts</t>
        </is>
      </c>
      <c r="C868" s="34" t="inlineStr">
        <is>
          <t>CST-04-075</t>
        </is>
      </c>
      <c r="D868" s="34" t="inlineStr">
        <is>
          <t>1.4.1 Vehicles and Depot - Fleet Supply</t>
        </is>
      </c>
      <c r="E868" s="34" t="inlineStr">
        <is>
          <t>New</t>
        </is>
      </c>
      <c r="F868" s="14" t="inlineStr"/>
      <c r="G868" s="34" t="inlineStr">
        <is>
          <t>Source assignment -- not individually reviewed</t>
        </is>
      </c>
      <c r="H868" s="92" t="inlineStr">
        <is>
          <t>10 EVIDENCE &amp; DECISIONS</t>
        </is>
      </c>
    </row>
    <row r="869" ht="34" customHeight="1">
      <c r="A869" s="34" t="inlineStr">
        <is>
          <t>R1399-v1</t>
        </is>
      </c>
      <c r="B869" s="34" t="inlineStr">
        <is>
          <t>Cost &amp; Forecast Control Accounts</t>
        </is>
      </c>
      <c r="C869" s="34" t="inlineStr">
        <is>
          <t>CST-04-077</t>
        </is>
      </c>
      <c r="D869" s="34" t="inlineStr">
        <is>
          <t>1.4.1 Vehicles and Depot - Fleet Supply</t>
        </is>
      </c>
      <c r="E869" s="34" t="inlineStr">
        <is>
          <t>New</t>
        </is>
      </c>
      <c r="F869" s="14" t="inlineStr"/>
      <c r="G869" s="34" t="inlineStr">
        <is>
          <t>Source assignment -- not individually reviewed</t>
        </is>
      </c>
      <c r="H869" s="92" t="inlineStr">
        <is>
          <t>10 EVIDENCE &amp; DECISIONS</t>
        </is>
      </c>
    </row>
    <row r="870" ht="34" customHeight="1">
      <c r="A870" s="34" t="inlineStr">
        <is>
          <t>R1401-v1</t>
        </is>
      </c>
      <c r="B870" s="34" t="inlineStr">
        <is>
          <t>Cost &amp; Forecast Control Accounts</t>
        </is>
      </c>
      <c r="C870" s="34" t="inlineStr">
        <is>
          <t>CST-04-079</t>
        </is>
      </c>
      <c r="D870" s="34" t="inlineStr">
        <is>
          <t>1.4.1 Vehicles and Depot - Fleet Supply</t>
        </is>
      </c>
      <c r="E870" s="34" t="inlineStr">
        <is>
          <t>New</t>
        </is>
      </c>
      <c r="F870" s="14" t="inlineStr"/>
      <c r="G870" s="34" t="inlineStr">
        <is>
          <t>Source assignment -- not individually reviewed</t>
        </is>
      </c>
      <c r="H870" s="92" t="inlineStr">
        <is>
          <t>10 EVIDENCE &amp; DECISIONS</t>
        </is>
      </c>
    </row>
    <row r="871" ht="34" customHeight="1">
      <c r="A871" s="34" t="inlineStr">
        <is>
          <t>R541-v1</t>
        </is>
      </c>
      <c r="B871" s="34" t="inlineStr">
        <is>
          <t>Contractor Programme</t>
        </is>
      </c>
      <c r="C871" s="34" t="inlineStr">
        <is>
          <t>SCH-04-001</t>
        </is>
      </c>
      <c r="D871" s="34" t="inlineStr">
        <is>
          <t>1.4.1 Vehicles and Depot - Fleet Supply</t>
        </is>
      </c>
      <c r="E871" s="34" t="inlineStr">
        <is>
          <t>New</t>
        </is>
      </c>
      <c r="F871" s="14" t="inlineStr"/>
      <c r="G871" s="34" t="inlineStr">
        <is>
          <t>Source assignment -- not individually reviewed</t>
        </is>
      </c>
      <c r="H871" s="92" t="inlineStr">
        <is>
          <t>10 EVIDENCE &amp; DECISIONS</t>
        </is>
      </c>
    </row>
    <row r="872" ht="34" customHeight="1">
      <c r="A872" s="34" t="inlineStr">
        <is>
          <t>R542-v1</t>
        </is>
      </c>
      <c r="B872" s="34" t="inlineStr">
        <is>
          <t>Contractor Programme</t>
        </is>
      </c>
      <c r="C872" s="34" t="inlineStr">
        <is>
          <t>SCH-04-002</t>
        </is>
      </c>
      <c r="D872" s="34" t="inlineStr">
        <is>
          <t>1.4.1 Vehicles and Depot - Fleet Supply</t>
        </is>
      </c>
      <c r="E872" s="34" t="inlineStr">
        <is>
          <t>New</t>
        </is>
      </c>
      <c r="F872" s="14" t="inlineStr"/>
      <c r="G872" s="34" t="inlineStr">
        <is>
          <t>Source assignment -- not individually reviewed</t>
        </is>
      </c>
      <c r="H872" s="92" t="inlineStr">
        <is>
          <t>10 EVIDENCE &amp; DECISIONS</t>
        </is>
      </c>
    </row>
    <row r="873" ht="34" customHeight="1">
      <c r="A873" s="34" t="inlineStr">
        <is>
          <t>R544-v1</t>
        </is>
      </c>
      <c r="B873" s="34" t="inlineStr">
        <is>
          <t>Contractor Programme</t>
        </is>
      </c>
      <c r="C873" s="34" t="inlineStr">
        <is>
          <t>SCH-04-004</t>
        </is>
      </c>
      <c r="D873" s="34" t="inlineStr">
        <is>
          <t>1.4.1 Vehicles and Depot - Fleet Supply</t>
        </is>
      </c>
      <c r="E873" s="34" t="inlineStr">
        <is>
          <t>New</t>
        </is>
      </c>
      <c r="F873" s="14" t="inlineStr"/>
      <c r="G873" s="34" t="inlineStr">
        <is>
          <t>Source assignment -- not individually reviewed</t>
        </is>
      </c>
      <c r="H873" s="92" t="inlineStr">
        <is>
          <t>10 EVIDENCE &amp; DECISIONS</t>
        </is>
      </c>
    </row>
    <row r="874" ht="34" customHeight="1">
      <c r="A874" s="34" t="inlineStr">
        <is>
          <t>R545-v1</t>
        </is>
      </c>
      <c r="B874" s="34" t="inlineStr">
        <is>
          <t>Contractor Programme</t>
        </is>
      </c>
      <c r="C874" s="34" t="inlineStr">
        <is>
          <t>SCH-04-005</t>
        </is>
      </c>
      <c r="D874" s="34" t="inlineStr">
        <is>
          <t>1.4.1 Vehicles and Depot - Fleet Supply</t>
        </is>
      </c>
      <c r="E874" s="34" t="inlineStr">
        <is>
          <t>New</t>
        </is>
      </c>
      <c r="F874" s="14" t="inlineStr"/>
      <c r="G874" s="34" t="inlineStr">
        <is>
          <t>Source assignment -- not individually reviewed</t>
        </is>
      </c>
      <c r="H874" s="92" t="inlineStr">
        <is>
          <t>10 EVIDENCE &amp; DECISIONS</t>
        </is>
      </c>
    </row>
    <row r="875" ht="34" customHeight="1">
      <c r="A875" s="34" t="inlineStr">
        <is>
          <t>R547-v1</t>
        </is>
      </c>
      <c r="B875" s="34" t="inlineStr">
        <is>
          <t>Contractor Programme</t>
        </is>
      </c>
      <c r="C875" s="34" t="inlineStr">
        <is>
          <t>SCH-04-007</t>
        </is>
      </c>
      <c r="D875" s="34" t="inlineStr">
        <is>
          <t>1.4.1 Vehicles and Depot - Fleet Supply</t>
        </is>
      </c>
      <c r="E875" s="34" t="inlineStr">
        <is>
          <t>New</t>
        </is>
      </c>
      <c r="F875" s="14" t="inlineStr"/>
      <c r="G875" s="34" t="inlineStr">
        <is>
          <t>Source assignment -- not individually reviewed</t>
        </is>
      </c>
      <c r="H875" s="92" t="inlineStr">
        <is>
          <t>10 EVIDENCE &amp; DECISIONS</t>
        </is>
      </c>
    </row>
    <row r="876" ht="34" customHeight="1">
      <c r="A876" s="34" t="inlineStr">
        <is>
          <t>R548-v1</t>
        </is>
      </c>
      <c r="B876" s="34" t="inlineStr">
        <is>
          <t>Contractor Programme</t>
        </is>
      </c>
      <c r="C876" s="34" t="inlineStr">
        <is>
          <t>SCH-04-008</t>
        </is>
      </c>
      <c r="D876" s="34" t="inlineStr">
        <is>
          <t>1.4.1 Vehicles and Depot - Fleet Supply</t>
        </is>
      </c>
      <c r="E876" s="34" t="inlineStr">
        <is>
          <t>New</t>
        </is>
      </c>
      <c r="F876" s="14" t="inlineStr"/>
      <c r="G876" s="34" t="inlineStr">
        <is>
          <t>Source assignment -- not individually reviewed</t>
        </is>
      </c>
      <c r="H876" s="92" t="inlineStr">
        <is>
          <t>10 EVIDENCE &amp; DECISIONS</t>
        </is>
      </c>
    </row>
    <row r="877" ht="34" customHeight="1">
      <c r="A877" s="34" t="inlineStr">
        <is>
          <t>R550-v1</t>
        </is>
      </c>
      <c r="B877" s="34" t="inlineStr">
        <is>
          <t>Contractor Programme</t>
        </is>
      </c>
      <c r="C877" s="34" t="inlineStr">
        <is>
          <t>SCH-04-010</t>
        </is>
      </c>
      <c r="D877" s="34" t="inlineStr">
        <is>
          <t>1.4.1 Vehicles and Depot - Fleet Supply</t>
        </is>
      </c>
      <c r="E877" s="34" t="inlineStr">
        <is>
          <t>New</t>
        </is>
      </c>
      <c r="F877" s="14" t="inlineStr"/>
      <c r="G877" s="34" t="inlineStr">
        <is>
          <t>Source assignment -- not individually reviewed</t>
        </is>
      </c>
      <c r="H877" s="92" t="inlineStr">
        <is>
          <t>10 EVIDENCE &amp; DECISIONS</t>
        </is>
      </c>
    </row>
    <row r="878" ht="34" customHeight="1">
      <c r="A878" s="34" t="inlineStr">
        <is>
          <t>R551-v1</t>
        </is>
      </c>
      <c r="B878" s="34" t="inlineStr">
        <is>
          <t>Contractor Programme</t>
        </is>
      </c>
      <c r="C878" s="34" t="inlineStr">
        <is>
          <t>SCH-04-011</t>
        </is>
      </c>
      <c r="D878" s="34" t="inlineStr">
        <is>
          <t>1.4.1 Vehicles and Depot - Fleet Supply</t>
        </is>
      </c>
      <c r="E878" s="34" t="inlineStr">
        <is>
          <t>New</t>
        </is>
      </c>
      <c r="F878" s="14" t="inlineStr"/>
      <c r="G878" s="34" t="inlineStr">
        <is>
          <t>Source assignment -- not individually reviewed</t>
        </is>
      </c>
      <c r="H878" s="92" t="inlineStr">
        <is>
          <t>10 EVIDENCE &amp; DECISIONS</t>
        </is>
      </c>
    </row>
    <row r="879" ht="34" customHeight="1">
      <c r="A879" s="34" t="inlineStr">
        <is>
          <t>R553-v1</t>
        </is>
      </c>
      <c r="B879" s="34" t="inlineStr">
        <is>
          <t>Contractor Programme</t>
        </is>
      </c>
      <c r="C879" s="34" t="inlineStr">
        <is>
          <t>SCH-04-013</t>
        </is>
      </c>
      <c r="D879" s="34" t="inlineStr">
        <is>
          <t>1.4.1 Vehicles and Depot - Fleet Supply</t>
        </is>
      </c>
      <c r="E879" s="34" t="inlineStr">
        <is>
          <t>New</t>
        </is>
      </c>
      <c r="F879" s="14" t="inlineStr"/>
      <c r="G879" s="34" t="inlineStr">
        <is>
          <t>Source assignment -- not individually reviewed</t>
        </is>
      </c>
      <c r="H879" s="92" t="inlineStr">
        <is>
          <t>10 EVIDENCE &amp; DECISIONS</t>
        </is>
      </c>
    </row>
    <row r="880" ht="34" customHeight="1">
      <c r="A880" s="34" t="inlineStr">
        <is>
          <t>R554-v1</t>
        </is>
      </c>
      <c r="B880" s="34" t="inlineStr">
        <is>
          <t>Contractor Programme</t>
        </is>
      </c>
      <c r="C880" s="34" t="inlineStr">
        <is>
          <t>SCH-04-014</t>
        </is>
      </c>
      <c r="D880" s="34" t="inlineStr">
        <is>
          <t>1.4.1 Vehicles and Depot - Fleet Supply</t>
        </is>
      </c>
      <c r="E880" s="34" t="inlineStr">
        <is>
          <t>New</t>
        </is>
      </c>
      <c r="F880" s="14" t="inlineStr"/>
      <c r="G880" s="34" t="inlineStr">
        <is>
          <t>Source assignment -- not individually reviewed</t>
        </is>
      </c>
      <c r="H880" s="92" t="inlineStr">
        <is>
          <t>10 EVIDENCE &amp; DECISIONS</t>
        </is>
      </c>
    </row>
    <row r="881" ht="34" customHeight="1">
      <c r="A881" s="34" t="inlineStr">
        <is>
          <t>R556-v1</t>
        </is>
      </c>
      <c r="B881" s="34" t="inlineStr">
        <is>
          <t>Contractor Programme</t>
        </is>
      </c>
      <c r="C881" s="34" t="inlineStr">
        <is>
          <t>SCH-04-016</t>
        </is>
      </c>
      <c r="D881" s="34" t="inlineStr">
        <is>
          <t>1.4.1 Vehicles and Depot - Fleet Supply</t>
        </is>
      </c>
      <c r="E881" s="34" t="inlineStr">
        <is>
          <t>New</t>
        </is>
      </c>
      <c r="F881" s="14" t="inlineStr"/>
      <c r="G881" s="34" t="inlineStr">
        <is>
          <t>Source assignment -- not individually reviewed</t>
        </is>
      </c>
      <c r="H881" s="92" t="inlineStr">
        <is>
          <t>10 EVIDENCE &amp; DECISIONS</t>
        </is>
      </c>
    </row>
    <row r="882" ht="34" customHeight="1">
      <c r="A882" s="34" t="inlineStr">
        <is>
          <t>R557-v1</t>
        </is>
      </c>
      <c r="B882" s="34" t="inlineStr">
        <is>
          <t>Contractor Programme</t>
        </is>
      </c>
      <c r="C882" s="34" t="inlineStr">
        <is>
          <t>SCH-04-017</t>
        </is>
      </c>
      <c r="D882" s="34" t="inlineStr">
        <is>
          <t>1.4.1 Vehicles and Depot - Fleet Supply</t>
        </is>
      </c>
      <c r="E882" s="34" t="inlineStr">
        <is>
          <t>New</t>
        </is>
      </c>
      <c r="F882" s="14" t="inlineStr"/>
      <c r="G882" s="34" t="inlineStr">
        <is>
          <t>Source assignment -- not individually reviewed</t>
        </is>
      </c>
      <c r="H882" s="92" t="inlineStr">
        <is>
          <t>10 EVIDENCE &amp; DECISIONS</t>
        </is>
      </c>
    </row>
    <row r="883" ht="34" customHeight="1">
      <c r="A883" s="34" t="inlineStr">
        <is>
          <t>R559-v1</t>
        </is>
      </c>
      <c r="B883" s="34" t="inlineStr">
        <is>
          <t>Contractor Programme</t>
        </is>
      </c>
      <c r="C883" s="34" t="inlineStr">
        <is>
          <t>SCH-04-019</t>
        </is>
      </c>
      <c r="D883" s="34" t="inlineStr">
        <is>
          <t>1.4.1 Vehicles and Depot - Fleet Supply</t>
        </is>
      </c>
      <c r="E883" s="34" t="inlineStr">
        <is>
          <t>New</t>
        </is>
      </c>
      <c r="F883" s="14" t="inlineStr"/>
      <c r="G883" s="34" t="inlineStr">
        <is>
          <t>Source assignment -- not individually reviewed</t>
        </is>
      </c>
      <c r="H883" s="92" t="inlineStr">
        <is>
          <t>10 EVIDENCE &amp; DECISIONS</t>
        </is>
      </c>
    </row>
    <row r="884" ht="34" customHeight="1">
      <c r="A884" s="34" t="inlineStr">
        <is>
          <t>R560-v1</t>
        </is>
      </c>
      <c r="B884" s="34" t="inlineStr">
        <is>
          <t>Contractor Programme</t>
        </is>
      </c>
      <c r="C884" s="34" t="inlineStr">
        <is>
          <t>SCH-04-020</t>
        </is>
      </c>
      <c r="D884" s="34" t="inlineStr">
        <is>
          <t>1.4.1 Vehicles and Depot - Fleet Supply</t>
        </is>
      </c>
      <c r="E884" s="34" t="inlineStr">
        <is>
          <t>New</t>
        </is>
      </c>
      <c r="F884" s="14" t="inlineStr"/>
      <c r="G884" s="34" t="inlineStr">
        <is>
          <t>Source assignment -- not individually reviewed</t>
        </is>
      </c>
      <c r="H884" s="92" t="inlineStr">
        <is>
          <t>10 EVIDENCE &amp; DECISIONS</t>
        </is>
      </c>
    </row>
    <row r="885" ht="34" customHeight="1">
      <c r="A885" s="34" t="inlineStr">
        <is>
          <t>R562-v1</t>
        </is>
      </c>
      <c r="B885" s="34" t="inlineStr">
        <is>
          <t>Contractor Programme</t>
        </is>
      </c>
      <c r="C885" s="34" t="inlineStr">
        <is>
          <t>SCH-04-022</t>
        </is>
      </c>
      <c r="D885" s="34" t="inlineStr">
        <is>
          <t>1.4.1 Vehicles and Depot - Fleet Supply</t>
        </is>
      </c>
      <c r="E885" s="34" t="inlineStr">
        <is>
          <t>New</t>
        </is>
      </c>
      <c r="F885" s="14" t="inlineStr"/>
      <c r="G885" s="34" t="inlineStr">
        <is>
          <t>Source assignment -- not individually reviewed</t>
        </is>
      </c>
      <c r="H885" s="92" t="inlineStr">
        <is>
          <t>10 EVIDENCE &amp; DECISIONS</t>
        </is>
      </c>
    </row>
    <row r="886" ht="34" customHeight="1">
      <c r="A886" s="34" t="inlineStr">
        <is>
          <t>R563-v1</t>
        </is>
      </c>
      <c r="B886" s="34" t="inlineStr">
        <is>
          <t>Contractor Programme</t>
        </is>
      </c>
      <c r="C886" s="34" t="inlineStr">
        <is>
          <t>SCH-04-023</t>
        </is>
      </c>
      <c r="D886" s="34" t="inlineStr">
        <is>
          <t>1.4.1 Vehicles and Depot - Fleet Supply</t>
        </is>
      </c>
      <c r="E886" s="34" t="inlineStr">
        <is>
          <t>New</t>
        </is>
      </c>
      <c r="F886" s="14" t="inlineStr"/>
      <c r="G886" s="34" t="inlineStr">
        <is>
          <t>Source assignment -- not individually reviewed</t>
        </is>
      </c>
      <c r="H886" s="92" t="inlineStr">
        <is>
          <t>10 EVIDENCE &amp; DECISIONS</t>
        </is>
      </c>
    </row>
    <row r="887" ht="34" customHeight="1">
      <c r="A887" s="34" t="inlineStr">
        <is>
          <t>R565-v1</t>
        </is>
      </c>
      <c r="B887" s="34" t="inlineStr">
        <is>
          <t>Contractor Programme</t>
        </is>
      </c>
      <c r="C887" s="34" t="inlineStr">
        <is>
          <t>SCH-04-025</t>
        </is>
      </c>
      <c r="D887" s="34" t="inlineStr">
        <is>
          <t>1.4.1 Vehicles and Depot - Fleet Supply</t>
        </is>
      </c>
      <c r="E887" s="34" t="inlineStr">
        <is>
          <t>New</t>
        </is>
      </c>
      <c r="F887" s="14" t="inlineStr"/>
      <c r="G887" s="34" t="inlineStr">
        <is>
          <t>Source assignment -- not individually reviewed</t>
        </is>
      </c>
      <c r="H887" s="92" t="inlineStr">
        <is>
          <t>10 EVIDENCE &amp; DECISIONS</t>
        </is>
      </c>
    </row>
    <row r="888" ht="34" customHeight="1">
      <c r="A888" s="34" t="inlineStr">
        <is>
          <t>R566-v1</t>
        </is>
      </c>
      <c r="B888" s="34" t="inlineStr">
        <is>
          <t>Contractor Programme</t>
        </is>
      </c>
      <c r="C888" s="34" t="inlineStr">
        <is>
          <t>SCH-04-026</t>
        </is>
      </c>
      <c r="D888" s="34" t="inlineStr">
        <is>
          <t>1.4.1 Vehicles and Depot - Fleet Supply</t>
        </is>
      </c>
      <c r="E888" s="34" t="inlineStr">
        <is>
          <t>New</t>
        </is>
      </c>
      <c r="F888" s="14" t="inlineStr"/>
      <c r="G888" s="34" t="inlineStr">
        <is>
          <t>Source assignment -- not individually reviewed</t>
        </is>
      </c>
      <c r="H888" s="92" t="inlineStr">
        <is>
          <t>10 EVIDENCE &amp; DECISIONS</t>
        </is>
      </c>
    </row>
    <row r="889" ht="34" customHeight="1">
      <c r="A889" s="34" t="inlineStr">
        <is>
          <t>R568-v1</t>
        </is>
      </c>
      <c r="B889" s="34" t="inlineStr">
        <is>
          <t>Contractor Programme</t>
        </is>
      </c>
      <c r="C889" s="34" t="inlineStr">
        <is>
          <t>SCH-04-028</t>
        </is>
      </c>
      <c r="D889" s="34" t="inlineStr">
        <is>
          <t>1.4.1 Vehicles and Depot - Fleet Supply</t>
        </is>
      </c>
      <c r="E889" s="34" t="inlineStr">
        <is>
          <t>New</t>
        </is>
      </c>
      <c r="F889" s="14" t="inlineStr"/>
      <c r="G889" s="34" t="inlineStr">
        <is>
          <t>Source assignment -- not individually reviewed</t>
        </is>
      </c>
      <c r="H889" s="92" t="inlineStr">
        <is>
          <t>10 EVIDENCE &amp; DECISIONS</t>
        </is>
      </c>
    </row>
    <row r="890" ht="34" customHeight="1">
      <c r="A890" s="34" t="inlineStr">
        <is>
          <t>R569-v1</t>
        </is>
      </c>
      <c r="B890" s="34" t="inlineStr">
        <is>
          <t>Contractor Programme</t>
        </is>
      </c>
      <c r="C890" s="34" t="inlineStr">
        <is>
          <t>SCH-04-029</t>
        </is>
      </c>
      <c r="D890" s="34" t="inlineStr">
        <is>
          <t>1.4.1 Vehicles and Depot - Fleet Supply</t>
        </is>
      </c>
      <c r="E890" s="34" t="inlineStr">
        <is>
          <t>New</t>
        </is>
      </c>
      <c r="F890" s="14" t="inlineStr"/>
      <c r="G890" s="34" t="inlineStr">
        <is>
          <t>Source assignment -- not individually reviewed</t>
        </is>
      </c>
      <c r="H890" s="92" t="inlineStr">
        <is>
          <t>10 EVIDENCE &amp; DECISIONS</t>
        </is>
      </c>
    </row>
    <row r="891" ht="34" customHeight="1">
      <c r="A891" s="34" t="inlineStr">
        <is>
          <t>R571-v1</t>
        </is>
      </c>
      <c r="B891" s="34" t="inlineStr">
        <is>
          <t>Contractor Programme</t>
        </is>
      </c>
      <c r="C891" s="34" t="inlineStr">
        <is>
          <t>SCH-04-031</t>
        </is>
      </c>
      <c r="D891" s="34" t="inlineStr">
        <is>
          <t>1.4.1 Vehicles and Depot - Fleet Supply</t>
        </is>
      </c>
      <c r="E891" s="34" t="inlineStr">
        <is>
          <t>New</t>
        </is>
      </c>
      <c r="F891" s="14" t="inlineStr"/>
      <c r="G891" s="34" t="inlineStr">
        <is>
          <t>Source assignment -- not individually reviewed</t>
        </is>
      </c>
      <c r="H891" s="92" t="inlineStr">
        <is>
          <t>10 EVIDENCE &amp; DECISIONS</t>
        </is>
      </c>
    </row>
    <row r="892" ht="34" customHeight="1">
      <c r="A892" s="34" t="inlineStr">
        <is>
          <t>R572-v1</t>
        </is>
      </c>
      <c r="B892" s="34" t="inlineStr">
        <is>
          <t>Contractor Programme</t>
        </is>
      </c>
      <c r="C892" s="34" t="inlineStr">
        <is>
          <t>SCH-04-032</t>
        </is>
      </c>
      <c r="D892" s="34" t="inlineStr">
        <is>
          <t>1.4.1 Vehicles and Depot - Fleet Supply</t>
        </is>
      </c>
      <c r="E892" s="34" t="inlineStr">
        <is>
          <t>New</t>
        </is>
      </c>
      <c r="F892" s="14" t="inlineStr"/>
      <c r="G892" s="34" t="inlineStr">
        <is>
          <t>Source assignment -- not individually reviewed</t>
        </is>
      </c>
      <c r="H892" s="92" t="inlineStr">
        <is>
          <t>10 EVIDENCE &amp; DECISIONS</t>
        </is>
      </c>
    </row>
    <row r="893" ht="34" customHeight="1">
      <c r="A893" s="34" t="inlineStr">
        <is>
          <t>R574-v1</t>
        </is>
      </c>
      <c r="B893" s="34" t="inlineStr">
        <is>
          <t>Contractor Programme</t>
        </is>
      </c>
      <c r="C893" s="34" t="inlineStr">
        <is>
          <t>SCH-04-034</t>
        </is>
      </c>
      <c r="D893" s="34" t="inlineStr">
        <is>
          <t>1.4.1 Vehicles and Depot - Fleet Supply</t>
        </is>
      </c>
      <c r="E893" s="34" t="inlineStr">
        <is>
          <t>New</t>
        </is>
      </c>
      <c r="F893" s="14" t="inlineStr"/>
      <c r="G893" s="34" t="inlineStr">
        <is>
          <t>Source assignment -- not individually reviewed</t>
        </is>
      </c>
      <c r="H893" s="92" t="inlineStr">
        <is>
          <t>10 EVIDENCE &amp; DECISIONS</t>
        </is>
      </c>
    </row>
    <row r="894" ht="34" customHeight="1">
      <c r="A894" s="34" t="inlineStr">
        <is>
          <t>R575-v1</t>
        </is>
      </c>
      <c r="B894" s="34" t="inlineStr">
        <is>
          <t>Contractor Programme</t>
        </is>
      </c>
      <c r="C894" s="34" t="inlineStr">
        <is>
          <t>SCH-04-035</t>
        </is>
      </c>
      <c r="D894" s="34" t="inlineStr">
        <is>
          <t>1.4.1 Vehicles and Depot - Fleet Supply</t>
        </is>
      </c>
      <c r="E894" s="34" t="inlineStr">
        <is>
          <t>New</t>
        </is>
      </c>
      <c r="F894" s="14" t="inlineStr"/>
      <c r="G894" s="34" t="inlineStr">
        <is>
          <t>Source assignment -- not individually reviewed</t>
        </is>
      </c>
      <c r="H894" s="92" t="inlineStr">
        <is>
          <t>10 EVIDENCE &amp; DECISIONS</t>
        </is>
      </c>
    </row>
    <row r="895" ht="34" customHeight="1">
      <c r="A895" s="34" t="inlineStr">
        <is>
          <t>R577-v1</t>
        </is>
      </c>
      <c r="B895" s="34" t="inlineStr">
        <is>
          <t>Contractor Programme</t>
        </is>
      </c>
      <c r="C895" s="34" t="inlineStr">
        <is>
          <t>SCH-04-037</t>
        </is>
      </c>
      <c r="D895" s="34" t="inlineStr">
        <is>
          <t>1.4.1 Vehicles and Depot - Fleet Supply</t>
        </is>
      </c>
      <c r="E895" s="34" t="inlineStr">
        <is>
          <t>New</t>
        </is>
      </c>
      <c r="F895" s="14" t="inlineStr"/>
      <c r="G895" s="34" t="inlineStr">
        <is>
          <t>Source assignment -- not individually reviewed</t>
        </is>
      </c>
      <c r="H895" s="92" t="inlineStr">
        <is>
          <t>10 EVIDENCE &amp; DECISIONS</t>
        </is>
      </c>
    </row>
    <row r="896" ht="34" customHeight="1">
      <c r="A896" s="34" t="inlineStr">
        <is>
          <t>R578-v1</t>
        </is>
      </c>
      <c r="B896" s="34" t="inlineStr">
        <is>
          <t>Contractor Programme</t>
        </is>
      </c>
      <c r="C896" s="34" t="inlineStr">
        <is>
          <t>SCH-04-038</t>
        </is>
      </c>
      <c r="D896" s="34" t="inlineStr">
        <is>
          <t>1.4.1 Vehicles and Depot - Fleet Supply</t>
        </is>
      </c>
      <c r="E896" s="34" t="inlineStr">
        <is>
          <t>New</t>
        </is>
      </c>
      <c r="F896" s="14" t="inlineStr"/>
      <c r="G896" s="34" t="inlineStr">
        <is>
          <t>Source assignment -- not individually reviewed</t>
        </is>
      </c>
      <c r="H896" s="92" t="inlineStr">
        <is>
          <t>10 EVIDENCE &amp; DECISIONS</t>
        </is>
      </c>
    </row>
    <row r="897" ht="34" customHeight="1">
      <c r="A897" s="34" t="inlineStr">
        <is>
          <t>R580-v1</t>
        </is>
      </c>
      <c r="B897" s="34" t="inlineStr">
        <is>
          <t>Contractor Programme</t>
        </is>
      </c>
      <c r="C897" s="34" t="inlineStr">
        <is>
          <t>SCH-04-040</t>
        </is>
      </c>
      <c r="D897" s="34" t="inlineStr">
        <is>
          <t>1.4.1 Vehicles and Depot - Fleet Supply</t>
        </is>
      </c>
      <c r="E897" s="34" t="inlineStr">
        <is>
          <t>New</t>
        </is>
      </c>
      <c r="F897" s="14" t="inlineStr"/>
      <c r="G897" s="34" t="inlineStr">
        <is>
          <t>Source assignment -- not individually reviewed</t>
        </is>
      </c>
      <c r="H897" s="92" t="inlineStr">
        <is>
          <t>10 EVIDENCE &amp; DECISIONS</t>
        </is>
      </c>
    </row>
    <row r="898" ht="34" customHeight="1">
      <c r="A898" s="34" t="inlineStr">
        <is>
          <t>R581-v1</t>
        </is>
      </c>
      <c r="B898" s="34" t="inlineStr">
        <is>
          <t>Contractor Programme</t>
        </is>
      </c>
      <c r="C898" s="34" t="inlineStr">
        <is>
          <t>SCH-04-041</t>
        </is>
      </c>
      <c r="D898" s="34" t="inlineStr">
        <is>
          <t>1.4.1 Vehicles and Depot - Fleet Supply</t>
        </is>
      </c>
      <c r="E898" s="34" t="inlineStr">
        <is>
          <t>New</t>
        </is>
      </c>
      <c r="F898" s="14" t="inlineStr"/>
      <c r="G898" s="34" t="inlineStr">
        <is>
          <t>Source assignment -- not individually reviewed</t>
        </is>
      </c>
      <c r="H898" s="92" t="inlineStr">
        <is>
          <t>10 EVIDENCE &amp; DECISIONS</t>
        </is>
      </c>
    </row>
    <row r="899" ht="34" customHeight="1">
      <c r="A899" s="34" t="inlineStr">
        <is>
          <t>R583-v1</t>
        </is>
      </c>
      <c r="B899" s="34" t="inlineStr">
        <is>
          <t>Contractor Programme</t>
        </is>
      </c>
      <c r="C899" s="34" t="inlineStr">
        <is>
          <t>SCH-04-043</t>
        </is>
      </c>
      <c r="D899" s="34" t="inlineStr">
        <is>
          <t>1.4.1 Vehicles and Depot - Fleet Supply</t>
        </is>
      </c>
      <c r="E899" s="34" t="inlineStr">
        <is>
          <t>New</t>
        </is>
      </c>
      <c r="F899" s="14" t="inlineStr"/>
      <c r="G899" s="34" t="inlineStr">
        <is>
          <t>Source assignment -- not individually reviewed</t>
        </is>
      </c>
      <c r="H899" s="92" t="inlineStr">
        <is>
          <t>10 EVIDENCE &amp; DECISIONS</t>
        </is>
      </c>
    </row>
    <row r="900" ht="34" customHeight="1">
      <c r="A900" s="34" t="inlineStr">
        <is>
          <t>R584-v1</t>
        </is>
      </c>
      <c r="B900" s="34" t="inlineStr">
        <is>
          <t>Contractor Programme</t>
        </is>
      </c>
      <c r="C900" s="34" t="inlineStr">
        <is>
          <t>SCH-04-044</t>
        </is>
      </c>
      <c r="D900" s="34" t="inlineStr">
        <is>
          <t>1.4.1 Vehicles and Depot - Fleet Supply</t>
        </is>
      </c>
      <c r="E900" s="34" t="inlineStr">
        <is>
          <t>New</t>
        </is>
      </c>
      <c r="F900" s="14" t="inlineStr"/>
      <c r="G900" s="34" t="inlineStr">
        <is>
          <t>Source assignment -- not individually reviewed</t>
        </is>
      </c>
      <c r="H900" s="92" t="inlineStr">
        <is>
          <t>10 EVIDENCE &amp; DECISIONS</t>
        </is>
      </c>
    </row>
    <row r="901" ht="34" customHeight="1">
      <c r="A901" s="34" t="inlineStr">
        <is>
          <t>R586-v1</t>
        </is>
      </c>
      <c r="B901" s="34" t="inlineStr">
        <is>
          <t>Contractor Programme</t>
        </is>
      </c>
      <c r="C901" s="34" t="inlineStr">
        <is>
          <t>SCH-04-046</t>
        </is>
      </c>
      <c r="D901" s="34" t="inlineStr">
        <is>
          <t>1.4.1 Vehicles and Depot - Fleet Supply</t>
        </is>
      </c>
      <c r="E901" s="34" t="inlineStr">
        <is>
          <t>New</t>
        </is>
      </c>
      <c r="F901" s="14" t="inlineStr"/>
      <c r="G901" s="34" t="inlineStr">
        <is>
          <t>Source assignment -- not individually reviewed</t>
        </is>
      </c>
      <c r="H901" s="92" t="inlineStr">
        <is>
          <t>10 EVIDENCE &amp; DECISIONS</t>
        </is>
      </c>
    </row>
    <row r="902" ht="34" customHeight="1">
      <c r="A902" s="34" t="inlineStr">
        <is>
          <t>R587-v1</t>
        </is>
      </c>
      <c r="B902" s="34" t="inlineStr">
        <is>
          <t>Contractor Programme</t>
        </is>
      </c>
      <c r="C902" s="34" t="inlineStr">
        <is>
          <t>SCH-04-047</t>
        </is>
      </c>
      <c r="D902" s="34" t="inlineStr">
        <is>
          <t>1.4.1 Vehicles and Depot - Fleet Supply</t>
        </is>
      </c>
      <c r="E902" s="34" t="inlineStr">
        <is>
          <t>New</t>
        </is>
      </c>
      <c r="F902" s="14" t="inlineStr"/>
      <c r="G902" s="34" t="inlineStr">
        <is>
          <t>Source assignment -- not individually reviewed</t>
        </is>
      </c>
      <c r="H902" s="92" t="inlineStr">
        <is>
          <t>10 EVIDENCE &amp; DECISIONS</t>
        </is>
      </c>
    </row>
    <row r="903" ht="34" customHeight="1">
      <c r="A903" s="34" t="inlineStr">
        <is>
          <t>R589-v1</t>
        </is>
      </c>
      <c r="B903" s="34" t="inlineStr">
        <is>
          <t>Contractor Programme</t>
        </is>
      </c>
      <c r="C903" s="34" t="inlineStr">
        <is>
          <t>SCH-04-049</t>
        </is>
      </c>
      <c r="D903" s="34" t="inlineStr">
        <is>
          <t>1.4.1 Vehicles and Depot - Fleet Supply</t>
        </is>
      </c>
      <c r="E903" s="34" t="inlineStr">
        <is>
          <t>New</t>
        </is>
      </c>
      <c r="F903" s="14" t="inlineStr"/>
      <c r="G903" s="34" t="inlineStr">
        <is>
          <t>Source assignment -- not individually reviewed</t>
        </is>
      </c>
      <c r="H903" s="92" t="inlineStr">
        <is>
          <t>10 EVIDENCE &amp; DECISIONS</t>
        </is>
      </c>
    </row>
    <row r="904" ht="34" customHeight="1">
      <c r="A904" s="34" t="inlineStr">
        <is>
          <t>R590-v1</t>
        </is>
      </c>
      <c r="B904" s="34" t="inlineStr">
        <is>
          <t>Contractor Programme</t>
        </is>
      </c>
      <c r="C904" s="34" t="inlineStr">
        <is>
          <t>SCH-04-050</t>
        </is>
      </c>
      <c r="D904" s="34" t="inlineStr">
        <is>
          <t>1.4.1 Vehicles and Depot - Fleet Supply</t>
        </is>
      </c>
      <c r="E904" s="34" t="inlineStr">
        <is>
          <t>New</t>
        </is>
      </c>
      <c r="F904" s="14" t="inlineStr"/>
      <c r="G904" s="34" t="inlineStr">
        <is>
          <t>Source assignment -- not individually reviewed</t>
        </is>
      </c>
      <c r="H904" s="92" t="inlineStr">
        <is>
          <t>10 EVIDENCE &amp; DECISIONS</t>
        </is>
      </c>
    </row>
    <row r="905" ht="34" customHeight="1">
      <c r="A905" s="34" t="inlineStr">
        <is>
          <t>R592-v1</t>
        </is>
      </c>
      <c r="B905" s="34" t="inlineStr">
        <is>
          <t>Contractor Programme</t>
        </is>
      </c>
      <c r="C905" s="34" t="inlineStr">
        <is>
          <t>SCH-04-052</t>
        </is>
      </c>
      <c r="D905" s="34" t="inlineStr">
        <is>
          <t>1.4.1 Vehicles and Depot - Fleet Supply</t>
        </is>
      </c>
      <c r="E905" s="34" t="inlineStr">
        <is>
          <t>New</t>
        </is>
      </c>
      <c r="F905" s="14" t="inlineStr"/>
      <c r="G905" s="34" t="inlineStr">
        <is>
          <t>Source assignment -- not individually reviewed</t>
        </is>
      </c>
      <c r="H905" s="92" t="inlineStr">
        <is>
          <t>10 EVIDENCE &amp; DECISIONS</t>
        </is>
      </c>
    </row>
    <row r="906" ht="34" customHeight="1">
      <c r="A906" s="34" t="inlineStr">
        <is>
          <t>R593-v1</t>
        </is>
      </c>
      <c r="B906" s="34" t="inlineStr">
        <is>
          <t>Contractor Programme</t>
        </is>
      </c>
      <c r="C906" s="34" t="inlineStr">
        <is>
          <t>SCH-04-053</t>
        </is>
      </c>
      <c r="D906" s="34" t="inlineStr">
        <is>
          <t>1.4.1 Vehicles and Depot - Fleet Supply</t>
        </is>
      </c>
      <c r="E906" s="34" t="inlineStr">
        <is>
          <t>New</t>
        </is>
      </c>
      <c r="F906" s="14" t="inlineStr"/>
      <c r="G906" s="34" t="inlineStr">
        <is>
          <t>Source assignment -- not individually reviewed</t>
        </is>
      </c>
      <c r="H906" s="92" t="inlineStr">
        <is>
          <t>10 EVIDENCE &amp; DECISIONS</t>
        </is>
      </c>
    </row>
    <row r="907" ht="34" customHeight="1">
      <c r="A907" s="34" t="inlineStr">
        <is>
          <t>R595-v1</t>
        </is>
      </c>
      <c r="B907" s="34" t="inlineStr">
        <is>
          <t>Contractor Programme</t>
        </is>
      </c>
      <c r="C907" s="34" t="inlineStr">
        <is>
          <t>SCH-04-055</t>
        </is>
      </c>
      <c r="D907" s="34" t="inlineStr">
        <is>
          <t>1.4.1 Vehicles and Depot - Fleet Supply</t>
        </is>
      </c>
      <c r="E907" s="34" t="inlineStr">
        <is>
          <t>New</t>
        </is>
      </c>
      <c r="F907" s="14" t="inlineStr"/>
      <c r="G907" s="34" t="inlineStr">
        <is>
          <t>Source assignment -- not individually reviewed</t>
        </is>
      </c>
      <c r="H907" s="92" t="inlineStr">
        <is>
          <t>10 EVIDENCE &amp; DECISIONS</t>
        </is>
      </c>
    </row>
    <row r="908" ht="34" customHeight="1">
      <c r="A908" s="34" t="inlineStr">
        <is>
          <t>R596-v1</t>
        </is>
      </c>
      <c r="B908" s="34" t="inlineStr">
        <is>
          <t>Contractor Programme</t>
        </is>
      </c>
      <c r="C908" s="34" t="inlineStr">
        <is>
          <t>SCH-04-056</t>
        </is>
      </c>
      <c r="D908" s="34" t="inlineStr">
        <is>
          <t>1.4.1 Vehicles and Depot - Fleet Supply</t>
        </is>
      </c>
      <c r="E908" s="34" t="inlineStr">
        <is>
          <t>New</t>
        </is>
      </c>
      <c r="F908" s="14" t="inlineStr"/>
      <c r="G908" s="34" t="inlineStr">
        <is>
          <t>Source assignment -- not individually reviewed</t>
        </is>
      </c>
      <c r="H908" s="92" t="inlineStr">
        <is>
          <t>10 EVIDENCE &amp; DECISIONS</t>
        </is>
      </c>
    </row>
    <row r="909" ht="34" customHeight="1">
      <c r="A909" s="34" t="inlineStr">
        <is>
          <t>R598-v1</t>
        </is>
      </c>
      <c r="B909" s="34" t="inlineStr">
        <is>
          <t>Contractor Programme</t>
        </is>
      </c>
      <c r="C909" s="34" t="inlineStr">
        <is>
          <t>SCH-04-058</t>
        </is>
      </c>
      <c r="D909" s="34" t="inlineStr">
        <is>
          <t>1.4.1 Vehicles and Depot - Fleet Supply</t>
        </is>
      </c>
      <c r="E909" s="34" t="inlineStr">
        <is>
          <t>New</t>
        </is>
      </c>
      <c r="F909" s="14" t="inlineStr"/>
      <c r="G909" s="34" t="inlineStr">
        <is>
          <t>Source assignment -- not individually reviewed</t>
        </is>
      </c>
      <c r="H909" s="92" t="inlineStr">
        <is>
          <t>10 EVIDENCE &amp; DECISIONS</t>
        </is>
      </c>
    </row>
    <row r="910" ht="34" customHeight="1">
      <c r="A910" s="34" t="inlineStr">
        <is>
          <t>R599-v1</t>
        </is>
      </c>
      <c r="B910" s="34" t="inlineStr">
        <is>
          <t>Contractor Programme</t>
        </is>
      </c>
      <c r="C910" s="34" t="inlineStr">
        <is>
          <t>SCH-04-059</t>
        </is>
      </c>
      <c r="D910" s="34" t="inlineStr">
        <is>
          <t>1.4.1 Vehicles and Depot - Fleet Supply</t>
        </is>
      </c>
      <c r="E910" s="34" t="inlineStr">
        <is>
          <t>New</t>
        </is>
      </c>
      <c r="F910" s="14" t="inlineStr"/>
      <c r="G910" s="34" t="inlineStr">
        <is>
          <t>Source assignment -- not individually reviewed</t>
        </is>
      </c>
      <c r="H910" s="92" t="inlineStr">
        <is>
          <t>10 EVIDENCE &amp; DECISIONS</t>
        </is>
      </c>
    </row>
    <row r="911" ht="34" customHeight="1">
      <c r="A911" s="34" t="inlineStr">
        <is>
          <t>R601-v1</t>
        </is>
      </c>
      <c r="B911" s="34" t="inlineStr">
        <is>
          <t>Contractor Programme</t>
        </is>
      </c>
      <c r="C911" s="34" t="inlineStr">
        <is>
          <t>SCH-04-061</t>
        </is>
      </c>
      <c r="D911" s="34" t="inlineStr">
        <is>
          <t>1.4.1 Vehicles and Depot - Fleet Supply</t>
        </is>
      </c>
      <c r="E911" s="34" t="inlineStr">
        <is>
          <t>New</t>
        </is>
      </c>
      <c r="F911" s="14" t="inlineStr"/>
      <c r="G911" s="34" t="inlineStr">
        <is>
          <t>Source assignment -- not individually reviewed</t>
        </is>
      </c>
      <c r="H911" s="92" t="inlineStr">
        <is>
          <t>10 EVIDENCE &amp; DECISIONS</t>
        </is>
      </c>
    </row>
    <row r="912" ht="34" customHeight="1">
      <c r="A912" s="34" t="inlineStr">
        <is>
          <t>R602-v1</t>
        </is>
      </c>
      <c r="B912" s="34" t="inlineStr">
        <is>
          <t>Contractor Programme</t>
        </is>
      </c>
      <c r="C912" s="34" t="inlineStr">
        <is>
          <t>SCH-04-062</t>
        </is>
      </c>
      <c r="D912" s="34" t="inlineStr">
        <is>
          <t>1.4.1 Vehicles and Depot - Fleet Supply</t>
        </is>
      </c>
      <c r="E912" s="34" t="inlineStr">
        <is>
          <t>New</t>
        </is>
      </c>
      <c r="F912" s="14" t="inlineStr"/>
      <c r="G912" s="34" t="inlineStr">
        <is>
          <t>Source assignment -- not individually reviewed</t>
        </is>
      </c>
      <c r="H912" s="92" t="inlineStr">
        <is>
          <t>10 EVIDENCE &amp; DECISIONS</t>
        </is>
      </c>
    </row>
    <row r="913" ht="34" customHeight="1">
      <c r="A913" s="34" t="inlineStr">
        <is>
          <t>R604-v1</t>
        </is>
      </c>
      <c r="B913" s="34" t="inlineStr">
        <is>
          <t>Contractor Programme</t>
        </is>
      </c>
      <c r="C913" s="34" t="inlineStr">
        <is>
          <t>SCH-04-064</t>
        </is>
      </c>
      <c r="D913" s="34" t="inlineStr">
        <is>
          <t>1.4.1 Vehicles and Depot - Fleet Supply</t>
        </is>
      </c>
      <c r="E913" s="34" t="inlineStr">
        <is>
          <t>New</t>
        </is>
      </c>
      <c r="F913" s="14" t="inlineStr"/>
      <c r="G913" s="34" t="inlineStr">
        <is>
          <t>Source assignment -- not individually reviewed</t>
        </is>
      </c>
      <c r="H913" s="92" t="inlineStr">
        <is>
          <t>10 EVIDENCE &amp; DECISIONS</t>
        </is>
      </c>
    </row>
    <row r="914" ht="34" customHeight="1">
      <c r="A914" s="34" t="inlineStr">
        <is>
          <t>R605-v1</t>
        </is>
      </c>
      <c r="B914" s="34" t="inlineStr">
        <is>
          <t>Contractor Programme</t>
        </is>
      </c>
      <c r="C914" s="34" t="inlineStr">
        <is>
          <t>SCH-04-065</t>
        </is>
      </c>
      <c r="D914" s="34" t="inlineStr">
        <is>
          <t>1.4.1 Vehicles and Depot - Fleet Supply</t>
        </is>
      </c>
      <c r="E914" s="34" t="inlineStr">
        <is>
          <t>New</t>
        </is>
      </c>
      <c r="F914" s="14" t="inlineStr"/>
      <c r="G914" s="34" t="inlineStr">
        <is>
          <t>Source assignment -- not individually reviewed</t>
        </is>
      </c>
      <c r="H914" s="92" t="inlineStr">
        <is>
          <t>10 EVIDENCE &amp; DECISIONS</t>
        </is>
      </c>
    </row>
    <row r="915" ht="34" customHeight="1">
      <c r="A915" s="34" t="inlineStr">
        <is>
          <t>R607-v1</t>
        </is>
      </c>
      <c r="B915" s="34" t="inlineStr">
        <is>
          <t>Contractor Programme</t>
        </is>
      </c>
      <c r="C915" s="34" t="inlineStr">
        <is>
          <t>SCH-04-067</t>
        </is>
      </c>
      <c r="D915" s="34" t="inlineStr">
        <is>
          <t>1.4.1 Vehicles and Depot - Fleet Supply</t>
        </is>
      </c>
      <c r="E915" s="34" t="inlineStr">
        <is>
          <t>New</t>
        </is>
      </c>
      <c r="F915" s="14" t="inlineStr"/>
      <c r="G915" s="34" t="inlineStr">
        <is>
          <t>Source assignment -- not individually reviewed</t>
        </is>
      </c>
      <c r="H915" s="92" t="inlineStr">
        <is>
          <t>10 EVIDENCE &amp; DECISIONS</t>
        </is>
      </c>
    </row>
    <row r="916" ht="34" customHeight="1">
      <c r="A916" s="34" t="inlineStr">
        <is>
          <t>R608-v1</t>
        </is>
      </c>
      <c r="B916" s="34" t="inlineStr">
        <is>
          <t>Contractor Programme</t>
        </is>
      </c>
      <c r="C916" s="34" t="inlineStr">
        <is>
          <t>SCH-04-068</t>
        </is>
      </c>
      <c r="D916" s="34" t="inlineStr">
        <is>
          <t>1.4.1 Vehicles and Depot - Fleet Supply</t>
        </is>
      </c>
      <c r="E916" s="34" t="inlineStr">
        <is>
          <t>New</t>
        </is>
      </c>
      <c r="F916" s="14" t="inlineStr"/>
      <c r="G916" s="34" t="inlineStr">
        <is>
          <t>Source assignment -- not individually reviewed</t>
        </is>
      </c>
      <c r="H916" s="92" t="inlineStr">
        <is>
          <t>10 EVIDENCE &amp; DECISIONS</t>
        </is>
      </c>
    </row>
    <row r="917" ht="34" customHeight="1">
      <c r="A917" s="34" t="inlineStr">
        <is>
          <t>R610-v1</t>
        </is>
      </c>
      <c r="B917" s="34" t="inlineStr">
        <is>
          <t>Contractor Programme</t>
        </is>
      </c>
      <c r="C917" s="34" t="inlineStr">
        <is>
          <t>SCH-04-070</t>
        </is>
      </c>
      <c r="D917" s="34" t="inlineStr">
        <is>
          <t>1.4.1 Vehicles and Depot - Fleet Supply</t>
        </is>
      </c>
      <c r="E917" s="34" t="inlineStr">
        <is>
          <t>New</t>
        </is>
      </c>
      <c r="F917" s="14" t="inlineStr"/>
      <c r="G917" s="34" t="inlineStr">
        <is>
          <t>Source assignment -- not individually reviewed</t>
        </is>
      </c>
      <c r="H917" s="92" t="inlineStr">
        <is>
          <t>10 EVIDENCE &amp; DECISIONS</t>
        </is>
      </c>
    </row>
    <row r="918" ht="34" customHeight="1">
      <c r="A918" s="34" t="inlineStr">
        <is>
          <t>R611-v1</t>
        </is>
      </c>
      <c r="B918" s="34" t="inlineStr">
        <is>
          <t>Contractor Programme</t>
        </is>
      </c>
      <c r="C918" s="34" t="inlineStr">
        <is>
          <t>SCH-04-071</t>
        </is>
      </c>
      <c r="D918" s="34" t="inlineStr">
        <is>
          <t>1.4.1 Vehicles and Depot - Fleet Supply</t>
        </is>
      </c>
      <c r="E918" s="34" t="inlineStr">
        <is>
          <t>New</t>
        </is>
      </c>
      <c r="F918" s="14" t="inlineStr"/>
      <c r="G918" s="34" t="inlineStr">
        <is>
          <t>Source assignment -- not individually reviewed</t>
        </is>
      </c>
      <c r="H918" s="92" t="inlineStr">
        <is>
          <t>10 EVIDENCE &amp; DECISIONS</t>
        </is>
      </c>
    </row>
    <row r="919" ht="34" customHeight="1">
      <c r="A919" s="34" t="inlineStr">
        <is>
          <t>R613-v1</t>
        </is>
      </c>
      <c r="B919" s="34" t="inlineStr">
        <is>
          <t>Contractor Programme</t>
        </is>
      </c>
      <c r="C919" s="34" t="inlineStr">
        <is>
          <t>SCH-04-073</t>
        </is>
      </c>
      <c r="D919" s="34" t="inlineStr">
        <is>
          <t>1.4.1 Vehicles and Depot - Fleet Supply</t>
        </is>
      </c>
      <c r="E919" s="34" t="inlineStr">
        <is>
          <t>New</t>
        </is>
      </c>
      <c r="F919" s="14" t="inlineStr"/>
      <c r="G919" s="34" t="inlineStr">
        <is>
          <t>Source assignment -- not individually reviewed</t>
        </is>
      </c>
      <c r="H919" s="92" t="inlineStr">
        <is>
          <t>10 EVIDENCE &amp; DECISIONS</t>
        </is>
      </c>
    </row>
    <row r="920" ht="34" customHeight="1">
      <c r="A920" s="34" t="inlineStr">
        <is>
          <t>R614-v1</t>
        </is>
      </c>
      <c r="B920" s="34" t="inlineStr">
        <is>
          <t>Contractor Programme</t>
        </is>
      </c>
      <c r="C920" s="34" t="inlineStr">
        <is>
          <t>SCH-04-074</t>
        </is>
      </c>
      <c r="D920" s="34" t="inlineStr">
        <is>
          <t>1.4.1 Vehicles and Depot - Fleet Supply</t>
        </is>
      </c>
      <c r="E920" s="34" t="inlineStr">
        <is>
          <t>New</t>
        </is>
      </c>
      <c r="F920" s="14" t="inlineStr"/>
      <c r="G920" s="34" t="inlineStr">
        <is>
          <t>Source assignment -- not individually reviewed</t>
        </is>
      </c>
      <c r="H920" s="92" t="inlineStr">
        <is>
          <t>10 EVIDENCE &amp; DECISIONS</t>
        </is>
      </c>
    </row>
    <row r="921" ht="34" customHeight="1">
      <c r="A921" s="34" t="inlineStr">
        <is>
          <t>R616-v1</t>
        </is>
      </c>
      <c r="B921" s="34" t="inlineStr">
        <is>
          <t>Contractor Programme</t>
        </is>
      </c>
      <c r="C921" s="34" t="inlineStr">
        <is>
          <t>SCH-04-076</t>
        </is>
      </c>
      <c r="D921" s="34" t="inlineStr">
        <is>
          <t>1.4.1 Vehicles and Depot - Fleet Supply</t>
        </is>
      </c>
      <c r="E921" s="34" t="inlineStr">
        <is>
          <t>New</t>
        </is>
      </c>
      <c r="F921" s="14" t="inlineStr"/>
      <c r="G921" s="34" t="inlineStr">
        <is>
          <t>Source assignment -- not individually reviewed</t>
        </is>
      </c>
      <c r="H921" s="92" t="inlineStr">
        <is>
          <t>10 EVIDENCE &amp; DECISIONS</t>
        </is>
      </c>
    </row>
    <row r="922" ht="34" customHeight="1">
      <c r="A922" s="34" t="inlineStr">
        <is>
          <t>R617-v1</t>
        </is>
      </c>
      <c r="B922" s="34" t="inlineStr">
        <is>
          <t>Contractor Programme</t>
        </is>
      </c>
      <c r="C922" s="34" t="inlineStr">
        <is>
          <t>SCH-04-077</t>
        </is>
      </c>
      <c r="D922" s="34" t="inlineStr">
        <is>
          <t>1.4.1 Vehicles and Depot - Fleet Supply</t>
        </is>
      </c>
      <c r="E922" s="34" t="inlineStr">
        <is>
          <t>New</t>
        </is>
      </c>
      <c r="F922" s="14" t="inlineStr"/>
      <c r="G922" s="34" t="inlineStr">
        <is>
          <t>Source assignment -- not individually reviewed</t>
        </is>
      </c>
      <c r="H922" s="92" t="inlineStr">
        <is>
          <t>10 EVIDENCE &amp; DECISIONS</t>
        </is>
      </c>
    </row>
    <row r="923" ht="34" customHeight="1">
      <c r="A923" s="34" t="inlineStr">
        <is>
          <t>R619-v1</t>
        </is>
      </c>
      <c r="B923" s="34" t="inlineStr">
        <is>
          <t>Contractor Programme</t>
        </is>
      </c>
      <c r="C923" s="34" t="inlineStr">
        <is>
          <t>SCH-04-079</t>
        </is>
      </c>
      <c r="D923" s="34" t="inlineStr">
        <is>
          <t>1.4.1 Vehicles and Depot - Fleet Supply</t>
        </is>
      </c>
      <c r="E923" s="34" t="inlineStr">
        <is>
          <t>New</t>
        </is>
      </c>
      <c r="F923" s="14" t="inlineStr"/>
      <c r="G923" s="34" t="inlineStr">
        <is>
          <t>Source assignment -- not individually reviewed</t>
        </is>
      </c>
      <c r="H923" s="92" t="inlineStr">
        <is>
          <t>10 EVIDENCE &amp; DECISIONS</t>
        </is>
      </c>
    </row>
    <row r="924" ht="34" customHeight="1">
      <c r="A924" s="34" t="inlineStr">
        <is>
          <t>R620-v1</t>
        </is>
      </c>
      <c r="B924" s="34" t="inlineStr">
        <is>
          <t>Contractor Programme</t>
        </is>
      </c>
      <c r="C924" s="34" t="inlineStr">
        <is>
          <t>SCH-04-080</t>
        </is>
      </c>
      <c r="D924" s="34" t="inlineStr">
        <is>
          <t>1.4.1 Vehicles and Depot - Fleet Supply</t>
        </is>
      </c>
      <c r="E924" s="34" t="inlineStr">
        <is>
          <t>New</t>
        </is>
      </c>
      <c r="F924" s="14" t="inlineStr"/>
      <c r="G924" s="34" t="inlineStr">
        <is>
          <t>Source assignment -- not individually reviewed</t>
        </is>
      </c>
      <c r="H924" s="92" t="inlineStr">
        <is>
          <t>10 EVIDENCE &amp; DECISIONS</t>
        </is>
      </c>
    </row>
    <row r="925" ht="34" customHeight="1">
      <c r="A925" s="34" t="inlineStr">
        <is>
          <t>R622-v1</t>
        </is>
      </c>
      <c r="B925" s="34" t="inlineStr">
        <is>
          <t>Contractor Programme</t>
        </is>
      </c>
      <c r="C925" s="34" t="inlineStr">
        <is>
          <t>SCH-04-082</t>
        </is>
      </c>
      <c r="D925" s="34" t="inlineStr">
        <is>
          <t>1.4.1 Vehicles and Depot - Fleet Supply</t>
        </is>
      </c>
      <c r="E925" s="34" t="inlineStr">
        <is>
          <t>New</t>
        </is>
      </c>
      <c r="F925" s="14" t="inlineStr"/>
      <c r="G925" s="34" t="inlineStr">
        <is>
          <t>Source assignment -- not individually reviewed</t>
        </is>
      </c>
      <c r="H925" s="92" t="inlineStr">
        <is>
          <t>10 EVIDENCE &amp; DECISIONS</t>
        </is>
      </c>
    </row>
    <row r="926" ht="34" customHeight="1">
      <c r="A926" s="34" t="inlineStr">
        <is>
          <t>R623-v1</t>
        </is>
      </c>
      <c r="B926" s="34" t="inlineStr">
        <is>
          <t>Contractor Programme</t>
        </is>
      </c>
      <c r="C926" s="34" t="inlineStr">
        <is>
          <t>SCH-04-083</t>
        </is>
      </c>
      <c r="D926" s="34" t="inlineStr">
        <is>
          <t>1.4.1 Vehicles and Depot - Fleet Supply</t>
        </is>
      </c>
      <c r="E926" s="34" t="inlineStr">
        <is>
          <t>New</t>
        </is>
      </c>
      <c r="F926" s="14" t="inlineStr"/>
      <c r="G926" s="34" t="inlineStr">
        <is>
          <t>Source assignment -- not individually reviewed</t>
        </is>
      </c>
      <c r="H926" s="92" t="inlineStr">
        <is>
          <t>10 EVIDENCE &amp; DECISIONS</t>
        </is>
      </c>
    </row>
    <row r="927" ht="34" customHeight="1">
      <c r="A927" s="34" t="inlineStr">
        <is>
          <t>R625-v1</t>
        </is>
      </c>
      <c r="B927" s="34" t="inlineStr">
        <is>
          <t>Contractor Programme</t>
        </is>
      </c>
      <c r="C927" s="34" t="inlineStr">
        <is>
          <t>SCH-04-085</t>
        </is>
      </c>
      <c r="D927" s="34" t="inlineStr">
        <is>
          <t>1.4.1 Vehicles and Depot - Fleet Supply</t>
        </is>
      </c>
      <c r="E927" s="34" t="inlineStr">
        <is>
          <t>New</t>
        </is>
      </c>
      <c r="F927" s="14" t="inlineStr"/>
      <c r="G927" s="34" t="inlineStr">
        <is>
          <t>Source assignment -- not individually reviewed</t>
        </is>
      </c>
      <c r="H927" s="92" t="inlineStr">
        <is>
          <t>10 EVIDENCE &amp; DECISIONS</t>
        </is>
      </c>
    </row>
    <row r="928" ht="34" customHeight="1">
      <c r="A928" s="34" t="inlineStr">
        <is>
          <t>R626-v1</t>
        </is>
      </c>
      <c r="B928" s="34" t="inlineStr">
        <is>
          <t>Contractor Programme</t>
        </is>
      </c>
      <c r="C928" s="34" t="inlineStr">
        <is>
          <t>SCH-04-086</t>
        </is>
      </c>
      <c r="D928" s="34" t="inlineStr">
        <is>
          <t>1.4.1 Vehicles and Depot - Fleet Supply</t>
        </is>
      </c>
      <c r="E928" s="34" t="inlineStr">
        <is>
          <t>New</t>
        </is>
      </c>
      <c r="F928" s="14" t="inlineStr"/>
      <c r="G928" s="34" t="inlineStr">
        <is>
          <t>Source assignment -- not individually reviewed</t>
        </is>
      </c>
      <c r="H928" s="92" t="inlineStr">
        <is>
          <t>10 EVIDENCE &amp; DECISIONS</t>
        </is>
      </c>
    </row>
    <row r="929" ht="34" customHeight="1">
      <c r="A929" s="34" t="inlineStr">
        <is>
          <t>R628-v1</t>
        </is>
      </c>
      <c r="B929" s="34" t="inlineStr">
        <is>
          <t>Contractor Programme</t>
        </is>
      </c>
      <c r="C929" s="34" t="inlineStr">
        <is>
          <t>SCH-04-088</t>
        </is>
      </c>
      <c r="D929" s="34" t="inlineStr">
        <is>
          <t>1.4.1 Vehicles and Depot - Fleet Supply</t>
        </is>
      </c>
      <c r="E929" s="34" t="inlineStr">
        <is>
          <t>New</t>
        </is>
      </c>
      <c r="F929" s="14" t="inlineStr"/>
      <c r="G929" s="34" t="inlineStr">
        <is>
          <t>Source assignment -- not individually reviewed</t>
        </is>
      </c>
      <c r="H929" s="92" t="inlineStr">
        <is>
          <t>10 EVIDENCE &amp; DECISIONS</t>
        </is>
      </c>
    </row>
    <row r="930" ht="34" customHeight="1">
      <c r="A930" s="34" t="inlineStr">
        <is>
          <t>R629-v1</t>
        </is>
      </c>
      <c r="B930" s="34" t="inlineStr">
        <is>
          <t>Contractor Programme</t>
        </is>
      </c>
      <c r="C930" s="34" t="inlineStr">
        <is>
          <t>SCH-04-089</t>
        </is>
      </c>
      <c r="D930" s="34" t="inlineStr">
        <is>
          <t>1.4.1 Vehicles and Depot - Fleet Supply</t>
        </is>
      </c>
      <c r="E930" s="34" t="inlineStr">
        <is>
          <t>New</t>
        </is>
      </c>
      <c r="F930" s="14" t="inlineStr"/>
      <c r="G930" s="34" t="inlineStr">
        <is>
          <t>Source assignment -- not individually reviewed</t>
        </is>
      </c>
      <c r="H930" s="92" t="inlineStr">
        <is>
          <t>10 EVIDENCE &amp; DECISIONS</t>
        </is>
      </c>
    </row>
    <row r="931" ht="34" customHeight="1">
      <c r="A931" s="34" t="inlineStr">
        <is>
          <t>R631-v1</t>
        </is>
      </c>
      <c r="B931" s="34" t="inlineStr">
        <is>
          <t>Contractor Programme</t>
        </is>
      </c>
      <c r="C931" s="34" t="inlineStr">
        <is>
          <t>SCH-04-091</t>
        </is>
      </c>
      <c r="D931" s="34" t="inlineStr">
        <is>
          <t>1.4.1 Vehicles and Depot - Fleet Supply</t>
        </is>
      </c>
      <c r="E931" s="34" t="inlineStr">
        <is>
          <t>New</t>
        </is>
      </c>
      <c r="F931" s="14" t="inlineStr"/>
      <c r="G931" s="34" t="inlineStr">
        <is>
          <t>Source assignment -- not individually reviewed</t>
        </is>
      </c>
      <c r="H931" s="92" t="inlineStr">
        <is>
          <t>10 EVIDENCE &amp; DECISIONS</t>
        </is>
      </c>
    </row>
    <row r="932" ht="34" customHeight="1">
      <c r="A932" s="34" t="inlineStr">
        <is>
          <t>R632-v1</t>
        </is>
      </c>
      <c r="B932" s="34" t="inlineStr">
        <is>
          <t>Contractor Programme</t>
        </is>
      </c>
      <c r="C932" s="34" t="inlineStr">
        <is>
          <t>SCH-04-092</t>
        </is>
      </c>
      <c r="D932" s="34" t="inlineStr">
        <is>
          <t>1.4.1 Vehicles and Depot - Fleet Supply</t>
        </is>
      </c>
      <c r="E932" s="34" t="inlineStr">
        <is>
          <t>New</t>
        </is>
      </c>
      <c r="F932" s="14" t="inlineStr"/>
      <c r="G932" s="34" t="inlineStr">
        <is>
          <t>Source assignment -- not individually reviewed</t>
        </is>
      </c>
      <c r="H932" s="92" t="inlineStr">
        <is>
          <t>10 EVIDENCE &amp; DECISIONS</t>
        </is>
      </c>
    </row>
    <row r="933" ht="34" customHeight="1">
      <c r="A933" s="34" t="inlineStr">
        <is>
          <t>R634-v1</t>
        </is>
      </c>
      <c r="B933" s="34" t="inlineStr">
        <is>
          <t>Contractor Programme</t>
        </is>
      </c>
      <c r="C933" s="34" t="inlineStr">
        <is>
          <t>SCH-04-094</t>
        </is>
      </c>
      <c r="D933" s="34" t="inlineStr">
        <is>
          <t>1.4.1 Vehicles and Depot - Fleet Supply</t>
        </is>
      </c>
      <c r="E933" s="34" t="inlineStr">
        <is>
          <t>New</t>
        </is>
      </c>
      <c r="F933" s="14" t="inlineStr"/>
      <c r="G933" s="34" t="inlineStr">
        <is>
          <t>Source assignment -- not individually reviewed</t>
        </is>
      </c>
      <c r="H933" s="92" t="inlineStr">
        <is>
          <t>10 EVIDENCE &amp; DECISIONS</t>
        </is>
      </c>
    </row>
    <row r="934" ht="34" customHeight="1">
      <c r="A934" s="34" t="inlineStr">
        <is>
          <t>R635-v1</t>
        </is>
      </c>
      <c r="B934" s="34" t="inlineStr">
        <is>
          <t>Contractor Programme</t>
        </is>
      </c>
      <c r="C934" s="34" t="inlineStr">
        <is>
          <t>SCH-04-095</t>
        </is>
      </c>
      <c r="D934" s="34" t="inlineStr">
        <is>
          <t>1.4.1 Vehicles and Depot - Fleet Supply</t>
        </is>
      </c>
      <c r="E934" s="34" t="inlineStr">
        <is>
          <t>New</t>
        </is>
      </c>
      <c r="F934" s="14" t="inlineStr"/>
      <c r="G934" s="34" t="inlineStr">
        <is>
          <t>Source assignment -- not individually reviewed</t>
        </is>
      </c>
      <c r="H934" s="92" t="inlineStr">
        <is>
          <t>10 EVIDENCE &amp; DECISIONS</t>
        </is>
      </c>
    </row>
    <row r="935" ht="34" customHeight="1">
      <c r="A935" s="34" t="inlineStr">
        <is>
          <t>R637-v1</t>
        </is>
      </c>
      <c r="B935" s="34" t="inlineStr">
        <is>
          <t>Contractor Programme</t>
        </is>
      </c>
      <c r="C935" s="34" t="inlineStr">
        <is>
          <t>SCH-04-097</t>
        </is>
      </c>
      <c r="D935" s="34" t="inlineStr">
        <is>
          <t>1.4.1 Vehicles and Depot - Fleet Supply</t>
        </is>
      </c>
      <c r="E935" s="34" t="inlineStr">
        <is>
          <t>New</t>
        </is>
      </c>
      <c r="F935" s="14" t="inlineStr"/>
      <c r="G935" s="34" t="inlineStr">
        <is>
          <t>Source assignment -- not individually reviewed</t>
        </is>
      </c>
      <c r="H935" s="92" t="inlineStr">
        <is>
          <t>10 EVIDENCE &amp; DECISIONS</t>
        </is>
      </c>
    </row>
    <row r="936" ht="34" customHeight="1">
      <c r="A936" s="34" t="inlineStr">
        <is>
          <t>R638-v1</t>
        </is>
      </c>
      <c r="B936" s="34" t="inlineStr">
        <is>
          <t>Contractor Programme</t>
        </is>
      </c>
      <c r="C936" s="34" t="inlineStr">
        <is>
          <t>SCH-04-098</t>
        </is>
      </c>
      <c r="D936" s="34" t="inlineStr">
        <is>
          <t>1.4.1 Vehicles and Depot - Fleet Supply</t>
        </is>
      </c>
      <c r="E936" s="34" t="inlineStr">
        <is>
          <t>New</t>
        </is>
      </c>
      <c r="F936" s="14" t="inlineStr"/>
      <c r="G936" s="34" t="inlineStr">
        <is>
          <t>Source assignment -- not individually reviewed</t>
        </is>
      </c>
      <c r="H936" s="92" t="inlineStr">
        <is>
          <t>10 EVIDENCE &amp; DECISIONS</t>
        </is>
      </c>
    </row>
    <row r="937" ht="34" customHeight="1">
      <c r="A937" s="34" t="inlineStr">
        <is>
          <t>R640-v1</t>
        </is>
      </c>
      <c r="B937" s="34" t="inlineStr">
        <is>
          <t>Contractor Programme</t>
        </is>
      </c>
      <c r="C937" s="34" t="inlineStr">
        <is>
          <t>SCH-04-100</t>
        </is>
      </c>
      <c r="D937" s="34" t="inlineStr">
        <is>
          <t>1.4.1 Vehicles and Depot - Fleet Supply</t>
        </is>
      </c>
      <c r="E937" s="34" t="inlineStr">
        <is>
          <t>New</t>
        </is>
      </c>
      <c r="F937" s="14" t="inlineStr"/>
      <c r="G937" s="34" t="inlineStr">
        <is>
          <t>Source assignment -- not individually reviewed</t>
        </is>
      </c>
      <c r="H937" s="92" t="inlineStr">
        <is>
          <t>10 EVIDENCE &amp; DECISIONS</t>
        </is>
      </c>
    </row>
    <row r="938" ht="34" customHeight="1">
      <c r="A938" s="34" t="inlineStr">
        <is>
          <t>R641-v1</t>
        </is>
      </c>
      <c r="B938" s="34" t="inlineStr">
        <is>
          <t>Contractor Programme</t>
        </is>
      </c>
      <c r="C938" s="34" t="inlineStr">
        <is>
          <t>SCH-04-101</t>
        </is>
      </c>
      <c r="D938" s="34" t="inlineStr">
        <is>
          <t>1.4.1 Vehicles and Depot - Fleet Supply</t>
        </is>
      </c>
      <c r="E938" s="34" t="inlineStr">
        <is>
          <t>New</t>
        </is>
      </c>
      <c r="F938" s="14" t="inlineStr"/>
      <c r="G938" s="34" t="inlineStr">
        <is>
          <t>Source assignment -- not individually reviewed</t>
        </is>
      </c>
      <c r="H938" s="92" t="inlineStr">
        <is>
          <t>10 EVIDENCE &amp; DECISIONS</t>
        </is>
      </c>
    </row>
    <row r="939" ht="34" customHeight="1">
      <c r="A939" s="34" t="inlineStr">
        <is>
          <t>R643-v1</t>
        </is>
      </c>
      <c r="B939" s="34" t="inlineStr">
        <is>
          <t>Contractor Programme</t>
        </is>
      </c>
      <c r="C939" s="34" t="inlineStr">
        <is>
          <t>SCH-04-103</t>
        </is>
      </c>
      <c r="D939" s="34" t="inlineStr">
        <is>
          <t>1.4.1 Vehicles and Depot - Fleet Supply</t>
        </is>
      </c>
      <c r="E939" s="34" t="inlineStr">
        <is>
          <t>New</t>
        </is>
      </c>
      <c r="F939" s="14" t="inlineStr"/>
      <c r="G939" s="34" t="inlineStr">
        <is>
          <t>Source assignment -- not individually reviewed</t>
        </is>
      </c>
      <c r="H939" s="92" t="inlineStr">
        <is>
          <t>10 EVIDENCE &amp; DECISIONS</t>
        </is>
      </c>
    </row>
    <row r="940" ht="34" customHeight="1">
      <c r="A940" s="34" t="inlineStr">
        <is>
          <t>R644-v1</t>
        </is>
      </c>
      <c r="B940" s="34" t="inlineStr">
        <is>
          <t>Contractor Programme</t>
        </is>
      </c>
      <c r="C940" s="34" t="inlineStr">
        <is>
          <t>SCH-04-104</t>
        </is>
      </c>
      <c r="D940" s="34" t="inlineStr">
        <is>
          <t>1.4.1 Vehicles and Depot - Fleet Supply</t>
        </is>
      </c>
      <c r="E940" s="34" t="inlineStr">
        <is>
          <t>New</t>
        </is>
      </c>
      <c r="F940" s="14" t="inlineStr"/>
      <c r="G940" s="34" t="inlineStr">
        <is>
          <t>Source assignment -- not individually reviewed</t>
        </is>
      </c>
      <c r="H940" s="92" t="inlineStr">
        <is>
          <t>10 EVIDENCE &amp; DECISIONS</t>
        </is>
      </c>
    </row>
    <row r="941" ht="34" customHeight="1">
      <c r="A941" s="34" t="inlineStr">
        <is>
          <t>R646-v1</t>
        </is>
      </c>
      <c r="B941" s="34" t="inlineStr">
        <is>
          <t>Contractor Programme</t>
        </is>
      </c>
      <c r="C941" s="34" t="inlineStr">
        <is>
          <t>SCH-04-106</t>
        </is>
      </c>
      <c r="D941" s="34" t="inlineStr">
        <is>
          <t>1.4.1 Vehicles and Depot - Fleet Supply</t>
        </is>
      </c>
      <c r="E941" s="34" t="inlineStr">
        <is>
          <t>New</t>
        </is>
      </c>
      <c r="F941" s="14" t="inlineStr"/>
      <c r="G941" s="34" t="inlineStr">
        <is>
          <t>Source assignment -- not individually reviewed</t>
        </is>
      </c>
      <c r="H941" s="92" t="inlineStr">
        <is>
          <t>10 EVIDENCE &amp; DECISIONS</t>
        </is>
      </c>
    </row>
    <row r="942" ht="34" customHeight="1">
      <c r="A942" s="34" t="inlineStr">
        <is>
          <t>R647-v1</t>
        </is>
      </c>
      <c r="B942" s="34" t="inlineStr">
        <is>
          <t>Contractor Programme</t>
        </is>
      </c>
      <c r="C942" s="34" t="inlineStr">
        <is>
          <t>SCH-04-107</t>
        </is>
      </c>
      <c r="D942" s="34" t="inlineStr">
        <is>
          <t>1.4.1 Vehicles and Depot - Fleet Supply</t>
        </is>
      </c>
      <c r="E942" s="34" t="inlineStr">
        <is>
          <t>New</t>
        </is>
      </c>
      <c r="F942" s="14" t="inlineStr"/>
      <c r="G942" s="34" t="inlineStr">
        <is>
          <t>Source assignment -- not individually reviewed</t>
        </is>
      </c>
      <c r="H942" s="92" t="inlineStr">
        <is>
          <t>10 EVIDENCE &amp; DECISIONS</t>
        </is>
      </c>
    </row>
    <row r="943" ht="34" customHeight="1">
      <c r="A943" s="34" t="inlineStr">
        <is>
          <t>R649-v1</t>
        </is>
      </c>
      <c r="B943" s="34" t="inlineStr">
        <is>
          <t>Contractor Programme</t>
        </is>
      </c>
      <c r="C943" s="34" t="inlineStr">
        <is>
          <t>SCH-04-109</t>
        </is>
      </c>
      <c r="D943" s="34" t="inlineStr">
        <is>
          <t>1.4.1 Vehicles and Depot - Fleet Supply</t>
        </is>
      </c>
      <c r="E943" s="34" t="inlineStr">
        <is>
          <t>New</t>
        </is>
      </c>
      <c r="F943" s="14" t="inlineStr"/>
      <c r="G943" s="34" t="inlineStr">
        <is>
          <t>Source assignment -- not individually reviewed</t>
        </is>
      </c>
      <c r="H943" s="92" t="inlineStr">
        <is>
          <t>10 EVIDENCE &amp; DECISIONS</t>
        </is>
      </c>
    </row>
    <row r="944" ht="34" customHeight="1">
      <c r="A944" s="34" t="inlineStr">
        <is>
          <t>R650-v1</t>
        </is>
      </c>
      <c r="B944" s="34" t="inlineStr">
        <is>
          <t>Contractor Programme</t>
        </is>
      </c>
      <c r="C944" s="34" t="inlineStr">
        <is>
          <t>SCH-04-110</t>
        </is>
      </c>
      <c r="D944" s="34" t="inlineStr">
        <is>
          <t>1.4.1 Vehicles and Depot - Fleet Supply</t>
        </is>
      </c>
      <c r="E944" s="34" t="inlineStr">
        <is>
          <t>New</t>
        </is>
      </c>
      <c r="F944" s="14" t="inlineStr"/>
      <c r="G944" s="34" t="inlineStr">
        <is>
          <t>Source assignment -- not individually reviewed</t>
        </is>
      </c>
      <c r="H944" s="92" t="inlineStr">
        <is>
          <t>10 EVIDENCE &amp; DECISIONS</t>
        </is>
      </c>
    </row>
    <row r="945" ht="34" customHeight="1">
      <c r="A945" s="34" t="inlineStr">
        <is>
          <t>R652-v1</t>
        </is>
      </c>
      <c r="B945" s="34" t="inlineStr">
        <is>
          <t>Contractor Programme</t>
        </is>
      </c>
      <c r="C945" s="34" t="inlineStr">
        <is>
          <t>SCH-04-112</t>
        </is>
      </c>
      <c r="D945" s="34" t="inlineStr">
        <is>
          <t>1.4.1 Vehicles and Depot - Fleet Supply</t>
        </is>
      </c>
      <c r="E945" s="34" t="inlineStr">
        <is>
          <t>New</t>
        </is>
      </c>
      <c r="F945" s="14" t="inlineStr"/>
      <c r="G945" s="34" t="inlineStr">
        <is>
          <t>Source assignment -- not individually reviewed</t>
        </is>
      </c>
      <c r="H945" s="92" t="inlineStr">
        <is>
          <t>10 EVIDENCE &amp; DECISIONS</t>
        </is>
      </c>
    </row>
    <row r="946" ht="34" customHeight="1">
      <c r="A946" s="34" t="inlineStr">
        <is>
          <t>R653-v1</t>
        </is>
      </c>
      <c r="B946" s="34" t="inlineStr">
        <is>
          <t>Contractor Programme</t>
        </is>
      </c>
      <c r="C946" s="34" t="inlineStr">
        <is>
          <t>SCH-04-113</t>
        </is>
      </c>
      <c r="D946" s="34" t="inlineStr">
        <is>
          <t>1.4.1 Vehicles and Depot - Fleet Supply</t>
        </is>
      </c>
      <c r="E946" s="34" t="inlineStr">
        <is>
          <t>New</t>
        </is>
      </c>
      <c r="F946" s="14" t="inlineStr"/>
      <c r="G946" s="34" t="inlineStr">
        <is>
          <t>Source assignment -- not individually reviewed</t>
        </is>
      </c>
      <c r="H946" s="92" t="inlineStr">
        <is>
          <t>10 EVIDENCE &amp; DECISIONS</t>
        </is>
      </c>
    </row>
    <row r="947" ht="34" customHeight="1">
      <c r="A947" s="34" t="inlineStr">
        <is>
          <t>R655-v1</t>
        </is>
      </c>
      <c r="B947" s="34" t="inlineStr">
        <is>
          <t>Contractor Programme</t>
        </is>
      </c>
      <c r="C947" s="34" t="inlineStr">
        <is>
          <t>SCH-04-115</t>
        </is>
      </c>
      <c r="D947" s="34" t="inlineStr">
        <is>
          <t>1.4.1 Vehicles and Depot - Fleet Supply</t>
        </is>
      </c>
      <c r="E947" s="34" t="inlineStr">
        <is>
          <t>New</t>
        </is>
      </c>
      <c r="F947" s="14" t="inlineStr"/>
      <c r="G947" s="34" t="inlineStr">
        <is>
          <t>Source assignment -- not individually reviewed</t>
        </is>
      </c>
      <c r="H947" s="92" t="inlineStr">
        <is>
          <t>10 EVIDENCE &amp; DECISIONS</t>
        </is>
      </c>
    </row>
    <row r="948" ht="34" customHeight="1">
      <c r="A948" s="34" t="inlineStr">
        <is>
          <t>R656-v1</t>
        </is>
      </c>
      <c r="B948" s="34" t="inlineStr">
        <is>
          <t>Contractor Programme</t>
        </is>
      </c>
      <c r="C948" s="34" t="inlineStr">
        <is>
          <t>SCH-04-116</t>
        </is>
      </c>
      <c r="D948" s="34" t="inlineStr">
        <is>
          <t>1.4.1 Vehicles and Depot - Fleet Supply</t>
        </is>
      </c>
      <c r="E948" s="34" t="inlineStr">
        <is>
          <t>New</t>
        </is>
      </c>
      <c r="F948" s="14" t="inlineStr"/>
      <c r="G948" s="34" t="inlineStr">
        <is>
          <t>Source assignment -- not individually reviewed</t>
        </is>
      </c>
      <c r="H948" s="92" t="inlineStr">
        <is>
          <t>10 EVIDENCE &amp; DECISIONS</t>
        </is>
      </c>
    </row>
    <row r="949" ht="34" customHeight="1">
      <c r="A949" s="34" t="inlineStr">
        <is>
          <t>R658-v1</t>
        </is>
      </c>
      <c r="B949" s="34" t="inlineStr">
        <is>
          <t>Contractor Programme</t>
        </is>
      </c>
      <c r="C949" s="34" t="inlineStr">
        <is>
          <t>SCH-04-118</t>
        </is>
      </c>
      <c r="D949" s="34" t="inlineStr">
        <is>
          <t>1.4.1 Vehicles and Depot - Fleet Supply</t>
        </is>
      </c>
      <c r="E949" s="34" t="inlineStr">
        <is>
          <t>New</t>
        </is>
      </c>
      <c r="F949" s="14" t="inlineStr"/>
      <c r="G949" s="34" t="inlineStr">
        <is>
          <t>Source assignment -- not individually reviewed</t>
        </is>
      </c>
      <c r="H949" s="92" t="inlineStr">
        <is>
          <t>10 EVIDENCE &amp; DECISIONS</t>
        </is>
      </c>
    </row>
    <row r="950" ht="34" customHeight="1">
      <c r="A950" s="34" t="inlineStr">
        <is>
          <t>R659-v1</t>
        </is>
      </c>
      <c r="B950" s="34" t="inlineStr">
        <is>
          <t>Contractor Programme</t>
        </is>
      </c>
      <c r="C950" s="34" t="inlineStr">
        <is>
          <t>SCH-04-119</t>
        </is>
      </c>
      <c r="D950" s="34" t="inlineStr">
        <is>
          <t>1.4.1 Vehicles and Depot - Fleet Supply</t>
        </is>
      </c>
      <c r="E950" s="34" t="inlineStr">
        <is>
          <t>New</t>
        </is>
      </c>
      <c r="F950" s="14" t="inlineStr"/>
      <c r="G950" s="34" t="inlineStr">
        <is>
          <t>Source assignment -- not individually reviewed</t>
        </is>
      </c>
      <c r="H950" s="92" t="inlineStr">
        <is>
          <t>10 EVIDENCE &amp; DECISIONS</t>
        </is>
      </c>
    </row>
    <row r="951" ht="34" customHeight="1">
      <c r="A951" s="34" t="inlineStr">
        <is>
          <t>R661-v1</t>
        </is>
      </c>
      <c r="B951" s="34" t="inlineStr">
        <is>
          <t>Contractor Programme</t>
        </is>
      </c>
      <c r="C951" s="34" t="inlineStr">
        <is>
          <t>SCH-04-121</t>
        </is>
      </c>
      <c r="D951" s="34" t="inlineStr">
        <is>
          <t>1.4.1 Vehicles and Depot - Fleet Supply</t>
        </is>
      </c>
      <c r="E951" s="34" t="inlineStr">
        <is>
          <t>New</t>
        </is>
      </c>
      <c r="F951" s="14" t="inlineStr"/>
      <c r="G951" s="34" t="inlineStr">
        <is>
          <t>Source assignment -- not individually reviewed</t>
        </is>
      </c>
      <c r="H951" s="92" t="inlineStr">
        <is>
          <t>10 EVIDENCE &amp; DECISIONS</t>
        </is>
      </c>
    </row>
    <row r="952" ht="34" customHeight="1">
      <c r="A952" s="34" t="inlineStr">
        <is>
          <t>R662-v1</t>
        </is>
      </c>
      <c r="B952" s="34" t="inlineStr">
        <is>
          <t>Contractor Programme</t>
        </is>
      </c>
      <c r="C952" s="34" t="inlineStr">
        <is>
          <t>SCH-04-122</t>
        </is>
      </c>
      <c r="D952" s="34" t="inlineStr">
        <is>
          <t>1.4.1 Vehicles and Depot - Fleet Supply</t>
        </is>
      </c>
      <c r="E952" s="34" t="inlineStr">
        <is>
          <t>New</t>
        </is>
      </c>
      <c r="F952" s="14" t="inlineStr"/>
      <c r="G952" s="34" t="inlineStr">
        <is>
          <t>Source assignment -- not individually reviewed</t>
        </is>
      </c>
      <c r="H952" s="92" t="inlineStr">
        <is>
          <t>10 EVIDENCE &amp; DECISIONS</t>
        </is>
      </c>
    </row>
    <row r="953" ht="34" customHeight="1">
      <c r="A953" s="34" t="inlineStr">
        <is>
          <t>R664-v1</t>
        </is>
      </c>
      <c r="B953" s="34" t="inlineStr">
        <is>
          <t>Contractor Programme</t>
        </is>
      </c>
      <c r="C953" s="34" t="inlineStr">
        <is>
          <t>SCH-04-124</t>
        </is>
      </c>
      <c r="D953" s="34" t="inlineStr">
        <is>
          <t>1.4.1 Vehicles and Depot - Fleet Supply</t>
        </is>
      </c>
      <c r="E953" s="34" t="inlineStr">
        <is>
          <t>New</t>
        </is>
      </c>
      <c r="F953" s="14" t="inlineStr"/>
      <c r="G953" s="34" t="inlineStr">
        <is>
          <t>Source assignment -- not individually reviewed</t>
        </is>
      </c>
      <c r="H953" s="92" t="inlineStr">
        <is>
          <t>10 EVIDENCE &amp; DECISIONS</t>
        </is>
      </c>
    </row>
    <row r="954" ht="34" customHeight="1">
      <c r="A954" s="34" t="inlineStr">
        <is>
          <t>R665-v1</t>
        </is>
      </c>
      <c r="B954" s="34" t="inlineStr">
        <is>
          <t>Contractor Programme</t>
        </is>
      </c>
      <c r="C954" s="34" t="inlineStr">
        <is>
          <t>SCH-04-125</t>
        </is>
      </c>
      <c r="D954" s="34" t="inlineStr">
        <is>
          <t>1.4.1 Vehicles and Depot - Fleet Supply</t>
        </is>
      </c>
      <c r="E954" s="34" t="inlineStr">
        <is>
          <t>New</t>
        </is>
      </c>
      <c r="F954" s="14" t="inlineStr"/>
      <c r="G954" s="34" t="inlineStr">
        <is>
          <t>Source assignment -- not individually reviewed</t>
        </is>
      </c>
      <c r="H954" s="92" t="inlineStr">
        <is>
          <t>10 EVIDENCE &amp; DECISIONS</t>
        </is>
      </c>
    </row>
    <row r="955" ht="34" customHeight="1">
      <c r="A955" s="34" t="inlineStr">
        <is>
          <t>R667-v1</t>
        </is>
      </c>
      <c r="B955" s="34" t="inlineStr">
        <is>
          <t>Contractor Programme</t>
        </is>
      </c>
      <c r="C955" s="34" t="inlineStr">
        <is>
          <t>SCH-04-127</t>
        </is>
      </c>
      <c r="D955" s="34" t="inlineStr">
        <is>
          <t>1.4.1 Vehicles and Depot - Fleet Supply</t>
        </is>
      </c>
      <c r="E955" s="34" t="inlineStr">
        <is>
          <t>New</t>
        </is>
      </c>
      <c r="F955" s="14" t="inlineStr"/>
      <c r="G955" s="34" t="inlineStr">
        <is>
          <t>Source assignment -- not individually reviewed</t>
        </is>
      </c>
      <c r="H955" s="92" t="inlineStr">
        <is>
          <t>10 EVIDENCE &amp; DECISIONS</t>
        </is>
      </c>
    </row>
    <row r="956" ht="34" customHeight="1">
      <c r="A956" s="34" t="inlineStr">
        <is>
          <t>R668-v1</t>
        </is>
      </c>
      <c r="B956" s="34" t="inlineStr">
        <is>
          <t>Contractor Programme</t>
        </is>
      </c>
      <c r="C956" s="34" t="inlineStr">
        <is>
          <t>SCH-04-128</t>
        </is>
      </c>
      <c r="D956" s="34" t="inlineStr">
        <is>
          <t>1.4.1 Vehicles and Depot - Fleet Supply</t>
        </is>
      </c>
      <c r="E956" s="34" t="inlineStr">
        <is>
          <t>New</t>
        </is>
      </c>
      <c r="F956" s="14" t="inlineStr"/>
      <c r="G956" s="34" t="inlineStr">
        <is>
          <t>Source assignment -- not individually reviewed</t>
        </is>
      </c>
      <c r="H956" s="92" t="inlineStr">
        <is>
          <t>10 EVIDENCE &amp; DECISIONS</t>
        </is>
      </c>
    </row>
    <row r="957" ht="34" customHeight="1">
      <c r="A957" s="34" t="inlineStr">
        <is>
          <t>R670-v1</t>
        </is>
      </c>
      <c r="B957" s="34" t="inlineStr">
        <is>
          <t>Contractor Programme</t>
        </is>
      </c>
      <c r="C957" s="34" t="inlineStr">
        <is>
          <t>SCH-04-130</t>
        </is>
      </c>
      <c r="D957" s="34" t="inlineStr">
        <is>
          <t>1.4.1 Vehicles and Depot - Fleet Supply</t>
        </is>
      </c>
      <c r="E957" s="34" t="inlineStr">
        <is>
          <t>New</t>
        </is>
      </c>
      <c r="F957" s="14" t="inlineStr"/>
      <c r="G957" s="34" t="inlineStr">
        <is>
          <t>Source assignment -- not individually reviewed</t>
        </is>
      </c>
      <c r="H957" s="92" t="inlineStr">
        <is>
          <t>10 EVIDENCE &amp; DECISIONS</t>
        </is>
      </c>
    </row>
    <row r="958" ht="34" customHeight="1">
      <c r="A958" s="34" t="inlineStr">
        <is>
          <t>R671-v1</t>
        </is>
      </c>
      <c r="B958" s="34" t="inlineStr">
        <is>
          <t>Contractor Programme</t>
        </is>
      </c>
      <c r="C958" s="34" t="inlineStr">
        <is>
          <t>SCH-04-131</t>
        </is>
      </c>
      <c r="D958" s="34" t="inlineStr">
        <is>
          <t>1.4.1 Vehicles and Depot - Fleet Supply</t>
        </is>
      </c>
      <c r="E958" s="34" t="inlineStr">
        <is>
          <t>New</t>
        </is>
      </c>
      <c r="F958" s="14" t="inlineStr"/>
      <c r="G958" s="34" t="inlineStr">
        <is>
          <t>Source assignment -- not individually reviewed</t>
        </is>
      </c>
      <c r="H958" s="92" t="inlineStr">
        <is>
          <t>10 EVIDENCE &amp; DECISIONS</t>
        </is>
      </c>
    </row>
    <row r="959" ht="34" customHeight="1">
      <c r="A959" s="34" t="inlineStr">
        <is>
          <t>R673-v1</t>
        </is>
      </c>
      <c r="B959" s="34" t="inlineStr">
        <is>
          <t>Contractor Programme</t>
        </is>
      </c>
      <c r="C959" s="34" t="inlineStr">
        <is>
          <t>SCH-04-133</t>
        </is>
      </c>
      <c r="D959" s="34" t="inlineStr">
        <is>
          <t>1.4.1 Vehicles and Depot - Fleet Supply</t>
        </is>
      </c>
      <c r="E959" s="34" t="inlineStr">
        <is>
          <t>New</t>
        </is>
      </c>
      <c r="F959" s="14" t="inlineStr"/>
      <c r="G959" s="34" t="inlineStr">
        <is>
          <t>Source assignment -- not individually reviewed</t>
        </is>
      </c>
      <c r="H959" s="92" t="inlineStr">
        <is>
          <t>10 EVIDENCE &amp; DECISIONS</t>
        </is>
      </c>
    </row>
    <row r="960" ht="34" customHeight="1">
      <c r="A960" s="34" t="inlineStr">
        <is>
          <t>R674-v1</t>
        </is>
      </c>
      <c r="B960" s="34" t="inlineStr">
        <is>
          <t>Contractor Programme</t>
        </is>
      </c>
      <c r="C960" s="34" t="inlineStr">
        <is>
          <t>SCH-04-134</t>
        </is>
      </c>
      <c r="D960" s="34" t="inlineStr">
        <is>
          <t>1.4.1 Vehicles and Depot - Fleet Supply</t>
        </is>
      </c>
      <c r="E960" s="34" t="inlineStr">
        <is>
          <t>New</t>
        </is>
      </c>
      <c r="F960" s="14" t="inlineStr"/>
      <c r="G960" s="34" t="inlineStr">
        <is>
          <t>Source assignment -- not individually reviewed</t>
        </is>
      </c>
      <c r="H960" s="92" t="inlineStr">
        <is>
          <t>10 EVIDENCE &amp; DECISIONS</t>
        </is>
      </c>
    </row>
    <row r="961" ht="34" customHeight="1">
      <c r="A961" s="34" t="inlineStr">
        <is>
          <t>R676-v1</t>
        </is>
      </c>
      <c r="B961" s="34" t="inlineStr">
        <is>
          <t>Contractor Programme</t>
        </is>
      </c>
      <c r="C961" s="34" t="inlineStr">
        <is>
          <t>SCH-04-136</t>
        </is>
      </c>
      <c r="D961" s="34" t="inlineStr">
        <is>
          <t>1.4.1 Vehicles and Depot - Fleet Supply</t>
        </is>
      </c>
      <c r="E961" s="34" t="inlineStr">
        <is>
          <t>New</t>
        </is>
      </c>
      <c r="F961" s="14" t="inlineStr"/>
      <c r="G961" s="34" t="inlineStr">
        <is>
          <t>Source assignment -- not individually reviewed</t>
        </is>
      </c>
      <c r="H961" s="92" t="inlineStr">
        <is>
          <t>10 EVIDENCE &amp; DECISIONS</t>
        </is>
      </c>
    </row>
    <row r="962" ht="34" customHeight="1">
      <c r="A962" s="34" t="inlineStr">
        <is>
          <t>R677-v1</t>
        </is>
      </c>
      <c r="B962" s="34" t="inlineStr">
        <is>
          <t>Contractor Programme</t>
        </is>
      </c>
      <c r="C962" s="34" t="inlineStr">
        <is>
          <t>SCH-04-137</t>
        </is>
      </c>
      <c r="D962" s="34" t="inlineStr">
        <is>
          <t>1.4.1 Vehicles and Depot - Fleet Supply</t>
        </is>
      </c>
      <c r="E962" s="34" t="inlineStr">
        <is>
          <t>New</t>
        </is>
      </c>
      <c r="F962" s="14" t="inlineStr"/>
      <c r="G962" s="34" t="inlineStr">
        <is>
          <t>Source assignment -- not individually reviewed</t>
        </is>
      </c>
      <c r="H962" s="92" t="inlineStr">
        <is>
          <t>10 EVIDENCE &amp; DECISIONS</t>
        </is>
      </c>
    </row>
    <row r="963" ht="34" customHeight="1">
      <c r="A963" s="34" t="inlineStr">
        <is>
          <t>R679-v1</t>
        </is>
      </c>
      <c r="B963" s="34" t="inlineStr">
        <is>
          <t>Contractor Programme</t>
        </is>
      </c>
      <c r="C963" s="34" t="inlineStr">
        <is>
          <t>SCH-04-139</t>
        </is>
      </c>
      <c r="D963" s="34" t="inlineStr">
        <is>
          <t>1.4.1 Vehicles and Depot - Fleet Supply</t>
        </is>
      </c>
      <c r="E963" s="34" t="inlineStr">
        <is>
          <t>New</t>
        </is>
      </c>
      <c r="F963" s="14" t="inlineStr"/>
      <c r="G963" s="34" t="inlineStr">
        <is>
          <t>Source assignment -- not individually reviewed</t>
        </is>
      </c>
      <c r="H963" s="92" t="inlineStr">
        <is>
          <t>10 EVIDENCE &amp; DECISIONS</t>
        </is>
      </c>
    </row>
    <row r="964" ht="34" customHeight="1">
      <c r="A964" s="34" t="inlineStr">
        <is>
          <t>R680-v1</t>
        </is>
      </c>
      <c r="B964" s="34" t="inlineStr">
        <is>
          <t>Contractor Programme</t>
        </is>
      </c>
      <c r="C964" s="34" t="inlineStr">
        <is>
          <t>SCH-04-140</t>
        </is>
      </c>
      <c r="D964" s="34" t="inlineStr">
        <is>
          <t>1.4.1 Vehicles and Depot - Fleet Supply</t>
        </is>
      </c>
      <c r="E964" s="34" t="inlineStr">
        <is>
          <t>New</t>
        </is>
      </c>
      <c r="F964" s="14" t="inlineStr"/>
      <c r="G964" s="34" t="inlineStr">
        <is>
          <t>Source assignment -- not individually reviewed</t>
        </is>
      </c>
      <c r="H964" s="92" t="inlineStr">
        <is>
          <t>10 EVIDENCE &amp; DECISIONS</t>
        </is>
      </c>
    </row>
    <row r="965" ht="34" customHeight="1">
      <c r="A965" s="34" t="inlineStr">
        <is>
          <t>R682-v1</t>
        </is>
      </c>
      <c r="B965" s="34" t="inlineStr">
        <is>
          <t>Contractor Programme</t>
        </is>
      </c>
      <c r="C965" s="34" t="inlineStr">
        <is>
          <t>SCH-04-142</t>
        </is>
      </c>
      <c r="D965" s="34" t="inlineStr">
        <is>
          <t>1.4.1 Vehicles and Depot - Fleet Supply</t>
        </is>
      </c>
      <c r="E965" s="34" t="inlineStr">
        <is>
          <t>New</t>
        </is>
      </c>
      <c r="F965" s="14" t="inlineStr"/>
      <c r="G965" s="34" t="inlineStr">
        <is>
          <t>Source assignment -- not individually reviewed</t>
        </is>
      </c>
      <c r="H965" s="92" t="inlineStr">
        <is>
          <t>10 EVIDENCE &amp; DECISIONS</t>
        </is>
      </c>
    </row>
    <row r="966" ht="34" customHeight="1">
      <c r="A966" s="34" t="inlineStr">
        <is>
          <t>R683-v1</t>
        </is>
      </c>
      <c r="B966" s="34" t="inlineStr">
        <is>
          <t>Contractor Programme</t>
        </is>
      </c>
      <c r="C966" s="34" t="inlineStr">
        <is>
          <t>SCH-04-143</t>
        </is>
      </c>
      <c r="D966" s="34" t="inlineStr">
        <is>
          <t>1.4.1 Vehicles and Depot - Fleet Supply</t>
        </is>
      </c>
      <c r="E966" s="34" t="inlineStr">
        <is>
          <t>New</t>
        </is>
      </c>
      <c r="F966" s="14" t="inlineStr"/>
      <c r="G966" s="34" t="inlineStr">
        <is>
          <t>Source assignment -- not individually reviewed</t>
        </is>
      </c>
      <c r="H966" s="92" t="inlineStr">
        <is>
          <t>10 EVIDENCE &amp; DECISIONS</t>
        </is>
      </c>
    </row>
    <row r="967" ht="34" customHeight="1">
      <c r="A967" s="34" t="inlineStr">
        <is>
          <t>R685-v1</t>
        </is>
      </c>
      <c r="B967" s="34" t="inlineStr">
        <is>
          <t>Contractor Programme</t>
        </is>
      </c>
      <c r="C967" s="34" t="inlineStr">
        <is>
          <t>SCH-04-145</t>
        </is>
      </c>
      <c r="D967" s="34" t="inlineStr">
        <is>
          <t>1.4.1 Vehicles and Depot - Fleet Supply</t>
        </is>
      </c>
      <c r="E967" s="34" t="inlineStr">
        <is>
          <t>New</t>
        </is>
      </c>
      <c r="F967" s="14" t="inlineStr"/>
      <c r="G967" s="34" t="inlineStr">
        <is>
          <t>Source assignment -- not individually reviewed</t>
        </is>
      </c>
      <c r="H967" s="92" t="inlineStr">
        <is>
          <t>10 EVIDENCE &amp; DECISIONS</t>
        </is>
      </c>
    </row>
    <row r="968" ht="34" customHeight="1">
      <c r="A968" s="34" t="inlineStr">
        <is>
          <t>R686-v1</t>
        </is>
      </c>
      <c r="B968" s="34" t="inlineStr">
        <is>
          <t>Contractor Programme</t>
        </is>
      </c>
      <c r="C968" s="34" t="inlineStr">
        <is>
          <t>SCH-04-146</t>
        </is>
      </c>
      <c r="D968" s="34" t="inlineStr">
        <is>
          <t>1.4.1 Vehicles and Depot - Fleet Supply</t>
        </is>
      </c>
      <c r="E968" s="34" t="inlineStr">
        <is>
          <t>New</t>
        </is>
      </c>
      <c r="F968" s="14" t="inlineStr"/>
      <c r="G968" s="34" t="inlineStr">
        <is>
          <t>Source assignment -- not individually reviewed</t>
        </is>
      </c>
      <c r="H968" s="92" t="inlineStr">
        <is>
          <t>10 EVIDENCE &amp; DECISIONS</t>
        </is>
      </c>
    </row>
    <row r="969" ht="34" customHeight="1">
      <c r="A969" s="34" t="inlineStr">
        <is>
          <t>R688-v1</t>
        </is>
      </c>
      <c r="B969" s="34" t="inlineStr">
        <is>
          <t>Contractor Programme</t>
        </is>
      </c>
      <c r="C969" s="34" t="inlineStr">
        <is>
          <t>SCH-04-148</t>
        </is>
      </c>
      <c r="D969" s="34" t="inlineStr">
        <is>
          <t>1.4.1 Vehicles and Depot - Fleet Supply</t>
        </is>
      </c>
      <c r="E969" s="34" t="inlineStr">
        <is>
          <t>New</t>
        </is>
      </c>
      <c r="F969" s="14" t="inlineStr"/>
      <c r="G969" s="34" t="inlineStr">
        <is>
          <t>Source assignment -- not individually reviewed</t>
        </is>
      </c>
      <c r="H969" s="92" t="inlineStr">
        <is>
          <t>10 EVIDENCE &amp; DECISIONS</t>
        </is>
      </c>
    </row>
    <row r="970" ht="34" customHeight="1">
      <c r="A970" s="34" t="inlineStr">
        <is>
          <t>R689-v1</t>
        </is>
      </c>
      <c r="B970" s="34" t="inlineStr">
        <is>
          <t>Contractor Programme</t>
        </is>
      </c>
      <c r="C970" s="34" t="inlineStr">
        <is>
          <t>SCH-04-149</t>
        </is>
      </c>
      <c r="D970" s="34" t="inlineStr">
        <is>
          <t>1.4.1 Vehicles and Depot - Fleet Supply</t>
        </is>
      </c>
      <c r="E970" s="34" t="inlineStr">
        <is>
          <t>New</t>
        </is>
      </c>
      <c r="F970" s="14" t="inlineStr"/>
      <c r="G970" s="34" t="inlineStr">
        <is>
          <t>Source assignment -- not individually reviewed</t>
        </is>
      </c>
      <c r="H970" s="92" t="inlineStr">
        <is>
          <t>10 EVIDENCE &amp; DECISIONS</t>
        </is>
      </c>
    </row>
    <row r="971" ht="34" customHeight="1">
      <c r="A971" s="34" t="inlineStr">
        <is>
          <t>R691-v1</t>
        </is>
      </c>
      <c r="B971" s="34" t="inlineStr">
        <is>
          <t>Contractor Programme</t>
        </is>
      </c>
      <c r="C971" s="34" t="inlineStr">
        <is>
          <t>SCH-04-151</t>
        </is>
      </c>
      <c r="D971" s="34" t="inlineStr">
        <is>
          <t>1.4.1 Vehicles and Depot - Fleet Supply</t>
        </is>
      </c>
      <c r="E971" s="34" t="inlineStr">
        <is>
          <t>New</t>
        </is>
      </c>
      <c r="F971" s="14" t="inlineStr"/>
      <c r="G971" s="34" t="inlineStr">
        <is>
          <t>Source assignment -- not individually reviewed</t>
        </is>
      </c>
      <c r="H971" s="92" t="inlineStr">
        <is>
          <t>10 EVIDENCE &amp; DECISIONS</t>
        </is>
      </c>
    </row>
    <row r="972" ht="34" customHeight="1">
      <c r="A972" s="34" t="inlineStr">
        <is>
          <t>R692-v1</t>
        </is>
      </c>
      <c r="B972" s="34" t="inlineStr">
        <is>
          <t>Contractor Programme</t>
        </is>
      </c>
      <c r="C972" s="34" t="inlineStr">
        <is>
          <t>SCH-04-152</t>
        </is>
      </c>
      <c r="D972" s="34" t="inlineStr">
        <is>
          <t>1.4.1 Vehicles and Depot - Fleet Supply</t>
        </is>
      </c>
      <c r="E972" s="34" t="inlineStr">
        <is>
          <t>New</t>
        </is>
      </c>
      <c r="F972" s="14" t="inlineStr"/>
      <c r="G972" s="34" t="inlineStr">
        <is>
          <t>Source assignment -- not individually reviewed</t>
        </is>
      </c>
      <c r="H972" s="92" t="inlineStr">
        <is>
          <t>10 EVIDENCE &amp; DECISIONS</t>
        </is>
      </c>
    </row>
    <row r="973" ht="34" customHeight="1">
      <c r="A973" s="34" t="inlineStr">
        <is>
          <t>R694-v1</t>
        </is>
      </c>
      <c r="B973" s="34" t="inlineStr">
        <is>
          <t>Contractor Programme</t>
        </is>
      </c>
      <c r="C973" s="34" t="inlineStr">
        <is>
          <t>SCH-04-154</t>
        </is>
      </c>
      <c r="D973" s="34" t="inlineStr">
        <is>
          <t>1.4.1 Vehicles and Depot - Fleet Supply</t>
        </is>
      </c>
      <c r="E973" s="34" t="inlineStr">
        <is>
          <t>New</t>
        </is>
      </c>
      <c r="F973" s="14" t="inlineStr"/>
      <c r="G973" s="34" t="inlineStr">
        <is>
          <t>Source assignment -- not individually reviewed</t>
        </is>
      </c>
      <c r="H973" s="92" t="inlineStr">
        <is>
          <t>10 EVIDENCE &amp; DECISIONS</t>
        </is>
      </c>
    </row>
    <row r="974" ht="34" customHeight="1">
      <c r="A974" s="34" t="inlineStr">
        <is>
          <t>R695-v1</t>
        </is>
      </c>
      <c r="B974" s="34" t="inlineStr">
        <is>
          <t>Contractor Programme</t>
        </is>
      </c>
      <c r="C974" s="34" t="inlineStr">
        <is>
          <t>SCH-04-155</t>
        </is>
      </c>
      <c r="D974" s="34" t="inlineStr">
        <is>
          <t>1.4.1 Vehicles and Depot - Fleet Supply</t>
        </is>
      </c>
      <c r="E974" s="34" t="inlineStr">
        <is>
          <t>New</t>
        </is>
      </c>
      <c r="F974" s="14" t="inlineStr"/>
      <c r="G974" s="34" t="inlineStr">
        <is>
          <t>Source assignment -- not individually reviewed</t>
        </is>
      </c>
      <c r="H974" s="92" t="inlineStr">
        <is>
          <t>10 EVIDENCE &amp; DECISIONS</t>
        </is>
      </c>
    </row>
    <row r="975" ht="34" customHeight="1">
      <c r="A975" s="34" t="inlineStr">
        <is>
          <t>R697-v1</t>
        </is>
      </c>
      <c r="B975" s="34" t="inlineStr">
        <is>
          <t>Contractor Programme</t>
        </is>
      </c>
      <c r="C975" s="34" t="inlineStr">
        <is>
          <t>SCH-04-157</t>
        </is>
      </c>
      <c r="D975" s="34" t="inlineStr">
        <is>
          <t>1.4.1 Vehicles and Depot - Fleet Supply</t>
        </is>
      </c>
      <c r="E975" s="34" t="inlineStr">
        <is>
          <t>New</t>
        </is>
      </c>
      <c r="F975" s="14" t="inlineStr"/>
      <c r="G975" s="34" t="inlineStr">
        <is>
          <t>Source assignment -- not individually reviewed</t>
        </is>
      </c>
      <c r="H975" s="92" t="inlineStr">
        <is>
          <t>10 EVIDENCE &amp; DECISIONS</t>
        </is>
      </c>
    </row>
    <row r="976" ht="34" customHeight="1">
      <c r="A976" s="34" t="inlineStr">
        <is>
          <t>R698-v1</t>
        </is>
      </c>
      <c r="B976" s="34" t="inlineStr">
        <is>
          <t>Contractor Programme</t>
        </is>
      </c>
      <c r="C976" s="34" t="inlineStr">
        <is>
          <t>SCH-04-158</t>
        </is>
      </c>
      <c r="D976" s="34" t="inlineStr">
        <is>
          <t>1.4.1 Vehicles and Depot - Fleet Supply</t>
        </is>
      </c>
      <c r="E976" s="34" t="inlineStr">
        <is>
          <t>New</t>
        </is>
      </c>
      <c r="F976" s="14" t="inlineStr"/>
      <c r="G976" s="34" t="inlineStr">
        <is>
          <t>Source assignment -- not individually reviewed</t>
        </is>
      </c>
      <c r="H976" s="92" t="inlineStr">
        <is>
          <t>10 EVIDENCE &amp; DECISIONS</t>
        </is>
      </c>
    </row>
    <row r="977" ht="34" customHeight="1">
      <c r="A977" s="34" t="inlineStr">
        <is>
          <t>R700-v1</t>
        </is>
      </c>
      <c r="B977" s="34" t="inlineStr">
        <is>
          <t>Contractor Programme</t>
        </is>
      </c>
      <c r="C977" s="34" t="inlineStr">
        <is>
          <t>SCH-04-160</t>
        </is>
      </c>
      <c r="D977" s="34" t="inlineStr">
        <is>
          <t>1.4.1 Vehicles and Depot - Fleet Supply</t>
        </is>
      </c>
      <c r="E977" s="34" t="inlineStr">
        <is>
          <t>New</t>
        </is>
      </c>
      <c r="F977" s="14" t="inlineStr"/>
      <c r="G977" s="34" t="inlineStr">
        <is>
          <t>Source assignment -- not individually reviewed</t>
        </is>
      </c>
      <c r="H977" s="92" t="inlineStr">
        <is>
          <t>10 EVIDENCE &amp; DECISIONS</t>
        </is>
      </c>
    </row>
    <row r="978" ht="34" customHeight="1">
      <c r="A978" s="34" t="inlineStr">
        <is>
          <t>R701-v1</t>
        </is>
      </c>
      <c r="B978" s="34" t="inlineStr">
        <is>
          <t>Contractor Programme</t>
        </is>
      </c>
      <c r="C978" s="34" t="inlineStr">
        <is>
          <t>SCH-04-161</t>
        </is>
      </c>
      <c r="D978" s="34" t="inlineStr">
        <is>
          <t>1.4.1 Vehicles and Depot - Fleet Supply</t>
        </is>
      </c>
      <c r="E978" s="34" t="inlineStr">
        <is>
          <t>New</t>
        </is>
      </c>
      <c r="F978" s="14" t="inlineStr"/>
      <c r="G978" s="34" t="inlineStr">
        <is>
          <t>Source assignment -- not individually reviewed</t>
        </is>
      </c>
      <c r="H978" s="92" t="inlineStr">
        <is>
          <t>10 EVIDENCE &amp; DECISIONS</t>
        </is>
      </c>
    </row>
    <row r="979" ht="34" customHeight="1">
      <c r="A979" s="34" t="inlineStr">
        <is>
          <t>R703-v1</t>
        </is>
      </c>
      <c r="B979" s="34" t="inlineStr">
        <is>
          <t>Contractor Programme</t>
        </is>
      </c>
      <c r="C979" s="34" t="inlineStr">
        <is>
          <t>SCH-04-163</t>
        </is>
      </c>
      <c r="D979" s="34" t="inlineStr">
        <is>
          <t>1.4.1 Vehicles and Depot - Fleet Supply</t>
        </is>
      </c>
      <c r="E979" s="34" t="inlineStr">
        <is>
          <t>New</t>
        </is>
      </c>
      <c r="F979" s="14" t="inlineStr"/>
      <c r="G979" s="34" t="inlineStr">
        <is>
          <t>Source assignment -- not individually reviewed</t>
        </is>
      </c>
      <c r="H979" s="92" t="inlineStr">
        <is>
          <t>10 EVIDENCE &amp; DECISIONS</t>
        </is>
      </c>
    </row>
    <row r="980" ht="34" customHeight="1">
      <c r="A980" s="34" t="inlineStr">
        <is>
          <t>R704-v1</t>
        </is>
      </c>
      <c r="B980" s="34" t="inlineStr">
        <is>
          <t>Contractor Programme</t>
        </is>
      </c>
      <c r="C980" s="34" t="inlineStr">
        <is>
          <t>SCH-04-164</t>
        </is>
      </c>
      <c r="D980" s="34" t="inlineStr">
        <is>
          <t>1.4.1 Vehicles and Depot - Fleet Supply</t>
        </is>
      </c>
      <c r="E980" s="34" t="inlineStr">
        <is>
          <t>New</t>
        </is>
      </c>
      <c r="F980" s="14" t="inlineStr"/>
      <c r="G980" s="34" t="inlineStr">
        <is>
          <t>Source assignment -- not individually reviewed</t>
        </is>
      </c>
      <c r="H980" s="92" t="inlineStr">
        <is>
          <t>10 EVIDENCE &amp; DECISIONS</t>
        </is>
      </c>
    </row>
    <row r="981" ht="34" customHeight="1">
      <c r="A981" s="34" t="inlineStr">
        <is>
          <t>R706-v1</t>
        </is>
      </c>
      <c r="B981" s="34" t="inlineStr">
        <is>
          <t>Contractor Programme</t>
        </is>
      </c>
      <c r="C981" s="34" t="inlineStr">
        <is>
          <t>SCH-04-166</t>
        </is>
      </c>
      <c r="D981" s="34" t="inlineStr">
        <is>
          <t>1.4.1 Vehicles and Depot - Fleet Supply</t>
        </is>
      </c>
      <c r="E981" s="34" t="inlineStr">
        <is>
          <t>New</t>
        </is>
      </c>
      <c r="F981" s="14" t="inlineStr"/>
      <c r="G981" s="34" t="inlineStr">
        <is>
          <t>Source assignment -- not individually reviewed</t>
        </is>
      </c>
      <c r="H981" s="92" t="inlineStr">
        <is>
          <t>10 EVIDENCE &amp; DECISIONS</t>
        </is>
      </c>
    </row>
    <row r="982" ht="34" customHeight="1">
      <c r="A982" s="34" t="inlineStr">
        <is>
          <t>R707-v1</t>
        </is>
      </c>
      <c r="B982" s="34" t="inlineStr">
        <is>
          <t>Contractor Programme</t>
        </is>
      </c>
      <c r="C982" s="34" t="inlineStr">
        <is>
          <t>SCH-04-167</t>
        </is>
      </c>
      <c r="D982" s="34" t="inlineStr">
        <is>
          <t>1.4.1 Vehicles and Depot - Fleet Supply</t>
        </is>
      </c>
      <c r="E982" s="34" t="inlineStr">
        <is>
          <t>New</t>
        </is>
      </c>
      <c r="F982" s="14" t="inlineStr"/>
      <c r="G982" s="34" t="inlineStr">
        <is>
          <t>Source assignment -- not individually reviewed</t>
        </is>
      </c>
      <c r="H982" s="92" t="inlineStr">
        <is>
          <t>10 EVIDENCE &amp; DECISIONS</t>
        </is>
      </c>
    </row>
    <row r="983" ht="34" customHeight="1">
      <c r="A983" s="34" t="inlineStr">
        <is>
          <t>R709-v1</t>
        </is>
      </c>
      <c r="B983" s="34" t="inlineStr">
        <is>
          <t>Contractor Programme</t>
        </is>
      </c>
      <c r="C983" s="34" t="inlineStr">
        <is>
          <t>SCH-04-169</t>
        </is>
      </c>
      <c r="D983" s="34" t="inlineStr">
        <is>
          <t>1.4.1 Vehicles and Depot - Fleet Supply</t>
        </is>
      </c>
      <c r="E983" s="34" t="inlineStr">
        <is>
          <t>New</t>
        </is>
      </c>
      <c r="F983" s="14" t="inlineStr"/>
      <c r="G983" s="34" t="inlineStr">
        <is>
          <t>Source assignment -- not individually reviewed</t>
        </is>
      </c>
      <c r="H983" s="92" t="inlineStr">
        <is>
          <t>10 EVIDENCE &amp; DECISIONS</t>
        </is>
      </c>
    </row>
    <row r="984" ht="34" customHeight="1">
      <c r="A984" s="34" t="inlineStr">
        <is>
          <t>R710-v1</t>
        </is>
      </c>
      <c r="B984" s="34" t="inlineStr">
        <is>
          <t>Contractor Programme</t>
        </is>
      </c>
      <c r="C984" s="34" t="inlineStr">
        <is>
          <t>SCH-04-170</t>
        </is>
      </c>
      <c r="D984" s="34" t="inlineStr">
        <is>
          <t>1.4.1 Vehicles and Depot - Fleet Supply</t>
        </is>
      </c>
      <c r="E984" s="34" t="inlineStr">
        <is>
          <t>New</t>
        </is>
      </c>
      <c r="F984" s="14" t="inlineStr"/>
      <c r="G984" s="34" t="inlineStr">
        <is>
          <t>Source assignment -- not individually reviewed</t>
        </is>
      </c>
      <c r="H984" s="92" t="inlineStr">
        <is>
          <t>10 EVIDENCE &amp; DECISIONS</t>
        </is>
      </c>
    </row>
    <row r="985" ht="34" customHeight="1">
      <c r="A985" s="34" t="inlineStr">
        <is>
          <t>R712-v1</t>
        </is>
      </c>
      <c r="B985" s="34" t="inlineStr">
        <is>
          <t>Contractor Programme</t>
        </is>
      </c>
      <c r="C985" s="34" t="inlineStr">
        <is>
          <t>SCH-04-172</t>
        </is>
      </c>
      <c r="D985" s="34" t="inlineStr">
        <is>
          <t>1.4.1 Vehicles and Depot - Fleet Supply</t>
        </is>
      </c>
      <c r="E985" s="34" t="inlineStr">
        <is>
          <t>New</t>
        </is>
      </c>
      <c r="F985" s="14" t="inlineStr"/>
      <c r="G985" s="34" t="inlineStr">
        <is>
          <t>Source assignment -- not individually reviewed</t>
        </is>
      </c>
      <c r="H985" s="92" t="inlineStr">
        <is>
          <t>10 EVIDENCE &amp; DECISIONS</t>
        </is>
      </c>
    </row>
    <row r="986" ht="34" customHeight="1">
      <c r="A986" s="34" t="inlineStr">
        <is>
          <t>R713-v1</t>
        </is>
      </c>
      <c r="B986" s="34" t="inlineStr">
        <is>
          <t>Contractor Programme</t>
        </is>
      </c>
      <c r="C986" s="34" t="inlineStr">
        <is>
          <t>SCH-04-173</t>
        </is>
      </c>
      <c r="D986" s="34" t="inlineStr">
        <is>
          <t>1.4.1 Vehicles and Depot - Fleet Supply</t>
        </is>
      </c>
      <c r="E986" s="34" t="inlineStr">
        <is>
          <t>New</t>
        </is>
      </c>
      <c r="F986" s="14" t="inlineStr"/>
      <c r="G986" s="34" t="inlineStr">
        <is>
          <t>Source assignment -- not individually reviewed</t>
        </is>
      </c>
      <c r="H986" s="92" t="inlineStr">
        <is>
          <t>10 EVIDENCE &amp; DECISIONS</t>
        </is>
      </c>
    </row>
    <row r="987" ht="34" customHeight="1">
      <c r="A987" s="34" t="inlineStr">
        <is>
          <t>R715-v1</t>
        </is>
      </c>
      <c r="B987" s="34" t="inlineStr">
        <is>
          <t>Contractor Programme</t>
        </is>
      </c>
      <c r="C987" s="34" t="inlineStr">
        <is>
          <t>SCH-04-175</t>
        </is>
      </c>
      <c r="D987" s="34" t="inlineStr">
        <is>
          <t>1.4.1 Vehicles and Depot - Fleet Supply</t>
        </is>
      </c>
      <c r="E987" s="34" t="inlineStr">
        <is>
          <t>New</t>
        </is>
      </c>
      <c r="F987" s="14" t="inlineStr"/>
      <c r="G987" s="34" t="inlineStr">
        <is>
          <t>Source assignment -- not individually reviewed</t>
        </is>
      </c>
      <c r="H987" s="92" t="inlineStr">
        <is>
          <t>10 EVIDENCE &amp; DECISIONS</t>
        </is>
      </c>
    </row>
    <row r="988" ht="34" customHeight="1">
      <c r="A988" s="34" t="inlineStr">
        <is>
          <t>R716-v1</t>
        </is>
      </c>
      <c r="B988" s="34" t="inlineStr">
        <is>
          <t>Contractor Programme</t>
        </is>
      </c>
      <c r="C988" s="34" t="inlineStr">
        <is>
          <t>SCH-04-176</t>
        </is>
      </c>
      <c r="D988" s="34" t="inlineStr">
        <is>
          <t>1.4.1 Vehicles and Depot - Fleet Supply</t>
        </is>
      </c>
      <c r="E988" s="34" t="inlineStr">
        <is>
          <t>New</t>
        </is>
      </c>
      <c r="F988" s="14" t="inlineStr"/>
      <c r="G988" s="34" t="inlineStr">
        <is>
          <t>Source assignment -- not individually reviewed</t>
        </is>
      </c>
      <c r="H988" s="92" t="inlineStr">
        <is>
          <t>10 EVIDENCE &amp; DECISIONS</t>
        </is>
      </c>
    </row>
    <row r="989" ht="34" customHeight="1">
      <c r="A989" s="34" t="inlineStr">
        <is>
          <t>R718-v1</t>
        </is>
      </c>
      <c r="B989" s="34" t="inlineStr">
        <is>
          <t>Contractor Programme</t>
        </is>
      </c>
      <c r="C989" s="34" t="inlineStr">
        <is>
          <t>SCH-04-178</t>
        </is>
      </c>
      <c r="D989" s="34" t="inlineStr">
        <is>
          <t>1.4.1 Vehicles and Depot - Fleet Supply</t>
        </is>
      </c>
      <c r="E989" s="34" t="inlineStr">
        <is>
          <t>New</t>
        </is>
      </c>
      <c r="F989" s="14" t="inlineStr"/>
      <c r="G989" s="34" t="inlineStr">
        <is>
          <t>Source assignment -- not individually reviewed</t>
        </is>
      </c>
      <c r="H989" s="92" t="inlineStr">
        <is>
          <t>10 EVIDENCE &amp; DECISIONS</t>
        </is>
      </c>
    </row>
    <row r="990" ht="34" customHeight="1">
      <c r="A990" s="34" t="inlineStr">
        <is>
          <t>R719-v1</t>
        </is>
      </c>
      <c r="B990" s="34" t="inlineStr">
        <is>
          <t>Contractor Programme</t>
        </is>
      </c>
      <c r="C990" s="34" t="inlineStr">
        <is>
          <t>SCH-04-179</t>
        </is>
      </c>
      <c r="D990" s="34" t="inlineStr">
        <is>
          <t>1.4.1 Vehicles and Depot - Fleet Supply</t>
        </is>
      </c>
      <c r="E990" s="34" t="inlineStr">
        <is>
          <t>New</t>
        </is>
      </c>
      <c r="F990" s="14" t="inlineStr"/>
      <c r="G990" s="34" t="inlineStr">
        <is>
          <t>Source assignment -- not individually reviewed</t>
        </is>
      </c>
      <c r="H990" s="92" t="inlineStr">
        <is>
          <t>10 EVIDENCE &amp; DECISIONS</t>
        </is>
      </c>
    </row>
    <row r="991" ht="34" customHeight="1">
      <c r="A991" s="34" t="inlineStr">
        <is>
          <t>R1324-v1</t>
        </is>
      </c>
      <c r="B991" s="34" t="inlineStr">
        <is>
          <t>Cost &amp; Forecast Control Accounts</t>
        </is>
      </c>
      <c r="C991" s="34" t="inlineStr">
        <is>
          <t>CST-04-002</t>
        </is>
      </c>
      <c r="D991" s="34" t="inlineStr">
        <is>
          <t>1.4.2 Vehicles and Depot - Depot Buildings</t>
        </is>
      </c>
      <c r="E991" s="34" t="inlineStr">
        <is>
          <t>New</t>
        </is>
      </c>
      <c r="F991" s="14" t="inlineStr"/>
      <c r="G991" s="34" t="inlineStr">
        <is>
          <t>Source assignment -- not individually reviewed</t>
        </is>
      </c>
      <c r="H991" s="92" t="inlineStr">
        <is>
          <t>10 EVIDENCE &amp; DECISIONS</t>
        </is>
      </c>
    </row>
    <row r="992" ht="34" customHeight="1">
      <c r="A992" s="34" t="inlineStr">
        <is>
          <t>R1326-v1</t>
        </is>
      </c>
      <c r="B992" s="34" t="inlineStr">
        <is>
          <t>Cost &amp; Forecast Control Accounts</t>
        </is>
      </c>
      <c r="C992" s="34" t="inlineStr">
        <is>
          <t>CST-04-004</t>
        </is>
      </c>
      <c r="D992" s="34" t="inlineStr">
        <is>
          <t>1.4.2 Vehicles and Depot - Depot Buildings</t>
        </is>
      </c>
      <c r="E992" s="34" t="inlineStr">
        <is>
          <t>New</t>
        </is>
      </c>
      <c r="F992" s="14" t="inlineStr"/>
      <c r="G992" s="34" t="inlineStr">
        <is>
          <t>Source assignment -- not individually reviewed</t>
        </is>
      </c>
      <c r="H992" s="92" t="inlineStr">
        <is>
          <t>10 EVIDENCE &amp; DECISIONS</t>
        </is>
      </c>
    </row>
    <row r="993" ht="34" customHeight="1">
      <c r="A993" s="34" t="inlineStr">
        <is>
          <t>R1328-v1</t>
        </is>
      </c>
      <c r="B993" s="34" t="inlineStr">
        <is>
          <t>Cost &amp; Forecast Control Accounts</t>
        </is>
      </c>
      <c r="C993" s="34" t="inlineStr">
        <is>
          <t>CST-04-006</t>
        </is>
      </c>
      <c r="D993" s="34" t="inlineStr">
        <is>
          <t>1.4.2 Vehicles and Depot - Depot Buildings</t>
        </is>
      </c>
      <c r="E993" s="34" t="inlineStr">
        <is>
          <t>New</t>
        </is>
      </c>
      <c r="F993" s="14" t="inlineStr"/>
      <c r="G993" s="34" t="inlineStr">
        <is>
          <t>Source assignment -- not individually reviewed</t>
        </is>
      </c>
      <c r="H993" s="92" t="inlineStr">
        <is>
          <t>10 EVIDENCE &amp; DECISIONS</t>
        </is>
      </c>
    </row>
    <row r="994" ht="34" customHeight="1">
      <c r="A994" s="34" t="inlineStr">
        <is>
          <t>R1330-v1</t>
        </is>
      </c>
      <c r="B994" s="34" t="inlineStr">
        <is>
          <t>Cost &amp; Forecast Control Accounts</t>
        </is>
      </c>
      <c r="C994" s="34" t="inlineStr">
        <is>
          <t>CST-04-008</t>
        </is>
      </c>
      <c r="D994" s="34" t="inlineStr">
        <is>
          <t>1.4.2 Vehicles and Depot - Depot Buildings</t>
        </is>
      </c>
      <c r="E994" s="34" t="inlineStr">
        <is>
          <t>New</t>
        </is>
      </c>
      <c r="F994" s="14" t="inlineStr"/>
      <c r="G994" s="34" t="inlineStr">
        <is>
          <t>Source assignment -- not individually reviewed</t>
        </is>
      </c>
      <c r="H994" s="92" t="inlineStr">
        <is>
          <t>10 EVIDENCE &amp; DECISIONS</t>
        </is>
      </c>
    </row>
    <row r="995" ht="34" customHeight="1">
      <c r="A995" s="34" t="inlineStr">
        <is>
          <t>R1332-v1</t>
        </is>
      </c>
      <c r="B995" s="34" t="inlineStr">
        <is>
          <t>Cost &amp; Forecast Control Accounts</t>
        </is>
      </c>
      <c r="C995" s="34" t="inlineStr">
        <is>
          <t>CST-04-010</t>
        </is>
      </c>
      <c r="D995" s="34" t="inlineStr">
        <is>
          <t>1.4.2 Vehicles and Depot - Depot Buildings</t>
        </is>
      </c>
      <c r="E995" s="34" t="inlineStr">
        <is>
          <t>New</t>
        </is>
      </c>
      <c r="F995" s="14" t="inlineStr"/>
      <c r="G995" s="34" t="inlineStr">
        <is>
          <t>Source assignment -- not individually reviewed</t>
        </is>
      </c>
      <c r="H995" s="92" t="inlineStr">
        <is>
          <t>10 EVIDENCE &amp; DECISIONS</t>
        </is>
      </c>
    </row>
    <row r="996" ht="34" customHeight="1">
      <c r="A996" s="34" t="inlineStr">
        <is>
          <t>R1334-v1</t>
        </is>
      </c>
      <c r="B996" s="34" t="inlineStr">
        <is>
          <t>Cost &amp; Forecast Control Accounts</t>
        </is>
      </c>
      <c r="C996" s="34" t="inlineStr">
        <is>
          <t>CST-04-012</t>
        </is>
      </c>
      <c r="D996" s="34" t="inlineStr">
        <is>
          <t>1.4.2 Vehicles and Depot - Depot Buildings</t>
        </is>
      </c>
      <c r="E996" s="34" t="inlineStr">
        <is>
          <t>New</t>
        </is>
      </c>
      <c r="F996" s="14" t="inlineStr"/>
      <c r="G996" s="34" t="inlineStr">
        <is>
          <t>Source assignment -- not individually reviewed</t>
        </is>
      </c>
      <c r="H996" s="92" t="inlineStr">
        <is>
          <t>10 EVIDENCE &amp; DECISIONS</t>
        </is>
      </c>
    </row>
    <row r="997" ht="34" customHeight="1">
      <c r="A997" s="34" t="inlineStr">
        <is>
          <t>R1336-v1</t>
        </is>
      </c>
      <c r="B997" s="34" t="inlineStr">
        <is>
          <t>Cost &amp; Forecast Control Accounts</t>
        </is>
      </c>
      <c r="C997" s="34" t="inlineStr">
        <is>
          <t>CST-04-014</t>
        </is>
      </c>
      <c r="D997" s="34" t="inlineStr">
        <is>
          <t>1.4.2 Vehicles and Depot - Depot Buildings</t>
        </is>
      </c>
      <c r="E997" s="34" t="inlineStr">
        <is>
          <t>New</t>
        </is>
      </c>
      <c r="F997" s="14" t="inlineStr"/>
      <c r="G997" s="34" t="inlineStr">
        <is>
          <t>Source assignment -- not individually reviewed</t>
        </is>
      </c>
      <c r="H997" s="92" t="inlineStr">
        <is>
          <t>10 EVIDENCE &amp; DECISIONS</t>
        </is>
      </c>
    </row>
    <row r="998" ht="34" customHeight="1">
      <c r="A998" s="34" t="inlineStr">
        <is>
          <t>R1338-v1</t>
        </is>
      </c>
      <c r="B998" s="34" t="inlineStr">
        <is>
          <t>Cost &amp; Forecast Control Accounts</t>
        </is>
      </c>
      <c r="C998" s="34" t="inlineStr">
        <is>
          <t>CST-04-016</t>
        </is>
      </c>
      <c r="D998" s="34" t="inlineStr">
        <is>
          <t>1.4.2 Vehicles and Depot - Depot Buildings</t>
        </is>
      </c>
      <c r="E998" s="34" t="inlineStr">
        <is>
          <t>New</t>
        </is>
      </c>
      <c r="F998" s="14" t="inlineStr"/>
      <c r="G998" s="34" t="inlineStr">
        <is>
          <t>Source assignment -- not individually reviewed</t>
        </is>
      </c>
      <c r="H998" s="92" t="inlineStr">
        <is>
          <t>10 EVIDENCE &amp; DECISIONS</t>
        </is>
      </c>
    </row>
    <row r="999" ht="34" customHeight="1">
      <c r="A999" s="34" t="inlineStr">
        <is>
          <t>R1340-v1</t>
        </is>
      </c>
      <c r="B999" s="34" t="inlineStr">
        <is>
          <t>Cost &amp; Forecast Control Accounts</t>
        </is>
      </c>
      <c r="C999" s="34" t="inlineStr">
        <is>
          <t>CST-04-018</t>
        </is>
      </c>
      <c r="D999" s="34" t="inlineStr">
        <is>
          <t>1.4.2 Vehicles and Depot - Depot Buildings</t>
        </is>
      </c>
      <c r="E999" s="34" t="inlineStr">
        <is>
          <t>New</t>
        </is>
      </c>
      <c r="F999" s="14" t="inlineStr"/>
      <c r="G999" s="34" t="inlineStr">
        <is>
          <t>Source assignment -- not individually reviewed</t>
        </is>
      </c>
      <c r="H999" s="92" t="inlineStr">
        <is>
          <t>10 EVIDENCE &amp; DECISIONS</t>
        </is>
      </c>
    </row>
    <row r="1000" ht="34" customHeight="1">
      <c r="A1000" s="34" t="inlineStr">
        <is>
          <t>R1342-v1</t>
        </is>
      </c>
      <c r="B1000" s="34" t="inlineStr">
        <is>
          <t>Cost &amp; Forecast Control Accounts</t>
        </is>
      </c>
      <c r="C1000" s="34" t="inlineStr">
        <is>
          <t>CST-04-020</t>
        </is>
      </c>
      <c r="D1000" s="34" t="inlineStr">
        <is>
          <t>1.4.2 Vehicles and Depot - Depot Buildings</t>
        </is>
      </c>
      <c r="E1000" s="34" t="inlineStr">
        <is>
          <t>New</t>
        </is>
      </c>
      <c r="F1000" s="14" t="inlineStr"/>
      <c r="G1000" s="34" t="inlineStr">
        <is>
          <t>Source assignment -- not individually reviewed</t>
        </is>
      </c>
      <c r="H1000" s="92" t="inlineStr">
        <is>
          <t>10 EVIDENCE &amp; DECISIONS</t>
        </is>
      </c>
    </row>
    <row r="1001" ht="34" customHeight="1">
      <c r="A1001" s="34" t="inlineStr">
        <is>
          <t>R1344-v1</t>
        </is>
      </c>
      <c r="B1001" s="34" t="inlineStr">
        <is>
          <t>Cost &amp; Forecast Control Accounts</t>
        </is>
      </c>
      <c r="C1001" s="34" t="inlineStr">
        <is>
          <t>CST-04-022</t>
        </is>
      </c>
      <c r="D1001" s="34" t="inlineStr">
        <is>
          <t>1.4.2 Vehicles and Depot - Depot Buildings</t>
        </is>
      </c>
      <c r="E1001" s="34" t="inlineStr">
        <is>
          <t>New</t>
        </is>
      </c>
      <c r="F1001" s="14" t="inlineStr"/>
      <c r="G1001" s="34" t="inlineStr">
        <is>
          <t>Source assignment -- not individually reviewed</t>
        </is>
      </c>
      <c r="H1001" s="92" t="inlineStr">
        <is>
          <t>10 EVIDENCE &amp; DECISIONS</t>
        </is>
      </c>
    </row>
    <row r="1002" ht="34" customHeight="1">
      <c r="A1002" s="34" t="inlineStr">
        <is>
          <t>R1346-v1</t>
        </is>
      </c>
      <c r="B1002" s="34" t="inlineStr">
        <is>
          <t>Cost &amp; Forecast Control Accounts</t>
        </is>
      </c>
      <c r="C1002" s="34" t="inlineStr">
        <is>
          <t>CST-04-024</t>
        </is>
      </c>
      <c r="D1002" s="34" t="inlineStr">
        <is>
          <t>1.4.2 Vehicles and Depot - Depot Buildings</t>
        </is>
      </c>
      <c r="E1002" s="34" t="inlineStr">
        <is>
          <t>New</t>
        </is>
      </c>
      <c r="F1002" s="14" t="inlineStr"/>
      <c r="G1002" s="34" t="inlineStr">
        <is>
          <t>Source assignment -- not individually reviewed</t>
        </is>
      </c>
      <c r="H1002" s="92" t="inlineStr">
        <is>
          <t>10 EVIDENCE &amp; DECISIONS</t>
        </is>
      </c>
    </row>
    <row r="1003" ht="34" customHeight="1">
      <c r="A1003" s="34" t="inlineStr">
        <is>
          <t>R1348-v1</t>
        </is>
      </c>
      <c r="B1003" s="34" t="inlineStr">
        <is>
          <t>Cost &amp; Forecast Control Accounts</t>
        </is>
      </c>
      <c r="C1003" s="34" t="inlineStr">
        <is>
          <t>CST-04-026</t>
        </is>
      </c>
      <c r="D1003" s="34" t="inlineStr">
        <is>
          <t>1.4.2 Vehicles and Depot - Depot Buildings</t>
        </is>
      </c>
      <c r="E1003" s="34" t="inlineStr">
        <is>
          <t>New</t>
        </is>
      </c>
      <c r="F1003" s="14" t="inlineStr"/>
      <c r="G1003" s="34" t="inlineStr">
        <is>
          <t>Source assignment -- not individually reviewed</t>
        </is>
      </c>
      <c r="H1003" s="92" t="inlineStr">
        <is>
          <t>10 EVIDENCE &amp; DECISIONS</t>
        </is>
      </c>
    </row>
    <row r="1004" ht="34" customHeight="1">
      <c r="A1004" s="34" t="inlineStr">
        <is>
          <t>R1350-v1</t>
        </is>
      </c>
      <c r="B1004" s="34" t="inlineStr">
        <is>
          <t>Cost &amp; Forecast Control Accounts</t>
        </is>
      </c>
      <c r="C1004" s="34" t="inlineStr">
        <is>
          <t>CST-04-028</t>
        </is>
      </c>
      <c r="D1004" s="34" t="inlineStr">
        <is>
          <t>1.4.2 Vehicles and Depot - Depot Buildings</t>
        </is>
      </c>
      <c r="E1004" s="34" t="inlineStr">
        <is>
          <t>New</t>
        </is>
      </c>
      <c r="F1004" s="14" t="inlineStr"/>
      <c r="G1004" s="34" t="inlineStr">
        <is>
          <t>Source assignment -- not individually reviewed</t>
        </is>
      </c>
      <c r="H1004" s="92" t="inlineStr">
        <is>
          <t>10 EVIDENCE &amp; DECISIONS</t>
        </is>
      </c>
    </row>
    <row r="1005" ht="34" customHeight="1">
      <c r="A1005" s="34" t="inlineStr">
        <is>
          <t>R1352-v1</t>
        </is>
      </c>
      <c r="B1005" s="34" t="inlineStr">
        <is>
          <t>Cost &amp; Forecast Control Accounts</t>
        </is>
      </c>
      <c r="C1005" s="34" t="inlineStr">
        <is>
          <t>CST-04-030</t>
        </is>
      </c>
      <c r="D1005" s="34" t="inlineStr">
        <is>
          <t>1.4.2 Vehicles and Depot - Depot Buildings</t>
        </is>
      </c>
      <c r="E1005" s="34" t="inlineStr">
        <is>
          <t>New</t>
        </is>
      </c>
      <c r="F1005" s="14" t="inlineStr"/>
      <c r="G1005" s="34" t="inlineStr">
        <is>
          <t>Source assignment -- not individually reviewed</t>
        </is>
      </c>
      <c r="H1005" s="92" t="inlineStr">
        <is>
          <t>10 EVIDENCE &amp; DECISIONS</t>
        </is>
      </c>
    </row>
    <row r="1006" ht="34" customHeight="1">
      <c r="A1006" s="34" t="inlineStr">
        <is>
          <t>R1354-v1</t>
        </is>
      </c>
      <c r="B1006" s="34" t="inlineStr">
        <is>
          <t>Cost &amp; Forecast Control Accounts</t>
        </is>
      </c>
      <c r="C1006" s="34" t="inlineStr">
        <is>
          <t>CST-04-032</t>
        </is>
      </c>
      <c r="D1006" s="34" t="inlineStr">
        <is>
          <t>1.4.2 Vehicles and Depot - Depot Buildings</t>
        </is>
      </c>
      <c r="E1006" s="34" t="inlineStr">
        <is>
          <t>New</t>
        </is>
      </c>
      <c r="F1006" s="14" t="inlineStr"/>
      <c r="G1006" s="34" t="inlineStr">
        <is>
          <t>Source assignment -- not individually reviewed</t>
        </is>
      </c>
      <c r="H1006" s="92" t="inlineStr">
        <is>
          <t>10 EVIDENCE &amp; DECISIONS</t>
        </is>
      </c>
    </row>
    <row r="1007" ht="34" customHeight="1">
      <c r="A1007" s="34" t="inlineStr">
        <is>
          <t>R1356-v1</t>
        </is>
      </c>
      <c r="B1007" s="34" t="inlineStr">
        <is>
          <t>Cost &amp; Forecast Control Accounts</t>
        </is>
      </c>
      <c r="C1007" s="34" t="inlineStr">
        <is>
          <t>CST-04-034</t>
        </is>
      </c>
      <c r="D1007" s="34" t="inlineStr">
        <is>
          <t>1.4.2 Vehicles and Depot - Depot Buildings</t>
        </is>
      </c>
      <c r="E1007" s="34" t="inlineStr">
        <is>
          <t>New</t>
        </is>
      </c>
      <c r="F1007" s="14" t="inlineStr"/>
      <c r="G1007" s="34" t="inlineStr">
        <is>
          <t>Source assignment -- not individually reviewed</t>
        </is>
      </c>
      <c r="H1007" s="92" t="inlineStr">
        <is>
          <t>10 EVIDENCE &amp; DECISIONS</t>
        </is>
      </c>
    </row>
    <row r="1008" ht="34" customHeight="1">
      <c r="A1008" s="34" t="inlineStr">
        <is>
          <t>R1358-v1</t>
        </is>
      </c>
      <c r="B1008" s="34" t="inlineStr">
        <is>
          <t>Cost &amp; Forecast Control Accounts</t>
        </is>
      </c>
      <c r="C1008" s="34" t="inlineStr">
        <is>
          <t>CST-04-036</t>
        </is>
      </c>
      <c r="D1008" s="34" t="inlineStr">
        <is>
          <t>1.4.2 Vehicles and Depot - Depot Buildings</t>
        </is>
      </c>
      <c r="E1008" s="34" t="inlineStr">
        <is>
          <t>New</t>
        </is>
      </c>
      <c r="F1008" s="14" t="inlineStr"/>
      <c r="G1008" s="34" t="inlineStr">
        <is>
          <t>Source assignment -- not individually reviewed</t>
        </is>
      </c>
      <c r="H1008" s="92" t="inlineStr">
        <is>
          <t>10 EVIDENCE &amp; DECISIONS</t>
        </is>
      </c>
    </row>
    <row r="1009" ht="34" customHeight="1">
      <c r="A1009" s="34" t="inlineStr">
        <is>
          <t>R1360-v1</t>
        </is>
      </c>
      <c r="B1009" s="34" t="inlineStr">
        <is>
          <t>Cost &amp; Forecast Control Accounts</t>
        </is>
      </c>
      <c r="C1009" s="34" t="inlineStr">
        <is>
          <t>CST-04-038</t>
        </is>
      </c>
      <c r="D1009" s="34" t="inlineStr">
        <is>
          <t>1.4.2 Vehicles and Depot - Depot Buildings</t>
        </is>
      </c>
      <c r="E1009" s="34" t="inlineStr">
        <is>
          <t>New</t>
        </is>
      </c>
      <c r="F1009" s="14" t="inlineStr"/>
      <c r="G1009" s="34" t="inlineStr">
        <is>
          <t>Source assignment -- not individually reviewed</t>
        </is>
      </c>
      <c r="H1009" s="92" t="inlineStr">
        <is>
          <t>10 EVIDENCE &amp; DECISIONS</t>
        </is>
      </c>
    </row>
    <row r="1010" ht="34" customHeight="1">
      <c r="A1010" s="34" t="inlineStr">
        <is>
          <t>R1362-v1</t>
        </is>
      </c>
      <c r="B1010" s="34" t="inlineStr">
        <is>
          <t>Cost &amp; Forecast Control Accounts</t>
        </is>
      </c>
      <c r="C1010" s="34" t="inlineStr">
        <is>
          <t>CST-04-040</t>
        </is>
      </c>
      <c r="D1010" s="34" t="inlineStr">
        <is>
          <t>1.4.2 Vehicles and Depot - Depot Buildings</t>
        </is>
      </c>
      <c r="E1010" s="34" t="inlineStr">
        <is>
          <t>New</t>
        </is>
      </c>
      <c r="F1010" s="14" t="inlineStr"/>
      <c r="G1010" s="34" t="inlineStr">
        <is>
          <t>Source assignment -- not individually reviewed</t>
        </is>
      </c>
      <c r="H1010" s="92" t="inlineStr">
        <is>
          <t>10 EVIDENCE &amp; DECISIONS</t>
        </is>
      </c>
    </row>
    <row r="1011" ht="34" customHeight="1">
      <c r="A1011" s="34" t="inlineStr">
        <is>
          <t>R1364-v1</t>
        </is>
      </c>
      <c r="B1011" s="34" t="inlineStr">
        <is>
          <t>Cost &amp; Forecast Control Accounts</t>
        </is>
      </c>
      <c r="C1011" s="34" t="inlineStr">
        <is>
          <t>CST-04-042</t>
        </is>
      </c>
      <c r="D1011" s="34" t="inlineStr">
        <is>
          <t>1.4.2 Vehicles and Depot - Depot Buildings</t>
        </is>
      </c>
      <c r="E1011" s="34" t="inlineStr">
        <is>
          <t>New</t>
        </is>
      </c>
      <c r="F1011" s="14" t="inlineStr"/>
      <c r="G1011" s="34" t="inlineStr">
        <is>
          <t>Source assignment -- not individually reviewed</t>
        </is>
      </c>
      <c r="H1011" s="92" t="inlineStr">
        <is>
          <t>10 EVIDENCE &amp; DECISIONS</t>
        </is>
      </c>
    </row>
    <row r="1012" ht="34" customHeight="1">
      <c r="A1012" s="34" t="inlineStr">
        <is>
          <t>R1366-v1</t>
        </is>
      </c>
      <c r="B1012" s="34" t="inlineStr">
        <is>
          <t>Cost &amp; Forecast Control Accounts</t>
        </is>
      </c>
      <c r="C1012" s="34" t="inlineStr">
        <is>
          <t>CST-04-044</t>
        </is>
      </c>
      <c r="D1012" s="34" t="inlineStr">
        <is>
          <t>1.4.2 Vehicles and Depot - Depot Buildings</t>
        </is>
      </c>
      <c r="E1012" s="34" t="inlineStr">
        <is>
          <t>New</t>
        </is>
      </c>
      <c r="F1012" s="14" t="inlineStr"/>
      <c r="G1012" s="34" t="inlineStr">
        <is>
          <t>Source assignment -- not individually reviewed</t>
        </is>
      </c>
      <c r="H1012" s="92" t="inlineStr">
        <is>
          <t>10 EVIDENCE &amp; DECISIONS</t>
        </is>
      </c>
    </row>
    <row r="1013" ht="34" customHeight="1">
      <c r="A1013" s="34" t="inlineStr">
        <is>
          <t>R1368-v1</t>
        </is>
      </c>
      <c r="B1013" s="34" t="inlineStr">
        <is>
          <t>Cost &amp; Forecast Control Accounts</t>
        </is>
      </c>
      <c r="C1013" s="34" t="inlineStr">
        <is>
          <t>CST-04-046</t>
        </is>
      </c>
      <c r="D1013" s="34" t="inlineStr">
        <is>
          <t>1.4.2 Vehicles and Depot - Depot Buildings</t>
        </is>
      </c>
      <c r="E1013" s="34" t="inlineStr">
        <is>
          <t>New</t>
        </is>
      </c>
      <c r="F1013" s="14" t="inlineStr"/>
      <c r="G1013" s="34" t="inlineStr">
        <is>
          <t>Source assignment -- not individually reviewed</t>
        </is>
      </c>
      <c r="H1013" s="92" t="inlineStr">
        <is>
          <t>10 EVIDENCE &amp; DECISIONS</t>
        </is>
      </c>
    </row>
    <row r="1014" ht="34" customHeight="1">
      <c r="A1014" s="34" t="inlineStr">
        <is>
          <t>R1370-v1</t>
        </is>
      </c>
      <c r="B1014" s="34" t="inlineStr">
        <is>
          <t>Cost &amp; Forecast Control Accounts</t>
        </is>
      </c>
      <c r="C1014" s="34" t="inlineStr">
        <is>
          <t>CST-04-048</t>
        </is>
      </c>
      <c r="D1014" s="34" t="inlineStr">
        <is>
          <t>1.4.2 Vehicles and Depot - Depot Buildings</t>
        </is>
      </c>
      <c r="E1014" s="34" t="inlineStr">
        <is>
          <t>New</t>
        </is>
      </c>
      <c r="F1014" s="14" t="inlineStr"/>
      <c r="G1014" s="34" t="inlineStr">
        <is>
          <t>Source assignment -- not individually reviewed</t>
        </is>
      </c>
      <c r="H1014" s="92" t="inlineStr">
        <is>
          <t>10 EVIDENCE &amp; DECISIONS</t>
        </is>
      </c>
    </row>
    <row r="1015" ht="34" customHeight="1">
      <c r="A1015" s="34" t="inlineStr">
        <is>
          <t>R1372-v1</t>
        </is>
      </c>
      <c r="B1015" s="34" t="inlineStr">
        <is>
          <t>Cost &amp; Forecast Control Accounts</t>
        </is>
      </c>
      <c r="C1015" s="34" t="inlineStr">
        <is>
          <t>CST-04-050</t>
        </is>
      </c>
      <c r="D1015" s="34" t="inlineStr">
        <is>
          <t>1.4.2 Vehicles and Depot - Depot Buildings</t>
        </is>
      </c>
      <c r="E1015" s="34" t="inlineStr">
        <is>
          <t>New</t>
        </is>
      </c>
      <c r="F1015" s="14" t="inlineStr"/>
      <c r="G1015" s="34" t="inlineStr">
        <is>
          <t>Source assignment -- not individually reviewed</t>
        </is>
      </c>
      <c r="H1015" s="92" t="inlineStr">
        <is>
          <t>10 EVIDENCE &amp; DECISIONS</t>
        </is>
      </c>
    </row>
    <row r="1016" ht="34" customHeight="1">
      <c r="A1016" s="34" t="inlineStr">
        <is>
          <t>R1374-v1</t>
        </is>
      </c>
      <c r="B1016" s="34" t="inlineStr">
        <is>
          <t>Cost &amp; Forecast Control Accounts</t>
        </is>
      </c>
      <c r="C1016" s="34" t="inlineStr">
        <is>
          <t>CST-04-052</t>
        </is>
      </c>
      <c r="D1016" s="34" t="inlineStr">
        <is>
          <t>1.4.2 Vehicles and Depot - Depot Buildings</t>
        </is>
      </c>
      <c r="E1016" s="34" t="inlineStr">
        <is>
          <t>New</t>
        </is>
      </c>
      <c r="F1016" s="14" t="inlineStr"/>
      <c r="G1016" s="34" t="inlineStr">
        <is>
          <t>Source assignment -- not individually reviewed</t>
        </is>
      </c>
      <c r="H1016" s="92" t="inlineStr">
        <is>
          <t>10 EVIDENCE &amp; DECISIONS</t>
        </is>
      </c>
    </row>
    <row r="1017" ht="34" customHeight="1">
      <c r="A1017" s="34" t="inlineStr">
        <is>
          <t>R1376-v1</t>
        </is>
      </c>
      <c r="B1017" s="34" t="inlineStr">
        <is>
          <t>Cost &amp; Forecast Control Accounts</t>
        </is>
      </c>
      <c r="C1017" s="34" t="inlineStr">
        <is>
          <t>CST-04-054</t>
        </is>
      </c>
      <c r="D1017" s="34" t="inlineStr">
        <is>
          <t>1.4.2 Vehicles and Depot - Depot Buildings</t>
        </is>
      </c>
      <c r="E1017" s="34" t="inlineStr">
        <is>
          <t>New</t>
        </is>
      </c>
      <c r="F1017" s="14" t="inlineStr"/>
      <c r="G1017" s="34" t="inlineStr">
        <is>
          <t>Source assignment -- not individually reviewed</t>
        </is>
      </c>
      <c r="H1017" s="92" t="inlineStr">
        <is>
          <t>10 EVIDENCE &amp; DECISIONS</t>
        </is>
      </c>
    </row>
    <row r="1018" ht="34" customHeight="1">
      <c r="A1018" s="34" t="inlineStr">
        <is>
          <t>R1378-v1</t>
        </is>
      </c>
      <c r="B1018" s="34" t="inlineStr">
        <is>
          <t>Cost &amp; Forecast Control Accounts</t>
        </is>
      </c>
      <c r="C1018" s="34" t="inlineStr">
        <is>
          <t>CST-04-056</t>
        </is>
      </c>
      <c r="D1018" s="34" t="inlineStr">
        <is>
          <t>1.4.2 Vehicles and Depot - Depot Buildings</t>
        </is>
      </c>
      <c r="E1018" s="34" t="inlineStr">
        <is>
          <t>New</t>
        </is>
      </c>
      <c r="F1018" s="14" t="inlineStr"/>
      <c r="G1018" s="34" t="inlineStr">
        <is>
          <t>Source assignment -- not individually reviewed</t>
        </is>
      </c>
      <c r="H1018" s="92" t="inlineStr">
        <is>
          <t>10 EVIDENCE &amp; DECISIONS</t>
        </is>
      </c>
    </row>
    <row r="1019" ht="34" customHeight="1">
      <c r="A1019" s="34" t="inlineStr">
        <is>
          <t>R1380-v1</t>
        </is>
      </c>
      <c r="B1019" s="34" t="inlineStr">
        <is>
          <t>Cost &amp; Forecast Control Accounts</t>
        </is>
      </c>
      <c r="C1019" s="34" t="inlineStr">
        <is>
          <t>CST-04-058</t>
        </is>
      </c>
      <c r="D1019" s="34" t="inlineStr">
        <is>
          <t>1.4.2 Vehicles and Depot - Depot Buildings</t>
        </is>
      </c>
      <c r="E1019" s="34" t="inlineStr">
        <is>
          <t>New</t>
        </is>
      </c>
      <c r="F1019" s="14" t="inlineStr"/>
      <c r="G1019" s="34" t="inlineStr">
        <is>
          <t>Source assignment -- not individually reviewed</t>
        </is>
      </c>
      <c r="H1019" s="92" t="inlineStr">
        <is>
          <t>10 EVIDENCE &amp; DECISIONS</t>
        </is>
      </c>
    </row>
    <row r="1020" ht="34" customHeight="1">
      <c r="A1020" s="34" t="inlineStr">
        <is>
          <t>R1382-v1</t>
        </is>
      </c>
      <c r="B1020" s="34" t="inlineStr">
        <is>
          <t>Cost &amp; Forecast Control Accounts</t>
        </is>
      </c>
      <c r="C1020" s="34" t="inlineStr">
        <is>
          <t>CST-04-060</t>
        </is>
      </c>
      <c r="D1020" s="34" t="inlineStr">
        <is>
          <t>1.4.2 Vehicles and Depot - Depot Buildings</t>
        </is>
      </c>
      <c r="E1020" s="34" t="inlineStr">
        <is>
          <t>New</t>
        </is>
      </c>
      <c r="F1020" s="14" t="inlineStr"/>
      <c r="G1020" s="34" t="inlineStr">
        <is>
          <t>Source assignment -- not individually reviewed</t>
        </is>
      </c>
      <c r="H1020" s="92" t="inlineStr">
        <is>
          <t>10 EVIDENCE &amp; DECISIONS</t>
        </is>
      </c>
    </row>
    <row r="1021" ht="34" customHeight="1">
      <c r="A1021" s="34" t="inlineStr">
        <is>
          <t>R1384-v1</t>
        </is>
      </c>
      <c r="B1021" s="34" t="inlineStr">
        <is>
          <t>Cost &amp; Forecast Control Accounts</t>
        </is>
      </c>
      <c r="C1021" s="34" t="inlineStr">
        <is>
          <t>CST-04-062</t>
        </is>
      </c>
      <c r="D1021" s="34" t="inlineStr">
        <is>
          <t>1.4.2 Vehicles and Depot - Depot Buildings</t>
        </is>
      </c>
      <c r="E1021" s="34" t="inlineStr">
        <is>
          <t>New</t>
        </is>
      </c>
      <c r="F1021" s="14" t="inlineStr"/>
      <c r="G1021" s="34" t="inlineStr">
        <is>
          <t>Source assignment -- not individually reviewed</t>
        </is>
      </c>
      <c r="H1021" s="92" t="inlineStr">
        <is>
          <t>10 EVIDENCE &amp; DECISIONS</t>
        </is>
      </c>
    </row>
    <row r="1022" ht="34" customHeight="1">
      <c r="A1022" s="34" t="inlineStr">
        <is>
          <t>R1386-v1</t>
        </is>
      </c>
      <c r="B1022" s="34" t="inlineStr">
        <is>
          <t>Cost &amp; Forecast Control Accounts</t>
        </is>
      </c>
      <c r="C1022" s="34" t="inlineStr">
        <is>
          <t>CST-04-064</t>
        </is>
      </c>
      <c r="D1022" s="34" t="inlineStr">
        <is>
          <t>1.4.2 Vehicles and Depot - Depot Buildings</t>
        </is>
      </c>
      <c r="E1022" s="34" t="inlineStr">
        <is>
          <t>New</t>
        </is>
      </c>
      <c r="F1022" s="14" t="inlineStr"/>
      <c r="G1022" s="34" t="inlineStr">
        <is>
          <t>Source assignment -- not individually reviewed</t>
        </is>
      </c>
      <c r="H1022" s="92" t="inlineStr">
        <is>
          <t>10 EVIDENCE &amp; DECISIONS</t>
        </is>
      </c>
    </row>
    <row r="1023" ht="34" customHeight="1">
      <c r="A1023" s="34" t="inlineStr">
        <is>
          <t>R1388-v1</t>
        </is>
      </c>
      <c r="B1023" s="34" t="inlineStr">
        <is>
          <t>Cost &amp; Forecast Control Accounts</t>
        </is>
      </c>
      <c r="C1023" s="34" t="inlineStr">
        <is>
          <t>CST-04-066</t>
        </is>
      </c>
      <c r="D1023" s="34" t="inlineStr">
        <is>
          <t>1.4.2 Vehicles and Depot - Depot Buildings</t>
        </is>
      </c>
      <c r="E1023" s="34" t="inlineStr">
        <is>
          <t>New</t>
        </is>
      </c>
      <c r="F1023" s="14" t="inlineStr"/>
      <c r="G1023" s="34" t="inlineStr">
        <is>
          <t>Source assignment -- not individually reviewed</t>
        </is>
      </c>
      <c r="H1023" s="92" t="inlineStr">
        <is>
          <t>10 EVIDENCE &amp; DECISIONS</t>
        </is>
      </c>
    </row>
    <row r="1024" ht="34" customHeight="1">
      <c r="A1024" s="34" t="inlineStr">
        <is>
          <t>R1390-v1</t>
        </is>
      </c>
      <c r="B1024" s="34" t="inlineStr">
        <is>
          <t>Cost &amp; Forecast Control Accounts</t>
        </is>
      </c>
      <c r="C1024" s="34" t="inlineStr">
        <is>
          <t>CST-04-068</t>
        </is>
      </c>
      <c r="D1024" s="34" t="inlineStr">
        <is>
          <t>1.4.2 Vehicles and Depot - Depot Buildings</t>
        </is>
      </c>
      <c r="E1024" s="34" t="inlineStr">
        <is>
          <t>New</t>
        </is>
      </c>
      <c r="F1024" s="14" t="inlineStr"/>
      <c r="G1024" s="34" t="inlineStr">
        <is>
          <t>Source assignment -- not individually reviewed</t>
        </is>
      </c>
      <c r="H1024" s="92" t="inlineStr">
        <is>
          <t>10 EVIDENCE &amp; DECISIONS</t>
        </is>
      </c>
    </row>
    <row r="1025" ht="34" customHeight="1">
      <c r="A1025" s="34" t="inlineStr">
        <is>
          <t>R1392-v1</t>
        </is>
      </c>
      <c r="B1025" s="34" t="inlineStr">
        <is>
          <t>Cost &amp; Forecast Control Accounts</t>
        </is>
      </c>
      <c r="C1025" s="34" t="inlineStr">
        <is>
          <t>CST-04-070</t>
        </is>
      </c>
      <c r="D1025" s="34" t="inlineStr">
        <is>
          <t>1.4.2 Vehicles and Depot - Depot Buildings</t>
        </is>
      </c>
      <c r="E1025" s="34" t="inlineStr">
        <is>
          <t>New</t>
        </is>
      </c>
      <c r="F1025" s="14" t="inlineStr"/>
      <c r="G1025" s="34" t="inlineStr">
        <is>
          <t>Source assignment -- not individually reviewed</t>
        </is>
      </c>
      <c r="H1025" s="92" t="inlineStr">
        <is>
          <t>10 EVIDENCE &amp; DECISIONS</t>
        </is>
      </c>
    </row>
    <row r="1026" ht="34" customHeight="1">
      <c r="A1026" s="34" t="inlineStr">
        <is>
          <t>R1394-v1</t>
        </is>
      </c>
      <c r="B1026" s="34" t="inlineStr">
        <is>
          <t>Cost &amp; Forecast Control Accounts</t>
        </is>
      </c>
      <c r="C1026" s="34" t="inlineStr">
        <is>
          <t>CST-04-072</t>
        </is>
      </c>
      <c r="D1026" s="34" t="inlineStr">
        <is>
          <t>1.4.2 Vehicles and Depot - Depot Buildings</t>
        </is>
      </c>
      <c r="E1026" s="34" t="inlineStr">
        <is>
          <t>New</t>
        </is>
      </c>
      <c r="F1026" s="14" t="inlineStr"/>
      <c r="G1026" s="34" t="inlineStr">
        <is>
          <t>Source assignment -- not individually reviewed</t>
        </is>
      </c>
      <c r="H1026" s="92" t="inlineStr">
        <is>
          <t>10 EVIDENCE &amp; DECISIONS</t>
        </is>
      </c>
    </row>
    <row r="1027" ht="34" customHeight="1">
      <c r="A1027" s="34" t="inlineStr">
        <is>
          <t>R1396-v1</t>
        </is>
      </c>
      <c r="B1027" s="34" t="inlineStr">
        <is>
          <t>Cost &amp; Forecast Control Accounts</t>
        </is>
      </c>
      <c r="C1027" s="34" t="inlineStr">
        <is>
          <t>CST-04-074</t>
        </is>
      </c>
      <c r="D1027" s="34" t="inlineStr">
        <is>
          <t>1.4.2 Vehicles and Depot - Depot Buildings</t>
        </is>
      </c>
      <c r="E1027" s="34" t="inlineStr">
        <is>
          <t>New</t>
        </is>
      </c>
      <c r="F1027" s="14" t="inlineStr"/>
      <c r="G1027" s="34" t="inlineStr">
        <is>
          <t>Source assignment -- not individually reviewed</t>
        </is>
      </c>
      <c r="H1027" s="92" t="inlineStr">
        <is>
          <t>10 EVIDENCE &amp; DECISIONS</t>
        </is>
      </c>
    </row>
    <row r="1028" ht="34" customHeight="1">
      <c r="A1028" s="34" t="inlineStr">
        <is>
          <t>R1398-v1</t>
        </is>
      </c>
      <c r="B1028" s="34" t="inlineStr">
        <is>
          <t>Cost &amp; Forecast Control Accounts</t>
        </is>
      </c>
      <c r="C1028" s="34" t="inlineStr">
        <is>
          <t>CST-04-076</t>
        </is>
      </c>
      <c r="D1028" s="34" t="inlineStr">
        <is>
          <t>1.4.2 Vehicles and Depot - Depot Buildings</t>
        </is>
      </c>
      <c r="E1028" s="34" t="inlineStr">
        <is>
          <t>New</t>
        </is>
      </c>
      <c r="F1028" s="14" t="inlineStr"/>
      <c r="G1028" s="34" t="inlineStr">
        <is>
          <t>Source assignment -- not individually reviewed</t>
        </is>
      </c>
      <c r="H1028" s="92" t="inlineStr">
        <is>
          <t>10 EVIDENCE &amp; DECISIONS</t>
        </is>
      </c>
    </row>
    <row r="1029" ht="34" customHeight="1">
      <c r="A1029" s="34" t="inlineStr">
        <is>
          <t>R1400-v1</t>
        </is>
      </c>
      <c r="B1029" s="34" t="inlineStr">
        <is>
          <t>Cost &amp; Forecast Control Accounts</t>
        </is>
      </c>
      <c r="C1029" s="34" t="inlineStr">
        <is>
          <t>CST-04-078</t>
        </is>
      </c>
      <c r="D1029" s="34" t="inlineStr">
        <is>
          <t>1.4.2 Vehicles and Depot - Depot Buildings</t>
        </is>
      </c>
      <c r="E1029" s="34" t="inlineStr">
        <is>
          <t>New</t>
        </is>
      </c>
      <c r="F1029" s="14" t="inlineStr"/>
      <c r="G1029" s="34" t="inlineStr">
        <is>
          <t>Source assignment -- not individually reviewed</t>
        </is>
      </c>
      <c r="H1029" s="92" t="inlineStr">
        <is>
          <t>10 EVIDENCE &amp; DECISIONS</t>
        </is>
      </c>
    </row>
    <row r="1030" ht="34" customHeight="1">
      <c r="A1030" s="34" t="inlineStr">
        <is>
          <t>R1402-v1</t>
        </is>
      </c>
      <c r="B1030" s="34" t="inlineStr">
        <is>
          <t>Cost &amp; Forecast Control Accounts</t>
        </is>
      </c>
      <c r="C1030" s="34" t="inlineStr">
        <is>
          <t>CST-04-080</t>
        </is>
      </c>
      <c r="D1030" s="34" t="inlineStr">
        <is>
          <t>1.4.2 Vehicles and Depot - Depot Buildings</t>
        </is>
      </c>
      <c r="E1030" s="34" t="inlineStr">
        <is>
          <t>New</t>
        </is>
      </c>
      <c r="F1030" s="14" t="inlineStr"/>
      <c r="G1030" s="34" t="inlineStr">
        <is>
          <t>Source assignment -- not individually reviewed</t>
        </is>
      </c>
      <c r="H1030" s="92" t="inlineStr">
        <is>
          <t>10 EVIDENCE &amp; DECISIONS</t>
        </is>
      </c>
    </row>
    <row r="1031" ht="34" customHeight="1">
      <c r="A1031" s="34" t="inlineStr">
        <is>
          <t>R546-v1</t>
        </is>
      </c>
      <c r="B1031" s="34" t="inlineStr">
        <is>
          <t>Contractor Programme</t>
        </is>
      </c>
      <c r="C1031" s="34" t="inlineStr">
        <is>
          <t>SCH-04-006</t>
        </is>
      </c>
      <c r="D1031" s="34" t="inlineStr">
        <is>
          <t>1.4.2 Vehicles and Depot - Depot Buildings</t>
        </is>
      </c>
      <c r="E1031" s="34" t="inlineStr">
        <is>
          <t>New</t>
        </is>
      </c>
      <c r="F1031" s="14" t="inlineStr"/>
      <c r="G1031" s="34" t="inlineStr">
        <is>
          <t>Source assignment -- not individually reviewed</t>
        </is>
      </c>
      <c r="H1031" s="92" t="inlineStr">
        <is>
          <t>10 EVIDENCE &amp; DECISIONS</t>
        </is>
      </c>
    </row>
    <row r="1032" ht="34" customHeight="1">
      <c r="A1032" s="34" t="inlineStr">
        <is>
          <t>R549-v1</t>
        </is>
      </c>
      <c r="B1032" s="34" t="inlineStr">
        <is>
          <t>Contractor Programme</t>
        </is>
      </c>
      <c r="C1032" s="34" t="inlineStr">
        <is>
          <t>SCH-04-009</t>
        </is>
      </c>
      <c r="D1032" s="34" t="inlineStr">
        <is>
          <t>1.4.2 Vehicles and Depot - Depot Buildings</t>
        </is>
      </c>
      <c r="E1032" s="34" t="inlineStr">
        <is>
          <t>New</t>
        </is>
      </c>
      <c r="F1032" s="14" t="inlineStr"/>
      <c r="G1032" s="34" t="inlineStr">
        <is>
          <t>Source assignment -- not individually reviewed</t>
        </is>
      </c>
      <c r="H1032" s="92" t="inlineStr">
        <is>
          <t>10 EVIDENCE &amp; DECISIONS</t>
        </is>
      </c>
    </row>
    <row r="1033" ht="34" customHeight="1">
      <c r="A1033" s="34" t="inlineStr">
        <is>
          <t>R552-v1</t>
        </is>
      </c>
      <c r="B1033" s="34" t="inlineStr">
        <is>
          <t>Contractor Programme</t>
        </is>
      </c>
      <c r="C1033" s="34" t="inlineStr">
        <is>
          <t>SCH-04-012</t>
        </is>
      </c>
      <c r="D1033" s="34" t="inlineStr">
        <is>
          <t>1.4.2 Vehicles and Depot - Depot Buildings</t>
        </is>
      </c>
      <c r="E1033" s="34" t="inlineStr">
        <is>
          <t>New</t>
        </is>
      </c>
      <c r="F1033" s="14" t="inlineStr"/>
      <c r="G1033" s="34" t="inlineStr">
        <is>
          <t>Source assignment -- not individually reviewed</t>
        </is>
      </c>
      <c r="H1033" s="92" t="inlineStr">
        <is>
          <t>10 EVIDENCE &amp; DECISIONS</t>
        </is>
      </c>
    </row>
    <row r="1034" ht="34" customHeight="1">
      <c r="A1034" s="34" t="inlineStr">
        <is>
          <t>R555-v1</t>
        </is>
      </c>
      <c r="B1034" s="34" t="inlineStr">
        <is>
          <t>Contractor Programme</t>
        </is>
      </c>
      <c r="C1034" s="34" t="inlineStr">
        <is>
          <t>SCH-04-015</t>
        </is>
      </c>
      <c r="D1034" s="34" t="inlineStr">
        <is>
          <t>1.4.2 Vehicles and Depot - Depot Buildings</t>
        </is>
      </c>
      <c r="E1034" s="34" t="inlineStr">
        <is>
          <t>New</t>
        </is>
      </c>
      <c r="F1034" s="14" t="inlineStr"/>
      <c r="G1034" s="34" t="inlineStr">
        <is>
          <t>Source assignment -- not individually reviewed</t>
        </is>
      </c>
      <c r="H1034" s="92" t="inlineStr">
        <is>
          <t>10 EVIDENCE &amp; DECISIONS</t>
        </is>
      </c>
    </row>
    <row r="1035" ht="34" customHeight="1">
      <c r="A1035" s="34" t="inlineStr">
        <is>
          <t>R558-v1</t>
        </is>
      </c>
      <c r="B1035" s="34" t="inlineStr">
        <is>
          <t>Contractor Programme</t>
        </is>
      </c>
      <c r="C1035" s="34" t="inlineStr">
        <is>
          <t>SCH-04-018</t>
        </is>
      </c>
      <c r="D1035" s="34" t="inlineStr">
        <is>
          <t>1.4.2 Vehicles and Depot - Depot Buildings</t>
        </is>
      </c>
      <c r="E1035" s="34" t="inlineStr">
        <is>
          <t>New</t>
        </is>
      </c>
      <c r="F1035" s="14" t="inlineStr"/>
      <c r="G1035" s="34" t="inlineStr">
        <is>
          <t>Source assignment -- not individually reviewed</t>
        </is>
      </c>
      <c r="H1035" s="92" t="inlineStr">
        <is>
          <t>10 EVIDENCE &amp; DECISIONS</t>
        </is>
      </c>
    </row>
    <row r="1036" ht="34" customHeight="1">
      <c r="A1036" s="34" t="inlineStr">
        <is>
          <t>R561-v1</t>
        </is>
      </c>
      <c r="B1036" s="34" t="inlineStr">
        <is>
          <t>Contractor Programme</t>
        </is>
      </c>
      <c r="C1036" s="34" t="inlineStr">
        <is>
          <t>SCH-04-021</t>
        </is>
      </c>
      <c r="D1036" s="34" t="inlineStr">
        <is>
          <t>1.4.2 Vehicles and Depot - Depot Buildings</t>
        </is>
      </c>
      <c r="E1036" s="34" t="inlineStr">
        <is>
          <t>New</t>
        </is>
      </c>
      <c r="F1036" s="14" t="inlineStr"/>
      <c r="G1036" s="34" t="inlineStr">
        <is>
          <t>Source assignment -- not individually reviewed</t>
        </is>
      </c>
      <c r="H1036" s="92" t="inlineStr">
        <is>
          <t>10 EVIDENCE &amp; DECISIONS</t>
        </is>
      </c>
    </row>
    <row r="1037" ht="34" customHeight="1">
      <c r="A1037" s="34" t="inlineStr">
        <is>
          <t>R564-v1</t>
        </is>
      </c>
      <c r="B1037" s="34" t="inlineStr">
        <is>
          <t>Contractor Programme</t>
        </is>
      </c>
      <c r="C1037" s="34" t="inlineStr">
        <is>
          <t>SCH-04-024</t>
        </is>
      </c>
      <c r="D1037" s="34" t="inlineStr">
        <is>
          <t>1.4.2 Vehicles and Depot - Depot Buildings</t>
        </is>
      </c>
      <c r="E1037" s="34" t="inlineStr">
        <is>
          <t>New</t>
        </is>
      </c>
      <c r="F1037" s="14" t="inlineStr"/>
      <c r="G1037" s="34" t="inlineStr">
        <is>
          <t>Source assignment -- not individually reviewed</t>
        </is>
      </c>
      <c r="H1037" s="92" t="inlineStr">
        <is>
          <t>10 EVIDENCE &amp; DECISIONS</t>
        </is>
      </c>
    </row>
    <row r="1038" ht="34" customHeight="1">
      <c r="A1038" s="34" t="inlineStr">
        <is>
          <t>R567-v1</t>
        </is>
      </c>
      <c r="B1038" s="34" t="inlineStr">
        <is>
          <t>Contractor Programme</t>
        </is>
      </c>
      <c r="C1038" s="34" t="inlineStr">
        <is>
          <t>SCH-04-027</t>
        </is>
      </c>
      <c r="D1038" s="34" t="inlineStr">
        <is>
          <t>1.4.2 Vehicles and Depot - Depot Buildings</t>
        </is>
      </c>
      <c r="E1038" s="34" t="inlineStr">
        <is>
          <t>New</t>
        </is>
      </c>
      <c r="F1038" s="14" t="inlineStr"/>
      <c r="G1038" s="34" t="inlineStr">
        <is>
          <t>Source assignment -- not individually reviewed</t>
        </is>
      </c>
      <c r="H1038" s="92" t="inlineStr">
        <is>
          <t>10 EVIDENCE &amp; DECISIONS</t>
        </is>
      </c>
    </row>
    <row r="1039" ht="34" customHeight="1">
      <c r="A1039" s="34" t="inlineStr">
        <is>
          <t>R570-v1</t>
        </is>
      </c>
      <c r="B1039" s="34" t="inlineStr">
        <is>
          <t>Contractor Programme</t>
        </is>
      </c>
      <c r="C1039" s="34" t="inlineStr">
        <is>
          <t>SCH-04-030</t>
        </is>
      </c>
      <c r="D1039" s="34" t="inlineStr">
        <is>
          <t>1.4.2 Vehicles and Depot - Depot Buildings</t>
        </is>
      </c>
      <c r="E1039" s="34" t="inlineStr">
        <is>
          <t>New</t>
        </is>
      </c>
      <c r="F1039" s="14" t="inlineStr"/>
      <c r="G1039" s="34" t="inlineStr">
        <is>
          <t>Source assignment -- not individually reviewed</t>
        </is>
      </c>
      <c r="H1039" s="92" t="inlineStr">
        <is>
          <t>10 EVIDENCE &amp; DECISIONS</t>
        </is>
      </c>
    </row>
    <row r="1040" ht="34" customHeight="1">
      <c r="A1040" s="34" t="inlineStr">
        <is>
          <t>R573-v1</t>
        </is>
      </c>
      <c r="B1040" s="34" t="inlineStr">
        <is>
          <t>Contractor Programme</t>
        </is>
      </c>
      <c r="C1040" s="34" t="inlineStr">
        <is>
          <t>SCH-04-033</t>
        </is>
      </c>
      <c r="D1040" s="34" t="inlineStr">
        <is>
          <t>1.4.2 Vehicles and Depot - Depot Buildings</t>
        </is>
      </c>
      <c r="E1040" s="34" t="inlineStr">
        <is>
          <t>New</t>
        </is>
      </c>
      <c r="F1040" s="14" t="inlineStr"/>
      <c r="G1040" s="34" t="inlineStr">
        <is>
          <t>Source assignment -- not individually reviewed</t>
        </is>
      </c>
      <c r="H1040" s="92" t="inlineStr">
        <is>
          <t>10 EVIDENCE &amp; DECISIONS</t>
        </is>
      </c>
    </row>
    <row r="1041" ht="34" customHeight="1">
      <c r="A1041" s="34" t="inlineStr">
        <is>
          <t>R576-v1</t>
        </is>
      </c>
      <c r="B1041" s="34" t="inlineStr">
        <is>
          <t>Contractor Programme</t>
        </is>
      </c>
      <c r="C1041" s="34" t="inlineStr">
        <is>
          <t>SCH-04-036</t>
        </is>
      </c>
      <c r="D1041" s="34" t="inlineStr">
        <is>
          <t>1.4.2 Vehicles and Depot - Depot Buildings</t>
        </is>
      </c>
      <c r="E1041" s="34" t="inlineStr">
        <is>
          <t>New</t>
        </is>
      </c>
      <c r="F1041" s="14" t="inlineStr"/>
      <c r="G1041" s="34" t="inlineStr">
        <is>
          <t>Source assignment -- not individually reviewed</t>
        </is>
      </c>
      <c r="H1041" s="92" t="inlineStr">
        <is>
          <t>10 EVIDENCE &amp; DECISIONS</t>
        </is>
      </c>
    </row>
    <row r="1042" ht="34" customHeight="1">
      <c r="A1042" s="34" t="inlineStr">
        <is>
          <t>R579-v1</t>
        </is>
      </c>
      <c r="B1042" s="34" t="inlineStr">
        <is>
          <t>Contractor Programme</t>
        </is>
      </c>
      <c r="C1042" s="34" t="inlineStr">
        <is>
          <t>SCH-04-039</t>
        </is>
      </c>
      <c r="D1042" s="34" t="inlineStr">
        <is>
          <t>1.4.2 Vehicles and Depot - Depot Buildings</t>
        </is>
      </c>
      <c r="E1042" s="34" t="inlineStr">
        <is>
          <t>New</t>
        </is>
      </c>
      <c r="F1042" s="14" t="inlineStr"/>
      <c r="G1042" s="34" t="inlineStr">
        <is>
          <t>Source assignment -- not individually reviewed</t>
        </is>
      </c>
      <c r="H1042" s="92" t="inlineStr">
        <is>
          <t>10 EVIDENCE &amp; DECISIONS</t>
        </is>
      </c>
    </row>
    <row r="1043" ht="34" customHeight="1">
      <c r="A1043" s="34" t="inlineStr">
        <is>
          <t>R582-v1</t>
        </is>
      </c>
      <c r="B1043" s="34" t="inlineStr">
        <is>
          <t>Contractor Programme</t>
        </is>
      </c>
      <c r="C1043" s="34" t="inlineStr">
        <is>
          <t>SCH-04-042</t>
        </is>
      </c>
      <c r="D1043" s="34" t="inlineStr">
        <is>
          <t>1.4.2 Vehicles and Depot - Depot Buildings</t>
        </is>
      </c>
      <c r="E1043" s="34" t="inlineStr">
        <is>
          <t>New</t>
        </is>
      </c>
      <c r="F1043" s="14" t="inlineStr"/>
      <c r="G1043" s="34" t="inlineStr">
        <is>
          <t>Source assignment -- not individually reviewed</t>
        </is>
      </c>
      <c r="H1043" s="92" t="inlineStr">
        <is>
          <t>10 EVIDENCE &amp; DECISIONS</t>
        </is>
      </c>
    </row>
    <row r="1044" ht="34" customHeight="1">
      <c r="A1044" s="34" t="inlineStr">
        <is>
          <t>R585-v1</t>
        </is>
      </c>
      <c r="B1044" s="34" t="inlineStr">
        <is>
          <t>Contractor Programme</t>
        </is>
      </c>
      <c r="C1044" s="34" t="inlineStr">
        <is>
          <t>SCH-04-045</t>
        </is>
      </c>
      <c r="D1044" s="34" t="inlineStr">
        <is>
          <t>1.4.2 Vehicles and Depot - Depot Buildings</t>
        </is>
      </c>
      <c r="E1044" s="34" t="inlineStr">
        <is>
          <t>New</t>
        </is>
      </c>
      <c r="F1044" s="14" t="inlineStr"/>
      <c r="G1044" s="34" t="inlineStr">
        <is>
          <t>Source assignment -- not individually reviewed</t>
        </is>
      </c>
      <c r="H1044" s="92" t="inlineStr">
        <is>
          <t>10 EVIDENCE &amp; DECISIONS</t>
        </is>
      </c>
    </row>
    <row r="1045" ht="34" customHeight="1">
      <c r="A1045" s="34" t="inlineStr">
        <is>
          <t>R588-v1</t>
        </is>
      </c>
      <c r="B1045" s="34" t="inlineStr">
        <is>
          <t>Contractor Programme</t>
        </is>
      </c>
      <c r="C1045" s="34" t="inlineStr">
        <is>
          <t>SCH-04-048</t>
        </is>
      </c>
      <c r="D1045" s="34" t="inlineStr">
        <is>
          <t>1.4.2 Vehicles and Depot - Depot Buildings</t>
        </is>
      </c>
      <c r="E1045" s="34" t="inlineStr">
        <is>
          <t>New</t>
        </is>
      </c>
      <c r="F1045" s="14" t="inlineStr"/>
      <c r="G1045" s="34" t="inlineStr">
        <is>
          <t>Source assignment -- not individually reviewed</t>
        </is>
      </c>
      <c r="H1045" s="92" t="inlineStr">
        <is>
          <t>10 EVIDENCE &amp; DECISIONS</t>
        </is>
      </c>
    </row>
    <row r="1046" ht="34" customHeight="1">
      <c r="A1046" s="34" t="inlineStr">
        <is>
          <t>R591-v1</t>
        </is>
      </c>
      <c r="B1046" s="34" t="inlineStr">
        <is>
          <t>Contractor Programme</t>
        </is>
      </c>
      <c r="C1046" s="34" t="inlineStr">
        <is>
          <t>SCH-04-051</t>
        </is>
      </c>
      <c r="D1046" s="34" t="inlineStr">
        <is>
          <t>1.4.2 Vehicles and Depot - Depot Buildings</t>
        </is>
      </c>
      <c r="E1046" s="34" t="inlineStr">
        <is>
          <t>New</t>
        </is>
      </c>
      <c r="F1046" s="14" t="inlineStr"/>
      <c r="G1046" s="34" t="inlineStr">
        <is>
          <t>Source assignment -- not individually reviewed</t>
        </is>
      </c>
      <c r="H1046" s="92" t="inlineStr">
        <is>
          <t>10 EVIDENCE &amp; DECISIONS</t>
        </is>
      </c>
    </row>
    <row r="1047" ht="34" customHeight="1">
      <c r="A1047" s="34" t="inlineStr">
        <is>
          <t>R594-v1</t>
        </is>
      </c>
      <c r="B1047" s="34" t="inlineStr">
        <is>
          <t>Contractor Programme</t>
        </is>
      </c>
      <c r="C1047" s="34" t="inlineStr">
        <is>
          <t>SCH-04-054</t>
        </is>
      </c>
      <c r="D1047" s="34" t="inlineStr">
        <is>
          <t>1.4.2 Vehicles and Depot - Depot Buildings</t>
        </is>
      </c>
      <c r="E1047" s="34" t="inlineStr">
        <is>
          <t>New</t>
        </is>
      </c>
      <c r="F1047" s="14" t="inlineStr"/>
      <c r="G1047" s="34" t="inlineStr">
        <is>
          <t>Source assignment -- not individually reviewed</t>
        </is>
      </c>
      <c r="H1047" s="92" t="inlineStr">
        <is>
          <t>10 EVIDENCE &amp; DECISIONS</t>
        </is>
      </c>
    </row>
    <row r="1048" ht="34" customHeight="1">
      <c r="A1048" s="34" t="inlineStr">
        <is>
          <t>R597-v1</t>
        </is>
      </c>
      <c r="B1048" s="34" t="inlineStr">
        <is>
          <t>Contractor Programme</t>
        </is>
      </c>
      <c r="C1048" s="34" t="inlineStr">
        <is>
          <t>SCH-04-057</t>
        </is>
      </c>
      <c r="D1048" s="34" t="inlineStr">
        <is>
          <t>1.4.2 Vehicles and Depot - Depot Buildings</t>
        </is>
      </c>
      <c r="E1048" s="34" t="inlineStr">
        <is>
          <t>New</t>
        </is>
      </c>
      <c r="F1048" s="14" t="inlineStr"/>
      <c r="G1048" s="34" t="inlineStr">
        <is>
          <t>Source assignment -- not individually reviewed</t>
        </is>
      </c>
      <c r="H1048" s="92" t="inlineStr">
        <is>
          <t>10 EVIDENCE &amp; DECISIONS</t>
        </is>
      </c>
    </row>
    <row r="1049" ht="34" customHeight="1">
      <c r="A1049" s="34" t="inlineStr">
        <is>
          <t>R600-v1</t>
        </is>
      </c>
      <c r="B1049" s="34" t="inlineStr">
        <is>
          <t>Contractor Programme</t>
        </is>
      </c>
      <c r="C1049" s="34" t="inlineStr">
        <is>
          <t>SCH-04-060</t>
        </is>
      </c>
      <c r="D1049" s="34" t="inlineStr">
        <is>
          <t>1.4.2 Vehicles and Depot - Depot Buildings</t>
        </is>
      </c>
      <c r="E1049" s="34" t="inlineStr">
        <is>
          <t>New</t>
        </is>
      </c>
      <c r="F1049" s="14" t="inlineStr"/>
      <c r="G1049" s="34" t="inlineStr">
        <is>
          <t>Source assignment -- not individually reviewed</t>
        </is>
      </c>
      <c r="H1049" s="92" t="inlineStr">
        <is>
          <t>10 EVIDENCE &amp; DECISIONS</t>
        </is>
      </c>
    </row>
    <row r="1050" ht="34" customHeight="1">
      <c r="A1050" s="34" t="inlineStr">
        <is>
          <t>R603-v1</t>
        </is>
      </c>
      <c r="B1050" s="34" t="inlineStr">
        <is>
          <t>Contractor Programme</t>
        </is>
      </c>
      <c r="C1050" s="34" t="inlineStr">
        <is>
          <t>SCH-04-063</t>
        </is>
      </c>
      <c r="D1050" s="34" t="inlineStr">
        <is>
          <t>1.4.2 Vehicles and Depot - Depot Buildings</t>
        </is>
      </c>
      <c r="E1050" s="34" t="inlineStr">
        <is>
          <t>New</t>
        </is>
      </c>
      <c r="F1050" s="14" t="inlineStr"/>
      <c r="G1050" s="34" t="inlineStr">
        <is>
          <t>Source assignment -- not individually reviewed</t>
        </is>
      </c>
      <c r="H1050" s="92" t="inlineStr">
        <is>
          <t>10 EVIDENCE &amp; DECISIONS</t>
        </is>
      </c>
    </row>
    <row r="1051" ht="34" customHeight="1">
      <c r="A1051" s="34" t="inlineStr">
        <is>
          <t>R606-v1</t>
        </is>
      </c>
      <c r="B1051" s="34" t="inlineStr">
        <is>
          <t>Contractor Programme</t>
        </is>
      </c>
      <c r="C1051" s="34" t="inlineStr">
        <is>
          <t>SCH-04-066</t>
        </is>
      </c>
      <c r="D1051" s="34" t="inlineStr">
        <is>
          <t>1.4.2 Vehicles and Depot - Depot Buildings</t>
        </is>
      </c>
      <c r="E1051" s="34" t="inlineStr">
        <is>
          <t>New</t>
        </is>
      </c>
      <c r="F1051" s="14" t="inlineStr"/>
      <c r="G1051" s="34" t="inlineStr">
        <is>
          <t>Source assignment -- not individually reviewed</t>
        </is>
      </c>
      <c r="H1051" s="92" t="inlineStr">
        <is>
          <t>10 EVIDENCE &amp; DECISIONS</t>
        </is>
      </c>
    </row>
    <row r="1052" ht="34" customHeight="1">
      <c r="A1052" s="34" t="inlineStr">
        <is>
          <t>R609-v1</t>
        </is>
      </c>
      <c r="B1052" s="34" t="inlineStr">
        <is>
          <t>Contractor Programme</t>
        </is>
      </c>
      <c r="C1052" s="34" t="inlineStr">
        <is>
          <t>SCH-04-069</t>
        </is>
      </c>
      <c r="D1052" s="34" t="inlineStr">
        <is>
          <t>1.4.2 Vehicles and Depot - Depot Buildings</t>
        </is>
      </c>
      <c r="E1052" s="34" t="inlineStr">
        <is>
          <t>New</t>
        </is>
      </c>
      <c r="F1052" s="14" t="inlineStr"/>
      <c r="G1052" s="34" t="inlineStr">
        <is>
          <t>Source assignment -- not individually reviewed</t>
        </is>
      </c>
      <c r="H1052" s="92" t="inlineStr">
        <is>
          <t>10 EVIDENCE &amp; DECISIONS</t>
        </is>
      </c>
    </row>
    <row r="1053" ht="34" customHeight="1">
      <c r="A1053" s="34" t="inlineStr">
        <is>
          <t>R612-v1</t>
        </is>
      </c>
      <c r="B1053" s="34" t="inlineStr">
        <is>
          <t>Contractor Programme</t>
        </is>
      </c>
      <c r="C1053" s="34" t="inlineStr">
        <is>
          <t>SCH-04-072</t>
        </is>
      </c>
      <c r="D1053" s="34" t="inlineStr">
        <is>
          <t>1.4.2 Vehicles and Depot - Depot Buildings</t>
        </is>
      </c>
      <c r="E1053" s="34" t="inlineStr">
        <is>
          <t>New</t>
        </is>
      </c>
      <c r="F1053" s="14" t="inlineStr"/>
      <c r="G1053" s="34" t="inlineStr">
        <is>
          <t>Source assignment -- not individually reviewed</t>
        </is>
      </c>
      <c r="H1053" s="92" t="inlineStr">
        <is>
          <t>10 EVIDENCE &amp; DECISIONS</t>
        </is>
      </c>
    </row>
    <row r="1054" ht="34" customHeight="1">
      <c r="A1054" s="34" t="inlineStr">
        <is>
          <t>R615-v1</t>
        </is>
      </c>
      <c r="B1054" s="34" t="inlineStr">
        <is>
          <t>Contractor Programme</t>
        </is>
      </c>
      <c r="C1054" s="34" t="inlineStr">
        <is>
          <t>SCH-04-075</t>
        </is>
      </c>
      <c r="D1054" s="34" t="inlineStr">
        <is>
          <t>1.4.2 Vehicles and Depot - Depot Buildings</t>
        </is>
      </c>
      <c r="E1054" s="34" t="inlineStr">
        <is>
          <t>New</t>
        </is>
      </c>
      <c r="F1054" s="14" t="inlineStr"/>
      <c r="G1054" s="34" t="inlineStr">
        <is>
          <t>Source assignment -- not individually reviewed</t>
        </is>
      </c>
      <c r="H1054" s="92" t="inlineStr">
        <is>
          <t>10 EVIDENCE &amp; DECISIONS</t>
        </is>
      </c>
    </row>
    <row r="1055" ht="34" customHeight="1">
      <c r="A1055" s="34" t="inlineStr">
        <is>
          <t>R618-v1</t>
        </is>
      </c>
      <c r="B1055" s="34" t="inlineStr">
        <is>
          <t>Contractor Programme</t>
        </is>
      </c>
      <c r="C1055" s="34" t="inlineStr">
        <is>
          <t>SCH-04-078</t>
        </is>
      </c>
      <c r="D1055" s="34" t="inlineStr">
        <is>
          <t>1.4.2 Vehicles and Depot - Depot Buildings</t>
        </is>
      </c>
      <c r="E1055" s="34" t="inlineStr">
        <is>
          <t>New</t>
        </is>
      </c>
      <c r="F1055" s="14" t="inlineStr"/>
      <c r="G1055" s="34" t="inlineStr">
        <is>
          <t>Source assignment -- not individually reviewed</t>
        </is>
      </c>
      <c r="H1055" s="92" t="inlineStr">
        <is>
          <t>10 EVIDENCE &amp; DECISIONS</t>
        </is>
      </c>
    </row>
    <row r="1056" ht="34" customHeight="1">
      <c r="A1056" s="34" t="inlineStr">
        <is>
          <t>R621-v1</t>
        </is>
      </c>
      <c r="B1056" s="34" t="inlineStr">
        <is>
          <t>Contractor Programme</t>
        </is>
      </c>
      <c r="C1056" s="34" t="inlineStr">
        <is>
          <t>SCH-04-081</t>
        </is>
      </c>
      <c r="D1056" s="34" t="inlineStr">
        <is>
          <t>1.4.2 Vehicles and Depot - Depot Buildings</t>
        </is>
      </c>
      <c r="E1056" s="34" t="inlineStr">
        <is>
          <t>New</t>
        </is>
      </c>
      <c r="F1056" s="14" t="inlineStr"/>
      <c r="G1056" s="34" t="inlineStr">
        <is>
          <t>Source assignment -- not individually reviewed</t>
        </is>
      </c>
      <c r="H1056" s="92" t="inlineStr">
        <is>
          <t>10 EVIDENCE &amp; DECISIONS</t>
        </is>
      </c>
    </row>
    <row r="1057" ht="34" customHeight="1">
      <c r="A1057" s="34" t="inlineStr">
        <is>
          <t>R624-v1</t>
        </is>
      </c>
      <c r="B1057" s="34" t="inlineStr">
        <is>
          <t>Contractor Programme</t>
        </is>
      </c>
      <c r="C1057" s="34" t="inlineStr">
        <is>
          <t>SCH-04-084</t>
        </is>
      </c>
      <c r="D1057" s="34" t="inlineStr">
        <is>
          <t>1.4.2 Vehicles and Depot - Depot Buildings</t>
        </is>
      </c>
      <c r="E1057" s="34" t="inlineStr">
        <is>
          <t>New</t>
        </is>
      </c>
      <c r="F1057" s="14" t="inlineStr"/>
      <c r="G1057" s="34" t="inlineStr">
        <is>
          <t>Source assignment -- not individually reviewed</t>
        </is>
      </c>
      <c r="H1057" s="92" t="inlineStr">
        <is>
          <t>10 EVIDENCE &amp; DECISIONS</t>
        </is>
      </c>
    </row>
    <row r="1058" ht="34" customHeight="1">
      <c r="A1058" s="34" t="inlineStr">
        <is>
          <t>R627-v1</t>
        </is>
      </c>
      <c r="B1058" s="34" t="inlineStr">
        <is>
          <t>Contractor Programme</t>
        </is>
      </c>
      <c r="C1058" s="34" t="inlineStr">
        <is>
          <t>SCH-04-087</t>
        </is>
      </c>
      <c r="D1058" s="34" t="inlineStr">
        <is>
          <t>1.4.2 Vehicles and Depot - Depot Buildings</t>
        </is>
      </c>
      <c r="E1058" s="34" t="inlineStr">
        <is>
          <t>New</t>
        </is>
      </c>
      <c r="F1058" s="14" t="inlineStr"/>
      <c r="G1058" s="34" t="inlineStr">
        <is>
          <t>Source assignment -- not individually reviewed</t>
        </is>
      </c>
      <c r="H1058" s="92" t="inlineStr">
        <is>
          <t>10 EVIDENCE &amp; DECISIONS</t>
        </is>
      </c>
    </row>
    <row r="1059" ht="34" customHeight="1">
      <c r="A1059" s="34" t="inlineStr">
        <is>
          <t>R630-v1</t>
        </is>
      </c>
      <c r="B1059" s="34" t="inlineStr">
        <is>
          <t>Contractor Programme</t>
        </is>
      </c>
      <c r="C1059" s="34" t="inlineStr">
        <is>
          <t>SCH-04-090</t>
        </is>
      </c>
      <c r="D1059" s="34" t="inlineStr">
        <is>
          <t>1.4.2 Vehicles and Depot - Depot Buildings</t>
        </is>
      </c>
      <c r="E1059" s="34" t="inlineStr">
        <is>
          <t>New</t>
        </is>
      </c>
      <c r="F1059" s="14" t="inlineStr"/>
      <c r="G1059" s="34" t="inlineStr">
        <is>
          <t>Source assignment -- not individually reviewed</t>
        </is>
      </c>
      <c r="H1059" s="92" t="inlineStr">
        <is>
          <t>10 EVIDENCE &amp; DECISIONS</t>
        </is>
      </c>
    </row>
    <row r="1060" ht="34" customHeight="1">
      <c r="A1060" s="34" t="inlineStr">
        <is>
          <t>R633-v1</t>
        </is>
      </c>
      <c r="B1060" s="34" t="inlineStr">
        <is>
          <t>Contractor Programme</t>
        </is>
      </c>
      <c r="C1060" s="34" t="inlineStr">
        <is>
          <t>SCH-04-093</t>
        </is>
      </c>
      <c r="D1060" s="34" t="inlineStr">
        <is>
          <t>1.4.2 Vehicles and Depot - Depot Buildings</t>
        </is>
      </c>
      <c r="E1060" s="34" t="inlineStr">
        <is>
          <t>New</t>
        </is>
      </c>
      <c r="F1060" s="14" t="inlineStr"/>
      <c r="G1060" s="34" t="inlineStr">
        <is>
          <t>Source assignment -- not individually reviewed</t>
        </is>
      </c>
      <c r="H1060" s="92" t="inlineStr">
        <is>
          <t>10 EVIDENCE &amp; DECISIONS</t>
        </is>
      </c>
    </row>
    <row r="1061" ht="34" customHeight="1">
      <c r="A1061" s="34" t="inlineStr">
        <is>
          <t>R636-v1</t>
        </is>
      </c>
      <c r="B1061" s="34" t="inlineStr">
        <is>
          <t>Contractor Programme</t>
        </is>
      </c>
      <c r="C1061" s="34" t="inlineStr">
        <is>
          <t>SCH-04-096</t>
        </is>
      </c>
      <c r="D1061" s="34" t="inlineStr">
        <is>
          <t>1.4.2 Vehicles and Depot - Depot Buildings</t>
        </is>
      </c>
      <c r="E1061" s="34" t="inlineStr">
        <is>
          <t>New</t>
        </is>
      </c>
      <c r="F1061" s="14" t="inlineStr"/>
      <c r="G1061" s="34" t="inlineStr">
        <is>
          <t>Source assignment -- not individually reviewed</t>
        </is>
      </c>
      <c r="H1061" s="92" t="inlineStr">
        <is>
          <t>10 EVIDENCE &amp; DECISIONS</t>
        </is>
      </c>
    </row>
    <row r="1062" ht="34" customHeight="1">
      <c r="A1062" s="34" t="inlineStr">
        <is>
          <t>R639-v1</t>
        </is>
      </c>
      <c r="B1062" s="34" t="inlineStr">
        <is>
          <t>Contractor Programme</t>
        </is>
      </c>
      <c r="C1062" s="34" t="inlineStr">
        <is>
          <t>SCH-04-099</t>
        </is>
      </c>
      <c r="D1062" s="34" t="inlineStr">
        <is>
          <t>1.4.2 Vehicles and Depot - Depot Buildings</t>
        </is>
      </c>
      <c r="E1062" s="34" t="inlineStr">
        <is>
          <t>New</t>
        </is>
      </c>
      <c r="F1062" s="14" t="inlineStr"/>
      <c r="G1062" s="34" t="inlineStr">
        <is>
          <t>Source assignment -- not individually reviewed</t>
        </is>
      </c>
      <c r="H1062" s="92" t="inlineStr">
        <is>
          <t>10 EVIDENCE &amp; DECISIONS</t>
        </is>
      </c>
    </row>
    <row r="1063" ht="34" customHeight="1">
      <c r="A1063" s="34" t="inlineStr">
        <is>
          <t>R642-v1</t>
        </is>
      </c>
      <c r="B1063" s="34" t="inlineStr">
        <is>
          <t>Contractor Programme</t>
        </is>
      </c>
      <c r="C1063" s="34" t="inlineStr">
        <is>
          <t>SCH-04-102</t>
        </is>
      </c>
      <c r="D1063" s="34" t="inlineStr">
        <is>
          <t>1.4.2 Vehicles and Depot - Depot Buildings</t>
        </is>
      </c>
      <c r="E1063" s="34" t="inlineStr">
        <is>
          <t>New</t>
        </is>
      </c>
      <c r="F1063" s="14" t="inlineStr"/>
      <c r="G1063" s="34" t="inlineStr">
        <is>
          <t>Source assignment -- not individually reviewed</t>
        </is>
      </c>
      <c r="H1063" s="92" t="inlineStr">
        <is>
          <t>10 EVIDENCE &amp; DECISIONS</t>
        </is>
      </c>
    </row>
    <row r="1064" ht="34" customHeight="1">
      <c r="A1064" s="34" t="inlineStr">
        <is>
          <t>R645-v1</t>
        </is>
      </c>
      <c r="B1064" s="34" t="inlineStr">
        <is>
          <t>Contractor Programme</t>
        </is>
      </c>
      <c r="C1064" s="34" t="inlineStr">
        <is>
          <t>SCH-04-105</t>
        </is>
      </c>
      <c r="D1064" s="34" t="inlineStr">
        <is>
          <t>1.4.2 Vehicles and Depot - Depot Buildings</t>
        </is>
      </c>
      <c r="E1064" s="34" t="inlineStr">
        <is>
          <t>New</t>
        </is>
      </c>
      <c r="F1064" s="14" t="inlineStr"/>
      <c r="G1064" s="34" t="inlineStr">
        <is>
          <t>Source assignment -- not individually reviewed</t>
        </is>
      </c>
      <c r="H1064" s="92" t="inlineStr">
        <is>
          <t>10 EVIDENCE &amp; DECISIONS</t>
        </is>
      </c>
    </row>
    <row r="1065" ht="34" customHeight="1">
      <c r="A1065" s="34" t="inlineStr">
        <is>
          <t>R648-v1</t>
        </is>
      </c>
      <c r="B1065" s="34" t="inlineStr">
        <is>
          <t>Contractor Programme</t>
        </is>
      </c>
      <c r="C1065" s="34" t="inlineStr">
        <is>
          <t>SCH-04-108</t>
        </is>
      </c>
      <c r="D1065" s="34" t="inlineStr">
        <is>
          <t>1.4.2 Vehicles and Depot - Depot Buildings</t>
        </is>
      </c>
      <c r="E1065" s="34" t="inlineStr">
        <is>
          <t>New</t>
        </is>
      </c>
      <c r="F1065" s="14" t="inlineStr"/>
      <c r="G1065" s="34" t="inlineStr">
        <is>
          <t>Source assignment -- not individually reviewed</t>
        </is>
      </c>
      <c r="H1065" s="92" t="inlineStr">
        <is>
          <t>10 EVIDENCE &amp; DECISIONS</t>
        </is>
      </c>
    </row>
    <row r="1066" ht="34" customHeight="1">
      <c r="A1066" s="34" t="inlineStr">
        <is>
          <t>R651-v1</t>
        </is>
      </c>
      <c r="B1066" s="34" t="inlineStr">
        <is>
          <t>Contractor Programme</t>
        </is>
      </c>
      <c r="C1066" s="34" t="inlineStr">
        <is>
          <t>SCH-04-111</t>
        </is>
      </c>
      <c r="D1066" s="34" t="inlineStr">
        <is>
          <t>1.4.2 Vehicles and Depot - Depot Buildings</t>
        </is>
      </c>
      <c r="E1066" s="34" t="inlineStr">
        <is>
          <t>New</t>
        </is>
      </c>
      <c r="F1066" s="14" t="inlineStr"/>
      <c r="G1066" s="34" t="inlineStr">
        <is>
          <t>Source assignment -- not individually reviewed</t>
        </is>
      </c>
      <c r="H1066" s="92" t="inlineStr">
        <is>
          <t>10 EVIDENCE &amp; DECISIONS</t>
        </is>
      </c>
    </row>
    <row r="1067" ht="34" customHeight="1">
      <c r="A1067" s="34" t="inlineStr">
        <is>
          <t>R654-v1</t>
        </is>
      </c>
      <c r="B1067" s="34" t="inlineStr">
        <is>
          <t>Contractor Programme</t>
        </is>
      </c>
      <c r="C1067" s="34" t="inlineStr">
        <is>
          <t>SCH-04-114</t>
        </is>
      </c>
      <c r="D1067" s="34" t="inlineStr">
        <is>
          <t>1.4.2 Vehicles and Depot - Depot Buildings</t>
        </is>
      </c>
      <c r="E1067" s="34" t="inlineStr">
        <is>
          <t>New</t>
        </is>
      </c>
      <c r="F1067" s="14" t="inlineStr"/>
      <c r="G1067" s="34" t="inlineStr">
        <is>
          <t>Source assignment -- not individually reviewed</t>
        </is>
      </c>
      <c r="H1067" s="92" t="inlineStr">
        <is>
          <t>10 EVIDENCE &amp; DECISIONS</t>
        </is>
      </c>
    </row>
    <row r="1068" ht="34" customHeight="1">
      <c r="A1068" s="34" t="inlineStr">
        <is>
          <t>R657-v1</t>
        </is>
      </c>
      <c r="B1068" s="34" t="inlineStr">
        <is>
          <t>Contractor Programme</t>
        </is>
      </c>
      <c r="C1068" s="34" t="inlineStr">
        <is>
          <t>SCH-04-117</t>
        </is>
      </c>
      <c r="D1068" s="34" t="inlineStr">
        <is>
          <t>1.4.2 Vehicles and Depot - Depot Buildings</t>
        </is>
      </c>
      <c r="E1068" s="34" t="inlineStr">
        <is>
          <t>New</t>
        </is>
      </c>
      <c r="F1068" s="14" t="inlineStr"/>
      <c r="G1068" s="34" t="inlineStr">
        <is>
          <t>Source assignment -- not individually reviewed</t>
        </is>
      </c>
      <c r="H1068" s="92" t="inlineStr">
        <is>
          <t>10 EVIDENCE &amp; DECISIONS</t>
        </is>
      </c>
    </row>
    <row r="1069" ht="34" customHeight="1">
      <c r="A1069" s="34" t="inlineStr">
        <is>
          <t>R660-v1</t>
        </is>
      </c>
      <c r="B1069" s="34" t="inlineStr">
        <is>
          <t>Contractor Programme</t>
        </is>
      </c>
      <c r="C1069" s="34" t="inlineStr">
        <is>
          <t>SCH-04-120</t>
        </is>
      </c>
      <c r="D1069" s="34" t="inlineStr">
        <is>
          <t>1.4.2 Vehicles and Depot - Depot Buildings</t>
        </is>
      </c>
      <c r="E1069" s="34" t="inlineStr">
        <is>
          <t>New</t>
        </is>
      </c>
      <c r="F1069" s="14" t="inlineStr"/>
      <c r="G1069" s="34" t="inlineStr">
        <is>
          <t>Source assignment -- not individually reviewed</t>
        </is>
      </c>
      <c r="H1069" s="92" t="inlineStr">
        <is>
          <t>10 EVIDENCE &amp; DECISIONS</t>
        </is>
      </c>
    </row>
    <row r="1070" ht="34" customHeight="1">
      <c r="A1070" s="34" t="inlineStr">
        <is>
          <t>R663-v1</t>
        </is>
      </c>
      <c r="B1070" s="34" t="inlineStr">
        <is>
          <t>Contractor Programme</t>
        </is>
      </c>
      <c r="C1070" s="34" t="inlineStr">
        <is>
          <t>SCH-04-123</t>
        </is>
      </c>
      <c r="D1070" s="34" t="inlineStr">
        <is>
          <t>1.4.2 Vehicles and Depot - Depot Buildings</t>
        </is>
      </c>
      <c r="E1070" s="34" t="inlineStr">
        <is>
          <t>New</t>
        </is>
      </c>
      <c r="F1070" s="14" t="inlineStr"/>
      <c r="G1070" s="34" t="inlineStr">
        <is>
          <t>Source assignment -- not individually reviewed</t>
        </is>
      </c>
      <c r="H1070" s="92" t="inlineStr">
        <is>
          <t>10 EVIDENCE &amp; DECISIONS</t>
        </is>
      </c>
    </row>
    <row r="1071" ht="34" customHeight="1">
      <c r="A1071" s="34" t="inlineStr">
        <is>
          <t>R666-v1</t>
        </is>
      </c>
      <c r="B1071" s="34" t="inlineStr">
        <is>
          <t>Contractor Programme</t>
        </is>
      </c>
      <c r="C1071" s="34" t="inlineStr">
        <is>
          <t>SCH-04-126</t>
        </is>
      </c>
      <c r="D1071" s="34" t="inlineStr">
        <is>
          <t>1.4.2 Vehicles and Depot - Depot Buildings</t>
        </is>
      </c>
      <c r="E1071" s="34" t="inlineStr">
        <is>
          <t>New</t>
        </is>
      </c>
      <c r="F1071" s="14" t="inlineStr"/>
      <c r="G1071" s="34" t="inlineStr">
        <is>
          <t>Source assignment -- not individually reviewed</t>
        </is>
      </c>
      <c r="H1071" s="92" t="inlineStr">
        <is>
          <t>10 EVIDENCE &amp; DECISIONS</t>
        </is>
      </c>
    </row>
    <row r="1072" ht="34" customHeight="1">
      <c r="A1072" s="34" t="inlineStr">
        <is>
          <t>R669-v1</t>
        </is>
      </c>
      <c r="B1072" s="34" t="inlineStr">
        <is>
          <t>Contractor Programme</t>
        </is>
      </c>
      <c r="C1072" s="34" t="inlineStr">
        <is>
          <t>SCH-04-129</t>
        </is>
      </c>
      <c r="D1072" s="34" t="inlineStr">
        <is>
          <t>1.4.2 Vehicles and Depot - Depot Buildings</t>
        </is>
      </c>
      <c r="E1072" s="34" t="inlineStr">
        <is>
          <t>New</t>
        </is>
      </c>
      <c r="F1072" s="14" t="inlineStr"/>
      <c r="G1072" s="34" t="inlineStr">
        <is>
          <t>Source assignment -- not individually reviewed</t>
        </is>
      </c>
      <c r="H1072" s="92" t="inlineStr">
        <is>
          <t>10 EVIDENCE &amp; DECISIONS</t>
        </is>
      </c>
    </row>
    <row r="1073" ht="34" customHeight="1">
      <c r="A1073" s="34" t="inlineStr">
        <is>
          <t>R672-v1</t>
        </is>
      </c>
      <c r="B1073" s="34" t="inlineStr">
        <is>
          <t>Contractor Programme</t>
        </is>
      </c>
      <c r="C1073" s="34" t="inlineStr">
        <is>
          <t>SCH-04-132</t>
        </is>
      </c>
      <c r="D1073" s="34" t="inlineStr">
        <is>
          <t>1.4.2 Vehicles and Depot - Depot Buildings</t>
        </is>
      </c>
      <c r="E1073" s="34" t="inlineStr">
        <is>
          <t>New</t>
        </is>
      </c>
      <c r="F1073" s="14" t="inlineStr"/>
      <c r="G1073" s="34" t="inlineStr">
        <is>
          <t>Source assignment -- not individually reviewed</t>
        </is>
      </c>
      <c r="H1073" s="92" t="inlineStr">
        <is>
          <t>10 EVIDENCE &amp; DECISIONS</t>
        </is>
      </c>
    </row>
    <row r="1074" ht="34" customHeight="1">
      <c r="A1074" s="34" t="inlineStr">
        <is>
          <t>R675-v1</t>
        </is>
      </c>
      <c r="B1074" s="34" t="inlineStr">
        <is>
          <t>Contractor Programme</t>
        </is>
      </c>
      <c r="C1074" s="34" t="inlineStr">
        <is>
          <t>SCH-04-135</t>
        </is>
      </c>
      <c r="D1074" s="34" t="inlineStr">
        <is>
          <t>1.4.2 Vehicles and Depot - Depot Buildings</t>
        </is>
      </c>
      <c r="E1074" s="34" t="inlineStr">
        <is>
          <t>New</t>
        </is>
      </c>
      <c r="F1074" s="14" t="inlineStr"/>
      <c r="G1074" s="34" t="inlineStr">
        <is>
          <t>Source assignment -- not individually reviewed</t>
        </is>
      </c>
      <c r="H1074" s="92" t="inlineStr">
        <is>
          <t>10 EVIDENCE &amp; DECISIONS</t>
        </is>
      </c>
    </row>
    <row r="1075" ht="34" customHeight="1">
      <c r="A1075" s="34" t="inlineStr">
        <is>
          <t>R678-v1</t>
        </is>
      </c>
      <c r="B1075" s="34" t="inlineStr">
        <is>
          <t>Contractor Programme</t>
        </is>
      </c>
      <c r="C1075" s="34" t="inlineStr">
        <is>
          <t>SCH-04-138</t>
        </is>
      </c>
      <c r="D1075" s="34" t="inlineStr">
        <is>
          <t>1.4.2 Vehicles and Depot - Depot Buildings</t>
        </is>
      </c>
      <c r="E1075" s="34" t="inlineStr">
        <is>
          <t>New</t>
        </is>
      </c>
      <c r="F1075" s="14" t="inlineStr"/>
      <c r="G1075" s="34" t="inlineStr">
        <is>
          <t>Source assignment -- not individually reviewed</t>
        </is>
      </c>
      <c r="H1075" s="92" t="inlineStr">
        <is>
          <t>10 EVIDENCE &amp; DECISIONS</t>
        </is>
      </c>
    </row>
    <row r="1076" ht="34" customHeight="1">
      <c r="A1076" s="34" t="inlineStr">
        <is>
          <t>R681-v1</t>
        </is>
      </c>
      <c r="B1076" s="34" t="inlineStr">
        <is>
          <t>Contractor Programme</t>
        </is>
      </c>
      <c r="C1076" s="34" t="inlineStr">
        <is>
          <t>SCH-04-141</t>
        </is>
      </c>
      <c r="D1076" s="34" t="inlineStr">
        <is>
          <t>1.4.2 Vehicles and Depot - Depot Buildings</t>
        </is>
      </c>
      <c r="E1076" s="34" t="inlineStr">
        <is>
          <t>New</t>
        </is>
      </c>
      <c r="F1076" s="14" t="inlineStr"/>
      <c r="G1076" s="34" t="inlineStr">
        <is>
          <t>Source assignment -- not individually reviewed</t>
        </is>
      </c>
      <c r="H1076" s="92" t="inlineStr">
        <is>
          <t>10 EVIDENCE &amp; DECISIONS</t>
        </is>
      </c>
    </row>
    <row r="1077" ht="34" customHeight="1">
      <c r="A1077" s="34" t="inlineStr">
        <is>
          <t>R684-v1</t>
        </is>
      </c>
      <c r="B1077" s="34" t="inlineStr">
        <is>
          <t>Contractor Programme</t>
        </is>
      </c>
      <c r="C1077" s="34" t="inlineStr">
        <is>
          <t>SCH-04-144</t>
        </is>
      </c>
      <c r="D1077" s="34" t="inlineStr">
        <is>
          <t>1.4.2 Vehicles and Depot - Depot Buildings</t>
        </is>
      </c>
      <c r="E1077" s="34" t="inlineStr">
        <is>
          <t>New</t>
        </is>
      </c>
      <c r="F1077" s="14" t="inlineStr"/>
      <c r="G1077" s="34" t="inlineStr">
        <is>
          <t>Source assignment -- not individually reviewed</t>
        </is>
      </c>
      <c r="H1077" s="92" t="inlineStr">
        <is>
          <t>10 EVIDENCE &amp; DECISIONS</t>
        </is>
      </c>
    </row>
    <row r="1078" ht="34" customHeight="1">
      <c r="A1078" s="34" t="inlineStr">
        <is>
          <t>R687-v1</t>
        </is>
      </c>
      <c r="B1078" s="34" t="inlineStr">
        <is>
          <t>Contractor Programme</t>
        </is>
      </c>
      <c r="C1078" s="34" t="inlineStr">
        <is>
          <t>SCH-04-147</t>
        </is>
      </c>
      <c r="D1078" s="34" t="inlineStr">
        <is>
          <t>1.4.2 Vehicles and Depot - Depot Buildings</t>
        </is>
      </c>
      <c r="E1078" s="34" t="inlineStr">
        <is>
          <t>New</t>
        </is>
      </c>
      <c r="F1078" s="14" t="inlineStr"/>
      <c r="G1078" s="34" t="inlineStr">
        <is>
          <t>Source assignment -- not individually reviewed</t>
        </is>
      </c>
      <c r="H1078" s="92" t="inlineStr">
        <is>
          <t>10 EVIDENCE &amp; DECISIONS</t>
        </is>
      </c>
    </row>
    <row r="1079" ht="34" customHeight="1">
      <c r="A1079" s="34" t="inlineStr">
        <is>
          <t>R690-v1</t>
        </is>
      </c>
      <c r="B1079" s="34" t="inlineStr">
        <is>
          <t>Contractor Programme</t>
        </is>
      </c>
      <c r="C1079" s="34" t="inlineStr">
        <is>
          <t>SCH-04-150</t>
        </is>
      </c>
      <c r="D1079" s="34" t="inlineStr">
        <is>
          <t>1.4.2 Vehicles and Depot - Depot Buildings</t>
        </is>
      </c>
      <c r="E1079" s="34" t="inlineStr">
        <is>
          <t>New</t>
        </is>
      </c>
      <c r="F1079" s="14" t="inlineStr"/>
      <c r="G1079" s="34" t="inlineStr">
        <is>
          <t>Source assignment -- not individually reviewed</t>
        </is>
      </c>
      <c r="H1079" s="92" t="inlineStr">
        <is>
          <t>10 EVIDENCE &amp; DECISIONS</t>
        </is>
      </c>
    </row>
    <row r="1080" ht="34" customHeight="1">
      <c r="A1080" s="34" t="inlineStr">
        <is>
          <t>R693-v1</t>
        </is>
      </c>
      <c r="B1080" s="34" t="inlineStr">
        <is>
          <t>Contractor Programme</t>
        </is>
      </c>
      <c r="C1080" s="34" t="inlineStr">
        <is>
          <t>SCH-04-153</t>
        </is>
      </c>
      <c r="D1080" s="34" t="inlineStr">
        <is>
          <t>1.4.2 Vehicles and Depot - Depot Buildings</t>
        </is>
      </c>
      <c r="E1080" s="34" t="inlineStr">
        <is>
          <t>New</t>
        </is>
      </c>
      <c r="F1080" s="14" t="inlineStr"/>
      <c r="G1080" s="34" t="inlineStr">
        <is>
          <t>Source assignment -- not individually reviewed</t>
        </is>
      </c>
      <c r="H1080" s="92" t="inlineStr">
        <is>
          <t>10 EVIDENCE &amp; DECISIONS</t>
        </is>
      </c>
    </row>
    <row r="1081" ht="34" customHeight="1">
      <c r="A1081" s="34" t="inlineStr">
        <is>
          <t>R696-v1</t>
        </is>
      </c>
      <c r="B1081" s="34" t="inlineStr">
        <is>
          <t>Contractor Programme</t>
        </is>
      </c>
      <c r="C1081" s="34" t="inlineStr">
        <is>
          <t>SCH-04-156</t>
        </is>
      </c>
      <c r="D1081" s="34" t="inlineStr">
        <is>
          <t>1.4.2 Vehicles and Depot - Depot Buildings</t>
        </is>
      </c>
      <c r="E1081" s="34" t="inlineStr">
        <is>
          <t>New</t>
        </is>
      </c>
      <c r="F1081" s="14" t="inlineStr"/>
      <c r="G1081" s="34" t="inlineStr">
        <is>
          <t>Source assignment -- not individually reviewed</t>
        </is>
      </c>
      <c r="H1081" s="92" t="inlineStr">
        <is>
          <t>10 EVIDENCE &amp; DECISIONS</t>
        </is>
      </c>
    </row>
    <row r="1082" ht="34" customHeight="1">
      <c r="A1082" s="34" t="inlineStr">
        <is>
          <t>R699-v1</t>
        </is>
      </c>
      <c r="B1082" s="34" t="inlineStr">
        <is>
          <t>Contractor Programme</t>
        </is>
      </c>
      <c r="C1082" s="34" t="inlineStr">
        <is>
          <t>SCH-04-159</t>
        </is>
      </c>
      <c r="D1082" s="34" t="inlineStr">
        <is>
          <t>1.4.2 Vehicles and Depot - Depot Buildings</t>
        </is>
      </c>
      <c r="E1082" s="34" t="inlineStr">
        <is>
          <t>New</t>
        </is>
      </c>
      <c r="F1082" s="14" t="inlineStr"/>
      <c r="G1082" s="34" t="inlineStr">
        <is>
          <t>Source assignment -- not individually reviewed</t>
        </is>
      </c>
      <c r="H1082" s="92" t="inlineStr">
        <is>
          <t>10 EVIDENCE &amp; DECISIONS</t>
        </is>
      </c>
    </row>
    <row r="1083" ht="34" customHeight="1">
      <c r="A1083" s="34" t="inlineStr">
        <is>
          <t>R702-v1</t>
        </is>
      </c>
      <c r="B1083" s="34" t="inlineStr">
        <is>
          <t>Contractor Programme</t>
        </is>
      </c>
      <c r="C1083" s="34" t="inlineStr">
        <is>
          <t>SCH-04-162</t>
        </is>
      </c>
      <c r="D1083" s="34" t="inlineStr">
        <is>
          <t>1.4.2 Vehicles and Depot - Depot Buildings</t>
        </is>
      </c>
      <c r="E1083" s="34" t="inlineStr">
        <is>
          <t>New</t>
        </is>
      </c>
      <c r="F1083" s="14" t="inlineStr"/>
      <c r="G1083" s="34" t="inlineStr">
        <is>
          <t>Source assignment -- not individually reviewed</t>
        </is>
      </c>
      <c r="H1083" s="92" t="inlineStr">
        <is>
          <t>10 EVIDENCE &amp; DECISIONS</t>
        </is>
      </c>
    </row>
    <row r="1084" ht="34" customHeight="1">
      <c r="A1084" s="34" t="inlineStr">
        <is>
          <t>R705-v1</t>
        </is>
      </c>
      <c r="B1084" s="34" t="inlineStr">
        <is>
          <t>Contractor Programme</t>
        </is>
      </c>
      <c r="C1084" s="34" t="inlineStr">
        <is>
          <t>SCH-04-165</t>
        </is>
      </c>
      <c r="D1084" s="34" t="inlineStr">
        <is>
          <t>1.4.2 Vehicles and Depot - Depot Buildings</t>
        </is>
      </c>
      <c r="E1084" s="34" t="inlineStr">
        <is>
          <t>New</t>
        </is>
      </c>
      <c r="F1084" s="14" t="inlineStr"/>
      <c r="G1084" s="34" t="inlineStr">
        <is>
          <t>Source assignment -- not individually reviewed</t>
        </is>
      </c>
      <c r="H1084" s="92" t="inlineStr">
        <is>
          <t>10 EVIDENCE &amp; DECISIONS</t>
        </is>
      </c>
    </row>
    <row r="1085" ht="34" customHeight="1">
      <c r="A1085" s="34" t="inlineStr">
        <is>
          <t>R708-v1</t>
        </is>
      </c>
      <c r="B1085" s="34" t="inlineStr">
        <is>
          <t>Contractor Programme</t>
        </is>
      </c>
      <c r="C1085" s="34" t="inlineStr">
        <is>
          <t>SCH-04-168</t>
        </is>
      </c>
      <c r="D1085" s="34" t="inlineStr">
        <is>
          <t>1.4.2 Vehicles and Depot - Depot Buildings</t>
        </is>
      </c>
      <c r="E1085" s="34" t="inlineStr">
        <is>
          <t>New</t>
        </is>
      </c>
      <c r="F1085" s="14" t="inlineStr"/>
      <c r="G1085" s="34" t="inlineStr">
        <is>
          <t>Source assignment -- not individually reviewed</t>
        </is>
      </c>
      <c r="H1085" s="92" t="inlineStr">
        <is>
          <t>10 EVIDENCE &amp; DECISIONS</t>
        </is>
      </c>
    </row>
    <row r="1086" ht="34" customHeight="1">
      <c r="A1086" s="34" t="inlineStr">
        <is>
          <t>R711-v1</t>
        </is>
      </c>
      <c r="B1086" s="34" t="inlineStr">
        <is>
          <t>Contractor Programme</t>
        </is>
      </c>
      <c r="C1086" s="34" t="inlineStr">
        <is>
          <t>SCH-04-171</t>
        </is>
      </c>
      <c r="D1086" s="34" t="inlineStr">
        <is>
          <t>1.4.2 Vehicles and Depot - Depot Buildings</t>
        </is>
      </c>
      <c r="E1086" s="34" t="inlineStr">
        <is>
          <t>New</t>
        </is>
      </c>
      <c r="F1086" s="14" t="inlineStr"/>
      <c r="G1086" s="34" t="inlineStr">
        <is>
          <t>Source assignment -- not individually reviewed</t>
        </is>
      </c>
      <c r="H1086" s="92" t="inlineStr">
        <is>
          <t>10 EVIDENCE &amp; DECISIONS</t>
        </is>
      </c>
    </row>
    <row r="1087" ht="34" customHeight="1">
      <c r="A1087" s="34" t="inlineStr">
        <is>
          <t>R714-v1</t>
        </is>
      </c>
      <c r="B1087" s="34" t="inlineStr">
        <is>
          <t>Contractor Programme</t>
        </is>
      </c>
      <c r="C1087" s="34" t="inlineStr">
        <is>
          <t>SCH-04-174</t>
        </is>
      </c>
      <c r="D1087" s="34" t="inlineStr">
        <is>
          <t>1.4.2 Vehicles and Depot - Depot Buildings</t>
        </is>
      </c>
      <c r="E1087" s="34" t="inlineStr">
        <is>
          <t>New</t>
        </is>
      </c>
      <c r="F1087" s="14" t="inlineStr"/>
      <c r="G1087" s="34" t="inlineStr">
        <is>
          <t>Source assignment -- not individually reviewed</t>
        </is>
      </c>
      <c r="H1087" s="92" t="inlineStr">
        <is>
          <t>10 EVIDENCE &amp; DECISIONS</t>
        </is>
      </c>
    </row>
    <row r="1088" ht="34" customHeight="1">
      <c r="A1088" s="34" t="inlineStr">
        <is>
          <t>R717-v1</t>
        </is>
      </c>
      <c r="B1088" s="34" t="inlineStr">
        <is>
          <t>Contractor Programme</t>
        </is>
      </c>
      <c r="C1088" s="34" t="inlineStr">
        <is>
          <t>SCH-04-177</t>
        </is>
      </c>
      <c r="D1088" s="34" t="inlineStr">
        <is>
          <t>1.4.2 Vehicles and Depot - Depot Buildings</t>
        </is>
      </c>
      <c r="E1088" s="34" t="inlineStr">
        <is>
          <t>New</t>
        </is>
      </c>
      <c r="F1088" s="14" t="inlineStr"/>
      <c r="G1088" s="34" t="inlineStr">
        <is>
          <t>Source assignment -- not individually reviewed</t>
        </is>
      </c>
      <c r="H1088" s="92" t="inlineStr">
        <is>
          <t>10 EVIDENCE &amp; DECISIONS</t>
        </is>
      </c>
    </row>
    <row r="1089" ht="34" customHeight="1">
      <c r="A1089" s="34" t="inlineStr">
        <is>
          <t>R720-v1</t>
        </is>
      </c>
      <c r="B1089" s="34" t="inlineStr">
        <is>
          <t>Contractor Programme</t>
        </is>
      </c>
      <c r="C1089" s="34" t="inlineStr">
        <is>
          <t>SCH-04-180</t>
        </is>
      </c>
      <c r="D1089" s="34" t="inlineStr">
        <is>
          <t>1.4.2 Vehicles and Depot - Depot Buildings</t>
        </is>
      </c>
      <c r="E1089" s="34" t="inlineStr">
        <is>
          <t>New</t>
        </is>
      </c>
      <c r="F1089" s="14" t="inlineStr"/>
      <c r="G1089" s="34" t="inlineStr">
        <is>
          <t>Source assignment -- not individually reviewed</t>
        </is>
      </c>
      <c r="H1089" s="92" t="inlineStr">
        <is>
          <t>10 EVIDENCE &amp; DECISIONS</t>
        </is>
      </c>
    </row>
    <row r="1090" ht="34" customHeight="1">
      <c r="A1090" s="34" t="inlineStr">
        <is>
          <t>R1603-v1</t>
        </is>
      </c>
      <c r="B1090" s="34" t="inlineStr">
        <is>
          <t>Commercial Package Register</t>
        </is>
      </c>
      <c r="C1090" s="34" t="inlineStr">
        <is>
          <t>PKG-041</t>
        </is>
      </c>
      <c r="D1090" s="34" t="inlineStr">
        <is>
          <t>1.5 Testing and Commissioning</t>
        </is>
      </c>
      <c r="E1090" s="34" t="inlineStr">
        <is>
          <t>New</t>
        </is>
      </c>
      <c r="F1090" s="14" t="inlineStr"/>
      <c r="G1090" s="34" t="inlineStr">
        <is>
          <t>Source assignment -- not individually reviewed</t>
        </is>
      </c>
      <c r="H1090" s="92" t="inlineStr">
        <is>
          <t>10 EVIDENCE &amp; DECISIONS</t>
        </is>
      </c>
    </row>
    <row r="1091" ht="34" customHeight="1">
      <c r="A1091" s="34" t="inlineStr">
        <is>
          <t>R1604-v1</t>
        </is>
      </c>
      <c r="B1091" s="34" t="inlineStr">
        <is>
          <t>Commercial Package Register</t>
        </is>
      </c>
      <c r="C1091" s="34" t="inlineStr">
        <is>
          <t>PKG-042</t>
        </is>
      </c>
      <c r="D1091" s="34" t="inlineStr">
        <is>
          <t>1.5 Testing and Commissioning</t>
        </is>
      </c>
      <c r="E1091" s="34" t="inlineStr">
        <is>
          <t>New</t>
        </is>
      </c>
      <c r="F1091" s="14" t="inlineStr"/>
      <c r="G1091" s="34" t="inlineStr">
        <is>
          <t>Source assignment -- not individually reviewed</t>
        </is>
      </c>
      <c r="H1091" s="92" t="inlineStr">
        <is>
          <t>10 EVIDENCE &amp; DECISIONS</t>
        </is>
      </c>
    </row>
    <row r="1092" ht="34" customHeight="1">
      <c r="A1092" s="34" t="inlineStr">
        <is>
          <t>R1605-v1</t>
        </is>
      </c>
      <c r="B1092" s="34" t="inlineStr">
        <is>
          <t>Commercial Package Register</t>
        </is>
      </c>
      <c r="C1092" s="34" t="inlineStr">
        <is>
          <t>PKG-043</t>
        </is>
      </c>
      <c r="D1092" s="34" t="inlineStr">
        <is>
          <t>1.5 Testing and Commissioning</t>
        </is>
      </c>
      <c r="E1092" s="34" t="inlineStr">
        <is>
          <t>New</t>
        </is>
      </c>
      <c r="F1092" s="14" t="inlineStr"/>
      <c r="G1092" s="34" t="inlineStr">
        <is>
          <t>Source assignment -- not individually reviewed</t>
        </is>
      </c>
      <c r="H1092" s="92" t="inlineStr">
        <is>
          <t>10 EVIDENCE &amp; DECISIONS</t>
        </is>
      </c>
    </row>
    <row r="1093" ht="34" customHeight="1">
      <c r="A1093" s="34" t="inlineStr">
        <is>
          <t>R1606-v1</t>
        </is>
      </c>
      <c r="B1093" s="34" t="inlineStr">
        <is>
          <t>Commercial Package Register</t>
        </is>
      </c>
      <c r="C1093" s="34" t="inlineStr">
        <is>
          <t>PKG-044</t>
        </is>
      </c>
      <c r="D1093" s="34" t="inlineStr">
        <is>
          <t>1.5 Testing and Commissioning</t>
        </is>
      </c>
      <c r="E1093" s="34" t="inlineStr">
        <is>
          <t>New</t>
        </is>
      </c>
      <c r="F1093" s="14" t="inlineStr"/>
      <c r="G1093" s="34" t="inlineStr">
        <is>
          <t>Source assignment -- not individually reviewed</t>
        </is>
      </c>
      <c r="H1093" s="92" t="inlineStr">
        <is>
          <t>10 EVIDENCE &amp; DECISIONS</t>
        </is>
      </c>
    </row>
    <row r="1094" ht="34" customHeight="1">
      <c r="A1094" s="34" t="inlineStr">
        <is>
          <t>R1607-v1</t>
        </is>
      </c>
      <c r="B1094" s="34" t="inlineStr">
        <is>
          <t>Commercial Package Register</t>
        </is>
      </c>
      <c r="C1094" s="34" t="inlineStr">
        <is>
          <t>PKG-045</t>
        </is>
      </c>
      <c r="D1094" s="34" t="inlineStr">
        <is>
          <t>1.5 Testing and Commissioning</t>
        </is>
      </c>
      <c r="E1094" s="34" t="inlineStr">
        <is>
          <t>New</t>
        </is>
      </c>
      <c r="F1094" s="14" t="inlineStr"/>
      <c r="G1094" s="34" t="inlineStr">
        <is>
          <t>Source assignment -- not individually reviewed</t>
        </is>
      </c>
      <c r="H1094" s="92" t="inlineStr">
        <is>
          <t>10 EVIDENCE &amp; DECISIONS</t>
        </is>
      </c>
    </row>
    <row r="1095" ht="34" customHeight="1">
      <c r="A1095" s="34" t="inlineStr">
        <is>
          <t>R1608-v1</t>
        </is>
      </c>
      <c r="B1095" s="34" t="inlineStr">
        <is>
          <t>Commercial Package Register</t>
        </is>
      </c>
      <c r="C1095" s="34" t="inlineStr">
        <is>
          <t>PKG-046</t>
        </is>
      </c>
      <c r="D1095" s="34" t="inlineStr">
        <is>
          <t>1.5 Testing and Commissioning</t>
        </is>
      </c>
      <c r="E1095" s="34" t="inlineStr">
        <is>
          <t>New</t>
        </is>
      </c>
      <c r="F1095" s="14" t="inlineStr"/>
      <c r="G1095" s="34" t="inlineStr">
        <is>
          <t>Source assignment -- not individually reviewed</t>
        </is>
      </c>
      <c r="H1095" s="92" t="inlineStr">
        <is>
          <t>10 EVIDENCE &amp; DECISIONS</t>
        </is>
      </c>
    </row>
    <row r="1096" ht="34" customHeight="1">
      <c r="A1096" s="34" t="inlineStr">
        <is>
          <t>R1609-v1</t>
        </is>
      </c>
      <c r="B1096" s="34" t="inlineStr">
        <is>
          <t>Commercial Package Register</t>
        </is>
      </c>
      <c r="C1096" s="34" t="inlineStr">
        <is>
          <t>PKG-047</t>
        </is>
      </c>
      <c r="D1096" s="34" t="inlineStr">
        <is>
          <t>1.5 Testing and Commissioning</t>
        </is>
      </c>
      <c r="E1096" s="34" t="inlineStr">
        <is>
          <t>New</t>
        </is>
      </c>
      <c r="F1096" s="14" t="inlineStr"/>
      <c r="G1096" s="34" t="inlineStr">
        <is>
          <t>Source assignment -- not individually reviewed</t>
        </is>
      </c>
      <c r="H1096" s="92" t="inlineStr">
        <is>
          <t>10 EVIDENCE &amp; DECISIONS</t>
        </is>
      </c>
    </row>
    <row r="1097" ht="34" customHeight="1">
      <c r="A1097" s="34" t="inlineStr">
        <is>
          <t>R1610-v1</t>
        </is>
      </c>
      <c r="B1097" s="34" t="inlineStr">
        <is>
          <t>Commercial Package Register</t>
        </is>
      </c>
      <c r="C1097" s="34" t="inlineStr">
        <is>
          <t>PKG-048</t>
        </is>
      </c>
      <c r="D1097" s="34" t="inlineStr">
        <is>
          <t>1.5 Testing and Commissioning</t>
        </is>
      </c>
      <c r="E1097" s="34" t="inlineStr">
        <is>
          <t>New</t>
        </is>
      </c>
      <c r="F1097" s="14" t="inlineStr"/>
      <c r="G1097" s="34" t="inlineStr">
        <is>
          <t>Source assignment -- not individually reviewed</t>
        </is>
      </c>
      <c r="H1097" s="92" t="inlineStr">
        <is>
          <t>10 EVIDENCE &amp; DECISIONS</t>
        </is>
      </c>
    </row>
    <row r="1098" ht="34" customHeight="1">
      <c r="A1098" s="34" t="inlineStr">
        <is>
          <t>R1611-v1</t>
        </is>
      </c>
      <c r="B1098" s="34" t="inlineStr">
        <is>
          <t>Commercial Package Register</t>
        </is>
      </c>
      <c r="C1098" s="34" t="inlineStr">
        <is>
          <t>PKG-049</t>
        </is>
      </c>
      <c r="D1098" s="34" t="inlineStr">
        <is>
          <t>1.5 Testing and Commissioning</t>
        </is>
      </c>
      <c r="E1098" s="34" t="inlineStr">
        <is>
          <t>New</t>
        </is>
      </c>
      <c r="F1098" s="14" t="inlineStr"/>
      <c r="G1098" s="34" t="inlineStr">
        <is>
          <t>Source assignment -- not individually reviewed</t>
        </is>
      </c>
      <c r="H1098" s="92" t="inlineStr">
        <is>
          <t>10 EVIDENCE &amp; DECISIONS</t>
        </is>
      </c>
    </row>
    <row r="1099" ht="34" customHeight="1">
      <c r="A1099" s="34" t="inlineStr">
        <is>
          <t>R1612-v1</t>
        </is>
      </c>
      <c r="B1099" s="34" t="inlineStr">
        <is>
          <t>Commercial Package Register</t>
        </is>
      </c>
      <c r="C1099" s="34" t="inlineStr">
        <is>
          <t>PKG-050</t>
        </is>
      </c>
      <c r="D1099" s="34" t="inlineStr">
        <is>
          <t>1.5 Testing and Commissioning</t>
        </is>
      </c>
      <c r="E1099" s="34" t="inlineStr">
        <is>
          <t>New</t>
        </is>
      </c>
      <c r="F1099" s="14" t="inlineStr"/>
      <c r="G1099" s="34" t="inlineStr">
        <is>
          <t>Source assignment -- not individually reviewed</t>
        </is>
      </c>
      <c r="H1099" s="92" t="inlineStr">
        <is>
          <t>10 EVIDENCE &amp; DECISIONS</t>
        </is>
      </c>
    </row>
    <row r="1100" ht="34" customHeight="1">
      <c r="A1100" s="34" t="inlineStr">
        <is>
          <t>R721-v1</t>
        </is>
      </c>
      <c r="B1100" s="34" t="inlineStr">
        <is>
          <t>Contractor Programme</t>
        </is>
      </c>
      <c r="C1100" s="34" t="inlineStr">
        <is>
          <t>SCH-05-001</t>
        </is>
      </c>
      <c r="D1100" s="34" t="inlineStr">
        <is>
          <t>1.5.1 Testing and Commissioning - Test Readiness</t>
        </is>
      </c>
      <c r="E1100" s="34" t="inlineStr">
        <is>
          <t>New</t>
        </is>
      </c>
      <c r="F1100" s="14" t="inlineStr"/>
      <c r="G1100" s="34" t="inlineStr">
        <is>
          <t>Source assignment -- not individually reviewed</t>
        </is>
      </c>
      <c r="H1100" s="92" t="inlineStr">
        <is>
          <t>10 EVIDENCE &amp; DECISIONS</t>
        </is>
      </c>
    </row>
    <row r="1101" ht="34" customHeight="1">
      <c r="A1101" s="34" t="inlineStr">
        <is>
          <t>R722-v1</t>
        </is>
      </c>
      <c r="B1101" s="34" t="inlineStr">
        <is>
          <t>Contractor Programme</t>
        </is>
      </c>
      <c r="C1101" s="34" t="inlineStr">
        <is>
          <t>SCH-05-002</t>
        </is>
      </c>
      <c r="D1101" s="34" t="inlineStr">
        <is>
          <t>1.5.1 Testing and Commissioning - Test Readiness</t>
        </is>
      </c>
      <c r="E1101" s="34" t="inlineStr">
        <is>
          <t>New</t>
        </is>
      </c>
      <c r="F1101" s="14" t="inlineStr"/>
      <c r="G1101" s="34" t="inlineStr">
        <is>
          <t>Source assignment -- not individually reviewed</t>
        </is>
      </c>
      <c r="H1101" s="92" t="inlineStr">
        <is>
          <t>10 EVIDENCE &amp; DECISIONS</t>
        </is>
      </c>
    </row>
    <row r="1102" ht="34" customHeight="1">
      <c r="A1102" s="34" t="inlineStr">
        <is>
          <t>R724-v1</t>
        </is>
      </c>
      <c r="B1102" s="34" t="inlineStr">
        <is>
          <t>Contractor Programme</t>
        </is>
      </c>
      <c r="C1102" s="34" t="inlineStr">
        <is>
          <t>SCH-05-004</t>
        </is>
      </c>
      <c r="D1102" s="34" t="inlineStr">
        <is>
          <t>1.5.1 Testing and Commissioning - Test Readiness</t>
        </is>
      </c>
      <c r="E1102" s="34" t="inlineStr">
        <is>
          <t>New</t>
        </is>
      </c>
      <c r="F1102" s="14" t="inlineStr"/>
      <c r="G1102" s="34" t="inlineStr">
        <is>
          <t>Source assignment -- not individually reviewed</t>
        </is>
      </c>
      <c r="H1102" s="92" t="inlineStr">
        <is>
          <t>10 EVIDENCE &amp; DECISIONS</t>
        </is>
      </c>
    </row>
    <row r="1103" ht="34" customHeight="1">
      <c r="A1103" s="34" t="inlineStr">
        <is>
          <t>R725-v1</t>
        </is>
      </c>
      <c r="B1103" s="34" t="inlineStr">
        <is>
          <t>Contractor Programme</t>
        </is>
      </c>
      <c r="C1103" s="34" t="inlineStr">
        <is>
          <t>SCH-05-005</t>
        </is>
      </c>
      <c r="D1103" s="34" t="inlineStr">
        <is>
          <t>1.5.1 Testing and Commissioning - Test Readiness</t>
        </is>
      </c>
      <c r="E1103" s="34" t="inlineStr">
        <is>
          <t>New</t>
        </is>
      </c>
      <c r="F1103" s="14" t="inlineStr"/>
      <c r="G1103" s="34" t="inlineStr">
        <is>
          <t>Source assignment -- not individually reviewed</t>
        </is>
      </c>
      <c r="H1103" s="92" t="inlineStr">
        <is>
          <t>10 EVIDENCE &amp; DECISIONS</t>
        </is>
      </c>
    </row>
    <row r="1104" ht="34" customHeight="1">
      <c r="A1104" s="34" t="inlineStr">
        <is>
          <t>R727-v1</t>
        </is>
      </c>
      <c r="B1104" s="34" t="inlineStr">
        <is>
          <t>Contractor Programme</t>
        </is>
      </c>
      <c r="C1104" s="34" t="inlineStr">
        <is>
          <t>SCH-05-007</t>
        </is>
      </c>
      <c r="D1104" s="34" t="inlineStr">
        <is>
          <t>1.5.1 Testing and Commissioning - Test Readiness</t>
        </is>
      </c>
      <c r="E1104" s="34" t="inlineStr">
        <is>
          <t>New</t>
        </is>
      </c>
      <c r="F1104" s="14" t="inlineStr"/>
      <c r="G1104" s="34" t="inlineStr">
        <is>
          <t>Source assignment -- not individually reviewed</t>
        </is>
      </c>
      <c r="H1104" s="92" t="inlineStr">
        <is>
          <t>10 EVIDENCE &amp; DECISIONS</t>
        </is>
      </c>
    </row>
    <row r="1105" ht="34" customHeight="1">
      <c r="A1105" s="34" t="inlineStr">
        <is>
          <t>R728-v1</t>
        </is>
      </c>
      <c r="B1105" s="34" t="inlineStr">
        <is>
          <t>Contractor Programme</t>
        </is>
      </c>
      <c r="C1105" s="34" t="inlineStr">
        <is>
          <t>SCH-05-008</t>
        </is>
      </c>
      <c r="D1105" s="34" t="inlineStr">
        <is>
          <t>1.5.1 Testing and Commissioning - Test Readiness</t>
        </is>
      </c>
      <c r="E1105" s="34" t="inlineStr">
        <is>
          <t>New</t>
        </is>
      </c>
      <c r="F1105" s="14" t="inlineStr"/>
      <c r="G1105" s="34" t="inlineStr">
        <is>
          <t>Source assignment -- not individually reviewed</t>
        </is>
      </c>
      <c r="H1105" s="92" t="inlineStr">
        <is>
          <t>10 EVIDENCE &amp; DECISIONS</t>
        </is>
      </c>
    </row>
    <row r="1106" ht="34" customHeight="1">
      <c r="A1106" s="34" t="inlineStr">
        <is>
          <t>R730-v1</t>
        </is>
      </c>
      <c r="B1106" s="34" t="inlineStr">
        <is>
          <t>Contractor Programme</t>
        </is>
      </c>
      <c r="C1106" s="34" t="inlineStr">
        <is>
          <t>SCH-05-010</t>
        </is>
      </c>
      <c r="D1106" s="34" t="inlineStr">
        <is>
          <t>1.5.1 Testing and Commissioning - Test Readiness</t>
        </is>
      </c>
      <c r="E1106" s="34" t="inlineStr">
        <is>
          <t>New</t>
        </is>
      </c>
      <c r="F1106" s="14" t="inlineStr"/>
      <c r="G1106" s="34" t="inlineStr">
        <is>
          <t>Source assignment -- not individually reviewed</t>
        </is>
      </c>
      <c r="H1106" s="92" t="inlineStr">
        <is>
          <t>10 EVIDENCE &amp; DECISIONS</t>
        </is>
      </c>
    </row>
    <row r="1107" ht="34" customHeight="1">
      <c r="A1107" s="34" t="inlineStr">
        <is>
          <t>R731-v1</t>
        </is>
      </c>
      <c r="B1107" s="34" t="inlineStr">
        <is>
          <t>Contractor Programme</t>
        </is>
      </c>
      <c r="C1107" s="34" t="inlineStr">
        <is>
          <t>SCH-05-011</t>
        </is>
      </c>
      <c r="D1107" s="34" t="inlineStr">
        <is>
          <t>1.5.1 Testing and Commissioning - Test Readiness</t>
        </is>
      </c>
      <c r="E1107" s="34" t="inlineStr">
        <is>
          <t>New</t>
        </is>
      </c>
      <c r="F1107" s="14" t="inlineStr"/>
      <c r="G1107" s="34" t="inlineStr">
        <is>
          <t>Source assignment -- not individually reviewed</t>
        </is>
      </c>
      <c r="H1107" s="92" t="inlineStr">
        <is>
          <t>10 EVIDENCE &amp; DECISIONS</t>
        </is>
      </c>
    </row>
    <row r="1108" ht="34" customHeight="1">
      <c r="A1108" s="34" t="inlineStr">
        <is>
          <t>R733-v1</t>
        </is>
      </c>
      <c r="B1108" s="34" t="inlineStr">
        <is>
          <t>Contractor Programme</t>
        </is>
      </c>
      <c r="C1108" s="34" t="inlineStr">
        <is>
          <t>SCH-05-013</t>
        </is>
      </c>
      <c r="D1108" s="34" t="inlineStr">
        <is>
          <t>1.5.1 Testing and Commissioning - Test Readiness</t>
        </is>
      </c>
      <c r="E1108" s="34" t="inlineStr">
        <is>
          <t>New</t>
        </is>
      </c>
      <c r="F1108" s="14" t="inlineStr"/>
      <c r="G1108" s="34" t="inlineStr">
        <is>
          <t>Source assignment -- not individually reviewed</t>
        </is>
      </c>
      <c r="H1108" s="92" t="inlineStr">
        <is>
          <t>10 EVIDENCE &amp; DECISIONS</t>
        </is>
      </c>
    </row>
    <row r="1109" ht="34" customHeight="1">
      <c r="A1109" s="34" t="inlineStr">
        <is>
          <t>R734-v1</t>
        </is>
      </c>
      <c r="B1109" s="34" t="inlineStr">
        <is>
          <t>Contractor Programme</t>
        </is>
      </c>
      <c r="C1109" s="34" t="inlineStr">
        <is>
          <t>SCH-05-014</t>
        </is>
      </c>
      <c r="D1109" s="34" t="inlineStr">
        <is>
          <t>1.5.1 Testing and Commissioning - Test Readiness</t>
        </is>
      </c>
      <c r="E1109" s="34" t="inlineStr">
        <is>
          <t>New</t>
        </is>
      </c>
      <c r="F1109" s="14" t="inlineStr"/>
      <c r="G1109" s="34" t="inlineStr">
        <is>
          <t>Source assignment -- not individually reviewed</t>
        </is>
      </c>
      <c r="H1109" s="92" t="inlineStr">
        <is>
          <t>10 EVIDENCE &amp; DECISIONS</t>
        </is>
      </c>
    </row>
    <row r="1110" ht="34" customHeight="1">
      <c r="A1110" s="34" t="inlineStr">
        <is>
          <t>R736-v1</t>
        </is>
      </c>
      <c r="B1110" s="34" t="inlineStr">
        <is>
          <t>Contractor Programme</t>
        </is>
      </c>
      <c r="C1110" s="34" t="inlineStr">
        <is>
          <t>SCH-05-016</t>
        </is>
      </c>
      <c r="D1110" s="34" t="inlineStr">
        <is>
          <t>1.5.1 Testing and Commissioning - Test Readiness</t>
        </is>
      </c>
      <c r="E1110" s="34" t="inlineStr">
        <is>
          <t>New</t>
        </is>
      </c>
      <c r="F1110" s="14" t="inlineStr"/>
      <c r="G1110" s="34" t="inlineStr">
        <is>
          <t>Source assignment -- not individually reviewed</t>
        </is>
      </c>
      <c r="H1110" s="92" t="inlineStr">
        <is>
          <t>10 EVIDENCE &amp; DECISIONS</t>
        </is>
      </c>
    </row>
    <row r="1111" ht="34" customHeight="1">
      <c r="A1111" s="34" t="inlineStr">
        <is>
          <t>R737-v1</t>
        </is>
      </c>
      <c r="B1111" s="34" t="inlineStr">
        <is>
          <t>Contractor Programme</t>
        </is>
      </c>
      <c r="C1111" s="34" t="inlineStr">
        <is>
          <t>SCH-05-017</t>
        </is>
      </c>
      <c r="D1111" s="34" t="inlineStr">
        <is>
          <t>1.5.1 Testing and Commissioning - Test Readiness</t>
        </is>
      </c>
      <c r="E1111" s="34" t="inlineStr">
        <is>
          <t>New</t>
        </is>
      </c>
      <c r="F1111" s="14" t="inlineStr"/>
      <c r="G1111" s="34" t="inlineStr">
        <is>
          <t>Source assignment -- not individually reviewed</t>
        </is>
      </c>
      <c r="H1111" s="92" t="inlineStr">
        <is>
          <t>10 EVIDENCE &amp; DECISIONS</t>
        </is>
      </c>
    </row>
    <row r="1112" ht="34" customHeight="1">
      <c r="A1112" s="34" t="inlineStr">
        <is>
          <t>R739-v1</t>
        </is>
      </c>
      <c r="B1112" s="34" t="inlineStr">
        <is>
          <t>Contractor Programme</t>
        </is>
      </c>
      <c r="C1112" s="34" t="inlineStr">
        <is>
          <t>SCH-05-019</t>
        </is>
      </c>
      <c r="D1112" s="34" t="inlineStr">
        <is>
          <t>1.5.1 Testing and Commissioning - Test Readiness</t>
        </is>
      </c>
      <c r="E1112" s="34" t="inlineStr">
        <is>
          <t>New</t>
        </is>
      </c>
      <c r="F1112" s="14" t="inlineStr"/>
      <c r="G1112" s="34" t="inlineStr">
        <is>
          <t>Source assignment -- not individually reviewed</t>
        </is>
      </c>
      <c r="H1112" s="92" t="inlineStr">
        <is>
          <t>10 EVIDENCE &amp; DECISIONS</t>
        </is>
      </c>
    </row>
    <row r="1113" ht="34" customHeight="1">
      <c r="A1113" s="34" t="inlineStr">
        <is>
          <t>R740-v1</t>
        </is>
      </c>
      <c r="B1113" s="34" t="inlineStr">
        <is>
          <t>Contractor Programme</t>
        </is>
      </c>
      <c r="C1113" s="34" t="inlineStr">
        <is>
          <t>SCH-05-020</t>
        </is>
      </c>
      <c r="D1113" s="34" t="inlineStr">
        <is>
          <t>1.5.1 Testing and Commissioning - Test Readiness</t>
        </is>
      </c>
      <c r="E1113" s="34" t="inlineStr">
        <is>
          <t>New</t>
        </is>
      </c>
      <c r="F1113" s="14" t="inlineStr"/>
      <c r="G1113" s="34" t="inlineStr">
        <is>
          <t>Source assignment -- not individually reviewed</t>
        </is>
      </c>
      <c r="H1113" s="92" t="inlineStr">
        <is>
          <t>10 EVIDENCE &amp; DECISIONS</t>
        </is>
      </c>
    </row>
    <row r="1114" ht="34" customHeight="1">
      <c r="A1114" s="34" t="inlineStr">
        <is>
          <t>R742-v1</t>
        </is>
      </c>
      <c r="B1114" s="34" t="inlineStr">
        <is>
          <t>Contractor Programme</t>
        </is>
      </c>
      <c r="C1114" s="34" t="inlineStr">
        <is>
          <t>SCH-05-022</t>
        </is>
      </c>
      <c r="D1114" s="34" t="inlineStr">
        <is>
          <t>1.5.1 Testing and Commissioning - Test Readiness</t>
        </is>
      </c>
      <c r="E1114" s="34" t="inlineStr">
        <is>
          <t>New</t>
        </is>
      </c>
      <c r="F1114" s="14" t="inlineStr"/>
      <c r="G1114" s="34" t="inlineStr">
        <is>
          <t>Source assignment -- not individually reviewed</t>
        </is>
      </c>
      <c r="H1114" s="92" t="inlineStr">
        <is>
          <t>10 EVIDENCE &amp; DECISIONS</t>
        </is>
      </c>
    </row>
    <row r="1115" ht="34" customHeight="1">
      <c r="A1115" s="34" t="inlineStr">
        <is>
          <t>R743-v1</t>
        </is>
      </c>
      <c r="B1115" s="34" t="inlineStr">
        <is>
          <t>Contractor Programme</t>
        </is>
      </c>
      <c r="C1115" s="34" t="inlineStr">
        <is>
          <t>SCH-05-023</t>
        </is>
      </c>
      <c r="D1115" s="34" t="inlineStr">
        <is>
          <t>1.5.1 Testing and Commissioning - Test Readiness</t>
        </is>
      </c>
      <c r="E1115" s="34" t="inlineStr">
        <is>
          <t>New</t>
        </is>
      </c>
      <c r="F1115" s="14" t="inlineStr"/>
      <c r="G1115" s="34" t="inlineStr">
        <is>
          <t>Source assignment -- not individually reviewed</t>
        </is>
      </c>
      <c r="H1115" s="92" t="inlineStr">
        <is>
          <t>10 EVIDENCE &amp; DECISIONS</t>
        </is>
      </c>
    </row>
    <row r="1116" ht="34" customHeight="1">
      <c r="A1116" s="34" t="inlineStr">
        <is>
          <t>R745-v1</t>
        </is>
      </c>
      <c r="B1116" s="34" t="inlineStr">
        <is>
          <t>Contractor Programme</t>
        </is>
      </c>
      <c r="C1116" s="34" t="inlineStr">
        <is>
          <t>SCH-05-025</t>
        </is>
      </c>
      <c r="D1116" s="34" t="inlineStr">
        <is>
          <t>1.5.1 Testing and Commissioning - Test Readiness</t>
        </is>
      </c>
      <c r="E1116" s="34" t="inlineStr">
        <is>
          <t>New</t>
        </is>
      </c>
      <c r="F1116" s="14" t="inlineStr"/>
      <c r="G1116" s="34" t="inlineStr">
        <is>
          <t>Source assignment -- not individually reviewed</t>
        </is>
      </c>
      <c r="H1116" s="92" t="inlineStr">
        <is>
          <t>10 EVIDENCE &amp; DECISIONS</t>
        </is>
      </c>
    </row>
    <row r="1117" ht="34" customHeight="1">
      <c r="A1117" s="34" t="inlineStr">
        <is>
          <t>R746-v1</t>
        </is>
      </c>
      <c r="B1117" s="34" t="inlineStr">
        <is>
          <t>Contractor Programme</t>
        </is>
      </c>
      <c r="C1117" s="34" t="inlineStr">
        <is>
          <t>SCH-05-026</t>
        </is>
      </c>
      <c r="D1117" s="34" t="inlineStr">
        <is>
          <t>1.5.1 Testing and Commissioning - Test Readiness</t>
        </is>
      </c>
      <c r="E1117" s="34" t="inlineStr">
        <is>
          <t>New</t>
        </is>
      </c>
      <c r="F1117" s="14" t="inlineStr"/>
      <c r="G1117" s="34" t="inlineStr">
        <is>
          <t>Source assignment -- not individually reviewed</t>
        </is>
      </c>
      <c r="H1117" s="92" t="inlineStr">
        <is>
          <t>10 EVIDENCE &amp; DECISIONS</t>
        </is>
      </c>
    </row>
    <row r="1118" ht="34" customHeight="1">
      <c r="A1118" s="34" t="inlineStr">
        <is>
          <t>R748-v1</t>
        </is>
      </c>
      <c r="B1118" s="34" t="inlineStr">
        <is>
          <t>Contractor Programme</t>
        </is>
      </c>
      <c r="C1118" s="34" t="inlineStr">
        <is>
          <t>SCH-05-028</t>
        </is>
      </c>
      <c r="D1118" s="34" t="inlineStr">
        <is>
          <t>1.5.1 Testing and Commissioning - Test Readiness</t>
        </is>
      </c>
      <c r="E1118" s="34" t="inlineStr">
        <is>
          <t>New</t>
        </is>
      </c>
      <c r="F1118" s="14" t="inlineStr"/>
      <c r="G1118" s="34" t="inlineStr">
        <is>
          <t>Source assignment -- not individually reviewed</t>
        </is>
      </c>
      <c r="H1118" s="92" t="inlineStr">
        <is>
          <t>10 EVIDENCE &amp; DECISIONS</t>
        </is>
      </c>
    </row>
    <row r="1119" ht="34" customHeight="1">
      <c r="A1119" s="34" t="inlineStr">
        <is>
          <t>R749-v1</t>
        </is>
      </c>
      <c r="B1119" s="34" t="inlineStr">
        <is>
          <t>Contractor Programme</t>
        </is>
      </c>
      <c r="C1119" s="34" t="inlineStr">
        <is>
          <t>SCH-05-029</t>
        </is>
      </c>
      <c r="D1119" s="34" t="inlineStr">
        <is>
          <t>1.5.1 Testing and Commissioning - Test Readiness</t>
        </is>
      </c>
      <c r="E1119" s="34" t="inlineStr">
        <is>
          <t>New</t>
        </is>
      </c>
      <c r="F1119" s="14" t="inlineStr"/>
      <c r="G1119" s="34" t="inlineStr">
        <is>
          <t>Source assignment -- not individually reviewed</t>
        </is>
      </c>
      <c r="H1119" s="92" t="inlineStr">
        <is>
          <t>10 EVIDENCE &amp; DECISIONS</t>
        </is>
      </c>
    </row>
    <row r="1120" ht="34" customHeight="1">
      <c r="A1120" s="34" t="inlineStr">
        <is>
          <t>R751-v1</t>
        </is>
      </c>
      <c r="B1120" s="34" t="inlineStr">
        <is>
          <t>Contractor Programme</t>
        </is>
      </c>
      <c r="C1120" s="34" t="inlineStr">
        <is>
          <t>SCH-05-031</t>
        </is>
      </c>
      <c r="D1120" s="34" t="inlineStr">
        <is>
          <t>1.5.1 Testing and Commissioning - Test Readiness</t>
        </is>
      </c>
      <c r="E1120" s="34" t="inlineStr">
        <is>
          <t>New</t>
        </is>
      </c>
      <c r="F1120" s="14" t="inlineStr"/>
      <c r="G1120" s="34" t="inlineStr">
        <is>
          <t>Source assignment -- not individually reviewed</t>
        </is>
      </c>
      <c r="H1120" s="92" t="inlineStr">
        <is>
          <t>10 EVIDENCE &amp; DECISIONS</t>
        </is>
      </c>
    </row>
    <row r="1121" ht="34" customHeight="1">
      <c r="A1121" s="34" t="inlineStr">
        <is>
          <t>R752-v1</t>
        </is>
      </c>
      <c r="B1121" s="34" t="inlineStr">
        <is>
          <t>Contractor Programme</t>
        </is>
      </c>
      <c r="C1121" s="34" t="inlineStr">
        <is>
          <t>SCH-05-032</t>
        </is>
      </c>
      <c r="D1121" s="34" t="inlineStr">
        <is>
          <t>1.5.1 Testing and Commissioning - Test Readiness</t>
        </is>
      </c>
      <c r="E1121" s="34" t="inlineStr">
        <is>
          <t>New</t>
        </is>
      </c>
      <c r="F1121" s="14" t="inlineStr"/>
      <c r="G1121" s="34" t="inlineStr">
        <is>
          <t>Source assignment -- not individually reviewed</t>
        </is>
      </c>
      <c r="H1121" s="92" t="inlineStr">
        <is>
          <t>10 EVIDENCE &amp; DECISIONS</t>
        </is>
      </c>
    </row>
    <row r="1122" ht="34" customHeight="1">
      <c r="A1122" s="34" t="inlineStr">
        <is>
          <t>R754-v1</t>
        </is>
      </c>
      <c r="B1122" s="34" t="inlineStr">
        <is>
          <t>Contractor Programme</t>
        </is>
      </c>
      <c r="C1122" s="34" t="inlineStr">
        <is>
          <t>SCH-05-034</t>
        </is>
      </c>
      <c r="D1122" s="34" t="inlineStr">
        <is>
          <t>1.5.1 Testing and Commissioning - Test Readiness</t>
        </is>
      </c>
      <c r="E1122" s="34" t="inlineStr">
        <is>
          <t>New</t>
        </is>
      </c>
      <c r="F1122" s="14" t="inlineStr"/>
      <c r="G1122" s="34" t="inlineStr">
        <is>
          <t>Source assignment -- not individually reviewed</t>
        </is>
      </c>
      <c r="H1122" s="92" t="inlineStr">
        <is>
          <t>10 EVIDENCE &amp; DECISIONS</t>
        </is>
      </c>
    </row>
    <row r="1123" ht="34" customHeight="1">
      <c r="A1123" s="34" t="inlineStr">
        <is>
          <t>R755-v1</t>
        </is>
      </c>
      <c r="B1123" s="34" t="inlineStr">
        <is>
          <t>Contractor Programme</t>
        </is>
      </c>
      <c r="C1123" s="34" t="inlineStr">
        <is>
          <t>SCH-05-035</t>
        </is>
      </c>
      <c r="D1123" s="34" t="inlineStr">
        <is>
          <t>1.5.1 Testing and Commissioning - Test Readiness</t>
        </is>
      </c>
      <c r="E1123" s="34" t="inlineStr">
        <is>
          <t>New</t>
        </is>
      </c>
      <c r="F1123" s="14" t="inlineStr"/>
      <c r="G1123" s="34" t="inlineStr">
        <is>
          <t>Source assignment -- not individually reviewed</t>
        </is>
      </c>
      <c r="H1123" s="92" t="inlineStr">
        <is>
          <t>10 EVIDENCE &amp; DECISIONS</t>
        </is>
      </c>
    </row>
    <row r="1124" ht="34" customHeight="1">
      <c r="A1124" s="34" t="inlineStr">
        <is>
          <t>R757-v1</t>
        </is>
      </c>
      <c r="B1124" s="34" t="inlineStr">
        <is>
          <t>Contractor Programme</t>
        </is>
      </c>
      <c r="C1124" s="34" t="inlineStr">
        <is>
          <t>SCH-05-037</t>
        </is>
      </c>
      <c r="D1124" s="34" t="inlineStr">
        <is>
          <t>1.5.1 Testing and Commissioning - Test Readiness</t>
        </is>
      </c>
      <c r="E1124" s="34" t="inlineStr">
        <is>
          <t>New</t>
        </is>
      </c>
      <c r="F1124" s="14" t="inlineStr"/>
      <c r="G1124" s="34" t="inlineStr">
        <is>
          <t>Source assignment -- not individually reviewed</t>
        </is>
      </c>
      <c r="H1124" s="92" t="inlineStr">
        <is>
          <t>10 EVIDENCE &amp; DECISIONS</t>
        </is>
      </c>
    </row>
    <row r="1125" ht="34" customHeight="1">
      <c r="A1125" s="34" t="inlineStr">
        <is>
          <t>R758-v1</t>
        </is>
      </c>
      <c r="B1125" s="34" t="inlineStr">
        <is>
          <t>Contractor Programme</t>
        </is>
      </c>
      <c r="C1125" s="34" t="inlineStr">
        <is>
          <t>SCH-05-038</t>
        </is>
      </c>
      <c r="D1125" s="34" t="inlineStr">
        <is>
          <t>1.5.1 Testing and Commissioning - Test Readiness</t>
        </is>
      </c>
      <c r="E1125" s="34" t="inlineStr">
        <is>
          <t>New</t>
        </is>
      </c>
      <c r="F1125" s="14" t="inlineStr"/>
      <c r="G1125" s="34" t="inlineStr">
        <is>
          <t>Source assignment -- not individually reviewed</t>
        </is>
      </c>
      <c r="H1125" s="92" t="inlineStr">
        <is>
          <t>10 EVIDENCE &amp; DECISIONS</t>
        </is>
      </c>
    </row>
    <row r="1126" ht="34" customHeight="1">
      <c r="A1126" s="34" t="inlineStr">
        <is>
          <t>R760-v1</t>
        </is>
      </c>
      <c r="B1126" s="34" t="inlineStr">
        <is>
          <t>Contractor Programme</t>
        </is>
      </c>
      <c r="C1126" s="34" t="inlineStr">
        <is>
          <t>SCH-05-040</t>
        </is>
      </c>
      <c r="D1126" s="34" t="inlineStr">
        <is>
          <t>1.5.1 Testing and Commissioning - Test Readiness</t>
        </is>
      </c>
      <c r="E1126" s="34" t="inlineStr">
        <is>
          <t>New</t>
        </is>
      </c>
      <c r="F1126" s="14" t="inlineStr"/>
      <c r="G1126" s="34" t="inlineStr">
        <is>
          <t>Source assignment -- not individually reviewed</t>
        </is>
      </c>
      <c r="H1126" s="92" t="inlineStr">
        <is>
          <t>10 EVIDENCE &amp; DECISIONS</t>
        </is>
      </c>
    </row>
    <row r="1127" ht="34" customHeight="1">
      <c r="A1127" s="34" t="inlineStr">
        <is>
          <t>R761-v1</t>
        </is>
      </c>
      <c r="B1127" s="34" t="inlineStr">
        <is>
          <t>Contractor Programme</t>
        </is>
      </c>
      <c r="C1127" s="34" t="inlineStr">
        <is>
          <t>SCH-05-041</t>
        </is>
      </c>
      <c r="D1127" s="34" t="inlineStr">
        <is>
          <t>1.5.1 Testing and Commissioning - Test Readiness</t>
        </is>
      </c>
      <c r="E1127" s="34" t="inlineStr">
        <is>
          <t>New</t>
        </is>
      </c>
      <c r="F1127" s="14" t="inlineStr"/>
      <c r="G1127" s="34" t="inlineStr">
        <is>
          <t>Source assignment -- not individually reviewed</t>
        </is>
      </c>
      <c r="H1127" s="92" t="inlineStr">
        <is>
          <t>10 EVIDENCE &amp; DECISIONS</t>
        </is>
      </c>
    </row>
    <row r="1128" ht="34" customHeight="1">
      <c r="A1128" s="34" t="inlineStr">
        <is>
          <t>R763-v1</t>
        </is>
      </c>
      <c r="B1128" s="34" t="inlineStr">
        <is>
          <t>Contractor Programme</t>
        </is>
      </c>
      <c r="C1128" s="34" t="inlineStr">
        <is>
          <t>SCH-05-043</t>
        </is>
      </c>
      <c r="D1128" s="34" t="inlineStr">
        <is>
          <t>1.5.1 Testing and Commissioning - Test Readiness</t>
        </is>
      </c>
      <c r="E1128" s="34" t="inlineStr">
        <is>
          <t>New</t>
        </is>
      </c>
      <c r="F1128" s="14" t="inlineStr"/>
      <c r="G1128" s="34" t="inlineStr">
        <is>
          <t>Source assignment -- not individually reviewed</t>
        </is>
      </c>
      <c r="H1128" s="92" t="inlineStr">
        <is>
          <t>10 EVIDENCE &amp; DECISIONS</t>
        </is>
      </c>
    </row>
    <row r="1129" ht="34" customHeight="1">
      <c r="A1129" s="34" t="inlineStr">
        <is>
          <t>R764-v1</t>
        </is>
      </c>
      <c r="B1129" s="34" t="inlineStr">
        <is>
          <t>Contractor Programme</t>
        </is>
      </c>
      <c r="C1129" s="34" t="inlineStr">
        <is>
          <t>SCH-05-044</t>
        </is>
      </c>
      <c r="D1129" s="34" t="inlineStr">
        <is>
          <t>1.5.1 Testing and Commissioning - Test Readiness</t>
        </is>
      </c>
      <c r="E1129" s="34" t="inlineStr">
        <is>
          <t>New</t>
        </is>
      </c>
      <c r="F1129" s="14" t="inlineStr"/>
      <c r="G1129" s="34" t="inlineStr">
        <is>
          <t>Source assignment -- not individually reviewed</t>
        </is>
      </c>
      <c r="H1129" s="92" t="inlineStr">
        <is>
          <t>10 EVIDENCE &amp; DECISIONS</t>
        </is>
      </c>
    </row>
    <row r="1130" ht="34" customHeight="1">
      <c r="A1130" s="34" t="inlineStr">
        <is>
          <t>R766-v1</t>
        </is>
      </c>
      <c r="B1130" s="34" t="inlineStr">
        <is>
          <t>Contractor Programme</t>
        </is>
      </c>
      <c r="C1130" s="34" t="inlineStr">
        <is>
          <t>SCH-05-046</t>
        </is>
      </c>
      <c r="D1130" s="34" t="inlineStr">
        <is>
          <t>1.5.1 Testing and Commissioning - Test Readiness</t>
        </is>
      </c>
      <c r="E1130" s="34" t="inlineStr">
        <is>
          <t>New</t>
        </is>
      </c>
      <c r="F1130" s="14" t="inlineStr"/>
      <c r="G1130" s="34" t="inlineStr">
        <is>
          <t>Source assignment -- not individually reviewed</t>
        </is>
      </c>
      <c r="H1130" s="92" t="inlineStr">
        <is>
          <t>10 EVIDENCE &amp; DECISIONS</t>
        </is>
      </c>
    </row>
    <row r="1131" ht="34" customHeight="1">
      <c r="A1131" s="34" t="inlineStr">
        <is>
          <t>R767-v1</t>
        </is>
      </c>
      <c r="B1131" s="34" t="inlineStr">
        <is>
          <t>Contractor Programme</t>
        </is>
      </c>
      <c r="C1131" s="34" t="inlineStr">
        <is>
          <t>SCH-05-047</t>
        </is>
      </c>
      <c r="D1131" s="34" t="inlineStr">
        <is>
          <t>1.5.1 Testing and Commissioning - Test Readiness</t>
        </is>
      </c>
      <c r="E1131" s="34" t="inlineStr">
        <is>
          <t>New</t>
        </is>
      </c>
      <c r="F1131" s="14" t="inlineStr"/>
      <c r="G1131" s="34" t="inlineStr">
        <is>
          <t>Source assignment -- not individually reviewed</t>
        </is>
      </c>
      <c r="H1131" s="92" t="inlineStr">
        <is>
          <t>10 EVIDENCE &amp; DECISIONS</t>
        </is>
      </c>
    </row>
    <row r="1132" ht="34" customHeight="1">
      <c r="A1132" s="34" t="inlineStr">
        <is>
          <t>R769-v1</t>
        </is>
      </c>
      <c r="B1132" s="34" t="inlineStr">
        <is>
          <t>Contractor Programme</t>
        </is>
      </c>
      <c r="C1132" s="34" t="inlineStr">
        <is>
          <t>SCH-05-049</t>
        </is>
      </c>
      <c r="D1132" s="34" t="inlineStr">
        <is>
          <t>1.5.1 Testing and Commissioning - Test Readiness</t>
        </is>
      </c>
      <c r="E1132" s="34" t="inlineStr">
        <is>
          <t>New</t>
        </is>
      </c>
      <c r="F1132" s="14" t="inlineStr"/>
      <c r="G1132" s="34" t="inlineStr">
        <is>
          <t>Source assignment -- not individually reviewed</t>
        </is>
      </c>
      <c r="H1132" s="92" t="inlineStr">
        <is>
          <t>10 EVIDENCE &amp; DECISIONS</t>
        </is>
      </c>
    </row>
    <row r="1133" ht="34" customHeight="1">
      <c r="A1133" s="34" t="inlineStr">
        <is>
          <t>R770-v1</t>
        </is>
      </c>
      <c r="B1133" s="34" t="inlineStr">
        <is>
          <t>Contractor Programme</t>
        </is>
      </c>
      <c r="C1133" s="34" t="inlineStr">
        <is>
          <t>SCH-05-050</t>
        </is>
      </c>
      <c r="D1133" s="34" t="inlineStr">
        <is>
          <t>1.5.1 Testing and Commissioning - Test Readiness</t>
        </is>
      </c>
      <c r="E1133" s="34" t="inlineStr">
        <is>
          <t>New</t>
        </is>
      </c>
      <c r="F1133" s="14" t="inlineStr"/>
      <c r="G1133" s="34" t="inlineStr">
        <is>
          <t>Source assignment -- not individually reviewed</t>
        </is>
      </c>
      <c r="H1133" s="92" t="inlineStr">
        <is>
          <t>10 EVIDENCE &amp; DECISIONS</t>
        </is>
      </c>
    </row>
    <row r="1134" ht="34" customHeight="1">
      <c r="A1134" s="34" t="inlineStr">
        <is>
          <t>R772-v1</t>
        </is>
      </c>
      <c r="B1134" s="34" t="inlineStr">
        <is>
          <t>Contractor Programme</t>
        </is>
      </c>
      <c r="C1134" s="34" t="inlineStr">
        <is>
          <t>SCH-05-052</t>
        </is>
      </c>
      <c r="D1134" s="34" t="inlineStr">
        <is>
          <t>1.5.1 Testing and Commissioning - Test Readiness</t>
        </is>
      </c>
      <c r="E1134" s="34" t="inlineStr">
        <is>
          <t>New</t>
        </is>
      </c>
      <c r="F1134" s="14" t="inlineStr"/>
      <c r="G1134" s="34" t="inlineStr">
        <is>
          <t>Source assignment -- not individually reviewed</t>
        </is>
      </c>
      <c r="H1134" s="92" t="inlineStr">
        <is>
          <t>10 EVIDENCE &amp; DECISIONS</t>
        </is>
      </c>
    </row>
    <row r="1135" ht="34" customHeight="1">
      <c r="A1135" s="34" t="inlineStr">
        <is>
          <t>R773-v1</t>
        </is>
      </c>
      <c r="B1135" s="34" t="inlineStr">
        <is>
          <t>Contractor Programme</t>
        </is>
      </c>
      <c r="C1135" s="34" t="inlineStr">
        <is>
          <t>SCH-05-053</t>
        </is>
      </c>
      <c r="D1135" s="34" t="inlineStr">
        <is>
          <t>1.5.1 Testing and Commissioning - Test Readiness</t>
        </is>
      </c>
      <c r="E1135" s="34" t="inlineStr">
        <is>
          <t>New</t>
        </is>
      </c>
      <c r="F1135" s="14" t="inlineStr"/>
      <c r="G1135" s="34" t="inlineStr">
        <is>
          <t>Source assignment -- not individually reviewed</t>
        </is>
      </c>
      <c r="H1135" s="92" t="inlineStr">
        <is>
          <t>10 EVIDENCE &amp; DECISIONS</t>
        </is>
      </c>
    </row>
    <row r="1136" ht="34" customHeight="1">
      <c r="A1136" s="34" t="inlineStr">
        <is>
          <t>R775-v1</t>
        </is>
      </c>
      <c r="B1136" s="34" t="inlineStr">
        <is>
          <t>Contractor Programme</t>
        </is>
      </c>
      <c r="C1136" s="34" t="inlineStr">
        <is>
          <t>SCH-05-055</t>
        </is>
      </c>
      <c r="D1136" s="34" t="inlineStr">
        <is>
          <t>1.5.1 Testing and Commissioning - Test Readiness</t>
        </is>
      </c>
      <c r="E1136" s="34" t="inlineStr">
        <is>
          <t>New</t>
        </is>
      </c>
      <c r="F1136" s="14" t="inlineStr"/>
      <c r="G1136" s="34" t="inlineStr">
        <is>
          <t>Source assignment -- not individually reviewed</t>
        </is>
      </c>
      <c r="H1136" s="92" t="inlineStr">
        <is>
          <t>10 EVIDENCE &amp; DECISIONS</t>
        </is>
      </c>
    </row>
    <row r="1137" ht="34" customHeight="1">
      <c r="A1137" s="34" t="inlineStr">
        <is>
          <t>R776-v1</t>
        </is>
      </c>
      <c r="B1137" s="34" t="inlineStr">
        <is>
          <t>Contractor Programme</t>
        </is>
      </c>
      <c r="C1137" s="34" t="inlineStr">
        <is>
          <t>SCH-05-056</t>
        </is>
      </c>
      <c r="D1137" s="34" t="inlineStr">
        <is>
          <t>1.5.1 Testing and Commissioning - Test Readiness</t>
        </is>
      </c>
      <c r="E1137" s="34" t="inlineStr">
        <is>
          <t>New</t>
        </is>
      </c>
      <c r="F1137" s="14" t="inlineStr"/>
      <c r="G1137" s="34" t="inlineStr">
        <is>
          <t>Source assignment -- not individually reviewed</t>
        </is>
      </c>
      <c r="H1137" s="92" t="inlineStr">
        <is>
          <t>10 EVIDENCE &amp; DECISIONS</t>
        </is>
      </c>
    </row>
    <row r="1138" ht="34" customHeight="1">
      <c r="A1138" s="34" t="inlineStr">
        <is>
          <t>R778-v1</t>
        </is>
      </c>
      <c r="B1138" s="34" t="inlineStr">
        <is>
          <t>Contractor Programme</t>
        </is>
      </c>
      <c r="C1138" s="34" t="inlineStr">
        <is>
          <t>SCH-05-058</t>
        </is>
      </c>
      <c r="D1138" s="34" t="inlineStr">
        <is>
          <t>1.5.1 Testing and Commissioning - Test Readiness</t>
        </is>
      </c>
      <c r="E1138" s="34" t="inlineStr">
        <is>
          <t>New</t>
        </is>
      </c>
      <c r="F1138" s="14" t="inlineStr"/>
      <c r="G1138" s="34" t="inlineStr">
        <is>
          <t>Source assignment -- not individually reviewed</t>
        </is>
      </c>
      <c r="H1138" s="92" t="inlineStr">
        <is>
          <t>10 EVIDENCE &amp; DECISIONS</t>
        </is>
      </c>
    </row>
    <row r="1139" ht="34" customHeight="1">
      <c r="A1139" s="34" t="inlineStr">
        <is>
          <t>R779-v1</t>
        </is>
      </c>
      <c r="B1139" s="34" t="inlineStr">
        <is>
          <t>Contractor Programme</t>
        </is>
      </c>
      <c r="C1139" s="34" t="inlineStr">
        <is>
          <t>SCH-05-059</t>
        </is>
      </c>
      <c r="D1139" s="34" t="inlineStr">
        <is>
          <t>1.5.1 Testing and Commissioning - Test Readiness</t>
        </is>
      </c>
      <c r="E1139" s="34" t="inlineStr">
        <is>
          <t>New</t>
        </is>
      </c>
      <c r="F1139" s="14" t="inlineStr"/>
      <c r="G1139" s="34" t="inlineStr">
        <is>
          <t>Source assignment -- not individually reviewed</t>
        </is>
      </c>
      <c r="H1139" s="92" t="inlineStr">
        <is>
          <t>10 EVIDENCE &amp; DECISIONS</t>
        </is>
      </c>
    </row>
    <row r="1140" ht="34" customHeight="1">
      <c r="A1140" s="34" t="inlineStr">
        <is>
          <t>R781-v1</t>
        </is>
      </c>
      <c r="B1140" s="34" t="inlineStr">
        <is>
          <t>Contractor Programme</t>
        </is>
      </c>
      <c r="C1140" s="34" t="inlineStr">
        <is>
          <t>SCH-05-061</t>
        </is>
      </c>
      <c r="D1140" s="34" t="inlineStr">
        <is>
          <t>1.5.1 Testing and Commissioning - Test Readiness</t>
        </is>
      </c>
      <c r="E1140" s="34" t="inlineStr">
        <is>
          <t>New</t>
        </is>
      </c>
      <c r="F1140" s="14" t="inlineStr"/>
      <c r="G1140" s="34" t="inlineStr">
        <is>
          <t>Source assignment -- not individually reviewed</t>
        </is>
      </c>
      <c r="H1140" s="92" t="inlineStr">
        <is>
          <t>10 EVIDENCE &amp; DECISIONS</t>
        </is>
      </c>
    </row>
    <row r="1141" ht="34" customHeight="1">
      <c r="A1141" s="34" t="inlineStr">
        <is>
          <t>R782-v1</t>
        </is>
      </c>
      <c r="B1141" s="34" t="inlineStr">
        <is>
          <t>Contractor Programme</t>
        </is>
      </c>
      <c r="C1141" s="34" t="inlineStr">
        <is>
          <t>SCH-05-062</t>
        </is>
      </c>
      <c r="D1141" s="34" t="inlineStr">
        <is>
          <t>1.5.1 Testing and Commissioning - Test Readiness</t>
        </is>
      </c>
      <c r="E1141" s="34" t="inlineStr">
        <is>
          <t>New</t>
        </is>
      </c>
      <c r="F1141" s="14" t="inlineStr"/>
      <c r="G1141" s="34" t="inlineStr">
        <is>
          <t>Source assignment -- not individually reviewed</t>
        </is>
      </c>
      <c r="H1141" s="92" t="inlineStr">
        <is>
          <t>10 EVIDENCE &amp; DECISIONS</t>
        </is>
      </c>
    </row>
    <row r="1142" ht="34" customHeight="1">
      <c r="A1142" s="34" t="inlineStr">
        <is>
          <t>R784-v1</t>
        </is>
      </c>
      <c r="B1142" s="34" t="inlineStr">
        <is>
          <t>Contractor Programme</t>
        </is>
      </c>
      <c r="C1142" s="34" t="inlineStr">
        <is>
          <t>SCH-05-064</t>
        </is>
      </c>
      <c r="D1142" s="34" t="inlineStr">
        <is>
          <t>1.5.1 Testing and Commissioning - Test Readiness</t>
        </is>
      </c>
      <c r="E1142" s="34" t="inlineStr">
        <is>
          <t>New</t>
        </is>
      </c>
      <c r="F1142" s="14" t="inlineStr"/>
      <c r="G1142" s="34" t="inlineStr">
        <is>
          <t>Source assignment -- not individually reviewed</t>
        </is>
      </c>
      <c r="H1142" s="92" t="inlineStr">
        <is>
          <t>10 EVIDENCE &amp; DECISIONS</t>
        </is>
      </c>
    </row>
    <row r="1143" ht="34" customHeight="1">
      <c r="A1143" s="34" t="inlineStr">
        <is>
          <t>R785-v1</t>
        </is>
      </c>
      <c r="B1143" s="34" t="inlineStr">
        <is>
          <t>Contractor Programme</t>
        </is>
      </c>
      <c r="C1143" s="34" t="inlineStr">
        <is>
          <t>SCH-05-065</t>
        </is>
      </c>
      <c r="D1143" s="34" t="inlineStr">
        <is>
          <t>1.5.1 Testing and Commissioning - Test Readiness</t>
        </is>
      </c>
      <c r="E1143" s="34" t="inlineStr">
        <is>
          <t>New</t>
        </is>
      </c>
      <c r="F1143" s="14" t="inlineStr"/>
      <c r="G1143" s="34" t="inlineStr">
        <is>
          <t>Source assignment -- not individually reviewed</t>
        </is>
      </c>
      <c r="H1143" s="92" t="inlineStr">
        <is>
          <t>10 EVIDENCE &amp; DECISIONS</t>
        </is>
      </c>
    </row>
    <row r="1144" ht="34" customHeight="1">
      <c r="A1144" s="34" t="inlineStr">
        <is>
          <t>R787-v1</t>
        </is>
      </c>
      <c r="B1144" s="34" t="inlineStr">
        <is>
          <t>Contractor Programme</t>
        </is>
      </c>
      <c r="C1144" s="34" t="inlineStr">
        <is>
          <t>SCH-05-067</t>
        </is>
      </c>
      <c r="D1144" s="34" t="inlineStr">
        <is>
          <t>1.5.1 Testing and Commissioning - Test Readiness</t>
        </is>
      </c>
      <c r="E1144" s="34" t="inlineStr">
        <is>
          <t>New</t>
        </is>
      </c>
      <c r="F1144" s="14" t="inlineStr"/>
      <c r="G1144" s="34" t="inlineStr">
        <is>
          <t>Source assignment -- not individually reviewed</t>
        </is>
      </c>
      <c r="H1144" s="92" t="inlineStr">
        <is>
          <t>10 EVIDENCE &amp; DECISIONS</t>
        </is>
      </c>
    </row>
    <row r="1145" ht="34" customHeight="1">
      <c r="A1145" s="34" t="inlineStr">
        <is>
          <t>R788-v1</t>
        </is>
      </c>
      <c r="B1145" s="34" t="inlineStr">
        <is>
          <t>Contractor Programme</t>
        </is>
      </c>
      <c r="C1145" s="34" t="inlineStr">
        <is>
          <t>SCH-05-068</t>
        </is>
      </c>
      <c r="D1145" s="34" t="inlineStr">
        <is>
          <t>1.5.1 Testing and Commissioning - Test Readiness</t>
        </is>
      </c>
      <c r="E1145" s="34" t="inlineStr">
        <is>
          <t>New</t>
        </is>
      </c>
      <c r="F1145" s="14" t="inlineStr"/>
      <c r="G1145" s="34" t="inlineStr">
        <is>
          <t>Source assignment -- not individually reviewed</t>
        </is>
      </c>
      <c r="H1145" s="92" t="inlineStr">
        <is>
          <t>10 EVIDENCE &amp; DECISIONS</t>
        </is>
      </c>
    </row>
    <row r="1146" ht="34" customHeight="1">
      <c r="A1146" s="34" t="inlineStr">
        <is>
          <t>R790-v1</t>
        </is>
      </c>
      <c r="B1146" s="34" t="inlineStr">
        <is>
          <t>Contractor Programme</t>
        </is>
      </c>
      <c r="C1146" s="34" t="inlineStr">
        <is>
          <t>SCH-05-070</t>
        </is>
      </c>
      <c r="D1146" s="34" t="inlineStr">
        <is>
          <t>1.5.1 Testing and Commissioning - Test Readiness</t>
        </is>
      </c>
      <c r="E1146" s="34" t="inlineStr">
        <is>
          <t>New</t>
        </is>
      </c>
      <c r="F1146" s="14" t="inlineStr"/>
      <c r="G1146" s="34" t="inlineStr">
        <is>
          <t>Source assignment -- not individually reviewed</t>
        </is>
      </c>
      <c r="H1146" s="92" t="inlineStr">
        <is>
          <t>10 EVIDENCE &amp; DECISIONS</t>
        </is>
      </c>
    </row>
    <row r="1147" ht="34" customHeight="1">
      <c r="A1147" s="34" t="inlineStr">
        <is>
          <t>R791-v1</t>
        </is>
      </c>
      <c r="B1147" s="34" t="inlineStr">
        <is>
          <t>Contractor Programme</t>
        </is>
      </c>
      <c r="C1147" s="34" t="inlineStr">
        <is>
          <t>SCH-05-071</t>
        </is>
      </c>
      <c r="D1147" s="34" t="inlineStr">
        <is>
          <t>1.5.1 Testing and Commissioning - Test Readiness</t>
        </is>
      </c>
      <c r="E1147" s="34" t="inlineStr">
        <is>
          <t>New</t>
        </is>
      </c>
      <c r="F1147" s="14" t="inlineStr"/>
      <c r="G1147" s="34" t="inlineStr">
        <is>
          <t>Source assignment -- not individually reviewed</t>
        </is>
      </c>
      <c r="H1147" s="92" t="inlineStr">
        <is>
          <t>10 EVIDENCE &amp; DECISIONS</t>
        </is>
      </c>
    </row>
    <row r="1148" ht="34" customHeight="1">
      <c r="A1148" s="34" t="inlineStr">
        <is>
          <t>R793-v1</t>
        </is>
      </c>
      <c r="B1148" s="34" t="inlineStr">
        <is>
          <t>Contractor Programme</t>
        </is>
      </c>
      <c r="C1148" s="34" t="inlineStr">
        <is>
          <t>SCH-05-073</t>
        </is>
      </c>
      <c r="D1148" s="34" t="inlineStr">
        <is>
          <t>1.5.1 Testing and Commissioning - Test Readiness</t>
        </is>
      </c>
      <c r="E1148" s="34" t="inlineStr">
        <is>
          <t>New</t>
        </is>
      </c>
      <c r="F1148" s="14" t="inlineStr"/>
      <c r="G1148" s="34" t="inlineStr">
        <is>
          <t>Source assignment -- not individually reviewed</t>
        </is>
      </c>
      <c r="H1148" s="92" t="inlineStr">
        <is>
          <t>10 EVIDENCE &amp; DECISIONS</t>
        </is>
      </c>
    </row>
    <row r="1149" ht="34" customHeight="1">
      <c r="A1149" s="34" t="inlineStr">
        <is>
          <t>R794-v1</t>
        </is>
      </c>
      <c r="B1149" s="34" t="inlineStr">
        <is>
          <t>Contractor Programme</t>
        </is>
      </c>
      <c r="C1149" s="34" t="inlineStr">
        <is>
          <t>SCH-05-074</t>
        </is>
      </c>
      <c r="D1149" s="34" t="inlineStr">
        <is>
          <t>1.5.1 Testing and Commissioning - Test Readiness</t>
        </is>
      </c>
      <c r="E1149" s="34" t="inlineStr">
        <is>
          <t>New</t>
        </is>
      </c>
      <c r="F1149" s="14" t="inlineStr"/>
      <c r="G1149" s="34" t="inlineStr">
        <is>
          <t>Source assignment -- not individually reviewed</t>
        </is>
      </c>
      <c r="H1149" s="92" t="inlineStr">
        <is>
          <t>10 EVIDENCE &amp; DECISIONS</t>
        </is>
      </c>
    </row>
    <row r="1150" ht="34" customHeight="1">
      <c r="A1150" s="34" t="inlineStr">
        <is>
          <t>R796-v1</t>
        </is>
      </c>
      <c r="B1150" s="34" t="inlineStr">
        <is>
          <t>Contractor Programme</t>
        </is>
      </c>
      <c r="C1150" s="34" t="inlineStr">
        <is>
          <t>SCH-05-076</t>
        </is>
      </c>
      <c r="D1150" s="34" t="inlineStr">
        <is>
          <t>1.5.1 Testing and Commissioning - Test Readiness</t>
        </is>
      </c>
      <c r="E1150" s="34" t="inlineStr">
        <is>
          <t>New</t>
        </is>
      </c>
      <c r="F1150" s="14" t="inlineStr"/>
      <c r="G1150" s="34" t="inlineStr">
        <is>
          <t>Source assignment -- not individually reviewed</t>
        </is>
      </c>
      <c r="H1150" s="92" t="inlineStr">
        <is>
          <t>10 EVIDENCE &amp; DECISIONS</t>
        </is>
      </c>
    </row>
    <row r="1151" ht="34" customHeight="1">
      <c r="A1151" s="34" t="inlineStr">
        <is>
          <t>R797-v1</t>
        </is>
      </c>
      <c r="B1151" s="34" t="inlineStr">
        <is>
          <t>Contractor Programme</t>
        </is>
      </c>
      <c r="C1151" s="34" t="inlineStr">
        <is>
          <t>SCH-05-077</t>
        </is>
      </c>
      <c r="D1151" s="34" t="inlineStr">
        <is>
          <t>1.5.1 Testing and Commissioning - Test Readiness</t>
        </is>
      </c>
      <c r="E1151" s="34" t="inlineStr">
        <is>
          <t>New</t>
        </is>
      </c>
      <c r="F1151" s="14" t="inlineStr"/>
      <c r="G1151" s="34" t="inlineStr">
        <is>
          <t>Source assignment -- not individually reviewed</t>
        </is>
      </c>
      <c r="H1151" s="92" t="inlineStr">
        <is>
          <t>10 EVIDENCE &amp; DECISIONS</t>
        </is>
      </c>
    </row>
    <row r="1152" ht="34" customHeight="1">
      <c r="A1152" s="34" t="inlineStr">
        <is>
          <t>R799-v1</t>
        </is>
      </c>
      <c r="B1152" s="34" t="inlineStr">
        <is>
          <t>Contractor Programme</t>
        </is>
      </c>
      <c r="C1152" s="34" t="inlineStr">
        <is>
          <t>SCH-05-079</t>
        </is>
      </c>
      <c r="D1152" s="34" t="inlineStr">
        <is>
          <t>1.5.1 Testing and Commissioning - Test Readiness</t>
        </is>
      </c>
      <c r="E1152" s="34" t="inlineStr">
        <is>
          <t>New</t>
        </is>
      </c>
      <c r="F1152" s="14" t="inlineStr"/>
      <c r="G1152" s="34" t="inlineStr">
        <is>
          <t>Source assignment -- not individually reviewed</t>
        </is>
      </c>
      <c r="H1152" s="92" t="inlineStr">
        <is>
          <t>10 EVIDENCE &amp; DECISIONS</t>
        </is>
      </c>
    </row>
    <row r="1153" ht="34" customHeight="1">
      <c r="A1153" s="34" t="inlineStr">
        <is>
          <t>R800-v1</t>
        </is>
      </c>
      <c r="B1153" s="34" t="inlineStr">
        <is>
          <t>Contractor Programme</t>
        </is>
      </c>
      <c r="C1153" s="34" t="inlineStr">
        <is>
          <t>SCH-05-080</t>
        </is>
      </c>
      <c r="D1153" s="34" t="inlineStr">
        <is>
          <t>1.5.1 Testing and Commissioning - Test Readiness</t>
        </is>
      </c>
      <c r="E1153" s="34" t="inlineStr">
        <is>
          <t>New</t>
        </is>
      </c>
      <c r="F1153" s="14" t="inlineStr"/>
      <c r="G1153" s="34" t="inlineStr">
        <is>
          <t>Source assignment -- not individually reviewed</t>
        </is>
      </c>
      <c r="H1153" s="92" t="inlineStr">
        <is>
          <t>10 EVIDENCE &amp; DECISIONS</t>
        </is>
      </c>
    </row>
    <row r="1154" ht="34" customHeight="1">
      <c r="A1154" s="34" t="inlineStr">
        <is>
          <t>R802-v1</t>
        </is>
      </c>
      <c r="B1154" s="34" t="inlineStr">
        <is>
          <t>Contractor Programme</t>
        </is>
      </c>
      <c r="C1154" s="34" t="inlineStr">
        <is>
          <t>SCH-05-082</t>
        </is>
      </c>
      <c r="D1154" s="34" t="inlineStr">
        <is>
          <t>1.5.1 Testing and Commissioning - Test Readiness</t>
        </is>
      </c>
      <c r="E1154" s="34" t="inlineStr">
        <is>
          <t>New</t>
        </is>
      </c>
      <c r="F1154" s="14" t="inlineStr"/>
      <c r="G1154" s="34" t="inlineStr">
        <is>
          <t>Source assignment -- not individually reviewed</t>
        </is>
      </c>
      <c r="H1154" s="92" t="inlineStr">
        <is>
          <t>10 EVIDENCE &amp; DECISIONS</t>
        </is>
      </c>
    </row>
    <row r="1155" ht="34" customHeight="1">
      <c r="A1155" s="34" t="inlineStr">
        <is>
          <t>R803-v1</t>
        </is>
      </c>
      <c r="B1155" s="34" t="inlineStr">
        <is>
          <t>Contractor Programme</t>
        </is>
      </c>
      <c r="C1155" s="34" t="inlineStr">
        <is>
          <t>SCH-05-083</t>
        </is>
      </c>
      <c r="D1155" s="34" t="inlineStr">
        <is>
          <t>1.5.1 Testing and Commissioning - Test Readiness</t>
        </is>
      </c>
      <c r="E1155" s="34" t="inlineStr">
        <is>
          <t>New</t>
        </is>
      </c>
      <c r="F1155" s="14" t="inlineStr"/>
      <c r="G1155" s="34" t="inlineStr">
        <is>
          <t>Source assignment -- not individually reviewed</t>
        </is>
      </c>
      <c r="H1155" s="92" t="inlineStr">
        <is>
          <t>10 EVIDENCE &amp; DECISIONS</t>
        </is>
      </c>
    </row>
    <row r="1156" ht="34" customHeight="1">
      <c r="A1156" s="34" t="inlineStr">
        <is>
          <t>R805-v1</t>
        </is>
      </c>
      <c r="B1156" s="34" t="inlineStr">
        <is>
          <t>Contractor Programme</t>
        </is>
      </c>
      <c r="C1156" s="34" t="inlineStr">
        <is>
          <t>SCH-05-085</t>
        </is>
      </c>
      <c r="D1156" s="34" t="inlineStr">
        <is>
          <t>1.5.1 Testing and Commissioning - Test Readiness</t>
        </is>
      </c>
      <c r="E1156" s="34" t="inlineStr">
        <is>
          <t>New</t>
        </is>
      </c>
      <c r="F1156" s="14" t="inlineStr"/>
      <c r="G1156" s="34" t="inlineStr">
        <is>
          <t>Source assignment -- not individually reviewed</t>
        </is>
      </c>
      <c r="H1156" s="92" t="inlineStr">
        <is>
          <t>10 EVIDENCE &amp; DECISIONS</t>
        </is>
      </c>
    </row>
    <row r="1157" ht="34" customHeight="1">
      <c r="A1157" s="34" t="inlineStr">
        <is>
          <t>R806-v1</t>
        </is>
      </c>
      <c r="B1157" s="34" t="inlineStr">
        <is>
          <t>Contractor Programme</t>
        </is>
      </c>
      <c r="C1157" s="34" t="inlineStr">
        <is>
          <t>SCH-05-086</t>
        </is>
      </c>
      <c r="D1157" s="34" t="inlineStr">
        <is>
          <t>1.5.1 Testing and Commissioning - Test Readiness</t>
        </is>
      </c>
      <c r="E1157" s="34" t="inlineStr">
        <is>
          <t>New</t>
        </is>
      </c>
      <c r="F1157" s="14" t="inlineStr"/>
      <c r="G1157" s="34" t="inlineStr">
        <is>
          <t>Source assignment -- not individually reviewed</t>
        </is>
      </c>
      <c r="H1157" s="92" t="inlineStr">
        <is>
          <t>10 EVIDENCE &amp; DECISIONS</t>
        </is>
      </c>
    </row>
    <row r="1158" ht="34" customHeight="1">
      <c r="A1158" s="34" t="inlineStr">
        <is>
          <t>R808-v1</t>
        </is>
      </c>
      <c r="B1158" s="34" t="inlineStr">
        <is>
          <t>Contractor Programme</t>
        </is>
      </c>
      <c r="C1158" s="34" t="inlineStr">
        <is>
          <t>SCH-05-088</t>
        </is>
      </c>
      <c r="D1158" s="34" t="inlineStr">
        <is>
          <t>1.5.1 Testing and Commissioning - Test Readiness</t>
        </is>
      </c>
      <c r="E1158" s="34" t="inlineStr">
        <is>
          <t>New</t>
        </is>
      </c>
      <c r="F1158" s="14" t="inlineStr"/>
      <c r="G1158" s="34" t="inlineStr">
        <is>
          <t>Source assignment -- not individually reviewed</t>
        </is>
      </c>
      <c r="H1158" s="92" t="inlineStr">
        <is>
          <t>10 EVIDENCE &amp; DECISIONS</t>
        </is>
      </c>
    </row>
    <row r="1159" ht="34" customHeight="1">
      <c r="A1159" s="34" t="inlineStr">
        <is>
          <t>R809-v1</t>
        </is>
      </c>
      <c r="B1159" s="34" t="inlineStr">
        <is>
          <t>Contractor Programme</t>
        </is>
      </c>
      <c r="C1159" s="34" t="inlineStr">
        <is>
          <t>SCH-05-089</t>
        </is>
      </c>
      <c r="D1159" s="34" t="inlineStr">
        <is>
          <t>1.5.1 Testing and Commissioning - Test Readiness</t>
        </is>
      </c>
      <c r="E1159" s="34" t="inlineStr">
        <is>
          <t>New</t>
        </is>
      </c>
      <c r="F1159" s="14" t="inlineStr"/>
      <c r="G1159" s="34" t="inlineStr">
        <is>
          <t>Source assignment -- not individually reviewed</t>
        </is>
      </c>
      <c r="H1159" s="92" t="inlineStr">
        <is>
          <t>10 EVIDENCE &amp; DECISIONS</t>
        </is>
      </c>
    </row>
    <row r="1160" ht="34" customHeight="1">
      <c r="A1160" s="34" t="inlineStr">
        <is>
          <t>R811-v1</t>
        </is>
      </c>
      <c r="B1160" s="34" t="inlineStr">
        <is>
          <t>Contractor Programme</t>
        </is>
      </c>
      <c r="C1160" s="34" t="inlineStr">
        <is>
          <t>SCH-05-091</t>
        </is>
      </c>
      <c r="D1160" s="34" t="inlineStr">
        <is>
          <t>1.5.1 Testing and Commissioning - Test Readiness</t>
        </is>
      </c>
      <c r="E1160" s="34" t="inlineStr">
        <is>
          <t>New</t>
        </is>
      </c>
      <c r="F1160" s="14" t="inlineStr"/>
      <c r="G1160" s="34" t="inlineStr">
        <is>
          <t>Source assignment -- not individually reviewed</t>
        </is>
      </c>
      <c r="H1160" s="92" t="inlineStr">
        <is>
          <t>10 EVIDENCE &amp; DECISIONS</t>
        </is>
      </c>
    </row>
    <row r="1161" ht="34" customHeight="1">
      <c r="A1161" s="34" t="inlineStr">
        <is>
          <t>R812-v1</t>
        </is>
      </c>
      <c r="B1161" s="34" t="inlineStr">
        <is>
          <t>Contractor Programme</t>
        </is>
      </c>
      <c r="C1161" s="34" t="inlineStr">
        <is>
          <t>SCH-05-092</t>
        </is>
      </c>
      <c r="D1161" s="34" t="inlineStr">
        <is>
          <t>1.5.1 Testing and Commissioning - Test Readiness</t>
        </is>
      </c>
      <c r="E1161" s="34" t="inlineStr">
        <is>
          <t>New</t>
        </is>
      </c>
      <c r="F1161" s="14" t="inlineStr"/>
      <c r="G1161" s="34" t="inlineStr">
        <is>
          <t>Source assignment -- not individually reviewed</t>
        </is>
      </c>
      <c r="H1161" s="92" t="inlineStr">
        <is>
          <t>10 EVIDENCE &amp; DECISIONS</t>
        </is>
      </c>
    </row>
    <row r="1162" ht="34" customHeight="1">
      <c r="A1162" s="34" t="inlineStr">
        <is>
          <t>R814-v1</t>
        </is>
      </c>
      <c r="B1162" s="34" t="inlineStr">
        <is>
          <t>Contractor Programme</t>
        </is>
      </c>
      <c r="C1162" s="34" t="inlineStr">
        <is>
          <t>SCH-05-094</t>
        </is>
      </c>
      <c r="D1162" s="34" t="inlineStr">
        <is>
          <t>1.5.1 Testing and Commissioning - Test Readiness</t>
        </is>
      </c>
      <c r="E1162" s="34" t="inlineStr">
        <is>
          <t>New</t>
        </is>
      </c>
      <c r="F1162" s="14" t="inlineStr"/>
      <c r="G1162" s="34" t="inlineStr">
        <is>
          <t>Source assignment -- not individually reviewed</t>
        </is>
      </c>
      <c r="H1162" s="92" t="inlineStr">
        <is>
          <t>10 EVIDENCE &amp; DECISIONS</t>
        </is>
      </c>
    </row>
    <row r="1163" ht="34" customHeight="1">
      <c r="A1163" s="34" t="inlineStr">
        <is>
          <t>R815-v1</t>
        </is>
      </c>
      <c r="B1163" s="34" t="inlineStr">
        <is>
          <t>Contractor Programme</t>
        </is>
      </c>
      <c r="C1163" s="34" t="inlineStr">
        <is>
          <t>SCH-05-095</t>
        </is>
      </c>
      <c r="D1163" s="34" t="inlineStr">
        <is>
          <t>1.5.1 Testing and Commissioning - Test Readiness</t>
        </is>
      </c>
      <c r="E1163" s="34" t="inlineStr">
        <is>
          <t>New</t>
        </is>
      </c>
      <c r="F1163" s="14" t="inlineStr"/>
      <c r="G1163" s="34" t="inlineStr">
        <is>
          <t>Source assignment -- not individually reviewed</t>
        </is>
      </c>
      <c r="H1163" s="92" t="inlineStr">
        <is>
          <t>10 EVIDENCE &amp; DECISIONS</t>
        </is>
      </c>
    </row>
    <row r="1164" ht="34" customHeight="1">
      <c r="A1164" s="34" t="inlineStr">
        <is>
          <t>R817-v1</t>
        </is>
      </c>
      <c r="B1164" s="34" t="inlineStr">
        <is>
          <t>Contractor Programme</t>
        </is>
      </c>
      <c r="C1164" s="34" t="inlineStr">
        <is>
          <t>SCH-05-097</t>
        </is>
      </c>
      <c r="D1164" s="34" t="inlineStr">
        <is>
          <t>1.5.1 Testing and Commissioning - Test Readiness</t>
        </is>
      </c>
      <c r="E1164" s="34" t="inlineStr">
        <is>
          <t>New</t>
        </is>
      </c>
      <c r="F1164" s="14" t="inlineStr"/>
      <c r="G1164" s="34" t="inlineStr">
        <is>
          <t>Source assignment -- not individually reviewed</t>
        </is>
      </c>
      <c r="H1164" s="92" t="inlineStr">
        <is>
          <t>10 EVIDENCE &amp; DECISIONS</t>
        </is>
      </c>
    </row>
    <row r="1165" ht="34" customHeight="1">
      <c r="A1165" s="34" t="inlineStr">
        <is>
          <t>R818-v1</t>
        </is>
      </c>
      <c r="B1165" s="34" t="inlineStr">
        <is>
          <t>Contractor Programme</t>
        </is>
      </c>
      <c r="C1165" s="34" t="inlineStr">
        <is>
          <t>SCH-05-098</t>
        </is>
      </c>
      <c r="D1165" s="34" t="inlineStr">
        <is>
          <t>1.5.1 Testing and Commissioning - Test Readiness</t>
        </is>
      </c>
      <c r="E1165" s="34" t="inlineStr">
        <is>
          <t>New</t>
        </is>
      </c>
      <c r="F1165" s="14" t="inlineStr"/>
      <c r="G1165" s="34" t="inlineStr">
        <is>
          <t>Source assignment -- not individually reviewed</t>
        </is>
      </c>
      <c r="H1165" s="92" t="inlineStr">
        <is>
          <t>10 EVIDENCE &amp; DECISIONS</t>
        </is>
      </c>
    </row>
    <row r="1166" ht="34" customHeight="1">
      <c r="A1166" s="34" t="inlineStr">
        <is>
          <t>R820-v1</t>
        </is>
      </c>
      <c r="B1166" s="34" t="inlineStr">
        <is>
          <t>Contractor Programme</t>
        </is>
      </c>
      <c r="C1166" s="34" t="inlineStr">
        <is>
          <t>SCH-05-100</t>
        </is>
      </c>
      <c r="D1166" s="34" t="inlineStr">
        <is>
          <t>1.5.1 Testing and Commissioning - Test Readiness</t>
        </is>
      </c>
      <c r="E1166" s="34" t="inlineStr">
        <is>
          <t>New</t>
        </is>
      </c>
      <c r="F1166" s="14" t="inlineStr"/>
      <c r="G1166" s="34" t="inlineStr">
        <is>
          <t>Source assignment -- not individually reviewed</t>
        </is>
      </c>
      <c r="H1166" s="92" t="inlineStr">
        <is>
          <t>10 EVIDENCE &amp; DECISIONS</t>
        </is>
      </c>
    </row>
    <row r="1167" ht="34" customHeight="1">
      <c r="A1167" s="34" t="inlineStr">
        <is>
          <t>R821-v1</t>
        </is>
      </c>
      <c r="B1167" s="34" t="inlineStr">
        <is>
          <t>Contractor Programme</t>
        </is>
      </c>
      <c r="C1167" s="34" t="inlineStr">
        <is>
          <t>SCH-05-101</t>
        </is>
      </c>
      <c r="D1167" s="34" t="inlineStr">
        <is>
          <t>1.5.1 Testing and Commissioning - Test Readiness</t>
        </is>
      </c>
      <c r="E1167" s="34" t="inlineStr">
        <is>
          <t>New</t>
        </is>
      </c>
      <c r="F1167" s="14" t="inlineStr"/>
      <c r="G1167" s="34" t="inlineStr">
        <is>
          <t>Source assignment -- not individually reviewed</t>
        </is>
      </c>
      <c r="H1167" s="92" t="inlineStr">
        <is>
          <t>10 EVIDENCE &amp; DECISIONS</t>
        </is>
      </c>
    </row>
    <row r="1168" ht="34" customHeight="1">
      <c r="A1168" s="34" t="inlineStr">
        <is>
          <t>R823-v1</t>
        </is>
      </c>
      <c r="B1168" s="34" t="inlineStr">
        <is>
          <t>Contractor Programme</t>
        </is>
      </c>
      <c r="C1168" s="34" t="inlineStr">
        <is>
          <t>SCH-05-103</t>
        </is>
      </c>
      <c r="D1168" s="34" t="inlineStr">
        <is>
          <t>1.5.1 Testing and Commissioning - Test Readiness</t>
        </is>
      </c>
      <c r="E1168" s="34" t="inlineStr">
        <is>
          <t>New</t>
        </is>
      </c>
      <c r="F1168" s="14" t="inlineStr"/>
      <c r="G1168" s="34" t="inlineStr">
        <is>
          <t>Source assignment -- not individually reviewed</t>
        </is>
      </c>
      <c r="H1168" s="92" t="inlineStr">
        <is>
          <t>10 EVIDENCE &amp; DECISIONS</t>
        </is>
      </c>
    </row>
    <row r="1169" ht="34" customHeight="1">
      <c r="A1169" s="34" t="inlineStr">
        <is>
          <t>R824-v1</t>
        </is>
      </c>
      <c r="B1169" s="34" t="inlineStr">
        <is>
          <t>Contractor Programme</t>
        </is>
      </c>
      <c r="C1169" s="34" t="inlineStr">
        <is>
          <t>SCH-05-104</t>
        </is>
      </c>
      <c r="D1169" s="34" t="inlineStr">
        <is>
          <t>1.5.1 Testing and Commissioning - Test Readiness</t>
        </is>
      </c>
      <c r="E1169" s="34" t="inlineStr">
        <is>
          <t>New</t>
        </is>
      </c>
      <c r="F1169" s="14" t="inlineStr"/>
      <c r="G1169" s="34" t="inlineStr">
        <is>
          <t>Source assignment -- not individually reviewed</t>
        </is>
      </c>
      <c r="H1169" s="92" t="inlineStr">
        <is>
          <t>10 EVIDENCE &amp; DECISIONS</t>
        </is>
      </c>
    </row>
    <row r="1170" ht="34" customHeight="1">
      <c r="A1170" s="34" t="inlineStr">
        <is>
          <t>R826-v1</t>
        </is>
      </c>
      <c r="B1170" s="34" t="inlineStr">
        <is>
          <t>Contractor Programme</t>
        </is>
      </c>
      <c r="C1170" s="34" t="inlineStr">
        <is>
          <t>SCH-05-106</t>
        </is>
      </c>
      <c r="D1170" s="34" t="inlineStr">
        <is>
          <t>1.5.1 Testing and Commissioning - Test Readiness</t>
        </is>
      </c>
      <c r="E1170" s="34" t="inlineStr">
        <is>
          <t>New</t>
        </is>
      </c>
      <c r="F1170" s="14" t="inlineStr"/>
      <c r="G1170" s="34" t="inlineStr">
        <is>
          <t>Source assignment -- not individually reviewed</t>
        </is>
      </c>
      <c r="H1170" s="92" t="inlineStr">
        <is>
          <t>10 EVIDENCE &amp; DECISIONS</t>
        </is>
      </c>
    </row>
    <row r="1171" ht="34" customHeight="1">
      <c r="A1171" s="34" t="inlineStr">
        <is>
          <t>R827-v1</t>
        </is>
      </c>
      <c r="B1171" s="34" t="inlineStr">
        <is>
          <t>Contractor Programme</t>
        </is>
      </c>
      <c r="C1171" s="34" t="inlineStr">
        <is>
          <t>SCH-05-107</t>
        </is>
      </c>
      <c r="D1171" s="34" t="inlineStr">
        <is>
          <t>1.5.1 Testing and Commissioning - Test Readiness</t>
        </is>
      </c>
      <c r="E1171" s="34" t="inlineStr">
        <is>
          <t>New</t>
        </is>
      </c>
      <c r="F1171" s="14" t="inlineStr"/>
      <c r="G1171" s="34" t="inlineStr">
        <is>
          <t>Source assignment -- not individually reviewed</t>
        </is>
      </c>
      <c r="H1171" s="92" t="inlineStr">
        <is>
          <t>10 EVIDENCE &amp; DECISIONS</t>
        </is>
      </c>
    </row>
    <row r="1172" ht="34" customHeight="1">
      <c r="A1172" s="34" t="inlineStr">
        <is>
          <t>R829-v1</t>
        </is>
      </c>
      <c r="B1172" s="34" t="inlineStr">
        <is>
          <t>Contractor Programme</t>
        </is>
      </c>
      <c r="C1172" s="34" t="inlineStr">
        <is>
          <t>SCH-05-109</t>
        </is>
      </c>
      <c r="D1172" s="34" t="inlineStr">
        <is>
          <t>1.5.1 Testing and Commissioning - Test Readiness</t>
        </is>
      </c>
      <c r="E1172" s="34" t="inlineStr">
        <is>
          <t>New</t>
        </is>
      </c>
      <c r="F1172" s="14" t="inlineStr"/>
      <c r="G1172" s="34" t="inlineStr">
        <is>
          <t>Source assignment -- not individually reviewed</t>
        </is>
      </c>
      <c r="H1172" s="92" t="inlineStr">
        <is>
          <t>10 EVIDENCE &amp; DECISIONS</t>
        </is>
      </c>
    </row>
    <row r="1173" ht="34" customHeight="1">
      <c r="A1173" s="34" t="inlineStr">
        <is>
          <t>R830-v1</t>
        </is>
      </c>
      <c r="B1173" s="34" t="inlineStr">
        <is>
          <t>Contractor Programme</t>
        </is>
      </c>
      <c r="C1173" s="34" t="inlineStr">
        <is>
          <t>SCH-05-110</t>
        </is>
      </c>
      <c r="D1173" s="34" t="inlineStr">
        <is>
          <t>1.5.1 Testing and Commissioning - Test Readiness</t>
        </is>
      </c>
      <c r="E1173" s="34" t="inlineStr">
        <is>
          <t>New</t>
        </is>
      </c>
      <c r="F1173" s="14" t="inlineStr"/>
      <c r="G1173" s="34" t="inlineStr">
        <is>
          <t>Source assignment -- not individually reviewed</t>
        </is>
      </c>
      <c r="H1173" s="92" t="inlineStr">
        <is>
          <t>10 EVIDENCE &amp; DECISIONS</t>
        </is>
      </c>
    </row>
    <row r="1174" ht="34" customHeight="1">
      <c r="A1174" s="34" t="inlineStr">
        <is>
          <t>R832-v1</t>
        </is>
      </c>
      <c r="B1174" s="34" t="inlineStr">
        <is>
          <t>Contractor Programme</t>
        </is>
      </c>
      <c r="C1174" s="34" t="inlineStr">
        <is>
          <t>SCH-05-112</t>
        </is>
      </c>
      <c r="D1174" s="34" t="inlineStr">
        <is>
          <t>1.5.1 Testing and Commissioning - Test Readiness</t>
        </is>
      </c>
      <c r="E1174" s="34" t="inlineStr">
        <is>
          <t>New</t>
        </is>
      </c>
      <c r="F1174" s="14" t="inlineStr"/>
      <c r="G1174" s="34" t="inlineStr">
        <is>
          <t>Source assignment -- not individually reviewed</t>
        </is>
      </c>
      <c r="H1174" s="92" t="inlineStr">
        <is>
          <t>10 EVIDENCE &amp; DECISIONS</t>
        </is>
      </c>
    </row>
    <row r="1175" ht="34" customHeight="1">
      <c r="A1175" s="34" t="inlineStr">
        <is>
          <t>R833-v1</t>
        </is>
      </c>
      <c r="B1175" s="34" t="inlineStr">
        <is>
          <t>Contractor Programme</t>
        </is>
      </c>
      <c r="C1175" s="34" t="inlineStr">
        <is>
          <t>SCH-05-113</t>
        </is>
      </c>
      <c r="D1175" s="34" t="inlineStr">
        <is>
          <t>1.5.1 Testing and Commissioning - Test Readiness</t>
        </is>
      </c>
      <c r="E1175" s="34" t="inlineStr">
        <is>
          <t>New</t>
        </is>
      </c>
      <c r="F1175" s="14" t="inlineStr"/>
      <c r="G1175" s="34" t="inlineStr">
        <is>
          <t>Source assignment -- not individually reviewed</t>
        </is>
      </c>
      <c r="H1175" s="92" t="inlineStr">
        <is>
          <t>10 EVIDENCE &amp; DECISIONS</t>
        </is>
      </c>
    </row>
    <row r="1176" ht="34" customHeight="1">
      <c r="A1176" s="34" t="inlineStr">
        <is>
          <t>R835-v1</t>
        </is>
      </c>
      <c r="B1176" s="34" t="inlineStr">
        <is>
          <t>Contractor Programme</t>
        </is>
      </c>
      <c r="C1176" s="34" t="inlineStr">
        <is>
          <t>SCH-05-115</t>
        </is>
      </c>
      <c r="D1176" s="34" t="inlineStr">
        <is>
          <t>1.5.1 Testing and Commissioning - Test Readiness</t>
        </is>
      </c>
      <c r="E1176" s="34" t="inlineStr">
        <is>
          <t>New</t>
        </is>
      </c>
      <c r="F1176" s="14" t="inlineStr"/>
      <c r="G1176" s="34" t="inlineStr">
        <is>
          <t>Source assignment -- not individually reviewed</t>
        </is>
      </c>
      <c r="H1176" s="92" t="inlineStr">
        <is>
          <t>10 EVIDENCE &amp; DECISIONS</t>
        </is>
      </c>
    </row>
    <row r="1177" ht="34" customHeight="1">
      <c r="A1177" s="34" t="inlineStr">
        <is>
          <t>R836-v1</t>
        </is>
      </c>
      <c r="B1177" s="34" t="inlineStr">
        <is>
          <t>Contractor Programme</t>
        </is>
      </c>
      <c r="C1177" s="34" t="inlineStr">
        <is>
          <t>SCH-05-116</t>
        </is>
      </c>
      <c r="D1177" s="34" t="inlineStr">
        <is>
          <t>1.5.1 Testing and Commissioning - Test Readiness</t>
        </is>
      </c>
      <c r="E1177" s="34" t="inlineStr">
        <is>
          <t>New</t>
        </is>
      </c>
      <c r="F1177" s="14" t="inlineStr"/>
      <c r="G1177" s="34" t="inlineStr">
        <is>
          <t>Source assignment -- not individually reviewed</t>
        </is>
      </c>
      <c r="H1177" s="92" t="inlineStr">
        <is>
          <t>10 EVIDENCE &amp; DECISIONS</t>
        </is>
      </c>
    </row>
    <row r="1178" ht="34" customHeight="1">
      <c r="A1178" s="34" t="inlineStr">
        <is>
          <t>R838-v1</t>
        </is>
      </c>
      <c r="B1178" s="34" t="inlineStr">
        <is>
          <t>Contractor Programme</t>
        </is>
      </c>
      <c r="C1178" s="34" t="inlineStr">
        <is>
          <t>SCH-05-118</t>
        </is>
      </c>
      <c r="D1178" s="34" t="inlineStr">
        <is>
          <t>1.5.1 Testing and Commissioning - Test Readiness</t>
        </is>
      </c>
      <c r="E1178" s="34" t="inlineStr">
        <is>
          <t>New</t>
        </is>
      </c>
      <c r="F1178" s="14" t="inlineStr"/>
      <c r="G1178" s="34" t="inlineStr">
        <is>
          <t>Source assignment -- not individually reviewed</t>
        </is>
      </c>
      <c r="H1178" s="92" t="inlineStr">
        <is>
          <t>10 EVIDENCE &amp; DECISIONS</t>
        </is>
      </c>
    </row>
    <row r="1179" ht="34" customHeight="1">
      <c r="A1179" s="34" t="inlineStr">
        <is>
          <t>R839-v1</t>
        </is>
      </c>
      <c r="B1179" s="34" t="inlineStr">
        <is>
          <t>Contractor Programme</t>
        </is>
      </c>
      <c r="C1179" s="34" t="inlineStr">
        <is>
          <t>SCH-05-119</t>
        </is>
      </c>
      <c r="D1179" s="34" t="inlineStr">
        <is>
          <t>1.5.1 Testing and Commissioning - Test Readiness</t>
        </is>
      </c>
      <c r="E1179" s="34" t="inlineStr">
        <is>
          <t>New</t>
        </is>
      </c>
      <c r="F1179" s="14" t="inlineStr"/>
      <c r="G1179" s="34" t="inlineStr">
        <is>
          <t>Source assignment -- not individually reviewed</t>
        </is>
      </c>
      <c r="H1179" s="92" t="inlineStr">
        <is>
          <t>10 EVIDENCE &amp; DECISIONS</t>
        </is>
      </c>
    </row>
    <row r="1180" ht="34" customHeight="1">
      <c r="A1180" s="34" t="inlineStr">
        <is>
          <t>R841-v1</t>
        </is>
      </c>
      <c r="B1180" s="34" t="inlineStr">
        <is>
          <t>Contractor Programme</t>
        </is>
      </c>
      <c r="C1180" s="34" t="inlineStr">
        <is>
          <t>SCH-05-121</t>
        </is>
      </c>
      <c r="D1180" s="34" t="inlineStr">
        <is>
          <t>1.5.1 Testing and Commissioning - Test Readiness</t>
        </is>
      </c>
      <c r="E1180" s="34" t="inlineStr">
        <is>
          <t>New</t>
        </is>
      </c>
      <c r="F1180" s="14" t="inlineStr"/>
      <c r="G1180" s="34" t="inlineStr">
        <is>
          <t>Source assignment -- not individually reviewed</t>
        </is>
      </c>
      <c r="H1180" s="92" t="inlineStr">
        <is>
          <t>10 EVIDENCE &amp; DECISIONS</t>
        </is>
      </c>
    </row>
    <row r="1181" ht="34" customHeight="1">
      <c r="A1181" s="34" t="inlineStr">
        <is>
          <t>R842-v1</t>
        </is>
      </c>
      <c r="B1181" s="34" t="inlineStr">
        <is>
          <t>Contractor Programme</t>
        </is>
      </c>
      <c r="C1181" s="34" t="inlineStr">
        <is>
          <t>SCH-05-122</t>
        </is>
      </c>
      <c r="D1181" s="34" t="inlineStr">
        <is>
          <t>1.5.1 Testing and Commissioning - Test Readiness</t>
        </is>
      </c>
      <c r="E1181" s="34" t="inlineStr">
        <is>
          <t>New</t>
        </is>
      </c>
      <c r="F1181" s="14" t="inlineStr"/>
      <c r="G1181" s="34" t="inlineStr">
        <is>
          <t>Source assignment -- not individually reviewed</t>
        </is>
      </c>
      <c r="H1181" s="92" t="inlineStr">
        <is>
          <t>10 EVIDENCE &amp; DECISIONS</t>
        </is>
      </c>
    </row>
    <row r="1182" ht="34" customHeight="1">
      <c r="A1182" s="34" t="inlineStr">
        <is>
          <t>R844-v1</t>
        </is>
      </c>
      <c r="B1182" s="34" t="inlineStr">
        <is>
          <t>Contractor Programme</t>
        </is>
      </c>
      <c r="C1182" s="34" t="inlineStr">
        <is>
          <t>SCH-05-124</t>
        </is>
      </c>
      <c r="D1182" s="34" t="inlineStr">
        <is>
          <t>1.5.1 Testing and Commissioning - Test Readiness</t>
        </is>
      </c>
      <c r="E1182" s="34" t="inlineStr">
        <is>
          <t>New</t>
        </is>
      </c>
      <c r="F1182" s="14" t="inlineStr"/>
      <c r="G1182" s="34" t="inlineStr">
        <is>
          <t>Source assignment -- not individually reviewed</t>
        </is>
      </c>
      <c r="H1182" s="92" t="inlineStr">
        <is>
          <t>10 EVIDENCE &amp; DECISIONS</t>
        </is>
      </c>
    </row>
    <row r="1183" ht="34" customHeight="1">
      <c r="A1183" s="34" t="inlineStr">
        <is>
          <t>R845-v1</t>
        </is>
      </c>
      <c r="B1183" s="34" t="inlineStr">
        <is>
          <t>Contractor Programme</t>
        </is>
      </c>
      <c r="C1183" s="34" t="inlineStr">
        <is>
          <t>SCH-05-125</t>
        </is>
      </c>
      <c r="D1183" s="34" t="inlineStr">
        <is>
          <t>1.5.1 Testing and Commissioning - Test Readiness</t>
        </is>
      </c>
      <c r="E1183" s="34" t="inlineStr">
        <is>
          <t>New</t>
        </is>
      </c>
      <c r="F1183" s="14" t="inlineStr"/>
      <c r="G1183" s="34" t="inlineStr">
        <is>
          <t>Source assignment -- not individually reviewed</t>
        </is>
      </c>
      <c r="H1183" s="92" t="inlineStr">
        <is>
          <t>10 EVIDENCE &amp; DECISIONS</t>
        </is>
      </c>
    </row>
    <row r="1184" ht="34" customHeight="1">
      <c r="A1184" s="34" t="inlineStr">
        <is>
          <t>R847-v1</t>
        </is>
      </c>
      <c r="B1184" s="34" t="inlineStr">
        <is>
          <t>Contractor Programme</t>
        </is>
      </c>
      <c r="C1184" s="34" t="inlineStr">
        <is>
          <t>SCH-05-127</t>
        </is>
      </c>
      <c r="D1184" s="34" t="inlineStr">
        <is>
          <t>1.5.1 Testing and Commissioning - Test Readiness</t>
        </is>
      </c>
      <c r="E1184" s="34" t="inlineStr">
        <is>
          <t>New</t>
        </is>
      </c>
      <c r="F1184" s="14" t="inlineStr"/>
      <c r="G1184" s="34" t="inlineStr">
        <is>
          <t>Source assignment -- not individually reviewed</t>
        </is>
      </c>
      <c r="H1184" s="92" t="inlineStr">
        <is>
          <t>10 EVIDENCE &amp; DECISIONS</t>
        </is>
      </c>
    </row>
    <row r="1185" ht="34" customHeight="1">
      <c r="A1185" s="34" t="inlineStr">
        <is>
          <t>R848-v1</t>
        </is>
      </c>
      <c r="B1185" s="34" t="inlineStr">
        <is>
          <t>Contractor Programme</t>
        </is>
      </c>
      <c r="C1185" s="34" t="inlineStr">
        <is>
          <t>SCH-05-128</t>
        </is>
      </c>
      <c r="D1185" s="34" t="inlineStr">
        <is>
          <t>1.5.1 Testing and Commissioning - Test Readiness</t>
        </is>
      </c>
      <c r="E1185" s="34" t="inlineStr">
        <is>
          <t>New</t>
        </is>
      </c>
      <c r="F1185" s="14" t="inlineStr"/>
      <c r="G1185" s="34" t="inlineStr">
        <is>
          <t>Source assignment -- not individually reviewed</t>
        </is>
      </c>
      <c r="H1185" s="92" t="inlineStr">
        <is>
          <t>10 EVIDENCE &amp; DECISIONS</t>
        </is>
      </c>
    </row>
    <row r="1186" ht="34" customHeight="1">
      <c r="A1186" s="34" t="inlineStr">
        <is>
          <t>R850-v1</t>
        </is>
      </c>
      <c r="B1186" s="34" t="inlineStr">
        <is>
          <t>Contractor Programme</t>
        </is>
      </c>
      <c r="C1186" s="34" t="inlineStr">
        <is>
          <t>SCH-05-130</t>
        </is>
      </c>
      <c r="D1186" s="34" t="inlineStr">
        <is>
          <t>1.5.1 Testing and Commissioning - Test Readiness</t>
        </is>
      </c>
      <c r="E1186" s="34" t="inlineStr">
        <is>
          <t>New</t>
        </is>
      </c>
      <c r="F1186" s="14" t="inlineStr"/>
      <c r="G1186" s="34" t="inlineStr">
        <is>
          <t>Source assignment -- not individually reviewed</t>
        </is>
      </c>
      <c r="H1186" s="92" t="inlineStr">
        <is>
          <t>10 EVIDENCE &amp; DECISIONS</t>
        </is>
      </c>
    </row>
    <row r="1187" ht="34" customHeight="1">
      <c r="A1187" s="34" t="inlineStr">
        <is>
          <t>R851-v1</t>
        </is>
      </c>
      <c r="B1187" s="34" t="inlineStr">
        <is>
          <t>Contractor Programme</t>
        </is>
      </c>
      <c r="C1187" s="34" t="inlineStr">
        <is>
          <t>SCH-05-131</t>
        </is>
      </c>
      <c r="D1187" s="34" t="inlineStr">
        <is>
          <t>1.5.1 Testing and Commissioning - Test Readiness</t>
        </is>
      </c>
      <c r="E1187" s="34" t="inlineStr">
        <is>
          <t>New</t>
        </is>
      </c>
      <c r="F1187" s="14" t="inlineStr"/>
      <c r="G1187" s="34" t="inlineStr">
        <is>
          <t>Source assignment -- not individually reviewed</t>
        </is>
      </c>
      <c r="H1187" s="92" t="inlineStr">
        <is>
          <t>10 EVIDENCE &amp; DECISIONS</t>
        </is>
      </c>
    </row>
    <row r="1188" ht="34" customHeight="1">
      <c r="A1188" s="34" t="inlineStr">
        <is>
          <t>R853-v1</t>
        </is>
      </c>
      <c r="B1188" s="34" t="inlineStr">
        <is>
          <t>Contractor Programme</t>
        </is>
      </c>
      <c r="C1188" s="34" t="inlineStr">
        <is>
          <t>SCH-05-133</t>
        </is>
      </c>
      <c r="D1188" s="34" t="inlineStr">
        <is>
          <t>1.5.1 Testing and Commissioning - Test Readiness</t>
        </is>
      </c>
      <c r="E1188" s="34" t="inlineStr">
        <is>
          <t>New</t>
        </is>
      </c>
      <c r="F1188" s="14" t="inlineStr"/>
      <c r="G1188" s="34" t="inlineStr">
        <is>
          <t>Source assignment -- not individually reviewed</t>
        </is>
      </c>
      <c r="H1188" s="92" t="inlineStr">
        <is>
          <t>10 EVIDENCE &amp; DECISIONS</t>
        </is>
      </c>
    </row>
    <row r="1189" ht="34" customHeight="1">
      <c r="A1189" s="34" t="inlineStr">
        <is>
          <t>R854-v1</t>
        </is>
      </c>
      <c r="B1189" s="34" t="inlineStr">
        <is>
          <t>Contractor Programme</t>
        </is>
      </c>
      <c r="C1189" s="34" t="inlineStr">
        <is>
          <t>SCH-05-134</t>
        </is>
      </c>
      <c r="D1189" s="34" t="inlineStr">
        <is>
          <t>1.5.1 Testing and Commissioning - Test Readiness</t>
        </is>
      </c>
      <c r="E1189" s="34" t="inlineStr">
        <is>
          <t>New</t>
        </is>
      </c>
      <c r="F1189" s="14" t="inlineStr"/>
      <c r="G1189" s="34" t="inlineStr">
        <is>
          <t>Source assignment -- not individually reviewed</t>
        </is>
      </c>
      <c r="H1189" s="92" t="inlineStr">
        <is>
          <t>10 EVIDENCE &amp; DECISIONS</t>
        </is>
      </c>
    </row>
    <row r="1190" ht="34" customHeight="1">
      <c r="A1190" s="34" t="inlineStr">
        <is>
          <t>R856-v1</t>
        </is>
      </c>
      <c r="B1190" s="34" t="inlineStr">
        <is>
          <t>Contractor Programme</t>
        </is>
      </c>
      <c r="C1190" s="34" t="inlineStr">
        <is>
          <t>SCH-05-136</t>
        </is>
      </c>
      <c r="D1190" s="34" t="inlineStr">
        <is>
          <t>1.5.1 Testing and Commissioning - Test Readiness</t>
        </is>
      </c>
      <c r="E1190" s="34" t="inlineStr">
        <is>
          <t>New</t>
        </is>
      </c>
      <c r="F1190" s="14" t="inlineStr"/>
      <c r="G1190" s="34" t="inlineStr">
        <is>
          <t>Source assignment -- not individually reviewed</t>
        </is>
      </c>
      <c r="H1190" s="92" t="inlineStr">
        <is>
          <t>10 EVIDENCE &amp; DECISIONS</t>
        </is>
      </c>
    </row>
    <row r="1191" ht="34" customHeight="1">
      <c r="A1191" s="34" t="inlineStr">
        <is>
          <t>R857-v1</t>
        </is>
      </c>
      <c r="B1191" s="34" t="inlineStr">
        <is>
          <t>Contractor Programme</t>
        </is>
      </c>
      <c r="C1191" s="34" t="inlineStr">
        <is>
          <t>SCH-05-137</t>
        </is>
      </c>
      <c r="D1191" s="34" t="inlineStr">
        <is>
          <t>1.5.1 Testing and Commissioning - Test Readiness</t>
        </is>
      </c>
      <c r="E1191" s="34" t="inlineStr">
        <is>
          <t>New</t>
        </is>
      </c>
      <c r="F1191" s="14" t="inlineStr"/>
      <c r="G1191" s="34" t="inlineStr">
        <is>
          <t>Source assignment -- not individually reviewed</t>
        </is>
      </c>
      <c r="H1191" s="92" t="inlineStr">
        <is>
          <t>10 EVIDENCE &amp; DECISIONS</t>
        </is>
      </c>
    </row>
    <row r="1192" ht="34" customHeight="1">
      <c r="A1192" s="34" t="inlineStr">
        <is>
          <t>R859-v1</t>
        </is>
      </c>
      <c r="B1192" s="34" t="inlineStr">
        <is>
          <t>Contractor Programme</t>
        </is>
      </c>
      <c r="C1192" s="34" t="inlineStr">
        <is>
          <t>SCH-05-139</t>
        </is>
      </c>
      <c r="D1192" s="34" t="inlineStr">
        <is>
          <t>1.5.1 Testing and Commissioning - Test Readiness</t>
        </is>
      </c>
      <c r="E1192" s="34" t="inlineStr">
        <is>
          <t>New</t>
        </is>
      </c>
      <c r="F1192" s="14" t="inlineStr"/>
      <c r="G1192" s="34" t="inlineStr">
        <is>
          <t>Source assignment -- not individually reviewed</t>
        </is>
      </c>
      <c r="H1192" s="92" t="inlineStr">
        <is>
          <t>10 EVIDENCE &amp; DECISIONS</t>
        </is>
      </c>
    </row>
    <row r="1193" ht="34" customHeight="1">
      <c r="A1193" s="34" t="inlineStr">
        <is>
          <t>R860-v1</t>
        </is>
      </c>
      <c r="B1193" s="34" t="inlineStr">
        <is>
          <t>Contractor Programme</t>
        </is>
      </c>
      <c r="C1193" s="34" t="inlineStr">
        <is>
          <t>SCH-05-140</t>
        </is>
      </c>
      <c r="D1193" s="34" t="inlineStr">
        <is>
          <t>1.5.1 Testing and Commissioning - Test Readiness</t>
        </is>
      </c>
      <c r="E1193" s="34" t="inlineStr">
        <is>
          <t>New</t>
        </is>
      </c>
      <c r="F1193" s="14" t="inlineStr"/>
      <c r="G1193" s="34" t="inlineStr">
        <is>
          <t>Source assignment -- not individually reviewed</t>
        </is>
      </c>
      <c r="H1193" s="92" t="inlineStr">
        <is>
          <t>10 EVIDENCE &amp; DECISIONS</t>
        </is>
      </c>
    </row>
    <row r="1194" ht="34" customHeight="1">
      <c r="A1194" s="34" t="inlineStr">
        <is>
          <t>R862-v1</t>
        </is>
      </c>
      <c r="B1194" s="34" t="inlineStr">
        <is>
          <t>Contractor Programme</t>
        </is>
      </c>
      <c r="C1194" s="34" t="inlineStr">
        <is>
          <t>SCH-05-142</t>
        </is>
      </c>
      <c r="D1194" s="34" t="inlineStr">
        <is>
          <t>1.5.1 Testing and Commissioning - Test Readiness</t>
        </is>
      </c>
      <c r="E1194" s="34" t="inlineStr">
        <is>
          <t>New</t>
        </is>
      </c>
      <c r="F1194" s="14" t="inlineStr"/>
      <c r="G1194" s="34" t="inlineStr">
        <is>
          <t>Source assignment -- not individually reviewed</t>
        </is>
      </c>
      <c r="H1194" s="92" t="inlineStr">
        <is>
          <t>10 EVIDENCE &amp; DECISIONS</t>
        </is>
      </c>
    </row>
    <row r="1195" ht="34" customHeight="1">
      <c r="A1195" s="34" t="inlineStr">
        <is>
          <t>R863-v1</t>
        </is>
      </c>
      <c r="B1195" s="34" t="inlineStr">
        <is>
          <t>Contractor Programme</t>
        </is>
      </c>
      <c r="C1195" s="34" t="inlineStr">
        <is>
          <t>SCH-05-143</t>
        </is>
      </c>
      <c r="D1195" s="34" t="inlineStr">
        <is>
          <t>1.5.1 Testing and Commissioning - Test Readiness</t>
        </is>
      </c>
      <c r="E1195" s="34" t="inlineStr">
        <is>
          <t>New</t>
        </is>
      </c>
      <c r="F1195" s="14" t="inlineStr"/>
      <c r="G1195" s="34" t="inlineStr">
        <is>
          <t>Source assignment -- not individually reviewed</t>
        </is>
      </c>
      <c r="H1195" s="92" t="inlineStr">
        <is>
          <t>10 EVIDENCE &amp; DECISIONS</t>
        </is>
      </c>
    </row>
    <row r="1196" ht="34" customHeight="1">
      <c r="A1196" s="34" t="inlineStr">
        <is>
          <t>R865-v1</t>
        </is>
      </c>
      <c r="B1196" s="34" t="inlineStr">
        <is>
          <t>Contractor Programme</t>
        </is>
      </c>
      <c r="C1196" s="34" t="inlineStr">
        <is>
          <t>SCH-05-145</t>
        </is>
      </c>
      <c r="D1196" s="34" t="inlineStr">
        <is>
          <t>1.5.1 Testing and Commissioning - Test Readiness</t>
        </is>
      </c>
      <c r="E1196" s="34" t="inlineStr">
        <is>
          <t>New</t>
        </is>
      </c>
      <c r="F1196" s="14" t="inlineStr"/>
      <c r="G1196" s="34" t="inlineStr">
        <is>
          <t>Source assignment -- not individually reviewed</t>
        </is>
      </c>
      <c r="H1196" s="92" t="inlineStr">
        <is>
          <t>10 EVIDENCE &amp; DECISIONS</t>
        </is>
      </c>
    </row>
    <row r="1197" ht="34" customHeight="1">
      <c r="A1197" s="34" t="inlineStr">
        <is>
          <t>R866-v1</t>
        </is>
      </c>
      <c r="B1197" s="34" t="inlineStr">
        <is>
          <t>Contractor Programme</t>
        </is>
      </c>
      <c r="C1197" s="34" t="inlineStr">
        <is>
          <t>SCH-05-146</t>
        </is>
      </c>
      <c r="D1197" s="34" t="inlineStr">
        <is>
          <t>1.5.1 Testing and Commissioning - Test Readiness</t>
        </is>
      </c>
      <c r="E1197" s="34" t="inlineStr">
        <is>
          <t>New</t>
        </is>
      </c>
      <c r="F1197" s="14" t="inlineStr"/>
      <c r="G1197" s="34" t="inlineStr">
        <is>
          <t>Source assignment -- not individually reviewed</t>
        </is>
      </c>
      <c r="H1197" s="92" t="inlineStr">
        <is>
          <t>10 EVIDENCE &amp; DECISIONS</t>
        </is>
      </c>
    </row>
    <row r="1198" ht="34" customHeight="1">
      <c r="A1198" s="34" t="inlineStr">
        <is>
          <t>R868-v1</t>
        </is>
      </c>
      <c r="B1198" s="34" t="inlineStr">
        <is>
          <t>Contractor Programme</t>
        </is>
      </c>
      <c r="C1198" s="34" t="inlineStr">
        <is>
          <t>SCH-05-148</t>
        </is>
      </c>
      <c r="D1198" s="34" t="inlineStr">
        <is>
          <t>1.5.1 Testing and Commissioning - Test Readiness</t>
        </is>
      </c>
      <c r="E1198" s="34" t="inlineStr">
        <is>
          <t>New</t>
        </is>
      </c>
      <c r="F1198" s="14" t="inlineStr"/>
      <c r="G1198" s="34" t="inlineStr">
        <is>
          <t>Source assignment -- not individually reviewed</t>
        </is>
      </c>
      <c r="H1198" s="92" t="inlineStr">
        <is>
          <t>10 EVIDENCE &amp; DECISIONS</t>
        </is>
      </c>
    </row>
    <row r="1199" ht="34" customHeight="1">
      <c r="A1199" s="34" t="inlineStr">
        <is>
          <t>R869-v1</t>
        </is>
      </c>
      <c r="B1199" s="34" t="inlineStr">
        <is>
          <t>Contractor Programme</t>
        </is>
      </c>
      <c r="C1199" s="34" t="inlineStr">
        <is>
          <t>SCH-05-149</t>
        </is>
      </c>
      <c r="D1199" s="34" t="inlineStr">
        <is>
          <t>1.5.1 Testing and Commissioning - Test Readiness</t>
        </is>
      </c>
      <c r="E1199" s="34" t="inlineStr">
        <is>
          <t>New</t>
        </is>
      </c>
      <c r="F1199" s="14" t="inlineStr"/>
      <c r="G1199" s="34" t="inlineStr">
        <is>
          <t>Source assignment -- not individually reviewed</t>
        </is>
      </c>
      <c r="H1199" s="92" t="inlineStr">
        <is>
          <t>10 EVIDENCE &amp; DECISIONS</t>
        </is>
      </c>
    </row>
    <row r="1200" ht="34" customHeight="1">
      <c r="A1200" s="34" t="inlineStr">
        <is>
          <t>R871-v1</t>
        </is>
      </c>
      <c r="B1200" s="34" t="inlineStr">
        <is>
          <t>Contractor Programme</t>
        </is>
      </c>
      <c r="C1200" s="34" t="inlineStr">
        <is>
          <t>SCH-05-151</t>
        </is>
      </c>
      <c r="D1200" s="34" t="inlineStr">
        <is>
          <t>1.5.1 Testing and Commissioning - Test Readiness</t>
        </is>
      </c>
      <c r="E1200" s="34" t="inlineStr">
        <is>
          <t>New</t>
        </is>
      </c>
      <c r="F1200" s="14" t="inlineStr"/>
      <c r="G1200" s="34" t="inlineStr">
        <is>
          <t>Source assignment -- not individually reviewed</t>
        </is>
      </c>
      <c r="H1200" s="92" t="inlineStr">
        <is>
          <t>10 EVIDENCE &amp; DECISIONS</t>
        </is>
      </c>
    </row>
    <row r="1201" ht="34" customHeight="1">
      <c r="A1201" s="34" t="inlineStr">
        <is>
          <t>R872-v1</t>
        </is>
      </c>
      <c r="B1201" s="34" t="inlineStr">
        <is>
          <t>Contractor Programme</t>
        </is>
      </c>
      <c r="C1201" s="34" t="inlineStr">
        <is>
          <t>SCH-05-152</t>
        </is>
      </c>
      <c r="D1201" s="34" t="inlineStr">
        <is>
          <t>1.5.1 Testing and Commissioning - Test Readiness</t>
        </is>
      </c>
      <c r="E1201" s="34" t="inlineStr">
        <is>
          <t>New</t>
        </is>
      </c>
      <c r="F1201" s="14" t="inlineStr"/>
      <c r="G1201" s="34" t="inlineStr">
        <is>
          <t>Source assignment -- not individually reviewed</t>
        </is>
      </c>
      <c r="H1201" s="92" t="inlineStr">
        <is>
          <t>10 EVIDENCE &amp; DECISIONS</t>
        </is>
      </c>
    </row>
    <row r="1202" ht="34" customHeight="1">
      <c r="A1202" s="34" t="inlineStr">
        <is>
          <t>R874-v1</t>
        </is>
      </c>
      <c r="B1202" s="34" t="inlineStr">
        <is>
          <t>Contractor Programme</t>
        </is>
      </c>
      <c r="C1202" s="34" t="inlineStr">
        <is>
          <t>SCH-05-154</t>
        </is>
      </c>
      <c r="D1202" s="34" t="inlineStr">
        <is>
          <t>1.5.1 Testing and Commissioning - Test Readiness</t>
        </is>
      </c>
      <c r="E1202" s="34" t="inlineStr">
        <is>
          <t>New</t>
        </is>
      </c>
      <c r="F1202" s="14" t="inlineStr"/>
      <c r="G1202" s="34" t="inlineStr">
        <is>
          <t>Source assignment -- not individually reviewed</t>
        </is>
      </c>
      <c r="H1202" s="92" t="inlineStr">
        <is>
          <t>10 EVIDENCE &amp; DECISIONS</t>
        </is>
      </c>
    </row>
    <row r="1203" ht="34" customHeight="1">
      <c r="A1203" s="34" t="inlineStr">
        <is>
          <t>R875-v1</t>
        </is>
      </c>
      <c r="B1203" s="34" t="inlineStr">
        <is>
          <t>Contractor Programme</t>
        </is>
      </c>
      <c r="C1203" s="34" t="inlineStr">
        <is>
          <t>SCH-05-155</t>
        </is>
      </c>
      <c r="D1203" s="34" t="inlineStr">
        <is>
          <t>1.5.1 Testing and Commissioning - Test Readiness</t>
        </is>
      </c>
      <c r="E1203" s="34" t="inlineStr">
        <is>
          <t>New</t>
        </is>
      </c>
      <c r="F1203" s="14" t="inlineStr"/>
      <c r="G1203" s="34" t="inlineStr">
        <is>
          <t>Source assignment -- not individually reviewed</t>
        </is>
      </c>
      <c r="H1203" s="92" t="inlineStr">
        <is>
          <t>10 EVIDENCE &amp; DECISIONS</t>
        </is>
      </c>
    </row>
    <row r="1204" ht="34" customHeight="1">
      <c r="A1204" s="34" t="inlineStr">
        <is>
          <t>R877-v1</t>
        </is>
      </c>
      <c r="B1204" s="34" t="inlineStr">
        <is>
          <t>Contractor Programme</t>
        </is>
      </c>
      <c r="C1204" s="34" t="inlineStr">
        <is>
          <t>SCH-05-157</t>
        </is>
      </c>
      <c r="D1204" s="34" t="inlineStr">
        <is>
          <t>1.5.1 Testing and Commissioning - Test Readiness</t>
        </is>
      </c>
      <c r="E1204" s="34" t="inlineStr">
        <is>
          <t>New</t>
        </is>
      </c>
      <c r="F1204" s="14" t="inlineStr"/>
      <c r="G1204" s="34" t="inlineStr">
        <is>
          <t>Source assignment -- not individually reviewed</t>
        </is>
      </c>
      <c r="H1204" s="92" t="inlineStr">
        <is>
          <t>10 EVIDENCE &amp; DECISIONS</t>
        </is>
      </c>
    </row>
    <row r="1205" ht="34" customHeight="1">
      <c r="A1205" s="34" t="inlineStr">
        <is>
          <t>R878-v1</t>
        </is>
      </c>
      <c r="B1205" s="34" t="inlineStr">
        <is>
          <t>Contractor Programme</t>
        </is>
      </c>
      <c r="C1205" s="34" t="inlineStr">
        <is>
          <t>SCH-05-158</t>
        </is>
      </c>
      <c r="D1205" s="34" t="inlineStr">
        <is>
          <t>1.5.1 Testing and Commissioning - Test Readiness</t>
        </is>
      </c>
      <c r="E1205" s="34" t="inlineStr">
        <is>
          <t>New</t>
        </is>
      </c>
      <c r="F1205" s="14" t="inlineStr"/>
      <c r="G1205" s="34" t="inlineStr">
        <is>
          <t>Source assignment -- not individually reviewed</t>
        </is>
      </c>
      <c r="H1205" s="92" t="inlineStr">
        <is>
          <t>10 EVIDENCE &amp; DECISIONS</t>
        </is>
      </c>
    </row>
    <row r="1206" ht="34" customHeight="1">
      <c r="A1206" s="34" t="inlineStr">
        <is>
          <t>R880-v1</t>
        </is>
      </c>
      <c r="B1206" s="34" t="inlineStr">
        <is>
          <t>Contractor Programme</t>
        </is>
      </c>
      <c r="C1206" s="34" t="inlineStr">
        <is>
          <t>SCH-05-160</t>
        </is>
      </c>
      <c r="D1206" s="34" t="inlineStr">
        <is>
          <t>1.5.1 Testing and Commissioning - Test Readiness</t>
        </is>
      </c>
      <c r="E1206" s="34" t="inlineStr">
        <is>
          <t>New</t>
        </is>
      </c>
      <c r="F1206" s="14" t="inlineStr"/>
      <c r="G1206" s="34" t="inlineStr">
        <is>
          <t>Source assignment -- not individually reviewed</t>
        </is>
      </c>
      <c r="H1206" s="92" t="inlineStr">
        <is>
          <t>10 EVIDENCE &amp; DECISIONS</t>
        </is>
      </c>
    </row>
    <row r="1207" ht="34" customHeight="1">
      <c r="A1207" s="34" t="inlineStr">
        <is>
          <t>R881-v1</t>
        </is>
      </c>
      <c r="B1207" s="34" t="inlineStr">
        <is>
          <t>Contractor Programme</t>
        </is>
      </c>
      <c r="C1207" s="34" t="inlineStr">
        <is>
          <t>SCH-05-161</t>
        </is>
      </c>
      <c r="D1207" s="34" t="inlineStr">
        <is>
          <t>1.5.1 Testing and Commissioning - Test Readiness</t>
        </is>
      </c>
      <c r="E1207" s="34" t="inlineStr">
        <is>
          <t>New</t>
        </is>
      </c>
      <c r="F1207" s="14" t="inlineStr"/>
      <c r="G1207" s="34" t="inlineStr">
        <is>
          <t>Source assignment -- not individually reviewed</t>
        </is>
      </c>
      <c r="H1207" s="92" t="inlineStr">
        <is>
          <t>10 EVIDENCE &amp; DECISIONS</t>
        </is>
      </c>
    </row>
    <row r="1208" ht="34" customHeight="1">
      <c r="A1208" s="34" t="inlineStr">
        <is>
          <t>R883-v1</t>
        </is>
      </c>
      <c r="B1208" s="34" t="inlineStr">
        <is>
          <t>Contractor Programme</t>
        </is>
      </c>
      <c r="C1208" s="34" t="inlineStr">
        <is>
          <t>SCH-05-163</t>
        </is>
      </c>
      <c r="D1208" s="34" t="inlineStr">
        <is>
          <t>1.5.1 Testing and Commissioning - Test Readiness</t>
        </is>
      </c>
      <c r="E1208" s="34" t="inlineStr">
        <is>
          <t>New</t>
        </is>
      </c>
      <c r="F1208" s="14" t="inlineStr"/>
      <c r="G1208" s="34" t="inlineStr">
        <is>
          <t>Source assignment -- not individually reviewed</t>
        </is>
      </c>
      <c r="H1208" s="92" t="inlineStr">
        <is>
          <t>10 EVIDENCE &amp; DECISIONS</t>
        </is>
      </c>
    </row>
    <row r="1209" ht="34" customHeight="1">
      <c r="A1209" s="34" t="inlineStr">
        <is>
          <t>R884-v1</t>
        </is>
      </c>
      <c r="B1209" s="34" t="inlineStr">
        <is>
          <t>Contractor Programme</t>
        </is>
      </c>
      <c r="C1209" s="34" t="inlineStr">
        <is>
          <t>SCH-05-164</t>
        </is>
      </c>
      <c r="D1209" s="34" t="inlineStr">
        <is>
          <t>1.5.1 Testing and Commissioning - Test Readiness</t>
        </is>
      </c>
      <c r="E1209" s="34" t="inlineStr">
        <is>
          <t>New</t>
        </is>
      </c>
      <c r="F1209" s="14" t="inlineStr"/>
      <c r="G1209" s="34" t="inlineStr">
        <is>
          <t>Source assignment -- not individually reviewed</t>
        </is>
      </c>
      <c r="H1209" s="92" t="inlineStr">
        <is>
          <t>10 EVIDENCE &amp; DECISIONS</t>
        </is>
      </c>
    </row>
    <row r="1210" ht="34" customHeight="1">
      <c r="A1210" s="34" t="inlineStr">
        <is>
          <t>R886-v1</t>
        </is>
      </c>
      <c r="B1210" s="34" t="inlineStr">
        <is>
          <t>Contractor Programme</t>
        </is>
      </c>
      <c r="C1210" s="34" t="inlineStr">
        <is>
          <t>SCH-05-166</t>
        </is>
      </c>
      <c r="D1210" s="34" t="inlineStr">
        <is>
          <t>1.5.1 Testing and Commissioning - Test Readiness</t>
        </is>
      </c>
      <c r="E1210" s="34" t="inlineStr">
        <is>
          <t>New</t>
        </is>
      </c>
      <c r="F1210" s="14" t="inlineStr"/>
      <c r="G1210" s="34" t="inlineStr">
        <is>
          <t>Source assignment -- not individually reviewed</t>
        </is>
      </c>
      <c r="H1210" s="92" t="inlineStr">
        <is>
          <t>10 EVIDENCE &amp; DECISIONS</t>
        </is>
      </c>
    </row>
    <row r="1211" ht="34" customHeight="1">
      <c r="A1211" s="34" t="inlineStr">
        <is>
          <t>R887-v1</t>
        </is>
      </c>
      <c r="B1211" s="34" t="inlineStr">
        <is>
          <t>Contractor Programme</t>
        </is>
      </c>
      <c r="C1211" s="34" t="inlineStr">
        <is>
          <t>SCH-05-167</t>
        </is>
      </c>
      <c r="D1211" s="34" t="inlineStr">
        <is>
          <t>1.5.1 Testing and Commissioning - Test Readiness</t>
        </is>
      </c>
      <c r="E1211" s="34" t="inlineStr">
        <is>
          <t>New</t>
        </is>
      </c>
      <c r="F1211" s="14" t="inlineStr"/>
      <c r="G1211" s="34" t="inlineStr">
        <is>
          <t>Source assignment -- not individually reviewed</t>
        </is>
      </c>
      <c r="H1211" s="92" t="inlineStr">
        <is>
          <t>10 EVIDENCE &amp; DECISIONS</t>
        </is>
      </c>
    </row>
    <row r="1212" ht="34" customHeight="1">
      <c r="A1212" s="34" t="inlineStr">
        <is>
          <t>R889-v1</t>
        </is>
      </c>
      <c r="B1212" s="34" t="inlineStr">
        <is>
          <t>Contractor Programme</t>
        </is>
      </c>
      <c r="C1212" s="34" t="inlineStr">
        <is>
          <t>SCH-05-169</t>
        </is>
      </c>
      <c r="D1212" s="34" t="inlineStr">
        <is>
          <t>1.5.1 Testing and Commissioning - Test Readiness</t>
        </is>
      </c>
      <c r="E1212" s="34" t="inlineStr">
        <is>
          <t>New</t>
        </is>
      </c>
      <c r="F1212" s="14" t="inlineStr"/>
      <c r="G1212" s="34" t="inlineStr">
        <is>
          <t>Source assignment -- not individually reviewed</t>
        </is>
      </c>
      <c r="H1212" s="92" t="inlineStr">
        <is>
          <t>10 EVIDENCE &amp; DECISIONS</t>
        </is>
      </c>
    </row>
    <row r="1213" ht="34" customHeight="1">
      <c r="A1213" s="34" t="inlineStr">
        <is>
          <t>R890-v1</t>
        </is>
      </c>
      <c r="B1213" s="34" t="inlineStr">
        <is>
          <t>Contractor Programme</t>
        </is>
      </c>
      <c r="C1213" s="34" t="inlineStr">
        <is>
          <t>SCH-05-170</t>
        </is>
      </c>
      <c r="D1213" s="34" t="inlineStr">
        <is>
          <t>1.5.1 Testing and Commissioning - Test Readiness</t>
        </is>
      </c>
      <c r="E1213" s="34" t="inlineStr">
        <is>
          <t>New</t>
        </is>
      </c>
      <c r="F1213" s="14" t="inlineStr"/>
      <c r="G1213" s="34" t="inlineStr">
        <is>
          <t>Source assignment -- not individually reviewed</t>
        </is>
      </c>
      <c r="H1213" s="92" t="inlineStr">
        <is>
          <t>10 EVIDENCE &amp; DECISIONS</t>
        </is>
      </c>
    </row>
    <row r="1214" ht="34" customHeight="1">
      <c r="A1214" s="34" t="inlineStr">
        <is>
          <t>R892-v1</t>
        </is>
      </c>
      <c r="B1214" s="34" t="inlineStr">
        <is>
          <t>Contractor Programme</t>
        </is>
      </c>
      <c r="C1214" s="34" t="inlineStr">
        <is>
          <t>SCH-05-172</t>
        </is>
      </c>
      <c r="D1214" s="34" t="inlineStr">
        <is>
          <t>1.5.1 Testing and Commissioning - Test Readiness</t>
        </is>
      </c>
      <c r="E1214" s="34" t="inlineStr">
        <is>
          <t>New</t>
        </is>
      </c>
      <c r="F1214" s="14" t="inlineStr"/>
      <c r="G1214" s="34" t="inlineStr">
        <is>
          <t>Source assignment -- not individually reviewed</t>
        </is>
      </c>
      <c r="H1214" s="92" t="inlineStr">
        <is>
          <t>10 EVIDENCE &amp; DECISIONS</t>
        </is>
      </c>
    </row>
    <row r="1215" ht="34" customHeight="1">
      <c r="A1215" s="34" t="inlineStr">
        <is>
          <t>R893-v1</t>
        </is>
      </c>
      <c r="B1215" s="34" t="inlineStr">
        <is>
          <t>Contractor Programme</t>
        </is>
      </c>
      <c r="C1215" s="34" t="inlineStr">
        <is>
          <t>SCH-05-173</t>
        </is>
      </c>
      <c r="D1215" s="34" t="inlineStr">
        <is>
          <t>1.5.1 Testing and Commissioning - Test Readiness</t>
        </is>
      </c>
      <c r="E1215" s="34" t="inlineStr">
        <is>
          <t>New</t>
        </is>
      </c>
      <c r="F1215" s="14" t="inlineStr"/>
      <c r="G1215" s="34" t="inlineStr">
        <is>
          <t>Source assignment -- not individually reviewed</t>
        </is>
      </c>
      <c r="H1215" s="92" t="inlineStr">
        <is>
          <t>10 EVIDENCE &amp; DECISIONS</t>
        </is>
      </c>
    </row>
    <row r="1216" ht="34" customHeight="1">
      <c r="A1216" s="34" t="inlineStr">
        <is>
          <t>R895-v1</t>
        </is>
      </c>
      <c r="B1216" s="34" t="inlineStr">
        <is>
          <t>Contractor Programme</t>
        </is>
      </c>
      <c r="C1216" s="34" t="inlineStr">
        <is>
          <t>SCH-05-175</t>
        </is>
      </c>
      <c r="D1216" s="34" t="inlineStr">
        <is>
          <t>1.5.1 Testing and Commissioning - Test Readiness</t>
        </is>
      </c>
      <c r="E1216" s="34" t="inlineStr">
        <is>
          <t>New</t>
        </is>
      </c>
      <c r="F1216" s="14" t="inlineStr"/>
      <c r="G1216" s="34" t="inlineStr">
        <is>
          <t>Source assignment -- not individually reviewed</t>
        </is>
      </c>
      <c r="H1216" s="92" t="inlineStr">
        <is>
          <t>10 EVIDENCE &amp; DECISIONS</t>
        </is>
      </c>
    </row>
    <row r="1217" ht="34" customHeight="1">
      <c r="A1217" s="34" t="inlineStr">
        <is>
          <t>R896-v1</t>
        </is>
      </c>
      <c r="B1217" s="34" t="inlineStr">
        <is>
          <t>Contractor Programme</t>
        </is>
      </c>
      <c r="C1217" s="34" t="inlineStr">
        <is>
          <t>SCH-05-176</t>
        </is>
      </c>
      <c r="D1217" s="34" t="inlineStr">
        <is>
          <t>1.5.1 Testing and Commissioning - Test Readiness</t>
        </is>
      </c>
      <c r="E1217" s="34" t="inlineStr">
        <is>
          <t>New</t>
        </is>
      </c>
      <c r="F1217" s="14" t="inlineStr"/>
      <c r="G1217" s="34" t="inlineStr">
        <is>
          <t>Source assignment -- not individually reviewed</t>
        </is>
      </c>
      <c r="H1217" s="92" t="inlineStr">
        <is>
          <t>10 EVIDENCE &amp; DECISIONS</t>
        </is>
      </c>
    </row>
    <row r="1218" ht="34" customHeight="1">
      <c r="A1218" s="34" t="inlineStr">
        <is>
          <t>R898-v1</t>
        </is>
      </c>
      <c r="B1218" s="34" t="inlineStr">
        <is>
          <t>Contractor Programme</t>
        </is>
      </c>
      <c r="C1218" s="34" t="inlineStr">
        <is>
          <t>SCH-05-178</t>
        </is>
      </c>
      <c r="D1218" s="34" t="inlineStr">
        <is>
          <t>1.5.1 Testing and Commissioning - Test Readiness</t>
        </is>
      </c>
      <c r="E1218" s="34" t="inlineStr">
        <is>
          <t>New</t>
        </is>
      </c>
      <c r="F1218" s="14" t="inlineStr"/>
      <c r="G1218" s="34" t="inlineStr">
        <is>
          <t>Source assignment -- not individually reviewed</t>
        </is>
      </c>
      <c r="H1218" s="92" t="inlineStr">
        <is>
          <t>10 EVIDENCE &amp; DECISIONS</t>
        </is>
      </c>
    </row>
    <row r="1219" ht="34" customHeight="1">
      <c r="A1219" s="34" t="inlineStr">
        <is>
          <t>R899-v1</t>
        </is>
      </c>
      <c r="B1219" s="34" t="inlineStr">
        <is>
          <t>Contractor Programme</t>
        </is>
      </c>
      <c r="C1219" s="34" t="inlineStr">
        <is>
          <t>SCH-05-179</t>
        </is>
      </c>
      <c r="D1219" s="34" t="inlineStr">
        <is>
          <t>1.5.1 Testing and Commissioning - Test Readiness</t>
        </is>
      </c>
      <c r="E1219" s="34" t="inlineStr">
        <is>
          <t>New</t>
        </is>
      </c>
      <c r="F1219" s="14" t="inlineStr"/>
      <c r="G1219" s="34" t="inlineStr">
        <is>
          <t>Source assignment -- not individually reviewed</t>
        </is>
      </c>
      <c r="H1219" s="92" t="inlineStr">
        <is>
          <t>10 EVIDENCE &amp; DECISIONS</t>
        </is>
      </c>
    </row>
    <row r="1220" ht="49" customHeight="1">
      <c r="A1220" s="34" t="inlineStr">
        <is>
          <t>R723-v1</t>
        </is>
      </c>
      <c r="B1220" s="34" t="inlineStr">
        <is>
          <t>Contractor Programme</t>
        </is>
      </c>
      <c r="C1220" s="34" t="inlineStr">
        <is>
          <t>SCH-05-003</t>
        </is>
      </c>
      <c r="D1220" s="34" t="inlineStr">
        <is>
          <t>1.5.2 Testing and Commissioning - Dynamic Testing</t>
        </is>
      </c>
      <c r="E1220" s="34" t="inlineStr">
        <is>
          <t>New</t>
        </is>
      </c>
      <c r="F1220" s="14" t="inlineStr"/>
      <c r="G1220" s="34" t="inlineStr">
        <is>
          <t>Source assignment -- not individually reviewed</t>
        </is>
      </c>
      <c r="H1220" s="92" t="inlineStr">
        <is>
          <t>10 EVIDENCE &amp; DECISIONS</t>
        </is>
      </c>
    </row>
    <row r="1221" ht="49" customHeight="1">
      <c r="A1221" s="34" t="inlineStr">
        <is>
          <t>R726-v1</t>
        </is>
      </c>
      <c r="B1221" s="34" t="inlineStr">
        <is>
          <t>Contractor Programme</t>
        </is>
      </c>
      <c r="C1221" s="34" t="inlineStr">
        <is>
          <t>SCH-05-006</t>
        </is>
      </c>
      <c r="D1221" s="34" t="inlineStr">
        <is>
          <t>1.5.2 Testing and Commissioning - Dynamic Testing</t>
        </is>
      </c>
      <c r="E1221" s="34" t="inlineStr">
        <is>
          <t>New</t>
        </is>
      </c>
      <c r="F1221" s="14" t="inlineStr"/>
      <c r="G1221" s="34" t="inlineStr">
        <is>
          <t>Source assignment -- not individually reviewed</t>
        </is>
      </c>
      <c r="H1221" s="92" t="inlineStr">
        <is>
          <t>10 EVIDENCE &amp; DECISIONS</t>
        </is>
      </c>
    </row>
    <row r="1222" ht="49" customHeight="1">
      <c r="A1222" s="34" t="inlineStr">
        <is>
          <t>R729-v1</t>
        </is>
      </c>
      <c r="B1222" s="34" t="inlineStr">
        <is>
          <t>Contractor Programme</t>
        </is>
      </c>
      <c r="C1222" s="34" t="inlineStr">
        <is>
          <t>SCH-05-009</t>
        </is>
      </c>
      <c r="D1222" s="34" t="inlineStr">
        <is>
          <t>1.5.2 Testing and Commissioning - Dynamic Testing</t>
        </is>
      </c>
      <c r="E1222" s="34" t="inlineStr">
        <is>
          <t>New</t>
        </is>
      </c>
      <c r="F1222" s="14" t="inlineStr"/>
      <c r="G1222" s="34" t="inlineStr">
        <is>
          <t>Source assignment -- not individually reviewed</t>
        </is>
      </c>
      <c r="H1222" s="92" t="inlineStr">
        <is>
          <t>10 EVIDENCE &amp; DECISIONS</t>
        </is>
      </c>
    </row>
    <row r="1223" ht="49" customHeight="1">
      <c r="A1223" s="34" t="inlineStr">
        <is>
          <t>R732-v1</t>
        </is>
      </c>
      <c r="B1223" s="34" t="inlineStr">
        <is>
          <t>Contractor Programme</t>
        </is>
      </c>
      <c r="C1223" s="34" t="inlineStr">
        <is>
          <t>SCH-05-012</t>
        </is>
      </c>
      <c r="D1223" s="34" t="inlineStr">
        <is>
          <t>1.5.2 Testing and Commissioning - Dynamic Testing</t>
        </is>
      </c>
      <c r="E1223" s="34" t="inlineStr">
        <is>
          <t>New</t>
        </is>
      </c>
      <c r="F1223" s="14" t="inlineStr"/>
      <c r="G1223" s="34" t="inlineStr">
        <is>
          <t>Source assignment -- not individually reviewed</t>
        </is>
      </c>
      <c r="H1223" s="92" t="inlineStr">
        <is>
          <t>10 EVIDENCE &amp; DECISIONS</t>
        </is>
      </c>
    </row>
    <row r="1224" ht="49" customHeight="1">
      <c r="A1224" s="34" t="inlineStr">
        <is>
          <t>R735-v1</t>
        </is>
      </c>
      <c r="B1224" s="34" t="inlineStr">
        <is>
          <t>Contractor Programme</t>
        </is>
      </c>
      <c r="C1224" s="34" t="inlineStr">
        <is>
          <t>SCH-05-015</t>
        </is>
      </c>
      <c r="D1224" s="34" t="inlineStr">
        <is>
          <t>1.5.2 Testing and Commissioning - Dynamic Testing</t>
        </is>
      </c>
      <c r="E1224" s="34" t="inlineStr">
        <is>
          <t>New</t>
        </is>
      </c>
      <c r="F1224" s="14" t="inlineStr"/>
      <c r="G1224" s="34" t="inlineStr">
        <is>
          <t>Source assignment -- not individually reviewed</t>
        </is>
      </c>
      <c r="H1224" s="92" t="inlineStr">
        <is>
          <t>10 EVIDENCE &amp; DECISIONS</t>
        </is>
      </c>
    </row>
    <row r="1225" ht="49" customHeight="1">
      <c r="A1225" s="34" t="inlineStr">
        <is>
          <t>R738-v1</t>
        </is>
      </c>
      <c r="B1225" s="34" t="inlineStr">
        <is>
          <t>Contractor Programme</t>
        </is>
      </c>
      <c r="C1225" s="34" t="inlineStr">
        <is>
          <t>SCH-05-018</t>
        </is>
      </c>
      <c r="D1225" s="34" t="inlineStr">
        <is>
          <t>1.5.2 Testing and Commissioning - Dynamic Testing</t>
        </is>
      </c>
      <c r="E1225" s="34" t="inlineStr">
        <is>
          <t>New</t>
        </is>
      </c>
      <c r="F1225" s="14" t="inlineStr"/>
      <c r="G1225" s="34" t="inlineStr">
        <is>
          <t>Source assignment -- not individually reviewed</t>
        </is>
      </c>
      <c r="H1225" s="92" t="inlineStr">
        <is>
          <t>10 EVIDENCE &amp; DECISIONS</t>
        </is>
      </c>
    </row>
    <row r="1226" ht="49" customHeight="1">
      <c r="A1226" s="34" t="inlineStr">
        <is>
          <t>R741-v1</t>
        </is>
      </c>
      <c r="B1226" s="34" t="inlineStr">
        <is>
          <t>Contractor Programme</t>
        </is>
      </c>
      <c r="C1226" s="34" t="inlineStr">
        <is>
          <t>SCH-05-021</t>
        </is>
      </c>
      <c r="D1226" s="34" t="inlineStr">
        <is>
          <t>1.5.2 Testing and Commissioning - Dynamic Testing</t>
        </is>
      </c>
      <c r="E1226" s="34" t="inlineStr">
        <is>
          <t>New</t>
        </is>
      </c>
      <c r="F1226" s="14" t="inlineStr"/>
      <c r="G1226" s="34" t="inlineStr">
        <is>
          <t>Source assignment -- not individually reviewed</t>
        </is>
      </c>
      <c r="H1226" s="92" t="inlineStr">
        <is>
          <t>10 EVIDENCE &amp; DECISIONS</t>
        </is>
      </c>
    </row>
    <row r="1227" ht="49" customHeight="1">
      <c r="A1227" s="34" t="inlineStr">
        <is>
          <t>R744-v1</t>
        </is>
      </c>
      <c r="B1227" s="34" t="inlineStr">
        <is>
          <t>Contractor Programme</t>
        </is>
      </c>
      <c r="C1227" s="34" t="inlineStr">
        <is>
          <t>SCH-05-024</t>
        </is>
      </c>
      <c r="D1227" s="34" t="inlineStr">
        <is>
          <t>1.5.2 Testing and Commissioning - Dynamic Testing</t>
        </is>
      </c>
      <c r="E1227" s="34" t="inlineStr">
        <is>
          <t>New</t>
        </is>
      </c>
      <c r="F1227" s="14" t="inlineStr"/>
      <c r="G1227" s="34" t="inlineStr">
        <is>
          <t>Source assignment -- not individually reviewed</t>
        </is>
      </c>
      <c r="H1227" s="92" t="inlineStr">
        <is>
          <t>10 EVIDENCE &amp; DECISIONS</t>
        </is>
      </c>
    </row>
    <row r="1228" ht="49" customHeight="1">
      <c r="A1228" s="34" t="inlineStr">
        <is>
          <t>R747-v1</t>
        </is>
      </c>
      <c r="B1228" s="34" t="inlineStr">
        <is>
          <t>Contractor Programme</t>
        </is>
      </c>
      <c r="C1228" s="34" t="inlineStr">
        <is>
          <t>SCH-05-027</t>
        </is>
      </c>
      <c r="D1228" s="34" t="inlineStr">
        <is>
          <t>1.5.2 Testing and Commissioning - Dynamic Testing</t>
        </is>
      </c>
      <c r="E1228" s="34" t="inlineStr">
        <is>
          <t>New</t>
        </is>
      </c>
      <c r="F1228" s="14" t="inlineStr"/>
      <c r="G1228" s="34" t="inlineStr">
        <is>
          <t>Source assignment -- not individually reviewed</t>
        </is>
      </c>
      <c r="H1228" s="92" t="inlineStr">
        <is>
          <t>10 EVIDENCE &amp; DECISIONS</t>
        </is>
      </c>
    </row>
    <row r="1229" ht="49" customHeight="1">
      <c r="A1229" s="34" t="inlineStr">
        <is>
          <t>R750-v1</t>
        </is>
      </c>
      <c r="B1229" s="34" t="inlineStr">
        <is>
          <t>Contractor Programme</t>
        </is>
      </c>
      <c r="C1229" s="34" t="inlineStr">
        <is>
          <t>SCH-05-030</t>
        </is>
      </c>
      <c r="D1229" s="34" t="inlineStr">
        <is>
          <t>1.5.2 Testing and Commissioning - Dynamic Testing</t>
        </is>
      </c>
      <c r="E1229" s="34" t="inlineStr">
        <is>
          <t>New</t>
        </is>
      </c>
      <c r="F1229" s="14" t="inlineStr"/>
      <c r="G1229" s="34" t="inlineStr">
        <is>
          <t>Source assignment -- not individually reviewed</t>
        </is>
      </c>
      <c r="H1229" s="92" t="inlineStr">
        <is>
          <t>10 EVIDENCE &amp; DECISIONS</t>
        </is>
      </c>
    </row>
    <row r="1230" ht="49" customHeight="1">
      <c r="A1230" s="34" t="inlineStr">
        <is>
          <t>R753-v1</t>
        </is>
      </c>
      <c r="B1230" s="34" t="inlineStr">
        <is>
          <t>Contractor Programme</t>
        </is>
      </c>
      <c r="C1230" s="34" t="inlineStr">
        <is>
          <t>SCH-05-033</t>
        </is>
      </c>
      <c r="D1230" s="34" t="inlineStr">
        <is>
          <t>1.5.2 Testing and Commissioning - Dynamic Testing</t>
        </is>
      </c>
      <c r="E1230" s="34" t="inlineStr">
        <is>
          <t>New</t>
        </is>
      </c>
      <c r="F1230" s="14" t="inlineStr"/>
      <c r="G1230" s="34" t="inlineStr">
        <is>
          <t>Source assignment -- not individually reviewed</t>
        </is>
      </c>
      <c r="H1230" s="92" t="inlineStr">
        <is>
          <t>10 EVIDENCE &amp; DECISIONS</t>
        </is>
      </c>
    </row>
    <row r="1231" ht="49" customHeight="1">
      <c r="A1231" s="34" t="inlineStr">
        <is>
          <t>R756-v1</t>
        </is>
      </c>
      <c r="B1231" s="34" t="inlineStr">
        <is>
          <t>Contractor Programme</t>
        </is>
      </c>
      <c r="C1231" s="34" t="inlineStr">
        <is>
          <t>SCH-05-036</t>
        </is>
      </c>
      <c r="D1231" s="34" t="inlineStr">
        <is>
          <t>1.5.2 Testing and Commissioning - Dynamic Testing</t>
        </is>
      </c>
      <c r="E1231" s="34" t="inlineStr">
        <is>
          <t>New</t>
        </is>
      </c>
      <c r="F1231" s="14" t="inlineStr"/>
      <c r="G1231" s="34" t="inlineStr">
        <is>
          <t>Source assignment -- not individually reviewed</t>
        </is>
      </c>
      <c r="H1231" s="92" t="inlineStr">
        <is>
          <t>10 EVIDENCE &amp; DECISIONS</t>
        </is>
      </c>
    </row>
    <row r="1232" ht="49" customHeight="1">
      <c r="A1232" s="34" t="inlineStr">
        <is>
          <t>R759-v1</t>
        </is>
      </c>
      <c r="B1232" s="34" t="inlineStr">
        <is>
          <t>Contractor Programme</t>
        </is>
      </c>
      <c r="C1232" s="34" t="inlineStr">
        <is>
          <t>SCH-05-039</t>
        </is>
      </c>
      <c r="D1232" s="34" t="inlineStr">
        <is>
          <t>1.5.2 Testing and Commissioning - Dynamic Testing</t>
        </is>
      </c>
      <c r="E1232" s="34" t="inlineStr">
        <is>
          <t>New</t>
        </is>
      </c>
      <c r="F1232" s="14" t="inlineStr"/>
      <c r="G1232" s="34" t="inlineStr">
        <is>
          <t>Source assignment -- not individually reviewed</t>
        </is>
      </c>
      <c r="H1232" s="92" t="inlineStr">
        <is>
          <t>10 EVIDENCE &amp; DECISIONS</t>
        </is>
      </c>
    </row>
    <row r="1233" ht="49" customHeight="1">
      <c r="A1233" s="34" t="inlineStr">
        <is>
          <t>R762-v1</t>
        </is>
      </c>
      <c r="B1233" s="34" t="inlineStr">
        <is>
          <t>Contractor Programme</t>
        </is>
      </c>
      <c r="C1233" s="34" t="inlineStr">
        <is>
          <t>SCH-05-042</t>
        </is>
      </c>
      <c r="D1233" s="34" t="inlineStr">
        <is>
          <t>1.5.2 Testing and Commissioning - Dynamic Testing</t>
        </is>
      </c>
      <c r="E1233" s="34" t="inlineStr">
        <is>
          <t>New</t>
        </is>
      </c>
      <c r="F1233" s="14" t="inlineStr"/>
      <c r="G1233" s="34" t="inlineStr">
        <is>
          <t>Source assignment -- not individually reviewed</t>
        </is>
      </c>
      <c r="H1233" s="92" t="inlineStr">
        <is>
          <t>10 EVIDENCE &amp; DECISIONS</t>
        </is>
      </c>
    </row>
    <row r="1234" ht="49" customHeight="1">
      <c r="A1234" s="34" t="inlineStr">
        <is>
          <t>R765-v1</t>
        </is>
      </c>
      <c r="B1234" s="34" t="inlineStr">
        <is>
          <t>Contractor Programme</t>
        </is>
      </c>
      <c r="C1234" s="34" t="inlineStr">
        <is>
          <t>SCH-05-045</t>
        </is>
      </c>
      <c r="D1234" s="34" t="inlineStr">
        <is>
          <t>1.5.2 Testing and Commissioning - Dynamic Testing</t>
        </is>
      </c>
      <c r="E1234" s="34" t="inlineStr">
        <is>
          <t>New</t>
        </is>
      </c>
      <c r="F1234" s="14" t="inlineStr"/>
      <c r="G1234" s="34" t="inlineStr">
        <is>
          <t>Source assignment -- not individually reviewed</t>
        </is>
      </c>
      <c r="H1234" s="92" t="inlineStr">
        <is>
          <t>10 EVIDENCE &amp; DECISIONS</t>
        </is>
      </c>
    </row>
    <row r="1235" ht="49" customHeight="1">
      <c r="A1235" s="34" t="inlineStr">
        <is>
          <t>R768-v1</t>
        </is>
      </c>
      <c r="B1235" s="34" t="inlineStr">
        <is>
          <t>Contractor Programme</t>
        </is>
      </c>
      <c r="C1235" s="34" t="inlineStr">
        <is>
          <t>SCH-05-048</t>
        </is>
      </c>
      <c r="D1235" s="34" t="inlineStr">
        <is>
          <t>1.5.2 Testing and Commissioning - Dynamic Testing</t>
        </is>
      </c>
      <c r="E1235" s="34" t="inlineStr">
        <is>
          <t>New</t>
        </is>
      </c>
      <c r="F1235" s="14" t="inlineStr"/>
      <c r="G1235" s="34" t="inlineStr">
        <is>
          <t>Source assignment -- not individually reviewed</t>
        </is>
      </c>
      <c r="H1235" s="92" t="inlineStr">
        <is>
          <t>10 EVIDENCE &amp; DECISIONS</t>
        </is>
      </c>
    </row>
    <row r="1236" ht="49" customHeight="1">
      <c r="A1236" s="34" t="inlineStr">
        <is>
          <t>R771-v1</t>
        </is>
      </c>
      <c r="B1236" s="34" t="inlineStr">
        <is>
          <t>Contractor Programme</t>
        </is>
      </c>
      <c r="C1236" s="34" t="inlineStr">
        <is>
          <t>SCH-05-051</t>
        </is>
      </c>
      <c r="D1236" s="34" t="inlineStr">
        <is>
          <t>1.5.2 Testing and Commissioning - Dynamic Testing</t>
        </is>
      </c>
      <c r="E1236" s="34" t="inlineStr">
        <is>
          <t>New</t>
        </is>
      </c>
      <c r="F1236" s="14" t="inlineStr"/>
      <c r="G1236" s="34" t="inlineStr">
        <is>
          <t>Source assignment -- not individually reviewed</t>
        </is>
      </c>
      <c r="H1236" s="92" t="inlineStr">
        <is>
          <t>10 EVIDENCE &amp; DECISIONS</t>
        </is>
      </c>
    </row>
    <row r="1237" ht="49" customHeight="1">
      <c r="A1237" s="34" t="inlineStr">
        <is>
          <t>R774-v1</t>
        </is>
      </c>
      <c r="B1237" s="34" t="inlineStr">
        <is>
          <t>Contractor Programme</t>
        </is>
      </c>
      <c r="C1237" s="34" t="inlineStr">
        <is>
          <t>SCH-05-054</t>
        </is>
      </c>
      <c r="D1237" s="34" t="inlineStr">
        <is>
          <t>1.5.2 Testing and Commissioning - Dynamic Testing</t>
        </is>
      </c>
      <c r="E1237" s="34" t="inlineStr">
        <is>
          <t>New</t>
        </is>
      </c>
      <c r="F1237" s="14" t="inlineStr"/>
      <c r="G1237" s="34" t="inlineStr">
        <is>
          <t>Source assignment -- not individually reviewed</t>
        </is>
      </c>
      <c r="H1237" s="92" t="inlineStr">
        <is>
          <t>10 EVIDENCE &amp; DECISIONS</t>
        </is>
      </c>
    </row>
    <row r="1238" ht="49" customHeight="1">
      <c r="A1238" s="34" t="inlineStr">
        <is>
          <t>R777-v1</t>
        </is>
      </c>
      <c r="B1238" s="34" t="inlineStr">
        <is>
          <t>Contractor Programme</t>
        </is>
      </c>
      <c r="C1238" s="34" t="inlineStr">
        <is>
          <t>SCH-05-057</t>
        </is>
      </c>
      <c r="D1238" s="34" t="inlineStr">
        <is>
          <t>1.5.2 Testing and Commissioning - Dynamic Testing</t>
        </is>
      </c>
      <c r="E1238" s="34" t="inlineStr">
        <is>
          <t>New</t>
        </is>
      </c>
      <c r="F1238" s="14" t="inlineStr"/>
      <c r="G1238" s="34" t="inlineStr">
        <is>
          <t>Source assignment -- not individually reviewed</t>
        </is>
      </c>
      <c r="H1238" s="92" t="inlineStr">
        <is>
          <t>10 EVIDENCE &amp; DECISIONS</t>
        </is>
      </c>
    </row>
    <row r="1239" ht="49" customHeight="1">
      <c r="A1239" s="34" t="inlineStr">
        <is>
          <t>R780-v1</t>
        </is>
      </c>
      <c r="B1239" s="34" t="inlineStr">
        <is>
          <t>Contractor Programme</t>
        </is>
      </c>
      <c r="C1239" s="34" t="inlineStr">
        <is>
          <t>SCH-05-060</t>
        </is>
      </c>
      <c r="D1239" s="34" t="inlineStr">
        <is>
          <t>1.5.2 Testing and Commissioning - Dynamic Testing</t>
        </is>
      </c>
      <c r="E1239" s="34" t="inlineStr">
        <is>
          <t>New</t>
        </is>
      </c>
      <c r="F1239" s="14" t="inlineStr"/>
      <c r="G1239" s="34" t="inlineStr">
        <is>
          <t>Source assignment -- not individually reviewed</t>
        </is>
      </c>
      <c r="H1239" s="92" t="inlineStr">
        <is>
          <t>10 EVIDENCE &amp; DECISIONS</t>
        </is>
      </c>
    </row>
    <row r="1240" ht="49" customHeight="1">
      <c r="A1240" s="34" t="inlineStr">
        <is>
          <t>R783-v1</t>
        </is>
      </c>
      <c r="B1240" s="34" t="inlineStr">
        <is>
          <t>Contractor Programme</t>
        </is>
      </c>
      <c r="C1240" s="34" t="inlineStr">
        <is>
          <t>SCH-05-063</t>
        </is>
      </c>
      <c r="D1240" s="34" t="inlineStr">
        <is>
          <t>1.5.2 Testing and Commissioning - Dynamic Testing</t>
        </is>
      </c>
      <c r="E1240" s="34" t="inlineStr">
        <is>
          <t>New</t>
        </is>
      </c>
      <c r="F1240" s="14" t="inlineStr"/>
      <c r="G1240" s="34" t="inlineStr">
        <is>
          <t>Source assignment -- not individually reviewed</t>
        </is>
      </c>
      <c r="H1240" s="92" t="inlineStr">
        <is>
          <t>10 EVIDENCE &amp; DECISIONS</t>
        </is>
      </c>
    </row>
    <row r="1241" ht="49" customHeight="1">
      <c r="A1241" s="34" t="inlineStr">
        <is>
          <t>R786-v1</t>
        </is>
      </c>
      <c r="B1241" s="34" t="inlineStr">
        <is>
          <t>Contractor Programme</t>
        </is>
      </c>
      <c r="C1241" s="34" t="inlineStr">
        <is>
          <t>SCH-05-066</t>
        </is>
      </c>
      <c r="D1241" s="34" t="inlineStr">
        <is>
          <t>1.5.2 Testing and Commissioning - Dynamic Testing</t>
        </is>
      </c>
      <c r="E1241" s="34" t="inlineStr">
        <is>
          <t>New</t>
        </is>
      </c>
      <c r="F1241" s="14" t="inlineStr"/>
      <c r="G1241" s="34" t="inlineStr">
        <is>
          <t>Source assignment -- not individually reviewed</t>
        </is>
      </c>
      <c r="H1241" s="92" t="inlineStr">
        <is>
          <t>10 EVIDENCE &amp; DECISIONS</t>
        </is>
      </c>
    </row>
    <row r="1242" ht="49" customHeight="1">
      <c r="A1242" s="34" t="inlineStr">
        <is>
          <t>R789-v1</t>
        </is>
      </c>
      <c r="B1242" s="34" t="inlineStr">
        <is>
          <t>Contractor Programme</t>
        </is>
      </c>
      <c r="C1242" s="34" t="inlineStr">
        <is>
          <t>SCH-05-069</t>
        </is>
      </c>
      <c r="D1242" s="34" t="inlineStr">
        <is>
          <t>1.5.2 Testing and Commissioning - Dynamic Testing</t>
        </is>
      </c>
      <c r="E1242" s="34" t="inlineStr">
        <is>
          <t>New</t>
        </is>
      </c>
      <c r="F1242" s="14" t="inlineStr"/>
      <c r="G1242" s="34" t="inlineStr">
        <is>
          <t>Source assignment -- not individually reviewed</t>
        </is>
      </c>
      <c r="H1242" s="92" t="inlineStr">
        <is>
          <t>10 EVIDENCE &amp; DECISIONS</t>
        </is>
      </c>
    </row>
    <row r="1243" ht="49" customHeight="1">
      <c r="A1243" s="34" t="inlineStr">
        <is>
          <t>R792-v1</t>
        </is>
      </c>
      <c r="B1243" s="34" t="inlineStr">
        <is>
          <t>Contractor Programme</t>
        </is>
      </c>
      <c r="C1243" s="34" t="inlineStr">
        <is>
          <t>SCH-05-072</t>
        </is>
      </c>
      <c r="D1243" s="34" t="inlineStr">
        <is>
          <t>1.5.2 Testing and Commissioning - Dynamic Testing</t>
        </is>
      </c>
      <c r="E1243" s="34" t="inlineStr">
        <is>
          <t>New</t>
        </is>
      </c>
      <c r="F1243" s="14" t="inlineStr"/>
      <c r="G1243" s="34" t="inlineStr">
        <is>
          <t>Source assignment -- not individually reviewed</t>
        </is>
      </c>
      <c r="H1243" s="92" t="inlineStr">
        <is>
          <t>10 EVIDENCE &amp; DECISIONS</t>
        </is>
      </c>
    </row>
    <row r="1244" ht="49" customHeight="1">
      <c r="A1244" s="34" t="inlineStr">
        <is>
          <t>R795-v1</t>
        </is>
      </c>
      <c r="B1244" s="34" t="inlineStr">
        <is>
          <t>Contractor Programme</t>
        </is>
      </c>
      <c r="C1244" s="34" t="inlineStr">
        <is>
          <t>SCH-05-075</t>
        </is>
      </c>
      <c r="D1244" s="34" t="inlineStr">
        <is>
          <t>1.5.2 Testing and Commissioning - Dynamic Testing</t>
        </is>
      </c>
      <c r="E1244" s="34" t="inlineStr">
        <is>
          <t>New</t>
        </is>
      </c>
      <c r="F1244" s="14" t="inlineStr"/>
      <c r="G1244" s="34" t="inlineStr">
        <is>
          <t>Source assignment -- not individually reviewed</t>
        </is>
      </c>
      <c r="H1244" s="92" t="inlineStr">
        <is>
          <t>10 EVIDENCE &amp; DECISIONS</t>
        </is>
      </c>
    </row>
    <row r="1245" ht="49" customHeight="1">
      <c r="A1245" s="34" t="inlineStr">
        <is>
          <t>R798-v1</t>
        </is>
      </c>
      <c r="B1245" s="34" t="inlineStr">
        <is>
          <t>Contractor Programme</t>
        </is>
      </c>
      <c r="C1245" s="34" t="inlineStr">
        <is>
          <t>SCH-05-078</t>
        </is>
      </c>
      <c r="D1245" s="34" t="inlineStr">
        <is>
          <t>1.5.2 Testing and Commissioning - Dynamic Testing</t>
        </is>
      </c>
      <c r="E1245" s="34" t="inlineStr">
        <is>
          <t>New</t>
        </is>
      </c>
      <c r="F1245" s="14" t="inlineStr"/>
      <c r="G1245" s="34" t="inlineStr">
        <is>
          <t>Source assignment -- not individually reviewed</t>
        </is>
      </c>
      <c r="H1245" s="92" t="inlineStr">
        <is>
          <t>10 EVIDENCE &amp; DECISIONS</t>
        </is>
      </c>
    </row>
    <row r="1246" ht="49" customHeight="1">
      <c r="A1246" s="34" t="inlineStr">
        <is>
          <t>R801-v1</t>
        </is>
      </c>
      <c r="B1246" s="34" t="inlineStr">
        <is>
          <t>Contractor Programme</t>
        </is>
      </c>
      <c r="C1246" s="34" t="inlineStr">
        <is>
          <t>SCH-05-081</t>
        </is>
      </c>
      <c r="D1246" s="34" t="inlineStr">
        <is>
          <t>1.5.2 Testing and Commissioning - Dynamic Testing</t>
        </is>
      </c>
      <c r="E1246" s="34" t="inlineStr">
        <is>
          <t>New</t>
        </is>
      </c>
      <c r="F1246" s="14" t="inlineStr"/>
      <c r="G1246" s="34" t="inlineStr">
        <is>
          <t>Source assignment -- not individually reviewed</t>
        </is>
      </c>
      <c r="H1246" s="92" t="inlineStr">
        <is>
          <t>10 EVIDENCE &amp; DECISIONS</t>
        </is>
      </c>
    </row>
    <row r="1247" ht="49" customHeight="1">
      <c r="A1247" s="34" t="inlineStr">
        <is>
          <t>R804-v1</t>
        </is>
      </c>
      <c r="B1247" s="34" t="inlineStr">
        <is>
          <t>Contractor Programme</t>
        </is>
      </c>
      <c r="C1247" s="34" t="inlineStr">
        <is>
          <t>SCH-05-084</t>
        </is>
      </c>
      <c r="D1247" s="34" t="inlineStr">
        <is>
          <t>1.5.2 Testing and Commissioning - Dynamic Testing</t>
        </is>
      </c>
      <c r="E1247" s="34" t="inlineStr">
        <is>
          <t>New</t>
        </is>
      </c>
      <c r="F1247" s="14" t="inlineStr"/>
      <c r="G1247" s="34" t="inlineStr">
        <is>
          <t>Source assignment -- not individually reviewed</t>
        </is>
      </c>
      <c r="H1247" s="92" t="inlineStr">
        <is>
          <t>10 EVIDENCE &amp; DECISIONS</t>
        </is>
      </c>
    </row>
    <row r="1248" ht="49" customHeight="1">
      <c r="A1248" s="34" t="inlineStr">
        <is>
          <t>R807-v1</t>
        </is>
      </c>
      <c r="B1248" s="34" t="inlineStr">
        <is>
          <t>Contractor Programme</t>
        </is>
      </c>
      <c r="C1248" s="34" t="inlineStr">
        <is>
          <t>SCH-05-087</t>
        </is>
      </c>
      <c r="D1248" s="34" t="inlineStr">
        <is>
          <t>1.5.2 Testing and Commissioning - Dynamic Testing</t>
        </is>
      </c>
      <c r="E1248" s="34" t="inlineStr">
        <is>
          <t>New</t>
        </is>
      </c>
      <c r="F1248" s="14" t="inlineStr"/>
      <c r="G1248" s="34" t="inlineStr">
        <is>
          <t>Source assignment -- not individually reviewed</t>
        </is>
      </c>
      <c r="H1248" s="92" t="inlineStr">
        <is>
          <t>10 EVIDENCE &amp; DECISIONS</t>
        </is>
      </c>
    </row>
    <row r="1249" ht="49" customHeight="1">
      <c r="A1249" s="34" t="inlineStr">
        <is>
          <t>R810-v1</t>
        </is>
      </c>
      <c r="B1249" s="34" t="inlineStr">
        <is>
          <t>Contractor Programme</t>
        </is>
      </c>
      <c r="C1249" s="34" t="inlineStr">
        <is>
          <t>SCH-05-090</t>
        </is>
      </c>
      <c r="D1249" s="34" t="inlineStr">
        <is>
          <t>1.5.2 Testing and Commissioning - Dynamic Testing</t>
        </is>
      </c>
      <c r="E1249" s="34" t="inlineStr">
        <is>
          <t>New</t>
        </is>
      </c>
      <c r="F1249" s="14" t="inlineStr"/>
      <c r="G1249" s="34" t="inlineStr">
        <is>
          <t>Source assignment -- not individually reviewed</t>
        </is>
      </c>
      <c r="H1249" s="92" t="inlineStr">
        <is>
          <t>10 EVIDENCE &amp; DECISIONS</t>
        </is>
      </c>
    </row>
    <row r="1250" ht="49" customHeight="1">
      <c r="A1250" s="34" t="inlineStr">
        <is>
          <t>R813-v1</t>
        </is>
      </c>
      <c r="B1250" s="34" t="inlineStr">
        <is>
          <t>Contractor Programme</t>
        </is>
      </c>
      <c r="C1250" s="34" t="inlineStr">
        <is>
          <t>SCH-05-093</t>
        </is>
      </c>
      <c r="D1250" s="34" t="inlineStr">
        <is>
          <t>1.5.2 Testing and Commissioning - Dynamic Testing</t>
        </is>
      </c>
      <c r="E1250" s="34" t="inlineStr">
        <is>
          <t>New</t>
        </is>
      </c>
      <c r="F1250" s="14" t="inlineStr"/>
      <c r="G1250" s="34" t="inlineStr">
        <is>
          <t>Source assignment -- not individually reviewed</t>
        </is>
      </c>
      <c r="H1250" s="92" t="inlineStr">
        <is>
          <t>10 EVIDENCE &amp; DECISIONS</t>
        </is>
      </c>
    </row>
    <row r="1251" ht="49" customHeight="1">
      <c r="A1251" s="34" t="inlineStr">
        <is>
          <t>R816-v1</t>
        </is>
      </c>
      <c r="B1251" s="34" t="inlineStr">
        <is>
          <t>Contractor Programme</t>
        </is>
      </c>
      <c r="C1251" s="34" t="inlineStr">
        <is>
          <t>SCH-05-096</t>
        </is>
      </c>
      <c r="D1251" s="34" t="inlineStr">
        <is>
          <t>1.5.2 Testing and Commissioning - Dynamic Testing</t>
        </is>
      </c>
      <c r="E1251" s="34" t="inlineStr">
        <is>
          <t>New</t>
        </is>
      </c>
      <c r="F1251" s="14" t="inlineStr"/>
      <c r="G1251" s="34" t="inlineStr">
        <is>
          <t>Source assignment -- not individually reviewed</t>
        </is>
      </c>
      <c r="H1251" s="92" t="inlineStr">
        <is>
          <t>10 EVIDENCE &amp; DECISIONS</t>
        </is>
      </c>
    </row>
    <row r="1252" ht="49" customHeight="1">
      <c r="A1252" s="34" t="inlineStr">
        <is>
          <t>R819-v1</t>
        </is>
      </c>
      <c r="B1252" s="34" t="inlineStr">
        <is>
          <t>Contractor Programme</t>
        </is>
      </c>
      <c r="C1252" s="34" t="inlineStr">
        <is>
          <t>SCH-05-099</t>
        </is>
      </c>
      <c r="D1252" s="34" t="inlineStr">
        <is>
          <t>1.5.2 Testing and Commissioning - Dynamic Testing</t>
        </is>
      </c>
      <c r="E1252" s="34" t="inlineStr">
        <is>
          <t>New</t>
        </is>
      </c>
      <c r="F1252" s="14" t="inlineStr"/>
      <c r="G1252" s="34" t="inlineStr">
        <is>
          <t>Source assignment -- not individually reviewed</t>
        </is>
      </c>
      <c r="H1252" s="92" t="inlineStr">
        <is>
          <t>10 EVIDENCE &amp; DECISIONS</t>
        </is>
      </c>
    </row>
    <row r="1253" ht="49" customHeight="1">
      <c r="A1253" s="34" t="inlineStr">
        <is>
          <t>R822-v1</t>
        </is>
      </c>
      <c r="B1253" s="34" t="inlineStr">
        <is>
          <t>Contractor Programme</t>
        </is>
      </c>
      <c r="C1253" s="34" t="inlineStr">
        <is>
          <t>SCH-05-102</t>
        </is>
      </c>
      <c r="D1253" s="34" t="inlineStr">
        <is>
          <t>1.5.2 Testing and Commissioning - Dynamic Testing</t>
        </is>
      </c>
      <c r="E1253" s="34" t="inlineStr">
        <is>
          <t>New</t>
        </is>
      </c>
      <c r="F1253" s="14" t="inlineStr"/>
      <c r="G1253" s="34" t="inlineStr">
        <is>
          <t>Source assignment -- not individually reviewed</t>
        </is>
      </c>
      <c r="H1253" s="92" t="inlineStr">
        <is>
          <t>10 EVIDENCE &amp; DECISIONS</t>
        </is>
      </c>
    </row>
    <row r="1254" ht="49" customHeight="1">
      <c r="A1254" s="34" t="inlineStr">
        <is>
          <t>R825-v1</t>
        </is>
      </c>
      <c r="B1254" s="34" t="inlineStr">
        <is>
          <t>Contractor Programme</t>
        </is>
      </c>
      <c r="C1254" s="34" t="inlineStr">
        <is>
          <t>SCH-05-105</t>
        </is>
      </c>
      <c r="D1254" s="34" t="inlineStr">
        <is>
          <t>1.5.2 Testing and Commissioning - Dynamic Testing</t>
        </is>
      </c>
      <c r="E1254" s="34" t="inlineStr">
        <is>
          <t>New</t>
        </is>
      </c>
      <c r="F1254" s="14" t="inlineStr"/>
      <c r="G1254" s="34" t="inlineStr">
        <is>
          <t>Source assignment -- not individually reviewed</t>
        </is>
      </c>
      <c r="H1254" s="92" t="inlineStr">
        <is>
          <t>10 EVIDENCE &amp; DECISIONS</t>
        </is>
      </c>
    </row>
    <row r="1255" ht="49" customHeight="1">
      <c r="A1255" s="34" t="inlineStr">
        <is>
          <t>R828-v1</t>
        </is>
      </c>
      <c r="B1255" s="34" t="inlineStr">
        <is>
          <t>Contractor Programme</t>
        </is>
      </c>
      <c r="C1255" s="34" t="inlineStr">
        <is>
          <t>SCH-05-108</t>
        </is>
      </c>
      <c r="D1255" s="34" t="inlineStr">
        <is>
          <t>1.5.2 Testing and Commissioning - Dynamic Testing</t>
        </is>
      </c>
      <c r="E1255" s="34" t="inlineStr">
        <is>
          <t>New</t>
        </is>
      </c>
      <c r="F1255" s="14" t="inlineStr"/>
      <c r="G1255" s="34" t="inlineStr">
        <is>
          <t>Source assignment -- not individually reviewed</t>
        </is>
      </c>
      <c r="H1255" s="92" t="inlineStr">
        <is>
          <t>10 EVIDENCE &amp; DECISIONS</t>
        </is>
      </c>
    </row>
    <row r="1256" ht="49" customHeight="1">
      <c r="A1256" s="34" t="inlineStr">
        <is>
          <t>R831-v1</t>
        </is>
      </c>
      <c r="B1256" s="34" t="inlineStr">
        <is>
          <t>Contractor Programme</t>
        </is>
      </c>
      <c r="C1256" s="34" t="inlineStr">
        <is>
          <t>SCH-05-111</t>
        </is>
      </c>
      <c r="D1256" s="34" t="inlineStr">
        <is>
          <t>1.5.2 Testing and Commissioning - Dynamic Testing</t>
        </is>
      </c>
      <c r="E1256" s="34" t="inlineStr">
        <is>
          <t>New</t>
        </is>
      </c>
      <c r="F1256" s="14" t="inlineStr"/>
      <c r="G1256" s="34" t="inlineStr">
        <is>
          <t>Source assignment -- not individually reviewed</t>
        </is>
      </c>
      <c r="H1256" s="92" t="inlineStr">
        <is>
          <t>10 EVIDENCE &amp; DECISIONS</t>
        </is>
      </c>
    </row>
    <row r="1257" ht="49" customHeight="1">
      <c r="A1257" s="34" t="inlineStr">
        <is>
          <t>R834-v1</t>
        </is>
      </c>
      <c r="B1257" s="34" t="inlineStr">
        <is>
          <t>Contractor Programme</t>
        </is>
      </c>
      <c r="C1257" s="34" t="inlineStr">
        <is>
          <t>SCH-05-114</t>
        </is>
      </c>
      <c r="D1257" s="34" t="inlineStr">
        <is>
          <t>1.5.2 Testing and Commissioning - Dynamic Testing</t>
        </is>
      </c>
      <c r="E1257" s="34" t="inlineStr">
        <is>
          <t>New</t>
        </is>
      </c>
      <c r="F1257" s="14" t="inlineStr"/>
      <c r="G1257" s="34" t="inlineStr">
        <is>
          <t>Source assignment -- not individually reviewed</t>
        </is>
      </c>
      <c r="H1257" s="92" t="inlineStr">
        <is>
          <t>10 EVIDENCE &amp; DECISIONS</t>
        </is>
      </c>
    </row>
    <row r="1258" ht="49" customHeight="1">
      <c r="A1258" s="34" t="inlineStr">
        <is>
          <t>R837-v1</t>
        </is>
      </c>
      <c r="B1258" s="34" t="inlineStr">
        <is>
          <t>Contractor Programme</t>
        </is>
      </c>
      <c r="C1258" s="34" t="inlineStr">
        <is>
          <t>SCH-05-117</t>
        </is>
      </c>
      <c r="D1258" s="34" t="inlineStr">
        <is>
          <t>1.5.2 Testing and Commissioning - Dynamic Testing</t>
        </is>
      </c>
      <c r="E1258" s="34" t="inlineStr">
        <is>
          <t>New</t>
        </is>
      </c>
      <c r="F1258" s="14" t="inlineStr"/>
      <c r="G1258" s="34" t="inlineStr">
        <is>
          <t>Source assignment -- not individually reviewed</t>
        </is>
      </c>
      <c r="H1258" s="92" t="inlineStr">
        <is>
          <t>10 EVIDENCE &amp; DECISIONS</t>
        </is>
      </c>
    </row>
    <row r="1259" ht="49" customHeight="1">
      <c r="A1259" s="34" t="inlineStr">
        <is>
          <t>R840-v1</t>
        </is>
      </c>
      <c r="B1259" s="34" t="inlineStr">
        <is>
          <t>Contractor Programme</t>
        </is>
      </c>
      <c r="C1259" s="34" t="inlineStr">
        <is>
          <t>SCH-05-120</t>
        </is>
      </c>
      <c r="D1259" s="34" t="inlineStr">
        <is>
          <t>1.5.2 Testing and Commissioning - Dynamic Testing</t>
        </is>
      </c>
      <c r="E1259" s="34" t="inlineStr">
        <is>
          <t>New</t>
        </is>
      </c>
      <c r="F1259" s="14" t="inlineStr"/>
      <c r="G1259" s="34" t="inlineStr">
        <is>
          <t>Source assignment -- not individually reviewed</t>
        </is>
      </c>
      <c r="H1259" s="92" t="inlineStr">
        <is>
          <t>10 EVIDENCE &amp; DECISIONS</t>
        </is>
      </c>
    </row>
    <row r="1260" ht="49" customHeight="1">
      <c r="A1260" s="34" t="inlineStr">
        <is>
          <t>R843-v1</t>
        </is>
      </c>
      <c r="B1260" s="34" t="inlineStr">
        <is>
          <t>Contractor Programme</t>
        </is>
      </c>
      <c r="C1260" s="34" t="inlineStr">
        <is>
          <t>SCH-05-123</t>
        </is>
      </c>
      <c r="D1260" s="34" t="inlineStr">
        <is>
          <t>1.5.2 Testing and Commissioning - Dynamic Testing</t>
        </is>
      </c>
      <c r="E1260" s="34" t="inlineStr">
        <is>
          <t>New</t>
        </is>
      </c>
      <c r="F1260" s="14" t="inlineStr"/>
      <c r="G1260" s="34" t="inlineStr">
        <is>
          <t>Source assignment -- not individually reviewed</t>
        </is>
      </c>
      <c r="H1260" s="92" t="inlineStr">
        <is>
          <t>10 EVIDENCE &amp; DECISIONS</t>
        </is>
      </c>
    </row>
    <row r="1261" ht="49" customHeight="1">
      <c r="A1261" s="34" t="inlineStr">
        <is>
          <t>R846-v1</t>
        </is>
      </c>
      <c r="B1261" s="34" t="inlineStr">
        <is>
          <t>Contractor Programme</t>
        </is>
      </c>
      <c r="C1261" s="34" t="inlineStr">
        <is>
          <t>SCH-05-126</t>
        </is>
      </c>
      <c r="D1261" s="34" t="inlineStr">
        <is>
          <t>1.5.2 Testing and Commissioning - Dynamic Testing</t>
        </is>
      </c>
      <c r="E1261" s="34" t="inlineStr">
        <is>
          <t>New</t>
        </is>
      </c>
      <c r="F1261" s="14" t="inlineStr"/>
      <c r="G1261" s="34" t="inlineStr">
        <is>
          <t>Source assignment -- not individually reviewed</t>
        </is>
      </c>
      <c r="H1261" s="92" t="inlineStr">
        <is>
          <t>10 EVIDENCE &amp; DECISIONS</t>
        </is>
      </c>
    </row>
    <row r="1262" ht="49" customHeight="1">
      <c r="A1262" s="34" t="inlineStr">
        <is>
          <t>R849-v1</t>
        </is>
      </c>
      <c r="B1262" s="34" t="inlineStr">
        <is>
          <t>Contractor Programme</t>
        </is>
      </c>
      <c r="C1262" s="34" t="inlineStr">
        <is>
          <t>SCH-05-129</t>
        </is>
      </c>
      <c r="D1262" s="34" t="inlineStr">
        <is>
          <t>1.5.2 Testing and Commissioning - Dynamic Testing</t>
        </is>
      </c>
      <c r="E1262" s="34" t="inlineStr">
        <is>
          <t>New</t>
        </is>
      </c>
      <c r="F1262" s="14" t="inlineStr"/>
      <c r="G1262" s="34" t="inlineStr">
        <is>
          <t>Source assignment -- not individually reviewed</t>
        </is>
      </c>
      <c r="H1262" s="92" t="inlineStr">
        <is>
          <t>10 EVIDENCE &amp; DECISIONS</t>
        </is>
      </c>
    </row>
    <row r="1263" ht="49" customHeight="1">
      <c r="A1263" s="34" t="inlineStr">
        <is>
          <t>R852-v1</t>
        </is>
      </c>
      <c r="B1263" s="34" t="inlineStr">
        <is>
          <t>Contractor Programme</t>
        </is>
      </c>
      <c r="C1263" s="34" t="inlineStr">
        <is>
          <t>SCH-05-132</t>
        </is>
      </c>
      <c r="D1263" s="34" t="inlineStr">
        <is>
          <t>1.5.2 Testing and Commissioning - Dynamic Testing</t>
        </is>
      </c>
      <c r="E1263" s="34" t="inlineStr">
        <is>
          <t>New</t>
        </is>
      </c>
      <c r="F1263" s="14" t="inlineStr"/>
      <c r="G1263" s="34" t="inlineStr">
        <is>
          <t>Source assignment -- not individually reviewed</t>
        </is>
      </c>
      <c r="H1263" s="92" t="inlineStr">
        <is>
          <t>10 EVIDENCE &amp; DECISIONS</t>
        </is>
      </c>
    </row>
    <row r="1264" ht="49" customHeight="1">
      <c r="A1264" s="34" t="inlineStr">
        <is>
          <t>R855-v1</t>
        </is>
      </c>
      <c r="B1264" s="34" t="inlineStr">
        <is>
          <t>Contractor Programme</t>
        </is>
      </c>
      <c r="C1264" s="34" t="inlineStr">
        <is>
          <t>SCH-05-135</t>
        </is>
      </c>
      <c r="D1264" s="34" t="inlineStr">
        <is>
          <t>1.5.2 Testing and Commissioning - Dynamic Testing</t>
        </is>
      </c>
      <c r="E1264" s="34" t="inlineStr">
        <is>
          <t>New</t>
        </is>
      </c>
      <c r="F1264" s="14" t="inlineStr"/>
      <c r="G1264" s="34" t="inlineStr">
        <is>
          <t>Source assignment -- not individually reviewed</t>
        </is>
      </c>
      <c r="H1264" s="92" t="inlineStr">
        <is>
          <t>10 EVIDENCE &amp; DECISIONS</t>
        </is>
      </c>
    </row>
    <row r="1265" ht="49" customHeight="1">
      <c r="A1265" s="34" t="inlineStr">
        <is>
          <t>R858-v1</t>
        </is>
      </c>
      <c r="B1265" s="34" t="inlineStr">
        <is>
          <t>Contractor Programme</t>
        </is>
      </c>
      <c r="C1265" s="34" t="inlineStr">
        <is>
          <t>SCH-05-138</t>
        </is>
      </c>
      <c r="D1265" s="34" t="inlineStr">
        <is>
          <t>1.5.2 Testing and Commissioning - Dynamic Testing</t>
        </is>
      </c>
      <c r="E1265" s="34" t="inlineStr">
        <is>
          <t>New</t>
        </is>
      </c>
      <c r="F1265" s="14" t="inlineStr"/>
      <c r="G1265" s="34" t="inlineStr">
        <is>
          <t>Source assignment -- not individually reviewed</t>
        </is>
      </c>
      <c r="H1265" s="92" t="inlineStr">
        <is>
          <t>10 EVIDENCE &amp; DECISIONS</t>
        </is>
      </c>
    </row>
    <row r="1266" ht="49" customHeight="1">
      <c r="A1266" s="34" t="inlineStr">
        <is>
          <t>R861-v1</t>
        </is>
      </c>
      <c r="B1266" s="34" t="inlineStr">
        <is>
          <t>Contractor Programme</t>
        </is>
      </c>
      <c r="C1266" s="34" t="inlineStr">
        <is>
          <t>SCH-05-141</t>
        </is>
      </c>
      <c r="D1266" s="34" t="inlineStr">
        <is>
          <t>1.5.2 Testing and Commissioning - Dynamic Testing</t>
        </is>
      </c>
      <c r="E1266" s="34" t="inlineStr">
        <is>
          <t>New</t>
        </is>
      </c>
      <c r="F1266" s="14" t="inlineStr"/>
      <c r="G1266" s="34" t="inlineStr">
        <is>
          <t>Source assignment -- not individually reviewed</t>
        </is>
      </c>
      <c r="H1266" s="92" t="inlineStr">
        <is>
          <t>10 EVIDENCE &amp; DECISIONS</t>
        </is>
      </c>
    </row>
    <row r="1267" ht="49" customHeight="1">
      <c r="A1267" s="34" t="inlineStr">
        <is>
          <t>R864-v1</t>
        </is>
      </c>
      <c r="B1267" s="34" t="inlineStr">
        <is>
          <t>Contractor Programme</t>
        </is>
      </c>
      <c r="C1267" s="34" t="inlineStr">
        <is>
          <t>SCH-05-144</t>
        </is>
      </c>
      <c r="D1267" s="34" t="inlineStr">
        <is>
          <t>1.5.2 Testing and Commissioning - Dynamic Testing</t>
        </is>
      </c>
      <c r="E1267" s="34" t="inlineStr">
        <is>
          <t>New</t>
        </is>
      </c>
      <c r="F1267" s="14" t="inlineStr"/>
      <c r="G1267" s="34" t="inlineStr">
        <is>
          <t>Source assignment -- not individually reviewed</t>
        </is>
      </c>
      <c r="H1267" s="92" t="inlineStr">
        <is>
          <t>10 EVIDENCE &amp; DECISIONS</t>
        </is>
      </c>
    </row>
    <row r="1268" ht="49" customHeight="1">
      <c r="A1268" s="34" t="inlineStr">
        <is>
          <t>R867-v1</t>
        </is>
      </c>
      <c r="B1268" s="34" t="inlineStr">
        <is>
          <t>Contractor Programme</t>
        </is>
      </c>
      <c r="C1268" s="34" t="inlineStr">
        <is>
          <t>SCH-05-147</t>
        </is>
      </c>
      <c r="D1268" s="34" t="inlineStr">
        <is>
          <t>1.5.2 Testing and Commissioning - Dynamic Testing</t>
        </is>
      </c>
      <c r="E1268" s="34" t="inlineStr">
        <is>
          <t>New</t>
        </is>
      </c>
      <c r="F1268" s="14" t="inlineStr"/>
      <c r="G1268" s="34" t="inlineStr">
        <is>
          <t>Source assignment -- not individually reviewed</t>
        </is>
      </c>
      <c r="H1268" s="92" t="inlineStr">
        <is>
          <t>10 EVIDENCE &amp; DECISIONS</t>
        </is>
      </c>
    </row>
    <row r="1269" ht="49" customHeight="1">
      <c r="A1269" s="34" t="inlineStr">
        <is>
          <t>R870-v1</t>
        </is>
      </c>
      <c r="B1269" s="34" t="inlineStr">
        <is>
          <t>Contractor Programme</t>
        </is>
      </c>
      <c r="C1269" s="34" t="inlineStr">
        <is>
          <t>SCH-05-150</t>
        </is>
      </c>
      <c r="D1269" s="34" t="inlineStr">
        <is>
          <t>1.5.2 Testing and Commissioning - Dynamic Testing</t>
        </is>
      </c>
      <c r="E1269" s="34" t="inlineStr">
        <is>
          <t>New</t>
        </is>
      </c>
      <c r="F1269" s="14" t="inlineStr"/>
      <c r="G1269" s="34" t="inlineStr">
        <is>
          <t>Source assignment -- not individually reviewed</t>
        </is>
      </c>
      <c r="H1269" s="92" t="inlineStr">
        <is>
          <t>10 EVIDENCE &amp; DECISIONS</t>
        </is>
      </c>
    </row>
    <row r="1270" ht="49" customHeight="1">
      <c r="A1270" s="34" t="inlineStr">
        <is>
          <t>R873-v1</t>
        </is>
      </c>
      <c r="B1270" s="34" t="inlineStr">
        <is>
          <t>Contractor Programme</t>
        </is>
      </c>
      <c r="C1270" s="34" t="inlineStr">
        <is>
          <t>SCH-05-153</t>
        </is>
      </c>
      <c r="D1270" s="34" t="inlineStr">
        <is>
          <t>1.5.2 Testing and Commissioning - Dynamic Testing</t>
        </is>
      </c>
      <c r="E1270" s="34" t="inlineStr">
        <is>
          <t>New</t>
        </is>
      </c>
      <c r="F1270" s="14" t="inlineStr"/>
      <c r="G1270" s="34" t="inlineStr">
        <is>
          <t>Source assignment -- not individually reviewed</t>
        </is>
      </c>
      <c r="H1270" s="92" t="inlineStr">
        <is>
          <t>10 EVIDENCE &amp; DECISIONS</t>
        </is>
      </c>
    </row>
    <row r="1271" ht="49" customHeight="1">
      <c r="A1271" s="34" t="inlineStr">
        <is>
          <t>R876-v1</t>
        </is>
      </c>
      <c r="B1271" s="34" t="inlineStr">
        <is>
          <t>Contractor Programme</t>
        </is>
      </c>
      <c r="C1271" s="34" t="inlineStr">
        <is>
          <t>SCH-05-156</t>
        </is>
      </c>
      <c r="D1271" s="34" t="inlineStr">
        <is>
          <t>1.5.2 Testing and Commissioning - Dynamic Testing</t>
        </is>
      </c>
      <c r="E1271" s="34" t="inlineStr">
        <is>
          <t>New</t>
        </is>
      </c>
      <c r="F1271" s="14" t="inlineStr"/>
      <c r="G1271" s="34" t="inlineStr">
        <is>
          <t>Source assignment -- not individually reviewed</t>
        </is>
      </c>
      <c r="H1271" s="92" t="inlineStr">
        <is>
          <t>10 EVIDENCE &amp; DECISIONS</t>
        </is>
      </c>
    </row>
    <row r="1272" ht="49" customHeight="1">
      <c r="A1272" s="34" t="inlineStr">
        <is>
          <t>R879-v1</t>
        </is>
      </c>
      <c r="B1272" s="34" t="inlineStr">
        <is>
          <t>Contractor Programme</t>
        </is>
      </c>
      <c r="C1272" s="34" t="inlineStr">
        <is>
          <t>SCH-05-159</t>
        </is>
      </c>
      <c r="D1272" s="34" t="inlineStr">
        <is>
          <t>1.5.2 Testing and Commissioning - Dynamic Testing</t>
        </is>
      </c>
      <c r="E1272" s="34" t="inlineStr">
        <is>
          <t>New</t>
        </is>
      </c>
      <c r="F1272" s="14" t="inlineStr"/>
      <c r="G1272" s="34" t="inlineStr">
        <is>
          <t>Source assignment -- not individually reviewed</t>
        </is>
      </c>
      <c r="H1272" s="92" t="inlineStr">
        <is>
          <t>10 EVIDENCE &amp; DECISIONS</t>
        </is>
      </c>
    </row>
    <row r="1273" ht="49" customHeight="1">
      <c r="A1273" s="34" t="inlineStr">
        <is>
          <t>R882-v1</t>
        </is>
      </c>
      <c r="B1273" s="34" t="inlineStr">
        <is>
          <t>Contractor Programme</t>
        </is>
      </c>
      <c r="C1273" s="34" t="inlineStr">
        <is>
          <t>SCH-05-162</t>
        </is>
      </c>
      <c r="D1273" s="34" t="inlineStr">
        <is>
          <t>1.5.2 Testing and Commissioning - Dynamic Testing</t>
        </is>
      </c>
      <c r="E1273" s="34" t="inlineStr">
        <is>
          <t>New</t>
        </is>
      </c>
      <c r="F1273" s="14" t="inlineStr"/>
      <c r="G1273" s="34" t="inlineStr">
        <is>
          <t>Source assignment -- not individually reviewed</t>
        </is>
      </c>
      <c r="H1273" s="92" t="inlineStr">
        <is>
          <t>10 EVIDENCE &amp; DECISIONS</t>
        </is>
      </c>
    </row>
    <row r="1274" ht="49" customHeight="1">
      <c r="A1274" s="34" t="inlineStr">
        <is>
          <t>R885-v1</t>
        </is>
      </c>
      <c r="B1274" s="34" t="inlineStr">
        <is>
          <t>Contractor Programme</t>
        </is>
      </c>
      <c r="C1274" s="34" t="inlineStr">
        <is>
          <t>SCH-05-165</t>
        </is>
      </c>
      <c r="D1274" s="34" t="inlineStr">
        <is>
          <t>1.5.2 Testing and Commissioning - Dynamic Testing</t>
        </is>
      </c>
      <c r="E1274" s="34" t="inlineStr">
        <is>
          <t>New</t>
        </is>
      </c>
      <c r="F1274" s="14" t="inlineStr"/>
      <c r="G1274" s="34" t="inlineStr">
        <is>
          <t>Source assignment -- not individually reviewed</t>
        </is>
      </c>
      <c r="H1274" s="92" t="inlineStr">
        <is>
          <t>10 EVIDENCE &amp; DECISIONS</t>
        </is>
      </c>
    </row>
    <row r="1275" ht="49" customHeight="1">
      <c r="A1275" s="34" t="inlineStr">
        <is>
          <t>R888-v1</t>
        </is>
      </c>
      <c r="B1275" s="34" t="inlineStr">
        <is>
          <t>Contractor Programme</t>
        </is>
      </c>
      <c r="C1275" s="34" t="inlineStr">
        <is>
          <t>SCH-05-168</t>
        </is>
      </c>
      <c r="D1275" s="34" t="inlineStr">
        <is>
          <t>1.5.2 Testing and Commissioning - Dynamic Testing</t>
        </is>
      </c>
      <c r="E1275" s="34" t="inlineStr">
        <is>
          <t>New</t>
        </is>
      </c>
      <c r="F1275" s="14" t="inlineStr"/>
      <c r="G1275" s="34" t="inlineStr">
        <is>
          <t>Source assignment -- not individually reviewed</t>
        </is>
      </c>
      <c r="H1275" s="92" t="inlineStr">
        <is>
          <t>10 EVIDENCE &amp; DECISIONS</t>
        </is>
      </c>
    </row>
    <row r="1276" ht="49" customHeight="1">
      <c r="A1276" s="34" t="inlineStr">
        <is>
          <t>R891-v1</t>
        </is>
      </c>
      <c r="B1276" s="34" t="inlineStr">
        <is>
          <t>Contractor Programme</t>
        </is>
      </c>
      <c r="C1276" s="34" t="inlineStr">
        <is>
          <t>SCH-05-171</t>
        </is>
      </c>
      <c r="D1276" s="34" t="inlineStr">
        <is>
          <t>1.5.2 Testing and Commissioning - Dynamic Testing</t>
        </is>
      </c>
      <c r="E1276" s="34" t="inlineStr">
        <is>
          <t>New</t>
        </is>
      </c>
      <c r="F1276" s="14" t="inlineStr"/>
      <c r="G1276" s="34" t="inlineStr">
        <is>
          <t>Source assignment -- not individually reviewed</t>
        </is>
      </c>
      <c r="H1276" s="92" t="inlineStr">
        <is>
          <t>10 EVIDENCE &amp; DECISIONS</t>
        </is>
      </c>
    </row>
    <row r="1277" ht="49" customHeight="1">
      <c r="A1277" s="34" t="inlineStr">
        <is>
          <t>R894-v1</t>
        </is>
      </c>
      <c r="B1277" s="34" t="inlineStr">
        <is>
          <t>Contractor Programme</t>
        </is>
      </c>
      <c r="C1277" s="34" t="inlineStr">
        <is>
          <t>SCH-05-174</t>
        </is>
      </c>
      <c r="D1277" s="34" t="inlineStr">
        <is>
          <t>1.5.2 Testing and Commissioning - Dynamic Testing</t>
        </is>
      </c>
      <c r="E1277" s="34" t="inlineStr">
        <is>
          <t>New</t>
        </is>
      </c>
      <c r="F1277" s="14" t="inlineStr"/>
      <c r="G1277" s="34" t="inlineStr">
        <is>
          <t>Source assignment -- not individually reviewed</t>
        </is>
      </c>
      <c r="H1277" s="92" t="inlineStr">
        <is>
          <t>10 EVIDENCE &amp; DECISIONS</t>
        </is>
      </c>
    </row>
    <row r="1278" ht="49" customHeight="1">
      <c r="A1278" s="34" t="inlineStr">
        <is>
          <t>R897-v1</t>
        </is>
      </c>
      <c r="B1278" s="34" t="inlineStr">
        <is>
          <t>Contractor Programme</t>
        </is>
      </c>
      <c r="C1278" s="34" t="inlineStr">
        <is>
          <t>SCH-05-177</t>
        </is>
      </c>
      <c r="D1278" s="34" t="inlineStr">
        <is>
          <t>1.5.2 Testing and Commissioning - Dynamic Testing</t>
        </is>
      </c>
      <c r="E1278" s="34" t="inlineStr">
        <is>
          <t>New</t>
        </is>
      </c>
      <c r="F1278" s="14" t="inlineStr"/>
      <c r="G1278" s="34" t="inlineStr">
        <is>
          <t>Source assignment -- not individually reviewed</t>
        </is>
      </c>
      <c r="H1278" s="92" t="inlineStr">
        <is>
          <t>10 EVIDENCE &amp; DECISIONS</t>
        </is>
      </c>
    </row>
    <row r="1279" ht="49" customHeight="1">
      <c r="A1279" s="34" t="inlineStr">
        <is>
          <t>R900-v1</t>
        </is>
      </c>
      <c r="B1279" s="34" t="inlineStr">
        <is>
          <t>Contractor Programme</t>
        </is>
      </c>
      <c r="C1279" s="34" t="inlineStr">
        <is>
          <t>SCH-05-180</t>
        </is>
      </c>
      <c r="D1279" s="34" t="inlineStr">
        <is>
          <t>1.5.2 Testing and Commissioning - Dynamic Testing</t>
        </is>
      </c>
      <c r="E1279" s="34" t="inlineStr">
        <is>
          <t>New</t>
        </is>
      </c>
      <c r="F1279" s="14" t="inlineStr"/>
      <c r="G1279" s="34" t="inlineStr">
        <is>
          <t>Source assignment -- not individually reviewed</t>
        </is>
      </c>
      <c r="H1279" s="92" t="inlineStr">
        <is>
          <t>10 EVIDENCE &amp; DECISIONS</t>
        </is>
      </c>
    </row>
    <row r="1280" ht="34" customHeight="1">
      <c r="A1280" s="34" t="inlineStr">
        <is>
          <t>R1613-v1</t>
        </is>
      </c>
      <c r="B1280" s="34" t="inlineStr">
        <is>
          <t>Commercial Package Register</t>
        </is>
      </c>
      <c r="C1280" s="34" t="inlineStr">
        <is>
          <t>PKG-051</t>
        </is>
      </c>
      <c r="D1280" s="34" t="inlineStr">
        <is>
          <t>1.6 Program Management</t>
        </is>
      </c>
      <c r="E1280" s="34" t="inlineStr">
        <is>
          <t>New</t>
        </is>
      </c>
      <c r="F1280" s="14" t="inlineStr"/>
      <c r="G1280" s="34" t="inlineStr">
        <is>
          <t>Source assignment -- not individually reviewed</t>
        </is>
      </c>
      <c r="H1280" s="92" t="inlineStr">
        <is>
          <t>10 EVIDENCE &amp; DECISIONS</t>
        </is>
      </c>
    </row>
    <row r="1281" ht="34" customHeight="1">
      <c r="A1281" s="34" t="inlineStr">
        <is>
          <t>R1614-v1</t>
        </is>
      </c>
      <c r="B1281" s="34" t="inlineStr">
        <is>
          <t>Commercial Package Register</t>
        </is>
      </c>
      <c r="C1281" s="34" t="inlineStr">
        <is>
          <t>PKG-052</t>
        </is>
      </c>
      <c r="D1281" s="34" t="inlineStr">
        <is>
          <t>1.6 Program Management</t>
        </is>
      </c>
      <c r="E1281" s="34" t="inlineStr">
        <is>
          <t>New</t>
        </is>
      </c>
      <c r="F1281" s="14" t="inlineStr"/>
      <c r="G1281" s="34" t="inlineStr">
        <is>
          <t>Source assignment -- not individually reviewed</t>
        </is>
      </c>
      <c r="H1281" s="92" t="inlineStr">
        <is>
          <t>10 EVIDENCE &amp; DECISIONS</t>
        </is>
      </c>
    </row>
    <row r="1282" ht="34" customHeight="1">
      <c r="A1282" s="34" t="inlineStr">
        <is>
          <t>R1615-v1</t>
        </is>
      </c>
      <c r="B1282" s="34" t="inlineStr">
        <is>
          <t>Commercial Package Register</t>
        </is>
      </c>
      <c r="C1282" s="34" t="inlineStr">
        <is>
          <t>PKG-053</t>
        </is>
      </c>
      <c r="D1282" s="34" t="inlineStr">
        <is>
          <t>1.6 Program Management</t>
        </is>
      </c>
      <c r="E1282" s="34" t="inlineStr">
        <is>
          <t>New</t>
        </is>
      </c>
      <c r="F1282" s="14" t="inlineStr"/>
      <c r="G1282" s="34" t="inlineStr">
        <is>
          <t>Source assignment -- not individually reviewed</t>
        </is>
      </c>
      <c r="H1282" s="92" t="inlineStr">
        <is>
          <t>10 EVIDENCE &amp; DECISIONS</t>
        </is>
      </c>
    </row>
    <row r="1283" ht="34" customHeight="1">
      <c r="A1283" s="34" t="inlineStr">
        <is>
          <t>R1616-v1</t>
        </is>
      </c>
      <c r="B1283" s="34" t="inlineStr">
        <is>
          <t>Commercial Package Register</t>
        </is>
      </c>
      <c r="C1283" s="34" t="inlineStr">
        <is>
          <t>PKG-054</t>
        </is>
      </c>
      <c r="D1283" s="34" t="inlineStr">
        <is>
          <t>1.6 Program Management</t>
        </is>
      </c>
      <c r="E1283" s="34" t="inlineStr">
        <is>
          <t>New</t>
        </is>
      </c>
      <c r="F1283" s="14" t="inlineStr"/>
      <c r="G1283" s="34" t="inlineStr">
        <is>
          <t>Source assignment -- not individually reviewed</t>
        </is>
      </c>
      <c r="H1283" s="92" t="inlineStr">
        <is>
          <t>10 EVIDENCE &amp; DECISIONS</t>
        </is>
      </c>
    </row>
    <row r="1284" ht="34" customHeight="1">
      <c r="A1284" s="34" t="inlineStr">
        <is>
          <t>R1617-v1</t>
        </is>
      </c>
      <c r="B1284" s="34" t="inlineStr">
        <is>
          <t>Commercial Package Register</t>
        </is>
      </c>
      <c r="C1284" s="34" t="inlineStr">
        <is>
          <t>PKG-055</t>
        </is>
      </c>
      <c r="D1284" s="34" t="inlineStr">
        <is>
          <t>1.6 Program Management</t>
        </is>
      </c>
      <c r="E1284" s="34" t="inlineStr">
        <is>
          <t>New</t>
        </is>
      </c>
      <c r="F1284" s="14" t="inlineStr"/>
      <c r="G1284" s="34" t="inlineStr">
        <is>
          <t>Source assignment -- not individually reviewed</t>
        </is>
      </c>
      <c r="H1284" s="92" t="inlineStr">
        <is>
          <t>10 EVIDENCE &amp; DECISIONS</t>
        </is>
      </c>
    </row>
    <row r="1285" ht="34" customHeight="1">
      <c r="A1285" s="34" t="inlineStr">
        <is>
          <t>R1618-v1</t>
        </is>
      </c>
      <c r="B1285" s="34" t="inlineStr">
        <is>
          <t>Commercial Package Register</t>
        </is>
      </c>
      <c r="C1285" s="34" t="inlineStr">
        <is>
          <t>PKG-056</t>
        </is>
      </c>
      <c r="D1285" s="34" t="inlineStr">
        <is>
          <t>1.6 Program Management</t>
        </is>
      </c>
      <c r="E1285" s="34" t="inlineStr">
        <is>
          <t>New</t>
        </is>
      </c>
      <c r="F1285" s="14" t="inlineStr"/>
      <c r="G1285" s="34" t="inlineStr">
        <is>
          <t>Source assignment -- not individually reviewed</t>
        </is>
      </c>
      <c r="H1285" s="92" t="inlineStr">
        <is>
          <t>10 EVIDENCE &amp; DECISIONS</t>
        </is>
      </c>
    </row>
    <row r="1286" ht="34" customHeight="1">
      <c r="A1286" s="34" t="inlineStr">
        <is>
          <t>R1619-v1</t>
        </is>
      </c>
      <c r="B1286" s="34" t="inlineStr">
        <is>
          <t>Commercial Package Register</t>
        </is>
      </c>
      <c r="C1286" s="34" t="inlineStr">
        <is>
          <t>PKG-057</t>
        </is>
      </c>
      <c r="D1286" s="34" t="inlineStr">
        <is>
          <t>1.6 Program Management</t>
        </is>
      </c>
      <c r="E1286" s="34" t="inlineStr">
        <is>
          <t>New</t>
        </is>
      </c>
      <c r="F1286" s="14" t="inlineStr"/>
      <c r="G1286" s="34" t="inlineStr">
        <is>
          <t>Source assignment -- not individually reviewed</t>
        </is>
      </c>
      <c r="H1286" s="92" t="inlineStr">
        <is>
          <t>10 EVIDENCE &amp; DECISIONS</t>
        </is>
      </c>
    </row>
    <row r="1287" ht="34" customHeight="1">
      <c r="A1287" s="34" t="inlineStr">
        <is>
          <t>R1620-v1</t>
        </is>
      </c>
      <c r="B1287" s="34" t="inlineStr">
        <is>
          <t>Commercial Package Register</t>
        </is>
      </c>
      <c r="C1287" s="34" t="inlineStr">
        <is>
          <t>PKG-058</t>
        </is>
      </c>
      <c r="D1287" s="34" t="inlineStr">
        <is>
          <t>1.6 Program Management</t>
        </is>
      </c>
      <c r="E1287" s="34" t="inlineStr">
        <is>
          <t>New</t>
        </is>
      </c>
      <c r="F1287" s="14" t="inlineStr"/>
      <c r="G1287" s="34" t="inlineStr">
        <is>
          <t>Source assignment -- not individually reviewed</t>
        </is>
      </c>
      <c r="H1287" s="92" t="inlineStr">
        <is>
          <t>10 EVIDENCE &amp; DECISIONS</t>
        </is>
      </c>
    </row>
    <row r="1288" ht="34" customHeight="1">
      <c r="A1288" s="34" t="inlineStr">
        <is>
          <t>R1621-v1</t>
        </is>
      </c>
      <c r="B1288" s="34" t="inlineStr">
        <is>
          <t>Commercial Package Register</t>
        </is>
      </c>
      <c r="C1288" s="34" t="inlineStr">
        <is>
          <t>PKG-059</t>
        </is>
      </c>
      <c r="D1288" s="34" t="inlineStr">
        <is>
          <t>1.6 Program Management</t>
        </is>
      </c>
      <c r="E1288" s="34" t="inlineStr">
        <is>
          <t>New</t>
        </is>
      </c>
      <c r="F1288" s="14" t="inlineStr"/>
      <c r="G1288" s="34" t="inlineStr">
        <is>
          <t>Source assignment -- not individually reviewed</t>
        </is>
      </c>
      <c r="H1288" s="92" t="inlineStr">
        <is>
          <t>10 EVIDENCE &amp; DECISIONS</t>
        </is>
      </c>
    </row>
    <row r="1289" ht="34" customHeight="1">
      <c r="A1289" s="34" t="inlineStr">
        <is>
          <t>R1622-v1</t>
        </is>
      </c>
      <c r="B1289" s="34" t="inlineStr">
        <is>
          <t>Commercial Package Register</t>
        </is>
      </c>
      <c r="C1289" s="34" t="inlineStr">
        <is>
          <t>PKG-060</t>
        </is>
      </c>
      <c r="D1289" s="34" t="inlineStr">
        <is>
          <t>1.6 Program Management</t>
        </is>
      </c>
      <c r="E1289" s="34" t="inlineStr">
        <is>
          <t>New</t>
        </is>
      </c>
      <c r="F1289" s="14" t="inlineStr"/>
      <c r="G1289" s="34" t="inlineStr">
        <is>
          <t>Source assignment -- not individually reviewed</t>
        </is>
      </c>
      <c r="H1289" s="92" t="inlineStr">
        <is>
          <t>10 EVIDENCE &amp; DECISIONS</t>
        </is>
      </c>
    </row>
    <row r="1290" ht="34" customHeight="1">
      <c r="A1290" s="34" t="inlineStr">
        <is>
          <t>R1483-v1</t>
        </is>
      </c>
      <c r="B1290" s="34" t="inlineStr">
        <is>
          <t>Cost &amp; Forecast Control Accounts</t>
        </is>
      </c>
      <c r="C1290" s="34" t="inlineStr">
        <is>
          <t>CST-06-001</t>
        </is>
      </c>
      <c r="D1290" s="34" t="inlineStr">
        <is>
          <t>1.6.1 Program Management - Program Controls</t>
        </is>
      </c>
      <c r="E1290" s="34" t="inlineStr">
        <is>
          <t>New</t>
        </is>
      </c>
      <c r="F1290" s="14" t="inlineStr"/>
      <c r="G1290" s="34" t="inlineStr">
        <is>
          <t>Source assignment -- not individually reviewed</t>
        </is>
      </c>
      <c r="H1290" s="92" t="inlineStr">
        <is>
          <t>10 EVIDENCE &amp; DECISIONS</t>
        </is>
      </c>
    </row>
    <row r="1291" ht="34" customHeight="1">
      <c r="A1291" s="34" t="inlineStr">
        <is>
          <t>R1485-v1</t>
        </is>
      </c>
      <c r="B1291" s="34" t="inlineStr">
        <is>
          <t>Cost &amp; Forecast Control Accounts</t>
        </is>
      </c>
      <c r="C1291" s="34" t="inlineStr">
        <is>
          <t>CST-06-003</t>
        </is>
      </c>
      <c r="D1291" s="34" t="inlineStr">
        <is>
          <t>1.6.1 Program Management - Program Controls</t>
        </is>
      </c>
      <c r="E1291" s="34" t="inlineStr">
        <is>
          <t>New</t>
        </is>
      </c>
      <c r="F1291" s="14" t="inlineStr"/>
      <c r="G1291" s="34" t="inlineStr">
        <is>
          <t>Source assignment -- not individually reviewed</t>
        </is>
      </c>
      <c r="H1291" s="92" t="inlineStr">
        <is>
          <t>10 EVIDENCE &amp; DECISIONS</t>
        </is>
      </c>
    </row>
    <row r="1292" ht="34" customHeight="1">
      <c r="A1292" s="34" t="inlineStr">
        <is>
          <t>R1487-v1</t>
        </is>
      </c>
      <c r="B1292" s="34" t="inlineStr">
        <is>
          <t>Cost &amp; Forecast Control Accounts</t>
        </is>
      </c>
      <c r="C1292" s="34" t="inlineStr">
        <is>
          <t>CST-06-005</t>
        </is>
      </c>
      <c r="D1292" s="34" t="inlineStr">
        <is>
          <t>1.6.1 Program Management - Program Controls</t>
        </is>
      </c>
      <c r="E1292" s="34" t="inlineStr">
        <is>
          <t>New</t>
        </is>
      </c>
      <c r="F1292" s="14" t="inlineStr"/>
      <c r="G1292" s="34" t="inlineStr">
        <is>
          <t>Source assignment -- not individually reviewed</t>
        </is>
      </c>
      <c r="H1292" s="92" t="inlineStr">
        <is>
          <t>10 EVIDENCE &amp; DECISIONS</t>
        </is>
      </c>
    </row>
    <row r="1293" ht="34" customHeight="1">
      <c r="A1293" s="34" t="inlineStr">
        <is>
          <t>R1489-v1</t>
        </is>
      </c>
      <c r="B1293" s="34" t="inlineStr">
        <is>
          <t>Cost &amp; Forecast Control Accounts</t>
        </is>
      </c>
      <c r="C1293" s="34" t="inlineStr">
        <is>
          <t>CST-06-007</t>
        </is>
      </c>
      <c r="D1293" s="34" t="inlineStr">
        <is>
          <t>1.6.1 Program Management - Program Controls</t>
        </is>
      </c>
      <c r="E1293" s="34" t="inlineStr">
        <is>
          <t>New</t>
        </is>
      </c>
      <c r="F1293" s="14" t="inlineStr"/>
      <c r="G1293" s="34" t="inlineStr">
        <is>
          <t>Source assignment -- not individually reviewed</t>
        </is>
      </c>
      <c r="H1293" s="92" t="inlineStr">
        <is>
          <t>10 EVIDENCE &amp; DECISIONS</t>
        </is>
      </c>
    </row>
    <row r="1294" ht="34" customHeight="1">
      <c r="A1294" s="34" t="inlineStr">
        <is>
          <t>R1491-v1</t>
        </is>
      </c>
      <c r="B1294" s="34" t="inlineStr">
        <is>
          <t>Cost &amp; Forecast Control Accounts</t>
        </is>
      </c>
      <c r="C1294" s="34" t="inlineStr">
        <is>
          <t>CST-06-009</t>
        </is>
      </c>
      <c r="D1294" s="34" t="inlineStr">
        <is>
          <t>1.6.1 Program Management - Program Controls</t>
        </is>
      </c>
      <c r="E1294" s="34" t="inlineStr">
        <is>
          <t>New</t>
        </is>
      </c>
      <c r="F1294" s="14" t="inlineStr"/>
      <c r="G1294" s="34" t="inlineStr">
        <is>
          <t>Source assignment -- not individually reviewed</t>
        </is>
      </c>
      <c r="H1294" s="92" t="inlineStr">
        <is>
          <t>10 EVIDENCE &amp; DECISIONS</t>
        </is>
      </c>
    </row>
    <row r="1295" ht="34" customHeight="1">
      <c r="A1295" s="34" t="inlineStr">
        <is>
          <t>R1493-v1</t>
        </is>
      </c>
      <c r="B1295" s="34" t="inlineStr">
        <is>
          <t>Cost &amp; Forecast Control Accounts</t>
        </is>
      </c>
      <c r="C1295" s="34" t="inlineStr">
        <is>
          <t>CST-06-011</t>
        </is>
      </c>
      <c r="D1295" s="34" t="inlineStr">
        <is>
          <t>1.6.1 Program Management - Program Controls</t>
        </is>
      </c>
      <c r="E1295" s="34" t="inlineStr">
        <is>
          <t>New</t>
        </is>
      </c>
      <c r="F1295" s="14" t="inlineStr"/>
      <c r="G1295" s="34" t="inlineStr">
        <is>
          <t>Source assignment -- not individually reviewed</t>
        </is>
      </c>
      <c r="H1295" s="92" t="inlineStr">
        <is>
          <t>10 EVIDENCE &amp; DECISIONS</t>
        </is>
      </c>
    </row>
    <row r="1296" ht="34" customHeight="1">
      <c r="A1296" s="34" t="inlineStr">
        <is>
          <t>R1495-v1</t>
        </is>
      </c>
      <c r="B1296" s="34" t="inlineStr">
        <is>
          <t>Cost &amp; Forecast Control Accounts</t>
        </is>
      </c>
      <c r="C1296" s="34" t="inlineStr">
        <is>
          <t>CST-06-013</t>
        </is>
      </c>
      <c r="D1296" s="34" t="inlineStr">
        <is>
          <t>1.6.1 Program Management - Program Controls</t>
        </is>
      </c>
      <c r="E1296" s="34" t="inlineStr">
        <is>
          <t>New</t>
        </is>
      </c>
      <c r="F1296" s="14" t="inlineStr"/>
      <c r="G1296" s="34" t="inlineStr">
        <is>
          <t>Source assignment -- not individually reviewed</t>
        </is>
      </c>
      <c r="H1296" s="92" t="inlineStr">
        <is>
          <t>10 EVIDENCE &amp; DECISIONS</t>
        </is>
      </c>
    </row>
    <row r="1297" ht="34" customHeight="1">
      <c r="A1297" s="34" t="inlineStr">
        <is>
          <t>R1497-v1</t>
        </is>
      </c>
      <c r="B1297" s="34" t="inlineStr">
        <is>
          <t>Cost &amp; Forecast Control Accounts</t>
        </is>
      </c>
      <c r="C1297" s="34" t="inlineStr">
        <is>
          <t>CST-06-015</t>
        </is>
      </c>
      <c r="D1297" s="34" t="inlineStr">
        <is>
          <t>1.6.1 Program Management - Program Controls</t>
        </is>
      </c>
      <c r="E1297" s="34" t="inlineStr">
        <is>
          <t>New</t>
        </is>
      </c>
      <c r="F1297" s="14" t="inlineStr"/>
      <c r="G1297" s="34" t="inlineStr">
        <is>
          <t>Source assignment -- not individually reviewed</t>
        </is>
      </c>
      <c r="H1297" s="92" t="inlineStr">
        <is>
          <t>10 EVIDENCE &amp; DECISIONS</t>
        </is>
      </c>
    </row>
    <row r="1298" ht="34" customHeight="1">
      <c r="A1298" s="34" t="inlineStr">
        <is>
          <t>R1499-v1</t>
        </is>
      </c>
      <c r="B1298" s="34" t="inlineStr">
        <is>
          <t>Cost &amp; Forecast Control Accounts</t>
        </is>
      </c>
      <c r="C1298" s="34" t="inlineStr">
        <is>
          <t>CST-06-017</t>
        </is>
      </c>
      <c r="D1298" s="34" t="inlineStr">
        <is>
          <t>1.6.1 Program Management - Program Controls</t>
        </is>
      </c>
      <c r="E1298" s="34" t="inlineStr">
        <is>
          <t>New</t>
        </is>
      </c>
      <c r="F1298" s="14" t="inlineStr"/>
      <c r="G1298" s="34" t="inlineStr">
        <is>
          <t>Source assignment -- not individually reviewed</t>
        </is>
      </c>
      <c r="H1298" s="92" t="inlineStr">
        <is>
          <t>10 EVIDENCE &amp; DECISIONS</t>
        </is>
      </c>
    </row>
    <row r="1299" ht="34" customHeight="1">
      <c r="A1299" s="34" t="inlineStr">
        <is>
          <t>R1501-v1</t>
        </is>
      </c>
      <c r="B1299" s="34" t="inlineStr">
        <is>
          <t>Cost &amp; Forecast Control Accounts</t>
        </is>
      </c>
      <c r="C1299" s="34" t="inlineStr">
        <is>
          <t>CST-06-019</t>
        </is>
      </c>
      <c r="D1299" s="34" t="inlineStr">
        <is>
          <t>1.6.1 Program Management - Program Controls</t>
        </is>
      </c>
      <c r="E1299" s="34" t="inlineStr">
        <is>
          <t>New</t>
        </is>
      </c>
      <c r="F1299" s="14" t="inlineStr"/>
      <c r="G1299" s="34" t="inlineStr">
        <is>
          <t>Source assignment -- not individually reviewed</t>
        </is>
      </c>
      <c r="H1299" s="92" t="inlineStr">
        <is>
          <t>10 EVIDENCE &amp; DECISIONS</t>
        </is>
      </c>
    </row>
    <row r="1300" ht="34" customHeight="1">
      <c r="A1300" s="34" t="inlineStr">
        <is>
          <t>R1503-v1</t>
        </is>
      </c>
      <c r="B1300" s="34" t="inlineStr">
        <is>
          <t>Cost &amp; Forecast Control Accounts</t>
        </is>
      </c>
      <c r="C1300" s="34" t="inlineStr">
        <is>
          <t>CST-06-021</t>
        </is>
      </c>
      <c r="D1300" s="34" t="inlineStr">
        <is>
          <t>1.6.1 Program Management - Program Controls</t>
        </is>
      </c>
      <c r="E1300" s="34" t="inlineStr">
        <is>
          <t>New</t>
        </is>
      </c>
      <c r="F1300" s="14" t="inlineStr"/>
      <c r="G1300" s="34" t="inlineStr">
        <is>
          <t>Source assignment -- not individually reviewed</t>
        </is>
      </c>
      <c r="H1300" s="92" t="inlineStr">
        <is>
          <t>10 EVIDENCE &amp; DECISIONS</t>
        </is>
      </c>
    </row>
    <row r="1301" ht="34" customHeight="1">
      <c r="A1301" s="34" t="inlineStr">
        <is>
          <t>R1505-v1</t>
        </is>
      </c>
      <c r="B1301" s="34" t="inlineStr">
        <is>
          <t>Cost &amp; Forecast Control Accounts</t>
        </is>
      </c>
      <c r="C1301" s="34" t="inlineStr">
        <is>
          <t>CST-06-023</t>
        </is>
      </c>
      <c r="D1301" s="34" t="inlineStr">
        <is>
          <t>1.6.1 Program Management - Program Controls</t>
        </is>
      </c>
      <c r="E1301" s="34" t="inlineStr">
        <is>
          <t>New</t>
        </is>
      </c>
      <c r="F1301" s="14" t="inlineStr"/>
      <c r="G1301" s="34" t="inlineStr">
        <is>
          <t>Source assignment -- not individually reviewed</t>
        </is>
      </c>
      <c r="H1301" s="92" t="inlineStr">
        <is>
          <t>10 EVIDENCE &amp; DECISIONS</t>
        </is>
      </c>
    </row>
    <row r="1302" ht="34" customHeight="1">
      <c r="A1302" s="34" t="inlineStr">
        <is>
          <t>R1507-v1</t>
        </is>
      </c>
      <c r="B1302" s="34" t="inlineStr">
        <is>
          <t>Cost &amp; Forecast Control Accounts</t>
        </is>
      </c>
      <c r="C1302" s="34" t="inlineStr">
        <is>
          <t>CST-06-025</t>
        </is>
      </c>
      <c r="D1302" s="34" t="inlineStr">
        <is>
          <t>1.6.1 Program Management - Program Controls</t>
        </is>
      </c>
      <c r="E1302" s="34" t="inlineStr">
        <is>
          <t>New</t>
        </is>
      </c>
      <c r="F1302" s="14" t="inlineStr"/>
      <c r="G1302" s="34" t="inlineStr">
        <is>
          <t>Source assignment -- not individually reviewed</t>
        </is>
      </c>
      <c r="H1302" s="92" t="inlineStr">
        <is>
          <t>10 EVIDENCE &amp; DECISIONS</t>
        </is>
      </c>
    </row>
    <row r="1303" ht="34" customHeight="1">
      <c r="A1303" s="34" t="inlineStr">
        <is>
          <t>R1509-v1</t>
        </is>
      </c>
      <c r="B1303" s="34" t="inlineStr">
        <is>
          <t>Cost &amp; Forecast Control Accounts</t>
        </is>
      </c>
      <c r="C1303" s="34" t="inlineStr">
        <is>
          <t>CST-06-027</t>
        </is>
      </c>
      <c r="D1303" s="34" t="inlineStr">
        <is>
          <t>1.6.1 Program Management - Program Controls</t>
        </is>
      </c>
      <c r="E1303" s="34" t="inlineStr">
        <is>
          <t>New</t>
        </is>
      </c>
      <c r="F1303" s="14" t="inlineStr"/>
      <c r="G1303" s="34" t="inlineStr">
        <is>
          <t>Source assignment -- not individually reviewed</t>
        </is>
      </c>
      <c r="H1303" s="92" t="inlineStr">
        <is>
          <t>10 EVIDENCE &amp; DECISIONS</t>
        </is>
      </c>
    </row>
    <row r="1304" ht="34" customHeight="1">
      <c r="A1304" s="34" t="inlineStr">
        <is>
          <t>R1511-v1</t>
        </is>
      </c>
      <c r="B1304" s="34" t="inlineStr">
        <is>
          <t>Cost &amp; Forecast Control Accounts</t>
        </is>
      </c>
      <c r="C1304" s="34" t="inlineStr">
        <is>
          <t>CST-06-029</t>
        </is>
      </c>
      <c r="D1304" s="34" t="inlineStr">
        <is>
          <t>1.6.1 Program Management - Program Controls</t>
        </is>
      </c>
      <c r="E1304" s="34" t="inlineStr">
        <is>
          <t>New</t>
        </is>
      </c>
      <c r="F1304" s="14" t="inlineStr"/>
      <c r="G1304" s="34" t="inlineStr">
        <is>
          <t>Source assignment -- not individually reviewed</t>
        </is>
      </c>
      <c r="H1304" s="92" t="inlineStr">
        <is>
          <t>10 EVIDENCE &amp; DECISIONS</t>
        </is>
      </c>
    </row>
    <row r="1305" ht="34" customHeight="1">
      <c r="A1305" s="34" t="inlineStr">
        <is>
          <t>R1513-v1</t>
        </is>
      </c>
      <c r="B1305" s="34" t="inlineStr">
        <is>
          <t>Cost &amp; Forecast Control Accounts</t>
        </is>
      </c>
      <c r="C1305" s="34" t="inlineStr">
        <is>
          <t>CST-06-031</t>
        </is>
      </c>
      <c r="D1305" s="34" t="inlineStr">
        <is>
          <t>1.6.1 Program Management - Program Controls</t>
        </is>
      </c>
      <c r="E1305" s="34" t="inlineStr">
        <is>
          <t>New</t>
        </is>
      </c>
      <c r="F1305" s="14" t="inlineStr"/>
      <c r="G1305" s="34" t="inlineStr">
        <is>
          <t>Source assignment -- not individually reviewed</t>
        </is>
      </c>
      <c r="H1305" s="92" t="inlineStr">
        <is>
          <t>10 EVIDENCE &amp; DECISIONS</t>
        </is>
      </c>
    </row>
    <row r="1306" ht="34" customHeight="1">
      <c r="A1306" s="34" t="inlineStr">
        <is>
          <t>R1515-v1</t>
        </is>
      </c>
      <c r="B1306" s="34" t="inlineStr">
        <is>
          <t>Cost &amp; Forecast Control Accounts</t>
        </is>
      </c>
      <c r="C1306" s="34" t="inlineStr">
        <is>
          <t>CST-06-033</t>
        </is>
      </c>
      <c r="D1306" s="34" t="inlineStr">
        <is>
          <t>1.6.1 Program Management - Program Controls</t>
        </is>
      </c>
      <c r="E1306" s="34" t="inlineStr">
        <is>
          <t>New</t>
        </is>
      </c>
      <c r="F1306" s="14" t="inlineStr"/>
      <c r="G1306" s="34" t="inlineStr">
        <is>
          <t>Source assignment -- not individually reviewed</t>
        </is>
      </c>
      <c r="H1306" s="92" t="inlineStr">
        <is>
          <t>10 EVIDENCE &amp; DECISIONS</t>
        </is>
      </c>
    </row>
    <row r="1307" ht="34" customHeight="1">
      <c r="A1307" s="34" t="inlineStr">
        <is>
          <t>R1517-v1</t>
        </is>
      </c>
      <c r="B1307" s="34" t="inlineStr">
        <is>
          <t>Cost &amp; Forecast Control Accounts</t>
        </is>
      </c>
      <c r="C1307" s="34" t="inlineStr">
        <is>
          <t>CST-06-035</t>
        </is>
      </c>
      <c r="D1307" s="34" t="inlineStr">
        <is>
          <t>1.6.1 Program Management - Program Controls</t>
        </is>
      </c>
      <c r="E1307" s="34" t="inlineStr">
        <is>
          <t>New</t>
        </is>
      </c>
      <c r="F1307" s="14" t="inlineStr"/>
      <c r="G1307" s="34" t="inlineStr">
        <is>
          <t>Source assignment -- not individually reviewed</t>
        </is>
      </c>
      <c r="H1307" s="92" t="inlineStr">
        <is>
          <t>10 EVIDENCE &amp; DECISIONS</t>
        </is>
      </c>
    </row>
    <row r="1308" ht="34" customHeight="1">
      <c r="A1308" s="34" t="inlineStr">
        <is>
          <t>R1519-v1</t>
        </is>
      </c>
      <c r="B1308" s="34" t="inlineStr">
        <is>
          <t>Cost &amp; Forecast Control Accounts</t>
        </is>
      </c>
      <c r="C1308" s="34" t="inlineStr">
        <is>
          <t>CST-06-037</t>
        </is>
      </c>
      <c r="D1308" s="34" t="inlineStr">
        <is>
          <t>1.6.1 Program Management - Program Controls</t>
        </is>
      </c>
      <c r="E1308" s="34" t="inlineStr">
        <is>
          <t>New</t>
        </is>
      </c>
      <c r="F1308" s="14" t="inlineStr"/>
      <c r="G1308" s="34" t="inlineStr">
        <is>
          <t>Source assignment -- not individually reviewed</t>
        </is>
      </c>
      <c r="H1308" s="92" t="inlineStr">
        <is>
          <t>10 EVIDENCE &amp; DECISIONS</t>
        </is>
      </c>
    </row>
    <row r="1309" ht="34" customHeight="1">
      <c r="A1309" s="34" t="inlineStr">
        <is>
          <t>R1521-v1</t>
        </is>
      </c>
      <c r="B1309" s="34" t="inlineStr">
        <is>
          <t>Cost &amp; Forecast Control Accounts</t>
        </is>
      </c>
      <c r="C1309" s="34" t="inlineStr">
        <is>
          <t>CST-06-039</t>
        </is>
      </c>
      <c r="D1309" s="34" t="inlineStr">
        <is>
          <t>1.6.1 Program Management - Program Controls</t>
        </is>
      </c>
      <c r="E1309" s="34" t="inlineStr">
        <is>
          <t>New</t>
        </is>
      </c>
      <c r="F1309" s="14" t="inlineStr"/>
      <c r="G1309" s="34" t="inlineStr">
        <is>
          <t>Source assignment -- not individually reviewed</t>
        </is>
      </c>
      <c r="H1309" s="92" t="inlineStr">
        <is>
          <t>10 EVIDENCE &amp; DECISIONS</t>
        </is>
      </c>
    </row>
    <row r="1310" ht="34" customHeight="1">
      <c r="A1310" s="34" t="inlineStr">
        <is>
          <t>R1523-v1</t>
        </is>
      </c>
      <c r="B1310" s="34" t="inlineStr">
        <is>
          <t>Cost &amp; Forecast Control Accounts</t>
        </is>
      </c>
      <c r="C1310" s="34" t="inlineStr">
        <is>
          <t>CST-06-041</t>
        </is>
      </c>
      <c r="D1310" s="34" t="inlineStr">
        <is>
          <t>1.6.1 Program Management - Program Controls</t>
        </is>
      </c>
      <c r="E1310" s="34" t="inlineStr">
        <is>
          <t>New</t>
        </is>
      </c>
      <c r="F1310" s="14" t="inlineStr"/>
      <c r="G1310" s="34" t="inlineStr">
        <is>
          <t>Source assignment -- not individually reviewed</t>
        </is>
      </c>
      <c r="H1310" s="92" t="inlineStr">
        <is>
          <t>10 EVIDENCE &amp; DECISIONS</t>
        </is>
      </c>
    </row>
    <row r="1311" ht="34" customHeight="1">
      <c r="A1311" s="34" t="inlineStr">
        <is>
          <t>R1525-v1</t>
        </is>
      </c>
      <c r="B1311" s="34" t="inlineStr">
        <is>
          <t>Cost &amp; Forecast Control Accounts</t>
        </is>
      </c>
      <c r="C1311" s="34" t="inlineStr">
        <is>
          <t>CST-06-043</t>
        </is>
      </c>
      <c r="D1311" s="34" t="inlineStr">
        <is>
          <t>1.6.1 Program Management - Program Controls</t>
        </is>
      </c>
      <c r="E1311" s="34" t="inlineStr">
        <is>
          <t>New</t>
        </is>
      </c>
      <c r="F1311" s="14" t="inlineStr"/>
      <c r="G1311" s="34" t="inlineStr">
        <is>
          <t>Source assignment -- not individually reviewed</t>
        </is>
      </c>
      <c r="H1311" s="92" t="inlineStr">
        <is>
          <t>10 EVIDENCE &amp; DECISIONS</t>
        </is>
      </c>
    </row>
    <row r="1312" ht="34" customHeight="1">
      <c r="A1312" s="34" t="inlineStr">
        <is>
          <t>R1527-v1</t>
        </is>
      </c>
      <c r="B1312" s="34" t="inlineStr">
        <is>
          <t>Cost &amp; Forecast Control Accounts</t>
        </is>
      </c>
      <c r="C1312" s="34" t="inlineStr">
        <is>
          <t>CST-06-045</t>
        </is>
      </c>
      <c r="D1312" s="34" t="inlineStr">
        <is>
          <t>1.6.1 Program Management - Program Controls</t>
        </is>
      </c>
      <c r="E1312" s="34" t="inlineStr">
        <is>
          <t>New</t>
        </is>
      </c>
      <c r="F1312" s="14" t="inlineStr"/>
      <c r="G1312" s="34" t="inlineStr">
        <is>
          <t>Source assignment -- not individually reviewed</t>
        </is>
      </c>
      <c r="H1312" s="92" t="inlineStr">
        <is>
          <t>10 EVIDENCE &amp; DECISIONS</t>
        </is>
      </c>
    </row>
    <row r="1313" ht="34" customHeight="1">
      <c r="A1313" s="34" t="inlineStr">
        <is>
          <t>R1529-v1</t>
        </is>
      </c>
      <c r="B1313" s="34" t="inlineStr">
        <is>
          <t>Cost &amp; Forecast Control Accounts</t>
        </is>
      </c>
      <c r="C1313" s="34" t="inlineStr">
        <is>
          <t>CST-06-047</t>
        </is>
      </c>
      <c r="D1313" s="34" t="inlineStr">
        <is>
          <t>1.6.1 Program Management - Program Controls</t>
        </is>
      </c>
      <c r="E1313" s="34" t="inlineStr">
        <is>
          <t>New</t>
        </is>
      </c>
      <c r="F1313" s="14" t="inlineStr"/>
      <c r="G1313" s="34" t="inlineStr">
        <is>
          <t>Source assignment -- not individually reviewed</t>
        </is>
      </c>
      <c r="H1313" s="92" t="inlineStr">
        <is>
          <t>10 EVIDENCE &amp; DECISIONS</t>
        </is>
      </c>
    </row>
    <row r="1314" ht="34" customHeight="1">
      <c r="A1314" s="34" t="inlineStr">
        <is>
          <t>R1531-v1</t>
        </is>
      </c>
      <c r="B1314" s="34" t="inlineStr">
        <is>
          <t>Cost &amp; Forecast Control Accounts</t>
        </is>
      </c>
      <c r="C1314" s="34" t="inlineStr">
        <is>
          <t>CST-06-049</t>
        </is>
      </c>
      <c r="D1314" s="34" t="inlineStr">
        <is>
          <t>1.6.1 Program Management - Program Controls</t>
        </is>
      </c>
      <c r="E1314" s="34" t="inlineStr">
        <is>
          <t>New</t>
        </is>
      </c>
      <c r="F1314" s="14" t="inlineStr"/>
      <c r="G1314" s="34" t="inlineStr">
        <is>
          <t>Source assignment -- not individually reviewed</t>
        </is>
      </c>
      <c r="H1314" s="92" t="inlineStr">
        <is>
          <t>10 EVIDENCE &amp; DECISIONS</t>
        </is>
      </c>
    </row>
    <row r="1315" ht="34" customHeight="1">
      <c r="A1315" s="34" t="inlineStr">
        <is>
          <t>R1533-v1</t>
        </is>
      </c>
      <c r="B1315" s="34" t="inlineStr">
        <is>
          <t>Cost &amp; Forecast Control Accounts</t>
        </is>
      </c>
      <c r="C1315" s="34" t="inlineStr">
        <is>
          <t>CST-06-051</t>
        </is>
      </c>
      <c r="D1315" s="34" t="inlineStr">
        <is>
          <t>1.6.1 Program Management - Program Controls</t>
        </is>
      </c>
      <c r="E1315" s="34" t="inlineStr">
        <is>
          <t>New</t>
        </is>
      </c>
      <c r="F1315" s="14" t="inlineStr"/>
      <c r="G1315" s="34" t="inlineStr">
        <is>
          <t>Source assignment -- not individually reviewed</t>
        </is>
      </c>
      <c r="H1315" s="92" t="inlineStr">
        <is>
          <t>10 EVIDENCE &amp; DECISIONS</t>
        </is>
      </c>
    </row>
    <row r="1316" ht="34" customHeight="1">
      <c r="A1316" s="34" t="inlineStr">
        <is>
          <t>R1535-v1</t>
        </is>
      </c>
      <c r="B1316" s="34" t="inlineStr">
        <is>
          <t>Cost &amp; Forecast Control Accounts</t>
        </is>
      </c>
      <c r="C1316" s="34" t="inlineStr">
        <is>
          <t>CST-06-053</t>
        </is>
      </c>
      <c r="D1316" s="34" t="inlineStr">
        <is>
          <t>1.6.1 Program Management - Program Controls</t>
        </is>
      </c>
      <c r="E1316" s="34" t="inlineStr">
        <is>
          <t>New</t>
        </is>
      </c>
      <c r="F1316" s="14" t="inlineStr"/>
      <c r="G1316" s="34" t="inlineStr">
        <is>
          <t>Source assignment -- not individually reviewed</t>
        </is>
      </c>
      <c r="H1316" s="92" t="inlineStr">
        <is>
          <t>10 EVIDENCE &amp; DECISIONS</t>
        </is>
      </c>
    </row>
    <row r="1317" ht="34" customHeight="1">
      <c r="A1317" s="34" t="inlineStr">
        <is>
          <t>R1537-v1</t>
        </is>
      </c>
      <c r="B1317" s="34" t="inlineStr">
        <is>
          <t>Cost &amp; Forecast Control Accounts</t>
        </is>
      </c>
      <c r="C1317" s="34" t="inlineStr">
        <is>
          <t>CST-06-055</t>
        </is>
      </c>
      <c r="D1317" s="34" t="inlineStr">
        <is>
          <t>1.6.1 Program Management - Program Controls</t>
        </is>
      </c>
      <c r="E1317" s="34" t="inlineStr">
        <is>
          <t>New</t>
        </is>
      </c>
      <c r="F1317" s="14" t="inlineStr"/>
      <c r="G1317" s="34" t="inlineStr">
        <is>
          <t>Source assignment -- not individually reviewed</t>
        </is>
      </c>
      <c r="H1317" s="92" t="inlineStr">
        <is>
          <t>10 EVIDENCE &amp; DECISIONS</t>
        </is>
      </c>
    </row>
    <row r="1318" ht="34" customHeight="1">
      <c r="A1318" s="34" t="inlineStr">
        <is>
          <t>R1539-v1</t>
        </is>
      </c>
      <c r="B1318" s="34" t="inlineStr">
        <is>
          <t>Cost &amp; Forecast Control Accounts</t>
        </is>
      </c>
      <c r="C1318" s="34" t="inlineStr">
        <is>
          <t>CST-06-057</t>
        </is>
      </c>
      <c r="D1318" s="34" t="inlineStr">
        <is>
          <t>1.6.1 Program Management - Program Controls</t>
        </is>
      </c>
      <c r="E1318" s="34" t="inlineStr">
        <is>
          <t>New</t>
        </is>
      </c>
      <c r="F1318" s="14" t="inlineStr"/>
      <c r="G1318" s="34" t="inlineStr">
        <is>
          <t>Source assignment -- not individually reviewed</t>
        </is>
      </c>
      <c r="H1318" s="92" t="inlineStr">
        <is>
          <t>10 EVIDENCE &amp; DECISIONS</t>
        </is>
      </c>
    </row>
    <row r="1319" ht="34" customHeight="1">
      <c r="A1319" s="34" t="inlineStr">
        <is>
          <t>R1541-v1</t>
        </is>
      </c>
      <c r="B1319" s="34" t="inlineStr">
        <is>
          <t>Cost &amp; Forecast Control Accounts</t>
        </is>
      </c>
      <c r="C1319" s="34" t="inlineStr">
        <is>
          <t>CST-06-059</t>
        </is>
      </c>
      <c r="D1319" s="34" t="inlineStr">
        <is>
          <t>1.6.1 Program Management - Program Controls</t>
        </is>
      </c>
      <c r="E1319" s="34" t="inlineStr">
        <is>
          <t>New</t>
        </is>
      </c>
      <c r="F1319" s="14" t="inlineStr"/>
      <c r="G1319" s="34" t="inlineStr">
        <is>
          <t>Source assignment -- not individually reviewed</t>
        </is>
      </c>
      <c r="H1319" s="92" t="inlineStr">
        <is>
          <t>10 EVIDENCE &amp; DECISIONS</t>
        </is>
      </c>
    </row>
    <row r="1320" ht="34" customHeight="1">
      <c r="A1320" s="34" t="inlineStr">
        <is>
          <t>R1543-v1</t>
        </is>
      </c>
      <c r="B1320" s="34" t="inlineStr">
        <is>
          <t>Cost &amp; Forecast Control Accounts</t>
        </is>
      </c>
      <c r="C1320" s="34" t="inlineStr">
        <is>
          <t>CST-06-061</t>
        </is>
      </c>
      <c r="D1320" s="34" t="inlineStr">
        <is>
          <t>1.6.1 Program Management - Program Controls</t>
        </is>
      </c>
      <c r="E1320" s="34" t="inlineStr">
        <is>
          <t>New</t>
        </is>
      </c>
      <c r="F1320" s="14" t="inlineStr"/>
      <c r="G1320" s="34" t="inlineStr">
        <is>
          <t>Source assignment -- not individually reviewed</t>
        </is>
      </c>
      <c r="H1320" s="92" t="inlineStr">
        <is>
          <t>10 EVIDENCE &amp; DECISIONS</t>
        </is>
      </c>
    </row>
    <row r="1321" ht="34" customHeight="1">
      <c r="A1321" s="34" t="inlineStr">
        <is>
          <t>R1545-v1</t>
        </is>
      </c>
      <c r="B1321" s="34" t="inlineStr">
        <is>
          <t>Cost &amp; Forecast Control Accounts</t>
        </is>
      </c>
      <c r="C1321" s="34" t="inlineStr">
        <is>
          <t>CST-06-063</t>
        </is>
      </c>
      <c r="D1321" s="34" t="inlineStr">
        <is>
          <t>1.6.1 Program Management - Program Controls</t>
        </is>
      </c>
      <c r="E1321" s="34" t="inlineStr">
        <is>
          <t>New</t>
        </is>
      </c>
      <c r="F1321" s="14" t="inlineStr"/>
      <c r="G1321" s="34" t="inlineStr">
        <is>
          <t>Source assignment -- not individually reviewed</t>
        </is>
      </c>
      <c r="H1321" s="92" t="inlineStr">
        <is>
          <t>10 EVIDENCE &amp; DECISIONS</t>
        </is>
      </c>
    </row>
    <row r="1322" ht="34" customHeight="1">
      <c r="A1322" s="34" t="inlineStr">
        <is>
          <t>R1547-v1</t>
        </is>
      </c>
      <c r="B1322" s="34" t="inlineStr">
        <is>
          <t>Cost &amp; Forecast Control Accounts</t>
        </is>
      </c>
      <c r="C1322" s="34" t="inlineStr">
        <is>
          <t>CST-06-065</t>
        </is>
      </c>
      <c r="D1322" s="34" t="inlineStr">
        <is>
          <t>1.6.1 Program Management - Program Controls</t>
        </is>
      </c>
      <c r="E1322" s="34" t="inlineStr">
        <is>
          <t>New</t>
        </is>
      </c>
      <c r="F1322" s="14" t="inlineStr"/>
      <c r="G1322" s="34" t="inlineStr">
        <is>
          <t>Source assignment -- not individually reviewed</t>
        </is>
      </c>
      <c r="H1322" s="92" t="inlineStr">
        <is>
          <t>10 EVIDENCE &amp; DECISIONS</t>
        </is>
      </c>
    </row>
    <row r="1323" ht="34" customHeight="1">
      <c r="A1323" s="34" t="inlineStr">
        <is>
          <t>R1549-v1</t>
        </is>
      </c>
      <c r="B1323" s="34" t="inlineStr">
        <is>
          <t>Cost &amp; Forecast Control Accounts</t>
        </is>
      </c>
      <c r="C1323" s="34" t="inlineStr">
        <is>
          <t>CST-06-067</t>
        </is>
      </c>
      <c r="D1323" s="34" t="inlineStr">
        <is>
          <t>1.6.1 Program Management - Program Controls</t>
        </is>
      </c>
      <c r="E1323" s="34" t="inlineStr">
        <is>
          <t>New</t>
        </is>
      </c>
      <c r="F1323" s="14" t="inlineStr"/>
      <c r="G1323" s="34" t="inlineStr">
        <is>
          <t>Source assignment -- not individually reviewed</t>
        </is>
      </c>
      <c r="H1323" s="92" t="inlineStr">
        <is>
          <t>10 EVIDENCE &amp; DECISIONS</t>
        </is>
      </c>
    </row>
    <row r="1324" ht="34" customHeight="1">
      <c r="A1324" s="34" t="inlineStr">
        <is>
          <t>R1551-v1</t>
        </is>
      </c>
      <c r="B1324" s="34" t="inlineStr">
        <is>
          <t>Cost &amp; Forecast Control Accounts</t>
        </is>
      </c>
      <c r="C1324" s="34" t="inlineStr">
        <is>
          <t>CST-06-069</t>
        </is>
      </c>
      <c r="D1324" s="34" t="inlineStr">
        <is>
          <t>1.6.1 Program Management - Program Controls</t>
        </is>
      </c>
      <c r="E1324" s="34" t="inlineStr">
        <is>
          <t>New</t>
        </is>
      </c>
      <c r="F1324" s="14" t="inlineStr"/>
      <c r="G1324" s="34" t="inlineStr">
        <is>
          <t>Source assignment -- not individually reviewed</t>
        </is>
      </c>
      <c r="H1324" s="92" t="inlineStr">
        <is>
          <t>10 EVIDENCE &amp; DECISIONS</t>
        </is>
      </c>
    </row>
    <row r="1325" ht="34" customHeight="1">
      <c r="A1325" s="34" t="inlineStr">
        <is>
          <t>R1553-v1</t>
        </is>
      </c>
      <c r="B1325" s="34" t="inlineStr">
        <is>
          <t>Cost &amp; Forecast Control Accounts</t>
        </is>
      </c>
      <c r="C1325" s="34" t="inlineStr">
        <is>
          <t>CST-06-071</t>
        </is>
      </c>
      <c r="D1325" s="34" t="inlineStr">
        <is>
          <t>1.6.1 Program Management - Program Controls</t>
        </is>
      </c>
      <c r="E1325" s="34" t="inlineStr">
        <is>
          <t>New</t>
        </is>
      </c>
      <c r="F1325" s="14" t="inlineStr"/>
      <c r="G1325" s="34" t="inlineStr">
        <is>
          <t>Source assignment -- not individually reviewed</t>
        </is>
      </c>
      <c r="H1325" s="92" t="inlineStr">
        <is>
          <t>10 EVIDENCE &amp; DECISIONS</t>
        </is>
      </c>
    </row>
    <row r="1326" ht="34" customHeight="1">
      <c r="A1326" s="34" t="inlineStr">
        <is>
          <t>R1555-v1</t>
        </is>
      </c>
      <c r="B1326" s="34" t="inlineStr">
        <is>
          <t>Cost &amp; Forecast Control Accounts</t>
        </is>
      </c>
      <c r="C1326" s="34" t="inlineStr">
        <is>
          <t>CST-06-073</t>
        </is>
      </c>
      <c r="D1326" s="34" t="inlineStr">
        <is>
          <t>1.6.1 Program Management - Program Controls</t>
        </is>
      </c>
      <c r="E1326" s="34" t="inlineStr">
        <is>
          <t>New</t>
        </is>
      </c>
      <c r="F1326" s="14" t="inlineStr"/>
      <c r="G1326" s="34" t="inlineStr">
        <is>
          <t>Source assignment -- not individually reviewed</t>
        </is>
      </c>
      <c r="H1326" s="92" t="inlineStr">
        <is>
          <t>10 EVIDENCE &amp; DECISIONS</t>
        </is>
      </c>
    </row>
    <row r="1327" ht="34" customHeight="1">
      <c r="A1327" s="34" t="inlineStr">
        <is>
          <t>R1557-v1</t>
        </is>
      </c>
      <c r="B1327" s="34" t="inlineStr">
        <is>
          <t>Cost &amp; Forecast Control Accounts</t>
        </is>
      </c>
      <c r="C1327" s="34" t="inlineStr">
        <is>
          <t>CST-06-075</t>
        </is>
      </c>
      <c r="D1327" s="34" t="inlineStr">
        <is>
          <t>1.6.1 Program Management - Program Controls</t>
        </is>
      </c>
      <c r="E1327" s="34" t="inlineStr">
        <is>
          <t>New</t>
        </is>
      </c>
      <c r="F1327" s="14" t="inlineStr"/>
      <c r="G1327" s="34" t="inlineStr">
        <is>
          <t>Source assignment -- not individually reviewed</t>
        </is>
      </c>
      <c r="H1327" s="92" t="inlineStr">
        <is>
          <t>10 EVIDENCE &amp; DECISIONS</t>
        </is>
      </c>
    </row>
    <row r="1328" ht="34" customHeight="1">
      <c r="A1328" s="34" t="inlineStr">
        <is>
          <t>R1559-v1</t>
        </is>
      </c>
      <c r="B1328" s="34" t="inlineStr">
        <is>
          <t>Cost &amp; Forecast Control Accounts</t>
        </is>
      </c>
      <c r="C1328" s="34" t="inlineStr">
        <is>
          <t>CST-06-077</t>
        </is>
      </c>
      <c r="D1328" s="34" t="inlineStr">
        <is>
          <t>1.6.1 Program Management - Program Controls</t>
        </is>
      </c>
      <c r="E1328" s="34" t="inlineStr">
        <is>
          <t>New</t>
        </is>
      </c>
      <c r="F1328" s="14" t="inlineStr"/>
      <c r="G1328" s="34" t="inlineStr">
        <is>
          <t>Source assignment -- not individually reviewed</t>
        </is>
      </c>
      <c r="H1328" s="92" t="inlineStr">
        <is>
          <t>10 EVIDENCE &amp; DECISIONS</t>
        </is>
      </c>
    </row>
    <row r="1329" ht="34" customHeight="1">
      <c r="A1329" s="34" t="inlineStr">
        <is>
          <t>R1561-v1</t>
        </is>
      </c>
      <c r="B1329" s="34" t="inlineStr">
        <is>
          <t>Cost &amp; Forecast Control Accounts</t>
        </is>
      </c>
      <c r="C1329" s="34" t="inlineStr">
        <is>
          <t>CST-06-079</t>
        </is>
      </c>
      <c r="D1329" s="34" t="inlineStr">
        <is>
          <t>1.6.1 Program Management - Program Controls</t>
        </is>
      </c>
      <c r="E1329" s="34" t="inlineStr">
        <is>
          <t>New</t>
        </is>
      </c>
      <c r="F1329" s="14" t="inlineStr"/>
      <c r="G1329" s="34" t="inlineStr">
        <is>
          <t>Source assignment -- not individually reviewed</t>
        </is>
      </c>
      <c r="H1329" s="92" t="inlineStr">
        <is>
          <t>10 EVIDENCE &amp; DECISIONS</t>
        </is>
      </c>
    </row>
    <row r="1330" ht="34" customHeight="1">
      <c r="A1330" s="34" t="inlineStr">
        <is>
          <t>R1484-v1</t>
        </is>
      </c>
      <c r="B1330" s="34" t="inlineStr">
        <is>
          <t>Cost &amp; Forecast Control Accounts</t>
        </is>
      </c>
      <c r="C1330" s="34" t="inlineStr">
        <is>
          <t>CST-06-002</t>
        </is>
      </c>
      <c r="D1330" s="34" t="inlineStr">
        <is>
          <t>1.6.2 Program Management - Commercial &amp; Procurement</t>
        </is>
      </c>
      <c r="E1330" s="34" t="inlineStr">
        <is>
          <t>New</t>
        </is>
      </c>
      <c r="F1330" s="14" t="inlineStr"/>
      <c r="G1330" s="34" t="inlineStr">
        <is>
          <t>Source assignment -- not individually reviewed</t>
        </is>
      </c>
      <c r="H1330" s="92" t="inlineStr">
        <is>
          <t>10 EVIDENCE &amp; DECISIONS</t>
        </is>
      </c>
    </row>
    <row r="1331" ht="34" customHeight="1">
      <c r="A1331" s="34" t="inlineStr">
        <is>
          <t>R1486-v1</t>
        </is>
      </c>
      <c r="B1331" s="34" t="inlineStr">
        <is>
          <t>Cost &amp; Forecast Control Accounts</t>
        </is>
      </c>
      <c r="C1331" s="34" t="inlineStr">
        <is>
          <t>CST-06-004</t>
        </is>
      </c>
      <c r="D1331" s="34" t="inlineStr">
        <is>
          <t>1.6.2 Program Management - Commercial &amp; Procurement</t>
        </is>
      </c>
      <c r="E1331" s="34" t="inlineStr">
        <is>
          <t>New</t>
        </is>
      </c>
      <c r="F1331" s="14" t="inlineStr"/>
      <c r="G1331" s="34" t="inlineStr">
        <is>
          <t>Source assignment -- not individually reviewed</t>
        </is>
      </c>
      <c r="H1331" s="92" t="inlineStr">
        <is>
          <t>10 EVIDENCE &amp; DECISIONS</t>
        </is>
      </c>
    </row>
    <row r="1332" ht="34" customHeight="1">
      <c r="A1332" s="34" t="inlineStr">
        <is>
          <t>R1488-v1</t>
        </is>
      </c>
      <c r="B1332" s="34" t="inlineStr">
        <is>
          <t>Cost &amp; Forecast Control Accounts</t>
        </is>
      </c>
      <c r="C1332" s="34" t="inlineStr">
        <is>
          <t>CST-06-006</t>
        </is>
      </c>
      <c r="D1332" s="34" t="inlineStr">
        <is>
          <t>1.6.2 Program Management - Commercial &amp; Procurement</t>
        </is>
      </c>
      <c r="E1332" s="34" t="inlineStr">
        <is>
          <t>New</t>
        </is>
      </c>
      <c r="F1332" s="14" t="inlineStr"/>
      <c r="G1332" s="34" t="inlineStr">
        <is>
          <t>Source assignment -- not individually reviewed</t>
        </is>
      </c>
      <c r="H1332" s="92" t="inlineStr">
        <is>
          <t>10 EVIDENCE &amp; DECISIONS</t>
        </is>
      </c>
    </row>
    <row r="1333" ht="34" customHeight="1">
      <c r="A1333" s="34" t="inlineStr">
        <is>
          <t>R1490-v1</t>
        </is>
      </c>
      <c r="B1333" s="34" t="inlineStr">
        <is>
          <t>Cost &amp; Forecast Control Accounts</t>
        </is>
      </c>
      <c r="C1333" s="34" t="inlineStr">
        <is>
          <t>CST-06-008</t>
        </is>
      </c>
      <c r="D1333" s="34" t="inlineStr">
        <is>
          <t>1.6.2 Program Management - Commercial &amp; Procurement</t>
        </is>
      </c>
      <c r="E1333" s="34" t="inlineStr">
        <is>
          <t>New</t>
        </is>
      </c>
      <c r="F1333" s="14" t="inlineStr"/>
      <c r="G1333" s="34" t="inlineStr">
        <is>
          <t>Source assignment -- not individually reviewed</t>
        </is>
      </c>
      <c r="H1333" s="92" t="inlineStr">
        <is>
          <t>10 EVIDENCE &amp; DECISIONS</t>
        </is>
      </c>
    </row>
    <row r="1334" ht="34" customHeight="1">
      <c r="A1334" s="34" t="inlineStr">
        <is>
          <t>R1492-v1</t>
        </is>
      </c>
      <c r="B1334" s="34" t="inlineStr">
        <is>
          <t>Cost &amp; Forecast Control Accounts</t>
        </is>
      </c>
      <c r="C1334" s="34" t="inlineStr">
        <is>
          <t>CST-06-010</t>
        </is>
      </c>
      <c r="D1334" s="34" t="inlineStr">
        <is>
          <t>1.6.2 Program Management - Commercial &amp; Procurement</t>
        </is>
      </c>
      <c r="E1334" s="34" t="inlineStr">
        <is>
          <t>New</t>
        </is>
      </c>
      <c r="F1334" s="14" t="inlineStr"/>
      <c r="G1334" s="34" t="inlineStr">
        <is>
          <t>Source assignment -- not individually reviewed</t>
        </is>
      </c>
      <c r="H1334" s="92" t="inlineStr">
        <is>
          <t>10 EVIDENCE &amp; DECISIONS</t>
        </is>
      </c>
    </row>
    <row r="1335" ht="34" customHeight="1">
      <c r="A1335" s="34" t="inlineStr">
        <is>
          <t>R1494-v1</t>
        </is>
      </c>
      <c r="B1335" s="34" t="inlineStr">
        <is>
          <t>Cost &amp; Forecast Control Accounts</t>
        </is>
      </c>
      <c r="C1335" s="34" t="inlineStr">
        <is>
          <t>CST-06-012</t>
        </is>
      </c>
      <c r="D1335" s="34" t="inlineStr">
        <is>
          <t>1.6.2 Program Management - Commercial &amp; Procurement</t>
        </is>
      </c>
      <c r="E1335" s="34" t="inlineStr">
        <is>
          <t>New</t>
        </is>
      </c>
      <c r="F1335" s="14" t="inlineStr"/>
      <c r="G1335" s="34" t="inlineStr">
        <is>
          <t>Source assignment -- not individually reviewed</t>
        </is>
      </c>
      <c r="H1335" s="92" t="inlineStr">
        <is>
          <t>10 EVIDENCE &amp; DECISIONS</t>
        </is>
      </c>
    </row>
    <row r="1336" ht="34" customHeight="1">
      <c r="A1336" s="34" t="inlineStr">
        <is>
          <t>R1496-v1</t>
        </is>
      </c>
      <c r="B1336" s="34" t="inlineStr">
        <is>
          <t>Cost &amp; Forecast Control Accounts</t>
        </is>
      </c>
      <c r="C1336" s="34" t="inlineStr">
        <is>
          <t>CST-06-014</t>
        </is>
      </c>
      <c r="D1336" s="34" t="inlineStr">
        <is>
          <t>1.6.2 Program Management - Commercial &amp; Procurement</t>
        </is>
      </c>
      <c r="E1336" s="34" t="inlineStr">
        <is>
          <t>New</t>
        </is>
      </c>
      <c r="F1336" s="14" t="inlineStr"/>
      <c r="G1336" s="34" t="inlineStr">
        <is>
          <t>Source assignment -- not individually reviewed</t>
        </is>
      </c>
      <c r="H1336" s="92" t="inlineStr">
        <is>
          <t>10 EVIDENCE &amp; DECISIONS</t>
        </is>
      </c>
    </row>
    <row r="1337" ht="34" customHeight="1">
      <c r="A1337" s="34" t="inlineStr">
        <is>
          <t>R1498-v1</t>
        </is>
      </c>
      <c r="B1337" s="34" t="inlineStr">
        <is>
          <t>Cost &amp; Forecast Control Accounts</t>
        </is>
      </c>
      <c r="C1337" s="34" t="inlineStr">
        <is>
          <t>CST-06-016</t>
        </is>
      </c>
      <c r="D1337" s="34" t="inlineStr">
        <is>
          <t>1.6.2 Program Management - Commercial &amp; Procurement</t>
        </is>
      </c>
      <c r="E1337" s="34" t="inlineStr">
        <is>
          <t>New</t>
        </is>
      </c>
      <c r="F1337" s="14" t="inlineStr"/>
      <c r="G1337" s="34" t="inlineStr">
        <is>
          <t>Source assignment -- not individually reviewed</t>
        </is>
      </c>
      <c r="H1337" s="92" t="inlineStr">
        <is>
          <t>10 EVIDENCE &amp; DECISIONS</t>
        </is>
      </c>
    </row>
    <row r="1338" ht="34" customHeight="1">
      <c r="A1338" s="34" t="inlineStr">
        <is>
          <t>R1500-v1</t>
        </is>
      </c>
      <c r="B1338" s="34" t="inlineStr">
        <is>
          <t>Cost &amp; Forecast Control Accounts</t>
        </is>
      </c>
      <c r="C1338" s="34" t="inlineStr">
        <is>
          <t>CST-06-018</t>
        </is>
      </c>
      <c r="D1338" s="34" t="inlineStr">
        <is>
          <t>1.6.2 Program Management - Commercial &amp; Procurement</t>
        </is>
      </c>
      <c r="E1338" s="34" t="inlineStr">
        <is>
          <t>New</t>
        </is>
      </c>
      <c r="F1338" s="14" t="inlineStr"/>
      <c r="G1338" s="34" t="inlineStr">
        <is>
          <t>Source assignment -- not individually reviewed</t>
        </is>
      </c>
      <c r="H1338" s="92" t="inlineStr">
        <is>
          <t>10 EVIDENCE &amp; DECISIONS</t>
        </is>
      </c>
    </row>
    <row r="1339" ht="34" customHeight="1">
      <c r="A1339" s="34" t="inlineStr">
        <is>
          <t>R1502-v1</t>
        </is>
      </c>
      <c r="B1339" s="34" t="inlineStr">
        <is>
          <t>Cost &amp; Forecast Control Accounts</t>
        </is>
      </c>
      <c r="C1339" s="34" t="inlineStr">
        <is>
          <t>CST-06-020</t>
        </is>
      </c>
      <c r="D1339" s="34" t="inlineStr">
        <is>
          <t>1.6.2 Program Management - Commercial &amp; Procurement</t>
        </is>
      </c>
      <c r="E1339" s="34" t="inlineStr">
        <is>
          <t>New</t>
        </is>
      </c>
      <c r="F1339" s="14" t="inlineStr"/>
      <c r="G1339" s="34" t="inlineStr">
        <is>
          <t>Source assignment -- not individually reviewed</t>
        </is>
      </c>
      <c r="H1339" s="92" t="inlineStr">
        <is>
          <t>10 EVIDENCE &amp; DECISIONS</t>
        </is>
      </c>
    </row>
    <row r="1340" ht="34" customHeight="1">
      <c r="A1340" s="34" t="inlineStr">
        <is>
          <t>R1504-v1</t>
        </is>
      </c>
      <c r="B1340" s="34" t="inlineStr">
        <is>
          <t>Cost &amp; Forecast Control Accounts</t>
        </is>
      </c>
      <c r="C1340" s="34" t="inlineStr">
        <is>
          <t>CST-06-022</t>
        </is>
      </c>
      <c r="D1340" s="34" t="inlineStr">
        <is>
          <t>1.6.2 Program Management - Commercial &amp; Procurement</t>
        </is>
      </c>
      <c r="E1340" s="34" t="inlineStr">
        <is>
          <t>New</t>
        </is>
      </c>
      <c r="F1340" s="14" t="inlineStr"/>
      <c r="G1340" s="34" t="inlineStr">
        <is>
          <t>Source assignment -- not individually reviewed</t>
        </is>
      </c>
      <c r="H1340" s="92" t="inlineStr">
        <is>
          <t>10 EVIDENCE &amp; DECISIONS</t>
        </is>
      </c>
    </row>
    <row r="1341" ht="34" customHeight="1">
      <c r="A1341" s="34" t="inlineStr">
        <is>
          <t>R1506-v1</t>
        </is>
      </c>
      <c r="B1341" s="34" t="inlineStr">
        <is>
          <t>Cost &amp; Forecast Control Accounts</t>
        </is>
      </c>
      <c r="C1341" s="34" t="inlineStr">
        <is>
          <t>CST-06-024</t>
        </is>
      </c>
      <c r="D1341" s="34" t="inlineStr">
        <is>
          <t>1.6.2 Program Management - Commercial &amp; Procurement</t>
        </is>
      </c>
      <c r="E1341" s="34" t="inlineStr">
        <is>
          <t>New</t>
        </is>
      </c>
      <c r="F1341" s="14" t="inlineStr"/>
      <c r="G1341" s="34" t="inlineStr">
        <is>
          <t>Source assignment -- not individually reviewed</t>
        </is>
      </c>
      <c r="H1341" s="92" t="inlineStr">
        <is>
          <t>10 EVIDENCE &amp; DECISIONS</t>
        </is>
      </c>
    </row>
    <row r="1342" ht="34" customHeight="1">
      <c r="A1342" s="34" t="inlineStr">
        <is>
          <t>R1508-v1</t>
        </is>
      </c>
      <c r="B1342" s="34" t="inlineStr">
        <is>
          <t>Cost &amp; Forecast Control Accounts</t>
        </is>
      </c>
      <c r="C1342" s="34" t="inlineStr">
        <is>
          <t>CST-06-026</t>
        </is>
      </c>
      <c r="D1342" s="34" t="inlineStr">
        <is>
          <t>1.6.2 Program Management - Commercial &amp; Procurement</t>
        </is>
      </c>
      <c r="E1342" s="34" t="inlineStr">
        <is>
          <t>New</t>
        </is>
      </c>
      <c r="F1342" s="14" t="inlineStr"/>
      <c r="G1342" s="34" t="inlineStr">
        <is>
          <t>Source assignment -- not individually reviewed</t>
        </is>
      </c>
      <c r="H1342" s="92" t="inlineStr">
        <is>
          <t>10 EVIDENCE &amp; DECISIONS</t>
        </is>
      </c>
    </row>
    <row r="1343" ht="34" customHeight="1">
      <c r="A1343" s="34" t="inlineStr">
        <is>
          <t>R1510-v1</t>
        </is>
      </c>
      <c r="B1343" s="34" t="inlineStr">
        <is>
          <t>Cost &amp; Forecast Control Accounts</t>
        </is>
      </c>
      <c r="C1343" s="34" t="inlineStr">
        <is>
          <t>CST-06-028</t>
        </is>
      </c>
      <c r="D1343" s="34" t="inlineStr">
        <is>
          <t>1.6.2 Program Management - Commercial &amp; Procurement</t>
        </is>
      </c>
      <c r="E1343" s="34" t="inlineStr">
        <is>
          <t>New</t>
        </is>
      </c>
      <c r="F1343" s="14" t="inlineStr"/>
      <c r="G1343" s="34" t="inlineStr">
        <is>
          <t>Source assignment -- not individually reviewed</t>
        </is>
      </c>
      <c r="H1343" s="92" t="inlineStr">
        <is>
          <t>10 EVIDENCE &amp; DECISIONS</t>
        </is>
      </c>
    </row>
    <row r="1344" ht="34" customHeight="1">
      <c r="A1344" s="34" t="inlineStr">
        <is>
          <t>R1512-v1</t>
        </is>
      </c>
      <c r="B1344" s="34" t="inlineStr">
        <is>
          <t>Cost &amp; Forecast Control Accounts</t>
        </is>
      </c>
      <c r="C1344" s="34" t="inlineStr">
        <is>
          <t>CST-06-030</t>
        </is>
      </c>
      <c r="D1344" s="34" t="inlineStr">
        <is>
          <t>1.6.2 Program Management - Commercial &amp; Procurement</t>
        </is>
      </c>
      <c r="E1344" s="34" t="inlineStr">
        <is>
          <t>New</t>
        </is>
      </c>
      <c r="F1344" s="14" t="inlineStr"/>
      <c r="G1344" s="34" t="inlineStr">
        <is>
          <t>Source assignment -- not individually reviewed</t>
        </is>
      </c>
      <c r="H1344" s="92" t="inlineStr">
        <is>
          <t>10 EVIDENCE &amp; DECISIONS</t>
        </is>
      </c>
    </row>
    <row r="1345" ht="34" customHeight="1">
      <c r="A1345" s="34" t="inlineStr">
        <is>
          <t>R1514-v1</t>
        </is>
      </c>
      <c r="B1345" s="34" t="inlineStr">
        <is>
          <t>Cost &amp; Forecast Control Accounts</t>
        </is>
      </c>
      <c r="C1345" s="34" t="inlineStr">
        <is>
          <t>CST-06-032</t>
        </is>
      </c>
      <c r="D1345" s="34" t="inlineStr">
        <is>
          <t>1.6.2 Program Management - Commercial &amp; Procurement</t>
        </is>
      </c>
      <c r="E1345" s="34" t="inlineStr">
        <is>
          <t>New</t>
        </is>
      </c>
      <c r="F1345" s="14" t="inlineStr"/>
      <c r="G1345" s="34" t="inlineStr">
        <is>
          <t>Source assignment -- not individually reviewed</t>
        </is>
      </c>
      <c r="H1345" s="92" t="inlineStr">
        <is>
          <t>10 EVIDENCE &amp; DECISIONS</t>
        </is>
      </c>
    </row>
    <row r="1346" ht="34" customHeight="1">
      <c r="A1346" s="34" t="inlineStr">
        <is>
          <t>R1516-v1</t>
        </is>
      </c>
      <c r="B1346" s="34" t="inlineStr">
        <is>
          <t>Cost &amp; Forecast Control Accounts</t>
        </is>
      </c>
      <c r="C1346" s="34" t="inlineStr">
        <is>
          <t>CST-06-034</t>
        </is>
      </c>
      <c r="D1346" s="34" t="inlineStr">
        <is>
          <t>1.6.2 Program Management - Commercial &amp; Procurement</t>
        </is>
      </c>
      <c r="E1346" s="34" t="inlineStr">
        <is>
          <t>New</t>
        </is>
      </c>
      <c r="F1346" s="14" t="inlineStr"/>
      <c r="G1346" s="34" t="inlineStr">
        <is>
          <t>Source assignment -- not individually reviewed</t>
        </is>
      </c>
      <c r="H1346" s="92" t="inlineStr">
        <is>
          <t>10 EVIDENCE &amp; DECISIONS</t>
        </is>
      </c>
    </row>
    <row r="1347" ht="34" customHeight="1">
      <c r="A1347" s="34" t="inlineStr">
        <is>
          <t>R1518-v1</t>
        </is>
      </c>
      <c r="B1347" s="34" t="inlineStr">
        <is>
          <t>Cost &amp; Forecast Control Accounts</t>
        </is>
      </c>
      <c r="C1347" s="34" t="inlineStr">
        <is>
          <t>CST-06-036</t>
        </is>
      </c>
      <c r="D1347" s="34" t="inlineStr">
        <is>
          <t>1.6.2 Program Management - Commercial &amp; Procurement</t>
        </is>
      </c>
      <c r="E1347" s="34" t="inlineStr">
        <is>
          <t>New</t>
        </is>
      </c>
      <c r="F1347" s="14" t="inlineStr"/>
      <c r="G1347" s="34" t="inlineStr">
        <is>
          <t>Source assignment -- not individually reviewed</t>
        </is>
      </c>
      <c r="H1347" s="92" t="inlineStr">
        <is>
          <t>10 EVIDENCE &amp; DECISIONS</t>
        </is>
      </c>
    </row>
    <row r="1348" ht="34" customHeight="1">
      <c r="A1348" s="34" t="inlineStr">
        <is>
          <t>R1520-v1</t>
        </is>
      </c>
      <c r="B1348" s="34" t="inlineStr">
        <is>
          <t>Cost &amp; Forecast Control Accounts</t>
        </is>
      </c>
      <c r="C1348" s="34" t="inlineStr">
        <is>
          <t>CST-06-038</t>
        </is>
      </c>
      <c r="D1348" s="34" t="inlineStr">
        <is>
          <t>1.6.2 Program Management - Commercial &amp; Procurement</t>
        </is>
      </c>
      <c r="E1348" s="34" t="inlineStr">
        <is>
          <t>New</t>
        </is>
      </c>
      <c r="F1348" s="14" t="inlineStr"/>
      <c r="G1348" s="34" t="inlineStr">
        <is>
          <t>Source assignment -- not individually reviewed</t>
        </is>
      </c>
      <c r="H1348" s="92" t="inlineStr">
        <is>
          <t>10 EVIDENCE &amp; DECISIONS</t>
        </is>
      </c>
    </row>
    <row r="1349" ht="34" customHeight="1">
      <c r="A1349" s="34" t="inlineStr">
        <is>
          <t>R1522-v1</t>
        </is>
      </c>
      <c r="B1349" s="34" t="inlineStr">
        <is>
          <t>Cost &amp; Forecast Control Accounts</t>
        </is>
      </c>
      <c r="C1349" s="34" t="inlineStr">
        <is>
          <t>CST-06-040</t>
        </is>
      </c>
      <c r="D1349" s="34" t="inlineStr">
        <is>
          <t>1.6.2 Program Management - Commercial &amp; Procurement</t>
        </is>
      </c>
      <c r="E1349" s="34" t="inlineStr">
        <is>
          <t>New</t>
        </is>
      </c>
      <c r="F1349" s="14" t="inlineStr"/>
      <c r="G1349" s="34" t="inlineStr">
        <is>
          <t>Source assignment -- not individually reviewed</t>
        </is>
      </c>
      <c r="H1349" s="92" t="inlineStr">
        <is>
          <t>10 EVIDENCE &amp; DECISIONS</t>
        </is>
      </c>
    </row>
    <row r="1350" ht="34" customHeight="1">
      <c r="A1350" s="34" t="inlineStr">
        <is>
          <t>R1524-v1</t>
        </is>
      </c>
      <c r="B1350" s="34" t="inlineStr">
        <is>
          <t>Cost &amp; Forecast Control Accounts</t>
        </is>
      </c>
      <c r="C1350" s="34" t="inlineStr">
        <is>
          <t>CST-06-042</t>
        </is>
      </c>
      <c r="D1350" s="34" t="inlineStr">
        <is>
          <t>1.6.2 Program Management - Commercial &amp; Procurement</t>
        </is>
      </c>
      <c r="E1350" s="34" t="inlineStr">
        <is>
          <t>New</t>
        </is>
      </c>
      <c r="F1350" s="14" t="inlineStr"/>
      <c r="G1350" s="34" t="inlineStr">
        <is>
          <t>Source assignment -- not individually reviewed</t>
        </is>
      </c>
      <c r="H1350" s="92" t="inlineStr">
        <is>
          <t>10 EVIDENCE &amp; DECISIONS</t>
        </is>
      </c>
    </row>
    <row r="1351" ht="34" customHeight="1">
      <c r="A1351" s="34" t="inlineStr">
        <is>
          <t>R1526-v1</t>
        </is>
      </c>
      <c r="B1351" s="34" t="inlineStr">
        <is>
          <t>Cost &amp; Forecast Control Accounts</t>
        </is>
      </c>
      <c r="C1351" s="34" t="inlineStr">
        <is>
          <t>CST-06-044</t>
        </is>
      </c>
      <c r="D1351" s="34" t="inlineStr">
        <is>
          <t>1.6.2 Program Management - Commercial &amp; Procurement</t>
        </is>
      </c>
      <c r="E1351" s="34" t="inlineStr">
        <is>
          <t>New</t>
        </is>
      </c>
      <c r="F1351" s="14" t="inlineStr"/>
      <c r="G1351" s="34" t="inlineStr">
        <is>
          <t>Source assignment -- not individually reviewed</t>
        </is>
      </c>
      <c r="H1351" s="92" t="inlineStr">
        <is>
          <t>10 EVIDENCE &amp; DECISIONS</t>
        </is>
      </c>
    </row>
    <row r="1352" ht="34" customHeight="1">
      <c r="A1352" s="34" t="inlineStr">
        <is>
          <t>R1528-v1</t>
        </is>
      </c>
      <c r="B1352" s="34" t="inlineStr">
        <is>
          <t>Cost &amp; Forecast Control Accounts</t>
        </is>
      </c>
      <c r="C1352" s="34" t="inlineStr">
        <is>
          <t>CST-06-046</t>
        </is>
      </c>
      <c r="D1352" s="34" t="inlineStr">
        <is>
          <t>1.6.2 Program Management - Commercial &amp; Procurement</t>
        </is>
      </c>
      <c r="E1352" s="34" t="inlineStr">
        <is>
          <t>New</t>
        </is>
      </c>
      <c r="F1352" s="14" t="inlineStr"/>
      <c r="G1352" s="34" t="inlineStr">
        <is>
          <t>Source assignment -- not individually reviewed</t>
        </is>
      </c>
      <c r="H1352" s="92" t="inlineStr">
        <is>
          <t>10 EVIDENCE &amp; DECISIONS</t>
        </is>
      </c>
    </row>
    <row r="1353" ht="34" customHeight="1">
      <c r="A1353" s="34" t="inlineStr">
        <is>
          <t>R1530-v1</t>
        </is>
      </c>
      <c r="B1353" s="34" t="inlineStr">
        <is>
          <t>Cost &amp; Forecast Control Accounts</t>
        </is>
      </c>
      <c r="C1353" s="34" t="inlineStr">
        <is>
          <t>CST-06-048</t>
        </is>
      </c>
      <c r="D1353" s="34" t="inlineStr">
        <is>
          <t>1.6.2 Program Management - Commercial &amp; Procurement</t>
        </is>
      </c>
      <c r="E1353" s="34" t="inlineStr">
        <is>
          <t>New</t>
        </is>
      </c>
      <c r="F1353" s="14" t="inlineStr"/>
      <c r="G1353" s="34" t="inlineStr">
        <is>
          <t>Source assignment -- not individually reviewed</t>
        </is>
      </c>
      <c r="H1353" s="92" t="inlineStr">
        <is>
          <t>10 EVIDENCE &amp; DECISIONS</t>
        </is>
      </c>
    </row>
    <row r="1354" ht="34" customHeight="1">
      <c r="A1354" s="34" t="inlineStr">
        <is>
          <t>R1532-v1</t>
        </is>
      </c>
      <c r="B1354" s="34" t="inlineStr">
        <is>
          <t>Cost &amp; Forecast Control Accounts</t>
        </is>
      </c>
      <c r="C1354" s="34" t="inlineStr">
        <is>
          <t>CST-06-050</t>
        </is>
      </c>
      <c r="D1354" s="34" t="inlineStr">
        <is>
          <t>1.6.2 Program Management - Commercial &amp; Procurement</t>
        </is>
      </c>
      <c r="E1354" s="34" t="inlineStr">
        <is>
          <t>New</t>
        </is>
      </c>
      <c r="F1354" s="14" t="inlineStr"/>
      <c r="G1354" s="34" t="inlineStr">
        <is>
          <t>Source assignment -- not individually reviewed</t>
        </is>
      </c>
      <c r="H1354" s="92" t="inlineStr">
        <is>
          <t>10 EVIDENCE &amp; DECISIONS</t>
        </is>
      </c>
    </row>
    <row r="1355" ht="34" customHeight="1">
      <c r="A1355" s="34" t="inlineStr">
        <is>
          <t>R1534-v1</t>
        </is>
      </c>
      <c r="B1355" s="34" t="inlineStr">
        <is>
          <t>Cost &amp; Forecast Control Accounts</t>
        </is>
      </c>
      <c r="C1355" s="34" t="inlineStr">
        <is>
          <t>CST-06-052</t>
        </is>
      </c>
      <c r="D1355" s="34" t="inlineStr">
        <is>
          <t>1.6.2 Program Management - Commercial &amp; Procurement</t>
        </is>
      </c>
      <c r="E1355" s="34" t="inlineStr">
        <is>
          <t>New</t>
        </is>
      </c>
      <c r="F1355" s="14" t="inlineStr"/>
      <c r="G1355" s="34" t="inlineStr">
        <is>
          <t>Source assignment -- not individually reviewed</t>
        </is>
      </c>
      <c r="H1355" s="92" t="inlineStr">
        <is>
          <t>10 EVIDENCE &amp; DECISIONS</t>
        </is>
      </c>
    </row>
    <row r="1356" ht="34" customHeight="1">
      <c r="A1356" s="34" t="inlineStr">
        <is>
          <t>R1536-v1</t>
        </is>
      </c>
      <c r="B1356" s="34" t="inlineStr">
        <is>
          <t>Cost &amp; Forecast Control Accounts</t>
        </is>
      </c>
      <c r="C1356" s="34" t="inlineStr">
        <is>
          <t>CST-06-054</t>
        </is>
      </c>
      <c r="D1356" s="34" t="inlineStr">
        <is>
          <t>1.6.2 Program Management - Commercial &amp; Procurement</t>
        </is>
      </c>
      <c r="E1356" s="34" t="inlineStr">
        <is>
          <t>New</t>
        </is>
      </c>
      <c r="F1356" s="14" t="inlineStr"/>
      <c r="G1356" s="34" t="inlineStr">
        <is>
          <t>Source assignment -- not individually reviewed</t>
        </is>
      </c>
      <c r="H1356" s="92" t="inlineStr">
        <is>
          <t>10 EVIDENCE &amp; DECISIONS</t>
        </is>
      </c>
    </row>
    <row r="1357" ht="34" customHeight="1">
      <c r="A1357" s="34" t="inlineStr">
        <is>
          <t>R1538-v1</t>
        </is>
      </c>
      <c r="B1357" s="34" t="inlineStr">
        <is>
          <t>Cost &amp; Forecast Control Accounts</t>
        </is>
      </c>
      <c r="C1357" s="34" t="inlineStr">
        <is>
          <t>CST-06-056</t>
        </is>
      </c>
      <c r="D1357" s="34" t="inlineStr">
        <is>
          <t>1.6.2 Program Management - Commercial &amp; Procurement</t>
        </is>
      </c>
      <c r="E1357" s="34" t="inlineStr">
        <is>
          <t>New</t>
        </is>
      </c>
      <c r="F1357" s="14" t="inlineStr"/>
      <c r="G1357" s="34" t="inlineStr">
        <is>
          <t>Source assignment -- not individually reviewed</t>
        </is>
      </c>
      <c r="H1357" s="92" t="inlineStr">
        <is>
          <t>10 EVIDENCE &amp; DECISIONS</t>
        </is>
      </c>
    </row>
    <row r="1358" ht="34" customHeight="1">
      <c r="A1358" s="34" t="inlineStr">
        <is>
          <t>R1540-v1</t>
        </is>
      </c>
      <c r="B1358" s="34" t="inlineStr">
        <is>
          <t>Cost &amp; Forecast Control Accounts</t>
        </is>
      </c>
      <c r="C1358" s="34" t="inlineStr">
        <is>
          <t>CST-06-058</t>
        </is>
      </c>
      <c r="D1358" s="34" t="inlineStr">
        <is>
          <t>1.6.2 Program Management - Commercial &amp; Procurement</t>
        </is>
      </c>
      <c r="E1358" s="34" t="inlineStr">
        <is>
          <t>New</t>
        </is>
      </c>
      <c r="F1358" s="14" t="inlineStr"/>
      <c r="G1358" s="34" t="inlineStr">
        <is>
          <t>Source assignment -- not individually reviewed</t>
        </is>
      </c>
      <c r="H1358" s="92" t="inlineStr">
        <is>
          <t>10 EVIDENCE &amp; DECISIONS</t>
        </is>
      </c>
    </row>
    <row r="1359" ht="34" customHeight="1">
      <c r="A1359" s="34" t="inlineStr">
        <is>
          <t>R1542-v1</t>
        </is>
      </c>
      <c r="B1359" s="34" t="inlineStr">
        <is>
          <t>Cost &amp; Forecast Control Accounts</t>
        </is>
      </c>
      <c r="C1359" s="34" t="inlineStr">
        <is>
          <t>CST-06-060</t>
        </is>
      </c>
      <c r="D1359" s="34" t="inlineStr">
        <is>
          <t>1.6.2 Program Management - Commercial &amp; Procurement</t>
        </is>
      </c>
      <c r="E1359" s="34" t="inlineStr">
        <is>
          <t>New</t>
        </is>
      </c>
      <c r="F1359" s="14" t="inlineStr"/>
      <c r="G1359" s="34" t="inlineStr">
        <is>
          <t>Source assignment -- not individually reviewed</t>
        </is>
      </c>
      <c r="H1359" s="92" t="inlineStr">
        <is>
          <t>10 EVIDENCE &amp; DECISIONS</t>
        </is>
      </c>
    </row>
    <row r="1360" ht="34" customHeight="1">
      <c r="A1360" s="34" t="inlineStr">
        <is>
          <t>R1544-v1</t>
        </is>
      </c>
      <c r="B1360" s="34" t="inlineStr">
        <is>
          <t>Cost &amp; Forecast Control Accounts</t>
        </is>
      </c>
      <c r="C1360" s="34" t="inlineStr">
        <is>
          <t>CST-06-062</t>
        </is>
      </c>
      <c r="D1360" s="34" t="inlineStr">
        <is>
          <t>1.6.2 Program Management - Commercial &amp; Procurement</t>
        </is>
      </c>
      <c r="E1360" s="34" t="inlineStr">
        <is>
          <t>New</t>
        </is>
      </c>
      <c r="F1360" s="14" t="inlineStr"/>
      <c r="G1360" s="34" t="inlineStr">
        <is>
          <t>Source assignment -- not individually reviewed</t>
        </is>
      </c>
      <c r="H1360" s="92" t="inlineStr">
        <is>
          <t>10 EVIDENCE &amp; DECISIONS</t>
        </is>
      </c>
    </row>
    <row r="1361" ht="34" customHeight="1">
      <c r="A1361" s="34" t="inlineStr">
        <is>
          <t>R1546-v1</t>
        </is>
      </c>
      <c r="B1361" s="34" t="inlineStr">
        <is>
          <t>Cost &amp; Forecast Control Accounts</t>
        </is>
      </c>
      <c r="C1361" s="34" t="inlineStr">
        <is>
          <t>CST-06-064</t>
        </is>
      </c>
      <c r="D1361" s="34" t="inlineStr">
        <is>
          <t>1.6.2 Program Management - Commercial &amp; Procurement</t>
        </is>
      </c>
      <c r="E1361" s="34" t="inlineStr">
        <is>
          <t>New</t>
        </is>
      </c>
      <c r="F1361" s="14" t="inlineStr"/>
      <c r="G1361" s="34" t="inlineStr">
        <is>
          <t>Source assignment -- not individually reviewed</t>
        </is>
      </c>
      <c r="H1361" s="92" t="inlineStr">
        <is>
          <t>10 EVIDENCE &amp; DECISIONS</t>
        </is>
      </c>
    </row>
    <row r="1362" ht="34" customHeight="1">
      <c r="A1362" s="34" t="inlineStr">
        <is>
          <t>R1548-v1</t>
        </is>
      </c>
      <c r="B1362" s="34" t="inlineStr">
        <is>
          <t>Cost &amp; Forecast Control Accounts</t>
        </is>
      </c>
      <c r="C1362" s="34" t="inlineStr">
        <is>
          <t>CST-06-066</t>
        </is>
      </c>
      <c r="D1362" s="34" t="inlineStr">
        <is>
          <t>1.6.2 Program Management - Commercial &amp; Procurement</t>
        </is>
      </c>
      <c r="E1362" s="34" t="inlineStr">
        <is>
          <t>New</t>
        </is>
      </c>
      <c r="F1362" s="14" t="inlineStr"/>
      <c r="G1362" s="34" t="inlineStr">
        <is>
          <t>Source assignment -- not individually reviewed</t>
        </is>
      </c>
      <c r="H1362" s="92" t="inlineStr">
        <is>
          <t>10 EVIDENCE &amp; DECISIONS</t>
        </is>
      </c>
    </row>
    <row r="1363" ht="34" customHeight="1">
      <c r="A1363" s="34" t="inlineStr">
        <is>
          <t>R1550-v1</t>
        </is>
      </c>
      <c r="B1363" s="34" t="inlineStr">
        <is>
          <t>Cost &amp; Forecast Control Accounts</t>
        </is>
      </c>
      <c r="C1363" s="34" t="inlineStr">
        <is>
          <t>CST-06-068</t>
        </is>
      </c>
      <c r="D1363" s="34" t="inlineStr">
        <is>
          <t>1.6.2 Program Management - Commercial &amp; Procurement</t>
        </is>
      </c>
      <c r="E1363" s="34" t="inlineStr">
        <is>
          <t>New</t>
        </is>
      </c>
      <c r="F1363" s="14" t="inlineStr"/>
      <c r="G1363" s="34" t="inlineStr">
        <is>
          <t>Source assignment -- not individually reviewed</t>
        </is>
      </c>
      <c r="H1363" s="92" t="inlineStr">
        <is>
          <t>10 EVIDENCE &amp; DECISIONS</t>
        </is>
      </c>
    </row>
    <row r="1364" ht="34" customHeight="1">
      <c r="A1364" s="34" t="inlineStr">
        <is>
          <t>R1552-v1</t>
        </is>
      </c>
      <c r="B1364" s="34" t="inlineStr">
        <is>
          <t>Cost &amp; Forecast Control Accounts</t>
        </is>
      </c>
      <c r="C1364" s="34" t="inlineStr">
        <is>
          <t>CST-06-070</t>
        </is>
      </c>
      <c r="D1364" s="34" t="inlineStr">
        <is>
          <t>1.6.2 Program Management - Commercial &amp; Procurement</t>
        </is>
      </c>
      <c r="E1364" s="34" t="inlineStr">
        <is>
          <t>New</t>
        </is>
      </c>
      <c r="F1364" s="14" t="inlineStr"/>
      <c r="G1364" s="34" t="inlineStr">
        <is>
          <t>Source assignment -- not individually reviewed</t>
        </is>
      </c>
      <c r="H1364" s="92" t="inlineStr">
        <is>
          <t>10 EVIDENCE &amp; DECISIONS</t>
        </is>
      </c>
    </row>
    <row r="1365" ht="34" customHeight="1">
      <c r="A1365" s="34" t="inlineStr">
        <is>
          <t>R1554-v1</t>
        </is>
      </c>
      <c r="B1365" s="34" t="inlineStr">
        <is>
          <t>Cost &amp; Forecast Control Accounts</t>
        </is>
      </c>
      <c r="C1365" s="34" t="inlineStr">
        <is>
          <t>CST-06-072</t>
        </is>
      </c>
      <c r="D1365" s="34" t="inlineStr">
        <is>
          <t>1.6.2 Program Management - Commercial &amp; Procurement</t>
        </is>
      </c>
      <c r="E1365" s="34" t="inlineStr">
        <is>
          <t>New</t>
        </is>
      </c>
      <c r="F1365" s="14" t="inlineStr"/>
      <c r="G1365" s="34" t="inlineStr">
        <is>
          <t>Source assignment -- not individually reviewed</t>
        </is>
      </c>
      <c r="H1365" s="92" t="inlineStr">
        <is>
          <t>10 EVIDENCE &amp; DECISIONS</t>
        </is>
      </c>
    </row>
    <row r="1366" ht="34" customHeight="1">
      <c r="A1366" s="34" t="inlineStr">
        <is>
          <t>R1556-v1</t>
        </is>
      </c>
      <c r="B1366" s="34" t="inlineStr">
        <is>
          <t>Cost &amp; Forecast Control Accounts</t>
        </is>
      </c>
      <c r="C1366" s="34" t="inlineStr">
        <is>
          <t>CST-06-074</t>
        </is>
      </c>
      <c r="D1366" s="34" t="inlineStr">
        <is>
          <t>1.6.2 Program Management - Commercial &amp; Procurement</t>
        </is>
      </c>
      <c r="E1366" s="34" t="inlineStr">
        <is>
          <t>New</t>
        </is>
      </c>
      <c r="F1366" s="14" t="inlineStr"/>
      <c r="G1366" s="34" t="inlineStr">
        <is>
          <t>Source assignment -- not individually reviewed</t>
        </is>
      </c>
      <c r="H1366" s="92" t="inlineStr">
        <is>
          <t>10 EVIDENCE &amp; DECISIONS</t>
        </is>
      </c>
    </row>
    <row r="1367" ht="34" customHeight="1">
      <c r="A1367" s="34" t="inlineStr">
        <is>
          <t>R1558-v1</t>
        </is>
      </c>
      <c r="B1367" s="34" t="inlineStr">
        <is>
          <t>Cost &amp; Forecast Control Accounts</t>
        </is>
      </c>
      <c r="C1367" s="34" t="inlineStr">
        <is>
          <t>CST-06-076</t>
        </is>
      </c>
      <c r="D1367" s="34" t="inlineStr">
        <is>
          <t>1.6.2 Program Management - Commercial &amp; Procurement</t>
        </is>
      </c>
      <c r="E1367" s="34" t="inlineStr">
        <is>
          <t>New</t>
        </is>
      </c>
      <c r="F1367" s="14" t="inlineStr"/>
      <c r="G1367" s="34" t="inlineStr">
        <is>
          <t>Source assignment -- not individually reviewed</t>
        </is>
      </c>
      <c r="H1367" s="92" t="inlineStr">
        <is>
          <t>10 EVIDENCE &amp; DECISIONS</t>
        </is>
      </c>
    </row>
    <row r="1368" ht="34" customHeight="1">
      <c r="A1368" s="34" t="inlineStr">
        <is>
          <t>R1560-v1</t>
        </is>
      </c>
      <c r="B1368" s="34" t="inlineStr">
        <is>
          <t>Cost &amp; Forecast Control Accounts</t>
        </is>
      </c>
      <c r="C1368" s="34" t="inlineStr">
        <is>
          <t>CST-06-078</t>
        </is>
      </c>
      <c r="D1368" s="34" t="inlineStr">
        <is>
          <t>1.6.2 Program Management - Commercial &amp; Procurement</t>
        </is>
      </c>
      <c r="E1368" s="34" t="inlineStr">
        <is>
          <t>New</t>
        </is>
      </c>
      <c r="F1368" s="14" t="inlineStr"/>
      <c r="G1368" s="34" t="inlineStr">
        <is>
          <t>Source assignment -- not individually reviewed</t>
        </is>
      </c>
      <c r="H1368" s="92" t="inlineStr">
        <is>
          <t>10 EVIDENCE &amp; DECISIONS</t>
        </is>
      </c>
    </row>
    <row r="1369" ht="34" customHeight="1">
      <c r="A1369" s="34" t="inlineStr">
        <is>
          <t>R1562-v1</t>
        </is>
      </c>
      <c r="B1369" s="34" t="inlineStr">
        <is>
          <t>Cost &amp; Forecast Control Accounts</t>
        </is>
      </c>
      <c r="C1369" s="34" t="inlineStr">
        <is>
          <t>CST-06-080</t>
        </is>
      </c>
      <c r="D1369" s="34" t="inlineStr">
        <is>
          <t>1.6.2 Program Management - Commercial &amp; Procurement</t>
        </is>
      </c>
      <c r="E1369" s="34" t="inlineStr">
        <is>
          <t>New</t>
        </is>
      </c>
      <c r="F1369" s="14" t="inlineStr"/>
      <c r="G1369" s="34" t="inlineStr">
        <is>
          <t>Source assignment -- not individually reviewed</t>
        </is>
      </c>
      <c r="H1369" s="92" t="inlineStr">
        <is>
          <t>10 EVIDENCE &amp; DECISIONS</t>
        </is>
      </c>
    </row>
    <row r="1370" ht="34" customHeight="1">
      <c r="A1370" s="34" t="inlineStr">
        <is>
          <t>R1081-v2</t>
        </is>
      </c>
      <c r="B1370" s="34" t="inlineStr">
        <is>
          <t>Contractor Programme</t>
        </is>
      </c>
      <c r="C1370" s="34" t="inlineStr">
        <is>
          <t>SCH-90-901</t>
        </is>
      </c>
      <c r="D1370" s="34" t="inlineStr">
        <is>
          <t>NEW_SCOPE</t>
        </is>
      </c>
      <c r="E1370" s="34" t="inlineStr">
        <is>
          <t>New</t>
        </is>
      </c>
      <c r="F1370" s="14" t="inlineStr"/>
      <c r="G1370" s="34" t="inlineStr">
        <is>
          <t>Maya Chen, Owner Project Controls</t>
        </is>
      </c>
      <c r="H1370" s="92" t="inlineStr">
        <is>
          <t>10 EVIDENCE &amp; DECISIONS</t>
        </is>
      </c>
    </row>
    <row r="1371" ht="34" customHeight="1">
      <c r="A1371" s="34" t="inlineStr">
        <is>
          <t>R1082-v2</t>
        </is>
      </c>
      <c r="B1371" s="34" t="inlineStr">
        <is>
          <t>Contractor Programme</t>
        </is>
      </c>
      <c r="C1371" s="34" t="inlineStr">
        <is>
          <t>SCH-90-902</t>
        </is>
      </c>
      <c r="D1371" s="34" t="inlineStr">
        <is>
          <t>NO_WBS</t>
        </is>
      </c>
      <c r="E1371" s="34" t="inlineStr">
        <is>
          <t>New</t>
        </is>
      </c>
      <c r="F1371" s="14" t="inlineStr"/>
      <c r="G1371" s="34" t="inlineStr">
        <is>
          <t>Maya Chen, Owner Project Controls</t>
        </is>
      </c>
      <c r="H1371" s="92" t="inlineStr">
        <is>
          <t>10 EVIDENCE &amp; DECISIONS</t>
        </is>
      </c>
    </row>
    <row r="1372" ht="34" customHeight="1">
      <c r="A1372" s="34" t="inlineStr">
        <is>
          <t>R1000-v2</t>
        </is>
      </c>
      <c r="B1372" s="34" t="inlineStr">
        <is>
          <t>Contractor Programme</t>
        </is>
      </c>
      <c r="C1372" s="34" t="inlineStr">
        <is>
          <t>SCH-06-100</t>
        </is>
      </c>
      <c r="D1372" s="34" t="inlineStr">
        <is>
          <t>UNSURE</t>
        </is>
      </c>
      <c r="E1372" s="34" t="inlineStr">
        <is>
          <t>New</t>
        </is>
      </c>
      <c r="F1372" s="14" t="inlineStr"/>
      <c r="G1372" s="34" t="inlineStr">
        <is>
          <t>Maya Chen, Owner Project Controls</t>
        </is>
      </c>
      <c r="H1372" s="92" t="inlineStr">
        <is>
          <t>10 EVIDENCE &amp; DECISIONS</t>
        </is>
      </c>
    </row>
    <row r="1373" ht="34" customHeight="1">
      <c r="A1373" s="34" t="inlineStr">
        <is>
          <t>R1001-v2</t>
        </is>
      </c>
      <c r="B1373" s="34" t="inlineStr">
        <is>
          <t>Contractor Programme</t>
        </is>
      </c>
      <c r="C1373" s="34" t="inlineStr">
        <is>
          <t>SCH-06-101</t>
        </is>
      </c>
      <c r="D1373" s="34" t="inlineStr">
        <is>
          <t>UNSURE</t>
        </is>
      </c>
      <c r="E1373" s="34" t="inlineStr">
        <is>
          <t>New</t>
        </is>
      </c>
      <c r="F1373" s="14" t="inlineStr"/>
      <c r="G1373" s="34" t="inlineStr">
        <is>
          <t>Maya Chen, Owner Project Controls</t>
        </is>
      </c>
      <c r="H1373" s="92" t="inlineStr">
        <is>
          <t>10 EVIDENCE &amp; DECISIONS</t>
        </is>
      </c>
    </row>
    <row r="1374" ht="34" customHeight="1">
      <c r="A1374" s="34" t="inlineStr">
        <is>
          <t>R1002-v2</t>
        </is>
      </c>
      <c r="B1374" s="34" t="inlineStr">
        <is>
          <t>Contractor Programme</t>
        </is>
      </c>
      <c r="C1374" s="34" t="inlineStr">
        <is>
          <t>SCH-06-102</t>
        </is>
      </c>
      <c r="D1374" s="34" t="inlineStr">
        <is>
          <t>UNSURE</t>
        </is>
      </c>
      <c r="E1374" s="34" t="inlineStr">
        <is>
          <t>New</t>
        </is>
      </c>
      <c r="F1374" s="14" t="inlineStr"/>
      <c r="G1374" s="34" t="inlineStr">
        <is>
          <t>Maya Chen, Owner Project Controls</t>
        </is>
      </c>
      <c r="H1374" s="92" t="inlineStr">
        <is>
          <t>10 EVIDENCE &amp; DECISIONS</t>
        </is>
      </c>
    </row>
    <row r="1375" ht="34" customHeight="1">
      <c r="A1375" s="34" t="inlineStr">
        <is>
          <t>R1003-v2</t>
        </is>
      </c>
      <c r="B1375" s="34" t="inlineStr">
        <is>
          <t>Contractor Programme</t>
        </is>
      </c>
      <c r="C1375" s="34" t="inlineStr">
        <is>
          <t>SCH-06-103</t>
        </is>
      </c>
      <c r="D1375" s="34" t="inlineStr">
        <is>
          <t>UNSURE</t>
        </is>
      </c>
      <c r="E1375" s="34" t="inlineStr">
        <is>
          <t>New</t>
        </is>
      </c>
      <c r="F1375" s="14" t="inlineStr"/>
      <c r="G1375" s="34" t="inlineStr">
        <is>
          <t>Maya Chen, Owner Project Controls</t>
        </is>
      </c>
      <c r="H1375" s="92" t="inlineStr">
        <is>
          <t>10 EVIDENCE &amp; DECISIONS</t>
        </is>
      </c>
    </row>
    <row r="1376" ht="34" customHeight="1">
      <c r="A1376" s="34" t="inlineStr">
        <is>
          <t>R1004-v2</t>
        </is>
      </c>
      <c r="B1376" s="34" t="inlineStr">
        <is>
          <t>Contractor Programme</t>
        </is>
      </c>
      <c r="C1376" s="34" t="inlineStr">
        <is>
          <t>SCH-06-104</t>
        </is>
      </c>
      <c r="D1376" s="34" t="inlineStr">
        <is>
          <t>UNSURE</t>
        </is>
      </c>
      <c r="E1376" s="34" t="inlineStr">
        <is>
          <t>New</t>
        </is>
      </c>
      <c r="F1376" s="14" t="inlineStr"/>
      <c r="G1376" s="34" t="inlineStr">
        <is>
          <t>Maya Chen, Owner Project Controls</t>
        </is>
      </c>
      <c r="H1376" s="92" t="inlineStr">
        <is>
          <t>10 EVIDENCE &amp; DECISIONS</t>
        </is>
      </c>
    </row>
    <row r="1377" ht="34" customHeight="1">
      <c r="A1377" s="34" t="inlineStr">
        <is>
          <t>R1005-v2</t>
        </is>
      </c>
      <c r="B1377" s="34" t="inlineStr">
        <is>
          <t>Contractor Programme</t>
        </is>
      </c>
      <c r="C1377" s="34" t="inlineStr">
        <is>
          <t>SCH-06-105</t>
        </is>
      </c>
      <c r="D1377" s="34" t="inlineStr">
        <is>
          <t>UNSURE</t>
        </is>
      </c>
      <c r="E1377" s="34" t="inlineStr">
        <is>
          <t>New</t>
        </is>
      </c>
      <c r="F1377" s="14" t="inlineStr"/>
      <c r="G1377" s="34" t="inlineStr">
        <is>
          <t>Maya Chen, Owner Project Controls</t>
        </is>
      </c>
      <c r="H1377" s="92" t="inlineStr">
        <is>
          <t>10 EVIDENCE &amp; DECISIONS</t>
        </is>
      </c>
    </row>
    <row r="1378" ht="34" customHeight="1">
      <c r="A1378" s="34" t="inlineStr">
        <is>
          <t>R1006-v2</t>
        </is>
      </c>
      <c r="B1378" s="34" t="inlineStr">
        <is>
          <t>Contractor Programme</t>
        </is>
      </c>
      <c r="C1378" s="34" t="inlineStr">
        <is>
          <t>SCH-06-106</t>
        </is>
      </c>
      <c r="D1378" s="34" t="inlineStr">
        <is>
          <t>UNSURE</t>
        </is>
      </c>
      <c r="E1378" s="34" t="inlineStr">
        <is>
          <t>New</t>
        </is>
      </c>
      <c r="F1378" s="14" t="inlineStr"/>
      <c r="G1378" s="34" t="inlineStr">
        <is>
          <t>Maya Chen, Owner Project Controls</t>
        </is>
      </c>
      <c r="H1378" s="92" t="inlineStr">
        <is>
          <t>10 EVIDENCE &amp; DECISIONS</t>
        </is>
      </c>
    </row>
    <row r="1379" ht="34" customHeight="1">
      <c r="A1379" s="34" t="inlineStr">
        <is>
          <t>R1007-v2</t>
        </is>
      </c>
      <c r="B1379" s="34" t="inlineStr">
        <is>
          <t>Contractor Programme</t>
        </is>
      </c>
      <c r="C1379" s="34" t="inlineStr">
        <is>
          <t>SCH-06-107</t>
        </is>
      </c>
      <c r="D1379" s="34" t="inlineStr">
        <is>
          <t>UNSURE</t>
        </is>
      </c>
      <c r="E1379" s="34" t="inlineStr">
        <is>
          <t>New</t>
        </is>
      </c>
      <c r="F1379" s="14" t="inlineStr"/>
      <c r="G1379" s="34" t="inlineStr">
        <is>
          <t>Maya Chen, Owner Project Controls</t>
        </is>
      </c>
      <c r="H1379" s="92" t="inlineStr">
        <is>
          <t>10 EVIDENCE &amp; DECISIONS</t>
        </is>
      </c>
    </row>
    <row r="1380" ht="34" customHeight="1">
      <c r="A1380" s="34" t="inlineStr">
        <is>
          <t>R1008-v2</t>
        </is>
      </c>
      <c r="B1380" s="34" t="inlineStr">
        <is>
          <t>Contractor Programme</t>
        </is>
      </c>
      <c r="C1380" s="34" t="inlineStr">
        <is>
          <t>SCH-06-108</t>
        </is>
      </c>
      <c r="D1380" s="34" t="inlineStr">
        <is>
          <t>UNSURE</t>
        </is>
      </c>
      <c r="E1380" s="34" t="inlineStr">
        <is>
          <t>New</t>
        </is>
      </c>
      <c r="F1380" s="14" t="inlineStr"/>
      <c r="G1380" s="34" t="inlineStr">
        <is>
          <t>Maya Chen, Owner Project Controls</t>
        </is>
      </c>
      <c r="H1380" s="92" t="inlineStr">
        <is>
          <t>10 EVIDENCE &amp; DECISIONS</t>
        </is>
      </c>
    </row>
    <row r="1381" ht="34" customHeight="1">
      <c r="A1381" s="34" t="inlineStr">
        <is>
          <t>R1009-v2</t>
        </is>
      </c>
      <c r="B1381" s="34" t="inlineStr">
        <is>
          <t>Contractor Programme</t>
        </is>
      </c>
      <c r="C1381" s="34" t="inlineStr">
        <is>
          <t>SCH-06-109</t>
        </is>
      </c>
      <c r="D1381" s="34" t="inlineStr">
        <is>
          <t>UNSURE</t>
        </is>
      </c>
      <c r="E1381" s="34" t="inlineStr">
        <is>
          <t>New</t>
        </is>
      </c>
      <c r="F1381" s="14" t="inlineStr"/>
      <c r="G1381" s="34" t="inlineStr">
        <is>
          <t>Maya Chen, Owner Project Controls</t>
        </is>
      </c>
      <c r="H1381" s="92" t="inlineStr">
        <is>
          <t>10 EVIDENCE &amp; DECISIONS</t>
        </is>
      </c>
    </row>
    <row r="1382" ht="34" customHeight="1">
      <c r="A1382" s="34" t="inlineStr">
        <is>
          <t>R1010-v2</t>
        </is>
      </c>
      <c r="B1382" s="34" t="inlineStr">
        <is>
          <t>Contractor Programme</t>
        </is>
      </c>
      <c r="C1382" s="34" t="inlineStr">
        <is>
          <t>SCH-06-110</t>
        </is>
      </c>
      <c r="D1382" s="34" t="inlineStr">
        <is>
          <t>UNSURE</t>
        </is>
      </c>
      <c r="E1382" s="34" t="inlineStr">
        <is>
          <t>New</t>
        </is>
      </c>
      <c r="F1382" s="14" t="inlineStr"/>
      <c r="G1382" s="34" t="inlineStr">
        <is>
          <t>Maya Chen, Owner Project Controls</t>
        </is>
      </c>
      <c r="H1382" s="92" t="inlineStr">
        <is>
          <t>10 EVIDENCE &amp; DECISIONS</t>
        </is>
      </c>
    </row>
    <row r="1383" ht="34" customHeight="1">
      <c r="A1383" s="34" t="inlineStr">
        <is>
          <t>R1011-v2</t>
        </is>
      </c>
      <c r="B1383" s="34" t="inlineStr">
        <is>
          <t>Contractor Programme</t>
        </is>
      </c>
      <c r="C1383" s="34" t="inlineStr">
        <is>
          <t>SCH-06-111</t>
        </is>
      </c>
      <c r="D1383" s="34" t="inlineStr">
        <is>
          <t>UNSURE</t>
        </is>
      </c>
      <c r="E1383" s="34" t="inlineStr">
        <is>
          <t>New</t>
        </is>
      </c>
      <c r="F1383" s="14" t="inlineStr"/>
      <c r="G1383" s="34" t="inlineStr">
        <is>
          <t>Maya Chen, Owner Project Controls</t>
        </is>
      </c>
      <c r="H1383" s="92" t="inlineStr">
        <is>
          <t>10 EVIDENCE &amp; DECISIONS</t>
        </is>
      </c>
    </row>
    <row r="1384" ht="34" customHeight="1">
      <c r="A1384" s="34" t="inlineStr">
        <is>
          <t>R1012-v2</t>
        </is>
      </c>
      <c r="B1384" s="34" t="inlineStr">
        <is>
          <t>Contractor Programme</t>
        </is>
      </c>
      <c r="C1384" s="34" t="inlineStr">
        <is>
          <t>SCH-06-112</t>
        </is>
      </c>
      <c r="D1384" s="34" t="inlineStr">
        <is>
          <t>UNSURE</t>
        </is>
      </c>
      <c r="E1384" s="34" t="inlineStr">
        <is>
          <t>New</t>
        </is>
      </c>
      <c r="F1384" s="14" t="inlineStr"/>
      <c r="G1384" s="34" t="inlineStr">
        <is>
          <t>Maya Chen, Owner Project Controls</t>
        </is>
      </c>
      <c r="H1384" s="92" t="inlineStr">
        <is>
          <t>10 EVIDENCE &amp; DECISIONS</t>
        </is>
      </c>
    </row>
    <row r="1385" ht="34" customHeight="1">
      <c r="A1385" s="34" t="inlineStr">
        <is>
          <t>R1013-v2</t>
        </is>
      </c>
      <c r="B1385" s="34" t="inlineStr">
        <is>
          <t>Contractor Programme</t>
        </is>
      </c>
      <c r="C1385" s="34" t="inlineStr">
        <is>
          <t>SCH-06-113</t>
        </is>
      </c>
      <c r="D1385" s="34" t="inlineStr">
        <is>
          <t>UNSURE</t>
        </is>
      </c>
      <c r="E1385" s="34" t="inlineStr">
        <is>
          <t>New</t>
        </is>
      </c>
      <c r="F1385" s="14" t="inlineStr"/>
      <c r="G1385" s="34" t="inlineStr">
        <is>
          <t>Maya Chen, Owner Project Controls</t>
        </is>
      </c>
      <c r="H1385" s="92" t="inlineStr">
        <is>
          <t>10 EVIDENCE &amp; DECISIONS</t>
        </is>
      </c>
    </row>
    <row r="1386" ht="34" customHeight="1">
      <c r="A1386" s="34" t="inlineStr">
        <is>
          <t>R1014-v2</t>
        </is>
      </c>
      <c r="B1386" s="34" t="inlineStr">
        <is>
          <t>Contractor Programme</t>
        </is>
      </c>
      <c r="C1386" s="34" t="inlineStr">
        <is>
          <t>SCH-06-114</t>
        </is>
      </c>
      <c r="D1386" s="34" t="inlineStr">
        <is>
          <t>UNSURE</t>
        </is>
      </c>
      <c r="E1386" s="34" t="inlineStr">
        <is>
          <t>New</t>
        </is>
      </c>
      <c r="F1386" s="14" t="inlineStr"/>
      <c r="G1386" s="34" t="inlineStr">
        <is>
          <t>Maya Chen, Owner Project Controls</t>
        </is>
      </c>
      <c r="H1386" s="92" t="inlineStr">
        <is>
          <t>10 EVIDENCE &amp; DECISIONS</t>
        </is>
      </c>
    </row>
    <row r="1387" ht="34" customHeight="1">
      <c r="A1387" s="34" t="inlineStr">
        <is>
          <t>R1015-v2</t>
        </is>
      </c>
      <c r="B1387" s="34" t="inlineStr">
        <is>
          <t>Contractor Programme</t>
        </is>
      </c>
      <c r="C1387" s="34" t="inlineStr">
        <is>
          <t>SCH-06-115</t>
        </is>
      </c>
      <c r="D1387" s="34" t="inlineStr">
        <is>
          <t>UNSURE</t>
        </is>
      </c>
      <c r="E1387" s="34" t="inlineStr">
        <is>
          <t>New</t>
        </is>
      </c>
      <c r="F1387" s="14" t="inlineStr"/>
      <c r="G1387" s="34" t="inlineStr">
        <is>
          <t>Maya Chen, Owner Project Controls</t>
        </is>
      </c>
      <c r="H1387" s="92" t="inlineStr">
        <is>
          <t>10 EVIDENCE &amp; DECISIONS</t>
        </is>
      </c>
    </row>
    <row r="1388" ht="34" customHeight="1">
      <c r="A1388" s="34" t="inlineStr">
        <is>
          <t>R1016-v2</t>
        </is>
      </c>
      <c r="B1388" s="34" t="inlineStr">
        <is>
          <t>Contractor Programme</t>
        </is>
      </c>
      <c r="C1388" s="34" t="inlineStr">
        <is>
          <t>SCH-06-116</t>
        </is>
      </c>
      <c r="D1388" s="34" t="inlineStr">
        <is>
          <t>UNSURE</t>
        </is>
      </c>
      <c r="E1388" s="34" t="inlineStr">
        <is>
          <t>New</t>
        </is>
      </c>
      <c r="F1388" s="14" t="inlineStr"/>
      <c r="G1388" s="34" t="inlineStr">
        <is>
          <t>Maya Chen, Owner Project Controls</t>
        </is>
      </c>
      <c r="H1388" s="92" t="inlineStr">
        <is>
          <t>10 EVIDENCE &amp; DECISIONS</t>
        </is>
      </c>
    </row>
    <row r="1389" ht="34" customHeight="1">
      <c r="A1389" s="34" t="inlineStr">
        <is>
          <t>R1017-v2</t>
        </is>
      </c>
      <c r="B1389" s="34" t="inlineStr">
        <is>
          <t>Contractor Programme</t>
        </is>
      </c>
      <c r="C1389" s="34" t="inlineStr">
        <is>
          <t>SCH-06-117</t>
        </is>
      </c>
      <c r="D1389" s="34" t="inlineStr">
        <is>
          <t>UNSURE</t>
        </is>
      </c>
      <c r="E1389" s="34" t="inlineStr">
        <is>
          <t>New</t>
        </is>
      </c>
      <c r="F1389" s="14" t="inlineStr"/>
      <c r="G1389" s="34" t="inlineStr">
        <is>
          <t>Maya Chen, Owner Project Controls</t>
        </is>
      </c>
      <c r="H1389" s="92" t="inlineStr">
        <is>
          <t>10 EVIDENCE &amp; DECISIONS</t>
        </is>
      </c>
    </row>
    <row r="1390" ht="34" customHeight="1">
      <c r="A1390" s="34" t="inlineStr">
        <is>
          <t>R1018-v2</t>
        </is>
      </c>
      <c r="B1390" s="34" t="inlineStr">
        <is>
          <t>Contractor Programme</t>
        </is>
      </c>
      <c r="C1390" s="34" t="inlineStr">
        <is>
          <t>SCH-06-118</t>
        </is>
      </c>
      <c r="D1390" s="34" t="inlineStr">
        <is>
          <t>UNSURE</t>
        </is>
      </c>
      <c r="E1390" s="34" t="inlineStr">
        <is>
          <t>New</t>
        </is>
      </c>
      <c r="F1390" s="14" t="inlineStr"/>
      <c r="G1390" s="34" t="inlineStr">
        <is>
          <t>Maya Chen, Owner Project Controls</t>
        </is>
      </c>
      <c r="H1390" s="92" t="inlineStr">
        <is>
          <t>10 EVIDENCE &amp; DECISIONS</t>
        </is>
      </c>
    </row>
    <row r="1391" ht="34" customHeight="1">
      <c r="A1391" s="34" t="inlineStr">
        <is>
          <t>R1019-v2</t>
        </is>
      </c>
      <c r="B1391" s="34" t="inlineStr">
        <is>
          <t>Contractor Programme</t>
        </is>
      </c>
      <c r="C1391" s="34" t="inlineStr">
        <is>
          <t>SCH-06-119</t>
        </is>
      </c>
      <c r="D1391" s="34" t="inlineStr">
        <is>
          <t>UNSURE</t>
        </is>
      </c>
      <c r="E1391" s="34" t="inlineStr">
        <is>
          <t>New</t>
        </is>
      </c>
      <c r="F1391" s="14" t="inlineStr"/>
      <c r="G1391" s="34" t="inlineStr">
        <is>
          <t>Maya Chen, Owner Project Controls</t>
        </is>
      </c>
      <c r="H1391" s="92" t="inlineStr">
        <is>
          <t>10 EVIDENCE &amp; DECISIONS</t>
        </is>
      </c>
    </row>
    <row r="1392" ht="34" customHeight="1">
      <c r="A1392" s="34" t="inlineStr">
        <is>
          <t>R1020-v2</t>
        </is>
      </c>
      <c r="B1392" s="34" t="inlineStr">
        <is>
          <t>Contractor Programme</t>
        </is>
      </c>
      <c r="C1392" s="34" t="inlineStr">
        <is>
          <t>SCH-06-120</t>
        </is>
      </c>
      <c r="D1392" s="34" t="inlineStr">
        <is>
          <t>UNSURE</t>
        </is>
      </c>
      <c r="E1392" s="34" t="inlineStr">
        <is>
          <t>New</t>
        </is>
      </c>
      <c r="F1392" s="14" t="inlineStr"/>
      <c r="G1392" s="34" t="inlineStr">
        <is>
          <t>Maya Chen, Owner Project Controls</t>
        </is>
      </c>
      <c r="H1392" s="92" t="inlineStr">
        <is>
          <t>10 EVIDENCE &amp; DECISIONS</t>
        </is>
      </c>
    </row>
    <row r="1393" ht="34" customHeight="1">
      <c r="A1393" s="34" t="inlineStr">
        <is>
          <t>R1021-v2</t>
        </is>
      </c>
      <c r="B1393" s="34" t="inlineStr">
        <is>
          <t>Contractor Programme</t>
        </is>
      </c>
      <c r="C1393" s="34" t="inlineStr">
        <is>
          <t>SCH-06-121</t>
        </is>
      </c>
      <c r="D1393" s="34" t="inlineStr">
        <is>
          <t>UNSURE</t>
        </is>
      </c>
      <c r="E1393" s="34" t="inlineStr">
        <is>
          <t>New</t>
        </is>
      </c>
      <c r="F1393" s="14" t="inlineStr"/>
      <c r="G1393" s="34" t="inlineStr">
        <is>
          <t>Maya Chen, Owner Project Controls</t>
        </is>
      </c>
      <c r="H1393" s="92" t="inlineStr">
        <is>
          <t>10 EVIDENCE &amp; DECISIONS</t>
        </is>
      </c>
    </row>
    <row r="1394" ht="34" customHeight="1">
      <c r="A1394" s="34" t="inlineStr">
        <is>
          <t>R1022-v2</t>
        </is>
      </c>
      <c r="B1394" s="34" t="inlineStr">
        <is>
          <t>Contractor Programme</t>
        </is>
      </c>
      <c r="C1394" s="34" t="inlineStr">
        <is>
          <t>SCH-06-122</t>
        </is>
      </c>
      <c r="D1394" s="34" t="inlineStr">
        <is>
          <t>UNSURE</t>
        </is>
      </c>
      <c r="E1394" s="34" t="inlineStr">
        <is>
          <t>New</t>
        </is>
      </c>
      <c r="F1394" s="14" t="inlineStr"/>
      <c r="G1394" s="34" t="inlineStr">
        <is>
          <t>Maya Chen, Owner Project Controls</t>
        </is>
      </c>
      <c r="H1394" s="92" t="inlineStr">
        <is>
          <t>10 EVIDENCE &amp; DECISIONS</t>
        </is>
      </c>
    </row>
    <row r="1395" ht="34" customHeight="1">
      <c r="A1395" s="34" t="inlineStr">
        <is>
          <t>R1023-v2</t>
        </is>
      </c>
      <c r="B1395" s="34" t="inlineStr">
        <is>
          <t>Contractor Programme</t>
        </is>
      </c>
      <c r="C1395" s="34" t="inlineStr">
        <is>
          <t>SCH-06-123</t>
        </is>
      </c>
      <c r="D1395" s="34" t="inlineStr">
        <is>
          <t>UNSURE</t>
        </is>
      </c>
      <c r="E1395" s="34" t="inlineStr">
        <is>
          <t>New</t>
        </is>
      </c>
      <c r="F1395" s="14" t="inlineStr"/>
      <c r="G1395" s="34" t="inlineStr">
        <is>
          <t>Maya Chen, Owner Project Controls</t>
        </is>
      </c>
      <c r="H1395" s="92" t="inlineStr">
        <is>
          <t>10 EVIDENCE &amp; DECISIONS</t>
        </is>
      </c>
    </row>
    <row r="1396" ht="34" customHeight="1">
      <c r="A1396" s="34" t="inlineStr">
        <is>
          <t>R1024-v2</t>
        </is>
      </c>
      <c r="B1396" s="34" t="inlineStr">
        <is>
          <t>Contractor Programme</t>
        </is>
      </c>
      <c r="C1396" s="34" t="inlineStr">
        <is>
          <t>SCH-06-124</t>
        </is>
      </c>
      <c r="D1396" s="34" t="inlineStr">
        <is>
          <t>UNSURE</t>
        </is>
      </c>
      <c r="E1396" s="34" t="inlineStr">
        <is>
          <t>New</t>
        </is>
      </c>
      <c r="F1396" s="14" t="inlineStr"/>
      <c r="G1396" s="34" t="inlineStr">
        <is>
          <t>Maya Chen, Owner Project Controls</t>
        </is>
      </c>
      <c r="H1396" s="92" t="inlineStr">
        <is>
          <t>10 EVIDENCE &amp; DECISIONS</t>
        </is>
      </c>
    </row>
    <row r="1397" ht="34" customHeight="1">
      <c r="A1397" s="34" t="inlineStr">
        <is>
          <t>R1025-v2</t>
        </is>
      </c>
      <c r="B1397" s="34" t="inlineStr">
        <is>
          <t>Contractor Programme</t>
        </is>
      </c>
      <c r="C1397" s="34" t="inlineStr">
        <is>
          <t>SCH-06-125</t>
        </is>
      </c>
      <c r="D1397" s="34" t="inlineStr">
        <is>
          <t>UNSURE</t>
        </is>
      </c>
      <c r="E1397" s="34" t="inlineStr">
        <is>
          <t>New</t>
        </is>
      </c>
      <c r="F1397" s="14" t="inlineStr"/>
      <c r="G1397" s="34" t="inlineStr">
        <is>
          <t>Maya Chen, Owner Project Controls</t>
        </is>
      </c>
      <c r="H1397" s="92" t="inlineStr">
        <is>
          <t>10 EVIDENCE &amp; DECISIONS</t>
        </is>
      </c>
    </row>
    <row r="1398" ht="34" customHeight="1">
      <c r="A1398" s="34" t="inlineStr">
        <is>
          <t>R1026-v2</t>
        </is>
      </c>
      <c r="B1398" s="34" t="inlineStr">
        <is>
          <t>Contractor Programme</t>
        </is>
      </c>
      <c r="C1398" s="34" t="inlineStr">
        <is>
          <t>SCH-06-126</t>
        </is>
      </c>
      <c r="D1398" s="34" t="inlineStr">
        <is>
          <t>UNSURE</t>
        </is>
      </c>
      <c r="E1398" s="34" t="inlineStr">
        <is>
          <t>New</t>
        </is>
      </c>
      <c r="F1398" s="14" t="inlineStr"/>
      <c r="G1398" s="34" t="inlineStr">
        <is>
          <t>Maya Chen, Owner Project Controls</t>
        </is>
      </c>
      <c r="H1398" s="92" t="inlineStr">
        <is>
          <t>10 EVIDENCE &amp; DECISIONS</t>
        </is>
      </c>
    </row>
    <row r="1399" ht="34" customHeight="1">
      <c r="A1399" s="34" t="inlineStr">
        <is>
          <t>R1027-v2</t>
        </is>
      </c>
      <c r="B1399" s="34" t="inlineStr">
        <is>
          <t>Contractor Programme</t>
        </is>
      </c>
      <c r="C1399" s="34" t="inlineStr">
        <is>
          <t>SCH-06-127</t>
        </is>
      </c>
      <c r="D1399" s="34" t="inlineStr">
        <is>
          <t>UNSURE</t>
        </is>
      </c>
      <c r="E1399" s="34" t="inlineStr">
        <is>
          <t>New</t>
        </is>
      </c>
      <c r="F1399" s="14" t="inlineStr"/>
      <c r="G1399" s="34" t="inlineStr">
        <is>
          <t>Maya Chen, Owner Project Controls</t>
        </is>
      </c>
      <c r="H1399" s="92" t="inlineStr">
        <is>
          <t>10 EVIDENCE &amp; DECISIONS</t>
        </is>
      </c>
    </row>
    <row r="1400" ht="34" customHeight="1">
      <c r="A1400" s="34" t="inlineStr">
        <is>
          <t>R1028-v2</t>
        </is>
      </c>
      <c r="B1400" s="34" t="inlineStr">
        <is>
          <t>Contractor Programme</t>
        </is>
      </c>
      <c r="C1400" s="34" t="inlineStr">
        <is>
          <t>SCH-06-128</t>
        </is>
      </c>
      <c r="D1400" s="34" t="inlineStr">
        <is>
          <t>UNSURE</t>
        </is>
      </c>
      <c r="E1400" s="34" t="inlineStr">
        <is>
          <t>New</t>
        </is>
      </c>
      <c r="F1400" s="14" t="inlineStr"/>
      <c r="G1400" s="34" t="inlineStr">
        <is>
          <t>Maya Chen, Owner Project Controls</t>
        </is>
      </c>
      <c r="H1400" s="92" t="inlineStr">
        <is>
          <t>10 EVIDENCE &amp; DECISIONS</t>
        </is>
      </c>
    </row>
    <row r="1401" ht="34" customHeight="1">
      <c r="A1401" s="34" t="inlineStr">
        <is>
          <t>R1029-v2</t>
        </is>
      </c>
      <c r="B1401" s="34" t="inlineStr">
        <is>
          <t>Contractor Programme</t>
        </is>
      </c>
      <c r="C1401" s="34" t="inlineStr">
        <is>
          <t>SCH-06-129</t>
        </is>
      </c>
      <c r="D1401" s="34" t="inlineStr">
        <is>
          <t>UNSURE</t>
        </is>
      </c>
      <c r="E1401" s="34" t="inlineStr">
        <is>
          <t>New</t>
        </is>
      </c>
      <c r="F1401" s="14" t="inlineStr"/>
      <c r="G1401" s="34" t="inlineStr">
        <is>
          <t>Maya Chen, Owner Project Controls</t>
        </is>
      </c>
      <c r="H1401" s="92" t="inlineStr">
        <is>
          <t>10 EVIDENCE &amp; DECISIONS</t>
        </is>
      </c>
    </row>
    <row r="1402" ht="34" customHeight="1">
      <c r="A1402" s="34" t="inlineStr">
        <is>
          <t>R1030-v2</t>
        </is>
      </c>
      <c r="B1402" s="34" t="inlineStr">
        <is>
          <t>Contractor Programme</t>
        </is>
      </c>
      <c r="C1402" s="34" t="inlineStr">
        <is>
          <t>SCH-06-130</t>
        </is>
      </c>
      <c r="D1402" s="34" t="inlineStr">
        <is>
          <t>UNSURE</t>
        </is>
      </c>
      <c r="E1402" s="34" t="inlineStr">
        <is>
          <t>New</t>
        </is>
      </c>
      <c r="F1402" s="14" t="inlineStr"/>
      <c r="G1402" s="34" t="inlineStr">
        <is>
          <t>Maya Chen, Owner Project Controls</t>
        </is>
      </c>
      <c r="H1402" s="92" t="inlineStr">
        <is>
          <t>10 EVIDENCE &amp; DECISIONS</t>
        </is>
      </c>
    </row>
    <row r="1403" ht="34" customHeight="1">
      <c r="A1403" s="34" t="inlineStr">
        <is>
          <t>R1031-v2</t>
        </is>
      </c>
      <c r="B1403" s="34" t="inlineStr">
        <is>
          <t>Contractor Programme</t>
        </is>
      </c>
      <c r="C1403" s="34" t="inlineStr">
        <is>
          <t>SCH-06-131</t>
        </is>
      </c>
      <c r="D1403" s="34" t="inlineStr">
        <is>
          <t>UNSURE</t>
        </is>
      </c>
      <c r="E1403" s="34" t="inlineStr">
        <is>
          <t>New</t>
        </is>
      </c>
      <c r="F1403" s="14" t="inlineStr"/>
      <c r="G1403" s="34" t="inlineStr">
        <is>
          <t>Maya Chen, Owner Project Controls</t>
        </is>
      </c>
      <c r="H1403" s="92" t="inlineStr">
        <is>
          <t>10 EVIDENCE &amp; DECISIONS</t>
        </is>
      </c>
    </row>
    <row r="1404" ht="34" customHeight="1">
      <c r="A1404" s="34" t="inlineStr">
        <is>
          <t>R1032-v2</t>
        </is>
      </c>
      <c r="B1404" s="34" t="inlineStr">
        <is>
          <t>Contractor Programme</t>
        </is>
      </c>
      <c r="C1404" s="34" t="inlineStr">
        <is>
          <t>SCH-06-132</t>
        </is>
      </c>
      <c r="D1404" s="34" t="inlineStr">
        <is>
          <t>UNSURE</t>
        </is>
      </c>
      <c r="E1404" s="34" t="inlineStr">
        <is>
          <t>New</t>
        </is>
      </c>
      <c r="F1404" s="14" t="inlineStr"/>
      <c r="G1404" s="34" t="inlineStr">
        <is>
          <t>Maya Chen, Owner Project Controls</t>
        </is>
      </c>
      <c r="H1404" s="92" t="inlineStr">
        <is>
          <t>10 EVIDENCE &amp; DECISIONS</t>
        </is>
      </c>
    </row>
    <row r="1405" ht="34" customHeight="1">
      <c r="A1405" s="34" t="inlineStr">
        <is>
          <t>R1033-v2</t>
        </is>
      </c>
      <c r="B1405" s="34" t="inlineStr">
        <is>
          <t>Contractor Programme</t>
        </is>
      </c>
      <c r="C1405" s="34" t="inlineStr">
        <is>
          <t>SCH-06-133</t>
        </is>
      </c>
      <c r="D1405" s="34" t="inlineStr">
        <is>
          <t>UNSURE</t>
        </is>
      </c>
      <c r="E1405" s="34" t="inlineStr">
        <is>
          <t>New</t>
        </is>
      </c>
      <c r="F1405" s="14" t="inlineStr"/>
      <c r="G1405" s="34" t="inlineStr">
        <is>
          <t>Maya Chen, Owner Project Controls</t>
        </is>
      </c>
      <c r="H1405" s="92" t="inlineStr">
        <is>
          <t>10 EVIDENCE &amp; DECISIONS</t>
        </is>
      </c>
    </row>
    <row r="1406" ht="34" customHeight="1">
      <c r="A1406" s="34" t="inlineStr">
        <is>
          <t>R1034-v2</t>
        </is>
      </c>
      <c r="B1406" s="34" t="inlineStr">
        <is>
          <t>Contractor Programme</t>
        </is>
      </c>
      <c r="C1406" s="34" t="inlineStr">
        <is>
          <t>SCH-06-134</t>
        </is>
      </c>
      <c r="D1406" s="34" t="inlineStr">
        <is>
          <t>UNSURE</t>
        </is>
      </c>
      <c r="E1406" s="34" t="inlineStr">
        <is>
          <t>New</t>
        </is>
      </c>
      <c r="F1406" s="14" t="inlineStr"/>
      <c r="G1406" s="34" t="inlineStr">
        <is>
          <t>Maya Chen, Owner Project Controls</t>
        </is>
      </c>
      <c r="H1406" s="92" t="inlineStr">
        <is>
          <t>10 EVIDENCE &amp; DECISIONS</t>
        </is>
      </c>
    </row>
    <row r="1407" ht="34" customHeight="1">
      <c r="A1407" s="34" t="inlineStr">
        <is>
          <t>R1035-v2</t>
        </is>
      </c>
      <c r="B1407" s="34" t="inlineStr">
        <is>
          <t>Contractor Programme</t>
        </is>
      </c>
      <c r="C1407" s="34" t="inlineStr">
        <is>
          <t>SCH-06-135</t>
        </is>
      </c>
      <c r="D1407" s="34" t="inlineStr">
        <is>
          <t>UNSURE</t>
        </is>
      </c>
      <c r="E1407" s="34" t="inlineStr">
        <is>
          <t>New</t>
        </is>
      </c>
      <c r="F1407" s="14" t="inlineStr"/>
      <c r="G1407" s="34" t="inlineStr">
        <is>
          <t>Maya Chen, Owner Project Controls</t>
        </is>
      </c>
      <c r="H1407" s="92" t="inlineStr">
        <is>
          <t>10 EVIDENCE &amp; DECISIONS</t>
        </is>
      </c>
    </row>
    <row r="1408" ht="34" customHeight="1">
      <c r="A1408" s="34" t="inlineStr">
        <is>
          <t>R1036-v2</t>
        </is>
      </c>
      <c r="B1408" s="34" t="inlineStr">
        <is>
          <t>Contractor Programme</t>
        </is>
      </c>
      <c r="C1408" s="34" t="inlineStr">
        <is>
          <t>SCH-06-136</t>
        </is>
      </c>
      <c r="D1408" s="34" t="inlineStr">
        <is>
          <t>UNSURE</t>
        </is>
      </c>
      <c r="E1408" s="34" t="inlineStr">
        <is>
          <t>New</t>
        </is>
      </c>
      <c r="F1408" s="14" t="inlineStr"/>
      <c r="G1408" s="34" t="inlineStr">
        <is>
          <t>Maya Chen, Owner Project Controls</t>
        </is>
      </c>
      <c r="H1408" s="92" t="inlineStr">
        <is>
          <t>10 EVIDENCE &amp; DECISIONS</t>
        </is>
      </c>
    </row>
    <row r="1409" ht="34" customHeight="1">
      <c r="A1409" s="34" t="inlineStr">
        <is>
          <t>R1037-v2</t>
        </is>
      </c>
      <c r="B1409" s="34" t="inlineStr">
        <is>
          <t>Contractor Programme</t>
        </is>
      </c>
      <c r="C1409" s="34" t="inlineStr">
        <is>
          <t>SCH-06-137</t>
        </is>
      </c>
      <c r="D1409" s="34" t="inlineStr">
        <is>
          <t>UNSURE</t>
        </is>
      </c>
      <c r="E1409" s="34" t="inlineStr">
        <is>
          <t>New</t>
        </is>
      </c>
      <c r="F1409" s="14" t="inlineStr"/>
      <c r="G1409" s="34" t="inlineStr">
        <is>
          <t>Maya Chen, Owner Project Controls</t>
        </is>
      </c>
      <c r="H1409" s="92" t="inlineStr">
        <is>
          <t>10 EVIDENCE &amp; DECISIONS</t>
        </is>
      </c>
    </row>
    <row r="1410" ht="34" customHeight="1">
      <c r="A1410" s="34" t="inlineStr">
        <is>
          <t>R1038-v2</t>
        </is>
      </c>
      <c r="B1410" s="34" t="inlineStr">
        <is>
          <t>Contractor Programme</t>
        </is>
      </c>
      <c r="C1410" s="34" t="inlineStr">
        <is>
          <t>SCH-06-138</t>
        </is>
      </c>
      <c r="D1410" s="34" t="inlineStr">
        <is>
          <t>UNSURE</t>
        </is>
      </c>
      <c r="E1410" s="34" t="inlineStr">
        <is>
          <t>New</t>
        </is>
      </c>
      <c r="F1410" s="14" t="inlineStr"/>
      <c r="G1410" s="34" t="inlineStr">
        <is>
          <t>Maya Chen, Owner Project Controls</t>
        </is>
      </c>
      <c r="H1410" s="92" t="inlineStr">
        <is>
          <t>10 EVIDENCE &amp; DECISIONS</t>
        </is>
      </c>
    </row>
    <row r="1411" ht="34" customHeight="1">
      <c r="A1411" s="34" t="inlineStr">
        <is>
          <t>R1039-v2</t>
        </is>
      </c>
      <c r="B1411" s="34" t="inlineStr">
        <is>
          <t>Contractor Programme</t>
        </is>
      </c>
      <c r="C1411" s="34" t="inlineStr">
        <is>
          <t>SCH-06-139</t>
        </is>
      </c>
      <c r="D1411" s="34" t="inlineStr">
        <is>
          <t>UNSURE</t>
        </is>
      </c>
      <c r="E1411" s="34" t="inlineStr">
        <is>
          <t>New</t>
        </is>
      </c>
      <c r="F1411" s="14" t="inlineStr"/>
      <c r="G1411" s="34" t="inlineStr">
        <is>
          <t>Maya Chen, Owner Project Controls</t>
        </is>
      </c>
      <c r="H1411" s="92" t="inlineStr">
        <is>
          <t>10 EVIDENCE &amp; DECISIONS</t>
        </is>
      </c>
    </row>
    <row r="1412" ht="34" customHeight="1">
      <c r="A1412" s="34" t="inlineStr">
        <is>
          <t>R1040-v2</t>
        </is>
      </c>
      <c r="B1412" s="34" t="inlineStr">
        <is>
          <t>Contractor Programme</t>
        </is>
      </c>
      <c r="C1412" s="34" t="inlineStr">
        <is>
          <t>SCH-06-140</t>
        </is>
      </c>
      <c r="D1412" s="34" t="inlineStr">
        <is>
          <t>UNSURE</t>
        </is>
      </c>
      <c r="E1412" s="34" t="inlineStr">
        <is>
          <t>New</t>
        </is>
      </c>
      <c r="F1412" s="14" t="inlineStr"/>
      <c r="G1412" s="34" t="inlineStr">
        <is>
          <t>Maya Chen, Owner Project Controls</t>
        </is>
      </c>
      <c r="H1412" s="92" t="inlineStr">
        <is>
          <t>10 EVIDENCE &amp; DECISIONS</t>
        </is>
      </c>
    </row>
    <row r="1413" ht="34" customHeight="1">
      <c r="A1413" s="34" t="inlineStr">
        <is>
          <t>R1041-v2</t>
        </is>
      </c>
      <c r="B1413" s="34" t="inlineStr">
        <is>
          <t>Contractor Programme</t>
        </is>
      </c>
      <c r="C1413" s="34" t="inlineStr">
        <is>
          <t>SCH-06-141</t>
        </is>
      </c>
      <c r="D1413" s="34" t="inlineStr">
        <is>
          <t>UNSURE</t>
        </is>
      </c>
      <c r="E1413" s="34" t="inlineStr">
        <is>
          <t>New</t>
        </is>
      </c>
      <c r="F1413" s="14" t="inlineStr"/>
      <c r="G1413" s="34" t="inlineStr">
        <is>
          <t>Maya Chen, Owner Project Controls</t>
        </is>
      </c>
      <c r="H1413" s="92" t="inlineStr">
        <is>
          <t>10 EVIDENCE &amp; DECISIONS</t>
        </is>
      </c>
    </row>
    <row r="1414" ht="34" customHeight="1">
      <c r="A1414" s="34" t="inlineStr">
        <is>
          <t>R1042-v2</t>
        </is>
      </c>
      <c r="B1414" s="34" t="inlineStr">
        <is>
          <t>Contractor Programme</t>
        </is>
      </c>
      <c r="C1414" s="34" t="inlineStr">
        <is>
          <t>SCH-06-142</t>
        </is>
      </c>
      <c r="D1414" s="34" t="inlineStr">
        <is>
          <t>UNSURE</t>
        </is>
      </c>
      <c r="E1414" s="34" t="inlineStr">
        <is>
          <t>New</t>
        </is>
      </c>
      <c r="F1414" s="14" t="inlineStr"/>
      <c r="G1414" s="34" t="inlineStr">
        <is>
          <t>Maya Chen, Owner Project Controls</t>
        </is>
      </c>
      <c r="H1414" s="92" t="inlineStr">
        <is>
          <t>10 EVIDENCE &amp; DECISIONS</t>
        </is>
      </c>
    </row>
    <row r="1415" ht="34" customHeight="1">
      <c r="A1415" s="34" t="inlineStr">
        <is>
          <t>R1043-v2</t>
        </is>
      </c>
      <c r="B1415" s="34" t="inlineStr">
        <is>
          <t>Contractor Programme</t>
        </is>
      </c>
      <c r="C1415" s="34" t="inlineStr">
        <is>
          <t>SCH-06-143</t>
        </is>
      </c>
      <c r="D1415" s="34" t="inlineStr">
        <is>
          <t>UNSURE</t>
        </is>
      </c>
      <c r="E1415" s="34" t="inlineStr">
        <is>
          <t>New</t>
        </is>
      </c>
      <c r="F1415" s="14" t="inlineStr"/>
      <c r="G1415" s="34" t="inlineStr">
        <is>
          <t>Maya Chen, Owner Project Controls</t>
        </is>
      </c>
      <c r="H1415" s="92" t="inlineStr">
        <is>
          <t>10 EVIDENCE &amp; DECISIONS</t>
        </is>
      </c>
    </row>
    <row r="1416" ht="34" customHeight="1">
      <c r="A1416" s="34" t="inlineStr">
        <is>
          <t>R1044-v2</t>
        </is>
      </c>
      <c r="B1416" s="34" t="inlineStr">
        <is>
          <t>Contractor Programme</t>
        </is>
      </c>
      <c r="C1416" s="34" t="inlineStr">
        <is>
          <t>SCH-06-144</t>
        </is>
      </c>
      <c r="D1416" s="34" t="inlineStr">
        <is>
          <t>UNSURE</t>
        </is>
      </c>
      <c r="E1416" s="34" t="inlineStr">
        <is>
          <t>New</t>
        </is>
      </c>
      <c r="F1416" s="14" t="inlineStr"/>
      <c r="G1416" s="34" t="inlineStr">
        <is>
          <t>Maya Chen, Owner Project Controls</t>
        </is>
      </c>
      <c r="H1416" s="92" t="inlineStr">
        <is>
          <t>10 EVIDENCE &amp; DECISIONS</t>
        </is>
      </c>
    </row>
    <row r="1417" ht="34" customHeight="1">
      <c r="A1417" s="34" t="inlineStr">
        <is>
          <t>R1045-v2</t>
        </is>
      </c>
      <c r="B1417" s="34" t="inlineStr">
        <is>
          <t>Contractor Programme</t>
        </is>
      </c>
      <c r="C1417" s="34" t="inlineStr">
        <is>
          <t>SCH-06-145</t>
        </is>
      </c>
      <c r="D1417" s="34" t="inlineStr">
        <is>
          <t>UNSURE</t>
        </is>
      </c>
      <c r="E1417" s="34" t="inlineStr">
        <is>
          <t>New</t>
        </is>
      </c>
      <c r="F1417" s="14" t="inlineStr"/>
      <c r="G1417" s="34" t="inlineStr">
        <is>
          <t>Maya Chen, Owner Project Controls</t>
        </is>
      </c>
      <c r="H1417" s="92" t="inlineStr">
        <is>
          <t>10 EVIDENCE &amp; DECISIONS</t>
        </is>
      </c>
    </row>
    <row r="1418" ht="34" customHeight="1">
      <c r="A1418" s="34" t="inlineStr">
        <is>
          <t>R1046-v2</t>
        </is>
      </c>
      <c r="B1418" s="34" t="inlineStr">
        <is>
          <t>Contractor Programme</t>
        </is>
      </c>
      <c r="C1418" s="34" t="inlineStr">
        <is>
          <t>SCH-06-146</t>
        </is>
      </c>
      <c r="D1418" s="34" t="inlineStr">
        <is>
          <t>UNSURE</t>
        </is>
      </c>
      <c r="E1418" s="34" t="inlineStr">
        <is>
          <t>New</t>
        </is>
      </c>
      <c r="F1418" s="14" t="inlineStr"/>
      <c r="G1418" s="34" t="inlineStr">
        <is>
          <t>Maya Chen, Owner Project Controls</t>
        </is>
      </c>
      <c r="H1418" s="92" t="inlineStr">
        <is>
          <t>10 EVIDENCE &amp; DECISIONS</t>
        </is>
      </c>
    </row>
    <row r="1419" ht="34" customHeight="1">
      <c r="A1419" s="34" t="inlineStr">
        <is>
          <t>R1047-v2</t>
        </is>
      </c>
      <c r="B1419" s="34" t="inlineStr">
        <is>
          <t>Contractor Programme</t>
        </is>
      </c>
      <c r="C1419" s="34" t="inlineStr">
        <is>
          <t>SCH-06-147</t>
        </is>
      </c>
      <c r="D1419" s="34" t="inlineStr">
        <is>
          <t>UNSURE</t>
        </is>
      </c>
      <c r="E1419" s="34" t="inlineStr">
        <is>
          <t>New</t>
        </is>
      </c>
      <c r="F1419" s="14" t="inlineStr"/>
      <c r="G1419" s="34" t="inlineStr">
        <is>
          <t>Maya Chen, Owner Project Controls</t>
        </is>
      </c>
      <c r="H1419" s="92" t="inlineStr">
        <is>
          <t>10 EVIDENCE &amp; DECISIONS</t>
        </is>
      </c>
    </row>
    <row r="1420" ht="34" customHeight="1">
      <c r="A1420" s="34" t="inlineStr">
        <is>
          <t>R1048-v2</t>
        </is>
      </c>
      <c r="B1420" s="34" t="inlineStr">
        <is>
          <t>Contractor Programme</t>
        </is>
      </c>
      <c r="C1420" s="34" t="inlineStr">
        <is>
          <t>SCH-06-148</t>
        </is>
      </c>
      <c r="D1420" s="34" t="inlineStr">
        <is>
          <t>UNSURE</t>
        </is>
      </c>
      <c r="E1420" s="34" t="inlineStr">
        <is>
          <t>New</t>
        </is>
      </c>
      <c r="F1420" s="14" t="inlineStr"/>
      <c r="G1420" s="34" t="inlineStr">
        <is>
          <t>Maya Chen, Owner Project Controls</t>
        </is>
      </c>
      <c r="H1420" s="92" t="inlineStr">
        <is>
          <t>10 EVIDENCE &amp; DECISIONS</t>
        </is>
      </c>
    </row>
    <row r="1421" ht="34" customHeight="1">
      <c r="A1421" s="34" t="inlineStr">
        <is>
          <t>R1049-v2</t>
        </is>
      </c>
      <c r="B1421" s="34" t="inlineStr">
        <is>
          <t>Contractor Programme</t>
        </is>
      </c>
      <c r="C1421" s="34" t="inlineStr">
        <is>
          <t>SCH-06-149</t>
        </is>
      </c>
      <c r="D1421" s="34" t="inlineStr">
        <is>
          <t>UNSURE</t>
        </is>
      </c>
      <c r="E1421" s="34" t="inlineStr">
        <is>
          <t>New</t>
        </is>
      </c>
      <c r="F1421" s="14" t="inlineStr"/>
      <c r="G1421" s="34" t="inlineStr">
        <is>
          <t>Maya Chen, Owner Project Controls</t>
        </is>
      </c>
      <c r="H1421" s="92" t="inlineStr">
        <is>
          <t>10 EVIDENCE &amp; DECISIONS</t>
        </is>
      </c>
    </row>
    <row r="1422" ht="34" customHeight="1">
      <c r="A1422" s="34" t="inlineStr">
        <is>
          <t>R1050-v2</t>
        </is>
      </c>
      <c r="B1422" s="34" t="inlineStr">
        <is>
          <t>Contractor Programme</t>
        </is>
      </c>
      <c r="C1422" s="34" t="inlineStr">
        <is>
          <t>SCH-06-150</t>
        </is>
      </c>
      <c r="D1422" s="34" t="inlineStr">
        <is>
          <t>UNSURE</t>
        </is>
      </c>
      <c r="E1422" s="34" t="inlineStr">
        <is>
          <t>New</t>
        </is>
      </c>
      <c r="F1422" s="14" t="inlineStr"/>
      <c r="G1422" s="34" t="inlineStr">
        <is>
          <t>Maya Chen, Owner Project Controls</t>
        </is>
      </c>
      <c r="H1422" s="92" t="inlineStr">
        <is>
          <t>10 EVIDENCE &amp; DECISIONS</t>
        </is>
      </c>
    </row>
    <row r="1423" ht="34" customHeight="1">
      <c r="A1423" s="34" t="inlineStr">
        <is>
          <t>R1051-v2</t>
        </is>
      </c>
      <c r="B1423" s="34" t="inlineStr">
        <is>
          <t>Contractor Programme</t>
        </is>
      </c>
      <c r="C1423" s="34" t="inlineStr">
        <is>
          <t>SCH-06-151</t>
        </is>
      </c>
      <c r="D1423" s="34" t="inlineStr">
        <is>
          <t>UNSURE</t>
        </is>
      </c>
      <c r="E1423" s="34" t="inlineStr">
        <is>
          <t>New</t>
        </is>
      </c>
      <c r="F1423" s="14" t="inlineStr"/>
      <c r="G1423" s="34" t="inlineStr">
        <is>
          <t>Maya Chen, Owner Project Controls</t>
        </is>
      </c>
      <c r="H1423" s="92" t="inlineStr">
        <is>
          <t>10 EVIDENCE &amp; DECISIONS</t>
        </is>
      </c>
    </row>
    <row r="1424" ht="34" customHeight="1">
      <c r="A1424" s="34" t="inlineStr">
        <is>
          <t>R1052-v2</t>
        </is>
      </c>
      <c r="B1424" s="34" t="inlineStr">
        <is>
          <t>Contractor Programme</t>
        </is>
      </c>
      <c r="C1424" s="34" t="inlineStr">
        <is>
          <t>SCH-06-152</t>
        </is>
      </c>
      <c r="D1424" s="34" t="inlineStr">
        <is>
          <t>UNSURE</t>
        </is>
      </c>
      <c r="E1424" s="34" t="inlineStr">
        <is>
          <t>New</t>
        </is>
      </c>
      <c r="F1424" s="14" t="inlineStr"/>
      <c r="G1424" s="34" t="inlineStr">
        <is>
          <t>Maya Chen, Owner Project Controls</t>
        </is>
      </c>
      <c r="H1424" s="92" t="inlineStr">
        <is>
          <t>10 EVIDENCE &amp; DECISIONS</t>
        </is>
      </c>
    </row>
    <row r="1425" ht="34" customHeight="1">
      <c r="A1425" s="34" t="inlineStr">
        <is>
          <t>R1053-v2</t>
        </is>
      </c>
      <c r="B1425" s="34" t="inlineStr">
        <is>
          <t>Contractor Programme</t>
        </is>
      </c>
      <c r="C1425" s="34" t="inlineStr">
        <is>
          <t>SCH-06-153</t>
        </is>
      </c>
      <c r="D1425" s="34" t="inlineStr">
        <is>
          <t>UNSURE</t>
        </is>
      </c>
      <c r="E1425" s="34" t="inlineStr">
        <is>
          <t>New</t>
        </is>
      </c>
      <c r="F1425" s="14" t="inlineStr"/>
      <c r="G1425" s="34" t="inlineStr">
        <is>
          <t>Maya Chen, Owner Project Controls</t>
        </is>
      </c>
      <c r="H1425" s="92" t="inlineStr">
        <is>
          <t>10 EVIDENCE &amp; DECISIONS</t>
        </is>
      </c>
    </row>
    <row r="1426" ht="34" customHeight="1">
      <c r="A1426" s="34" t="inlineStr">
        <is>
          <t>R1054-v2</t>
        </is>
      </c>
      <c r="B1426" s="34" t="inlineStr">
        <is>
          <t>Contractor Programme</t>
        </is>
      </c>
      <c r="C1426" s="34" t="inlineStr">
        <is>
          <t>SCH-06-154</t>
        </is>
      </c>
      <c r="D1426" s="34" t="inlineStr">
        <is>
          <t>UNSURE</t>
        </is>
      </c>
      <c r="E1426" s="34" t="inlineStr">
        <is>
          <t>New</t>
        </is>
      </c>
      <c r="F1426" s="14" t="inlineStr"/>
      <c r="G1426" s="34" t="inlineStr">
        <is>
          <t>Maya Chen, Owner Project Controls</t>
        </is>
      </c>
      <c r="H1426" s="92" t="inlineStr">
        <is>
          <t>10 EVIDENCE &amp; DECISIONS</t>
        </is>
      </c>
    </row>
    <row r="1427" ht="34" customHeight="1">
      <c r="A1427" s="34" t="inlineStr">
        <is>
          <t>R1055-v2</t>
        </is>
      </c>
      <c r="B1427" s="34" t="inlineStr">
        <is>
          <t>Contractor Programme</t>
        </is>
      </c>
      <c r="C1427" s="34" t="inlineStr">
        <is>
          <t>SCH-06-155</t>
        </is>
      </c>
      <c r="D1427" s="34" t="inlineStr">
        <is>
          <t>UNSURE</t>
        </is>
      </c>
      <c r="E1427" s="34" t="inlineStr">
        <is>
          <t>New</t>
        </is>
      </c>
      <c r="F1427" s="14" t="inlineStr"/>
      <c r="G1427" s="34" t="inlineStr">
        <is>
          <t>Maya Chen, Owner Project Controls</t>
        </is>
      </c>
      <c r="H1427" s="92" t="inlineStr">
        <is>
          <t>10 EVIDENCE &amp; DECISIONS</t>
        </is>
      </c>
    </row>
    <row r="1428" ht="34" customHeight="1">
      <c r="A1428" s="34" t="inlineStr">
        <is>
          <t>R1056-v2</t>
        </is>
      </c>
      <c r="B1428" s="34" t="inlineStr">
        <is>
          <t>Contractor Programme</t>
        </is>
      </c>
      <c r="C1428" s="34" t="inlineStr">
        <is>
          <t>SCH-06-156</t>
        </is>
      </c>
      <c r="D1428" s="34" t="inlineStr">
        <is>
          <t>UNSURE</t>
        </is>
      </c>
      <c r="E1428" s="34" t="inlineStr">
        <is>
          <t>New</t>
        </is>
      </c>
      <c r="F1428" s="14" t="inlineStr"/>
      <c r="G1428" s="34" t="inlineStr">
        <is>
          <t>Maya Chen, Owner Project Controls</t>
        </is>
      </c>
      <c r="H1428" s="92" t="inlineStr">
        <is>
          <t>10 EVIDENCE &amp; DECISIONS</t>
        </is>
      </c>
    </row>
    <row r="1429" ht="34" customHeight="1">
      <c r="A1429" s="34" t="inlineStr">
        <is>
          <t>R1057-v2</t>
        </is>
      </c>
      <c r="B1429" s="34" t="inlineStr">
        <is>
          <t>Contractor Programme</t>
        </is>
      </c>
      <c r="C1429" s="34" t="inlineStr">
        <is>
          <t>SCH-06-157</t>
        </is>
      </c>
      <c r="D1429" s="34" t="inlineStr">
        <is>
          <t>UNSURE</t>
        </is>
      </c>
      <c r="E1429" s="34" t="inlineStr">
        <is>
          <t>New</t>
        </is>
      </c>
      <c r="F1429" s="14" t="inlineStr"/>
      <c r="G1429" s="34" t="inlineStr">
        <is>
          <t>Maya Chen, Owner Project Controls</t>
        </is>
      </c>
      <c r="H1429" s="92" t="inlineStr">
        <is>
          <t>10 EVIDENCE &amp; DECISIONS</t>
        </is>
      </c>
    </row>
    <row r="1430" ht="34" customHeight="1">
      <c r="A1430" s="34" t="inlineStr">
        <is>
          <t>R1058-v2</t>
        </is>
      </c>
      <c r="B1430" s="34" t="inlineStr">
        <is>
          <t>Contractor Programme</t>
        </is>
      </c>
      <c r="C1430" s="34" t="inlineStr">
        <is>
          <t>SCH-06-158</t>
        </is>
      </c>
      <c r="D1430" s="34" t="inlineStr">
        <is>
          <t>UNSURE</t>
        </is>
      </c>
      <c r="E1430" s="34" t="inlineStr">
        <is>
          <t>New</t>
        </is>
      </c>
      <c r="F1430" s="14" t="inlineStr"/>
      <c r="G1430" s="34" t="inlineStr">
        <is>
          <t>Maya Chen, Owner Project Controls</t>
        </is>
      </c>
      <c r="H1430" s="92" t="inlineStr">
        <is>
          <t>10 EVIDENCE &amp; DECISIONS</t>
        </is>
      </c>
    </row>
    <row r="1431" ht="34" customHeight="1">
      <c r="A1431" s="34" t="inlineStr">
        <is>
          <t>R1059-v2</t>
        </is>
      </c>
      <c r="B1431" s="34" t="inlineStr">
        <is>
          <t>Contractor Programme</t>
        </is>
      </c>
      <c r="C1431" s="34" t="inlineStr">
        <is>
          <t>SCH-06-159</t>
        </is>
      </c>
      <c r="D1431" s="34" t="inlineStr">
        <is>
          <t>UNSURE</t>
        </is>
      </c>
      <c r="E1431" s="34" t="inlineStr">
        <is>
          <t>New</t>
        </is>
      </c>
      <c r="F1431" s="14" t="inlineStr"/>
      <c r="G1431" s="34" t="inlineStr">
        <is>
          <t>Maya Chen, Owner Project Controls</t>
        </is>
      </c>
      <c r="H1431" s="92" t="inlineStr">
        <is>
          <t>10 EVIDENCE &amp; DECISIONS</t>
        </is>
      </c>
    </row>
    <row r="1432" ht="34" customHeight="1">
      <c r="A1432" s="34" t="inlineStr">
        <is>
          <t>R1060-v2</t>
        </is>
      </c>
      <c r="B1432" s="34" t="inlineStr">
        <is>
          <t>Contractor Programme</t>
        </is>
      </c>
      <c r="C1432" s="34" t="inlineStr">
        <is>
          <t>SCH-06-160</t>
        </is>
      </c>
      <c r="D1432" s="34" t="inlineStr">
        <is>
          <t>UNSURE</t>
        </is>
      </c>
      <c r="E1432" s="34" t="inlineStr">
        <is>
          <t>New</t>
        </is>
      </c>
      <c r="F1432" s="14" t="inlineStr"/>
      <c r="G1432" s="34" t="inlineStr">
        <is>
          <t>Maya Chen, Owner Project Controls</t>
        </is>
      </c>
      <c r="H1432" s="92" t="inlineStr">
        <is>
          <t>10 EVIDENCE &amp; DECISIONS</t>
        </is>
      </c>
    </row>
    <row r="1433" ht="34" customHeight="1">
      <c r="A1433" s="34" t="inlineStr">
        <is>
          <t>R1061-v2</t>
        </is>
      </c>
      <c r="B1433" s="34" t="inlineStr">
        <is>
          <t>Contractor Programme</t>
        </is>
      </c>
      <c r="C1433" s="34" t="inlineStr">
        <is>
          <t>SCH-06-161</t>
        </is>
      </c>
      <c r="D1433" s="34" t="inlineStr">
        <is>
          <t>UNSURE</t>
        </is>
      </c>
      <c r="E1433" s="34" t="inlineStr">
        <is>
          <t>New</t>
        </is>
      </c>
      <c r="F1433" s="14" t="inlineStr"/>
      <c r="G1433" s="34" t="inlineStr">
        <is>
          <t>Maya Chen, Owner Project Controls</t>
        </is>
      </c>
      <c r="H1433" s="92" t="inlineStr">
        <is>
          <t>10 EVIDENCE &amp; DECISIONS</t>
        </is>
      </c>
    </row>
    <row r="1434" ht="34" customHeight="1">
      <c r="A1434" s="34" t="inlineStr">
        <is>
          <t>R1062-v2</t>
        </is>
      </c>
      <c r="B1434" s="34" t="inlineStr">
        <is>
          <t>Contractor Programme</t>
        </is>
      </c>
      <c r="C1434" s="34" t="inlineStr">
        <is>
          <t>SCH-06-162</t>
        </is>
      </c>
      <c r="D1434" s="34" t="inlineStr">
        <is>
          <t>UNSURE</t>
        </is>
      </c>
      <c r="E1434" s="34" t="inlineStr">
        <is>
          <t>New</t>
        </is>
      </c>
      <c r="F1434" s="14" t="inlineStr"/>
      <c r="G1434" s="34" t="inlineStr">
        <is>
          <t>Maya Chen, Owner Project Controls</t>
        </is>
      </c>
      <c r="H1434" s="92" t="inlineStr">
        <is>
          <t>10 EVIDENCE &amp; DECISIONS</t>
        </is>
      </c>
    </row>
    <row r="1435" ht="34" customHeight="1">
      <c r="A1435" s="34" t="inlineStr">
        <is>
          <t>R1063-v2</t>
        </is>
      </c>
      <c r="B1435" s="34" t="inlineStr">
        <is>
          <t>Contractor Programme</t>
        </is>
      </c>
      <c r="C1435" s="34" t="inlineStr">
        <is>
          <t>SCH-06-163</t>
        </is>
      </c>
      <c r="D1435" s="34" t="inlineStr">
        <is>
          <t>UNSURE</t>
        </is>
      </c>
      <c r="E1435" s="34" t="inlineStr">
        <is>
          <t>New</t>
        </is>
      </c>
      <c r="F1435" s="14" t="inlineStr"/>
      <c r="G1435" s="34" t="inlineStr">
        <is>
          <t>Maya Chen, Owner Project Controls</t>
        </is>
      </c>
      <c r="H1435" s="92" t="inlineStr">
        <is>
          <t>10 EVIDENCE &amp; DECISIONS</t>
        </is>
      </c>
    </row>
    <row r="1436" ht="34" customHeight="1">
      <c r="A1436" s="34" t="inlineStr">
        <is>
          <t>R1064-v2</t>
        </is>
      </c>
      <c r="B1436" s="34" t="inlineStr">
        <is>
          <t>Contractor Programme</t>
        </is>
      </c>
      <c r="C1436" s="34" t="inlineStr">
        <is>
          <t>SCH-06-164</t>
        </is>
      </c>
      <c r="D1436" s="34" t="inlineStr">
        <is>
          <t>UNSURE</t>
        </is>
      </c>
      <c r="E1436" s="34" t="inlineStr">
        <is>
          <t>New</t>
        </is>
      </c>
      <c r="F1436" s="14" t="inlineStr"/>
      <c r="G1436" s="34" t="inlineStr">
        <is>
          <t>Maya Chen, Owner Project Controls</t>
        </is>
      </c>
      <c r="H1436" s="92" t="inlineStr">
        <is>
          <t>10 EVIDENCE &amp; DECISIONS</t>
        </is>
      </c>
    </row>
    <row r="1437" ht="34" customHeight="1">
      <c r="A1437" s="34" t="inlineStr">
        <is>
          <t>R1065-v2</t>
        </is>
      </c>
      <c r="B1437" s="34" t="inlineStr">
        <is>
          <t>Contractor Programme</t>
        </is>
      </c>
      <c r="C1437" s="34" t="inlineStr">
        <is>
          <t>SCH-06-165</t>
        </is>
      </c>
      <c r="D1437" s="34" t="inlineStr">
        <is>
          <t>UNSURE</t>
        </is>
      </c>
      <c r="E1437" s="34" t="inlineStr">
        <is>
          <t>New</t>
        </is>
      </c>
      <c r="F1437" s="14" t="inlineStr"/>
      <c r="G1437" s="34" t="inlineStr">
        <is>
          <t>Maya Chen, Owner Project Controls</t>
        </is>
      </c>
      <c r="H1437" s="92" t="inlineStr">
        <is>
          <t>10 EVIDENCE &amp; DECISIONS</t>
        </is>
      </c>
    </row>
    <row r="1438" ht="34" customHeight="1">
      <c r="A1438" s="34" t="inlineStr">
        <is>
          <t>R1066-v2</t>
        </is>
      </c>
      <c r="B1438" s="34" t="inlineStr">
        <is>
          <t>Contractor Programme</t>
        </is>
      </c>
      <c r="C1438" s="34" t="inlineStr">
        <is>
          <t>SCH-06-166</t>
        </is>
      </c>
      <c r="D1438" s="34" t="inlineStr">
        <is>
          <t>UNSURE</t>
        </is>
      </c>
      <c r="E1438" s="34" t="inlineStr">
        <is>
          <t>New</t>
        </is>
      </c>
      <c r="F1438" s="14" t="inlineStr"/>
      <c r="G1438" s="34" t="inlineStr">
        <is>
          <t>Maya Chen, Owner Project Controls</t>
        </is>
      </c>
      <c r="H1438" s="92" t="inlineStr">
        <is>
          <t>10 EVIDENCE &amp; DECISIONS</t>
        </is>
      </c>
    </row>
    <row r="1439" ht="34" customHeight="1">
      <c r="A1439" s="34" t="inlineStr">
        <is>
          <t>R1067-v2</t>
        </is>
      </c>
      <c r="B1439" s="34" t="inlineStr">
        <is>
          <t>Contractor Programme</t>
        </is>
      </c>
      <c r="C1439" s="34" t="inlineStr">
        <is>
          <t>SCH-06-167</t>
        </is>
      </c>
      <c r="D1439" s="34" t="inlineStr">
        <is>
          <t>UNSURE</t>
        </is>
      </c>
      <c r="E1439" s="34" t="inlineStr">
        <is>
          <t>New</t>
        </is>
      </c>
      <c r="F1439" s="14" t="inlineStr"/>
      <c r="G1439" s="34" t="inlineStr">
        <is>
          <t>Maya Chen, Owner Project Controls</t>
        </is>
      </c>
      <c r="H1439" s="92" t="inlineStr">
        <is>
          <t>10 EVIDENCE &amp; DECISIONS</t>
        </is>
      </c>
    </row>
    <row r="1440" ht="34" customHeight="1">
      <c r="A1440" s="34" t="inlineStr">
        <is>
          <t>R1068-v2</t>
        </is>
      </c>
      <c r="B1440" s="34" t="inlineStr">
        <is>
          <t>Contractor Programme</t>
        </is>
      </c>
      <c r="C1440" s="34" t="inlineStr">
        <is>
          <t>SCH-06-168</t>
        </is>
      </c>
      <c r="D1440" s="34" t="inlineStr">
        <is>
          <t>UNSURE</t>
        </is>
      </c>
      <c r="E1440" s="34" t="inlineStr">
        <is>
          <t>New</t>
        </is>
      </c>
      <c r="F1440" s="14" t="inlineStr"/>
      <c r="G1440" s="34" t="inlineStr">
        <is>
          <t>Maya Chen, Owner Project Controls</t>
        </is>
      </c>
      <c r="H1440" s="92" t="inlineStr">
        <is>
          <t>10 EVIDENCE &amp; DECISIONS</t>
        </is>
      </c>
    </row>
    <row r="1441" ht="34" customHeight="1">
      <c r="A1441" s="34" t="inlineStr">
        <is>
          <t>R1069-v2</t>
        </is>
      </c>
      <c r="B1441" s="34" t="inlineStr">
        <is>
          <t>Contractor Programme</t>
        </is>
      </c>
      <c r="C1441" s="34" t="inlineStr">
        <is>
          <t>SCH-06-169</t>
        </is>
      </c>
      <c r="D1441" s="34" t="inlineStr">
        <is>
          <t>UNSURE</t>
        </is>
      </c>
      <c r="E1441" s="34" t="inlineStr">
        <is>
          <t>New</t>
        </is>
      </c>
      <c r="F1441" s="14" t="inlineStr"/>
      <c r="G1441" s="34" t="inlineStr">
        <is>
          <t>Maya Chen, Owner Project Controls</t>
        </is>
      </c>
      <c r="H1441" s="92" t="inlineStr">
        <is>
          <t>10 EVIDENCE &amp; DECISIONS</t>
        </is>
      </c>
    </row>
    <row r="1442" ht="34" customHeight="1">
      <c r="A1442" s="34" t="inlineStr">
        <is>
          <t>R1070-v2</t>
        </is>
      </c>
      <c r="B1442" s="34" t="inlineStr">
        <is>
          <t>Contractor Programme</t>
        </is>
      </c>
      <c r="C1442" s="34" t="inlineStr">
        <is>
          <t>SCH-06-170</t>
        </is>
      </c>
      <c r="D1442" s="34" t="inlineStr">
        <is>
          <t>UNSURE</t>
        </is>
      </c>
      <c r="E1442" s="34" t="inlineStr">
        <is>
          <t>New</t>
        </is>
      </c>
      <c r="F1442" s="14" t="inlineStr"/>
      <c r="G1442" s="34" t="inlineStr">
        <is>
          <t>Maya Chen, Owner Project Controls</t>
        </is>
      </c>
      <c r="H1442" s="92" t="inlineStr">
        <is>
          <t>10 EVIDENCE &amp; DECISIONS</t>
        </is>
      </c>
    </row>
    <row r="1443" ht="34" customHeight="1">
      <c r="A1443" s="34" t="inlineStr">
        <is>
          <t>R1071-v2</t>
        </is>
      </c>
      <c r="B1443" s="34" t="inlineStr">
        <is>
          <t>Contractor Programme</t>
        </is>
      </c>
      <c r="C1443" s="34" t="inlineStr">
        <is>
          <t>SCH-06-171</t>
        </is>
      </c>
      <c r="D1443" s="34" t="inlineStr">
        <is>
          <t>UNSURE</t>
        </is>
      </c>
      <c r="E1443" s="34" t="inlineStr">
        <is>
          <t>New</t>
        </is>
      </c>
      <c r="F1443" s="14" t="inlineStr"/>
      <c r="G1443" s="34" t="inlineStr">
        <is>
          <t>Maya Chen, Owner Project Controls</t>
        </is>
      </c>
      <c r="H1443" s="92" t="inlineStr">
        <is>
          <t>10 EVIDENCE &amp; DECISIONS</t>
        </is>
      </c>
    </row>
    <row r="1444" ht="34" customHeight="1">
      <c r="A1444" s="34" t="inlineStr">
        <is>
          <t>R1072-v2</t>
        </is>
      </c>
      <c r="B1444" s="34" t="inlineStr">
        <is>
          <t>Contractor Programme</t>
        </is>
      </c>
      <c r="C1444" s="34" t="inlineStr">
        <is>
          <t>SCH-06-172</t>
        </is>
      </c>
      <c r="D1444" s="34" t="inlineStr">
        <is>
          <t>UNSURE</t>
        </is>
      </c>
      <c r="E1444" s="34" t="inlineStr">
        <is>
          <t>New</t>
        </is>
      </c>
      <c r="F1444" s="14" t="inlineStr"/>
      <c r="G1444" s="34" t="inlineStr">
        <is>
          <t>Maya Chen, Owner Project Controls</t>
        </is>
      </c>
      <c r="H1444" s="92" t="inlineStr">
        <is>
          <t>10 EVIDENCE &amp; DECISIONS</t>
        </is>
      </c>
    </row>
    <row r="1445" ht="34" customHeight="1">
      <c r="A1445" s="34" t="inlineStr">
        <is>
          <t>R1073-v2</t>
        </is>
      </c>
      <c r="B1445" s="34" t="inlineStr">
        <is>
          <t>Contractor Programme</t>
        </is>
      </c>
      <c r="C1445" s="34" t="inlineStr">
        <is>
          <t>SCH-06-173</t>
        </is>
      </c>
      <c r="D1445" s="34" t="inlineStr">
        <is>
          <t>UNSURE</t>
        </is>
      </c>
      <c r="E1445" s="34" t="inlineStr">
        <is>
          <t>New</t>
        </is>
      </c>
      <c r="F1445" s="14" t="inlineStr"/>
      <c r="G1445" s="34" t="inlineStr">
        <is>
          <t>Maya Chen, Owner Project Controls</t>
        </is>
      </c>
      <c r="H1445" s="92" t="inlineStr">
        <is>
          <t>10 EVIDENCE &amp; DECISIONS</t>
        </is>
      </c>
    </row>
    <row r="1446" ht="34" customHeight="1">
      <c r="A1446" s="34" t="inlineStr">
        <is>
          <t>R1074-v2</t>
        </is>
      </c>
      <c r="B1446" s="34" t="inlineStr">
        <is>
          <t>Contractor Programme</t>
        </is>
      </c>
      <c r="C1446" s="34" t="inlineStr">
        <is>
          <t>SCH-06-174</t>
        </is>
      </c>
      <c r="D1446" s="34" t="inlineStr">
        <is>
          <t>UNSURE</t>
        </is>
      </c>
      <c r="E1446" s="34" t="inlineStr">
        <is>
          <t>New</t>
        </is>
      </c>
      <c r="F1446" s="14" t="inlineStr"/>
      <c r="G1446" s="34" t="inlineStr">
        <is>
          <t>Maya Chen, Owner Project Controls</t>
        </is>
      </c>
      <c r="H1446" s="92" t="inlineStr">
        <is>
          <t>10 EVIDENCE &amp; DECISIONS</t>
        </is>
      </c>
    </row>
    <row r="1447" ht="34" customHeight="1">
      <c r="A1447" s="34" t="inlineStr">
        <is>
          <t>R1075-v2</t>
        </is>
      </c>
      <c r="B1447" s="34" t="inlineStr">
        <is>
          <t>Contractor Programme</t>
        </is>
      </c>
      <c r="C1447" s="34" t="inlineStr">
        <is>
          <t>SCH-06-175</t>
        </is>
      </c>
      <c r="D1447" s="34" t="inlineStr">
        <is>
          <t>UNSURE</t>
        </is>
      </c>
      <c r="E1447" s="34" t="inlineStr">
        <is>
          <t>New</t>
        </is>
      </c>
      <c r="F1447" s="14" t="inlineStr"/>
      <c r="G1447" s="34" t="inlineStr">
        <is>
          <t>Maya Chen, Owner Project Controls</t>
        </is>
      </c>
      <c r="H1447" s="92" t="inlineStr">
        <is>
          <t>10 EVIDENCE &amp; DECISIONS</t>
        </is>
      </c>
    </row>
    <row r="1448" ht="34" customHeight="1">
      <c r="A1448" s="34" t="inlineStr">
        <is>
          <t>R1076-v2</t>
        </is>
      </c>
      <c r="B1448" s="34" t="inlineStr">
        <is>
          <t>Contractor Programme</t>
        </is>
      </c>
      <c r="C1448" s="34" t="inlineStr">
        <is>
          <t>SCH-06-176</t>
        </is>
      </c>
      <c r="D1448" s="34" t="inlineStr">
        <is>
          <t>UNSURE</t>
        </is>
      </c>
      <c r="E1448" s="34" t="inlineStr">
        <is>
          <t>New</t>
        </is>
      </c>
      <c r="F1448" s="14" t="inlineStr"/>
      <c r="G1448" s="34" t="inlineStr">
        <is>
          <t>Maya Chen, Owner Project Controls</t>
        </is>
      </c>
      <c r="H1448" s="92" t="inlineStr">
        <is>
          <t>10 EVIDENCE &amp; DECISIONS</t>
        </is>
      </c>
    </row>
    <row r="1449" ht="34" customHeight="1">
      <c r="A1449" s="34" t="inlineStr">
        <is>
          <t>R1077-v2</t>
        </is>
      </c>
      <c r="B1449" s="34" t="inlineStr">
        <is>
          <t>Contractor Programme</t>
        </is>
      </c>
      <c r="C1449" s="34" t="inlineStr">
        <is>
          <t>SCH-06-177</t>
        </is>
      </c>
      <c r="D1449" s="34" t="inlineStr">
        <is>
          <t>UNSURE</t>
        </is>
      </c>
      <c r="E1449" s="34" t="inlineStr">
        <is>
          <t>New</t>
        </is>
      </c>
      <c r="F1449" s="14" t="inlineStr"/>
      <c r="G1449" s="34" t="inlineStr">
        <is>
          <t>Maya Chen, Owner Project Controls</t>
        </is>
      </c>
      <c r="H1449" s="92" t="inlineStr">
        <is>
          <t>10 EVIDENCE &amp; DECISIONS</t>
        </is>
      </c>
    </row>
    <row r="1450" ht="34" customHeight="1">
      <c r="A1450" s="34" t="inlineStr">
        <is>
          <t>R1078-v2</t>
        </is>
      </c>
      <c r="B1450" s="34" t="inlineStr">
        <is>
          <t>Contractor Programme</t>
        </is>
      </c>
      <c r="C1450" s="34" t="inlineStr">
        <is>
          <t>SCH-06-178</t>
        </is>
      </c>
      <c r="D1450" s="34" t="inlineStr">
        <is>
          <t>UNSURE</t>
        </is>
      </c>
      <c r="E1450" s="34" t="inlineStr">
        <is>
          <t>New</t>
        </is>
      </c>
      <c r="F1450" s="14" t="inlineStr"/>
      <c r="G1450" s="34" t="inlineStr">
        <is>
          <t>Maya Chen, Owner Project Controls</t>
        </is>
      </c>
      <c r="H1450" s="92" t="inlineStr">
        <is>
          <t>10 EVIDENCE &amp; DECISIONS</t>
        </is>
      </c>
    </row>
    <row r="1451" ht="34" customHeight="1">
      <c r="A1451" s="34" t="inlineStr">
        <is>
          <t>R1079-v2</t>
        </is>
      </c>
      <c r="B1451" s="34" t="inlineStr">
        <is>
          <t>Contractor Programme</t>
        </is>
      </c>
      <c r="C1451" s="34" t="inlineStr">
        <is>
          <t>SCH-06-179</t>
        </is>
      </c>
      <c r="D1451" s="34" t="inlineStr">
        <is>
          <t>UNSURE</t>
        </is>
      </c>
      <c r="E1451" s="34" t="inlineStr">
        <is>
          <t>New</t>
        </is>
      </c>
      <c r="F1451" s="14" t="inlineStr"/>
      <c r="G1451" s="34" t="inlineStr">
        <is>
          <t>Maya Chen, Owner Project Controls</t>
        </is>
      </c>
      <c r="H1451" s="92" t="inlineStr">
        <is>
          <t>10 EVIDENCE &amp; DECISIONS</t>
        </is>
      </c>
    </row>
    <row r="1452" ht="34" customHeight="1">
      <c r="A1452" s="34" t="inlineStr">
        <is>
          <t>R1080-v2</t>
        </is>
      </c>
      <c r="B1452" s="34" t="inlineStr">
        <is>
          <t>Contractor Programme</t>
        </is>
      </c>
      <c r="C1452" s="34" t="inlineStr">
        <is>
          <t>SCH-06-180</t>
        </is>
      </c>
      <c r="D1452" s="34" t="inlineStr">
        <is>
          <t>UNSURE</t>
        </is>
      </c>
      <c r="E1452" s="34" t="inlineStr">
        <is>
          <t>New</t>
        </is>
      </c>
      <c r="F1452" s="14" t="inlineStr"/>
      <c r="G1452" s="34" t="inlineStr">
        <is>
          <t>Maya Chen, Owner Project Controls</t>
        </is>
      </c>
      <c r="H1452" s="92" t="inlineStr">
        <is>
          <t>10 EVIDENCE &amp; DECISIONS</t>
        </is>
      </c>
    </row>
    <row r="1453" ht="34" customHeight="1">
      <c r="A1453" s="34" t="inlineStr">
        <is>
          <t>R1246-v2</t>
        </is>
      </c>
      <c r="B1453" s="34" t="inlineStr">
        <is>
          <t>Cost &amp; Forecast Control Accounts</t>
        </is>
      </c>
      <c r="C1453" s="34" t="inlineStr">
        <is>
          <t>CST-03-004</t>
        </is>
      </c>
      <c r="D1453" s="34" t="inlineStr">
        <is>
          <t>UNSURE</t>
        </is>
      </c>
      <c r="E1453" s="34" t="inlineStr">
        <is>
          <t>New</t>
        </is>
      </c>
      <c r="F1453" s="14" t="inlineStr"/>
      <c r="G1453" s="34" t="inlineStr">
        <is>
          <t>Maya Chen, Owner Project Controls</t>
        </is>
      </c>
      <c r="H1453" s="92" t="inlineStr">
        <is>
          <t>10 EVIDENCE &amp; DECISIONS</t>
        </is>
      </c>
    </row>
    <row r="1454" ht="34" customHeight="1">
      <c r="A1454" s="34" t="inlineStr">
        <is>
          <t>R1403-v2</t>
        </is>
      </c>
      <c r="B1454" s="34" t="inlineStr">
        <is>
          <t>Cost &amp; Forecast Control Accounts</t>
        </is>
      </c>
      <c r="C1454" s="34" t="inlineStr">
        <is>
          <t>CST-05-001</t>
        </is>
      </c>
      <c r="D1454" s="34" t="inlineStr">
        <is>
          <t>UNSURE</t>
        </is>
      </c>
      <c r="E1454" s="34" t="inlineStr">
        <is>
          <t>New</t>
        </is>
      </c>
      <c r="F1454" s="14" t="inlineStr"/>
      <c r="G1454" s="34" t="inlineStr">
        <is>
          <t>Maya Chen, Owner Project Controls</t>
        </is>
      </c>
      <c r="H1454" s="92" t="inlineStr">
        <is>
          <t>10 EVIDENCE &amp; DECISIONS</t>
        </is>
      </c>
    </row>
    <row r="1455" ht="34" customHeight="1">
      <c r="A1455" s="34" t="inlineStr">
        <is>
          <t>R1404-v2</t>
        </is>
      </c>
      <c r="B1455" s="34" t="inlineStr">
        <is>
          <t>Cost &amp; Forecast Control Accounts</t>
        </is>
      </c>
      <c r="C1455" s="34" t="inlineStr">
        <is>
          <t>CST-05-002</t>
        </is>
      </c>
      <c r="D1455" s="34" t="inlineStr">
        <is>
          <t>UNSURE</t>
        </is>
      </c>
      <c r="E1455" s="34" t="inlineStr">
        <is>
          <t>New</t>
        </is>
      </c>
      <c r="F1455" s="14" t="inlineStr"/>
      <c r="G1455" s="34" t="inlineStr">
        <is>
          <t>Maya Chen, Owner Project Controls</t>
        </is>
      </c>
      <c r="H1455" s="92" t="inlineStr">
        <is>
          <t>10 EVIDENCE &amp; DECISIONS</t>
        </is>
      </c>
    </row>
    <row r="1456" ht="34" customHeight="1">
      <c r="A1456" s="34" t="inlineStr">
        <is>
          <t>R1405-v2</t>
        </is>
      </c>
      <c r="B1456" s="34" t="inlineStr">
        <is>
          <t>Cost &amp; Forecast Control Accounts</t>
        </is>
      </c>
      <c r="C1456" s="34" t="inlineStr">
        <is>
          <t>CST-05-003</t>
        </is>
      </c>
      <c r="D1456" s="34" t="inlineStr">
        <is>
          <t>UNSURE</t>
        </is>
      </c>
      <c r="E1456" s="34" t="inlineStr">
        <is>
          <t>New</t>
        </is>
      </c>
      <c r="F1456" s="14" t="inlineStr"/>
      <c r="G1456" s="34" t="inlineStr">
        <is>
          <t>Maya Chen, Owner Project Controls</t>
        </is>
      </c>
      <c r="H1456" s="92" t="inlineStr">
        <is>
          <t>10 EVIDENCE &amp; DECISIONS</t>
        </is>
      </c>
    </row>
    <row r="1457" ht="34" customHeight="1">
      <c r="A1457" s="34" t="inlineStr">
        <is>
          <t>R1406-v2</t>
        </is>
      </c>
      <c r="B1457" s="34" t="inlineStr">
        <is>
          <t>Cost &amp; Forecast Control Accounts</t>
        </is>
      </c>
      <c r="C1457" s="34" t="inlineStr">
        <is>
          <t>CST-05-004</t>
        </is>
      </c>
      <c r="D1457" s="34" t="inlineStr">
        <is>
          <t>UNSURE</t>
        </is>
      </c>
      <c r="E1457" s="34" t="inlineStr">
        <is>
          <t>New</t>
        </is>
      </c>
      <c r="F1457" s="14" t="inlineStr"/>
      <c r="G1457" s="34" t="inlineStr">
        <is>
          <t>Maya Chen, Owner Project Controls</t>
        </is>
      </c>
      <c r="H1457" s="92" t="inlineStr">
        <is>
          <t>10 EVIDENCE &amp; DECISIONS</t>
        </is>
      </c>
    </row>
    <row r="1458" ht="34" customHeight="1">
      <c r="A1458" s="34" t="inlineStr">
        <is>
          <t>R1407-v2</t>
        </is>
      </c>
      <c r="B1458" s="34" t="inlineStr">
        <is>
          <t>Cost &amp; Forecast Control Accounts</t>
        </is>
      </c>
      <c r="C1458" s="34" t="inlineStr">
        <is>
          <t>CST-05-005</t>
        </is>
      </c>
      <c r="D1458" s="34" t="inlineStr">
        <is>
          <t>UNSURE</t>
        </is>
      </c>
      <c r="E1458" s="34" t="inlineStr">
        <is>
          <t>New</t>
        </is>
      </c>
      <c r="F1458" s="14" t="inlineStr"/>
      <c r="G1458" s="34" t="inlineStr">
        <is>
          <t>Maya Chen, Owner Project Controls</t>
        </is>
      </c>
      <c r="H1458" s="92" t="inlineStr">
        <is>
          <t>10 EVIDENCE &amp; DECISIONS</t>
        </is>
      </c>
    </row>
    <row r="1459" ht="34" customHeight="1">
      <c r="A1459" s="34" t="inlineStr">
        <is>
          <t>R1408-v2</t>
        </is>
      </c>
      <c r="B1459" s="34" t="inlineStr">
        <is>
          <t>Cost &amp; Forecast Control Accounts</t>
        </is>
      </c>
      <c r="C1459" s="34" t="inlineStr">
        <is>
          <t>CST-05-006</t>
        </is>
      </c>
      <c r="D1459" s="34" t="inlineStr">
        <is>
          <t>UNSURE</t>
        </is>
      </c>
      <c r="E1459" s="34" t="inlineStr">
        <is>
          <t>New</t>
        </is>
      </c>
      <c r="F1459" s="14" t="inlineStr"/>
      <c r="G1459" s="34" t="inlineStr">
        <is>
          <t>Maya Chen, Owner Project Controls</t>
        </is>
      </c>
      <c r="H1459" s="92" t="inlineStr">
        <is>
          <t>10 EVIDENCE &amp; DECISIONS</t>
        </is>
      </c>
    </row>
    <row r="1460" ht="34" customHeight="1">
      <c r="A1460" s="34" t="inlineStr">
        <is>
          <t>R1409-v2</t>
        </is>
      </c>
      <c r="B1460" s="34" t="inlineStr">
        <is>
          <t>Cost &amp; Forecast Control Accounts</t>
        </is>
      </c>
      <c r="C1460" s="34" t="inlineStr">
        <is>
          <t>CST-05-007</t>
        </is>
      </c>
      <c r="D1460" s="34" t="inlineStr">
        <is>
          <t>UNSURE</t>
        </is>
      </c>
      <c r="E1460" s="34" t="inlineStr">
        <is>
          <t>New</t>
        </is>
      </c>
      <c r="F1460" s="14" t="inlineStr"/>
      <c r="G1460" s="34" t="inlineStr">
        <is>
          <t>Maya Chen, Owner Project Controls</t>
        </is>
      </c>
      <c r="H1460" s="92" t="inlineStr">
        <is>
          <t>10 EVIDENCE &amp; DECISIONS</t>
        </is>
      </c>
    </row>
    <row r="1461" ht="34" customHeight="1">
      <c r="A1461" s="34" t="inlineStr">
        <is>
          <t>R1410-v2</t>
        </is>
      </c>
      <c r="B1461" s="34" t="inlineStr">
        <is>
          <t>Cost &amp; Forecast Control Accounts</t>
        </is>
      </c>
      <c r="C1461" s="34" t="inlineStr">
        <is>
          <t>CST-05-008</t>
        </is>
      </c>
      <c r="D1461" s="34" t="inlineStr">
        <is>
          <t>UNSURE</t>
        </is>
      </c>
      <c r="E1461" s="34" t="inlineStr">
        <is>
          <t>New</t>
        </is>
      </c>
      <c r="F1461" s="14" t="inlineStr"/>
      <c r="G1461" s="34" t="inlineStr">
        <is>
          <t>Maya Chen, Owner Project Controls</t>
        </is>
      </c>
      <c r="H1461" s="92" t="inlineStr">
        <is>
          <t>10 EVIDENCE &amp; DECISIONS</t>
        </is>
      </c>
    </row>
    <row r="1462" ht="34" customHeight="1">
      <c r="A1462" s="34" t="inlineStr">
        <is>
          <t>R1411-v2</t>
        </is>
      </c>
      <c r="B1462" s="34" t="inlineStr">
        <is>
          <t>Cost &amp; Forecast Control Accounts</t>
        </is>
      </c>
      <c r="C1462" s="34" t="inlineStr">
        <is>
          <t>CST-05-009</t>
        </is>
      </c>
      <c r="D1462" s="34" t="inlineStr">
        <is>
          <t>UNSURE</t>
        </is>
      </c>
      <c r="E1462" s="34" t="inlineStr">
        <is>
          <t>New</t>
        </is>
      </c>
      <c r="F1462" s="14" t="inlineStr"/>
      <c r="G1462" s="34" t="inlineStr">
        <is>
          <t>Maya Chen, Owner Project Controls</t>
        </is>
      </c>
      <c r="H1462" s="92" t="inlineStr">
        <is>
          <t>10 EVIDENCE &amp; DECISIONS</t>
        </is>
      </c>
    </row>
    <row r="1463" ht="34" customHeight="1">
      <c r="A1463" s="34" t="inlineStr">
        <is>
          <t>R1412-v2</t>
        </is>
      </c>
      <c r="B1463" s="34" t="inlineStr">
        <is>
          <t>Cost &amp; Forecast Control Accounts</t>
        </is>
      </c>
      <c r="C1463" s="34" t="inlineStr">
        <is>
          <t>CST-05-010</t>
        </is>
      </c>
      <c r="D1463" s="34" t="inlineStr">
        <is>
          <t>UNSURE</t>
        </is>
      </c>
      <c r="E1463" s="34" t="inlineStr">
        <is>
          <t>New</t>
        </is>
      </c>
      <c r="F1463" s="14" t="inlineStr"/>
      <c r="G1463" s="34" t="inlineStr">
        <is>
          <t>Maya Chen, Owner Project Controls</t>
        </is>
      </c>
      <c r="H1463" s="92" t="inlineStr">
        <is>
          <t>10 EVIDENCE &amp; DECISIONS</t>
        </is>
      </c>
    </row>
    <row r="1464" ht="34" customHeight="1">
      <c r="A1464" s="34" t="inlineStr">
        <is>
          <t>R1413-v2</t>
        </is>
      </c>
      <c r="B1464" s="34" t="inlineStr">
        <is>
          <t>Cost &amp; Forecast Control Accounts</t>
        </is>
      </c>
      <c r="C1464" s="34" t="inlineStr">
        <is>
          <t>CST-05-011</t>
        </is>
      </c>
      <c r="D1464" s="34" t="inlineStr">
        <is>
          <t>UNSURE</t>
        </is>
      </c>
      <c r="E1464" s="34" t="inlineStr">
        <is>
          <t>New</t>
        </is>
      </c>
      <c r="F1464" s="14" t="inlineStr"/>
      <c r="G1464" s="34" t="inlineStr">
        <is>
          <t>Maya Chen, Owner Project Controls</t>
        </is>
      </c>
      <c r="H1464" s="92" t="inlineStr">
        <is>
          <t>10 EVIDENCE &amp; DECISIONS</t>
        </is>
      </c>
    </row>
    <row r="1465" ht="34" customHeight="1">
      <c r="A1465" s="34" t="inlineStr">
        <is>
          <t>R1414-v2</t>
        </is>
      </c>
      <c r="B1465" s="34" t="inlineStr">
        <is>
          <t>Cost &amp; Forecast Control Accounts</t>
        </is>
      </c>
      <c r="C1465" s="34" t="inlineStr">
        <is>
          <t>CST-05-012</t>
        </is>
      </c>
      <c r="D1465" s="34" t="inlineStr">
        <is>
          <t>UNSURE</t>
        </is>
      </c>
      <c r="E1465" s="34" t="inlineStr">
        <is>
          <t>New</t>
        </is>
      </c>
      <c r="F1465" s="14" t="inlineStr"/>
      <c r="G1465" s="34" t="inlineStr">
        <is>
          <t>Maya Chen, Owner Project Controls</t>
        </is>
      </c>
      <c r="H1465" s="92" t="inlineStr">
        <is>
          <t>10 EVIDENCE &amp; DECISIONS</t>
        </is>
      </c>
    </row>
    <row r="1466" ht="34" customHeight="1">
      <c r="A1466" s="34" t="inlineStr">
        <is>
          <t>R1415-v2</t>
        </is>
      </c>
      <c r="B1466" s="34" t="inlineStr">
        <is>
          <t>Cost &amp; Forecast Control Accounts</t>
        </is>
      </c>
      <c r="C1466" s="34" t="inlineStr">
        <is>
          <t>CST-05-013</t>
        </is>
      </c>
      <c r="D1466" s="34" t="inlineStr">
        <is>
          <t>UNSURE</t>
        </is>
      </c>
      <c r="E1466" s="34" t="inlineStr">
        <is>
          <t>New</t>
        </is>
      </c>
      <c r="F1466" s="14" t="inlineStr"/>
      <c r="G1466" s="34" t="inlineStr">
        <is>
          <t>Maya Chen, Owner Project Controls</t>
        </is>
      </c>
      <c r="H1466" s="92" t="inlineStr">
        <is>
          <t>10 EVIDENCE &amp; DECISIONS</t>
        </is>
      </c>
    </row>
    <row r="1467" ht="34" customHeight="1">
      <c r="A1467" s="34" t="inlineStr">
        <is>
          <t>R1416-v2</t>
        </is>
      </c>
      <c r="B1467" s="34" t="inlineStr">
        <is>
          <t>Cost &amp; Forecast Control Accounts</t>
        </is>
      </c>
      <c r="C1467" s="34" t="inlineStr">
        <is>
          <t>CST-05-014</t>
        </is>
      </c>
      <c r="D1467" s="34" t="inlineStr">
        <is>
          <t>UNSURE</t>
        </is>
      </c>
      <c r="E1467" s="34" t="inlineStr">
        <is>
          <t>New</t>
        </is>
      </c>
      <c r="F1467" s="14" t="inlineStr"/>
      <c r="G1467" s="34" t="inlineStr">
        <is>
          <t>Maya Chen, Owner Project Controls</t>
        </is>
      </c>
      <c r="H1467" s="92" t="inlineStr">
        <is>
          <t>10 EVIDENCE &amp; DECISIONS</t>
        </is>
      </c>
    </row>
    <row r="1468" ht="34" customHeight="1">
      <c r="A1468" s="34" t="inlineStr">
        <is>
          <t>R1417-v2</t>
        </is>
      </c>
      <c r="B1468" s="34" t="inlineStr">
        <is>
          <t>Cost &amp; Forecast Control Accounts</t>
        </is>
      </c>
      <c r="C1468" s="34" t="inlineStr">
        <is>
          <t>CST-05-015</t>
        </is>
      </c>
      <c r="D1468" s="34" t="inlineStr">
        <is>
          <t>UNSURE</t>
        </is>
      </c>
      <c r="E1468" s="34" t="inlineStr">
        <is>
          <t>New</t>
        </is>
      </c>
      <c r="F1468" s="14" t="inlineStr"/>
      <c r="G1468" s="34" t="inlineStr">
        <is>
          <t>Maya Chen, Owner Project Controls</t>
        </is>
      </c>
      <c r="H1468" s="92" t="inlineStr">
        <is>
          <t>10 EVIDENCE &amp; DECISIONS</t>
        </is>
      </c>
    </row>
    <row r="1469" ht="34" customHeight="1">
      <c r="A1469" s="34" t="inlineStr">
        <is>
          <t>R1418-v2</t>
        </is>
      </c>
      <c r="B1469" s="34" t="inlineStr">
        <is>
          <t>Cost &amp; Forecast Control Accounts</t>
        </is>
      </c>
      <c r="C1469" s="34" t="inlineStr">
        <is>
          <t>CST-05-016</t>
        </is>
      </c>
      <c r="D1469" s="34" t="inlineStr">
        <is>
          <t>UNSURE</t>
        </is>
      </c>
      <c r="E1469" s="34" t="inlineStr">
        <is>
          <t>New</t>
        </is>
      </c>
      <c r="F1469" s="14" t="inlineStr"/>
      <c r="G1469" s="34" t="inlineStr">
        <is>
          <t>Maya Chen, Owner Project Controls</t>
        </is>
      </c>
      <c r="H1469" s="92" t="inlineStr">
        <is>
          <t>10 EVIDENCE &amp; DECISIONS</t>
        </is>
      </c>
    </row>
    <row r="1470" ht="34" customHeight="1">
      <c r="A1470" s="34" t="inlineStr">
        <is>
          <t>R1419-v2</t>
        </is>
      </c>
      <c r="B1470" s="34" t="inlineStr">
        <is>
          <t>Cost &amp; Forecast Control Accounts</t>
        </is>
      </c>
      <c r="C1470" s="34" t="inlineStr">
        <is>
          <t>CST-05-017</t>
        </is>
      </c>
      <c r="D1470" s="34" t="inlineStr">
        <is>
          <t>UNSURE</t>
        </is>
      </c>
      <c r="E1470" s="34" t="inlineStr">
        <is>
          <t>New</t>
        </is>
      </c>
      <c r="F1470" s="14" t="inlineStr"/>
      <c r="G1470" s="34" t="inlineStr">
        <is>
          <t>Maya Chen, Owner Project Controls</t>
        </is>
      </c>
      <c r="H1470" s="92" t="inlineStr">
        <is>
          <t>10 EVIDENCE &amp; DECISIONS</t>
        </is>
      </c>
    </row>
    <row r="1471" ht="34" customHeight="1">
      <c r="A1471" s="34" t="inlineStr">
        <is>
          <t>R1420-v2</t>
        </is>
      </c>
      <c r="B1471" s="34" t="inlineStr">
        <is>
          <t>Cost &amp; Forecast Control Accounts</t>
        </is>
      </c>
      <c r="C1471" s="34" t="inlineStr">
        <is>
          <t>CST-05-018</t>
        </is>
      </c>
      <c r="D1471" s="34" t="inlineStr">
        <is>
          <t>UNSURE</t>
        </is>
      </c>
      <c r="E1471" s="34" t="inlineStr">
        <is>
          <t>New</t>
        </is>
      </c>
      <c r="F1471" s="14" t="inlineStr"/>
      <c r="G1471" s="34" t="inlineStr">
        <is>
          <t>Maya Chen, Owner Project Controls</t>
        </is>
      </c>
      <c r="H1471" s="92" t="inlineStr">
        <is>
          <t>10 EVIDENCE &amp; DECISIONS</t>
        </is>
      </c>
    </row>
    <row r="1472" ht="34" customHeight="1">
      <c r="A1472" s="34" t="inlineStr">
        <is>
          <t>R1421-v2</t>
        </is>
      </c>
      <c r="B1472" s="34" t="inlineStr">
        <is>
          <t>Cost &amp; Forecast Control Accounts</t>
        </is>
      </c>
      <c r="C1472" s="34" t="inlineStr">
        <is>
          <t>CST-05-019</t>
        </is>
      </c>
      <c r="D1472" s="34" t="inlineStr">
        <is>
          <t>UNSURE</t>
        </is>
      </c>
      <c r="E1472" s="34" t="inlineStr">
        <is>
          <t>New</t>
        </is>
      </c>
      <c r="F1472" s="14" t="inlineStr"/>
      <c r="G1472" s="34" t="inlineStr">
        <is>
          <t>Maya Chen, Owner Project Controls</t>
        </is>
      </c>
      <c r="H1472" s="92" t="inlineStr">
        <is>
          <t>10 EVIDENCE &amp; DECISIONS</t>
        </is>
      </c>
    </row>
    <row r="1473" ht="34" customHeight="1">
      <c r="A1473" s="34" t="inlineStr">
        <is>
          <t>R1422-v2</t>
        </is>
      </c>
      <c r="B1473" s="34" t="inlineStr">
        <is>
          <t>Cost &amp; Forecast Control Accounts</t>
        </is>
      </c>
      <c r="C1473" s="34" t="inlineStr">
        <is>
          <t>CST-05-020</t>
        </is>
      </c>
      <c r="D1473" s="34" t="inlineStr">
        <is>
          <t>UNSURE</t>
        </is>
      </c>
      <c r="E1473" s="34" t="inlineStr">
        <is>
          <t>New</t>
        </is>
      </c>
      <c r="F1473" s="14" t="inlineStr"/>
      <c r="G1473" s="34" t="inlineStr">
        <is>
          <t>Maya Chen, Owner Project Controls</t>
        </is>
      </c>
      <c r="H1473" s="92" t="inlineStr">
        <is>
          <t>10 EVIDENCE &amp; DECISIONS</t>
        </is>
      </c>
    </row>
    <row r="1474" ht="34" customHeight="1">
      <c r="A1474" s="34" t="inlineStr">
        <is>
          <t>R1423-v2</t>
        </is>
      </c>
      <c r="B1474" s="34" t="inlineStr">
        <is>
          <t>Cost &amp; Forecast Control Accounts</t>
        </is>
      </c>
      <c r="C1474" s="34" t="inlineStr">
        <is>
          <t>CST-05-021</t>
        </is>
      </c>
      <c r="D1474" s="34" t="inlineStr">
        <is>
          <t>UNSURE</t>
        </is>
      </c>
      <c r="E1474" s="34" t="inlineStr">
        <is>
          <t>New</t>
        </is>
      </c>
      <c r="F1474" s="14" t="inlineStr"/>
      <c r="G1474" s="34" t="inlineStr">
        <is>
          <t>Maya Chen, Owner Project Controls</t>
        </is>
      </c>
      <c r="H1474" s="92" t="inlineStr">
        <is>
          <t>10 EVIDENCE &amp; DECISIONS</t>
        </is>
      </c>
    </row>
    <row r="1475" ht="34" customHeight="1">
      <c r="A1475" s="34" t="inlineStr">
        <is>
          <t>R1424-v2</t>
        </is>
      </c>
      <c r="B1475" s="34" t="inlineStr">
        <is>
          <t>Cost &amp; Forecast Control Accounts</t>
        </is>
      </c>
      <c r="C1475" s="34" t="inlineStr">
        <is>
          <t>CST-05-022</t>
        </is>
      </c>
      <c r="D1475" s="34" t="inlineStr">
        <is>
          <t>UNSURE</t>
        </is>
      </c>
      <c r="E1475" s="34" t="inlineStr">
        <is>
          <t>New</t>
        </is>
      </c>
      <c r="F1475" s="14" t="inlineStr"/>
      <c r="G1475" s="34" t="inlineStr">
        <is>
          <t>Maya Chen, Owner Project Controls</t>
        </is>
      </c>
      <c r="H1475" s="92" t="inlineStr">
        <is>
          <t>10 EVIDENCE &amp; DECISIONS</t>
        </is>
      </c>
    </row>
    <row r="1476" ht="34" customHeight="1">
      <c r="A1476" s="34" t="inlineStr">
        <is>
          <t>R1425-v2</t>
        </is>
      </c>
      <c r="B1476" s="34" t="inlineStr">
        <is>
          <t>Cost &amp; Forecast Control Accounts</t>
        </is>
      </c>
      <c r="C1476" s="34" t="inlineStr">
        <is>
          <t>CST-05-023</t>
        </is>
      </c>
      <c r="D1476" s="34" t="inlineStr">
        <is>
          <t>UNSURE</t>
        </is>
      </c>
      <c r="E1476" s="34" t="inlineStr">
        <is>
          <t>New</t>
        </is>
      </c>
      <c r="F1476" s="14" t="inlineStr"/>
      <c r="G1476" s="34" t="inlineStr">
        <is>
          <t>Maya Chen, Owner Project Controls</t>
        </is>
      </c>
      <c r="H1476" s="92" t="inlineStr">
        <is>
          <t>10 EVIDENCE &amp; DECISIONS</t>
        </is>
      </c>
    </row>
    <row r="1477" ht="34" customHeight="1">
      <c r="A1477" s="34" t="inlineStr">
        <is>
          <t>R1426-v2</t>
        </is>
      </c>
      <c r="B1477" s="34" t="inlineStr">
        <is>
          <t>Cost &amp; Forecast Control Accounts</t>
        </is>
      </c>
      <c r="C1477" s="34" t="inlineStr">
        <is>
          <t>CST-05-024</t>
        </is>
      </c>
      <c r="D1477" s="34" t="inlineStr">
        <is>
          <t>UNSURE</t>
        </is>
      </c>
      <c r="E1477" s="34" t="inlineStr">
        <is>
          <t>New</t>
        </is>
      </c>
      <c r="F1477" s="14" t="inlineStr"/>
      <c r="G1477" s="34" t="inlineStr">
        <is>
          <t>Maya Chen, Owner Project Controls</t>
        </is>
      </c>
      <c r="H1477" s="92" t="inlineStr">
        <is>
          <t>10 EVIDENCE &amp; DECISIONS</t>
        </is>
      </c>
    </row>
    <row r="1478" ht="34" customHeight="1">
      <c r="A1478" s="34" t="inlineStr">
        <is>
          <t>R1427-v2</t>
        </is>
      </c>
      <c r="B1478" s="34" t="inlineStr">
        <is>
          <t>Cost &amp; Forecast Control Accounts</t>
        </is>
      </c>
      <c r="C1478" s="34" t="inlineStr">
        <is>
          <t>CST-05-025</t>
        </is>
      </c>
      <c r="D1478" s="34" t="inlineStr">
        <is>
          <t>UNSURE</t>
        </is>
      </c>
      <c r="E1478" s="34" t="inlineStr">
        <is>
          <t>New</t>
        </is>
      </c>
      <c r="F1478" s="14" t="inlineStr"/>
      <c r="G1478" s="34" t="inlineStr">
        <is>
          <t>Maya Chen, Owner Project Controls</t>
        </is>
      </c>
      <c r="H1478" s="92" t="inlineStr">
        <is>
          <t>10 EVIDENCE &amp; DECISIONS</t>
        </is>
      </c>
    </row>
    <row r="1479" ht="34" customHeight="1">
      <c r="A1479" s="34" t="inlineStr">
        <is>
          <t>R1428-v2</t>
        </is>
      </c>
      <c r="B1479" s="34" t="inlineStr">
        <is>
          <t>Cost &amp; Forecast Control Accounts</t>
        </is>
      </c>
      <c r="C1479" s="34" t="inlineStr">
        <is>
          <t>CST-05-026</t>
        </is>
      </c>
      <c r="D1479" s="34" t="inlineStr">
        <is>
          <t>UNSURE</t>
        </is>
      </c>
      <c r="E1479" s="34" t="inlineStr">
        <is>
          <t>New</t>
        </is>
      </c>
      <c r="F1479" s="14" t="inlineStr"/>
      <c r="G1479" s="34" t="inlineStr">
        <is>
          <t>Maya Chen, Owner Project Controls</t>
        </is>
      </c>
      <c r="H1479" s="92" t="inlineStr">
        <is>
          <t>10 EVIDENCE &amp; DECISIONS</t>
        </is>
      </c>
    </row>
    <row r="1480" ht="34" customHeight="1">
      <c r="A1480" s="34" t="inlineStr">
        <is>
          <t>R1429-v2</t>
        </is>
      </c>
      <c r="B1480" s="34" t="inlineStr">
        <is>
          <t>Cost &amp; Forecast Control Accounts</t>
        </is>
      </c>
      <c r="C1480" s="34" t="inlineStr">
        <is>
          <t>CST-05-027</t>
        </is>
      </c>
      <c r="D1480" s="34" t="inlineStr">
        <is>
          <t>UNSURE</t>
        </is>
      </c>
      <c r="E1480" s="34" t="inlineStr">
        <is>
          <t>New</t>
        </is>
      </c>
      <c r="F1480" s="14" t="inlineStr"/>
      <c r="G1480" s="34" t="inlineStr">
        <is>
          <t>Maya Chen, Owner Project Controls</t>
        </is>
      </c>
      <c r="H1480" s="92" t="inlineStr">
        <is>
          <t>10 EVIDENCE &amp; DECISIONS</t>
        </is>
      </c>
    </row>
    <row r="1481" ht="34" customHeight="1">
      <c r="A1481" s="34" t="inlineStr">
        <is>
          <t>R1430-v2</t>
        </is>
      </c>
      <c r="B1481" s="34" t="inlineStr">
        <is>
          <t>Cost &amp; Forecast Control Accounts</t>
        </is>
      </c>
      <c r="C1481" s="34" t="inlineStr">
        <is>
          <t>CST-05-028</t>
        </is>
      </c>
      <c r="D1481" s="34" t="inlineStr">
        <is>
          <t>UNSURE</t>
        </is>
      </c>
      <c r="E1481" s="34" t="inlineStr">
        <is>
          <t>New</t>
        </is>
      </c>
      <c r="F1481" s="14" t="inlineStr"/>
      <c r="G1481" s="34" t="inlineStr">
        <is>
          <t>Maya Chen, Owner Project Controls</t>
        </is>
      </c>
      <c r="H1481" s="92" t="inlineStr">
        <is>
          <t>10 EVIDENCE &amp; DECISIONS</t>
        </is>
      </c>
    </row>
    <row r="1482" ht="34" customHeight="1">
      <c r="A1482" s="34" t="inlineStr">
        <is>
          <t>R1431-v2</t>
        </is>
      </c>
      <c r="B1482" s="34" t="inlineStr">
        <is>
          <t>Cost &amp; Forecast Control Accounts</t>
        </is>
      </c>
      <c r="C1482" s="34" t="inlineStr">
        <is>
          <t>CST-05-029</t>
        </is>
      </c>
      <c r="D1482" s="34" t="inlineStr">
        <is>
          <t>UNSURE</t>
        </is>
      </c>
      <c r="E1482" s="34" t="inlineStr">
        <is>
          <t>New</t>
        </is>
      </c>
      <c r="F1482" s="14" t="inlineStr"/>
      <c r="G1482" s="34" t="inlineStr">
        <is>
          <t>Maya Chen, Owner Project Controls</t>
        </is>
      </c>
      <c r="H1482" s="92" t="inlineStr">
        <is>
          <t>10 EVIDENCE &amp; DECISIONS</t>
        </is>
      </c>
    </row>
    <row r="1483" ht="34" customHeight="1">
      <c r="A1483" s="34" t="inlineStr">
        <is>
          <t>R1432-v2</t>
        </is>
      </c>
      <c r="B1483" s="34" t="inlineStr">
        <is>
          <t>Cost &amp; Forecast Control Accounts</t>
        </is>
      </c>
      <c r="C1483" s="34" t="inlineStr">
        <is>
          <t>CST-05-030</t>
        </is>
      </c>
      <c r="D1483" s="34" t="inlineStr">
        <is>
          <t>UNSURE</t>
        </is>
      </c>
      <c r="E1483" s="34" t="inlineStr">
        <is>
          <t>New</t>
        </is>
      </c>
      <c r="F1483" s="14" t="inlineStr"/>
      <c r="G1483" s="34" t="inlineStr">
        <is>
          <t>Maya Chen, Owner Project Controls</t>
        </is>
      </c>
      <c r="H1483" s="92" t="inlineStr">
        <is>
          <t>10 EVIDENCE &amp; DECISIONS</t>
        </is>
      </c>
    </row>
    <row r="1484" ht="34" customHeight="1">
      <c r="A1484" s="34" t="inlineStr">
        <is>
          <t>R1433-v2</t>
        </is>
      </c>
      <c r="B1484" s="34" t="inlineStr">
        <is>
          <t>Cost &amp; Forecast Control Accounts</t>
        </is>
      </c>
      <c r="C1484" s="34" t="inlineStr">
        <is>
          <t>CST-05-031</t>
        </is>
      </c>
      <c r="D1484" s="34" t="inlineStr">
        <is>
          <t>UNSURE</t>
        </is>
      </c>
      <c r="E1484" s="34" t="inlineStr">
        <is>
          <t>New</t>
        </is>
      </c>
      <c r="F1484" s="14" t="inlineStr"/>
      <c r="G1484" s="34" t="inlineStr">
        <is>
          <t>Maya Chen, Owner Project Controls</t>
        </is>
      </c>
      <c r="H1484" s="92" t="inlineStr">
        <is>
          <t>10 EVIDENCE &amp; DECISIONS</t>
        </is>
      </c>
    </row>
    <row r="1485" ht="34" customHeight="1">
      <c r="A1485" s="34" t="inlineStr">
        <is>
          <t>R1434-v2</t>
        </is>
      </c>
      <c r="B1485" s="34" t="inlineStr">
        <is>
          <t>Cost &amp; Forecast Control Accounts</t>
        </is>
      </c>
      <c r="C1485" s="34" t="inlineStr">
        <is>
          <t>CST-05-032</t>
        </is>
      </c>
      <c r="D1485" s="34" t="inlineStr">
        <is>
          <t>UNSURE</t>
        </is>
      </c>
      <c r="E1485" s="34" t="inlineStr">
        <is>
          <t>New</t>
        </is>
      </c>
      <c r="F1485" s="14" t="inlineStr"/>
      <c r="G1485" s="34" t="inlineStr">
        <is>
          <t>Maya Chen, Owner Project Controls</t>
        </is>
      </c>
      <c r="H1485" s="92" t="inlineStr">
        <is>
          <t>10 EVIDENCE &amp; DECISIONS</t>
        </is>
      </c>
    </row>
    <row r="1486" ht="34" customHeight="1">
      <c r="A1486" s="34" t="inlineStr">
        <is>
          <t>R1435-v2</t>
        </is>
      </c>
      <c r="B1486" s="34" t="inlineStr">
        <is>
          <t>Cost &amp; Forecast Control Accounts</t>
        </is>
      </c>
      <c r="C1486" s="34" t="inlineStr">
        <is>
          <t>CST-05-033</t>
        </is>
      </c>
      <c r="D1486" s="34" t="inlineStr">
        <is>
          <t>UNSURE</t>
        </is>
      </c>
      <c r="E1486" s="34" t="inlineStr">
        <is>
          <t>New</t>
        </is>
      </c>
      <c r="F1486" s="14" t="inlineStr"/>
      <c r="G1486" s="34" t="inlineStr">
        <is>
          <t>Maya Chen, Owner Project Controls</t>
        </is>
      </c>
      <c r="H1486" s="92" t="inlineStr">
        <is>
          <t>10 EVIDENCE &amp; DECISIONS</t>
        </is>
      </c>
    </row>
    <row r="1487" ht="34" customHeight="1">
      <c r="A1487" s="34" t="inlineStr">
        <is>
          <t>R1436-v2</t>
        </is>
      </c>
      <c r="B1487" s="34" t="inlineStr">
        <is>
          <t>Cost &amp; Forecast Control Accounts</t>
        </is>
      </c>
      <c r="C1487" s="34" t="inlineStr">
        <is>
          <t>CST-05-034</t>
        </is>
      </c>
      <c r="D1487" s="34" t="inlineStr">
        <is>
          <t>UNSURE</t>
        </is>
      </c>
      <c r="E1487" s="34" t="inlineStr">
        <is>
          <t>New</t>
        </is>
      </c>
      <c r="F1487" s="14" t="inlineStr"/>
      <c r="G1487" s="34" t="inlineStr">
        <is>
          <t>Maya Chen, Owner Project Controls</t>
        </is>
      </c>
      <c r="H1487" s="92" t="inlineStr">
        <is>
          <t>10 EVIDENCE &amp; DECISIONS</t>
        </is>
      </c>
    </row>
    <row r="1488" ht="34" customHeight="1">
      <c r="A1488" s="34" t="inlineStr">
        <is>
          <t>R1437-v2</t>
        </is>
      </c>
      <c r="B1488" s="34" t="inlineStr">
        <is>
          <t>Cost &amp; Forecast Control Accounts</t>
        </is>
      </c>
      <c r="C1488" s="34" t="inlineStr">
        <is>
          <t>CST-05-035</t>
        </is>
      </c>
      <c r="D1488" s="34" t="inlineStr">
        <is>
          <t>UNSURE</t>
        </is>
      </c>
      <c r="E1488" s="34" t="inlineStr">
        <is>
          <t>New</t>
        </is>
      </c>
      <c r="F1488" s="14" t="inlineStr"/>
      <c r="G1488" s="34" t="inlineStr">
        <is>
          <t>Maya Chen, Owner Project Controls</t>
        </is>
      </c>
      <c r="H1488" s="92" t="inlineStr">
        <is>
          <t>10 EVIDENCE &amp; DECISIONS</t>
        </is>
      </c>
    </row>
    <row r="1489" ht="34" customHeight="1">
      <c r="A1489" s="34" t="inlineStr">
        <is>
          <t>R1438-v2</t>
        </is>
      </c>
      <c r="B1489" s="34" t="inlineStr">
        <is>
          <t>Cost &amp; Forecast Control Accounts</t>
        </is>
      </c>
      <c r="C1489" s="34" t="inlineStr">
        <is>
          <t>CST-05-036</t>
        </is>
      </c>
      <c r="D1489" s="34" t="inlineStr">
        <is>
          <t>UNSURE</t>
        </is>
      </c>
      <c r="E1489" s="34" t="inlineStr">
        <is>
          <t>New</t>
        </is>
      </c>
      <c r="F1489" s="14" t="inlineStr"/>
      <c r="G1489" s="34" t="inlineStr">
        <is>
          <t>Maya Chen, Owner Project Controls</t>
        </is>
      </c>
      <c r="H1489" s="92" t="inlineStr">
        <is>
          <t>10 EVIDENCE &amp; DECISIONS</t>
        </is>
      </c>
    </row>
    <row r="1490" ht="34" customHeight="1">
      <c r="A1490" s="34" t="inlineStr">
        <is>
          <t>R1439-v2</t>
        </is>
      </c>
      <c r="B1490" s="34" t="inlineStr">
        <is>
          <t>Cost &amp; Forecast Control Accounts</t>
        </is>
      </c>
      <c r="C1490" s="34" t="inlineStr">
        <is>
          <t>CST-05-037</t>
        </is>
      </c>
      <c r="D1490" s="34" t="inlineStr">
        <is>
          <t>UNSURE</t>
        </is>
      </c>
      <c r="E1490" s="34" t="inlineStr">
        <is>
          <t>New</t>
        </is>
      </c>
      <c r="F1490" s="14" t="inlineStr"/>
      <c r="G1490" s="34" t="inlineStr">
        <is>
          <t>Maya Chen, Owner Project Controls</t>
        </is>
      </c>
      <c r="H1490" s="92" t="inlineStr">
        <is>
          <t>10 EVIDENCE &amp; DECISIONS</t>
        </is>
      </c>
    </row>
    <row r="1491" ht="34" customHeight="1">
      <c r="A1491" s="34" t="inlineStr">
        <is>
          <t>R1440-v2</t>
        </is>
      </c>
      <c r="B1491" s="34" t="inlineStr">
        <is>
          <t>Cost &amp; Forecast Control Accounts</t>
        </is>
      </c>
      <c r="C1491" s="34" t="inlineStr">
        <is>
          <t>CST-05-038</t>
        </is>
      </c>
      <c r="D1491" s="34" t="inlineStr">
        <is>
          <t>UNSURE</t>
        </is>
      </c>
      <c r="E1491" s="34" t="inlineStr">
        <is>
          <t>New</t>
        </is>
      </c>
      <c r="F1491" s="14" t="inlineStr"/>
      <c r="G1491" s="34" t="inlineStr">
        <is>
          <t>Maya Chen, Owner Project Controls</t>
        </is>
      </c>
      <c r="H1491" s="92" t="inlineStr">
        <is>
          <t>10 EVIDENCE &amp; DECISIONS</t>
        </is>
      </c>
    </row>
    <row r="1492" ht="34" customHeight="1">
      <c r="A1492" s="34" t="inlineStr">
        <is>
          <t>R1441-v2</t>
        </is>
      </c>
      <c r="B1492" s="34" t="inlineStr">
        <is>
          <t>Cost &amp; Forecast Control Accounts</t>
        </is>
      </c>
      <c r="C1492" s="34" t="inlineStr">
        <is>
          <t>CST-05-039</t>
        </is>
      </c>
      <c r="D1492" s="34" t="inlineStr">
        <is>
          <t>UNSURE</t>
        </is>
      </c>
      <c r="E1492" s="34" t="inlineStr">
        <is>
          <t>New</t>
        </is>
      </c>
      <c r="F1492" s="14" t="inlineStr"/>
      <c r="G1492" s="34" t="inlineStr">
        <is>
          <t>Maya Chen, Owner Project Controls</t>
        </is>
      </c>
      <c r="H1492" s="92" t="inlineStr">
        <is>
          <t>10 EVIDENCE &amp; DECISIONS</t>
        </is>
      </c>
    </row>
    <row r="1493" ht="34" customHeight="1">
      <c r="A1493" s="34" t="inlineStr">
        <is>
          <t>R1442-v2</t>
        </is>
      </c>
      <c r="B1493" s="34" t="inlineStr">
        <is>
          <t>Cost &amp; Forecast Control Accounts</t>
        </is>
      </c>
      <c r="C1493" s="34" t="inlineStr">
        <is>
          <t>CST-05-040</t>
        </is>
      </c>
      <c r="D1493" s="34" t="inlineStr">
        <is>
          <t>UNSURE</t>
        </is>
      </c>
      <c r="E1493" s="34" t="inlineStr">
        <is>
          <t>New</t>
        </is>
      </c>
      <c r="F1493" s="14" t="inlineStr"/>
      <c r="G1493" s="34" t="inlineStr">
        <is>
          <t>Maya Chen, Owner Project Controls</t>
        </is>
      </c>
      <c r="H1493" s="92" t="inlineStr">
        <is>
          <t>10 EVIDENCE &amp; DECISIONS</t>
        </is>
      </c>
    </row>
    <row r="1494" ht="34" customHeight="1">
      <c r="A1494" s="34" t="inlineStr">
        <is>
          <t>R1443-v2</t>
        </is>
      </c>
      <c r="B1494" s="34" t="inlineStr">
        <is>
          <t>Cost &amp; Forecast Control Accounts</t>
        </is>
      </c>
      <c r="C1494" s="34" t="inlineStr">
        <is>
          <t>CST-05-041</t>
        </is>
      </c>
      <c r="D1494" s="34" t="inlineStr">
        <is>
          <t>UNSURE</t>
        </is>
      </c>
      <c r="E1494" s="34" t="inlineStr">
        <is>
          <t>New</t>
        </is>
      </c>
      <c r="F1494" s="14" t="inlineStr"/>
      <c r="G1494" s="34" t="inlineStr">
        <is>
          <t>Maya Chen, Owner Project Controls</t>
        </is>
      </c>
      <c r="H1494" s="92" t="inlineStr">
        <is>
          <t>10 EVIDENCE &amp; DECISIONS</t>
        </is>
      </c>
    </row>
    <row r="1495" ht="34" customHeight="1">
      <c r="A1495" s="34" t="inlineStr">
        <is>
          <t>R1444-v2</t>
        </is>
      </c>
      <c r="B1495" s="34" t="inlineStr">
        <is>
          <t>Cost &amp; Forecast Control Accounts</t>
        </is>
      </c>
      <c r="C1495" s="34" t="inlineStr">
        <is>
          <t>CST-05-042</t>
        </is>
      </c>
      <c r="D1495" s="34" t="inlineStr">
        <is>
          <t>UNSURE</t>
        </is>
      </c>
      <c r="E1495" s="34" t="inlineStr">
        <is>
          <t>New</t>
        </is>
      </c>
      <c r="F1495" s="14" t="inlineStr"/>
      <c r="G1495" s="34" t="inlineStr">
        <is>
          <t>Maya Chen, Owner Project Controls</t>
        </is>
      </c>
      <c r="H1495" s="92" t="inlineStr">
        <is>
          <t>10 EVIDENCE &amp; DECISIONS</t>
        </is>
      </c>
    </row>
    <row r="1496" ht="34" customHeight="1">
      <c r="A1496" s="34" t="inlineStr">
        <is>
          <t>R1445-v2</t>
        </is>
      </c>
      <c r="B1496" s="34" t="inlineStr">
        <is>
          <t>Cost &amp; Forecast Control Accounts</t>
        </is>
      </c>
      <c r="C1496" s="34" t="inlineStr">
        <is>
          <t>CST-05-043</t>
        </is>
      </c>
      <c r="D1496" s="34" t="inlineStr">
        <is>
          <t>UNSURE</t>
        </is>
      </c>
      <c r="E1496" s="34" t="inlineStr">
        <is>
          <t>New</t>
        </is>
      </c>
      <c r="F1496" s="14" t="inlineStr"/>
      <c r="G1496" s="34" t="inlineStr">
        <is>
          <t>Maya Chen, Owner Project Controls</t>
        </is>
      </c>
      <c r="H1496" s="92" t="inlineStr">
        <is>
          <t>10 EVIDENCE &amp; DECISIONS</t>
        </is>
      </c>
    </row>
    <row r="1497" ht="34" customHeight="1">
      <c r="A1497" s="34" t="inlineStr">
        <is>
          <t>R1446-v2</t>
        </is>
      </c>
      <c r="B1497" s="34" t="inlineStr">
        <is>
          <t>Cost &amp; Forecast Control Accounts</t>
        </is>
      </c>
      <c r="C1497" s="34" t="inlineStr">
        <is>
          <t>CST-05-044</t>
        </is>
      </c>
      <c r="D1497" s="34" t="inlineStr">
        <is>
          <t>UNSURE</t>
        </is>
      </c>
      <c r="E1497" s="34" t="inlineStr">
        <is>
          <t>New</t>
        </is>
      </c>
      <c r="F1497" s="14" t="inlineStr"/>
      <c r="G1497" s="34" t="inlineStr">
        <is>
          <t>Maya Chen, Owner Project Controls</t>
        </is>
      </c>
      <c r="H1497" s="92" t="inlineStr">
        <is>
          <t>10 EVIDENCE &amp; DECISIONS</t>
        </is>
      </c>
    </row>
    <row r="1498" ht="34" customHeight="1">
      <c r="A1498" s="34" t="inlineStr">
        <is>
          <t>R1447-v2</t>
        </is>
      </c>
      <c r="B1498" s="34" t="inlineStr">
        <is>
          <t>Cost &amp; Forecast Control Accounts</t>
        </is>
      </c>
      <c r="C1498" s="34" t="inlineStr">
        <is>
          <t>CST-05-045</t>
        </is>
      </c>
      <c r="D1498" s="34" t="inlineStr">
        <is>
          <t>UNSURE</t>
        </is>
      </c>
      <c r="E1498" s="34" t="inlineStr">
        <is>
          <t>New</t>
        </is>
      </c>
      <c r="F1498" s="14" t="inlineStr"/>
      <c r="G1498" s="34" t="inlineStr">
        <is>
          <t>Maya Chen, Owner Project Controls</t>
        </is>
      </c>
      <c r="H1498" s="92" t="inlineStr">
        <is>
          <t>10 EVIDENCE &amp; DECISIONS</t>
        </is>
      </c>
    </row>
    <row r="1499" ht="34" customHeight="1">
      <c r="A1499" s="34" t="inlineStr">
        <is>
          <t>R1448-v2</t>
        </is>
      </c>
      <c r="B1499" s="34" t="inlineStr">
        <is>
          <t>Cost &amp; Forecast Control Accounts</t>
        </is>
      </c>
      <c r="C1499" s="34" t="inlineStr">
        <is>
          <t>CST-05-046</t>
        </is>
      </c>
      <c r="D1499" s="34" t="inlineStr">
        <is>
          <t>UNSURE</t>
        </is>
      </c>
      <c r="E1499" s="34" t="inlineStr">
        <is>
          <t>New</t>
        </is>
      </c>
      <c r="F1499" s="14" t="inlineStr"/>
      <c r="G1499" s="34" t="inlineStr">
        <is>
          <t>Maya Chen, Owner Project Controls</t>
        </is>
      </c>
      <c r="H1499" s="92" t="inlineStr">
        <is>
          <t>10 EVIDENCE &amp; DECISIONS</t>
        </is>
      </c>
    </row>
    <row r="1500" ht="34" customHeight="1">
      <c r="A1500" s="34" t="inlineStr">
        <is>
          <t>R1449-v2</t>
        </is>
      </c>
      <c r="B1500" s="34" t="inlineStr">
        <is>
          <t>Cost &amp; Forecast Control Accounts</t>
        </is>
      </c>
      <c r="C1500" s="34" t="inlineStr">
        <is>
          <t>CST-05-047</t>
        </is>
      </c>
      <c r="D1500" s="34" t="inlineStr">
        <is>
          <t>UNSURE</t>
        </is>
      </c>
      <c r="E1500" s="34" t="inlineStr">
        <is>
          <t>New</t>
        </is>
      </c>
      <c r="F1500" s="14" t="inlineStr"/>
      <c r="G1500" s="34" t="inlineStr">
        <is>
          <t>Maya Chen, Owner Project Controls</t>
        </is>
      </c>
      <c r="H1500" s="92" t="inlineStr">
        <is>
          <t>10 EVIDENCE &amp; DECISIONS</t>
        </is>
      </c>
    </row>
    <row r="1501" ht="34" customHeight="1">
      <c r="A1501" s="34" t="inlineStr">
        <is>
          <t>R1450-v2</t>
        </is>
      </c>
      <c r="B1501" s="34" t="inlineStr">
        <is>
          <t>Cost &amp; Forecast Control Accounts</t>
        </is>
      </c>
      <c r="C1501" s="34" t="inlineStr">
        <is>
          <t>CST-05-048</t>
        </is>
      </c>
      <c r="D1501" s="34" t="inlineStr">
        <is>
          <t>UNSURE</t>
        </is>
      </c>
      <c r="E1501" s="34" t="inlineStr">
        <is>
          <t>New</t>
        </is>
      </c>
      <c r="F1501" s="14" t="inlineStr"/>
      <c r="G1501" s="34" t="inlineStr">
        <is>
          <t>Maya Chen, Owner Project Controls</t>
        </is>
      </c>
      <c r="H1501" s="92" t="inlineStr">
        <is>
          <t>10 EVIDENCE &amp; DECISIONS</t>
        </is>
      </c>
    </row>
    <row r="1502" ht="34" customHeight="1">
      <c r="A1502" s="34" t="inlineStr">
        <is>
          <t>R1451-v2</t>
        </is>
      </c>
      <c r="B1502" s="34" t="inlineStr">
        <is>
          <t>Cost &amp; Forecast Control Accounts</t>
        </is>
      </c>
      <c r="C1502" s="34" t="inlineStr">
        <is>
          <t>CST-05-049</t>
        </is>
      </c>
      <c r="D1502" s="34" t="inlineStr">
        <is>
          <t>UNSURE</t>
        </is>
      </c>
      <c r="E1502" s="34" t="inlineStr">
        <is>
          <t>New</t>
        </is>
      </c>
      <c r="F1502" s="14" t="inlineStr"/>
      <c r="G1502" s="34" t="inlineStr">
        <is>
          <t>Maya Chen, Owner Project Controls</t>
        </is>
      </c>
      <c r="H1502" s="92" t="inlineStr">
        <is>
          <t>10 EVIDENCE &amp; DECISIONS</t>
        </is>
      </c>
    </row>
    <row r="1503" ht="34" customHeight="1">
      <c r="A1503" s="34" t="inlineStr">
        <is>
          <t>R1452-v2</t>
        </is>
      </c>
      <c r="B1503" s="34" t="inlineStr">
        <is>
          <t>Cost &amp; Forecast Control Accounts</t>
        </is>
      </c>
      <c r="C1503" s="34" t="inlineStr">
        <is>
          <t>CST-05-050</t>
        </is>
      </c>
      <c r="D1503" s="34" t="inlineStr">
        <is>
          <t>UNSURE</t>
        </is>
      </c>
      <c r="E1503" s="34" t="inlineStr">
        <is>
          <t>New</t>
        </is>
      </c>
      <c r="F1503" s="14" t="inlineStr"/>
      <c r="G1503" s="34" t="inlineStr">
        <is>
          <t>Maya Chen, Owner Project Controls</t>
        </is>
      </c>
      <c r="H1503" s="92" t="inlineStr">
        <is>
          <t>10 EVIDENCE &amp; DECISIONS</t>
        </is>
      </c>
    </row>
    <row r="1504" ht="34" customHeight="1">
      <c r="A1504" s="34" t="inlineStr">
        <is>
          <t>R1453-v2</t>
        </is>
      </c>
      <c r="B1504" s="34" t="inlineStr">
        <is>
          <t>Cost &amp; Forecast Control Accounts</t>
        </is>
      </c>
      <c r="C1504" s="34" t="inlineStr">
        <is>
          <t>CST-05-051</t>
        </is>
      </c>
      <c r="D1504" s="34" t="inlineStr">
        <is>
          <t>UNSURE</t>
        </is>
      </c>
      <c r="E1504" s="34" t="inlineStr">
        <is>
          <t>New</t>
        </is>
      </c>
      <c r="F1504" s="14" t="inlineStr"/>
      <c r="G1504" s="34" t="inlineStr">
        <is>
          <t>Maya Chen, Owner Project Controls</t>
        </is>
      </c>
      <c r="H1504" s="92" t="inlineStr">
        <is>
          <t>10 EVIDENCE &amp; DECISIONS</t>
        </is>
      </c>
    </row>
    <row r="1505" ht="34" customHeight="1">
      <c r="A1505" s="34" t="inlineStr">
        <is>
          <t>R1454-v2</t>
        </is>
      </c>
      <c r="B1505" s="34" t="inlineStr">
        <is>
          <t>Cost &amp; Forecast Control Accounts</t>
        </is>
      </c>
      <c r="C1505" s="34" t="inlineStr">
        <is>
          <t>CST-05-052</t>
        </is>
      </c>
      <c r="D1505" s="34" t="inlineStr">
        <is>
          <t>UNSURE</t>
        </is>
      </c>
      <c r="E1505" s="34" t="inlineStr">
        <is>
          <t>New</t>
        </is>
      </c>
      <c r="F1505" s="14" t="inlineStr"/>
      <c r="G1505" s="34" t="inlineStr">
        <is>
          <t>Maya Chen, Owner Project Controls</t>
        </is>
      </c>
      <c r="H1505" s="92" t="inlineStr">
        <is>
          <t>10 EVIDENCE &amp; DECISIONS</t>
        </is>
      </c>
    </row>
    <row r="1506" ht="34" customHeight="1">
      <c r="A1506" s="34" t="inlineStr">
        <is>
          <t>R1455-v2</t>
        </is>
      </c>
      <c r="B1506" s="34" t="inlineStr">
        <is>
          <t>Cost &amp; Forecast Control Accounts</t>
        </is>
      </c>
      <c r="C1506" s="34" t="inlineStr">
        <is>
          <t>CST-05-053</t>
        </is>
      </c>
      <c r="D1506" s="34" t="inlineStr">
        <is>
          <t>UNSURE</t>
        </is>
      </c>
      <c r="E1506" s="34" t="inlineStr">
        <is>
          <t>New</t>
        </is>
      </c>
      <c r="F1506" s="14" t="inlineStr"/>
      <c r="G1506" s="34" t="inlineStr">
        <is>
          <t>Maya Chen, Owner Project Controls</t>
        </is>
      </c>
      <c r="H1506" s="92" t="inlineStr">
        <is>
          <t>10 EVIDENCE &amp; DECISIONS</t>
        </is>
      </c>
    </row>
    <row r="1507" ht="34" customHeight="1">
      <c r="A1507" s="34" t="inlineStr">
        <is>
          <t>R1456-v2</t>
        </is>
      </c>
      <c r="B1507" s="34" t="inlineStr">
        <is>
          <t>Cost &amp; Forecast Control Accounts</t>
        </is>
      </c>
      <c r="C1507" s="34" t="inlineStr">
        <is>
          <t>CST-05-054</t>
        </is>
      </c>
      <c r="D1507" s="34" t="inlineStr">
        <is>
          <t>UNSURE</t>
        </is>
      </c>
      <c r="E1507" s="34" t="inlineStr">
        <is>
          <t>New</t>
        </is>
      </c>
      <c r="F1507" s="14" t="inlineStr"/>
      <c r="G1507" s="34" t="inlineStr">
        <is>
          <t>Maya Chen, Owner Project Controls</t>
        </is>
      </c>
      <c r="H1507" s="92" t="inlineStr">
        <is>
          <t>10 EVIDENCE &amp; DECISIONS</t>
        </is>
      </c>
    </row>
    <row r="1508" ht="34" customHeight="1">
      <c r="A1508" s="34" t="inlineStr">
        <is>
          <t>R1457-v2</t>
        </is>
      </c>
      <c r="B1508" s="34" t="inlineStr">
        <is>
          <t>Cost &amp; Forecast Control Accounts</t>
        </is>
      </c>
      <c r="C1508" s="34" t="inlineStr">
        <is>
          <t>CST-05-055</t>
        </is>
      </c>
      <c r="D1508" s="34" t="inlineStr">
        <is>
          <t>UNSURE</t>
        </is>
      </c>
      <c r="E1508" s="34" t="inlineStr">
        <is>
          <t>New</t>
        </is>
      </c>
      <c r="F1508" s="14" t="inlineStr"/>
      <c r="G1508" s="34" t="inlineStr">
        <is>
          <t>Maya Chen, Owner Project Controls</t>
        </is>
      </c>
      <c r="H1508" s="92" t="inlineStr">
        <is>
          <t>10 EVIDENCE &amp; DECISIONS</t>
        </is>
      </c>
    </row>
    <row r="1509" ht="34" customHeight="1">
      <c r="A1509" s="34" t="inlineStr">
        <is>
          <t>R1458-v2</t>
        </is>
      </c>
      <c r="B1509" s="34" t="inlineStr">
        <is>
          <t>Cost &amp; Forecast Control Accounts</t>
        </is>
      </c>
      <c r="C1509" s="34" t="inlineStr">
        <is>
          <t>CST-05-056</t>
        </is>
      </c>
      <c r="D1509" s="34" t="inlineStr">
        <is>
          <t>UNSURE</t>
        </is>
      </c>
      <c r="E1509" s="34" t="inlineStr">
        <is>
          <t>New</t>
        </is>
      </c>
      <c r="F1509" s="14" t="inlineStr"/>
      <c r="G1509" s="34" t="inlineStr">
        <is>
          <t>Maya Chen, Owner Project Controls</t>
        </is>
      </c>
      <c r="H1509" s="92" t="inlineStr">
        <is>
          <t>10 EVIDENCE &amp; DECISIONS</t>
        </is>
      </c>
    </row>
    <row r="1510" ht="34" customHeight="1">
      <c r="A1510" s="34" t="inlineStr">
        <is>
          <t>R1459-v2</t>
        </is>
      </c>
      <c r="B1510" s="34" t="inlineStr">
        <is>
          <t>Cost &amp; Forecast Control Accounts</t>
        </is>
      </c>
      <c r="C1510" s="34" t="inlineStr">
        <is>
          <t>CST-05-057</t>
        </is>
      </c>
      <c r="D1510" s="34" t="inlineStr">
        <is>
          <t>UNSURE</t>
        </is>
      </c>
      <c r="E1510" s="34" t="inlineStr">
        <is>
          <t>New</t>
        </is>
      </c>
      <c r="F1510" s="14" t="inlineStr"/>
      <c r="G1510" s="34" t="inlineStr">
        <is>
          <t>Maya Chen, Owner Project Controls</t>
        </is>
      </c>
      <c r="H1510" s="92" t="inlineStr">
        <is>
          <t>10 EVIDENCE &amp; DECISIONS</t>
        </is>
      </c>
    </row>
    <row r="1511" ht="34" customHeight="1">
      <c r="A1511" s="34" t="inlineStr">
        <is>
          <t>R1460-v2</t>
        </is>
      </c>
      <c r="B1511" s="34" t="inlineStr">
        <is>
          <t>Cost &amp; Forecast Control Accounts</t>
        </is>
      </c>
      <c r="C1511" s="34" t="inlineStr">
        <is>
          <t>CST-05-058</t>
        </is>
      </c>
      <c r="D1511" s="34" t="inlineStr">
        <is>
          <t>UNSURE</t>
        </is>
      </c>
      <c r="E1511" s="34" t="inlineStr">
        <is>
          <t>New</t>
        </is>
      </c>
      <c r="F1511" s="14" t="inlineStr"/>
      <c r="G1511" s="34" t="inlineStr">
        <is>
          <t>Maya Chen, Owner Project Controls</t>
        </is>
      </c>
      <c r="H1511" s="92" t="inlineStr">
        <is>
          <t>10 EVIDENCE &amp; DECISIONS</t>
        </is>
      </c>
    </row>
    <row r="1512" ht="34" customHeight="1">
      <c r="A1512" s="34" t="inlineStr">
        <is>
          <t>R1461-v2</t>
        </is>
      </c>
      <c r="B1512" s="34" t="inlineStr">
        <is>
          <t>Cost &amp; Forecast Control Accounts</t>
        </is>
      </c>
      <c r="C1512" s="34" t="inlineStr">
        <is>
          <t>CST-05-059</t>
        </is>
      </c>
      <c r="D1512" s="34" t="inlineStr">
        <is>
          <t>UNSURE</t>
        </is>
      </c>
      <c r="E1512" s="34" t="inlineStr">
        <is>
          <t>New</t>
        </is>
      </c>
      <c r="F1512" s="14" t="inlineStr"/>
      <c r="G1512" s="34" t="inlineStr">
        <is>
          <t>Maya Chen, Owner Project Controls</t>
        </is>
      </c>
      <c r="H1512" s="92" t="inlineStr">
        <is>
          <t>10 EVIDENCE &amp; DECISIONS</t>
        </is>
      </c>
    </row>
    <row r="1513" ht="34" customHeight="1">
      <c r="A1513" s="34" t="inlineStr">
        <is>
          <t>R1462-v2</t>
        </is>
      </c>
      <c r="B1513" s="34" t="inlineStr">
        <is>
          <t>Cost &amp; Forecast Control Accounts</t>
        </is>
      </c>
      <c r="C1513" s="34" t="inlineStr">
        <is>
          <t>CST-05-060</t>
        </is>
      </c>
      <c r="D1513" s="34" t="inlineStr">
        <is>
          <t>UNSURE</t>
        </is>
      </c>
      <c r="E1513" s="34" t="inlineStr">
        <is>
          <t>New</t>
        </is>
      </c>
      <c r="F1513" s="14" t="inlineStr"/>
      <c r="G1513" s="34" t="inlineStr">
        <is>
          <t>Maya Chen, Owner Project Controls</t>
        </is>
      </c>
      <c r="H1513" s="92" t="inlineStr">
        <is>
          <t>10 EVIDENCE &amp; DECISIONS</t>
        </is>
      </c>
    </row>
    <row r="1514" ht="34" customHeight="1">
      <c r="A1514" s="34" t="inlineStr">
        <is>
          <t>R1463-v2</t>
        </is>
      </c>
      <c r="B1514" s="34" t="inlineStr">
        <is>
          <t>Cost &amp; Forecast Control Accounts</t>
        </is>
      </c>
      <c r="C1514" s="34" t="inlineStr">
        <is>
          <t>CST-05-061</t>
        </is>
      </c>
      <c r="D1514" s="34" t="inlineStr">
        <is>
          <t>UNSURE</t>
        </is>
      </c>
      <c r="E1514" s="34" t="inlineStr">
        <is>
          <t>New</t>
        </is>
      </c>
      <c r="F1514" s="14" t="inlineStr"/>
      <c r="G1514" s="34" t="inlineStr">
        <is>
          <t>Maya Chen, Owner Project Controls</t>
        </is>
      </c>
      <c r="H1514" s="92" t="inlineStr">
        <is>
          <t>10 EVIDENCE &amp; DECISIONS</t>
        </is>
      </c>
    </row>
    <row r="1515" ht="34" customHeight="1">
      <c r="A1515" s="34" t="inlineStr">
        <is>
          <t>R1464-v2</t>
        </is>
      </c>
      <c r="B1515" s="34" t="inlineStr">
        <is>
          <t>Cost &amp; Forecast Control Accounts</t>
        </is>
      </c>
      <c r="C1515" s="34" t="inlineStr">
        <is>
          <t>CST-05-062</t>
        </is>
      </c>
      <c r="D1515" s="34" t="inlineStr">
        <is>
          <t>UNSURE</t>
        </is>
      </c>
      <c r="E1515" s="34" t="inlineStr">
        <is>
          <t>New</t>
        </is>
      </c>
      <c r="F1515" s="14" t="inlineStr"/>
      <c r="G1515" s="34" t="inlineStr">
        <is>
          <t>Maya Chen, Owner Project Controls</t>
        </is>
      </c>
      <c r="H1515" s="92" t="inlineStr">
        <is>
          <t>10 EVIDENCE &amp; DECISIONS</t>
        </is>
      </c>
    </row>
    <row r="1516" ht="34" customHeight="1">
      <c r="A1516" s="34" t="inlineStr">
        <is>
          <t>R1465-v2</t>
        </is>
      </c>
      <c r="B1516" s="34" t="inlineStr">
        <is>
          <t>Cost &amp; Forecast Control Accounts</t>
        </is>
      </c>
      <c r="C1516" s="34" t="inlineStr">
        <is>
          <t>CST-05-063</t>
        </is>
      </c>
      <c r="D1516" s="34" t="inlineStr">
        <is>
          <t>UNSURE</t>
        </is>
      </c>
      <c r="E1516" s="34" t="inlineStr">
        <is>
          <t>New</t>
        </is>
      </c>
      <c r="F1516" s="14" t="inlineStr"/>
      <c r="G1516" s="34" t="inlineStr">
        <is>
          <t>Maya Chen, Owner Project Controls</t>
        </is>
      </c>
      <c r="H1516" s="92" t="inlineStr">
        <is>
          <t>10 EVIDENCE &amp; DECISIONS</t>
        </is>
      </c>
    </row>
    <row r="1517" ht="34" customHeight="1">
      <c r="A1517" s="34" t="inlineStr">
        <is>
          <t>R1466-v2</t>
        </is>
      </c>
      <c r="B1517" s="34" t="inlineStr">
        <is>
          <t>Cost &amp; Forecast Control Accounts</t>
        </is>
      </c>
      <c r="C1517" s="34" t="inlineStr">
        <is>
          <t>CST-05-064</t>
        </is>
      </c>
      <c r="D1517" s="34" t="inlineStr">
        <is>
          <t>UNSURE</t>
        </is>
      </c>
      <c r="E1517" s="34" t="inlineStr">
        <is>
          <t>New</t>
        </is>
      </c>
      <c r="F1517" s="14" t="inlineStr"/>
      <c r="G1517" s="34" t="inlineStr">
        <is>
          <t>Maya Chen, Owner Project Controls</t>
        </is>
      </c>
      <c r="H1517" s="92" t="inlineStr">
        <is>
          <t>10 EVIDENCE &amp; DECISIONS</t>
        </is>
      </c>
    </row>
    <row r="1518" ht="34" customHeight="1">
      <c r="A1518" s="34" t="inlineStr">
        <is>
          <t>R1467-v2</t>
        </is>
      </c>
      <c r="B1518" s="34" t="inlineStr">
        <is>
          <t>Cost &amp; Forecast Control Accounts</t>
        </is>
      </c>
      <c r="C1518" s="34" t="inlineStr">
        <is>
          <t>CST-05-065</t>
        </is>
      </c>
      <c r="D1518" s="34" t="inlineStr">
        <is>
          <t>UNSURE</t>
        </is>
      </c>
      <c r="E1518" s="34" t="inlineStr">
        <is>
          <t>New</t>
        </is>
      </c>
      <c r="F1518" s="14" t="inlineStr"/>
      <c r="G1518" s="34" t="inlineStr">
        <is>
          <t>Maya Chen, Owner Project Controls</t>
        </is>
      </c>
      <c r="H1518" s="92" t="inlineStr">
        <is>
          <t>10 EVIDENCE &amp; DECISIONS</t>
        </is>
      </c>
    </row>
    <row r="1519" ht="34" customHeight="1">
      <c r="A1519" s="34" t="inlineStr">
        <is>
          <t>R1468-v2</t>
        </is>
      </c>
      <c r="B1519" s="34" t="inlineStr">
        <is>
          <t>Cost &amp; Forecast Control Accounts</t>
        </is>
      </c>
      <c r="C1519" s="34" t="inlineStr">
        <is>
          <t>CST-05-066</t>
        </is>
      </c>
      <c r="D1519" s="34" t="inlineStr">
        <is>
          <t>UNSURE</t>
        </is>
      </c>
      <c r="E1519" s="34" t="inlineStr">
        <is>
          <t>New</t>
        </is>
      </c>
      <c r="F1519" s="14" t="inlineStr"/>
      <c r="G1519" s="34" t="inlineStr">
        <is>
          <t>Maya Chen, Owner Project Controls</t>
        </is>
      </c>
      <c r="H1519" s="92" t="inlineStr">
        <is>
          <t>10 EVIDENCE &amp; DECISIONS</t>
        </is>
      </c>
    </row>
    <row r="1520" ht="34" customHeight="1">
      <c r="A1520" s="34" t="inlineStr">
        <is>
          <t>R1469-v2</t>
        </is>
      </c>
      <c r="B1520" s="34" t="inlineStr">
        <is>
          <t>Cost &amp; Forecast Control Accounts</t>
        </is>
      </c>
      <c r="C1520" s="34" t="inlineStr">
        <is>
          <t>CST-05-067</t>
        </is>
      </c>
      <c r="D1520" s="34" t="inlineStr">
        <is>
          <t>UNSURE</t>
        </is>
      </c>
      <c r="E1520" s="34" t="inlineStr">
        <is>
          <t>New</t>
        </is>
      </c>
      <c r="F1520" s="14" t="inlineStr"/>
      <c r="G1520" s="34" t="inlineStr">
        <is>
          <t>Maya Chen, Owner Project Controls</t>
        </is>
      </c>
      <c r="H1520" s="92" t="inlineStr">
        <is>
          <t>10 EVIDENCE &amp; DECISIONS</t>
        </is>
      </c>
    </row>
    <row r="1521" ht="34" customHeight="1">
      <c r="A1521" s="34" t="inlineStr">
        <is>
          <t>R1470-v2</t>
        </is>
      </c>
      <c r="B1521" s="34" t="inlineStr">
        <is>
          <t>Cost &amp; Forecast Control Accounts</t>
        </is>
      </c>
      <c r="C1521" s="34" t="inlineStr">
        <is>
          <t>CST-05-068</t>
        </is>
      </c>
      <c r="D1521" s="34" t="inlineStr">
        <is>
          <t>UNSURE</t>
        </is>
      </c>
      <c r="E1521" s="34" t="inlineStr">
        <is>
          <t>New</t>
        </is>
      </c>
      <c r="F1521" s="14" t="inlineStr"/>
      <c r="G1521" s="34" t="inlineStr">
        <is>
          <t>Maya Chen, Owner Project Controls</t>
        </is>
      </c>
      <c r="H1521" s="92" t="inlineStr">
        <is>
          <t>10 EVIDENCE &amp; DECISIONS</t>
        </is>
      </c>
    </row>
    <row r="1522" ht="34" customHeight="1">
      <c r="A1522" s="34" t="inlineStr">
        <is>
          <t>R1471-v2</t>
        </is>
      </c>
      <c r="B1522" s="34" t="inlineStr">
        <is>
          <t>Cost &amp; Forecast Control Accounts</t>
        </is>
      </c>
      <c r="C1522" s="34" t="inlineStr">
        <is>
          <t>CST-05-069</t>
        </is>
      </c>
      <c r="D1522" s="34" t="inlineStr">
        <is>
          <t>UNSURE</t>
        </is>
      </c>
      <c r="E1522" s="34" t="inlineStr">
        <is>
          <t>New</t>
        </is>
      </c>
      <c r="F1522" s="14" t="inlineStr"/>
      <c r="G1522" s="34" t="inlineStr">
        <is>
          <t>Maya Chen, Owner Project Controls</t>
        </is>
      </c>
      <c r="H1522" s="92" t="inlineStr">
        <is>
          <t>10 EVIDENCE &amp; DECISIONS</t>
        </is>
      </c>
    </row>
    <row r="1523" ht="34" customHeight="1">
      <c r="A1523" s="34" t="inlineStr">
        <is>
          <t>R1472-v2</t>
        </is>
      </c>
      <c r="B1523" s="34" t="inlineStr">
        <is>
          <t>Cost &amp; Forecast Control Accounts</t>
        </is>
      </c>
      <c r="C1523" s="34" t="inlineStr">
        <is>
          <t>CST-05-070</t>
        </is>
      </c>
      <c r="D1523" s="34" t="inlineStr">
        <is>
          <t>UNSURE</t>
        </is>
      </c>
      <c r="E1523" s="34" t="inlineStr">
        <is>
          <t>New</t>
        </is>
      </c>
      <c r="F1523" s="14" t="inlineStr"/>
      <c r="G1523" s="34" t="inlineStr">
        <is>
          <t>Maya Chen, Owner Project Controls</t>
        </is>
      </c>
      <c r="H1523" s="92" t="inlineStr">
        <is>
          <t>10 EVIDENCE &amp; DECISIONS</t>
        </is>
      </c>
    </row>
    <row r="1524" ht="34" customHeight="1">
      <c r="A1524" s="34" t="inlineStr">
        <is>
          <t>R1473-v2</t>
        </is>
      </c>
      <c r="B1524" s="34" t="inlineStr">
        <is>
          <t>Cost &amp; Forecast Control Accounts</t>
        </is>
      </c>
      <c r="C1524" s="34" t="inlineStr">
        <is>
          <t>CST-05-071</t>
        </is>
      </c>
      <c r="D1524" s="34" t="inlineStr">
        <is>
          <t>UNSURE</t>
        </is>
      </c>
      <c r="E1524" s="34" t="inlineStr">
        <is>
          <t>New</t>
        </is>
      </c>
      <c r="F1524" s="14" t="inlineStr"/>
      <c r="G1524" s="34" t="inlineStr">
        <is>
          <t>Maya Chen, Owner Project Controls</t>
        </is>
      </c>
      <c r="H1524" s="92" t="inlineStr">
        <is>
          <t>10 EVIDENCE &amp; DECISIONS</t>
        </is>
      </c>
    </row>
    <row r="1525" ht="34" customHeight="1">
      <c r="A1525" s="34" t="inlineStr">
        <is>
          <t>R1474-v2</t>
        </is>
      </c>
      <c r="B1525" s="34" t="inlineStr">
        <is>
          <t>Cost &amp; Forecast Control Accounts</t>
        </is>
      </c>
      <c r="C1525" s="34" t="inlineStr">
        <is>
          <t>CST-05-072</t>
        </is>
      </c>
      <c r="D1525" s="34" t="inlineStr">
        <is>
          <t>UNSURE</t>
        </is>
      </c>
      <c r="E1525" s="34" t="inlineStr">
        <is>
          <t>New</t>
        </is>
      </c>
      <c r="F1525" s="14" t="inlineStr"/>
      <c r="G1525" s="34" t="inlineStr">
        <is>
          <t>Maya Chen, Owner Project Controls</t>
        </is>
      </c>
      <c r="H1525" s="92" t="inlineStr">
        <is>
          <t>10 EVIDENCE &amp; DECISIONS</t>
        </is>
      </c>
    </row>
    <row r="1526" ht="34" customHeight="1">
      <c r="A1526" s="34" t="inlineStr">
        <is>
          <t>R1475-v2</t>
        </is>
      </c>
      <c r="B1526" s="34" t="inlineStr">
        <is>
          <t>Cost &amp; Forecast Control Accounts</t>
        </is>
      </c>
      <c r="C1526" s="34" t="inlineStr">
        <is>
          <t>CST-05-073</t>
        </is>
      </c>
      <c r="D1526" s="34" t="inlineStr">
        <is>
          <t>UNSURE</t>
        </is>
      </c>
      <c r="E1526" s="34" t="inlineStr">
        <is>
          <t>New</t>
        </is>
      </c>
      <c r="F1526" s="14" t="inlineStr"/>
      <c r="G1526" s="34" t="inlineStr">
        <is>
          <t>Maya Chen, Owner Project Controls</t>
        </is>
      </c>
      <c r="H1526" s="92" t="inlineStr">
        <is>
          <t>10 EVIDENCE &amp; DECISIONS</t>
        </is>
      </c>
    </row>
    <row r="1527" ht="34" customHeight="1">
      <c r="A1527" s="34" t="inlineStr">
        <is>
          <t>R1476-v2</t>
        </is>
      </c>
      <c r="B1527" s="34" t="inlineStr">
        <is>
          <t>Cost &amp; Forecast Control Accounts</t>
        </is>
      </c>
      <c r="C1527" s="34" t="inlineStr">
        <is>
          <t>CST-05-074</t>
        </is>
      </c>
      <c r="D1527" s="34" t="inlineStr">
        <is>
          <t>UNSURE</t>
        </is>
      </c>
      <c r="E1527" s="34" t="inlineStr">
        <is>
          <t>New</t>
        </is>
      </c>
      <c r="F1527" s="14" t="inlineStr"/>
      <c r="G1527" s="34" t="inlineStr">
        <is>
          <t>Maya Chen, Owner Project Controls</t>
        </is>
      </c>
      <c r="H1527" s="92" t="inlineStr">
        <is>
          <t>10 EVIDENCE &amp; DECISIONS</t>
        </is>
      </c>
    </row>
    <row r="1528" ht="34" customHeight="1">
      <c r="A1528" s="34" t="inlineStr">
        <is>
          <t>R1477-v2</t>
        </is>
      </c>
      <c r="B1528" s="34" t="inlineStr">
        <is>
          <t>Cost &amp; Forecast Control Accounts</t>
        </is>
      </c>
      <c r="C1528" s="34" t="inlineStr">
        <is>
          <t>CST-05-075</t>
        </is>
      </c>
      <c r="D1528" s="34" t="inlineStr">
        <is>
          <t>UNSURE</t>
        </is>
      </c>
      <c r="E1528" s="34" t="inlineStr">
        <is>
          <t>New</t>
        </is>
      </c>
      <c r="F1528" s="14" t="inlineStr"/>
      <c r="G1528" s="34" t="inlineStr">
        <is>
          <t>Maya Chen, Owner Project Controls</t>
        </is>
      </c>
      <c r="H1528" s="92" t="inlineStr">
        <is>
          <t>10 EVIDENCE &amp; DECISIONS</t>
        </is>
      </c>
    </row>
    <row r="1529" ht="34" customHeight="1">
      <c r="A1529" s="34" t="inlineStr">
        <is>
          <t>R1478-v2</t>
        </is>
      </c>
      <c r="B1529" s="34" t="inlineStr">
        <is>
          <t>Cost &amp; Forecast Control Accounts</t>
        </is>
      </c>
      <c r="C1529" s="34" t="inlineStr">
        <is>
          <t>CST-05-076</t>
        </is>
      </c>
      <c r="D1529" s="34" t="inlineStr">
        <is>
          <t>UNSURE</t>
        </is>
      </c>
      <c r="E1529" s="34" t="inlineStr">
        <is>
          <t>New</t>
        </is>
      </c>
      <c r="F1529" s="14" t="inlineStr"/>
      <c r="G1529" s="34" t="inlineStr">
        <is>
          <t>Maya Chen, Owner Project Controls</t>
        </is>
      </c>
      <c r="H1529" s="92" t="inlineStr">
        <is>
          <t>10 EVIDENCE &amp; DECISIONS</t>
        </is>
      </c>
    </row>
    <row r="1530" ht="34" customHeight="1">
      <c r="A1530" s="34" t="inlineStr">
        <is>
          <t>R1479-v2</t>
        </is>
      </c>
      <c r="B1530" s="34" t="inlineStr">
        <is>
          <t>Cost &amp; Forecast Control Accounts</t>
        </is>
      </c>
      <c r="C1530" s="34" t="inlineStr">
        <is>
          <t>CST-05-077</t>
        </is>
      </c>
      <c r="D1530" s="34" t="inlineStr">
        <is>
          <t>UNSURE</t>
        </is>
      </c>
      <c r="E1530" s="34" t="inlineStr">
        <is>
          <t>New</t>
        </is>
      </c>
      <c r="F1530" s="14" t="inlineStr"/>
      <c r="G1530" s="34" t="inlineStr">
        <is>
          <t>Maya Chen, Owner Project Controls</t>
        </is>
      </c>
      <c r="H1530" s="92" t="inlineStr">
        <is>
          <t>10 EVIDENCE &amp; DECISIONS</t>
        </is>
      </c>
    </row>
    <row r="1531" ht="34" customHeight="1">
      <c r="A1531" s="34" t="inlineStr">
        <is>
          <t>R1480-v2</t>
        </is>
      </c>
      <c r="B1531" s="34" t="inlineStr">
        <is>
          <t>Cost &amp; Forecast Control Accounts</t>
        </is>
      </c>
      <c r="C1531" s="34" t="inlineStr">
        <is>
          <t>CST-05-078</t>
        </is>
      </c>
      <c r="D1531" s="34" t="inlineStr">
        <is>
          <t>UNSURE</t>
        </is>
      </c>
      <c r="E1531" s="34" t="inlineStr">
        <is>
          <t>New</t>
        </is>
      </c>
      <c r="F1531" s="14" t="inlineStr"/>
      <c r="G1531" s="34" t="inlineStr">
        <is>
          <t>Maya Chen, Owner Project Controls</t>
        </is>
      </c>
      <c r="H1531" s="92" t="inlineStr">
        <is>
          <t>10 EVIDENCE &amp; DECISIONS</t>
        </is>
      </c>
    </row>
    <row r="1532" ht="34" customHeight="1">
      <c r="A1532" s="34" t="inlineStr">
        <is>
          <t>R1481-v2</t>
        </is>
      </c>
      <c r="B1532" s="34" t="inlineStr">
        <is>
          <t>Cost &amp; Forecast Control Accounts</t>
        </is>
      </c>
      <c r="C1532" s="34" t="inlineStr">
        <is>
          <t>CST-05-079</t>
        </is>
      </c>
      <c r="D1532" s="34" t="inlineStr">
        <is>
          <t>UNSURE</t>
        </is>
      </c>
      <c r="E1532" s="34" t="inlineStr">
        <is>
          <t>New</t>
        </is>
      </c>
      <c r="F1532" s="14" t="inlineStr"/>
      <c r="G1532" s="34" t="inlineStr">
        <is>
          <t>Maya Chen, Owner Project Controls</t>
        </is>
      </c>
      <c r="H1532" s="92" t="inlineStr">
        <is>
          <t>10 EVIDENCE &amp; DECISIONS</t>
        </is>
      </c>
    </row>
    <row r="1533" ht="34" customHeight="1">
      <c r="A1533" s="34" t="inlineStr">
        <is>
          <t>R1482-v2</t>
        </is>
      </c>
      <c r="B1533" s="34" t="inlineStr">
        <is>
          <t>Cost &amp; Forecast Control Accounts</t>
        </is>
      </c>
      <c r="C1533" s="34" t="inlineStr">
        <is>
          <t>CST-05-080</t>
        </is>
      </c>
      <c r="D1533" s="34" t="inlineStr">
        <is>
          <t>UNSURE</t>
        </is>
      </c>
      <c r="E1533" s="34" t="inlineStr">
        <is>
          <t>New</t>
        </is>
      </c>
      <c r="F1533" s="14" t="inlineStr"/>
      <c r="G1533" s="34" t="inlineStr">
        <is>
          <t>Maya Chen, Owner Project Controls</t>
        </is>
      </c>
      <c r="H1533" s="92" t="inlineStr">
        <is>
          <t>10 EVIDENCE &amp; DECISIONS</t>
        </is>
      </c>
    </row>
    <row r="1534" ht="34" customHeight="1">
      <c r="A1534" s="34" t="inlineStr">
        <is>
          <t>R183-v2</t>
        </is>
      </c>
      <c r="B1534" s="34" t="inlineStr">
        <is>
          <t>Contractor Programme</t>
        </is>
      </c>
      <c r="C1534" s="34" t="inlineStr">
        <is>
          <t>SCH-02-003</t>
        </is>
      </c>
      <c r="D1534" s="34" t="inlineStr">
        <is>
          <t>UNSURE</t>
        </is>
      </c>
      <c r="E1534" s="34" t="inlineStr">
        <is>
          <t>New</t>
        </is>
      </c>
      <c r="F1534" s="14" t="inlineStr"/>
      <c r="G1534" s="34" t="inlineStr">
        <is>
          <t>Maya Chen, Owner Project Controls</t>
        </is>
      </c>
      <c r="H1534" s="92" t="inlineStr">
        <is>
          <t>10 EVIDENCE &amp; DECISIONS</t>
        </is>
      </c>
    </row>
    <row r="1535" ht="34" customHeight="1">
      <c r="A1535" s="34" t="inlineStr">
        <is>
          <t>R543-v2</t>
        </is>
      </c>
      <c r="B1535" s="34" t="inlineStr">
        <is>
          <t>Contractor Programme</t>
        </is>
      </c>
      <c r="C1535" s="34" t="inlineStr">
        <is>
          <t>SCH-04-003</t>
        </is>
      </c>
      <c r="D1535" s="34" t="inlineStr">
        <is>
          <t>UNSURE</t>
        </is>
      </c>
      <c r="E1535" s="34" t="inlineStr">
        <is>
          <t>New</t>
        </is>
      </c>
      <c r="F1535" s="14" t="inlineStr"/>
      <c r="G1535" s="34" t="inlineStr">
        <is>
          <t>Maya Chen, Owner Project Controls</t>
        </is>
      </c>
      <c r="H1535" s="92" t="inlineStr">
        <is>
          <t>10 EVIDENCE &amp; DECISIONS</t>
        </is>
      </c>
    </row>
    <row r="1536" ht="34" customHeight="1">
      <c r="A1536" s="34" t="inlineStr">
        <is>
          <t>R901-v2</t>
        </is>
      </c>
      <c r="B1536" s="34" t="inlineStr">
        <is>
          <t>Contractor Programme</t>
        </is>
      </c>
      <c r="C1536" s="34" t="inlineStr">
        <is>
          <t>SCH-06-001</t>
        </is>
      </c>
      <c r="D1536" s="34" t="inlineStr">
        <is>
          <t>UNSURE</t>
        </is>
      </c>
      <c r="E1536" s="34" t="inlineStr">
        <is>
          <t>New</t>
        </is>
      </c>
      <c r="F1536" s="14" t="inlineStr"/>
      <c r="G1536" s="34" t="inlineStr">
        <is>
          <t>Maya Chen, Owner Project Controls</t>
        </is>
      </c>
      <c r="H1536" s="92" t="inlineStr">
        <is>
          <t>10 EVIDENCE &amp; DECISIONS</t>
        </is>
      </c>
    </row>
    <row r="1537" ht="34" customHeight="1">
      <c r="A1537" s="34" t="inlineStr">
        <is>
          <t>R902-v2</t>
        </is>
      </c>
      <c r="B1537" s="34" t="inlineStr">
        <is>
          <t>Contractor Programme</t>
        </is>
      </c>
      <c r="C1537" s="34" t="inlineStr">
        <is>
          <t>SCH-06-002</t>
        </is>
      </c>
      <c r="D1537" s="34" t="inlineStr">
        <is>
          <t>UNSURE</t>
        </is>
      </c>
      <c r="E1537" s="34" t="inlineStr">
        <is>
          <t>New</t>
        </is>
      </c>
      <c r="F1537" s="14" t="inlineStr"/>
      <c r="G1537" s="34" t="inlineStr">
        <is>
          <t>Maya Chen, Owner Project Controls</t>
        </is>
      </c>
      <c r="H1537" s="92" t="inlineStr">
        <is>
          <t>10 EVIDENCE &amp; DECISIONS</t>
        </is>
      </c>
    </row>
    <row r="1538" ht="34" customHeight="1">
      <c r="A1538" s="34" t="inlineStr">
        <is>
          <t>R903-v2</t>
        </is>
      </c>
      <c r="B1538" s="34" t="inlineStr">
        <is>
          <t>Contractor Programme</t>
        </is>
      </c>
      <c r="C1538" s="34" t="inlineStr">
        <is>
          <t>SCH-06-003</t>
        </is>
      </c>
      <c r="D1538" s="34" t="inlineStr">
        <is>
          <t>UNSURE</t>
        </is>
      </c>
      <c r="E1538" s="34" t="inlineStr">
        <is>
          <t>New</t>
        </is>
      </c>
      <c r="F1538" s="14" t="inlineStr"/>
      <c r="G1538" s="34" t="inlineStr">
        <is>
          <t>Maya Chen, Owner Project Controls</t>
        </is>
      </c>
      <c r="H1538" s="92" t="inlineStr">
        <is>
          <t>10 EVIDENCE &amp; DECISIONS</t>
        </is>
      </c>
    </row>
    <row r="1539" ht="34" customHeight="1">
      <c r="A1539" s="34" t="inlineStr">
        <is>
          <t>R904-v2</t>
        </is>
      </c>
      <c r="B1539" s="34" t="inlineStr">
        <is>
          <t>Contractor Programme</t>
        </is>
      </c>
      <c r="C1539" s="34" t="inlineStr">
        <is>
          <t>SCH-06-004</t>
        </is>
      </c>
      <c r="D1539" s="34" t="inlineStr">
        <is>
          <t>UNSURE</t>
        </is>
      </c>
      <c r="E1539" s="34" t="inlineStr">
        <is>
          <t>New</t>
        </is>
      </c>
      <c r="F1539" s="14" t="inlineStr"/>
      <c r="G1539" s="34" t="inlineStr">
        <is>
          <t>Maya Chen, Owner Project Controls</t>
        </is>
      </c>
      <c r="H1539" s="92" t="inlineStr">
        <is>
          <t>10 EVIDENCE &amp; DECISIONS</t>
        </is>
      </c>
    </row>
    <row r="1540" ht="34" customHeight="1">
      <c r="A1540" s="34" t="inlineStr">
        <is>
          <t>R905-v2</t>
        </is>
      </c>
      <c r="B1540" s="34" t="inlineStr">
        <is>
          <t>Contractor Programme</t>
        </is>
      </c>
      <c r="C1540" s="34" t="inlineStr">
        <is>
          <t>SCH-06-005</t>
        </is>
      </c>
      <c r="D1540" s="34" t="inlineStr">
        <is>
          <t>UNSURE</t>
        </is>
      </c>
      <c r="E1540" s="34" t="inlineStr">
        <is>
          <t>New</t>
        </is>
      </c>
      <c r="F1540" s="14" t="inlineStr"/>
      <c r="G1540" s="34" t="inlineStr">
        <is>
          <t>Maya Chen, Owner Project Controls</t>
        </is>
      </c>
      <c r="H1540" s="92" t="inlineStr">
        <is>
          <t>10 EVIDENCE &amp; DECISIONS</t>
        </is>
      </c>
    </row>
    <row r="1541" ht="34" customHeight="1">
      <c r="A1541" s="34" t="inlineStr">
        <is>
          <t>R906-v2</t>
        </is>
      </c>
      <c r="B1541" s="34" t="inlineStr">
        <is>
          <t>Contractor Programme</t>
        </is>
      </c>
      <c r="C1541" s="34" t="inlineStr">
        <is>
          <t>SCH-06-006</t>
        </is>
      </c>
      <c r="D1541" s="34" t="inlineStr">
        <is>
          <t>UNSURE</t>
        </is>
      </c>
      <c r="E1541" s="34" t="inlineStr">
        <is>
          <t>New</t>
        </is>
      </c>
      <c r="F1541" s="14" t="inlineStr"/>
      <c r="G1541" s="34" t="inlineStr">
        <is>
          <t>Maya Chen, Owner Project Controls</t>
        </is>
      </c>
      <c r="H1541" s="92" t="inlineStr">
        <is>
          <t>10 EVIDENCE &amp; DECISIONS</t>
        </is>
      </c>
    </row>
    <row r="1542" ht="34" customHeight="1">
      <c r="A1542" s="34" t="inlineStr">
        <is>
          <t>R907-v2</t>
        </is>
      </c>
      <c r="B1542" s="34" t="inlineStr">
        <is>
          <t>Contractor Programme</t>
        </is>
      </c>
      <c r="C1542" s="34" t="inlineStr">
        <is>
          <t>SCH-06-007</t>
        </is>
      </c>
      <c r="D1542" s="34" t="inlineStr">
        <is>
          <t>UNSURE</t>
        </is>
      </c>
      <c r="E1542" s="34" t="inlineStr">
        <is>
          <t>New</t>
        </is>
      </c>
      <c r="F1542" s="14" t="inlineStr"/>
      <c r="G1542" s="34" t="inlineStr">
        <is>
          <t>Maya Chen, Owner Project Controls</t>
        </is>
      </c>
      <c r="H1542" s="92" t="inlineStr">
        <is>
          <t>10 EVIDENCE &amp; DECISIONS</t>
        </is>
      </c>
    </row>
    <row r="1543" ht="34" customHeight="1">
      <c r="A1543" s="34" t="inlineStr">
        <is>
          <t>R908-v2</t>
        </is>
      </c>
      <c r="B1543" s="34" t="inlineStr">
        <is>
          <t>Contractor Programme</t>
        </is>
      </c>
      <c r="C1543" s="34" t="inlineStr">
        <is>
          <t>SCH-06-008</t>
        </is>
      </c>
      <c r="D1543" s="34" t="inlineStr">
        <is>
          <t>UNSURE</t>
        </is>
      </c>
      <c r="E1543" s="34" t="inlineStr">
        <is>
          <t>New</t>
        </is>
      </c>
      <c r="F1543" s="14" t="inlineStr"/>
      <c r="G1543" s="34" t="inlineStr">
        <is>
          <t>Maya Chen, Owner Project Controls</t>
        </is>
      </c>
      <c r="H1543" s="92" t="inlineStr">
        <is>
          <t>10 EVIDENCE &amp; DECISIONS</t>
        </is>
      </c>
    </row>
    <row r="1544" ht="34" customHeight="1">
      <c r="A1544" s="34" t="inlineStr">
        <is>
          <t>R909-v2</t>
        </is>
      </c>
      <c r="B1544" s="34" t="inlineStr">
        <is>
          <t>Contractor Programme</t>
        </is>
      </c>
      <c r="C1544" s="34" t="inlineStr">
        <is>
          <t>SCH-06-009</t>
        </is>
      </c>
      <c r="D1544" s="34" t="inlineStr">
        <is>
          <t>UNSURE</t>
        </is>
      </c>
      <c r="E1544" s="34" t="inlineStr">
        <is>
          <t>New</t>
        </is>
      </c>
      <c r="F1544" s="14" t="inlineStr"/>
      <c r="G1544" s="34" t="inlineStr">
        <is>
          <t>Maya Chen, Owner Project Controls</t>
        </is>
      </c>
      <c r="H1544" s="92" t="inlineStr">
        <is>
          <t>10 EVIDENCE &amp; DECISIONS</t>
        </is>
      </c>
    </row>
    <row r="1545" ht="34" customHeight="1">
      <c r="A1545" s="34" t="inlineStr">
        <is>
          <t>R910-v2</t>
        </is>
      </c>
      <c r="B1545" s="34" t="inlineStr">
        <is>
          <t>Contractor Programme</t>
        </is>
      </c>
      <c r="C1545" s="34" t="inlineStr">
        <is>
          <t>SCH-06-010</t>
        </is>
      </c>
      <c r="D1545" s="34" t="inlineStr">
        <is>
          <t>UNSURE</t>
        </is>
      </c>
      <c r="E1545" s="34" t="inlineStr">
        <is>
          <t>New</t>
        </is>
      </c>
      <c r="F1545" s="14" t="inlineStr"/>
      <c r="G1545" s="34" t="inlineStr">
        <is>
          <t>Maya Chen, Owner Project Controls</t>
        </is>
      </c>
      <c r="H1545" s="92" t="inlineStr">
        <is>
          <t>10 EVIDENCE &amp; DECISIONS</t>
        </is>
      </c>
    </row>
    <row r="1546" ht="34" customHeight="1">
      <c r="A1546" s="34" t="inlineStr">
        <is>
          <t>R911-v2</t>
        </is>
      </c>
      <c r="B1546" s="34" t="inlineStr">
        <is>
          <t>Contractor Programme</t>
        </is>
      </c>
      <c r="C1546" s="34" t="inlineStr">
        <is>
          <t>SCH-06-011</t>
        </is>
      </c>
      <c r="D1546" s="34" t="inlineStr">
        <is>
          <t>UNSURE</t>
        </is>
      </c>
      <c r="E1546" s="34" t="inlineStr">
        <is>
          <t>New</t>
        </is>
      </c>
      <c r="F1546" s="14" t="inlineStr"/>
      <c r="G1546" s="34" t="inlineStr">
        <is>
          <t>Maya Chen, Owner Project Controls</t>
        </is>
      </c>
      <c r="H1546" s="92" t="inlineStr">
        <is>
          <t>10 EVIDENCE &amp; DECISIONS</t>
        </is>
      </c>
    </row>
    <row r="1547" ht="34" customHeight="1">
      <c r="A1547" s="34" t="inlineStr">
        <is>
          <t>R912-v2</t>
        </is>
      </c>
      <c r="B1547" s="34" t="inlineStr">
        <is>
          <t>Contractor Programme</t>
        </is>
      </c>
      <c r="C1547" s="34" t="inlineStr">
        <is>
          <t>SCH-06-012</t>
        </is>
      </c>
      <c r="D1547" s="34" t="inlineStr">
        <is>
          <t>UNSURE</t>
        </is>
      </c>
      <c r="E1547" s="34" t="inlineStr">
        <is>
          <t>New</t>
        </is>
      </c>
      <c r="F1547" s="14" t="inlineStr"/>
      <c r="G1547" s="34" t="inlineStr">
        <is>
          <t>Maya Chen, Owner Project Controls</t>
        </is>
      </c>
      <c r="H1547" s="92" t="inlineStr">
        <is>
          <t>10 EVIDENCE &amp; DECISIONS</t>
        </is>
      </c>
    </row>
    <row r="1548" ht="34" customHeight="1">
      <c r="A1548" s="34" t="inlineStr">
        <is>
          <t>R913-v2</t>
        </is>
      </c>
      <c r="B1548" s="34" t="inlineStr">
        <is>
          <t>Contractor Programme</t>
        </is>
      </c>
      <c r="C1548" s="34" t="inlineStr">
        <is>
          <t>SCH-06-013</t>
        </is>
      </c>
      <c r="D1548" s="34" t="inlineStr">
        <is>
          <t>UNSURE</t>
        </is>
      </c>
      <c r="E1548" s="34" t="inlineStr">
        <is>
          <t>New</t>
        </is>
      </c>
      <c r="F1548" s="14" t="inlineStr"/>
      <c r="G1548" s="34" t="inlineStr">
        <is>
          <t>Maya Chen, Owner Project Controls</t>
        </is>
      </c>
      <c r="H1548" s="92" t="inlineStr">
        <is>
          <t>10 EVIDENCE &amp; DECISIONS</t>
        </is>
      </c>
    </row>
    <row r="1549" ht="34" customHeight="1">
      <c r="A1549" s="34" t="inlineStr">
        <is>
          <t>R914-v2</t>
        </is>
      </c>
      <c r="B1549" s="34" t="inlineStr">
        <is>
          <t>Contractor Programme</t>
        </is>
      </c>
      <c r="C1549" s="34" t="inlineStr">
        <is>
          <t>SCH-06-014</t>
        </is>
      </c>
      <c r="D1549" s="34" t="inlineStr">
        <is>
          <t>UNSURE</t>
        </is>
      </c>
      <c r="E1549" s="34" t="inlineStr">
        <is>
          <t>New</t>
        </is>
      </c>
      <c r="F1549" s="14" t="inlineStr"/>
      <c r="G1549" s="34" t="inlineStr">
        <is>
          <t>Maya Chen, Owner Project Controls</t>
        </is>
      </c>
      <c r="H1549" s="92" t="inlineStr">
        <is>
          <t>10 EVIDENCE &amp; DECISIONS</t>
        </is>
      </c>
    </row>
    <row r="1550" ht="34" customHeight="1">
      <c r="A1550" s="34" t="inlineStr">
        <is>
          <t>R915-v2</t>
        </is>
      </c>
      <c r="B1550" s="34" t="inlineStr">
        <is>
          <t>Contractor Programme</t>
        </is>
      </c>
      <c r="C1550" s="34" t="inlineStr">
        <is>
          <t>SCH-06-015</t>
        </is>
      </c>
      <c r="D1550" s="34" t="inlineStr">
        <is>
          <t>UNSURE</t>
        </is>
      </c>
      <c r="E1550" s="34" t="inlineStr">
        <is>
          <t>New</t>
        </is>
      </c>
      <c r="F1550" s="14" t="inlineStr"/>
      <c r="G1550" s="34" t="inlineStr">
        <is>
          <t>Maya Chen, Owner Project Controls</t>
        </is>
      </c>
      <c r="H1550" s="92" t="inlineStr">
        <is>
          <t>10 EVIDENCE &amp; DECISIONS</t>
        </is>
      </c>
    </row>
    <row r="1551" ht="34" customHeight="1">
      <c r="A1551" s="34" t="inlineStr">
        <is>
          <t>R916-v2</t>
        </is>
      </c>
      <c r="B1551" s="34" t="inlineStr">
        <is>
          <t>Contractor Programme</t>
        </is>
      </c>
      <c r="C1551" s="34" t="inlineStr">
        <is>
          <t>SCH-06-016</t>
        </is>
      </c>
      <c r="D1551" s="34" t="inlineStr">
        <is>
          <t>UNSURE</t>
        </is>
      </c>
      <c r="E1551" s="34" t="inlineStr">
        <is>
          <t>New</t>
        </is>
      </c>
      <c r="F1551" s="14" t="inlineStr"/>
      <c r="G1551" s="34" t="inlineStr">
        <is>
          <t>Maya Chen, Owner Project Controls</t>
        </is>
      </c>
      <c r="H1551" s="92" t="inlineStr">
        <is>
          <t>10 EVIDENCE &amp; DECISIONS</t>
        </is>
      </c>
    </row>
    <row r="1552" ht="34" customHeight="1">
      <c r="A1552" s="34" t="inlineStr">
        <is>
          <t>R917-v2</t>
        </is>
      </c>
      <c r="B1552" s="34" t="inlineStr">
        <is>
          <t>Contractor Programme</t>
        </is>
      </c>
      <c r="C1552" s="34" t="inlineStr">
        <is>
          <t>SCH-06-017</t>
        </is>
      </c>
      <c r="D1552" s="34" t="inlineStr">
        <is>
          <t>UNSURE</t>
        </is>
      </c>
      <c r="E1552" s="34" t="inlineStr">
        <is>
          <t>New</t>
        </is>
      </c>
      <c r="F1552" s="14" t="inlineStr"/>
      <c r="G1552" s="34" t="inlineStr">
        <is>
          <t>Maya Chen, Owner Project Controls</t>
        </is>
      </c>
      <c r="H1552" s="92" t="inlineStr">
        <is>
          <t>10 EVIDENCE &amp; DECISIONS</t>
        </is>
      </c>
    </row>
    <row r="1553" ht="34" customHeight="1">
      <c r="A1553" s="34" t="inlineStr">
        <is>
          <t>R918-v2</t>
        </is>
      </c>
      <c r="B1553" s="34" t="inlineStr">
        <is>
          <t>Contractor Programme</t>
        </is>
      </c>
      <c r="C1553" s="34" t="inlineStr">
        <is>
          <t>SCH-06-018</t>
        </is>
      </c>
      <c r="D1553" s="34" t="inlineStr">
        <is>
          <t>UNSURE</t>
        </is>
      </c>
      <c r="E1553" s="34" t="inlineStr">
        <is>
          <t>New</t>
        </is>
      </c>
      <c r="F1553" s="14" t="inlineStr"/>
      <c r="G1553" s="34" t="inlineStr">
        <is>
          <t>Maya Chen, Owner Project Controls</t>
        </is>
      </c>
      <c r="H1553" s="92" t="inlineStr">
        <is>
          <t>10 EVIDENCE &amp; DECISIONS</t>
        </is>
      </c>
    </row>
    <row r="1554" ht="34" customHeight="1">
      <c r="A1554" s="34" t="inlineStr">
        <is>
          <t>R919-v2</t>
        </is>
      </c>
      <c r="B1554" s="34" t="inlineStr">
        <is>
          <t>Contractor Programme</t>
        </is>
      </c>
      <c r="C1554" s="34" t="inlineStr">
        <is>
          <t>SCH-06-019</t>
        </is>
      </c>
      <c r="D1554" s="34" t="inlineStr">
        <is>
          <t>UNSURE</t>
        </is>
      </c>
      <c r="E1554" s="34" t="inlineStr">
        <is>
          <t>New</t>
        </is>
      </c>
      <c r="F1554" s="14" t="inlineStr"/>
      <c r="G1554" s="34" t="inlineStr">
        <is>
          <t>Maya Chen, Owner Project Controls</t>
        </is>
      </c>
      <c r="H1554" s="92" t="inlineStr">
        <is>
          <t>10 EVIDENCE &amp; DECISIONS</t>
        </is>
      </c>
    </row>
    <row r="1555" ht="34" customHeight="1">
      <c r="A1555" s="34" t="inlineStr">
        <is>
          <t>R920-v2</t>
        </is>
      </c>
      <c r="B1555" s="34" t="inlineStr">
        <is>
          <t>Contractor Programme</t>
        </is>
      </c>
      <c r="C1555" s="34" t="inlineStr">
        <is>
          <t>SCH-06-020</t>
        </is>
      </c>
      <c r="D1555" s="34" t="inlineStr">
        <is>
          <t>UNSURE</t>
        </is>
      </c>
      <c r="E1555" s="34" t="inlineStr">
        <is>
          <t>New</t>
        </is>
      </c>
      <c r="F1555" s="14" t="inlineStr"/>
      <c r="G1555" s="34" t="inlineStr">
        <is>
          <t>Maya Chen, Owner Project Controls</t>
        </is>
      </c>
      <c r="H1555" s="92" t="inlineStr">
        <is>
          <t>10 EVIDENCE &amp; DECISIONS</t>
        </is>
      </c>
    </row>
    <row r="1556" ht="34" customHeight="1">
      <c r="A1556" s="34" t="inlineStr">
        <is>
          <t>R921-v2</t>
        </is>
      </c>
      <c r="B1556" s="34" t="inlineStr">
        <is>
          <t>Contractor Programme</t>
        </is>
      </c>
      <c r="C1556" s="34" t="inlineStr">
        <is>
          <t>SCH-06-021</t>
        </is>
      </c>
      <c r="D1556" s="34" t="inlineStr">
        <is>
          <t>UNSURE</t>
        </is>
      </c>
      <c r="E1556" s="34" t="inlineStr">
        <is>
          <t>New</t>
        </is>
      </c>
      <c r="F1556" s="14" t="inlineStr"/>
      <c r="G1556" s="34" t="inlineStr">
        <is>
          <t>Maya Chen, Owner Project Controls</t>
        </is>
      </c>
      <c r="H1556" s="92" t="inlineStr">
        <is>
          <t>10 EVIDENCE &amp; DECISIONS</t>
        </is>
      </c>
    </row>
    <row r="1557" ht="34" customHeight="1">
      <c r="A1557" s="34" t="inlineStr">
        <is>
          <t>R922-v2</t>
        </is>
      </c>
      <c r="B1557" s="34" t="inlineStr">
        <is>
          <t>Contractor Programme</t>
        </is>
      </c>
      <c r="C1557" s="34" t="inlineStr">
        <is>
          <t>SCH-06-022</t>
        </is>
      </c>
      <c r="D1557" s="34" t="inlineStr">
        <is>
          <t>UNSURE</t>
        </is>
      </c>
      <c r="E1557" s="34" t="inlineStr">
        <is>
          <t>New</t>
        </is>
      </c>
      <c r="F1557" s="14" t="inlineStr"/>
      <c r="G1557" s="34" t="inlineStr">
        <is>
          <t>Maya Chen, Owner Project Controls</t>
        </is>
      </c>
      <c r="H1557" s="92" t="inlineStr">
        <is>
          <t>10 EVIDENCE &amp; DECISIONS</t>
        </is>
      </c>
    </row>
    <row r="1558" ht="34" customHeight="1">
      <c r="A1558" s="34" t="inlineStr">
        <is>
          <t>R923-v2</t>
        </is>
      </c>
      <c r="B1558" s="34" t="inlineStr">
        <is>
          <t>Contractor Programme</t>
        </is>
      </c>
      <c r="C1558" s="34" t="inlineStr">
        <is>
          <t>SCH-06-023</t>
        </is>
      </c>
      <c r="D1558" s="34" t="inlineStr">
        <is>
          <t>UNSURE</t>
        </is>
      </c>
      <c r="E1558" s="34" t="inlineStr">
        <is>
          <t>New</t>
        </is>
      </c>
      <c r="F1558" s="14" t="inlineStr"/>
      <c r="G1558" s="34" t="inlineStr">
        <is>
          <t>Maya Chen, Owner Project Controls</t>
        </is>
      </c>
      <c r="H1558" s="92" t="inlineStr">
        <is>
          <t>10 EVIDENCE &amp; DECISIONS</t>
        </is>
      </c>
    </row>
    <row r="1559" ht="34" customHeight="1">
      <c r="A1559" s="34" t="inlineStr">
        <is>
          <t>R924-v2</t>
        </is>
      </c>
      <c r="B1559" s="34" t="inlineStr">
        <is>
          <t>Contractor Programme</t>
        </is>
      </c>
      <c r="C1559" s="34" t="inlineStr">
        <is>
          <t>SCH-06-024</t>
        </is>
      </c>
      <c r="D1559" s="34" t="inlineStr">
        <is>
          <t>UNSURE</t>
        </is>
      </c>
      <c r="E1559" s="34" t="inlineStr">
        <is>
          <t>New</t>
        </is>
      </c>
      <c r="F1559" s="14" t="inlineStr"/>
      <c r="G1559" s="34" t="inlineStr">
        <is>
          <t>Maya Chen, Owner Project Controls</t>
        </is>
      </c>
      <c r="H1559" s="92" t="inlineStr">
        <is>
          <t>10 EVIDENCE &amp; DECISIONS</t>
        </is>
      </c>
    </row>
    <row r="1560" ht="34" customHeight="1">
      <c r="A1560" s="34" t="inlineStr">
        <is>
          <t>R925-v2</t>
        </is>
      </c>
      <c r="B1560" s="34" t="inlineStr">
        <is>
          <t>Contractor Programme</t>
        </is>
      </c>
      <c r="C1560" s="34" t="inlineStr">
        <is>
          <t>SCH-06-025</t>
        </is>
      </c>
      <c r="D1560" s="34" t="inlineStr">
        <is>
          <t>UNSURE</t>
        </is>
      </c>
      <c r="E1560" s="34" t="inlineStr">
        <is>
          <t>New</t>
        </is>
      </c>
      <c r="F1560" s="14" t="inlineStr"/>
      <c r="G1560" s="34" t="inlineStr">
        <is>
          <t>Maya Chen, Owner Project Controls</t>
        </is>
      </c>
      <c r="H1560" s="92" t="inlineStr">
        <is>
          <t>10 EVIDENCE &amp; DECISIONS</t>
        </is>
      </c>
    </row>
    <row r="1561" ht="34" customHeight="1">
      <c r="A1561" s="34" t="inlineStr">
        <is>
          <t>R926-v2</t>
        </is>
      </c>
      <c r="B1561" s="34" t="inlineStr">
        <is>
          <t>Contractor Programme</t>
        </is>
      </c>
      <c r="C1561" s="34" t="inlineStr">
        <is>
          <t>SCH-06-026</t>
        </is>
      </c>
      <c r="D1561" s="34" t="inlineStr">
        <is>
          <t>UNSURE</t>
        </is>
      </c>
      <c r="E1561" s="34" t="inlineStr">
        <is>
          <t>New</t>
        </is>
      </c>
      <c r="F1561" s="14" t="inlineStr"/>
      <c r="G1561" s="34" t="inlineStr">
        <is>
          <t>Maya Chen, Owner Project Controls</t>
        </is>
      </c>
      <c r="H1561" s="92" t="inlineStr">
        <is>
          <t>10 EVIDENCE &amp; DECISIONS</t>
        </is>
      </c>
    </row>
    <row r="1562" ht="34" customHeight="1">
      <c r="A1562" s="34" t="inlineStr">
        <is>
          <t>R927-v2</t>
        </is>
      </c>
      <c r="B1562" s="34" t="inlineStr">
        <is>
          <t>Contractor Programme</t>
        </is>
      </c>
      <c r="C1562" s="34" t="inlineStr">
        <is>
          <t>SCH-06-027</t>
        </is>
      </c>
      <c r="D1562" s="34" t="inlineStr">
        <is>
          <t>UNSURE</t>
        </is>
      </c>
      <c r="E1562" s="34" t="inlineStr">
        <is>
          <t>New</t>
        </is>
      </c>
      <c r="F1562" s="14" t="inlineStr"/>
      <c r="G1562" s="34" t="inlineStr">
        <is>
          <t>Maya Chen, Owner Project Controls</t>
        </is>
      </c>
      <c r="H1562" s="92" t="inlineStr">
        <is>
          <t>10 EVIDENCE &amp; DECISIONS</t>
        </is>
      </c>
    </row>
    <row r="1563" ht="34" customHeight="1">
      <c r="A1563" s="34" t="inlineStr">
        <is>
          <t>R928-v2</t>
        </is>
      </c>
      <c r="B1563" s="34" t="inlineStr">
        <is>
          <t>Contractor Programme</t>
        </is>
      </c>
      <c r="C1563" s="34" t="inlineStr">
        <is>
          <t>SCH-06-028</t>
        </is>
      </c>
      <c r="D1563" s="34" t="inlineStr">
        <is>
          <t>UNSURE</t>
        </is>
      </c>
      <c r="E1563" s="34" t="inlineStr">
        <is>
          <t>New</t>
        </is>
      </c>
      <c r="F1563" s="14" t="inlineStr"/>
      <c r="G1563" s="34" t="inlineStr">
        <is>
          <t>Maya Chen, Owner Project Controls</t>
        </is>
      </c>
      <c r="H1563" s="92" t="inlineStr">
        <is>
          <t>10 EVIDENCE &amp; DECISIONS</t>
        </is>
      </c>
    </row>
    <row r="1564" ht="34" customHeight="1">
      <c r="A1564" s="34" t="inlineStr">
        <is>
          <t>R929-v2</t>
        </is>
      </c>
      <c r="B1564" s="34" t="inlineStr">
        <is>
          <t>Contractor Programme</t>
        </is>
      </c>
      <c r="C1564" s="34" t="inlineStr">
        <is>
          <t>SCH-06-029</t>
        </is>
      </c>
      <c r="D1564" s="34" t="inlineStr">
        <is>
          <t>UNSURE</t>
        </is>
      </c>
      <c r="E1564" s="34" t="inlineStr">
        <is>
          <t>New</t>
        </is>
      </c>
      <c r="F1564" s="14" t="inlineStr"/>
      <c r="G1564" s="34" t="inlineStr">
        <is>
          <t>Maya Chen, Owner Project Controls</t>
        </is>
      </c>
      <c r="H1564" s="92" t="inlineStr">
        <is>
          <t>10 EVIDENCE &amp; DECISIONS</t>
        </is>
      </c>
    </row>
    <row r="1565" ht="34" customHeight="1">
      <c r="A1565" s="34" t="inlineStr">
        <is>
          <t>R930-v2</t>
        </is>
      </c>
      <c r="B1565" s="34" t="inlineStr">
        <is>
          <t>Contractor Programme</t>
        </is>
      </c>
      <c r="C1565" s="34" t="inlineStr">
        <is>
          <t>SCH-06-030</t>
        </is>
      </c>
      <c r="D1565" s="34" t="inlineStr">
        <is>
          <t>UNSURE</t>
        </is>
      </c>
      <c r="E1565" s="34" t="inlineStr">
        <is>
          <t>New</t>
        </is>
      </c>
      <c r="F1565" s="14" t="inlineStr"/>
      <c r="G1565" s="34" t="inlineStr">
        <is>
          <t>Maya Chen, Owner Project Controls</t>
        </is>
      </c>
      <c r="H1565" s="92" t="inlineStr">
        <is>
          <t>10 EVIDENCE &amp; DECISIONS</t>
        </is>
      </c>
    </row>
    <row r="1566" ht="34" customHeight="1">
      <c r="A1566" s="34" t="inlineStr">
        <is>
          <t>R931-v2</t>
        </is>
      </c>
      <c r="B1566" s="34" t="inlineStr">
        <is>
          <t>Contractor Programme</t>
        </is>
      </c>
      <c r="C1566" s="34" t="inlineStr">
        <is>
          <t>SCH-06-031</t>
        </is>
      </c>
      <c r="D1566" s="34" t="inlineStr">
        <is>
          <t>UNSURE</t>
        </is>
      </c>
      <c r="E1566" s="34" t="inlineStr">
        <is>
          <t>New</t>
        </is>
      </c>
      <c r="F1566" s="14" t="inlineStr"/>
      <c r="G1566" s="34" t="inlineStr">
        <is>
          <t>Maya Chen, Owner Project Controls</t>
        </is>
      </c>
      <c r="H1566" s="92" t="inlineStr">
        <is>
          <t>10 EVIDENCE &amp; DECISIONS</t>
        </is>
      </c>
    </row>
    <row r="1567" ht="34" customHeight="1">
      <c r="A1567" s="34" t="inlineStr">
        <is>
          <t>R932-v2</t>
        </is>
      </c>
      <c r="B1567" s="34" t="inlineStr">
        <is>
          <t>Contractor Programme</t>
        </is>
      </c>
      <c r="C1567" s="34" t="inlineStr">
        <is>
          <t>SCH-06-032</t>
        </is>
      </c>
      <c r="D1567" s="34" t="inlineStr">
        <is>
          <t>UNSURE</t>
        </is>
      </c>
      <c r="E1567" s="34" t="inlineStr">
        <is>
          <t>New</t>
        </is>
      </c>
      <c r="F1567" s="14" t="inlineStr"/>
      <c r="G1567" s="34" t="inlineStr">
        <is>
          <t>Maya Chen, Owner Project Controls</t>
        </is>
      </c>
      <c r="H1567" s="92" t="inlineStr">
        <is>
          <t>10 EVIDENCE &amp; DECISIONS</t>
        </is>
      </c>
    </row>
    <row r="1568" ht="34" customHeight="1">
      <c r="A1568" s="34" t="inlineStr">
        <is>
          <t>R933-v2</t>
        </is>
      </c>
      <c r="B1568" s="34" t="inlineStr">
        <is>
          <t>Contractor Programme</t>
        </is>
      </c>
      <c r="C1568" s="34" t="inlineStr">
        <is>
          <t>SCH-06-033</t>
        </is>
      </c>
      <c r="D1568" s="34" t="inlineStr">
        <is>
          <t>UNSURE</t>
        </is>
      </c>
      <c r="E1568" s="34" t="inlineStr">
        <is>
          <t>New</t>
        </is>
      </c>
      <c r="F1568" s="14" t="inlineStr"/>
      <c r="G1568" s="34" t="inlineStr">
        <is>
          <t>Maya Chen, Owner Project Controls</t>
        </is>
      </c>
      <c r="H1568" s="92" t="inlineStr">
        <is>
          <t>10 EVIDENCE &amp; DECISIONS</t>
        </is>
      </c>
    </row>
    <row r="1569" ht="34" customHeight="1">
      <c r="A1569" s="34" t="inlineStr">
        <is>
          <t>R934-v2</t>
        </is>
      </c>
      <c r="B1569" s="34" t="inlineStr">
        <is>
          <t>Contractor Programme</t>
        </is>
      </c>
      <c r="C1569" s="34" t="inlineStr">
        <is>
          <t>SCH-06-034</t>
        </is>
      </c>
      <c r="D1569" s="34" t="inlineStr">
        <is>
          <t>UNSURE</t>
        </is>
      </c>
      <c r="E1569" s="34" t="inlineStr">
        <is>
          <t>New</t>
        </is>
      </c>
      <c r="F1569" s="14" t="inlineStr"/>
      <c r="G1569" s="34" t="inlineStr">
        <is>
          <t>Maya Chen, Owner Project Controls</t>
        </is>
      </c>
      <c r="H1569" s="92" t="inlineStr">
        <is>
          <t>10 EVIDENCE &amp; DECISIONS</t>
        </is>
      </c>
    </row>
    <row r="1570" ht="34" customHeight="1">
      <c r="A1570" s="34" t="inlineStr">
        <is>
          <t>R935-v2</t>
        </is>
      </c>
      <c r="B1570" s="34" t="inlineStr">
        <is>
          <t>Contractor Programme</t>
        </is>
      </c>
      <c r="C1570" s="34" t="inlineStr">
        <is>
          <t>SCH-06-035</t>
        </is>
      </c>
      <c r="D1570" s="34" t="inlineStr">
        <is>
          <t>UNSURE</t>
        </is>
      </c>
      <c r="E1570" s="34" t="inlineStr">
        <is>
          <t>New</t>
        </is>
      </c>
      <c r="F1570" s="14" t="inlineStr"/>
      <c r="G1570" s="34" t="inlineStr">
        <is>
          <t>Maya Chen, Owner Project Controls</t>
        </is>
      </c>
      <c r="H1570" s="92" t="inlineStr">
        <is>
          <t>10 EVIDENCE &amp; DECISIONS</t>
        </is>
      </c>
    </row>
    <row r="1571" ht="34" customHeight="1">
      <c r="A1571" s="34" t="inlineStr">
        <is>
          <t>R936-v2</t>
        </is>
      </c>
      <c r="B1571" s="34" t="inlineStr">
        <is>
          <t>Contractor Programme</t>
        </is>
      </c>
      <c r="C1571" s="34" t="inlineStr">
        <is>
          <t>SCH-06-036</t>
        </is>
      </c>
      <c r="D1571" s="34" t="inlineStr">
        <is>
          <t>UNSURE</t>
        </is>
      </c>
      <c r="E1571" s="34" t="inlineStr">
        <is>
          <t>New</t>
        </is>
      </c>
      <c r="F1571" s="14" t="inlineStr"/>
      <c r="G1571" s="34" t="inlineStr">
        <is>
          <t>Maya Chen, Owner Project Controls</t>
        </is>
      </c>
      <c r="H1571" s="92" t="inlineStr">
        <is>
          <t>10 EVIDENCE &amp; DECISIONS</t>
        </is>
      </c>
    </row>
    <row r="1572" ht="34" customHeight="1">
      <c r="A1572" s="34" t="inlineStr">
        <is>
          <t>R937-v2</t>
        </is>
      </c>
      <c r="B1572" s="34" t="inlineStr">
        <is>
          <t>Contractor Programme</t>
        </is>
      </c>
      <c r="C1572" s="34" t="inlineStr">
        <is>
          <t>SCH-06-037</t>
        </is>
      </c>
      <c r="D1572" s="34" t="inlineStr">
        <is>
          <t>UNSURE</t>
        </is>
      </c>
      <c r="E1572" s="34" t="inlineStr">
        <is>
          <t>New</t>
        </is>
      </c>
      <c r="F1572" s="14" t="inlineStr"/>
      <c r="G1572" s="34" t="inlineStr">
        <is>
          <t>Maya Chen, Owner Project Controls</t>
        </is>
      </c>
      <c r="H1572" s="92" t="inlineStr">
        <is>
          <t>10 EVIDENCE &amp; DECISIONS</t>
        </is>
      </c>
    </row>
    <row r="1573" ht="34" customHeight="1">
      <c r="A1573" s="34" t="inlineStr">
        <is>
          <t>R938-v2</t>
        </is>
      </c>
      <c r="B1573" s="34" t="inlineStr">
        <is>
          <t>Contractor Programme</t>
        </is>
      </c>
      <c r="C1573" s="34" t="inlineStr">
        <is>
          <t>SCH-06-038</t>
        </is>
      </c>
      <c r="D1573" s="34" t="inlineStr">
        <is>
          <t>UNSURE</t>
        </is>
      </c>
      <c r="E1573" s="34" t="inlineStr">
        <is>
          <t>New</t>
        </is>
      </c>
      <c r="F1573" s="14" t="inlineStr"/>
      <c r="G1573" s="34" t="inlineStr">
        <is>
          <t>Maya Chen, Owner Project Controls</t>
        </is>
      </c>
      <c r="H1573" s="92" t="inlineStr">
        <is>
          <t>10 EVIDENCE &amp; DECISIONS</t>
        </is>
      </c>
    </row>
    <row r="1574" ht="34" customHeight="1">
      <c r="A1574" s="34" t="inlineStr">
        <is>
          <t>R939-v2</t>
        </is>
      </c>
      <c r="B1574" s="34" t="inlineStr">
        <is>
          <t>Contractor Programme</t>
        </is>
      </c>
      <c r="C1574" s="34" t="inlineStr">
        <is>
          <t>SCH-06-039</t>
        </is>
      </c>
      <c r="D1574" s="34" t="inlineStr">
        <is>
          <t>UNSURE</t>
        </is>
      </c>
      <c r="E1574" s="34" t="inlineStr">
        <is>
          <t>New</t>
        </is>
      </c>
      <c r="F1574" s="14" t="inlineStr"/>
      <c r="G1574" s="34" t="inlineStr">
        <is>
          <t>Maya Chen, Owner Project Controls</t>
        </is>
      </c>
      <c r="H1574" s="92" t="inlineStr">
        <is>
          <t>10 EVIDENCE &amp; DECISIONS</t>
        </is>
      </c>
    </row>
    <row r="1575" ht="34" customHeight="1">
      <c r="A1575" s="34" t="inlineStr">
        <is>
          <t>R940-v2</t>
        </is>
      </c>
      <c r="B1575" s="34" t="inlineStr">
        <is>
          <t>Contractor Programme</t>
        </is>
      </c>
      <c r="C1575" s="34" t="inlineStr">
        <is>
          <t>SCH-06-040</t>
        </is>
      </c>
      <c r="D1575" s="34" t="inlineStr">
        <is>
          <t>UNSURE</t>
        </is>
      </c>
      <c r="E1575" s="34" t="inlineStr">
        <is>
          <t>New</t>
        </is>
      </c>
      <c r="F1575" s="14" t="inlineStr"/>
      <c r="G1575" s="34" t="inlineStr">
        <is>
          <t>Maya Chen, Owner Project Controls</t>
        </is>
      </c>
      <c r="H1575" s="92" t="inlineStr">
        <is>
          <t>10 EVIDENCE &amp; DECISIONS</t>
        </is>
      </c>
    </row>
    <row r="1576" ht="34" customHeight="1">
      <c r="A1576" s="34" t="inlineStr">
        <is>
          <t>R941-v2</t>
        </is>
      </c>
      <c r="B1576" s="34" t="inlineStr">
        <is>
          <t>Contractor Programme</t>
        </is>
      </c>
      <c r="C1576" s="34" t="inlineStr">
        <is>
          <t>SCH-06-041</t>
        </is>
      </c>
      <c r="D1576" s="34" t="inlineStr">
        <is>
          <t>UNSURE</t>
        </is>
      </c>
      <c r="E1576" s="34" t="inlineStr">
        <is>
          <t>New</t>
        </is>
      </c>
      <c r="F1576" s="14" t="inlineStr"/>
      <c r="G1576" s="34" t="inlineStr">
        <is>
          <t>Maya Chen, Owner Project Controls</t>
        </is>
      </c>
      <c r="H1576" s="92" t="inlineStr">
        <is>
          <t>10 EVIDENCE &amp; DECISIONS</t>
        </is>
      </c>
    </row>
    <row r="1577" ht="34" customHeight="1">
      <c r="A1577" s="34" t="inlineStr">
        <is>
          <t>R942-v2</t>
        </is>
      </c>
      <c r="B1577" s="34" t="inlineStr">
        <is>
          <t>Contractor Programme</t>
        </is>
      </c>
      <c r="C1577" s="34" t="inlineStr">
        <is>
          <t>SCH-06-042</t>
        </is>
      </c>
      <c r="D1577" s="34" t="inlineStr">
        <is>
          <t>UNSURE</t>
        </is>
      </c>
      <c r="E1577" s="34" t="inlineStr">
        <is>
          <t>New</t>
        </is>
      </c>
      <c r="F1577" s="14" t="inlineStr"/>
      <c r="G1577" s="34" t="inlineStr">
        <is>
          <t>Maya Chen, Owner Project Controls</t>
        </is>
      </c>
      <c r="H1577" s="92" t="inlineStr">
        <is>
          <t>10 EVIDENCE &amp; DECISIONS</t>
        </is>
      </c>
    </row>
    <row r="1578" ht="34" customHeight="1">
      <c r="A1578" s="34" t="inlineStr">
        <is>
          <t>R943-v2</t>
        </is>
      </c>
      <c r="B1578" s="34" t="inlineStr">
        <is>
          <t>Contractor Programme</t>
        </is>
      </c>
      <c r="C1578" s="34" t="inlineStr">
        <is>
          <t>SCH-06-043</t>
        </is>
      </c>
      <c r="D1578" s="34" t="inlineStr">
        <is>
          <t>UNSURE</t>
        </is>
      </c>
      <c r="E1578" s="34" t="inlineStr">
        <is>
          <t>New</t>
        </is>
      </c>
      <c r="F1578" s="14" t="inlineStr"/>
      <c r="G1578" s="34" t="inlineStr">
        <is>
          <t>Maya Chen, Owner Project Controls</t>
        </is>
      </c>
      <c r="H1578" s="92" t="inlineStr">
        <is>
          <t>10 EVIDENCE &amp; DECISIONS</t>
        </is>
      </c>
    </row>
    <row r="1579" ht="34" customHeight="1">
      <c r="A1579" s="34" t="inlineStr">
        <is>
          <t>R944-v2</t>
        </is>
      </c>
      <c r="B1579" s="34" t="inlineStr">
        <is>
          <t>Contractor Programme</t>
        </is>
      </c>
      <c r="C1579" s="34" t="inlineStr">
        <is>
          <t>SCH-06-044</t>
        </is>
      </c>
      <c r="D1579" s="34" t="inlineStr">
        <is>
          <t>UNSURE</t>
        </is>
      </c>
      <c r="E1579" s="34" t="inlineStr">
        <is>
          <t>New</t>
        </is>
      </c>
      <c r="F1579" s="14" t="inlineStr"/>
      <c r="G1579" s="34" t="inlineStr">
        <is>
          <t>Maya Chen, Owner Project Controls</t>
        </is>
      </c>
      <c r="H1579" s="92" t="inlineStr">
        <is>
          <t>10 EVIDENCE &amp; DECISIONS</t>
        </is>
      </c>
    </row>
    <row r="1580" ht="34" customHeight="1">
      <c r="A1580" s="34" t="inlineStr">
        <is>
          <t>R945-v2</t>
        </is>
      </c>
      <c r="B1580" s="34" t="inlineStr">
        <is>
          <t>Contractor Programme</t>
        </is>
      </c>
      <c r="C1580" s="34" t="inlineStr">
        <is>
          <t>SCH-06-045</t>
        </is>
      </c>
      <c r="D1580" s="34" t="inlineStr">
        <is>
          <t>UNSURE</t>
        </is>
      </c>
      <c r="E1580" s="34" t="inlineStr">
        <is>
          <t>New</t>
        </is>
      </c>
      <c r="F1580" s="14" t="inlineStr"/>
      <c r="G1580" s="34" t="inlineStr">
        <is>
          <t>Maya Chen, Owner Project Controls</t>
        </is>
      </c>
      <c r="H1580" s="92" t="inlineStr">
        <is>
          <t>10 EVIDENCE &amp; DECISIONS</t>
        </is>
      </c>
    </row>
    <row r="1581" ht="34" customHeight="1">
      <c r="A1581" s="34" t="inlineStr">
        <is>
          <t>R946-v2</t>
        </is>
      </c>
      <c r="B1581" s="34" t="inlineStr">
        <is>
          <t>Contractor Programme</t>
        </is>
      </c>
      <c r="C1581" s="34" t="inlineStr">
        <is>
          <t>SCH-06-046</t>
        </is>
      </c>
      <c r="D1581" s="34" t="inlineStr">
        <is>
          <t>UNSURE</t>
        </is>
      </c>
      <c r="E1581" s="34" t="inlineStr">
        <is>
          <t>New</t>
        </is>
      </c>
      <c r="F1581" s="14" t="inlineStr"/>
      <c r="G1581" s="34" t="inlineStr">
        <is>
          <t>Maya Chen, Owner Project Controls</t>
        </is>
      </c>
      <c r="H1581" s="92" t="inlineStr">
        <is>
          <t>10 EVIDENCE &amp; DECISIONS</t>
        </is>
      </c>
    </row>
    <row r="1582" ht="34" customHeight="1">
      <c r="A1582" s="34" t="inlineStr">
        <is>
          <t>R947-v2</t>
        </is>
      </c>
      <c r="B1582" s="34" t="inlineStr">
        <is>
          <t>Contractor Programme</t>
        </is>
      </c>
      <c r="C1582" s="34" t="inlineStr">
        <is>
          <t>SCH-06-047</t>
        </is>
      </c>
      <c r="D1582" s="34" t="inlineStr">
        <is>
          <t>UNSURE</t>
        </is>
      </c>
      <c r="E1582" s="34" t="inlineStr">
        <is>
          <t>New</t>
        </is>
      </c>
      <c r="F1582" s="14" t="inlineStr"/>
      <c r="G1582" s="34" t="inlineStr">
        <is>
          <t>Maya Chen, Owner Project Controls</t>
        </is>
      </c>
      <c r="H1582" s="92" t="inlineStr">
        <is>
          <t>10 EVIDENCE &amp; DECISIONS</t>
        </is>
      </c>
    </row>
    <row r="1583" ht="34" customHeight="1">
      <c r="A1583" s="34" t="inlineStr">
        <is>
          <t>R948-v2</t>
        </is>
      </c>
      <c r="B1583" s="34" t="inlineStr">
        <is>
          <t>Contractor Programme</t>
        </is>
      </c>
      <c r="C1583" s="34" t="inlineStr">
        <is>
          <t>SCH-06-048</t>
        </is>
      </c>
      <c r="D1583" s="34" t="inlineStr">
        <is>
          <t>UNSURE</t>
        </is>
      </c>
      <c r="E1583" s="34" t="inlineStr">
        <is>
          <t>New</t>
        </is>
      </c>
      <c r="F1583" s="14" t="inlineStr"/>
      <c r="G1583" s="34" t="inlineStr">
        <is>
          <t>Maya Chen, Owner Project Controls</t>
        </is>
      </c>
      <c r="H1583" s="92" t="inlineStr">
        <is>
          <t>10 EVIDENCE &amp; DECISIONS</t>
        </is>
      </c>
    </row>
    <row r="1584" ht="34" customHeight="1">
      <c r="A1584" s="34" t="inlineStr">
        <is>
          <t>R949-v2</t>
        </is>
      </c>
      <c r="B1584" s="34" t="inlineStr">
        <is>
          <t>Contractor Programme</t>
        </is>
      </c>
      <c r="C1584" s="34" t="inlineStr">
        <is>
          <t>SCH-06-049</t>
        </is>
      </c>
      <c r="D1584" s="34" t="inlineStr">
        <is>
          <t>UNSURE</t>
        </is>
      </c>
      <c r="E1584" s="34" t="inlineStr">
        <is>
          <t>New</t>
        </is>
      </c>
      <c r="F1584" s="14" t="inlineStr"/>
      <c r="G1584" s="34" t="inlineStr">
        <is>
          <t>Maya Chen, Owner Project Controls</t>
        </is>
      </c>
      <c r="H1584" s="92" t="inlineStr">
        <is>
          <t>10 EVIDENCE &amp; DECISIONS</t>
        </is>
      </c>
    </row>
    <row r="1585" ht="34" customHeight="1">
      <c r="A1585" s="34" t="inlineStr">
        <is>
          <t>R950-v2</t>
        </is>
      </c>
      <c r="B1585" s="34" t="inlineStr">
        <is>
          <t>Contractor Programme</t>
        </is>
      </c>
      <c r="C1585" s="34" t="inlineStr">
        <is>
          <t>SCH-06-050</t>
        </is>
      </c>
      <c r="D1585" s="34" t="inlineStr">
        <is>
          <t>UNSURE</t>
        </is>
      </c>
      <c r="E1585" s="34" t="inlineStr">
        <is>
          <t>New</t>
        </is>
      </c>
      <c r="F1585" s="14" t="inlineStr"/>
      <c r="G1585" s="34" t="inlineStr">
        <is>
          <t>Maya Chen, Owner Project Controls</t>
        </is>
      </c>
      <c r="H1585" s="92" t="inlineStr">
        <is>
          <t>10 EVIDENCE &amp; DECISIONS</t>
        </is>
      </c>
    </row>
    <row r="1586" ht="34" customHeight="1">
      <c r="A1586" s="34" t="inlineStr">
        <is>
          <t>R951-v2</t>
        </is>
      </c>
      <c r="B1586" s="34" t="inlineStr">
        <is>
          <t>Contractor Programme</t>
        </is>
      </c>
      <c r="C1586" s="34" t="inlineStr">
        <is>
          <t>SCH-06-051</t>
        </is>
      </c>
      <c r="D1586" s="34" t="inlineStr">
        <is>
          <t>UNSURE</t>
        </is>
      </c>
      <c r="E1586" s="34" t="inlineStr">
        <is>
          <t>New</t>
        </is>
      </c>
      <c r="F1586" s="14" t="inlineStr"/>
      <c r="G1586" s="34" t="inlineStr">
        <is>
          <t>Maya Chen, Owner Project Controls</t>
        </is>
      </c>
      <c r="H1586" s="92" t="inlineStr">
        <is>
          <t>10 EVIDENCE &amp; DECISIONS</t>
        </is>
      </c>
    </row>
    <row r="1587" ht="34" customHeight="1">
      <c r="A1587" s="34" t="inlineStr">
        <is>
          <t>R952-v2</t>
        </is>
      </c>
      <c r="B1587" s="34" t="inlineStr">
        <is>
          <t>Contractor Programme</t>
        </is>
      </c>
      <c r="C1587" s="34" t="inlineStr">
        <is>
          <t>SCH-06-052</t>
        </is>
      </c>
      <c r="D1587" s="34" t="inlineStr">
        <is>
          <t>UNSURE</t>
        </is>
      </c>
      <c r="E1587" s="34" t="inlineStr">
        <is>
          <t>New</t>
        </is>
      </c>
      <c r="F1587" s="14" t="inlineStr"/>
      <c r="G1587" s="34" t="inlineStr">
        <is>
          <t>Maya Chen, Owner Project Controls</t>
        </is>
      </c>
      <c r="H1587" s="92" t="inlineStr">
        <is>
          <t>10 EVIDENCE &amp; DECISIONS</t>
        </is>
      </c>
    </row>
    <row r="1588" ht="34" customHeight="1">
      <c r="A1588" s="34" t="inlineStr">
        <is>
          <t>R953-v2</t>
        </is>
      </c>
      <c r="B1588" s="34" t="inlineStr">
        <is>
          <t>Contractor Programme</t>
        </is>
      </c>
      <c r="C1588" s="34" t="inlineStr">
        <is>
          <t>SCH-06-053</t>
        </is>
      </c>
      <c r="D1588" s="34" t="inlineStr">
        <is>
          <t>UNSURE</t>
        </is>
      </c>
      <c r="E1588" s="34" t="inlineStr">
        <is>
          <t>New</t>
        </is>
      </c>
      <c r="F1588" s="14" t="inlineStr"/>
      <c r="G1588" s="34" t="inlineStr">
        <is>
          <t>Maya Chen, Owner Project Controls</t>
        </is>
      </c>
      <c r="H1588" s="92" t="inlineStr">
        <is>
          <t>10 EVIDENCE &amp; DECISIONS</t>
        </is>
      </c>
    </row>
    <row r="1589" ht="34" customHeight="1">
      <c r="A1589" s="34" t="inlineStr">
        <is>
          <t>R954-v2</t>
        </is>
      </c>
      <c r="B1589" s="34" t="inlineStr">
        <is>
          <t>Contractor Programme</t>
        </is>
      </c>
      <c r="C1589" s="34" t="inlineStr">
        <is>
          <t>SCH-06-054</t>
        </is>
      </c>
      <c r="D1589" s="34" t="inlineStr">
        <is>
          <t>UNSURE</t>
        </is>
      </c>
      <c r="E1589" s="34" t="inlineStr">
        <is>
          <t>New</t>
        </is>
      </c>
      <c r="F1589" s="14" t="inlineStr"/>
      <c r="G1589" s="34" t="inlineStr">
        <is>
          <t>Maya Chen, Owner Project Controls</t>
        </is>
      </c>
      <c r="H1589" s="92" t="inlineStr">
        <is>
          <t>10 EVIDENCE &amp; DECISIONS</t>
        </is>
      </c>
    </row>
    <row r="1590" ht="34" customHeight="1">
      <c r="A1590" s="34" t="inlineStr">
        <is>
          <t>R955-v2</t>
        </is>
      </c>
      <c r="B1590" s="34" t="inlineStr">
        <is>
          <t>Contractor Programme</t>
        </is>
      </c>
      <c r="C1590" s="34" t="inlineStr">
        <is>
          <t>SCH-06-055</t>
        </is>
      </c>
      <c r="D1590" s="34" t="inlineStr">
        <is>
          <t>UNSURE</t>
        </is>
      </c>
      <c r="E1590" s="34" t="inlineStr">
        <is>
          <t>New</t>
        </is>
      </c>
      <c r="F1590" s="14" t="inlineStr"/>
      <c r="G1590" s="34" t="inlineStr">
        <is>
          <t>Maya Chen, Owner Project Controls</t>
        </is>
      </c>
      <c r="H1590" s="92" t="inlineStr">
        <is>
          <t>10 EVIDENCE &amp; DECISIONS</t>
        </is>
      </c>
    </row>
    <row r="1591" ht="34" customHeight="1">
      <c r="A1591" s="34" t="inlineStr">
        <is>
          <t>R956-v2</t>
        </is>
      </c>
      <c r="B1591" s="34" t="inlineStr">
        <is>
          <t>Contractor Programme</t>
        </is>
      </c>
      <c r="C1591" s="34" t="inlineStr">
        <is>
          <t>SCH-06-056</t>
        </is>
      </c>
      <c r="D1591" s="34" t="inlineStr">
        <is>
          <t>UNSURE</t>
        </is>
      </c>
      <c r="E1591" s="34" t="inlineStr">
        <is>
          <t>New</t>
        </is>
      </c>
      <c r="F1591" s="14" t="inlineStr"/>
      <c r="G1591" s="34" t="inlineStr">
        <is>
          <t>Maya Chen, Owner Project Controls</t>
        </is>
      </c>
      <c r="H1591" s="92" t="inlineStr">
        <is>
          <t>10 EVIDENCE &amp; DECISIONS</t>
        </is>
      </c>
    </row>
    <row r="1592" ht="34" customHeight="1">
      <c r="A1592" s="34" t="inlineStr">
        <is>
          <t>R957-v2</t>
        </is>
      </c>
      <c r="B1592" s="34" t="inlineStr">
        <is>
          <t>Contractor Programme</t>
        </is>
      </c>
      <c r="C1592" s="34" t="inlineStr">
        <is>
          <t>SCH-06-057</t>
        </is>
      </c>
      <c r="D1592" s="34" t="inlineStr">
        <is>
          <t>UNSURE</t>
        </is>
      </c>
      <c r="E1592" s="34" t="inlineStr">
        <is>
          <t>New</t>
        </is>
      </c>
      <c r="F1592" s="14" t="inlineStr"/>
      <c r="G1592" s="34" t="inlineStr">
        <is>
          <t>Maya Chen, Owner Project Controls</t>
        </is>
      </c>
      <c r="H1592" s="92" t="inlineStr">
        <is>
          <t>10 EVIDENCE &amp; DECISIONS</t>
        </is>
      </c>
    </row>
    <row r="1593" ht="34" customHeight="1">
      <c r="A1593" s="34" t="inlineStr">
        <is>
          <t>R958-v2</t>
        </is>
      </c>
      <c r="B1593" s="34" t="inlineStr">
        <is>
          <t>Contractor Programme</t>
        </is>
      </c>
      <c r="C1593" s="34" t="inlineStr">
        <is>
          <t>SCH-06-058</t>
        </is>
      </c>
      <c r="D1593" s="34" t="inlineStr">
        <is>
          <t>UNSURE</t>
        </is>
      </c>
      <c r="E1593" s="34" t="inlineStr">
        <is>
          <t>New</t>
        </is>
      </c>
      <c r="F1593" s="14" t="inlineStr"/>
      <c r="G1593" s="34" t="inlineStr">
        <is>
          <t>Maya Chen, Owner Project Controls</t>
        </is>
      </c>
      <c r="H1593" s="92" t="inlineStr">
        <is>
          <t>10 EVIDENCE &amp; DECISIONS</t>
        </is>
      </c>
    </row>
    <row r="1594" ht="34" customHeight="1">
      <c r="A1594" s="34" t="inlineStr">
        <is>
          <t>R959-v2</t>
        </is>
      </c>
      <c r="B1594" s="34" t="inlineStr">
        <is>
          <t>Contractor Programme</t>
        </is>
      </c>
      <c r="C1594" s="34" t="inlineStr">
        <is>
          <t>SCH-06-059</t>
        </is>
      </c>
      <c r="D1594" s="34" t="inlineStr">
        <is>
          <t>UNSURE</t>
        </is>
      </c>
      <c r="E1594" s="34" t="inlineStr">
        <is>
          <t>New</t>
        </is>
      </c>
      <c r="F1594" s="14" t="inlineStr"/>
      <c r="G1594" s="34" t="inlineStr">
        <is>
          <t>Maya Chen, Owner Project Controls</t>
        </is>
      </c>
      <c r="H1594" s="92" t="inlineStr">
        <is>
          <t>10 EVIDENCE &amp; DECISIONS</t>
        </is>
      </c>
    </row>
    <row r="1595" ht="34" customHeight="1">
      <c r="A1595" s="34" t="inlineStr">
        <is>
          <t>R960-v2</t>
        </is>
      </c>
      <c r="B1595" s="34" t="inlineStr">
        <is>
          <t>Contractor Programme</t>
        </is>
      </c>
      <c r="C1595" s="34" t="inlineStr">
        <is>
          <t>SCH-06-060</t>
        </is>
      </c>
      <c r="D1595" s="34" t="inlineStr">
        <is>
          <t>UNSURE</t>
        </is>
      </c>
      <c r="E1595" s="34" t="inlineStr">
        <is>
          <t>New</t>
        </is>
      </c>
      <c r="F1595" s="14" t="inlineStr"/>
      <c r="G1595" s="34" t="inlineStr">
        <is>
          <t>Maya Chen, Owner Project Controls</t>
        </is>
      </c>
      <c r="H1595" s="92" t="inlineStr">
        <is>
          <t>10 EVIDENCE &amp; DECISIONS</t>
        </is>
      </c>
    </row>
    <row r="1596" ht="34" customHeight="1">
      <c r="A1596" s="34" t="inlineStr">
        <is>
          <t>R961-v2</t>
        </is>
      </c>
      <c r="B1596" s="34" t="inlineStr">
        <is>
          <t>Contractor Programme</t>
        </is>
      </c>
      <c r="C1596" s="34" t="inlineStr">
        <is>
          <t>SCH-06-061</t>
        </is>
      </c>
      <c r="D1596" s="34" t="inlineStr">
        <is>
          <t>UNSURE</t>
        </is>
      </c>
      <c r="E1596" s="34" t="inlineStr">
        <is>
          <t>New</t>
        </is>
      </c>
      <c r="F1596" s="14" t="inlineStr"/>
      <c r="G1596" s="34" t="inlineStr">
        <is>
          <t>Maya Chen, Owner Project Controls</t>
        </is>
      </c>
      <c r="H1596" s="92" t="inlineStr">
        <is>
          <t>10 EVIDENCE &amp; DECISIONS</t>
        </is>
      </c>
    </row>
    <row r="1597" ht="34" customHeight="1">
      <c r="A1597" s="34" t="inlineStr">
        <is>
          <t>R962-v2</t>
        </is>
      </c>
      <c r="B1597" s="34" t="inlineStr">
        <is>
          <t>Contractor Programme</t>
        </is>
      </c>
      <c r="C1597" s="34" t="inlineStr">
        <is>
          <t>SCH-06-062</t>
        </is>
      </c>
      <c r="D1597" s="34" t="inlineStr">
        <is>
          <t>UNSURE</t>
        </is>
      </c>
      <c r="E1597" s="34" t="inlineStr">
        <is>
          <t>New</t>
        </is>
      </c>
      <c r="F1597" s="14" t="inlineStr"/>
      <c r="G1597" s="34" t="inlineStr">
        <is>
          <t>Maya Chen, Owner Project Controls</t>
        </is>
      </c>
      <c r="H1597" s="92" t="inlineStr">
        <is>
          <t>10 EVIDENCE &amp; DECISIONS</t>
        </is>
      </c>
    </row>
    <row r="1598" ht="34" customHeight="1">
      <c r="A1598" s="34" t="inlineStr">
        <is>
          <t>R963-v2</t>
        </is>
      </c>
      <c r="B1598" s="34" t="inlineStr">
        <is>
          <t>Contractor Programme</t>
        </is>
      </c>
      <c r="C1598" s="34" t="inlineStr">
        <is>
          <t>SCH-06-063</t>
        </is>
      </c>
      <c r="D1598" s="34" t="inlineStr">
        <is>
          <t>UNSURE</t>
        </is>
      </c>
      <c r="E1598" s="34" t="inlineStr">
        <is>
          <t>New</t>
        </is>
      </c>
      <c r="F1598" s="14" t="inlineStr"/>
      <c r="G1598" s="34" t="inlineStr">
        <is>
          <t>Maya Chen, Owner Project Controls</t>
        </is>
      </c>
      <c r="H1598" s="92" t="inlineStr">
        <is>
          <t>10 EVIDENCE &amp; DECISIONS</t>
        </is>
      </c>
    </row>
    <row r="1599" ht="34" customHeight="1">
      <c r="A1599" s="34" t="inlineStr">
        <is>
          <t>R964-v2</t>
        </is>
      </c>
      <c r="B1599" s="34" t="inlineStr">
        <is>
          <t>Contractor Programme</t>
        </is>
      </c>
      <c r="C1599" s="34" t="inlineStr">
        <is>
          <t>SCH-06-064</t>
        </is>
      </c>
      <c r="D1599" s="34" t="inlineStr">
        <is>
          <t>UNSURE</t>
        </is>
      </c>
      <c r="E1599" s="34" t="inlineStr">
        <is>
          <t>New</t>
        </is>
      </c>
      <c r="F1599" s="14" t="inlineStr"/>
      <c r="G1599" s="34" t="inlineStr">
        <is>
          <t>Maya Chen, Owner Project Controls</t>
        </is>
      </c>
      <c r="H1599" s="92" t="inlineStr">
        <is>
          <t>10 EVIDENCE &amp; DECISIONS</t>
        </is>
      </c>
    </row>
    <row r="1600" ht="34" customHeight="1">
      <c r="A1600" s="34" t="inlineStr">
        <is>
          <t>R965-v2</t>
        </is>
      </c>
      <c r="B1600" s="34" t="inlineStr">
        <is>
          <t>Contractor Programme</t>
        </is>
      </c>
      <c r="C1600" s="34" t="inlineStr">
        <is>
          <t>SCH-06-065</t>
        </is>
      </c>
      <c r="D1600" s="34" t="inlineStr">
        <is>
          <t>UNSURE</t>
        </is>
      </c>
      <c r="E1600" s="34" t="inlineStr">
        <is>
          <t>New</t>
        </is>
      </c>
      <c r="F1600" s="14" t="inlineStr"/>
      <c r="G1600" s="34" t="inlineStr">
        <is>
          <t>Maya Chen, Owner Project Controls</t>
        </is>
      </c>
      <c r="H1600" s="92" t="inlineStr">
        <is>
          <t>10 EVIDENCE &amp; DECISIONS</t>
        </is>
      </c>
    </row>
    <row r="1601" ht="34" customHeight="1">
      <c r="A1601" s="34" t="inlineStr">
        <is>
          <t>R966-v2</t>
        </is>
      </c>
      <c r="B1601" s="34" t="inlineStr">
        <is>
          <t>Contractor Programme</t>
        </is>
      </c>
      <c r="C1601" s="34" t="inlineStr">
        <is>
          <t>SCH-06-066</t>
        </is>
      </c>
      <c r="D1601" s="34" t="inlineStr">
        <is>
          <t>UNSURE</t>
        </is>
      </c>
      <c r="E1601" s="34" t="inlineStr">
        <is>
          <t>New</t>
        </is>
      </c>
      <c r="F1601" s="14" t="inlineStr"/>
      <c r="G1601" s="34" t="inlineStr">
        <is>
          <t>Maya Chen, Owner Project Controls</t>
        </is>
      </c>
      <c r="H1601" s="92" t="inlineStr">
        <is>
          <t>10 EVIDENCE &amp; DECISIONS</t>
        </is>
      </c>
    </row>
    <row r="1602" ht="34" customHeight="1">
      <c r="A1602" s="34" t="inlineStr">
        <is>
          <t>R967-v2</t>
        </is>
      </c>
      <c r="B1602" s="34" t="inlineStr">
        <is>
          <t>Contractor Programme</t>
        </is>
      </c>
      <c r="C1602" s="34" t="inlineStr">
        <is>
          <t>SCH-06-067</t>
        </is>
      </c>
      <c r="D1602" s="34" t="inlineStr">
        <is>
          <t>UNSURE</t>
        </is>
      </c>
      <c r="E1602" s="34" t="inlineStr">
        <is>
          <t>New</t>
        </is>
      </c>
      <c r="F1602" s="14" t="inlineStr"/>
      <c r="G1602" s="34" t="inlineStr">
        <is>
          <t>Maya Chen, Owner Project Controls</t>
        </is>
      </c>
      <c r="H1602" s="92" t="inlineStr">
        <is>
          <t>10 EVIDENCE &amp; DECISIONS</t>
        </is>
      </c>
    </row>
    <row r="1603" ht="34" customHeight="1">
      <c r="A1603" s="34" t="inlineStr">
        <is>
          <t>R968-v2</t>
        </is>
      </c>
      <c r="B1603" s="34" t="inlineStr">
        <is>
          <t>Contractor Programme</t>
        </is>
      </c>
      <c r="C1603" s="34" t="inlineStr">
        <is>
          <t>SCH-06-068</t>
        </is>
      </c>
      <c r="D1603" s="34" t="inlineStr">
        <is>
          <t>UNSURE</t>
        </is>
      </c>
      <c r="E1603" s="34" t="inlineStr">
        <is>
          <t>New</t>
        </is>
      </c>
      <c r="F1603" s="14" t="inlineStr"/>
      <c r="G1603" s="34" t="inlineStr">
        <is>
          <t>Maya Chen, Owner Project Controls</t>
        </is>
      </c>
      <c r="H1603" s="92" t="inlineStr">
        <is>
          <t>10 EVIDENCE &amp; DECISIONS</t>
        </is>
      </c>
    </row>
    <row r="1604" ht="34" customHeight="1">
      <c r="A1604" s="34" t="inlineStr">
        <is>
          <t>R969-v2</t>
        </is>
      </c>
      <c r="B1604" s="34" t="inlineStr">
        <is>
          <t>Contractor Programme</t>
        </is>
      </c>
      <c r="C1604" s="34" t="inlineStr">
        <is>
          <t>SCH-06-069</t>
        </is>
      </c>
      <c r="D1604" s="34" t="inlineStr">
        <is>
          <t>UNSURE</t>
        </is>
      </c>
      <c r="E1604" s="34" t="inlineStr">
        <is>
          <t>New</t>
        </is>
      </c>
      <c r="F1604" s="14" t="inlineStr"/>
      <c r="G1604" s="34" t="inlineStr">
        <is>
          <t>Maya Chen, Owner Project Controls</t>
        </is>
      </c>
      <c r="H1604" s="92" t="inlineStr">
        <is>
          <t>10 EVIDENCE &amp; DECISIONS</t>
        </is>
      </c>
    </row>
    <row r="1605" ht="34" customHeight="1">
      <c r="A1605" s="34" t="inlineStr">
        <is>
          <t>R970-v2</t>
        </is>
      </c>
      <c r="B1605" s="34" t="inlineStr">
        <is>
          <t>Contractor Programme</t>
        </is>
      </c>
      <c r="C1605" s="34" t="inlineStr">
        <is>
          <t>SCH-06-070</t>
        </is>
      </c>
      <c r="D1605" s="34" t="inlineStr">
        <is>
          <t>UNSURE</t>
        </is>
      </c>
      <c r="E1605" s="34" t="inlineStr">
        <is>
          <t>New</t>
        </is>
      </c>
      <c r="F1605" s="14" t="inlineStr"/>
      <c r="G1605" s="34" t="inlineStr">
        <is>
          <t>Maya Chen, Owner Project Controls</t>
        </is>
      </c>
      <c r="H1605" s="92" t="inlineStr">
        <is>
          <t>10 EVIDENCE &amp; DECISIONS</t>
        </is>
      </c>
    </row>
    <row r="1606" ht="34" customHeight="1">
      <c r="A1606" s="34" t="inlineStr">
        <is>
          <t>R971-v2</t>
        </is>
      </c>
      <c r="B1606" s="34" t="inlineStr">
        <is>
          <t>Contractor Programme</t>
        </is>
      </c>
      <c r="C1606" s="34" t="inlineStr">
        <is>
          <t>SCH-06-071</t>
        </is>
      </c>
      <c r="D1606" s="34" t="inlineStr">
        <is>
          <t>UNSURE</t>
        </is>
      </c>
      <c r="E1606" s="34" t="inlineStr">
        <is>
          <t>New</t>
        </is>
      </c>
      <c r="F1606" s="14" t="inlineStr"/>
      <c r="G1606" s="34" t="inlineStr">
        <is>
          <t>Maya Chen, Owner Project Controls</t>
        </is>
      </c>
      <c r="H1606" s="92" t="inlineStr">
        <is>
          <t>10 EVIDENCE &amp; DECISIONS</t>
        </is>
      </c>
    </row>
    <row r="1607" ht="34" customHeight="1">
      <c r="A1607" s="34" t="inlineStr">
        <is>
          <t>R972-v2</t>
        </is>
      </c>
      <c r="B1607" s="34" t="inlineStr">
        <is>
          <t>Contractor Programme</t>
        </is>
      </c>
      <c r="C1607" s="34" t="inlineStr">
        <is>
          <t>SCH-06-072</t>
        </is>
      </c>
      <c r="D1607" s="34" t="inlineStr">
        <is>
          <t>UNSURE</t>
        </is>
      </c>
      <c r="E1607" s="34" t="inlineStr">
        <is>
          <t>New</t>
        </is>
      </c>
      <c r="F1607" s="14" t="inlineStr"/>
      <c r="G1607" s="34" t="inlineStr">
        <is>
          <t>Maya Chen, Owner Project Controls</t>
        </is>
      </c>
      <c r="H1607" s="92" t="inlineStr">
        <is>
          <t>10 EVIDENCE &amp; DECISIONS</t>
        </is>
      </c>
    </row>
    <row r="1608" ht="34" customHeight="1">
      <c r="A1608" s="34" t="inlineStr">
        <is>
          <t>R973-v2</t>
        </is>
      </c>
      <c r="B1608" s="34" t="inlineStr">
        <is>
          <t>Contractor Programme</t>
        </is>
      </c>
      <c r="C1608" s="34" t="inlineStr">
        <is>
          <t>SCH-06-073</t>
        </is>
      </c>
      <c r="D1608" s="34" t="inlineStr">
        <is>
          <t>UNSURE</t>
        </is>
      </c>
      <c r="E1608" s="34" t="inlineStr">
        <is>
          <t>New</t>
        </is>
      </c>
      <c r="F1608" s="14" t="inlineStr"/>
      <c r="G1608" s="34" t="inlineStr">
        <is>
          <t>Maya Chen, Owner Project Controls</t>
        </is>
      </c>
      <c r="H1608" s="92" t="inlineStr">
        <is>
          <t>10 EVIDENCE &amp; DECISIONS</t>
        </is>
      </c>
    </row>
    <row r="1609" ht="34" customHeight="1">
      <c r="A1609" s="34" t="inlineStr">
        <is>
          <t>R974-v2</t>
        </is>
      </c>
      <c r="B1609" s="34" t="inlineStr">
        <is>
          <t>Contractor Programme</t>
        </is>
      </c>
      <c r="C1609" s="34" t="inlineStr">
        <is>
          <t>SCH-06-074</t>
        </is>
      </c>
      <c r="D1609" s="34" t="inlineStr">
        <is>
          <t>UNSURE</t>
        </is>
      </c>
      <c r="E1609" s="34" t="inlineStr">
        <is>
          <t>New</t>
        </is>
      </c>
      <c r="F1609" s="14" t="inlineStr"/>
      <c r="G1609" s="34" t="inlineStr">
        <is>
          <t>Maya Chen, Owner Project Controls</t>
        </is>
      </c>
      <c r="H1609" s="92" t="inlineStr">
        <is>
          <t>10 EVIDENCE &amp; DECISIONS</t>
        </is>
      </c>
    </row>
    <row r="1610" ht="34" customHeight="1">
      <c r="A1610" s="34" t="inlineStr">
        <is>
          <t>R975-v2</t>
        </is>
      </c>
      <c r="B1610" s="34" t="inlineStr">
        <is>
          <t>Contractor Programme</t>
        </is>
      </c>
      <c r="C1610" s="34" t="inlineStr">
        <is>
          <t>SCH-06-075</t>
        </is>
      </c>
      <c r="D1610" s="34" t="inlineStr">
        <is>
          <t>UNSURE</t>
        </is>
      </c>
      <c r="E1610" s="34" t="inlineStr">
        <is>
          <t>New</t>
        </is>
      </c>
      <c r="F1610" s="14" t="inlineStr"/>
      <c r="G1610" s="34" t="inlineStr">
        <is>
          <t>Maya Chen, Owner Project Controls</t>
        </is>
      </c>
      <c r="H1610" s="92" t="inlineStr">
        <is>
          <t>10 EVIDENCE &amp; DECISIONS</t>
        </is>
      </c>
    </row>
    <row r="1611" ht="34" customHeight="1">
      <c r="A1611" s="34" t="inlineStr">
        <is>
          <t>R976-v2</t>
        </is>
      </c>
      <c r="B1611" s="34" t="inlineStr">
        <is>
          <t>Contractor Programme</t>
        </is>
      </c>
      <c r="C1611" s="34" t="inlineStr">
        <is>
          <t>SCH-06-076</t>
        </is>
      </c>
      <c r="D1611" s="34" t="inlineStr">
        <is>
          <t>UNSURE</t>
        </is>
      </c>
      <c r="E1611" s="34" t="inlineStr">
        <is>
          <t>New</t>
        </is>
      </c>
      <c r="F1611" s="14" t="inlineStr"/>
      <c r="G1611" s="34" t="inlineStr">
        <is>
          <t>Maya Chen, Owner Project Controls</t>
        </is>
      </c>
      <c r="H1611" s="92" t="inlineStr">
        <is>
          <t>10 EVIDENCE &amp; DECISIONS</t>
        </is>
      </c>
    </row>
    <row r="1612" ht="34" customHeight="1">
      <c r="A1612" s="34" t="inlineStr">
        <is>
          <t>R977-v2</t>
        </is>
      </c>
      <c r="B1612" s="34" t="inlineStr">
        <is>
          <t>Contractor Programme</t>
        </is>
      </c>
      <c r="C1612" s="34" t="inlineStr">
        <is>
          <t>SCH-06-077</t>
        </is>
      </c>
      <c r="D1612" s="34" t="inlineStr">
        <is>
          <t>UNSURE</t>
        </is>
      </c>
      <c r="E1612" s="34" t="inlineStr">
        <is>
          <t>New</t>
        </is>
      </c>
      <c r="F1612" s="14" t="inlineStr"/>
      <c r="G1612" s="34" t="inlineStr">
        <is>
          <t>Maya Chen, Owner Project Controls</t>
        </is>
      </c>
      <c r="H1612" s="92" t="inlineStr">
        <is>
          <t>10 EVIDENCE &amp; DECISIONS</t>
        </is>
      </c>
    </row>
    <row r="1613" ht="34" customHeight="1">
      <c r="A1613" s="34" t="inlineStr">
        <is>
          <t>R978-v2</t>
        </is>
      </c>
      <c r="B1613" s="34" t="inlineStr">
        <is>
          <t>Contractor Programme</t>
        </is>
      </c>
      <c r="C1613" s="34" t="inlineStr">
        <is>
          <t>SCH-06-078</t>
        </is>
      </c>
      <c r="D1613" s="34" t="inlineStr">
        <is>
          <t>UNSURE</t>
        </is>
      </c>
      <c r="E1613" s="34" t="inlineStr">
        <is>
          <t>New</t>
        </is>
      </c>
      <c r="F1613" s="14" t="inlineStr"/>
      <c r="G1613" s="34" t="inlineStr">
        <is>
          <t>Maya Chen, Owner Project Controls</t>
        </is>
      </c>
      <c r="H1613" s="92" t="inlineStr">
        <is>
          <t>10 EVIDENCE &amp; DECISIONS</t>
        </is>
      </c>
    </row>
    <row r="1614" ht="34" customHeight="1">
      <c r="A1614" s="34" t="inlineStr">
        <is>
          <t>R979-v2</t>
        </is>
      </c>
      <c r="B1614" s="34" t="inlineStr">
        <is>
          <t>Contractor Programme</t>
        </is>
      </c>
      <c r="C1614" s="34" t="inlineStr">
        <is>
          <t>SCH-06-079</t>
        </is>
      </c>
      <c r="D1614" s="34" t="inlineStr">
        <is>
          <t>UNSURE</t>
        </is>
      </c>
      <c r="E1614" s="34" t="inlineStr">
        <is>
          <t>New</t>
        </is>
      </c>
      <c r="F1614" s="14" t="inlineStr"/>
      <c r="G1614" s="34" t="inlineStr">
        <is>
          <t>Maya Chen, Owner Project Controls</t>
        </is>
      </c>
      <c r="H1614" s="92" t="inlineStr">
        <is>
          <t>10 EVIDENCE &amp; DECISIONS</t>
        </is>
      </c>
    </row>
    <row r="1615" ht="34" customHeight="1">
      <c r="A1615" s="34" t="inlineStr">
        <is>
          <t>R980-v2</t>
        </is>
      </c>
      <c r="B1615" s="34" t="inlineStr">
        <is>
          <t>Contractor Programme</t>
        </is>
      </c>
      <c r="C1615" s="34" t="inlineStr">
        <is>
          <t>SCH-06-080</t>
        </is>
      </c>
      <c r="D1615" s="34" t="inlineStr">
        <is>
          <t>UNSURE</t>
        </is>
      </c>
      <c r="E1615" s="34" t="inlineStr">
        <is>
          <t>New</t>
        </is>
      </c>
      <c r="F1615" s="14" t="inlineStr"/>
      <c r="G1615" s="34" t="inlineStr">
        <is>
          <t>Maya Chen, Owner Project Controls</t>
        </is>
      </c>
      <c r="H1615" s="92" t="inlineStr">
        <is>
          <t>10 EVIDENCE &amp; DECISIONS</t>
        </is>
      </c>
    </row>
    <row r="1616" ht="34" customHeight="1">
      <c r="A1616" s="34" t="inlineStr">
        <is>
          <t>R981-v2</t>
        </is>
      </c>
      <c r="B1616" s="34" t="inlineStr">
        <is>
          <t>Contractor Programme</t>
        </is>
      </c>
      <c r="C1616" s="34" t="inlineStr">
        <is>
          <t>SCH-06-081</t>
        </is>
      </c>
      <c r="D1616" s="34" t="inlineStr">
        <is>
          <t>UNSURE</t>
        </is>
      </c>
      <c r="E1616" s="34" t="inlineStr">
        <is>
          <t>New</t>
        </is>
      </c>
      <c r="F1616" s="14" t="inlineStr"/>
      <c r="G1616" s="34" t="inlineStr">
        <is>
          <t>Maya Chen, Owner Project Controls</t>
        </is>
      </c>
      <c r="H1616" s="92" t="inlineStr">
        <is>
          <t>10 EVIDENCE &amp; DECISIONS</t>
        </is>
      </c>
    </row>
    <row r="1617" ht="34" customHeight="1">
      <c r="A1617" s="34" t="inlineStr">
        <is>
          <t>R982-v2</t>
        </is>
      </c>
      <c r="B1617" s="34" t="inlineStr">
        <is>
          <t>Contractor Programme</t>
        </is>
      </c>
      <c r="C1617" s="34" t="inlineStr">
        <is>
          <t>SCH-06-082</t>
        </is>
      </c>
      <c r="D1617" s="34" t="inlineStr">
        <is>
          <t>UNSURE</t>
        </is>
      </c>
      <c r="E1617" s="34" t="inlineStr">
        <is>
          <t>New</t>
        </is>
      </c>
      <c r="F1617" s="14" t="inlineStr"/>
      <c r="G1617" s="34" t="inlineStr">
        <is>
          <t>Maya Chen, Owner Project Controls</t>
        </is>
      </c>
      <c r="H1617" s="92" t="inlineStr">
        <is>
          <t>10 EVIDENCE &amp; DECISIONS</t>
        </is>
      </c>
    </row>
    <row r="1618" ht="34" customHeight="1">
      <c r="A1618" s="34" t="inlineStr">
        <is>
          <t>R983-v2</t>
        </is>
      </c>
      <c r="B1618" s="34" t="inlineStr">
        <is>
          <t>Contractor Programme</t>
        </is>
      </c>
      <c r="C1618" s="34" t="inlineStr">
        <is>
          <t>SCH-06-083</t>
        </is>
      </c>
      <c r="D1618" s="34" t="inlineStr">
        <is>
          <t>UNSURE</t>
        </is>
      </c>
      <c r="E1618" s="34" t="inlineStr">
        <is>
          <t>New</t>
        </is>
      </c>
      <c r="F1618" s="14" t="inlineStr"/>
      <c r="G1618" s="34" t="inlineStr">
        <is>
          <t>Maya Chen, Owner Project Controls</t>
        </is>
      </c>
      <c r="H1618" s="92" t="inlineStr">
        <is>
          <t>10 EVIDENCE &amp; DECISIONS</t>
        </is>
      </c>
    </row>
    <row r="1619" ht="34" customHeight="1">
      <c r="A1619" s="34" t="inlineStr">
        <is>
          <t>R984-v2</t>
        </is>
      </c>
      <c r="B1619" s="34" t="inlineStr">
        <is>
          <t>Contractor Programme</t>
        </is>
      </c>
      <c r="C1619" s="34" t="inlineStr">
        <is>
          <t>SCH-06-084</t>
        </is>
      </c>
      <c r="D1619" s="34" t="inlineStr">
        <is>
          <t>UNSURE</t>
        </is>
      </c>
      <c r="E1619" s="34" t="inlineStr">
        <is>
          <t>New</t>
        </is>
      </c>
      <c r="F1619" s="14" t="inlineStr"/>
      <c r="G1619" s="34" t="inlineStr">
        <is>
          <t>Maya Chen, Owner Project Controls</t>
        </is>
      </c>
      <c r="H1619" s="92" t="inlineStr">
        <is>
          <t>10 EVIDENCE &amp; DECISIONS</t>
        </is>
      </c>
    </row>
    <row r="1620" ht="34" customHeight="1">
      <c r="A1620" s="34" t="inlineStr">
        <is>
          <t>R985-v2</t>
        </is>
      </c>
      <c r="B1620" s="34" t="inlineStr">
        <is>
          <t>Contractor Programme</t>
        </is>
      </c>
      <c r="C1620" s="34" t="inlineStr">
        <is>
          <t>SCH-06-085</t>
        </is>
      </c>
      <c r="D1620" s="34" t="inlineStr">
        <is>
          <t>UNSURE</t>
        </is>
      </c>
      <c r="E1620" s="34" t="inlineStr">
        <is>
          <t>New</t>
        </is>
      </c>
      <c r="F1620" s="14" t="inlineStr"/>
      <c r="G1620" s="34" t="inlineStr">
        <is>
          <t>Maya Chen, Owner Project Controls</t>
        </is>
      </c>
      <c r="H1620" s="92" t="inlineStr">
        <is>
          <t>10 EVIDENCE &amp; DECISIONS</t>
        </is>
      </c>
    </row>
    <row r="1621" ht="34" customHeight="1">
      <c r="A1621" s="34" t="inlineStr">
        <is>
          <t>R986-v2</t>
        </is>
      </c>
      <c r="B1621" s="34" t="inlineStr">
        <is>
          <t>Contractor Programme</t>
        </is>
      </c>
      <c r="C1621" s="34" t="inlineStr">
        <is>
          <t>SCH-06-086</t>
        </is>
      </c>
      <c r="D1621" s="34" t="inlineStr">
        <is>
          <t>UNSURE</t>
        </is>
      </c>
      <c r="E1621" s="34" t="inlineStr">
        <is>
          <t>New</t>
        </is>
      </c>
      <c r="F1621" s="14" t="inlineStr"/>
      <c r="G1621" s="34" t="inlineStr">
        <is>
          <t>Maya Chen, Owner Project Controls</t>
        </is>
      </c>
      <c r="H1621" s="92" t="inlineStr">
        <is>
          <t>10 EVIDENCE &amp; DECISIONS</t>
        </is>
      </c>
    </row>
    <row r="1622" ht="34" customHeight="1">
      <c r="A1622" s="34" t="inlineStr">
        <is>
          <t>R987-v2</t>
        </is>
      </c>
      <c r="B1622" s="34" t="inlineStr">
        <is>
          <t>Contractor Programme</t>
        </is>
      </c>
      <c r="C1622" s="34" t="inlineStr">
        <is>
          <t>SCH-06-087</t>
        </is>
      </c>
      <c r="D1622" s="34" t="inlineStr">
        <is>
          <t>UNSURE</t>
        </is>
      </c>
      <c r="E1622" s="34" t="inlineStr">
        <is>
          <t>New</t>
        </is>
      </c>
      <c r="F1622" s="14" t="inlineStr"/>
      <c r="G1622" s="34" t="inlineStr">
        <is>
          <t>Maya Chen, Owner Project Controls</t>
        </is>
      </c>
      <c r="H1622" s="92" t="inlineStr">
        <is>
          <t>10 EVIDENCE &amp; DECISIONS</t>
        </is>
      </c>
    </row>
    <row r="1623" ht="34" customHeight="1">
      <c r="A1623" s="34" t="inlineStr">
        <is>
          <t>R988-v2</t>
        </is>
      </c>
      <c r="B1623" s="34" t="inlineStr">
        <is>
          <t>Contractor Programme</t>
        </is>
      </c>
      <c r="C1623" s="34" t="inlineStr">
        <is>
          <t>SCH-06-088</t>
        </is>
      </c>
      <c r="D1623" s="34" t="inlineStr">
        <is>
          <t>UNSURE</t>
        </is>
      </c>
      <c r="E1623" s="34" t="inlineStr">
        <is>
          <t>New</t>
        </is>
      </c>
      <c r="F1623" s="14" t="inlineStr"/>
      <c r="G1623" s="34" t="inlineStr">
        <is>
          <t>Maya Chen, Owner Project Controls</t>
        </is>
      </c>
      <c r="H1623" s="92" t="inlineStr">
        <is>
          <t>10 EVIDENCE &amp; DECISIONS</t>
        </is>
      </c>
    </row>
    <row r="1624" ht="34" customHeight="1">
      <c r="A1624" s="34" t="inlineStr">
        <is>
          <t>R989-v2</t>
        </is>
      </c>
      <c r="B1624" s="34" t="inlineStr">
        <is>
          <t>Contractor Programme</t>
        </is>
      </c>
      <c r="C1624" s="34" t="inlineStr">
        <is>
          <t>SCH-06-089</t>
        </is>
      </c>
      <c r="D1624" s="34" t="inlineStr">
        <is>
          <t>UNSURE</t>
        </is>
      </c>
      <c r="E1624" s="34" t="inlineStr">
        <is>
          <t>New</t>
        </is>
      </c>
      <c r="F1624" s="14" t="inlineStr"/>
      <c r="G1624" s="34" t="inlineStr">
        <is>
          <t>Maya Chen, Owner Project Controls</t>
        </is>
      </c>
      <c r="H1624" s="92" t="inlineStr">
        <is>
          <t>10 EVIDENCE &amp; DECISIONS</t>
        </is>
      </c>
    </row>
    <row r="1625" ht="34" customHeight="1">
      <c r="A1625" s="34" t="inlineStr">
        <is>
          <t>R990-v2</t>
        </is>
      </c>
      <c r="B1625" s="34" t="inlineStr">
        <is>
          <t>Contractor Programme</t>
        </is>
      </c>
      <c r="C1625" s="34" t="inlineStr">
        <is>
          <t>SCH-06-090</t>
        </is>
      </c>
      <c r="D1625" s="34" t="inlineStr">
        <is>
          <t>UNSURE</t>
        </is>
      </c>
      <c r="E1625" s="34" t="inlineStr">
        <is>
          <t>New</t>
        </is>
      </c>
      <c r="F1625" s="14" t="inlineStr"/>
      <c r="G1625" s="34" t="inlineStr">
        <is>
          <t>Maya Chen, Owner Project Controls</t>
        </is>
      </c>
      <c r="H1625" s="92" t="inlineStr">
        <is>
          <t>10 EVIDENCE &amp; DECISIONS</t>
        </is>
      </c>
    </row>
    <row r="1626" ht="34" customHeight="1">
      <c r="A1626" s="34" t="inlineStr">
        <is>
          <t>R991-v2</t>
        </is>
      </c>
      <c r="B1626" s="34" t="inlineStr">
        <is>
          <t>Contractor Programme</t>
        </is>
      </c>
      <c r="C1626" s="34" t="inlineStr">
        <is>
          <t>SCH-06-091</t>
        </is>
      </c>
      <c r="D1626" s="34" t="inlineStr">
        <is>
          <t>UNSURE</t>
        </is>
      </c>
      <c r="E1626" s="34" t="inlineStr">
        <is>
          <t>New</t>
        </is>
      </c>
      <c r="F1626" s="14" t="inlineStr"/>
      <c r="G1626" s="34" t="inlineStr">
        <is>
          <t>Maya Chen, Owner Project Controls</t>
        </is>
      </c>
      <c r="H1626" s="92" t="inlineStr">
        <is>
          <t>10 EVIDENCE &amp; DECISIONS</t>
        </is>
      </c>
    </row>
    <row r="1627" ht="34" customHeight="1">
      <c r="A1627" s="34" t="inlineStr">
        <is>
          <t>R992-v2</t>
        </is>
      </c>
      <c r="B1627" s="34" t="inlineStr">
        <is>
          <t>Contractor Programme</t>
        </is>
      </c>
      <c r="C1627" s="34" t="inlineStr">
        <is>
          <t>SCH-06-092</t>
        </is>
      </c>
      <c r="D1627" s="34" t="inlineStr">
        <is>
          <t>UNSURE</t>
        </is>
      </c>
      <c r="E1627" s="34" t="inlineStr">
        <is>
          <t>New</t>
        </is>
      </c>
      <c r="F1627" s="14" t="inlineStr"/>
      <c r="G1627" s="34" t="inlineStr">
        <is>
          <t>Maya Chen, Owner Project Controls</t>
        </is>
      </c>
      <c r="H1627" s="92" t="inlineStr">
        <is>
          <t>10 EVIDENCE &amp; DECISIONS</t>
        </is>
      </c>
    </row>
    <row r="1628" ht="34" customHeight="1">
      <c r="A1628" s="34" t="inlineStr">
        <is>
          <t>R993-v2</t>
        </is>
      </c>
      <c r="B1628" s="34" t="inlineStr">
        <is>
          <t>Contractor Programme</t>
        </is>
      </c>
      <c r="C1628" s="34" t="inlineStr">
        <is>
          <t>SCH-06-093</t>
        </is>
      </c>
      <c r="D1628" s="34" t="inlineStr">
        <is>
          <t>UNSURE</t>
        </is>
      </c>
      <c r="E1628" s="34" t="inlineStr">
        <is>
          <t>New</t>
        </is>
      </c>
      <c r="F1628" s="14" t="inlineStr"/>
      <c r="G1628" s="34" t="inlineStr">
        <is>
          <t>Maya Chen, Owner Project Controls</t>
        </is>
      </c>
      <c r="H1628" s="92" t="inlineStr">
        <is>
          <t>10 EVIDENCE &amp; DECISIONS</t>
        </is>
      </c>
    </row>
    <row r="1629" ht="34" customHeight="1">
      <c r="A1629" s="34" t="inlineStr">
        <is>
          <t>R994-v2</t>
        </is>
      </c>
      <c r="B1629" s="34" t="inlineStr">
        <is>
          <t>Contractor Programme</t>
        </is>
      </c>
      <c r="C1629" s="34" t="inlineStr">
        <is>
          <t>SCH-06-094</t>
        </is>
      </c>
      <c r="D1629" s="34" t="inlineStr">
        <is>
          <t>UNSURE</t>
        </is>
      </c>
      <c r="E1629" s="34" t="inlineStr">
        <is>
          <t>New</t>
        </is>
      </c>
      <c r="F1629" s="14" t="inlineStr"/>
      <c r="G1629" s="34" t="inlineStr">
        <is>
          <t>Maya Chen, Owner Project Controls</t>
        </is>
      </c>
      <c r="H1629" s="92" t="inlineStr">
        <is>
          <t>10 EVIDENCE &amp; DECISIONS</t>
        </is>
      </c>
    </row>
    <row r="1630" ht="34" customHeight="1">
      <c r="A1630" s="34" t="inlineStr">
        <is>
          <t>R995-v2</t>
        </is>
      </c>
      <c r="B1630" s="34" t="inlineStr">
        <is>
          <t>Contractor Programme</t>
        </is>
      </c>
      <c r="C1630" s="34" t="inlineStr">
        <is>
          <t>SCH-06-095</t>
        </is>
      </c>
      <c r="D1630" s="34" t="inlineStr">
        <is>
          <t>UNSURE</t>
        </is>
      </c>
      <c r="E1630" s="34" t="inlineStr">
        <is>
          <t>New</t>
        </is>
      </c>
      <c r="F1630" s="14" t="inlineStr"/>
      <c r="G1630" s="34" t="inlineStr">
        <is>
          <t>Maya Chen, Owner Project Controls</t>
        </is>
      </c>
      <c r="H1630" s="92" t="inlineStr">
        <is>
          <t>10 EVIDENCE &amp; DECISIONS</t>
        </is>
      </c>
    </row>
    <row r="1631" ht="34" customHeight="1">
      <c r="A1631" s="34" t="inlineStr">
        <is>
          <t>R996-v2</t>
        </is>
      </c>
      <c r="B1631" s="34" t="inlineStr">
        <is>
          <t>Contractor Programme</t>
        </is>
      </c>
      <c r="C1631" s="34" t="inlineStr">
        <is>
          <t>SCH-06-096</t>
        </is>
      </c>
      <c r="D1631" s="34" t="inlineStr">
        <is>
          <t>UNSURE</t>
        </is>
      </c>
      <c r="E1631" s="34" t="inlineStr">
        <is>
          <t>New</t>
        </is>
      </c>
      <c r="F1631" s="14" t="inlineStr"/>
      <c r="G1631" s="34" t="inlineStr">
        <is>
          <t>Maya Chen, Owner Project Controls</t>
        </is>
      </c>
      <c r="H1631" s="92" t="inlineStr">
        <is>
          <t>10 EVIDENCE &amp; DECISIONS</t>
        </is>
      </c>
    </row>
    <row r="1632" ht="34" customHeight="1">
      <c r="A1632" s="34" t="inlineStr">
        <is>
          <t>R997-v2</t>
        </is>
      </c>
      <c r="B1632" s="34" t="inlineStr">
        <is>
          <t>Contractor Programme</t>
        </is>
      </c>
      <c r="C1632" s="34" t="inlineStr">
        <is>
          <t>SCH-06-097</t>
        </is>
      </c>
      <c r="D1632" s="34" t="inlineStr">
        <is>
          <t>UNSURE</t>
        </is>
      </c>
      <c r="E1632" s="34" t="inlineStr">
        <is>
          <t>New</t>
        </is>
      </c>
      <c r="F1632" s="14" t="inlineStr"/>
      <c r="G1632" s="34" t="inlineStr">
        <is>
          <t>Maya Chen, Owner Project Controls</t>
        </is>
      </c>
      <c r="H1632" s="92" t="inlineStr">
        <is>
          <t>10 EVIDENCE &amp; DECISIONS</t>
        </is>
      </c>
    </row>
    <row r="1633" ht="34" customHeight="1">
      <c r="A1633" s="34" t="inlineStr">
        <is>
          <t>R998-v2</t>
        </is>
      </c>
      <c r="B1633" s="34" t="inlineStr">
        <is>
          <t>Contractor Programme</t>
        </is>
      </c>
      <c r="C1633" s="34" t="inlineStr">
        <is>
          <t>SCH-06-098</t>
        </is>
      </c>
      <c r="D1633" s="34" t="inlineStr">
        <is>
          <t>UNSURE</t>
        </is>
      </c>
      <c r="E1633" s="34" t="inlineStr">
        <is>
          <t>New</t>
        </is>
      </c>
      <c r="F1633" s="14" t="inlineStr"/>
      <c r="G1633" s="34" t="inlineStr">
        <is>
          <t>Maya Chen, Owner Project Controls</t>
        </is>
      </c>
      <c r="H1633" s="92" t="inlineStr">
        <is>
          <t>10 EVIDENCE &amp; DECISIONS</t>
        </is>
      </c>
    </row>
    <row r="1634" ht="34" customHeight="1">
      <c r="A1634" s="34" t="inlineStr">
        <is>
          <t>R999-v2</t>
        </is>
      </c>
      <c r="B1634" s="34" t="inlineStr">
        <is>
          <t>Contractor Programme</t>
        </is>
      </c>
      <c r="C1634" s="34" t="inlineStr">
        <is>
          <t>SCH-06-099</t>
        </is>
      </c>
      <c r="D1634" s="34" t="inlineStr">
        <is>
          <t>UNSURE</t>
        </is>
      </c>
      <c r="E1634" s="34" t="inlineStr">
        <is>
          <t>New</t>
        </is>
      </c>
      <c r="F1634" s="14" t="inlineStr"/>
      <c r="G1634" s="34" t="inlineStr">
        <is>
          <t>Maya Chen, Owner Project Controls</t>
        </is>
      </c>
      <c r="H1634" s="92" t="inlineStr">
        <is>
          <t>10 EVIDENCE &amp; DECISIONS</t>
        </is>
      </c>
    </row>
  </sheetData>
  <autoFilter ref="A12:H1634"/>
  <mergeCells count="3">
    <mergeCell ref="D9:H10"/>
    <mergeCell ref="A2:B2"/>
    <mergeCell ref="D6:H7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  <hyperlink xmlns:r="http://schemas.openxmlformats.org/officeDocument/2006/relationships" ref="H662" r:id="rId658"/>
    <hyperlink xmlns:r="http://schemas.openxmlformats.org/officeDocument/2006/relationships" ref="H663" r:id="rId659"/>
    <hyperlink xmlns:r="http://schemas.openxmlformats.org/officeDocument/2006/relationships" ref="H664" r:id="rId660"/>
    <hyperlink xmlns:r="http://schemas.openxmlformats.org/officeDocument/2006/relationships" ref="H665" r:id="rId661"/>
    <hyperlink xmlns:r="http://schemas.openxmlformats.org/officeDocument/2006/relationships" ref="H666" r:id="rId662"/>
    <hyperlink xmlns:r="http://schemas.openxmlformats.org/officeDocument/2006/relationships" ref="H667" r:id="rId663"/>
    <hyperlink xmlns:r="http://schemas.openxmlformats.org/officeDocument/2006/relationships" ref="H668" r:id="rId664"/>
    <hyperlink xmlns:r="http://schemas.openxmlformats.org/officeDocument/2006/relationships" ref="H669" r:id="rId665"/>
    <hyperlink xmlns:r="http://schemas.openxmlformats.org/officeDocument/2006/relationships" ref="H670" r:id="rId666"/>
    <hyperlink xmlns:r="http://schemas.openxmlformats.org/officeDocument/2006/relationships" ref="H671" r:id="rId667"/>
    <hyperlink xmlns:r="http://schemas.openxmlformats.org/officeDocument/2006/relationships" ref="H672" r:id="rId668"/>
    <hyperlink xmlns:r="http://schemas.openxmlformats.org/officeDocument/2006/relationships" ref="H673" r:id="rId669"/>
    <hyperlink xmlns:r="http://schemas.openxmlformats.org/officeDocument/2006/relationships" ref="H674" r:id="rId670"/>
    <hyperlink xmlns:r="http://schemas.openxmlformats.org/officeDocument/2006/relationships" ref="H675" r:id="rId671"/>
    <hyperlink xmlns:r="http://schemas.openxmlformats.org/officeDocument/2006/relationships" ref="H676" r:id="rId672"/>
    <hyperlink xmlns:r="http://schemas.openxmlformats.org/officeDocument/2006/relationships" ref="H677" r:id="rId673"/>
    <hyperlink xmlns:r="http://schemas.openxmlformats.org/officeDocument/2006/relationships" ref="H678" r:id="rId674"/>
    <hyperlink xmlns:r="http://schemas.openxmlformats.org/officeDocument/2006/relationships" ref="H679" r:id="rId675"/>
    <hyperlink xmlns:r="http://schemas.openxmlformats.org/officeDocument/2006/relationships" ref="H680" r:id="rId676"/>
    <hyperlink xmlns:r="http://schemas.openxmlformats.org/officeDocument/2006/relationships" ref="H681" r:id="rId677"/>
    <hyperlink xmlns:r="http://schemas.openxmlformats.org/officeDocument/2006/relationships" ref="H682" r:id="rId678"/>
    <hyperlink xmlns:r="http://schemas.openxmlformats.org/officeDocument/2006/relationships" ref="H683" r:id="rId679"/>
    <hyperlink xmlns:r="http://schemas.openxmlformats.org/officeDocument/2006/relationships" ref="H684" r:id="rId680"/>
    <hyperlink xmlns:r="http://schemas.openxmlformats.org/officeDocument/2006/relationships" ref="H685" r:id="rId681"/>
    <hyperlink xmlns:r="http://schemas.openxmlformats.org/officeDocument/2006/relationships" ref="H686" r:id="rId682"/>
    <hyperlink xmlns:r="http://schemas.openxmlformats.org/officeDocument/2006/relationships" ref="H687" r:id="rId683"/>
    <hyperlink xmlns:r="http://schemas.openxmlformats.org/officeDocument/2006/relationships" ref="H688" r:id="rId684"/>
    <hyperlink xmlns:r="http://schemas.openxmlformats.org/officeDocument/2006/relationships" ref="H689" r:id="rId685"/>
    <hyperlink xmlns:r="http://schemas.openxmlformats.org/officeDocument/2006/relationships" ref="H690" r:id="rId686"/>
    <hyperlink xmlns:r="http://schemas.openxmlformats.org/officeDocument/2006/relationships" ref="H691" r:id="rId687"/>
    <hyperlink xmlns:r="http://schemas.openxmlformats.org/officeDocument/2006/relationships" ref="H692" r:id="rId688"/>
    <hyperlink xmlns:r="http://schemas.openxmlformats.org/officeDocument/2006/relationships" ref="H693" r:id="rId689"/>
    <hyperlink xmlns:r="http://schemas.openxmlformats.org/officeDocument/2006/relationships" ref="H694" r:id="rId690"/>
    <hyperlink xmlns:r="http://schemas.openxmlformats.org/officeDocument/2006/relationships" ref="H695" r:id="rId691"/>
    <hyperlink xmlns:r="http://schemas.openxmlformats.org/officeDocument/2006/relationships" ref="H696" r:id="rId692"/>
    <hyperlink xmlns:r="http://schemas.openxmlformats.org/officeDocument/2006/relationships" ref="H697" r:id="rId693"/>
    <hyperlink xmlns:r="http://schemas.openxmlformats.org/officeDocument/2006/relationships" ref="H698" r:id="rId694"/>
    <hyperlink xmlns:r="http://schemas.openxmlformats.org/officeDocument/2006/relationships" ref="H699" r:id="rId695"/>
    <hyperlink xmlns:r="http://schemas.openxmlformats.org/officeDocument/2006/relationships" ref="H700" r:id="rId696"/>
    <hyperlink xmlns:r="http://schemas.openxmlformats.org/officeDocument/2006/relationships" ref="H701" r:id="rId697"/>
    <hyperlink xmlns:r="http://schemas.openxmlformats.org/officeDocument/2006/relationships" ref="H702" r:id="rId698"/>
    <hyperlink xmlns:r="http://schemas.openxmlformats.org/officeDocument/2006/relationships" ref="H703" r:id="rId699"/>
    <hyperlink xmlns:r="http://schemas.openxmlformats.org/officeDocument/2006/relationships" ref="H704" r:id="rId700"/>
    <hyperlink xmlns:r="http://schemas.openxmlformats.org/officeDocument/2006/relationships" ref="H705" r:id="rId701"/>
    <hyperlink xmlns:r="http://schemas.openxmlformats.org/officeDocument/2006/relationships" ref="H706" r:id="rId702"/>
    <hyperlink xmlns:r="http://schemas.openxmlformats.org/officeDocument/2006/relationships" ref="H707" r:id="rId703"/>
    <hyperlink xmlns:r="http://schemas.openxmlformats.org/officeDocument/2006/relationships" ref="H708" r:id="rId704"/>
    <hyperlink xmlns:r="http://schemas.openxmlformats.org/officeDocument/2006/relationships" ref="H709" r:id="rId705"/>
    <hyperlink xmlns:r="http://schemas.openxmlformats.org/officeDocument/2006/relationships" ref="H710" r:id="rId706"/>
    <hyperlink xmlns:r="http://schemas.openxmlformats.org/officeDocument/2006/relationships" ref="H711" r:id="rId707"/>
    <hyperlink xmlns:r="http://schemas.openxmlformats.org/officeDocument/2006/relationships" ref="H712" r:id="rId708"/>
    <hyperlink xmlns:r="http://schemas.openxmlformats.org/officeDocument/2006/relationships" ref="H713" r:id="rId709"/>
    <hyperlink xmlns:r="http://schemas.openxmlformats.org/officeDocument/2006/relationships" ref="H714" r:id="rId710"/>
    <hyperlink xmlns:r="http://schemas.openxmlformats.org/officeDocument/2006/relationships" ref="H715" r:id="rId711"/>
    <hyperlink xmlns:r="http://schemas.openxmlformats.org/officeDocument/2006/relationships" ref="H716" r:id="rId712"/>
    <hyperlink xmlns:r="http://schemas.openxmlformats.org/officeDocument/2006/relationships" ref="H717" r:id="rId713"/>
    <hyperlink xmlns:r="http://schemas.openxmlformats.org/officeDocument/2006/relationships" ref="H718" r:id="rId714"/>
    <hyperlink xmlns:r="http://schemas.openxmlformats.org/officeDocument/2006/relationships" ref="H719" r:id="rId715"/>
    <hyperlink xmlns:r="http://schemas.openxmlformats.org/officeDocument/2006/relationships" ref="H720" r:id="rId716"/>
    <hyperlink xmlns:r="http://schemas.openxmlformats.org/officeDocument/2006/relationships" ref="H721" r:id="rId717"/>
    <hyperlink xmlns:r="http://schemas.openxmlformats.org/officeDocument/2006/relationships" ref="H722" r:id="rId718"/>
    <hyperlink xmlns:r="http://schemas.openxmlformats.org/officeDocument/2006/relationships" ref="H723" r:id="rId719"/>
    <hyperlink xmlns:r="http://schemas.openxmlformats.org/officeDocument/2006/relationships" ref="H724" r:id="rId720"/>
    <hyperlink xmlns:r="http://schemas.openxmlformats.org/officeDocument/2006/relationships" ref="H725" r:id="rId721"/>
    <hyperlink xmlns:r="http://schemas.openxmlformats.org/officeDocument/2006/relationships" ref="H726" r:id="rId722"/>
    <hyperlink xmlns:r="http://schemas.openxmlformats.org/officeDocument/2006/relationships" ref="H727" r:id="rId723"/>
    <hyperlink xmlns:r="http://schemas.openxmlformats.org/officeDocument/2006/relationships" ref="H728" r:id="rId724"/>
    <hyperlink xmlns:r="http://schemas.openxmlformats.org/officeDocument/2006/relationships" ref="H729" r:id="rId725"/>
    <hyperlink xmlns:r="http://schemas.openxmlformats.org/officeDocument/2006/relationships" ref="H730" r:id="rId726"/>
    <hyperlink xmlns:r="http://schemas.openxmlformats.org/officeDocument/2006/relationships" ref="H731" r:id="rId727"/>
    <hyperlink xmlns:r="http://schemas.openxmlformats.org/officeDocument/2006/relationships" ref="H732" r:id="rId728"/>
    <hyperlink xmlns:r="http://schemas.openxmlformats.org/officeDocument/2006/relationships" ref="H733" r:id="rId729"/>
    <hyperlink xmlns:r="http://schemas.openxmlformats.org/officeDocument/2006/relationships" ref="H734" r:id="rId730"/>
    <hyperlink xmlns:r="http://schemas.openxmlformats.org/officeDocument/2006/relationships" ref="H735" r:id="rId731"/>
    <hyperlink xmlns:r="http://schemas.openxmlformats.org/officeDocument/2006/relationships" ref="H736" r:id="rId732"/>
    <hyperlink xmlns:r="http://schemas.openxmlformats.org/officeDocument/2006/relationships" ref="H737" r:id="rId733"/>
    <hyperlink xmlns:r="http://schemas.openxmlformats.org/officeDocument/2006/relationships" ref="H738" r:id="rId734"/>
    <hyperlink xmlns:r="http://schemas.openxmlformats.org/officeDocument/2006/relationships" ref="H739" r:id="rId735"/>
    <hyperlink xmlns:r="http://schemas.openxmlformats.org/officeDocument/2006/relationships" ref="H740" r:id="rId736"/>
    <hyperlink xmlns:r="http://schemas.openxmlformats.org/officeDocument/2006/relationships" ref="H741" r:id="rId737"/>
    <hyperlink xmlns:r="http://schemas.openxmlformats.org/officeDocument/2006/relationships" ref="H742" r:id="rId738"/>
    <hyperlink xmlns:r="http://schemas.openxmlformats.org/officeDocument/2006/relationships" ref="H743" r:id="rId739"/>
    <hyperlink xmlns:r="http://schemas.openxmlformats.org/officeDocument/2006/relationships" ref="H744" r:id="rId740"/>
    <hyperlink xmlns:r="http://schemas.openxmlformats.org/officeDocument/2006/relationships" ref="H745" r:id="rId741"/>
    <hyperlink xmlns:r="http://schemas.openxmlformats.org/officeDocument/2006/relationships" ref="H746" r:id="rId742"/>
    <hyperlink xmlns:r="http://schemas.openxmlformats.org/officeDocument/2006/relationships" ref="H747" r:id="rId743"/>
    <hyperlink xmlns:r="http://schemas.openxmlformats.org/officeDocument/2006/relationships" ref="H748" r:id="rId744"/>
    <hyperlink xmlns:r="http://schemas.openxmlformats.org/officeDocument/2006/relationships" ref="H749" r:id="rId745"/>
    <hyperlink xmlns:r="http://schemas.openxmlformats.org/officeDocument/2006/relationships" ref="H750" r:id="rId746"/>
    <hyperlink xmlns:r="http://schemas.openxmlformats.org/officeDocument/2006/relationships" ref="H751" r:id="rId747"/>
    <hyperlink xmlns:r="http://schemas.openxmlformats.org/officeDocument/2006/relationships" ref="H752" r:id="rId748"/>
    <hyperlink xmlns:r="http://schemas.openxmlformats.org/officeDocument/2006/relationships" ref="H753" r:id="rId749"/>
    <hyperlink xmlns:r="http://schemas.openxmlformats.org/officeDocument/2006/relationships" ref="H754" r:id="rId750"/>
    <hyperlink xmlns:r="http://schemas.openxmlformats.org/officeDocument/2006/relationships" ref="H755" r:id="rId751"/>
    <hyperlink xmlns:r="http://schemas.openxmlformats.org/officeDocument/2006/relationships" ref="H756" r:id="rId752"/>
    <hyperlink xmlns:r="http://schemas.openxmlformats.org/officeDocument/2006/relationships" ref="H757" r:id="rId753"/>
    <hyperlink xmlns:r="http://schemas.openxmlformats.org/officeDocument/2006/relationships" ref="H758" r:id="rId754"/>
    <hyperlink xmlns:r="http://schemas.openxmlformats.org/officeDocument/2006/relationships" ref="H759" r:id="rId755"/>
    <hyperlink xmlns:r="http://schemas.openxmlformats.org/officeDocument/2006/relationships" ref="H760" r:id="rId756"/>
    <hyperlink xmlns:r="http://schemas.openxmlformats.org/officeDocument/2006/relationships" ref="H761" r:id="rId757"/>
    <hyperlink xmlns:r="http://schemas.openxmlformats.org/officeDocument/2006/relationships" ref="H762" r:id="rId758"/>
    <hyperlink xmlns:r="http://schemas.openxmlformats.org/officeDocument/2006/relationships" ref="H763" r:id="rId759"/>
    <hyperlink xmlns:r="http://schemas.openxmlformats.org/officeDocument/2006/relationships" ref="H764" r:id="rId760"/>
    <hyperlink xmlns:r="http://schemas.openxmlformats.org/officeDocument/2006/relationships" ref="H765" r:id="rId761"/>
    <hyperlink xmlns:r="http://schemas.openxmlformats.org/officeDocument/2006/relationships" ref="H766" r:id="rId762"/>
    <hyperlink xmlns:r="http://schemas.openxmlformats.org/officeDocument/2006/relationships" ref="H767" r:id="rId763"/>
    <hyperlink xmlns:r="http://schemas.openxmlformats.org/officeDocument/2006/relationships" ref="H768" r:id="rId764"/>
    <hyperlink xmlns:r="http://schemas.openxmlformats.org/officeDocument/2006/relationships" ref="H769" r:id="rId765"/>
    <hyperlink xmlns:r="http://schemas.openxmlformats.org/officeDocument/2006/relationships" ref="H770" r:id="rId766"/>
    <hyperlink xmlns:r="http://schemas.openxmlformats.org/officeDocument/2006/relationships" ref="H771" r:id="rId767"/>
    <hyperlink xmlns:r="http://schemas.openxmlformats.org/officeDocument/2006/relationships" ref="H772" r:id="rId768"/>
    <hyperlink xmlns:r="http://schemas.openxmlformats.org/officeDocument/2006/relationships" ref="H773" r:id="rId769"/>
    <hyperlink xmlns:r="http://schemas.openxmlformats.org/officeDocument/2006/relationships" ref="H774" r:id="rId770"/>
    <hyperlink xmlns:r="http://schemas.openxmlformats.org/officeDocument/2006/relationships" ref="H775" r:id="rId771"/>
    <hyperlink xmlns:r="http://schemas.openxmlformats.org/officeDocument/2006/relationships" ref="H776" r:id="rId772"/>
    <hyperlink xmlns:r="http://schemas.openxmlformats.org/officeDocument/2006/relationships" ref="H777" r:id="rId773"/>
    <hyperlink xmlns:r="http://schemas.openxmlformats.org/officeDocument/2006/relationships" ref="H778" r:id="rId774"/>
    <hyperlink xmlns:r="http://schemas.openxmlformats.org/officeDocument/2006/relationships" ref="H779" r:id="rId775"/>
    <hyperlink xmlns:r="http://schemas.openxmlformats.org/officeDocument/2006/relationships" ref="H780" r:id="rId776"/>
    <hyperlink xmlns:r="http://schemas.openxmlformats.org/officeDocument/2006/relationships" ref="H781" r:id="rId777"/>
    <hyperlink xmlns:r="http://schemas.openxmlformats.org/officeDocument/2006/relationships" ref="H782" r:id="rId778"/>
    <hyperlink xmlns:r="http://schemas.openxmlformats.org/officeDocument/2006/relationships" ref="H783" r:id="rId779"/>
    <hyperlink xmlns:r="http://schemas.openxmlformats.org/officeDocument/2006/relationships" ref="H784" r:id="rId780"/>
    <hyperlink xmlns:r="http://schemas.openxmlformats.org/officeDocument/2006/relationships" ref="H785" r:id="rId781"/>
    <hyperlink xmlns:r="http://schemas.openxmlformats.org/officeDocument/2006/relationships" ref="H786" r:id="rId782"/>
    <hyperlink xmlns:r="http://schemas.openxmlformats.org/officeDocument/2006/relationships" ref="H787" r:id="rId783"/>
    <hyperlink xmlns:r="http://schemas.openxmlformats.org/officeDocument/2006/relationships" ref="H788" r:id="rId784"/>
    <hyperlink xmlns:r="http://schemas.openxmlformats.org/officeDocument/2006/relationships" ref="H789" r:id="rId785"/>
    <hyperlink xmlns:r="http://schemas.openxmlformats.org/officeDocument/2006/relationships" ref="H790" r:id="rId786"/>
    <hyperlink xmlns:r="http://schemas.openxmlformats.org/officeDocument/2006/relationships" ref="H791" r:id="rId787"/>
    <hyperlink xmlns:r="http://schemas.openxmlformats.org/officeDocument/2006/relationships" ref="H792" r:id="rId788"/>
    <hyperlink xmlns:r="http://schemas.openxmlformats.org/officeDocument/2006/relationships" ref="H793" r:id="rId789"/>
    <hyperlink xmlns:r="http://schemas.openxmlformats.org/officeDocument/2006/relationships" ref="H794" r:id="rId790"/>
    <hyperlink xmlns:r="http://schemas.openxmlformats.org/officeDocument/2006/relationships" ref="H795" r:id="rId791"/>
    <hyperlink xmlns:r="http://schemas.openxmlformats.org/officeDocument/2006/relationships" ref="H796" r:id="rId792"/>
    <hyperlink xmlns:r="http://schemas.openxmlformats.org/officeDocument/2006/relationships" ref="H797" r:id="rId793"/>
    <hyperlink xmlns:r="http://schemas.openxmlformats.org/officeDocument/2006/relationships" ref="H798" r:id="rId794"/>
    <hyperlink xmlns:r="http://schemas.openxmlformats.org/officeDocument/2006/relationships" ref="H799" r:id="rId795"/>
    <hyperlink xmlns:r="http://schemas.openxmlformats.org/officeDocument/2006/relationships" ref="H800" r:id="rId796"/>
    <hyperlink xmlns:r="http://schemas.openxmlformats.org/officeDocument/2006/relationships" ref="H801" r:id="rId797"/>
    <hyperlink xmlns:r="http://schemas.openxmlformats.org/officeDocument/2006/relationships" ref="H802" r:id="rId798"/>
    <hyperlink xmlns:r="http://schemas.openxmlformats.org/officeDocument/2006/relationships" ref="H803" r:id="rId799"/>
    <hyperlink xmlns:r="http://schemas.openxmlformats.org/officeDocument/2006/relationships" ref="H804" r:id="rId800"/>
    <hyperlink xmlns:r="http://schemas.openxmlformats.org/officeDocument/2006/relationships" ref="H805" r:id="rId801"/>
    <hyperlink xmlns:r="http://schemas.openxmlformats.org/officeDocument/2006/relationships" ref="H806" r:id="rId802"/>
    <hyperlink xmlns:r="http://schemas.openxmlformats.org/officeDocument/2006/relationships" ref="H807" r:id="rId803"/>
    <hyperlink xmlns:r="http://schemas.openxmlformats.org/officeDocument/2006/relationships" ref="H808" r:id="rId804"/>
    <hyperlink xmlns:r="http://schemas.openxmlformats.org/officeDocument/2006/relationships" ref="H809" r:id="rId805"/>
    <hyperlink xmlns:r="http://schemas.openxmlformats.org/officeDocument/2006/relationships" ref="H810" r:id="rId806"/>
    <hyperlink xmlns:r="http://schemas.openxmlformats.org/officeDocument/2006/relationships" ref="H811" r:id="rId807"/>
    <hyperlink xmlns:r="http://schemas.openxmlformats.org/officeDocument/2006/relationships" ref="H812" r:id="rId808"/>
    <hyperlink xmlns:r="http://schemas.openxmlformats.org/officeDocument/2006/relationships" ref="H813" r:id="rId809"/>
    <hyperlink xmlns:r="http://schemas.openxmlformats.org/officeDocument/2006/relationships" ref="H814" r:id="rId810"/>
    <hyperlink xmlns:r="http://schemas.openxmlformats.org/officeDocument/2006/relationships" ref="H815" r:id="rId811"/>
    <hyperlink xmlns:r="http://schemas.openxmlformats.org/officeDocument/2006/relationships" ref="H816" r:id="rId812"/>
    <hyperlink xmlns:r="http://schemas.openxmlformats.org/officeDocument/2006/relationships" ref="H817" r:id="rId813"/>
    <hyperlink xmlns:r="http://schemas.openxmlformats.org/officeDocument/2006/relationships" ref="H818" r:id="rId814"/>
    <hyperlink xmlns:r="http://schemas.openxmlformats.org/officeDocument/2006/relationships" ref="H819" r:id="rId815"/>
    <hyperlink xmlns:r="http://schemas.openxmlformats.org/officeDocument/2006/relationships" ref="H820" r:id="rId816"/>
    <hyperlink xmlns:r="http://schemas.openxmlformats.org/officeDocument/2006/relationships" ref="H821" r:id="rId817"/>
    <hyperlink xmlns:r="http://schemas.openxmlformats.org/officeDocument/2006/relationships" ref="H822" r:id="rId818"/>
    <hyperlink xmlns:r="http://schemas.openxmlformats.org/officeDocument/2006/relationships" ref="H823" r:id="rId819"/>
    <hyperlink xmlns:r="http://schemas.openxmlformats.org/officeDocument/2006/relationships" ref="H824" r:id="rId820"/>
    <hyperlink xmlns:r="http://schemas.openxmlformats.org/officeDocument/2006/relationships" ref="H825" r:id="rId821"/>
    <hyperlink xmlns:r="http://schemas.openxmlformats.org/officeDocument/2006/relationships" ref="H826" r:id="rId822"/>
    <hyperlink xmlns:r="http://schemas.openxmlformats.org/officeDocument/2006/relationships" ref="H827" r:id="rId823"/>
    <hyperlink xmlns:r="http://schemas.openxmlformats.org/officeDocument/2006/relationships" ref="H828" r:id="rId824"/>
    <hyperlink xmlns:r="http://schemas.openxmlformats.org/officeDocument/2006/relationships" ref="H829" r:id="rId825"/>
    <hyperlink xmlns:r="http://schemas.openxmlformats.org/officeDocument/2006/relationships" ref="H830" r:id="rId826"/>
    <hyperlink xmlns:r="http://schemas.openxmlformats.org/officeDocument/2006/relationships" ref="H831" r:id="rId827"/>
    <hyperlink xmlns:r="http://schemas.openxmlformats.org/officeDocument/2006/relationships" ref="H832" r:id="rId828"/>
    <hyperlink xmlns:r="http://schemas.openxmlformats.org/officeDocument/2006/relationships" ref="H833" r:id="rId829"/>
    <hyperlink xmlns:r="http://schemas.openxmlformats.org/officeDocument/2006/relationships" ref="H834" r:id="rId830"/>
    <hyperlink xmlns:r="http://schemas.openxmlformats.org/officeDocument/2006/relationships" ref="H835" r:id="rId831"/>
    <hyperlink xmlns:r="http://schemas.openxmlformats.org/officeDocument/2006/relationships" ref="H836" r:id="rId832"/>
    <hyperlink xmlns:r="http://schemas.openxmlformats.org/officeDocument/2006/relationships" ref="H837" r:id="rId833"/>
    <hyperlink xmlns:r="http://schemas.openxmlformats.org/officeDocument/2006/relationships" ref="H838" r:id="rId834"/>
    <hyperlink xmlns:r="http://schemas.openxmlformats.org/officeDocument/2006/relationships" ref="H839" r:id="rId835"/>
    <hyperlink xmlns:r="http://schemas.openxmlformats.org/officeDocument/2006/relationships" ref="H840" r:id="rId836"/>
    <hyperlink xmlns:r="http://schemas.openxmlformats.org/officeDocument/2006/relationships" ref="H841" r:id="rId837"/>
    <hyperlink xmlns:r="http://schemas.openxmlformats.org/officeDocument/2006/relationships" ref="H842" r:id="rId838"/>
    <hyperlink xmlns:r="http://schemas.openxmlformats.org/officeDocument/2006/relationships" ref="H843" r:id="rId839"/>
    <hyperlink xmlns:r="http://schemas.openxmlformats.org/officeDocument/2006/relationships" ref="H844" r:id="rId840"/>
    <hyperlink xmlns:r="http://schemas.openxmlformats.org/officeDocument/2006/relationships" ref="H845" r:id="rId841"/>
    <hyperlink xmlns:r="http://schemas.openxmlformats.org/officeDocument/2006/relationships" ref="H846" r:id="rId842"/>
    <hyperlink xmlns:r="http://schemas.openxmlformats.org/officeDocument/2006/relationships" ref="H847" r:id="rId843"/>
    <hyperlink xmlns:r="http://schemas.openxmlformats.org/officeDocument/2006/relationships" ref="H848" r:id="rId844"/>
    <hyperlink xmlns:r="http://schemas.openxmlformats.org/officeDocument/2006/relationships" ref="H849" r:id="rId845"/>
    <hyperlink xmlns:r="http://schemas.openxmlformats.org/officeDocument/2006/relationships" ref="H850" r:id="rId846"/>
    <hyperlink xmlns:r="http://schemas.openxmlformats.org/officeDocument/2006/relationships" ref="H851" r:id="rId847"/>
    <hyperlink xmlns:r="http://schemas.openxmlformats.org/officeDocument/2006/relationships" ref="H852" r:id="rId848"/>
    <hyperlink xmlns:r="http://schemas.openxmlformats.org/officeDocument/2006/relationships" ref="H853" r:id="rId849"/>
    <hyperlink xmlns:r="http://schemas.openxmlformats.org/officeDocument/2006/relationships" ref="H854" r:id="rId850"/>
    <hyperlink xmlns:r="http://schemas.openxmlformats.org/officeDocument/2006/relationships" ref="H855" r:id="rId851"/>
    <hyperlink xmlns:r="http://schemas.openxmlformats.org/officeDocument/2006/relationships" ref="H856" r:id="rId852"/>
    <hyperlink xmlns:r="http://schemas.openxmlformats.org/officeDocument/2006/relationships" ref="H857" r:id="rId853"/>
    <hyperlink xmlns:r="http://schemas.openxmlformats.org/officeDocument/2006/relationships" ref="H858" r:id="rId854"/>
    <hyperlink xmlns:r="http://schemas.openxmlformats.org/officeDocument/2006/relationships" ref="H859" r:id="rId855"/>
    <hyperlink xmlns:r="http://schemas.openxmlformats.org/officeDocument/2006/relationships" ref="H860" r:id="rId856"/>
    <hyperlink xmlns:r="http://schemas.openxmlformats.org/officeDocument/2006/relationships" ref="H861" r:id="rId857"/>
    <hyperlink xmlns:r="http://schemas.openxmlformats.org/officeDocument/2006/relationships" ref="H862" r:id="rId858"/>
    <hyperlink xmlns:r="http://schemas.openxmlformats.org/officeDocument/2006/relationships" ref="H863" r:id="rId859"/>
    <hyperlink xmlns:r="http://schemas.openxmlformats.org/officeDocument/2006/relationships" ref="H864" r:id="rId860"/>
    <hyperlink xmlns:r="http://schemas.openxmlformats.org/officeDocument/2006/relationships" ref="H865" r:id="rId861"/>
    <hyperlink xmlns:r="http://schemas.openxmlformats.org/officeDocument/2006/relationships" ref="H866" r:id="rId862"/>
    <hyperlink xmlns:r="http://schemas.openxmlformats.org/officeDocument/2006/relationships" ref="H867" r:id="rId863"/>
    <hyperlink xmlns:r="http://schemas.openxmlformats.org/officeDocument/2006/relationships" ref="H868" r:id="rId864"/>
    <hyperlink xmlns:r="http://schemas.openxmlformats.org/officeDocument/2006/relationships" ref="H869" r:id="rId865"/>
    <hyperlink xmlns:r="http://schemas.openxmlformats.org/officeDocument/2006/relationships" ref="H870" r:id="rId866"/>
    <hyperlink xmlns:r="http://schemas.openxmlformats.org/officeDocument/2006/relationships" ref="H871" r:id="rId867"/>
    <hyperlink xmlns:r="http://schemas.openxmlformats.org/officeDocument/2006/relationships" ref="H872" r:id="rId868"/>
    <hyperlink xmlns:r="http://schemas.openxmlformats.org/officeDocument/2006/relationships" ref="H873" r:id="rId869"/>
    <hyperlink xmlns:r="http://schemas.openxmlformats.org/officeDocument/2006/relationships" ref="H874" r:id="rId870"/>
    <hyperlink xmlns:r="http://schemas.openxmlformats.org/officeDocument/2006/relationships" ref="H875" r:id="rId871"/>
    <hyperlink xmlns:r="http://schemas.openxmlformats.org/officeDocument/2006/relationships" ref="H876" r:id="rId872"/>
    <hyperlink xmlns:r="http://schemas.openxmlformats.org/officeDocument/2006/relationships" ref="H877" r:id="rId873"/>
    <hyperlink xmlns:r="http://schemas.openxmlformats.org/officeDocument/2006/relationships" ref="H878" r:id="rId874"/>
    <hyperlink xmlns:r="http://schemas.openxmlformats.org/officeDocument/2006/relationships" ref="H879" r:id="rId875"/>
    <hyperlink xmlns:r="http://schemas.openxmlformats.org/officeDocument/2006/relationships" ref="H880" r:id="rId876"/>
    <hyperlink xmlns:r="http://schemas.openxmlformats.org/officeDocument/2006/relationships" ref="H881" r:id="rId877"/>
    <hyperlink xmlns:r="http://schemas.openxmlformats.org/officeDocument/2006/relationships" ref="H882" r:id="rId878"/>
    <hyperlink xmlns:r="http://schemas.openxmlformats.org/officeDocument/2006/relationships" ref="H883" r:id="rId879"/>
    <hyperlink xmlns:r="http://schemas.openxmlformats.org/officeDocument/2006/relationships" ref="H884" r:id="rId880"/>
    <hyperlink xmlns:r="http://schemas.openxmlformats.org/officeDocument/2006/relationships" ref="H885" r:id="rId881"/>
    <hyperlink xmlns:r="http://schemas.openxmlformats.org/officeDocument/2006/relationships" ref="H886" r:id="rId882"/>
    <hyperlink xmlns:r="http://schemas.openxmlformats.org/officeDocument/2006/relationships" ref="H887" r:id="rId883"/>
    <hyperlink xmlns:r="http://schemas.openxmlformats.org/officeDocument/2006/relationships" ref="H888" r:id="rId884"/>
    <hyperlink xmlns:r="http://schemas.openxmlformats.org/officeDocument/2006/relationships" ref="H889" r:id="rId885"/>
    <hyperlink xmlns:r="http://schemas.openxmlformats.org/officeDocument/2006/relationships" ref="H890" r:id="rId886"/>
    <hyperlink xmlns:r="http://schemas.openxmlformats.org/officeDocument/2006/relationships" ref="H891" r:id="rId887"/>
    <hyperlink xmlns:r="http://schemas.openxmlformats.org/officeDocument/2006/relationships" ref="H892" r:id="rId888"/>
    <hyperlink xmlns:r="http://schemas.openxmlformats.org/officeDocument/2006/relationships" ref="H893" r:id="rId889"/>
    <hyperlink xmlns:r="http://schemas.openxmlformats.org/officeDocument/2006/relationships" ref="H894" r:id="rId890"/>
    <hyperlink xmlns:r="http://schemas.openxmlformats.org/officeDocument/2006/relationships" ref="H895" r:id="rId891"/>
    <hyperlink xmlns:r="http://schemas.openxmlformats.org/officeDocument/2006/relationships" ref="H896" r:id="rId892"/>
    <hyperlink xmlns:r="http://schemas.openxmlformats.org/officeDocument/2006/relationships" ref="H897" r:id="rId893"/>
    <hyperlink xmlns:r="http://schemas.openxmlformats.org/officeDocument/2006/relationships" ref="H898" r:id="rId894"/>
    <hyperlink xmlns:r="http://schemas.openxmlformats.org/officeDocument/2006/relationships" ref="H899" r:id="rId895"/>
    <hyperlink xmlns:r="http://schemas.openxmlformats.org/officeDocument/2006/relationships" ref="H900" r:id="rId896"/>
    <hyperlink xmlns:r="http://schemas.openxmlformats.org/officeDocument/2006/relationships" ref="H901" r:id="rId897"/>
    <hyperlink xmlns:r="http://schemas.openxmlformats.org/officeDocument/2006/relationships" ref="H902" r:id="rId898"/>
    <hyperlink xmlns:r="http://schemas.openxmlformats.org/officeDocument/2006/relationships" ref="H903" r:id="rId899"/>
    <hyperlink xmlns:r="http://schemas.openxmlformats.org/officeDocument/2006/relationships" ref="H904" r:id="rId900"/>
    <hyperlink xmlns:r="http://schemas.openxmlformats.org/officeDocument/2006/relationships" ref="H905" r:id="rId901"/>
    <hyperlink xmlns:r="http://schemas.openxmlformats.org/officeDocument/2006/relationships" ref="H906" r:id="rId902"/>
    <hyperlink xmlns:r="http://schemas.openxmlformats.org/officeDocument/2006/relationships" ref="H907" r:id="rId903"/>
    <hyperlink xmlns:r="http://schemas.openxmlformats.org/officeDocument/2006/relationships" ref="H908" r:id="rId904"/>
    <hyperlink xmlns:r="http://schemas.openxmlformats.org/officeDocument/2006/relationships" ref="H909" r:id="rId905"/>
    <hyperlink xmlns:r="http://schemas.openxmlformats.org/officeDocument/2006/relationships" ref="H910" r:id="rId906"/>
    <hyperlink xmlns:r="http://schemas.openxmlformats.org/officeDocument/2006/relationships" ref="H911" r:id="rId907"/>
    <hyperlink xmlns:r="http://schemas.openxmlformats.org/officeDocument/2006/relationships" ref="H912" r:id="rId908"/>
    <hyperlink xmlns:r="http://schemas.openxmlformats.org/officeDocument/2006/relationships" ref="H913" r:id="rId909"/>
    <hyperlink xmlns:r="http://schemas.openxmlformats.org/officeDocument/2006/relationships" ref="H914" r:id="rId910"/>
    <hyperlink xmlns:r="http://schemas.openxmlformats.org/officeDocument/2006/relationships" ref="H915" r:id="rId911"/>
    <hyperlink xmlns:r="http://schemas.openxmlformats.org/officeDocument/2006/relationships" ref="H916" r:id="rId912"/>
    <hyperlink xmlns:r="http://schemas.openxmlformats.org/officeDocument/2006/relationships" ref="H917" r:id="rId913"/>
    <hyperlink xmlns:r="http://schemas.openxmlformats.org/officeDocument/2006/relationships" ref="H918" r:id="rId914"/>
    <hyperlink xmlns:r="http://schemas.openxmlformats.org/officeDocument/2006/relationships" ref="H919" r:id="rId915"/>
    <hyperlink xmlns:r="http://schemas.openxmlformats.org/officeDocument/2006/relationships" ref="H920" r:id="rId916"/>
    <hyperlink xmlns:r="http://schemas.openxmlformats.org/officeDocument/2006/relationships" ref="H921" r:id="rId917"/>
    <hyperlink xmlns:r="http://schemas.openxmlformats.org/officeDocument/2006/relationships" ref="H922" r:id="rId918"/>
    <hyperlink xmlns:r="http://schemas.openxmlformats.org/officeDocument/2006/relationships" ref="H923" r:id="rId919"/>
    <hyperlink xmlns:r="http://schemas.openxmlformats.org/officeDocument/2006/relationships" ref="H924" r:id="rId920"/>
    <hyperlink xmlns:r="http://schemas.openxmlformats.org/officeDocument/2006/relationships" ref="H925" r:id="rId921"/>
    <hyperlink xmlns:r="http://schemas.openxmlformats.org/officeDocument/2006/relationships" ref="H926" r:id="rId922"/>
    <hyperlink xmlns:r="http://schemas.openxmlformats.org/officeDocument/2006/relationships" ref="H927" r:id="rId923"/>
    <hyperlink xmlns:r="http://schemas.openxmlformats.org/officeDocument/2006/relationships" ref="H928" r:id="rId924"/>
    <hyperlink xmlns:r="http://schemas.openxmlformats.org/officeDocument/2006/relationships" ref="H929" r:id="rId925"/>
    <hyperlink xmlns:r="http://schemas.openxmlformats.org/officeDocument/2006/relationships" ref="H930" r:id="rId926"/>
    <hyperlink xmlns:r="http://schemas.openxmlformats.org/officeDocument/2006/relationships" ref="H931" r:id="rId927"/>
    <hyperlink xmlns:r="http://schemas.openxmlformats.org/officeDocument/2006/relationships" ref="H932" r:id="rId928"/>
    <hyperlink xmlns:r="http://schemas.openxmlformats.org/officeDocument/2006/relationships" ref="H933" r:id="rId929"/>
    <hyperlink xmlns:r="http://schemas.openxmlformats.org/officeDocument/2006/relationships" ref="H934" r:id="rId930"/>
    <hyperlink xmlns:r="http://schemas.openxmlformats.org/officeDocument/2006/relationships" ref="H935" r:id="rId931"/>
    <hyperlink xmlns:r="http://schemas.openxmlformats.org/officeDocument/2006/relationships" ref="H936" r:id="rId932"/>
    <hyperlink xmlns:r="http://schemas.openxmlformats.org/officeDocument/2006/relationships" ref="H937" r:id="rId933"/>
    <hyperlink xmlns:r="http://schemas.openxmlformats.org/officeDocument/2006/relationships" ref="H938" r:id="rId934"/>
    <hyperlink xmlns:r="http://schemas.openxmlformats.org/officeDocument/2006/relationships" ref="H939" r:id="rId935"/>
    <hyperlink xmlns:r="http://schemas.openxmlformats.org/officeDocument/2006/relationships" ref="H940" r:id="rId936"/>
    <hyperlink xmlns:r="http://schemas.openxmlformats.org/officeDocument/2006/relationships" ref="H941" r:id="rId937"/>
    <hyperlink xmlns:r="http://schemas.openxmlformats.org/officeDocument/2006/relationships" ref="H942" r:id="rId938"/>
    <hyperlink xmlns:r="http://schemas.openxmlformats.org/officeDocument/2006/relationships" ref="H943" r:id="rId939"/>
    <hyperlink xmlns:r="http://schemas.openxmlformats.org/officeDocument/2006/relationships" ref="H944" r:id="rId940"/>
    <hyperlink xmlns:r="http://schemas.openxmlformats.org/officeDocument/2006/relationships" ref="H945" r:id="rId941"/>
    <hyperlink xmlns:r="http://schemas.openxmlformats.org/officeDocument/2006/relationships" ref="H946" r:id="rId942"/>
    <hyperlink xmlns:r="http://schemas.openxmlformats.org/officeDocument/2006/relationships" ref="H947" r:id="rId943"/>
    <hyperlink xmlns:r="http://schemas.openxmlformats.org/officeDocument/2006/relationships" ref="H948" r:id="rId944"/>
    <hyperlink xmlns:r="http://schemas.openxmlformats.org/officeDocument/2006/relationships" ref="H949" r:id="rId945"/>
    <hyperlink xmlns:r="http://schemas.openxmlformats.org/officeDocument/2006/relationships" ref="H950" r:id="rId946"/>
    <hyperlink xmlns:r="http://schemas.openxmlformats.org/officeDocument/2006/relationships" ref="H951" r:id="rId947"/>
    <hyperlink xmlns:r="http://schemas.openxmlformats.org/officeDocument/2006/relationships" ref="H952" r:id="rId948"/>
    <hyperlink xmlns:r="http://schemas.openxmlformats.org/officeDocument/2006/relationships" ref="H953" r:id="rId949"/>
    <hyperlink xmlns:r="http://schemas.openxmlformats.org/officeDocument/2006/relationships" ref="H954" r:id="rId950"/>
    <hyperlink xmlns:r="http://schemas.openxmlformats.org/officeDocument/2006/relationships" ref="H955" r:id="rId951"/>
    <hyperlink xmlns:r="http://schemas.openxmlformats.org/officeDocument/2006/relationships" ref="H956" r:id="rId952"/>
    <hyperlink xmlns:r="http://schemas.openxmlformats.org/officeDocument/2006/relationships" ref="H957" r:id="rId953"/>
    <hyperlink xmlns:r="http://schemas.openxmlformats.org/officeDocument/2006/relationships" ref="H958" r:id="rId954"/>
    <hyperlink xmlns:r="http://schemas.openxmlformats.org/officeDocument/2006/relationships" ref="H959" r:id="rId955"/>
    <hyperlink xmlns:r="http://schemas.openxmlformats.org/officeDocument/2006/relationships" ref="H960" r:id="rId956"/>
    <hyperlink xmlns:r="http://schemas.openxmlformats.org/officeDocument/2006/relationships" ref="H961" r:id="rId957"/>
    <hyperlink xmlns:r="http://schemas.openxmlformats.org/officeDocument/2006/relationships" ref="H962" r:id="rId958"/>
    <hyperlink xmlns:r="http://schemas.openxmlformats.org/officeDocument/2006/relationships" ref="H963" r:id="rId959"/>
    <hyperlink xmlns:r="http://schemas.openxmlformats.org/officeDocument/2006/relationships" ref="H964" r:id="rId960"/>
    <hyperlink xmlns:r="http://schemas.openxmlformats.org/officeDocument/2006/relationships" ref="H965" r:id="rId961"/>
    <hyperlink xmlns:r="http://schemas.openxmlformats.org/officeDocument/2006/relationships" ref="H966" r:id="rId962"/>
    <hyperlink xmlns:r="http://schemas.openxmlformats.org/officeDocument/2006/relationships" ref="H967" r:id="rId963"/>
    <hyperlink xmlns:r="http://schemas.openxmlformats.org/officeDocument/2006/relationships" ref="H968" r:id="rId964"/>
    <hyperlink xmlns:r="http://schemas.openxmlformats.org/officeDocument/2006/relationships" ref="H969" r:id="rId965"/>
    <hyperlink xmlns:r="http://schemas.openxmlformats.org/officeDocument/2006/relationships" ref="H970" r:id="rId966"/>
    <hyperlink xmlns:r="http://schemas.openxmlformats.org/officeDocument/2006/relationships" ref="H971" r:id="rId967"/>
    <hyperlink xmlns:r="http://schemas.openxmlformats.org/officeDocument/2006/relationships" ref="H972" r:id="rId968"/>
    <hyperlink xmlns:r="http://schemas.openxmlformats.org/officeDocument/2006/relationships" ref="H973" r:id="rId969"/>
    <hyperlink xmlns:r="http://schemas.openxmlformats.org/officeDocument/2006/relationships" ref="H974" r:id="rId970"/>
    <hyperlink xmlns:r="http://schemas.openxmlformats.org/officeDocument/2006/relationships" ref="H975" r:id="rId971"/>
    <hyperlink xmlns:r="http://schemas.openxmlformats.org/officeDocument/2006/relationships" ref="H976" r:id="rId972"/>
    <hyperlink xmlns:r="http://schemas.openxmlformats.org/officeDocument/2006/relationships" ref="H977" r:id="rId973"/>
    <hyperlink xmlns:r="http://schemas.openxmlformats.org/officeDocument/2006/relationships" ref="H978" r:id="rId974"/>
    <hyperlink xmlns:r="http://schemas.openxmlformats.org/officeDocument/2006/relationships" ref="H979" r:id="rId975"/>
    <hyperlink xmlns:r="http://schemas.openxmlformats.org/officeDocument/2006/relationships" ref="H980" r:id="rId976"/>
    <hyperlink xmlns:r="http://schemas.openxmlformats.org/officeDocument/2006/relationships" ref="H981" r:id="rId977"/>
    <hyperlink xmlns:r="http://schemas.openxmlformats.org/officeDocument/2006/relationships" ref="H982" r:id="rId978"/>
    <hyperlink xmlns:r="http://schemas.openxmlformats.org/officeDocument/2006/relationships" ref="H983" r:id="rId979"/>
    <hyperlink xmlns:r="http://schemas.openxmlformats.org/officeDocument/2006/relationships" ref="H984" r:id="rId980"/>
    <hyperlink xmlns:r="http://schemas.openxmlformats.org/officeDocument/2006/relationships" ref="H985" r:id="rId981"/>
    <hyperlink xmlns:r="http://schemas.openxmlformats.org/officeDocument/2006/relationships" ref="H986" r:id="rId982"/>
    <hyperlink xmlns:r="http://schemas.openxmlformats.org/officeDocument/2006/relationships" ref="H987" r:id="rId983"/>
    <hyperlink xmlns:r="http://schemas.openxmlformats.org/officeDocument/2006/relationships" ref="H988" r:id="rId984"/>
    <hyperlink xmlns:r="http://schemas.openxmlformats.org/officeDocument/2006/relationships" ref="H989" r:id="rId985"/>
    <hyperlink xmlns:r="http://schemas.openxmlformats.org/officeDocument/2006/relationships" ref="H990" r:id="rId986"/>
    <hyperlink xmlns:r="http://schemas.openxmlformats.org/officeDocument/2006/relationships" ref="H991" r:id="rId987"/>
    <hyperlink xmlns:r="http://schemas.openxmlformats.org/officeDocument/2006/relationships" ref="H992" r:id="rId988"/>
    <hyperlink xmlns:r="http://schemas.openxmlformats.org/officeDocument/2006/relationships" ref="H993" r:id="rId989"/>
    <hyperlink xmlns:r="http://schemas.openxmlformats.org/officeDocument/2006/relationships" ref="H994" r:id="rId990"/>
    <hyperlink xmlns:r="http://schemas.openxmlformats.org/officeDocument/2006/relationships" ref="H995" r:id="rId991"/>
    <hyperlink xmlns:r="http://schemas.openxmlformats.org/officeDocument/2006/relationships" ref="H996" r:id="rId992"/>
    <hyperlink xmlns:r="http://schemas.openxmlformats.org/officeDocument/2006/relationships" ref="H997" r:id="rId993"/>
    <hyperlink xmlns:r="http://schemas.openxmlformats.org/officeDocument/2006/relationships" ref="H998" r:id="rId994"/>
    <hyperlink xmlns:r="http://schemas.openxmlformats.org/officeDocument/2006/relationships" ref="H999" r:id="rId995"/>
    <hyperlink xmlns:r="http://schemas.openxmlformats.org/officeDocument/2006/relationships" ref="H1000" r:id="rId996"/>
    <hyperlink xmlns:r="http://schemas.openxmlformats.org/officeDocument/2006/relationships" ref="H1001" r:id="rId997"/>
    <hyperlink xmlns:r="http://schemas.openxmlformats.org/officeDocument/2006/relationships" ref="H1002" r:id="rId998"/>
    <hyperlink xmlns:r="http://schemas.openxmlformats.org/officeDocument/2006/relationships" ref="H1003" r:id="rId999"/>
    <hyperlink xmlns:r="http://schemas.openxmlformats.org/officeDocument/2006/relationships" ref="H1004" r:id="rId1000"/>
    <hyperlink xmlns:r="http://schemas.openxmlformats.org/officeDocument/2006/relationships" ref="H1005" r:id="rId1001"/>
    <hyperlink xmlns:r="http://schemas.openxmlformats.org/officeDocument/2006/relationships" ref="H1006" r:id="rId1002"/>
    <hyperlink xmlns:r="http://schemas.openxmlformats.org/officeDocument/2006/relationships" ref="H1007" r:id="rId1003"/>
    <hyperlink xmlns:r="http://schemas.openxmlformats.org/officeDocument/2006/relationships" ref="H1008" r:id="rId1004"/>
    <hyperlink xmlns:r="http://schemas.openxmlformats.org/officeDocument/2006/relationships" ref="H1009" r:id="rId1005"/>
    <hyperlink xmlns:r="http://schemas.openxmlformats.org/officeDocument/2006/relationships" ref="H1010" r:id="rId1006"/>
    <hyperlink xmlns:r="http://schemas.openxmlformats.org/officeDocument/2006/relationships" ref="H1011" r:id="rId1007"/>
    <hyperlink xmlns:r="http://schemas.openxmlformats.org/officeDocument/2006/relationships" ref="H1012" r:id="rId1008"/>
    <hyperlink xmlns:r="http://schemas.openxmlformats.org/officeDocument/2006/relationships" ref="H1013" r:id="rId1009"/>
    <hyperlink xmlns:r="http://schemas.openxmlformats.org/officeDocument/2006/relationships" ref="H1014" r:id="rId1010"/>
    <hyperlink xmlns:r="http://schemas.openxmlformats.org/officeDocument/2006/relationships" ref="H1015" r:id="rId1011"/>
    <hyperlink xmlns:r="http://schemas.openxmlformats.org/officeDocument/2006/relationships" ref="H1016" r:id="rId1012"/>
    <hyperlink xmlns:r="http://schemas.openxmlformats.org/officeDocument/2006/relationships" ref="H1017" r:id="rId1013"/>
    <hyperlink xmlns:r="http://schemas.openxmlformats.org/officeDocument/2006/relationships" ref="H1018" r:id="rId1014"/>
    <hyperlink xmlns:r="http://schemas.openxmlformats.org/officeDocument/2006/relationships" ref="H1019" r:id="rId1015"/>
    <hyperlink xmlns:r="http://schemas.openxmlformats.org/officeDocument/2006/relationships" ref="H1020" r:id="rId1016"/>
    <hyperlink xmlns:r="http://schemas.openxmlformats.org/officeDocument/2006/relationships" ref="H1021" r:id="rId1017"/>
    <hyperlink xmlns:r="http://schemas.openxmlformats.org/officeDocument/2006/relationships" ref="H1022" r:id="rId1018"/>
    <hyperlink xmlns:r="http://schemas.openxmlformats.org/officeDocument/2006/relationships" ref="H1023" r:id="rId1019"/>
    <hyperlink xmlns:r="http://schemas.openxmlformats.org/officeDocument/2006/relationships" ref="H1024" r:id="rId1020"/>
    <hyperlink xmlns:r="http://schemas.openxmlformats.org/officeDocument/2006/relationships" ref="H1025" r:id="rId1021"/>
    <hyperlink xmlns:r="http://schemas.openxmlformats.org/officeDocument/2006/relationships" ref="H1026" r:id="rId1022"/>
    <hyperlink xmlns:r="http://schemas.openxmlformats.org/officeDocument/2006/relationships" ref="H1027" r:id="rId1023"/>
    <hyperlink xmlns:r="http://schemas.openxmlformats.org/officeDocument/2006/relationships" ref="H1028" r:id="rId1024"/>
    <hyperlink xmlns:r="http://schemas.openxmlformats.org/officeDocument/2006/relationships" ref="H1029" r:id="rId1025"/>
    <hyperlink xmlns:r="http://schemas.openxmlformats.org/officeDocument/2006/relationships" ref="H1030" r:id="rId1026"/>
    <hyperlink xmlns:r="http://schemas.openxmlformats.org/officeDocument/2006/relationships" ref="H1031" r:id="rId1027"/>
    <hyperlink xmlns:r="http://schemas.openxmlformats.org/officeDocument/2006/relationships" ref="H1032" r:id="rId1028"/>
    <hyperlink xmlns:r="http://schemas.openxmlformats.org/officeDocument/2006/relationships" ref="H1033" r:id="rId1029"/>
    <hyperlink xmlns:r="http://schemas.openxmlformats.org/officeDocument/2006/relationships" ref="H1034" r:id="rId1030"/>
    <hyperlink xmlns:r="http://schemas.openxmlformats.org/officeDocument/2006/relationships" ref="H1035" r:id="rId1031"/>
    <hyperlink xmlns:r="http://schemas.openxmlformats.org/officeDocument/2006/relationships" ref="H1036" r:id="rId1032"/>
    <hyperlink xmlns:r="http://schemas.openxmlformats.org/officeDocument/2006/relationships" ref="H1037" r:id="rId1033"/>
    <hyperlink xmlns:r="http://schemas.openxmlformats.org/officeDocument/2006/relationships" ref="H1038" r:id="rId1034"/>
    <hyperlink xmlns:r="http://schemas.openxmlformats.org/officeDocument/2006/relationships" ref="H1039" r:id="rId1035"/>
    <hyperlink xmlns:r="http://schemas.openxmlformats.org/officeDocument/2006/relationships" ref="H1040" r:id="rId1036"/>
    <hyperlink xmlns:r="http://schemas.openxmlformats.org/officeDocument/2006/relationships" ref="H1041" r:id="rId1037"/>
    <hyperlink xmlns:r="http://schemas.openxmlformats.org/officeDocument/2006/relationships" ref="H1042" r:id="rId1038"/>
    <hyperlink xmlns:r="http://schemas.openxmlformats.org/officeDocument/2006/relationships" ref="H1043" r:id="rId1039"/>
    <hyperlink xmlns:r="http://schemas.openxmlformats.org/officeDocument/2006/relationships" ref="H1044" r:id="rId1040"/>
    <hyperlink xmlns:r="http://schemas.openxmlformats.org/officeDocument/2006/relationships" ref="H1045" r:id="rId1041"/>
    <hyperlink xmlns:r="http://schemas.openxmlformats.org/officeDocument/2006/relationships" ref="H1046" r:id="rId1042"/>
    <hyperlink xmlns:r="http://schemas.openxmlformats.org/officeDocument/2006/relationships" ref="H1047" r:id="rId1043"/>
    <hyperlink xmlns:r="http://schemas.openxmlformats.org/officeDocument/2006/relationships" ref="H1048" r:id="rId1044"/>
    <hyperlink xmlns:r="http://schemas.openxmlformats.org/officeDocument/2006/relationships" ref="H1049" r:id="rId1045"/>
    <hyperlink xmlns:r="http://schemas.openxmlformats.org/officeDocument/2006/relationships" ref="H1050" r:id="rId1046"/>
    <hyperlink xmlns:r="http://schemas.openxmlformats.org/officeDocument/2006/relationships" ref="H1051" r:id="rId1047"/>
    <hyperlink xmlns:r="http://schemas.openxmlformats.org/officeDocument/2006/relationships" ref="H1052" r:id="rId1048"/>
    <hyperlink xmlns:r="http://schemas.openxmlformats.org/officeDocument/2006/relationships" ref="H1053" r:id="rId1049"/>
    <hyperlink xmlns:r="http://schemas.openxmlformats.org/officeDocument/2006/relationships" ref="H1054" r:id="rId1050"/>
    <hyperlink xmlns:r="http://schemas.openxmlformats.org/officeDocument/2006/relationships" ref="H1055" r:id="rId1051"/>
    <hyperlink xmlns:r="http://schemas.openxmlformats.org/officeDocument/2006/relationships" ref="H1056" r:id="rId1052"/>
    <hyperlink xmlns:r="http://schemas.openxmlformats.org/officeDocument/2006/relationships" ref="H1057" r:id="rId1053"/>
    <hyperlink xmlns:r="http://schemas.openxmlformats.org/officeDocument/2006/relationships" ref="H1058" r:id="rId1054"/>
    <hyperlink xmlns:r="http://schemas.openxmlformats.org/officeDocument/2006/relationships" ref="H1059" r:id="rId1055"/>
    <hyperlink xmlns:r="http://schemas.openxmlformats.org/officeDocument/2006/relationships" ref="H1060" r:id="rId1056"/>
    <hyperlink xmlns:r="http://schemas.openxmlformats.org/officeDocument/2006/relationships" ref="H1061" r:id="rId1057"/>
    <hyperlink xmlns:r="http://schemas.openxmlformats.org/officeDocument/2006/relationships" ref="H1062" r:id="rId1058"/>
    <hyperlink xmlns:r="http://schemas.openxmlformats.org/officeDocument/2006/relationships" ref="H1063" r:id="rId1059"/>
    <hyperlink xmlns:r="http://schemas.openxmlformats.org/officeDocument/2006/relationships" ref="H1064" r:id="rId1060"/>
    <hyperlink xmlns:r="http://schemas.openxmlformats.org/officeDocument/2006/relationships" ref="H1065" r:id="rId1061"/>
    <hyperlink xmlns:r="http://schemas.openxmlformats.org/officeDocument/2006/relationships" ref="H1066" r:id="rId1062"/>
    <hyperlink xmlns:r="http://schemas.openxmlformats.org/officeDocument/2006/relationships" ref="H1067" r:id="rId1063"/>
    <hyperlink xmlns:r="http://schemas.openxmlformats.org/officeDocument/2006/relationships" ref="H1068" r:id="rId1064"/>
    <hyperlink xmlns:r="http://schemas.openxmlformats.org/officeDocument/2006/relationships" ref="H1069" r:id="rId1065"/>
    <hyperlink xmlns:r="http://schemas.openxmlformats.org/officeDocument/2006/relationships" ref="H1070" r:id="rId1066"/>
    <hyperlink xmlns:r="http://schemas.openxmlformats.org/officeDocument/2006/relationships" ref="H1071" r:id="rId1067"/>
    <hyperlink xmlns:r="http://schemas.openxmlformats.org/officeDocument/2006/relationships" ref="H1072" r:id="rId1068"/>
    <hyperlink xmlns:r="http://schemas.openxmlformats.org/officeDocument/2006/relationships" ref="H1073" r:id="rId1069"/>
    <hyperlink xmlns:r="http://schemas.openxmlformats.org/officeDocument/2006/relationships" ref="H1074" r:id="rId1070"/>
    <hyperlink xmlns:r="http://schemas.openxmlformats.org/officeDocument/2006/relationships" ref="H1075" r:id="rId1071"/>
    <hyperlink xmlns:r="http://schemas.openxmlformats.org/officeDocument/2006/relationships" ref="H1076" r:id="rId1072"/>
    <hyperlink xmlns:r="http://schemas.openxmlformats.org/officeDocument/2006/relationships" ref="H1077" r:id="rId1073"/>
    <hyperlink xmlns:r="http://schemas.openxmlformats.org/officeDocument/2006/relationships" ref="H1078" r:id="rId1074"/>
    <hyperlink xmlns:r="http://schemas.openxmlformats.org/officeDocument/2006/relationships" ref="H1079" r:id="rId1075"/>
    <hyperlink xmlns:r="http://schemas.openxmlformats.org/officeDocument/2006/relationships" ref="H1080" r:id="rId1076"/>
    <hyperlink xmlns:r="http://schemas.openxmlformats.org/officeDocument/2006/relationships" ref="H1081" r:id="rId1077"/>
    <hyperlink xmlns:r="http://schemas.openxmlformats.org/officeDocument/2006/relationships" ref="H1082" r:id="rId1078"/>
    <hyperlink xmlns:r="http://schemas.openxmlformats.org/officeDocument/2006/relationships" ref="H1083" r:id="rId1079"/>
    <hyperlink xmlns:r="http://schemas.openxmlformats.org/officeDocument/2006/relationships" ref="H1084" r:id="rId1080"/>
    <hyperlink xmlns:r="http://schemas.openxmlformats.org/officeDocument/2006/relationships" ref="H1085" r:id="rId1081"/>
    <hyperlink xmlns:r="http://schemas.openxmlformats.org/officeDocument/2006/relationships" ref="H1086" r:id="rId1082"/>
    <hyperlink xmlns:r="http://schemas.openxmlformats.org/officeDocument/2006/relationships" ref="H1087" r:id="rId1083"/>
    <hyperlink xmlns:r="http://schemas.openxmlformats.org/officeDocument/2006/relationships" ref="H1088" r:id="rId1084"/>
    <hyperlink xmlns:r="http://schemas.openxmlformats.org/officeDocument/2006/relationships" ref="H1089" r:id="rId1085"/>
    <hyperlink xmlns:r="http://schemas.openxmlformats.org/officeDocument/2006/relationships" ref="H1090" r:id="rId1086"/>
    <hyperlink xmlns:r="http://schemas.openxmlformats.org/officeDocument/2006/relationships" ref="H1091" r:id="rId1087"/>
    <hyperlink xmlns:r="http://schemas.openxmlformats.org/officeDocument/2006/relationships" ref="H1092" r:id="rId1088"/>
    <hyperlink xmlns:r="http://schemas.openxmlformats.org/officeDocument/2006/relationships" ref="H1093" r:id="rId1089"/>
    <hyperlink xmlns:r="http://schemas.openxmlformats.org/officeDocument/2006/relationships" ref="H1094" r:id="rId1090"/>
    <hyperlink xmlns:r="http://schemas.openxmlformats.org/officeDocument/2006/relationships" ref="H1095" r:id="rId1091"/>
    <hyperlink xmlns:r="http://schemas.openxmlformats.org/officeDocument/2006/relationships" ref="H1096" r:id="rId1092"/>
    <hyperlink xmlns:r="http://schemas.openxmlformats.org/officeDocument/2006/relationships" ref="H1097" r:id="rId1093"/>
    <hyperlink xmlns:r="http://schemas.openxmlformats.org/officeDocument/2006/relationships" ref="H1098" r:id="rId1094"/>
    <hyperlink xmlns:r="http://schemas.openxmlformats.org/officeDocument/2006/relationships" ref="H1099" r:id="rId1095"/>
    <hyperlink xmlns:r="http://schemas.openxmlformats.org/officeDocument/2006/relationships" ref="H1100" r:id="rId1096"/>
    <hyperlink xmlns:r="http://schemas.openxmlformats.org/officeDocument/2006/relationships" ref="H1101" r:id="rId1097"/>
    <hyperlink xmlns:r="http://schemas.openxmlformats.org/officeDocument/2006/relationships" ref="H1102" r:id="rId1098"/>
    <hyperlink xmlns:r="http://schemas.openxmlformats.org/officeDocument/2006/relationships" ref="H1103" r:id="rId1099"/>
    <hyperlink xmlns:r="http://schemas.openxmlformats.org/officeDocument/2006/relationships" ref="H1104" r:id="rId1100"/>
    <hyperlink xmlns:r="http://schemas.openxmlformats.org/officeDocument/2006/relationships" ref="H1105" r:id="rId1101"/>
    <hyperlink xmlns:r="http://schemas.openxmlformats.org/officeDocument/2006/relationships" ref="H1106" r:id="rId1102"/>
    <hyperlink xmlns:r="http://schemas.openxmlformats.org/officeDocument/2006/relationships" ref="H1107" r:id="rId1103"/>
    <hyperlink xmlns:r="http://schemas.openxmlformats.org/officeDocument/2006/relationships" ref="H1108" r:id="rId1104"/>
    <hyperlink xmlns:r="http://schemas.openxmlformats.org/officeDocument/2006/relationships" ref="H1109" r:id="rId1105"/>
    <hyperlink xmlns:r="http://schemas.openxmlformats.org/officeDocument/2006/relationships" ref="H1110" r:id="rId1106"/>
    <hyperlink xmlns:r="http://schemas.openxmlformats.org/officeDocument/2006/relationships" ref="H1111" r:id="rId1107"/>
    <hyperlink xmlns:r="http://schemas.openxmlformats.org/officeDocument/2006/relationships" ref="H1112" r:id="rId1108"/>
    <hyperlink xmlns:r="http://schemas.openxmlformats.org/officeDocument/2006/relationships" ref="H1113" r:id="rId1109"/>
    <hyperlink xmlns:r="http://schemas.openxmlformats.org/officeDocument/2006/relationships" ref="H1114" r:id="rId1110"/>
    <hyperlink xmlns:r="http://schemas.openxmlformats.org/officeDocument/2006/relationships" ref="H1115" r:id="rId1111"/>
    <hyperlink xmlns:r="http://schemas.openxmlformats.org/officeDocument/2006/relationships" ref="H1116" r:id="rId1112"/>
    <hyperlink xmlns:r="http://schemas.openxmlformats.org/officeDocument/2006/relationships" ref="H1117" r:id="rId1113"/>
    <hyperlink xmlns:r="http://schemas.openxmlformats.org/officeDocument/2006/relationships" ref="H1118" r:id="rId1114"/>
    <hyperlink xmlns:r="http://schemas.openxmlformats.org/officeDocument/2006/relationships" ref="H1119" r:id="rId1115"/>
    <hyperlink xmlns:r="http://schemas.openxmlformats.org/officeDocument/2006/relationships" ref="H1120" r:id="rId1116"/>
    <hyperlink xmlns:r="http://schemas.openxmlformats.org/officeDocument/2006/relationships" ref="H1121" r:id="rId1117"/>
    <hyperlink xmlns:r="http://schemas.openxmlformats.org/officeDocument/2006/relationships" ref="H1122" r:id="rId1118"/>
    <hyperlink xmlns:r="http://schemas.openxmlformats.org/officeDocument/2006/relationships" ref="H1123" r:id="rId1119"/>
    <hyperlink xmlns:r="http://schemas.openxmlformats.org/officeDocument/2006/relationships" ref="H1124" r:id="rId1120"/>
    <hyperlink xmlns:r="http://schemas.openxmlformats.org/officeDocument/2006/relationships" ref="H1125" r:id="rId1121"/>
    <hyperlink xmlns:r="http://schemas.openxmlformats.org/officeDocument/2006/relationships" ref="H1126" r:id="rId1122"/>
    <hyperlink xmlns:r="http://schemas.openxmlformats.org/officeDocument/2006/relationships" ref="H1127" r:id="rId1123"/>
    <hyperlink xmlns:r="http://schemas.openxmlformats.org/officeDocument/2006/relationships" ref="H1128" r:id="rId1124"/>
    <hyperlink xmlns:r="http://schemas.openxmlformats.org/officeDocument/2006/relationships" ref="H1129" r:id="rId1125"/>
    <hyperlink xmlns:r="http://schemas.openxmlformats.org/officeDocument/2006/relationships" ref="H1130" r:id="rId1126"/>
    <hyperlink xmlns:r="http://schemas.openxmlformats.org/officeDocument/2006/relationships" ref="H1131" r:id="rId1127"/>
    <hyperlink xmlns:r="http://schemas.openxmlformats.org/officeDocument/2006/relationships" ref="H1132" r:id="rId1128"/>
    <hyperlink xmlns:r="http://schemas.openxmlformats.org/officeDocument/2006/relationships" ref="H1133" r:id="rId1129"/>
    <hyperlink xmlns:r="http://schemas.openxmlformats.org/officeDocument/2006/relationships" ref="H1134" r:id="rId1130"/>
    <hyperlink xmlns:r="http://schemas.openxmlformats.org/officeDocument/2006/relationships" ref="H1135" r:id="rId1131"/>
    <hyperlink xmlns:r="http://schemas.openxmlformats.org/officeDocument/2006/relationships" ref="H1136" r:id="rId1132"/>
    <hyperlink xmlns:r="http://schemas.openxmlformats.org/officeDocument/2006/relationships" ref="H1137" r:id="rId1133"/>
    <hyperlink xmlns:r="http://schemas.openxmlformats.org/officeDocument/2006/relationships" ref="H1138" r:id="rId1134"/>
    <hyperlink xmlns:r="http://schemas.openxmlformats.org/officeDocument/2006/relationships" ref="H1139" r:id="rId1135"/>
    <hyperlink xmlns:r="http://schemas.openxmlformats.org/officeDocument/2006/relationships" ref="H1140" r:id="rId1136"/>
    <hyperlink xmlns:r="http://schemas.openxmlformats.org/officeDocument/2006/relationships" ref="H1141" r:id="rId1137"/>
    <hyperlink xmlns:r="http://schemas.openxmlformats.org/officeDocument/2006/relationships" ref="H1142" r:id="rId1138"/>
    <hyperlink xmlns:r="http://schemas.openxmlformats.org/officeDocument/2006/relationships" ref="H1143" r:id="rId1139"/>
    <hyperlink xmlns:r="http://schemas.openxmlformats.org/officeDocument/2006/relationships" ref="H1144" r:id="rId1140"/>
    <hyperlink xmlns:r="http://schemas.openxmlformats.org/officeDocument/2006/relationships" ref="H1145" r:id="rId1141"/>
    <hyperlink xmlns:r="http://schemas.openxmlformats.org/officeDocument/2006/relationships" ref="H1146" r:id="rId1142"/>
    <hyperlink xmlns:r="http://schemas.openxmlformats.org/officeDocument/2006/relationships" ref="H1147" r:id="rId1143"/>
    <hyperlink xmlns:r="http://schemas.openxmlformats.org/officeDocument/2006/relationships" ref="H1148" r:id="rId1144"/>
    <hyperlink xmlns:r="http://schemas.openxmlformats.org/officeDocument/2006/relationships" ref="H1149" r:id="rId1145"/>
    <hyperlink xmlns:r="http://schemas.openxmlformats.org/officeDocument/2006/relationships" ref="H1150" r:id="rId1146"/>
    <hyperlink xmlns:r="http://schemas.openxmlformats.org/officeDocument/2006/relationships" ref="H1151" r:id="rId1147"/>
    <hyperlink xmlns:r="http://schemas.openxmlformats.org/officeDocument/2006/relationships" ref="H1152" r:id="rId1148"/>
    <hyperlink xmlns:r="http://schemas.openxmlformats.org/officeDocument/2006/relationships" ref="H1153" r:id="rId1149"/>
    <hyperlink xmlns:r="http://schemas.openxmlformats.org/officeDocument/2006/relationships" ref="H1154" r:id="rId1150"/>
    <hyperlink xmlns:r="http://schemas.openxmlformats.org/officeDocument/2006/relationships" ref="H1155" r:id="rId1151"/>
    <hyperlink xmlns:r="http://schemas.openxmlformats.org/officeDocument/2006/relationships" ref="H1156" r:id="rId1152"/>
    <hyperlink xmlns:r="http://schemas.openxmlformats.org/officeDocument/2006/relationships" ref="H1157" r:id="rId1153"/>
    <hyperlink xmlns:r="http://schemas.openxmlformats.org/officeDocument/2006/relationships" ref="H1158" r:id="rId1154"/>
    <hyperlink xmlns:r="http://schemas.openxmlformats.org/officeDocument/2006/relationships" ref="H1159" r:id="rId1155"/>
    <hyperlink xmlns:r="http://schemas.openxmlformats.org/officeDocument/2006/relationships" ref="H1160" r:id="rId1156"/>
    <hyperlink xmlns:r="http://schemas.openxmlformats.org/officeDocument/2006/relationships" ref="H1161" r:id="rId1157"/>
    <hyperlink xmlns:r="http://schemas.openxmlformats.org/officeDocument/2006/relationships" ref="H1162" r:id="rId1158"/>
    <hyperlink xmlns:r="http://schemas.openxmlformats.org/officeDocument/2006/relationships" ref="H1163" r:id="rId1159"/>
    <hyperlink xmlns:r="http://schemas.openxmlformats.org/officeDocument/2006/relationships" ref="H1164" r:id="rId1160"/>
    <hyperlink xmlns:r="http://schemas.openxmlformats.org/officeDocument/2006/relationships" ref="H1165" r:id="rId1161"/>
    <hyperlink xmlns:r="http://schemas.openxmlformats.org/officeDocument/2006/relationships" ref="H1166" r:id="rId1162"/>
    <hyperlink xmlns:r="http://schemas.openxmlformats.org/officeDocument/2006/relationships" ref="H1167" r:id="rId1163"/>
    <hyperlink xmlns:r="http://schemas.openxmlformats.org/officeDocument/2006/relationships" ref="H1168" r:id="rId1164"/>
    <hyperlink xmlns:r="http://schemas.openxmlformats.org/officeDocument/2006/relationships" ref="H1169" r:id="rId1165"/>
    <hyperlink xmlns:r="http://schemas.openxmlformats.org/officeDocument/2006/relationships" ref="H1170" r:id="rId1166"/>
    <hyperlink xmlns:r="http://schemas.openxmlformats.org/officeDocument/2006/relationships" ref="H1171" r:id="rId1167"/>
    <hyperlink xmlns:r="http://schemas.openxmlformats.org/officeDocument/2006/relationships" ref="H1172" r:id="rId1168"/>
    <hyperlink xmlns:r="http://schemas.openxmlformats.org/officeDocument/2006/relationships" ref="H1173" r:id="rId1169"/>
    <hyperlink xmlns:r="http://schemas.openxmlformats.org/officeDocument/2006/relationships" ref="H1174" r:id="rId1170"/>
    <hyperlink xmlns:r="http://schemas.openxmlformats.org/officeDocument/2006/relationships" ref="H1175" r:id="rId1171"/>
    <hyperlink xmlns:r="http://schemas.openxmlformats.org/officeDocument/2006/relationships" ref="H1176" r:id="rId1172"/>
    <hyperlink xmlns:r="http://schemas.openxmlformats.org/officeDocument/2006/relationships" ref="H1177" r:id="rId1173"/>
    <hyperlink xmlns:r="http://schemas.openxmlformats.org/officeDocument/2006/relationships" ref="H1178" r:id="rId1174"/>
    <hyperlink xmlns:r="http://schemas.openxmlformats.org/officeDocument/2006/relationships" ref="H1179" r:id="rId1175"/>
    <hyperlink xmlns:r="http://schemas.openxmlformats.org/officeDocument/2006/relationships" ref="H1180" r:id="rId1176"/>
    <hyperlink xmlns:r="http://schemas.openxmlformats.org/officeDocument/2006/relationships" ref="H1181" r:id="rId1177"/>
    <hyperlink xmlns:r="http://schemas.openxmlformats.org/officeDocument/2006/relationships" ref="H1182" r:id="rId1178"/>
    <hyperlink xmlns:r="http://schemas.openxmlformats.org/officeDocument/2006/relationships" ref="H1183" r:id="rId1179"/>
    <hyperlink xmlns:r="http://schemas.openxmlformats.org/officeDocument/2006/relationships" ref="H1184" r:id="rId1180"/>
    <hyperlink xmlns:r="http://schemas.openxmlformats.org/officeDocument/2006/relationships" ref="H1185" r:id="rId1181"/>
    <hyperlink xmlns:r="http://schemas.openxmlformats.org/officeDocument/2006/relationships" ref="H1186" r:id="rId1182"/>
    <hyperlink xmlns:r="http://schemas.openxmlformats.org/officeDocument/2006/relationships" ref="H1187" r:id="rId1183"/>
    <hyperlink xmlns:r="http://schemas.openxmlformats.org/officeDocument/2006/relationships" ref="H1188" r:id="rId1184"/>
    <hyperlink xmlns:r="http://schemas.openxmlformats.org/officeDocument/2006/relationships" ref="H1189" r:id="rId1185"/>
    <hyperlink xmlns:r="http://schemas.openxmlformats.org/officeDocument/2006/relationships" ref="H1190" r:id="rId1186"/>
    <hyperlink xmlns:r="http://schemas.openxmlformats.org/officeDocument/2006/relationships" ref="H1191" r:id="rId1187"/>
    <hyperlink xmlns:r="http://schemas.openxmlformats.org/officeDocument/2006/relationships" ref="H1192" r:id="rId1188"/>
    <hyperlink xmlns:r="http://schemas.openxmlformats.org/officeDocument/2006/relationships" ref="H1193" r:id="rId1189"/>
    <hyperlink xmlns:r="http://schemas.openxmlformats.org/officeDocument/2006/relationships" ref="H1194" r:id="rId1190"/>
    <hyperlink xmlns:r="http://schemas.openxmlformats.org/officeDocument/2006/relationships" ref="H1195" r:id="rId1191"/>
    <hyperlink xmlns:r="http://schemas.openxmlformats.org/officeDocument/2006/relationships" ref="H1196" r:id="rId1192"/>
    <hyperlink xmlns:r="http://schemas.openxmlformats.org/officeDocument/2006/relationships" ref="H1197" r:id="rId1193"/>
    <hyperlink xmlns:r="http://schemas.openxmlformats.org/officeDocument/2006/relationships" ref="H1198" r:id="rId1194"/>
    <hyperlink xmlns:r="http://schemas.openxmlformats.org/officeDocument/2006/relationships" ref="H1199" r:id="rId1195"/>
    <hyperlink xmlns:r="http://schemas.openxmlformats.org/officeDocument/2006/relationships" ref="H1200" r:id="rId1196"/>
    <hyperlink xmlns:r="http://schemas.openxmlformats.org/officeDocument/2006/relationships" ref="H1201" r:id="rId1197"/>
    <hyperlink xmlns:r="http://schemas.openxmlformats.org/officeDocument/2006/relationships" ref="H1202" r:id="rId1198"/>
    <hyperlink xmlns:r="http://schemas.openxmlformats.org/officeDocument/2006/relationships" ref="H1203" r:id="rId1199"/>
    <hyperlink xmlns:r="http://schemas.openxmlformats.org/officeDocument/2006/relationships" ref="H1204" r:id="rId1200"/>
    <hyperlink xmlns:r="http://schemas.openxmlformats.org/officeDocument/2006/relationships" ref="H1205" r:id="rId1201"/>
    <hyperlink xmlns:r="http://schemas.openxmlformats.org/officeDocument/2006/relationships" ref="H1206" r:id="rId1202"/>
    <hyperlink xmlns:r="http://schemas.openxmlformats.org/officeDocument/2006/relationships" ref="H1207" r:id="rId1203"/>
    <hyperlink xmlns:r="http://schemas.openxmlformats.org/officeDocument/2006/relationships" ref="H1208" r:id="rId1204"/>
    <hyperlink xmlns:r="http://schemas.openxmlformats.org/officeDocument/2006/relationships" ref="H1209" r:id="rId1205"/>
    <hyperlink xmlns:r="http://schemas.openxmlformats.org/officeDocument/2006/relationships" ref="H1210" r:id="rId1206"/>
    <hyperlink xmlns:r="http://schemas.openxmlformats.org/officeDocument/2006/relationships" ref="H1211" r:id="rId1207"/>
    <hyperlink xmlns:r="http://schemas.openxmlformats.org/officeDocument/2006/relationships" ref="H1212" r:id="rId1208"/>
    <hyperlink xmlns:r="http://schemas.openxmlformats.org/officeDocument/2006/relationships" ref="H1213" r:id="rId1209"/>
    <hyperlink xmlns:r="http://schemas.openxmlformats.org/officeDocument/2006/relationships" ref="H1214" r:id="rId1210"/>
    <hyperlink xmlns:r="http://schemas.openxmlformats.org/officeDocument/2006/relationships" ref="H1215" r:id="rId1211"/>
    <hyperlink xmlns:r="http://schemas.openxmlformats.org/officeDocument/2006/relationships" ref="H1216" r:id="rId1212"/>
    <hyperlink xmlns:r="http://schemas.openxmlformats.org/officeDocument/2006/relationships" ref="H1217" r:id="rId1213"/>
    <hyperlink xmlns:r="http://schemas.openxmlformats.org/officeDocument/2006/relationships" ref="H1218" r:id="rId1214"/>
    <hyperlink xmlns:r="http://schemas.openxmlformats.org/officeDocument/2006/relationships" ref="H1219" r:id="rId1215"/>
    <hyperlink xmlns:r="http://schemas.openxmlformats.org/officeDocument/2006/relationships" ref="H1220" r:id="rId1216"/>
    <hyperlink xmlns:r="http://schemas.openxmlformats.org/officeDocument/2006/relationships" ref="H1221" r:id="rId1217"/>
    <hyperlink xmlns:r="http://schemas.openxmlformats.org/officeDocument/2006/relationships" ref="H1222" r:id="rId1218"/>
    <hyperlink xmlns:r="http://schemas.openxmlformats.org/officeDocument/2006/relationships" ref="H1223" r:id="rId1219"/>
    <hyperlink xmlns:r="http://schemas.openxmlformats.org/officeDocument/2006/relationships" ref="H1224" r:id="rId1220"/>
    <hyperlink xmlns:r="http://schemas.openxmlformats.org/officeDocument/2006/relationships" ref="H1225" r:id="rId1221"/>
    <hyperlink xmlns:r="http://schemas.openxmlformats.org/officeDocument/2006/relationships" ref="H1226" r:id="rId1222"/>
    <hyperlink xmlns:r="http://schemas.openxmlformats.org/officeDocument/2006/relationships" ref="H1227" r:id="rId1223"/>
    <hyperlink xmlns:r="http://schemas.openxmlformats.org/officeDocument/2006/relationships" ref="H1228" r:id="rId1224"/>
    <hyperlink xmlns:r="http://schemas.openxmlformats.org/officeDocument/2006/relationships" ref="H1229" r:id="rId1225"/>
    <hyperlink xmlns:r="http://schemas.openxmlformats.org/officeDocument/2006/relationships" ref="H1230" r:id="rId1226"/>
    <hyperlink xmlns:r="http://schemas.openxmlformats.org/officeDocument/2006/relationships" ref="H1231" r:id="rId1227"/>
    <hyperlink xmlns:r="http://schemas.openxmlformats.org/officeDocument/2006/relationships" ref="H1232" r:id="rId1228"/>
    <hyperlink xmlns:r="http://schemas.openxmlformats.org/officeDocument/2006/relationships" ref="H1233" r:id="rId1229"/>
    <hyperlink xmlns:r="http://schemas.openxmlformats.org/officeDocument/2006/relationships" ref="H1234" r:id="rId1230"/>
    <hyperlink xmlns:r="http://schemas.openxmlformats.org/officeDocument/2006/relationships" ref="H1235" r:id="rId1231"/>
    <hyperlink xmlns:r="http://schemas.openxmlformats.org/officeDocument/2006/relationships" ref="H1236" r:id="rId1232"/>
    <hyperlink xmlns:r="http://schemas.openxmlformats.org/officeDocument/2006/relationships" ref="H1237" r:id="rId1233"/>
    <hyperlink xmlns:r="http://schemas.openxmlformats.org/officeDocument/2006/relationships" ref="H1238" r:id="rId1234"/>
    <hyperlink xmlns:r="http://schemas.openxmlformats.org/officeDocument/2006/relationships" ref="H1239" r:id="rId1235"/>
    <hyperlink xmlns:r="http://schemas.openxmlformats.org/officeDocument/2006/relationships" ref="H1240" r:id="rId1236"/>
    <hyperlink xmlns:r="http://schemas.openxmlformats.org/officeDocument/2006/relationships" ref="H1241" r:id="rId1237"/>
    <hyperlink xmlns:r="http://schemas.openxmlformats.org/officeDocument/2006/relationships" ref="H1242" r:id="rId1238"/>
    <hyperlink xmlns:r="http://schemas.openxmlformats.org/officeDocument/2006/relationships" ref="H1243" r:id="rId1239"/>
    <hyperlink xmlns:r="http://schemas.openxmlformats.org/officeDocument/2006/relationships" ref="H1244" r:id="rId1240"/>
    <hyperlink xmlns:r="http://schemas.openxmlformats.org/officeDocument/2006/relationships" ref="H1245" r:id="rId1241"/>
    <hyperlink xmlns:r="http://schemas.openxmlformats.org/officeDocument/2006/relationships" ref="H1246" r:id="rId1242"/>
    <hyperlink xmlns:r="http://schemas.openxmlformats.org/officeDocument/2006/relationships" ref="H1247" r:id="rId1243"/>
    <hyperlink xmlns:r="http://schemas.openxmlformats.org/officeDocument/2006/relationships" ref="H1248" r:id="rId1244"/>
    <hyperlink xmlns:r="http://schemas.openxmlformats.org/officeDocument/2006/relationships" ref="H1249" r:id="rId1245"/>
    <hyperlink xmlns:r="http://schemas.openxmlformats.org/officeDocument/2006/relationships" ref="H1250" r:id="rId1246"/>
    <hyperlink xmlns:r="http://schemas.openxmlformats.org/officeDocument/2006/relationships" ref="H1251" r:id="rId1247"/>
    <hyperlink xmlns:r="http://schemas.openxmlformats.org/officeDocument/2006/relationships" ref="H1252" r:id="rId1248"/>
    <hyperlink xmlns:r="http://schemas.openxmlformats.org/officeDocument/2006/relationships" ref="H1253" r:id="rId1249"/>
    <hyperlink xmlns:r="http://schemas.openxmlformats.org/officeDocument/2006/relationships" ref="H1254" r:id="rId1250"/>
    <hyperlink xmlns:r="http://schemas.openxmlformats.org/officeDocument/2006/relationships" ref="H1255" r:id="rId1251"/>
    <hyperlink xmlns:r="http://schemas.openxmlformats.org/officeDocument/2006/relationships" ref="H1256" r:id="rId1252"/>
    <hyperlink xmlns:r="http://schemas.openxmlformats.org/officeDocument/2006/relationships" ref="H1257" r:id="rId1253"/>
    <hyperlink xmlns:r="http://schemas.openxmlformats.org/officeDocument/2006/relationships" ref="H1258" r:id="rId1254"/>
    <hyperlink xmlns:r="http://schemas.openxmlformats.org/officeDocument/2006/relationships" ref="H1259" r:id="rId1255"/>
    <hyperlink xmlns:r="http://schemas.openxmlformats.org/officeDocument/2006/relationships" ref="H1260" r:id="rId1256"/>
    <hyperlink xmlns:r="http://schemas.openxmlformats.org/officeDocument/2006/relationships" ref="H1261" r:id="rId1257"/>
    <hyperlink xmlns:r="http://schemas.openxmlformats.org/officeDocument/2006/relationships" ref="H1262" r:id="rId1258"/>
    <hyperlink xmlns:r="http://schemas.openxmlformats.org/officeDocument/2006/relationships" ref="H1263" r:id="rId1259"/>
    <hyperlink xmlns:r="http://schemas.openxmlformats.org/officeDocument/2006/relationships" ref="H1264" r:id="rId1260"/>
    <hyperlink xmlns:r="http://schemas.openxmlformats.org/officeDocument/2006/relationships" ref="H1265" r:id="rId1261"/>
    <hyperlink xmlns:r="http://schemas.openxmlformats.org/officeDocument/2006/relationships" ref="H1266" r:id="rId1262"/>
    <hyperlink xmlns:r="http://schemas.openxmlformats.org/officeDocument/2006/relationships" ref="H1267" r:id="rId1263"/>
    <hyperlink xmlns:r="http://schemas.openxmlformats.org/officeDocument/2006/relationships" ref="H1268" r:id="rId1264"/>
    <hyperlink xmlns:r="http://schemas.openxmlformats.org/officeDocument/2006/relationships" ref="H1269" r:id="rId1265"/>
    <hyperlink xmlns:r="http://schemas.openxmlformats.org/officeDocument/2006/relationships" ref="H1270" r:id="rId1266"/>
    <hyperlink xmlns:r="http://schemas.openxmlformats.org/officeDocument/2006/relationships" ref="H1271" r:id="rId1267"/>
    <hyperlink xmlns:r="http://schemas.openxmlformats.org/officeDocument/2006/relationships" ref="H1272" r:id="rId1268"/>
    <hyperlink xmlns:r="http://schemas.openxmlformats.org/officeDocument/2006/relationships" ref="H1273" r:id="rId1269"/>
    <hyperlink xmlns:r="http://schemas.openxmlformats.org/officeDocument/2006/relationships" ref="H1274" r:id="rId1270"/>
    <hyperlink xmlns:r="http://schemas.openxmlformats.org/officeDocument/2006/relationships" ref="H1275" r:id="rId1271"/>
    <hyperlink xmlns:r="http://schemas.openxmlformats.org/officeDocument/2006/relationships" ref="H1276" r:id="rId1272"/>
    <hyperlink xmlns:r="http://schemas.openxmlformats.org/officeDocument/2006/relationships" ref="H1277" r:id="rId1273"/>
    <hyperlink xmlns:r="http://schemas.openxmlformats.org/officeDocument/2006/relationships" ref="H1278" r:id="rId1274"/>
    <hyperlink xmlns:r="http://schemas.openxmlformats.org/officeDocument/2006/relationships" ref="H1279" r:id="rId1275"/>
    <hyperlink xmlns:r="http://schemas.openxmlformats.org/officeDocument/2006/relationships" ref="H1280" r:id="rId1276"/>
    <hyperlink xmlns:r="http://schemas.openxmlformats.org/officeDocument/2006/relationships" ref="H1281" r:id="rId1277"/>
    <hyperlink xmlns:r="http://schemas.openxmlformats.org/officeDocument/2006/relationships" ref="H1282" r:id="rId1278"/>
    <hyperlink xmlns:r="http://schemas.openxmlformats.org/officeDocument/2006/relationships" ref="H1283" r:id="rId1279"/>
    <hyperlink xmlns:r="http://schemas.openxmlformats.org/officeDocument/2006/relationships" ref="H1284" r:id="rId1280"/>
    <hyperlink xmlns:r="http://schemas.openxmlformats.org/officeDocument/2006/relationships" ref="H1285" r:id="rId1281"/>
    <hyperlink xmlns:r="http://schemas.openxmlformats.org/officeDocument/2006/relationships" ref="H1286" r:id="rId1282"/>
    <hyperlink xmlns:r="http://schemas.openxmlformats.org/officeDocument/2006/relationships" ref="H1287" r:id="rId1283"/>
    <hyperlink xmlns:r="http://schemas.openxmlformats.org/officeDocument/2006/relationships" ref="H1288" r:id="rId1284"/>
    <hyperlink xmlns:r="http://schemas.openxmlformats.org/officeDocument/2006/relationships" ref="H1289" r:id="rId1285"/>
    <hyperlink xmlns:r="http://schemas.openxmlformats.org/officeDocument/2006/relationships" ref="H1290" r:id="rId1286"/>
    <hyperlink xmlns:r="http://schemas.openxmlformats.org/officeDocument/2006/relationships" ref="H1291" r:id="rId1287"/>
    <hyperlink xmlns:r="http://schemas.openxmlformats.org/officeDocument/2006/relationships" ref="H1292" r:id="rId1288"/>
    <hyperlink xmlns:r="http://schemas.openxmlformats.org/officeDocument/2006/relationships" ref="H1293" r:id="rId1289"/>
    <hyperlink xmlns:r="http://schemas.openxmlformats.org/officeDocument/2006/relationships" ref="H1294" r:id="rId1290"/>
    <hyperlink xmlns:r="http://schemas.openxmlformats.org/officeDocument/2006/relationships" ref="H1295" r:id="rId1291"/>
    <hyperlink xmlns:r="http://schemas.openxmlformats.org/officeDocument/2006/relationships" ref="H1296" r:id="rId1292"/>
    <hyperlink xmlns:r="http://schemas.openxmlformats.org/officeDocument/2006/relationships" ref="H1297" r:id="rId1293"/>
    <hyperlink xmlns:r="http://schemas.openxmlformats.org/officeDocument/2006/relationships" ref="H1298" r:id="rId1294"/>
    <hyperlink xmlns:r="http://schemas.openxmlformats.org/officeDocument/2006/relationships" ref="H1299" r:id="rId1295"/>
    <hyperlink xmlns:r="http://schemas.openxmlformats.org/officeDocument/2006/relationships" ref="H1300" r:id="rId1296"/>
    <hyperlink xmlns:r="http://schemas.openxmlformats.org/officeDocument/2006/relationships" ref="H1301" r:id="rId1297"/>
    <hyperlink xmlns:r="http://schemas.openxmlformats.org/officeDocument/2006/relationships" ref="H1302" r:id="rId1298"/>
    <hyperlink xmlns:r="http://schemas.openxmlformats.org/officeDocument/2006/relationships" ref="H1303" r:id="rId1299"/>
    <hyperlink xmlns:r="http://schemas.openxmlformats.org/officeDocument/2006/relationships" ref="H1304" r:id="rId1300"/>
    <hyperlink xmlns:r="http://schemas.openxmlformats.org/officeDocument/2006/relationships" ref="H1305" r:id="rId1301"/>
    <hyperlink xmlns:r="http://schemas.openxmlformats.org/officeDocument/2006/relationships" ref="H1306" r:id="rId1302"/>
    <hyperlink xmlns:r="http://schemas.openxmlformats.org/officeDocument/2006/relationships" ref="H1307" r:id="rId1303"/>
    <hyperlink xmlns:r="http://schemas.openxmlformats.org/officeDocument/2006/relationships" ref="H1308" r:id="rId1304"/>
    <hyperlink xmlns:r="http://schemas.openxmlformats.org/officeDocument/2006/relationships" ref="H1309" r:id="rId1305"/>
    <hyperlink xmlns:r="http://schemas.openxmlformats.org/officeDocument/2006/relationships" ref="H1310" r:id="rId1306"/>
    <hyperlink xmlns:r="http://schemas.openxmlformats.org/officeDocument/2006/relationships" ref="H1311" r:id="rId1307"/>
    <hyperlink xmlns:r="http://schemas.openxmlformats.org/officeDocument/2006/relationships" ref="H1312" r:id="rId1308"/>
    <hyperlink xmlns:r="http://schemas.openxmlformats.org/officeDocument/2006/relationships" ref="H1313" r:id="rId1309"/>
    <hyperlink xmlns:r="http://schemas.openxmlformats.org/officeDocument/2006/relationships" ref="H1314" r:id="rId1310"/>
    <hyperlink xmlns:r="http://schemas.openxmlformats.org/officeDocument/2006/relationships" ref="H1315" r:id="rId1311"/>
    <hyperlink xmlns:r="http://schemas.openxmlformats.org/officeDocument/2006/relationships" ref="H1316" r:id="rId1312"/>
    <hyperlink xmlns:r="http://schemas.openxmlformats.org/officeDocument/2006/relationships" ref="H1317" r:id="rId1313"/>
    <hyperlink xmlns:r="http://schemas.openxmlformats.org/officeDocument/2006/relationships" ref="H1318" r:id="rId1314"/>
    <hyperlink xmlns:r="http://schemas.openxmlformats.org/officeDocument/2006/relationships" ref="H1319" r:id="rId1315"/>
    <hyperlink xmlns:r="http://schemas.openxmlformats.org/officeDocument/2006/relationships" ref="H1320" r:id="rId1316"/>
    <hyperlink xmlns:r="http://schemas.openxmlformats.org/officeDocument/2006/relationships" ref="H1321" r:id="rId1317"/>
    <hyperlink xmlns:r="http://schemas.openxmlformats.org/officeDocument/2006/relationships" ref="H1322" r:id="rId1318"/>
    <hyperlink xmlns:r="http://schemas.openxmlformats.org/officeDocument/2006/relationships" ref="H1323" r:id="rId1319"/>
    <hyperlink xmlns:r="http://schemas.openxmlformats.org/officeDocument/2006/relationships" ref="H1324" r:id="rId1320"/>
    <hyperlink xmlns:r="http://schemas.openxmlformats.org/officeDocument/2006/relationships" ref="H1325" r:id="rId1321"/>
    <hyperlink xmlns:r="http://schemas.openxmlformats.org/officeDocument/2006/relationships" ref="H1326" r:id="rId1322"/>
    <hyperlink xmlns:r="http://schemas.openxmlformats.org/officeDocument/2006/relationships" ref="H1327" r:id="rId1323"/>
    <hyperlink xmlns:r="http://schemas.openxmlformats.org/officeDocument/2006/relationships" ref="H1328" r:id="rId1324"/>
    <hyperlink xmlns:r="http://schemas.openxmlformats.org/officeDocument/2006/relationships" ref="H1329" r:id="rId1325"/>
    <hyperlink xmlns:r="http://schemas.openxmlformats.org/officeDocument/2006/relationships" ref="H1330" r:id="rId1326"/>
    <hyperlink xmlns:r="http://schemas.openxmlformats.org/officeDocument/2006/relationships" ref="H1331" r:id="rId1327"/>
    <hyperlink xmlns:r="http://schemas.openxmlformats.org/officeDocument/2006/relationships" ref="H1332" r:id="rId1328"/>
    <hyperlink xmlns:r="http://schemas.openxmlformats.org/officeDocument/2006/relationships" ref="H1333" r:id="rId1329"/>
    <hyperlink xmlns:r="http://schemas.openxmlformats.org/officeDocument/2006/relationships" ref="H1334" r:id="rId1330"/>
    <hyperlink xmlns:r="http://schemas.openxmlformats.org/officeDocument/2006/relationships" ref="H1335" r:id="rId1331"/>
    <hyperlink xmlns:r="http://schemas.openxmlformats.org/officeDocument/2006/relationships" ref="H1336" r:id="rId1332"/>
    <hyperlink xmlns:r="http://schemas.openxmlformats.org/officeDocument/2006/relationships" ref="H1337" r:id="rId1333"/>
    <hyperlink xmlns:r="http://schemas.openxmlformats.org/officeDocument/2006/relationships" ref="H1338" r:id="rId1334"/>
    <hyperlink xmlns:r="http://schemas.openxmlformats.org/officeDocument/2006/relationships" ref="H1339" r:id="rId1335"/>
    <hyperlink xmlns:r="http://schemas.openxmlformats.org/officeDocument/2006/relationships" ref="H1340" r:id="rId1336"/>
    <hyperlink xmlns:r="http://schemas.openxmlformats.org/officeDocument/2006/relationships" ref="H1341" r:id="rId1337"/>
    <hyperlink xmlns:r="http://schemas.openxmlformats.org/officeDocument/2006/relationships" ref="H1342" r:id="rId1338"/>
    <hyperlink xmlns:r="http://schemas.openxmlformats.org/officeDocument/2006/relationships" ref="H1343" r:id="rId1339"/>
    <hyperlink xmlns:r="http://schemas.openxmlformats.org/officeDocument/2006/relationships" ref="H1344" r:id="rId1340"/>
    <hyperlink xmlns:r="http://schemas.openxmlformats.org/officeDocument/2006/relationships" ref="H1345" r:id="rId1341"/>
    <hyperlink xmlns:r="http://schemas.openxmlformats.org/officeDocument/2006/relationships" ref="H1346" r:id="rId1342"/>
    <hyperlink xmlns:r="http://schemas.openxmlformats.org/officeDocument/2006/relationships" ref="H1347" r:id="rId1343"/>
    <hyperlink xmlns:r="http://schemas.openxmlformats.org/officeDocument/2006/relationships" ref="H1348" r:id="rId1344"/>
    <hyperlink xmlns:r="http://schemas.openxmlformats.org/officeDocument/2006/relationships" ref="H1349" r:id="rId1345"/>
    <hyperlink xmlns:r="http://schemas.openxmlformats.org/officeDocument/2006/relationships" ref="H1350" r:id="rId1346"/>
    <hyperlink xmlns:r="http://schemas.openxmlformats.org/officeDocument/2006/relationships" ref="H1351" r:id="rId1347"/>
    <hyperlink xmlns:r="http://schemas.openxmlformats.org/officeDocument/2006/relationships" ref="H1352" r:id="rId1348"/>
    <hyperlink xmlns:r="http://schemas.openxmlformats.org/officeDocument/2006/relationships" ref="H1353" r:id="rId1349"/>
    <hyperlink xmlns:r="http://schemas.openxmlformats.org/officeDocument/2006/relationships" ref="H1354" r:id="rId1350"/>
    <hyperlink xmlns:r="http://schemas.openxmlformats.org/officeDocument/2006/relationships" ref="H1355" r:id="rId1351"/>
    <hyperlink xmlns:r="http://schemas.openxmlformats.org/officeDocument/2006/relationships" ref="H1356" r:id="rId1352"/>
    <hyperlink xmlns:r="http://schemas.openxmlformats.org/officeDocument/2006/relationships" ref="H1357" r:id="rId1353"/>
    <hyperlink xmlns:r="http://schemas.openxmlformats.org/officeDocument/2006/relationships" ref="H1358" r:id="rId1354"/>
    <hyperlink xmlns:r="http://schemas.openxmlformats.org/officeDocument/2006/relationships" ref="H1359" r:id="rId1355"/>
    <hyperlink xmlns:r="http://schemas.openxmlformats.org/officeDocument/2006/relationships" ref="H1360" r:id="rId1356"/>
    <hyperlink xmlns:r="http://schemas.openxmlformats.org/officeDocument/2006/relationships" ref="H1361" r:id="rId1357"/>
    <hyperlink xmlns:r="http://schemas.openxmlformats.org/officeDocument/2006/relationships" ref="H1362" r:id="rId1358"/>
    <hyperlink xmlns:r="http://schemas.openxmlformats.org/officeDocument/2006/relationships" ref="H1363" r:id="rId1359"/>
    <hyperlink xmlns:r="http://schemas.openxmlformats.org/officeDocument/2006/relationships" ref="H1364" r:id="rId1360"/>
    <hyperlink xmlns:r="http://schemas.openxmlformats.org/officeDocument/2006/relationships" ref="H1365" r:id="rId1361"/>
    <hyperlink xmlns:r="http://schemas.openxmlformats.org/officeDocument/2006/relationships" ref="H1366" r:id="rId1362"/>
    <hyperlink xmlns:r="http://schemas.openxmlformats.org/officeDocument/2006/relationships" ref="H1367" r:id="rId1363"/>
    <hyperlink xmlns:r="http://schemas.openxmlformats.org/officeDocument/2006/relationships" ref="H1368" r:id="rId1364"/>
    <hyperlink xmlns:r="http://schemas.openxmlformats.org/officeDocument/2006/relationships" ref="H1369" r:id="rId1365"/>
    <hyperlink xmlns:r="http://schemas.openxmlformats.org/officeDocument/2006/relationships" ref="H1370" r:id="rId1366"/>
    <hyperlink xmlns:r="http://schemas.openxmlformats.org/officeDocument/2006/relationships" ref="H1371" r:id="rId1367"/>
    <hyperlink xmlns:r="http://schemas.openxmlformats.org/officeDocument/2006/relationships" ref="H1372" r:id="rId1368"/>
    <hyperlink xmlns:r="http://schemas.openxmlformats.org/officeDocument/2006/relationships" ref="H1373" r:id="rId1369"/>
    <hyperlink xmlns:r="http://schemas.openxmlformats.org/officeDocument/2006/relationships" ref="H1374" r:id="rId1370"/>
    <hyperlink xmlns:r="http://schemas.openxmlformats.org/officeDocument/2006/relationships" ref="H1375" r:id="rId1371"/>
    <hyperlink xmlns:r="http://schemas.openxmlformats.org/officeDocument/2006/relationships" ref="H1376" r:id="rId1372"/>
    <hyperlink xmlns:r="http://schemas.openxmlformats.org/officeDocument/2006/relationships" ref="H1377" r:id="rId1373"/>
    <hyperlink xmlns:r="http://schemas.openxmlformats.org/officeDocument/2006/relationships" ref="H1378" r:id="rId1374"/>
    <hyperlink xmlns:r="http://schemas.openxmlformats.org/officeDocument/2006/relationships" ref="H1379" r:id="rId1375"/>
    <hyperlink xmlns:r="http://schemas.openxmlformats.org/officeDocument/2006/relationships" ref="H1380" r:id="rId1376"/>
    <hyperlink xmlns:r="http://schemas.openxmlformats.org/officeDocument/2006/relationships" ref="H1381" r:id="rId1377"/>
    <hyperlink xmlns:r="http://schemas.openxmlformats.org/officeDocument/2006/relationships" ref="H1382" r:id="rId1378"/>
    <hyperlink xmlns:r="http://schemas.openxmlformats.org/officeDocument/2006/relationships" ref="H1383" r:id="rId1379"/>
    <hyperlink xmlns:r="http://schemas.openxmlformats.org/officeDocument/2006/relationships" ref="H1384" r:id="rId1380"/>
    <hyperlink xmlns:r="http://schemas.openxmlformats.org/officeDocument/2006/relationships" ref="H1385" r:id="rId1381"/>
    <hyperlink xmlns:r="http://schemas.openxmlformats.org/officeDocument/2006/relationships" ref="H1386" r:id="rId1382"/>
    <hyperlink xmlns:r="http://schemas.openxmlformats.org/officeDocument/2006/relationships" ref="H1387" r:id="rId1383"/>
    <hyperlink xmlns:r="http://schemas.openxmlformats.org/officeDocument/2006/relationships" ref="H1388" r:id="rId1384"/>
    <hyperlink xmlns:r="http://schemas.openxmlformats.org/officeDocument/2006/relationships" ref="H1389" r:id="rId1385"/>
    <hyperlink xmlns:r="http://schemas.openxmlformats.org/officeDocument/2006/relationships" ref="H1390" r:id="rId1386"/>
    <hyperlink xmlns:r="http://schemas.openxmlformats.org/officeDocument/2006/relationships" ref="H1391" r:id="rId1387"/>
    <hyperlink xmlns:r="http://schemas.openxmlformats.org/officeDocument/2006/relationships" ref="H1392" r:id="rId1388"/>
    <hyperlink xmlns:r="http://schemas.openxmlformats.org/officeDocument/2006/relationships" ref="H1393" r:id="rId1389"/>
    <hyperlink xmlns:r="http://schemas.openxmlformats.org/officeDocument/2006/relationships" ref="H1394" r:id="rId1390"/>
    <hyperlink xmlns:r="http://schemas.openxmlformats.org/officeDocument/2006/relationships" ref="H1395" r:id="rId1391"/>
    <hyperlink xmlns:r="http://schemas.openxmlformats.org/officeDocument/2006/relationships" ref="H1396" r:id="rId1392"/>
    <hyperlink xmlns:r="http://schemas.openxmlformats.org/officeDocument/2006/relationships" ref="H1397" r:id="rId1393"/>
    <hyperlink xmlns:r="http://schemas.openxmlformats.org/officeDocument/2006/relationships" ref="H1398" r:id="rId1394"/>
    <hyperlink xmlns:r="http://schemas.openxmlformats.org/officeDocument/2006/relationships" ref="H1399" r:id="rId1395"/>
    <hyperlink xmlns:r="http://schemas.openxmlformats.org/officeDocument/2006/relationships" ref="H1400" r:id="rId1396"/>
    <hyperlink xmlns:r="http://schemas.openxmlformats.org/officeDocument/2006/relationships" ref="H1401" r:id="rId1397"/>
    <hyperlink xmlns:r="http://schemas.openxmlformats.org/officeDocument/2006/relationships" ref="H1402" r:id="rId1398"/>
    <hyperlink xmlns:r="http://schemas.openxmlformats.org/officeDocument/2006/relationships" ref="H1403" r:id="rId1399"/>
    <hyperlink xmlns:r="http://schemas.openxmlformats.org/officeDocument/2006/relationships" ref="H1404" r:id="rId1400"/>
    <hyperlink xmlns:r="http://schemas.openxmlformats.org/officeDocument/2006/relationships" ref="H1405" r:id="rId1401"/>
    <hyperlink xmlns:r="http://schemas.openxmlformats.org/officeDocument/2006/relationships" ref="H1406" r:id="rId1402"/>
    <hyperlink xmlns:r="http://schemas.openxmlformats.org/officeDocument/2006/relationships" ref="H1407" r:id="rId1403"/>
    <hyperlink xmlns:r="http://schemas.openxmlformats.org/officeDocument/2006/relationships" ref="H1408" r:id="rId1404"/>
    <hyperlink xmlns:r="http://schemas.openxmlformats.org/officeDocument/2006/relationships" ref="H1409" r:id="rId1405"/>
    <hyperlink xmlns:r="http://schemas.openxmlformats.org/officeDocument/2006/relationships" ref="H1410" r:id="rId1406"/>
    <hyperlink xmlns:r="http://schemas.openxmlformats.org/officeDocument/2006/relationships" ref="H1411" r:id="rId1407"/>
    <hyperlink xmlns:r="http://schemas.openxmlformats.org/officeDocument/2006/relationships" ref="H1412" r:id="rId1408"/>
    <hyperlink xmlns:r="http://schemas.openxmlformats.org/officeDocument/2006/relationships" ref="H1413" r:id="rId1409"/>
    <hyperlink xmlns:r="http://schemas.openxmlformats.org/officeDocument/2006/relationships" ref="H1414" r:id="rId1410"/>
    <hyperlink xmlns:r="http://schemas.openxmlformats.org/officeDocument/2006/relationships" ref="H1415" r:id="rId1411"/>
    <hyperlink xmlns:r="http://schemas.openxmlformats.org/officeDocument/2006/relationships" ref="H1416" r:id="rId1412"/>
    <hyperlink xmlns:r="http://schemas.openxmlformats.org/officeDocument/2006/relationships" ref="H1417" r:id="rId1413"/>
    <hyperlink xmlns:r="http://schemas.openxmlformats.org/officeDocument/2006/relationships" ref="H1418" r:id="rId1414"/>
    <hyperlink xmlns:r="http://schemas.openxmlformats.org/officeDocument/2006/relationships" ref="H1419" r:id="rId1415"/>
    <hyperlink xmlns:r="http://schemas.openxmlformats.org/officeDocument/2006/relationships" ref="H1420" r:id="rId1416"/>
    <hyperlink xmlns:r="http://schemas.openxmlformats.org/officeDocument/2006/relationships" ref="H1421" r:id="rId1417"/>
    <hyperlink xmlns:r="http://schemas.openxmlformats.org/officeDocument/2006/relationships" ref="H1422" r:id="rId1418"/>
    <hyperlink xmlns:r="http://schemas.openxmlformats.org/officeDocument/2006/relationships" ref="H1423" r:id="rId1419"/>
    <hyperlink xmlns:r="http://schemas.openxmlformats.org/officeDocument/2006/relationships" ref="H1424" r:id="rId1420"/>
    <hyperlink xmlns:r="http://schemas.openxmlformats.org/officeDocument/2006/relationships" ref="H1425" r:id="rId1421"/>
    <hyperlink xmlns:r="http://schemas.openxmlformats.org/officeDocument/2006/relationships" ref="H1426" r:id="rId1422"/>
    <hyperlink xmlns:r="http://schemas.openxmlformats.org/officeDocument/2006/relationships" ref="H1427" r:id="rId1423"/>
    <hyperlink xmlns:r="http://schemas.openxmlformats.org/officeDocument/2006/relationships" ref="H1428" r:id="rId1424"/>
    <hyperlink xmlns:r="http://schemas.openxmlformats.org/officeDocument/2006/relationships" ref="H1429" r:id="rId1425"/>
    <hyperlink xmlns:r="http://schemas.openxmlformats.org/officeDocument/2006/relationships" ref="H1430" r:id="rId1426"/>
    <hyperlink xmlns:r="http://schemas.openxmlformats.org/officeDocument/2006/relationships" ref="H1431" r:id="rId1427"/>
    <hyperlink xmlns:r="http://schemas.openxmlformats.org/officeDocument/2006/relationships" ref="H1432" r:id="rId1428"/>
    <hyperlink xmlns:r="http://schemas.openxmlformats.org/officeDocument/2006/relationships" ref="H1433" r:id="rId1429"/>
    <hyperlink xmlns:r="http://schemas.openxmlformats.org/officeDocument/2006/relationships" ref="H1434" r:id="rId1430"/>
    <hyperlink xmlns:r="http://schemas.openxmlformats.org/officeDocument/2006/relationships" ref="H1435" r:id="rId1431"/>
    <hyperlink xmlns:r="http://schemas.openxmlformats.org/officeDocument/2006/relationships" ref="H1436" r:id="rId1432"/>
    <hyperlink xmlns:r="http://schemas.openxmlformats.org/officeDocument/2006/relationships" ref="H1437" r:id="rId1433"/>
    <hyperlink xmlns:r="http://schemas.openxmlformats.org/officeDocument/2006/relationships" ref="H1438" r:id="rId1434"/>
    <hyperlink xmlns:r="http://schemas.openxmlformats.org/officeDocument/2006/relationships" ref="H1439" r:id="rId1435"/>
    <hyperlink xmlns:r="http://schemas.openxmlformats.org/officeDocument/2006/relationships" ref="H1440" r:id="rId1436"/>
    <hyperlink xmlns:r="http://schemas.openxmlformats.org/officeDocument/2006/relationships" ref="H1441" r:id="rId1437"/>
    <hyperlink xmlns:r="http://schemas.openxmlformats.org/officeDocument/2006/relationships" ref="H1442" r:id="rId1438"/>
    <hyperlink xmlns:r="http://schemas.openxmlformats.org/officeDocument/2006/relationships" ref="H1443" r:id="rId1439"/>
    <hyperlink xmlns:r="http://schemas.openxmlformats.org/officeDocument/2006/relationships" ref="H1444" r:id="rId1440"/>
    <hyperlink xmlns:r="http://schemas.openxmlformats.org/officeDocument/2006/relationships" ref="H1445" r:id="rId1441"/>
    <hyperlink xmlns:r="http://schemas.openxmlformats.org/officeDocument/2006/relationships" ref="H1446" r:id="rId1442"/>
    <hyperlink xmlns:r="http://schemas.openxmlformats.org/officeDocument/2006/relationships" ref="H1447" r:id="rId1443"/>
    <hyperlink xmlns:r="http://schemas.openxmlformats.org/officeDocument/2006/relationships" ref="H1448" r:id="rId1444"/>
    <hyperlink xmlns:r="http://schemas.openxmlformats.org/officeDocument/2006/relationships" ref="H1449" r:id="rId1445"/>
    <hyperlink xmlns:r="http://schemas.openxmlformats.org/officeDocument/2006/relationships" ref="H1450" r:id="rId1446"/>
    <hyperlink xmlns:r="http://schemas.openxmlformats.org/officeDocument/2006/relationships" ref="H1451" r:id="rId1447"/>
    <hyperlink xmlns:r="http://schemas.openxmlformats.org/officeDocument/2006/relationships" ref="H1452" r:id="rId1448"/>
    <hyperlink xmlns:r="http://schemas.openxmlformats.org/officeDocument/2006/relationships" ref="H1453" r:id="rId1449"/>
    <hyperlink xmlns:r="http://schemas.openxmlformats.org/officeDocument/2006/relationships" ref="H1454" r:id="rId1450"/>
    <hyperlink xmlns:r="http://schemas.openxmlformats.org/officeDocument/2006/relationships" ref="H1455" r:id="rId1451"/>
    <hyperlink xmlns:r="http://schemas.openxmlformats.org/officeDocument/2006/relationships" ref="H1456" r:id="rId1452"/>
    <hyperlink xmlns:r="http://schemas.openxmlformats.org/officeDocument/2006/relationships" ref="H1457" r:id="rId1453"/>
    <hyperlink xmlns:r="http://schemas.openxmlformats.org/officeDocument/2006/relationships" ref="H1458" r:id="rId1454"/>
    <hyperlink xmlns:r="http://schemas.openxmlformats.org/officeDocument/2006/relationships" ref="H1459" r:id="rId1455"/>
    <hyperlink xmlns:r="http://schemas.openxmlformats.org/officeDocument/2006/relationships" ref="H1460" r:id="rId1456"/>
    <hyperlink xmlns:r="http://schemas.openxmlformats.org/officeDocument/2006/relationships" ref="H1461" r:id="rId1457"/>
    <hyperlink xmlns:r="http://schemas.openxmlformats.org/officeDocument/2006/relationships" ref="H1462" r:id="rId1458"/>
    <hyperlink xmlns:r="http://schemas.openxmlformats.org/officeDocument/2006/relationships" ref="H1463" r:id="rId1459"/>
    <hyperlink xmlns:r="http://schemas.openxmlformats.org/officeDocument/2006/relationships" ref="H1464" r:id="rId1460"/>
    <hyperlink xmlns:r="http://schemas.openxmlformats.org/officeDocument/2006/relationships" ref="H1465" r:id="rId1461"/>
    <hyperlink xmlns:r="http://schemas.openxmlformats.org/officeDocument/2006/relationships" ref="H1466" r:id="rId1462"/>
    <hyperlink xmlns:r="http://schemas.openxmlformats.org/officeDocument/2006/relationships" ref="H1467" r:id="rId1463"/>
    <hyperlink xmlns:r="http://schemas.openxmlformats.org/officeDocument/2006/relationships" ref="H1468" r:id="rId1464"/>
    <hyperlink xmlns:r="http://schemas.openxmlformats.org/officeDocument/2006/relationships" ref="H1469" r:id="rId1465"/>
    <hyperlink xmlns:r="http://schemas.openxmlformats.org/officeDocument/2006/relationships" ref="H1470" r:id="rId1466"/>
    <hyperlink xmlns:r="http://schemas.openxmlformats.org/officeDocument/2006/relationships" ref="H1471" r:id="rId1467"/>
    <hyperlink xmlns:r="http://schemas.openxmlformats.org/officeDocument/2006/relationships" ref="H1472" r:id="rId1468"/>
    <hyperlink xmlns:r="http://schemas.openxmlformats.org/officeDocument/2006/relationships" ref="H1473" r:id="rId1469"/>
    <hyperlink xmlns:r="http://schemas.openxmlformats.org/officeDocument/2006/relationships" ref="H1474" r:id="rId1470"/>
    <hyperlink xmlns:r="http://schemas.openxmlformats.org/officeDocument/2006/relationships" ref="H1475" r:id="rId1471"/>
    <hyperlink xmlns:r="http://schemas.openxmlformats.org/officeDocument/2006/relationships" ref="H1476" r:id="rId1472"/>
    <hyperlink xmlns:r="http://schemas.openxmlformats.org/officeDocument/2006/relationships" ref="H1477" r:id="rId1473"/>
    <hyperlink xmlns:r="http://schemas.openxmlformats.org/officeDocument/2006/relationships" ref="H1478" r:id="rId1474"/>
    <hyperlink xmlns:r="http://schemas.openxmlformats.org/officeDocument/2006/relationships" ref="H1479" r:id="rId1475"/>
    <hyperlink xmlns:r="http://schemas.openxmlformats.org/officeDocument/2006/relationships" ref="H1480" r:id="rId1476"/>
    <hyperlink xmlns:r="http://schemas.openxmlformats.org/officeDocument/2006/relationships" ref="H1481" r:id="rId1477"/>
    <hyperlink xmlns:r="http://schemas.openxmlformats.org/officeDocument/2006/relationships" ref="H1482" r:id="rId1478"/>
    <hyperlink xmlns:r="http://schemas.openxmlformats.org/officeDocument/2006/relationships" ref="H1483" r:id="rId1479"/>
    <hyperlink xmlns:r="http://schemas.openxmlformats.org/officeDocument/2006/relationships" ref="H1484" r:id="rId1480"/>
    <hyperlink xmlns:r="http://schemas.openxmlformats.org/officeDocument/2006/relationships" ref="H1485" r:id="rId1481"/>
    <hyperlink xmlns:r="http://schemas.openxmlformats.org/officeDocument/2006/relationships" ref="H1486" r:id="rId1482"/>
    <hyperlink xmlns:r="http://schemas.openxmlformats.org/officeDocument/2006/relationships" ref="H1487" r:id="rId1483"/>
    <hyperlink xmlns:r="http://schemas.openxmlformats.org/officeDocument/2006/relationships" ref="H1488" r:id="rId1484"/>
    <hyperlink xmlns:r="http://schemas.openxmlformats.org/officeDocument/2006/relationships" ref="H1489" r:id="rId1485"/>
    <hyperlink xmlns:r="http://schemas.openxmlformats.org/officeDocument/2006/relationships" ref="H1490" r:id="rId1486"/>
    <hyperlink xmlns:r="http://schemas.openxmlformats.org/officeDocument/2006/relationships" ref="H1491" r:id="rId1487"/>
    <hyperlink xmlns:r="http://schemas.openxmlformats.org/officeDocument/2006/relationships" ref="H1492" r:id="rId1488"/>
    <hyperlink xmlns:r="http://schemas.openxmlformats.org/officeDocument/2006/relationships" ref="H1493" r:id="rId1489"/>
    <hyperlink xmlns:r="http://schemas.openxmlformats.org/officeDocument/2006/relationships" ref="H1494" r:id="rId1490"/>
    <hyperlink xmlns:r="http://schemas.openxmlformats.org/officeDocument/2006/relationships" ref="H1495" r:id="rId1491"/>
    <hyperlink xmlns:r="http://schemas.openxmlformats.org/officeDocument/2006/relationships" ref="H1496" r:id="rId1492"/>
    <hyperlink xmlns:r="http://schemas.openxmlformats.org/officeDocument/2006/relationships" ref="H1497" r:id="rId1493"/>
    <hyperlink xmlns:r="http://schemas.openxmlformats.org/officeDocument/2006/relationships" ref="H1498" r:id="rId1494"/>
    <hyperlink xmlns:r="http://schemas.openxmlformats.org/officeDocument/2006/relationships" ref="H1499" r:id="rId1495"/>
    <hyperlink xmlns:r="http://schemas.openxmlformats.org/officeDocument/2006/relationships" ref="H1500" r:id="rId1496"/>
    <hyperlink xmlns:r="http://schemas.openxmlformats.org/officeDocument/2006/relationships" ref="H1501" r:id="rId1497"/>
    <hyperlink xmlns:r="http://schemas.openxmlformats.org/officeDocument/2006/relationships" ref="H1502" r:id="rId1498"/>
    <hyperlink xmlns:r="http://schemas.openxmlformats.org/officeDocument/2006/relationships" ref="H1503" r:id="rId1499"/>
    <hyperlink xmlns:r="http://schemas.openxmlformats.org/officeDocument/2006/relationships" ref="H1504" r:id="rId1500"/>
    <hyperlink xmlns:r="http://schemas.openxmlformats.org/officeDocument/2006/relationships" ref="H1505" r:id="rId1501"/>
    <hyperlink xmlns:r="http://schemas.openxmlformats.org/officeDocument/2006/relationships" ref="H1506" r:id="rId1502"/>
    <hyperlink xmlns:r="http://schemas.openxmlformats.org/officeDocument/2006/relationships" ref="H1507" r:id="rId1503"/>
    <hyperlink xmlns:r="http://schemas.openxmlformats.org/officeDocument/2006/relationships" ref="H1508" r:id="rId1504"/>
    <hyperlink xmlns:r="http://schemas.openxmlformats.org/officeDocument/2006/relationships" ref="H1509" r:id="rId1505"/>
    <hyperlink xmlns:r="http://schemas.openxmlformats.org/officeDocument/2006/relationships" ref="H1510" r:id="rId1506"/>
    <hyperlink xmlns:r="http://schemas.openxmlformats.org/officeDocument/2006/relationships" ref="H1511" r:id="rId1507"/>
    <hyperlink xmlns:r="http://schemas.openxmlformats.org/officeDocument/2006/relationships" ref="H1512" r:id="rId1508"/>
    <hyperlink xmlns:r="http://schemas.openxmlformats.org/officeDocument/2006/relationships" ref="H1513" r:id="rId1509"/>
    <hyperlink xmlns:r="http://schemas.openxmlformats.org/officeDocument/2006/relationships" ref="H1514" r:id="rId1510"/>
    <hyperlink xmlns:r="http://schemas.openxmlformats.org/officeDocument/2006/relationships" ref="H1515" r:id="rId1511"/>
    <hyperlink xmlns:r="http://schemas.openxmlformats.org/officeDocument/2006/relationships" ref="H1516" r:id="rId1512"/>
    <hyperlink xmlns:r="http://schemas.openxmlformats.org/officeDocument/2006/relationships" ref="H1517" r:id="rId1513"/>
    <hyperlink xmlns:r="http://schemas.openxmlformats.org/officeDocument/2006/relationships" ref="H1518" r:id="rId1514"/>
    <hyperlink xmlns:r="http://schemas.openxmlformats.org/officeDocument/2006/relationships" ref="H1519" r:id="rId1515"/>
    <hyperlink xmlns:r="http://schemas.openxmlformats.org/officeDocument/2006/relationships" ref="H1520" r:id="rId1516"/>
    <hyperlink xmlns:r="http://schemas.openxmlformats.org/officeDocument/2006/relationships" ref="H1521" r:id="rId1517"/>
    <hyperlink xmlns:r="http://schemas.openxmlformats.org/officeDocument/2006/relationships" ref="H1522" r:id="rId1518"/>
    <hyperlink xmlns:r="http://schemas.openxmlformats.org/officeDocument/2006/relationships" ref="H1523" r:id="rId1519"/>
    <hyperlink xmlns:r="http://schemas.openxmlformats.org/officeDocument/2006/relationships" ref="H1524" r:id="rId1520"/>
    <hyperlink xmlns:r="http://schemas.openxmlformats.org/officeDocument/2006/relationships" ref="H1525" r:id="rId1521"/>
    <hyperlink xmlns:r="http://schemas.openxmlformats.org/officeDocument/2006/relationships" ref="H1526" r:id="rId1522"/>
    <hyperlink xmlns:r="http://schemas.openxmlformats.org/officeDocument/2006/relationships" ref="H1527" r:id="rId1523"/>
    <hyperlink xmlns:r="http://schemas.openxmlformats.org/officeDocument/2006/relationships" ref="H1528" r:id="rId1524"/>
    <hyperlink xmlns:r="http://schemas.openxmlformats.org/officeDocument/2006/relationships" ref="H1529" r:id="rId1525"/>
    <hyperlink xmlns:r="http://schemas.openxmlformats.org/officeDocument/2006/relationships" ref="H1530" r:id="rId1526"/>
    <hyperlink xmlns:r="http://schemas.openxmlformats.org/officeDocument/2006/relationships" ref="H1531" r:id="rId1527"/>
    <hyperlink xmlns:r="http://schemas.openxmlformats.org/officeDocument/2006/relationships" ref="H1532" r:id="rId1528"/>
    <hyperlink xmlns:r="http://schemas.openxmlformats.org/officeDocument/2006/relationships" ref="H1533" r:id="rId1529"/>
    <hyperlink xmlns:r="http://schemas.openxmlformats.org/officeDocument/2006/relationships" ref="H1534" r:id="rId1530"/>
    <hyperlink xmlns:r="http://schemas.openxmlformats.org/officeDocument/2006/relationships" ref="H1535" r:id="rId1531"/>
    <hyperlink xmlns:r="http://schemas.openxmlformats.org/officeDocument/2006/relationships" ref="H1536" r:id="rId1532"/>
    <hyperlink xmlns:r="http://schemas.openxmlformats.org/officeDocument/2006/relationships" ref="H1537" r:id="rId1533"/>
    <hyperlink xmlns:r="http://schemas.openxmlformats.org/officeDocument/2006/relationships" ref="H1538" r:id="rId1534"/>
    <hyperlink xmlns:r="http://schemas.openxmlformats.org/officeDocument/2006/relationships" ref="H1539" r:id="rId1535"/>
    <hyperlink xmlns:r="http://schemas.openxmlformats.org/officeDocument/2006/relationships" ref="H1540" r:id="rId1536"/>
    <hyperlink xmlns:r="http://schemas.openxmlformats.org/officeDocument/2006/relationships" ref="H1541" r:id="rId1537"/>
    <hyperlink xmlns:r="http://schemas.openxmlformats.org/officeDocument/2006/relationships" ref="H1542" r:id="rId1538"/>
    <hyperlink xmlns:r="http://schemas.openxmlformats.org/officeDocument/2006/relationships" ref="H1543" r:id="rId1539"/>
    <hyperlink xmlns:r="http://schemas.openxmlformats.org/officeDocument/2006/relationships" ref="H1544" r:id="rId1540"/>
    <hyperlink xmlns:r="http://schemas.openxmlformats.org/officeDocument/2006/relationships" ref="H1545" r:id="rId1541"/>
    <hyperlink xmlns:r="http://schemas.openxmlformats.org/officeDocument/2006/relationships" ref="H1546" r:id="rId1542"/>
    <hyperlink xmlns:r="http://schemas.openxmlformats.org/officeDocument/2006/relationships" ref="H1547" r:id="rId1543"/>
    <hyperlink xmlns:r="http://schemas.openxmlformats.org/officeDocument/2006/relationships" ref="H1548" r:id="rId1544"/>
    <hyperlink xmlns:r="http://schemas.openxmlformats.org/officeDocument/2006/relationships" ref="H1549" r:id="rId1545"/>
    <hyperlink xmlns:r="http://schemas.openxmlformats.org/officeDocument/2006/relationships" ref="H1550" r:id="rId1546"/>
    <hyperlink xmlns:r="http://schemas.openxmlformats.org/officeDocument/2006/relationships" ref="H1551" r:id="rId1547"/>
    <hyperlink xmlns:r="http://schemas.openxmlformats.org/officeDocument/2006/relationships" ref="H1552" r:id="rId1548"/>
    <hyperlink xmlns:r="http://schemas.openxmlformats.org/officeDocument/2006/relationships" ref="H1553" r:id="rId1549"/>
    <hyperlink xmlns:r="http://schemas.openxmlformats.org/officeDocument/2006/relationships" ref="H1554" r:id="rId1550"/>
    <hyperlink xmlns:r="http://schemas.openxmlformats.org/officeDocument/2006/relationships" ref="H1555" r:id="rId1551"/>
    <hyperlink xmlns:r="http://schemas.openxmlformats.org/officeDocument/2006/relationships" ref="H1556" r:id="rId1552"/>
    <hyperlink xmlns:r="http://schemas.openxmlformats.org/officeDocument/2006/relationships" ref="H1557" r:id="rId1553"/>
    <hyperlink xmlns:r="http://schemas.openxmlformats.org/officeDocument/2006/relationships" ref="H1558" r:id="rId1554"/>
    <hyperlink xmlns:r="http://schemas.openxmlformats.org/officeDocument/2006/relationships" ref="H1559" r:id="rId1555"/>
    <hyperlink xmlns:r="http://schemas.openxmlformats.org/officeDocument/2006/relationships" ref="H1560" r:id="rId1556"/>
    <hyperlink xmlns:r="http://schemas.openxmlformats.org/officeDocument/2006/relationships" ref="H1561" r:id="rId1557"/>
    <hyperlink xmlns:r="http://schemas.openxmlformats.org/officeDocument/2006/relationships" ref="H1562" r:id="rId1558"/>
    <hyperlink xmlns:r="http://schemas.openxmlformats.org/officeDocument/2006/relationships" ref="H1563" r:id="rId1559"/>
    <hyperlink xmlns:r="http://schemas.openxmlformats.org/officeDocument/2006/relationships" ref="H1564" r:id="rId1560"/>
    <hyperlink xmlns:r="http://schemas.openxmlformats.org/officeDocument/2006/relationships" ref="H1565" r:id="rId1561"/>
    <hyperlink xmlns:r="http://schemas.openxmlformats.org/officeDocument/2006/relationships" ref="H1566" r:id="rId1562"/>
    <hyperlink xmlns:r="http://schemas.openxmlformats.org/officeDocument/2006/relationships" ref="H1567" r:id="rId1563"/>
    <hyperlink xmlns:r="http://schemas.openxmlformats.org/officeDocument/2006/relationships" ref="H1568" r:id="rId1564"/>
    <hyperlink xmlns:r="http://schemas.openxmlformats.org/officeDocument/2006/relationships" ref="H1569" r:id="rId1565"/>
    <hyperlink xmlns:r="http://schemas.openxmlformats.org/officeDocument/2006/relationships" ref="H1570" r:id="rId1566"/>
    <hyperlink xmlns:r="http://schemas.openxmlformats.org/officeDocument/2006/relationships" ref="H1571" r:id="rId1567"/>
    <hyperlink xmlns:r="http://schemas.openxmlformats.org/officeDocument/2006/relationships" ref="H1572" r:id="rId1568"/>
    <hyperlink xmlns:r="http://schemas.openxmlformats.org/officeDocument/2006/relationships" ref="H1573" r:id="rId1569"/>
    <hyperlink xmlns:r="http://schemas.openxmlformats.org/officeDocument/2006/relationships" ref="H1574" r:id="rId1570"/>
    <hyperlink xmlns:r="http://schemas.openxmlformats.org/officeDocument/2006/relationships" ref="H1575" r:id="rId1571"/>
    <hyperlink xmlns:r="http://schemas.openxmlformats.org/officeDocument/2006/relationships" ref="H1576" r:id="rId1572"/>
    <hyperlink xmlns:r="http://schemas.openxmlformats.org/officeDocument/2006/relationships" ref="H1577" r:id="rId1573"/>
    <hyperlink xmlns:r="http://schemas.openxmlformats.org/officeDocument/2006/relationships" ref="H1578" r:id="rId1574"/>
    <hyperlink xmlns:r="http://schemas.openxmlformats.org/officeDocument/2006/relationships" ref="H1579" r:id="rId1575"/>
    <hyperlink xmlns:r="http://schemas.openxmlformats.org/officeDocument/2006/relationships" ref="H1580" r:id="rId1576"/>
    <hyperlink xmlns:r="http://schemas.openxmlformats.org/officeDocument/2006/relationships" ref="H1581" r:id="rId1577"/>
    <hyperlink xmlns:r="http://schemas.openxmlformats.org/officeDocument/2006/relationships" ref="H1582" r:id="rId1578"/>
    <hyperlink xmlns:r="http://schemas.openxmlformats.org/officeDocument/2006/relationships" ref="H1583" r:id="rId1579"/>
    <hyperlink xmlns:r="http://schemas.openxmlformats.org/officeDocument/2006/relationships" ref="H1584" r:id="rId1580"/>
    <hyperlink xmlns:r="http://schemas.openxmlformats.org/officeDocument/2006/relationships" ref="H1585" r:id="rId1581"/>
    <hyperlink xmlns:r="http://schemas.openxmlformats.org/officeDocument/2006/relationships" ref="H1586" r:id="rId1582"/>
    <hyperlink xmlns:r="http://schemas.openxmlformats.org/officeDocument/2006/relationships" ref="H1587" r:id="rId1583"/>
    <hyperlink xmlns:r="http://schemas.openxmlformats.org/officeDocument/2006/relationships" ref="H1588" r:id="rId1584"/>
    <hyperlink xmlns:r="http://schemas.openxmlformats.org/officeDocument/2006/relationships" ref="H1589" r:id="rId1585"/>
    <hyperlink xmlns:r="http://schemas.openxmlformats.org/officeDocument/2006/relationships" ref="H1590" r:id="rId1586"/>
    <hyperlink xmlns:r="http://schemas.openxmlformats.org/officeDocument/2006/relationships" ref="H1591" r:id="rId1587"/>
    <hyperlink xmlns:r="http://schemas.openxmlformats.org/officeDocument/2006/relationships" ref="H1592" r:id="rId1588"/>
    <hyperlink xmlns:r="http://schemas.openxmlformats.org/officeDocument/2006/relationships" ref="H1593" r:id="rId1589"/>
    <hyperlink xmlns:r="http://schemas.openxmlformats.org/officeDocument/2006/relationships" ref="H1594" r:id="rId1590"/>
    <hyperlink xmlns:r="http://schemas.openxmlformats.org/officeDocument/2006/relationships" ref="H1595" r:id="rId1591"/>
    <hyperlink xmlns:r="http://schemas.openxmlformats.org/officeDocument/2006/relationships" ref="H1596" r:id="rId1592"/>
    <hyperlink xmlns:r="http://schemas.openxmlformats.org/officeDocument/2006/relationships" ref="H1597" r:id="rId1593"/>
    <hyperlink xmlns:r="http://schemas.openxmlformats.org/officeDocument/2006/relationships" ref="H1598" r:id="rId1594"/>
    <hyperlink xmlns:r="http://schemas.openxmlformats.org/officeDocument/2006/relationships" ref="H1599" r:id="rId1595"/>
    <hyperlink xmlns:r="http://schemas.openxmlformats.org/officeDocument/2006/relationships" ref="H1600" r:id="rId1596"/>
    <hyperlink xmlns:r="http://schemas.openxmlformats.org/officeDocument/2006/relationships" ref="H1601" r:id="rId1597"/>
    <hyperlink xmlns:r="http://schemas.openxmlformats.org/officeDocument/2006/relationships" ref="H1602" r:id="rId1598"/>
    <hyperlink xmlns:r="http://schemas.openxmlformats.org/officeDocument/2006/relationships" ref="H1603" r:id="rId1599"/>
    <hyperlink xmlns:r="http://schemas.openxmlformats.org/officeDocument/2006/relationships" ref="H1604" r:id="rId1600"/>
    <hyperlink xmlns:r="http://schemas.openxmlformats.org/officeDocument/2006/relationships" ref="H1605" r:id="rId1601"/>
    <hyperlink xmlns:r="http://schemas.openxmlformats.org/officeDocument/2006/relationships" ref="H1606" r:id="rId1602"/>
    <hyperlink xmlns:r="http://schemas.openxmlformats.org/officeDocument/2006/relationships" ref="H1607" r:id="rId1603"/>
    <hyperlink xmlns:r="http://schemas.openxmlformats.org/officeDocument/2006/relationships" ref="H1608" r:id="rId1604"/>
    <hyperlink xmlns:r="http://schemas.openxmlformats.org/officeDocument/2006/relationships" ref="H1609" r:id="rId1605"/>
    <hyperlink xmlns:r="http://schemas.openxmlformats.org/officeDocument/2006/relationships" ref="H1610" r:id="rId1606"/>
    <hyperlink xmlns:r="http://schemas.openxmlformats.org/officeDocument/2006/relationships" ref="H1611" r:id="rId1607"/>
    <hyperlink xmlns:r="http://schemas.openxmlformats.org/officeDocument/2006/relationships" ref="H1612" r:id="rId1608"/>
    <hyperlink xmlns:r="http://schemas.openxmlformats.org/officeDocument/2006/relationships" ref="H1613" r:id="rId1609"/>
    <hyperlink xmlns:r="http://schemas.openxmlformats.org/officeDocument/2006/relationships" ref="H1614" r:id="rId1610"/>
    <hyperlink xmlns:r="http://schemas.openxmlformats.org/officeDocument/2006/relationships" ref="H1615" r:id="rId1611"/>
    <hyperlink xmlns:r="http://schemas.openxmlformats.org/officeDocument/2006/relationships" ref="H1616" r:id="rId1612"/>
    <hyperlink xmlns:r="http://schemas.openxmlformats.org/officeDocument/2006/relationships" ref="H1617" r:id="rId1613"/>
    <hyperlink xmlns:r="http://schemas.openxmlformats.org/officeDocument/2006/relationships" ref="H1618" r:id="rId1614"/>
    <hyperlink xmlns:r="http://schemas.openxmlformats.org/officeDocument/2006/relationships" ref="H1619" r:id="rId1615"/>
    <hyperlink xmlns:r="http://schemas.openxmlformats.org/officeDocument/2006/relationships" ref="H1620" r:id="rId1616"/>
    <hyperlink xmlns:r="http://schemas.openxmlformats.org/officeDocument/2006/relationships" ref="H1621" r:id="rId1617"/>
    <hyperlink xmlns:r="http://schemas.openxmlformats.org/officeDocument/2006/relationships" ref="H1622" r:id="rId1618"/>
    <hyperlink xmlns:r="http://schemas.openxmlformats.org/officeDocument/2006/relationships" ref="H1623" r:id="rId1619"/>
    <hyperlink xmlns:r="http://schemas.openxmlformats.org/officeDocument/2006/relationships" ref="H1624" r:id="rId1620"/>
    <hyperlink xmlns:r="http://schemas.openxmlformats.org/officeDocument/2006/relationships" ref="H1625" r:id="rId1621"/>
    <hyperlink xmlns:r="http://schemas.openxmlformats.org/officeDocument/2006/relationships" ref="H1626" r:id="rId1622"/>
    <hyperlink xmlns:r="http://schemas.openxmlformats.org/officeDocument/2006/relationships" ref="H1627" r:id="rId1623"/>
    <hyperlink xmlns:r="http://schemas.openxmlformats.org/officeDocument/2006/relationships" ref="H1628" r:id="rId1624"/>
    <hyperlink xmlns:r="http://schemas.openxmlformats.org/officeDocument/2006/relationships" ref="H1629" r:id="rId1625"/>
    <hyperlink xmlns:r="http://schemas.openxmlformats.org/officeDocument/2006/relationships" ref="H1630" r:id="rId1626"/>
    <hyperlink xmlns:r="http://schemas.openxmlformats.org/officeDocument/2006/relationships" ref="H1631" r:id="rId1627"/>
    <hyperlink xmlns:r="http://schemas.openxmlformats.org/officeDocument/2006/relationships" ref="H1632" r:id="rId1628"/>
    <hyperlink xmlns:r="http://schemas.openxmlformats.org/officeDocument/2006/relationships" ref="H1633" r:id="rId1629"/>
    <hyperlink xmlns:r="http://schemas.openxmlformats.org/officeDocument/2006/relationships" ref="H1634" r:id="rId1630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565B64"/>
    <outlinePr summaryBelow="0" summaryRight="0"/>
    <pageSetUpPr fitToPage="1"/>
  </sheetPr>
  <dimension ref="A1:N1628"/>
  <sheetViews>
    <sheetView showGridLines="0" tabSelected="0" topLeftCell="A1" zoomScale="100" zoomScaleNormal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42" customWidth="1" min="3" max="3"/>
    <col width="38" customWidth="1" min="4" max="4"/>
    <col width="18" customWidth="1" min="5" max="5"/>
    <col width="36" customWidth="1" min="6" max="6"/>
    <col width="18" customWidth="1" min="7" max="7"/>
    <col width="18" customWidth="1" min="8" max="8"/>
    <col width="22" customWidth="1" min="9" max="9"/>
    <col width="34" customWidth="1" min="10" max="10"/>
    <col width="20" customWidth="1" min="11" max="11"/>
    <col width="34" customWidth="1" min="12" max="12"/>
    <col width="46" customWidth="1" min="13" max="13"/>
    <col width="26" customWidth="1" min="14" max="14"/>
  </cols>
  <sheetData>
    <row r="1" ht="32" customHeight="1">
      <c r="A1" s="88" t="inlineStr">
        <is>
          <t>CROSSWALK</t>
        </is>
      </c>
    </row>
    <row r="2" ht="49" customHeight="1">
      <c r="A2" s="89" t="inlineStr">
        <is>
          <t>Inspectable relationship truth: source record → governed relationship → WBS target.</t>
        </is>
      </c>
    </row>
    <row r="3" ht="19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34" customHeight="1">
      <c r="A5" s="91" t="inlineStr">
        <is>
          <t>Source</t>
        </is>
      </c>
      <c r="B5" s="91" t="inlineStr">
        <is>
          <t>Record</t>
        </is>
      </c>
      <c r="C5" s="91" t="inlineStr">
        <is>
          <t>Description</t>
        </is>
      </c>
      <c r="D5" s="91" t="inlineStr">
        <is>
          <t>Source assertion</t>
        </is>
      </c>
      <c r="E5" s="91" t="inlineStr">
        <is>
          <t>Relationship</t>
        </is>
      </c>
      <c r="F5" s="91" t="inlineStr">
        <is>
          <t>Target WBS</t>
        </is>
      </c>
      <c r="G5" s="91" t="inlineStr">
        <is>
          <t>Relationship type</t>
        </is>
      </c>
      <c r="H5" s="91" t="inlineStr">
        <is>
          <t>Lifecycle state</t>
        </is>
      </c>
      <c r="I5" s="91" t="inlineStr">
        <is>
          <t>Change</t>
        </is>
      </c>
      <c r="J5" s="91" t="inlineStr">
        <is>
          <t>Basis / origin</t>
        </is>
      </c>
      <c r="K5" s="91" t="inlineStr">
        <is>
          <t>Decided by</t>
        </is>
      </c>
      <c r="L5" s="91" t="inlineStr">
        <is>
          <t>Target status</t>
        </is>
      </c>
      <c r="M5" s="91" t="inlineStr">
        <is>
          <t>Contrary evidence</t>
        </is>
      </c>
      <c r="N5" s="91" t="inlineStr">
        <is>
          <t>Evidence &amp; decisions</t>
        </is>
      </c>
    </row>
    <row r="6" ht="94" customHeight="1">
      <c r="A6" s="34" t="inlineStr">
        <is>
          <t>Commercial Package Register</t>
        </is>
      </c>
      <c r="B6" s="34" t="inlineStr">
        <is>
          <t>PKG-001</t>
        </is>
      </c>
      <c r="C6" s="34" t="inlineStr">
        <is>
          <t>Guideway Civil Works</t>
        </is>
      </c>
      <c r="D6" s="34" t="inlineStr">
        <is>
          <t>Package Code = PK-101; WBS Code = 1.1;1.2</t>
        </is>
      </c>
      <c r="E6" s="34" t="inlineStr">
        <is>
          <t>R1563-v2</t>
        </is>
      </c>
      <c r="F6" s="34" t="inlineStr">
        <is>
          <t>1.1 Guideway and Civil</t>
        </is>
      </c>
      <c r="G6" s="34" t="inlineStr">
        <is>
          <t>ONE_TO_MANY</t>
        </is>
      </c>
      <c r="H6" s="34" t="inlineStr">
        <is>
          <t>APPROVED</t>
        </is>
      </c>
      <c r="I6" s="34" t="inlineStr">
        <is>
          <t>New</t>
        </is>
      </c>
      <c r="J6" s="34" t="inlineStr">
        <is>
          <t>Professional decision</t>
        </is>
      </c>
      <c r="K6" s="34" t="inlineStr">
        <is>
          <t>Maya Chen, Owner Project Controls</t>
        </is>
      </c>
      <c r="L6" s="14" t="inlineStr"/>
      <c r="M6" s="34" t="inlineStr">
        <is>
          <t>Source states 'WBS Code' = '1.1;1.2' -- names no element of this WBS -- professional reason (Maya Chen, Owner Project Controls): Source package register explicitly states both Owner-WBS branches.</t>
        </is>
      </c>
      <c r="N6" s="92" t="inlineStr">
        <is>
          <t>10 EVIDENCE &amp; DECISIONS</t>
        </is>
      </c>
    </row>
    <row r="7" ht="34" customHeight="1">
      <c r="A7" s="34" t="inlineStr">
        <is>
          <t>Commercial Package Register</t>
        </is>
      </c>
      <c r="B7" s="34" t="inlineStr">
        <is>
          <t>PKG-002</t>
        </is>
      </c>
      <c r="C7" s="34" t="inlineStr">
        <is>
          <t>Utility Relocations</t>
        </is>
      </c>
      <c r="D7" s="34" t="inlineStr">
        <is>
          <t>Package Code = PK-102; WBS Code = 1.1</t>
        </is>
      </c>
      <c r="E7" s="34" t="inlineStr">
        <is>
          <t>R1564-v1</t>
        </is>
      </c>
      <c r="F7" s="34" t="inlineStr">
        <is>
          <t>1.1 Guideway and Civil</t>
        </is>
      </c>
      <c r="G7" s="34" t="inlineStr">
        <is>
          <t>ONE_TO_ONE</t>
        </is>
      </c>
      <c r="H7" s="34" t="inlineStr">
        <is>
          <t>APPROVED</t>
        </is>
      </c>
      <c r="I7" s="34" t="inlineStr">
        <is>
          <t>New</t>
        </is>
      </c>
      <c r="J7" s="34" t="inlineStr">
        <is>
          <t>Source assignment -- not individually reviewed</t>
        </is>
      </c>
      <c r="K7" s="39" t="inlineStr"/>
      <c r="L7" s="14" t="inlineStr"/>
      <c r="M7" s="14" t="inlineStr"/>
      <c r="N7" s="92" t="inlineStr">
        <is>
          <t>10 EVIDENCE &amp; DECISIONS</t>
        </is>
      </c>
    </row>
    <row r="8" ht="34" customHeight="1">
      <c r="A8" s="34" t="inlineStr">
        <is>
          <t>Commercial Package Register</t>
        </is>
      </c>
      <c r="B8" s="34" t="inlineStr">
        <is>
          <t>PKG-003</t>
        </is>
      </c>
      <c r="C8" s="34" t="inlineStr">
        <is>
          <t>Road &amp; Drainage</t>
        </is>
      </c>
      <c r="D8" s="34" t="inlineStr">
        <is>
          <t>Package Code = PK-103; WBS Code = 1.1</t>
        </is>
      </c>
      <c r="E8" s="34" t="inlineStr">
        <is>
          <t>R1565-v1</t>
        </is>
      </c>
      <c r="F8" s="34" t="inlineStr">
        <is>
          <t>1.1 Guideway and Civil</t>
        </is>
      </c>
      <c r="G8" s="34" t="inlineStr">
        <is>
          <t>ONE_TO_ONE</t>
        </is>
      </c>
      <c r="H8" s="34" t="inlineStr">
        <is>
          <t>APPROVED</t>
        </is>
      </c>
      <c r="I8" s="34" t="inlineStr">
        <is>
          <t>New</t>
        </is>
      </c>
      <c r="J8" s="34" t="inlineStr">
        <is>
          <t>Source assignment -- not individually reviewed</t>
        </is>
      </c>
      <c r="K8" s="39" t="inlineStr"/>
      <c r="L8" s="14" t="inlineStr"/>
      <c r="M8" s="14" t="inlineStr"/>
      <c r="N8" s="92" t="inlineStr">
        <is>
          <t>10 EVIDENCE &amp; DECISIONS</t>
        </is>
      </c>
    </row>
    <row r="9" ht="34" customHeight="1">
      <c r="A9" s="34" t="inlineStr">
        <is>
          <t>Commercial Package Register</t>
        </is>
      </c>
      <c r="B9" s="34" t="inlineStr">
        <is>
          <t>PKG-004</t>
        </is>
      </c>
      <c r="C9" s="34" t="inlineStr">
        <is>
          <t>Track Support Works</t>
        </is>
      </c>
      <c r="D9" s="34" t="inlineStr">
        <is>
          <t>Package Code = PK-104; WBS Code = 1.1</t>
        </is>
      </c>
      <c r="E9" s="34" t="inlineStr">
        <is>
          <t>R1566-v1</t>
        </is>
      </c>
      <c r="F9" s="34" t="inlineStr">
        <is>
          <t>1.1 Guideway and Civil</t>
        </is>
      </c>
      <c r="G9" s="34" t="inlineStr">
        <is>
          <t>ONE_TO_ONE</t>
        </is>
      </c>
      <c r="H9" s="34" t="inlineStr">
        <is>
          <t>APPROVED</t>
        </is>
      </c>
      <c r="I9" s="34" t="inlineStr">
        <is>
          <t>New</t>
        </is>
      </c>
      <c r="J9" s="34" t="inlineStr">
        <is>
          <t>Source assignment -- not individually reviewed</t>
        </is>
      </c>
      <c r="K9" s="39" t="inlineStr"/>
      <c r="L9" s="14" t="inlineStr"/>
      <c r="M9" s="14" t="inlineStr"/>
      <c r="N9" s="92" t="inlineStr">
        <is>
          <t>10 EVIDENCE &amp; DECISIONS</t>
        </is>
      </c>
    </row>
    <row r="10" ht="34" customHeight="1">
      <c r="A10" s="34" t="inlineStr">
        <is>
          <t>Commercial Package Register</t>
        </is>
      </c>
      <c r="B10" s="34" t="inlineStr">
        <is>
          <t>PKG-005</t>
        </is>
      </c>
      <c r="C10" s="34" t="inlineStr">
        <is>
          <t>Guideway Civil Works - Lot 2</t>
        </is>
      </c>
      <c r="D10" s="34" t="inlineStr">
        <is>
          <t>Package Code = PK-105; WBS Code = 1.1</t>
        </is>
      </c>
      <c r="E10" s="34" t="inlineStr">
        <is>
          <t>R1567-v1</t>
        </is>
      </c>
      <c r="F10" s="34" t="inlineStr">
        <is>
          <t>1.1 Guideway and Civil</t>
        </is>
      </c>
      <c r="G10" s="34" t="inlineStr">
        <is>
          <t>ONE_TO_ONE</t>
        </is>
      </c>
      <c r="H10" s="34" t="inlineStr">
        <is>
          <t>APPROVED</t>
        </is>
      </c>
      <c r="I10" s="34" t="inlineStr">
        <is>
          <t>New</t>
        </is>
      </c>
      <c r="J10" s="34" t="inlineStr">
        <is>
          <t>Source assignment -- not individually reviewed</t>
        </is>
      </c>
      <c r="K10" s="39" t="inlineStr"/>
      <c r="L10" s="14" t="inlineStr"/>
      <c r="M10" s="14" t="inlineStr"/>
      <c r="N10" s="92" t="inlineStr">
        <is>
          <t>10 EVIDENCE &amp; DECISIONS</t>
        </is>
      </c>
    </row>
    <row r="11" ht="34" customHeight="1">
      <c r="A11" s="34" t="inlineStr">
        <is>
          <t>Commercial Package Register</t>
        </is>
      </c>
      <c r="B11" s="34" t="inlineStr">
        <is>
          <t>PKG-006</t>
        </is>
      </c>
      <c r="C11" s="34" t="inlineStr">
        <is>
          <t>Utility Relocations - Lot 2</t>
        </is>
      </c>
      <c r="D11" s="34" t="inlineStr">
        <is>
          <t>Package Code = PK-106; WBS Code = 1.1</t>
        </is>
      </c>
      <c r="E11" s="34" t="inlineStr">
        <is>
          <t>R1568-v1</t>
        </is>
      </c>
      <c r="F11" s="34" t="inlineStr">
        <is>
          <t>1.1 Guideway and Civil</t>
        </is>
      </c>
      <c r="G11" s="34" t="inlineStr">
        <is>
          <t>ONE_TO_ONE</t>
        </is>
      </c>
      <c r="H11" s="34" t="inlineStr">
        <is>
          <t>APPROVED</t>
        </is>
      </c>
      <c r="I11" s="34" t="inlineStr">
        <is>
          <t>New</t>
        </is>
      </c>
      <c r="J11" s="34" t="inlineStr">
        <is>
          <t>Source assignment -- not individually reviewed</t>
        </is>
      </c>
      <c r="K11" s="39" t="inlineStr"/>
      <c r="L11" s="14" t="inlineStr"/>
      <c r="M11" s="14" t="inlineStr"/>
      <c r="N11" s="92" t="inlineStr">
        <is>
          <t>10 EVIDENCE &amp; DECISIONS</t>
        </is>
      </c>
    </row>
    <row r="12" ht="34" customHeight="1">
      <c r="A12" s="34" t="inlineStr">
        <is>
          <t>Commercial Package Register</t>
        </is>
      </c>
      <c r="B12" s="34" t="inlineStr">
        <is>
          <t>PKG-007</t>
        </is>
      </c>
      <c r="C12" s="34" t="inlineStr">
        <is>
          <t>Road &amp; Drainage - Lot 2</t>
        </is>
      </c>
      <c r="D12" s="34" t="inlineStr">
        <is>
          <t>Package Code = PK-107; WBS Code = 1.1</t>
        </is>
      </c>
      <c r="E12" s="34" t="inlineStr">
        <is>
          <t>R1569-v1</t>
        </is>
      </c>
      <c r="F12" s="34" t="inlineStr">
        <is>
          <t>1.1 Guideway and Civil</t>
        </is>
      </c>
      <c r="G12" s="34" t="inlineStr">
        <is>
          <t>ONE_TO_ONE</t>
        </is>
      </c>
      <c r="H12" s="34" t="inlineStr">
        <is>
          <t>APPROVED</t>
        </is>
      </c>
      <c r="I12" s="34" t="inlineStr">
        <is>
          <t>New</t>
        </is>
      </c>
      <c r="J12" s="34" t="inlineStr">
        <is>
          <t>Source assignment -- not individually reviewed</t>
        </is>
      </c>
      <c r="K12" s="39" t="inlineStr"/>
      <c r="L12" s="14" t="inlineStr"/>
      <c r="M12" s="14" t="inlineStr"/>
      <c r="N12" s="92" t="inlineStr">
        <is>
          <t>10 EVIDENCE &amp; DECISIONS</t>
        </is>
      </c>
    </row>
    <row r="13" ht="34" customHeight="1">
      <c r="A13" s="34" t="inlineStr">
        <is>
          <t>Commercial Package Register</t>
        </is>
      </c>
      <c r="B13" s="34" t="inlineStr">
        <is>
          <t>PKG-008</t>
        </is>
      </c>
      <c r="C13" s="34" t="inlineStr">
        <is>
          <t>Track Support Works - Lot 2</t>
        </is>
      </c>
      <c r="D13" s="34" t="inlineStr">
        <is>
          <t>Package Code = PK-108; WBS Code = 1.1</t>
        </is>
      </c>
      <c r="E13" s="34" t="inlineStr">
        <is>
          <t>R1570-v1</t>
        </is>
      </c>
      <c r="F13" s="34" t="inlineStr">
        <is>
          <t>1.1 Guideway and Civil</t>
        </is>
      </c>
      <c r="G13" s="34" t="inlineStr">
        <is>
          <t>ONE_TO_ONE</t>
        </is>
      </c>
      <c r="H13" s="34" t="inlineStr">
        <is>
          <t>APPROVED</t>
        </is>
      </c>
      <c r="I13" s="34" t="inlineStr">
        <is>
          <t>New</t>
        </is>
      </c>
      <c r="J13" s="34" t="inlineStr">
        <is>
          <t>Source assignment -- not individually reviewed</t>
        </is>
      </c>
      <c r="K13" s="39" t="inlineStr"/>
      <c r="L13" s="14" t="inlineStr"/>
      <c r="M13" s="14" t="inlineStr"/>
      <c r="N13" s="92" t="inlineStr">
        <is>
          <t>10 EVIDENCE &amp; DECISIONS</t>
        </is>
      </c>
    </row>
    <row r="14" ht="34" customHeight="1">
      <c r="A14" s="34" t="inlineStr">
        <is>
          <t>Commercial Package Register</t>
        </is>
      </c>
      <c r="B14" s="34" t="inlineStr">
        <is>
          <t>PKG-009</t>
        </is>
      </c>
      <c r="C14" s="34" t="inlineStr">
        <is>
          <t>Guideway Civil Works - Lot 3</t>
        </is>
      </c>
      <c r="D14" s="34" t="inlineStr">
        <is>
          <t>Package Code = PK-109; WBS Code = 1.1</t>
        </is>
      </c>
      <c r="E14" s="34" t="inlineStr">
        <is>
          <t>R1571-v1</t>
        </is>
      </c>
      <c r="F14" s="34" t="inlineStr">
        <is>
          <t>1.1 Guideway and Civil</t>
        </is>
      </c>
      <c r="G14" s="34" t="inlineStr">
        <is>
          <t>ONE_TO_ONE</t>
        </is>
      </c>
      <c r="H14" s="34" t="inlineStr">
        <is>
          <t>APPROVED</t>
        </is>
      </c>
      <c r="I14" s="34" t="inlineStr">
        <is>
          <t>New</t>
        </is>
      </c>
      <c r="J14" s="34" t="inlineStr">
        <is>
          <t>Source assignment -- not individually reviewed</t>
        </is>
      </c>
      <c r="K14" s="39" t="inlineStr"/>
      <c r="L14" s="14" t="inlineStr"/>
      <c r="M14" s="14" t="inlineStr"/>
      <c r="N14" s="92" t="inlineStr">
        <is>
          <t>10 EVIDENCE &amp; DECISIONS</t>
        </is>
      </c>
    </row>
    <row r="15" ht="34" customHeight="1">
      <c r="A15" s="34" t="inlineStr">
        <is>
          <t>Commercial Package Register</t>
        </is>
      </c>
      <c r="B15" s="34" t="inlineStr">
        <is>
          <t>PKG-010</t>
        </is>
      </c>
      <c r="C15" s="34" t="inlineStr">
        <is>
          <t>Utility Relocations - Lot 3</t>
        </is>
      </c>
      <c r="D15" s="34" t="inlineStr">
        <is>
          <t>Package Code = PK-110; WBS Code = 1.1</t>
        </is>
      </c>
      <c r="E15" s="34" t="inlineStr">
        <is>
          <t>R1572-v1</t>
        </is>
      </c>
      <c r="F15" s="34" t="inlineStr">
        <is>
          <t>1.1 Guideway and Civil</t>
        </is>
      </c>
      <c r="G15" s="34" t="inlineStr">
        <is>
          <t>ONE_TO_ONE</t>
        </is>
      </c>
      <c r="H15" s="34" t="inlineStr">
        <is>
          <t>APPROVED</t>
        </is>
      </c>
      <c r="I15" s="34" t="inlineStr">
        <is>
          <t>New</t>
        </is>
      </c>
      <c r="J15" s="34" t="inlineStr">
        <is>
          <t>Source assignment -- not individually reviewed</t>
        </is>
      </c>
      <c r="K15" s="39" t="inlineStr"/>
      <c r="L15" s="14" t="inlineStr"/>
      <c r="M15" s="14" t="inlineStr"/>
      <c r="N15" s="92" t="inlineStr">
        <is>
          <t>10 EVIDENCE &amp; DECISIONS</t>
        </is>
      </c>
    </row>
    <row r="16" ht="34" customHeight="1">
      <c r="A16" s="34" t="inlineStr">
        <is>
          <t>Contractor Programme</t>
        </is>
      </c>
      <c r="B16" s="34" t="inlineStr">
        <is>
          <t>SCH-01-001</t>
        </is>
      </c>
      <c r="C16" s="34" t="inlineStr">
        <is>
          <t>West approach: track-slab survey - installation</t>
        </is>
      </c>
      <c r="D16" s="34" t="inlineStr">
        <is>
          <t>WBS Code = 1.1.1</t>
        </is>
      </c>
      <c r="E16" s="34" t="inlineStr">
        <is>
          <t>R1-v1</t>
        </is>
      </c>
      <c r="F16" s="34" t="inlineStr">
        <is>
          <t>1.1.1 Guideway and Civil - Guideway Structures</t>
        </is>
      </c>
      <c r="G16" s="34" t="inlineStr">
        <is>
          <t>ONE_TO_ONE</t>
        </is>
      </c>
      <c r="H16" s="34" t="inlineStr">
        <is>
          <t>APPROVED</t>
        </is>
      </c>
      <c r="I16" s="34" t="inlineStr">
        <is>
          <t>New</t>
        </is>
      </c>
      <c r="J16" s="34" t="inlineStr">
        <is>
          <t>Source assignment -- not individually reviewed</t>
        </is>
      </c>
      <c r="K16" s="39" t="inlineStr"/>
      <c r="L16" s="14" t="inlineStr"/>
      <c r="M16" s="14" t="inlineStr"/>
      <c r="N16" s="92" t="inlineStr">
        <is>
          <t>10 EVIDENCE &amp; DECISIONS</t>
        </is>
      </c>
    </row>
    <row r="17" ht="34" customHeight="1">
      <c r="A17" s="34" t="inlineStr">
        <is>
          <t>Contractor Programme</t>
        </is>
      </c>
      <c r="B17" s="34" t="inlineStr">
        <is>
          <t>SCH-01-002</t>
        </is>
      </c>
      <c r="C17" s="34" t="inlineStr">
        <is>
          <t>Depot lead: temporary traffic staging - inspection</t>
        </is>
      </c>
      <c r="D17" s="34" t="inlineStr">
        <is>
          <t>WBS Code = 1.1.1</t>
        </is>
      </c>
      <c r="E17" s="34" t="inlineStr">
        <is>
          <t>R2-v1</t>
        </is>
      </c>
      <c r="F17" s="34" t="inlineStr">
        <is>
          <t>1.1.1 Guideway and Civil - Guideway Structures</t>
        </is>
      </c>
      <c r="G17" s="34" t="inlineStr">
        <is>
          <t>ONE_TO_ONE</t>
        </is>
      </c>
      <c r="H17" s="34" t="inlineStr">
        <is>
          <t>APPROVED</t>
        </is>
      </c>
      <c r="I17" s="34" t="inlineStr">
        <is>
          <t>New</t>
        </is>
      </c>
      <c r="J17" s="34" t="inlineStr">
        <is>
          <t>Source assignment -- not individually reviewed</t>
        </is>
      </c>
      <c r="K17" s="39" t="inlineStr"/>
      <c r="L17" s="14" t="inlineStr"/>
      <c r="M17" s="14" t="inlineStr"/>
      <c r="N17" s="92" t="inlineStr">
        <is>
          <t>10 EVIDENCE &amp; DECISIONS</t>
        </is>
      </c>
    </row>
    <row r="18" ht="34" customHeight="1">
      <c r="A18" s="34" t="inlineStr">
        <is>
          <t>Contractor Programme</t>
        </is>
      </c>
      <c r="B18" s="34" t="inlineStr">
        <is>
          <t>SCH-01-004</t>
        </is>
      </c>
      <c r="C18" s="34" t="inlineStr">
        <is>
          <t>River crossing: road restoration - release</t>
        </is>
      </c>
      <c r="D18" s="34" t="inlineStr">
        <is>
          <t>WBS Code = 1.1.1</t>
        </is>
      </c>
      <c r="E18" s="34" t="inlineStr">
        <is>
          <t>R4-v1</t>
        </is>
      </c>
      <c r="F18" s="34" t="inlineStr">
        <is>
          <t>1.1.1 Guideway and Civil - Guideway Structures</t>
        </is>
      </c>
      <c r="G18" s="34" t="inlineStr">
        <is>
          <t>ONE_TO_ONE</t>
        </is>
      </c>
      <c r="H18" s="34" t="inlineStr">
        <is>
          <t>APPROVED</t>
        </is>
      </c>
      <c r="I18" s="34" t="inlineStr">
        <is>
          <t>New</t>
        </is>
      </c>
      <c r="J18" s="34" t="inlineStr">
        <is>
          <t>Source assignment -- not individually reviewed</t>
        </is>
      </c>
      <c r="K18" s="39" t="inlineStr"/>
      <c r="L18" s="14" t="inlineStr"/>
      <c r="M18" s="14" t="inlineStr"/>
      <c r="N18" s="92" t="inlineStr">
        <is>
          <t>10 EVIDENCE &amp; DECISIONS</t>
        </is>
      </c>
    </row>
    <row r="19" ht="34" customHeight="1">
      <c r="A19" s="34" t="inlineStr">
        <is>
          <t>Contractor Programme</t>
        </is>
      </c>
      <c r="B19" s="34" t="inlineStr">
        <is>
          <t>SCH-01-005</t>
        </is>
      </c>
      <c r="C19" s="34" t="inlineStr">
        <is>
          <t>Central guideway: drilled-shaft installation - field start</t>
        </is>
      </c>
      <c r="D19" s="34" t="inlineStr">
        <is>
          <t>WBS Code = 1.1.1</t>
        </is>
      </c>
      <c r="E19" s="34" t="inlineStr">
        <is>
          <t>R5-v1</t>
        </is>
      </c>
      <c r="F19" s="34" t="inlineStr">
        <is>
          <t>1.1.1 Guideway and Civil - Guideway Structures</t>
        </is>
      </c>
      <c r="G19" s="34" t="inlineStr">
        <is>
          <t>ONE_TO_ONE</t>
        </is>
      </c>
      <c r="H19" s="34" t="inlineStr">
        <is>
          <t>APPROVED</t>
        </is>
      </c>
      <c r="I19" s="34" t="inlineStr">
        <is>
          <t>New</t>
        </is>
      </c>
      <c r="J19" s="34" t="inlineStr">
        <is>
          <t>Source assignment -- not individually reviewed</t>
        </is>
      </c>
      <c r="K19" s="39" t="inlineStr"/>
      <c r="L19" s="14" t="inlineStr"/>
      <c r="M19" s="14" t="inlineStr"/>
      <c r="N19" s="92" t="inlineStr">
        <is>
          <t>10 EVIDENCE &amp; DECISIONS</t>
        </is>
      </c>
    </row>
    <row r="20" ht="34" customHeight="1">
      <c r="A20" s="34" t="inlineStr">
        <is>
          <t>Contractor Programme</t>
        </is>
      </c>
      <c r="B20" s="34" t="inlineStr">
        <is>
          <t>SCH-01-007</t>
        </is>
      </c>
      <c r="C20" s="34" t="inlineStr">
        <is>
          <t>Depot lead: drainage tie-in - inspection</t>
        </is>
      </c>
      <c r="D20" s="34" t="inlineStr">
        <is>
          <t>WBS Code = 1.1.1</t>
        </is>
      </c>
      <c r="E20" s="34" t="inlineStr">
        <is>
          <t>R7-v1</t>
        </is>
      </c>
      <c r="F20" s="34" t="inlineStr">
        <is>
          <t>1.1.1 Guideway and Civil - Guideway Structures</t>
        </is>
      </c>
      <c r="G20" s="34" t="inlineStr">
        <is>
          <t>ONE_TO_ONE</t>
        </is>
      </c>
      <c r="H20" s="34" t="inlineStr">
        <is>
          <t>APPROVED</t>
        </is>
      </c>
      <c r="I20" s="34" t="inlineStr">
        <is>
          <t>New</t>
        </is>
      </c>
      <c r="J20" s="34" t="inlineStr">
        <is>
          <t>Source assignment -- not individually reviewed</t>
        </is>
      </c>
      <c r="K20" s="39" t="inlineStr"/>
      <c r="L20" s="14" t="inlineStr"/>
      <c r="M20" s="14" t="inlineStr"/>
      <c r="N20" s="92" t="inlineStr">
        <is>
          <t>10 EVIDENCE &amp; DECISIONS</t>
        </is>
      </c>
    </row>
    <row r="21" ht="34" customHeight="1">
      <c r="A21" s="34" t="inlineStr">
        <is>
          <t>Contractor Programme</t>
        </is>
      </c>
      <c r="B21" s="34" t="inlineStr">
        <is>
          <t>SCH-01-008</t>
        </is>
      </c>
      <c r="C21" s="34" t="inlineStr">
        <is>
          <t>East portal: utility relocation - turnover</t>
        </is>
      </c>
      <c r="D21" s="34" t="inlineStr">
        <is>
          <t>WBS Code = 1.1.1</t>
        </is>
      </c>
      <c r="E21" s="34" t="inlineStr">
        <is>
          <t>R8-v1</t>
        </is>
      </c>
      <c r="F21" s="34" t="inlineStr">
        <is>
          <t>1.1.1 Guideway and Civil - Guideway Structures</t>
        </is>
      </c>
      <c r="G21" s="34" t="inlineStr">
        <is>
          <t>ONE_TO_ONE</t>
        </is>
      </c>
      <c r="H21" s="34" t="inlineStr">
        <is>
          <t>APPROVED</t>
        </is>
      </c>
      <c r="I21" s="34" t="inlineStr">
        <is>
          <t>New</t>
        </is>
      </c>
      <c r="J21" s="34" t="inlineStr">
        <is>
          <t>Source assignment -- not individually reviewed</t>
        </is>
      </c>
      <c r="K21" s="39" t="inlineStr"/>
      <c r="L21" s="14" t="inlineStr"/>
      <c r="M21" s="14" t="inlineStr"/>
      <c r="N21" s="92" t="inlineStr">
        <is>
          <t>10 EVIDENCE &amp; DECISIONS</t>
        </is>
      </c>
    </row>
    <row r="22" ht="34" customHeight="1">
      <c r="A22" s="34" t="inlineStr">
        <is>
          <t>Contractor Programme</t>
        </is>
      </c>
      <c r="B22" s="34" t="inlineStr">
        <is>
          <t>SCH-01-010</t>
        </is>
      </c>
      <c r="C22" s="34" t="inlineStr">
        <is>
          <t>Central guideway: temporary traffic staging - field start</t>
        </is>
      </c>
      <c r="D22" s="34" t="inlineStr">
        <is>
          <t>WBS Code = 1.1.1</t>
        </is>
      </c>
      <c r="E22" s="34" t="inlineStr">
        <is>
          <t>R10-v1</t>
        </is>
      </c>
      <c r="F22" s="34" t="inlineStr">
        <is>
          <t>1.1.1 Guideway and Civil - Guideway Structures</t>
        </is>
      </c>
      <c r="G22" s="34" t="inlineStr">
        <is>
          <t>ONE_TO_ONE</t>
        </is>
      </c>
      <c r="H22" s="34" t="inlineStr">
        <is>
          <t>APPROVED</t>
        </is>
      </c>
      <c r="I22" s="34" t="inlineStr">
        <is>
          <t>New</t>
        </is>
      </c>
      <c r="J22" s="34" t="inlineStr">
        <is>
          <t>Source assignment -- not individually reviewed</t>
        </is>
      </c>
      <c r="K22" s="39" t="inlineStr"/>
      <c r="L22" s="14" t="inlineStr"/>
      <c r="M22" s="14" t="inlineStr"/>
      <c r="N22" s="92" t="inlineStr">
        <is>
          <t>10 EVIDENCE &amp; DECISIONS</t>
        </is>
      </c>
    </row>
    <row r="23" ht="34" customHeight="1">
      <c r="A23" s="34" t="inlineStr">
        <is>
          <t>Contractor Programme</t>
        </is>
      </c>
      <c r="B23" s="34" t="inlineStr">
        <is>
          <t>SCH-01-011</t>
        </is>
      </c>
      <c r="C23" s="34" t="inlineStr">
        <is>
          <t>West approach: guideway pier reinforcement - installation</t>
        </is>
      </c>
      <c r="D23" s="34" t="inlineStr">
        <is>
          <t>WBS Code = 1.1.1</t>
        </is>
      </c>
      <c r="E23" s="34" t="inlineStr">
        <is>
          <t>R11-v1</t>
        </is>
      </c>
      <c r="F23" s="34" t="inlineStr">
        <is>
          <t>1.1.1 Guideway and Civil - Guideway Structures</t>
        </is>
      </c>
      <c r="G23" s="34" t="inlineStr">
        <is>
          <t>ONE_TO_ONE</t>
        </is>
      </c>
      <c r="H23" s="34" t="inlineStr">
        <is>
          <t>APPROVED</t>
        </is>
      </c>
      <c r="I23" s="34" t="inlineStr">
        <is>
          <t>New</t>
        </is>
      </c>
      <c r="J23" s="34" t="inlineStr">
        <is>
          <t>Source assignment -- not individually reviewed</t>
        </is>
      </c>
      <c r="K23" s="39" t="inlineStr"/>
      <c r="L23" s="14" t="inlineStr"/>
      <c r="M23" s="14" t="inlineStr"/>
      <c r="N23" s="92" t="inlineStr">
        <is>
          <t>10 EVIDENCE &amp; DECISIONS</t>
        </is>
      </c>
    </row>
    <row r="24" ht="34" customHeight="1">
      <c r="A24" s="34" t="inlineStr">
        <is>
          <t>Contractor Programme</t>
        </is>
      </c>
      <c r="B24" s="34" t="inlineStr">
        <is>
          <t>SCH-01-013</t>
        </is>
      </c>
      <c r="C24" s="34" t="inlineStr">
        <is>
          <t>East portal: drilled-shaft installation - turnover</t>
        </is>
      </c>
      <c r="D24" s="34" t="inlineStr">
        <is>
          <t>WBS Code = 1.1.1</t>
        </is>
      </c>
      <c r="E24" s="34" t="inlineStr">
        <is>
          <t>R13-v1</t>
        </is>
      </c>
      <c r="F24" s="34" t="inlineStr">
        <is>
          <t>1.1.1 Guideway and Civil - Guideway Structures</t>
        </is>
      </c>
      <c r="G24" s="34" t="inlineStr">
        <is>
          <t>ONE_TO_ONE</t>
        </is>
      </c>
      <c r="H24" s="34" t="inlineStr">
        <is>
          <t>APPROVED</t>
        </is>
      </c>
      <c r="I24" s="34" t="inlineStr">
        <is>
          <t>New</t>
        </is>
      </c>
      <c r="J24" s="34" t="inlineStr">
        <is>
          <t>Source assignment -- not individually reviewed</t>
        </is>
      </c>
      <c r="K24" s="39" t="inlineStr"/>
      <c r="L24" s="14" t="inlineStr"/>
      <c r="M24" s="14" t="inlineStr"/>
      <c r="N24" s="92" t="inlineStr">
        <is>
          <t>10 EVIDENCE &amp; DECISIONS</t>
        </is>
      </c>
    </row>
    <row r="25" ht="34" customHeight="1">
      <c r="A25" s="34" t="inlineStr">
        <is>
          <t>Contractor Programme</t>
        </is>
      </c>
      <c r="B25" s="34" t="inlineStr">
        <is>
          <t>SCH-01-014</t>
        </is>
      </c>
      <c r="C25" s="34" t="inlineStr">
        <is>
          <t>River crossing: retaining-wall excavation - release</t>
        </is>
      </c>
      <c r="D25" s="34" t="inlineStr">
        <is>
          <t>WBS Code = 1.1.1</t>
        </is>
      </c>
      <c r="E25" s="34" t="inlineStr">
        <is>
          <t>R14-v1</t>
        </is>
      </c>
      <c r="F25" s="34" t="inlineStr">
        <is>
          <t>1.1.1 Guideway and Civil - Guideway Structures</t>
        </is>
      </c>
      <c r="G25" s="34" t="inlineStr">
        <is>
          <t>ONE_TO_ONE</t>
        </is>
      </c>
      <c r="H25" s="34" t="inlineStr">
        <is>
          <t>APPROVED</t>
        </is>
      </c>
      <c r="I25" s="34" t="inlineStr">
        <is>
          <t>New</t>
        </is>
      </c>
      <c r="J25" s="34" t="inlineStr">
        <is>
          <t>Source assignment -- not individually reviewed</t>
        </is>
      </c>
      <c r="K25" s="39" t="inlineStr"/>
      <c r="L25" s="14" t="inlineStr"/>
      <c r="M25" s="14" t="inlineStr"/>
      <c r="N25" s="92" t="inlineStr">
        <is>
          <t>10 EVIDENCE &amp; DECISIONS</t>
        </is>
      </c>
    </row>
    <row r="26" ht="34" customHeight="1">
      <c r="A26" s="34" t="inlineStr">
        <is>
          <t>Contractor Programme</t>
        </is>
      </c>
      <c r="B26" s="34" t="inlineStr">
        <is>
          <t>SCH-01-016</t>
        </is>
      </c>
      <c r="C26" s="34" t="inlineStr">
        <is>
          <t>West approach: utility relocation - installation</t>
        </is>
      </c>
      <c r="D26" s="34" t="inlineStr">
        <is>
          <t>WBS Code = 1.1.1</t>
        </is>
      </c>
      <c r="E26" s="34" t="inlineStr">
        <is>
          <t>R16-v1</t>
        </is>
      </c>
      <c r="F26" s="34" t="inlineStr">
        <is>
          <t>1.1.1 Guideway and Civil - Guideway Structures</t>
        </is>
      </c>
      <c r="G26" s="34" t="inlineStr">
        <is>
          <t>ONE_TO_ONE</t>
        </is>
      </c>
      <c r="H26" s="34" t="inlineStr">
        <is>
          <t>APPROVED</t>
        </is>
      </c>
      <c r="I26" s="34" t="inlineStr">
        <is>
          <t>New</t>
        </is>
      </c>
      <c r="J26" s="34" t="inlineStr">
        <is>
          <t>Source assignment -- not individually reviewed</t>
        </is>
      </c>
      <c r="K26" s="39" t="inlineStr"/>
      <c r="L26" s="14" t="inlineStr"/>
      <c r="M26" s="14" t="inlineStr"/>
      <c r="N26" s="92" t="inlineStr">
        <is>
          <t>10 EVIDENCE &amp; DECISIONS</t>
        </is>
      </c>
    </row>
    <row r="27" ht="34" customHeight="1">
      <c r="A27" s="34" t="inlineStr">
        <is>
          <t>Contractor Programme</t>
        </is>
      </c>
      <c r="B27" s="34" t="inlineStr">
        <is>
          <t>SCH-01-017</t>
        </is>
      </c>
      <c r="C27" s="34" t="inlineStr">
        <is>
          <t>Depot lead: track-slab survey - inspection</t>
        </is>
      </c>
      <c r="D27" s="34" t="inlineStr">
        <is>
          <t>WBS Code = 1.1.1</t>
        </is>
      </c>
      <c r="E27" s="34" t="inlineStr">
        <is>
          <t>R17-v1</t>
        </is>
      </c>
      <c r="F27" s="34" t="inlineStr">
        <is>
          <t>1.1.1 Guideway and Civil - Guideway Structures</t>
        </is>
      </c>
      <c r="G27" s="34" t="inlineStr">
        <is>
          <t>ONE_TO_ONE</t>
        </is>
      </c>
      <c r="H27" s="34" t="inlineStr">
        <is>
          <t>APPROVED</t>
        </is>
      </c>
      <c r="I27" s="34" t="inlineStr">
        <is>
          <t>New</t>
        </is>
      </c>
      <c r="J27" s="34" t="inlineStr">
        <is>
          <t>Source assignment -- not individually reviewed</t>
        </is>
      </c>
      <c r="K27" s="39" t="inlineStr"/>
      <c r="L27" s="14" t="inlineStr"/>
      <c r="M27" s="14" t="inlineStr"/>
      <c r="N27" s="92" t="inlineStr">
        <is>
          <t>10 EVIDENCE &amp; DECISIONS</t>
        </is>
      </c>
    </row>
    <row r="28" ht="34" customHeight="1">
      <c r="A28" s="34" t="inlineStr">
        <is>
          <t>Contractor Programme</t>
        </is>
      </c>
      <c r="B28" s="34" t="inlineStr">
        <is>
          <t>SCH-01-019</t>
        </is>
      </c>
      <c r="C28" s="34" t="inlineStr">
        <is>
          <t>River crossing: guideway pier reinforcement - release</t>
        </is>
      </c>
      <c r="D28" s="34" t="inlineStr">
        <is>
          <t>WBS Code = 1.1.1</t>
        </is>
      </c>
      <c r="E28" s="34" t="inlineStr">
        <is>
          <t>R19-v1</t>
        </is>
      </c>
      <c r="F28" s="34" t="inlineStr">
        <is>
          <t>1.1.1 Guideway and Civil - Guideway Structures</t>
        </is>
      </c>
      <c r="G28" s="34" t="inlineStr">
        <is>
          <t>ONE_TO_ONE</t>
        </is>
      </c>
      <c r="H28" s="34" t="inlineStr">
        <is>
          <t>APPROVED</t>
        </is>
      </c>
      <c r="I28" s="34" t="inlineStr">
        <is>
          <t>New</t>
        </is>
      </c>
      <c r="J28" s="34" t="inlineStr">
        <is>
          <t>Source assignment -- not individually reviewed</t>
        </is>
      </c>
      <c r="K28" s="39" t="inlineStr"/>
      <c r="L28" s="14" t="inlineStr"/>
      <c r="M28" s="14" t="inlineStr"/>
      <c r="N28" s="92" t="inlineStr">
        <is>
          <t>10 EVIDENCE &amp; DECISIONS</t>
        </is>
      </c>
    </row>
    <row r="29" ht="34" customHeight="1">
      <c r="A29" s="34" t="inlineStr">
        <is>
          <t>Contractor Programme</t>
        </is>
      </c>
      <c r="B29" s="34" t="inlineStr">
        <is>
          <t>SCH-01-020</t>
        </is>
      </c>
      <c r="C29" s="34" t="inlineStr">
        <is>
          <t>Central guideway: road restoration - field start</t>
        </is>
      </c>
      <c r="D29" s="34" t="inlineStr">
        <is>
          <t>WBS Code = 1.1.1</t>
        </is>
      </c>
      <c r="E29" s="34" t="inlineStr">
        <is>
          <t>R20-v1</t>
        </is>
      </c>
      <c r="F29" s="34" t="inlineStr">
        <is>
          <t>1.1.1 Guideway and Civil - Guideway Structures</t>
        </is>
      </c>
      <c r="G29" s="34" t="inlineStr">
        <is>
          <t>ONE_TO_ONE</t>
        </is>
      </c>
      <c r="H29" s="34" t="inlineStr">
        <is>
          <t>APPROVED</t>
        </is>
      </c>
      <c r="I29" s="34" t="inlineStr">
        <is>
          <t>New</t>
        </is>
      </c>
      <c r="J29" s="34" t="inlineStr">
        <is>
          <t>Source assignment -- not individually reviewed</t>
        </is>
      </c>
      <c r="K29" s="39" t="inlineStr"/>
      <c r="L29" s="14" t="inlineStr"/>
      <c r="M29" s="14" t="inlineStr"/>
      <c r="N29" s="92" t="inlineStr">
        <is>
          <t>10 EVIDENCE &amp; DECISIONS</t>
        </is>
      </c>
    </row>
    <row r="30" ht="34" customHeight="1">
      <c r="A30" s="34" t="inlineStr">
        <is>
          <t>Contractor Programme</t>
        </is>
      </c>
      <c r="B30" s="34" t="inlineStr">
        <is>
          <t>SCH-01-022</t>
        </is>
      </c>
      <c r="C30" s="34" t="inlineStr">
        <is>
          <t>Depot lead: retaining-wall excavation - inspection</t>
        </is>
      </c>
      <c r="D30" s="34" t="inlineStr">
        <is>
          <t>WBS Code = 1.1.1</t>
        </is>
      </c>
      <c r="E30" s="34" t="inlineStr">
        <is>
          <t>R22-v1</t>
        </is>
      </c>
      <c r="F30" s="34" t="inlineStr">
        <is>
          <t>1.1.1 Guideway and Civil - Guideway Structures</t>
        </is>
      </c>
      <c r="G30" s="34" t="inlineStr">
        <is>
          <t>ONE_TO_ONE</t>
        </is>
      </c>
      <c r="H30" s="34" t="inlineStr">
        <is>
          <t>APPROVED</t>
        </is>
      </c>
      <c r="I30" s="34" t="inlineStr">
        <is>
          <t>New</t>
        </is>
      </c>
      <c r="J30" s="34" t="inlineStr">
        <is>
          <t>Source assignment -- not individually reviewed</t>
        </is>
      </c>
      <c r="K30" s="39" t="inlineStr"/>
      <c r="L30" s="14" t="inlineStr"/>
      <c r="M30" s="14" t="inlineStr"/>
      <c r="N30" s="92" t="inlineStr">
        <is>
          <t>10 EVIDENCE &amp; DECISIONS</t>
        </is>
      </c>
    </row>
    <row r="31" ht="34" customHeight="1">
      <c r="A31" s="34" t="inlineStr">
        <is>
          <t>Contractor Programme</t>
        </is>
      </c>
      <c r="B31" s="34" t="inlineStr">
        <is>
          <t>SCH-01-023</t>
        </is>
      </c>
      <c r="C31" s="34" t="inlineStr">
        <is>
          <t>East portal: drainage tie-in - turnover</t>
        </is>
      </c>
      <c r="D31" s="34" t="inlineStr">
        <is>
          <t>WBS Code = 1.1.1</t>
        </is>
      </c>
      <c r="E31" s="34" t="inlineStr">
        <is>
          <t>R23-v1</t>
        </is>
      </c>
      <c r="F31" s="34" t="inlineStr">
        <is>
          <t>1.1.1 Guideway and Civil - Guideway Structures</t>
        </is>
      </c>
      <c r="G31" s="34" t="inlineStr">
        <is>
          <t>ONE_TO_ONE</t>
        </is>
      </c>
      <c r="H31" s="34" t="inlineStr">
        <is>
          <t>APPROVED</t>
        </is>
      </c>
      <c r="I31" s="34" t="inlineStr">
        <is>
          <t>New</t>
        </is>
      </c>
      <c r="J31" s="34" t="inlineStr">
        <is>
          <t>Source assignment -- not individually reviewed</t>
        </is>
      </c>
      <c r="K31" s="39" t="inlineStr"/>
      <c r="L31" s="14" t="inlineStr"/>
      <c r="M31" s="14" t="inlineStr"/>
      <c r="N31" s="92" t="inlineStr">
        <is>
          <t>10 EVIDENCE &amp; DECISIONS</t>
        </is>
      </c>
    </row>
    <row r="32" ht="34" customHeight="1">
      <c r="A32" s="34" t="inlineStr">
        <is>
          <t>Contractor Programme</t>
        </is>
      </c>
      <c r="B32" s="34" t="inlineStr">
        <is>
          <t>SCH-01-025</t>
        </is>
      </c>
      <c r="C32" s="34" t="inlineStr">
        <is>
          <t>Central guideway: track-slab survey - field start</t>
        </is>
      </c>
      <c r="D32" s="34" t="inlineStr">
        <is>
          <t>WBS Code = 1.1.1</t>
        </is>
      </c>
      <c r="E32" s="34" t="inlineStr">
        <is>
          <t>R25-v1</t>
        </is>
      </c>
      <c r="F32" s="34" t="inlineStr">
        <is>
          <t>1.1.1 Guideway and Civil - Guideway Structures</t>
        </is>
      </c>
      <c r="G32" s="34" t="inlineStr">
        <is>
          <t>ONE_TO_ONE</t>
        </is>
      </c>
      <c r="H32" s="34" t="inlineStr">
        <is>
          <t>APPROVED</t>
        </is>
      </c>
      <c r="I32" s="34" t="inlineStr">
        <is>
          <t>New</t>
        </is>
      </c>
      <c r="J32" s="34" t="inlineStr">
        <is>
          <t>Source assignment -- not individually reviewed</t>
        </is>
      </c>
      <c r="K32" s="39" t="inlineStr"/>
      <c r="L32" s="14" t="inlineStr"/>
      <c r="M32" s="14" t="inlineStr"/>
      <c r="N32" s="92" t="inlineStr">
        <is>
          <t>10 EVIDENCE &amp; DECISIONS</t>
        </is>
      </c>
    </row>
    <row r="33" ht="34" customHeight="1">
      <c r="A33" s="34" t="inlineStr">
        <is>
          <t>Contractor Programme</t>
        </is>
      </c>
      <c r="B33" s="34" t="inlineStr">
        <is>
          <t>SCH-01-026</t>
        </is>
      </c>
      <c r="C33" s="34" t="inlineStr">
        <is>
          <t>West approach: temporary traffic staging - installation</t>
        </is>
      </c>
      <c r="D33" s="34" t="inlineStr">
        <is>
          <t>WBS Code = 1.1.1</t>
        </is>
      </c>
      <c r="E33" s="34" t="inlineStr">
        <is>
          <t>R26-v1</t>
        </is>
      </c>
      <c r="F33" s="34" t="inlineStr">
        <is>
          <t>1.1.1 Guideway and Civil - Guideway Structures</t>
        </is>
      </c>
      <c r="G33" s="34" t="inlineStr">
        <is>
          <t>ONE_TO_ONE</t>
        </is>
      </c>
      <c r="H33" s="34" t="inlineStr">
        <is>
          <t>APPROVED</t>
        </is>
      </c>
      <c r="I33" s="34" t="inlineStr">
        <is>
          <t>New</t>
        </is>
      </c>
      <c r="J33" s="34" t="inlineStr">
        <is>
          <t>Source assignment -- not individually reviewed</t>
        </is>
      </c>
      <c r="K33" s="39" t="inlineStr"/>
      <c r="L33" s="14" t="inlineStr"/>
      <c r="M33" s="14" t="inlineStr"/>
      <c r="N33" s="92" t="inlineStr">
        <is>
          <t>10 EVIDENCE &amp; DECISIONS</t>
        </is>
      </c>
    </row>
    <row r="34" ht="34" customHeight="1">
      <c r="A34" s="34" t="inlineStr">
        <is>
          <t>Contractor Programme</t>
        </is>
      </c>
      <c r="B34" s="34" t="inlineStr">
        <is>
          <t>SCH-01-028</t>
        </is>
      </c>
      <c r="C34" s="34" t="inlineStr">
        <is>
          <t>East portal: road restoration - turnover</t>
        </is>
      </c>
      <c r="D34" s="34" t="inlineStr">
        <is>
          <t>WBS Code = 1.1.1</t>
        </is>
      </c>
      <c r="E34" s="34" t="inlineStr">
        <is>
          <t>R28-v1</t>
        </is>
      </c>
      <c r="F34" s="34" t="inlineStr">
        <is>
          <t>1.1.1 Guideway and Civil - Guideway Structures</t>
        </is>
      </c>
      <c r="G34" s="34" t="inlineStr">
        <is>
          <t>ONE_TO_ONE</t>
        </is>
      </c>
      <c r="H34" s="34" t="inlineStr">
        <is>
          <t>APPROVED</t>
        </is>
      </c>
      <c r="I34" s="34" t="inlineStr">
        <is>
          <t>New</t>
        </is>
      </c>
      <c r="J34" s="34" t="inlineStr">
        <is>
          <t>Source assignment -- not individually reviewed</t>
        </is>
      </c>
      <c r="K34" s="39" t="inlineStr"/>
      <c r="L34" s="14" t="inlineStr"/>
      <c r="M34" s="14" t="inlineStr"/>
      <c r="N34" s="92" t="inlineStr">
        <is>
          <t>10 EVIDENCE &amp; DECISIONS</t>
        </is>
      </c>
    </row>
    <row r="35" ht="34" customHeight="1">
      <c r="A35" s="34" t="inlineStr">
        <is>
          <t>Contractor Programme</t>
        </is>
      </c>
      <c r="B35" s="34" t="inlineStr">
        <is>
          <t>SCH-01-029</t>
        </is>
      </c>
      <c r="C35" s="34" t="inlineStr">
        <is>
          <t>River crossing: drilled-shaft installation - release</t>
        </is>
      </c>
      <c r="D35" s="34" t="inlineStr">
        <is>
          <t>WBS Code = 1.1.1</t>
        </is>
      </c>
      <c r="E35" s="34" t="inlineStr">
        <is>
          <t>R29-v1</t>
        </is>
      </c>
      <c r="F35" s="34" t="inlineStr">
        <is>
          <t>1.1.1 Guideway and Civil - Guideway Structures</t>
        </is>
      </c>
      <c r="G35" s="34" t="inlineStr">
        <is>
          <t>ONE_TO_ONE</t>
        </is>
      </c>
      <c r="H35" s="34" t="inlineStr">
        <is>
          <t>APPROVED</t>
        </is>
      </c>
      <c r="I35" s="34" t="inlineStr">
        <is>
          <t>New</t>
        </is>
      </c>
      <c r="J35" s="34" t="inlineStr">
        <is>
          <t>Source assignment -- not individually reviewed</t>
        </is>
      </c>
      <c r="K35" s="39" t="inlineStr"/>
      <c r="L35" s="14" t="inlineStr"/>
      <c r="M35" s="14" t="inlineStr"/>
      <c r="N35" s="92" t="inlineStr">
        <is>
          <t>10 EVIDENCE &amp; DECISIONS</t>
        </is>
      </c>
    </row>
    <row r="36" ht="34" customHeight="1">
      <c r="A36" s="34" t="inlineStr">
        <is>
          <t>Contractor Programme</t>
        </is>
      </c>
      <c r="B36" s="34" t="inlineStr">
        <is>
          <t>SCH-01-031</t>
        </is>
      </c>
      <c r="C36" s="34" t="inlineStr">
        <is>
          <t>West approach: drainage tie-in - installation</t>
        </is>
      </c>
      <c r="D36" s="34" t="inlineStr">
        <is>
          <t>WBS Code = 1.1.1</t>
        </is>
      </c>
      <c r="E36" s="34" t="inlineStr">
        <is>
          <t>R31-v1</t>
        </is>
      </c>
      <c r="F36" s="34" t="inlineStr">
        <is>
          <t>1.1.1 Guideway and Civil - Guideway Structures</t>
        </is>
      </c>
      <c r="G36" s="34" t="inlineStr">
        <is>
          <t>ONE_TO_ONE</t>
        </is>
      </c>
      <c r="H36" s="34" t="inlineStr">
        <is>
          <t>APPROVED</t>
        </is>
      </c>
      <c r="I36" s="34" t="inlineStr">
        <is>
          <t>New</t>
        </is>
      </c>
      <c r="J36" s="34" t="inlineStr">
        <is>
          <t>Source assignment -- not individually reviewed</t>
        </is>
      </c>
      <c r="K36" s="39" t="inlineStr"/>
      <c r="L36" s="14" t="inlineStr"/>
      <c r="M36" s="14" t="inlineStr"/>
      <c r="N36" s="92" t="inlineStr">
        <is>
          <t>10 EVIDENCE &amp; DECISIONS</t>
        </is>
      </c>
    </row>
    <row r="37" ht="34" customHeight="1">
      <c r="A37" s="34" t="inlineStr">
        <is>
          <t>Contractor Programme</t>
        </is>
      </c>
      <c r="B37" s="34" t="inlineStr">
        <is>
          <t>SCH-01-032</t>
        </is>
      </c>
      <c r="C37" s="34" t="inlineStr">
        <is>
          <t>Depot lead: utility relocation - inspection</t>
        </is>
      </c>
      <c r="D37" s="34" t="inlineStr">
        <is>
          <t>WBS Code = 1.1.1</t>
        </is>
      </c>
      <c r="E37" s="34" t="inlineStr">
        <is>
          <t>R32-v1</t>
        </is>
      </c>
      <c r="F37" s="34" t="inlineStr">
        <is>
          <t>1.1.1 Guideway and Civil - Guideway Structures</t>
        </is>
      </c>
      <c r="G37" s="34" t="inlineStr">
        <is>
          <t>ONE_TO_ONE</t>
        </is>
      </c>
      <c r="H37" s="34" t="inlineStr">
        <is>
          <t>APPROVED</t>
        </is>
      </c>
      <c r="I37" s="34" t="inlineStr">
        <is>
          <t>New</t>
        </is>
      </c>
      <c r="J37" s="34" t="inlineStr">
        <is>
          <t>Source assignment -- not individually reviewed</t>
        </is>
      </c>
      <c r="K37" s="39" t="inlineStr"/>
      <c r="L37" s="14" t="inlineStr"/>
      <c r="M37" s="14" t="inlineStr"/>
      <c r="N37" s="92" t="inlineStr">
        <is>
          <t>10 EVIDENCE &amp; DECISIONS</t>
        </is>
      </c>
    </row>
    <row r="38" ht="34" customHeight="1">
      <c r="A38" s="34" t="inlineStr">
        <is>
          <t>Contractor Programme</t>
        </is>
      </c>
      <c r="B38" s="34" t="inlineStr">
        <is>
          <t>SCH-01-034</t>
        </is>
      </c>
      <c r="C38" s="34" t="inlineStr">
        <is>
          <t>River crossing: temporary traffic staging - release</t>
        </is>
      </c>
      <c r="D38" s="34" t="inlineStr">
        <is>
          <t>WBS Code = 1.1.1</t>
        </is>
      </c>
      <c r="E38" s="34" t="inlineStr">
        <is>
          <t>R34-v1</t>
        </is>
      </c>
      <c r="F38" s="34" t="inlineStr">
        <is>
          <t>1.1.1 Guideway and Civil - Guideway Structures</t>
        </is>
      </c>
      <c r="G38" s="34" t="inlineStr">
        <is>
          <t>ONE_TO_ONE</t>
        </is>
      </c>
      <c r="H38" s="34" t="inlineStr">
        <is>
          <t>APPROVED</t>
        </is>
      </c>
      <c r="I38" s="34" t="inlineStr">
        <is>
          <t>New</t>
        </is>
      </c>
      <c r="J38" s="34" t="inlineStr">
        <is>
          <t>Source assignment -- not individually reviewed</t>
        </is>
      </c>
      <c r="K38" s="39" t="inlineStr"/>
      <c r="L38" s="14" t="inlineStr"/>
      <c r="M38" s="14" t="inlineStr"/>
      <c r="N38" s="92" t="inlineStr">
        <is>
          <t>10 EVIDENCE &amp; DECISIONS</t>
        </is>
      </c>
    </row>
    <row r="39" ht="34" customHeight="1">
      <c r="A39" s="34" t="inlineStr">
        <is>
          <t>Contractor Programme</t>
        </is>
      </c>
      <c r="B39" s="34" t="inlineStr">
        <is>
          <t>SCH-01-035</t>
        </is>
      </c>
      <c r="C39" s="34" t="inlineStr">
        <is>
          <t>Central guideway: guideway pier reinforcement - field start</t>
        </is>
      </c>
      <c r="D39" s="34" t="inlineStr">
        <is>
          <t>WBS Code = 1.1.1</t>
        </is>
      </c>
      <c r="E39" s="34" t="inlineStr">
        <is>
          <t>R35-v1</t>
        </is>
      </c>
      <c r="F39" s="34" t="inlineStr">
        <is>
          <t>1.1.1 Guideway and Civil - Guideway Structures</t>
        </is>
      </c>
      <c r="G39" s="34" t="inlineStr">
        <is>
          <t>ONE_TO_ONE</t>
        </is>
      </c>
      <c r="H39" s="34" t="inlineStr">
        <is>
          <t>APPROVED</t>
        </is>
      </c>
      <c r="I39" s="34" t="inlineStr">
        <is>
          <t>New</t>
        </is>
      </c>
      <c r="J39" s="34" t="inlineStr">
        <is>
          <t>Source assignment -- not individually reviewed</t>
        </is>
      </c>
      <c r="K39" s="39" t="inlineStr"/>
      <c r="L39" s="14" t="inlineStr"/>
      <c r="M39" s="14" t="inlineStr"/>
      <c r="N39" s="92" t="inlineStr">
        <is>
          <t>10 EVIDENCE &amp; DECISIONS</t>
        </is>
      </c>
    </row>
    <row r="40" ht="34" customHeight="1">
      <c r="A40" s="34" t="inlineStr">
        <is>
          <t>Contractor Programme</t>
        </is>
      </c>
      <c r="B40" s="34" t="inlineStr">
        <is>
          <t>SCH-01-037</t>
        </is>
      </c>
      <c r="C40" s="34" t="inlineStr">
        <is>
          <t>Depot lead: drilled-shaft installation - inspection</t>
        </is>
      </c>
      <c r="D40" s="34" t="inlineStr">
        <is>
          <t>WBS Code = 1.1.1</t>
        </is>
      </c>
      <c r="E40" s="34" t="inlineStr">
        <is>
          <t>R37-v1</t>
        </is>
      </c>
      <c r="F40" s="34" t="inlineStr">
        <is>
          <t>1.1.1 Guideway and Civil - Guideway Structures</t>
        </is>
      </c>
      <c r="G40" s="34" t="inlineStr">
        <is>
          <t>ONE_TO_ONE</t>
        </is>
      </c>
      <c r="H40" s="34" t="inlineStr">
        <is>
          <t>APPROVED</t>
        </is>
      </c>
      <c r="I40" s="34" t="inlineStr">
        <is>
          <t>New</t>
        </is>
      </c>
      <c r="J40" s="34" t="inlineStr">
        <is>
          <t>Source assignment -- not individually reviewed</t>
        </is>
      </c>
      <c r="K40" s="39" t="inlineStr"/>
      <c r="L40" s="14" t="inlineStr"/>
      <c r="M40" s="14" t="inlineStr"/>
      <c r="N40" s="92" t="inlineStr">
        <is>
          <t>10 EVIDENCE &amp; DECISIONS</t>
        </is>
      </c>
    </row>
    <row r="41" ht="34" customHeight="1">
      <c r="A41" s="34" t="inlineStr">
        <is>
          <t>Contractor Programme</t>
        </is>
      </c>
      <c r="B41" s="34" t="inlineStr">
        <is>
          <t>SCH-01-038</t>
        </is>
      </c>
      <c r="C41" s="34" t="inlineStr">
        <is>
          <t>East portal: retaining-wall excavation - turnover</t>
        </is>
      </c>
      <c r="D41" s="34" t="inlineStr">
        <is>
          <t>WBS Code = 1.1.1</t>
        </is>
      </c>
      <c r="E41" s="34" t="inlineStr">
        <is>
          <t>R38-v1</t>
        </is>
      </c>
      <c r="F41" s="34" t="inlineStr">
        <is>
          <t>1.1.1 Guideway and Civil - Guideway Structures</t>
        </is>
      </c>
      <c r="G41" s="34" t="inlineStr">
        <is>
          <t>ONE_TO_ONE</t>
        </is>
      </c>
      <c r="H41" s="34" t="inlineStr">
        <is>
          <t>APPROVED</t>
        </is>
      </c>
      <c r="I41" s="34" t="inlineStr">
        <is>
          <t>New</t>
        </is>
      </c>
      <c r="J41" s="34" t="inlineStr">
        <is>
          <t>Source assignment -- not individually reviewed</t>
        </is>
      </c>
      <c r="K41" s="39" t="inlineStr"/>
      <c r="L41" s="14" t="inlineStr"/>
      <c r="M41" s="14" t="inlineStr"/>
      <c r="N41" s="92" t="inlineStr">
        <is>
          <t>10 EVIDENCE &amp; DECISIONS</t>
        </is>
      </c>
    </row>
    <row r="42" ht="34" customHeight="1">
      <c r="A42" s="34" t="inlineStr">
        <is>
          <t>Contractor Programme</t>
        </is>
      </c>
      <c r="B42" s="34" t="inlineStr">
        <is>
          <t>SCH-01-040</t>
        </is>
      </c>
      <c r="C42" s="34" t="inlineStr">
        <is>
          <t>Central guideway: utility relocation - field start</t>
        </is>
      </c>
      <c r="D42" s="34" t="inlineStr">
        <is>
          <t>WBS Code = 1.1.1</t>
        </is>
      </c>
      <c r="E42" s="34" t="inlineStr">
        <is>
          <t>R40-v1</t>
        </is>
      </c>
      <c r="F42" s="34" t="inlineStr">
        <is>
          <t>1.1.1 Guideway and Civil - Guideway Structures</t>
        </is>
      </c>
      <c r="G42" s="34" t="inlineStr">
        <is>
          <t>ONE_TO_ONE</t>
        </is>
      </c>
      <c r="H42" s="34" t="inlineStr">
        <is>
          <t>APPROVED</t>
        </is>
      </c>
      <c r="I42" s="34" t="inlineStr">
        <is>
          <t>New</t>
        </is>
      </c>
      <c r="J42" s="34" t="inlineStr">
        <is>
          <t>Source assignment -- not individually reviewed</t>
        </is>
      </c>
      <c r="K42" s="39" t="inlineStr"/>
      <c r="L42" s="14" t="inlineStr"/>
      <c r="M42" s="14" t="inlineStr"/>
      <c r="N42" s="92" t="inlineStr">
        <is>
          <t>10 EVIDENCE &amp; DECISIONS</t>
        </is>
      </c>
    </row>
    <row r="43" ht="34" customHeight="1">
      <c r="A43" s="34" t="inlineStr">
        <is>
          <t>Contractor Programme</t>
        </is>
      </c>
      <c r="B43" s="34" t="inlineStr">
        <is>
          <t>SCH-01-041</t>
        </is>
      </c>
      <c r="C43" s="34" t="inlineStr">
        <is>
          <t>West approach: track-slab survey - installation</t>
        </is>
      </c>
      <c r="D43" s="34" t="inlineStr">
        <is>
          <t>WBS Code = 1.1.1</t>
        </is>
      </c>
      <c r="E43" s="34" t="inlineStr">
        <is>
          <t>R41-v1</t>
        </is>
      </c>
      <c r="F43" s="34" t="inlineStr">
        <is>
          <t>1.1.1 Guideway and Civil - Guideway Structures</t>
        </is>
      </c>
      <c r="G43" s="34" t="inlineStr">
        <is>
          <t>ONE_TO_ONE</t>
        </is>
      </c>
      <c r="H43" s="34" t="inlineStr">
        <is>
          <t>APPROVED</t>
        </is>
      </c>
      <c r="I43" s="34" t="inlineStr">
        <is>
          <t>New</t>
        </is>
      </c>
      <c r="J43" s="34" t="inlineStr">
        <is>
          <t>Source assignment -- not individually reviewed</t>
        </is>
      </c>
      <c r="K43" s="39" t="inlineStr"/>
      <c r="L43" s="14" t="inlineStr"/>
      <c r="M43" s="14" t="inlineStr"/>
      <c r="N43" s="92" t="inlineStr">
        <is>
          <t>10 EVIDENCE &amp; DECISIONS</t>
        </is>
      </c>
    </row>
    <row r="44" ht="34" customHeight="1">
      <c r="A44" s="34" t="inlineStr">
        <is>
          <t>Contractor Programme</t>
        </is>
      </c>
      <c r="B44" s="34" t="inlineStr">
        <is>
          <t>SCH-01-043</t>
        </is>
      </c>
      <c r="C44" s="34" t="inlineStr">
        <is>
          <t>East portal: guideway pier reinforcement - turnover</t>
        </is>
      </c>
      <c r="D44" s="34" t="inlineStr">
        <is>
          <t>WBS Code = 1.1.1</t>
        </is>
      </c>
      <c r="E44" s="34" t="inlineStr">
        <is>
          <t>R43-v1</t>
        </is>
      </c>
      <c r="F44" s="34" t="inlineStr">
        <is>
          <t>1.1.1 Guideway and Civil - Guideway Structures</t>
        </is>
      </c>
      <c r="G44" s="34" t="inlineStr">
        <is>
          <t>ONE_TO_ONE</t>
        </is>
      </c>
      <c r="H44" s="34" t="inlineStr">
        <is>
          <t>APPROVED</t>
        </is>
      </c>
      <c r="I44" s="34" t="inlineStr">
        <is>
          <t>New</t>
        </is>
      </c>
      <c r="J44" s="34" t="inlineStr">
        <is>
          <t>Source assignment -- not individually reviewed</t>
        </is>
      </c>
      <c r="K44" s="39" t="inlineStr"/>
      <c r="L44" s="14" t="inlineStr"/>
      <c r="M44" s="14" t="inlineStr"/>
      <c r="N44" s="92" t="inlineStr">
        <is>
          <t>10 EVIDENCE &amp; DECISIONS</t>
        </is>
      </c>
    </row>
    <row r="45" ht="34" customHeight="1">
      <c r="A45" s="34" t="inlineStr">
        <is>
          <t>Contractor Programme</t>
        </is>
      </c>
      <c r="B45" s="34" t="inlineStr">
        <is>
          <t>SCH-01-044</t>
        </is>
      </c>
      <c r="C45" s="34" t="inlineStr">
        <is>
          <t>River crossing: road restoration - release</t>
        </is>
      </c>
      <c r="D45" s="34" t="inlineStr">
        <is>
          <t>WBS Code = 1.1.1</t>
        </is>
      </c>
      <c r="E45" s="34" t="inlineStr">
        <is>
          <t>R44-v1</t>
        </is>
      </c>
      <c r="F45" s="34" t="inlineStr">
        <is>
          <t>1.1.1 Guideway and Civil - Guideway Structures</t>
        </is>
      </c>
      <c r="G45" s="34" t="inlineStr">
        <is>
          <t>ONE_TO_ONE</t>
        </is>
      </c>
      <c r="H45" s="34" t="inlineStr">
        <is>
          <t>APPROVED</t>
        </is>
      </c>
      <c r="I45" s="34" t="inlineStr">
        <is>
          <t>New</t>
        </is>
      </c>
      <c r="J45" s="34" t="inlineStr">
        <is>
          <t>Source assignment -- not individually reviewed</t>
        </is>
      </c>
      <c r="K45" s="39" t="inlineStr"/>
      <c r="L45" s="14" t="inlineStr"/>
      <c r="M45" s="14" t="inlineStr"/>
      <c r="N45" s="92" t="inlineStr">
        <is>
          <t>10 EVIDENCE &amp; DECISIONS</t>
        </is>
      </c>
    </row>
    <row r="46" ht="34" customHeight="1">
      <c r="A46" s="34" t="inlineStr">
        <is>
          <t>Contractor Programme</t>
        </is>
      </c>
      <c r="B46" s="34" t="inlineStr">
        <is>
          <t>SCH-01-046</t>
        </is>
      </c>
      <c r="C46" s="34" t="inlineStr">
        <is>
          <t>West approach: retaining-wall excavation - installation</t>
        </is>
      </c>
      <c r="D46" s="34" t="inlineStr">
        <is>
          <t>WBS Code = 1.1.1</t>
        </is>
      </c>
      <c r="E46" s="34" t="inlineStr">
        <is>
          <t>R46-v1</t>
        </is>
      </c>
      <c r="F46" s="34" t="inlineStr">
        <is>
          <t>1.1.1 Guideway and Civil - Guideway Structures</t>
        </is>
      </c>
      <c r="G46" s="34" t="inlineStr">
        <is>
          <t>ONE_TO_ONE</t>
        </is>
      </c>
      <c r="H46" s="34" t="inlineStr">
        <is>
          <t>APPROVED</t>
        </is>
      </c>
      <c r="I46" s="34" t="inlineStr">
        <is>
          <t>New</t>
        </is>
      </c>
      <c r="J46" s="34" t="inlineStr">
        <is>
          <t>Source assignment -- not individually reviewed</t>
        </is>
      </c>
      <c r="K46" s="39" t="inlineStr"/>
      <c r="L46" s="14" t="inlineStr"/>
      <c r="M46" s="14" t="inlineStr"/>
      <c r="N46" s="92" t="inlineStr">
        <is>
          <t>10 EVIDENCE &amp; DECISIONS</t>
        </is>
      </c>
    </row>
    <row r="47" ht="34" customHeight="1">
      <c r="A47" s="34" t="inlineStr">
        <is>
          <t>Contractor Programme</t>
        </is>
      </c>
      <c r="B47" s="34" t="inlineStr">
        <is>
          <t>SCH-01-047</t>
        </is>
      </c>
      <c r="C47" s="34" t="inlineStr">
        <is>
          <t>Depot lead: drainage tie-in - inspection</t>
        </is>
      </c>
      <c r="D47" s="34" t="inlineStr">
        <is>
          <t>WBS Code = 1.1.1</t>
        </is>
      </c>
      <c r="E47" s="34" t="inlineStr">
        <is>
          <t>R47-v1</t>
        </is>
      </c>
      <c r="F47" s="34" t="inlineStr">
        <is>
          <t>1.1.1 Guideway and Civil - Guideway Structures</t>
        </is>
      </c>
      <c r="G47" s="34" t="inlineStr">
        <is>
          <t>ONE_TO_ONE</t>
        </is>
      </c>
      <c r="H47" s="34" t="inlineStr">
        <is>
          <t>APPROVED</t>
        </is>
      </c>
      <c r="I47" s="34" t="inlineStr">
        <is>
          <t>New</t>
        </is>
      </c>
      <c r="J47" s="34" t="inlineStr">
        <is>
          <t>Source assignment -- not individually reviewed</t>
        </is>
      </c>
      <c r="K47" s="39" t="inlineStr"/>
      <c r="L47" s="14" t="inlineStr"/>
      <c r="M47" s="14" t="inlineStr"/>
      <c r="N47" s="92" t="inlineStr">
        <is>
          <t>10 EVIDENCE &amp; DECISIONS</t>
        </is>
      </c>
    </row>
    <row r="48" ht="34" customHeight="1">
      <c r="A48" s="34" t="inlineStr">
        <is>
          <t>Contractor Programme</t>
        </is>
      </c>
      <c r="B48" s="34" t="inlineStr">
        <is>
          <t>SCH-01-049</t>
        </is>
      </c>
      <c r="C48" s="34" t="inlineStr">
        <is>
          <t>River crossing: track-slab survey - release</t>
        </is>
      </c>
      <c r="D48" s="34" t="inlineStr">
        <is>
          <t>WBS Code = 1.1.1</t>
        </is>
      </c>
      <c r="E48" s="34" t="inlineStr">
        <is>
          <t>R49-v1</t>
        </is>
      </c>
      <c r="F48" s="34" t="inlineStr">
        <is>
          <t>1.1.1 Guideway and Civil - Guideway Structures</t>
        </is>
      </c>
      <c r="G48" s="34" t="inlineStr">
        <is>
          <t>ONE_TO_ONE</t>
        </is>
      </c>
      <c r="H48" s="34" t="inlineStr">
        <is>
          <t>APPROVED</t>
        </is>
      </c>
      <c r="I48" s="34" t="inlineStr">
        <is>
          <t>New</t>
        </is>
      </c>
      <c r="J48" s="34" t="inlineStr">
        <is>
          <t>Source assignment -- not individually reviewed</t>
        </is>
      </c>
      <c r="K48" s="39" t="inlineStr"/>
      <c r="L48" s="14" t="inlineStr"/>
      <c r="M48" s="14" t="inlineStr"/>
      <c r="N48" s="92" t="inlineStr">
        <is>
          <t>10 EVIDENCE &amp; DECISIONS</t>
        </is>
      </c>
    </row>
    <row r="49" ht="34" customHeight="1">
      <c r="A49" s="34" t="inlineStr">
        <is>
          <t>Contractor Programme</t>
        </is>
      </c>
      <c r="B49" s="34" t="inlineStr">
        <is>
          <t>SCH-01-050</t>
        </is>
      </c>
      <c r="C49" s="34" t="inlineStr">
        <is>
          <t>Central guideway: temporary traffic staging - field start</t>
        </is>
      </c>
      <c r="D49" s="34" t="inlineStr">
        <is>
          <t>WBS Code = 1.1.1</t>
        </is>
      </c>
      <c r="E49" s="34" t="inlineStr">
        <is>
          <t>R50-v1</t>
        </is>
      </c>
      <c r="F49" s="34" t="inlineStr">
        <is>
          <t>1.1.1 Guideway and Civil - Guideway Structures</t>
        </is>
      </c>
      <c r="G49" s="34" t="inlineStr">
        <is>
          <t>ONE_TO_ONE</t>
        </is>
      </c>
      <c r="H49" s="34" t="inlineStr">
        <is>
          <t>APPROVED</t>
        </is>
      </c>
      <c r="I49" s="34" t="inlineStr">
        <is>
          <t>New</t>
        </is>
      </c>
      <c r="J49" s="34" t="inlineStr">
        <is>
          <t>Source assignment -- not individually reviewed</t>
        </is>
      </c>
      <c r="K49" s="39" t="inlineStr"/>
      <c r="L49" s="14" t="inlineStr"/>
      <c r="M49" s="14" t="inlineStr"/>
      <c r="N49" s="92" t="inlineStr">
        <is>
          <t>10 EVIDENCE &amp; DECISIONS</t>
        </is>
      </c>
    </row>
    <row r="50" ht="34" customHeight="1">
      <c r="A50" s="34" t="inlineStr">
        <is>
          <t>Contractor Programme</t>
        </is>
      </c>
      <c r="B50" s="34" t="inlineStr">
        <is>
          <t>SCH-01-052</t>
        </is>
      </c>
      <c r="C50" s="34" t="inlineStr">
        <is>
          <t>Depot lead: road restoration - inspection</t>
        </is>
      </c>
      <c r="D50" s="34" t="inlineStr">
        <is>
          <t>WBS Code = 1.1.1</t>
        </is>
      </c>
      <c r="E50" s="34" t="inlineStr">
        <is>
          <t>R52-v1</t>
        </is>
      </c>
      <c r="F50" s="34" t="inlineStr">
        <is>
          <t>1.1.1 Guideway and Civil - Guideway Structures</t>
        </is>
      </c>
      <c r="G50" s="34" t="inlineStr">
        <is>
          <t>ONE_TO_ONE</t>
        </is>
      </c>
      <c r="H50" s="34" t="inlineStr">
        <is>
          <t>APPROVED</t>
        </is>
      </c>
      <c r="I50" s="34" t="inlineStr">
        <is>
          <t>New</t>
        </is>
      </c>
      <c r="J50" s="34" t="inlineStr">
        <is>
          <t>Source assignment -- not individually reviewed</t>
        </is>
      </c>
      <c r="K50" s="39" t="inlineStr"/>
      <c r="L50" s="14" t="inlineStr"/>
      <c r="M50" s="14" t="inlineStr"/>
      <c r="N50" s="92" t="inlineStr">
        <is>
          <t>10 EVIDENCE &amp; DECISIONS</t>
        </is>
      </c>
    </row>
    <row r="51" ht="34" customHeight="1">
      <c r="A51" s="34" t="inlineStr">
        <is>
          <t>Contractor Programme</t>
        </is>
      </c>
      <c r="B51" s="34" t="inlineStr">
        <is>
          <t>SCH-01-053</t>
        </is>
      </c>
      <c r="C51" s="34" t="inlineStr">
        <is>
          <t>East portal: drilled-shaft installation - turnover</t>
        </is>
      </c>
      <c r="D51" s="34" t="inlineStr">
        <is>
          <t>WBS Code = 1.1.1</t>
        </is>
      </c>
      <c r="E51" s="34" t="inlineStr">
        <is>
          <t>R53-v1</t>
        </is>
      </c>
      <c r="F51" s="34" t="inlineStr">
        <is>
          <t>1.1.1 Guideway and Civil - Guideway Structures</t>
        </is>
      </c>
      <c r="G51" s="34" t="inlineStr">
        <is>
          <t>ONE_TO_ONE</t>
        </is>
      </c>
      <c r="H51" s="34" t="inlineStr">
        <is>
          <t>APPROVED</t>
        </is>
      </c>
      <c r="I51" s="34" t="inlineStr">
        <is>
          <t>New</t>
        </is>
      </c>
      <c r="J51" s="34" t="inlineStr">
        <is>
          <t>Source assignment -- not individually reviewed</t>
        </is>
      </c>
      <c r="K51" s="39" t="inlineStr"/>
      <c r="L51" s="14" t="inlineStr"/>
      <c r="M51" s="14" t="inlineStr"/>
      <c r="N51" s="92" t="inlineStr">
        <is>
          <t>10 EVIDENCE &amp; DECISIONS</t>
        </is>
      </c>
    </row>
    <row r="52" ht="34" customHeight="1">
      <c r="A52" s="34" t="inlineStr">
        <is>
          <t>Contractor Programme</t>
        </is>
      </c>
      <c r="B52" s="34" t="inlineStr">
        <is>
          <t>SCH-01-055</t>
        </is>
      </c>
      <c r="C52" s="34" t="inlineStr">
        <is>
          <t>Central guideway: drainage tie-in - field start</t>
        </is>
      </c>
      <c r="D52" s="34" t="inlineStr">
        <is>
          <t>WBS Code = 1.1.1</t>
        </is>
      </c>
      <c r="E52" s="34" t="inlineStr">
        <is>
          <t>R55-v1</t>
        </is>
      </c>
      <c r="F52" s="34" t="inlineStr">
        <is>
          <t>1.1.1 Guideway and Civil - Guideway Structures</t>
        </is>
      </c>
      <c r="G52" s="34" t="inlineStr">
        <is>
          <t>ONE_TO_ONE</t>
        </is>
      </c>
      <c r="H52" s="34" t="inlineStr">
        <is>
          <t>APPROVED</t>
        </is>
      </c>
      <c r="I52" s="34" t="inlineStr">
        <is>
          <t>New</t>
        </is>
      </c>
      <c r="J52" s="34" t="inlineStr">
        <is>
          <t>Source assignment -- not individually reviewed</t>
        </is>
      </c>
      <c r="K52" s="39" t="inlineStr"/>
      <c r="L52" s="14" t="inlineStr"/>
      <c r="M52" s="14" t="inlineStr"/>
      <c r="N52" s="92" t="inlineStr">
        <is>
          <t>10 EVIDENCE &amp; DECISIONS</t>
        </is>
      </c>
    </row>
    <row r="53" ht="34" customHeight="1">
      <c r="A53" s="34" t="inlineStr">
        <is>
          <t>Contractor Programme</t>
        </is>
      </c>
      <c r="B53" s="34" t="inlineStr">
        <is>
          <t>SCH-01-056</t>
        </is>
      </c>
      <c r="C53" s="34" t="inlineStr">
        <is>
          <t>West approach: utility relocation - installation</t>
        </is>
      </c>
      <c r="D53" s="34" t="inlineStr">
        <is>
          <t>WBS Code = 1.1.1</t>
        </is>
      </c>
      <c r="E53" s="34" t="inlineStr">
        <is>
          <t>R56-v1</t>
        </is>
      </c>
      <c r="F53" s="34" t="inlineStr">
        <is>
          <t>1.1.1 Guideway and Civil - Guideway Structures</t>
        </is>
      </c>
      <c r="G53" s="34" t="inlineStr">
        <is>
          <t>ONE_TO_ONE</t>
        </is>
      </c>
      <c r="H53" s="34" t="inlineStr">
        <is>
          <t>APPROVED</t>
        </is>
      </c>
      <c r="I53" s="34" t="inlineStr">
        <is>
          <t>New</t>
        </is>
      </c>
      <c r="J53" s="34" t="inlineStr">
        <is>
          <t>Source assignment -- not individually reviewed</t>
        </is>
      </c>
      <c r="K53" s="39" t="inlineStr"/>
      <c r="L53" s="14" t="inlineStr"/>
      <c r="M53" s="14" t="inlineStr"/>
      <c r="N53" s="92" t="inlineStr">
        <is>
          <t>10 EVIDENCE &amp; DECISIONS</t>
        </is>
      </c>
    </row>
    <row r="54" ht="34" customHeight="1">
      <c r="A54" s="34" t="inlineStr">
        <is>
          <t>Contractor Programme</t>
        </is>
      </c>
      <c r="B54" s="34" t="inlineStr">
        <is>
          <t>SCH-01-058</t>
        </is>
      </c>
      <c r="C54" s="34" t="inlineStr">
        <is>
          <t>East portal: temporary traffic staging - turnover</t>
        </is>
      </c>
      <c r="D54" s="34" t="inlineStr">
        <is>
          <t>WBS Code = 1.1.1</t>
        </is>
      </c>
      <c r="E54" s="34" t="inlineStr">
        <is>
          <t>R58-v1</t>
        </is>
      </c>
      <c r="F54" s="34" t="inlineStr">
        <is>
          <t>1.1.1 Guideway and Civil - Guideway Structures</t>
        </is>
      </c>
      <c r="G54" s="34" t="inlineStr">
        <is>
          <t>ONE_TO_ONE</t>
        </is>
      </c>
      <c r="H54" s="34" t="inlineStr">
        <is>
          <t>APPROVED</t>
        </is>
      </c>
      <c r="I54" s="34" t="inlineStr">
        <is>
          <t>New</t>
        </is>
      </c>
      <c r="J54" s="34" t="inlineStr">
        <is>
          <t>Source assignment -- not individually reviewed</t>
        </is>
      </c>
      <c r="K54" s="39" t="inlineStr"/>
      <c r="L54" s="14" t="inlineStr"/>
      <c r="M54" s="14" t="inlineStr"/>
      <c r="N54" s="92" t="inlineStr">
        <is>
          <t>10 EVIDENCE &amp; DECISIONS</t>
        </is>
      </c>
    </row>
    <row r="55" ht="34" customHeight="1">
      <c r="A55" s="34" t="inlineStr">
        <is>
          <t>Contractor Programme</t>
        </is>
      </c>
      <c r="B55" s="34" t="inlineStr">
        <is>
          <t>SCH-01-059</t>
        </is>
      </c>
      <c r="C55" s="34" t="inlineStr">
        <is>
          <t>River crossing: guideway pier reinforcement - release</t>
        </is>
      </c>
      <c r="D55" s="34" t="inlineStr">
        <is>
          <t>WBS Code = 1.1.1</t>
        </is>
      </c>
      <c r="E55" s="34" t="inlineStr">
        <is>
          <t>R59-v1</t>
        </is>
      </c>
      <c r="F55" s="34" t="inlineStr">
        <is>
          <t>1.1.1 Guideway and Civil - Guideway Structures</t>
        </is>
      </c>
      <c r="G55" s="34" t="inlineStr">
        <is>
          <t>ONE_TO_ONE</t>
        </is>
      </c>
      <c r="H55" s="34" t="inlineStr">
        <is>
          <t>APPROVED</t>
        </is>
      </c>
      <c r="I55" s="34" t="inlineStr">
        <is>
          <t>New</t>
        </is>
      </c>
      <c r="J55" s="34" t="inlineStr">
        <is>
          <t>Source assignment -- not individually reviewed</t>
        </is>
      </c>
      <c r="K55" s="39" t="inlineStr"/>
      <c r="L55" s="14" t="inlineStr"/>
      <c r="M55" s="14" t="inlineStr"/>
      <c r="N55" s="92" t="inlineStr">
        <is>
          <t>10 EVIDENCE &amp; DECISIONS</t>
        </is>
      </c>
    </row>
    <row r="56" ht="34" customHeight="1">
      <c r="A56" s="34" t="inlineStr">
        <is>
          <t>Contractor Programme</t>
        </is>
      </c>
      <c r="B56" s="34" t="inlineStr">
        <is>
          <t>SCH-01-061</t>
        </is>
      </c>
      <c r="C56" s="34" t="inlineStr">
        <is>
          <t>West approach: drilled-shaft installation - installation</t>
        </is>
      </c>
      <c r="D56" s="34" t="inlineStr">
        <is>
          <t>WBS Code = 1.1.1</t>
        </is>
      </c>
      <c r="E56" s="34" t="inlineStr">
        <is>
          <t>R61-v1</t>
        </is>
      </c>
      <c r="F56" s="34" t="inlineStr">
        <is>
          <t>1.1.1 Guideway and Civil - Guideway Structures</t>
        </is>
      </c>
      <c r="G56" s="34" t="inlineStr">
        <is>
          <t>ONE_TO_ONE</t>
        </is>
      </c>
      <c r="H56" s="34" t="inlineStr">
        <is>
          <t>APPROVED</t>
        </is>
      </c>
      <c r="I56" s="34" t="inlineStr">
        <is>
          <t>New</t>
        </is>
      </c>
      <c r="J56" s="34" t="inlineStr">
        <is>
          <t>Source assignment -- not individually reviewed</t>
        </is>
      </c>
      <c r="K56" s="39" t="inlineStr"/>
      <c r="L56" s="14" t="inlineStr"/>
      <c r="M56" s="14" t="inlineStr"/>
      <c r="N56" s="92" t="inlineStr">
        <is>
          <t>10 EVIDENCE &amp; DECISIONS</t>
        </is>
      </c>
    </row>
    <row r="57" ht="34" customHeight="1">
      <c r="A57" s="34" t="inlineStr">
        <is>
          <t>Contractor Programme</t>
        </is>
      </c>
      <c r="B57" s="34" t="inlineStr">
        <is>
          <t>SCH-01-062</t>
        </is>
      </c>
      <c r="C57" s="34" t="inlineStr">
        <is>
          <t>Depot lead: retaining-wall excavation - inspection</t>
        </is>
      </c>
      <c r="D57" s="34" t="inlineStr">
        <is>
          <t>WBS Code = 1.1.1</t>
        </is>
      </c>
      <c r="E57" s="34" t="inlineStr">
        <is>
          <t>R62-v1</t>
        </is>
      </c>
      <c r="F57" s="34" t="inlineStr">
        <is>
          <t>1.1.1 Guideway and Civil - Guideway Structures</t>
        </is>
      </c>
      <c r="G57" s="34" t="inlineStr">
        <is>
          <t>ONE_TO_ONE</t>
        </is>
      </c>
      <c r="H57" s="34" t="inlineStr">
        <is>
          <t>APPROVED</t>
        </is>
      </c>
      <c r="I57" s="34" t="inlineStr">
        <is>
          <t>New</t>
        </is>
      </c>
      <c r="J57" s="34" t="inlineStr">
        <is>
          <t>Source assignment -- not individually reviewed</t>
        </is>
      </c>
      <c r="K57" s="39" t="inlineStr"/>
      <c r="L57" s="14" t="inlineStr"/>
      <c r="M57" s="14" t="inlineStr"/>
      <c r="N57" s="92" t="inlineStr">
        <is>
          <t>10 EVIDENCE &amp; DECISIONS</t>
        </is>
      </c>
    </row>
    <row r="58" ht="34" customHeight="1">
      <c r="A58" s="34" t="inlineStr">
        <is>
          <t>Contractor Programme</t>
        </is>
      </c>
      <c r="B58" s="34" t="inlineStr">
        <is>
          <t>SCH-01-064</t>
        </is>
      </c>
      <c r="C58" s="34" t="inlineStr">
        <is>
          <t>River crossing: utility relocation - release</t>
        </is>
      </c>
      <c r="D58" s="34" t="inlineStr">
        <is>
          <t>WBS Code = 1.1.1</t>
        </is>
      </c>
      <c r="E58" s="34" t="inlineStr">
        <is>
          <t>R64-v1</t>
        </is>
      </c>
      <c r="F58" s="34" t="inlineStr">
        <is>
          <t>1.1.1 Guideway and Civil - Guideway Structures</t>
        </is>
      </c>
      <c r="G58" s="34" t="inlineStr">
        <is>
          <t>ONE_TO_ONE</t>
        </is>
      </c>
      <c r="H58" s="34" t="inlineStr">
        <is>
          <t>APPROVED</t>
        </is>
      </c>
      <c r="I58" s="34" t="inlineStr">
        <is>
          <t>New</t>
        </is>
      </c>
      <c r="J58" s="34" t="inlineStr">
        <is>
          <t>Source assignment -- not individually reviewed</t>
        </is>
      </c>
      <c r="K58" s="39" t="inlineStr"/>
      <c r="L58" s="14" t="inlineStr"/>
      <c r="M58" s="14" t="inlineStr"/>
      <c r="N58" s="92" t="inlineStr">
        <is>
          <t>10 EVIDENCE &amp; DECISIONS</t>
        </is>
      </c>
    </row>
    <row r="59" ht="34" customHeight="1">
      <c r="A59" s="34" t="inlineStr">
        <is>
          <t>Contractor Programme</t>
        </is>
      </c>
      <c r="B59" s="34" t="inlineStr">
        <is>
          <t>SCH-01-065</t>
        </is>
      </c>
      <c r="C59" s="34" t="inlineStr">
        <is>
          <t>Central guideway: track-slab survey - field start</t>
        </is>
      </c>
      <c r="D59" s="34" t="inlineStr">
        <is>
          <t>WBS Code = 1.1.1</t>
        </is>
      </c>
      <c r="E59" s="34" t="inlineStr">
        <is>
          <t>R65-v1</t>
        </is>
      </c>
      <c r="F59" s="34" t="inlineStr">
        <is>
          <t>1.1.1 Guideway and Civil - Guideway Structures</t>
        </is>
      </c>
      <c r="G59" s="34" t="inlineStr">
        <is>
          <t>ONE_TO_ONE</t>
        </is>
      </c>
      <c r="H59" s="34" t="inlineStr">
        <is>
          <t>APPROVED</t>
        </is>
      </c>
      <c r="I59" s="34" t="inlineStr">
        <is>
          <t>New</t>
        </is>
      </c>
      <c r="J59" s="34" t="inlineStr">
        <is>
          <t>Source assignment -- not individually reviewed</t>
        </is>
      </c>
      <c r="K59" s="39" t="inlineStr"/>
      <c r="L59" s="14" t="inlineStr"/>
      <c r="M59" s="14" t="inlineStr"/>
      <c r="N59" s="92" t="inlineStr">
        <is>
          <t>10 EVIDENCE &amp; DECISIONS</t>
        </is>
      </c>
    </row>
    <row r="60" ht="34" customHeight="1">
      <c r="A60" s="34" t="inlineStr">
        <is>
          <t>Contractor Programme</t>
        </is>
      </c>
      <c r="B60" s="34" t="inlineStr">
        <is>
          <t>SCH-01-067</t>
        </is>
      </c>
      <c r="C60" s="34" t="inlineStr">
        <is>
          <t>Depot lead: guideway pier reinforcement - inspection</t>
        </is>
      </c>
      <c r="D60" s="34" t="inlineStr">
        <is>
          <t>WBS Code = 1.1.1</t>
        </is>
      </c>
      <c r="E60" s="34" t="inlineStr">
        <is>
          <t>R67-v1</t>
        </is>
      </c>
      <c r="F60" s="34" t="inlineStr">
        <is>
          <t>1.1.1 Guideway and Civil - Guideway Structures</t>
        </is>
      </c>
      <c r="G60" s="34" t="inlineStr">
        <is>
          <t>ONE_TO_ONE</t>
        </is>
      </c>
      <c r="H60" s="34" t="inlineStr">
        <is>
          <t>APPROVED</t>
        </is>
      </c>
      <c r="I60" s="34" t="inlineStr">
        <is>
          <t>New</t>
        </is>
      </c>
      <c r="J60" s="34" t="inlineStr">
        <is>
          <t>Source assignment -- not individually reviewed</t>
        </is>
      </c>
      <c r="K60" s="39" t="inlineStr"/>
      <c r="L60" s="14" t="inlineStr"/>
      <c r="M60" s="14" t="inlineStr"/>
      <c r="N60" s="92" t="inlineStr">
        <is>
          <t>10 EVIDENCE &amp; DECISIONS</t>
        </is>
      </c>
    </row>
    <row r="61" ht="34" customHeight="1">
      <c r="A61" s="34" t="inlineStr">
        <is>
          <t>Contractor Programme</t>
        </is>
      </c>
      <c r="B61" s="34" t="inlineStr">
        <is>
          <t>SCH-01-068</t>
        </is>
      </c>
      <c r="C61" s="34" t="inlineStr">
        <is>
          <t>East portal: road restoration - turnover</t>
        </is>
      </c>
      <c r="D61" s="34" t="inlineStr">
        <is>
          <t>WBS Code = 1.1.1</t>
        </is>
      </c>
      <c r="E61" s="34" t="inlineStr">
        <is>
          <t>R68-v1</t>
        </is>
      </c>
      <c r="F61" s="34" t="inlineStr">
        <is>
          <t>1.1.1 Guideway and Civil - Guideway Structures</t>
        </is>
      </c>
      <c r="G61" s="34" t="inlineStr">
        <is>
          <t>ONE_TO_ONE</t>
        </is>
      </c>
      <c r="H61" s="34" t="inlineStr">
        <is>
          <t>APPROVED</t>
        </is>
      </c>
      <c r="I61" s="34" t="inlineStr">
        <is>
          <t>New</t>
        </is>
      </c>
      <c r="J61" s="34" t="inlineStr">
        <is>
          <t>Source assignment -- not individually reviewed</t>
        </is>
      </c>
      <c r="K61" s="39" t="inlineStr"/>
      <c r="L61" s="14" t="inlineStr"/>
      <c r="M61" s="14" t="inlineStr"/>
      <c r="N61" s="92" t="inlineStr">
        <is>
          <t>10 EVIDENCE &amp; DECISIONS</t>
        </is>
      </c>
    </row>
    <row r="62" ht="34" customHeight="1">
      <c r="A62" s="34" t="inlineStr">
        <is>
          <t>Contractor Programme</t>
        </is>
      </c>
      <c r="B62" s="34" t="inlineStr">
        <is>
          <t>SCH-01-070</t>
        </is>
      </c>
      <c r="C62" s="34" t="inlineStr">
        <is>
          <t>Central guideway: retaining-wall excavation - field start</t>
        </is>
      </c>
      <c r="D62" s="34" t="inlineStr">
        <is>
          <t>WBS Code = 1.1.1</t>
        </is>
      </c>
      <c r="E62" s="34" t="inlineStr">
        <is>
          <t>R70-v1</t>
        </is>
      </c>
      <c r="F62" s="34" t="inlineStr">
        <is>
          <t>1.1.1 Guideway and Civil - Guideway Structures</t>
        </is>
      </c>
      <c r="G62" s="34" t="inlineStr">
        <is>
          <t>ONE_TO_ONE</t>
        </is>
      </c>
      <c r="H62" s="34" t="inlineStr">
        <is>
          <t>APPROVED</t>
        </is>
      </c>
      <c r="I62" s="34" t="inlineStr">
        <is>
          <t>New</t>
        </is>
      </c>
      <c r="J62" s="34" t="inlineStr">
        <is>
          <t>Source assignment -- not individually reviewed</t>
        </is>
      </c>
      <c r="K62" s="39" t="inlineStr"/>
      <c r="L62" s="14" t="inlineStr"/>
      <c r="M62" s="14" t="inlineStr"/>
      <c r="N62" s="92" t="inlineStr">
        <is>
          <t>10 EVIDENCE &amp; DECISIONS</t>
        </is>
      </c>
    </row>
    <row r="63" ht="34" customHeight="1">
      <c r="A63" s="34" t="inlineStr">
        <is>
          <t>Contractor Programme</t>
        </is>
      </c>
      <c r="B63" s="34" t="inlineStr">
        <is>
          <t>SCH-01-071</t>
        </is>
      </c>
      <c r="C63" s="34" t="inlineStr">
        <is>
          <t>West approach: drainage tie-in - installation</t>
        </is>
      </c>
      <c r="D63" s="34" t="inlineStr">
        <is>
          <t>WBS Code = 1.1.1</t>
        </is>
      </c>
      <c r="E63" s="34" t="inlineStr">
        <is>
          <t>R71-v1</t>
        </is>
      </c>
      <c r="F63" s="34" t="inlineStr">
        <is>
          <t>1.1.1 Guideway and Civil - Guideway Structures</t>
        </is>
      </c>
      <c r="G63" s="34" t="inlineStr">
        <is>
          <t>ONE_TO_ONE</t>
        </is>
      </c>
      <c r="H63" s="34" t="inlineStr">
        <is>
          <t>APPROVED</t>
        </is>
      </c>
      <c r="I63" s="34" t="inlineStr">
        <is>
          <t>New</t>
        </is>
      </c>
      <c r="J63" s="34" t="inlineStr">
        <is>
          <t>Source assignment -- not individually reviewed</t>
        </is>
      </c>
      <c r="K63" s="39" t="inlineStr"/>
      <c r="L63" s="14" t="inlineStr"/>
      <c r="M63" s="14" t="inlineStr"/>
      <c r="N63" s="92" t="inlineStr">
        <is>
          <t>10 EVIDENCE &amp; DECISIONS</t>
        </is>
      </c>
    </row>
    <row r="64" ht="34" customHeight="1">
      <c r="A64" s="34" t="inlineStr">
        <is>
          <t>Contractor Programme</t>
        </is>
      </c>
      <c r="B64" s="34" t="inlineStr">
        <is>
          <t>SCH-01-073</t>
        </is>
      </c>
      <c r="C64" s="34" t="inlineStr">
        <is>
          <t>East portal: track-slab survey - turnover</t>
        </is>
      </c>
      <c r="D64" s="34" t="inlineStr">
        <is>
          <t>WBS Code = 1.1.1</t>
        </is>
      </c>
      <c r="E64" s="34" t="inlineStr">
        <is>
          <t>R73-v1</t>
        </is>
      </c>
      <c r="F64" s="34" t="inlineStr">
        <is>
          <t>1.1.1 Guideway and Civil - Guideway Structures</t>
        </is>
      </c>
      <c r="G64" s="34" t="inlineStr">
        <is>
          <t>ONE_TO_ONE</t>
        </is>
      </c>
      <c r="H64" s="34" t="inlineStr">
        <is>
          <t>APPROVED</t>
        </is>
      </c>
      <c r="I64" s="34" t="inlineStr">
        <is>
          <t>New</t>
        </is>
      </c>
      <c r="J64" s="34" t="inlineStr">
        <is>
          <t>Source assignment -- not individually reviewed</t>
        </is>
      </c>
      <c r="K64" s="39" t="inlineStr"/>
      <c r="L64" s="14" t="inlineStr"/>
      <c r="M64" s="14" t="inlineStr"/>
      <c r="N64" s="92" t="inlineStr">
        <is>
          <t>10 EVIDENCE &amp; DECISIONS</t>
        </is>
      </c>
    </row>
    <row r="65" ht="34" customHeight="1">
      <c r="A65" s="34" t="inlineStr">
        <is>
          <t>Contractor Programme</t>
        </is>
      </c>
      <c r="B65" s="34" t="inlineStr">
        <is>
          <t>SCH-01-074</t>
        </is>
      </c>
      <c r="C65" s="34" t="inlineStr">
        <is>
          <t>River crossing: temporary traffic staging - release</t>
        </is>
      </c>
      <c r="D65" s="34" t="inlineStr">
        <is>
          <t>WBS Code = 1.1.1</t>
        </is>
      </c>
      <c r="E65" s="34" t="inlineStr">
        <is>
          <t>R74-v1</t>
        </is>
      </c>
      <c r="F65" s="34" t="inlineStr">
        <is>
          <t>1.1.1 Guideway and Civil - Guideway Structures</t>
        </is>
      </c>
      <c r="G65" s="34" t="inlineStr">
        <is>
          <t>ONE_TO_ONE</t>
        </is>
      </c>
      <c r="H65" s="34" t="inlineStr">
        <is>
          <t>APPROVED</t>
        </is>
      </c>
      <c r="I65" s="34" t="inlineStr">
        <is>
          <t>New</t>
        </is>
      </c>
      <c r="J65" s="34" t="inlineStr">
        <is>
          <t>Source assignment -- not individually reviewed</t>
        </is>
      </c>
      <c r="K65" s="39" t="inlineStr"/>
      <c r="L65" s="14" t="inlineStr"/>
      <c r="M65" s="14" t="inlineStr"/>
      <c r="N65" s="92" t="inlineStr">
        <is>
          <t>10 EVIDENCE &amp; DECISIONS</t>
        </is>
      </c>
    </row>
    <row r="66" ht="34" customHeight="1">
      <c r="A66" s="34" t="inlineStr">
        <is>
          <t>Contractor Programme</t>
        </is>
      </c>
      <c r="B66" s="34" t="inlineStr">
        <is>
          <t>SCH-01-076</t>
        </is>
      </c>
      <c r="C66" s="34" t="inlineStr">
        <is>
          <t>West approach: road restoration - installation</t>
        </is>
      </c>
      <c r="D66" s="34" t="inlineStr">
        <is>
          <t>WBS Code = 1.1.1</t>
        </is>
      </c>
      <c r="E66" s="34" t="inlineStr">
        <is>
          <t>R76-v1</t>
        </is>
      </c>
      <c r="F66" s="34" t="inlineStr">
        <is>
          <t>1.1.1 Guideway and Civil - Guideway Structures</t>
        </is>
      </c>
      <c r="G66" s="34" t="inlineStr">
        <is>
          <t>ONE_TO_ONE</t>
        </is>
      </c>
      <c r="H66" s="34" t="inlineStr">
        <is>
          <t>APPROVED</t>
        </is>
      </c>
      <c r="I66" s="34" t="inlineStr">
        <is>
          <t>New</t>
        </is>
      </c>
      <c r="J66" s="34" t="inlineStr">
        <is>
          <t>Source assignment -- not individually reviewed</t>
        </is>
      </c>
      <c r="K66" s="39" t="inlineStr"/>
      <c r="L66" s="14" t="inlineStr"/>
      <c r="M66" s="14" t="inlineStr"/>
      <c r="N66" s="92" t="inlineStr">
        <is>
          <t>10 EVIDENCE &amp; DECISIONS</t>
        </is>
      </c>
    </row>
    <row r="67" ht="34" customHeight="1">
      <c r="A67" s="34" t="inlineStr">
        <is>
          <t>Contractor Programme</t>
        </is>
      </c>
      <c r="B67" s="34" t="inlineStr">
        <is>
          <t>SCH-01-077</t>
        </is>
      </c>
      <c r="C67" s="34" t="inlineStr">
        <is>
          <t>Depot lead: drilled-shaft installation - inspection</t>
        </is>
      </c>
      <c r="D67" s="34" t="inlineStr">
        <is>
          <t>WBS Code = 1.1.1</t>
        </is>
      </c>
      <c r="E67" s="34" t="inlineStr">
        <is>
          <t>R77-v1</t>
        </is>
      </c>
      <c r="F67" s="34" t="inlineStr">
        <is>
          <t>1.1.1 Guideway and Civil - Guideway Structures</t>
        </is>
      </c>
      <c r="G67" s="34" t="inlineStr">
        <is>
          <t>ONE_TO_ONE</t>
        </is>
      </c>
      <c r="H67" s="34" t="inlineStr">
        <is>
          <t>APPROVED</t>
        </is>
      </c>
      <c r="I67" s="34" t="inlineStr">
        <is>
          <t>New</t>
        </is>
      </c>
      <c r="J67" s="34" t="inlineStr">
        <is>
          <t>Source assignment -- not individually reviewed</t>
        </is>
      </c>
      <c r="K67" s="39" t="inlineStr"/>
      <c r="L67" s="14" t="inlineStr"/>
      <c r="M67" s="14" t="inlineStr"/>
      <c r="N67" s="92" t="inlineStr">
        <is>
          <t>10 EVIDENCE &amp; DECISIONS</t>
        </is>
      </c>
    </row>
    <row r="68" ht="34" customHeight="1">
      <c r="A68" s="34" t="inlineStr">
        <is>
          <t>Contractor Programme</t>
        </is>
      </c>
      <c r="B68" s="34" t="inlineStr">
        <is>
          <t>SCH-01-079</t>
        </is>
      </c>
      <c r="C68" s="34" t="inlineStr">
        <is>
          <t>River crossing: drainage tie-in - release</t>
        </is>
      </c>
      <c r="D68" s="34" t="inlineStr">
        <is>
          <t>WBS Code = 1.1.1</t>
        </is>
      </c>
      <c r="E68" s="34" t="inlineStr">
        <is>
          <t>R79-v1</t>
        </is>
      </c>
      <c r="F68" s="34" t="inlineStr">
        <is>
          <t>1.1.1 Guideway and Civil - Guideway Structures</t>
        </is>
      </c>
      <c r="G68" s="34" t="inlineStr">
        <is>
          <t>ONE_TO_ONE</t>
        </is>
      </c>
      <c r="H68" s="34" t="inlineStr">
        <is>
          <t>APPROVED</t>
        </is>
      </c>
      <c r="I68" s="34" t="inlineStr">
        <is>
          <t>New</t>
        </is>
      </c>
      <c r="J68" s="34" t="inlineStr">
        <is>
          <t>Source assignment -- not individually reviewed</t>
        </is>
      </c>
      <c r="K68" s="39" t="inlineStr"/>
      <c r="L68" s="14" t="inlineStr"/>
      <c r="M68" s="14" t="inlineStr"/>
      <c r="N68" s="92" t="inlineStr">
        <is>
          <t>10 EVIDENCE &amp; DECISIONS</t>
        </is>
      </c>
    </row>
    <row r="69" ht="34" customHeight="1">
      <c r="A69" s="34" t="inlineStr">
        <is>
          <t>Contractor Programme</t>
        </is>
      </c>
      <c r="B69" s="34" t="inlineStr">
        <is>
          <t>SCH-01-080</t>
        </is>
      </c>
      <c r="C69" s="34" t="inlineStr">
        <is>
          <t>Central guideway: utility relocation - field start</t>
        </is>
      </c>
      <c r="D69" s="34" t="inlineStr">
        <is>
          <t>WBS Code = 1.1.1</t>
        </is>
      </c>
      <c r="E69" s="34" t="inlineStr">
        <is>
          <t>R80-v1</t>
        </is>
      </c>
      <c r="F69" s="34" t="inlineStr">
        <is>
          <t>1.1.1 Guideway and Civil - Guideway Structures</t>
        </is>
      </c>
      <c r="G69" s="34" t="inlineStr">
        <is>
          <t>ONE_TO_ONE</t>
        </is>
      </c>
      <c r="H69" s="34" t="inlineStr">
        <is>
          <t>APPROVED</t>
        </is>
      </c>
      <c r="I69" s="34" t="inlineStr">
        <is>
          <t>New</t>
        </is>
      </c>
      <c r="J69" s="34" t="inlineStr">
        <is>
          <t>Source assignment -- not individually reviewed</t>
        </is>
      </c>
      <c r="K69" s="39" t="inlineStr"/>
      <c r="L69" s="14" t="inlineStr"/>
      <c r="M69" s="14" t="inlineStr"/>
      <c r="N69" s="92" t="inlineStr">
        <is>
          <t>10 EVIDENCE &amp; DECISIONS</t>
        </is>
      </c>
    </row>
    <row r="70" ht="34" customHeight="1">
      <c r="A70" s="34" t="inlineStr">
        <is>
          <t>Contractor Programme</t>
        </is>
      </c>
      <c r="B70" s="34" t="inlineStr">
        <is>
          <t>SCH-01-082</t>
        </is>
      </c>
      <c r="C70" s="34" t="inlineStr">
        <is>
          <t>Depot lead: temporary traffic staging - inspection</t>
        </is>
      </c>
      <c r="D70" s="34" t="inlineStr">
        <is>
          <t>WBS Code = 1.1.1</t>
        </is>
      </c>
      <c r="E70" s="34" t="inlineStr">
        <is>
          <t>R82-v1</t>
        </is>
      </c>
      <c r="F70" s="34" t="inlineStr">
        <is>
          <t>1.1.1 Guideway and Civil - Guideway Structures</t>
        </is>
      </c>
      <c r="G70" s="34" t="inlineStr">
        <is>
          <t>ONE_TO_ONE</t>
        </is>
      </c>
      <c r="H70" s="34" t="inlineStr">
        <is>
          <t>APPROVED</t>
        </is>
      </c>
      <c r="I70" s="34" t="inlineStr">
        <is>
          <t>New</t>
        </is>
      </c>
      <c r="J70" s="34" t="inlineStr">
        <is>
          <t>Source assignment -- not individually reviewed</t>
        </is>
      </c>
      <c r="K70" s="39" t="inlineStr"/>
      <c r="L70" s="14" t="inlineStr"/>
      <c r="M70" s="14" t="inlineStr"/>
      <c r="N70" s="92" t="inlineStr">
        <is>
          <t>10 EVIDENCE &amp; DECISIONS</t>
        </is>
      </c>
    </row>
    <row r="71" ht="34" customHeight="1">
      <c r="A71" s="34" t="inlineStr">
        <is>
          <t>Contractor Programme</t>
        </is>
      </c>
      <c r="B71" s="34" t="inlineStr">
        <is>
          <t>SCH-01-083</t>
        </is>
      </c>
      <c r="C71" s="34" t="inlineStr">
        <is>
          <t>East portal: guideway pier reinforcement - turnover</t>
        </is>
      </c>
      <c r="D71" s="34" t="inlineStr">
        <is>
          <t>WBS Code = 1.1.1</t>
        </is>
      </c>
      <c r="E71" s="34" t="inlineStr">
        <is>
          <t>R83-v1</t>
        </is>
      </c>
      <c r="F71" s="34" t="inlineStr">
        <is>
          <t>1.1.1 Guideway and Civil - Guideway Structures</t>
        </is>
      </c>
      <c r="G71" s="34" t="inlineStr">
        <is>
          <t>ONE_TO_ONE</t>
        </is>
      </c>
      <c r="H71" s="34" t="inlineStr">
        <is>
          <t>APPROVED</t>
        </is>
      </c>
      <c r="I71" s="34" t="inlineStr">
        <is>
          <t>New</t>
        </is>
      </c>
      <c r="J71" s="34" t="inlineStr">
        <is>
          <t>Source assignment -- not individually reviewed</t>
        </is>
      </c>
      <c r="K71" s="39" t="inlineStr"/>
      <c r="L71" s="14" t="inlineStr"/>
      <c r="M71" s="14" t="inlineStr"/>
      <c r="N71" s="92" t="inlineStr">
        <is>
          <t>10 EVIDENCE &amp; DECISIONS</t>
        </is>
      </c>
    </row>
    <row r="72" ht="34" customHeight="1">
      <c r="A72" s="34" t="inlineStr">
        <is>
          <t>Contractor Programme</t>
        </is>
      </c>
      <c r="B72" s="34" t="inlineStr">
        <is>
          <t>SCH-01-085</t>
        </is>
      </c>
      <c r="C72" s="34" t="inlineStr">
        <is>
          <t>Central guideway: drilled-shaft installation - field start</t>
        </is>
      </c>
      <c r="D72" s="34" t="inlineStr">
        <is>
          <t>WBS Code = 1.1.1</t>
        </is>
      </c>
      <c r="E72" s="34" t="inlineStr">
        <is>
          <t>R85-v1</t>
        </is>
      </c>
      <c r="F72" s="34" t="inlineStr">
        <is>
          <t>1.1.1 Guideway and Civil - Guideway Structures</t>
        </is>
      </c>
      <c r="G72" s="34" t="inlineStr">
        <is>
          <t>ONE_TO_ONE</t>
        </is>
      </c>
      <c r="H72" s="34" t="inlineStr">
        <is>
          <t>APPROVED</t>
        </is>
      </c>
      <c r="I72" s="34" t="inlineStr">
        <is>
          <t>New</t>
        </is>
      </c>
      <c r="J72" s="34" t="inlineStr">
        <is>
          <t>Source assignment -- not individually reviewed</t>
        </is>
      </c>
      <c r="K72" s="39" t="inlineStr"/>
      <c r="L72" s="14" t="inlineStr"/>
      <c r="M72" s="14" t="inlineStr"/>
      <c r="N72" s="92" t="inlineStr">
        <is>
          <t>10 EVIDENCE &amp; DECISIONS</t>
        </is>
      </c>
    </row>
    <row r="73" ht="34" customHeight="1">
      <c r="A73" s="34" t="inlineStr">
        <is>
          <t>Contractor Programme</t>
        </is>
      </c>
      <c r="B73" s="34" t="inlineStr">
        <is>
          <t>SCH-01-086</t>
        </is>
      </c>
      <c r="C73" s="34" t="inlineStr">
        <is>
          <t>West approach: retaining-wall excavation - installation</t>
        </is>
      </c>
      <c r="D73" s="34" t="inlineStr">
        <is>
          <t>WBS Code = 1.1.1</t>
        </is>
      </c>
      <c r="E73" s="34" t="inlineStr">
        <is>
          <t>R86-v1</t>
        </is>
      </c>
      <c r="F73" s="34" t="inlineStr">
        <is>
          <t>1.1.1 Guideway and Civil - Guideway Structures</t>
        </is>
      </c>
      <c r="G73" s="34" t="inlineStr">
        <is>
          <t>ONE_TO_ONE</t>
        </is>
      </c>
      <c r="H73" s="34" t="inlineStr">
        <is>
          <t>APPROVED</t>
        </is>
      </c>
      <c r="I73" s="34" t="inlineStr">
        <is>
          <t>New</t>
        </is>
      </c>
      <c r="J73" s="34" t="inlineStr">
        <is>
          <t>Source assignment -- not individually reviewed</t>
        </is>
      </c>
      <c r="K73" s="39" t="inlineStr"/>
      <c r="L73" s="14" t="inlineStr"/>
      <c r="M73" s="14" t="inlineStr"/>
      <c r="N73" s="92" t="inlineStr">
        <is>
          <t>10 EVIDENCE &amp; DECISIONS</t>
        </is>
      </c>
    </row>
    <row r="74" ht="34" customHeight="1">
      <c r="A74" s="34" t="inlineStr">
        <is>
          <t>Contractor Programme</t>
        </is>
      </c>
      <c r="B74" s="34" t="inlineStr">
        <is>
          <t>SCH-01-088</t>
        </is>
      </c>
      <c r="C74" s="34" t="inlineStr">
        <is>
          <t>East portal: utility relocation - turnover</t>
        </is>
      </c>
      <c r="D74" s="34" t="inlineStr">
        <is>
          <t>WBS Code = 1.1.1</t>
        </is>
      </c>
      <c r="E74" s="34" t="inlineStr">
        <is>
          <t>R88-v1</t>
        </is>
      </c>
      <c r="F74" s="34" t="inlineStr">
        <is>
          <t>1.1.1 Guideway and Civil - Guideway Structures</t>
        </is>
      </c>
      <c r="G74" s="34" t="inlineStr">
        <is>
          <t>ONE_TO_ONE</t>
        </is>
      </c>
      <c r="H74" s="34" t="inlineStr">
        <is>
          <t>APPROVED</t>
        </is>
      </c>
      <c r="I74" s="34" t="inlineStr">
        <is>
          <t>New</t>
        </is>
      </c>
      <c r="J74" s="34" t="inlineStr">
        <is>
          <t>Source assignment -- not individually reviewed</t>
        </is>
      </c>
      <c r="K74" s="39" t="inlineStr"/>
      <c r="L74" s="14" t="inlineStr"/>
      <c r="M74" s="14" t="inlineStr"/>
      <c r="N74" s="92" t="inlineStr">
        <is>
          <t>10 EVIDENCE &amp; DECISIONS</t>
        </is>
      </c>
    </row>
    <row r="75" ht="34" customHeight="1">
      <c r="A75" s="34" t="inlineStr">
        <is>
          <t>Contractor Programme</t>
        </is>
      </c>
      <c r="B75" s="34" t="inlineStr">
        <is>
          <t>SCH-01-089</t>
        </is>
      </c>
      <c r="C75" s="34" t="inlineStr">
        <is>
          <t>River crossing: track-slab survey - release</t>
        </is>
      </c>
      <c r="D75" s="34" t="inlineStr">
        <is>
          <t>WBS Code = 1.1.1</t>
        </is>
      </c>
      <c r="E75" s="34" t="inlineStr">
        <is>
          <t>R89-v1</t>
        </is>
      </c>
      <c r="F75" s="34" t="inlineStr">
        <is>
          <t>1.1.1 Guideway and Civil - Guideway Structures</t>
        </is>
      </c>
      <c r="G75" s="34" t="inlineStr">
        <is>
          <t>ONE_TO_ONE</t>
        </is>
      </c>
      <c r="H75" s="34" t="inlineStr">
        <is>
          <t>APPROVED</t>
        </is>
      </c>
      <c r="I75" s="34" t="inlineStr">
        <is>
          <t>New</t>
        </is>
      </c>
      <c r="J75" s="34" t="inlineStr">
        <is>
          <t>Source assignment -- not individually reviewed</t>
        </is>
      </c>
      <c r="K75" s="39" t="inlineStr"/>
      <c r="L75" s="14" t="inlineStr"/>
      <c r="M75" s="14" t="inlineStr"/>
      <c r="N75" s="92" t="inlineStr">
        <is>
          <t>10 EVIDENCE &amp; DECISIONS</t>
        </is>
      </c>
    </row>
    <row r="76" ht="34" customHeight="1">
      <c r="A76" s="34" t="inlineStr">
        <is>
          <t>Contractor Programme</t>
        </is>
      </c>
      <c r="B76" s="34" t="inlineStr">
        <is>
          <t>SCH-01-091</t>
        </is>
      </c>
      <c r="C76" s="34" t="inlineStr">
        <is>
          <t>West approach: guideway pier reinforcement - installation</t>
        </is>
      </c>
      <c r="D76" s="34" t="inlineStr">
        <is>
          <t>WBS Code = 1.1.1</t>
        </is>
      </c>
      <c r="E76" s="34" t="inlineStr">
        <is>
          <t>R91-v1</t>
        </is>
      </c>
      <c r="F76" s="34" t="inlineStr">
        <is>
          <t>1.1.1 Guideway and Civil - Guideway Structures</t>
        </is>
      </c>
      <c r="G76" s="34" t="inlineStr">
        <is>
          <t>ONE_TO_ONE</t>
        </is>
      </c>
      <c r="H76" s="34" t="inlineStr">
        <is>
          <t>APPROVED</t>
        </is>
      </c>
      <c r="I76" s="34" t="inlineStr">
        <is>
          <t>New</t>
        </is>
      </c>
      <c r="J76" s="34" t="inlineStr">
        <is>
          <t>Source assignment -- not individually reviewed</t>
        </is>
      </c>
      <c r="K76" s="39" t="inlineStr"/>
      <c r="L76" s="14" t="inlineStr"/>
      <c r="M76" s="14" t="inlineStr"/>
      <c r="N76" s="92" t="inlineStr">
        <is>
          <t>10 EVIDENCE &amp; DECISIONS</t>
        </is>
      </c>
    </row>
    <row r="77" ht="34" customHeight="1">
      <c r="A77" s="34" t="inlineStr">
        <is>
          <t>Contractor Programme</t>
        </is>
      </c>
      <c r="B77" s="34" t="inlineStr">
        <is>
          <t>SCH-01-092</t>
        </is>
      </c>
      <c r="C77" s="34" t="inlineStr">
        <is>
          <t>Depot lead: road restoration - inspection</t>
        </is>
      </c>
      <c r="D77" s="34" t="inlineStr">
        <is>
          <t>WBS Code = 1.1.1</t>
        </is>
      </c>
      <c r="E77" s="34" t="inlineStr">
        <is>
          <t>R92-v1</t>
        </is>
      </c>
      <c r="F77" s="34" t="inlineStr">
        <is>
          <t>1.1.1 Guideway and Civil - Guideway Structures</t>
        </is>
      </c>
      <c r="G77" s="34" t="inlineStr">
        <is>
          <t>ONE_TO_ONE</t>
        </is>
      </c>
      <c r="H77" s="34" t="inlineStr">
        <is>
          <t>APPROVED</t>
        </is>
      </c>
      <c r="I77" s="34" t="inlineStr">
        <is>
          <t>New</t>
        </is>
      </c>
      <c r="J77" s="34" t="inlineStr">
        <is>
          <t>Source assignment -- not individually reviewed</t>
        </is>
      </c>
      <c r="K77" s="39" t="inlineStr"/>
      <c r="L77" s="14" t="inlineStr"/>
      <c r="M77" s="14" t="inlineStr"/>
      <c r="N77" s="92" t="inlineStr">
        <is>
          <t>10 EVIDENCE &amp; DECISIONS</t>
        </is>
      </c>
    </row>
    <row r="78" ht="34" customHeight="1">
      <c r="A78" s="34" t="inlineStr">
        <is>
          <t>Contractor Programme</t>
        </is>
      </c>
      <c r="B78" s="34" t="inlineStr">
        <is>
          <t>SCH-01-094</t>
        </is>
      </c>
      <c r="C78" s="34" t="inlineStr">
        <is>
          <t>River crossing: retaining-wall excavation - release</t>
        </is>
      </c>
      <c r="D78" s="34" t="inlineStr">
        <is>
          <t>WBS Code = 1.1.1</t>
        </is>
      </c>
      <c r="E78" s="34" t="inlineStr">
        <is>
          <t>R94-v1</t>
        </is>
      </c>
      <c r="F78" s="34" t="inlineStr">
        <is>
          <t>1.1.1 Guideway and Civil - Guideway Structures</t>
        </is>
      </c>
      <c r="G78" s="34" t="inlineStr">
        <is>
          <t>ONE_TO_ONE</t>
        </is>
      </c>
      <c r="H78" s="34" t="inlineStr">
        <is>
          <t>APPROVED</t>
        </is>
      </c>
      <c r="I78" s="34" t="inlineStr">
        <is>
          <t>New</t>
        </is>
      </c>
      <c r="J78" s="34" t="inlineStr">
        <is>
          <t>Source assignment -- not individually reviewed</t>
        </is>
      </c>
      <c r="K78" s="39" t="inlineStr"/>
      <c r="L78" s="14" t="inlineStr"/>
      <c r="M78" s="14" t="inlineStr"/>
      <c r="N78" s="92" t="inlineStr">
        <is>
          <t>10 EVIDENCE &amp; DECISIONS</t>
        </is>
      </c>
    </row>
    <row r="79" ht="34" customHeight="1">
      <c r="A79" s="34" t="inlineStr">
        <is>
          <t>Contractor Programme</t>
        </is>
      </c>
      <c r="B79" s="34" t="inlineStr">
        <is>
          <t>SCH-01-095</t>
        </is>
      </c>
      <c r="C79" s="34" t="inlineStr">
        <is>
          <t>Central guideway: drainage tie-in - field start</t>
        </is>
      </c>
      <c r="D79" s="34" t="inlineStr">
        <is>
          <t>WBS Code = 1.1.1</t>
        </is>
      </c>
      <c r="E79" s="34" t="inlineStr">
        <is>
          <t>R95-v1</t>
        </is>
      </c>
      <c r="F79" s="34" t="inlineStr">
        <is>
          <t>1.1.1 Guideway and Civil - Guideway Structures</t>
        </is>
      </c>
      <c r="G79" s="34" t="inlineStr">
        <is>
          <t>ONE_TO_ONE</t>
        </is>
      </c>
      <c r="H79" s="34" t="inlineStr">
        <is>
          <t>APPROVED</t>
        </is>
      </c>
      <c r="I79" s="34" t="inlineStr">
        <is>
          <t>New</t>
        </is>
      </c>
      <c r="J79" s="34" t="inlineStr">
        <is>
          <t>Source assignment -- not individually reviewed</t>
        </is>
      </c>
      <c r="K79" s="39" t="inlineStr"/>
      <c r="L79" s="14" t="inlineStr"/>
      <c r="M79" s="14" t="inlineStr"/>
      <c r="N79" s="92" t="inlineStr">
        <is>
          <t>10 EVIDENCE &amp; DECISIONS</t>
        </is>
      </c>
    </row>
    <row r="80" ht="34" customHeight="1">
      <c r="A80" s="34" t="inlineStr">
        <is>
          <t>Contractor Programme</t>
        </is>
      </c>
      <c r="B80" s="34" t="inlineStr">
        <is>
          <t>SCH-01-097</t>
        </is>
      </c>
      <c r="C80" s="34" t="inlineStr">
        <is>
          <t>Depot lead: track-slab survey - inspection</t>
        </is>
      </c>
      <c r="D80" s="34" t="inlineStr">
        <is>
          <t>WBS Code = 1.1.1</t>
        </is>
      </c>
      <c r="E80" s="34" t="inlineStr">
        <is>
          <t>R97-v1</t>
        </is>
      </c>
      <c r="F80" s="34" t="inlineStr">
        <is>
          <t>1.1.1 Guideway and Civil - Guideway Structures</t>
        </is>
      </c>
      <c r="G80" s="34" t="inlineStr">
        <is>
          <t>ONE_TO_ONE</t>
        </is>
      </c>
      <c r="H80" s="34" t="inlineStr">
        <is>
          <t>APPROVED</t>
        </is>
      </c>
      <c r="I80" s="34" t="inlineStr">
        <is>
          <t>New</t>
        </is>
      </c>
      <c r="J80" s="34" t="inlineStr">
        <is>
          <t>Source assignment -- not individually reviewed</t>
        </is>
      </c>
      <c r="K80" s="39" t="inlineStr"/>
      <c r="L80" s="14" t="inlineStr"/>
      <c r="M80" s="14" t="inlineStr"/>
      <c r="N80" s="92" t="inlineStr">
        <is>
          <t>10 EVIDENCE &amp; DECISIONS</t>
        </is>
      </c>
    </row>
    <row r="81" ht="34" customHeight="1">
      <c r="A81" s="34" t="inlineStr">
        <is>
          <t>Contractor Programme</t>
        </is>
      </c>
      <c r="B81" s="34" t="inlineStr">
        <is>
          <t>SCH-01-098</t>
        </is>
      </c>
      <c r="C81" s="34" t="inlineStr">
        <is>
          <t>East portal: temporary traffic staging - turnover</t>
        </is>
      </c>
      <c r="D81" s="34" t="inlineStr">
        <is>
          <t>WBS Code = 1.1.1</t>
        </is>
      </c>
      <c r="E81" s="34" t="inlineStr">
        <is>
          <t>R98-v1</t>
        </is>
      </c>
      <c r="F81" s="34" t="inlineStr">
        <is>
          <t>1.1.1 Guideway and Civil - Guideway Structures</t>
        </is>
      </c>
      <c r="G81" s="34" t="inlineStr">
        <is>
          <t>ONE_TO_ONE</t>
        </is>
      </c>
      <c r="H81" s="34" t="inlineStr">
        <is>
          <t>APPROVED</t>
        </is>
      </c>
      <c r="I81" s="34" t="inlineStr">
        <is>
          <t>New</t>
        </is>
      </c>
      <c r="J81" s="34" t="inlineStr">
        <is>
          <t>Source assignment -- not individually reviewed</t>
        </is>
      </c>
      <c r="K81" s="39" t="inlineStr"/>
      <c r="L81" s="14" t="inlineStr"/>
      <c r="M81" s="14" t="inlineStr"/>
      <c r="N81" s="92" t="inlineStr">
        <is>
          <t>10 EVIDENCE &amp; DECISIONS</t>
        </is>
      </c>
    </row>
    <row r="82" ht="34" customHeight="1">
      <c r="A82" s="34" t="inlineStr">
        <is>
          <t>Contractor Programme</t>
        </is>
      </c>
      <c r="B82" s="34" t="inlineStr">
        <is>
          <t>SCH-01-100</t>
        </is>
      </c>
      <c r="C82" s="34" t="inlineStr">
        <is>
          <t>Central guideway: road restoration - field start</t>
        </is>
      </c>
      <c r="D82" s="34" t="inlineStr">
        <is>
          <t>WBS Code = 1.1.1</t>
        </is>
      </c>
      <c r="E82" s="34" t="inlineStr">
        <is>
          <t>R100-v1</t>
        </is>
      </c>
      <c r="F82" s="34" t="inlineStr">
        <is>
          <t>1.1.1 Guideway and Civil - Guideway Structures</t>
        </is>
      </c>
      <c r="G82" s="34" t="inlineStr">
        <is>
          <t>ONE_TO_ONE</t>
        </is>
      </c>
      <c r="H82" s="34" t="inlineStr">
        <is>
          <t>APPROVED</t>
        </is>
      </c>
      <c r="I82" s="34" t="inlineStr">
        <is>
          <t>New</t>
        </is>
      </c>
      <c r="J82" s="34" t="inlineStr">
        <is>
          <t>Source assignment -- not individually reviewed</t>
        </is>
      </c>
      <c r="K82" s="39" t="inlineStr"/>
      <c r="L82" s="14" t="inlineStr"/>
      <c r="M82" s="14" t="inlineStr"/>
      <c r="N82" s="92" t="inlineStr">
        <is>
          <t>10 EVIDENCE &amp; DECISIONS</t>
        </is>
      </c>
    </row>
    <row r="83" ht="34" customHeight="1">
      <c r="A83" s="34" t="inlineStr">
        <is>
          <t>Contractor Programme</t>
        </is>
      </c>
      <c r="B83" s="34" t="inlineStr">
        <is>
          <t>SCH-01-101</t>
        </is>
      </c>
      <c r="C83" s="34" t="inlineStr">
        <is>
          <t>West approach: drilled-shaft installation - installation</t>
        </is>
      </c>
      <c r="D83" s="34" t="inlineStr">
        <is>
          <t>WBS Code = 1.1.1</t>
        </is>
      </c>
      <c r="E83" s="34" t="inlineStr">
        <is>
          <t>R101-v1</t>
        </is>
      </c>
      <c r="F83" s="34" t="inlineStr">
        <is>
          <t>1.1.1 Guideway and Civil - Guideway Structures</t>
        </is>
      </c>
      <c r="G83" s="34" t="inlineStr">
        <is>
          <t>ONE_TO_ONE</t>
        </is>
      </c>
      <c r="H83" s="34" t="inlineStr">
        <is>
          <t>APPROVED</t>
        </is>
      </c>
      <c r="I83" s="34" t="inlineStr">
        <is>
          <t>New</t>
        </is>
      </c>
      <c r="J83" s="34" t="inlineStr">
        <is>
          <t>Source assignment -- not individually reviewed</t>
        </is>
      </c>
      <c r="K83" s="39" t="inlineStr"/>
      <c r="L83" s="14" t="inlineStr"/>
      <c r="M83" s="14" t="inlineStr"/>
      <c r="N83" s="92" t="inlineStr">
        <is>
          <t>10 EVIDENCE &amp; DECISIONS</t>
        </is>
      </c>
    </row>
    <row r="84" ht="34" customHeight="1">
      <c r="A84" s="34" t="inlineStr">
        <is>
          <t>Contractor Programme</t>
        </is>
      </c>
      <c r="B84" s="34" t="inlineStr">
        <is>
          <t>SCH-01-103</t>
        </is>
      </c>
      <c r="C84" s="34" t="inlineStr">
        <is>
          <t>East portal: drainage tie-in - turnover</t>
        </is>
      </c>
      <c r="D84" s="34" t="inlineStr">
        <is>
          <t>WBS Code = 1.1.1</t>
        </is>
      </c>
      <c r="E84" s="34" t="inlineStr">
        <is>
          <t>R103-v1</t>
        </is>
      </c>
      <c r="F84" s="34" t="inlineStr">
        <is>
          <t>1.1.1 Guideway and Civil - Guideway Structures</t>
        </is>
      </c>
      <c r="G84" s="34" t="inlineStr">
        <is>
          <t>ONE_TO_ONE</t>
        </is>
      </c>
      <c r="H84" s="34" t="inlineStr">
        <is>
          <t>APPROVED</t>
        </is>
      </c>
      <c r="I84" s="34" t="inlineStr">
        <is>
          <t>New</t>
        </is>
      </c>
      <c r="J84" s="34" t="inlineStr">
        <is>
          <t>Source assignment -- not individually reviewed</t>
        </is>
      </c>
      <c r="K84" s="39" t="inlineStr"/>
      <c r="L84" s="14" t="inlineStr"/>
      <c r="M84" s="14" t="inlineStr"/>
      <c r="N84" s="92" t="inlineStr">
        <is>
          <t>10 EVIDENCE &amp; DECISIONS</t>
        </is>
      </c>
    </row>
    <row r="85" ht="34" customHeight="1">
      <c r="A85" s="34" t="inlineStr">
        <is>
          <t>Contractor Programme</t>
        </is>
      </c>
      <c r="B85" s="34" t="inlineStr">
        <is>
          <t>SCH-01-104</t>
        </is>
      </c>
      <c r="C85" s="34" t="inlineStr">
        <is>
          <t>River crossing: utility relocation - release</t>
        </is>
      </c>
      <c r="D85" s="34" t="inlineStr">
        <is>
          <t>WBS Code = 1.1.1</t>
        </is>
      </c>
      <c r="E85" s="34" t="inlineStr">
        <is>
          <t>R104-v1</t>
        </is>
      </c>
      <c r="F85" s="34" t="inlineStr">
        <is>
          <t>1.1.1 Guideway and Civil - Guideway Structures</t>
        </is>
      </c>
      <c r="G85" s="34" t="inlineStr">
        <is>
          <t>ONE_TO_ONE</t>
        </is>
      </c>
      <c r="H85" s="34" t="inlineStr">
        <is>
          <t>APPROVED</t>
        </is>
      </c>
      <c r="I85" s="34" t="inlineStr">
        <is>
          <t>New</t>
        </is>
      </c>
      <c r="J85" s="34" t="inlineStr">
        <is>
          <t>Source assignment -- not individually reviewed</t>
        </is>
      </c>
      <c r="K85" s="39" t="inlineStr"/>
      <c r="L85" s="14" t="inlineStr"/>
      <c r="M85" s="14" t="inlineStr"/>
      <c r="N85" s="92" t="inlineStr">
        <is>
          <t>10 EVIDENCE &amp; DECISIONS</t>
        </is>
      </c>
    </row>
    <row r="86" ht="34" customHeight="1">
      <c r="A86" s="34" t="inlineStr">
        <is>
          <t>Contractor Programme</t>
        </is>
      </c>
      <c r="B86" s="34" t="inlineStr">
        <is>
          <t>SCH-01-106</t>
        </is>
      </c>
      <c r="C86" s="34" t="inlineStr">
        <is>
          <t>West approach: temporary traffic staging - installation</t>
        </is>
      </c>
      <c r="D86" s="34" t="inlineStr">
        <is>
          <t>WBS Code = 1.1.1</t>
        </is>
      </c>
      <c r="E86" s="34" t="inlineStr">
        <is>
          <t>R106-v1</t>
        </is>
      </c>
      <c r="F86" s="34" t="inlineStr">
        <is>
          <t>1.1.1 Guideway and Civil - Guideway Structures</t>
        </is>
      </c>
      <c r="G86" s="34" t="inlineStr">
        <is>
          <t>ONE_TO_ONE</t>
        </is>
      </c>
      <c r="H86" s="34" t="inlineStr">
        <is>
          <t>APPROVED</t>
        </is>
      </c>
      <c r="I86" s="34" t="inlineStr">
        <is>
          <t>New</t>
        </is>
      </c>
      <c r="J86" s="34" t="inlineStr">
        <is>
          <t>Source assignment -- not individually reviewed</t>
        </is>
      </c>
      <c r="K86" s="39" t="inlineStr"/>
      <c r="L86" s="14" t="inlineStr"/>
      <c r="M86" s="14" t="inlineStr"/>
      <c r="N86" s="92" t="inlineStr">
        <is>
          <t>10 EVIDENCE &amp; DECISIONS</t>
        </is>
      </c>
    </row>
    <row r="87" ht="34" customHeight="1">
      <c r="A87" s="34" t="inlineStr">
        <is>
          <t>Contractor Programme</t>
        </is>
      </c>
      <c r="B87" s="34" t="inlineStr">
        <is>
          <t>SCH-01-107</t>
        </is>
      </c>
      <c r="C87" s="34" t="inlineStr">
        <is>
          <t>Depot lead: guideway pier reinforcement - inspection</t>
        </is>
      </c>
      <c r="D87" s="34" t="inlineStr">
        <is>
          <t>WBS Code = 1.1.1</t>
        </is>
      </c>
      <c r="E87" s="34" t="inlineStr">
        <is>
          <t>R107-v1</t>
        </is>
      </c>
      <c r="F87" s="34" t="inlineStr">
        <is>
          <t>1.1.1 Guideway and Civil - Guideway Structures</t>
        </is>
      </c>
      <c r="G87" s="34" t="inlineStr">
        <is>
          <t>ONE_TO_ONE</t>
        </is>
      </c>
      <c r="H87" s="34" t="inlineStr">
        <is>
          <t>APPROVED</t>
        </is>
      </c>
      <c r="I87" s="34" t="inlineStr">
        <is>
          <t>New</t>
        </is>
      </c>
      <c r="J87" s="34" t="inlineStr">
        <is>
          <t>Source assignment -- not individually reviewed</t>
        </is>
      </c>
      <c r="K87" s="39" t="inlineStr"/>
      <c r="L87" s="14" t="inlineStr"/>
      <c r="M87" s="14" t="inlineStr"/>
      <c r="N87" s="92" t="inlineStr">
        <is>
          <t>10 EVIDENCE &amp; DECISIONS</t>
        </is>
      </c>
    </row>
    <row r="88" ht="34" customHeight="1">
      <c r="A88" s="34" t="inlineStr">
        <is>
          <t>Contractor Programme</t>
        </is>
      </c>
      <c r="B88" s="34" t="inlineStr">
        <is>
          <t>SCH-01-109</t>
        </is>
      </c>
      <c r="C88" s="34" t="inlineStr">
        <is>
          <t>River crossing: drilled-shaft installation - release</t>
        </is>
      </c>
      <c r="D88" s="34" t="inlineStr">
        <is>
          <t>WBS Code = 1.1.1</t>
        </is>
      </c>
      <c r="E88" s="34" t="inlineStr">
        <is>
          <t>R109-v1</t>
        </is>
      </c>
      <c r="F88" s="34" t="inlineStr">
        <is>
          <t>1.1.1 Guideway and Civil - Guideway Structures</t>
        </is>
      </c>
      <c r="G88" s="34" t="inlineStr">
        <is>
          <t>ONE_TO_ONE</t>
        </is>
      </c>
      <c r="H88" s="34" t="inlineStr">
        <is>
          <t>APPROVED</t>
        </is>
      </c>
      <c r="I88" s="34" t="inlineStr">
        <is>
          <t>New</t>
        </is>
      </c>
      <c r="J88" s="34" t="inlineStr">
        <is>
          <t>Source assignment -- not individually reviewed</t>
        </is>
      </c>
      <c r="K88" s="39" t="inlineStr"/>
      <c r="L88" s="14" t="inlineStr"/>
      <c r="M88" s="14" t="inlineStr"/>
      <c r="N88" s="92" t="inlineStr">
        <is>
          <t>10 EVIDENCE &amp; DECISIONS</t>
        </is>
      </c>
    </row>
    <row r="89" ht="34" customHeight="1">
      <c r="A89" s="34" t="inlineStr">
        <is>
          <t>Contractor Programme</t>
        </is>
      </c>
      <c r="B89" s="34" t="inlineStr">
        <is>
          <t>SCH-01-110</t>
        </is>
      </c>
      <c r="C89" s="34" t="inlineStr">
        <is>
          <t>Central guideway: retaining-wall excavation - field start</t>
        </is>
      </c>
      <c r="D89" s="34" t="inlineStr">
        <is>
          <t>WBS Code = 1.1.1</t>
        </is>
      </c>
      <c r="E89" s="34" t="inlineStr">
        <is>
          <t>R110-v1</t>
        </is>
      </c>
      <c r="F89" s="34" t="inlineStr">
        <is>
          <t>1.1.1 Guideway and Civil - Guideway Structures</t>
        </is>
      </c>
      <c r="G89" s="34" t="inlineStr">
        <is>
          <t>ONE_TO_ONE</t>
        </is>
      </c>
      <c r="H89" s="34" t="inlineStr">
        <is>
          <t>APPROVED</t>
        </is>
      </c>
      <c r="I89" s="34" t="inlineStr">
        <is>
          <t>New</t>
        </is>
      </c>
      <c r="J89" s="34" t="inlineStr">
        <is>
          <t>Source assignment -- not individually reviewed</t>
        </is>
      </c>
      <c r="K89" s="39" t="inlineStr"/>
      <c r="L89" s="14" t="inlineStr"/>
      <c r="M89" s="14" t="inlineStr"/>
      <c r="N89" s="92" t="inlineStr">
        <is>
          <t>10 EVIDENCE &amp; DECISIONS</t>
        </is>
      </c>
    </row>
    <row r="90" ht="34" customHeight="1">
      <c r="A90" s="34" t="inlineStr">
        <is>
          <t>Contractor Programme</t>
        </is>
      </c>
      <c r="B90" s="34" t="inlineStr">
        <is>
          <t>SCH-01-112</t>
        </is>
      </c>
      <c r="C90" s="34" t="inlineStr">
        <is>
          <t>Depot lead: utility relocation - inspection</t>
        </is>
      </c>
      <c r="D90" s="34" t="inlineStr">
        <is>
          <t>WBS Code = 1.1.1</t>
        </is>
      </c>
      <c r="E90" s="34" t="inlineStr">
        <is>
          <t>R112-v1</t>
        </is>
      </c>
      <c r="F90" s="34" t="inlineStr">
        <is>
          <t>1.1.1 Guideway and Civil - Guideway Structures</t>
        </is>
      </c>
      <c r="G90" s="34" t="inlineStr">
        <is>
          <t>ONE_TO_ONE</t>
        </is>
      </c>
      <c r="H90" s="34" t="inlineStr">
        <is>
          <t>APPROVED</t>
        </is>
      </c>
      <c r="I90" s="34" t="inlineStr">
        <is>
          <t>New</t>
        </is>
      </c>
      <c r="J90" s="34" t="inlineStr">
        <is>
          <t>Source assignment -- not individually reviewed</t>
        </is>
      </c>
      <c r="K90" s="39" t="inlineStr"/>
      <c r="L90" s="14" t="inlineStr"/>
      <c r="M90" s="14" t="inlineStr"/>
      <c r="N90" s="92" t="inlineStr">
        <is>
          <t>10 EVIDENCE &amp; DECISIONS</t>
        </is>
      </c>
    </row>
    <row r="91" ht="34" customHeight="1">
      <c r="A91" s="34" t="inlineStr">
        <is>
          <t>Contractor Programme</t>
        </is>
      </c>
      <c r="B91" s="34" t="inlineStr">
        <is>
          <t>SCH-01-113</t>
        </is>
      </c>
      <c r="C91" s="34" t="inlineStr">
        <is>
          <t>East portal: track-slab survey - turnover</t>
        </is>
      </c>
      <c r="D91" s="34" t="inlineStr">
        <is>
          <t>WBS Code = 1.1.1</t>
        </is>
      </c>
      <c r="E91" s="34" t="inlineStr">
        <is>
          <t>R113-v1</t>
        </is>
      </c>
      <c r="F91" s="34" t="inlineStr">
        <is>
          <t>1.1.1 Guideway and Civil - Guideway Structures</t>
        </is>
      </c>
      <c r="G91" s="34" t="inlineStr">
        <is>
          <t>ONE_TO_ONE</t>
        </is>
      </c>
      <c r="H91" s="34" t="inlineStr">
        <is>
          <t>APPROVED</t>
        </is>
      </c>
      <c r="I91" s="34" t="inlineStr">
        <is>
          <t>New</t>
        </is>
      </c>
      <c r="J91" s="34" t="inlineStr">
        <is>
          <t>Source assignment -- not individually reviewed</t>
        </is>
      </c>
      <c r="K91" s="39" t="inlineStr"/>
      <c r="L91" s="14" t="inlineStr"/>
      <c r="M91" s="14" t="inlineStr"/>
      <c r="N91" s="92" t="inlineStr">
        <is>
          <t>10 EVIDENCE &amp; DECISIONS</t>
        </is>
      </c>
    </row>
    <row r="92" ht="34" customHeight="1">
      <c r="A92" s="34" t="inlineStr">
        <is>
          <t>Contractor Programme</t>
        </is>
      </c>
      <c r="B92" s="34" t="inlineStr">
        <is>
          <t>SCH-01-115</t>
        </is>
      </c>
      <c r="C92" s="34" t="inlineStr">
        <is>
          <t>Central guideway: guideway pier reinforcement - field start</t>
        </is>
      </c>
      <c r="D92" s="34" t="inlineStr">
        <is>
          <t>WBS Code = 1.1.1</t>
        </is>
      </c>
      <c r="E92" s="34" t="inlineStr">
        <is>
          <t>R115-v1</t>
        </is>
      </c>
      <c r="F92" s="34" t="inlineStr">
        <is>
          <t>1.1.1 Guideway and Civil - Guideway Structures</t>
        </is>
      </c>
      <c r="G92" s="34" t="inlineStr">
        <is>
          <t>ONE_TO_ONE</t>
        </is>
      </c>
      <c r="H92" s="34" t="inlineStr">
        <is>
          <t>APPROVED</t>
        </is>
      </c>
      <c r="I92" s="34" t="inlineStr">
        <is>
          <t>New</t>
        </is>
      </c>
      <c r="J92" s="34" t="inlineStr">
        <is>
          <t>Source assignment -- not individually reviewed</t>
        </is>
      </c>
      <c r="K92" s="39" t="inlineStr"/>
      <c r="L92" s="14" t="inlineStr"/>
      <c r="M92" s="14" t="inlineStr"/>
      <c r="N92" s="92" t="inlineStr">
        <is>
          <t>10 EVIDENCE &amp; DECISIONS</t>
        </is>
      </c>
    </row>
    <row r="93" ht="34" customHeight="1">
      <c r="A93" s="34" t="inlineStr">
        <is>
          <t>Contractor Programme</t>
        </is>
      </c>
      <c r="B93" s="34" t="inlineStr">
        <is>
          <t>SCH-01-116</t>
        </is>
      </c>
      <c r="C93" s="34" t="inlineStr">
        <is>
          <t>West approach: road restoration - installation</t>
        </is>
      </c>
      <c r="D93" s="34" t="inlineStr">
        <is>
          <t>WBS Code = 1.1.1</t>
        </is>
      </c>
      <c r="E93" s="34" t="inlineStr">
        <is>
          <t>R116-v1</t>
        </is>
      </c>
      <c r="F93" s="34" t="inlineStr">
        <is>
          <t>1.1.1 Guideway and Civil - Guideway Structures</t>
        </is>
      </c>
      <c r="G93" s="34" t="inlineStr">
        <is>
          <t>ONE_TO_ONE</t>
        </is>
      </c>
      <c r="H93" s="34" t="inlineStr">
        <is>
          <t>APPROVED</t>
        </is>
      </c>
      <c r="I93" s="34" t="inlineStr">
        <is>
          <t>New</t>
        </is>
      </c>
      <c r="J93" s="34" t="inlineStr">
        <is>
          <t>Source assignment -- not individually reviewed</t>
        </is>
      </c>
      <c r="K93" s="39" t="inlineStr"/>
      <c r="L93" s="14" t="inlineStr"/>
      <c r="M93" s="14" t="inlineStr"/>
      <c r="N93" s="92" t="inlineStr">
        <is>
          <t>10 EVIDENCE &amp; DECISIONS</t>
        </is>
      </c>
    </row>
    <row r="94" ht="34" customHeight="1">
      <c r="A94" s="34" t="inlineStr">
        <is>
          <t>Contractor Programme</t>
        </is>
      </c>
      <c r="B94" s="34" t="inlineStr">
        <is>
          <t>SCH-01-118</t>
        </is>
      </c>
      <c r="C94" s="34" t="inlineStr">
        <is>
          <t>East portal: retaining-wall excavation - turnover</t>
        </is>
      </c>
      <c r="D94" s="34" t="inlineStr">
        <is>
          <t>WBS Code = 1.1.1</t>
        </is>
      </c>
      <c r="E94" s="34" t="inlineStr">
        <is>
          <t>R118-v1</t>
        </is>
      </c>
      <c r="F94" s="34" t="inlineStr">
        <is>
          <t>1.1.1 Guideway and Civil - Guideway Structures</t>
        </is>
      </c>
      <c r="G94" s="34" t="inlineStr">
        <is>
          <t>ONE_TO_ONE</t>
        </is>
      </c>
      <c r="H94" s="34" t="inlineStr">
        <is>
          <t>APPROVED</t>
        </is>
      </c>
      <c r="I94" s="34" t="inlineStr">
        <is>
          <t>New</t>
        </is>
      </c>
      <c r="J94" s="34" t="inlineStr">
        <is>
          <t>Source assignment -- not individually reviewed</t>
        </is>
      </c>
      <c r="K94" s="39" t="inlineStr"/>
      <c r="L94" s="14" t="inlineStr"/>
      <c r="M94" s="14" t="inlineStr"/>
      <c r="N94" s="92" t="inlineStr">
        <is>
          <t>10 EVIDENCE &amp; DECISIONS</t>
        </is>
      </c>
    </row>
    <row r="95" ht="34" customHeight="1">
      <c r="A95" s="34" t="inlineStr">
        <is>
          <t>Contractor Programme</t>
        </is>
      </c>
      <c r="B95" s="34" t="inlineStr">
        <is>
          <t>SCH-01-119</t>
        </is>
      </c>
      <c r="C95" s="34" t="inlineStr">
        <is>
          <t>River crossing: drainage tie-in - release</t>
        </is>
      </c>
      <c r="D95" s="34" t="inlineStr">
        <is>
          <t>WBS Code = 1.1.1</t>
        </is>
      </c>
      <c r="E95" s="34" t="inlineStr">
        <is>
          <t>R119-v1</t>
        </is>
      </c>
      <c r="F95" s="34" t="inlineStr">
        <is>
          <t>1.1.1 Guideway and Civil - Guideway Structures</t>
        </is>
      </c>
      <c r="G95" s="34" t="inlineStr">
        <is>
          <t>ONE_TO_ONE</t>
        </is>
      </c>
      <c r="H95" s="34" t="inlineStr">
        <is>
          <t>APPROVED</t>
        </is>
      </c>
      <c r="I95" s="34" t="inlineStr">
        <is>
          <t>New</t>
        </is>
      </c>
      <c r="J95" s="34" t="inlineStr">
        <is>
          <t>Source assignment -- not individually reviewed</t>
        </is>
      </c>
      <c r="K95" s="39" t="inlineStr"/>
      <c r="L95" s="14" t="inlineStr"/>
      <c r="M95" s="14" t="inlineStr"/>
      <c r="N95" s="92" t="inlineStr">
        <is>
          <t>10 EVIDENCE &amp; DECISIONS</t>
        </is>
      </c>
    </row>
    <row r="96" ht="34" customHeight="1">
      <c r="A96" s="34" t="inlineStr">
        <is>
          <t>Contractor Programme</t>
        </is>
      </c>
      <c r="B96" s="34" t="inlineStr">
        <is>
          <t>SCH-01-121</t>
        </is>
      </c>
      <c r="C96" s="34" t="inlineStr">
        <is>
          <t>West approach: track-slab survey - installation</t>
        </is>
      </c>
      <c r="D96" s="34" t="inlineStr">
        <is>
          <t>WBS Code = 1.1.1</t>
        </is>
      </c>
      <c r="E96" s="34" t="inlineStr">
        <is>
          <t>R121-v1</t>
        </is>
      </c>
      <c r="F96" s="34" t="inlineStr">
        <is>
          <t>1.1.1 Guideway and Civil - Guideway Structures</t>
        </is>
      </c>
      <c r="G96" s="34" t="inlineStr">
        <is>
          <t>ONE_TO_ONE</t>
        </is>
      </c>
      <c r="H96" s="34" t="inlineStr">
        <is>
          <t>APPROVED</t>
        </is>
      </c>
      <c r="I96" s="34" t="inlineStr">
        <is>
          <t>New</t>
        </is>
      </c>
      <c r="J96" s="34" t="inlineStr">
        <is>
          <t>Source assignment -- not individually reviewed</t>
        </is>
      </c>
      <c r="K96" s="39" t="inlineStr"/>
      <c r="L96" s="14" t="inlineStr"/>
      <c r="M96" s="14" t="inlineStr"/>
      <c r="N96" s="92" t="inlineStr">
        <is>
          <t>10 EVIDENCE &amp; DECISIONS</t>
        </is>
      </c>
    </row>
    <row r="97" ht="34" customHeight="1">
      <c r="A97" s="34" t="inlineStr">
        <is>
          <t>Contractor Programme</t>
        </is>
      </c>
      <c r="B97" s="34" t="inlineStr">
        <is>
          <t>SCH-01-122</t>
        </is>
      </c>
      <c r="C97" s="34" t="inlineStr">
        <is>
          <t>Depot lead: temporary traffic staging - inspection</t>
        </is>
      </c>
      <c r="D97" s="34" t="inlineStr">
        <is>
          <t>WBS Code = 1.1.1</t>
        </is>
      </c>
      <c r="E97" s="34" t="inlineStr">
        <is>
          <t>R122-v1</t>
        </is>
      </c>
      <c r="F97" s="34" t="inlineStr">
        <is>
          <t>1.1.1 Guideway and Civil - Guideway Structures</t>
        </is>
      </c>
      <c r="G97" s="34" t="inlineStr">
        <is>
          <t>ONE_TO_ONE</t>
        </is>
      </c>
      <c r="H97" s="34" t="inlineStr">
        <is>
          <t>APPROVED</t>
        </is>
      </c>
      <c r="I97" s="34" t="inlineStr">
        <is>
          <t>New</t>
        </is>
      </c>
      <c r="J97" s="34" t="inlineStr">
        <is>
          <t>Source assignment -- not individually reviewed</t>
        </is>
      </c>
      <c r="K97" s="39" t="inlineStr"/>
      <c r="L97" s="14" t="inlineStr"/>
      <c r="M97" s="14" t="inlineStr"/>
      <c r="N97" s="92" t="inlineStr">
        <is>
          <t>10 EVIDENCE &amp; DECISIONS</t>
        </is>
      </c>
    </row>
    <row r="98" ht="34" customHeight="1">
      <c r="A98" s="34" t="inlineStr">
        <is>
          <t>Contractor Programme</t>
        </is>
      </c>
      <c r="B98" s="34" t="inlineStr">
        <is>
          <t>SCH-01-124</t>
        </is>
      </c>
      <c r="C98" s="34" t="inlineStr">
        <is>
          <t>River crossing: road restoration - release</t>
        </is>
      </c>
      <c r="D98" s="34" t="inlineStr">
        <is>
          <t>WBS Code = 1.1.1</t>
        </is>
      </c>
      <c r="E98" s="34" t="inlineStr">
        <is>
          <t>R124-v1</t>
        </is>
      </c>
      <c r="F98" s="34" t="inlineStr">
        <is>
          <t>1.1.1 Guideway and Civil - Guideway Structures</t>
        </is>
      </c>
      <c r="G98" s="34" t="inlineStr">
        <is>
          <t>ONE_TO_ONE</t>
        </is>
      </c>
      <c r="H98" s="34" t="inlineStr">
        <is>
          <t>APPROVED</t>
        </is>
      </c>
      <c r="I98" s="34" t="inlineStr">
        <is>
          <t>New</t>
        </is>
      </c>
      <c r="J98" s="34" t="inlineStr">
        <is>
          <t>Source assignment -- not individually reviewed</t>
        </is>
      </c>
      <c r="K98" s="39" t="inlineStr"/>
      <c r="L98" s="14" t="inlineStr"/>
      <c r="M98" s="14" t="inlineStr"/>
      <c r="N98" s="92" t="inlineStr">
        <is>
          <t>10 EVIDENCE &amp; DECISIONS</t>
        </is>
      </c>
    </row>
    <row r="99" ht="34" customHeight="1">
      <c r="A99" s="34" t="inlineStr">
        <is>
          <t>Contractor Programme</t>
        </is>
      </c>
      <c r="B99" s="34" t="inlineStr">
        <is>
          <t>SCH-01-125</t>
        </is>
      </c>
      <c r="C99" s="34" t="inlineStr">
        <is>
          <t>Central guideway: drilled-shaft installation - field start</t>
        </is>
      </c>
      <c r="D99" s="34" t="inlineStr">
        <is>
          <t>WBS Code = 1.1.1</t>
        </is>
      </c>
      <c r="E99" s="34" t="inlineStr">
        <is>
          <t>R125-v1</t>
        </is>
      </c>
      <c r="F99" s="34" t="inlineStr">
        <is>
          <t>1.1.1 Guideway and Civil - Guideway Structures</t>
        </is>
      </c>
      <c r="G99" s="34" t="inlineStr">
        <is>
          <t>ONE_TO_ONE</t>
        </is>
      </c>
      <c r="H99" s="34" t="inlineStr">
        <is>
          <t>APPROVED</t>
        </is>
      </c>
      <c r="I99" s="34" t="inlineStr">
        <is>
          <t>New</t>
        </is>
      </c>
      <c r="J99" s="34" t="inlineStr">
        <is>
          <t>Source assignment -- not individually reviewed</t>
        </is>
      </c>
      <c r="K99" s="39" t="inlineStr"/>
      <c r="L99" s="14" t="inlineStr"/>
      <c r="M99" s="14" t="inlineStr"/>
      <c r="N99" s="92" t="inlineStr">
        <is>
          <t>10 EVIDENCE &amp; DECISIONS</t>
        </is>
      </c>
    </row>
    <row r="100" ht="34" customHeight="1">
      <c r="A100" s="34" t="inlineStr">
        <is>
          <t>Contractor Programme</t>
        </is>
      </c>
      <c r="B100" s="34" t="inlineStr">
        <is>
          <t>SCH-01-127</t>
        </is>
      </c>
      <c r="C100" s="34" t="inlineStr">
        <is>
          <t>Depot lead: drainage tie-in - inspection</t>
        </is>
      </c>
      <c r="D100" s="34" t="inlineStr">
        <is>
          <t>WBS Code = 1.1.1</t>
        </is>
      </c>
      <c r="E100" s="34" t="inlineStr">
        <is>
          <t>R127-v1</t>
        </is>
      </c>
      <c r="F100" s="34" t="inlineStr">
        <is>
          <t>1.1.1 Guideway and Civil - Guideway Structures</t>
        </is>
      </c>
      <c r="G100" s="34" t="inlineStr">
        <is>
          <t>ONE_TO_ONE</t>
        </is>
      </c>
      <c r="H100" s="34" t="inlineStr">
        <is>
          <t>APPROVED</t>
        </is>
      </c>
      <c r="I100" s="34" t="inlineStr">
        <is>
          <t>New</t>
        </is>
      </c>
      <c r="J100" s="34" t="inlineStr">
        <is>
          <t>Source assignment -- not individually reviewed</t>
        </is>
      </c>
      <c r="K100" s="39" t="inlineStr"/>
      <c r="L100" s="14" t="inlineStr"/>
      <c r="M100" s="14" t="inlineStr"/>
      <c r="N100" s="92" t="inlineStr">
        <is>
          <t>10 EVIDENCE &amp; DECISIONS</t>
        </is>
      </c>
    </row>
    <row r="101" ht="34" customHeight="1">
      <c r="A101" s="34" t="inlineStr">
        <is>
          <t>Contractor Programme</t>
        </is>
      </c>
      <c r="B101" s="34" t="inlineStr">
        <is>
          <t>SCH-01-128</t>
        </is>
      </c>
      <c r="C101" s="34" t="inlineStr">
        <is>
          <t>East portal: utility relocation - turnover</t>
        </is>
      </c>
      <c r="D101" s="34" t="inlineStr">
        <is>
          <t>WBS Code = 1.1.1</t>
        </is>
      </c>
      <c r="E101" s="34" t="inlineStr">
        <is>
          <t>R128-v1</t>
        </is>
      </c>
      <c r="F101" s="34" t="inlineStr">
        <is>
          <t>1.1.1 Guideway and Civil - Guideway Structures</t>
        </is>
      </c>
      <c r="G101" s="34" t="inlineStr">
        <is>
          <t>ONE_TO_ONE</t>
        </is>
      </c>
      <c r="H101" s="34" t="inlineStr">
        <is>
          <t>APPROVED</t>
        </is>
      </c>
      <c r="I101" s="34" t="inlineStr">
        <is>
          <t>New</t>
        </is>
      </c>
      <c r="J101" s="34" t="inlineStr">
        <is>
          <t>Source assignment -- not individually reviewed</t>
        </is>
      </c>
      <c r="K101" s="39" t="inlineStr"/>
      <c r="L101" s="14" t="inlineStr"/>
      <c r="M101" s="14" t="inlineStr"/>
      <c r="N101" s="92" t="inlineStr">
        <is>
          <t>10 EVIDENCE &amp; DECISIONS</t>
        </is>
      </c>
    </row>
    <row r="102" ht="34" customHeight="1">
      <c r="A102" s="34" t="inlineStr">
        <is>
          <t>Contractor Programme</t>
        </is>
      </c>
      <c r="B102" s="34" t="inlineStr">
        <is>
          <t>SCH-01-130</t>
        </is>
      </c>
      <c r="C102" s="34" t="inlineStr">
        <is>
          <t>Central guideway: temporary traffic staging - field start</t>
        </is>
      </c>
      <c r="D102" s="34" t="inlineStr">
        <is>
          <t>WBS Code = 1.1.1</t>
        </is>
      </c>
      <c r="E102" s="34" t="inlineStr">
        <is>
          <t>R130-v1</t>
        </is>
      </c>
      <c r="F102" s="34" t="inlineStr">
        <is>
          <t>1.1.1 Guideway and Civil - Guideway Structures</t>
        </is>
      </c>
      <c r="G102" s="34" t="inlineStr">
        <is>
          <t>ONE_TO_ONE</t>
        </is>
      </c>
      <c r="H102" s="34" t="inlineStr">
        <is>
          <t>APPROVED</t>
        </is>
      </c>
      <c r="I102" s="34" t="inlineStr">
        <is>
          <t>New</t>
        </is>
      </c>
      <c r="J102" s="34" t="inlineStr">
        <is>
          <t>Source assignment -- not individually reviewed</t>
        </is>
      </c>
      <c r="K102" s="39" t="inlineStr"/>
      <c r="L102" s="14" t="inlineStr"/>
      <c r="M102" s="14" t="inlineStr"/>
      <c r="N102" s="92" t="inlineStr">
        <is>
          <t>10 EVIDENCE &amp; DECISIONS</t>
        </is>
      </c>
    </row>
    <row r="103" ht="34" customHeight="1">
      <c r="A103" s="34" t="inlineStr">
        <is>
          <t>Contractor Programme</t>
        </is>
      </c>
      <c r="B103" s="34" t="inlineStr">
        <is>
          <t>SCH-01-131</t>
        </is>
      </c>
      <c r="C103" s="34" t="inlineStr">
        <is>
          <t>West approach: guideway pier reinforcement - installation</t>
        </is>
      </c>
      <c r="D103" s="34" t="inlineStr">
        <is>
          <t>WBS Code = 1.1.1</t>
        </is>
      </c>
      <c r="E103" s="34" t="inlineStr">
        <is>
          <t>R131-v1</t>
        </is>
      </c>
      <c r="F103" s="34" t="inlineStr">
        <is>
          <t>1.1.1 Guideway and Civil - Guideway Structures</t>
        </is>
      </c>
      <c r="G103" s="34" t="inlineStr">
        <is>
          <t>ONE_TO_ONE</t>
        </is>
      </c>
      <c r="H103" s="34" t="inlineStr">
        <is>
          <t>APPROVED</t>
        </is>
      </c>
      <c r="I103" s="34" t="inlineStr">
        <is>
          <t>New</t>
        </is>
      </c>
      <c r="J103" s="34" t="inlineStr">
        <is>
          <t>Source assignment -- not individually reviewed</t>
        </is>
      </c>
      <c r="K103" s="39" t="inlineStr"/>
      <c r="L103" s="14" t="inlineStr"/>
      <c r="M103" s="14" t="inlineStr"/>
      <c r="N103" s="92" t="inlineStr">
        <is>
          <t>10 EVIDENCE &amp; DECISIONS</t>
        </is>
      </c>
    </row>
    <row r="104" ht="34" customHeight="1">
      <c r="A104" s="34" t="inlineStr">
        <is>
          <t>Contractor Programme</t>
        </is>
      </c>
      <c r="B104" s="34" t="inlineStr">
        <is>
          <t>SCH-01-133</t>
        </is>
      </c>
      <c r="C104" s="34" t="inlineStr">
        <is>
          <t>East portal: drilled-shaft installation - turnover</t>
        </is>
      </c>
      <c r="D104" s="34" t="inlineStr">
        <is>
          <t>WBS Code = 1.1.1</t>
        </is>
      </c>
      <c r="E104" s="34" t="inlineStr">
        <is>
          <t>R133-v1</t>
        </is>
      </c>
      <c r="F104" s="34" t="inlineStr">
        <is>
          <t>1.1.1 Guideway and Civil - Guideway Structures</t>
        </is>
      </c>
      <c r="G104" s="34" t="inlineStr">
        <is>
          <t>ONE_TO_ONE</t>
        </is>
      </c>
      <c r="H104" s="34" t="inlineStr">
        <is>
          <t>APPROVED</t>
        </is>
      </c>
      <c r="I104" s="34" t="inlineStr">
        <is>
          <t>New</t>
        </is>
      </c>
      <c r="J104" s="34" t="inlineStr">
        <is>
          <t>Source assignment -- not individually reviewed</t>
        </is>
      </c>
      <c r="K104" s="39" t="inlineStr"/>
      <c r="L104" s="14" t="inlineStr"/>
      <c r="M104" s="14" t="inlineStr"/>
      <c r="N104" s="92" t="inlineStr">
        <is>
          <t>10 EVIDENCE &amp; DECISIONS</t>
        </is>
      </c>
    </row>
    <row r="105" ht="34" customHeight="1">
      <c r="A105" s="34" t="inlineStr">
        <is>
          <t>Contractor Programme</t>
        </is>
      </c>
      <c r="B105" s="34" t="inlineStr">
        <is>
          <t>SCH-01-134</t>
        </is>
      </c>
      <c r="C105" s="34" t="inlineStr">
        <is>
          <t>River crossing: retaining-wall excavation - release</t>
        </is>
      </c>
      <c r="D105" s="34" t="inlineStr">
        <is>
          <t>WBS Code = 1.1.1</t>
        </is>
      </c>
      <c r="E105" s="34" t="inlineStr">
        <is>
          <t>R134-v1</t>
        </is>
      </c>
      <c r="F105" s="34" t="inlineStr">
        <is>
          <t>1.1.1 Guideway and Civil - Guideway Structures</t>
        </is>
      </c>
      <c r="G105" s="34" t="inlineStr">
        <is>
          <t>ONE_TO_ONE</t>
        </is>
      </c>
      <c r="H105" s="34" t="inlineStr">
        <is>
          <t>APPROVED</t>
        </is>
      </c>
      <c r="I105" s="34" t="inlineStr">
        <is>
          <t>New</t>
        </is>
      </c>
      <c r="J105" s="34" t="inlineStr">
        <is>
          <t>Source assignment -- not individually reviewed</t>
        </is>
      </c>
      <c r="K105" s="39" t="inlineStr"/>
      <c r="L105" s="14" t="inlineStr"/>
      <c r="M105" s="14" t="inlineStr"/>
      <c r="N105" s="92" t="inlineStr">
        <is>
          <t>10 EVIDENCE &amp; DECISIONS</t>
        </is>
      </c>
    </row>
    <row r="106" ht="34" customHeight="1">
      <c r="A106" s="34" t="inlineStr">
        <is>
          <t>Contractor Programme</t>
        </is>
      </c>
      <c r="B106" s="34" t="inlineStr">
        <is>
          <t>SCH-01-136</t>
        </is>
      </c>
      <c r="C106" s="34" t="inlineStr">
        <is>
          <t>West approach: utility relocation - installation</t>
        </is>
      </c>
      <c r="D106" s="34" t="inlineStr">
        <is>
          <t>WBS Code = 1.1.1</t>
        </is>
      </c>
      <c r="E106" s="34" t="inlineStr">
        <is>
          <t>R136-v1</t>
        </is>
      </c>
      <c r="F106" s="34" t="inlineStr">
        <is>
          <t>1.1.1 Guideway and Civil - Guideway Structures</t>
        </is>
      </c>
      <c r="G106" s="34" t="inlineStr">
        <is>
          <t>ONE_TO_ONE</t>
        </is>
      </c>
      <c r="H106" s="34" t="inlineStr">
        <is>
          <t>APPROVED</t>
        </is>
      </c>
      <c r="I106" s="34" t="inlineStr">
        <is>
          <t>New</t>
        </is>
      </c>
      <c r="J106" s="34" t="inlineStr">
        <is>
          <t>Source assignment -- not individually reviewed</t>
        </is>
      </c>
      <c r="K106" s="39" t="inlineStr"/>
      <c r="L106" s="14" t="inlineStr"/>
      <c r="M106" s="14" t="inlineStr"/>
      <c r="N106" s="92" t="inlineStr">
        <is>
          <t>10 EVIDENCE &amp; DECISIONS</t>
        </is>
      </c>
    </row>
    <row r="107" ht="34" customHeight="1">
      <c r="A107" s="34" t="inlineStr">
        <is>
          <t>Contractor Programme</t>
        </is>
      </c>
      <c r="B107" s="34" t="inlineStr">
        <is>
          <t>SCH-01-137</t>
        </is>
      </c>
      <c r="C107" s="34" t="inlineStr">
        <is>
          <t>Depot lead: track-slab survey - inspection</t>
        </is>
      </c>
      <c r="D107" s="34" t="inlineStr">
        <is>
          <t>WBS Code = 1.1.1</t>
        </is>
      </c>
      <c r="E107" s="34" t="inlineStr">
        <is>
          <t>R137-v1</t>
        </is>
      </c>
      <c r="F107" s="34" t="inlineStr">
        <is>
          <t>1.1.1 Guideway and Civil - Guideway Structures</t>
        </is>
      </c>
      <c r="G107" s="34" t="inlineStr">
        <is>
          <t>ONE_TO_ONE</t>
        </is>
      </c>
      <c r="H107" s="34" t="inlineStr">
        <is>
          <t>APPROVED</t>
        </is>
      </c>
      <c r="I107" s="34" t="inlineStr">
        <is>
          <t>New</t>
        </is>
      </c>
      <c r="J107" s="34" t="inlineStr">
        <is>
          <t>Source assignment -- not individually reviewed</t>
        </is>
      </c>
      <c r="K107" s="39" t="inlineStr"/>
      <c r="L107" s="14" t="inlineStr"/>
      <c r="M107" s="14" t="inlineStr"/>
      <c r="N107" s="92" t="inlineStr">
        <is>
          <t>10 EVIDENCE &amp; DECISIONS</t>
        </is>
      </c>
    </row>
    <row r="108" ht="34" customHeight="1">
      <c r="A108" s="34" t="inlineStr">
        <is>
          <t>Contractor Programme</t>
        </is>
      </c>
      <c r="B108" s="34" t="inlineStr">
        <is>
          <t>SCH-01-139</t>
        </is>
      </c>
      <c r="C108" s="34" t="inlineStr">
        <is>
          <t>River crossing: guideway pier reinforcement - release</t>
        </is>
      </c>
      <c r="D108" s="34" t="inlineStr">
        <is>
          <t>WBS Code = 1.1.1</t>
        </is>
      </c>
      <c r="E108" s="34" t="inlineStr">
        <is>
          <t>R139-v1</t>
        </is>
      </c>
      <c r="F108" s="34" t="inlineStr">
        <is>
          <t>1.1.1 Guideway and Civil - Guideway Structures</t>
        </is>
      </c>
      <c r="G108" s="34" t="inlineStr">
        <is>
          <t>ONE_TO_ONE</t>
        </is>
      </c>
      <c r="H108" s="34" t="inlineStr">
        <is>
          <t>APPROVED</t>
        </is>
      </c>
      <c r="I108" s="34" t="inlineStr">
        <is>
          <t>New</t>
        </is>
      </c>
      <c r="J108" s="34" t="inlineStr">
        <is>
          <t>Source assignment -- not individually reviewed</t>
        </is>
      </c>
      <c r="K108" s="39" t="inlineStr"/>
      <c r="L108" s="14" t="inlineStr"/>
      <c r="M108" s="14" t="inlineStr"/>
      <c r="N108" s="92" t="inlineStr">
        <is>
          <t>10 EVIDENCE &amp; DECISIONS</t>
        </is>
      </c>
    </row>
    <row r="109" ht="34" customHeight="1">
      <c r="A109" s="34" t="inlineStr">
        <is>
          <t>Contractor Programme</t>
        </is>
      </c>
      <c r="B109" s="34" t="inlineStr">
        <is>
          <t>SCH-01-140</t>
        </is>
      </c>
      <c r="C109" s="34" t="inlineStr">
        <is>
          <t>Central guideway: road restoration - field start</t>
        </is>
      </c>
      <c r="D109" s="34" t="inlineStr">
        <is>
          <t>WBS Code = 1.1.1</t>
        </is>
      </c>
      <c r="E109" s="34" t="inlineStr">
        <is>
          <t>R140-v1</t>
        </is>
      </c>
      <c r="F109" s="34" t="inlineStr">
        <is>
          <t>1.1.1 Guideway and Civil - Guideway Structures</t>
        </is>
      </c>
      <c r="G109" s="34" t="inlineStr">
        <is>
          <t>ONE_TO_ONE</t>
        </is>
      </c>
      <c r="H109" s="34" t="inlineStr">
        <is>
          <t>APPROVED</t>
        </is>
      </c>
      <c r="I109" s="34" t="inlineStr">
        <is>
          <t>New</t>
        </is>
      </c>
      <c r="J109" s="34" t="inlineStr">
        <is>
          <t>Source assignment -- not individually reviewed</t>
        </is>
      </c>
      <c r="K109" s="39" t="inlineStr"/>
      <c r="L109" s="14" t="inlineStr"/>
      <c r="M109" s="14" t="inlineStr"/>
      <c r="N109" s="92" t="inlineStr">
        <is>
          <t>10 EVIDENCE &amp; DECISIONS</t>
        </is>
      </c>
    </row>
    <row r="110" ht="34" customHeight="1">
      <c r="A110" s="34" t="inlineStr">
        <is>
          <t>Contractor Programme</t>
        </is>
      </c>
      <c r="B110" s="34" t="inlineStr">
        <is>
          <t>SCH-01-142</t>
        </is>
      </c>
      <c r="C110" s="34" t="inlineStr">
        <is>
          <t>Depot lead: retaining-wall excavation - inspection</t>
        </is>
      </c>
      <c r="D110" s="34" t="inlineStr">
        <is>
          <t>WBS Code = 1.1.1</t>
        </is>
      </c>
      <c r="E110" s="34" t="inlineStr">
        <is>
          <t>R142-v1</t>
        </is>
      </c>
      <c r="F110" s="34" t="inlineStr">
        <is>
          <t>1.1.1 Guideway and Civil - Guideway Structures</t>
        </is>
      </c>
      <c r="G110" s="34" t="inlineStr">
        <is>
          <t>ONE_TO_ONE</t>
        </is>
      </c>
      <c r="H110" s="34" t="inlineStr">
        <is>
          <t>APPROVED</t>
        </is>
      </c>
      <c r="I110" s="34" t="inlineStr">
        <is>
          <t>New</t>
        </is>
      </c>
      <c r="J110" s="34" t="inlineStr">
        <is>
          <t>Source assignment -- not individually reviewed</t>
        </is>
      </c>
      <c r="K110" s="39" t="inlineStr"/>
      <c r="L110" s="14" t="inlineStr"/>
      <c r="M110" s="14" t="inlineStr"/>
      <c r="N110" s="92" t="inlineStr">
        <is>
          <t>10 EVIDENCE &amp; DECISIONS</t>
        </is>
      </c>
    </row>
    <row r="111" ht="34" customHeight="1">
      <c r="A111" s="34" t="inlineStr">
        <is>
          <t>Contractor Programme</t>
        </is>
      </c>
      <c r="B111" s="34" t="inlineStr">
        <is>
          <t>SCH-01-143</t>
        </is>
      </c>
      <c r="C111" s="34" t="inlineStr">
        <is>
          <t>East portal: drainage tie-in - turnover</t>
        </is>
      </c>
      <c r="D111" s="34" t="inlineStr">
        <is>
          <t>WBS Code = 1.1.1</t>
        </is>
      </c>
      <c r="E111" s="34" t="inlineStr">
        <is>
          <t>R143-v1</t>
        </is>
      </c>
      <c r="F111" s="34" t="inlineStr">
        <is>
          <t>1.1.1 Guideway and Civil - Guideway Structures</t>
        </is>
      </c>
      <c r="G111" s="34" t="inlineStr">
        <is>
          <t>ONE_TO_ONE</t>
        </is>
      </c>
      <c r="H111" s="34" t="inlineStr">
        <is>
          <t>APPROVED</t>
        </is>
      </c>
      <c r="I111" s="34" t="inlineStr">
        <is>
          <t>New</t>
        </is>
      </c>
      <c r="J111" s="34" t="inlineStr">
        <is>
          <t>Source assignment -- not individually reviewed</t>
        </is>
      </c>
      <c r="K111" s="39" t="inlineStr"/>
      <c r="L111" s="14" t="inlineStr"/>
      <c r="M111" s="14" t="inlineStr"/>
      <c r="N111" s="92" t="inlineStr">
        <is>
          <t>10 EVIDENCE &amp; DECISIONS</t>
        </is>
      </c>
    </row>
    <row r="112" ht="34" customHeight="1">
      <c r="A112" s="34" t="inlineStr">
        <is>
          <t>Contractor Programme</t>
        </is>
      </c>
      <c r="B112" s="34" t="inlineStr">
        <is>
          <t>SCH-01-145</t>
        </is>
      </c>
      <c r="C112" s="34" t="inlineStr">
        <is>
          <t>Central guideway: track-slab survey - field start</t>
        </is>
      </c>
      <c r="D112" s="34" t="inlineStr">
        <is>
          <t>WBS Code = 1.1.1</t>
        </is>
      </c>
      <c r="E112" s="34" t="inlineStr">
        <is>
          <t>R145-v1</t>
        </is>
      </c>
      <c r="F112" s="34" t="inlineStr">
        <is>
          <t>1.1.1 Guideway and Civil - Guideway Structures</t>
        </is>
      </c>
      <c r="G112" s="34" t="inlineStr">
        <is>
          <t>ONE_TO_ONE</t>
        </is>
      </c>
      <c r="H112" s="34" t="inlineStr">
        <is>
          <t>APPROVED</t>
        </is>
      </c>
      <c r="I112" s="34" t="inlineStr">
        <is>
          <t>New</t>
        </is>
      </c>
      <c r="J112" s="34" t="inlineStr">
        <is>
          <t>Source assignment -- not individually reviewed</t>
        </is>
      </c>
      <c r="K112" s="39" t="inlineStr"/>
      <c r="L112" s="14" t="inlineStr"/>
      <c r="M112" s="14" t="inlineStr"/>
      <c r="N112" s="92" t="inlineStr">
        <is>
          <t>10 EVIDENCE &amp; DECISIONS</t>
        </is>
      </c>
    </row>
    <row r="113" ht="34" customHeight="1">
      <c r="A113" s="34" t="inlineStr">
        <is>
          <t>Contractor Programme</t>
        </is>
      </c>
      <c r="B113" s="34" t="inlineStr">
        <is>
          <t>SCH-01-146</t>
        </is>
      </c>
      <c r="C113" s="34" t="inlineStr">
        <is>
          <t>West approach: temporary traffic staging - installation</t>
        </is>
      </c>
      <c r="D113" s="34" t="inlineStr">
        <is>
          <t>WBS Code = 1.1.1</t>
        </is>
      </c>
      <c r="E113" s="34" t="inlineStr">
        <is>
          <t>R146-v1</t>
        </is>
      </c>
      <c r="F113" s="34" t="inlineStr">
        <is>
          <t>1.1.1 Guideway and Civil - Guideway Structures</t>
        </is>
      </c>
      <c r="G113" s="34" t="inlineStr">
        <is>
          <t>ONE_TO_ONE</t>
        </is>
      </c>
      <c r="H113" s="34" t="inlineStr">
        <is>
          <t>APPROVED</t>
        </is>
      </c>
      <c r="I113" s="34" t="inlineStr">
        <is>
          <t>New</t>
        </is>
      </c>
      <c r="J113" s="34" t="inlineStr">
        <is>
          <t>Source assignment -- not individually reviewed</t>
        </is>
      </c>
      <c r="K113" s="39" t="inlineStr"/>
      <c r="L113" s="14" t="inlineStr"/>
      <c r="M113" s="14" t="inlineStr"/>
      <c r="N113" s="92" t="inlineStr">
        <is>
          <t>10 EVIDENCE &amp; DECISIONS</t>
        </is>
      </c>
    </row>
    <row r="114" ht="34" customHeight="1">
      <c r="A114" s="34" t="inlineStr">
        <is>
          <t>Contractor Programme</t>
        </is>
      </c>
      <c r="B114" s="34" t="inlineStr">
        <is>
          <t>SCH-01-148</t>
        </is>
      </c>
      <c r="C114" s="34" t="inlineStr">
        <is>
          <t>East portal: road restoration - turnover</t>
        </is>
      </c>
      <c r="D114" s="34" t="inlineStr">
        <is>
          <t>WBS Code = 1.1.1</t>
        </is>
      </c>
      <c r="E114" s="34" t="inlineStr">
        <is>
          <t>R148-v1</t>
        </is>
      </c>
      <c r="F114" s="34" t="inlineStr">
        <is>
          <t>1.1.1 Guideway and Civil - Guideway Structures</t>
        </is>
      </c>
      <c r="G114" s="34" t="inlineStr">
        <is>
          <t>ONE_TO_ONE</t>
        </is>
      </c>
      <c r="H114" s="34" t="inlineStr">
        <is>
          <t>APPROVED</t>
        </is>
      </c>
      <c r="I114" s="34" t="inlineStr">
        <is>
          <t>New</t>
        </is>
      </c>
      <c r="J114" s="34" t="inlineStr">
        <is>
          <t>Source assignment -- not individually reviewed</t>
        </is>
      </c>
      <c r="K114" s="39" t="inlineStr"/>
      <c r="L114" s="14" t="inlineStr"/>
      <c r="M114" s="14" t="inlineStr"/>
      <c r="N114" s="92" t="inlineStr">
        <is>
          <t>10 EVIDENCE &amp; DECISIONS</t>
        </is>
      </c>
    </row>
    <row r="115" ht="34" customHeight="1">
      <c r="A115" s="34" t="inlineStr">
        <is>
          <t>Contractor Programme</t>
        </is>
      </c>
      <c r="B115" s="34" t="inlineStr">
        <is>
          <t>SCH-01-149</t>
        </is>
      </c>
      <c r="C115" s="34" t="inlineStr">
        <is>
          <t>River crossing: drilled-shaft installation - release</t>
        </is>
      </c>
      <c r="D115" s="34" t="inlineStr">
        <is>
          <t>WBS Code = 1.1.1</t>
        </is>
      </c>
      <c r="E115" s="34" t="inlineStr">
        <is>
          <t>R149-v1</t>
        </is>
      </c>
      <c r="F115" s="34" t="inlineStr">
        <is>
          <t>1.1.1 Guideway and Civil - Guideway Structures</t>
        </is>
      </c>
      <c r="G115" s="34" t="inlineStr">
        <is>
          <t>ONE_TO_ONE</t>
        </is>
      </c>
      <c r="H115" s="34" t="inlineStr">
        <is>
          <t>APPROVED</t>
        </is>
      </c>
      <c r="I115" s="34" t="inlineStr">
        <is>
          <t>New</t>
        </is>
      </c>
      <c r="J115" s="34" t="inlineStr">
        <is>
          <t>Source assignment -- not individually reviewed</t>
        </is>
      </c>
      <c r="K115" s="39" t="inlineStr"/>
      <c r="L115" s="14" t="inlineStr"/>
      <c r="M115" s="14" t="inlineStr"/>
      <c r="N115" s="92" t="inlineStr">
        <is>
          <t>10 EVIDENCE &amp; DECISIONS</t>
        </is>
      </c>
    </row>
    <row r="116" ht="34" customHeight="1">
      <c r="A116" s="34" t="inlineStr">
        <is>
          <t>Contractor Programme</t>
        </is>
      </c>
      <c r="B116" s="34" t="inlineStr">
        <is>
          <t>SCH-01-151</t>
        </is>
      </c>
      <c r="C116" s="34" t="inlineStr">
        <is>
          <t>West approach: drainage tie-in - installation</t>
        </is>
      </c>
      <c r="D116" s="34" t="inlineStr">
        <is>
          <t>WBS Code = 1.1.1</t>
        </is>
      </c>
      <c r="E116" s="34" t="inlineStr">
        <is>
          <t>R151-v1</t>
        </is>
      </c>
      <c r="F116" s="34" t="inlineStr">
        <is>
          <t>1.1.1 Guideway and Civil - Guideway Structures</t>
        </is>
      </c>
      <c r="G116" s="34" t="inlineStr">
        <is>
          <t>ONE_TO_ONE</t>
        </is>
      </c>
      <c r="H116" s="34" t="inlineStr">
        <is>
          <t>APPROVED</t>
        </is>
      </c>
      <c r="I116" s="34" t="inlineStr">
        <is>
          <t>New</t>
        </is>
      </c>
      <c r="J116" s="34" t="inlineStr">
        <is>
          <t>Source assignment -- not individually reviewed</t>
        </is>
      </c>
      <c r="K116" s="39" t="inlineStr"/>
      <c r="L116" s="14" t="inlineStr"/>
      <c r="M116" s="14" t="inlineStr"/>
      <c r="N116" s="92" t="inlineStr">
        <is>
          <t>10 EVIDENCE &amp; DECISIONS</t>
        </is>
      </c>
    </row>
    <row r="117" ht="34" customHeight="1">
      <c r="A117" s="34" t="inlineStr">
        <is>
          <t>Contractor Programme</t>
        </is>
      </c>
      <c r="B117" s="34" t="inlineStr">
        <is>
          <t>SCH-01-152</t>
        </is>
      </c>
      <c r="C117" s="34" t="inlineStr">
        <is>
          <t>Depot lead: utility relocation - inspection</t>
        </is>
      </c>
      <c r="D117" s="34" t="inlineStr">
        <is>
          <t>WBS Code = 1.1.1</t>
        </is>
      </c>
      <c r="E117" s="34" t="inlineStr">
        <is>
          <t>R152-v1</t>
        </is>
      </c>
      <c r="F117" s="34" t="inlineStr">
        <is>
          <t>1.1.1 Guideway and Civil - Guideway Structures</t>
        </is>
      </c>
      <c r="G117" s="34" t="inlineStr">
        <is>
          <t>ONE_TO_ONE</t>
        </is>
      </c>
      <c r="H117" s="34" t="inlineStr">
        <is>
          <t>APPROVED</t>
        </is>
      </c>
      <c r="I117" s="34" t="inlineStr">
        <is>
          <t>New</t>
        </is>
      </c>
      <c r="J117" s="34" t="inlineStr">
        <is>
          <t>Source assignment -- not individually reviewed</t>
        </is>
      </c>
      <c r="K117" s="39" t="inlineStr"/>
      <c r="L117" s="14" t="inlineStr"/>
      <c r="M117" s="14" t="inlineStr"/>
      <c r="N117" s="92" t="inlineStr">
        <is>
          <t>10 EVIDENCE &amp; DECISIONS</t>
        </is>
      </c>
    </row>
    <row r="118" ht="34" customHeight="1">
      <c r="A118" s="34" t="inlineStr">
        <is>
          <t>Contractor Programme</t>
        </is>
      </c>
      <c r="B118" s="34" t="inlineStr">
        <is>
          <t>SCH-01-154</t>
        </is>
      </c>
      <c r="C118" s="34" t="inlineStr">
        <is>
          <t>River crossing: temporary traffic staging - release</t>
        </is>
      </c>
      <c r="D118" s="34" t="inlineStr">
        <is>
          <t>WBS Code = 1.1.1</t>
        </is>
      </c>
      <c r="E118" s="34" t="inlineStr">
        <is>
          <t>R154-v1</t>
        </is>
      </c>
      <c r="F118" s="34" t="inlineStr">
        <is>
          <t>1.1.1 Guideway and Civil - Guideway Structures</t>
        </is>
      </c>
      <c r="G118" s="34" t="inlineStr">
        <is>
          <t>ONE_TO_ONE</t>
        </is>
      </c>
      <c r="H118" s="34" t="inlineStr">
        <is>
          <t>APPROVED</t>
        </is>
      </c>
      <c r="I118" s="34" t="inlineStr">
        <is>
          <t>New</t>
        </is>
      </c>
      <c r="J118" s="34" t="inlineStr">
        <is>
          <t>Source assignment -- not individually reviewed</t>
        </is>
      </c>
      <c r="K118" s="39" t="inlineStr"/>
      <c r="L118" s="14" t="inlineStr"/>
      <c r="M118" s="14" t="inlineStr"/>
      <c r="N118" s="92" t="inlineStr">
        <is>
          <t>10 EVIDENCE &amp; DECISIONS</t>
        </is>
      </c>
    </row>
    <row r="119" ht="34" customHeight="1">
      <c r="A119" s="34" t="inlineStr">
        <is>
          <t>Contractor Programme</t>
        </is>
      </c>
      <c r="B119" s="34" t="inlineStr">
        <is>
          <t>SCH-01-155</t>
        </is>
      </c>
      <c r="C119" s="34" t="inlineStr">
        <is>
          <t>Central guideway: guideway pier reinforcement - field start</t>
        </is>
      </c>
      <c r="D119" s="34" t="inlineStr">
        <is>
          <t>WBS Code = 1.1.1</t>
        </is>
      </c>
      <c r="E119" s="34" t="inlineStr">
        <is>
          <t>R155-v1</t>
        </is>
      </c>
      <c r="F119" s="34" t="inlineStr">
        <is>
          <t>1.1.1 Guideway and Civil - Guideway Structures</t>
        </is>
      </c>
      <c r="G119" s="34" t="inlineStr">
        <is>
          <t>ONE_TO_ONE</t>
        </is>
      </c>
      <c r="H119" s="34" t="inlineStr">
        <is>
          <t>APPROVED</t>
        </is>
      </c>
      <c r="I119" s="34" t="inlineStr">
        <is>
          <t>New</t>
        </is>
      </c>
      <c r="J119" s="34" t="inlineStr">
        <is>
          <t>Source assignment -- not individually reviewed</t>
        </is>
      </c>
      <c r="K119" s="39" t="inlineStr"/>
      <c r="L119" s="14" t="inlineStr"/>
      <c r="M119" s="14" t="inlineStr"/>
      <c r="N119" s="92" t="inlineStr">
        <is>
          <t>10 EVIDENCE &amp; DECISIONS</t>
        </is>
      </c>
    </row>
    <row r="120" ht="34" customHeight="1">
      <c r="A120" s="34" t="inlineStr">
        <is>
          <t>Contractor Programme</t>
        </is>
      </c>
      <c r="B120" s="34" t="inlineStr">
        <is>
          <t>SCH-01-157</t>
        </is>
      </c>
      <c r="C120" s="34" t="inlineStr">
        <is>
          <t>Depot lead: drilled-shaft installation - inspection</t>
        </is>
      </c>
      <c r="D120" s="34" t="inlineStr">
        <is>
          <t>WBS Code = 1.1.1</t>
        </is>
      </c>
      <c r="E120" s="34" t="inlineStr">
        <is>
          <t>R157-v1</t>
        </is>
      </c>
      <c r="F120" s="34" t="inlineStr">
        <is>
          <t>1.1.1 Guideway and Civil - Guideway Structures</t>
        </is>
      </c>
      <c r="G120" s="34" t="inlineStr">
        <is>
          <t>ONE_TO_ONE</t>
        </is>
      </c>
      <c r="H120" s="34" t="inlineStr">
        <is>
          <t>APPROVED</t>
        </is>
      </c>
      <c r="I120" s="34" t="inlineStr">
        <is>
          <t>New</t>
        </is>
      </c>
      <c r="J120" s="34" t="inlineStr">
        <is>
          <t>Source assignment -- not individually reviewed</t>
        </is>
      </c>
      <c r="K120" s="39" t="inlineStr"/>
      <c r="L120" s="14" t="inlineStr"/>
      <c r="M120" s="14" t="inlineStr"/>
      <c r="N120" s="92" t="inlineStr">
        <is>
          <t>10 EVIDENCE &amp; DECISIONS</t>
        </is>
      </c>
    </row>
    <row r="121" ht="34" customHeight="1">
      <c r="A121" s="34" t="inlineStr">
        <is>
          <t>Contractor Programme</t>
        </is>
      </c>
      <c r="B121" s="34" t="inlineStr">
        <is>
          <t>SCH-01-158</t>
        </is>
      </c>
      <c r="C121" s="34" t="inlineStr">
        <is>
          <t>East portal: retaining-wall excavation - turnover</t>
        </is>
      </c>
      <c r="D121" s="34" t="inlineStr">
        <is>
          <t>WBS Code = 1.1.1</t>
        </is>
      </c>
      <c r="E121" s="34" t="inlineStr">
        <is>
          <t>R158-v1</t>
        </is>
      </c>
      <c r="F121" s="34" t="inlineStr">
        <is>
          <t>1.1.1 Guideway and Civil - Guideway Structures</t>
        </is>
      </c>
      <c r="G121" s="34" t="inlineStr">
        <is>
          <t>ONE_TO_ONE</t>
        </is>
      </c>
      <c r="H121" s="34" t="inlineStr">
        <is>
          <t>APPROVED</t>
        </is>
      </c>
      <c r="I121" s="34" t="inlineStr">
        <is>
          <t>New</t>
        </is>
      </c>
      <c r="J121" s="34" t="inlineStr">
        <is>
          <t>Source assignment -- not individually reviewed</t>
        </is>
      </c>
      <c r="K121" s="39" t="inlineStr"/>
      <c r="L121" s="14" t="inlineStr"/>
      <c r="M121" s="14" t="inlineStr"/>
      <c r="N121" s="92" t="inlineStr">
        <is>
          <t>10 EVIDENCE &amp; DECISIONS</t>
        </is>
      </c>
    </row>
    <row r="122" ht="34" customHeight="1">
      <c r="A122" s="34" t="inlineStr">
        <is>
          <t>Contractor Programme</t>
        </is>
      </c>
      <c r="B122" s="34" t="inlineStr">
        <is>
          <t>SCH-01-160</t>
        </is>
      </c>
      <c r="C122" s="34" t="inlineStr">
        <is>
          <t>Central guideway: utility relocation - field start</t>
        </is>
      </c>
      <c r="D122" s="34" t="inlineStr">
        <is>
          <t>WBS Code = 1.1.1</t>
        </is>
      </c>
      <c r="E122" s="34" t="inlineStr">
        <is>
          <t>R160-v1</t>
        </is>
      </c>
      <c r="F122" s="34" t="inlineStr">
        <is>
          <t>1.1.1 Guideway and Civil - Guideway Structures</t>
        </is>
      </c>
      <c r="G122" s="34" t="inlineStr">
        <is>
          <t>ONE_TO_ONE</t>
        </is>
      </c>
      <c r="H122" s="34" t="inlineStr">
        <is>
          <t>APPROVED</t>
        </is>
      </c>
      <c r="I122" s="34" t="inlineStr">
        <is>
          <t>New</t>
        </is>
      </c>
      <c r="J122" s="34" t="inlineStr">
        <is>
          <t>Source assignment -- not individually reviewed</t>
        </is>
      </c>
      <c r="K122" s="39" t="inlineStr"/>
      <c r="L122" s="14" t="inlineStr"/>
      <c r="M122" s="14" t="inlineStr"/>
      <c r="N122" s="92" t="inlineStr">
        <is>
          <t>10 EVIDENCE &amp; DECISIONS</t>
        </is>
      </c>
    </row>
    <row r="123" ht="34" customHeight="1">
      <c r="A123" s="34" t="inlineStr">
        <is>
          <t>Contractor Programme</t>
        </is>
      </c>
      <c r="B123" s="34" t="inlineStr">
        <is>
          <t>SCH-01-161</t>
        </is>
      </c>
      <c r="C123" s="34" t="inlineStr">
        <is>
          <t>West approach: track-slab survey - installation</t>
        </is>
      </c>
      <c r="D123" s="34" t="inlineStr">
        <is>
          <t>WBS Code = 1.1.1</t>
        </is>
      </c>
      <c r="E123" s="34" t="inlineStr">
        <is>
          <t>R161-v1</t>
        </is>
      </c>
      <c r="F123" s="34" t="inlineStr">
        <is>
          <t>1.1.1 Guideway and Civil - Guideway Structures</t>
        </is>
      </c>
      <c r="G123" s="34" t="inlineStr">
        <is>
          <t>ONE_TO_ONE</t>
        </is>
      </c>
      <c r="H123" s="34" t="inlineStr">
        <is>
          <t>APPROVED</t>
        </is>
      </c>
      <c r="I123" s="34" t="inlineStr">
        <is>
          <t>New</t>
        </is>
      </c>
      <c r="J123" s="34" t="inlineStr">
        <is>
          <t>Source assignment -- not individually reviewed</t>
        </is>
      </c>
      <c r="K123" s="39" t="inlineStr"/>
      <c r="L123" s="14" t="inlineStr"/>
      <c r="M123" s="14" t="inlineStr"/>
      <c r="N123" s="92" t="inlineStr">
        <is>
          <t>10 EVIDENCE &amp; DECISIONS</t>
        </is>
      </c>
    </row>
    <row r="124" ht="34" customHeight="1">
      <c r="A124" s="34" t="inlineStr">
        <is>
          <t>Contractor Programme</t>
        </is>
      </c>
      <c r="B124" s="34" t="inlineStr">
        <is>
          <t>SCH-01-163</t>
        </is>
      </c>
      <c r="C124" s="34" t="inlineStr">
        <is>
          <t>East portal: guideway pier reinforcement - turnover</t>
        </is>
      </c>
      <c r="D124" s="34" t="inlineStr">
        <is>
          <t>WBS Code = 1.1.1</t>
        </is>
      </c>
      <c r="E124" s="34" t="inlineStr">
        <is>
          <t>R163-v1</t>
        </is>
      </c>
      <c r="F124" s="34" t="inlineStr">
        <is>
          <t>1.1.1 Guideway and Civil - Guideway Structures</t>
        </is>
      </c>
      <c r="G124" s="34" t="inlineStr">
        <is>
          <t>ONE_TO_ONE</t>
        </is>
      </c>
      <c r="H124" s="34" t="inlineStr">
        <is>
          <t>APPROVED</t>
        </is>
      </c>
      <c r="I124" s="34" t="inlineStr">
        <is>
          <t>New</t>
        </is>
      </c>
      <c r="J124" s="34" t="inlineStr">
        <is>
          <t>Source assignment -- not individually reviewed</t>
        </is>
      </c>
      <c r="K124" s="39" t="inlineStr"/>
      <c r="L124" s="14" t="inlineStr"/>
      <c r="M124" s="14" t="inlineStr"/>
      <c r="N124" s="92" t="inlineStr">
        <is>
          <t>10 EVIDENCE &amp; DECISIONS</t>
        </is>
      </c>
    </row>
    <row r="125" ht="34" customHeight="1">
      <c r="A125" s="34" t="inlineStr">
        <is>
          <t>Contractor Programme</t>
        </is>
      </c>
      <c r="B125" s="34" t="inlineStr">
        <is>
          <t>SCH-01-164</t>
        </is>
      </c>
      <c r="C125" s="34" t="inlineStr">
        <is>
          <t>River crossing: road restoration - release</t>
        </is>
      </c>
      <c r="D125" s="34" t="inlineStr">
        <is>
          <t>WBS Code = 1.1.1</t>
        </is>
      </c>
      <c r="E125" s="34" t="inlineStr">
        <is>
          <t>R164-v1</t>
        </is>
      </c>
      <c r="F125" s="34" t="inlineStr">
        <is>
          <t>1.1.1 Guideway and Civil - Guideway Structures</t>
        </is>
      </c>
      <c r="G125" s="34" t="inlineStr">
        <is>
          <t>ONE_TO_ONE</t>
        </is>
      </c>
      <c r="H125" s="34" t="inlineStr">
        <is>
          <t>APPROVED</t>
        </is>
      </c>
      <c r="I125" s="34" t="inlineStr">
        <is>
          <t>New</t>
        </is>
      </c>
      <c r="J125" s="34" t="inlineStr">
        <is>
          <t>Source assignment -- not individually reviewed</t>
        </is>
      </c>
      <c r="K125" s="39" t="inlineStr"/>
      <c r="L125" s="14" t="inlineStr"/>
      <c r="M125" s="14" t="inlineStr"/>
      <c r="N125" s="92" t="inlineStr">
        <is>
          <t>10 EVIDENCE &amp; DECISIONS</t>
        </is>
      </c>
    </row>
    <row r="126" ht="34" customHeight="1">
      <c r="A126" s="34" t="inlineStr">
        <is>
          <t>Contractor Programme</t>
        </is>
      </c>
      <c r="B126" s="34" t="inlineStr">
        <is>
          <t>SCH-01-166</t>
        </is>
      </c>
      <c r="C126" s="34" t="inlineStr">
        <is>
          <t>West approach: retaining-wall excavation - installation</t>
        </is>
      </c>
      <c r="D126" s="34" t="inlineStr">
        <is>
          <t>WBS Code = 1.1.1</t>
        </is>
      </c>
      <c r="E126" s="34" t="inlineStr">
        <is>
          <t>R166-v1</t>
        </is>
      </c>
      <c r="F126" s="34" t="inlineStr">
        <is>
          <t>1.1.1 Guideway and Civil - Guideway Structures</t>
        </is>
      </c>
      <c r="G126" s="34" t="inlineStr">
        <is>
          <t>ONE_TO_ONE</t>
        </is>
      </c>
      <c r="H126" s="34" t="inlineStr">
        <is>
          <t>APPROVED</t>
        </is>
      </c>
      <c r="I126" s="34" t="inlineStr">
        <is>
          <t>New</t>
        </is>
      </c>
      <c r="J126" s="34" t="inlineStr">
        <is>
          <t>Source assignment -- not individually reviewed</t>
        </is>
      </c>
      <c r="K126" s="39" t="inlineStr"/>
      <c r="L126" s="14" t="inlineStr"/>
      <c r="M126" s="14" t="inlineStr"/>
      <c r="N126" s="92" t="inlineStr">
        <is>
          <t>10 EVIDENCE &amp; DECISIONS</t>
        </is>
      </c>
    </row>
    <row r="127" ht="34" customHeight="1">
      <c r="A127" s="34" t="inlineStr">
        <is>
          <t>Contractor Programme</t>
        </is>
      </c>
      <c r="B127" s="34" t="inlineStr">
        <is>
          <t>SCH-01-167</t>
        </is>
      </c>
      <c r="C127" s="34" t="inlineStr">
        <is>
          <t>Depot lead: drainage tie-in - inspection</t>
        </is>
      </c>
      <c r="D127" s="34" t="inlineStr">
        <is>
          <t>WBS Code = 1.1.1</t>
        </is>
      </c>
      <c r="E127" s="34" t="inlineStr">
        <is>
          <t>R167-v1</t>
        </is>
      </c>
      <c r="F127" s="34" t="inlineStr">
        <is>
          <t>1.1.1 Guideway and Civil - Guideway Structures</t>
        </is>
      </c>
      <c r="G127" s="34" t="inlineStr">
        <is>
          <t>ONE_TO_ONE</t>
        </is>
      </c>
      <c r="H127" s="34" t="inlineStr">
        <is>
          <t>APPROVED</t>
        </is>
      </c>
      <c r="I127" s="34" t="inlineStr">
        <is>
          <t>New</t>
        </is>
      </c>
      <c r="J127" s="34" t="inlineStr">
        <is>
          <t>Source assignment -- not individually reviewed</t>
        </is>
      </c>
      <c r="K127" s="39" t="inlineStr"/>
      <c r="L127" s="14" t="inlineStr"/>
      <c r="M127" s="14" t="inlineStr"/>
      <c r="N127" s="92" t="inlineStr">
        <is>
          <t>10 EVIDENCE &amp; DECISIONS</t>
        </is>
      </c>
    </row>
    <row r="128" ht="34" customHeight="1">
      <c r="A128" s="34" t="inlineStr">
        <is>
          <t>Contractor Programme</t>
        </is>
      </c>
      <c r="B128" s="34" t="inlineStr">
        <is>
          <t>SCH-01-169</t>
        </is>
      </c>
      <c r="C128" s="34" t="inlineStr">
        <is>
          <t>River crossing: track-slab survey - release</t>
        </is>
      </c>
      <c r="D128" s="34" t="inlineStr">
        <is>
          <t>WBS Code = 1.1.1</t>
        </is>
      </c>
      <c r="E128" s="34" t="inlineStr">
        <is>
          <t>R169-v1</t>
        </is>
      </c>
      <c r="F128" s="34" t="inlineStr">
        <is>
          <t>1.1.1 Guideway and Civil - Guideway Structures</t>
        </is>
      </c>
      <c r="G128" s="34" t="inlineStr">
        <is>
          <t>ONE_TO_ONE</t>
        </is>
      </c>
      <c r="H128" s="34" t="inlineStr">
        <is>
          <t>APPROVED</t>
        </is>
      </c>
      <c r="I128" s="34" t="inlineStr">
        <is>
          <t>New</t>
        </is>
      </c>
      <c r="J128" s="34" t="inlineStr">
        <is>
          <t>Source assignment -- not individually reviewed</t>
        </is>
      </c>
      <c r="K128" s="39" t="inlineStr"/>
      <c r="L128" s="14" t="inlineStr"/>
      <c r="M128" s="14" t="inlineStr"/>
      <c r="N128" s="92" t="inlineStr">
        <is>
          <t>10 EVIDENCE &amp; DECISIONS</t>
        </is>
      </c>
    </row>
    <row r="129" ht="34" customHeight="1">
      <c r="A129" s="34" t="inlineStr">
        <is>
          <t>Contractor Programme</t>
        </is>
      </c>
      <c r="B129" s="34" t="inlineStr">
        <is>
          <t>SCH-01-170</t>
        </is>
      </c>
      <c r="C129" s="34" t="inlineStr">
        <is>
          <t>Central guideway: temporary traffic staging - field start</t>
        </is>
      </c>
      <c r="D129" s="34" t="inlineStr">
        <is>
          <t>WBS Code = 1.1.1</t>
        </is>
      </c>
      <c r="E129" s="34" t="inlineStr">
        <is>
          <t>R170-v1</t>
        </is>
      </c>
      <c r="F129" s="34" t="inlineStr">
        <is>
          <t>1.1.1 Guideway and Civil - Guideway Structures</t>
        </is>
      </c>
      <c r="G129" s="34" t="inlineStr">
        <is>
          <t>ONE_TO_ONE</t>
        </is>
      </c>
      <c r="H129" s="34" t="inlineStr">
        <is>
          <t>APPROVED</t>
        </is>
      </c>
      <c r="I129" s="34" t="inlineStr">
        <is>
          <t>New</t>
        </is>
      </c>
      <c r="J129" s="34" t="inlineStr">
        <is>
          <t>Source assignment -- not individually reviewed</t>
        </is>
      </c>
      <c r="K129" s="39" t="inlineStr"/>
      <c r="L129" s="14" t="inlineStr"/>
      <c r="M129" s="14" t="inlineStr"/>
      <c r="N129" s="92" t="inlineStr">
        <is>
          <t>10 EVIDENCE &amp; DECISIONS</t>
        </is>
      </c>
    </row>
    <row r="130" ht="34" customHeight="1">
      <c r="A130" s="34" t="inlineStr">
        <is>
          <t>Contractor Programme</t>
        </is>
      </c>
      <c r="B130" s="34" t="inlineStr">
        <is>
          <t>SCH-01-172</t>
        </is>
      </c>
      <c r="C130" s="34" t="inlineStr">
        <is>
          <t>Depot lead: road restoration - inspection</t>
        </is>
      </c>
      <c r="D130" s="34" t="inlineStr">
        <is>
          <t>WBS Code = 1.1.1</t>
        </is>
      </c>
      <c r="E130" s="34" t="inlineStr">
        <is>
          <t>R172-v1</t>
        </is>
      </c>
      <c r="F130" s="34" t="inlineStr">
        <is>
          <t>1.1.1 Guideway and Civil - Guideway Structures</t>
        </is>
      </c>
      <c r="G130" s="34" t="inlineStr">
        <is>
          <t>ONE_TO_ONE</t>
        </is>
      </c>
      <c r="H130" s="34" t="inlineStr">
        <is>
          <t>APPROVED</t>
        </is>
      </c>
      <c r="I130" s="34" t="inlineStr">
        <is>
          <t>New</t>
        </is>
      </c>
      <c r="J130" s="34" t="inlineStr">
        <is>
          <t>Source assignment -- not individually reviewed</t>
        </is>
      </c>
      <c r="K130" s="39" t="inlineStr"/>
      <c r="L130" s="14" t="inlineStr"/>
      <c r="M130" s="14" t="inlineStr"/>
      <c r="N130" s="92" t="inlineStr">
        <is>
          <t>10 EVIDENCE &amp; DECISIONS</t>
        </is>
      </c>
    </row>
    <row r="131" ht="34" customHeight="1">
      <c r="A131" s="34" t="inlineStr">
        <is>
          <t>Contractor Programme</t>
        </is>
      </c>
      <c r="B131" s="34" t="inlineStr">
        <is>
          <t>SCH-01-173</t>
        </is>
      </c>
      <c r="C131" s="34" t="inlineStr">
        <is>
          <t>East portal: drilled-shaft installation - turnover</t>
        </is>
      </c>
      <c r="D131" s="34" t="inlineStr">
        <is>
          <t>WBS Code = 1.1.1</t>
        </is>
      </c>
      <c r="E131" s="34" t="inlineStr">
        <is>
          <t>R173-v1</t>
        </is>
      </c>
      <c r="F131" s="34" t="inlineStr">
        <is>
          <t>1.1.1 Guideway and Civil - Guideway Structures</t>
        </is>
      </c>
      <c r="G131" s="34" t="inlineStr">
        <is>
          <t>ONE_TO_ONE</t>
        </is>
      </c>
      <c r="H131" s="34" t="inlineStr">
        <is>
          <t>APPROVED</t>
        </is>
      </c>
      <c r="I131" s="34" t="inlineStr">
        <is>
          <t>New</t>
        </is>
      </c>
      <c r="J131" s="34" t="inlineStr">
        <is>
          <t>Source assignment -- not individually reviewed</t>
        </is>
      </c>
      <c r="K131" s="39" t="inlineStr"/>
      <c r="L131" s="14" t="inlineStr"/>
      <c r="M131" s="14" t="inlineStr"/>
      <c r="N131" s="92" t="inlineStr">
        <is>
          <t>10 EVIDENCE &amp; DECISIONS</t>
        </is>
      </c>
    </row>
    <row r="132" ht="34" customHeight="1">
      <c r="A132" s="34" t="inlineStr">
        <is>
          <t>Contractor Programme</t>
        </is>
      </c>
      <c r="B132" s="34" t="inlineStr">
        <is>
          <t>SCH-01-175</t>
        </is>
      </c>
      <c r="C132" s="34" t="inlineStr">
        <is>
          <t>Central guideway: drainage tie-in - field start</t>
        </is>
      </c>
      <c r="D132" s="34" t="inlineStr">
        <is>
          <t>WBS Code = 1.1.1</t>
        </is>
      </c>
      <c r="E132" s="34" t="inlineStr">
        <is>
          <t>R175-v1</t>
        </is>
      </c>
      <c r="F132" s="34" t="inlineStr">
        <is>
          <t>1.1.1 Guideway and Civil - Guideway Structures</t>
        </is>
      </c>
      <c r="G132" s="34" t="inlineStr">
        <is>
          <t>ONE_TO_ONE</t>
        </is>
      </c>
      <c r="H132" s="34" t="inlineStr">
        <is>
          <t>APPROVED</t>
        </is>
      </c>
      <c r="I132" s="34" t="inlineStr">
        <is>
          <t>New</t>
        </is>
      </c>
      <c r="J132" s="34" t="inlineStr">
        <is>
          <t>Source assignment -- not individually reviewed</t>
        </is>
      </c>
      <c r="K132" s="39" t="inlineStr"/>
      <c r="L132" s="14" t="inlineStr"/>
      <c r="M132" s="14" t="inlineStr"/>
      <c r="N132" s="92" t="inlineStr">
        <is>
          <t>10 EVIDENCE &amp; DECISIONS</t>
        </is>
      </c>
    </row>
    <row r="133" ht="34" customHeight="1">
      <c r="A133" s="34" t="inlineStr">
        <is>
          <t>Contractor Programme</t>
        </is>
      </c>
      <c r="B133" s="34" t="inlineStr">
        <is>
          <t>SCH-01-176</t>
        </is>
      </c>
      <c r="C133" s="34" t="inlineStr">
        <is>
          <t>West approach: utility relocation - installation</t>
        </is>
      </c>
      <c r="D133" s="34" t="inlineStr">
        <is>
          <t>WBS Code = 1.1.1</t>
        </is>
      </c>
      <c r="E133" s="34" t="inlineStr">
        <is>
          <t>R176-v1</t>
        </is>
      </c>
      <c r="F133" s="34" t="inlineStr">
        <is>
          <t>1.1.1 Guideway and Civil - Guideway Structures</t>
        </is>
      </c>
      <c r="G133" s="34" t="inlineStr">
        <is>
          <t>ONE_TO_ONE</t>
        </is>
      </c>
      <c r="H133" s="34" t="inlineStr">
        <is>
          <t>APPROVED</t>
        </is>
      </c>
      <c r="I133" s="34" t="inlineStr">
        <is>
          <t>New</t>
        </is>
      </c>
      <c r="J133" s="34" t="inlineStr">
        <is>
          <t>Source assignment -- not individually reviewed</t>
        </is>
      </c>
      <c r="K133" s="39" t="inlineStr"/>
      <c r="L133" s="14" t="inlineStr"/>
      <c r="M133" s="14" t="inlineStr"/>
      <c r="N133" s="92" t="inlineStr">
        <is>
          <t>10 EVIDENCE &amp; DECISIONS</t>
        </is>
      </c>
    </row>
    <row r="134" ht="34" customHeight="1">
      <c r="A134" s="34" t="inlineStr">
        <is>
          <t>Contractor Programme</t>
        </is>
      </c>
      <c r="B134" s="34" t="inlineStr">
        <is>
          <t>SCH-01-178</t>
        </is>
      </c>
      <c r="C134" s="34" t="inlineStr">
        <is>
          <t>East portal: temporary traffic staging - turnover</t>
        </is>
      </c>
      <c r="D134" s="34" t="inlineStr">
        <is>
          <t>WBS Code = 1.1.1</t>
        </is>
      </c>
      <c r="E134" s="34" t="inlineStr">
        <is>
          <t>R178-v1</t>
        </is>
      </c>
      <c r="F134" s="34" t="inlineStr">
        <is>
          <t>1.1.1 Guideway and Civil - Guideway Structures</t>
        </is>
      </c>
      <c r="G134" s="34" t="inlineStr">
        <is>
          <t>ONE_TO_ONE</t>
        </is>
      </c>
      <c r="H134" s="34" t="inlineStr">
        <is>
          <t>APPROVED</t>
        </is>
      </c>
      <c r="I134" s="34" t="inlineStr">
        <is>
          <t>New</t>
        </is>
      </c>
      <c r="J134" s="34" t="inlineStr">
        <is>
          <t>Source assignment -- not individually reviewed</t>
        </is>
      </c>
      <c r="K134" s="39" t="inlineStr"/>
      <c r="L134" s="14" t="inlineStr"/>
      <c r="M134" s="14" t="inlineStr"/>
      <c r="N134" s="92" t="inlineStr">
        <is>
          <t>10 EVIDENCE &amp; DECISIONS</t>
        </is>
      </c>
    </row>
    <row r="135" ht="34" customHeight="1">
      <c r="A135" s="34" t="inlineStr">
        <is>
          <t>Contractor Programme</t>
        </is>
      </c>
      <c r="B135" s="34" t="inlineStr">
        <is>
          <t>SCH-01-179</t>
        </is>
      </c>
      <c r="C135" s="34" t="inlineStr">
        <is>
          <t>River crossing: guideway pier reinforcement - release</t>
        </is>
      </c>
      <c r="D135" s="34" t="inlineStr">
        <is>
          <t>WBS Code = 1.1.1</t>
        </is>
      </c>
      <c r="E135" s="34" t="inlineStr">
        <is>
          <t>R179-v1</t>
        </is>
      </c>
      <c r="F135" s="34" t="inlineStr">
        <is>
          <t>1.1.1 Guideway and Civil - Guideway Structures</t>
        </is>
      </c>
      <c r="G135" s="34" t="inlineStr">
        <is>
          <t>ONE_TO_ONE</t>
        </is>
      </c>
      <c r="H135" s="34" t="inlineStr">
        <is>
          <t>APPROVED</t>
        </is>
      </c>
      <c r="I135" s="34" t="inlineStr">
        <is>
          <t>New</t>
        </is>
      </c>
      <c r="J135" s="34" t="inlineStr">
        <is>
          <t>Source assignment -- not individually reviewed</t>
        </is>
      </c>
      <c r="K135" s="39" t="inlineStr"/>
      <c r="L135" s="14" t="inlineStr"/>
      <c r="M135" s="14" t="inlineStr"/>
      <c r="N135" s="92" t="inlineStr">
        <is>
          <t>10 EVIDENCE &amp; DECISIONS</t>
        </is>
      </c>
    </row>
    <row r="136" ht="34" customHeight="1">
      <c r="A136" s="34" t="inlineStr">
        <is>
          <t>Cost &amp; Forecast Control Accounts</t>
        </is>
      </c>
      <c r="B136" s="34" t="inlineStr">
        <is>
          <t>CST-01-001</t>
        </is>
      </c>
      <c r="C136" s="34" t="inlineStr">
        <is>
          <t>Guideway and Civil - roadworks - professional services</t>
        </is>
      </c>
      <c r="D136" s="34" t="inlineStr">
        <is>
          <t>Cost Account = CA-1001; WBS Code = 1.1.1</t>
        </is>
      </c>
      <c r="E136" s="34" t="inlineStr">
        <is>
          <t>R1083-v1</t>
        </is>
      </c>
      <c r="F136" s="34" t="inlineStr">
        <is>
          <t>1.1.1 Guideway and Civil - Guideway Structures</t>
        </is>
      </c>
      <c r="G136" s="34" t="inlineStr">
        <is>
          <t>ONE_TO_ONE</t>
        </is>
      </c>
      <c r="H136" s="34" t="inlineStr">
        <is>
          <t>APPROVED</t>
        </is>
      </c>
      <c r="I136" s="34" t="inlineStr">
        <is>
          <t>New</t>
        </is>
      </c>
      <c r="J136" s="34" t="inlineStr">
        <is>
          <t>Source assignment -- not individually reviewed</t>
        </is>
      </c>
      <c r="K136" s="39" t="inlineStr"/>
      <c r="L136" s="14" t="inlineStr"/>
      <c r="M136" s="14" t="inlineStr"/>
      <c r="N136" s="92" t="inlineStr">
        <is>
          <t>10 EVIDENCE &amp; DECISIONS</t>
        </is>
      </c>
    </row>
    <row r="137" ht="34" customHeight="1">
      <c r="A137" s="34" t="inlineStr">
        <is>
          <t>Cost &amp; Forecast Control Accounts</t>
        </is>
      </c>
      <c r="B137" s="34" t="inlineStr">
        <is>
          <t>CST-01-003</t>
        </is>
      </c>
      <c r="C137" s="34" t="inlineStr">
        <is>
          <t>Guideway and Civil - concrete structures - closeout</t>
        </is>
      </c>
      <c r="D137" s="34" t="inlineStr">
        <is>
          <t>Cost Account = CA-1003; WBS Code = 1.1.1</t>
        </is>
      </c>
      <c r="E137" s="34" t="inlineStr">
        <is>
          <t>R1085-v1</t>
        </is>
      </c>
      <c r="F137" s="34" t="inlineStr">
        <is>
          <t>1.1.1 Guideway and Civil - Guideway Structures</t>
        </is>
      </c>
      <c r="G137" s="34" t="inlineStr">
        <is>
          <t>ONE_TO_ONE</t>
        </is>
      </c>
      <c r="H137" s="34" t="inlineStr">
        <is>
          <t>APPROVED</t>
        </is>
      </c>
      <c r="I137" s="34" t="inlineStr">
        <is>
          <t>New</t>
        </is>
      </c>
      <c r="J137" s="34" t="inlineStr">
        <is>
          <t>Source assignment -- not individually reviewed</t>
        </is>
      </c>
      <c r="K137" s="39" t="inlineStr"/>
      <c r="L137" s="14" t="inlineStr"/>
      <c r="M137" s="14" t="inlineStr"/>
      <c r="N137" s="92" t="inlineStr">
        <is>
          <t>10 EVIDENCE &amp; DECISIONS</t>
        </is>
      </c>
    </row>
    <row r="138" ht="34" customHeight="1">
      <c r="A138" s="34" t="inlineStr">
        <is>
          <t>Cost &amp; Forecast Control Accounts</t>
        </is>
      </c>
      <c r="B138" s="34" t="inlineStr">
        <is>
          <t>CST-01-005</t>
        </is>
      </c>
      <c r="C138" s="34" t="inlineStr">
        <is>
          <t>Guideway and Civil - temporary works - supply and install</t>
        </is>
      </c>
      <c r="D138" s="34" t="inlineStr">
        <is>
          <t>Cost Account = CA-1005; WBS Code = 1.1.1</t>
        </is>
      </c>
      <c r="E138" s="34" t="inlineStr">
        <is>
          <t>R1087-v1</t>
        </is>
      </c>
      <c r="F138" s="34" t="inlineStr">
        <is>
          <t>1.1.1 Guideway and Civil - Guideway Structures</t>
        </is>
      </c>
      <c r="G138" s="34" t="inlineStr">
        <is>
          <t>ONE_TO_ONE</t>
        </is>
      </c>
      <c r="H138" s="34" t="inlineStr">
        <is>
          <t>APPROVED</t>
        </is>
      </c>
      <c r="I138" s="34" t="inlineStr">
        <is>
          <t>New</t>
        </is>
      </c>
      <c r="J138" s="34" t="inlineStr">
        <is>
          <t>Source assignment -- not individually reviewed</t>
        </is>
      </c>
      <c r="K138" s="39" t="inlineStr"/>
      <c r="L138" s="14" t="inlineStr"/>
      <c r="M138" s="14" t="inlineStr"/>
      <c r="N138" s="92" t="inlineStr">
        <is>
          <t>10 EVIDENCE &amp; DECISIONS</t>
        </is>
      </c>
    </row>
    <row r="139" ht="34" customHeight="1">
      <c r="A139" s="34" t="inlineStr">
        <is>
          <t>Cost &amp; Forecast Control Accounts</t>
        </is>
      </c>
      <c r="B139" s="34" t="inlineStr">
        <is>
          <t>CST-01-007</t>
        </is>
      </c>
      <c r="C139" s="34" t="inlineStr">
        <is>
          <t>Guideway and Civil - roadworks - allowance</t>
        </is>
      </c>
      <c r="D139" s="34" t="inlineStr">
        <is>
          <t>Cost Account = CA-1007; WBS Code = 1.1.1</t>
        </is>
      </c>
      <c r="E139" s="34" t="inlineStr">
        <is>
          <t>R1089-v1</t>
        </is>
      </c>
      <c r="F139" s="34" t="inlineStr">
        <is>
          <t>1.1.1 Guideway and Civil - Guideway Structures</t>
        </is>
      </c>
      <c r="G139" s="34" t="inlineStr">
        <is>
          <t>ONE_TO_ONE</t>
        </is>
      </c>
      <c r="H139" s="34" t="inlineStr">
        <is>
          <t>APPROVED</t>
        </is>
      </c>
      <c r="I139" s="34" t="inlineStr">
        <is>
          <t>New</t>
        </is>
      </c>
      <c r="J139" s="34" t="inlineStr">
        <is>
          <t>Source assignment -- not individually reviewed</t>
        </is>
      </c>
      <c r="K139" s="39" t="inlineStr"/>
      <c r="L139" s="14" t="inlineStr"/>
      <c r="M139" s="14" t="inlineStr"/>
      <c r="N139" s="92" t="inlineStr">
        <is>
          <t>10 EVIDENCE &amp; DECISIONS</t>
        </is>
      </c>
    </row>
    <row r="140" ht="34" customHeight="1">
      <c r="A140" s="34" t="inlineStr">
        <is>
          <t>Cost &amp; Forecast Control Accounts</t>
        </is>
      </c>
      <c r="B140" s="34" t="inlineStr">
        <is>
          <t>CST-01-009</t>
        </is>
      </c>
      <c r="C140" s="34" t="inlineStr">
        <is>
          <t>Guideway and Civil - concrete structures - field package</t>
        </is>
      </c>
      <c r="D140" s="34" t="inlineStr">
        <is>
          <t>Cost Account = CA-1009; WBS Code = 1.1.1</t>
        </is>
      </c>
      <c r="E140" s="34" t="inlineStr">
        <is>
          <t>R1091-v1</t>
        </is>
      </c>
      <c r="F140" s="34" t="inlineStr">
        <is>
          <t>1.1.1 Guideway and Civil - Guideway Structures</t>
        </is>
      </c>
      <c r="G140" s="34" t="inlineStr">
        <is>
          <t>ONE_TO_ONE</t>
        </is>
      </c>
      <c r="H140" s="34" t="inlineStr">
        <is>
          <t>APPROVED</t>
        </is>
      </c>
      <c r="I140" s="34" t="inlineStr">
        <is>
          <t>New</t>
        </is>
      </c>
      <c r="J140" s="34" t="inlineStr">
        <is>
          <t>Source assignment -- not individually reviewed</t>
        </is>
      </c>
      <c r="K140" s="39" t="inlineStr"/>
      <c r="L140" s="14" t="inlineStr"/>
      <c r="M140" s="14" t="inlineStr"/>
      <c r="N140" s="92" t="inlineStr">
        <is>
          <t>10 EVIDENCE &amp; DECISIONS</t>
        </is>
      </c>
    </row>
    <row r="141" ht="34" customHeight="1">
      <c r="A141" s="34" t="inlineStr">
        <is>
          <t>Cost &amp; Forecast Control Accounts</t>
        </is>
      </c>
      <c r="B141" s="34" t="inlineStr">
        <is>
          <t>CST-01-011</t>
        </is>
      </c>
      <c r="C141" s="34" t="inlineStr">
        <is>
          <t>Guideway and Civil - temporary works - professional services</t>
        </is>
      </c>
      <c r="D141" s="34" t="inlineStr">
        <is>
          <t>Cost Account = CA-1011; WBS Code = 1.1.1</t>
        </is>
      </c>
      <c r="E141" s="34" t="inlineStr">
        <is>
          <t>R1093-v1</t>
        </is>
      </c>
      <c r="F141" s="34" t="inlineStr">
        <is>
          <t>1.1.1 Guideway and Civil - Guideway Structures</t>
        </is>
      </c>
      <c r="G141" s="34" t="inlineStr">
        <is>
          <t>ONE_TO_ONE</t>
        </is>
      </c>
      <c r="H141" s="34" t="inlineStr">
        <is>
          <t>APPROVED</t>
        </is>
      </c>
      <c r="I141" s="34" t="inlineStr">
        <is>
          <t>New</t>
        </is>
      </c>
      <c r="J141" s="34" t="inlineStr">
        <is>
          <t>Source assignment -- not individually reviewed</t>
        </is>
      </c>
      <c r="K141" s="39" t="inlineStr"/>
      <c r="L141" s="14" t="inlineStr"/>
      <c r="M141" s="14" t="inlineStr"/>
      <c r="N141" s="92" t="inlineStr">
        <is>
          <t>10 EVIDENCE &amp; DECISIONS</t>
        </is>
      </c>
    </row>
    <row r="142" ht="34" customHeight="1">
      <c r="A142" s="34" t="inlineStr">
        <is>
          <t>Cost &amp; Forecast Control Accounts</t>
        </is>
      </c>
      <c r="B142" s="34" t="inlineStr">
        <is>
          <t>CST-01-013</t>
        </is>
      </c>
      <c r="C142" s="34" t="inlineStr">
        <is>
          <t>Guideway and Civil - roadworks - closeout</t>
        </is>
      </c>
      <c r="D142" s="34" t="inlineStr">
        <is>
          <t>Cost Account = CA-1013; WBS Code = 1.1.1</t>
        </is>
      </c>
      <c r="E142" s="34" t="inlineStr">
        <is>
          <t>R1095-v1</t>
        </is>
      </c>
      <c r="F142" s="34" t="inlineStr">
        <is>
          <t>1.1.1 Guideway and Civil - Guideway Structures</t>
        </is>
      </c>
      <c r="G142" s="34" t="inlineStr">
        <is>
          <t>ONE_TO_ONE</t>
        </is>
      </c>
      <c r="H142" s="34" t="inlineStr">
        <is>
          <t>APPROVED</t>
        </is>
      </c>
      <c r="I142" s="34" t="inlineStr">
        <is>
          <t>New</t>
        </is>
      </c>
      <c r="J142" s="34" t="inlineStr">
        <is>
          <t>Source assignment -- not individually reviewed</t>
        </is>
      </c>
      <c r="K142" s="39" t="inlineStr"/>
      <c r="L142" s="14" t="inlineStr"/>
      <c r="M142" s="14" t="inlineStr"/>
      <c r="N142" s="92" t="inlineStr">
        <is>
          <t>10 EVIDENCE &amp; DECISIONS</t>
        </is>
      </c>
    </row>
    <row r="143" ht="34" customHeight="1">
      <c r="A143" s="34" t="inlineStr">
        <is>
          <t>Cost &amp; Forecast Control Accounts</t>
        </is>
      </c>
      <c r="B143" s="34" t="inlineStr">
        <is>
          <t>CST-01-015</t>
        </is>
      </c>
      <c r="C143" s="34" t="inlineStr">
        <is>
          <t>Guideway and Civil - concrete structures - supply and install</t>
        </is>
      </c>
      <c r="D143" s="34" t="inlineStr">
        <is>
          <t>Cost Account = CA-1015; WBS Code = 1.1.1</t>
        </is>
      </c>
      <c r="E143" s="34" t="inlineStr">
        <is>
          <t>R1097-v1</t>
        </is>
      </c>
      <c r="F143" s="34" t="inlineStr">
        <is>
          <t>1.1.1 Guideway and Civil - Guideway Structures</t>
        </is>
      </c>
      <c r="G143" s="34" t="inlineStr">
        <is>
          <t>ONE_TO_ONE</t>
        </is>
      </c>
      <c r="H143" s="34" t="inlineStr">
        <is>
          <t>APPROVED</t>
        </is>
      </c>
      <c r="I143" s="34" t="inlineStr">
        <is>
          <t>New</t>
        </is>
      </c>
      <c r="J143" s="34" t="inlineStr">
        <is>
          <t>Source assignment -- not individually reviewed</t>
        </is>
      </c>
      <c r="K143" s="39" t="inlineStr"/>
      <c r="L143" s="14" t="inlineStr"/>
      <c r="M143" s="14" t="inlineStr"/>
      <c r="N143" s="92" t="inlineStr">
        <is>
          <t>10 EVIDENCE &amp; DECISIONS</t>
        </is>
      </c>
    </row>
    <row r="144" ht="34" customHeight="1">
      <c r="A144" s="34" t="inlineStr">
        <is>
          <t>Cost &amp; Forecast Control Accounts</t>
        </is>
      </c>
      <c r="B144" s="34" t="inlineStr">
        <is>
          <t>CST-01-017</t>
        </is>
      </c>
      <c r="C144" s="34" t="inlineStr">
        <is>
          <t>Guideway and Civil - temporary works - allowance</t>
        </is>
      </c>
      <c r="D144" s="34" t="inlineStr">
        <is>
          <t>Cost Account = CA-1017; WBS Code = 1.1.1</t>
        </is>
      </c>
      <c r="E144" s="34" t="inlineStr">
        <is>
          <t>R1099-v1</t>
        </is>
      </c>
      <c r="F144" s="34" t="inlineStr">
        <is>
          <t>1.1.1 Guideway and Civil - Guideway Structures</t>
        </is>
      </c>
      <c r="G144" s="34" t="inlineStr">
        <is>
          <t>ONE_TO_ONE</t>
        </is>
      </c>
      <c r="H144" s="34" t="inlineStr">
        <is>
          <t>APPROVED</t>
        </is>
      </c>
      <c r="I144" s="34" t="inlineStr">
        <is>
          <t>New</t>
        </is>
      </c>
      <c r="J144" s="34" t="inlineStr">
        <is>
          <t>Source assignment -- not individually reviewed</t>
        </is>
      </c>
      <c r="K144" s="39" t="inlineStr"/>
      <c r="L144" s="14" t="inlineStr"/>
      <c r="M144" s="14" t="inlineStr"/>
      <c r="N144" s="92" t="inlineStr">
        <is>
          <t>10 EVIDENCE &amp; DECISIONS</t>
        </is>
      </c>
    </row>
    <row r="145" ht="34" customHeight="1">
      <c r="A145" s="34" t="inlineStr">
        <is>
          <t>Cost &amp; Forecast Control Accounts</t>
        </is>
      </c>
      <c r="B145" s="34" t="inlineStr">
        <is>
          <t>CST-01-019</t>
        </is>
      </c>
      <c r="C145" s="34" t="inlineStr">
        <is>
          <t>Guideway and Civil - roadworks - field package</t>
        </is>
      </c>
      <c r="D145" s="34" t="inlineStr">
        <is>
          <t>Cost Account = CA-1019; WBS Code = 1.1.1</t>
        </is>
      </c>
      <c r="E145" s="34" t="inlineStr">
        <is>
          <t>R1101-v1</t>
        </is>
      </c>
      <c r="F145" s="34" t="inlineStr">
        <is>
          <t>1.1.1 Guideway and Civil - Guideway Structures</t>
        </is>
      </c>
      <c r="G145" s="34" t="inlineStr">
        <is>
          <t>ONE_TO_ONE</t>
        </is>
      </c>
      <c r="H145" s="34" t="inlineStr">
        <is>
          <t>APPROVED</t>
        </is>
      </c>
      <c r="I145" s="34" t="inlineStr">
        <is>
          <t>New</t>
        </is>
      </c>
      <c r="J145" s="34" t="inlineStr">
        <is>
          <t>Source assignment -- not individually reviewed</t>
        </is>
      </c>
      <c r="K145" s="39" t="inlineStr"/>
      <c r="L145" s="14" t="inlineStr"/>
      <c r="M145" s="14" t="inlineStr"/>
      <c r="N145" s="92" t="inlineStr">
        <is>
          <t>10 EVIDENCE &amp; DECISIONS</t>
        </is>
      </c>
    </row>
    <row r="146" ht="34" customHeight="1">
      <c r="A146" s="34" t="inlineStr">
        <is>
          <t>Cost &amp; Forecast Control Accounts</t>
        </is>
      </c>
      <c r="B146" s="34" t="inlineStr">
        <is>
          <t>CST-01-021</t>
        </is>
      </c>
      <c r="C146" s="34" t="inlineStr">
        <is>
          <t>Guideway and Civil - concrete structures - professional services</t>
        </is>
      </c>
      <c r="D146" s="34" t="inlineStr">
        <is>
          <t>Cost Account = CA-1021; WBS Code = 1.1.1</t>
        </is>
      </c>
      <c r="E146" s="34" t="inlineStr">
        <is>
          <t>R1103-v1</t>
        </is>
      </c>
      <c r="F146" s="34" t="inlineStr">
        <is>
          <t>1.1.1 Guideway and Civil - Guideway Structures</t>
        </is>
      </c>
      <c r="G146" s="34" t="inlineStr">
        <is>
          <t>ONE_TO_ONE</t>
        </is>
      </c>
      <c r="H146" s="34" t="inlineStr">
        <is>
          <t>APPROVED</t>
        </is>
      </c>
      <c r="I146" s="34" t="inlineStr">
        <is>
          <t>New</t>
        </is>
      </c>
      <c r="J146" s="34" t="inlineStr">
        <is>
          <t>Source assignment -- not individually reviewed</t>
        </is>
      </c>
      <c r="K146" s="39" t="inlineStr"/>
      <c r="L146" s="14" t="inlineStr"/>
      <c r="M146" s="14" t="inlineStr"/>
      <c r="N146" s="92" t="inlineStr">
        <is>
          <t>10 EVIDENCE &amp; DECISIONS</t>
        </is>
      </c>
    </row>
    <row r="147" ht="34" customHeight="1">
      <c r="A147" s="34" t="inlineStr">
        <is>
          <t>Cost &amp; Forecast Control Accounts</t>
        </is>
      </c>
      <c r="B147" s="34" t="inlineStr">
        <is>
          <t>CST-01-023</t>
        </is>
      </c>
      <c r="C147" s="34" t="inlineStr">
        <is>
          <t>Guideway and Civil - temporary works - closeout</t>
        </is>
      </c>
      <c r="D147" s="34" t="inlineStr">
        <is>
          <t>Cost Account = CA-1023; WBS Code = 1.1.1</t>
        </is>
      </c>
      <c r="E147" s="34" t="inlineStr">
        <is>
          <t>R1105-v1</t>
        </is>
      </c>
      <c r="F147" s="34" t="inlineStr">
        <is>
          <t>1.1.1 Guideway and Civil - Guideway Structures</t>
        </is>
      </c>
      <c r="G147" s="34" t="inlineStr">
        <is>
          <t>ONE_TO_ONE</t>
        </is>
      </c>
      <c r="H147" s="34" t="inlineStr">
        <is>
          <t>APPROVED</t>
        </is>
      </c>
      <c r="I147" s="34" t="inlineStr">
        <is>
          <t>New</t>
        </is>
      </c>
      <c r="J147" s="34" t="inlineStr">
        <is>
          <t>Source assignment -- not individually reviewed</t>
        </is>
      </c>
      <c r="K147" s="39" t="inlineStr"/>
      <c r="L147" s="14" t="inlineStr"/>
      <c r="M147" s="14" t="inlineStr"/>
      <c r="N147" s="92" t="inlineStr">
        <is>
          <t>10 EVIDENCE &amp; DECISIONS</t>
        </is>
      </c>
    </row>
    <row r="148" ht="34" customHeight="1">
      <c r="A148" s="34" t="inlineStr">
        <is>
          <t>Cost &amp; Forecast Control Accounts</t>
        </is>
      </c>
      <c r="B148" s="34" t="inlineStr">
        <is>
          <t>CST-01-025</t>
        </is>
      </c>
      <c r="C148" s="34" t="inlineStr">
        <is>
          <t>Guideway and Civil - roadworks - supply and install</t>
        </is>
      </c>
      <c r="D148" s="34" t="inlineStr">
        <is>
          <t>Cost Account = CA-1025; WBS Code = 1.1.1</t>
        </is>
      </c>
      <c r="E148" s="34" t="inlineStr">
        <is>
          <t>R1107-v1</t>
        </is>
      </c>
      <c r="F148" s="34" t="inlineStr">
        <is>
          <t>1.1.1 Guideway and Civil - Guideway Structures</t>
        </is>
      </c>
      <c r="G148" s="34" t="inlineStr">
        <is>
          <t>ONE_TO_ONE</t>
        </is>
      </c>
      <c r="H148" s="34" t="inlineStr">
        <is>
          <t>APPROVED</t>
        </is>
      </c>
      <c r="I148" s="34" t="inlineStr">
        <is>
          <t>New</t>
        </is>
      </c>
      <c r="J148" s="34" t="inlineStr">
        <is>
          <t>Source assignment -- not individually reviewed</t>
        </is>
      </c>
      <c r="K148" s="39" t="inlineStr"/>
      <c r="L148" s="14" t="inlineStr"/>
      <c r="M148" s="14" t="inlineStr"/>
      <c r="N148" s="92" t="inlineStr">
        <is>
          <t>10 EVIDENCE &amp; DECISIONS</t>
        </is>
      </c>
    </row>
    <row r="149" ht="34" customHeight="1">
      <c r="A149" s="34" t="inlineStr">
        <is>
          <t>Cost &amp; Forecast Control Accounts</t>
        </is>
      </c>
      <c r="B149" s="34" t="inlineStr">
        <is>
          <t>CST-01-027</t>
        </is>
      </c>
      <c r="C149" s="34" t="inlineStr">
        <is>
          <t>Guideway and Civil - concrete structures - allowance</t>
        </is>
      </c>
      <c r="D149" s="34" t="inlineStr">
        <is>
          <t>Cost Account = CA-1027; WBS Code = 1.1.1</t>
        </is>
      </c>
      <c r="E149" s="34" t="inlineStr">
        <is>
          <t>R1109-v1</t>
        </is>
      </c>
      <c r="F149" s="34" t="inlineStr">
        <is>
          <t>1.1.1 Guideway and Civil - Guideway Structures</t>
        </is>
      </c>
      <c r="G149" s="34" t="inlineStr">
        <is>
          <t>ONE_TO_ONE</t>
        </is>
      </c>
      <c r="H149" s="34" t="inlineStr">
        <is>
          <t>APPROVED</t>
        </is>
      </c>
      <c r="I149" s="34" t="inlineStr">
        <is>
          <t>New</t>
        </is>
      </c>
      <c r="J149" s="34" t="inlineStr">
        <is>
          <t>Source assignment -- not individually reviewed</t>
        </is>
      </c>
      <c r="K149" s="39" t="inlineStr"/>
      <c r="L149" s="14" t="inlineStr"/>
      <c r="M149" s="14" t="inlineStr"/>
      <c r="N149" s="92" t="inlineStr">
        <is>
          <t>10 EVIDENCE &amp; DECISIONS</t>
        </is>
      </c>
    </row>
    <row r="150" ht="34" customHeight="1">
      <c r="A150" s="34" t="inlineStr">
        <is>
          <t>Cost &amp; Forecast Control Accounts</t>
        </is>
      </c>
      <c r="B150" s="34" t="inlineStr">
        <is>
          <t>CST-01-029</t>
        </is>
      </c>
      <c r="C150" s="34" t="inlineStr">
        <is>
          <t>Guideway and Civil - temporary works - field package</t>
        </is>
      </c>
      <c r="D150" s="34" t="inlineStr">
        <is>
          <t>Cost Account = CA-1029; WBS Code = 1.1.1</t>
        </is>
      </c>
      <c r="E150" s="34" t="inlineStr">
        <is>
          <t>R1111-v1</t>
        </is>
      </c>
      <c r="F150" s="34" t="inlineStr">
        <is>
          <t>1.1.1 Guideway and Civil - Guideway Structures</t>
        </is>
      </c>
      <c r="G150" s="34" t="inlineStr">
        <is>
          <t>ONE_TO_ONE</t>
        </is>
      </c>
      <c r="H150" s="34" t="inlineStr">
        <is>
          <t>APPROVED</t>
        </is>
      </c>
      <c r="I150" s="34" t="inlineStr">
        <is>
          <t>New</t>
        </is>
      </c>
      <c r="J150" s="34" t="inlineStr">
        <is>
          <t>Source assignment -- not individually reviewed</t>
        </is>
      </c>
      <c r="K150" s="39" t="inlineStr"/>
      <c r="L150" s="14" t="inlineStr"/>
      <c r="M150" s="14" t="inlineStr"/>
      <c r="N150" s="92" t="inlineStr">
        <is>
          <t>10 EVIDENCE &amp; DECISIONS</t>
        </is>
      </c>
    </row>
    <row r="151" ht="34" customHeight="1">
      <c r="A151" s="34" t="inlineStr">
        <is>
          <t>Cost &amp; Forecast Control Accounts</t>
        </is>
      </c>
      <c r="B151" s="34" t="inlineStr">
        <is>
          <t>CST-01-031</t>
        </is>
      </c>
      <c r="C151" s="34" t="inlineStr">
        <is>
          <t>Guideway and Civil - roadworks - professional services</t>
        </is>
      </c>
      <c r="D151" s="34" t="inlineStr">
        <is>
          <t>Cost Account = CA-1031; WBS Code = 1.1.1</t>
        </is>
      </c>
      <c r="E151" s="34" t="inlineStr">
        <is>
          <t>R1113-v1</t>
        </is>
      </c>
      <c r="F151" s="34" t="inlineStr">
        <is>
          <t>1.1.1 Guideway and Civil - Guideway Structures</t>
        </is>
      </c>
      <c r="G151" s="34" t="inlineStr">
        <is>
          <t>ONE_TO_ONE</t>
        </is>
      </c>
      <c r="H151" s="34" t="inlineStr">
        <is>
          <t>APPROVED</t>
        </is>
      </c>
      <c r="I151" s="34" t="inlineStr">
        <is>
          <t>New</t>
        </is>
      </c>
      <c r="J151" s="34" t="inlineStr">
        <is>
          <t>Source assignment -- not individually reviewed</t>
        </is>
      </c>
      <c r="K151" s="39" t="inlineStr"/>
      <c r="L151" s="14" t="inlineStr"/>
      <c r="M151" s="14" t="inlineStr"/>
      <c r="N151" s="92" t="inlineStr">
        <is>
          <t>10 EVIDENCE &amp; DECISIONS</t>
        </is>
      </c>
    </row>
    <row r="152" ht="34" customHeight="1">
      <c r="A152" s="34" t="inlineStr">
        <is>
          <t>Cost &amp; Forecast Control Accounts</t>
        </is>
      </c>
      <c r="B152" s="34" t="inlineStr">
        <is>
          <t>CST-01-033</t>
        </is>
      </c>
      <c r="C152" s="34" t="inlineStr">
        <is>
          <t>Guideway and Civil - concrete structures - closeout</t>
        </is>
      </c>
      <c r="D152" s="34" t="inlineStr">
        <is>
          <t>Cost Account = CA-1033; WBS Code = 1.1.1</t>
        </is>
      </c>
      <c r="E152" s="34" t="inlineStr">
        <is>
          <t>R1115-v1</t>
        </is>
      </c>
      <c r="F152" s="34" t="inlineStr">
        <is>
          <t>1.1.1 Guideway and Civil - Guideway Structures</t>
        </is>
      </c>
      <c r="G152" s="34" t="inlineStr">
        <is>
          <t>ONE_TO_ONE</t>
        </is>
      </c>
      <c r="H152" s="34" t="inlineStr">
        <is>
          <t>APPROVED</t>
        </is>
      </c>
      <c r="I152" s="34" t="inlineStr">
        <is>
          <t>New</t>
        </is>
      </c>
      <c r="J152" s="34" t="inlineStr">
        <is>
          <t>Source assignment -- not individually reviewed</t>
        </is>
      </c>
      <c r="K152" s="39" t="inlineStr"/>
      <c r="L152" s="14" t="inlineStr"/>
      <c r="M152" s="14" t="inlineStr"/>
      <c r="N152" s="92" t="inlineStr">
        <is>
          <t>10 EVIDENCE &amp; DECISIONS</t>
        </is>
      </c>
    </row>
    <row r="153" ht="34" customHeight="1">
      <c r="A153" s="34" t="inlineStr">
        <is>
          <t>Cost &amp; Forecast Control Accounts</t>
        </is>
      </c>
      <c r="B153" s="34" t="inlineStr">
        <is>
          <t>CST-01-035</t>
        </is>
      </c>
      <c r="C153" s="34" t="inlineStr">
        <is>
          <t>Guideway and Civil - temporary works - supply and install</t>
        </is>
      </c>
      <c r="D153" s="34" t="inlineStr">
        <is>
          <t>Cost Account = CA-1035; WBS Code = 1.1.1</t>
        </is>
      </c>
      <c r="E153" s="34" t="inlineStr">
        <is>
          <t>R1117-v1</t>
        </is>
      </c>
      <c r="F153" s="34" t="inlineStr">
        <is>
          <t>1.1.1 Guideway and Civil - Guideway Structures</t>
        </is>
      </c>
      <c r="G153" s="34" t="inlineStr">
        <is>
          <t>ONE_TO_ONE</t>
        </is>
      </c>
      <c r="H153" s="34" t="inlineStr">
        <is>
          <t>APPROVED</t>
        </is>
      </c>
      <c r="I153" s="34" t="inlineStr">
        <is>
          <t>New</t>
        </is>
      </c>
      <c r="J153" s="34" t="inlineStr">
        <is>
          <t>Source assignment -- not individually reviewed</t>
        </is>
      </c>
      <c r="K153" s="39" t="inlineStr"/>
      <c r="L153" s="14" t="inlineStr"/>
      <c r="M153" s="14" t="inlineStr"/>
      <c r="N153" s="92" t="inlineStr">
        <is>
          <t>10 EVIDENCE &amp; DECISIONS</t>
        </is>
      </c>
    </row>
    <row r="154" ht="34" customHeight="1">
      <c r="A154" s="34" t="inlineStr">
        <is>
          <t>Cost &amp; Forecast Control Accounts</t>
        </is>
      </c>
      <c r="B154" s="34" t="inlineStr">
        <is>
          <t>CST-01-037</t>
        </is>
      </c>
      <c r="C154" s="34" t="inlineStr">
        <is>
          <t>Guideway and Civil - roadworks - allowance</t>
        </is>
      </c>
      <c r="D154" s="34" t="inlineStr">
        <is>
          <t>Cost Account = CA-1037; WBS Code = 1.1.1</t>
        </is>
      </c>
      <c r="E154" s="34" t="inlineStr">
        <is>
          <t>R1119-v1</t>
        </is>
      </c>
      <c r="F154" s="34" t="inlineStr">
        <is>
          <t>1.1.1 Guideway and Civil - Guideway Structures</t>
        </is>
      </c>
      <c r="G154" s="34" t="inlineStr">
        <is>
          <t>ONE_TO_ONE</t>
        </is>
      </c>
      <c r="H154" s="34" t="inlineStr">
        <is>
          <t>APPROVED</t>
        </is>
      </c>
      <c r="I154" s="34" t="inlineStr">
        <is>
          <t>New</t>
        </is>
      </c>
      <c r="J154" s="34" t="inlineStr">
        <is>
          <t>Source assignment -- not individually reviewed</t>
        </is>
      </c>
      <c r="K154" s="39" t="inlineStr"/>
      <c r="L154" s="14" t="inlineStr"/>
      <c r="M154" s="14" t="inlineStr"/>
      <c r="N154" s="92" t="inlineStr">
        <is>
          <t>10 EVIDENCE &amp; DECISIONS</t>
        </is>
      </c>
    </row>
    <row r="155" ht="34" customHeight="1">
      <c r="A155" s="34" t="inlineStr">
        <is>
          <t>Cost &amp; Forecast Control Accounts</t>
        </is>
      </c>
      <c r="B155" s="34" t="inlineStr">
        <is>
          <t>CST-01-039</t>
        </is>
      </c>
      <c r="C155" s="34" t="inlineStr">
        <is>
          <t>Guideway and Civil - concrete structures - field package</t>
        </is>
      </c>
      <c r="D155" s="34" t="inlineStr">
        <is>
          <t>Cost Account = CA-1039; WBS Code = 1.1.1</t>
        </is>
      </c>
      <c r="E155" s="34" t="inlineStr">
        <is>
          <t>R1121-v1</t>
        </is>
      </c>
      <c r="F155" s="34" t="inlineStr">
        <is>
          <t>1.1.1 Guideway and Civil - Guideway Structures</t>
        </is>
      </c>
      <c r="G155" s="34" t="inlineStr">
        <is>
          <t>ONE_TO_ONE</t>
        </is>
      </c>
      <c r="H155" s="34" t="inlineStr">
        <is>
          <t>APPROVED</t>
        </is>
      </c>
      <c r="I155" s="34" t="inlineStr">
        <is>
          <t>New</t>
        </is>
      </c>
      <c r="J155" s="34" t="inlineStr">
        <is>
          <t>Source assignment -- not individually reviewed</t>
        </is>
      </c>
      <c r="K155" s="39" t="inlineStr"/>
      <c r="L155" s="14" t="inlineStr"/>
      <c r="M155" s="14" t="inlineStr"/>
      <c r="N155" s="92" t="inlineStr">
        <is>
          <t>10 EVIDENCE &amp; DECISIONS</t>
        </is>
      </c>
    </row>
    <row r="156" ht="34" customHeight="1">
      <c r="A156" s="34" t="inlineStr">
        <is>
          <t>Cost &amp; Forecast Control Accounts</t>
        </is>
      </c>
      <c r="B156" s="34" t="inlineStr">
        <is>
          <t>CST-01-041</t>
        </is>
      </c>
      <c r="C156" s="34" t="inlineStr">
        <is>
          <t>Guideway and Civil - temporary works - professional services</t>
        </is>
      </c>
      <c r="D156" s="34" t="inlineStr">
        <is>
          <t>Cost Account = CA-1041; WBS Code = 1.1.1</t>
        </is>
      </c>
      <c r="E156" s="34" t="inlineStr">
        <is>
          <t>R1123-v1</t>
        </is>
      </c>
      <c r="F156" s="34" t="inlineStr">
        <is>
          <t>1.1.1 Guideway and Civil - Guideway Structures</t>
        </is>
      </c>
      <c r="G156" s="34" t="inlineStr">
        <is>
          <t>ONE_TO_ONE</t>
        </is>
      </c>
      <c r="H156" s="34" t="inlineStr">
        <is>
          <t>APPROVED</t>
        </is>
      </c>
      <c r="I156" s="34" t="inlineStr">
        <is>
          <t>New</t>
        </is>
      </c>
      <c r="J156" s="34" t="inlineStr">
        <is>
          <t>Source assignment -- not individually reviewed</t>
        </is>
      </c>
      <c r="K156" s="39" t="inlineStr"/>
      <c r="L156" s="14" t="inlineStr"/>
      <c r="M156" s="14" t="inlineStr"/>
      <c r="N156" s="92" t="inlineStr">
        <is>
          <t>10 EVIDENCE &amp; DECISIONS</t>
        </is>
      </c>
    </row>
    <row r="157" ht="34" customHeight="1">
      <c r="A157" s="34" t="inlineStr">
        <is>
          <t>Cost &amp; Forecast Control Accounts</t>
        </is>
      </c>
      <c r="B157" s="34" t="inlineStr">
        <is>
          <t>CST-01-043</t>
        </is>
      </c>
      <c r="C157" s="34" t="inlineStr">
        <is>
          <t>Guideway and Civil - roadworks - closeout</t>
        </is>
      </c>
      <c r="D157" s="34" t="inlineStr">
        <is>
          <t>Cost Account = CA-1043; WBS Code = 1.1.1</t>
        </is>
      </c>
      <c r="E157" s="34" t="inlineStr">
        <is>
          <t>R1125-v1</t>
        </is>
      </c>
      <c r="F157" s="34" t="inlineStr">
        <is>
          <t>1.1.1 Guideway and Civil - Guideway Structures</t>
        </is>
      </c>
      <c r="G157" s="34" t="inlineStr">
        <is>
          <t>ONE_TO_ONE</t>
        </is>
      </c>
      <c r="H157" s="34" t="inlineStr">
        <is>
          <t>APPROVED</t>
        </is>
      </c>
      <c r="I157" s="34" t="inlineStr">
        <is>
          <t>New</t>
        </is>
      </c>
      <c r="J157" s="34" t="inlineStr">
        <is>
          <t>Source assignment -- not individually reviewed</t>
        </is>
      </c>
      <c r="K157" s="39" t="inlineStr"/>
      <c r="L157" s="14" t="inlineStr"/>
      <c r="M157" s="14" t="inlineStr"/>
      <c r="N157" s="92" t="inlineStr">
        <is>
          <t>10 EVIDENCE &amp; DECISIONS</t>
        </is>
      </c>
    </row>
    <row r="158" ht="34" customHeight="1">
      <c r="A158" s="34" t="inlineStr">
        <is>
          <t>Cost &amp; Forecast Control Accounts</t>
        </is>
      </c>
      <c r="B158" s="34" t="inlineStr">
        <is>
          <t>CST-01-045</t>
        </is>
      </c>
      <c r="C158" s="34" t="inlineStr">
        <is>
          <t>Guideway and Civil - concrete structures - supply and install</t>
        </is>
      </c>
      <c r="D158" s="34" t="inlineStr">
        <is>
          <t>Cost Account = CA-1045; WBS Code = 1.1.1</t>
        </is>
      </c>
      <c r="E158" s="34" t="inlineStr">
        <is>
          <t>R1127-v1</t>
        </is>
      </c>
      <c r="F158" s="34" t="inlineStr">
        <is>
          <t>1.1.1 Guideway and Civil - Guideway Structures</t>
        </is>
      </c>
      <c r="G158" s="34" t="inlineStr">
        <is>
          <t>ONE_TO_ONE</t>
        </is>
      </c>
      <c r="H158" s="34" t="inlineStr">
        <is>
          <t>APPROVED</t>
        </is>
      </c>
      <c r="I158" s="34" t="inlineStr">
        <is>
          <t>New</t>
        </is>
      </c>
      <c r="J158" s="34" t="inlineStr">
        <is>
          <t>Source assignment -- not individually reviewed</t>
        </is>
      </c>
      <c r="K158" s="39" t="inlineStr"/>
      <c r="L158" s="14" t="inlineStr"/>
      <c r="M158" s="14" t="inlineStr"/>
      <c r="N158" s="92" t="inlineStr">
        <is>
          <t>10 EVIDENCE &amp; DECISIONS</t>
        </is>
      </c>
    </row>
    <row r="159" ht="34" customHeight="1">
      <c r="A159" s="34" t="inlineStr">
        <is>
          <t>Cost &amp; Forecast Control Accounts</t>
        </is>
      </c>
      <c r="B159" s="34" t="inlineStr">
        <is>
          <t>CST-01-047</t>
        </is>
      </c>
      <c r="C159" s="34" t="inlineStr">
        <is>
          <t>Guideway and Civil - temporary works - allowance</t>
        </is>
      </c>
      <c r="D159" s="34" t="inlineStr">
        <is>
          <t>Cost Account = CA-1047; WBS Code = 1.1.1</t>
        </is>
      </c>
      <c r="E159" s="34" t="inlineStr">
        <is>
          <t>R1129-v1</t>
        </is>
      </c>
      <c r="F159" s="34" t="inlineStr">
        <is>
          <t>1.1.1 Guideway and Civil - Guideway Structures</t>
        </is>
      </c>
      <c r="G159" s="34" t="inlineStr">
        <is>
          <t>ONE_TO_ONE</t>
        </is>
      </c>
      <c r="H159" s="34" t="inlineStr">
        <is>
          <t>APPROVED</t>
        </is>
      </c>
      <c r="I159" s="34" t="inlineStr">
        <is>
          <t>New</t>
        </is>
      </c>
      <c r="J159" s="34" t="inlineStr">
        <is>
          <t>Source assignment -- not individually reviewed</t>
        </is>
      </c>
      <c r="K159" s="39" t="inlineStr"/>
      <c r="L159" s="14" t="inlineStr"/>
      <c r="M159" s="14" t="inlineStr"/>
      <c r="N159" s="92" t="inlineStr">
        <is>
          <t>10 EVIDENCE &amp; DECISIONS</t>
        </is>
      </c>
    </row>
    <row r="160" ht="34" customHeight="1">
      <c r="A160" s="34" t="inlineStr">
        <is>
          <t>Cost &amp; Forecast Control Accounts</t>
        </is>
      </c>
      <c r="B160" s="34" t="inlineStr">
        <is>
          <t>CST-01-049</t>
        </is>
      </c>
      <c r="C160" s="34" t="inlineStr">
        <is>
          <t>Guideway and Civil - roadworks - field package</t>
        </is>
      </c>
      <c r="D160" s="34" t="inlineStr">
        <is>
          <t>Cost Account = CA-1049; WBS Code = 1.1.1</t>
        </is>
      </c>
      <c r="E160" s="34" t="inlineStr">
        <is>
          <t>R1131-v1</t>
        </is>
      </c>
      <c r="F160" s="34" t="inlineStr">
        <is>
          <t>1.1.1 Guideway and Civil - Guideway Structures</t>
        </is>
      </c>
      <c r="G160" s="34" t="inlineStr">
        <is>
          <t>ONE_TO_ONE</t>
        </is>
      </c>
      <c r="H160" s="34" t="inlineStr">
        <is>
          <t>APPROVED</t>
        </is>
      </c>
      <c r="I160" s="34" t="inlineStr">
        <is>
          <t>New</t>
        </is>
      </c>
      <c r="J160" s="34" t="inlineStr">
        <is>
          <t>Source assignment -- not individually reviewed</t>
        </is>
      </c>
      <c r="K160" s="39" t="inlineStr"/>
      <c r="L160" s="14" t="inlineStr"/>
      <c r="M160" s="14" t="inlineStr"/>
      <c r="N160" s="92" t="inlineStr">
        <is>
          <t>10 EVIDENCE &amp; DECISIONS</t>
        </is>
      </c>
    </row>
    <row r="161" ht="34" customHeight="1">
      <c r="A161" s="34" t="inlineStr">
        <is>
          <t>Cost &amp; Forecast Control Accounts</t>
        </is>
      </c>
      <c r="B161" s="34" t="inlineStr">
        <is>
          <t>CST-01-051</t>
        </is>
      </c>
      <c r="C161" s="34" t="inlineStr">
        <is>
          <t>Guideway and Civil - concrete structures - professional services</t>
        </is>
      </c>
      <c r="D161" s="34" t="inlineStr">
        <is>
          <t>Cost Account = CA-1051; WBS Code = 1.1.1</t>
        </is>
      </c>
      <c r="E161" s="34" t="inlineStr">
        <is>
          <t>R1133-v1</t>
        </is>
      </c>
      <c r="F161" s="34" t="inlineStr">
        <is>
          <t>1.1.1 Guideway and Civil - Guideway Structures</t>
        </is>
      </c>
      <c r="G161" s="34" t="inlineStr">
        <is>
          <t>ONE_TO_ONE</t>
        </is>
      </c>
      <c r="H161" s="34" t="inlineStr">
        <is>
          <t>APPROVED</t>
        </is>
      </c>
      <c r="I161" s="34" t="inlineStr">
        <is>
          <t>New</t>
        </is>
      </c>
      <c r="J161" s="34" t="inlineStr">
        <is>
          <t>Source assignment -- not individually reviewed</t>
        </is>
      </c>
      <c r="K161" s="39" t="inlineStr"/>
      <c r="L161" s="14" t="inlineStr"/>
      <c r="M161" s="14" t="inlineStr"/>
      <c r="N161" s="92" t="inlineStr">
        <is>
          <t>10 EVIDENCE &amp; DECISIONS</t>
        </is>
      </c>
    </row>
    <row r="162" ht="34" customHeight="1">
      <c r="A162" s="34" t="inlineStr">
        <is>
          <t>Cost &amp; Forecast Control Accounts</t>
        </is>
      </c>
      <c r="B162" s="34" t="inlineStr">
        <is>
          <t>CST-01-053</t>
        </is>
      </c>
      <c r="C162" s="34" t="inlineStr">
        <is>
          <t>Guideway and Civil - temporary works - closeout</t>
        </is>
      </c>
      <c r="D162" s="34" t="inlineStr">
        <is>
          <t>Cost Account = CA-1053; WBS Code = 1.1.1</t>
        </is>
      </c>
      <c r="E162" s="34" t="inlineStr">
        <is>
          <t>R1135-v1</t>
        </is>
      </c>
      <c r="F162" s="34" t="inlineStr">
        <is>
          <t>1.1.1 Guideway and Civil - Guideway Structures</t>
        </is>
      </c>
      <c r="G162" s="34" t="inlineStr">
        <is>
          <t>ONE_TO_ONE</t>
        </is>
      </c>
      <c r="H162" s="34" t="inlineStr">
        <is>
          <t>APPROVED</t>
        </is>
      </c>
      <c r="I162" s="34" t="inlineStr">
        <is>
          <t>New</t>
        </is>
      </c>
      <c r="J162" s="34" t="inlineStr">
        <is>
          <t>Source assignment -- not individually reviewed</t>
        </is>
      </c>
      <c r="K162" s="39" t="inlineStr"/>
      <c r="L162" s="14" t="inlineStr"/>
      <c r="M162" s="14" t="inlineStr"/>
      <c r="N162" s="92" t="inlineStr">
        <is>
          <t>10 EVIDENCE &amp; DECISIONS</t>
        </is>
      </c>
    </row>
    <row r="163" ht="34" customHeight="1">
      <c r="A163" s="34" t="inlineStr">
        <is>
          <t>Cost &amp; Forecast Control Accounts</t>
        </is>
      </c>
      <c r="B163" s="34" t="inlineStr">
        <is>
          <t>CST-01-055</t>
        </is>
      </c>
      <c r="C163" s="34" t="inlineStr">
        <is>
          <t>Guideway and Civil - roadworks - supply and install</t>
        </is>
      </c>
      <c r="D163" s="34" t="inlineStr">
        <is>
          <t>Cost Account = CA-1055; WBS Code = 1.1.1</t>
        </is>
      </c>
      <c r="E163" s="34" t="inlineStr">
        <is>
          <t>R1137-v1</t>
        </is>
      </c>
      <c r="F163" s="34" t="inlineStr">
        <is>
          <t>1.1.1 Guideway and Civil - Guideway Structures</t>
        </is>
      </c>
      <c r="G163" s="34" t="inlineStr">
        <is>
          <t>ONE_TO_ONE</t>
        </is>
      </c>
      <c r="H163" s="34" t="inlineStr">
        <is>
          <t>APPROVED</t>
        </is>
      </c>
      <c r="I163" s="34" t="inlineStr">
        <is>
          <t>New</t>
        </is>
      </c>
      <c r="J163" s="34" t="inlineStr">
        <is>
          <t>Source assignment -- not individually reviewed</t>
        </is>
      </c>
      <c r="K163" s="39" t="inlineStr"/>
      <c r="L163" s="14" t="inlineStr"/>
      <c r="M163" s="14" t="inlineStr"/>
      <c r="N163" s="92" t="inlineStr">
        <is>
          <t>10 EVIDENCE &amp; DECISIONS</t>
        </is>
      </c>
    </row>
    <row r="164" ht="34" customHeight="1">
      <c r="A164" s="34" t="inlineStr">
        <is>
          <t>Cost &amp; Forecast Control Accounts</t>
        </is>
      </c>
      <c r="B164" s="34" t="inlineStr">
        <is>
          <t>CST-01-057</t>
        </is>
      </c>
      <c r="C164" s="34" t="inlineStr">
        <is>
          <t>Guideway and Civil - concrete structures - allowance</t>
        </is>
      </c>
      <c r="D164" s="34" t="inlineStr">
        <is>
          <t>Cost Account = CA-1057; WBS Code = 1.1.1</t>
        </is>
      </c>
      <c r="E164" s="34" t="inlineStr">
        <is>
          <t>R1139-v1</t>
        </is>
      </c>
      <c r="F164" s="34" t="inlineStr">
        <is>
          <t>1.1.1 Guideway and Civil - Guideway Structures</t>
        </is>
      </c>
      <c r="G164" s="34" t="inlineStr">
        <is>
          <t>ONE_TO_ONE</t>
        </is>
      </c>
      <c r="H164" s="34" t="inlineStr">
        <is>
          <t>APPROVED</t>
        </is>
      </c>
      <c r="I164" s="34" t="inlineStr">
        <is>
          <t>New</t>
        </is>
      </c>
      <c r="J164" s="34" t="inlineStr">
        <is>
          <t>Source assignment -- not individually reviewed</t>
        </is>
      </c>
      <c r="K164" s="39" t="inlineStr"/>
      <c r="L164" s="14" t="inlineStr"/>
      <c r="M164" s="14" t="inlineStr"/>
      <c r="N164" s="92" t="inlineStr">
        <is>
          <t>10 EVIDENCE &amp; DECISIONS</t>
        </is>
      </c>
    </row>
    <row r="165" ht="34" customHeight="1">
      <c r="A165" s="34" t="inlineStr">
        <is>
          <t>Cost &amp; Forecast Control Accounts</t>
        </is>
      </c>
      <c r="B165" s="34" t="inlineStr">
        <is>
          <t>CST-01-059</t>
        </is>
      </c>
      <c r="C165" s="34" t="inlineStr">
        <is>
          <t>Guideway and Civil - temporary works - field package</t>
        </is>
      </c>
      <c r="D165" s="34" t="inlineStr">
        <is>
          <t>Cost Account = CA-1059; WBS Code = 1.1.1</t>
        </is>
      </c>
      <c r="E165" s="34" t="inlineStr">
        <is>
          <t>R1141-v1</t>
        </is>
      </c>
      <c r="F165" s="34" t="inlineStr">
        <is>
          <t>1.1.1 Guideway and Civil - Guideway Structures</t>
        </is>
      </c>
      <c r="G165" s="34" t="inlineStr">
        <is>
          <t>ONE_TO_ONE</t>
        </is>
      </c>
      <c r="H165" s="34" t="inlineStr">
        <is>
          <t>APPROVED</t>
        </is>
      </c>
      <c r="I165" s="34" t="inlineStr">
        <is>
          <t>New</t>
        </is>
      </c>
      <c r="J165" s="34" t="inlineStr">
        <is>
          <t>Source assignment -- not individually reviewed</t>
        </is>
      </c>
      <c r="K165" s="39" t="inlineStr"/>
      <c r="L165" s="14" t="inlineStr"/>
      <c r="M165" s="14" t="inlineStr"/>
      <c r="N165" s="92" t="inlineStr">
        <is>
          <t>10 EVIDENCE &amp; DECISIONS</t>
        </is>
      </c>
    </row>
    <row r="166" ht="34" customHeight="1">
      <c r="A166" s="34" t="inlineStr">
        <is>
          <t>Cost &amp; Forecast Control Accounts</t>
        </is>
      </c>
      <c r="B166" s="34" t="inlineStr">
        <is>
          <t>CST-01-061</t>
        </is>
      </c>
      <c r="C166" s="34" t="inlineStr">
        <is>
          <t>Guideway and Civil - roadworks - professional services</t>
        </is>
      </c>
      <c r="D166" s="34" t="inlineStr">
        <is>
          <t>Cost Account = CA-1061; WBS Code = 1.1.1</t>
        </is>
      </c>
      <c r="E166" s="34" t="inlineStr">
        <is>
          <t>R1143-v1</t>
        </is>
      </c>
      <c r="F166" s="34" t="inlineStr">
        <is>
          <t>1.1.1 Guideway and Civil - Guideway Structures</t>
        </is>
      </c>
      <c r="G166" s="34" t="inlineStr">
        <is>
          <t>ONE_TO_ONE</t>
        </is>
      </c>
      <c r="H166" s="34" t="inlineStr">
        <is>
          <t>APPROVED</t>
        </is>
      </c>
      <c r="I166" s="34" t="inlineStr">
        <is>
          <t>New</t>
        </is>
      </c>
      <c r="J166" s="34" t="inlineStr">
        <is>
          <t>Source assignment -- not individually reviewed</t>
        </is>
      </c>
      <c r="K166" s="39" t="inlineStr"/>
      <c r="L166" s="14" t="inlineStr"/>
      <c r="M166" s="14" t="inlineStr"/>
      <c r="N166" s="92" t="inlineStr">
        <is>
          <t>10 EVIDENCE &amp; DECISIONS</t>
        </is>
      </c>
    </row>
    <row r="167" ht="34" customHeight="1">
      <c r="A167" s="34" t="inlineStr">
        <is>
          <t>Cost &amp; Forecast Control Accounts</t>
        </is>
      </c>
      <c r="B167" s="34" t="inlineStr">
        <is>
          <t>CST-01-063</t>
        </is>
      </c>
      <c r="C167" s="34" t="inlineStr">
        <is>
          <t>Guideway and Civil - concrete structures - closeout</t>
        </is>
      </c>
      <c r="D167" s="34" t="inlineStr">
        <is>
          <t>Cost Account = CA-1063; WBS Code = 1.1.1</t>
        </is>
      </c>
      <c r="E167" s="34" t="inlineStr">
        <is>
          <t>R1145-v1</t>
        </is>
      </c>
      <c r="F167" s="34" t="inlineStr">
        <is>
          <t>1.1.1 Guideway and Civil - Guideway Structures</t>
        </is>
      </c>
      <c r="G167" s="34" t="inlineStr">
        <is>
          <t>ONE_TO_ONE</t>
        </is>
      </c>
      <c r="H167" s="34" t="inlineStr">
        <is>
          <t>APPROVED</t>
        </is>
      </c>
      <c r="I167" s="34" t="inlineStr">
        <is>
          <t>New</t>
        </is>
      </c>
      <c r="J167" s="34" t="inlineStr">
        <is>
          <t>Source assignment -- not individually reviewed</t>
        </is>
      </c>
      <c r="K167" s="39" t="inlineStr"/>
      <c r="L167" s="14" t="inlineStr"/>
      <c r="M167" s="14" t="inlineStr"/>
      <c r="N167" s="92" t="inlineStr">
        <is>
          <t>10 EVIDENCE &amp; DECISIONS</t>
        </is>
      </c>
    </row>
    <row r="168" ht="34" customHeight="1">
      <c r="A168" s="34" t="inlineStr">
        <is>
          <t>Cost &amp; Forecast Control Accounts</t>
        </is>
      </c>
      <c r="B168" s="34" t="inlineStr">
        <is>
          <t>CST-01-065</t>
        </is>
      </c>
      <c r="C168" s="34" t="inlineStr">
        <is>
          <t>Guideway and Civil - temporary works - supply and install</t>
        </is>
      </c>
      <c r="D168" s="34" t="inlineStr">
        <is>
          <t>Cost Account = CA-1065; WBS Code = 1.1.1</t>
        </is>
      </c>
      <c r="E168" s="34" t="inlineStr">
        <is>
          <t>R1147-v1</t>
        </is>
      </c>
      <c r="F168" s="34" t="inlineStr">
        <is>
          <t>1.1.1 Guideway and Civil - Guideway Structures</t>
        </is>
      </c>
      <c r="G168" s="34" t="inlineStr">
        <is>
          <t>ONE_TO_ONE</t>
        </is>
      </c>
      <c r="H168" s="34" t="inlineStr">
        <is>
          <t>APPROVED</t>
        </is>
      </c>
      <c r="I168" s="34" t="inlineStr">
        <is>
          <t>New</t>
        </is>
      </c>
      <c r="J168" s="34" t="inlineStr">
        <is>
          <t>Source assignment -- not individually reviewed</t>
        </is>
      </c>
      <c r="K168" s="39" t="inlineStr"/>
      <c r="L168" s="14" t="inlineStr"/>
      <c r="M168" s="14" t="inlineStr"/>
      <c r="N168" s="92" t="inlineStr">
        <is>
          <t>10 EVIDENCE &amp; DECISIONS</t>
        </is>
      </c>
    </row>
    <row r="169" ht="34" customHeight="1">
      <c r="A169" s="34" t="inlineStr">
        <is>
          <t>Cost &amp; Forecast Control Accounts</t>
        </is>
      </c>
      <c r="B169" s="34" t="inlineStr">
        <is>
          <t>CST-01-067</t>
        </is>
      </c>
      <c r="C169" s="34" t="inlineStr">
        <is>
          <t>Guideway and Civil - roadworks - allowance</t>
        </is>
      </c>
      <c r="D169" s="34" t="inlineStr">
        <is>
          <t>Cost Account = CA-1067; WBS Code = 1.1.1</t>
        </is>
      </c>
      <c r="E169" s="34" t="inlineStr">
        <is>
          <t>R1149-v1</t>
        </is>
      </c>
      <c r="F169" s="34" t="inlineStr">
        <is>
          <t>1.1.1 Guideway and Civil - Guideway Structures</t>
        </is>
      </c>
      <c r="G169" s="34" t="inlineStr">
        <is>
          <t>ONE_TO_ONE</t>
        </is>
      </c>
      <c r="H169" s="34" t="inlineStr">
        <is>
          <t>APPROVED</t>
        </is>
      </c>
      <c r="I169" s="34" t="inlineStr">
        <is>
          <t>New</t>
        </is>
      </c>
      <c r="J169" s="34" t="inlineStr">
        <is>
          <t>Source assignment -- not individually reviewed</t>
        </is>
      </c>
      <c r="K169" s="39" t="inlineStr"/>
      <c r="L169" s="14" t="inlineStr"/>
      <c r="M169" s="14" t="inlineStr"/>
      <c r="N169" s="92" t="inlineStr">
        <is>
          <t>10 EVIDENCE &amp; DECISIONS</t>
        </is>
      </c>
    </row>
    <row r="170" ht="34" customHeight="1">
      <c r="A170" s="34" t="inlineStr">
        <is>
          <t>Cost &amp; Forecast Control Accounts</t>
        </is>
      </c>
      <c r="B170" s="34" t="inlineStr">
        <is>
          <t>CST-01-069</t>
        </is>
      </c>
      <c r="C170" s="34" t="inlineStr">
        <is>
          <t>Guideway and Civil - concrete structures - field package</t>
        </is>
      </c>
      <c r="D170" s="34" t="inlineStr">
        <is>
          <t>Cost Account = CA-1069; WBS Code = 1.1.1</t>
        </is>
      </c>
      <c r="E170" s="34" t="inlineStr">
        <is>
          <t>R1151-v1</t>
        </is>
      </c>
      <c r="F170" s="34" t="inlineStr">
        <is>
          <t>1.1.1 Guideway and Civil - Guideway Structures</t>
        </is>
      </c>
      <c r="G170" s="34" t="inlineStr">
        <is>
          <t>ONE_TO_ONE</t>
        </is>
      </c>
      <c r="H170" s="34" t="inlineStr">
        <is>
          <t>APPROVED</t>
        </is>
      </c>
      <c r="I170" s="34" t="inlineStr">
        <is>
          <t>New</t>
        </is>
      </c>
      <c r="J170" s="34" t="inlineStr">
        <is>
          <t>Source assignment -- not individually reviewed</t>
        </is>
      </c>
      <c r="K170" s="39" t="inlineStr"/>
      <c r="L170" s="14" t="inlineStr"/>
      <c r="M170" s="14" t="inlineStr"/>
      <c r="N170" s="92" t="inlineStr">
        <is>
          <t>10 EVIDENCE &amp; DECISIONS</t>
        </is>
      </c>
    </row>
    <row r="171" ht="34" customHeight="1">
      <c r="A171" s="34" t="inlineStr">
        <is>
          <t>Cost &amp; Forecast Control Accounts</t>
        </is>
      </c>
      <c r="B171" s="34" t="inlineStr">
        <is>
          <t>CST-01-071</t>
        </is>
      </c>
      <c r="C171" s="34" t="inlineStr">
        <is>
          <t>Guideway and Civil - temporary works - professional services</t>
        </is>
      </c>
      <c r="D171" s="34" t="inlineStr">
        <is>
          <t>Cost Account = CA-1071; WBS Code = 1.1.1</t>
        </is>
      </c>
      <c r="E171" s="34" t="inlineStr">
        <is>
          <t>R1153-v1</t>
        </is>
      </c>
      <c r="F171" s="34" t="inlineStr">
        <is>
          <t>1.1.1 Guideway and Civil - Guideway Structures</t>
        </is>
      </c>
      <c r="G171" s="34" t="inlineStr">
        <is>
          <t>ONE_TO_ONE</t>
        </is>
      </c>
      <c r="H171" s="34" t="inlineStr">
        <is>
          <t>APPROVED</t>
        </is>
      </c>
      <c r="I171" s="34" t="inlineStr">
        <is>
          <t>New</t>
        </is>
      </c>
      <c r="J171" s="34" t="inlineStr">
        <is>
          <t>Source assignment -- not individually reviewed</t>
        </is>
      </c>
      <c r="K171" s="39" t="inlineStr"/>
      <c r="L171" s="14" t="inlineStr"/>
      <c r="M171" s="14" t="inlineStr"/>
      <c r="N171" s="92" t="inlineStr">
        <is>
          <t>10 EVIDENCE &amp; DECISIONS</t>
        </is>
      </c>
    </row>
    <row r="172" ht="34" customHeight="1">
      <c r="A172" s="34" t="inlineStr">
        <is>
          <t>Cost &amp; Forecast Control Accounts</t>
        </is>
      </c>
      <c r="B172" s="34" t="inlineStr">
        <is>
          <t>CST-01-073</t>
        </is>
      </c>
      <c r="C172" s="34" t="inlineStr">
        <is>
          <t>Guideway and Civil - roadworks - closeout</t>
        </is>
      </c>
      <c r="D172" s="34" t="inlineStr">
        <is>
          <t>Cost Account = CA-1073; WBS Code = 1.1.1</t>
        </is>
      </c>
      <c r="E172" s="34" t="inlineStr">
        <is>
          <t>R1155-v1</t>
        </is>
      </c>
      <c r="F172" s="34" t="inlineStr">
        <is>
          <t>1.1.1 Guideway and Civil - Guideway Structures</t>
        </is>
      </c>
      <c r="G172" s="34" t="inlineStr">
        <is>
          <t>ONE_TO_ONE</t>
        </is>
      </c>
      <c r="H172" s="34" t="inlineStr">
        <is>
          <t>APPROVED</t>
        </is>
      </c>
      <c r="I172" s="34" t="inlineStr">
        <is>
          <t>New</t>
        </is>
      </c>
      <c r="J172" s="34" t="inlineStr">
        <is>
          <t>Source assignment -- not individually reviewed</t>
        </is>
      </c>
      <c r="K172" s="39" t="inlineStr"/>
      <c r="L172" s="14" t="inlineStr"/>
      <c r="M172" s="14" t="inlineStr"/>
      <c r="N172" s="92" t="inlineStr">
        <is>
          <t>10 EVIDENCE &amp; DECISIONS</t>
        </is>
      </c>
    </row>
    <row r="173" ht="34" customHeight="1">
      <c r="A173" s="34" t="inlineStr">
        <is>
          <t>Cost &amp; Forecast Control Accounts</t>
        </is>
      </c>
      <c r="B173" s="34" t="inlineStr">
        <is>
          <t>CST-01-075</t>
        </is>
      </c>
      <c r="C173" s="34" t="inlineStr">
        <is>
          <t>Guideway and Civil - concrete structures - supply and install</t>
        </is>
      </c>
      <c r="D173" s="34" t="inlineStr">
        <is>
          <t>Cost Account = CA-1075; WBS Code = 1.1.1</t>
        </is>
      </c>
      <c r="E173" s="34" t="inlineStr">
        <is>
          <t>R1157-v1</t>
        </is>
      </c>
      <c r="F173" s="34" t="inlineStr">
        <is>
          <t>1.1.1 Guideway and Civil - Guideway Structures</t>
        </is>
      </c>
      <c r="G173" s="34" t="inlineStr">
        <is>
          <t>ONE_TO_ONE</t>
        </is>
      </c>
      <c r="H173" s="34" t="inlineStr">
        <is>
          <t>APPROVED</t>
        </is>
      </c>
      <c r="I173" s="34" t="inlineStr">
        <is>
          <t>New</t>
        </is>
      </c>
      <c r="J173" s="34" t="inlineStr">
        <is>
          <t>Source assignment -- not individually reviewed</t>
        </is>
      </c>
      <c r="K173" s="39" t="inlineStr"/>
      <c r="L173" s="14" t="inlineStr"/>
      <c r="M173" s="14" t="inlineStr"/>
      <c r="N173" s="92" t="inlineStr">
        <is>
          <t>10 EVIDENCE &amp; DECISIONS</t>
        </is>
      </c>
    </row>
    <row r="174" ht="34" customHeight="1">
      <c r="A174" s="34" t="inlineStr">
        <is>
          <t>Cost &amp; Forecast Control Accounts</t>
        </is>
      </c>
      <c r="B174" s="34" t="inlineStr">
        <is>
          <t>CST-01-077</t>
        </is>
      </c>
      <c r="C174" s="34" t="inlineStr">
        <is>
          <t>Guideway and Civil - temporary works - allowance</t>
        </is>
      </c>
      <c r="D174" s="34" t="inlineStr">
        <is>
          <t>Cost Account = CA-1077; WBS Code = 1.1.1</t>
        </is>
      </c>
      <c r="E174" s="34" t="inlineStr">
        <is>
          <t>R1159-v1</t>
        </is>
      </c>
      <c r="F174" s="34" t="inlineStr">
        <is>
          <t>1.1.1 Guideway and Civil - Guideway Structures</t>
        </is>
      </c>
      <c r="G174" s="34" t="inlineStr">
        <is>
          <t>ONE_TO_ONE</t>
        </is>
      </c>
      <c r="H174" s="34" t="inlineStr">
        <is>
          <t>APPROVED</t>
        </is>
      </c>
      <c r="I174" s="34" t="inlineStr">
        <is>
          <t>New</t>
        </is>
      </c>
      <c r="J174" s="34" t="inlineStr">
        <is>
          <t>Source assignment -- not individually reviewed</t>
        </is>
      </c>
      <c r="K174" s="39" t="inlineStr"/>
      <c r="L174" s="14" t="inlineStr"/>
      <c r="M174" s="14" t="inlineStr"/>
      <c r="N174" s="92" t="inlineStr">
        <is>
          <t>10 EVIDENCE &amp; DECISIONS</t>
        </is>
      </c>
    </row>
    <row r="175" ht="34" customHeight="1">
      <c r="A175" s="34" t="inlineStr">
        <is>
          <t>Cost &amp; Forecast Control Accounts</t>
        </is>
      </c>
      <c r="B175" s="34" t="inlineStr">
        <is>
          <t>CST-01-079</t>
        </is>
      </c>
      <c r="C175" s="34" t="inlineStr">
        <is>
          <t>Guideway and Civil - roadworks - field package</t>
        </is>
      </c>
      <c r="D175" s="34" t="inlineStr">
        <is>
          <t>Cost Account = CA-1079; WBS Code = 1.1.1</t>
        </is>
      </c>
      <c r="E175" s="34" t="inlineStr">
        <is>
          <t>R1161-v1</t>
        </is>
      </c>
      <c r="F175" s="34" t="inlineStr">
        <is>
          <t>1.1.1 Guideway and Civil - Guideway Structures</t>
        </is>
      </c>
      <c r="G175" s="34" t="inlineStr">
        <is>
          <t>ONE_TO_ONE</t>
        </is>
      </c>
      <c r="H175" s="34" t="inlineStr">
        <is>
          <t>APPROVED</t>
        </is>
      </c>
      <c r="I175" s="34" t="inlineStr">
        <is>
          <t>New</t>
        </is>
      </c>
      <c r="J175" s="34" t="inlineStr">
        <is>
          <t>Source assignment -- not individually reviewed</t>
        </is>
      </c>
      <c r="K175" s="39" t="inlineStr"/>
      <c r="L175" s="14" t="inlineStr"/>
      <c r="M175" s="14" t="inlineStr"/>
      <c r="N175" s="92" t="inlineStr">
        <is>
          <t>10 EVIDENCE &amp; DECISIONS</t>
        </is>
      </c>
    </row>
    <row r="176" ht="34" customHeight="1">
      <c r="A176" s="34" t="inlineStr">
        <is>
          <t>Contractor Programme</t>
        </is>
      </c>
      <c r="B176" s="34" t="inlineStr">
        <is>
          <t>SCH-01-003</t>
        </is>
      </c>
      <c r="C176" s="34" t="inlineStr">
        <is>
          <t>Interface works near guideway and civil boundary</t>
        </is>
      </c>
      <c r="D176" s="34" t="inlineStr">
        <is>
          <t>WBS Code = 1.1.2</t>
        </is>
      </c>
      <c r="E176" s="34" t="inlineStr">
        <is>
          <t>R3-v1</t>
        </is>
      </c>
      <c r="F176" s="34" t="inlineStr">
        <is>
          <t>1.1.2 Guideway and Civil - Utility &amp; Roadworks</t>
        </is>
      </c>
      <c r="G176" s="34" t="inlineStr">
        <is>
          <t>ONE_TO_ONE</t>
        </is>
      </c>
      <c r="H176" s="34" t="inlineStr">
        <is>
          <t>APPROVED</t>
        </is>
      </c>
      <c r="I176" s="34" t="inlineStr">
        <is>
          <t>New</t>
        </is>
      </c>
      <c r="J176" s="34" t="inlineStr">
        <is>
          <t>Source assignment -- not individually reviewed</t>
        </is>
      </c>
      <c r="K176" s="39" t="inlineStr"/>
      <c r="L176" s="14" t="inlineStr"/>
      <c r="M176" s="14" t="inlineStr"/>
      <c r="N176" s="92" t="inlineStr">
        <is>
          <t>10 EVIDENCE &amp; DECISIONS</t>
        </is>
      </c>
    </row>
    <row r="177" ht="34" customHeight="1">
      <c r="A177" s="34" t="inlineStr">
        <is>
          <t>Contractor Programme</t>
        </is>
      </c>
      <c r="B177" s="34" t="inlineStr">
        <is>
          <t>SCH-01-006</t>
        </is>
      </c>
      <c r="C177" s="34" t="inlineStr">
        <is>
          <t>West approach: retaining-wall excavation - installation</t>
        </is>
      </c>
      <c r="D177" s="34" t="inlineStr">
        <is>
          <t>WBS Code = 1.1.2</t>
        </is>
      </c>
      <c r="E177" s="34" t="inlineStr">
        <is>
          <t>R6-v1</t>
        </is>
      </c>
      <c r="F177" s="34" t="inlineStr">
        <is>
          <t>1.1.2 Guideway and Civil - Utility &amp; Roadworks</t>
        </is>
      </c>
      <c r="G177" s="34" t="inlineStr">
        <is>
          <t>ONE_TO_ONE</t>
        </is>
      </c>
      <c r="H177" s="34" t="inlineStr">
        <is>
          <t>APPROVED</t>
        </is>
      </c>
      <c r="I177" s="34" t="inlineStr">
        <is>
          <t>New</t>
        </is>
      </c>
      <c r="J177" s="34" t="inlineStr">
        <is>
          <t>Source assignment -- not individually reviewed</t>
        </is>
      </c>
      <c r="K177" s="39" t="inlineStr"/>
      <c r="L177" s="14" t="inlineStr"/>
      <c r="M177" s="14" t="inlineStr"/>
      <c r="N177" s="92" t="inlineStr">
        <is>
          <t>10 EVIDENCE &amp; DECISIONS</t>
        </is>
      </c>
    </row>
    <row r="178" ht="34" customHeight="1">
      <c r="A178" s="34" t="inlineStr">
        <is>
          <t>Contractor Programme</t>
        </is>
      </c>
      <c r="B178" s="34" t="inlineStr">
        <is>
          <t>SCH-01-009</t>
        </is>
      </c>
      <c r="C178" s="34" t="inlineStr">
        <is>
          <t>River crossing: track-slab survey - release</t>
        </is>
      </c>
      <c r="D178" s="34" t="inlineStr">
        <is>
          <t>WBS Code = 1.1.2</t>
        </is>
      </c>
      <c r="E178" s="34" t="inlineStr">
        <is>
          <t>R9-v1</t>
        </is>
      </c>
      <c r="F178" s="34" t="inlineStr">
        <is>
          <t>1.1.2 Guideway and Civil - Utility &amp; Roadworks</t>
        </is>
      </c>
      <c r="G178" s="34" t="inlineStr">
        <is>
          <t>ONE_TO_ONE</t>
        </is>
      </c>
      <c r="H178" s="34" t="inlineStr">
        <is>
          <t>APPROVED</t>
        </is>
      </c>
      <c r="I178" s="34" t="inlineStr">
        <is>
          <t>New</t>
        </is>
      </c>
      <c r="J178" s="34" t="inlineStr">
        <is>
          <t>Source assignment -- not individually reviewed</t>
        </is>
      </c>
      <c r="K178" s="39" t="inlineStr"/>
      <c r="L178" s="14" t="inlineStr"/>
      <c r="M178" s="14" t="inlineStr"/>
      <c r="N178" s="92" t="inlineStr">
        <is>
          <t>10 EVIDENCE &amp; DECISIONS</t>
        </is>
      </c>
    </row>
    <row r="179" ht="34" customHeight="1">
      <c r="A179" s="34" t="inlineStr">
        <is>
          <t>Contractor Programme</t>
        </is>
      </c>
      <c r="B179" s="34" t="inlineStr">
        <is>
          <t>SCH-01-012</t>
        </is>
      </c>
      <c r="C179" s="34" t="inlineStr">
        <is>
          <t>Depot lead: road restoration - inspection</t>
        </is>
      </c>
      <c r="D179" s="34" t="inlineStr">
        <is>
          <t>WBS Code = 1.1.2</t>
        </is>
      </c>
      <c r="E179" s="34" t="inlineStr">
        <is>
          <t>R12-v1</t>
        </is>
      </c>
      <c r="F179" s="34" t="inlineStr">
        <is>
          <t>1.1.2 Guideway and Civil - Utility &amp; Roadworks</t>
        </is>
      </c>
      <c r="G179" s="34" t="inlineStr">
        <is>
          <t>ONE_TO_ONE</t>
        </is>
      </c>
      <c r="H179" s="34" t="inlineStr">
        <is>
          <t>APPROVED</t>
        </is>
      </c>
      <c r="I179" s="34" t="inlineStr">
        <is>
          <t>New</t>
        </is>
      </c>
      <c r="J179" s="34" t="inlineStr">
        <is>
          <t>Source assignment -- not individually reviewed</t>
        </is>
      </c>
      <c r="K179" s="39" t="inlineStr"/>
      <c r="L179" s="14" t="inlineStr"/>
      <c r="M179" s="14" t="inlineStr"/>
      <c r="N179" s="92" t="inlineStr">
        <is>
          <t>10 EVIDENCE &amp; DECISIONS</t>
        </is>
      </c>
    </row>
    <row r="180" ht="34" customHeight="1">
      <c r="A180" s="34" t="inlineStr">
        <is>
          <t>Contractor Programme</t>
        </is>
      </c>
      <c r="B180" s="34" t="inlineStr">
        <is>
          <t>SCH-01-015</t>
        </is>
      </c>
      <c r="C180" s="34" t="inlineStr">
        <is>
          <t>Central guideway: drainage tie-in - field start</t>
        </is>
      </c>
      <c r="D180" s="34" t="inlineStr">
        <is>
          <t>WBS Code = 1.1.2</t>
        </is>
      </c>
      <c r="E180" s="34" t="inlineStr">
        <is>
          <t>R15-v1</t>
        </is>
      </c>
      <c r="F180" s="34" t="inlineStr">
        <is>
          <t>1.1.2 Guideway and Civil - Utility &amp; Roadworks</t>
        </is>
      </c>
      <c r="G180" s="34" t="inlineStr">
        <is>
          <t>ONE_TO_ONE</t>
        </is>
      </c>
      <c r="H180" s="34" t="inlineStr">
        <is>
          <t>APPROVED</t>
        </is>
      </c>
      <c r="I180" s="34" t="inlineStr">
        <is>
          <t>New</t>
        </is>
      </c>
      <c r="J180" s="34" t="inlineStr">
        <is>
          <t>Source assignment -- not individually reviewed</t>
        </is>
      </c>
      <c r="K180" s="39" t="inlineStr"/>
      <c r="L180" s="14" t="inlineStr"/>
      <c r="M180" s="14" t="inlineStr"/>
      <c r="N180" s="92" t="inlineStr">
        <is>
          <t>10 EVIDENCE &amp; DECISIONS</t>
        </is>
      </c>
    </row>
    <row r="181" ht="34" customHeight="1">
      <c r="A181" s="34" t="inlineStr">
        <is>
          <t>Contractor Programme</t>
        </is>
      </c>
      <c r="B181" s="34" t="inlineStr">
        <is>
          <t>SCH-01-018</t>
        </is>
      </c>
      <c r="C181" s="34" t="inlineStr">
        <is>
          <t>East portal: temporary traffic staging - turnover</t>
        </is>
      </c>
      <c r="D181" s="34" t="inlineStr">
        <is>
          <t>WBS Code = 1.1.2</t>
        </is>
      </c>
      <c r="E181" s="34" t="inlineStr">
        <is>
          <t>R18-v1</t>
        </is>
      </c>
      <c r="F181" s="34" t="inlineStr">
        <is>
          <t>1.1.2 Guideway and Civil - Utility &amp; Roadworks</t>
        </is>
      </c>
      <c r="G181" s="34" t="inlineStr">
        <is>
          <t>ONE_TO_ONE</t>
        </is>
      </c>
      <c r="H181" s="34" t="inlineStr">
        <is>
          <t>APPROVED</t>
        </is>
      </c>
      <c r="I181" s="34" t="inlineStr">
        <is>
          <t>New</t>
        </is>
      </c>
      <c r="J181" s="34" t="inlineStr">
        <is>
          <t>Source assignment -- not individually reviewed</t>
        </is>
      </c>
      <c r="K181" s="39" t="inlineStr"/>
      <c r="L181" s="14" t="inlineStr"/>
      <c r="M181" s="14" t="inlineStr"/>
      <c r="N181" s="92" t="inlineStr">
        <is>
          <t>10 EVIDENCE &amp; DECISIONS</t>
        </is>
      </c>
    </row>
    <row r="182" ht="34" customHeight="1">
      <c r="A182" s="34" t="inlineStr">
        <is>
          <t>Contractor Programme</t>
        </is>
      </c>
      <c r="B182" s="34" t="inlineStr">
        <is>
          <t>SCH-01-021</t>
        </is>
      </c>
      <c r="C182" s="34" t="inlineStr">
        <is>
          <t>West approach: drilled-shaft installation - installation</t>
        </is>
      </c>
      <c r="D182" s="34" t="inlineStr">
        <is>
          <t>WBS Code = 1.1.2</t>
        </is>
      </c>
      <c r="E182" s="34" t="inlineStr">
        <is>
          <t>R21-v1</t>
        </is>
      </c>
      <c r="F182" s="34" t="inlineStr">
        <is>
          <t>1.1.2 Guideway and Civil - Utility &amp; Roadworks</t>
        </is>
      </c>
      <c r="G182" s="34" t="inlineStr">
        <is>
          <t>ONE_TO_ONE</t>
        </is>
      </c>
      <c r="H182" s="34" t="inlineStr">
        <is>
          <t>APPROVED</t>
        </is>
      </c>
      <c r="I182" s="34" t="inlineStr">
        <is>
          <t>New</t>
        </is>
      </c>
      <c r="J182" s="34" t="inlineStr">
        <is>
          <t>Source assignment -- not individually reviewed</t>
        </is>
      </c>
      <c r="K182" s="39" t="inlineStr"/>
      <c r="L182" s="14" t="inlineStr"/>
      <c r="M182" s="14" t="inlineStr"/>
      <c r="N182" s="92" t="inlineStr">
        <is>
          <t>10 EVIDENCE &amp; DECISIONS</t>
        </is>
      </c>
    </row>
    <row r="183" ht="34" customHeight="1">
      <c r="A183" s="34" t="inlineStr">
        <is>
          <t>Contractor Programme</t>
        </is>
      </c>
      <c r="B183" s="34" t="inlineStr">
        <is>
          <t>SCH-01-024</t>
        </is>
      </c>
      <c r="C183" s="34" t="inlineStr">
        <is>
          <t>River crossing: utility relocation - release</t>
        </is>
      </c>
      <c r="D183" s="34" t="inlineStr">
        <is>
          <t>WBS Code = 1.1.2</t>
        </is>
      </c>
      <c r="E183" s="34" t="inlineStr">
        <is>
          <t>R24-v1</t>
        </is>
      </c>
      <c r="F183" s="34" t="inlineStr">
        <is>
          <t>1.1.2 Guideway and Civil - Utility &amp; Roadworks</t>
        </is>
      </c>
      <c r="G183" s="34" t="inlineStr">
        <is>
          <t>ONE_TO_ONE</t>
        </is>
      </c>
      <c r="H183" s="34" t="inlineStr">
        <is>
          <t>APPROVED</t>
        </is>
      </c>
      <c r="I183" s="34" t="inlineStr">
        <is>
          <t>New</t>
        </is>
      </c>
      <c r="J183" s="34" t="inlineStr">
        <is>
          <t>Source assignment -- not individually reviewed</t>
        </is>
      </c>
      <c r="K183" s="39" t="inlineStr"/>
      <c r="L183" s="14" t="inlineStr"/>
      <c r="M183" s="14" t="inlineStr"/>
      <c r="N183" s="92" t="inlineStr">
        <is>
          <t>10 EVIDENCE &amp; DECISIONS</t>
        </is>
      </c>
    </row>
    <row r="184" ht="34" customHeight="1">
      <c r="A184" s="34" t="inlineStr">
        <is>
          <t>Contractor Programme</t>
        </is>
      </c>
      <c r="B184" s="34" t="inlineStr">
        <is>
          <t>SCH-01-027</t>
        </is>
      </c>
      <c r="C184" s="34" t="inlineStr">
        <is>
          <t>Depot lead: guideway pier reinforcement - inspection</t>
        </is>
      </c>
      <c r="D184" s="34" t="inlineStr">
        <is>
          <t>WBS Code = 1.1.2</t>
        </is>
      </c>
      <c r="E184" s="34" t="inlineStr">
        <is>
          <t>R27-v1</t>
        </is>
      </c>
      <c r="F184" s="34" t="inlineStr">
        <is>
          <t>1.1.2 Guideway and Civil - Utility &amp; Roadworks</t>
        </is>
      </c>
      <c r="G184" s="34" t="inlineStr">
        <is>
          <t>ONE_TO_ONE</t>
        </is>
      </c>
      <c r="H184" s="34" t="inlineStr">
        <is>
          <t>APPROVED</t>
        </is>
      </c>
      <c r="I184" s="34" t="inlineStr">
        <is>
          <t>New</t>
        </is>
      </c>
      <c r="J184" s="34" t="inlineStr">
        <is>
          <t>Source assignment -- not individually reviewed</t>
        </is>
      </c>
      <c r="K184" s="39" t="inlineStr"/>
      <c r="L184" s="14" t="inlineStr"/>
      <c r="M184" s="14" t="inlineStr"/>
      <c r="N184" s="92" t="inlineStr">
        <is>
          <t>10 EVIDENCE &amp; DECISIONS</t>
        </is>
      </c>
    </row>
    <row r="185" ht="34" customHeight="1">
      <c r="A185" s="34" t="inlineStr">
        <is>
          <t>Contractor Programme</t>
        </is>
      </c>
      <c r="B185" s="34" t="inlineStr">
        <is>
          <t>SCH-01-030</t>
        </is>
      </c>
      <c r="C185" s="34" t="inlineStr">
        <is>
          <t>Central guideway: retaining-wall excavation - field start</t>
        </is>
      </c>
      <c r="D185" s="34" t="inlineStr">
        <is>
          <t>WBS Code = 1.1.2</t>
        </is>
      </c>
      <c r="E185" s="34" t="inlineStr">
        <is>
          <t>R30-v1</t>
        </is>
      </c>
      <c r="F185" s="34" t="inlineStr">
        <is>
          <t>1.1.2 Guideway and Civil - Utility &amp; Roadworks</t>
        </is>
      </c>
      <c r="G185" s="34" t="inlineStr">
        <is>
          <t>ONE_TO_ONE</t>
        </is>
      </c>
      <c r="H185" s="34" t="inlineStr">
        <is>
          <t>APPROVED</t>
        </is>
      </c>
      <c r="I185" s="34" t="inlineStr">
        <is>
          <t>New</t>
        </is>
      </c>
      <c r="J185" s="34" t="inlineStr">
        <is>
          <t>Source assignment -- not individually reviewed</t>
        </is>
      </c>
      <c r="K185" s="39" t="inlineStr"/>
      <c r="L185" s="14" t="inlineStr"/>
      <c r="M185" s="14" t="inlineStr"/>
      <c r="N185" s="92" t="inlineStr">
        <is>
          <t>10 EVIDENCE &amp; DECISIONS</t>
        </is>
      </c>
    </row>
    <row r="186" ht="34" customHeight="1">
      <c r="A186" s="34" t="inlineStr">
        <is>
          <t>Contractor Programme</t>
        </is>
      </c>
      <c r="B186" s="34" t="inlineStr">
        <is>
          <t>SCH-01-033</t>
        </is>
      </c>
      <c r="C186" s="34" t="inlineStr">
        <is>
          <t>East portal: track-slab survey - turnover</t>
        </is>
      </c>
      <c r="D186" s="34" t="inlineStr">
        <is>
          <t>WBS Code = 1.1.2</t>
        </is>
      </c>
      <c r="E186" s="34" t="inlineStr">
        <is>
          <t>R33-v1</t>
        </is>
      </c>
      <c r="F186" s="34" t="inlineStr">
        <is>
          <t>1.1.2 Guideway and Civil - Utility &amp; Roadworks</t>
        </is>
      </c>
      <c r="G186" s="34" t="inlineStr">
        <is>
          <t>ONE_TO_ONE</t>
        </is>
      </c>
      <c r="H186" s="34" t="inlineStr">
        <is>
          <t>APPROVED</t>
        </is>
      </c>
      <c r="I186" s="34" t="inlineStr">
        <is>
          <t>New</t>
        </is>
      </c>
      <c r="J186" s="34" t="inlineStr">
        <is>
          <t>Source assignment -- not individually reviewed</t>
        </is>
      </c>
      <c r="K186" s="39" t="inlineStr"/>
      <c r="L186" s="14" t="inlineStr"/>
      <c r="M186" s="14" t="inlineStr"/>
      <c r="N186" s="92" t="inlineStr">
        <is>
          <t>10 EVIDENCE &amp; DECISIONS</t>
        </is>
      </c>
    </row>
    <row r="187" ht="34" customHeight="1">
      <c r="A187" s="34" t="inlineStr">
        <is>
          <t>Contractor Programme</t>
        </is>
      </c>
      <c r="B187" s="34" t="inlineStr">
        <is>
          <t>SCH-01-036</t>
        </is>
      </c>
      <c r="C187" s="34" t="inlineStr">
        <is>
          <t>West approach: road restoration - installation</t>
        </is>
      </c>
      <c r="D187" s="34" t="inlineStr">
        <is>
          <t>WBS Code = 1.1.2</t>
        </is>
      </c>
      <c r="E187" s="34" t="inlineStr">
        <is>
          <t>R36-v1</t>
        </is>
      </c>
      <c r="F187" s="34" t="inlineStr">
        <is>
          <t>1.1.2 Guideway and Civil - Utility &amp; Roadworks</t>
        </is>
      </c>
      <c r="G187" s="34" t="inlineStr">
        <is>
          <t>ONE_TO_ONE</t>
        </is>
      </c>
      <c r="H187" s="34" t="inlineStr">
        <is>
          <t>APPROVED</t>
        </is>
      </c>
      <c r="I187" s="34" t="inlineStr">
        <is>
          <t>New</t>
        </is>
      </c>
      <c r="J187" s="34" t="inlineStr">
        <is>
          <t>Source assignment -- not individually reviewed</t>
        </is>
      </c>
      <c r="K187" s="39" t="inlineStr"/>
      <c r="L187" s="14" t="inlineStr"/>
      <c r="M187" s="14" t="inlineStr"/>
      <c r="N187" s="92" t="inlineStr">
        <is>
          <t>10 EVIDENCE &amp; DECISIONS</t>
        </is>
      </c>
    </row>
    <row r="188" ht="34" customHeight="1">
      <c r="A188" s="34" t="inlineStr">
        <is>
          <t>Contractor Programme</t>
        </is>
      </c>
      <c r="B188" s="34" t="inlineStr">
        <is>
          <t>SCH-01-039</t>
        </is>
      </c>
      <c r="C188" s="34" t="inlineStr">
        <is>
          <t>River crossing: drainage tie-in - release</t>
        </is>
      </c>
      <c r="D188" s="34" t="inlineStr">
        <is>
          <t>WBS Code = 1.1.2</t>
        </is>
      </c>
      <c r="E188" s="34" t="inlineStr">
        <is>
          <t>R39-v1</t>
        </is>
      </c>
      <c r="F188" s="34" t="inlineStr">
        <is>
          <t>1.1.2 Guideway and Civil - Utility &amp; Roadworks</t>
        </is>
      </c>
      <c r="G188" s="34" t="inlineStr">
        <is>
          <t>ONE_TO_ONE</t>
        </is>
      </c>
      <c r="H188" s="34" t="inlineStr">
        <is>
          <t>APPROVED</t>
        </is>
      </c>
      <c r="I188" s="34" t="inlineStr">
        <is>
          <t>New</t>
        </is>
      </c>
      <c r="J188" s="34" t="inlineStr">
        <is>
          <t>Source assignment -- not individually reviewed</t>
        </is>
      </c>
      <c r="K188" s="39" t="inlineStr"/>
      <c r="L188" s="14" t="inlineStr"/>
      <c r="M188" s="14" t="inlineStr"/>
      <c r="N188" s="92" t="inlineStr">
        <is>
          <t>10 EVIDENCE &amp; DECISIONS</t>
        </is>
      </c>
    </row>
    <row r="189" ht="34" customHeight="1">
      <c r="A189" s="34" t="inlineStr">
        <is>
          <t>Contractor Programme</t>
        </is>
      </c>
      <c r="B189" s="34" t="inlineStr">
        <is>
          <t>SCH-01-042</t>
        </is>
      </c>
      <c r="C189" s="34" t="inlineStr">
        <is>
          <t>Depot lead: temporary traffic staging - inspection</t>
        </is>
      </c>
      <c r="D189" s="34" t="inlineStr">
        <is>
          <t>WBS Code = 1.1.2</t>
        </is>
      </c>
      <c r="E189" s="34" t="inlineStr">
        <is>
          <t>R42-v1</t>
        </is>
      </c>
      <c r="F189" s="34" t="inlineStr">
        <is>
          <t>1.1.2 Guideway and Civil - Utility &amp; Roadworks</t>
        </is>
      </c>
      <c r="G189" s="34" t="inlineStr">
        <is>
          <t>ONE_TO_ONE</t>
        </is>
      </c>
      <c r="H189" s="34" t="inlineStr">
        <is>
          <t>APPROVED</t>
        </is>
      </c>
      <c r="I189" s="34" t="inlineStr">
        <is>
          <t>New</t>
        </is>
      </c>
      <c r="J189" s="34" t="inlineStr">
        <is>
          <t>Source assignment -- not individually reviewed</t>
        </is>
      </c>
      <c r="K189" s="39" t="inlineStr"/>
      <c r="L189" s="14" t="inlineStr"/>
      <c r="M189" s="14" t="inlineStr"/>
      <c r="N189" s="92" t="inlineStr">
        <is>
          <t>10 EVIDENCE &amp; DECISIONS</t>
        </is>
      </c>
    </row>
    <row r="190" ht="34" customHeight="1">
      <c r="A190" s="34" t="inlineStr">
        <is>
          <t>Contractor Programme</t>
        </is>
      </c>
      <c r="B190" s="34" t="inlineStr">
        <is>
          <t>SCH-01-045</t>
        </is>
      </c>
      <c r="C190" s="34" t="inlineStr">
        <is>
          <t>Central guideway: drilled-shaft installation - field start</t>
        </is>
      </c>
      <c r="D190" s="34" t="inlineStr">
        <is>
          <t>WBS Code = 1.1.2</t>
        </is>
      </c>
      <c r="E190" s="34" t="inlineStr">
        <is>
          <t>R45-v1</t>
        </is>
      </c>
      <c r="F190" s="34" t="inlineStr">
        <is>
          <t>1.1.2 Guideway and Civil - Utility &amp; Roadworks</t>
        </is>
      </c>
      <c r="G190" s="34" t="inlineStr">
        <is>
          <t>ONE_TO_ONE</t>
        </is>
      </c>
      <c r="H190" s="34" t="inlineStr">
        <is>
          <t>APPROVED</t>
        </is>
      </c>
      <c r="I190" s="34" t="inlineStr">
        <is>
          <t>New</t>
        </is>
      </c>
      <c r="J190" s="34" t="inlineStr">
        <is>
          <t>Source assignment -- not individually reviewed</t>
        </is>
      </c>
      <c r="K190" s="39" t="inlineStr"/>
      <c r="L190" s="14" t="inlineStr"/>
      <c r="M190" s="14" t="inlineStr"/>
      <c r="N190" s="92" t="inlineStr">
        <is>
          <t>10 EVIDENCE &amp; DECISIONS</t>
        </is>
      </c>
    </row>
    <row r="191" ht="34" customHeight="1">
      <c r="A191" s="34" t="inlineStr">
        <is>
          <t>Contractor Programme</t>
        </is>
      </c>
      <c r="B191" s="34" t="inlineStr">
        <is>
          <t>SCH-01-048</t>
        </is>
      </c>
      <c r="C191" s="34" t="inlineStr">
        <is>
          <t>East portal: utility relocation - turnover</t>
        </is>
      </c>
      <c r="D191" s="34" t="inlineStr">
        <is>
          <t>WBS Code = 1.1.2</t>
        </is>
      </c>
      <c r="E191" s="34" t="inlineStr">
        <is>
          <t>R48-v1</t>
        </is>
      </c>
      <c r="F191" s="34" t="inlineStr">
        <is>
          <t>1.1.2 Guideway and Civil - Utility &amp; Roadworks</t>
        </is>
      </c>
      <c r="G191" s="34" t="inlineStr">
        <is>
          <t>ONE_TO_ONE</t>
        </is>
      </c>
      <c r="H191" s="34" t="inlineStr">
        <is>
          <t>APPROVED</t>
        </is>
      </c>
      <c r="I191" s="34" t="inlineStr">
        <is>
          <t>New</t>
        </is>
      </c>
      <c r="J191" s="34" t="inlineStr">
        <is>
          <t>Source assignment -- not individually reviewed</t>
        </is>
      </c>
      <c r="K191" s="39" t="inlineStr"/>
      <c r="L191" s="14" t="inlineStr"/>
      <c r="M191" s="14" t="inlineStr"/>
      <c r="N191" s="92" t="inlineStr">
        <is>
          <t>10 EVIDENCE &amp; DECISIONS</t>
        </is>
      </c>
    </row>
    <row r="192" ht="34" customHeight="1">
      <c r="A192" s="34" t="inlineStr">
        <is>
          <t>Contractor Programme</t>
        </is>
      </c>
      <c r="B192" s="34" t="inlineStr">
        <is>
          <t>SCH-01-051</t>
        </is>
      </c>
      <c r="C192" s="34" t="inlineStr">
        <is>
          <t>West approach: guideway pier reinforcement - installation</t>
        </is>
      </c>
      <c r="D192" s="34" t="inlineStr">
        <is>
          <t>WBS Code = 1.1.2</t>
        </is>
      </c>
      <c r="E192" s="34" t="inlineStr">
        <is>
          <t>R51-v1</t>
        </is>
      </c>
      <c r="F192" s="34" t="inlineStr">
        <is>
          <t>1.1.2 Guideway and Civil - Utility &amp; Roadworks</t>
        </is>
      </c>
      <c r="G192" s="34" t="inlineStr">
        <is>
          <t>ONE_TO_ONE</t>
        </is>
      </c>
      <c r="H192" s="34" t="inlineStr">
        <is>
          <t>APPROVED</t>
        </is>
      </c>
      <c r="I192" s="34" t="inlineStr">
        <is>
          <t>New</t>
        </is>
      </c>
      <c r="J192" s="34" t="inlineStr">
        <is>
          <t>Source assignment -- not individually reviewed</t>
        </is>
      </c>
      <c r="K192" s="39" t="inlineStr"/>
      <c r="L192" s="14" t="inlineStr"/>
      <c r="M192" s="14" t="inlineStr"/>
      <c r="N192" s="92" t="inlineStr">
        <is>
          <t>10 EVIDENCE &amp; DECISIONS</t>
        </is>
      </c>
    </row>
    <row r="193" ht="34" customHeight="1">
      <c r="A193" s="34" t="inlineStr">
        <is>
          <t>Contractor Programme</t>
        </is>
      </c>
      <c r="B193" s="34" t="inlineStr">
        <is>
          <t>SCH-01-054</t>
        </is>
      </c>
      <c r="C193" s="34" t="inlineStr">
        <is>
          <t>River crossing: retaining-wall excavation - release</t>
        </is>
      </c>
      <c r="D193" s="34" t="inlineStr">
        <is>
          <t>WBS Code = 1.1.2</t>
        </is>
      </c>
      <c r="E193" s="34" t="inlineStr">
        <is>
          <t>R54-v1</t>
        </is>
      </c>
      <c r="F193" s="34" t="inlineStr">
        <is>
          <t>1.1.2 Guideway and Civil - Utility &amp; Roadworks</t>
        </is>
      </c>
      <c r="G193" s="34" t="inlineStr">
        <is>
          <t>ONE_TO_ONE</t>
        </is>
      </c>
      <c r="H193" s="34" t="inlineStr">
        <is>
          <t>APPROVED</t>
        </is>
      </c>
      <c r="I193" s="34" t="inlineStr">
        <is>
          <t>New</t>
        </is>
      </c>
      <c r="J193" s="34" t="inlineStr">
        <is>
          <t>Source assignment -- not individually reviewed</t>
        </is>
      </c>
      <c r="K193" s="39" t="inlineStr"/>
      <c r="L193" s="14" t="inlineStr"/>
      <c r="M193" s="14" t="inlineStr"/>
      <c r="N193" s="92" t="inlineStr">
        <is>
          <t>10 EVIDENCE &amp; DECISIONS</t>
        </is>
      </c>
    </row>
    <row r="194" ht="34" customHeight="1">
      <c r="A194" s="34" t="inlineStr">
        <is>
          <t>Contractor Programme</t>
        </is>
      </c>
      <c r="B194" s="34" t="inlineStr">
        <is>
          <t>SCH-01-057</t>
        </is>
      </c>
      <c r="C194" s="34" t="inlineStr">
        <is>
          <t>Depot lead: track-slab survey - inspection</t>
        </is>
      </c>
      <c r="D194" s="34" t="inlineStr">
        <is>
          <t>WBS Code = 1.1.2</t>
        </is>
      </c>
      <c r="E194" s="34" t="inlineStr">
        <is>
          <t>R57-v1</t>
        </is>
      </c>
      <c r="F194" s="34" t="inlineStr">
        <is>
          <t>1.1.2 Guideway and Civil - Utility &amp; Roadworks</t>
        </is>
      </c>
      <c r="G194" s="34" t="inlineStr">
        <is>
          <t>ONE_TO_ONE</t>
        </is>
      </c>
      <c r="H194" s="34" t="inlineStr">
        <is>
          <t>APPROVED</t>
        </is>
      </c>
      <c r="I194" s="34" t="inlineStr">
        <is>
          <t>New</t>
        </is>
      </c>
      <c r="J194" s="34" t="inlineStr">
        <is>
          <t>Source assignment -- not individually reviewed</t>
        </is>
      </c>
      <c r="K194" s="39" t="inlineStr"/>
      <c r="L194" s="14" t="inlineStr"/>
      <c r="M194" s="14" t="inlineStr"/>
      <c r="N194" s="92" t="inlineStr">
        <is>
          <t>10 EVIDENCE &amp; DECISIONS</t>
        </is>
      </c>
    </row>
    <row r="195" ht="34" customHeight="1">
      <c r="A195" s="34" t="inlineStr">
        <is>
          <t>Contractor Programme</t>
        </is>
      </c>
      <c r="B195" s="34" t="inlineStr">
        <is>
          <t>SCH-01-060</t>
        </is>
      </c>
      <c r="C195" s="34" t="inlineStr">
        <is>
          <t>Central guideway: road restoration - field start</t>
        </is>
      </c>
      <c r="D195" s="34" t="inlineStr">
        <is>
          <t>WBS Code = 1.1.2</t>
        </is>
      </c>
      <c r="E195" s="34" t="inlineStr">
        <is>
          <t>R60-v1</t>
        </is>
      </c>
      <c r="F195" s="34" t="inlineStr">
        <is>
          <t>1.1.2 Guideway and Civil - Utility &amp; Roadworks</t>
        </is>
      </c>
      <c r="G195" s="34" t="inlineStr">
        <is>
          <t>ONE_TO_ONE</t>
        </is>
      </c>
      <c r="H195" s="34" t="inlineStr">
        <is>
          <t>APPROVED</t>
        </is>
      </c>
      <c r="I195" s="34" t="inlineStr">
        <is>
          <t>New</t>
        </is>
      </c>
      <c r="J195" s="34" t="inlineStr">
        <is>
          <t>Source assignment -- not individually reviewed</t>
        </is>
      </c>
      <c r="K195" s="39" t="inlineStr"/>
      <c r="L195" s="14" t="inlineStr"/>
      <c r="M195" s="14" t="inlineStr"/>
      <c r="N195" s="92" t="inlineStr">
        <is>
          <t>10 EVIDENCE &amp; DECISIONS</t>
        </is>
      </c>
    </row>
    <row r="196" ht="34" customHeight="1">
      <c r="A196" s="34" t="inlineStr">
        <is>
          <t>Contractor Programme</t>
        </is>
      </c>
      <c r="B196" s="34" t="inlineStr">
        <is>
          <t>SCH-01-063</t>
        </is>
      </c>
      <c r="C196" s="34" t="inlineStr">
        <is>
          <t>East portal: drainage tie-in - turnover</t>
        </is>
      </c>
      <c r="D196" s="34" t="inlineStr">
        <is>
          <t>WBS Code = 1.1.2</t>
        </is>
      </c>
      <c r="E196" s="34" t="inlineStr">
        <is>
          <t>R63-v1</t>
        </is>
      </c>
      <c r="F196" s="34" t="inlineStr">
        <is>
          <t>1.1.2 Guideway and Civil - Utility &amp; Roadworks</t>
        </is>
      </c>
      <c r="G196" s="34" t="inlineStr">
        <is>
          <t>ONE_TO_ONE</t>
        </is>
      </c>
      <c r="H196" s="34" t="inlineStr">
        <is>
          <t>APPROVED</t>
        </is>
      </c>
      <c r="I196" s="34" t="inlineStr">
        <is>
          <t>New</t>
        </is>
      </c>
      <c r="J196" s="34" t="inlineStr">
        <is>
          <t>Source assignment -- not individually reviewed</t>
        </is>
      </c>
      <c r="K196" s="39" t="inlineStr"/>
      <c r="L196" s="14" t="inlineStr"/>
      <c r="M196" s="14" t="inlineStr"/>
      <c r="N196" s="92" t="inlineStr">
        <is>
          <t>10 EVIDENCE &amp; DECISIONS</t>
        </is>
      </c>
    </row>
    <row r="197" ht="34" customHeight="1">
      <c r="A197" s="34" t="inlineStr">
        <is>
          <t>Contractor Programme</t>
        </is>
      </c>
      <c r="B197" s="34" t="inlineStr">
        <is>
          <t>SCH-01-066</t>
        </is>
      </c>
      <c r="C197" s="34" t="inlineStr">
        <is>
          <t>West approach: temporary traffic staging - installation</t>
        </is>
      </c>
      <c r="D197" s="34" t="inlineStr">
        <is>
          <t>WBS Code = 1.1.2</t>
        </is>
      </c>
      <c r="E197" s="34" t="inlineStr">
        <is>
          <t>R66-v1</t>
        </is>
      </c>
      <c r="F197" s="34" t="inlineStr">
        <is>
          <t>1.1.2 Guideway and Civil - Utility &amp; Roadworks</t>
        </is>
      </c>
      <c r="G197" s="34" t="inlineStr">
        <is>
          <t>ONE_TO_ONE</t>
        </is>
      </c>
      <c r="H197" s="34" t="inlineStr">
        <is>
          <t>APPROVED</t>
        </is>
      </c>
      <c r="I197" s="34" t="inlineStr">
        <is>
          <t>New</t>
        </is>
      </c>
      <c r="J197" s="34" t="inlineStr">
        <is>
          <t>Source assignment -- not individually reviewed</t>
        </is>
      </c>
      <c r="K197" s="39" t="inlineStr"/>
      <c r="L197" s="14" t="inlineStr"/>
      <c r="M197" s="14" t="inlineStr"/>
      <c r="N197" s="92" t="inlineStr">
        <is>
          <t>10 EVIDENCE &amp; DECISIONS</t>
        </is>
      </c>
    </row>
    <row r="198" ht="34" customHeight="1">
      <c r="A198" s="34" t="inlineStr">
        <is>
          <t>Contractor Programme</t>
        </is>
      </c>
      <c r="B198" s="34" t="inlineStr">
        <is>
          <t>SCH-01-069</t>
        </is>
      </c>
      <c r="C198" s="34" t="inlineStr">
        <is>
          <t>River crossing: drilled-shaft installation - release</t>
        </is>
      </c>
      <c r="D198" s="34" t="inlineStr">
        <is>
          <t>WBS Code = 1.1.2</t>
        </is>
      </c>
      <c r="E198" s="34" t="inlineStr">
        <is>
          <t>R69-v1</t>
        </is>
      </c>
      <c r="F198" s="34" t="inlineStr">
        <is>
          <t>1.1.2 Guideway and Civil - Utility &amp; Roadworks</t>
        </is>
      </c>
      <c r="G198" s="34" t="inlineStr">
        <is>
          <t>ONE_TO_ONE</t>
        </is>
      </c>
      <c r="H198" s="34" t="inlineStr">
        <is>
          <t>APPROVED</t>
        </is>
      </c>
      <c r="I198" s="34" t="inlineStr">
        <is>
          <t>New</t>
        </is>
      </c>
      <c r="J198" s="34" t="inlineStr">
        <is>
          <t>Source assignment -- not individually reviewed</t>
        </is>
      </c>
      <c r="K198" s="39" t="inlineStr"/>
      <c r="L198" s="14" t="inlineStr"/>
      <c r="M198" s="14" t="inlineStr"/>
      <c r="N198" s="92" t="inlineStr">
        <is>
          <t>10 EVIDENCE &amp; DECISIONS</t>
        </is>
      </c>
    </row>
    <row r="199" ht="34" customHeight="1">
      <c r="A199" s="34" t="inlineStr">
        <is>
          <t>Contractor Programme</t>
        </is>
      </c>
      <c r="B199" s="34" t="inlineStr">
        <is>
          <t>SCH-01-072</t>
        </is>
      </c>
      <c r="C199" s="34" t="inlineStr">
        <is>
          <t>Depot lead: utility relocation - inspection</t>
        </is>
      </c>
      <c r="D199" s="34" t="inlineStr">
        <is>
          <t>WBS Code = 1.1.2</t>
        </is>
      </c>
      <c r="E199" s="34" t="inlineStr">
        <is>
          <t>R72-v1</t>
        </is>
      </c>
      <c r="F199" s="34" t="inlineStr">
        <is>
          <t>1.1.2 Guideway and Civil - Utility &amp; Roadworks</t>
        </is>
      </c>
      <c r="G199" s="34" t="inlineStr">
        <is>
          <t>ONE_TO_ONE</t>
        </is>
      </c>
      <c r="H199" s="34" t="inlineStr">
        <is>
          <t>APPROVED</t>
        </is>
      </c>
      <c r="I199" s="34" t="inlineStr">
        <is>
          <t>New</t>
        </is>
      </c>
      <c r="J199" s="34" t="inlineStr">
        <is>
          <t>Source assignment -- not individually reviewed</t>
        </is>
      </c>
      <c r="K199" s="39" t="inlineStr"/>
      <c r="L199" s="14" t="inlineStr"/>
      <c r="M199" s="14" t="inlineStr"/>
      <c r="N199" s="92" t="inlineStr">
        <is>
          <t>10 EVIDENCE &amp; DECISIONS</t>
        </is>
      </c>
    </row>
    <row r="200" ht="34" customHeight="1">
      <c r="A200" s="34" t="inlineStr">
        <is>
          <t>Contractor Programme</t>
        </is>
      </c>
      <c r="B200" s="34" t="inlineStr">
        <is>
          <t>SCH-01-075</t>
        </is>
      </c>
      <c r="C200" s="34" t="inlineStr">
        <is>
          <t>Central guideway: guideway pier reinforcement - field start</t>
        </is>
      </c>
      <c r="D200" s="34" t="inlineStr">
        <is>
          <t>WBS Code = 1.1.2</t>
        </is>
      </c>
      <c r="E200" s="34" t="inlineStr">
        <is>
          <t>R75-v1</t>
        </is>
      </c>
      <c r="F200" s="34" t="inlineStr">
        <is>
          <t>1.1.2 Guideway and Civil - Utility &amp; Roadworks</t>
        </is>
      </c>
      <c r="G200" s="34" t="inlineStr">
        <is>
          <t>ONE_TO_ONE</t>
        </is>
      </c>
      <c r="H200" s="34" t="inlineStr">
        <is>
          <t>APPROVED</t>
        </is>
      </c>
      <c r="I200" s="34" t="inlineStr">
        <is>
          <t>New</t>
        </is>
      </c>
      <c r="J200" s="34" t="inlineStr">
        <is>
          <t>Source assignment -- not individually reviewed</t>
        </is>
      </c>
      <c r="K200" s="39" t="inlineStr"/>
      <c r="L200" s="14" t="inlineStr"/>
      <c r="M200" s="14" t="inlineStr"/>
      <c r="N200" s="92" t="inlineStr">
        <is>
          <t>10 EVIDENCE &amp; DECISIONS</t>
        </is>
      </c>
    </row>
    <row r="201" ht="34" customHeight="1">
      <c r="A201" s="34" t="inlineStr">
        <is>
          <t>Contractor Programme</t>
        </is>
      </c>
      <c r="B201" s="34" t="inlineStr">
        <is>
          <t>SCH-01-078</t>
        </is>
      </c>
      <c r="C201" s="34" t="inlineStr">
        <is>
          <t>East portal: retaining-wall excavation - turnover</t>
        </is>
      </c>
      <c r="D201" s="34" t="inlineStr">
        <is>
          <t>WBS Code = 1.1.2</t>
        </is>
      </c>
      <c r="E201" s="34" t="inlineStr">
        <is>
          <t>R78-v1</t>
        </is>
      </c>
      <c r="F201" s="34" t="inlineStr">
        <is>
          <t>1.1.2 Guideway and Civil - Utility &amp; Roadworks</t>
        </is>
      </c>
      <c r="G201" s="34" t="inlineStr">
        <is>
          <t>ONE_TO_ONE</t>
        </is>
      </c>
      <c r="H201" s="34" t="inlineStr">
        <is>
          <t>APPROVED</t>
        </is>
      </c>
      <c r="I201" s="34" t="inlineStr">
        <is>
          <t>New</t>
        </is>
      </c>
      <c r="J201" s="34" t="inlineStr">
        <is>
          <t>Source assignment -- not individually reviewed</t>
        </is>
      </c>
      <c r="K201" s="39" t="inlineStr"/>
      <c r="L201" s="14" t="inlineStr"/>
      <c r="M201" s="14" t="inlineStr"/>
      <c r="N201" s="92" t="inlineStr">
        <is>
          <t>10 EVIDENCE &amp; DECISIONS</t>
        </is>
      </c>
    </row>
    <row r="202" ht="34" customHeight="1">
      <c r="A202" s="34" t="inlineStr">
        <is>
          <t>Contractor Programme</t>
        </is>
      </c>
      <c r="B202" s="34" t="inlineStr">
        <is>
          <t>SCH-01-081</t>
        </is>
      </c>
      <c r="C202" s="34" t="inlineStr">
        <is>
          <t>West approach: track-slab survey - installation</t>
        </is>
      </c>
      <c r="D202" s="34" t="inlineStr">
        <is>
          <t>WBS Code = 1.1.2</t>
        </is>
      </c>
      <c r="E202" s="34" t="inlineStr">
        <is>
          <t>R81-v1</t>
        </is>
      </c>
      <c r="F202" s="34" t="inlineStr">
        <is>
          <t>1.1.2 Guideway and Civil - Utility &amp; Roadworks</t>
        </is>
      </c>
      <c r="G202" s="34" t="inlineStr">
        <is>
          <t>ONE_TO_ONE</t>
        </is>
      </c>
      <c r="H202" s="34" t="inlineStr">
        <is>
          <t>APPROVED</t>
        </is>
      </c>
      <c r="I202" s="34" t="inlineStr">
        <is>
          <t>New</t>
        </is>
      </c>
      <c r="J202" s="34" t="inlineStr">
        <is>
          <t>Source assignment -- not individually reviewed</t>
        </is>
      </c>
      <c r="K202" s="39" t="inlineStr"/>
      <c r="L202" s="14" t="inlineStr"/>
      <c r="M202" s="14" t="inlineStr"/>
      <c r="N202" s="92" t="inlineStr">
        <is>
          <t>10 EVIDENCE &amp; DECISIONS</t>
        </is>
      </c>
    </row>
    <row r="203" ht="34" customHeight="1">
      <c r="A203" s="34" t="inlineStr">
        <is>
          <t>Contractor Programme</t>
        </is>
      </c>
      <c r="B203" s="34" t="inlineStr">
        <is>
          <t>SCH-01-084</t>
        </is>
      </c>
      <c r="C203" s="34" t="inlineStr">
        <is>
          <t>River crossing: road restoration - release</t>
        </is>
      </c>
      <c r="D203" s="34" t="inlineStr">
        <is>
          <t>WBS Code = 1.1.2</t>
        </is>
      </c>
      <c r="E203" s="34" t="inlineStr">
        <is>
          <t>R84-v1</t>
        </is>
      </c>
      <c r="F203" s="34" t="inlineStr">
        <is>
          <t>1.1.2 Guideway and Civil - Utility &amp; Roadworks</t>
        </is>
      </c>
      <c r="G203" s="34" t="inlineStr">
        <is>
          <t>ONE_TO_ONE</t>
        </is>
      </c>
      <c r="H203" s="34" t="inlineStr">
        <is>
          <t>APPROVED</t>
        </is>
      </c>
      <c r="I203" s="34" t="inlineStr">
        <is>
          <t>New</t>
        </is>
      </c>
      <c r="J203" s="34" t="inlineStr">
        <is>
          <t>Source assignment -- not individually reviewed</t>
        </is>
      </c>
      <c r="K203" s="39" t="inlineStr"/>
      <c r="L203" s="14" t="inlineStr"/>
      <c r="M203" s="14" t="inlineStr"/>
      <c r="N203" s="92" t="inlineStr">
        <is>
          <t>10 EVIDENCE &amp; DECISIONS</t>
        </is>
      </c>
    </row>
    <row r="204" ht="34" customHeight="1">
      <c r="A204" s="34" t="inlineStr">
        <is>
          <t>Contractor Programme</t>
        </is>
      </c>
      <c r="B204" s="34" t="inlineStr">
        <is>
          <t>SCH-01-087</t>
        </is>
      </c>
      <c r="C204" s="34" t="inlineStr">
        <is>
          <t>Depot lead: drainage tie-in - inspection</t>
        </is>
      </c>
      <c r="D204" s="34" t="inlineStr">
        <is>
          <t>WBS Code = 1.1.2</t>
        </is>
      </c>
      <c r="E204" s="34" t="inlineStr">
        <is>
          <t>R87-v1</t>
        </is>
      </c>
      <c r="F204" s="34" t="inlineStr">
        <is>
          <t>1.1.2 Guideway and Civil - Utility &amp; Roadworks</t>
        </is>
      </c>
      <c r="G204" s="34" t="inlineStr">
        <is>
          <t>ONE_TO_ONE</t>
        </is>
      </c>
      <c r="H204" s="34" t="inlineStr">
        <is>
          <t>APPROVED</t>
        </is>
      </c>
      <c r="I204" s="34" t="inlineStr">
        <is>
          <t>New</t>
        </is>
      </c>
      <c r="J204" s="34" t="inlineStr">
        <is>
          <t>Source assignment -- not individually reviewed</t>
        </is>
      </c>
      <c r="K204" s="39" t="inlineStr"/>
      <c r="L204" s="14" t="inlineStr"/>
      <c r="M204" s="14" t="inlineStr"/>
      <c r="N204" s="92" t="inlineStr">
        <is>
          <t>10 EVIDENCE &amp; DECISIONS</t>
        </is>
      </c>
    </row>
    <row r="205" ht="34" customHeight="1">
      <c r="A205" s="34" t="inlineStr">
        <is>
          <t>Contractor Programme</t>
        </is>
      </c>
      <c r="B205" s="34" t="inlineStr">
        <is>
          <t>SCH-01-090</t>
        </is>
      </c>
      <c r="C205" s="34" t="inlineStr">
        <is>
          <t>Central guideway: temporary traffic staging - field start</t>
        </is>
      </c>
      <c r="D205" s="34" t="inlineStr">
        <is>
          <t>WBS Code = 1.1.2</t>
        </is>
      </c>
      <c r="E205" s="34" t="inlineStr">
        <is>
          <t>R90-v1</t>
        </is>
      </c>
      <c r="F205" s="34" t="inlineStr">
        <is>
          <t>1.1.2 Guideway and Civil - Utility &amp; Roadworks</t>
        </is>
      </c>
      <c r="G205" s="34" t="inlineStr">
        <is>
          <t>ONE_TO_ONE</t>
        </is>
      </c>
      <c r="H205" s="34" t="inlineStr">
        <is>
          <t>APPROVED</t>
        </is>
      </c>
      <c r="I205" s="34" t="inlineStr">
        <is>
          <t>New</t>
        </is>
      </c>
      <c r="J205" s="34" t="inlineStr">
        <is>
          <t>Source assignment -- not individually reviewed</t>
        </is>
      </c>
      <c r="K205" s="39" t="inlineStr"/>
      <c r="L205" s="14" t="inlineStr"/>
      <c r="M205" s="14" t="inlineStr"/>
      <c r="N205" s="92" t="inlineStr">
        <is>
          <t>10 EVIDENCE &amp; DECISIONS</t>
        </is>
      </c>
    </row>
    <row r="206" ht="34" customHeight="1">
      <c r="A206" s="34" t="inlineStr">
        <is>
          <t>Contractor Programme</t>
        </is>
      </c>
      <c r="B206" s="34" t="inlineStr">
        <is>
          <t>SCH-01-093</t>
        </is>
      </c>
      <c r="C206" s="34" t="inlineStr">
        <is>
          <t>East portal: drilled-shaft installation - turnover</t>
        </is>
      </c>
      <c r="D206" s="34" t="inlineStr">
        <is>
          <t>WBS Code = 1.1.2</t>
        </is>
      </c>
      <c r="E206" s="34" t="inlineStr">
        <is>
          <t>R93-v1</t>
        </is>
      </c>
      <c r="F206" s="34" t="inlineStr">
        <is>
          <t>1.1.2 Guideway and Civil - Utility &amp; Roadworks</t>
        </is>
      </c>
      <c r="G206" s="34" t="inlineStr">
        <is>
          <t>ONE_TO_ONE</t>
        </is>
      </c>
      <c r="H206" s="34" t="inlineStr">
        <is>
          <t>APPROVED</t>
        </is>
      </c>
      <c r="I206" s="34" t="inlineStr">
        <is>
          <t>New</t>
        </is>
      </c>
      <c r="J206" s="34" t="inlineStr">
        <is>
          <t>Source assignment -- not individually reviewed</t>
        </is>
      </c>
      <c r="K206" s="39" t="inlineStr"/>
      <c r="L206" s="14" t="inlineStr"/>
      <c r="M206" s="14" t="inlineStr"/>
      <c r="N206" s="92" t="inlineStr">
        <is>
          <t>10 EVIDENCE &amp; DECISIONS</t>
        </is>
      </c>
    </row>
    <row r="207" ht="34" customHeight="1">
      <c r="A207" s="34" t="inlineStr">
        <is>
          <t>Contractor Programme</t>
        </is>
      </c>
      <c r="B207" s="34" t="inlineStr">
        <is>
          <t>SCH-01-096</t>
        </is>
      </c>
      <c r="C207" s="34" t="inlineStr">
        <is>
          <t>West approach: utility relocation - installation</t>
        </is>
      </c>
      <c r="D207" s="34" t="inlineStr">
        <is>
          <t>WBS Code = 1.1.2</t>
        </is>
      </c>
      <c r="E207" s="34" t="inlineStr">
        <is>
          <t>R96-v1</t>
        </is>
      </c>
      <c r="F207" s="34" t="inlineStr">
        <is>
          <t>1.1.2 Guideway and Civil - Utility &amp; Roadworks</t>
        </is>
      </c>
      <c r="G207" s="34" t="inlineStr">
        <is>
          <t>ONE_TO_ONE</t>
        </is>
      </c>
      <c r="H207" s="34" t="inlineStr">
        <is>
          <t>APPROVED</t>
        </is>
      </c>
      <c r="I207" s="34" t="inlineStr">
        <is>
          <t>New</t>
        </is>
      </c>
      <c r="J207" s="34" t="inlineStr">
        <is>
          <t>Source assignment -- not individually reviewed</t>
        </is>
      </c>
      <c r="K207" s="39" t="inlineStr"/>
      <c r="L207" s="14" t="inlineStr"/>
      <c r="M207" s="14" t="inlineStr"/>
      <c r="N207" s="92" t="inlineStr">
        <is>
          <t>10 EVIDENCE &amp; DECISIONS</t>
        </is>
      </c>
    </row>
    <row r="208" ht="34" customHeight="1">
      <c r="A208" s="34" t="inlineStr">
        <is>
          <t>Contractor Programme</t>
        </is>
      </c>
      <c r="B208" s="34" t="inlineStr">
        <is>
          <t>SCH-01-099</t>
        </is>
      </c>
      <c r="C208" s="34" t="inlineStr">
        <is>
          <t>River crossing: guideway pier reinforcement - release</t>
        </is>
      </c>
      <c r="D208" s="34" t="inlineStr">
        <is>
          <t>WBS Code = 1.1.2</t>
        </is>
      </c>
      <c r="E208" s="34" t="inlineStr">
        <is>
          <t>R99-v1</t>
        </is>
      </c>
      <c r="F208" s="34" t="inlineStr">
        <is>
          <t>1.1.2 Guideway and Civil - Utility &amp; Roadworks</t>
        </is>
      </c>
      <c r="G208" s="34" t="inlineStr">
        <is>
          <t>ONE_TO_ONE</t>
        </is>
      </c>
      <c r="H208" s="34" t="inlineStr">
        <is>
          <t>APPROVED</t>
        </is>
      </c>
      <c r="I208" s="34" t="inlineStr">
        <is>
          <t>New</t>
        </is>
      </c>
      <c r="J208" s="34" t="inlineStr">
        <is>
          <t>Source assignment -- not individually reviewed</t>
        </is>
      </c>
      <c r="K208" s="39" t="inlineStr"/>
      <c r="L208" s="14" t="inlineStr"/>
      <c r="M208" s="14" t="inlineStr"/>
      <c r="N208" s="92" t="inlineStr">
        <is>
          <t>10 EVIDENCE &amp; DECISIONS</t>
        </is>
      </c>
    </row>
    <row r="209" ht="34" customHeight="1">
      <c r="A209" s="34" t="inlineStr">
        <is>
          <t>Contractor Programme</t>
        </is>
      </c>
      <c r="B209" s="34" t="inlineStr">
        <is>
          <t>SCH-01-102</t>
        </is>
      </c>
      <c r="C209" s="34" t="inlineStr">
        <is>
          <t>Depot lead: retaining-wall excavation - inspection</t>
        </is>
      </c>
      <c r="D209" s="34" t="inlineStr">
        <is>
          <t>WBS Code = 1.1.2</t>
        </is>
      </c>
      <c r="E209" s="34" t="inlineStr">
        <is>
          <t>R102-v1</t>
        </is>
      </c>
      <c r="F209" s="34" t="inlineStr">
        <is>
          <t>1.1.2 Guideway and Civil - Utility &amp; Roadworks</t>
        </is>
      </c>
      <c r="G209" s="34" t="inlineStr">
        <is>
          <t>ONE_TO_ONE</t>
        </is>
      </c>
      <c r="H209" s="34" t="inlineStr">
        <is>
          <t>APPROVED</t>
        </is>
      </c>
      <c r="I209" s="34" t="inlineStr">
        <is>
          <t>New</t>
        </is>
      </c>
      <c r="J209" s="34" t="inlineStr">
        <is>
          <t>Source assignment -- not individually reviewed</t>
        </is>
      </c>
      <c r="K209" s="39" t="inlineStr"/>
      <c r="L209" s="14" t="inlineStr"/>
      <c r="M209" s="14" t="inlineStr"/>
      <c r="N209" s="92" t="inlineStr">
        <is>
          <t>10 EVIDENCE &amp; DECISIONS</t>
        </is>
      </c>
    </row>
    <row r="210" ht="34" customHeight="1">
      <c r="A210" s="34" t="inlineStr">
        <is>
          <t>Contractor Programme</t>
        </is>
      </c>
      <c r="B210" s="34" t="inlineStr">
        <is>
          <t>SCH-01-105</t>
        </is>
      </c>
      <c r="C210" s="34" t="inlineStr">
        <is>
          <t>Central guideway: track-slab survey - field start</t>
        </is>
      </c>
      <c r="D210" s="34" t="inlineStr">
        <is>
          <t>WBS Code = 1.1.2</t>
        </is>
      </c>
      <c r="E210" s="34" t="inlineStr">
        <is>
          <t>R105-v1</t>
        </is>
      </c>
      <c r="F210" s="34" t="inlineStr">
        <is>
          <t>1.1.2 Guideway and Civil - Utility &amp; Roadworks</t>
        </is>
      </c>
      <c r="G210" s="34" t="inlineStr">
        <is>
          <t>ONE_TO_ONE</t>
        </is>
      </c>
      <c r="H210" s="34" t="inlineStr">
        <is>
          <t>APPROVED</t>
        </is>
      </c>
      <c r="I210" s="34" t="inlineStr">
        <is>
          <t>New</t>
        </is>
      </c>
      <c r="J210" s="34" t="inlineStr">
        <is>
          <t>Source assignment -- not individually reviewed</t>
        </is>
      </c>
      <c r="K210" s="39" t="inlineStr"/>
      <c r="L210" s="14" t="inlineStr"/>
      <c r="M210" s="14" t="inlineStr"/>
      <c r="N210" s="92" t="inlineStr">
        <is>
          <t>10 EVIDENCE &amp; DECISIONS</t>
        </is>
      </c>
    </row>
    <row r="211" ht="34" customHeight="1">
      <c r="A211" s="34" t="inlineStr">
        <is>
          <t>Contractor Programme</t>
        </is>
      </c>
      <c r="B211" s="34" t="inlineStr">
        <is>
          <t>SCH-01-108</t>
        </is>
      </c>
      <c r="C211" s="34" t="inlineStr">
        <is>
          <t>East portal: road restoration - turnover</t>
        </is>
      </c>
      <c r="D211" s="34" t="inlineStr">
        <is>
          <t>WBS Code = 1.1.2</t>
        </is>
      </c>
      <c r="E211" s="34" t="inlineStr">
        <is>
          <t>R108-v1</t>
        </is>
      </c>
      <c r="F211" s="34" t="inlineStr">
        <is>
          <t>1.1.2 Guideway and Civil - Utility &amp; Roadworks</t>
        </is>
      </c>
      <c r="G211" s="34" t="inlineStr">
        <is>
          <t>ONE_TO_ONE</t>
        </is>
      </c>
      <c r="H211" s="34" t="inlineStr">
        <is>
          <t>APPROVED</t>
        </is>
      </c>
      <c r="I211" s="34" t="inlineStr">
        <is>
          <t>New</t>
        </is>
      </c>
      <c r="J211" s="34" t="inlineStr">
        <is>
          <t>Source assignment -- not individually reviewed</t>
        </is>
      </c>
      <c r="K211" s="39" t="inlineStr"/>
      <c r="L211" s="14" t="inlineStr"/>
      <c r="M211" s="14" t="inlineStr"/>
      <c r="N211" s="92" t="inlineStr">
        <is>
          <t>10 EVIDENCE &amp; DECISIONS</t>
        </is>
      </c>
    </row>
    <row r="212" ht="34" customHeight="1">
      <c r="A212" s="34" t="inlineStr">
        <is>
          <t>Contractor Programme</t>
        </is>
      </c>
      <c r="B212" s="34" t="inlineStr">
        <is>
          <t>SCH-01-111</t>
        </is>
      </c>
      <c r="C212" s="34" t="inlineStr">
        <is>
          <t>West approach: drainage tie-in - installation</t>
        </is>
      </c>
      <c r="D212" s="34" t="inlineStr">
        <is>
          <t>WBS Code = 1.1.2</t>
        </is>
      </c>
      <c r="E212" s="34" t="inlineStr">
        <is>
          <t>R111-v1</t>
        </is>
      </c>
      <c r="F212" s="34" t="inlineStr">
        <is>
          <t>1.1.2 Guideway and Civil - Utility &amp; Roadworks</t>
        </is>
      </c>
      <c r="G212" s="34" t="inlineStr">
        <is>
          <t>ONE_TO_ONE</t>
        </is>
      </c>
      <c r="H212" s="34" t="inlineStr">
        <is>
          <t>APPROVED</t>
        </is>
      </c>
      <c r="I212" s="34" t="inlineStr">
        <is>
          <t>New</t>
        </is>
      </c>
      <c r="J212" s="34" t="inlineStr">
        <is>
          <t>Source assignment -- not individually reviewed</t>
        </is>
      </c>
      <c r="K212" s="39" t="inlineStr"/>
      <c r="L212" s="14" t="inlineStr"/>
      <c r="M212" s="14" t="inlineStr"/>
      <c r="N212" s="92" t="inlineStr">
        <is>
          <t>10 EVIDENCE &amp; DECISIONS</t>
        </is>
      </c>
    </row>
    <row r="213" ht="34" customHeight="1">
      <c r="A213" s="34" t="inlineStr">
        <is>
          <t>Contractor Programme</t>
        </is>
      </c>
      <c r="B213" s="34" t="inlineStr">
        <is>
          <t>SCH-01-114</t>
        </is>
      </c>
      <c r="C213" s="34" t="inlineStr">
        <is>
          <t>River crossing: temporary traffic staging - release</t>
        </is>
      </c>
      <c r="D213" s="34" t="inlineStr">
        <is>
          <t>WBS Code = 1.1.2</t>
        </is>
      </c>
      <c r="E213" s="34" t="inlineStr">
        <is>
          <t>R114-v1</t>
        </is>
      </c>
      <c r="F213" s="34" t="inlineStr">
        <is>
          <t>1.1.2 Guideway and Civil - Utility &amp; Roadworks</t>
        </is>
      </c>
      <c r="G213" s="34" t="inlineStr">
        <is>
          <t>ONE_TO_ONE</t>
        </is>
      </c>
      <c r="H213" s="34" t="inlineStr">
        <is>
          <t>APPROVED</t>
        </is>
      </c>
      <c r="I213" s="34" t="inlineStr">
        <is>
          <t>New</t>
        </is>
      </c>
      <c r="J213" s="34" t="inlineStr">
        <is>
          <t>Source assignment -- not individually reviewed</t>
        </is>
      </c>
      <c r="K213" s="39" t="inlineStr"/>
      <c r="L213" s="14" t="inlineStr"/>
      <c r="M213" s="14" t="inlineStr"/>
      <c r="N213" s="92" t="inlineStr">
        <is>
          <t>10 EVIDENCE &amp; DECISIONS</t>
        </is>
      </c>
    </row>
    <row r="214" ht="34" customHeight="1">
      <c r="A214" s="34" t="inlineStr">
        <is>
          <t>Contractor Programme</t>
        </is>
      </c>
      <c r="B214" s="34" t="inlineStr">
        <is>
          <t>SCH-01-117</t>
        </is>
      </c>
      <c r="C214" s="34" t="inlineStr">
        <is>
          <t>Depot lead: drilled-shaft installation - inspection</t>
        </is>
      </c>
      <c r="D214" s="34" t="inlineStr">
        <is>
          <t>WBS Code = 1.1.2</t>
        </is>
      </c>
      <c r="E214" s="34" t="inlineStr">
        <is>
          <t>R117-v1</t>
        </is>
      </c>
      <c r="F214" s="34" t="inlineStr">
        <is>
          <t>1.1.2 Guideway and Civil - Utility &amp; Roadworks</t>
        </is>
      </c>
      <c r="G214" s="34" t="inlineStr">
        <is>
          <t>ONE_TO_ONE</t>
        </is>
      </c>
      <c r="H214" s="34" t="inlineStr">
        <is>
          <t>APPROVED</t>
        </is>
      </c>
      <c r="I214" s="34" t="inlineStr">
        <is>
          <t>New</t>
        </is>
      </c>
      <c r="J214" s="34" t="inlineStr">
        <is>
          <t>Source assignment -- not individually reviewed</t>
        </is>
      </c>
      <c r="K214" s="39" t="inlineStr"/>
      <c r="L214" s="14" t="inlineStr"/>
      <c r="M214" s="14" t="inlineStr"/>
      <c r="N214" s="92" t="inlineStr">
        <is>
          <t>10 EVIDENCE &amp; DECISIONS</t>
        </is>
      </c>
    </row>
    <row r="215" ht="34" customHeight="1">
      <c r="A215" s="34" t="inlineStr">
        <is>
          <t>Contractor Programme</t>
        </is>
      </c>
      <c r="B215" s="34" t="inlineStr">
        <is>
          <t>SCH-01-120</t>
        </is>
      </c>
      <c r="C215" s="34" t="inlineStr">
        <is>
          <t>Central guideway: utility relocation - field start</t>
        </is>
      </c>
      <c r="D215" s="34" t="inlineStr">
        <is>
          <t>WBS Code = 1.1.2</t>
        </is>
      </c>
      <c r="E215" s="34" t="inlineStr">
        <is>
          <t>R120-v1</t>
        </is>
      </c>
      <c r="F215" s="34" t="inlineStr">
        <is>
          <t>1.1.2 Guideway and Civil - Utility &amp; Roadworks</t>
        </is>
      </c>
      <c r="G215" s="34" t="inlineStr">
        <is>
          <t>ONE_TO_ONE</t>
        </is>
      </c>
      <c r="H215" s="34" t="inlineStr">
        <is>
          <t>APPROVED</t>
        </is>
      </c>
      <c r="I215" s="34" t="inlineStr">
        <is>
          <t>New</t>
        </is>
      </c>
      <c r="J215" s="34" t="inlineStr">
        <is>
          <t>Source assignment -- not individually reviewed</t>
        </is>
      </c>
      <c r="K215" s="39" t="inlineStr"/>
      <c r="L215" s="14" t="inlineStr"/>
      <c r="M215" s="14" t="inlineStr"/>
      <c r="N215" s="92" t="inlineStr">
        <is>
          <t>10 EVIDENCE &amp; DECISIONS</t>
        </is>
      </c>
    </row>
    <row r="216" ht="34" customHeight="1">
      <c r="A216" s="34" t="inlineStr">
        <is>
          <t>Contractor Programme</t>
        </is>
      </c>
      <c r="B216" s="34" t="inlineStr">
        <is>
          <t>SCH-01-123</t>
        </is>
      </c>
      <c r="C216" s="34" t="inlineStr">
        <is>
          <t>East portal: guideway pier reinforcement - turnover</t>
        </is>
      </c>
      <c r="D216" s="34" t="inlineStr">
        <is>
          <t>WBS Code = 1.1.2</t>
        </is>
      </c>
      <c r="E216" s="34" t="inlineStr">
        <is>
          <t>R123-v1</t>
        </is>
      </c>
      <c r="F216" s="34" t="inlineStr">
        <is>
          <t>1.1.2 Guideway and Civil - Utility &amp; Roadworks</t>
        </is>
      </c>
      <c r="G216" s="34" t="inlineStr">
        <is>
          <t>ONE_TO_ONE</t>
        </is>
      </c>
      <c r="H216" s="34" t="inlineStr">
        <is>
          <t>APPROVED</t>
        </is>
      </c>
      <c r="I216" s="34" t="inlineStr">
        <is>
          <t>New</t>
        </is>
      </c>
      <c r="J216" s="34" t="inlineStr">
        <is>
          <t>Source assignment -- not individually reviewed</t>
        </is>
      </c>
      <c r="K216" s="39" t="inlineStr"/>
      <c r="L216" s="14" t="inlineStr"/>
      <c r="M216" s="14" t="inlineStr"/>
      <c r="N216" s="92" t="inlineStr">
        <is>
          <t>10 EVIDENCE &amp; DECISIONS</t>
        </is>
      </c>
    </row>
    <row r="217" ht="34" customHeight="1">
      <c r="A217" s="34" t="inlineStr">
        <is>
          <t>Contractor Programme</t>
        </is>
      </c>
      <c r="B217" s="34" t="inlineStr">
        <is>
          <t>SCH-01-126</t>
        </is>
      </c>
      <c r="C217" s="34" t="inlineStr">
        <is>
          <t>West approach: retaining-wall excavation - installation</t>
        </is>
      </c>
      <c r="D217" s="34" t="inlineStr">
        <is>
          <t>WBS Code = 1.1.2</t>
        </is>
      </c>
      <c r="E217" s="34" t="inlineStr">
        <is>
          <t>R126-v1</t>
        </is>
      </c>
      <c r="F217" s="34" t="inlineStr">
        <is>
          <t>1.1.2 Guideway and Civil - Utility &amp; Roadworks</t>
        </is>
      </c>
      <c r="G217" s="34" t="inlineStr">
        <is>
          <t>ONE_TO_ONE</t>
        </is>
      </c>
      <c r="H217" s="34" t="inlineStr">
        <is>
          <t>APPROVED</t>
        </is>
      </c>
      <c r="I217" s="34" t="inlineStr">
        <is>
          <t>New</t>
        </is>
      </c>
      <c r="J217" s="34" t="inlineStr">
        <is>
          <t>Source assignment -- not individually reviewed</t>
        </is>
      </c>
      <c r="K217" s="39" t="inlineStr"/>
      <c r="L217" s="14" t="inlineStr"/>
      <c r="M217" s="14" t="inlineStr"/>
      <c r="N217" s="92" t="inlineStr">
        <is>
          <t>10 EVIDENCE &amp; DECISIONS</t>
        </is>
      </c>
    </row>
    <row r="218" ht="34" customHeight="1">
      <c r="A218" s="34" t="inlineStr">
        <is>
          <t>Contractor Programme</t>
        </is>
      </c>
      <c r="B218" s="34" t="inlineStr">
        <is>
          <t>SCH-01-129</t>
        </is>
      </c>
      <c r="C218" s="34" t="inlineStr">
        <is>
          <t>River crossing: track-slab survey - release</t>
        </is>
      </c>
      <c r="D218" s="34" t="inlineStr">
        <is>
          <t>WBS Code = 1.1.2</t>
        </is>
      </c>
      <c r="E218" s="34" t="inlineStr">
        <is>
          <t>R129-v1</t>
        </is>
      </c>
      <c r="F218" s="34" t="inlineStr">
        <is>
          <t>1.1.2 Guideway and Civil - Utility &amp; Roadworks</t>
        </is>
      </c>
      <c r="G218" s="34" t="inlineStr">
        <is>
          <t>ONE_TO_ONE</t>
        </is>
      </c>
      <c r="H218" s="34" t="inlineStr">
        <is>
          <t>APPROVED</t>
        </is>
      </c>
      <c r="I218" s="34" t="inlineStr">
        <is>
          <t>New</t>
        </is>
      </c>
      <c r="J218" s="34" t="inlineStr">
        <is>
          <t>Source assignment -- not individually reviewed</t>
        </is>
      </c>
      <c r="K218" s="39" t="inlineStr"/>
      <c r="L218" s="14" t="inlineStr"/>
      <c r="M218" s="14" t="inlineStr"/>
      <c r="N218" s="92" t="inlineStr">
        <is>
          <t>10 EVIDENCE &amp; DECISIONS</t>
        </is>
      </c>
    </row>
    <row r="219" ht="34" customHeight="1">
      <c r="A219" s="34" t="inlineStr">
        <is>
          <t>Contractor Programme</t>
        </is>
      </c>
      <c r="B219" s="34" t="inlineStr">
        <is>
          <t>SCH-01-132</t>
        </is>
      </c>
      <c r="C219" s="34" t="inlineStr">
        <is>
          <t>Depot lead: road restoration - inspection</t>
        </is>
      </c>
      <c r="D219" s="34" t="inlineStr">
        <is>
          <t>WBS Code = 1.1.2</t>
        </is>
      </c>
      <c r="E219" s="34" t="inlineStr">
        <is>
          <t>R132-v1</t>
        </is>
      </c>
      <c r="F219" s="34" t="inlineStr">
        <is>
          <t>1.1.2 Guideway and Civil - Utility &amp; Roadworks</t>
        </is>
      </c>
      <c r="G219" s="34" t="inlineStr">
        <is>
          <t>ONE_TO_ONE</t>
        </is>
      </c>
      <c r="H219" s="34" t="inlineStr">
        <is>
          <t>APPROVED</t>
        </is>
      </c>
      <c r="I219" s="34" t="inlineStr">
        <is>
          <t>New</t>
        </is>
      </c>
      <c r="J219" s="34" t="inlineStr">
        <is>
          <t>Source assignment -- not individually reviewed</t>
        </is>
      </c>
      <c r="K219" s="39" t="inlineStr"/>
      <c r="L219" s="14" t="inlineStr"/>
      <c r="M219" s="14" t="inlineStr"/>
      <c r="N219" s="92" t="inlineStr">
        <is>
          <t>10 EVIDENCE &amp; DECISIONS</t>
        </is>
      </c>
    </row>
    <row r="220" ht="34" customHeight="1">
      <c r="A220" s="34" t="inlineStr">
        <is>
          <t>Contractor Programme</t>
        </is>
      </c>
      <c r="B220" s="34" t="inlineStr">
        <is>
          <t>SCH-01-135</t>
        </is>
      </c>
      <c r="C220" s="34" t="inlineStr">
        <is>
          <t>Central guideway: drainage tie-in - field start</t>
        </is>
      </c>
      <c r="D220" s="34" t="inlineStr">
        <is>
          <t>WBS Code = 1.1.2</t>
        </is>
      </c>
      <c r="E220" s="34" t="inlineStr">
        <is>
          <t>R135-v1</t>
        </is>
      </c>
      <c r="F220" s="34" t="inlineStr">
        <is>
          <t>1.1.2 Guideway and Civil - Utility &amp; Roadworks</t>
        </is>
      </c>
      <c r="G220" s="34" t="inlineStr">
        <is>
          <t>ONE_TO_ONE</t>
        </is>
      </c>
      <c r="H220" s="34" t="inlineStr">
        <is>
          <t>APPROVED</t>
        </is>
      </c>
      <c r="I220" s="34" t="inlineStr">
        <is>
          <t>New</t>
        </is>
      </c>
      <c r="J220" s="34" t="inlineStr">
        <is>
          <t>Source assignment -- not individually reviewed</t>
        </is>
      </c>
      <c r="K220" s="39" t="inlineStr"/>
      <c r="L220" s="14" t="inlineStr"/>
      <c r="M220" s="14" t="inlineStr"/>
      <c r="N220" s="92" t="inlineStr">
        <is>
          <t>10 EVIDENCE &amp; DECISIONS</t>
        </is>
      </c>
    </row>
    <row r="221" ht="34" customHeight="1">
      <c r="A221" s="34" t="inlineStr">
        <is>
          <t>Contractor Programme</t>
        </is>
      </c>
      <c r="B221" s="34" t="inlineStr">
        <is>
          <t>SCH-01-138</t>
        </is>
      </c>
      <c r="C221" s="34" t="inlineStr">
        <is>
          <t>East portal: temporary traffic staging - turnover</t>
        </is>
      </c>
      <c r="D221" s="34" t="inlineStr">
        <is>
          <t>WBS Code = 1.1.2</t>
        </is>
      </c>
      <c r="E221" s="34" t="inlineStr">
        <is>
          <t>R138-v1</t>
        </is>
      </c>
      <c r="F221" s="34" t="inlineStr">
        <is>
          <t>1.1.2 Guideway and Civil - Utility &amp; Roadworks</t>
        </is>
      </c>
      <c r="G221" s="34" t="inlineStr">
        <is>
          <t>ONE_TO_ONE</t>
        </is>
      </c>
      <c r="H221" s="34" t="inlineStr">
        <is>
          <t>APPROVED</t>
        </is>
      </c>
      <c r="I221" s="34" t="inlineStr">
        <is>
          <t>New</t>
        </is>
      </c>
      <c r="J221" s="34" t="inlineStr">
        <is>
          <t>Source assignment -- not individually reviewed</t>
        </is>
      </c>
      <c r="K221" s="39" t="inlineStr"/>
      <c r="L221" s="14" t="inlineStr"/>
      <c r="M221" s="14" t="inlineStr"/>
      <c r="N221" s="92" t="inlineStr">
        <is>
          <t>10 EVIDENCE &amp; DECISIONS</t>
        </is>
      </c>
    </row>
    <row r="222" ht="34" customHeight="1">
      <c r="A222" s="34" t="inlineStr">
        <is>
          <t>Contractor Programme</t>
        </is>
      </c>
      <c r="B222" s="34" t="inlineStr">
        <is>
          <t>SCH-01-141</t>
        </is>
      </c>
      <c r="C222" s="34" t="inlineStr">
        <is>
          <t>West approach: drilled-shaft installation - installation</t>
        </is>
      </c>
      <c r="D222" s="34" t="inlineStr">
        <is>
          <t>WBS Code = 1.1.2</t>
        </is>
      </c>
      <c r="E222" s="34" t="inlineStr">
        <is>
          <t>R141-v1</t>
        </is>
      </c>
      <c r="F222" s="34" t="inlineStr">
        <is>
          <t>1.1.2 Guideway and Civil - Utility &amp; Roadworks</t>
        </is>
      </c>
      <c r="G222" s="34" t="inlineStr">
        <is>
          <t>ONE_TO_ONE</t>
        </is>
      </c>
      <c r="H222" s="34" t="inlineStr">
        <is>
          <t>APPROVED</t>
        </is>
      </c>
      <c r="I222" s="34" t="inlineStr">
        <is>
          <t>New</t>
        </is>
      </c>
      <c r="J222" s="34" t="inlineStr">
        <is>
          <t>Source assignment -- not individually reviewed</t>
        </is>
      </c>
      <c r="K222" s="39" t="inlineStr"/>
      <c r="L222" s="14" t="inlineStr"/>
      <c r="M222" s="14" t="inlineStr"/>
      <c r="N222" s="92" t="inlineStr">
        <is>
          <t>10 EVIDENCE &amp; DECISIONS</t>
        </is>
      </c>
    </row>
    <row r="223" ht="34" customHeight="1">
      <c r="A223" s="34" t="inlineStr">
        <is>
          <t>Contractor Programme</t>
        </is>
      </c>
      <c r="B223" s="34" t="inlineStr">
        <is>
          <t>SCH-01-144</t>
        </is>
      </c>
      <c r="C223" s="34" t="inlineStr">
        <is>
          <t>River crossing: utility relocation - release</t>
        </is>
      </c>
      <c r="D223" s="34" t="inlineStr">
        <is>
          <t>WBS Code = 1.1.2</t>
        </is>
      </c>
      <c r="E223" s="34" t="inlineStr">
        <is>
          <t>R144-v1</t>
        </is>
      </c>
      <c r="F223" s="34" t="inlineStr">
        <is>
          <t>1.1.2 Guideway and Civil - Utility &amp; Roadworks</t>
        </is>
      </c>
      <c r="G223" s="34" t="inlineStr">
        <is>
          <t>ONE_TO_ONE</t>
        </is>
      </c>
      <c r="H223" s="34" t="inlineStr">
        <is>
          <t>APPROVED</t>
        </is>
      </c>
      <c r="I223" s="34" t="inlineStr">
        <is>
          <t>New</t>
        </is>
      </c>
      <c r="J223" s="34" t="inlineStr">
        <is>
          <t>Source assignment -- not individually reviewed</t>
        </is>
      </c>
      <c r="K223" s="39" t="inlineStr"/>
      <c r="L223" s="14" t="inlineStr"/>
      <c r="M223" s="14" t="inlineStr"/>
      <c r="N223" s="92" t="inlineStr">
        <is>
          <t>10 EVIDENCE &amp; DECISIONS</t>
        </is>
      </c>
    </row>
    <row r="224" ht="34" customHeight="1">
      <c r="A224" s="34" t="inlineStr">
        <is>
          <t>Contractor Programme</t>
        </is>
      </c>
      <c r="B224" s="34" t="inlineStr">
        <is>
          <t>SCH-01-147</t>
        </is>
      </c>
      <c r="C224" s="34" t="inlineStr">
        <is>
          <t>Depot lead: guideway pier reinforcement - inspection</t>
        </is>
      </c>
      <c r="D224" s="34" t="inlineStr">
        <is>
          <t>WBS Code = 1.1.2</t>
        </is>
      </c>
      <c r="E224" s="34" t="inlineStr">
        <is>
          <t>R147-v1</t>
        </is>
      </c>
      <c r="F224" s="34" t="inlineStr">
        <is>
          <t>1.1.2 Guideway and Civil - Utility &amp; Roadworks</t>
        </is>
      </c>
      <c r="G224" s="34" t="inlineStr">
        <is>
          <t>ONE_TO_ONE</t>
        </is>
      </c>
      <c r="H224" s="34" t="inlineStr">
        <is>
          <t>APPROVED</t>
        </is>
      </c>
      <c r="I224" s="34" t="inlineStr">
        <is>
          <t>New</t>
        </is>
      </c>
      <c r="J224" s="34" t="inlineStr">
        <is>
          <t>Source assignment -- not individually reviewed</t>
        </is>
      </c>
      <c r="K224" s="39" t="inlineStr"/>
      <c r="L224" s="14" t="inlineStr"/>
      <c r="M224" s="14" t="inlineStr"/>
      <c r="N224" s="92" t="inlineStr">
        <is>
          <t>10 EVIDENCE &amp; DECISIONS</t>
        </is>
      </c>
    </row>
    <row r="225" ht="34" customHeight="1">
      <c r="A225" s="34" t="inlineStr">
        <is>
          <t>Contractor Programme</t>
        </is>
      </c>
      <c r="B225" s="34" t="inlineStr">
        <is>
          <t>SCH-01-150</t>
        </is>
      </c>
      <c r="C225" s="34" t="inlineStr">
        <is>
          <t>Central guideway: retaining-wall excavation - field start</t>
        </is>
      </c>
      <c r="D225" s="34" t="inlineStr">
        <is>
          <t>WBS Code = 1.1.2</t>
        </is>
      </c>
      <c r="E225" s="34" t="inlineStr">
        <is>
          <t>R150-v1</t>
        </is>
      </c>
      <c r="F225" s="34" t="inlineStr">
        <is>
          <t>1.1.2 Guideway and Civil - Utility &amp; Roadworks</t>
        </is>
      </c>
      <c r="G225" s="34" t="inlineStr">
        <is>
          <t>ONE_TO_ONE</t>
        </is>
      </c>
      <c r="H225" s="34" t="inlineStr">
        <is>
          <t>APPROVED</t>
        </is>
      </c>
      <c r="I225" s="34" t="inlineStr">
        <is>
          <t>New</t>
        </is>
      </c>
      <c r="J225" s="34" t="inlineStr">
        <is>
          <t>Source assignment -- not individually reviewed</t>
        </is>
      </c>
      <c r="K225" s="39" t="inlineStr"/>
      <c r="L225" s="14" t="inlineStr"/>
      <c r="M225" s="14" t="inlineStr"/>
      <c r="N225" s="92" t="inlineStr">
        <is>
          <t>10 EVIDENCE &amp; DECISIONS</t>
        </is>
      </c>
    </row>
    <row r="226" ht="34" customHeight="1">
      <c r="A226" s="34" t="inlineStr">
        <is>
          <t>Contractor Programme</t>
        </is>
      </c>
      <c r="B226" s="34" t="inlineStr">
        <is>
          <t>SCH-01-153</t>
        </is>
      </c>
      <c r="C226" s="34" t="inlineStr">
        <is>
          <t>East portal: track-slab survey - turnover</t>
        </is>
      </c>
      <c r="D226" s="34" t="inlineStr">
        <is>
          <t>WBS Code = 1.1.2</t>
        </is>
      </c>
      <c r="E226" s="34" t="inlineStr">
        <is>
          <t>R153-v1</t>
        </is>
      </c>
      <c r="F226" s="34" t="inlineStr">
        <is>
          <t>1.1.2 Guideway and Civil - Utility &amp; Roadworks</t>
        </is>
      </c>
      <c r="G226" s="34" t="inlineStr">
        <is>
          <t>ONE_TO_ONE</t>
        </is>
      </c>
      <c r="H226" s="34" t="inlineStr">
        <is>
          <t>APPROVED</t>
        </is>
      </c>
      <c r="I226" s="34" t="inlineStr">
        <is>
          <t>New</t>
        </is>
      </c>
      <c r="J226" s="34" t="inlineStr">
        <is>
          <t>Source assignment -- not individually reviewed</t>
        </is>
      </c>
      <c r="K226" s="39" t="inlineStr"/>
      <c r="L226" s="14" t="inlineStr"/>
      <c r="M226" s="14" t="inlineStr"/>
      <c r="N226" s="92" t="inlineStr">
        <is>
          <t>10 EVIDENCE &amp; DECISIONS</t>
        </is>
      </c>
    </row>
    <row r="227" ht="34" customHeight="1">
      <c r="A227" s="34" t="inlineStr">
        <is>
          <t>Contractor Programme</t>
        </is>
      </c>
      <c r="B227" s="34" t="inlineStr">
        <is>
          <t>SCH-01-156</t>
        </is>
      </c>
      <c r="C227" s="34" t="inlineStr">
        <is>
          <t>West approach: road restoration - installation</t>
        </is>
      </c>
      <c r="D227" s="34" t="inlineStr">
        <is>
          <t>WBS Code = 1.1.2</t>
        </is>
      </c>
      <c r="E227" s="34" t="inlineStr">
        <is>
          <t>R156-v1</t>
        </is>
      </c>
      <c r="F227" s="34" t="inlineStr">
        <is>
          <t>1.1.2 Guideway and Civil - Utility &amp; Roadworks</t>
        </is>
      </c>
      <c r="G227" s="34" t="inlineStr">
        <is>
          <t>ONE_TO_ONE</t>
        </is>
      </c>
      <c r="H227" s="34" t="inlineStr">
        <is>
          <t>APPROVED</t>
        </is>
      </c>
      <c r="I227" s="34" t="inlineStr">
        <is>
          <t>New</t>
        </is>
      </c>
      <c r="J227" s="34" t="inlineStr">
        <is>
          <t>Source assignment -- not individually reviewed</t>
        </is>
      </c>
      <c r="K227" s="39" t="inlineStr"/>
      <c r="L227" s="14" t="inlineStr"/>
      <c r="M227" s="14" t="inlineStr"/>
      <c r="N227" s="92" t="inlineStr">
        <is>
          <t>10 EVIDENCE &amp; DECISIONS</t>
        </is>
      </c>
    </row>
    <row r="228" ht="34" customHeight="1">
      <c r="A228" s="34" t="inlineStr">
        <is>
          <t>Contractor Programme</t>
        </is>
      </c>
      <c r="B228" s="34" t="inlineStr">
        <is>
          <t>SCH-01-159</t>
        </is>
      </c>
      <c r="C228" s="34" t="inlineStr">
        <is>
          <t>River crossing: drainage tie-in - release</t>
        </is>
      </c>
      <c r="D228" s="34" t="inlineStr">
        <is>
          <t>WBS Code = 1.1.2</t>
        </is>
      </c>
      <c r="E228" s="34" t="inlineStr">
        <is>
          <t>R159-v1</t>
        </is>
      </c>
      <c r="F228" s="34" t="inlineStr">
        <is>
          <t>1.1.2 Guideway and Civil - Utility &amp; Roadworks</t>
        </is>
      </c>
      <c r="G228" s="34" t="inlineStr">
        <is>
          <t>ONE_TO_ONE</t>
        </is>
      </c>
      <c r="H228" s="34" t="inlineStr">
        <is>
          <t>APPROVED</t>
        </is>
      </c>
      <c r="I228" s="34" t="inlineStr">
        <is>
          <t>New</t>
        </is>
      </c>
      <c r="J228" s="34" t="inlineStr">
        <is>
          <t>Source assignment -- not individually reviewed</t>
        </is>
      </c>
      <c r="K228" s="39" t="inlineStr"/>
      <c r="L228" s="14" t="inlineStr"/>
      <c r="M228" s="14" t="inlineStr"/>
      <c r="N228" s="92" t="inlineStr">
        <is>
          <t>10 EVIDENCE &amp; DECISIONS</t>
        </is>
      </c>
    </row>
    <row r="229" ht="34" customHeight="1">
      <c r="A229" s="34" t="inlineStr">
        <is>
          <t>Contractor Programme</t>
        </is>
      </c>
      <c r="B229" s="34" t="inlineStr">
        <is>
          <t>SCH-01-162</t>
        </is>
      </c>
      <c r="C229" s="34" t="inlineStr">
        <is>
          <t>Depot lead: temporary traffic staging - inspection</t>
        </is>
      </c>
      <c r="D229" s="34" t="inlineStr">
        <is>
          <t>WBS Code = 1.1.2</t>
        </is>
      </c>
      <c r="E229" s="34" t="inlineStr">
        <is>
          <t>R162-v1</t>
        </is>
      </c>
      <c r="F229" s="34" t="inlineStr">
        <is>
          <t>1.1.2 Guideway and Civil - Utility &amp; Roadworks</t>
        </is>
      </c>
      <c r="G229" s="34" t="inlineStr">
        <is>
          <t>ONE_TO_ONE</t>
        </is>
      </c>
      <c r="H229" s="34" t="inlineStr">
        <is>
          <t>APPROVED</t>
        </is>
      </c>
      <c r="I229" s="34" t="inlineStr">
        <is>
          <t>New</t>
        </is>
      </c>
      <c r="J229" s="34" t="inlineStr">
        <is>
          <t>Source assignment -- not individually reviewed</t>
        </is>
      </c>
      <c r="K229" s="39" t="inlineStr"/>
      <c r="L229" s="14" t="inlineStr"/>
      <c r="M229" s="14" t="inlineStr"/>
      <c r="N229" s="92" t="inlineStr">
        <is>
          <t>10 EVIDENCE &amp; DECISIONS</t>
        </is>
      </c>
    </row>
    <row r="230" ht="34" customHeight="1">
      <c r="A230" s="34" t="inlineStr">
        <is>
          <t>Contractor Programme</t>
        </is>
      </c>
      <c r="B230" s="34" t="inlineStr">
        <is>
          <t>SCH-01-165</t>
        </is>
      </c>
      <c r="C230" s="34" t="inlineStr">
        <is>
          <t>Central guideway: drilled-shaft installation - field start</t>
        </is>
      </c>
      <c r="D230" s="34" t="inlineStr">
        <is>
          <t>WBS Code = 1.1.2</t>
        </is>
      </c>
      <c r="E230" s="34" t="inlineStr">
        <is>
          <t>R165-v1</t>
        </is>
      </c>
      <c r="F230" s="34" t="inlineStr">
        <is>
          <t>1.1.2 Guideway and Civil - Utility &amp; Roadworks</t>
        </is>
      </c>
      <c r="G230" s="34" t="inlineStr">
        <is>
          <t>ONE_TO_ONE</t>
        </is>
      </c>
      <c r="H230" s="34" t="inlineStr">
        <is>
          <t>APPROVED</t>
        </is>
      </c>
      <c r="I230" s="34" t="inlineStr">
        <is>
          <t>New</t>
        </is>
      </c>
      <c r="J230" s="34" t="inlineStr">
        <is>
          <t>Source assignment -- not individually reviewed</t>
        </is>
      </c>
      <c r="K230" s="39" t="inlineStr"/>
      <c r="L230" s="14" t="inlineStr"/>
      <c r="M230" s="14" t="inlineStr"/>
      <c r="N230" s="92" t="inlineStr">
        <is>
          <t>10 EVIDENCE &amp; DECISIONS</t>
        </is>
      </c>
    </row>
    <row r="231" ht="34" customHeight="1">
      <c r="A231" s="34" t="inlineStr">
        <is>
          <t>Contractor Programme</t>
        </is>
      </c>
      <c r="B231" s="34" t="inlineStr">
        <is>
          <t>SCH-01-168</t>
        </is>
      </c>
      <c r="C231" s="34" t="inlineStr">
        <is>
          <t>East portal: utility relocation - turnover</t>
        </is>
      </c>
      <c r="D231" s="34" t="inlineStr">
        <is>
          <t>WBS Code = 1.1.2</t>
        </is>
      </c>
      <c r="E231" s="34" t="inlineStr">
        <is>
          <t>R168-v1</t>
        </is>
      </c>
      <c r="F231" s="34" t="inlineStr">
        <is>
          <t>1.1.2 Guideway and Civil - Utility &amp; Roadworks</t>
        </is>
      </c>
      <c r="G231" s="34" t="inlineStr">
        <is>
          <t>ONE_TO_ONE</t>
        </is>
      </c>
      <c r="H231" s="34" t="inlineStr">
        <is>
          <t>APPROVED</t>
        </is>
      </c>
      <c r="I231" s="34" t="inlineStr">
        <is>
          <t>New</t>
        </is>
      </c>
      <c r="J231" s="34" t="inlineStr">
        <is>
          <t>Source assignment -- not individually reviewed</t>
        </is>
      </c>
      <c r="K231" s="39" t="inlineStr"/>
      <c r="L231" s="14" t="inlineStr"/>
      <c r="M231" s="14" t="inlineStr"/>
      <c r="N231" s="92" t="inlineStr">
        <is>
          <t>10 EVIDENCE &amp; DECISIONS</t>
        </is>
      </c>
    </row>
    <row r="232" ht="34" customHeight="1">
      <c r="A232" s="34" t="inlineStr">
        <is>
          <t>Contractor Programme</t>
        </is>
      </c>
      <c r="B232" s="34" t="inlineStr">
        <is>
          <t>SCH-01-171</t>
        </is>
      </c>
      <c r="C232" s="34" t="inlineStr">
        <is>
          <t>West approach: guideway pier reinforcement - installation</t>
        </is>
      </c>
      <c r="D232" s="34" t="inlineStr">
        <is>
          <t>WBS Code = 1.1.2</t>
        </is>
      </c>
      <c r="E232" s="34" t="inlineStr">
        <is>
          <t>R171-v1</t>
        </is>
      </c>
      <c r="F232" s="34" t="inlineStr">
        <is>
          <t>1.1.2 Guideway and Civil - Utility &amp; Roadworks</t>
        </is>
      </c>
      <c r="G232" s="34" t="inlineStr">
        <is>
          <t>ONE_TO_ONE</t>
        </is>
      </c>
      <c r="H232" s="34" t="inlineStr">
        <is>
          <t>APPROVED</t>
        </is>
      </c>
      <c r="I232" s="34" t="inlineStr">
        <is>
          <t>New</t>
        </is>
      </c>
      <c r="J232" s="34" t="inlineStr">
        <is>
          <t>Source assignment -- not individually reviewed</t>
        </is>
      </c>
      <c r="K232" s="39" t="inlineStr"/>
      <c r="L232" s="14" t="inlineStr"/>
      <c r="M232" s="14" t="inlineStr"/>
      <c r="N232" s="92" t="inlineStr">
        <is>
          <t>10 EVIDENCE &amp; DECISIONS</t>
        </is>
      </c>
    </row>
    <row r="233" ht="34" customHeight="1">
      <c r="A233" s="34" t="inlineStr">
        <is>
          <t>Contractor Programme</t>
        </is>
      </c>
      <c r="B233" s="34" t="inlineStr">
        <is>
          <t>SCH-01-174</t>
        </is>
      </c>
      <c r="C233" s="34" t="inlineStr">
        <is>
          <t>River crossing: retaining-wall excavation - release</t>
        </is>
      </c>
      <c r="D233" s="34" t="inlineStr">
        <is>
          <t>WBS Code = 1.1.2</t>
        </is>
      </c>
      <c r="E233" s="34" t="inlineStr">
        <is>
          <t>R174-v1</t>
        </is>
      </c>
      <c r="F233" s="34" t="inlineStr">
        <is>
          <t>1.1.2 Guideway and Civil - Utility &amp; Roadworks</t>
        </is>
      </c>
      <c r="G233" s="34" t="inlineStr">
        <is>
          <t>ONE_TO_ONE</t>
        </is>
      </c>
      <c r="H233" s="34" t="inlineStr">
        <is>
          <t>APPROVED</t>
        </is>
      </c>
      <c r="I233" s="34" t="inlineStr">
        <is>
          <t>New</t>
        </is>
      </c>
      <c r="J233" s="34" t="inlineStr">
        <is>
          <t>Source assignment -- not individually reviewed</t>
        </is>
      </c>
      <c r="K233" s="39" t="inlineStr"/>
      <c r="L233" s="14" t="inlineStr"/>
      <c r="M233" s="14" t="inlineStr"/>
      <c r="N233" s="92" t="inlineStr">
        <is>
          <t>10 EVIDENCE &amp; DECISIONS</t>
        </is>
      </c>
    </row>
    <row r="234" ht="34" customHeight="1">
      <c r="A234" s="34" t="inlineStr">
        <is>
          <t>Contractor Programme</t>
        </is>
      </c>
      <c r="B234" s="34" t="inlineStr">
        <is>
          <t>SCH-01-177</t>
        </is>
      </c>
      <c r="C234" s="34" t="inlineStr">
        <is>
          <t>Depot lead: track-slab survey - inspection</t>
        </is>
      </c>
      <c r="D234" s="34" t="inlineStr">
        <is>
          <t>WBS Code = 1.1.2</t>
        </is>
      </c>
      <c r="E234" s="34" t="inlineStr">
        <is>
          <t>R177-v1</t>
        </is>
      </c>
      <c r="F234" s="34" t="inlineStr">
        <is>
          <t>1.1.2 Guideway and Civil - Utility &amp; Roadworks</t>
        </is>
      </c>
      <c r="G234" s="34" t="inlineStr">
        <is>
          <t>ONE_TO_ONE</t>
        </is>
      </c>
      <c r="H234" s="34" t="inlineStr">
        <is>
          <t>APPROVED</t>
        </is>
      </c>
      <c r="I234" s="34" t="inlineStr">
        <is>
          <t>New</t>
        </is>
      </c>
      <c r="J234" s="34" t="inlineStr">
        <is>
          <t>Source assignment -- not individually reviewed</t>
        </is>
      </c>
      <c r="K234" s="39" t="inlineStr"/>
      <c r="L234" s="14" t="inlineStr"/>
      <c r="M234" s="14" t="inlineStr"/>
      <c r="N234" s="92" t="inlineStr">
        <is>
          <t>10 EVIDENCE &amp; DECISIONS</t>
        </is>
      </c>
    </row>
    <row r="235" ht="34" customHeight="1">
      <c r="A235" s="34" t="inlineStr">
        <is>
          <t>Contractor Programme</t>
        </is>
      </c>
      <c r="B235" s="34" t="inlineStr">
        <is>
          <t>SCH-01-180</t>
        </is>
      </c>
      <c r="C235" s="34" t="inlineStr">
        <is>
          <t>Central guideway: road restoration - field start</t>
        </is>
      </c>
      <c r="D235" s="34" t="inlineStr">
        <is>
          <t>WBS Code = 1.1.2</t>
        </is>
      </c>
      <c r="E235" s="34" t="inlineStr">
        <is>
          <t>R180-v1</t>
        </is>
      </c>
      <c r="F235" s="34" t="inlineStr">
        <is>
          <t>1.1.2 Guideway and Civil - Utility &amp; Roadworks</t>
        </is>
      </c>
      <c r="G235" s="34" t="inlineStr">
        <is>
          <t>ONE_TO_ONE</t>
        </is>
      </c>
      <c r="H235" s="34" t="inlineStr">
        <is>
          <t>APPROVED</t>
        </is>
      </c>
      <c r="I235" s="34" t="inlineStr">
        <is>
          <t>New</t>
        </is>
      </c>
      <c r="J235" s="34" t="inlineStr">
        <is>
          <t>Source assignment -- not individually reviewed</t>
        </is>
      </c>
      <c r="K235" s="39" t="inlineStr"/>
      <c r="L235" s="14" t="inlineStr"/>
      <c r="M235" s="14" t="inlineStr"/>
      <c r="N235" s="92" t="inlineStr">
        <is>
          <t>10 EVIDENCE &amp; DECISIONS</t>
        </is>
      </c>
    </row>
    <row r="236" ht="34" customHeight="1">
      <c r="A236" s="34" t="inlineStr">
        <is>
          <t>Cost &amp; Forecast Control Accounts</t>
        </is>
      </c>
      <c r="B236" s="34" t="inlineStr">
        <is>
          <t>CST-01-002</t>
        </is>
      </c>
      <c r="C236" s="34" t="inlineStr">
        <is>
          <t>Guideway and Civil - temporary works - allowance</t>
        </is>
      </c>
      <c r="D236" s="34" t="inlineStr">
        <is>
          <t>Cost Account = CA-1002; WBS Code = 1.1.2</t>
        </is>
      </c>
      <c r="E236" s="34" t="inlineStr">
        <is>
          <t>R1084-v1</t>
        </is>
      </c>
      <c r="F236" s="34" t="inlineStr">
        <is>
          <t>1.1.2 Guideway and Civil - Utility &amp; Roadworks</t>
        </is>
      </c>
      <c r="G236" s="34" t="inlineStr">
        <is>
          <t>ONE_TO_ONE</t>
        </is>
      </c>
      <c r="H236" s="34" t="inlineStr">
        <is>
          <t>APPROVED</t>
        </is>
      </c>
      <c r="I236" s="34" t="inlineStr">
        <is>
          <t>New</t>
        </is>
      </c>
      <c r="J236" s="34" t="inlineStr">
        <is>
          <t>Source assignment -- not individually reviewed</t>
        </is>
      </c>
      <c r="K236" s="39" t="inlineStr"/>
      <c r="L236" s="14" t="inlineStr"/>
      <c r="M236" s="14" t="inlineStr"/>
      <c r="N236" s="92" t="inlineStr">
        <is>
          <t>10 EVIDENCE &amp; DECISIONS</t>
        </is>
      </c>
    </row>
    <row r="237" ht="34" customHeight="1">
      <c r="A237" s="34" t="inlineStr">
        <is>
          <t>Cost &amp; Forecast Control Accounts</t>
        </is>
      </c>
      <c r="B237" s="34" t="inlineStr">
        <is>
          <t>CST-01-004</t>
        </is>
      </c>
      <c r="C237" s="34" t="inlineStr">
        <is>
          <t>Guideway and Civil - roadworks - field package</t>
        </is>
      </c>
      <c r="D237" s="34" t="inlineStr">
        <is>
          <t>Cost Account = CA-1004; WBS Code = 1.1.2</t>
        </is>
      </c>
      <c r="E237" s="34" t="inlineStr">
        <is>
          <t>R1086-v1</t>
        </is>
      </c>
      <c r="F237" s="34" t="inlineStr">
        <is>
          <t>1.1.2 Guideway and Civil - Utility &amp; Roadworks</t>
        </is>
      </c>
      <c r="G237" s="34" t="inlineStr">
        <is>
          <t>ONE_TO_ONE</t>
        </is>
      </c>
      <c r="H237" s="34" t="inlineStr">
        <is>
          <t>APPROVED</t>
        </is>
      </c>
      <c r="I237" s="34" t="inlineStr">
        <is>
          <t>New</t>
        </is>
      </c>
      <c r="J237" s="34" t="inlineStr">
        <is>
          <t>Source assignment -- not individually reviewed</t>
        </is>
      </c>
      <c r="K237" s="39" t="inlineStr"/>
      <c r="L237" s="14" t="inlineStr"/>
      <c r="M237" s="14" t="inlineStr"/>
      <c r="N237" s="92" t="inlineStr">
        <is>
          <t>10 EVIDENCE &amp; DECISIONS</t>
        </is>
      </c>
    </row>
    <row r="238" ht="34" customHeight="1">
      <c r="A238" s="34" t="inlineStr">
        <is>
          <t>Cost &amp; Forecast Control Accounts</t>
        </is>
      </c>
      <c r="B238" s="34" t="inlineStr">
        <is>
          <t>CST-01-006</t>
        </is>
      </c>
      <c r="C238" s="34" t="inlineStr">
        <is>
          <t>Guideway and Civil - concrete structures - professional services</t>
        </is>
      </c>
      <c r="D238" s="34" t="inlineStr">
        <is>
          <t>Cost Account = CA-1006; WBS Code = 1.1.2</t>
        </is>
      </c>
      <c r="E238" s="34" t="inlineStr">
        <is>
          <t>R1088-v1</t>
        </is>
      </c>
      <c r="F238" s="34" t="inlineStr">
        <is>
          <t>1.1.2 Guideway and Civil - Utility &amp; Roadworks</t>
        </is>
      </c>
      <c r="G238" s="34" t="inlineStr">
        <is>
          <t>ONE_TO_ONE</t>
        </is>
      </c>
      <c r="H238" s="34" t="inlineStr">
        <is>
          <t>APPROVED</t>
        </is>
      </c>
      <c r="I238" s="34" t="inlineStr">
        <is>
          <t>New</t>
        </is>
      </c>
      <c r="J238" s="34" t="inlineStr">
        <is>
          <t>Source assignment -- not individually reviewed</t>
        </is>
      </c>
      <c r="K238" s="39" t="inlineStr"/>
      <c r="L238" s="14" t="inlineStr"/>
      <c r="M238" s="14" t="inlineStr"/>
      <c r="N238" s="92" t="inlineStr">
        <is>
          <t>10 EVIDENCE &amp; DECISIONS</t>
        </is>
      </c>
    </row>
    <row r="239" ht="34" customHeight="1">
      <c r="A239" s="34" t="inlineStr">
        <is>
          <t>Cost &amp; Forecast Control Accounts</t>
        </is>
      </c>
      <c r="B239" s="34" t="inlineStr">
        <is>
          <t>CST-01-008</t>
        </is>
      </c>
      <c r="C239" s="34" t="inlineStr">
        <is>
          <t>Guideway and Civil - temporary works - closeout</t>
        </is>
      </c>
      <c r="D239" s="34" t="inlineStr">
        <is>
          <t>Cost Account = CA-1008; WBS Code = 1.1.2</t>
        </is>
      </c>
      <c r="E239" s="34" t="inlineStr">
        <is>
          <t>R1090-v1</t>
        </is>
      </c>
      <c r="F239" s="34" t="inlineStr">
        <is>
          <t>1.1.2 Guideway and Civil - Utility &amp; Roadworks</t>
        </is>
      </c>
      <c r="G239" s="34" t="inlineStr">
        <is>
          <t>ONE_TO_ONE</t>
        </is>
      </c>
      <c r="H239" s="34" t="inlineStr">
        <is>
          <t>APPROVED</t>
        </is>
      </c>
      <c r="I239" s="34" t="inlineStr">
        <is>
          <t>New</t>
        </is>
      </c>
      <c r="J239" s="34" t="inlineStr">
        <is>
          <t>Source assignment -- not individually reviewed</t>
        </is>
      </c>
      <c r="K239" s="39" t="inlineStr"/>
      <c r="L239" s="14" t="inlineStr"/>
      <c r="M239" s="14" t="inlineStr"/>
      <c r="N239" s="92" t="inlineStr">
        <is>
          <t>10 EVIDENCE &amp; DECISIONS</t>
        </is>
      </c>
    </row>
    <row r="240" ht="34" customHeight="1">
      <c r="A240" s="34" t="inlineStr">
        <is>
          <t>Cost &amp; Forecast Control Accounts</t>
        </is>
      </c>
      <c r="B240" s="34" t="inlineStr">
        <is>
          <t>CST-01-010</t>
        </is>
      </c>
      <c r="C240" s="34" t="inlineStr">
        <is>
          <t>Guideway and Civil - roadworks - supply and install</t>
        </is>
      </c>
      <c r="D240" s="34" t="inlineStr">
        <is>
          <t>Cost Account = CA-1010; WBS Code = 1.1.2</t>
        </is>
      </c>
      <c r="E240" s="34" t="inlineStr">
        <is>
          <t>R1092-v1</t>
        </is>
      </c>
      <c r="F240" s="34" t="inlineStr">
        <is>
          <t>1.1.2 Guideway and Civil - Utility &amp; Roadworks</t>
        </is>
      </c>
      <c r="G240" s="34" t="inlineStr">
        <is>
          <t>ONE_TO_ONE</t>
        </is>
      </c>
      <c r="H240" s="34" t="inlineStr">
        <is>
          <t>APPROVED</t>
        </is>
      </c>
      <c r="I240" s="34" t="inlineStr">
        <is>
          <t>New</t>
        </is>
      </c>
      <c r="J240" s="34" t="inlineStr">
        <is>
          <t>Source assignment -- not individually reviewed</t>
        </is>
      </c>
      <c r="K240" s="39" t="inlineStr"/>
      <c r="L240" s="14" t="inlineStr"/>
      <c r="M240" s="14" t="inlineStr"/>
      <c r="N240" s="92" t="inlineStr">
        <is>
          <t>10 EVIDENCE &amp; DECISIONS</t>
        </is>
      </c>
    </row>
    <row r="241" ht="34" customHeight="1">
      <c r="A241" s="34" t="inlineStr">
        <is>
          <t>Cost &amp; Forecast Control Accounts</t>
        </is>
      </c>
      <c r="B241" s="34" t="inlineStr">
        <is>
          <t>CST-01-012</t>
        </is>
      </c>
      <c r="C241" s="34" t="inlineStr">
        <is>
          <t>Guideway and Civil - concrete structures - allowance</t>
        </is>
      </c>
      <c r="D241" s="34" t="inlineStr">
        <is>
          <t>Cost Account = CA-1012; WBS Code = 1.1.2</t>
        </is>
      </c>
      <c r="E241" s="34" t="inlineStr">
        <is>
          <t>R1094-v1</t>
        </is>
      </c>
      <c r="F241" s="34" t="inlineStr">
        <is>
          <t>1.1.2 Guideway and Civil - Utility &amp; Roadworks</t>
        </is>
      </c>
      <c r="G241" s="34" t="inlineStr">
        <is>
          <t>ONE_TO_ONE</t>
        </is>
      </c>
      <c r="H241" s="34" t="inlineStr">
        <is>
          <t>APPROVED</t>
        </is>
      </c>
      <c r="I241" s="34" t="inlineStr">
        <is>
          <t>New</t>
        </is>
      </c>
      <c r="J241" s="34" t="inlineStr">
        <is>
          <t>Source assignment -- not individually reviewed</t>
        </is>
      </c>
      <c r="K241" s="39" t="inlineStr"/>
      <c r="L241" s="14" t="inlineStr"/>
      <c r="M241" s="14" t="inlineStr"/>
      <c r="N241" s="92" t="inlineStr">
        <is>
          <t>10 EVIDENCE &amp; DECISIONS</t>
        </is>
      </c>
    </row>
    <row r="242" ht="34" customHeight="1">
      <c r="A242" s="34" t="inlineStr">
        <is>
          <t>Cost &amp; Forecast Control Accounts</t>
        </is>
      </c>
      <c r="B242" s="34" t="inlineStr">
        <is>
          <t>CST-01-014</t>
        </is>
      </c>
      <c r="C242" s="34" t="inlineStr">
        <is>
          <t>Guideway and Civil - temporary works - field package</t>
        </is>
      </c>
      <c r="D242" s="34" t="inlineStr">
        <is>
          <t>Cost Account = CA-1014; WBS Code = 1.1.2</t>
        </is>
      </c>
      <c r="E242" s="34" t="inlineStr">
        <is>
          <t>R1096-v1</t>
        </is>
      </c>
      <c r="F242" s="34" t="inlineStr">
        <is>
          <t>1.1.2 Guideway and Civil - Utility &amp; Roadworks</t>
        </is>
      </c>
      <c r="G242" s="34" t="inlineStr">
        <is>
          <t>ONE_TO_ONE</t>
        </is>
      </c>
      <c r="H242" s="34" t="inlineStr">
        <is>
          <t>APPROVED</t>
        </is>
      </c>
      <c r="I242" s="34" t="inlineStr">
        <is>
          <t>New</t>
        </is>
      </c>
      <c r="J242" s="34" t="inlineStr">
        <is>
          <t>Source assignment -- not individually reviewed</t>
        </is>
      </c>
      <c r="K242" s="39" t="inlineStr"/>
      <c r="L242" s="14" t="inlineStr"/>
      <c r="M242" s="14" t="inlineStr"/>
      <c r="N242" s="92" t="inlineStr">
        <is>
          <t>10 EVIDENCE &amp; DECISIONS</t>
        </is>
      </c>
    </row>
    <row r="243" ht="34" customHeight="1">
      <c r="A243" s="34" t="inlineStr">
        <is>
          <t>Cost &amp; Forecast Control Accounts</t>
        </is>
      </c>
      <c r="B243" s="34" t="inlineStr">
        <is>
          <t>CST-01-016</t>
        </is>
      </c>
      <c r="C243" s="34" t="inlineStr">
        <is>
          <t>Guideway and Civil - roadworks - professional services</t>
        </is>
      </c>
      <c r="D243" s="34" t="inlineStr">
        <is>
          <t>Cost Account = CA-1016; WBS Code = 1.1.2</t>
        </is>
      </c>
      <c r="E243" s="34" t="inlineStr">
        <is>
          <t>R1098-v1</t>
        </is>
      </c>
      <c r="F243" s="34" t="inlineStr">
        <is>
          <t>1.1.2 Guideway and Civil - Utility &amp; Roadworks</t>
        </is>
      </c>
      <c r="G243" s="34" t="inlineStr">
        <is>
          <t>ONE_TO_ONE</t>
        </is>
      </c>
      <c r="H243" s="34" t="inlineStr">
        <is>
          <t>APPROVED</t>
        </is>
      </c>
      <c r="I243" s="34" t="inlineStr">
        <is>
          <t>New</t>
        </is>
      </c>
      <c r="J243" s="34" t="inlineStr">
        <is>
          <t>Source assignment -- not individually reviewed</t>
        </is>
      </c>
      <c r="K243" s="39" t="inlineStr"/>
      <c r="L243" s="14" t="inlineStr"/>
      <c r="M243" s="14" t="inlineStr"/>
      <c r="N243" s="92" t="inlineStr">
        <is>
          <t>10 EVIDENCE &amp; DECISIONS</t>
        </is>
      </c>
    </row>
    <row r="244" ht="34" customHeight="1">
      <c r="A244" s="34" t="inlineStr">
        <is>
          <t>Cost &amp; Forecast Control Accounts</t>
        </is>
      </c>
      <c r="B244" s="34" t="inlineStr">
        <is>
          <t>CST-01-018</t>
        </is>
      </c>
      <c r="C244" s="34" t="inlineStr">
        <is>
          <t>Guideway and Civil - concrete structures - closeout</t>
        </is>
      </c>
      <c r="D244" s="34" t="inlineStr">
        <is>
          <t>Cost Account = CA-1018; WBS Code = 1.1.2</t>
        </is>
      </c>
      <c r="E244" s="34" t="inlineStr">
        <is>
          <t>R1100-v1</t>
        </is>
      </c>
      <c r="F244" s="34" t="inlineStr">
        <is>
          <t>1.1.2 Guideway and Civil - Utility &amp; Roadworks</t>
        </is>
      </c>
      <c r="G244" s="34" t="inlineStr">
        <is>
          <t>ONE_TO_ONE</t>
        </is>
      </c>
      <c r="H244" s="34" t="inlineStr">
        <is>
          <t>APPROVED</t>
        </is>
      </c>
      <c r="I244" s="34" t="inlineStr">
        <is>
          <t>New</t>
        </is>
      </c>
      <c r="J244" s="34" t="inlineStr">
        <is>
          <t>Source assignment -- not individually reviewed</t>
        </is>
      </c>
      <c r="K244" s="39" t="inlineStr"/>
      <c r="L244" s="14" t="inlineStr"/>
      <c r="M244" s="14" t="inlineStr"/>
      <c r="N244" s="92" t="inlineStr">
        <is>
          <t>10 EVIDENCE &amp; DECISIONS</t>
        </is>
      </c>
    </row>
    <row r="245" ht="34" customHeight="1">
      <c r="A245" s="34" t="inlineStr">
        <is>
          <t>Cost &amp; Forecast Control Accounts</t>
        </is>
      </c>
      <c r="B245" s="34" t="inlineStr">
        <is>
          <t>CST-01-020</t>
        </is>
      </c>
      <c r="C245" s="34" t="inlineStr">
        <is>
          <t>Guideway and Civil - temporary works - supply and install</t>
        </is>
      </c>
      <c r="D245" s="34" t="inlineStr">
        <is>
          <t>Cost Account = CA-1020; WBS Code = 1.1.2</t>
        </is>
      </c>
      <c r="E245" s="34" t="inlineStr">
        <is>
          <t>R1102-v1</t>
        </is>
      </c>
      <c r="F245" s="34" t="inlineStr">
        <is>
          <t>1.1.2 Guideway and Civil - Utility &amp; Roadworks</t>
        </is>
      </c>
      <c r="G245" s="34" t="inlineStr">
        <is>
          <t>ONE_TO_ONE</t>
        </is>
      </c>
      <c r="H245" s="34" t="inlineStr">
        <is>
          <t>APPROVED</t>
        </is>
      </c>
      <c r="I245" s="34" t="inlineStr">
        <is>
          <t>New</t>
        </is>
      </c>
      <c r="J245" s="34" t="inlineStr">
        <is>
          <t>Source assignment -- not individually reviewed</t>
        </is>
      </c>
      <c r="K245" s="39" t="inlineStr"/>
      <c r="L245" s="14" t="inlineStr"/>
      <c r="M245" s="14" t="inlineStr"/>
      <c r="N245" s="92" t="inlineStr">
        <is>
          <t>10 EVIDENCE &amp; DECISIONS</t>
        </is>
      </c>
    </row>
    <row r="246" ht="34" customHeight="1">
      <c r="A246" s="34" t="inlineStr">
        <is>
          <t>Cost &amp; Forecast Control Accounts</t>
        </is>
      </c>
      <c r="B246" s="34" t="inlineStr">
        <is>
          <t>CST-01-022</t>
        </is>
      </c>
      <c r="C246" s="34" t="inlineStr">
        <is>
          <t>Guideway and Civil - roadworks - allowance</t>
        </is>
      </c>
      <c r="D246" s="34" t="inlineStr">
        <is>
          <t>Cost Account = CA-1022; WBS Code = 1.1.2</t>
        </is>
      </c>
      <c r="E246" s="34" t="inlineStr">
        <is>
          <t>R1104-v1</t>
        </is>
      </c>
      <c r="F246" s="34" t="inlineStr">
        <is>
          <t>1.1.2 Guideway and Civil - Utility &amp; Roadworks</t>
        </is>
      </c>
      <c r="G246" s="34" t="inlineStr">
        <is>
          <t>ONE_TO_ONE</t>
        </is>
      </c>
      <c r="H246" s="34" t="inlineStr">
        <is>
          <t>APPROVED</t>
        </is>
      </c>
      <c r="I246" s="34" t="inlineStr">
        <is>
          <t>New</t>
        </is>
      </c>
      <c r="J246" s="34" t="inlineStr">
        <is>
          <t>Source assignment -- not individually reviewed</t>
        </is>
      </c>
      <c r="K246" s="39" t="inlineStr"/>
      <c r="L246" s="14" t="inlineStr"/>
      <c r="M246" s="14" t="inlineStr"/>
      <c r="N246" s="92" t="inlineStr">
        <is>
          <t>10 EVIDENCE &amp; DECISIONS</t>
        </is>
      </c>
    </row>
    <row r="247" ht="34" customHeight="1">
      <c r="A247" s="34" t="inlineStr">
        <is>
          <t>Cost &amp; Forecast Control Accounts</t>
        </is>
      </c>
      <c r="B247" s="34" t="inlineStr">
        <is>
          <t>CST-01-024</t>
        </is>
      </c>
      <c r="C247" s="34" t="inlineStr">
        <is>
          <t>Guideway and Civil - concrete structures - field package</t>
        </is>
      </c>
      <c r="D247" s="34" t="inlineStr">
        <is>
          <t>Cost Account = CA-1024; WBS Code = 1.1.2</t>
        </is>
      </c>
      <c r="E247" s="34" t="inlineStr">
        <is>
          <t>R1106-v1</t>
        </is>
      </c>
      <c r="F247" s="34" t="inlineStr">
        <is>
          <t>1.1.2 Guideway and Civil - Utility &amp; Roadworks</t>
        </is>
      </c>
      <c r="G247" s="34" t="inlineStr">
        <is>
          <t>ONE_TO_ONE</t>
        </is>
      </c>
      <c r="H247" s="34" t="inlineStr">
        <is>
          <t>APPROVED</t>
        </is>
      </c>
      <c r="I247" s="34" t="inlineStr">
        <is>
          <t>New</t>
        </is>
      </c>
      <c r="J247" s="34" t="inlineStr">
        <is>
          <t>Source assignment -- not individually reviewed</t>
        </is>
      </c>
      <c r="K247" s="39" t="inlineStr"/>
      <c r="L247" s="14" t="inlineStr"/>
      <c r="M247" s="14" t="inlineStr"/>
      <c r="N247" s="92" t="inlineStr">
        <is>
          <t>10 EVIDENCE &amp; DECISIONS</t>
        </is>
      </c>
    </row>
    <row r="248" ht="34" customHeight="1">
      <c r="A248" s="34" t="inlineStr">
        <is>
          <t>Cost &amp; Forecast Control Accounts</t>
        </is>
      </c>
      <c r="B248" s="34" t="inlineStr">
        <is>
          <t>CST-01-026</t>
        </is>
      </c>
      <c r="C248" s="34" t="inlineStr">
        <is>
          <t>Guideway and Civil - temporary works - professional services</t>
        </is>
      </c>
      <c r="D248" s="34" t="inlineStr">
        <is>
          <t>Cost Account = CA-1026; WBS Code = 1.1.2</t>
        </is>
      </c>
      <c r="E248" s="34" t="inlineStr">
        <is>
          <t>R1108-v1</t>
        </is>
      </c>
      <c r="F248" s="34" t="inlineStr">
        <is>
          <t>1.1.2 Guideway and Civil - Utility &amp; Roadworks</t>
        </is>
      </c>
      <c r="G248" s="34" t="inlineStr">
        <is>
          <t>ONE_TO_ONE</t>
        </is>
      </c>
      <c r="H248" s="34" t="inlineStr">
        <is>
          <t>APPROVED</t>
        </is>
      </c>
      <c r="I248" s="34" t="inlineStr">
        <is>
          <t>New</t>
        </is>
      </c>
      <c r="J248" s="34" t="inlineStr">
        <is>
          <t>Source assignment -- not individually reviewed</t>
        </is>
      </c>
      <c r="K248" s="39" t="inlineStr"/>
      <c r="L248" s="14" t="inlineStr"/>
      <c r="M248" s="14" t="inlineStr"/>
      <c r="N248" s="92" t="inlineStr">
        <is>
          <t>10 EVIDENCE &amp; DECISIONS</t>
        </is>
      </c>
    </row>
    <row r="249" ht="34" customHeight="1">
      <c r="A249" s="34" t="inlineStr">
        <is>
          <t>Cost &amp; Forecast Control Accounts</t>
        </is>
      </c>
      <c r="B249" s="34" t="inlineStr">
        <is>
          <t>CST-01-028</t>
        </is>
      </c>
      <c r="C249" s="34" t="inlineStr">
        <is>
          <t>Guideway and Civil - roadworks - closeout</t>
        </is>
      </c>
      <c r="D249" s="34" t="inlineStr">
        <is>
          <t>Cost Account = CA-1028; WBS Code = 1.1.2</t>
        </is>
      </c>
      <c r="E249" s="34" t="inlineStr">
        <is>
          <t>R1110-v1</t>
        </is>
      </c>
      <c r="F249" s="34" t="inlineStr">
        <is>
          <t>1.1.2 Guideway and Civil - Utility &amp; Roadworks</t>
        </is>
      </c>
      <c r="G249" s="34" t="inlineStr">
        <is>
          <t>ONE_TO_ONE</t>
        </is>
      </c>
      <c r="H249" s="34" t="inlineStr">
        <is>
          <t>APPROVED</t>
        </is>
      </c>
      <c r="I249" s="34" t="inlineStr">
        <is>
          <t>New</t>
        </is>
      </c>
      <c r="J249" s="34" t="inlineStr">
        <is>
          <t>Source assignment -- not individually reviewed</t>
        </is>
      </c>
      <c r="K249" s="39" t="inlineStr"/>
      <c r="L249" s="14" t="inlineStr"/>
      <c r="M249" s="14" t="inlineStr"/>
      <c r="N249" s="92" t="inlineStr">
        <is>
          <t>10 EVIDENCE &amp; DECISIONS</t>
        </is>
      </c>
    </row>
    <row r="250" ht="34" customHeight="1">
      <c r="A250" s="34" t="inlineStr">
        <is>
          <t>Cost &amp; Forecast Control Accounts</t>
        </is>
      </c>
      <c r="B250" s="34" t="inlineStr">
        <is>
          <t>CST-01-030</t>
        </is>
      </c>
      <c r="C250" s="34" t="inlineStr">
        <is>
          <t>Guideway and Civil - concrete structures - supply and install</t>
        </is>
      </c>
      <c r="D250" s="34" t="inlineStr">
        <is>
          <t>Cost Account = CA-1030; WBS Code = 1.1.2</t>
        </is>
      </c>
      <c r="E250" s="34" t="inlineStr">
        <is>
          <t>R1112-v1</t>
        </is>
      </c>
      <c r="F250" s="34" t="inlineStr">
        <is>
          <t>1.1.2 Guideway and Civil - Utility &amp; Roadworks</t>
        </is>
      </c>
      <c r="G250" s="34" t="inlineStr">
        <is>
          <t>ONE_TO_ONE</t>
        </is>
      </c>
      <c r="H250" s="34" t="inlineStr">
        <is>
          <t>APPROVED</t>
        </is>
      </c>
      <c r="I250" s="34" t="inlineStr">
        <is>
          <t>New</t>
        </is>
      </c>
      <c r="J250" s="34" t="inlineStr">
        <is>
          <t>Source assignment -- not individually reviewed</t>
        </is>
      </c>
      <c r="K250" s="39" t="inlineStr"/>
      <c r="L250" s="14" t="inlineStr"/>
      <c r="M250" s="14" t="inlineStr"/>
      <c r="N250" s="92" t="inlineStr">
        <is>
          <t>10 EVIDENCE &amp; DECISIONS</t>
        </is>
      </c>
    </row>
    <row r="251" ht="34" customHeight="1">
      <c r="A251" s="34" t="inlineStr">
        <is>
          <t>Cost &amp; Forecast Control Accounts</t>
        </is>
      </c>
      <c r="B251" s="34" t="inlineStr">
        <is>
          <t>CST-01-032</t>
        </is>
      </c>
      <c r="C251" s="34" t="inlineStr">
        <is>
          <t>Guideway and Civil - temporary works - allowance</t>
        </is>
      </c>
      <c r="D251" s="34" t="inlineStr">
        <is>
          <t>Cost Account = CA-1032; WBS Code = 1.1.2</t>
        </is>
      </c>
      <c r="E251" s="34" t="inlineStr">
        <is>
          <t>R1114-v1</t>
        </is>
      </c>
      <c r="F251" s="34" t="inlineStr">
        <is>
          <t>1.1.2 Guideway and Civil - Utility &amp; Roadworks</t>
        </is>
      </c>
      <c r="G251" s="34" t="inlineStr">
        <is>
          <t>ONE_TO_ONE</t>
        </is>
      </c>
      <c r="H251" s="34" t="inlineStr">
        <is>
          <t>APPROVED</t>
        </is>
      </c>
      <c r="I251" s="34" t="inlineStr">
        <is>
          <t>New</t>
        </is>
      </c>
      <c r="J251" s="34" t="inlineStr">
        <is>
          <t>Source assignment -- not individually reviewed</t>
        </is>
      </c>
      <c r="K251" s="39" t="inlineStr"/>
      <c r="L251" s="14" t="inlineStr"/>
      <c r="M251" s="14" t="inlineStr"/>
      <c r="N251" s="92" t="inlineStr">
        <is>
          <t>10 EVIDENCE &amp; DECISIONS</t>
        </is>
      </c>
    </row>
    <row r="252" ht="34" customHeight="1">
      <c r="A252" s="34" t="inlineStr">
        <is>
          <t>Cost &amp; Forecast Control Accounts</t>
        </is>
      </c>
      <c r="B252" s="34" t="inlineStr">
        <is>
          <t>CST-01-034</t>
        </is>
      </c>
      <c r="C252" s="34" t="inlineStr">
        <is>
          <t>Guideway and Civil - roadworks - field package</t>
        </is>
      </c>
      <c r="D252" s="34" t="inlineStr">
        <is>
          <t>Cost Account = CA-1034; WBS Code = 1.1.2</t>
        </is>
      </c>
      <c r="E252" s="34" t="inlineStr">
        <is>
          <t>R1116-v1</t>
        </is>
      </c>
      <c r="F252" s="34" t="inlineStr">
        <is>
          <t>1.1.2 Guideway and Civil - Utility &amp; Roadworks</t>
        </is>
      </c>
      <c r="G252" s="34" t="inlineStr">
        <is>
          <t>ONE_TO_ONE</t>
        </is>
      </c>
      <c r="H252" s="34" t="inlineStr">
        <is>
          <t>APPROVED</t>
        </is>
      </c>
      <c r="I252" s="34" t="inlineStr">
        <is>
          <t>New</t>
        </is>
      </c>
      <c r="J252" s="34" t="inlineStr">
        <is>
          <t>Source assignment -- not individually reviewed</t>
        </is>
      </c>
      <c r="K252" s="39" t="inlineStr"/>
      <c r="L252" s="14" t="inlineStr"/>
      <c r="M252" s="14" t="inlineStr"/>
      <c r="N252" s="92" t="inlineStr">
        <is>
          <t>10 EVIDENCE &amp; DECISIONS</t>
        </is>
      </c>
    </row>
    <row r="253" ht="34" customHeight="1">
      <c r="A253" s="34" t="inlineStr">
        <is>
          <t>Cost &amp; Forecast Control Accounts</t>
        </is>
      </c>
      <c r="B253" s="34" t="inlineStr">
        <is>
          <t>CST-01-036</t>
        </is>
      </c>
      <c r="C253" s="34" t="inlineStr">
        <is>
          <t>Guideway and Civil - concrete structures - professional services</t>
        </is>
      </c>
      <c r="D253" s="34" t="inlineStr">
        <is>
          <t>Cost Account = CA-1036; WBS Code = 1.1.2</t>
        </is>
      </c>
      <c r="E253" s="34" t="inlineStr">
        <is>
          <t>R1118-v1</t>
        </is>
      </c>
      <c r="F253" s="34" t="inlineStr">
        <is>
          <t>1.1.2 Guideway and Civil - Utility &amp; Roadworks</t>
        </is>
      </c>
      <c r="G253" s="34" t="inlineStr">
        <is>
          <t>ONE_TO_ONE</t>
        </is>
      </c>
      <c r="H253" s="34" t="inlineStr">
        <is>
          <t>APPROVED</t>
        </is>
      </c>
      <c r="I253" s="34" t="inlineStr">
        <is>
          <t>New</t>
        </is>
      </c>
      <c r="J253" s="34" t="inlineStr">
        <is>
          <t>Source assignment -- not individually reviewed</t>
        </is>
      </c>
      <c r="K253" s="39" t="inlineStr"/>
      <c r="L253" s="14" t="inlineStr"/>
      <c r="M253" s="14" t="inlineStr"/>
      <c r="N253" s="92" t="inlineStr">
        <is>
          <t>10 EVIDENCE &amp; DECISIONS</t>
        </is>
      </c>
    </row>
    <row r="254" ht="34" customHeight="1">
      <c r="A254" s="34" t="inlineStr">
        <is>
          <t>Cost &amp; Forecast Control Accounts</t>
        </is>
      </c>
      <c r="B254" s="34" t="inlineStr">
        <is>
          <t>CST-01-038</t>
        </is>
      </c>
      <c r="C254" s="34" t="inlineStr">
        <is>
          <t>Guideway and Civil - temporary works - closeout</t>
        </is>
      </c>
      <c r="D254" s="34" t="inlineStr">
        <is>
          <t>Cost Account = CA-1038; WBS Code = 1.1.2</t>
        </is>
      </c>
      <c r="E254" s="34" t="inlineStr">
        <is>
          <t>R1120-v1</t>
        </is>
      </c>
      <c r="F254" s="34" t="inlineStr">
        <is>
          <t>1.1.2 Guideway and Civil - Utility &amp; Roadworks</t>
        </is>
      </c>
      <c r="G254" s="34" t="inlineStr">
        <is>
          <t>ONE_TO_ONE</t>
        </is>
      </c>
      <c r="H254" s="34" t="inlineStr">
        <is>
          <t>APPROVED</t>
        </is>
      </c>
      <c r="I254" s="34" t="inlineStr">
        <is>
          <t>New</t>
        </is>
      </c>
      <c r="J254" s="34" t="inlineStr">
        <is>
          <t>Source assignment -- not individually reviewed</t>
        </is>
      </c>
      <c r="K254" s="39" t="inlineStr"/>
      <c r="L254" s="14" t="inlineStr"/>
      <c r="M254" s="14" t="inlineStr"/>
      <c r="N254" s="92" t="inlineStr">
        <is>
          <t>10 EVIDENCE &amp; DECISIONS</t>
        </is>
      </c>
    </row>
    <row r="255" ht="34" customHeight="1">
      <c r="A255" s="34" t="inlineStr">
        <is>
          <t>Cost &amp; Forecast Control Accounts</t>
        </is>
      </c>
      <c r="B255" s="34" t="inlineStr">
        <is>
          <t>CST-01-040</t>
        </is>
      </c>
      <c r="C255" s="34" t="inlineStr">
        <is>
          <t>Guideway and Civil - roadworks - supply and install</t>
        </is>
      </c>
      <c r="D255" s="34" t="inlineStr">
        <is>
          <t>Cost Account = CA-1040; WBS Code = 1.1.2</t>
        </is>
      </c>
      <c r="E255" s="34" t="inlineStr">
        <is>
          <t>R1122-v1</t>
        </is>
      </c>
      <c r="F255" s="34" t="inlineStr">
        <is>
          <t>1.1.2 Guideway and Civil - Utility &amp; Roadworks</t>
        </is>
      </c>
      <c r="G255" s="34" t="inlineStr">
        <is>
          <t>ONE_TO_ONE</t>
        </is>
      </c>
      <c r="H255" s="34" t="inlineStr">
        <is>
          <t>APPROVED</t>
        </is>
      </c>
      <c r="I255" s="34" t="inlineStr">
        <is>
          <t>New</t>
        </is>
      </c>
      <c r="J255" s="34" t="inlineStr">
        <is>
          <t>Source assignment -- not individually reviewed</t>
        </is>
      </c>
      <c r="K255" s="39" t="inlineStr"/>
      <c r="L255" s="14" t="inlineStr"/>
      <c r="M255" s="14" t="inlineStr"/>
      <c r="N255" s="92" t="inlineStr">
        <is>
          <t>10 EVIDENCE &amp; DECISIONS</t>
        </is>
      </c>
    </row>
    <row r="256" ht="34" customHeight="1">
      <c r="A256" s="34" t="inlineStr">
        <is>
          <t>Cost &amp; Forecast Control Accounts</t>
        </is>
      </c>
      <c r="B256" s="34" t="inlineStr">
        <is>
          <t>CST-01-042</t>
        </is>
      </c>
      <c r="C256" s="34" t="inlineStr">
        <is>
          <t>Guideway and Civil - concrete structures - allowance</t>
        </is>
      </c>
      <c r="D256" s="34" t="inlineStr">
        <is>
          <t>Cost Account = CA-1042; WBS Code = 1.1.2</t>
        </is>
      </c>
      <c r="E256" s="34" t="inlineStr">
        <is>
          <t>R1124-v1</t>
        </is>
      </c>
      <c r="F256" s="34" t="inlineStr">
        <is>
          <t>1.1.2 Guideway and Civil - Utility &amp; Roadworks</t>
        </is>
      </c>
      <c r="G256" s="34" t="inlineStr">
        <is>
          <t>ONE_TO_ONE</t>
        </is>
      </c>
      <c r="H256" s="34" t="inlineStr">
        <is>
          <t>APPROVED</t>
        </is>
      </c>
      <c r="I256" s="34" t="inlineStr">
        <is>
          <t>New</t>
        </is>
      </c>
      <c r="J256" s="34" t="inlineStr">
        <is>
          <t>Source assignment -- not individually reviewed</t>
        </is>
      </c>
      <c r="K256" s="39" t="inlineStr"/>
      <c r="L256" s="14" t="inlineStr"/>
      <c r="M256" s="14" t="inlineStr"/>
      <c r="N256" s="92" t="inlineStr">
        <is>
          <t>10 EVIDENCE &amp; DECISIONS</t>
        </is>
      </c>
    </row>
    <row r="257" ht="34" customHeight="1">
      <c r="A257" s="34" t="inlineStr">
        <is>
          <t>Cost &amp; Forecast Control Accounts</t>
        </is>
      </c>
      <c r="B257" s="34" t="inlineStr">
        <is>
          <t>CST-01-044</t>
        </is>
      </c>
      <c r="C257" s="34" t="inlineStr">
        <is>
          <t>Guideway and Civil - temporary works - field package</t>
        </is>
      </c>
      <c r="D257" s="34" t="inlineStr">
        <is>
          <t>Cost Account = CA-1044; WBS Code = 1.1.2</t>
        </is>
      </c>
      <c r="E257" s="34" t="inlineStr">
        <is>
          <t>R1126-v1</t>
        </is>
      </c>
      <c r="F257" s="34" t="inlineStr">
        <is>
          <t>1.1.2 Guideway and Civil - Utility &amp; Roadworks</t>
        </is>
      </c>
      <c r="G257" s="34" t="inlineStr">
        <is>
          <t>ONE_TO_ONE</t>
        </is>
      </c>
      <c r="H257" s="34" t="inlineStr">
        <is>
          <t>APPROVED</t>
        </is>
      </c>
      <c r="I257" s="34" t="inlineStr">
        <is>
          <t>New</t>
        </is>
      </c>
      <c r="J257" s="34" t="inlineStr">
        <is>
          <t>Source assignment -- not individually reviewed</t>
        </is>
      </c>
      <c r="K257" s="39" t="inlineStr"/>
      <c r="L257" s="14" t="inlineStr"/>
      <c r="M257" s="14" t="inlineStr"/>
      <c r="N257" s="92" t="inlineStr">
        <is>
          <t>10 EVIDENCE &amp; DECISIONS</t>
        </is>
      </c>
    </row>
    <row r="258" ht="34" customHeight="1">
      <c r="A258" s="34" t="inlineStr">
        <is>
          <t>Cost &amp; Forecast Control Accounts</t>
        </is>
      </c>
      <c r="B258" s="34" t="inlineStr">
        <is>
          <t>CST-01-046</t>
        </is>
      </c>
      <c r="C258" s="34" t="inlineStr">
        <is>
          <t>Guideway and Civil - roadworks - professional services</t>
        </is>
      </c>
      <c r="D258" s="34" t="inlineStr">
        <is>
          <t>Cost Account = CA-1046; WBS Code = 1.1.2</t>
        </is>
      </c>
      <c r="E258" s="34" t="inlineStr">
        <is>
          <t>R1128-v1</t>
        </is>
      </c>
      <c r="F258" s="34" t="inlineStr">
        <is>
          <t>1.1.2 Guideway and Civil - Utility &amp; Roadworks</t>
        </is>
      </c>
      <c r="G258" s="34" t="inlineStr">
        <is>
          <t>ONE_TO_ONE</t>
        </is>
      </c>
      <c r="H258" s="34" t="inlineStr">
        <is>
          <t>APPROVED</t>
        </is>
      </c>
      <c r="I258" s="34" t="inlineStr">
        <is>
          <t>New</t>
        </is>
      </c>
      <c r="J258" s="34" t="inlineStr">
        <is>
          <t>Source assignment -- not individually reviewed</t>
        </is>
      </c>
      <c r="K258" s="39" t="inlineStr"/>
      <c r="L258" s="14" t="inlineStr"/>
      <c r="M258" s="14" t="inlineStr"/>
      <c r="N258" s="92" t="inlineStr">
        <is>
          <t>10 EVIDENCE &amp; DECISIONS</t>
        </is>
      </c>
    </row>
    <row r="259" ht="34" customHeight="1">
      <c r="A259" s="34" t="inlineStr">
        <is>
          <t>Cost &amp; Forecast Control Accounts</t>
        </is>
      </c>
      <c r="B259" s="34" t="inlineStr">
        <is>
          <t>CST-01-048</t>
        </is>
      </c>
      <c r="C259" s="34" t="inlineStr">
        <is>
          <t>Guideway and Civil - concrete structures - closeout</t>
        </is>
      </c>
      <c r="D259" s="34" t="inlineStr">
        <is>
          <t>Cost Account = CA-1048; WBS Code = 1.1.2</t>
        </is>
      </c>
      <c r="E259" s="34" t="inlineStr">
        <is>
          <t>R1130-v1</t>
        </is>
      </c>
      <c r="F259" s="34" t="inlineStr">
        <is>
          <t>1.1.2 Guideway and Civil - Utility &amp; Roadworks</t>
        </is>
      </c>
      <c r="G259" s="34" t="inlineStr">
        <is>
          <t>ONE_TO_ONE</t>
        </is>
      </c>
      <c r="H259" s="34" t="inlineStr">
        <is>
          <t>APPROVED</t>
        </is>
      </c>
      <c r="I259" s="34" t="inlineStr">
        <is>
          <t>New</t>
        </is>
      </c>
      <c r="J259" s="34" t="inlineStr">
        <is>
          <t>Source assignment -- not individually reviewed</t>
        </is>
      </c>
      <c r="K259" s="39" t="inlineStr"/>
      <c r="L259" s="14" t="inlineStr"/>
      <c r="M259" s="14" t="inlineStr"/>
      <c r="N259" s="92" t="inlineStr">
        <is>
          <t>10 EVIDENCE &amp; DECISIONS</t>
        </is>
      </c>
    </row>
    <row r="260" ht="34" customHeight="1">
      <c r="A260" s="34" t="inlineStr">
        <is>
          <t>Cost &amp; Forecast Control Accounts</t>
        </is>
      </c>
      <c r="B260" s="34" t="inlineStr">
        <is>
          <t>CST-01-050</t>
        </is>
      </c>
      <c r="C260" s="34" t="inlineStr">
        <is>
          <t>Guideway and Civil - temporary works - supply and install</t>
        </is>
      </c>
      <c r="D260" s="34" t="inlineStr">
        <is>
          <t>Cost Account = CA-1050; WBS Code = 1.1.2</t>
        </is>
      </c>
      <c r="E260" s="34" t="inlineStr">
        <is>
          <t>R1132-v1</t>
        </is>
      </c>
      <c r="F260" s="34" t="inlineStr">
        <is>
          <t>1.1.2 Guideway and Civil - Utility &amp; Roadworks</t>
        </is>
      </c>
      <c r="G260" s="34" t="inlineStr">
        <is>
          <t>ONE_TO_ONE</t>
        </is>
      </c>
      <c r="H260" s="34" t="inlineStr">
        <is>
          <t>APPROVED</t>
        </is>
      </c>
      <c r="I260" s="34" t="inlineStr">
        <is>
          <t>New</t>
        </is>
      </c>
      <c r="J260" s="34" t="inlineStr">
        <is>
          <t>Source assignment -- not individually reviewed</t>
        </is>
      </c>
      <c r="K260" s="39" t="inlineStr"/>
      <c r="L260" s="14" t="inlineStr"/>
      <c r="M260" s="14" t="inlineStr"/>
      <c r="N260" s="92" t="inlineStr">
        <is>
          <t>10 EVIDENCE &amp; DECISIONS</t>
        </is>
      </c>
    </row>
    <row r="261" ht="34" customHeight="1">
      <c r="A261" s="34" t="inlineStr">
        <is>
          <t>Cost &amp; Forecast Control Accounts</t>
        </is>
      </c>
      <c r="B261" s="34" t="inlineStr">
        <is>
          <t>CST-01-052</t>
        </is>
      </c>
      <c r="C261" s="34" t="inlineStr">
        <is>
          <t>Guideway and Civil - roadworks - allowance</t>
        </is>
      </c>
      <c r="D261" s="34" t="inlineStr">
        <is>
          <t>Cost Account = CA-1052; WBS Code = 1.1.2</t>
        </is>
      </c>
      <c r="E261" s="34" t="inlineStr">
        <is>
          <t>R1134-v1</t>
        </is>
      </c>
      <c r="F261" s="34" t="inlineStr">
        <is>
          <t>1.1.2 Guideway and Civil - Utility &amp; Roadworks</t>
        </is>
      </c>
      <c r="G261" s="34" t="inlineStr">
        <is>
          <t>ONE_TO_ONE</t>
        </is>
      </c>
      <c r="H261" s="34" t="inlineStr">
        <is>
          <t>APPROVED</t>
        </is>
      </c>
      <c r="I261" s="34" t="inlineStr">
        <is>
          <t>New</t>
        </is>
      </c>
      <c r="J261" s="34" t="inlineStr">
        <is>
          <t>Source assignment -- not individually reviewed</t>
        </is>
      </c>
      <c r="K261" s="39" t="inlineStr"/>
      <c r="L261" s="14" t="inlineStr"/>
      <c r="M261" s="14" t="inlineStr"/>
      <c r="N261" s="92" t="inlineStr">
        <is>
          <t>10 EVIDENCE &amp; DECISIONS</t>
        </is>
      </c>
    </row>
    <row r="262" ht="34" customHeight="1">
      <c r="A262" s="34" t="inlineStr">
        <is>
          <t>Cost &amp; Forecast Control Accounts</t>
        </is>
      </c>
      <c r="B262" s="34" t="inlineStr">
        <is>
          <t>CST-01-054</t>
        </is>
      </c>
      <c r="C262" s="34" t="inlineStr">
        <is>
          <t>Guideway and Civil - concrete structures - field package</t>
        </is>
      </c>
      <c r="D262" s="34" t="inlineStr">
        <is>
          <t>Cost Account = CA-1054; WBS Code = 1.1.2</t>
        </is>
      </c>
      <c r="E262" s="34" t="inlineStr">
        <is>
          <t>R1136-v1</t>
        </is>
      </c>
      <c r="F262" s="34" t="inlineStr">
        <is>
          <t>1.1.2 Guideway and Civil - Utility &amp; Roadworks</t>
        </is>
      </c>
      <c r="G262" s="34" t="inlineStr">
        <is>
          <t>ONE_TO_ONE</t>
        </is>
      </c>
      <c r="H262" s="34" t="inlineStr">
        <is>
          <t>APPROVED</t>
        </is>
      </c>
      <c r="I262" s="34" t="inlineStr">
        <is>
          <t>New</t>
        </is>
      </c>
      <c r="J262" s="34" t="inlineStr">
        <is>
          <t>Source assignment -- not individually reviewed</t>
        </is>
      </c>
      <c r="K262" s="39" t="inlineStr"/>
      <c r="L262" s="14" t="inlineStr"/>
      <c r="M262" s="14" t="inlineStr"/>
      <c r="N262" s="92" t="inlineStr">
        <is>
          <t>10 EVIDENCE &amp; DECISIONS</t>
        </is>
      </c>
    </row>
    <row r="263" ht="34" customHeight="1">
      <c r="A263" s="34" t="inlineStr">
        <is>
          <t>Cost &amp; Forecast Control Accounts</t>
        </is>
      </c>
      <c r="B263" s="34" t="inlineStr">
        <is>
          <t>CST-01-056</t>
        </is>
      </c>
      <c r="C263" s="34" t="inlineStr">
        <is>
          <t>Guideway and Civil - temporary works - professional services</t>
        </is>
      </c>
      <c r="D263" s="34" t="inlineStr">
        <is>
          <t>Cost Account = CA-1056; WBS Code = 1.1.2</t>
        </is>
      </c>
      <c r="E263" s="34" t="inlineStr">
        <is>
          <t>R1138-v1</t>
        </is>
      </c>
      <c r="F263" s="34" t="inlineStr">
        <is>
          <t>1.1.2 Guideway and Civil - Utility &amp; Roadworks</t>
        </is>
      </c>
      <c r="G263" s="34" t="inlineStr">
        <is>
          <t>ONE_TO_ONE</t>
        </is>
      </c>
      <c r="H263" s="34" t="inlineStr">
        <is>
          <t>APPROVED</t>
        </is>
      </c>
      <c r="I263" s="34" t="inlineStr">
        <is>
          <t>New</t>
        </is>
      </c>
      <c r="J263" s="34" t="inlineStr">
        <is>
          <t>Source assignment -- not individually reviewed</t>
        </is>
      </c>
      <c r="K263" s="39" t="inlineStr"/>
      <c r="L263" s="14" t="inlineStr"/>
      <c r="M263" s="14" t="inlineStr"/>
      <c r="N263" s="92" t="inlineStr">
        <is>
          <t>10 EVIDENCE &amp; DECISIONS</t>
        </is>
      </c>
    </row>
    <row r="264" ht="34" customHeight="1">
      <c r="A264" s="34" t="inlineStr">
        <is>
          <t>Cost &amp; Forecast Control Accounts</t>
        </is>
      </c>
      <c r="B264" s="34" t="inlineStr">
        <is>
          <t>CST-01-058</t>
        </is>
      </c>
      <c r="C264" s="34" t="inlineStr">
        <is>
          <t>Guideway and Civil - roadworks - closeout</t>
        </is>
      </c>
      <c r="D264" s="34" t="inlineStr">
        <is>
          <t>Cost Account = CA-1058; WBS Code = 1.1.2</t>
        </is>
      </c>
      <c r="E264" s="34" t="inlineStr">
        <is>
          <t>R1140-v1</t>
        </is>
      </c>
      <c r="F264" s="34" t="inlineStr">
        <is>
          <t>1.1.2 Guideway and Civil - Utility &amp; Roadworks</t>
        </is>
      </c>
      <c r="G264" s="34" t="inlineStr">
        <is>
          <t>ONE_TO_ONE</t>
        </is>
      </c>
      <c r="H264" s="34" t="inlineStr">
        <is>
          <t>APPROVED</t>
        </is>
      </c>
      <c r="I264" s="34" t="inlineStr">
        <is>
          <t>New</t>
        </is>
      </c>
      <c r="J264" s="34" t="inlineStr">
        <is>
          <t>Source assignment -- not individually reviewed</t>
        </is>
      </c>
      <c r="K264" s="39" t="inlineStr"/>
      <c r="L264" s="14" t="inlineStr"/>
      <c r="M264" s="14" t="inlineStr"/>
      <c r="N264" s="92" t="inlineStr">
        <is>
          <t>10 EVIDENCE &amp; DECISIONS</t>
        </is>
      </c>
    </row>
    <row r="265" ht="34" customHeight="1">
      <c r="A265" s="34" t="inlineStr">
        <is>
          <t>Cost &amp; Forecast Control Accounts</t>
        </is>
      </c>
      <c r="B265" s="34" t="inlineStr">
        <is>
          <t>CST-01-060</t>
        </is>
      </c>
      <c r="C265" s="34" t="inlineStr">
        <is>
          <t>Guideway and Civil - concrete structures - supply and install</t>
        </is>
      </c>
      <c r="D265" s="34" t="inlineStr">
        <is>
          <t>Cost Account = CA-1060; WBS Code = 1.1.2</t>
        </is>
      </c>
      <c r="E265" s="34" t="inlineStr">
        <is>
          <t>R1142-v1</t>
        </is>
      </c>
      <c r="F265" s="34" t="inlineStr">
        <is>
          <t>1.1.2 Guideway and Civil - Utility &amp; Roadworks</t>
        </is>
      </c>
      <c r="G265" s="34" t="inlineStr">
        <is>
          <t>ONE_TO_ONE</t>
        </is>
      </c>
      <c r="H265" s="34" t="inlineStr">
        <is>
          <t>APPROVED</t>
        </is>
      </c>
      <c r="I265" s="34" t="inlineStr">
        <is>
          <t>New</t>
        </is>
      </c>
      <c r="J265" s="34" t="inlineStr">
        <is>
          <t>Source assignment -- not individually reviewed</t>
        </is>
      </c>
      <c r="K265" s="39" t="inlineStr"/>
      <c r="L265" s="14" t="inlineStr"/>
      <c r="M265" s="14" t="inlineStr"/>
      <c r="N265" s="92" t="inlineStr">
        <is>
          <t>10 EVIDENCE &amp; DECISIONS</t>
        </is>
      </c>
    </row>
    <row r="266" ht="34" customHeight="1">
      <c r="A266" s="34" t="inlineStr">
        <is>
          <t>Cost &amp; Forecast Control Accounts</t>
        </is>
      </c>
      <c r="B266" s="34" t="inlineStr">
        <is>
          <t>CST-01-062</t>
        </is>
      </c>
      <c r="C266" s="34" t="inlineStr">
        <is>
          <t>Guideway and Civil - temporary works - allowance</t>
        </is>
      </c>
      <c r="D266" s="34" t="inlineStr">
        <is>
          <t>Cost Account = CA-1062; WBS Code = 1.1.2</t>
        </is>
      </c>
      <c r="E266" s="34" t="inlineStr">
        <is>
          <t>R1144-v1</t>
        </is>
      </c>
      <c r="F266" s="34" t="inlineStr">
        <is>
          <t>1.1.2 Guideway and Civil - Utility &amp; Roadworks</t>
        </is>
      </c>
      <c r="G266" s="34" t="inlineStr">
        <is>
          <t>ONE_TO_ONE</t>
        </is>
      </c>
      <c r="H266" s="34" t="inlineStr">
        <is>
          <t>APPROVED</t>
        </is>
      </c>
      <c r="I266" s="34" t="inlineStr">
        <is>
          <t>New</t>
        </is>
      </c>
      <c r="J266" s="34" t="inlineStr">
        <is>
          <t>Source assignment -- not individually reviewed</t>
        </is>
      </c>
      <c r="K266" s="39" t="inlineStr"/>
      <c r="L266" s="14" t="inlineStr"/>
      <c r="M266" s="14" t="inlineStr"/>
      <c r="N266" s="92" t="inlineStr">
        <is>
          <t>10 EVIDENCE &amp; DECISIONS</t>
        </is>
      </c>
    </row>
    <row r="267" ht="34" customHeight="1">
      <c r="A267" s="34" t="inlineStr">
        <is>
          <t>Cost &amp; Forecast Control Accounts</t>
        </is>
      </c>
      <c r="B267" s="34" t="inlineStr">
        <is>
          <t>CST-01-064</t>
        </is>
      </c>
      <c r="C267" s="34" t="inlineStr">
        <is>
          <t>Guideway and Civil - roadworks - field package</t>
        </is>
      </c>
      <c r="D267" s="34" t="inlineStr">
        <is>
          <t>Cost Account = CA-1064; WBS Code = 1.1.2</t>
        </is>
      </c>
      <c r="E267" s="34" t="inlineStr">
        <is>
          <t>R1146-v1</t>
        </is>
      </c>
      <c r="F267" s="34" t="inlineStr">
        <is>
          <t>1.1.2 Guideway and Civil - Utility &amp; Roadworks</t>
        </is>
      </c>
      <c r="G267" s="34" t="inlineStr">
        <is>
          <t>ONE_TO_ONE</t>
        </is>
      </c>
      <c r="H267" s="34" t="inlineStr">
        <is>
          <t>APPROVED</t>
        </is>
      </c>
      <c r="I267" s="34" t="inlineStr">
        <is>
          <t>New</t>
        </is>
      </c>
      <c r="J267" s="34" t="inlineStr">
        <is>
          <t>Source assignment -- not individually reviewed</t>
        </is>
      </c>
      <c r="K267" s="39" t="inlineStr"/>
      <c r="L267" s="14" t="inlineStr"/>
      <c r="M267" s="14" t="inlineStr"/>
      <c r="N267" s="92" t="inlineStr">
        <is>
          <t>10 EVIDENCE &amp; DECISIONS</t>
        </is>
      </c>
    </row>
    <row r="268" ht="34" customHeight="1">
      <c r="A268" s="34" t="inlineStr">
        <is>
          <t>Cost &amp; Forecast Control Accounts</t>
        </is>
      </c>
      <c r="B268" s="34" t="inlineStr">
        <is>
          <t>CST-01-066</t>
        </is>
      </c>
      <c r="C268" s="34" t="inlineStr">
        <is>
          <t>Guideway and Civil - concrete structures - professional services</t>
        </is>
      </c>
      <c r="D268" s="34" t="inlineStr">
        <is>
          <t>Cost Account = CA-1066; WBS Code = 1.1.2</t>
        </is>
      </c>
      <c r="E268" s="34" t="inlineStr">
        <is>
          <t>R1148-v1</t>
        </is>
      </c>
      <c r="F268" s="34" t="inlineStr">
        <is>
          <t>1.1.2 Guideway and Civil - Utility &amp; Roadworks</t>
        </is>
      </c>
      <c r="G268" s="34" t="inlineStr">
        <is>
          <t>ONE_TO_ONE</t>
        </is>
      </c>
      <c r="H268" s="34" t="inlineStr">
        <is>
          <t>APPROVED</t>
        </is>
      </c>
      <c r="I268" s="34" t="inlineStr">
        <is>
          <t>New</t>
        </is>
      </c>
      <c r="J268" s="34" t="inlineStr">
        <is>
          <t>Source assignment -- not individually reviewed</t>
        </is>
      </c>
      <c r="K268" s="39" t="inlineStr"/>
      <c r="L268" s="14" t="inlineStr"/>
      <c r="M268" s="14" t="inlineStr"/>
      <c r="N268" s="92" t="inlineStr">
        <is>
          <t>10 EVIDENCE &amp; DECISIONS</t>
        </is>
      </c>
    </row>
    <row r="269" ht="34" customHeight="1">
      <c r="A269" s="34" t="inlineStr">
        <is>
          <t>Cost &amp; Forecast Control Accounts</t>
        </is>
      </c>
      <c r="B269" s="34" t="inlineStr">
        <is>
          <t>CST-01-068</t>
        </is>
      </c>
      <c r="C269" s="34" t="inlineStr">
        <is>
          <t>Guideway and Civil - temporary works - closeout</t>
        </is>
      </c>
      <c r="D269" s="34" t="inlineStr">
        <is>
          <t>Cost Account = CA-1068; WBS Code = 1.1.2</t>
        </is>
      </c>
      <c r="E269" s="34" t="inlineStr">
        <is>
          <t>R1150-v1</t>
        </is>
      </c>
      <c r="F269" s="34" t="inlineStr">
        <is>
          <t>1.1.2 Guideway and Civil - Utility &amp; Roadworks</t>
        </is>
      </c>
      <c r="G269" s="34" t="inlineStr">
        <is>
          <t>ONE_TO_ONE</t>
        </is>
      </c>
      <c r="H269" s="34" t="inlineStr">
        <is>
          <t>APPROVED</t>
        </is>
      </c>
      <c r="I269" s="34" t="inlineStr">
        <is>
          <t>New</t>
        </is>
      </c>
      <c r="J269" s="34" t="inlineStr">
        <is>
          <t>Source assignment -- not individually reviewed</t>
        </is>
      </c>
      <c r="K269" s="39" t="inlineStr"/>
      <c r="L269" s="14" t="inlineStr"/>
      <c r="M269" s="14" t="inlineStr"/>
      <c r="N269" s="92" t="inlineStr">
        <is>
          <t>10 EVIDENCE &amp; DECISIONS</t>
        </is>
      </c>
    </row>
    <row r="270" ht="34" customHeight="1">
      <c r="A270" s="34" t="inlineStr">
        <is>
          <t>Cost &amp; Forecast Control Accounts</t>
        </is>
      </c>
      <c r="B270" s="34" t="inlineStr">
        <is>
          <t>CST-01-070</t>
        </is>
      </c>
      <c r="C270" s="34" t="inlineStr">
        <is>
          <t>Guideway and Civil - roadworks - supply and install</t>
        </is>
      </c>
      <c r="D270" s="34" t="inlineStr">
        <is>
          <t>Cost Account = CA-1070; WBS Code = 1.1.2</t>
        </is>
      </c>
      <c r="E270" s="34" t="inlineStr">
        <is>
          <t>R1152-v1</t>
        </is>
      </c>
      <c r="F270" s="34" t="inlineStr">
        <is>
          <t>1.1.2 Guideway and Civil - Utility &amp; Roadworks</t>
        </is>
      </c>
      <c r="G270" s="34" t="inlineStr">
        <is>
          <t>ONE_TO_ONE</t>
        </is>
      </c>
      <c r="H270" s="34" t="inlineStr">
        <is>
          <t>APPROVED</t>
        </is>
      </c>
      <c r="I270" s="34" t="inlineStr">
        <is>
          <t>New</t>
        </is>
      </c>
      <c r="J270" s="34" t="inlineStr">
        <is>
          <t>Source assignment -- not individually reviewed</t>
        </is>
      </c>
      <c r="K270" s="39" t="inlineStr"/>
      <c r="L270" s="14" t="inlineStr"/>
      <c r="M270" s="14" t="inlineStr"/>
      <c r="N270" s="92" t="inlineStr">
        <is>
          <t>10 EVIDENCE &amp; DECISIONS</t>
        </is>
      </c>
    </row>
    <row r="271" ht="34" customHeight="1">
      <c r="A271" s="34" t="inlineStr">
        <is>
          <t>Cost &amp; Forecast Control Accounts</t>
        </is>
      </c>
      <c r="B271" s="34" t="inlineStr">
        <is>
          <t>CST-01-072</t>
        </is>
      </c>
      <c r="C271" s="34" t="inlineStr">
        <is>
          <t>Guideway and Civil - concrete structures - allowance</t>
        </is>
      </c>
      <c r="D271" s="34" t="inlineStr">
        <is>
          <t>Cost Account = CA-1072; WBS Code = 1.1.2</t>
        </is>
      </c>
      <c r="E271" s="34" t="inlineStr">
        <is>
          <t>R1154-v1</t>
        </is>
      </c>
      <c r="F271" s="34" t="inlineStr">
        <is>
          <t>1.1.2 Guideway and Civil - Utility &amp; Roadworks</t>
        </is>
      </c>
      <c r="G271" s="34" t="inlineStr">
        <is>
          <t>ONE_TO_ONE</t>
        </is>
      </c>
      <c r="H271" s="34" t="inlineStr">
        <is>
          <t>APPROVED</t>
        </is>
      </c>
      <c r="I271" s="34" t="inlineStr">
        <is>
          <t>New</t>
        </is>
      </c>
      <c r="J271" s="34" t="inlineStr">
        <is>
          <t>Source assignment -- not individually reviewed</t>
        </is>
      </c>
      <c r="K271" s="39" t="inlineStr"/>
      <c r="L271" s="14" t="inlineStr"/>
      <c r="M271" s="14" t="inlineStr"/>
      <c r="N271" s="92" t="inlineStr">
        <is>
          <t>10 EVIDENCE &amp; DECISIONS</t>
        </is>
      </c>
    </row>
    <row r="272" ht="34" customHeight="1">
      <c r="A272" s="34" t="inlineStr">
        <is>
          <t>Cost &amp; Forecast Control Accounts</t>
        </is>
      </c>
      <c r="B272" s="34" t="inlineStr">
        <is>
          <t>CST-01-074</t>
        </is>
      </c>
      <c r="C272" s="34" t="inlineStr">
        <is>
          <t>Guideway and Civil - temporary works - field package</t>
        </is>
      </c>
      <c r="D272" s="34" t="inlineStr">
        <is>
          <t>Cost Account = CA-1074; WBS Code = 1.1.2</t>
        </is>
      </c>
      <c r="E272" s="34" t="inlineStr">
        <is>
          <t>R1156-v1</t>
        </is>
      </c>
      <c r="F272" s="34" t="inlineStr">
        <is>
          <t>1.1.2 Guideway and Civil - Utility &amp; Roadworks</t>
        </is>
      </c>
      <c r="G272" s="34" t="inlineStr">
        <is>
          <t>ONE_TO_ONE</t>
        </is>
      </c>
      <c r="H272" s="34" t="inlineStr">
        <is>
          <t>APPROVED</t>
        </is>
      </c>
      <c r="I272" s="34" t="inlineStr">
        <is>
          <t>New</t>
        </is>
      </c>
      <c r="J272" s="34" t="inlineStr">
        <is>
          <t>Source assignment -- not individually reviewed</t>
        </is>
      </c>
      <c r="K272" s="39" t="inlineStr"/>
      <c r="L272" s="14" t="inlineStr"/>
      <c r="M272" s="14" t="inlineStr"/>
      <c r="N272" s="92" t="inlineStr">
        <is>
          <t>10 EVIDENCE &amp; DECISIONS</t>
        </is>
      </c>
    </row>
    <row r="273" ht="34" customHeight="1">
      <c r="A273" s="34" t="inlineStr">
        <is>
          <t>Cost &amp; Forecast Control Accounts</t>
        </is>
      </c>
      <c r="B273" s="34" t="inlineStr">
        <is>
          <t>CST-01-076</t>
        </is>
      </c>
      <c r="C273" s="34" t="inlineStr">
        <is>
          <t>Guideway and Civil - roadworks - professional services</t>
        </is>
      </c>
      <c r="D273" s="34" t="inlineStr">
        <is>
          <t>Cost Account = CA-1076; WBS Code = 1.1.2</t>
        </is>
      </c>
      <c r="E273" s="34" t="inlineStr">
        <is>
          <t>R1158-v1</t>
        </is>
      </c>
      <c r="F273" s="34" t="inlineStr">
        <is>
          <t>1.1.2 Guideway and Civil - Utility &amp; Roadworks</t>
        </is>
      </c>
      <c r="G273" s="34" t="inlineStr">
        <is>
          <t>ONE_TO_ONE</t>
        </is>
      </c>
      <c r="H273" s="34" t="inlineStr">
        <is>
          <t>APPROVED</t>
        </is>
      </c>
      <c r="I273" s="34" t="inlineStr">
        <is>
          <t>New</t>
        </is>
      </c>
      <c r="J273" s="34" t="inlineStr">
        <is>
          <t>Source assignment -- not individually reviewed</t>
        </is>
      </c>
      <c r="K273" s="39" t="inlineStr"/>
      <c r="L273" s="14" t="inlineStr"/>
      <c r="M273" s="14" t="inlineStr"/>
      <c r="N273" s="92" t="inlineStr">
        <is>
          <t>10 EVIDENCE &amp; DECISIONS</t>
        </is>
      </c>
    </row>
    <row r="274" ht="34" customHeight="1">
      <c r="A274" s="34" t="inlineStr">
        <is>
          <t>Cost &amp; Forecast Control Accounts</t>
        </is>
      </c>
      <c r="B274" s="34" t="inlineStr">
        <is>
          <t>CST-01-078</t>
        </is>
      </c>
      <c r="C274" s="34" t="inlineStr">
        <is>
          <t>Guideway and Civil - concrete structures - closeout</t>
        </is>
      </c>
      <c r="D274" s="34" t="inlineStr">
        <is>
          <t>Cost Account = CA-1078; WBS Code = 1.1.2</t>
        </is>
      </c>
      <c r="E274" s="34" t="inlineStr">
        <is>
          <t>R1160-v1</t>
        </is>
      </c>
      <c r="F274" s="34" t="inlineStr">
        <is>
          <t>1.1.2 Guideway and Civil - Utility &amp; Roadworks</t>
        </is>
      </c>
      <c r="G274" s="34" t="inlineStr">
        <is>
          <t>ONE_TO_ONE</t>
        </is>
      </c>
      <c r="H274" s="34" t="inlineStr">
        <is>
          <t>APPROVED</t>
        </is>
      </c>
      <c r="I274" s="34" t="inlineStr">
        <is>
          <t>New</t>
        </is>
      </c>
      <c r="J274" s="34" t="inlineStr">
        <is>
          <t>Source assignment -- not individually reviewed</t>
        </is>
      </c>
      <c r="K274" s="39" t="inlineStr"/>
      <c r="L274" s="14" t="inlineStr"/>
      <c r="M274" s="14" t="inlineStr"/>
      <c r="N274" s="92" t="inlineStr">
        <is>
          <t>10 EVIDENCE &amp; DECISIONS</t>
        </is>
      </c>
    </row>
    <row r="275" ht="34" customHeight="1">
      <c r="A275" s="34" t="inlineStr">
        <is>
          <t>Cost &amp; Forecast Control Accounts</t>
        </is>
      </c>
      <c r="B275" s="34" t="inlineStr">
        <is>
          <t>CST-01-080</t>
        </is>
      </c>
      <c r="C275" s="34" t="inlineStr">
        <is>
          <t>Guideway and Civil - temporary works - supply and install</t>
        </is>
      </c>
      <c r="D275" s="34" t="inlineStr">
        <is>
          <t>Cost Account = CA-1080; WBS Code = 1.1.2</t>
        </is>
      </c>
      <c r="E275" s="34" t="inlineStr">
        <is>
          <t>R1162-v1</t>
        </is>
      </c>
      <c r="F275" s="34" t="inlineStr">
        <is>
          <t>1.1.2 Guideway and Civil - Utility &amp; Roadworks</t>
        </is>
      </c>
      <c r="G275" s="34" t="inlineStr">
        <is>
          <t>ONE_TO_ONE</t>
        </is>
      </c>
      <c r="H275" s="34" t="inlineStr">
        <is>
          <t>APPROVED</t>
        </is>
      </c>
      <c r="I275" s="34" t="inlineStr">
        <is>
          <t>New</t>
        </is>
      </c>
      <c r="J275" s="34" t="inlineStr">
        <is>
          <t>Source assignment -- not individually reviewed</t>
        </is>
      </c>
      <c r="K275" s="39" t="inlineStr"/>
      <c r="L275" s="14" t="inlineStr"/>
      <c r="M275" s="14" t="inlineStr"/>
      <c r="N275" s="92" t="inlineStr">
        <is>
          <t>10 EVIDENCE &amp; DECISIONS</t>
        </is>
      </c>
    </row>
    <row r="276" ht="94" customHeight="1">
      <c r="A276" s="34" t="inlineStr">
        <is>
          <t>Commercial Package Register</t>
        </is>
      </c>
      <c r="B276" s="34" t="inlineStr">
        <is>
          <t>PKG-001</t>
        </is>
      </c>
      <c r="C276" s="34" t="inlineStr">
        <is>
          <t>Guideway Civil Works</t>
        </is>
      </c>
      <c r="D276" s="34" t="inlineStr">
        <is>
          <t>Package Code = PK-101; WBS Code = 1.1;1.2</t>
        </is>
      </c>
      <c r="E276" s="34" t="inlineStr">
        <is>
          <t>R1563-v2</t>
        </is>
      </c>
      <c r="F276" s="34" t="inlineStr">
        <is>
          <t>1.2 Stations</t>
        </is>
      </c>
      <c r="G276" s="34" t="inlineStr">
        <is>
          <t>ONE_TO_MANY</t>
        </is>
      </c>
      <c r="H276" s="34" t="inlineStr">
        <is>
          <t>APPROVED</t>
        </is>
      </c>
      <c r="I276" s="34" t="inlineStr">
        <is>
          <t>New</t>
        </is>
      </c>
      <c r="J276" s="34" t="inlineStr">
        <is>
          <t>Professional decision</t>
        </is>
      </c>
      <c r="K276" s="34" t="inlineStr">
        <is>
          <t>Maya Chen, Owner Project Controls</t>
        </is>
      </c>
      <c r="L276" s="14" t="inlineStr"/>
      <c r="M276" s="34" t="inlineStr">
        <is>
          <t>Source states 'WBS Code' = '1.1;1.2' -- names no element of this WBS -- professional reason (Maya Chen, Owner Project Controls): Source package register explicitly states both Owner-WBS branches.</t>
        </is>
      </c>
      <c r="N276" s="92" t="inlineStr">
        <is>
          <t>10 EVIDENCE &amp; DECISIONS</t>
        </is>
      </c>
    </row>
    <row r="277" ht="34" customHeight="1">
      <c r="A277" s="34" t="inlineStr">
        <is>
          <t>Commercial Package Register</t>
        </is>
      </c>
      <c r="B277" s="34" t="inlineStr">
        <is>
          <t>PKG-011</t>
        </is>
      </c>
      <c r="C277" s="34" t="inlineStr">
        <is>
          <t>Station Structural Works</t>
        </is>
      </c>
      <c r="D277" s="34" t="inlineStr">
        <is>
          <t>Package Code = PK-201; WBS Code = 1.2</t>
        </is>
      </c>
      <c r="E277" s="34" t="inlineStr">
        <is>
          <t>R1573-v1</t>
        </is>
      </c>
      <c r="F277" s="34" t="inlineStr">
        <is>
          <t>1.2 Stations</t>
        </is>
      </c>
      <c r="G277" s="34" t="inlineStr">
        <is>
          <t>ONE_TO_ONE</t>
        </is>
      </c>
      <c r="H277" s="34" t="inlineStr">
        <is>
          <t>APPROVED</t>
        </is>
      </c>
      <c r="I277" s="34" t="inlineStr">
        <is>
          <t>New</t>
        </is>
      </c>
      <c r="J277" s="34" t="inlineStr">
        <is>
          <t>Source assignment -- not individually reviewed</t>
        </is>
      </c>
      <c r="K277" s="39" t="inlineStr"/>
      <c r="L277" s="14" t="inlineStr"/>
      <c r="M277" s="14" t="inlineStr"/>
      <c r="N277" s="92" t="inlineStr">
        <is>
          <t>10 EVIDENCE &amp; DECISIONS</t>
        </is>
      </c>
    </row>
    <row r="278" ht="34" customHeight="1">
      <c r="A278" s="34" t="inlineStr">
        <is>
          <t>Commercial Package Register</t>
        </is>
      </c>
      <c r="B278" s="34" t="inlineStr">
        <is>
          <t>PKG-012</t>
        </is>
      </c>
      <c r="C278" s="34" t="inlineStr">
        <is>
          <t>Station Fit-Out</t>
        </is>
      </c>
      <c r="D278" s="34" t="inlineStr">
        <is>
          <t>Package Code = PK-202; WBS Code = 1.2</t>
        </is>
      </c>
      <c r="E278" s="34" t="inlineStr">
        <is>
          <t>R1574-v1</t>
        </is>
      </c>
      <c r="F278" s="34" t="inlineStr">
        <is>
          <t>1.2 Stations</t>
        </is>
      </c>
      <c r="G278" s="34" t="inlineStr">
        <is>
          <t>ONE_TO_ONE</t>
        </is>
      </c>
      <c r="H278" s="34" t="inlineStr">
        <is>
          <t>APPROVED</t>
        </is>
      </c>
      <c r="I278" s="34" t="inlineStr">
        <is>
          <t>New</t>
        </is>
      </c>
      <c r="J278" s="34" t="inlineStr">
        <is>
          <t>Source assignment -- not individually reviewed</t>
        </is>
      </c>
      <c r="K278" s="39" t="inlineStr"/>
      <c r="L278" s="14" t="inlineStr"/>
      <c r="M278" s="14" t="inlineStr"/>
      <c r="N278" s="92" t="inlineStr">
        <is>
          <t>10 EVIDENCE &amp; DECISIONS</t>
        </is>
      </c>
    </row>
    <row r="279" ht="34" customHeight="1">
      <c r="A279" s="34" t="inlineStr">
        <is>
          <t>Commercial Package Register</t>
        </is>
      </c>
      <c r="B279" s="34" t="inlineStr">
        <is>
          <t>PKG-013</t>
        </is>
      </c>
      <c r="C279" s="34" t="inlineStr">
        <is>
          <t>Building Services</t>
        </is>
      </c>
      <c r="D279" s="34" t="inlineStr">
        <is>
          <t>Package Code = PK-203; WBS Code = 1.2</t>
        </is>
      </c>
      <c r="E279" s="34" t="inlineStr">
        <is>
          <t>R1575-v1</t>
        </is>
      </c>
      <c r="F279" s="34" t="inlineStr">
        <is>
          <t>1.2 Stations</t>
        </is>
      </c>
      <c r="G279" s="34" t="inlineStr">
        <is>
          <t>ONE_TO_ONE</t>
        </is>
      </c>
      <c r="H279" s="34" t="inlineStr">
        <is>
          <t>APPROVED</t>
        </is>
      </c>
      <c r="I279" s="34" t="inlineStr">
        <is>
          <t>New</t>
        </is>
      </c>
      <c r="J279" s="34" t="inlineStr">
        <is>
          <t>Source assignment -- not individually reviewed</t>
        </is>
      </c>
      <c r="K279" s="39" t="inlineStr"/>
      <c r="L279" s="14" t="inlineStr"/>
      <c r="M279" s="14" t="inlineStr"/>
      <c r="N279" s="92" t="inlineStr">
        <is>
          <t>10 EVIDENCE &amp; DECISIONS</t>
        </is>
      </c>
    </row>
    <row r="280" ht="34" customHeight="1">
      <c r="A280" s="34" t="inlineStr">
        <is>
          <t>Commercial Package Register</t>
        </is>
      </c>
      <c r="B280" s="34" t="inlineStr">
        <is>
          <t>PKG-014</t>
        </is>
      </c>
      <c r="C280" s="34" t="inlineStr">
        <is>
          <t>Public Realm</t>
        </is>
      </c>
      <c r="D280" s="34" t="inlineStr">
        <is>
          <t>Package Code = PK-204; WBS Code = 1.2</t>
        </is>
      </c>
      <c r="E280" s="34" t="inlineStr">
        <is>
          <t>R1576-v1</t>
        </is>
      </c>
      <c r="F280" s="34" t="inlineStr">
        <is>
          <t>1.2 Stations</t>
        </is>
      </c>
      <c r="G280" s="34" t="inlineStr">
        <is>
          <t>ONE_TO_ONE</t>
        </is>
      </c>
      <c r="H280" s="34" t="inlineStr">
        <is>
          <t>APPROVED</t>
        </is>
      </c>
      <c r="I280" s="34" t="inlineStr">
        <is>
          <t>New</t>
        </is>
      </c>
      <c r="J280" s="34" t="inlineStr">
        <is>
          <t>Source assignment -- not individually reviewed</t>
        </is>
      </c>
      <c r="K280" s="39" t="inlineStr"/>
      <c r="L280" s="14" t="inlineStr"/>
      <c r="M280" s="14" t="inlineStr"/>
      <c r="N280" s="92" t="inlineStr">
        <is>
          <t>10 EVIDENCE &amp; DECISIONS</t>
        </is>
      </c>
    </row>
    <row r="281" ht="34" customHeight="1">
      <c r="A281" s="34" t="inlineStr">
        <is>
          <t>Commercial Package Register</t>
        </is>
      </c>
      <c r="B281" s="34" t="inlineStr">
        <is>
          <t>PKG-015</t>
        </is>
      </c>
      <c r="C281" s="34" t="inlineStr">
        <is>
          <t>Station Structural Works - Lot 2</t>
        </is>
      </c>
      <c r="D281" s="34" t="inlineStr">
        <is>
          <t>Package Code = PK-205; WBS Code = 1.2</t>
        </is>
      </c>
      <c r="E281" s="34" t="inlineStr">
        <is>
          <t>R1577-v1</t>
        </is>
      </c>
      <c r="F281" s="34" t="inlineStr">
        <is>
          <t>1.2 Stations</t>
        </is>
      </c>
      <c r="G281" s="34" t="inlineStr">
        <is>
          <t>ONE_TO_ONE</t>
        </is>
      </c>
      <c r="H281" s="34" t="inlineStr">
        <is>
          <t>APPROVED</t>
        </is>
      </c>
      <c r="I281" s="34" t="inlineStr">
        <is>
          <t>New</t>
        </is>
      </c>
      <c r="J281" s="34" t="inlineStr">
        <is>
          <t>Source assignment -- not individually reviewed</t>
        </is>
      </c>
      <c r="K281" s="39" t="inlineStr"/>
      <c r="L281" s="14" t="inlineStr"/>
      <c r="M281" s="14" t="inlineStr"/>
      <c r="N281" s="92" t="inlineStr">
        <is>
          <t>10 EVIDENCE &amp; DECISIONS</t>
        </is>
      </c>
    </row>
    <row r="282" ht="34" customHeight="1">
      <c r="A282" s="34" t="inlineStr">
        <is>
          <t>Commercial Package Register</t>
        </is>
      </c>
      <c r="B282" s="34" t="inlineStr">
        <is>
          <t>PKG-016</t>
        </is>
      </c>
      <c r="C282" s="34" t="inlineStr">
        <is>
          <t>Station Fit-Out - Lot 2</t>
        </is>
      </c>
      <c r="D282" s="34" t="inlineStr">
        <is>
          <t>Package Code = PK-206; WBS Code = 1.2</t>
        </is>
      </c>
      <c r="E282" s="34" t="inlineStr">
        <is>
          <t>R1578-v1</t>
        </is>
      </c>
      <c r="F282" s="34" t="inlineStr">
        <is>
          <t>1.2 Stations</t>
        </is>
      </c>
      <c r="G282" s="34" t="inlineStr">
        <is>
          <t>ONE_TO_ONE</t>
        </is>
      </c>
      <c r="H282" s="34" t="inlineStr">
        <is>
          <t>APPROVED</t>
        </is>
      </c>
      <c r="I282" s="34" t="inlineStr">
        <is>
          <t>New</t>
        </is>
      </c>
      <c r="J282" s="34" t="inlineStr">
        <is>
          <t>Source assignment -- not individually reviewed</t>
        </is>
      </c>
      <c r="K282" s="39" t="inlineStr"/>
      <c r="L282" s="14" t="inlineStr"/>
      <c r="M282" s="14" t="inlineStr"/>
      <c r="N282" s="92" t="inlineStr">
        <is>
          <t>10 EVIDENCE &amp; DECISIONS</t>
        </is>
      </c>
    </row>
    <row r="283" ht="34" customHeight="1">
      <c r="A283" s="34" t="inlineStr">
        <is>
          <t>Commercial Package Register</t>
        </is>
      </c>
      <c r="B283" s="34" t="inlineStr">
        <is>
          <t>PKG-017</t>
        </is>
      </c>
      <c r="C283" s="34" t="inlineStr">
        <is>
          <t>Building Services - Lot 2</t>
        </is>
      </c>
      <c r="D283" s="34" t="inlineStr">
        <is>
          <t>Package Code = PK-207; WBS Code = 1.2</t>
        </is>
      </c>
      <c r="E283" s="34" t="inlineStr">
        <is>
          <t>R1579-v1</t>
        </is>
      </c>
      <c r="F283" s="34" t="inlineStr">
        <is>
          <t>1.2 Stations</t>
        </is>
      </c>
      <c r="G283" s="34" t="inlineStr">
        <is>
          <t>ONE_TO_ONE</t>
        </is>
      </c>
      <c r="H283" s="34" t="inlineStr">
        <is>
          <t>APPROVED</t>
        </is>
      </c>
      <c r="I283" s="34" t="inlineStr">
        <is>
          <t>New</t>
        </is>
      </c>
      <c r="J283" s="34" t="inlineStr">
        <is>
          <t>Source assignment -- not individually reviewed</t>
        </is>
      </c>
      <c r="K283" s="39" t="inlineStr"/>
      <c r="L283" s="14" t="inlineStr"/>
      <c r="M283" s="14" t="inlineStr"/>
      <c r="N283" s="92" t="inlineStr">
        <is>
          <t>10 EVIDENCE &amp; DECISIONS</t>
        </is>
      </c>
    </row>
    <row r="284" ht="34" customHeight="1">
      <c r="A284" s="34" t="inlineStr">
        <is>
          <t>Commercial Package Register</t>
        </is>
      </c>
      <c r="B284" s="34" t="inlineStr">
        <is>
          <t>PKG-018</t>
        </is>
      </c>
      <c r="C284" s="34" t="inlineStr">
        <is>
          <t>Public Realm - Lot 2</t>
        </is>
      </c>
      <c r="D284" s="34" t="inlineStr">
        <is>
          <t>Package Code = PK-208; WBS Code = 1.2</t>
        </is>
      </c>
      <c r="E284" s="34" t="inlineStr">
        <is>
          <t>R1580-v1</t>
        </is>
      </c>
      <c r="F284" s="34" t="inlineStr">
        <is>
          <t>1.2 Stations</t>
        </is>
      </c>
      <c r="G284" s="34" t="inlineStr">
        <is>
          <t>ONE_TO_ONE</t>
        </is>
      </c>
      <c r="H284" s="34" t="inlineStr">
        <is>
          <t>APPROVED</t>
        </is>
      </c>
      <c r="I284" s="34" t="inlineStr">
        <is>
          <t>New</t>
        </is>
      </c>
      <c r="J284" s="34" t="inlineStr">
        <is>
          <t>Source assignment -- not individually reviewed</t>
        </is>
      </c>
      <c r="K284" s="39" t="inlineStr"/>
      <c r="L284" s="14" t="inlineStr"/>
      <c r="M284" s="14" t="inlineStr"/>
      <c r="N284" s="92" t="inlineStr">
        <is>
          <t>10 EVIDENCE &amp; DECISIONS</t>
        </is>
      </c>
    </row>
    <row r="285" ht="34" customHeight="1">
      <c r="A285" s="34" t="inlineStr">
        <is>
          <t>Commercial Package Register</t>
        </is>
      </c>
      <c r="B285" s="34" t="inlineStr">
        <is>
          <t>PKG-019</t>
        </is>
      </c>
      <c r="C285" s="34" t="inlineStr">
        <is>
          <t>Station Structural Works - Lot 3</t>
        </is>
      </c>
      <c r="D285" s="34" t="inlineStr">
        <is>
          <t>Package Code = PK-209; WBS Code = 1.2</t>
        </is>
      </c>
      <c r="E285" s="34" t="inlineStr">
        <is>
          <t>R1581-v1</t>
        </is>
      </c>
      <c r="F285" s="34" t="inlineStr">
        <is>
          <t>1.2 Stations</t>
        </is>
      </c>
      <c r="G285" s="34" t="inlineStr">
        <is>
          <t>ONE_TO_ONE</t>
        </is>
      </c>
      <c r="H285" s="34" t="inlineStr">
        <is>
          <t>APPROVED</t>
        </is>
      </c>
      <c r="I285" s="34" t="inlineStr">
        <is>
          <t>New</t>
        </is>
      </c>
      <c r="J285" s="34" t="inlineStr">
        <is>
          <t>Source assignment -- not individually reviewed</t>
        </is>
      </c>
      <c r="K285" s="39" t="inlineStr"/>
      <c r="L285" s="14" t="inlineStr"/>
      <c r="M285" s="14" t="inlineStr"/>
      <c r="N285" s="92" t="inlineStr">
        <is>
          <t>10 EVIDENCE &amp; DECISIONS</t>
        </is>
      </c>
    </row>
    <row r="286" ht="34" customHeight="1">
      <c r="A286" s="34" t="inlineStr">
        <is>
          <t>Commercial Package Register</t>
        </is>
      </c>
      <c r="B286" s="34" t="inlineStr">
        <is>
          <t>PKG-020</t>
        </is>
      </c>
      <c r="C286" s="34" t="inlineStr">
        <is>
          <t>Station Fit-Out - Lot 3</t>
        </is>
      </c>
      <c r="D286" s="34" t="inlineStr">
        <is>
          <t>Package Code = PK-210; WBS Code = 1.2</t>
        </is>
      </c>
      <c r="E286" s="34" t="inlineStr">
        <is>
          <t>R1582-v1</t>
        </is>
      </c>
      <c r="F286" s="34" t="inlineStr">
        <is>
          <t>1.2 Stations</t>
        </is>
      </c>
      <c r="G286" s="34" t="inlineStr">
        <is>
          <t>ONE_TO_ONE</t>
        </is>
      </c>
      <c r="H286" s="34" t="inlineStr">
        <is>
          <t>APPROVED</t>
        </is>
      </c>
      <c r="I286" s="34" t="inlineStr">
        <is>
          <t>New</t>
        </is>
      </c>
      <c r="J286" s="34" t="inlineStr">
        <is>
          <t>Source assignment -- not individually reviewed</t>
        </is>
      </c>
      <c r="K286" s="39" t="inlineStr"/>
      <c r="L286" s="14" t="inlineStr"/>
      <c r="M286" s="14" t="inlineStr"/>
      <c r="N286" s="92" t="inlineStr">
        <is>
          <t>10 EVIDENCE &amp; DECISIONS</t>
        </is>
      </c>
    </row>
    <row r="287" ht="34" customHeight="1">
      <c r="A287" s="34" t="inlineStr">
        <is>
          <t>Contractor Programme</t>
        </is>
      </c>
      <c r="B287" s="34" t="inlineStr">
        <is>
          <t>SCH-02-001</t>
        </is>
      </c>
      <c r="C287" s="34" t="inlineStr">
        <is>
          <t>Harbour Station: vertical-transport installation - inspection</t>
        </is>
      </c>
      <c r="D287" s="34" t="inlineStr">
        <is>
          <t>WBS Code = 1.2.1</t>
        </is>
      </c>
      <c r="E287" s="34" t="inlineStr">
        <is>
          <t>R181-v1</t>
        </is>
      </c>
      <c r="F287" s="34" t="inlineStr">
        <is>
          <t>1.2.1 Stations - Station Structures</t>
        </is>
      </c>
      <c r="G287" s="34" t="inlineStr">
        <is>
          <t>ONE_TO_ONE</t>
        </is>
      </c>
      <c r="H287" s="34" t="inlineStr">
        <is>
          <t>APPROVED</t>
        </is>
      </c>
      <c r="I287" s="34" t="inlineStr">
        <is>
          <t>New</t>
        </is>
      </c>
      <c r="J287" s="34" t="inlineStr">
        <is>
          <t>Source assignment -- not individually reviewed</t>
        </is>
      </c>
      <c r="K287" s="39" t="inlineStr"/>
      <c r="L287" s="14" t="inlineStr"/>
      <c r="M287" s="14" t="inlineStr"/>
      <c r="N287" s="92" t="inlineStr">
        <is>
          <t>10 EVIDENCE &amp; DECISIONS</t>
        </is>
      </c>
    </row>
    <row r="288" ht="34" customHeight="1">
      <c r="A288" s="34" t="inlineStr">
        <is>
          <t>Contractor Programme</t>
        </is>
      </c>
      <c r="B288" s="34" t="inlineStr">
        <is>
          <t>SCH-02-002</t>
        </is>
      </c>
      <c r="C288" s="34" t="inlineStr">
        <is>
          <t>Market Station: platform edge installation - turnover</t>
        </is>
      </c>
      <c r="D288" s="34" t="inlineStr">
        <is>
          <t>WBS Code = 1.2.1</t>
        </is>
      </c>
      <c r="E288" s="34" t="inlineStr">
        <is>
          <t>R182-v1</t>
        </is>
      </c>
      <c r="F288" s="34" t="inlineStr">
        <is>
          <t>1.2.1 Stations - Station Structures</t>
        </is>
      </c>
      <c r="G288" s="34" t="inlineStr">
        <is>
          <t>ONE_TO_ONE</t>
        </is>
      </c>
      <c r="H288" s="34" t="inlineStr">
        <is>
          <t>APPROVED</t>
        </is>
      </c>
      <c r="I288" s="34" t="inlineStr">
        <is>
          <t>New</t>
        </is>
      </c>
      <c r="J288" s="34" t="inlineStr">
        <is>
          <t>Source assignment -- not individually reviewed</t>
        </is>
      </c>
      <c r="K288" s="39" t="inlineStr"/>
      <c r="L288" s="14" t="inlineStr"/>
      <c r="M288" s="14" t="inlineStr"/>
      <c r="N288" s="92" t="inlineStr">
        <is>
          <t>10 EVIDENCE &amp; DECISIONS</t>
        </is>
      </c>
    </row>
    <row r="289" ht="34" customHeight="1">
      <c r="A289" s="34" t="inlineStr">
        <is>
          <t>Contractor Programme</t>
        </is>
      </c>
      <c r="B289" s="34" t="inlineStr">
        <is>
          <t>SCH-02-004</t>
        </is>
      </c>
      <c r="C289" s="34" t="inlineStr">
        <is>
          <t>University Station: fire-life-safety cabling - field start</t>
        </is>
      </c>
      <c r="D289" s="34" t="inlineStr">
        <is>
          <t>WBS Code = 1.2.1</t>
        </is>
      </c>
      <c r="E289" s="34" t="inlineStr">
        <is>
          <t>R184-v1</t>
        </is>
      </c>
      <c r="F289" s="34" t="inlineStr">
        <is>
          <t>1.2.1 Stations - Station Structures</t>
        </is>
      </c>
      <c r="G289" s="34" t="inlineStr">
        <is>
          <t>ONE_TO_ONE</t>
        </is>
      </c>
      <c r="H289" s="34" t="inlineStr">
        <is>
          <t>APPROVED</t>
        </is>
      </c>
      <c r="I289" s="34" t="inlineStr">
        <is>
          <t>New</t>
        </is>
      </c>
      <c r="J289" s="34" t="inlineStr">
        <is>
          <t>Source assignment -- not individually reviewed</t>
        </is>
      </c>
      <c r="K289" s="39" t="inlineStr"/>
      <c r="L289" s="14" t="inlineStr"/>
      <c r="M289" s="14" t="inlineStr"/>
      <c r="N289" s="92" t="inlineStr">
        <is>
          <t>10 EVIDENCE &amp; DECISIONS</t>
        </is>
      </c>
    </row>
    <row r="290" ht="49" customHeight="1">
      <c r="A290" s="34" t="inlineStr">
        <is>
          <t>Contractor Programme</t>
        </is>
      </c>
      <c r="B290" s="34" t="inlineStr">
        <is>
          <t>SCH-02-005</t>
        </is>
      </c>
      <c r="C290" s="34" t="inlineStr">
        <is>
          <t>Harbour Station: systems room enabling works before communications fit-out</t>
        </is>
      </c>
      <c r="D290" s="34" t="inlineStr">
        <is>
          <t>WBS Code = 1.2.1</t>
        </is>
      </c>
      <c r="E290" s="34" t="inlineStr">
        <is>
          <t>R185-v1</t>
        </is>
      </c>
      <c r="F290" s="34" t="inlineStr">
        <is>
          <t>1.2.1 Stations - Station Structures</t>
        </is>
      </c>
      <c r="G290" s="34" t="inlineStr">
        <is>
          <t>ONE_TO_ONE</t>
        </is>
      </c>
      <c r="H290" s="34" t="inlineStr">
        <is>
          <t>APPROVED</t>
        </is>
      </c>
      <c r="I290" s="34" t="inlineStr">
        <is>
          <t>New</t>
        </is>
      </c>
      <c r="J290" s="34" t="inlineStr">
        <is>
          <t>Source assignment -- not individually reviewed</t>
        </is>
      </c>
      <c r="K290" s="39" t="inlineStr"/>
      <c r="L290" s="14" t="inlineStr"/>
      <c r="M290" s="14" t="inlineStr"/>
      <c r="N290" s="92" t="inlineStr">
        <is>
          <t>10 EVIDENCE &amp; DECISIONS</t>
        </is>
      </c>
    </row>
    <row r="291" ht="34" customHeight="1">
      <c r="A291" s="34" t="inlineStr">
        <is>
          <t>Contractor Programme</t>
        </is>
      </c>
      <c r="B291" s="34" t="inlineStr">
        <is>
          <t>SCH-02-007</t>
        </is>
      </c>
      <c r="C291" s="34" t="inlineStr">
        <is>
          <t>Market Station: public-realm paving - turnover</t>
        </is>
      </c>
      <c r="D291" s="34" t="inlineStr">
        <is>
          <t>WBS Code = 1.2.1</t>
        </is>
      </c>
      <c r="E291" s="34" t="inlineStr">
        <is>
          <t>R187-v1</t>
        </is>
      </c>
      <c r="F291" s="34" t="inlineStr">
        <is>
          <t>1.2.1 Stations - Station Structures</t>
        </is>
      </c>
      <c r="G291" s="34" t="inlineStr">
        <is>
          <t>ONE_TO_ONE</t>
        </is>
      </c>
      <c r="H291" s="34" t="inlineStr">
        <is>
          <t>APPROVED</t>
        </is>
      </c>
      <c r="I291" s="34" t="inlineStr">
        <is>
          <t>New</t>
        </is>
      </c>
      <c r="J291" s="34" t="inlineStr">
        <is>
          <t>Source assignment -- not individually reviewed</t>
        </is>
      </c>
      <c r="K291" s="39" t="inlineStr"/>
      <c r="L291" s="14" t="inlineStr"/>
      <c r="M291" s="14" t="inlineStr"/>
      <c r="N291" s="92" t="inlineStr">
        <is>
          <t>10 EVIDENCE &amp; DECISIONS</t>
        </is>
      </c>
    </row>
    <row r="292" ht="34" customHeight="1">
      <c r="A292" s="34" t="inlineStr">
        <is>
          <t>Contractor Programme</t>
        </is>
      </c>
      <c r="B292" s="34" t="inlineStr">
        <is>
          <t>SCH-02-008</t>
        </is>
      </c>
      <c r="C292" s="34" t="inlineStr">
        <is>
          <t>Civic Station: entrance steel erection - release</t>
        </is>
      </c>
      <c r="D292" s="34" t="inlineStr">
        <is>
          <t>WBS Code = 1.2.1</t>
        </is>
      </c>
      <c r="E292" s="34" t="inlineStr">
        <is>
          <t>R188-v1</t>
        </is>
      </c>
      <c r="F292" s="34" t="inlineStr">
        <is>
          <t>1.2.1 Stations - Station Structures</t>
        </is>
      </c>
      <c r="G292" s="34" t="inlineStr">
        <is>
          <t>ONE_TO_ONE</t>
        </is>
      </c>
      <c r="H292" s="34" t="inlineStr">
        <is>
          <t>APPROVED</t>
        </is>
      </c>
      <c r="I292" s="34" t="inlineStr">
        <is>
          <t>New</t>
        </is>
      </c>
      <c r="J292" s="34" t="inlineStr">
        <is>
          <t>Source assignment -- not individually reviewed</t>
        </is>
      </c>
      <c r="K292" s="39" t="inlineStr"/>
      <c r="L292" s="14" t="inlineStr"/>
      <c r="M292" s="14" t="inlineStr"/>
      <c r="N292" s="92" t="inlineStr">
        <is>
          <t>10 EVIDENCE &amp; DECISIONS</t>
        </is>
      </c>
    </row>
    <row r="293" ht="34" customHeight="1">
      <c r="A293" s="34" t="inlineStr">
        <is>
          <t>Contractor Programme</t>
        </is>
      </c>
      <c r="B293" s="34" t="inlineStr">
        <is>
          <t>SCH-02-010</t>
        </is>
      </c>
      <c r="C293" s="34" t="inlineStr">
        <is>
          <t>West Terminal: platform edge installation - installation</t>
        </is>
      </c>
      <c r="D293" s="34" t="inlineStr">
        <is>
          <t>WBS Code = 1.2.1</t>
        </is>
      </c>
      <c r="E293" s="34" t="inlineStr">
        <is>
          <t>R190-v1</t>
        </is>
      </c>
      <c r="F293" s="34" t="inlineStr">
        <is>
          <t>1.2.1 Stations - Station Structures</t>
        </is>
      </c>
      <c r="G293" s="34" t="inlineStr">
        <is>
          <t>ONE_TO_ONE</t>
        </is>
      </c>
      <c r="H293" s="34" t="inlineStr">
        <is>
          <t>APPROVED</t>
        </is>
      </c>
      <c r="I293" s="34" t="inlineStr">
        <is>
          <t>New</t>
        </is>
      </c>
      <c r="J293" s="34" t="inlineStr">
        <is>
          <t>Source assignment -- not individually reviewed</t>
        </is>
      </c>
      <c r="K293" s="39" t="inlineStr"/>
      <c r="L293" s="14" t="inlineStr"/>
      <c r="M293" s="14" t="inlineStr"/>
      <c r="N293" s="92" t="inlineStr">
        <is>
          <t>10 EVIDENCE &amp; DECISIONS</t>
        </is>
      </c>
    </row>
    <row r="294" ht="34" customHeight="1">
      <c r="A294" s="34" t="inlineStr">
        <is>
          <t>Contractor Programme</t>
        </is>
      </c>
      <c r="B294" s="34" t="inlineStr">
        <is>
          <t>SCH-02-011</t>
        </is>
      </c>
      <c r="C294" s="34" t="inlineStr">
        <is>
          <t>Harbour Station: architectural wall framing - inspection</t>
        </is>
      </c>
      <c r="D294" s="34" t="inlineStr">
        <is>
          <t>WBS Code = 1.2.1</t>
        </is>
      </c>
      <c r="E294" s="34" t="inlineStr">
        <is>
          <t>R191-v1</t>
        </is>
      </c>
      <c r="F294" s="34" t="inlineStr">
        <is>
          <t>1.2.1 Stations - Station Structures</t>
        </is>
      </c>
      <c r="G294" s="34" t="inlineStr">
        <is>
          <t>ONE_TO_ONE</t>
        </is>
      </c>
      <c r="H294" s="34" t="inlineStr">
        <is>
          <t>APPROVED</t>
        </is>
      </c>
      <c r="I294" s="34" t="inlineStr">
        <is>
          <t>New</t>
        </is>
      </c>
      <c r="J294" s="34" t="inlineStr">
        <is>
          <t>Source assignment -- not individually reviewed</t>
        </is>
      </c>
      <c r="K294" s="39" t="inlineStr"/>
      <c r="L294" s="14" t="inlineStr"/>
      <c r="M294" s="14" t="inlineStr"/>
      <c r="N294" s="92" t="inlineStr">
        <is>
          <t>10 EVIDENCE &amp; DECISIONS</t>
        </is>
      </c>
    </row>
    <row r="295" ht="34" customHeight="1">
      <c r="A295" s="34" t="inlineStr">
        <is>
          <t>Contractor Programme</t>
        </is>
      </c>
      <c r="B295" s="34" t="inlineStr">
        <is>
          <t>SCH-02-013</t>
        </is>
      </c>
      <c r="C295" s="34" t="inlineStr">
        <is>
          <t>Civic Station: concourse slab pour - release</t>
        </is>
      </c>
      <c r="D295" s="34" t="inlineStr">
        <is>
          <t>WBS Code = 1.2.1</t>
        </is>
      </c>
      <c r="E295" s="34" t="inlineStr">
        <is>
          <t>R193-v1</t>
        </is>
      </c>
      <c r="F295" s="34" t="inlineStr">
        <is>
          <t>1.2.1 Stations - Station Structures</t>
        </is>
      </c>
      <c r="G295" s="34" t="inlineStr">
        <is>
          <t>ONE_TO_ONE</t>
        </is>
      </c>
      <c r="H295" s="34" t="inlineStr">
        <is>
          <t>APPROVED</t>
        </is>
      </c>
      <c r="I295" s="34" t="inlineStr">
        <is>
          <t>New</t>
        </is>
      </c>
      <c r="J295" s="34" t="inlineStr">
        <is>
          <t>Source assignment -- not individually reviewed</t>
        </is>
      </c>
      <c r="K295" s="39" t="inlineStr"/>
      <c r="L295" s="14" t="inlineStr"/>
      <c r="M295" s="14" t="inlineStr"/>
      <c r="N295" s="92" t="inlineStr">
        <is>
          <t>10 EVIDENCE &amp; DECISIONS</t>
        </is>
      </c>
    </row>
    <row r="296" ht="34" customHeight="1">
      <c r="A296" s="34" t="inlineStr">
        <is>
          <t>Contractor Programme</t>
        </is>
      </c>
      <c r="B296" s="34" t="inlineStr">
        <is>
          <t>SCH-02-014</t>
        </is>
      </c>
      <c r="C296" s="34" t="inlineStr">
        <is>
          <t>University Station: station ventilation rough-in - field start</t>
        </is>
      </c>
      <c r="D296" s="34" t="inlineStr">
        <is>
          <t>WBS Code = 1.2.1</t>
        </is>
      </c>
      <c r="E296" s="34" t="inlineStr">
        <is>
          <t>R194-v1</t>
        </is>
      </c>
      <c r="F296" s="34" t="inlineStr">
        <is>
          <t>1.2.1 Stations - Station Structures</t>
        </is>
      </c>
      <c r="G296" s="34" t="inlineStr">
        <is>
          <t>ONE_TO_ONE</t>
        </is>
      </c>
      <c r="H296" s="34" t="inlineStr">
        <is>
          <t>APPROVED</t>
        </is>
      </c>
      <c r="I296" s="34" t="inlineStr">
        <is>
          <t>New</t>
        </is>
      </c>
      <c r="J296" s="34" t="inlineStr">
        <is>
          <t>Source assignment -- not individually reviewed</t>
        </is>
      </c>
      <c r="K296" s="39" t="inlineStr"/>
      <c r="L296" s="14" t="inlineStr"/>
      <c r="M296" s="14" t="inlineStr"/>
      <c r="N296" s="92" t="inlineStr">
        <is>
          <t>10 EVIDENCE &amp; DECISIONS</t>
        </is>
      </c>
    </row>
    <row r="297" ht="34" customHeight="1">
      <c r="A297" s="34" t="inlineStr">
        <is>
          <t>Contractor Programme</t>
        </is>
      </c>
      <c r="B297" s="34" t="inlineStr">
        <is>
          <t>SCH-02-016</t>
        </is>
      </c>
      <c r="C297" s="34" t="inlineStr">
        <is>
          <t>Harbour Station: entrance steel erection - inspection</t>
        </is>
      </c>
      <c r="D297" s="34" t="inlineStr">
        <is>
          <t>WBS Code = 1.2.1</t>
        </is>
      </c>
      <c r="E297" s="34" t="inlineStr">
        <is>
          <t>R196-v1</t>
        </is>
      </c>
      <c r="F297" s="34" t="inlineStr">
        <is>
          <t>1.2.1 Stations - Station Structures</t>
        </is>
      </c>
      <c r="G297" s="34" t="inlineStr">
        <is>
          <t>ONE_TO_ONE</t>
        </is>
      </c>
      <c r="H297" s="34" t="inlineStr">
        <is>
          <t>APPROVED</t>
        </is>
      </c>
      <c r="I297" s="34" t="inlineStr">
        <is>
          <t>New</t>
        </is>
      </c>
      <c r="J297" s="34" t="inlineStr">
        <is>
          <t>Source assignment -- not individually reviewed</t>
        </is>
      </c>
      <c r="K297" s="39" t="inlineStr"/>
      <c r="L297" s="14" t="inlineStr"/>
      <c r="M297" s="14" t="inlineStr"/>
      <c r="N297" s="92" t="inlineStr">
        <is>
          <t>10 EVIDENCE &amp; DECISIONS</t>
        </is>
      </c>
    </row>
    <row r="298" ht="34" customHeight="1">
      <c r="A298" s="34" t="inlineStr">
        <is>
          <t>Contractor Programme</t>
        </is>
      </c>
      <c r="B298" s="34" t="inlineStr">
        <is>
          <t>SCH-02-017</t>
        </is>
      </c>
      <c r="C298" s="34" t="inlineStr">
        <is>
          <t>Market Station: vertical-transport installation - turnover</t>
        </is>
      </c>
      <c r="D298" s="34" t="inlineStr">
        <is>
          <t>WBS Code = 1.2.1</t>
        </is>
      </c>
      <c r="E298" s="34" t="inlineStr">
        <is>
          <t>R197-v1</t>
        </is>
      </c>
      <c r="F298" s="34" t="inlineStr">
        <is>
          <t>1.2.1 Stations - Station Structures</t>
        </is>
      </c>
      <c r="G298" s="34" t="inlineStr">
        <is>
          <t>ONE_TO_ONE</t>
        </is>
      </c>
      <c r="H298" s="34" t="inlineStr">
        <is>
          <t>APPROVED</t>
        </is>
      </c>
      <c r="I298" s="34" t="inlineStr">
        <is>
          <t>New</t>
        </is>
      </c>
      <c r="J298" s="34" t="inlineStr">
        <is>
          <t>Source assignment -- not individually reviewed</t>
        </is>
      </c>
      <c r="K298" s="39" t="inlineStr"/>
      <c r="L298" s="14" t="inlineStr"/>
      <c r="M298" s="14" t="inlineStr"/>
      <c r="N298" s="92" t="inlineStr">
        <is>
          <t>10 EVIDENCE &amp; DECISIONS</t>
        </is>
      </c>
    </row>
    <row r="299" ht="34" customHeight="1">
      <c r="A299" s="34" t="inlineStr">
        <is>
          <t>Contractor Programme</t>
        </is>
      </c>
      <c r="B299" s="34" t="inlineStr">
        <is>
          <t>SCH-02-019</t>
        </is>
      </c>
      <c r="C299" s="34" t="inlineStr">
        <is>
          <t>University Station: architectural wall framing - field start</t>
        </is>
      </c>
      <c r="D299" s="34" t="inlineStr">
        <is>
          <t>WBS Code = 1.2.1</t>
        </is>
      </c>
      <c r="E299" s="34" t="inlineStr">
        <is>
          <t>R199-v1</t>
        </is>
      </c>
      <c r="F299" s="34" t="inlineStr">
        <is>
          <t>1.2.1 Stations - Station Structures</t>
        </is>
      </c>
      <c r="G299" s="34" t="inlineStr">
        <is>
          <t>ONE_TO_ONE</t>
        </is>
      </c>
      <c r="H299" s="34" t="inlineStr">
        <is>
          <t>APPROVED</t>
        </is>
      </c>
      <c r="I299" s="34" t="inlineStr">
        <is>
          <t>New</t>
        </is>
      </c>
      <c r="J299" s="34" t="inlineStr">
        <is>
          <t>Source assignment -- not individually reviewed</t>
        </is>
      </c>
      <c r="K299" s="39" t="inlineStr"/>
      <c r="L299" s="14" t="inlineStr"/>
      <c r="M299" s="14" t="inlineStr"/>
      <c r="N299" s="92" t="inlineStr">
        <is>
          <t>10 EVIDENCE &amp; DECISIONS</t>
        </is>
      </c>
    </row>
    <row r="300" ht="34" customHeight="1">
      <c r="A300" s="34" t="inlineStr">
        <is>
          <t>Contractor Programme</t>
        </is>
      </c>
      <c r="B300" s="34" t="inlineStr">
        <is>
          <t>SCH-02-020</t>
        </is>
      </c>
      <c r="C300" s="34" t="inlineStr">
        <is>
          <t>West Terminal: fire-life-safety cabling - installation</t>
        </is>
      </c>
      <c r="D300" s="34" t="inlineStr">
        <is>
          <t>WBS Code = 1.2.1</t>
        </is>
      </c>
      <c r="E300" s="34" t="inlineStr">
        <is>
          <t>R200-v1</t>
        </is>
      </c>
      <c r="F300" s="34" t="inlineStr">
        <is>
          <t>1.2.1 Stations - Station Structures</t>
        </is>
      </c>
      <c r="G300" s="34" t="inlineStr">
        <is>
          <t>ONE_TO_ONE</t>
        </is>
      </c>
      <c r="H300" s="34" t="inlineStr">
        <is>
          <t>APPROVED</t>
        </is>
      </c>
      <c r="I300" s="34" t="inlineStr">
        <is>
          <t>New</t>
        </is>
      </c>
      <c r="J300" s="34" t="inlineStr">
        <is>
          <t>Source assignment -- not individually reviewed</t>
        </is>
      </c>
      <c r="K300" s="39" t="inlineStr"/>
      <c r="L300" s="14" t="inlineStr"/>
      <c r="M300" s="14" t="inlineStr"/>
      <c r="N300" s="92" t="inlineStr">
        <is>
          <t>10 EVIDENCE &amp; DECISIONS</t>
        </is>
      </c>
    </row>
    <row r="301" ht="34" customHeight="1">
      <c r="A301" s="34" t="inlineStr">
        <is>
          <t>Contractor Programme</t>
        </is>
      </c>
      <c r="B301" s="34" t="inlineStr">
        <is>
          <t>SCH-02-022</t>
        </is>
      </c>
      <c r="C301" s="34" t="inlineStr">
        <is>
          <t>Market Station: station ventilation rough-in - turnover</t>
        </is>
      </c>
      <c r="D301" s="34" t="inlineStr">
        <is>
          <t>WBS Code = 1.2.1</t>
        </is>
      </c>
      <c r="E301" s="34" t="inlineStr">
        <is>
          <t>R202-v1</t>
        </is>
      </c>
      <c r="F301" s="34" t="inlineStr">
        <is>
          <t>1.2.1 Stations - Station Structures</t>
        </is>
      </c>
      <c r="G301" s="34" t="inlineStr">
        <is>
          <t>ONE_TO_ONE</t>
        </is>
      </c>
      <c r="H301" s="34" t="inlineStr">
        <is>
          <t>APPROVED</t>
        </is>
      </c>
      <c r="I301" s="34" t="inlineStr">
        <is>
          <t>New</t>
        </is>
      </c>
      <c r="J301" s="34" t="inlineStr">
        <is>
          <t>Source assignment -- not individually reviewed</t>
        </is>
      </c>
      <c r="K301" s="39" t="inlineStr"/>
      <c r="L301" s="14" t="inlineStr"/>
      <c r="M301" s="14" t="inlineStr"/>
      <c r="N301" s="92" t="inlineStr">
        <is>
          <t>10 EVIDENCE &amp; DECISIONS</t>
        </is>
      </c>
    </row>
    <row r="302" ht="34" customHeight="1">
      <c r="A302" s="34" t="inlineStr">
        <is>
          <t>Contractor Programme</t>
        </is>
      </c>
      <c r="B302" s="34" t="inlineStr">
        <is>
          <t>SCH-02-023</t>
        </is>
      </c>
      <c r="C302" s="34" t="inlineStr">
        <is>
          <t>Civic Station: public-realm paving - release</t>
        </is>
      </c>
      <c r="D302" s="34" t="inlineStr">
        <is>
          <t>WBS Code = 1.2.1</t>
        </is>
      </c>
      <c r="E302" s="34" t="inlineStr">
        <is>
          <t>R203-v1</t>
        </is>
      </c>
      <c r="F302" s="34" t="inlineStr">
        <is>
          <t>1.2.1 Stations - Station Structures</t>
        </is>
      </c>
      <c r="G302" s="34" t="inlineStr">
        <is>
          <t>ONE_TO_ONE</t>
        </is>
      </c>
      <c r="H302" s="34" t="inlineStr">
        <is>
          <t>APPROVED</t>
        </is>
      </c>
      <c r="I302" s="34" t="inlineStr">
        <is>
          <t>New</t>
        </is>
      </c>
      <c r="J302" s="34" t="inlineStr">
        <is>
          <t>Source assignment -- not individually reviewed</t>
        </is>
      </c>
      <c r="K302" s="39" t="inlineStr"/>
      <c r="L302" s="14" t="inlineStr"/>
      <c r="M302" s="14" t="inlineStr"/>
      <c r="N302" s="92" t="inlineStr">
        <is>
          <t>10 EVIDENCE &amp; DECISIONS</t>
        </is>
      </c>
    </row>
    <row r="303" ht="34" customHeight="1">
      <c r="A303" s="34" t="inlineStr">
        <is>
          <t>Contractor Programme</t>
        </is>
      </c>
      <c r="B303" s="34" t="inlineStr">
        <is>
          <t>SCH-02-025</t>
        </is>
      </c>
      <c r="C303" s="34" t="inlineStr">
        <is>
          <t>West Terminal: vertical-transport installation - installation</t>
        </is>
      </c>
      <c r="D303" s="34" t="inlineStr">
        <is>
          <t>WBS Code = 1.2.1</t>
        </is>
      </c>
      <c r="E303" s="34" t="inlineStr">
        <is>
          <t>R205-v1</t>
        </is>
      </c>
      <c r="F303" s="34" t="inlineStr">
        <is>
          <t>1.2.1 Stations - Station Structures</t>
        </is>
      </c>
      <c r="G303" s="34" t="inlineStr">
        <is>
          <t>ONE_TO_ONE</t>
        </is>
      </c>
      <c r="H303" s="34" t="inlineStr">
        <is>
          <t>APPROVED</t>
        </is>
      </c>
      <c r="I303" s="34" t="inlineStr">
        <is>
          <t>New</t>
        </is>
      </c>
      <c r="J303" s="34" t="inlineStr">
        <is>
          <t>Source assignment -- not individually reviewed</t>
        </is>
      </c>
      <c r="K303" s="39" t="inlineStr"/>
      <c r="L303" s="14" t="inlineStr"/>
      <c r="M303" s="14" t="inlineStr"/>
      <c r="N303" s="92" t="inlineStr">
        <is>
          <t>10 EVIDENCE &amp; DECISIONS</t>
        </is>
      </c>
    </row>
    <row r="304" ht="34" customHeight="1">
      <c r="A304" s="34" t="inlineStr">
        <is>
          <t>Contractor Programme</t>
        </is>
      </c>
      <c r="B304" s="34" t="inlineStr">
        <is>
          <t>SCH-02-026</t>
        </is>
      </c>
      <c r="C304" s="34" t="inlineStr">
        <is>
          <t>Harbour Station: platform edge installation - inspection</t>
        </is>
      </c>
      <c r="D304" s="34" t="inlineStr">
        <is>
          <t>WBS Code = 1.2.1</t>
        </is>
      </c>
      <c r="E304" s="34" t="inlineStr">
        <is>
          <t>R206-v1</t>
        </is>
      </c>
      <c r="F304" s="34" t="inlineStr">
        <is>
          <t>1.2.1 Stations - Station Structures</t>
        </is>
      </c>
      <c r="G304" s="34" t="inlineStr">
        <is>
          <t>ONE_TO_ONE</t>
        </is>
      </c>
      <c r="H304" s="34" t="inlineStr">
        <is>
          <t>APPROVED</t>
        </is>
      </c>
      <c r="I304" s="34" t="inlineStr">
        <is>
          <t>New</t>
        </is>
      </c>
      <c r="J304" s="34" t="inlineStr">
        <is>
          <t>Source assignment -- not individually reviewed</t>
        </is>
      </c>
      <c r="K304" s="39" t="inlineStr"/>
      <c r="L304" s="14" t="inlineStr"/>
      <c r="M304" s="14" t="inlineStr"/>
      <c r="N304" s="92" t="inlineStr">
        <is>
          <t>10 EVIDENCE &amp; DECISIONS</t>
        </is>
      </c>
    </row>
    <row r="305" ht="34" customHeight="1">
      <c r="A305" s="34" t="inlineStr">
        <is>
          <t>Contractor Programme</t>
        </is>
      </c>
      <c r="B305" s="34" t="inlineStr">
        <is>
          <t>SCH-02-028</t>
        </is>
      </c>
      <c r="C305" s="34" t="inlineStr">
        <is>
          <t>Civic Station: fire-life-safety cabling - release</t>
        </is>
      </c>
      <c r="D305" s="34" t="inlineStr">
        <is>
          <t>WBS Code = 1.2.1</t>
        </is>
      </c>
      <c r="E305" s="34" t="inlineStr">
        <is>
          <t>R208-v1</t>
        </is>
      </c>
      <c r="F305" s="34" t="inlineStr">
        <is>
          <t>1.2.1 Stations - Station Structures</t>
        </is>
      </c>
      <c r="G305" s="34" t="inlineStr">
        <is>
          <t>ONE_TO_ONE</t>
        </is>
      </c>
      <c r="H305" s="34" t="inlineStr">
        <is>
          <t>APPROVED</t>
        </is>
      </c>
      <c r="I305" s="34" t="inlineStr">
        <is>
          <t>New</t>
        </is>
      </c>
      <c r="J305" s="34" t="inlineStr">
        <is>
          <t>Source assignment -- not individually reviewed</t>
        </is>
      </c>
      <c r="K305" s="39" t="inlineStr"/>
      <c r="L305" s="14" t="inlineStr"/>
      <c r="M305" s="14" t="inlineStr"/>
      <c r="N305" s="92" t="inlineStr">
        <is>
          <t>10 EVIDENCE &amp; DECISIONS</t>
        </is>
      </c>
    </row>
    <row r="306" ht="34" customHeight="1">
      <c r="A306" s="34" t="inlineStr">
        <is>
          <t>Contractor Programme</t>
        </is>
      </c>
      <c r="B306" s="34" t="inlineStr">
        <is>
          <t>SCH-02-029</t>
        </is>
      </c>
      <c r="C306" s="34" t="inlineStr">
        <is>
          <t>University Station: concourse slab pour - field start</t>
        </is>
      </c>
      <c r="D306" s="34" t="inlineStr">
        <is>
          <t>WBS Code = 1.2.1</t>
        </is>
      </c>
      <c r="E306" s="34" t="inlineStr">
        <is>
          <t>R209-v1</t>
        </is>
      </c>
      <c r="F306" s="34" t="inlineStr">
        <is>
          <t>1.2.1 Stations - Station Structures</t>
        </is>
      </c>
      <c r="G306" s="34" t="inlineStr">
        <is>
          <t>ONE_TO_ONE</t>
        </is>
      </c>
      <c r="H306" s="34" t="inlineStr">
        <is>
          <t>APPROVED</t>
        </is>
      </c>
      <c r="I306" s="34" t="inlineStr">
        <is>
          <t>New</t>
        </is>
      </c>
      <c r="J306" s="34" t="inlineStr">
        <is>
          <t>Source assignment -- not individually reviewed</t>
        </is>
      </c>
      <c r="K306" s="39" t="inlineStr"/>
      <c r="L306" s="14" t="inlineStr"/>
      <c r="M306" s="14" t="inlineStr"/>
      <c r="N306" s="92" t="inlineStr">
        <is>
          <t>10 EVIDENCE &amp; DECISIONS</t>
        </is>
      </c>
    </row>
    <row r="307" ht="34" customHeight="1">
      <c r="A307" s="34" t="inlineStr">
        <is>
          <t>Contractor Programme</t>
        </is>
      </c>
      <c r="B307" s="34" t="inlineStr">
        <is>
          <t>SCH-02-031</t>
        </is>
      </c>
      <c r="C307" s="34" t="inlineStr">
        <is>
          <t>Harbour Station: public-realm paving - inspection</t>
        </is>
      </c>
      <c r="D307" s="34" t="inlineStr">
        <is>
          <t>WBS Code = 1.2.1</t>
        </is>
      </c>
      <c r="E307" s="34" t="inlineStr">
        <is>
          <t>R211-v1</t>
        </is>
      </c>
      <c r="F307" s="34" t="inlineStr">
        <is>
          <t>1.2.1 Stations - Station Structures</t>
        </is>
      </c>
      <c r="G307" s="34" t="inlineStr">
        <is>
          <t>ONE_TO_ONE</t>
        </is>
      </c>
      <c r="H307" s="34" t="inlineStr">
        <is>
          <t>APPROVED</t>
        </is>
      </c>
      <c r="I307" s="34" t="inlineStr">
        <is>
          <t>New</t>
        </is>
      </c>
      <c r="J307" s="34" t="inlineStr">
        <is>
          <t>Source assignment -- not individually reviewed</t>
        </is>
      </c>
      <c r="K307" s="39" t="inlineStr"/>
      <c r="L307" s="14" t="inlineStr"/>
      <c r="M307" s="14" t="inlineStr"/>
      <c r="N307" s="92" t="inlineStr">
        <is>
          <t>10 EVIDENCE &amp; DECISIONS</t>
        </is>
      </c>
    </row>
    <row r="308" ht="34" customHeight="1">
      <c r="A308" s="34" t="inlineStr">
        <is>
          <t>Contractor Programme</t>
        </is>
      </c>
      <c r="B308" s="34" t="inlineStr">
        <is>
          <t>SCH-02-032</t>
        </is>
      </c>
      <c r="C308" s="34" t="inlineStr">
        <is>
          <t>Market Station: entrance steel erection - turnover</t>
        </is>
      </c>
      <c r="D308" s="34" t="inlineStr">
        <is>
          <t>WBS Code = 1.2.1</t>
        </is>
      </c>
      <c r="E308" s="34" t="inlineStr">
        <is>
          <t>R212-v1</t>
        </is>
      </c>
      <c r="F308" s="34" t="inlineStr">
        <is>
          <t>1.2.1 Stations - Station Structures</t>
        </is>
      </c>
      <c r="G308" s="34" t="inlineStr">
        <is>
          <t>ONE_TO_ONE</t>
        </is>
      </c>
      <c r="H308" s="34" t="inlineStr">
        <is>
          <t>APPROVED</t>
        </is>
      </c>
      <c r="I308" s="34" t="inlineStr">
        <is>
          <t>New</t>
        </is>
      </c>
      <c r="J308" s="34" t="inlineStr">
        <is>
          <t>Source assignment -- not individually reviewed</t>
        </is>
      </c>
      <c r="K308" s="39" t="inlineStr"/>
      <c r="L308" s="14" t="inlineStr"/>
      <c r="M308" s="14" t="inlineStr"/>
      <c r="N308" s="92" t="inlineStr">
        <is>
          <t>10 EVIDENCE &amp; DECISIONS</t>
        </is>
      </c>
    </row>
    <row r="309" ht="34" customHeight="1">
      <c r="A309" s="34" t="inlineStr">
        <is>
          <t>Contractor Programme</t>
        </is>
      </c>
      <c r="B309" s="34" t="inlineStr">
        <is>
          <t>SCH-02-034</t>
        </is>
      </c>
      <c r="C309" s="34" t="inlineStr">
        <is>
          <t>University Station: platform edge installation - field start</t>
        </is>
      </c>
      <c r="D309" s="34" t="inlineStr">
        <is>
          <t>WBS Code = 1.2.1</t>
        </is>
      </c>
      <c r="E309" s="34" t="inlineStr">
        <is>
          <t>R214-v1</t>
        </is>
      </c>
      <c r="F309" s="34" t="inlineStr">
        <is>
          <t>1.2.1 Stations - Station Structures</t>
        </is>
      </c>
      <c r="G309" s="34" t="inlineStr">
        <is>
          <t>ONE_TO_ONE</t>
        </is>
      </c>
      <c r="H309" s="34" t="inlineStr">
        <is>
          <t>APPROVED</t>
        </is>
      </c>
      <c r="I309" s="34" t="inlineStr">
        <is>
          <t>New</t>
        </is>
      </c>
      <c r="J309" s="34" t="inlineStr">
        <is>
          <t>Source assignment -- not individually reviewed</t>
        </is>
      </c>
      <c r="K309" s="39" t="inlineStr"/>
      <c r="L309" s="14" t="inlineStr"/>
      <c r="M309" s="14" t="inlineStr"/>
      <c r="N309" s="92" t="inlineStr">
        <is>
          <t>10 EVIDENCE &amp; DECISIONS</t>
        </is>
      </c>
    </row>
    <row r="310" ht="34" customHeight="1">
      <c r="A310" s="34" t="inlineStr">
        <is>
          <t>Contractor Programme</t>
        </is>
      </c>
      <c r="B310" s="34" t="inlineStr">
        <is>
          <t>SCH-02-035</t>
        </is>
      </c>
      <c r="C310" s="34" t="inlineStr">
        <is>
          <t>West Terminal: architectural wall framing - installation</t>
        </is>
      </c>
      <c r="D310" s="34" t="inlineStr">
        <is>
          <t>WBS Code = 1.2.1</t>
        </is>
      </c>
      <c r="E310" s="34" t="inlineStr">
        <is>
          <t>R215-v1</t>
        </is>
      </c>
      <c r="F310" s="34" t="inlineStr">
        <is>
          <t>1.2.1 Stations - Station Structures</t>
        </is>
      </c>
      <c r="G310" s="34" t="inlineStr">
        <is>
          <t>ONE_TO_ONE</t>
        </is>
      </c>
      <c r="H310" s="34" t="inlineStr">
        <is>
          <t>APPROVED</t>
        </is>
      </c>
      <c r="I310" s="34" t="inlineStr">
        <is>
          <t>New</t>
        </is>
      </c>
      <c r="J310" s="34" t="inlineStr">
        <is>
          <t>Source assignment -- not individually reviewed</t>
        </is>
      </c>
      <c r="K310" s="39" t="inlineStr"/>
      <c r="L310" s="14" t="inlineStr"/>
      <c r="M310" s="14" t="inlineStr"/>
      <c r="N310" s="92" t="inlineStr">
        <is>
          <t>10 EVIDENCE &amp; DECISIONS</t>
        </is>
      </c>
    </row>
    <row r="311" ht="34" customHeight="1">
      <c r="A311" s="34" t="inlineStr">
        <is>
          <t>Contractor Programme</t>
        </is>
      </c>
      <c r="B311" s="34" t="inlineStr">
        <is>
          <t>SCH-02-037</t>
        </is>
      </c>
      <c r="C311" s="34" t="inlineStr">
        <is>
          <t>Market Station: concourse slab pour - turnover</t>
        </is>
      </c>
      <c r="D311" s="34" t="inlineStr">
        <is>
          <t>WBS Code = 1.2.1</t>
        </is>
      </c>
      <c r="E311" s="34" t="inlineStr">
        <is>
          <t>R217-v1</t>
        </is>
      </c>
      <c r="F311" s="34" t="inlineStr">
        <is>
          <t>1.2.1 Stations - Station Structures</t>
        </is>
      </c>
      <c r="G311" s="34" t="inlineStr">
        <is>
          <t>ONE_TO_ONE</t>
        </is>
      </c>
      <c r="H311" s="34" t="inlineStr">
        <is>
          <t>APPROVED</t>
        </is>
      </c>
      <c r="I311" s="34" t="inlineStr">
        <is>
          <t>New</t>
        </is>
      </c>
      <c r="J311" s="34" t="inlineStr">
        <is>
          <t>Source assignment -- not individually reviewed</t>
        </is>
      </c>
      <c r="K311" s="39" t="inlineStr"/>
      <c r="L311" s="14" t="inlineStr"/>
      <c r="M311" s="14" t="inlineStr"/>
      <c r="N311" s="92" t="inlineStr">
        <is>
          <t>10 EVIDENCE &amp; DECISIONS</t>
        </is>
      </c>
    </row>
    <row r="312" ht="34" customHeight="1">
      <c r="A312" s="34" t="inlineStr">
        <is>
          <t>Contractor Programme</t>
        </is>
      </c>
      <c r="B312" s="34" t="inlineStr">
        <is>
          <t>SCH-02-038</t>
        </is>
      </c>
      <c r="C312" s="34" t="inlineStr">
        <is>
          <t>Civic Station: station ventilation rough-in - release</t>
        </is>
      </c>
      <c r="D312" s="34" t="inlineStr">
        <is>
          <t>WBS Code = 1.2.1</t>
        </is>
      </c>
      <c r="E312" s="34" t="inlineStr">
        <is>
          <t>R218-v1</t>
        </is>
      </c>
      <c r="F312" s="34" t="inlineStr">
        <is>
          <t>1.2.1 Stations - Station Structures</t>
        </is>
      </c>
      <c r="G312" s="34" t="inlineStr">
        <is>
          <t>ONE_TO_ONE</t>
        </is>
      </c>
      <c r="H312" s="34" t="inlineStr">
        <is>
          <t>APPROVED</t>
        </is>
      </c>
      <c r="I312" s="34" t="inlineStr">
        <is>
          <t>New</t>
        </is>
      </c>
      <c r="J312" s="34" t="inlineStr">
        <is>
          <t>Source assignment -- not individually reviewed</t>
        </is>
      </c>
      <c r="K312" s="39" t="inlineStr"/>
      <c r="L312" s="14" t="inlineStr"/>
      <c r="M312" s="14" t="inlineStr"/>
      <c r="N312" s="92" t="inlineStr">
        <is>
          <t>10 EVIDENCE &amp; DECISIONS</t>
        </is>
      </c>
    </row>
    <row r="313" ht="34" customHeight="1">
      <c r="A313" s="34" t="inlineStr">
        <is>
          <t>Contractor Programme</t>
        </is>
      </c>
      <c r="B313" s="34" t="inlineStr">
        <is>
          <t>SCH-02-040</t>
        </is>
      </c>
      <c r="C313" s="34" t="inlineStr">
        <is>
          <t>West Terminal: entrance steel erection - installation</t>
        </is>
      </c>
      <c r="D313" s="34" t="inlineStr">
        <is>
          <t>WBS Code = 1.2.1</t>
        </is>
      </c>
      <c r="E313" s="34" t="inlineStr">
        <is>
          <t>R220-v1</t>
        </is>
      </c>
      <c r="F313" s="34" t="inlineStr">
        <is>
          <t>1.2.1 Stations - Station Structures</t>
        </is>
      </c>
      <c r="G313" s="34" t="inlineStr">
        <is>
          <t>ONE_TO_ONE</t>
        </is>
      </c>
      <c r="H313" s="34" t="inlineStr">
        <is>
          <t>APPROVED</t>
        </is>
      </c>
      <c r="I313" s="34" t="inlineStr">
        <is>
          <t>New</t>
        </is>
      </c>
      <c r="J313" s="34" t="inlineStr">
        <is>
          <t>Source assignment -- not individually reviewed</t>
        </is>
      </c>
      <c r="K313" s="39" t="inlineStr"/>
      <c r="L313" s="14" t="inlineStr"/>
      <c r="M313" s="14" t="inlineStr"/>
      <c r="N313" s="92" t="inlineStr">
        <is>
          <t>10 EVIDENCE &amp; DECISIONS</t>
        </is>
      </c>
    </row>
    <row r="314" ht="34" customHeight="1">
      <c r="A314" s="34" t="inlineStr">
        <is>
          <t>Contractor Programme</t>
        </is>
      </c>
      <c r="B314" s="34" t="inlineStr">
        <is>
          <t>SCH-02-041</t>
        </is>
      </c>
      <c r="C314" s="34" t="inlineStr">
        <is>
          <t>Harbour Station: vertical-transport installation - inspection</t>
        </is>
      </c>
      <c r="D314" s="34" t="inlineStr">
        <is>
          <t>WBS Code = 1.2.1</t>
        </is>
      </c>
      <c r="E314" s="34" t="inlineStr">
        <is>
          <t>R221-v1</t>
        </is>
      </c>
      <c r="F314" s="34" t="inlineStr">
        <is>
          <t>1.2.1 Stations - Station Structures</t>
        </is>
      </c>
      <c r="G314" s="34" t="inlineStr">
        <is>
          <t>ONE_TO_ONE</t>
        </is>
      </c>
      <c r="H314" s="34" t="inlineStr">
        <is>
          <t>APPROVED</t>
        </is>
      </c>
      <c r="I314" s="34" t="inlineStr">
        <is>
          <t>New</t>
        </is>
      </c>
      <c r="J314" s="34" t="inlineStr">
        <is>
          <t>Source assignment -- not individually reviewed</t>
        </is>
      </c>
      <c r="K314" s="39" t="inlineStr"/>
      <c r="L314" s="14" t="inlineStr"/>
      <c r="M314" s="14" t="inlineStr"/>
      <c r="N314" s="92" t="inlineStr">
        <is>
          <t>10 EVIDENCE &amp; DECISIONS</t>
        </is>
      </c>
    </row>
    <row r="315" ht="34" customHeight="1">
      <c r="A315" s="34" t="inlineStr">
        <is>
          <t>Contractor Programme</t>
        </is>
      </c>
      <c r="B315" s="34" t="inlineStr">
        <is>
          <t>SCH-02-043</t>
        </is>
      </c>
      <c r="C315" s="34" t="inlineStr">
        <is>
          <t>Civic Station: architectural wall framing - release</t>
        </is>
      </c>
      <c r="D315" s="34" t="inlineStr">
        <is>
          <t>WBS Code = 1.2.1</t>
        </is>
      </c>
      <c r="E315" s="34" t="inlineStr">
        <is>
          <t>R223-v1</t>
        </is>
      </c>
      <c r="F315" s="34" t="inlineStr">
        <is>
          <t>1.2.1 Stations - Station Structures</t>
        </is>
      </c>
      <c r="G315" s="34" t="inlineStr">
        <is>
          <t>ONE_TO_ONE</t>
        </is>
      </c>
      <c r="H315" s="34" t="inlineStr">
        <is>
          <t>APPROVED</t>
        </is>
      </c>
      <c r="I315" s="34" t="inlineStr">
        <is>
          <t>New</t>
        </is>
      </c>
      <c r="J315" s="34" t="inlineStr">
        <is>
          <t>Source assignment -- not individually reviewed</t>
        </is>
      </c>
      <c r="K315" s="39" t="inlineStr"/>
      <c r="L315" s="14" t="inlineStr"/>
      <c r="M315" s="14" t="inlineStr"/>
      <c r="N315" s="92" t="inlineStr">
        <is>
          <t>10 EVIDENCE &amp; DECISIONS</t>
        </is>
      </c>
    </row>
    <row r="316" ht="34" customHeight="1">
      <c r="A316" s="34" t="inlineStr">
        <is>
          <t>Contractor Programme</t>
        </is>
      </c>
      <c r="B316" s="34" t="inlineStr">
        <is>
          <t>SCH-02-044</t>
        </is>
      </c>
      <c r="C316" s="34" t="inlineStr">
        <is>
          <t>University Station: fire-life-safety cabling - field start</t>
        </is>
      </c>
      <c r="D316" s="34" t="inlineStr">
        <is>
          <t>WBS Code = 1.2.1</t>
        </is>
      </c>
      <c r="E316" s="34" t="inlineStr">
        <is>
          <t>R224-v1</t>
        </is>
      </c>
      <c r="F316" s="34" t="inlineStr">
        <is>
          <t>1.2.1 Stations - Station Structures</t>
        </is>
      </c>
      <c r="G316" s="34" t="inlineStr">
        <is>
          <t>ONE_TO_ONE</t>
        </is>
      </c>
      <c r="H316" s="34" t="inlineStr">
        <is>
          <t>APPROVED</t>
        </is>
      </c>
      <c r="I316" s="34" t="inlineStr">
        <is>
          <t>New</t>
        </is>
      </c>
      <c r="J316" s="34" t="inlineStr">
        <is>
          <t>Source assignment -- not individually reviewed</t>
        </is>
      </c>
      <c r="K316" s="39" t="inlineStr"/>
      <c r="L316" s="14" t="inlineStr"/>
      <c r="M316" s="14" t="inlineStr"/>
      <c r="N316" s="92" t="inlineStr">
        <is>
          <t>10 EVIDENCE &amp; DECISIONS</t>
        </is>
      </c>
    </row>
    <row r="317" ht="34" customHeight="1">
      <c r="A317" s="34" t="inlineStr">
        <is>
          <t>Contractor Programme</t>
        </is>
      </c>
      <c r="B317" s="34" t="inlineStr">
        <is>
          <t>SCH-02-046</t>
        </is>
      </c>
      <c r="C317" s="34" t="inlineStr">
        <is>
          <t>Harbour Station: station ventilation rough-in - inspection</t>
        </is>
      </c>
      <c r="D317" s="34" t="inlineStr">
        <is>
          <t>WBS Code = 1.2.1</t>
        </is>
      </c>
      <c r="E317" s="34" t="inlineStr">
        <is>
          <t>R226-v1</t>
        </is>
      </c>
      <c r="F317" s="34" t="inlineStr">
        <is>
          <t>1.2.1 Stations - Station Structures</t>
        </is>
      </c>
      <c r="G317" s="34" t="inlineStr">
        <is>
          <t>ONE_TO_ONE</t>
        </is>
      </c>
      <c r="H317" s="34" t="inlineStr">
        <is>
          <t>APPROVED</t>
        </is>
      </c>
      <c r="I317" s="34" t="inlineStr">
        <is>
          <t>New</t>
        </is>
      </c>
      <c r="J317" s="34" t="inlineStr">
        <is>
          <t>Source assignment -- not individually reviewed</t>
        </is>
      </c>
      <c r="K317" s="39" t="inlineStr"/>
      <c r="L317" s="14" t="inlineStr"/>
      <c r="M317" s="14" t="inlineStr"/>
      <c r="N317" s="92" t="inlineStr">
        <is>
          <t>10 EVIDENCE &amp; DECISIONS</t>
        </is>
      </c>
    </row>
    <row r="318" ht="34" customHeight="1">
      <c r="A318" s="34" t="inlineStr">
        <is>
          <t>Contractor Programme</t>
        </is>
      </c>
      <c r="B318" s="34" t="inlineStr">
        <is>
          <t>SCH-02-047</t>
        </is>
      </c>
      <c r="C318" s="34" t="inlineStr">
        <is>
          <t>Market Station: public-realm paving - turnover</t>
        </is>
      </c>
      <c r="D318" s="34" t="inlineStr">
        <is>
          <t>WBS Code = 1.2.1</t>
        </is>
      </c>
      <c r="E318" s="34" t="inlineStr">
        <is>
          <t>R227-v1</t>
        </is>
      </c>
      <c r="F318" s="34" t="inlineStr">
        <is>
          <t>1.2.1 Stations - Station Structures</t>
        </is>
      </c>
      <c r="G318" s="34" t="inlineStr">
        <is>
          <t>ONE_TO_ONE</t>
        </is>
      </c>
      <c r="H318" s="34" t="inlineStr">
        <is>
          <t>APPROVED</t>
        </is>
      </c>
      <c r="I318" s="34" t="inlineStr">
        <is>
          <t>New</t>
        </is>
      </c>
      <c r="J318" s="34" t="inlineStr">
        <is>
          <t>Source assignment -- not individually reviewed</t>
        </is>
      </c>
      <c r="K318" s="39" t="inlineStr"/>
      <c r="L318" s="14" t="inlineStr"/>
      <c r="M318" s="14" t="inlineStr"/>
      <c r="N318" s="92" t="inlineStr">
        <is>
          <t>10 EVIDENCE &amp; DECISIONS</t>
        </is>
      </c>
    </row>
    <row r="319" ht="49" customHeight="1">
      <c r="A319" s="34" t="inlineStr">
        <is>
          <t>Contractor Programme</t>
        </is>
      </c>
      <c r="B319" s="34" t="inlineStr">
        <is>
          <t>SCH-02-049</t>
        </is>
      </c>
      <c r="C319" s="34" t="inlineStr">
        <is>
          <t>University Station: vertical-transport installation - field start</t>
        </is>
      </c>
      <c r="D319" s="34" t="inlineStr">
        <is>
          <t>WBS Code = 1.2.1</t>
        </is>
      </c>
      <c r="E319" s="34" t="inlineStr">
        <is>
          <t>R229-v1</t>
        </is>
      </c>
      <c r="F319" s="34" t="inlineStr">
        <is>
          <t>1.2.1 Stations - Station Structures</t>
        </is>
      </c>
      <c r="G319" s="34" t="inlineStr">
        <is>
          <t>ONE_TO_ONE</t>
        </is>
      </c>
      <c r="H319" s="34" t="inlineStr">
        <is>
          <t>APPROVED</t>
        </is>
      </c>
      <c r="I319" s="34" t="inlineStr">
        <is>
          <t>New</t>
        </is>
      </c>
      <c r="J319" s="34" t="inlineStr">
        <is>
          <t>Source assignment -- not individually reviewed</t>
        </is>
      </c>
      <c r="K319" s="39" t="inlineStr"/>
      <c r="L319" s="14" t="inlineStr"/>
      <c r="M319" s="14" t="inlineStr"/>
      <c r="N319" s="92" t="inlineStr">
        <is>
          <t>10 EVIDENCE &amp; DECISIONS</t>
        </is>
      </c>
    </row>
    <row r="320" ht="34" customHeight="1">
      <c r="A320" s="34" t="inlineStr">
        <is>
          <t>Contractor Programme</t>
        </is>
      </c>
      <c r="B320" s="34" t="inlineStr">
        <is>
          <t>SCH-02-050</t>
        </is>
      </c>
      <c r="C320" s="34" t="inlineStr">
        <is>
          <t>West Terminal: platform edge installation - installation</t>
        </is>
      </c>
      <c r="D320" s="34" t="inlineStr">
        <is>
          <t>WBS Code = 1.2.1</t>
        </is>
      </c>
      <c r="E320" s="34" t="inlineStr">
        <is>
          <t>R230-v1</t>
        </is>
      </c>
      <c r="F320" s="34" t="inlineStr">
        <is>
          <t>1.2.1 Stations - Station Structures</t>
        </is>
      </c>
      <c r="G320" s="34" t="inlineStr">
        <is>
          <t>ONE_TO_ONE</t>
        </is>
      </c>
      <c r="H320" s="34" t="inlineStr">
        <is>
          <t>APPROVED</t>
        </is>
      </c>
      <c r="I320" s="34" t="inlineStr">
        <is>
          <t>New</t>
        </is>
      </c>
      <c r="J320" s="34" t="inlineStr">
        <is>
          <t>Source assignment -- not individually reviewed</t>
        </is>
      </c>
      <c r="K320" s="39" t="inlineStr"/>
      <c r="L320" s="14" t="inlineStr"/>
      <c r="M320" s="14" t="inlineStr"/>
      <c r="N320" s="92" t="inlineStr">
        <is>
          <t>10 EVIDENCE &amp; DECISIONS</t>
        </is>
      </c>
    </row>
    <row r="321" ht="34" customHeight="1">
      <c r="A321" s="34" t="inlineStr">
        <is>
          <t>Contractor Programme</t>
        </is>
      </c>
      <c r="B321" s="34" t="inlineStr">
        <is>
          <t>SCH-02-052</t>
        </is>
      </c>
      <c r="C321" s="34" t="inlineStr">
        <is>
          <t>Market Station: fire-life-safety cabling - turnover</t>
        </is>
      </c>
      <c r="D321" s="34" t="inlineStr">
        <is>
          <t>WBS Code = 1.2.1</t>
        </is>
      </c>
      <c r="E321" s="34" t="inlineStr">
        <is>
          <t>R232-v1</t>
        </is>
      </c>
      <c r="F321" s="34" t="inlineStr">
        <is>
          <t>1.2.1 Stations - Station Structures</t>
        </is>
      </c>
      <c r="G321" s="34" t="inlineStr">
        <is>
          <t>ONE_TO_ONE</t>
        </is>
      </c>
      <c r="H321" s="34" t="inlineStr">
        <is>
          <t>APPROVED</t>
        </is>
      </c>
      <c r="I321" s="34" t="inlineStr">
        <is>
          <t>New</t>
        </is>
      </c>
      <c r="J321" s="34" t="inlineStr">
        <is>
          <t>Source assignment -- not individually reviewed</t>
        </is>
      </c>
      <c r="K321" s="39" t="inlineStr"/>
      <c r="L321" s="14" t="inlineStr"/>
      <c r="M321" s="14" t="inlineStr"/>
      <c r="N321" s="92" t="inlineStr">
        <is>
          <t>10 EVIDENCE &amp; DECISIONS</t>
        </is>
      </c>
    </row>
    <row r="322" ht="34" customHeight="1">
      <c r="A322" s="34" t="inlineStr">
        <is>
          <t>Contractor Programme</t>
        </is>
      </c>
      <c r="B322" s="34" t="inlineStr">
        <is>
          <t>SCH-02-053</t>
        </is>
      </c>
      <c r="C322" s="34" t="inlineStr">
        <is>
          <t>Civic Station: concourse slab pour - release</t>
        </is>
      </c>
      <c r="D322" s="34" t="inlineStr">
        <is>
          <t>WBS Code = 1.2.1</t>
        </is>
      </c>
      <c r="E322" s="34" t="inlineStr">
        <is>
          <t>R233-v1</t>
        </is>
      </c>
      <c r="F322" s="34" t="inlineStr">
        <is>
          <t>1.2.1 Stations - Station Structures</t>
        </is>
      </c>
      <c r="G322" s="34" t="inlineStr">
        <is>
          <t>ONE_TO_ONE</t>
        </is>
      </c>
      <c r="H322" s="34" t="inlineStr">
        <is>
          <t>APPROVED</t>
        </is>
      </c>
      <c r="I322" s="34" t="inlineStr">
        <is>
          <t>New</t>
        </is>
      </c>
      <c r="J322" s="34" t="inlineStr">
        <is>
          <t>Source assignment -- not individually reviewed</t>
        </is>
      </c>
      <c r="K322" s="39" t="inlineStr"/>
      <c r="L322" s="14" t="inlineStr"/>
      <c r="M322" s="14" t="inlineStr"/>
      <c r="N322" s="92" t="inlineStr">
        <is>
          <t>10 EVIDENCE &amp; DECISIONS</t>
        </is>
      </c>
    </row>
    <row r="323" ht="34" customHeight="1">
      <c r="A323" s="34" t="inlineStr">
        <is>
          <t>Contractor Programme</t>
        </is>
      </c>
      <c r="B323" s="34" t="inlineStr">
        <is>
          <t>SCH-02-055</t>
        </is>
      </c>
      <c r="C323" s="34" t="inlineStr">
        <is>
          <t>West Terminal: public-realm paving - installation</t>
        </is>
      </c>
      <c r="D323" s="34" t="inlineStr">
        <is>
          <t>WBS Code = 1.2.1</t>
        </is>
      </c>
      <c r="E323" s="34" t="inlineStr">
        <is>
          <t>R235-v1</t>
        </is>
      </c>
      <c r="F323" s="34" t="inlineStr">
        <is>
          <t>1.2.1 Stations - Station Structures</t>
        </is>
      </c>
      <c r="G323" s="34" t="inlineStr">
        <is>
          <t>ONE_TO_ONE</t>
        </is>
      </c>
      <c r="H323" s="34" t="inlineStr">
        <is>
          <t>APPROVED</t>
        </is>
      </c>
      <c r="I323" s="34" t="inlineStr">
        <is>
          <t>New</t>
        </is>
      </c>
      <c r="J323" s="34" t="inlineStr">
        <is>
          <t>Source assignment -- not individually reviewed</t>
        </is>
      </c>
      <c r="K323" s="39" t="inlineStr"/>
      <c r="L323" s="14" t="inlineStr"/>
      <c r="M323" s="14" t="inlineStr"/>
      <c r="N323" s="92" t="inlineStr">
        <is>
          <t>10 EVIDENCE &amp; DECISIONS</t>
        </is>
      </c>
    </row>
    <row r="324" ht="34" customHeight="1">
      <c r="A324" s="34" t="inlineStr">
        <is>
          <t>Contractor Programme</t>
        </is>
      </c>
      <c r="B324" s="34" t="inlineStr">
        <is>
          <t>SCH-02-056</t>
        </is>
      </c>
      <c r="C324" s="34" t="inlineStr">
        <is>
          <t>Harbour Station: entrance steel erection - inspection</t>
        </is>
      </c>
      <c r="D324" s="34" t="inlineStr">
        <is>
          <t>WBS Code = 1.2.1</t>
        </is>
      </c>
      <c r="E324" s="34" t="inlineStr">
        <is>
          <t>R236-v1</t>
        </is>
      </c>
      <c r="F324" s="34" t="inlineStr">
        <is>
          <t>1.2.1 Stations - Station Structures</t>
        </is>
      </c>
      <c r="G324" s="34" t="inlineStr">
        <is>
          <t>ONE_TO_ONE</t>
        </is>
      </c>
      <c r="H324" s="34" t="inlineStr">
        <is>
          <t>APPROVED</t>
        </is>
      </c>
      <c r="I324" s="34" t="inlineStr">
        <is>
          <t>New</t>
        </is>
      </c>
      <c r="J324" s="34" t="inlineStr">
        <is>
          <t>Source assignment -- not individually reviewed</t>
        </is>
      </c>
      <c r="K324" s="39" t="inlineStr"/>
      <c r="L324" s="14" t="inlineStr"/>
      <c r="M324" s="14" t="inlineStr"/>
      <c r="N324" s="92" t="inlineStr">
        <is>
          <t>10 EVIDENCE &amp; DECISIONS</t>
        </is>
      </c>
    </row>
    <row r="325" ht="34" customHeight="1">
      <c r="A325" s="34" t="inlineStr">
        <is>
          <t>Contractor Programme</t>
        </is>
      </c>
      <c r="B325" s="34" t="inlineStr">
        <is>
          <t>SCH-02-058</t>
        </is>
      </c>
      <c r="C325" s="34" t="inlineStr">
        <is>
          <t>Civic Station: platform edge installation - release</t>
        </is>
      </c>
      <c r="D325" s="34" t="inlineStr">
        <is>
          <t>WBS Code = 1.2.1</t>
        </is>
      </c>
      <c r="E325" s="34" t="inlineStr">
        <is>
          <t>R238-v1</t>
        </is>
      </c>
      <c r="F325" s="34" t="inlineStr">
        <is>
          <t>1.2.1 Stations - Station Structures</t>
        </is>
      </c>
      <c r="G325" s="34" t="inlineStr">
        <is>
          <t>ONE_TO_ONE</t>
        </is>
      </c>
      <c r="H325" s="34" t="inlineStr">
        <is>
          <t>APPROVED</t>
        </is>
      </c>
      <c r="I325" s="34" t="inlineStr">
        <is>
          <t>New</t>
        </is>
      </c>
      <c r="J325" s="34" t="inlineStr">
        <is>
          <t>Source assignment -- not individually reviewed</t>
        </is>
      </c>
      <c r="K325" s="39" t="inlineStr"/>
      <c r="L325" s="14" t="inlineStr"/>
      <c r="M325" s="14" t="inlineStr"/>
      <c r="N325" s="92" t="inlineStr">
        <is>
          <t>10 EVIDENCE &amp; DECISIONS</t>
        </is>
      </c>
    </row>
    <row r="326" ht="34" customHeight="1">
      <c r="A326" s="34" t="inlineStr">
        <is>
          <t>Contractor Programme</t>
        </is>
      </c>
      <c r="B326" s="34" t="inlineStr">
        <is>
          <t>SCH-02-059</t>
        </is>
      </c>
      <c r="C326" s="34" t="inlineStr">
        <is>
          <t>University Station: architectural wall framing - field start</t>
        </is>
      </c>
      <c r="D326" s="34" t="inlineStr">
        <is>
          <t>WBS Code = 1.2.1</t>
        </is>
      </c>
      <c r="E326" s="34" t="inlineStr">
        <is>
          <t>R239-v1</t>
        </is>
      </c>
      <c r="F326" s="34" t="inlineStr">
        <is>
          <t>1.2.1 Stations - Station Structures</t>
        </is>
      </c>
      <c r="G326" s="34" t="inlineStr">
        <is>
          <t>ONE_TO_ONE</t>
        </is>
      </c>
      <c r="H326" s="34" t="inlineStr">
        <is>
          <t>APPROVED</t>
        </is>
      </c>
      <c r="I326" s="34" t="inlineStr">
        <is>
          <t>New</t>
        </is>
      </c>
      <c r="J326" s="34" t="inlineStr">
        <is>
          <t>Source assignment -- not individually reviewed</t>
        </is>
      </c>
      <c r="K326" s="39" t="inlineStr"/>
      <c r="L326" s="14" t="inlineStr"/>
      <c r="M326" s="14" t="inlineStr"/>
      <c r="N326" s="92" t="inlineStr">
        <is>
          <t>10 EVIDENCE &amp; DECISIONS</t>
        </is>
      </c>
    </row>
    <row r="327" ht="34" customHeight="1">
      <c r="A327" s="34" t="inlineStr">
        <is>
          <t>Contractor Programme</t>
        </is>
      </c>
      <c r="B327" s="34" t="inlineStr">
        <is>
          <t>SCH-02-061</t>
        </is>
      </c>
      <c r="C327" s="34" t="inlineStr">
        <is>
          <t>Harbour Station: concourse slab pour - inspection</t>
        </is>
      </c>
      <c r="D327" s="34" t="inlineStr">
        <is>
          <t>WBS Code = 1.2.1</t>
        </is>
      </c>
      <c r="E327" s="34" t="inlineStr">
        <is>
          <t>R241-v1</t>
        </is>
      </c>
      <c r="F327" s="34" t="inlineStr">
        <is>
          <t>1.2.1 Stations - Station Structures</t>
        </is>
      </c>
      <c r="G327" s="34" t="inlineStr">
        <is>
          <t>ONE_TO_ONE</t>
        </is>
      </c>
      <c r="H327" s="34" t="inlineStr">
        <is>
          <t>APPROVED</t>
        </is>
      </c>
      <c r="I327" s="34" t="inlineStr">
        <is>
          <t>New</t>
        </is>
      </c>
      <c r="J327" s="34" t="inlineStr">
        <is>
          <t>Source assignment -- not individually reviewed</t>
        </is>
      </c>
      <c r="K327" s="39" t="inlineStr"/>
      <c r="L327" s="14" t="inlineStr"/>
      <c r="M327" s="14" t="inlineStr"/>
      <c r="N327" s="92" t="inlineStr">
        <is>
          <t>10 EVIDENCE &amp; DECISIONS</t>
        </is>
      </c>
    </row>
    <row r="328" ht="34" customHeight="1">
      <c r="A328" s="34" t="inlineStr">
        <is>
          <t>Contractor Programme</t>
        </is>
      </c>
      <c r="B328" s="34" t="inlineStr">
        <is>
          <t>SCH-02-062</t>
        </is>
      </c>
      <c r="C328" s="34" t="inlineStr">
        <is>
          <t>Market Station: station ventilation rough-in - turnover</t>
        </is>
      </c>
      <c r="D328" s="34" t="inlineStr">
        <is>
          <t>WBS Code = 1.2.1</t>
        </is>
      </c>
      <c r="E328" s="34" t="inlineStr">
        <is>
          <t>R242-v1</t>
        </is>
      </c>
      <c r="F328" s="34" t="inlineStr">
        <is>
          <t>1.2.1 Stations - Station Structures</t>
        </is>
      </c>
      <c r="G328" s="34" t="inlineStr">
        <is>
          <t>ONE_TO_ONE</t>
        </is>
      </c>
      <c r="H328" s="34" t="inlineStr">
        <is>
          <t>APPROVED</t>
        </is>
      </c>
      <c r="I328" s="34" t="inlineStr">
        <is>
          <t>New</t>
        </is>
      </c>
      <c r="J328" s="34" t="inlineStr">
        <is>
          <t>Source assignment -- not individually reviewed</t>
        </is>
      </c>
      <c r="K328" s="39" t="inlineStr"/>
      <c r="L328" s="14" t="inlineStr"/>
      <c r="M328" s="14" t="inlineStr"/>
      <c r="N328" s="92" t="inlineStr">
        <is>
          <t>10 EVIDENCE &amp; DECISIONS</t>
        </is>
      </c>
    </row>
    <row r="329" ht="34" customHeight="1">
      <c r="A329" s="34" t="inlineStr">
        <is>
          <t>Contractor Programme</t>
        </is>
      </c>
      <c r="B329" s="34" t="inlineStr">
        <is>
          <t>SCH-02-064</t>
        </is>
      </c>
      <c r="C329" s="34" t="inlineStr">
        <is>
          <t>University Station: entrance steel erection - field start</t>
        </is>
      </c>
      <c r="D329" s="34" t="inlineStr">
        <is>
          <t>WBS Code = 1.2.1</t>
        </is>
      </c>
      <c r="E329" s="34" t="inlineStr">
        <is>
          <t>R244-v1</t>
        </is>
      </c>
      <c r="F329" s="34" t="inlineStr">
        <is>
          <t>1.2.1 Stations - Station Structures</t>
        </is>
      </c>
      <c r="G329" s="34" t="inlineStr">
        <is>
          <t>ONE_TO_ONE</t>
        </is>
      </c>
      <c r="H329" s="34" t="inlineStr">
        <is>
          <t>APPROVED</t>
        </is>
      </c>
      <c r="I329" s="34" t="inlineStr">
        <is>
          <t>New</t>
        </is>
      </c>
      <c r="J329" s="34" t="inlineStr">
        <is>
          <t>Source assignment -- not individually reviewed</t>
        </is>
      </c>
      <c r="K329" s="39" t="inlineStr"/>
      <c r="L329" s="14" t="inlineStr"/>
      <c r="M329" s="14" t="inlineStr"/>
      <c r="N329" s="92" t="inlineStr">
        <is>
          <t>10 EVIDENCE &amp; DECISIONS</t>
        </is>
      </c>
    </row>
    <row r="330" ht="34" customHeight="1">
      <c r="A330" s="34" t="inlineStr">
        <is>
          <t>Contractor Programme</t>
        </is>
      </c>
      <c r="B330" s="34" t="inlineStr">
        <is>
          <t>SCH-02-065</t>
        </is>
      </c>
      <c r="C330" s="34" t="inlineStr">
        <is>
          <t>West Terminal: vertical-transport installation - installation</t>
        </is>
      </c>
      <c r="D330" s="34" t="inlineStr">
        <is>
          <t>WBS Code = 1.2.1</t>
        </is>
      </c>
      <c r="E330" s="34" t="inlineStr">
        <is>
          <t>R245-v1</t>
        </is>
      </c>
      <c r="F330" s="34" t="inlineStr">
        <is>
          <t>1.2.1 Stations - Station Structures</t>
        </is>
      </c>
      <c r="G330" s="34" t="inlineStr">
        <is>
          <t>ONE_TO_ONE</t>
        </is>
      </c>
      <c r="H330" s="34" t="inlineStr">
        <is>
          <t>APPROVED</t>
        </is>
      </c>
      <c r="I330" s="34" t="inlineStr">
        <is>
          <t>New</t>
        </is>
      </c>
      <c r="J330" s="34" t="inlineStr">
        <is>
          <t>Source assignment -- not individually reviewed</t>
        </is>
      </c>
      <c r="K330" s="39" t="inlineStr"/>
      <c r="L330" s="14" t="inlineStr"/>
      <c r="M330" s="14" t="inlineStr"/>
      <c r="N330" s="92" t="inlineStr">
        <is>
          <t>10 EVIDENCE &amp; DECISIONS</t>
        </is>
      </c>
    </row>
    <row r="331" ht="34" customHeight="1">
      <c r="A331" s="34" t="inlineStr">
        <is>
          <t>Contractor Programme</t>
        </is>
      </c>
      <c r="B331" s="34" t="inlineStr">
        <is>
          <t>SCH-02-067</t>
        </is>
      </c>
      <c r="C331" s="34" t="inlineStr">
        <is>
          <t>Market Station: architectural wall framing - turnover</t>
        </is>
      </c>
      <c r="D331" s="34" t="inlineStr">
        <is>
          <t>WBS Code = 1.2.1</t>
        </is>
      </c>
      <c r="E331" s="34" t="inlineStr">
        <is>
          <t>R247-v1</t>
        </is>
      </c>
      <c r="F331" s="34" t="inlineStr">
        <is>
          <t>1.2.1 Stations - Station Structures</t>
        </is>
      </c>
      <c r="G331" s="34" t="inlineStr">
        <is>
          <t>ONE_TO_ONE</t>
        </is>
      </c>
      <c r="H331" s="34" t="inlineStr">
        <is>
          <t>APPROVED</t>
        </is>
      </c>
      <c r="I331" s="34" t="inlineStr">
        <is>
          <t>New</t>
        </is>
      </c>
      <c r="J331" s="34" t="inlineStr">
        <is>
          <t>Source assignment -- not individually reviewed</t>
        </is>
      </c>
      <c r="K331" s="39" t="inlineStr"/>
      <c r="L331" s="14" t="inlineStr"/>
      <c r="M331" s="14" t="inlineStr"/>
      <c r="N331" s="92" t="inlineStr">
        <is>
          <t>10 EVIDENCE &amp; DECISIONS</t>
        </is>
      </c>
    </row>
    <row r="332" ht="34" customHeight="1">
      <c r="A332" s="34" t="inlineStr">
        <is>
          <t>Contractor Programme</t>
        </is>
      </c>
      <c r="B332" s="34" t="inlineStr">
        <is>
          <t>SCH-02-068</t>
        </is>
      </c>
      <c r="C332" s="34" t="inlineStr">
        <is>
          <t>Civic Station: fire-life-safety cabling - release</t>
        </is>
      </c>
      <c r="D332" s="34" t="inlineStr">
        <is>
          <t>WBS Code = 1.2.1</t>
        </is>
      </c>
      <c r="E332" s="34" t="inlineStr">
        <is>
          <t>R248-v1</t>
        </is>
      </c>
      <c r="F332" s="34" t="inlineStr">
        <is>
          <t>1.2.1 Stations - Station Structures</t>
        </is>
      </c>
      <c r="G332" s="34" t="inlineStr">
        <is>
          <t>ONE_TO_ONE</t>
        </is>
      </c>
      <c r="H332" s="34" t="inlineStr">
        <is>
          <t>APPROVED</t>
        </is>
      </c>
      <c r="I332" s="34" t="inlineStr">
        <is>
          <t>New</t>
        </is>
      </c>
      <c r="J332" s="34" t="inlineStr">
        <is>
          <t>Source assignment -- not individually reviewed</t>
        </is>
      </c>
      <c r="K332" s="39" t="inlineStr"/>
      <c r="L332" s="14" t="inlineStr"/>
      <c r="M332" s="14" t="inlineStr"/>
      <c r="N332" s="92" t="inlineStr">
        <is>
          <t>10 EVIDENCE &amp; DECISIONS</t>
        </is>
      </c>
    </row>
    <row r="333" ht="34" customHeight="1">
      <c r="A333" s="34" t="inlineStr">
        <is>
          <t>Contractor Programme</t>
        </is>
      </c>
      <c r="B333" s="34" t="inlineStr">
        <is>
          <t>SCH-02-070</t>
        </is>
      </c>
      <c r="C333" s="34" t="inlineStr">
        <is>
          <t>West Terminal: station ventilation rough-in - installation</t>
        </is>
      </c>
      <c r="D333" s="34" t="inlineStr">
        <is>
          <t>WBS Code = 1.2.1</t>
        </is>
      </c>
      <c r="E333" s="34" t="inlineStr">
        <is>
          <t>R250-v1</t>
        </is>
      </c>
      <c r="F333" s="34" t="inlineStr">
        <is>
          <t>1.2.1 Stations - Station Structures</t>
        </is>
      </c>
      <c r="G333" s="34" t="inlineStr">
        <is>
          <t>ONE_TO_ONE</t>
        </is>
      </c>
      <c r="H333" s="34" t="inlineStr">
        <is>
          <t>APPROVED</t>
        </is>
      </c>
      <c r="I333" s="34" t="inlineStr">
        <is>
          <t>New</t>
        </is>
      </c>
      <c r="J333" s="34" t="inlineStr">
        <is>
          <t>Source assignment -- not individually reviewed</t>
        </is>
      </c>
      <c r="K333" s="39" t="inlineStr"/>
      <c r="L333" s="14" t="inlineStr"/>
      <c r="M333" s="14" t="inlineStr"/>
      <c r="N333" s="92" t="inlineStr">
        <is>
          <t>10 EVIDENCE &amp; DECISIONS</t>
        </is>
      </c>
    </row>
    <row r="334" ht="34" customHeight="1">
      <c r="A334" s="34" t="inlineStr">
        <is>
          <t>Contractor Programme</t>
        </is>
      </c>
      <c r="B334" s="34" t="inlineStr">
        <is>
          <t>SCH-02-071</t>
        </is>
      </c>
      <c r="C334" s="34" t="inlineStr">
        <is>
          <t>Harbour Station: public-realm paving - inspection</t>
        </is>
      </c>
      <c r="D334" s="34" t="inlineStr">
        <is>
          <t>WBS Code = 1.2.1</t>
        </is>
      </c>
      <c r="E334" s="34" t="inlineStr">
        <is>
          <t>R251-v1</t>
        </is>
      </c>
      <c r="F334" s="34" t="inlineStr">
        <is>
          <t>1.2.1 Stations - Station Structures</t>
        </is>
      </c>
      <c r="G334" s="34" t="inlineStr">
        <is>
          <t>ONE_TO_ONE</t>
        </is>
      </c>
      <c r="H334" s="34" t="inlineStr">
        <is>
          <t>APPROVED</t>
        </is>
      </c>
      <c r="I334" s="34" t="inlineStr">
        <is>
          <t>New</t>
        </is>
      </c>
      <c r="J334" s="34" t="inlineStr">
        <is>
          <t>Source assignment -- not individually reviewed</t>
        </is>
      </c>
      <c r="K334" s="39" t="inlineStr"/>
      <c r="L334" s="14" t="inlineStr"/>
      <c r="M334" s="14" t="inlineStr"/>
      <c r="N334" s="92" t="inlineStr">
        <is>
          <t>10 EVIDENCE &amp; DECISIONS</t>
        </is>
      </c>
    </row>
    <row r="335" ht="34" customHeight="1">
      <c r="A335" s="34" t="inlineStr">
        <is>
          <t>Contractor Programme</t>
        </is>
      </c>
      <c r="B335" s="34" t="inlineStr">
        <is>
          <t>SCH-02-073</t>
        </is>
      </c>
      <c r="C335" s="34" t="inlineStr">
        <is>
          <t>Civic Station: vertical-transport installation - release</t>
        </is>
      </c>
      <c r="D335" s="34" t="inlineStr">
        <is>
          <t>WBS Code = 1.2.1</t>
        </is>
      </c>
      <c r="E335" s="34" t="inlineStr">
        <is>
          <t>R253-v1</t>
        </is>
      </c>
      <c r="F335" s="34" t="inlineStr">
        <is>
          <t>1.2.1 Stations - Station Structures</t>
        </is>
      </c>
      <c r="G335" s="34" t="inlineStr">
        <is>
          <t>ONE_TO_ONE</t>
        </is>
      </c>
      <c r="H335" s="34" t="inlineStr">
        <is>
          <t>APPROVED</t>
        </is>
      </c>
      <c r="I335" s="34" t="inlineStr">
        <is>
          <t>New</t>
        </is>
      </c>
      <c r="J335" s="34" t="inlineStr">
        <is>
          <t>Source assignment -- not individually reviewed</t>
        </is>
      </c>
      <c r="K335" s="39" t="inlineStr"/>
      <c r="L335" s="14" t="inlineStr"/>
      <c r="M335" s="14" t="inlineStr"/>
      <c r="N335" s="92" t="inlineStr">
        <is>
          <t>10 EVIDENCE &amp; DECISIONS</t>
        </is>
      </c>
    </row>
    <row r="336" ht="34" customHeight="1">
      <c r="A336" s="34" t="inlineStr">
        <is>
          <t>Contractor Programme</t>
        </is>
      </c>
      <c r="B336" s="34" t="inlineStr">
        <is>
          <t>SCH-02-074</t>
        </is>
      </c>
      <c r="C336" s="34" t="inlineStr">
        <is>
          <t>University Station: platform edge installation - field start</t>
        </is>
      </c>
      <c r="D336" s="34" t="inlineStr">
        <is>
          <t>WBS Code = 1.2.1</t>
        </is>
      </c>
      <c r="E336" s="34" t="inlineStr">
        <is>
          <t>R254-v1</t>
        </is>
      </c>
      <c r="F336" s="34" t="inlineStr">
        <is>
          <t>1.2.1 Stations - Station Structures</t>
        </is>
      </c>
      <c r="G336" s="34" t="inlineStr">
        <is>
          <t>ONE_TO_ONE</t>
        </is>
      </c>
      <c r="H336" s="34" t="inlineStr">
        <is>
          <t>APPROVED</t>
        </is>
      </c>
      <c r="I336" s="34" t="inlineStr">
        <is>
          <t>New</t>
        </is>
      </c>
      <c r="J336" s="34" t="inlineStr">
        <is>
          <t>Source assignment -- not individually reviewed</t>
        </is>
      </c>
      <c r="K336" s="39" t="inlineStr"/>
      <c r="L336" s="14" t="inlineStr"/>
      <c r="M336" s="14" t="inlineStr"/>
      <c r="N336" s="92" t="inlineStr">
        <is>
          <t>10 EVIDENCE &amp; DECISIONS</t>
        </is>
      </c>
    </row>
    <row r="337" ht="34" customHeight="1">
      <c r="A337" s="34" t="inlineStr">
        <is>
          <t>Contractor Programme</t>
        </is>
      </c>
      <c r="B337" s="34" t="inlineStr">
        <is>
          <t>SCH-02-076</t>
        </is>
      </c>
      <c r="C337" s="34" t="inlineStr">
        <is>
          <t>Harbour Station: fire-life-safety cabling - inspection</t>
        </is>
      </c>
      <c r="D337" s="34" t="inlineStr">
        <is>
          <t>WBS Code = 1.2.1</t>
        </is>
      </c>
      <c r="E337" s="34" t="inlineStr">
        <is>
          <t>R256-v1</t>
        </is>
      </c>
      <c r="F337" s="34" t="inlineStr">
        <is>
          <t>1.2.1 Stations - Station Structures</t>
        </is>
      </c>
      <c r="G337" s="34" t="inlineStr">
        <is>
          <t>ONE_TO_ONE</t>
        </is>
      </c>
      <c r="H337" s="34" t="inlineStr">
        <is>
          <t>APPROVED</t>
        </is>
      </c>
      <c r="I337" s="34" t="inlineStr">
        <is>
          <t>New</t>
        </is>
      </c>
      <c r="J337" s="34" t="inlineStr">
        <is>
          <t>Source assignment -- not individually reviewed</t>
        </is>
      </c>
      <c r="K337" s="39" t="inlineStr"/>
      <c r="L337" s="14" t="inlineStr"/>
      <c r="M337" s="14" t="inlineStr"/>
      <c r="N337" s="92" t="inlineStr">
        <is>
          <t>10 EVIDENCE &amp; DECISIONS</t>
        </is>
      </c>
    </row>
    <row r="338" ht="34" customHeight="1">
      <c r="A338" s="34" t="inlineStr">
        <is>
          <t>Contractor Programme</t>
        </is>
      </c>
      <c r="B338" s="34" t="inlineStr">
        <is>
          <t>SCH-02-077</t>
        </is>
      </c>
      <c r="C338" s="34" t="inlineStr">
        <is>
          <t>Market Station: concourse slab pour - turnover</t>
        </is>
      </c>
      <c r="D338" s="34" t="inlineStr">
        <is>
          <t>WBS Code = 1.2.1</t>
        </is>
      </c>
      <c r="E338" s="34" t="inlineStr">
        <is>
          <t>R257-v1</t>
        </is>
      </c>
      <c r="F338" s="34" t="inlineStr">
        <is>
          <t>1.2.1 Stations - Station Structures</t>
        </is>
      </c>
      <c r="G338" s="34" t="inlineStr">
        <is>
          <t>ONE_TO_ONE</t>
        </is>
      </c>
      <c r="H338" s="34" t="inlineStr">
        <is>
          <t>APPROVED</t>
        </is>
      </c>
      <c r="I338" s="34" t="inlineStr">
        <is>
          <t>New</t>
        </is>
      </c>
      <c r="J338" s="34" t="inlineStr">
        <is>
          <t>Source assignment -- not individually reviewed</t>
        </is>
      </c>
      <c r="K338" s="39" t="inlineStr"/>
      <c r="L338" s="14" t="inlineStr"/>
      <c r="M338" s="14" t="inlineStr"/>
      <c r="N338" s="92" t="inlineStr">
        <is>
          <t>10 EVIDENCE &amp; DECISIONS</t>
        </is>
      </c>
    </row>
    <row r="339" ht="34" customHeight="1">
      <c r="A339" s="34" t="inlineStr">
        <is>
          <t>Contractor Programme</t>
        </is>
      </c>
      <c r="B339" s="34" t="inlineStr">
        <is>
          <t>SCH-02-079</t>
        </is>
      </c>
      <c r="C339" s="34" t="inlineStr">
        <is>
          <t>University Station: public-realm paving - field start</t>
        </is>
      </c>
      <c r="D339" s="34" t="inlineStr">
        <is>
          <t>WBS Code = 1.2.1</t>
        </is>
      </c>
      <c r="E339" s="34" t="inlineStr">
        <is>
          <t>R259-v1</t>
        </is>
      </c>
      <c r="F339" s="34" t="inlineStr">
        <is>
          <t>1.2.1 Stations - Station Structures</t>
        </is>
      </c>
      <c r="G339" s="34" t="inlineStr">
        <is>
          <t>ONE_TO_ONE</t>
        </is>
      </c>
      <c r="H339" s="34" t="inlineStr">
        <is>
          <t>APPROVED</t>
        </is>
      </c>
      <c r="I339" s="34" t="inlineStr">
        <is>
          <t>New</t>
        </is>
      </c>
      <c r="J339" s="34" t="inlineStr">
        <is>
          <t>Source assignment -- not individually reviewed</t>
        </is>
      </c>
      <c r="K339" s="39" t="inlineStr"/>
      <c r="L339" s="14" t="inlineStr"/>
      <c r="M339" s="14" t="inlineStr"/>
      <c r="N339" s="92" t="inlineStr">
        <is>
          <t>10 EVIDENCE &amp; DECISIONS</t>
        </is>
      </c>
    </row>
    <row r="340" ht="34" customHeight="1">
      <c r="A340" s="34" t="inlineStr">
        <is>
          <t>Contractor Programme</t>
        </is>
      </c>
      <c r="B340" s="34" t="inlineStr">
        <is>
          <t>SCH-02-080</t>
        </is>
      </c>
      <c r="C340" s="34" t="inlineStr">
        <is>
          <t>West Terminal: entrance steel erection - installation</t>
        </is>
      </c>
      <c r="D340" s="34" t="inlineStr">
        <is>
          <t>WBS Code = 1.2.1</t>
        </is>
      </c>
      <c r="E340" s="34" t="inlineStr">
        <is>
          <t>R260-v1</t>
        </is>
      </c>
      <c r="F340" s="34" t="inlineStr">
        <is>
          <t>1.2.1 Stations - Station Structures</t>
        </is>
      </c>
      <c r="G340" s="34" t="inlineStr">
        <is>
          <t>ONE_TO_ONE</t>
        </is>
      </c>
      <c r="H340" s="34" t="inlineStr">
        <is>
          <t>APPROVED</t>
        </is>
      </c>
      <c r="I340" s="34" t="inlineStr">
        <is>
          <t>New</t>
        </is>
      </c>
      <c r="J340" s="34" t="inlineStr">
        <is>
          <t>Source assignment -- not individually reviewed</t>
        </is>
      </c>
      <c r="K340" s="39" t="inlineStr"/>
      <c r="L340" s="14" t="inlineStr"/>
      <c r="M340" s="14" t="inlineStr"/>
      <c r="N340" s="92" t="inlineStr">
        <is>
          <t>10 EVIDENCE &amp; DECISIONS</t>
        </is>
      </c>
    </row>
    <row r="341" ht="34" customHeight="1">
      <c r="A341" s="34" t="inlineStr">
        <is>
          <t>Contractor Programme</t>
        </is>
      </c>
      <c r="B341" s="34" t="inlineStr">
        <is>
          <t>SCH-02-082</t>
        </is>
      </c>
      <c r="C341" s="34" t="inlineStr">
        <is>
          <t>Market Station: platform edge installation - turnover</t>
        </is>
      </c>
      <c r="D341" s="34" t="inlineStr">
        <is>
          <t>WBS Code = 1.2.1</t>
        </is>
      </c>
      <c r="E341" s="34" t="inlineStr">
        <is>
          <t>R262-v1</t>
        </is>
      </c>
      <c r="F341" s="34" t="inlineStr">
        <is>
          <t>1.2.1 Stations - Station Structures</t>
        </is>
      </c>
      <c r="G341" s="34" t="inlineStr">
        <is>
          <t>ONE_TO_ONE</t>
        </is>
      </c>
      <c r="H341" s="34" t="inlineStr">
        <is>
          <t>APPROVED</t>
        </is>
      </c>
      <c r="I341" s="34" t="inlineStr">
        <is>
          <t>New</t>
        </is>
      </c>
      <c r="J341" s="34" t="inlineStr">
        <is>
          <t>Source assignment -- not individually reviewed</t>
        </is>
      </c>
      <c r="K341" s="39" t="inlineStr"/>
      <c r="L341" s="14" t="inlineStr"/>
      <c r="M341" s="14" t="inlineStr"/>
      <c r="N341" s="92" t="inlineStr">
        <is>
          <t>10 EVIDENCE &amp; DECISIONS</t>
        </is>
      </c>
    </row>
    <row r="342" ht="34" customHeight="1">
      <c r="A342" s="34" t="inlineStr">
        <is>
          <t>Contractor Programme</t>
        </is>
      </c>
      <c r="B342" s="34" t="inlineStr">
        <is>
          <t>SCH-02-083</t>
        </is>
      </c>
      <c r="C342" s="34" t="inlineStr">
        <is>
          <t>Civic Station: architectural wall framing - release</t>
        </is>
      </c>
      <c r="D342" s="34" t="inlineStr">
        <is>
          <t>WBS Code = 1.2.1</t>
        </is>
      </c>
      <c r="E342" s="34" t="inlineStr">
        <is>
          <t>R263-v1</t>
        </is>
      </c>
      <c r="F342" s="34" t="inlineStr">
        <is>
          <t>1.2.1 Stations - Station Structures</t>
        </is>
      </c>
      <c r="G342" s="34" t="inlineStr">
        <is>
          <t>ONE_TO_ONE</t>
        </is>
      </c>
      <c r="H342" s="34" t="inlineStr">
        <is>
          <t>APPROVED</t>
        </is>
      </c>
      <c r="I342" s="34" t="inlineStr">
        <is>
          <t>New</t>
        </is>
      </c>
      <c r="J342" s="34" t="inlineStr">
        <is>
          <t>Source assignment -- not individually reviewed</t>
        </is>
      </c>
      <c r="K342" s="39" t="inlineStr"/>
      <c r="L342" s="14" t="inlineStr"/>
      <c r="M342" s="14" t="inlineStr"/>
      <c r="N342" s="92" t="inlineStr">
        <is>
          <t>10 EVIDENCE &amp; DECISIONS</t>
        </is>
      </c>
    </row>
    <row r="343" ht="34" customHeight="1">
      <c r="A343" s="34" t="inlineStr">
        <is>
          <t>Contractor Programme</t>
        </is>
      </c>
      <c r="B343" s="34" t="inlineStr">
        <is>
          <t>SCH-02-085</t>
        </is>
      </c>
      <c r="C343" s="34" t="inlineStr">
        <is>
          <t>West Terminal: concourse slab pour - installation</t>
        </is>
      </c>
      <c r="D343" s="34" t="inlineStr">
        <is>
          <t>WBS Code = 1.2.1</t>
        </is>
      </c>
      <c r="E343" s="34" t="inlineStr">
        <is>
          <t>R265-v1</t>
        </is>
      </c>
      <c r="F343" s="34" t="inlineStr">
        <is>
          <t>1.2.1 Stations - Station Structures</t>
        </is>
      </c>
      <c r="G343" s="34" t="inlineStr">
        <is>
          <t>ONE_TO_ONE</t>
        </is>
      </c>
      <c r="H343" s="34" t="inlineStr">
        <is>
          <t>APPROVED</t>
        </is>
      </c>
      <c r="I343" s="34" t="inlineStr">
        <is>
          <t>New</t>
        </is>
      </c>
      <c r="J343" s="34" t="inlineStr">
        <is>
          <t>Source assignment -- not individually reviewed</t>
        </is>
      </c>
      <c r="K343" s="39" t="inlineStr"/>
      <c r="L343" s="14" t="inlineStr"/>
      <c r="M343" s="14" t="inlineStr"/>
      <c r="N343" s="92" t="inlineStr">
        <is>
          <t>10 EVIDENCE &amp; DECISIONS</t>
        </is>
      </c>
    </row>
    <row r="344" ht="34" customHeight="1">
      <c r="A344" s="34" t="inlineStr">
        <is>
          <t>Contractor Programme</t>
        </is>
      </c>
      <c r="B344" s="34" t="inlineStr">
        <is>
          <t>SCH-02-086</t>
        </is>
      </c>
      <c r="C344" s="34" t="inlineStr">
        <is>
          <t>Harbour Station: station ventilation rough-in - inspection</t>
        </is>
      </c>
      <c r="D344" s="34" t="inlineStr">
        <is>
          <t>WBS Code = 1.2.1</t>
        </is>
      </c>
      <c r="E344" s="34" t="inlineStr">
        <is>
          <t>R266-v1</t>
        </is>
      </c>
      <c r="F344" s="34" t="inlineStr">
        <is>
          <t>1.2.1 Stations - Station Structures</t>
        </is>
      </c>
      <c r="G344" s="34" t="inlineStr">
        <is>
          <t>ONE_TO_ONE</t>
        </is>
      </c>
      <c r="H344" s="34" t="inlineStr">
        <is>
          <t>APPROVED</t>
        </is>
      </c>
      <c r="I344" s="34" t="inlineStr">
        <is>
          <t>New</t>
        </is>
      </c>
      <c r="J344" s="34" t="inlineStr">
        <is>
          <t>Source assignment -- not individually reviewed</t>
        </is>
      </c>
      <c r="K344" s="39" t="inlineStr"/>
      <c r="L344" s="14" t="inlineStr"/>
      <c r="M344" s="14" t="inlineStr"/>
      <c r="N344" s="92" t="inlineStr">
        <is>
          <t>10 EVIDENCE &amp; DECISIONS</t>
        </is>
      </c>
    </row>
    <row r="345" ht="34" customHeight="1">
      <c r="A345" s="34" t="inlineStr">
        <is>
          <t>Contractor Programme</t>
        </is>
      </c>
      <c r="B345" s="34" t="inlineStr">
        <is>
          <t>SCH-02-088</t>
        </is>
      </c>
      <c r="C345" s="34" t="inlineStr">
        <is>
          <t>Civic Station: entrance steel erection - release</t>
        </is>
      </c>
      <c r="D345" s="34" t="inlineStr">
        <is>
          <t>WBS Code = 1.2.1</t>
        </is>
      </c>
      <c r="E345" s="34" t="inlineStr">
        <is>
          <t>R268-v1</t>
        </is>
      </c>
      <c r="F345" s="34" t="inlineStr">
        <is>
          <t>1.2.1 Stations - Station Structures</t>
        </is>
      </c>
      <c r="G345" s="34" t="inlineStr">
        <is>
          <t>ONE_TO_ONE</t>
        </is>
      </c>
      <c r="H345" s="34" t="inlineStr">
        <is>
          <t>APPROVED</t>
        </is>
      </c>
      <c r="I345" s="34" t="inlineStr">
        <is>
          <t>New</t>
        </is>
      </c>
      <c r="J345" s="34" t="inlineStr">
        <is>
          <t>Source assignment -- not individually reviewed</t>
        </is>
      </c>
      <c r="K345" s="39" t="inlineStr"/>
      <c r="L345" s="14" t="inlineStr"/>
      <c r="M345" s="14" t="inlineStr"/>
      <c r="N345" s="92" t="inlineStr">
        <is>
          <t>10 EVIDENCE &amp; DECISIONS</t>
        </is>
      </c>
    </row>
    <row r="346" ht="49" customHeight="1">
      <c r="A346" s="34" t="inlineStr">
        <is>
          <t>Contractor Programme</t>
        </is>
      </c>
      <c r="B346" s="34" t="inlineStr">
        <is>
          <t>SCH-02-089</t>
        </is>
      </c>
      <c r="C346" s="34" t="inlineStr">
        <is>
          <t>University Station: vertical-transport installation - field start</t>
        </is>
      </c>
      <c r="D346" s="34" t="inlineStr">
        <is>
          <t>WBS Code = 1.2.1</t>
        </is>
      </c>
      <c r="E346" s="34" t="inlineStr">
        <is>
          <t>R269-v1</t>
        </is>
      </c>
      <c r="F346" s="34" t="inlineStr">
        <is>
          <t>1.2.1 Stations - Station Structures</t>
        </is>
      </c>
      <c r="G346" s="34" t="inlineStr">
        <is>
          <t>ONE_TO_ONE</t>
        </is>
      </c>
      <c r="H346" s="34" t="inlineStr">
        <is>
          <t>APPROVED</t>
        </is>
      </c>
      <c r="I346" s="34" t="inlineStr">
        <is>
          <t>New</t>
        </is>
      </c>
      <c r="J346" s="34" t="inlineStr">
        <is>
          <t>Source assignment -- not individually reviewed</t>
        </is>
      </c>
      <c r="K346" s="39" t="inlineStr"/>
      <c r="L346" s="14" t="inlineStr"/>
      <c r="M346" s="14" t="inlineStr"/>
      <c r="N346" s="92" t="inlineStr">
        <is>
          <t>10 EVIDENCE &amp; DECISIONS</t>
        </is>
      </c>
    </row>
    <row r="347" ht="34" customHeight="1">
      <c r="A347" s="34" t="inlineStr">
        <is>
          <t>Contractor Programme</t>
        </is>
      </c>
      <c r="B347" s="34" t="inlineStr">
        <is>
          <t>SCH-02-091</t>
        </is>
      </c>
      <c r="C347" s="34" t="inlineStr">
        <is>
          <t>Harbour Station: architectural wall framing - inspection</t>
        </is>
      </c>
      <c r="D347" s="34" t="inlineStr">
        <is>
          <t>WBS Code = 1.2.1</t>
        </is>
      </c>
      <c r="E347" s="34" t="inlineStr">
        <is>
          <t>R271-v1</t>
        </is>
      </c>
      <c r="F347" s="34" t="inlineStr">
        <is>
          <t>1.2.1 Stations - Station Structures</t>
        </is>
      </c>
      <c r="G347" s="34" t="inlineStr">
        <is>
          <t>ONE_TO_ONE</t>
        </is>
      </c>
      <c r="H347" s="34" t="inlineStr">
        <is>
          <t>APPROVED</t>
        </is>
      </c>
      <c r="I347" s="34" t="inlineStr">
        <is>
          <t>New</t>
        </is>
      </c>
      <c r="J347" s="34" t="inlineStr">
        <is>
          <t>Source assignment -- not individually reviewed</t>
        </is>
      </c>
      <c r="K347" s="39" t="inlineStr"/>
      <c r="L347" s="14" t="inlineStr"/>
      <c r="M347" s="14" t="inlineStr"/>
      <c r="N347" s="92" t="inlineStr">
        <is>
          <t>10 EVIDENCE &amp; DECISIONS</t>
        </is>
      </c>
    </row>
    <row r="348" ht="34" customHeight="1">
      <c r="A348" s="34" t="inlineStr">
        <is>
          <t>Contractor Programme</t>
        </is>
      </c>
      <c r="B348" s="34" t="inlineStr">
        <is>
          <t>SCH-02-092</t>
        </is>
      </c>
      <c r="C348" s="34" t="inlineStr">
        <is>
          <t>Market Station: fire-life-safety cabling - turnover</t>
        </is>
      </c>
      <c r="D348" s="34" t="inlineStr">
        <is>
          <t>WBS Code = 1.2.1</t>
        </is>
      </c>
      <c r="E348" s="34" t="inlineStr">
        <is>
          <t>R272-v1</t>
        </is>
      </c>
      <c r="F348" s="34" t="inlineStr">
        <is>
          <t>1.2.1 Stations - Station Structures</t>
        </is>
      </c>
      <c r="G348" s="34" t="inlineStr">
        <is>
          <t>ONE_TO_ONE</t>
        </is>
      </c>
      <c r="H348" s="34" t="inlineStr">
        <is>
          <t>APPROVED</t>
        </is>
      </c>
      <c r="I348" s="34" t="inlineStr">
        <is>
          <t>New</t>
        </is>
      </c>
      <c r="J348" s="34" t="inlineStr">
        <is>
          <t>Source assignment -- not individually reviewed</t>
        </is>
      </c>
      <c r="K348" s="39" t="inlineStr"/>
      <c r="L348" s="14" t="inlineStr"/>
      <c r="M348" s="14" t="inlineStr"/>
      <c r="N348" s="92" t="inlineStr">
        <is>
          <t>10 EVIDENCE &amp; DECISIONS</t>
        </is>
      </c>
    </row>
    <row r="349" ht="34" customHeight="1">
      <c r="A349" s="34" t="inlineStr">
        <is>
          <t>Contractor Programme</t>
        </is>
      </c>
      <c r="B349" s="34" t="inlineStr">
        <is>
          <t>SCH-02-094</t>
        </is>
      </c>
      <c r="C349" s="34" t="inlineStr">
        <is>
          <t>University Station: station ventilation rough-in - field start</t>
        </is>
      </c>
      <c r="D349" s="34" t="inlineStr">
        <is>
          <t>WBS Code = 1.2.1</t>
        </is>
      </c>
      <c r="E349" s="34" t="inlineStr">
        <is>
          <t>R274-v1</t>
        </is>
      </c>
      <c r="F349" s="34" t="inlineStr">
        <is>
          <t>1.2.1 Stations - Station Structures</t>
        </is>
      </c>
      <c r="G349" s="34" t="inlineStr">
        <is>
          <t>ONE_TO_ONE</t>
        </is>
      </c>
      <c r="H349" s="34" t="inlineStr">
        <is>
          <t>APPROVED</t>
        </is>
      </c>
      <c r="I349" s="34" t="inlineStr">
        <is>
          <t>New</t>
        </is>
      </c>
      <c r="J349" s="34" t="inlineStr">
        <is>
          <t>Source assignment -- not individually reviewed</t>
        </is>
      </c>
      <c r="K349" s="39" t="inlineStr"/>
      <c r="L349" s="14" t="inlineStr"/>
      <c r="M349" s="14" t="inlineStr"/>
      <c r="N349" s="92" t="inlineStr">
        <is>
          <t>10 EVIDENCE &amp; DECISIONS</t>
        </is>
      </c>
    </row>
    <row r="350" ht="34" customHeight="1">
      <c r="A350" s="34" t="inlineStr">
        <is>
          <t>Contractor Programme</t>
        </is>
      </c>
      <c r="B350" s="34" t="inlineStr">
        <is>
          <t>SCH-02-095</t>
        </is>
      </c>
      <c r="C350" s="34" t="inlineStr">
        <is>
          <t>West Terminal: public-realm paving - installation</t>
        </is>
      </c>
      <c r="D350" s="34" t="inlineStr">
        <is>
          <t>WBS Code = 1.2.1</t>
        </is>
      </c>
      <c r="E350" s="34" t="inlineStr">
        <is>
          <t>R275-v1</t>
        </is>
      </c>
      <c r="F350" s="34" t="inlineStr">
        <is>
          <t>1.2.1 Stations - Station Structures</t>
        </is>
      </c>
      <c r="G350" s="34" t="inlineStr">
        <is>
          <t>ONE_TO_ONE</t>
        </is>
      </c>
      <c r="H350" s="34" t="inlineStr">
        <is>
          <t>APPROVED</t>
        </is>
      </c>
      <c r="I350" s="34" t="inlineStr">
        <is>
          <t>New</t>
        </is>
      </c>
      <c r="J350" s="34" t="inlineStr">
        <is>
          <t>Source assignment -- not individually reviewed</t>
        </is>
      </c>
      <c r="K350" s="39" t="inlineStr"/>
      <c r="L350" s="14" t="inlineStr"/>
      <c r="M350" s="14" t="inlineStr"/>
      <c r="N350" s="92" t="inlineStr">
        <is>
          <t>10 EVIDENCE &amp; DECISIONS</t>
        </is>
      </c>
    </row>
    <row r="351" ht="34" customHeight="1">
      <c r="A351" s="34" t="inlineStr">
        <is>
          <t>Contractor Programme</t>
        </is>
      </c>
      <c r="B351" s="34" t="inlineStr">
        <is>
          <t>SCH-02-097</t>
        </is>
      </c>
      <c r="C351" s="34" t="inlineStr">
        <is>
          <t>Market Station: vertical-transport installation - turnover</t>
        </is>
      </c>
      <c r="D351" s="34" t="inlineStr">
        <is>
          <t>WBS Code = 1.2.1</t>
        </is>
      </c>
      <c r="E351" s="34" t="inlineStr">
        <is>
          <t>R277-v1</t>
        </is>
      </c>
      <c r="F351" s="34" t="inlineStr">
        <is>
          <t>1.2.1 Stations - Station Structures</t>
        </is>
      </c>
      <c r="G351" s="34" t="inlineStr">
        <is>
          <t>ONE_TO_ONE</t>
        </is>
      </c>
      <c r="H351" s="34" t="inlineStr">
        <is>
          <t>APPROVED</t>
        </is>
      </c>
      <c r="I351" s="34" t="inlineStr">
        <is>
          <t>New</t>
        </is>
      </c>
      <c r="J351" s="34" t="inlineStr">
        <is>
          <t>Source assignment -- not individually reviewed</t>
        </is>
      </c>
      <c r="K351" s="39" t="inlineStr"/>
      <c r="L351" s="14" t="inlineStr"/>
      <c r="M351" s="14" t="inlineStr"/>
      <c r="N351" s="92" t="inlineStr">
        <is>
          <t>10 EVIDENCE &amp; DECISIONS</t>
        </is>
      </c>
    </row>
    <row r="352" ht="34" customHeight="1">
      <c r="A352" s="34" t="inlineStr">
        <is>
          <t>Contractor Programme</t>
        </is>
      </c>
      <c r="B352" s="34" t="inlineStr">
        <is>
          <t>SCH-02-098</t>
        </is>
      </c>
      <c r="C352" s="34" t="inlineStr">
        <is>
          <t>Civic Station: platform edge installation - release</t>
        </is>
      </c>
      <c r="D352" s="34" t="inlineStr">
        <is>
          <t>WBS Code = 1.2.1</t>
        </is>
      </c>
      <c r="E352" s="34" t="inlineStr">
        <is>
          <t>R278-v1</t>
        </is>
      </c>
      <c r="F352" s="34" t="inlineStr">
        <is>
          <t>1.2.1 Stations - Station Structures</t>
        </is>
      </c>
      <c r="G352" s="34" t="inlineStr">
        <is>
          <t>ONE_TO_ONE</t>
        </is>
      </c>
      <c r="H352" s="34" t="inlineStr">
        <is>
          <t>APPROVED</t>
        </is>
      </c>
      <c r="I352" s="34" t="inlineStr">
        <is>
          <t>New</t>
        </is>
      </c>
      <c r="J352" s="34" t="inlineStr">
        <is>
          <t>Source assignment -- not individually reviewed</t>
        </is>
      </c>
      <c r="K352" s="39" t="inlineStr"/>
      <c r="L352" s="14" t="inlineStr"/>
      <c r="M352" s="14" t="inlineStr"/>
      <c r="N352" s="92" t="inlineStr">
        <is>
          <t>10 EVIDENCE &amp; DECISIONS</t>
        </is>
      </c>
    </row>
    <row r="353" ht="34" customHeight="1">
      <c r="A353" s="34" t="inlineStr">
        <is>
          <t>Contractor Programme</t>
        </is>
      </c>
      <c r="B353" s="34" t="inlineStr">
        <is>
          <t>SCH-02-100</t>
        </is>
      </c>
      <c r="C353" s="34" t="inlineStr">
        <is>
          <t>West Terminal: fire-life-safety cabling - installation</t>
        </is>
      </c>
      <c r="D353" s="34" t="inlineStr">
        <is>
          <t>WBS Code = 1.2.1</t>
        </is>
      </c>
      <c r="E353" s="34" t="inlineStr">
        <is>
          <t>R280-v1</t>
        </is>
      </c>
      <c r="F353" s="34" t="inlineStr">
        <is>
          <t>1.2.1 Stations - Station Structures</t>
        </is>
      </c>
      <c r="G353" s="34" t="inlineStr">
        <is>
          <t>ONE_TO_ONE</t>
        </is>
      </c>
      <c r="H353" s="34" t="inlineStr">
        <is>
          <t>APPROVED</t>
        </is>
      </c>
      <c r="I353" s="34" t="inlineStr">
        <is>
          <t>New</t>
        </is>
      </c>
      <c r="J353" s="34" t="inlineStr">
        <is>
          <t>Source assignment -- not individually reviewed</t>
        </is>
      </c>
      <c r="K353" s="39" t="inlineStr"/>
      <c r="L353" s="14" t="inlineStr"/>
      <c r="M353" s="14" t="inlineStr"/>
      <c r="N353" s="92" t="inlineStr">
        <is>
          <t>10 EVIDENCE &amp; DECISIONS</t>
        </is>
      </c>
    </row>
    <row r="354" ht="34" customHeight="1">
      <c r="A354" s="34" t="inlineStr">
        <is>
          <t>Contractor Programme</t>
        </is>
      </c>
      <c r="B354" s="34" t="inlineStr">
        <is>
          <t>SCH-02-101</t>
        </is>
      </c>
      <c r="C354" s="34" t="inlineStr">
        <is>
          <t>Harbour Station: concourse slab pour - inspection</t>
        </is>
      </c>
      <c r="D354" s="34" t="inlineStr">
        <is>
          <t>WBS Code = 1.2.1</t>
        </is>
      </c>
      <c r="E354" s="34" t="inlineStr">
        <is>
          <t>R281-v1</t>
        </is>
      </c>
      <c r="F354" s="34" t="inlineStr">
        <is>
          <t>1.2.1 Stations - Station Structures</t>
        </is>
      </c>
      <c r="G354" s="34" t="inlineStr">
        <is>
          <t>ONE_TO_ONE</t>
        </is>
      </c>
      <c r="H354" s="34" t="inlineStr">
        <is>
          <t>APPROVED</t>
        </is>
      </c>
      <c r="I354" s="34" t="inlineStr">
        <is>
          <t>New</t>
        </is>
      </c>
      <c r="J354" s="34" t="inlineStr">
        <is>
          <t>Source assignment -- not individually reviewed</t>
        </is>
      </c>
      <c r="K354" s="39" t="inlineStr"/>
      <c r="L354" s="14" t="inlineStr"/>
      <c r="M354" s="14" t="inlineStr"/>
      <c r="N354" s="92" t="inlineStr">
        <is>
          <t>10 EVIDENCE &amp; DECISIONS</t>
        </is>
      </c>
    </row>
    <row r="355" ht="34" customHeight="1">
      <c r="A355" s="34" t="inlineStr">
        <is>
          <t>Contractor Programme</t>
        </is>
      </c>
      <c r="B355" s="34" t="inlineStr">
        <is>
          <t>SCH-02-103</t>
        </is>
      </c>
      <c r="C355" s="34" t="inlineStr">
        <is>
          <t>Civic Station: public-realm paving - release</t>
        </is>
      </c>
      <c r="D355" s="34" t="inlineStr">
        <is>
          <t>WBS Code = 1.2.1</t>
        </is>
      </c>
      <c r="E355" s="34" t="inlineStr">
        <is>
          <t>R283-v1</t>
        </is>
      </c>
      <c r="F355" s="34" t="inlineStr">
        <is>
          <t>1.2.1 Stations - Station Structures</t>
        </is>
      </c>
      <c r="G355" s="34" t="inlineStr">
        <is>
          <t>ONE_TO_ONE</t>
        </is>
      </c>
      <c r="H355" s="34" t="inlineStr">
        <is>
          <t>APPROVED</t>
        </is>
      </c>
      <c r="I355" s="34" t="inlineStr">
        <is>
          <t>New</t>
        </is>
      </c>
      <c r="J355" s="34" t="inlineStr">
        <is>
          <t>Source assignment -- not individually reviewed</t>
        </is>
      </c>
      <c r="K355" s="39" t="inlineStr"/>
      <c r="L355" s="14" t="inlineStr"/>
      <c r="M355" s="14" t="inlineStr"/>
      <c r="N355" s="92" t="inlineStr">
        <is>
          <t>10 EVIDENCE &amp; DECISIONS</t>
        </is>
      </c>
    </row>
    <row r="356" ht="34" customHeight="1">
      <c r="A356" s="34" t="inlineStr">
        <is>
          <t>Contractor Programme</t>
        </is>
      </c>
      <c r="B356" s="34" t="inlineStr">
        <is>
          <t>SCH-02-104</t>
        </is>
      </c>
      <c r="C356" s="34" t="inlineStr">
        <is>
          <t>University Station: entrance steel erection - field start</t>
        </is>
      </c>
      <c r="D356" s="34" t="inlineStr">
        <is>
          <t>WBS Code = 1.2.1</t>
        </is>
      </c>
      <c r="E356" s="34" t="inlineStr">
        <is>
          <t>R284-v1</t>
        </is>
      </c>
      <c r="F356" s="34" t="inlineStr">
        <is>
          <t>1.2.1 Stations - Station Structures</t>
        </is>
      </c>
      <c r="G356" s="34" t="inlineStr">
        <is>
          <t>ONE_TO_ONE</t>
        </is>
      </c>
      <c r="H356" s="34" t="inlineStr">
        <is>
          <t>APPROVED</t>
        </is>
      </c>
      <c r="I356" s="34" t="inlineStr">
        <is>
          <t>New</t>
        </is>
      </c>
      <c r="J356" s="34" t="inlineStr">
        <is>
          <t>Source assignment -- not individually reviewed</t>
        </is>
      </c>
      <c r="K356" s="39" t="inlineStr"/>
      <c r="L356" s="14" t="inlineStr"/>
      <c r="M356" s="14" t="inlineStr"/>
      <c r="N356" s="92" t="inlineStr">
        <is>
          <t>10 EVIDENCE &amp; DECISIONS</t>
        </is>
      </c>
    </row>
    <row r="357" ht="34" customHeight="1">
      <c r="A357" s="34" t="inlineStr">
        <is>
          <t>Contractor Programme</t>
        </is>
      </c>
      <c r="B357" s="34" t="inlineStr">
        <is>
          <t>SCH-02-106</t>
        </is>
      </c>
      <c r="C357" s="34" t="inlineStr">
        <is>
          <t>Harbour Station: platform edge installation - inspection</t>
        </is>
      </c>
      <c r="D357" s="34" t="inlineStr">
        <is>
          <t>WBS Code = 1.2.1</t>
        </is>
      </c>
      <c r="E357" s="34" t="inlineStr">
        <is>
          <t>R286-v1</t>
        </is>
      </c>
      <c r="F357" s="34" t="inlineStr">
        <is>
          <t>1.2.1 Stations - Station Structures</t>
        </is>
      </c>
      <c r="G357" s="34" t="inlineStr">
        <is>
          <t>ONE_TO_ONE</t>
        </is>
      </c>
      <c r="H357" s="34" t="inlineStr">
        <is>
          <t>APPROVED</t>
        </is>
      </c>
      <c r="I357" s="34" t="inlineStr">
        <is>
          <t>New</t>
        </is>
      </c>
      <c r="J357" s="34" t="inlineStr">
        <is>
          <t>Source assignment -- not individually reviewed</t>
        </is>
      </c>
      <c r="K357" s="39" t="inlineStr"/>
      <c r="L357" s="14" t="inlineStr"/>
      <c r="M357" s="14" t="inlineStr"/>
      <c r="N357" s="92" t="inlineStr">
        <is>
          <t>10 EVIDENCE &amp; DECISIONS</t>
        </is>
      </c>
    </row>
    <row r="358" ht="34" customHeight="1">
      <c r="A358" s="34" t="inlineStr">
        <is>
          <t>Contractor Programme</t>
        </is>
      </c>
      <c r="B358" s="34" t="inlineStr">
        <is>
          <t>SCH-02-107</t>
        </is>
      </c>
      <c r="C358" s="34" t="inlineStr">
        <is>
          <t>Market Station: architectural wall framing - turnover</t>
        </is>
      </c>
      <c r="D358" s="34" t="inlineStr">
        <is>
          <t>WBS Code = 1.2.1</t>
        </is>
      </c>
      <c r="E358" s="34" t="inlineStr">
        <is>
          <t>R287-v1</t>
        </is>
      </c>
      <c r="F358" s="34" t="inlineStr">
        <is>
          <t>1.2.1 Stations - Station Structures</t>
        </is>
      </c>
      <c r="G358" s="34" t="inlineStr">
        <is>
          <t>ONE_TO_ONE</t>
        </is>
      </c>
      <c r="H358" s="34" t="inlineStr">
        <is>
          <t>APPROVED</t>
        </is>
      </c>
      <c r="I358" s="34" t="inlineStr">
        <is>
          <t>New</t>
        </is>
      </c>
      <c r="J358" s="34" t="inlineStr">
        <is>
          <t>Source assignment -- not individually reviewed</t>
        </is>
      </c>
      <c r="K358" s="39" t="inlineStr"/>
      <c r="L358" s="14" t="inlineStr"/>
      <c r="M358" s="14" t="inlineStr"/>
      <c r="N358" s="92" t="inlineStr">
        <is>
          <t>10 EVIDENCE &amp; DECISIONS</t>
        </is>
      </c>
    </row>
    <row r="359" ht="34" customHeight="1">
      <c r="A359" s="34" t="inlineStr">
        <is>
          <t>Contractor Programme</t>
        </is>
      </c>
      <c r="B359" s="34" t="inlineStr">
        <is>
          <t>SCH-02-109</t>
        </is>
      </c>
      <c r="C359" s="34" t="inlineStr">
        <is>
          <t>University Station: concourse slab pour - field start</t>
        </is>
      </c>
      <c r="D359" s="34" t="inlineStr">
        <is>
          <t>WBS Code = 1.2.1</t>
        </is>
      </c>
      <c r="E359" s="34" t="inlineStr">
        <is>
          <t>R289-v1</t>
        </is>
      </c>
      <c r="F359" s="34" t="inlineStr">
        <is>
          <t>1.2.1 Stations - Station Structures</t>
        </is>
      </c>
      <c r="G359" s="34" t="inlineStr">
        <is>
          <t>ONE_TO_ONE</t>
        </is>
      </c>
      <c r="H359" s="34" t="inlineStr">
        <is>
          <t>APPROVED</t>
        </is>
      </c>
      <c r="I359" s="34" t="inlineStr">
        <is>
          <t>New</t>
        </is>
      </c>
      <c r="J359" s="34" t="inlineStr">
        <is>
          <t>Source assignment -- not individually reviewed</t>
        </is>
      </c>
      <c r="K359" s="39" t="inlineStr"/>
      <c r="L359" s="14" t="inlineStr"/>
      <c r="M359" s="14" t="inlineStr"/>
      <c r="N359" s="92" t="inlineStr">
        <is>
          <t>10 EVIDENCE &amp; DECISIONS</t>
        </is>
      </c>
    </row>
    <row r="360" ht="34" customHeight="1">
      <c r="A360" s="34" t="inlineStr">
        <is>
          <t>Contractor Programme</t>
        </is>
      </c>
      <c r="B360" s="34" t="inlineStr">
        <is>
          <t>SCH-02-110</t>
        </is>
      </c>
      <c r="C360" s="34" t="inlineStr">
        <is>
          <t>West Terminal: station ventilation rough-in - installation</t>
        </is>
      </c>
      <c r="D360" s="34" t="inlineStr">
        <is>
          <t>WBS Code = 1.2.1</t>
        </is>
      </c>
      <c r="E360" s="34" t="inlineStr">
        <is>
          <t>R290-v1</t>
        </is>
      </c>
      <c r="F360" s="34" t="inlineStr">
        <is>
          <t>1.2.1 Stations - Station Structures</t>
        </is>
      </c>
      <c r="G360" s="34" t="inlineStr">
        <is>
          <t>ONE_TO_ONE</t>
        </is>
      </c>
      <c r="H360" s="34" t="inlineStr">
        <is>
          <t>APPROVED</t>
        </is>
      </c>
      <c r="I360" s="34" t="inlineStr">
        <is>
          <t>New</t>
        </is>
      </c>
      <c r="J360" s="34" t="inlineStr">
        <is>
          <t>Source assignment -- not individually reviewed</t>
        </is>
      </c>
      <c r="K360" s="39" t="inlineStr"/>
      <c r="L360" s="14" t="inlineStr"/>
      <c r="M360" s="14" t="inlineStr"/>
      <c r="N360" s="92" t="inlineStr">
        <is>
          <t>10 EVIDENCE &amp; DECISIONS</t>
        </is>
      </c>
    </row>
    <row r="361" ht="34" customHeight="1">
      <c r="A361" s="34" t="inlineStr">
        <is>
          <t>Contractor Programme</t>
        </is>
      </c>
      <c r="B361" s="34" t="inlineStr">
        <is>
          <t>SCH-02-112</t>
        </is>
      </c>
      <c r="C361" s="34" t="inlineStr">
        <is>
          <t>Market Station: entrance steel erection - turnover</t>
        </is>
      </c>
      <c r="D361" s="34" t="inlineStr">
        <is>
          <t>WBS Code = 1.2.1</t>
        </is>
      </c>
      <c r="E361" s="34" t="inlineStr">
        <is>
          <t>R292-v1</t>
        </is>
      </c>
      <c r="F361" s="34" t="inlineStr">
        <is>
          <t>1.2.1 Stations - Station Structures</t>
        </is>
      </c>
      <c r="G361" s="34" t="inlineStr">
        <is>
          <t>ONE_TO_ONE</t>
        </is>
      </c>
      <c r="H361" s="34" t="inlineStr">
        <is>
          <t>APPROVED</t>
        </is>
      </c>
      <c r="I361" s="34" t="inlineStr">
        <is>
          <t>New</t>
        </is>
      </c>
      <c r="J361" s="34" t="inlineStr">
        <is>
          <t>Source assignment -- not individually reviewed</t>
        </is>
      </c>
      <c r="K361" s="39" t="inlineStr"/>
      <c r="L361" s="14" t="inlineStr"/>
      <c r="M361" s="14" t="inlineStr"/>
      <c r="N361" s="92" t="inlineStr">
        <is>
          <t>10 EVIDENCE &amp; DECISIONS</t>
        </is>
      </c>
    </row>
    <row r="362" ht="34" customHeight="1">
      <c r="A362" s="34" t="inlineStr">
        <is>
          <t>Contractor Programme</t>
        </is>
      </c>
      <c r="B362" s="34" t="inlineStr">
        <is>
          <t>SCH-02-113</t>
        </is>
      </c>
      <c r="C362" s="34" t="inlineStr">
        <is>
          <t>Civic Station: vertical-transport installation - release</t>
        </is>
      </c>
      <c r="D362" s="34" t="inlineStr">
        <is>
          <t>WBS Code = 1.2.1</t>
        </is>
      </c>
      <c r="E362" s="34" t="inlineStr">
        <is>
          <t>R293-v1</t>
        </is>
      </c>
      <c r="F362" s="34" t="inlineStr">
        <is>
          <t>1.2.1 Stations - Station Structures</t>
        </is>
      </c>
      <c r="G362" s="34" t="inlineStr">
        <is>
          <t>ONE_TO_ONE</t>
        </is>
      </c>
      <c r="H362" s="34" t="inlineStr">
        <is>
          <t>APPROVED</t>
        </is>
      </c>
      <c r="I362" s="34" t="inlineStr">
        <is>
          <t>New</t>
        </is>
      </c>
      <c r="J362" s="34" t="inlineStr">
        <is>
          <t>Source assignment -- not individually reviewed</t>
        </is>
      </c>
      <c r="K362" s="39" t="inlineStr"/>
      <c r="L362" s="14" t="inlineStr"/>
      <c r="M362" s="14" t="inlineStr"/>
      <c r="N362" s="92" t="inlineStr">
        <is>
          <t>10 EVIDENCE &amp; DECISIONS</t>
        </is>
      </c>
    </row>
    <row r="363" ht="34" customHeight="1">
      <c r="A363" s="34" t="inlineStr">
        <is>
          <t>Contractor Programme</t>
        </is>
      </c>
      <c r="B363" s="34" t="inlineStr">
        <is>
          <t>SCH-02-115</t>
        </is>
      </c>
      <c r="C363" s="34" t="inlineStr">
        <is>
          <t>West Terminal: architectural wall framing - installation</t>
        </is>
      </c>
      <c r="D363" s="34" t="inlineStr">
        <is>
          <t>WBS Code = 1.2.1</t>
        </is>
      </c>
      <c r="E363" s="34" t="inlineStr">
        <is>
          <t>R295-v1</t>
        </is>
      </c>
      <c r="F363" s="34" t="inlineStr">
        <is>
          <t>1.2.1 Stations - Station Structures</t>
        </is>
      </c>
      <c r="G363" s="34" t="inlineStr">
        <is>
          <t>ONE_TO_ONE</t>
        </is>
      </c>
      <c r="H363" s="34" t="inlineStr">
        <is>
          <t>APPROVED</t>
        </is>
      </c>
      <c r="I363" s="34" t="inlineStr">
        <is>
          <t>New</t>
        </is>
      </c>
      <c r="J363" s="34" t="inlineStr">
        <is>
          <t>Source assignment -- not individually reviewed</t>
        </is>
      </c>
      <c r="K363" s="39" t="inlineStr"/>
      <c r="L363" s="14" t="inlineStr"/>
      <c r="M363" s="14" t="inlineStr"/>
      <c r="N363" s="92" t="inlineStr">
        <is>
          <t>10 EVIDENCE &amp; DECISIONS</t>
        </is>
      </c>
    </row>
    <row r="364" ht="34" customHeight="1">
      <c r="A364" s="34" t="inlineStr">
        <is>
          <t>Contractor Programme</t>
        </is>
      </c>
      <c r="B364" s="34" t="inlineStr">
        <is>
          <t>SCH-02-116</t>
        </is>
      </c>
      <c r="C364" s="34" t="inlineStr">
        <is>
          <t>Harbour Station: fire-life-safety cabling - inspection</t>
        </is>
      </c>
      <c r="D364" s="34" t="inlineStr">
        <is>
          <t>WBS Code = 1.2.1</t>
        </is>
      </c>
      <c r="E364" s="34" t="inlineStr">
        <is>
          <t>R296-v1</t>
        </is>
      </c>
      <c r="F364" s="34" t="inlineStr">
        <is>
          <t>1.2.1 Stations - Station Structures</t>
        </is>
      </c>
      <c r="G364" s="34" t="inlineStr">
        <is>
          <t>ONE_TO_ONE</t>
        </is>
      </c>
      <c r="H364" s="34" t="inlineStr">
        <is>
          <t>APPROVED</t>
        </is>
      </c>
      <c r="I364" s="34" t="inlineStr">
        <is>
          <t>New</t>
        </is>
      </c>
      <c r="J364" s="34" t="inlineStr">
        <is>
          <t>Source assignment -- not individually reviewed</t>
        </is>
      </c>
      <c r="K364" s="39" t="inlineStr"/>
      <c r="L364" s="14" t="inlineStr"/>
      <c r="M364" s="14" t="inlineStr"/>
      <c r="N364" s="92" t="inlineStr">
        <is>
          <t>10 EVIDENCE &amp; DECISIONS</t>
        </is>
      </c>
    </row>
    <row r="365" ht="34" customHeight="1">
      <c r="A365" s="34" t="inlineStr">
        <is>
          <t>Contractor Programme</t>
        </is>
      </c>
      <c r="B365" s="34" t="inlineStr">
        <is>
          <t>SCH-02-118</t>
        </is>
      </c>
      <c r="C365" s="34" t="inlineStr">
        <is>
          <t>Civic Station: station ventilation rough-in - release</t>
        </is>
      </c>
      <c r="D365" s="34" t="inlineStr">
        <is>
          <t>WBS Code = 1.2.1</t>
        </is>
      </c>
      <c r="E365" s="34" t="inlineStr">
        <is>
          <t>R298-v1</t>
        </is>
      </c>
      <c r="F365" s="34" t="inlineStr">
        <is>
          <t>1.2.1 Stations - Station Structures</t>
        </is>
      </c>
      <c r="G365" s="34" t="inlineStr">
        <is>
          <t>ONE_TO_ONE</t>
        </is>
      </c>
      <c r="H365" s="34" t="inlineStr">
        <is>
          <t>APPROVED</t>
        </is>
      </c>
      <c r="I365" s="34" t="inlineStr">
        <is>
          <t>New</t>
        </is>
      </c>
      <c r="J365" s="34" t="inlineStr">
        <is>
          <t>Source assignment -- not individually reviewed</t>
        </is>
      </c>
      <c r="K365" s="39" t="inlineStr"/>
      <c r="L365" s="14" t="inlineStr"/>
      <c r="M365" s="14" t="inlineStr"/>
      <c r="N365" s="92" t="inlineStr">
        <is>
          <t>10 EVIDENCE &amp; DECISIONS</t>
        </is>
      </c>
    </row>
    <row r="366" ht="34" customHeight="1">
      <c r="A366" s="34" t="inlineStr">
        <is>
          <t>Contractor Programme</t>
        </is>
      </c>
      <c r="B366" s="34" t="inlineStr">
        <is>
          <t>SCH-02-119</t>
        </is>
      </c>
      <c r="C366" s="34" t="inlineStr">
        <is>
          <t>University Station: public-realm paving - field start</t>
        </is>
      </c>
      <c r="D366" s="34" t="inlineStr">
        <is>
          <t>WBS Code = 1.2.1</t>
        </is>
      </c>
      <c r="E366" s="34" t="inlineStr">
        <is>
          <t>R299-v1</t>
        </is>
      </c>
      <c r="F366" s="34" t="inlineStr">
        <is>
          <t>1.2.1 Stations - Station Structures</t>
        </is>
      </c>
      <c r="G366" s="34" t="inlineStr">
        <is>
          <t>ONE_TO_ONE</t>
        </is>
      </c>
      <c r="H366" s="34" t="inlineStr">
        <is>
          <t>APPROVED</t>
        </is>
      </c>
      <c r="I366" s="34" t="inlineStr">
        <is>
          <t>New</t>
        </is>
      </c>
      <c r="J366" s="34" t="inlineStr">
        <is>
          <t>Source assignment -- not individually reviewed</t>
        </is>
      </c>
      <c r="K366" s="39" t="inlineStr"/>
      <c r="L366" s="14" t="inlineStr"/>
      <c r="M366" s="14" t="inlineStr"/>
      <c r="N366" s="92" t="inlineStr">
        <is>
          <t>10 EVIDENCE &amp; DECISIONS</t>
        </is>
      </c>
    </row>
    <row r="367" ht="34" customHeight="1">
      <c r="A367" s="34" t="inlineStr">
        <is>
          <t>Contractor Programme</t>
        </is>
      </c>
      <c r="B367" s="34" t="inlineStr">
        <is>
          <t>SCH-02-121</t>
        </is>
      </c>
      <c r="C367" s="34" t="inlineStr">
        <is>
          <t>Harbour Station: vertical-transport installation - inspection</t>
        </is>
      </c>
      <c r="D367" s="34" t="inlineStr">
        <is>
          <t>WBS Code = 1.2.1</t>
        </is>
      </c>
      <c r="E367" s="34" t="inlineStr">
        <is>
          <t>R301-v1</t>
        </is>
      </c>
      <c r="F367" s="34" t="inlineStr">
        <is>
          <t>1.2.1 Stations - Station Structures</t>
        </is>
      </c>
      <c r="G367" s="34" t="inlineStr">
        <is>
          <t>ONE_TO_ONE</t>
        </is>
      </c>
      <c r="H367" s="34" t="inlineStr">
        <is>
          <t>APPROVED</t>
        </is>
      </c>
      <c r="I367" s="34" t="inlineStr">
        <is>
          <t>New</t>
        </is>
      </c>
      <c r="J367" s="34" t="inlineStr">
        <is>
          <t>Source assignment -- not individually reviewed</t>
        </is>
      </c>
      <c r="K367" s="39" t="inlineStr"/>
      <c r="L367" s="14" t="inlineStr"/>
      <c r="M367" s="14" t="inlineStr"/>
      <c r="N367" s="92" t="inlineStr">
        <is>
          <t>10 EVIDENCE &amp; DECISIONS</t>
        </is>
      </c>
    </row>
    <row r="368" ht="34" customHeight="1">
      <c r="A368" s="34" t="inlineStr">
        <is>
          <t>Contractor Programme</t>
        </is>
      </c>
      <c r="B368" s="34" t="inlineStr">
        <is>
          <t>SCH-02-122</t>
        </is>
      </c>
      <c r="C368" s="34" t="inlineStr">
        <is>
          <t>Market Station: platform edge installation - turnover</t>
        </is>
      </c>
      <c r="D368" s="34" t="inlineStr">
        <is>
          <t>WBS Code = 1.2.1</t>
        </is>
      </c>
      <c r="E368" s="34" t="inlineStr">
        <is>
          <t>R302-v1</t>
        </is>
      </c>
      <c r="F368" s="34" t="inlineStr">
        <is>
          <t>1.2.1 Stations - Station Structures</t>
        </is>
      </c>
      <c r="G368" s="34" t="inlineStr">
        <is>
          <t>ONE_TO_ONE</t>
        </is>
      </c>
      <c r="H368" s="34" t="inlineStr">
        <is>
          <t>APPROVED</t>
        </is>
      </c>
      <c r="I368" s="34" t="inlineStr">
        <is>
          <t>New</t>
        </is>
      </c>
      <c r="J368" s="34" t="inlineStr">
        <is>
          <t>Source assignment -- not individually reviewed</t>
        </is>
      </c>
      <c r="K368" s="39" t="inlineStr"/>
      <c r="L368" s="14" t="inlineStr"/>
      <c r="M368" s="14" t="inlineStr"/>
      <c r="N368" s="92" t="inlineStr">
        <is>
          <t>10 EVIDENCE &amp; DECISIONS</t>
        </is>
      </c>
    </row>
    <row r="369" ht="34" customHeight="1">
      <c r="A369" s="34" t="inlineStr">
        <is>
          <t>Contractor Programme</t>
        </is>
      </c>
      <c r="B369" s="34" t="inlineStr">
        <is>
          <t>SCH-02-124</t>
        </is>
      </c>
      <c r="C369" s="34" t="inlineStr">
        <is>
          <t>University Station: fire-life-safety cabling - field start</t>
        </is>
      </c>
      <c r="D369" s="34" t="inlineStr">
        <is>
          <t>WBS Code = 1.2.1</t>
        </is>
      </c>
      <c r="E369" s="34" t="inlineStr">
        <is>
          <t>R304-v1</t>
        </is>
      </c>
      <c r="F369" s="34" t="inlineStr">
        <is>
          <t>1.2.1 Stations - Station Structures</t>
        </is>
      </c>
      <c r="G369" s="34" t="inlineStr">
        <is>
          <t>ONE_TO_ONE</t>
        </is>
      </c>
      <c r="H369" s="34" t="inlineStr">
        <is>
          <t>APPROVED</t>
        </is>
      </c>
      <c r="I369" s="34" t="inlineStr">
        <is>
          <t>New</t>
        </is>
      </c>
      <c r="J369" s="34" t="inlineStr">
        <is>
          <t>Source assignment -- not individually reviewed</t>
        </is>
      </c>
      <c r="K369" s="39" t="inlineStr"/>
      <c r="L369" s="14" t="inlineStr"/>
      <c r="M369" s="14" t="inlineStr"/>
      <c r="N369" s="92" t="inlineStr">
        <is>
          <t>10 EVIDENCE &amp; DECISIONS</t>
        </is>
      </c>
    </row>
    <row r="370" ht="34" customHeight="1">
      <c r="A370" s="34" t="inlineStr">
        <is>
          <t>Contractor Programme</t>
        </is>
      </c>
      <c r="B370" s="34" t="inlineStr">
        <is>
          <t>SCH-02-125</t>
        </is>
      </c>
      <c r="C370" s="34" t="inlineStr">
        <is>
          <t>West Terminal: concourse slab pour - installation</t>
        </is>
      </c>
      <c r="D370" s="34" t="inlineStr">
        <is>
          <t>WBS Code = 1.2.1</t>
        </is>
      </c>
      <c r="E370" s="34" t="inlineStr">
        <is>
          <t>R305-v1</t>
        </is>
      </c>
      <c r="F370" s="34" t="inlineStr">
        <is>
          <t>1.2.1 Stations - Station Structures</t>
        </is>
      </c>
      <c r="G370" s="34" t="inlineStr">
        <is>
          <t>ONE_TO_ONE</t>
        </is>
      </c>
      <c r="H370" s="34" t="inlineStr">
        <is>
          <t>APPROVED</t>
        </is>
      </c>
      <c r="I370" s="34" t="inlineStr">
        <is>
          <t>New</t>
        </is>
      </c>
      <c r="J370" s="34" t="inlineStr">
        <is>
          <t>Source assignment -- not individually reviewed</t>
        </is>
      </c>
      <c r="K370" s="39" t="inlineStr"/>
      <c r="L370" s="14" t="inlineStr"/>
      <c r="M370" s="14" t="inlineStr"/>
      <c r="N370" s="92" t="inlineStr">
        <is>
          <t>10 EVIDENCE &amp; DECISIONS</t>
        </is>
      </c>
    </row>
    <row r="371" ht="34" customHeight="1">
      <c r="A371" s="34" t="inlineStr">
        <is>
          <t>Contractor Programme</t>
        </is>
      </c>
      <c r="B371" s="34" t="inlineStr">
        <is>
          <t>SCH-02-127</t>
        </is>
      </c>
      <c r="C371" s="34" t="inlineStr">
        <is>
          <t>Market Station: public-realm paving - turnover</t>
        </is>
      </c>
      <c r="D371" s="34" t="inlineStr">
        <is>
          <t>WBS Code = 1.2.1</t>
        </is>
      </c>
      <c r="E371" s="34" t="inlineStr">
        <is>
          <t>R307-v1</t>
        </is>
      </c>
      <c r="F371" s="34" t="inlineStr">
        <is>
          <t>1.2.1 Stations - Station Structures</t>
        </is>
      </c>
      <c r="G371" s="34" t="inlineStr">
        <is>
          <t>ONE_TO_ONE</t>
        </is>
      </c>
      <c r="H371" s="34" t="inlineStr">
        <is>
          <t>APPROVED</t>
        </is>
      </c>
      <c r="I371" s="34" t="inlineStr">
        <is>
          <t>New</t>
        </is>
      </c>
      <c r="J371" s="34" t="inlineStr">
        <is>
          <t>Source assignment -- not individually reviewed</t>
        </is>
      </c>
      <c r="K371" s="39" t="inlineStr"/>
      <c r="L371" s="14" t="inlineStr"/>
      <c r="M371" s="14" t="inlineStr"/>
      <c r="N371" s="92" t="inlineStr">
        <is>
          <t>10 EVIDENCE &amp; DECISIONS</t>
        </is>
      </c>
    </row>
    <row r="372" ht="34" customHeight="1">
      <c r="A372" s="34" t="inlineStr">
        <is>
          <t>Contractor Programme</t>
        </is>
      </c>
      <c r="B372" s="34" t="inlineStr">
        <is>
          <t>SCH-02-128</t>
        </is>
      </c>
      <c r="C372" s="34" t="inlineStr">
        <is>
          <t>Civic Station: entrance steel erection - release</t>
        </is>
      </c>
      <c r="D372" s="34" t="inlineStr">
        <is>
          <t>WBS Code = 1.2.1</t>
        </is>
      </c>
      <c r="E372" s="34" t="inlineStr">
        <is>
          <t>R308-v1</t>
        </is>
      </c>
      <c r="F372" s="34" t="inlineStr">
        <is>
          <t>1.2.1 Stations - Station Structures</t>
        </is>
      </c>
      <c r="G372" s="34" t="inlineStr">
        <is>
          <t>ONE_TO_ONE</t>
        </is>
      </c>
      <c r="H372" s="34" t="inlineStr">
        <is>
          <t>APPROVED</t>
        </is>
      </c>
      <c r="I372" s="34" t="inlineStr">
        <is>
          <t>New</t>
        </is>
      </c>
      <c r="J372" s="34" t="inlineStr">
        <is>
          <t>Source assignment -- not individually reviewed</t>
        </is>
      </c>
      <c r="K372" s="39" t="inlineStr"/>
      <c r="L372" s="14" t="inlineStr"/>
      <c r="M372" s="14" t="inlineStr"/>
      <c r="N372" s="92" t="inlineStr">
        <is>
          <t>10 EVIDENCE &amp; DECISIONS</t>
        </is>
      </c>
    </row>
    <row r="373" ht="34" customHeight="1">
      <c r="A373" s="34" t="inlineStr">
        <is>
          <t>Contractor Programme</t>
        </is>
      </c>
      <c r="B373" s="34" t="inlineStr">
        <is>
          <t>SCH-02-130</t>
        </is>
      </c>
      <c r="C373" s="34" t="inlineStr">
        <is>
          <t>West Terminal: platform edge installation - installation</t>
        </is>
      </c>
      <c r="D373" s="34" t="inlineStr">
        <is>
          <t>WBS Code = 1.2.1</t>
        </is>
      </c>
      <c r="E373" s="34" t="inlineStr">
        <is>
          <t>R310-v1</t>
        </is>
      </c>
      <c r="F373" s="34" t="inlineStr">
        <is>
          <t>1.2.1 Stations - Station Structures</t>
        </is>
      </c>
      <c r="G373" s="34" t="inlineStr">
        <is>
          <t>ONE_TO_ONE</t>
        </is>
      </c>
      <c r="H373" s="34" t="inlineStr">
        <is>
          <t>APPROVED</t>
        </is>
      </c>
      <c r="I373" s="34" t="inlineStr">
        <is>
          <t>New</t>
        </is>
      </c>
      <c r="J373" s="34" t="inlineStr">
        <is>
          <t>Source assignment -- not individually reviewed</t>
        </is>
      </c>
      <c r="K373" s="39" t="inlineStr"/>
      <c r="L373" s="14" t="inlineStr"/>
      <c r="M373" s="14" t="inlineStr"/>
      <c r="N373" s="92" t="inlineStr">
        <is>
          <t>10 EVIDENCE &amp; DECISIONS</t>
        </is>
      </c>
    </row>
    <row r="374" ht="34" customHeight="1">
      <c r="A374" s="34" t="inlineStr">
        <is>
          <t>Contractor Programme</t>
        </is>
      </c>
      <c r="B374" s="34" t="inlineStr">
        <is>
          <t>SCH-02-131</t>
        </is>
      </c>
      <c r="C374" s="34" t="inlineStr">
        <is>
          <t>Harbour Station: architectural wall framing - inspection</t>
        </is>
      </c>
      <c r="D374" s="34" t="inlineStr">
        <is>
          <t>WBS Code = 1.2.1</t>
        </is>
      </c>
      <c r="E374" s="34" t="inlineStr">
        <is>
          <t>R311-v1</t>
        </is>
      </c>
      <c r="F374" s="34" t="inlineStr">
        <is>
          <t>1.2.1 Stations - Station Structures</t>
        </is>
      </c>
      <c r="G374" s="34" t="inlineStr">
        <is>
          <t>ONE_TO_ONE</t>
        </is>
      </c>
      <c r="H374" s="34" t="inlineStr">
        <is>
          <t>APPROVED</t>
        </is>
      </c>
      <c r="I374" s="34" t="inlineStr">
        <is>
          <t>New</t>
        </is>
      </c>
      <c r="J374" s="34" t="inlineStr">
        <is>
          <t>Source assignment -- not individually reviewed</t>
        </is>
      </c>
      <c r="K374" s="39" t="inlineStr"/>
      <c r="L374" s="14" t="inlineStr"/>
      <c r="M374" s="14" t="inlineStr"/>
      <c r="N374" s="92" t="inlineStr">
        <is>
          <t>10 EVIDENCE &amp; DECISIONS</t>
        </is>
      </c>
    </row>
    <row r="375" ht="34" customHeight="1">
      <c r="A375" s="34" t="inlineStr">
        <is>
          <t>Contractor Programme</t>
        </is>
      </c>
      <c r="B375" s="34" t="inlineStr">
        <is>
          <t>SCH-02-133</t>
        </is>
      </c>
      <c r="C375" s="34" t="inlineStr">
        <is>
          <t>Civic Station: concourse slab pour - release</t>
        </is>
      </c>
      <c r="D375" s="34" t="inlineStr">
        <is>
          <t>WBS Code = 1.2.1</t>
        </is>
      </c>
      <c r="E375" s="34" t="inlineStr">
        <is>
          <t>R313-v1</t>
        </is>
      </c>
      <c r="F375" s="34" t="inlineStr">
        <is>
          <t>1.2.1 Stations - Station Structures</t>
        </is>
      </c>
      <c r="G375" s="34" t="inlineStr">
        <is>
          <t>ONE_TO_ONE</t>
        </is>
      </c>
      <c r="H375" s="34" t="inlineStr">
        <is>
          <t>APPROVED</t>
        </is>
      </c>
      <c r="I375" s="34" t="inlineStr">
        <is>
          <t>New</t>
        </is>
      </c>
      <c r="J375" s="34" t="inlineStr">
        <is>
          <t>Source assignment -- not individually reviewed</t>
        </is>
      </c>
      <c r="K375" s="39" t="inlineStr"/>
      <c r="L375" s="14" t="inlineStr"/>
      <c r="M375" s="14" t="inlineStr"/>
      <c r="N375" s="92" t="inlineStr">
        <is>
          <t>10 EVIDENCE &amp; DECISIONS</t>
        </is>
      </c>
    </row>
    <row r="376" ht="34" customHeight="1">
      <c r="A376" s="34" t="inlineStr">
        <is>
          <t>Contractor Programme</t>
        </is>
      </c>
      <c r="B376" s="34" t="inlineStr">
        <is>
          <t>SCH-02-134</t>
        </is>
      </c>
      <c r="C376" s="34" t="inlineStr">
        <is>
          <t>University Station: station ventilation rough-in - field start</t>
        </is>
      </c>
      <c r="D376" s="34" t="inlineStr">
        <is>
          <t>WBS Code = 1.2.1</t>
        </is>
      </c>
      <c r="E376" s="34" t="inlineStr">
        <is>
          <t>R314-v1</t>
        </is>
      </c>
      <c r="F376" s="34" t="inlineStr">
        <is>
          <t>1.2.1 Stations - Station Structures</t>
        </is>
      </c>
      <c r="G376" s="34" t="inlineStr">
        <is>
          <t>ONE_TO_ONE</t>
        </is>
      </c>
      <c r="H376" s="34" t="inlineStr">
        <is>
          <t>APPROVED</t>
        </is>
      </c>
      <c r="I376" s="34" t="inlineStr">
        <is>
          <t>New</t>
        </is>
      </c>
      <c r="J376" s="34" t="inlineStr">
        <is>
          <t>Source assignment -- not individually reviewed</t>
        </is>
      </c>
      <c r="K376" s="39" t="inlineStr"/>
      <c r="L376" s="14" t="inlineStr"/>
      <c r="M376" s="14" t="inlineStr"/>
      <c r="N376" s="92" t="inlineStr">
        <is>
          <t>10 EVIDENCE &amp; DECISIONS</t>
        </is>
      </c>
    </row>
    <row r="377" ht="34" customHeight="1">
      <c r="A377" s="34" t="inlineStr">
        <is>
          <t>Contractor Programme</t>
        </is>
      </c>
      <c r="B377" s="34" t="inlineStr">
        <is>
          <t>SCH-02-136</t>
        </is>
      </c>
      <c r="C377" s="34" t="inlineStr">
        <is>
          <t>Harbour Station: entrance steel erection - inspection</t>
        </is>
      </c>
      <c r="D377" s="34" t="inlineStr">
        <is>
          <t>WBS Code = 1.2.1</t>
        </is>
      </c>
      <c r="E377" s="34" t="inlineStr">
        <is>
          <t>R316-v1</t>
        </is>
      </c>
      <c r="F377" s="34" t="inlineStr">
        <is>
          <t>1.2.1 Stations - Station Structures</t>
        </is>
      </c>
      <c r="G377" s="34" t="inlineStr">
        <is>
          <t>ONE_TO_ONE</t>
        </is>
      </c>
      <c r="H377" s="34" t="inlineStr">
        <is>
          <t>APPROVED</t>
        </is>
      </c>
      <c r="I377" s="34" t="inlineStr">
        <is>
          <t>New</t>
        </is>
      </c>
      <c r="J377" s="34" t="inlineStr">
        <is>
          <t>Source assignment -- not individually reviewed</t>
        </is>
      </c>
      <c r="K377" s="39" t="inlineStr"/>
      <c r="L377" s="14" t="inlineStr"/>
      <c r="M377" s="14" t="inlineStr"/>
      <c r="N377" s="92" t="inlineStr">
        <is>
          <t>10 EVIDENCE &amp; DECISIONS</t>
        </is>
      </c>
    </row>
    <row r="378" ht="34" customHeight="1">
      <c r="A378" s="34" t="inlineStr">
        <is>
          <t>Contractor Programme</t>
        </is>
      </c>
      <c r="B378" s="34" t="inlineStr">
        <is>
          <t>SCH-02-137</t>
        </is>
      </c>
      <c r="C378" s="34" t="inlineStr">
        <is>
          <t>Market Station: vertical-transport installation - turnover</t>
        </is>
      </c>
      <c r="D378" s="34" t="inlineStr">
        <is>
          <t>WBS Code = 1.2.1</t>
        </is>
      </c>
      <c r="E378" s="34" t="inlineStr">
        <is>
          <t>R317-v1</t>
        </is>
      </c>
      <c r="F378" s="34" t="inlineStr">
        <is>
          <t>1.2.1 Stations - Station Structures</t>
        </is>
      </c>
      <c r="G378" s="34" t="inlineStr">
        <is>
          <t>ONE_TO_ONE</t>
        </is>
      </c>
      <c r="H378" s="34" t="inlineStr">
        <is>
          <t>APPROVED</t>
        </is>
      </c>
      <c r="I378" s="34" t="inlineStr">
        <is>
          <t>New</t>
        </is>
      </c>
      <c r="J378" s="34" t="inlineStr">
        <is>
          <t>Source assignment -- not individually reviewed</t>
        </is>
      </c>
      <c r="K378" s="39" t="inlineStr"/>
      <c r="L378" s="14" t="inlineStr"/>
      <c r="M378" s="14" t="inlineStr"/>
      <c r="N378" s="92" t="inlineStr">
        <is>
          <t>10 EVIDENCE &amp; DECISIONS</t>
        </is>
      </c>
    </row>
    <row r="379" ht="34" customHeight="1">
      <c r="A379" s="34" t="inlineStr">
        <is>
          <t>Contractor Programme</t>
        </is>
      </c>
      <c r="B379" s="34" t="inlineStr">
        <is>
          <t>SCH-02-139</t>
        </is>
      </c>
      <c r="C379" s="34" t="inlineStr">
        <is>
          <t>University Station: architectural wall framing - field start</t>
        </is>
      </c>
      <c r="D379" s="34" t="inlineStr">
        <is>
          <t>WBS Code = 1.2.1</t>
        </is>
      </c>
      <c r="E379" s="34" t="inlineStr">
        <is>
          <t>R319-v1</t>
        </is>
      </c>
      <c r="F379" s="34" t="inlineStr">
        <is>
          <t>1.2.1 Stations - Station Structures</t>
        </is>
      </c>
      <c r="G379" s="34" t="inlineStr">
        <is>
          <t>ONE_TO_ONE</t>
        </is>
      </c>
      <c r="H379" s="34" t="inlineStr">
        <is>
          <t>APPROVED</t>
        </is>
      </c>
      <c r="I379" s="34" t="inlineStr">
        <is>
          <t>New</t>
        </is>
      </c>
      <c r="J379" s="34" t="inlineStr">
        <is>
          <t>Source assignment -- not individually reviewed</t>
        </is>
      </c>
      <c r="K379" s="39" t="inlineStr"/>
      <c r="L379" s="14" t="inlineStr"/>
      <c r="M379" s="14" t="inlineStr"/>
      <c r="N379" s="92" t="inlineStr">
        <is>
          <t>10 EVIDENCE &amp; DECISIONS</t>
        </is>
      </c>
    </row>
    <row r="380" ht="34" customHeight="1">
      <c r="A380" s="34" t="inlineStr">
        <is>
          <t>Contractor Programme</t>
        </is>
      </c>
      <c r="B380" s="34" t="inlineStr">
        <is>
          <t>SCH-02-140</t>
        </is>
      </c>
      <c r="C380" s="34" t="inlineStr">
        <is>
          <t>West Terminal: fire-life-safety cabling - installation</t>
        </is>
      </c>
      <c r="D380" s="34" t="inlineStr">
        <is>
          <t>WBS Code = 1.2.1</t>
        </is>
      </c>
      <c r="E380" s="34" t="inlineStr">
        <is>
          <t>R320-v1</t>
        </is>
      </c>
      <c r="F380" s="34" t="inlineStr">
        <is>
          <t>1.2.1 Stations - Station Structures</t>
        </is>
      </c>
      <c r="G380" s="34" t="inlineStr">
        <is>
          <t>ONE_TO_ONE</t>
        </is>
      </c>
      <c r="H380" s="34" t="inlineStr">
        <is>
          <t>APPROVED</t>
        </is>
      </c>
      <c r="I380" s="34" t="inlineStr">
        <is>
          <t>New</t>
        </is>
      </c>
      <c r="J380" s="34" t="inlineStr">
        <is>
          <t>Source assignment -- not individually reviewed</t>
        </is>
      </c>
      <c r="K380" s="39" t="inlineStr"/>
      <c r="L380" s="14" t="inlineStr"/>
      <c r="M380" s="14" t="inlineStr"/>
      <c r="N380" s="92" t="inlineStr">
        <is>
          <t>10 EVIDENCE &amp; DECISIONS</t>
        </is>
      </c>
    </row>
    <row r="381" ht="34" customHeight="1">
      <c r="A381" s="34" t="inlineStr">
        <is>
          <t>Contractor Programme</t>
        </is>
      </c>
      <c r="B381" s="34" t="inlineStr">
        <is>
          <t>SCH-02-142</t>
        </is>
      </c>
      <c r="C381" s="34" t="inlineStr">
        <is>
          <t>Market Station: station ventilation rough-in - turnover</t>
        </is>
      </c>
      <c r="D381" s="34" t="inlineStr">
        <is>
          <t>WBS Code = 1.2.1</t>
        </is>
      </c>
      <c r="E381" s="34" t="inlineStr">
        <is>
          <t>R322-v1</t>
        </is>
      </c>
      <c r="F381" s="34" t="inlineStr">
        <is>
          <t>1.2.1 Stations - Station Structures</t>
        </is>
      </c>
      <c r="G381" s="34" t="inlineStr">
        <is>
          <t>ONE_TO_ONE</t>
        </is>
      </c>
      <c r="H381" s="34" t="inlineStr">
        <is>
          <t>APPROVED</t>
        </is>
      </c>
      <c r="I381" s="34" t="inlineStr">
        <is>
          <t>New</t>
        </is>
      </c>
      <c r="J381" s="34" t="inlineStr">
        <is>
          <t>Source assignment -- not individually reviewed</t>
        </is>
      </c>
      <c r="K381" s="39" t="inlineStr"/>
      <c r="L381" s="14" t="inlineStr"/>
      <c r="M381" s="14" t="inlineStr"/>
      <c r="N381" s="92" t="inlineStr">
        <is>
          <t>10 EVIDENCE &amp; DECISIONS</t>
        </is>
      </c>
    </row>
    <row r="382" ht="34" customHeight="1">
      <c r="A382" s="34" t="inlineStr">
        <is>
          <t>Contractor Programme</t>
        </is>
      </c>
      <c r="B382" s="34" t="inlineStr">
        <is>
          <t>SCH-02-143</t>
        </is>
      </c>
      <c r="C382" s="34" t="inlineStr">
        <is>
          <t>Civic Station: public-realm paving - release</t>
        </is>
      </c>
      <c r="D382" s="34" t="inlineStr">
        <is>
          <t>WBS Code = 1.2.1</t>
        </is>
      </c>
      <c r="E382" s="34" t="inlineStr">
        <is>
          <t>R323-v1</t>
        </is>
      </c>
      <c r="F382" s="34" t="inlineStr">
        <is>
          <t>1.2.1 Stations - Station Structures</t>
        </is>
      </c>
      <c r="G382" s="34" t="inlineStr">
        <is>
          <t>ONE_TO_ONE</t>
        </is>
      </c>
      <c r="H382" s="34" t="inlineStr">
        <is>
          <t>APPROVED</t>
        </is>
      </c>
      <c r="I382" s="34" t="inlineStr">
        <is>
          <t>New</t>
        </is>
      </c>
      <c r="J382" s="34" t="inlineStr">
        <is>
          <t>Source assignment -- not individually reviewed</t>
        </is>
      </c>
      <c r="K382" s="39" t="inlineStr"/>
      <c r="L382" s="14" t="inlineStr"/>
      <c r="M382" s="14" t="inlineStr"/>
      <c r="N382" s="92" t="inlineStr">
        <is>
          <t>10 EVIDENCE &amp; DECISIONS</t>
        </is>
      </c>
    </row>
    <row r="383" ht="34" customHeight="1">
      <c r="A383" s="34" t="inlineStr">
        <is>
          <t>Contractor Programme</t>
        </is>
      </c>
      <c r="B383" s="34" t="inlineStr">
        <is>
          <t>SCH-02-145</t>
        </is>
      </c>
      <c r="C383" s="34" t="inlineStr">
        <is>
          <t>West Terminal: vertical-transport installation - installation</t>
        </is>
      </c>
      <c r="D383" s="34" t="inlineStr">
        <is>
          <t>WBS Code = 1.2.1</t>
        </is>
      </c>
      <c r="E383" s="34" t="inlineStr">
        <is>
          <t>R325-v1</t>
        </is>
      </c>
      <c r="F383" s="34" t="inlineStr">
        <is>
          <t>1.2.1 Stations - Station Structures</t>
        </is>
      </c>
      <c r="G383" s="34" t="inlineStr">
        <is>
          <t>ONE_TO_ONE</t>
        </is>
      </c>
      <c r="H383" s="34" t="inlineStr">
        <is>
          <t>APPROVED</t>
        </is>
      </c>
      <c r="I383" s="34" t="inlineStr">
        <is>
          <t>New</t>
        </is>
      </c>
      <c r="J383" s="34" t="inlineStr">
        <is>
          <t>Source assignment -- not individually reviewed</t>
        </is>
      </c>
      <c r="K383" s="39" t="inlineStr"/>
      <c r="L383" s="14" t="inlineStr"/>
      <c r="M383" s="14" t="inlineStr"/>
      <c r="N383" s="92" t="inlineStr">
        <is>
          <t>10 EVIDENCE &amp; DECISIONS</t>
        </is>
      </c>
    </row>
    <row r="384" ht="34" customHeight="1">
      <c r="A384" s="34" t="inlineStr">
        <is>
          <t>Contractor Programme</t>
        </is>
      </c>
      <c r="B384" s="34" t="inlineStr">
        <is>
          <t>SCH-02-146</t>
        </is>
      </c>
      <c r="C384" s="34" t="inlineStr">
        <is>
          <t>Harbour Station: platform edge installation - inspection</t>
        </is>
      </c>
      <c r="D384" s="34" t="inlineStr">
        <is>
          <t>WBS Code = 1.2.1</t>
        </is>
      </c>
      <c r="E384" s="34" t="inlineStr">
        <is>
          <t>R326-v1</t>
        </is>
      </c>
      <c r="F384" s="34" t="inlineStr">
        <is>
          <t>1.2.1 Stations - Station Structures</t>
        </is>
      </c>
      <c r="G384" s="34" t="inlineStr">
        <is>
          <t>ONE_TO_ONE</t>
        </is>
      </c>
      <c r="H384" s="34" t="inlineStr">
        <is>
          <t>APPROVED</t>
        </is>
      </c>
      <c r="I384" s="34" t="inlineStr">
        <is>
          <t>New</t>
        </is>
      </c>
      <c r="J384" s="34" t="inlineStr">
        <is>
          <t>Source assignment -- not individually reviewed</t>
        </is>
      </c>
      <c r="K384" s="39" t="inlineStr"/>
      <c r="L384" s="14" t="inlineStr"/>
      <c r="M384" s="14" t="inlineStr"/>
      <c r="N384" s="92" t="inlineStr">
        <is>
          <t>10 EVIDENCE &amp; DECISIONS</t>
        </is>
      </c>
    </row>
    <row r="385" ht="34" customHeight="1">
      <c r="A385" s="34" t="inlineStr">
        <is>
          <t>Contractor Programme</t>
        </is>
      </c>
      <c r="B385" s="34" t="inlineStr">
        <is>
          <t>SCH-02-148</t>
        </is>
      </c>
      <c r="C385" s="34" t="inlineStr">
        <is>
          <t>Civic Station: fire-life-safety cabling - release</t>
        </is>
      </c>
      <c r="D385" s="34" t="inlineStr">
        <is>
          <t>WBS Code = 1.2.1</t>
        </is>
      </c>
      <c r="E385" s="34" t="inlineStr">
        <is>
          <t>R328-v1</t>
        </is>
      </c>
      <c r="F385" s="34" t="inlineStr">
        <is>
          <t>1.2.1 Stations - Station Structures</t>
        </is>
      </c>
      <c r="G385" s="34" t="inlineStr">
        <is>
          <t>ONE_TO_ONE</t>
        </is>
      </c>
      <c r="H385" s="34" t="inlineStr">
        <is>
          <t>APPROVED</t>
        </is>
      </c>
      <c r="I385" s="34" t="inlineStr">
        <is>
          <t>New</t>
        </is>
      </c>
      <c r="J385" s="34" t="inlineStr">
        <is>
          <t>Source assignment -- not individually reviewed</t>
        </is>
      </c>
      <c r="K385" s="39" t="inlineStr"/>
      <c r="L385" s="14" t="inlineStr"/>
      <c r="M385" s="14" t="inlineStr"/>
      <c r="N385" s="92" t="inlineStr">
        <is>
          <t>10 EVIDENCE &amp; DECISIONS</t>
        </is>
      </c>
    </row>
    <row r="386" ht="34" customHeight="1">
      <c r="A386" s="34" t="inlineStr">
        <is>
          <t>Contractor Programme</t>
        </is>
      </c>
      <c r="B386" s="34" t="inlineStr">
        <is>
          <t>SCH-02-149</t>
        </is>
      </c>
      <c r="C386" s="34" t="inlineStr">
        <is>
          <t>University Station: concourse slab pour - field start</t>
        </is>
      </c>
      <c r="D386" s="34" t="inlineStr">
        <is>
          <t>WBS Code = 1.2.1</t>
        </is>
      </c>
      <c r="E386" s="34" t="inlineStr">
        <is>
          <t>R329-v1</t>
        </is>
      </c>
      <c r="F386" s="34" t="inlineStr">
        <is>
          <t>1.2.1 Stations - Station Structures</t>
        </is>
      </c>
      <c r="G386" s="34" t="inlineStr">
        <is>
          <t>ONE_TO_ONE</t>
        </is>
      </c>
      <c r="H386" s="34" t="inlineStr">
        <is>
          <t>APPROVED</t>
        </is>
      </c>
      <c r="I386" s="34" t="inlineStr">
        <is>
          <t>New</t>
        </is>
      </c>
      <c r="J386" s="34" t="inlineStr">
        <is>
          <t>Source assignment -- not individually reviewed</t>
        </is>
      </c>
      <c r="K386" s="39" t="inlineStr"/>
      <c r="L386" s="14" t="inlineStr"/>
      <c r="M386" s="14" t="inlineStr"/>
      <c r="N386" s="92" t="inlineStr">
        <is>
          <t>10 EVIDENCE &amp; DECISIONS</t>
        </is>
      </c>
    </row>
    <row r="387" ht="34" customHeight="1">
      <c r="A387" s="34" t="inlineStr">
        <is>
          <t>Contractor Programme</t>
        </is>
      </c>
      <c r="B387" s="34" t="inlineStr">
        <is>
          <t>SCH-02-151</t>
        </is>
      </c>
      <c r="C387" s="34" t="inlineStr">
        <is>
          <t>Harbour Station: public-realm paving - inspection</t>
        </is>
      </c>
      <c r="D387" s="34" t="inlineStr">
        <is>
          <t>WBS Code = 1.2.1</t>
        </is>
      </c>
      <c r="E387" s="34" t="inlineStr">
        <is>
          <t>R331-v1</t>
        </is>
      </c>
      <c r="F387" s="34" t="inlineStr">
        <is>
          <t>1.2.1 Stations - Station Structures</t>
        </is>
      </c>
      <c r="G387" s="34" t="inlineStr">
        <is>
          <t>ONE_TO_ONE</t>
        </is>
      </c>
      <c r="H387" s="34" t="inlineStr">
        <is>
          <t>APPROVED</t>
        </is>
      </c>
      <c r="I387" s="34" t="inlineStr">
        <is>
          <t>New</t>
        </is>
      </c>
      <c r="J387" s="34" t="inlineStr">
        <is>
          <t>Source assignment -- not individually reviewed</t>
        </is>
      </c>
      <c r="K387" s="39" t="inlineStr"/>
      <c r="L387" s="14" t="inlineStr"/>
      <c r="M387" s="14" t="inlineStr"/>
      <c r="N387" s="92" t="inlineStr">
        <is>
          <t>10 EVIDENCE &amp; DECISIONS</t>
        </is>
      </c>
    </row>
    <row r="388" ht="34" customHeight="1">
      <c r="A388" s="34" t="inlineStr">
        <is>
          <t>Contractor Programme</t>
        </is>
      </c>
      <c r="B388" s="34" t="inlineStr">
        <is>
          <t>SCH-02-152</t>
        </is>
      </c>
      <c r="C388" s="34" t="inlineStr">
        <is>
          <t>Market Station: entrance steel erection - turnover</t>
        </is>
      </c>
      <c r="D388" s="34" t="inlineStr">
        <is>
          <t>WBS Code = 1.2.1</t>
        </is>
      </c>
      <c r="E388" s="34" t="inlineStr">
        <is>
          <t>R332-v1</t>
        </is>
      </c>
      <c r="F388" s="34" t="inlineStr">
        <is>
          <t>1.2.1 Stations - Station Structures</t>
        </is>
      </c>
      <c r="G388" s="34" t="inlineStr">
        <is>
          <t>ONE_TO_ONE</t>
        </is>
      </c>
      <c r="H388" s="34" t="inlineStr">
        <is>
          <t>APPROVED</t>
        </is>
      </c>
      <c r="I388" s="34" t="inlineStr">
        <is>
          <t>New</t>
        </is>
      </c>
      <c r="J388" s="34" t="inlineStr">
        <is>
          <t>Source assignment -- not individually reviewed</t>
        </is>
      </c>
      <c r="K388" s="39" t="inlineStr"/>
      <c r="L388" s="14" t="inlineStr"/>
      <c r="M388" s="14" t="inlineStr"/>
      <c r="N388" s="92" t="inlineStr">
        <is>
          <t>10 EVIDENCE &amp; DECISIONS</t>
        </is>
      </c>
    </row>
    <row r="389" ht="34" customHeight="1">
      <c r="A389" s="34" t="inlineStr">
        <is>
          <t>Contractor Programme</t>
        </is>
      </c>
      <c r="B389" s="34" t="inlineStr">
        <is>
          <t>SCH-02-154</t>
        </is>
      </c>
      <c r="C389" s="34" t="inlineStr">
        <is>
          <t>University Station: platform edge installation - field start</t>
        </is>
      </c>
      <c r="D389" s="34" t="inlineStr">
        <is>
          <t>WBS Code = 1.2.1</t>
        </is>
      </c>
      <c r="E389" s="34" t="inlineStr">
        <is>
          <t>R334-v1</t>
        </is>
      </c>
      <c r="F389" s="34" t="inlineStr">
        <is>
          <t>1.2.1 Stations - Station Structures</t>
        </is>
      </c>
      <c r="G389" s="34" t="inlineStr">
        <is>
          <t>ONE_TO_ONE</t>
        </is>
      </c>
      <c r="H389" s="34" t="inlineStr">
        <is>
          <t>APPROVED</t>
        </is>
      </c>
      <c r="I389" s="34" t="inlineStr">
        <is>
          <t>New</t>
        </is>
      </c>
      <c r="J389" s="34" t="inlineStr">
        <is>
          <t>Source assignment -- not individually reviewed</t>
        </is>
      </c>
      <c r="K389" s="39" t="inlineStr"/>
      <c r="L389" s="14" t="inlineStr"/>
      <c r="M389" s="14" t="inlineStr"/>
      <c r="N389" s="92" t="inlineStr">
        <is>
          <t>10 EVIDENCE &amp; DECISIONS</t>
        </is>
      </c>
    </row>
    <row r="390" ht="34" customHeight="1">
      <c r="A390" s="34" t="inlineStr">
        <is>
          <t>Contractor Programme</t>
        </is>
      </c>
      <c r="B390" s="34" t="inlineStr">
        <is>
          <t>SCH-02-155</t>
        </is>
      </c>
      <c r="C390" s="34" t="inlineStr">
        <is>
          <t>West Terminal: architectural wall framing - installation</t>
        </is>
      </c>
      <c r="D390" s="34" t="inlineStr">
        <is>
          <t>WBS Code = 1.2.1</t>
        </is>
      </c>
      <c r="E390" s="34" t="inlineStr">
        <is>
          <t>R335-v1</t>
        </is>
      </c>
      <c r="F390" s="34" t="inlineStr">
        <is>
          <t>1.2.1 Stations - Station Structures</t>
        </is>
      </c>
      <c r="G390" s="34" t="inlineStr">
        <is>
          <t>ONE_TO_ONE</t>
        </is>
      </c>
      <c r="H390" s="34" t="inlineStr">
        <is>
          <t>APPROVED</t>
        </is>
      </c>
      <c r="I390" s="34" t="inlineStr">
        <is>
          <t>New</t>
        </is>
      </c>
      <c r="J390" s="34" t="inlineStr">
        <is>
          <t>Source assignment -- not individually reviewed</t>
        </is>
      </c>
      <c r="K390" s="39" t="inlineStr"/>
      <c r="L390" s="14" t="inlineStr"/>
      <c r="M390" s="14" t="inlineStr"/>
      <c r="N390" s="92" t="inlineStr">
        <is>
          <t>10 EVIDENCE &amp; DECISIONS</t>
        </is>
      </c>
    </row>
    <row r="391" ht="34" customHeight="1">
      <c r="A391" s="34" t="inlineStr">
        <is>
          <t>Contractor Programme</t>
        </is>
      </c>
      <c r="B391" s="34" t="inlineStr">
        <is>
          <t>SCH-02-157</t>
        </is>
      </c>
      <c r="C391" s="34" t="inlineStr">
        <is>
          <t>Market Station: concourse slab pour - turnover</t>
        </is>
      </c>
      <c r="D391" s="34" t="inlineStr">
        <is>
          <t>WBS Code = 1.2.1</t>
        </is>
      </c>
      <c r="E391" s="34" t="inlineStr">
        <is>
          <t>R337-v1</t>
        </is>
      </c>
      <c r="F391" s="34" t="inlineStr">
        <is>
          <t>1.2.1 Stations - Station Structures</t>
        </is>
      </c>
      <c r="G391" s="34" t="inlineStr">
        <is>
          <t>ONE_TO_ONE</t>
        </is>
      </c>
      <c r="H391" s="34" t="inlineStr">
        <is>
          <t>APPROVED</t>
        </is>
      </c>
      <c r="I391" s="34" t="inlineStr">
        <is>
          <t>New</t>
        </is>
      </c>
      <c r="J391" s="34" t="inlineStr">
        <is>
          <t>Source assignment -- not individually reviewed</t>
        </is>
      </c>
      <c r="K391" s="39" t="inlineStr"/>
      <c r="L391" s="14" t="inlineStr"/>
      <c r="M391" s="14" t="inlineStr"/>
      <c r="N391" s="92" t="inlineStr">
        <is>
          <t>10 EVIDENCE &amp; DECISIONS</t>
        </is>
      </c>
    </row>
    <row r="392" ht="34" customHeight="1">
      <c r="A392" s="34" t="inlineStr">
        <is>
          <t>Contractor Programme</t>
        </is>
      </c>
      <c r="B392" s="34" t="inlineStr">
        <is>
          <t>SCH-02-158</t>
        </is>
      </c>
      <c r="C392" s="34" t="inlineStr">
        <is>
          <t>Civic Station: station ventilation rough-in - release</t>
        </is>
      </c>
      <c r="D392" s="34" t="inlineStr">
        <is>
          <t>WBS Code = 1.2.1</t>
        </is>
      </c>
      <c r="E392" s="34" t="inlineStr">
        <is>
          <t>R338-v1</t>
        </is>
      </c>
      <c r="F392" s="34" t="inlineStr">
        <is>
          <t>1.2.1 Stations - Station Structures</t>
        </is>
      </c>
      <c r="G392" s="34" t="inlineStr">
        <is>
          <t>ONE_TO_ONE</t>
        </is>
      </c>
      <c r="H392" s="34" t="inlineStr">
        <is>
          <t>APPROVED</t>
        </is>
      </c>
      <c r="I392" s="34" t="inlineStr">
        <is>
          <t>New</t>
        </is>
      </c>
      <c r="J392" s="34" t="inlineStr">
        <is>
          <t>Source assignment -- not individually reviewed</t>
        </is>
      </c>
      <c r="K392" s="39" t="inlineStr"/>
      <c r="L392" s="14" t="inlineStr"/>
      <c r="M392" s="14" t="inlineStr"/>
      <c r="N392" s="92" t="inlineStr">
        <is>
          <t>10 EVIDENCE &amp; DECISIONS</t>
        </is>
      </c>
    </row>
    <row r="393" ht="34" customHeight="1">
      <c r="A393" s="34" t="inlineStr">
        <is>
          <t>Contractor Programme</t>
        </is>
      </c>
      <c r="B393" s="34" t="inlineStr">
        <is>
          <t>SCH-02-160</t>
        </is>
      </c>
      <c r="C393" s="34" t="inlineStr">
        <is>
          <t>West Terminal: entrance steel erection - installation</t>
        </is>
      </c>
      <c r="D393" s="34" t="inlineStr">
        <is>
          <t>WBS Code = 1.2.1</t>
        </is>
      </c>
      <c r="E393" s="34" t="inlineStr">
        <is>
          <t>R340-v1</t>
        </is>
      </c>
      <c r="F393" s="34" t="inlineStr">
        <is>
          <t>1.2.1 Stations - Station Structures</t>
        </is>
      </c>
      <c r="G393" s="34" t="inlineStr">
        <is>
          <t>ONE_TO_ONE</t>
        </is>
      </c>
      <c r="H393" s="34" t="inlineStr">
        <is>
          <t>APPROVED</t>
        </is>
      </c>
      <c r="I393" s="34" t="inlineStr">
        <is>
          <t>New</t>
        </is>
      </c>
      <c r="J393" s="34" t="inlineStr">
        <is>
          <t>Source assignment -- not individually reviewed</t>
        </is>
      </c>
      <c r="K393" s="39" t="inlineStr"/>
      <c r="L393" s="14" t="inlineStr"/>
      <c r="M393" s="14" t="inlineStr"/>
      <c r="N393" s="92" t="inlineStr">
        <is>
          <t>10 EVIDENCE &amp; DECISIONS</t>
        </is>
      </c>
    </row>
    <row r="394" ht="34" customHeight="1">
      <c r="A394" s="34" t="inlineStr">
        <is>
          <t>Contractor Programme</t>
        </is>
      </c>
      <c r="B394" s="34" t="inlineStr">
        <is>
          <t>SCH-02-161</t>
        </is>
      </c>
      <c r="C394" s="34" t="inlineStr">
        <is>
          <t>Harbour Station: vertical-transport installation - inspection</t>
        </is>
      </c>
      <c r="D394" s="34" t="inlineStr">
        <is>
          <t>WBS Code = 1.2.1</t>
        </is>
      </c>
      <c r="E394" s="34" t="inlineStr">
        <is>
          <t>R341-v1</t>
        </is>
      </c>
      <c r="F394" s="34" t="inlineStr">
        <is>
          <t>1.2.1 Stations - Station Structures</t>
        </is>
      </c>
      <c r="G394" s="34" t="inlineStr">
        <is>
          <t>ONE_TO_ONE</t>
        </is>
      </c>
      <c r="H394" s="34" t="inlineStr">
        <is>
          <t>APPROVED</t>
        </is>
      </c>
      <c r="I394" s="34" t="inlineStr">
        <is>
          <t>New</t>
        </is>
      </c>
      <c r="J394" s="34" t="inlineStr">
        <is>
          <t>Source assignment -- not individually reviewed</t>
        </is>
      </c>
      <c r="K394" s="39" t="inlineStr"/>
      <c r="L394" s="14" t="inlineStr"/>
      <c r="M394" s="14" t="inlineStr"/>
      <c r="N394" s="92" t="inlineStr">
        <is>
          <t>10 EVIDENCE &amp; DECISIONS</t>
        </is>
      </c>
    </row>
    <row r="395" ht="34" customHeight="1">
      <c r="A395" s="34" t="inlineStr">
        <is>
          <t>Contractor Programme</t>
        </is>
      </c>
      <c r="B395" s="34" t="inlineStr">
        <is>
          <t>SCH-02-163</t>
        </is>
      </c>
      <c r="C395" s="34" t="inlineStr">
        <is>
          <t>Civic Station: architectural wall framing - release</t>
        </is>
      </c>
      <c r="D395" s="34" t="inlineStr">
        <is>
          <t>WBS Code = 1.2.1</t>
        </is>
      </c>
      <c r="E395" s="34" t="inlineStr">
        <is>
          <t>R343-v1</t>
        </is>
      </c>
      <c r="F395" s="34" t="inlineStr">
        <is>
          <t>1.2.1 Stations - Station Structures</t>
        </is>
      </c>
      <c r="G395" s="34" t="inlineStr">
        <is>
          <t>ONE_TO_ONE</t>
        </is>
      </c>
      <c r="H395" s="34" t="inlineStr">
        <is>
          <t>APPROVED</t>
        </is>
      </c>
      <c r="I395" s="34" t="inlineStr">
        <is>
          <t>New</t>
        </is>
      </c>
      <c r="J395" s="34" t="inlineStr">
        <is>
          <t>Source assignment -- not individually reviewed</t>
        </is>
      </c>
      <c r="K395" s="39" t="inlineStr"/>
      <c r="L395" s="14" t="inlineStr"/>
      <c r="M395" s="14" t="inlineStr"/>
      <c r="N395" s="92" t="inlineStr">
        <is>
          <t>10 EVIDENCE &amp; DECISIONS</t>
        </is>
      </c>
    </row>
    <row r="396" ht="34" customHeight="1">
      <c r="A396" s="34" t="inlineStr">
        <is>
          <t>Contractor Programme</t>
        </is>
      </c>
      <c r="B396" s="34" t="inlineStr">
        <is>
          <t>SCH-02-164</t>
        </is>
      </c>
      <c r="C396" s="34" t="inlineStr">
        <is>
          <t>University Station: fire-life-safety cabling - field start</t>
        </is>
      </c>
      <c r="D396" s="34" t="inlineStr">
        <is>
          <t>WBS Code = 1.2.1</t>
        </is>
      </c>
      <c r="E396" s="34" t="inlineStr">
        <is>
          <t>R344-v1</t>
        </is>
      </c>
      <c r="F396" s="34" t="inlineStr">
        <is>
          <t>1.2.1 Stations - Station Structures</t>
        </is>
      </c>
      <c r="G396" s="34" t="inlineStr">
        <is>
          <t>ONE_TO_ONE</t>
        </is>
      </c>
      <c r="H396" s="34" t="inlineStr">
        <is>
          <t>APPROVED</t>
        </is>
      </c>
      <c r="I396" s="34" t="inlineStr">
        <is>
          <t>New</t>
        </is>
      </c>
      <c r="J396" s="34" t="inlineStr">
        <is>
          <t>Source assignment -- not individually reviewed</t>
        </is>
      </c>
      <c r="K396" s="39" t="inlineStr"/>
      <c r="L396" s="14" t="inlineStr"/>
      <c r="M396" s="14" t="inlineStr"/>
      <c r="N396" s="92" t="inlineStr">
        <is>
          <t>10 EVIDENCE &amp; DECISIONS</t>
        </is>
      </c>
    </row>
    <row r="397" ht="34" customHeight="1">
      <c r="A397" s="34" t="inlineStr">
        <is>
          <t>Contractor Programme</t>
        </is>
      </c>
      <c r="B397" s="34" t="inlineStr">
        <is>
          <t>SCH-02-166</t>
        </is>
      </c>
      <c r="C397" s="34" t="inlineStr">
        <is>
          <t>Harbour Station: station ventilation rough-in - inspection</t>
        </is>
      </c>
      <c r="D397" s="34" t="inlineStr">
        <is>
          <t>WBS Code = 1.2.1</t>
        </is>
      </c>
      <c r="E397" s="34" t="inlineStr">
        <is>
          <t>R346-v1</t>
        </is>
      </c>
      <c r="F397" s="34" t="inlineStr">
        <is>
          <t>1.2.1 Stations - Station Structures</t>
        </is>
      </c>
      <c r="G397" s="34" t="inlineStr">
        <is>
          <t>ONE_TO_ONE</t>
        </is>
      </c>
      <c r="H397" s="34" t="inlineStr">
        <is>
          <t>APPROVED</t>
        </is>
      </c>
      <c r="I397" s="34" t="inlineStr">
        <is>
          <t>New</t>
        </is>
      </c>
      <c r="J397" s="34" t="inlineStr">
        <is>
          <t>Source assignment -- not individually reviewed</t>
        </is>
      </c>
      <c r="K397" s="39" t="inlineStr"/>
      <c r="L397" s="14" t="inlineStr"/>
      <c r="M397" s="14" t="inlineStr"/>
      <c r="N397" s="92" t="inlineStr">
        <is>
          <t>10 EVIDENCE &amp; DECISIONS</t>
        </is>
      </c>
    </row>
    <row r="398" ht="34" customHeight="1">
      <c r="A398" s="34" t="inlineStr">
        <is>
          <t>Contractor Programme</t>
        </is>
      </c>
      <c r="B398" s="34" t="inlineStr">
        <is>
          <t>SCH-02-167</t>
        </is>
      </c>
      <c r="C398" s="34" t="inlineStr">
        <is>
          <t>Market Station: public-realm paving - turnover</t>
        </is>
      </c>
      <c r="D398" s="34" t="inlineStr">
        <is>
          <t>WBS Code = 1.2.1</t>
        </is>
      </c>
      <c r="E398" s="34" t="inlineStr">
        <is>
          <t>R347-v1</t>
        </is>
      </c>
      <c r="F398" s="34" t="inlineStr">
        <is>
          <t>1.2.1 Stations - Station Structures</t>
        </is>
      </c>
      <c r="G398" s="34" t="inlineStr">
        <is>
          <t>ONE_TO_ONE</t>
        </is>
      </c>
      <c r="H398" s="34" t="inlineStr">
        <is>
          <t>APPROVED</t>
        </is>
      </c>
      <c r="I398" s="34" t="inlineStr">
        <is>
          <t>New</t>
        </is>
      </c>
      <c r="J398" s="34" t="inlineStr">
        <is>
          <t>Source assignment -- not individually reviewed</t>
        </is>
      </c>
      <c r="K398" s="39" t="inlineStr"/>
      <c r="L398" s="14" t="inlineStr"/>
      <c r="M398" s="14" t="inlineStr"/>
      <c r="N398" s="92" t="inlineStr">
        <is>
          <t>10 EVIDENCE &amp; DECISIONS</t>
        </is>
      </c>
    </row>
    <row r="399" ht="49" customHeight="1">
      <c r="A399" s="34" t="inlineStr">
        <is>
          <t>Contractor Programme</t>
        </is>
      </c>
      <c r="B399" s="34" t="inlineStr">
        <is>
          <t>SCH-02-169</t>
        </is>
      </c>
      <c r="C399" s="34" t="inlineStr">
        <is>
          <t>University Station: vertical-transport installation - field start</t>
        </is>
      </c>
      <c r="D399" s="34" t="inlineStr">
        <is>
          <t>WBS Code = 1.2.1</t>
        </is>
      </c>
      <c r="E399" s="34" t="inlineStr">
        <is>
          <t>R349-v1</t>
        </is>
      </c>
      <c r="F399" s="34" t="inlineStr">
        <is>
          <t>1.2.1 Stations - Station Structures</t>
        </is>
      </c>
      <c r="G399" s="34" t="inlineStr">
        <is>
          <t>ONE_TO_ONE</t>
        </is>
      </c>
      <c r="H399" s="34" t="inlineStr">
        <is>
          <t>APPROVED</t>
        </is>
      </c>
      <c r="I399" s="34" t="inlineStr">
        <is>
          <t>New</t>
        </is>
      </c>
      <c r="J399" s="34" t="inlineStr">
        <is>
          <t>Source assignment -- not individually reviewed</t>
        </is>
      </c>
      <c r="K399" s="39" t="inlineStr"/>
      <c r="L399" s="14" t="inlineStr"/>
      <c r="M399" s="14" t="inlineStr"/>
      <c r="N399" s="92" t="inlineStr">
        <is>
          <t>10 EVIDENCE &amp; DECISIONS</t>
        </is>
      </c>
    </row>
    <row r="400" ht="34" customHeight="1">
      <c r="A400" s="34" t="inlineStr">
        <is>
          <t>Contractor Programme</t>
        </is>
      </c>
      <c r="B400" s="34" t="inlineStr">
        <is>
          <t>SCH-02-170</t>
        </is>
      </c>
      <c r="C400" s="34" t="inlineStr">
        <is>
          <t>West Terminal: platform edge installation - installation</t>
        </is>
      </c>
      <c r="D400" s="34" t="inlineStr">
        <is>
          <t>WBS Code = 1.2.1</t>
        </is>
      </c>
      <c r="E400" s="34" t="inlineStr">
        <is>
          <t>R350-v1</t>
        </is>
      </c>
      <c r="F400" s="34" t="inlineStr">
        <is>
          <t>1.2.1 Stations - Station Structures</t>
        </is>
      </c>
      <c r="G400" s="34" t="inlineStr">
        <is>
          <t>ONE_TO_ONE</t>
        </is>
      </c>
      <c r="H400" s="34" t="inlineStr">
        <is>
          <t>APPROVED</t>
        </is>
      </c>
      <c r="I400" s="34" t="inlineStr">
        <is>
          <t>New</t>
        </is>
      </c>
      <c r="J400" s="34" t="inlineStr">
        <is>
          <t>Source assignment -- not individually reviewed</t>
        </is>
      </c>
      <c r="K400" s="39" t="inlineStr"/>
      <c r="L400" s="14" t="inlineStr"/>
      <c r="M400" s="14" t="inlineStr"/>
      <c r="N400" s="92" t="inlineStr">
        <is>
          <t>10 EVIDENCE &amp; DECISIONS</t>
        </is>
      </c>
    </row>
    <row r="401" ht="34" customHeight="1">
      <c r="A401" s="34" t="inlineStr">
        <is>
          <t>Contractor Programme</t>
        </is>
      </c>
      <c r="B401" s="34" t="inlineStr">
        <is>
          <t>SCH-02-172</t>
        </is>
      </c>
      <c r="C401" s="34" t="inlineStr">
        <is>
          <t>Market Station: fire-life-safety cabling - turnover</t>
        </is>
      </c>
      <c r="D401" s="34" t="inlineStr">
        <is>
          <t>WBS Code = 1.2.1</t>
        </is>
      </c>
      <c r="E401" s="34" t="inlineStr">
        <is>
          <t>R352-v1</t>
        </is>
      </c>
      <c r="F401" s="34" t="inlineStr">
        <is>
          <t>1.2.1 Stations - Station Structures</t>
        </is>
      </c>
      <c r="G401" s="34" t="inlineStr">
        <is>
          <t>ONE_TO_ONE</t>
        </is>
      </c>
      <c r="H401" s="34" t="inlineStr">
        <is>
          <t>APPROVED</t>
        </is>
      </c>
      <c r="I401" s="34" t="inlineStr">
        <is>
          <t>New</t>
        </is>
      </c>
      <c r="J401" s="34" t="inlineStr">
        <is>
          <t>Source assignment -- not individually reviewed</t>
        </is>
      </c>
      <c r="K401" s="39" t="inlineStr"/>
      <c r="L401" s="14" t="inlineStr"/>
      <c r="M401" s="14" t="inlineStr"/>
      <c r="N401" s="92" t="inlineStr">
        <is>
          <t>10 EVIDENCE &amp; DECISIONS</t>
        </is>
      </c>
    </row>
    <row r="402" ht="34" customHeight="1">
      <c r="A402" s="34" t="inlineStr">
        <is>
          <t>Contractor Programme</t>
        </is>
      </c>
      <c r="B402" s="34" t="inlineStr">
        <is>
          <t>SCH-02-173</t>
        </is>
      </c>
      <c r="C402" s="34" t="inlineStr">
        <is>
          <t>Civic Station: concourse slab pour - release</t>
        </is>
      </c>
      <c r="D402" s="34" t="inlineStr">
        <is>
          <t>WBS Code = 1.2.1</t>
        </is>
      </c>
      <c r="E402" s="34" t="inlineStr">
        <is>
          <t>R353-v1</t>
        </is>
      </c>
      <c r="F402" s="34" t="inlineStr">
        <is>
          <t>1.2.1 Stations - Station Structures</t>
        </is>
      </c>
      <c r="G402" s="34" t="inlineStr">
        <is>
          <t>ONE_TO_ONE</t>
        </is>
      </c>
      <c r="H402" s="34" t="inlineStr">
        <is>
          <t>APPROVED</t>
        </is>
      </c>
      <c r="I402" s="34" t="inlineStr">
        <is>
          <t>New</t>
        </is>
      </c>
      <c r="J402" s="34" t="inlineStr">
        <is>
          <t>Source assignment -- not individually reviewed</t>
        </is>
      </c>
      <c r="K402" s="39" t="inlineStr"/>
      <c r="L402" s="14" t="inlineStr"/>
      <c r="M402" s="14" t="inlineStr"/>
      <c r="N402" s="92" t="inlineStr">
        <is>
          <t>10 EVIDENCE &amp; DECISIONS</t>
        </is>
      </c>
    </row>
    <row r="403" ht="34" customHeight="1">
      <c r="A403" s="34" t="inlineStr">
        <is>
          <t>Contractor Programme</t>
        </is>
      </c>
      <c r="B403" s="34" t="inlineStr">
        <is>
          <t>SCH-02-175</t>
        </is>
      </c>
      <c r="C403" s="34" t="inlineStr">
        <is>
          <t>West Terminal: public-realm paving - installation</t>
        </is>
      </c>
      <c r="D403" s="34" t="inlineStr">
        <is>
          <t>WBS Code = 1.2.1</t>
        </is>
      </c>
      <c r="E403" s="34" t="inlineStr">
        <is>
          <t>R355-v1</t>
        </is>
      </c>
      <c r="F403" s="34" t="inlineStr">
        <is>
          <t>1.2.1 Stations - Station Structures</t>
        </is>
      </c>
      <c r="G403" s="34" t="inlineStr">
        <is>
          <t>ONE_TO_ONE</t>
        </is>
      </c>
      <c r="H403" s="34" t="inlineStr">
        <is>
          <t>APPROVED</t>
        </is>
      </c>
      <c r="I403" s="34" t="inlineStr">
        <is>
          <t>New</t>
        </is>
      </c>
      <c r="J403" s="34" t="inlineStr">
        <is>
          <t>Source assignment -- not individually reviewed</t>
        </is>
      </c>
      <c r="K403" s="39" t="inlineStr"/>
      <c r="L403" s="14" t="inlineStr"/>
      <c r="M403" s="14" t="inlineStr"/>
      <c r="N403" s="92" t="inlineStr">
        <is>
          <t>10 EVIDENCE &amp; DECISIONS</t>
        </is>
      </c>
    </row>
    <row r="404" ht="34" customHeight="1">
      <c r="A404" s="34" t="inlineStr">
        <is>
          <t>Contractor Programme</t>
        </is>
      </c>
      <c r="B404" s="34" t="inlineStr">
        <is>
          <t>SCH-02-176</t>
        </is>
      </c>
      <c r="C404" s="34" t="inlineStr">
        <is>
          <t>Harbour Station: entrance steel erection - inspection</t>
        </is>
      </c>
      <c r="D404" s="34" t="inlineStr">
        <is>
          <t>WBS Code = 1.2.1</t>
        </is>
      </c>
      <c r="E404" s="34" t="inlineStr">
        <is>
          <t>R356-v1</t>
        </is>
      </c>
      <c r="F404" s="34" t="inlineStr">
        <is>
          <t>1.2.1 Stations - Station Structures</t>
        </is>
      </c>
      <c r="G404" s="34" t="inlineStr">
        <is>
          <t>ONE_TO_ONE</t>
        </is>
      </c>
      <c r="H404" s="34" t="inlineStr">
        <is>
          <t>APPROVED</t>
        </is>
      </c>
      <c r="I404" s="34" t="inlineStr">
        <is>
          <t>New</t>
        </is>
      </c>
      <c r="J404" s="34" t="inlineStr">
        <is>
          <t>Source assignment -- not individually reviewed</t>
        </is>
      </c>
      <c r="K404" s="39" t="inlineStr"/>
      <c r="L404" s="14" t="inlineStr"/>
      <c r="M404" s="14" t="inlineStr"/>
      <c r="N404" s="92" t="inlineStr">
        <is>
          <t>10 EVIDENCE &amp; DECISIONS</t>
        </is>
      </c>
    </row>
    <row r="405" ht="34" customHeight="1">
      <c r="A405" s="34" t="inlineStr">
        <is>
          <t>Contractor Programme</t>
        </is>
      </c>
      <c r="B405" s="34" t="inlineStr">
        <is>
          <t>SCH-02-178</t>
        </is>
      </c>
      <c r="C405" s="34" t="inlineStr">
        <is>
          <t>Civic Station: platform edge installation - release</t>
        </is>
      </c>
      <c r="D405" s="34" t="inlineStr">
        <is>
          <t>WBS Code = 1.2.1</t>
        </is>
      </c>
      <c r="E405" s="34" t="inlineStr">
        <is>
          <t>R358-v1</t>
        </is>
      </c>
      <c r="F405" s="34" t="inlineStr">
        <is>
          <t>1.2.1 Stations - Station Structures</t>
        </is>
      </c>
      <c r="G405" s="34" t="inlineStr">
        <is>
          <t>ONE_TO_ONE</t>
        </is>
      </c>
      <c r="H405" s="34" t="inlineStr">
        <is>
          <t>APPROVED</t>
        </is>
      </c>
      <c r="I405" s="34" t="inlineStr">
        <is>
          <t>New</t>
        </is>
      </c>
      <c r="J405" s="34" t="inlineStr">
        <is>
          <t>Source assignment -- not individually reviewed</t>
        </is>
      </c>
      <c r="K405" s="39" t="inlineStr"/>
      <c r="L405" s="14" t="inlineStr"/>
      <c r="M405" s="14" t="inlineStr"/>
      <c r="N405" s="92" t="inlineStr">
        <is>
          <t>10 EVIDENCE &amp; DECISIONS</t>
        </is>
      </c>
    </row>
    <row r="406" ht="34" customHeight="1">
      <c r="A406" s="34" t="inlineStr">
        <is>
          <t>Contractor Programme</t>
        </is>
      </c>
      <c r="B406" s="34" t="inlineStr">
        <is>
          <t>SCH-02-179</t>
        </is>
      </c>
      <c r="C406" s="34" t="inlineStr">
        <is>
          <t>University Station: architectural wall framing - field start</t>
        </is>
      </c>
      <c r="D406" s="34" t="inlineStr">
        <is>
          <t>WBS Code = 1.2.1</t>
        </is>
      </c>
      <c r="E406" s="34" t="inlineStr">
        <is>
          <t>R359-v1</t>
        </is>
      </c>
      <c r="F406" s="34" t="inlineStr">
        <is>
          <t>1.2.1 Stations - Station Structures</t>
        </is>
      </c>
      <c r="G406" s="34" t="inlineStr">
        <is>
          <t>ONE_TO_ONE</t>
        </is>
      </c>
      <c r="H406" s="34" t="inlineStr">
        <is>
          <t>APPROVED</t>
        </is>
      </c>
      <c r="I406" s="34" t="inlineStr">
        <is>
          <t>New</t>
        </is>
      </c>
      <c r="J406" s="34" t="inlineStr">
        <is>
          <t>Source assignment -- not individually reviewed</t>
        </is>
      </c>
      <c r="K406" s="39" t="inlineStr"/>
      <c r="L406" s="14" t="inlineStr"/>
      <c r="M406" s="14" t="inlineStr"/>
      <c r="N406" s="92" t="inlineStr">
        <is>
          <t>10 EVIDENCE &amp; DECISIONS</t>
        </is>
      </c>
    </row>
    <row r="407" ht="34" customHeight="1">
      <c r="A407" s="34" t="inlineStr">
        <is>
          <t>Cost &amp; Forecast Control Accounts</t>
        </is>
      </c>
      <c r="B407" s="34" t="inlineStr">
        <is>
          <t>CST-02-001</t>
        </is>
      </c>
      <c r="C407" s="34" t="inlineStr">
        <is>
          <t>Stations - public realm - allowance</t>
        </is>
      </c>
      <c r="D407" s="34" t="inlineStr">
        <is>
          <t>Cost Account = CA-2001; WBS Code = 1.2.1</t>
        </is>
      </c>
      <c r="E407" s="34" t="inlineStr">
        <is>
          <t>R1163-v1</t>
        </is>
      </c>
      <c r="F407" s="34" t="inlineStr">
        <is>
          <t>1.2.1 Stations - Station Structures</t>
        </is>
      </c>
      <c r="G407" s="34" t="inlineStr">
        <is>
          <t>ONE_TO_ONE</t>
        </is>
      </c>
      <c r="H407" s="34" t="inlineStr">
        <is>
          <t>APPROVED</t>
        </is>
      </c>
      <c r="I407" s="34" t="inlineStr">
        <is>
          <t>New</t>
        </is>
      </c>
      <c r="J407" s="34" t="inlineStr">
        <is>
          <t>Source assignment -- not individually reviewed</t>
        </is>
      </c>
      <c r="K407" s="39" t="inlineStr"/>
      <c r="L407" s="14" t="inlineStr"/>
      <c r="M407" s="14" t="inlineStr"/>
      <c r="N407" s="92" t="inlineStr">
        <is>
          <t>10 EVIDENCE &amp; DECISIONS</t>
        </is>
      </c>
    </row>
    <row r="408" ht="34" customHeight="1">
      <c r="A408" s="34" t="inlineStr">
        <is>
          <t>Cost &amp; Forecast Control Accounts</t>
        </is>
      </c>
      <c r="B408" s="34" t="inlineStr">
        <is>
          <t>CST-02-003</t>
        </is>
      </c>
      <c r="C408" s="34" t="inlineStr">
        <is>
          <t>Stations - building services - field package</t>
        </is>
      </c>
      <c r="D408" s="34" t="inlineStr">
        <is>
          <t>Cost Account = CA-2003; WBS Code = 1.2.1</t>
        </is>
      </c>
      <c r="E408" s="34" t="inlineStr">
        <is>
          <t>R1165-v1</t>
        </is>
      </c>
      <c r="F408" s="34" t="inlineStr">
        <is>
          <t>1.2.1 Stations - Station Structures</t>
        </is>
      </c>
      <c r="G408" s="34" t="inlineStr">
        <is>
          <t>ONE_TO_ONE</t>
        </is>
      </c>
      <c r="H408" s="34" t="inlineStr">
        <is>
          <t>APPROVED</t>
        </is>
      </c>
      <c r="I408" s="34" t="inlineStr">
        <is>
          <t>New</t>
        </is>
      </c>
      <c r="J408" s="34" t="inlineStr">
        <is>
          <t>Source assignment -- not individually reviewed</t>
        </is>
      </c>
      <c r="K408" s="39" t="inlineStr"/>
      <c r="L408" s="14" t="inlineStr"/>
      <c r="M408" s="14" t="inlineStr"/>
      <c r="N408" s="92" t="inlineStr">
        <is>
          <t>10 EVIDENCE &amp; DECISIONS</t>
        </is>
      </c>
    </row>
    <row r="409" ht="34" customHeight="1">
      <c r="A409" s="34" t="inlineStr">
        <is>
          <t>Cost &amp; Forecast Control Accounts</t>
        </is>
      </c>
      <c r="B409" s="34" t="inlineStr">
        <is>
          <t>CST-02-005</t>
        </is>
      </c>
      <c r="C409" s="34" t="inlineStr">
        <is>
          <t>Stations - station structure - professional services</t>
        </is>
      </c>
      <c r="D409" s="34" t="inlineStr">
        <is>
          <t>Cost Account = CA-2005; WBS Code = 1.2.1</t>
        </is>
      </c>
      <c r="E409" s="34" t="inlineStr">
        <is>
          <t>R1167-v1</t>
        </is>
      </c>
      <c r="F409" s="34" t="inlineStr">
        <is>
          <t>1.2.1 Stations - Station Structures</t>
        </is>
      </c>
      <c r="G409" s="34" t="inlineStr">
        <is>
          <t>ONE_TO_ONE</t>
        </is>
      </c>
      <c r="H409" s="34" t="inlineStr">
        <is>
          <t>APPROVED</t>
        </is>
      </c>
      <c r="I409" s="34" t="inlineStr">
        <is>
          <t>New</t>
        </is>
      </c>
      <c r="J409" s="34" t="inlineStr">
        <is>
          <t>Source assignment -- not individually reviewed</t>
        </is>
      </c>
      <c r="K409" s="39" t="inlineStr"/>
      <c r="L409" s="14" t="inlineStr"/>
      <c r="M409" s="14" t="inlineStr"/>
      <c r="N409" s="92" t="inlineStr">
        <is>
          <t>10 EVIDENCE &amp; DECISIONS</t>
        </is>
      </c>
    </row>
    <row r="410" ht="34" customHeight="1">
      <c r="A410" s="34" t="inlineStr">
        <is>
          <t>Cost &amp; Forecast Control Accounts</t>
        </is>
      </c>
      <c r="B410" s="34" t="inlineStr">
        <is>
          <t>CST-02-007</t>
        </is>
      </c>
      <c r="C410" s="34" t="inlineStr">
        <is>
          <t>Stations - public realm - closeout</t>
        </is>
      </c>
      <c r="D410" s="34" t="inlineStr">
        <is>
          <t>Cost Account = CA-2007; WBS Code = 1.2.1</t>
        </is>
      </c>
      <c r="E410" s="34" t="inlineStr">
        <is>
          <t>R1169-v1</t>
        </is>
      </c>
      <c r="F410" s="34" t="inlineStr">
        <is>
          <t>1.2.1 Stations - Station Structures</t>
        </is>
      </c>
      <c r="G410" s="34" t="inlineStr">
        <is>
          <t>ONE_TO_ONE</t>
        </is>
      </c>
      <c r="H410" s="34" t="inlineStr">
        <is>
          <t>APPROVED</t>
        </is>
      </c>
      <c r="I410" s="34" t="inlineStr">
        <is>
          <t>New</t>
        </is>
      </c>
      <c r="J410" s="34" t="inlineStr">
        <is>
          <t>Source assignment -- not individually reviewed</t>
        </is>
      </c>
      <c r="K410" s="39" t="inlineStr"/>
      <c r="L410" s="14" t="inlineStr"/>
      <c r="M410" s="14" t="inlineStr"/>
      <c r="N410" s="92" t="inlineStr">
        <is>
          <t>10 EVIDENCE &amp; DECISIONS</t>
        </is>
      </c>
    </row>
    <row r="411" ht="34" customHeight="1">
      <c r="A411" s="34" t="inlineStr">
        <is>
          <t>Cost &amp; Forecast Control Accounts</t>
        </is>
      </c>
      <c r="B411" s="34" t="inlineStr">
        <is>
          <t>CST-02-009</t>
        </is>
      </c>
      <c r="C411" s="34" t="inlineStr">
        <is>
          <t>Stations - building services - supply and install</t>
        </is>
      </c>
      <c r="D411" s="34" t="inlineStr">
        <is>
          <t>Cost Account = CA-2009; WBS Code = 1.2.1</t>
        </is>
      </c>
      <c r="E411" s="34" t="inlineStr">
        <is>
          <t>R1171-v1</t>
        </is>
      </c>
      <c r="F411" s="34" t="inlineStr">
        <is>
          <t>1.2.1 Stations - Station Structures</t>
        </is>
      </c>
      <c r="G411" s="34" t="inlineStr">
        <is>
          <t>ONE_TO_ONE</t>
        </is>
      </c>
      <c r="H411" s="34" t="inlineStr">
        <is>
          <t>APPROVED</t>
        </is>
      </c>
      <c r="I411" s="34" t="inlineStr">
        <is>
          <t>New</t>
        </is>
      </c>
      <c r="J411" s="34" t="inlineStr">
        <is>
          <t>Source assignment -- not individually reviewed</t>
        </is>
      </c>
      <c r="K411" s="39" t="inlineStr"/>
      <c r="L411" s="14" t="inlineStr"/>
      <c r="M411" s="14" t="inlineStr"/>
      <c r="N411" s="92" t="inlineStr">
        <is>
          <t>10 EVIDENCE &amp; DECISIONS</t>
        </is>
      </c>
    </row>
    <row r="412" ht="34" customHeight="1">
      <c r="A412" s="34" t="inlineStr">
        <is>
          <t>Cost &amp; Forecast Control Accounts</t>
        </is>
      </c>
      <c r="B412" s="34" t="inlineStr">
        <is>
          <t>CST-02-011</t>
        </is>
      </c>
      <c r="C412" s="34" t="inlineStr">
        <is>
          <t>Stations - station structure - allowance</t>
        </is>
      </c>
      <c r="D412" s="34" t="inlineStr">
        <is>
          <t>Cost Account = CA-2011; WBS Code = 1.2.1</t>
        </is>
      </c>
      <c r="E412" s="34" t="inlineStr">
        <is>
          <t>R1173-v1</t>
        </is>
      </c>
      <c r="F412" s="34" t="inlineStr">
        <is>
          <t>1.2.1 Stations - Station Structures</t>
        </is>
      </c>
      <c r="G412" s="34" t="inlineStr">
        <is>
          <t>ONE_TO_ONE</t>
        </is>
      </c>
      <c r="H412" s="34" t="inlineStr">
        <is>
          <t>APPROVED</t>
        </is>
      </c>
      <c r="I412" s="34" t="inlineStr">
        <is>
          <t>New</t>
        </is>
      </c>
      <c r="J412" s="34" t="inlineStr">
        <is>
          <t>Source assignment -- not individually reviewed</t>
        </is>
      </c>
      <c r="K412" s="39" t="inlineStr"/>
      <c r="L412" s="14" t="inlineStr"/>
      <c r="M412" s="14" t="inlineStr"/>
      <c r="N412" s="92" t="inlineStr">
        <is>
          <t>10 EVIDENCE &amp; DECISIONS</t>
        </is>
      </c>
    </row>
    <row r="413" ht="34" customHeight="1">
      <c r="A413" s="34" t="inlineStr">
        <is>
          <t>Cost &amp; Forecast Control Accounts</t>
        </is>
      </c>
      <c r="B413" s="34" t="inlineStr">
        <is>
          <t>CST-02-013</t>
        </is>
      </c>
      <c r="C413" s="34" t="inlineStr">
        <is>
          <t>Stations - public realm - field package</t>
        </is>
      </c>
      <c r="D413" s="34" t="inlineStr">
        <is>
          <t>Cost Account = CA-2013; WBS Code = 1.2.1</t>
        </is>
      </c>
      <c r="E413" s="34" t="inlineStr">
        <is>
          <t>R1175-v1</t>
        </is>
      </c>
      <c r="F413" s="34" t="inlineStr">
        <is>
          <t>1.2.1 Stations - Station Structures</t>
        </is>
      </c>
      <c r="G413" s="34" t="inlineStr">
        <is>
          <t>ONE_TO_ONE</t>
        </is>
      </c>
      <c r="H413" s="34" t="inlineStr">
        <is>
          <t>APPROVED</t>
        </is>
      </c>
      <c r="I413" s="34" t="inlineStr">
        <is>
          <t>New</t>
        </is>
      </c>
      <c r="J413" s="34" t="inlineStr">
        <is>
          <t>Source assignment -- not individually reviewed</t>
        </is>
      </c>
      <c r="K413" s="39" t="inlineStr"/>
      <c r="L413" s="14" t="inlineStr"/>
      <c r="M413" s="14" t="inlineStr"/>
      <c r="N413" s="92" t="inlineStr">
        <is>
          <t>10 EVIDENCE &amp; DECISIONS</t>
        </is>
      </c>
    </row>
    <row r="414" ht="34" customHeight="1">
      <c r="A414" s="34" t="inlineStr">
        <is>
          <t>Cost &amp; Forecast Control Accounts</t>
        </is>
      </c>
      <c r="B414" s="34" t="inlineStr">
        <is>
          <t>CST-02-015</t>
        </is>
      </c>
      <c r="C414" s="34" t="inlineStr">
        <is>
          <t>Stations - building services - professional services</t>
        </is>
      </c>
      <c r="D414" s="34" t="inlineStr">
        <is>
          <t>Cost Account = CA-2015; WBS Code = 1.2.1</t>
        </is>
      </c>
      <c r="E414" s="34" t="inlineStr">
        <is>
          <t>R1177-v1</t>
        </is>
      </c>
      <c r="F414" s="34" t="inlineStr">
        <is>
          <t>1.2.1 Stations - Station Structures</t>
        </is>
      </c>
      <c r="G414" s="34" t="inlineStr">
        <is>
          <t>ONE_TO_ONE</t>
        </is>
      </c>
      <c r="H414" s="34" t="inlineStr">
        <is>
          <t>APPROVED</t>
        </is>
      </c>
      <c r="I414" s="34" t="inlineStr">
        <is>
          <t>New</t>
        </is>
      </c>
      <c r="J414" s="34" t="inlineStr">
        <is>
          <t>Source assignment -- not individually reviewed</t>
        </is>
      </c>
      <c r="K414" s="39" t="inlineStr"/>
      <c r="L414" s="14" t="inlineStr"/>
      <c r="M414" s="14" t="inlineStr"/>
      <c r="N414" s="92" t="inlineStr">
        <is>
          <t>10 EVIDENCE &amp; DECISIONS</t>
        </is>
      </c>
    </row>
    <row r="415" ht="34" customHeight="1">
      <c r="A415" s="34" t="inlineStr">
        <is>
          <t>Cost &amp; Forecast Control Accounts</t>
        </is>
      </c>
      <c r="B415" s="34" t="inlineStr">
        <is>
          <t>CST-02-017</t>
        </is>
      </c>
      <c r="C415" s="34" t="inlineStr">
        <is>
          <t>Stations - station structure - closeout</t>
        </is>
      </c>
      <c r="D415" s="34" t="inlineStr">
        <is>
          <t>Cost Account = CA-2017; WBS Code = 1.2.1</t>
        </is>
      </c>
      <c r="E415" s="34" t="inlineStr">
        <is>
          <t>R1179-v1</t>
        </is>
      </c>
      <c r="F415" s="34" t="inlineStr">
        <is>
          <t>1.2.1 Stations - Station Structures</t>
        </is>
      </c>
      <c r="G415" s="34" t="inlineStr">
        <is>
          <t>ONE_TO_ONE</t>
        </is>
      </c>
      <c r="H415" s="34" t="inlineStr">
        <is>
          <t>APPROVED</t>
        </is>
      </c>
      <c r="I415" s="34" t="inlineStr">
        <is>
          <t>New</t>
        </is>
      </c>
      <c r="J415" s="34" t="inlineStr">
        <is>
          <t>Source assignment -- not individually reviewed</t>
        </is>
      </c>
      <c r="K415" s="39" t="inlineStr"/>
      <c r="L415" s="14" t="inlineStr"/>
      <c r="M415" s="14" t="inlineStr"/>
      <c r="N415" s="92" t="inlineStr">
        <is>
          <t>10 EVIDENCE &amp; DECISIONS</t>
        </is>
      </c>
    </row>
    <row r="416" ht="34" customHeight="1">
      <c r="A416" s="34" t="inlineStr">
        <is>
          <t>Cost &amp; Forecast Control Accounts</t>
        </is>
      </c>
      <c r="B416" s="34" t="inlineStr">
        <is>
          <t>CST-02-019</t>
        </is>
      </c>
      <c r="C416" s="34" t="inlineStr">
        <is>
          <t>Stations - public realm - supply and install</t>
        </is>
      </c>
      <c r="D416" s="34" t="inlineStr">
        <is>
          <t>Cost Account = CA-2019; WBS Code = 1.2.1</t>
        </is>
      </c>
      <c r="E416" s="34" t="inlineStr">
        <is>
          <t>R1181-v1</t>
        </is>
      </c>
      <c r="F416" s="34" t="inlineStr">
        <is>
          <t>1.2.1 Stations - Station Structures</t>
        </is>
      </c>
      <c r="G416" s="34" t="inlineStr">
        <is>
          <t>ONE_TO_ONE</t>
        </is>
      </c>
      <c r="H416" s="34" t="inlineStr">
        <is>
          <t>APPROVED</t>
        </is>
      </c>
      <c r="I416" s="34" t="inlineStr">
        <is>
          <t>New</t>
        </is>
      </c>
      <c r="J416" s="34" t="inlineStr">
        <is>
          <t>Source assignment -- not individually reviewed</t>
        </is>
      </c>
      <c r="K416" s="39" t="inlineStr"/>
      <c r="L416" s="14" t="inlineStr"/>
      <c r="M416" s="14" t="inlineStr"/>
      <c r="N416" s="92" t="inlineStr">
        <is>
          <t>10 EVIDENCE &amp; DECISIONS</t>
        </is>
      </c>
    </row>
    <row r="417" ht="34" customHeight="1">
      <c r="A417" s="34" t="inlineStr">
        <is>
          <t>Cost &amp; Forecast Control Accounts</t>
        </is>
      </c>
      <c r="B417" s="34" t="inlineStr">
        <is>
          <t>CST-02-021</t>
        </is>
      </c>
      <c r="C417" s="34" t="inlineStr">
        <is>
          <t>Stations - building services - allowance</t>
        </is>
      </c>
      <c r="D417" s="34" t="inlineStr">
        <is>
          <t>Cost Account = CA-2021; WBS Code = 1.2.1</t>
        </is>
      </c>
      <c r="E417" s="34" t="inlineStr">
        <is>
          <t>R1183-v1</t>
        </is>
      </c>
      <c r="F417" s="34" t="inlineStr">
        <is>
          <t>1.2.1 Stations - Station Structures</t>
        </is>
      </c>
      <c r="G417" s="34" t="inlineStr">
        <is>
          <t>ONE_TO_ONE</t>
        </is>
      </c>
      <c r="H417" s="34" t="inlineStr">
        <is>
          <t>APPROVED</t>
        </is>
      </c>
      <c r="I417" s="34" t="inlineStr">
        <is>
          <t>New</t>
        </is>
      </c>
      <c r="J417" s="34" t="inlineStr">
        <is>
          <t>Source assignment -- not individually reviewed</t>
        </is>
      </c>
      <c r="K417" s="39" t="inlineStr"/>
      <c r="L417" s="14" t="inlineStr"/>
      <c r="M417" s="14" t="inlineStr"/>
      <c r="N417" s="92" t="inlineStr">
        <is>
          <t>10 EVIDENCE &amp; DECISIONS</t>
        </is>
      </c>
    </row>
    <row r="418" ht="34" customHeight="1">
      <c r="A418" s="34" t="inlineStr">
        <is>
          <t>Cost &amp; Forecast Control Accounts</t>
        </is>
      </c>
      <c r="B418" s="34" t="inlineStr">
        <is>
          <t>CST-02-023</t>
        </is>
      </c>
      <c r="C418" s="34" t="inlineStr">
        <is>
          <t>Stations - station structure - field package</t>
        </is>
      </c>
      <c r="D418" s="34" t="inlineStr">
        <is>
          <t>Cost Account = CA-2023; WBS Code = 1.2.1</t>
        </is>
      </c>
      <c r="E418" s="34" t="inlineStr">
        <is>
          <t>R1185-v1</t>
        </is>
      </c>
      <c r="F418" s="34" t="inlineStr">
        <is>
          <t>1.2.1 Stations - Station Structures</t>
        </is>
      </c>
      <c r="G418" s="34" t="inlineStr">
        <is>
          <t>ONE_TO_ONE</t>
        </is>
      </c>
      <c r="H418" s="34" t="inlineStr">
        <is>
          <t>APPROVED</t>
        </is>
      </c>
      <c r="I418" s="34" t="inlineStr">
        <is>
          <t>New</t>
        </is>
      </c>
      <c r="J418" s="34" t="inlineStr">
        <is>
          <t>Source assignment -- not individually reviewed</t>
        </is>
      </c>
      <c r="K418" s="39" t="inlineStr"/>
      <c r="L418" s="14" t="inlineStr"/>
      <c r="M418" s="14" t="inlineStr"/>
      <c r="N418" s="92" t="inlineStr">
        <is>
          <t>10 EVIDENCE &amp; DECISIONS</t>
        </is>
      </c>
    </row>
    <row r="419" ht="34" customHeight="1">
      <c r="A419" s="34" t="inlineStr">
        <is>
          <t>Cost &amp; Forecast Control Accounts</t>
        </is>
      </c>
      <c r="B419" s="34" t="inlineStr">
        <is>
          <t>CST-02-025</t>
        </is>
      </c>
      <c r="C419" s="34" t="inlineStr">
        <is>
          <t>Stations - public realm - professional services</t>
        </is>
      </c>
      <c r="D419" s="34" t="inlineStr">
        <is>
          <t>Cost Account = CA-2025; WBS Code = 1.2.1</t>
        </is>
      </c>
      <c r="E419" s="34" t="inlineStr">
        <is>
          <t>R1187-v1</t>
        </is>
      </c>
      <c r="F419" s="34" t="inlineStr">
        <is>
          <t>1.2.1 Stations - Station Structures</t>
        </is>
      </c>
      <c r="G419" s="34" t="inlineStr">
        <is>
          <t>ONE_TO_ONE</t>
        </is>
      </c>
      <c r="H419" s="34" t="inlineStr">
        <is>
          <t>APPROVED</t>
        </is>
      </c>
      <c r="I419" s="34" t="inlineStr">
        <is>
          <t>New</t>
        </is>
      </c>
      <c r="J419" s="34" t="inlineStr">
        <is>
          <t>Source assignment -- not individually reviewed</t>
        </is>
      </c>
      <c r="K419" s="39" t="inlineStr"/>
      <c r="L419" s="14" t="inlineStr"/>
      <c r="M419" s="14" t="inlineStr"/>
      <c r="N419" s="92" t="inlineStr">
        <is>
          <t>10 EVIDENCE &amp; DECISIONS</t>
        </is>
      </c>
    </row>
    <row r="420" ht="34" customHeight="1">
      <c r="A420" s="34" t="inlineStr">
        <is>
          <t>Cost &amp; Forecast Control Accounts</t>
        </is>
      </c>
      <c r="B420" s="34" t="inlineStr">
        <is>
          <t>CST-02-027</t>
        </is>
      </c>
      <c r="C420" s="34" t="inlineStr">
        <is>
          <t>Stations - building services - closeout</t>
        </is>
      </c>
      <c r="D420" s="34" t="inlineStr">
        <is>
          <t>Cost Account = CA-2027; WBS Code = 1.2.1</t>
        </is>
      </c>
      <c r="E420" s="34" t="inlineStr">
        <is>
          <t>R1189-v1</t>
        </is>
      </c>
      <c r="F420" s="34" t="inlineStr">
        <is>
          <t>1.2.1 Stations - Station Structures</t>
        </is>
      </c>
      <c r="G420" s="34" t="inlineStr">
        <is>
          <t>ONE_TO_ONE</t>
        </is>
      </c>
      <c r="H420" s="34" t="inlineStr">
        <is>
          <t>APPROVED</t>
        </is>
      </c>
      <c r="I420" s="34" t="inlineStr">
        <is>
          <t>New</t>
        </is>
      </c>
      <c r="J420" s="34" t="inlineStr">
        <is>
          <t>Source assignment -- not individually reviewed</t>
        </is>
      </c>
      <c r="K420" s="39" t="inlineStr"/>
      <c r="L420" s="14" t="inlineStr"/>
      <c r="M420" s="14" t="inlineStr"/>
      <c r="N420" s="92" t="inlineStr">
        <is>
          <t>10 EVIDENCE &amp; DECISIONS</t>
        </is>
      </c>
    </row>
    <row r="421" ht="34" customHeight="1">
      <c r="A421" s="34" t="inlineStr">
        <is>
          <t>Cost &amp; Forecast Control Accounts</t>
        </is>
      </c>
      <c r="B421" s="34" t="inlineStr">
        <is>
          <t>CST-02-029</t>
        </is>
      </c>
      <c r="C421" s="34" t="inlineStr">
        <is>
          <t>Stations - station structure - supply and install</t>
        </is>
      </c>
      <c r="D421" s="34" t="inlineStr">
        <is>
          <t>Cost Account = CA-2029; WBS Code = 1.2.1</t>
        </is>
      </c>
      <c r="E421" s="34" t="inlineStr">
        <is>
          <t>R1191-v1</t>
        </is>
      </c>
      <c r="F421" s="34" t="inlineStr">
        <is>
          <t>1.2.1 Stations - Station Structures</t>
        </is>
      </c>
      <c r="G421" s="34" t="inlineStr">
        <is>
          <t>ONE_TO_ONE</t>
        </is>
      </c>
      <c r="H421" s="34" t="inlineStr">
        <is>
          <t>APPROVED</t>
        </is>
      </c>
      <c r="I421" s="34" t="inlineStr">
        <is>
          <t>New</t>
        </is>
      </c>
      <c r="J421" s="34" t="inlineStr">
        <is>
          <t>Source assignment -- not individually reviewed</t>
        </is>
      </c>
      <c r="K421" s="39" t="inlineStr"/>
      <c r="L421" s="14" t="inlineStr"/>
      <c r="M421" s="14" t="inlineStr"/>
      <c r="N421" s="92" t="inlineStr">
        <is>
          <t>10 EVIDENCE &amp; DECISIONS</t>
        </is>
      </c>
    </row>
    <row r="422" ht="34" customHeight="1">
      <c r="A422" s="34" t="inlineStr">
        <is>
          <t>Cost &amp; Forecast Control Accounts</t>
        </is>
      </c>
      <c r="B422" s="34" t="inlineStr">
        <is>
          <t>CST-02-031</t>
        </is>
      </c>
      <c r="C422" s="34" t="inlineStr">
        <is>
          <t>Stations - public realm - allowance</t>
        </is>
      </c>
      <c r="D422" s="34" t="inlineStr">
        <is>
          <t>Cost Account = CA-2031; WBS Code = 1.2.1</t>
        </is>
      </c>
      <c r="E422" s="34" t="inlineStr">
        <is>
          <t>R1193-v1</t>
        </is>
      </c>
      <c r="F422" s="34" t="inlineStr">
        <is>
          <t>1.2.1 Stations - Station Structures</t>
        </is>
      </c>
      <c r="G422" s="34" t="inlineStr">
        <is>
          <t>ONE_TO_ONE</t>
        </is>
      </c>
      <c r="H422" s="34" t="inlineStr">
        <is>
          <t>APPROVED</t>
        </is>
      </c>
      <c r="I422" s="34" t="inlineStr">
        <is>
          <t>New</t>
        </is>
      </c>
      <c r="J422" s="34" t="inlineStr">
        <is>
          <t>Source assignment -- not individually reviewed</t>
        </is>
      </c>
      <c r="K422" s="39" t="inlineStr"/>
      <c r="L422" s="14" t="inlineStr"/>
      <c r="M422" s="14" t="inlineStr"/>
      <c r="N422" s="92" t="inlineStr">
        <is>
          <t>10 EVIDENCE &amp; DECISIONS</t>
        </is>
      </c>
    </row>
    <row r="423" ht="34" customHeight="1">
      <c r="A423" s="34" t="inlineStr">
        <is>
          <t>Cost &amp; Forecast Control Accounts</t>
        </is>
      </c>
      <c r="B423" s="34" t="inlineStr">
        <is>
          <t>CST-02-033</t>
        </is>
      </c>
      <c r="C423" s="34" t="inlineStr">
        <is>
          <t>Stations - building services - field package</t>
        </is>
      </c>
      <c r="D423" s="34" t="inlineStr">
        <is>
          <t>Cost Account = CA-2033; WBS Code = 1.2.1</t>
        </is>
      </c>
      <c r="E423" s="34" t="inlineStr">
        <is>
          <t>R1195-v1</t>
        </is>
      </c>
      <c r="F423" s="34" t="inlineStr">
        <is>
          <t>1.2.1 Stations - Station Structures</t>
        </is>
      </c>
      <c r="G423" s="34" t="inlineStr">
        <is>
          <t>ONE_TO_ONE</t>
        </is>
      </c>
      <c r="H423" s="34" t="inlineStr">
        <is>
          <t>APPROVED</t>
        </is>
      </c>
      <c r="I423" s="34" t="inlineStr">
        <is>
          <t>New</t>
        </is>
      </c>
      <c r="J423" s="34" t="inlineStr">
        <is>
          <t>Source assignment -- not individually reviewed</t>
        </is>
      </c>
      <c r="K423" s="39" t="inlineStr"/>
      <c r="L423" s="14" t="inlineStr"/>
      <c r="M423" s="14" t="inlineStr"/>
      <c r="N423" s="92" t="inlineStr">
        <is>
          <t>10 EVIDENCE &amp; DECISIONS</t>
        </is>
      </c>
    </row>
    <row r="424" ht="34" customHeight="1">
      <c r="A424" s="34" t="inlineStr">
        <is>
          <t>Cost &amp; Forecast Control Accounts</t>
        </is>
      </c>
      <c r="B424" s="34" t="inlineStr">
        <is>
          <t>CST-02-035</t>
        </is>
      </c>
      <c r="C424" s="34" t="inlineStr">
        <is>
          <t>Stations - station structure - professional services</t>
        </is>
      </c>
      <c r="D424" s="34" t="inlineStr">
        <is>
          <t>Cost Account = CA-2035; WBS Code = 1.2.1</t>
        </is>
      </c>
      <c r="E424" s="34" t="inlineStr">
        <is>
          <t>R1197-v1</t>
        </is>
      </c>
      <c r="F424" s="34" t="inlineStr">
        <is>
          <t>1.2.1 Stations - Station Structures</t>
        </is>
      </c>
      <c r="G424" s="34" t="inlineStr">
        <is>
          <t>ONE_TO_ONE</t>
        </is>
      </c>
      <c r="H424" s="34" t="inlineStr">
        <is>
          <t>APPROVED</t>
        </is>
      </c>
      <c r="I424" s="34" t="inlineStr">
        <is>
          <t>New</t>
        </is>
      </c>
      <c r="J424" s="34" t="inlineStr">
        <is>
          <t>Source assignment -- not individually reviewed</t>
        </is>
      </c>
      <c r="K424" s="39" t="inlineStr"/>
      <c r="L424" s="14" t="inlineStr"/>
      <c r="M424" s="14" t="inlineStr"/>
      <c r="N424" s="92" t="inlineStr">
        <is>
          <t>10 EVIDENCE &amp; DECISIONS</t>
        </is>
      </c>
    </row>
    <row r="425" ht="34" customHeight="1">
      <c r="A425" s="34" t="inlineStr">
        <is>
          <t>Cost &amp; Forecast Control Accounts</t>
        </is>
      </c>
      <c r="B425" s="34" t="inlineStr">
        <is>
          <t>CST-02-037</t>
        </is>
      </c>
      <c r="C425" s="34" t="inlineStr">
        <is>
          <t>Stations - public realm - closeout</t>
        </is>
      </c>
      <c r="D425" s="34" t="inlineStr">
        <is>
          <t>Cost Account = CA-2037; WBS Code = 1.2.1</t>
        </is>
      </c>
      <c r="E425" s="34" t="inlineStr">
        <is>
          <t>R1199-v1</t>
        </is>
      </c>
      <c r="F425" s="34" t="inlineStr">
        <is>
          <t>1.2.1 Stations - Station Structures</t>
        </is>
      </c>
      <c r="G425" s="34" t="inlineStr">
        <is>
          <t>ONE_TO_ONE</t>
        </is>
      </c>
      <c r="H425" s="34" t="inlineStr">
        <is>
          <t>APPROVED</t>
        </is>
      </c>
      <c r="I425" s="34" t="inlineStr">
        <is>
          <t>New</t>
        </is>
      </c>
      <c r="J425" s="34" t="inlineStr">
        <is>
          <t>Source assignment -- not individually reviewed</t>
        </is>
      </c>
      <c r="K425" s="39" t="inlineStr"/>
      <c r="L425" s="14" t="inlineStr"/>
      <c r="M425" s="14" t="inlineStr"/>
      <c r="N425" s="92" t="inlineStr">
        <is>
          <t>10 EVIDENCE &amp; DECISIONS</t>
        </is>
      </c>
    </row>
    <row r="426" ht="34" customHeight="1">
      <c r="A426" s="34" t="inlineStr">
        <is>
          <t>Cost &amp; Forecast Control Accounts</t>
        </is>
      </c>
      <c r="B426" s="34" t="inlineStr">
        <is>
          <t>CST-02-039</t>
        </is>
      </c>
      <c r="C426" s="34" t="inlineStr">
        <is>
          <t>Stations - building services - supply and install</t>
        </is>
      </c>
      <c r="D426" s="34" t="inlineStr">
        <is>
          <t>Cost Account = CA-2039; WBS Code = 1.2.1</t>
        </is>
      </c>
      <c r="E426" s="34" t="inlineStr">
        <is>
          <t>R1201-v1</t>
        </is>
      </c>
      <c r="F426" s="34" t="inlineStr">
        <is>
          <t>1.2.1 Stations - Station Structures</t>
        </is>
      </c>
      <c r="G426" s="34" t="inlineStr">
        <is>
          <t>ONE_TO_ONE</t>
        </is>
      </c>
      <c r="H426" s="34" t="inlineStr">
        <is>
          <t>APPROVED</t>
        </is>
      </c>
      <c r="I426" s="34" t="inlineStr">
        <is>
          <t>New</t>
        </is>
      </c>
      <c r="J426" s="34" t="inlineStr">
        <is>
          <t>Source assignment -- not individually reviewed</t>
        </is>
      </c>
      <c r="K426" s="39" t="inlineStr"/>
      <c r="L426" s="14" t="inlineStr"/>
      <c r="M426" s="14" t="inlineStr"/>
      <c r="N426" s="92" t="inlineStr">
        <is>
          <t>10 EVIDENCE &amp; DECISIONS</t>
        </is>
      </c>
    </row>
    <row r="427" ht="34" customHeight="1">
      <c r="A427" s="34" t="inlineStr">
        <is>
          <t>Cost &amp; Forecast Control Accounts</t>
        </is>
      </c>
      <c r="B427" s="34" t="inlineStr">
        <is>
          <t>CST-02-041</t>
        </is>
      </c>
      <c r="C427" s="34" t="inlineStr">
        <is>
          <t>Stations - station structure - allowance</t>
        </is>
      </c>
      <c r="D427" s="34" t="inlineStr">
        <is>
          <t>Cost Account = CA-2041; WBS Code = 1.2.1</t>
        </is>
      </c>
      <c r="E427" s="34" t="inlineStr">
        <is>
          <t>R1203-v1</t>
        </is>
      </c>
      <c r="F427" s="34" t="inlineStr">
        <is>
          <t>1.2.1 Stations - Station Structures</t>
        </is>
      </c>
      <c r="G427" s="34" t="inlineStr">
        <is>
          <t>ONE_TO_ONE</t>
        </is>
      </c>
      <c r="H427" s="34" t="inlineStr">
        <is>
          <t>APPROVED</t>
        </is>
      </c>
      <c r="I427" s="34" t="inlineStr">
        <is>
          <t>New</t>
        </is>
      </c>
      <c r="J427" s="34" t="inlineStr">
        <is>
          <t>Source assignment -- not individually reviewed</t>
        </is>
      </c>
      <c r="K427" s="39" t="inlineStr"/>
      <c r="L427" s="14" t="inlineStr"/>
      <c r="M427" s="14" t="inlineStr"/>
      <c r="N427" s="92" t="inlineStr">
        <is>
          <t>10 EVIDENCE &amp; DECISIONS</t>
        </is>
      </c>
    </row>
    <row r="428" ht="34" customHeight="1">
      <c r="A428" s="34" t="inlineStr">
        <is>
          <t>Cost &amp; Forecast Control Accounts</t>
        </is>
      </c>
      <c r="B428" s="34" t="inlineStr">
        <is>
          <t>CST-02-043</t>
        </is>
      </c>
      <c r="C428" s="34" t="inlineStr">
        <is>
          <t>Stations - public realm - field package</t>
        </is>
      </c>
      <c r="D428" s="34" t="inlineStr">
        <is>
          <t>Cost Account = CA-2043; WBS Code = 1.2.1</t>
        </is>
      </c>
      <c r="E428" s="34" t="inlineStr">
        <is>
          <t>R1205-v1</t>
        </is>
      </c>
      <c r="F428" s="34" t="inlineStr">
        <is>
          <t>1.2.1 Stations - Station Structures</t>
        </is>
      </c>
      <c r="G428" s="34" t="inlineStr">
        <is>
          <t>ONE_TO_ONE</t>
        </is>
      </c>
      <c r="H428" s="34" t="inlineStr">
        <is>
          <t>APPROVED</t>
        </is>
      </c>
      <c r="I428" s="34" t="inlineStr">
        <is>
          <t>New</t>
        </is>
      </c>
      <c r="J428" s="34" t="inlineStr">
        <is>
          <t>Source assignment -- not individually reviewed</t>
        </is>
      </c>
      <c r="K428" s="39" t="inlineStr"/>
      <c r="L428" s="14" t="inlineStr"/>
      <c r="M428" s="14" t="inlineStr"/>
      <c r="N428" s="92" t="inlineStr">
        <is>
          <t>10 EVIDENCE &amp; DECISIONS</t>
        </is>
      </c>
    </row>
    <row r="429" ht="34" customHeight="1">
      <c r="A429" s="34" t="inlineStr">
        <is>
          <t>Cost &amp; Forecast Control Accounts</t>
        </is>
      </c>
      <c r="B429" s="34" t="inlineStr">
        <is>
          <t>CST-02-045</t>
        </is>
      </c>
      <c r="C429" s="34" t="inlineStr">
        <is>
          <t>Stations - building services - professional services</t>
        </is>
      </c>
      <c r="D429" s="34" t="inlineStr">
        <is>
          <t>Cost Account = CA-2045; WBS Code = 1.2.1</t>
        </is>
      </c>
      <c r="E429" s="34" t="inlineStr">
        <is>
          <t>R1207-v1</t>
        </is>
      </c>
      <c r="F429" s="34" t="inlineStr">
        <is>
          <t>1.2.1 Stations - Station Structures</t>
        </is>
      </c>
      <c r="G429" s="34" t="inlineStr">
        <is>
          <t>ONE_TO_ONE</t>
        </is>
      </c>
      <c r="H429" s="34" t="inlineStr">
        <is>
          <t>APPROVED</t>
        </is>
      </c>
      <c r="I429" s="34" t="inlineStr">
        <is>
          <t>New</t>
        </is>
      </c>
      <c r="J429" s="34" t="inlineStr">
        <is>
          <t>Source assignment -- not individually reviewed</t>
        </is>
      </c>
      <c r="K429" s="39" t="inlineStr"/>
      <c r="L429" s="14" t="inlineStr"/>
      <c r="M429" s="14" t="inlineStr"/>
      <c r="N429" s="92" t="inlineStr">
        <is>
          <t>10 EVIDENCE &amp; DECISIONS</t>
        </is>
      </c>
    </row>
    <row r="430" ht="34" customHeight="1">
      <c r="A430" s="34" t="inlineStr">
        <is>
          <t>Cost &amp; Forecast Control Accounts</t>
        </is>
      </c>
      <c r="B430" s="34" t="inlineStr">
        <is>
          <t>CST-02-047</t>
        </is>
      </c>
      <c r="C430" s="34" t="inlineStr">
        <is>
          <t>Stations - station structure - closeout</t>
        </is>
      </c>
      <c r="D430" s="34" t="inlineStr">
        <is>
          <t>Cost Account = CA-2047; WBS Code = 1.2.1</t>
        </is>
      </c>
      <c r="E430" s="34" t="inlineStr">
        <is>
          <t>R1209-v1</t>
        </is>
      </c>
      <c r="F430" s="34" t="inlineStr">
        <is>
          <t>1.2.1 Stations - Station Structures</t>
        </is>
      </c>
      <c r="G430" s="34" t="inlineStr">
        <is>
          <t>ONE_TO_ONE</t>
        </is>
      </c>
      <c r="H430" s="34" t="inlineStr">
        <is>
          <t>APPROVED</t>
        </is>
      </c>
      <c r="I430" s="34" t="inlineStr">
        <is>
          <t>New</t>
        </is>
      </c>
      <c r="J430" s="34" t="inlineStr">
        <is>
          <t>Source assignment -- not individually reviewed</t>
        </is>
      </c>
      <c r="K430" s="39" t="inlineStr"/>
      <c r="L430" s="14" t="inlineStr"/>
      <c r="M430" s="14" t="inlineStr"/>
      <c r="N430" s="92" t="inlineStr">
        <is>
          <t>10 EVIDENCE &amp; DECISIONS</t>
        </is>
      </c>
    </row>
    <row r="431" ht="34" customHeight="1">
      <c r="A431" s="34" t="inlineStr">
        <is>
          <t>Cost &amp; Forecast Control Accounts</t>
        </is>
      </c>
      <c r="B431" s="34" t="inlineStr">
        <is>
          <t>CST-02-049</t>
        </is>
      </c>
      <c r="C431" s="34" t="inlineStr">
        <is>
          <t>Stations - public realm - supply and install</t>
        </is>
      </c>
      <c r="D431" s="34" t="inlineStr">
        <is>
          <t>Cost Account = CA-2049; WBS Code = 1.2.1</t>
        </is>
      </c>
      <c r="E431" s="34" t="inlineStr">
        <is>
          <t>R1211-v1</t>
        </is>
      </c>
      <c r="F431" s="34" t="inlineStr">
        <is>
          <t>1.2.1 Stations - Station Structures</t>
        </is>
      </c>
      <c r="G431" s="34" t="inlineStr">
        <is>
          <t>ONE_TO_ONE</t>
        </is>
      </c>
      <c r="H431" s="34" t="inlineStr">
        <is>
          <t>APPROVED</t>
        </is>
      </c>
      <c r="I431" s="34" t="inlineStr">
        <is>
          <t>New</t>
        </is>
      </c>
      <c r="J431" s="34" t="inlineStr">
        <is>
          <t>Source assignment -- not individually reviewed</t>
        </is>
      </c>
      <c r="K431" s="39" t="inlineStr"/>
      <c r="L431" s="14" t="inlineStr"/>
      <c r="M431" s="14" t="inlineStr"/>
      <c r="N431" s="92" t="inlineStr">
        <is>
          <t>10 EVIDENCE &amp; DECISIONS</t>
        </is>
      </c>
    </row>
    <row r="432" ht="34" customHeight="1">
      <c r="A432" s="34" t="inlineStr">
        <is>
          <t>Cost &amp; Forecast Control Accounts</t>
        </is>
      </c>
      <c r="B432" s="34" t="inlineStr">
        <is>
          <t>CST-02-051</t>
        </is>
      </c>
      <c r="C432" s="34" t="inlineStr">
        <is>
          <t>Stations - building services - allowance</t>
        </is>
      </c>
      <c r="D432" s="34" t="inlineStr">
        <is>
          <t>Cost Account = CA-2051; WBS Code = 1.2.1</t>
        </is>
      </c>
      <c r="E432" s="34" t="inlineStr">
        <is>
          <t>R1213-v1</t>
        </is>
      </c>
      <c r="F432" s="34" t="inlineStr">
        <is>
          <t>1.2.1 Stations - Station Structures</t>
        </is>
      </c>
      <c r="G432" s="34" t="inlineStr">
        <is>
          <t>ONE_TO_ONE</t>
        </is>
      </c>
      <c r="H432" s="34" t="inlineStr">
        <is>
          <t>APPROVED</t>
        </is>
      </c>
      <c r="I432" s="34" t="inlineStr">
        <is>
          <t>New</t>
        </is>
      </c>
      <c r="J432" s="34" t="inlineStr">
        <is>
          <t>Source assignment -- not individually reviewed</t>
        </is>
      </c>
      <c r="K432" s="39" t="inlineStr"/>
      <c r="L432" s="14" t="inlineStr"/>
      <c r="M432" s="14" t="inlineStr"/>
      <c r="N432" s="92" t="inlineStr">
        <is>
          <t>10 EVIDENCE &amp; DECISIONS</t>
        </is>
      </c>
    </row>
    <row r="433" ht="34" customHeight="1">
      <c r="A433" s="34" t="inlineStr">
        <is>
          <t>Cost &amp; Forecast Control Accounts</t>
        </is>
      </c>
      <c r="B433" s="34" t="inlineStr">
        <is>
          <t>CST-02-053</t>
        </is>
      </c>
      <c r="C433" s="34" t="inlineStr">
        <is>
          <t>Stations - station structure - field package</t>
        </is>
      </c>
      <c r="D433" s="34" t="inlineStr">
        <is>
          <t>Cost Account = CA-2053; WBS Code = 1.2.1</t>
        </is>
      </c>
      <c r="E433" s="34" t="inlineStr">
        <is>
          <t>R1215-v1</t>
        </is>
      </c>
      <c r="F433" s="34" t="inlineStr">
        <is>
          <t>1.2.1 Stations - Station Structures</t>
        </is>
      </c>
      <c r="G433" s="34" t="inlineStr">
        <is>
          <t>ONE_TO_ONE</t>
        </is>
      </c>
      <c r="H433" s="34" t="inlineStr">
        <is>
          <t>APPROVED</t>
        </is>
      </c>
      <c r="I433" s="34" t="inlineStr">
        <is>
          <t>New</t>
        </is>
      </c>
      <c r="J433" s="34" t="inlineStr">
        <is>
          <t>Source assignment -- not individually reviewed</t>
        </is>
      </c>
      <c r="K433" s="39" t="inlineStr"/>
      <c r="L433" s="14" t="inlineStr"/>
      <c r="M433" s="14" t="inlineStr"/>
      <c r="N433" s="92" t="inlineStr">
        <is>
          <t>10 EVIDENCE &amp; DECISIONS</t>
        </is>
      </c>
    </row>
    <row r="434" ht="34" customHeight="1">
      <c r="A434" s="34" t="inlineStr">
        <is>
          <t>Cost &amp; Forecast Control Accounts</t>
        </is>
      </c>
      <c r="B434" s="34" t="inlineStr">
        <is>
          <t>CST-02-055</t>
        </is>
      </c>
      <c r="C434" s="34" t="inlineStr">
        <is>
          <t>Stations - public realm - professional services</t>
        </is>
      </c>
      <c r="D434" s="34" t="inlineStr">
        <is>
          <t>Cost Account = CA-2055; WBS Code = 1.2.1</t>
        </is>
      </c>
      <c r="E434" s="34" t="inlineStr">
        <is>
          <t>R1217-v1</t>
        </is>
      </c>
      <c r="F434" s="34" t="inlineStr">
        <is>
          <t>1.2.1 Stations - Station Structures</t>
        </is>
      </c>
      <c r="G434" s="34" t="inlineStr">
        <is>
          <t>ONE_TO_ONE</t>
        </is>
      </c>
      <c r="H434" s="34" t="inlineStr">
        <is>
          <t>APPROVED</t>
        </is>
      </c>
      <c r="I434" s="34" t="inlineStr">
        <is>
          <t>New</t>
        </is>
      </c>
      <c r="J434" s="34" t="inlineStr">
        <is>
          <t>Source assignment -- not individually reviewed</t>
        </is>
      </c>
      <c r="K434" s="39" t="inlineStr"/>
      <c r="L434" s="14" t="inlineStr"/>
      <c r="M434" s="14" t="inlineStr"/>
      <c r="N434" s="92" t="inlineStr">
        <is>
          <t>10 EVIDENCE &amp; DECISIONS</t>
        </is>
      </c>
    </row>
    <row r="435" ht="34" customHeight="1">
      <c r="A435" s="34" t="inlineStr">
        <is>
          <t>Cost &amp; Forecast Control Accounts</t>
        </is>
      </c>
      <c r="B435" s="34" t="inlineStr">
        <is>
          <t>CST-02-057</t>
        </is>
      </c>
      <c r="C435" s="34" t="inlineStr">
        <is>
          <t>Stations - building services - closeout</t>
        </is>
      </c>
      <c r="D435" s="34" t="inlineStr">
        <is>
          <t>Cost Account = CA-2057; WBS Code = 1.2.1</t>
        </is>
      </c>
      <c r="E435" s="34" t="inlineStr">
        <is>
          <t>R1219-v1</t>
        </is>
      </c>
      <c r="F435" s="34" t="inlineStr">
        <is>
          <t>1.2.1 Stations - Station Structures</t>
        </is>
      </c>
      <c r="G435" s="34" t="inlineStr">
        <is>
          <t>ONE_TO_ONE</t>
        </is>
      </c>
      <c r="H435" s="34" t="inlineStr">
        <is>
          <t>APPROVED</t>
        </is>
      </c>
      <c r="I435" s="34" t="inlineStr">
        <is>
          <t>New</t>
        </is>
      </c>
      <c r="J435" s="34" t="inlineStr">
        <is>
          <t>Source assignment -- not individually reviewed</t>
        </is>
      </c>
      <c r="K435" s="39" t="inlineStr"/>
      <c r="L435" s="14" t="inlineStr"/>
      <c r="M435" s="14" t="inlineStr"/>
      <c r="N435" s="92" t="inlineStr">
        <is>
          <t>10 EVIDENCE &amp; DECISIONS</t>
        </is>
      </c>
    </row>
    <row r="436" ht="34" customHeight="1">
      <c r="A436" s="34" t="inlineStr">
        <is>
          <t>Cost &amp; Forecast Control Accounts</t>
        </is>
      </c>
      <c r="B436" s="34" t="inlineStr">
        <is>
          <t>CST-02-059</t>
        </is>
      </c>
      <c r="C436" s="34" t="inlineStr">
        <is>
          <t>Stations - station structure - supply and install</t>
        </is>
      </c>
      <c r="D436" s="34" t="inlineStr">
        <is>
          <t>Cost Account = CA-2059; WBS Code = 1.2.1</t>
        </is>
      </c>
      <c r="E436" s="34" t="inlineStr">
        <is>
          <t>R1221-v1</t>
        </is>
      </c>
      <c r="F436" s="34" t="inlineStr">
        <is>
          <t>1.2.1 Stations - Station Structures</t>
        </is>
      </c>
      <c r="G436" s="34" t="inlineStr">
        <is>
          <t>ONE_TO_ONE</t>
        </is>
      </c>
      <c r="H436" s="34" t="inlineStr">
        <is>
          <t>APPROVED</t>
        </is>
      </c>
      <c r="I436" s="34" t="inlineStr">
        <is>
          <t>New</t>
        </is>
      </c>
      <c r="J436" s="34" t="inlineStr">
        <is>
          <t>Source assignment -- not individually reviewed</t>
        </is>
      </c>
      <c r="K436" s="39" t="inlineStr"/>
      <c r="L436" s="14" t="inlineStr"/>
      <c r="M436" s="14" t="inlineStr"/>
      <c r="N436" s="92" t="inlineStr">
        <is>
          <t>10 EVIDENCE &amp; DECISIONS</t>
        </is>
      </c>
    </row>
    <row r="437" ht="34" customHeight="1">
      <c r="A437" s="34" t="inlineStr">
        <is>
          <t>Cost &amp; Forecast Control Accounts</t>
        </is>
      </c>
      <c r="B437" s="34" t="inlineStr">
        <is>
          <t>CST-02-061</t>
        </is>
      </c>
      <c r="C437" s="34" t="inlineStr">
        <is>
          <t>Stations - public realm - allowance</t>
        </is>
      </c>
      <c r="D437" s="34" t="inlineStr">
        <is>
          <t>Cost Account = CA-2061; WBS Code = 1.2.1</t>
        </is>
      </c>
      <c r="E437" s="34" t="inlineStr">
        <is>
          <t>R1223-v1</t>
        </is>
      </c>
      <c r="F437" s="34" t="inlineStr">
        <is>
          <t>1.2.1 Stations - Station Structures</t>
        </is>
      </c>
      <c r="G437" s="34" t="inlineStr">
        <is>
          <t>ONE_TO_ONE</t>
        </is>
      </c>
      <c r="H437" s="34" t="inlineStr">
        <is>
          <t>APPROVED</t>
        </is>
      </c>
      <c r="I437" s="34" t="inlineStr">
        <is>
          <t>New</t>
        </is>
      </c>
      <c r="J437" s="34" t="inlineStr">
        <is>
          <t>Source assignment -- not individually reviewed</t>
        </is>
      </c>
      <c r="K437" s="39" t="inlineStr"/>
      <c r="L437" s="14" t="inlineStr"/>
      <c r="M437" s="14" t="inlineStr"/>
      <c r="N437" s="92" t="inlineStr">
        <is>
          <t>10 EVIDENCE &amp; DECISIONS</t>
        </is>
      </c>
    </row>
    <row r="438" ht="34" customHeight="1">
      <c r="A438" s="34" t="inlineStr">
        <is>
          <t>Cost &amp; Forecast Control Accounts</t>
        </is>
      </c>
      <c r="B438" s="34" t="inlineStr">
        <is>
          <t>CST-02-063</t>
        </is>
      </c>
      <c r="C438" s="34" t="inlineStr">
        <is>
          <t>Stations - building services - field package</t>
        </is>
      </c>
      <c r="D438" s="34" t="inlineStr">
        <is>
          <t>Cost Account = CA-2063; WBS Code = 1.2.1</t>
        </is>
      </c>
      <c r="E438" s="34" t="inlineStr">
        <is>
          <t>R1225-v1</t>
        </is>
      </c>
      <c r="F438" s="34" t="inlineStr">
        <is>
          <t>1.2.1 Stations - Station Structures</t>
        </is>
      </c>
      <c r="G438" s="34" t="inlineStr">
        <is>
          <t>ONE_TO_ONE</t>
        </is>
      </c>
      <c r="H438" s="34" t="inlineStr">
        <is>
          <t>APPROVED</t>
        </is>
      </c>
      <c r="I438" s="34" t="inlineStr">
        <is>
          <t>New</t>
        </is>
      </c>
      <c r="J438" s="34" t="inlineStr">
        <is>
          <t>Source assignment -- not individually reviewed</t>
        </is>
      </c>
      <c r="K438" s="39" t="inlineStr"/>
      <c r="L438" s="14" t="inlineStr"/>
      <c r="M438" s="14" t="inlineStr"/>
      <c r="N438" s="92" t="inlineStr">
        <is>
          <t>10 EVIDENCE &amp; DECISIONS</t>
        </is>
      </c>
    </row>
    <row r="439" ht="34" customHeight="1">
      <c r="A439" s="34" t="inlineStr">
        <is>
          <t>Cost &amp; Forecast Control Accounts</t>
        </is>
      </c>
      <c r="B439" s="34" t="inlineStr">
        <is>
          <t>CST-02-065</t>
        </is>
      </c>
      <c r="C439" s="34" t="inlineStr">
        <is>
          <t>Stations - station structure - professional services</t>
        </is>
      </c>
      <c r="D439" s="34" t="inlineStr">
        <is>
          <t>Cost Account = CA-2065; WBS Code = 1.2.1</t>
        </is>
      </c>
      <c r="E439" s="34" t="inlineStr">
        <is>
          <t>R1227-v1</t>
        </is>
      </c>
      <c r="F439" s="34" t="inlineStr">
        <is>
          <t>1.2.1 Stations - Station Structures</t>
        </is>
      </c>
      <c r="G439" s="34" t="inlineStr">
        <is>
          <t>ONE_TO_ONE</t>
        </is>
      </c>
      <c r="H439" s="34" t="inlineStr">
        <is>
          <t>APPROVED</t>
        </is>
      </c>
      <c r="I439" s="34" t="inlineStr">
        <is>
          <t>New</t>
        </is>
      </c>
      <c r="J439" s="34" t="inlineStr">
        <is>
          <t>Source assignment -- not individually reviewed</t>
        </is>
      </c>
      <c r="K439" s="39" t="inlineStr"/>
      <c r="L439" s="14" t="inlineStr"/>
      <c r="M439" s="14" t="inlineStr"/>
      <c r="N439" s="92" t="inlineStr">
        <is>
          <t>10 EVIDENCE &amp; DECISIONS</t>
        </is>
      </c>
    </row>
    <row r="440" ht="34" customHeight="1">
      <c r="A440" s="34" t="inlineStr">
        <is>
          <t>Cost &amp; Forecast Control Accounts</t>
        </is>
      </c>
      <c r="B440" s="34" t="inlineStr">
        <is>
          <t>CST-02-067</t>
        </is>
      </c>
      <c r="C440" s="34" t="inlineStr">
        <is>
          <t>Stations - public realm - closeout</t>
        </is>
      </c>
      <c r="D440" s="34" t="inlineStr">
        <is>
          <t>Cost Account = CA-2067; WBS Code = 1.2.1</t>
        </is>
      </c>
      <c r="E440" s="34" t="inlineStr">
        <is>
          <t>R1229-v1</t>
        </is>
      </c>
      <c r="F440" s="34" t="inlineStr">
        <is>
          <t>1.2.1 Stations - Station Structures</t>
        </is>
      </c>
      <c r="G440" s="34" t="inlineStr">
        <is>
          <t>ONE_TO_ONE</t>
        </is>
      </c>
      <c r="H440" s="34" t="inlineStr">
        <is>
          <t>APPROVED</t>
        </is>
      </c>
      <c r="I440" s="34" t="inlineStr">
        <is>
          <t>New</t>
        </is>
      </c>
      <c r="J440" s="34" t="inlineStr">
        <is>
          <t>Source assignment -- not individually reviewed</t>
        </is>
      </c>
      <c r="K440" s="39" t="inlineStr"/>
      <c r="L440" s="14" t="inlineStr"/>
      <c r="M440" s="14" t="inlineStr"/>
      <c r="N440" s="92" t="inlineStr">
        <is>
          <t>10 EVIDENCE &amp; DECISIONS</t>
        </is>
      </c>
    </row>
    <row r="441" ht="34" customHeight="1">
      <c r="A441" s="34" t="inlineStr">
        <is>
          <t>Cost &amp; Forecast Control Accounts</t>
        </is>
      </c>
      <c r="B441" s="34" t="inlineStr">
        <is>
          <t>CST-02-069</t>
        </is>
      </c>
      <c r="C441" s="34" t="inlineStr">
        <is>
          <t>Stations - building services - supply and install</t>
        </is>
      </c>
      <c r="D441" s="34" t="inlineStr">
        <is>
          <t>Cost Account = CA-2069; WBS Code = 1.2.1</t>
        </is>
      </c>
      <c r="E441" s="34" t="inlineStr">
        <is>
          <t>R1231-v1</t>
        </is>
      </c>
      <c r="F441" s="34" t="inlineStr">
        <is>
          <t>1.2.1 Stations - Station Structures</t>
        </is>
      </c>
      <c r="G441" s="34" t="inlineStr">
        <is>
          <t>ONE_TO_ONE</t>
        </is>
      </c>
      <c r="H441" s="34" t="inlineStr">
        <is>
          <t>APPROVED</t>
        </is>
      </c>
      <c r="I441" s="34" t="inlineStr">
        <is>
          <t>New</t>
        </is>
      </c>
      <c r="J441" s="34" t="inlineStr">
        <is>
          <t>Source assignment -- not individually reviewed</t>
        </is>
      </c>
      <c r="K441" s="39" t="inlineStr"/>
      <c r="L441" s="14" t="inlineStr"/>
      <c r="M441" s="14" t="inlineStr"/>
      <c r="N441" s="92" t="inlineStr">
        <is>
          <t>10 EVIDENCE &amp; DECISIONS</t>
        </is>
      </c>
    </row>
    <row r="442" ht="34" customHeight="1">
      <c r="A442" s="34" t="inlineStr">
        <is>
          <t>Cost &amp; Forecast Control Accounts</t>
        </is>
      </c>
      <c r="B442" s="34" t="inlineStr">
        <is>
          <t>CST-02-071</t>
        </is>
      </c>
      <c r="C442" s="34" t="inlineStr">
        <is>
          <t>Stations - station structure - allowance</t>
        </is>
      </c>
      <c r="D442" s="34" t="inlineStr">
        <is>
          <t>Cost Account = CA-2071; WBS Code = 1.2.1</t>
        </is>
      </c>
      <c r="E442" s="34" t="inlineStr">
        <is>
          <t>R1233-v1</t>
        </is>
      </c>
      <c r="F442" s="34" t="inlineStr">
        <is>
          <t>1.2.1 Stations - Station Structures</t>
        </is>
      </c>
      <c r="G442" s="34" t="inlineStr">
        <is>
          <t>ONE_TO_ONE</t>
        </is>
      </c>
      <c r="H442" s="34" t="inlineStr">
        <is>
          <t>APPROVED</t>
        </is>
      </c>
      <c r="I442" s="34" t="inlineStr">
        <is>
          <t>New</t>
        </is>
      </c>
      <c r="J442" s="34" t="inlineStr">
        <is>
          <t>Source assignment -- not individually reviewed</t>
        </is>
      </c>
      <c r="K442" s="39" t="inlineStr"/>
      <c r="L442" s="14" t="inlineStr"/>
      <c r="M442" s="14" t="inlineStr"/>
      <c r="N442" s="92" t="inlineStr">
        <is>
          <t>10 EVIDENCE &amp; DECISIONS</t>
        </is>
      </c>
    </row>
    <row r="443" ht="34" customHeight="1">
      <c r="A443" s="34" t="inlineStr">
        <is>
          <t>Cost &amp; Forecast Control Accounts</t>
        </is>
      </c>
      <c r="B443" s="34" t="inlineStr">
        <is>
          <t>CST-02-073</t>
        </is>
      </c>
      <c r="C443" s="34" t="inlineStr">
        <is>
          <t>Stations - public realm - field package</t>
        </is>
      </c>
      <c r="D443" s="34" t="inlineStr">
        <is>
          <t>Cost Account = CA-2073; WBS Code = 1.2.1</t>
        </is>
      </c>
      <c r="E443" s="34" t="inlineStr">
        <is>
          <t>R1235-v1</t>
        </is>
      </c>
      <c r="F443" s="34" t="inlineStr">
        <is>
          <t>1.2.1 Stations - Station Structures</t>
        </is>
      </c>
      <c r="G443" s="34" t="inlineStr">
        <is>
          <t>ONE_TO_ONE</t>
        </is>
      </c>
      <c r="H443" s="34" t="inlineStr">
        <is>
          <t>APPROVED</t>
        </is>
      </c>
      <c r="I443" s="34" t="inlineStr">
        <is>
          <t>New</t>
        </is>
      </c>
      <c r="J443" s="34" t="inlineStr">
        <is>
          <t>Source assignment -- not individually reviewed</t>
        </is>
      </c>
      <c r="K443" s="39" t="inlineStr"/>
      <c r="L443" s="14" t="inlineStr"/>
      <c r="M443" s="14" t="inlineStr"/>
      <c r="N443" s="92" t="inlineStr">
        <is>
          <t>10 EVIDENCE &amp; DECISIONS</t>
        </is>
      </c>
    </row>
    <row r="444" ht="34" customHeight="1">
      <c r="A444" s="34" t="inlineStr">
        <is>
          <t>Cost &amp; Forecast Control Accounts</t>
        </is>
      </c>
      <c r="B444" s="34" t="inlineStr">
        <is>
          <t>CST-02-075</t>
        </is>
      </c>
      <c r="C444" s="34" t="inlineStr">
        <is>
          <t>Stations - building services - professional services</t>
        </is>
      </c>
      <c r="D444" s="34" t="inlineStr">
        <is>
          <t>Cost Account = CA-2075; WBS Code = 1.2.1</t>
        </is>
      </c>
      <c r="E444" s="34" t="inlineStr">
        <is>
          <t>R1237-v1</t>
        </is>
      </c>
      <c r="F444" s="34" t="inlineStr">
        <is>
          <t>1.2.1 Stations - Station Structures</t>
        </is>
      </c>
      <c r="G444" s="34" t="inlineStr">
        <is>
          <t>ONE_TO_ONE</t>
        </is>
      </c>
      <c r="H444" s="34" t="inlineStr">
        <is>
          <t>APPROVED</t>
        </is>
      </c>
      <c r="I444" s="34" t="inlineStr">
        <is>
          <t>New</t>
        </is>
      </c>
      <c r="J444" s="34" t="inlineStr">
        <is>
          <t>Source assignment -- not individually reviewed</t>
        </is>
      </c>
      <c r="K444" s="39" t="inlineStr"/>
      <c r="L444" s="14" t="inlineStr"/>
      <c r="M444" s="14" t="inlineStr"/>
      <c r="N444" s="92" t="inlineStr">
        <is>
          <t>10 EVIDENCE &amp; DECISIONS</t>
        </is>
      </c>
    </row>
    <row r="445" ht="34" customHeight="1">
      <c r="A445" s="34" t="inlineStr">
        <is>
          <t>Cost &amp; Forecast Control Accounts</t>
        </is>
      </c>
      <c r="B445" s="34" t="inlineStr">
        <is>
          <t>CST-02-077</t>
        </is>
      </c>
      <c r="C445" s="34" t="inlineStr">
        <is>
          <t>Stations - station structure - closeout</t>
        </is>
      </c>
      <c r="D445" s="34" t="inlineStr">
        <is>
          <t>Cost Account = CA-2077; WBS Code = 1.2.1</t>
        </is>
      </c>
      <c r="E445" s="34" t="inlineStr">
        <is>
          <t>R1239-v1</t>
        </is>
      </c>
      <c r="F445" s="34" t="inlineStr">
        <is>
          <t>1.2.1 Stations - Station Structures</t>
        </is>
      </c>
      <c r="G445" s="34" t="inlineStr">
        <is>
          <t>ONE_TO_ONE</t>
        </is>
      </c>
      <c r="H445" s="34" t="inlineStr">
        <is>
          <t>APPROVED</t>
        </is>
      </c>
      <c r="I445" s="34" t="inlineStr">
        <is>
          <t>New</t>
        </is>
      </c>
      <c r="J445" s="34" t="inlineStr">
        <is>
          <t>Source assignment -- not individually reviewed</t>
        </is>
      </c>
      <c r="K445" s="39" t="inlineStr"/>
      <c r="L445" s="14" t="inlineStr"/>
      <c r="M445" s="14" t="inlineStr"/>
      <c r="N445" s="92" t="inlineStr">
        <is>
          <t>10 EVIDENCE &amp; DECISIONS</t>
        </is>
      </c>
    </row>
    <row r="446" ht="34" customHeight="1">
      <c r="A446" s="34" t="inlineStr">
        <is>
          <t>Cost &amp; Forecast Control Accounts</t>
        </is>
      </c>
      <c r="B446" s="34" t="inlineStr">
        <is>
          <t>CST-02-079</t>
        </is>
      </c>
      <c r="C446" s="34" t="inlineStr">
        <is>
          <t>Stations - public realm - supply and install</t>
        </is>
      </c>
      <c r="D446" s="34" t="inlineStr">
        <is>
          <t>Cost Account = CA-2079; WBS Code = 1.2.1</t>
        </is>
      </c>
      <c r="E446" s="34" t="inlineStr">
        <is>
          <t>R1241-v1</t>
        </is>
      </c>
      <c r="F446" s="34" t="inlineStr">
        <is>
          <t>1.2.1 Stations - Station Structures</t>
        </is>
      </c>
      <c r="G446" s="34" t="inlineStr">
        <is>
          <t>ONE_TO_ONE</t>
        </is>
      </c>
      <c r="H446" s="34" t="inlineStr">
        <is>
          <t>APPROVED</t>
        </is>
      </c>
      <c r="I446" s="34" t="inlineStr">
        <is>
          <t>New</t>
        </is>
      </c>
      <c r="J446" s="34" t="inlineStr">
        <is>
          <t>Source assignment -- not individually reviewed</t>
        </is>
      </c>
      <c r="K446" s="39" t="inlineStr"/>
      <c r="L446" s="14" t="inlineStr"/>
      <c r="M446" s="14" t="inlineStr"/>
      <c r="N446" s="92" t="inlineStr">
        <is>
          <t>10 EVIDENCE &amp; DECISIONS</t>
        </is>
      </c>
    </row>
    <row r="447" ht="34" customHeight="1">
      <c r="A447" s="34" t="inlineStr">
        <is>
          <t>Contractor Programme</t>
        </is>
      </c>
      <c r="B447" s="34" t="inlineStr">
        <is>
          <t>SCH-02-006</t>
        </is>
      </c>
      <c r="C447" s="34" t="inlineStr">
        <is>
          <t>Harbour Station: station ventilation rough-in - inspection</t>
        </is>
      </c>
      <c r="D447" s="34" t="inlineStr">
        <is>
          <t>WBS Code = 1.2.2</t>
        </is>
      </c>
      <c r="E447" s="34" t="inlineStr">
        <is>
          <t>R186-v1</t>
        </is>
      </c>
      <c r="F447" s="34" t="inlineStr">
        <is>
          <t>1.2.2 Stations - Architectural Fit-Out</t>
        </is>
      </c>
      <c r="G447" s="34" t="inlineStr">
        <is>
          <t>ONE_TO_ONE</t>
        </is>
      </c>
      <c r="H447" s="34" t="inlineStr">
        <is>
          <t>APPROVED</t>
        </is>
      </c>
      <c r="I447" s="34" t="inlineStr">
        <is>
          <t>New</t>
        </is>
      </c>
      <c r="J447" s="34" t="inlineStr">
        <is>
          <t>Source assignment -- not individually reviewed</t>
        </is>
      </c>
      <c r="K447" s="39" t="inlineStr"/>
      <c r="L447" s="14" t="inlineStr"/>
      <c r="M447" s="14" t="inlineStr"/>
      <c r="N447" s="92" t="inlineStr">
        <is>
          <t>10 EVIDENCE &amp; DECISIONS</t>
        </is>
      </c>
    </row>
    <row r="448" ht="49" customHeight="1">
      <c r="A448" s="34" t="inlineStr">
        <is>
          <t>Contractor Programme</t>
        </is>
      </c>
      <c r="B448" s="34" t="inlineStr">
        <is>
          <t>SCH-02-009</t>
        </is>
      </c>
      <c r="C448" s="34" t="inlineStr">
        <is>
          <t>University Station: vertical-transport installation - field start</t>
        </is>
      </c>
      <c r="D448" s="34" t="inlineStr">
        <is>
          <t>WBS Code = 1.2.2</t>
        </is>
      </c>
      <c r="E448" s="34" t="inlineStr">
        <is>
          <t>R189-v1</t>
        </is>
      </c>
      <c r="F448" s="34" t="inlineStr">
        <is>
          <t>1.2.2 Stations - Architectural Fit-Out</t>
        </is>
      </c>
      <c r="G448" s="34" t="inlineStr">
        <is>
          <t>ONE_TO_ONE</t>
        </is>
      </c>
      <c r="H448" s="34" t="inlineStr">
        <is>
          <t>APPROVED</t>
        </is>
      </c>
      <c r="I448" s="34" t="inlineStr">
        <is>
          <t>New</t>
        </is>
      </c>
      <c r="J448" s="34" t="inlineStr">
        <is>
          <t>Source assignment -- not individually reviewed</t>
        </is>
      </c>
      <c r="K448" s="39" t="inlineStr"/>
      <c r="L448" s="14" t="inlineStr"/>
      <c r="M448" s="14" t="inlineStr"/>
      <c r="N448" s="92" t="inlineStr">
        <is>
          <t>10 EVIDENCE &amp; DECISIONS</t>
        </is>
      </c>
    </row>
    <row r="449" ht="34" customHeight="1">
      <c r="A449" s="34" t="inlineStr">
        <is>
          <t>Contractor Programme</t>
        </is>
      </c>
      <c r="B449" s="34" t="inlineStr">
        <is>
          <t>SCH-02-012</t>
        </is>
      </c>
      <c r="C449" s="34" t="inlineStr">
        <is>
          <t>Market Station: fire-life-safety cabling - turnover</t>
        </is>
      </c>
      <c r="D449" s="34" t="inlineStr">
        <is>
          <t>WBS Code = 1.2.2</t>
        </is>
      </c>
      <c r="E449" s="34" t="inlineStr">
        <is>
          <t>R192-v1</t>
        </is>
      </c>
      <c r="F449" s="34" t="inlineStr">
        <is>
          <t>1.2.2 Stations - Architectural Fit-Out</t>
        </is>
      </c>
      <c r="G449" s="34" t="inlineStr">
        <is>
          <t>ONE_TO_ONE</t>
        </is>
      </c>
      <c r="H449" s="34" t="inlineStr">
        <is>
          <t>APPROVED</t>
        </is>
      </c>
      <c r="I449" s="34" t="inlineStr">
        <is>
          <t>New</t>
        </is>
      </c>
      <c r="J449" s="34" t="inlineStr">
        <is>
          <t>Source assignment -- not individually reviewed</t>
        </is>
      </c>
      <c r="K449" s="39" t="inlineStr"/>
      <c r="L449" s="14" t="inlineStr"/>
      <c r="M449" s="14" t="inlineStr"/>
      <c r="N449" s="92" t="inlineStr">
        <is>
          <t>10 EVIDENCE &amp; DECISIONS</t>
        </is>
      </c>
    </row>
    <row r="450" ht="34" customHeight="1">
      <c r="A450" s="34" t="inlineStr">
        <is>
          <t>Contractor Programme</t>
        </is>
      </c>
      <c r="B450" s="34" t="inlineStr">
        <is>
          <t>SCH-02-015</t>
        </is>
      </c>
      <c r="C450" s="34" t="inlineStr">
        <is>
          <t>West Terminal: public-realm paving - installation</t>
        </is>
      </c>
      <c r="D450" s="34" t="inlineStr">
        <is>
          <t>WBS Code = 1.2.2</t>
        </is>
      </c>
      <c r="E450" s="34" t="inlineStr">
        <is>
          <t>R195-v1</t>
        </is>
      </c>
      <c r="F450" s="34" t="inlineStr">
        <is>
          <t>1.2.2 Stations - Architectural Fit-Out</t>
        </is>
      </c>
      <c r="G450" s="34" t="inlineStr">
        <is>
          <t>ONE_TO_ONE</t>
        </is>
      </c>
      <c r="H450" s="34" t="inlineStr">
        <is>
          <t>APPROVED</t>
        </is>
      </c>
      <c r="I450" s="34" t="inlineStr">
        <is>
          <t>New</t>
        </is>
      </c>
      <c r="J450" s="34" t="inlineStr">
        <is>
          <t>Source assignment -- not individually reviewed</t>
        </is>
      </c>
      <c r="K450" s="39" t="inlineStr"/>
      <c r="L450" s="14" t="inlineStr"/>
      <c r="M450" s="14" t="inlineStr"/>
      <c r="N450" s="92" t="inlineStr">
        <is>
          <t>10 EVIDENCE &amp; DECISIONS</t>
        </is>
      </c>
    </row>
    <row r="451" ht="34" customHeight="1">
      <c r="A451" s="34" t="inlineStr">
        <is>
          <t>Contractor Programme</t>
        </is>
      </c>
      <c r="B451" s="34" t="inlineStr">
        <is>
          <t>SCH-02-018</t>
        </is>
      </c>
      <c r="C451" s="34" t="inlineStr">
        <is>
          <t>Civic Station: platform edge installation - release</t>
        </is>
      </c>
      <c r="D451" s="34" t="inlineStr">
        <is>
          <t>WBS Code = 1.2.2</t>
        </is>
      </c>
      <c r="E451" s="34" t="inlineStr">
        <is>
          <t>R198-v1</t>
        </is>
      </c>
      <c r="F451" s="34" t="inlineStr">
        <is>
          <t>1.2.2 Stations - Architectural Fit-Out</t>
        </is>
      </c>
      <c r="G451" s="34" t="inlineStr">
        <is>
          <t>ONE_TO_ONE</t>
        </is>
      </c>
      <c r="H451" s="34" t="inlineStr">
        <is>
          <t>APPROVED</t>
        </is>
      </c>
      <c r="I451" s="34" t="inlineStr">
        <is>
          <t>New</t>
        </is>
      </c>
      <c r="J451" s="34" t="inlineStr">
        <is>
          <t>Source assignment -- not individually reviewed</t>
        </is>
      </c>
      <c r="K451" s="39" t="inlineStr"/>
      <c r="L451" s="14" t="inlineStr"/>
      <c r="M451" s="14" t="inlineStr"/>
      <c r="N451" s="92" t="inlineStr">
        <is>
          <t>10 EVIDENCE &amp; DECISIONS</t>
        </is>
      </c>
    </row>
    <row r="452" ht="34" customHeight="1">
      <c r="A452" s="34" t="inlineStr">
        <is>
          <t>Contractor Programme</t>
        </is>
      </c>
      <c r="B452" s="34" t="inlineStr">
        <is>
          <t>SCH-02-021</t>
        </is>
      </c>
      <c r="C452" s="34" t="inlineStr">
        <is>
          <t>Harbour Station: concourse slab pour - inspection</t>
        </is>
      </c>
      <c r="D452" s="34" t="inlineStr">
        <is>
          <t>WBS Code = 1.2.2</t>
        </is>
      </c>
      <c r="E452" s="34" t="inlineStr">
        <is>
          <t>R201-v1</t>
        </is>
      </c>
      <c r="F452" s="34" t="inlineStr">
        <is>
          <t>1.2.2 Stations - Architectural Fit-Out</t>
        </is>
      </c>
      <c r="G452" s="34" t="inlineStr">
        <is>
          <t>ONE_TO_ONE</t>
        </is>
      </c>
      <c r="H452" s="34" t="inlineStr">
        <is>
          <t>APPROVED</t>
        </is>
      </c>
      <c r="I452" s="34" t="inlineStr">
        <is>
          <t>New</t>
        </is>
      </c>
      <c r="J452" s="34" t="inlineStr">
        <is>
          <t>Source assignment -- not individually reviewed</t>
        </is>
      </c>
      <c r="K452" s="39" t="inlineStr"/>
      <c r="L452" s="14" t="inlineStr"/>
      <c r="M452" s="14" t="inlineStr"/>
      <c r="N452" s="92" t="inlineStr">
        <is>
          <t>10 EVIDENCE &amp; DECISIONS</t>
        </is>
      </c>
    </row>
    <row r="453" ht="34" customHeight="1">
      <c r="A453" s="34" t="inlineStr">
        <is>
          <t>Contractor Programme</t>
        </is>
      </c>
      <c r="B453" s="34" t="inlineStr">
        <is>
          <t>SCH-02-024</t>
        </is>
      </c>
      <c r="C453" s="34" t="inlineStr">
        <is>
          <t>University Station: entrance steel erection - field start</t>
        </is>
      </c>
      <c r="D453" s="34" t="inlineStr">
        <is>
          <t>WBS Code = 1.2.2</t>
        </is>
      </c>
      <c r="E453" s="34" t="inlineStr">
        <is>
          <t>R204-v1</t>
        </is>
      </c>
      <c r="F453" s="34" t="inlineStr">
        <is>
          <t>1.2.2 Stations - Architectural Fit-Out</t>
        </is>
      </c>
      <c r="G453" s="34" t="inlineStr">
        <is>
          <t>ONE_TO_ONE</t>
        </is>
      </c>
      <c r="H453" s="34" t="inlineStr">
        <is>
          <t>APPROVED</t>
        </is>
      </c>
      <c r="I453" s="34" t="inlineStr">
        <is>
          <t>New</t>
        </is>
      </c>
      <c r="J453" s="34" t="inlineStr">
        <is>
          <t>Source assignment -- not individually reviewed</t>
        </is>
      </c>
      <c r="K453" s="39" t="inlineStr"/>
      <c r="L453" s="14" t="inlineStr"/>
      <c r="M453" s="14" t="inlineStr"/>
      <c r="N453" s="92" t="inlineStr">
        <is>
          <t>10 EVIDENCE &amp; DECISIONS</t>
        </is>
      </c>
    </row>
    <row r="454" ht="34" customHeight="1">
      <c r="A454" s="34" t="inlineStr">
        <is>
          <t>Contractor Programme</t>
        </is>
      </c>
      <c r="B454" s="34" t="inlineStr">
        <is>
          <t>SCH-02-027</t>
        </is>
      </c>
      <c r="C454" s="34" t="inlineStr">
        <is>
          <t>Market Station: architectural wall framing - turnover</t>
        </is>
      </c>
      <c r="D454" s="34" t="inlineStr">
        <is>
          <t>WBS Code = 1.2.2</t>
        </is>
      </c>
      <c r="E454" s="34" t="inlineStr">
        <is>
          <t>R207-v1</t>
        </is>
      </c>
      <c r="F454" s="34" t="inlineStr">
        <is>
          <t>1.2.2 Stations - Architectural Fit-Out</t>
        </is>
      </c>
      <c r="G454" s="34" t="inlineStr">
        <is>
          <t>ONE_TO_ONE</t>
        </is>
      </c>
      <c r="H454" s="34" t="inlineStr">
        <is>
          <t>APPROVED</t>
        </is>
      </c>
      <c r="I454" s="34" t="inlineStr">
        <is>
          <t>New</t>
        </is>
      </c>
      <c r="J454" s="34" t="inlineStr">
        <is>
          <t>Source assignment -- not individually reviewed</t>
        </is>
      </c>
      <c r="K454" s="39" t="inlineStr"/>
      <c r="L454" s="14" t="inlineStr"/>
      <c r="M454" s="14" t="inlineStr"/>
      <c r="N454" s="92" t="inlineStr">
        <is>
          <t>10 EVIDENCE &amp; DECISIONS</t>
        </is>
      </c>
    </row>
    <row r="455" ht="34" customHeight="1">
      <c r="A455" s="34" t="inlineStr">
        <is>
          <t>Contractor Programme</t>
        </is>
      </c>
      <c r="B455" s="34" t="inlineStr">
        <is>
          <t>SCH-02-030</t>
        </is>
      </c>
      <c r="C455" s="34" t="inlineStr">
        <is>
          <t>West Terminal: station ventilation rough-in - installation</t>
        </is>
      </c>
      <c r="D455" s="34" t="inlineStr">
        <is>
          <t>WBS Code = 1.2.2</t>
        </is>
      </c>
      <c r="E455" s="34" t="inlineStr">
        <is>
          <t>R210-v1</t>
        </is>
      </c>
      <c r="F455" s="34" t="inlineStr">
        <is>
          <t>1.2.2 Stations - Architectural Fit-Out</t>
        </is>
      </c>
      <c r="G455" s="34" t="inlineStr">
        <is>
          <t>ONE_TO_ONE</t>
        </is>
      </c>
      <c r="H455" s="34" t="inlineStr">
        <is>
          <t>APPROVED</t>
        </is>
      </c>
      <c r="I455" s="34" t="inlineStr">
        <is>
          <t>New</t>
        </is>
      </c>
      <c r="J455" s="34" t="inlineStr">
        <is>
          <t>Source assignment -- not individually reviewed</t>
        </is>
      </c>
      <c r="K455" s="39" t="inlineStr"/>
      <c r="L455" s="14" t="inlineStr"/>
      <c r="M455" s="14" t="inlineStr"/>
      <c r="N455" s="92" t="inlineStr">
        <is>
          <t>10 EVIDENCE &amp; DECISIONS</t>
        </is>
      </c>
    </row>
    <row r="456" ht="34" customHeight="1">
      <c r="A456" s="34" t="inlineStr">
        <is>
          <t>Contractor Programme</t>
        </is>
      </c>
      <c r="B456" s="34" t="inlineStr">
        <is>
          <t>SCH-02-033</t>
        </is>
      </c>
      <c r="C456" s="34" t="inlineStr">
        <is>
          <t>Civic Station: vertical-transport installation - release</t>
        </is>
      </c>
      <c r="D456" s="34" t="inlineStr">
        <is>
          <t>WBS Code = 1.2.2</t>
        </is>
      </c>
      <c r="E456" s="34" t="inlineStr">
        <is>
          <t>R213-v1</t>
        </is>
      </c>
      <c r="F456" s="34" t="inlineStr">
        <is>
          <t>1.2.2 Stations - Architectural Fit-Out</t>
        </is>
      </c>
      <c r="G456" s="34" t="inlineStr">
        <is>
          <t>ONE_TO_ONE</t>
        </is>
      </c>
      <c r="H456" s="34" t="inlineStr">
        <is>
          <t>APPROVED</t>
        </is>
      </c>
      <c r="I456" s="34" t="inlineStr">
        <is>
          <t>New</t>
        </is>
      </c>
      <c r="J456" s="34" t="inlineStr">
        <is>
          <t>Source assignment -- not individually reviewed</t>
        </is>
      </c>
      <c r="K456" s="39" t="inlineStr"/>
      <c r="L456" s="14" t="inlineStr"/>
      <c r="M456" s="14" t="inlineStr"/>
      <c r="N456" s="92" t="inlineStr">
        <is>
          <t>10 EVIDENCE &amp; DECISIONS</t>
        </is>
      </c>
    </row>
    <row r="457" ht="34" customHeight="1">
      <c r="A457" s="34" t="inlineStr">
        <is>
          <t>Contractor Programme</t>
        </is>
      </c>
      <c r="B457" s="34" t="inlineStr">
        <is>
          <t>SCH-02-036</t>
        </is>
      </c>
      <c r="C457" s="34" t="inlineStr">
        <is>
          <t>Harbour Station: fire-life-safety cabling - inspection</t>
        </is>
      </c>
      <c r="D457" s="34" t="inlineStr">
        <is>
          <t>WBS Code = 1.2.2</t>
        </is>
      </c>
      <c r="E457" s="34" t="inlineStr">
        <is>
          <t>R216-v1</t>
        </is>
      </c>
      <c r="F457" s="34" t="inlineStr">
        <is>
          <t>1.2.2 Stations - Architectural Fit-Out</t>
        </is>
      </c>
      <c r="G457" s="34" t="inlineStr">
        <is>
          <t>ONE_TO_ONE</t>
        </is>
      </c>
      <c r="H457" s="34" t="inlineStr">
        <is>
          <t>APPROVED</t>
        </is>
      </c>
      <c r="I457" s="34" t="inlineStr">
        <is>
          <t>New</t>
        </is>
      </c>
      <c r="J457" s="34" t="inlineStr">
        <is>
          <t>Source assignment -- not individually reviewed</t>
        </is>
      </c>
      <c r="K457" s="39" t="inlineStr"/>
      <c r="L457" s="14" t="inlineStr"/>
      <c r="M457" s="14" t="inlineStr"/>
      <c r="N457" s="92" t="inlineStr">
        <is>
          <t>10 EVIDENCE &amp; DECISIONS</t>
        </is>
      </c>
    </row>
    <row r="458" ht="34" customHeight="1">
      <c r="A458" s="34" t="inlineStr">
        <is>
          <t>Contractor Programme</t>
        </is>
      </c>
      <c r="B458" s="34" t="inlineStr">
        <is>
          <t>SCH-02-039</t>
        </is>
      </c>
      <c r="C458" s="34" t="inlineStr">
        <is>
          <t>University Station: public-realm paving - field start</t>
        </is>
      </c>
      <c r="D458" s="34" t="inlineStr">
        <is>
          <t>WBS Code = 1.2.2</t>
        </is>
      </c>
      <c r="E458" s="34" t="inlineStr">
        <is>
          <t>R219-v1</t>
        </is>
      </c>
      <c r="F458" s="34" t="inlineStr">
        <is>
          <t>1.2.2 Stations - Architectural Fit-Out</t>
        </is>
      </c>
      <c r="G458" s="34" t="inlineStr">
        <is>
          <t>ONE_TO_ONE</t>
        </is>
      </c>
      <c r="H458" s="34" t="inlineStr">
        <is>
          <t>APPROVED</t>
        </is>
      </c>
      <c r="I458" s="34" t="inlineStr">
        <is>
          <t>New</t>
        </is>
      </c>
      <c r="J458" s="34" t="inlineStr">
        <is>
          <t>Source assignment -- not individually reviewed</t>
        </is>
      </c>
      <c r="K458" s="39" t="inlineStr"/>
      <c r="L458" s="14" t="inlineStr"/>
      <c r="M458" s="14" t="inlineStr"/>
      <c r="N458" s="92" t="inlineStr">
        <is>
          <t>10 EVIDENCE &amp; DECISIONS</t>
        </is>
      </c>
    </row>
    <row r="459" ht="34" customHeight="1">
      <c r="A459" s="34" t="inlineStr">
        <is>
          <t>Contractor Programme</t>
        </is>
      </c>
      <c r="B459" s="34" t="inlineStr">
        <is>
          <t>SCH-02-042</t>
        </is>
      </c>
      <c r="C459" s="34" t="inlineStr">
        <is>
          <t>Market Station: platform edge installation - turnover</t>
        </is>
      </c>
      <c r="D459" s="34" t="inlineStr">
        <is>
          <t>WBS Code = 1.2.2</t>
        </is>
      </c>
      <c r="E459" s="34" t="inlineStr">
        <is>
          <t>R222-v1</t>
        </is>
      </c>
      <c r="F459" s="34" t="inlineStr">
        <is>
          <t>1.2.2 Stations - Architectural Fit-Out</t>
        </is>
      </c>
      <c r="G459" s="34" t="inlineStr">
        <is>
          <t>ONE_TO_ONE</t>
        </is>
      </c>
      <c r="H459" s="34" t="inlineStr">
        <is>
          <t>APPROVED</t>
        </is>
      </c>
      <c r="I459" s="34" t="inlineStr">
        <is>
          <t>New</t>
        </is>
      </c>
      <c r="J459" s="34" t="inlineStr">
        <is>
          <t>Source assignment -- not individually reviewed</t>
        </is>
      </c>
      <c r="K459" s="39" t="inlineStr"/>
      <c r="L459" s="14" t="inlineStr"/>
      <c r="M459" s="14" t="inlineStr"/>
      <c r="N459" s="92" t="inlineStr">
        <is>
          <t>10 EVIDENCE &amp; DECISIONS</t>
        </is>
      </c>
    </row>
    <row r="460" ht="34" customHeight="1">
      <c r="A460" s="34" t="inlineStr">
        <is>
          <t>Contractor Programme</t>
        </is>
      </c>
      <c r="B460" s="34" t="inlineStr">
        <is>
          <t>SCH-02-045</t>
        </is>
      </c>
      <c r="C460" s="34" t="inlineStr">
        <is>
          <t>West Terminal: concourse slab pour - installation</t>
        </is>
      </c>
      <c r="D460" s="34" t="inlineStr">
        <is>
          <t>WBS Code = 1.2.2</t>
        </is>
      </c>
      <c r="E460" s="34" t="inlineStr">
        <is>
          <t>R225-v1</t>
        </is>
      </c>
      <c r="F460" s="34" t="inlineStr">
        <is>
          <t>1.2.2 Stations - Architectural Fit-Out</t>
        </is>
      </c>
      <c r="G460" s="34" t="inlineStr">
        <is>
          <t>ONE_TO_ONE</t>
        </is>
      </c>
      <c r="H460" s="34" t="inlineStr">
        <is>
          <t>APPROVED</t>
        </is>
      </c>
      <c r="I460" s="34" t="inlineStr">
        <is>
          <t>New</t>
        </is>
      </c>
      <c r="J460" s="34" t="inlineStr">
        <is>
          <t>Source assignment -- not individually reviewed</t>
        </is>
      </c>
      <c r="K460" s="39" t="inlineStr"/>
      <c r="L460" s="14" t="inlineStr"/>
      <c r="M460" s="14" t="inlineStr"/>
      <c r="N460" s="92" t="inlineStr">
        <is>
          <t>10 EVIDENCE &amp; DECISIONS</t>
        </is>
      </c>
    </row>
    <row r="461" ht="34" customHeight="1">
      <c r="A461" s="34" t="inlineStr">
        <is>
          <t>Contractor Programme</t>
        </is>
      </c>
      <c r="B461" s="34" t="inlineStr">
        <is>
          <t>SCH-02-048</t>
        </is>
      </c>
      <c r="C461" s="34" t="inlineStr">
        <is>
          <t>Civic Station: entrance steel erection - release</t>
        </is>
      </c>
      <c r="D461" s="34" t="inlineStr">
        <is>
          <t>WBS Code = 1.2.2</t>
        </is>
      </c>
      <c r="E461" s="34" t="inlineStr">
        <is>
          <t>R228-v1</t>
        </is>
      </c>
      <c r="F461" s="34" t="inlineStr">
        <is>
          <t>1.2.2 Stations - Architectural Fit-Out</t>
        </is>
      </c>
      <c r="G461" s="34" t="inlineStr">
        <is>
          <t>ONE_TO_ONE</t>
        </is>
      </c>
      <c r="H461" s="34" t="inlineStr">
        <is>
          <t>APPROVED</t>
        </is>
      </c>
      <c r="I461" s="34" t="inlineStr">
        <is>
          <t>New</t>
        </is>
      </c>
      <c r="J461" s="34" t="inlineStr">
        <is>
          <t>Source assignment -- not individually reviewed</t>
        </is>
      </c>
      <c r="K461" s="39" t="inlineStr"/>
      <c r="L461" s="14" t="inlineStr"/>
      <c r="M461" s="14" t="inlineStr"/>
      <c r="N461" s="92" t="inlineStr">
        <is>
          <t>10 EVIDENCE &amp; DECISIONS</t>
        </is>
      </c>
    </row>
    <row r="462" ht="34" customHeight="1">
      <c r="A462" s="34" t="inlineStr">
        <is>
          <t>Contractor Programme</t>
        </is>
      </c>
      <c r="B462" s="34" t="inlineStr">
        <is>
          <t>SCH-02-051</t>
        </is>
      </c>
      <c r="C462" s="34" t="inlineStr">
        <is>
          <t>Harbour Station: architectural wall framing - inspection</t>
        </is>
      </c>
      <c r="D462" s="34" t="inlineStr">
        <is>
          <t>WBS Code = 1.2.2</t>
        </is>
      </c>
      <c r="E462" s="34" t="inlineStr">
        <is>
          <t>R231-v1</t>
        </is>
      </c>
      <c r="F462" s="34" t="inlineStr">
        <is>
          <t>1.2.2 Stations - Architectural Fit-Out</t>
        </is>
      </c>
      <c r="G462" s="34" t="inlineStr">
        <is>
          <t>ONE_TO_ONE</t>
        </is>
      </c>
      <c r="H462" s="34" t="inlineStr">
        <is>
          <t>APPROVED</t>
        </is>
      </c>
      <c r="I462" s="34" t="inlineStr">
        <is>
          <t>New</t>
        </is>
      </c>
      <c r="J462" s="34" t="inlineStr">
        <is>
          <t>Source assignment -- not individually reviewed</t>
        </is>
      </c>
      <c r="K462" s="39" t="inlineStr"/>
      <c r="L462" s="14" t="inlineStr"/>
      <c r="M462" s="14" t="inlineStr"/>
      <c r="N462" s="92" t="inlineStr">
        <is>
          <t>10 EVIDENCE &amp; DECISIONS</t>
        </is>
      </c>
    </row>
    <row r="463" ht="34" customHeight="1">
      <c r="A463" s="34" t="inlineStr">
        <is>
          <t>Contractor Programme</t>
        </is>
      </c>
      <c r="B463" s="34" t="inlineStr">
        <is>
          <t>SCH-02-054</t>
        </is>
      </c>
      <c r="C463" s="34" t="inlineStr">
        <is>
          <t>University Station: station ventilation rough-in - field start</t>
        </is>
      </c>
      <c r="D463" s="34" t="inlineStr">
        <is>
          <t>WBS Code = 1.2.2</t>
        </is>
      </c>
      <c r="E463" s="34" t="inlineStr">
        <is>
          <t>R234-v1</t>
        </is>
      </c>
      <c r="F463" s="34" t="inlineStr">
        <is>
          <t>1.2.2 Stations - Architectural Fit-Out</t>
        </is>
      </c>
      <c r="G463" s="34" t="inlineStr">
        <is>
          <t>ONE_TO_ONE</t>
        </is>
      </c>
      <c r="H463" s="34" t="inlineStr">
        <is>
          <t>APPROVED</t>
        </is>
      </c>
      <c r="I463" s="34" t="inlineStr">
        <is>
          <t>New</t>
        </is>
      </c>
      <c r="J463" s="34" t="inlineStr">
        <is>
          <t>Source assignment -- not individually reviewed</t>
        </is>
      </c>
      <c r="K463" s="39" t="inlineStr"/>
      <c r="L463" s="14" t="inlineStr"/>
      <c r="M463" s="14" t="inlineStr"/>
      <c r="N463" s="92" t="inlineStr">
        <is>
          <t>10 EVIDENCE &amp; DECISIONS</t>
        </is>
      </c>
    </row>
    <row r="464" ht="34" customHeight="1">
      <c r="A464" s="34" t="inlineStr">
        <is>
          <t>Contractor Programme</t>
        </is>
      </c>
      <c r="B464" s="34" t="inlineStr">
        <is>
          <t>SCH-02-057</t>
        </is>
      </c>
      <c r="C464" s="34" t="inlineStr">
        <is>
          <t>Market Station: vertical-transport installation - turnover</t>
        </is>
      </c>
      <c r="D464" s="34" t="inlineStr">
        <is>
          <t>WBS Code = 1.2.2</t>
        </is>
      </c>
      <c r="E464" s="34" t="inlineStr">
        <is>
          <t>R237-v1</t>
        </is>
      </c>
      <c r="F464" s="34" t="inlineStr">
        <is>
          <t>1.2.2 Stations - Architectural Fit-Out</t>
        </is>
      </c>
      <c r="G464" s="34" t="inlineStr">
        <is>
          <t>ONE_TO_ONE</t>
        </is>
      </c>
      <c r="H464" s="34" t="inlineStr">
        <is>
          <t>APPROVED</t>
        </is>
      </c>
      <c r="I464" s="34" t="inlineStr">
        <is>
          <t>New</t>
        </is>
      </c>
      <c r="J464" s="34" t="inlineStr">
        <is>
          <t>Source assignment -- not individually reviewed</t>
        </is>
      </c>
      <c r="K464" s="39" t="inlineStr"/>
      <c r="L464" s="14" t="inlineStr"/>
      <c r="M464" s="14" t="inlineStr"/>
      <c r="N464" s="92" t="inlineStr">
        <is>
          <t>10 EVIDENCE &amp; DECISIONS</t>
        </is>
      </c>
    </row>
    <row r="465" ht="34" customHeight="1">
      <c r="A465" s="34" t="inlineStr">
        <is>
          <t>Contractor Programme</t>
        </is>
      </c>
      <c r="B465" s="34" t="inlineStr">
        <is>
          <t>SCH-02-060</t>
        </is>
      </c>
      <c r="C465" s="34" t="inlineStr">
        <is>
          <t>West Terminal: fire-life-safety cabling - installation</t>
        </is>
      </c>
      <c r="D465" s="34" t="inlineStr">
        <is>
          <t>WBS Code = 1.2.2</t>
        </is>
      </c>
      <c r="E465" s="34" t="inlineStr">
        <is>
          <t>R240-v1</t>
        </is>
      </c>
      <c r="F465" s="34" t="inlineStr">
        <is>
          <t>1.2.2 Stations - Architectural Fit-Out</t>
        </is>
      </c>
      <c r="G465" s="34" t="inlineStr">
        <is>
          <t>ONE_TO_ONE</t>
        </is>
      </c>
      <c r="H465" s="34" t="inlineStr">
        <is>
          <t>APPROVED</t>
        </is>
      </c>
      <c r="I465" s="34" t="inlineStr">
        <is>
          <t>New</t>
        </is>
      </c>
      <c r="J465" s="34" t="inlineStr">
        <is>
          <t>Source assignment -- not individually reviewed</t>
        </is>
      </c>
      <c r="K465" s="39" t="inlineStr"/>
      <c r="L465" s="14" t="inlineStr"/>
      <c r="M465" s="14" t="inlineStr"/>
      <c r="N465" s="92" t="inlineStr">
        <is>
          <t>10 EVIDENCE &amp; DECISIONS</t>
        </is>
      </c>
    </row>
    <row r="466" ht="34" customHeight="1">
      <c r="A466" s="34" t="inlineStr">
        <is>
          <t>Contractor Programme</t>
        </is>
      </c>
      <c r="B466" s="34" t="inlineStr">
        <is>
          <t>SCH-02-063</t>
        </is>
      </c>
      <c r="C466" s="34" t="inlineStr">
        <is>
          <t>Civic Station: public-realm paving - release</t>
        </is>
      </c>
      <c r="D466" s="34" t="inlineStr">
        <is>
          <t>WBS Code = 1.2.2</t>
        </is>
      </c>
      <c r="E466" s="34" t="inlineStr">
        <is>
          <t>R243-v1</t>
        </is>
      </c>
      <c r="F466" s="34" t="inlineStr">
        <is>
          <t>1.2.2 Stations - Architectural Fit-Out</t>
        </is>
      </c>
      <c r="G466" s="34" t="inlineStr">
        <is>
          <t>ONE_TO_ONE</t>
        </is>
      </c>
      <c r="H466" s="34" t="inlineStr">
        <is>
          <t>APPROVED</t>
        </is>
      </c>
      <c r="I466" s="34" t="inlineStr">
        <is>
          <t>New</t>
        </is>
      </c>
      <c r="J466" s="34" t="inlineStr">
        <is>
          <t>Source assignment -- not individually reviewed</t>
        </is>
      </c>
      <c r="K466" s="39" t="inlineStr"/>
      <c r="L466" s="14" t="inlineStr"/>
      <c r="M466" s="14" t="inlineStr"/>
      <c r="N466" s="92" t="inlineStr">
        <is>
          <t>10 EVIDENCE &amp; DECISIONS</t>
        </is>
      </c>
    </row>
    <row r="467" ht="34" customHeight="1">
      <c r="A467" s="34" t="inlineStr">
        <is>
          <t>Contractor Programme</t>
        </is>
      </c>
      <c r="B467" s="34" t="inlineStr">
        <is>
          <t>SCH-02-066</t>
        </is>
      </c>
      <c r="C467" s="34" t="inlineStr">
        <is>
          <t>Harbour Station: platform edge installation - inspection</t>
        </is>
      </c>
      <c r="D467" s="34" t="inlineStr">
        <is>
          <t>WBS Code = 1.2.2</t>
        </is>
      </c>
      <c r="E467" s="34" t="inlineStr">
        <is>
          <t>R246-v1</t>
        </is>
      </c>
      <c r="F467" s="34" t="inlineStr">
        <is>
          <t>1.2.2 Stations - Architectural Fit-Out</t>
        </is>
      </c>
      <c r="G467" s="34" t="inlineStr">
        <is>
          <t>ONE_TO_ONE</t>
        </is>
      </c>
      <c r="H467" s="34" t="inlineStr">
        <is>
          <t>APPROVED</t>
        </is>
      </c>
      <c r="I467" s="34" t="inlineStr">
        <is>
          <t>New</t>
        </is>
      </c>
      <c r="J467" s="34" t="inlineStr">
        <is>
          <t>Source assignment -- not individually reviewed</t>
        </is>
      </c>
      <c r="K467" s="39" t="inlineStr"/>
      <c r="L467" s="14" t="inlineStr"/>
      <c r="M467" s="14" t="inlineStr"/>
      <c r="N467" s="92" t="inlineStr">
        <is>
          <t>10 EVIDENCE &amp; DECISIONS</t>
        </is>
      </c>
    </row>
    <row r="468" ht="34" customHeight="1">
      <c r="A468" s="34" t="inlineStr">
        <is>
          <t>Contractor Programme</t>
        </is>
      </c>
      <c r="B468" s="34" t="inlineStr">
        <is>
          <t>SCH-02-069</t>
        </is>
      </c>
      <c r="C468" s="34" t="inlineStr">
        <is>
          <t>University Station: concourse slab pour - field start</t>
        </is>
      </c>
      <c r="D468" s="34" t="inlineStr">
        <is>
          <t>WBS Code = 1.2.2</t>
        </is>
      </c>
      <c r="E468" s="34" t="inlineStr">
        <is>
          <t>R249-v1</t>
        </is>
      </c>
      <c r="F468" s="34" t="inlineStr">
        <is>
          <t>1.2.2 Stations - Architectural Fit-Out</t>
        </is>
      </c>
      <c r="G468" s="34" t="inlineStr">
        <is>
          <t>ONE_TO_ONE</t>
        </is>
      </c>
      <c r="H468" s="34" t="inlineStr">
        <is>
          <t>APPROVED</t>
        </is>
      </c>
      <c r="I468" s="34" t="inlineStr">
        <is>
          <t>New</t>
        </is>
      </c>
      <c r="J468" s="34" t="inlineStr">
        <is>
          <t>Source assignment -- not individually reviewed</t>
        </is>
      </c>
      <c r="K468" s="39" t="inlineStr"/>
      <c r="L468" s="14" t="inlineStr"/>
      <c r="M468" s="14" t="inlineStr"/>
      <c r="N468" s="92" t="inlineStr">
        <is>
          <t>10 EVIDENCE &amp; DECISIONS</t>
        </is>
      </c>
    </row>
    <row r="469" ht="34" customHeight="1">
      <c r="A469" s="34" t="inlineStr">
        <is>
          <t>Contractor Programme</t>
        </is>
      </c>
      <c r="B469" s="34" t="inlineStr">
        <is>
          <t>SCH-02-072</t>
        </is>
      </c>
      <c r="C469" s="34" t="inlineStr">
        <is>
          <t>Market Station: entrance steel erection - turnover</t>
        </is>
      </c>
      <c r="D469" s="34" t="inlineStr">
        <is>
          <t>WBS Code = 1.2.2</t>
        </is>
      </c>
      <c r="E469" s="34" t="inlineStr">
        <is>
          <t>R252-v1</t>
        </is>
      </c>
      <c r="F469" s="34" t="inlineStr">
        <is>
          <t>1.2.2 Stations - Architectural Fit-Out</t>
        </is>
      </c>
      <c r="G469" s="34" t="inlineStr">
        <is>
          <t>ONE_TO_ONE</t>
        </is>
      </c>
      <c r="H469" s="34" t="inlineStr">
        <is>
          <t>APPROVED</t>
        </is>
      </c>
      <c r="I469" s="34" t="inlineStr">
        <is>
          <t>New</t>
        </is>
      </c>
      <c r="J469" s="34" t="inlineStr">
        <is>
          <t>Source assignment -- not individually reviewed</t>
        </is>
      </c>
      <c r="K469" s="39" t="inlineStr"/>
      <c r="L469" s="14" t="inlineStr"/>
      <c r="M469" s="14" t="inlineStr"/>
      <c r="N469" s="92" t="inlineStr">
        <is>
          <t>10 EVIDENCE &amp; DECISIONS</t>
        </is>
      </c>
    </row>
    <row r="470" ht="34" customHeight="1">
      <c r="A470" s="34" t="inlineStr">
        <is>
          <t>Contractor Programme</t>
        </is>
      </c>
      <c r="B470" s="34" t="inlineStr">
        <is>
          <t>SCH-02-075</t>
        </is>
      </c>
      <c r="C470" s="34" t="inlineStr">
        <is>
          <t>West Terminal: architectural wall framing - installation</t>
        </is>
      </c>
      <c r="D470" s="34" t="inlineStr">
        <is>
          <t>WBS Code = 1.2.2</t>
        </is>
      </c>
      <c r="E470" s="34" t="inlineStr">
        <is>
          <t>R255-v1</t>
        </is>
      </c>
      <c r="F470" s="34" t="inlineStr">
        <is>
          <t>1.2.2 Stations - Architectural Fit-Out</t>
        </is>
      </c>
      <c r="G470" s="34" t="inlineStr">
        <is>
          <t>ONE_TO_ONE</t>
        </is>
      </c>
      <c r="H470" s="34" t="inlineStr">
        <is>
          <t>APPROVED</t>
        </is>
      </c>
      <c r="I470" s="34" t="inlineStr">
        <is>
          <t>New</t>
        </is>
      </c>
      <c r="J470" s="34" t="inlineStr">
        <is>
          <t>Source assignment -- not individually reviewed</t>
        </is>
      </c>
      <c r="K470" s="39" t="inlineStr"/>
      <c r="L470" s="14" t="inlineStr"/>
      <c r="M470" s="14" t="inlineStr"/>
      <c r="N470" s="92" t="inlineStr">
        <is>
          <t>10 EVIDENCE &amp; DECISIONS</t>
        </is>
      </c>
    </row>
    <row r="471" ht="34" customHeight="1">
      <c r="A471" s="34" t="inlineStr">
        <is>
          <t>Contractor Programme</t>
        </is>
      </c>
      <c r="B471" s="34" t="inlineStr">
        <is>
          <t>SCH-02-078</t>
        </is>
      </c>
      <c r="C471" s="34" t="inlineStr">
        <is>
          <t>Civic Station: station ventilation rough-in - release</t>
        </is>
      </c>
      <c r="D471" s="34" t="inlineStr">
        <is>
          <t>WBS Code = 1.2.2</t>
        </is>
      </c>
      <c r="E471" s="34" t="inlineStr">
        <is>
          <t>R258-v1</t>
        </is>
      </c>
      <c r="F471" s="34" t="inlineStr">
        <is>
          <t>1.2.2 Stations - Architectural Fit-Out</t>
        </is>
      </c>
      <c r="G471" s="34" t="inlineStr">
        <is>
          <t>ONE_TO_ONE</t>
        </is>
      </c>
      <c r="H471" s="34" t="inlineStr">
        <is>
          <t>APPROVED</t>
        </is>
      </c>
      <c r="I471" s="34" t="inlineStr">
        <is>
          <t>New</t>
        </is>
      </c>
      <c r="J471" s="34" t="inlineStr">
        <is>
          <t>Source assignment -- not individually reviewed</t>
        </is>
      </c>
      <c r="K471" s="39" t="inlineStr"/>
      <c r="L471" s="14" t="inlineStr"/>
      <c r="M471" s="14" t="inlineStr"/>
      <c r="N471" s="92" t="inlineStr">
        <is>
          <t>10 EVIDENCE &amp; DECISIONS</t>
        </is>
      </c>
    </row>
    <row r="472" ht="34" customHeight="1">
      <c r="A472" s="34" t="inlineStr">
        <is>
          <t>Contractor Programme</t>
        </is>
      </c>
      <c r="B472" s="34" t="inlineStr">
        <is>
          <t>SCH-02-081</t>
        </is>
      </c>
      <c r="C472" s="34" t="inlineStr">
        <is>
          <t>Harbour Station: vertical-transport installation - inspection</t>
        </is>
      </c>
      <c r="D472" s="34" t="inlineStr">
        <is>
          <t>WBS Code = 1.2.2</t>
        </is>
      </c>
      <c r="E472" s="34" t="inlineStr">
        <is>
          <t>R261-v1</t>
        </is>
      </c>
      <c r="F472" s="34" t="inlineStr">
        <is>
          <t>1.2.2 Stations - Architectural Fit-Out</t>
        </is>
      </c>
      <c r="G472" s="34" t="inlineStr">
        <is>
          <t>ONE_TO_ONE</t>
        </is>
      </c>
      <c r="H472" s="34" t="inlineStr">
        <is>
          <t>APPROVED</t>
        </is>
      </c>
      <c r="I472" s="34" t="inlineStr">
        <is>
          <t>New</t>
        </is>
      </c>
      <c r="J472" s="34" t="inlineStr">
        <is>
          <t>Source assignment -- not individually reviewed</t>
        </is>
      </c>
      <c r="K472" s="39" t="inlineStr"/>
      <c r="L472" s="14" t="inlineStr"/>
      <c r="M472" s="14" t="inlineStr"/>
      <c r="N472" s="92" t="inlineStr">
        <is>
          <t>10 EVIDENCE &amp; DECISIONS</t>
        </is>
      </c>
    </row>
    <row r="473" ht="34" customHeight="1">
      <c r="A473" s="34" t="inlineStr">
        <is>
          <t>Contractor Programme</t>
        </is>
      </c>
      <c r="B473" s="34" t="inlineStr">
        <is>
          <t>SCH-02-084</t>
        </is>
      </c>
      <c r="C473" s="34" t="inlineStr">
        <is>
          <t>University Station: fire-life-safety cabling - field start</t>
        </is>
      </c>
      <c r="D473" s="34" t="inlineStr">
        <is>
          <t>WBS Code = 1.2.2</t>
        </is>
      </c>
      <c r="E473" s="34" t="inlineStr">
        <is>
          <t>R264-v1</t>
        </is>
      </c>
      <c r="F473" s="34" t="inlineStr">
        <is>
          <t>1.2.2 Stations - Architectural Fit-Out</t>
        </is>
      </c>
      <c r="G473" s="34" t="inlineStr">
        <is>
          <t>ONE_TO_ONE</t>
        </is>
      </c>
      <c r="H473" s="34" t="inlineStr">
        <is>
          <t>APPROVED</t>
        </is>
      </c>
      <c r="I473" s="34" t="inlineStr">
        <is>
          <t>New</t>
        </is>
      </c>
      <c r="J473" s="34" t="inlineStr">
        <is>
          <t>Source assignment -- not individually reviewed</t>
        </is>
      </c>
      <c r="K473" s="39" t="inlineStr"/>
      <c r="L473" s="14" t="inlineStr"/>
      <c r="M473" s="14" t="inlineStr"/>
      <c r="N473" s="92" t="inlineStr">
        <is>
          <t>10 EVIDENCE &amp; DECISIONS</t>
        </is>
      </c>
    </row>
    <row r="474" ht="34" customHeight="1">
      <c r="A474" s="34" t="inlineStr">
        <is>
          <t>Contractor Programme</t>
        </is>
      </c>
      <c r="B474" s="34" t="inlineStr">
        <is>
          <t>SCH-02-087</t>
        </is>
      </c>
      <c r="C474" s="34" t="inlineStr">
        <is>
          <t>Market Station: public-realm paving - turnover</t>
        </is>
      </c>
      <c r="D474" s="34" t="inlineStr">
        <is>
          <t>WBS Code = 1.2.2</t>
        </is>
      </c>
      <c r="E474" s="34" t="inlineStr">
        <is>
          <t>R267-v1</t>
        </is>
      </c>
      <c r="F474" s="34" t="inlineStr">
        <is>
          <t>1.2.2 Stations - Architectural Fit-Out</t>
        </is>
      </c>
      <c r="G474" s="34" t="inlineStr">
        <is>
          <t>ONE_TO_ONE</t>
        </is>
      </c>
      <c r="H474" s="34" t="inlineStr">
        <is>
          <t>APPROVED</t>
        </is>
      </c>
      <c r="I474" s="34" t="inlineStr">
        <is>
          <t>New</t>
        </is>
      </c>
      <c r="J474" s="34" t="inlineStr">
        <is>
          <t>Source assignment -- not individually reviewed</t>
        </is>
      </c>
      <c r="K474" s="39" t="inlineStr"/>
      <c r="L474" s="14" t="inlineStr"/>
      <c r="M474" s="14" t="inlineStr"/>
      <c r="N474" s="92" t="inlineStr">
        <is>
          <t>10 EVIDENCE &amp; DECISIONS</t>
        </is>
      </c>
    </row>
    <row r="475" ht="34" customHeight="1">
      <c r="A475" s="34" t="inlineStr">
        <is>
          <t>Contractor Programme</t>
        </is>
      </c>
      <c r="B475" s="34" t="inlineStr">
        <is>
          <t>SCH-02-090</t>
        </is>
      </c>
      <c r="C475" s="34" t="inlineStr">
        <is>
          <t>West Terminal: platform edge installation - installation</t>
        </is>
      </c>
      <c r="D475" s="34" t="inlineStr">
        <is>
          <t>WBS Code = 1.2.2</t>
        </is>
      </c>
      <c r="E475" s="34" t="inlineStr">
        <is>
          <t>R270-v1</t>
        </is>
      </c>
      <c r="F475" s="34" t="inlineStr">
        <is>
          <t>1.2.2 Stations - Architectural Fit-Out</t>
        </is>
      </c>
      <c r="G475" s="34" t="inlineStr">
        <is>
          <t>ONE_TO_ONE</t>
        </is>
      </c>
      <c r="H475" s="34" t="inlineStr">
        <is>
          <t>APPROVED</t>
        </is>
      </c>
      <c r="I475" s="34" t="inlineStr">
        <is>
          <t>New</t>
        </is>
      </c>
      <c r="J475" s="34" t="inlineStr">
        <is>
          <t>Source assignment -- not individually reviewed</t>
        </is>
      </c>
      <c r="K475" s="39" t="inlineStr"/>
      <c r="L475" s="14" t="inlineStr"/>
      <c r="M475" s="14" t="inlineStr"/>
      <c r="N475" s="92" t="inlineStr">
        <is>
          <t>10 EVIDENCE &amp; DECISIONS</t>
        </is>
      </c>
    </row>
    <row r="476" ht="34" customHeight="1">
      <c r="A476" s="34" t="inlineStr">
        <is>
          <t>Contractor Programme</t>
        </is>
      </c>
      <c r="B476" s="34" t="inlineStr">
        <is>
          <t>SCH-02-093</t>
        </is>
      </c>
      <c r="C476" s="34" t="inlineStr">
        <is>
          <t>Civic Station: concourse slab pour - release</t>
        </is>
      </c>
      <c r="D476" s="34" t="inlineStr">
        <is>
          <t>WBS Code = 1.2.2</t>
        </is>
      </c>
      <c r="E476" s="34" t="inlineStr">
        <is>
          <t>R273-v1</t>
        </is>
      </c>
      <c r="F476" s="34" t="inlineStr">
        <is>
          <t>1.2.2 Stations - Architectural Fit-Out</t>
        </is>
      </c>
      <c r="G476" s="34" t="inlineStr">
        <is>
          <t>ONE_TO_ONE</t>
        </is>
      </c>
      <c r="H476" s="34" t="inlineStr">
        <is>
          <t>APPROVED</t>
        </is>
      </c>
      <c r="I476" s="34" t="inlineStr">
        <is>
          <t>New</t>
        </is>
      </c>
      <c r="J476" s="34" t="inlineStr">
        <is>
          <t>Source assignment -- not individually reviewed</t>
        </is>
      </c>
      <c r="K476" s="39" t="inlineStr"/>
      <c r="L476" s="14" t="inlineStr"/>
      <c r="M476" s="14" t="inlineStr"/>
      <c r="N476" s="92" t="inlineStr">
        <is>
          <t>10 EVIDENCE &amp; DECISIONS</t>
        </is>
      </c>
    </row>
    <row r="477" ht="34" customHeight="1">
      <c r="A477" s="34" t="inlineStr">
        <is>
          <t>Contractor Programme</t>
        </is>
      </c>
      <c r="B477" s="34" t="inlineStr">
        <is>
          <t>SCH-02-096</t>
        </is>
      </c>
      <c r="C477" s="34" t="inlineStr">
        <is>
          <t>Harbour Station: entrance steel erection - inspection</t>
        </is>
      </c>
      <c r="D477" s="34" t="inlineStr">
        <is>
          <t>WBS Code = 1.2.2</t>
        </is>
      </c>
      <c r="E477" s="34" t="inlineStr">
        <is>
          <t>R276-v1</t>
        </is>
      </c>
      <c r="F477" s="34" t="inlineStr">
        <is>
          <t>1.2.2 Stations - Architectural Fit-Out</t>
        </is>
      </c>
      <c r="G477" s="34" t="inlineStr">
        <is>
          <t>ONE_TO_ONE</t>
        </is>
      </c>
      <c r="H477" s="34" t="inlineStr">
        <is>
          <t>APPROVED</t>
        </is>
      </c>
      <c r="I477" s="34" t="inlineStr">
        <is>
          <t>New</t>
        </is>
      </c>
      <c r="J477" s="34" t="inlineStr">
        <is>
          <t>Source assignment -- not individually reviewed</t>
        </is>
      </c>
      <c r="K477" s="39" t="inlineStr"/>
      <c r="L477" s="14" t="inlineStr"/>
      <c r="M477" s="14" t="inlineStr"/>
      <c r="N477" s="92" t="inlineStr">
        <is>
          <t>10 EVIDENCE &amp; DECISIONS</t>
        </is>
      </c>
    </row>
    <row r="478" ht="34" customHeight="1">
      <c r="A478" s="34" t="inlineStr">
        <is>
          <t>Contractor Programme</t>
        </is>
      </c>
      <c r="B478" s="34" t="inlineStr">
        <is>
          <t>SCH-02-099</t>
        </is>
      </c>
      <c r="C478" s="34" t="inlineStr">
        <is>
          <t>University Station: architectural wall framing - field start</t>
        </is>
      </c>
      <c r="D478" s="34" t="inlineStr">
        <is>
          <t>WBS Code = 1.2.2</t>
        </is>
      </c>
      <c r="E478" s="34" t="inlineStr">
        <is>
          <t>R279-v1</t>
        </is>
      </c>
      <c r="F478" s="34" t="inlineStr">
        <is>
          <t>1.2.2 Stations - Architectural Fit-Out</t>
        </is>
      </c>
      <c r="G478" s="34" t="inlineStr">
        <is>
          <t>ONE_TO_ONE</t>
        </is>
      </c>
      <c r="H478" s="34" t="inlineStr">
        <is>
          <t>APPROVED</t>
        </is>
      </c>
      <c r="I478" s="34" t="inlineStr">
        <is>
          <t>New</t>
        </is>
      </c>
      <c r="J478" s="34" t="inlineStr">
        <is>
          <t>Source assignment -- not individually reviewed</t>
        </is>
      </c>
      <c r="K478" s="39" t="inlineStr"/>
      <c r="L478" s="14" t="inlineStr"/>
      <c r="M478" s="14" t="inlineStr"/>
      <c r="N478" s="92" t="inlineStr">
        <is>
          <t>10 EVIDENCE &amp; DECISIONS</t>
        </is>
      </c>
    </row>
    <row r="479" ht="34" customHeight="1">
      <c r="A479" s="34" t="inlineStr">
        <is>
          <t>Contractor Programme</t>
        </is>
      </c>
      <c r="B479" s="34" t="inlineStr">
        <is>
          <t>SCH-02-102</t>
        </is>
      </c>
      <c r="C479" s="34" t="inlineStr">
        <is>
          <t>Market Station: station ventilation rough-in - turnover</t>
        </is>
      </c>
      <c r="D479" s="34" t="inlineStr">
        <is>
          <t>WBS Code = 1.2.2</t>
        </is>
      </c>
      <c r="E479" s="34" t="inlineStr">
        <is>
          <t>R282-v1</t>
        </is>
      </c>
      <c r="F479" s="34" t="inlineStr">
        <is>
          <t>1.2.2 Stations - Architectural Fit-Out</t>
        </is>
      </c>
      <c r="G479" s="34" t="inlineStr">
        <is>
          <t>ONE_TO_ONE</t>
        </is>
      </c>
      <c r="H479" s="34" t="inlineStr">
        <is>
          <t>APPROVED</t>
        </is>
      </c>
      <c r="I479" s="34" t="inlineStr">
        <is>
          <t>New</t>
        </is>
      </c>
      <c r="J479" s="34" t="inlineStr">
        <is>
          <t>Source assignment -- not individually reviewed</t>
        </is>
      </c>
      <c r="K479" s="39" t="inlineStr"/>
      <c r="L479" s="14" t="inlineStr"/>
      <c r="M479" s="14" t="inlineStr"/>
      <c r="N479" s="92" t="inlineStr">
        <is>
          <t>10 EVIDENCE &amp; DECISIONS</t>
        </is>
      </c>
    </row>
    <row r="480" ht="34" customHeight="1">
      <c r="A480" s="34" t="inlineStr">
        <is>
          <t>Contractor Programme</t>
        </is>
      </c>
      <c r="B480" s="34" t="inlineStr">
        <is>
          <t>SCH-02-105</t>
        </is>
      </c>
      <c r="C480" s="34" t="inlineStr">
        <is>
          <t>West Terminal: vertical-transport installation - installation</t>
        </is>
      </c>
      <c r="D480" s="34" t="inlineStr">
        <is>
          <t>WBS Code = 1.2.2</t>
        </is>
      </c>
      <c r="E480" s="34" t="inlineStr">
        <is>
          <t>R285-v1</t>
        </is>
      </c>
      <c r="F480" s="34" t="inlineStr">
        <is>
          <t>1.2.2 Stations - Architectural Fit-Out</t>
        </is>
      </c>
      <c r="G480" s="34" t="inlineStr">
        <is>
          <t>ONE_TO_ONE</t>
        </is>
      </c>
      <c r="H480" s="34" t="inlineStr">
        <is>
          <t>APPROVED</t>
        </is>
      </c>
      <c r="I480" s="34" t="inlineStr">
        <is>
          <t>New</t>
        </is>
      </c>
      <c r="J480" s="34" t="inlineStr">
        <is>
          <t>Source assignment -- not individually reviewed</t>
        </is>
      </c>
      <c r="K480" s="39" t="inlineStr"/>
      <c r="L480" s="14" t="inlineStr"/>
      <c r="M480" s="14" t="inlineStr"/>
      <c r="N480" s="92" t="inlineStr">
        <is>
          <t>10 EVIDENCE &amp; DECISIONS</t>
        </is>
      </c>
    </row>
    <row r="481" ht="34" customHeight="1">
      <c r="A481" s="34" t="inlineStr">
        <is>
          <t>Contractor Programme</t>
        </is>
      </c>
      <c r="B481" s="34" t="inlineStr">
        <is>
          <t>SCH-02-108</t>
        </is>
      </c>
      <c r="C481" s="34" t="inlineStr">
        <is>
          <t>Civic Station: fire-life-safety cabling - release</t>
        </is>
      </c>
      <c r="D481" s="34" t="inlineStr">
        <is>
          <t>WBS Code = 1.2.2</t>
        </is>
      </c>
      <c r="E481" s="34" t="inlineStr">
        <is>
          <t>R288-v1</t>
        </is>
      </c>
      <c r="F481" s="34" t="inlineStr">
        <is>
          <t>1.2.2 Stations - Architectural Fit-Out</t>
        </is>
      </c>
      <c r="G481" s="34" t="inlineStr">
        <is>
          <t>ONE_TO_ONE</t>
        </is>
      </c>
      <c r="H481" s="34" t="inlineStr">
        <is>
          <t>APPROVED</t>
        </is>
      </c>
      <c r="I481" s="34" t="inlineStr">
        <is>
          <t>New</t>
        </is>
      </c>
      <c r="J481" s="34" t="inlineStr">
        <is>
          <t>Source assignment -- not individually reviewed</t>
        </is>
      </c>
      <c r="K481" s="39" t="inlineStr"/>
      <c r="L481" s="14" t="inlineStr"/>
      <c r="M481" s="14" t="inlineStr"/>
      <c r="N481" s="92" t="inlineStr">
        <is>
          <t>10 EVIDENCE &amp; DECISIONS</t>
        </is>
      </c>
    </row>
    <row r="482" ht="34" customHeight="1">
      <c r="A482" s="34" t="inlineStr">
        <is>
          <t>Contractor Programme</t>
        </is>
      </c>
      <c r="B482" s="34" t="inlineStr">
        <is>
          <t>SCH-02-111</t>
        </is>
      </c>
      <c r="C482" s="34" t="inlineStr">
        <is>
          <t>Harbour Station: public-realm paving - inspection</t>
        </is>
      </c>
      <c r="D482" s="34" t="inlineStr">
        <is>
          <t>WBS Code = 1.2.2</t>
        </is>
      </c>
      <c r="E482" s="34" t="inlineStr">
        <is>
          <t>R291-v1</t>
        </is>
      </c>
      <c r="F482" s="34" t="inlineStr">
        <is>
          <t>1.2.2 Stations - Architectural Fit-Out</t>
        </is>
      </c>
      <c r="G482" s="34" t="inlineStr">
        <is>
          <t>ONE_TO_ONE</t>
        </is>
      </c>
      <c r="H482" s="34" t="inlineStr">
        <is>
          <t>APPROVED</t>
        </is>
      </c>
      <c r="I482" s="34" t="inlineStr">
        <is>
          <t>New</t>
        </is>
      </c>
      <c r="J482" s="34" t="inlineStr">
        <is>
          <t>Source assignment -- not individually reviewed</t>
        </is>
      </c>
      <c r="K482" s="39" t="inlineStr"/>
      <c r="L482" s="14" t="inlineStr"/>
      <c r="M482" s="14" t="inlineStr"/>
      <c r="N482" s="92" t="inlineStr">
        <is>
          <t>10 EVIDENCE &amp; DECISIONS</t>
        </is>
      </c>
    </row>
    <row r="483" ht="34" customHeight="1">
      <c r="A483" s="34" t="inlineStr">
        <is>
          <t>Contractor Programme</t>
        </is>
      </c>
      <c r="B483" s="34" t="inlineStr">
        <is>
          <t>SCH-02-114</t>
        </is>
      </c>
      <c r="C483" s="34" t="inlineStr">
        <is>
          <t>University Station: platform edge installation - field start</t>
        </is>
      </c>
      <c r="D483" s="34" t="inlineStr">
        <is>
          <t>WBS Code = 1.2.2</t>
        </is>
      </c>
      <c r="E483" s="34" t="inlineStr">
        <is>
          <t>R294-v1</t>
        </is>
      </c>
      <c r="F483" s="34" t="inlineStr">
        <is>
          <t>1.2.2 Stations - Architectural Fit-Out</t>
        </is>
      </c>
      <c r="G483" s="34" t="inlineStr">
        <is>
          <t>ONE_TO_ONE</t>
        </is>
      </c>
      <c r="H483" s="34" t="inlineStr">
        <is>
          <t>APPROVED</t>
        </is>
      </c>
      <c r="I483" s="34" t="inlineStr">
        <is>
          <t>New</t>
        </is>
      </c>
      <c r="J483" s="34" t="inlineStr">
        <is>
          <t>Source assignment -- not individually reviewed</t>
        </is>
      </c>
      <c r="K483" s="39" t="inlineStr"/>
      <c r="L483" s="14" t="inlineStr"/>
      <c r="M483" s="14" t="inlineStr"/>
      <c r="N483" s="92" t="inlineStr">
        <is>
          <t>10 EVIDENCE &amp; DECISIONS</t>
        </is>
      </c>
    </row>
    <row r="484" ht="34" customHeight="1">
      <c r="A484" s="34" t="inlineStr">
        <is>
          <t>Contractor Programme</t>
        </is>
      </c>
      <c r="B484" s="34" t="inlineStr">
        <is>
          <t>SCH-02-117</t>
        </is>
      </c>
      <c r="C484" s="34" t="inlineStr">
        <is>
          <t>Market Station: concourse slab pour - turnover</t>
        </is>
      </c>
      <c r="D484" s="34" t="inlineStr">
        <is>
          <t>WBS Code = 1.2.2</t>
        </is>
      </c>
      <c r="E484" s="34" t="inlineStr">
        <is>
          <t>R297-v1</t>
        </is>
      </c>
      <c r="F484" s="34" t="inlineStr">
        <is>
          <t>1.2.2 Stations - Architectural Fit-Out</t>
        </is>
      </c>
      <c r="G484" s="34" t="inlineStr">
        <is>
          <t>ONE_TO_ONE</t>
        </is>
      </c>
      <c r="H484" s="34" t="inlineStr">
        <is>
          <t>APPROVED</t>
        </is>
      </c>
      <c r="I484" s="34" t="inlineStr">
        <is>
          <t>New</t>
        </is>
      </c>
      <c r="J484" s="34" t="inlineStr">
        <is>
          <t>Source assignment -- not individually reviewed</t>
        </is>
      </c>
      <c r="K484" s="39" t="inlineStr"/>
      <c r="L484" s="14" t="inlineStr"/>
      <c r="M484" s="14" t="inlineStr"/>
      <c r="N484" s="92" t="inlineStr">
        <is>
          <t>10 EVIDENCE &amp; DECISIONS</t>
        </is>
      </c>
    </row>
    <row r="485" ht="34" customHeight="1">
      <c r="A485" s="34" t="inlineStr">
        <is>
          <t>Contractor Programme</t>
        </is>
      </c>
      <c r="B485" s="34" t="inlineStr">
        <is>
          <t>SCH-02-120</t>
        </is>
      </c>
      <c r="C485" s="34" t="inlineStr">
        <is>
          <t>West Terminal: entrance steel erection - installation</t>
        </is>
      </c>
      <c r="D485" s="34" t="inlineStr">
        <is>
          <t>WBS Code = 1.2.2</t>
        </is>
      </c>
      <c r="E485" s="34" t="inlineStr">
        <is>
          <t>R300-v1</t>
        </is>
      </c>
      <c r="F485" s="34" t="inlineStr">
        <is>
          <t>1.2.2 Stations - Architectural Fit-Out</t>
        </is>
      </c>
      <c r="G485" s="34" t="inlineStr">
        <is>
          <t>ONE_TO_ONE</t>
        </is>
      </c>
      <c r="H485" s="34" t="inlineStr">
        <is>
          <t>APPROVED</t>
        </is>
      </c>
      <c r="I485" s="34" t="inlineStr">
        <is>
          <t>New</t>
        </is>
      </c>
      <c r="J485" s="34" t="inlineStr">
        <is>
          <t>Source assignment -- not individually reviewed</t>
        </is>
      </c>
      <c r="K485" s="39" t="inlineStr"/>
      <c r="L485" s="14" t="inlineStr"/>
      <c r="M485" s="14" t="inlineStr"/>
      <c r="N485" s="92" t="inlineStr">
        <is>
          <t>10 EVIDENCE &amp; DECISIONS</t>
        </is>
      </c>
    </row>
    <row r="486" ht="34" customHeight="1">
      <c r="A486" s="34" t="inlineStr">
        <is>
          <t>Contractor Programme</t>
        </is>
      </c>
      <c r="B486" s="34" t="inlineStr">
        <is>
          <t>SCH-02-123</t>
        </is>
      </c>
      <c r="C486" s="34" t="inlineStr">
        <is>
          <t>Civic Station: architectural wall framing - release</t>
        </is>
      </c>
      <c r="D486" s="34" t="inlineStr">
        <is>
          <t>WBS Code = 1.2.2</t>
        </is>
      </c>
      <c r="E486" s="34" t="inlineStr">
        <is>
          <t>R303-v1</t>
        </is>
      </c>
      <c r="F486" s="34" t="inlineStr">
        <is>
          <t>1.2.2 Stations - Architectural Fit-Out</t>
        </is>
      </c>
      <c r="G486" s="34" t="inlineStr">
        <is>
          <t>ONE_TO_ONE</t>
        </is>
      </c>
      <c r="H486" s="34" t="inlineStr">
        <is>
          <t>APPROVED</t>
        </is>
      </c>
      <c r="I486" s="34" t="inlineStr">
        <is>
          <t>New</t>
        </is>
      </c>
      <c r="J486" s="34" t="inlineStr">
        <is>
          <t>Source assignment -- not individually reviewed</t>
        </is>
      </c>
      <c r="K486" s="39" t="inlineStr"/>
      <c r="L486" s="14" t="inlineStr"/>
      <c r="M486" s="14" t="inlineStr"/>
      <c r="N486" s="92" t="inlineStr">
        <is>
          <t>10 EVIDENCE &amp; DECISIONS</t>
        </is>
      </c>
    </row>
    <row r="487" ht="34" customHeight="1">
      <c r="A487" s="34" t="inlineStr">
        <is>
          <t>Contractor Programme</t>
        </is>
      </c>
      <c r="B487" s="34" t="inlineStr">
        <is>
          <t>SCH-02-126</t>
        </is>
      </c>
      <c r="C487" s="34" t="inlineStr">
        <is>
          <t>Harbour Station: station ventilation rough-in - inspection</t>
        </is>
      </c>
      <c r="D487" s="34" t="inlineStr">
        <is>
          <t>WBS Code = 1.2.2</t>
        </is>
      </c>
      <c r="E487" s="34" t="inlineStr">
        <is>
          <t>R306-v1</t>
        </is>
      </c>
      <c r="F487" s="34" t="inlineStr">
        <is>
          <t>1.2.2 Stations - Architectural Fit-Out</t>
        </is>
      </c>
      <c r="G487" s="34" t="inlineStr">
        <is>
          <t>ONE_TO_ONE</t>
        </is>
      </c>
      <c r="H487" s="34" t="inlineStr">
        <is>
          <t>APPROVED</t>
        </is>
      </c>
      <c r="I487" s="34" t="inlineStr">
        <is>
          <t>New</t>
        </is>
      </c>
      <c r="J487" s="34" t="inlineStr">
        <is>
          <t>Source assignment -- not individually reviewed</t>
        </is>
      </c>
      <c r="K487" s="39" t="inlineStr"/>
      <c r="L487" s="14" t="inlineStr"/>
      <c r="M487" s="14" t="inlineStr"/>
      <c r="N487" s="92" t="inlineStr">
        <is>
          <t>10 EVIDENCE &amp; DECISIONS</t>
        </is>
      </c>
    </row>
    <row r="488" ht="49" customHeight="1">
      <c r="A488" s="34" t="inlineStr">
        <is>
          <t>Contractor Programme</t>
        </is>
      </c>
      <c r="B488" s="34" t="inlineStr">
        <is>
          <t>SCH-02-129</t>
        </is>
      </c>
      <c r="C488" s="34" t="inlineStr">
        <is>
          <t>University Station: vertical-transport installation - field start</t>
        </is>
      </c>
      <c r="D488" s="34" t="inlineStr">
        <is>
          <t>WBS Code = 1.2.2</t>
        </is>
      </c>
      <c r="E488" s="34" t="inlineStr">
        <is>
          <t>R309-v1</t>
        </is>
      </c>
      <c r="F488" s="34" t="inlineStr">
        <is>
          <t>1.2.2 Stations - Architectural Fit-Out</t>
        </is>
      </c>
      <c r="G488" s="34" t="inlineStr">
        <is>
          <t>ONE_TO_ONE</t>
        </is>
      </c>
      <c r="H488" s="34" t="inlineStr">
        <is>
          <t>APPROVED</t>
        </is>
      </c>
      <c r="I488" s="34" t="inlineStr">
        <is>
          <t>New</t>
        </is>
      </c>
      <c r="J488" s="34" t="inlineStr">
        <is>
          <t>Source assignment -- not individually reviewed</t>
        </is>
      </c>
      <c r="K488" s="39" t="inlineStr"/>
      <c r="L488" s="14" t="inlineStr"/>
      <c r="M488" s="14" t="inlineStr"/>
      <c r="N488" s="92" t="inlineStr">
        <is>
          <t>10 EVIDENCE &amp; DECISIONS</t>
        </is>
      </c>
    </row>
    <row r="489" ht="34" customHeight="1">
      <c r="A489" s="34" t="inlineStr">
        <is>
          <t>Contractor Programme</t>
        </is>
      </c>
      <c r="B489" s="34" t="inlineStr">
        <is>
          <t>SCH-02-132</t>
        </is>
      </c>
      <c r="C489" s="34" t="inlineStr">
        <is>
          <t>Market Station: fire-life-safety cabling - turnover</t>
        </is>
      </c>
      <c r="D489" s="34" t="inlineStr">
        <is>
          <t>WBS Code = 1.2.2</t>
        </is>
      </c>
      <c r="E489" s="34" t="inlineStr">
        <is>
          <t>R312-v1</t>
        </is>
      </c>
      <c r="F489" s="34" t="inlineStr">
        <is>
          <t>1.2.2 Stations - Architectural Fit-Out</t>
        </is>
      </c>
      <c r="G489" s="34" t="inlineStr">
        <is>
          <t>ONE_TO_ONE</t>
        </is>
      </c>
      <c r="H489" s="34" t="inlineStr">
        <is>
          <t>APPROVED</t>
        </is>
      </c>
      <c r="I489" s="34" t="inlineStr">
        <is>
          <t>New</t>
        </is>
      </c>
      <c r="J489" s="34" t="inlineStr">
        <is>
          <t>Source assignment -- not individually reviewed</t>
        </is>
      </c>
      <c r="K489" s="39" t="inlineStr"/>
      <c r="L489" s="14" t="inlineStr"/>
      <c r="M489" s="14" t="inlineStr"/>
      <c r="N489" s="92" t="inlineStr">
        <is>
          <t>10 EVIDENCE &amp; DECISIONS</t>
        </is>
      </c>
    </row>
    <row r="490" ht="34" customHeight="1">
      <c r="A490" s="34" t="inlineStr">
        <is>
          <t>Contractor Programme</t>
        </is>
      </c>
      <c r="B490" s="34" t="inlineStr">
        <is>
          <t>SCH-02-135</t>
        </is>
      </c>
      <c r="C490" s="34" t="inlineStr">
        <is>
          <t>West Terminal: public-realm paving - installation</t>
        </is>
      </c>
      <c r="D490" s="34" t="inlineStr">
        <is>
          <t>WBS Code = 1.2.2</t>
        </is>
      </c>
      <c r="E490" s="34" t="inlineStr">
        <is>
          <t>R315-v1</t>
        </is>
      </c>
      <c r="F490" s="34" t="inlineStr">
        <is>
          <t>1.2.2 Stations - Architectural Fit-Out</t>
        </is>
      </c>
      <c r="G490" s="34" t="inlineStr">
        <is>
          <t>ONE_TO_ONE</t>
        </is>
      </c>
      <c r="H490" s="34" t="inlineStr">
        <is>
          <t>APPROVED</t>
        </is>
      </c>
      <c r="I490" s="34" t="inlineStr">
        <is>
          <t>New</t>
        </is>
      </c>
      <c r="J490" s="34" t="inlineStr">
        <is>
          <t>Source assignment -- not individually reviewed</t>
        </is>
      </c>
      <c r="K490" s="39" t="inlineStr"/>
      <c r="L490" s="14" t="inlineStr"/>
      <c r="M490" s="14" t="inlineStr"/>
      <c r="N490" s="92" t="inlineStr">
        <is>
          <t>10 EVIDENCE &amp; DECISIONS</t>
        </is>
      </c>
    </row>
    <row r="491" ht="34" customHeight="1">
      <c r="A491" s="34" t="inlineStr">
        <is>
          <t>Contractor Programme</t>
        </is>
      </c>
      <c r="B491" s="34" t="inlineStr">
        <is>
          <t>SCH-02-138</t>
        </is>
      </c>
      <c r="C491" s="34" t="inlineStr">
        <is>
          <t>Civic Station: platform edge installation - release</t>
        </is>
      </c>
      <c r="D491" s="34" t="inlineStr">
        <is>
          <t>WBS Code = 1.2.2</t>
        </is>
      </c>
      <c r="E491" s="34" t="inlineStr">
        <is>
          <t>R318-v1</t>
        </is>
      </c>
      <c r="F491" s="34" t="inlineStr">
        <is>
          <t>1.2.2 Stations - Architectural Fit-Out</t>
        </is>
      </c>
      <c r="G491" s="34" t="inlineStr">
        <is>
          <t>ONE_TO_ONE</t>
        </is>
      </c>
      <c r="H491" s="34" t="inlineStr">
        <is>
          <t>APPROVED</t>
        </is>
      </c>
      <c r="I491" s="34" t="inlineStr">
        <is>
          <t>New</t>
        </is>
      </c>
      <c r="J491" s="34" t="inlineStr">
        <is>
          <t>Source assignment -- not individually reviewed</t>
        </is>
      </c>
      <c r="K491" s="39" t="inlineStr"/>
      <c r="L491" s="14" t="inlineStr"/>
      <c r="M491" s="14" t="inlineStr"/>
      <c r="N491" s="92" t="inlineStr">
        <is>
          <t>10 EVIDENCE &amp; DECISIONS</t>
        </is>
      </c>
    </row>
    <row r="492" ht="34" customHeight="1">
      <c r="A492" s="34" t="inlineStr">
        <is>
          <t>Contractor Programme</t>
        </is>
      </c>
      <c r="B492" s="34" t="inlineStr">
        <is>
          <t>SCH-02-141</t>
        </is>
      </c>
      <c r="C492" s="34" t="inlineStr">
        <is>
          <t>Harbour Station: concourse slab pour - inspection</t>
        </is>
      </c>
      <c r="D492" s="34" t="inlineStr">
        <is>
          <t>WBS Code = 1.2.2</t>
        </is>
      </c>
      <c r="E492" s="34" t="inlineStr">
        <is>
          <t>R321-v1</t>
        </is>
      </c>
      <c r="F492" s="34" t="inlineStr">
        <is>
          <t>1.2.2 Stations - Architectural Fit-Out</t>
        </is>
      </c>
      <c r="G492" s="34" t="inlineStr">
        <is>
          <t>ONE_TO_ONE</t>
        </is>
      </c>
      <c r="H492" s="34" t="inlineStr">
        <is>
          <t>APPROVED</t>
        </is>
      </c>
      <c r="I492" s="34" t="inlineStr">
        <is>
          <t>New</t>
        </is>
      </c>
      <c r="J492" s="34" t="inlineStr">
        <is>
          <t>Source assignment -- not individually reviewed</t>
        </is>
      </c>
      <c r="K492" s="39" t="inlineStr"/>
      <c r="L492" s="14" t="inlineStr"/>
      <c r="M492" s="14" t="inlineStr"/>
      <c r="N492" s="92" t="inlineStr">
        <is>
          <t>10 EVIDENCE &amp; DECISIONS</t>
        </is>
      </c>
    </row>
    <row r="493" ht="34" customHeight="1">
      <c r="A493" s="34" t="inlineStr">
        <is>
          <t>Contractor Programme</t>
        </is>
      </c>
      <c r="B493" s="34" t="inlineStr">
        <is>
          <t>SCH-02-144</t>
        </is>
      </c>
      <c r="C493" s="34" t="inlineStr">
        <is>
          <t>University Station: entrance steel erection - field start</t>
        </is>
      </c>
      <c r="D493" s="34" t="inlineStr">
        <is>
          <t>WBS Code = 1.2.2</t>
        </is>
      </c>
      <c r="E493" s="34" t="inlineStr">
        <is>
          <t>R324-v1</t>
        </is>
      </c>
      <c r="F493" s="34" t="inlineStr">
        <is>
          <t>1.2.2 Stations - Architectural Fit-Out</t>
        </is>
      </c>
      <c r="G493" s="34" t="inlineStr">
        <is>
          <t>ONE_TO_ONE</t>
        </is>
      </c>
      <c r="H493" s="34" t="inlineStr">
        <is>
          <t>APPROVED</t>
        </is>
      </c>
      <c r="I493" s="34" t="inlineStr">
        <is>
          <t>New</t>
        </is>
      </c>
      <c r="J493" s="34" t="inlineStr">
        <is>
          <t>Source assignment -- not individually reviewed</t>
        </is>
      </c>
      <c r="K493" s="39" t="inlineStr"/>
      <c r="L493" s="14" t="inlineStr"/>
      <c r="M493" s="14" t="inlineStr"/>
      <c r="N493" s="92" t="inlineStr">
        <is>
          <t>10 EVIDENCE &amp; DECISIONS</t>
        </is>
      </c>
    </row>
    <row r="494" ht="34" customHeight="1">
      <c r="A494" s="34" t="inlineStr">
        <is>
          <t>Contractor Programme</t>
        </is>
      </c>
      <c r="B494" s="34" t="inlineStr">
        <is>
          <t>SCH-02-147</t>
        </is>
      </c>
      <c r="C494" s="34" t="inlineStr">
        <is>
          <t>Market Station: architectural wall framing - turnover</t>
        </is>
      </c>
      <c r="D494" s="34" t="inlineStr">
        <is>
          <t>WBS Code = 1.2.2</t>
        </is>
      </c>
      <c r="E494" s="34" t="inlineStr">
        <is>
          <t>R327-v1</t>
        </is>
      </c>
      <c r="F494" s="34" t="inlineStr">
        <is>
          <t>1.2.2 Stations - Architectural Fit-Out</t>
        </is>
      </c>
      <c r="G494" s="34" t="inlineStr">
        <is>
          <t>ONE_TO_ONE</t>
        </is>
      </c>
      <c r="H494" s="34" t="inlineStr">
        <is>
          <t>APPROVED</t>
        </is>
      </c>
      <c r="I494" s="34" t="inlineStr">
        <is>
          <t>New</t>
        </is>
      </c>
      <c r="J494" s="34" t="inlineStr">
        <is>
          <t>Source assignment -- not individually reviewed</t>
        </is>
      </c>
      <c r="K494" s="39" t="inlineStr"/>
      <c r="L494" s="14" t="inlineStr"/>
      <c r="M494" s="14" t="inlineStr"/>
      <c r="N494" s="92" t="inlineStr">
        <is>
          <t>10 EVIDENCE &amp; DECISIONS</t>
        </is>
      </c>
    </row>
    <row r="495" ht="34" customHeight="1">
      <c r="A495" s="34" t="inlineStr">
        <is>
          <t>Contractor Programme</t>
        </is>
      </c>
      <c r="B495" s="34" t="inlineStr">
        <is>
          <t>SCH-02-150</t>
        </is>
      </c>
      <c r="C495" s="34" t="inlineStr">
        <is>
          <t>West Terminal: station ventilation rough-in - installation</t>
        </is>
      </c>
      <c r="D495" s="34" t="inlineStr">
        <is>
          <t>WBS Code = 1.2.2</t>
        </is>
      </c>
      <c r="E495" s="34" t="inlineStr">
        <is>
          <t>R330-v1</t>
        </is>
      </c>
      <c r="F495" s="34" t="inlineStr">
        <is>
          <t>1.2.2 Stations - Architectural Fit-Out</t>
        </is>
      </c>
      <c r="G495" s="34" t="inlineStr">
        <is>
          <t>ONE_TO_ONE</t>
        </is>
      </c>
      <c r="H495" s="34" t="inlineStr">
        <is>
          <t>APPROVED</t>
        </is>
      </c>
      <c r="I495" s="34" t="inlineStr">
        <is>
          <t>New</t>
        </is>
      </c>
      <c r="J495" s="34" t="inlineStr">
        <is>
          <t>Source assignment -- not individually reviewed</t>
        </is>
      </c>
      <c r="K495" s="39" t="inlineStr"/>
      <c r="L495" s="14" t="inlineStr"/>
      <c r="M495" s="14" t="inlineStr"/>
      <c r="N495" s="92" t="inlineStr">
        <is>
          <t>10 EVIDENCE &amp; DECISIONS</t>
        </is>
      </c>
    </row>
    <row r="496" ht="34" customHeight="1">
      <c r="A496" s="34" t="inlineStr">
        <is>
          <t>Contractor Programme</t>
        </is>
      </c>
      <c r="B496" s="34" t="inlineStr">
        <is>
          <t>SCH-02-153</t>
        </is>
      </c>
      <c r="C496" s="34" t="inlineStr">
        <is>
          <t>Civic Station: vertical-transport installation - release</t>
        </is>
      </c>
      <c r="D496" s="34" t="inlineStr">
        <is>
          <t>WBS Code = 1.2.2</t>
        </is>
      </c>
      <c r="E496" s="34" t="inlineStr">
        <is>
          <t>R333-v1</t>
        </is>
      </c>
      <c r="F496" s="34" t="inlineStr">
        <is>
          <t>1.2.2 Stations - Architectural Fit-Out</t>
        </is>
      </c>
      <c r="G496" s="34" t="inlineStr">
        <is>
          <t>ONE_TO_ONE</t>
        </is>
      </c>
      <c r="H496" s="34" t="inlineStr">
        <is>
          <t>APPROVED</t>
        </is>
      </c>
      <c r="I496" s="34" t="inlineStr">
        <is>
          <t>New</t>
        </is>
      </c>
      <c r="J496" s="34" t="inlineStr">
        <is>
          <t>Source assignment -- not individually reviewed</t>
        </is>
      </c>
      <c r="K496" s="39" t="inlineStr"/>
      <c r="L496" s="14" t="inlineStr"/>
      <c r="M496" s="14" t="inlineStr"/>
      <c r="N496" s="92" t="inlineStr">
        <is>
          <t>10 EVIDENCE &amp; DECISIONS</t>
        </is>
      </c>
    </row>
    <row r="497" ht="34" customHeight="1">
      <c r="A497" s="34" t="inlineStr">
        <is>
          <t>Contractor Programme</t>
        </is>
      </c>
      <c r="B497" s="34" t="inlineStr">
        <is>
          <t>SCH-02-156</t>
        </is>
      </c>
      <c r="C497" s="34" t="inlineStr">
        <is>
          <t>Harbour Station: fire-life-safety cabling - inspection</t>
        </is>
      </c>
      <c r="D497" s="34" t="inlineStr">
        <is>
          <t>WBS Code = 1.2.2</t>
        </is>
      </c>
      <c r="E497" s="34" t="inlineStr">
        <is>
          <t>R336-v1</t>
        </is>
      </c>
      <c r="F497" s="34" t="inlineStr">
        <is>
          <t>1.2.2 Stations - Architectural Fit-Out</t>
        </is>
      </c>
      <c r="G497" s="34" t="inlineStr">
        <is>
          <t>ONE_TO_ONE</t>
        </is>
      </c>
      <c r="H497" s="34" t="inlineStr">
        <is>
          <t>APPROVED</t>
        </is>
      </c>
      <c r="I497" s="34" t="inlineStr">
        <is>
          <t>New</t>
        </is>
      </c>
      <c r="J497" s="34" t="inlineStr">
        <is>
          <t>Source assignment -- not individually reviewed</t>
        </is>
      </c>
      <c r="K497" s="39" t="inlineStr"/>
      <c r="L497" s="14" t="inlineStr"/>
      <c r="M497" s="14" t="inlineStr"/>
      <c r="N497" s="92" t="inlineStr">
        <is>
          <t>10 EVIDENCE &amp; DECISIONS</t>
        </is>
      </c>
    </row>
    <row r="498" ht="34" customHeight="1">
      <c r="A498" s="34" t="inlineStr">
        <is>
          <t>Contractor Programme</t>
        </is>
      </c>
      <c r="B498" s="34" t="inlineStr">
        <is>
          <t>SCH-02-159</t>
        </is>
      </c>
      <c r="C498" s="34" t="inlineStr">
        <is>
          <t>University Station: public-realm paving - field start</t>
        </is>
      </c>
      <c r="D498" s="34" t="inlineStr">
        <is>
          <t>WBS Code = 1.2.2</t>
        </is>
      </c>
      <c r="E498" s="34" t="inlineStr">
        <is>
          <t>R339-v1</t>
        </is>
      </c>
      <c r="F498" s="34" t="inlineStr">
        <is>
          <t>1.2.2 Stations - Architectural Fit-Out</t>
        </is>
      </c>
      <c r="G498" s="34" t="inlineStr">
        <is>
          <t>ONE_TO_ONE</t>
        </is>
      </c>
      <c r="H498" s="34" t="inlineStr">
        <is>
          <t>APPROVED</t>
        </is>
      </c>
      <c r="I498" s="34" t="inlineStr">
        <is>
          <t>New</t>
        </is>
      </c>
      <c r="J498" s="34" t="inlineStr">
        <is>
          <t>Source assignment -- not individually reviewed</t>
        </is>
      </c>
      <c r="K498" s="39" t="inlineStr"/>
      <c r="L498" s="14" t="inlineStr"/>
      <c r="M498" s="14" t="inlineStr"/>
      <c r="N498" s="92" t="inlineStr">
        <is>
          <t>10 EVIDENCE &amp; DECISIONS</t>
        </is>
      </c>
    </row>
    <row r="499" ht="34" customHeight="1">
      <c r="A499" s="34" t="inlineStr">
        <is>
          <t>Contractor Programme</t>
        </is>
      </c>
      <c r="B499" s="34" t="inlineStr">
        <is>
          <t>SCH-02-162</t>
        </is>
      </c>
      <c r="C499" s="34" t="inlineStr">
        <is>
          <t>Market Station: platform edge installation - turnover</t>
        </is>
      </c>
      <c r="D499" s="34" t="inlineStr">
        <is>
          <t>WBS Code = 1.2.2</t>
        </is>
      </c>
      <c r="E499" s="34" t="inlineStr">
        <is>
          <t>R342-v1</t>
        </is>
      </c>
      <c r="F499" s="34" t="inlineStr">
        <is>
          <t>1.2.2 Stations - Architectural Fit-Out</t>
        </is>
      </c>
      <c r="G499" s="34" t="inlineStr">
        <is>
          <t>ONE_TO_ONE</t>
        </is>
      </c>
      <c r="H499" s="34" t="inlineStr">
        <is>
          <t>APPROVED</t>
        </is>
      </c>
      <c r="I499" s="34" t="inlineStr">
        <is>
          <t>New</t>
        </is>
      </c>
      <c r="J499" s="34" t="inlineStr">
        <is>
          <t>Source assignment -- not individually reviewed</t>
        </is>
      </c>
      <c r="K499" s="39" t="inlineStr"/>
      <c r="L499" s="14" t="inlineStr"/>
      <c r="M499" s="14" t="inlineStr"/>
      <c r="N499" s="92" t="inlineStr">
        <is>
          <t>10 EVIDENCE &amp; DECISIONS</t>
        </is>
      </c>
    </row>
    <row r="500" ht="34" customHeight="1">
      <c r="A500" s="34" t="inlineStr">
        <is>
          <t>Contractor Programme</t>
        </is>
      </c>
      <c r="B500" s="34" t="inlineStr">
        <is>
          <t>SCH-02-165</t>
        </is>
      </c>
      <c r="C500" s="34" t="inlineStr">
        <is>
          <t>West Terminal: concourse slab pour - installation</t>
        </is>
      </c>
      <c r="D500" s="34" t="inlineStr">
        <is>
          <t>WBS Code = 1.2.2</t>
        </is>
      </c>
      <c r="E500" s="34" t="inlineStr">
        <is>
          <t>R345-v1</t>
        </is>
      </c>
      <c r="F500" s="34" t="inlineStr">
        <is>
          <t>1.2.2 Stations - Architectural Fit-Out</t>
        </is>
      </c>
      <c r="G500" s="34" t="inlineStr">
        <is>
          <t>ONE_TO_ONE</t>
        </is>
      </c>
      <c r="H500" s="34" t="inlineStr">
        <is>
          <t>APPROVED</t>
        </is>
      </c>
      <c r="I500" s="34" t="inlineStr">
        <is>
          <t>New</t>
        </is>
      </c>
      <c r="J500" s="34" t="inlineStr">
        <is>
          <t>Source assignment -- not individually reviewed</t>
        </is>
      </c>
      <c r="K500" s="39" t="inlineStr"/>
      <c r="L500" s="14" t="inlineStr"/>
      <c r="M500" s="14" t="inlineStr"/>
      <c r="N500" s="92" t="inlineStr">
        <is>
          <t>10 EVIDENCE &amp; DECISIONS</t>
        </is>
      </c>
    </row>
    <row r="501" ht="34" customHeight="1">
      <c r="A501" s="34" t="inlineStr">
        <is>
          <t>Contractor Programme</t>
        </is>
      </c>
      <c r="B501" s="34" t="inlineStr">
        <is>
          <t>SCH-02-168</t>
        </is>
      </c>
      <c r="C501" s="34" t="inlineStr">
        <is>
          <t>Civic Station: entrance steel erection - release</t>
        </is>
      </c>
      <c r="D501" s="34" t="inlineStr">
        <is>
          <t>WBS Code = 1.2.2</t>
        </is>
      </c>
      <c r="E501" s="34" t="inlineStr">
        <is>
          <t>R348-v1</t>
        </is>
      </c>
      <c r="F501" s="34" t="inlineStr">
        <is>
          <t>1.2.2 Stations - Architectural Fit-Out</t>
        </is>
      </c>
      <c r="G501" s="34" t="inlineStr">
        <is>
          <t>ONE_TO_ONE</t>
        </is>
      </c>
      <c r="H501" s="34" t="inlineStr">
        <is>
          <t>APPROVED</t>
        </is>
      </c>
      <c r="I501" s="34" t="inlineStr">
        <is>
          <t>New</t>
        </is>
      </c>
      <c r="J501" s="34" t="inlineStr">
        <is>
          <t>Source assignment -- not individually reviewed</t>
        </is>
      </c>
      <c r="K501" s="39" t="inlineStr"/>
      <c r="L501" s="14" t="inlineStr"/>
      <c r="M501" s="14" t="inlineStr"/>
      <c r="N501" s="92" t="inlineStr">
        <is>
          <t>10 EVIDENCE &amp; DECISIONS</t>
        </is>
      </c>
    </row>
    <row r="502" ht="34" customHeight="1">
      <c r="A502" s="34" t="inlineStr">
        <is>
          <t>Contractor Programme</t>
        </is>
      </c>
      <c r="B502" s="34" t="inlineStr">
        <is>
          <t>SCH-02-171</t>
        </is>
      </c>
      <c r="C502" s="34" t="inlineStr">
        <is>
          <t>Harbour Station: architectural wall framing - inspection</t>
        </is>
      </c>
      <c r="D502" s="34" t="inlineStr">
        <is>
          <t>WBS Code = 1.2.2</t>
        </is>
      </c>
      <c r="E502" s="34" t="inlineStr">
        <is>
          <t>R351-v1</t>
        </is>
      </c>
      <c r="F502" s="34" t="inlineStr">
        <is>
          <t>1.2.2 Stations - Architectural Fit-Out</t>
        </is>
      </c>
      <c r="G502" s="34" t="inlineStr">
        <is>
          <t>ONE_TO_ONE</t>
        </is>
      </c>
      <c r="H502" s="34" t="inlineStr">
        <is>
          <t>APPROVED</t>
        </is>
      </c>
      <c r="I502" s="34" t="inlineStr">
        <is>
          <t>New</t>
        </is>
      </c>
      <c r="J502" s="34" t="inlineStr">
        <is>
          <t>Source assignment -- not individually reviewed</t>
        </is>
      </c>
      <c r="K502" s="39" t="inlineStr"/>
      <c r="L502" s="14" t="inlineStr"/>
      <c r="M502" s="14" t="inlineStr"/>
      <c r="N502" s="92" t="inlineStr">
        <is>
          <t>10 EVIDENCE &amp; DECISIONS</t>
        </is>
      </c>
    </row>
    <row r="503" ht="34" customHeight="1">
      <c r="A503" s="34" t="inlineStr">
        <is>
          <t>Contractor Programme</t>
        </is>
      </c>
      <c r="B503" s="34" t="inlineStr">
        <is>
          <t>SCH-02-174</t>
        </is>
      </c>
      <c r="C503" s="34" t="inlineStr">
        <is>
          <t>University Station: station ventilation rough-in - field start</t>
        </is>
      </c>
      <c r="D503" s="34" t="inlineStr">
        <is>
          <t>WBS Code = 1.2.2</t>
        </is>
      </c>
      <c r="E503" s="34" t="inlineStr">
        <is>
          <t>R354-v1</t>
        </is>
      </c>
      <c r="F503" s="34" t="inlineStr">
        <is>
          <t>1.2.2 Stations - Architectural Fit-Out</t>
        </is>
      </c>
      <c r="G503" s="34" t="inlineStr">
        <is>
          <t>ONE_TO_ONE</t>
        </is>
      </c>
      <c r="H503" s="34" t="inlineStr">
        <is>
          <t>APPROVED</t>
        </is>
      </c>
      <c r="I503" s="34" t="inlineStr">
        <is>
          <t>New</t>
        </is>
      </c>
      <c r="J503" s="34" t="inlineStr">
        <is>
          <t>Source assignment -- not individually reviewed</t>
        </is>
      </c>
      <c r="K503" s="39" t="inlineStr"/>
      <c r="L503" s="14" t="inlineStr"/>
      <c r="M503" s="14" t="inlineStr"/>
      <c r="N503" s="92" t="inlineStr">
        <is>
          <t>10 EVIDENCE &amp; DECISIONS</t>
        </is>
      </c>
    </row>
    <row r="504" ht="34" customHeight="1">
      <c r="A504" s="34" t="inlineStr">
        <is>
          <t>Contractor Programme</t>
        </is>
      </c>
      <c r="B504" s="34" t="inlineStr">
        <is>
          <t>SCH-02-177</t>
        </is>
      </c>
      <c r="C504" s="34" t="inlineStr">
        <is>
          <t>Market Station: vertical-transport installation - turnover</t>
        </is>
      </c>
      <c r="D504" s="34" t="inlineStr">
        <is>
          <t>WBS Code = 1.2.2</t>
        </is>
      </c>
      <c r="E504" s="34" t="inlineStr">
        <is>
          <t>R357-v1</t>
        </is>
      </c>
      <c r="F504" s="34" t="inlineStr">
        <is>
          <t>1.2.2 Stations - Architectural Fit-Out</t>
        </is>
      </c>
      <c r="G504" s="34" t="inlineStr">
        <is>
          <t>ONE_TO_ONE</t>
        </is>
      </c>
      <c r="H504" s="34" t="inlineStr">
        <is>
          <t>APPROVED</t>
        </is>
      </c>
      <c r="I504" s="34" t="inlineStr">
        <is>
          <t>New</t>
        </is>
      </c>
      <c r="J504" s="34" t="inlineStr">
        <is>
          <t>Source assignment -- not individually reviewed</t>
        </is>
      </c>
      <c r="K504" s="39" t="inlineStr"/>
      <c r="L504" s="14" t="inlineStr"/>
      <c r="M504" s="14" t="inlineStr"/>
      <c r="N504" s="92" t="inlineStr">
        <is>
          <t>10 EVIDENCE &amp; DECISIONS</t>
        </is>
      </c>
    </row>
    <row r="505" ht="34" customHeight="1">
      <c r="A505" s="34" t="inlineStr">
        <is>
          <t>Contractor Programme</t>
        </is>
      </c>
      <c r="B505" s="34" t="inlineStr">
        <is>
          <t>SCH-02-180</t>
        </is>
      </c>
      <c r="C505" s="34" t="inlineStr">
        <is>
          <t>West Terminal: fire-life-safety cabling - installation</t>
        </is>
      </c>
      <c r="D505" s="34" t="inlineStr">
        <is>
          <t>WBS Code = 1.2.2</t>
        </is>
      </c>
      <c r="E505" s="34" t="inlineStr">
        <is>
          <t>R360-v1</t>
        </is>
      </c>
      <c r="F505" s="34" t="inlineStr">
        <is>
          <t>1.2.2 Stations - Architectural Fit-Out</t>
        </is>
      </c>
      <c r="G505" s="34" t="inlineStr">
        <is>
          <t>ONE_TO_ONE</t>
        </is>
      </c>
      <c r="H505" s="34" t="inlineStr">
        <is>
          <t>APPROVED</t>
        </is>
      </c>
      <c r="I505" s="34" t="inlineStr">
        <is>
          <t>New</t>
        </is>
      </c>
      <c r="J505" s="34" t="inlineStr">
        <is>
          <t>Source assignment -- not individually reviewed</t>
        </is>
      </c>
      <c r="K505" s="39" t="inlineStr"/>
      <c r="L505" s="14" t="inlineStr"/>
      <c r="M505" s="14" t="inlineStr"/>
      <c r="N505" s="92" t="inlineStr">
        <is>
          <t>10 EVIDENCE &amp; DECISIONS</t>
        </is>
      </c>
    </row>
    <row r="506" ht="34" customHeight="1">
      <c r="A506" s="34" t="inlineStr">
        <is>
          <t>Cost &amp; Forecast Control Accounts</t>
        </is>
      </c>
      <c r="B506" s="34" t="inlineStr">
        <is>
          <t>CST-02-002</t>
        </is>
      </c>
      <c r="C506" s="34" t="inlineStr">
        <is>
          <t>Stations - station structure - closeout</t>
        </is>
      </c>
      <c r="D506" s="34" t="inlineStr">
        <is>
          <t>Cost Account = CA-2002; WBS Code = 1.2.2</t>
        </is>
      </c>
      <c r="E506" s="34" t="inlineStr">
        <is>
          <t>R1164-v1</t>
        </is>
      </c>
      <c r="F506" s="34" t="inlineStr">
        <is>
          <t>1.2.2 Stations - Architectural Fit-Out</t>
        </is>
      </c>
      <c r="G506" s="34" t="inlineStr">
        <is>
          <t>ONE_TO_ONE</t>
        </is>
      </c>
      <c r="H506" s="34" t="inlineStr">
        <is>
          <t>APPROVED</t>
        </is>
      </c>
      <c r="I506" s="34" t="inlineStr">
        <is>
          <t>New</t>
        </is>
      </c>
      <c r="J506" s="34" t="inlineStr">
        <is>
          <t>Source assignment -- not individually reviewed</t>
        </is>
      </c>
      <c r="K506" s="39" t="inlineStr"/>
      <c r="L506" s="14" t="inlineStr"/>
      <c r="M506" s="14" t="inlineStr"/>
      <c r="N506" s="92" t="inlineStr">
        <is>
          <t>10 EVIDENCE &amp; DECISIONS</t>
        </is>
      </c>
    </row>
    <row r="507" ht="34" customHeight="1">
      <c r="A507" s="34" t="inlineStr">
        <is>
          <t>Cost &amp; Forecast Control Accounts</t>
        </is>
      </c>
      <c r="B507" s="34" t="inlineStr">
        <is>
          <t>CST-02-004</t>
        </is>
      </c>
      <c r="C507" s="34" t="inlineStr">
        <is>
          <t>Stations - public realm - supply and install</t>
        </is>
      </c>
      <c r="D507" s="34" t="inlineStr">
        <is>
          <t>Cost Account = CA-2004; WBS Code = 1.2.2</t>
        </is>
      </c>
      <c r="E507" s="34" t="inlineStr">
        <is>
          <t>R1166-v1</t>
        </is>
      </c>
      <c r="F507" s="34" t="inlineStr">
        <is>
          <t>1.2.2 Stations - Architectural Fit-Out</t>
        </is>
      </c>
      <c r="G507" s="34" t="inlineStr">
        <is>
          <t>ONE_TO_ONE</t>
        </is>
      </c>
      <c r="H507" s="34" t="inlineStr">
        <is>
          <t>APPROVED</t>
        </is>
      </c>
      <c r="I507" s="34" t="inlineStr">
        <is>
          <t>New</t>
        </is>
      </c>
      <c r="J507" s="34" t="inlineStr">
        <is>
          <t>Source assignment -- not individually reviewed</t>
        </is>
      </c>
      <c r="K507" s="39" t="inlineStr"/>
      <c r="L507" s="14" t="inlineStr"/>
      <c r="M507" s="14" t="inlineStr"/>
      <c r="N507" s="92" t="inlineStr">
        <is>
          <t>10 EVIDENCE &amp; DECISIONS</t>
        </is>
      </c>
    </row>
    <row r="508" ht="34" customHeight="1">
      <c r="A508" s="34" t="inlineStr">
        <is>
          <t>Cost &amp; Forecast Control Accounts</t>
        </is>
      </c>
      <c r="B508" s="34" t="inlineStr">
        <is>
          <t>CST-02-006</t>
        </is>
      </c>
      <c r="C508" s="34" t="inlineStr">
        <is>
          <t>Stations - building services - allowance</t>
        </is>
      </c>
      <c r="D508" s="34" t="inlineStr">
        <is>
          <t>Cost Account = CA-2006; WBS Code = 1.2.2</t>
        </is>
      </c>
      <c r="E508" s="34" t="inlineStr">
        <is>
          <t>R1168-v1</t>
        </is>
      </c>
      <c r="F508" s="34" t="inlineStr">
        <is>
          <t>1.2.2 Stations - Architectural Fit-Out</t>
        </is>
      </c>
      <c r="G508" s="34" t="inlineStr">
        <is>
          <t>ONE_TO_ONE</t>
        </is>
      </c>
      <c r="H508" s="34" t="inlineStr">
        <is>
          <t>APPROVED</t>
        </is>
      </c>
      <c r="I508" s="34" t="inlineStr">
        <is>
          <t>New</t>
        </is>
      </c>
      <c r="J508" s="34" t="inlineStr">
        <is>
          <t>Source assignment -- not individually reviewed</t>
        </is>
      </c>
      <c r="K508" s="39" t="inlineStr"/>
      <c r="L508" s="14" t="inlineStr"/>
      <c r="M508" s="14" t="inlineStr"/>
      <c r="N508" s="92" t="inlineStr">
        <is>
          <t>10 EVIDENCE &amp; DECISIONS</t>
        </is>
      </c>
    </row>
    <row r="509" ht="34" customHeight="1">
      <c r="A509" s="34" t="inlineStr">
        <is>
          <t>Cost &amp; Forecast Control Accounts</t>
        </is>
      </c>
      <c r="B509" s="34" t="inlineStr">
        <is>
          <t>CST-02-008</t>
        </is>
      </c>
      <c r="C509" s="34" t="inlineStr">
        <is>
          <t>Stations - station structure - field package</t>
        </is>
      </c>
      <c r="D509" s="34" t="inlineStr">
        <is>
          <t>Cost Account = CA-2008; WBS Code = 1.2.2</t>
        </is>
      </c>
      <c r="E509" s="34" t="inlineStr">
        <is>
          <t>R1170-v1</t>
        </is>
      </c>
      <c r="F509" s="34" t="inlineStr">
        <is>
          <t>1.2.2 Stations - Architectural Fit-Out</t>
        </is>
      </c>
      <c r="G509" s="34" t="inlineStr">
        <is>
          <t>ONE_TO_ONE</t>
        </is>
      </c>
      <c r="H509" s="34" t="inlineStr">
        <is>
          <t>APPROVED</t>
        </is>
      </c>
      <c r="I509" s="34" t="inlineStr">
        <is>
          <t>New</t>
        </is>
      </c>
      <c r="J509" s="34" t="inlineStr">
        <is>
          <t>Source assignment -- not individually reviewed</t>
        </is>
      </c>
      <c r="K509" s="39" t="inlineStr"/>
      <c r="L509" s="14" t="inlineStr"/>
      <c r="M509" s="14" t="inlineStr"/>
      <c r="N509" s="92" t="inlineStr">
        <is>
          <t>10 EVIDENCE &amp; DECISIONS</t>
        </is>
      </c>
    </row>
    <row r="510" ht="34" customHeight="1">
      <c r="A510" s="34" t="inlineStr">
        <is>
          <t>Cost &amp; Forecast Control Accounts</t>
        </is>
      </c>
      <c r="B510" s="34" t="inlineStr">
        <is>
          <t>CST-02-010</t>
        </is>
      </c>
      <c r="C510" s="34" t="inlineStr">
        <is>
          <t>Stations - public realm - professional services</t>
        </is>
      </c>
      <c r="D510" s="34" t="inlineStr">
        <is>
          <t>Cost Account = CA-2010; WBS Code = 1.2.2</t>
        </is>
      </c>
      <c r="E510" s="34" t="inlineStr">
        <is>
          <t>R1172-v1</t>
        </is>
      </c>
      <c r="F510" s="34" t="inlineStr">
        <is>
          <t>1.2.2 Stations - Architectural Fit-Out</t>
        </is>
      </c>
      <c r="G510" s="34" t="inlineStr">
        <is>
          <t>ONE_TO_ONE</t>
        </is>
      </c>
      <c r="H510" s="34" t="inlineStr">
        <is>
          <t>APPROVED</t>
        </is>
      </c>
      <c r="I510" s="34" t="inlineStr">
        <is>
          <t>New</t>
        </is>
      </c>
      <c r="J510" s="34" t="inlineStr">
        <is>
          <t>Source assignment -- not individually reviewed</t>
        </is>
      </c>
      <c r="K510" s="39" t="inlineStr"/>
      <c r="L510" s="14" t="inlineStr"/>
      <c r="M510" s="14" t="inlineStr"/>
      <c r="N510" s="92" t="inlineStr">
        <is>
          <t>10 EVIDENCE &amp; DECISIONS</t>
        </is>
      </c>
    </row>
    <row r="511" ht="34" customHeight="1">
      <c r="A511" s="34" t="inlineStr">
        <is>
          <t>Cost &amp; Forecast Control Accounts</t>
        </is>
      </c>
      <c r="B511" s="34" t="inlineStr">
        <is>
          <t>CST-02-012</t>
        </is>
      </c>
      <c r="C511" s="34" t="inlineStr">
        <is>
          <t>Stations - building services - closeout</t>
        </is>
      </c>
      <c r="D511" s="34" t="inlineStr">
        <is>
          <t>Cost Account = CA-2012; WBS Code = 1.2.2</t>
        </is>
      </c>
      <c r="E511" s="34" t="inlineStr">
        <is>
          <t>R1174-v1</t>
        </is>
      </c>
      <c r="F511" s="34" t="inlineStr">
        <is>
          <t>1.2.2 Stations - Architectural Fit-Out</t>
        </is>
      </c>
      <c r="G511" s="34" t="inlineStr">
        <is>
          <t>ONE_TO_ONE</t>
        </is>
      </c>
      <c r="H511" s="34" t="inlineStr">
        <is>
          <t>APPROVED</t>
        </is>
      </c>
      <c r="I511" s="34" t="inlineStr">
        <is>
          <t>New</t>
        </is>
      </c>
      <c r="J511" s="34" t="inlineStr">
        <is>
          <t>Source assignment -- not individually reviewed</t>
        </is>
      </c>
      <c r="K511" s="39" t="inlineStr"/>
      <c r="L511" s="14" t="inlineStr"/>
      <c r="M511" s="14" t="inlineStr"/>
      <c r="N511" s="92" t="inlineStr">
        <is>
          <t>10 EVIDENCE &amp; DECISIONS</t>
        </is>
      </c>
    </row>
    <row r="512" ht="34" customHeight="1">
      <c r="A512" s="34" t="inlineStr">
        <is>
          <t>Cost &amp; Forecast Control Accounts</t>
        </is>
      </c>
      <c r="B512" s="34" t="inlineStr">
        <is>
          <t>CST-02-014</t>
        </is>
      </c>
      <c r="C512" s="34" t="inlineStr">
        <is>
          <t>Stations - station structure - supply and install</t>
        </is>
      </c>
      <c r="D512" s="34" t="inlineStr">
        <is>
          <t>Cost Account = CA-2014; WBS Code = 1.2.2</t>
        </is>
      </c>
      <c r="E512" s="34" t="inlineStr">
        <is>
          <t>R1176-v1</t>
        </is>
      </c>
      <c r="F512" s="34" t="inlineStr">
        <is>
          <t>1.2.2 Stations - Architectural Fit-Out</t>
        </is>
      </c>
      <c r="G512" s="34" t="inlineStr">
        <is>
          <t>ONE_TO_ONE</t>
        </is>
      </c>
      <c r="H512" s="34" t="inlineStr">
        <is>
          <t>APPROVED</t>
        </is>
      </c>
      <c r="I512" s="34" t="inlineStr">
        <is>
          <t>New</t>
        </is>
      </c>
      <c r="J512" s="34" t="inlineStr">
        <is>
          <t>Source assignment -- not individually reviewed</t>
        </is>
      </c>
      <c r="K512" s="39" t="inlineStr"/>
      <c r="L512" s="14" t="inlineStr"/>
      <c r="M512" s="14" t="inlineStr"/>
      <c r="N512" s="92" t="inlineStr">
        <is>
          <t>10 EVIDENCE &amp; DECISIONS</t>
        </is>
      </c>
    </row>
    <row r="513" ht="34" customHeight="1">
      <c r="A513" s="34" t="inlineStr">
        <is>
          <t>Cost &amp; Forecast Control Accounts</t>
        </is>
      </c>
      <c r="B513" s="34" t="inlineStr">
        <is>
          <t>CST-02-016</t>
        </is>
      </c>
      <c r="C513" s="34" t="inlineStr">
        <is>
          <t>Stations - public realm - allowance</t>
        </is>
      </c>
      <c r="D513" s="34" t="inlineStr">
        <is>
          <t>Cost Account = CA-2016; WBS Code = 1.2.2</t>
        </is>
      </c>
      <c r="E513" s="34" t="inlineStr">
        <is>
          <t>R1178-v1</t>
        </is>
      </c>
      <c r="F513" s="34" t="inlineStr">
        <is>
          <t>1.2.2 Stations - Architectural Fit-Out</t>
        </is>
      </c>
      <c r="G513" s="34" t="inlineStr">
        <is>
          <t>ONE_TO_ONE</t>
        </is>
      </c>
      <c r="H513" s="34" t="inlineStr">
        <is>
          <t>APPROVED</t>
        </is>
      </c>
      <c r="I513" s="34" t="inlineStr">
        <is>
          <t>New</t>
        </is>
      </c>
      <c r="J513" s="34" t="inlineStr">
        <is>
          <t>Source assignment -- not individually reviewed</t>
        </is>
      </c>
      <c r="K513" s="39" t="inlineStr"/>
      <c r="L513" s="14" t="inlineStr"/>
      <c r="M513" s="14" t="inlineStr"/>
      <c r="N513" s="92" t="inlineStr">
        <is>
          <t>10 EVIDENCE &amp; DECISIONS</t>
        </is>
      </c>
    </row>
    <row r="514" ht="34" customHeight="1">
      <c r="A514" s="34" t="inlineStr">
        <is>
          <t>Cost &amp; Forecast Control Accounts</t>
        </is>
      </c>
      <c r="B514" s="34" t="inlineStr">
        <is>
          <t>CST-02-018</t>
        </is>
      </c>
      <c r="C514" s="34" t="inlineStr">
        <is>
          <t>Stations - building services - field package</t>
        </is>
      </c>
      <c r="D514" s="34" t="inlineStr">
        <is>
          <t>Cost Account = CA-2018; WBS Code = 1.2.2</t>
        </is>
      </c>
      <c r="E514" s="34" t="inlineStr">
        <is>
          <t>R1180-v1</t>
        </is>
      </c>
      <c r="F514" s="34" t="inlineStr">
        <is>
          <t>1.2.2 Stations - Architectural Fit-Out</t>
        </is>
      </c>
      <c r="G514" s="34" t="inlineStr">
        <is>
          <t>ONE_TO_ONE</t>
        </is>
      </c>
      <c r="H514" s="34" t="inlineStr">
        <is>
          <t>APPROVED</t>
        </is>
      </c>
      <c r="I514" s="34" t="inlineStr">
        <is>
          <t>New</t>
        </is>
      </c>
      <c r="J514" s="34" t="inlineStr">
        <is>
          <t>Source assignment -- not individually reviewed</t>
        </is>
      </c>
      <c r="K514" s="39" t="inlineStr"/>
      <c r="L514" s="14" t="inlineStr"/>
      <c r="M514" s="14" t="inlineStr"/>
      <c r="N514" s="92" t="inlineStr">
        <is>
          <t>10 EVIDENCE &amp; DECISIONS</t>
        </is>
      </c>
    </row>
    <row r="515" ht="34" customHeight="1">
      <c r="A515" s="34" t="inlineStr">
        <is>
          <t>Cost &amp; Forecast Control Accounts</t>
        </is>
      </c>
      <c r="B515" s="34" t="inlineStr">
        <is>
          <t>CST-02-020</t>
        </is>
      </c>
      <c r="C515" s="34" t="inlineStr">
        <is>
          <t>Stations - station structure - professional services</t>
        </is>
      </c>
      <c r="D515" s="34" t="inlineStr">
        <is>
          <t>Cost Account = CA-2020; WBS Code = 1.2.2</t>
        </is>
      </c>
      <c r="E515" s="34" t="inlineStr">
        <is>
          <t>R1182-v1</t>
        </is>
      </c>
      <c r="F515" s="34" t="inlineStr">
        <is>
          <t>1.2.2 Stations - Architectural Fit-Out</t>
        </is>
      </c>
      <c r="G515" s="34" t="inlineStr">
        <is>
          <t>ONE_TO_ONE</t>
        </is>
      </c>
      <c r="H515" s="34" t="inlineStr">
        <is>
          <t>APPROVED</t>
        </is>
      </c>
      <c r="I515" s="34" t="inlineStr">
        <is>
          <t>New</t>
        </is>
      </c>
      <c r="J515" s="34" t="inlineStr">
        <is>
          <t>Source assignment -- not individually reviewed</t>
        </is>
      </c>
      <c r="K515" s="39" t="inlineStr"/>
      <c r="L515" s="14" t="inlineStr"/>
      <c r="M515" s="14" t="inlineStr"/>
      <c r="N515" s="92" t="inlineStr">
        <is>
          <t>10 EVIDENCE &amp; DECISIONS</t>
        </is>
      </c>
    </row>
    <row r="516" ht="34" customHeight="1">
      <c r="A516" s="34" t="inlineStr">
        <is>
          <t>Cost &amp; Forecast Control Accounts</t>
        </is>
      </c>
      <c r="B516" s="34" t="inlineStr">
        <is>
          <t>CST-02-022</t>
        </is>
      </c>
      <c r="C516" s="34" t="inlineStr">
        <is>
          <t>Stations - public realm - closeout</t>
        </is>
      </c>
      <c r="D516" s="34" t="inlineStr">
        <is>
          <t>Cost Account = CA-2022; WBS Code = 1.2.2</t>
        </is>
      </c>
      <c r="E516" s="34" t="inlineStr">
        <is>
          <t>R1184-v1</t>
        </is>
      </c>
      <c r="F516" s="34" t="inlineStr">
        <is>
          <t>1.2.2 Stations - Architectural Fit-Out</t>
        </is>
      </c>
      <c r="G516" s="34" t="inlineStr">
        <is>
          <t>ONE_TO_ONE</t>
        </is>
      </c>
      <c r="H516" s="34" t="inlineStr">
        <is>
          <t>APPROVED</t>
        </is>
      </c>
      <c r="I516" s="34" t="inlineStr">
        <is>
          <t>New</t>
        </is>
      </c>
      <c r="J516" s="34" t="inlineStr">
        <is>
          <t>Source assignment -- not individually reviewed</t>
        </is>
      </c>
      <c r="K516" s="39" t="inlineStr"/>
      <c r="L516" s="14" t="inlineStr"/>
      <c r="M516" s="14" t="inlineStr"/>
      <c r="N516" s="92" t="inlineStr">
        <is>
          <t>10 EVIDENCE &amp; DECISIONS</t>
        </is>
      </c>
    </row>
    <row r="517" ht="34" customHeight="1">
      <c r="A517" s="34" t="inlineStr">
        <is>
          <t>Cost &amp; Forecast Control Accounts</t>
        </is>
      </c>
      <c r="B517" s="34" t="inlineStr">
        <is>
          <t>CST-02-024</t>
        </is>
      </c>
      <c r="C517" s="34" t="inlineStr">
        <is>
          <t>Stations - building services - supply and install</t>
        </is>
      </c>
      <c r="D517" s="34" t="inlineStr">
        <is>
          <t>Cost Account = CA-2024; WBS Code = 1.2.2</t>
        </is>
      </c>
      <c r="E517" s="34" t="inlineStr">
        <is>
          <t>R1186-v1</t>
        </is>
      </c>
      <c r="F517" s="34" t="inlineStr">
        <is>
          <t>1.2.2 Stations - Architectural Fit-Out</t>
        </is>
      </c>
      <c r="G517" s="34" t="inlineStr">
        <is>
          <t>ONE_TO_ONE</t>
        </is>
      </c>
      <c r="H517" s="34" t="inlineStr">
        <is>
          <t>APPROVED</t>
        </is>
      </c>
      <c r="I517" s="34" t="inlineStr">
        <is>
          <t>New</t>
        </is>
      </c>
      <c r="J517" s="34" t="inlineStr">
        <is>
          <t>Source assignment -- not individually reviewed</t>
        </is>
      </c>
      <c r="K517" s="39" t="inlineStr"/>
      <c r="L517" s="14" t="inlineStr"/>
      <c r="M517" s="14" t="inlineStr"/>
      <c r="N517" s="92" t="inlineStr">
        <is>
          <t>10 EVIDENCE &amp; DECISIONS</t>
        </is>
      </c>
    </row>
    <row r="518" ht="34" customHeight="1">
      <c r="A518" s="34" t="inlineStr">
        <is>
          <t>Cost &amp; Forecast Control Accounts</t>
        </is>
      </c>
      <c r="B518" s="34" t="inlineStr">
        <is>
          <t>CST-02-026</t>
        </is>
      </c>
      <c r="C518" s="34" t="inlineStr">
        <is>
          <t>Stations - station structure - allowance</t>
        </is>
      </c>
      <c r="D518" s="34" t="inlineStr">
        <is>
          <t>Cost Account = CA-2026; WBS Code = 1.2.2</t>
        </is>
      </c>
      <c r="E518" s="34" t="inlineStr">
        <is>
          <t>R1188-v1</t>
        </is>
      </c>
      <c r="F518" s="34" t="inlineStr">
        <is>
          <t>1.2.2 Stations - Architectural Fit-Out</t>
        </is>
      </c>
      <c r="G518" s="34" t="inlineStr">
        <is>
          <t>ONE_TO_ONE</t>
        </is>
      </c>
      <c r="H518" s="34" t="inlineStr">
        <is>
          <t>APPROVED</t>
        </is>
      </c>
      <c r="I518" s="34" t="inlineStr">
        <is>
          <t>New</t>
        </is>
      </c>
      <c r="J518" s="34" t="inlineStr">
        <is>
          <t>Source assignment -- not individually reviewed</t>
        </is>
      </c>
      <c r="K518" s="39" t="inlineStr"/>
      <c r="L518" s="14" t="inlineStr"/>
      <c r="M518" s="14" t="inlineStr"/>
      <c r="N518" s="92" t="inlineStr">
        <is>
          <t>10 EVIDENCE &amp; DECISIONS</t>
        </is>
      </c>
    </row>
    <row r="519" ht="34" customHeight="1">
      <c r="A519" s="34" t="inlineStr">
        <is>
          <t>Cost &amp; Forecast Control Accounts</t>
        </is>
      </c>
      <c r="B519" s="34" t="inlineStr">
        <is>
          <t>CST-02-028</t>
        </is>
      </c>
      <c r="C519" s="34" t="inlineStr">
        <is>
          <t>Stations - public realm - field package</t>
        </is>
      </c>
      <c r="D519" s="34" t="inlineStr">
        <is>
          <t>Cost Account = CA-2028; WBS Code = 1.2.2</t>
        </is>
      </c>
      <c r="E519" s="34" t="inlineStr">
        <is>
          <t>R1190-v1</t>
        </is>
      </c>
      <c r="F519" s="34" t="inlineStr">
        <is>
          <t>1.2.2 Stations - Architectural Fit-Out</t>
        </is>
      </c>
      <c r="G519" s="34" t="inlineStr">
        <is>
          <t>ONE_TO_ONE</t>
        </is>
      </c>
      <c r="H519" s="34" t="inlineStr">
        <is>
          <t>APPROVED</t>
        </is>
      </c>
      <c r="I519" s="34" t="inlineStr">
        <is>
          <t>New</t>
        </is>
      </c>
      <c r="J519" s="34" t="inlineStr">
        <is>
          <t>Source assignment -- not individually reviewed</t>
        </is>
      </c>
      <c r="K519" s="39" t="inlineStr"/>
      <c r="L519" s="14" t="inlineStr"/>
      <c r="M519" s="14" t="inlineStr"/>
      <c r="N519" s="92" t="inlineStr">
        <is>
          <t>10 EVIDENCE &amp; DECISIONS</t>
        </is>
      </c>
    </row>
    <row r="520" ht="34" customHeight="1">
      <c r="A520" s="34" t="inlineStr">
        <is>
          <t>Cost &amp; Forecast Control Accounts</t>
        </is>
      </c>
      <c r="B520" s="34" t="inlineStr">
        <is>
          <t>CST-02-030</t>
        </is>
      </c>
      <c r="C520" s="34" t="inlineStr">
        <is>
          <t>Stations - building services - professional services</t>
        </is>
      </c>
      <c r="D520" s="34" t="inlineStr">
        <is>
          <t>Cost Account = CA-2030; WBS Code = 1.2.2</t>
        </is>
      </c>
      <c r="E520" s="34" t="inlineStr">
        <is>
          <t>R1192-v1</t>
        </is>
      </c>
      <c r="F520" s="34" t="inlineStr">
        <is>
          <t>1.2.2 Stations - Architectural Fit-Out</t>
        </is>
      </c>
      <c r="G520" s="34" t="inlineStr">
        <is>
          <t>ONE_TO_ONE</t>
        </is>
      </c>
      <c r="H520" s="34" t="inlineStr">
        <is>
          <t>APPROVED</t>
        </is>
      </c>
      <c r="I520" s="34" t="inlineStr">
        <is>
          <t>New</t>
        </is>
      </c>
      <c r="J520" s="34" t="inlineStr">
        <is>
          <t>Source assignment -- not individually reviewed</t>
        </is>
      </c>
      <c r="K520" s="39" t="inlineStr"/>
      <c r="L520" s="14" t="inlineStr"/>
      <c r="M520" s="14" t="inlineStr"/>
      <c r="N520" s="92" t="inlineStr">
        <is>
          <t>10 EVIDENCE &amp; DECISIONS</t>
        </is>
      </c>
    </row>
    <row r="521" ht="34" customHeight="1">
      <c r="A521" s="34" t="inlineStr">
        <is>
          <t>Cost &amp; Forecast Control Accounts</t>
        </is>
      </c>
      <c r="B521" s="34" t="inlineStr">
        <is>
          <t>CST-02-032</t>
        </is>
      </c>
      <c r="C521" s="34" t="inlineStr">
        <is>
          <t>Stations - station structure - closeout</t>
        </is>
      </c>
      <c r="D521" s="34" t="inlineStr">
        <is>
          <t>Cost Account = CA-2032; WBS Code = 1.2.2</t>
        </is>
      </c>
      <c r="E521" s="34" t="inlineStr">
        <is>
          <t>R1194-v1</t>
        </is>
      </c>
      <c r="F521" s="34" t="inlineStr">
        <is>
          <t>1.2.2 Stations - Architectural Fit-Out</t>
        </is>
      </c>
      <c r="G521" s="34" t="inlineStr">
        <is>
          <t>ONE_TO_ONE</t>
        </is>
      </c>
      <c r="H521" s="34" t="inlineStr">
        <is>
          <t>APPROVED</t>
        </is>
      </c>
      <c r="I521" s="34" t="inlineStr">
        <is>
          <t>New</t>
        </is>
      </c>
      <c r="J521" s="34" t="inlineStr">
        <is>
          <t>Source assignment -- not individually reviewed</t>
        </is>
      </c>
      <c r="K521" s="39" t="inlineStr"/>
      <c r="L521" s="14" t="inlineStr"/>
      <c r="M521" s="14" t="inlineStr"/>
      <c r="N521" s="92" t="inlineStr">
        <is>
          <t>10 EVIDENCE &amp; DECISIONS</t>
        </is>
      </c>
    </row>
    <row r="522" ht="34" customHeight="1">
      <c r="A522" s="34" t="inlineStr">
        <is>
          <t>Cost &amp; Forecast Control Accounts</t>
        </is>
      </c>
      <c r="B522" s="34" t="inlineStr">
        <is>
          <t>CST-02-034</t>
        </is>
      </c>
      <c r="C522" s="34" t="inlineStr">
        <is>
          <t>Stations - public realm - supply and install</t>
        </is>
      </c>
      <c r="D522" s="34" t="inlineStr">
        <is>
          <t>Cost Account = CA-2034; WBS Code = 1.2.2</t>
        </is>
      </c>
      <c r="E522" s="34" t="inlineStr">
        <is>
          <t>R1196-v1</t>
        </is>
      </c>
      <c r="F522" s="34" t="inlineStr">
        <is>
          <t>1.2.2 Stations - Architectural Fit-Out</t>
        </is>
      </c>
      <c r="G522" s="34" t="inlineStr">
        <is>
          <t>ONE_TO_ONE</t>
        </is>
      </c>
      <c r="H522" s="34" t="inlineStr">
        <is>
          <t>APPROVED</t>
        </is>
      </c>
      <c r="I522" s="34" t="inlineStr">
        <is>
          <t>New</t>
        </is>
      </c>
      <c r="J522" s="34" t="inlineStr">
        <is>
          <t>Source assignment -- not individually reviewed</t>
        </is>
      </c>
      <c r="K522" s="39" t="inlineStr"/>
      <c r="L522" s="14" t="inlineStr"/>
      <c r="M522" s="14" t="inlineStr"/>
      <c r="N522" s="92" t="inlineStr">
        <is>
          <t>10 EVIDENCE &amp; DECISIONS</t>
        </is>
      </c>
    </row>
    <row r="523" ht="34" customHeight="1">
      <c r="A523" s="34" t="inlineStr">
        <is>
          <t>Cost &amp; Forecast Control Accounts</t>
        </is>
      </c>
      <c r="B523" s="34" t="inlineStr">
        <is>
          <t>CST-02-036</t>
        </is>
      </c>
      <c r="C523" s="34" t="inlineStr">
        <is>
          <t>Stations - building services - allowance</t>
        </is>
      </c>
      <c r="D523" s="34" t="inlineStr">
        <is>
          <t>Cost Account = CA-2036; WBS Code = 1.2.2</t>
        </is>
      </c>
      <c r="E523" s="34" t="inlineStr">
        <is>
          <t>R1198-v1</t>
        </is>
      </c>
      <c r="F523" s="34" t="inlineStr">
        <is>
          <t>1.2.2 Stations - Architectural Fit-Out</t>
        </is>
      </c>
      <c r="G523" s="34" t="inlineStr">
        <is>
          <t>ONE_TO_ONE</t>
        </is>
      </c>
      <c r="H523" s="34" t="inlineStr">
        <is>
          <t>APPROVED</t>
        </is>
      </c>
      <c r="I523" s="34" t="inlineStr">
        <is>
          <t>New</t>
        </is>
      </c>
      <c r="J523" s="34" t="inlineStr">
        <is>
          <t>Source assignment -- not individually reviewed</t>
        </is>
      </c>
      <c r="K523" s="39" t="inlineStr"/>
      <c r="L523" s="14" t="inlineStr"/>
      <c r="M523" s="14" t="inlineStr"/>
      <c r="N523" s="92" t="inlineStr">
        <is>
          <t>10 EVIDENCE &amp; DECISIONS</t>
        </is>
      </c>
    </row>
    <row r="524" ht="34" customHeight="1">
      <c r="A524" s="34" t="inlineStr">
        <is>
          <t>Cost &amp; Forecast Control Accounts</t>
        </is>
      </c>
      <c r="B524" s="34" t="inlineStr">
        <is>
          <t>CST-02-038</t>
        </is>
      </c>
      <c r="C524" s="34" t="inlineStr">
        <is>
          <t>Stations - station structure - field package</t>
        </is>
      </c>
      <c r="D524" s="34" t="inlineStr">
        <is>
          <t>Cost Account = CA-2038; WBS Code = 1.2.2</t>
        </is>
      </c>
      <c r="E524" s="34" t="inlineStr">
        <is>
          <t>R1200-v1</t>
        </is>
      </c>
      <c r="F524" s="34" t="inlineStr">
        <is>
          <t>1.2.2 Stations - Architectural Fit-Out</t>
        </is>
      </c>
      <c r="G524" s="34" t="inlineStr">
        <is>
          <t>ONE_TO_ONE</t>
        </is>
      </c>
      <c r="H524" s="34" t="inlineStr">
        <is>
          <t>APPROVED</t>
        </is>
      </c>
      <c r="I524" s="34" t="inlineStr">
        <is>
          <t>New</t>
        </is>
      </c>
      <c r="J524" s="34" t="inlineStr">
        <is>
          <t>Source assignment -- not individually reviewed</t>
        </is>
      </c>
      <c r="K524" s="39" t="inlineStr"/>
      <c r="L524" s="14" t="inlineStr"/>
      <c r="M524" s="14" t="inlineStr"/>
      <c r="N524" s="92" t="inlineStr">
        <is>
          <t>10 EVIDENCE &amp; DECISIONS</t>
        </is>
      </c>
    </row>
    <row r="525" ht="34" customHeight="1">
      <c r="A525" s="34" t="inlineStr">
        <is>
          <t>Cost &amp; Forecast Control Accounts</t>
        </is>
      </c>
      <c r="B525" s="34" t="inlineStr">
        <is>
          <t>CST-02-040</t>
        </is>
      </c>
      <c r="C525" s="34" t="inlineStr">
        <is>
          <t>Stations - public realm - professional services</t>
        </is>
      </c>
      <c r="D525" s="34" t="inlineStr">
        <is>
          <t>Cost Account = CA-2040; WBS Code = 1.2.2</t>
        </is>
      </c>
      <c r="E525" s="34" t="inlineStr">
        <is>
          <t>R1202-v1</t>
        </is>
      </c>
      <c r="F525" s="34" t="inlineStr">
        <is>
          <t>1.2.2 Stations - Architectural Fit-Out</t>
        </is>
      </c>
      <c r="G525" s="34" t="inlineStr">
        <is>
          <t>ONE_TO_ONE</t>
        </is>
      </c>
      <c r="H525" s="34" t="inlineStr">
        <is>
          <t>APPROVED</t>
        </is>
      </c>
      <c r="I525" s="34" t="inlineStr">
        <is>
          <t>New</t>
        </is>
      </c>
      <c r="J525" s="34" t="inlineStr">
        <is>
          <t>Source assignment -- not individually reviewed</t>
        </is>
      </c>
      <c r="K525" s="39" t="inlineStr"/>
      <c r="L525" s="14" t="inlineStr"/>
      <c r="M525" s="14" t="inlineStr"/>
      <c r="N525" s="92" t="inlineStr">
        <is>
          <t>10 EVIDENCE &amp; DECISIONS</t>
        </is>
      </c>
    </row>
    <row r="526" ht="34" customHeight="1">
      <c r="A526" s="34" t="inlineStr">
        <is>
          <t>Cost &amp; Forecast Control Accounts</t>
        </is>
      </c>
      <c r="B526" s="34" t="inlineStr">
        <is>
          <t>CST-02-042</t>
        </is>
      </c>
      <c r="C526" s="34" t="inlineStr">
        <is>
          <t>Stations - building services - closeout</t>
        </is>
      </c>
      <c r="D526" s="34" t="inlineStr">
        <is>
          <t>Cost Account = CA-2042; WBS Code = 1.2.2</t>
        </is>
      </c>
      <c r="E526" s="34" t="inlineStr">
        <is>
          <t>R1204-v1</t>
        </is>
      </c>
      <c r="F526" s="34" t="inlineStr">
        <is>
          <t>1.2.2 Stations - Architectural Fit-Out</t>
        </is>
      </c>
      <c r="G526" s="34" t="inlineStr">
        <is>
          <t>ONE_TO_ONE</t>
        </is>
      </c>
      <c r="H526" s="34" t="inlineStr">
        <is>
          <t>APPROVED</t>
        </is>
      </c>
      <c r="I526" s="34" t="inlineStr">
        <is>
          <t>New</t>
        </is>
      </c>
      <c r="J526" s="34" t="inlineStr">
        <is>
          <t>Source assignment -- not individually reviewed</t>
        </is>
      </c>
      <c r="K526" s="39" t="inlineStr"/>
      <c r="L526" s="14" t="inlineStr"/>
      <c r="M526" s="14" t="inlineStr"/>
      <c r="N526" s="92" t="inlineStr">
        <is>
          <t>10 EVIDENCE &amp; DECISIONS</t>
        </is>
      </c>
    </row>
    <row r="527" ht="34" customHeight="1">
      <c r="A527" s="34" t="inlineStr">
        <is>
          <t>Cost &amp; Forecast Control Accounts</t>
        </is>
      </c>
      <c r="B527" s="34" t="inlineStr">
        <is>
          <t>CST-02-044</t>
        </is>
      </c>
      <c r="C527" s="34" t="inlineStr">
        <is>
          <t>Stations - station structure - supply and install</t>
        </is>
      </c>
      <c r="D527" s="34" t="inlineStr">
        <is>
          <t>Cost Account = CA-2044; WBS Code = 1.2.2</t>
        </is>
      </c>
      <c r="E527" s="34" t="inlineStr">
        <is>
          <t>R1206-v1</t>
        </is>
      </c>
      <c r="F527" s="34" t="inlineStr">
        <is>
          <t>1.2.2 Stations - Architectural Fit-Out</t>
        </is>
      </c>
      <c r="G527" s="34" t="inlineStr">
        <is>
          <t>ONE_TO_ONE</t>
        </is>
      </c>
      <c r="H527" s="34" t="inlineStr">
        <is>
          <t>APPROVED</t>
        </is>
      </c>
      <c r="I527" s="34" t="inlineStr">
        <is>
          <t>New</t>
        </is>
      </c>
      <c r="J527" s="34" t="inlineStr">
        <is>
          <t>Source assignment -- not individually reviewed</t>
        </is>
      </c>
      <c r="K527" s="39" t="inlineStr"/>
      <c r="L527" s="14" t="inlineStr"/>
      <c r="M527" s="14" t="inlineStr"/>
      <c r="N527" s="92" t="inlineStr">
        <is>
          <t>10 EVIDENCE &amp; DECISIONS</t>
        </is>
      </c>
    </row>
    <row r="528" ht="34" customHeight="1">
      <c r="A528" s="34" t="inlineStr">
        <is>
          <t>Cost &amp; Forecast Control Accounts</t>
        </is>
      </c>
      <c r="B528" s="34" t="inlineStr">
        <is>
          <t>CST-02-046</t>
        </is>
      </c>
      <c r="C528" s="34" t="inlineStr">
        <is>
          <t>Stations - public realm - allowance</t>
        </is>
      </c>
      <c r="D528" s="34" t="inlineStr">
        <is>
          <t>Cost Account = CA-2046; WBS Code = 1.2.2</t>
        </is>
      </c>
      <c r="E528" s="34" t="inlineStr">
        <is>
          <t>R1208-v1</t>
        </is>
      </c>
      <c r="F528" s="34" t="inlineStr">
        <is>
          <t>1.2.2 Stations - Architectural Fit-Out</t>
        </is>
      </c>
      <c r="G528" s="34" t="inlineStr">
        <is>
          <t>ONE_TO_ONE</t>
        </is>
      </c>
      <c r="H528" s="34" t="inlineStr">
        <is>
          <t>APPROVED</t>
        </is>
      </c>
      <c r="I528" s="34" t="inlineStr">
        <is>
          <t>New</t>
        </is>
      </c>
      <c r="J528" s="34" t="inlineStr">
        <is>
          <t>Source assignment -- not individually reviewed</t>
        </is>
      </c>
      <c r="K528" s="39" t="inlineStr"/>
      <c r="L528" s="14" t="inlineStr"/>
      <c r="M528" s="14" t="inlineStr"/>
      <c r="N528" s="92" t="inlineStr">
        <is>
          <t>10 EVIDENCE &amp; DECISIONS</t>
        </is>
      </c>
    </row>
    <row r="529" ht="34" customHeight="1">
      <c r="A529" s="34" t="inlineStr">
        <is>
          <t>Cost &amp; Forecast Control Accounts</t>
        </is>
      </c>
      <c r="B529" s="34" t="inlineStr">
        <is>
          <t>CST-02-048</t>
        </is>
      </c>
      <c r="C529" s="34" t="inlineStr">
        <is>
          <t>Stations - building services - field package</t>
        </is>
      </c>
      <c r="D529" s="34" t="inlineStr">
        <is>
          <t>Cost Account = CA-2048; WBS Code = 1.2.2</t>
        </is>
      </c>
      <c r="E529" s="34" t="inlineStr">
        <is>
          <t>R1210-v1</t>
        </is>
      </c>
      <c r="F529" s="34" t="inlineStr">
        <is>
          <t>1.2.2 Stations - Architectural Fit-Out</t>
        </is>
      </c>
      <c r="G529" s="34" t="inlineStr">
        <is>
          <t>ONE_TO_ONE</t>
        </is>
      </c>
      <c r="H529" s="34" t="inlineStr">
        <is>
          <t>APPROVED</t>
        </is>
      </c>
      <c r="I529" s="34" t="inlineStr">
        <is>
          <t>New</t>
        </is>
      </c>
      <c r="J529" s="34" t="inlineStr">
        <is>
          <t>Source assignment -- not individually reviewed</t>
        </is>
      </c>
      <c r="K529" s="39" t="inlineStr"/>
      <c r="L529" s="14" t="inlineStr"/>
      <c r="M529" s="14" t="inlineStr"/>
      <c r="N529" s="92" t="inlineStr">
        <is>
          <t>10 EVIDENCE &amp; DECISIONS</t>
        </is>
      </c>
    </row>
    <row r="530" ht="34" customHeight="1">
      <c r="A530" s="34" t="inlineStr">
        <is>
          <t>Cost &amp; Forecast Control Accounts</t>
        </is>
      </c>
      <c r="B530" s="34" t="inlineStr">
        <is>
          <t>CST-02-050</t>
        </is>
      </c>
      <c r="C530" s="34" t="inlineStr">
        <is>
          <t>Stations - station structure - professional services</t>
        </is>
      </c>
      <c r="D530" s="34" t="inlineStr">
        <is>
          <t>Cost Account = CA-2050; WBS Code = 1.2.2</t>
        </is>
      </c>
      <c r="E530" s="34" t="inlineStr">
        <is>
          <t>R1212-v1</t>
        </is>
      </c>
      <c r="F530" s="34" t="inlineStr">
        <is>
          <t>1.2.2 Stations - Architectural Fit-Out</t>
        </is>
      </c>
      <c r="G530" s="34" t="inlineStr">
        <is>
          <t>ONE_TO_ONE</t>
        </is>
      </c>
      <c r="H530" s="34" t="inlineStr">
        <is>
          <t>APPROVED</t>
        </is>
      </c>
      <c r="I530" s="34" t="inlineStr">
        <is>
          <t>New</t>
        </is>
      </c>
      <c r="J530" s="34" t="inlineStr">
        <is>
          <t>Source assignment -- not individually reviewed</t>
        </is>
      </c>
      <c r="K530" s="39" t="inlineStr"/>
      <c r="L530" s="14" t="inlineStr"/>
      <c r="M530" s="14" t="inlineStr"/>
      <c r="N530" s="92" t="inlineStr">
        <is>
          <t>10 EVIDENCE &amp; DECISIONS</t>
        </is>
      </c>
    </row>
    <row r="531" ht="34" customHeight="1">
      <c r="A531" s="34" t="inlineStr">
        <is>
          <t>Cost &amp; Forecast Control Accounts</t>
        </is>
      </c>
      <c r="B531" s="34" t="inlineStr">
        <is>
          <t>CST-02-052</t>
        </is>
      </c>
      <c r="C531" s="34" t="inlineStr">
        <is>
          <t>Stations - public realm - closeout</t>
        </is>
      </c>
      <c r="D531" s="34" t="inlineStr">
        <is>
          <t>Cost Account = CA-2052; WBS Code = 1.2.2</t>
        </is>
      </c>
      <c r="E531" s="34" t="inlineStr">
        <is>
          <t>R1214-v1</t>
        </is>
      </c>
      <c r="F531" s="34" t="inlineStr">
        <is>
          <t>1.2.2 Stations - Architectural Fit-Out</t>
        </is>
      </c>
      <c r="G531" s="34" t="inlineStr">
        <is>
          <t>ONE_TO_ONE</t>
        </is>
      </c>
      <c r="H531" s="34" t="inlineStr">
        <is>
          <t>APPROVED</t>
        </is>
      </c>
      <c r="I531" s="34" t="inlineStr">
        <is>
          <t>New</t>
        </is>
      </c>
      <c r="J531" s="34" t="inlineStr">
        <is>
          <t>Source assignment -- not individually reviewed</t>
        </is>
      </c>
      <c r="K531" s="39" t="inlineStr"/>
      <c r="L531" s="14" t="inlineStr"/>
      <c r="M531" s="14" t="inlineStr"/>
      <c r="N531" s="92" t="inlineStr">
        <is>
          <t>10 EVIDENCE &amp; DECISIONS</t>
        </is>
      </c>
    </row>
    <row r="532" ht="34" customHeight="1">
      <c r="A532" s="34" t="inlineStr">
        <is>
          <t>Cost &amp; Forecast Control Accounts</t>
        </is>
      </c>
      <c r="B532" s="34" t="inlineStr">
        <is>
          <t>CST-02-054</t>
        </is>
      </c>
      <c r="C532" s="34" t="inlineStr">
        <is>
          <t>Stations - building services - supply and install</t>
        </is>
      </c>
      <c r="D532" s="34" t="inlineStr">
        <is>
          <t>Cost Account = CA-2054; WBS Code = 1.2.2</t>
        </is>
      </c>
      <c r="E532" s="34" t="inlineStr">
        <is>
          <t>R1216-v1</t>
        </is>
      </c>
      <c r="F532" s="34" t="inlineStr">
        <is>
          <t>1.2.2 Stations - Architectural Fit-Out</t>
        </is>
      </c>
      <c r="G532" s="34" t="inlineStr">
        <is>
          <t>ONE_TO_ONE</t>
        </is>
      </c>
      <c r="H532" s="34" t="inlineStr">
        <is>
          <t>APPROVED</t>
        </is>
      </c>
      <c r="I532" s="34" t="inlineStr">
        <is>
          <t>New</t>
        </is>
      </c>
      <c r="J532" s="34" t="inlineStr">
        <is>
          <t>Source assignment -- not individually reviewed</t>
        </is>
      </c>
      <c r="K532" s="39" t="inlineStr"/>
      <c r="L532" s="14" t="inlineStr"/>
      <c r="M532" s="14" t="inlineStr"/>
      <c r="N532" s="92" t="inlineStr">
        <is>
          <t>10 EVIDENCE &amp; DECISIONS</t>
        </is>
      </c>
    </row>
    <row r="533" ht="34" customHeight="1">
      <c r="A533" s="34" t="inlineStr">
        <is>
          <t>Cost &amp; Forecast Control Accounts</t>
        </is>
      </c>
      <c r="B533" s="34" t="inlineStr">
        <is>
          <t>CST-02-056</t>
        </is>
      </c>
      <c r="C533" s="34" t="inlineStr">
        <is>
          <t>Stations - station structure - allowance</t>
        </is>
      </c>
      <c r="D533" s="34" t="inlineStr">
        <is>
          <t>Cost Account = CA-2056; WBS Code = 1.2.2</t>
        </is>
      </c>
      <c r="E533" s="34" t="inlineStr">
        <is>
          <t>R1218-v1</t>
        </is>
      </c>
      <c r="F533" s="34" t="inlineStr">
        <is>
          <t>1.2.2 Stations - Architectural Fit-Out</t>
        </is>
      </c>
      <c r="G533" s="34" t="inlineStr">
        <is>
          <t>ONE_TO_ONE</t>
        </is>
      </c>
      <c r="H533" s="34" t="inlineStr">
        <is>
          <t>APPROVED</t>
        </is>
      </c>
      <c r="I533" s="34" t="inlineStr">
        <is>
          <t>New</t>
        </is>
      </c>
      <c r="J533" s="34" t="inlineStr">
        <is>
          <t>Source assignment -- not individually reviewed</t>
        </is>
      </c>
      <c r="K533" s="39" t="inlineStr"/>
      <c r="L533" s="14" t="inlineStr"/>
      <c r="M533" s="14" t="inlineStr"/>
      <c r="N533" s="92" t="inlineStr">
        <is>
          <t>10 EVIDENCE &amp; DECISIONS</t>
        </is>
      </c>
    </row>
    <row r="534" ht="34" customHeight="1">
      <c r="A534" s="34" t="inlineStr">
        <is>
          <t>Cost &amp; Forecast Control Accounts</t>
        </is>
      </c>
      <c r="B534" s="34" t="inlineStr">
        <is>
          <t>CST-02-058</t>
        </is>
      </c>
      <c r="C534" s="34" t="inlineStr">
        <is>
          <t>Stations - public realm - field package</t>
        </is>
      </c>
      <c r="D534" s="34" t="inlineStr">
        <is>
          <t>Cost Account = CA-2058; WBS Code = 1.2.2</t>
        </is>
      </c>
      <c r="E534" s="34" t="inlineStr">
        <is>
          <t>R1220-v1</t>
        </is>
      </c>
      <c r="F534" s="34" t="inlineStr">
        <is>
          <t>1.2.2 Stations - Architectural Fit-Out</t>
        </is>
      </c>
      <c r="G534" s="34" t="inlineStr">
        <is>
          <t>ONE_TO_ONE</t>
        </is>
      </c>
      <c r="H534" s="34" t="inlineStr">
        <is>
          <t>APPROVED</t>
        </is>
      </c>
      <c r="I534" s="34" t="inlineStr">
        <is>
          <t>New</t>
        </is>
      </c>
      <c r="J534" s="34" t="inlineStr">
        <is>
          <t>Source assignment -- not individually reviewed</t>
        </is>
      </c>
      <c r="K534" s="39" t="inlineStr"/>
      <c r="L534" s="14" t="inlineStr"/>
      <c r="M534" s="14" t="inlineStr"/>
      <c r="N534" s="92" t="inlineStr">
        <is>
          <t>10 EVIDENCE &amp; DECISIONS</t>
        </is>
      </c>
    </row>
    <row r="535" ht="34" customHeight="1">
      <c r="A535" s="34" t="inlineStr">
        <is>
          <t>Cost &amp; Forecast Control Accounts</t>
        </is>
      </c>
      <c r="B535" s="34" t="inlineStr">
        <is>
          <t>CST-02-060</t>
        </is>
      </c>
      <c r="C535" s="34" t="inlineStr">
        <is>
          <t>Stations - building services - professional services</t>
        </is>
      </c>
      <c r="D535" s="34" t="inlineStr">
        <is>
          <t>Cost Account = CA-2060; WBS Code = 1.2.2</t>
        </is>
      </c>
      <c r="E535" s="34" t="inlineStr">
        <is>
          <t>R1222-v1</t>
        </is>
      </c>
      <c r="F535" s="34" t="inlineStr">
        <is>
          <t>1.2.2 Stations - Architectural Fit-Out</t>
        </is>
      </c>
      <c r="G535" s="34" t="inlineStr">
        <is>
          <t>ONE_TO_ONE</t>
        </is>
      </c>
      <c r="H535" s="34" t="inlineStr">
        <is>
          <t>APPROVED</t>
        </is>
      </c>
      <c r="I535" s="34" t="inlineStr">
        <is>
          <t>New</t>
        </is>
      </c>
      <c r="J535" s="34" t="inlineStr">
        <is>
          <t>Source assignment -- not individually reviewed</t>
        </is>
      </c>
      <c r="K535" s="39" t="inlineStr"/>
      <c r="L535" s="14" t="inlineStr"/>
      <c r="M535" s="14" t="inlineStr"/>
      <c r="N535" s="92" t="inlineStr">
        <is>
          <t>10 EVIDENCE &amp; DECISIONS</t>
        </is>
      </c>
    </row>
    <row r="536" ht="34" customHeight="1">
      <c r="A536" s="34" t="inlineStr">
        <is>
          <t>Cost &amp; Forecast Control Accounts</t>
        </is>
      </c>
      <c r="B536" s="34" t="inlineStr">
        <is>
          <t>CST-02-062</t>
        </is>
      </c>
      <c r="C536" s="34" t="inlineStr">
        <is>
          <t>Stations - station structure - closeout</t>
        </is>
      </c>
      <c r="D536" s="34" t="inlineStr">
        <is>
          <t>Cost Account = CA-2062; WBS Code = 1.2.2</t>
        </is>
      </c>
      <c r="E536" s="34" t="inlineStr">
        <is>
          <t>R1224-v1</t>
        </is>
      </c>
      <c r="F536" s="34" t="inlineStr">
        <is>
          <t>1.2.2 Stations - Architectural Fit-Out</t>
        </is>
      </c>
      <c r="G536" s="34" t="inlineStr">
        <is>
          <t>ONE_TO_ONE</t>
        </is>
      </c>
      <c r="H536" s="34" t="inlineStr">
        <is>
          <t>APPROVED</t>
        </is>
      </c>
      <c r="I536" s="34" t="inlineStr">
        <is>
          <t>New</t>
        </is>
      </c>
      <c r="J536" s="34" t="inlineStr">
        <is>
          <t>Source assignment -- not individually reviewed</t>
        </is>
      </c>
      <c r="K536" s="39" t="inlineStr"/>
      <c r="L536" s="14" t="inlineStr"/>
      <c r="M536" s="14" t="inlineStr"/>
      <c r="N536" s="92" t="inlineStr">
        <is>
          <t>10 EVIDENCE &amp; DECISIONS</t>
        </is>
      </c>
    </row>
    <row r="537" ht="34" customHeight="1">
      <c r="A537" s="34" t="inlineStr">
        <is>
          <t>Cost &amp; Forecast Control Accounts</t>
        </is>
      </c>
      <c r="B537" s="34" t="inlineStr">
        <is>
          <t>CST-02-064</t>
        </is>
      </c>
      <c r="C537" s="34" t="inlineStr">
        <is>
          <t>Stations - public realm - supply and install</t>
        </is>
      </c>
      <c r="D537" s="34" t="inlineStr">
        <is>
          <t>Cost Account = CA-2064; WBS Code = 1.2.2</t>
        </is>
      </c>
      <c r="E537" s="34" t="inlineStr">
        <is>
          <t>R1226-v1</t>
        </is>
      </c>
      <c r="F537" s="34" t="inlineStr">
        <is>
          <t>1.2.2 Stations - Architectural Fit-Out</t>
        </is>
      </c>
      <c r="G537" s="34" t="inlineStr">
        <is>
          <t>ONE_TO_ONE</t>
        </is>
      </c>
      <c r="H537" s="34" t="inlineStr">
        <is>
          <t>APPROVED</t>
        </is>
      </c>
      <c r="I537" s="34" t="inlineStr">
        <is>
          <t>New</t>
        </is>
      </c>
      <c r="J537" s="34" t="inlineStr">
        <is>
          <t>Source assignment -- not individually reviewed</t>
        </is>
      </c>
      <c r="K537" s="39" t="inlineStr"/>
      <c r="L537" s="14" t="inlineStr"/>
      <c r="M537" s="14" t="inlineStr"/>
      <c r="N537" s="92" t="inlineStr">
        <is>
          <t>10 EVIDENCE &amp; DECISIONS</t>
        </is>
      </c>
    </row>
    <row r="538" ht="34" customHeight="1">
      <c r="A538" s="34" t="inlineStr">
        <is>
          <t>Cost &amp; Forecast Control Accounts</t>
        </is>
      </c>
      <c r="B538" s="34" t="inlineStr">
        <is>
          <t>CST-02-066</t>
        </is>
      </c>
      <c r="C538" s="34" t="inlineStr">
        <is>
          <t>Stations - building services - allowance</t>
        </is>
      </c>
      <c r="D538" s="34" t="inlineStr">
        <is>
          <t>Cost Account = CA-2066; WBS Code = 1.2.2</t>
        </is>
      </c>
      <c r="E538" s="34" t="inlineStr">
        <is>
          <t>R1228-v1</t>
        </is>
      </c>
      <c r="F538" s="34" t="inlineStr">
        <is>
          <t>1.2.2 Stations - Architectural Fit-Out</t>
        </is>
      </c>
      <c r="G538" s="34" t="inlineStr">
        <is>
          <t>ONE_TO_ONE</t>
        </is>
      </c>
      <c r="H538" s="34" t="inlineStr">
        <is>
          <t>APPROVED</t>
        </is>
      </c>
      <c r="I538" s="34" t="inlineStr">
        <is>
          <t>New</t>
        </is>
      </c>
      <c r="J538" s="34" t="inlineStr">
        <is>
          <t>Source assignment -- not individually reviewed</t>
        </is>
      </c>
      <c r="K538" s="39" t="inlineStr"/>
      <c r="L538" s="14" t="inlineStr"/>
      <c r="M538" s="14" t="inlineStr"/>
      <c r="N538" s="92" t="inlineStr">
        <is>
          <t>10 EVIDENCE &amp; DECISIONS</t>
        </is>
      </c>
    </row>
    <row r="539" ht="34" customHeight="1">
      <c r="A539" s="34" t="inlineStr">
        <is>
          <t>Cost &amp; Forecast Control Accounts</t>
        </is>
      </c>
      <c r="B539" s="34" t="inlineStr">
        <is>
          <t>CST-02-068</t>
        </is>
      </c>
      <c r="C539" s="34" t="inlineStr">
        <is>
          <t>Stations - station structure - field package</t>
        </is>
      </c>
      <c r="D539" s="34" t="inlineStr">
        <is>
          <t>Cost Account = CA-2068; WBS Code = 1.2.2</t>
        </is>
      </c>
      <c r="E539" s="34" t="inlineStr">
        <is>
          <t>R1230-v1</t>
        </is>
      </c>
      <c r="F539" s="34" t="inlineStr">
        <is>
          <t>1.2.2 Stations - Architectural Fit-Out</t>
        </is>
      </c>
      <c r="G539" s="34" t="inlineStr">
        <is>
          <t>ONE_TO_ONE</t>
        </is>
      </c>
      <c r="H539" s="34" t="inlineStr">
        <is>
          <t>APPROVED</t>
        </is>
      </c>
      <c r="I539" s="34" t="inlineStr">
        <is>
          <t>New</t>
        </is>
      </c>
      <c r="J539" s="34" t="inlineStr">
        <is>
          <t>Source assignment -- not individually reviewed</t>
        </is>
      </c>
      <c r="K539" s="39" t="inlineStr"/>
      <c r="L539" s="14" t="inlineStr"/>
      <c r="M539" s="14" t="inlineStr"/>
      <c r="N539" s="92" t="inlineStr">
        <is>
          <t>10 EVIDENCE &amp; DECISIONS</t>
        </is>
      </c>
    </row>
    <row r="540" ht="34" customHeight="1">
      <c r="A540" s="34" t="inlineStr">
        <is>
          <t>Cost &amp; Forecast Control Accounts</t>
        </is>
      </c>
      <c r="B540" s="34" t="inlineStr">
        <is>
          <t>CST-02-070</t>
        </is>
      </c>
      <c r="C540" s="34" t="inlineStr">
        <is>
          <t>Stations - public realm - professional services</t>
        </is>
      </c>
      <c r="D540" s="34" t="inlineStr">
        <is>
          <t>Cost Account = CA-2070; WBS Code = 1.2.2</t>
        </is>
      </c>
      <c r="E540" s="34" t="inlineStr">
        <is>
          <t>R1232-v1</t>
        </is>
      </c>
      <c r="F540" s="34" t="inlineStr">
        <is>
          <t>1.2.2 Stations - Architectural Fit-Out</t>
        </is>
      </c>
      <c r="G540" s="34" t="inlineStr">
        <is>
          <t>ONE_TO_ONE</t>
        </is>
      </c>
      <c r="H540" s="34" t="inlineStr">
        <is>
          <t>APPROVED</t>
        </is>
      </c>
      <c r="I540" s="34" t="inlineStr">
        <is>
          <t>New</t>
        </is>
      </c>
      <c r="J540" s="34" t="inlineStr">
        <is>
          <t>Source assignment -- not individually reviewed</t>
        </is>
      </c>
      <c r="K540" s="39" t="inlineStr"/>
      <c r="L540" s="14" t="inlineStr"/>
      <c r="M540" s="14" t="inlineStr"/>
      <c r="N540" s="92" t="inlineStr">
        <is>
          <t>10 EVIDENCE &amp; DECISIONS</t>
        </is>
      </c>
    </row>
    <row r="541" ht="34" customHeight="1">
      <c r="A541" s="34" t="inlineStr">
        <is>
          <t>Cost &amp; Forecast Control Accounts</t>
        </is>
      </c>
      <c r="B541" s="34" t="inlineStr">
        <is>
          <t>CST-02-072</t>
        </is>
      </c>
      <c r="C541" s="34" t="inlineStr">
        <is>
          <t>Stations - building services - closeout</t>
        </is>
      </c>
      <c r="D541" s="34" t="inlineStr">
        <is>
          <t>Cost Account = CA-2072; WBS Code = 1.2.2</t>
        </is>
      </c>
      <c r="E541" s="34" t="inlineStr">
        <is>
          <t>R1234-v1</t>
        </is>
      </c>
      <c r="F541" s="34" t="inlineStr">
        <is>
          <t>1.2.2 Stations - Architectural Fit-Out</t>
        </is>
      </c>
      <c r="G541" s="34" t="inlineStr">
        <is>
          <t>ONE_TO_ONE</t>
        </is>
      </c>
      <c r="H541" s="34" t="inlineStr">
        <is>
          <t>APPROVED</t>
        </is>
      </c>
      <c r="I541" s="34" t="inlineStr">
        <is>
          <t>New</t>
        </is>
      </c>
      <c r="J541" s="34" t="inlineStr">
        <is>
          <t>Source assignment -- not individually reviewed</t>
        </is>
      </c>
      <c r="K541" s="39" t="inlineStr"/>
      <c r="L541" s="14" t="inlineStr"/>
      <c r="M541" s="14" t="inlineStr"/>
      <c r="N541" s="92" t="inlineStr">
        <is>
          <t>10 EVIDENCE &amp; DECISIONS</t>
        </is>
      </c>
    </row>
    <row r="542" ht="34" customHeight="1">
      <c r="A542" s="34" t="inlineStr">
        <is>
          <t>Cost &amp; Forecast Control Accounts</t>
        </is>
      </c>
      <c r="B542" s="34" t="inlineStr">
        <is>
          <t>CST-02-074</t>
        </is>
      </c>
      <c r="C542" s="34" t="inlineStr">
        <is>
          <t>Stations - station structure - supply and install</t>
        </is>
      </c>
      <c r="D542" s="34" t="inlineStr">
        <is>
          <t>Cost Account = CA-2074; WBS Code = 1.2.2</t>
        </is>
      </c>
      <c r="E542" s="34" t="inlineStr">
        <is>
          <t>R1236-v1</t>
        </is>
      </c>
      <c r="F542" s="34" t="inlineStr">
        <is>
          <t>1.2.2 Stations - Architectural Fit-Out</t>
        </is>
      </c>
      <c r="G542" s="34" t="inlineStr">
        <is>
          <t>ONE_TO_ONE</t>
        </is>
      </c>
      <c r="H542" s="34" t="inlineStr">
        <is>
          <t>APPROVED</t>
        </is>
      </c>
      <c r="I542" s="34" t="inlineStr">
        <is>
          <t>New</t>
        </is>
      </c>
      <c r="J542" s="34" t="inlineStr">
        <is>
          <t>Source assignment -- not individually reviewed</t>
        </is>
      </c>
      <c r="K542" s="39" t="inlineStr"/>
      <c r="L542" s="14" t="inlineStr"/>
      <c r="M542" s="14" t="inlineStr"/>
      <c r="N542" s="92" t="inlineStr">
        <is>
          <t>10 EVIDENCE &amp; DECISIONS</t>
        </is>
      </c>
    </row>
    <row r="543" ht="34" customHeight="1">
      <c r="A543" s="34" t="inlineStr">
        <is>
          <t>Cost &amp; Forecast Control Accounts</t>
        </is>
      </c>
      <c r="B543" s="34" t="inlineStr">
        <is>
          <t>CST-02-076</t>
        </is>
      </c>
      <c r="C543" s="34" t="inlineStr">
        <is>
          <t>Stations - public realm - allowance</t>
        </is>
      </c>
      <c r="D543" s="34" t="inlineStr">
        <is>
          <t>Cost Account = CA-2076; WBS Code = 1.2.2</t>
        </is>
      </c>
      <c r="E543" s="34" t="inlineStr">
        <is>
          <t>R1238-v1</t>
        </is>
      </c>
      <c r="F543" s="34" t="inlineStr">
        <is>
          <t>1.2.2 Stations - Architectural Fit-Out</t>
        </is>
      </c>
      <c r="G543" s="34" t="inlineStr">
        <is>
          <t>ONE_TO_ONE</t>
        </is>
      </c>
      <c r="H543" s="34" t="inlineStr">
        <is>
          <t>APPROVED</t>
        </is>
      </c>
      <c r="I543" s="34" t="inlineStr">
        <is>
          <t>New</t>
        </is>
      </c>
      <c r="J543" s="34" t="inlineStr">
        <is>
          <t>Source assignment -- not individually reviewed</t>
        </is>
      </c>
      <c r="K543" s="39" t="inlineStr"/>
      <c r="L543" s="14" t="inlineStr"/>
      <c r="M543" s="14" t="inlineStr"/>
      <c r="N543" s="92" t="inlineStr">
        <is>
          <t>10 EVIDENCE &amp; DECISIONS</t>
        </is>
      </c>
    </row>
    <row r="544" ht="34" customHeight="1">
      <c r="A544" s="34" t="inlineStr">
        <is>
          <t>Cost &amp; Forecast Control Accounts</t>
        </is>
      </c>
      <c r="B544" s="34" t="inlineStr">
        <is>
          <t>CST-02-078</t>
        </is>
      </c>
      <c r="C544" s="34" t="inlineStr">
        <is>
          <t>Stations - building services - field package</t>
        </is>
      </c>
      <c r="D544" s="34" t="inlineStr">
        <is>
          <t>Cost Account = CA-2078; WBS Code = 1.2.2</t>
        </is>
      </c>
      <c r="E544" s="34" t="inlineStr">
        <is>
          <t>R1240-v1</t>
        </is>
      </c>
      <c r="F544" s="34" t="inlineStr">
        <is>
          <t>1.2.2 Stations - Architectural Fit-Out</t>
        </is>
      </c>
      <c r="G544" s="34" t="inlineStr">
        <is>
          <t>ONE_TO_ONE</t>
        </is>
      </c>
      <c r="H544" s="34" t="inlineStr">
        <is>
          <t>APPROVED</t>
        </is>
      </c>
      <c r="I544" s="34" t="inlineStr">
        <is>
          <t>New</t>
        </is>
      </c>
      <c r="J544" s="34" t="inlineStr">
        <is>
          <t>Source assignment -- not individually reviewed</t>
        </is>
      </c>
      <c r="K544" s="39" t="inlineStr"/>
      <c r="L544" s="14" t="inlineStr"/>
      <c r="M544" s="14" t="inlineStr"/>
      <c r="N544" s="92" t="inlineStr">
        <is>
          <t>10 EVIDENCE &amp; DECISIONS</t>
        </is>
      </c>
    </row>
    <row r="545" ht="34" customHeight="1">
      <c r="A545" s="34" t="inlineStr">
        <is>
          <t>Cost &amp; Forecast Control Accounts</t>
        </is>
      </c>
      <c r="B545" s="34" t="inlineStr">
        <is>
          <t>CST-02-080</t>
        </is>
      </c>
      <c r="C545" s="34" t="inlineStr">
        <is>
          <t>Stations - station structure - professional services</t>
        </is>
      </c>
      <c r="D545" s="34" t="inlineStr">
        <is>
          <t>Cost Account = CA-2080; WBS Code = 1.2.2</t>
        </is>
      </c>
      <c r="E545" s="34" t="inlineStr">
        <is>
          <t>R1242-v1</t>
        </is>
      </c>
      <c r="F545" s="34" t="inlineStr">
        <is>
          <t>1.2.2 Stations - Architectural Fit-Out</t>
        </is>
      </c>
      <c r="G545" s="34" t="inlineStr">
        <is>
          <t>ONE_TO_ONE</t>
        </is>
      </c>
      <c r="H545" s="34" t="inlineStr">
        <is>
          <t>APPROVED</t>
        </is>
      </c>
      <c r="I545" s="34" t="inlineStr">
        <is>
          <t>New</t>
        </is>
      </c>
      <c r="J545" s="34" t="inlineStr">
        <is>
          <t>Source assignment -- not individually reviewed</t>
        </is>
      </c>
      <c r="K545" s="39" t="inlineStr"/>
      <c r="L545" s="14" t="inlineStr"/>
      <c r="M545" s="14" t="inlineStr"/>
      <c r="N545" s="92" t="inlineStr">
        <is>
          <t>10 EVIDENCE &amp; DECISIONS</t>
        </is>
      </c>
    </row>
    <row r="546" ht="34" customHeight="1">
      <c r="A546" s="34" t="inlineStr">
        <is>
          <t>Commercial Package Register</t>
        </is>
      </c>
      <c r="B546" s="34" t="inlineStr">
        <is>
          <t>PKG-021</t>
        </is>
      </c>
      <c r="C546" s="34" t="inlineStr">
        <is>
          <t>Traction Power</t>
        </is>
      </c>
      <c r="D546" s="34" t="inlineStr">
        <is>
          <t>Package Code = PK-301; WBS Code = 1.3</t>
        </is>
      </c>
      <c r="E546" s="34" t="inlineStr">
        <is>
          <t>R1583-v1</t>
        </is>
      </c>
      <c r="F546" s="34" t="inlineStr">
        <is>
          <t>1.3 Systems</t>
        </is>
      </c>
      <c r="G546" s="34" t="inlineStr">
        <is>
          <t>ONE_TO_ONE</t>
        </is>
      </c>
      <c r="H546" s="34" t="inlineStr">
        <is>
          <t>APPROVED</t>
        </is>
      </c>
      <c r="I546" s="34" t="inlineStr">
        <is>
          <t>New</t>
        </is>
      </c>
      <c r="J546" s="34" t="inlineStr">
        <is>
          <t>Source assignment -- not individually reviewed</t>
        </is>
      </c>
      <c r="K546" s="39" t="inlineStr"/>
      <c r="L546" s="14" t="inlineStr"/>
      <c r="M546" s="14" t="inlineStr"/>
      <c r="N546" s="92" t="inlineStr">
        <is>
          <t>10 EVIDENCE &amp; DECISIONS</t>
        </is>
      </c>
    </row>
    <row r="547" ht="34" customHeight="1">
      <c r="A547" s="34" t="inlineStr">
        <is>
          <t>Commercial Package Register</t>
        </is>
      </c>
      <c r="B547" s="34" t="inlineStr">
        <is>
          <t>PKG-022</t>
        </is>
      </c>
      <c r="C547" s="34" t="inlineStr">
        <is>
          <t>Signalling &amp; Train Control</t>
        </is>
      </c>
      <c r="D547" s="34" t="inlineStr">
        <is>
          <t>Package Code = PK-302; WBS Code = 1.3</t>
        </is>
      </c>
      <c r="E547" s="34" t="inlineStr">
        <is>
          <t>R1584-v1</t>
        </is>
      </c>
      <c r="F547" s="34" t="inlineStr">
        <is>
          <t>1.3 Systems</t>
        </is>
      </c>
      <c r="G547" s="34" t="inlineStr">
        <is>
          <t>ONE_TO_ONE</t>
        </is>
      </c>
      <c r="H547" s="34" t="inlineStr">
        <is>
          <t>APPROVED</t>
        </is>
      </c>
      <c r="I547" s="34" t="inlineStr">
        <is>
          <t>New</t>
        </is>
      </c>
      <c r="J547" s="34" t="inlineStr">
        <is>
          <t>Source assignment -- not individually reviewed</t>
        </is>
      </c>
      <c r="K547" s="39" t="inlineStr"/>
      <c r="L547" s="14" t="inlineStr"/>
      <c r="M547" s="14" t="inlineStr"/>
      <c r="N547" s="92" t="inlineStr">
        <is>
          <t>10 EVIDENCE &amp; DECISIONS</t>
        </is>
      </c>
    </row>
    <row r="548" ht="34" customHeight="1">
      <c r="A548" s="34" t="inlineStr">
        <is>
          <t>Commercial Package Register</t>
        </is>
      </c>
      <c r="B548" s="34" t="inlineStr">
        <is>
          <t>PKG-023</t>
        </is>
      </c>
      <c r="C548" s="34" t="inlineStr">
        <is>
          <t>Communications</t>
        </is>
      </c>
      <c r="D548" s="34" t="inlineStr">
        <is>
          <t>Package Code = PK-303; WBS Code = 1.3</t>
        </is>
      </c>
      <c r="E548" s="34" t="inlineStr">
        <is>
          <t>R1585-v1</t>
        </is>
      </c>
      <c r="F548" s="34" t="inlineStr">
        <is>
          <t>1.3 Systems</t>
        </is>
      </c>
      <c r="G548" s="34" t="inlineStr">
        <is>
          <t>ONE_TO_ONE</t>
        </is>
      </c>
      <c r="H548" s="34" t="inlineStr">
        <is>
          <t>APPROVED</t>
        </is>
      </c>
      <c r="I548" s="34" t="inlineStr">
        <is>
          <t>New</t>
        </is>
      </c>
      <c r="J548" s="34" t="inlineStr">
        <is>
          <t>Source assignment -- not individually reviewed</t>
        </is>
      </c>
      <c r="K548" s="39" t="inlineStr"/>
      <c r="L548" s="14" t="inlineStr"/>
      <c r="M548" s="14" t="inlineStr"/>
      <c r="N548" s="92" t="inlineStr">
        <is>
          <t>10 EVIDENCE &amp; DECISIONS</t>
        </is>
      </c>
    </row>
    <row r="549" ht="34" customHeight="1">
      <c r="A549" s="34" t="inlineStr">
        <is>
          <t>Commercial Package Register</t>
        </is>
      </c>
      <c r="B549" s="34" t="inlineStr">
        <is>
          <t>PKG-024</t>
        </is>
      </c>
      <c r="C549" s="34" t="inlineStr">
        <is>
          <t>Systems Integration</t>
        </is>
      </c>
      <c r="D549" s="34" t="inlineStr">
        <is>
          <t>Package Code = PK-304; WBS Code = 1.3</t>
        </is>
      </c>
      <c r="E549" s="34" t="inlineStr">
        <is>
          <t>R1586-v1</t>
        </is>
      </c>
      <c r="F549" s="34" t="inlineStr">
        <is>
          <t>1.3 Systems</t>
        </is>
      </c>
      <c r="G549" s="34" t="inlineStr">
        <is>
          <t>ONE_TO_ONE</t>
        </is>
      </c>
      <c r="H549" s="34" t="inlineStr">
        <is>
          <t>APPROVED</t>
        </is>
      </c>
      <c r="I549" s="34" t="inlineStr">
        <is>
          <t>New</t>
        </is>
      </c>
      <c r="J549" s="34" t="inlineStr">
        <is>
          <t>Source assignment -- not individually reviewed</t>
        </is>
      </c>
      <c r="K549" s="39" t="inlineStr"/>
      <c r="L549" s="14" t="inlineStr"/>
      <c r="M549" s="14" t="inlineStr"/>
      <c r="N549" s="92" t="inlineStr">
        <is>
          <t>10 EVIDENCE &amp; DECISIONS</t>
        </is>
      </c>
    </row>
    <row r="550" ht="34" customHeight="1">
      <c r="A550" s="34" t="inlineStr">
        <is>
          <t>Commercial Package Register</t>
        </is>
      </c>
      <c r="B550" s="34" t="inlineStr">
        <is>
          <t>PKG-025</t>
        </is>
      </c>
      <c r="C550" s="34" t="inlineStr">
        <is>
          <t>Traction Power - Lot 2</t>
        </is>
      </c>
      <c r="D550" s="34" t="inlineStr">
        <is>
          <t>Package Code = PK-305; WBS Code = 1.3</t>
        </is>
      </c>
      <c r="E550" s="34" t="inlineStr">
        <is>
          <t>R1587-v1</t>
        </is>
      </c>
      <c r="F550" s="34" t="inlineStr">
        <is>
          <t>1.3 Systems</t>
        </is>
      </c>
      <c r="G550" s="34" t="inlineStr">
        <is>
          <t>ONE_TO_ONE</t>
        </is>
      </c>
      <c r="H550" s="34" t="inlineStr">
        <is>
          <t>APPROVED</t>
        </is>
      </c>
      <c r="I550" s="34" t="inlineStr">
        <is>
          <t>New</t>
        </is>
      </c>
      <c r="J550" s="34" t="inlineStr">
        <is>
          <t>Source assignment -- not individually reviewed</t>
        </is>
      </c>
      <c r="K550" s="39" t="inlineStr"/>
      <c r="L550" s="14" t="inlineStr"/>
      <c r="M550" s="14" t="inlineStr"/>
      <c r="N550" s="92" t="inlineStr">
        <is>
          <t>10 EVIDENCE &amp; DECISIONS</t>
        </is>
      </c>
    </row>
    <row r="551" ht="34" customHeight="1">
      <c r="A551" s="34" t="inlineStr">
        <is>
          <t>Commercial Package Register</t>
        </is>
      </c>
      <c r="B551" s="34" t="inlineStr">
        <is>
          <t>PKG-026</t>
        </is>
      </c>
      <c r="C551" s="34" t="inlineStr">
        <is>
          <t>Signalling &amp; Train Control - Lot 2</t>
        </is>
      </c>
      <c r="D551" s="34" t="inlineStr">
        <is>
          <t>Package Code = PK-306; WBS Code = 1.3</t>
        </is>
      </c>
      <c r="E551" s="34" t="inlineStr">
        <is>
          <t>R1588-v1</t>
        </is>
      </c>
      <c r="F551" s="34" t="inlineStr">
        <is>
          <t>1.3 Systems</t>
        </is>
      </c>
      <c r="G551" s="34" t="inlineStr">
        <is>
          <t>ONE_TO_ONE</t>
        </is>
      </c>
      <c r="H551" s="34" t="inlineStr">
        <is>
          <t>APPROVED</t>
        </is>
      </c>
      <c r="I551" s="34" t="inlineStr">
        <is>
          <t>New</t>
        </is>
      </c>
      <c r="J551" s="34" t="inlineStr">
        <is>
          <t>Source assignment -- not individually reviewed</t>
        </is>
      </c>
      <c r="K551" s="39" t="inlineStr"/>
      <c r="L551" s="14" t="inlineStr"/>
      <c r="M551" s="14" t="inlineStr"/>
      <c r="N551" s="92" t="inlineStr">
        <is>
          <t>10 EVIDENCE &amp; DECISIONS</t>
        </is>
      </c>
    </row>
    <row r="552" ht="34" customHeight="1">
      <c r="A552" s="34" t="inlineStr">
        <is>
          <t>Commercial Package Register</t>
        </is>
      </c>
      <c r="B552" s="34" t="inlineStr">
        <is>
          <t>PKG-027</t>
        </is>
      </c>
      <c r="C552" s="34" t="inlineStr">
        <is>
          <t>Communications - Lot 2</t>
        </is>
      </c>
      <c r="D552" s="34" t="inlineStr">
        <is>
          <t>Package Code = PK-307; WBS Code = 1.3</t>
        </is>
      </c>
      <c r="E552" s="34" t="inlineStr">
        <is>
          <t>R1589-v1</t>
        </is>
      </c>
      <c r="F552" s="34" t="inlineStr">
        <is>
          <t>1.3 Systems</t>
        </is>
      </c>
      <c r="G552" s="34" t="inlineStr">
        <is>
          <t>ONE_TO_ONE</t>
        </is>
      </c>
      <c r="H552" s="34" t="inlineStr">
        <is>
          <t>APPROVED</t>
        </is>
      </c>
      <c r="I552" s="34" t="inlineStr">
        <is>
          <t>New</t>
        </is>
      </c>
      <c r="J552" s="34" t="inlineStr">
        <is>
          <t>Source assignment -- not individually reviewed</t>
        </is>
      </c>
      <c r="K552" s="39" t="inlineStr"/>
      <c r="L552" s="14" t="inlineStr"/>
      <c r="M552" s="14" t="inlineStr"/>
      <c r="N552" s="92" t="inlineStr">
        <is>
          <t>10 EVIDENCE &amp; DECISIONS</t>
        </is>
      </c>
    </row>
    <row r="553" ht="34" customHeight="1">
      <c r="A553" s="34" t="inlineStr">
        <is>
          <t>Commercial Package Register</t>
        </is>
      </c>
      <c r="B553" s="34" t="inlineStr">
        <is>
          <t>PKG-028</t>
        </is>
      </c>
      <c r="C553" s="34" t="inlineStr">
        <is>
          <t>Systems Integration - Lot 2</t>
        </is>
      </c>
      <c r="D553" s="34" t="inlineStr">
        <is>
          <t>Package Code = PK-308; WBS Code = 1.3</t>
        </is>
      </c>
      <c r="E553" s="34" t="inlineStr">
        <is>
          <t>R1590-v1</t>
        </is>
      </c>
      <c r="F553" s="34" t="inlineStr">
        <is>
          <t>1.3 Systems</t>
        </is>
      </c>
      <c r="G553" s="34" t="inlineStr">
        <is>
          <t>ONE_TO_ONE</t>
        </is>
      </c>
      <c r="H553" s="34" t="inlineStr">
        <is>
          <t>APPROVED</t>
        </is>
      </c>
      <c r="I553" s="34" t="inlineStr">
        <is>
          <t>New</t>
        </is>
      </c>
      <c r="J553" s="34" t="inlineStr">
        <is>
          <t>Source assignment -- not individually reviewed</t>
        </is>
      </c>
      <c r="K553" s="39" t="inlineStr"/>
      <c r="L553" s="14" t="inlineStr"/>
      <c r="M553" s="14" t="inlineStr"/>
      <c r="N553" s="92" t="inlineStr">
        <is>
          <t>10 EVIDENCE &amp; DECISIONS</t>
        </is>
      </c>
    </row>
    <row r="554" ht="34" customHeight="1">
      <c r="A554" s="34" t="inlineStr">
        <is>
          <t>Commercial Package Register</t>
        </is>
      </c>
      <c r="B554" s="34" t="inlineStr">
        <is>
          <t>PKG-029</t>
        </is>
      </c>
      <c r="C554" s="34" t="inlineStr">
        <is>
          <t>Traction Power - Lot 3</t>
        </is>
      </c>
      <c r="D554" s="34" t="inlineStr">
        <is>
          <t>Package Code = PK-309; WBS Code = 1.3</t>
        </is>
      </c>
      <c r="E554" s="34" t="inlineStr">
        <is>
          <t>R1591-v1</t>
        </is>
      </c>
      <c r="F554" s="34" t="inlineStr">
        <is>
          <t>1.3 Systems</t>
        </is>
      </c>
      <c r="G554" s="34" t="inlineStr">
        <is>
          <t>ONE_TO_ONE</t>
        </is>
      </c>
      <c r="H554" s="34" t="inlineStr">
        <is>
          <t>APPROVED</t>
        </is>
      </c>
      <c r="I554" s="34" t="inlineStr">
        <is>
          <t>New</t>
        </is>
      </c>
      <c r="J554" s="34" t="inlineStr">
        <is>
          <t>Source assignment -- not individually reviewed</t>
        </is>
      </c>
      <c r="K554" s="39" t="inlineStr"/>
      <c r="L554" s="14" t="inlineStr"/>
      <c r="M554" s="14" t="inlineStr"/>
      <c r="N554" s="92" t="inlineStr">
        <is>
          <t>10 EVIDENCE &amp; DECISIONS</t>
        </is>
      </c>
    </row>
    <row r="555" ht="34" customHeight="1">
      <c r="A555" s="34" t="inlineStr">
        <is>
          <t>Commercial Package Register</t>
        </is>
      </c>
      <c r="B555" s="34" t="inlineStr">
        <is>
          <t>PKG-030</t>
        </is>
      </c>
      <c r="C555" s="34" t="inlineStr">
        <is>
          <t>Signalling &amp; Train Control - Lot 3</t>
        </is>
      </c>
      <c r="D555" s="34" t="inlineStr">
        <is>
          <t>Package Code = PK-310; WBS Code = 1.3</t>
        </is>
      </c>
      <c r="E555" s="34" t="inlineStr">
        <is>
          <t>R1592-v1</t>
        </is>
      </c>
      <c r="F555" s="34" t="inlineStr">
        <is>
          <t>1.3 Systems</t>
        </is>
      </c>
      <c r="G555" s="34" t="inlineStr">
        <is>
          <t>ONE_TO_ONE</t>
        </is>
      </c>
      <c r="H555" s="34" t="inlineStr">
        <is>
          <t>APPROVED</t>
        </is>
      </c>
      <c r="I555" s="34" t="inlineStr">
        <is>
          <t>New</t>
        </is>
      </c>
      <c r="J555" s="34" t="inlineStr">
        <is>
          <t>Source assignment -- not individually reviewed</t>
        </is>
      </c>
      <c r="K555" s="39" t="inlineStr"/>
      <c r="L555" s="14" t="inlineStr"/>
      <c r="M555" s="14" t="inlineStr"/>
      <c r="N555" s="92" t="inlineStr">
        <is>
          <t>10 EVIDENCE &amp; DECISIONS</t>
        </is>
      </c>
    </row>
    <row r="556" ht="34" customHeight="1">
      <c r="A556" s="34" t="inlineStr">
        <is>
          <t>Contractor Programme</t>
        </is>
      </c>
      <c r="B556" s="34" t="inlineStr">
        <is>
          <t>SCH-03-001</t>
        </is>
      </c>
      <c r="C556" s="34" t="inlineStr">
        <is>
          <t>Harbour Station: wayside interface test - turnover</t>
        </is>
      </c>
      <c r="D556" s="34" t="inlineStr">
        <is>
          <t>WBS Code = 1.3.1</t>
        </is>
      </c>
      <c r="E556" s="34" t="inlineStr">
        <is>
          <t>R361-v1</t>
        </is>
      </c>
      <c r="F556" s="34" t="inlineStr">
        <is>
          <t>1.3.1 Systems - Traction Power</t>
        </is>
      </c>
      <c r="G556" s="34" t="inlineStr">
        <is>
          <t>ONE_TO_ONE</t>
        </is>
      </c>
      <c r="H556" s="34" t="inlineStr">
        <is>
          <t>APPROVED</t>
        </is>
      </c>
      <c r="I556" s="34" t="inlineStr">
        <is>
          <t>New</t>
        </is>
      </c>
      <c r="J556" s="34" t="inlineStr">
        <is>
          <t>Source assignment -- not individually reviewed</t>
        </is>
      </c>
      <c r="K556" s="39" t="inlineStr"/>
      <c r="L556" s="14" t="inlineStr"/>
      <c r="M556" s="14" t="inlineStr"/>
      <c r="N556" s="92" t="inlineStr">
        <is>
          <t>10 EVIDENCE &amp; DECISIONS</t>
        </is>
      </c>
    </row>
    <row r="557" ht="34" customHeight="1">
      <c r="A557" s="34" t="inlineStr">
        <is>
          <t>Contractor Programme</t>
        </is>
      </c>
      <c r="B557" s="34" t="inlineStr">
        <is>
          <t>SCH-03-002</t>
        </is>
      </c>
      <c r="C557" s="34" t="inlineStr">
        <is>
          <t>Control Centre: signal equipment installation - release</t>
        </is>
      </c>
      <c r="D557" s="34" t="inlineStr">
        <is>
          <t>WBS Code = 1.3.1</t>
        </is>
      </c>
      <c r="E557" s="34" t="inlineStr">
        <is>
          <t>R362-v1</t>
        </is>
      </c>
      <c r="F557" s="34" t="inlineStr">
        <is>
          <t>1.3.1 Systems - Traction Power</t>
        </is>
      </c>
      <c r="G557" s="34" t="inlineStr">
        <is>
          <t>ONE_TO_ONE</t>
        </is>
      </c>
      <c r="H557" s="34" t="inlineStr">
        <is>
          <t>APPROVED</t>
        </is>
      </c>
      <c r="I557" s="34" t="inlineStr">
        <is>
          <t>New</t>
        </is>
      </c>
      <c r="J557" s="34" t="inlineStr">
        <is>
          <t>Source assignment -- not individually reviewed</t>
        </is>
      </c>
      <c r="K557" s="39" t="inlineStr"/>
      <c r="L557" s="14" t="inlineStr"/>
      <c r="M557" s="14" t="inlineStr"/>
      <c r="N557" s="92" t="inlineStr">
        <is>
          <t>10 EVIDENCE &amp; DECISIONS</t>
        </is>
      </c>
    </row>
    <row r="558" ht="34" customHeight="1">
      <c r="A558" s="34" t="inlineStr">
        <is>
          <t>Contractor Programme</t>
        </is>
      </c>
      <c r="B558" s="34" t="inlineStr">
        <is>
          <t>SCH-03-004</t>
        </is>
      </c>
      <c r="C558" s="34" t="inlineStr">
        <is>
          <t>East substation: control-centre integration - installation</t>
        </is>
      </c>
      <c r="D558" s="34" t="inlineStr">
        <is>
          <t>WBS Code = 1.3.1</t>
        </is>
      </c>
      <c r="E558" s="34" t="inlineStr">
        <is>
          <t>R364-v1</t>
        </is>
      </c>
      <c r="F558" s="34" t="inlineStr">
        <is>
          <t>1.3.1 Systems - Traction Power</t>
        </is>
      </c>
      <c r="G558" s="34" t="inlineStr">
        <is>
          <t>ONE_TO_ONE</t>
        </is>
      </c>
      <c r="H558" s="34" t="inlineStr">
        <is>
          <t>APPROVED</t>
        </is>
      </c>
      <c r="I558" s="34" t="inlineStr">
        <is>
          <t>New</t>
        </is>
      </c>
      <c r="J558" s="34" t="inlineStr">
        <is>
          <t>Source assignment -- not individually reviewed</t>
        </is>
      </c>
      <c r="K558" s="39" t="inlineStr"/>
      <c r="L558" s="14" t="inlineStr"/>
      <c r="M558" s="14" t="inlineStr"/>
      <c r="N558" s="92" t="inlineStr">
        <is>
          <t>10 EVIDENCE &amp; DECISIONS</t>
        </is>
      </c>
    </row>
    <row r="559" ht="34" customHeight="1">
      <c r="A559" s="34" t="inlineStr">
        <is>
          <t>Contractor Programme</t>
        </is>
      </c>
      <c r="B559" s="34" t="inlineStr">
        <is>
          <t>SCH-03-005</t>
        </is>
      </c>
      <c r="C559" s="34" t="inlineStr">
        <is>
          <t>Central interlocking: fibre backbone termination - inspection</t>
        </is>
      </c>
      <c r="D559" s="34" t="inlineStr">
        <is>
          <t>WBS Code = 1.3.1</t>
        </is>
      </c>
      <c r="E559" s="34" t="inlineStr">
        <is>
          <t>R365-v1</t>
        </is>
      </c>
      <c r="F559" s="34" t="inlineStr">
        <is>
          <t>1.3.1 Systems - Traction Power</t>
        </is>
      </c>
      <c r="G559" s="34" t="inlineStr">
        <is>
          <t>ONE_TO_ONE</t>
        </is>
      </c>
      <c r="H559" s="34" t="inlineStr">
        <is>
          <t>APPROVED</t>
        </is>
      </c>
      <c r="I559" s="34" t="inlineStr">
        <is>
          <t>New</t>
        </is>
      </c>
      <c r="J559" s="34" t="inlineStr">
        <is>
          <t>Source assignment -- not individually reviewed</t>
        </is>
      </c>
      <c r="K559" s="39" t="inlineStr"/>
      <c r="L559" s="14" t="inlineStr"/>
      <c r="M559" s="14" t="inlineStr"/>
      <c r="N559" s="92" t="inlineStr">
        <is>
          <t>10 EVIDENCE &amp; DECISIONS</t>
        </is>
      </c>
    </row>
    <row r="560" ht="34" customHeight="1">
      <c r="A560" s="34" t="inlineStr">
        <is>
          <t>Contractor Programme</t>
        </is>
      </c>
      <c r="B560" s="34" t="inlineStr">
        <is>
          <t>SCH-03-007</t>
        </is>
      </c>
      <c r="C560" s="34" t="inlineStr">
        <is>
          <t>Control Centre: traction-power feeder pull - release</t>
        </is>
      </c>
      <c r="D560" s="34" t="inlineStr">
        <is>
          <t>WBS Code = 1.3.1</t>
        </is>
      </c>
      <c r="E560" s="34" t="inlineStr">
        <is>
          <t>R367-v1</t>
        </is>
      </c>
      <c r="F560" s="34" t="inlineStr">
        <is>
          <t>1.3.1 Systems - Traction Power</t>
        </is>
      </c>
      <c r="G560" s="34" t="inlineStr">
        <is>
          <t>ONE_TO_ONE</t>
        </is>
      </c>
      <c r="H560" s="34" t="inlineStr">
        <is>
          <t>APPROVED</t>
        </is>
      </c>
      <c r="I560" s="34" t="inlineStr">
        <is>
          <t>New</t>
        </is>
      </c>
      <c r="J560" s="34" t="inlineStr">
        <is>
          <t>Source assignment -- not individually reviewed</t>
        </is>
      </c>
      <c r="K560" s="39" t="inlineStr"/>
      <c r="L560" s="14" t="inlineStr"/>
      <c r="M560" s="14" t="inlineStr"/>
      <c r="N560" s="92" t="inlineStr">
        <is>
          <t>10 EVIDENCE &amp; DECISIONS</t>
        </is>
      </c>
    </row>
    <row r="561" ht="34" customHeight="1">
      <c r="A561" s="34" t="inlineStr">
        <is>
          <t>Contractor Programme</t>
        </is>
      </c>
      <c r="B561" s="34" t="inlineStr">
        <is>
          <t>SCH-03-008</t>
        </is>
      </c>
      <c r="C561" s="34" t="inlineStr">
        <is>
          <t>West wayside: train-control cabinet fit-out - field start</t>
        </is>
      </c>
      <c r="D561" s="34" t="inlineStr">
        <is>
          <t>WBS Code = 1.3.1</t>
        </is>
      </c>
      <c r="E561" s="34" t="inlineStr">
        <is>
          <t>R368-v1</t>
        </is>
      </c>
      <c r="F561" s="34" t="inlineStr">
        <is>
          <t>1.3.1 Systems - Traction Power</t>
        </is>
      </c>
      <c r="G561" s="34" t="inlineStr">
        <is>
          <t>ONE_TO_ONE</t>
        </is>
      </c>
      <c r="H561" s="34" t="inlineStr">
        <is>
          <t>APPROVED</t>
        </is>
      </c>
      <c r="I561" s="34" t="inlineStr">
        <is>
          <t>New</t>
        </is>
      </c>
      <c r="J561" s="34" t="inlineStr">
        <is>
          <t>Source assignment -- not individually reviewed</t>
        </is>
      </c>
      <c r="K561" s="39" t="inlineStr"/>
      <c r="L561" s="14" t="inlineStr"/>
      <c r="M561" s="14" t="inlineStr"/>
      <c r="N561" s="92" t="inlineStr">
        <is>
          <t>10 EVIDENCE &amp; DECISIONS</t>
        </is>
      </c>
    </row>
    <row r="562" ht="34" customHeight="1">
      <c r="A562" s="34" t="inlineStr">
        <is>
          <t>Contractor Programme</t>
        </is>
      </c>
      <c r="B562" s="34" t="inlineStr">
        <is>
          <t>SCH-03-010</t>
        </is>
      </c>
      <c r="C562" s="34" t="inlineStr">
        <is>
          <t>Central interlocking: signal equipment installation - inspection</t>
        </is>
      </c>
      <c r="D562" s="34" t="inlineStr">
        <is>
          <t>WBS Code = 1.3.1</t>
        </is>
      </c>
      <c r="E562" s="34" t="inlineStr">
        <is>
          <t>R370-v1</t>
        </is>
      </c>
      <c r="F562" s="34" t="inlineStr">
        <is>
          <t>1.3.1 Systems - Traction Power</t>
        </is>
      </c>
      <c r="G562" s="34" t="inlineStr">
        <is>
          <t>ONE_TO_ONE</t>
        </is>
      </c>
      <c r="H562" s="34" t="inlineStr">
        <is>
          <t>APPROVED</t>
        </is>
      </c>
      <c r="I562" s="34" t="inlineStr">
        <is>
          <t>New</t>
        </is>
      </c>
      <c r="J562" s="34" t="inlineStr">
        <is>
          <t>Source assignment -- not individually reviewed</t>
        </is>
      </c>
      <c r="K562" s="39" t="inlineStr"/>
      <c r="L562" s="14" t="inlineStr"/>
      <c r="M562" s="14" t="inlineStr"/>
      <c r="N562" s="92" t="inlineStr">
        <is>
          <t>10 EVIDENCE &amp; DECISIONS</t>
        </is>
      </c>
    </row>
    <row r="563" ht="34" customHeight="1">
      <c r="A563" s="34" t="inlineStr">
        <is>
          <t>Contractor Programme</t>
        </is>
      </c>
      <c r="B563" s="34" t="inlineStr">
        <is>
          <t>SCH-03-011</t>
        </is>
      </c>
      <c r="C563" s="34" t="inlineStr">
        <is>
          <t>Harbour Station: radio equipment installation - turnover</t>
        </is>
      </c>
      <c r="D563" s="34" t="inlineStr">
        <is>
          <t>WBS Code = 1.3.1</t>
        </is>
      </c>
      <c r="E563" s="34" t="inlineStr">
        <is>
          <t>R371-v1</t>
        </is>
      </c>
      <c r="F563" s="34" t="inlineStr">
        <is>
          <t>1.3.1 Systems - Traction Power</t>
        </is>
      </c>
      <c r="G563" s="34" t="inlineStr">
        <is>
          <t>ONE_TO_ONE</t>
        </is>
      </c>
      <c r="H563" s="34" t="inlineStr">
        <is>
          <t>APPROVED</t>
        </is>
      </c>
      <c r="I563" s="34" t="inlineStr">
        <is>
          <t>New</t>
        </is>
      </c>
      <c r="J563" s="34" t="inlineStr">
        <is>
          <t>Source assignment -- not individually reviewed</t>
        </is>
      </c>
      <c r="K563" s="39" t="inlineStr"/>
      <c r="L563" s="14" t="inlineStr"/>
      <c r="M563" s="14" t="inlineStr"/>
      <c r="N563" s="92" t="inlineStr">
        <is>
          <t>10 EVIDENCE &amp; DECISIONS</t>
        </is>
      </c>
    </row>
    <row r="564" ht="34" customHeight="1">
      <c r="A564" s="34" t="inlineStr">
        <is>
          <t>Contractor Programme</t>
        </is>
      </c>
      <c r="B564" s="34" t="inlineStr">
        <is>
          <t>SCH-03-013</t>
        </is>
      </c>
      <c r="C564" s="34" t="inlineStr">
        <is>
          <t>West wayside: fibre backbone termination - field start</t>
        </is>
      </c>
      <c r="D564" s="34" t="inlineStr">
        <is>
          <t>WBS Code = 1.3.1</t>
        </is>
      </c>
      <c r="E564" s="34" t="inlineStr">
        <is>
          <t>R373-v1</t>
        </is>
      </c>
      <c r="F564" s="34" t="inlineStr">
        <is>
          <t>1.3.1 Systems - Traction Power</t>
        </is>
      </c>
      <c r="G564" s="34" t="inlineStr">
        <is>
          <t>ONE_TO_ONE</t>
        </is>
      </c>
      <c r="H564" s="34" t="inlineStr">
        <is>
          <t>APPROVED</t>
        </is>
      </c>
      <c r="I564" s="34" t="inlineStr">
        <is>
          <t>New</t>
        </is>
      </c>
      <c r="J564" s="34" t="inlineStr">
        <is>
          <t>Source assignment -- not individually reviewed</t>
        </is>
      </c>
      <c r="K564" s="39" t="inlineStr"/>
      <c r="L564" s="14" t="inlineStr"/>
      <c r="M564" s="14" t="inlineStr"/>
      <c r="N564" s="92" t="inlineStr">
        <is>
          <t>10 EVIDENCE &amp; DECISIONS</t>
        </is>
      </c>
    </row>
    <row r="565" ht="34" customHeight="1">
      <c r="A565" s="34" t="inlineStr">
        <is>
          <t>Contractor Programme</t>
        </is>
      </c>
      <c r="B565" s="34" t="inlineStr">
        <is>
          <t>SCH-03-014</t>
        </is>
      </c>
      <c r="C565" s="34" t="inlineStr">
        <is>
          <t>East substation: SCADA point-to-point check - installation</t>
        </is>
      </c>
      <c r="D565" s="34" t="inlineStr">
        <is>
          <t>WBS Code = 1.3.1</t>
        </is>
      </c>
      <c r="E565" s="34" t="inlineStr">
        <is>
          <t>R374-v1</t>
        </is>
      </c>
      <c r="F565" s="34" t="inlineStr">
        <is>
          <t>1.3.1 Systems - Traction Power</t>
        </is>
      </c>
      <c r="G565" s="34" t="inlineStr">
        <is>
          <t>ONE_TO_ONE</t>
        </is>
      </c>
      <c r="H565" s="34" t="inlineStr">
        <is>
          <t>APPROVED</t>
        </is>
      </c>
      <c r="I565" s="34" t="inlineStr">
        <is>
          <t>New</t>
        </is>
      </c>
      <c r="J565" s="34" t="inlineStr">
        <is>
          <t>Source assignment -- not individually reviewed</t>
        </is>
      </c>
      <c r="K565" s="39" t="inlineStr"/>
      <c r="L565" s="14" t="inlineStr"/>
      <c r="M565" s="14" t="inlineStr"/>
      <c r="N565" s="92" t="inlineStr">
        <is>
          <t>10 EVIDENCE &amp; DECISIONS</t>
        </is>
      </c>
    </row>
    <row r="566" ht="34" customHeight="1">
      <c r="A566" s="34" t="inlineStr">
        <is>
          <t>Contractor Programme</t>
        </is>
      </c>
      <c r="B566" s="34" t="inlineStr">
        <is>
          <t>SCH-03-016</t>
        </is>
      </c>
      <c r="C566" s="34" t="inlineStr">
        <is>
          <t>Harbour Station: train-control cabinet fit-out - turnover</t>
        </is>
      </c>
      <c r="D566" s="34" t="inlineStr">
        <is>
          <t>WBS Code = 1.3.1</t>
        </is>
      </c>
      <c r="E566" s="34" t="inlineStr">
        <is>
          <t>R376-v1</t>
        </is>
      </c>
      <c r="F566" s="34" t="inlineStr">
        <is>
          <t>1.3.1 Systems - Traction Power</t>
        </is>
      </c>
      <c r="G566" s="34" t="inlineStr">
        <is>
          <t>ONE_TO_ONE</t>
        </is>
      </c>
      <c r="H566" s="34" t="inlineStr">
        <is>
          <t>APPROVED</t>
        </is>
      </c>
      <c r="I566" s="34" t="inlineStr">
        <is>
          <t>New</t>
        </is>
      </c>
      <c r="J566" s="34" t="inlineStr">
        <is>
          <t>Source assignment -- not individually reviewed</t>
        </is>
      </c>
      <c r="K566" s="39" t="inlineStr"/>
      <c r="L566" s="14" t="inlineStr"/>
      <c r="M566" s="14" t="inlineStr"/>
      <c r="N566" s="92" t="inlineStr">
        <is>
          <t>10 EVIDENCE &amp; DECISIONS</t>
        </is>
      </c>
    </row>
    <row r="567" ht="34" customHeight="1">
      <c r="A567" s="34" t="inlineStr">
        <is>
          <t>Contractor Programme</t>
        </is>
      </c>
      <c r="B567" s="34" t="inlineStr">
        <is>
          <t>SCH-03-017</t>
        </is>
      </c>
      <c r="C567" s="34" t="inlineStr">
        <is>
          <t>Control Centre: wayside interface test - release</t>
        </is>
      </c>
      <c r="D567" s="34" t="inlineStr">
        <is>
          <t>WBS Code = 1.3.1</t>
        </is>
      </c>
      <c r="E567" s="34" t="inlineStr">
        <is>
          <t>R377-v1</t>
        </is>
      </c>
      <c r="F567" s="34" t="inlineStr">
        <is>
          <t>1.3.1 Systems - Traction Power</t>
        </is>
      </c>
      <c r="G567" s="34" t="inlineStr">
        <is>
          <t>ONE_TO_ONE</t>
        </is>
      </c>
      <c r="H567" s="34" t="inlineStr">
        <is>
          <t>APPROVED</t>
        </is>
      </c>
      <c r="I567" s="34" t="inlineStr">
        <is>
          <t>New</t>
        </is>
      </c>
      <c r="J567" s="34" t="inlineStr">
        <is>
          <t>Source assignment -- not individually reviewed</t>
        </is>
      </c>
      <c r="K567" s="39" t="inlineStr"/>
      <c r="L567" s="14" t="inlineStr"/>
      <c r="M567" s="14" t="inlineStr"/>
      <c r="N567" s="92" t="inlineStr">
        <is>
          <t>10 EVIDENCE &amp; DECISIONS</t>
        </is>
      </c>
    </row>
    <row r="568" ht="34" customHeight="1">
      <c r="A568" s="34" t="inlineStr">
        <is>
          <t>Contractor Programme</t>
        </is>
      </c>
      <c r="B568" s="34" t="inlineStr">
        <is>
          <t>SCH-03-019</t>
        </is>
      </c>
      <c r="C568" s="34" t="inlineStr">
        <is>
          <t>East substation: radio equipment installation - installation</t>
        </is>
      </c>
      <c r="D568" s="34" t="inlineStr">
        <is>
          <t>WBS Code = 1.3.1</t>
        </is>
      </c>
      <c r="E568" s="34" t="inlineStr">
        <is>
          <t>R379-v1</t>
        </is>
      </c>
      <c r="F568" s="34" t="inlineStr">
        <is>
          <t>1.3.1 Systems - Traction Power</t>
        </is>
      </c>
      <c r="G568" s="34" t="inlineStr">
        <is>
          <t>ONE_TO_ONE</t>
        </is>
      </c>
      <c r="H568" s="34" t="inlineStr">
        <is>
          <t>APPROVED</t>
        </is>
      </c>
      <c r="I568" s="34" t="inlineStr">
        <is>
          <t>New</t>
        </is>
      </c>
      <c r="J568" s="34" t="inlineStr">
        <is>
          <t>Source assignment -- not individually reviewed</t>
        </is>
      </c>
      <c r="K568" s="39" t="inlineStr"/>
      <c r="L568" s="14" t="inlineStr"/>
      <c r="M568" s="14" t="inlineStr"/>
      <c r="N568" s="92" t="inlineStr">
        <is>
          <t>10 EVIDENCE &amp; DECISIONS</t>
        </is>
      </c>
    </row>
    <row r="569" ht="34" customHeight="1">
      <c r="A569" s="34" t="inlineStr">
        <is>
          <t>Contractor Programme</t>
        </is>
      </c>
      <c r="B569" s="34" t="inlineStr">
        <is>
          <t>SCH-03-020</t>
        </is>
      </c>
      <c r="C569" s="34" t="inlineStr">
        <is>
          <t>Central interlocking: control-centre integration - inspection</t>
        </is>
      </c>
      <c r="D569" s="34" t="inlineStr">
        <is>
          <t>WBS Code = 1.3.1</t>
        </is>
      </c>
      <c r="E569" s="34" t="inlineStr">
        <is>
          <t>R380-v1</t>
        </is>
      </c>
      <c r="F569" s="34" t="inlineStr">
        <is>
          <t>1.3.1 Systems - Traction Power</t>
        </is>
      </c>
      <c r="G569" s="34" t="inlineStr">
        <is>
          <t>ONE_TO_ONE</t>
        </is>
      </c>
      <c r="H569" s="34" t="inlineStr">
        <is>
          <t>APPROVED</t>
        </is>
      </c>
      <c r="I569" s="34" t="inlineStr">
        <is>
          <t>New</t>
        </is>
      </c>
      <c r="J569" s="34" t="inlineStr">
        <is>
          <t>Source assignment -- not individually reviewed</t>
        </is>
      </c>
      <c r="K569" s="39" t="inlineStr"/>
      <c r="L569" s="14" t="inlineStr"/>
      <c r="M569" s="14" t="inlineStr"/>
      <c r="N569" s="92" t="inlineStr">
        <is>
          <t>10 EVIDENCE &amp; DECISIONS</t>
        </is>
      </c>
    </row>
    <row r="570" ht="34" customHeight="1">
      <c r="A570" s="34" t="inlineStr">
        <is>
          <t>Contractor Programme</t>
        </is>
      </c>
      <c r="B570" s="34" t="inlineStr">
        <is>
          <t>SCH-03-022</t>
        </is>
      </c>
      <c r="C570" s="34" t="inlineStr">
        <is>
          <t>Control Centre: SCADA point-to-point check - release</t>
        </is>
      </c>
      <c r="D570" s="34" t="inlineStr">
        <is>
          <t>WBS Code = 1.3.1</t>
        </is>
      </c>
      <c r="E570" s="34" t="inlineStr">
        <is>
          <t>R382-v1</t>
        </is>
      </c>
      <c r="F570" s="34" t="inlineStr">
        <is>
          <t>1.3.1 Systems - Traction Power</t>
        </is>
      </c>
      <c r="G570" s="34" t="inlineStr">
        <is>
          <t>ONE_TO_ONE</t>
        </is>
      </c>
      <c r="H570" s="34" t="inlineStr">
        <is>
          <t>APPROVED</t>
        </is>
      </c>
      <c r="I570" s="34" t="inlineStr">
        <is>
          <t>New</t>
        </is>
      </c>
      <c r="J570" s="34" t="inlineStr">
        <is>
          <t>Source assignment -- not individually reviewed</t>
        </is>
      </c>
      <c r="K570" s="39" t="inlineStr"/>
      <c r="L570" s="14" t="inlineStr"/>
      <c r="M570" s="14" t="inlineStr"/>
      <c r="N570" s="92" t="inlineStr">
        <is>
          <t>10 EVIDENCE &amp; DECISIONS</t>
        </is>
      </c>
    </row>
    <row r="571" ht="34" customHeight="1">
      <c r="A571" s="34" t="inlineStr">
        <is>
          <t>Contractor Programme</t>
        </is>
      </c>
      <c r="B571" s="34" t="inlineStr">
        <is>
          <t>SCH-03-023</t>
        </is>
      </c>
      <c r="C571" s="34" t="inlineStr">
        <is>
          <t>West wayside: traction-power feeder pull - field start</t>
        </is>
      </c>
      <c r="D571" s="34" t="inlineStr">
        <is>
          <t>WBS Code = 1.3.1</t>
        </is>
      </c>
      <c r="E571" s="34" t="inlineStr">
        <is>
          <t>R383-v1</t>
        </is>
      </c>
      <c r="F571" s="34" t="inlineStr">
        <is>
          <t>1.3.1 Systems - Traction Power</t>
        </is>
      </c>
      <c r="G571" s="34" t="inlineStr">
        <is>
          <t>ONE_TO_ONE</t>
        </is>
      </c>
      <c r="H571" s="34" t="inlineStr">
        <is>
          <t>APPROVED</t>
        </is>
      </c>
      <c r="I571" s="34" t="inlineStr">
        <is>
          <t>New</t>
        </is>
      </c>
      <c r="J571" s="34" t="inlineStr">
        <is>
          <t>Source assignment -- not individually reviewed</t>
        </is>
      </c>
      <c r="K571" s="39" t="inlineStr"/>
      <c r="L571" s="14" t="inlineStr"/>
      <c r="M571" s="14" t="inlineStr"/>
      <c r="N571" s="92" t="inlineStr">
        <is>
          <t>10 EVIDENCE &amp; DECISIONS</t>
        </is>
      </c>
    </row>
    <row r="572" ht="34" customHeight="1">
      <c r="A572" s="34" t="inlineStr">
        <is>
          <t>Contractor Programme</t>
        </is>
      </c>
      <c r="B572" s="34" t="inlineStr">
        <is>
          <t>SCH-03-025</t>
        </is>
      </c>
      <c r="C572" s="34" t="inlineStr">
        <is>
          <t>Central interlocking: wayside interface test - inspection</t>
        </is>
      </c>
      <c r="D572" s="34" t="inlineStr">
        <is>
          <t>WBS Code = 1.3.1</t>
        </is>
      </c>
      <c r="E572" s="34" t="inlineStr">
        <is>
          <t>R385-v1</t>
        </is>
      </c>
      <c r="F572" s="34" t="inlineStr">
        <is>
          <t>1.3.1 Systems - Traction Power</t>
        </is>
      </c>
      <c r="G572" s="34" t="inlineStr">
        <is>
          <t>ONE_TO_ONE</t>
        </is>
      </c>
      <c r="H572" s="34" t="inlineStr">
        <is>
          <t>APPROVED</t>
        </is>
      </c>
      <c r="I572" s="34" t="inlineStr">
        <is>
          <t>New</t>
        </is>
      </c>
      <c r="J572" s="34" t="inlineStr">
        <is>
          <t>Source assignment -- not individually reviewed</t>
        </is>
      </c>
      <c r="K572" s="39" t="inlineStr"/>
      <c r="L572" s="14" t="inlineStr"/>
      <c r="M572" s="14" t="inlineStr"/>
      <c r="N572" s="92" t="inlineStr">
        <is>
          <t>10 EVIDENCE &amp; DECISIONS</t>
        </is>
      </c>
    </row>
    <row r="573" ht="34" customHeight="1">
      <c r="A573" s="34" t="inlineStr">
        <is>
          <t>Contractor Programme</t>
        </is>
      </c>
      <c r="B573" s="34" t="inlineStr">
        <is>
          <t>SCH-03-026</t>
        </is>
      </c>
      <c r="C573" s="34" t="inlineStr">
        <is>
          <t>Harbour Station: signal equipment installation - turnover</t>
        </is>
      </c>
      <c r="D573" s="34" t="inlineStr">
        <is>
          <t>WBS Code = 1.3.1</t>
        </is>
      </c>
      <c r="E573" s="34" t="inlineStr">
        <is>
          <t>R386-v1</t>
        </is>
      </c>
      <c r="F573" s="34" t="inlineStr">
        <is>
          <t>1.3.1 Systems - Traction Power</t>
        </is>
      </c>
      <c r="G573" s="34" t="inlineStr">
        <is>
          <t>ONE_TO_ONE</t>
        </is>
      </c>
      <c r="H573" s="34" t="inlineStr">
        <is>
          <t>APPROVED</t>
        </is>
      </c>
      <c r="I573" s="34" t="inlineStr">
        <is>
          <t>New</t>
        </is>
      </c>
      <c r="J573" s="34" t="inlineStr">
        <is>
          <t>Source assignment -- not individually reviewed</t>
        </is>
      </c>
      <c r="K573" s="39" t="inlineStr"/>
      <c r="L573" s="14" t="inlineStr"/>
      <c r="M573" s="14" t="inlineStr"/>
      <c r="N573" s="92" t="inlineStr">
        <is>
          <t>10 EVIDENCE &amp; DECISIONS</t>
        </is>
      </c>
    </row>
    <row r="574" ht="34" customHeight="1">
      <c r="A574" s="34" t="inlineStr">
        <is>
          <t>Contractor Programme</t>
        </is>
      </c>
      <c r="B574" s="34" t="inlineStr">
        <is>
          <t>SCH-03-028</t>
        </is>
      </c>
      <c r="C574" s="34" t="inlineStr">
        <is>
          <t>West wayside: control-centre integration - field start</t>
        </is>
      </c>
      <c r="D574" s="34" t="inlineStr">
        <is>
          <t>WBS Code = 1.3.1</t>
        </is>
      </c>
      <c r="E574" s="34" t="inlineStr">
        <is>
          <t>R388-v1</t>
        </is>
      </c>
      <c r="F574" s="34" t="inlineStr">
        <is>
          <t>1.3.1 Systems - Traction Power</t>
        </is>
      </c>
      <c r="G574" s="34" t="inlineStr">
        <is>
          <t>ONE_TO_ONE</t>
        </is>
      </c>
      <c r="H574" s="34" t="inlineStr">
        <is>
          <t>APPROVED</t>
        </is>
      </c>
      <c r="I574" s="34" t="inlineStr">
        <is>
          <t>New</t>
        </is>
      </c>
      <c r="J574" s="34" t="inlineStr">
        <is>
          <t>Source assignment -- not individually reviewed</t>
        </is>
      </c>
      <c r="K574" s="39" t="inlineStr"/>
      <c r="L574" s="14" t="inlineStr"/>
      <c r="M574" s="14" t="inlineStr"/>
      <c r="N574" s="92" t="inlineStr">
        <is>
          <t>10 EVIDENCE &amp; DECISIONS</t>
        </is>
      </c>
    </row>
    <row r="575" ht="34" customHeight="1">
      <c r="A575" s="34" t="inlineStr">
        <is>
          <t>Contractor Programme</t>
        </is>
      </c>
      <c r="B575" s="34" t="inlineStr">
        <is>
          <t>SCH-03-029</t>
        </is>
      </c>
      <c r="C575" s="34" t="inlineStr">
        <is>
          <t>East substation: fibre backbone termination - installation</t>
        </is>
      </c>
      <c r="D575" s="34" t="inlineStr">
        <is>
          <t>WBS Code = 1.3.1</t>
        </is>
      </c>
      <c r="E575" s="34" t="inlineStr">
        <is>
          <t>R389-v1</t>
        </is>
      </c>
      <c r="F575" s="34" t="inlineStr">
        <is>
          <t>1.3.1 Systems - Traction Power</t>
        </is>
      </c>
      <c r="G575" s="34" t="inlineStr">
        <is>
          <t>ONE_TO_ONE</t>
        </is>
      </c>
      <c r="H575" s="34" t="inlineStr">
        <is>
          <t>APPROVED</t>
        </is>
      </c>
      <c r="I575" s="34" t="inlineStr">
        <is>
          <t>New</t>
        </is>
      </c>
      <c r="J575" s="34" t="inlineStr">
        <is>
          <t>Source assignment -- not individually reviewed</t>
        </is>
      </c>
      <c r="K575" s="39" t="inlineStr"/>
      <c r="L575" s="14" t="inlineStr"/>
      <c r="M575" s="14" t="inlineStr"/>
      <c r="N575" s="92" t="inlineStr">
        <is>
          <t>10 EVIDENCE &amp; DECISIONS</t>
        </is>
      </c>
    </row>
    <row r="576" ht="34" customHeight="1">
      <c r="A576" s="34" t="inlineStr">
        <is>
          <t>Contractor Programme</t>
        </is>
      </c>
      <c r="B576" s="34" t="inlineStr">
        <is>
          <t>SCH-03-031</t>
        </is>
      </c>
      <c r="C576" s="34" t="inlineStr">
        <is>
          <t>Harbour Station: traction-power feeder pull - turnover</t>
        </is>
      </c>
      <c r="D576" s="34" t="inlineStr">
        <is>
          <t>WBS Code = 1.3.1</t>
        </is>
      </c>
      <c r="E576" s="34" t="inlineStr">
        <is>
          <t>R391-v1</t>
        </is>
      </c>
      <c r="F576" s="34" t="inlineStr">
        <is>
          <t>1.3.1 Systems - Traction Power</t>
        </is>
      </c>
      <c r="G576" s="34" t="inlineStr">
        <is>
          <t>ONE_TO_ONE</t>
        </is>
      </c>
      <c r="H576" s="34" t="inlineStr">
        <is>
          <t>APPROVED</t>
        </is>
      </c>
      <c r="I576" s="34" t="inlineStr">
        <is>
          <t>New</t>
        </is>
      </c>
      <c r="J576" s="34" t="inlineStr">
        <is>
          <t>Source assignment -- not individually reviewed</t>
        </is>
      </c>
      <c r="K576" s="39" t="inlineStr"/>
      <c r="L576" s="14" t="inlineStr"/>
      <c r="M576" s="14" t="inlineStr"/>
      <c r="N576" s="92" t="inlineStr">
        <is>
          <t>10 EVIDENCE &amp; DECISIONS</t>
        </is>
      </c>
    </row>
    <row r="577" ht="34" customHeight="1">
      <c r="A577" s="34" t="inlineStr">
        <is>
          <t>Contractor Programme</t>
        </is>
      </c>
      <c r="B577" s="34" t="inlineStr">
        <is>
          <t>SCH-03-032</t>
        </is>
      </c>
      <c r="C577" s="34" t="inlineStr">
        <is>
          <t>Control Centre: train-control cabinet fit-out - release</t>
        </is>
      </c>
      <c r="D577" s="34" t="inlineStr">
        <is>
          <t>WBS Code = 1.3.1</t>
        </is>
      </c>
      <c r="E577" s="34" t="inlineStr">
        <is>
          <t>R392-v1</t>
        </is>
      </c>
      <c r="F577" s="34" t="inlineStr">
        <is>
          <t>1.3.1 Systems - Traction Power</t>
        </is>
      </c>
      <c r="G577" s="34" t="inlineStr">
        <is>
          <t>ONE_TO_ONE</t>
        </is>
      </c>
      <c r="H577" s="34" t="inlineStr">
        <is>
          <t>APPROVED</t>
        </is>
      </c>
      <c r="I577" s="34" t="inlineStr">
        <is>
          <t>New</t>
        </is>
      </c>
      <c r="J577" s="34" t="inlineStr">
        <is>
          <t>Source assignment -- not individually reviewed</t>
        </is>
      </c>
      <c r="K577" s="39" t="inlineStr"/>
      <c r="L577" s="14" t="inlineStr"/>
      <c r="M577" s="14" t="inlineStr"/>
      <c r="N577" s="92" t="inlineStr">
        <is>
          <t>10 EVIDENCE &amp; DECISIONS</t>
        </is>
      </c>
    </row>
    <row r="578" ht="34" customHeight="1">
      <c r="A578" s="34" t="inlineStr">
        <is>
          <t>Contractor Programme</t>
        </is>
      </c>
      <c r="B578" s="34" t="inlineStr">
        <is>
          <t>SCH-03-034</t>
        </is>
      </c>
      <c r="C578" s="34" t="inlineStr">
        <is>
          <t>East substation: signal equipment installation - installation</t>
        </is>
      </c>
      <c r="D578" s="34" t="inlineStr">
        <is>
          <t>WBS Code = 1.3.1</t>
        </is>
      </c>
      <c r="E578" s="34" t="inlineStr">
        <is>
          <t>R394-v1</t>
        </is>
      </c>
      <c r="F578" s="34" t="inlineStr">
        <is>
          <t>1.3.1 Systems - Traction Power</t>
        </is>
      </c>
      <c r="G578" s="34" t="inlineStr">
        <is>
          <t>ONE_TO_ONE</t>
        </is>
      </c>
      <c r="H578" s="34" t="inlineStr">
        <is>
          <t>APPROVED</t>
        </is>
      </c>
      <c r="I578" s="34" t="inlineStr">
        <is>
          <t>New</t>
        </is>
      </c>
      <c r="J578" s="34" t="inlineStr">
        <is>
          <t>Source assignment -- not individually reviewed</t>
        </is>
      </c>
      <c r="K578" s="39" t="inlineStr"/>
      <c r="L578" s="14" t="inlineStr"/>
      <c r="M578" s="14" t="inlineStr"/>
      <c r="N578" s="92" t="inlineStr">
        <is>
          <t>10 EVIDENCE &amp; DECISIONS</t>
        </is>
      </c>
    </row>
    <row r="579" ht="34" customHeight="1">
      <c r="A579" s="34" t="inlineStr">
        <is>
          <t>Contractor Programme</t>
        </is>
      </c>
      <c r="B579" s="34" t="inlineStr">
        <is>
          <t>SCH-03-035</t>
        </is>
      </c>
      <c r="C579" s="34" t="inlineStr">
        <is>
          <t>Central interlocking: radio equipment installation - inspection</t>
        </is>
      </c>
      <c r="D579" s="34" t="inlineStr">
        <is>
          <t>WBS Code = 1.3.1</t>
        </is>
      </c>
      <c r="E579" s="34" t="inlineStr">
        <is>
          <t>R395-v1</t>
        </is>
      </c>
      <c r="F579" s="34" t="inlineStr">
        <is>
          <t>1.3.1 Systems - Traction Power</t>
        </is>
      </c>
      <c r="G579" s="34" t="inlineStr">
        <is>
          <t>ONE_TO_ONE</t>
        </is>
      </c>
      <c r="H579" s="34" t="inlineStr">
        <is>
          <t>APPROVED</t>
        </is>
      </c>
      <c r="I579" s="34" t="inlineStr">
        <is>
          <t>New</t>
        </is>
      </c>
      <c r="J579" s="34" t="inlineStr">
        <is>
          <t>Source assignment -- not individually reviewed</t>
        </is>
      </c>
      <c r="K579" s="39" t="inlineStr"/>
      <c r="L579" s="14" t="inlineStr"/>
      <c r="M579" s="14" t="inlineStr"/>
      <c r="N579" s="92" t="inlineStr">
        <is>
          <t>10 EVIDENCE &amp; DECISIONS</t>
        </is>
      </c>
    </row>
    <row r="580" ht="34" customHeight="1">
      <c r="A580" s="34" t="inlineStr">
        <is>
          <t>Contractor Programme</t>
        </is>
      </c>
      <c r="B580" s="34" t="inlineStr">
        <is>
          <t>SCH-03-037</t>
        </is>
      </c>
      <c r="C580" s="34" t="inlineStr">
        <is>
          <t>Control Centre: fibre backbone termination - release</t>
        </is>
      </c>
      <c r="D580" s="34" t="inlineStr">
        <is>
          <t>WBS Code = 1.3.1</t>
        </is>
      </c>
      <c r="E580" s="34" t="inlineStr">
        <is>
          <t>R397-v1</t>
        </is>
      </c>
      <c r="F580" s="34" t="inlineStr">
        <is>
          <t>1.3.1 Systems - Traction Power</t>
        </is>
      </c>
      <c r="G580" s="34" t="inlineStr">
        <is>
          <t>ONE_TO_ONE</t>
        </is>
      </c>
      <c r="H580" s="34" t="inlineStr">
        <is>
          <t>APPROVED</t>
        </is>
      </c>
      <c r="I580" s="34" t="inlineStr">
        <is>
          <t>New</t>
        </is>
      </c>
      <c r="J580" s="34" t="inlineStr">
        <is>
          <t>Source assignment -- not individually reviewed</t>
        </is>
      </c>
      <c r="K580" s="39" t="inlineStr"/>
      <c r="L580" s="14" t="inlineStr"/>
      <c r="M580" s="14" t="inlineStr"/>
      <c r="N580" s="92" t="inlineStr">
        <is>
          <t>10 EVIDENCE &amp; DECISIONS</t>
        </is>
      </c>
    </row>
    <row r="581" ht="34" customHeight="1">
      <c r="A581" s="34" t="inlineStr">
        <is>
          <t>Contractor Programme</t>
        </is>
      </c>
      <c r="B581" s="34" t="inlineStr">
        <is>
          <t>SCH-03-038</t>
        </is>
      </c>
      <c r="C581" s="34" t="inlineStr">
        <is>
          <t>West wayside: SCADA point-to-point check - field start</t>
        </is>
      </c>
      <c r="D581" s="34" t="inlineStr">
        <is>
          <t>WBS Code = 1.3.1</t>
        </is>
      </c>
      <c r="E581" s="34" t="inlineStr">
        <is>
          <t>R398-v1</t>
        </is>
      </c>
      <c r="F581" s="34" t="inlineStr">
        <is>
          <t>1.3.1 Systems - Traction Power</t>
        </is>
      </c>
      <c r="G581" s="34" t="inlineStr">
        <is>
          <t>ONE_TO_ONE</t>
        </is>
      </c>
      <c r="H581" s="34" t="inlineStr">
        <is>
          <t>APPROVED</t>
        </is>
      </c>
      <c r="I581" s="34" t="inlineStr">
        <is>
          <t>New</t>
        </is>
      </c>
      <c r="J581" s="34" t="inlineStr">
        <is>
          <t>Source assignment -- not individually reviewed</t>
        </is>
      </c>
      <c r="K581" s="39" t="inlineStr"/>
      <c r="L581" s="14" t="inlineStr"/>
      <c r="M581" s="14" t="inlineStr"/>
      <c r="N581" s="92" t="inlineStr">
        <is>
          <t>10 EVIDENCE &amp; DECISIONS</t>
        </is>
      </c>
    </row>
    <row r="582" ht="34" customHeight="1">
      <c r="A582" s="34" t="inlineStr">
        <is>
          <t>Contractor Programme</t>
        </is>
      </c>
      <c r="B582" s="34" t="inlineStr">
        <is>
          <t>SCH-03-040</t>
        </is>
      </c>
      <c r="C582" s="34" t="inlineStr">
        <is>
          <t>Central interlocking: train-control cabinet fit-out - inspection</t>
        </is>
      </c>
      <c r="D582" s="34" t="inlineStr">
        <is>
          <t>WBS Code = 1.3.1</t>
        </is>
      </c>
      <c r="E582" s="34" t="inlineStr">
        <is>
          <t>R400-v1</t>
        </is>
      </c>
      <c r="F582" s="34" t="inlineStr">
        <is>
          <t>1.3.1 Systems - Traction Power</t>
        </is>
      </c>
      <c r="G582" s="34" t="inlineStr">
        <is>
          <t>ONE_TO_ONE</t>
        </is>
      </c>
      <c r="H582" s="34" t="inlineStr">
        <is>
          <t>APPROVED</t>
        </is>
      </c>
      <c r="I582" s="34" t="inlineStr">
        <is>
          <t>New</t>
        </is>
      </c>
      <c r="J582" s="34" t="inlineStr">
        <is>
          <t>Source assignment -- not individually reviewed</t>
        </is>
      </c>
      <c r="K582" s="39" t="inlineStr"/>
      <c r="L582" s="14" t="inlineStr"/>
      <c r="M582" s="14" t="inlineStr"/>
      <c r="N582" s="92" t="inlineStr">
        <is>
          <t>10 EVIDENCE &amp; DECISIONS</t>
        </is>
      </c>
    </row>
    <row r="583" ht="34" customHeight="1">
      <c r="A583" s="34" t="inlineStr">
        <is>
          <t>Contractor Programme</t>
        </is>
      </c>
      <c r="B583" s="34" t="inlineStr">
        <is>
          <t>SCH-03-041</t>
        </is>
      </c>
      <c r="C583" s="34" t="inlineStr">
        <is>
          <t>Harbour Station: wayside interface test - turnover</t>
        </is>
      </c>
      <c r="D583" s="34" t="inlineStr">
        <is>
          <t>WBS Code = 1.3.1</t>
        </is>
      </c>
      <c r="E583" s="34" t="inlineStr">
        <is>
          <t>R401-v1</t>
        </is>
      </c>
      <c r="F583" s="34" t="inlineStr">
        <is>
          <t>1.3.1 Systems - Traction Power</t>
        </is>
      </c>
      <c r="G583" s="34" t="inlineStr">
        <is>
          <t>ONE_TO_ONE</t>
        </is>
      </c>
      <c r="H583" s="34" t="inlineStr">
        <is>
          <t>APPROVED</t>
        </is>
      </c>
      <c r="I583" s="34" t="inlineStr">
        <is>
          <t>New</t>
        </is>
      </c>
      <c r="J583" s="34" t="inlineStr">
        <is>
          <t>Source assignment -- not individually reviewed</t>
        </is>
      </c>
      <c r="K583" s="39" t="inlineStr"/>
      <c r="L583" s="14" t="inlineStr"/>
      <c r="M583" s="14" t="inlineStr"/>
      <c r="N583" s="92" t="inlineStr">
        <is>
          <t>10 EVIDENCE &amp; DECISIONS</t>
        </is>
      </c>
    </row>
    <row r="584" ht="34" customHeight="1">
      <c r="A584" s="34" t="inlineStr">
        <is>
          <t>Contractor Programme</t>
        </is>
      </c>
      <c r="B584" s="34" t="inlineStr">
        <is>
          <t>SCH-03-043</t>
        </is>
      </c>
      <c r="C584" s="34" t="inlineStr">
        <is>
          <t>West wayside: radio equipment installation - field start</t>
        </is>
      </c>
      <c r="D584" s="34" t="inlineStr">
        <is>
          <t>WBS Code = 1.3.1</t>
        </is>
      </c>
      <c r="E584" s="34" t="inlineStr">
        <is>
          <t>R403-v1</t>
        </is>
      </c>
      <c r="F584" s="34" t="inlineStr">
        <is>
          <t>1.3.1 Systems - Traction Power</t>
        </is>
      </c>
      <c r="G584" s="34" t="inlineStr">
        <is>
          <t>ONE_TO_ONE</t>
        </is>
      </c>
      <c r="H584" s="34" t="inlineStr">
        <is>
          <t>APPROVED</t>
        </is>
      </c>
      <c r="I584" s="34" t="inlineStr">
        <is>
          <t>New</t>
        </is>
      </c>
      <c r="J584" s="34" t="inlineStr">
        <is>
          <t>Source assignment -- not individually reviewed</t>
        </is>
      </c>
      <c r="K584" s="39" t="inlineStr"/>
      <c r="L584" s="14" t="inlineStr"/>
      <c r="M584" s="14" t="inlineStr"/>
      <c r="N584" s="92" t="inlineStr">
        <is>
          <t>10 EVIDENCE &amp; DECISIONS</t>
        </is>
      </c>
    </row>
    <row r="585" ht="34" customHeight="1">
      <c r="A585" s="34" t="inlineStr">
        <is>
          <t>Contractor Programme</t>
        </is>
      </c>
      <c r="B585" s="34" t="inlineStr">
        <is>
          <t>SCH-03-044</t>
        </is>
      </c>
      <c r="C585" s="34" t="inlineStr">
        <is>
          <t>East substation: control-centre integration - installation</t>
        </is>
      </c>
      <c r="D585" s="34" t="inlineStr">
        <is>
          <t>WBS Code = 1.3.1</t>
        </is>
      </c>
      <c r="E585" s="34" t="inlineStr">
        <is>
          <t>R404-v1</t>
        </is>
      </c>
      <c r="F585" s="34" t="inlineStr">
        <is>
          <t>1.3.1 Systems - Traction Power</t>
        </is>
      </c>
      <c r="G585" s="34" t="inlineStr">
        <is>
          <t>ONE_TO_ONE</t>
        </is>
      </c>
      <c r="H585" s="34" t="inlineStr">
        <is>
          <t>APPROVED</t>
        </is>
      </c>
      <c r="I585" s="34" t="inlineStr">
        <is>
          <t>New</t>
        </is>
      </c>
      <c r="J585" s="34" t="inlineStr">
        <is>
          <t>Source assignment -- not individually reviewed</t>
        </is>
      </c>
      <c r="K585" s="39" t="inlineStr"/>
      <c r="L585" s="14" t="inlineStr"/>
      <c r="M585" s="14" t="inlineStr"/>
      <c r="N585" s="92" t="inlineStr">
        <is>
          <t>10 EVIDENCE &amp; DECISIONS</t>
        </is>
      </c>
    </row>
    <row r="586" ht="34" customHeight="1">
      <c r="A586" s="34" t="inlineStr">
        <is>
          <t>Contractor Programme</t>
        </is>
      </c>
      <c r="B586" s="34" t="inlineStr">
        <is>
          <t>SCH-03-046</t>
        </is>
      </c>
      <c r="C586" s="34" t="inlineStr">
        <is>
          <t>Harbour Station: SCADA point-to-point check - turnover</t>
        </is>
      </c>
      <c r="D586" s="34" t="inlineStr">
        <is>
          <t>WBS Code = 1.3.1</t>
        </is>
      </c>
      <c r="E586" s="34" t="inlineStr">
        <is>
          <t>R406-v1</t>
        </is>
      </c>
      <c r="F586" s="34" t="inlineStr">
        <is>
          <t>1.3.1 Systems - Traction Power</t>
        </is>
      </c>
      <c r="G586" s="34" t="inlineStr">
        <is>
          <t>ONE_TO_ONE</t>
        </is>
      </c>
      <c r="H586" s="34" t="inlineStr">
        <is>
          <t>APPROVED</t>
        </is>
      </c>
      <c r="I586" s="34" t="inlineStr">
        <is>
          <t>New</t>
        </is>
      </c>
      <c r="J586" s="34" t="inlineStr">
        <is>
          <t>Source assignment -- not individually reviewed</t>
        </is>
      </c>
      <c r="K586" s="39" t="inlineStr"/>
      <c r="L586" s="14" t="inlineStr"/>
      <c r="M586" s="14" t="inlineStr"/>
      <c r="N586" s="92" t="inlineStr">
        <is>
          <t>10 EVIDENCE &amp; DECISIONS</t>
        </is>
      </c>
    </row>
    <row r="587" ht="34" customHeight="1">
      <c r="A587" s="34" t="inlineStr">
        <is>
          <t>Contractor Programme</t>
        </is>
      </c>
      <c r="B587" s="34" t="inlineStr">
        <is>
          <t>SCH-03-047</t>
        </is>
      </c>
      <c r="C587" s="34" t="inlineStr">
        <is>
          <t>Control Centre: traction-power feeder pull - release</t>
        </is>
      </c>
      <c r="D587" s="34" t="inlineStr">
        <is>
          <t>WBS Code = 1.3.1</t>
        </is>
      </c>
      <c r="E587" s="34" t="inlineStr">
        <is>
          <t>R407-v1</t>
        </is>
      </c>
      <c r="F587" s="34" t="inlineStr">
        <is>
          <t>1.3.1 Systems - Traction Power</t>
        </is>
      </c>
      <c r="G587" s="34" t="inlineStr">
        <is>
          <t>ONE_TO_ONE</t>
        </is>
      </c>
      <c r="H587" s="34" t="inlineStr">
        <is>
          <t>APPROVED</t>
        </is>
      </c>
      <c r="I587" s="34" t="inlineStr">
        <is>
          <t>New</t>
        </is>
      </c>
      <c r="J587" s="34" t="inlineStr">
        <is>
          <t>Source assignment -- not individually reviewed</t>
        </is>
      </c>
      <c r="K587" s="39" t="inlineStr"/>
      <c r="L587" s="14" t="inlineStr"/>
      <c r="M587" s="14" t="inlineStr"/>
      <c r="N587" s="92" t="inlineStr">
        <is>
          <t>10 EVIDENCE &amp; DECISIONS</t>
        </is>
      </c>
    </row>
    <row r="588" ht="34" customHeight="1">
      <c r="A588" s="34" t="inlineStr">
        <is>
          <t>Contractor Programme</t>
        </is>
      </c>
      <c r="B588" s="34" t="inlineStr">
        <is>
          <t>SCH-03-049</t>
        </is>
      </c>
      <c r="C588" s="34" t="inlineStr">
        <is>
          <t>East substation: wayside interface test - installation</t>
        </is>
      </c>
      <c r="D588" s="34" t="inlineStr">
        <is>
          <t>WBS Code = 1.3.1</t>
        </is>
      </c>
      <c r="E588" s="34" t="inlineStr">
        <is>
          <t>R409-v1</t>
        </is>
      </c>
      <c r="F588" s="34" t="inlineStr">
        <is>
          <t>1.3.1 Systems - Traction Power</t>
        </is>
      </c>
      <c r="G588" s="34" t="inlineStr">
        <is>
          <t>ONE_TO_ONE</t>
        </is>
      </c>
      <c r="H588" s="34" t="inlineStr">
        <is>
          <t>APPROVED</t>
        </is>
      </c>
      <c r="I588" s="34" t="inlineStr">
        <is>
          <t>New</t>
        </is>
      </c>
      <c r="J588" s="34" t="inlineStr">
        <is>
          <t>Source assignment -- not individually reviewed</t>
        </is>
      </c>
      <c r="K588" s="39" t="inlineStr"/>
      <c r="L588" s="14" t="inlineStr"/>
      <c r="M588" s="14" t="inlineStr"/>
      <c r="N588" s="92" t="inlineStr">
        <is>
          <t>10 EVIDENCE &amp; DECISIONS</t>
        </is>
      </c>
    </row>
    <row r="589" ht="34" customHeight="1">
      <c r="A589" s="34" t="inlineStr">
        <is>
          <t>Contractor Programme</t>
        </is>
      </c>
      <c r="B589" s="34" t="inlineStr">
        <is>
          <t>SCH-03-050</t>
        </is>
      </c>
      <c r="C589" s="34" t="inlineStr">
        <is>
          <t>Central interlocking: signal equipment installation - inspection</t>
        </is>
      </c>
      <c r="D589" s="34" t="inlineStr">
        <is>
          <t>WBS Code = 1.3.1</t>
        </is>
      </c>
      <c r="E589" s="34" t="inlineStr">
        <is>
          <t>R410-v1</t>
        </is>
      </c>
      <c r="F589" s="34" t="inlineStr">
        <is>
          <t>1.3.1 Systems - Traction Power</t>
        </is>
      </c>
      <c r="G589" s="34" t="inlineStr">
        <is>
          <t>ONE_TO_ONE</t>
        </is>
      </c>
      <c r="H589" s="34" t="inlineStr">
        <is>
          <t>APPROVED</t>
        </is>
      </c>
      <c r="I589" s="34" t="inlineStr">
        <is>
          <t>New</t>
        </is>
      </c>
      <c r="J589" s="34" t="inlineStr">
        <is>
          <t>Source assignment -- not individually reviewed</t>
        </is>
      </c>
      <c r="K589" s="39" t="inlineStr"/>
      <c r="L589" s="14" t="inlineStr"/>
      <c r="M589" s="14" t="inlineStr"/>
      <c r="N589" s="92" t="inlineStr">
        <is>
          <t>10 EVIDENCE &amp; DECISIONS</t>
        </is>
      </c>
    </row>
    <row r="590" ht="34" customHeight="1">
      <c r="A590" s="34" t="inlineStr">
        <is>
          <t>Contractor Programme</t>
        </is>
      </c>
      <c r="B590" s="34" t="inlineStr">
        <is>
          <t>SCH-03-052</t>
        </is>
      </c>
      <c r="C590" s="34" t="inlineStr">
        <is>
          <t>Control Centre: control-centre integration - release</t>
        </is>
      </c>
      <c r="D590" s="34" t="inlineStr">
        <is>
          <t>WBS Code = 1.3.1</t>
        </is>
      </c>
      <c r="E590" s="34" t="inlineStr">
        <is>
          <t>R412-v1</t>
        </is>
      </c>
      <c r="F590" s="34" t="inlineStr">
        <is>
          <t>1.3.1 Systems - Traction Power</t>
        </is>
      </c>
      <c r="G590" s="34" t="inlineStr">
        <is>
          <t>ONE_TO_ONE</t>
        </is>
      </c>
      <c r="H590" s="34" t="inlineStr">
        <is>
          <t>APPROVED</t>
        </is>
      </c>
      <c r="I590" s="34" t="inlineStr">
        <is>
          <t>New</t>
        </is>
      </c>
      <c r="J590" s="34" t="inlineStr">
        <is>
          <t>Source assignment -- not individually reviewed</t>
        </is>
      </c>
      <c r="K590" s="39" t="inlineStr"/>
      <c r="L590" s="14" t="inlineStr"/>
      <c r="M590" s="14" t="inlineStr"/>
      <c r="N590" s="92" t="inlineStr">
        <is>
          <t>10 EVIDENCE &amp; DECISIONS</t>
        </is>
      </c>
    </row>
    <row r="591" ht="34" customHeight="1">
      <c r="A591" s="34" t="inlineStr">
        <is>
          <t>Contractor Programme</t>
        </is>
      </c>
      <c r="B591" s="34" t="inlineStr">
        <is>
          <t>SCH-03-053</t>
        </is>
      </c>
      <c r="C591" s="34" t="inlineStr">
        <is>
          <t>West wayside: fibre backbone termination - field start</t>
        </is>
      </c>
      <c r="D591" s="34" t="inlineStr">
        <is>
          <t>WBS Code = 1.3.1</t>
        </is>
      </c>
      <c r="E591" s="34" t="inlineStr">
        <is>
          <t>R413-v1</t>
        </is>
      </c>
      <c r="F591" s="34" t="inlineStr">
        <is>
          <t>1.3.1 Systems - Traction Power</t>
        </is>
      </c>
      <c r="G591" s="34" t="inlineStr">
        <is>
          <t>ONE_TO_ONE</t>
        </is>
      </c>
      <c r="H591" s="34" t="inlineStr">
        <is>
          <t>APPROVED</t>
        </is>
      </c>
      <c r="I591" s="34" t="inlineStr">
        <is>
          <t>New</t>
        </is>
      </c>
      <c r="J591" s="34" t="inlineStr">
        <is>
          <t>Source assignment -- not individually reviewed</t>
        </is>
      </c>
      <c r="K591" s="39" t="inlineStr"/>
      <c r="L591" s="14" t="inlineStr"/>
      <c r="M591" s="14" t="inlineStr"/>
      <c r="N591" s="92" t="inlineStr">
        <is>
          <t>10 EVIDENCE &amp; DECISIONS</t>
        </is>
      </c>
    </row>
    <row r="592" ht="34" customHeight="1">
      <c r="A592" s="34" t="inlineStr">
        <is>
          <t>Contractor Programme</t>
        </is>
      </c>
      <c r="B592" s="34" t="inlineStr">
        <is>
          <t>SCH-03-055</t>
        </is>
      </c>
      <c r="C592" s="34" t="inlineStr">
        <is>
          <t>Central interlocking: traction-power feeder pull - inspection</t>
        </is>
      </c>
      <c r="D592" s="34" t="inlineStr">
        <is>
          <t>WBS Code = 1.3.1</t>
        </is>
      </c>
      <c r="E592" s="34" t="inlineStr">
        <is>
          <t>R415-v1</t>
        </is>
      </c>
      <c r="F592" s="34" t="inlineStr">
        <is>
          <t>1.3.1 Systems - Traction Power</t>
        </is>
      </c>
      <c r="G592" s="34" t="inlineStr">
        <is>
          <t>ONE_TO_ONE</t>
        </is>
      </c>
      <c r="H592" s="34" t="inlineStr">
        <is>
          <t>APPROVED</t>
        </is>
      </c>
      <c r="I592" s="34" t="inlineStr">
        <is>
          <t>New</t>
        </is>
      </c>
      <c r="J592" s="34" t="inlineStr">
        <is>
          <t>Source assignment -- not individually reviewed</t>
        </is>
      </c>
      <c r="K592" s="39" t="inlineStr"/>
      <c r="L592" s="14" t="inlineStr"/>
      <c r="M592" s="14" t="inlineStr"/>
      <c r="N592" s="92" t="inlineStr">
        <is>
          <t>10 EVIDENCE &amp; DECISIONS</t>
        </is>
      </c>
    </row>
    <row r="593" ht="34" customHeight="1">
      <c r="A593" s="34" t="inlineStr">
        <is>
          <t>Contractor Programme</t>
        </is>
      </c>
      <c r="B593" s="34" t="inlineStr">
        <is>
          <t>SCH-03-056</t>
        </is>
      </c>
      <c r="C593" s="34" t="inlineStr">
        <is>
          <t>Harbour Station: train-control cabinet fit-out - turnover</t>
        </is>
      </c>
      <c r="D593" s="34" t="inlineStr">
        <is>
          <t>WBS Code = 1.3.1</t>
        </is>
      </c>
      <c r="E593" s="34" t="inlineStr">
        <is>
          <t>R416-v1</t>
        </is>
      </c>
      <c r="F593" s="34" t="inlineStr">
        <is>
          <t>1.3.1 Systems - Traction Power</t>
        </is>
      </c>
      <c r="G593" s="34" t="inlineStr">
        <is>
          <t>ONE_TO_ONE</t>
        </is>
      </c>
      <c r="H593" s="34" t="inlineStr">
        <is>
          <t>APPROVED</t>
        </is>
      </c>
      <c r="I593" s="34" t="inlineStr">
        <is>
          <t>New</t>
        </is>
      </c>
      <c r="J593" s="34" t="inlineStr">
        <is>
          <t>Source assignment -- not individually reviewed</t>
        </is>
      </c>
      <c r="K593" s="39" t="inlineStr"/>
      <c r="L593" s="14" t="inlineStr"/>
      <c r="M593" s="14" t="inlineStr"/>
      <c r="N593" s="92" t="inlineStr">
        <is>
          <t>10 EVIDENCE &amp; DECISIONS</t>
        </is>
      </c>
    </row>
    <row r="594" ht="34" customHeight="1">
      <c r="A594" s="34" t="inlineStr">
        <is>
          <t>Contractor Programme</t>
        </is>
      </c>
      <c r="B594" s="34" t="inlineStr">
        <is>
          <t>SCH-03-058</t>
        </is>
      </c>
      <c r="C594" s="34" t="inlineStr">
        <is>
          <t>West wayside: signal equipment installation - field start</t>
        </is>
      </c>
      <c r="D594" s="34" t="inlineStr">
        <is>
          <t>WBS Code = 1.3.1</t>
        </is>
      </c>
      <c r="E594" s="34" t="inlineStr">
        <is>
          <t>R418-v1</t>
        </is>
      </c>
      <c r="F594" s="34" t="inlineStr">
        <is>
          <t>1.3.1 Systems - Traction Power</t>
        </is>
      </c>
      <c r="G594" s="34" t="inlineStr">
        <is>
          <t>ONE_TO_ONE</t>
        </is>
      </c>
      <c r="H594" s="34" t="inlineStr">
        <is>
          <t>APPROVED</t>
        </is>
      </c>
      <c r="I594" s="34" t="inlineStr">
        <is>
          <t>New</t>
        </is>
      </c>
      <c r="J594" s="34" t="inlineStr">
        <is>
          <t>Source assignment -- not individually reviewed</t>
        </is>
      </c>
      <c r="K594" s="39" t="inlineStr"/>
      <c r="L594" s="14" t="inlineStr"/>
      <c r="M594" s="14" t="inlineStr"/>
      <c r="N594" s="92" t="inlineStr">
        <is>
          <t>10 EVIDENCE &amp; DECISIONS</t>
        </is>
      </c>
    </row>
    <row r="595" ht="34" customHeight="1">
      <c r="A595" s="34" t="inlineStr">
        <is>
          <t>Contractor Programme</t>
        </is>
      </c>
      <c r="B595" s="34" t="inlineStr">
        <is>
          <t>SCH-03-059</t>
        </is>
      </c>
      <c r="C595" s="34" t="inlineStr">
        <is>
          <t>East substation: radio equipment installation - installation</t>
        </is>
      </c>
      <c r="D595" s="34" t="inlineStr">
        <is>
          <t>WBS Code = 1.3.1</t>
        </is>
      </c>
      <c r="E595" s="34" t="inlineStr">
        <is>
          <t>R419-v1</t>
        </is>
      </c>
      <c r="F595" s="34" t="inlineStr">
        <is>
          <t>1.3.1 Systems - Traction Power</t>
        </is>
      </c>
      <c r="G595" s="34" t="inlineStr">
        <is>
          <t>ONE_TO_ONE</t>
        </is>
      </c>
      <c r="H595" s="34" t="inlineStr">
        <is>
          <t>APPROVED</t>
        </is>
      </c>
      <c r="I595" s="34" t="inlineStr">
        <is>
          <t>New</t>
        </is>
      </c>
      <c r="J595" s="34" t="inlineStr">
        <is>
          <t>Source assignment -- not individually reviewed</t>
        </is>
      </c>
      <c r="K595" s="39" t="inlineStr"/>
      <c r="L595" s="14" t="inlineStr"/>
      <c r="M595" s="14" t="inlineStr"/>
      <c r="N595" s="92" t="inlineStr">
        <is>
          <t>10 EVIDENCE &amp; DECISIONS</t>
        </is>
      </c>
    </row>
    <row r="596" ht="34" customHeight="1">
      <c r="A596" s="34" t="inlineStr">
        <is>
          <t>Contractor Programme</t>
        </is>
      </c>
      <c r="B596" s="34" t="inlineStr">
        <is>
          <t>SCH-03-061</t>
        </is>
      </c>
      <c r="C596" s="34" t="inlineStr">
        <is>
          <t>Harbour Station: fibre backbone termination - turnover</t>
        </is>
      </c>
      <c r="D596" s="34" t="inlineStr">
        <is>
          <t>WBS Code = 1.3.1</t>
        </is>
      </c>
      <c r="E596" s="34" t="inlineStr">
        <is>
          <t>R421-v1</t>
        </is>
      </c>
      <c r="F596" s="34" t="inlineStr">
        <is>
          <t>1.3.1 Systems - Traction Power</t>
        </is>
      </c>
      <c r="G596" s="34" t="inlineStr">
        <is>
          <t>ONE_TO_ONE</t>
        </is>
      </c>
      <c r="H596" s="34" t="inlineStr">
        <is>
          <t>APPROVED</t>
        </is>
      </c>
      <c r="I596" s="34" t="inlineStr">
        <is>
          <t>New</t>
        </is>
      </c>
      <c r="J596" s="34" t="inlineStr">
        <is>
          <t>Source assignment -- not individually reviewed</t>
        </is>
      </c>
      <c r="K596" s="39" t="inlineStr"/>
      <c r="L596" s="14" t="inlineStr"/>
      <c r="M596" s="14" t="inlineStr"/>
      <c r="N596" s="92" t="inlineStr">
        <is>
          <t>10 EVIDENCE &amp; DECISIONS</t>
        </is>
      </c>
    </row>
    <row r="597" ht="34" customHeight="1">
      <c r="A597" s="34" t="inlineStr">
        <is>
          <t>Contractor Programme</t>
        </is>
      </c>
      <c r="B597" s="34" t="inlineStr">
        <is>
          <t>SCH-03-062</t>
        </is>
      </c>
      <c r="C597" s="34" t="inlineStr">
        <is>
          <t>Control Centre: SCADA point-to-point check - release</t>
        </is>
      </c>
      <c r="D597" s="34" t="inlineStr">
        <is>
          <t>WBS Code = 1.3.1</t>
        </is>
      </c>
      <c r="E597" s="34" t="inlineStr">
        <is>
          <t>R422-v1</t>
        </is>
      </c>
      <c r="F597" s="34" t="inlineStr">
        <is>
          <t>1.3.1 Systems - Traction Power</t>
        </is>
      </c>
      <c r="G597" s="34" t="inlineStr">
        <is>
          <t>ONE_TO_ONE</t>
        </is>
      </c>
      <c r="H597" s="34" t="inlineStr">
        <is>
          <t>APPROVED</t>
        </is>
      </c>
      <c r="I597" s="34" t="inlineStr">
        <is>
          <t>New</t>
        </is>
      </c>
      <c r="J597" s="34" t="inlineStr">
        <is>
          <t>Source assignment -- not individually reviewed</t>
        </is>
      </c>
      <c r="K597" s="39" t="inlineStr"/>
      <c r="L597" s="14" t="inlineStr"/>
      <c r="M597" s="14" t="inlineStr"/>
      <c r="N597" s="92" t="inlineStr">
        <is>
          <t>10 EVIDENCE &amp; DECISIONS</t>
        </is>
      </c>
    </row>
    <row r="598" ht="34" customHeight="1">
      <c r="A598" s="34" t="inlineStr">
        <is>
          <t>Contractor Programme</t>
        </is>
      </c>
      <c r="B598" s="34" t="inlineStr">
        <is>
          <t>SCH-03-064</t>
        </is>
      </c>
      <c r="C598" s="34" t="inlineStr">
        <is>
          <t>East substation: train-control cabinet fit-out - installation</t>
        </is>
      </c>
      <c r="D598" s="34" t="inlineStr">
        <is>
          <t>WBS Code = 1.3.1</t>
        </is>
      </c>
      <c r="E598" s="34" t="inlineStr">
        <is>
          <t>R424-v1</t>
        </is>
      </c>
      <c r="F598" s="34" t="inlineStr">
        <is>
          <t>1.3.1 Systems - Traction Power</t>
        </is>
      </c>
      <c r="G598" s="34" t="inlineStr">
        <is>
          <t>ONE_TO_ONE</t>
        </is>
      </c>
      <c r="H598" s="34" t="inlineStr">
        <is>
          <t>APPROVED</t>
        </is>
      </c>
      <c r="I598" s="34" t="inlineStr">
        <is>
          <t>New</t>
        </is>
      </c>
      <c r="J598" s="34" t="inlineStr">
        <is>
          <t>Source assignment -- not individually reviewed</t>
        </is>
      </c>
      <c r="K598" s="39" t="inlineStr"/>
      <c r="L598" s="14" t="inlineStr"/>
      <c r="M598" s="14" t="inlineStr"/>
      <c r="N598" s="92" t="inlineStr">
        <is>
          <t>10 EVIDENCE &amp; DECISIONS</t>
        </is>
      </c>
    </row>
    <row r="599" ht="34" customHeight="1">
      <c r="A599" s="34" t="inlineStr">
        <is>
          <t>Contractor Programme</t>
        </is>
      </c>
      <c r="B599" s="34" t="inlineStr">
        <is>
          <t>SCH-03-065</t>
        </is>
      </c>
      <c r="C599" s="34" t="inlineStr">
        <is>
          <t>Central interlocking: wayside interface test - inspection</t>
        </is>
      </c>
      <c r="D599" s="34" t="inlineStr">
        <is>
          <t>WBS Code = 1.3.1</t>
        </is>
      </c>
      <c r="E599" s="34" t="inlineStr">
        <is>
          <t>R425-v1</t>
        </is>
      </c>
      <c r="F599" s="34" t="inlineStr">
        <is>
          <t>1.3.1 Systems - Traction Power</t>
        </is>
      </c>
      <c r="G599" s="34" t="inlineStr">
        <is>
          <t>ONE_TO_ONE</t>
        </is>
      </c>
      <c r="H599" s="34" t="inlineStr">
        <is>
          <t>APPROVED</t>
        </is>
      </c>
      <c r="I599" s="34" t="inlineStr">
        <is>
          <t>New</t>
        </is>
      </c>
      <c r="J599" s="34" t="inlineStr">
        <is>
          <t>Source assignment -- not individually reviewed</t>
        </is>
      </c>
      <c r="K599" s="39" t="inlineStr"/>
      <c r="L599" s="14" t="inlineStr"/>
      <c r="M599" s="14" t="inlineStr"/>
      <c r="N599" s="92" t="inlineStr">
        <is>
          <t>10 EVIDENCE &amp; DECISIONS</t>
        </is>
      </c>
    </row>
    <row r="600" ht="34" customHeight="1">
      <c r="A600" s="34" t="inlineStr">
        <is>
          <t>Contractor Programme</t>
        </is>
      </c>
      <c r="B600" s="34" t="inlineStr">
        <is>
          <t>SCH-03-067</t>
        </is>
      </c>
      <c r="C600" s="34" t="inlineStr">
        <is>
          <t>Control Centre: radio equipment installation - release</t>
        </is>
      </c>
      <c r="D600" s="34" t="inlineStr">
        <is>
          <t>WBS Code = 1.3.1</t>
        </is>
      </c>
      <c r="E600" s="34" t="inlineStr">
        <is>
          <t>R427-v1</t>
        </is>
      </c>
      <c r="F600" s="34" t="inlineStr">
        <is>
          <t>1.3.1 Systems - Traction Power</t>
        </is>
      </c>
      <c r="G600" s="34" t="inlineStr">
        <is>
          <t>ONE_TO_ONE</t>
        </is>
      </c>
      <c r="H600" s="34" t="inlineStr">
        <is>
          <t>APPROVED</t>
        </is>
      </c>
      <c r="I600" s="34" t="inlineStr">
        <is>
          <t>New</t>
        </is>
      </c>
      <c r="J600" s="34" t="inlineStr">
        <is>
          <t>Source assignment -- not individually reviewed</t>
        </is>
      </c>
      <c r="K600" s="39" t="inlineStr"/>
      <c r="L600" s="14" t="inlineStr"/>
      <c r="M600" s="14" t="inlineStr"/>
      <c r="N600" s="92" t="inlineStr">
        <is>
          <t>10 EVIDENCE &amp; DECISIONS</t>
        </is>
      </c>
    </row>
    <row r="601" ht="34" customHeight="1">
      <c r="A601" s="34" t="inlineStr">
        <is>
          <t>Contractor Programme</t>
        </is>
      </c>
      <c r="B601" s="34" t="inlineStr">
        <is>
          <t>SCH-03-068</t>
        </is>
      </c>
      <c r="C601" s="34" t="inlineStr">
        <is>
          <t>West wayside: control-centre integration - field start</t>
        </is>
      </c>
      <c r="D601" s="34" t="inlineStr">
        <is>
          <t>WBS Code = 1.3.1</t>
        </is>
      </c>
      <c r="E601" s="34" t="inlineStr">
        <is>
          <t>R428-v1</t>
        </is>
      </c>
      <c r="F601" s="34" t="inlineStr">
        <is>
          <t>1.3.1 Systems - Traction Power</t>
        </is>
      </c>
      <c r="G601" s="34" t="inlineStr">
        <is>
          <t>ONE_TO_ONE</t>
        </is>
      </c>
      <c r="H601" s="34" t="inlineStr">
        <is>
          <t>APPROVED</t>
        </is>
      </c>
      <c r="I601" s="34" t="inlineStr">
        <is>
          <t>New</t>
        </is>
      </c>
      <c r="J601" s="34" t="inlineStr">
        <is>
          <t>Source assignment -- not individually reviewed</t>
        </is>
      </c>
      <c r="K601" s="39" t="inlineStr"/>
      <c r="L601" s="14" t="inlineStr"/>
      <c r="M601" s="14" t="inlineStr"/>
      <c r="N601" s="92" t="inlineStr">
        <is>
          <t>10 EVIDENCE &amp; DECISIONS</t>
        </is>
      </c>
    </row>
    <row r="602" ht="34" customHeight="1">
      <c r="A602" s="34" t="inlineStr">
        <is>
          <t>Contractor Programme</t>
        </is>
      </c>
      <c r="B602" s="34" t="inlineStr">
        <is>
          <t>SCH-03-070</t>
        </is>
      </c>
      <c r="C602" s="34" t="inlineStr">
        <is>
          <t>Central interlocking: SCADA point-to-point check - inspection</t>
        </is>
      </c>
      <c r="D602" s="34" t="inlineStr">
        <is>
          <t>WBS Code = 1.3.1</t>
        </is>
      </c>
      <c r="E602" s="34" t="inlineStr">
        <is>
          <t>R430-v1</t>
        </is>
      </c>
      <c r="F602" s="34" t="inlineStr">
        <is>
          <t>1.3.1 Systems - Traction Power</t>
        </is>
      </c>
      <c r="G602" s="34" t="inlineStr">
        <is>
          <t>ONE_TO_ONE</t>
        </is>
      </c>
      <c r="H602" s="34" t="inlineStr">
        <is>
          <t>APPROVED</t>
        </is>
      </c>
      <c r="I602" s="34" t="inlineStr">
        <is>
          <t>New</t>
        </is>
      </c>
      <c r="J602" s="34" t="inlineStr">
        <is>
          <t>Source assignment -- not individually reviewed</t>
        </is>
      </c>
      <c r="K602" s="39" t="inlineStr"/>
      <c r="L602" s="14" t="inlineStr"/>
      <c r="M602" s="14" t="inlineStr"/>
      <c r="N602" s="92" t="inlineStr">
        <is>
          <t>10 EVIDENCE &amp; DECISIONS</t>
        </is>
      </c>
    </row>
    <row r="603" ht="34" customHeight="1">
      <c r="A603" s="34" t="inlineStr">
        <is>
          <t>Contractor Programme</t>
        </is>
      </c>
      <c r="B603" s="34" t="inlineStr">
        <is>
          <t>SCH-03-071</t>
        </is>
      </c>
      <c r="C603" s="34" t="inlineStr">
        <is>
          <t>Harbour Station: traction-power feeder pull - turnover</t>
        </is>
      </c>
      <c r="D603" s="34" t="inlineStr">
        <is>
          <t>WBS Code = 1.3.1</t>
        </is>
      </c>
      <c r="E603" s="34" t="inlineStr">
        <is>
          <t>R431-v1</t>
        </is>
      </c>
      <c r="F603" s="34" t="inlineStr">
        <is>
          <t>1.3.1 Systems - Traction Power</t>
        </is>
      </c>
      <c r="G603" s="34" t="inlineStr">
        <is>
          <t>ONE_TO_ONE</t>
        </is>
      </c>
      <c r="H603" s="34" t="inlineStr">
        <is>
          <t>APPROVED</t>
        </is>
      </c>
      <c r="I603" s="34" t="inlineStr">
        <is>
          <t>New</t>
        </is>
      </c>
      <c r="J603" s="34" t="inlineStr">
        <is>
          <t>Source assignment -- not individually reviewed</t>
        </is>
      </c>
      <c r="K603" s="39" t="inlineStr"/>
      <c r="L603" s="14" t="inlineStr"/>
      <c r="M603" s="14" t="inlineStr"/>
      <c r="N603" s="92" t="inlineStr">
        <is>
          <t>10 EVIDENCE &amp; DECISIONS</t>
        </is>
      </c>
    </row>
    <row r="604" ht="34" customHeight="1">
      <c r="A604" s="34" t="inlineStr">
        <is>
          <t>Contractor Programme</t>
        </is>
      </c>
      <c r="B604" s="34" t="inlineStr">
        <is>
          <t>SCH-03-073</t>
        </is>
      </c>
      <c r="C604" s="34" t="inlineStr">
        <is>
          <t>West wayside: wayside interface test - field start</t>
        </is>
      </c>
      <c r="D604" s="34" t="inlineStr">
        <is>
          <t>WBS Code = 1.3.1</t>
        </is>
      </c>
      <c r="E604" s="34" t="inlineStr">
        <is>
          <t>R433-v1</t>
        </is>
      </c>
      <c r="F604" s="34" t="inlineStr">
        <is>
          <t>1.3.1 Systems - Traction Power</t>
        </is>
      </c>
      <c r="G604" s="34" t="inlineStr">
        <is>
          <t>ONE_TO_ONE</t>
        </is>
      </c>
      <c r="H604" s="34" t="inlineStr">
        <is>
          <t>APPROVED</t>
        </is>
      </c>
      <c r="I604" s="34" t="inlineStr">
        <is>
          <t>New</t>
        </is>
      </c>
      <c r="J604" s="34" t="inlineStr">
        <is>
          <t>Source assignment -- not individually reviewed</t>
        </is>
      </c>
      <c r="K604" s="39" t="inlineStr"/>
      <c r="L604" s="14" t="inlineStr"/>
      <c r="M604" s="14" t="inlineStr"/>
      <c r="N604" s="92" t="inlineStr">
        <is>
          <t>10 EVIDENCE &amp; DECISIONS</t>
        </is>
      </c>
    </row>
    <row r="605" ht="34" customHeight="1">
      <c r="A605" s="34" t="inlineStr">
        <is>
          <t>Contractor Programme</t>
        </is>
      </c>
      <c r="B605" s="34" t="inlineStr">
        <is>
          <t>SCH-03-074</t>
        </is>
      </c>
      <c r="C605" s="34" t="inlineStr">
        <is>
          <t>East substation: signal equipment installation - installation</t>
        </is>
      </c>
      <c r="D605" s="34" t="inlineStr">
        <is>
          <t>WBS Code = 1.3.1</t>
        </is>
      </c>
      <c r="E605" s="34" t="inlineStr">
        <is>
          <t>R434-v1</t>
        </is>
      </c>
      <c r="F605" s="34" t="inlineStr">
        <is>
          <t>1.3.1 Systems - Traction Power</t>
        </is>
      </c>
      <c r="G605" s="34" t="inlineStr">
        <is>
          <t>ONE_TO_ONE</t>
        </is>
      </c>
      <c r="H605" s="34" t="inlineStr">
        <is>
          <t>APPROVED</t>
        </is>
      </c>
      <c r="I605" s="34" t="inlineStr">
        <is>
          <t>New</t>
        </is>
      </c>
      <c r="J605" s="34" t="inlineStr">
        <is>
          <t>Source assignment -- not individually reviewed</t>
        </is>
      </c>
      <c r="K605" s="39" t="inlineStr"/>
      <c r="L605" s="14" t="inlineStr"/>
      <c r="M605" s="14" t="inlineStr"/>
      <c r="N605" s="92" t="inlineStr">
        <is>
          <t>10 EVIDENCE &amp; DECISIONS</t>
        </is>
      </c>
    </row>
    <row r="606" ht="34" customHeight="1">
      <c r="A606" s="34" t="inlineStr">
        <is>
          <t>Contractor Programme</t>
        </is>
      </c>
      <c r="B606" s="34" t="inlineStr">
        <is>
          <t>SCH-03-076</t>
        </is>
      </c>
      <c r="C606" s="34" t="inlineStr">
        <is>
          <t>Harbour Station: control-centre integration - turnover</t>
        </is>
      </c>
      <c r="D606" s="34" t="inlineStr">
        <is>
          <t>WBS Code = 1.3.1</t>
        </is>
      </c>
      <c r="E606" s="34" t="inlineStr">
        <is>
          <t>R436-v1</t>
        </is>
      </c>
      <c r="F606" s="34" t="inlineStr">
        <is>
          <t>1.3.1 Systems - Traction Power</t>
        </is>
      </c>
      <c r="G606" s="34" t="inlineStr">
        <is>
          <t>ONE_TO_ONE</t>
        </is>
      </c>
      <c r="H606" s="34" t="inlineStr">
        <is>
          <t>APPROVED</t>
        </is>
      </c>
      <c r="I606" s="34" t="inlineStr">
        <is>
          <t>New</t>
        </is>
      </c>
      <c r="J606" s="34" t="inlineStr">
        <is>
          <t>Source assignment -- not individually reviewed</t>
        </is>
      </c>
      <c r="K606" s="39" t="inlineStr"/>
      <c r="L606" s="14" t="inlineStr"/>
      <c r="M606" s="14" t="inlineStr"/>
      <c r="N606" s="92" t="inlineStr">
        <is>
          <t>10 EVIDENCE &amp; DECISIONS</t>
        </is>
      </c>
    </row>
    <row r="607" ht="34" customHeight="1">
      <c r="A607" s="34" t="inlineStr">
        <is>
          <t>Contractor Programme</t>
        </is>
      </c>
      <c r="B607" s="34" t="inlineStr">
        <is>
          <t>SCH-03-077</t>
        </is>
      </c>
      <c r="C607" s="34" t="inlineStr">
        <is>
          <t>Control Centre: fibre backbone termination - release</t>
        </is>
      </c>
      <c r="D607" s="34" t="inlineStr">
        <is>
          <t>WBS Code = 1.3.1</t>
        </is>
      </c>
      <c r="E607" s="34" t="inlineStr">
        <is>
          <t>R437-v1</t>
        </is>
      </c>
      <c r="F607" s="34" t="inlineStr">
        <is>
          <t>1.3.1 Systems - Traction Power</t>
        </is>
      </c>
      <c r="G607" s="34" t="inlineStr">
        <is>
          <t>ONE_TO_ONE</t>
        </is>
      </c>
      <c r="H607" s="34" t="inlineStr">
        <is>
          <t>APPROVED</t>
        </is>
      </c>
      <c r="I607" s="34" t="inlineStr">
        <is>
          <t>New</t>
        </is>
      </c>
      <c r="J607" s="34" t="inlineStr">
        <is>
          <t>Source assignment -- not individually reviewed</t>
        </is>
      </c>
      <c r="K607" s="39" t="inlineStr"/>
      <c r="L607" s="14" t="inlineStr"/>
      <c r="M607" s="14" t="inlineStr"/>
      <c r="N607" s="92" t="inlineStr">
        <is>
          <t>10 EVIDENCE &amp; DECISIONS</t>
        </is>
      </c>
    </row>
    <row r="608" ht="34" customHeight="1">
      <c r="A608" s="34" t="inlineStr">
        <is>
          <t>Contractor Programme</t>
        </is>
      </c>
      <c r="B608" s="34" t="inlineStr">
        <is>
          <t>SCH-03-079</t>
        </is>
      </c>
      <c r="C608" s="34" t="inlineStr">
        <is>
          <t>East substation: traction-power feeder pull - installation</t>
        </is>
      </c>
      <c r="D608" s="34" t="inlineStr">
        <is>
          <t>WBS Code = 1.3.1</t>
        </is>
      </c>
      <c r="E608" s="34" t="inlineStr">
        <is>
          <t>R439-v1</t>
        </is>
      </c>
      <c r="F608" s="34" t="inlineStr">
        <is>
          <t>1.3.1 Systems - Traction Power</t>
        </is>
      </c>
      <c r="G608" s="34" t="inlineStr">
        <is>
          <t>ONE_TO_ONE</t>
        </is>
      </c>
      <c r="H608" s="34" t="inlineStr">
        <is>
          <t>APPROVED</t>
        </is>
      </c>
      <c r="I608" s="34" t="inlineStr">
        <is>
          <t>New</t>
        </is>
      </c>
      <c r="J608" s="34" t="inlineStr">
        <is>
          <t>Source assignment -- not individually reviewed</t>
        </is>
      </c>
      <c r="K608" s="39" t="inlineStr"/>
      <c r="L608" s="14" t="inlineStr"/>
      <c r="M608" s="14" t="inlineStr"/>
      <c r="N608" s="92" t="inlineStr">
        <is>
          <t>10 EVIDENCE &amp; DECISIONS</t>
        </is>
      </c>
    </row>
    <row r="609" ht="34" customHeight="1">
      <c r="A609" s="34" t="inlineStr">
        <is>
          <t>Contractor Programme</t>
        </is>
      </c>
      <c r="B609" s="34" t="inlineStr">
        <is>
          <t>SCH-03-080</t>
        </is>
      </c>
      <c r="C609" s="34" t="inlineStr">
        <is>
          <t>Central interlocking: train-control cabinet fit-out - inspection</t>
        </is>
      </c>
      <c r="D609" s="34" t="inlineStr">
        <is>
          <t>WBS Code = 1.3.1</t>
        </is>
      </c>
      <c r="E609" s="34" t="inlineStr">
        <is>
          <t>R440-v1</t>
        </is>
      </c>
      <c r="F609" s="34" t="inlineStr">
        <is>
          <t>1.3.1 Systems - Traction Power</t>
        </is>
      </c>
      <c r="G609" s="34" t="inlineStr">
        <is>
          <t>ONE_TO_ONE</t>
        </is>
      </c>
      <c r="H609" s="34" t="inlineStr">
        <is>
          <t>APPROVED</t>
        </is>
      </c>
      <c r="I609" s="34" t="inlineStr">
        <is>
          <t>New</t>
        </is>
      </c>
      <c r="J609" s="34" t="inlineStr">
        <is>
          <t>Source assignment -- not individually reviewed</t>
        </is>
      </c>
      <c r="K609" s="39" t="inlineStr"/>
      <c r="L609" s="14" t="inlineStr"/>
      <c r="M609" s="14" t="inlineStr"/>
      <c r="N609" s="92" t="inlineStr">
        <is>
          <t>10 EVIDENCE &amp; DECISIONS</t>
        </is>
      </c>
    </row>
    <row r="610" ht="34" customHeight="1">
      <c r="A610" s="34" t="inlineStr">
        <is>
          <t>Contractor Programme</t>
        </is>
      </c>
      <c r="B610" s="34" t="inlineStr">
        <is>
          <t>SCH-03-082</t>
        </is>
      </c>
      <c r="C610" s="34" t="inlineStr">
        <is>
          <t>Control Centre: signal equipment installation - release</t>
        </is>
      </c>
      <c r="D610" s="34" t="inlineStr">
        <is>
          <t>WBS Code = 1.3.1</t>
        </is>
      </c>
      <c r="E610" s="34" t="inlineStr">
        <is>
          <t>R442-v1</t>
        </is>
      </c>
      <c r="F610" s="34" t="inlineStr">
        <is>
          <t>1.3.1 Systems - Traction Power</t>
        </is>
      </c>
      <c r="G610" s="34" t="inlineStr">
        <is>
          <t>ONE_TO_ONE</t>
        </is>
      </c>
      <c r="H610" s="34" t="inlineStr">
        <is>
          <t>APPROVED</t>
        </is>
      </c>
      <c r="I610" s="34" t="inlineStr">
        <is>
          <t>New</t>
        </is>
      </c>
      <c r="J610" s="34" t="inlineStr">
        <is>
          <t>Source assignment -- not individually reviewed</t>
        </is>
      </c>
      <c r="K610" s="39" t="inlineStr"/>
      <c r="L610" s="14" t="inlineStr"/>
      <c r="M610" s="14" t="inlineStr"/>
      <c r="N610" s="92" t="inlineStr">
        <is>
          <t>10 EVIDENCE &amp; DECISIONS</t>
        </is>
      </c>
    </row>
    <row r="611" ht="34" customHeight="1">
      <c r="A611" s="34" t="inlineStr">
        <is>
          <t>Contractor Programme</t>
        </is>
      </c>
      <c r="B611" s="34" t="inlineStr">
        <is>
          <t>SCH-03-083</t>
        </is>
      </c>
      <c r="C611" s="34" t="inlineStr">
        <is>
          <t>West wayside: radio equipment installation - field start</t>
        </is>
      </c>
      <c r="D611" s="34" t="inlineStr">
        <is>
          <t>WBS Code = 1.3.1</t>
        </is>
      </c>
      <c r="E611" s="34" t="inlineStr">
        <is>
          <t>R443-v1</t>
        </is>
      </c>
      <c r="F611" s="34" t="inlineStr">
        <is>
          <t>1.3.1 Systems - Traction Power</t>
        </is>
      </c>
      <c r="G611" s="34" t="inlineStr">
        <is>
          <t>ONE_TO_ONE</t>
        </is>
      </c>
      <c r="H611" s="34" t="inlineStr">
        <is>
          <t>APPROVED</t>
        </is>
      </c>
      <c r="I611" s="34" t="inlineStr">
        <is>
          <t>New</t>
        </is>
      </c>
      <c r="J611" s="34" t="inlineStr">
        <is>
          <t>Source assignment -- not individually reviewed</t>
        </is>
      </c>
      <c r="K611" s="39" t="inlineStr"/>
      <c r="L611" s="14" t="inlineStr"/>
      <c r="M611" s="14" t="inlineStr"/>
      <c r="N611" s="92" t="inlineStr">
        <is>
          <t>10 EVIDENCE &amp; DECISIONS</t>
        </is>
      </c>
    </row>
    <row r="612" ht="34" customHeight="1">
      <c r="A612" s="34" t="inlineStr">
        <is>
          <t>Contractor Programme</t>
        </is>
      </c>
      <c r="B612" s="34" t="inlineStr">
        <is>
          <t>SCH-03-085</t>
        </is>
      </c>
      <c r="C612" s="34" t="inlineStr">
        <is>
          <t>Central interlocking: fibre backbone termination - inspection</t>
        </is>
      </c>
      <c r="D612" s="34" t="inlineStr">
        <is>
          <t>WBS Code = 1.3.1</t>
        </is>
      </c>
      <c r="E612" s="34" t="inlineStr">
        <is>
          <t>R445-v1</t>
        </is>
      </c>
      <c r="F612" s="34" t="inlineStr">
        <is>
          <t>1.3.1 Systems - Traction Power</t>
        </is>
      </c>
      <c r="G612" s="34" t="inlineStr">
        <is>
          <t>ONE_TO_ONE</t>
        </is>
      </c>
      <c r="H612" s="34" t="inlineStr">
        <is>
          <t>APPROVED</t>
        </is>
      </c>
      <c r="I612" s="34" t="inlineStr">
        <is>
          <t>New</t>
        </is>
      </c>
      <c r="J612" s="34" t="inlineStr">
        <is>
          <t>Source assignment -- not individually reviewed</t>
        </is>
      </c>
      <c r="K612" s="39" t="inlineStr"/>
      <c r="L612" s="14" t="inlineStr"/>
      <c r="M612" s="14" t="inlineStr"/>
      <c r="N612" s="92" t="inlineStr">
        <is>
          <t>10 EVIDENCE &amp; DECISIONS</t>
        </is>
      </c>
    </row>
    <row r="613" ht="34" customHeight="1">
      <c r="A613" s="34" t="inlineStr">
        <is>
          <t>Contractor Programme</t>
        </is>
      </c>
      <c r="B613" s="34" t="inlineStr">
        <is>
          <t>SCH-03-086</t>
        </is>
      </c>
      <c r="C613" s="34" t="inlineStr">
        <is>
          <t>Harbour Station: SCADA point-to-point check - turnover</t>
        </is>
      </c>
      <c r="D613" s="34" t="inlineStr">
        <is>
          <t>WBS Code = 1.3.1</t>
        </is>
      </c>
      <c r="E613" s="34" t="inlineStr">
        <is>
          <t>R446-v1</t>
        </is>
      </c>
      <c r="F613" s="34" t="inlineStr">
        <is>
          <t>1.3.1 Systems - Traction Power</t>
        </is>
      </c>
      <c r="G613" s="34" t="inlineStr">
        <is>
          <t>ONE_TO_ONE</t>
        </is>
      </c>
      <c r="H613" s="34" t="inlineStr">
        <is>
          <t>APPROVED</t>
        </is>
      </c>
      <c r="I613" s="34" t="inlineStr">
        <is>
          <t>New</t>
        </is>
      </c>
      <c r="J613" s="34" t="inlineStr">
        <is>
          <t>Source assignment -- not individually reviewed</t>
        </is>
      </c>
      <c r="K613" s="39" t="inlineStr"/>
      <c r="L613" s="14" t="inlineStr"/>
      <c r="M613" s="14" t="inlineStr"/>
      <c r="N613" s="92" t="inlineStr">
        <is>
          <t>10 EVIDENCE &amp; DECISIONS</t>
        </is>
      </c>
    </row>
    <row r="614" ht="34" customHeight="1">
      <c r="A614" s="34" t="inlineStr">
        <is>
          <t>Contractor Programme</t>
        </is>
      </c>
      <c r="B614" s="34" t="inlineStr">
        <is>
          <t>SCH-03-088</t>
        </is>
      </c>
      <c r="C614" s="34" t="inlineStr">
        <is>
          <t>West wayside: train-control cabinet fit-out - field start</t>
        </is>
      </c>
      <c r="D614" s="34" t="inlineStr">
        <is>
          <t>WBS Code = 1.3.1</t>
        </is>
      </c>
      <c r="E614" s="34" t="inlineStr">
        <is>
          <t>R448-v1</t>
        </is>
      </c>
      <c r="F614" s="34" t="inlineStr">
        <is>
          <t>1.3.1 Systems - Traction Power</t>
        </is>
      </c>
      <c r="G614" s="34" t="inlineStr">
        <is>
          <t>ONE_TO_ONE</t>
        </is>
      </c>
      <c r="H614" s="34" t="inlineStr">
        <is>
          <t>APPROVED</t>
        </is>
      </c>
      <c r="I614" s="34" t="inlineStr">
        <is>
          <t>New</t>
        </is>
      </c>
      <c r="J614" s="34" t="inlineStr">
        <is>
          <t>Source assignment -- not individually reviewed</t>
        </is>
      </c>
      <c r="K614" s="39" t="inlineStr"/>
      <c r="L614" s="14" t="inlineStr"/>
      <c r="M614" s="14" t="inlineStr"/>
      <c r="N614" s="92" t="inlineStr">
        <is>
          <t>10 EVIDENCE &amp; DECISIONS</t>
        </is>
      </c>
    </row>
    <row r="615" ht="34" customHeight="1">
      <c r="A615" s="34" t="inlineStr">
        <is>
          <t>Contractor Programme</t>
        </is>
      </c>
      <c r="B615" s="34" t="inlineStr">
        <is>
          <t>SCH-03-089</t>
        </is>
      </c>
      <c r="C615" s="34" t="inlineStr">
        <is>
          <t>East substation: wayside interface test - installation</t>
        </is>
      </c>
      <c r="D615" s="34" t="inlineStr">
        <is>
          <t>WBS Code = 1.3.1</t>
        </is>
      </c>
      <c r="E615" s="34" t="inlineStr">
        <is>
          <t>R449-v1</t>
        </is>
      </c>
      <c r="F615" s="34" t="inlineStr">
        <is>
          <t>1.3.1 Systems - Traction Power</t>
        </is>
      </c>
      <c r="G615" s="34" t="inlineStr">
        <is>
          <t>ONE_TO_ONE</t>
        </is>
      </c>
      <c r="H615" s="34" t="inlineStr">
        <is>
          <t>APPROVED</t>
        </is>
      </c>
      <c r="I615" s="34" t="inlineStr">
        <is>
          <t>New</t>
        </is>
      </c>
      <c r="J615" s="34" t="inlineStr">
        <is>
          <t>Source assignment -- not individually reviewed</t>
        </is>
      </c>
      <c r="K615" s="39" t="inlineStr"/>
      <c r="L615" s="14" t="inlineStr"/>
      <c r="M615" s="14" t="inlineStr"/>
      <c r="N615" s="92" t="inlineStr">
        <is>
          <t>10 EVIDENCE &amp; DECISIONS</t>
        </is>
      </c>
    </row>
    <row r="616" ht="34" customHeight="1">
      <c r="A616" s="34" t="inlineStr">
        <is>
          <t>Contractor Programme</t>
        </is>
      </c>
      <c r="B616" s="34" t="inlineStr">
        <is>
          <t>SCH-03-091</t>
        </is>
      </c>
      <c r="C616" s="34" t="inlineStr">
        <is>
          <t>Harbour Station: radio equipment installation - turnover</t>
        </is>
      </c>
      <c r="D616" s="34" t="inlineStr">
        <is>
          <t>WBS Code = 1.3.1</t>
        </is>
      </c>
      <c r="E616" s="34" t="inlineStr">
        <is>
          <t>R451-v1</t>
        </is>
      </c>
      <c r="F616" s="34" t="inlineStr">
        <is>
          <t>1.3.1 Systems - Traction Power</t>
        </is>
      </c>
      <c r="G616" s="34" t="inlineStr">
        <is>
          <t>ONE_TO_ONE</t>
        </is>
      </c>
      <c r="H616" s="34" t="inlineStr">
        <is>
          <t>APPROVED</t>
        </is>
      </c>
      <c r="I616" s="34" t="inlineStr">
        <is>
          <t>New</t>
        </is>
      </c>
      <c r="J616" s="34" t="inlineStr">
        <is>
          <t>Source assignment -- not individually reviewed</t>
        </is>
      </c>
      <c r="K616" s="39" t="inlineStr"/>
      <c r="L616" s="14" t="inlineStr"/>
      <c r="M616" s="14" t="inlineStr"/>
      <c r="N616" s="92" t="inlineStr">
        <is>
          <t>10 EVIDENCE &amp; DECISIONS</t>
        </is>
      </c>
    </row>
    <row r="617" ht="34" customHeight="1">
      <c r="A617" s="34" t="inlineStr">
        <is>
          <t>Contractor Programme</t>
        </is>
      </c>
      <c r="B617" s="34" t="inlineStr">
        <is>
          <t>SCH-03-092</t>
        </is>
      </c>
      <c r="C617" s="34" t="inlineStr">
        <is>
          <t>Control Centre: control-centre integration - release</t>
        </is>
      </c>
      <c r="D617" s="34" t="inlineStr">
        <is>
          <t>WBS Code = 1.3.1</t>
        </is>
      </c>
      <c r="E617" s="34" t="inlineStr">
        <is>
          <t>R452-v1</t>
        </is>
      </c>
      <c r="F617" s="34" t="inlineStr">
        <is>
          <t>1.3.1 Systems - Traction Power</t>
        </is>
      </c>
      <c r="G617" s="34" t="inlineStr">
        <is>
          <t>ONE_TO_ONE</t>
        </is>
      </c>
      <c r="H617" s="34" t="inlineStr">
        <is>
          <t>APPROVED</t>
        </is>
      </c>
      <c r="I617" s="34" t="inlineStr">
        <is>
          <t>New</t>
        </is>
      </c>
      <c r="J617" s="34" t="inlineStr">
        <is>
          <t>Source assignment -- not individually reviewed</t>
        </is>
      </c>
      <c r="K617" s="39" t="inlineStr"/>
      <c r="L617" s="14" t="inlineStr"/>
      <c r="M617" s="14" t="inlineStr"/>
      <c r="N617" s="92" t="inlineStr">
        <is>
          <t>10 EVIDENCE &amp; DECISIONS</t>
        </is>
      </c>
    </row>
    <row r="618" ht="34" customHeight="1">
      <c r="A618" s="34" t="inlineStr">
        <is>
          <t>Contractor Programme</t>
        </is>
      </c>
      <c r="B618" s="34" t="inlineStr">
        <is>
          <t>SCH-03-094</t>
        </is>
      </c>
      <c r="C618" s="34" t="inlineStr">
        <is>
          <t>East substation: SCADA point-to-point check - installation</t>
        </is>
      </c>
      <c r="D618" s="34" t="inlineStr">
        <is>
          <t>WBS Code = 1.3.1</t>
        </is>
      </c>
      <c r="E618" s="34" t="inlineStr">
        <is>
          <t>R454-v1</t>
        </is>
      </c>
      <c r="F618" s="34" t="inlineStr">
        <is>
          <t>1.3.1 Systems - Traction Power</t>
        </is>
      </c>
      <c r="G618" s="34" t="inlineStr">
        <is>
          <t>ONE_TO_ONE</t>
        </is>
      </c>
      <c r="H618" s="34" t="inlineStr">
        <is>
          <t>APPROVED</t>
        </is>
      </c>
      <c r="I618" s="34" t="inlineStr">
        <is>
          <t>New</t>
        </is>
      </c>
      <c r="J618" s="34" t="inlineStr">
        <is>
          <t>Source assignment -- not individually reviewed</t>
        </is>
      </c>
      <c r="K618" s="39" t="inlineStr"/>
      <c r="L618" s="14" t="inlineStr"/>
      <c r="M618" s="14" t="inlineStr"/>
      <c r="N618" s="92" t="inlineStr">
        <is>
          <t>10 EVIDENCE &amp; DECISIONS</t>
        </is>
      </c>
    </row>
    <row r="619" ht="34" customHeight="1">
      <c r="A619" s="34" t="inlineStr">
        <is>
          <t>Contractor Programme</t>
        </is>
      </c>
      <c r="B619" s="34" t="inlineStr">
        <is>
          <t>SCH-03-095</t>
        </is>
      </c>
      <c r="C619" s="34" t="inlineStr">
        <is>
          <t>Central interlocking: traction-power feeder pull - inspection</t>
        </is>
      </c>
      <c r="D619" s="34" t="inlineStr">
        <is>
          <t>WBS Code = 1.3.1</t>
        </is>
      </c>
      <c r="E619" s="34" t="inlineStr">
        <is>
          <t>R455-v1</t>
        </is>
      </c>
      <c r="F619" s="34" t="inlineStr">
        <is>
          <t>1.3.1 Systems - Traction Power</t>
        </is>
      </c>
      <c r="G619" s="34" t="inlineStr">
        <is>
          <t>ONE_TO_ONE</t>
        </is>
      </c>
      <c r="H619" s="34" t="inlineStr">
        <is>
          <t>APPROVED</t>
        </is>
      </c>
      <c r="I619" s="34" t="inlineStr">
        <is>
          <t>New</t>
        </is>
      </c>
      <c r="J619" s="34" t="inlineStr">
        <is>
          <t>Source assignment -- not individually reviewed</t>
        </is>
      </c>
      <c r="K619" s="39" t="inlineStr"/>
      <c r="L619" s="14" t="inlineStr"/>
      <c r="M619" s="14" t="inlineStr"/>
      <c r="N619" s="92" t="inlineStr">
        <is>
          <t>10 EVIDENCE &amp; DECISIONS</t>
        </is>
      </c>
    </row>
    <row r="620" ht="34" customHeight="1">
      <c r="A620" s="34" t="inlineStr">
        <is>
          <t>Contractor Programme</t>
        </is>
      </c>
      <c r="B620" s="34" t="inlineStr">
        <is>
          <t>SCH-03-097</t>
        </is>
      </c>
      <c r="C620" s="34" t="inlineStr">
        <is>
          <t>Control Centre: wayside interface test - release</t>
        </is>
      </c>
      <c r="D620" s="34" t="inlineStr">
        <is>
          <t>WBS Code = 1.3.1</t>
        </is>
      </c>
      <c r="E620" s="34" t="inlineStr">
        <is>
          <t>R457-v1</t>
        </is>
      </c>
      <c r="F620" s="34" t="inlineStr">
        <is>
          <t>1.3.1 Systems - Traction Power</t>
        </is>
      </c>
      <c r="G620" s="34" t="inlineStr">
        <is>
          <t>ONE_TO_ONE</t>
        </is>
      </c>
      <c r="H620" s="34" t="inlineStr">
        <is>
          <t>APPROVED</t>
        </is>
      </c>
      <c r="I620" s="34" t="inlineStr">
        <is>
          <t>New</t>
        </is>
      </c>
      <c r="J620" s="34" t="inlineStr">
        <is>
          <t>Source assignment -- not individually reviewed</t>
        </is>
      </c>
      <c r="K620" s="39" t="inlineStr"/>
      <c r="L620" s="14" t="inlineStr"/>
      <c r="M620" s="14" t="inlineStr"/>
      <c r="N620" s="92" t="inlineStr">
        <is>
          <t>10 EVIDENCE &amp; DECISIONS</t>
        </is>
      </c>
    </row>
    <row r="621" ht="34" customHeight="1">
      <c r="A621" s="34" t="inlineStr">
        <is>
          <t>Contractor Programme</t>
        </is>
      </c>
      <c r="B621" s="34" t="inlineStr">
        <is>
          <t>SCH-03-098</t>
        </is>
      </c>
      <c r="C621" s="34" t="inlineStr">
        <is>
          <t>West wayside: signal equipment installation - field start</t>
        </is>
      </c>
      <c r="D621" s="34" t="inlineStr">
        <is>
          <t>WBS Code = 1.3.1</t>
        </is>
      </c>
      <c r="E621" s="34" t="inlineStr">
        <is>
          <t>R458-v1</t>
        </is>
      </c>
      <c r="F621" s="34" t="inlineStr">
        <is>
          <t>1.3.1 Systems - Traction Power</t>
        </is>
      </c>
      <c r="G621" s="34" t="inlineStr">
        <is>
          <t>ONE_TO_ONE</t>
        </is>
      </c>
      <c r="H621" s="34" t="inlineStr">
        <is>
          <t>APPROVED</t>
        </is>
      </c>
      <c r="I621" s="34" t="inlineStr">
        <is>
          <t>New</t>
        </is>
      </c>
      <c r="J621" s="34" t="inlineStr">
        <is>
          <t>Source assignment -- not individually reviewed</t>
        </is>
      </c>
      <c r="K621" s="39" t="inlineStr"/>
      <c r="L621" s="14" t="inlineStr"/>
      <c r="M621" s="14" t="inlineStr"/>
      <c r="N621" s="92" t="inlineStr">
        <is>
          <t>10 EVIDENCE &amp; DECISIONS</t>
        </is>
      </c>
    </row>
    <row r="622" ht="34" customHeight="1">
      <c r="A622" s="34" t="inlineStr">
        <is>
          <t>Contractor Programme</t>
        </is>
      </c>
      <c r="B622" s="34" t="inlineStr">
        <is>
          <t>SCH-03-100</t>
        </is>
      </c>
      <c r="C622" s="34" t="inlineStr">
        <is>
          <t>Central interlocking: control-centre integration - inspection</t>
        </is>
      </c>
      <c r="D622" s="34" t="inlineStr">
        <is>
          <t>WBS Code = 1.3.1</t>
        </is>
      </c>
      <c r="E622" s="34" t="inlineStr">
        <is>
          <t>R460-v1</t>
        </is>
      </c>
      <c r="F622" s="34" t="inlineStr">
        <is>
          <t>1.3.1 Systems - Traction Power</t>
        </is>
      </c>
      <c r="G622" s="34" t="inlineStr">
        <is>
          <t>ONE_TO_ONE</t>
        </is>
      </c>
      <c r="H622" s="34" t="inlineStr">
        <is>
          <t>APPROVED</t>
        </is>
      </c>
      <c r="I622" s="34" t="inlineStr">
        <is>
          <t>New</t>
        </is>
      </c>
      <c r="J622" s="34" t="inlineStr">
        <is>
          <t>Source assignment -- not individually reviewed</t>
        </is>
      </c>
      <c r="K622" s="39" t="inlineStr"/>
      <c r="L622" s="14" t="inlineStr"/>
      <c r="M622" s="14" t="inlineStr"/>
      <c r="N622" s="92" t="inlineStr">
        <is>
          <t>10 EVIDENCE &amp; DECISIONS</t>
        </is>
      </c>
    </row>
    <row r="623" ht="34" customHeight="1">
      <c r="A623" s="34" t="inlineStr">
        <is>
          <t>Contractor Programme</t>
        </is>
      </c>
      <c r="B623" s="34" t="inlineStr">
        <is>
          <t>SCH-03-101</t>
        </is>
      </c>
      <c r="C623" s="34" t="inlineStr">
        <is>
          <t>Harbour Station: fibre backbone termination - turnover</t>
        </is>
      </c>
      <c r="D623" s="34" t="inlineStr">
        <is>
          <t>WBS Code = 1.3.1</t>
        </is>
      </c>
      <c r="E623" s="34" t="inlineStr">
        <is>
          <t>R461-v1</t>
        </is>
      </c>
      <c r="F623" s="34" t="inlineStr">
        <is>
          <t>1.3.1 Systems - Traction Power</t>
        </is>
      </c>
      <c r="G623" s="34" t="inlineStr">
        <is>
          <t>ONE_TO_ONE</t>
        </is>
      </c>
      <c r="H623" s="34" t="inlineStr">
        <is>
          <t>APPROVED</t>
        </is>
      </c>
      <c r="I623" s="34" t="inlineStr">
        <is>
          <t>New</t>
        </is>
      </c>
      <c r="J623" s="34" t="inlineStr">
        <is>
          <t>Source assignment -- not individually reviewed</t>
        </is>
      </c>
      <c r="K623" s="39" t="inlineStr"/>
      <c r="L623" s="14" t="inlineStr"/>
      <c r="M623" s="14" t="inlineStr"/>
      <c r="N623" s="92" t="inlineStr">
        <is>
          <t>10 EVIDENCE &amp; DECISIONS</t>
        </is>
      </c>
    </row>
    <row r="624" ht="34" customHeight="1">
      <c r="A624" s="34" t="inlineStr">
        <is>
          <t>Contractor Programme</t>
        </is>
      </c>
      <c r="B624" s="34" t="inlineStr">
        <is>
          <t>SCH-03-103</t>
        </is>
      </c>
      <c r="C624" s="34" t="inlineStr">
        <is>
          <t>West wayside: traction-power feeder pull - field start</t>
        </is>
      </c>
      <c r="D624" s="34" t="inlineStr">
        <is>
          <t>WBS Code = 1.3.1</t>
        </is>
      </c>
      <c r="E624" s="34" t="inlineStr">
        <is>
          <t>R463-v1</t>
        </is>
      </c>
      <c r="F624" s="34" t="inlineStr">
        <is>
          <t>1.3.1 Systems - Traction Power</t>
        </is>
      </c>
      <c r="G624" s="34" t="inlineStr">
        <is>
          <t>ONE_TO_ONE</t>
        </is>
      </c>
      <c r="H624" s="34" t="inlineStr">
        <is>
          <t>APPROVED</t>
        </is>
      </c>
      <c r="I624" s="34" t="inlineStr">
        <is>
          <t>New</t>
        </is>
      </c>
      <c r="J624" s="34" t="inlineStr">
        <is>
          <t>Source assignment -- not individually reviewed</t>
        </is>
      </c>
      <c r="K624" s="39" t="inlineStr"/>
      <c r="L624" s="14" t="inlineStr"/>
      <c r="M624" s="14" t="inlineStr"/>
      <c r="N624" s="92" t="inlineStr">
        <is>
          <t>10 EVIDENCE &amp; DECISIONS</t>
        </is>
      </c>
    </row>
    <row r="625" ht="34" customHeight="1">
      <c r="A625" s="34" t="inlineStr">
        <is>
          <t>Contractor Programme</t>
        </is>
      </c>
      <c r="B625" s="34" t="inlineStr">
        <is>
          <t>SCH-03-104</t>
        </is>
      </c>
      <c r="C625" s="34" t="inlineStr">
        <is>
          <t>East substation: train-control cabinet fit-out - installation</t>
        </is>
      </c>
      <c r="D625" s="34" t="inlineStr">
        <is>
          <t>WBS Code = 1.3.1</t>
        </is>
      </c>
      <c r="E625" s="34" t="inlineStr">
        <is>
          <t>R464-v1</t>
        </is>
      </c>
      <c r="F625" s="34" t="inlineStr">
        <is>
          <t>1.3.1 Systems - Traction Power</t>
        </is>
      </c>
      <c r="G625" s="34" t="inlineStr">
        <is>
          <t>ONE_TO_ONE</t>
        </is>
      </c>
      <c r="H625" s="34" t="inlineStr">
        <is>
          <t>APPROVED</t>
        </is>
      </c>
      <c r="I625" s="34" t="inlineStr">
        <is>
          <t>New</t>
        </is>
      </c>
      <c r="J625" s="34" t="inlineStr">
        <is>
          <t>Source assignment -- not individually reviewed</t>
        </is>
      </c>
      <c r="K625" s="39" t="inlineStr"/>
      <c r="L625" s="14" t="inlineStr"/>
      <c r="M625" s="14" t="inlineStr"/>
      <c r="N625" s="92" t="inlineStr">
        <is>
          <t>10 EVIDENCE &amp; DECISIONS</t>
        </is>
      </c>
    </row>
    <row r="626" ht="34" customHeight="1">
      <c r="A626" s="34" t="inlineStr">
        <is>
          <t>Contractor Programme</t>
        </is>
      </c>
      <c r="B626" s="34" t="inlineStr">
        <is>
          <t>SCH-03-106</t>
        </is>
      </c>
      <c r="C626" s="34" t="inlineStr">
        <is>
          <t>Harbour Station: signal equipment installation - turnover</t>
        </is>
      </c>
      <c r="D626" s="34" t="inlineStr">
        <is>
          <t>WBS Code = 1.3.1</t>
        </is>
      </c>
      <c r="E626" s="34" t="inlineStr">
        <is>
          <t>R466-v1</t>
        </is>
      </c>
      <c r="F626" s="34" t="inlineStr">
        <is>
          <t>1.3.1 Systems - Traction Power</t>
        </is>
      </c>
      <c r="G626" s="34" t="inlineStr">
        <is>
          <t>ONE_TO_ONE</t>
        </is>
      </c>
      <c r="H626" s="34" t="inlineStr">
        <is>
          <t>APPROVED</t>
        </is>
      </c>
      <c r="I626" s="34" t="inlineStr">
        <is>
          <t>New</t>
        </is>
      </c>
      <c r="J626" s="34" t="inlineStr">
        <is>
          <t>Source assignment -- not individually reviewed</t>
        </is>
      </c>
      <c r="K626" s="39" t="inlineStr"/>
      <c r="L626" s="14" t="inlineStr"/>
      <c r="M626" s="14" t="inlineStr"/>
      <c r="N626" s="92" t="inlineStr">
        <is>
          <t>10 EVIDENCE &amp; DECISIONS</t>
        </is>
      </c>
    </row>
    <row r="627" ht="34" customHeight="1">
      <c r="A627" s="34" t="inlineStr">
        <is>
          <t>Contractor Programme</t>
        </is>
      </c>
      <c r="B627" s="34" t="inlineStr">
        <is>
          <t>SCH-03-107</t>
        </is>
      </c>
      <c r="C627" s="34" t="inlineStr">
        <is>
          <t>Control Centre: radio equipment installation - release</t>
        </is>
      </c>
      <c r="D627" s="34" t="inlineStr">
        <is>
          <t>WBS Code = 1.3.1</t>
        </is>
      </c>
      <c r="E627" s="34" t="inlineStr">
        <is>
          <t>R467-v1</t>
        </is>
      </c>
      <c r="F627" s="34" t="inlineStr">
        <is>
          <t>1.3.1 Systems - Traction Power</t>
        </is>
      </c>
      <c r="G627" s="34" t="inlineStr">
        <is>
          <t>ONE_TO_ONE</t>
        </is>
      </c>
      <c r="H627" s="34" t="inlineStr">
        <is>
          <t>APPROVED</t>
        </is>
      </c>
      <c r="I627" s="34" t="inlineStr">
        <is>
          <t>New</t>
        </is>
      </c>
      <c r="J627" s="34" t="inlineStr">
        <is>
          <t>Source assignment -- not individually reviewed</t>
        </is>
      </c>
      <c r="K627" s="39" t="inlineStr"/>
      <c r="L627" s="14" t="inlineStr"/>
      <c r="M627" s="14" t="inlineStr"/>
      <c r="N627" s="92" t="inlineStr">
        <is>
          <t>10 EVIDENCE &amp; DECISIONS</t>
        </is>
      </c>
    </row>
    <row r="628" ht="34" customHeight="1">
      <c r="A628" s="34" t="inlineStr">
        <is>
          <t>Contractor Programme</t>
        </is>
      </c>
      <c r="B628" s="34" t="inlineStr">
        <is>
          <t>SCH-03-109</t>
        </is>
      </c>
      <c r="C628" s="34" t="inlineStr">
        <is>
          <t>East substation: fibre backbone termination - installation</t>
        </is>
      </c>
      <c r="D628" s="34" t="inlineStr">
        <is>
          <t>WBS Code = 1.3.1</t>
        </is>
      </c>
      <c r="E628" s="34" t="inlineStr">
        <is>
          <t>R469-v1</t>
        </is>
      </c>
      <c r="F628" s="34" t="inlineStr">
        <is>
          <t>1.3.1 Systems - Traction Power</t>
        </is>
      </c>
      <c r="G628" s="34" t="inlineStr">
        <is>
          <t>ONE_TO_ONE</t>
        </is>
      </c>
      <c r="H628" s="34" t="inlineStr">
        <is>
          <t>APPROVED</t>
        </is>
      </c>
      <c r="I628" s="34" t="inlineStr">
        <is>
          <t>New</t>
        </is>
      </c>
      <c r="J628" s="34" t="inlineStr">
        <is>
          <t>Source assignment -- not individually reviewed</t>
        </is>
      </c>
      <c r="K628" s="39" t="inlineStr"/>
      <c r="L628" s="14" t="inlineStr"/>
      <c r="M628" s="14" t="inlineStr"/>
      <c r="N628" s="92" t="inlineStr">
        <is>
          <t>10 EVIDENCE &amp; DECISIONS</t>
        </is>
      </c>
    </row>
    <row r="629" ht="34" customHeight="1">
      <c r="A629" s="34" t="inlineStr">
        <is>
          <t>Contractor Programme</t>
        </is>
      </c>
      <c r="B629" s="34" t="inlineStr">
        <is>
          <t>SCH-03-110</t>
        </is>
      </c>
      <c r="C629" s="34" t="inlineStr">
        <is>
          <t>Central interlocking: SCADA point-to-point check - inspection</t>
        </is>
      </c>
      <c r="D629" s="34" t="inlineStr">
        <is>
          <t>WBS Code = 1.3.1</t>
        </is>
      </c>
      <c r="E629" s="34" t="inlineStr">
        <is>
          <t>R470-v1</t>
        </is>
      </c>
      <c r="F629" s="34" t="inlineStr">
        <is>
          <t>1.3.1 Systems - Traction Power</t>
        </is>
      </c>
      <c r="G629" s="34" t="inlineStr">
        <is>
          <t>ONE_TO_ONE</t>
        </is>
      </c>
      <c r="H629" s="34" t="inlineStr">
        <is>
          <t>APPROVED</t>
        </is>
      </c>
      <c r="I629" s="34" t="inlineStr">
        <is>
          <t>New</t>
        </is>
      </c>
      <c r="J629" s="34" t="inlineStr">
        <is>
          <t>Source assignment -- not individually reviewed</t>
        </is>
      </c>
      <c r="K629" s="39" t="inlineStr"/>
      <c r="L629" s="14" t="inlineStr"/>
      <c r="M629" s="14" t="inlineStr"/>
      <c r="N629" s="92" t="inlineStr">
        <is>
          <t>10 EVIDENCE &amp; DECISIONS</t>
        </is>
      </c>
    </row>
    <row r="630" ht="34" customHeight="1">
      <c r="A630" s="34" t="inlineStr">
        <is>
          <t>Contractor Programme</t>
        </is>
      </c>
      <c r="B630" s="34" t="inlineStr">
        <is>
          <t>SCH-03-112</t>
        </is>
      </c>
      <c r="C630" s="34" t="inlineStr">
        <is>
          <t>Control Centre: train-control cabinet fit-out - release</t>
        </is>
      </c>
      <c r="D630" s="34" t="inlineStr">
        <is>
          <t>WBS Code = 1.3.1</t>
        </is>
      </c>
      <c r="E630" s="34" t="inlineStr">
        <is>
          <t>R472-v1</t>
        </is>
      </c>
      <c r="F630" s="34" t="inlineStr">
        <is>
          <t>1.3.1 Systems - Traction Power</t>
        </is>
      </c>
      <c r="G630" s="34" t="inlineStr">
        <is>
          <t>ONE_TO_ONE</t>
        </is>
      </c>
      <c r="H630" s="34" t="inlineStr">
        <is>
          <t>APPROVED</t>
        </is>
      </c>
      <c r="I630" s="34" t="inlineStr">
        <is>
          <t>New</t>
        </is>
      </c>
      <c r="J630" s="34" t="inlineStr">
        <is>
          <t>Source assignment -- not individually reviewed</t>
        </is>
      </c>
      <c r="K630" s="39" t="inlineStr"/>
      <c r="L630" s="14" t="inlineStr"/>
      <c r="M630" s="14" t="inlineStr"/>
      <c r="N630" s="92" t="inlineStr">
        <is>
          <t>10 EVIDENCE &amp; DECISIONS</t>
        </is>
      </c>
    </row>
    <row r="631" ht="34" customHeight="1">
      <c r="A631" s="34" t="inlineStr">
        <is>
          <t>Contractor Programme</t>
        </is>
      </c>
      <c r="B631" s="34" t="inlineStr">
        <is>
          <t>SCH-03-113</t>
        </is>
      </c>
      <c r="C631" s="34" t="inlineStr">
        <is>
          <t>West wayside: wayside interface test - field start</t>
        </is>
      </c>
      <c r="D631" s="34" t="inlineStr">
        <is>
          <t>WBS Code = 1.3.1</t>
        </is>
      </c>
      <c r="E631" s="34" t="inlineStr">
        <is>
          <t>R473-v1</t>
        </is>
      </c>
      <c r="F631" s="34" t="inlineStr">
        <is>
          <t>1.3.1 Systems - Traction Power</t>
        </is>
      </c>
      <c r="G631" s="34" t="inlineStr">
        <is>
          <t>ONE_TO_ONE</t>
        </is>
      </c>
      <c r="H631" s="34" t="inlineStr">
        <is>
          <t>APPROVED</t>
        </is>
      </c>
      <c r="I631" s="34" t="inlineStr">
        <is>
          <t>New</t>
        </is>
      </c>
      <c r="J631" s="34" t="inlineStr">
        <is>
          <t>Source assignment -- not individually reviewed</t>
        </is>
      </c>
      <c r="K631" s="39" t="inlineStr"/>
      <c r="L631" s="14" t="inlineStr"/>
      <c r="M631" s="14" t="inlineStr"/>
      <c r="N631" s="92" t="inlineStr">
        <is>
          <t>10 EVIDENCE &amp; DECISIONS</t>
        </is>
      </c>
    </row>
    <row r="632" ht="34" customHeight="1">
      <c r="A632" s="34" t="inlineStr">
        <is>
          <t>Contractor Programme</t>
        </is>
      </c>
      <c r="B632" s="34" t="inlineStr">
        <is>
          <t>SCH-03-115</t>
        </is>
      </c>
      <c r="C632" s="34" t="inlineStr">
        <is>
          <t>Central interlocking: radio equipment installation - inspection</t>
        </is>
      </c>
      <c r="D632" s="34" t="inlineStr">
        <is>
          <t>WBS Code = 1.3.1</t>
        </is>
      </c>
      <c r="E632" s="34" t="inlineStr">
        <is>
          <t>R475-v1</t>
        </is>
      </c>
      <c r="F632" s="34" t="inlineStr">
        <is>
          <t>1.3.1 Systems - Traction Power</t>
        </is>
      </c>
      <c r="G632" s="34" t="inlineStr">
        <is>
          <t>ONE_TO_ONE</t>
        </is>
      </c>
      <c r="H632" s="34" t="inlineStr">
        <is>
          <t>APPROVED</t>
        </is>
      </c>
      <c r="I632" s="34" t="inlineStr">
        <is>
          <t>New</t>
        </is>
      </c>
      <c r="J632" s="34" t="inlineStr">
        <is>
          <t>Source assignment -- not individually reviewed</t>
        </is>
      </c>
      <c r="K632" s="39" t="inlineStr"/>
      <c r="L632" s="14" t="inlineStr"/>
      <c r="M632" s="14" t="inlineStr"/>
      <c r="N632" s="92" t="inlineStr">
        <is>
          <t>10 EVIDENCE &amp; DECISIONS</t>
        </is>
      </c>
    </row>
    <row r="633" ht="34" customHeight="1">
      <c r="A633" s="34" t="inlineStr">
        <is>
          <t>Contractor Programme</t>
        </is>
      </c>
      <c r="B633" s="34" t="inlineStr">
        <is>
          <t>SCH-03-116</t>
        </is>
      </c>
      <c r="C633" s="34" t="inlineStr">
        <is>
          <t>Harbour Station: control-centre integration - turnover</t>
        </is>
      </c>
      <c r="D633" s="34" t="inlineStr">
        <is>
          <t>WBS Code = 1.3.1</t>
        </is>
      </c>
      <c r="E633" s="34" t="inlineStr">
        <is>
          <t>R476-v1</t>
        </is>
      </c>
      <c r="F633" s="34" t="inlineStr">
        <is>
          <t>1.3.1 Systems - Traction Power</t>
        </is>
      </c>
      <c r="G633" s="34" t="inlineStr">
        <is>
          <t>ONE_TO_ONE</t>
        </is>
      </c>
      <c r="H633" s="34" t="inlineStr">
        <is>
          <t>APPROVED</t>
        </is>
      </c>
      <c r="I633" s="34" t="inlineStr">
        <is>
          <t>New</t>
        </is>
      </c>
      <c r="J633" s="34" t="inlineStr">
        <is>
          <t>Source assignment -- not individually reviewed</t>
        </is>
      </c>
      <c r="K633" s="39" t="inlineStr"/>
      <c r="L633" s="14" t="inlineStr"/>
      <c r="M633" s="14" t="inlineStr"/>
      <c r="N633" s="92" t="inlineStr">
        <is>
          <t>10 EVIDENCE &amp; DECISIONS</t>
        </is>
      </c>
    </row>
    <row r="634" ht="34" customHeight="1">
      <c r="A634" s="34" t="inlineStr">
        <is>
          <t>Contractor Programme</t>
        </is>
      </c>
      <c r="B634" s="34" t="inlineStr">
        <is>
          <t>SCH-03-118</t>
        </is>
      </c>
      <c r="C634" s="34" t="inlineStr">
        <is>
          <t>West wayside: SCADA point-to-point check - field start</t>
        </is>
      </c>
      <c r="D634" s="34" t="inlineStr">
        <is>
          <t>WBS Code = 1.3.1</t>
        </is>
      </c>
      <c r="E634" s="34" t="inlineStr">
        <is>
          <t>R478-v1</t>
        </is>
      </c>
      <c r="F634" s="34" t="inlineStr">
        <is>
          <t>1.3.1 Systems - Traction Power</t>
        </is>
      </c>
      <c r="G634" s="34" t="inlineStr">
        <is>
          <t>ONE_TO_ONE</t>
        </is>
      </c>
      <c r="H634" s="34" t="inlineStr">
        <is>
          <t>APPROVED</t>
        </is>
      </c>
      <c r="I634" s="34" t="inlineStr">
        <is>
          <t>New</t>
        </is>
      </c>
      <c r="J634" s="34" t="inlineStr">
        <is>
          <t>Source assignment -- not individually reviewed</t>
        </is>
      </c>
      <c r="K634" s="39" t="inlineStr"/>
      <c r="L634" s="14" t="inlineStr"/>
      <c r="M634" s="14" t="inlineStr"/>
      <c r="N634" s="92" t="inlineStr">
        <is>
          <t>10 EVIDENCE &amp; DECISIONS</t>
        </is>
      </c>
    </row>
    <row r="635" ht="34" customHeight="1">
      <c r="A635" s="34" t="inlineStr">
        <is>
          <t>Contractor Programme</t>
        </is>
      </c>
      <c r="B635" s="34" t="inlineStr">
        <is>
          <t>SCH-03-119</t>
        </is>
      </c>
      <c r="C635" s="34" t="inlineStr">
        <is>
          <t>East substation: traction-power feeder pull - installation</t>
        </is>
      </c>
      <c r="D635" s="34" t="inlineStr">
        <is>
          <t>WBS Code = 1.3.1</t>
        </is>
      </c>
      <c r="E635" s="34" t="inlineStr">
        <is>
          <t>R479-v1</t>
        </is>
      </c>
      <c r="F635" s="34" t="inlineStr">
        <is>
          <t>1.3.1 Systems - Traction Power</t>
        </is>
      </c>
      <c r="G635" s="34" t="inlineStr">
        <is>
          <t>ONE_TO_ONE</t>
        </is>
      </c>
      <c r="H635" s="34" t="inlineStr">
        <is>
          <t>APPROVED</t>
        </is>
      </c>
      <c r="I635" s="34" t="inlineStr">
        <is>
          <t>New</t>
        </is>
      </c>
      <c r="J635" s="34" t="inlineStr">
        <is>
          <t>Source assignment -- not individually reviewed</t>
        </is>
      </c>
      <c r="K635" s="39" t="inlineStr"/>
      <c r="L635" s="14" t="inlineStr"/>
      <c r="M635" s="14" t="inlineStr"/>
      <c r="N635" s="92" t="inlineStr">
        <is>
          <t>10 EVIDENCE &amp; DECISIONS</t>
        </is>
      </c>
    </row>
    <row r="636" ht="34" customHeight="1">
      <c r="A636" s="34" t="inlineStr">
        <is>
          <t>Contractor Programme</t>
        </is>
      </c>
      <c r="B636" s="34" t="inlineStr">
        <is>
          <t>SCH-03-121</t>
        </is>
      </c>
      <c r="C636" s="34" t="inlineStr">
        <is>
          <t>Harbour Station: wayside interface test - turnover</t>
        </is>
      </c>
      <c r="D636" s="34" t="inlineStr">
        <is>
          <t>WBS Code = 1.3.1</t>
        </is>
      </c>
      <c r="E636" s="34" t="inlineStr">
        <is>
          <t>R481-v1</t>
        </is>
      </c>
      <c r="F636" s="34" t="inlineStr">
        <is>
          <t>1.3.1 Systems - Traction Power</t>
        </is>
      </c>
      <c r="G636" s="34" t="inlineStr">
        <is>
          <t>ONE_TO_ONE</t>
        </is>
      </c>
      <c r="H636" s="34" t="inlineStr">
        <is>
          <t>APPROVED</t>
        </is>
      </c>
      <c r="I636" s="34" t="inlineStr">
        <is>
          <t>New</t>
        </is>
      </c>
      <c r="J636" s="34" t="inlineStr">
        <is>
          <t>Source assignment -- not individually reviewed</t>
        </is>
      </c>
      <c r="K636" s="39" t="inlineStr"/>
      <c r="L636" s="14" t="inlineStr"/>
      <c r="M636" s="14" t="inlineStr"/>
      <c r="N636" s="92" t="inlineStr">
        <is>
          <t>10 EVIDENCE &amp; DECISIONS</t>
        </is>
      </c>
    </row>
    <row r="637" ht="34" customHeight="1">
      <c r="A637" s="34" t="inlineStr">
        <is>
          <t>Contractor Programme</t>
        </is>
      </c>
      <c r="B637" s="34" t="inlineStr">
        <is>
          <t>SCH-03-122</t>
        </is>
      </c>
      <c r="C637" s="34" t="inlineStr">
        <is>
          <t>Control Centre: signal equipment installation - release</t>
        </is>
      </c>
      <c r="D637" s="34" t="inlineStr">
        <is>
          <t>WBS Code = 1.3.1</t>
        </is>
      </c>
      <c r="E637" s="34" t="inlineStr">
        <is>
          <t>R482-v1</t>
        </is>
      </c>
      <c r="F637" s="34" t="inlineStr">
        <is>
          <t>1.3.1 Systems - Traction Power</t>
        </is>
      </c>
      <c r="G637" s="34" t="inlineStr">
        <is>
          <t>ONE_TO_ONE</t>
        </is>
      </c>
      <c r="H637" s="34" t="inlineStr">
        <is>
          <t>APPROVED</t>
        </is>
      </c>
      <c r="I637" s="34" t="inlineStr">
        <is>
          <t>New</t>
        </is>
      </c>
      <c r="J637" s="34" t="inlineStr">
        <is>
          <t>Source assignment -- not individually reviewed</t>
        </is>
      </c>
      <c r="K637" s="39" t="inlineStr"/>
      <c r="L637" s="14" t="inlineStr"/>
      <c r="M637" s="14" t="inlineStr"/>
      <c r="N637" s="92" t="inlineStr">
        <is>
          <t>10 EVIDENCE &amp; DECISIONS</t>
        </is>
      </c>
    </row>
    <row r="638" ht="34" customHeight="1">
      <c r="A638" s="34" t="inlineStr">
        <is>
          <t>Contractor Programme</t>
        </is>
      </c>
      <c r="B638" s="34" t="inlineStr">
        <is>
          <t>SCH-03-124</t>
        </is>
      </c>
      <c r="C638" s="34" t="inlineStr">
        <is>
          <t>East substation: control-centre integration - installation</t>
        </is>
      </c>
      <c r="D638" s="34" t="inlineStr">
        <is>
          <t>WBS Code = 1.3.1</t>
        </is>
      </c>
      <c r="E638" s="34" t="inlineStr">
        <is>
          <t>R484-v1</t>
        </is>
      </c>
      <c r="F638" s="34" t="inlineStr">
        <is>
          <t>1.3.1 Systems - Traction Power</t>
        </is>
      </c>
      <c r="G638" s="34" t="inlineStr">
        <is>
          <t>ONE_TO_ONE</t>
        </is>
      </c>
      <c r="H638" s="34" t="inlineStr">
        <is>
          <t>APPROVED</t>
        </is>
      </c>
      <c r="I638" s="34" t="inlineStr">
        <is>
          <t>New</t>
        </is>
      </c>
      <c r="J638" s="34" t="inlineStr">
        <is>
          <t>Source assignment -- not individually reviewed</t>
        </is>
      </c>
      <c r="K638" s="39" t="inlineStr"/>
      <c r="L638" s="14" t="inlineStr"/>
      <c r="M638" s="14" t="inlineStr"/>
      <c r="N638" s="92" t="inlineStr">
        <is>
          <t>10 EVIDENCE &amp; DECISIONS</t>
        </is>
      </c>
    </row>
    <row r="639" ht="34" customHeight="1">
      <c r="A639" s="34" t="inlineStr">
        <is>
          <t>Contractor Programme</t>
        </is>
      </c>
      <c r="B639" s="34" t="inlineStr">
        <is>
          <t>SCH-03-125</t>
        </is>
      </c>
      <c r="C639" s="34" t="inlineStr">
        <is>
          <t>Central interlocking: fibre backbone termination - inspection</t>
        </is>
      </c>
      <c r="D639" s="34" t="inlineStr">
        <is>
          <t>WBS Code = 1.3.1</t>
        </is>
      </c>
      <c r="E639" s="34" t="inlineStr">
        <is>
          <t>R485-v1</t>
        </is>
      </c>
      <c r="F639" s="34" t="inlineStr">
        <is>
          <t>1.3.1 Systems - Traction Power</t>
        </is>
      </c>
      <c r="G639" s="34" t="inlineStr">
        <is>
          <t>ONE_TO_ONE</t>
        </is>
      </c>
      <c r="H639" s="34" t="inlineStr">
        <is>
          <t>APPROVED</t>
        </is>
      </c>
      <c r="I639" s="34" t="inlineStr">
        <is>
          <t>New</t>
        </is>
      </c>
      <c r="J639" s="34" t="inlineStr">
        <is>
          <t>Source assignment -- not individually reviewed</t>
        </is>
      </c>
      <c r="K639" s="39" t="inlineStr"/>
      <c r="L639" s="14" t="inlineStr"/>
      <c r="M639" s="14" t="inlineStr"/>
      <c r="N639" s="92" t="inlineStr">
        <is>
          <t>10 EVIDENCE &amp; DECISIONS</t>
        </is>
      </c>
    </row>
    <row r="640" ht="34" customHeight="1">
      <c r="A640" s="34" t="inlineStr">
        <is>
          <t>Contractor Programme</t>
        </is>
      </c>
      <c r="B640" s="34" t="inlineStr">
        <is>
          <t>SCH-03-127</t>
        </is>
      </c>
      <c r="C640" s="34" t="inlineStr">
        <is>
          <t>Control Centre: traction-power feeder pull - release</t>
        </is>
      </c>
      <c r="D640" s="34" t="inlineStr">
        <is>
          <t>WBS Code = 1.3.1</t>
        </is>
      </c>
      <c r="E640" s="34" t="inlineStr">
        <is>
          <t>R487-v1</t>
        </is>
      </c>
      <c r="F640" s="34" t="inlineStr">
        <is>
          <t>1.3.1 Systems - Traction Power</t>
        </is>
      </c>
      <c r="G640" s="34" t="inlineStr">
        <is>
          <t>ONE_TO_ONE</t>
        </is>
      </c>
      <c r="H640" s="34" t="inlineStr">
        <is>
          <t>APPROVED</t>
        </is>
      </c>
      <c r="I640" s="34" t="inlineStr">
        <is>
          <t>New</t>
        </is>
      </c>
      <c r="J640" s="34" t="inlineStr">
        <is>
          <t>Source assignment -- not individually reviewed</t>
        </is>
      </c>
      <c r="K640" s="39" t="inlineStr"/>
      <c r="L640" s="14" t="inlineStr"/>
      <c r="M640" s="14" t="inlineStr"/>
      <c r="N640" s="92" t="inlineStr">
        <is>
          <t>10 EVIDENCE &amp; DECISIONS</t>
        </is>
      </c>
    </row>
    <row r="641" ht="34" customHeight="1">
      <c r="A641" s="34" t="inlineStr">
        <is>
          <t>Contractor Programme</t>
        </is>
      </c>
      <c r="B641" s="34" t="inlineStr">
        <is>
          <t>SCH-03-128</t>
        </is>
      </c>
      <c r="C641" s="34" t="inlineStr">
        <is>
          <t>West wayside: train-control cabinet fit-out - field start</t>
        </is>
      </c>
      <c r="D641" s="34" t="inlineStr">
        <is>
          <t>WBS Code = 1.3.1</t>
        </is>
      </c>
      <c r="E641" s="34" t="inlineStr">
        <is>
          <t>R488-v1</t>
        </is>
      </c>
      <c r="F641" s="34" t="inlineStr">
        <is>
          <t>1.3.1 Systems - Traction Power</t>
        </is>
      </c>
      <c r="G641" s="34" t="inlineStr">
        <is>
          <t>ONE_TO_ONE</t>
        </is>
      </c>
      <c r="H641" s="34" t="inlineStr">
        <is>
          <t>APPROVED</t>
        </is>
      </c>
      <c r="I641" s="34" t="inlineStr">
        <is>
          <t>New</t>
        </is>
      </c>
      <c r="J641" s="34" t="inlineStr">
        <is>
          <t>Source assignment -- not individually reviewed</t>
        </is>
      </c>
      <c r="K641" s="39" t="inlineStr"/>
      <c r="L641" s="14" t="inlineStr"/>
      <c r="M641" s="14" t="inlineStr"/>
      <c r="N641" s="92" t="inlineStr">
        <is>
          <t>10 EVIDENCE &amp; DECISIONS</t>
        </is>
      </c>
    </row>
    <row r="642" ht="34" customHeight="1">
      <c r="A642" s="34" t="inlineStr">
        <is>
          <t>Contractor Programme</t>
        </is>
      </c>
      <c r="B642" s="34" t="inlineStr">
        <is>
          <t>SCH-03-130</t>
        </is>
      </c>
      <c r="C642" s="34" t="inlineStr">
        <is>
          <t>Central interlocking: signal equipment installation - inspection</t>
        </is>
      </c>
      <c r="D642" s="34" t="inlineStr">
        <is>
          <t>WBS Code = 1.3.1</t>
        </is>
      </c>
      <c r="E642" s="34" t="inlineStr">
        <is>
          <t>R490-v1</t>
        </is>
      </c>
      <c r="F642" s="34" t="inlineStr">
        <is>
          <t>1.3.1 Systems - Traction Power</t>
        </is>
      </c>
      <c r="G642" s="34" t="inlineStr">
        <is>
          <t>ONE_TO_ONE</t>
        </is>
      </c>
      <c r="H642" s="34" t="inlineStr">
        <is>
          <t>APPROVED</t>
        </is>
      </c>
      <c r="I642" s="34" t="inlineStr">
        <is>
          <t>New</t>
        </is>
      </c>
      <c r="J642" s="34" t="inlineStr">
        <is>
          <t>Source assignment -- not individually reviewed</t>
        </is>
      </c>
      <c r="K642" s="39" t="inlineStr"/>
      <c r="L642" s="14" t="inlineStr"/>
      <c r="M642" s="14" t="inlineStr"/>
      <c r="N642" s="92" t="inlineStr">
        <is>
          <t>10 EVIDENCE &amp; DECISIONS</t>
        </is>
      </c>
    </row>
    <row r="643" ht="34" customHeight="1">
      <c r="A643" s="34" t="inlineStr">
        <is>
          <t>Contractor Programme</t>
        </is>
      </c>
      <c r="B643" s="34" t="inlineStr">
        <is>
          <t>SCH-03-131</t>
        </is>
      </c>
      <c r="C643" s="34" t="inlineStr">
        <is>
          <t>Harbour Station: radio equipment installation - turnover</t>
        </is>
      </c>
      <c r="D643" s="34" t="inlineStr">
        <is>
          <t>WBS Code = 1.3.1</t>
        </is>
      </c>
      <c r="E643" s="34" t="inlineStr">
        <is>
          <t>R491-v1</t>
        </is>
      </c>
      <c r="F643" s="34" t="inlineStr">
        <is>
          <t>1.3.1 Systems - Traction Power</t>
        </is>
      </c>
      <c r="G643" s="34" t="inlineStr">
        <is>
          <t>ONE_TO_ONE</t>
        </is>
      </c>
      <c r="H643" s="34" t="inlineStr">
        <is>
          <t>APPROVED</t>
        </is>
      </c>
      <c r="I643" s="34" t="inlineStr">
        <is>
          <t>New</t>
        </is>
      </c>
      <c r="J643" s="34" t="inlineStr">
        <is>
          <t>Source assignment -- not individually reviewed</t>
        </is>
      </c>
      <c r="K643" s="39" t="inlineStr"/>
      <c r="L643" s="14" t="inlineStr"/>
      <c r="M643" s="14" t="inlineStr"/>
      <c r="N643" s="92" t="inlineStr">
        <is>
          <t>10 EVIDENCE &amp; DECISIONS</t>
        </is>
      </c>
    </row>
    <row r="644" ht="34" customHeight="1">
      <c r="A644" s="34" t="inlineStr">
        <is>
          <t>Contractor Programme</t>
        </is>
      </c>
      <c r="B644" s="34" t="inlineStr">
        <is>
          <t>SCH-03-133</t>
        </is>
      </c>
      <c r="C644" s="34" t="inlineStr">
        <is>
          <t>West wayside: fibre backbone termination - field start</t>
        </is>
      </c>
      <c r="D644" s="34" t="inlineStr">
        <is>
          <t>WBS Code = 1.3.1</t>
        </is>
      </c>
      <c r="E644" s="34" t="inlineStr">
        <is>
          <t>R493-v1</t>
        </is>
      </c>
      <c r="F644" s="34" t="inlineStr">
        <is>
          <t>1.3.1 Systems - Traction Power</t>
        </is>
      </c>
      <c r="G644" s="34" t="inlineStr">
        <is>
          <t>ONE_TO_ONE</t>
        </is>
      </c>
      <c r="H644" s="34" t="inlineStr">
        <is>
          <t>APPROVED</t>
        </is>
      </c>
      <c r="I644" s="34" t="inlineStr">
        <is>
          <t>New</t>
        </is>
      </c>
      <c r="J644" s="34" t="inlineStr">
        <is>
          <t>Source assignment -- not individually reviewed</t>
        </is>
      </c>
      <c r="K644" s="39" t="inlineStr"/>
      <c r="L644" s="14" t="inlineStr"/>
      <c r="M644" s="14" t="inlineStr"/>
      <c r="N644" s="92" t="inlineStr">
        <is>
          <t>10 EVIDENCE &amp; DECISIONS</t>
        </is>
      </c>
    </row>
    <row r="645" ht="34" customHeight="1">
      <c r="A645" s="34" t="inlineStr">
        <is>
          <t>Contractor Programme</t>
        </is>
      </c>
      <c r="B645" s="34" t="inlineStr">
        <is>
          <t>SCH-03-134</t>
        </is>
      </c>
      <c r="C645" s="34" t="inlineStr">
        <is>
          <t>East substation: SCADA point-to-point check - installation</t>
        </is>
      </c>
      <c r="D645" s="34" t="inlineStr">
        <is>
          <t>WBS Code = 1.3.1</t>
        </is>
      </c>
      <c r="E645" s="34" t="inlineStr">
        <is>
          <t>R494-v1</t>
        </is>
      </c>
      <c r="F645" s="34" t="inlineStr">
        <is>
          <t>1.3.1 Systems - Traction Power</t>
        </is>
      </c>
      <c r="G645" s="34" t="inlineStr">
        <is>
          <t>ONE_TO_ONE</t>
        </is>
      </c>
      <c r="H645" s="34" t="inlineStr">
        <is>
          <t>APPROVED</t>
        </is>
      </c>
      <c r="I645" s="34" t="inlineStr">
        <is>
          <t>New</t>
        </is>
      </c>
      <c r="J645" s="34" t="inlineStr">
        <is>
          <t>Source assignment -- not individually reviewed</t>
        </is>
      </c>
      <c r="K645" s="39" t="inlineStr"/>
      <c r="L645" s="14" t="inlineStr"/>
      <c r="M645" s="14" t="inlineStr"/>
      <c r="N645" s="92" t="inlineStr">
        <is>
          <t>10 EVIDENCE &amp; DECISIONS</t>
        </is>
      </c>
    </row>
    <row r="646" ht="34" customHeight="1">
      <c r="A646" s="34" t="inlineStr">
        <is>
          <t>Contractor Programme</t>
        </is>
      </c>
      <c r="B646" s="34" t="inlineStr">
        <is>
          <t>SCH-03-136</t>
        </is>
      </c>
      <c r="C646" s="34" t="inlineStr">
        <is>
          <t>Harbour Station: train-control cabinet fit-out - turnover</t>
        </is>
      </c>
      <c r="D646" s="34" t="inlineStr">
        <is>
          <t>WBS Code = 1.3.1</t>
        </is>
      </c>
      <c r="E646" s="34" t="inlineStr">
        <is>
          <t>R496-v1</t>
        </is>
      </c>
      <c r="F646" s="34" t="inlineStr">
        <is>
          <t>1.3.1 Systems - Traction Power</t>
        </is>
      </c>
      <c r="G646" s="34" t="inlineStr">
        <is>
          <t>ONE_TO_ONE</t>
        </is>
      </c>
      <c r="H646" s="34" t="inlineStr">
        <is>
          <t>APPROVED</t>
        </is>
      </c>
      <c r="I646" s="34" t="inlineStr">
        <is>
          <t>New</t>
        </is>
      </c>
      <c r="J646" s="34" t="inlineStr">
        <is>
          <t>Source assignment -- not individually reviewed</t>
        </is>
      </c>
      <c r="K646" s="39" t="inlineStr"/>
      <c r="L646" s="14" t="inlineStr"/>
      <c r="M646" s="14" t="inlineStr"/>
      <c r="N646" s="92" t="inlineStr">
        <is>
          <t>10 EVIDENCE &amp; DECISIONS</t>
        </is>
      </c>
    </row>
    <row r="647" ht="34" customHeight="1">
      <c r="A647" s="34" t="inlineStr">
        <is>
          <t>Contractor Programme</t>
        </is>
      </c>
      <c r="B647" s="34" t="inlineStr">
        <is>
          <t>SCH-03-137</t>
        </is>
      </c>
      <c r="C647" s="34" t="inlineStr">
        <is>
          <t>Control Centre: wayside interface test - release</t>
        </is>
      </c>
      <c r="D647" s="34" t="inlineStr">
        <is>
          <t>WBS Code = 1.3.1</t>
        </is>
      </c>
      <c r="E647" s="34" t="inlineStr">
        <is>
          <t>R497-v1</t>
        </is>
      </c>
      <c r="F647" s="34" t="inlineStr">
        <is>
          <t>1.3.1 Systems - Traction Power</t>
        </is>
      </c>
      <c r="G647" s="34" t="inlineStr">
        <is>
          <t>ONE_TO_ONE</t>
        </is>
      </c>
      <c r="H647" s="34" t="inlineStr">
        <is>
          <t>APPROVED</t>
        </is>
      </c>
      <c r="I647" s="34" t="inlineStr">
        <is>
          <t>New</t>
        </is>
      </c>
      <c r="J647" s="34" t="inlineStr">
        <is>
          <t>Source assignment -- not individually reviewed</t>
        </is>
      </c>
      <c r="K647" s="39" t="inlineStr"/>
      <c r="L647" s="14" t="inlineStr"/>
      <c r="M647" s="14" t="inlineStr"/>
      <c r="N647" s="92" t="inlineStr">
        <is>
          <t>10 EVIDENCE &amp; DECISIONS</t>
        </is>
      </c>
    </row>
    <row r="648" ht="34" customHeight="1">
      <c r="A648" s="34" t="inlineStr">
        <is>
          <t>Contractor Programme</t>
        </is>
      </c>
      <c r="B648" s="34" t="inlineStr">
        <is>
          <t>SCH-03-139</t>
        </is>
      </c>
      <c r="C648" s="34" t="inlineStr">
        <is>
          <t>East substation: radio equipment installation - installation</t>
        </is>
      </c>
      <c r="D648" s="34" t="inlineStr">
        <is>
          <t>WBS Code = 1.3.1</t>
        </is>
      </c>
      <c r="E648" s="34" t="inlineStr">
        <is>
          <t>R499-v1</t>
        </is>
      </c>
      <c r="F648" s="34" t="inlineStr">
        <is>
          <t>1.3.1 Systems - Traction Power</t>
        </is>
      </c>
      <c r="G648" s="34" t="inlineStr">
        <is>
          <t>ONE_TO_ONE</t>
        </is>
      </c>
      <c r="H648" s="34" t="inlineStr">
        <is>
          <t>APPROVED</t>
        </is>
      </c>
      <c r="I648" s="34" t="inlineStr">
        <is>
          <t>New</t>
        </is>
      </c>
      <c r="J648" s="34" t="inlineStr">
        <is>
          <t>Source assignment -- not individually reviewed</t>
        </is>
      </c>
      <c r="K648" s="39" t="inlineStr"/>
      <c r="L648" s="14" t="inlineStr"/>
      <c r="M648" s="14" t="inlineStr"/>
      <c r="N648" s="92" t="inlineStr">
        <is>
          <t>10 EVIDENCE &amp; DECISIONS</t>
        </is>
      </c>
    </row>
    <row r="649" ht="34" customHeight="1">
      <c r="A649" s="34" t="inlineStr">
        <is>
          <t>Contractor Programme</t>
        </is>
      </c>
      <c r="B649" s="34" t="inlineStr">
        <is>
          <t>SCH-03-140</t>
        </is>
      </c>
      <c r="C649" s="34" t="inlineStr">
        <is>
          <t>Central interlocking: control-centre integration - inspection</t>
        </is>
      </c>
      <c r="D649" s="34" t="inlineStr">
        <is>
          <t>WBS Code = 1.3.1</t>
        </is>
      </c>
      <c r="E649" s="34" t="inlineStr">
        <is>
          <t>R500-v1</t>
        </is>
      </c>
      <c r="F649" s="34" t="inlineStr">
        <is>
          <t>1.3.1 Systems - Traction Power</t>
        </is>
      </c>
      <c r="G649" s="34" t="inlineStr">
        <is>
          <t>ONE_TO_ONE</t>
        </is>
      </c>
      <c r="H649" s="34" t="inlineStr">
        <is>
          <t>APPROVED</t>
        </is>
      </c>
      <c r="I649" s="34" t="inlineStr">
        <is>
          <t>New</t>
        </is>
      </c>
      <c r="J649" s="34" t="inlineStr">
        <is>
          <t>Source assignment -- not individually reviewed</t>
        </is>
      </c>
      <c r="K649" s="39" t="inlineStr"/>
      <c r="L649" s="14" t="inlineStr"/>
      <c r="M649" s="14" t="inlineStr"/>
      <c r="N649" s="92" t="inlineStr">
        <is>
          <t>10 EVIDENCE &amp; DECISIONS</t>
        </is>
      </c>
    </row>
    <row r="650" ht="34" customHeight="1">
      <c r="A650" s="34" t="inlineStr">
        <is>
          <t>Contractor Programme</t>
        </is>
      </c>
      <c r="B650" s="34" t="inlineStr">
        <is>
          <t>SCH-03-142</t>
        </is>
      </c>
      <c r="C650" s="34" t="inlineStr">
        <is>
          <t>Control Centre: SCADA point-to-point check - release</t>
        </is>
      </c>
      <c r="D650" s="34" t="inlineStr">
        <is>
          <t>WBS Code = 1.3.1</t>
        </is>
      </c>
      <c r="E650" s="34" t="inlineStr">
        <is>
          <t>R502-v1</t>
        </is>
      </c>
      <c r="F650" s="34" t="inlineStr">
        <is>
          <t>1.3.1 Systems - Traction Power</t>
        </is>
      </c>
      <c r="G650" s="34" t="inlineStr">
        <is>
          <t>ONE_TO_ONE</t>
        </is>
      </c>
      <c r="H650" s="34" t="inlineStr">
        <is>
          <t>APPROVED</t>
        </is>
      </c>
      <c r="I650" s="34" t="inlineStr">
        <is>
          <t>New</t>
        </is>
      </c>
      <c r="J650" s="34" t="inlineStr">
        <is>
          <t>Source assignment -- not individually reviewed</t>
        </is>
      </c>
      <c r="K650" s="39" t="inlineStr"/>
      <c r="L650" s="14" t="inlineStr"/>
      <c r="M650" s="14" t="inlineStr"/>
      <c r="N650" s="92" t="inlineStr">
        <is>
          <t>10 EVIDENCE &amp; DECISIONS</t>
        </is>
      </c>
    </row>
    <row r="651" ht="34" customHeight="1">
      <c r="A651" s="34" t="inlineStr">
        <is>
          <t>Contractor Programme</t>
        </is>
      </c>
      <c r="B651" s="34" t="inlineStr">
        <is>
          <t>SCH-03-143</t>
        </is>
      </c>
      <c r="C651" s="34" t="inlineStr">
        <is>
          <t>West wayside: traction-power feeder pull - field start</t>
        </is>
      </c>
      <c r="D651" s="34" t="inlineStr">
        <is>
          <t>WBS Code = 1.3.1</t>
        </is>
      </c>
      <c r="E651" s="34" t="inlineStr">
        <is>
          <t>R503-v1</t>
        </is>
      </c>
      <c r="F651" s="34" t="inlineStr">
        <is>
          <t>1.3.1 Systems - Traction Power</t>
        </is>
      </c>
      <c r="G651" s="34" t="inlineStr">
        <is>
          <t>ONE_TO_ONE</t>
        </is>
      </c>
      <c r="H651" s="34" t="inlineStr">
        <is>
          <t>APPROVED</t>
        </is>
      </c>
      <c r="I651" s="34" t="inlineStr">
        <is>
          <t>New</t>
        </is>
      </c>
      <c r="J651" s="34" t="inlineStr">
        <is>
          <t>Source assignment -- not individually reviewed</t>
        </is>
      </c>
      <c r="K651" s="39" t="inlineStr"/>
      <c r="L651" s="14" t="inlineStr"/>
      <c r="M651" s="14" t="inlineStr"/>
      <c r="N651" s="92" t="inlineStr">
        <is>
          <t>10 EVIDENCE &amp; DECISIONS</t>
        </is>
      </c>
    </row>
    <row r="652" ht="34" customHeight="1">
      <c r="A652" s="34" t="inlineStr">
        <is>
          <t>Contractor Programme</t>
        </is>
      </c>
      <c r="B652" s="34" t="inlineStr">
        <is>
          <t>SCH-03-145</t>
        </is>
      </c>
      <c r="C652" s="34" t="inlineStr">
        <is>
          <t>Central interlocking: wayside interface test - inspection</t>
        </is>
      </c>
      <c r="D652" s="34" t="inlineStr">
        <is>
          <t>WBS Code = 1.3.1</t>
        </is>
      </c>
      <c r="E652" s="34" t="inlineStr">
        <is>
          <t>R505-v1</t>
        </is>
      </c>
      <c r="F652" s="34" t="inlineStr">
        <is>
          <t>1.3.1 Systems - Traction Power</t>
        </is>
      </c>
      <c r="G652" s="34" t="inlineStr">
        <is>
          <t>ONE_TO_ONE</t>
        </is>
      </c>
      <c r="H652" s="34" t="inlineStr">
        <is>
          <t>APPROVED</t>
        </is>
      </c>
      <c r="I652" s="34" t="inlineStr">
        <is>
          <t>New</t>
        </is>
      </c>
      <c r="J652" s="34" t="inlineStr">
        <is>
          <t>Source assignment -- not individually reviewed</t>
        </is>
      </c>
      <c r="K652" s="39" t="inlineStr"/>
      <c r="L652" s="14" t="inlineStr"/>
      <c r="M652" s="14" t="inlineStr"/>
      <c r="N652" s="92" t="inlineStr">
        <is>
          <t>10 EVIDENCE &amp; DECISIONS</t>
        </is>
      </c>
    </row>
    <row r="653" ht="34" customHeight="1">
      <c r="A653" s="34" t="inlineStr">
        <is>
          <t>Contractor Programme</t>
        </is>
      </c>
      <c r="B653" s="34" t="inlineStr">
        <is>
          <t>SCH-03-146</t>
        </is>
      </c>
      <c r="C653" s="34" t="inlineStr">
        <is>
          <t>Harbour Station: signal equipment installation - turnover</t>
        </is>
      </c>
      <c r="D653" s="34" t="inlineStr">
        <is>
          <t>WBS Code = 1.3.1</t>
        </is>
      </c>
      <c r="E653" s="34" t="inlineStr">
        <is>
          <t>R506-v1</t>
        </is>
      </c>
      <c r="F653" s="34" t="inlineStr">
        <is>
          <t>1.3.1 Systems - Traction Power</t>
        </is>
      </c>
      <c r="G653" s="34" t="inlineStr">
        <is>
          <t>ONE_TO_ONE</t>
        </is>
      </c>
      <c r="H653" s="34" t="inlineStr">
        <is>
          <t>APPROVED</t>
        </is>
      </c>
      <c r="I653" s="34" t="inlineStr">
        <is>
          <t>New</t>
        </is>
      </c>
      <c r="J653" s="34" t="inlineStr">
        <is>
          <t>Source assignment -- not individually reviewed</t>
        </is>
      </c>
      <c r="K653" s="39" t="inlineStr"/>
      <c r="L653" s="14" t="inlineStr"/>
      <c r="M653" s="14" t="inlineStr"/>
      <c r="N653" s="92" t="inlineStr">
        <is>
          <t>10 EVIDENCE &amp; DECISIONS</t>
        </is>
      </c>
    </row>
    <row r="654" ht="34" customHeight="1">
      <c r="A654" s="34" t="inlineStr">
        <is>
          <t>Contractor Programme</t>
        </is>
      </c>
      <c r="B654" s="34" t="inlineStr">
        <is>
          <t>SCH-03-148</t>
        </is>
      </c>
      <c r="C654" s="34" t="inlineStr">
        <is>
          <t>West wayside: control-centre integration - field start</t>
        </is>
      </c>
      <c r="D654" s="34" t="inlineStr">
        <is>
          <t>WBS Code = 1.3.1</t>
        </is>
      </c>
      <c r="E654" s="34" t="inlineStr">
        <is>
          <t>R508-v1</t>
        </is>
      </c>
      <c r="F654" s="34" t="inlineStr">
        <is>
          <t>1.3.1 Systems - Traction Power</t>
        </is>
      </c>
      <c r="G654" s="34" t="inlineStr">
        <is>
          <t>ONE_TO_ONE</t>
        </is>
      </c>
      <c r="H654" s="34" t="inlineStr">
        <is>
          <t>APPROVED</t>
        </is>
      </c>
      <c r="I654" s="34" t="inlineStr">
        <is>
          <t>New</t>
        </is>
      </c>
      <c r="J654" s="34" t="inlineStr">
        <is>
          <t>Source assignment -- not individually reviewed</t>
        </is>
      </c>
      <c r="K654" s="39" t="inlineStr"/>
      <c r="L654" s="14" t="inlineStr"/>
      <c r="M654" s="14" t="inlineStr"/>
      <c r="N654" s="92" t="inlineStr">
        <is>
          <t>10 EVIDENCE &amp; DECISIONS</t>
        </is>
      </c>
    </row>
    <row r="655" ht="34" customHeight="1">
      <c r="A655" s="34" t="inlineStr">
        <is>
          <t>Contractor Programme</t>
        </is>
      </c>
      <c r="B655" s="34" t="inlineStr">
        <is>
          <t>SCH-03-149</t>
        </is>
      </c>
      <c r="C655" s="34" t="inlineStr">
        <is>
          <t>East substation: fibre backbone termination - installation</t>
        </is>
      </c>
      <c r="D655" s="34" t="inlineStr">
        <is>
          <t>WBS Code = 1.3.1</t>
        </is>
      </c>
      <c r="E655" s="34" t="inlineStr">
        <is>
          <t>R509-v1</t>
        </is>
      </c>
      <c r="F655" s="34" t="inlineStr">
        <is>
          <t>1.3.1 Systems - Traction Power</t>
        </is>
      </c>
      <c r="G655" s="34" t="inlineStr">
        <is>
          <t>ONE_TO_ONE</t>
        </is>
      </c>
      <c r="H655" s="34" t="inlineStr">
        <is>
          <t>APPROVED</t>
        </is>
      </c>
      <c r="I655" s="34" t="inlineStr">
        <is>
          <t>New</t>
        </is>
      </c>
      <c r="J655" s="34" t="inlineStr">
        <is>
          <t>Source assignment -- not individually reviewed</t>
        </is>
      </c>
      <c r="K655" s="39" t="inlineStr"/>
      <c r="L655" s="14" t="inlineStr"/>
      <c r="M655" s="14" t="inlineStr"/>
      <c r="N655" s="92" t="inlineStr">
        <is>
          <t>10 EVIDENCE &amp; DECISIONS</t>
        </is>
      </c>
    </row>
    <row r="656" ht="34" customHeight="1">
      <c r="A656" s="34" t="inlineStr">
        <is>
          <t>Contractor Programme</t>
        </is>
      </c>
      <c r="B656" s="34" t="inlineStr">
        <is>
          <t>SCH-03-151</t>
        </is>
      </c>
      <c r="C656" s="34" t="inlineStr">
        <is>
          <t>Harbour Station: traction-power feeder pull - turnover</t>
        </is>
      </c>
      <c r="D656" s="34" t="inlineStr">
        <is>
          <t>WBS Code = 1.3.1</t>
        </is>
      </c>
      <c r="E656" s="34" t="inlineStr">
        <is>
          <t>R511-v1</t>
        </is>
      </c>
      <c r="F656" s="34" t="inlineStr">
        <is>
          <t>1.3.1 Systems - Traction Power</t>
        </is>
      </c>
      <c r="G656" s="34" t="inlineStr">
        <is>
          <t>ONE_TO_ONE</t>
        </is>
      </c>
      <c r="H656" s="34" t="inlineStr">
        <is>
          <t>APPROVED</t>
        </is>
      </c>
      <c r="I656" s="34" t="inlineStr">
        <is>
          <t>New</t>
        </is>
      </c>
      <c r="J656" s="34" t="inlineStr">
        <is>
          <t>Source assignment -- not individually reviewed</t>
        </is>
      </c>
      <c r="K656" s="39" t="inlineStr"/>
      <c r="L656" s="14" t="inlineStr"/>
      <c r="M656" s="14" t="inlineStr"/>
      <c r="N656" s="92" t="inlineStr">
        <is>
          <t>10 EVIDENCE &amp; DECISIONS</t>
        </is>
      </c>
    </row>
    <row r="657" ht="34" customHeight="1">
      <c r="A657" s="34" t="inlineStr">
        <is>
          <t>Contractor Programme</t>
        </is>
      </c>
      <c r="B657" s="34" t="inlineStr">
        <is>
          <t>SCH-03-152</t>
        </is>
      </c>
      <c r="C657" s="34" t="inlineStr">
        <is>
          <t>Control Centre: train-control cabinet fit-out - release</t>
        </is>
      </c>
      <c r="D657" s="34" t="inlineStr">
        <is>
          <t>WBS Code = 1.3.1</t>
        </is>
      </c>
      <c r="E657" s="34" t="inlineStr">
        <is>
          <t>R512-v1</t>
        </is>
      </c>
      <c r="F657" s="34" t="inlineStr">
        <is>
          <t>1.3.1 Systems - Traction Power</t>
        </is>
      </c>
      <c r="G657" s="34" t="inlineStr">
        <is>
          <t>ONE_TO_ONE</t>
        </is>
      </c>
      <c r="H657" s="34" t="inlineStr">
        <is>
          <t>APPROVED</t>
        </is>
      </c>
      <c r="I657" s="34" t="inlineStr">
        <is>
          <t>New</t>
        </is>
      </c>
      <c r="J657" s="34" t="inlineStr">
        <is>
          <t>Source assignment -- not individually reviewed</t>
        </is>
      </c>
      <c r="K657" s="39" t="inlineStr"/>
      <c r="L657" s="14" t="inlineStr"/>
      <c r="M657" s="14" t="inlineStr"/>
      <c r="N657" s="92" t="inlineStr">
        <is>
          <t>10 EVIDENCE &amp; DECISIONS</t>
        </is>
      </c>
    </row>
    <row r="658" ht="34" customHeight="1">
      <c r="A658" s="34" t="inlineStr">
        <is>
          <t>Contractor Programme</t>
        </is>
      </c>
      <c r="B658" s="34" t="inlineStr">
        <is>
          <t>SCH-03-154</t>
        </is>
      </c>
      <c r="C658" s="34" t="inlineStr">
        <is>
          <t>East substation: signal equipment installation - installation</t>
        </is>
      </c>
      <c r="D658" s="34" t="inlineStr">
        <is>
          <t>WBS Code = 1.3.1</t>
        </is>
      </c>
      <c r="E658" s="34" t="inlineStr">
        <is>
          <t>R514-v1</t>
        </is>
      </c>
      <c r="F658" s="34" t="inlineStr">
        <is>
          <t>1.3.1 Systems - Traction Power</t>
        </is>
      </c>
      <c r="G658" s="34" t="inlineStr">
        <is>
          <t>ONE_TO_ONE</t>
        </is>
      </c>
      <c r="H658" s="34" t="inlineStr">
        <is>
          <t>APPROVED</t>
        </is>
      </c>
      <c r="I658" s="34" t="inlineStr">
        <is>
          <t>New</t>
        </is>
      </c>
      <c r="J658" s="34" t="inlineStr">
        <is>
          <t>Source assignment -- not individually reviewed</t>
        </is>
      </c>
      <c r="K658" s="39" t="inlineStr"/>
      <c r="L658" s="14" t="inlineStr"/>
      <c r="M658" s="14" t="inlineStr"/>
      <c r="N658" s="92" t="inlineStr">
        <is>
          <t>10 EVIDENCE &amp; DECISIONS</t>
        </is>
      </c>
    </row>
    <row r="659" ht="34" customHeight="1">
      <c r="A659" s="34" t="inlineStr">
        <is>
          <t>Contractor Programme</t>
        </is>
      </c>
      <c r="B659" s="34" t="inlineStr">
        <is>
          <t>SCH-03-155</t>
        </is>
      </c>
      <c r="C659" s="34" t="inlineStr">
        <is>
          <t>Central interlocking: radio equipment installation - inspection</t>
        </is>
      </c>
      <c r="D659" s="34" t="inlineStr">
        <is>
          <t>WBS Code = 1.3.1</t>
        </is>
      </c>
      <c r="E659" s="34" t="inlineStr">
        <is>
          <t>R515-v1</t>
        </is>
      </c>
      <c r="F659" s="34" t="inlineStr">
        <is>
          <t>1.3.1 Systems - Traction Power</t>
        </is>
      </c>
      <c r="G659" s="34" t="inlineStr">
        <is>
          <t>ONE_TO_ONE</t>
        </is>
      </c>
      <c r="H659" s="34" t="inlineStr">
        <is>
          <t>APPROVED</t>
        </is>
      </c>
      <c r="I659" s="34" t="inlineStr">
        <is>
          <t>New</t>
        </is>
      </c>
      <c r="J659" s="34" t="inlineStr">
        <is>
          <t>Source assignment -- not individually reviewed</t>
        </is>
      </c>
      <c r="K659" s="39" t="inlineStr"/>
      <c r="L659" s="14" t="inlineStr"/>
      <c r="M659" s="14" t="inlineStr"/>
      <c r="N659" s="92" t="inlineStr">
        <is>
          <t>10 EVIDENCE &amp; DECISIONS</t>
        </is>
      </c>
    </row>
    <row r="660" ht="34" customHeight="1">
      <c r="A660" s="34" t="inlineStr">
        <is>
          <t>Contractor Programme</t>
        </is>
      </c>
      <c r="B660" s="34" t="inlineStr">
        <is>
          <t>SCH-03-157</t>
        </is>
      </c>
      <c r="C660" s="34" t="inlineStr">
        <is>
          <t>Control Centre: fibre backbone termination - release</t>
        </is>
      </c>
      <c r="D660" s="34" t="inlineStr">
        <is>
          <t>WBS Code = 1.3.1</t>
        </is>
      </c>
      <c r="E660" s="34" t="inlineStr">
        <is>
          <t>R517-v1</t>
        </is>
      </c>
      <c r="F660" s="34" t="inlineStr">
        <is>
          <t>1.3.1 Systems - Traction Power</t>
        </is>
      </c>
      <c r="G660" s="34" t="inlineStr">
        <is>
          <t>ONE_TO_ONE</t>
        </is>
      </c>
      <c r="H660" s="34" t="inlineStr">
        <is>
          <t>APPROVED</t>
        </is>
      </c>
      <c r="I660" s="34" t="inlineStr">
        <is>
          <t>New</t>
        </is>
      </c>
      <c r="J660" s="34" t="inlineStr">
        <is>
          <t>Source assignment -- not individually reviewed</t>
        </is>
      </c>
      <c r="K660" s="39" t="inlineStr"/>
      <c r="L660" s="14" t="inlineStr"/>
      <c r="M660" s="14" t="inlineStr"/>
      <c r="N660" s="92" t="inlineStr">
        <is>
          <t>10 EVIDENCE &amp; DECISIONS</t>
        </is>
      </c>
    </row>
    <row r="661" ht="34" customHeight="1">
      <c r="A661" s="34" t="inlineStr">
        <is>
          <t>Contractor Programme</t>
        </is>
      </c>
      <c r="B661" s="34" t="inlineStr">
        <is>
          <t>SCH-03-158</t>
        </is>
      </c>
      <c r="C661" s="34" t="inlineStr">
        <is>
          <t>West wayside: SCADA point-to-point check - field start</t>
        </is>
      </c>
      <c r="D661" s="34" t="inlineStr">
        <is>
          <t>WBS Code = 1.3.1</t>
        </is>
      </c>
      <c r="E661" s="34" t="inlineStr">
        <is>
          <t>R518-v1</t>
        </is>
      </c>
      <c r="F661" s="34" t="inlineStr">
        <is>
          <t>1.3.1 Systems - Traction Power</t>
        </is>
      </c>
      <c r="G661" s="34" t="inlineStr">
        <is>
          <t>ONE_TO_ONE</t>
        </is>
      </c>
      <c r="H661" s="34" t="inlineStr">
        <is>
          <t>APPROVED</t>
        </is>
      </c>
      <c r="I661" s="34" t="inlineStr">
        <is>
          <t>New</t>
        </is>
      </c>
      <c r="J661" s="34" t="inlineStr">
        <is>
          <t>Source assignment -- not individually reviewed</t>
        </is>
      </c>
      <c r="K661" s="39" t="inlineStr"/>
      <c r="L661" s="14" t="inlineStr"/>
      <c r="M661" s="14" t="inlineStr"/>
      <c r="N661" s="92" t="inlineStr">
        <is>
          <t>10 EVIDENCE &amp; DECISIONS</t>
        </is>
      </c>
    </row>
    <row r="662" ht="34" customHeight="1">
      <c r="A662" s="34" t="inlineStr">
        <is>
          <t>Contractor Programme</t>
        </is>
      </c>
      <c r="B662" s="34" t="inlineStr">
        <is>
          <t>SCH-03-160</t>
        </is>
      </c>
      <c r="C662" s="34" t="inlineStr">
        <is>
          <t>Central interlocking: train-control cabinet fit-out - inspection</t>
        </is>
      </c>
      <c r="D662" s="34" t="inlineStr">
        <is>
          <t>WBS Code = 1.3.1</t>
        </is>
      </c>
      <c r="E662" s="34" t="inlineStr">
        <is>
          <t>R520-v1</t>
        </is>
      </c>
      <c r="F662" s="34" t="inlineStr">
        <is>
          <t>1.3.1 Systems - Traction Power</t>
        </is>
      </c>
      <c r="G662" s="34" t="inlineStr">
        <is>
          <t>ONE_TO_ONE</t>
        </is>
      </c>
      <c r="H662" s="34" t="inlineStr">
        <is>
          <t>APPROVED</t>
        </is>
      </c>
      <c r="I662" s="34" t="inlineStr">
        <is>
          <t>New</t>
        </is>
      </c>
      <c r="J662" s="34" t="inlineStr">
        <is>
          <t>Source assignment -- not individually reviewed</t>
        </is>
      </c>
      <c r="K662" s="39" t="inlineStr"/>
      <c r="L662" s="14" t="inlineStr"/>
      <c r="M662" s="14" t="inlineStr"/>
      <c r="N662" s="92" t="inlineStr">
        <is>
          <t>10 EVIDENCE &amp; DECISIONS</t>
        </is>
      </c>
    </row>
    <row r="663" ht="34" customHeight="1">
      <c r="A663" s="34" t="inlineStr">
        <is>
          <t>Contractor Programme</t>
        </is>
      </c>
      <c r="B663" s="34" t="inlineStr">
        <is>
          <t>SCH-03-161</t>
        </is>
      </c>
      <c r="C663" s="34" t="inlineStr">
        <is>
          <t>Harbour Station: wayside interface test - turnover</t>
        </is>
      </c>
      <c r="D663" s="34" t="inlineStr">
        <is>
          <t>WBS Code = 1.3.1</t>
        </is>
      </c>
      <c r="E663" s="34" t="inlineStr">
        <is>
          <t>R521-v1</t>
        </is>
      </c>
      <c r="F663" s="34" t="inlineStr">
        <is>
          <t>1.3.1 Systems - Traction Power</t>
        </is>
      </c>
      <c r="G663" s="34" t="inlineStr">
        <is>
          <t>ONE_TO_ONE</t>
        </is>
      </c>
      <c r="H663" s="34" t="inlineStr">
        <is>
          <t>APPROVED</t>
        </is>
      </c>
      <c r="I663" s="34" t="inlineStr">
        <is>
          <t>New</t>
        </is>
      </c>
      <c r="J663" s="34" t="inlineStr">
        <is>
          <t>Source assignment -- not individually reviewed</t>
        </is>
      </c>
      <c r="K663" s="39" t="inlineStr"/>
      <c r="L663" s="14" t="inlineStr"/>
      <c r="M663" s="14" t="inlineStr"/>
      <c r="N663" s="92" t="inlineStr">
        <is>
          <t>10 EVIDENCE &amp; DECISIONS</t>
        </is>
      </c>
    </row>
    <row r="664" ht="34" customHeight="1">
      <c r="A664" s="34" t="inlineStr">
        <is>
          <t>Contractor Programme</t>
        </is>
      </c>
      <c r="B664" s="34" t="inlineStr">
        <is>
          <t>SCH-03-163</t>
        </is>
      </c>
      <c r="C664" s="34" t="inlineStr">
        <is>
          <t>West wayside: radio equipment installation - field start</t>
        </is>
      </c>
      <c r="D664" s="34" t="inlineStr">
        <is>
          <t>WBS Code = 1.3.1</t>
        </is>
      </c>
      <c r="E664" s="34" t="inlineStr">
        <is>
          <t>R523-v1</t>
        </is>
      </c>
      <c r="F664" s="34" t="inlineStr">
        <is>
          <t>1.3.1 Systems - Traction Power</t>
        </is>
      </c>
      <c r="G664" s="34" t="inlineStr">
        <is>
          <t>ONE_TO_ONE</t>
        </is>
      </c>
      <c r="H664" s="34" t="inlineStr">
        <is>
          <t>APPROVED</t>
        </is>
      </c>
      <c r="I664" s="34" t="inlineStr">
        <is>
          <t>New</t>
        </is>
      </c>
      <c r="J664" s="34" t="inlineStr">
        <is>
          <t>Source assignment -- not individually reviewed</t>
        </is>
      </c>
      <c r="K664" s="39" t="inlineStr"/>
      <c r="L664" s="14" t="inlineStr"/>
      <c r="M664" s="14" t="inlineStr"/>
      <c r="N664" s="92" t="inlineStr">
        <is>
          <t>10 EVIDENCE &amp; DECISIONS</t>
        </is>
      </c>
    </row>
    <row r="665" ht="34" customHeight="1">
      <c r="A665" s="34" t="inlineStr">
        <is>
          <t>Contractor Programme</t>
        </is>
      </c>
      <c r="B665" s="34" t="inlineStr">
        <is>
          <t>SCH-03-164</t>
        </is>
      </c>
      <c r="C665" s="34" t="inlineStr">
        <is>
          <t>East substation: control-centre integration - installation</t>
        </is>
      </c>
      <c r="D665" s="34" t="inlineStr">
        <is>
          <t>WBS Code = 1.3.1</t>
        </is>
      </c>
      <c r="E665" s="34" t="inlineStr">
        <is>
          <t>R524-v1</t>
        </is>
      </c>
      <c r="F665" s="34" t="inlineStr">
        <is>
          <t>1.3.1 Systems - Traction Power</t>
        </is>
      </c>
      <c r="G665" s="34" t="inlineStr">
        <is>
          <t>ONE_TO_ONE</t>
        </is>
      </c>
      <c r="H665" s="34" t="inlineStr">
        <is>
          <t>APPROVED</t>
        </is>
      </c>
      <c r="I665" s="34" t="inlineStr">
        <is>
          <t>New</t>
        </is>
      </c>
      <c r="J665" s="34" t="inlineStr">
        <is>
          <t>Source assignment -- not individually reviewed</t>
        </is>
      </c>
      <c r="K665" s="39" t="inlineStr"/>
      <c r="L665" s="14" t="inlineStr"/>
      <c r="M665" s="14" t="inlineStr"/>
      <c r="N665" s="92" t="inlineStr">
        <is>
          <t>10 EVIDENCE &amp; DECISIONS</t>
        </is>
      </c>
    </row>
    <row r="666" ht="34" customHeight="1">
      <c r="A666" s="34" t="inlineStr">
        <is>
          <t>Contractor Programme</t>
        </is>
      </c>
      <c r="B666" s="34" t="inlineStr">
        <is>
          <t>SCH-03-166</t>
        </is>
      </c>
      <c r="C666" s="34" t="inlineStr">
        <is>
          <t>Harbour Station: SCADA point-to-point check - turnover</t>
        </is>
      </c>
      <c r="D666" s="34" t="inlineStr">
        <is>
          <t>WBS Code = 1.3.1</t>
        </is>
      </c>
      <c r="E666" s="34" t="inlineStr">
        <is>
          <t>R526-v1</t>
        </is>
      </c>
      <c r="F666" s="34" t="inlineStr">
        <is>
          <t>1.3.1 Systems - Traction Power</t>
        </is>
      </c>
      <c r="G666" s="34" t="inlineStr">
        <is>
          <t>ONE_TO_ONE</t>
        </is>
      </c>
      <c r="H666" s="34" t="inlineStr">
        <is>
          <t>APPROVED</t>
        </is>
      </c>
      <c r="I666" s="34" t="inlineStr">
        <is>
          <t>New</t>
        </is>
      </c>
      <c r="J666" s="34" t="inlineStr">
        <is>
          <t>Source assignment -- not individually reviewed</t>
        </is>
      </c>
      <c r="K666" s="39" t="inlineStr"/>
      <c r="L666" s="14" t="inlineStr"/>
      <c r="M666" s="14" t="inlineStr"/>
      <c r="N666" s="92" t="inlineStr">
        <is>
          <t>10 EVIDENCE &amp; DECISIONS</t>
        </is>
      </c>
    </row>
    <row r="667" ht="34" customHeight="1">
      <c r="A667" s="34" t="inlineStr">
        <is>
          <t>Contractor Programme</t>
        </is>
      </c>
      <c r="B667" s="34" t="inlineStr">
        <is>
          <t>SCH-03-167</t>
        </is>
      </c>
      <c r="C667" s="34" t="inlineStr">
        <is>
          <t>Control Centre: traction-power feeder pull - release</t>
        </is>
      </c>
      <c r="D667" s="34" t="inlineStr">
        <is>
          <t>WBS Code = 1.3.1</t>
        </is>
      </c>
      <c r="E667" s="34" t="inlineStr">
        <is>
          <t>R527-v1</t>
        </is>
      </c>
      <c r="F667" s="34" t="inlineStr">
        <is>
          <t>1.3.1 Systems - Traction Power</t>
        </is>
      </c>
      <c r="G667" s="34" t="inlineStr">
        <is>
          <t>ONE_TO_ONE</t>
        </is>
      </c>
      <c r="H667" s="34" t="inlineStr">
        <is>
          <t>APPROVED</t>
        </is>
      </c>
      <c r="I667" s="34" t="inlineStr">
        <is>
          <t>New</t>
        </is>
      </c>
      <c r="J667" s="34" t="inlineStr">
        <is>
          <t>Source assignment -- not individually reviewed</t>
        </is>
      </c>
      <c r="K667" s="39" t="inlineStr"/>
      <c r="L667" s="14" t="inlineStr"/>
      <c r="M667" s="14" t="inlineStr"/>
      <c r="N667" s="92" t="inlineStr">
        <is>
          <t>10 EVIDENCE &amp; DECISIONS</t>
        </is>
      </c>
    </row>
    <row r="668" ht="34" customHeight="1">
      <c r="A668" s="34" t="inlineStr">
        <is>
          <t>Contractor Programme</t>
        </is>
      </c>
      <c r="B668" s="34" t="inlineStr">
        <is>
          <t>SCH-03-169</t>
        </is>
      </c>
      <c r="C668" s="34" t="inlineStr">
        <is>
          <t>East substation: wayside interface test - installation</t>
        </is>
      </c>
      <c r="D668" s="34" t="inlineStr">
        <is>
          <t>WBS Code = 1.3.1</t>
        </is>
      </c>
      <c r="E668" s="34" t="inlineStr">
        <is>
          <t>R529-v1</t>
        </is>
      </c>
      <c r="F668" s="34" t="inlineStr">
        <is>
          <t>1.3.1 Systems - Traction Power</t>
        </is>
      </c>
      <c r="G668" s="34" t="inlineStr">
        <is>
          <t>ONE_TO_ONE</t>
        </is>
      </c>
      <c r="H668" s="34" t="inlineStr">
        <is>
          <t>APPROVED</t>
        </is>
      </c>
      <c r="I668" s="34" t="inlineStr">
        <is>
          <t>New</t>
        </is>
      </c>
      <c r="J668" s="34" t="inlineStr">
        <is>
          <t>Source assignment -- not individually reviewed</t>
        </is>
      </c>
      <c r="K668" s="39" t="inlineStr"/>
      <c r="L668" s="14" t="inlineStr"/>
      <c r="M668" s="14" t="inlineStr"/>
      <c r="N668" s="92" t="inlineStr">
        <is>
          <t>10 EVIDENCE &amp; DECISIONS</t>
        </is>
      </c>
    </row>
    <row r="669" ht="34" customHeight="1">
      <c r="A669" s="34" t="inlineStr">
        <is>
          <t>Contractor Programme</t>
        </is>
      </c>
      <c r="B669" s="34" t="inlineStr">
        <is>
          <t>SCH-03-170</t>
        </is>
      </c>
      <c r="C669" s="34" t="inlineStr">
        <is>
          <t>Central interlocking: signal equipment installation - inspection</t>
        </is>
      </c>
      <c r="D669" s="34" t="inlineStr">
        <is>
          <t>WBS Code = 1.3.1</t>
        </is>
      </c>
      <c r="E669" s="34" t="inlineStr">
        <is>
          <t>R530-v1</t>
        </is>
      </c>
      <c r="F669" s="34" t="inlineStr">
        <is>
          <t>1.3.1 Systems - Traction Power</t>
        </is>
      </c>
      <c r="G669" s="34" t="inlineStr">
        <is>
          <t>ONE_TO_ONE</t>
        </is>
      </c>
      <c r="H669" s="34" t="inlineStr">
        <is>
          <t>APPROVED</t>
        </is>
      </c>
      <c r="I669" s="34" t="inlineStr">
        <is>
          <t>New</t>
        </is>
      </c>
      <c r="J669" s="34" t="inlineStr">
        <is>
          <t>Source assignment -- not individually reviewed</t>
        </is>
      </c>
      <c r="K669" s="39" t="inlineStr"/>
      <c r="L669" s="14" t="inlineStr"/>
      <c r="M669" s="14" t="inlineStr"/>
      <c r="N669" s="92" t="inlineStr">
        <is>
          <t>10 EVIDENCE &amp; DECISIONS</t>
        </is>
      </c>
    </row>
    <row r="670" ht="34" customHeight="1">
      <c r="A670" s="34" t="inlineStr">
        <is>
          <t>Contractor Programme</t>
        </is>
      </c>
      <c r="B670" s="34" t="inlineStr">
        <is>
          <t>SCH-03-172</t>
        </is>
      </c>
      <c r="C670" s="34" t="inlineStr">
        <is>
          <t>Control Centre: control-centre integration - release</t>
        </is>
      </c>
      <c r="D670" s="34" t="inlineStr">
        <is>
          <t>WBS Code = 1.3.1</t>
        </is>
      </c>
      <c r="E670" s="34" t="inlineStr">
        <is>
          <t>R532-v1</t>
        </is>
      </c>
      <c r="F670" s="34" t="inlineStr">
        <is>
          <t>1.3.1 Systems - Traction Power</t>
        </is>
      </c>
      <c r="G670" s="34" t="inlineStr">
        <is>
          <t>ONE_TO_ONE</t>
        </is>
      </c>
      <c r="H670" s="34" t="inlineStr">
        <is>
          <t>APPROVED</t>
        </is>
      </c>
      <c r="I670" s="34" t="inlineStr">
        <is>
          <t>New</t>
        </is>
      </c>
      <c r="J670" s="34" t="inlineStr">
        <is>
          <t>Source assignment -- not individually reviewed</t>
        </is>
      </c>
      <c r="K670" s="39" t="inlineStr"/>
      <c r="L670" s="14" t="inlineStr"/>
      <c r="M670" s="14" t="inlineStr"/>
      <c r="N670" s="92" t="inlineStr">
        <is>
          <t>10 EVIDENCE &amp; DECISIONS</t>
        </is>
      </c>
    </row>
    <row r="671" ht="34" customHeight="1">
      <c r="A671" s="34" t="inlineStr">
        <is>
          <t>Contractor Programme</t>
        </is>
      </c>
      <c r="B671" s="34" t="inlineStr">
        <is>
          <t>SCH-03-173</t>
        </is>
      </c>
      <c r="C671" s="34" t="inlineStr">
        <is>
          <t>West wayside: fibre backbone termination - field start</t>
        </is>
      </c>
      <c r="D671" s="34" t="inlineStr">
        <is>
          <t>WBS Code = 1.3.1</t>
        </is>
      </c>
      <c r="E671" s="34" t="inlineStr">
        <is>
          <t>R533-v1</t>
        </is>
      </c>
      <c r="F671" s="34" t="inlineStr">
        <is>
          <t>1.3.1 Systems - Traction Power</t>
        </is>
      </c>
      <c r="G671" s="34" t="inlineStr">
        <is>
          <t>ONE_TO_ONE</t>
        </is>
      </c>
      <c r="H671" s="34" t="inlineStr">
        <is>
          <t>APPROVED</t>
        </is>
      </c>
      <c r="I671" s="34" t="inlineStr">
        <is>
          <t>New</t>
        </is>
      </c>
      <c r="J671" s="34" t="inlineStr">
        <is>
          <t>Source assignment -- not individually reviewed</t>
        </is>
      </c>
      <c r="K671" s="39" t="inlineStr"/>
      <c r="L671" s="14" t="inlineStr"/>
      <c r="M671" s="14" t="inlineStr"/>
      <c r="N671" s="92" t="inlineStr">
        <is>
          <t>10 EVIDENCE &amp; DECISIONS</t>
        </is>
      </c>
    </row>
    <row r="672" ht="34" customHeight="1">
      <c r="A672" s="34" t="inlineStr">
        <is>
          <t>Contractor Programme</t>
        </is>
      </c>
      <c r="B672" s="34" t="inlineStr">
        <is>
          <t>SCH-03-175</t>
        </is>
      </c>
      <c r="C672" s="34" t="inlineStr">
        <is>
          <t>Central interlocking: traction-power feeder pull - inspection</t>
        </is>
      </c>
      <c r="D672" s="34" t="inlineStr">
        <is>
          <t>WBS Code = 1.3.1</t>
        </is>
      </c>
      <c r="E672" s="34" t="inlineStr">
        <is>
          <t>R535-v1</t>
        </is>
      </c>
      <c r="F672" s="34" t="inlineStr">
        <is>
          <t>1.3.1 Systems - Traction Power</t>
        </is>
      </c>
      <c r="G672" s="34" t="inlineStr">
        <is>
          <t>ONE_TO_ONE</t>
        </is>
      </c>
      <c r="H672" s="34" t="inlineStr">
        <is>
          <t>APPROVED</t>
        </is>
      </c>
      <c r="I672" s="34" t="inlineStr">
        <is>
          <t>New</t>
        </is>
      </c>
      <c r="J672" s="34" t="inlineStr">
        <is>
          <t>Source assignment -- not individually reviewed</t>
        </is>
      </c>
      <c r="K672" s="39" t="inlineStr"/>
      <c r="L672" s="14" t="inlineStr"/>
      <c r="M672" s="14" t="inlineStr"/>
      <c r="N672" s="92" t="inlineStr">
        <is>
          <t>10 EVIDENCE &amp; DECISIONS</t>
        </is>
      </c>
    </row>
    <row r="673" ht="34" customHeight="1">
      <c r="A673" s="34" t="inlineStr">
        <is>
          <t>Contractor Programme</t>
        </is>
      </c>
      <c r="B673" s="34" t="inlineStr">
        <is>
          <t>SCH-03-176</t>
        </is>
      </c>
      <c r="C673" s="34" t="inlineStr">
        <is>
          <t>Harbour Station: train-control cabinet fit-out - turnover</t>
        </is>
      </c>
      <c r="D673" s="34" t="inlineStr">
        <is>
          <t>WBS Code = 1.3.1</t>
        </is>
      </c>
      <c r="E673" s="34" t="inlineStr">
        <is>
          <t>R536-v1</t>
        </is>
      </c>
      <c r="F673" s="34" t="inlineStr">
        <is>
          <t>1.3.1 Systems - Traction Power</t>
        </is>
      </c>
      <c r="G673" s="34" t="inlineStr">
        <is>
          <t>ONE_TO_ONE</t>
        </is>
      </c>
      <c r="H673" s="34" t="inlineStr">
        <is>
          <t>APPROVED</t>
        </is>
      </c>
      <c r="I673" s="34" t="inlineStr">
        <is>
          <t>New</t>
        </is>
      </c>
      <c r="J673" s="34" t="inlineStr">
        <is>
          <t>Source assignment -- not individually reviewed</t>
        </is>
      </c>
      <c r="K673" s="39" t="inlineStr"/>
      <c r="L673" s="14" t="inlineStr"/>
      <c r="M673" s="14" t="inlineStr"/>
      <c r="N673" s="92" t="inlineStr">
        <is>
          <t>10 EVIDENCE &amp; DECISIONS</t>
        </is>
      </c>
    </row>
    <row r="674" ht="34" customHeight="1">
      <c r="A674" s="34" t="inlineStr">
        <is>
          <t>Contractor Programme</t>
        </is>
      </c>
      <c r="B674" s="34" t="inlineStr">
        <is>
          <t>SCH-03-178</t>
        </is>
      </c>
      <c r="C674" s="34" t="inlineStr">
        <is>
          <t>West wayside: signal equipment installation - field start</t>
        </is>
      </c>
      <c r="D674" s="34" t="inlineStr">
        <is>
          <t>WBS Code = 1.3.1</t>
        </is>
      </c>
      <c r="E674" s="34" t="inlineStr">
        <is>
          <t>R538-v1</t>
        </is>
      </c>
      <c r="F674" s="34" t="inlineStr">
        <is>
          <t>1.3.1 Systems - Traction Power</t>
        </is>
      </c>
      <c r="G674" s="34" t="inlineStr">
        <is>
          <t>ONE_TO_ONE</t>
        </is>
      </c>
      <c r="H674" s="34" t="inlineStr">
        <is>
          <t>APPROVED</t>
        </is>
      </c>
      <c r="I674" s="34" t="inlineStr">
        <is>
          <t>New</t>
        </is>
      </c>
      <c r="J674" s="34" t="inlineStr">
        <is>
          <t>Source assignment -- not individually reviewed</t>
        </is>
      </c>
      <c r="K674" s="39" t="inlineStr"/>
      <c r="L674" s="14" t="inlineStr"/>
      <c r="M674" s="14" t="inlineStr"/>
      <c r="N674" s="92" t="inlineStr">
        <is>
          <t>10 EVIDENCE &amp; DECISIONS</t>
        </is>
      </c>
    </row>
    <row r="675" ht="34" customHeight="1">
      <c r="A675" s="34" t="inlineStr">
        <is>
          <t>Contractor Programme</t>
        </is>
      </c>
      <c r="B675" s="34" t="inlineStr">
        <is>
          <t>SCH-03-179</t>
        </is>
      </c>
      <c r="C675" s="34" t="inlineStr">
        <is>
          <t>East substation: radio equipment installation - installation</t>
        </is>
      </c>
      <c r="D675" s="34" t="inlineStr">
        <is>
          <t>WBS Code = 1.3.1</t>
        </is>
      </c>
      <c r="E675" s="34" t="inlineStr">
        <is>
          <t>R539-v1</t>
        </is>
      </c>
      <c r="F675" s="34" t="inlineStr">
        <is>
          <t>1.3.1 Systems - Traction Power</t>
        </is>
      </c>
      <c r="G675" s="34" t="inlineStr">
        <is>
          <t>ONE_TO_ONE</t>
        </is>
      </c>
      <c r="H675" s="34" t="inlineStr">
        <is>
          <t>APPROVED</t>
        </is>
      </c>
      <c r="I675" s="34" t="inlineStr">
        <is>
          <t>New</t>
        </is>
      </c>
      <c r="J675" s="34" t="inlineStr">
        <is>
          <t>Source assignment -- not individually reviewed</t>
        </is>
      </c>
      <c r="K675" s="39" t="inlineStr"/>
      <c r="L675" s="14" t="inlineStr"/>
      <c r="M675" s="14" t="inlineStr"/>
      <c r="N675" s="92" t="inlineStr">
        <is>
          <t>10 EVIDENCE &amp; DECISIONS</t>
        </is>
      </c>
    </row>
    <row r="676" ht="34" customHeight="1">
      <c r="A676" s="34" t="inlineStr">
        <is>
          <t>Cost &amp; Forecast Control Accounts</t>
        </is>
      </c>
      <c r="B676" s="34" t="inlineStr">
        <is>
          <t>CST-03-001</t>
        </is>
      </c>
      <c r="C676" s="34" t="inlineStr">
        <is>
          <t>Systems - systems integration - closeout</t>
        </is>
      </c>
      <c r="D676" s="34" t="inlineStr">
        <is>
          <t>Cost Account = CA-3001; WBS Code = 1.3.1</t>
        </is>
      </c>
      <c r="E676" s="34" t="inlineStr">
        <is>
          <t>R1243-v1</t>
        </is>
      </c>
      <c r="F676" s="34" t="inlineStr">
        <is>
          <t>1.3.1 Systems - Traction Power</t>
        </is>
      </c>
      <c r="G676" s="34" t="inlineStr">
        <is>
          <t>ONE_TO_ONE</t>
        </is>
      </c>
      <c r="H676" s="34" t="inlineStr">
        <is>
          <t>APPROVED</t>
        </is>
      </c>
      <c r="I676" s="34" t="inlineStr">
        <is>
          <t>New</t>
        </is>
      </c>
      <c r="J676" s="34" t="inlineStr">
        <is>
          <t>Source assignment -- not individually reviewed</t>
        </is>
      </c>
      <c r="K676" s="39" t="inlineStr"/>
      <c r="L676" s="14" t="inlineStr"/>
      <c r="M676" s="14" t="inlineStr"/>
      <c r="N676" s="92" t="inlineStr">
        <is>
          <t>10 EVIDENCE &amp; DECISIONS</t>
        </is>
      </c>
    </row>
    <row r="677" ht="34" customHeight="1">
      <c r="A677" s="34" t="inlineStr">
        <is>
          <t>Cost &amp; Forecast Control Accounts</t>
        </is>
      </c>
      <c r="B677" s="34" t="inlineStr">
        <is>
          <t>CST-03-003</t>
        </is>
      </c>
      <c r="C677" s="34" t="inlineStr">
        <is>
          <t>Systems - train control - supply and install</t>
        </is>
      </c>
      <c r="D677" s="34" t="inlineStr">
        <is>
          <t>Cost Account = CA-3003; WBS Code = 1.3.1</t>
        </is>
      </c>
      <c r="E677" s="34" t="inlineStr">
        <is>
          <t>R1245-v1</t>
        </is>
      </c>
      <c r="F677" s="34" t="inlineStr">
        <is>
          <t>1.3.1 Systems - Traction Power</t>
        </is>
      </c>
      <c r="G677" s="34" t="inlineStr">
        <is>
          <t>ONE_TO_ONE</t>
        </is>
      </c>
      <c r="H677" s="34" t="inlineStr">
        <is>
          <t>APPROVED</t>
        </is>
      </c>
      <c r="I677" s="34" t="inlineStr">
        <is>
          <t>New</t>
        </is>
      </c>
      <c r="J677" s="34" t="inlineStr">
        <is>
          <t>Source assignment -- not individually reviewed</t>
        </is>
      </c>
      <c r="K677" s="39" t="inlineStr"/>
      <c r="L677" s="14" t="inlineStr"/>
      <c r="M677" s="14" t="inlineStr"/>
      <c r="N677" s="92" t="inlineStr">
        <is>
          <t>10 EVIDENCE &amp; DECISIONS</t>
        </is>
      </c>
    </row>
    <row r="678" ht="34" customHeight="1">
      <c r="A678" s="34" t="inlineStr">
        <is>
          <t>Cost &amp; Forecast Control Accounts</t>
        </is>
      </c>
      <c r="B678" s="34" t="inlineStr">
        <is>
          <t>CST-03-005</t>
        </is>
      </c>
      <c r="C678" s="34" t="inlineStr">
        <is>
          <t>Systems - signalling - allowance</t>
        </is>
      </c>
      <c r="D678" s="34" t="inlineStr">
        <is>
          <t>Cost Account = CA-3005; WBS Code = 1.3.1</t>
        </is>
      </c>
      <c r="E678" s="34" t="inlineStr">
        <is>
          <t>R1247-v1</t>
        </is>
      </c>
      <c r="F678" s="34" t="inlineStr">
        <is>
          <t>1.3.1 Systems - Traction Power</t>
        </is>
      </c>
      <c r="G678" s="34" t="inlineStr">
        <is>
          <t>ONE_TO_ONE</t>
        </is>
      </c>
      <c r="H678" s="34" t="inlineStr">
        <is>
          <t>APPROVED</t>
        </is>
      </c>
      <c r="I678" s="34" t="inlineStr">
        <is>
          <t>New</t>
        </is>
      </c>
      <c r="J678" s="34" t="inlineStr">
        <is>
          <t>Source assignment -- not individually reviewed</t>
        </is>
      </c>
      <c r="K678" s="39" t="inlineStr"/>
      <c r="L678" s="14" t="inlineStr"/>
      <c r="M678" s="14" t="inlineStr"/>
      <c r="N678" s="92" t="inlineStr">
        <is>
          <t>10 EVIDENCE &amp; DECISIONS</t>
        </is>
      </c>
    </row>
    <row r="679" ht="34" customHeight="1">
      <c r="A679" s="34" t="inlineStr">
        <is>
          <t>Cost &amp; Forecast Control Accounts</t>
        </is>
      </c>
      <c r="B679" s="34" t="inlineStr">
        <is>
          <t>CST-03-007</t>
        </is>
      </c>
      <c r="C679" s="34" t="inlineStr">
        <is>
          <t>Systems - systems integration - field package</t>
        </is>
      </c>
      <c r="D679" s="34" t="inlineStr">
        <is>
          <t>Cost Account = CA-3007; WBS Code = 1.3.1</t>
        </is>
      </c>
      <c r="E679" s="34" t="inlineStr">
        <is>
          <t>R1249-v1</t>
        </is>
      </c>
      <c r="F679" s="34" t="inlineStr">
        <is>
          <t>1.3.1 Systems - Traction Power</t>
        </is>
      </c>
      <c r="G679" s="34" t="inlineStr">
        <is>
          <t>ONE_TO_ONE</t>
        </is>
      </c>
      <c r="H679" s="34" t="inlineStr">
        <is>
          <t>APPROVED</t>
        </is>
      </c>
      <c r="I679" s="34" t="inlineStr">
        <is>
          <t>New</t>
        </is>
      </c>
      <c r="J679" s="34" t="inlineStr">
        <is>
          <t>Source assignment -- not individually reviewed</t>
        </is>
      </c>
      <c r="K679" s="39" t="inlineStr"/>
      <c r="L679" s="14" t="inlineStr"/>
      <c r="M679" s="14" t="inlineStr"/>
      <c r="N679" s="92" t="inlineStr">
        <is>
          <t>10 EVIDENCE &amp; DECISIONS</t>
        </is>
      </c>
    </row>
    <row r="680" ht="34" customHeight="1">
      <c r="A680" s="34" t="inlineStr">
        <is>
          <t>Cost &amp; Forecast Control Accounts</t>
        </is>
      </c>
      <c r="B680" s="34" t="inlineStr">
        <is>
          <t>CST-03-009</t>
        </is>
      </c>
      <c r="C680" s="34" t="inlineStr">
        <is>
          <t>Systems - train control - professional services</t>
        </is>
      </c>
      <c r="D680" s="34" t="inlineStr">
        <is>
          <t>Cost Account = CA-3009; WBS Code = 1.3.1</t>
        </is>
      </c>
      <c r="E680" s="34" t="inlineStr">
        <is>
          <t>R1251-v1</t>
        </is>
      </c>
      <c r="F680" s="34" t="inlineStr">
        <is>
          <t>1.3.1 Systems - Traction Power</t>
        </is>
      </c>
      <c r="G680" s="34" t="inlineStr">
        <is>
          <t>ONE_TO_ONE</t>
        </is>
      </c>
      <c r="H680" s="34" t="inlineStr">
        <is>
          <t>APPROVED</t>
        </is>
      </c>
      <c r="I680" s="34" t="inlineStr">
        <is>
          <t>New</t>
        </is>
      </c>
      <c r="J680" s="34" t="inlineStr">
        <is>
          <t>Source assignment -- not individually reviewed</t>
        </is>
      </c>
      <c r="K680" s="39" t="inlineStr"/>
      <c r="L680" s="14" t="inlineStr"/>
      <c r="M680" s="14" t="inlineStr"/>
      <c r="N680" s="92" t="inlineStr">
        <is>
          <t>10 EVIDENCE &amp; DECISIONS</t>
        </is>
      </c>
    </row>
    <row r="681" ht="34" customHeight="1">
      <c r="A681" s="34" t="inlineStr">
        <is>
          <t>Cost &amp; Forecast Control Accounts</t>
        </is>
      </c>
      <c r="B681" s="34" t="inlineStr">
        <is>
          <t>CST-03-011</t>
        </is>
      </c>
      <c r="C681" s="34" t="inlineStr">
        <is>
          <t>Systems - signalling - closeout</t>
        </is>
      </c>
      <c r="D681" s="34" t="inlineStr">
        <is>
          <t>Cost Account = CA-3011; WBS Code = 1.3.1</t>
        </is>
      </c>
      <c r="E681" s="34" t="inlineStr">
        <is>
          <t>R1253-v1</t>
        </is>
      </c>
      <c r="F681" s="34" t="inlineStr">
        <is>
          <t>1.3.1 Systems - Traction Power</t>
        </is>
      </c>
      <c r="G681" s="34" t="inlineStr">
        <is>
          <t>ONE_TO_ONE</t>
        </is>
      </c>
      <c r="H681" s="34" t="inlineStr">
        <is>
          <t>APPROVED</t>
        </is>
      </c>
      <c r="I681" s="34" t="inlineStr">
        <is>
          <t>New</t>
        </is>
      </c>
      <c r="J681" s="34" t="inlineStr">
        <is>
          <t>Source assignment -- not individually reviewed</t>
        </is>
      </c>
      <c r="K681" s="39" t="inlineStr"/>
      <c r="L681" s="14" t="inlineStr"/>
      <c r="M681" s="14" t="inlineStr"/>
      <c r="N681" s="92" t="inlineStr">
        <is>
          <t>10 EVIDENCE &amp; DECISIONS</t>
        </is>
      </c>
    </row>
    <row r="682" ht="34" customHeight="1">
      <c r="A682" s="34" t="inlineStr">
        <is>
          <t>Cost &amp; Forecast Control Accounts</t>
        </is>
      </c>
      <c r="B682" s="34" t="inlineStr">
        <is>
          <t>CST-03-013</t>
        </is>
      </c>
      <c r="C682" s="34" t="inlineStr">
        <is>
          <t>Systems - systems integration - supply and install</t>
        </is>
      </c>
      <c r="D682" s="34" t="inlineStr">
        <is>
          <t>Cost Account = CA-3013; WBS Code = 1.3.1</t>
        </is>
      </c>
      <c r="E682" s="34" t="inlineStr">
        <is>
          <t>R1255-v1</t>
        </is>
      </c>
      <c r="F682" s="34" t="inlineStr">
        <is>
          <t>1.3.1 Systems - Traction Power</t>
        </is>
      </c>
      <c r="G682" s="34" t="inlineStr">
        <is>
          <t>ONE_TO_ONE</t>
        </is>
      </c>
      <c r="H682" s="34" t="inlineStr">
        <is>
          <t>APPROVED</t>
        </is>
      </c>
      <c r="I682" s="34" t="inlineStr">
        <is>
          <t>New</t>
        </is>
      </c>
      <c r="J682" s="34" t="inlineStr">
        <is>
          <t>Source assignment -- not individually reviewed</t>
        </is>
      </c>
      <c r="K682" s="39" t="inlineStr"/>
      <c r="L682" s="14" t="inlineStr"/>
      <c r="M682" s="14" t="inlineStr"/>
      <c r="N682" s="92" t="inlineStr">
        <is>
          <t>10 EVIDENCE &amp; DECISIONS</t>
        </is>
      </c>
    </row>
    <row r="683" ht="34" customHeight="1">
      <c r="A683" s="34" t="inlineStr">
        <is>
          <t>Cost &amp; Forecast Control Accounts</t>
        </is>
      </c>
      <c r="B683" s="34" t="inlineStr">
        <is>
          <t>CST-03-015</t>
        </is>
      </c>
      <c r="C683" s="34" t="inlineStr">
        <is>
          <t>Systems - train control - allowance</t>
        </is>
      </c>
      <c r="D683" s="34" t="inlineStr">
        <is>
          <t>Cost Account = CA-3015; WBS Code = 1.3.1</t>
        </is>
      </c>
      <c r="E683" s="34" t="inlineStr">
        <is>
          <t>R1257-v1</t>
        </is>
      </c>
      <c r="F683" s="34" t="inlineStr">
        <is>
          <t>1.3.1 Systems - Traction Power</t>
        </is>
      </c>
      <c r="G683" s="34" t="inlineStr">
        <is>
          <t>ONE_TO_ONE</t>
        </is>
      </c>
      <c r="H683" s="34" t="inlineStr">
        <is>
          <t>APPROVED</t>
        </is>
      </c>
      <c r="I683" s="34" t="inlineStr">
        <is>
          <t>New</t>
        </is>
      </c>
      <c r="J683" s="34" t="inlineStr">
        <is>
          <t>Source assignment -- not individually reviewed</t>
        </is>
      </c>
      <c r="K683" s="39" t="inlineStr"/>
      <c r="L683" s="14" t="inlineStr"/>
      <c r="M683" s="14" t="inlineStr"/>
      <c r="N683" s="92" t="inlineStr">
        <is>
          <t>10 EVIDENCE &amp; DECISIONS</t>
        </is>
      </c>
    </row>
    <row r="684" ht="34" customHeight="1">
      <c r="A684" s="34" t="inlineStr">
        <is>
          <t>Cost &amp; Forecast Control Accounts</t>
        </is>
      </c>
      <c r="B684" s="34" t="inlineStr">
        <is>
          <t>CST-03-017</t>
        </is>
      </c>
      <c r="C684" s="34" t="inlineStr">
        <is>
          <t>Systems - signalling - field package</t>
        </is>
      </c>
      <c r="D684" s="34" t="inlineStr">
        <is>
          <t>Cost Account = CA-3017; WBS Code = 1.3.1</t>
        </is>
      </c>
      <c r="E684" s="34" t="inlineStr">
        <is>
          <t>R1259-v1</t>
        </is>
      </c>
      <c r="F684" s="34" t="inlineStr">
        <is>
          <t>1.3.1 Systems - Traction Power</t>
        </is>
      </c>
      <c r="G684" s="34" t="inlineStr">
        <is>
          <t>ONE_TO_ONE</t>
        </is>
      </c>
      <c r="H684" s="34" t="inlineStr">
        <is>
          <t>APPROVED</t>
        </is>
      </c>
      <c r="I684" s="34" t="inlineStr">
        <is>
          <t>New</t>
        </is>
      </c>
      <c r="J684" s="34" t="inlineStr">
        <is>
          <t>Source assignment -- not individually reviewed</t>
        </is>
      </c>
      <c r="K684" s="39" t="inlineStr"/>
      <c r="L684" s="14" t="inlineStr"/>
      <c r="M684" s="14" t="inlineStr"/>
      <c r="N684" s="92" t="inlineStr">
        <is>
          <t>10 EVIDENCE &amp; DECISIONS</t>
        </is>
      </c>
    </row>
    <row r="685" ht="34" customHeight="1">
      <c r="A685" s="34" t="inlineStr">
        <is>
          <t>Cost &amp; Forecast Control Accounts</t>
        </is>
      </c>
      <c r="B685" s="34" t="inlineStr">
        <is>
          <t>CST-03-019</t>
        </is>
      </c>
      <c r="C685" s="34" t="inlineStr">
        <is>
          <t>Systems - systems integration - professional services</t>
        </is>
      </c>
      <c r="D685" s="34" t="inlineStr">
        <is>
          <t>Cost Account = CA-3019; WBS Code = 1.3.1</t>
        </is>
      </c>
      <c r="E685" s="34" t="inlineStr">
        <is>
          <t>R1261-v1</t>
        </is>
      </c>
      <c r="F685" s="34" t="inlineStr">
        <is>
          <t>1.3.1 Systems - Traction Power</t>
        </is>
      </c>
      <c r="G685" s="34" t="inlineStr">
        <is>
          <t>ONE_TO_ONE</t>
        </is>
      </c>
      <c r="H685" s="34" t="inlineStr">
        <is>
          <t>APPROVED</t>
        </is>
      </c>
      <c r="I685" s="34" t="inlineStr">
        <is>
          <t>New</t>
        </is>
      </c>
      <c r="J685" s="34" t="inlineStr">
        <is>
          <t>Source assignment -- not individually reviewed</t>
        </is>
      </c>
      <c r="K685" s="39" t="inlineStr"/>
      <c r="L685" s="14" t="inlineStr"/>
      <c r="M685" s="14" t="inlineStr"/>
      <c r="N685" s="92" t="inlineStr">
        <is>
          <t>10 EVIDENCE &amp; DECISIONS</t>
        </is>
      </c>
    </row>
    <row r="686" ht="34" customHeight="1">
      <c r="A686" s="34" t="inlineStr">
        <is>
          <t>Cost &amp; Forecast Control Accounts</t>
        </is>
      </c>
      <c r="B686" s="34" t="inlineStr">
        <is>
          <t>CST-03-021</t>
        </is>
      </c>
      <c r="C686" s="34" t="inlineStr">
        <is>
          <t>Systems - train control - closeout</t>
        </is>
      </c>
      <c r="D686" s="34" t="inlineStr">
        <is>
          <t>Cost Account = CA-3021; WBS Code = 1.3.1</t>
        </is>
      </c>
      <c r="E686" s="34" t="inlineStr">
        <is>
          <t>R1263-v1</t>
        </is>
      </c>
      <c r="F686" s="34" t="inlineStr">
        <is>
          <t>1.3.1 Systems - Traction Power</t>
        </is>
      </c>
      <c r="G686" s="34" t="inlineStr">
        <is>
          <t>ONE_TO_ONE</t>
        </is>
      </c>
      <c r="H686" s="34" t="inlineStr">
        <is>
          <t>APPROVED</t>
        </is>
      </c>
      <c r="I686" s="34" t="inlineStr">
        <is>
          <t>New</t>
        </is>
      </c>
      <c r="J686" s="34" t="inlineStr">
        <is>
          <t>Source assignment -- not individually reviewed</t>
        </is>
      </c>
      <c r="K686" s="39" t="inlineStr"/>
      <c r="L686" s="14" t="inlineStr"/>
      <c r="M686" s="14" t="inlineStr"/>
      <c r="N686" s="92" t="inlineStr">
        <is>
          <t>10 EVIDENCE &amp; DECISIONS</t>
        </is>
      </c>
    </row>
    <row r="687" ht="34" customHeight="1">
      <c r="A687" s="34" t="inlineStr">
        <is>
          <t>Cost &amp; Forecast Control Accounts</t>
        </is>
      </c>
      <c r="B687" s="34" t="inlineStr">
        <is>
          <t>CST-03-023</t>
        </is>
      </c>
      <c r="C687" s="34" t="inlineStr">
        <is>
          <t>Systems - signalling - supply and install</t>
        </is>
      </c>
      <c r="D687" s="34" t="inlineStr">
        <is>
          <t>Cost Account = CA-3023; WBS Code = 1.3.1</t>
        </is>
      </c>
      <c r="E687" s="34" t="inlineStr">
        <is>
          <t>R1265-v1</t>
        </is>
      </c>
      <c r="F687" s="34" t="inlineStr">
        <is>
          <t>1.3.1 Systems - Traction Power</t>
        </is>
      </c>
      <c r="G687" s="34" t="inlineStr">
        <is>
          <t>ONE_TO_ONE</t>
        </is>
      </c>
      <c r="H687" s="34" t="inlineStr">
        <is>
          <t>APPROVED</t>
        </is>
      </c>
      <c r="I687" s="34" t="inlineStr">
        <is>
          <t>New</t>
        </is>
      </c>
      <c r="J687" s="34" t="inlineStr">
        <is>
          <t>Source assignment -- not individually reviewed</t>
        </is>
      </c>
      <c r="K687" s="39" t="inlineStr"/>
      <c r="L687" s="14" t="inlineStr"/>
      <c r="M687" s="14" t="inlineStr"/>
      <c r="N687" s="92" t="inlineStr">
        <is>
          <t>10 EVIDENCE &amp; DECISIONS</t>
        </is>
      </c>
    </row>
    <row r="688" ht="34" customHeight="1">
      <c r="A688" s="34" t="inlineStr">
        <is>
          <t>Cost &amp; Forecast Control Accounts</t>
        </is>
      </c>
      <c r="B688" s="34" t="inlineStr">
        <is>
          <t>CST-03-025</t>
        </is>
      </c>
      <c r="C688" s="34" t="inlineStr">
        <is>
          <t>Systems - systems integration - allowance</t>
        </is>
      </c>
      <c r="D688" s="34" t="inlineStr">
        <is>
          <t>Cost Account = CA-3025; WBS Code = 1.3.1</t>
        </is>
      </c>
      <c r="E688" s="34" t="inlineStr">
        <is>
          <t>R1267-v1</t>
        </is>
      </c>
      <c r="F688" s="34" t="inlineStr">
        <is>
          <t>1.3.1 Systems - Traction Power</t>
        </is>
      </c>
      <c r="G688" s="34" t="inlineStr">
        <is>
          <t>ONE_TO_ONE</t>
        </is>
      </c>
      <c r="H688" s="34" t="inlineStr">
        <is>
          <t>APPROVED</t>
        </is>
      </c>
      <c r="I688" s="34" t="inlineStr">
        <is>
          <t>New</t>
        </is>
      </c>
      <c r="J688" s="34" t="inlineStr">
        <is>
          <t>Source assignment -- not individually reviewed</t>
        </is>
      </c>
      <c r="K688" s="39" t="inlineStr"/>
      <c r="L688" s="14" t="inlineStr"/>
      <c r="M688" s="14" t="inlineStr"/>
      <c r="N688" s="92" t="inlineStr">
        <is>
          <t>10 EVIDENCE &amp; DECISIONS</t>
        </is>
      </c>
    </row>
    <row r="689" ht="34" customHeight="1">
      <c r="A689" s="34" t="inlineStr">
        <is>
          <t>Cost &amp; Forecast Control Accounts</t>
        </is>
      </c>
      <c r="B689" s="34" t="inlineStr">
        <is>
          <t>CST-03-027</t>
        </is>
      </c>
      <c r="C689" s="34" t="inlineStr">
        <is>
          <t>Systems - train control - field package</t>
        </is>
      </c>
      <c r="D689" s="34" t="inlineStr">
        <is>
          <t>Cost Account = CA-3027; WBS Code = 1.3.1</t>
        </is>
      </c>
      <c r="E689" s="34" t="inlineStr">
        <is>
          <t>R1269-v1</t>
        </is>
      </c>
      <c r="F689" s="34" t="inlineStr">
        <is>
          <t>1.3.1 Systems - Traction Power</t>
        </is>
      </c>
      <c r="G689" s="34" t="inlineStr">
        <is>
          <t>ONE_TO_ONE</t>
        </is>
      </c>
      <c r="H689" s="34" t="inlineStr">
        <is>
          <t>APPROVED</t>
        </is>
      </c>
      <c r="I689" s="34" t="inlineStr">
        <is>
          <t>New</t>
        </is>
      </c>
      <c r="J689" s="34" t="inlineStr">
        <is>
          <t>Source assignment -- not individually reviewed</t>
        </is>
      </c>
      <c r="K689" s="39" t="inlineStr"/>
      <c r="L689" s="14" t="inlineStr"/>
      <c r="M689" s="14" t="inlineStr"/>
      <c r="N689" s="92" t="inlineStr">
        <is>
          <t>10 EVIDENCE &amp; DECISIONS</t>
        </is>
      </c>
    </row>
    <row r="690" ht="34" customHeight="1">
      <c r="A690" s="34" t="inlineStr">
        <is>
          <t>Cost &amp; Forecast Control Accounts</t>
        </is>
      </c>
      <c r="B690" s="34" t="inlineStr">
        <is>
          <t>CST-03-029</t>
        </is>
      </c>
      <c r="C690" s="34" t="inlineStr">
        <is>
          <t>Systems - signalling - professional services</t>
        </is>
      </c>
      <c r="D690" s="34" t="inlineStr">
        <is>
          <t>Cost Account = CA-3029; WBS Code = 1.3.1</t>
        </is>
      </c>
      <c r="E690" s="34" t="inlineStr">
        <is>
          <t>R1271-v1</t>
        </is>
      </c>
      <c r="F690" s="34" t="inlineStr">
        <is>
          <t>1.3.1 Systems - Traction Power</t>
        </is>
      </c>
      <c r="G690" s="34" t="inlineStr">
        <is>
          <t>ONE_TO_ONE</t>
        </is>
      </c>
      <c r="H690" s="34" t="inlineStr">
        <is>
          <t>APPROVED</t>
        </is>
      </c>
      <c r="I690" s="34" t="inlineStr">
        <is>
          <t>New</t>
        </is>
      </c>
      <c r="J690" s="34" t="inlineStr">
        <is>
          <t>Source assignment -- not individually reviewed</t>
        </is>
      </c>
      <c r="K690" s="39" t="inlineStr"/>
      <c r="L690" s="14" t="inlineStr"/>
      <c r="M690" s="14" t="inlineStr"/>
      <c r="N690" s="92" t="inlineStr">
        <is>
          <t>10 EVIDENCE &amp; DECISIONS</t>
        </is>
      </c>
    </row>
    <row r="691" ht="34" customHeight="1">
      <c r="A691" s="34" t="inlineStr">
        <is>
          <t>Cost &amp; Forecast Control Accounts</t>
        </is>
      </c>
      <c r="B691" s="34" t="inlineStr">
        <is>
          <t>CST-03-031</t>
        </is>
      </c>
      <c r="C691" s="34" t="inlineStr">
        <is>
          <t>Systems - systems integration - closeout</t>
        </is>
      </c>
      <c r="D691" s="34" t="inlineStr">
        <is>
          <t>Cost Account = CA-3031; WBS Code = 1.3.1</t>
        </is>
      </c>
      <c r="E691" s="34" t="inlineStr">
        <is>
          <t>R1273-v1</t>
        </is>
      </c>
      <c r="F691" s="34" t="inlineStr">
        <is>
          <t>1.3.1 Systems - Traction Power</t>
        </is>
      </c>
      <c r="G691" s="34" t="inlineStr">
        <is>
          <t>ONE_TO_ONE</t>
        </is>
      </c>
      <c r="H691" s="34" t="inlineStr">
        <is>
          <t>APPROVED</t>
        </is>
      </c>
      <c r="I691" s="34" t="inlineStr">
        <is>
          <t>New</t>
        </is>
      </c>
      <c r="J691" s="34" t="inlineStr">
        <is>
          <t>Source assignment -- not individually reviewed</t>
        </is>
      </c>
      <c r="K691" s="39" t="inlineStr"/>
      <c r="L691" s="14" t="inlineStr"/>
      <c r="M691" s="14" t="inlineStr"/>
      <c r="N691" s="92" t="inlineStr">
        <is>
          <t>10 EVIDENCE &amp; DECISIONS</t>
        </is>
      </c>
    </row>
    <row r="692" ht="34" customHeight="1">
      <c r="A692" s="34" t="inlineStr">
        <is>
          <t>Cost &amp; Forecast Control Accounts</t>
        </is>
      </c>
      <c r="B692" s="34" t="inlineStr">
        <is>
          <t>CST-03-033</t>
        </is>
      </c>
      <c r="C692" s="34" t="inlineStr">
        <is>
          <t>Systems - train control - supply and install</t>
        </is>
      </c>
      <c r="D692" s="34" t="inlineStr">
        <is>
          <t>Cost Account = CA-3033; WBS Code = 1.3.1</t>
        </is>
      </c>
      <c r="E692" s="34" t="inlineStr">
        <is>
          <t>R1275-v1</t>
        </is>
      </c>
      <c r="F692" s="34" t="inlineStr">
        <is>
          <t>1.3.1 Systems - Traction Power</t>
        </is>
      </c>
      <c r="G692" s="34" t="inlineStr">
        <is>
          <t>ONE_TO_ONE</t>
        </is>
      </c>
      <c r="H692" s="34" t="inlineStr">
        <is>
          <t>APPROVED</t>
        </is>
      </c>
      <c r="I692" s="34" t="inlineStr">
        <is>
          <t>New</t>
        </is>
      </c>
      <c r="J692" s="34" t="inlineStr">
        <is>
          <t>Source assignment -- not individually reviewed</t>
        </is>
      </c>
      <c r="K692" s="39" t="inlineStr"/>
      <c r="L692" s="14" t="inlineStr"/>
      <c r="M692" s="14" t="inlineStr"/>
      <c r="N692" s="92" t="inlineStr">
        <is>
          <t>10 EVIDENCE &amp; DECISIONS</t>
        </is>
      </c>
    </row>
    <row r="693" ht="34" customHeight="1">
      <c r="A693" s="34" t="inlineStr">
        <is>
          <t>Cost &amp; Forecast Control Accounts</t>
        </is>
      </c>
      <c r="B693" s="34" t="inlineStr">
        <is>
          <t>CST-03-035</t>
        </is>
      </c>
      <c r="C693" s="34" t="inlineStr">
        <is>
          <t>Systems - signalling - allowance</t>
        </is>
      </c>
      <c r="D693" s="34" t="inlineStr">
        <is>
          <t>Cost Account = CA-3035; WBS Code = 1.3.1</t>
        </is>
      </c>
      <c r="E693" s="34" t="inlineStr">
        <is>
          <t>R1277-v1</t>
        </is>
      </c>
      <c r="F693" s="34" t="inlineStr">
        <is>
          <t>1.3.1 Systems - Traction Power</t>
        </is>
      </c>
      <c r="G693" s="34" t="inlineStr">
        <is>
          <t>ONE_TO_ONE</t>
        </is>
      </c>
      <c r="H693" s="34" t="inlineStr">
        <is>
          <t>APPROVED</t>
        </is>
      </c>
      <c r="I693" s="34" t="inlineStr">
        <is>
          <t>New</t>
        </is>
      </c>
      <c r="J693" s="34" t="inlineStr">
        <is>
          <t>Source assignment -- not individually reviewed</t>
        </is>
      </c>
      <c r="K693" s="39" t="inlineStr"/>
      <c r="L693" s="14" t="inlineStr"/>
      <c r="M693" s="14" t="inlineStr"/>
      <c r="N693" s="92" t="inlineStr">
        <is>
          <t>10 EVIDENCE &amp; DECISIONS</t>
        </is>
      </c>
    </row>
    <row r="694" ht="34" customHeight="1">
      <c r="A694" s="34" t="inlineStr">
        <is>
          <t>Cost &amp; Forecast Control Accounts</t>
        </is>
      </c>
      <c r="B694" s="34" t="inlineStr">
        <is>
          <t>CST-03-037</t>
        </is>
      </c>
      <c r="C694" s="34" t="inlineStr">
        <is>
          <t>Systems - systems integration - field package</t>
        </is>
      </c>
      <c r="D694" s="34" t="inlineStr">
        <is>
          <t>Cost Account = CA-3037; WBS Code = 1.3.1</t>
        </is>
      </c>
      <c r="E694" s="34" t="inlineStr">
        <is>
          <t>R1279-v1</t>
        </is>
      </c>
      <c r="F694" s="34" t="inlineStr">
        <is>
          <t>1.3.1 Systems - Traction Power</t>
        </is>
      </c>
      <c r="G694" s="34" t="inlineStr">
        <is>
          <t>ONE_TO_ONE</t>
        </is>
      </c>
      <c r="H694" s="34" t="inlineStr">
        <is>
          <t>APPROVED</t>
        </is>
      </c>
      <c r="I694" s="34" t="inlineStr">
        <is>
          <t>New</t>
        </is>
      </c>
      <c r="J694" s="34" t="inlineStr">
        <is>
          <t>Source assignment -- not individually reviewed</t>
        </is>
      </c>
      <c r="K694" s="39" t="inlineStr"/>
      <c r="L694" s="14" t="inlineStr"/>
      <c r="M694" s="14" t="inlineStr"/>
      <c r="N694" s="92" t="inlineStr">
        <is>
          <t>10 EVIDENCE &amp; DECISIONS</t>
        </is>
      </c>
    </row>
    <row r="695" ht="34" customHeight="1">
      <c r="A695" s="34" t="inlineStr">
        <is>
          <t>Cost &amp; Forecast Control Accounts</t>
        </is>
      </c>
      <c r="B695" s="34" t="inlineStr">
        <is>
          <t>CST-03-039</t>
        </is>
      </c>
      <c r="C695" s="34" t="inlineStr">
        <is>
          <t>Systems - train control - professional services</t>
        </is>
      </c>
      <c r="D695" s="34" t="inlineStr">
        <is>
          <t>Cost Account = CA-3039; WBS Code = 1.3.1</t>
        </is>
      </c>
      <c r="E695" s="34" t="inlineStr">
        <is>
          <t>R1281-v1</t>
        </is>
      </c>
      <c r="F695" s="34" t="inlineStr">
        <is>
          <t>1.3.1 Systems - Traction Power</t>
        </is>
      </c>
      <c r="G695" s="34" t="inlineStr">
        <is>
          <t>ONE_TO_ONE</t>
        </is>
      </c>
      <c r="H695" s="34" t="inlineStr">
        <is>
          <t>APPROVED</t>
        </is>
      </c>
      <c r="I695" s="34" t="inlineStr">
        <is>
          <t>New</t>
        </is>
      </c>
      <c r="J695" s="34" t="inlineStr">
        <is>
          <t>Source assignment -- not individually reviewed</t>
        </is>
      </c>
      <c r="K695" s="39" t="inlineStr"/>
      <c r="L695" s="14" t="inlineStr"/>
      <c r="M695" s="14" t="inlineStr"/>
      <c r="N695" s="92" t="inlineStr">
        <is>
          <t>10 EVIDENCE &amp; DECISIONS</t>
        </is>
      </c>
    </row>
    <row r="696" ht="34" customHeight="1">
      <c r="A696" s="34" t="inlineStr">
        <is>
          <t>Cost &amp; Forecast Control Accounts</t>
        </is>
      </c>
      <c r="B696" s="34" t="inlineStr">
        <is>
          <t>CST-03-041</t>
        </is>
      </c>
      <c r="C696" s="34" t="inlineStr">
        <is>
          <t>Systems - signalling - closeout</t>
        </is>
      </c>
      <c r="D696" s="34" t="inlineStr">
        <is>
          <t>Cost Account = CA-3041; WBS Code = 1.3.1</t>
        </is>
      </c>
      <c r="E696" s="34" t="inlineStr">
        <is>
          <t>R1283-v1</t>
        </is>
      </c>
      <c r="F696" s="34" t="inlineStr">
        <is>
          <t>1.3.1 Systems - Traction Power</t>
        </is>
      </c>
      <c r="G696" s="34" t="inlineStr">
        <is>
          <t>ONE_TO_ONE</t>
        </is>
      </c>
      <c r="H696" s="34" t="inlineStr">
        <is>
          <t>APPROVED</t>
        </is>
      </c>
      <c r="I696" s="34" t="inlineStr">
        <is>
          <t>New</t>
        </is>
      </c>
      <c r="J696" s="34" t="inlineStr">
        <is>
          <t>Source assignment -- not individually reviewed</t>
        </is>
      </c>
      <c r="K696" s="39" t="inlineStr"/>
      <c r="L696" s="14" t="inlineStr"/>
      <c r="M696" s="14" t="inlineStr"/>
      <c r="N696" s="92" t="inlineStr">
        <is>
          <t>10 EVIDENCE &amp; DECISIONS</t>
        </is>
      </c>
    </row>
    <row r="697" ht="34" customHeight="1">
      <c r="A697" s="34" t="inlineStr">
        <is>
          <t>Cost &amp; Forecast Control Accounts</t>
        </is>
      </c>
      <c r="B697" s="34" t="inlineStr">
        <is>
          <t>CST-03-043</t>
        </is>
      </c>
      <c r="C697" s="34" t="inlineStr">
        <is>
          <t>Systems - systems integration - supply and install</t>
        </is>
      </c>
      <c r="D697" s="34" t="inlineStr">
        <is>
          <t>Cost Account = CA-3043; WBS Code = 1.3.1</t>
        </is>
      </c>
      <c r="E697" s="34" t="inlineStr">
        <is>
          <t>R1285-v1</t>
        </is>
      </c>
      <c r="F697" s="34" t="inlineStr">
        <is>
          <t>1.3.1 Systems - Traction Power</t>
        </is>
      </c>
      <c r="G697" s="34" t="inlineStr">
        <is>
          <t>ONE_TO_ONE</t>
        </is>
      </c>
      <c r="H697" s="34" t="inlineStr">
        <is>
          <t>APPROVED</t>
        </is>
      </c>
      <c r="I697" s="34" t="inlineStr">
        <is>
          <t>New</t>
        </is>
      </c>
      <c r="J697" s="34" t="inlineStr">
        <is>
          <t>Source assignment -- not individually reviewed</t>
        </is>
      </c>
      <c r="K697" s="39" t="inlineStr"/>
      <c r="L697" s="14" t="inlineStr"/>
      <c r="M697" s="14" t="inlineStr"/>
      <c r="N697" s="92" t="inlineStr">
        <is>
          <t>10 EVIDENCE &amp; DECISIONS</t>
        </is>
      </c>
    </row>
    <row r="698" ht="34" customHeight="1">
      <c r="A698" s="34" t="inlineStr">
        <is>
          <t>Cost &amp; Forecast Control Accounts</t>
        </is>
      </c>
      <c r="B698" s="34" t="inlineStr">
        <is>
          <t>CST-03-045</t>
        </is>
      </c>
      <c r="C698" s="34" t="inlineStr">
        <is>
          <t>Systems - train control - allowance</t>
        </is>
      </c>
      <c r="D698" s="34" t="inlineStr">
        <is>
          <t>Cost Account = CA-3045; WBS Code = 1.3.1</t>
        </is>
      </c>
      <c r="E698" s="34" t="inlineStr">
        <is>
          <t>R1287-v1</t>
        </is>
      </c>
      <c r="F698" s="34" t="inlineStr">
        <is>
          <t>1.3.1 Systems - Traction Power</t>
        </is>
      </c>
      <c r="G698" s="34" t="inlineStr">
        <is>
          <t>ONE_TO_ONE</t>
        </is>
      </c>
      <c r="H698" s="34" t="inlineStr">
        <is>
          <t>APPROVED</t>
        </is>
      </c>
      <c r="I698" s="34" t="inlineStr">
        <is>
          <t>New</t>
        </is>
      </c>
      <c r="J698" s="34" t="inlineStr">
        <is>
          <t>Source assignment -- not individually reviewed</t>
        </is>
      </c>
      <c r="K698" s="39" t="inlineStr"/>
      <c r="L698" s="14" t="inlineStr"/>
      <c r="M698" s="14" t="inlineStr"/>
      <c r="N698" s="92" t="inlineStr">
        <is>
          <t>10 EVIDENCE &amp; DECISIONS</t>
        </is>
      </c>
    </row>
    <row r="699" ht="34" customHeight="1">
      <c r="A699" s="34" t="inlineStr">
        <is>
          <t>Cost &amp; Forecast Control Accounts</t>
        </is>
      </c>
      <c r="B699" s="34" t="inlineStr">
        <is>
          <t>CST-03-047</t>
        </is>
      </c>
      <c r="C699" s="34" t="inlineStr">
        <is>
          <t>Systems - signalling - field package</t>
        </is>
      </c>
      <c r="D699" s="34" t="inlineStr">
        <is>
          <t>Cost Account = CA-3047; WBS Code = 1.3.1</t>
        </is>
      </c>
      <c r="E699" s="34" t="inlineStr">
        <is>
          <t>R1289-v1</t>
        </is>
      </c>
      <c r="F699" s="34" t="inlineStr">
        <is>
          <t>1.3.1 Systems - Traction Power</t>
        </is>
      </c>
      <c r="G699" s="34" t="inlineStr">
        <is>
          <t>ONE_TO_ONE</t>
        </is>
      </c>
      <c r="H699" s="34" t="inlineStr">
        <is>
          <t>APPROVED</t>
        </is>
      </c>
      <c r="I699" s="34" t="inlineStr">
        <is>
          <t>New</t>
        </is>
      </c>
      <c r="J699" s="34" t="inlineStr">
        <is>
          <t>Source assignment -- not individually reviewed</t>
        </is>
      </c>
      <c r="K699" s="39" t="inlineStr"/>
      <c r="L699" s="14" t="inlineStr"/>
      <c r="M699" s="14" t="inlineStr"/>
      <c r="N699" s="92" t="inlineStr">
        <is>
          <t>10 EVIDENCE &amp; DECISIONS</t>
        </is>
      </c>
    </row>
    <row r="700" ht="34" customHeight="1">
      <c r="A700" s="34" t="inlineStr">
        <is>
          <t>Cost &amp; Forecast Control Accounts</t>
        </is>
      </c>
      <c r="B700" s="34" t="inlineStr">
        <is>
          <t>CST-03-049</t>
        </is>
      </c>
      <c r="C700" s="34" t="inlineStr">
        <is>
          <t>Systems - systems integration - professional services</t>
        </is>
      </c>
      <c r="D700" s="34" t="inlineStr">
        <is>
          <t>Cost Account = CA-3049; WBS Code = 1.3.1</t>
        </is>
      </c>
      <c r="E700" s="34" t="inlineStr">
        <is>
          <t>R1291-v1</t>
        </is>
      </c>
      <c r="F700" s="34" t="inlineStr">
        <is>
          <t>1.3.1 Systems - Traction Power</t>
        </is>
      </c>
      <c r="G700" s="34" t="inlineStr">
        <is>
          <t>ONE_TO_ONE</t>
        </is>
      </c>
      <c r="H700" s="34" t="inlineStr">
        <is>
          <t>APPROVED</t>
        </is>
      </c>
      <c r="I700" s="34" t="inlineStr">
        <is>
          <t>New</t>
        </is>
      </c>
      <c r="J700" s="34" t="inlineStr">
        <is>
          <t>Source assignment -- not individually reviewed</t>
        </is>
      </c>
      <c r="K700" s="39" t="inlineStr"/>
      <c r="L700" s="14" t="inlineStr"/>
      <c r="M700" s="14" t="inlineStr"/>
      <c r="N700" s="92" t="inlineStr">
        <is>
          <t>10 EVIDENCE &amp; DECISIONS</t>
        </is>
      </c>
    </row>
    <row r="701" ht="34" customHeight="1">
      <c r="A701" s="34" t="inlineStr">
        <is>
          <t>Cost &amp; Forecast Control Accounts</t>
        </is>
      </c>
      <c r="B701" s="34" t="inlineStr">
        <is>
          <t>CST-03-051</t>
        </is>
      </c>
      <c r="C701" s="34" t="inlineStr">
        <is>
          <t>Systems - train control - closeout</t>
        </is>
      </c>
      <c r="D701" s="34" t="inlineStr">
        <is>
          <t>Cost Account = CA-3051; WBS Code = 1.3.1</t>
        </is>
      </c>
      <c r="E701" s="34" t="inlineStr">
        <is>
          <t>R1293-v1</t>
        </is>
      </c>
      <c r="F701" s="34" t="inlineStr">
        <is>
          <t>1.3.1 Systems - Traction Power</t>
        </is>
      </c>
      <c r="G701" s="34" t="inlineStr">
        <is>
          <t>ONE_TO_ONE</t>
        </is>
      </c>
      <c r="H701" s="34" t="inlineStr">
        <is>
          <t>APPROVED</t>
        </is>
      </c>
      <c r="I701" s="34" t="inlineStr">
        <is>
          <t>New</t>
        </is>
      </c>
      <c r="J701" s="34" t="inlineStr">
        <is>
          <t>Source assignment -- not individually reviewed</t>
        </is>
      </c>
      <c r="K701" s="39" t="inlineStr"/>
      <c r="L701" s="14" t="inlineStr"/>
      <c r="M701" s="14" t="inlineStr"/>
      <c r="N701" s="92" t="inlineStr">
        <is>
          <t>10 EVIDENCE &amp; DECISIONS</t>
        </is>
      </c>
    </row>
    <row r="702" ht="34" customHeight="1">
      <c r="A702" s="34" t="inlineStr">
        <is>
          <t>Cost &amp; Forecast Control Accounts</t>
        </is>
      </c>
      <c r="B702" s="34" t="inlineStr">
        <is>
          <t>CST-03-053</t>
        </is>
      </c>
      <c r="C702" s="34" t="inlineStr">
        <is>
          <t>Systems - signalling - supply and install</t>
        </is>
      </c>
      <c r="D702" s="34" t="inlineStr">
        <is>
          <t>Cost Account = CA-3053; WBS Code = 1.3.1</t>
        </is>
      </c>
      <c r="E702" s="34" t="inlineStr">
        <is>
          <t>R1295-v1</t>
        </is>
      </c>
      <c r="F702" s="34" t="inlineStr">
        <is>
          <t>1.3.1 Systems - Traction Power</t>
        </is>
      </c>
      <c r="G702" s="34" t="inlineStr">
        <is>
          <t>ONE_TO_ONE</t>
        </is>
      </c>
      <c r="H702" s="34" t="inlineStr">
        <is>
          <t>APPROVED</t>
        </is>
      </c>
      <c r="I702" s="34" t="inlineStr">
        <is>
          <t>New</t>
        </is>
      </c>
      <c r="J702" s="34" t="inlineStr">
        <is>
          <t>Source assignment -- not individually reviewed</t>
        </is>
      </c>
      <c r="K702" s="39" t="inlineStr"/>
      <c r="L702" s="14" t="inlineStr"/>
      <c r="M702" s="14" t="inlineStr"/>
      <c r="N702" s="92" t="inlineStr">
        <is>
          <t>10 EVIDENCE &amp; DECISIONS</t>
        </is>
      </c>
    </row>
    <row r="703" ht="34" customHeight="1">
      <c r="A703" s="34" t="inlineStr">
        <is>
          <t>Cost &amp; Forecast Control Accounts</t>
        </is>
      </c>
      <c r="B703" s="34" t="inlineStr">
        <is>
          <t>CST-03-055</t>
        </is>
      </c>
      <c r="C703" s="34" t="inlineStr">
        <is>
          <t>Systems - systems integration - allowance</t>
        </is>
      </c>
      <c r="D703" s="34" t="inlineStr">
        <is>
          <t>Cost Account = CA-3055; WBS Code = 1.3.1</t>
        </is>
      </c>
      <c r="E703" s="34" t="inlineStr">
        <is>
          <t>R1297-v1</t>
        </is>
      </c>
      <c r="F703" s="34" t="inlineStr">
        <is>
          <t>1.3.1 Systems - Traction Power</t>
        </is>
      </c>
      <c r="G703" s="34" t="inlineStr">
        <is>
          <t>ONE_TO_ONE</t>
        </is>
      </c>
      <c r="H703" s="34" t="inlineStr">
        <is>
          <t>APPROVED</t>
        </is>
      </c>
      <c r="I703" s="34" t="inlineStr">
        <is>
          <t>New</t>
        </is>
      </c>
      <c r="J703" s="34" t="inlineStr">
        <is>
          <t>Source assignment -- not individually reviewed</t>
        </is>
      </c>
      <c r="K703" s="39" t="inlineStr"/>
      <c r="L703" s="14" t="inlineStr"/>
      <c r="M703" s="14" t="inlineStr"/>
      <c r="N703" s="92" t="inlineStr">
        <is>
          <t>10 EVIDENCE &amp; DECISIONS</t>
        </is>
      </c>
    </row>
    <row r="704" ht="34" customHeight="1">
      <c r="A704" s="34" t="inlineStr">
        <is>
          <t>Cost &amp; Forecast Control Accounts</t>
        </is>
      </c>
      <c r="B704" s="34" t="inlineStr">
        <is>
          <t>CST-03-057</t>
        </is>
      </c>
      <c r="C704" s="34" t="inlineStr">
        <is>
          <t>Systems - train control - field package</t>
        </is>
      </c>
      <c r="D704" s="34" t="inlineStr">
        <is>
          <t>Cost Account = CA-3057; WBS Code = 1.3.1</t>
        </is>
      </c>
      <c r="E704" s="34" t="inlineStr">
        <is>
          <t>R1299-v1</t>
        </is>
      </c>
      <c r="F704" s="34" t="inlineStr">
        <is>
          <t>1.3.1 Systems - Traction Power</t>
        </is>
      </c>
      <c r="G704" s="34" t="inlineStr">
        <is>
          <t>ONE_TO_ONE</t>
        </is>
      </c>
      <c r="H704" s="34" t="inlineStr">
        <is>
          <t>APPROVED</t>
        </is>
      </c>
      <c r="I704" s="34" t="inlineStr">
        <is>
          <t>New</t>
        </is>
      </c>
      <c r="J704" s="34" t="inlineStr">
        <is>
          <t>Source assignment -- not individually reviewed</t>
        </is>
      </c>
      <c r="K704" s="39" t="inlineStr"/>
      <c r="L704" s="14" t="inlineStr"/>
      <c r="M704" s="14" t="inlineStr"/>
      <c r="N704" s="92" t="inlineStr">
        <is>
          <t>10 EVIDENCE &amp; DECISIONS</t>
        </is>
      </c>
    </row>
    <row r="705" ht="34" customHeight="1">
      <c r="A705" s="34" t="inlineStr">
        <is>
          <t>Cost &amp; Forecast Control Accounts</t>
        </is>
      </c>
      <c r="B705" s="34" t="inlineStr">
        <is>
          <t>CST-03-059</t>
        </is>
      </c>
      <c r="C705" s="34" t="inlineStr">
        <is>
          <t>Systems - signalling - professional services</t>
        </is>
      </c>
      <c r="D705" s="34" t="inlineStr">
        <is>
          <t>Cost Account = CA-3059; WBS Code = 1.3.1</t>
        </is>
      </c>
      <c r="E705" s="34" t="inlineStr">
        <is>
          <t>R1301-v1</t>
        </is>
      </c>
      <c r="F705" s="34" t="inlineStr">
        <is>
          <t>1.3.1 Systems - Traction Power</t>
        </is>
      </c>
      <c r="G705" s="34" t="inlineStr">
        <is>
          <t>ONE_TO_ONE</t>
        </is>
      </c>
      <c r="H705" s="34" t="inlineStr">
        <is>
          <t>APPROVED</t>
        </is>
      </c>
      <c r="I705" s="34" t="inlineStr">
        <is>
          <t>New</t>
        </is>
      </c>
      <c r="J705" s="34" t="inlineStr">
        <is>
          <t>Source assignment -- not individually reviewed</t>
        </is>
      </c>
      <c r="K705" s="39" t="inlineStr"/>
      <c r="L705" s="14" t="inlineStr"/>
      <c r="M705" s="14" t="inlineStr"/>
      <c r="N705" s="92" t="inlineStr">
        <is>
          <t>10 EVIDENCE &amp; DECISIONS</t>
        </is>
      </c>
    </row>
    <row r="706" ht="34" customHeight="1">
      <c r="A706" s="34" t="inlineStr">
        <is>
          <t>Cost &amp; Forecast Control Accounts</t>
        </is>
      </c>
      <c r="B706" s="34" t="inlineStr">
        <is>
          <t>CST-03-061</t>
        </is>
      </c>
      <c r="C706" s="34" t="inlineStr">
        <is>
          <t>Systems - systems integration - closeout</t>
        </is>
      </c>
      <c r="D706" s="34" t="inlineStr">
        <is>
          <t>Cost Account = CA-3061; WBS Code = 1.3.1</t>
        </is>
      </c>
      <c r="E706" s="34" t="inlineStr">
        <is>
          <t>R1303-v1</t>
        </is>
      </c>
      <c r="F706" s="34" t="inlineStr">
        <is>
          <t>1.3.1 Systems - Traction Power</t>
        </is>
      </c>
      <c r="G706" s="34" t="inlineStr">
        <is>
          <t>ONE_TO_ONE</t>
        </is>
      </c>
      <c r="H706" s="34" t="inlineStr">
        <is>
          <t>APPROVED</t>
        </is>
      </c>
      <c r="I706" s="34" t="inlineStr">
        <is>
          <t>New</t>
        </is>
      </c>
      <c r="J706" s="34" t="inlineStr">
        <is>
          <t>Source assignment -- not individually reviewed</t>
        </is>
      </c>
      <c r="K706" s="39" t="inlineStr"/>
      <c r="L706" s="14" t="inlineStr"/>
      <c r="M706" s="14" t="inlineStr"/>
      <c r="N706" s="92" t="inlineStr">
        <is>
          <t>10 EVIDENCE &amp; DECISIONS</t>
        </is>
      </c>
    </row>
    <row r="707" ht="34" customHeight="1">
      <c r="A707" s="34" t="inlineStr">
        <is>
          <t>Cost &amp; Forecast Control Accounts</t>
        </is>
      </c>
      <c r="B707" s="34" t="inlineStr">
        <is>
          <t>CST-03-063</t>
        </is>
      </c>
      <c r="C707" s="34" t="inlineStr">
        <is>
          <t>Systems - train control - supply and install</t>
        </is>
      </c>
      <c r="D707" s="34" t="inlineStr">
        <is>
          <t>Cost Account = CA-3063; WBS Code = 1.3.1</t>
        </is>
      </c>
      <c r="E707" s="34" t="inlineStr">
        <is>
          <t>R1305-v1</t>
        </is>
      </c>
      <c r="F707" s="34" t="inlineStr">
        <is>
          <t>1.3.1 Systems - Traction Power</t>
        </is>
      </c>
      <c r="G707" s="34" t="inlineStr">
        <is>
          <t>ONE_TO_ONE</t>
        </is>
      </c>
      <c r="H707" s="34" t="inlineStr">
        <is>
          <t>APPROVED</t>
        </is>
      </c>
      <c r="I707" s="34" t="inlineStr">
        <is>
          <t>New</t>
        </is>
      </c>
      <c r="J707" s="34" t="inlineStr">
        <is>
          <t>Source assignment -- not individually reviewed</t>
        </is>
      </c>
      <c r="K707" s="39" t="inlineStr"/>
      <c r="L707" s="14" t="inlineStr"/>
      <c r="M707" s="14" t="inlineStr"/>
      <c r="N707" s="92" t="inlineStr">
        <is>
          <t>10 EVIDENCE &amp; DECISIONS</t>
        </is>
      </c>
    </row>
    <row r="708" ht="34" customHeight="1">
      <c r="A708" s="34" t="inlineStr">
        <is>
          <t>Cost &amp; Forecast Control Accounts</t>
        </is>
      </c>
      <c r="B708" s="34" t="inlineStr">
        <is>
          <t>CST-03-065</t>
        </is>
      </c>
      <c r="C708" s="34" t="inlineStr">
        <is>
          <t>Systems - signalling - allowance</t>
        </is>
      </c>
      <c r="D708" s="34" t="inlineStr">
        <is>
          <t>Cost Account = CA-3065; WBS Code = 1.3.1</t>
        </is>
      </c>
      <c r="E708" s="34" t="inlineStr">
        <is>
          <t>R1307-v1</t>
        </is>
      </c>
      <c r="F708" s="34" t="inlineStr">
        <is>
          <t>1.3.1 Systems - Traction Power</t>
        </is>
      </c>
      <c r="G708" s="34" t="inlineStr">
        <is>
          <t>ONE_TO_ONE</t>
        </is>
      </c>
      <c r="H708" s="34" t="inlineStr">
        <is>
          <t>APPROVED</t>
        </is>
      </c>
      <c r="I708" s="34" t="inlineStr">
        <is>
          <t>New</t>
        </is>
      </c>
      <c r="J708" s="34" t="inlineStr">
        <is>
          <t>Source assignment -- not individually reviewed</t>
        </is>
      </c>
      <c r="K708" s="39" t="inlineStr"/>
      <c r="L708" s="14" t="inlineStr"/>
      <c r="M708" s="14" t="inlineStr"/>
      <c r="N708" s="92" t="inlineStr">
        <is>
          <t>10 EVIDENCE &amp; DECISIONS</t>
        </is>
      </c>
    </row>
    <row r="709" ht="34" customHeight="1">
      <c r="A709" s="34" t="inlineStr">
        <is>
          <t>Cost &amp; Forecast Control Accounts</t>
        </is>
      </c>
      <c r="B709" s="34" t="inlineStr">
        <is>
          <t>CST-03-067</t>
        </is>
      </c>
      <c r="C709" s="34" t="inlineStr">
        <is>
          <t>Systems - systems integration - field package</t>
        </is>
      </c>
      <c r="D709" s="34" t="inlineStr">
        <is>
          <t>Cost Account = CA-3067; WBS Code = 1.3.1</t>
        </is>
      </c>
      <c r="E709" s="34" t="inlineStr">
        <is>
          <t>R1309-v1</t>
        </is>
      </c>
      <c r="F709" s="34" t="inlineStr">
        <is>
          <t>1.3.1 Systems - Traction Power</t>
        </is>
      </c>
      <c r="G709" s="34" t="inlineStr">
        <is>
          <t>ONE_TO_ONE</t>
        </is>
      </c>
      <c r="H709" s="34" t="inlineStr">
        <is>
          <t>APPROVED</t>
        </is>
      </c>
      <c r="I709" s="34" t="inlineStr">
        <is>
          <t>New</t>
        </is>
      </c>
      <c r="J709" s="34" t="inlineStr">
        <is>
          <t>Source assignment -- not individually reviewed</t>
        </is>
      </c>
      <c r="K709" s="39" t="inlineStr"/>
      <c r="L709" s="14" t="inlineStr"/>
      <c r="M709" s="14" t="inlineStr"/>
      <c r="N709" s="92" t="inlineStr">
        <is>
          <t>10 EVIDENCE &amp; DECISIONS</t>
        </is>
      </c>
    </row>
    <row r="710" ht="34" customHeight="1">
      <c r="A710" s="34" t="inlineStr">
        <is>
          <t>Cost &amp; Forecast Control Accounts</t>
        </is>
      </c>
      <c r="B710" s="34" t="inlineStr">
        <is>
          <t>CST-03-069</t>
        </is>
      </c>
      <c r="C710" s="34" t="inlineStr">
        <is>
          <t>Systems - train control - professional services</t>
        </is>
      </c>
      <c r="D710" s="34" t="inlineStr">
        <is>
          <t>Cost Account = CA-3069; WBS Code = 1.3.1</t>
        </is>
      </c>
      <c r="E710" s="34" t="inlineStr">
        <is>
          <t>R1311-v1</t>
        </is>
      </c>
      <c r="F710" s="34" t="inlineStr">
        <is>
          <t>1.3.1 Systems - Traction Power</t>
        </is>
      </c>
      <c r="G710" s="34" t="inlineStr">
        <is>
          <t>ONE_TO_ONE</t>
        </is>
      </c>
      <c r="H710" s="34" t="inlineStr">
        <is>
          <t>APPROVED</t>
        </is>
      </c>
      <c r="I710" s="34" t="inlineStr">
        <is>
          <t>New</t>
        </is>
      </c>
      <c r="J710" s="34" t="inlineStr">
        <is>
          <t>Source assignment -- not individually reviewed</t>
        </is>
      </c>
      <c r="K710" s="39" t="inlineStr"/>
      <c r="L710" s="14" t="inlineStr"/>
      <c r="M710" s="14" t="inlineStr"/>
      <c r="N710" s="92" t="inlineStr">
        <is>
          <t>10 EVIDENCE &amp; DECISIONS</t>
        </is>
      </c>
    </row>
    <row r="711" ht="34" customHeight="1">
      <c r="A711" s="34" t="inlineStr">
        <is>
          <t>Cost &amp; Forecast Control Accounts</t>
        </is>
      </c>
      <c r="B711" s="34" t="inlineStr">
        <is>
          <t>CST-03-071</t>
        </is>
      </c>
      <c r="C711" s="34" t="inlineStr">
        <is>
          <t>Systems - signalling - closeout</t>
        </is>
      </c>
      <c r="D711" s="34" t="inlineStr">
        <is>
          <t>Cost Account = CA-3071; WBS Code = 1.3.1</t>
        </is>
      </c>
      <c r="E711" s="34" t="inlineStr">
        <is>
          <t>R1313-v1</t>
        </is>
      </c>
      <c r="F711" s="34" t="inlineStr">
        <is>
          <t>1.3.1 Systems - Traction Power</t>
        </is>
      </c>
      <c r="G711" s="34" t="inlineStr">
        <is>
          <t>ONE_TO_ONE</t>
        </is>
      </c>
      <c r="H711" s="34" t="inlineStr">
        <is>
          <t>APPROVED</t>
        </is>
      </c>
      <c r="I711" s="34" t="inlineStr">
        <is>
          <t>New</t>
        </is>
      </c>
      <c r="J711" s="34" t="inlineStr">
        <is>
          <t>Source assignment -- not individually reviewed</t>
        </is>
      </c>
      <c r="K711" s="39" t="inlineStr"/>
      <c r="L711" s="14" t="inlineStr"/>
      <c r="M711" s="14" t="inlineStr"/>
      <c r="N711" s="92" t="inlineStr">
        <is>
          <t>10 EVIDENCE &amp; DECISIONS</t>
        </is>
      </c>
    </row>
    <row r="712" ht="34" customHeight="1">
      <c r="A712" s="34" t="inlineStr">
        <is>
          <t>Cost &amp; Forecast Control Accounts</t>
        </is>
      </c>
      <c r="B712" s="34" t="inlineStr">
        <is>
          <t>CST-03-073</t>
        </is>
      </c>
      <c r="C712" s="34" t="inlineStr">
        <is>
          <t>Systems - systems integration - supply and install</t>
        </is>
      </c>
      <c r="D712" s="34" t="inlineStr">
        <is>
          <t>Cost Account = CA-3073; WBS Code = 1.3.1</t>
        </is>
      </c>
      <c r="E712" s="34" t="inlineStr">
        <is>
          <t>R1315-v1</t>
        </is>
      </c>
      <c r="F712" s="34" t="inlineStr">
        <is>
          <t>1.3.1 Systems - Traction Power</t>
        </is>
      </c>
      <c r="G712" s="34" t="inlineStr">
        <is>
          <t>ONE_TO_ONE</t>
        </is>
      </c>
      <c r="H712" s="34" t="inlineStr">
        <is>
          <t>APPROVED</t>
        </is>
      </c>
      <c r="I712" s="34" t="inlineStr">
        <is>
          <t>New</t>
        </is>
      </c>
      <c r="J712" s="34" t="inlineStr">
        <is>
          <t>Source assignment -- not individually reviewed</t>
        </is>
      </c>
      <c r="K712" s="39" t="inlineStr"/>
      <c r="L712" s="14" t="inlineStr"/>
      <c r="M712" s="14" t="inlineStr"/>
      <c r="N712" s="92" t="inlineStr">
        <is>
          <t>10 EVIDENCE &amp; DECISIONS</t>
        </is>
      </c>
    </row>
    <row r="713" ht="34" customHeight="1">
      <c r="A713" s="34" t="inlineStr">
        <is>
          <t>Cost &amp; Forecast Control Accounts</t>
        </is>
      </c>
      <c r="B713" s="34" t="inlineStr">
        <is>
          <t>CST-03-075</t>
        </is>
      </c>
      <c r="C713" s="34" t="inlineStr">
        <is>
          <t>Systems - train control - allowance</t>
        </is>
      </c>
      <c r="D713" s="34" t="inlineStr">
        <is>
          <t>Cost Account = CA-3075; WBS Code = 1.3.1</t>
        </is>
      </c>
      <c r="E713" s="34" t="inlineStr">
        <is>
          <t>R1317-v1</t>
        </is>
      </c>
      <c r="F713" s="34" t="inlineStr">
        <is>
          <t>1.3.1 Systems - Traction Power</t>
        </is>
      </c>
      <c r="G713" s="34" t="inlineStr">
        <is>
          <t>ONE_TO_ONE</t>
        </is>
      </c>
      <c r="H713" s="34" t="inlineStr">
        <is>
          <t>APPROVED</t>
        </is>
      </c>
      <c r="I713" s="34" t="inlineStr">
        <is>
          <t>New</t>
        </is>
      </c>
      <c r="J713" s="34" t="inlineStr">
        <is>
          <t>Source assignment -- not individually reviewed</t>
        </is>
      </c>
      <c r="K713" s="39" t="inlineStr"/>
      <c r="L713" s="14" t="inlineStr"/>
      <c r="M713" s="14" t="inlineStr"/>
      <c r="N713" s="92" t="inlineStr">
        <is>
          <t>10 EVIDENCE &amp; DECISIONS</t>
        </is>
      </c>
    </row>
    <row r="714" ht="34" customHeight="1">
      <c r="A714" s="34" t="inlineStr">
        <is>
          <t>Cost &amp; Forecast Control Accounts</t>
        </is>
      </c>
      <c r="B714" s="34" t="inlineStr">
        <is>
          <t>CST-03-077</t>
        </is>
      </c>
      <c r="C714" s="34" t="inlineStr">
        <is>
          <t>Systems - signalling - field package</t>
        </is>
      </c>
      <c r="D714" s="34" t="inlineStr">
        <is>
          <t>Cost Account = CA-3077; WBS Code = 1.3.1</t>
        </is>
      </c>
      <c r="E714" s="34" t="inlineStr">
        <is>
          <t>R1319-v1</t>
        </is>
      </c>
      <c r="F714" s="34" t="inlineStr">
        <is>
          <t>1.3.1 Systems - Traction Power</t>
        </is>
      </c>
      <c r="G714" s="34" t="inlineStr">
        <is>
          <t>ONE_TO_ONE</t>
        </is>
      </c>
      <c r="H714" s="34" t="inlineStr">
        <is>
          <t>APPROVED</t>
        </is>
      </c>
      <c r="I714" s="34" t="inlineStr">
        <is>
          <t>New</t>
        </is>
      </c>
      <c r="J714" s="34" t="inlineStr">
        <is>
          <t>Source assignment -- not individually reviewed</t>
        </is>
      </c>
      <c r="K714" s="39" t="inlineStr"/>
      <c r="L714" s="14" t="inlineStr"/>
      <c r="M714" s="14" t="inlineStr"/>
      <c r="N714" s="92" t="inlineStr">
        <is>
          <t>10 EVIDENCE &amp; DECISIONS</t>
        </is>
      </c>
    </row>
    <row r="715" ht="34" customHeight="1">
      <c r="A715" s="34" t="inlineStr">
        <is>
          <t>Cost &amp; Forecast Control Accounts</t>
        </is>
      </c>
      <c r="B715" s="34" t="inlineStr">
        <is>
          <t>CST-03-079</t>
        </is>
      </c>
      <c r="C715" s="34" t="inlineStr">
        <is>
          <t>Systems - systems integration - professional services</t>
        </is>
      </c>
      <c r="D715" s="34" t="inlineStr">
        <is>
          <t>Cost Account = CA-3079; WBS Code = 1.3.1</t>
        </is>
      </c>
      <c r="E715" s="34" t="inlineStr">
        <is>
          <t>R1321-v1</t>
        </is>
      </c>
      <c r="F715" s="34" t="inlineStr">
        <is>
          <t>1.3.1 Systems - Traction Power</t>
        </is>
      </c>
      <c r="G715" s="34" t="inlineStr">
        <is>
          <t>ONE_TO_ONE</t>
        </is>
      </c>
      <c r="H715" s="34" t="inlineStr">
        <is>
          <t>APPROVED</t>
        </is>
      </c>
      <c r="I715" s="34" t="inlineStr">
        <is>
          <t>New</t>
        </is>
      </c>
      <c r="J715" s="34" t="inlineStr">
        <is>
          <t>Source assignment -- not individually reviewed</t>
        </is>
      </c>
      <c r="K715" s="39" t="inlineStr"/>
      <c r="L715" s="14" t="inlineStr"/>
      <c r="M715" s="14" t="inlineStr"/>
      <c r="N715" s="92" t="inlineStr">
        <is>
          <t>10 EVIDENCE &amp; DECISIONS</t>
        </is>
      </c>
    </row>
    <row r="716" ht="34" customHeight="1">
      <c r="A716" s="34" t="inlineStr">
        <is>
          <t>Contractor Programme</t>
        </is>
      </c>
      <c r="B716" s="34" t="inlineStr">
        <is>
          <t>SCH-03-003</t>
        </is>
      </c>
      <c r="C716" s="34" t="inlineStr">
        <is>
          <t>Interface works near systems boundary</t>
        </is>
      </c>
      <c r="D716" s="34" t="inlineStr">
        <is>
          <t>WBS Code = 1.3.2</t>
        </is>
      </c>
      <c r="E716" s="34" t="inlineStr">
        <is>
          <t>R363-v1</t>
        </is>
      </c>
      <c r="F716" s="34" t="inlineStr">
        <is>
          <t>1.3.2 Systems - Signalling &amp; Train Control</t>
        </is>
      </c>
      <c r="G716" s="34" t="inlineStr">
        <is>
          <t>ONE_TO_ONE</t>
        </is>
      </c>
      <c r="H716" s="34" t="inlineStr">
        <is>
          <t>APPROVED</t>
        </is>
      </c>
      <c r="I716" s="34" t="inlineStr">
        <is>
          <t>New</t>
        </is>
      </c>
      <c r="J716" s="34" t="inlineStr">
        <is>
          <t>Source assignment -- not individually reviewed</t>
        </is>
      </c>
      <c r="K716" s="39" t="inlineStr"/>
      <c r="L716" s="14" t="inlineStr"/>
      <c r="M716" s="14" t="inlineStr"/>
      <c r="N716" s="92" t="inlineStr">
        <is>
          <t>10 EVIDENCE &amp; DECISIONS</t>
        </is>
      </c>
    </row>
    <row r="717" ht="34" customHeight="1">
      <c r="A717" s="34" t="inlineStr">
        <is>
          <t>Contractor Programme</t>
        </is>
      </c>
      <c r="B717" s="34" t="inlineStr">
        <is>
          <t>SCH-03-006</t>
        </is>
      </c>
      <c r="C717" s="34" t="inlineStr">
        <is>
          <t>Harbour Station: SCADA point-to-point check - turnover</t>
        </is>
      </c>
      <c r="D717" s="34" t="inlineStr">
        <is>
          <t>WBS Code = 1.3.2</t>
        </is>
      </c>
      <c r="E717" s="34" t="inlineStr">
        <is>
          <t>R366-v1</t>
        </is>
      </c>
      <c r="F717" s="34" t="inlineStr">
        <is>
          <t>1.3.2 Systems - Signalling &amp; Train Control</t>
        </is>
      </c>
      <c r="G717" s="34" t="inlineStr">
        <is>
          <t>ONE_TO_ONE</t>
        </is>
      </c>
      <c r="H717" s="34" t="inlineStr">
        <is>
          <t>APPROVED</t>
        </is>
      </c>
      <c r="I717" s="34" t="inlineStr">
        <is>
          <t>New</t>
        </is>
      </c>
      <c r="J717" s="34" t="inlineStr">
        <is>
          <t>Source assignment -- not individually reviewed</t>
        </is>
      </c>
      <c r="K717" s="39" t="inlineStr"/>
      <c r="L717" s="14" t="inlineStr"/>
      <c r="M717" s="14" t="inlineStr"/>
      <c r="N717" s="92" t="inlineStr">
        <is>
          <t>10 EVIDENCE &amp; DECISIONS</t>
        </is>
      </c>
    </row>
    <row r="718" ht="34" customHeight="1">
      <c r="A718" s="34" t="inlineStr">
        <is>
          <t>Contractor Programme</t>
        </is>
      </c>
      <c r="B718" s="34" t="inlineStr">
        <is>
          <t>SCH-03-009</t>
        </is>
      </c>
      <c r="C718" s="34" t="inlineStr">
        <is>
          <t>East substation: wayside interface test - installation</t>
        </is>
      </c>
      <c r="D718" s="34" t="inlineStr">
        <is>
          <t>WBS Code = 1.3.2</t>
        </is>
      </c>
      <c r="E718" s="34" t="inlineStr">
        <is>
          <t>R369-v1</t>
        </is>
      </c>
      <c r="F718" s="34" t="inlineStr">
        <is>
          <t>1.3.2 Systems - Signalling &amp; Train Control</t>
        </is>
      </c>
      <c r="G718" s="34" t="inlineStr">
        <is>
          <t>ONE_TO_ONE</t>
        </is>
      </c>
      <c r="H718" s="34" t="inlineStr">
        <is>
          <t>APPROVED</t>
        </is>
      </c>
      <c r="I718" s="34" t="inlineStr">
        <is>
          <t>New</t>
        </is>
      </c>
      <c r="J718" s="34" t="inlineStr">
        <is>
          <t>Source assignment -- not individually reviewed</t>
        </is>
      </c>
      <c r="K718" s="39" t="inlineStr"/>
      <c r="L718" s="14" t="inlineStr"/>
      <c r="M718" s="14" t="inlineStr"/>
      <c r="N718" s="92" t="inlineStr">
        <is>
          <t>10 EVIDENCE &amp; DECISIONS</t>
        </is>
      </c>
    </row>
    <row r="719" ht="34" customHeight="1">
      <c r="A719" s="34" t="inlineStr">
        <is>
          <t>Contractor Programme</t>
        </is>
      </c>
      <c r="B719" s="34" t="inlineStr">
        <is>
          <t>SCH-03-012</t>
        </is>
      </c>
      <c r="C719" s="34" t="inlineStr">
        <is>
          <t>Control Centre: control-centre integration - release</t>
        </is>
      </c>
      <c r="D719" s="34" t="inlineStr">
        <is>
          <t>WBS Code = 1.3.2</t>
        </is>
      </c>
      <c r="E719" s="34" t="inlineStr">
        <is>
          <t>R372-v1</t>
        </is>
      </c>
      <c r="F719" s="34" t="inlineStr">
        <is>
          <t>1.3.2 Systems - Signalling &amp; Train Control</t>
        </is>
      </c>
      <c r="G719" s="34" t="inlineStr">
        <is>
          <t>ONE_TO_ONE</t>
        </is>
      </c>
      <c r="H719" s="34" t="inlineStr">
        <is>
          <t>APPROVED</t>
        </is>
      </c>
      <c r="I719" s="34" t="inlineStr">
        <is>
          <t>New</t>
        </is>
      </c>
      <c r="J719" s="34" t="inlineStr">
        <is>
          <t>Source assignment -- not individually reviewed</t>
        </is>
      </c>
      <c r="K719" s="39" t="inlineStr"/>
      <c r="L719" s="14" t="inlineStr"/>
      <c r="M719" s="14" t="inlineStr"/>
      <c r="N719" s="92" t="inlineStr">
        <is>
          <t>10 EVIDENCE &amp; DECISIONS</t>
        </is>
      </c>
    </row>
    <row r="720" ht="34" customHeight="1">
      <c r="A720" s="34" t="inlineStr">
        <is>
          <t>Contractor Programme</t>
        </is>
      </c>
      <c r="B720" s="34" t="inlineStr">
        <is>
          <t>SCH-03-015</t>
        </is>
      </c>
      <c r="C720" s="34" t="inlineStr">
        <is>
          <t>Central interlocking: traction-power feeder pull - inspection</t>
        </is>
      </c>
      <c r="D720" s="34" t="inlineStr">
        <is>
          <t>WBS Code = 1.3.2</t>
        </is>
      </c>
      <c r="E720" s="34" t="inlineStr">
        <is>
          <t>R375-v1</t>
        </is>
      </c>
      <c r="F720" s="34" t="inlineStr">
        <is>
          <t>1.3.2 Systems - Signalling &amp; Train Control</t>
        </is>
      </c>
      <c r="G720" s="34" t="inlineStr">
        <is>
          <t>ONE_TO_ONE</t>
        </is>
      </c>
      <c r="H720" s="34" t="inlineStr">
        <is>
          <t>APPROVED</t>
        </is>
      </c>
      <c r="I720" s="34" t="inlineStr">
        <is>
          <t>New</t>
        </is>
      </c>
      <c r="J720" s="34" t="inlineStr">
        <is>
          <t>Source assignment -- not individually reviewed</t>
        </is>
      </c>
      <c r="K720" s="39" t="inlineStr"/>
      <c r="L720" s="14" t="inlineStr"/>
      <c r="M720" s="14" t="inlineStr"/>
      <c r="N720" s="92" t="inlineStr">
        <is>
          <t>10 EVIDENCE &amp; DECISIONS</t>
        </is>
      </c>
    </row>
    <row r="721" ht="34" customHeight="1">
      <c r="A721" s="34" t="inlineStr">
        <is>
          <t>Contractor Programme</t>
        </is>
      </c>
      <c r="B721" s="34" t="inlineStr">
        <is>
          <t>SCH-03-018</t>
        </is>
      </c>
      <c r="C721" s="34" t="inlineStr">
        <is>
          <t>West wayside: signal equipment installation - field start</t>
        </is>
      </c>
      <c r="D721" s="34" t="inlineStr">
        <is>
          <t>WBS Code = 1.3.2</t>
        </is>
      </c>
      <c r="E721" s="34" t="inlineStr">
        <is>
          <t>R378-v1</t>
        </is>
      </c>
      <c r="F721" s="34" t="inlineStr">
        <is>
          <t>1.3.2 Systems - Signalling &amp; Train Control</t>
        </is>
      </c>
      <c r="G721" s="34" t="inlineStr">
        <is>
          <t>ONE_TO_ONE</t>
        </is>
      </c>
      <c r="H721" s="34" t="inlineStr">
        <is>
          <t>APPROVED</t>
        </is>
      </c>
      <c r="I721" s="34" t="inlineStr">
        <is>
          <t>New</t>
        </is>
      </c>
      <c r="J721" s="34" t="inlineStr">
        <is>
          <t>Source assignment -- not individually reviewed</t>
        </is>
      </c>
      <c r="K721" s="39" t="inlineStr"/>
      <c r="L721" s="14" t="inlineStr"/>
      <c r="M721" s="14" t="inlineStr"/>
      <c r="N721" s="92" t="inlineStr">
        <is>
          <t>10 EVIDENCE &amp; DECISIONS</t>
        </is>
      </c>
    </row>
    <row r="722" ht="34" customHeight="1">
      <c r="A722" s="34" t="inlineStr">
        <is>
          <t>Contractor Programme</t>
        </is>
      </c>
      <c r="B722" s="34" t="inlineStr">
        <is>
          <t>SCH-03-021</t>
        </is>
      </c>
      <c r="C722" s="34" t="inlineStr">
        <is>
          <t>Harbour Station: fibre backbone termination - turnover</t>
        </is>
      </c>
      <c r="D722" s="34" t="inlineStr">
        <is>
          <t>WBS Code = 1.3.2</t>
        </is>
      </c>
      <c r="E722" s="34" t="inlineStr">
        <is>
          <t>R381-v1</t>
        </is>
      </c>
      <c r="F722" s="34" t="inlineStr">
        <is>
          <t>1.3.2 Systems - Signalling &amp; Train Control</t>
        </is>
      </c>
      <c r="G722" s="34" t="inlineStr">
        <is>
          <t>ONE_TO_ONE</t>
        </is>
      </c>
      <c r="H722" s="34" t="inlineStr">
        <is>
          <t>APPROVED</t>
        </is>
      </c>
      <c r="I722" s="34" t="inlineStr">
        <is>
          <t>New</t>
        </is>
      </c>
      <c r="J722" s="34" t="inlineStr">
        <is>
          <t>Source assignment -- not individually reviewed</t>
        </is>
      </c>
      <c r="K722" s="39" t="inlineStr"/>
      <c r="L722" s="14" t="inlineStr"/>
      <c r="M722" s="14" t="inlineStr"/>
      <c r="N722" s="92" t="inlineStr">
        <is>
          <t>10 EVIDENCE &amp; DECISIONS</t>
        </is>
      </c>
    </row>
    <row r="723" ht="34" customHeight="1">
      <c r="A723" s="34" t="inlineStr">
        <is>
          <t>Contractor Programme</t>
        </is>
      </c>
      <c r="B723" s="34" t="inlineStr">
        <is>
          <t>SCH-03-024</t>
        </is>
      </c>
      <c r="C723" s="34" t="inlineStr">
        <is>
          <t>East substation: train-control cabinet fit-out - installation</t>
        </is>
      </c>
      <c r="D723" s="34" t="inlineStr">
        <is>
          <t>WBS Code = 1.3.2</t>
        </is>
      </c>
      <c r="E723" s="34" t="inlineStr">
        <is>
          <t>R384-v1</t>
        </is>
      </c>
      <c r="F723" s="34" t="inlineStr">
        <is>
          <t>1.3.2 Systems - Signalling &amp; Train Control</t>
        </is>
      </c>
      <c r="G723" s="34" t="inlineStr">
        <is>
          <t>ONE_TO_ONE</t>
        </is>
      </c>
      <c r="H723" s="34" t="inlineStr">
        <is>
          <t>APPROVED</t>
        </is>
      </c>
      <c r="I723" s="34" t="inlineStr">
        <is>
          <t>New</t>
        </is>
      </c>
      <c r="J723" s="34" t="inlineStr">
        <is>
          <t>Source assignment -- not individually reviewed</t>
        </is>
      </c>
      <c r="K723" s="39" t="inlineStr"/>
      <c r="L723" s="14" t="inlineStr"/>
      <c r="M723" s="14" t="inlineStr"/>
      <c r="N723" s="92" t="inlineStr">
        <is>
          <t>10 EVIDENCE &amp; DECISIONS</t>
        </is>
      </c>
    </row>
    <row r="724" ht="34" customHeight="1">
      <c r="A724" s="34" t="inlineStr">
        <is>
          <t>Contractor Programme</t>
        </is>
      </c>
      <c r="B724" s="34" t="inlineStr">
        <is>
          <t>SCH-03-027</t>
        </is>
      </c>
      <c r="C724" s="34" t="inlineStr">
        <is>
          <t>Control Centre: radio equipment installation - release</t>
        </is>
      </c>
      <c r="D724" s="34" t="inlineStr">
        <is>
          <t>WBS Code = 1.3.2</t>
        </is>
      </c>
      <c r="E724" s="34" t="inlineStr">
        <is>
          <t>R387-v1</t>
        </is>
      </c>
      <c r="F724" s="34" t="inlineStr">
        <is>
          <t>1.3.2 Systems - Signalling &amp; Train Control</t>
        </is>
      </c>
      <c r="G724" s="34" t="inlineStr">
        <is>
          <t>ONE_TO_ONE</t>
        </is>
      </c>
      <c r="H724" s="34" t="inlineStr">
        <is>
          <t>APPROVED</t>
        </is>
      </c>
      <c r="I724" s="34" t="inlineStr">
        <is>
          <t>New</t>
        </is>
      </c>
      <c r="J724" s="34" t="inlineStr">
        <is>
          <t>Source assignment -- not individually reviewed</t>
        </is>
      </c>
      <c r="K724" s="39" t="inlineStr"/>
      <c r="L724" s="14" t="inlineStr"/>
      <c r="M724" s="14" t="inlineStr"/>
      <c r="N724" s="92" t="inlineStr">
        <is>
          <t>10 EVIDENCE &amp; DECISIONS</t>
        </is>
      </c>
    </row>
    <row r="725" ht="34" customHeight="1">
      <c r="A725" s="34" t="inlineStr">
        <is>
          <t>Contractor Programme</t>
        </is>
      </c>
      <c r="B725" s="34" t="inlineStr">
        <is>
          <t>SCH-03-030</t>
        </is>
      </c>
      <c r="C725" s="34" t="inlineStr">
        <is>
          <t>Central interlocking: SCADA point-to-point check - inspection</t>
        </is>
      </c>
      <c r="D725" s="34" t="inlineStr">
        <is>
          <t>WBS Code = 1.3.2</t>
        </is>
      </c>
      <c r="E725" s="34" t="inlineStr">
        <is>
          <t>R390-v1</t>
        </is>
      </c>
      <c r="F725" s="34" t="inlineStr">
        <is>
          <t>1.3.2 Systems - Signalling &amp; Train Control</t>
        </is>
      </c>
      <c r="G725" s="34" t="inlineStr">
        <is>
          <t>ONE_TO_ONE</t>
        </is>
      </c>
      <c r="H725" s="34" t="inlineStr">
        <is>
          <t>APPROVED</t>
        </is>
      </c>
      <c r="I725" s="34" t="inlineStr">
        <is>
          <t>New</t>
        </is>
      </c>
      <c r="J725" s="34" t="inlineStr">
        <is>
          <t>Source assignment -- not individually reviewed</t>
        </is>
      </c>
      <c r="K725" s="39" t="inlineStr"/>
      <c r="L725" s="14" t="inlineStr"/>
      <c r="M725" s="14" t="inlineStr"/>
      <c r="N725" s="92" t="inlineStr">
        <is>
          <t>10 EVIDENCE &amp; DECISIONS</t>
        </is>
      </c>
    </row>
    <row r="726" ht="34" customHeight="1">
      <c r="A726" s="34" t="inlineStr">
        <is>
          <t>Contractor Programme</t>
        </is>
      </c>
      <c r="B726" s="34" t="inlineStr">
        <is>
          <t>SCH-03-033</t>
        </is>
      </c>
      <c r="C726" s="34" t="inlineStr">
        <is>
          <t>West wayside: wayside interface test - field start</t>
        </is>
      </c>
      <c r="D726" s="34" t="inlineStr">
        <is>
          <t>WBS Code = 1.3.2</t>
        </is>
      </c>
      <c r="E726" s="34" t="inlineStr">
        <is>
          <t>R393-v1</t>
        </is>
      </c>
      <c r="F726" s="34" t="inlineStr">
        <is>
          <t>1.3.2 Systems - Signalling &amp; Train Control</t>
        </is>
      </c>
      <c r="G726" s="34" t="inlineStr">
        <is>
          <t>ONE_TO_ONE</t>
        </is>
      </c>
      <c r="H726" s="34" t="inlineStr">
        <is>
          <t>APPROVED</t>
        </is>
      </c>
      <c r="I726" s="34" t="inlineStr">
        <is>
          <t>New</t>
        </is>
      </c>
      <c r="J726" s="34" t="inlineStr">
        <is>
          <t>Source assignment -- not individually reviewed</t>
        </is>
      </c>
      <c r="K726" s="39" t="inlineStr"/>
      <c r="L726" s="14" t="inlineStr"/>
      <c r="M726" s="14" t="inlineStr"/>
      <c r="N726" s="92" t="inlineStr">
        <is>
          <t>10 EVIDENCE &amp; DECISIONS</t>
        </is>
      </c>
    </row>
    <row r="727" ht="34" customHeight="1">
      <c r="A727" s="34" t="inlineStr">
        <is>
          <t>Contractor Programme</t>
        </is>
      </c>
      <c r="B727" s="34" t="inlineStr">
        <is>
          <t>SCH-03-036</t>
        </is>
      </c>
      <c r="C727" s="34" t="inlineStr">
        <is>
          <t>Harbour Station: control-centre integration - turnover</t>
        </is>
      </c>
      <c r="D727" s="34" t="inlineStr">
        <is>
          <t>WBS Code = 1.3.2</t>
        </is>
      </c>
      <c r="E727" s="34" t="inlineStr">
        <is>
          <t>R396-v1</t>
        </is>
      </c>
      <c r="F727" s="34" t="inlineStr">
        <is>
          <t>1.3.2 Systems - Signalling &amp; Train Control</t>
        </is>
      </c>
      <c r="G727" s="34" t="inlineStr">
        <is>
          <t>ONE_TO_ONE</t>
        </is>
      </c>
      <c r="H727" s="34" t="inlineStr">
        <is>
          <t>APPROVED</t>
        </is>
      </c>
      <c r="I727" s="34" t="inlineStr">
        <is>
          <t>New</t>
        </is>
      </c>
      <c r="J727" s="34" t="inlineStr">
        <is>
          <t>Source assignment -- not individually reviewed</t>
        </is>
      </c>
      <c r="K727" s="39" t="inlineStr"/>
      <c r="L727" s="14" t="inlineStr"/>
      <c r="M727" s="14" t="inlineStr"/>
      <c r="N727" s="92" t="inlineStr">
        <is>
          <t>10 EVIDENCE &amp; DECISIONS</t>
        </is>
      </c>
    </row>
    <row r="728" ht="34" customHeight="1">
      <c r="A728" s="34" t="inlineStr">
        <is>
          <t>Contractor Programme</t>
        </is>
      </c>
      <c r="B728" s="34" t="inlineStr">
        <is>
          <t>SCH-03-039</t>
        </is>
      </c>
      <c r="C728" s="34" t="inlineStr">
        <is>
          <t>East substation: traction-power feeder pull - installation</t>
        </is>
      </c>
      <c r="D728" s="34" t="inlineStr">
        <is>
          <t>WBS Code = 1.3.2</t>
        </is>
      </c>
      <c r="E728" s="34" t="inlineStr">
        <is>
          <t>R399-v1</t>
        </is>
      </c>
      <c r="F728" s="34" t="inlineStr">
        <is>
          <t>1.3.2 Systems - Signalling &amp; Train Control</t>
        </is>
      </c>
      <c r="G728" s="34" t="inlineStr">
        <is>
          <t>ONE_TO_ONE</t>
        </is>
      </c>
      <c r="H728" s="34" t="inlineStr">
        <is>
          <t>APPROVED</t>
        </is>
      </c>
      <c r="I728" s="34" t="inlineStr">
        <is>
          <t>New</t>
        </is>
      </c>
      <c r="J728" s="34" t="inlineStr">
        <is>
          <t>Source assignment -- not individually reviewed</t>
        </is>
      </c>
      <c r="K728" s="39" t="inlineStr"/>
      <c r="L728" s="14" t="inlineStr"/>
      <c r="M728" s="14" t="inlineStr"/>
      <c r="N728" s="92" t="inlineStr">
        <is>
          <t>10 EVIDENCE &amp; DECISIONS</t>
        </is>
      </c>
    </row>
    <row r="729" ht="34" customHeight="1">
      <c r="A729" s="34" t="inlineStr">
        <is>
          <t>Contractor Programme</t>
        </is>
      </c>
      <c r="B729" s="34" t="inlineStr">
        <is>
          <t>SCH-03-042</t>
        </is>
      </c>
      <c r="C729" s="34" t="inlineStr">
        <is>
          <t>Control Centre: signal equipment installation - release</t>
        </is>
      </c>
      <c r="D729" s="34" t="inlineStr">
        <is>
          <t>WBS Code = 1.3.2</t>
        </is>
      </c>
      <c r="E729" s="34" t="inlineStr">
        <is>
          <t>R402-v1</t>
        </is>
      </c>
      <c r="F729" s="34" t="inlineStr">
        <is>
          <t>1.3.2 Systems - Signalling &amp; Train Control</t>
        </is>
      </c>
      <c r="G729" s="34" t="inlineStr">
        <is>
          <t>ONE_TO_ONE</t>
        </is>
      </c>
      <c r="H729" s="34" t="inlineStr">
        <is>
          <t>APPROVED</t>
        </is>
      </c>
      <c r="I729" s="34" t="inlineStr">
        <is>
          <t>New</t>
        </is>
      </c>
      <c r="J729" s="34" t="inlineStr">
        <is>
          <t>Source assignment -- not individually reviewed</t>
        </is>
      </c>
      <c r="K729" s="39" t="inlineStr"/>
      <c r="L729" s="14" t="inlineStr"/>
      <c r="M729" s="14" t="inlineStr"/>
      <c r="N729" s="92" t="inlineStr">
        <is>
          <t>10 EVIDENCE &amp; DECISIONS</t>
        </is>
      </c>
    </row>
    <row r="730" ht="34" customHeight="1">
      <c r="A730" s="34" t="inlineStr">
        <is>
          <t>Contractor Programme</t>
        </is>
      </c>
      <c r="B730" s="34" t="inlineStr">
        <is>
          <t>SCH-03-045</t>
        </is>
      </c>
      <c r="C730" s="34" t="inlineStr">
        <is>
          <t>Central interlocking: fibre backbone termination - inspection</t>
        </is>
      </c>
      <c r="D730" s="34" t="inlineStr">
        <is>
          <t>WBS Code = 1.3.2</t>
        </is>
      </c>
      <c r="E730" s="34" t="inlineStr">
        <is>
          <t>R405-v1</t>
        </is>
      </c>
      <c r="F730" s="34" t="inlineStr">
        <is>
          <t>1.3.2 Systems - Signalling &amp; Train Control</t>
        </is>
      </c>
      <c r="G730" s="34" t="inlineStr">
        <is>
          <t>ONE_TO_ONE</t>
        </is>
      </c>
      <c r="H730" s="34" t="inlineStr">
        <is>
          <t>APPROVED</t>
        </is>
      </c>
      <c r="I730" s="34" t="inlineStr">
        <is>
          <t>New</t>
        </is>
      </c>
      <c r="J730" s="34" t="inlineStr">
        <is>
          <t>Source assignment -- not individually reviewed</t>
        </is>
      </c>
      <c r="K730" s="39" t="inlineStr"/>
      <c r="L730" s="14" t="inlineStr"/>
      <c r="M730" s="14" t="inlineStr"/>
      <c r="N730" s="92" t="inlineStr">
        <is>
          <t>10 EVIDENCE &amp; DECISIONS</t>
        </is>
      </c>
    </row>
    <row r="731" ht="34" customHeight="1">
      <c r="A731" s="34" t="inlineStr">
        <is>
          <t>Contractor Programme</t>
        </is>
      </c>
      <c r="B731" s="34" t="inlineStr">
        <is>
          <t>SCH-03-048</t>
        </is>
      </c>
      <c r="C731" s="34" t="inlineStr">
        <is>
          <t>West wayside: train-control cabinet fit-out - field start</t>
        </is>
      </c>
      <c r="D731" s="34" t="inlineStr">
        <is>
          <t>WBS Code = 1.3.2</t>
        </is>
      </c>
      <c r="E731" s="34" t="inlineStr">
        <is>
          <t>R408-v1</t>
        </is>
      </c>
      <c r="F731" s="34" t="inlineStr">
        <is>
          <t>1.3.2 Systems - Signalling &amp; Train Control</t>
        </is>
      </c>
      <c r="G731" s="34" t="inlineStr">
        <is>
          <t>ONE_TO_ONE</t>
        </is>
      </c>
      <c r="H731" s="34" t="inlineStr">
        <is>
          <t>APPROVED</t>
        </is>
      </c>
      <c r="I731" s="34" t="inlineStr">
        <is>
          <t>New</t>
        </is>
      </c>
      <c r="J731" s="34" t="inlineStr">
        <is>
          <t>Source assignment -- not individually reviewed</t>
        </is>
      </c>
      <c r="K731" s="39" t="inlineStr"/>
      <c r="L731" s="14" t="inlineStr"/>
      <c r="M731" s="14" t="inlineStr"/>
      <c r="N731" s="92" t="inlineStr">
        <is>
          <t>10 EVIDENCE &amp; DECISIONS</t>
        </is>
      </c>
    </row>
    <row r="732" ht="34" customHeight="1">
      <c r="A732" s="34" t="inlineStr">
        <is>
          <t>Contractor Programme</t>
        </is>
      </c>
      <c r="B732" s="34" t="inlineStr">
        <is>
          <t>SCH-03-051</t>
        </is>
      </c>
      <c r="C732" s="34" t="inlineStr">
        <is>
          <t>Harbour Station: radio equipment installation - turnover</t>
        </is>
      </c>
      <c r="D732" s="34" t="inlineStr">
        <is>
          <t>WBS Code = 1.3.2</t>
        </is>
      </c>
      <c r="E732" s="34" t="inlineStr">
        <is>
          <t>R411-v1</t>
        </is>
      </c>
      <c r="F732" s="34" t="inlineStr">
        <is>
          <t>1.3.2 Systems - Signalling &amp; Train Control</t>
        </is>
      </c>
      <c r="G732" s="34" t="inlineStr">
        <is>
          <t>ONE_TO_ONE</t>
        </is>
      </c>
      <c r="H732" s="34" t="inlineStr">
        <is>
          <t>APPROVED</t>
        </is>
      </c>
      <c r="I732" s="34" t="inlineStr">
        <is>
          <t>New</t>
        </is>
      </c>
      <c r="J732" s="34" t="inlineStr">
        <is>
          <t>Source assignment -- not individually reviewed</t>
        </is>
      </c>
      <c r="K732" s="39" t="inlineStr"/>
      <c r="L732" s="14" t="inlineStr"/>
      <c r="M732" s="14" t="inlineStr"/>
      <c r="N732" s="92" t="inlineStr">
        <is>
          <t>10 EVIDENCE &amp; DECISIONS</t>
        </is>
      </c>
    </row>
    <row r="733" ht="34" customHeight="1">
      <c r="A733" s="34" t="inlineStr">
        <is>
          <t>Contractor Programme</t>
        </is>
      </c>
      <c r="B733" s="34" t="inlineStr">
        <is>
          <t>SCH-03-054</t>
        </is>
      </c>
      <c r="C733" s="34" t="inlineStr">
        <is>
          <t>East substation: SCADA point-to-point check - installation</t>
        </is>
      </c>
      <c r="D733" s="34" t="inlineStr">
        <is>
          <t>WBS Code = 1.3.2</t>
        </is>
      </c>
      <c r="E733" s="34" t="inlineStr">
        <is>
          <t>R414-v1</t>
        </is>
      </c>
      <c r="F733" s="34" t="inlineStr">
        <is>
          <t>1.3.2 Systems - Signalling &amp; Train Control</t>
        </is>
      </c>
      <c r="G733" s="34" t="inlineStr">
        <is>
          <t>ONE_TO_ONE</t>
        </is>
      </c>
      <c r="H733" s="34" t="inlineStr">
        <is>
          <t>APPROVED</t>
        </is>
      </c>
      <c r="I733" s="34" t="inlineStr">
        <is>
          <t>New</t>
        </is>
      </c>
      <c r="J733" s="34" t="inlineStr">
        <is>
          <t>Source assignment -- not individually reviewed</t>
        </is>
      </c>
      <c r="K733" s="39" t="inlineStr"/>
      <c r="L733" s="14" t="inlineStr"/>
      <c r="M733" s="14" t="inlineStr"/>
      <c r="N733" s="92" t="inlineStr">
        <is>
          <t>10 EVIDENCE &amp; DECISIONS</t>
        </is>
      </c>
    </row>
    <row r="734" ht="34" customHeight="1">
      <c r="A734" s="34" t="inlineStr">
        <is>
          <t>Contractor Programme</t>
        </is>
      </c>
      <c r="B734" s="34" t="inlineStr">
        <is>
          <t>SCH-03-057</t>
        </is>
      </c>
      <c r="C734" s="34" t="inlineStr">
        <is>
          <t>Control Centre: wayside interface test - release</t>
        </is>
      </c>
      <c r="D734" s="34" t="inlineStr">
        <is>
          <t>WBS Code = 1.3.2</t>
        </is>
      </c>
      <c r="E734" s="34" t="inlineStr">
        <is>
          <t>R417-v1</t>
        </is>
      </c>
      <c r="F734" s="34" t="inlineStr">
        <is>
          <t>1.3.2 Systems - Signalling &amp; Train Control</t>
        </is>
      </c>
      <c r="G734" s="34" t="inlineStr">
        <is>
          <t>ONE_TO_ONE</t>
        </is>
      </c>
      <c r="H734" s="34" t="inlineStr">
        <is>
          <t>APPROVED</t>
        </is>
      </c>
      <c r="I734" s="34" t="inlineStr">
        <is>
          <t>New</t>
        </is>
      </c>
      <c r="J734" s="34" t="inlineStr">
        <is>
          <t>Source assignment -- not individually reviewed</t>
        </is>
      </c>
      <c r="K734" s="39" t="inlineStr"/>
      <c r="L734" s="14" t="inlineStr"/>
      <c r="M734" s="14" t="inlineStr"/>
      <c r="N734" s="92" t="inlineStr">
        <is>
          <t>10 EVIDENCE &amp; DECISIONS</t>
        </is>
      </c>
    </row>
    <row r="735" ht="34" customHeight="1">
      <c r="A735" s="34" t="inlineStr">
        <is>
          <t>Contractor Programme</t>
        </is>
      </c>
      <c r="B735" s="34" t="inlineStr">
        <is>
          <t>SCH-03-060</t>
        </is>
      </c>
      <c r="C735" s="34" t="inlineStr">
        <is>
          <t>Central interlocking: control-centre integration - inspection</t>
        </is>
      </c>
      <c r="D735" s="34" t="inlineStr">
        <is>
          <t>WBS Code = 1.3.2</t>
        </is>
      </c>
      <c r="E735" s="34" t="inlineStr">
        <is>
          <t>R420-v1</t>
        </is>
      </c>
      <c r="F735" s="34" t="inlineStr">
        <is>
          <t>1.3.2 Systems - Signalling &amp; Train Control</t>
        </is>
      </c>
      <c r="G735" s="34" t="inlineStr">
        <is>
          <t>ONE_TO_ONE</t>
        </is>
      </c>
      <c r="H735" s="34" t="inlineStr">
        <is>
          <t>APPROVED</t>
        </is>
      </c>
      <c r="I735" s="34" t="inlineStr">
        <is>
          <t>New</t>
        </is>
      </c>
      <c r="J735" s="34" t="inlineStr">
        <is>
          <t>Source assignment -- not individually reviewed</t>
        </is>
      </c>
      <c r="K735" s="39" t="inlineStr"/>
      <c r="L735" s="14" t="inlineStr"/>
      <c r="M735" s="14" t="inlineStr"/>
      <c r="N735" s="92" t="inlineStr">
        <is>
          <t>10 EVIDENCE &amp; DECISIONS</t>
        </is>
      </c>
    </row>
    <row r="736" ht="34" customHeight="1">
      <c r="A736" s="34" t="inlineStr">
        <is>
          <t>Contractor Programme</t>
        </is>
      </c>
      <c r="B736" s="34" t="inlineStr">
        <is>
          <t>SCH-03-063</t>
        </is>
      </c>
      <c r="C736" s="34" t="inlineStr">
        <is>
          <t>West wayside: traction-power feeder pull - field start</t>
        </is>
      </c>
      <c r="D736" s="34" t="inlineStr">
        <is>
          <t>WBS Code = 1.3.2</t>
        </is>
      </c>
      <c r="E736" s="34" t="inlineStr">
        <is>
          <t>R423-v1</t>
        </is>
      </c>
      <c r="F736" s="34" t="inlineStr">
        <is>
          <t>1.3.2 Systems - Signalling &amp; Train Control</t>
        </is>
      </c>
      <c r="G736" s="34" t="inlineStr">
        <is>
          <t>ONE_TO_ONE</t>
        </is>
      </c>
      <c r="H736" s="34" t="inlineStr">
        <is>
          <t>APPROVED</t>
        </is>
      </c>
      <c r="I736" s="34" t="inlineStr">
        <is>
          <t>New</t>
        </is>
      </c>
      <c r="J736" s="34" t="inlineStr">
        <is>
          <t>Source assignment -- not individually reviewed</t>
        </is>
      </c>
      <c r="K736" s="39" t="inlineStr"/>
      <c r="L736" s="14" t="inlineStr"/>
      <c r="M736" s="14" t="inlineStr"/>
      <c r="N736" s="92" t="inlineStr">
        <is>
          <t>10 EVIDENCE &amp; DECISIONS</t>
        </is>
      </c>
    </row>
    <row r="737" ht="34" customHeight="1">
      <c r="A737" s="34" t="inlineStr">
        <is>
          <t>Contractor Programme</t>
        </is>
      </c>
      <c r="B737" s="34" t="inlineStr">
        <is>
          <t>SCH-03-066</t>
        </is>
      </c>
      <c r="C737" s="34" t="inlineStr">
        <is>
          <t>Harbour Station: signal equipment installation - turnover</t>
        </is>
      </c>
      <c r="D737" s="34" t="inlineStr">
        <is>
          <t>WBS Code = 1.3.2</t>
        </is>
      </c>
      <c r="E737" s="34" t="inlineStr">
        <is>
          <t>R426-v1</t>
        </is>
      </c>
      <c r="F737" s="34" t="inlineStr">
        <is>
          <t>1.3.2 Systems - Signalling &amp; Train Control</t>
        </is>
      </c>
      <c r="G737" s="34" t="inlineStr">
        <is>
          <t>ONE_TO_ONE</t>
        </is>
      </c>
      <c r="H737" s="34" t="inlineStr">
        <is>
          <t>APPROVED</t>
        </is>
      </c>
      <c r="I737" s="34" t="inlineStr">
        <is>
          <t>New</t>
        </is>
      </c>
      <c r="J737" s="34" t="inlineStr">
        <is>
          <t>Source assignment -- not individually reviewed</t>
        </is>
      </c>
      <c r="K737" s="39" t="inlineStr"/>
      <c r="L737" s="14" t="inlineStr"/>
      <c r="M737" s="14" t="inlineStr"/>
      <c r="N737" s="92" t="inlineStr">
        <is>
          <t>10 EVIDENCE &amp; DECISIONS</t>
        </is>
      </c>
    </row>
    <row r="738" ht="34" customHeight="1">
      <c r="A738" s="34" t="inlineStr">
        <is>
          <t>Contractor Programme</t>
        </is>
      </c>
      <c r="B738" s="34" t="inlineStr">
        <is>
          <t>SCH-03-069</t>
        </is>
      </c>
      <c r="C738" s="34" t="inlineStr">
        <is>
          <t>East substation: fibre backbone termination - installation</t>
        </is>
      </c>
      <c r="D738" s="34" t="inlineStr">
        <is>
          <t>WBS Code = 1.3.2</t>
        </is>
      </c>
      <c r="E738" s="34" t="inlineStr">
        <is>
          <t>R429-v1</t>
        </is>
      </c>
      <c r="F738" s="34" t="inlineStr">
        <is>
          <t>1.3.2 Systems - Signalling &amp; Train Control</t>
        </is>
      </c>
      <c r="G738" s="34" t="inlineStr">
        <is>
          <t>ONE_TO_ONE</t>
        </is>
      </c>
      <c r="H738" s="34" t="inlineStr">
        <is>
          <t>APPROVED</t>
        </is>
      </c>
      <c r="I738" s="34" t="inlineStr">
        <is>
          <t>New</t>
        </is>
      </c>
      <c r="J738" s="34" t="inlineStr">
        <is>
          <t>Source assignment -- not individually reviewed</t>
        </is>
      </c>
      <c r="K738" s="39" t="inlineStr"/>
      <c r="L738" s="14" t="inlineStr"/>
      <c r="M738" s="14" t="inlineStr"/>
      <c r="N738" s="92" t="inlineStr">
        <is>
          <t>10 EVIDENCE &amp; DECISIONS</t>
        </is>
      </c>
    </row>
    <row r="739" ht="34" customHeight="1">
      <c r="A739" s="34" t="inlineStr">
        <is>
          <t>Contractor Programme</t>
        </is>
      </c>
      <c r="B739" s="34" t="inlineStr">
        <is>
          <t>SCH-03-072</t>
        </is>
      </c>
      <c r="C739" s="34" t="inlineStr">
        <is>
          <t>Control Centre: train-control cabinet fit-out - release</t>
        </is>
      </c>
      <c r="D739" s="34" t="inlineStr">
        <is>
          <t>WBS Code = 1.3.2</t>
        </is>
      </c>
      <c r="E739" s="34" t="inlineStr">
        <is>
          <t>R432-v1</t>
        </is>
      </c>
      <c r="F739" s="34" t="inlineStr">
        <is>
          <t>1.3.2 Systems - Signalling &amp; Train Control</t>
        </is>
      </c>
      <c r="G739" s="34" t="inlineStr">
        <is>
          <t>ONE_TO_ONE</t>
        </is>
      </c>
      <c r="H739" s="34" t="inlineStr">
        <is>
          <t>APPROVED</t>
        </is>
      </c>
      <c r="I739" s="34" t="inlineStr">
        <is>
          <t>New</t>
        </is>
      </c>
      <c r="J739" s="34" t="inlineStr">
        <is>
          <t>Source assignment -- not individually reviewed</t>
        </is>
      </c>
      <c r="K739" s="39" t="inlineStr"/>
      <c r="L739" s="14" t="inlineStr"/>
      <c r="M739" s="14" t="inlineStr"/>
      <c r="N739" s="92" t="inlineStr">
        <is>
          <t>10 EVIDENCE &amp; DECISIONS</t>
        </is>
      </c>
    </row>
    <row r="740" ht="34" customHeight="1">
      <c r="A740" s="34" t="inlineStr">
        <is>
          <t>Contractor Programme</t>
        </is>
      </c>
      <c r="B740" s="34" t="inlineStr">
        <is>
          <t>SCH-03-075</t>
        </is>
      </c>
      <c r="C740" s="34" t="inlineStr">
        <is>
          <t>Central interlocking: radio equipment installation - inspection</t>
        </is>
      </c>
      <c r="D740" s="34" t="inlineStr">
        <is>
          <t>WBS Code = 1.3.2</t>
        </is>
      </c>
      <c r="E740" s="34" t="inlineStr">
        <is>
          <t>R435-v1</t>
        </is>
      </c>
      <c r="F740" s="34" t="inlineStr">
        <is>
          <t>1.3.2 Systems - Signalling &amp; Train Control</t>
        </is>
      </c>
      <c r="G740" s="34" t="inlineStr">
        <is>
          <t>ONE_TO_ONE</t>
        </is>
      </c>
      <c r="H740" s="34" t="inlineStr">
        <is>
          <t>APPROVED</t>
        </is>
      </c>
      <c r="I740" s="34" t="inlineStr">
        <is>
          <t>New</t>
        </is>
      </c>
      <c r="J740" s="34" t="inlineStr">
        <is>
          <t>Source assignment -- not individually reviewed</t>
        </is>
      </c>
      <c r="K740" s="39" t="inlineStr"/>
      <c r="L740" s="14" t="inlineStr"/>
      <c r="M740" s="14" t="inlineStr"/>
      <c r="N740" s="92" t="inlineStr">
        <is>
          <t>10 EVIDENCE &amp; DECISIONS</t>
        </is>
      </c>
    </row>
    <row r="741" ht="34" customHeight="1">
      <c r="A741" s="34" t="inlineStr">
        <is>
          <t>Contractor Programme</t>
        </is>
      </c>
      <c r="B741" s="34" t="inlineStr">
        <is>
          <t>SCH-03-078</t>
        </is>
      </c>
      <c r="C741" s="34" t="inlineStr">
        <is>
          <t>West wayside: SCADA point-to-point check - field start</t>
        </is>
      </c>
      <c r="D741" s="34" t="inlineStr">
        <is>
          <t>WBS Code = 1.3.2</t>
        </is>
      </c>
      <c r="E741" s="34" t="inlineStr">
        <is>
          <t>R438-v1</t>
        </is>
      </c>
      <c r="F741" s="34" t="inlineStr">
        <is>
          <t>1.3.2 Systems - Signalling &amp; Train Control</t>
        </is>
      </c>
      <c r="G741" s="34" t="inlineStr">
        <is>
          <t>ONE_TO_ONE</t>
        </is>
      </c>
      <c r="H741" s="34" t="inlineStr">
        <is>
          <t>APPROVED</t>
        </is>
      </c>
      <c r="I741" s="34" t="inlineStr">
        <is>
          <t>New</t>
        </is>
      </c>
      <c r="J741" s="34" t="inlineStr">
        <is>
          <t>Source assignment -- not individually reviewed</t>
        </is>
      </c>
      <c r="K741" s="39" t="inlineStr"/>
      <c r="L741" s="14" t="inlineStr"/>
      <c r="M741" s="14" t="inlineStr"/>
      <c r="N741" s="92" t="inlineStr">
        <is>
          <t>10 EVIDENCE &amp; DECISIONS</t>
        </is>
      </c>
    </row>
    <row r="742" ht="34" customHeight="1">
      <c r="A742" s="34" t="inlineStr">
        <is>
          <t>Contractor Programme</t>
        </is>
      </c>
      <c r="B742" s="34" t="inlineStr">
        <is>
          <t>SCH-03-081</t>
        </is>
      </c>
      <c r="C742" s="34" t="inlineStr">
        <is>
          <t>Harbour Station: wayside interface test - turnover</t>
        </is>
      </c>
      <c r="D742" s="34" t="inlineStr">
        <is>
          <t>WBS Code = 1.3.2</t>
        </is>
      </c>
      <c r="E742" s="34" t="inlineStr">
        <is>
          <t>R441-v1</t>
        </is>
      </c>
      <c r="F742" s="34" t="inlineStr">
        <is>
          <t>1.3.2 Systems - Signalling &amp; Train Control</t>
        </is>
      </c>
      <c r="G742" s="34" t="inlineStr">
        <is>
          <t>ONE_TO_ONE</t>
        </is>
      </c>
      <c r="H742" s="34" t="inlineStr">
        <is>
          <t>APPROVED</t>
        </is>
      </c>
      <c r="I742" s="34" t="inlineStr">
        <is>
          <t>New</t>
        </is>
      </c>
      <c r="J742" s="34" t="inlineStr">
        <is>
          <t>Source assignment -- not individually reviewed</t>
        </is>
      </c>
      <c r="K742" s="39" t="inlineStr"/>
      <c r="L742" s="14" t="inlineStr"/>
      <c r="M742" s="14" t="inlineStr"/>
      <c r="N742" s="92" t="inlineStr">
        <is>
          <t>10 EVIDENCE &amp; DECISIONS</t>
        </is>
      </c>
    </row>
    <row r="743" ht="34" customHeight="1">
      <c r="A743" s="34" t="inlineStr">
        <is>
          <t>Contractor Programme</t>
        </is>
      </c>
      <c r="B743" s="34" t="inlineStr">
        <is>
          <t>SCH-03-084</t>
        </is>
      </c>
      <c r="C743" s="34" t="inlineStr">
        <is>
          <t>East substation: control-centre integration - installation</t>
        </is>
      </c>
      <c r="D743" s="34" t="inlineStr">
        <is>
          <t>WBS Code = 1.3.2</t>
        </is>
      </c>
      <c r="E743" s="34" t="inlineStr">
        <is>
          <t>R444-v1</t>
        </is>
      </c>
      <c r="F743" s="34" t="inlineStr">
        <is>
          <t>1.3.2 Systems - Signalling &amp; Train Control</t>
        </is>
      </c>
      <c r="G743" s="34" t="inlineStr">
        <is>
          <t>ONE_TO_ONE</t>
        </is>
      </c>
      <c r="H743" s="34" t="inlineStr">
        <is>
          <t>APPROVED</t>
        </is>
      </c>
      <c r="I743" s="34" t="inlineStr">
        <is>
          <t>New</t>
        </is>
      </c>
      <c r="J743" s="34" t="inlineStr">
        <is>
          <t>Source assignment -- not individually reviewed</t>
        </is>
      </c>
      <c r="K743" s="39" t="inlineStr"/>
      <c r="L743" s="14" t="inlineStr"/>
      <c r="M743" s="14" t="inlineStr"/>
      <c r="N743" s="92" t="inlineStr">
        <is>
          <t>10 EVIDENCE &amp; DECISIONS</t>
        </is>
      </c>
    </row>
    <row r="744" ht="34" customHeight="1">
      <c r="A744" s="34" t="inlineStr">
        <is>
          <t>Contractor Programme</t>
        </is>
      </c>
      <c r="B744" s="34" t="inlineStr">
        <is>
          <t>SCH-03-087</t>
        </is>
      </c>
      <c r="C744" s="34" t="inlineStr">
        <is>
          <t>Control Centre: traction-power feeder pull - release</t>
        </is>
      </c>
      <c r="D744" s="34" t="inlineStr">
        <is>
          <t>WBS Code = 1.3.2</t>
        </is>
      </c>
      <c r="E744" s="34" t="inlineStr">
        <is>
          <t>R447-v1</t>
        </is>
      </c>
      <c r="F744" s="34" t="inlineStr">
        <is>
          <t>1.3.2 Systems - Signalling &amp; Train Control</t>
        </is>
      </c>
      <c r="G744" s="34" t="inlineStr">
        <is>
          <t>ONE_TO_ONE</t>
        </is>
      </c>
      <c r="H744" s="34" t="inlineStr">
        <is>
          <t>APPROVED</t>
        </is>
      </c>
      <c r="I744" s="34" t="inlineStr">
        <is>
          <t>New</t>
        </is>
      </c>
      <c r="J744" s="34" t="inlineStr">
        <is>
          <t>Source assignment -- not individually reviewed</t>
        </is>
      </c>
      <c r="K744" s="39" t="inlineStr"/>
      <c r="L744" s="14" t="inlineStr"/>
      <c r="M744" s="14" t="inlineStr"/>
      <c r="N744" s="92" t="inlineStr">
        <is>
          <t>10 EVIDENCE &amp; DECISIONS</t>
        </is>
      </c>
    </row>
    <row r="745" ht="34" customHeight="1">
      <c r="A745" s="34" t="inlineStr">
        <is>
          <t>Contractor Programme</t>
        </is>
      </c>
      <c r="B745" s="34" t="inlineStr">
        <is>
          <t>SCH-03-090</t>
        </is>
      </c>
      <c r="C745" s="34" t="inlineStr">
        <is>
          <t>Central interlocking: signal equipment installation - inspection</t>
        </is>
      </c>
      <c r="D745" s="34" t="inlineStr">
        <is>
          <t>WBS Code = 1.3.2</t>
        </is>
      </c>
      <c r="E745" s="34" t="inlineStr">
        <is>
          <t>R450-v1</t>
        </is>
      </c>
      <c r="F745" s="34" t="inlineStr">
        <is>
          <t>1.3.2 Systems - Signalling &amp; Train Control</t>
        </is>
      </c>
      <c r="G745" s="34" t="inlineStr">
        <is>
          <t>ONE_TO_ONE</t>
        </is>
      </c>
      <c r="H745" s="34" t="inlineStr">
        <is>
          <t>APPROVED</t>
        </is>
      </c>
      <c r="I745" s="34" t="inlineStr">
        <is>
          <t>New</t>
        </is>
      </c>
      <c r="J745" s="34" t="inlineStr">
        <is>
          <t>Source assignment -- not individually reviewed</t>
        </is>
      </c>
      <c r="K745" s="39" t="inlineStr"/>
      <c r="L745" s="14" t="inlineStr"/>
      <c r="M745" s="14" t="inlineStr"/>
      <c r="N745" s="92" t="inlineStr">
        <is>
          <t>10 EVIDENCE &amp; DECISIONS</t>
        </is>
      </c>
    </row>
    <row r="746" ht="34" customHeight="1">
      <c r="A746" s="34" t="inlineStr">
        <is>
          <t>Contractor Programme</t>
        </is>
      </c>
      <c r="B746" s="34" t="inlineStr">
        <is>
          <t>SCH-03-093</t>
        </is>
      </c>
      <c r="C746" s="34" t="inlineStr">
        <is>
          <t>West wayside: fibre backbone termination - field start</t>
        </is>
      </c>
      <c r="D746" s="34" t="inlineStr">
        <is>
          <t>WBS Code = 1.3.2</t>
        </is>
      </c>
      <c r="E746" s="34" t="inlineStr">
        <is>
          <t>R453-v1</t>
        </is>
      </c>
      <c r="F746" s="34" t="inlineStr">
        <is>
          <t>1.3.2 Systems - Signalling &amp; Train Control</t>
        </is>
      </c>
      <c r="G746" s="34" t="inlineStr">
        <is>
          <t>ONE_TO_ONE</t>
        </is>
      </c>
      <c r="H746" s="34" t="inlineStr">
        <is>
          <t>APPROVED</t>
        </is>
      </c>
      <c r="I746" s="34" t="inlineStr">
        <is>
          <t>New</t>
        </is>
      </c>
      <c r="J746" s="34" t="inlineStr">
        <is>
          <t>Source assignment -- not individually reviewed</t>
        </is>
      </c>
      <c r="K746" s="39" t="inlineStr"/>
      <c r="L746" s="14" t="inlineStr"/>
      <c r="M746" s="14" t="inlineStr"/>
      <c r="N746" s="92" t="inlineStr">
        <is>
          <t>10 EVIDENCE &amp; DECISIONS</t>
        </is>
      </c>
    </row>
    <row r="747" ht="34" customHeight="1">
      <c r="A747" s="34" t="inlineStr">
        <is>
          <t>Contractor Programme</t>
        </is>
      </c>
      <c r="B747" s="34" t="inlineStr">
        <is>
          <t>SCH-03-096</t>
        </is>
      </c>
      <c r="C747" s="34" t="inlineStr">
        <is>
          <t>Harbour Station: train-control cabinet fit-out - turnover</t>
        </is>
      </c>
      <c r="D747" s="34" t="inlineStr">
        <is>
          <t>WBS Code = 1.3.2</t>
        </is>
      </c>
      <c r="E747" s="34" t="inlineStr">
        <is>
          <t>R456-v1</t>
        </is>
      </c>
      <c r="F747" s="34" t="inlineStr">
        <is>
          <t>1.3.2 Systems - Signalling &amp; Train Control</t>
        </is>
      </c>
      <c r="G747" s="34" t="inlineStr">
        <is>
          <t>ONE_TO_ONE</t>
        </is>
      </c>
      <c r="H747" s="34" t="inlineStr">
        <is>
          <t>APPROVED</t>
        </is>
      </c>
      <c r="I747" s="34" t="inlineStr">
        <is>
          <t>New</t>
        </is>
      </c>
      <c r="J747" s="34" t="inlineStr">
        <is>
          <t>Source assignment -- not individually reviewed</t>
        </is>
      </c>
      <c r="K747" s="39" t="inlineStr"/>
      <c r="L747" s="14" t="inlineStr"/>
      <c r="M747" s="14" t="inlineStr"/>
      <c r="N747" s="92" t="inlineStr">
        <is>
          <t>10 EVIDENCE &amp; DECISIONS</t>
        </is>
      </c>
    </row>
    <row r="748" ht="34" customHeight="1">
      <c r="A748" s="34" t="inlineStr">
        <is>
          <t>Contractor Programme</t>
        </is>
      </c>
      <c r="B748" s="34" t="inlineStr">
        <is>
          <t>SCH-03-099</t>
        </is>
      </c>
      <c r="C748" s="34" t="inlineStr">
        <is>
          <t>East substation: radio equipment installation - installation</t>
        </is>
      </c>
      <c r="D748" s="34" t="inlineStr">
        <is>
          <t>WBS Code = 1.3.2</t>
        </is>
      </c>
      <c r="E748" s="34" t="inlineStr">
        <is>
          <t>R459-v1</t>
        </is>
      </c>
      <c r="F748" s="34" t="inlineStr">
        <is>
          <t>1.3.2 Systems - Signalling &amp; Train Control</t>
        </is>
      </c>
      <c r="G748" s="34" t="inlineStr">
        <is>
          <t>ONE_TO_ONE</t>
        </is>
      </c>
      <c r="H748" s="34" t="inlineStr">
        <is>
          <t>APPROVED</t>
        </is>
      </c>
      <c r="I748" s="34" t="inlineStr">
        <is>
          <t>New</t>
        </is>
      </c>
      <c r="J748" s="34" t="inlineStr">
        <is>
          <t>Source assignment -- not individually reviewed</t>
        </is>
      </c>
      <c r="K748" s="39" t="inlineStr"/>
      <c r="L748" s="14" t="inlineStr"/>
      <c r="M748" s="14" t="inlineStr"/>
      <c r="N748" s="92" t="inlineStr">
        <is>
          <t>10 EVIDENCE &amp; DECISIONS</t>
        </is>
      </c>
    </row>
    <row r="749" ht="34" customHeight="1">
      <c r="A749" s="34" t="inlineStr">
        <is>
          <t>Contractor Programme</t>
        </is>
      </c>
      <c r="B749" s="34" t="inlineStr">
        <is>
          <t>SCH-03-102</t>
        </is>
      </c>
      <c r="C749" s="34" t="inlineStr">
        <is>
          <t>Control Centre: SCADA point-to-point check - release</t>
        </is>
      </c>
      <c r="D749" s="34" t="inlineStr">
        <is>
          <t>WBS Code = 1.3.2</t>
        </is>
      </c>
      <c r="E749" s="34" t="inlineStr">
        <is>
          <t>R462-v1</t>
        </is>
      </c>
      <c r="F749" s="34" t="inlineStr">
        <is>
          <t>1.3.2 Systems - Signalling &amp; Train Control</t>
        </is>
      </c>
      <c r="G749" s="34" t="inlineStr">
        <is>
          <t>ONE_TO_ONE</t>
        </is>
      </c>
      <c r="H749" s="34" t="inlineStr">
        <is>
          <t>APPROVED</t>
        </is>
      </c>
      <c r="I749" s="34" t="inlineStr">
        <is>
          <t>New</t>
        </is>
      </c>
      <c r="J749" s="34" t="inlineStr">
        <is>
          <t>Source assignment -- not individually reviewed</t>
        </is>
      </c>
      <c r="K749" s="39" t="inlineStr"/>
      <c r="L749" s="14" t="inlineStr"/>
      <c r="M749" s="14" t="inlineStr"/>
      <c r="N749" s="92" t="inlineStr">
        <is>
          <t>10 EVIDENCE &amp; DECISIONS</t>
        </is>
      </c>
    </row>
    <row r="750" ht="34" customHeight="1">
      <c r="A750" s="34" t="inlineStr">
        <is>
          <t>Contractor Programme</t>
        </is>
      </c>
      <c r="B750" s="34" t="inlineStr">
        <is>
          <t>SCH-03-105</t>
        </is>
      </c>
      <c r="C750" s="34" t="inlineStr">
        <is>
          <t>Central interlocking: wayside interface test - inspection</t>
        </is>
      </c>
      <c r="D750" s="34" t="inlineStr">
        <is>
          <t>WBS Code = 1.3.2</t>
        </is>
      </c>
      <c r="E750" s="34" t="inlineStr">
        <is>
          <t>R465-v1</t>
        </is>
      </c>
      <c r="F750" s="34" t="inlineStr">
        <is>
          <t>1.3.2 Systems - Signalling &amp; Train Control</t>
        </is>
      </c>
      <c r="G750" s="34" t="inlineStr">
        <is>
          <t>ONE_TO_ONE</t>
        </is>
      </c>
      <c r="H750" s="34" t="inlineStr">
        <is>
          <t>APPROVED</t>
        </is>
      </c>
      <c r="I750" s="34" t="inlineStr">
        <is>
          <t>New</t>
        </is>
      </c>
      <c r="J750" s="34" t="inlineStr">
        <is>
          <t>Source assignment -- not individually reviewed</t>
        </is>
      </c>
      <c r="K750" s="39" t="inlineStr"/>
      <c r="L750" s="14" t="inlineStr"/>
      <c r="M750" s="14" t="inlineStr"/>
      <c r="N750" s="92" t="inlineStr">
        <is>
          <t>10 EVIDENCE &amp; DECISIONS</t>
        </is>
      </c>
    </row>
    <row r="751" ht="34" customHeight="1">
      <c r="A751" s="34" t="inlineStr">
        <is>
          <t>Contractor Programme</t>
        </is>
      </c>
      <c r="B751" s="34" t="inlineStr">
        <is>
          <t>SCH-03-108</t>
        </is>
      </c>
      <c r="C751" s="34" t="inlineStr">
        <is>
          <t>West wayside: control-centre integration - field start</t>
        </is>
      </c>
      <c r="D751" s="34" t="inlineStr">
        <is>
          <t>WBS Code = 1.3.2</t>
        </is>
      </c>
      <c r="E751" s="34" t="inlineStr">
        <is>
          <t>R468-v1</t>
        </is>
      </c>
      <c r="F751" s="34" t="inlineStr">
        <is>
          <t>1.3.2 Systems - Signalling &amp; Train Control</t>
        </is>
      </c>
      <c r="G751" s="34" t="inlineStr">
        <is>
          <t>ONE_TO_ONE</t>
        </is>
      </c>
      <c r="H751" s="34" t="inlineStr">
        <is>
          <t>APPROVED</t>
        </is>
      </c>
      <c r="I751" s="34" t="inlineStr">
        <is>
          <t>New</t>
        </is>
      </c>
      <c r="J751" s="34" t="inlineStr">
        <is>
          <t>Source assignment -- not individually reviewed</t>
        </is>
      </c>
      <c r="K751" s="39" t="inlineStr"/>
      <c r="L751" s="14" t="inlineStr"/>
      <c r="M751" s="14" t="inlineStr"/>
      <c r="N751" s="92" t="inlineStr">
        <is>
          <t>10 EVIDENCE &amp; DECISIONS</t>
        </is>
      </c>
    </row>
    <row r="752" ht="34" customHeight="1">
      <c r="A752" s="34" t="inlineStr">
        <is>
          <t>Contractor Programme</t>
        </is>
      </c>
      <c r="B752" s="34" t="inlineStr">
        <is>
          <t>SCH-03-111</t>
        </is>
      </c>
      <c r="C752" s="34" t="inlineStr">
        <is>
          <t>Harbour Station: traction-power feeder pull - turnover</t>
        </is>
      </c>
      <c r="D752" s="34" t="inlineStr">
        <is>
          <t>WBS Code = 1.3.2</t>
        </is>
      </c>
      <c r="E752" s="34" t="inlineStr">
        <is>
          <t>R471-v1</t>
        </is>
      </c>
      <c r="F752" s="34" t="inlineStr">
        <is>
          <t>1.3.2 Systems - Signalling &amp; Train Control</t>
        </is>
      </c>
      <c r="G752" s="34" t="inlineStr">
        <is>
          <t>ONE_TO_ONE</t>
        </is>
      </c>
      <c r="H752" s="34" t="inlineStr">
        <is>
          <t>APPROVED</t>
        </is>
      </c>
      <c r="I752" s="34" t="inlineStr">
        <is>
          <t>New</t>
        </is>
      </c>
      <c r="J752" s="34" t="inlineStr">
        <is>
          <t>Source assignment -- not individually reviewed</t>
        </is>
      </c>
      <c r="K752" s="39" t="inlineStr"/>
      <c r="L752" s="14" t="inlineStr"/>
      <c r="M752" s="14" t="inlineStr"/>
      <c r="N752" s="92" t="inlineStr">
        <is>
          <t>10 EVIDENCE &amp; DECISIONS</t>
        </is>
      </c>
    </row>
    <row r="753" ht="34" customHeight="1">
      <c r="A753" s="34" t="inlineStr">
        <is>
          <t>Contractor Programme</t>
        </is>
      </c>
      <c r="B753" s="34" t="inlineStr">
        <is>
          <t>SCH-03-114</t>
        </is>
      </c>
      <c r="C753" s="34" t="inlineStr">
        <is>
          <t>East substation: signal equipment installation - installation</t>
        </is>
      </c>
      <c r="D753" s="34" t="inlineStr">
        <is>
          <t>WBS Code = 1.3.2</t>
        </is>
      </c>
      <c r="E753" s="34" t="inlineStr">
        <is>
          <t>R474-v1</t>
        </is>
      </c>
      <c r="F753" s="34" t="inlineStr">
        <is>
          <t>1.3.2 Systems - Signalling &amp; Train Control</t>
        </is>
      </c>
      <c r="G753" s="34" t="inlineStr">
        <is>
          <t>ONE_TO_ONE</t>
        </is>
      </c>
      <c r="H753" s="34" t="inlineStr">
        <is>
          <t>APPROVED</t>
        </is>
      </c>
      <c r="I753" s="34" t="inlineStr">
        <is>
          <t>New</t>
        </is>
      </c>
      <c r="J753" s="34" t="inlineStr">
        <is>
          <t>Source assignment -- not individually reviewed</t>
        </is>
      </c>
      <c r="K753" s="39" t="inlineStr"/>
      <c r="L753" s="14" t="inlineStr"/>
      <c r="M753" s="14" t="inlineStr"/>
      <c r="N753" s="92" t="inlineStr">
        <is>
          <t>10 EVIDENCE &amp; DECISIONS</t>
        </is>
      </c>
    </row>
    <row r="754" ht="34" customHeight="1">
      <c r="A754" s="34" t="inlineStr">
        <is>
          <t>Contractor Programme</t>
        </is>
      </c>
      <c r="B754" s="34" t="inlineStr">
        <is>
          <t>SCH-03-117</t>
        </is>
      </c>
      <c r="C754" s="34" t="inlineStr">
        <is>
          <t>Control Centre: fibre backbone termination - release</t>
        </is>
      </c>
      <c r="D754" s="34" t="inlineStr">
        <is>
          <t>WBS Code = 1.3.2</t>
        </is>
      </c>
      <c r="E754" s="34" t="inlineStr">
        <is>
          <t>R477-v1</t>
        </is>
      </c>
      <c r="F754" s="34" t="inlineStr">
        <is>
          <t>1.3.2 Systems - Signalling &amp; Train Control</t>
        </is>
      </c>
      <c r="G754" s="34" t="inlineStr">
        <is>
          <t>ONE_TO_ONE</t>
        </is>
      </c>
      <c r="H754" s="34" t="inlineStr">
        <is>
          <t>APPROVED</t>
        </is>
      </c>
      <c r="I754" s="34" t="inlineStr">
        <is>
          <t>New</t>
        </is>
      </c>
      <c r="J754" s="34" t="inlineStr">
        <is>
          <t>Source assignment -- not individually reviewed</t>
        </is>
      </c>
      <c r="K754" s="39" t="inlineStr"/>
      <c r="L754" s="14" t="inlineStr"/>
      <c r="M754" s="14" t="inlineStr"/>
      <c r="N754" s="92" t="inlineStr">
        <is>
          <t>10 EVIDENCE &amp; DECISIONS</t>
        </is>
      </c>
    </row>
    <row r="755" ht="34" customHeight="1">
      <c r="A755" s="34" t="inlineStr">
        <is>
          <t>Contractor Programme</t>
        </is>
      </c>
      <c r="B755" s="34" t="inlineStr">
        <is>
          <t>SCH-03-120</t>
        </is>
      </c>
      <c r="C755" s="34" t="inlineStr">
        <is>
          <t>Central interlocking: train-control cabinet fit-out - inspection</t>
        </is>
      </c>
      <c r="D755" s="34" t="inlineStr">
        <is>
          <t>WBS Code = 1.3.2</t>
        </is>
      </c>
      <c r="E755" s="34" t="inlineStr">
        <is>
          <t>R480-v1</t>
        </is>
      </c>
      <c r="F755" s="34" t="inlineStr">
        <is>
          <t>1.3.2 Systems - Signalling &amp; Train Control</t>
        </is>
      </c>
      <c r="G755" s="34" t="inlineStr">
        <is>
          <t>ONE_TO_ONE</t>
        </is>
      </c>
      <c r="H755" s="34" t="inlineStr">
        <is>
          <t>APPROVED</t>
        </is>
      </c>
      <c r="I755" s="34" t="inlineStr">
        <is>
          <t>New</t>
        </is>
      </c>
      <c r="J755" s="34" t="inlineStr">
        <is>
          <t>Source assignment -- not individually reviewed</t>
        </is>
      </c>
      <c r="K755" s="39" t="inlineStr"/>
      <c r="L755" s="14" t="inlineStr"/>
      <c r="M755" s="14" t="inlineStr"/>
      <c r="N755" s="92" t="inlineStr">
        <is>
          <t>10 EVIDENCE &amp; DECISIONS</t>
        </is>
      </c>
    </row>
    <row r="756" ht="34" customHeight="1">
      <c r="A756" s="34" t="inlineStr">
        <is>
          <t>Contractor Programme</t>
        </is>
      </c>
      <c r="B756" s="34" t="inlineStr">
        <is>
          <t>SCH-03-123</t>
        </is>
      </c>
      <c r="C756" s="34" t="inlineStr">
        <is>
          <t>West wayside: radio equipment installation - field start</t>
        </is>
      </c>
      <c r="D756" s="34" t="inlineStr">
        <is>
          <t>WBS Code = 1.3.2</t>
        </is>
      </c>
      <c r="E756" s="34" t="inlineStr">
        <is>
          <t>R483-v1</t>
        </is>
      </c>
      <c r="F756" s="34" t="inlineStr">
        <is>
          <t>1.3.2 Systems - Signalling &amp; Train Control</t>
        </is>
      </c>
      <c r="G756" s="34" t="inlineStr">
        <is>
          <t>ONE_TO_ONE</t>
        </is>
      </c>
      <c r="H756" s="34" t="inlineStr">
        <is>
          <t>APPROVED</t>
        </is>
      </c>
      <c r="I756" s="34" t="inlineStr">
        <is>
          <t>New</t>
        </is>
      </c>
      <c r="J756" s="34" t="inlineStr">
        <is>
          <t>Source assignment -- not individually reviewed</t>
        </is>
      </c>
      <c r="K756" s="39" t="inlineStr"/>
      <c r="L756" s="14" t="inlineStr"/>
      <c r="M756" s="14" t="inlineStr"/>
      <c r="N756" s="92" t="inlineStr">
        <is>
          <t>10 EVIDENCE &amp; DECISIONS</t>
        </is>
      </c>
    </row>
    <row r="757" ht="34" customHeight="1">
      <c r="A757" s="34" t="inlineStr">
        <is>
          <t>Contractor Programme</t>
        </is>
      </c>
      <c r="B757" s="34" t="inlineStr">
        <is>
          <t>SCH-03-126</t>
        </is>
      </c>
      <c r="C757" s="34" t="inlineStr">
        <is>
          <t>Harbour Station: SCADA point-to-point check - turnover</t>
        </is>
      </c>
      <c r="D757" s="34" t="inlineStr">
        <is>
          <t>WBS Code = 1.3.2</t>
        </is>
      </c>
      <c r="E757" s="34" t="inlineStr">
        <is>
          <t>R486-v1</t>
        </is>
      </c>
      <c r="F757" s="34" t="inlineStr">
        <is>
          <t>1.3.2 Systems - Signalling &amp; Train Control</t>
        </is>
      </c>
      <c r="G757" s="34" t="inlineStr">
        <is>
          <t>ONE_TO_ONE</t>
        </is>
      </c>
      <c r="H757" s="34" t="inlineStr">
        <is>
          <t>APPROVED</t>
        </is>
      </c>
      <c r="I757" s="34" t="inlineStr">
        <is>
          <t>New</t>
        </is>
      </c>
      <c r="J757" s="34" t="inlineStr">
        <is>
          <t>Source assignment -- not individually reviewed</t>
        </is>
      </c>
      <c r="K757" s="39" t="inlineStr"/>
      <c r="L757" s="14" t="inlineStr"/>
      <c r="M757" s="14" t="inlineStr"/>
      <c r="N757" s="92" t="inlineStr">
        <is>
          <t>10 EVIDENCE &amp; DECISIONS</t>
        </is>
      </c>
    </row>
    <row r="758" ht="34" customHeight="1">
      <c r="A758" s="34" t="inlineStr">
        <is>
          <t>Contractor Programme</t>
        </is>
      </c>
      <c r="B758" s="34" t="inlineStr">
        <is>
          <t>SCH-03-129</t>
        </is>
      </c>
      <c r="C758" s="34" t="inlineStr">
        <is>
          <t>East substation: wayside interface test - installation</t>
        </is>
      </c>
      <c r="D758" s="34" t="inlineStr">
        <is>
          <t>WBS Code = 1.3.2</t>
        </is>
      </c>
      <c r="E758" s="34" t="inlineStr">
        <is>
          <t>R489-v1</t>
        </is>
      </c>
      <c r="F758" s="34" t="inlineStr">
        <is>
          <t>1.3.2 Systems - Signalling &amp; Train Control</t>
        </is>
      </c>
      <c r="G758" s="34" t="inlineStr">
        <is>
          <t>ONE_TO_ONE</t>
        </is>
      </c>
      <c r="H758" s="34" t="inlineStr">
        <is>
          <t>APPROVED</t>
        </is>
      </c>
      <c r="I758" s="34" t="inlineStr">
        <is>
          <t>New</t>
        </is>
      </c>
      <c r="J758" s="34" t="inlineStr">
        <is>
          <t>Source assignment -- not individually reviewed</t>
        </is>
      </c>
      <c r="K758" s="39" t="inlineStr"/>
      <c r="L758" s="14" t="inlineStr"/>
      <c r="M758" s="14" t="inlineStr"/>
      <c r="N758" s="92" t="inlineStr">
        <is>
          <t>10 EVIDENCE &amp; DECISIONS</t>
        </is>
      </c>
    </row>
    <row r="759" ht="34" customHeight="1">
      <c r="A759" s="34" t="inlineStr">
        <is>
          <t>Contractor Programme</t>
        </is>
      </c>
      <c r="B759" s="34" t="inlineStr">
        <is>
          <t>SCH-03-132</t>
        </is>
      </c>
      <c r="C759" s="34" t="inlineStr">
        <is>
          <t>Control Centre: control-centre integration - release</t>
        </is>
      </c>
      <c r="D759" s="34" t="inlineStr">
        <is>
          <t>WBS Code = 1.3.2</t>
        </is>
      </c>
      <c r="E759" s="34" t="inlineStr">
        <is>
          <t>R492-v1</t>
        </is>
      </c>
      <c r="F759" s="34" t="inlineStr">
        <is>
          <t>1.3.2 Systems - Signalling &amp; Train Control</t>
        </is>
      </c>
      <c r="G759" s="34" t="inlineStr">
        <is>
          <t>ONE_TO_ONE</t>
        </is>
      </c>
      <c r="H759" s="34" t="inlineStr">
        <is>
          <t>APPROVED</t>
        </is>
      </c>
      <c r="I759" s="34" t="inlineStr">
        <is>
          <t>New</t>
        </is>
      </c>
      <c r="J759" s="34" t="inlineStr">
        <is>
          <t>Source assignment -- not individually reviewed</t>
        </is>
      </c>
      <c r="K759" s="39" t="inlineStr"/>
      <c r="L759" s="14" t="inlineStr"/>
      <c r="M759" s="14" t="inlineStr"/>
      <c r="N759" s="92" t="inlineStr">
        <is>
          <t>10 EVIDENCE &amp; DECISIONS</t>
        </is>
      </c>
    </row>
    <row r="760" ht="34" customHeight="1">
      <c r="A760" s="34" t="inlineStr">
        <is>
          <t>Contractor Programme</t>
        </is>
      </c>
      <c r="B760" s="34" t="inlineStr">
        <is>
          <t>SCH-03-135</t>
        </is>
      </c>
      <c r="C760" s="34" t="inlineStr">
        <is>
          <t>Central interlocking: traction-power feeder pull - inspection</t>
        </is>
      </c>
      <c r="D760" s="34" t="inlineStr">
        <is>
          <t>WBS Code = 1.3.2</t>
        </is>
      </c>
      <c r="E760" s="34" t="inlineStr">
        <is>
          <t>R495-v1</t>
        </is>
      </c>
      <c r="F760" s="34" t="inlineStr">
        <is>
          <t>1.3.2 Systems - Signalling &amp; Train Control</t>
        </is>
      </c>
      <c r="G760" s="34" t="inlineStr">
        <is>
          <t>ONE_TO_ONE</t>
        </is>
      </c>
      <c r="H760" s="34" t="inlineStr">
        <is>
          <t>APPROVED</t>
        </is>
      </c>
      <c r="I760" s="34" t="inlineStr">
        <is>
          <t>New</t>
        </is>
      </c>
      <c r="J760" s="34" t="inlineStr">
        <is>
          <t>Source assignment -- not individually reviewed</t>
        </is>
      </c>
      <c r="K760" s="39" t="inlineStr"/>
      <c r="L760" s="14" t="inlineStr"/>
      <c r="M760" s="14" t="inlineStr"/>
      <c r="N760" s="92" t="inlineStr">
        <is>
          <t>10 EVIDENCE &amp; DECISIONS</t>
        </is>
      </c>
    </row>
    <row r="761" ht="34" customHeight="1">
      <c r="A761" s="34" t="inlineStr">
        <is>
          <t>Contractor Programme</t>
        </is>
      </c>
      <c r="B761" s="34" t="inlineStr">
        <is>
          <t>SCH-03-138</t>
        </is>
      </c>
      <c r="C761" s="34" t="inlineStr">
        <is>
          <t>West wayside: signal equipment installation - field start</t>
        </is>
      </c>
      <c r="D761" s="34" t="inlineStr">
        <is>
          <t>WBS Code = 1.3.2</t>
        </is>
      </c>
      <c r="E761" s="34" t="inlineStr">
        <is>
          <t>R498-v1</t>
        </is>
      </c>
      <c r="F761" s="34" t="inlineStr">
        <is>
          <t>1.3.2 Systems - Signalling &amp; Train Control</t>
        </is>
      </c>
      <c r="G761" s="34" t="inlineStr">
        <is>
          <t>ONE_TO_ONE</t>
        </is>
      </c>
      <c r="H761" s="34" t="inlineStr">
        <is>
          <t>APPROVED</t>
        </is>
      </c>
      <c r="I761" s="34" t="inlineStr">
        <is>
          <t>New</t>
        </is>
      </c>
      <c r="J761" s="34" t="inlineStr">
        <is>
          <t>Source assignment -- not individually reviewed</t>
        </is>
      </c>
      <c r="K761" s="39" t="inlineStr"/>
      <c r="L761" s="14" t="inlineStr"/>
      <c r="M761" s="14" t="inlineStr"/>
      <c r="N761" s="92" t="inlineStr">
        <is>
          <t>10 EVIDENCE &amp; DECISIONS</t>
        </is>
      </c>
    </row>
    <row r="762" ht="34" customHeight="1">
      <c r="A762" s="34" t="inlineStr">
        <is>
          <t>Contractor Programme</t>
        </is>
      </c>
      <c r="B762" s="34" t="inlineStr">
        <is>
          <t>SCH-03-141</t>
        </is>
      </c>
      <c r="C762" s="34" t="inlineStr">
        <is>
          <t>Harbour Station: fibre backbone termination - turnover</t>
        </is>
      </c>
      <c r="D762" s="34" t="inlineStr">
        <is>
          <t>WBS Code = 1.3.2</t>
        </is>
      </c>
      <c r="E762" s="34" t="inlineStr">
        <is>
          <t>R501-v1</t>
        </is>
      </c>
      <c r="F762" s="34" t="inlineStr">
        <is>
          <t>1.3.2 Systems - Signalling &amp; Train Control</t>
        </is>
      </c>
      <c r="G762" s="34" t="inlineStr">
        <is>
          <t>ONE_TO_ONE</t>
        </is>
      </c>
      <c r="H762" s="34" t="inlineStr">
        <is>
          <t>APPROVED</t>
        </is>
      </c>
      <c r="I762" s="34" t="inlineStr">
        <is>
          <t>New</t>
        </is>
      </c>
      <c r="J762" s="34" t="inlineStr">
        <is>
          <t>Source assignment -- not individually reviewed</t>
        </is>
      </c>
      <c r="K762" s="39" t="inlineStr"/>
      <c r="L762" s="14" t="inlineStr"/>
      <c r="M762" s="14" t="inlineStr"/>
      <c r="N762" s="92" t="inlineStr">
        <is>
          <t>10 EVIDENCE &amp; DECISIONS</t>
        </is>
      </c>
    </row>
    <row r="763" ht="34" customHeight="1">
      <c r="A763" s="34" t="inlineStr">
        <is>
          <t>Contractor Programme</t>
        </is>
      </c>
      <c r="B763" s="34" t="inlineStr">
        <is>
          <t>SCH-03-144</t>
        </is>
      </c>
      <c r="C763" s="34" t="inlineStr">
        <is>
          <t>East substation: train-control cabinet fit-out - installation</t>
        </is>
      </c>
      <c r="D763" s="34" t="inlineStr">
        <is>
          <t>WBS Code = 1.3.2</t>
        </is>
      </c>
      <c r="E763" s="34" t="inlineStr">
        <is>
          <t>R504-v1</t>
        </is>
      </c>
      <c r="F763" s="34" t="inlineStr">
        <is>
          <t>1.3.2 Systems - Signalling &amp; Train Control</t>
        </is>
      </c>
      <c r="G763" s="34" t="inlineStr">
        <is>
          <t>ONE_TO_ONE</t>
        </is>
      </c>
      <c r="H763" s="34" t="inlineStr">
        <is>
          <t>APPROVED</t>
        </is>
      </c>
      <c r="I763" s="34" t="inlineStr">
        <is>
          <t>New</t>
        </is>
      </c>
      <c r="J763" s="34" t="inlineStr">
        <is>
          <t>Source assignment -- not individually reviewed</t>
        </is>
      </c>
      <c r="K763" s="39" t="inlineStr"/>
      <c r="L763" s="14" t="inlineStr"/>
      <c r="M763" s="14" t="inlineStr"/>
      <c r="N763" s="92" t="inlineStr">
        <is>
          <t>10 EVIDENCE &amp; DECISIONS</t>
        </is>
      </c>
    </row>
    <row r="764" ht="34" customHeight="1">
      <c r="A764" s="34" t="inlineStr">
        <is>
          <t>Contractor Programme</t>
        </is>
      </c>
      <c r="B764" s="34" t="inlineStr">
        <is>
          <t>SCH-03-147</t>
        </is>
      </c>
      <c r="C764" s="34" t="inlineStr">
        <is>
          <t>Control Centre: radio equipment installation - release</t>
        </is>
      </c>
      <c r="D764" s="34" t="inlineStr">
        <is>
          <t>WBS Code = 1.3.2</t>
        </is>
      </c>
      <c r="E764" s="34" t="inlineStr">
        <is>
          <t>R507-v1</t>
        </is>
      </c>
      <c r="F764" s="34" t="inlineStr">
        <is>
          <t>1.3.2 Systems - Signalling &amp; Train Control</t>
        </is>
      </c>
      <c r="G764" s="34" t="inlineStr">
        <is>
          <t>ONE_TO_ONE</t>
        </is>
      </c>
      <c r="H764" s="34" t="inlineStr">
        <is>
          <t>APPROVED</t>
        </is>
      </c>
      <c r="I764" s="34" t="inlineStr">
        <is>
          <t>New</t>
        </is>
      </c>
      <c r="J764" s="34" t="inlineStr">
        <is>
          <t>Source assignment -- not individually reviewed</t>
        </is>
      </c>
      <c r="K764" s="39" t="inlineStr"/>
      <c r="L764" s="14" t="inlineStr"/>
      <c r="M764" s="14" t="inlineStr"/>
      <c r="N764" s="92" t="inlineStr">
        <is>
          <t>10 EVIDENCE &amp; DECISIONS</t>
        </is>
      </c>
    </row>
    <row r="765" ht="34" customHeight="1">
      <c r="A765" s="34" t="inlineStr">
        <is>
          <t>Contractor Programme</t>
        </is>
      </c>
      <c r="B765" s="34" t="inlineStr">
        <is>
          <t>SCH-03-150</t>
        </is>
      </c>
      <c r="C765" s="34" t="inlineStr">
        <is>
          <t>Central interlocking: SCADA point-to-point check - inspection</t>
        </is>
      </c>
      <c r="D765" s="34" t="inlineStr">
        <is>
          <t>WBS Code = 1.3.2</t>
        </is>
      </c>
      <c r="E765" s="34" t="inlineStr">
        <is>
          <t>R510-v1</t>
        </is>
      </c>
      <c r="F765" s="34" t="inlineStr">
        <is>
          <t>1.3.2 Systems - Signalling &amp; Train Control</t>
        </is>
      </c>
      <c r="G765" s="34" t="inlineStr">
        <is>
          <t>ONE_TO_ONE</t>
        </is>
      </c>
      <c r="H765" s="34" t="inlineStr">
        <is>
          <t>APPROVED</t>
        </is>
      </c>
      <c r="I765" s="34" t="inlineStr">
        <is>
          <t>New</t>
        </is>
      </c>
      <c r="J765" s="34" t="inlineStr">
        <is>
          <t>Source assignment -- not individually reviewed</t>
        </is>
      </c>
      <c r="K765" s="39" t="inlineStr"/>
      <c r="L765" s="14" t="inlineStr"/>
      <c r="M765" s="14" t="inlineStr"/>
      <c r="N765" s="92" t="inlineStr">
        <is>
          <t>10 EVIDENCE &amp; DECISIONS</t>
        </is>
      </c>
    </row>
    <row r="766" ht="34" customHeight="1">
      <c r="A766" s="34" t="inlineStr">
        <is>
          <t>Contractor Programme</t>
        </is>
      </c>
      <c r="B766" s="34" t="inlineStr">
        <is>
          <t>SCH-03-153</t>
        </is>
      </c>
      <c r="C766" s="34" t="inlineStr">
        <is>
          <t>West wayside: wayside interface test - field start</t>
        </is>
      </c>
      <c r="D766" s="34" t="inlineStr">
        <is>
          <t>WBS Code = 1.3.2</t>
        </is>
      </c>
      <c r="E766" s="34" t="inlineStr">
        <is>
          <t>R513-v1</t>
        </is>
      </c>
      <c r="F766" s="34" t="inlineStr">
        <is>
          <t>1.3.2 Systems - Signalling &amp; Train Control</t>
        </is>
      </c>
      <c r="G766" s="34" t="inlineStr">
        <is>
          <t>ONE_TO_ONE</t>
        </is>
      </c>
      <c r="H766" s="34" t="inlineStr">
        <is>
          <t>APPROVED</t>
        </is>
      </c>
      <c r="I766" s="34" t="inlineStr">
        <is>
          <t>New</t>
        </is>
      </c>
      <c r="J766" s="34" t="inlineStr">
        <is>
          <t>Source assignment -- not individually reviewed</t>
        </is>
      </c>
      <c r="K766" s="39" t="inlineStr"/>
      <c r="L766" s="14" t="inlineStr"/>
      <c r="M766" s="14" t="inlineStr"/>
      <c r="N766" s="92" t="inlineStr">
        <is>
          <t>10 EVIDENCE &amp; DECISIONS</t>
        </is>
      </c>
    </row>
    <row r="767" ht="34" customHeight="1">
      <c r="A767" s="34" t="inlineStr">
        <is>
          <t>Contractor Programme</t>
        </is>
      </c>
      <c r="B767" s="34" t="inlineStr">
        <is>
          <t>SCH-03-156</t>
        </is>
      </c>
      <c r="C767" s="34" t="inlineStr">
        <is>
          <t>Harbour Station: control-centre integration - turnover</t>
        </is>
      </c>
      <c r="D767" s="34" t="inlineStr">
        <is>
          <t>WBS Code = 1.3.2</t>
        </is>
      </c>
      <c r="E767" s="34" t="inlineStr">
        <is>
          <t>R516-v1</t>
        </is>
      </c>
      <c r="F767" s="34" t="inlineStr">
        <is>
          <t>1.3.2 Systems - Signalling &amp; Train Control</t>
        </is>
      </c>
      <c r="G767" s="34" t="inlineStr">
        <is>
          <t>ONE_TO_ONE</t>
        </is>
      </c>
      <c r="H767" s="34" t="inlineStr">
        <is>
          <t>APPROVED</t>
        </is>
      </c>
      <c r="I767" s="34" t="inlineStr">
        <is>
          <t>New</t>
        </is>
      </c>
      <c r="J767" s="34" t="inlineStr">
        <is>
          <t>Source assignment -- not individually reviewed</t>
        </is>
      </c>
      <c r="K767" s="39" t="inlineStr"/>
      <c r="L767" s="14" t="inlineStr"/>
      <c r="M767" s="14" t="inlineStr"/>
      <c r="N767" s="92" t="inlineStr">
        <is>
          <t>10 EVIDENCE &amp; DECISIONS</t>
        </is>
      </c>
    </row>
    <row r="768" ht="34" customHeight="1">
      <c r="A768" s="34" t="inlineStr">
        <is>
          <t>Contractor Programme</t>
        </is>
      </c>
      <c r="B768" s="34" t="inlineStr">
        <is>
          <t>SCH-03-159</t>
        </is>
      </c>
      <c r="C768" s="34" t="inlineStr">
        <is>
          <t>East substation: traction-power feeder pull - installation</t>
        </is>
      </c>
      <c r="D768" s="34" t="inlineStr">
        <is>
          <t>WBS Code = 1.3.2</t>
        </is>
      </c>
      <c r="E768" s="34" t="inlineStr">
        <is>
          <t>R519-v1</t>
        </is>
      </c>
      <c r="F768" s="34" t="inlineStr">
        <is>
          <t>1.3.2 Systems - Signalling &amp; Train Control</t>
        </is>
      </c>
      <c r="G768" s="34" t="inlineStr">
        <is>
          <t>ONE_TO_ONE</t>
        </is>
      </c>
      <c r="H768" s="34" t="inlineStr">
        <is>
          <t>APPROVED</t>
        </is>
      </c>
      <c r="I768" s="34" t="inlineStr">
        <is>
          <t>New</t>
        </is>
      </c>
      <c r="J768" s="34" t="inlineStr">
        <is>
          <t>Source assignment -- not individually reviewed</t>
        </is>
      </c>
      <c r="K768" s="39" t="inlineStr"/>
      <c r="L768" s="14" t="inlineStr"/>
      <c r="M768" s="14" t="inlineStr"/>
      <c r="N768" s="92" t="inlineStr">
        <is>
          <t>10 EVIDENCE &amp; DECISIONS</t>
        </is>
      </c>
    </row>
    <row r="769" ht="34" customHeight="1">
      <c r="A769" s="34" t="inlineStr">
        <is>
          <t>Contractor Programme</t>
        </is>
      </c>
      <c r="B769" s="34" t="inlineStr">
        <is>
          <t>SCH-03-162</t>
        </is>
      </c>
      <c r="C769" s="34" t="inlineStr">
        <is>
          <t>Control Centre: signal equipment installation - release</t>
        </is>
      </c>
      <c r="D769" s="34" t="inlineStr">
        <is>
          <t>WBS Code = 1.3.2</t>
        </is>
      </c>
      <c r="E769" s="34" t="inlineStr">
        <is>
          <t>R522-v1</t>
        </is>
      </c>
      <c r="F769" s="34" t="inlineStr">
        <is>
          <t>1.3.2 Systems - Signalling &amp; Train Control</t>
        </is>
      </c>
      <c r="G769" s="34" t="inlineStr">
        <is>
          <t>ONE_TO_ONE</t>
        </is>
      </c>
      <c r="H769" s="34" t="inlineStr">
        <is>
          <t>APPROVED</t>
        </is>
      </c>
      <c r="I769" s="34" t="inlineStr">
        <is>
          <t>New</t>
        </is>
      </c>
      <c r="J769" s="34" t="inlineStr">
        <is>
          <t>Source assignment -- not individually reviewed</t>
        </is>
      </c>
      <c r="K769" s="39" t="inlineStr"/>
      <c r="L769" s="14" t="inlineStr"/>
      <c r="M769" s="14" t="inlineStr"/>
      <c r="N769" s="92" t="inlineStr">
        <is>
          <t>10 EVIDENCE &amp; DECISIONS</t>
        </is>
      </c>
    </row>
    <row r="770" ht="34" customHeight="1">
      <c r="A770" s="34" t="inlineStr">
        <is>
          <t>Contractor Programme</t>
        </is>
      </c>
      <c r="B770" s="34" t="inlineStr">
        <is>
          <t>SCH-03-165</t>
        </is>
      </c>
      <c r="C770" s="34" t="inlineStr">
        <is>
          <t>Central interlocking: fibre backbone termination - inspection</t>
        </is>
      </c>
      <c r="D770" s="34" t="inlineStr">
        <is>
          <t>WBS Code = 1.3.2</t>
        </is>
      </c>
      <c r="E770" s="34" t="inlineStr">
        <is>
          <t>R525-v1</t>
        </is>
      </c>
      <c r="F770" s="34" t="inlineStr">
        <is>
          <t>1.3.2 Systems - Signalling &amp; Train Control</t>
        </is>
      </c>
      <c r="G770" s="34" t="inlineStr">
        <is>
          <t>ONE_TO_ONE</t>
        </is>
      </c>
      <c r="H770" s="34" t="inlineStr">
        <is>
          <t>APPROVED</t>
        </is>
      </c>
      <c r="I770" s="34" t="inlineStr">
        <is>
          <t>New</t>
        </is>
      </c>
      <c r="J770" s="34" t="inlineStr">
        <is>
          <t>Source assignment -- not individually reviewed</t>
        </is>
      </c>
      <c r="K770" s="39" t="inlineStr"/>
      <c r="L770" s="14" t="inlineStr"/>
      <c r="M770" s="14" t="inlineStr"/>
      <c r="N770" s="92" t="inlineStr">
        <is>
          <t>10 EVIDENCE &amp; DECISIONS</t>
        </is>
      </c>
    </row>
    <row r="771" ht="34" customHeight="1">
      <c r="A771" s="34" t="inlineStr">
        <is>
          <t>Contractor Programme</t>
        </is>
      </c>
      <c r="B771" s="34" t="inlineStr">
        <is>
          <t>SCH-03-168</t>
        </is>
      </c>
      <c r="C771" s="34" t="inlineStr">
        <is>
          <t>West wayside: train-control cabinet fit-out - field start</t>
        </is>
      </c>
      <c r="D771" s="34" t="inlineStr">
        <is>
          <t>WBS Code = 1.3.2</t>
        </is>
      </c>
      <c r="E771" s="34" t="inlineStr">
        <is>
          <t>R528-v1</t>
        </is>
      </c>
      <c r="F771" s="34" t="inlineStr">
        <is>
          <t>1.3.2 Systems - Signalling &amp; Train Control</t>
        </is>
      </c>
      <c r="G771" s="34" t="inlineStr">
        <is>
          <t>ONE_TO_ONE</t>
        </is>
      </c>
      <c r="H771" s="34" t="inlineStr">
        <is>
          <t>APPROVED</t>
        </is>
      </c>
      <c r="I771" s="34" t="inlineStr">
        <is>
          <t>New</t>
        </is>
      </c>
      <c r="J771" s="34" t="inlineStr">
        <is>
          <t>Source assignment -- not individually reviewed</t>
        </is>
      </c>
      <c r="K771" s="39" t="inlineStr"/>
      <c r="L771" s="14" t="inlineStr"/>
      <c r="M771" s="14" t="inlineStr"/>
      <c r="N771" s="92" t="inlineStr">
        <is>
          <t>10 EVIDENCE &amp; DECISIONS</t>
        </is>
      </c>
    </row>
    <row r="772" ht="34" customHeight="1">
      <c r="A772" s="34" t="inlineStr">
        <is>
          <t>Contractor Programme</t>
        </is>
      </c>
      <c r="B772" s="34" t="inlineStr">
        <is>
          <t>SCH-03-171</t>
        </is>
      </c>
      <c r="C772" s="34" t="inlineStr">
        <is>
          <t>Harbour Station: radio equipment installation - turnover</t>
        </is>
      </c>
      <c r="D772" s="34" t="inlineStr">
        <is>
          <t>WBS Code = 1.3.2</t>
        </is>
      </c>
      <c r="E772" s="34" t="inlineStr">
        <is>
          <t>R531-v1</t>
        </is>
      </c>
      <c r="F772" s="34" t="inlineStr">
        <is>
          <t>1.3.2 Systems - Signalling &amp; Train Control</t>
        </is>
      </c>
      <c r="G772" s="34" t="inlineStr">
        <is>
          <t>ONE_TO_ONE</t>
        </is>
      </c>
      <c r="H772" s="34" t="inlineStr">
        <is>
          <t>APPROVED</t>
        </is>
      </c>
      <c r="I772" s="34" t="inlineStr">
        <is>
          <t>New</t>
        </is>
      </c>
      <c r="J772" s="34" t="inlineStr">
        <is>
          <t>Source assignment -- not individually reviewed</t>
        </is>
      </c>
      <c r="K772" s="39" t="inlineStr"/>
      <c r="L772" s="14" t="inlineStr"/>
      <c r="M772" s="14" t="inlineStr"/>
      <c r="N772" s="92" t="inlineStr">
        <is>
          <t>10 EVIDENCE &amp; DECISIONS</t>
        </is>
      </c>
    </row>
    <row r="773" ht="34" customHeight="1">
      <c r="A773" s="34" t="inlineStr">
        <is>
          <t>Contractor Programme</t>
        </is>
      </c>
      <c r="B773" s="34" t="inlineStr">
        <is>
          <t>SCH-03-174</t>
        </is>
      </c>
      <c r="C773" s="34" t="inlineStr">
        <is>
          <t>East substation: SCADA point-to-point check - installation</t>
        </is>
      </c>
      <c r="D773" s="34" t="inlineStr">
        <is>
          <t>WBS Code = 1.3.2</t>
        </is>
      </c>
      <c r="E773" s="34" t="inlineStr">
        <is>
          <t>R534-v1</t>
        </is>
      </c>
      <c r="F773" s="34" t="inlineStr">
        <is>
          <t>1.3.2 Systems - Signalling &amp; Train Control</t>
        </is>
      </c>
      <c r="G773" s="34" t="inlineStr">
        <is>
          <t>ONE_TO_ONE</t>
        </is>
      </c>
      <c r="H773" s="34" t="inlineStr">
        <is>
          <t>APPROVED</t>
        </is>
      </c>
      <c r="I773" s="34" t="inlineStr">
        <is>
          <t>New</t>
        </is>
      </c>
      <c r="J773" s="34" t="inlineStr">
        <is>
          <t>Source assignment -- not individually reviewed</t>
        </is>
      </c>
      <c r="K773" s="39" t="inlineStr"/>
      <c r="L773" s="14" t="inlineStr"/>
      <c r="M773" s="14" t="inlineStr"/>
      <c r="N773" s="92" t="inlineStr">
        <is>
          <t>10 EVIDENCE &amp; DECISIONS</t>
        </is>
      </c>
    </row>
    <row r="774" ht="34" customHeight="1">
      <c r="A774" s="34" t="inlineStr">
        <is>
          <t>Contractor Programme</t>
        </is>
      </c>
      <c r="B774" s="34" t="inlineStr">
        <is>
          <t>SCH-03-177</t>
        </is>
      </c>
      <c r="C774" s="34" t="inlineStr">
        <is>
          <t>Control Centre: wayside interface test - release</t>
        </is>
      </c>
      <c r="D774" s="34" t="inlineStr">
        <is>
          <t>WBS Code = 1.3.2</t>
        </is>
      </c>
      <c r="E774" s="34" t="inlineStr">
        <is>
          <t>R537-v1</t>
        </is>
      </c>
      <c r="F774" s="34" t="inlineStr">
        <is>
          <t>1.3.2 Systems - Signalling &amp; Train Control</t>
        </is>
      </c>
      <c r="G774" s="34" t="inlineStr">
        <is>
          <t>ONE_TO_ONE</t>
        </is>
      </c>
      <c r="H774" s="34" t="inlineStr">
        <is>
          <t>APPROVED</t>
        </is>
      </c>
      <c r="I774" s="34" t="inlineStr">
        <is>
          <t>New</t>
        </is>
      </c>
      <c r="J774" s="34" t="inlineStr">
        <is>
          <t>Source assignment -- not individually reviewed</t>
        </is>
      </c>
      <c r="K774" s="39" t="inlineStr"/>
      <c r="L774" s="14" t="inlineStr"/>
      <c r="M774" s="14" t="inlineStr"/>
      <c r="N774" s="92" t="inlineStr">
        <is>
          <t>10 EVIDENCE &amp; DECISIONS</t>
        </is>
      </c>
    </row>
    <row r="775" ht="34" customHeight="1">
      <c r="A775" s="34" t="inlineStr">
        <is>
          <t>Contractor Programme</t>
        </is>
      </c>
      <c r="B775" s="34" t="inlineStr">
        <is>
          <t>SCH-03-180</t>
        </is>
      </c>
      <c r="C775" s="34" t="inlineStr">
        <is>
          <t>Central interlocking: control-centre integration - inspection</t>
        </is>
      </c>
      <c r="D775" s="34" t="inlineStr">
        <is>
          <t>WBS Code = 1.3.2</t>
        </is>
      </c>
      <c r="E775" s="34" t="inlineStr">
        <is>
          <t>R540-v1</t>
        </is>
      </c>
      <c r="F775" s="34" t="inlineStr">
        <is>
          <t>1.3.2 Systems - Signalling &amp; Train Control</t>
        </is>
      </c>
      <c r="G775" s="34" t="inlineStr">
        <is>
          <t>ONE_TO_ONE</t>
        </is>
      </c>
      <c r="H775" s="34" t="inlineStr">
        <is>
          <t>APPROVED</t>
        </is>
      </c>
      <c r="I775" s="34" t="inlineStr">
        <is>
          <t>New</t>
        </is>
      </c>
      <c r="J775" s="34" t="inlineStr">
        <is>
          <t>Source assignment -- not individually reviewed</t>
        </is>
      </c>
      <c r="K775" s="39" t="inlineStr"/>
      <c r="L775" s="14" t="inlineStr"/>
      <c r="M775" s="14" t="inlineStr"/>
      <c r="N775" s="92" t="inlineStr">
        <is>
          <t>10 EVIDENCE &amp; DECISIONS</t>
        </is>
      </c>
    </row>
    <row r="776" ht="34" customHeight="1">
      <c r="A776" s="34" t="inlineStr">
        <is>
          <t>Cost &amp; Forecast Control Accounts</t>
        </is>
      </c>
      <c r="B776" s="34" t="inlineStr">
        <is>
          <t>CST-03-002</t>
        </is>
      </c>
      <c r="C776" s="34" t="inlineStr">
        <is>
          <t>Systems - signalling - field package</t>
        </is>
      </c>
      <c r="D776" s="34" t="inlineStr">
        <is>
          <t>Cost Account = CA-3002; WBS Code = 1.3.2</t>
        </is>
      </c>
      <c r="E776" s="34" t="inlineStr">
        <is>
          <t>R1244-v1</t>
        </is>
      </c>
      <c r="F776" s="34" t="inlineStr">
        <is>
          <t>1.3.2 Systems - Signalling &amp; Train Control</t>
        </is>
      </c>
      <c r="G776" s="34" t="inlineStr">
        <is>
          <t>ONE_TO_ONE</t>
        </is>
      </c>
      <c r="H776" s="34" t="inlineStr">
        <is>
          <t>APPROVED</t>
        </is>
      </c>
      <c r="I776" s="34" t="inlineStr">
        <is>
          <t>New</t>
        </is>
      </c>
      <c r="J776" s="34" t="inlineStr">
        <is>
          <t>Source assignment -- not individually reviewed</t>
        </is>
      </c>
      <c r="K776" s="39" t="inlineStr"/>
      <c r="L776" s="14" t="inlineStr"/>
      <c r="M776" s="14" t="inlineStr"/>
      <c r="N776" s="92" t="inlineStr">
        <is>
          <t>10 EVIDENCE &amp; DECISIONS</t>
        </is>
      </c>
    </row>
    <row r="777" ht="34" customHeight="1">
      <c r="A777" s="34" t="inlineStr">
        <is>
          <t>Cost &amp; Forecast Control Accounts</t>
        </is>
      </c>
      <c r="B777" s="34" t="inlineStr">
        <is>
          <t>CST-03-006</t>
        </is>
      </c>
      <c r="C777" s="34" t="inlineStr">
        <is>
          <t>Systems - train control - closeout</t>
        </is>
      </c>
      <c r="D777" s="34" t="inlineStr">
        <is>
          <t>Cost Account = CA-3006; WBS Code = 1.3.2</t>
        </is>
      </c>
      <c r="E777" s="34" t="inlineStr">
        <is>
          <t>R1248-v1</t>
        </is>
      </c>
      <c r="F777" s="34" t="inlineStr">
        <is>
          <t>1.3.2 Systems - Signalling &amp; Train Control</t>
        </is>
      </c>
      <c r="G777" s="34" t="inlineStr">
        <is>
          <t>ONE_TO_ONE</t>
        </is>
      </c>
      <c r="H777" s="34" t="inlineStr">
        <is>
          <t>APPROVED</t>
        </is>
      </c>
      <c r="I777" s="34" t="inlineStr">
        <is>
          <t>New</t>
        </is>
      </c>
      <c r="J777" s="34" t="inlineStr">
        <is>
          <t>Source assignment -- not individually reviewed</t>
        </is>
      </c>
      <c r="K777" s="39" t="inlineStr"/>
      <c r="L777" s="14" t="inlineStr"/>
      <c r="M777" s="14" t="inlineStr"/>
      <c r="N777" s="92" t="inlineStr">
        <is>
          <t>10 EVIDENCE &amp; DECISIONS</t>
        </is>
      </c>
    </row>
    <row r="778" ht="34" customHeight="1">
      <c r="A778" s="34" t="inlineStr">
        <is>
          <t>Cost &amp; Forecast Control Accounts</t>
        </is>
      </c>
      <c r="B778" s="34" t="inlineStr">
        <is>
          <t>CST-03-008</t>
        </is>
      </c>
      <c r="C778" s="34" t="inlineStr">
        <is>
          <t>Systems - signalling - supply and install</t>
        </is>
      </c>
      <c r="D778" s="34" t="inlineStr">
        <is>
          <t>Cost Account = CA-3008; WBS Code = 1.3.2</t>
        </is>
      </c>
      <c r="E778" s="34" t="inlineStr">
        <is>
          <t>R1250-v1</t>
        </is>
      </c>
      <c r="F778" s="34" t="inlineStr">
        <is>
          <t>1.3.2 Systems - Signalling &amp; Train Control</t>
        </is>
      </c>
      <c r="G778" s="34" t="inlineStr">
        <is>
          <t>ONE_TO_ONE</t>
        </is>
      </c>
      <c r="H778" s="34" t="inlineStr">
        <is>
          <t>APPROVED</t>
        </is>
      </c>
      <c r="I778" s="34" t="inlineStr">
        <is>
          <t>New</t>
        </is>
      </c>
      <c r="J778" s="34" t="inlineStr">
        <is>
          <t>Source assignment -- not individually reviewed</t>
        </is>
      </c>
      <c r="K778" s="39" t="inlineStr"/>
      <c r="L778" s="14" t="inlineStr"/>
      <c r="M778" s="14" t="inlineStr"/>
      <c r="N778" s="92" t="inlineStr">
        <is>
          <t>10 EVIDENCE &amp; DECISIONS</t>
        </is>
      </c>
    </row>
    <row r="779" ht="34" customHeight="1">
      <c r="A779" s="34" t="inlineStr">
        <is>
          <t>Cost &amp; Forecast Control Accounts</t>
        </is>
      </c>
      <c r="B779" s="34" t="inlineStr">
        <is>
          <t>CST-03-010</t>
        </is>
      </c>
      <c r="C779" s="34" t="inlineStr">
        <is>
          <t>Systems - systems integration - allowance</t>
        </is>
      </c>
      <c r="D779" s="34" t="inlineStr">
        <is>
          <t>Cost Account = CA-3010; WBS Code = 1.3.2</t>
        </is>
      </c>
      <c r="E779" s="34" t="inlineStr">
        <is>
          <t>R1252-v1</t>
        </is>
      </c>
      <c r="F779" s="34" t="inlineStr">
        <is>
          <t>1.3.2 Systems - Signalling &amp; Train Control</t>
        </is>
      </c>
      <c r="G779" s="34" t="inlineStr">
        <is>
          <t>ONE_TO_ONE</t>
        </is>
      </c>
      <c r="H779" s="34" t="inlineStr">
        <is>
          <t>APPROVED</t>
        </is>
      </c>
      <c r="I779" s="34" t="inlineStr">
        <is>
          <t>New</t>
        </is>
      </c>
      <c r="J779" s="34" t="inlineStr">
        <is>
          <t>Source assignment -- not individually reviewed</t>
        </is>
      </c>
      <c r="K779" s="39" t="inlineStr"/>
      <c r="L779" s="14" t="inlineStr"/>
      <c r="M779" s="14" t="inlineStr"/>
      <c r="N779" s="92" t="inlineStr">
        <is>
          <t>10 EVIDENCE &amp; DECISIONS</t>
        </is>
      </c>
    </row>
    <row r="780" ht="34" customHeight="1">
      <c r="A780" s="34" t="inlineStr">
        <is>
          <t>Cost &amp; Forecast Control Accounts</t>
        </is>
      </c>
      <c r="B780" s="34" t="inlineStr">
        <is>
          <t>CST-03-012</t>
        </is>
      </c>
      <c r="C780" s="34" t="inlineStr">
        <is>
          <t>Systems - train control - field package</t>
        </is>
      </c>
      <c r="D780" s="34" t="inlineStr">
        <is>
          <t>Cost Account = CA-3012; WBS Code = 1.3.2</t>
        </is>
      </c>
      <c r="E780" s="34" t="inlineStr">
        <is>
          <t>R1254-v1</t>
        </is>
      </c>
      <c r="F780" s="34" t="inlineStr">
        <is>
          <t>1.3.2 Systems - Signalling &amp; Train Control</t>
        </is>
      </c>
      <c r="G780" s="34" t="inlineStr">
        <is>
          <t>ONE_TO_ONE</t>
        </is>
      </c>
      <c r="H780" s="34" t="inlineStr">
        <is>
          <t>APPROVED</t>
        </is>
      </c>
      <c r="I780" s="34" t="inlineStr">
        <is>
          <t>New</t>
        </is>
      </c>
      <c r="J780" s="34" t="inlineStr">
        <is>
          <t>Source assignment -- not individually reviewed</t>
        </is>
      </c>
      <c r="K780" s="39" t="inlineStr"/>
      <c r="L780" s="14" t="inlineStr"/>
      <c r="M780" s="14" t="inlineStr"/>
      <c r="N780" s="92" t="inlineStr">
        <is>
          <t>10 EVIDENCE &amp; DECISIONS</t>
        </is>
      </c>
    </row>
    <row r="781" ht="34" customHeight="1">
      <c r="A781" s="34" t="inlineStr">
        <is>
          <t>Cost &amp; Forecast Control Accounts</t>
        </is>
      </c>
      <c r="B781" s="34" t="inlineStr">
        <is>
          <t>CST-03-014</t>
        </is>
      </c>
      <c r="C781" s="34" t="inlineStr">
        <is>
          <t>Systems - signalling - professional services</t>
        </is>
      </c>
      <c r="D781" s="34" t="inlineStr">
        <is>
          <t>Cost Account = CA-3014; WBS Code = 1.3.2</t>
        </is>
      </c>
      <c r="E781" s="34" t="inlineStr">
        <is>
          <t>R1256-v1</t>
        </is>
      </c>
      <c r="F781" s="34" t="inlineStr">
        <is>
          <t>1.3.2 Systems - Signalling &amp; Train Control</t>
        </is>
      </c>
      <c r="G781" s="34" t="inlineStr">
        <is>
          <t>ONE_TO_ONE</t>
        </is>
      </c>
      <c r="H781" s="34" t="inlineStr">
        <is>
          <t>APPROVED</t>
        </is>
      </c>
      <c r="I781" s="34" t="inlineStr">
        <is>
          <t>New</t>
        </is>
      </c>
      <c r="J781" s="34" t="inlineStr">
        <is>
          <t>Source assignment -- not individually reviewed</t>
        </is>
      </c>
      <c r="K781" s="39" t="inlineStr"/>
      <c r="L781" s="14" t="inlineStr"/>
      <c r="M781" s="14" t="inlineStr"/>
      <c r="N781" s="92" t="inlineStr">
        <is>
          <t>10 EVIDENCE &amp; DECISIONS</t>
        </is>
      </c>
    </row>
    <row r="782" ht="34" customHeight="1">
      <c r="A782" s="34" t="inlineStr">
        <is>
          <t>Cost &amp; Forecast Control Accounts</t>
        </is>
      </c>
      <c r="B782" s="34" t="inlineStr">
        <is>
          <t>CST-03-016</t>
        </is>
      </c>
      <c r="C782" s="34" t="inlineStr">
        <is>
          <t>Systems - systems integration - closeout</t>
        </is>
      </c>
      <c r="D782" s="34" t="inlineStr">
        <is>
          <t>Cost Account = CA-3016; WBS Code = 1.3.2</t>
        </is>
      </c>
      <c r="E782" s="34" t="inlineStr">
        <is>
          <t>R1258-v1</t>
        </is>
      </c>
      <c r="F782" s="34" t="inlineStr">
        <is>
          <t>1.3.2 Systems - Signalling &amp; Train Control</t>
        </is>
      </c>
      <c r="G782" s="34" t="inlineStr">
        <is>
          <t>ONE_TO_ONE</t>
        </is>
      </c>
      <c r="H782" s="34" t="inlineStr">
        <is>
          <t>APPROVED</t>
        </is>
      </c>
      <c r="I782" s="34" t="inlineStr">
        <is>
          <t>New</t>
        </is>
      </c>
      <c r="J782" s="34" t="inlineStr">
        <is>
          <t>Source assignment -- not individually reviewed</t>
        </is>
      </c>
      <c r="K782" s="39" t="inlineStr"/>
      <c r="L782" s="14" t="inlineStr"/>
      <c r="M782" s="14" t="inlineStr"/>
      <c r="N782" s="92" t="inlineStr">
        <is>
          <t>10 EVIDENCE &amp; DECISIONS</t>
        </is>
      </c>
    </row>
    <row r="783" ht="34" customHeight="1">
      <c r="A783" s="34" t="inlineStr">
        <is>
          <t>Cost &amp; Forecast Control Accounts</t>
        </is>
      </c>
      <c r="B783" s="34" t="inlineStr">
        <is>
          <t>CST-03-018</t>
        </is>
      </c>
      <c r="C783" s="34" t="inlineStr">
        <is>
          <t>Systems - train control - supply and install</t>
        </is>
      </c>
      <c r="D783" s="34" t="inlineStr">
        <is>
          <t>Cost Account = CA-3018; WBS Code = 1.3.2</t>
        </is>
      </c>
      <c r="E783" s="34" t="inlineStr">
        <is>
          <t>R1260-v1</t>
        </is>
      </c>
      <c r="F783" s="34" t="inlineStr">
        <is>
          <t>1.3.2 Systems - Signalling &amp; Train Control</t>
        </is>
      </c>
      <c r="G783" s="34" t="inlineStr">
        <is>
          <t>ONE_TO_ONE</t>
        </is>
      </c>
      <c r="H783" s="34" t="inlineStr">
        <is>
          <t>APPROVED</t>
        </is>
      </c>
      <c r="I783" s="34" t="inlineStr">
        <is>
          <t>New</t>
        </is>
      </c>
      <c r="J783" s="34" t="inlineStr">
        <is>
          <t>Source assignment -- not individually reviewed</t>
        </is>
      </c>
      <c r="K783" s="39" t="inlineStr"/>
      <c r="L783" s="14" t="inlineStr"/>
      <c r="M783" s="14" t="inlineStr"/>
      <c r="N783" s="92" t="inlineStr">
        <is>
          <t>10 EVIDENCE &amp; DECISIONS</t>
        </is>
      </c>
    </row>
    <row r="784" ht="34" customHeight="1">
      <c r="A784" s="34" t="inlineStr">
        <is>
          <t>Cost &amp; Forecast Control Accounts</t>
        </is>
      </c>
      <c r="B784" s="34" t="inlineStr">
        <is>
          <t>CST-03-020</t>
        </is>
      </c>
      <c r="C784" s="34" t="inlineStr">
        <is>
          <t>Systems - signalling - allowance</t>
        </is>
      </c>
      <c r="D784" s="34" t="inlineStr">
        <is>
          <t>Cost Account = CA-3020; WBS Code = 1.3.2</t>
        </is>
      </c>
      <c r="E784" s="34" t="inlineStr">
        <is>
          <t>R1262-v1</t>
        </is>
      </c>
      <c r="F784" s="34" t="inlineStr">
        <is>
          <t>1.3.2 Systems - Signalling &amp; Train Control</t>
        </is>
      </c>
      <c r="G784" s="34" t="inlineStr">
        <is>
          <t>ONE_TO_ONE</t>
        </is>
      </c>
      <c r="H784" s="34" t="inlineStr">
        <is>
          <t>APPROVED</t>
        </is>
      </c>
      <c r="I784" s="34" t="inlineStr">
        <is>
          <t>New</t>
        </is>
      </c>
      <c r="J784" s="34" t="inlineStr">
        <is>
          <t>Source assignment -- not individually reviewed</t>
        </is>
      </c>
      <c r="K784" s="39" t="inlineStr"/>
      <c r="L784" s="14" t="inlineStr"/>
      <c r="M784" s="14" t="inlineStr"/>
      <c r="N784" s="92" t="inlineStr">
        <is>
          <t>10 EVIDENCE &amp; DECISIONS</t>
        </is>
      </c>
    </row>
    <row r="785" ht="34" customHeight="1">
      <c r="A785" s="34" t="inlineStr">
        <is>
          <t>Cost &amp; Forecast Control Accounts</t>
        </is>
      </c>
      <c r="B785" s="34" t="inlineStr">
        <is>
          <t>CST-03-022</t>
        </is>
      </c>
      <c r="C785" s="34" t="inlineStr">
        <is>
          <t>Systems - systems integration - field package</t>
        </is>
      </c>
      <c r="D785" s="34" t="inlineStr">
        <is>
          <t>Cost Account = CA-3022; WBS Code = 1.3.2</t>
        </is>
      </c>
      <c r="E785" s="34" t="inlineStr">
        <is>
          <t>R1264-v1</t>
        </is>
      </c>
      <c r="F785" s="34" t="inlineStr">
        <is>
          <t>1.3.2 Systems - Signalling &amp; Train Control</t>
        </is>
      </c>
      <c r="G785" s="34" t="inlineStr">
        <is>
          <t>ONE_TO_ONE</t>
        </is>
      </c>
      <c r="H785" s="34" t="inlineStr">
        <is>
          <t>APPROVED</t>
        </is>
      </c>
      <c r="I785" s="34" t="inlineStr">
        <is>
          <t>New</t>
        </is>
      </c>
      <c r="J785" s="34" t="inlineStr">
        <is>
          <t>Source assignment -- not individually reviewed</t>
        </is>
      </c>
      <c r="K785" s="39" t="inlineStr"/>
      <c r="L785" s="14" t="inlineStr"/>
      <c r="M785" s="14" t="inlineStr"/>
      <c r="N785" s="92" t="inlineStr">
        <is>
          <t>10 EVIDENCE &amp; DECISIONS</t>
        </is>
      </c>
    </row>
    <row r="786" ht="34" customHeight="1">
      <c r="A786" s="34" t="inlineStr">
        <is>
          <t>Cost &amp; Forecast Control Accounts</t>
        </is>
      </c>
      <c r="B786" s="34" t="inlineStr">
        <is>
          <t>CST-03-024</t>
        </is>
      </c>
      <c r="C786" s="34" t="inlineStr">
        <is>
          <t>Systems - train control - professional services</t>
        </is>
      </c>
      <c r="D786" s="34" t="inlineStr">
        <is>
          <t>Cost Account = CA-3024; WBS Code = 1.3.2</t>
        </is>
      </c>
      <c r="E786" s="34" t="inlineStr">
        <is>
          <t>R1266-v1</t>
        </is>
      </c>
      <c r="F786" s="34" t="inlineStr">
        <is>
          <t>1.3.2 Systems - Signalling &amp; Train Control</t>
        </is>
      </c>
      <c r="G786" s="34" t="inlineStr">
        <is>
          <t>ONE_TO_ONE</t>
        </is>
      </c>
      <c r="H786" s="34" t="inlineStr">
        <is>
          <t>APPROVED</t>
        </is>
      </c>
      <c r="I786" s="34" t="inlineStr">
        <is>
          <t>New</t>
        </is>
      </c>
      <c r="J786" s="34" t="inlineStr">
        <is>
          <t>Source assignment -- not individually reviewed</t>
        </is>
      </c>
      <c r="K786" s="39" t="inlineStr"/>
      <c r="L786" s="14" t="inlineStr"/>
      <c r="M786" s="14" t="inlineStr"/>
      <c r="N786" s="92" t="inlineStr">
        <is>
          <t>10 EVIDENCE &amp; DECISIONS</t>
        </is>
      </c>
    </row>
    <row r="787" ht="34" customHeight="1">
      <c r="A787" s="34" t="inlineStr">
        <is>
          <t>Cost &amp; Forecast Control Accounts</t>
        </is>
      </c>
      <c r="B787" s="34" t="inlineStr">
        <is>
          <t>CST-03-026</t>
        </is>
      </c>
      <c r="C787" s="34" t="inlineStr">
        <is>
          <t>Systems - signalling - closeout</t>
        </is>
      </c>
      <c r="D787" s="34" t="inlineStr">
        <is>
          <t>Cost Account = CA-3026; WBS Code = 1.3.2</t>
        </is>
      </c>
      <c r="E787" s="34" t="inlineStr">
        <is>
          <t>R1268-v1</t>
        </is>
      </c>
      <c r="F787" s="34" t="inlineStr">
        <is>
          <t>1.3.2 Systems - Signalling &amp; Train Control</t>
        </is>
      </c>
      <c r="G787" s="34" t="inlineStr">
        <is>
          <t>ONE_TO_ONE</t>
        </is>
      </c>
      <c r="H787" s="34" t="inlineStr">
        <is>
          <t>APPROVED</t>
        </is>
      </c>
      <c r="I787" s="34" t="inlineStr">
        <is>
          <t>New</t>
        </is>
      </c>
      <c r="J787" s="34" t="inlineStr">
        <is>
          <t>Source assignment -- not individually reviewed</t>
        </is>
      </c>
      <c r="K787" s="39" t="inlineStr"/>
      <c r="L787" s="14" t="inlineStr"/>
      <c r="M787" s="14" t="inlineStr"/>
      <c r="N787" s="92" t="inlineStr">
        <is>
          <t>10 EVIDENCE &amp; DECISIONS</t>
        </is>
      </c>
    </row>
    <row r="788" ht="34" customHeight="1">
      <c r="A788" s="34" t="inlineStr">
        <is>
          <t>Cost &amp; Forecast Control Accounts</t>
        </is>
      </c>
      <c r="B788" s="34" t="inlineStr">
        <is>
          <t>CST-03-028</t>
        </is>
      </c>
      <c r="C788" s="34" t="inlineStr">
        <is>
          <t>Systems - systems integration - supply and install</t>
        </is>
      </c>
      <c r="D788" s="34" t="inlineStr">
        <is>
          <t>Cost Account = CA-3028; WBS Code = 1.3.2</t>
        </is>
      </c>
      <c r="E788" s="34" t="inlineStr">
        <is>
          <t>R1270-v1</t>
        </is>
      </c>
      <c r="F788" s="34" t="inlineStr">
        <is>
          <t>1.3.2 Systems - Signalling &amp; Train Control</t>
        </is>
      </c>
      <c r="G788" s="34" t="inlineStr">
        <is>
          <t>ONE_TO_ONE</t>
        </is>
      </c>
      <c r="H788" s="34" t="inlineStr">
        <is>
          <t>APPROVED</t>
        </is>
      </c>
      <c r="I788" s="34" t="inlineStr">
        <is>
          <t>New</t>
        </is>
      </c>
      <c r="J788" s="34" t="inlineStr">
        <is>
          <t>Source assignment -- not individually reviewed</t>
        </is>
      </c>
      <c r="K788" s="39" t="inlineStr"/>
      <c r="L788" s="14" t="inlineStr"/>
      <c r="M788" s="14" t="inlineStr"/>
      <c r="N788" s="92" t="inlineStr">
        <is>
          <t>10 EVIDENCE &amp; DECISIONS</t>
        </is>
      </c>
    </row>
    <row r="789" ht="34" customHeight="1">
      <c r="A789" s="34" t="inlineStr">
        <is>
          <t>Cost &amp; Forecast Control Accounts</t>
        </is>
      </c>
      <c r="B789" s="34" t="inlineStr">
        <is>
          <t>CST-03-030</t>
        </is>
      </c>
      <c r="C789" s="34" t="inlineStr">
        <is>
          <t>Systems - train control - allowance</t>
        </is>
      </c>
      <c r="D789" s="34" t="inlineStr">
        <is>
          <t>Cost Account = CA-3030; WBS Code = 1.3.2</t>
        </is>
      </c>
      <c r="E789" s="34" t="inlineStr">
        <is>
          <t>R1272-v1</t>
        </is>
      </c>
      <c r="F789" s="34" t="inlineStr">
        <is>
          <t>1.3.2 Systems - Signalling &amp; Train Control</t>
        </is>
      </c>
      <c r="G789" s="34" t="inlineStr">
        <is>
          <t>ONE_TO_ONE</t>
        </is>
      </c>
      <c r="H789" s="34" t="inlineStr">
        <is>
          <t>APPROVED</t>
        </is>
      </c>
      <c r="I789" s="34" t="inlineStr">
        <is>
          <t>New</t>
        </is>
      </c>
      <c r="J789" s="34" t="inlineStr">
        <is>
          <t>Source assignment -- not individually reviewed</t>
        </is>
      </c>
      <c r="K789" s="39" t="inlineStr"/>
      <c r="L789" s="14" t="inlineStr"/>
      <c r="M789" s="14" t="inlineStr"/>
      <c r="N789" s="92" t="inlineStr">
        <is>
          <t>10 EVIDENCE &amp; DECISIONS</t>
        </is>
      </c>
    </row>
    <row r="790" ht="34" customHeight="1">
      <c r="A790" s="34" t="inlineStr">
        <is>
          <t>Cost &amp; Forecast Control Accounts</t>
        </is>
      </c>
      <c r="B790" s="34" t="inlineStr">
        <is>
          <t>CST-03-032</t>
        </is>
      </c>
      <c r="C790" s="34" t="inlineStr">
        <is>
          <t>Systems - signalling - field package</t>
        </is>
      </c>
      <c r="D790" s="34" t="inlineStr">
        <is>
          <t>Cost Account = CA-3032; WBS Code = 1.3.2</t>
        </is>
      </c>
      <c r="E790" s="34" t="inlineStr">
        <is>
          <t>R1274-v1</t>
        </is>
      </c>
      <c r="F790" s="34" t="inlineStr">
        <is>
          <t>1.3.2 Systems - Signalling &amp; Train Control</t>
        </is>
      </c>
      <c r="G790" s="34" t="inlineStr">
        <is>
          <t>ONE_TO_ONE</t>
        </is>
      </c>
      <c r="H790" s="34" t="inlineStr">
        <is>
          <t>APPROVED</t>
        </is>
      </c>
      <c r="I790" s="34" t="inlineStr">
        <is>
          <t>New</t>
        </is>
      </c>
      <c r="J790" s="34" t="inlineStr">
        <is>
          <t>Source assignment -- not individually reviewed</t>
        </is>
      </c>
      <c r="K790" s="39" t="inlineStr"/>
      <c r="L790" s="14" t="inlineStr"/>
      <c r="M790" s="14" t="inlineStr"/>
      <c r="N790" s="92" t="inlineStr">
        <is>
          <t>10 EVIDENCE &amp; DECISIONS</t>
        </is>
      </c>
    </row>
    <row r="791" ht="34" customHeight="1">
      <c r="A791" s="34" t="inlineStr">
        <is>
          <t>Cost &amp; Forecast Control Accounts</t>
        </is>
      </c>
      <c r="B791" s="34" t="inlineStr">
        <is>
          <t>CST-03-034</t>
        </is>
      </c>
      <c r="C791" s="34" t="inlineStr">
        <is>
          <t>Systems - systems integration - professional services</t>
        </is>
      </c>
      <c r="D791" s="34" t="inlineStr">
        <is>
          <t>Cost Account = CA-3034; WBS Code = 1.3.2</t>
        </is>
      </c>
      <c r="E791" s="34" t="inlineStr">
        <is>
          <t>R1276-v1</t>
        </is>
      </c>
      <c r="F791" s="34" t="inlineStr">
        <is>
          <t>1.3.2 Systems - Signalling &amp; Train Control</t>
        </is>
      </c>
      <c r="G791" s="34" t="inlineStr">
        <is>
          <t>ONE_TO_ONE</t>
        </is>
      </c>
      <c r="H791" s="34" t="inlineStr">
        <is>
          <t>APPROVED</t>
        </is>
      </c>
      <c r="I791" s="34" t="inlineStr">
        <is>
          <t>New</t>
        </is>
      </c>
      <c r="J791" s="34" t="inlineStr">
        <is>
          <t>Source assignment -- not individually reviewed</t>
        </is>
      </c>
      <c r="K791" s="39" t="inlineStr"/>
      <c r="L791" s="14" t="inlineStr"/>
      <c r="M791" s="14" t="inlineStr"/>
      <c r="N791" s="92" t="inlineStr">
        <is>
          <t>10 EVIDENCE &amp; DECISIONS</t>
        </is>
      </c>
    </row>
    <row r="792" ht="34" customHeight="1">
      <c r="A792" s="34" t="inlineStr">
        <is>
          <t>Cost &amp; Forecast Control Accounts</t>
        </is>
      </c>
      <c r="B792" s="34" t="inlineStr">
        <is>
          <t>CST-03-036</t>
        </is>
      </c>
      <c r="C792" s="34" t="inlineStr">
        <is>
          <t>Systems - train control - closeout</t>
        </is>
      </c>
      <c r="D792" s="34" t="inlineStr">
        <is>
          <t>Cost Account = CA-3036; WBS Code = 1.3.2</t>
        </is>
      </c>
      <c r="E792" s="34" t="inlineStr">
        <is>
          <t>R1278-v1</t>
        </is>
      </c>
      <c r="F792" s="34" t="inlineStr">
        <is>
          <t>1.3.2 Systems - Signalling &amp; Train Control</t>
        </is>
      </c>
      <c r="G792" s="34" t="inlineStr">
        <is>
          <t>ONE_TO_ONE</t>
        </is>
      </c>
      <c r="H792" s="34" t="inlineStr">
        <is>
          <t>APPROVED</t>
        </is>
      </c>
      <c r="I792" s="34" t="inlineStr">
        <is>
          <t>New</t>
        </is>
      </c>
      <c r="J792" s="34" t="inlineStr">
        <is>
          <t>Source assignment -- not individually reviewed</t>
        </is>
      </c>
      <c r="K792" s="39" t="inlineStr"/>
      <c r="L792" s="14" t="inlineStr"/>
      <c r="M792" s="14" t="inlineStr"/>
      <c r="N792" s="92" t="inlineStr">
        <is>
          <t>10 EVIDENCE &amp; DECISIONS</t>
        </is>
      </c>
    </row>
    <row r="793" ht="34" customHeight="1">
      <c r="A793" s="34" t="inlineStr">
        <is>
          <t>Cost &amp; Forecast Control Accounts</t>
        </is>
      </c>
      <c r="B793" s="34" t="inlineStr">
        <is>
          <t>CST-03-038</t>
        </is>
      </c>
      <c r="C793" s="34" t="inlineStr">
        <is>
          <t>Systems - signalling - supply and install</t>
        </is>
      </c>
      <c r="D793" s="34" t="inlineStr">
        <is>
          <t>Cost Account = CA-3038; WBS Code = 1.3.2</t>
        </is>
      </c>
      <c r="E793" s="34" t="inlineStr">
        <is>
          <t>R1280-v1</t>
        </is>
      </c>
      <c r="F793" s="34" t="inlineStr">
        <is>
          <t>1.3.2 Systems - Signalling &amp; Train Control</t>
        </is>
      </c>
      <c r="G793" s="34" t="inlineStr">
        <is>
          <t>ONE_TO_ONE</t>
        </is>
      </c>
      <c r="H793" s="34" t="inlineStr">
        <is>
          <t>APPROVED</t>
        </is>
      </c>
      <c r="I793" s="34" t="inlineStr">
        <is>
          <t>New</t>
        </is>
      </c>
      <c r="J793" s="34" t="inlineStr">
        <is>
          <t>Source assignment -- not individually reviewed</t>
        </is>
      </c>
      <c r="K793" s="39" t="inlineStr"/>
      <c r="L793" s="14" t="inlineStr"/>
      <c r="M793" s="14" t="inlineStr"/>
      <c r="N793" s="92" t="inlineStr">
        <is>
          <t>10 EVIDENCE &amp; DECISIONS</t>
        </is>
      </c>
    </row>
    <row r="794" ht="34" customHeight="1">
      <c r="A794" s="34" t="inlineStr">
        <is>
          <t>Cost &amp; Forecast Control Accounts</t>
        </is>
      </c>
      <c r="B794" s="34" t="inlineStr">
        <is>
          <t>CST-03-040</t>
        </is>
      </c>
      <c r="C794" s="34" t="inlineStr">
        <is>
          <t>Systems - systems integration - allowance</t>
        </is>
      </c>
      <c r="D794" s="34" t="inlineStr">
        <is>
          <t>Cost Account = CA-3040; WBS Code = 1.3.2</t>
        </is>
      </c>
      <c r="E794" s="34" t="inlineStr">
        <is>
          <t>R1282-v1</t>
        </is>
      </c>
      <c r="F794" s="34" t="inlineStr">
        <is>
          <t>1.3.2 Systems - Signalling &amp; Train Control</t>
        </is>
      </c>
      <c r="G794" s="34" t="inlineStr">
        <is>
          <t>ONE_TO_ONE</t>
        </is>
      </c>
      <c r="H794" s="34" t="inlineStr">
        <is>
          <t>APPROVED</t>
        </is>
      </c>
      <c r="I794" s="34" t="inlineStr">
        <is>
          <t>New</t>
        </is>
      </c>
      <c r="J794" s="34" t="inlineStr">
        <is>
          <t>Source assignment -- not individually reviewed</t>
        </is>
      </c>
      <c r="K794" s="39" t="inlineStr"/>
      <c r="L794" s="14" t="inlineStr"/>
      <c r="M794" s="14" t="inlineStr"/>
      <c r="N794" s="92" t="inlineStr">
        <is>
          <t>10 EVIDENCE &amp; DECISIONS</t>
        </is>
      </c>
    </row>
    <row r="795" ht="34" customHeight="1">
      <c r="A795" s="34" t="inlineStr">
        <is>
          <t>Cost &amp; Forecast Control Accounts</t>
        </is>
      </c>
      <c r="B795" s="34" t="inlineStr">
        <is>
          <t>CST-03-042</t>
        </is>
      </c>
      <c r="C795" s="34" t="inlineStr">
        <is>
          <t>Systems - train control - field package</t>
        </is>
      </c>
      <c r="D795" s="34" t="inlineStr">
        <is>
          <t>Cost Account = CA-3042; WBS Code = 1.3.2</t>
        </is>
      </c>
      <c r="E795" s="34" t="inlineStr">
        <is>
          <t>R1284-v1</t>
        </is>
      </c>
      <c r="F795" s="34" t="inlineStr">
        <is>
          <t>1.3.2 Systems - Signalling &amp; Train Control</t>
        </is>
      </c>
      <c r="G795" s="34" t="inlineStr">
        <is>
          <t>ONE_TO_ONE</t>
        </is>
      </c>
      <c r="H795" s="34" t="inlineStr">
        <is>
          <t>APPROVED</t>
        </is>
      </c>
      <c r="I795" s="34" t="inlineStr">
        <is>
          <t>New</t>
        </is>
      </c>
      <c r="J795" s="34" t="inlineStr">
        <is>
          <t>Source assignment -- not individually reviewed</t>
        </is>
      </c>
      <c r="K795" s="39" t="inlineStr"/>
      <c r="L795" s="14" t="inlineStr"/>
      <c r="M795" s="14" t="inlineStr"/>
      <c r="N795" s="92" t="inlineStr">
        <is>
          <t>10 EVIDENCE &amp; DECISIONS</t>
        </is>
      </c>
    </row>
    <row r="796" ht="34" customHeight="1">
      <c r="A796" s="34" t="inlineStr">
        <is>
          <t>Cost &amp; Forecast Control Accounts</t>
        </is>
      </c>
      <c r="B796" s="34" t="inlineStr">
        <is>
          <t>CST-03-044</t>
        </is>
      </c>
      <c r="C796" s="34" t="inlineStr">
        <is>
          <t>Systems - signalling - professional services</t>
        </is>
      </c>
      <c r="D796" s="34" t="inlineStr">
        <is>
          <t>Cost Account = CA-3044; WBS Code = 1.3.2</t>
        </is>
      </c>
      <c r="E796" s="34" t="inlineStr">
        <is>
          <t>R1286-v1</t>
        </is>
      </c>
      <c r="F796" s="34" t="inlineStr">
        <is>
          <t>1.3.2 Systems - Signalling &amp; Train Control</t>
        </is>
      </c>
      <c r="G796" s="34" t="inlineStr">
        <is>
          <t>ONE_TO_ONE</t>
        </is>
      </c>
      <c r="H796" s="34" t="inlineStr">
        <is>
          <t>APPROVED</t>
        </is>
      </c>
      <c r="I796" s="34" t="inlineStr">
        <is>
          <t>New</t>
        </is>
      </c>
      <c r="J796" s="34" t="inlineStr">
        <is>
          <t>Source assignment -- not individually reviewed</t>
        </is>
      </c>
      <c r="K796" s="39" t="inlineStr"/>
      <c r="L796" s="14" t="inlineStr"/>
      <c r="M796" s="14" t="inlineStr"/>
      <c r="N796" s="92" t="inlineStr">
        <is>
          <t>10 EVIDENCE &amp; DECISIONS</t>
        </is>
      </c>
    </row>
    <row r="797" ht="34" customHeight="1">
      <c r="A797" s="34" t="inlineStr">
        <is>
          <t>Cost &amp; Forecast Control Accounts</t>
        </is>
      </c>
      <c r="B797" s="34" t="inlineStr">
        <is>
          <t>CST-03-046</t>
        </is>
      </c>
      <c r="C797" s="34" t="inlineStr">
        <is>
          <t>Systems - systems integration - closeout</t>
        </is>
      </c>
      <c r="D797" s="34" t="inlineStr">
        <is>
          <t>Cost Account = CA-3046; WBS Code = 1.3.2</t>
        </is>
      </c>
      <c r="E797" s="34" t="inlineStr">
        <is>
          <t>R1288-v1</t>
        </is>
      </c>
      <c r="F797" s="34" t="inlineStr">
        <is>
          <t>1.3.2 Systems - Signalling &amp; Train Control</t>
        </is>
      </c>
      <c r="G797" s="34" t="inlineStr">
        <is>
          <t>ONE_TO_ONE</t>
        </is>
      </c>
      <c r="H797" s="34" t="inlineStr">
        <is>
          <t>APPROVED</t>
        </is>
      </c>
      <c r="I797" s="34" t="inlineStr">
        <is>
          <t>New</t>
        </is>
      </c>
      <c r="J797" s="34" t="inlineStr">
        <is>
          <t>Source assignment -- not individually reviewed</t>
        </is>
      </c>
      <c r="K797" s="39" t="inlineStr"/>
      <c r="L797" s="14" t="inlineStr"/>
      <c r="M797" s="14" t="inlineStr"/>
      <c r="N797" s="92" t="inlineStr">
        <is>
          <t>10 EVIDENCE &amp; DECISIONS</t>
        </is>
      </c>
    </row>
    <row r="798" ht="34" customHeight="1">
      <c r="A798" s="34" t="inlineStr">
        <is>
          <t>Cost &amp; Forecast Control Accounts</t>
        </is>
      </c>
      <c r="B798" s="34" t="inlineStr">
        <is>
          <t>CST-03-048</t>
        </is>
      </c>
      <c r="C798" s="34" t="inlineStr">
        <is>
          <t>Systems - train control - supply and install</t>
        </is>
      </c>
      <c r="D798" s="34" t="inlineStr">
        <is>
          <t>Cost Account = CA-3048; WBS Code = 1.3.2</t>
        </is>
      </c>
      <c r="E798" s="34" t="inlineStr">
        <is>
          <t>R1290-v1</t>
        </is>
      </c>
      <c r="F798" s="34" t="inlineStr">
        <is>
          <t>1.3.2 Systems - Signalling &amp; Train Control</t>
        </is>
      </c>
      <c r="G798" s="34" t="inlineStr">
        <is>
          <t>ONE_TO_ONE</t>
        </is>
      </c>
      <c r="H798" s="34" t="inlineStr">
        <is>
          <t>APPROVED</t>
        </is>
      </c>
      <c r="I798" s="34" t="inlineStr">
        <is>
          <t>New</t>
        </is>
      </c>
      <c r="J798" s="34" t="inlineStr">
        <is>
          <t>Source assignment -- not individually reviewed</t>
        </is>
      </c>
      <c r="K798" s="39" t="inlineStr"/>
      <c r="L798" s="14" t="inlineStr"/>
      <c r="M798" s="14" t="inlineStr"/>
      <c r="N798" s="92" t="inlineStr">
        <is>
          <t>10 EVIDENCE &amp; DECISIONS</t>
        </is>
      </c>
    </row>
    <row r="799" ht="34" customHeight="1">
      <c r="A799" s="34" t="inlineStr">
        <is>
          <t>Cost &amp; Forecast Control Accounts</t>
        </is>
      </c>
      <c r="B799" s="34" t="inlineStr">
        <is>
          <t>CST-03-050</t>
        </is>
      </c>
      <c r="C799" s="34" t="inlineStr">
        <is>
          <t>Systems - signalling - allowance</t>
        </is>
      </c>
      <c r="D799" s="34" t="inlineStr">
        <is>
          <t>Cost Account = CA-3050; WBS Code = 1.3.2</t>
        </is>
      </c>
      <c r="E799" s="34" t="inlineStr">
        <is>
          <t>R1292-v1</t>
        </is>
      </c>
      <c r="F799" s="34" t="inlineStr">
        <is>
          <t>1.3.2 Systems - Signalling &amp; Train Control</t>
        </is>
      </c>
      <c r="G799" s="34" t="inlineStr">
        <is>
          <t>ONE_TO_ONE</t>
        </is>
      </c>
      <c r="H799" s="34" t="inlineStr">
        <is>
          <t>APPROVED</t>
        </is>
      </c>
      <c r="I799" s="34" t="inlineStr">
        <is>
          <t>New</t>
        </is>
      </c>
      <c r="J799" s="34" t="inlineStr">
        <is>
          <t>Source assignment -- not individually reviewed</t>
        </is>
      </c>
      <c r="K799" s="39" t="inlineStr"/>
      <c r="L799" s="14" t="inlineStr"/>
      <c r="M799" s="14" t="inlineStr"/>
      <c r="N799" s="92" t="inlineStr">
        <is>
          <t>10 EVIDENCE &amp; DECISIONS</t>
        </is>
      </c>
    </row>
    <row r="800" ht="34" customHeight="1">
      <c r="A800" s="34" t="inlineStr">
        <is>
          <t>Cost &amp; Forecast Control Accounts</t>
        </is>
      </c>
      <c r="B800" s="34" t="inlineStr">
        <is>
          <t>CST-03-052</t>
        </is>
      </c>
      <c r="C800" s="34" t="inlineStr">
        <is>
          <t>Systems - systems integration - field package</t>
        </is>
      </c>
      <c r="D800" s="34" t="inlineStr">
        <is>
          <t>Cost Account = CA-3052; WBS Code = 1.3.2</t>
        </is>
      </c>
      <c r="E800" s="34" t="inlineStr">
        <is>
          <t>R1294-v1</t>
        </is>
      </c>
      <c r="F800" s="34" t="inlineStr">
        <is>
          <t>1.3.2 Systems - Signalling &amp; Train Control</t>
        </is>
      </c>
      <c r="G800" s="34" t="inlineStr">
        <is>
          <t>ONE_TO_ONE</t>
        </is>
      </c>
      <c r="H800" s="34" t="inlineStr">
        <is>
          <t>APPROVED</t>
        </is>
      </c>
      <c r="I800" s="34" t="inlineStr">
        <is>
          <t>New</t>
        </is>
      </c>
      <c r="J800" s="34" t="inlineStr">
        <is>
          <t>Source assignment -- not individually reviewed</t>
        </is>
      </c>
      <c r="K800" s="39" t="inlineStr"/>
      <c r="L800" s="14" t="inlineStr"/>
      <c r="M800" s="14" t="inlineStr"/>
      <c r="N800" s="92" t="inlineStr">
        <is>
          <t>10 EVIDENCE &amp; DECISIONS</t>
        </is>
      </c>
    </row>
    <row r="801" ht="34" customHeight="1">
      <c r="A801" s="34" t="inlineStr">
        <is>
          <t>Cost &amp; Forecast Control Accounts</t>
        </is>
      </c>
      <c r="B801" s="34" t="inlineStr">
        <is>
          <t>CST-03-054</t>
        </is>
      </c>
      <c r="C801" s="34" t="inlineStr">
        <is>
          <t>Systems - train control - professional services</t>
        </is>
      </c>
      <c r="D801" s="34" t="inlineStr">
        <is>
          <t>Cost Account = CA-3054; WBS Code = 1.3.2</t>
        </is>
      </c>
      <c r="E801" s="34" t="inlineStr">
        <is>
          <t>R1296-v1</t>
        </is>
      </c>
      <c r="F801" s="34" t="inlineStr">
        <is>
          <t>1.3.2 Systems - Signalling &amp; Train Control</t>
        </is>
      </c>
      <c r="G801" s="34" t="inlineStr">
        <is>
          <t>ONE_TO_ONE</t>
        </is>
      </c>
      <c r="H801" s="34" t="inlineStr">
        <is>
          <t>APPROVED</t>
        </is>
      </c>
      <c r="I801" s="34" t="inlineStr">
        <is>
          <t>New</t>
        </is>
      </c>
      <c r="J801" s="34" t="inlineStr">
        <is>
          <t>Source assignment -- not individually reviewed</t>
        </is>
      </c>
      <c r="K801" s="39" t="inlineStr"/>
      <c r="L801" s="14" t="inlineStr"/>
      <c r="M801" s="14" t="inlineStr"/>
      <c r="N801" s="92" t="inlineStr">
        <is>
          <t>10 EVIDENCE &amp; DECISIONS</t>
        </is>
      </c>
    </row>
    <row r="802" ht="34" customHeight="1">
      <c r="A802" s="34" t="inlineStr">
        <is>
          <t>Cost &amp; Forecast Control Accounts</t>
        </is>
      </c>
      <c r="B802" s="34" t="inlineStr">
        <is>
          <t>CST-03-056</t>
        </is>
      </c>
      <c r="C802" s="34" t="inlineStr">
        <is>
          <t>Systems - signalling - closeout</t>
        </is>
      </c>
      <c r="D802" s="34" t="inlineStr">
        <is>
          <t>Cost Account = CA-3056; WBS Code = 1.3.2</t>
        </is>
      </c>
      <c r="E802" s="34" t="inlineStr">
        <is>
          <t>R1298-v1</t>
        </is>
      </c>
      <c r="F802" s="34" t="inlineStr">
        <is>
          <t>1.3.2 Systems - Signalling &amp; Train Control</t>
        </is>
      </c>
      <c r="G802" s="34" t="inlineStr">
        <is>
          <t>ONE_TO_ONE</t>
        </is>
      </c>
      <c r="H802" s="34" t="inlineStr">
        <is>
          <t>APPROVED</t>
        </is>
      </c>
      <c r="I802" s="34" t="inlineStr">
        <is>
          <t>New</t>
        </is>
      </c>
      <c r="J802" s="34" t="inlineStr">
        <is>
          <t>Source assignment -- not individually reviewed</t>
        </is>
      </c>
      <c r="K802" s="39" t="inlineStr"/>
      <c r="L802" s="14" t="inlineStr"/>
      <c r="M802" s="14" t="inlineStr"/>
      <c r="N802" s="92" t="inlineStr">
        <is>
          <t>10 EVIDENCE &amp; DECISIONS</t>
        </is>
      </c>
    </row>
    <row r="803" ht="34" customHeight="1">
      <c r="A803" s="34" t="inlineStr">
        <is>
          <t>Cost &amp; Forecast Control Accounts</t>
        </is>
      </c>
      <c r="B803" s="34" t="inlineStr">
        <is>
          <t>CST-03-058</t>
        </is>
      </c>
      <c r="C803" s="34" t="inlineStr">
        <is>
          <t>Systems - systems integration - supply and install</t>
        </is>
      </c>
      <c r="D803" s="34" t="inlineStr">
        <is>
          <t>Cost Account = CA-3058; WBS Code = 1.3.2</t>
        </is>
      </c>
      <c r="E803" s="34" t="inlineStr">
        <is>
          <t>R1300-v1</t>
        </is>
      </c>
      <c r="F803" s="34" t="inlineStr">
        <is>
          <t>1.3.2 Systems - Signalling &amp; Train Control</t>
        </is>
      </c>
      <c r="G803" s="34" t="inlineStr">
        <is>
          <t>ONE_TO_ONE</t>
        </is>
      </c>
      <c r="H803" s="34" t="inlineStr">
        <is>
          <t>APPROVED</t>
        </is>
      </c>
      <c r="I803" s="34" t="inlineStr">
        <is>
          <t>New</t>
        </is>
      </c>
      <c r="J803" s="34" t="inlineStr">
        <is>
          <t>Source assignment -- not individually reviewed</t>
        </is>
      </c>
      <c r="K803" s="39" t="inlineStr"/>
      <c r="L803" s="14" t="inlineStr"/>
      <c r="M803" s="14" t="inlineStr"/>
      <c r="N803" s="92" t="inlineStr">
        <is>
          <t>10 EVIDENCE &amp; DECISIONS</t>
        </is>
      </c>
    </row>
    <row r="804" ht="34" customHeight="1">
      <c r="A804" s="34" t="inlineStr">
        <is>
          <t>Cost &amp; Forecast Control Accounts</t>
        </is>
      </c>
      <c r="B804" s="34" t="inlineStr">
        <is>
          <t>CST-03-060</t>
        </is>
      </c>
      <c r="C804" s="34" t="inlineStr">
        <is>
          <t>Systems - train control - allowance</t>
        </is>
      </c>
      <c r="D804" s="34" t="inlineStr">
        <is>
          <t>Cost Account = CA-3060; WBS Code = 1.3.2</t>
        </is>
      </c>
      <c r="E804" s="34" t="inlineStr">
        <is>
          <t>R1302-v1</t>
        </is>
      </c>
      <c r="F804" s="34" t="inlineStr">
        <is>
          <t>1.3.2 Systems - Signalling &amp; Train Control</t>
        </is>
      </c>
      <c r="G804" s="34" t="inlineStr">
        <is>
          <t>ONE_TO_ONE</t>
        </is>
      </c>
      <c r="H804" s="34" t="inlineStr">
        <is>
          <t>APPROVED</t>
        </is>
      </c>
      <c r="I804" s="34" t="inlineStr">
        <is>
          <t>New</t>
        </is>
      </c>
      <c r="J804" s="34" t="inlineStr">
        <is>
          <t>Source assignment -- not individually reviewed</t>
        </is>
      </c>
      <c r="K804" s="39" t="inlineStr"/>
      <c r="L804" s="14" t="inlineStr"/>
      <c r="M804" s="14" t="inlineStr"/>
      <c r="N804" s="92" t="inlineStr">
        <is>
          <t>10 EVIDENCE &amp; DECISIONS</t>
        </is>
      </c>
    </row>
    <row r="805" ht="34" customHeight="1">
      <c r="A805" s="34" t="inlineStr">
        <is>
          <t>Cost &amp; Forecast Control Accounts</t>
        </is>
      </c>
      <c r="B805" s="34" t="inlineStr">
        <is>
          <t>CST-03-062</t>
        </is>
      </c>
      <c r="C805" s="34" t="inlineStr">
        <is>
          <t>Systems - signalling - field package</t>
        </is>
      </c>
      <c r="D805" s="34" t="inlineStr">
        <is>
          <t>Cost Account = CA-3062; WBS Code = 1.3.2</t>
        </is>
      </c>
      <c r="E805" s="34" t="inlineStr">
        <is>
          <t>R1304-v1</t>
        </is>
      </c>
      <c r="F805" s="34" t="inlineStr">
        <is>
          <t>1.3.2 Systems - Signalling &amp; Train Control</t>
        </is>
      </c>
      <c r="G805" s="34" t="inlineStr">
        <is>
          <t>ONE_TO_ONE</t>
        </is>
      </c>
      <c r="H805" s="34" t="inlineStr">
        <is>
          <t>APPROVED</t>
        </is>
      </c>
      <c r="I805" s="34" t="inlineStr">
        <is>
          <t>New</t>
        </is>
      </c>
      <c r="J805" s="34" t="inlineStr">
        <is>
          <t>Source assignment -- not individually reviewed</t>
        </is>
      </c>
      <c r="K805" s="39" t="inlineStr"/>
      <c r="L805" s="14" t="inlineStr"/>
      <c r="M805" s="14" t="inlineStr"/>
      <c r="N805" s="92" t="inlineStr">
        <is>
          <t>10 EVIDENCE &amp; DECISIONS</t>
        </is>
      </c>
    </row>
    <row r="806" ht="34" customHeight="1">
      <c r="A806" s="34" t="inlineStr">
        <is>
          <t>Cost &amp; Forecast Control Accounts</t>
        </is>
      </c>
      <c r="B806" s="34" t="inlineStr">
        <is>
          <t>CST-03-064</t>
        </is>
      </c>
      <c r="C806" s="34" t="inlineStr">
        <is>
          <t>Systems - systems integration - professional services</t>
        </is>
      </c>
      <c r="D806" s="34" t="inlineStr">
        <is>
          <t>Cost Account = CA-3064; WBS Code = 1.3.2</t>
        </is>
      </c>
      <c r="E806" s="34" t="inlineStr">
        <is>
          <t>R1306-v1</t>
        </is>
      </c>
      <c r="F806" s="34" t="inlineStr">
        <is>
          <t>1.3.2 Systems - Signalling &amp; Train Control</t>
        </is>
      </c>
      <c r="G806" s="34" t="inlineStr">
        <is>
          <t>ONE_TO_ONE</t>
        </is>
      </c>
      <c r="H806" s="34" t="inlineStr">
        <is>
          <t>APPROVED</t>
        </is>
      </c>
      <c r="I806" s="34" t="inlineStr">
        <is>
          <t>New</t>
        </is>
      </c>
      <c r="J806" s="34" t="inlineStr">
        <is>
          <t>Source assignment -- not individually reviewed</t>
        </is>
      </c>
      <c r="K806" s="39" t="inlineStr"/>
      <c r="L806" s="14" t="inlineStr"/>
      <c r="M806" s="14" t="inlineStr"/>
      <c r="N806" s="92" t="inlineStr">
        <is>
          <t>10 EVIDENCE &amp; DECISIONS</t>
        </is>
      </c>
    </row>
    <row r="807" ht="34" customHeight="1">
      <c r="A807" s="34" t="inlineStr">
        <is>
          <t>Cost &amp; Forecast Control Accounts</t>
        </is>
      </c>
      <c r="B807" s="34" t="inlineStr">
        <is>
          <t>CST-03-066</t>
        </is>
      </c>
      <c r="C807" s="34" t="inlineStr">
        <is>
          <t>Systems - train control - closeout</t>
        </is>
      </c>
      <c r="D807" s="34" t="inlineStr">
        <is>
          <t>Cost Account = CA-3066; WBS Code = 1.3.2</t>
        </is>
      </c>
      <c r="E807" s="34" t="inlineStr">
        <is>
          <t>R1308-v1</t>
        </is>
      </c>
      <c r="F807" s="34" t="inlineStr">
        <is>
          <t>1.3.2 Systems - Signalling &amp; Train Control</t>
        </is>
      </c>
      <c r="G807" s="34" t="inlineStr">
        <is>
          <t>ONE_TO_ONE</t>
        </is>
      </c>
      <c r="H807" s="34" t="inlineStr">
        <is>
          <t>APPROVED</t>
        </is>
      </c>
      <c r="I807" s="34" t="inlineStr">
        <is>
          <t>New</t>
        </is>
      </c>
      <c r="J807" s="34" t="inlineStr">
        <is>
          <t>Source assignment -- not individually reviewed</t>
        </is>
      </c>
      <c r="K807" s="39" t="inlineStr"/>
      <c r="L807" s="14" t="inlineStr"/>
      <c r="M807" s="14" t="inlineStr"/>
      <c r="N807" s="92" t="inlineStr">
        <is>
          <t>10 EVIDENCE &amp; DECISIONS</t>
        </is>
      </c>
    </row>
    <row r="808" ht="34" customHeight="1">
      <c r="A808" s="34" t="inlineStr">
        <is>
          <t>Cost &amp; Forecast Control Accounts</t>
        </is>
      </c>
      <c r="B808" s="34" t="inlineStr">
        <is>
          <t>CST-03-068</t>
        </is>
      </c>
      <c r="C808" s="34" t="inlineStr">
        <is>
          <t>Systems - signalling - supply and install</t>
        </is>
      </c>
      <c r="D808" s="34" t="inlineStr">
        <is>
          <t>Cost Account = CA-3068; WBS Code = 1.3.2</t>
        </is>
      </c>
      <c r="E808" s="34" t="inlineStr">
        <is>
          <t>R1310-v1</t>
        </is>
      </c>
      <c r="F808" s="34" t="inlineStr">
        <is>
          <t>1.3.2 Systems - Signalling &amp; Train Control</t>
        </is>
      </c>
      <c r="G808" s="34" t="inlineStr">
        <is>
          <t>ONE_TO_ONE</t>
        </is>
      </c>
      <c r="H808" s="34" t="inlineStr">
        <is>
          <t>APPROVED</t>
        </is>
      </c>
      <c r="I808" s="34" t="inlineStr">
        <is>
          <t>New</t>
        </is>
      </c>
      <c r="J808" s="34" t="inlineStr">
        <is>
          <t>Source assignment -- not individually reviewed</t>
        </is>
      </c>
      <c r="K808" s="39" t="inlineStr"/>
      <c r="L808" s="14" t="inlineStr"/>
      <c r="M808" s="14" t="inlineStr"/>
      <c r="N808" s="92" t="inlineStr">
        <is>
          <t>10 EVIDENCE &amp; DECISIONS</t>
        </is>
      </c>
    </row>
    <row r="809" ht="34" customHeight="1">
      <c r="A809" s="34" t="inlineStr">
        <is>
          <t>Cost &amp; Forecast Control Accounts</t>
        </is>
      </c>
      <c r="B809" s="34" t="inlineStr">
        <is>
          <t>CST-03-070</t>
        </is>
      </c>
      <c r="C809" s="34" t="inlineStr">
        <is>
          <t>Systems - systems integration - allowance</t>
        </is>
      </c>
      <c r="D809" s="34" t="inlineStr">
        <is>
          <t>Cost Account = CA-3070; WBS Code = 1.3.2</t>
        </is>
      </c>
      <c r="E809" s="34" t="inlineStr">
        <is>
          <t>R1312-v1</t>
        </is>
      </c>
      <c r="F809" s="34" t="inlineStr">
        <is>
          <t>1.3.2 Systems - Signalling &amp; Train Control</t>
        </is>
      </c>
      <c r="G809" s="34" t="inlineStr">
        <is>
          <t>ONE_TO_ONE</t>
        </is>
      </c>
      <c r="H809" s="34" t="inlineStr">
        <is>
          <t>APPROVED</t>
        </is>
      </c>
      <c r="I809" s="34" t="inlineStr">
        <is>
          <t>New</t>
        </is>
      </c>
      <c r="J809" s="34" t="inlineStr">
        <is>
          <t>Source assignment -- not individually reviewed</t>
        </is>
      </c>
      <c r="K809" s="39" t="inlineStr"/>
      <c r="L809" s="14" t="inlineStr"/>
      <c r="M809" s="14" t="inlineStr"/>
      <c r="N809" s="92" t="inlineStr">
        <is>
          <t>10 EVIDENCE &amp; DECISIONS</t>
        </is>
      </c>
    </row>
    <row r="810" ht="34" customHeight="1">
      <c r="A810" s="34" t="inlineStr">
        <is>
          <t>Cost &amp; Forecast Control Accounts</t>
        </is>
      </c>
      <c r="B810" s="34" t="inlineStr">
        <is>
          <t>CST-03-072</t>
        </is>
      </c>
      <c r="C810" s="34" t="inlineStr">
        <is>
          <t>Systems - train control - field package</t>
        </is>
      </c>
      <c r="D810" s="34" t="inlineStr">
        <is>
          <t>Cost Account = CA-3072; WBS Code = 1.3.2</t>
        </is>
      </c>
      <c r="E810" s="34" t="inlineStr">
        <is>
          <t>R1314-v1</t>
        </is>
      </c>
      <c r="F810" s="34" t="inlineStr">
        <is>
          <t>1.3.2 Systems - Signalling &amp; Train Control</t>
        </is>
      </c>
      <c r="G810" s="34" t="inlineStr">
        <is>
          <t>ONE_TO_ONE</t>
        </is>
      </c>
      <c r="H810" s="34" t="inlineStr">
        <is>
          <t>APPROVED</t>
        </is>
      </c>
      <c r="I810" s="34" t="inlineStr">
        <is>
          <t>New</t>
        </is>
      </c>
      <c r="J810" s="34" t="inlineStr">
        <is>
          <t>Source assignment -- not individually reviewed</t>
        </is>
      </c>
      <c r="K810" s="39" t="inlineStr"/>
      <c r="L810" s="14" t="inlineStr"/>
      <c r="M810" s="14" t="inlineStr"/>
      <c r="N810" s="92" t="inlineStr">
        <is>
          <t>10 EVIDENCE &amp; DECISIONS</t>
        </is>
      </c>
    </row>
    <row r="811" ht="34" customHeight="1">
      <c r="A811" s="34" t="inlineStr">
        <is>
          <t>Cost &amp; Forecast Control Accounts</t>
        </is>
      </c>
      <c r="B811" s="34" t="inlineStr">
        <is>
          <t>CST-03-074</t>
        </is>
      </c>
      <c r="C811" s="34" t="inlineStr">
        <is>
          <t>Systems - signalling - professional services</t>
        </is>
      </c>
      <c r="D811" s="34" t="inlineStr">
        <is>
          <t>Cost Account = CA-3074; WBS Code = 1.3.2</t>
        </is>
      </c>
      <c r="E811" s="34" t="inlineStr">
        <is>
          <t>R1316-v1</t>
        </is>
      </c>
      <c r="F811" s="34" t="inlineStr">
        <is>
          <t>1.3.2 Systems - Signalling &amp; Train Control</t>
        </is>
      </c>
      <c r="G811" s="34" t="inlineStr">
        <is>
          <t>ONE_TO_ONE</t>
        </is>
      </c>
      <c r="H811" s="34" t="inlineStr">
        <is>
          <t>APPROVED</t>
        </is>
      </c>
      <c r="I811" s="34" t="inlineStr">
        <is>
          <t>New</t>
        </is>
      </c>
      <c r="J811" s="34" t="inlineStr">
        <is>
          <t>Source assignment -- not individually reviewed</t>
        </is>
      </c>
      <c r="K811" s="39" t="inlineStr"/>
      <c r="L811" s="14" t="inlineStr"/>
      <c r="M811" s="14" t="inlineStr"/>
      <c r="N811" s="92" t="inlineStr">
        <is>
          <t>10 EVIDENCE &amp; DECISIONS</t>
        </is>
      </c>
    </row>
    <row r="812" ht="34" customHeight="1">
      <c r="A812" s="34" t="inlineStr">
        <is>
          <t>Cost &amp; Forecast Control Accounts</t>
        </is>
      </c>
      <c r="B812" s="34" t="inlineStr">
        <is>
          <t>CST-03-076</t>
        </is>
      </c>
      <c r="C812" s="34" t="inlineStr">
        <is>
          <t>Systems - systems integration - closeout</t>
        </is>
      </c>
      <c r="D812" s="34" t="inlineStr">
        <is>
          <t>Cost Account = CA-3076; WBS Code = 1.3.2</t>
        </is>
      </c>
      <c r="E812" s="34" t="inlineStr">
        <is>
          <t>R1318-v1</t>
        </is>
      </c>
      <c r="F812" s="34" t="inlineStr">
        <is>
          <t>1.3.2 Systems - Signalling &amp; Train Control</t>
        </is>
      </c>
      <c r="G812" s="34" t="inlineStr">
        <is>
          <t>ONE_TO_ONE</t>
        </is>
      </c>
      <c r="H812" s="34" t="inlineStr">
        <is>
          <t>APPROVED</t>
        </is>
      </c>
      <c r="I812" s="34" t="inlineStr">
        <is>
          <t>New</t>
        </is>
      </c>
      <c r="J812" s="34" t="inlineStr">
        <is>
          <t>Source assignment -- not individually reviewed</t>
        </is>
      </c>
      <c r="K812" s="39" t="inlineStr"/>
      <c r="L812" s="14" t="inlineStr"/>
      <c r="M812" s="14" t="inlineStr"/>
      <c r="N812" s="92" t="inlineStr">
        <is>
          <t>10 EVIDENCE &amp; DECISIONS</t>
        </is>
      </c>
    </row>
    <row r="813" ht="34" customHeight="1">
      <c r="A813" s="34" t="inlineStr">
        <is>
          <t>Cost &amp; Forecast Control Accounts</t>
        </is>
      </c>
      <c r="B813" s="34" t="inlineStr">
        <is>
          <t>CST-03-078</t>
        </is>
      </c>
      <c r="C813" s="34" t="inlineStr">
        <is>
          <t>Systems - train control - supply and install</t>
        </is>
      </c>
      <c r="D813" s="34" t="inlineStr">
        <is>
          <t>Cost Account = CA-3078; WBS Code = 1.3.2</t>
        </is>
      </c>
      <c r="E813" s="34" t="inlineStr">
        <is>
          <t>R1320-v1</t>
        </is>
      </c>
      <c r="F813" s="34" t="inlineStr">
        <is>
          <t>1.3.2 Systems - Signalling &amp; Train Control</t>
        </is>
      </c>
      <c r="G813" s="34" t="inlineStr">
        <is>
          <t>ONE_TO_ONE</t>
        </is>
      </c>
      <c r="H813" s="34" t="inlineStr">
        <is>
          <t>APPROVED</t>
        </is>
      </c>
      <c r="I813" s="34" t="inlineStr">
        <is>
          <t>New</t>
        </is>
      </c>
      <c r="J813" s="34" t="inlineStr">
        <is>
          <t>Source assignment -- not individually reviewed</t>
        </is>
      </c>
      <c r="K813" s="39" t="inlineStr"/>
      <c r="L813" s="14" t="inlineStr"/>
      <c r="M813" s="14" t="inlineStr"/>
      <c r="N813" s="92" t="inlineStr">
        <is>
          <t>10 EVIDENCE &amp; DECISIONS</t>
        </is>
      </c>
    </row>
    <row r="814" ht="34" customHeight="1">
      <c r="A814" s="34" t="inlineStr">
        <is>
          <t>Cost &amp; Forecast Control Accounts</t>
        </is>
      </c>
      <c r="B814" s="34" t="inlineStr">
        <is>
          <t>CST-03-080</t>
        </is>
      </c>
      <c r="C814" s="34" t="inlineStr">
        <is>
          <t>Systems - signalling - allowance</t>
        </is>
      </c>
      <c r="D814" s="34" t="inlineStr">
        <is>
          <t>Cost Account = CA-3080; WBS Code = 1.3.2</t>
        </is>
      </c>
      <c r="E814" s="34" t="inlineStr">
        <is>
          <t>R1322-v1</t>
        </is>
      </c>
      <c r="F814" s="34" t="inlineStr">
        <is>
          <t>1.3.2 Systems - Signalling &amp; Train Control</t>
        </is>
      </c>
      <c r="G814" s="34" t="inlineStr">
        <is>
          <t>ONE_TO_ONE</t>
        </is>
      </c>
      <c r="H814" s="34" t="inlineStr">
        <is>
          <t>APPROVED</t>
        </is>
      </c>
      <c r="I814" s="34" t="inlineStr">
        <is>
          <t>New</t>
        </is>
      </c>
      <c r="J814" s="34" t="inlineStr">
        <is>
          <t>Source assignment -- not individually reviewed</t>
        </is>
      </c>
      <c r="K814" s="39" t="inlineStr"/>
      <c r="L814" s="14" t="inlineStr"/>
      <c r="M814" s="14" t="inlineStr"/>
      <c r="N814" s="92" t="inlineStr">
        <is>
          <t>10 EVIDENCE &amp; DECISIONS</t>
        </is>
      </c>
    </row>
    <row r="815" ht="34" customHeight="1">
      <c r="A815" s="34" t="inlineStr">
        <is>
          <t>Commercial Package Register</t>
        </is>
      </c>
      <c r="B815" s="34" t="inlineStr">
        <is>
          <t>PKG-031</t>
        </is>
      </c>
      <c r="C815" s="34" t="inlineStr">
        <is>
          <t>Fleet Supply</t>
        </is>
      </c>
      <c r="D815" s="34" t="inlineStr">
        <is>
          <t>Package Code = PK-401; WBS Code = 1.4</t>
        </is>
      </c>
      <c r="E815" s="34" t="inlineStr">
        <is>
          <t>R1593-v1</t>
        </is>
      </c>
      <c r="F815" s="34" t="inlineStr">
        <is>
          <t>1.4 Vehicles and Depot</t>
        </is>
      </c>
      <c r="G815" s="34" t="inlineStr">
        <is>
          <t>ONE_TO_ONE</t>
        </is>
      </c>
      <c r="H815" s="34" t="inlineStr">
        <is>
          <t>APPROVED</t>
        </is>
      </c>
      <c r="I815" s="34" t="inlineStr">
        <is>
          <t>New</t>
        </is>
      </c>
      <c r="J815" s="34" t="inlineStr">
        <is>
          <t>Source assignment -- not individually reviewed</t>
        </is>
      </c>
      <c r="K815" s="39" t="inlineStr"/>
      <c r="L815" s="14" t="inlineStr"/>
      <c r="M815" s="14" t="inlineStr"/>
      <c r="N815" s="92" t="inlineStr">
        <is>
          <t>10 EVIDENCE &amp; DECISIONS</t>
        </is>
      </c>
    </row>
    <row r="816" ht="34" customHeight="1">
      <c r="A816" s="34" t="inlineStr">
        <is>
          <t>Commercial Package Register</t>
        </is>
      </c>
      <c r="B816" s="34" t="inlineStr">
        <is>
          <t>PKG-032</t>
        </is>
      </c>
      <c r="C816" s="34" t="inlineStr">
        <is>
          <t>Depot Buildings</t>
        </is>
      </c>
      <c r="D816" s="34" t="inlineStr">
        <is>
          <t>Package Code = PK-402; WBS Code = 1.4</t>
        </is>
      </c>
      <c r="E816" s="34" t="inlineStr">
        <is>
          <t>R1594-v1</t>
        </is>
      </c>
      <c r="F816" s="34" t="inlineStr">
        <is>
          <t>1.4 Vehicles and Depot</t>
        </is>
      </c>
      <c r="G816" s="34" t="inlineStr">
        <is>
          <t>ONE_TO_ONE</t>
        </is>
      </c>
      <c r="H816" s="34" t="inlineStr">
        <is>
          <t>APPROVED</t>
        </is>
      </c>
      <c r="I816" s="34" t="inlineStr">
        <is>
          <t>New</t>
        </is>
      </c>
      <c r="J816" s="34" t="inlineStr">
        <is>
          <t>Source assignment -- not individually reviewed</t>
        </is>
      </c>
      <c r="K816" s="39" t="inlineStr"/>
      <c r="L816" s="14" t="inlineStr"/>
      <c r="M816" s="14" t="inlineStr"/>
      <c r="N816" s="92" t="inlineStr">
        <is>
          <t>10 EVIDENCE &amp; DECISIONS</t>
        </is>
      </c>
    </row>
    <row r="817" ht="34" customHeight="1">
      <c r="A817" s="34" t="inlineStr">
        <is>
          <t>Commercial Package Register</t>
        </is>
      </c>
      <c r="B817" s="34" t="inlineStr">
        <is>
          <t>PKG-033</t>
        </is>
      </c>
      <c r="C817" s="34" t="inlineStr">
        <is>
          <t>Workshop Equipment</t>
        </is>
      </c>
      <c r="D817" s="34" t="inlineStr">
        <is>
          <t>Package Code = PK-403; WBS Code = 1.4</t>
        </is>
      </c>
      <c r="E817" s="34" t="inlineStr">
        <is>
          <t>R1595-v1</t>
        </is>
      </c>
      <c r="F817" s="34" t="inlineStr">
        <is>
          <t>1.4 Vehicles and Depot</t>
        </is>
      </c>
      <c r="G817" s="34" t="inlineStr">
        <is>
          <t>ONE_TO_ONE</t>
        </is>
      </c>
      <c r="H817" s="34" t="inlineStr">
        <is>
          <t>APPROVED</t>
        </is>
      </c>
      <c r="I817" s="34" t="inlineStr">
        <is>
          <t>New</t>
        </is>
      </c>
      <c r="J817" s="34" t="inlineStr">
        <is>
          <t>Source assignment -- not individually reviewed</t>
        </is>
      </c>
      <c r="K817" s="39" t="inlineStr"/>
      <c r="L817" s="14" t="inlineStr"/>
      <c r="M817" s="14" t="inlineStr"/>
      <c r="N817" s="92" t="inlineStr">
        <is>
          <t>10 EVIDENCE &amp; DECISIONS</t>
        </is>
      </c>
    </row>
    <row r="818" ht="34" customHeight="1">
      <c r="A818" s="34" t="inlineStr">
        <is>
          <t>Commercial Package Register</t>
        </is>
      </c>
      <c r="B818" s="34" t="inlineStr">
        <is>
          <t>PKG-034</t>
        </is>
      </c>
      <c r="C818" s="34" t="inlineStr">
        <is>
          <t>Vehicle Integration</t>
        </is>
      </c>
      <c r="D818" s="34" t="inlineStr">
        <is>
          <t>Package Code = PK-404; WBS Code = 1.4</t>
        </is>
      </c>
      <c r="E818" s="34" t="inlineStr">
        <is>
          <t>R1596-v1</t>
        </is>
      </c>
      <c r="F818" s="34" t="inlineStr">
        <is>
          <t>1.4 Vehicles and Depot</t>
        </is>
      </c>
      <c r="G818" s="34" t="inlineStr">
        <is>
          <t>ONE_TO_ONE</t>
        </is>
      </c>
      <c r="H818" s="34" t="inlineStr">
        <is>
          <t>APPROVED</t>
        </is>
      </c>
      <c r="I818" s="34" t="inlineStr">
        <is>
          <t>New</t>
        </is>
      </c>
      <c r="J818" s="34" t="inlineStr">
        <is>
          <t>Source assignment -- not individually reviewed</t>
        </is>
      </c>
      <c r="K818" s="39" t="inlineStr"/>
      <c r="L818" s="14" t="inlineStr"/>
      <c r="M818" s="14" t="inlineStr"/>
      <c r="N818" s="92" t="inlineStr">
        <is>
          <t>10 EVIDENCE &amp; DECISIONS</t>
        </is>
      </c>
    </row>
    <row r="819" ht="34" customHeight="1">
      <c r="A819" s="34" t="inlineStr">
        <is>
          <t>Commercial Package Register</t>
        </is>
      </c>
      <c r="B819" s="34" t="inlineStr">
        <is>
          <t>PKG-035</t>
        </is>
      </c>
      <c r="C819" s="34" t="inlineStr">
        <is>
          <t>Fleet Supply - Lot 2</t>
        </is>
      </c>
      <c r="D819" s="34" t="inlineStr">
        <is>
          <t>Package Code = PK-405; WBS Code = 1.4</t>
        </is>
      </c>
      <c r="E819" s="34" t="inlineStr">
        <is>
          <t>R1597-v1</t>
        </is>
      </c>
      <c r="F819" s="34" t="inlineStr">
        <is>
          <t>1.4 Vehicles and Depot</t>
        </is>
      </c>
      <c r="G819" s="34" t="inlineStr">
        <is>
          <t>ONE_TO_ONE</t>
        </is>
      </c>
      <c r="H819" s="34" t="inlineStr">
        <is>
          <t>APPROVED</t>
        </is>
      </c>
      <c r="I819" s="34" t="inlineStr">
        <is>
          <t>New</t>
        </is>
      </c>
      <c r="J819" s="34" t="inlineStr">
        <is>
          <t>Source assignment -- not individually reviewed</t>
        </is>
      </c>
      <c r="K819" s="39" t="inlineStr"/>
      <c r="L819" s="14" t="inlineStr"/>
      <c r="M819" s="14" t="inlineStr"/>
      <c r="N819" s="92" t="inlineStr">
        <is>
          <t>10 EVIDENCE &amp; DECISIONS</t>
        </is>
      </c>
    </row>
    <row r="820" ht="34" customHeight="1">
      <c r="A820" s="34" t="inlineStr">
        <is>
          <t>Commercial Package Register</t>
        </is>
      </c>
      <c r="B820" s="34" t="inlineStr">
        <is>
          <t>PKG-036</t>
        </is>
      </c>
      <c r="C820" s="34" t="inlineStr">
        <is>
          <t>Depot Buildings - Lot 2</t>
        </is>
      </c>
      <c r="D820" s="34" t="inlineStr">
        <is>
          <t>Package Code = PK-406; WBS Code = 1.4</t>
        </is>
      </c>
      <c r="E820" s="34" t="inlineStr">
        <is>
          <t>R1598-v1</t>
        </is>
      </c>
      <c r="F820" s="34" t="inlineStr">
        <is>
          <t>1.4 Vehicles and Depot</t>
        </is>
      </c>
      <c r="G820" s="34" t="inlineStr">
        <is>
          <t>ONE_TO_ONE</t>
        </is>
      </c>
      <c r="H820" s="34" t="inlineStr">
        <is>
          <t>APPROVED</t>
        </is>
      </c>
      <c r="I820" s="34" t="inlineStr">
        <is>
          <t>New</t>
        </is>
      </c>
      <c r="J820" s="34" t="inlineStr">
        <is>
          <t>Source assignment -- not individually reviewed</t>
        </is>
      </c>
      <c r="K820" s="39" t="inlineStr"/>
      <c r="L820" s="14" t="inlineStr"/>
      <c r="M820" s="14" t="inlineStr"/>
      <c r="N820" s="92" t="inlineStr">
        <is>
          <t>10 EVIDENCE &amp; DECISIONS</t>
        </is>
      </c>
    </row>
    <row r="821" ht="34" customHeight="1">
      <c r="A821" s="34" t="inlineStr">
        <is>
          <t>Commercial Package Register</t>
        </is>
      </c>
      <c r="B821" s="34" t="inlineStr">
        <is>
          <t>PKG-037</t>
        </is>
      </c>
      <c r="C821" s="34" t="inlineStr">
        <is>
          <t>Workshop Equipment - Lot 2</t>
        </is>
      </c>
      <c r="D821" s="34" t="inlineStr">
        <is>
          <t>Package Code = PK-407; WBS Code = 1.4</t>
        </is>
      </c>
      <c r="E821" s="34" t="inlineStr">
        <is>
          <t>R1599-v1</t>
        </is>
      </c>
      <c r="F821" s="34" t="inlineStr">
        <is>
          <t>1.4 Vehicles and Depot</t>
        </is>
      </c>
      <c r="G821" s="34" t="inlineStr">
        <is>
          <t>ONE_TO_ONE</t>
        </is>
      </c>
      <c r="H821" s="34" t="inlineStr">
        <is>
          <t>APPROVED</t>
        </is>
      </c>
      <c r="I821" s="34" t="inlineStr">
        <is>
          <t>New</t>
        </is>
      </c>
      <c r="J821" s="34" t="inlineStr">
        <is>
          <t>Source assignment -- not individually reviewed</t>
        </is>
      </c>
      <c r="K821" s="39" t="inlineStr"/>
      <c r="L821" s="14" t="inlineStr"/>
      <c r="M821" s="14" t="inlineStr"/>
      <c r="N821" s="92" t="inlineStr">
        <is>
          <t>10 EVIDENCE &amp; DECISIONS</t>
        </is>
      </c>
    </row>
    <row r="822" ht="34" customHeight="1">
      <c r="A822" s="34" t="inlineStr">
        <is>
          <t>Commercial Package Register</t>
        </is>
      </c>
      <c r="B822" s="34" t="inlineStr">
        <is>
          <t>PKG-038</t>
        </is>
      </c>
      <c r="C822" s="34" t="inlineStr">
        <is>
          <t>Vehicle Integration - Lot 2</t>
        </is>
      </c>
      <c r="D822" s="34" t="inlineStr">
        <is>
          <t>Package Code = PK-408; WBS Code = 1.4</t>
        </is>
      </c>
      <c r="E822" s="34" t="inlineStr">
        <is>
          <t>R1600-v1</t>
        </is>
      </c>
      <c r="F822" s="34" t="inlineStr">
        <is>
          <t>1.4 Vehicles and Depot</t>
        </is>
      </c>
      <c r="G822" s="34" t="inlineStr">
        <is>
          <t>ONE_TO_ONE</t>
        </is>
      </c>
      <c r="H822" s="34" t="inlineStr">
        <is>
          <t>APPROVED</t>
        </is>
      </c>
      <c r="I822" s="34" t="inlineStr">
        <is>
          <t>New</t>
        </is>
      </c>
      <c r="J822" s="34" t="inlineStr">
        <is>
          <t>Source assignment -- not individually reviewed</t>
        </is>
      </c>
      <c r="K822" s="39" t="inlineStr"/>
      <c r="L822" s="14" t="inlineStr"/>
      <c r="M822" s="14" t="inlineStr"/>
      <c r="N822" s="92" t="inlineStr">
        <is>
          <t>10 EVIDENCE &amp; DECISIONS</t>
        </is>
      </c>
    </row>
    <row r="823" ht="34" customHeight="1">
      <c r="A823" s="34" t="inlineStr">
        <is>
          <t>Commercial Package Register</t>
        </is>
      </c>
      <c r="B823" s="34" t="inlineStr">
        <is>
          <t>PKG-039</t>
        </is>
      </c>
      <c r="C823" s="34" t="inlineStr">
        <is>
          <t>Fleet Supply - Lot 3</t>
        </is>
      </c>
      <c r="D823" s="34" t="inlineStr">
        <is>
          <t>Package Code = PK-409; WBS Code = 1.4</t>
        </is>
      </c>
      <c r="E823" s="34" t="inlineStr">
        <is>
          <t>R1601-v1</t>
        </is>
      </c>
      <c r="F823" s="34" t="inlineStr">
        <is>
          <t>1.4 Vehicles and Depot</t>
        </is>
      </c>
      <c r="G823" s="34" t="inlineStr">
        <is>
          <t>ONE_TO_ONE</t>
        </is>
      </c>
      <c r="H823" s="34" t="inlineStr">
        <is>
          <t>APPROVED</t>
        </is>
      </c>
      <c r="I823" s="34" t="inlineStr">
        <is>
          <t>New</t>
        </is>
      </c>
      <c r="J823" s="34" t="inlineStr">
        <is>
          <t>Source assignment -- not individually reviewed</t>
        </is>
      </c>
      <c r="K823" s="39" t="inlineStr"/>
      <c r="L823" s="14" t="inlineStr"/>
      <c r="M823" s="14" t="inlineStr"/>
      <c r="N823" s="92" t="inlineStr">
        <is>
          <t>10 EVIDENCE &amp; DECISIONS</t>
        </is>
      </c>
    </row>
    <row r="824" ht="34" customHeight="1">
      <c r="A824" s="34" t="inlineStr">
        <is>
          <t>Commercial Package Register</t>
        </is>
      </c>
      <c r="B824" s="34" t="inlineStr">
        <is>
          <t>PKG-040</t>
        </is>
      </c>
      <c r="C824" s="34" t="inlineStr">
        <is>
          <t>Depot Buildings - Lot 3</t>
        </is>
      </c>
      <c r="D824" s="34" t="inlineStr">
        <is>
          <t>Package Code = PK-410; WBS Code = 1.4</t>
        </is>
      </c>
      <c r="E824" s="34" t="inlineStr">
        <is>
          <t>R1602-v1</t>
        </is>
      </c>
      <c r="F824" s="34" t="inlineStr">
        <is>
          <t>1.4 Vehicles and Depot</t>
        </is>
      </c>
      <c r="G824" s="34" t="inlineStr">
        <is>
          <t>ONE_TO_ONE</t>
        </is>
      </c>
      <c r="H824" s="34" t="inlineStr">
        <is>
          <t>APPROVED</t>
        </is>
      </c>
      <c r="I824" s="34" t="inlineStr">
        <is>
          <t>New</t>
        </is>
      </c>
      <c r="J824" s="34" t="inlineStr">
        <is>
          <t>Source assignment -- not individually reviewed</t>
        </is>
      </c>
      <c r="K824" s="39" t="inlineStr"/>
      <c r="L824" s="14" t="inlineStr"/>
      <c r="M824" s="14" t="inlineStr"/>
      <c r="N824" s="92" t="inlineStr">
        <is>
          <t>10 EVIDENCE &amp; DECISIONS</t>
        </is>
      </c>
    </row>
    <row r="825" ht="34" customHeight="1">
      <c r="A825" s="34" t="inlineStr">
        <is>
          <t>Contractor Programme</t>
        </is>
      </c>
      <c r="B825" s="34" t="inlineStr">
        <is>
          <t>SCH-04-001</t>
        </is>
      </c>
      <c r="C825" s="34" t="inlineStr">
        <is>
          <t>Test track: vehicle-to-depot interface check - release</t>
        </is>
      </c>
      <c r="D825" s="34" t="inlineStr">
        <is>
          <t>WBS Code = 1.4.1</t>
        </is>
      </c>
      <c r="E825" s="34" t="inlineStr">
        <is>
          <t>R541-v1</t>
        </is>
      </c>
      <c r="F825" s="34" t="inlineStr">
        <is>
          <t>1.4.1 Vehicles and Depot - Fleet Supply</t>
        </is>
      </c>
      <c r="G825" s="34" t="inlineStr">
        <is>
          <t>ONE_TO_ONE</t>
        </is>
      </c>
      <c r="H825" s="34" t="inlineStr">
        <is>
          <t>APPROVED</t>
        </is>
      </c>
      <c r="I825" s="34" t="inlineStr">
        <is>
          <t>New</t>
        </is>
      </c>
      <c r="J825" s="34" t="inlineStr">
        <is>
          <t>Source assignment -- not individually reviewed</t>
        </is>
      </c>
      <c r="K825" s="39" t="inlineStr"/>
      <c r="L825" s="14" t="inlineStr"/>
      <c r="M825" s="14" t="inlineStr"/>
      <c r="N825" s="92" t="inlineStr">
        <is>
          <t>10 EVIDENCE &amp; DECISIONS</t>
        </is>
      </c>
    </row>
    <row r="826" ht="34" customHeight="1">
      <c r="A826" s="34" t="inlineStr">
        <is>
          <t>Contractor Programme</t>
        </is>
      </c>
      <c r="B826" s="34" t="inlineStr">
        <is>
          <t>SCH-04-002</t>
        </is>
      </c>
      <c r="C826" s="34" t="inlineStr">
        <is>
          <t>Receiving track: wheel-lathe installation - field start</t>
        </is>
      </c>
      <c r="D826" s="34" t="inlineStr">
        <is>
          <t>WBS Code = 1.4.1</t>
        </is>
      </c>
      <c r="E826" s="34" t="inlineStr">
        <is>
          <t>R542-v1</t>
        </is>
      </c>
      <c r="F826" s="34" t="inlineStr">
        <is>
          <t>1.4.1 Vehicles and Depot - Fleet Supply</t>
        </is>
      </c>
      <c r="G826" s="34" t="inlineStr">
        <is>
          <t>ONE_TO_ONE</t>
        </is>
      </c>
      <c r="H826" s="34" t="inlineStr">
        <is>
          <t>APPROVED</t>
        </is>
      </c>
      <c r="I826" s="34" t="inlineStr">
        <is>
          <t>New</t>
        </is>
      </c>
      <c r="J826" s="34" t="inlineStr">
        <is>
          <t>Source assignment -- not individually reviewed</t>
        </is>
      </c>
      <c r="K826" s="39" t="inlineStr"/>
      <c r="L826" s="14" t="inlineStr"/>
      <c r="M826" s="14" t="inlineStr"/>
      <c r="N826" s="92" t="inlineStr">
        <is>
          <t>10 EVIDENCE &amp; DECISIONS</t>
        </is>
      </c>
    </row>
    <row r="827" ht="34" customHeight="1">
      <c r="A827" s="34" t="inlineStr">
        <is>
          <t>Contractor Programme</t>
        </is>
      </c>
      <c r="B827" s="34" t="inlineStr">
        <is>
          <t>SCH-04-004</t>
        </is>
      </c>
      <c r="C827" s="34" t="inlineStr">
        <is>
          <t>Storage yard: vehicle delivery inspection - inspection</t>
        </is>
      </c>
      <c r="D827" s="34" t="inlineStr">
        <is>
          <t>WBS Code = 1.4.1</t>
        </is>
      </c>
      <c r="E827" s="34" t="inlineStr">
        <is>
          <t>R544-v1</t>
        </is>
      </c>
      <c r="F827" s="34" t="inlineStr">
        <is>
          <t>1.4.1 Vehicles and Depot - Fleet Supply</t>
        </is>
      </c>
      <c r="G827" s="34" t="inlineStr">
        <is>
          <t>ONE_TO_ONE</t>
        </is>
      </c>
      <c r="H827" s="34" t="inlineStr">
        <is>
          <t>APPROVED</t>
        </is>
      </c>
      <c r="I827" s="34" t="inlineStr">
        <is>
          <t>New</t>
        </is>
      </c>
      <c r="J827" s="34" t="inlineStr">
        <is>
          <t>Source assignment -- not individually reviewed</t>
        </is>
      </c>
      <c r="K827" s="39" t="inlineStr"/>
      <c r="L827" s="14" t="inlineStr"/>
      <c r="M827" s="14" t="inlineStr"/>
      <c r="N827" s="92" t="inlineStr">
        <is>
          <t>10 EVIDENCE &amp; DECISIONS</t>
        </is>
      </c>
    </row>
    <row r="828" ht="34" customHeight="1">
      <c r="A828" s="34" t="inlineStr">
        <is>
          <t>Contractor Programme</t>
        </is>
      </c>
      <c r="B828" s="34" t="inlineStr">
        <is>
          <t>SCH-04-005</t>
        </is>
      </c>
      <c r="C828" s="34" t="inlineStr">
        <is>
          <t>Operations building: wash-plant commissioning - turnover</t>
        </is>
      </c>
      <c r="D828" s="34" t="inlineStr">
        <is>
          <t>WBS Code = 1.4.1</t>
        </is>
      </c>
      <c r="E828" s="34" t="inlineStr">
        <is>
          <t>R545-v1</t>
        </is>
      </c>
      <c r="F828" s="34" t="inlineStr">
        <is>
          <t>1.4.1 Vehicles and Depot - Fleet Supply</t>
        </is>
      </c>
      <c r="G828" s="34" t="inlineStr">
        <is>
          <t>ONE_TO_ONE</t>
        </is>
      </c>
      <c r="H828" s="34" t="inlineStr">
        <is>
          <t>APPROVED</t>
        </is>
      </c>
      <c r="I828" s="34" t="inlineStr">
        <is>
          <t>New</t>
        </is>
      </c>
      <c r="J828" s="34" t="inlineStr">
        <is>
          <t>Source assignment -- not individually reviewed</t>
        </is>
      </c>
      <c r="K828" s="39" t="inlineStr"/>
      <c r="L828" s="14" t="inlineStr"/>
      <c r="M828" s="14" t="inlineStr"/>
      <c r="N828" s="92" t="inlineStr">
        <is>
          <t>10 EVIDENCE &amp; DECISIONS</t>
        </is>
      </c>
    </row>
    <row r="829" ht="34" customHeight="1">
      <c r="A829" s="34" t="inlineStr">
        <is>
          <t>Contractor Programme</t>
        </is>
      </c>
      <c r="B829" s="34" t="inlineStr">
        <is>
          <t>SCH-04-007</t>
        </is>
      </c>
      <c r="C829" s="34" t="inlineStr">
        <is>
          <t>Receiving track: depot structural fit-out - field start</t>
        </is>
      </c>
      <c r="D829" s="34" t="inlineStr">
        <is>
          <t>WBS Code = 1.4.1</t>
        </is>
      </c>
      <c r="E829" s="34" t="inlineStr">
        <is>
          <t>R547-v1</t>
        </is>
      </c>
      <c r="F829" s="34" t="inlineStr">
        <is>
          <t>1.4.1 Vehicles and Depot - Fleet Supply</t>
        </is>
      </c>
      <c r="G829" s="34" t="inlineStr">
        <is>
          <t>ONE_TO_ONE</t>
        </is>
      </c>
      <c r="H829" s="34" t="inlineStr">
        <is>
          <t>APPROVED</t>
        </is>
      </c>
      <c r="I829" s="34" t="inlineStr">
        <is>
          <t>New</t>
        </is>
      </c>
      <c r="J829" s="34" t="inlineStr">
        <is>
          <t>Source assignment -- not individually reviewed</t>
        </is>
      </c>
      <c r="K829" s="39" t="inlineStr"/>
      <c r="L829" s="14" t="inlineStr"/>
      <c r="M829" s="14" t="inlineStr"/>
      <c r="N829" s="92" t="inlineStr">
        <is>
          <t>10 EVIDENCE &amp; DECISIONS</t>
        </is>
      </c>
    </row>
    <row r="830" ht="34" customHeight="1">
      <c r="A830" s="34" t="inlineStr">
        <is>
          <t>Contractor Programme</t>
        </is>
      </c>
      <c r="B830" s="34" t="inlineStr">
        <is>
          <t>SCH-04-008</t>
        </is>
      </c>
      <c r="C830" s="34" t="inlineStr">
        <is>
          <t>Maintenance shop: workshop crane installation - installation</t>
        </is>
      </c>
      <c r="D830" s="34" t="inlineStr">
        <is>
          <t>WBS Code = 1.4.1</t>
        </is>
      </c>
      <c r="E830" s="34" t="inlineStr">
        <is>
          <t>R548-v1</t>
        </is>
      </c>
      <c r="F830" s="34" t="inlineStr">
        <is>
          <t>1.4.1 Vehicles and Depot - Fleet Supply</t>
        </is>
      </c>
      <c r="G830" s="34" t="inlineStr">
        <is>
          <t>ONE_TO_ONE</t>
        </is>
      </c>
      <c r="H830" s="34" t="inlineStr">
        <is>
          <t>APPROVED</t>
        </is>
      </c>
      <c r="I830" s="34" t="inlineStr">
        <is>
          <t>New</t>
        </is>
      </c>
      <c r="J830" s="34" t="inlineStr">
        <is>
          <t>Source assignment -- not individually reviewed</t>
        </is>
      </c>
      <c r="K830" s="39" t="inlineStr"/>
      <c r="L830" s="14" t="inlineStr"/>
      <c r="M830" s="14" t="inlineStr"/>
      <c r="N830" s="92" t="inlineStr">
        <is>
          <t>10 EVIDENCE &amp; DECISIONS</t>
        </is>
      </c>
    </row>
    <row r="831" ht="34" customHeight="1">
      <c r="A831" s="34" t="inlineStr">
        <is>
          <t>Contractor Programme</t>
        </is>
      </c>
      <c r="B831" s="34" t="inlineStr">
        <is>
          <t>SCH-04-010</t>
        </is>
      </c>
      <c r="C831" s="34" t="inlineStr">
        <is>
          <t>Operations building: wheel-lathe installation - turnover</t>
        </is>
      </c>
      <c r="D831" s="34" t="inlineStr">
        <is>
          <t>WBS Code = 1.4.1</t>
        </is>
      </c>
      <c r="E831" s="34" t="inlineStr">
        <is>
          <t>R550-v1</t>
        </is>
      </c>
      <c r="F831" s="34" t="inlineStr">
        <is>
          <t>1.4.1 Vehicles and Depot - Fleet Supply</t>
        </is>
      </c>
      <c r="G831" s="34" t="inlineStr">
        <is>
          <t>ONE_TO_ONE</t>
        </is>
      </c>
      <c r="H831" s="34" t="inlineStr">
        <is>
          <t>APPROVED</t>
        </is>
      </c>
      <c r="I831" s="34" t="inlineStr">
        <is>
          <t>New</t>
        </is>
      </c>
      <c r="J831" s="34" t="inlineStr">
        <is>
          <t>Source assignment -- not individually reviewed</t>
        </is>
      </c>
      <c r="K831" s="39" t="inlineStr"/>
      <c r="L831" s="14" t="inlineStr"/>
      <c r="M831" s="14" t="inlineStr"/>
      <c r="N831" s="92" t="inlineStr">
        <is>
          <t>10 EVIDENCE &amp; DECISIONS</t>
        </is>
      </c>
    </row>
    <row r="832" ht="34" customHeight="1">
      <c r="A832" s="34" t="inlineStr">
        <is>
          <t>Contractor Programme</t>
        </is>
      </c>
      <c r="B832" s="34" t="inlineStr">
        <is>
          <t>SCH-04-011</t>
        </is>
      </c>
      <c r="C832" s="34" t="inlineStr">
        <is>
          <t>Test track: fleet software load - release</t>
        </is>
      </c>
      <c r="D832" s="34" t="inlineStr">
        <is>
          <t>WBS Code = 1.4.1</t>
        </is>
      </c>
      <c r="E832" s="34" t="inlineStr">
        <is>
          <t>R551-v1</t>
        </is>
      </c>
      <c r="F832" s="34" t="inlineStr">
        <is>
          <t>1.4.1 Vehicles and Depot - Fleet Supply</t>
        </is>
      </c>
      <c r="G832" s="34" t="inlineStr">
        <is>
          <t>ONE_TO_ONE</t>
        </is>
      </c>
      <c r="H832" s="34" t="inlineStr">
        <is>
          <t>APPROVED</t>
        </is>
      </c>
      <c r="I832" s="34" t="inlineStr">
        <is>
          <t>New</t>
        </is>
      </c>
      <c r="J832" s="34" t="inlineStr">
        <is>
          <t>Source assignment -- not individually reviewed</t>
        </is>
      </c>
      <c r="K832" s="39" t="inlineStr"/>
      <c r="L832" s="14" t="inlineStr"/>
      <c r="M832" s="14" t="inlineStr"/>
      <c r="N832" s="92" t="inlineStr">
        <is>
          <t>10 EVIDENCE &amp; DECISIONS</t>
        </is>
      </c>
    </row>
    <row r="833" ht="34" customHeight="1">
      <c r="A833" s="34" t="inlineStr">
        <is>
          <t>Contractor Programme</t>
        </is>
      </c>
      <c r="B833" s="34" t="inlineStr">
        <is>
          <t>SCH-04-013</t>
        </is>
      </c>
      <c r="C833" s="34" t="inlineStr">
        <is>
          <t>Maintenance shop: wash-plant commissioning - installation</t>
        </is>
      </c>
      <c r="D833" s="34" t="inlineStr">
        <is>
          <t>WBS Code = 1.4.1</t>
        </is>
      </c>
      <c r="E833" s="34" t="inlineStr">
        <is>
          <t>R553-v1</t>
        </is>
      </c>
      <c r="F833" s="34" t="inlineStr">
        <is>
          <t>1.4.1 Vehicles and Depot - Fleet Supply</t>
        </is>
      </c>
      <c r="G833" s="34" t="inlineStr">
        <is>
          <t>ONE_TO_ONE</t>
        </is>
      </c>
      <c r="H833" s="34" t="inlineStr">
        <is>
          <t>APPROVED</t>
        </is>
      </c>
      <c r="I833" s="34" t="inlineStr">
        <is>
          <t>New</t>
        </is>
      </c>
      <c r="J833" s="34" t="inlineStr">
        <is>
          <t>Source assignment -- not individually reviewed</t>
        </is>
      </c>
      <c r="K833" s="39" t="inlineStr"/>
      <c r="L833" s="14" t="inlineStr"/>
      <c r="M833" s="14" t="inlineStr"/>
      <c r="N833" s="92" t="inlineStr">
        <is>
          <t>10 EVIDENCE &amp; DECISIONS</t>
        </is>
      </c>
    </row>
    <row r="834" ht="34" customHeight="1">
      <c r="A834" s="34" t="inlineStr">
        <is>
          <t>Contractor Programme</t>
        </is>
      </c>
      <c r="B834" s="34" t="inlineStr">
        <is>
          <t>SCH-04-014</t>
        </is>
      </c>
      <c r="C834" s="34" t="inlineStr">
        <is>
          <t>Storage yard: maintenance-bay services - inspection</t>
        </is>
      </c>
      <c r="D834" s="34" t="inlineStr">
        <is>
          <t>WBS Code = 1.4.1</t>
        </is>
      </c>
      <c r="E834" s="34" t="inlineStr">
        <is>
          <t>R554-v1</t>
        </is>
      </c>
      <c r="F834" s="34" t="inlineStr">
        <is>
          <t>1.4.1 Vehicles and Depot - Fleet Supply</t>
        </is>
      </c>
      <c r="G834" s="34" t="inlineStr">
        <is>
          <t>ONE_TO_ONE</t>
        </is>
      </c>
      <c r="H834" s="34" t="inlineStr">
        <is>
          <t>APPROVED</t>
        </is>
      </c>
      <c r="I834" s="34" t="inlineStr">
        <is>
          <t>New</t>
        </is>
      </c>
      <c r="J834" s="34" t="inlineStr">
        <is>
          <t>Source assignment -- not individually reviewed</t>
        </is>
      </c>
      <c r="K834" s="39" t="inlineStr"/>
      <c r="L834" s="14" t="inlineStr"/>
      <c r="M834" s="14" t="inlineStr"/>
      <c r="N834" s="92" t="inlineStr">
        <is>
          <t>10 EVIDENCE &amp; DECISIONS</t>
        </is>
      </c>
    </row>
    <row r="835" ht="34" customHeight="1">
      <c r="A835" s="34" t="inlineStr">
        <is>
          <t>Contractor Programme</t>
        </is>
      </c>
      <c r="B835" s="34" t="inlineStr">
        <is>
          <t>SCH-04-016</t>
        </is>
      </c>
      <c r="C835" s="34" t="inlineStr">
        <is>
          <t>Test track: workshop crane installation - release</t>
        </is>
      </c>
      <c r="D835" s="34" t="inlineStr">
        <is>
          <t>WBS Code = 1.4.1</t>
        </is>
      </c>
      <c r="E835" s="34" t="inlineStr">
        <is>
          <t>R556-v1</t>
        </is>
      </c>
      <c r="F835" s="34" t="inlineStr">
        <is>
          <t>1.4.1 Vehicles and Depot - Fleet Supply</t>
        </is>
      </c>
      <c r="G835" s="34" t="inlineStr">
        <is>
          <t>ONE_TO_ONE</t>
        </is>
      </c>
      <c r="H835" s="34" t="inlineStr">
        <is>
          <t>APPROVED</t>
        </is>
      </c>
      <c r="I835" s="34" t="inlineStr">
        <is>
          <t>New</t>
        </is>
      </c>
      <c r="J835" s="34" t="inlineStr">
        <is>
          <t>Source assignment -- not individually reviewed</t>
        </is>
      </c>
      <c r="K835" s="39" t="inlineStr"/>
      <c r="L835" s="14" t="inlineStr"/>
      <c r="M835" s="14" t="inlineStr"/>
      <c r="N835" s="92" t="inlineStr">
        <is>
          <t>10 EVIDENCE &amp; DECISIONS</t>
        </is>
      </c>
    </row>
    <row r="836" ht="34" customHeight="1">
      <c r="A836" s="34" t="inlineStr">
        <is>
          <t>Contractor Programme</t>
        </is>
      </c>
      <c r="B836" s="34" t="inlineStr">
        <is>
          <t>SCH-04-017</t>
        </is>
      </c>
      <c r="C836" s="34" t="inlineStr">
        <is>
          <t>Receiving track: vehicle-to-depot interface check - field start</t>
        </is>
      </c>
      <c r="D836" s="34" t="inlineStr">
        <is>
          <t>WBS Code = 1.4.1</t>
        </is>
      </c>
      <c r="E836" s="34" t="inlineStr">
        <is>
          <t>R557-v1</t>
        </is>
      </c>
      <c r="F836" s="34" t="inlineStr">
        <is>
          <t>1.4.1 Vehicles and Depot - Fleet Supply</t>
        </is>
      </c>
      <c r="G836" s="34" t="inlineStr">
        <is>
          <t>ONE_TO_ONE</t>
        </is>
      </c>
      <c r="H836" s="34" t="inlineStr">
        <is>
          <t>APPROVED</t>
        </is>
      </c>
      <c r="I836" s="34" t="inlineStr">
        <is>
          <t>New</t>
        </is>
      </c>
      <c r="J836" s="34" t="inlineStr">
        <is>
          <t>Source assignment -- not individually reviewed</t>
        </is>
      </c>
      <c r="K836" s="39" t="inlineStr"/>
      <c r="L836" s="14" t="inlineStr"/>
      <c r="M836" s="14" t="inlineStr"/>
      <c r="N836" s="92" t="inlineStr">
        <is>
          <t>10 EVIDENCE &amp; DECISIONS</t>
        </is>
      </c>
    </row>
    <row r="837" ht="34" customHeight="1">
      <c r="A837" s="34" t="inlineStr">
        <is>
          <t>Contractor Programme</t>
        </is>
      </c>
      <c r="B837" s="34" t="inlineStr">
        <is>
          <t>SCH-04-019</t>
        </is>
      </c>
      <c r="C837" s="34" t="inlineStr">
        <is>
          <t>Storage yard: fleet software load - inspection</t>
        </is>
      </c>
      <c r="D837" s="34" t="inlineStr">
        <is>
          <t>WBS Code = 1.4.1</t>
        </is>
      </c>
      <c r="E837" s="34" t="inlineStr">
        <is>
          <t>R559-v1</t>
        </is>
      </c>
      <c r="F837" s="34" t="inlineStr">
        <is>
          <t>1.4.1 Vehicles and Depot - Fleet Supply</t>
        </is>
      </c>
      <c r="G837" s="34" t="inlineStr">
        <is>
          <t>ONE_TO_ONE</t>
        </is>
      </c>
      <c r="H837" s="34" t="inlineStr">
        <is>
          <t>APPROVED</t>
        </is>
      </c>
      <c r="I837" s="34" t="inlineStr">
        <is>
          <t>New</t>
        </is>
      </c>
      <c r="J837" s="34" t="inlineStr">
        <is>
          <t>Source assignment -- not individually reviewed</t>
        </is>
      </c>
      <c r="K837" s="39" t="inlineStr"/>
      <c r="L837" s="14" t="inlineStr"/>
      <c r="M837" s="14" t="inlineStr"/>
      <c r="N837" s="92" t="inlineStr">
        <is>
          <t>10 EVIDENCE &amp; DECISIONS</t>
        </is>
      </c>
    </row>
    <row r="838" ht="34" customHeight="1">
      <c r="A838" s="34" t="inlineStr">
        <is>
          <t>Contractor Programme</t>
        </is>
      </c>
      <c r="B838" s="34" t="inlineStr">
        <is>
          <t>SCH-04-020</t>
        </is>
      </c>
      <c r="C838" s="34" t="inlineStr">
        <is>
          <t>Operations building: vehicle delivery inspection - turnover</t>
        </is>
      </c>
      <c r="D838" s="34" t="inlineStr">
        <is>
          <t>WBS Code = 1.4.1</t>
        </is>
      </c>
      <c r="E838" s="34" t="inlineStr">
        <is>
          <t>R560-v1</t>
        </is>
      </c>
      <c r="F838" s="34" t="inlineStr">
        <is>
          <t>1.4.1 Vehicles and Depot - Fleet Supply</t>
        </is>
      </c>
      <c r="G838" s="34" t="inlineStr">
        <is>
          <t>ONE_TO_ONE</t>
        </is>
      </c>
      <c r="H838" s="34" t="inlineStr">
        <is>
          <t>APPROVED</t>
        </is>
      </c>
      <c r="I838" s="34" t="inlineStr">
        <is>
          <t>New</t>
        </is>
      </c>
      <c r="J838" s="34" t="inlineStr">
        <is>
          <t>Source assignment -- not individually reviewed</t>
        </is>
      </c>
      <c r="K838" s="39" t="inlineStr"/>
      <c r="L838" s="14" t="inlineStr"/>
      <c r="M838" s="14" t="inlineStr"/>
      <c r="N838" s="92" t="inlineStr">
        <is>
          <t>10 EVIDENCE &amp; DECISIONS</t>
        </is>
      </c>
    </row>
    <row r="839" ht="34" customHeight="1">
      <c r="A839" s="34" t="inlineStr">
        <is>
          <t>Contractor Programme</t>
        </is>
      </c>
      <c r="B839" s="34" t="inlineStr">
        <is>
          <t>SCH-04-022</t>
        </is>
      </c>
      <c r="C839" s="34" t="inlineStr">
        <is>
          <t>Receiving track: maintenance-bay services - field start</t>
        </is>
      </c>
      <c r="D839" s="34" t="inlineStr">
        <is>
          <t>WBS Code = 1.4.1</t>
        </is>
      </c>
      <c r="E839" s="34" t="inlineStr">
        <is>
          <t>R562-v1</t>
        </is>
      </c>
      <c r="F839" s="34" t="inlineStr">
        <is>
          <t>1.4.1 Vehicles and Depot - Fleet Supply</t>
        </is>
      </c>
      <c r="G839" s="34" t="inlineStr">
        <is>
          <t>ONE_TO_ONE</t>
        </is>
      </c>
      <c r="H839" s="34" t="inlineStr">
        <is>
          <t>APPROVED</t>
        </is>
      </c>
      <c r="I839" s="34" t="inlineStr">
        <is>
          <t>New</t>
        </is>
      </c>
      <c r="J839" s="34" t="inlineStr">
        <is>
          <t>Source assignment -- not individually reviewed</t>
        </is>
      </c>
      <c r="K839" s="39" t="inlineStr"/>
      <c r="L839" s="14" t="inlineStr"/>
      <c r="M839" s="14" t="inlineStr"/>
      <c r="N839" s="92" t="inlineStr">
        <is>
          <t>10 EVIDENCE &amp; DECISIONS</t>
        </is>
      </c>
    </row>
    <row r="840" ht="34" customHeight="1">
      <c r="A840" s="34" t="inlineStr">
        <is>
          <t>Contractor Programme</t>
        </is>
      </c>
      <c r="B840" s="34" t="inlineStr">
        <is>
          <t>SCH-04-023</t>
        </is>
      </c>
      <c r="C840" s="34" t="inlineStr">
        <is>
          <t>Maintenance shop: depot structural fit-out - installation</t>
        </is>
      </c>
      <c r="D840" s="34" t="inlineStr">
        <is>
          <t>WBS Code = 1.4.1</t>
        </is>
      </c>
      <c r="E840" s="34" t="inlineStr">
        <is>
          <t>R563-v1</t>
        </is>
      </c>
      <c r="F840" s="34" t="inlineStr">
        <is>
          <t>1.4.1 Vehicles and Depot - Fleet Supply</t>
        </is>
      </c>
      <c r="G840" s="34" t="inlineStr">
        <is>
          <t>ONE_TO_ONE</t>
        </is>
      </c>
      <c r="H840" s="34" t="inlineStr">
        <is>
          <t>APPROVED</t>
        </is>
      </c>
      <c r="I840" s="34" t="inlineStr">
        <is>
          <t>New</t>
        </is>
      </c>
      <c r="J840" s="34" t="inlineStr">
        <is>
          <t>Source assignment -- not individually reviewed</t>
        </is>
      </c>
      <c r="K840" s="39" t="inlineStr"/>
      <c r="L840" s="14" t="inlineStr"/>
      <c r="M840" s="14" t="inlineStr"/>
      <c r="N840" s="92" t="inlineStr">
        <is>
          <t>10 EVIDENCE &amp; DECISIONS</t>
        </is>
      </c>
    </row>
    <row r="841" ht="34" customHeight="1">
      <c r="A841" s="34" t="inlineStr">
        <is>
          <t>Contractor Programme</t>
        </is>
      </c>
      <c r="B841" s="34" t="inlineStr">
        <is>
          <t>SCH-04-025</t>
        </is>
      </c>
      <c r="C841" s="34" t="inlineStr">
        <is>
          <t>Operations building: vehicle-to-depot interface check - turnover</t>
        </is>
      </c>
      <c r="D841" s="34" t="inlineStr">
        <is>
          <t>WBS Code = 1.4.1</t>
        </is>
      </c>
      <c r="E841" s="34" t="inlineStr">
        <is>
          <t>R565-v1</t>
        </is>
      </c>
      <c r="F841" s="34" t="inlineStr">
        <is>
          <t>1.4.1 Vehicles and Depot - Fleet Supply</t>
        </is>
      </c>
      <c r="G841" s="34" t="inlineStr">
        <is>
          <t>ONE_TO_ONE</t>
        </is>
      </c>
      <c r="H841" s="34" t="inlineStr">
        <is>
          <t>APPROVED</t>
        </is>
      </c>
      <c r="I841" s="34" t="inlineStr">
        <is>
          <t>New</t>
        </is>
      </c>
      <c r="J841" s="34" t="inlineStr">
        <is>
          <t>Source assignment -- not individually reviewed</t>
        </is>
      </c>
      <c r="K841" s="39" t="inlineStr"/>
      <c r="L841" s="14" t="inlineStr"/>
      <c r="M841" s="14" t="inlineStr"/>
      <c r="N841" s="92" t="inlineStr">
        <is>
          <t>10 EVIDENCE &amp; DECISIONS</t>
        </is>
      </c>
    </row>
    <row r="842" ht="34" customHeight="1">
      <c r="A842" s="34" t="inlineStr">
        <is>
          <t>Contractor Programme</t>
        </is>
      </c>
      <c r="B842" s="34" t="inlineStr">
        <is>
          <t>SCH-04-026</t>
        </is>
      </c>
      <c r="C842" s="34" t="inlineStr">
        <is>
          <t>Test track: wheel-lathe installation - release</t>
        </is>
      </c>
      <c r="D842" s="34" t="inlineStr">
        <is>
          <t>WBS Code = 1.4.1</t>
        </is>
      </c>
      <c r="E842" s="34" t="inlineStr">
        <is>
          <t>R566-v1</t>
        </is>
      </c>
      <c r="F842" s="34" t="inlineStr">
        <is>
          <t>1.4.1 Vehicles and Depot - Fleet Supply</t>
        </is>
      </c>
      <c r="G842" s="34" t="inlineStr">
        <is>
          <t>ONE_TO_ONE</t>
        </is>
      </c>
      <c r="H842" s="34" t="inlineStr">
        <is>
          <t>APPROVED</t>
        </is>
      </c>
      <c r="I842" s="34" t="inlineStr">
        <is>
          <t>New</t>
        </is>
      </c>
      <c r="J842" s="34" t="inlineStr">
        <is>
          <t>Source assignment -- not individually reviewed</t>
        </is>
      </c>
      <c r="K842" s="39" t="inlineStr"/>
      <c r="L842" s="14" t="inlineStr"/>
      <c r="M842" s="14" t="inlineStr"/>
      <c r="N842" s="92" t="inlineStr">
        <is>
          <t>10 EVIDENCE &amp; DECISIONS</t>
        </is>
      </c>
    </row>
    <row r="843" ht="34" customHeight="1">
      <c r="A843" s="34" t="inlineStr">
        <is>
          <t>Contractor Programme</t>
        </is>
      </c>
      <c r="B843" s="34" t="inlineStr">
        <is>
          <t>SCH-04-028</t>
        </is>
      </c>
      <c r="C843" s="34" t="inlineStr">
        <is>
          <t>Maintenance shop: vehicle delivery inspection - installation</t>
        </is>
      </c>
      <c r="D843" s="34" t="inlineStr">
        <is>
          <t>WBS Code = 1.4.1</t>
        </is>
      </c>
      <c r="E843" s="34" t="inlineStr">
        <is>
          <t>R568-v1</t>
        </is>
      </c>
      <c r="F843" s="34" t="inlineStr">
        <is>
          <t>1.4.1 Vehicles and Depot - Fleet Supply</t>
        </is>
      </c>
      <c r="G843" s="34" t="inlineStr">
        <is>
          <t>ONE_TO_ONE</t>
        </is>
      </c>
      <c r="H843" s="34" t="inlineStr">
        <is>
          <t>APPROVED</t>
        </is>
      </c>
      <c r="I843" s="34" t="inlineStr">
        <is>
          <t>New</t>
        </is>
      </c>
      <c r="J843" s="34" t="inlineStr">
        <is>
          <t>Source assignment -- not individually reviewed</t>
        </is>
      </c>
      <c r="K843" s="39" t="inlineStr"/>
      <c r="L843" s="14" t="inlineStr"/>
      <c r="M843" s="14" t="inlineStr"/>
      <c r="N843" s="92" t="inlineStr">
        <is>
          <t>10 EVIDENCE &amp; DECISIONS</t>
        </is>
      </c>
    </row>
    <row r="844" ht="34" customHeight="1">
      <c r="A844" s="34" t="inlineStr">
        <is>
          <t>Contractor Programme</t>
        </is>
      </c>
      <c r="B844" s="34" t="inlineStr">
        <is>
          <t>SCH-04-029</t>
        </is>
      </c>
      <c r="C844" s="34" t="inlineStr">
        <is>
          <t>Storage yard: wash-plant commissioning - inspection</t>
        </is>
      </c>
      <c r="D844" s="34" t="inlineStr">
        <is>
          <t>WBS Code = 1.4.1</t>
        </is>
      </c>
      <c r="E844" s="34" t="inlineStr">
        <is>
          <t>R569-v1</t>
        </is>
      </c>
      <c r="F844" s="34" t="inlineStr">
        <is>
          <t>1.4.1 Vehicles and Depot - Fleet Supply</t>
        </is>
      </c>
      <c r="G844" s="34" t="inlineStr">
        <is>
          <t>ONE_TO_ONE</t>
        </is>
      </c>
      <c r="H844" s="34" t="inlineStr">
        <is>
          <t>APPROVED</t>
        </is>
      </c>
      <c r="I844" s="34" t="inlineStr">
        <is>
          <t>New</t>
        </is>
      </c>
      <c r="J844" s="34" t="inlineStr">
        <is>
          <t>Source assignment -- not individually reviewed</t>
        </is>
      </c>
      <c r="K844" s="39" t="inlineStr"/>
      <c r="L844" s="14" t="inlineStr"/>
      <c r="M844" s="14" t="inlineStr"/>
      <c r="N844" s="92" t="inlineStr">
        <is>
          <t>10 EVIDENCE &amp; DECISIONS</t>
        </is>
      </c>
    </row>
    <row r="845" ht="34" customHeight="1">
      <c r="A845" s="34" t="inlineStr">
        <is>
          <t>Contractor Programme</t>
        </is>
      </c>
      <c r="B845" s="34" t="inlineStr">
        <is>
          <t>SCH-04-031</t>
        </is>
      </c>
      <c r="C845" s="34" t="inlineStr">
        <is>
          <t>Test track: depot structural fit-out - release</t>
        </is>
      </c>
      <c r="D845" s="34" t="inlineStr">
        <is>
          <t>WBS Code = 1.4.1</t>
        </is>
      </c>
      <c r="E845" s="34" t="inlineStr">
        <is>
          <t>R571-v1</t>
        </is>
      </c>
      <c r="F845" s="34" t="inlineStr">
        <is>
          <t>1.4.1 Vehicles and Depot - Fleet Supply</t>
        </is>
      </c>
      <c r="G845" s="34" t="inlineStr">
        <is>
          <t>ONE_TO_ONE</t>
        </is>
      </c>
      <c r="H845" s="34" t="inlineStr">
        <is>
          <t>APPROVED</t>
        </is>
      </c>
      <c r="I845" s="34" t="inlineStr">
        <is>
          <t>New</t>
        </is>
      </c>
      <c r="J845" s="34" t="inlineStr">
        <is>
          <t>Source assignment -- not individually reviewed</t>
        </is>
      </c>
      <c r="K845" s="39" t="inlineStr"/>
      <c r="L845" s="14" t="inlineStr"/>
      <c r="M845" s="14" t="inlineStr"/>
      <c r="N845" s="92" t="inlineStr">
        <is>
          <t>10 EVIDENCE &amp; DECISIONS</t>
        </is>
      </c>
    </row>
    <row r="846" ht="34" customHeight="1">
      <c r="A846" s="34" t="inlineStr">
        <is>
          <t>Contractor Programme</t>
        </is>
      </c>
      <c r="B846" s="34" t="inlineStr">
        <is>
          <t>SCH-04-032</t>
        </is>
      </c>
      <c r="C846" s="34" t="inlineStr">
        <is>
          <t>Receiving track: workshop crane installation - field start</t>
        </is>
      </c>
      <c r="D846" s="34" t="inlineStr">
        <is>
          <t>WBS Code = 1.4.1</t>
        </is>
      </c>
      <c r="E846" s="34" t="inlineStr">
        <is>
          <t>R572-v1</t>
        </is>
      </c>
      <c r="F846" s="34" t="inlineStr">
        <is>
          <t>1.4.1 Vehicles and Depot - Fleet Supply</t>
        </is>
      </c>
      <c r="G846" s="34" t="inlineStr">
        <is>
          <t>ONE_TO_ONE</t>
        </is>
      </c>
      <c r="H846" s="34" t="inlineStr">
        <is>
          <t>APPROVED</t>
        </is>
      </c>
      <c r="I846" s="34" t="inlineStr">
        <is>
          <t>New</t>
        </is>
      </c>
      <c r="J846" s="34" t="inlineStr">
        <is>
          <t>Source assignment -- not individually reviewed</t>
        </is>
      </c>
      <c r="K846" s="39" t="inlineStr"/>
      <c r="L846" s="14" t="inlineStr"/>
      <c r="M846" s="14" t="inlineStr"/>
      <c r="N846" s="92" t="inlineStr">
        <is>
          <t>10 EVIDENCE &amp; DECISIONS</t>
        </is>
      </c>
    </row>
    <row r="847" ht="34" customHeight="1">
      <c r="A847" s="34" t="inlineStr">
        <is>
          <t>Contractor Programme</t>
        </is>
      </c>
      <c r="B847" s="34" t="inlineStr">
        <is>
          <t>SCH-04-034</t>
        </is>
      </c>
      <c r="C847" s="34" t="inlineStr">
        <is>
          <t>Storage yard: wheel-lathe installation - inspection</t>
        </is>
      </c>
      <c r="D847" s="34" t="inlineStr">
        <is>
          <t>WBS Code = 1.4.1</t>
        </is>
      </c>
      <c r="E847" s="34" t="inlineStr">
        <is>
          <t>R574-v1</t>
        </is>
      </c>
      <c r="F847" s="34" t="inlineStr">
        <is>
          <t>1.4.1 Vehicles and Depot - Fleet Supply</t>
        </is>
      </c>
      <c r="G847" s="34" t="inlineStr">
        <is>
          <t>ONE_TO_ONE</t>
        </is>
      </c>
      <c r="H847" s="34" t="inlineStr">
        <is>
          <t>APPROVED</t>
        </is>
      </c>
      <c r="I847" s="34" t="inlineStr">
        <is>
          <t>New</t>
        </is>
      </c>
      <c r="J847" s="34" t="inlineStr">
        <is>
          <t>Source assignment -- not individually reviewed</t>
        </is>
      </c>
      <c r="K847" s="39" t="inlineStr"/>
      <c r="L847" s="14" t="inlineStr"/>
      <c r="M847" s="14" t="inlineStr"/>
      <c r="N847" s="92" t="inlineStr">
        <is>
          <t>10 EVIDENCE &amp; DECISIONS</t>
        </is>
      </c>
    </row>
    <row r="848" ht="34" customHeight="1">
      <c r="A848" s="34" t="inlineStr">
        <is>
          <t>Contractor Programme</t>
        </is>
      </c>
      <c r="B848" s="34" t="inlineStr">
        <is>
          <t>SCH-04-035</t>
        </is>
      </c>
      <c r="C848" s="34" t="inlineStr">
        <is>
          <t>Operations building: fleet software load - turnover</t>
        </is>
      </c>
      <c r="D848" s="34" t="inlineStr">
        <is>
          <t>WBS Code = 1.4.1</t>
        </is>
      </c>
      <c r="E848" s="34" t="inlineStr">
        <is>
          <t>R575-v1</t>
        </is>
      </c>
      <c r="F848" s="34" t="inlineStr">
        <is>
          <t>1.4.1 Vehicles and Depot - Fleet Supply</t>
        </is>
      </c>
      <c r="G848" s="34" t="inlineStr">
        <is>
          <t>ONE_TO_ONE</t>
        </is>
      </c>
      <c r="H848" s="34" t="inlineStr">
        <is>
          <t>APPROVED</t>
        </is>
      </c>
      <c r="I848" s="34" t="inlineStr">
        <is>
          <t>New</t>
        </is>
      </c>
      <c r="J848" s="34" t="inlineStr">
        <is>
          <t>Source assignment -- not individually reviewed</t>
        </is>
      </c>
      <c r="K848" s="39" t="inlineStr"/>
      <c r="L848" s="14" t="inlineStr"/>
      <c r="M848" s="14" t="inlineStr"/>
      <c r="N848" s="92" t="inlineStr">
        <is>
          <t>10 EVIDENCE &amp; DECISIONS</t>
        </is>
      </c>
    </row>
    <row r="849" ht="34" customHeight="1">
      <c r="A849" s="34" t="inlineStr">
        <is>
          <t>Contractor Programme</t>
        </is>
      </c>
      <c r="B849" s="34" t="inlineStr">
        <is>
          <t>SCH-04-037</t>
        </is>
      </c>
      <c r="C849" s="34" t="inlineStr">
        <is>
          <t>Receiving track: wash-plant commissioning - field start</t>
        </is>
      </c>
      <c r="D849" s="34" t="inlineStr">
        <is>
          <t>WBS Code = 1.4.1</t>
        </is>
      </c>
      <c r="E849" s="34" t="inlineStr">
        <is>
          <t>R577-v1</t>
        </is>
      </c>
      <c r="F849" s="34" t="inlineStr">
        <is>
          <t>1.4.1 Vehicles and Depot - Fleet Supply</t>
        </is>
      </c>
      <c r="G849" s="34" t="inlineStr">
        <is>
          <t>ONE_TO_ONE</t>
        </is>
      </c>
      <c r="H849" s="34" t="inlineStr">
        <is>
          <t>APPROVED</t>
        </is>
      </c>
      <c r="I849" s="34" t="inlineStr">
        <is>
          <t>New</t>
        </is>
      </c>
      <c r="J849" s="34" t="inlineStr">
        <is>
          <t>Source assignment -- not individually reviewed</t>
        </is>
      </c>
      <c r="K849" s="39" t="inlineStr"/>
      <c r="L849" s="14" t="inlineStr"/>
      <c r="M849" s="14" t="inlineStr"/>
      <c r="N849" s="92" t="inlineStr">
        <is>
          <t>10 EVIDENCE &amp; DECISIONS</t>
        </is>
      </c>
    </row>
    <row r="850" ht="34" customHeight="1">
      <c r="A850" s="34" t="inlineStr">
        <is>
          <t>Contractor Programme</t>
        </is>
      </c>
      <c r="B850" s="34" t="inlineStr">
        <is>
          <t>SCH-04-038</t>
        </is>
      </c>
      <c r="C850" s="34" t="inlineStr">
        <is>
          <t>Maintenance shop: maintenance-bay services - installation</t>
        </is>
      </c>
      <c r="D850" s="34" t="inlineStr">
        <is>
          <t>WBS Code = 1.4.1</t>
        </is>
      </c>
      <c r="E850" s="34" t="inlineStr">
        <is>
          <t>R578-v1</t>
        </is>
      </c>
      <c r="F850" s="34" t="inlineStr">
        <is>
          <t>1.4.1 Vehicles and Depot - Fleet Supply</t>
        </is>
      </c>
      <c r="G850" s="34" t="inlineStr">
        <is>
          <t>ONE_TO_ONE</t>
        </is>
      </c>
      <c r="H850" s="34" t="inlineStr">
        <is>
          <t>APPROVED</t>
        </is>
      </c>
      <c r="I850" s="34" t="inlineStr">
        <is>
          <t>New</t>
        </is>
      </c>
      <c r="J850" s="34" t="inlineStr">
        <is>
          <t>Source assignment -- not individually reviewed</t>
        </is>
      </c>
      <c r="K850" s="39" t="inlineStr"/>
      <c r="L850" s="14" t="inlineStr"/>
      <c r="M850" s="14" t="inlineStr"/>
      <c r="N850" s="92" t="inlineStr">
        <is>
          <t>10 EVIDENCE &amp; DECISIONS</t>
        </is>
      </c>
    </row>
    <row r="851" ht="34" customHeight="1">
      <c r="A851" s="34" t="inlineStr">
        <is>
          <t>Contractor Programme</t>
        </is>
      </c>
      <c r="B851" s="34" t="inlineStr">
        <is>
          <t>SCH-04-040</t>
        </is>
      </c>
      <c r="C851" s="34" t="inlineStr">
        <is>
          <t>Operations building: workshop crane installation - turnover</t>
        </is>
      </c>
      <c r="D851" s="34" t="inlineStr">
        <is>
          <t>WBS Code = 1.4.1</t>
        </is>
      </c>
      <c r="E851" s="34" t="inlineStr">
        <is>
          <t>R580-v1</t>
        </is>
      </c>
      <c r="F851" s="34" t="inlineStr">
        <is>
          <t>1.4.1 Vehicles and Depot - Fleet Supply</t>
        </is>
      </c>
      <c r="G851" s="34" t="inlineStr">
        <is>
          <t>ONE_TO_ONE</t>
        </is>
      </c>
      <c r="H851" s="34" t="inlineStr">
        <is>
          <t>APPROVED</t>
        </is>
      </c>
      <c r="I851" s="34" t="inlineStr">
        <is>
          <t>New</t>
        </is>
      </c>
      <c r="J851" s="34" t="inlineStr">
        <is>
          <t>Source assignment -- not individually reviewed</t>
        </is>
      </c>
      <c r="K851" s="39" t="inlineStr"/>
      <c r="L851" s="14" t="inlineStr"/>
      <c r="M851" s="14" t="inlineStr"/>
      <c r="N851" s="92" t="inlineStr">
        <is>
          <t>10 EVIDENCE &amp; DECISIONS</t>
        </is>
      </c>
    </row>
    <row r="852" ht="34" customHeight="1">
      <c r="A852" s="34" t="inlineStr">
        <is>
          <t>Contractor Programme</t>
        </is>
      </c>
      <c r="B852" s="34" t="inlineStr">
        <is>
          <t>SCH-04-041</t>
        </is>
      </c>
      <c r="C852" s="34" t="inlineStr">
        <is>
          <t>Test track: vehicle-to-depot interface check - release</t>
        </is>
      </c>
      <c r="D852" s="34" t="inlineStr">
        <is>
          <t>WBS Code = 1.4.1</t>
        </is>
      </c>
      <c r="E852" s="34" t="inlineStr">
        <is>
          <t>R581-v1</t>
        </is>
      </c>
      <c r="F852" s="34" t="inlineStr">
        <is>
          <t>1.4.1 Vehicles and Depot - Fleet Supply</t>
        </is>
      </c>
      <c r="G852" s="34" t="inlineStr">
        <is>
          <t>ONE_TO_ONE</t>
        </is>
      </c>
      <c r="H852" s="34" t="inlineStr">
        <is>
          <t>APPROVED</t>
        </is>
      </c>
      <c r="I852" s="34" t="inlineStr">
        <is>
          <t>New</t>
        </is>
      </c>
      <c r="J852" s="34" t="inlineStr">
        <is>
          <t>Source assignment -- not individually reviewed</t>
        </is>
      </c>
      <c r="K852" s="39" t="inlineStr"/>
      <c r="L852" s="14" t="inlineStr"/>
      <c r="M852" s="14" t="inlineStr"/>
      <c r="N852" s="92" t="inlineStr">
        <is>
          <t>10 EVIDENCE &amp; DECISIONS</t>
        </is>
      </c>
    </row>
    <row r="853" ht="34" customHeight="1">
      <c r="A853" s="34" t="inlineStr">
        <is>
          <t>Contractor Programme</t>
        </is>
      </c>
      <c r="B853" s="34" t="inlineStr">
        <is>
          <t>SCH-04-043</t>
        </is>
      </c>
      <c r="C853" s="34" t="inlineStr">
        <is>
          <t>Maintenance shop: fleet software load - installation</t>
        </is>
      </c>
      <c r="D853" s="34" t="inlineStr">
        <is>
          <t>WBS Code = 1.4.1</t>
        </is>
      </c>
      <c r="E853" s="34" t="inlineStr">
        <is>
          <t>R583-v1</t>
        </is>
      </c>
      <c r="F853" s="34" t="inlineStr">
        <is>
          <t>1.4.1 Vehicles and Depot - Fleet Supply</t>
        </is>
      </c>
      <c r="G853" s="34" t="inlineStr">
        <is>
          <t>ONE_TO_ONE</t>
        </is>
      </c>
      <c r="H853" s="34" t="inlineStr">
        <is>
          <t>APPROVED</t>
        </is>
      </c>
      <c r="I853" s="34" t="inlineStr">
        <is>
          <t>New</t>
        </is>
      </c>
      <c r="J853" s="34" t="inlineStr">
        <is>
          <t>Source assignment -- not individually reviewed</t>
        </is>
      </c>
      <c r="K853" s="39" t="inlineStr"/>
      <c r="L853" s="14" t="inlineStr"/>
      <c r="M853" s="14" t="inlineStr"/>
      <c r="N853" s="92" t="inlineStr">
        <is>
          <t>10 EVIDENCE &amp; DECISIONS</t>
        </is>
      </c>
    </row>
    <row r="854" ht="34" customHeight="1">
      <c r="A854" s="34" t="inlineStr">
        <is>
          <t>Contractor Programme</t>
        </is>
      </c>
      <c r="B854" s="34" t="inlineStr">
        <is>
          <t>SCH-04-044</t>
        </is>
      </c>
      <c r="C854" s="34" t="inlineStr">
        <is>
          <t>Storage yard: vehicle delivery inspection - inspection</t>
        </is>
      </c>
      <c r="D854" s="34" t="inlineStr">
        <is>
          <t>WBS Code = 1.4.1</t>
        </is>
      </c>
      <c r="E854" s="34" t="inlineStr">
        <is>
          <t>R584-v1</t>
        </is>
      </c>
      <c r="F854" s="34" t="inlineStr">
        <is>
          <t>1.4.1 Vehicles and Depot - Fleet Supply</t>
        </is>
      </c>
      <c r="G854" s="34" t="inlineStr">
        <is>
          <t>ONE_TO_ONE</t>
        </is>
      </c>
      <c r="H854" s="34" t="inlineStr">
        <is>
          <t>APPROVED</t>
        </is>
      </c>
      <c r="I854" s="34" t="inlineStr">
        <is>
          <t>New</t>
        </is>
      </c>
      <c r="J854" s="34" t="inlineStr">
        <is>
          <t>Source assignment -- not individually reviewed</t>
        </is>
      </c>
      <c r="K854" s="39" t="inlineStr"/>
      <c r="L854" s="14" t="inlineStr"/>
      <c r="M854" s="14" t="inlineStr"/>
      <c r="N854" s="92" t="inlineStr">
        <is>
          <t>10 EVIDENCE &amp; DECISIONS</t>
        </is>
      </c>
    </row>
    <row r="855" ht="34" customHeight="1">
      <c r="A855" s="34" t="inlineStr">
        <is>
          <t>Contractor Programme</t>
        </is>
      </c>
      <c r="B855" s="34" t="inlineStr">
        <is>
          <t>SCH-04-046</t>
        </is>
      </c>
      <c r="C855" s="34" t="inlineStr">
        <is>
          <t>Test track: maintenance-bay services - release</t>
        </is>
      </c>
      <c r="D855" s="34" t="inlineStr">
        <is>
          <t>WBS Code = 1.4.1</t>
        </is>
      </c>
      <c r="E855" s="34" t="inlineStr">
        <is>
          <t>R586-v1</t>
        </is>
      </c>
      <c r="F855" s="34" t="inlineStr">
        <is>
          <t>1.4.1 Vehicles and Depot - Fleet Supply</t>
        </is>
      </c>
      <c r="G855" s="34" t="inlineStr">
        <is>
          <t>ONE_TO_ONE</t>
        </is>
      </c>
      <c r="H855" s="34" t="inlineStr">
        <is>
          <t>APPROVED</t>
        </is>
      </c>
      <c r="I855" s="34" t="inlineStr">
        <is>
          <t>New</t>
        </is>
      </c>
      <c r="J855" s="34" t="inlineStr">
        <is>
          <t>Source assignment -- not individually reviewed</t>
        </is>
      </c>
      <c r="K855" s="39" t="inlineStr"/>
      <c r="L855" s="14" t="inlineStr"/>
      <c r="M855" s="14" t="inlineStr"/>
      <c r="N855" s="92" t="inlineStr">
        <is>
          <t>10 EVIDENCE &amp; DECISIONS</t>
        </is>
      </c>
    </row>
    <row r="856" ht="34" customHeight="1">
      <c r="A856" s="34" t="inlineStr">
        <is>
          <t>Contractor Programme</t>
        </is>
      </c>
      <c r="B856" s="34" t="inlineStr">
        <is>
          <t>SCH-04-047</t>
        </is>
      </c>
      <c r="C856" s="34" t="inlineStr">
        <is>
          <t>Receiving track: depot structural fit-out - field start</t>
        </is>
      </c>
      <c r="D856" s="34" t="inlineStr">
        <is>
          <t>WBS Code = 1.4.1</t>
        </is>
      </c>
      <c r="E856" s="34" t="inlineStr">
        <is>
          <t>R587-v1</t>
        </is>
      </c>
      <c r="F856" s="34" t="inlineStr">
        <is>
          <t>1.4.1 Vehicles and Depot - Fleet Supply</t>
        </is>
      </c>
      <c r="G856" s="34" t="inlineStr">
        <is>
          <t>ONE_TO_ONE</t>
        </is>
      </c>
      <c r="H856" s="34" t="inlineStr">
        <is>
          <t>APPROVED</t>
        </is>
      </c>
      <c r="I856" s="34" t="inlineStr">
        <is>
          <t>New</t>
        </is>
      </c>
      <c r="J856" s="34" t="inlineStr">
        <is>
          <t>Source assignment -- not individually reviewed</t>
        </is>
      </c>
      <c r="K856" s="39" t="inlineStr"/>
      <c r="L856" s="14" t="inlineStr"/>
      <c r="M856" s="14" t="inlineStr"/>
      <c r="N856" s="92" t="inlineStr">
        <is>
          <t>10 EVIDENCE &amp; DECISIONS</t>
        </is>
      </c>
    </row>
    <row r="857" ht="34" customHeight="1">
      <c r="A857" s="34" t="inlineStr">
        <is>
          <t>Contractor Programme</t>
        </is>
      </c>
      <c r="B857" s="34" t="inlineStr">
        <is>
          <t>SCH-04-049</t>
        </is>
      </c>
      <c r="C857" s="34" t="inlineStr">
        <is>
          <t>Storage yard: vehicle-to-depot interface check - inspection</t>
        </is>
      </c>
      <c r="D857" s="34" t="inlineStr">
        <is>
          <t>WBS Code = 1.4.1</t>
        </is>
      </c>
      <c r="E857" s="34" t="inlineStr">
        <is>
          <t>R589-v1</t>
        </is>
      </c>
      <c r="F857" s="34" t="inlineStr">
        <is>
          <t>1.4.1 Vehicles and Depot - Fleet Supply</t>
        </is>
      </c>
      <c r="G857" s="34" t="inlineStr">
        <is>
          <t>ONE_TO_ONE</t>
        </is>
      </c>
      <c r="H857" s="34" t="inlineStr">
        <is>
          <t>APPROVED</t>
        </is>
      </c>
      <c r="I857" s="34" t="inlineStr">
        <is>
          <t>New</t>
        </is>
      </c>
      <c r="J857" s="34" t="inlineStr">
        <is>
          <t>Source assignment -- not individually reviewed</t>
        </is>
      </c>
      <c r="K857" s="39" t="inlineStr"/>
      <c r="L857" s="14" t="inlineStr"/>
      <c r="M857" s="14" t="inlineStr"/>
      <c r="N857" s="92" t="inlineStr">
        <is>
          <t>10 EVIDENCE &amp; DECISIONS</t>
        </is>
      </c>
    </row>
    <row r="858" ht="34" customHeight="1">
      <c r="A858" s="34" t="inlineStr">
        <is>
          <t>Contractor Programme</t>
        </is>
      </c>
      <c r="B858" s="34" t="inlineStr">
        <is>
          <t>SCH-04-050</t>
        </is>
      </c>
      <c r="C858" s="34" t="inlineStr">
        <is>
          <t>Operations building: wheel-lathe installation - turnover</t>
        </is>
      </c>
      <c r="D858" s="34" t="inlineStr">
        <is>
          <t>WBS Code = 1.4.1</t>
        </is>
      </c>
      <c r="E858" s="34" t="inlineStr">
        <is>
          <t>R590-v1</t>
        </is>
      </c>
      <c r="F858" s="34" t="inlineStr">
        <is>
          <t>1.4.1 Vehicles and Depot - Fleet Supply</t>
        </is>
      </c>
      <c r="G858" s="34" t="inlineStr">
        <is>
          <t>ONE_TO_ONE</t>
        </is>
      </c>
      <c r="H858" s="34" t="inlineStr">
        <is>
          <t>APPROVED</t>
        </is>
      </c>
      <c r="I858" s="34" t="inlineStr">
        <is>
          <t>New</t>
        </is>
      </c>
      <c r="J858" s="34" t="inlineStr">
        <is>
          <t>Source assignment -- not individually reviewed</t>
        </is>
      </c>
      <c r="K858" s="39" t="inlineStr"/>
      <c r="L858" s="14" t="inlineStr"/>
      <c r="M858" s="14" t="inlineStr"/>
      <c r="N858" s="92" t="inlineStr">
        <is>
          <t>10 EVIDENCE &amp; DECISIONS</t>
        </is>
      </c>
    </row>
    <row r="859" ht="34" customHeight="1">
      <c r="A859" s="34" t="inlineStr">
        <is>
          <t>Contractor Programme</t>
        </is>
      </c>
      <c r="B859" s="34" t="inlineStr">
        <is>
          <t>SCH-04-052</t>
        </is>
      </c>
      <c r="C859" s="34" t="inlineStr">
        <is>
          <t>Receiving track: vehicle delivery inspection - field start</t>
        </is>
      </c>
      <c r="D859" s="34" t="inlineStr">
        <is>
          <t>WBS Code = 1.4.1</t>
        </is>
      </c>
      <c r="E859" s="34" t="inlineStr">
        <is>
          <t>R592-v1</t>
        </is>
      </c>
      <c r="F859" s="34" t="inlineStr">
        <is>
          <t>1.4.1 Vehicles and Depot - Fleet Supply</t>
        </is>
      </c>
      <c r="G859" s="34" t="inlineStr">
        <is>
          <t>ONE_TO_ONE</t>
        </is>
      </c>
      <c r="H859" s="34" t="inlineStr">
        <is>
          <t>APPROVED</t>
        </is>
      </c>
      <c r="I859" s="34" t="inlineStr">
        <is>
          <t>New</t>
        </is>
      </c>
      <c r="J859" s="34" t="inlineStr">
        <is>
          <t>Source assignment -- not individually reviewed</t>
        </is>
      </c>
      <c r="K859" s="39" t="inlineStr"/>
      <c r="L859" s="14" t="inlineStr"/>
      <c r="M859" s="14" t="inlineStr"/>
      <c r="N859" s="92" t="inlineStr">
        <is>
          <t>10 EVIDENCE &amp; DECISIONS</t>
        </is>
      </c>
    </row>
    <row r="860" ht="34" customHeight="1">
      <c r="A860" s="34" t="inlineStr">
        <is>
          <t>Contractor Programme</t>
        </is>
      </c>
      <c r="B860" s="34" t="inlineStr">
        <is>
          <t>SCH-04-053</t>
        </is>
      </c>
      <c r="C860" s="34" t="inlineStr">
        <is>
          <t>Maintenance shop: wash-plant commissioning - installation</t>
        </is>
      </c>
      <c r="D860" s="34" t="inlineStr">
        <is>
          <t>WBS Code = 1.4.1</t>
        </is>
      </c>
      <c r="E860" s="34" t="inlineStr">
        <is>
          <t>R593-v1</t>
        </is>
      </c>
      <c r="F860" s="34" t="inlineStr">
        <is>
          <t>1.4.1 Vehicles and Depot - Fleet Supply</t>
        </is>
      </c>
      <c r="G860" s="34" t="inlineStr">
        <is>
          <t>ONE_TO_ONE</t>
        </is>
      </c>
      <c r="H860" s="34" t="inlineStr">
        <is>
          <t>APPROVED</t>
        </is>
      </c>
      <c r="I860" s="34" t="inlineStr">
        <is>
          <t>New</t>
        </is>
      </c>
      <c r="J860" s="34" t="inlineStr">
        <is>
          <t>Source assignment -- not individually reviewed</t>
        </is>
      </c>
      <c r="K860" s="39" t="inlineStr"/>
      <c r="L860" s="14" t="inlineStr"/>
      <c r="M860" s="14" t="inlineStr"/>
      <c r="N860" s="92" t="inlineStr">
        <is>
          <t>10 EVIDENCE &amp; DECISIONS</t>
        </is>
      </c>
    </row>
    <row r="861" ht="34" customHeight="1">
      <c r="A861" s="34" t="inlineStr">
        <is>
          <t>Contractor Programme</t>
        </is>
      </c>
      <c r="B861" s="34" t="inlineStr">
        <is>
          <t>SCH-04-055</t>
        </is>
      </c>
      <c r="C861" s="34" t="inlineStr">
        <is>
          <t>Operations building: depot structural fit-out - turnover</t>
        </is>
      </c>
      <c r="D861" s="34" t="inlineStr">
        <is>
          <t>WBS Code = 1.4.1</t>
        </is>
      </c>
      <c r="E861" s="34" t="inlineStr">
        <is>
          <t>R595-v1</t>
        </is>
      </c>
      <c r="F861" s="34" t="inlineStr">
        <is>
          <t>1.4.1 Vehicles and Depot - Fleet Supply</t>
        </is>
      </c>
      <c r="G861" s="34" t="inlineStr">
        <is>
          <t>ONE_TO_ONE</t>
        </is>
      </c>
      <c r="H861" s="34" t="inlineStr">
        <is>
          <t>APPROVED</t>
        </is>
      </c>
      <c r="I861" s="34" t="inlineStr">
        <is>
          <t>New</t>
        </is>
      </c>
      <c r="J861" s="34" t="inlineStr">
        <is>
          <t>Source assignment -- not individually reviewed</t>
        </is>
      </c>
      <c r="K861" s="39" t="inlineStr"/>
      <c r="L861" s="14" t="inlineStr"/>
      <c r="M861" s="14" t="inlineStr"/>
      <c r="N861" s="92" t="inlineStr">
        <is>
          <t>10 EVIDENCE &amp; DECISIONS</t>
        </is>
      </c>
    </row>
    <row r="862" ht="34" customHeight="1">
      <c r="A862" s="34" t="inlineStr">
        <is>
          <t>Contractor Programme</t>
        </is>
      </c>
      <c r="B862" s="34" t="inlineStr">
        <is>
          <t>SCH-04-056</t>
        </is>
      </c>
      <c r="C862" s="34" t="inlineStr">
        <is>
          <t>Test track: workshop crane installation - release</t>
        </is>
      </c>
      <c r="D862" s="34" t="inlineStr">
        <is>
          <t>WBS Code = 1.4.1</t>
        </is>
      </c>
      <c r="E862" s="34" t="inlineStr">
        <is>
          <t>R596-v1</t>
        </is>
      </c>
      <c r="F862" s="34" t="inlineStr">
        <is>
          <t>1.4.1 Vehicles and Depot - Fleet Supply</t>
        </is>
      </c>
      <c r="G862" s="34" t="inlineStr">
        <is>
          <t>ONE_TO_ONE</t>
        </is>
      </c>
      <c r="H862" s="34" t="inlineStr">
        <is>
          <t>APPROVED</t>
        </is>
      </c>
      <c r="I862" s="34" t="inlineStr">
        <is>
          <t>New</t>
        </is>
      </c>
      <c r="J862" s="34" t="inlineStr">
        <is>
          <t>Source assignment -- not individually reviewed</t>
        </is>
      </c>
      <c r="K862" s="39" t="inlineStr"/>
      <c r="L862" s="14" t="inlineStr"/>
      <c r="M862" s="14" t="inlineStr"/>
      <c r="N862" s="92" t="inlineStr">
        <is>
          <t>10 EVIDENCE &amp; DECISIONS</t>
        </is>
      </c>
    </row>
    <row r="863" ht="34" customHeight="1">
      <c r="A863" s="34" t="inlineStr">
        <is>
          <t>Contractor Programme</t>
        </is>
      </c>
      <c r="B863" s="34" t="inlineStr">
        <is>
          <t>SCH-04-058</t>
        </is>
      </c>
      <c r="C863" s="34" t="inlineStr">
        <is>
          <t>Maintenance shop: wheel-lathe installation - installation</t>
        </is>
      </c>
      <c r="D863" s="34" t="inlineStr">
        <is>
          <t>WBS Code = 1.4.1</t>
        </is>
      </c>
      <c r="E863" s="34" t="inlineStr">
        <is>
          <t>R598-v1</t>
        </is>
      </c>
      <c r="F863" s="34" t="inlineStr">
        <is>
          <t>1.4.1 Vehicles and Depot - Fleet Supply</t>
        </is>
      </c>
      <c r="G863" s="34" t="inlineStr">
        <is>
          <t>ONE_TO_ONE</t>
        </is>
      </c>
      <c r="H863" s="34" t="inlineStr">
        <is>
          <t>APPROVED</t>
        </is>
      </c>
      <c r="I863" s="34" t="inlineStr">
        <is>
          <t>New</t>
        </is>
      </c>
      <c r="J863" s="34" t="inlineStr">
        <is>
          <t>Source assignment -- not individually reviewed</t>
        </is>
      </c>
      <c r="K863" s="39" t="inlineStr"/>
      <c r="L863" s="14" t="inlineStr"/>
      <c r="M863" s="14" t="inlineStr"/>
      <c r="N863" s="92" t="inlineStr">
        <is>
          <t>10 EVIDENCE &amp; DECISIONS</t>
        </is>
      </c>
    </row>
    <row r="864" ht="34" customHeight="1">
      <c r="A864" s="34" t="inlineStr">
        <is>
          <t>Contractor Programme</t>
        </is>
      </c>
      <c r="B864" s="34" t="inlineStr">
        <is>
          <t>SCH-04-059</t>
        </is>
      </c>
      <c r="C864" s="34" t="inlineStr">
        <is>
          <t>Storage yard: fleet software load - inspection</t>
        </is>
      </c>
      <c r="D864" s="34" t="inlineStr">
        <is>
          <t>WBS Code = 1.4.1</t>
        </is>
      </c>
      <c r="E864" s="34" t="inlineStr">
        <is>
          <t>R599-v1</t>
        </is>
      </c>
      <c r="F864" s="34" t="inlineStr">
        <is>
          <t>1.4.1 Vehicles and Depot - Fleet Supply</t>
        </is>
      </c>
      <c r="G864" s="34" t="inlineStr">
        <is>
          <t>ONE_TO_ONE</t>
        </is>
      </c>
      <c r="H864" s="34" t="inlineStr">
        <is>
          <t>APPROVED</t>
        </is>
      </c>
      <c r="I864" s="34" t="inlineStr">
        <is>
          <t>New</t>
        </is>
      </c>
      <c r="J864" s="34" t="inlineStr">
        <is>
          <t>Source assignment -- not individually reviewed</t>
        </is>
      </c>
      <c r="K864" s="39" t="inlineStr"/>
      <c r="L864" s="14" t="inlineStr"/>
      <c r="M864" s="14" t="inlineStr"/>
      <c r="N864" s="92" t="inlineStr">
        <is>
          <t>10 EVIDENCE &amp; DECISIONS</t>
        </is>
      </c>
    </row>
    <row r="865" ht="34" customHeight="1">
      <c r="A865" s="34" t="inlineStr">
        <is>
          <t>Contractor Programme</t>
        </is>
      </c>
      <c r="B865" s="34" t="inlineStr">
        <is>
          <t>SCH-04-061</t>
        </is>
      </c>
      <c r="C865" s="34" t="inlineStr">
        <is>
          <t>Test track: wash-plant commissioning - release</t>
        </is>
      </c>
      <c r="D865" s="34" t="inlineStr">
        <is>
          <t>WBS Code = 1.4.1</t>
        </is>
      </c>
      <c r="E865" s="34" t="inlineStr">
        <is>
          <t>R601-v1</t>
        </is>
      </c>
      <c r="F865" s="34" t="inlineStr">
        <is>
          <t>1.4.1 Vehicles and Depot - Fleet Supply</t>
        </is>
      </c>
      <c r="G865" s="34" t="inlineStr">
        <is>
          <t>ONE_TO_ONE</t>
        </is>
      </c>
      <c r="H865" s="34" t="inlineStr">
        <is>
          <t>APPROVED</t>
        </is>
      </c>
      <c r="I865" s="34" t="inlineStr">
        <is>
          <t>New</t>
        </is>
      </c>
      <c r="J865" s="34" t="inlineStr">
        <is>
          <t>Source assignment -- not individually reviewed</t>
        </is>
      </c>
      <c r="K865" s="39" t="inlineStr"/>
      <c r="L865" s="14" t="inlineStr"/>
      <c r="M865" s="14" t="inlineStr"/>
      <c r="N865" s="92" t="inlineStr">
        <is>
          <t>10 EVIDENCE &amp; DECISIONS</t>
        </is>
      </c>
    </row>
    <row r="866" ht="34" customHeight="1">
      <c r="A866" s="34" t="inlineStr">
        <is>
          <t>Contractor Programme</t>
        </is>
      </c>
      <c r="B866" s="34" t="inlineStr">
        <is>
          <t>SCH-04-062</t>
        </is>
      </c>
      <c r="C866" s="34" t="inlineStr">
        <is>
          <t>Receiving track: maintenance-bay services - field start</t>
        </is>
      </c>
      <c r="D866" s="34" t="inlineStr">
        <is>
          <t>WBS Code = 1.4.1</t>
        </is>
      </c>
      <c r="E866" s="34" t="inlineStr">
        <is>
          <t>R602-v1</t>
        </is>
      </c>
      <c r="F866" s="34" t="inlineStr">
        <is>
          <t>1.4.1 Vehicles and Depot - Fleet Supply</t>
        </is>
      </c>
      <c r="G866" s="34" t="inlineStr">
        <is>
          <t>ONE_TO_ONE</t>
        </is>
      </c>
      <c r="H866" s="34" t="inlineStr">
        <is>
          <t>APPROVED</t>
        </is>
      </c>
      <c r="I866" s="34" t="inlineStr">
        <is>
          <t>New</t>
        </is>
      </c>
      <c r="J866" s="34" t="inlineStr">
        <is>
          <t>Source assignment -- not individually reviewed</t>
        </is>
      </c>
      <c r="K866" s="39" t="inlineStr"/>
      <c r="L866" s="14" t="inlineStr"/>
      <c r="M866" s="14" t="inlineStr"/>
      <c r="N866" s="92" t="inlineStr">
        <is>
          <t>10 EVIDENCE &amp; DECISIONS</t>
        </is>
      </c>
    </row>
    <row r="867" ht="34" customHeight="1">
      <c r="A867" s="34" t="inlineStr">
        <is>
          <t>Contractor Programme</t>
        </is>
      </c>
      <c r="B867" s="34" t="inlineStr">
        <is>
          <t>SCH-04-064</t>
        </is>
      </c>
      <c r="C867" s="34" t="inlineStr">
        <is>
          <t>Storage yard: workshop crane installation - inspection</t>
        </is>
      </c>
      <c r="D867" s="34" t="inlineStr">
        <is>
          <t>WBS Code = 1.4.1</t>
        </is>
      </c>
      <c r="E867" s="34" t="inlineStr">
        <is>
          <t>R604-v1</t>
        </is>
      </c>
      <c r="F867" s="34" t="inlineStr">
        <is>
          <t>1.4.1 Vehicles and Depot - Fleet Supply</t>
        </is>
      </c>
      <c r="G867" s="34" t="inlineStr">
        <is>
          <t>ONE_TO_ONE</t>
        </is>
      </c>
      <c r="H867" s="34" t="inlineStr">
        <is>
          <t>APPROVED</t>
        </is>
      </c>
      <c r="I867" s="34" t="inlineStr">
        <is>
          <t>New</t>
        </is>
      </c>
      <c r="J867" s="34" t="inlineStr">
        <is>
          <t>Source assignment -- not individually reviewed</t>
        </is>
      </c>
      <c r="K867" s="39" t="inlineStr"/>
      <c r="L867" s="14" t="inlineStr"/>
      <c r="M867" s="14" t="inlineStr"/>
      <c r="N867" s="92" t="inlineStr">
        <is>
          <t>10 EVIDENCE &amp; DECISIONS</t>
        </is>
      </c>
    </row>
    <row r="868" ht="34" customHeight="1">
      <c r="A868" s="34" t="inlineStr">
        <is>
          <t>Contractor Programme</t>
        </is>
      </c>
      <c r="B868" s="34" t="inlineStr">
        <is>
          <t>SCH-04-065</t>
        </is>
      </c>
      <c r="C868" s="34" t="inlineStr">
        <is>
          <t>Operations building: vehicle-to-depot interface check - turnover</t>
        </is>
      </c>
      <c r="D868" s="34" t="inlineStr">
        <is>
          <t>WBS Code = 1.4.1</t>
        </is>
      </c>
      <c r="E868" s="34" t="inlineStr">
        <is>
          <t>R605-v1</t>
        </is>
      </c>
      <c r="F868" s="34" t="inlineStr">
        <is>
          <t>1.4.1 Vehicles and Depot - Fleet Supply</t>
        </is>
      </c>
      <c r="G868" s="34" t="inlineStr">
        <is>
          <t>ONE_TO_ONE</t>
        </is>
      </c>
      <c r="H868" s="34" t="inlineStr">
        <is>
          <t>APPROVED</t>
        </is>
      </c>
      <c r="I868" s="34" t="inlineStr">
        <is>
          <t>New</t>
        </is>
      </c>
      <c r="J868" s="34" t="inlineStr">
        <is>
          <t>Source assignment -- not individually reviewed</t>
        </is>
      </c>
      <c r="K868" s="39" t="inlineStr"/>
      <c r="L868" s="14" t="inlineStr"/>
      <c r="M868" s="14" t="inlineStr"/>
      <c r="N868" s="92" t="inlineStr">
        <is>
          <t>10 EVIDENCE &amp; DECISIONS</t>
        </is>
      </c>
    </row>
    <row r="869" ht="34" customHeight="1">
      <c r="A869" s="34" t="inlineStr">
        <is>
          <t>Contractor Programme</t>
        </is>
      </c>
      <c r="B869" s="34" t="inlineStr">
        <is>
          <t>SCH-04-067</t>
        </is>
      </c>
      <c r="C869" s="34" t="inlineStr">
        <is>
          <t>Receiving track: fleet software load - field start</t>
        </is>
      </c>
      <c r="D869" s="34" t="inlineStr">
        <is>
          <t>WBS Code = 1.4.1</t>
        </is>
      </c>
      <c r="E869" s="34" t="inlineStr">
        <is>
          <t>R607-v1</t>
        </is>
      </c>
      <c r="F869" s="34" t="inlineStr">
        <is>
          <t>1.4.1 Vehicles and Depot - Fleet Supply</t>
        </is>
      </c>
      <c r="G869" s="34" t="inlineStr">
        <is>
          <t>ONE_TO_ONE</t>
        </is>
      </c>
      <c r="H869" s="34" t="inlineStr">
        <is>
          <t>APPROVED</t>
        </is>
      </c>
      <c r="I869" s="34" t="inlineStr">
        <is>
          <t>New</t>
        </is>
      </c>
      <c r="J869" s="34" t="inlineStr">
        <is>
          <t>Source assignment -- not individually reviewed</t>
        </is>
      </c>
      <c r="K869" s="39" t="inlineStr"/>
      <c r="L869" s="14" t="inlineStr"/>
      <c r="M869" s="14" t="inlineStr"/>
      <c r="N869" s="92" t="inlineStr">
        <is>
          <t>10 EVIDENCE &amp; DECISIONS</t>
        </is>
      </c>
    </row>
    <row r="870" ht="34" customHeight="1">
      <c r="A870" s="34" t="inlineStr">
        <is>
          <t>Contractor Programme</t>
        </is>
      </c>
      <c r="B870" s="34" t="inlineStr">
        <is>
          <t>SCH-04-068</t>
        </is>
      </c>
      <c r="C870" s="34" t="inlineStr">
        <is>
          <t>Maintenance shop: vehicle delivery inspection - installation</t>
        </is>
      </c>
      <c r="D870" s="34" t="inlineStr">
        <is>
          <t>WBS Code = 1.4.1</t>
        </is>
      </c>
      <c r="E870" s="34" t="inlineStr">
        <is>
          <t>R608-v1</t>
        </is>
      </c>
      <c r="F870" s="34" t="inlineStr">
        <is>
          <t>1.4.1 Vehicles and Depot - Fleet Supply</t>
        </is>
      </c>
      <c r="G870" s="34" t="inlineStr">
        <is>
          <t>ONE_TO_ONE</t>
        </is>
      </c>
      <c r="H870" s="34" t="inlineStr">
        <is>
          <t>APPROVED</t>
        </is>
      </c>
      <c r="I870" s="34" t="inlineStr">
        <is>
          <t>New</t>
        </is>
      </c>
      <c r="J870" s="34" t="inlineStr">
        <is>
          <t>Source assignment -- not individually reviewed</t>
        </is>
      </c>
      <c r="K870" s="39" t="inlineStr"/>
      <c r="L870" s="14" t="inlineStr"/>
      <c r="M870" s="14" t="inlineStr"/>
      <c r="N870" s="92" t="inlineStr">
        <is>
          <t>10 EVIDENCE &amp; DECISIONS</t>
        </is>
      </c>
    </row>
    <row r="871" ht="34" customHeight="1">
      <c r="A871" s="34" t="inlineStr">
        <is>
          <t>Contractor Programme</t>
        </is>
      </c>
      <c r="B871" s="34" t="inlineStr">
        <is>
          <t>SCH-04-070</t>
        </is>
      </c>
      <c r="C871" s="34" t="inlineStr">
        <is>
          <t>Operations building: maintenance-bay services - turnover</t>
        </is>
      </c>
      <c r="D871" s="34" t="inlineStr">
        <is>
          <t>WBS Code = 1.4.1</t>
        </is>
      </c>
      <c r="E871" s="34" t="inlineStr">
        <is>
          <t>R610-v1</t>
        </is>
      </c>
      <c r="F871" s="34" t="inlineStr">
        <is>
          <t>1.4.1 Vehicles and Depot - Fleet Supply</t>
        </is>
      </c>
      <c r="G871" s="34" t="inlineStr">
        <is>
          <t>ONE_TO_ONE</t>
        </is>
      </c>
      <c r="H871" s="34" t="inlineStr">
        <is>
          <t>APPROVED</t>
        </is>
      </c>
      <c r="I871" s="34" t="inlineStr">
        <is>
          <t>New</t>
        </is>
      </c>
      <c r="J871" s="34" t="inlineStr">
        <is>
          <t>Source assignment -- not individually reviewed</t>
        </is>
      </c>
      <c r="K871" s="39" t="inlineStr"/>
      <c r="L871" s="14" t="inlineStr"/>
      <c r="M871" s="14" t="inlineStr"/>
      <c r="N871" s="92" t="inlineStr">
        <is>
          <t>10 EVIDENCE &amp; DECISIONS</t>
        </is>
      </c>
    </row>
    <row r="872" ht="34" customHeight="1">
      <c r="A872" s="34" t="inlineStr">
        <is>
          <t>Contractor Programme</t>
        </is>
      </c>
      <c r="B872" s="34" t="inlineStr">
        <is>
          <t>SCH-04-071</t>
        </is>
      </c>
      <c r="C872" s="34" t="inlineStr">
        <is>
          <t>Test track: depot structural fit-out - release</t>
        </is>
      </c>
      <c r="D872" s="34" t="inlineStr">
        <is>
          <t>WBS Code = 1.4.1</t>
        </is>
      </c>
      <c r="E872" s="34" t="inlineStr">
        <is>
          <t>R611-v1</t>
        </is>
      </c>
      <c r="F872" s="34" t="inlineStr">
        <is>
          <t>1.4.1 Vehicles and Depot - Fleet Supply</t>
        </is>
      </c>
      <c r="G872" s="34" t="inlineStr">
        <is>
          <t>ONE_TO_ONE</t>
        </is>
      </c>
      <c r="H872" s="34" t="inlineStr">
        <is>
          <t>APPROVED</t>
        </is>
      </c>
      <c r="I872" s="34" t="inlineStr">
        <is>
          <t>New</t>
        </is>
      </c>
      <c r="J872" s="34" t="inlineStr">
        <is>
          <t>Source assignment -- not individually reviewed</t>
        </is>
      </c>
      <c r="K872" s="39" t="inlineStr"/>
      <c r="L872" s="14" t="inlineStr"/>
      <c r="M872" s="14" t="inlineStr"/>
      <c r="N872" s="92" t="inlineStr">
        <is>
          <t>10 EVIDENCE &amp; DECISIONS</t>
        </is>
      </c>
    </row>
    <row r="873" ht="34" customHeight="1">
      <c r="A873" s="34" t="inlineStr">
        <is>
          <t>Contractor Programme</t>
        </is>
      </c>
      <c r="B873" s="34" t="inlineStr">
        <is>
          <t>SCH-04-073</t>
        </is>
      </c>
      <c r="C873" s="34" t="inlineStr">
        <is>
          <t>Maintenance shop: vehicle-to-depot interface check - installation</t>
        </is>
      </c>
      <c r="D873" s="34" t="inlineStr">
        <is>
          <t>WBS Code = 1.4.1</t>
        </is>
      </c>
      <c r="E873" s="34" t="inlineStr">
        <is>
          <t>R613-v1</t>
        </is>
      </c>
      <c r="F873" s="34" t="inlineStr">
        <is>
          <t>1.4.1 Vehicles and Depot - Fleet Supply</t>
        </is>
      </c>
      <c r="G873" s="34" t="inlineStr">
        <is>
          <t>ONE_TO_ONE</t>
        </is>
      </c>
      <c r="H873" s="34" t="inlineStr">
        <is>
          <t>APPROVED</t>
        </is>
      </c>
      <c r="I873" s="34" t="inlineStr">
        <is>
          <t>New</t>
        </is>
      </c>
      <c r="J873" s="34" t="inlineStr">
        <is>
          <t>Source assignment -- not individually reviewed</t>
        </is>
      </c>
      <c r="K873" s="39" t="inlineStr"/>
      <c r="L873" s="14" t="inlineStr"/>
      <c r="M873" s="14" t="inlineStr"/>
      <c r="N873" s="92" t="inlineStr">
        <is>
          <t>10 EVIDENCE &amp; DECISIONS</t>
        </is>
      </c>
    </row>
    <row r="874" ht="34" customHeight="1">
      <c r="A874" s="34" t="inlineStr">
        <is>
          <t>Contractor Programme</t>
        </is>
      </c>
      <c r="B874" s="34" t="inlineStr">
        <is>
          <t>SCH-04-074</t>
        </is>
      </c>
      <c r="C874" s="34" t="inlineStr">
        <is>
          <t>Storage yard: wheel-lathe installation - inspection</t>
        </is>
      </c>
      <c r="D874" s="34" t="inlineStr">
        <is>
          <t>WBS Code = 1.4.1</t>
        </is>
      </c>
      <c r="E874" s="34" t="inlineStr">
        <is>
          <t>R614-v1</t>
        </is>
      </c>
      <c r="F874" s="34" t="inlineStr">
        <is>
          <t>1.4.1 Vehicles and Depot - Fleet Supply</t>
        </is>
      </c>
      <c r="G874" s="34" t="inlineStr">
        <is>
          <t>ONE_TO_ONE</t>
        </is>
      </c>
      <c r="H874" s="34" t="inlineStr">
        <is>
          <t>APPROVED</t>
        </is>
      </c>
      <c r="I874" s="34" t="inlineStr">
        <is>
          <t>New</t>
        </is>
      </c>
      <c r="J874" s="34" t="inlineStr">
        <is>
          <t>Source assignment -- not individually reviewed</t>
        </is>
      </c>
      <c r="K874" s="39" t="inlineStr"/>
      <c r="L874" s="14" t="inlineStr"/>
      <c r="M874" s="14" t="inlineStr"/>
      <c r="N874" s="92" t="inlineStr">
        <is>
          <t>10 EVIDENCE &amp; DECISIONS</t>
        </is>
      </c>
    </row>
    <row r="875" ht="34" customHeight="1">
      <c r="A875" s="34" t="inlineStr">
        <is>
          <t>Contractor Programme</t>
        </is>
      </c>
      <c r="B875" s="34" t="inlineStr">
        <is>
          <t>SCH-04-076</t>
        </is>
      </c>
      <c r="C875" s="34" t="inlineStr">
        <is>
          <t>Test track: vehicle delivery inspection - release</t>
        </is>
      </c>
      <c r="D875" s="34" t="inlineStr">
        <is>
          <t>WBS Code = 1.4.1</t>
        </is>
      </c>
      <c r="E875" s="34" t="inlineStr">
        <is>
          <t>R616-v1</t>
        </is>
      </c>
      <c r="F875" s="34" t="inlineStr">
        <is>
          <t>1.4.1 Vehicles and Depot - Fleet Supply</t>
        </is>
      </c>
      <c r="G875" s="34" t="inlineStr">
        <is>
          <t>ONE_TO_ONE</t>
        </is>
      </c>
      <c r="H875" s="34" t="inlineStr">
        <is>
          <t>APPROVED</t>
        </is>
      </c>
      <c r="I875" s="34" t="inlineStr">
        <is>
          <t>New</t>
        </is>
      </c>
      <c r="J875" s="34" t="inlineStr">
        <is>
          <t>Source assignment -- not individually reviewed</t>
        </is>
      </c>
      <c r="K875" s="39" t="inlineStr"/>
      <c r="L875" s="14" t="inlineStr"/>
      <c r="M875" s="14" t="inlineStr"/>
      <c r="N875" s="92" t="inlineStr">
        <is>
          <t>10 EVIDENCE &amp; DECISIONS</t>
        </is>
      </c>
    </row>
    <row r="876" ht="34" customHeight="1">
      <c r="A876" s="34" t="inlineStr">
        <is>
          <t>Contractor Programme</t>
        </is>
      </c>
      <c r="B876" s="34" t="inlineStr">
        <is>
          <t>SCH-04-077</t>
        </is>
      </c>
      <c r="C876" s="34" t="inlineStr">
        <is>
          <t>Receiving track: wash-plant commissioning - field start</t>
        </is>
      </c>
      <c r="D876" s="34" t="inlineStr">
        <is>
          <t>WBS Code = 1.4.1</t>
        </is>
      </c>
      <c r="E876" s="34" t="inlineStr">
        <is>
          <t>R617-v1</t>
        </is>
      </c>
      <c r="F876" s="34" t="inlineStr">
        <is>
          <t>1.4.1 Vehicles and Depot - Fleet Supply</t>
        </is>
      </c>
      <c r="G876" s="34" t="inlineStr">
        <is>
          <t>ONE_TO_ONE</t>
        </is>
      </c>
      <c r="H876" s="34" t="inlineStr">
        <is>
          <t>APPROVED</t>
        </is>
      </c>
      <c r="I876" s="34" t="inlineStr">
        <is>
          <t>New</t>
        </is>
      </c>
      <c r="J876" s="34" t="inlineStr">
        <is>
          <t>Source assignment -- not individually reviewed</t>
        </is>
      </c>
      <c r="K876" s="39" t="inlineStr"/>
      <c r="L876" s="14" t="inlineStr"/>
      <c r="M876" s="14" t="inlineStr"/>
      <c r="N876" s="92" t="inlineStr">
        <is>
          <t>10 EVIDENCE &amp; DECISIONS</t>
        </is>
      </c>
    </row>
    <row r="877" ht="34" customHeight="1">
      <c r="A877" s="34" t="inlineStr">
        <is>
          <t>Contractor Programme</t>
        </is>
      </c>
      <c r="B877" s="34" t="inlineStr">
        <is>
          <t>SCH-04-079</t>
        </is>
      </c>
      <c r="C877" s="34" t="inlineStr">
        <is>
          <t>Storage yard: depot structural fit-out - inspection</t>
        </is>
      </c>
      <c r="D877" s="34" t="inlineStr">
        <is>
          <t>WBS Code = 1.4.1</t>
        </is>
      </c>
      <c r="E877" s="34" t="inlineStr">
        <is>
          <t>R619-v1</t>
        </is>
      </c>
      <c r="F877" s="34" t="inlineStr">
        <is>
          <t>1.4.1 Vehicles and Depot - Fleet Supply</t>
        </is>
      </c>
      <c r="G877" s="34" t="inlineStr">
        <is>
          <t>ONE_TO_ONE</t>
        </is>
      </c>
      <c r="H877" s="34" t="inlineStr">
        <is>
          <t>APPROVED</t>
        </is>
      </c>
      <c r="I877" s="34" t="inlineStr">
        <is>
          <t>New</t>
        </is>
      </c>
      <c r="J877" s="34" t="inlineStr">
        <is>
          <t>Source assignment -- not individually reviewed</t>
        </is>
      </c>
      <c r="K877" s="39" t="inlineStr"/>
      <c r="L877" s="14" t="inlineStr"/>
      <c r="M877" s="14" t="inlineStr"/>
      <c r="N877" s="92" t="inlineStr">
        <is>
          <t>10 EVIDENCE &amp; DECISIONS</t>
        </is>
      </c>
    </row>
    <row r="878" ht="34" customHeight="1">
      <c r="A878" s="34" t="inlineStr">
        <is>
          <t>Contractor Programme</t>
        </is>
      </c>
      <c r="B878" s="34" t="inlineStr">
        <is>
          <t>SCH-04-080</t>
        </is>
      </c>
      <c r="C878" s="34" t="inlineStr">
        <is>
          <t>Operations building: workshop crane installation - turnover</t>
        </is>
      </c>
      <c r="D878" s="34" t="inlineStr">
        <is>
          <t>WBS Code = 1.4.1</t>
        </is>
      </c>
      <c r="E878" s="34" t="inlineStr">
        <is>
          <t>R620-v1</t>
        </is>
      </c>
      <c r="F878" s="34" t="inlineStr">
        <is>
          <t>1.4.1 Vehicles and Depot - Fleet Supply</t>
        </is>
      </c>
      <c r="G878" s="34" t="inlineStr">
        <is>
          <t>ONE_TO_ONE</t>
        </is>
      </c>
      <c r="H878" s="34" t="inlineStr">
        <is>
          <t>APPROVED</t>
        </is>
      </c>
      <c r="I878" s="34" t="inlineStr">
        <is>
          <t>New</t>
        </is>
      </c>
      <c r="J878" s="34" t="inlineStr">
        <is>
          <t>Source assignment -- not individually reviewed</t>
        </is>
      </c>
      <c r="K878" s="39" t="inlineStr"/>
      <c r="L878" s="14" t="inlineStr"/>
      <c r="M878" s="14" t="inlineStr"/>
      <c r="N878" s="92" t="inlineStr">
        <is>
          <t>10 EVIDENCE &amp; DECISIONS</t>
        </is>
      </c>
    </row>
    <row r="879" ht="34" customHeight="1">
      <c r="A879" s="34" t="inlineStr">
        <is>
          <t>Contractor Programme</t>
        </is>
      </c>
      <c r="B879" s="34" t="inlineStr">
        <is>
          <t>SCH-04-082</t>
        </is>
      </c>
      <c r="C879" s="34" t="inlineStr">
        <is>
          <t>Receiving track: wheel-lathe installation - field start</t>
        </is>
      </c>
      <c r="D879" s="34" t="inlineStr">
        <is>
          <t>WBS Code = 1.4.1</t>
        </is>
      </c>
      <c r="E879" s="34" t="inlineStr">
        <is>
          <t>R622-v1</t>
        </is>
      </c>
      <c r="F879" s="34" t="inlineStr">
        <is>
          <t>1.4.1 Vehicles and Depot - Fleet Supply</t>
        </is>
      </c>
      <c r="G879" s="34" t="inlineStr">
        <is>
          <t>ONE_TO_ONE</t>
        </is>
      </c>
      <c r="H879" s="34" t="inlineStr">
        <is>
          <t>APPROVED</t>
        </is>
      </c>
      <c r="I879" s="34" t="inlineStr">
        <is>
          <t>New</t>
        </is>
      </c>
      <c r="J879" s="34" t="inlineStr">
        <is>
          <t>Source assignment -- not individually reviewed</t>
        </is>
      </c>
      <c r="K879" s="39" t="inlineStr"/>
      <c r="L879" s="14" t="inlineStr"/>
      <c r="M879" s="14" t="inlineStr"/>
      <c r="N879" s="92" t="inlineStr">
        <is>
          <t>10 EVIDENCE &amp; DECISIONS</t>
        </is>
      </c>
    </row>
    <row r="880" ht="34" customHeight="1">
      <c r="A880" s="34" t="inlineStr">
        <is>
          <t>Contractor Programme</t>
        </is>
      </c>
      <c r="B880" s="34" t="inlineStr">
        <is>
          <t>SCH-04-083</t>
        </is>
      </c>
      <c r="C880" s="34" t="inlineStr">
        <is>
          <t>Maintenance shop: fleet software load - installation</t>
        </is>
      </c>
      <c r="D880" s="34" t="inlineStr">
        <is>
          <t>WBS Code = 1.4.1</t>
        </is>
      </c>
      <c r="E880" s="34" t="inlineStr">
        <is>
          <t>R623-v1</t>
        </is>
      </c>
      <c r="F880" s="34" t="inlineStr">
        <is>
          <t>1.4.1 Vehicles and Depot - Fleet Supply</t>
        </is>
      </c>
      <c r="G880" s="34" t="inlineStr">
        <is>
          <t>ONE_TO_ONE</t>
        </is>
      </c>
      <c r="H880" s="34" t="inlineStr">
        <is>
          <t>APPROVED</t>
        </is>
      </c>
      <c r="I880" s="34" t="inlineStr">
        <is>
          <t>New</t>
        </is>
      </c>
      <c r="J880" s="34" t="inlineStr">
        <is>
          <t>Source assignment -- not individually reviewed</t>
        </is>
      </c>
      <c r="K880" s="39" t="inlineStr"/>
      <c r="L880" s="14" t="inlineStr"/>
      <c r="M880" s="14" t="inlineStr"/>
      <c r="N880" s="92" t="inlineStr">
        <is>
          <t>10 EVIDENCE &amp; DECISIONS</t>
        </is>
      </c>
    </row>
    <row r="881" ht="34" customHeight="1">
      <c r="A881" s="34" t="inlineStr">
        <is>
          <t>Contractor Programme</t>
        </is>
      </c>
      <c r="B881" s="34" t="inlineStr">
        <is>
          <t>SCH-04-085</t>
        </is>
      </c>
      <c r="C881" s="34" t="inlineStr">
        <is>
          <t>Operations building: wash-plant commissioning - turnover</t>
        </is>
      </c>
      <c r="D881" s="34" t="inlineStr">
        <is>
          <t>WBS Code = 1.4.1</t>
        </is>
      </c>
      <c r="E881" s="34" t="inlineStr">
        <is>
          <t>R625-v1</t>
        </is>
      </c>
      <c r="F881" s="34" t="inlineStr">
        <is>
          <t>1.4.1 Vehicles and Depot - Fleet Supply</t>
        </is>
      </c>
      <c r="G881" s="34" t="inlineStr">
        <is>
          <t>ONE_TO_ONE</t>
        </is>
      </c>
      <c r="H881" s="34" t="inlineStr">
        <is>
          <t>APPROVED</t>
        </is>
      </c>
      <c r="I881" s="34" t="inlineStr">
        <is>
          <t>New</t>
        </is>
      </c>
      <c r="J881" s="34" t="inlineStr">
        <is>
          <t>Source assignment -- not individually reviewed</t>
        </is>
      </c>
      <c r="K881" s="39" t="inlineStr"/>
      <c r="L881" s="14" t="inlineStr"/>
      <c r="M881" s="14" t="inlineStr"/>
      <c r="N881" s="92" t="inlineStr">
        <is>
          <t>10 EVIDENCE &amp; DECISIONS</t>
        </is>
      </c>
    </row>
    <row r="882" ht="34" customHeight="1">
      <c r="A882" s="34" t="inlineStr">
        <is>
          <t>Contractor Programme</t>
        </is>
      </c>
      <c r="B882" s="34" t="inlineStr">
        <is>
          <t>SCH-04-086</t>
        </is>
      </c>
      <c r="C882" s="34" t="inlineStr">
        <is>
          <t>Test track: maintenance-bay services - release</t>
        </is>
      </c>
      <c r="D882" s="34" t="inlineStr">
        <is>
          <t>WBS Code = 1.4.1</t>
        </is>
      </c>
      <c r="E882" s="34" t="inlineStr">
        <is>
          <t>R626-v1</t>
        </is>
      </c>
      <c r="F882" s="34" t="inlineStr">
        <is>
          <t>1.4.1 Vehicles and Depot - Fleet Supply</t>
        </is>
      </c>
      <c r="G882" s="34" t="inlineStr">
        <is>
          <t>ONE_TO_ONE</t>
        </is>
      </c>
      <c r="H882" s="34" t="inlineStr">
        <is>
          <t>APPROVED</t>
        </is>
      </c>
      <c r="I882" s="34" t="inlineStr">
        <is>
          <t>New</t>
        </is>
      </c>
      <c r="J882" s="34" t="inlineStr">
        <is>
          <t>Source assignment -- not individually reviewed</t>
        </is>
      </c>
      <c r="K882" s="39" t="inlineStr"/>
      <c r="L882" s="14" t="inlineStr"/>
      <c r="M882" s="14" t="inlineStr"/>
      <c r="N882" s="92" t="inlineStr">
        <is>
          <t>10 EVIDENCE &amp; DECISIONS</t>
        </is>
      </c>
    </row>
    <row r="883" ht="34" customHeight="1">
      <c r="A883" s="34" t="inlineStr">
        <is>
          <t>Contractor Programme</t>
        </is>
      </c>
      <c r="B883" s="34" t="inlineStr">
        <is>
          <t>SCH-04-088</t>
        </is>
      </c>
      <c r="C883" s="34" t="inlineStr">
        <is>
          <t>Maintenance shop: workshop crane installation - installation</t>
        </is>
      </c>
      <c r="D883" s="34" t="inlineStr">
        <is>
          <t>WBS Code = 1.4.1</t>
        </is>
      </c>
      <c r="E883" s="34" t="inlineStr">
        <is>
          <t>R628-v1</t>
        </is>
      </c>
      <c r="F883" s="34" t="inlineStr">
        <is>
          <t>1.4.1 Vehicles and Depot - Fleet Supply</t>
        </is>
      </c>
      <c r="G883" s="34" t="inlineStr">
        <is>
          <t>ONE_TO_ONE</t>
        </is>
      </c>
      <c r="H883" s="34" t="inlineStr">
        <is>
          <t>APPROVED</t>
        </is>
      </c>
      <c r="I883" s="34" t="inlineStr">
        <is>
          <t>New</t>
        </is>
      </c>
      <c r="J883" s="34" t="inlineStr">
        <is>
          <t>Source assignment -- not individually reviewed</t>
        </is>
      </c>
      <c r="K883" s="39" t="inlineStr"/>
      <c r="L883" s="14" t="inlineStr"/>
      <c r="M883" s="14" t="inlineStr"/>
      <c r="N883" s="92" t="inlineStr">
        <is>
          <t>10 EVIDENCE &amp; DECISIONS</t>
        </is>
      </c>
    </row>
    <row r="884" ht="34" customHeight="1">
      <c r="A884" s="34" t="inlineStr">
        <is>
          <t>Contractor Programme</t>
        </is>
      </c>
      <c r="B884" s="34" t="inlineStr">
        <is>
          <t>SCH-04-089</t>
        </is>
      </c>
      <c r="C884" s="34" t="inlineStr">
        <is>
          <t>Storage yard: vehicle-to-depot interface check - inspection</t>
        </is>
      </c>
      <c r="D884" s="34" t="inlineStr">
        <is>
          <t>WBS Code = 1.4.1</t>
        </is>
      </c>
      <c r="E884" s="34" t="inlineStr">
        <is>
          <t>R629-v1</t>
        </is>
      </c>
      <c r="F884" s="34" t="inlineStr">
        <is>
          <t>1.4.1 Vehicles and Depot - Fleet Supply</t>
        </is>
      </c>
      <c r="G884" s="34" t="inlineStr">
        <is>
          <t>ONE_TO_ONE</t>
        </is>
      </c>
      <c r="H884" s="34" t="inlineStr">
        <is>
          <t>APPROVED</t>
        </is>
      </c>
      <c r="I884" s="34" t="inlineStr">
        <is>
          <t>New</t>
        </is>
      </c>
      <c r="J884" s="34" t="inlineStr">
        <is>
          <t>Source assignment -- not individually reviewed</t>
        </is>
      </c>
      <c r="K884" s="39" t="inlineStr"/>
      <c r="L884" s="14" t="inlineStr"/>
      <c r="M884" s="14" t="inlineStr"/>
      <c r="N884" s="92" t="inlineStr">
        <is>
          <t>10 EVIDENCE &amp; DECISIONS</t>
        </is>
      </c>
    </row>
    <row r="885" ht="34" customHeight="1">
      <c r="A885" s="34" t="inlineStr">
        <is>
          <t>Contractor Programme</t>
        </is>
      </c>
      <c r="B885" s="34" t="inlineStr">
        <is>
          <t>SCH-04-091</t>
        </is>
      </c>
      <c r="C885" s="34" t="inlineStr">
        <is>
          <t>Test track: fleet software load - release</t>
        </is>
      </c>
      <c r="D885" s="34" t="inlineStr">
        <is>
          <t>WBS Code = 1.4.1</t>
        </is>
      </c>
      <c r="E885" s="34" t="inlineStr">
        <is>
          <t>R631-v1</t>
        </is>
      </c>
      <c r="F885" s="34" t="inlineStr">
        <is>
          <t>1.4.1 Vehicles and Depot - Fleet Supply</t>
        </is>
      </c>
      <c r="G885" s="34" t="inlineStr">
        <is>
          <t>ONE_TO_ONE</t>
        </is>
      </c>
      <c r="H885" s="34" t="inlineStr">
        <is>
          <t>APPROVED</t>
        </is>
      </c>
      <c r="I885" s="34" t="inlineStr">
        <is>
          <t>New</t>
        </is>
      </c>
      <c r="J885" s="34" t="inlineStr">
        <is>
          <t>Source assignment -- not individually reviewed</t>
        </is>
      </c>
      <c r="K885" s="39" t="inlineStr"/>
      <c r="L885" s="14" t="inlineStr"/>
      <c r="M885" s="14" t="inlineStr"/>
      <c r="N885" s="92" t="inlineStr">
        <is>
          <t>10 EVIDENCE &amp; DECISIONS</t>
        </is>
      </c>
    </row>
    <row r="886" ht="34" customHeight="1">
      <c r="A886" s="34" t="inlineStr">
        <is>
          <t>Contractor Programme</t>
        </is>
      </c>
      <c r="B886" s="34" t="inlineStr">
        <is>
          <t>SCH-04-092</t>
        </is>
      </c>
      <c r="C886" s="34" t="inlineStr">
        <is>
          <t>Receiving track: vehicle delivery inspection - field start</t>
        </is>
      </c>
      <c r="D886" s="34" t="inlineStr">
        <is>
          <t>WBS Code = 1.4.1</t>
        </is>
      </c>
      <c r="E886" s="34" t="inlineStr">
        <is>
          <t>R632-v1</t>
        </is>
      </c>
      <c r="F886" s="34" t="inlineStr">
        <is>
          <t>1.4.1 Vehicles and Depot - Fleet Supply</t>
        </is>
      </c>
      <c r="G886" s="34" t="inlineStr">
        <is>
          <t>ONE_TO_ONE</t>
        </is>
      </c>
      <c r="H886" s="34" t="inlineStr">
        <is>
          <t>APPROVED</t>
        </is>
      </c>
      <c r="I886" s="34" t="inlineStr">
        <is>
          <t>New</t>
        </is>
      </c>
      <c r="J886" s="34" t="inlineStr">
        <is>
          <t>Source assignment -- not individually reviewed</t>
        </is>
      </c>
      <c r="K886" s="39" t="inlineStr"/>
      <c r="L886" s="14" t="inlineStr"/>
      <c r="M886" s="14" t="inlineStr"/>
      <c r="N886" s="92" t="inlineStr">
        <is>
          <t>10 EVIDENCE &amp; DECISIONS</t>
        </is>
      </c>
    </row>
    <row r="887" ht="34" customHeight="1">
      <c r="A887" s="34" t="inlineStr">
        <is>
          <t>Contractor Programme</t>
        </is>
      </c>
      <c r="B887" s="34" t="inlineStr">
        <is>
          <t>SCH-04-094</t>
        </is>
      </c>
      <c r="C887" s="34" t="inlineStr">
        <is>
          <t>Storage yard: maintenance-bay services - inspection</t>
        </is>
      </c>
      <c r="D887" s="34" t="inlineStr">
        <is>
          <t>WBS Code = 1.4.1</t>
        </is>
      </c>
      <c r="E887" s="34" t="inlineStr">
        <is>
          <t>R634-v1</t>
        </is>
      </c>
      <c r="F887" s="34" t="inlineStr">
        <is>
          <t>1.4.1 Vehicles and Depot - Fleet Supply</t>
        </is>
      </c>
      <c r="G887" s="34" t="inlineStr">
        <is>
          <t>ONE_TO_ONE</t>
        </is>
      </c>
      <c r="H887" s="34" t="inlineStr">
        <is>
          <t>APPROVED</t>
        </is>
      </c>
      <c r="I887" s="34" t="inlineStr">
        <is>
          <t>New</t>
        </is>
      </c>
      <c r="J887" s="34" t="inlineStr">
        <is>
          <t>Source assignment -- not individually reviewed</t>
        </is>
      </c>
      <c r="K887" s="39" t="inlineStr"/>
      <c r="L887" s="14" t="inlineStr"/>
      <c r="M887" s="14" t="inlineStr"/>
      <c r="N887" s="92" t="inlineStr">
        <is>
          <t>10 EVIDENCE &amp; DECISIONS</t>
        </is>
      </c>
    </row>
    <row r="888" ht="34" customHeight="1">
      <c r="A888" s="34" t="inlineStr">
        <is>
          <t>Contractor Programme</t>
        </is>
      </c>
      <c r="B888" s="34" t="inlineStr">
        <is>
          <t>SCH-04-095</t>
        </is>
      </c>
      <c r="C888" s="34" t="inlineStr">
        <is>
          <t>Operations building: depot structural fit-out - turnover</t>
        </is>
      </c>
      <c r="D888" s="34" t="inlineStr">
        <is>
          <t>WBS Code = 1.4.1</t>
        </is>
      </c>
      <c r="E888" s="34" t="inlineStr">
        <is>
          <t>R635-v1</t>
        </is>
      </c>
      <c r="F888" s="34" t="inlineStr">
        <is>
          <t>1.4.1 Vehicles and Depot - Fleet Supply</t>
        </is>
      </c>
      <c r="G888" s="34" t="inlineStr">
        <is>
          <t>ONE_TO_ONE</t>
        </is>
      </c>
      <c r="H888" s="34" t="inlineStr">
        <is>
          <t>APPROVED</t>
        </is>
      </c>
      <c r="I888" s="34" t="inlineStr">
        <is>
          <t>New</t>
        </is>
      </c>
      <c r="J888" s="34" t="inlineStr">
        <is>
          <t>Source assignment -- not individually reviewed</t>
        </is>
      </c>
      <c r="K888" s="39" t="inlineStr"/>
      <c r="L888" s="14" t="inlineStr"/>
      <c r="M888" s="14" t="inlineStr"/>
      <c r="N888" s="92" t="inlineStr">
        <is>
          <t>10 EVIDENCE &amp; DECISIONS</t>
        </is>
      </c>
    </row>
    <row r="889" ht="34" customHeight="1">
      <c r="A889" s="34" t="inlineStr">
        <is>
          <t>Contractor Programme</t>
        </is>
      </c>
      <c r="B889" s="34" t="inlineStr">
        <is>
          <t>SCH-04-097</t>
        </is>
      </c>
      <c r="C889" s="34" t="inlineStr">
        <is>
          <t>Receiving track: vehicle-to-depot interface check - field start</t>
        </is>
      </c>
      <c r="D889" s="34" t="inlineStr">
        <is>
          <t>WBS Code = 1.4.1</t>
        </is>
      </c>
      <c r="E889" s="34" t="inlineStr">
        <is>
          <t>R637-v1</t>
        </is>
      </c>
      <c r="F889" s="34" t="inlineStr">
        <is>
          <t>1.4.1 Vehicles and Depot - Fleet Supply</t>
        </is>
      </c>
      <c r="G889" s="34" t="inlineStr">
        <is>
          <t>ONE_TO_ONE</t>
        </is>
      </c>
      <c r="H889" s="34" t="inlineStr">
        <is>
          <t>APPROVED</t>
        </is>
      </c>
      <c r="I889" s="34" t="inlineStr">
        <is>
          <t>New</t>
        </is>
      </c>
      <c r="J889" s="34" t="inlineStr">
        <is>
          <t>Source assignment -- not individually reviewed</t>
        </is>
      </c>
      <c r="K889" s="39" t="inlineStr"/>
      <c r="L889" s="14" t="inlineStr"/>
      <c r="M889" s="14" t="inlineStr"/>
      <c r="N889" s="92" t="inlineStr">
        <is>
          <t>10 EVIDENCE &amp; DECISIONS</t>
        </is>
      </c>
    </row>
    <row r="890" ht="34" customHeight="1">
      <c r="A890" s="34" t="inlineStr">
        <is>
          <t>Contractor Programme</t>
        </is>
      </c>
      <c r="B890" s="34" t="inlineStr">
        <is>
          <t>SCH-04-098</t>
        </is>
      </c>
      <c r="C890" s="34" t="inlineStr">
        <is>
          <t>Maintenance shop: wheel-lathe installation - installation</t>
        </is>
      </c>
      <c r="D890" s="34" t="inlineStr">
        <is>
          <t>WBS Code = 1.4.1</t>
        </is>
      </c>
      <c r="E890" s="34" t="inlineStr">
        <is>
          <t>R638-v1</t>
        </is>
      </c>
      <c r="F890" s="34" t="inlineStr">
        <is>
          <t>1.4.1 Vehicles and Depot - Fleet Supply</t>
        </is>
      </c>
      <c r="G890" s="34" t="inlineStr">
        <is>
          <t>ONE_TO_ONE</t>
        </is>
      </c>
      <c r="H890" s="34" t="inlineStr">
        <is>
          <t>APPROVED</t>
        </is>
      </c>
      <c r="I890" s="34" t="inlineStr">
        <is>
          <t>New</t>
        </is>
      </c>
      <c r="J890" s="34" t="inlineStr">
        <is>
          <t>Source assignment -- not individually reviewed</t>
        </is>
      </c>
      <c r="K890" s="39" t="inlineStr"/>
      <c r="L890" s="14" t="inlineStr"/>
      <c r="M890" s="14" t="inlineStr"/>
      <c r="N890" s="92" t="inlineStr">
        <is>
          <t>10 EVIDENCE &amp; DECISIONS</t>
        </is>
      </c>
    </row>
    <row r="891" ht="34" customHeight="1">
      <c r="A891" s="34" t="inlineStr">
        <is>
          <t>Contractor Programme</t>
        </is>
      </c>
      <c r="B891" s="34" t="inlineStr">
        <is>
          <t>SCH-04-100</t>
        </is>
      </c>
      <c r="C891" s="34" t="inlineStr">
        <is>
          <t>Operations building: vehicle delivery inspection - turnover</t>
        </is>
      </c>
      <c r="D891" s="34" t="inlineStr">
        <is>
          <t>WBS Code = 1.4.1</t>
        </is>
      </c>
      <c r="E891" s="34" t="inlineStr">
        <is>
          <t>R640-v1</t>
        </is>
      </c>
      <c r="F891" s="34" t="inlineStr">
        <is>
          <t>1.4.1 Vehicles and Depot - Fleet Supply</t>
        </is>
      </c>
      <c r="G891" s="34" t="inlineStr">
        <is>
          <t>ONE_TO_ONE</t>
        </is>
      </c>
      <c r="H891" s="34" t="inlineStr">
        <is>
          <t>APPROVED</t>
        </is>
      </c>
      <c r="I891" s="34" t="inlineStr">
        <is>
          <t>New</t>
        </is>
      </c>
      <c r="J891" s="34" t="inlineStr">
        <is>
          <t>Source assignment -- not individually reviewed</t>
        </is>
      </c>
      <c r="K891" s="39" t="inlineStr"/>
      <c r="L891" s="14" t="inlineStr"/>
      <c r="M891" s="14" t="inlineStr"/>
      <c r="N891" s="92" t="inlineStr">
        <is>
          <t>10 EVIDENCE &amp; DECISIONS</t>
        </is>
      </c>
    </row>
    <row r="892" ht="34" customHeight="1">
      <c r="A892" s="34" t="inlineStr">
        <is>
          <t>Contractor Programme</t>
        </is>
      </c>
      <c r="B892" s="34" t="inlineStr">
        <is>
          <t>SCH-04-101</t>
        </is>
      </c>
      <c r="C892" s="34" t="inlineStr">
        <is>
          <t>Test track: wash-plant commissioning - release</t>
        </is>
      </c>
      <c r="D892" s="34" t="inlineStr">
        <is>
          <t>WBS Code = 1.4.1</t>
        </is>
      </c>
      <c r="E892" s="34" t="inlineStr">
        <is>
          <t>R641-v1</t>
        </is>
      </c>
      <c r="F892" s="34" t="inlineStr">
        <is>
          <t>1.4.1 Vehicles and Depot - Fleet Supply</t>
        </is>
      </c>
      <c r="G892" s="34" t="inlineStr">
        <is>
          <t>ONE_TO_ONE</t>
        </is>
      </c>
      <c r="H892" s="34" t="inlineStr">
        <is>
          <t>APPROVED</t>
        </is>
      </c>
      <c r="I892" s="34" t="inlineStr">
        <is>
          <t>New</t>
        </is>
      </c>
      <c r="J892" s="34" t="inlineStr">
        <is>
          <t>Source assignment -- not individually reviewed</t>
        </is>
      </c>
      <c r="K892" s="39" t="inlineStr"/>
      <c r="L892" s="14" t="inlineStr"/>
      <c r="M892" s="14" t="inlineStr"/>
      <c r="N892" s="92" t="inlineStr">
        <is>
          <t>10 EVIDENCE &amp; DECISIONS</t>
        </is>
      </c>
    </row>
    <row r="893" ht="34" customHeight="1">
      <c r="A893" s="34" t="inlineStr">
        <is>
          <t>Contractor Programme</t>
        </is>
      </c>
      <c r="B893" s="34" t="inlineStr">
        <is>
          <t>SCH-04-103</t>
        </is>
      </c>
      <c r="C893" s="34" t="inlineStr">
        <is>
          <t>Maintenance shop: depot structural fit-out - installation</t>
        </is>
      </c>
      <c r="D893" s="34" t="inlineStr">
        <is>
          <t>WBS Code = 1.4.1</t>
        </is>
      </c>
      <c r="E893" s="34" t="inlineStr">
        <is>
          <t>R643-v1</t>
        </is>
      </c>
      <c r="F893" s="34" t="inlineStr">
        <is>
          <t>1.4.1 Vehicles and Depot - Fleet Supply</t>
        </is>
      </c>
      <c r="G893" s="34" t="inlineStr">
        <is>
          <t>ONE_TO_ONE</t>
        </is>
      </c>
      <c r="H893" s="34" t="inlineStr">
        <is>
          <t>APPROVED</t>
        </is>
      </c>
      <c r="I893" s="34" t="inlineStr">
        <is>
          <t>New</t>
        </is>
      </c>
      <c r="J893" s="34" t="inlineStr">
        <is>
          <t>Source assignment -- not individually reviewed</t>
        </is>
      </c>
      <c r="K893" s="39" t="inlineStr"/>
      <c r="L893" s="14" t="inlineStr"/>
      <c r="M893" s="14" t="inlineStr"/>
      <c r="N893" s="92" t="inlineStr">
        <is>
          <t>10 EVIDENCE &amp; DECISIONS</t>
        </is>
      </c>
    </row>
    <row r="894" ht="34" customHeight="1">
      <c r="A894" s="34" t="inlineStr">
        <is>
          <t>Contractor Programme</t>
        </is>
      </c>
      <c r="B894" s="34" t="inlineStr">
        <is>
          <t>SCH-04-104</t>
        </is>
      </c>
      <c r="C894" s="34" t="inlineStr">
        <is>
          <t>Storage yard: workshop crane installation - inspection</t>
        </is>
      </c>
      <c r="D894" s="34" t="inlineStr">
        <is>
          <t>WBS Code = 1.4.1</t>
        </is>
      </c>
      <c r="E894" s="34" t="inlineStr">
        <is>
          <t>R644-v1</t>
        </is>
      </c>
      <c r="F894" s="34" t="inlineStr">
        <is>
          <t>1.4.1 Vehicles and Depot - Fleet Supply</t>
        </is>
      </c>
      <c r="G894" s="34" t="inlineStr">
        <is>
          <t>ONE_TO_ONE</t>
        </is>
      </c>
      <c r="H894" s="34" t="inlineStr">
        <is>
          <t>APPROVED</t>
        </is>
      </c>
      <c r="I894" s="34" t="inlineStr">
        <is>
          <t>New</t>
        </is>
      </c>
      <c r="J894" s="34" t="inlineStr">
        <is>
          <t>Source assignment -- not individually reviewed</t>
        </is>
      </c>
      <c r="K894" s="39" t="inlineStr"/>
      <c r="L894" s="14" t="inlineStr"/>
      <c r="M894" s="14" t="inlineStr"/>
      <c r="N894" s="92" t="inlineStr">
        <is>
          <t>10 EVIDENCE &amp; DECISIONS</t>
        </is>
      </c>
    </row>
    <row r="895" ht="34" customHeight="1">
      <c r="A895" s="34" t="inlineStr">
        <is>
          <t>Contractor Programme</t>
        </is>
      </c>
      <c r="B895" s="34" t="inlineStr">
        <is>
          <t>SCH-04-106</t>
        </is>
      </c>
      <c r="C895" s="34" t="inlineStr">
        <is>
          <t>Test track: wheel-lathe installation - release</t>
        </is>
      </c>
      <c r="D895" s="34" t="inlineStr">
        <is>
          <t>WBS Code = 1.4.1</t>
        </is>
      </c>
      <c r="E895" s="34" t="inlineStr">
        <is>
          <t>R646-v1</t>
        </is>
      </c>
      <c r="F895" s="34" t="inlineStr">
        <is>
          <t>1.4.1 Vehicles and Depot - Fleet Supply</t>
        </is>
      </c>
      <c r="G895" s="34" t="inlineStr">
        <is>
          <t>ONE_TO_ONE</t>
        </is>
      </c>
      <c r="H895" s="34" t="inlineStr">
        <is>
          <t>APPROVED</t>
        </is>
      </c>
      <c r="I895" s="34" t="inlineStr">
        <is>
          <t>New</t>
        </is>
      </c>
      <c r="J895" s="34" t="inlineStr">
        <is>
          <t>Source assignment -- not individually reviewed</t>
        </is>
      </c>
      <c r="K895" s="39" t="inlineStr"/>
      <c r="L895" s="14" t="inlineStr"/>
      <c r="M895" s="14" t="inlineStr"/>
      <c r="N895" s="92" t="inlineStr">
        <is>
          <t>10 EVIDENCE &amp; DECISIONS</t>
        </is>
      </c>
    </row>
    <row r="896" ht="34" customHeight="1">
      <c r="A896" s="34" t="inlineStr">
        <is>
          <t>Contractor Programme</t>
        </is>
      </c>
      <c r="B896" s="34" t="inlineStr">
        <is>
          <t>SCH-04-107</t>
        </is>
      </c>
      <c r="C896" s="34" t="inlineStr">
        <is>
          <t>Receiving track: fleet software load - field start</t>
        </is>
      </c>
      <c r="D896" s="34" t="inlineStr">
        <is>
          <t>WBS Code = 1.4.1</t>
        </is>
      </c>
      <c r="E896" s="34" t="inlineStr">
        <is>
          <t>R647-v1</t>
        </is>
      </c>
      <c r="F896" s="34" t="inlineStr">
        <is>
          <t>1.4.1 Vehicles and Depot - Fleet Supply</t>
        </is>
      </c>
      <c r="G896" s="34" t="inlineStr">
        <is>
          <t>ONE_TO_ONE</t>
        </is>
      </c>
      <c r="H896" s="34" t="inlineStr">
        <is>
          <t>APPROVED</t>
        </is>
      </c>
      <c r="I896" s="34" t="inlineStr">
        <is>
          <t>New</t>
        </is>
      </c>
      <c r="J896" s="34" t="inlineStr">
        <is>
          <t>Source assignment -- not individually reviewed</t>
        </is>
      </c>
      <c r="K896" s="39" t="inlineStr"/>
      <c r="L896" s="14" t="inlineStr"/>
      <c r="M896" s="14" t="inlineStr"/>
      <c r="N896" s="92" t="inlineStr">
        <is>
          <t>10 EVIDENCE &amp; DECISIONS</t>
        </is>
      </c>
    </row>
    <row r="897" ht="34" customHeight="1">
      <c r="A897" s="34" t="inlineStr">
        <is>
          <t>Contractor Programme</t>
        </is>
      </c>
      <c r="B897" s="34" t="inlineStr">
        <is>
          <t>SCH-04-109</t>
        </is>
      </c>
      <c r="C897" s="34" t="inlineStr">
        <is>
          <t>Storage yard: wash-plant commissioning - inspection</t>
        </is>
      </c>
      <c r="D897" s="34" t="inlineStr">
        <is>
          <t>WBS Code = 1.4.1</t>
        </is>
      </c>
      <c r="E897" s="34" t="inlineStr">
        <is>
          <t>R649-v1</t>
        </is>
      </c>
      <c r="F897" s="34" t="inlineStr">
        <is>
          <t>1.4.1 Vehicles and Depot - Fleet Supply</t>
        </is>
      </c>
      <c r="G897" s="34" t="inlineStr">
        <is>
          <t>ONE_TO_ONE</t>
        </is>
      </c>
      <c r="H897" s="34" t="inlineStr">
        <is>
          <t>APPROVED</t>
        </is>
      </c>
      <c r="I897" s="34" t="inlineStr">
        <is>
          <t>New</t>
        </is>
      </c>
      <c r="J897" s="34" t="inlineStr">
        <is>
          <t>Source assignment -- not individually reviewed</t>
        </is>
      </c>
      <c r="K897" s="39" t="inlineStr"/>
      <c r="L897" s="14" t="inlineStr"/>
      <c r="M897" s="14" t="inlineStr"/>
      <c r="N897" s="92" t="inlineStr">
        <is>
          <t>10 EVIDENCE &amp; DECISIONS</t>
        </is>
      </c>
    </row>
    <row r="898" ht="34" customHeight="1">
      <c r="A898" s="34" t="inlineStr">
        <is>
          <t>Contractor Programme</t>
        </is>
      </c>
      <c r="B898" s="34" t="inlineStr">
        <is>
          <t>SCH-04-110</t>
        </is>
      </c>
      <c r="C898" s="34" t="inlineStr">
        <is>
          <t>Operations building: maintenance-bay services - turnover</t>
        </is>
      </c>
      <c r="D898" s="34" t="inlineStr">
        <is>
          <t>WBS Code = 1.4.1</t>
        </is>
      </c>
      <c r="E898" s="34" t="inlineStr">
        <is>
          <t>R650-v1</t>
        </is>
      </c>
      <c r="F898" s="34" t="inlineStr">
        <is>
          <t>1.4.1 Vehicles and Depot - Fleet Supply</t>
        </is>
      </c>
      <c r="G898" s="34" t="inlineStr">
        <is>
          <t>ONE_TO_ONE</t>
        </is>
      </c>
      <c r="H898" s="34" t="inlineStr">
        <is>
          <t>APPROVED</t>
        </is>
      </c>
      <c r="I898" s="34" t="inlineStr">
        <is>
          <t>New</t>
        </is>
      </c>
      <c r="J898" s="34" t="inlineStr">
        <is>
          <t>Source assignment -- not individually reviewed</t>
        </is>
      </c>
      <c r="K898" s="39" t="inlineStr"/>
      <c r="L898" s="14" t="inlineStr"/>
      <c r="M898" s="14" t="inlineStr"/>
      <c r="N898" s="92" t="inlineStr">
        <is>
          <t>10 EVIDENCE &amp; DECISIONS</t>
        </is>
      </c>
    </row>
    <row r="899" ht="34" customHeight="1">
      <c r="A899" s="34" t="inlineStr">
        <is>
          <t>Contractor Programme</t>
        </is>
      </c>
      <c r="B899" s="34" t="inlineStr">
        <is>
          <t>SCH-04-112</t>
        </is>
      </c>
      <c r="C899" s="34" t="inlineStr">
        <is>
          <t>Receiving track: workshop crane installation - field start</t>
        </is>
      </c>
      <c r="D899" s="34" t="inlineStr">
        <is>
          <t>WBS Code = 1.4.1</t>
        </is>
      </c>
      <c r="E899" s="34" t="inlineStr">
        <is>
          <t>R652-v1</t>
        </is>
      </c>
      <c r="F899" s="34" t="inlineStr">
        <is>
          <t>1.4.1 Vehicles and Depot - Fleet Supply</t>
        </is>
      </c>
      <c r="G899" s="34" t="inlineStr">
        <is>
          <t>ONE_TO_ONE</t>
        </is>
      </c>
      <c r="H899" s="34" t="inlineStr">
        <is>
          <t>APPROVED</t>
        </is>
      </c>
      <c r="I899" s="34" t="inlineStr">
        <is>
          <t>New</t>
        </is>
      </c>
      <c r="J899" s="34" t="inlineStr">
        <is>
          <t>Source assignment -- not individually reviewed</t>
        </is>
      </c>
      <c r="K899" s="39" t="inlineStr"/>
      <c r="L899" s="14" t="inlineStr"/>
      <c r="M899" s="14" t="inlineStr"/>
      <c r="N899" s="92" t="inlineStr">
        <is>
          <t>10 EVIDENCE &amp; DECISIONS</t>
        </is>
      </c>
    </row>
    <row r="900" ht="34" customHeight="1">
      <c r="A900" s="34" t="inlineStr">
        <is>
          <t>Contractor Programme</t>
        </is>
      </c>
      <c r="B900" s="34" t="inlineStr">
        <is>
          <t>SCH-04-113</t>
        </is>
      </c>
      <c r="C900" s="34" t="inlineStr">
        <is>
          <t>Maintenance shop: vehicle-to-depot interface check - installation</t>
        </is>
      </c>
      <c r="D900" s="34" t="inlineStr">
        <is>
          <t>WBS Code = 1.4.1</t>
        </is>
      </c>
      <c r="E900" s="34" t="inlineStr">
        <is>
          <t>R653-v1</t>
        </is>
      </c>
      <c r="F900" s="34" t="inlineStr">
        <is>
          <t>1.4.1 Vehicles and Depot - Fleet Supply</t>
        </is>
      </c>
      <c r="G900" s="34" t="inlineStr">
        <is>
          <t>ONE_TO_ONE</t>
        </is>
      </c>
      <c r="H900" s="34" t="inlineStr">
        <is>
          <t>APPROVED</t>
        </is>
      </c>
      <c r="I900" s="34" t="inlineStr">
        <is>
          <t>New</t>
        </is>
      </c>
      <c r="J900" s="34" t="inlineStr">
        <is>
          <t>Source assignment -- not individually reviewed</t>
        </is>
      </c>
      <c r="K900" s="39" t="inlineStr"/>
      <c r="L900" s="14" t="inlineStr"/>
      <c r="M900" s="14" t="inlineStr"/>
      <c r="N900" s="92" t="inlineStr">
        <is>
          <t>10 EVIDENCE &amp; DECISIONS</t>
        </is>
      </c>
    </row>
    <row r="901" ht="34" customHeight="1">
      <c r="A901" s="34" t="inlineStr">
        <is>
          <t>Contractor Programme</t>
        </is>
      </c>
      <c r="B901" s="34" t="inlineStr">
        <is>
          <t>SCH-04-115</t>
        </is>
      </c>
      <c r="C901" s="34" t="inlineStr">
        <is>
          <t>Operations building: fleet software load - turnover</t>
        </is>
      </c>
      <c r="D901" s="34" t="inlineStr">
        <is>
          <t>WBS Code = 1.4.1</t>
        </is>
      </c>
      <c r="E901" s="34" t="inlineStr">
        <is>
          <t>R655-v1</t>
        </is>
      </c>
      <c r="F901" s="34" t="inlineStr">
        <is>
          <t>1.4.1 Vehicles and Depot - Fleet Supply</t>
        </is>
      </c>
      <c r="G901" s="34" t="inlineStr">
        <is>
          <t>ONE_TO_ONE</t>
        </is>
      </c>
      <c r="H901" s="34" t="inlineStr">
        <is>
          <t>APPROVED</t>
        </is>
      </c>
      <c r="I901" s="34" t="inlineStr">
        <is>
          <t>New</t>
        </is>
      </c>
      <c r="J901" s="34" t="inlineStr">
        <is>
          <t>Source assignment -- not individually reviewed</t>
        </is>
      </c>
      <c r="K901" s="39" t="inlineStr"/>
      <c r="L901" s="14" t="inlineStr"/>
      <c r="M901" s="14" t="inlineStr"/>
      <c r="N901" s="92" t="inlineStr">
        <is>
          <t>10 EVIDENCE &amp; DECISIONS</t>
        </is>
      </c>
    </row>
    <row r="902" ht="34" customHeight="1">
      <c r="A902" s="34" t="inlineStr">
        <is>
          <t>Contractor Programme</t>
        </is>
      </c>
      <c r="B902" s="34" t="inlineStr">
        <is>
          <t>SCH-04-116</t>
        </is>
      </c>
      <c r="C902" s="34" t="inlineStr">
        <is>
          <t>Test track: vehicle delivery inspection - release</t>
        </is>
      </c>
      <c r="D902" s="34" t="inlineStr">
        <is>
          <t>WBS Code = 1.4.1</t>
        </is>
      </c>
      <c r="E902" s="34" t="inlineStr">
        <is>
          <t>R656-v1</t>
        </is>
      </c>
      <c r="F902" s="34" t="inlineStr">
        <is>
          <t>1.4.1 Vehicles and Depot - Fleet Supply</t>
        </is>
      </c>
      <c r="G902" s="34" t="inlineStr">
        <is>
          <t>ONE_TO_ONE</t>
        </is>
      </c>
      <c r="H902" s="34" t="inlineStr">
        <is>
          <t>APPROVED</t>
        </is>
      </c>
      <c r="I902" s="34" t="inlineStr">
        <is>
          <t>New</t>
        </is>
      </c>
      <c r="J902" s="34" t="inlineStr">
        <is>
          <t>Source assignment -- not individually reviewed</t>
        </is>
      </c>
      <c r="K902" s="39" t="inlineStr"/>
      <c r="L902" s="14" t="inlineStr"/>
      <c r="M902" s="14" t="inlineStr"/>
      <c r="N902" s="92" t="inlineStr">
        <is>
          <t>10 EVIDENCE &amp; DECISIONS</t>
        </is>
      </c>
    </row>
    <row r="903" ht="34" customHeight="1">
      <c r="A903" s="34" t="inlineStr">
        <is>
          <t>Contractor Programme</t>
        </is>
      </c>
      <c r="B903" s="34" t="inlineStr">
        <is>
          <t>SCH-04-118</t>
        </is>
      </c>
      <c r="C903" s="34" t="inlineStr">
        <is>
          <t>Maintenance shop: maintenance-bay services - installation</t>
        </is>
      </c>
      <c r="D903" s="34" t="inlineStr">
        <is>
          <t>WBS Code = 1.4.1</t>
        </is>
      </c>
      <c r="E903" s="34" t="inlineStr">
        <is>
          <t>R658-v1</t>
        </is>
      </c>
      <c r="F903" s="34" t="inlineStr">
        <is>
          <t>1.4.1 Vehicles and Depot - Fleet Supply</t>
        </is>
      </c>
      <c r="G903" s="34" t="inlineStr">
        <is>
          <t>ONE_TO_ONE</t>
        </is>
      </c>
      <c r="H903" s="34" t="inlineStr">
        <is>
          <t>APPROVED</t>
        </is>
      </c>
      <c r="I903" s="34" t="inlineStr">
        <is>
          <t>New</t>
        </is>
      </c>
      <c r="J903" s="34" t="inlineStr">
        <is>
          <t>Source assignment -- not individually reviewed</t>
        </is>
      </c>
      <c r="K903" s="39" t="inlineStr"/>
      <c r="L903" s="14" t="inlineStr"/>
      <c r="M903" s="14" t="inlineStr"/>
      <c r="N903" s="92" t="inlineStr">
        <is>
          <t>10 EVIDENCE &amp; DECISIONS</t>
        </is>
      </c>
    </row>
    <row r="904" ht="34" customHeight="1">
      <c r="A904" s="34" t="inlineStr">
        <is>
          <t>Contractor Programme</t>
        </is>
      </c>
      <c r="B904" s="34" t="inlineStr">
        <is>
          <t>SCH-04-119</t>
        </is>
      </c>
      <c r="C904" s="34" t="inlineStr">
        <is>
          <t>Storage yard: depot structural fit-out - inspection</t>
        </is>
      </c>
      <c r="D904" s="34" t="inlineStr">
        <is>
          <t>WBS Code = 1.4.1</t>
        </is>
      </c>
      <c r="E904" s="34" t="inlineStr">
        <is>
          <t>R659-v1</t>
        </is>
      </c>
      <c r="F904" s="34" t="inlineStr">
        <is>
          <t>1.4.1 Vehicles and Depot - Fleet Supply</t>
        </is>
      </c>
      <c r="G904" s="34" t="inlineStr">
        <is>
          <t>ONE_TO_ONE</t>
        </is>
      </c>
      <c r="H904" s="34" t="inlineStr">
        <is>
          <t>APPROVED</t>
        </is>
      </c>
      <c r="I904" s="34" t="inlineStr">
        <is>
          <t>New</t>
        </is>
      </c>
      <c r="J904" s="34" t="inlineStr">
        <is>
          <t>Source assignment -- not individually reviewed</t>
        </is>
      </c>
      <c r="K904" s="39" t="inlineStr"/>
      <c r="L904" s="14" t="inlineStr"/>
      <c r="M904" s="14" t="inlineStr"/>
      <c r="N904" s="92" t="inlineStr">
        <is>
          <t>10 EVIDENCE &amp; DECISIONS</t>
        </is>
      </c>
    </row>
    <row r="905" ht="34" customHeight="1">
      <c r="A905" s="34" t="inlineStr">
        <is>
          <t>Contractor Programme</t>
        </is>
      </c>
      <c r="B905" s="34" t="inlineStr">
        <is>
          <t>SCH-04-121</t>
        </is>
      </c>
      <c r="C905" s="34" t="inlineStr">
        <is>
          <t>Test track: vehicle-to-depot interface check - release</t>
        </is>
      </c>
      <c r="D905" s="34" t="inlineStr">
        <is>
          <t>WBS Code = 1.4.1</t>
        </is>
      </c>
      <c r="E905" s="34" t="inlineStr">
        <is>
          <t>R661-v1</t>
        </is>
      </c>
      <c r="F905" s="34" t="inlineStr">
        <is>
          <t>1.4.1 Vehicles and Depot - Fleet Supply</t>
        </is>
      </c>
      <c r="G905" s="34" t="inlineStr">
        <is>
          <t>ONE_TO_ONE</t>
        </is>
      </c>
      <c r="H905" s="34" t="inlineStr">
        <is>
          <t>APPROVED</t>
        </is>
      </c>
      <c r="I905" s="34" t="inlineStr">
        <is>
          <t>New</t>
        </is>
      </c>
      <c r="J905" s="34" t="inlineStr">
        <is>
          <t>Source assignment -- not individually reviewed</t>
        </is>
      </c>
      <c r="K905" s="39" t="inlineStr"/>
      <c r="L905" s="14" t="inlineStr"/>
      <c r="M905" s="14" t="inlineStr"/>
      <c r="N905" s="92" t="inlineStr">
        <is>
          <t>10 EVIDENCE &amp; DECISIONS</t>
        </is>
      </c>
    </row>
    <row r="906" ht="34" customHeight="1">
      <c r="A906" s="34" t="inlineStr">
        <is>
          <t>Contractor Programme</t>
        </is>
      </c>
      <c r="B906" s="34" t="inlineStr">
        <is>
          <t>SCH-04-122</t>
        </is>
      </c>
      <c r="C906" s="34" t="inlineStr">
        <is>
          <t>Receiving track: wheel-lathe installation - field start</t>
        </is>
      </c>
      <c r="D906" s="34" t="inlineStr">
        <is>
          <t>WBS Code = 1.4.1</t>
        </is>
      </c>
      <c r="E906" s="34" t="inlineStr">
        <is>
          <t>R662-v1</t>
        </is>
      </c>
      <c r="F906" s="34" t="inlineStr">
        <is>
          <t>1.4.1 Vehicles and Depot - Fleet Supply</t>
        </is>
      </c>
      <c r="G906" s="34" t="inlineStr">
        <is>
          <t>ONE_TO_ONE</t>
        </is>
      </c>
      <c r="H906" s="34" t="inlineStr">
        <is>
          <t>APPROVED</t>
        </is>
      </c>
      <c r="I906" s="34" t="inlineStr">
        <is>
          <t>New</t>
        </is>
      </c>
      <c r="J906" s="34" t="inlineStr">
        <is>
          <t>Source assignment -- not individually reviewed</t>
        </is>
      </c>
      <c r="K906" s="39" t="inlineStr"/>
      <c r="L906" s="14" t="inlineStr"/>
      <c r="M906" s="14" t="inlineStr"/>
      <c r="N906" s="92" t="inlineStr">
        <is>
          <t>10 EVIDENCE &amp; DECISIONS</t>
        </is>
      </c>
    </row>
    <row r="907" ht="34" customHeight="1">
      <c r="A907" s="34" t="inlineStr">
        <is>
          <t>Contractor Programme</t>
        </is>
      </c>
      <c r="B907" s="34" t="inlineStr">
        <is>
          <t>SCH-04-124</t>
        </is>
      </c>
      <c r="C907" s="34" t="inlineStr">
        <is>
          <t>Storage yard: vehicle delivery inspection - inspection</t>
        </is>
      </c>
      <c r="D907" s="34" t="inlineStr">
        <is>
          <t>WBS Code = 1.4.1</t>
        </is>
      </c>
      <c r="E907" s="34" t="inlineStr">
        <is>
          <t>R664-v1</t>
        </is>
      </c>
      <c r="F907" s="34" t="inlineStr">
        <is>
          <t>1.4.1 Vehicles and Depot - Fleet Supply</t>
        </is>
      </c>
      <c r="G907" s="34" t="inlineStr">
        <is>
          <t>ONE_TO_ONE</t>
        </is>
      </c>
      <c r="H907" s="34" t="inlineStr">
        <is>
          <t>APPROVED</t>
        </is>
      </c>
      <c r="I907" s="34" t="inlineStr">
        <is>
          <t>New</t>
        </is>
      </c>
      <c r="J907" s="34" t="inlineStr">
        <is>
          <t>Source assignment -- not individually reviewed</t>
        </is>
      </c>
      <c r="K907" s="39" t="inlineStr"/>
      <c r="L907" s="14" t="inlineStr"/>
      <c r="M907" s="14" t="inlineStr"/>
      <c r="N907" s="92" t="inlineStr">
        <is>
          <t>10 EVIDENCE &amp; DECISIONS</t>
        </is>
      </c>
    </row>
    <row r="908" ht="34" customHeight="1">
      <c r="A908" s="34" t="inlineStr">
        <is>
          <t>Contractor Programme</t>
        </is>
      </c>
      <c r="B908" s="34" t="inlineStr">
        <is>
          <t>SCH-04-125</t>
        </is>
      </c>
      <c r="C908" s="34" t="inlineStr">
        <is>
          <t>Operations building: wash-plant commissioning - turnover</t>
        </is>
      </c>
      <c r="D908" s="34" t="inlineStr">
        <is>
          <t>WBS Code = 1.4.1</t>
        </is>
      </c>
      <c r="E908" s="34" t="inlineStr">
        <is>
          <t>R665-v1</t>
        </is>
      </c>
      <c r="F908" s="34" t="inlineStr">
        <is>
          <t>1.4.1 Vehicles and Depot - Fleet Supply</t>
        </is>
      </c>
      <c r="G908" s="34" t="inlineStr">
        <is>
          <t>ONE_TO_ONE</t>
        </is>
      </c>
      <c r="H908" s="34" t="inlineStr">
        <is>
          <t>APPROVED</t>
        </is>
      </c>
      <c r="I908" s="34" t="inlineStr">
        <is>
          <t>New</t>
        </is>
      </c>
      <c r="J908" s="34" t="inlineStr">
        <is>
          <t>Source assignment -- not individually reviewed</t>
        </is>
      </c>
      <c r="K908" s="39" t="inlineStr"/>
      <c r="L908" s="14" t="inlineStr"/>
      <c r="M908" s="14" t="inlineStr"/>
      <c r="N908" s="92" t="inlineStr">
        <is>
          <t>10 EVIDENCE &amp; DECISIONS</t>
        </is>
      </c>
    </row>
    <row r="909" ht="34" customHeight="1">
      <c r="A909" s="34" t="inlineStr">
        <is>
          <t>Contractor Programme</t>
        </is>
      </c>
      <c r="B909" s="34" t="inlineStr">
        <is>
          <t>SCH-04-127</t>
        </is>
      </c>
      <c r="C909" s="34" t="inlineStr">
        <is>
          <t>Receiving track: depot structural fit-out - field start</t>
        </is>
      </c>
      <c r="D909" s="34" t="inlineStr">
        <is>
          <t>WBS Code = 1.4.1</t>
        </is>
      </c>
      <c r="E909" s="34" t="inlineStr">
        <is>
          <t>R667-v1</t>
        </is>
      </c>
      <c r="F909" s="34" t="inlineStr">
        <is>
          <t>1.4.1 Vehicles and Depot - Fleet Supply</t>
        </is>
      </c>
      <c r="G909" s="34" t="inlineStr">
        <is>
          <t>ONE_TO_ONE</t>
        </is>
      </c>
      <c r="H909" s="34" t="inlineStr">
        <is>
          <t>APPROVED</t>
        </is>
      </c>
      <c r="I909" s="34" t="inlineStr">
        <is>
          <t>New</t>
        </is>
      </c>
      <c r="J909" s="34" t="inlineStr">
        <is>
          <t>Source assignment -- not individually reviewed</t>
        </is>
      </c>
      <c r="K909" s="39" t="inlineStr"/>
      <c r="L909" s="14" t="inlineStr"/>
      <c r="M909" s="14" t="inlineStr"/>
      <c r="N909" s="92" t="inlineStr">
        <is>
          <t>10 EVIDENCE &amp; DECISIONS</t>
        </is>
      </c>
    </row>
    <row r="910" ht="34" customHeight="1">
      <c r="A910" s="34" t="inlineStr">
        <is>
          <t>Contractor Programme</t>
        </is>
      </c>
      <c r="B910" s="34" t="inlineStr">
        <is>
          <t>SCH-04-128</t>
        </is>
      </c>
      <c r="C910" s="34" t="inlineStr">
        <is>
          <t>Maintenance shop: workshop crane installation - installation</t>
        </is>
      </c>
      <c r="D910" s="34" t="inlineStr">
        <is>
          <t>WBS Code = 1.4.1</t>
        </is>
      </c>
      <c r="E910" s="34" t="inlineStr">
        <is>
          <t>R668-v1</t>
        </is>
      </c>
      <c r="F910" s="34" t="inlineStr">
        <is>
          <t>1.4.1 Vehicles and Depot - Fleet Supply</t>
        </is>
      </c>
      <c r="G910" s="34" t="inlineStr">
        <is>
          <t>ONE_TO_ONE</t>
        </is>
      </c>
      <c r="H910" s="34" t="inlineStr">
        <is>
          <t>APPROVED</t>
        </is>
      </c>
      <c r="I910" s="34" t="inlineStr">
        <is>
          <t>New</t>
        </is>
      </c>
      <c r="J910" s="34" t="inlineStr">
        <is>
          <t>Source assignment -- not individually reviewed</t>
        </is>
      </c>
      <c r="K910" s="39" t="inlineStr"/>
      <c r="L910" s="14" t="inlineStr"/>
      <c r="M910" s="14" t="inlineStr"/>
      <c r="N910" s="92" t="inlineStr">
        <is>
          <t>10 EVIDENCE &amp; DECISIONS</t>
        </is>
      </c>
    </row>
    <row r="911" ht="34" customHeight="1">
      <c r="A911" s="34" t="inlineStr">
        <is>
          <t>Contractor Programme</t>
        </is>
      </c>
      <c r="B911" s="34" t="inlineStr">
        <is>
          <t>SCH-04-130</t>
        </is>
      </c>
      <c r="C911" s="34" t="inlineStr">
        <is>
          <t>Operations building: wheel-lathe installation - turnover</t>
        </is>
      </c>
      <c r="D911" s="34" t="inlineStr">
        <is>
          <t>WBS Code = 1.4.1</t>
        </is>
      </c>
      <c r="E911" s="34" t="inlineStr">
        <is>
          <t>R670-v1</t>
        </is>
      </c>
      <c r="F911" s="34" t="inlineStr">
        <is>
          <t>1.4.1 Vehicles and Depot - Fleet Supply</t>
        </is>
      </c>
      <c r="G911" s="34" t="inlineStr">
        <is>
          <t>ONE_TO_ONE</t>
        </is>
      </c>
      <c r="H911" s="34" t="inlineStr">
        <is>
          <t>APPROVED</t>
        </is>
      </c>
      <c r="I911" s="34" t="inlineStr">
        <is>
          <t>New</t>
        </is>
      </c>
      <c r="J911" s="34" t="inlineStr">
        <is>
          <t>Source assignment -- not individually reviewed</t>
        </is>
      </c>
      <c r="K911" s="39" t="inlineStr"/>
      <c r="L911" s="14" t="inlineStr"/>
      <c r="M911" s="14" t="inlineStr"/>
      <c r="N911" s="92" t="inlineStr">
        <is>
          <t>10 EVIDENCE &amp; DECISIONS</t>
        </is>
      </c>
    </row>
    <row r="912" ht="34" customHeight="1">
      <c r="A912" s="34" t="inlineStr">
        <is>
          <t>Contractor Programme</t>
        </is>
      </c>
      <c r="B912" s="34" t="inlineStr">
        <is>
          <t>SCH-04-131</t>
        </is>
      </c>
      <c r="C912" s="34" t="inlineStr">
        <is>
          <t>Test track: fleet software load - release</t>
        </is>
      </c>
      <c r="D912" s="34" t="inlineStr">
        <is>
          <t>WBS Code = 1.4.1</t>
        </is>
      </c>
      <c r="E912" s="34" t="inlineStr">
        <is>
          <t>R671-v1</t>
        </is>
      </c>
      <c r="F912" s="34" t="inlineStr">
        <is>
          <t>1.4.1 Vehicles and Depot - Fleet Supply</t>
        </is>
      </c>
      <c r="G912" s="34" t="inlineStr">
        <is>
          <t>ONE_TO_ONE</t>
        </is>
      </c>
      <c r="H912" s="34" t="inlineStr">
        <is>
          <t>APPROVED</t>
        </is>
      </c>
      <c r="I912" s="34" t="inlineStr">
        <is>
          <t>New</t>
        </is>
      </c>
      <c r="J912" s="34" t="inlineStr">
        <is>
          <t>Source assignment -- not individually reviewed</t>
        </is>
      </c>
      <c r="K912" s="39" t="inlineStr"/>
      <c r="L912" s="14" t="inlineStr"/>
      <c r="M912" s="14" t="inlineStr"/>
      <c r="N912" s="92" t="inlineStr">
        <is>
          <t>10 EVIDENCE &amp; DECISIONS</t>
        </is>
      </c>
    </row>
    <row r="913" ht="34" customHeight="1">
      <c r="A913" s="34" t="inlineStr">
        <is>
          <t>Contractor Programme</t>
        </is>
      </c>
      <c r="B913" s="34" t="inlineStr">
        <is>
          <t>SCH-04-133</t>
        </is>
      </c>
      <c r="C913" s="34" t="inlineStr">
        <is>
          <t>Maintenance shop: wash-plant commissioning - installation</t>
        </is>
      </c>
      <c r="D913" s="34" t="inlineStr">
        <is>
          <t>WBS Code = 1.4.1</t>
        </is>
      </c>
      <c r="E913" s="34" t="inlineStr">
        <is>
          <t>R673-v1</t>
        </is>
      </c>
      <c r="F913" s="34" t="inlineStr">
        <is>
          <t>1.4.1 Vehicles and Depot - Fleet Supply</t>
        </is>
      </c>
      <c r="G913" s="34" t="inlineStr">
        <is>
          <t>ONE_TO_ONE</t>
        </is>
      </c>
      <c r="H913" s="34" t="inlineStr">
        <is>
          <t>APPROVED</t>
        </is>
      </c>
      <c r="I913" s="34" t="inlineStr">
        <is>
          <t>New</t>
        </is>
      </c>
      <c r="J913" s="34" t="inlineStr">
        <is>
          <t>Source assignment -- not individually reviewed</t>
        </is>
      </c>
      <c r="K913" s="39" t="inlineStr"/>
      <c r="L913" s="14" t="inlineStr"/>
      <c r="M913" s="14" t="inlineStr"/>
      <c r="N913" s="92" t="inlineStr">
        <is>
          <t>10 EVIDENCE &amp; DECISIONS</t>
        </is>
      </c>
    </row>
    <row r="914" ht="34" customHeight="1">
      <c r="A914" s="34" t="inlineStr">
        <is>
          <t>Contractor Programme</t>
        </is>
      </c>
      <c r="B914" s="34" t="inlineStr">
        <is>
          <t>SCH-04-134</t>
        </is>
      </c>
      <c r="C914" s="34" t="inlineStr">
        <is>
          <t>Storage yard: maintenance-bay services - inspection</t>
        </is>
      </c>
      <c r="D914" s="34" t="inlineStr">
        <is>
          <t>WBS Code = 1.4.1</t>
        </is>
      </c>
      <c r="E914" s="34" t="inlineStr">
        <is>
          <t>R674-v1</t>
        </is>
      </c>
      <c r="F914" s="34" t="inlineStr">
        <is>
          <t>1.4.1 Vehicles and Depot - Fleet Supply</t>
        </is>
      </c>
      <c r="G914" s="34" t="inlineStr">
        <is>
          <t>ONE_TO_ONE</t>
        </is>
      </c>
      <c r="H914" s="34" t="inlineStr">
        <is>
          <t>APPROVED</t>
        </is>
      </c>
      <c r="I914" s="34" t="inlineStr">
        <is>
          <t>New</t>
        </is>
      </c>
      <c r="J914" s="34" t="inlineStr">
        <is>
          <t>Source assignment -- not individually reviewed</t>
        </is>
      </c>
      <c r="K914" s="39" t="inlineStr"/>
      <c r="L914" s="14" t="inlineStr"/>
      <c r="M914" s="14" t="inlineStr"/>
      <c r="N914" s="92" t="inlineStr">
        <is>
          <t>10 EVIDENCE &amp; DECISIONS</t>
        </is>
      </c>
    </row>
    <row r="915" ht="34" customHeight="1">
      <c r="A915" s="34" t="inlineStr">
        <is>
          <t>Contractor Programme</t>
        </is>
      </c>
      <c r="B915" s="34" t="inlineStr">
        <is>
          <t>SCH-04-136</t>
        </is>
      </c>
      <c r="C915" s="34" t="inlineStr">
        <is>
          <t>Test track: workshop crane installation - release</t>
        </is>
      </c>
      <c r="D915" s="34" t="inlineStr">
        <is>
          <t>WBS Code = 1.4.1</t>
        </is>
      </c>
      <c r="E915" s="34" t="inlineStr">
        <is>
          <t>R676-v1</t>
        </is>
      </c>
      <c r="F915" s="34" t="inlineStr">
        <is>
          <t>1.4.1 Vehicles and Depot - Fleet Supply</t>
        </is>
      </c>
      <c r="G915" s="34" t="inlineStr">
        <is>
          <t>ONE_TO_ONE</t>
        </is>
      </c>
      <c r="H915" s="34" t="inlineStr">
        <is>
          <t>APPROVED</t>
        </is>
      </c>
      <c r="I915" s="34" t="inlineStr">
        <is>
          <t>New</t>
        </is>
      </c>
      <c r="J915" s="34" t="inlineStr">
        <is>
          <t>Source assignment -- not individually reviewed</t>
        </is>
      </c>
      <c r="K915" s="39" t="inlineStr"/>
      <c r="L915" s="14" t="inlineStr"/>
      <c r="M915" s="14" t="inlineStr"/>
      <c r="N915" s="92" t="inlineStr">
        <is>
          <t>10 EVIDENCE &amp; DECISIONS</t>
        </is>
      </c>
    </row>
    <row r="916" ht="34" customHeight="1">
      <c r="A916" s="34" t="inlineStr">
        <is>
          <t>Contractor Programme</t>
        </is>
      </c>
      <c r="B916" s="34" t="inlineStr">
        <is>
          <t>SCH-04-137</t>
        </is>
      </c>
      <c r="C916" s="34" t="inlineStr">
        <is>
          <t>Receiving track: vehicle-to-depot interface check - field start</t>
        </is>
      </c>
      <c r="D916" s="34" t="inlineStr">
        <is>
          <t>WBS Code = 1.4.1</t>
        </is>
      </c>
      <c r="E916" s="34" t="inlineStr">
        <is>
          <t>R677-v1</t>
        </is>
      </c>
      <c r="F916" s="34" t="inlineStr">
        <is>
          <t>1.4.1 Vehicles and Depot - Fleet Supply</t>
        </is>
      </c>
      <c r="G916" s="34" t="inlineStr">
        <is>
          <t>ONE_TO_ONE</t>
        </is>
      </c>
      <c r="H916" s="34" t="inlineStr">
        <is>
          <t>APPROVED</t>
        </is>
      </c>
      <c r="I916" s="34" t="inlineStr">
        <is>
          <t>New</t>
        </is>
      </c>
      <c r="J916" s="34" t="inlineStr">
        <is>
          <t>Source assignment -- not individually reviewed</t>
        </is>
      </c>
      <c r="K916" s="39" t="inlineStr"/>
      <c r="L916" s="14" t="inlineStr"/>
      <c r="M916" s="14" t="inlineStr"/>
      <c r="N916" s="92" t="inlineStr">
        <is>
          <t>10 EVIDENCE &amp; DECISIONS</t>
        </is>
      </c>
    </row>
    <row r="917" ht="34" customHeight="1">
      <c r="A917" s="34" t="inlineStr">
        <is>
          <t>Contractor Programme</t>
        </is>
      </c>
      <c r="B917" s="34" t="inlineStr">
        <is>
          <t>SCH-04-139</t>
        </is>
      </c>
      <c r="C917" s="34" t="inlineStr">
        <is>
          <t>Storage yard: fleet software load - inspection</t>
        </is>
      </c>
      <c r="D917" s="34" t="inlineStr">
        <is>
          <t>WBS Code = 1.4.1</t>
        </is>
      </c>
      <c r="E917" s="34" t="inlineStr">
        <is>
          <t>R679-v1</t>
        </is>
      </c>
      <c r="F917" s="34" t="inlineStr">
        <is>
          <t>1.4.1 Vehicles and Depot - Fleet Supply</t>
        </is>
      </c>
      <c r="G917" s="34" t="inlineStr">
        <is>
          <t>ONE_TO_ONE</t>
        </is>
      </c>
      <c r="H917" s="34" t="inlineStr">
        <is>
          <t>APPROVED</t>
        </is>
      </c>
      <c r="I917" s="34" t="inlineStr">
        <is>
          <t>New</t>
        </is>
      </c>
      <c r="J917" s="34" t="inlineStr">
        <is>
          <t>Source assignment -- not individually reviewed</t>
        </is>
      </c>
      <c r="K917" s="39" t="inlineStr"/>
      <c r="L917" s="14" t="inlineStr"/>
      <c r="M917" s="14" t="inlineStr"/>
      <c r="N917" s="92" t="inlineStr">
        <is>
          <t>10 EVIDENCE &amp; DECISIONS</t>
        </is>
      </c>
    </row>
    <row r="918" ht="34" customHeight="1">
      <c r="A918" s="34" t="inlineStr">
        <is>
          <t>Contractor Programme</t>
        </is>
      </c>
      <c r="B918" s="34" t="inlineStr">
        <is>
          <t>SCH-04-140</t>
        </is>
      </c>
      <c r="C918" s="34" t="inlineStr">
        <is>
          <t>Operations building: vehicle delivery inspection - turnover</t>
        </is>
      </c>
      <c r="D918" s="34" t="inlineStr">
        <is>
          <t>WBS Code = 1.4.1</t>
        </is>
      </c>
      <c r="E918" s="34" t="inlineStr">
        <is>
          <t>R680-v1</t>
        </is>
      </c>
      <c r="F918" s="34" t="inlineStr">
        <is>
          <t>1.4.1 Vehicles and Depot - Fleet Supply</t>
        </is>
      </c>
      <c r="G918" s="34" t="inlineStr">
        <is>
          <t>ONE_TO_ONE</t>
        </is>
      </c>
      <c r="H918" s="34" t="inlineStr">
        <is>
          <t>APPROVED</t>
        </is>
      </c>
      <c r="I918" s="34" t="inlineStr">
        <is>
          <t>New</t>
        </is>
      </c>
      <c r="J918" s="34" t="inlineStr">
        <is>
          <t>Source assignment -- not individually reviewed</t>
        </is>
      </c>
      <c r="K918" s="39" t="inlineStr"/>
      <c r="L918" s="14" t="inlineStr"/>
      <c r="M918" s="14" t="inlineStr"/>
      <c r="N918" s="92" t="inlineStr">
        <is>
          <t>10 EVIDENCE &amp; DECISIONS</t>
        </is>
      </c>
    </row>
    <row r="919" ht="34" customHeight="1">
      <c r="A919" s="34" t="inlineStr">
        <is>
          <t>Contractor Programme</t>
        </is>
      </c>
      <c r="B919" s="34" t="inlineStr">
        <is>
          <t>SCH-04-142</t>
        </is>
      </c>
      <c r="C919" s="34" t="inlineStr">
        <is>
          <t>Receiving track: maintenance-bay services - field start</t>
        </is>
      </c>
      <c r="D919" s="34" t="inlineStr">
        <is>
          <t>WBS Code = 1.4.1</t>
        </is>
      </c>
      <c r="E919" s="34" t="inlineStr">
        <is>
          <t>R682-v1</t>
        </is>
      </c>
      <c r="F919" s="34" t="inlineStr">
        <is>
          <t>1.4.1 Vehicles and Depot - Fleet Supply</t>
        </is>
      </c>
      <c r="G919" s="34" t="inlineStr">
        <is>
          <t>ONE_TO_ONE</t>
        </is>
      </c>
      <c r="H919" s="34" t="inlineStr">
        <is>
          <t>APPROVED</t>
        </is>
      </c>
      <c r="I919" s="34" t="inlineStr">
        <is>
          <t>New</t>
        </is>
      </c>
      <c r="J919" s="34" t="inlineStr">
        <is>
          <t>Source assignment -- not individually reviewed</t>
        </is>
      </c>
      <c r="K919" s="39" t="inlineStr"/>
      <c r="L919" s="14" t="inlineStr"/>
      <c r="M919" s="14" t="inlineStr"/>
      <c r="N919" s="92" t="inlineStr">
        <is>
          <t>10 EVIDENCE &amp; DECISIONS</t>
        </is>
      </c>
    </row>
    <row r="920" ht="34" customHeight="1">
      <c r="A920" s="34" t="inlineStr">
        <is>
          <t>Contractor Programme</t>
        </is>
      </c>
      <c r="B920" s="34" t="inlineStr">
        <is>
          <t>SCH-04-143</t>
        </is>
      </c>
      <c r="C920" s="34" t="inlineStr">
        <is>
          <t>Maintenance shop: depot structural fit-out - installation</t>
        </is>
      </c>
      <c r="D920" s="34" t="inlineStr">
        <is>
          <t>WBS Code = 1.4.1</t>
        </is>
      </c>
      <c r="E920" s="34" t="inlineStr">
        <is>
          <t>R683-v1</t>
        </is>
      </c>
      <c r="F920" s="34" t="inlineStr">
        <is>
          <t>1.4.1 Vehicles and Depot - Fleet Supply</t>
        </is>
      </c>
      <c r="G920" s="34" t="inlineStr">
        <is>
          <t>ONE_TO_ONE</t>
        </is>
      </c>
      <c r="H920" s="34" t="inlineStr">
        <is>
          <t>APPROVED</t>
        </is>
      </c>
      <c r="I920" s="34" t="inlineStr">
        <is>
          <t>New</t>
        </is>
      </c>
      <c r="J920" s="34" t="inlineStr">
        <is>
          <t>Source assignment -- not individually reviewed</t>
        </is>
      </c>
      <c r="K920" s="39" t="inlineStr"/>
      <c r="L920" s="14" t="inlineStr"/>
      <c r="M920" s="14" t="inlineStr"/>
      <c r="N920" s="92" t="inlineStr">
        <is>
          <t>10 EVIDENCE &amp; DECISIONS</t>
        </is>
      </c>
    </row>
    <row r="921" ht="34" customHeight="1">
      <c r="A921" s="34" t="inlineStr">
        <is>
          <t>Contractor Programme</t>
        </is>
      </c>
      <c r="B921" s="34" t="inlineStr">
        <is>
          <t>SCH-04-145</t>
        </is>
      </c>
      <c r="C921" s="34" t="inlineStr">
        <is>
          <t>Operations building: vehicle-to-depot interface check - turnover</t>
        </is>
      </c>
      <c r="D921" s="34" t="inlineStr">
        <is>
          <t>WBS Code = 1.4.1</t>
        </is>
      </c>
      <c r="E921" s="34" t="inlineStr">
        <is>
          <t>R685-v1</t>
        </is>
      </c>
      <c r="F921" s="34" t="inlineStr">
        <is>
          <t>1.4.1 Vehicles and Depot - Fleet Supply</t>
        </is>
      </c>
      <c r="G921" s="34" t="inlineStr">
        <is>
          <t>ONE_TO_ONE</t>
        </is>
      </c>
      <c r="H921" s="34" t="inlineStr">
        <is>
          <t>APPROVED</t>
        </is>
      </c>
      <c r="I921" s="34" t="inlineStr">
        <is>
          <t>New</t>
        </is>
      </c>
      <c r="J921" s="34" t="inlineStr">
        <is>
          <t>Source assignment -- not individually reviewed</t>
        </is>
      </c>
      <c r="K921" s="39" t="inlineStr"/>
      <c r="L921" s="14" t="inlineStr"/>
      <c r="M921" s="14" t="inlineStr"/>
      <c r="N921" s="92" t="inlineStr">
        <is>
          <t>10 EVIDENCE &amp; DECISIONS</t>
        </is>
      </c>
    </row>
    <row r="922" ht="34" customHeight="1">
      <c r="A922" s="34" t="inlineStr">
        <is>
          <t>Contractor Programme</t>
        </is>
      </c>
      <c r="B922" s="34" t="inlineStr">
        <is>
          <t>SCH-04-146</t>
        </is>
      </c>
      <c r="C922" s="34" t="inlineStr">
        <is>
          <t>Test track: wheel-lathe installation - release</t>
        </is>
      </c>
      <c r="D922" s="34" t="inlineStr">
        <is>
          <t>WBS Code = 1.4.1</t>
        </is>
      </c>
      <c r="E922" s="34" t="inlineStr">
        <is>
          <t>R686-v1</t>
        </is>
      </c>
      <c r="F922" s="34" t="inlineStr">
        <is>
          <t>1.4.1 Vehicles and Depot - Fleet Supply</t>
        </is>
      </c>
      <c r="G922" s="34" t="inlineStr">
        <is>
          <t>ONE_TO_ONE</t>
        </is>
      </c>
      <c r="H922" s="34" t="inlineStr">
        <is>
          <t>APPROVED</t>
        </is>
      </c>
      <c r="I922" s="34" t="inlineStr">
        <is>
          <t>New</t>
        </is>
      </c>
      <c r="J922" s="34" t="inlineStr">
        <is>
          <t>Source assignment -- not individually reviewed</t>
        </is>
      </c>
      <c r="K922" s="39" t="inlineStr"/>
      <c r="L922" s="14" t="inlineStr"/>
      <c r="M922" s="14" t="inlineStr"/>
      <c r="N922" s="92" t="inlineStr">
        <is>
          <t>10 EVIDENCE &amp; DECISIONS</t>
        </is>
      </c>
    </row>
    <row r="923" ht="34" customHeight="1">
      <c r="A923" s="34" t="inlineStr">
        <is>
          <t>Contractor Programme</t>
        </is>
      </c>
      <c r="B923" s="34" t="inlineStr">
        <is>
          <t>SCH-04-148</t>
        </is>
      </c>
      <c r="C923" s="34" t="inlineStr">
        <is>
          <t>Maintenance shop: vehicle delivery inspection - installation</t>
        </is>
      </c>
      <c r="D923" s="34" t="inlineStr">
        <is>
          <t>WBS Code = 1.4.1</t>
        </is>
      </c>
      <c r="E923" s="34" t="inlineStr">
        <is>
          <t>R688-v1</t>
        </is>
      </c>
      <c r="F923" s="34" t="inlineStr">
        <is>
          <t>1.4.1 Vehicles and Depot - Fleet Supply</t>
        </is>
      </c>
      <c r="G923" s="34" t="inlineStr">
        <is>
          <t>ONE_TO_ONE</t>
        </is>
      </c>
      <c r="H923" s="34" t="inlineStr">
        <is>
          <t>APPROVED</t>
        </is>
      </c>
      <c r="I923" s="34" t="inlineStr">
        <is>
          <t>New</t>
        </is>
      </c>
      <c r="J923" s="34" t="inlineStr">
        <is>
          <t>Source assignment -- not individually reviewed</t>
        </is>
      </c>
      <c r="K923" s="39" t="inlineStr"/>
      <c r="L923" s="14" t="inlineStr"/>
      <c r="M923" s="14" t="inlineStr"/>
      <c r="N923" s="92" t="inlineStr">
        <is>
          <t>10 EVIDENCE &amp; DECISIONS</t>
        </is>
      </c>
    </row>
    <row r="924" ht="34" customHeight="1">
      <c r="A924" s="34" t="inlineStr">
        <is>
          <t>Contractor Programme</t>
        </is>
      </c>
      <c r="B924" s="34" t="inlineStr">
        <is>
          <t>SCH-04-149</t>
        </is>
      </c>
      <c r="C924" s="34" t="inlineStr">
        <is>
          <t>Storage yard: wash-plant commissioning - inspection</t>
        </is>
      </c>
      <c r="D924" s="34" t="inlineStr">
        <is>
          <t>WBS Code = 1.4.1</t>
        </is>
      </c>
      <c r="E924" s="34" t="inlineStr">
        <is>
          <t>R689-v1</t>
        </is>
      </c>
      <c r="F924" s="34" t="inlineStr">
        <is>
          <t>1.4.1 Vehicles and Depot - Fleet Supply</t>
        </is>
      </c>
      <c r="G924" s="34" t="inlineStr">
        <is>
          <t>ONE_TO_ONE</t>
        </is>
      </c>
      <c r="H924" s="34" t="inlineStr">
        <is>
          <t>APPROVED</t>
        </is>
      </c>
      <c r="I924" s="34" t="inlineStr">
        <is>
          <t>New</t>
        </is>
      </c>
      <c r="J924" s="34" t="inlineStr">
        <is>
          <t>Source assignment -- not individually reviewed</t>
        </is>
      </c>
      <c r="K924" s="39" t="inlineStr"/>
      <c r="L924" s="14" t="inlineStr"/>
      <c r="M924" s="14" t="inlineStr"/>
      <c r="N924" s="92" t="inlineStr">
        <is>
          <t>10 EVIDENCE &amp; DECISIONS</t>
        </is>
      </c>
    </row>
    <row r="925" ht="34" customHeight="1">
      <c r="A925" s="34" t="inlineStr">
        <is>
          <t>Contractor Programme</t>
        </is>
      </c>
      <c r="B925" s="34" t="inlineStr">
        <is>
          <t>SCH-04-151</t>
        </is>
      </c>
      <c r="C925" s="34" t="inlineStr">
        <is>
          <t>Test track: depot structural fit-out - release</t>
        </is>
      </c>
      <c r="D925" s="34" t="inlineStr">
        <is>
          <t>WBS Code = 1.4.1</t>
        </is>
      </c>
      <c r="E925" s="34" t="inlineStr">
        <is>
          <t>R691-v1</t>
        </is>
      </c>
      <c r="F925" s="34" t="inlineStr">
        <is>
          <t>1.4.1 Vehicles and Depot - Fleet Supply</t>
        </is>
      </c>
      <c r="G925" s="34" t="inlineStr">
        <is>
          <t>ONE_TO_ONE</t>
        </is>
      </c>
      <c r="H925" s="34" t="inlineStr">
        <is>
          <t>APPROVED</t>
        </is>
      </c>
      <c r="I925" s="34" t="inlineStr">
        <is>
          <t>New</t>
        </is>
      </c>
      <c r="J925" s="34" t="inlineStr">
        <is>
          <t>Source assignment -- not individually reviewed</t>
        </is>
      </c>
      <c r="K925" s="39" t="inlineStr"/>
      <c r="L925" s="14" t="inlineStr"/>
      <c r="M925" s="14" t="inlineStr"/>
      <c r="N925" s="92" t="inlineStr">
        <is>
          <t>10 EVIDENCE &amp; DECISIONS</t>
        </is>
      </c>
    </row>
    <row r="926" ht="34" customHeight="1">
      <c r="A926" s="34" t="inlineStr">
        <is>
          <t>Contractor Programme</t>
        </is>
      </c>
      <c r="B926" s="34" t="inlineStr">
        <is>
          <t>SCH-04-152</t>
        </is>
      </c>
      <c r="C926" s="34" t="inlineStr">
        <is>
          <t>Receiving track: workshop crane installation - field start</t>
        </is>
      </c>
      <c r="D926" s="34" t="inlineStr">
        <is>
          <t>WBS Code = 1.4.1</t>
        </is>
      </c>
      <c r="E926" s="34" t="inlineStr">
        <is>
          <t>R692-v1</t>
        </is>
      </c>
      <c r="F926" s="34" t="inlineStr">
        <is>
          <t>1.4.1 Vehicles and Depot - Fleet Supply</t>
        </is>
      </c>
      <c r="G926" s="34" t="inlineStr">
        <is>
          <t>ONE_TO_ONE</t>
        </is>
      </c>
      <c r="H926" s="34" t="inlineStr">
        <is>
          <t>APPROVED</t>
        </is>
      </c>
      <c r="I926" s="34" t="inlineStr">
        <is>
          <t>New</t>
        </is>
      </c>
      <c r="J926" s="34" t="inlineStr">
        <is>
          <t>Source assignment -- not individually reviewed</t>
        </is>
      </c>
      <c r="K926" s="39" t="inlineStr"/>
      <c r="L926" s="14" t="inlineStr"/>
      <c r="M926" s="14" t="inlineStr"/>
      <c r="N926" s="92" t="inlineStr">
        <is>
          <t>10 EVIDENCE &amp; DECISIONS</t>
        </is>
      </c>
    </row>
    <row r="927" ht="34" customHeight="1">
      <c r="A927" s="34" t="inlineStr">
        <is>
          <t>Contractor Programme</t>
        </is>
      </c>
      <c r="B927" s="34" t="inlineStr">
        <is>
          <t>SCH-04-154</t>
        </is>
      </c>
      <c r="C927" s="34" t="inlineStr">
        <is>
          <t>Storage yard: wheel-lathe installation - inspection</t>
        </is>
      </c>
      <c r="D927" s="34" t="inlineStr">
        <is>
          <t>WBS Code = 1.4.1</t>
        </is>
      </c>
      <c r="E927" s="34" t="inlineStr">
        <is>
          <t>R694-v1</t>
        </is>
      </c>
      <c r="F927" s="34" t="inlineStr">
        <is>
          <t>1.4.1 Vehicles and Depot - Fleet Supply</t>
        </is>
      </c>
      <c r="G927" s="34" t="inlineStr">
        <is>
          <t>ONE_TO_ONE</t>
        </is>
      </c>
      <c r="H927" s="34" t="inlineStr">
        <is>
          <t>APPROVED</t>
        </is>
      </c>
      <c r="I927" s="34" t="inlineStr">
        <is>
          <t>New</t>
        </is>
      </c>
      <c r="J927" s="34" t="inlineStr">
        <is>
          <t>Source assignment -- not individually reviewed</t>
        </is>
      </c>
      <c r="K927" s="39" t="inlineStr"/>
      <c r="L927" s="14" t="inlineStr"/>
      <c r="M927" s="14" t="inlineStr"/>
      <c r="N927" s="92" t="inlineStr">
        <is>
          <t>10 EVIDENCE &amp; DECISIONS</t>
        </is>
      </c>
    </row>
    <row r="928" ht="34" customHeight="1">
      <c r="A928" s="34" t="inlineStr">
        <is>
          <t>Contractor Programme</t>
        </is>
      </c>
      <c r="B928" s="34" t="inlineStr">
        <is>
          <t>SCH-04-155</t>
        </is>
      </c>
      <c r="C928" s="34" t="inlineStr">
        <is>
          <t>Operations building: fleet software load - turnover</t>
        </is>
      </c>
      <c r="D928" s="34" t="inlineStr">
        <is>
          <t>WBS Code = 1.4.1</t>
        </is>
      </c>
      <c r="E928" s="34" t="inlineStr">
        <is>
          <t>R695-v1</t>
        </is>
      </c>
      <c r="F928" s="34" t="inlineStr">
        <is>
          <t>1.4.1 Vehicles and Depot - Fleet Supply</t>
        </is>
      </c>
      <c r="G928" s="34" t="inlineStr">
        <is>
          <t>ONE_TO_ONE</t>
        </is>
      </c>
      <c r="H928" s="34" t="inlineStr">
        <is>
          <t>APPROVED</t>
        </is>
      </c>
      <c r="I928" s="34" t="inlineStr">
        <is>
          <t>New</t>
        </is>
      </c>
      <c r="J928" s="34" t="inlineStr">
        <is>
          <t>Source assignment -- not individually reviewed</t>
        </is>
      </c>
      <c r="K928" s="39" t="inlineStr"/>
      <c r="L928" s="14" t="inlineStr"/>
      <c r="M928" s="14" t="inlineStr"/>
      <c r="N928" s="92" t="inlineStr">
        <is>
          <t>10 EVIDENCE &amp; DECISIONS</t>
        </is>
      </c>
    </row>
    <row r="929" ht="34" customHeight="1">
      <c r="A929" s="34" t="inlineStr">
        <is>
          <t>Contractor Programme</t>
        </is>
      </c>
      <c r="B929" s="34" t="inlineStr">
        <is>
          <t>SCH-04-157</t>
        </is>
      </c>
      <c r="C929" s="34" t="inlineStr">
        <is>
          <t>Receiving track: wash-plant commissioning - field start</t>
        </is>
      </c>
      <c r="D929" s="34" t="inlineStr">
        <is>
          <t>WBS Code = 1.4.1</t>
        </is>
      </c>
      <c r="E929" s="34" t="inlineStr">
        <is>
          <t>R697-v1</t>
        </is>
      </c>
      <c r="F929" s="34" t="inlineStr">
        <is>
          <t>1.4.1 Vehicles and Depot - Fleet Supply</t>
        </is>
      </c>
      <c r="G929" s="34" t="inlineStr">
        <is>
          <t>ONE_TO_ONE</t>
        </is>
      </c>
      <c r="H929" s="34" t="inlineStr">
        <is>
          <t>APPROVED</t>
        </is>
      </c>
      <c r="I929" s="34" t="inlineStr">
        <is>
          <t>New</t>
        </is>
      </c>
      <c r="J929" s="34" t="inlineStr">
        <is>
          <t>Source assignment -- not individually reviewed</t>
        </is>
      </c>
      <c r="K929" s="39" t="inlineStr"/>
      <c r="L929" s="14" t="inlineStr"/>
      <c r="M929" s="14" t="inlineStr"/>
      <c r="N929" s="92" t="inlineStr">
        <is>
          <t>10 EVIDENCE &amp; DECISIONS</t>
        </is>
      </c>
    </row>
    <row r="930" ht="34" customHeight="1">
      <c r="A930" s="34" t="inlineStr">
        <is>
          <t>Contractor Programme</t>
        </is>
      </c>
      <c r="B930" s="34" t="inlineStr">
        <is>
          <t>SCH-04-158</t>
        </is>
      </c>
      <c r="C930" s="34" t="inlineStr">
        <is>
          <t>Maintenance shop: maintenance-bay services - installation</t>
        </is>
      </c>
      <c r="D930" s="34" t="inlineStr">
        <is>
          <t>WBS Code = 1.4.1</t>
        </is>
      </c>
      <c r="E930" s="34" t="inlineStr">
        <is>
          <t>R698-v1</t>
        </is>
      </c>
      <c r="F930" s="34" t="inlineStr">
        <is>
          <t>1.4.1 Vehicles and Depot - Fleet Supply</t>
        </is>
      </c>
      <c r="G930" s="34" t="inlineStr">
        <is>
          <t>ONE_TO_ONE</t>
        </is>
      </c>
      <c r="H930" s="34" t="inlineStr">
        <is>
          <t>APPROVED</t>
        </is>
      </c>
      <c r="I930" s="34" t="inlineStr">
        <is>
          <t>New</t>
        </is>
      </c>
      <c r="J930" s="34" t="inlineStr">
        <is>
          <t>Source assignment -- not individually reviewed</t>
        </is>
      </c>
      <c r="K930" s="39" t="inlineStr"/>
      <c r="L930" s="14" t="inlineStr"/>
      <c r="M930" s="14" t="inlineStr"/>
      <c r="N930" s="92" t="inlineStr">
        <is>
          <t>10 EVIDENCE &amp; DECISIONS</t>
        </is>
      </c>
    </row>
    <row r="931" ht="34" customHeight="1">
      <c r="A931" s="34" t="inlineStr">
        <is>
          <t>Contractor Programme</t>
        </is>
      </c>
      <c r="B931" s="34" t="inlineStr">
        <is>
          <t>SCH-04-160</t>
        </is>
      </c>
      <c r="C931" s="34" t="inlineStr">
        <is>
          <t>Operations building: workshop crane installation - turnover</t>
        </is>
      </c>
      <c r="D931" s="34" t="inlineStr">
        <is>
          <t>WBS Code = 1.4.1</t>
        </is>
      </c>
      <c r="E931" s="34" t="inlineStr">
        <is>
          <t>R700-v1</t>
        </is>
      </c>
      <c r="F931" s="34" t="inlineStr">
        <is>
          <t>1.4.1 Vehicles and Depot - Fleet Supply</t>
        </is>
      </c>
      <c r="G931" s="34" t="inlineStr">
        <is>
          <t>ONE_TO_ONE</t>
        </is>
      </c>
      <c r="H931" s="34" t="inlineStr">
        <is>
          <t>APPROVED</t>
        </is>
      </c>
      <c r="I931" s="34" t="inlineStr">
        <is>
          <t>New</t>
        </is>
      </c>
      <c r="J931" s="34" t="inlineStr">
        <is>
          <t>Source assignment -- not individually reviewed</t>
        </is>
      </c>
      <c r="K931" s="39" t="inlineStr"/>
      <c r="L931" s="14" t="inlineStr"/>
      <c r="M931" s="14" t="inlineStr"/>
      <c r="N931" s="92" t="inlineStr">
        <is>
          <t>10 EVIDENCE &amp; DECISIONS</t>
        </is>
      </c>
    </row>
    <row r="932" ht="34" customHeight="1">
      <c r="A932" s="34" t="inlineStr">
        <is>
          <t>Contractor Programme</t>
        </is>
      </c>
      <c r="B932" s="34" t="inlineStr">
        <is>
          <t>SCH-04-161</t>
        </is>
      </c>
      <c r="C932" s="34" t="inlineStr">
        <is>
          <t>Test track: vehicle-to-depot interface check - release</t>
        </is>
      </c>
      <c r="D932" s="34" t="inlineStr">
        <is>
          <t>WBS Code = 1.4.1</t>
        </is>
      </c>
      <c r="E932" s="34" t="inlineStr">
        <is>
          <t>R701-v1</t>
        </is>
      </c>
      <c r="F932" s="34" t="inlineStr">
        <is>
          <t>1.4.1 Vehicles and Depot - Fleet Supply</t>
        </is>
      </c>
      <c r="G932" s="34" t="inlineStr">
        <is>
          <t>ONE_TO_ONE</t>
        </is>
      </c>
      <c r="H932" s="34" t="inlineStr">
        <is>
          <t>APPROVED</t>
        </is>
      </c>
      <c r="I932" s="34" t="inlineStr">
        <is>
          <t>New</t>
        </is>
      </c>
      <c r="J932" s="34" t="inlineStr">
        <is>
          <t>Source assignment -- not individually reviewed</t>
        </is>
      </c>
      <c r="K932" s="39" t="inlineStr"/>
      <c r="L932" s="14" t="inlineStr"/>
      <c r="M932" s="14" t="inlineStr"/>
      <c r="N932" s="92" t="inlineStr">
        <is>
          <t>10 EVIDENCE &amp; DECISIONS</t>
        </is>
      </c>
    </row>
    <row r="933" ht="34" customHeight="1">
      <c r="A933" s="34" t="inlineStr">
        <is>
          <t>Contractor Programme</t>
        </is>
      </c>
      <c r="B933" s="34" t="inlineStr">
        <is>
          <t>SCH-04-163</t>
        </is>
      </c>
      <c r="C933" s="34" t="inlineStr">
        <is>
          <t>Maintenance shop: fleet software load - installation</t>
        </is>
      </c>
      <c r="D933" s="34" t="inlineStr">
        <is>
          <t>WBS Code = 1.4.1</t>
        </is>
      </c>
      <c r="E933" s="34" t="inlineStr">
        <is>
          <t>R703-v1</t>
        </is>
      </c>
      <c r="F933" s="34" t="inlineStr">
        <is>
          <t>1.4.1 Vehicles and Depot - Fleet Supply</t>
        </is>
      </c>
      <c r="G933" s="34" t="inlineStr">
        <is>
          <t>ONE_TO_ONE</t>
        </is>
      </c>
      <c r="H933" s="34" t="inlineStr">
        <is>
          <t>APPROVED</t>
        </is>
      </c>
      <c r="I933" s="34" t="inlineStr">
        <is>
          <t>New</t>
        </is>
      </c>
      <c r="J933" s="34" t="inlineStr">
        <is>
          <t>Source assignment -- not individually reviewed</t>
        </is>
      </c>
      <c r="K933" s="39" t="inlineStr"/>
      <c r="L933" s="14" t="inlineStr"/>
      <c r="M933" s="14" t="inlineStr"/>
      <c r="N933" s="92" t="inlineStr">
        <is>
          <t>10 EVIDENCE &amp; DECISIONS</t>
        </is>
      </c>
    </row>
    <row r="934" ht="34" customHeight="1">
      <c r="A934" s="34" t="inlineStr">
        <is>
          <t>Contractor Programme</t>
        </is>
      </c>
      <c r="B934" s="34" t="inlineStr">
        <is>
          <t>SCH-04-164</t>
        </is>
      </c>
      <c r="C934" s="34" t="inlineStr">
        <is>
          <t>Storage yard: vehicle delivery inspection - inspection</t>
        </is>
      </c>
      <c r="D934" s="34" t="inlineStr">
        <is>
          <t>WBS Code = 1.4.1</t>
        </is>
      </c>
      <c r="E934" s="34" t="inlineStr">
        <is>
          <t>R704-v1</t>
        </is>
      </c>
      <c r="F934" s="34" t="inlineStr">
        <is>
          <t>1.4.1 Vehicles and Depot - Fleet Supply</t>
        </is>
      </c>
      <c r="G934" s="34" t="inlineStr">
        <is>
          <t>ONE_TO_ONE</t>
        </is>
      </c>
      <c r="H934" s="34" t="inlineStr">
        <is>
          <t>APPROVED</t>
        </is>
      </c>
      <c r="I934" s="34" t="inlineStr">
        <is>
          <t>New</t>
        </is>
      </c>
      <c r="J934" s="34" t="inlineStr">
        <is>
          <t>Source assignment -- not individually reviewed</t>
        </is>
      </c>
      <c r="K934" s="39" t="inlineStr"/>
      <c r="L934" s="14" t="inlineStr"/>
      <c r="M934" s="14" t="inlineStr"/>
      <c r="N934" s="92" t="inlineStr">
        <is>
          <t>10 EVIDENCE &amp; DECISIONS</t>
        </is>
      </c>
    </row>
    <row r="935" ht="34" customHeight="1">
      <c r="A935" s="34" t="inlineStr">
        <is>
          <t>Contractor Programme</t>
        </is>
      </c>
      <c r="B935" s="34" t="inlineStr">
        <is>
          <t>SCH-04-166</t>
        </is>
      </c>
      <c r="C935" s="34" t="inlineStr">
        <is>
          <t>Test track: maintenance-bay services - release</t>
        </is>
      </c>
      <c r="D935" s="34" t="inlineStr">
        <is>
          <t>WBS Code = 1.4.1</t>
        </is>
      </c>
      <c r="E935" s="34" t="inlineStr">
        <is>
          <t>R706-v1</t>
        </is>
      </c>
      <c r="F935" s="34" t="inlineStr">
        <is>
          <t>1.4.1 Vehicles and Depot - Fleet Supply</t>
        </is>
      </c>
      <c r="G935" s="34" t="inlineStr">
        <is>
          <t>ONE_TO_ONE</t>
        </is>
      </c>
      <c r="H935" s="34" t="inlineStr">
        <is>
          <t>APPROVED</t>
        </is>
      </c>
      <c r="I935" s="34" t="inlineStr">
        <is>
          <t>New</t>
        </is>
      </c>
      <c r="J935" s="34" t="inlineStr">
        <is>
          <t>Source assignment -- not individually reviewed</t>
        </is>
      </c>
      <c r="K935" s="39" t="inlineStr"/>
      <c r="L935" s="14" t="inlineStr"/>
      <c r="M935" s="14" t="inlineStr"/>
      <c r="N935" s="92" t="inlineStr">
        <is>
          <t>10 EVIDENCE &amp; DECISIONS</t>
        </is>
      </c>
    </row>
    <row r="936" ht="34" customHeight="1">
      <c r="A936" s="34" t="inlineStr">
        <is>
          <t>Contractor Programme</t>
        </is>
      </c>
      <c r="B936" s="34" t="inlineStr">
        <is>
          <t>SCH-04-167</t>
        </is>
      </c>
      <c r="C936" s="34" t="inlineStr">
        <is>
          <t>Receiving track: depot structural fit-out - field start</t>
        </is>
      </c>
      <c r="D936" s="34" t="inlineStr">
        <is>
          <t>WBS Code = 1.4.1</t>
        </is>
      </c>
      <c r="E936" s="34" t="inlineStr">
        <is>
          <t>R707-v1</t>
        </is>
      </c>
      <c r="F936" s="34" t="inlineStr">
        <is>
          <t>1.4.1 Vehicles and Depot - Fleet Supply</t>
        </is>
      </c>
      <c r="G936" s="34" t="inlineStr">
        <is>
          <t>ONE_TO_ONE</t>
        </is>
      </c>
      <c r="H936" s="34" t="inlineStr">
        <is>
          <t>APPROVED</t>
        </is>
      </c>
      <c r="I936" s="34" t="inlineStr">
        <is>
          <t>New</t>
        </is>
      </c>
      <c r="J936" s="34" t="inlineStr">
        <is>
          <t>Source assignment -- not individually reviewed</t>
        </is>
      </c>
      <c r="K936" s="39" t="inlineStr"/>
      <c r="L936" s="14" t="inlineStr"/>
      <c r="M936" s="14" t="inlineStr"/>
      <c r="N936" s="92" t="inlineStr">
        <is>
          <t>10 EVIDENCE &amp; DECISIONS</t>
        </is>
      </c>
    </row>
    <row r="937" ht="34" customHeight="1">
      <c r="A937" s="34" t="inlineStr">
        <is>
          <t>Contractor Programme</t>
        </is>
      </c>
      <c r="B937" s="34" t="inlineStr">
        <is>
          <t>SCH-04-169</t>
        </is>
      </c>
      <c r="C937" s="34" t="inlineStr">
        <is>
          <t>Storage yard: vehicle-to-depot interface check - inspection</t>
        </is>
      </c>
      <c r="D937" s="34" t="inlineStr">
        <is>
          <t>WBS Code = 1.4.1</t>
        </is>
      </c>
      <c r="E937" s="34" t="inlineStr">
        <is>
          <t>R709-v1</t>
        </is>
      </c>
      <c r="F937" s="34" t="inlineStr">
        <is>
          <t>1.4.1 Vehicles and Depot - Fleet Supply</t>
        </is>
      </c>
      <c r="G937" s="34" t="inlineStr">
        <is>
          <t>ONE_TO_ONE</t>
        </is>
      </c>
      <c r="H937" s="34" t="inlineStr">
        <is>
          <t>APPROVED</t>
        </is>
      </c>
      <c r="I937" s="34" t="inlineStr">
        <is>
          <t>New</t>
        </is>
      </c>
      <c r="J937" s="34" t="inlineStr">
        <is>
          <t>Source assignment -- not individually reviewed</t>
        </is>
      </c>
      <c r="K937" s="39" t="inlineStr"/>
      <c r="L937" s="14" t="inlineStr"/>
      <c r="M937" s="14" t="inlineStr"/>
      <c r="N937" s="92" t="inlineStr">
        <is>
          <t>10 EVIDENCE &amp; DECISIONS</t>
        </is>
      </c>
    </row>
    <row r="938" ht="34" customHeight="1">
      <c r="A938" s="34" t="inlineStr">
        <is>
          <t>Contractor Programme</t>
        </is>
      </c>
      <c r="B938" s="34" t="inlineStr">
        <is>
          <t>SCH-04-170</t>
        </is>
      </c>
      <c r="C938" s="34" t="inlineStr">
        <is>
          <t>Operations building: wheel-lathe installation - turnover</t>
        </is>
      </c>
      <c r="D938" s="34" t="inlineStr">
        <is>
          <t>WBS Code = 1.4.1</t>
        </is>
      </c>
      <c r="E938" s="34" t="inlineStr">
        <is>
          <t>R710-v1</t>
        </is>
      </c>
      <c r="F938" s="34" t="inlineStr">
        <is>
          <t>1.4.1 Vehicles and Depot - Fleet Supply</t>
        </is>
      </c>
      <c r="G938" s="34" t="inlineStr">
        <is>
          <t>ONE_TO_ONE</t>
        </is>
      </c>
      <c r="H938" s="34" t="inlineStr">
        <is>
          <t>APPROVED</t>
        </is>
      </c>
      <c r="I938" s="34" t="inlineStr">
        <is>
          <t>New</t>
        </is>
      </c>
      <c r="J938" s="34" t="inlineStr">
        <is>
          <t>Source assignment -- not individually reviewed</t>
        </is>
      </c>
      <c r="K938" s="39" t="inlineStr"/>
      <c r="L938" s="14" t="inlineStr"/>
      <c r="M938" s="14" t="inlineStr"/>
      <c r="N938" s="92" t="inlineStr">
        <is>
          <t>10 EVIDENCE &amp; DECISIONS</t>
        </is>
      </c>
    </row>
    <row r="939" ht="34" customHeight="1">
      <c r="A939" s="34" t="inlineStr">
        <is>
          <t>Contractor Programme</t>
        </is>
      </c>
      <c r="B939" s="34" t="inlineStr">
        <is>
          <t>SCH-04-172</t>
        </is>
      </c>
      <c r="C939" s="34" t="inlineStr">
        <is>
          <t>Receiving track: vehicle delivery inspection - field start</t>
        </is>
      </c>
      <c r="D939" s="34" t="inlineStr">
        <is>
          <t>WBS Code = 1.4.1</t>
        </is>
      </c>
      <c r="E939" s="34" t="inlineStr">
        <is>
          <t>R712-v1</t>
        </is>
      </c>
      <c r="F939" s="34" t="inlineStr">
        <is>
          <t>1.4.1 Vehicles and Depot - Fleet Supply</t>
        </is>
      </c>
      <c r="G939" s="34" t="inlineStr">
        <is>
          <t>ONE_TO_ONE</t>
        </is>
      </c>
      <c r="H939" s="34" t="inlineStr">
        <is>
          <t>APPROVED</t>
        </is>
      </c>
      <c r="I939" s="34" t="inlineStr">
        <is>
          <t>New</t>
        </is>
      </c>
      <c r="J939" s="34" t="inlineStr">
        <is>
          <t>Source assignment -- not individually reviewed</t>
        </is>
      </c>
      <c r="K939" s="39" t="inlineStr"/>
      <c r="L939" s="14" t="inlineStr"/>
      <c r="M939" s="14" t="inlineStr"/>
      <c r="N939" s="92" t="inlineStr">
        <is>
          <t>10 EVIDENCE &amp; DECISIONS</t>
        </is>
      </c>
    </row>
    <row r="940" ht="34" customHeight="1">
      <c r="A940" s="34" t="inlineStr">
        <is>
          <t>Contractor Programme</t>
        </is>
      </c>
      <c r="B940" s="34" t="inlineStr">
        <is>
          <t>SCH-04-173</t>
        </is>
      </c>
      <c r="C940" s="34" t="inlineStr">
        <is>
          <t>Maintenance shop: wash-plant commissioning - installation</t>
        </is>
      </c>
      <c r="D940" s="34" t="inlineStr">
        <is>
          <t>WBS Code = 1.4.1</t>
        </is>
      </c>
      <c r="E940" s="34" t="inlineStr">
        <is>
          <t>R713-v1</t>
        </is>
      </c>
      <c r="F940" s="34" t="inlineStr">
        <is>
          <t>1.4.1 Vehicles and Depot - Fleet Supply</t>
        </is>
      </c>
      <c r="G940" s="34" t="inlineStr">
        <is>
          <t>ONE_TO_ONE</t>
        </is>
      </c>
      <c r="H940" s="34" t="inlineStr">
        <is>
          <t>APPROVED</t>
        </is>
      </c>
      <c r="I940" s="34" t="inlineStr">
        <is>
          <t>New</t>
        </is>
      </c>
      <c r="J940" s="34" t="inlineStr">
        <is>
          <t>Source assignment -- not individually reviewed</t>
        </is>
      </c>
      <c r="K940" s="39" t="inlineStr"/>
      <c r="L940" s="14" t="inlineStr"/>
      <c r="M940" s="14" t="inlineStr"/>
      <c r="N940" s="92" t="inlineStr">
        <is>
          <t>10 EVIDENCE &amp; DECISIONS</t>
        </is>
      </c>
    </row>
    <row r="941" ht="34" customHeight="1">
      <c r="A941" s="34" t="inlineStr">
        <is>
          <t>Contractor Programme</t>
        </is>
      </c>
      <c r="B941" s="34" t="inlineStr">
        <is>
          <t>SCH-04-175</t>
        </is>
      </c>
      <c r="C941" s="34" t="inlineStr">
        <is>
          <t>Operations building: depot structural fit-out - turnover</t>
        </is>
      </c>
      <c r="D941" s="34" t="inlineStr">
        <is>
          <t>WBS Code = 1.4.1</t>
        </is>
      </c>
      <c r="E941" s="34" t="inlineStr">
        <is>
          <t>R715-v1</t>
        </is>
      </c>
      <c r="F941" s="34" t="inlineStr">
        <is>
          <t>1.4.1 Vehicles and Depot - Fleet Supply</t>
        </is>
      </c>
      <c r="G941" s="34" t="inlineStr">
        <is>
          <t>ONE_TO_ONE</t>
        </is>
      </c>
      <c r="H941" s="34" t="inlineStr">
        <is>
          <t>APPROVED</t>
        </is>
      </c>
      <c r="I941" s="34" t="inlineStr">
        <is>
          <t>New</t>
        </is>
      </c>
      <c r="J941" s="34" t="inlineStr">
        <is>
          <t>Source assignment -- not individually reviewed</t>
        </is>
      </c>
      <c r="K941" s="39" t="inlineStr"/>
      <c r="L941" s="14" t="inlineStr"/>
      <c r="M941" s="14" t="inlineStr"/>
      <c r="N941" s="92" t="inlineStr">
        <is>
          <t>10 EVIDENCE &amp; DECISIONS</t>
        </is>
      </c>
    </row>
    <row r="942" ht="34" customHeight="1">
      <c r="A942" s="34" t="inlineStr">
        <is>
          <t>Contractor Programme</t>
        </is>
      </c>
      <c r="B942" s="34" t="inlineStr">
        <is>
          <t>SCH-04-176</t>
        </is>
      </c>
      <c r="C942" s="34" t="inlineStr">
        <is>
          <t>Test track: workshop crane installation - release</t>
        </is>
      </c>
      <c r="D942" s="34" t="inlineStr">
        <is>
          <t>WBS Code = 1.4.1</t>
        </is>
      </c>
      <c r="E942" s="34" t="inlineStr">
        <is>
          <t>R716-v1</t>
        </is>
      </c>
      <c r="F942" s="34" t="inlineStr">
        <is>
          <t>1.4.1 Vehicles and Depot - Fleet Supply</t>
        </is>
      </c>
      <c r="G942" s="34" t="inlineStr">
        <is>
          <t>ONE_TO_ONE</t>
        </is>
      </c>
      <c r="H942" s="34" t="inlineStr">
        <is>
          <t>APPROVED</t>
        </is>
      </c>
      <c r="I942" s="34" t="inlineStr">
        <is>
          <t>New</t>
        </is>
      </c>
      <c r="J942" s="34" t="inlineStr">
        <is>
          <t>Source assignment -- not individually reviewed</t>
        </is>
      </c>
      <c r="K942" s="39" t="inlineStr"/>
      <c r="L942" s="14" t="inlineStr"/>
      <c r="M942" s="14" t="inlineStr"/>
      <c r="N942" s="92" t="inlineStr">
        <is>
          <t>10 EVIDENCE &amp; DECISIONS</t>
        </is>
      </c>
    </row>
    <row r="943" ht="34" customHeight="1">
      <c r="A943" s="34" t="inlineStr">
        <is>
          <t>Contractor Programme</t>
        </is>
      </c>
      <c r="B943" s="34" t="inlineStr">
        <is>
          <t>SCH-04-178</t>
        </is>
      </c>
      <c r="C943" s="34" t="inlineStr">
        <is>
          <t>Maintenance shop: wheel-lathe installation - installation</t>
        </is>
      </c>
      <c r="D943" s="34" t="inlineStr">
        <is>
          <t>WBS Code = 1.4.1</t>
        </is>
      </c>
      <c r="E943" s="34" t="inlineStr">
        <is>
          <t>R718-v1</t>
        </is>
      </c>
      <c r="F943" s="34" t="inlineStr">
        <is>
          <t>1.4.1 Vehicles and Depot - Fleet Supply</t>
        </is>
      </c>
      <c r="G943" s="34" t="inlineStr">
        <is>
          <t>ONE_TO_ONE</t>
        </is>
      </c>
      <c r="H943" s="34" t="inlineStr">
        <is>
          <t>APPROVED</t>
        </is>
      </c>
      <c r="I943" s="34" t="inlineStr">
        <is>
          <t>New</t>
        </is>
      </c>
      <c r="J943" s="34" t="inlineStr">
        <is>
          <t>Source assignment -- not individually reviewed</t>
        </is>
      </c>
      <c r="K943" s="39" t="inlineStr"/>
      <c r="L943" s="14" t="inlineStr"/>
      <c r="M943" s="14" t="inlineStr"/>
      <c r="N943" s="92" t="inlineStr">
        <is>
          <t>10 EVIDENCE &amp; DECISIONS</t>
        </is>
      </c>
    </row>
    <row r="944" ht="34" customHeight="1">
      <c r="A944" s="34" t="inlineStr">
        <is>
          <t>Contractor Programme</t>
        </is>
      </c>
      <c r="B944" s="34" t="inlineStr">
        <is>
          <t>SCH-04-179</t>
        </is>
      </c>
      <c r="C944" s="34" t="inlineStr">
        <is>
          <t>Storage yard: fleet software load - inspection</t>
        </is>
      </c>
      <c r="D944" s="34" t="inlineStr">
        <is>
          <t>WBS Code = 1.4.1</t>
        </is>
      </c>
      <c r="E944" s="34" t="inlineStr">
        <is>
          <t>R719-v1</t>
        </is>
      </c>
      <c r="F944" s="34" t="inlineStr">
        <is>
          <t>1.4.1 Vehicles and Depot - Fleet Supply</t>
        </is>
      </c>
      <c r="G944" s="34" t="inlineStr">
        <is>
          <t>ONE_TO_ONE</t>
        </is>
      </c>
      <c r="H944" s="34" t="inlineStr">
        <is>
          <t>APPROVED</t>
        </is>
      </c>
      <c r="I944" s="34" t="inlineStr">
        <is>
          <t>New</t>
        </is>
      </c>
      <c r="J944" s="34" t="inlineStr">
        <is>
          <t>Source assignment -- not individually reviewed</t>
        </is>
      </c>
      <c r="K944" s="39" t="inlineStr"/>
      <c r="L944" s="14" t="inlineStr"/>
      <c r="M944" s="14" t="inlineStr"/>
      <c r="N944" s="92" t="inlineStr">
        <is>
          <t>10 EVIDENCE &amp; DECISIONS</t>
        </is>
      </c>
    </row>
    <row r="945" ht="34" customHeight="1">
      <c r="A945" s="34" t="inlineStr">
        <is>
          <t>Cost &amp; Forecast Control Accounts</t>
        </is>
      </c>
      <c r="B945" s="34" t="inlineStr">
        <is>
          <t>CST-04-001</t>
        </is>
      </c>
      <c r="C945" s="34" t="inlineStr">
        <is>
          <t>Vehicles and Depot - fleet supply - field package</t>
        </is>
      </c>
      <c r="D945" s="34" t="inlineStr">
        <is>
          <t>Cost Account = CA-4001; WBS Code = 1.4.1</t>
        </is>
      </c>
      <c r="E945" s="34" t="inlineStr">
        <is>
          <t>R1323-v1</t>
        </is>
      </c>
      <c r="F945" s="34" t="inlineStr">
        <is>
          <t>1.4.1 Vehicles and Depot - Fleet Supply</t>
        </is>
      </c>
      <c r="G945" s="34" t="inlineStr">
        <is>
          <t>ONE_TO_ONE</t>
        </is>
      </c>
      <c r="H945" s="34" t="inlineStr">
        <is>
          <t>APPROVED</t>
        </is>
      </c>
      <c r="I945" s="34" t="inlineStr">
        <is>
          <t>New</t>
        </is>
      </c>
      <c r="J945" s="34" t="inlineStr">
        <is>
          <t>Source assignment -- not individually reviewed</t>
        </is>
      </c>
      <c r="K945" s="39" t="inlineStr"/>
      <c r="L945" s="14" t="inlineStr"/>
      <c r="M945" s="14" t="inlineStr"/>
      <c r="N945" s="92" t="inlineStr">
        <is>
          <t>10 EVIDENCE &amp; DECISIONS</t>
        </is>
      </c>
    </row>
    <row r="946" ht="34" customHeight="1">
      <c r="A946" s="34" t="inlineStr">
        <is>
          <t>Cost &amp; Forecast Control Accounts</t>
        </is>
      </c>
      <c r="B946" s="34" t="inlineStr">
        <is>
          <t>CST-04-003</t>
        </is>
      </c>
      <c r="C946" s="34" t="inlineStr">
        <is>
          <t>Vehicles and Depot - spares - professional services</t>
        </is>
      </c>
      <c r="D946" s="34" t="inlineStr">
        <is>
          <t>Cost Account = CA-4003; WBS Code = 1.4.1</t>
        </is>
      </c>
      <c r="E946" s="34" t="inlineStr">
        <is>
          <t>R1325-v1</t>
        </is>
      </c>
      <c r="F946" s="34" t="inlineStr">
        <is>
          <t>1.4.1 Vehicles and Depot - Fleet Supply</t>
        </is>
      </c>
      <c r="G946" s="34" t="inlineStr">
        <is>
          <t>ONE_TO_ONE</t>
        </is>
      </c>
      <c r="H946" s="34" t="inlineStr">
        <is>
          <t>APPROVED</t>
        </is>
      </c>
      <c r="I946" s="34" t="inlineStr">
        <is>
          <t>New</t>
        </is>
      </c>
      <c r="J946" s="34" t="inlineStr">
        <is>
          <t>Source assignment -- not individually reviewed</t>
        </is>
      </c>
      <c r="K946" s="39" t="inlineStr"/>
      <c r="L946" s="14" t="inlineStr"/>
      <c r="M946" s="14" t="inlineStr"/>
      <c r="N946" s="92" t="inlineStr">
        <is>
          <t>10 EVIDENCE &amp; DECISIONS</t>
        </is>
      </c>
    </row>
    <row r="947" ht="34" customHeight="1">
      <c r="A947" s="34" t="inlineStr">
        <is>
          <t>Cost &amp; Forecast Control Accounts</t>
        </is>
      </c>
      <c r="B947" s="34" t="inlineStr">
        <is>
          <t>CST-04-005</t>
        </is>
      </c>
      <c r="C947" s="34" t="inlineStr">
        <is>
          <t>Vehicles and Depot - workshop equipment - closeout</t>
        </is>
      </c>
      <c r="D947" s="34" t="inlineStr">
        <is>
          <t>Cost Account = CA-4005; WBS Code = 1.4.1</t>
        </is>
      </c>
      <c r="E947" s="34" t="inlineStr">
        <is>
          <t>R1327-v1</t>
        </is>
      </c>
      <c r="F947" s="34" t="inlineStr">
        <is>
          <t>1.4.1 Vehicles and Depot - Fleet Supply</t>
        </is>
      </c>
      <c r="G947" s="34" t="inlineStr">
        <is>
          <t>ONE_TO_ONE</t>
        </is>
      </c>
      <c r="H947" s="34" t="inlineStr">
        <is>
          <t>APPROVED</t>
        </is>
      </c>
      <c r="I947" s="34" t="inlineStr">
        <is>
          <t>New</t>
        </is>
      </c>
      <c r="J947" s="34" t="inlineStr">
        <is>
          <t>Source assignment -- not individually reviewed</t>
        </is>
      </c>
      <c r="K947" s="39" t="inlineStr"/>
      <c r="L947" s="14" t="inlineStr"/>
      <c r="M947" s="14" t="inlineStr"/>
      <c r="N947" s="92" t="inlineStr">
        <is>
          <t>10 EVIDENCE &amp; DECISIONS</t>
        </is>
      </c>
    </row>
    <row r="948" ht="34" customHeight="1">
      <c r="A948" s="34" t="inlineStr">
        <is>
          <t>Cost &amp; Forecast Control Accounts</t>
        </is>
      </c>
      <c r="B948" s="34" t="inlineStr">
        <is>
          <t>CST-04-007</t>
        </is>
      </c>
      <c r="C948" s="34" t="inlineStr">
        <is>
          <t>Vehicles and Depot - fleet supply - supply and install</t>
        </is>
      </c>
      <c r="D948" s="34" t="inlineStr">
        <is>
          <t>Cost Account = CA-4007; WBS Code = 1.4.1</t>
        </is>
      </c>
      <c r="E948" s="34" t="inlineStr">
        <is>
          <t>R1329-v1</t>
        </is>
      </c>
      <c r="F948" s="34" t="inlineStr">
        <is>
          <t>1.4.1 Vehicles and Depot - Fleet Supply</t>
        </is>
      </c>
      <c r="G948" s="34" t="inlineStr">
        <is>
          <t>ONE_TO_ONE</t>
        </is>
      </c>
      <c r="H948" s="34" t="inlineStr">
        <is>
          <t>APPROVED</t>
        </is>
      </c>
      <c r="I948" s="34" t="inlineStr">
        <is>
          <t>New</t>
        </is>
      </c>
      <c r="J948" s="34" t="inlineStr">
        <is>
          <t>Source assignment -- not individually reviewed</t>
        </is>
      </c>
      <c r="K948" s="39" t="inlineStr"/>
      <c r="L948" s="14" t="inlineStr"/>
      <c r="M948" s="14" t="inlineStr"/>
      <c r="N948" s="92" t="inlineStr">
        <is>
          <t>10 EVIDENCE &amp; DECISIONS</t>
        </is>
      </c>
    </row>
    <row r="949" ht="34" customHeight="1">
      <c r="A949" s="34" t="inlineStr">
        <is>
          <t>Cost &amp; Forecast Control Accounts</t>
        </is>
      </c>
      <c r="B949" s="34" t="inlineStr">
        <is>
          <t>CST-04-009</t>
        </is>
      </c>
      <c r="C949" s="34" t="inlineStr">
        <is>
          <t>Vehicles and Depot - spares - allowance</t>
        </is>
      </c>
      <c r="D949" s="34" t="inlineStr">
        <is>
          <t>Cost Account = CA-4009; WBS Code = 1.4.1</t>
        </is>
      </c>
      <c r="E949" s="34" t="inlineStr">
        <is>
          <t>R1331-v1</t>
        </is>
      </c>
      <c r="F949" s="34" t="inlineStr">
        <is>
          <t>1.4.1 Vehicles and Depot - Fleet Supply</t>
        </is>
      </c>
      <c r="G949" s="34" t="inlineStr">
        <is>
          <t>ONE_TO_ONE</t>
        </is>
      </c>
      <c r="H949" s="34" t="inlineStr">
        <is>
          <t>APPROVED</t>
        </is>
      </c>
      <c r="I949" s="34" t="inlineStr">
        <is>
          <t>New</t>
        </is>
      </c>
      <c r="J949" s="34" t="inlineStr">
        <is>
          <t>Source assignment -- not individually reviewed</t>
        </is>
      </c>
      <c r="K949" s="39" t="inlineStr"/>
      <c r="L949" s="14" t="inlineStr"/>
      <c r="M949" s="14" t="inlineStr"/>
      <c r="N949" s="92" t="inlineStr">
        <is>
          <t>10 EVIDENCE &amp; DECISIONS</t>
        </is>
      </c>
    </row>
    <row r="950" ht="34" customHeight="1">
      <c r="A950" s="34" t="inlineStr">
        <is>
          <t>Cost &amp; Forecast Control Accounts</t>
        </is>
      </c>
      <c r="B950" s="34" t="inlineStr">
        <is>
          <t>CST-04-011</t>
        </is>
      </c>
      <c r="C950" s="34" t="inlineStr">
        <is>
          <t>Vehicles and Depot - workshop equipment - field package</t>
        </is>
      </c>
      <c r="D950" s="34" t="inlineStr">
        <is>
          <t>Cost Account = CA-4011; WBS Code = 1.4.1</t>
        </is>
      </c>
      <c r="E950" s="34" t="inlineStr">
        <is>
          <t>R1333-v1</t>
        </is>
      </c>
      <c r="F950" s="34" t="inlineStr">
        <is>
          <t>1.4.1 Vehicles and Depot - Fleet Supply</t>
        </is>
      </c>
      <c r="G950" s="34" t="inlineStr">
        <is>
          <t>ONE_TO_ONE</t>
        </is>
      </c>
      <c r="H950" s="34" t="inlineStr">
        <is>
          <t>APPROVED</t>
        </is>
      </c>
      <c r="I950" s="34" t="inlineStr">
        <is>
          <t>New</t>
        </is>
      </c>
      <c r="J950" s="34" t="inlineStr">
        <is>
          <t>Source assignment -- not individually reviewed</t>
        </is>
      </c>
      <c r="K950" s="39" t="inlineStr"/>
      <c r="L950" s="14" t="inlineStr"/>
      <c r="M950" s="14" t="inlineStr"/>
      <c r="N950" s="92" t="inlineStr">
        <is>
          <t>10 EVIDENCE &amp; DECISIONS</t>
        </is>
      </c>
    </row>
    <row r="951" ht="34" customHeight="1">
      <c r="A951" s="34" t="inlineStr">
        <is>
          <t>Cost &amp; Forecast Control Accounts</t>
        </is>
      </c>
      <c r="B951" s="34" t="inlineStr">
        <is>
          <t>CST-04-013</t>
        </is>
      </c>
      <c r="C951" s="34" t="inlineStr">
        <is>
          <t>Vehicles and Depot - fleet supply - professional services</t>
        </is>
      </c>
      <c r="D951" s="34" t="inlineStr">
        <is>
          <t>Cost Account = CA-4013; WBS Code = 1.4.1</t>
        </is>
      </c>
      <c r="E951" s="34" t="inlineStr">
        <is>
          <t>R1335-v1</t>
        </is>
      </c>
      <c r="F951" s="34" t="inlineStr">
        <is>
          <t>1.4.1 Vehicles and Depot - Fleet Supply</t>
        </is>
      </c>
      <c r="G951" s="34" t="inlineStr">
        <is>
          <t>ONE_TO_ONE</t>
        </is>
      </c>
      <c r="H951" s="34" t="inlineStr">
        <is>
          <t>APPROVED</t>
        </is>
      </c>
      <c r="I951" s="34" t="inlineStr">
        <is>
          <t>New</t>
        </is>
      </c>
      <c r="J951" s="34" t="inlineStr">
        <is>
          <t>Source assignment -- not individually reviewed</t>
        </is>
      </c>
      <c r="K951" s="39" t="inlineStr"/>
      <c r="L951" s="14" t="inlineStr"/>
      <c r="M951" s="14" t="inlineStr"/>
      <c r="N951" s="92" t="inlineStr">
        <is>
          <t>10 EVIDENCE &amp; DECISIONS</t>
        </is>
      </c>
    </row>
    <row r="952" ht="34" customHeight="1">
      <c r="A952" s="34" t="inlineStr">
        <is>
          <t>Cost &amp; Forecast Control Accounts</t>
        </is>
      </c>
      <c r="B952" s="34" t="inlineStr">
        <is>
          <t>CST-04-015</t>
        </is>
      </c>
      <c r="C952" s="34" t="inlineStr">
        <is>
          <t>Vehicles and Depot - spares - closeout</t>
        </is>
      </c>
      <c r="D952" s="34" t="inlineStr">
        <is>
          <t>Cost Account = CA-4015; WBS Code = 1.4.1</t>
        </is>
      </c>
      <c r="E952" s="34" t="inlineStr">
        <is>
          <t>R1337-v1</t>
        </is>
      </c>
      <c r="F952" s="34" t="inlineStr">
        <is>
          <t>1.4.1 Vehicles and Depot - Fleet Supply</t>
        </is>
      </c>
      <c r="G952" s="34" t="inlineStr">
        <is>
          <t>ONE_TO_ONE</t>
        </is>
      </c>
      <c r="H952" s="34" t="inlineStr">
        <is>
          <t>APPROVED</t>
        </is>
      </c>
      <c r="I952" s="34" t="inlineStr">
        <is>
          <t>New</t>
        </is>
      </c>
      <c r="J952" s="34" t="inlineStr">
        <is>
          <t>Source assignment -- not individually reviewed</t>
        </is>
      </c>
      <c r="K952" s="39" t="inlineStr"/>
      <c r="L952" s="14" t="inlineStr"/>
      <c r="M952" s="14" t="inlineStr"/>
      <c r="N952" s="92" t="inlineStr">
        <is>
          <t>10 EVIDENCE &amp; DECISIONS</t>
        </is>
      </c>
    </row>
    <row r="953" ht="34" customHeight="1">
      <c r="A953" s="34" t="inlineStr">
        <is>
          <t>Cost &amp; Forecast Control Accounts</t>
        </is>
      </c>
      <c r="B953" s="34" t="inlineStr">
        <is>
          <t>CST-04-017</t>
        </is>
      </c>
      <c r="C953" s="34" t="inlineStr">
        <is>
          <t>Vehicles and Depot - workshop equipment - supply and install</t>
        </is>
      </c>
      <c r="D953" s="34" t="inlineStr">
        <is>
          <t>Cost Account = CA-4017; WBS Code = 1.4.1</t>
        </is>
      </c>
      <c r="E953" s="34" t="inlineStr">
        <is>
          <t>R1339-v1</t>
        </is>
      </c>
      <c r="F953" s="34" t="inlineStr">
        <is>
          <t>1.4.1 Vehicles and Depot - Fleet Supply</t>
        </is>
      </c>
      <c r="G953" s="34" t="inlineStr">
        <is>
          <t>ONE_TO_ONE</t>
        </is>
      </c>
      <c r="H953" s="34" t="inlineStr">
        <is>
          <t>APPROVED</t>
        </is>
      </c>
      <c r="I953" s="34" t="inlineStr">
        <is>
          <t>New</t>
        </is>
      </c>
      <c r="J953" s="34" t="inlineStr">
        <is>
          <t>Source assignment -- not individually reviewed</t>
        </is>
      </c>
      <c r="K953" s="39" t="inlineStr"/>
      <c r="L953" s="14" t="inlineStr"/>
      <c r="M953" s="14" t="inlineStr"/>
      <c r="N953" s="92" t="inlineStr">
        <is>
          <t>10 EVIDENCE &amp; DECISIONS</t>
        </is>
      </c>
    </row>
    <row r="954" ht="34" customHeight="1">
      <c r="A954" s="34" t="inlineStr">
        <is>
          <t>Cost &amp; Forecast Control Accounts</t>
        </is>
      </c>
      <c r="B954" s="34" t="inlineStr">
        <is>
          <t>CST-04-019</t>
        </is>
      </c>
      <c r="C954" s="34" t="inlineStr">
        <is>
          <t>Vehicles and Depot - fleet supply - allowance</t>
        </is>
      </c>
      <c r="D954" s="34" t="inlineStr">
        <is>
          <t>Cost Account = CA-4019; WBS Code = 1.4.1</t>
        </is>
      </c>
      <c r="E954" s="34" t="inlineStr">
        <is>
          <t>R1341-v1</t>
        </is>
      </c>
      <c r="F954" s="34" t="inlineStr">
        <is>
          <t>1.4.1 Vehicles and Depot - Fleet Supply</t>
        </is>
      </c>
      <c r="G954" s="34" t="inlineStr">
        <is>
          <t>ONE_TO_ONE</t>
        </is>
      </c>
      <c r="H954" s="34" t="inlineStr">
        <is>
          <t>APPROVED</t>
        </is>
      </c>
      <c r="I954" s="34" t="inlineStr">
        <is>
          <t>New</t>
        </is>
      </c>
      <c r="J954" s="34" t="inlineStr">
        <is>
          <t>Source assignment -- not individually reviewed</t>
        </is>
      </c>
      <c r="K954" s="39" t="inlineStr"/>
      <c r="L954" s="14" t="inlineStr"/>
      <c r="M954" s="14" t="inlineStr"/>
      <c r="N954" s="92" t="inlineStr">
        <is>
          <t>10 EVIDENCE &amp; DECISIONS</t>
        </is>
      </c>
    </row>
    <row r="955" ht="34" customHeight="1">
      <c r="A955" s="34" t="inlineStr">
        <is>
          <t>Cost &amp; Forecast Control Accounts</t>
        </is>
      </c>
      <c r="B955" s="34" t="inlineStr">
        <is>
          <t>CST-04-021</t>
        </is>
      </c>
      <c r="C955" s="34" t="inlineStr">
        <is>
          <t>Vehicles and Depot - spares - field package</t>
        </is>
      </c>
      <c r="D955" s="34" t="inlineStr">
        <is>
          <t>Cost Account = CA-4021; WBS Code = 1.4.1</t>
        </is>
      </c>
      <c r="E955" s="34" t="inlineStr">
        <is>
          <t>R1343-v1</t>
        </is>
      </c>
      <c r="F955" s="34" t="inlineStr">
        <is>
          <t>1.4.1 Vehicles and Depot - Fleet Supply</t>
        </is>
      </c>
      <c r="G955" s="34" t="inlineStr">
        <is>
          <t>ONE_TO_ONE</t>
        </is>
      </c>
      <c r="H955" s="34" t="inlineStr">
        <is>
          <t>APPROVED</t>
        </is>
      </c>
      <c r="I955" s="34" t="inlineStr">
        <is>
          <t>New</t>
        </is>
      </c>
      <c r="J955" s="34" t="inlineStr">
        <is>
          <t>Source assignment -- not individually reviewed</t>
        </is>
      </c>
      <c r="K955" s="39" t="inlineStr"/>
      <c r="L955" s="14" t="inlineStr"/>
      <c r="M955" s="14" t="inlineStr"/>
      <c r="N955" s="92" t="inlineStr">
        <is>
          <t>10 EVIDENCE &amp; DECISIONS</t>
        </is>
      </c>
    </row>
    <row r="956" ht="34" customHeight="1">
      <c r="A956" s="34" t="inlineStr">
        <is>
          <t>Cost &amp; Forecast Control Accounts</t>
        </is>
      </c>
      <c r="B956" s="34" t="inlineStr">
        <is>
          <t>CST-04-023</t>
        </is>
      </c>
      <c r="C956" s="34" t="inlineStr">
        <is>
          <t>Vehicles and Depot - workshop equipment - professional services</t>
        </is>
      </c>
      <c r="D956" s="34" t="inlineStr">
        <is>
          <t>Cost Account = CA-4023; WBS Code = 1.4.1</t>
        </is>
      </c>
      <c r="E956" s="34" t="inlineStr">
        <is>
          <t>R1345-v1</t>
        </is>
      </c>
      <c r="F956" s="34" t="inlineStr">
        <is>
          <t>1.4.1 Vehicles and Depot - Fleet Supply</t>
        </is>
      </c>
      <c r="G956" s="34" t="inlineStr">
        <is>
          <t>ONE_TO_ONE</t>
        </is>
      </c>
      <c r="H956" s="34" t="inlineStr">
        <is>
          <t>APPROVED</t>
        </is>
      </c>
      <c r="I956" s="34" t="inlineStr">
        <is>
          <t>New</t>
        </is>
      </c>
      <c r="J956" s="34" t="inlineStr">
        <is>
          <t>Source assignment -- not individually reviewed</t>
        </is>
      </c>
      <c r="K956" s="39" t="inlineStr"/>
      <c r="L956" s="14" t="inlineStr"/>
      <c r="M956" s="14" t="inlineStr"/>
      <c r="N956" s="92" t="inlineStr">
        <is>
          <t>10 EVIDENCE &amp; DECISIONS</t>
        </is>
      </c>
    </row>
    <row r="957" ht="34" customHeight="1">
      <c r="A957" s="34" t="inlineStr">
        <is>
          <t>Cost &amp; Forecast Control Accounts</t>
        </is>
      </c>
      <c r="B957" s="34" t="inlineStr">
        <is>
          <t>CST-04-025</t>
        </is>
      </c>
      <c r="C957" s="34" t="inlineStr">
        <is>
          <t>Vehicles and Depot - fleet supply - closeout</t>
        </is>
      </c>
      <c r="D957" s="34" t="inlineStr">
        <is>
          <t>Cost Account = CA-4025; WBS Code = 1.4.1</t>
        </is>
      </c>
      <c r="E957" s="34" t="inlineStr">
        <is>
          <t>R1347-v1</t>
        </is>
      </c>
      <c r="F957" s="34" t="inlineStr">
        <is>
          <t>1.4.1 Vehicles and Depot - Fleet Supply</t>
        </is>
      </c>
      <c r="G957" s="34" t="inlineStr">
        <is>
          <t>ONE_TO_ONE</t>
        </is>
      </c>
      <c r="H957" s="34" t="inlineStr">
        <is>
          <t>APPROVED</t>
        </is>
      </c>
      <c r="I957" s="34" t="inlineStr">
        <is>
          <t>New</t>
        </is>
      </c>
      <c r="J957" s="34" t="inlineStr">
        <is>
          <t>Source assignment -- not individually reviewed</t>
        </is>
      </c>
      <c r="K957" s="39" t="inlineStr"/>
      <c r="L957" s="14" t="inlineStr"/>
      <c r="M957" s="14" t="inlineStr"/>
      <c r="N957" s="92" t="inlineStr">
        <is>
          <t>10 EVIDENCE &amp; DECISIONS</t>
        </is>
      </c>
    </row>
    <row r="958" ht="34" customHeight="1">
      <c r="A958" s="34" t="inlineStr">
        <is>
          <t>Cost &amp; Forecast Control Accounts</t>
        </is>
      </c>
      <c r="B958" s="34" t="inlineStr">
        <is>
          <t>CST-04-027</t>
        </is>
      </c>
      <c r="C958" s="34" t="inlineStr">
        <is>
          <t>Vehicles and Depot - spares - supply and install</t>
        </is>
      </c>
      <c r="D958" s="34" t="inlineStr">
        <is>
          <t>Cost Account = CA-4027; WBS Code = 1.4.1</t>
        </is>
      </c>
      <c r="E958" s="34" t="inlineStr">
        <is>
          <t>R1349-v1</t>
        </is>
      </c>
      <c r="F958" s="34" t="inlineStr">
        <is>
          <t>1.4.1 Vehicles and Depot - Fleet Supply</t>
        </is>
      </c>
      <c r="G958" s="34" t="inlineStr">
        <is>
          <t>ONE_TO_ONE</t>
        </is>
      </c>
      <c r="H958" s="34" t="inlineStr">
        <is>
          <t>APPROVED</t>
        </is>
      </c>
      <c r="I958" s="34" t="inlineStr">
        <is>
          <t>New</t>
        </is>
      </c>
      <c r="J958" s="34" t="inlineStr">
        <is>
          <t>Source assignment -- not individually reviewed</t>
        </is>
      </c>
      <c r="K958" s="39" t="inlineStr"/>
      <c r="L958" s="14" t="inlineStr"/>
      <c r="M958" s="14" t="inlineStr"/>
      <c r="N958" s="92" t="inlineStr">
        <is>
          <t>10 EVIDENCE &amp; DECISIONS</t>
        </is>
      </c>
    </row>
    <row r="959" ht="34" customHeight="1">
      <c r="A959" s="34" t="inlineStr">
        <is>
          <t>Cost &amp; Forecast Control Accounts</t>
        </is>
      </c>
      <c r="B959" s="34" t="inlineStr">
        <is>
          <t>CST-04-029</t>
        </is>
      </c>
      <c r="C959" s="34" t="inlineStr">
        <is>
          <t>Vehicles and Depot - workshop equipment - allowance</t>
        </is>
      </c>
      <c r="D959" s="34" t="inlineStr">
        <is>
          <t>Cost Account = CA-4029; WBS Code = 1.4.1</t>
        </is>
      </c>
      <c r="E959" s="34" t="inlineStr">
        <is>
          <t>R1351-v1</t>
        </is>
      </c>
      <c r="F959" s="34" t="inlineStr">
        <is>
          <t>1.4.1 Vehicles and Depot - Fleet Supply</t>
        </is>
      </c>
      <c r="G959" s="34" t="inlineStr">
        <is>
          <t>ONE_TO_ONE</t>
        </is>
      </c>
      <c r="H959" s="34" t="inlineStr">
        <is>
          <t>APPROVED</t>
        </is>
      </c>
      <c r="I959" s="34" t="inlineStr">
        <is>
          <t>New</t>
        </is>
      </c>
      <c r="J959" s="34" t="inlineStr">
        <is>
          <t>Source assignment -- not individually reviewed</t>
        </is>
      </c>
      <c r="K959" s="39" t="inlineStr"/>
      <c r="L959" s="14" t="inlineStr"/>
      <c r="M959" s="14" t="inlineStr"/>
      <c r="N959" s="92" t="inlineStr">
        <is>
          <t>10 EVIDENCE &amp; DECISIONS</t>
        </is>
      </c>
    </row>
    <row r="960" ht="34" customHeight="1">
      <c r="A960" s="34" t="inlineStr">
        <is>
          <t>Cost &amp; Forecast Control Accounts</t>
        </is>
      </c>
      <c r="B960" s="34" t="inlineStr">
        <is>
          <t>CST-04-031</t>
        </is>
      </c>
      <c r="C960" s="34" t="inlineStr">
        <is>
          <t>Vehicles and Depot - fleet supply - field package</t>
        </is>
      </c>
      <c r="D960" s="34" t="inlineStr">
        <is>
          <t>Cost Account = CA-4031; WBS Code = 1.4.1</t>
        </is>
      </c>
      <c r="E960" s="34" t="inlineStr">
        <is>
          <t>R1353-v1</t>
        </is>
      </c>
      <c r="F960" s="34" t="inlineStr">
        <is>
          <t>1.4.1 Vehicles and Depot - Fleet Supply</t>
        </is>
      </c>
      <c r="G960" s="34" t="inlineStr">
        <is>
          <t>ONE_TO_ONE</t>
        </is>
      </c>
      <c r="H960" s="34" t="inlineStr">
        <is>
          <t>APPROVED</t>
        </is>
      </c>
      <c r="I960" s="34" t="inlineStr">
        <is>
          <t>New</t>
        </is>
      </c>
      <c r="J960" s="34" t="inlineStr">
        <is>
          <t>Source assignment -- not individually reviewed</t>
        </is>
      </c>
      <c r="K960" s="39" t="inlineStr"/>
      <c r="L960" s="14" t="inlineStr"/>
      <c r="M960" s="14" t="inlineStr"/>
      <c r="N960" s="92" t="inlineStr">
        <is>
          <t>10 EVIDENCE &amp; DECISIONS</t>
        </is>
      </c>
    </row>
    <row r="961" ht="34" customHeight="1">
      <c r="A961" s="34" t="inlineStr">
        <is>
          <t>Cost &amp; Forecast Control Accounts</t>
        </is>
      </c>
      <c r="B961" s="34" t="inlineStr">
        <is>
          <t>CST-04-033</t>
        </is>
      </c>
      <c r="C961" s="34" t="inlineStr">
        <is>
          <t>Vehicles and Depot - spares - professional services</t>
        </is>
      </c>
      <c r="D961" s="34" t="inlineStr">
        <is>
          <t>Cost Account = CA-4033; WBS Code = 1.4.1</t>
        </is>
      </c>
      <c r="E961" s="34" t="inlineStr">
        <is>
          <t>R1355-v1</t>
        </is>
      </c>
      <c r="F961" s="34" t="inlineStr">
        <is>
          <t>1.4.1 Vehicles and Depot - Fleet Supply</t>
        </is>
      </c>
      <c r="G961" s="34" t="inlineStr">
        <is>
          <t>ONE_TO_ONE</t>
        </is>
      </c>
      <c r="H961" s="34" t="inlineStr">
        <is>
          <t>APPROVED</t>
        </is>
      </c>
      <c r="I961" s="34" t="inlineStr">
        <is>
          <t>New</t>
        </is>
      </c>
      <c r="J961" s="34" t="inlineStr">
        <is>
          <t>Source assignment -- not individually reviewed</t>
        </is>
      </c>
      <c r="K961" s="39" t="inlineStr"/>
      <c r="L961" s="14" t="inlineStr"/>
      <c r="M961" s="14" t="inlineStr"/>
      <c r="N961" s="92" t="inlineStr">
        <is>
          <t>10 EVIDENCE &amp; DECISIONS</t>
        </is>
      </c>
    </row>
    <row r="962" ht="34" customHeight="1">
      <c r="A962" s="34" t="inlineStr">
        <is>
          <t>Cost &amp; Forecast Control Accounts</t>
        </is>
      </c>
      <c r="B962" s="34" t="inlineStr">
        <is>
          <t>CST-04-035</t>
        </is>
      </c>
      <c r="C962" s="34" t="inlineStr">
        <is>
          <t>Vehicles and Depot - workshop equipment - closeout</t>
        </is>
      </c>
      <c r="D962" s="34" t="inlineStr">
        <is>
          <t>Cost Account = CA-4035; WBS Code = 1.4.1</t>
        </is>
      </c>
      <c r="E962" s="34" t="inlineStr">
        <is>
          <t>R1357-v1</t>
        </is>
      </c>
      <c r="F962" s="34" t="inlineStr">
        <is>
          <t>1.4.1 Vehicles and Depot - Fleet Supply</t>
        </is>
      </c>
      <c r="G962" s="34" t="inlineStr">
        <is>
          <t>ONE_TO_ONE</t>
        </is>
      </c>
      <c r="H962" s="34" t="inlineStr">
        <is>
          <t>APPROVED</t>
        </is>
      </c>
      <c r="I962" s="34" t="inlineStr">
        <is>
          <t>New</t>
        </is>
      </c>
      <c r="J962" s="34" t="inlineStr">
        <is>
          <t>Source assignment -- not individually reviewed</t>
        </is>
      </c>
      <c r="K962" s="39" t="inlineStr"/>
      <c r="L962" s="14" t="inlineStr"/>
      <c r="M962" s="14" t="inlineStr"/>
      <c r="N962" s="92" t="inlineStr">
        <is>
          <t>10 EVIDENCE &amp; DECISIONS</t>
        </is>
      </c>
    </row>
    <row r="963" ht="34" customHeight="1">
      <c r="A963" s="34" t="inlineStr">
        <is>
          <t>Cost &amp; Forecast Control Accounts</t>
        </is>
      </c>
      <c r="B963" s="34" t="inlineStr">
        <is>
          <t>CST-04-037</t>
        </is>
      </c>
      <c r="C963" s="34" t="inlineStr">
        <is>
          <t>Vehicles and Depot - fleet supply - supply and install</t>
        </is>
      </c>
      <c r="D963" s="34" t="inlineStr">
        <is>
          <t>Cost Account = CA-4037; WBS Code = 1.4.1</t>
        </is>
      </c>
      <c r="E963" s="34" t="inlineStr">
        <is>
          <t>R1359-v1</t>
        </is>
      </c>
      <c r="F963" s="34" t="inlineStr">
        <is>
          <t>1.4.1 Vehicles and Depot - Fleet Supply</t>
        </is>
      </c>
      <c r="G963" s="34" t="inlineStr">
        <is>
          <t>ONE_TO_ONE</t>
        </is>
      </c>
      <c r="H963" s="34" t="inlineStr">
        <is>
          <t>APPROVED</t>
        </is>
      </c>
      <c r="I963" s="34" t="inlineStr">
        <is>
          <t>New</t>
        </is>
      </c>
      <c r="J963" s="34" t="inlineStr">
        <is>
          <t>Source assignment -- not individually reviewed</t>
        </is>
      </c>
      <c r="K963" s="39" t="inlineStr"/>
      <c r="L963" s="14" t="inlineStr"/>
      <c r="M963" s="14" t="inlineStr"/>
      <c r="N963" s="92" t="inlineStr">
        <is>
          <t>10 EVIDENCE &amp; DECISIONS</t>
        </is>
      </c>
    </row>
    <row r="964" ht="34" customHeight="1">
      <c r="A964" s="34" t="inlineStr">
        <is>
          <t>Cost &amp; Forecast Control Accounts</t>
        </is>
      </c>
      <c r="B964" s="34" t="inlineStr">
        <is>
          <t>CST-04-039</t>
        </is>
      </c>
      <c r="C964" s="34" t="inlineStr">
        <is>
          <t>Vehicles and Depot - spares - allowance</t>
        </is>
      </c>
      <c r="D964" s="34" t="inlineStr">
        <is>
          <t>Cost Account = CA-4039; WBS Code = 1.4.1</t>
        </is>
      </c>
      <c r="E964" s="34" t="inlineStr">
        <is>
          <t>R1361-v1</t>
        </is>
      </c>
      <c r="F964" s="34" t="inlineStr">
        <is>
          <t>1.4.1 Vehicles and Depot - Fleet Supply</t>
        </is>
      </c>
      <c r="G964" s="34" t="inlineStr">
        <is>
          <t>ONE_TO_ONE</t>
        </is>
      </c>
      <c r="H964" s="34" t="inlineStr">
        <is>
          <t>APPROVED</t>
        </is>
      </c>
      <c r="I964" s="34" t="inlineStr">
        <is>
          <t>New</t>
        </is>
      </c>
      <c r="J964" s="34" t="inlineStr">
        <is>
          <t>Source assignment -- not individually reviewed</t>
        </is>
      </c>
      <c r="K964" s="39" t="inlineStr"/>
      <c r="L964" s="14" t="inlineStr"/>
      <c r="M964" s="14" t="inlineStr"/>
      <c r="N964" s="92" t="inlineStr">
        <is>
          <t>10 EVIDENCE &amp; DECISIONS</t>
        </is>
      </c>
    </row>
    <row r="965" ht="34" customHeight="1">
      <c r="A965" s="34" t="inlineStr">
        <is>
          <t>Cost &amp; Forecast Control Accounts</t>
        </is>
      </c>
      <c r="B965" s="34" t="inlineStr">
        <is>
          <t>CST-04-041</t>
        </is>
      </c>
      <c r="C965" s="34" t="inlineStr">
        <is>
          <t>Vehicles and Depot - workshop equipment - field package</t>
        </is>
      </c>
      <c r="D965" s="34" t="inlineStr">
        <is>
          <t>Cost Account = CA-4041; WBS Code = 1.4.1</t>
        </is>
      </c>
      <c r="E965" s="34" t="inlineStr">
        <is>
          <t>R1363-v1</t>
        </is>
      </c>
      <c r="F965" s="34" t="inlineStr">
        <is>
          <t>1.4.1 Vehicles and Depot - Fleet Supply</t>
        </is>
      </c>
      <c r="G965" s="34" t="inlineStr">
        <is>
          <t>ONE_TO_ONE</t>
        </is>
      </c>
      <c r="H965" s="34" t="inlineStr">
        <is>
          <t>APPROVED</t>
        </is>
      </c>
      <c r="I965" s="34" t="inlineStr">
        <is>
          <t>New</t>
        </is>
      </c>
      <c r="J965" s="34" t="inlineStr">
        <is>
          <t>Source assignment -- not individually reviewed</t>
        </is>
      </c>
      <c r="K965" s="39" t="inlineStr"/>
      <c r="L965" s="14" t="inlineStr"/>
      <c r="M965" s="14" t="inlineStr"/>
      <c r="N965" s="92" t="inlineStr">
        <is>
          <t>10 EVIDENCE &amp; DECISIONS</t>
        </is>
      </c>
    </row>
    <row r="966" ht="34" customHeight="1">
      <c r="A966" s="34" t="inlineStr">
        <is>
          <t>Cost &amp; Forecast Control Accounts</t>
        </is>
      </c>
      <c r="B966" s="34" t="inlineStr">
        <is>
          <t>CST-04-043</t>
        </is>
      </c>
      <c r="C966" s="34" t="inlineStr">
        <is>
          <t>Vehicles and Depot - fleet supply - professional services</t>
        </is>
      </c>
      <c r="D966" s="34" t="inlineStr">
        <is>
          <t>Cost Account = CA-4043; WBS Code = 1.4.1</t>
        </is>
      </c>
      <c r="E966" s="34" t="inlineStr">
        <is>
          <t>R1365-v1</t>
        </is>
      </c>
      <c r="F966" s="34" t="inlineStr">
        <is>
          <t>1.4.1 Vehicles and Depot - Fleet Supply</t>
        </is>
      </c>
      <c r="G966" s="34" t="inlineStr">
        <is>
          <t>ONE_TO_ONE</t>
        </is>
      </c>
      <c r="H966" s="34" t="inlineStr">
        <is>
          <t>APPROVED</t>
        </is>
      </c>
      <c r="I966" s="34" t="inlineStr">
        <is>
          <t>New</t>
        </is>
      </c>
      <c r="J966" s="34" t="inlineStr">
        <is>
          <t>Source assignment -- not individually reviewed</t>
        </is>
      </c>
      <c r="K966" s="39" t="inlineStr"/>
      <c r="L966" s="14" t="inlineStr"/>
      <c r="M966" s="14" t="inlineStr"/>
      <c r="N966" s="92" t="inlineStr">
        <is>
          <t>10 EVIDENCE &amp; DECISIONS</t>
        </is>
      </c>
    </row>
    <row r="967" ht="34" customHeight="1">
      <c r="A967" s="34" t="inlineStr">
        <is>
          <t>Cost &amp; Forecast Control Accounts</t>
        </is>
      </c>
      <c r="B967" s="34" t="inlineStr">
        <is>
          <t>CST-04-045</t>
        </is>
      </c>
      <c r="C967" s="34" t="inlineStr">
        <is>
          <t>Vehicles and Depot - spares - closeout</t>
        </is>
      </c>
      <c r="D967" s="34" t="inlineStr">
        <is>
          <t>Cost Account = CA-4045; WBS Code = 1.4.1</t>
        </is>
      </c>
      <c r="E967" s="34" t="inlineStr">
        <is>
          <t>R1367-v1</t>
        </is>
      </c>
      <c r="F967" s="34" t="inlineStr">
        <is>
          <t>1.4.1 Vehicles and Depot - Fleet Supply</t>
        </is>
      </c>
      <c r="G967" s="34" t="inlineStr">
        <is>
          <t>ONE_TO_ONE</t>
        </is>
      </c>
      <c r="H967" s="34" t="inlineStr">
        <is>
          <t>APPROVED</t>
        </is>
      </c>
      <c r="I967" s="34" t="inlineStr">
        <is>
          <t>New</t>
        </is>
      </c>
      <c r="J967" s="34" t="inlineStr">
        <is>
          <t>Source assignment -- not individually reviewed</t>
        </is>
      </c>
      <c r="K967" s="39" t="inlineStr"/>
      <c r="L967" s="14" t="inlineStr"/>
      <c r="M967" s="14" t="inlineStr"/>
      <c r="N967" s="92" t="inlineStr">
        <is>
          <t>10 EVIDENCE &amp; DECISIONS</t>
        </is>
      </c>
    </row>
    <row r="968" ht="34" customHeight="1">
      <c r="A968" s="34" t="inlineStr">
        <is>
          <t>Cost &amp; Forecast Control Accounts</t>
        </is>
      </c>
      <c r="B968" s="34" t="inlineStr">
        <is>
          <t>CST-04-047</t>
        </is>
      </c>
      <c r="C968" s="34" t="inlineStr">
        <is>
          <t>Vehicles and Depot - workshop equipment - supply and install</t>
        </is>
      </c>
      <c r="D968" s="34" t="inlineStr">
        <is>
          <t>Cost Account = CA-4047; WBS Code = 1.4.1</t>
        </is>
      </c>
      <c r="E968" s="34" t="inlineStr">
        <is>
          <t>R1369-v1</t>
        </is>
      </c>
      <c r="F968" s="34" t="inlineStr">
        <is>
          <t>1.4.1 Vehicles and Depot - Fleet Supply</t>
        </is>
      </c>
      <c r="G968" s="34" t="inlineStr">
        <is>
          <t>ONE_TO_ONE</t>
        </is>
      </c>
      <c r="H968" s="34" t="inlineStr">
        <is>
          <t>APPROVED</t>
        </is>
      </c>
      <c r="I968" s="34" t="inlineStr">
        <is>
          <t>New</t>
        </is>
      </c>
      <c r="J968" s="34" t="inlineStr">
        <is>
          <t>Source assignment -- not individually reviewed</t>
        </is>
      </c>
      <c r="K968" s="39" t="inlineStr"/>
      <c r="L968" s="14" t="inlineStr"/>
      <c r="M968" s="14" t="inlineStr"/>
      <c r="N968" s="92" t="inlineStr">
        <is>
          <t>10 EVIDENCE &amp; DECISIONS</t>
        </is>
      </c>
    </row>
    <row r="969" ht="34" customHeight="1">
      <c r="A969" s="34" t="inlineStr">
        <is>
          <t>Cost &amp; Forecast Control Accounts</t>
        </is>
      </c>
      <c r="B969" s="34" t="inlineStr">
        <is>
          <t>CST-04-049</t>
        </is>
      </c>
      <c r="C969" s="34" t="inlineStr">
        <is>
          <t>Vehicles and Depot - fleet supply - allowance</t>
        </is>
      </c>
      <c r="D969" s="34" t="inlineStr">
        <is>
          <t>Cost Account = CA-4049; WBS Code = 1.4.1</t>
        </is>
      </c>
      <c r="E969" s="34" t="inlineStr">
        <is>
          <t>R1371-v1</t>
        </is>
      </c>
      <c r="F969" s="34" t="inlineStr">
        <is>
          <t>1.4.1 Vehicles and Depot - Fleet Supply</t>
        </is>
      </c>
      <c r="G969" s="34" t="inlineStr">
        <is>
          <t>ONE_TO_ONE</t>
        </is>
      </c>
      <c r="H969" s="34" t="inlineStr">
        <is>
          <t>APPROVED</t>
        </is>
      </c>
      <c r="I969" s="34" t="inlineStr">
        <is>
          <t>New</t>
        </is>
      </c>
      <c r="J969" s="34" t="inlineStr">
        <is>
          <t>Source assignment -- not individually reviewed</t>
        </is>
      </c>
      <c r="K969" s="39" t="inlineStr"/>
      <c r="L969" s="14" t="inlineStr"/>
      <c r="M969" s="14" t="inlineStr"/>
      <c r="N969" s="92" t="inlineStr">
        <is>
          <t>10 EVIDENCE &amp; DECISIONS</t>
        </is>
      </c>
    </row>
    <row r="970" ht="34" customHeight="1">
      <c r="A970" s="34" t="inlineStr">
        <is>
          <t>Cost &amp; Forecast Control Accounts</t>
        </is>
      </c>
      <c r="B970" s="34" t="inlineStr">
        <is>
          <t>CST-04-051</t>
        </is>
      </c>
      <c r="C970" s="34" t="inlineStr">
        <is>
          <t>Vehicles and Depot - spares - field package</t>
        </is>
      </c>
      <c r="D970" s="34" t="inlineStr">
        <is>
          <t>Cost Account = CA-4051; WBS Code = 1.4.1</t>
        </is>
      </c>
      <c r="E970" s="34" t="inlineStr">
        <is>
          <t>R1373-v1</t>
        </is>
      </c>
      <c r="F970" s="34" t="inlineStr">
        <is>
          <t>1.4.1 Vehicles and Depot - Fleet Supply</t>
        </is>
      </c>
      <c r="G970" s="34" t="inlineStr">
        <is>
          <t>ONE_TO_ONE</t>
        </is>
      </c>
      <c r="H970" s="34" t="inlineStr">
        <is>
          <t>APPROVED</t>
        </is>
      </c>
      <c r="I970" s="34" t="inlineStr">
        <is>
          <t>New</t>
        </is>
      </c>
      <c r="J970" s="34" t="inlineStr">
        <is>
          <t>Source assignment -- not individually reviewed</t>
        </is>
      </c>
      <c r="K970" s="39" t="inlineStr"/>
      <c r="L970" s="14" t="inlineStr"/>
      <c r="M970" s="14" t="inlineStr"/>
      <c r="N970" s="92" t="inlineStr">
        <is>
          <t>10 EVIDENCE &amp; DECISIONS</t>
        </is>
      </c>
    </row>
    <row r="971" ht="34" customHeight="1">
      <c r="A971" s="34" t="inlineStr">
        <is>
          <t>Cost &amp; Forecast Control Accounts</t>
        </is>
      </c>
      <c r="B971" s="34" t="inlineStr">
        <is>
          <t>CST-04-053</t>
        </is>
      </c>
      <c r="C971" s="34" t="inlineStr">
        <is>
          <t>Vehicles and Depot - workshop equipment - professional services</t>
        </is>
      </c>
      <c r="D971" s="34" t="inlineStr">
        <is>
          <t>Cost Account = CA-4053; WBS Code = 1.4.1</t>
        </is>
      </c>
      <c r="E971" s="34" t="inlineStr">
        <is>
          <t>R1375-v1</t>
        </is>
      </c>
      <c r="F971" s="34" t="inlineStr">
        <is>
          <t>1.4.1 Vehicles and Depot - Fleet Supply</t>
        </is>
      </c>
      <c r="G971" s="34" t="inlineStr">
        <is>
          <t>ONE_TO_ONE</t>
        </is>
      </c>
      <c r="H971" s="34" t="inlineStr">
        <is>
          <t>APPROVED</t>
        </is>
      </c>
      <c r="I971" s="34" t="inlineStr">
        <is>
          <t>New</t>
        </is>
      </c>
      <c r="J971" s="34" t="inlineStr">
        <is>
          <t>Source assignment -- not individually reviewed</t>
        </is>
      </c>
      <c r="K971" s="39" t="inlineStr"/>
      <c r="L971" s="14" t="inlineStr"/>
      <c r="M971" s="14" t="inlineStr"/>
      <c r="N971" s="92" t="inlineStr">
        <is>
          <t>10 EVIDENCE &amp; DECISIONS</t>
        </is>
      </c>
    </row>
    <row r="972" ht="34" customHeight="1">
      <c r="A972" s="34" t="inlineStr">
        <is>
          <t>Cost &amp; Forecast Control Accounts</t>
        </is>
      </c>
      <c r="B972" s="34" t="inlineStr">
        <is>
          <t>CST-04-055</t>
        </is>
      </c>
      <c r="C972" s="34" t="inlineStr">
        <is>
          <t>Vehicles and Depot - fleet supply - closeout</t>
        </is>
      </c>
      <c r="D972" s="34" t="inlineStr">
        <is>
          <t>Cost Account = CA-4055; WBS Code = 1.4.1</t>
        </is>
      </c>
      <c r="E972" s="34" t="inlineStr">
        <is>
          <t>R1377-v1</t>
        </is>
      </c>
      <c r="F972" s="34" t="inlineStr">
        <is>
          <t>1.4.1 Vehicles and Depot - Fleet Supply</t>
        </is>
      </c>
      <c r="G972" s="34" t="inlineStr">
        <is>
          <t>ONE_TO_ONE</t>
        </is>
      </c>
      <c r="H972" s="34" t="inlineStr">
        <is>
          <t>APPROVED</t>
        </is>
      </c>
      <c r="I972" s="34" t="inlineStr">
        <is>
          <t>New</t>
        </is>
      </c>
      <c r="J972" s="34" t="inlineStr">
        <is>
          <t>Source assignment -- not individually reviewed</t>
        </is>
      </c>
      <c r="K972" s="39" t="inlineStr"/>
      <c r="L972" s="14" t="inlineStr"/>
      <c r="M972" s="14" t="inlineStr"/>
      <c r="N972" s="92" t="inlineStr">
        <is>
          <t>10 EVIDENCE &amp; DECISIONS</t>
        </is>
      </c>
    </row>
    <row r="973" ht="34" customHeight="1">
      <c r="A973" s="34" t="inlineStr">
        <is>
          <t>Cost &amp; Forecast Control Accounts</t>
        </is>
      </c>
      <c r="B973" s="34" t="inlineStr">
        <is>
          <t>CST-04-057</t>
        </is>
      </c>
      <c r="C973" s="34" t="inlineStr">
        <is>
          <t>Vehicles and Depot - spares - supply and install</t>
        </is>
      </c>
      <c r="D973" s="34" t="inlineStr">
        <is>
          <t>Cost Account = CA-4057; WBS Code = 1.4.1</t>
        </is>
      </c>
      <c r="E973" s="34" t="inlineStr">
        <is>
          <t>R1379-v1</t>
        </is>
      </c>
      <c r="F973" s="34" t="inlineStr">
        <is>
          <t>1.4.1 Vehicles and Depot - Fleet Supply</t>
        </is>
      </c>
      <c r="G973" s="34" t="inlineStr">
        <is>
          <t>ONE_TO_ONE</t>
        </is>
      </c>
      <c r="H973" s="34" t="inlineStr">
        <is>
          <t>APPROVED</t>
        </is>
      </c>
      <c r="I973" s="34" t="inlineStr">
        <is>
          <t>New</t>
        </is>
      </c>
      <c r="J973" s="34" t="inlineStr">
        <is>
          <t>Source assignment -- not individually reviewed</t>
        </is>
      </c>
      <c r="K973" s="39" t="inlineStr"/>
      <c r="L973" s="14" t="inlineStr"/>
      <c r="M973" s="14" t="inlineStr"/>
      <c r="N973" s="92" t="inlineStr">
        <is>
          <t>10 EVIDENCE &amp; DECISIONS</t>
        </is>
      </c>
    </row>
    <row r="974" ht="34" customHeight="1">
      <c r="A974" s="34" t="inlineStr">
        <is>
          <t>Cost &amp; Forecast Control Accounts</t>
        </is>
      </c>
      <c r="B974" s="34" t="inlineStr">
        <is>
          <t>CST-04-059</t>
        </is>
      </c>
      <c r="C974" s="34" t="inlineStr">
        <is>
          <t>Vehicles and Depot - workshop equipment - allowance</t>
        </is>
      </c>
      <c r="D974" s="34" t="inlineStr">
        <is>
          <t>Cost Account = CA-4059; WBS Code = 1.4.1</t>
        </is>
      </c>
      <c r="E974" s="34" t="inlineStr">
        <is>
          <t>R1381-v1</t>
        </is>
      </c>
      <c r="F974" s="34" t="inlineStr">
        <is>
          <t>1.4.1 Vehicles and Depot - Fleet Supply</t>
        </is>
      </c>
      <c r="G974" s="34" t="inlineStr">
        <is>
          <t>ONE_TO_ONE</t>
        </is>
      </c>
      <c r="H974" s="34" t="inlineStr">
        <is>
          <t>APPROVED</t>
        </is>
      </c>
      <c r="I974" s="34" t="inlineStr">
        <is>
          <t>New</t>
        </is>
      </c>
      <c r="J974" s="34" t="inlineStr">
        <is>
          <t>Source assignment -- not individually reviewed</t>
        </is>
      </c>
      <c r="K974" s="39" t="inlineStr"/>
      <c r="L974" s="14" t="inlineStr"/>
      <c r="M974" s="14" t="inlineStr"/>
      <c r="N974" s="92" t="inlineStr">
        <is>
          <t>10 EVIDENCE &amp; DECISIONS</t>
        </is>
      </c>
    </row>
    <row r="975" ht="34" customHeight="1">
      <c r="A975" s="34" t="inlineStr">
        <is>
          <t>Cost &amp; Forecast Control Accounts</t>
        </is>
      </c>
      <c r="B975" s="34" t="inlineStr">
        <is>
          <t>CST-04-061</t>
        </is>
      </c>
      <c r="C975" s="34" t="inlineStr">
        <is>
          <t>Vehicles and Depot - fleet supply - field package</t>
        </is>
      </c>
      <c r="D975" s="34" t="inlineStr">
        <is>
          <t>Cost Account = CA-4061; WBS Code = 1.4.1</t>
        </is>
      </c>
      <c r="E975" s="34" t="inlineStr">
        <is>
          <t>R1383-v1</t>
        </is>
      </c>
      <c r="F975" s="34" t="inlineStr">
        <is>
          <t>1.4.1 Vehicles and Depot - Fleet Supply</t>
        </is>
      </c>
      <c r="G975" s="34" t="inlineStr">
        <is>
          <t>ONE_TO_ONE</t>
        </is>
      </c>
      <c r="H975" s="34" t="inlineStr">
        <is>
          <t>APPROVED</t>
        </is>
      </c>
      <c r="I975" s="34" t="inlineStr">
        <is>
          <t>New</t>
        </is>
      </c>
      <c r="J975" s="34" t="inlineStr">
        <is>
          <t>Source assignment -- not individually reviewed</t>
        </is>
      </c>
      <c r="K975" s="39" t="inlineStr"/>
      <c r="L975" s="14" t="inlineStr"/>
      <c r="M975" s="14" t="inlineStr"/>
      <c r="N975" s="92" t="inlineStr">
        <is>
          <t>10 EVIDENCE &amp; DECISIONS</t>
        </is>
      </c>
    </row>
    <row r="976" ht="34" customHeight="1">
      <c r="A976" s="34" t="inlineStr">
        <is>
          <t>Cost &amp; Forecast Control Accounts</t>
        </is>
      </c>
      <c r="B976" s="34" t="inlineStr">
        <is>
          <t>CST-04-063</t>
        </is>
      </c>
      <c r="C976" s="34" t="inlineStr">
        <is>
          <t>Vehicles and Depot - spares - professional services</t>
        </is>
      </c>
      <c r="D976" s="34" t="inlineStr">
        <is>
          <t>Cost Account = CA-4063; WBS Code = 1.4.1</t>
        </is>
      </c>
      <c r="E976" s="34" t="inlineStr">
        <is>
          <t>R1385-v1</t>
        </is>
      </c>
      <c r="F976" s="34" t="inlineStr">
        <is>
          <t>1.4.1 Vehicles and Depot - Fleet Supply</t>
        </is>
      </c>
      <c r="G976" s="34" t="inlineStr">
        <is>
          <t>ONE_TO_ONE</t>
        </is>
      </c>
      <c r="H976" s="34" t="inlineStr">
        <is>
          <t>APPROVED</t>
        </is>
      </c>
      <c r="I976" s="34" t="inlineStr">
        <is>
          <t>New</t>
        </is>
      </c>
      <c r="J976" s="34" t="inlineStr">
        <is>
          <t>Source assignment -- not individually reviewed</t>
        </is>
      </c>
      <c r="K976" s="39" t="inlineStr"/>
      <c r="L976" s="14" t="inlineStr"/>
      <c r="M976" s="14" t="inlineStr"/>
      <c r="N976" s="92" t="inlineStr">
        <is>
          <t>10 EVIDENCE &amp; DECISIONS</t>
        </is>
      </c>
    </row>
    <row r="977" ht="34" customHeight="1">
      <c r="A977" s="34" t="inlineStr">
        <is>
          <t>Cost &amp; Forecast Control Accounts</t>
        </is>
      </c>
      <c r="B977" s="34" t="inlineStr">
        <is>
          <t>CST-04-065</t>
        </is>
      </c>
      <c r="C977" s="34" t="inlineStr">
        <is>
          <t>Vehicles and Depot - workshop equipment - closeout</t>
        </is>
      </c>
      <c r="D977" s="34" t="inlineStr">
        <is>
          <t>Cost Account = CA-4065; WBS Code = 1.4.1</t>
        </is>
      </c>
      <c r="E977" s="34" t="inlineStr">
        <is>
          <t>R1387-v1</t>
        </is>
      </c>
      <c r="F977" s="34" t="inlineStr">
        <is>
          <t>1.4.1 Vehicles and Depot - Fleet Supply</t>
        </is>
      </c>
      <c r="G977" s="34" t="inlineStr">
        <is>
          <t>ONE_TO_ONE</t>
        </is>
      </c>
      <c r="H977" s="34" t="inlineStr">
        <is>
          <t>APPROVED</t>
        </is>
      </c>
      <c r="I977" s="34" t="inlineStr">
        <is>
          <t>New</t>
        </is>
      </c>
      <c r="J977" s="34" t="inlineStr">
        <is>
          <t>Source assignment -- not individually reviewed</t>
        </is>
      </c>
      <c r="K977" s="39" t="inlineStr"/>
      <c r="L977" s="14" t="inlineStr"/>
      <c r="M977" s="14" t="inlineStr"/>
      <c r="N977" s="92" t="inlineStr">
        <is>
          <t>10 EVIDENCE &amp; DECISIONS</t>
        </is>
      </c>
    </row>
    <row r="978" ht="34" customHeight="1">
      <c r="A978" s="34" t="inlineStr">
        <is>
          <t>Cost &amp; Forecast Control Accounts</t>
        </is>
      </c>
      <c r="B978" s="34" t="inlineStr">
        <is>
          <t>CST-04-067</t>
        </is>
      </c>
      <c r="C978" s="34" t="inlineStr">
        <is>
          <t>Vehicles and Depot - fleet supply - supply and install</t>
        </is>
      </c>
      <c r="D978" s="34" t="inlineStr">
        <is>
          <t>Cost Account = CA-4067; WBS Code = 1.4.1</t>
        </is>
      </c>
      <c r="E978" s="34" t="inlineStr">
        <is>
          <t>R1389-v1</t>
        </is>
      </c>
      <c r="F978" s="34" t="inlineStr">
        <is>
          <t>1.4.1 Vehicles and Depot - Fleet Supply</t>
        </is>
      </c>
      <c r="G978" s="34" t="inlineStr">
        <is>
          <t>ONE_TO_ONE</t>
        </is>
      </c>
      <c r="H978" s="34" t="inlineStr">
        <is>
          <t>APPROVED</t>
        </is>
      </c>
      <c r="I978" s="34" t="inlineStr">
        <is>
          <t>New</t>
        </is>
      </c>
      <c r="J978" s="34" t="inlineStr">
        <is>
          <t>Source assignment -- not individually reviewed</t>
        </is>
      </c>
      <c r="K978" s="39" t="inlineStr"/>
      <c r="L978" s="14" t="inlineStr"/>
      <c r="M978" s="14" t="inlineStr"/>
      <c r="N978" s="92" t="inlineStr">
        <is>
          <t>10 EVIDENCE &amp; DECISIONS</t>
        </is>
      </c>
    </row>
    <row r="979" ht="34" customHeight="1">
      <c r="A979" s="34" t="inlineStr">
        <is>
          <t>Cost &amp; Forecast Control Accounts</t>
        </is>
      </c>
      <c r="B979" s="34" t="inlineStr">
        <is>
          <t>CST-04-069</t>
        </is>
      </c>
      <c r="C979" s="34" t="inlineStr">
        <is>
          <t>Vehicles and Depot - spares - allowance</t>
        </is>
      </c>
      <c r="D979" s="34" t="inlineStr">
        <is>
          <t>Cost Account = CA-4069; WBS Code = 1.4.1</t>
        </is>
      </c>
      <c r="E979" s="34" t="inlineStr">
        <is>
          <t>R1391-v1</t>
        </is>
      </c>
      <c r="F979" s="34" t="inlineStr">
        <is>
          <t>1.4.1 Vehicles and Depot - Fleet Supply</t>
        </is>
      </c>
      <c r="G979" s="34" t="inlineStr">
        <is>
          <t>ONE_TO_ONE</t>
        </is>
      </c>
      <c r="H979" s="34" t="inlineStr">
        <is>
          <t>APPROVED</t>
        </is>
      </c>
      <c r="I979" s="34" t="inlineStr">
        <is>
          <t>New</t>
        </is>
      </c>
      <c r="J979" s="34" t="inlineStr">
        <is>
          <t>Source assignment -- not individually reviewed</t>
        </is>
      </c>
      <c r="K979" s="39" t="inlineStr"/>
      <c r="L979" s="14" t="inlineStr"/>
      <c r="M979" s="14" t="inlineStr"/>
      <c r="N979" s="92" t="inlineStr">
        <is>
          <t>10 EVIDENCE &amp; DECISIONS</t>
        </is>
      </c>
    </row>
    <row r="980" ht="34" customHeight="1">
      <c r="A980" s="34" t="inlineStr">
        <is>
          <t>Cost &amp; Forecast Control Accounts</t>
        </is>
      </c>
      <c r="B980" s="34" t="inlineStr">
        <is>
          <t>CST-04-071</t>
        </is>
      </c>
      <c r="C980" s="34" t="inlineStr">
        <is>
          <t>Vehicles and Depot - workshop equipment - field package</t>
        </is>
      </c>
      <c r="D980" s="34" t="inlineStr">
        <is>
          <t>Cost Account = CA-4071; WBS Code = 1.4.1</t>
        </is>
      </c>
      <c r="E980" s="34" t="inlineStr">
        <is>
          <t>R1393-v1</t>
        </is>
      </c>
      <c r="F980" s="34" t="inlineStr">
        <is>
          <t>1.4.1 Vehicles and Depot - Fleet Supply</t>
        </is>
      </c>
      <c r="G980" s="34" t="inlineStr">
        <is>
          <t>ONE_TO_ONE</t>
        </is>
      </c>
      <c r="H980" s="34" t="inlineStr">
        <is>
          <t>APPROVED</t>
        </is>
      </c>
      <c r="I980" s="34" t="inlineStr">
        <is>
          <t>New</t>
        </is>
      </c>
      <c r="J980" s="34" t="inlineStr">
        <is>
          <t>Source assignment -- not individually reviewed</t>
        </is>
      </c>
      <c r="K980" s="39" t="inlineStr"/>
      <c r="L980" s="14" t="inlineStr"/>
      <c r="M980" s="14" t="inlineStr"/>
      <c r="N980" s="92" t="inlineStr">
        <is>
          <t>10 EVIDENCE &amp; DECISIONS</t>
        </is>
      </c>
    </row>
    <row r="981" ht="34" customHeight="1">
      <c r="A981" s="34" t="inlineStr">
        <is>
          <t>Cost &amp; Forecast Control Accounts</t>
        </is>
      </c>
      <c r="B981" s="34" t="inlineStr">
        <is>
          <t>CST-04-073</t>
        </is>
      </c>
      <c r="C981" s="34" t="inlineStr">
        <is>
          <t>Vehicles and Depot - fleet supply - professional services</t>
        </is>
      </c>
      <c r="D981" s="34" t="inlineStr">
        <is>
          <t>Cost Account = CA-4073; WBS Code = 1.4.1</t>
        </is>
      </c>
      <c r="E981" s="34" t="inlineStr">
        <is>
          <t>R1395-v1</t>
        </is>
      </c>
      <c r="F981" s="34" t="inlineStr">
        <is>
          <t>1.4.1 Vehicles and Depot - Fleet Supply</t>
        </is>
      </c>
      <c r="G981" s="34" t="inlineStr">
        <is>
          <t>ONE_TO_ONE</t>
        </is>
      </c>
      <c r="H981" s="34" t="inlineStr">
        <is>
          <t>APPROVED</t>
        </is>
      </c>
      <c r="I981" s="34" t="inlineStr">
        <is>
          <t>New</t>
        </is>
      </c>
      <c r="J981" s="34" t="inlineStr">
        <is>
          <t>Source assignment -- not individually reviewed</t>
        </is>
      </c>
      <c r="K981" s="39" t="inlineStr"/>
      <c r="L981" s="14" t="inlineStr"/>
      <c r="M981" s="14" t="inlineStr"/>
      <c r="N981" s="92" t="inlineStr">
        <is>
          <t>10 EVIDENCE &amp; DECISIONS</t>
        </is>
      </c>
    </row>
    <row r="982" ht="34" customHeight="1">
      <c r="A982" s="34" t="inlineStr">
        <is>
          <t>Cost &amp; Forecast Control Accounts</t>
        </is>
      </c>
      <c r="B982" s="34" t="inlineStr">
        <is>
          <t>CST-04-075</t>
        </is>
      </c>
      <c r="C982" s="34" t="inlineStr">
        <is>
          <t>Vehicles and Depot - spares - closeout</t>
        </is>
      </c>
      <c r="D982" s="34" t="inlineStr">
        <is>
          <t>Cost Account = CA-4075; WBS Code = 1.4.1</t>
        </is>
      </c>
      <c r="E982" s="34" t="inlineStr">
        <is>
          <t>R1397-v1</t>
        </is>
      </c>
      <c r="F982" s="34" t="inlineStr">
        <is>
          <t>1.4.1 Vehicles and Depot - Fleet Supply</t>
        </is>
      </c>
      <c r="G982" s="34" t="inlineStr">
        <is>
          <t>ONE_TO_ONE</t>
        </is>
      </c>
      <c r="H982" s="34" t="inlineStr">
        <is>
          <t>APPROVED</t>
        </is>
      </c>
      <c r="I982" s="34" t="inlineStr">
        <is>
          <t>New</t>
        </is>
      </c>
      <c r="J982" s="34" t="inlineStr">
        <is>
          <t>Source assignment -- not individually reviewed</t>
        </is>
      </c>
      <c r="K982" s="39" t="inlineStr"/>
      <c r="L982" s="14" t="inlineStr"/>
      <c r="M982" s="14" t="inlineStr"/>
      <c r="N982" s="92" t="inlineStr">
        <is>
          <t>10 EVIDENCE &amp; DECISIONS</t>
        </is>
      </c>
    </row>
    <row r="983" ht="34" customHeight="1">
      <c r="A983" s="34" t="inlineStr">
        <is>
          <t>Cost &amp; Forecast Control Accounts</t>
        </is>
      </c>
      <c r="B983" s="34" t="inlineStr">
        <is>
          <t>CST-04-077</t>
        </is>
      </c>
      <c r="C983" s="34" t="inlineStr">
        <is>
          <t>Vehicles and Depot - workshop equipment - supply and install</t>
        </is>
      </c>
      <c r="D983" s="34" t="inlineStr">
        <is>
          <t>Cost Account = CA-4077; WBS Code = 1.4.1</t>
        </is>
      </c>
      <c r="E983" s="34" t="inlineStr">
        <is>
          <t>R1399-v1</t>
        </is>
      </c>
      <c r="F983" s="34" t="inlineStr">
        <is>
          <t>1.4.1 Vehicles and Depot - Fleet Supply</t>
        </is>
      </c>
      <c r="G983" s="34" t="inlineStr">
        <is>
          <t>ONE_TO_ONE</t>
        </is>
      </c>
      <c r="H983" s="34" t="inlineStr">
        <is>
          <t>APPROVED</t>
        </is>
      </c>
      <c r="I983" s="34" t="inlineStr">
        <is>
          <t>New</t>
        </is>
      </c>
      <c r="J983" s="34" t="inlineStr">
        <is>
          <t>Source assignment -- not individually reviewed</t>
        </is>
      </c>
      <c r="K983" s="39" t="inlineStr"/>
      <c r="L983" s="14" t="inlineStr"/>
      <c r="M983" s="14" t="inlineStr"/>
      <c r="N983" s="92" t="inlineStr">
        <is>
          <t>10 EVIDENCE &amp; DECISIONS</t>
        </is>
      </c>
    </row>
    <row r="984" ht="34" customHeight="1">
      <c r="A984" s="34" t="inlineStr">
        <is>
          <t>Cost &amp; Forecast Control Accounts</t>
        </is>
      </c>
      <c r="B984" s="34" t="inlineStr">
        <is>
          <t>CST-04-079</t>
        </is>
      </c>
      <c r="C984" s="34" t="inlineStr">
        <is>
          <t>Vehicles and Depot - fleet supply - allowance</t>
        </is>
      </c>
      <c r="D984" s="34" t="inlineStr">
        <is>
          <t>Cost Account = CA-4079; WBS Code = 1.4.1</t>
        </is>
      </c>
      <c r="E984" s="34" t="inlineStr">
        <is>
          <t>R1401-v1</t>
        </is>
      </c>
      <c r="F984" s="34" t="inlineStr">
        <is>
          <t>1.4.1 Vehicles and Depot - Fleet Supply</t>
        </is>
      </c>
      <c r="G984" s="34" t="inlineStr">
        <is>
          <t>ONE_TO_ONE</t>
        </is>
      </c>
      <c r="H984" s="34" t="inlineStr">
        <is>
          <t>APPROVED</t>
        </is>
      </c>
      <c r="I984" s="34" t="inlineStr">
        <is>
          <t>New</t>
        </is>
      </c>
      <c r="J984" s="34" t="inlineStr">
        <is>
          <t>Source assignment -- not individually reviewed</t>
        </is>
      </c>
      <c r="K984" s="39" t="inlineStr"/>
      <c r="L984" s="14" t="inlineStr"/>
      <c r="M984" s="14" t="inlineStr"/>
      <c r="N984" s="92" t="inlineStr">
        <is>
          <t>10 EVIDENCE &amp; DECISIONS</t>
        </is>
      </c>
    </row>
    <row r="985" ht="34" customHeight="1">
      <c r="A985" s="34" t="inlineStr">
        <is>
          <t>Contractor Programme</t>
        </is>
      </c>
      <c r="B985" s="34" t="inlineStr">
        <is>
          <t>SCH-04-006</t>
        </is>
      </c>
      <c r="C985" s="34" t="inlineStr">
        <is>
          <t>Test track: maintenance-bay services - release</t>
        </is>
      </c>
      <c r="D985" s="34" t="inlineStr">
        <is>
          <t>WBS Code = 1.4.2</t>
        </is>
      </c>
      <c r="E985" s="34" t="inlineStr">
        <is>
          <t>R546-v1</t>
        </is>
      </c>
      <c r="F985" s="34" t="inlineStr">
        <is>
          <t>1.4.2 Vehicles and Depot - Depot Buildings</t>
        </is>
      </c>
      <c r="G985" s="34" t="inlineStr">
        <is>
          <t>ONE_TO_ONE</t>
        </is>
      </c>
      <c r="H985" s="34" t="inlineStr">
        <is>
          <t>APPROVED</t>
        </is>
      </c>
      <c r="I985" s="34" t="inlineStr">
        <is>
          <t>New</t>
        </is>
      </c>
      <c r="J985" s="34" t="inlineStr">
        <is>
          <t>Source assignment -- not individually reviewed</t>
        </is>
      </c>
      <c r="K985" s="39" t="inlineStr"/>
      <c r="L985" s="14" t="inlineStr"/>
      <c r="M985" s="14" t="inlineStr"/>
      <c r="N985" s="92" t="inlineStr">
        <is>
          <t>10 EVIDENCE &amp; DECISIONS</t>
        </is>
      </c>
    </row>
    <row r="986" ht="34" customHeight="1">
      <c r="A986" s="34" t="inlineStr">
        <is>
          <t>Contractor Programme</t>
        </is>
      </c>
      <c r="B986" s="34" t="inlineStr">
        <is>
          <t>SCH-04-009</t>
        </is>
      </c>
      <c r="C986" s="34" t="inlineStr">
        <is>
          <t>Storage yard: vehicle-to-depot interface check - inspection</t>
        </is>
      </c>
      <c r="D986" s="34" t="inlineStr">
        <is>
          <t>WBS Code = 1.4.2</t>
        </is>
      </c>
      <c r="E986" s="34" t="inlineStr">
        <is>
          <t>R549-v1</t>
        </is>
      </c>
      <c r="F986" s="34" t="inlineStr">
        <is>
          <t>1.4.2 Vehicles and Depot - Depot Buildings</t>
        </is>
      </c>
      <c r="G986" s="34" t="inlineStr">
        <is>
          <t>ONE_TO_ONE</t>
        </is>
      </c>
      <c r="H986" s="34" t="inlineStr">
        <is>
          <t>APPROVED</t>
        </is>
      </c>
      <c r="I986" s="34" t="inlineStr">
        <is>
          <t>New</t>
        </is>
      </c>
      <c r="J986" s="34" t="inlineStr">
        <is>
          <t>Source assignment -- not individually reviewed</t>
        </is>
      </c>
      <c r="K986" s="39" t="inlineStr"/>
      <c r="L986" s="14" t="inlineStr"/>
      <c r="M986" s="14" t="inlineStr"/>
      <c r="N986" s="92" t="inlineStr">
        <is>
          <t>10 EVIDENCE &amp; DECISIONS</t>
        </is>
      </c>
    </row>
    <row r="987" ht="34" customHeight="1">
      <c r="A987" s="34" t="inlineStr">
        <is>
          <t>Contractor Programme</t>
        </is>
      </c>
      <c r="B987" s="34" t="inlineStr">
        <is>
          <t>SCH-04-012</t>
        </is>
      </c>
      <c r="C987" s="34" t="inlineStr">
        <is>
          <t>Receiving track: vehicle delivery inspection - field start</t>
        </is>
      </c>
      <c r="D987" s="34" t="inlineStr">
        <is>
          <t>WBS Code = 1.4.2</t>
        </is>
      </c>
      <c r="E987" s="34" t="inlineStr">
        <is>
          <t>R552-v1</t>
        </is>
      </c>
      <c r="F987" s="34" t="inlineStr">
        <is>
          <t>1.4.2 Vehicles and Depot - Depot Buildings</t>
        </is>
      </c>
      <c r="G987" s="34" t="inlineStr">
        <is>
          <t>ONE_TO_ONE</t>
        </is>
      </c>
      <c r="H987" s="34" t="inlineStr">
        <is>
          <t>APPROVED</t>
        </is>
      </c>
      <c r="I987" s="34" t="inlineStr">
        <is>
          <t>New</t>
        </is>
      </c>
      <c r="J987" s="34" t="inlineStr">
        <is>
          <t>Source assignment -- not individually reviewed</t>
        </is>
      </c>
      <c r="K987" s="39" t="inlineStr"/>
      <c r="L987" s="14" t="inlineStr"/>
      <c r="M987" s="14" t="inlineStr"/>
      <c r="N987" s="92" t="inlineStr">
        <is>
          <t>10 EVIDENCE &amp; DECISIONS</t>
        </is>
      </c>
    </row>
    <row r="988" ht="34" customHeight="1">
      <c r="A988" s="34" t="inlineStr">
        <is>
          <t>Contractor Programme</t>
        </is>
      </c>
      <c r="B988" s="34" t="inlineStr">
        <is>
          <t>SCH-04-015</t>
        </is>
      </c>
      <c r="C988" s="34" t="inlineStr">
        <is>
          <t>Operations building: depot structural fit-out - turnover</t>
        </is>
      </c>
      <c r="D988" s="34" t="inlineStr">
        <is>
          <t>WBS Code = 1.4.2</t>
        </is>
      </c>
      <c r="E988" s="34" t="inlineStr">
        <is>
          <t>R555-v1</t>
        </is>
      </c>
      <c r="F988" s="34" t="inlineStr">
        <is>
          <t>1.4.2 Vehicles and Depot - Depot Buildings</t>
        </is>
      </c>
      <c r="G988" s="34" t="inlineStr">
        <is>
          <t>ONE_TO_ONE</t>
        </is>
      </c>
      <c r="H988" s="34" t="inlineStr">
        <is>
          <t>APPROVED</t>
        </is>
      </c>
      <c r="I988" s="34" t="inlineStr">
        <is>
          <t>New</t>
        </is>
      </c>
      <c r="J988" s="34" t="inlineStr">
        <is>
          <t>Source assignment -- not individually reviewed</t>
        </is>
      </c>
      <c r="K988" s="39" t="inlineStr"/>
      <c r="L988" s="14" t="inlineStr"/>
      <c r="M988" s="14" t="inlineStr"/>
      <c r="N988" s="92" t="inlineStr">
        <is>
          <t>10 EVIDENCE &amp; DECISIONS</t>
        </is>
      </c>
    </row>
    <row r="989" ht="34" customHeight="1">
      <c r="A989" s="34" t="inlineStr">
        <is>
          <t>Contractor Programme</t>
        </is>
      </c>
      <c r="B989" s="34" t="inlineStr">
        <is>
          <t>SCH-04-018</t>
        </is>
      </c>
      <c r="C989" s="34" t="inlineStr">
        <is>
          <t>Maintenance shop: wheel-lathe installation - installation</t>
        </is>
      </c>
      <c r="D989" s="34" t="inlineStr">
        <is>
          <t>WBS Code = 1.4.2</t>
        </is>
      </c>
      <c r="E989" s="34" t="inlineStr">
        <is>
          <t>R558-v1</t>
        </is>
      </c>
      <c r="F989" s="34" t="inlineStr">
        <is>
          <t>1.4.2 Vehicles and Depot - Depot Buildings</t>
        </is>
      </c>
      <c r="G989" s="34" t="inlineStr">
        <is>
          <t>ONE_TO_ONE</t>
        </is>
      </c>
      <c r="H989" s="34" t="inlineStr">
        <is>
          <t>APPROVED</t>
        </is>
      </c>
      <c r="I989" s="34" t="inlineStr">
        <is>
          <t>New</t>
        </is>
      </c>
      <c r="J989" s="34" t="inlineStr">
        <is>
          <t>Source assignment -- not individually reviewed</t>
        </is>
      </c>
      <c r="K989" s="39" t="inlineStr"/>
      <c r="L989" s="14" t="inlineStr"/>
      <c r="M989" s="14" t="inlineStr"/>
      <c r="N989" s="92" t="inlineStr">
        <is>
          <t>10 EVIDENCE &amp; DECISIONS</t>
        </is>
      </c>
    </row>
    <row r="990" ht="34" customHeight="1">
      <c r="A990" s="34" t="inlineStr">
        <is>
          <t>Contractor Programme</t>
        </is>
      </c>
      <c r="B990" s="34" t="inlineStr">
        <is>
          <t>SCH-04-021</t>
        </is>
      </c>
      <c r="C990" s="34" t="inlineStr">
        <is>
          <t>Test track: wash-plant commissioning - release</t>
        </is>
      </c>
      <c r="D990" s="34" t="inlineStr">
        <is>
          <t>WBS Code = 1.4.2</t>
        </is>
      </c>
      <c r="E990" s="34" t="inlineStr">
        <is>
          <t>R561-v1</t>
        </is>
      </c>
      <c r="F990" s="34" t="inlineStr">
        <is>
          <t>1.4.2 Vehicles and Depot - Depot Buildings</t>
        </is>
      </c>
      <c r="G990" s="34" t="inlineStr">
        <is>
          <t>ONE_TO_ONE</t>
        </is>
      </c>
      <c r="H990" s="34" t="inlineStr">
        <is>
          <t>APPROVED</t>
        </is>
      </c>
      <c r="I990" s="34" t="inlineStr">
        <is>
          <t>New</t>
        </is>
      </c>
      <c r="J990" s="34" t="inlineStr">
        <is>
          <t>Source assignment -- not individually reviewed</t>
        </is>
      </c>
      <c r="K990" s="39" t="inlineStr"/>
      <c r="L990" s="14" t="inlineStr"/>
      <c r="M990" s="14" t="inlineStr"/>
      <c r="N990" s="92" t="inlineStr">
        <is>
          <t>10 EVIDENCE &amp; DECISIONS</t>
        </is>
      </c>
    </row>
    <row r="991" ht="34" customHeight="1">
      <c r="A991" s="34" t="inlineStr">
        <is>
          <t>Contractor Programme</t>
        </is>
      </c>
      <c r="B991" s="34" t="inlineStr">
        <is>
          <t>SCH-04-024</t>
        </is>
      </c>
      <c r="C991" s="34" t="inlineStr">
        <is>
          <t>Storage yard: workshop crane installation - inspection</t>
        </is>
      </c>
      <c r="D991" s="34" t="inlineStr">
        <is>
          <t>WBS Code = 1.4.2</t>
        </is>
      </c>
      <c r="E991" s="34" t="inlineStr">
        <is>
          <t>R564-v1</t>
        </is>
      </c>
      <c r="F991" s="34" t="inlineStr">
        <is>
          <t>1.4.2 Vehicles and Depot - Depot Buildings</t>
        </is>
      </c>
      <c r="G991" s="34" t="inlineStr">
        <is>
          <t>ONE_TO_ONE</t>
        </is>
      </c>
      <c r="H991" s="34" t="inlineStr">
        <is>
          <t>APPROVED</t>
        </is>
      </c>
      <c r="I991" s="34" t="inlineStr">
        <is>
          <t>New</t>
        </is>
      </c>
      <c r="J991" s="34" t="inlineStr">
        <is>
          <t>Source assignment -- not individually reviewed</t>
        </is>
      </c>
      <c r="K991" s="39" t="inlineStr"/>
      <c r="L991" s="14" t="inlineStr"/>
      <c r="M991" s="14" t="inlineStr"/>
      <c r="N991" s="92" t="inlineStr">
        <is>
          <t>10 EVIDENCE &amp; DECISIONS</t>
        </is>
      </c>
    </row>
    <row r="992" ht="34" customHeight="1">
      <c r="A992" s="34" t="inlineStr">
        <is>
          <t>Contractor Programme</t>
        </is>
      </c>
      <c r="B992" s="34" t="inlineStr">
        <is>
          <t>SCH-04-027</t>
        </is>
      </c>
      <c r="C992" s="34" t="inlineStr">
        <is>
          <t>Receiving track: fleet software load - field start</t>
        </is>
      </c>
      <c r="D992" s="34" t="inlineStr">
        <is>
          <t>WBS Code = 1.4.2</t>
        </is>
      </c>
      <c r="E992" s="34" t="inlineStr">
        <is>
          <t>R567-v1</t>
        </is>
      </c>
      <c r="F992" s="34" t="inlineStr">
        <is>
          <t>1.4.2 Vehicles and Depot - Depot Buildings</t>
        </is>
      </c>
      <c r="G992" s="34" t="inlineStr">
        <is>
          <t>ONE_TO_ONE</t>
        </is>
      </c>
      <c r="H992" s="34" t="inlineStr">
        <is>
          <t>APPROVED</t>
        </is>
      </c>
      <c r="I992" s="34" t="inlineStr">
        <is>
          <t>New</t>
        </is>
      </c>
      <c r="J992" s="34" t="inlineStr">
        <is>
          <t>Source assignment -- not individually reviewed</t>
        </is>
      </c>
      <c r="K992" s="39" t="inlineStr"/>
      <c r="L992" s="14" t="inlineStr"/>
      <c r="M992" s="14" t="inlineStr"/>
      <c r="N992" s="92" t="inlineStr">
        <is>
          <t>10 EVIDENCE &amp; DECISIONS</t>
        </is>
      </c>
    </row>
    <row r="993" ht="34" customHeight="1">
      <c r="A993" s="34" t="inlineStr">
        <is>
          <t>Contractor Programme</t>
        </is>
      </c>
      <c r="B993" s="34" t="inlineStr">
        <is>
          <t>SCH-04-030</t>
        </is>
      </c>
      <c r="C993" s="34" t="inlineStr">
        <is>
          <t>Operations building: maintenance-bay services - turnover</t>
        </is>
      </c>
      <c r="D993" s="34" t="inlineStr">
        <is>
          <t>WBS Code = 1.4.2</t>
        </is>
      </c>
      <c r="E993" s="34" t="inlineStr">
        <is>
          <t>R570-v1</t>
        </is>
      </c>
      <c r="F993" s="34" t="inlineStr">
        <is>
          <t>1.4.2 Vehicles and Depot - Depot Buildings</t>
        </is>
      </c>
      <c r="G993" s="34" t="inlineStr">
        <is>
          <t>ONE_TO_ONE</t>
        </is>
      </c>
      <c r="H993" s="34" t="inlineStr">
        <is>
          <t>APPROVED</t>
        </is>
      </c>
      <c r="I993" s="34" t="inlineStr">
        <is>
          <t>New</t>
        </is>
      </c>
      <c r="J993" s="34" t="inlineStr">
        <is>
          <t>Source assignment -- not individually reviewed</t>
        </is>
      </c>
      <c r="K993" s="39" t="inlineStr"/>
      <c r="L993" s="14" t="inlineStr"/>
      <c r="M993" s="14" t="inlineStr"/>
      <c r="N993" s="92" t="inlineStr">
        <is>
          <t>10 EVIDENCE &amp; DECISIONS</t>
        </is>
      </c>
    </row>
    <row r="994" ht="34" customHeight="1">
      <c r="A994" s="34" t="inlineStr">
        <is>
          <t>Contractor Programme</t>
        </is>
      </c>
      <c r="B994" s="34" t="inlineStr">
        <is>
          <t>SCH-04-033</t>
        </is>
      </c>
      <c r="C994" s="34" t="inlineStr">
        <is>
          <t>Maintenance shop: vehicle-to-depot interface check - installation</t>
        </is>
      </c>
      <c r="D994" s="34" t="inlineStr">
        <is>
          <t>WBS Code = 1.4.2</t>
        </is>
      </c>
      <c r="E994" s="34" t="inlineStr">
        <is>
          <t>R573-v1</t>
        </is>
      </c>
      <c r="F994" s="34" t="inlineStr">
        <is>
          <t>1.4.2 Vehicles and Depot - Depot Buildings</t>
        </is>
      </c>
      <c r="G994" s="34" t="inlineStr">
        <is>
          <t>ONE_TO_ONE</t>
        </is>
      </c>
      <c r="H994" s="34" t="inlineStr">
        <is>
          <t>APPROVED</t>
        </is>
      </c>
      <c r="I994" s="34" t="inlineStr">
        <is>
          <t>New</t>
        </is>
      </c>
      <c r="J994" s="34" t="inlineStr">
        <is>
          <t>Source assignment -- not individually reviewed</t>
        </is>
      </c>
      <c r="K994" s="39" t="inlineStr"/>
      <c r="L994" s="14" t="inlineStr"/>
      <c r="M994" s="14" t="inlineStr"/>
      <c r="N994" s="92" t="inlineStr">
        <is>
          <t>10 EVIDENCE &amp; DECISIONS</t>
        </is>
      </c>
    </row>
    <row r="995" ht="34" customHeight="1">
      <c r="A995" s="34" t="inlineStr">
        <is>
          <t>Contractor Programme</t>
        </is>
      </c>
      <c r="B995" s="34" t="inlineStr">
        <is>
          <t>SCH-04-036</t>
        </is>
      </c>
      <c r="C995" s="34" t="inlineStr">
        <is>
          <t>Test track: vehicle delivery inspection - release</t>
        </is>
      </c>
      <c r="D995" s="34" t="inlineStr">
        <is>
          <t>WBS Code = 1.4.2</t>
        </is>
      </c>
      <c r="E995" s="34" t="inlineStr">
        <is>
          <t>R576-v1</t>
        </is>
      </c>
      <c r="F995" s="34" t="inlineStr">
        <is>
          <t>1.4.2 Vehicles and Depot - Depot Buildings</t>
        </is>
      </c>
      <c r="G995" s="34" t="inlineStr">
        <is>
          <t>ONE_TO_ONE</t>
        </is>
      </c>
      <c r="H995" s="34" t="inlineStr">
        <is>
          <t>APPROVED</t>
        </is>
      </c>
      <c r="I995" s="34" t="inlineStr">
        <is>
          <t>New</t>
        </is>
      </c>
      <c r="J995" s="34" t="inlineStr">
        <is>
          <t>Source assignment -- not individually reviewed</t>
        </is>
      </c>
      <c r="K995" s="39" t="inlineStr"/>
      <c r="L995" s="14" t="inlineStr"/>
      <c r="M995" s="14" t="inlineStr"/>
      <c r="N995" s="92" t="inlineStr">
        <is>
          <t>10 EVIDENCE &amp; DECISIONS</t>
        </is>
      </c>
    </row>
    <row r="996" ht="34" customHeight="1">
      <c r="A996" s="34" t="inlineStr">
        <is>
          <t>Contractor Programme</t>
        </is>
      </c>
      <c r="B996" s="34" t="inlineStr">
        <is>
          <t>SCH-04-039</t>
        </is>
      </c>
      <c r="C996" s="34" t="inlineStr">
        <is>
          <t>Storage yard: depot structural fit-out - inspection</t>
        </is>
      </c>
      <c r="D996" s="34" t="inlineStr">
        <is>
          <t>WBS Code = 1.4.2</t>
        </is>
      </c>
      <c r="E996" s="34" t="inlineStr">
        <is>
          <t>R579-v1</t>
        </is>
      </c>
      <c r="F996" s="34" t="inlineStr">
        <is>
          <t>1.4.2 Vehicles and Depot - Depot Buildings</t>
        </is>
      </c>
      <c r="G996" s="34" t="inlineStr">
        <is>
          <t>ONE_TO_ONE</t>
        </is>
      </c>
      <c r="H996" s="34" t="inlineStr">
        <is>
          <t>APPROVED</t>
        </is>
      </c>
      <c r="I996" s="34" t="inlineStr">
        <is>
          <t>New</t>
        </is>
      </c>
      <c r="J996" s="34" t="inlineStr">
        <is>
          <t>Source assignment -- not individually reviewed</t>
        </is>
      </c>
      <c r="K996" s="39" t="inlineStr"/>
      <c r="L996" s="14" t="inlineStr"/>
      <c r="M996" s="14" t="inlineStr"/>
      <c r="N996" s="92" t="inlineStr">
        <is>
          <t>10 EVIDENCE &amp; DECISIONS</t>
        </is>
      </c>
    </row>
    <row r="997" ht="34" customHeight="1">
      <c r="A997" s="34" t="inlineStr">
        <is>
          <t>Contractor Programme</t>
        </is>
      </c>
      <c r="B997" s="34" t="inlineStr">
        <is>
          <t>SCH-04-042</t>
        </is>
      </c>
      <c r="C997" s="34" t="inlineStr">
        <is>
          <t>Receiving track: wheel-lathe installation - field start</t>
        </is>
      </c>
      <c r="D997" s="34" t="inlineStr">
        <is>
          <t>WBS Code = 1.4.2</t>
        </is>
      </c>
      <c r="E997" s="34" t="inlineStr">
        <is>
          <t>R582-v1</t>
        </is>
      </c>
      <c r="F997" s="34" t="inlineStr">
        <is>
          <t>1.4.2 Vehicles and Depot - Depot Buildings</t>
        </is>
      </c>
      <c r="G997" s="34" t="inlineStr">
        <is>
          <t>ONE_TO_ONE</t>
        </is>
      </c>
      <c r="H997" s="34" t="inlineStr">
        <is>
          <t>APPROVED</t>
        </is>
      </c>
      <c r="I997" s="34" t="inlineStr">
        <is>
          <t>New</t>
        </is>
      </c>
      <c r="J997" s="34" t="inlineStr">
        <is>
          <t>Source assignment -- not individually reviewed</t>
        </is>
      </c>
      <c r="K997" s="39" t="inlineStr"/>
      <c r="L997" s="14" t="inlineStr"/>
      <c r="M997" s="14" t="inlineStr"/>
      <c r="N997" s="92" t="inlineStr">
        <is>
          <t>10 EVIDENCE &amp; DECISIONS</t>
        </is>
      </c>
    </row>
    <row r="998" ht="34" customHeight="1">
      <c r="A998" s="34" t="inlineStr">
        <is>
          <t>Contractor Programme</t>
        </is>
      </c>
      <c r="B998" s="34" t="inlineStr">
        <is>
          <t>SCH-04-045</t>
        </is>
      </c>
      <c r="C998" s="34" t="inlineStr">
        <is>
          <t>Operations building: wash-plant commissioning - turnover</t>
        </is>
      </c>
      <c r="D998" s="34" t="inlineStr">
        <is>
          <t>WBS Code = 1.4.2</t>
        </is>
      </c>
      <c r="E998" s="34" t="inlineStr">
        <is>
          <t>R585-v1</t>
        </is>
      </c>
      <c r="F998" s="34" t="inlineStr">
        <is>
          <t>1.4.2 Vehicles and Depot - Depot Buildings</t>
        </is>
      </c>
      <c r="G998" s="34" t="inlineStr">
        <is>
          <t>ONE_TO_ONE</t>
        </is>
      </c>
      <c r="H998" s="34" t="inlineStr">
        <is>
          <t>APPROVED</t>
        </is>
      </c>
      <c r="I998" s="34" t="inlineStr">
        <is>
          <t>New</t>
        </is>
      </c>
      <c r="J998" s="34" t="inlineStr">
        <is>
          <t>Source assignment -- not individually reviewed</t>
        </is>
      </c>
      <c r="K998" s="39" t="inlineStr"/>
      <c r="L998" s="14" t="inlineStr"/>
      <c r="M998" s="14" t="inlineStr"/>
      <c r="N998" s="92" t="inlineStr">
        <is>
          <t>10 EVIDENCE &amp; DECISIONS</t>
        </is>
      </c>
    </row>
    <row r="999" ht="34" customHeight="1">
      <c r="A999" s="34" t="inlineStr">
        <is>
          <t>Contractor Programme</t>
        </is>
      </c>
      <c r="B999" s="34" t="inlineStr">
        <is>
          <t>SCH-04-048</t>
        </is>
      </c>
      <c r="C999" s="34" t="inlineStr">
        <is>
          <t>Maintenance shop: workshop crane installation - installation</t>
        </is>
      </c>
      <c r="D999" s="34" t="inlineStr">
        <is>
          <t>WBS Code = 1.4.2</t>
        </is>
      </c>
      <c r="E999" s="34" t="inlineStr">
        <is>
          <t>R588-v1</t>
        </is>
      </c>
      <c r="F999" s="34" t="inlineStr">
        <is>
          <t>1.4.2 Vehicles and Depot - Depot Buildings</t>
        </is>
      </c>
      <c r="G999" s="34" t="inlineStr">
        <is>
          <t>ONE_TO_ONE</t>
        </is>
      </c>
      <c r="H999" s="34" t="inlineStr">
        <is>
          <t>APPROVED</t>
        </is>
      </c>
      <c r="I999" s="34" t="inlineStr">
        <is>
          <t>New</t>
        </is>
      </c>
      <c r="J999" s="34" t="inlineStr">
        <is>
          <t>Source assignment -- not individually reviewed</t>
        </is>
      </c>
      <c r="K999" s="39" t="inlineStr"/>
      <c r="L999" s="14" t="inlineStr"/>
      <c r="M999" s="14" t="inlineStr"/>
      <c r="N999" s="92" t="inlineStr">
        <is>
          <t>10 EVIDENCE &amp; DECISIONS</t>
        </is>
      </c>
    </row>
    <row r="1000" ht="34" customHeight="1">
      <c r="A1000" s="34" t="inlineStr">
        <is>
          <t>Contractor Programme</t>
        </is>
      </c>
      <c r="B1000" s="34" t="inlineStr">
        <is>
          <t>SCH-04-051</t>
        </is>
      </c>
      <c r="C1000" s="34" t="inlineStr">
        <is>
          <t>Test track: fleet software load - release</t>
        </is>
      </c>
      <c r="D1000" s="34" t="inlineStr">
        <is>
          <t>WBS Code = 1.4.2</t>
        </is>
      </c>
      <c r="E1000" s="34" t="inlineStr">
        <is>
          <t>R591-v1</t>
        </is>
      </c>
      <c r="F1000" s="34" t="inlineStr">
        <is>
          <t>1.4.2 Vehicles and Depot - Depot Buildings</t>
        </is>
      </c>
      <c r="G1000" s="34" t="inlineStr">
        <is>
          <t>ONE_TO_ONE</t>
        </is>
      </c>
      <c r="H1000" s="34" t="inlineStr">
        <is>
          <t>APPROVED</t>
        </is>
      </c>
      <c r="I1000" s="34" t="inlineStr">
        <is>
          <t>New</t>
        </is>
      </c>
      <c r="J1000" s="34" t="inlineStr">
        <is>
          <t>Source assignment -- not individually reviewed</t>
        </is>
      </c>
      <c r="K1000" s="39" t="inlineStr"/>
      <c r="L1000" s="14" t="inlineStr"/>
      <c r="M1000" s="14" t="inlineStr"/>
      <c r="N1000" s="92" t="inlineStr">
        <is>
          <t>10 EVIDENCE &amp; DECISIONS</t>
        </is>
      </c>
    </row>
    <row r="1001" ht="34" customHeight="1">
      <c r="A1001" s="34" t="inlineStr">
        <is>
          <t>Contractor Programme</t>
        </is>
      </c>
      <c r="B1001" s="34" t="inlineStr">
        <is>
          <t>SCH-04-054</t>
        </is>
      </c>
      <c r="C1001" s="34" t="inlineStr">
        <is>
          <t>Storage yard: maintenance-bay services - inspection</t>
        </is>
      </c>
      <c r="D1001" s="34" t="inlineStr">
        <is>
          <t>WBS Code = 1.4.2</t>
        </is>
      </c>
      <c r="E1001" s="34" t="inlineStr">
        <is>
          <t>R594-v1</t>
        </is>
      </c>
      <c r="F1001" s="34" t="inlineStr">
        <is>
          <t>1.4.2 Vehicles and Depot - Depot Buildings</t>
        </is>
      </c>
      <c r="G1001" s="34" t="inlineStr">
        <is>
          <t>ONE_TO_ONE</t>
        </is>
      </c>
      <c r="H1001" s="34" t="inlineStr">
        <is>
          <t>APPROVED</t>
        </is>
      </c>
      <c r="I1001" s="34" t="inlineStr">
        <is>
          <t>New</t>
        </is>
      </c>
      <c r="J1001" s="34" t="inlineStr">
        <is>
          <t>Source assignment -- not individually reviewed</t>
        </is>
      </c>
      <c r="K1001" s="39" t="inlineStr"/>
      <c r="L1001" s="14" t="inlineStr"/>
      <c r="M1001" s="14" t="inlineStr"/>
      <c r="N1001" s="92" t="inlineStr">
        <is>
          <t>10 EVIDENCE &amp; DECISIONS</t>
        </is>
      </c>
    </row>
    <row r="1002" ht="34" customHeight="1">
      <c r="A1002" s="34" t="inlineStr">
        <is>
          <t>Contractor Programme</t>
        </is>
      </c>
      <c r="B1002" s="34" t="inlineStr">
        <is>
          <t>SCH-04-057</t>
        </is>
      </c>
      <c r="C1002" s="34" t="inlineStr">
        <is>
          <t>Receiving track: vehicle-to-depot interface check - field start</t>
        </is>
      </c>
      <c r="D1002" s="34" t="inlineStr">
        <is>
          <t>WBS Code = 1.4.2</t>
        </is>
      </c>
      <c r="E1002" s="34" t="inlineStr">
        <is>
          <t>R597-v1</t>
        </is>
      </c>
      <c r="F1002" s="34" t="inlineStr">
        <is>
          <t>1.4.2 Vehicles and Depot - Depot Buildings</t>
        </is>
      </c>
      <c r="G1002" s="34" t="inlineStr">
        <is>
          <t>ONE_TO_ONE</t>
        </is>
      </c>
      <c r="H1002" s="34" t="inlineStr">
        <is>
          <t>APPROVED</t>
        </is>
      </c>
      <c r="I1002" s="34" t="inlineStr">
        <is>
          <t>New</t>
        </is>
      </c>
      <c r="J1002" s="34" t="inlineStr">
        <is>
          <t>Source assignment -- not individually reviewed</t>
        </is>
      </c>
      <c r="K1002" s="39" t="inlineStr"/>
      <c r="L1002" s="14" t="inlineStr"/>
      <c r="M1002" s="14" t="inlineStr"/>
      <c r="N1002" s="92" t="inlineStr">
        <is>
          <t>10 EVIDENCE &amp; DECISIONS</t>
        </is>
      </c>
    </row>
    <row r="1003" ht="34" customHeight="1">
      <c r="A1003" s="34" t="inlineStr">
        <is>
          <t>Contractor Programme</t>
        </is>
      </c>
      <c r="B1003" s="34" t="inlineStr">
        <is>
          <t>SCH-04-060</t>
        </is>
      </c>
      <c r="C1003" s="34" t="inlineStr">
        <is>
          <t>Operations building: vehicle delivery inspection - turnover</t>
        </is>
      </c>
      <c r="D1003" s="34" t="inlineStr">
        <is>
          <t>WBS Code = 1.4.2</t>
        </is>
      </c>
      <c r="E1003" s="34" t="inlineStr">
        <is>
          <t>R600-v1</t>
        </is>
      </c>
      <c r="F1003" s="34" t="inlineStr">
        <is>
          <t>1.4.2 Vehicles and Depot - Depot Buildings</t>
        </is>
      </c>
      <c r="G1003" s="34" t="inlineStr">
        <is>
          <t>ONE_TO_ONE</t>
        </is>
      </c>
      <c r="H1003" s="34" t="inlineStr">
        <is>
          <t>APPROVED</t>
        </is>
      </c>
      <c r="I1003" s="34" t="inlineStr">
        <is>
          <t>New</t>
        </is>
      </c>
      <c r="J1003" s="34" t="inlineStr">
        <is>
          <t>Source assignment -- not individually reviewed</t>
        </is>
      </c>
      <c r="K1003" s="39" t="inlineStr"/>
      <c r="L1003" s="14" t="inlineStr"/>
      <c r="M1003" s="14" t="inlineStr"/>
      <c r="N1003" s="92" t="inlineStr">
        <is>
          <t>10 EVIDENCE &amp; DECISIONS</t>
        </is>
      </c>
    </row>
    <row r="1004" ht="34" customHeight="1">
      <c r="A1004" s="34" t="inlineStr">
        <is>
          <t>Contractor Programme</t>
        </is>
      </c>
      <c r="B1004" s="34" t="inlineStr">
        <is>
          <t>SCH-04-063</t>
        </is>
      </c>
      <c r="C1004" s="34" t="inlineStr">
        <is>
          <t>Maintenance shop: depot structural fit-out - installation</t>
        </is>
      </c>
      <c r="D1004" s="34" t="inlineStr">
        <is>
          <t>WBS Code = 1.4.2</t>
        </is>
      </c>
      <c r="E1004" s="34" t="inlineStr">
        <is>
          <t>R603-v1</t>
        </is>
      </c>
      <c r="F1004" s="34" t="inlineStr">
        <is>
          <t>1.4.2 Vehicles and Depot - Depot Buildings</t>
        </is>
      </c>
      <c r="G1004" s="34" t="inlineStr">
        <is>
          <t>ONE_TO_ONE</t>
        </is>
      </c>
      <c r="H1004" s="34" t="inlineStr">
        <is>
          <t>APPROVED</t>
        </is>
      </c>
      <c r="I1004" s="34" t="inlineStr">
        <is>
          <t>New</t>
        </is>
      </c>
      <c r="J1004" s="34" t="inlineStr">
        <is>
          <t>Source assignment -- not individually reviewed</t>
        </is>
      </c>
      <c r="K1004" s="39" t="inlineStr"/>
      <c r="L1004" s="14" t="inlineStr"/>
      <c r="M1004" s="14" t="inlineStr"/>
      <c r="N1004" s="92" t="inlineStr">
        <is>
          <t>10 EVIDENCE &amp; DECISIONS</t>
        </is>
      </c>
    </row>
    <row r="1005" ht="34" customHeight="1">
      <c r="A1005" s="34" t="inlineStr">
        <is>
          <t>Contractor Programme</t>
        </is>
      </c>
      <c r="B1005" s="34" t="inlineStr">
        <is>
          <t>SCH-04-066</t>
        </is>
      </c>
      <c r="C1005" s="34" t="inlineStr">
        <is>
          <t>Test track: wheel-lathe installation - release</t>
        </is>
      </c>
      <c r="D1005" s="34" t="inlineStr">
        <is>
          <t>WBS Code = 1.4.2</t>
        </is>
      </c>
      <c r="E1005" s="34" t="inlineStr">
        <is>
          <t>R606-v1</t>
        </is>
      </c>
      <c r="F1005" s="34" t="inlineStr">
        <is>
          <t>1.4.2 Vehicles and Depot - Depot Buildings</t>
        </is>
      </c>
      <c r="G1005" s="34" t="inlineStr">
        <is>
          <t>ONE_TO_ONE</t>
        </is>
      </c>
      <c r="H1005" s="34" t="inlineStr">
        <is>
          <t>APPROVED</t>
        </is>
      </c>
      <c r="I1005" s="34" t="inlineStr">
        <is>
          <t>New</t>
        </is>
      </c>
      <c r="J1005" s="34" t="inlineStr">
        <is>
          <t>Source assignment -- not individually reviewed</t>
        </is>
      </c>
      <c r="K1005" s="39" t="inlineStr"/>
      <c r="L1005" s="14" t="inlineStr"/>
      <c r="M1005" s="14" t="inlineStr"/>
      <c r="N1005" s="92" t="inlineStr">
        <is>
          <t>10 EVIDENCE &amp; DECISIONS</t>
        </is>
      </c>
    </row>
    <row r="1006" ht="34" customHeight="1">
      <c r="A1006" s="34" t="inlineStr">
        <is>
          <t>Contractor Programme</t>
        </is>
      </c>
      <c r="B1006" s="34" t="inlineStr">
        <is>
          <t>SCH-04-069</t>
        </is>
      </c>
      <c r="C1006" s="34" t="inlineStr">
        <is>
          <t>Storage yard: wash-plant commissioning - inspection</t>
        </is>
      </c>
      <c r="D1006" s="34" t="inlineStr">
        <is>
          <t>WBS Code = 1.4.2</t>
        </is>
      </c>
      <c r="E1006" s="34" t="inlineStr">
        <is>
          <t>R609-v1</t>
        </is>
      </c>
      <c r="F1006" s="34" t="inlineStr">
        <is>
          <t>1.4.2 Vehicles and Depot - Depot Buildings</t>
        </is>
      </c>
      <c r="G1006" s="34" t="inlineStr">
        <is>
          <t>ONE_TO_ONE</t>
        </is>
      </c>
      <c r="H1006" s="34" t="inlineStr">
        <is>
          <t>APPROVED</t>
        </is>
      </c>
      <c r="I1006" s="34" t="inlineStr">
        <is>
          <t>New</t>
        </is>
      </c>
      <c r="J1006" s="34" t="inlineStr">
        <is>
          <t>Source assignment -- not individually reviewed</t>
        </is>
      </c>
      <c r="K1006" s="39" t="inlineStr"/>
      <c r="L1006" s="14" t="inlineStr"/>
      <c r="M1006" s="14" t="inlineStr"/>
      <c r="N1006" s="92" t="inlineStr">
        <is>
          <t>10 EVIDENCE &amp; DECISIONS</t>
        </is>
      </c>
    </row>
    <row r="1007" ht="34" customHeight="1">
      <c r="A1007" s="34" t="inlineStr">
        <is>
          <t>Contractor Programme</t>
        </is>
      </c>
      <c r="B1007" s="34" t="inlineStr">
        <is>
          <t>SCH-04-072</t>
        </is>
      </c>
      <c r="C1007" s="34" t="inlineStr">
        <is>
          <t>Receiving track: workshop crane installation - field start</t>
        </is>
      </c>
      <c r="D1007" s="34" t="inlineStr">
        <is>
          <t>WBS Code = 1.4.2</t>
        </is>
      </c>
      <c r="E1007" s="34" t="inlineStr">
        <is>
          <t>R612-v1</t>
        </is>
      </c>
      <c r="F1007" s="34" t="inlineStr">
        <is>
          <t>1.4.2 Vehicles and Depot - Depot Buildings</t>
        </is>
      </c>
      <c r="G1007" s="34" t="inlineStr">
        <is>
          <t>ONE_TO_ONE</t>
        </is>
      </c>
      <c r="H1007" s="34" t="inlineStr">
        <is>
          <t>APPROVED</t>
        </is>
      </c>
      <c r="I1007" s="34" t="inlineStr">
        <is>
          <t>New</t>
        </is>
      </c>
      <c r="J1007" s="34" t="inlineStr">
        <is>
          <t>Source assignment -- not individually reviewed</t>
        </is>
      </c>
      <c r="K1007" s="39" t="inlineStr"/>
      <c r="L1007" s="14" t="inlineStr"/>
      <c r="M1007" s="14" t="inlineStr"/>
      <c r="N1007" s="92" t="inlineStr">
        <is>
          <t>10 EVIDENCE &amp; DECISIONS</t>
        </is>
      </c>
    </row>
    <row r="1008" ht="34" customHeight="1">
      <c r="A1008" s="34" t="inlineStr">
        <is>
          <t>Contractor Programme</t>
        </is>
      </c>
      <c r="B1008" s="34" t="inlineStr">
        <is>
          <t>SCH-04-075</t>
        </is>
      </c>
      <c r="C1008" s="34" t="inlineStr">
        <is>
          <t>Operations building: fleet software load - turnover</t>
        </is>
      </c>
      <c r="D1008" s="34" t="inlineStr">
        <is>
          <t>WBS Code = 1.4.2</t>
        </is>
      </c>
      <c r="E1008" s="34" t="inlineStr">
        <is>
          <t>R615-v1</t>
        </is>
      </c>
      <c r="F1008" s="34" t="inlineStr">
        <is>
          <t>1.4.2 Vehicles and Depot - Depot Buildings</t>
        </is>
      </c>
      <c r="G1008" s="34" t="inlineStr">
        <is>
          <t>ONE_TO_ONE</t>
        </is>
      </c>
      <c r="H1008" s="34" t="inlineStr">
        <is>
          <t>APPROVED</t>
        </is>
      </c>
      <c r="I1008" s="34" t="inlineStr">
        <is>
          <t>New</t>
        </is>
      </c>
      <c r="J1008" s="34" t="inlineStr">
        <is>
          <t>Source assignment -- not individually reviewed</t>
        </is>
      </c>
      <c r="K1008" s="39" t="inlineStr"/>
      <c r="L1008" s="14" t="inlineStr"/>
      <c r="M1008" s="14" t="inlineStr"/>
      <c r="N1008" s="92" t="inlineStr">
        <is>
          <t>10 EVIDENCE &amp; DECISIONS</t>
        </is>
      </c>
    </row>
    <row r="1009" ht="34" customHeight="1">
      <c r="A1009" s="34" t="inlineStr">
        <is>
          <t>Contractor Programme</t>
        </is>
      </c>
      <c r="B1009" s="34" t="inlineStr">
        <is>
          <t>SCH-04-078</t>
        </is>
      </c>
      <c r="C1009" s="34" t="inlineStr">
        <is>
          <t>Maintenance shop: maintenance-bay services - installation</t>
        </is>
      </c>
      <c r="D1009" s="34" t="inlineStr">
        <is>
          <t>WBS Code = 1.4.2</t>
        </is>
      </c>
      <c r="E1009" s="34" t="inlineStr">
        <is>
          <t>R618-v1</t>
        </is>
      </c>
      <c r="F1009" s="34" t="inlineStr">
        <is>
          <t>1.4.2 Vehicles and Depot - Depot Buildings</t>
        </is>
      </c>
      <c r="G1009" s="34" t="inlineStr">
        <is>
          <t>ONE_TO_ONE</t>
        </is>
      </c>
      <c r="H1009" s="34" t="inlineStr">
        <is>
          <t>APPROVED</t>
        </is>
      </c>
      <c r="I1009" s="34" t="inlineStr">
        <is>
          <t>New</t>
        </is>
      </c>
      <c r="J1009" s="34" t="inlineStr">
        <is>
          <t>Source assignment -- not individually reviewed</t>
        </is>
      </c>
      <c r="K1009" s="39" t="inlineStr"/>
      <c r="L1009" s="14" t="inlineStr"/>
      <c r="M1009" s="14" t="inlineStr"/>
      <c r="N1009" s="92" t="inlineStr">
        <is>
          <t>10 EVIDENCE &amp; DECISIONS</t>
        </is>
      </c>
    </row>
    <row r="1010" ht="34" customHeight="1">
      <c r="A1010" s="34" t="inlineStr">
        <is>
          <t>Contractor Programme</t>
        </is>
      </c>
      <c r="B1010" s="34" t="inlineStr">
        <is>
          <t>SCH-04-081</t>
        </is>
      </c>
      <c r="C1010" s="34" t="inlineStr">
        <is>
          <t>Test track: vehicle-to-depot interface check - release</t>
        </is>
      </c>
      <c r="D1010" s="34" t="inlineStr">
        <is>
          <t>WBS Code = 1.4.2</t>
        </is>
      </c>
      <c r="E1010" s="34" t="inlineStr">
        <is>
          <t>R621-v1</t>
        </is>
      </c>
      <c r="F1010" s="34" t="inlineStr">
        <is>
          <t>1.4.2 Vehicles and Depot - Depot Buildings</t>
        </is>
      </c>
      <c r="G1010" s="34" t="inlineStr">
        <is>
          <t>ONE_TO_ONE</t>
        </is>
      </c>
      <c r="H1010" s="34" t="inlineStr">
        <is>
          <t>APPROVED</t>
        </is>
      </c>
      <c r="I1010" s="34" t="inlineStr">
        <is>
          <t>New</t>
        </is>
      </c>
      <c r="J1010" s="34" t="inlineStr">
        <is>
          <t>Source assignment -- not individually reviewed</t>
        </is>
      </c>
      <c r="K1010" s="39" t="inlineStr"/>
      <c r="L1010" s="14" t="inlineStr"/>
      <c r="M1010" s="14" t="inlineStr"/>
      <c r="N1010" s="92" t="inlineStr">
        <is>
          <t>10 EVIDENCE &amp; DECISIONS</t>
        </is>
      </c>
    </row>
    <row r="1011" ht="34" customHeight="1">
      <c r="A1011" s="34" t="inlineStr">
        <is>
          <t>Contractor Programme</t>
        </is>
      </c>
      <c r="B1011" s="34" t="inlineStr">
        <is>
          <t>SCH-04-084</t>
        </is>
      </c>
      <c r="C1011" s="34" t="inlineStr">
        <is>
          <t>Storage yard: vehicle delivery inspection - inspection</t>
        </is>
      </c>
      <c r="D1011" s="34" t="inlineStr">
        <is>
          <t>WBS Code = 1.4.2</t>
        </is>
      </c>
      <c r="E1011" s="34" t="inlineStr">
        <is>
          <t>R624-v1</t>
        </is>
      </c>
      <c r="F1011" s="34" t="inlineStr">
        <is>
          <t>1.4.2 Vehicles and Depot - Depot Buildings</t>
        </is>
      </c>
      <c r="G1011" s="34" t="inlineStr">
        <is>
          <t>ONE_TO_ONE</t>
        </is>
      </c>
      <c r="H1011" s="34" t="inlineStr">
        <is>
          <t>APPROVED</t>
        </is>
      </c>
      <c r="I1011" s="34" t="inlineStr">
        <is>
          <t>New</t>
        </is>
      </c>
      <c r="J1011" s="34" t="inlineStr">
        <is>
          <t>Source assignment -- not individually reviewed</t>
        </is>
      </c>
      <c r="K1011" s="39" t="inlineStr"/>
      <c r="L1011" s="14" t="inlineStr"/>
      <c r="M1011" s="14" t="inlineStr"/>
      <c r="N1011" s="92" t="inlineStr">
        <is>
          <t>10 EVIDENCE &amp; DECISIONS</t>
        </is>
      </c>
    </row>
    <row r="1012" ht="34" customHeight="1">
      <c r="A1012" s="34" t="inlineStr">
        <is>
          <t>Contractor Programme</t>
        </is>
      </c>
      <c r="B1012" s="34" t="inlineStr">
        <is>
          <t>SCH-04-087</t>
        </is>
      </c>
      <c r="C1012" s="34" t="inlineStr">
        <is>
          <t>Receiving track: depot structural fit-out - field start</t>
        </is>
      </c>
      <c r="D1012" s="34" t="inlineStr">
        <is>
          <t>WBS Code = 1.4.2</t>
        </is>
      </c>
      <c r="E1012" s="34" t="inlineStr">
        <is>
          <t>R627-v1</t>
        </is>
      </c>
      <c r="F1012" s="34" t="inlineStr">
        <is>
          <t>1.4.2 Vehicles and Depot - Depot Buildings</t>
        </is>
      </c>
      <c r="G1012" s="34" t="inlineStr">
        <is>
          <t>ONE_TO_ONE</t>
        </is>
      </c>
      <c r="H1012" s="34" t="inlineStr">
        <is>
          <t>APPROVED</t>
        </is>
      </c>
      <c r="I1012" s="34" t="inlineStr">
        <is>
          <t>New</t>
        </is>
      </c>
      <c r="J1012" s="34" t="inlineStr">
        <is>
          <t>Source assignment -- not individually reviewed</t>
        </is>
      </c>
      <c r="K1012" s="39" t="inlineStr"/>
      <c r="L1012" s="14" t="inlineStr"/>
      <c r="M1012" s="14" t="inlineStr"/>
      <c r="N1012" s="92" t="inlineStr">
        <is>
          <t>10 EVIDENCE &amp; DECISIONS</t>
        </is>
      </c>
    </row>
    <row r="1013" ht="34" customHeight="1">
      <c r="A1013" s="34" t="inlineStr">
        <is>
          <t>Contractor Programme</t>
        </is>
      </c>
      <c r="B1013" s="34" t="inlineStr">
        <is>
          <t>SCH-04-090</t>
        </is>
      </c>
      <c r="C1013" s="34" t="inlineStr">
        <is>
          <t>Operations building: wheel-lathe installation - turnover</t>
        </is>
      </c>
      <c r="D1013" s="34" t="inlineStr">
        <is>
          <t>WBS Code = 1.4.2</t>
        </is>
      </c>
      <c r="E1013" s="34" t="inlineStr">
        <is>
          <t>R630-v1</t>
        </is>
      </c>
      <c r="F1013" s="34" t="inlineStr">
        <is>
          <t>1.4.2 Vehicles and Depot - Depot Buildings</t>
        </is>
      </c>
      <c r="G1013" s="34" t="inlineStr">
        <is>
          <t>ONE_TO_ONE</t>
        </is>
      </c>
      <c r="H1013" s="34" t="inlineStr">
        <is>
          <t>APPROVED</t>
        </is>
      </c>
      <c r="I1013" s="34" t="inlineStr">
        <is>
          <t>New</t>
        </is>
      </c>
      <c r="J1013" s="34" t="inlineStr">
        <is>
          <t>Source assignment -- not individually reviewed</t>
        </is>
      </c>
      <c r="K1013" s="39" t="inlineStr"/>
      <c r="L1013" s="14" t="inlineStr"/>
      <c r="M1013" s="14" t="inlineStr"/>
      <c r="N1013" s="92" t="inlineStr">
        <is>
          <t>10 EVIDENCE &amp; DECISIONS</t>
        </is>
      </c>
    </row>
    <row r="1014" ht="34" customHeight="1">
      <c r="A1014" s="34" t="inlineStr">
        <is>
          <t>Contractor Programme</t>
        </is>
      </c>
      <c r="B1014" s="34" t="inlineStr">
        <is>
          <t>SCH-04-093</t>
        </is>
      </c>
      <c r="C1014" s="34" t="inlineStr">
        <is>
          <t>Maintenance shop: wash-plant commissioning - installation</t>
        </is>
      </c>
      <c r="D1014" s="34" t="inlineStr">
        <is>
          <t>WBS Code = 1.4.2</t>
        </is>
      </c>
      <c r="E1014" s="34" t="inlineStr">
        <is>
          <t>R633-v1</t>
        </is>
      </c>
      <c r="F1014" s="34" t="inlineStr">
        <is>
          <t>1.4.2 Vehicles and Depot - Depot Buildings</t>
        </is>
      </c>
      <c r="G1014" s="34" t="inlineStr">
        <is>
          <t>ONE_TO_ONE</t>
        </is>
      </c>
      <c r="H1014" s="34" t="inlineStr">
        <is>
          <t>APPROVED</t>
        </is>
      </c>
      <c r="I1014" s="34" t="inlineStr">
        <is>
          <t>New</t>
        </is>
      </c>
      <c r="J1014" s="34" t="inlineStr">
        <is>
          <t>Source assignment -- not individually reviewed</t>
        </is>
      </c>
      <c r="K1014" s="39" t="inlineStr"/>
      <c r="L1014" s="14" t="inlineStr"/>
      <c r="M1014" s="14" t="inlineStr"/>
      <c r="N1014" s="92" t="inlineStr">
        <is>
          <t>10 EVIDENCE &amp; DECISIONS</t>
        </is>
      </c>
    </row>
    <row r="1015" ht="34" customHeight="1">
      <c r="A1015" s="34" t="inlineStr">
        <is>
          <t>Contractor Programme</t>
        </is>
      </c>
      <c r="B1015" s="34" t="inlineStr">
        <is>
          <t>SCH-04-096</t>
        </is>
      </c>
      <c r="C1015" s="34" t="inlineStr">
        <is>
          <t>Test track: workshop crane installation - release</t>
        </is>
      </c>
      <c r="D1015" s="34" t="inlineStr">
        <is>
          <t>WBS Code = 1.4.2</t>
        </is>
      </c>
      <c r="E1015" s="34" t="inlineStr">
        <is>
          <t>R636-v1</t>
        </is>
      </c>
      <c r="F1015" s="34" t="inlineStr">
        <is>
          <t>1.4.2 Vehicles and Depot - Depot Buildings</t>
        </is>
      </c>
      <c r="G1015" s="34" t="inlineStr">
        <is>
          <t>ONE_TO_ONE</t>
        </is>
      </c>
      <c r="H1015" s="34" t="inlineStr">
        <is>
          <t>APPROVED</t>
        </is>
      </c>
      <c r="I1015" s="34" t="inlineStr">
        <is>
          <t>New</t>
        </is>
      </c>
      <c r="J1015" s="34" t="inlineStr">
        <is>
          <t>Source assignment -- not individually reviewed</t>
        </is>
      </c>
      <c r="K1015" s="39" t="inlineStr"/>
      <c r="L1015" s="14" t="inlineStr"/>
      <c r="M1015" s="14" t="inlineStr"/>
      <c r="N1015" s="92" t="inlineStr">
        <is>
          <t>10 EVIDENCE &amp; DECISIONS</t>
        </is>
      </c>
    </row>
    <row r="1016" ht="34" customHeight="1">
      <c r="A1016" s="34" t="inlineStr">
        <is>
          <t>Contractor Programme</t>
        </is>
      </c>
      <c r="B1016" s="34" t="inlineStr">
        <is>
          <t>SCH-04-099</t>
        </is>
      </c>
      <c r="C1016" s="34" t="inlineStr">
        <is>
          <t>Storage yard: fleet software load - inspection</t>
        </is>
      </c>
      <c r="D1016" s="34" t="inlineStr">
        <is>
          <t>WBS Code = 1.4.2</t>
        </is>
      </c>
      <c r="E1016" s="34" t="inlineStr">
        <is>
          <t>R639-v1</t>
        </is>
      </c>
      <c r="F1016" s="34" t="inlineStr">
        <is>
          <t>1.4.2 Vehicles and Depot - Depot Buildings</t>
        </is>
      </c>
      <c r="G1016" s="34" t="inlineStr">
        <is>
          <t>ONE_TO_ONE</t>
        </is>
      </c>
      <c r="H1016" s="34" t="inlineStr">
        <is>
          <t>APPROVED</t>
        </is>
      </c>
      <c r="I1016" s="34" t="inlineStr">
        <is>
          <t>New</t>
        </is>
      </c>
      <c r="J1016" s="34" t="inlineStr">
        <is>
          <t>Source assignment -- not individually reviewed</t>
        </is>
      </c>
      <c r="K1016" s="39" t="inlineStr"/>
      <c r="L1016" s="14" t="inlineStr"/>
      <c r="M1016" s="14" t="inlineStr"/>
      <c r="N1016" s="92" t="inlineStr">
        <is>
          <t>10 EVIDENCE &amp; DECISIONS</t>
        </is>
      </c>
    </row>
    <row r="1017" ht="34" customHeight="1">
      <c r="A1017" s="34" t="inlineStr">
        <is>
          <t>Contractor Programme</t>
        </is>
      </c>
      <c r="B1017" s="34" t="inlineStr">
        <is>
          <t>SCH-04-102</t>
        </is>
      </c>
      <c r="C1017" s="34" t="inlineStr">
        <is>
          <t>Receiving track: maintenance-bay services - field start</t>
        </is>
      </c>
      <c r="D1017" s="34" t="inlineStr">
        <is>
          <t>WBS Code = 1.4.2</t>
        </is>
      </c>
      <c r="E1017" s="34" t="inlineStr">
        <is>
          <t>R642-v1</t>
        </is>
      </c>
      <c r="F1017" s="34" t="inlineStr">
        <is>
          <t>1.4.2 Vehicles and Depot - Depot Buildings</t>
        </is>
      </c>
      <c r="G1017" s="34" t="inlineStr">
        <is>
          <t>ONE_TO_ONE</t>
        </is>
      </c>
      <c r="H1017" s="34" t="inlineStr">
        <is>
          <t>APPROVED</t>
        </is>
      </c>
      <c r="I1017" s="34" t="inlineStr">
        <is>
          <t>New</t>
        </is>
      </c>
      <c r="J1017" s="34" t="inlineStr">
        <is>
          <t>Source assignment -- not individually reviewed</t>
        </is>
      </c>
      <c r="K1017" s="39" t="inlineStr"/>
      <c r="L1017" s="14" t="inlineStr"/>
      <c r="M1017" s="14" t="inlineStr"/>
      <c r="N1017" s="92" t="inlineStr">
        <is>
          <t>10 EVIDENCE &amp; DECISIONS</t>
        </is>
      </c>
    </row>
    <row r="1018" ht="34" customHeight="1">
      <c r="A1018" s="34" t="inlineStr">
        <is>
          <t>Contractor Programme</t>
        </is>
      </c>
      <c r="B1018" s="34" t="inlineStr">
        <is>
          <t>SCH-04-105</t>
        </is>
      </c>
      <c r="C1018" s="34" t="inlineStr">
        <is>
          <t>Operations building: vehicle-to-depot interface check - turnover</t>
        </is>
      </c>
      <c r="D1018" s="34" t="inlineStr">
        <is>
          <t>WBS Code = 1.4.2</t>
        </is>
      </c>
      <c r="E1018" s="34" t="inlineStr">
        <is>
          <t>R645-v1</t>
        </is>
      </c>
      <c r="F1018" s="34" t="inlineStr">
        <is>
          <t>1.4.2 Vehicles and Depot - Depot Buildings</t>
        </is>
      </c>
      <c r="G1018" s="34" t="inlineStr">
        <is>
          <t>ONE_TO_ONE</t>
        </is>
      </c>
      <c r="H1018" s="34" t="inlineStr">
        <is>
          <t>APPROVED</t>
        </is>
      </c>
      <c r="I1018" s="34" t="inlineStr">
        <is>
          <t>New</t>
        </is>
      </c>
      <c r="J1018" s="34" t="inlineStr">
        <is>
          <t>Source assignment -- not individually reviewed</t>
        </is>
      </c>
      <c r="K1018" s="39" t="inlineStr"/>
      <c r="L1018" s="14" t="inlineStr"/>
      <c r="M1018" s="14" t="inlineStr"/>
      <c r="N1018" s="92" t="inlineStr">
        <is>
          <t>10 EVIDENCE &amp; DECISIONS</t>
        </is>
      </c>
    </row>
    <row r="1019" ht="34" customHeight="1">
      <c r="A1019" s="34" t="inlineStr">
        <is>
          <t>Contractor Programme</t>
        </is>
      </c>
      <c r="B1019" s="34" t="inlineStr">
        <is>
          <t>SCH-04-108</t>
        </is>
      </c>
      <c r="C1019" s="34" t="inlineStr">
        <is>
          <t>Maintenance shop: vehicle delivery inspection - installation</t>
        </is>
      </c>
      <c r="D1019" s="34" t="inlineStr">
        <is>
          <t>WBS Code = 1.4.2</t>
        </is>
      </c>
      <c r="E1019" s="34" t="inlineStr">
        <is>
          <t>R648-v1</t>
        </is>
      </c>
      <c r="F1019" s="34" t="inlineStr">
        <is>
          <t>1.4.2 Vehicles and Depot - Depot Buildings</t>
        </is>
      </c>
      <c r="G1019" s="34" t="inlineStr">
        <is>
          <t>ONE_TO_ONE</t>
        </is>
      </c>
      <c r="H1019" s="34" t="inlineStr">
        <is>
          <t>APPROVED</t>
        </is>
      </c>
      <c r="I1019" s="34" t="inlineStr">
        <is>
          <t>New</t>
        </is>
      </c>
      <c r="J1019" s="34" t="inlineStr">
        <is>
          <t>Source assignment -- not individually reviewed</t>
        </is>
      </c>
      <c r="K1019" s="39" t="inlineStr"/>
      <c r="L1019" s="14" t="inlineStr"/>
      <c r="M1019" s="14" t="inlineStr"/>
      <c r="N1019" s="92" t="inlineStr">
        <is>
          <t>10 EVIDENCE &amp; DECISIONS</t>
        </is>
      </c>
    </row>
    <row r="1020" ht="34" customHeight="1">
      <c r="A1020" s="34" t="inlineStr">
        <is>
          <t>Contractor Programme</t>
        </is>
      </c>
      <c r="B1020" s="34" t="inlineStr">
        <is>
          <t>SCH-04-111</t>
        </is>
      </c>
      <c r="C1020" s="34" t="inlineStr">
        <is>
          <t>Test track: depot structural fit-out - release</t>
        </is>
      </c>
      <c r="D1020" s="34" t="inlineStr">
        <is>
          <t>WBS Code = 1.4.2</t>
        </is>
      </c>
      <c r="E1020" s="34" t="inlineStr">
        <is>
          <t>R651-v1</t>
        </is>
      </c>
      <c r="F1020" s="34" t="inlineStr">
        <is>
          <t>1.4.2 Vehicles and Depot - Depot Buildings</t>
        </is>
      </c>
      <c r="G1020" s="34" t="inlineStr">
        <is>
          <t>ONE_TO_ONE</t>
        </is>
      </c>
      <c r="H1020" s="34" t="inlineStr">
        <is>
          <t>APPROVED</t>
        </is>
      </c>
      <c r="I1020" s="34" t="inlineStr">
        <is>
          <t>New</t>
        </is>
      </c>
      <c r="J1020" s="34" t="inlineStr">
        <is>
          <t>Source assignment -- not individually reviewed</t>
        </is>
      </c>
      <c r="K1020" s="39" t="inlineStr"/>
      <c r="L1020" s="14" t="inlineStr"/>
      <c r="M1020" s="14" t="inlineStr"/>
      <c r="N1020" s="92" t="inlineStr">
        <is>
          <t>10 EVIDENCE &amp; DECISIONS</t>
        </is>
      </c>
    </row>
    <row r="1021" ht="34" customHeight="1">
      <c r="A1021" s="34" t="inlineStr">
        <is>
          <t>Contractor Programme</t>
        </is>
      </c>
      <c r="B1021" s="34" t="inlineStr">
        <is>
          <t>SCH-04-114</t>
        </is>
      </c>
      <c r="C1021" s="34" t="inlineStr">
        <is>
          <t>Storage yard: wheel-lathe installation - inspection</t>
        </is>
      </c>
      <c r="D1021" s="34" t="inlineStr">
        <is>
          <t>WBS Code = 1.4.2</t>
        </is>
      </c>
      <c r="E1021" s="34" t="inlineStr">
        <is>
          <t>R654-v1</t>
        </is>
      </c>
      <c r="F1021" s="34" t="inlineStr">
        <is>
          <t>1.4.2 Vehicles and Depot - Depot Buildings</t>
        </is>
      </c>
      <c r="G1021" s="34" t="inlineStr">
        <is>
          <t>ONE_TO_ONE</t>
        </is>
      </c>
      <c r="H1021" s="34" t="inlineStr">
        <is>
          <t>APPROVED</t>
        </is>
      </c>
      <c r="I1021" s="34" t="inlineStr">
        <is>
          <t>New</t>
        </is>
      </c>
      <c r="J1021" s="34" t="inlineStr">
        <is>
          <t>Source assignment -- not individually reviewed</t>
        </is>
      </c>
      <c r="K1021" s="39" t="inlineStr"/>
      <c r="L1021" s="14" t="inlineStr"/>
      <c r="M1021" s="14" t="inlineStr"/>
      <c r="N1021" s="92" t="inlineStr">
        <is>
          <t>10 EVIDENCE &amp; DECISIONS</t>
        </is>
      </c>
    </row>
    <row r="1022" ht="34" customHeight="1">
      <c r="A1022" s="34" t="inlineStr">
        <is>
          <t>Contractor Programme</t>
        </is>
      </c>
      <c r="B1022" s="34" t="inlineStr">
        <is>
          <t>SCH-04-117</t>
        </is>
      </c>
      <c r="C1022" s="34" t="inlineStr">
        <is>
          <t>Receiving track: wash-plant commissioning - field start</t>
        </is>
      </c>
      <c r="D1022" s="34" t="inlineStr">
        <is>
          <t>WBS Code = 1.4.2</t>
        </is>
      </c>
      <c r="E1022" s="34" t="inlineStr">
        <is>
          <t>R657-v1</t>
        </is>
      </c>
      <c r="F1022" s="34" t="inlineStr">
        <is>
          <t>1.4.2 Vehicles and Depot - Depot Buildings</t>
        </is>
      </c>
      <c r="G1022" s="34" t="inlineStr">
        <is>
          <t>ONE_TO_ONE</t>
        </is>
      </c>
      <c r="H1022" s="34" t="inlineStr">
        <is>
          <t>APPROVED</t>
        </is>
      </c>
      <c r="I1022" s="34" t="inlineStr">
        <is>
          <t>New</t>
        </is>
      </c>
      <c r="J1022" s="34" t="inlineStr">
        <is>
          <t>Source assignment -- not individually reviewed</t>
        </is>
      </c>
      <c r="K1022" s="39" t="inlineStr"/>
      <c r="L1022" s="14" t="inlineStr"/>
      <c r="M1022" s="14" t="inlineStr"/>
      <c r="N1022" s="92" t="inlineStr">
        <is>
          <t>10 EVIDENCE &amp; DECISIONS</t>
        </is>
      </c>
    </row>
    <row r="1023" ht="34" customHeight="1">
      <c r="A1023" s="34" t="inlineStr">
        <is>
          <t>Contractor Programme</t>
        </is>
      </c>
      <c r="B1023" s="34" t="inlineStr">
        <is>
          <t>SCH-04-120</t>
        </is>
      </c>
      <c r="C1023" s="34" t="inlineStr">
        <is>
          <t>Operations building: workshop crane installation - turnover</t>
        </is>
      </c>
      <c r="D1023" s="34" t="inlineStr">
        <is>
          <t>WBS Code = 1.4.2</t>
        </is>
      </c>
      <c r="E1023" s="34" t="inlineStr">
        <is>
          <t>R660-v1</t>
        </is>
      </c>
      <c r="F1023" s="34" t="inlineStr">
        <is>
          <t>1.4.2 Vehicles and Depot - Depot Buildings</t>
        </is>
      </c>
      <c r="G1023" s="34" t="inlineStr">
        <is>
          <t>ONE_TO_ONE</t>
        </is>
      </c>
      <c r="H1023" s="34" t="inlineStr">
        <is>
          <t>APPROVED</t>
        </is>
      </c>
      <c r="I1023" s="34" t="inlineStr">
        <is>
          <t>New</t>
        </is>
      </c>
      <c r="J1023" s="34" t="inlineStr">
        <is>
          <t>Source assignment -- not individually reviewed</t>
        </is>
      </c>
      <c r="K1023" s="39" t="inlineStr"/>
      <c r="L1023" s="14" t="inlineStr"/>
      <c r="M1023" s="14" t="inlineStr"/>
      <c r="N1023" s="92" t="inlineStr">
        <is>
          <t>10 EVIDENCE &amp; DECISIONS</t>
        </is>
      </c>
    </row>
    <row r="1024" ht="34" customHeight="1">
      <c r="A1024" s="34" t="inlineStr">
        <is>
          <t>Contractor Programme</t>
        </is>
      </c>
      <c r="B1024" s="34" t="inlineStr">
        <is>
          <t>SCH-04-123</t>
        </is>
      </c>
      <c r="C1024" s="34" t="inlineStr">
        <is>
          <t>Maintenance shop: fleet software load - installation</t>
        </is>
      </c>
      <c r="D1024" s="34" t="inlineStr">
        <is>
          <t>WBS Code = 1.4.2</t>
        </is>
      </c>
      <c r="E1024" s="34" t="inlineStr">
        <is>
          <t>R663-v1</t>
        </is>
      </c>
      <c r="F1024" s="34" t="inlineStr">
        <is>
          <t>1.4.2 Vehicles and Depot - Depot Buildings</t>
        </is>
      </c>
      <c r="G1024" s="34" t="inlineStr">
        <is>
          <t>ONE_TO_ONE</t>
        </is>
      </c>
      <c r="H1024" s="34" t="inlineStr">
        <is>
          <t>APPROVED</t>
        </is>
      </c>
      <c r="I1024" s="34" t="inlineStr">
        <is>
          <t>New</t>
        </is>
      </c>
      <c r="J1024" s="34" t="inlineStr">
        <is>
          <t>Source assignment -- not individually reviewed</t>
        </is>
      </c>
      <c r="K1024" s="39" t="inlineStr"/>
      <c r="L1024" s="14" t="inlineStr"/>
      <c r="M1024" s="14" t="inlineStr"/>
      <c r="N1024" s="92" t="inlineStr">
        <is>
          <t>10 EVIDENCE &amp; DECISIONS</t>
        </is>
      </c>
    </row>
    <row r="1025" ht="34" customHeight="1">
      <c r="A1025" s="34" t="inlineStr">
        <is>
          <t>Contractor Programme</t>
        </is>
      </c>
      <c r="B1025" s="34" t="inlineStr">
        <is>
          <t>SCH-04-126</t>
        </is>
      </c>
      <c r="C1025" s="34" t="inlineStr">
        <is>
          <t>Test track: maintenance-bay services - release</t>
        </is>
      </c>
      <c r="D1025" s="34" t="inlineStr">
        <is>
          <t>WBS Code = 1.4.2</t>
        </is>
      </c>
      <c r="E1025" s="34" t="inlineStr">
        <is>
          <t>R666-v1</t>
        </is>
      </c>
      <c r="F1025" s="34" t="inlineStr">
        <is>
          <t>1.4.2 Vehicles and Depot - Depot Buildings</t>
        </is>
      </c>
      <c r="G1025" s="34" t="inlineStr">
        <is>
          <t>ONE_TO_ONE</t>
        </is>
      </c>
      <c r="H1025" s="34" t="inlineStr">
        <is>
          <t>APPROVED</t>
        </is>
      </c>
      <c r="I1025" s="34" t="inlineStr">
        <is>
          <t>New</t>
        </is>
      </c>
      <c r="J1025" s="34" t="inlineStr">
        <is>
          <t>Source assignment -- not individually reviewed</t>
        </is>
      </c>
      <c r="K1025" s="39" t="inlineStr"/>
      <c r="L1025" s="14" t="inlineStr"/>
      <c r="M1025" s="14" t="inlineStr"/>
      <c r="N1025" s="92" t="inlineStr">
        <is>
          <t>10 EVIDENCE &amp; DECISIONS</t>
        </is>
      </c>
    </row>
    <row r="1026" ht="34" customHeight="1">
      <c r="A1026" s="34" t="inlineStr">
        <is>
          <t>Contractor Programme</t>
        </is>
      </c>
      <c r="B1026" s="34" t="inlineStr">
        <is>
          <t>SCH-04-129</t>
        </is>
      </c>
      <c r="C1026" s="34" t="inlineStr">
        <is>
          <t>Storage yard: vehicle-to-depot interface check - inspection</t>
        </is>
      </c>
      <c r="D1026" s="34" t="inlineStr">
        <is>
          <t>WBS Code = 1.4.2</t>
        </is>
      </c>
      <c r="E1026" s="34" t="inlineStr">
        <is>
          <t>R669-v1</t>
        </is>
      </c>
      <c r="F1026" s="34" t="inlineStr">
        <is>
          <t>1.4.2 Vehicles and Depot - Depot Buildings</t>
        </is>
      </c>
      <c r="G1026" s="34" t="inlineStr">
        <is>
          <t>ONE_TO_ONE</t>
        </is>
      </c>
      <c r="H1026" s="34" t="inlineStr">
        <is>
          <t>APPROVED</t>
        </is>
      </c>
      <c r="I1026" s="34" t="inlineStr">
        <is>
          <t>New</t>
        </is>
      </c>
      <c r="J1026" s="34" t="inlineStr">
        <is>
          <t>Source assignment -- not individually reviewed</t>
        </is>
      </c>
      <c r="K1026" s="39" t="inlineStr"/>
      <c r="L1026" s="14" t="inlineStr"/>
      <c r="M1026" s="14" t="inlineStr"/>
      <c r="N1026" s="92" t="inlineStr">
        <is>
          <t>10 EVIDENCE &amp; DECISIONS</t>
        </is>
      </c>
    </row>
    <row r="1027" ht="34" customHeight="1">
      <c r="A1027" s="34" t="inlineStr">
        <is>
          <t>Contractor Programme</t>
        </is>
      </c>
      <c r="B1027" s="34" t="inlineStr">
        <is>
          <t>SCH-04-132</t>
        </is>
      </c>
      <c r="C1027" s="34" t="inlineStr">
        <is>
          <t>Receiving track: vehicle delivery inspection - field start</t>
        </is>
      </c>
      <c r="D1027" s="34" t="inlineStr">
        <is>
          <t>WBS Code = 1.4.2</t>
        </is>
      </c>
      <c r="E1027" s="34" t="inlineStr">
        <is>
          <t>R672-v1</t>
        </is>
      </c>
      <c r="F1027" s="34" t="inlineStr">
        <is>
          <t>1.4.2 Vehicles and Depot - Depot Buildings</t>
        </is>
      </c>
      <c r="G1027" s="34" t="inlineStr">
        <is>
          <t>ONE_TO_ONE</t>
        </is>
      </c>
      <c r="H1027" s="34" t="inlineStr">
        <is>
          <t>APPROVED</t>
        </is>
      </c>
      <c r="I1027" s="34" t="inlineStr">
        <is>
          <t>New</t>
        </is>
      </c>
      <c r="J1027" s="34" t="inlineStr">
        <is>
          <t>Source assignment -- not individually reviewed</t>
        </is>
      </c>
      <c r="K1027" s="39" t="inlineStr"/>
      <c r="L1027" s="14" t="inlineStr"/>
      <c r="M1027" s="14" t="inlineStr"/>
      <c r="N1027" s="92" t="inlineStr">
        <is>
          <t>10 EVIDENCE &amp; DECISIONS</t>
        </is>
      </c>
    </row>
    <row r="1028" ht="34" customHeight="1">
      <c r="A1028" s="34" t="inlineStr">
        <is>
          <t>Contractor Programme</t>
        </is>
      </c>
      <c r="B1028" s="34" t="inlineStr">
        <is>
          <t>SCH-04-135</t>
        </is>
      </c>
      <c r="C1028" s="34" t="inlineStr">
        <is>
          <t>Operations building: depot structural fit-out - turnover</t>
        </is>
      </c>
      <c r="D1028" s="34" t="inlineStr">
        <is>
          <t>WBS Code = 1.4.2</t>
        </is>
      </c>
      <c r="E1028" s="34" t="inlineStr">
        <is>
          <t>R675-v1</t>
        </is>
      </c>
      <c r="F1028" s="34" t="inlineStr">
        <is>
          <t>1.4.2 Vehicles and Depot - Depot Buildings</t>
        </is>
      </c>
      <c r="G1028" s="34" t="inlineStr">
        <is>
          <t>ONE_TO_ONE</t>
        </is>
      </c>
      <c r="H1028" s="34" t="inlineStr">
        <is>
          <t>APPROVED</t>
        </is>
      </c>
      <c r="I1028" s="34" t="inlineStr">
        <is>
          <t>New</t>
        </is>
      </c>
      <c r="J1028" s="34" t="inlineStr">
        <is>
          <t>Source assignment -- not individually reviewed</t>
        </is>
      </c>
      <c r="K1028" s="39" t="inlineStr"/>
      <c r="L1028" s="14" t="inlineStr"/>
      <c r="M1028" s="14" t="inlineStr"/>
      <c r="N1028" s="92" t="inlineStr">
        <is>
          <t>10 EVIDENCE &amp; DECISIONS</t>
        </is>
      </c>
    </row>
    <row r="1029" ht="34" customHeight="1">
      <c r="A1029" s="34" t="inlineStr">
        <is>
          <t>Contractor Programme</t>
        </is>
      </c>
      <c r="B1029" s="34" t="inlineStr">
        <is>
          <t>SCH-04-138</t>
        </is>
      </c>
      <c r="C1029" s="34" t="inlineStr">
        <is>
          <t>Maintenance shop: wheel-lathe installation - installation</t>
        </is>
      </c>
      <c r="D1029" s="34" t="inlineStr">
        <is>
          <t>WBS Code = 1.4.2</t>
        </is>
      </c>
      <c r="E1029" s="34" t="inlineStr">
        <is>
          <t>R678-v1</t>
        </is>
      </c>
      <c r="F1029" s="34" t="inlineStr">
        <is>
          <t>1.4.2 Vehicles and Depot - Depot Buildings</t>
        </is>
      </c>
      <c r="G1029" s="34" t="inlineStr">
        <is>
          <t>ONE_TO_ONE</t>
        </is>
      </c>
      <c r="H1029" s="34" t="inlineStr">
        <is>
          <t>APPROVED</t>
        </is>
      </c>
      <c r="I1029" s="34" t="inlineStr">
        <is>
          <t>New</t>
        </is>
      </c>
      <c r="J1029" s="34" t="inlineStr">
        <is>
          <t>Source assignment -- not individually reviewed</t>
        </is>
      </c>
      <c r="K1029" s="39" t="inlineStr"/>
      <c r="L1029" s="14" t="inlineStr"/>
      <c r="M1029" s="14" t="inlineStr"/>
      <c r="N1029" s="92" t="inlineStr">
        <is>
          <t>10 EVIDENCE &amp; DECISIONS</t>
        </is>
      </c>
    </row>
    <row r="1030" ht="34" customHeight="1">
      <c r="A1030" s="34" t="inlineStr">
        <is>
          <t>Contractor Programme</t>
        </is>
      </c>
      <c r="B1030" s="34" t="inlineStr">
        <is>
          <t>SCH-04-141</t>
        </is>
      </c>
      <c r="C1030" s="34" t="inlineStr">
        <is>
          <t>Test track: wash-plant commissioning - release</t>
        </is>
      </c>
      <c r="D1030" s="34" t="inlineStr">
        <is>
          <t>WBS Code = 1.4.2</t>
        </is>
      </c>
      <c r="E1030" s="34" t="inlineStr">
        <is>
          <t>R681-v1</t>
        </is>
      </c>
      <c r="F1030" s="34" t="inlineStr">
        <is>
          <t>1.4.2 Vehicles and Depot - Depot Buildings</t>
        </is>
      </c>
      <c r="G1030" s="34" t="inlineStr">
        <is>
          <t>ONE_TO_ONE</t>
        </is>
      </c>
      <c r="H1030" s="34" t="inlineStr">
        <is>
          <t>APPROVED</t>
        </is>
      </c>
      <c r="I1030" s="34" t="inlineStr">
        <is>
          <t>New</t>
        </is>
      </c>
      <c r="J1030" s="34" t="inlineStr">
        <is>
          <t>Source assignment -- not individually reviewed</t>
        </is>
      </c>
      <c r="K1030" s="39" t="inlineStr"/>
      <c r="L1030" s="14" t="inlineStr"/>
      <c r="M1030" s="14" t="inlineStr"/>
      <c r="N1030" s="92" t="inlineStr">
        <is>
          <t>10 EVIDENCE &amp; DECISIONS</t>
        </is>
      </c>
    </row>
    <row r="1031" ht="34" customHeight="1">
      <c r="A1031" s="34" t="inlineStr">
        <is>
          <t>Contractor Programme</t>
        </is>
      </c>
      <c r="B1031" s="34" t="inlineStr">
        <is>
          <t>SCH-04-144</t>
        </is>
      </c>
      <c r="C1031" s="34" t="inlineStr">
        <is>
          <t>Storage yard: workshop crane installation - inspection</t>
        </is>
      </c>
      <c r="D1031" s="34" t="inlineStr">
        <is>
          <t>WBS Code = 1.4.2</t>
        </is>
      </c>
      <c r="E1031" s="34" t="inlineStr">
        <is>
          <t>R684-v1</t>
        </is>
      </c>
      <c r="F1031" s="34" t="inlineStr">
        <is>
          <t>1.4.2 Vehicles and Depot - Depot Buildings</t>
        </is>
      </c>
      <c r="G1031" s="34" t="inlineStr">
        <is>
          <t>ONE_TO_ONE</t>
        </is>
      </c>
      <c r="H1031" s="34" t="inlineStr">
        <is>
          <t>APPROVED</t>
        </is>
      </c>
      <c r="I1031" s="34" t="inlineStr">
        <is>
          <t>New</t>
        </is>
      </c>
      <c r="J1031" s="34" t="inlineStr">
        <is>
          <t>Source assignment -- not individually reviewed</t>
        </is>
      </c>
      <c r="K1031" s="39" t="inlineStr"/>
      <c r="L1031" s="14" t="inlineStr"/>
      <c r="M1031" s="14" t="inlineStr"/>
      <c r="N1031" s="92" t="inlineStr">
        <is>
          <t>10 EVIDENCE &amp; DECISIONS</t>
        </is>
      </c>
    </row>
    <row r="1032" ht="34" customHeight="1">
      <c r="A1032" s="34" t="inlineStr">
        <is>
          <t>Contractor Programme</t>
        </is>
      </c>
      <c r="B1032" s="34" t="inlineStr">
        <is>
          <t>SCH-04-147</t>
        </is>
      </c>
      <c r="C1032" s="34" t="inlineStr">
        <is>
          <t>Receiving track: fleet software load - field start</t>
        </is>
      </c>
      <c r="D1032" s="34" t="inlineStr">
        <is>
          <t>WBS Code = 1.4.2</t>
        </is>
      </c>
      <c r="E1032" s="34" t="inlineStr">
        <is>
          <t>R687-v1</t>
        </is>
      </c>
      <c r="F1032" s="34" t="inlineStr">
        <is>
          <t>1.4.2 Vehicles and Depot - Depot Buildings</t>
        </is>
      </c>
      <c r="G1032" s="34" t="inlineStr">
        <is>
          <t>ONE_TO_ONE</t>
        </is>
      </c>
      <c r="H1032" s="34" t="inlineStr">
        <is>
          <t>APPROVED</t>
        </is>
      </c>
      <c r="I1032" s="34" t="inlineStr">
        <is>
          <t>New</t>
        </is>
      </c>
      <c r="J1032" s="34" t="inlineStr">
        <is>
          <t>Source assignment -- not individually reviewed</t>
        </is>
      </c>
      <c r="K1032" s="39" t="inlineStr"/>
      <c r="L1032" s="14" t="inlineStr"/>
      <c r="M1032" s="14" t="inlineStr"/>
      <c r="N1032" s="92" t="inlineStr">
        <is>
          <t>10 EVIDENCE &amp; DECISIONS</t>
        </is>
      </c>
    </row>
    <row r="1033" ht="34" customHeight="1">
      <c r="A1033" s="34" t="inlineStr">
        <is>
          <t>Contractor Programme</t>
        </is>
      </c>
      <c r="B1033" s="34" t="inlineStr">
        <is>
          <t>SCH-04-150</t>
        </is>
      </c>
      <c r="C1033" s="34" t="inlineStr">
        <is>
          <t>Operations building: maintenance-bay services - turnover</t>
        </is>
      </c>
      <c r="D1033" s="34" t="inlineStr">
        <is>
          <t>WBS Code = 1.4.2</t>
        </is>
      </c>
      <c r="E1033" s="34" t="inlineStr">
        <is>
          <t>R690-v1</t>
        </is>
      </c>
      <c r="F1033" s="34" t="inlineStr">
        <is>
          <t>1.4.2 Vehicles and Depot - Depot Buildings</t>
        </is>
      </c>
      <c r="G1033" s="34" t="inlineStr">
        <is>
          <t>ONE_TO_ONE</t>
        </is>
      </c>
      <c r="H1033" s="34" t="inlineStr">
        <is>
          <t>APPROVED</t>
        </is>
      </c>
      <c r="I1033" s="34" t="inlineStr">
        <is>
          <t>New</t>
        </is>
      </c>
      <c r="J1033" s="34" t="inlineStr">
        <is>
          <t>Source assignment -- not individually reviewed</t>
        </is>
      </c>
      <c r="K1033" s="39" t="inlineStr"/>
      <c r="L1033" s="14" t="inlineStr"/>
      <c r="M1033" s="14" t="inlineStr"/>
      <c r="N1033" s="92" t="inlineStr">
        <is>
          <t>10 EVIDENCE &amp; DECISIONS</t>
        </is>
      </c>
    </row>
    <row r="1034" ht="34" customHeight="1">
      <c r="A1034" s="34" t="inlineStr">
        <is>
          <t>Contractor Programme</t>
        </is>
      </c>
      <c r="B1034" s="34" t="inlineStr">
        <is>
          <t>SCH-04-153</t>
        </is>
      </c>
      <c r="C1034" s="34" t="inlineStr">
        <is>
          <t>Maintenance shop: vehicle-to-depot interface check - installation</t>
        </is>
      </c>
      <c r="D1034" s="34" t="inlineStr">
        <is>
          <t>WBS Code = 1.4.2</t>
        </is>
      </c>
      <c r="E1034" s="34" t="inlineStr">
        <is>
          <t>R693-v1</t>
        </is>
      </c>
      <c r="F1034" s="34" t="inlineStr">
        <is>
          <t>1.4.2 Vehicles and Depot - Depot Buildings</t>
        </is>
      </c>
      <c r="G1034" s="34" t="inlineStr">
        <is>
          <t>ONE_TO_ONE</t>
        </is>
      </c>
      <c r="H1034" s="34" t="inlineStr">
        <is>
          <t>APPROVED</t>
        </is>
      </c>
      <c r="I1034" s="34" t="inlineStr">
        <is>
          <t>New</t>
        </is>
      </c>
      <c r="J1034" s="34" t="inlineStr">
        <is>
          <t>Source assignment -- not individually reviewed</t>
        </is>
      </c>
      <c r="K1034" s="39" t="inlineStr"/>
      <c r="L1034" s="14" t="inlineStr"/>
      <c r="M1034" s="14" t="inlineStr"/>
      <c r="N1034" s="92" t="inlineStr">
        <is>
          <t>10 EVIDENCE &amp; DECISIONS</t>
        </is>
      </c>
    </row>
    <row r="1035" ht="34" customHeight="1">
      <c r="A1035" s="34" t="inlineStr">
        <is>
          <t>Contractor Programme</t>
        </is>
      </c>
      <c r="B1035" s="34" t="inlineStr">
        <is>
          <t>SCH-04-156</t>
        </is>
      </c>
      <c r="C1035" s="34" t="inlineStr">
        <is>
          <t>Test track: vehicle delivery inspection - release</t>
        </is>
      </c>
      <c r="D1035" s="34" t="inlineStr">
        <is>
          <t>WBS Code = 1.4.2</t>
        </is>
      </c>
      <c r="E1035" s="34" t="inlineStr">
        <is>
          <t>R696-v1</t>
        </is>
      </c>
      <c r="F1035" s="34" t="inlineStr">
        <is>
          <t>1.4.2 Vehicles and Depot - Depot Buildings</t>
        </is>
      </c>
      <c r="G1035" s="34" t="inlineStr">
        <is>
          <t>ONE_TO_ONE</t>
        </is>
      </c>
      <c r="H1035" s="34" t="inlineStr">
        <is>
          <t>APPROVED</t>
        </is>
      </c>
      <c r="I1035" s="34" t="inlineStr">
        <is>
          <t>New</t>
        </is>
      </c>
      <c r="J1035" s="34" t="inlineStr">
        <is>
          <t>Source assignment -- not individually reviewed</t>
        </is>
      </c>
      <c r="K1035" s="39" t="inlineStr"/>
      <c r="L1035" s="14" t="inlineStr"/>
      <c r="M1035" s="14" t="inlineStr"/>
      <c r="N1035" s="92" t="inlineStr">
        <is>
          <t>10 EVIDENCE &amp; DECISIONS</t>
        </is>
      </c>
    </row>
    <row r="1036" ht="34" customHeight="1">
      <c r="A1036" s="34" t="inlineStr">
        <is>
          <t>Contractor Programme</t>
        </is>
      </c>
      <c r="B1036" s="34" t="inlineStr">
        <is>
          <t>SCH-04-159</t>
        </is>
      </c>
      <c r="C1036" s="34" t="inlineStr">
        <is>
          <t>Storage yard: depot structural fit-out - inspection</t>
        </is>
      </c>
      <c r="D1036" s="34" t="inlineStr">
        <is>
          <t>WBS Code = 1.4.2</t>
        </is>
      </c>
      <c r="E1036" s="34" t="inlineStr">
        <is>
          <t>R699-v1</t>
        </is>
      </c>
      <c r="F1036" s="34" t="inlineStr">
        <is>
          <t>1.4.2 Vehicles and Depot - Depot Buildings</t>
        </is>
      </c>
      <c r="G1036" s="34" t="inlineStr">
        <is>
          <t>ONE_TO_ONE</t>
        </is>
      </c>
      <c r="H1036" s="34" t="inlineStr">
        <is>
          <t>APPROVED</t>
        </is>
      </c>
      <c r="I1036" s="34" t="inlineStr">
        <is>
          <t>New</t>
        </is>
      </c>
      <c r="J1036" s="34" t="inlineStr">
        <is>
          <t>Source assignment -- not individually reviewed</t>
        </is>
      </c>
      <c r="K1036" s="39" t="inlineStr"/>
      <c r="L1036" s="14" t="inlineStr"/>
      <c r="M1036" s="14" t="inlineStr"/>
      <c r="N1036" s="92" t="inlineStr">
        <is>
          <t>10 EVIDENCE &amp; DECISIONS</t>
        </is>
      </c>
    </row>
    <row r="1037" ht="34" customHeight="1">
      <c r="A1037" s="34" t="inlineStr">
        <is>
          <t>Contractor Programme</t>
        </is>
      </c>
      <c r="B1037" s="34" t="inlineStr">
        <is>
          <t>SCH-04-162</t>
        </is>
      </c>
      <c r="C1037" s="34" t="inlineStr">
        <is>
          <t>Receiving track: wheel-lathe installation - field start</t>
        </is>
      </c>
      <c r="D1037" s="34" t="inlineStr">
        <is>
          <t>WBS Code = 1.4.2</t>
        </is>
      </c>
      <c r="E1037" s="34" t="inlineStr">
        <is>
          <t>R702-v1</t>
        </is>
      </c>
      <c r="F1037" s="34" t="inlineStr">
        <is>
          <t>1.4.2 Vehicles and Depot - Depot Buildings</t>
        </is>
      </c>
      <c r="G1037" s="34" t="inlineStr">
        <is>
          <t>ONE_TO_ONE</t>
        </is>
      </c>
      <c r="H1037" s="34" t="inlineStr">
        <is>
          <t>APPROVED</t>
        </is>
      </c>
      <c r="I1037" s="34" t="inlineStr">
        <is>
          <t>New</t>
        </is>
      </c>
      <c r="J1037" s="34" t="inlineStr">
        <is>
          <t>Source assignment -- not individually reviewed</t>
        </is>
      </c>
      <c r="K1037" s="39" t="inlineStr"/>
      <c r="L1037" s="14" t="inlineStr"/>
      <c r="M1037" s="14" t="inlineStr"/>
      <c r="N1037" s="92" t="inlineStr">
        <is>
          <t>10 EVIDENCE &amp; DECISIONS</t>
        </is>
      </c>
    </row>
    <row r="1038" ht="34" customHeight="1">
      <c r="A1038" s="34" t="inlineStr">
        <is>
          <t>Contractor Programme</t>
        </is>
      </c>
      <c r="B1038" s="34" t="inlineStr">
        <is>
          <t>SCH-04-165</t>
        </is>
      </c>
      <c r="C1038" s="34" t="inlineStr">
        <is>
          <t>Operations building: wash-plant commissioning - turnover</t>
        </is>
      </c>
      <c r="D1038" s="34" t="inlineStr">
        <is>
          <t>WBS Code = 1.4.2</t>
        </is>
      </c>
      <c r="E1038" s="34" t="inlineStr">
        <is>
          <t>R705-v1</t>
        </is>
      </c>
      <c r="F1038" s="34" t="inlineStr">
        <is>
          <t>1.4.2 Vehicles and Depot - Depot Buildings</t>
        </is>
      </c>
      <c r="G1038" s="34" t="inlineStr">
        <is>
          <t>ONE_TO_ONE</t>
        </is>
      </c>
      <c r="H1038" s="34" t="inlineStr">
        <is>
          <t>APPROVED</t>
        </is>
      </c>
      <c r="I1038" s="34" t="inlineStr">
        <is>
          <t>New</t>
        </is>
      </c>
      <c r="J1038" s="34" t="inlineStr">
        <is>
          <t>Source assignment -- not individually reviewed</t>
        </is>
      </c>
      <c r="K1038" s="39" t="inlineStr"/>
      <c r="L1038" s="14" t="inlineStr"/>
      <c r="M1038" s="14" t="inlineStr"/>
      <c r="N1038" s="92" t="inlineStr">
        <is>
          <t>10 EVIDENCE &amp; DECISIONS</t>
        </is>
      </c>
    </row>
    <row r="1039" ht="34" customHeight="1">
      <c r="A1039" s="34" t="inlineStr">
        <is>
          <t>Contractor Programme</t>
        </is>
      </c>
      <c r="B1039" s="34" t="inlineStr">
        <is>
          <t>SCH-04-168</t>
        </is>
      </c>
      <c r="C1039" s="34" t="inlineStr">
        <is>
          <t>Maintenance shop: workshop crane installation - installation</t>
        </is>
      </c>
      <c r="D1039" s="34" t="inlineStr">
        <is>
          <t>WBS Code = 1.4.2</t>
        </is>
      </c>
      <c r="E1039" s="34" t="inlineStr">
        <is>
          <t>R708-v1</t>
        </is>
      </c>
      <c r="F1039" s="34" t="inlineStr">
        <is>
          <t>1.4.2 Vehicles and Depot - Depot Buildings</t>
        </is>
      </c>
      <c r="G1039" s="34" t="inlineStr">
        <is>
          <t>ONE_TO_ONE</t>
        </is>
      </c>
      <c r="H1039" s="34" t="inlineStr">
        <is>
          <t>APPROVED</t>
        </is>
      </c>
      <c r="I1039" s="34" t="inlineStr">
        <is>
          <t>New</t>
        </is>
      </c>
      <c r="J1039" s="34" t="inlineStr">
        <is>
          <t>Source assignment -- not individually reviewed</t>
        </is>
      </c>
      <c r="K1039" s="39" t="inlineStr"/>
      <c r="L1039" s="14" t="inlineStr"/>
      <c r="M1039" s="14" t="inlineStr"/>
      <c r="N1039" s="92" t="inlineStr">
        <is>
          <t>10 EVIDENCE &amp; DECISIONS</t>
        </is>
      </c>
    </row>
    <row r="1040" ht="34" customHeight="1">
      <c r="A1040" s="34" t="inlineStr">
        <is>
          <t>Contractor Programme</t>
        </is>
      </c>
      <c r="B1040" s="34" t="inlineStr">
        <is>
          <t>SCH-04-171</t>
        </is>
      </c>
      <c r="C1040" s="34" t="inlineStr">
        <is>
          <t>Test track: fleet software load - release</t>
        </is>
      </c>
      <c r="D1040" s="34" t="inlineStr">
        <is>
          <t>WBS Code = 1.4.2</t>
        </is>
      </c>
      <c r="E1040" s="34" t="inlineStr">
        <is>
          <t>R711-v1</t>
        </is>
      </c>
      <c r="F1040" s="34" t="inlineStr">
        <is>
          <t>1.4.2 Vehicles and Depot - Depot Buildings</t>
        </is>
      </c>
      <c r="G1040" s="34" t="inlineStr">
        <is>
          <t>ONE_TO_ONE</t>
        </is>
      </c>
      <c r="H1040" s="34" t="inlineStr">
        <is>
          <t>APPROVED</t>
        </is>
      </c>
      <c r="I1040" s="34" t="inlineStr">
        <is>
          <t>New</t>
        </is>
      </c>
      <c r="J1040" s="34" t="inlineStr">
        <is>
          <t>Source assignment -- not individually reviewed</t>
        </is>
      </c>
      <c r="K1040" s="39" t="inlineStr"/>
      <c r="L1040" s="14" t="inlineStr"/>
      <c r="M1040" s="14" t="inlineStr"/>
      <c r="N1040" s="92" t="inlineStr">
        <is>
          <t>10 EVIDENCE &amp; DECISIONS</t>
        </is>
      </c>
    </row>
    <row r="1041" ht="34" customHeight="1">
      <c r="A1041" s="34" t="inlineStr">
        <is>
          <t>Contractor Programme</t>
        </is>
      </c>
      <c r="B1041" s="34" t="inlineStr">
        <is>
          <t>SCH-04-174</t>
        </is>
      </c>
      <c r="C1041" s="34" t="inlineStr">
        <is>
          <t>Storage yard: maintenance-bay services - inspection</t>
        </is>
      </c>
      <c r="D1041" s="34" t="inlineStr">
        <is>
          <t>WBS Code = 1.4.2</t>
        </is>
      </c>
      <c r="E1041" s="34" t="inlineStr">
        <is>
          <t>R714-v1</t>
        </is>
      </c>
      <c r="F1041" s="34" t="inlineStr">
        <is>
          <t>1.4.2 Vehicles and Depot - Depot Buildings</t>
        </is>
      </c>
      <c r="G1041" s="34" t="inlineStr">
        <is>
          <t>ONE_TO_ONE</t>
        </is>
      </c>
      <c r="H1041" s="34" t="inlineStr">
        <is>
          <t>APPROVED</t>
        </is>
      </c>
      <c r="I1041" s="34" t="inlineStr">
        <is>
          <t>New</t>
        </is>
      </c>
      <c r="J1041" s="34" t="inlineStr">
        <is>
          <t>Source assignment -- not individually reviewed</t>
        </is>
      </c>
      <c r="K1041" s="39" t="inlineStr"/>
      <c r="L1041" s="14" t="inlineStr"/>
      <c r="M1041" s="14" t="inlineStr"/>
      <c r="N1041" s="92" t="inlineStr">
        <is>
          <t>10 EVIDENCE &amp; DECISIONS</t>
        </is>
      </c>
    </row>
    <row r="1042" ht="34" customHeight="1">
      <c r="A1042" s="34" t="inlineStr">
        <is>
          <t>Contractor Programme</t>
        </is>
      </c>
      <c r="B1042" s="34" t="inlineStr">
        <is>
          <t>SCH-04-177</t>
        </is>
      </c>
      <c r="C1042" s="34" t="inlineStr">
        <is>
          <t>Receiving track: vehicle-to-depot interface check - field start</t>
        </is>
      </c>
      <c r="D1042" s="34" t="inlineStr">
        <is>
          <t>WBS Code = 1.4.2</t>
        </is>
      </c>
      <c r="E1042" s="34" t="inlineStr">
        <is>
          <t>R717-v1</t>
        </is>
      </c>
      <c r="F1042" s="34" t="inlineStr">
        <is>
          <t>1.4.2 Vehicles and Depot - Depot Buildings</t>
        </is>
      </c>
      <c r="G1042" s="34" t="inlineStr">
        <is>
          <t>ONE_TO_ONE</t>
        </is>
      </c>
      <c r="H1042" s="34" t="inlineStr">
        <is>
          <t>APPROVED</t>
        </is>
      </c>
      <c r="I1042" s="34" t="inlineStr">
        <is>
          <t>New</t>
        </is>
      </c>
      <c r="J1042" s="34" t="inlineStr">
        <is>
          <t>Source assignment -- not individually reviewed</t>
        </is>
      </c>
      <c r="K1042" s="39" t="inlineStr"/>
      <c r="L1042" s="14" t="inlineStr"/>
      <c r="M1042" s="14" t="inlineStr"/>
      <c r="N1042" s="92" t="inlineStr">
        <is>
          <t>10 EVIDENCE &amp; DECISIONS</t>
        </is>
      </c>
    </row>
    <row r="1043" ht="34" customHeight="1">
      <c r="A1043" s="34" t="inlineStr">
        <is>
          <t>Contractor Programme</t>
        </is>
      </c>
      <c r="B1043" s="34" t="inlineStr">
        <is>
          <t>SCH-04-180</t>
        </is>
      </c>
      <c r="C1043" s="34" t="inlineStr">
        <is>
          <t>Operations building: vehicle delivery inspection - turnover</t>
        </is>
      </c>
      <c r="D1043" s="34" t="inlineStr">
        <is>
          <t>WBS Code = 1.4.2</t>
        </is>
      </c>
      <c r="E1043" s="34" t="inlineStr">
        <is>
          <t>R720-v1</t>
        </is>
      </c>
      <c r="F1043" s="34" t="inlineStr">
        <is>
          <t>1.4.2 Vehicles and Depot - Depot Buildings</t>
        </is>
      </c>
      <c r="G1043" s="34" t="inlineStr">
        <is>
          <t>ONE_TO_ONE</t>
        </is>
      </c>
      <c r="H1043" s="34" t="inlineStr">
        <is>
          <t>APPROVED</t>
        </is>
      </c>
      <c r="I1043" s="34" t="inlineStr">
        <is>
          <t>New</t>
        </is>
      </c>
      <c r="J1043" s="34" t="inlineStr">
        <is>
          <t>Source assignment -- not individually reviewed</t>
        </is>
      </c>
      <c r="K1043" s="39" t="inlineStr"/>
      <c r="L1043" s="14" t="inlineStr"/>
      <c r="M1043" s="14" t="inlineStr"/>
      <c r="N1043" s="92" t="inlineStr">
        <is>
          <t>10 EVIDENCE &amp; DECISIONS</t>
        </is>
      </c>
    </row>
    <row r="1044" ht="34" customHeight="1">
      <c r="A1044" s="34" t="inlineStr">
        <is>
          <t>Cost &amp; Forecast Control Accounts</t>
        </is>
      </c>
      <c r="B1044" s="34" t="inlineStr">
        <is>
          <t>CST-04-002</t>
        </is>
      </c>
      <c r="C1044" s="34" t="inlineStr">
        <is>
          <t>Vehicles and Depot - workshop equipment - supply and install</t>
        </is>
      </c>
      <c r="D1044" s="34" t="inlineStr">
        <is>
          <t>Cost Account = CA-4002; WBS Code = 1.4.2</t>
        </is>
      </c>
      <c r="E1044" s="34" t="inlineStr">
        <is>
          <t>R1324-v1</t>
        </is>
      </c>
      <c r="F1044" s="34" t="inlineStr">
        <is>
          <t>1.4.2 Vehicles and Depot - Depot Buildings</t>
        </is>
      </c>
      <c r="G1044" s="34" t="inlineStr">
        <is>
          <t>ONE_TO_ONE</t>
        </is>
      </c>
      <c r="H1044" s="34" t="inlineStr">
        <is>
          <t>APPROVED</t>
        </is>
      </c>
      <c r="I1044" s="34" t="inlineStr">
        <is>
          <t>New</t>
        </is>
      </c>
      <c r="J1044" s="34" t="inlineStr">
        <is>
          <t>Source assignment -- not individually reviewed</t>
        </is>
      </c>
      <c r="K1044" s="39" t="inlineStr"/>
      <c r="L1044" s="14" t="inlineStr"/>
      <c r="M1044" s="14" t="inlineStr"/>
      <c r="N1044" s="92" t="inlineStr">
        <is>
          <t>10 EVIDENCE &amp; DECISIONS</t>
        </is>
      </c>
    </row>
    <row r="1045" ht="34" customHeight="1">
      <c r="A1045" s="34" t="inlineStr">
        <is>
          <t>Cost &amp; Forecast Control Accounts</t>
        </is>
      </c>
      <c r="B1045" s="34" t="inlineStr">
        <is>
          <t>CST-04-004</t>
        </is>
      </c>
      <c r="C1045" s="34" t="inlineStr">
        <is>
          <t>Vehicles and Depot - fleet supply - allowance</t>
        </is>
      </c>
      <c r="D1045" s="34" t="inlineStr">
        <is>
          <t>Cost Account = CA-4004; WBS Code = 1.4.2</t>
        </is>
      </c>
      <c r="E1045" s="34" t="inlineStr">
        <is>
          <t>R1326-v1</t>
        </is>
      </c>
      <c r="F1045" s="34" t="inlineStr">
        <is>
          <t>1.4.2 Vehicles and Depot - Depot Buildings</t>
        </is>
      </c>
      <c r="G1045" s="34" t="inlineStr">
        <is>
          <t>ONE_TO_ONE</t>
        </is>
      </c>
      <c r="H1045" s="34" t="inlineStr">
        <is>
          <t>APPROVED</t>
        </is>
      </c>
      <c r="I1045" s="34" t="inlineStr">
        <is>
          <t>New</t>
        </is>
      </c>
      <c r="J1045" s="34" t="inlineStr">
        <is>
          <t>Source assignment -- not individually reviewed</t>
        </is>
      </c>
      <c r="K1045" s="39" t="inlineStr"/>
      <c r="L1045" s="14" t="inlineStr"/>
      <c r="M1045" s="14" t="inlineStr"/>
      <c r="N1045" s="92" t="inlineStr">
        <is>
          <t>10 EVIDENCE &amp; DECISIONS</t>
        </is>
      </c>
    </row>
    <row r="1046" ht="34" customHeight="1">
      <c r="A1046" s="34" t="inlineStr">
        <is>
          <t>Cost &amp; Forecast Control Accounts</t>
        </is>
      </c>
      <c r="B1046" s="34" t="inlineStr">
        <is>
          <t>CST-04-006</t>
        </is>
      </c>
      <c r="C1046" s="34" t="inlineStr">
        <is>
          <t>Vehicles and Depot - spares - field package</t>
        </is>
      </c>
      <c r="D1046" s="34" t="inlineStr">
        <is>
          <t>Cost Account = CA-4006; WBS Code = 1.4.2</t>
        </is>
      </c>
      <c r="E1046" s="34" t="inlineStr">
        <is>
          <t>R1328-v1</t>
        </is>
      </c>
      <c r="F1046" s="34" t="inlineStr">
        <is>
          <t>1.4.2 Vehicles and Depot - Depot Buildings</t>
        </is>
      </c>
      <c r="G1046" s="34" t="inlineStr">
        <is>
          <t>ONE_TO_ONE</t>
        </is>
      </c>
      <c r="H1046" s="34" t="inlineStr">
        <is>
          <t>APPROVED</t>
        </is>
      </c>
      <c r="I1046" s="34" t="inlineStr">
        <is>
          <t>New</t>
        </is>
      </c>
      <c r="J1046" s="34" t="inlineStr">
        <is>
          <t>Source assignment -- not individually reviewed</t>
        </is>
      </c>
      <c r="K1046" s="39" t="inlineStr"/>
      <c r="L1046" s="14" t="inlineStr"/>
      <c r="M1046" s="14" t="inlineStr"/>
      <c r="N1046" s="92" t="inlineStr">
        <is>
          <t>10 EVIDENCE &amp; DECISIONS</t>
        </is>
      </c>
    </row>
    <row r="1047" ht="34" customHeight="1">
      <c r="A1047" s="34" t="inlineStr">
        <is>
          <t>Cost &amp; Forecast Control Accounts</t>
        </is>
      </c>
      <c r="B1047" s="34" t="inlineStr">
        <is>
          <t>CST-04-008</t>
        </is>
      </c>
      <c r="C1047" s="34" t="inlineStr">
        <is>
          <t>Vehicles and Depot - workshop equipment - professional services</t>
        </is>
      </c>
      <c r="D1047" s="34" t="inlineStr">
        <is>
          <t>Cost Account = CA-4008; WBS Code = 1.4.2</t>
        </is>
      </c>
      <c r="E1047" s="34" t="inlineStr">
        <is>
          <t>R1330-v1</t>
        </is>
      </c>
      <c r="F1047" s="34" t="inlineStr">
        <is>
          <t>1.4.2 Vehicles and Depot - Depot Buildings</t>
        </is>
      </c>
      <c r="G1047" s="34" t="inlineStr">
        <is>
          <t>ONE_TO_ONE</t>
        </is>
      </c>
      <c r="H1047" s="34" t="inlineStr">
        <is>
          <t>APPROVED</t>
        </is>
      </c>
      <c r="I1047" s="34" t="inlineStr">
        <is>
          <t>New</t>
        </is>
      </c>
      <c r="J1047" s="34" t="inlineStr">
        <is>
          <t>Source assignment -- not individually reviewed</t>
        </is>
      </c>
      <c r="K1047" s="39" t="inlineStr"/>
      <c r="L1047" s="14" t="inlineStr"/>
      <c r="M1047" s="14" t="inlineStr"/>
      <c r="N1047" s="92" t="inlineStr">
        <is>
          <t>10 EVIDENCE &amp; DECISIONS</t>
        </is>
      </c>
    </row>
    <row r="1048" ht="34" customHeight="1">
      <c r="A1048" s="34" t="inlineStr">
        <is>
          <t>Cost &amp; Forecast Control Accounts</t>
        </is>
      </c>
      <c r="B1048" s="34" t="inlineStr">
        <is>
          <t>CST-04-010</t>
        </is>
      </c>
      <c r="C1048" s="34" t="inlineStr">
        <is>
          <t>Vehicles and Depot - fleet supply - closeout</t>
        </is>
      </c>
      <c r="D1048" s="34" t="inlineStr">
        <is>
          <t>Cost Account = CA-4010; WBS Code = 1.4.2</t>
        </is>
      </c>
      <c r="E1048" s="34" t="inlineStr">
        <is>
          <t>R1332-v1</t>
        </is>
      </c>
      <c r="F1048" s="34" t="inlineStr">
        <is>
          <t>1.4.2 Vehicles and Depot - Depot Buildings</t>
        </is>
      </c>
      <c r="G1048" s="34" t="inlineStr">
        <is>
          <t>ONE_TO_ONE</t>
        </is>
      </c>
      <c r="H1048" s="34" t="inlineStr">
        <is>
          <t>APPROVED</t>
        </is>
      </c>
      <c r="I1048" s="34" t="inlineStr">
        <is>
          <t>New</t>
        </is>
      </c>
      <c r="J1048" s="34" t="inlineStr">
        <is>
          <t>Source assignment -- not individually reviewed</t>
        </is>
      </c>
      <c r="K1048" s="39" t="inlineStr"/>
      <c r="L1048" s="14" t="inlineStr"/>
      <c r="M1048" s="14" t="inlineStr"/>
      <c r="N1048" s="92" t="inlineStr">
        <is>
          <t>10 EVIDENCE &amp; DECISIONS</t>
        </is>
      </c>
    </row>
    <row r="1049" ht="34" customHeight="1">
      <c r="A1049" s="34" t="inlineStr">
        <is>
          <t>Cost &amp; Forecast Control Accounts</t>
        </is>
      </c>
      <c r="B1049" s="34" t="inlineStr">
        <is>
          <t>CST-04-012</t>
        </is>
      </c>
      <c r="C1049" s="34" t="inlineStr">
        <is>
          <t>Vehicles and Depot - spares - supply and install</t>
        </is>
      </c>
      <c r="D1049" s="34" t="inlineStr">
        <is>
          <t>Cost Account = CA-4012; WBS Code = 1.4.2</t>
        </is>
      </c>
      <c r="E1049" s="34" t="inlineStr">
        <is>
          <t>R1334-v1</t>
        </is>
      </c>
      <c r="F1049" s="34" t="inlineStr">
        <is>
          <t>1.4.2 Vehicles and Depot - Depot Buildings</t>
        </is>
      </c>
      <c r="G1049" s="34" t="inlineStr">
        <is>
          <t>ONE_TO_ONE</t>
        </is>
      </c>
      <c r="H1049" s="34" t="inlineStr">
        <is>
          <t>APPROVED</t>
        </is>
      </c>
      <c r="I1049" s="34" t="inlineStr">
        <is>
          <t>New</t>
        </is>
      </c>
      <c r="J1049" s="34" t="inlineStr">
        <is>
          <t>Source assignment -- not individually reviewed</t>
        </is>
      </c>
      <c r="K1049" s="39" t="inlineStr"/>
      <c r="L1049" s="14" t="inlineStr"/>
      <c r="M1049" s="14" t="inlineStr"/>
      <c r="N1049" s="92" t="inlineStr">
        <is>
          <t>10 EVIDENCE &amp; DECISIONS</t>
        </is>
      </c>
    </row>
    <row r="1050" ht="34" customHeight="1">
      <c r="A1050" s="34" t="inlineStr">
        <is>
          <t>Cost &amp; Forecast Control Accounts</t>
        </is>
      </c>
      <c r="B1050" s="34" t="inlineStr">
        <is>
          <t>CST-04-014</t>
        </is>
      </c>
      <c r="C1050" s="34" t="inlineStr">
        <is>
          <t>Vehicles and Depot - workshop equipment - allowance</t>
        </is>
      </c>
      <c r="D1050" s="34" t="inlineStr">
        <is>
          <t>Cost Account = CA-4014; WBS Code = 1.4.2</t>
        </is>
      </c>
      <c r="E1050" s="34" t="inlineStr">
        <is>
          <t>R1336-v1</t>
        </is>
      </c>
      <c r="F1050" s="34" t="inlineStr">
        <is>
          <t>1.4.2 Vehicles and Depot - Depot Buildings</t>
        </is>
      </c>
      <c r="G1050" s="34" t="inlineStr">
        <is>
          <t>ONE_TO_ONE</t>
        </is>
      </c>
      <c r="H1050" s="34" t="inlineStr">
        <is>
          <t>APPROVED</t>
        </is>
      </c>
      <c r="I1050" s="34" t="inlineStr">
        <is>
          <t>New</t>
        </is>
      </c>
      <c r="J1050" s="34" t="inlineStr">
        <is>
          <t>Source assignment -- not individually reviewed</t>
        </is>
      </c>
      <c r="K1050" s="39" t="inlineStr"/>
      <c r="L1050" s="14" t="inlineStr"/>
      <c r="M1050" s="14" t="inlineStr"/>
      <c r="N1050" s="92" t="inlineStr">
        <is>
          <t>10 EVIDENCE &amp; DECISIONS</t>
        </is>
      </c>
    </row>
    <row r="1051" ht="34" customHeight="1">
      <c r="A1051" s="34" t="inlineStr">
        <is>
          <t>Cost &amp; Forecast Control Accounts</t>
        </is>
      </c>
      <c r="B1051" s="34" t="inlineStr">
        <is>
          <t>CST-04-016</t>
        </is>
      </c>
      <c r="C1051" s="34" t="inlineStr">
        <is>
          <t>Vehicles and Depot - fleet supply - field package</t>
        </is>
      </c>
      <c r="D1051" s="34" t="inlineStr">
        <is>
          <t>Cost Account = CA-4016; WBS Code = 1.4.2</t>
        </is>
      </c>
      <c r="E1051" s="34" t="inlineStr">
        <is>
          <t>R1338-v1</t>
        </is>
      </c>
      <c r="F1051" s="34" t="inlineStr">
        <is>
          <t>1.4.2 Vehicles and Depot - Depot Buildings</t>
        </is>
      </c>
      <c r="G1051" s="34" t="inlineStr">
        <is>
          <t>ONE_TO_ONE</t>
        </is>
      </c>
      <c r="H1051" s="34" t="inlineStr">
        <is>
          <t>APPROVED</t>
        </is>
      </c>
      <c r="I1051" s="34" t="inlineStr">
        <is>
          <t>New</t>
        </is>
      </c>
      <c r="J1051" s="34" t="inlineStr">
        <is>
          <t>Source assignment -- not individually reviewed</t>
        </is>
      </c>
      <c r="K1051" s="39" t="inlineStr"/>
      <c r="L1051" s="14" t="inlineStr"/>
      <c r="M1051" s="14" t="inlineStr"/>
      <c r="N1051" s="92" t="inlineStr">
        <is>
          <t>10 EVIDENCE &amp; DECISIONS</t>
        </is>
      </c>
    </row>
    <row r="1052" ht="34" customHeight="1">
      <c r="A1052" s="34" t="inlineStr">
        <is>
          <t>Cost &amp; Forecast Control Accounts</t>
        </is>
      </c>
      <c r="B1052" s="34" t="inlineStr">
        <is>
          <t>CST-04-018</t>
        </is>
      </c>
      <c r="C1052" s="34" t="inlineStr">
        <is>
          <t>Vehicles and Depot - spares - professional services</t>
        </is>
      </c>
      <c r="D1052" s="34" t="inlineStr">
        <is>
          <t>Cost Account = CA-4018; WBS Code = 1.4.2</t>
        </is>
      </c>
      <c r="E1052" s="34" t="inlineStr">
        <is>
          <t>R1340-v1</t>
        </is>
      </c>
      <c r="F1052" s="34" t="inlineStr">
        <is>
          <t>1.4.2 Vehicles and Depot - Depot Buildings</t>
        </is>
      </c>
      <c r="G1052" s="34" t="inlineStr">
        <is>
          <t>ONE_TO_ONE</t>
        </is>
      </c>
      <c r="H1052" s="34" t="inlineStr">
        <is>
          <t>APPROVED</t>
        </is>
      </c>
      <c r="I1052" s="34" t="inlineStr">
        <is>
          <t>New</t>
        </is>
      </c>
      <c r="J1052" s="34" t="inlineStr">
        <is>
          <t>Source assignment -- not individually reviewed</t>
        </is>
      </c>
      <c r="K1052" s="39" t="inlineStr"/>
      <c r="L1052" s="14" t="inlineStr"/>
      <c r="M1052" s="14" t="inlineStr"/>
      <c r="N1052" s="92" t="inlineStr">
        <is>
          <t>10 EVIDENCE &amp; DECISIONS</t>
        </is>
      </c>
    </row>
    <row r="1053" ht="34" customHeight="1">
      <c r="A1053" s="34" t="inlineStr">
        <is>
          <t>Cost &amp; Forecast Control Accounts</t>
        </is>
      </c>
      <c r="B1053" s="34" t="inlineStr">
        <is>
          <t>CST-04-020</t>
        </is>
      </c>
      <c r="C1053" s="34" t="inlineStr">
        <is>
          <t>Vehicles and Depot - workshop equipment - closeout</t>
        </is>
      </c>
      <c r="D1053" s="34" t="inlineStr">
        <is>
          <t>Cost Account = CA-4020; WBS Code = 1.4.2</t>
        </is>
      </c>
      <c r="E1053" s="34" t="inlineStr">
        <is>
          <t>R1342-v1</t>
        </is>
      </c>
      <c r="F1053" s="34" t="inlineStr">
        <is>
          <t>1.4.2 Vehicles and Depot - Depot Buildings</t>
        </is>
      </c>
      <c r="G1053" s="34" t="inlineStr">
        <is>
          <t>ONE_TO_ONE</t>
        </is>
      </c>
      <c r="H1053" s="34" t="inlineStr">
        <is>
          <t>APPROVED</t>
        </is>
      </c>
      <c r="I1053" s="34" t="inlineStr">
        <is>
          <t>New</t>
        </is>
      </c>
      <c r="J1053" s="34" t="inlineStr">
        <is>
          <t>Source assignment -- not individually reviewed</t>
        </is>
      </c>
      <c r="K1053" s="39" t="inlineStr"/>
      <c r="L1053" s="14" t="inlineStr"/>
      <c r="M1053" s="14" t="inlineStr"/>
      <c r="N1053" s="92" t="inlineStr">
        <is>
          <t>10 EVIDENCE &amp; DECISIONS</t>
        </is>
      </c>
    </row>
    <row r="1054" ht="34" customHeight="1">
      <c r="A1054" s="34" t="inlineStr">
        <is>
          <t>Cost &amp; Forecast Control Accounts</t>
        </is>
      </c>
      <c r="B1054" s="34" t="inlineStr">
        <is>
          <t>CST-04-022</t>
        </is>
      </c>
      <c r="C1054" s="34" t="inlineStr">
        <is>
          <t>Vehicles and Depot - fleet supply - supply and install</t>
        </is>
      </c>
      <c r="D1054" s="34" t="inlineStr">
        <is>
          <t>Cost Account = CA-4022; WBS Code = 1.4.2</t>
        </is>
      </c>
      <c r="E1054" s="34" t="inlineStr">
        <is>
          <t>R1344-v1</t>
        </is>
      </c>
      <c r="F1054" s="34" t="inlineStr">
        <is>
          <t>1.4.2 Vehicles and Depot - Depot Buildings</t>
        </is>
      </c>
      <c r="G1054" s="34" t="inlineStr">
        <is>
          <t>ONE_TO_ONE</t>
        </is>
      </c>
      <c r="H1054" s="34" t="inlineStr">
        <is>
          <t>APPROVED</t>
        </is>
      </c>
      <c r="I1054" s="34" t="inlineStr">
        <is>
          <t>New</t>
        </is>
      </c>
      <c r="J1054" s="34" t="inlineStr">
        <is>
          <t>Source assignment -- not individually reviewed</t>
        </is>
      </c>
      <c r="K1054" s="39" t="inlineStr"/>
      <c r="L1054" s="14" t="inlineStr"/>
      <c r="M1054" s="14" t="inlineStr"/>
      <c r="N1054" s="92" t="inlineStr">
        <is>
          <t>10 EVIDENCE &amp; DECISIONS</t>
        </is>
      </c>
    </row>
    <row r="1055" ht="34" customHeight="1">
      <c r="A1055" s="34" t="inlineStr">
        <is>
          <t>Cost &amp; Forecast Control Accounts</t>
        </is>
      </c>
      <c r="B1055" s="34" t="inlineStr">
        <is>
          <t>CST-04-024</t>
        </is>
      </c>
      <c r="C1055" s="34" t="inlineStr">
        <is>
          <t>Vehicles and Depot - spares - allowance</t>
        </is>
      </c>
      <c r="D1055" s="34" t="inlineStr">
        <is>
          <t>Cost Account = CA-4024; WBS Code = 1.4.2</t>
        </is>
      </c>
      <c r="E1055" s="34" t="inlineStr">
        <is>
          <t>R1346-v1</t>
        </is>
      </c>
      <c r="F1055" s="34" t="inlineStr">
        <is>
          <t>1.4.2 Vehicles and Depot - Depot Buildings</t>
        </is>
      </c>
      <c r="G1055" s="34" t="inlineStr">
        <is>
          <t>ONE_TO_ONE</t>
        </is>
      </c>
      <c r="H1055" s="34" t="inlineStr">
        <is>
          <t>APPROVED</t>
        </is>
      </c>
      <c r="I1055" s="34" t="inlineStr">
        <is>
          <t>New</t>
        </is>
      </c>
      <c r="J1055" s="34" t="inlineStr">
        <is>
          <t>Source assignment -- not individually reviewed</t>
        </is>
      </c>
      <c r="K1055" s="39" t="inlineStr"/>
      <c r="L1055" s="14" t="inlineStr"/>
      <c r="M1055" s="14" t="inlineStr"/>
      <c r="N1055" s="92" t="inlineStr">
        <is>
          <t>10 EVIDENCE &amp; DECISIONS</t>
        </is>
      </c>
    </row>
    <row r="1056" ht="34" customHeight="1">
      <c r="A1056" s="34" t="inlineStr">
        <is>
          <t>Cost &amp; Forecast Control Accounts</t>
        </is>
      </c>
      <c r="B1056" s="34" t="inlineStr">
        <is>
          <t>CST-04-026</t>
        </is>
      </c>
      <c r="C1056" s="34" t="inlineStr">
        <is>
          <t>Vehicles and Depot - workshop equipment - field package</t>
        </is>
      </c>
      <c r="D1056" s="34" t="inlineStr">
        <is>
          <t>Cost Account = CA-4026; WBS Code = 1.4.2</t>
        </is>
      </c>
      <c r="E1056" s="34" t="inlineStr">
        <is>
          <t>R1348-v1</t>
        </is>
      </c>
      <c r="F1056" s="34" t="inlineStr">
        <is>
          <t>1.4.2 Vehicles and Depot - Depot Buildings</t>
        </is>
      </c>
      <c r="G1056" s="34" t="inlineStr">
        <is>
          <t>ONE_TO_ONE</t>
        </is>
      </c>
      <c r="H1056" s="34" t="inlineStr">
        <is>
          <t>APPROVED</t>
        </is>
      </c>
      <c r="I1056" s="34" t="inlineStr">
        <is>
          <t>New</t>
        </is>
      </c>
      <c r="J1056" s="34" t="inlineStr">
        <is>
          <t>Source assignment -- not individually reviewed</t>
        </is>
      </c>
      <c r="K1056" s="39" t="inlineStr"/>
      <c r="L1056" s="14" t="inlineStr"/>
      <c r="M1056" s="14" t="inlineStr"/>
      <c r="N1056" s="92" t="inlineStr">
        <is>
          <t>10 EVIDENCE &amp; DECISIONS</t>
        </is>
      </c>
    </row>
    <row r="1057" ht="34" customHeight="1">
      <c r="A1057" s="34" t="inlineStr">
        <is>
          <t>Cost &amp; Forecast Control Accounts</t>
        </is>
      </c>
      <c r="B1057" s="34" t="inlineStr">
        <is>
          <t>CST-04-028</t>
        </is>
      </c>
      <c r="C1057" s="34" t="inlineStr">
        <is>
          <t>Vehicles and Depot - fleet supply - professional services</t>
        </is>
      </c>
      <c r="D1057" s="34" t="inlineStr">
        <is>
          <t>Cost Account = CA-4028; WBS Code = 1.4.2</t>
        </is>
      </c>
      <c r="E1057" s="34" t="inlineStr">
        <is>
          <t>R1350-v1</t>
        </is>
      </c>
      <c r="F1057" s="34" t="inlineStr">
        <is>
          <t>1.4.2 Vehicles and Depot - Depot Buildings</t>
        </is>
      </c>
      <c r="G1057" s="34" t="inlineStr">
        <is>
          <t>ONE_TO_ONE</t>
        </is>
      </c>
      <c r="H1057" s="34" t="inlineStr">
        <is>
          <t>APPROVED</t>
        </is>
      </c>
      <c r="I1057" s="34" t="inlineStr">
        <is>
          <t>New</t>
        </is>
      </c>
      <c r="J1057" s="34" t="inlineStr">
        <is>
          <t>Source assignment -- not individually reviewed</t>
        </is>
      </c>
      <c r="K1057" s="39" t="inlineStr"/>
      <c r="L1057" s="14" t="inlineStr"/>
      <c r="M1057" s="14" t="inlineStr"/>
      <c r="N1057" s="92" t="inlineStr">
        <is>
          <t>10 EVIDENCE &amp; DECISIONS</t>
        </is>
      </c>
    </row>
    <row r="1058" ht="34" customHeight="1">
      <c r="A1058" s="34" t="inlineStr">
        <is>
          <t>Cost &amp; Forecast Control Accounts</t>
        </is>
      </c>
      <c r="B1058" s="34" t="inlineStr">
        <is>
          <t>CST-04-030</t>
        </is>
      </c>
      <c r="C1058" s="34" t="inlineStr">
        <is>
          <t>Vehicles and Depot - spares - closeout</t>
        </is>
      </c>
      <c r="D1058" s="34" t="inlineStr">
        <is>
          <t>Cost Account = CA-4030; WBS Code = 1.4.2</t>
        </is>
      </c>
      <c r="E1058" s="34" t="inlineStr">
        <is>
          <t>R1352-v1</t>
        </is>
      </c>
      <c r="F1058" s="34" t="inlineStr">
        <is>
          <t>1.4.2 Vehicles and Depot - Depot Buildings</t>
        </is>
      </c>
      <c r="G1058" s="34" t="inlineStr">
        <is>
          <t>ONE_TO_ONE</t>
        </is>
      </c>
      <c r="H1058" s="34" t="inlineStr">
        <is>
          <t>APPROVED</t>
        </is>
      </c>
      <c r="I1058" s="34" t="inlineStr">
        <is>
          <t>New</t>
        </is>
      </c>
      <c r="J1058" s="34" t="inlineStr">
        <is>
          <t>Source assignment -- not individually reviewed</t>
        </is>
      </c>
      <c r="K1058" s="39" t="inlineStr"/>
      <c r="L1058" s="14" t="inlineStr"/>
      <c r="M1058" s="14" t="inlineStr"/>
      <c r="N1058" s="92" t="inlineStr">
        <is>
          <t>10 EVIDENCE &amp; DECISIONS</t>
        </is>
      </c>
    </row>
    <row r="1059" ht="34" customHeight="1">
      <c r="A1059" s="34" t="inlineStr">
        <is>
          <t>Cost &amp; Forecast Control Accounts</t>
        </is>
      </c>
      <c r="B1059" s="34" t="inlineStr">
        <is>
          <t>CST-04-032</t>
        </is>
      </c>
      <c r="C1059" s="34" t="inlineStr">
        <is>
          <t>Vehicles and Depot - workshop equipment - supply and install</t>
        </is>
      </c>
      <c r="D1059" s="34" t="inlineStr">
        <is>
          <t>Cost Account = CA-4032; WBS Code = 1.4.2</t>
        </is>
      </c>
      <c r="E1059" s="34" t="inlineStr">
        <is>
          <t>R1354-v1</t>
        </is>
      </c>
      <c r="F1059" s="34" t="inlineStr">
        <is>
          <t>1.4.2 Vehicles and Depot - Depot Buildings</t>
        </is>
      </c>
      <c r="G1059" s="34" t="inlineStr">
        <is>
          <t>ONE_TO_ONE</t>
        </is>
      </c>
      <c r="H1059" s="34" t="inlineStr">
        <is>
          <t>APPROVED</t>
        </is>
      </c>
      <c r="I1059" s="34" t="inlineStr">
        <is>
          <t>New</t>
        </is>
      </c>
      <c r="J1059" s="34" t="inlineStr">
        <is>
          <t>Source assignment -- not individually reviewed</t>
        </is>
      </c>
      <c r="K1059" s="39" t="inlineStr"/>
      <c r="L1059" s="14" t="inlineStr"/>
      <c r="M1059" s="14" t="inlineStr"/>
      <c r="N1059" s="92" t="inlineStr">
        <is>
          <t>10 EVIDENCE &amp; DECISIONS</t>
        </is>
      </c>
    </row>
    <row r="1060" ht="34" customHeight="1">
      <c r="A1060" s="34" t="inlineStr">
        <is>
          <t>Cost &amp; Forecast Control Accounts</t>
        </is>
      </c>
      <c r="B1060" s="34" t="inlineStr">
        <is>
          <t>CST-04-034</t>
        </is>
      </c>
      <c r="C1060" s="34" t="inlineStr">
        <is>
          <t>Vehicles and Depot - fleet supply - allowance</t>
        </is>
      </c>
      <c r="D1060" s="34" t="inlineStr">
        <is>
          <t>Cost Account = CA-4034; WBS Code = 1.4.2</t>
        </is>
      </c>
      <c r="E1060" s="34" t="inlineStr">
        <is>
          <t>R1356-v1</t>
        </is>
      </c>
      <c r="F1060" s="34" t="inlineStr">
        <is>
          <t>1.4.2 Vehicles and Depot - Depot Buildings</t>
        </is>
      </c>
      <c r="G1060" s="34" t="inlineStr">
        <is>
          <t>ONE_TO_ONE</t>
        </is>
      </c>
      <c r="H1060" s="34" t="inlineStr">
        <is>
          <t>APPROVED</t>
        </is>
      </c>
      <c r="I1060" s="34" t="inlineStr">
        <is>
          <t>New</t>
        </is>
      </c>
      <c r="J1060" s="34" t="inlineStr">
        <is>
          <t>Source assignment -- not individually reviewed</t>
        </is>
      </c>
      <c r="K1060" s="39" t="inlineStr"/>
      <c r="L1060" s="14" t="inlineStr"/>
      <c r="M1060" s="14" t="inlineStr"/>
      <c r="N1060" s="92" t="inlineStr">
        <is>
          <t>10 EVIDENCE &amp; DECISIONS</t>
        </is>
      </c>
    </row>
    <row r="1061" ht="34" customHeight="1">
      <c r="A1061" s="34" t="inlineStr">
        <is>
          <t>Cost &amp; Forecast Control Accounts</t>
        </is>
      </c>
      <c r="B1061" s="34" t="inlineStr">
        <is>
          <t>CST-04-036</t>
        </is>
      </c>
      <c r="C1061" s="34" t="inlineStr">
        <is>
          <t>Vehicles and Depot - spares - field package</t>
        </is>
      </c>
      <c r="D1061" s="34" t="inlineStr">
        <is>
          <t>Cost Account = CA-4036; WBS Code = 1.4.2</t>
        </is>
      </c>
      <c r="E1061" s="34" t="inlineStr">
        <is>
          <t>R1358-v1</t>
        </is>
      </c>
      <c r="F1061" s="34" t="inlineStr">
        <is>
          <t>1.4.2 Vehicles and Depot - Depot Buildings</t>
        </is>
      </c>
      <c r="G1061" s="34" t="inlineStr">
        <is>
          <t>ONE_TO_ONE</t>
        </is>
      </c>
      <c r="H1061" s="34" t="inlineStr">
        <is>
          <t>APPROVED</t>
        </is>
      </c>
      <c r="I1061" s="34" t="inlineStr">
        <is>
          <t>New</t>
        </is>
      </c>
      <c r="J1061" s="34" t="inlineStr">
        <is>
          <t>Source assignment -- not individually reviewed</t>
        </is>
      </c>
      <c r="K1061" s="39" t="inlineStr"/>
      <c r="L1061" s="14" t="inlineStr"/>
      <c r="M1061" s="14" t="inlineStr"/>
      <c r="N1061" s="92" t="inlineStr">
        <is>
          <t>10 EVIDENCE &amp; DECISIONS</t>
        </is>
      </c>
    </row>
    <row r="1062" ht="34" customHeight="1">
      <c r="A1062" s="34" t="inlineStr">
        <is>
          <t>Cost &amp; Forecast Control Accounts</t>
        </is>
      </c>
      <c r="B1062" s="34" t="inlineStr">
        <is>
          <t>CST-04-038</t>
        </is>
      </c>
      <c r="C1062" s="34" t="inlineStr">
        <is>
          <t>Vehicles and Depot - workshop equipment - professional services</t>
        </is>
      </c>
      <c r="D1062" s="34" t="inlineStr">
        <is>
          <t>Cost Account = CA-4038; WBS Code = 1.4.2</t>
        </is>
      </c>
      <c r="E1062" s="34" t="inlineStr">
        <is>
          <t>R1360-v1</t>
        </is>
      </c>
      <c r="F1062" s="34" t="inlineStr">
        <is>
          <t>1.4.2 Vehicles and Depot - Depot Buildings</t>
        </is>
      </c>
      <c r="G1062" s="34" t="inlineStr">
        <is>
          <t>ONE_TO_ONE</t>
        </is>
      </c>
      <c r="H1062" s="34" t="inlineStr">
        <is>
          <t>APPROVED</t>
        </is>
      </c>
      <c r="I1062" s="34" t="inlineStr">
        <is>
          <t>New</t>
        </is>
      </c>
      <c r="J1062" s="34" t="inlineStr">
        <is>
          <t>Source assignment -- not individually reviewed</t>
        </is>
      </c>
      <c r="K1062" s="39" t="inlineStr"/>
      <c r="L1062" s="14" t="inlineStr"/>
      <c r="M1062" s="14" t="inlineStr"/>
      <c r="N1062" s="92" t="inlineStr">
        <is>
          <t>10 EVIDENCE &amp; DECISIONS</t>
        </is>
      </c>
    </row>
    <row r="1063" ht="34" customHeight="1">
      <c r="A1063" s="34" t="inlineStr">
        <is>
          <t>Cost &amp; Forecast Control Accounts</t>
        </is>
      </c>
      <c r="B1063" s="34" t="inlineStr">
        <is>
          <t>CST-04-040</t>
        </is>
      </c>
      <c r="C1063" s="34" t="inlineStr">
        <is>
          <t>Vehicles and Depot - fleet supply - closeout</t>
        </is>
      </c>
      <c r="D1063" s="34" t="inlineStr">
        <is>
          <t>Cost Account = CA-4040; WBS Code = 1.4.2</t>
        </is>
      </c>
      <c r="E1063" s="34" t="inlineStr">
        <is>
          <t>R1362-v1</t>
        </is>
      </c>
      <c r="F1063" s="34" t="inlineStr">
        <is>
          <t>1.4.2 Vehicles and Depot - Depot Buildings</t>
        </is>
      </c>
      <c r="G1063" s="34" t="inlineStr">
        <is>
          <t>ONE_TO_ONE</t>
        </is>
      </c>
      <c r="H1063" s="34" t="inlineStr">
        <is>
          <t>APPROVED</t>
        </is>
      </c>
      <c r="I1063" s="34" t="inlineStr">
        <is>
          <t>New</t>
        </is>
      </c>
      <c r="J1063" s="34" t="inlineStr">
        <is>
          <t>Source assignment -- not individually reviewed</t>
        </is>
      </c>
      <c r="K1063" s="39" t="inlineStr"/>
      <c r="L1063" s="14" t="inlineStr"/>
      <c r="M1063" s="14" t="inlineStr"/>
      <c r="N1063" s="92" t="inlineStr">
        <is>
          <t>10 EVIDENCE &amp; DECISIONS</t>
        </is>
      </c>
    </row>
    <row r="1064" ht="34" customHeight="1">
      <c r="A1064" s="34" t="inlineStr">
        <is>
          <t>Cost &amp; Forecast Control Accounts</t>
        </is>
      </c>
      <c r="B1064" s="34" t="inlineStr">
        <is>
          <t>CST-04-042</t>
        </is>
      </c>
      <c r="C1064" s="34" t="inlineStr">
        <is>
          <t>Vehicles and Depot - spares - supply and install</t>
        </is>
      </c>
      <c r="D1064" s="34" t="inlineStr">
        <is>
          <t>Cost Account = CA-4042; WBS Code = 1.4.2</t>
        </is>
      </c>
      <c r="E1064" s="34" t="inlineStr">
        <is>
          <t>R1364-v1</t>
        </is>
      </c>
      <c r="F1064" s="34" t="inlineStr">
        <is>
          <t>1.4.2 Vehicles and Depot - Depot Buildings</t>
        </is>
      </c>
      <c r="G1064" s="34" t="inlineStr">
        <is>
          <t>ONE_TO_ONE</t>
        </is>
      </c>
      <c r="H1064" s="34" t="inlineStr">
        <is>
          <t>APPROVED</t>
        </is>
      </c>
      <c r="I1064" s="34" t="inlineStr">
        <is>
          <t>New</t>
        </is>
      </c>
      <c r="J1064" s="34" t="inlineStr">
        <is>
          <t>Source assignment -- not individually reviewed</t>
        </is>
      </c>
      <c r="K1064" s="39" t="inlineStr"/>
      <c r="L1064" s="14" t="inlineStr"/>
      <c r="M1064" s="14" t="inlineStr"/>
      <c r="N1064" s="92" t="inlineStr">
        <is>
          <t>10 EVIDENCE &amp; DECISIONS</t>
        </is>
      </c>
    </row>
    <row r="1065" ht="34" customHeight="1">
      <c r="A1065" s="34" t="inlineStr">
        <is>
          <t>Cost &amp; Forecast Control Accounts</t>
        </is>
      </c>
      <c r="B1065" s="34" t="inlineStr">
        <is>
          <t>CST-04-044</t>
        </is>
      </c>
      <c r="C1065" s="34" t="inlineStr">
        <is>
          <t>Vehicles and Depot - workshop equipment - allowance</t>
        </is>
      </c>
      <c r="D1065" s="34" t="inlineStr">
        <is>
          <t>Cost Account = CA-4044; WBS Code = 1.4.2</t>
        </is>
      </c>
      <c r="E1065" s="34" t="inlineStr">
        <is>
          <t>R1366-v1</t>
        </is>
      </c>
      <c r="F1065" s="34" t="inlineStr">
        <is>
          <t>1.4.2 Vehicles and Depot - Depot Buildings</t>
        </is>
      </c>
      <c r="G1065" s="34" t="inlineStr">
        <is>
          <t>ONE_TO_ONE</t>
        </is>
      </c>
      <c r="H1065" s="34" t="inlineStr">
        <is>
          <t>APPROVED</t>
        </is>
      </c>
      <c r="I1065" s="34" t="inlineStr">
        <is>
          <t>New</t>
        </is>
      </c>
      <c r="J1065" s="34" t="inlineStr">
        <is>
          <t>Source assignment -- not individually reviewed</t>
        </is>
      </c>
      <c r="K1065" s="39" t="inlineStr"/>
      <c r="L1065" s="14" t="inlineStr"/>
      <c r="M1065" s="14" t="inlineStr"/>
      <c r="N1065" s="92" t="inlineStr">
        <is>
          <t>10 EVIDENCE &amp; DECISIONS</t>
        </is>
      </c>
    </row>
    <row r="1066" ht="34" customHeight="1">
      <c r="A1066" s="34" t="inlineStr">
        <is>
          <t>Cost &amp; Forecast Control Accounts</t>
        </is>
      </c>
      <c r="B1066" s="34" t="inlineStr">
        <is>
          <t>CST-04-046</t>
        </is>
      </c>
      <c r="C1066" s="34" t="inlineStr">
        <is>
          <t>Vehicles and Depot - fleet supply - field package</t>
        </is>
      </c>
      <c r="D1066" s="34" t="inlineStr">
        <is>
          <t>Cost Account = CA-4046; WBS Code = 1.4.2</t>
        </is>
      </c>
      <c r="E1066" s="34" t="inlineStr">
        <is>
          <t>R1368-v1</t>
        </is>
      </c>
      <c r="F1066" s="34" t="inlineStr">
        <is>
          <t>1.4.2 Vehicles and Depot - Depot Buildings</t>
        </is>
      </c>
      <c r="G1066" s="34" t="inlineStr">
        <is>
          <t>ONE_TO_ONE</t>
        </is>
      </c>
      <c r="H1066" s="34" t="inlineStr">
        <is>
          <t>APPROVED</t>
        </is>
      </c>
      <c r="I1066" s="34" t="inlineStr">
        <is>
          <t>New</t>
        </is>
      </c>
      <c r="J1066" s="34" t="inlineStr">
        <is>
          <t>Source assignment -- not individually reviewed</t>
        </is>
      </c>
      <c r="K1066" s="39" t="inlineStr"/>
      <c r="L1066" s="14" t="inlineStr"/>
      <c r="M1066" s="14" t="inlineStr"/>
      <c r="N1066" s="92" t="inlineStr">
        <is>
          <t>10 EVIDENCE &amp; DECISIONS</t>
        </is>
      </c>
    </row>
    <row r="1067" ht="34" customHeight="1">
      <c r="A1067" s="34" t="inlineStr">
        <is>
          <t>Cost &amp; Forecast Control Accounts</t>
        </is>
      </c>
      <c r="B1067" s="34" t="inlineStr">
        <is>
          <t>CST-04-048</t>
        </is>
      </c>
      <c r="C1067" s="34" t="inlineStr">
        <is>
          <t>Vehicles and Depot - spares - professional services</t>
        </is>
      </c>
      <c r="D1067" s="34" t="inlineStr">
        <is>
          <t>Cost Account = CA-4048; WBS Code = 1.4.2</t>
        </is>
      </c>
      <c r="E1067" s="34" t="inlineStr">
        <is>
          <t>R1370-v1</t>
        </is>
      </c>
      <c r="F1067" s="34" t="inlineStr">
        <is>
          <t>1.4.2 Vehicles and Depot - Depot Buildings</t>
        </is>
      </c>
      <c r="G1067" s="34" t="inlineStr">
        <is>
          <t>ONE_TO_ONE</t>
        </is>
      </c>
      <c r="H1067" s="34" t="inlineStr">
        <is>
          <t>APPROVED</t>
        </is>
      </c>
      <c r="I1067" s="34" t="inlineStr">
        <is>
          <t>New</t>
        </is>
      </c>
      <c r="J1067" s="34" t="inlineStr">
        <is>
          <t>Source assignment -- not individually reviewed</t>
        </is>
      </c>
      <c r="K1067" s="39" t="inlineStr"/>
      <c r="L1067" s="14" t="inlineStr"/>
      <c r="M1067" s="14" t="inlineStr"/>
      <c r="N1067" s="92" t="inlineStr">
        <is>
          <t>10 EVIDENCE &amp; DECISIONS</t>
        </is>
      </c>
    </row>
    <row r="1068" ht="34" customHeight="1">
      <c r="A1068" s="34" t="inlineStr">
        <is>
          <t>Cost &amp; Forecast Control Accounts</t>
        </is>
      </c>
      <c r="B1068" s="34" t="inlineStr">
        <is>
          <t>CST-04-050</t>
        </is>
      </c>
      <c r="C1068" s="34" t="inlineStr">
        <is>
          <t>Vehicles and Depot - workshop equipment - closeout</t>
        </is>
      </c>
      <c r="D1068" s="34" t="inlineStr">
        <is>
          <t>Cost Account = CA-4050; WBS Code = 1.4.2</t>
        </is>
      </c>
      <c r="E1068" s="34" t="inlineStr">
        <is>
          <t>R1372-v1</t>
        </is>
      </c>
      <c r="F1068" s="34" t="inlineStr">
        <is>
          <t>1.4.2 Vehicles and Depot - Depot Buildings</t>
        </is>
      </c>
      <c r="G1068" s="34" t="inlineStr">
        <is>
          <t>ONE_TO_ONE</t>
        </is>
      </c>
      <c r="H1068" s="34" t="inlineStr">
        <is>
          <t>APPROVED</t>
        </is>
      </c>
      <c r="I1068" s="34" t="inlineStr">
        <is>
          <t>New</t>
        </is>
      </c>
      <c r="J1068" s="34" t="inlineStr">
        <is>
          <t>Source assignment -- not individually reviewed</t>
        </is>
      </c>
      <c r="K1068" s="39" t="inlineStr"/>
      <c r="L1068" s="14" t="inlineStr"/>
      <c r="M1068" s="14" t="inlineStr"/>
      <c r="N1068" s="92" t="inlineStr">
        <is>
          <t>10 EVIDENCE &amp; DECISIONS</t>
        </is>
      </c>
    </row>
    <row r="1069" ht="34" customHeight="1">
      <c r="A1069" s="34" t="inlineStr">
        <is>
          <t>Cost &amp; Forecast Control Accounts</t>
        </is>
      </c>
      <c r="B1069" s="34" t="inlineStr">
        <is>
          <t>CST-04-052</t>
        </is>
      </c>
      <c r="C1069" s="34" t="inlineStr">
        <is>
          <t>Vehicles and Depot - fleet supply - supply and install</t>
        </is>
      </c>
      <c r="D1069" s="34" t="inlineStr">
        <is>
          <t>Cost Account = CA-4052; WBS Code = 1.4.2</t>
        </is>
      </c>
      <c r="E1069" s="34" t="inlineStr">
        <is>
          <t>R1374-v1</t>
        </is>
      </c>
      <c r="F1069" s="34" t="inlineStr">
        <is>
          <t>1.4.2 Vehicles and Depot - Depot Buildings</t>
        </is>
      </c>
      <c r="G1069" s="34" t="inlineStr">
        <is>
          <t>ONE_TO_ONE</t>
        </is>
      </c>
      <c r="H1069" s="34" t="inlineStr">
        <is>
          <t>APPROVED</t>
        </is>
      </c>
      <c r="I1069" s="34" t="inlineStr">
        <is>
          <t>New</t>
        </is>
      </c>
      <c r="J1069" s="34" t="inlineStr">
        <is>
          <t>Source assignment -- not individually reviewed</t>
        </is>
      </c>
      <c r="K1069" s="39" t="inlineStr"/>
      <c r="L1069" s="14" t="inlineStr"/>
      <c r="M1069" s="14" t="inlineStr"/>
      <c r="N1069" s="92" t="inlineStr">
        <is>
          <t>10 EVIDENCE &amp; DECISIONS</t>
        </is>
      </c>
    </row>
    <row r="1070" ht="34" customHeight="1">
      <c r="A1070" s="34" t="inlineStr">
        <is>
          <t>Cost &amp; Forecast Control Accounts</t>
        </is>
      </c>
      <c r="B1070" s="34" t="inlineStr">
        <is>
          <t>CST-04-054</t>
        </is>
      </c>
      <c r="C1070" s="34" t="inlineStr">
        <is>
          <t>Vehicles and Depot - spares - allowance</t>
        </is>
      </c>
      <c r="D1070" s="34" t="inlineStr">
        <is>
          <t>Cost Account = CA-4054; WBS Code = 1.4.2</t>
        </is>
      </c>
      <c r="E1070" s="34" t="inlineStr">
        <is>
          <t>R1376-v1</t>
        </is>
      </c>
      <c r="F1070" s="34" t="inlineStr">
        <is>
          <t>1.4.2 Vehicles and Depot - Depot Buildings</t>
        </is>
      </c>
      <c r="G1070" s="34" t="inlineStr">
        <is>
          <t>ONE_TO_ONE</t>
        </is>
      </c>
      <c r="H1070" s="34" t="inlineStr">
        <is>
          <t>APPROVED</t>
        </is>
      </c>
      <c r="I1070" s="34" t="inlineStr">
        <is>
          <t>New</t>
        </is>
      </c>
      <c r="J1070" s="34" t="inlineStr">
        <is>
          <t>Source assignment -- not individually reviewed</t>
        </is>
      </c>
      <c r="K1070" s="39" t="inlineStr"/>
      <c r="L1070" s="14" t="inlineStr"/>
      <c r="M1070" s="14" t="inlineStr"/>
      <c r="N1070" s="92" t="inlineStr">
        <is>
          <t>10 EVIDENCE &amp; DECISIONS</t>
        </is>
      </c>
    </row>
    <row r="1071" ht="34" customHeight="1">
      <c r="A1071" s="34" t="inlineStr">
        <is>
          <t>Cost &amp; Forecast Control Accounts</t>
        </is>
      </c>
      <c r="B1071" s="34" t="inlineStr">
        <is>
          <t>CST-04-056</t>
        </is>
      </c>
      <c r="C1071" s="34" t="inlineStr">
        <is>
          <t>Vehicles and Depot - workshop equipment - field package</t>
        </is>
      </c>
      <c r="D1071" s="34" t="inlineStr">
        <is>
          <t>Cost Account = CA-4056; WBS Code = 1.4.2</t>
        </is>
      </c>
      <c r="E1071" s="34" t="inlineStr">
        <is>
          <t>R1378-v1</t>
        </is>
      </c>
      <c r="F1071" s="34" t="inlineStr">
        <is>
          <t>1.4.2 Vehicles and Depot - Depot Buildings</t>
        </is>
      </c>
      <c r="G1071" s="34" t="inlineStr">
        <is>
          <t>ONE_TO_ONE</t>
        </is>
      </c>
      <c r="H1071" s="34" t="inlineStr">
        <is>
          <t>APPROVED</t>
        </is>
      </c>
      <c r="I1071" s="34" t="inlineStr">
        <is>
          <t>New</t>
        </is>
      </c>
      <c r="J1071" s="34" t="inlineStr">
        <is>
          <t>Source assignment -- not individually reviewed</t>
        </is>
      </c>
      <c r="K1071" s="39" t="inlineStr"/>
      <c r="L1071" s="14" t="inlineStr"/>
      <c r="M1071" s="14" t="inlineStr"/>
      <c r="N1071" s="92" t="inlineStr">
        <is>
          <t>10 EVIDENCE &amp; DECISIONS</t>
        </is>
      </c>
    </row>
    <row r="1072" ht="34" customHeight="1">
      <c r="A1072" s="34" t="inlineStr">
        <is>
          <t>Cost &amp; Forecast Control Accounts</t>
        </is>
      </c>
      <c r="B1072" s="34" t="inlineStr">
        <is>
          <t>CST-04-058</t>
        </is>
      </c>
      <c r="C1072" s="34" t="inlineStr">
        <is>
          <t>Vehicles and Depot - fleet supply - professional services</t>
        </is>
      </c>
      <c r="D1072" s="34" t="inlineStr">
        <is>
          <t>Cost Account = CA-4058; WBS Code = 1.4.2</t>
        </is>
      </c>
      <c r="E1072" s="34" t="inlineStr">
        <is>
          <t>R1380-v1</t>
        </is>
      </c>
      <c r="F1072" s="34" t="inlineStr">
        <is>
          <t>1.4.2 Vehicles and Depot - Depot Buildings</t>
        </is>
      </c>
      <c r="G1072" s="34" t="inlineStr">
        <is>
          <t>ONE_TO_ONE</t>
        </is>
      </c>
      <c r="H1072" s="34" t="inlineStr">
        <is>
          <t>APPROVED</t>
        </is>
      </c>
      <c r="I1072" s="34" t="inlineStr">
        <is>
          <t>New</t>
        </is>
      </c>
      <c r="J1072" s="34" t="inlineStr">
        <is>
          <t>Source assignment -- not individually reviewed</t>
        </is>
      </c>
      <c r="K1072" s="39" t="inlineStr"/>
      <c r="L1072" s="14" t="inlineStr"/>
      <c r="M1072" s="14" t="inlineStr"/>
      <c r="N1072" s="92" t="inlineStr">
        <is>
          <t>10 EVIDENCE &amp; DECISIONS</t>
        </is>
      </c>
    </row>
    <row r="1073" ht="34" customHeight="1">
      <c r="A1073" s="34" t="inlineStr">
        <is>
          <t>Cost &amp; Forecast Control Accounts</t>
        </is>
      </c>
      <c r="B1073" s="34" t="inlineStr">
        <is>
          <t>CST-04-060</t>
        </is>
      </c>
      <c r="C1073" s="34" t="inlineStr">
        <is>
          <t>Vehicles and Depot - spares - closeout</t>
        </is>
      </c>
      <c r="D1073" s="34" t="inlineStr">
        <is>
          <t>Cost Account = CA-4060; WBS Code = 1.4.2</t>
        </is>
      </c>
      <c r="E1073" s="34" t="inlineStr">
        <is>
          <t>R1382-v1</t>
        </is>
      </c>
      <c r="F1073" s="34" t="inlineStr">
        <is>
          <t>1.4.2 Vehicles and Depot - Depot Buildings</t>
        </is>
      </c>
      <c r="G1073" s="34" t="inlineStr">
        <is>
          <t>ONE_TO_ONE</t>
        </is>
      </c>
      <c r="H1073" s="34" t="inlineStr">
        <is>
          <t>APPROVED</t>
        </is>
      </c>
      <c r="I1073" s="34" t="inlineStr">
        <is>
          <t>New</t>
        </is>
      </c>
      <c r="J1073" s="34" t="inlineStr">
        <is>
          <t>Source assignment -- not individually reviewed</t>
        </is>
      </c>
      <c r="K1073" s="39" t="inlineStr"/>
      <c r="L1073" s="14" t="inlineStr"/>
      <c r="M1073" s="14" t="inlineStr"/>
      <c r="N1073" s="92" t="inlineStr">
        <is>
          <t>10 EVIDENCE &amp; DECISIONS</t>
        </is>
      </c>
    </row>
    <row r="1074" ht="34" customHeight="1">
      <c r="A1074" s="34" t="inlineStr">
        <is>
          <t>Cost &amp; Forecast Control Accounts</t>
        </is>
      </c>
      <c r="B1074" s="34" t="inlineStr">
        <is>
          <t>CST-04-062</t>
        </is>
      </c>
      <c r="C1074" s="34" t="inlineStr">
        <is>
          <t>Vehicles and Depot - workshop equipment - supply and install</t>
        </is>
      </c>
      <c r="D1074" s="34" t="inlineStr">
        <is>
          <t>Cost Account = CA-4062; WBS Code = 1.4.2</t>
        </is>
      </c>
      <c r="E1074" s="34" t="inlineStr">
        <is>
          <t>R1384-v1</t>
        </is>
      </c>
      <c r="F1074" s="34" t="inlineStr">
        <is>
          <t>1.4.2 Vehicles and Depot - Depot Buildings</t>
        </is>
      </c>
      <c r="G1074" s="34" t="inlineStr">
        <is>
          <t>ONE_TO_ONE</t>
        </is>
      </c>
      <c r="H1074" s="34" t="inlineStr">
        <is>
          <t>APPROVED</t>
        </is>
      </c>
      <c r="I1074" s="34" t="inlineStr">
        <is>
          <t>New</t>
        </is>
      </c>
      <c r="J1074" s="34" t="inlineStr">
        <is>
          <t>Source assignment -- not individually reviewed</t>
        </is>
      </c>
      <c r="K1074" s="39" t="inlineStr"/>
      <c r="L1074" s="14" t="inlineStr"/>
      <c r="M1074" s="14" t="inlineStr"/>
      <c r="N1074" s="92" t="inlineStr">
        <is>
          <t>10 EVIDENCE &amp; DECISIONS</t>
        </is>
      </c>
    </row>
    <row r="1075" ht="34" customHeight="1">
      <c r="A1075" s="34" t="inlineStr">
        <is>
          <t>Cost &amp; Forecast Control Accounts</t>
        </is>
      </c>
      <c r="B1075" s="34" t="inlineStr">
        <is>
          <t>CST-04-064</t>
        </is>
      </c>
      <c r="C1075" s="34" t="inlineStr">
        <is>
          <t>Vehicles and Depot - fleet supply - allowance</t>
        </is>
      </c>
      <c r="D1075" s="34" t="inlineStr">
        <is>
          <t>Cost Account = CA-4064; WBS Code = 1.4.2</t>
        </is>
      </c>
      <c r="E1075" s="34" t="inlineStr">
        <is>
          <t>R1386-v1</t>
        </is>
      </c>
      <c r="F1075" s="34" t="inlineStr">
        <is>
          <t>1.4.2 Vehicles and Depot - Depot Buildings</t>
        </is>
      </c>
      <c r="G1075" s="34" t="inlineStr">
        <is>
          <t>ONE_TO_ONE</t>
        </is>
      </c>
      <c r="H1075" s="34" t="inlineStr">
        <is>
          <t>APPROVED</t>
        </is>
      </c>
      <c r="I1075" s="34" t="inlineStr">
        <is>
          <t>New</t>
        </is>
      </c>
      <c r="J1075" s="34" t="inlineStr">
        <is>
          <t>Source assignment -- not individually reviewed</t>
        </is>
      </c>
      <c r="K1075" s="39" t="inlineStr"/>
      <c r="L1075" s="14" t="inlineStr"/>
      <c r="M1075" s="14" t="inlineStr"/>
      <c r="N1075" s="92" t="inlineStr">
        <is>
          <t>10 EVIDENCE &amp; DECISIONS</t>
        </is>
      </c>
    </row>
    <row r="1076" ht="34" customHeight="1">
      <c r="A1076" s="34" t="inlineStr">
        <is>
          <t>Cost &amp; Forecast Control Accounts</t>
        </is>
      </c>
      <c r="B1076" s="34" t="inlineStr">
        <is>
          <t>CST-04-066</t>
        </is>
      </c>
      <c r="C1076" s="34" t="inlineStr">
        <is>
          <t>Vehicles and Depot - spares - field package</t>
        </is>
      </c>
      <c r="D1076" s="34" t="inlineStr">
        <is>
          <t>Cost Account = CA-4066; WBS Code = 1.4.2</t>
        </is>
      </c>
      <c r="E1076" s="34" t="inlineStr">
        <is>
          <t>R1388-v1</t>
        </is>
      </c>
      <c r="F1076" s="34" t="inlineStr">
        <is>
          <t>1.4.2 Vehicles and Depot - Depot Buildings</t>
        </is>
      </c>
      <c r="G1076" s="34" t="inlineStr">
        <is>
          <t>ONE_TO_ONE</t>
        </is>
      </c>
      <c r="H1076" s="34" t="inlineStr">
        <is>
          <t>APPROVED</t>
        </is>
      </c>
      <c r="I1076" s="34" t="inlineStr">
        <is>
          <t>New</t>
        </is>
      </c>
      <c r="J1076" s="34" t="inlineStr">
        <is>
          <t>Source assignment -- not individually reviewed</t>
        </is>
      </c>
      <c r="K1076" s="39" t="inlineStr"/>
      <c r="L1076" s="14" t="inlineStr"/>
      <c r="M1076" s="14" t="inlineStr"/>
      <c r="N1076" s="92" t="inlineStr">
        <is>
          <t>10 EVIDENCE &amp; DECISIONS</t>
        </is>
      </c>
    </row>
    <row r="1077" ht="34" customHeight="1">
      <c r="A1077" s="34" t="inlineStr">
        <is>
          <t>Cost &amp; Forecast Control Accounts</t>
        </is>
      </c>
      <c r="B1077" s="34" t="inlineStr">
        <is>
          <t>CST-04-068</t>
        </is>
      </c>
      <c r="C1077" s="34" t="inlineStr">
        <is>
          <t>Vehicles and Depot - workshop equipment - professional services</t>
        </is>
      </c>
      <c r="D1077" s="34" t="inlineStr">
        <is>
          <t>Cost Account = CA-4068; WBS Code = 1.4.2</t>
        </is>
      </c>
      <c r="E1077" s="34" t="inlineStr">
        <is>
          <t>R1390-v1</t>
        </is>
      </c>
      <c r="F1077" s="34" t="inlineStr">
        <is>
          <t>1.4.2 Vehicles and Depot - Depot Buildings</t>
        </is>
      </c>
      <c r="G1077" s="34" t="inlineStr">
        <is>
          <t>ONE_TO_ONE</t>
        </is>
      </c>
      <c r="H1077" s="34" t="inlineStr">
        <is>
          <t>APPROVED</t>
        </is>
      </c>
      <c r="I1077" s="34" t="inlineStr">
        <is>
          <t>New</t>
        </is>
      </c>
      <c r="J1077" s="34" t="inlineStr">
        <is>
          <t>Source assignment -- not individually reviewed</t>
        </is>
      </c>
      <c r="K1077" s="39" t="inlineStr"/>
      <c r="L1077" s="14" t="inlineStr"/>
      <c r="M1077" s="14" t="inlineStr"/>
      <c r="N1077" s="92" t="inlineStr">
        <is>
          <t>10 EVIDENCE &amp; DECISIONS</t>
        </is>
      </c>
    </row>
    <row r="1078" ht="34" customHeight="1">
      <c r="A1078" s="34" t="inlineStr">
        <is>
          <t>Cost &amp; Forecast Control Accounts</t>
        </is>
      </c>
      <c r="B1078" s="34" t="inlineStr">
        <is>
          <t>CST-04-070</t>
        </is>
      </c>
      <c r="C1078" s="34" t="inlineStr">
        <is>
          <t>Vehicles and Depot - fleet supply - closeout</t>
        </is>
      </c>
      <c r="D1078" s="34" t="inlineStr">
        <is>
          <t>Cost Account = CA-4070; WBS Code = 1.4.2</t>
        </is>
      </c>
      <c r="E1078" s="34" t="inlineStr">
        <is>
          <t>R1392-v1</t>
        </is>
      </c>
      <c r="F1078" s="34" t="inlineStr">
        <is>
          <t>1.4.2 Vehicles and Depot - Depot Buildings</t>
        </is>
      </c>
      <c r="G1078" s="34" t="inlineStr">
        <is>
          <t>ONE_TO_ONE</t>
        </is>
      </c>
      <c r="H1078" s="34" t="inlineStr">
        <is>
          <t>APPROVED</t>
        </is>
      </c>
      <c r="I1078" s="34" t="inlineStr">
        <is>
          <t>New</t>
        </is>
      </c>
      <c r="J1078" s="34" t="inlineStr">
        <is>
          <t>Source assignment -- not individually reviewed</t>
        </is>
      </c>
      <c r="K1078" s="39" t="inlineStr"/>
      <c r="L1078" s="14" t="inlineStr"/>
      <c r="M1078" s="14" t="inlineStr"/>
      <c r="N1078" s="92" t="inlineStr">
        <is>
          <t>10 EVIDENCE &amp; DECISIONS</t>
        </is>
      </c>
    </row>
    <row r="1079" ht="34" customHeight="1">
      <c r="A1079" s="34" t="inlineStr">
        <is>
          <t>Cost &amp; Forecast Control Accounts</t>
        </is>
      </c>
      <c r="B1079" s="34" t="inlineStr">
        <is>
          <t>CST-04-072</t>
        </is>
      </c>
      <c r="C1079" s="34" t="inlineStr">
        <is>
          <t>Vehicles and Depot - spares - supply and install</t>
        </is>
      </c>
      <c r="D1079" s="34" t="inlineStr">
        <is>
          <t>Cost Account = CA-4072; WBS Code = 1.4.2</t>
        </is>
      </c>
      <c r="E1079" s="34" t="inlineStr">
        <is>
          <t>R1394-v1</t>
        </is>
      </c>
      <c r="F1079" s="34" t="inlineStr">
        <is>
          <t>1.4.2 Vehicles and Depot - Depot Buildings</t>
        </is>
      </c>
      <c r="G1079" s="34" t="inlineStr">
        <is>
          <t>ONE_TO_ONE</t>
        </is>
      </c>
      <c r="H1079" s="34" t="inlineStr">
        <is>
          <t>APPROVED</t>
        </is>
      </c>
      <c r="I1079" s="34" t="inlineStr">
        <is>
          <t>New</t>
        </is>
      </c>
      <c r="J1079" s="34" t="inlineStr">
        <is>
          <t>Source assignment -- not individually reviewed</t>
        </is>
      </c>
      <c r="K1079" s="39" t="inlineStr"/>
      <c r="L1079" s="14" t="inlineStr"/>
      <c r="M1079" s="14" t="inlineStr"/>
      <c r="N1079" s="92" t="inlineStr">
        <is>
          <t>10 EVIDENCE &amp; DECISIONS</t>
        </is>
      </c>
    </row>
    <row r="1080" ht="34" customHeight="1">
      <c r="A1080" s="34" t="inlineStr">
        <is>
          <t>Cost &amp; Forecast Control Accounts</t>
        </is>
      </c>
      <c r="B1080" s="34" t="inlineStr">
        <is>
          <t>CST-04-074</t>
        </is>
      </c>
      <c r="C1080" s="34" t="inlineStr">
        <is>
          <t>Vehicles and Depot - workshop equipment - allowance</t>
        </is>
      </c>
      <c r="D1080" s="34" t="inlineStr">
        <is>
          <t>Cost Account = CA-4074; WBS Code = 1.4.2</t>
        </is>
      </c>
      <c r="E1080" s="34" t="inlineStr">
        <is>
          <t>R1396-v1</t>
        </is>
      </c>
      <c r="F1080" s="34" t="inlineStr">
        <is>
          <t>1.4.2 Vehicles and Depot - Depot Buildings</t>
        </is>
      </c>
      <c r="G1080" s="34" t="inlineStr">
        <is>
          <t>ONE_TO_ONE</t>
        </is>
      </c>
      <c r="H1080" s="34" t="inlineStr">
        <is>
          <t>APPROVED</t>
        </is>
      </c>
      <c r="I1080" s="34" t="inlineStr">
        <is>
          <t>New</t>
        </is>
      </c>
      <c r="J1080" s="34" t="inlineStr">
        <is>
          <t>Source assignment -- not individually reviewed</t>
        </is>
      </c>
      <c r="K1080" s="39" t="inlineStr"/>
      <c r="L1080" s="14" t="inlineStr"/>
      <c r="M1080" s="14" t="inlineStr"/>
      <c r="N1080" s="92" t="inlineStr">
        <is>
          <t>10 EVIDENCE &amp; DECISIONS</t>
        </is>
      </c>
    </row>
    <row r="1081" ht="34" customHeight="1">
      <c r="A1081" s="34" t="inlineStr">
        <is>
          <t>Cost &amp; Forecast Control Accounts</t>
        </is>
      </c>
      <c r="B1081" s="34" t="inlineStr">
        <is>
          <t>CST-04-076</t>
        </is>
      </c>
      <c r="C1081" s="34" t="inlineStr">
        <is>
          <t>Vehicles and Depot - fleet supply - field package</t>
        </is>
      </c>
      <c r="D1081" s="34" t="inlineStr">
        <is>
          <t>Cost Account = CA-4076; WBS Code = 1.4.2</t>
        </is>
      </c>
      <c r="E1081" s="34" t="inlineStr">
        <is>
          <t>R1398-v1</t>
        </is>
      </c>
      <c r="F1081" s="34" t="inlineStr">
        <is>
          <t>1.4.2 Vehicles and Depot - Depot Buildings</t>
        </is>
      </c>
      <c r="G1081" s="34" t="inlineStr">
        <is>
          <t>ONE_TO_ONE</t>
        </is>
      </c>
      <c r="H1081" s="34" t="inlineStr">
        <is>
          <t>APPROVED</t>
        </is>
      </c>
      <c r="I1081" s="34" t="inlineStr">
        <is>
          <t>New</t>
        </is>
      </c>
      <c r="J1081" s="34" t="inlineStr">
        <is>
          <t>Source assignment -- not individually reviewed</t>
        </is>
      </c>
      <c r="K1081" s="39" t="inlineStr"/>
      <c r="L1081" s="14" t="inlineStr"/>
      <c r="M1081" s="14" t="inlineStr"/>
      <c r="N1081" s="92" t="inlineStr">
        <is>
          <t>10 EVIDENCE &amp; DECISIONS</t>
        </is>
      </c>
    </row>
    <row r="1082" ht="34" customHeight="1">
      <c r="A1082" s="34" t="inlineStr">
        <is>
          <t>Cost &amp; Forecast Control Accounts</t>
        </is>
      </c>
      <c r="B1082" s="34" t="inlineStr">
        <is>
          <t>CST-04-078</t>
        </is>
      </c>
      <c r="C1082" s="34" t="inlineStr">
        <is>
          <t>Vehicles and Depot - spares - professional services</t>
        </is>
      </c>
      <c r="D1082" s="34" t="inlineStr">
        <is>
          <t>Cost Account = CA-4078; WBS Code = 1.4.2</t>
        </is>
      </c>
      <c r="E1082" s="34" t="inlineStr">
        <is>
          <t>R1400-v1</t>
        </is>
      </c>
      <c r="F1082" s="34" t="inlineStr">
        <is>
          <t>1.4.2 Vehicles and Depot - Depot Buildings</t>
        </is>
      </c>
      <c r="G1082" s="34" t="inlineStr">
        <is>
          <t>ONE_TO_ONE</t>
        </is>
      </c>
      <c r="H1082" s="34" t="inlineStr">
        <is>
          <t>APPROVED</t>
        </is>
      </c>
      <c r="I1082" s="34" t="inlineStr">
        <is>
          <t>New</t>
        </is>
      </c>
      <c r="J1082" s="34" t="inlineStr">
        <is>
          <t>Source assignment -- not individually reviewed</t>
        </is>
      </c>
      <c r="K1082" s="39" t="inlineStr"/>
      <c r="L1082" s="14" t="inlineStr"/>
      <c r="M1082" s="14" t="inlineStr"/>
      <c r="N1082" s="92" t="inlineStr">
        <is>
          <t>10 EVIDENCE &amp; DECISIONS</t>
        </is>
      </c>
    </row>
    <row r="1083" ht="34" customHeight="1">
      <c r="A1083" s="34" t="inlineStr">
        <is>
          <t>Cost &amp; Forecast Control Accounts</t>
        </is>
      </c>
      <c r="B1083" s="34" t="inlineStr">
        <is>
          <t>CST-04-080</t>
        </is>
      </c>
      <c r="C1083" s="34" t="inlineStr">
        <is>
          <t>Vehicles and Depot - workshop equipment - closeout</t>
        </is>
      </c>
      <c r="D1083" s="34" t="inlineStr">
        <is>
          <t>Cost Account = CA-4080; WBS Code = 1.4.2</t>
        </is>
      </c>
      <c r="E1083" s="34" t="inlineStr">
        <is>
          <t>R1402-v1</t>
        </is>
      </c>
      <c r="F1083" s="34" t="inlineStr">
        <is>
          <t>1.4.2 Vehicles and Depot - Depot Buildings</t>
        </is>
      </c>
      <c r="G1083" s="34" t="inlineStr">
        <is>
          <t>ONE_TO_ONE</t>
        </is>
      </c>
      <c r="H1083" s="34" t="inlineStr">
        <is>
          <t>APPROVED</t>
        </is>
      </c>
      <c r="I1083" s="34" t="inlineStr">
        <is>
          <t>New</t>
        </is>
      </c>
      <c r="J1083" s="34" t="inlineStr">
        <is>
          <t>Source assignment -- not individually reviewed</t>
        </is>
      </c>
      <c r="K1083" s="39" t="inlineStr"/>
      <c r="L1083" s="14" t="inlineStr"/>
      <c r="M1083" s="14" t="inlineStr"/>
      <c r="N1083" s="92" t="inlineStr">
        <is>
          <t>10 EVIDENCE &amp; DECISIONS</t>
        </is>
      </c>
    </row>
    <row r="1084" ht="34" customHeight="1">
      <c r="A1084" s="34" t="inlineStr">
        <is>
          <t>Commercial Package Register</t>
        </is>
      </c>
      <c r="B1084" s="34" t="inlineStr">
        <is>
          <t>PKG-041</t>
        </is>
      </c>
      <c r="C1084" s="34" t="inlineStr">
        <is>
          <t>Dynamic Testing</t>
        </is>
      </c>
      <c r="D1084" s="34" t="inlineStr">
        <is>
          <t>Package Code = PK-501; WBS Code = 1.5</t>
        </is>
      </c>
      <c r="E1084" s="34" t="inlineStr">
        <is>
          <t>R1603-v1</t>
        </is>
      </c>
      <c r="F1084" s="34" t="inlineStr">
        <is>
          <t>1.5 Testing and Commissioning</t>
        </is>
      </c>
      <c r="G1084" s="34" t="inlineStr">
        <is>
          <t>ONE_TO_ONE</t>
        </is>
      </c>
      <c r="H1084" s="34" t="inlineStr">
        <is>
          <t>APPROVED</t>
        </is>
      </c>
      <c r="I1084" s="34" t="inlineStr">
        <is>
          <t>New</t>
        </is>
      </c>
      <c r="J1084" s="34" t="inlineStr">
        <is>
          <t>Source assignment -- not individually reviewed</t>
        </is>
      </c>
      <c r="K1084" s="39" t="inlineStr"/>
      <c r="L1084" s="14" t="inlineStr"/>
      <c r="M1084" s="14" t="inlineStr"/>
      <c r="N1084" s="92" t="inlineStr">
        <is>
          <t>10 EVIDENCE &amp; DECISIONS</t>
        </is>
      </c>
    </row>
    <row r="1085" ht="34" customHeight="1">
      <c r="A1085" s="34" t="inlineStr">
        <is>
          <t>Commercial Package Register</t>
        </is>
      </c>
      <c r="B1085" s="34" t="inlineStr">
        <is>
          <t>PKG-042</t>
        </is>
      </c>
      <c r="C1085" s="34" t="inlineStr">
        <is>
          <t>Safety Certification</t>
        </is>
      </c>
      <c r="D1085" s="34" t="inlineStr">
        <is>
          <t>Package Code = PK-502; WBS Code = 1.5</t>
        </is>
      </c>
      <c r="E1085" s="34" t="inlineStr">
        <is>
          <t>R1604-v1</t>
        </is>
      </c>
      <c r="F1085" s="34" t="inlineStr">
        <is>
          <t>1.5 Testing and Commissioning</t>
        </is>
      </c>
      <c r="G1085" s="34" t="inlineStr">
        <is>
          <t>ONE_TO_ONE</t>
        </is>
      </c>
      <c r="H1085" s="34" t="inlineStr">
        <is>
          <t>APPROVED</t>
        </is>
      </c>
      <c r="I1085" s="34" t="inlineStr">
        <is>
          <t>New</t>
        </is>
      </c>
      <c r="J1085" s="34" t="inlineStr">
        <is>
          <t>Source assignment -- not individually reviewed</t>
        </is>
      </c>
      <c r="K1085" s="39" t="inlineStr"/>
      <c r="L1085" s="14" t="inlineStr"/>
      <c r="M1085" s="14" t="inlineStr"/>
      <c r="N1085" s="92" t="inlineStr">
        <is>
          <t>10 EVIDENCE &amp; DECISIONS</t>
        </is>
      </c>
    </row>
    <row r="1086" ht="34" customHeight="1">
      <c r="A1086" s="34" t="inlineStr">
        <is>
          <t>Commercial Package Register</t>
        </is>
      </c>
      <c r="B1086" s="34" t="inlineStr">
        <is>
          <t>PKG-043</t>
        </is>
      </c>
      <c r="C1086" s="34" t="inlineStr">
        <is>
          <t>Trial Running</t>
        </is>
      </c>
      <c r="D1086" s="34" t="inlineStr">
        <is>
          <t>Package Code = PK-503; WBS Code = 1.5</t>
        </is>
      </c>
      <c r="E1086" s="34" t="inlineStr">
        <is>
          <t>R1605-v1</t>
        </is>
      </c>
      <c r="F1086" s="34" t="inlineStr">
        <is>
          <t>1.5 Testing and Commissioning</t>
        </is>
      </c>
      <c r="G1086" s="34" t="inlineStr">
        <is>
          <t>ONE_TO_ONE</t>
        </is>
      </c>
      <c r="H1086" s="34" t="inlineStr">
        <is>
          <t>APPROVED</t>
        </is>
      </c>
      <c r="I1086" s="34" t="inlineStr">
        <is>
          <t>New</t>
        </is>
      </c>
      <c r="J1086" s="34" t="inlineStr">
        <is>
          <t>Source assignment -- not individually reviewed</t>
        </is>
      </c>
      <c r="K1086" s="39" t="inlineStr"/>
      <c r="L1086" s="14" t="inlineStr"/>
      <c r="M1086" s="14" t="inlineStr"/>
      <c r="N1086" s="92" t="inlineStr">
        <is>
          <t>10 EVIDENCE &amp; DECISIONS</t>
        </is>
      </c>
    </row>
    <row r="1087" ht="34" customHeight="1">
      <c r="A1087" s="34" t="inlineStr">
        <is>
          <t>Commercial Package Register</t>
        </is>
      </c>
      <c r="B1087" s="34" t="inlineStr">
        <is>
          <t>PKG-044</t>
        </is>
      </c>
      <c r="C1087" s="34" t="inlineStr">
        <is>
          <t>Readiness Support</t>
        </is>
      </c>
      <c r="D1087" s="34" t="inlineStr">
        <is>
          <t>Package Code = PK-504; WBS Code = 1.5</t>
        </is>
      </c>
      <c r="E1087" s="34" t="inlineStr">
        <is>
          <t>R1606-v1</t>
        </is>
      </c>
      <c r="F1087" s="34" t="inlineStr">
        <is>
          <t>1.5 Testing and Commissioning</t>
        </is>
      </c>
      <c r="G1087" s="34" t="inlineStr">
        <is>
          <t>ONE_TO_ONE</t>
        </is>
      </c>
      <c r="H1087" s="34" t="inlineStr">
        <is>
          <t>APPROVED</t>
        </is>
      </c>
      <c r="I1087" s="34" t="inlineStr">
        <is>
          <t>New</t>
        </is>
      </c>
      <c r="J1087" s="34" t="inlineStr">
        <is>
          <t>Source assignment -- not individually reviewed</t>
        </is>
      </c>
      <c r="K1087" s="39" t="inlineStr"/>
      <c r="L1087" s="14" t="inlineStr"/>
      <c r="M1087" s="14" t="inlineStr"/>
      <c r="N1087" s="92" t="inlineStr">
        <is>
          <t>10 EVIDENCE &amp; DECISIONS</t>
        </is>
      </c>
    </row>
    <row r="1088" ht="34" customHeight="1">
      <c r="A1088" s="34" t="inlineStr">
        <is>
          <t>Commercial Package Register</t>
        </is>
      </c>
      <c r="B1088" s="34" t="inlineStr">
        <is>
          <t>PKG-045</t>
        </is>
      </c>
      <c r="C1088" s="34" t="inlineStr">
        <is>
          <t>Dynamic Testing - Lot 2</t>
        </is>
      </c>
      <c r="D1088" s="34" t="inlineStr">
        <is>
          <t>Package Code = PK-505; WBS Code = 1.5</t>
        </is>
      </c>
      <c r="E1088" s="34" t="inlineStr">
        <is>
          <t>R1607-v1</t>
        </is>
      </c>
      <c r="F1088" s="34" t="inlineStr">
        <is>
          <t>1.5 Testing and Commissioning</t>
        </is>
      </c>
      <c r="G1088" s="34" t="inlineStr">
        <is>
          <t>ONE_TO_ONE</t>
        </is>
      </c>
      <c r="H1088" s="34" t="inlineStr">
        <is>
          <t>APPROVED</t>
        </is>
      </c>
      <c r="I1088" s="34" t="inlineStr">
        <is>
          <t>New</t>
        </is>
      </c>
      <c r="J1088" s="34" t="inlineStr">
        <is>
          <t>Source assignment -- not individually reviewed</t>
        </is>
      </c>
      <c r="K1088" s="39" t="inlineStr"/>
      <c r="L1088" s="14" t="inlineStr"/>
      <c r="M1088" s="14" t="inlineStr"/>
      <c r="N1088" s="92" t="inlineStr">
        <is>
          <t>10 EVIDENCE &amp; DECISIONS</t>
        </is>
      </c>
    </row>
    <row r="1089" ht="34" customHeight="1">
      <c r="A1089" s="34" t="inlineStr">
        <is>
          <t>Commercial Package Register</t>
        </is>
      </c>
      <c r="B1089" s="34" t="inlineStr">
        <is>
          <t>PKG-046</t>
        </is>
      </c>
      <c r="C1089" s="34" t="inlineStr">
        <is>
          <t>Safety Certification - Lot 2</t>
        </is>
      </c>
      <c r="D1089" s="34" t="inlineStr">
        <is>
          <t>Package Code = PK-506; WBS Code = 1.5</t>
        </is>
      </c>
      <c r="E1089" s="34" t="inlineStr">
        <is>
          <t>R1608-v1</t>
        </is>
      </c>
      <c r="F1089" s="34" t="inlineStr">
        <is>
          <t>1.5 Testing and Commissioning</t>
        </is>
      </c>
      <c r="G1089" s="34" t="inlineStr">
        <is>
          <t>ONE_TO_ONE</t>
        </is>
      </c>
      <c r="H1089" s="34" t="inlineStr">
        <is>
          <t>APPROVED</t>
        </is>
      </c>
      <c r="I1089" s="34" t="inlineStr">
        <is>
          <t>New</t>
        </is>
      </c>
      <c r="J1089" s="34" t="inlineStr">
        <is>
          <t>Source assignment -- not individually reviewed</t>
        </is>
      </c>
      <c r="K1089" s="39" t="inlineStr"/>
      <c r="L1089" s="14" t="inlineStr"/>
      <c r="M1089" s="14" t="inlineStr"/>
      <c r="N1089" s="92" t="inlineStr">
        <is>
          <t>10 EVIDENCE &amp; DECISIONS</t>
        </is>
      </c>
    </row>
    <row r="1090" ht="34" customHeight="1">
      <c r="A1090" s="34" t="inlineStr">
        <is>
          <t>Commercial Package Register</t>
        </is>
      </c>
      <c r="B1090" s="34" t="inlineStr">
        <is>
          <t>PKG-047</t>
        </is>
      </c>
      <c r="C1090" s="34" t="inlineStr">
        <is>
          <t>Trial Running - Lot 2</t>
        </is>
      </c>
      <c r="D1090" s="34" t="inlineStr">
        <is>
          <t>Package Code = PK-507; WBS Code = 1.5</t>
        </is>
      </c>
      <c r="E1090" s="34" t="inlineStr">
        <is>
          <t>R1609-v1</t>
        </is>
      </c>
      <c r="F1090" s="34" t="inlineStr">
        <is>
          <t>1.5 Testing and Commissioning</t>
        </is>
      </c>
      <c r="G1090" s="34" t="inlineStr">
        <is>
          <t>ONE_TO_ONE</t>
        </is>
      </c>
      <c r="H1090" s="34" t="inlineStr">
        <is>
          <t>APPROVED</t>
        </is>
      </c>
      <c r="I1090" s="34" t="inlineStr">
        <is>
          <t>New</t>
        </is>
      </c>
      <c r="J1090" s="34" t="inlineStr">
        <is>
          <t>Source assignment -- not individually reviewed</t>
        </is>
      </c>
      <c r="K1090" s="39" t="inlineStr"/>
      <c r="L1090" s="14" t="inlineStr"/>
      <c r="M1090" s="14" t="inlineStr"/>
      <c r="N1090" s="92" t="inlineStr">
        <is>
          <t>10 EVIDENCE &amp; DECISIONS</t>
        </is>
      </c>
    </row>
    <row r="1091" ht="34" customHeight="1">
      <c r="A1091" s="34" t="inlineStr">
        <is>
          <t>Commercial Package Register</t>
        </is>
      </c>
      <c r="B1091" s="34" t="inlineStr">
        <is>
          <t>PKG-048</t>
        </is>
      </c>
      <c r="C1091" s="34" t="inlineStr">
        <is>
          <t>Readiness Support - Lot 2</t>
        </is>
      </c>
      <c r="D1091" s="34" t="inlineStr">
        <is>
          <t>Package Code = PK-508; WBS Code = 1.5</t>
        </is>
      </c>
      <c r="E1091" s="34" t="inlineStr">
        <is>
          <t>R1610-v1</t>
        </is>
      </c>
      <c r="F1091" s="34" t="inlineStr">
        <is>
          <t>1.5 Testing and Commissioning</t>
        </is>
      </c>
      <c r="G1091" s="34" t="inlineStr">
        <is>
          <t>ONE_TO_ONE</t>
        </is>
      </c>
      <c r="H1091" s="34" t="inlineStr">
        <is>
          <t>APPROVED</t>
        </is>
      </c>
      <c r="I1091" s="34" t="inlineStr">
        <is>
          <t>New</t>
        </is>
      </c>
      <c r="J1091" s="34" t="inlineStr">
        <is>
          <t>Source assignment -- not individually reviewed</t>
        </is>
      </c>
      <c r="K1091" s="39" t="inlineStr"/>
      <c r="L1091" s="14" t="inlineStr"/>
      <c r="M1091" s="14" t="inlineStr"/>
      <c r="N1091" s="92" t="inlineStr">
        <is>
          <t>10 EVIDENCE &amp; DECISIONS</t>
        </is>
      </c>
    </row>
    <row r="1092" ht="34" customHeight="1">
      <c r="A1092" s="34" t="inlineStr">
        <is>
          <t>Commercial Package Register</t>
        </is>
      </c>
      <c r="B1092" s="34" t="inlineStr">
        <is>
          <t>PKG-049</t>
        </is>
      </c>
      <c r="C1092" s="34" t="inlineStr">
        <is>
          <t>Dynamic Testing - Lot 3</t>
        </is>
      </c>
      <c r="D1092" s="34" t="inlineStr">
        <is>
          <t>Package Code = PK-509; WBS Code = 1.5</t>
        </is>
      </c>
      <c r="E1092" s="34" t="inlineStr">
        <is>
          <t>R1611-v1</t>
        </is>
      </c>
      <c r="F1092" s="34" t="inlineStr">
        <is>
          <t>1.5 Testing and Commissioning</t>
        </is>
      </c>
      <c r="G1092" s="34" t="inlineStr">
        <is>
          <t>ONE_TO_ONE</t>
        </is>
      </c>
      <c r="H1092" s="34" t="inlineStr">
        <is>
          <t>APPROVED</t>
        </is>
      </c>
      <c r="I1092" s="34" t="inlineStr">
        <is>
          <t>New</t>
        </is>
      </c>
      <c r="J1092" s="34" t="inlineStr">
        <is>
          <t>Source assignment -- not individually reviewed</t>
        </is>
      </c>
      <c r="K1092" s="39" t="inlineStr"/>
      <c r="L1092" s="14" t="inlineStr"/>
      <c r="M1092" s="14" t="inlineStr"/>
      <c r="N1092" s="92" t="inlineStr">
        <is>
          <t>10 EVIDENCE &amp; DECISIONS</t>
        </is>
      </c>
    </row>
    <row r="1093" ht="34" customHeight="1">
      <c r="A1093" s="34" t="inlineStr">
        <is>
          <t>Commercial Package Register</t>
        </is>
      </c>
      <c r="B1093" s="34" t="inlineStr">
        <is>
          <t>PKG-050</t>
        </is>
      </c>
      <c r="C1093" s="34" t="inlineStr">
        <is>
          <t>Safety Certification - Lot 3</t>
        </is>
      </c>
      <c r="D1093" s="34" t="inlineStr">
        <is>
          <t>Package Code = PK-510; WBS Code = 1.5</t>
        </is>
      </c>
      <c r="E1093" s="34" t="inlineStr">
        <is>
          <t>R1612-v1</t>
        </is>
      </c>
      <c r="F1093" s="34" t="inlineStr">
        <is>
          <t>1.5 Testing and Commissioning</t>
        </is>
      </c>
      <c r="G1093" s="34" t="inlineStr">
        <is>
          <t>ONE_TO_ONE</t>
        </is>
      </c>
      <c r="H1093" s="34" t="inlineStr">
        <is>
          <t>APPROVED</t>
        </is>
      </c>
      <c r="I1093" s="34" t="inlineStr">
        <is>
          <t>New</t>
        </is>
      </c>
      <c r="J1093" s="34" t="inlineStr">
        <is>
          <t>Source assignment -- not individually reviewed</t>
        </is>
      </c>
      <c r="K1093" s="39" t="inlineStr"/>
      <c r="L1093" s="14" t="inlineStr"/>
      <c r="M1093" s="14" t="inlineStr"/>
      <c r="N1093" s="92" t="inlineStr">
        <is>
          <t>10 EVIDENCE &amp; DECISIONS</t>
        </is>
      </c>
    </row>
    <row r="1094" ht="34" customHeight="1">
      <c r="A1094" s="34" t="inlineStr">
        <is>
          <t>Contractor Programme</t>
        </is>
      </c>
      <c r="B1094" s="34" t="inlineStr">
        <is>
          <t>SCH-05-001</t>
        </is>
      </c>
      <c r="C1094" s="34" t="inlineStr">
        <is>
          <t>Central section: test procedure readiness review - field start</t>
        </is>
      </c>
      <c r="D1094" s="34" t="inlineStr">
        <is>
          <t>WBS Code = 1.5.1</t>
        </is>
      </c>
      <c r="E1094" s="34" t="inlineStr">
        <is>
          <t>R721-v1</t>
        </is>
      </c>
      <c r="F1094" s="34" t="inlineStr">
        <is>
          <t>1.5.1 Testing and Commissioning - Test Readiness</t>
        </is>
      </c>
      <c r="G1094" s="34" t="inlineStr">
        <is>
          <t>ONE_TO_ONE</t>
        </is>
      </c>
      <c r="H1094" s="34" t="inlineStr">
        <is>
          <t>APPROVED</t>
        </is>
      </c>
      <c r="I1094" s="34" t="inlineStr">
        <is>
          <t>New</t>
        </is>
      </c>
      <c r="J1094" s="34" t="inlineStr">
        <is>
          <t>Source assignment -- not individually reviewed</t>
        </is>
      </c>
      <c r="K1094" s="39" t="inlineStr"/>
      <c r="L1094" s="14" t="inlineStr"/>
      <c r="M1094" s="14" t="inlineStr"/>
      <c r="N1094" s="92" t="inlineStr">
        <is>
          <t>10 EVIDENCE &amp; DECISIONS</t>
        </is>
      </c>
    </row>
    <row r="1095" ht="34" customHeight="1">
      <c r="A1095" s="34" t="inlineStr">
        <is>
          <t>Contractor Programme</t>
        </is>
      </c>
      <c r="B1095" s="34" t="inlineStr">
        <is>
          <t>SCH-05-002</t>
        </is>
      </c>
      <c r="C1095" s="34" t="inlineStr">
        <is>
          <t>West terminal: emergency-response drill - installation</t>
        </is>
      </c>
      <c r="D1095" s="34" t="inlineStr">
        <is>
          <t>WBS Code = 1.5.1</t>
        </is>
      </c>
      <c r="E1095" s="34" t="inlineStr">
        <is>
          <t>R722-v1</t>
        </is>
      </c>
      <c r="F1095" s="34" t="inlineStr">
        <is>
          <t>1.5.1 Testing and Commissioning - Test Readiness</t>
        </is>
      </c>
      <c r="G1095" s="34" t="inlineStr">
        <is>
          <t>ONE_TO_ONE</t>
        </is>
      </c>
      <c r="H1095" s="34" t="inlineStr">
        <is>
          <t>APPROVED</t>
        </is>
      </c>
      <c r="I1095" s="34" t="inlineStr">
        <is>
          <t>New</t>
        </is>
      </c>
      <c r="J1095" s="34" t="inlineStr">
        <is>
          <t>Source assignment -- not individually reviewed</t>
        </is>
      </c>
      <c r="K1095" s="39" t="inlineStr"/>
      <c r="L1095" s="14" t="inlineStr"/>
      <c r="M1095" s="14" t="inlineStr"/>
      <c r="N1095" s="92" t="inlineStr">
        <is>
          <t>10 EVIDENCE &amp; DECISIONS</t>
        </is>
      </c>
    </row>
    <row r="1096" ht="34" customHeight="1">
      <c r="A1096" s="34" t="inlineStr">
        <is>
          <t>Contractor Programme</t>
        </is>
      </c>
      <c r="B1096" s="34" t="inlineStr">
        <is>
          <t>SCH-05-004</t>
        </is>
      </c>
      <c r="C1096" s="34" t="inlineStr">
        <is>
          <t>Control Centre: mainline dynamic test - turnover</t>
        </is>
      </c>
      <c r="D1096" s="34" t="inlineStr">
        <is>
          <t>WBS Code = 1.5.1</t>
        </is>
      </c>
      <c r="E1096" s="34" t="inlineStr">
        <is>
          <t>R724-v1</t>
        </is>
      </c>
      <c r="F1096" s="34" t="inlineStr">
        <is>
          <t>1.5.1 Testing and Commissioning - Test Readiness</t>
        </is>
      </c>
      <c r="G1096" s="34" t="inlineStr">
        <is>
          <t>ONE_TO_ONE</t>
        </is>
      </c>
      <c r="H1096" s="34" t="inlineStr">
        <is>
          <t>APPROVED</t>
        </is>
      </c>
      <c r="I1096" s="34" t="inlineStr">
        <is>
          <t>New</t>
        </is>
      </c>
      <c r="J1096" s="34" t="inlineStr">
        <is>
          <t>Source assignment -- not individually reviewed</t>
        </is>
      </c>
      <c r="K1096" s="39" t="inlineStr"/>
      <c r="L1096" s="14" t="inlineStr"/>
      <c r="M1096" s="14" t="inlineStr"/>
      <c r="N1096" s="92" t="inlineStr">
        <is>
          <t>10 EVIDENCE &amp; DECISIONS</t>
        </is>
      </c>
    </row>
    <row r="1097" ht="34" customHeight="1">
      <c r="A1097" s="34" t="inlineStr">
        <is>
          <t>Contractor Programme</t>
        </is>
      </c>
      <c r="B1097" s="34" t="inlineStr">
        <is>
          <t>SCH-05-005</t>
        </is>
      </c>
      <c r="C1097" s="34" t="inlineStr">
        <is>
          <t>Mainline east: safety certificate evidence closeout - release</t>
        </is>
      </c>
      <c r="D1097" s="34" t="inlineStr">
        <is>
          <t>WBS Code = 1.5.1</t>
        </is>
      </c>
      <c r="E1097" s="34" t="inlineStr">
        <is>
          <t>R725-v1</t>
        </is>
      </c>
      <c r="F1097" s="34" t="inlineStr">
        <is>
          <t>1.5.1 Testing and Commissioning - Test Readiness</t>
        </is>
      </c>
      <c r="G1097" s="34" t="inlineStr">
        <is>
          <t>ONE_TO_ONE</t>
        </is>
      </c>
      <c r="H1097" s="34" t="inlineStr">
        <is>
          <t>APPROVED</t>
        </is>
      </c>
      <c r="I1097" s="34" t="inlineStr">
        <is>
          <t>New</t>
        </is>
      </c>
      <c r="J1097" s="34" t="inlineStr">
        <is>
          <t>Source assignment -- not individually reviewed</t>
        </is>
      </c>
      <c r="K1097" s="39" t="inlineStr"/>
      <c r="L1097" s="14" t="inlineStr"/>
      <c r="M1097" s="14" t="inlineStr"/>
      <c r="N1097" s="92" t="inlineStr">
        <is>
          <t>10 EVIDENCE &amp; DECISIONS</t>
        </is>
      </c>
    </row>
    <row r="1098" ht="34" customHeight="1">
      <c r="A1098" s="34" t="inlineStr">
        <is>
          <t>Contractor Programme</t>
        </is>
      </c>
      <c r="B1098" s="34" t="inlineStr">
        <is>
          <t>SCH-05-007</t>
        </is>
      </c>
      <c r="C1098" s="34" t="inlineStr">
        <is>
          <t>West terminal: station integrated test - installation</t>
        </is>
      </c>
      <c r="D1098" s="34" t="inlineStr">
        <is>
          <t>WBS Code = 1.5.1</t>
        </is>
      </c>
      <c r="E1098" s="34" t="inlineStr">
        <is>
          <t>R727-v1</t>
        </is>
      </c>
      <c r="F1098" s="34" t="inlineStr">
        <is>
          <t>1.5.1 Testing and Commissioning - Test Readiness</t>
        </is>
      </c>
      <c r="G1098" s="34" t="inlineStr">
        <is>
          <t>ONE_TO_ONE</t>
        </is>
      </c>
      <c r="H1098" s="34" t="inlineStr">
        <is>
          <t>APPROVED</t>
        </is>
      </c>
      <c r="I1098" s="34" t="inlineStr">
        <is>
          <t>New</t>
        </is>
      </c>
      <c r="J1098" s="34" t="inlineStr">
        <is>
          <t>Source assignment -- not individually reviewed</t>
        </is>
      </c>
      <c r="K1098" s="39" t="inlineStr"/>
      <c r="L1098" s="14" t="inlineStr"/>
      <c r="M1098" s="14" t="inlineStr"/>
      <c r="N1098" s="92" t="inlineStr">
        <is>
          <t>10 EVIDENCE &amp; DECISIONS</t>
        </is>
      </c>
    </row>
    <row r="1099" ht="34" customHeight="1">
      <c r="A1099" s="34" t="inlineStr">
        <is>
          <t>Contractor Programme</t>
        </is>
      </c>
      <c r="B1099" s="34" t="inlineStr">
        <is>
          <t>SCH-05-008</t>
        </is>
      </c>
      <c r="C1099" s="34" t="inlineStr">
        <is>
          <t>Depot: trial-running shift - inspection</t>
        </is>
      </c>
      <c r="D1099" s="34" t="inlineStr">
        <is>
          <t>WBS Code = 1.5.1</t>
        </is>
      </c>
      <c r="E1099" s="34" t="inlineStr">
        <is>
          <t>R728-v1</t>
        </is>
      </c>
      <c r="F1099" s="34" t="inlineStr">
        <is>
          <t>1.5.1 Testing and Commissioning - Test Readiness</t>
        </is>
      </c>
      <c r="G1099" s="34" t="inlineStr">
        <is>
          <t>ONE_TO_ONE</t>
        </is>
      </c>
      <c r="H1099" s="34" t="inlineStr">
        <is>
          <t>APPROVED</t>
        </is>
      </c>
      <c r="I1099" s="34" t="inlineStr">
        <is>
          <t>New</t>
        </is>
      </c>
      <c r="J1099" s="34" t="inlineStr">
        <is>
          <t>Source assignment -- not individually reviewed</t>
        </is>
      </c>
      <c r="K1099" s="39" t="inlineStr"/>
      <c r="L1099" s="14" t="inlineStr"/>
      <c r="M1099" s="14" t="inlineStr"/>
      <c r="N1099" s="92" t="inlineStr">
        <is>
          <t>10 EVIDENCE &amp; DECISIONS</t>
        </is>
      </c>
    </row>
    <row r="1100" ht="34" customHeight="1">
      <c r="A1100" s="34" t="inlineStr">
        <is>
          <t>Contractor Programme</t>
        </is>
      </c>
      <c r="B1100" s="34" t="inlineStr">
        <is>
          <t>SCH-05-010</t>
        </is>
      </c>
      <c r="C1100" s="34" t="inlineStr">
        <is>
          <t>Mainline east: emergency-response drill - release</t>
        </is>
      </c>
      <c r="D1100" s="34" t="inlineStr">
        <is>
          <t>WBS Code = 1.5.1</t>
        </is>
      </c>
      <c r="E1100" s="34" t="inlineStr">
        <is>
          <t>R730-v1</t>
        </is>
      </c>
      <c r="F1100" s="34" t="inlineStr">
        <is>
          <t>1.5.1 Testing and Commissioning - Test Readiness</t>
        </is>
      </c>
      <c r="G1100" s="34" t="inlineStr">
        <is>
          <t>ONE_TO_ONE</t>
        </is>
      </c>
      <c r="H1100" s="34" t="inlineStr">
        <is>
          <t>APPROVED</t>
        </is>
      </c>
      <c r="I1100" s="34" t="inlineStr">
        <is>
          <t>New</t>
        </is>
      </c>
      <c r="J1100" s="34" t="inlineStr">
        <is>
          <t>Source assignment -- not individually reviewed</t>
        </is>
      </c>
      <c r="K1100" s="39" t="inlineStr"/>
      <c r="L1100" s="14" t="inlineStr"/>
      <c r="M1100" s="14" t="inlineStr"/>
      <c r="N1100" s="92" t="inlineStr">
        <is>
          <t>10 EVIDENCE &amp; DECISIONS</t>
        </is>
      </c>
    </row>
    <row r="1101" ht="34" customHeight="1">
      <c r="A1101" s="34" t="inlineStr">
        <is>
          <t>Contractor Programme</t>
        </is>
      </c>
      <c r="B1101" s="34" t="inlineStr">
        <is>
          <t>SCH-05-011</t>
        </is>
      </c>
      <c r="C1101" s="34" t="inlineStr">
        <is>
          <t>Central section: defect retest - field start</t>
        </is>
      </c>
      <c r="D1101" s="34" t="inlineStr">
        <is>
          <t>WBS Code = 1.5.1</t>
        </is>
      </c>
      <c r="E1101" s="34" t="inlineStr">
        <is>
          <t>R731-v1</t>
        </is>
      </c>
      <c r="F1101" s="34" t="inlineStr">
        <is>
          <t>1.5.1 Testing and Commissioning - Test Readiness</t>
        </is>
      </c>
      <c r="G1101" s="34" t="inlineStr">
        <is>
          <t>ONE_TO_ONE</t>
        </is>
      </c>
      <c r="H1101" s="34" t="inlineStr">
        <is>
          <t>APPROVED</t>
        </is>
      </c>
      <c r="I1101" s="34" t="inlineStr">
        <is>
          <t>New</t>
        </is>
      </c>
      <c r="J1101" s="34" t="inlineStr">
        <is>
          <t>Source assignment -- not individually reviewed</t>
        </is>
      </c>
      <c r="K1101" s="39" t="inlineStr"/>
      <c r="L1101" s="14" t="inlineStr"/>
      <c r="M1101" s="14" t="inlineStr"/>
      <c r="N1101" s="92" t="inlineStr">
        <is>
          <t>10 EVIDENCE &amp; DECISIONS</t>
        </is>
      </c>
    </row>
    <row r="1102" ht="34" customHeight="1">
      <c r="A1102" s="34" t="inlineStr">
        <is>
          <t>Contractor Programme</t>
        </is>
      </c>
      <c r="B1102" s="34" t="inlineStr">
        <is>
          <t>SCH-05-013</t>
        </is>
      </c>
      <c r="C1102" s="34" t="inlineStr">
        <is>
          <t>Depot: safety certificate evidence closeout - inspection</t>
        </is>
      </c>
      <c r="D1102" s="34" t="inlineStr">
        <is>
          <t>WBS Code = 1.5.1</t>
        </is>
      </c>
      <c r="E1102" s="34" t="inlineStr">
        <is>
          <t>R733-v1</t>
        </is>
      </c>
      <c r="F1102" s="34" t="inlineStr">
        <is>
          <t>1.5.1 Testing and Commissioning - Test Readiness</t>
        </is>
      </c>
      <c r="G1102" s="34" t="inlineStr">
        <is>
          <t>ONE_TO_ONE</t>
        </is>
      </c>
      <c r="H1102" s="34" t="inlineStr">
        <is>
          <t>APPROVED</t>
        </is>
      </c>
      <c r="I1102" s="34" t="inlineStr">
        <is>
          <t>New</t>
        </is>
      </c>
      <c r="J1102" s="34" t="inlineStr">
        <is>
          <t>Source assignment -- not individually reviewed</t>
        </is>
      </c>
      <c r="K1102" s="39" t="inlineStr"/>
      <c r="L1102" s="14" t="inlineStr"/>
      <c r="M1102" s="14" t="inlineStr"/>
      <c r="N1102" s="92" t="inlineStr">
        <is>
          <t>10 EVIDENCE &amp; DECISIONS</t>
        </is>
      </c>
    </row>
    <row r="1103" ht="34" customHeight="1">
      <c r="A1103" s="34" t="inlineStr">
        <is>
          <t>Contractor Programme</t>
        </is>
      </c>
      <c r="B1103" s="34" t="inlineStr">
        <is>
          <t>SCH-05-014</t>
        </is>
      </c>
      <c r="C1103" s="34" t="inlineStr">
        <is>
          <t>Control Centre: service-readiness review - turnover</t>
        </is>
      </c>
      <c r="D1103" s="34" t="inlineStr">
        <is>
          <t>WBS Code = 1.5.1</t>
        </is>
      </c>
      <c r="E1103" s="34" t="inlineStr">
        <is>
          <t>R734-v1</t>
        </is>
      </c>
      <c r="F1103" s="34" t="inlineStr">
        <is>
          <t>1.5.1 Testing and Commissioning - Test Readiness</t>
        </is>
      </c>
      <c r="G1103" s="34" t="inlineStr">
        <is>
          <t>ONE_TO_ONE</t>
        </is>
      </c>
      <c r="H1103" s="34" t="inlineStr">
        <is>
          <t>APPROVED</t>
        </is>
      </c>
      <c r="I1103" s="34" t="inlineStr">
        <is>
          <t>New</t>
        </is>
      </c>
      <c r="J1103" s="34" t="inlineStr">
        <is>
          <t>Source assignment -- not individually reviewed</t>
        </is>
      </c>
      <c r="K1103" s="39" t="inlineStr"/>
      <c r="L1103" s="14" t="inlineStr"/>
      <c r="M1103" s="14" t="inlineStr"/>
      <c r="N1103" s="92" t="inlineStr">
        <is>
          <t>10 EVIDENCE &amp; DECISIONS</t>
        </is>
      </c>
    </row>
    <row r="1104" ht="34" customHeight="1">
      <c r="A1104" s="34" t="inlineStr">
        <is>
          <t>Contractor Programme</t>
        </is>
      </c>
      <c r="B1104" s="34" t="inlineStr">
        <is>
          <t>SCH-05-016</t>
        </is>
      </c>
      <c r="C1104" s="34" t="inlineStr">
        <is>
          <t>Central section: trial-running shift - field start</t>
        </is>
      </c>
      <c r="D1104" s="34" t="inlineStr">
        <is>
          <t>WBS Code = 1.5.1</t>
        </is>
      </c>
      <c r="E1104" s="34" t="inlineStr">
        <is>
          <t>R736-v1</t>
        </is>
      </c>
      <c r="F1104" s="34" t="inlineStr">
        <is>
          <t>1.5.1 Testing and Commissioning - Test Readiness</t>
        </is>
      </c>
      <c r="G1104" s="34" t="inlineStr">
        <is>
          <t>ONE_TO_ONE</t>
        </is>
      </c>
      <c r="H1104" s="34" t="inlineStr">
        <is>
          <t>APPROVED</t>
        </is>
      </c>
      <c r="I1104" s="34" t="inlineStr">
        <is>
          <t>New</t>
        </is>
      </c>
      <c r="J1104" s="34" t="inlineStr">
        <is>
          <t>Source assignment -- not individually reviewed</t>
        </is>
      </c>
      <c r="K1104" s="39" t="inlineStr"/>
      <c r="L1104" s="14" t="inlineStr"/>
      <c r="M1104" s="14" t="inlineStr"/>
      <c r="N1104" s="92" t="inlineStr">
        <is>
          <t>10 EVIDENCE &amp; DECISIONS</t>
        </is>
      </c>
    </row>
    <row r="1105" ht="34" customHeight="1">
      <c r="A1105" s="34" t="inlineStr">
        <is>
          <t>Contractor Programme</t>
        </is>
      </c>
      <c r="B1105" s="34" t="inlineStr">
        <is>
          <t>SCH-05-017</t>
        </is>
      </c>
      <c r="C1105" s="34" t="inlineStr">
        <is>
          <t>West terminal: test procedure readiness review - installation</t>
        </is>
      </c>
      <c r="D1105" s="34" t="inlineStr">
        <is>
          <t>WBS Code = 1.5.1</t>
        </is>
      </c>
      <c r="E1105" s="34" t="inlineStr">
        <is>
          <t>R737-v1</t>
        </is>
      </c>
      <c r="F1105" s="34" t="inlineStr">
        <is>
          <t>1.5.1 Testing and Commissioning - Test Readiness</t>
        </is>
      </c>
      <c r="G1105" s="34" t="inlineStr">
        <is>
          <t>ONE_TO_ONE</t>
        </is>
      </c>
      <c r="H1105" s="34" t="inlineStr">
        <is>
          <t>APPROVED</t>
        </is>
      </c>
      <c r="I1105" s="34" t="inlineStr">
        <is>
          <t>New</t>
        </is>
      </c>
      <c r="J1105" s="34" t="inlineStr">
        <is>
          <t>Source assignment -- not individually reviewed</t>
        </is>
      </c>
      <c r="K1105" s="39" t="inlineStr"/>
      <c r="L1105" s="14" t="inlineStr"/>
      <c r="M1105" s="14" t="inlineStr"/>
      <c r="N1105" s="92" t="inlineStr">
        <is>
          <t>10 EVIDENCE &amp; DECISIONS</t>
        </is>
      </c>
    </row>
    <row r="1106" ht="34" customHeight="1">
      <c r="A1106" s="34" t="inlineStr">
        <is>
          <t>Contractor Programme</t>
        </is>
      </c>
      <c r="B1106" s="34" t="inlineStr">
        <is>
          <t>SCH-05-019</t>
        </is>
      </c>
      <c r="C1106" s="34" t="inlineStr">
        <is>
          <t>Control Centre: defect retest - turnover</t>
        </is>
      </c>
      <c r="D1106" s="34" t="inlineStr">
        <is>
          <t>WBS Code = 1.5.1</t>
        </is>
      </c>
      <c r="E1106" s="34" t="inlineStr">
        <is>
          <t>R739-v1</t>
        </is>
      </c>
      <c r="F1106" s="34" t="inlineStr">
        <is>
          <t>1.5.1 Testing and Commissioning - Test Readiness</t>
        </is>
      </c>
      <c r="G1106" s="34" t="inlineStr">
        <is>
          <t>ONE_TO_ONE</t>
        </is>
      </c>
      <c r="H1106" s="34" t="inlineStr">
        <is>
          <t>APPROVED</t>
        </is>
      </c>
      <c r="I1106" s="34" t="inlineStr">
        <is>
          <t>New</t>
        </is>
      </c>
      <c r="J1106" s="34" t="inlineStr">
        <is>
          <t>Source assignment -- not individually reviewed</t>
        </is>
      </c>
      <c r="K1106" s="39" t="inlineStr"/>
      <c r="L1106" s="14" t="inlineStr"/>
      <c r="M1106" s="14" t="inlineStr"/>
      <c r="N1106" s="92" t="inlineStr">
        <is>
          <t>10 EVIDENCE &amp; DECISIONS</t>
        </is>
      </c>
    </row>
    <row r="1107" ht="34" customHeight="1">
      <c r="A1107" s="34" t="inlineStr">
        <is>
          <t>Contractor Programme</t>
        </is>
      </c>
      <c r="B1107" s="34" t="inlineStr">
        <is>
          <t>SCH-05-020</t>
        </is>
      </c>
      <c r="C1107" s="34" t="inlineStr">
        <is>
          <t>Mainline east: mainline dynamic test - release</t>
        </is>
      </c>
      <c r="D1107" s="34" t="inlineStr">
        <is>
          <t>WBS Code = 1.5.1</t>
        </is>
      </c>
      <c r="E1107" s="34" t="inlineStr">
        <is>
          <t>R740-v1</t>
        </is>
      </c>
      <c r="F1107" s="34" t="inlineStr">
        <is>
          <t>1.5.1 Testing and Commissioning - Test Readiness</t>
        </is>
      </c>
      <c r="G1107" s="34" t="inlineStr">
        <is>
          <t>ONE_TO_ONE</t>
        </is>
      </c>
      <c r="H1107" s="34" t="inlineStr">
        <is>
          <t>APPROVED</t>
        </is>
      </c>
      <c r="I1107" s="34" t="inlineStr">
        <is>
          <t>New</t>
        </is>
      </c>
      <c r="J1107" s="34" t="inlineStr">
        <is>
          <t>Source assignment -- not individually reviewed</t>
        </is>
      </c>
      <c r="K1107" s="39" t="inlineStr"/>
      <c r="L1107" s="14" t="inlineStr"/>
      <c r="M1107" s="14" t="inlineStr"/>
      <c r="N1107" s="92" t="inlineStr">
        <is>
          <t>10 EVIDENCE &amp; DECISIONS</t>
        </is>
      </c>
    </row>
    <row r="1108" ht="34" customHeight="1">
      <c r="A1108" s="34" t="inlineStr">
        <is>
          <t>Contractor Programme</t>
        </is>
      </c>
      <c r="B1108" s="34" t="inlineStr">
        <is>
          <t>SCH-05-022</t>
        </is>
      </c>
      <c r="C1108" s="34" t="inlineStr">
        <is>
          <t>West terminal: service-readiness review - installation</t>
        </is>
      </c>
      <c r="D1108" s="34" t="inlineStr">
        <is>
          <t>WBS Code = 1.5.1</t>
        </is>
      </c>
      <c r="E1108" s="34" t="inlineStr">
        <is>
          <t>R742-v1</t>
        </is>
      </c>
      <c r="F1108" s="34" t="inlineStr">
        <is>
          <t>1.5.1 Testing and Commissioning - Test Readiness</t>
        </is>
      </c>
      <c r="G1108" s="34" t="inlineStr">
        <is>
          <t>ONE_TO_ONE</t>
        </is>
      </c>
      <c r="H1108" s="34" t="inlineStr">
        <is>
          <t>APPROVED</t>
        </is>
      </c>
      <c r="I1108" s="34" t="inlineStr">
        <is>
          <t>New</t>
        </is>
      </c>
      <c r="J1108" s="34" t="inlineStr">
        <is>
          <t>Source assignment -- not individually reviewed</t>
        </is>
      </c>
      <c r="K1108" s="39" t="inlineStr"/>
      <c r="L1108" s="14" t="inlineStr"/>
      <c r="M1108" s="14" t="inlineStr"/>
      <c r="N1108" s="92" t="inlineStr">
        <is>
          <t>10 EVIDENCE &amp; DECISIONS</t>
        </is>
      </c>
    </row>
    <row r="1109" ht="34" customHeight="1">
      <c r="A1109" s="34" t="inlineStr">
        <is>
          <t>Contractor Programme</t>
        </is>
      </c>
      <c r="B1109" s="34" t="inlineStr">
        <is>
          <t>SCH-05-023</t>
        </is>
      </c>
      <c r="C1109" s="34" t="inlineStr">
        <is>
          <t>Depot: station integrated test - inspection</t>
        </is>
      </c>
      <c r="D1109" s="34" t="inlineStr">
        <is>
          <t>WBS Code = 1.5.1</t>
        </is>
      </c>
      <c r="E1109" s="34" t="inlineStr">
        <is>
          <t>R743-v1</t>
        </is>
      </c>
      <c r="F1109" s="34" t="inlineStr">
        <is>
          <t>1.5.1 Testing and Commissioning - Test Readiness</t>
        </is>
      </c>
      <c r="G1109" s="34" t="inlineStr">
        <is>
          <t>ONE_TO_ONE</t>
        </is>
      </c>
      <c r="H1109" s="34" t="inlineStr">
        <is>
          <t>APPROVED</t>
        </is>
      </c>
      <c r="I1109" s="34" t="inlineStr">
        <is>
          <t>New</t>
        </is>
      </c>
      <c r="J1109" s="34" t="inlineStr">
        <is>
          <t>Source assignment -- not individually reviewed</t>
        </is>
      </c>
      <c r="K1109" s="39" t="inlineStr"/>
      <c r="L1109" s="14" t="inlineStr"/>
      <c r="M1109" s="14" t="inlineStr"/>
      <c r="N1109" s="92" t="inlineStr">
        <is>
          <t>10 EVIDENCE &amp; DECISIONS</t>
        </is>
      </c>
    </row>
    <row r="1110" ht="34" customHeight="1">
      <c r="A1110" s="34" t="inlineStr">
        <is>
          <t>Contractor Programme</t>
        </is>
      </c>
      <c r="B1110" s="34" t="inlineStr">
        <is>
          <t>SCH-05-025</t>
        </is>
      </c>
      <c r="C1110" s="34" t="inlineStr">
        <is>
          <t>Mainline east: test procedure readiness review - release</t>
        </is>
      </c>
      <c r="D1110" s="34" t="inlineStr">
        <is>
          <t>WBS Code = 1.5.1</t>
        </is>
      </c>
      <c r="E1110" s="34" t="inlineStr">
        <is>
          <t>R745-v1</t>
        </is>
      </c>
      <c r="F1110" s="34" t="inlineStr">
        <is>
          <t>1.5.1 Testing and Commissioning - Test Readiness</t>
        </is>
      </c>
      <c r="G1110" s="34" t="inlineStr">
        <is>
          <t>ONE_TO_ONE</t>
        </is>
      </c>
      <c r="H1110" s="34" t="inlineStr">
        <is>
          <t>APPROVED</t>
        </is>
      </c>
      <c r="I1110" s="34" t="inlineStr">
        <is>
          <t>New</t>
        </is>
      </c>
      <c r="J1110" s="34" t="inlineStr">
        <is>
          <t>Source assignment -- not individually reviewed</t>
        </is>
      </c>
      <c r="K1110" s="39" t="inlineStr"/>
      <c r="L1110" s="14" t="inlineStr"/>
      <c r="M1110" s="14" t="inlineStr"/>
      <c r="N1110" s="92" t="inlineStr">
        <is>
          <t>10 EVIDENCE &amp; DECISIONS</t>
        </is>
      </c>
    </row>
    <row r="1111" ht="34" customHeight="1">
      <c r="A1111" s="34" t="inlineStr">
        <is>
          <t>Contractor Programme</t>
        </is>
      </c>
      <c r="B1111" s="34" t="inlineStr">
        <is>
          <t>SCH-05-026</t>
        </is>
      </c>
      <c r="C1111" s="34" t="inlineStr">
        <is>
          <t>Central section: emergency-response drill - field start</t>
        </is>
      </c>
      <c r="D1111" s="34" t="inlineStr">
        <is>
          <t>WBS Code = 1.5.1</t>
        </is>
      </c>
      <c r="E1111" s="34" t="inlineStr">
        <is>
          <t>R746-v1</t>
        </is>
      </c>
      <c r="F1111" s="34" t="inlineStr">
        <is>
          <t>1.5.1 Testing and Commissioning - Test Readiness</t>
        </is>
      </c>
      <c r="G1111" s="34" t="inlineStr">
        <is>
          <t>ONE_TO_ONE</t>
        </is>
      </c>
      <c r="H1111" s="34" t="inlineStr">
        <is>
          <t>APPROVED</t>
        </is>
      </c>
      <c r="I1111" s="34" t="inlineStr">
        <is>
          <t>New</t>
        </is>
      </c>
      <c r="J1111" s="34" t="inlineStr">
        <is>
          <t>Source assignment -- not individually reviewed</t>
        </is>
      </c>
      <c r="K1111" s="39" t="inlineStr"/>
      <c r="L1111" s="14" t="inlineStr"/>
      <c r="M1111" s="14" t="inlineStr"/>
      <c r="N1111" s="92" t="inlineStr">
        <is>
          <t>10 EVIDENCE &amp; DECISIONS</t>
        </is>
      </c>
    </row>
    <row r="1112" ht="34" customHeight="1">
      <c r="A1112" s="34" t="inlineStr">
        <is>
          <t>Contractor Programme</t>
        </is>
      </c>
      <c r="B1112" s="34" t="inlineStr">
        <is>
          <t>SCH-05-028</t>
        </is>
      </c>
      <c r="C1112" s="34" t="inlineStr">
        <is>
          <t>Depot: mainline dynamic test - inspection</t>
        </is>
      </c>
      <c r="D1112" s="34" t="inlineStr">
        <is>
          <t>WBS Code = 1.5.1</t>
        </is>
      </c>
      <c r="E1112" s="34" t="inlineStr">
        <is>
          <t>R748-v1</t>
        </is>
      </c>
      <c r="F1112" s="34" t="inlineStr">
        <is>
          <t>1.5.1 Testing and Commissioning - Test Readiness</t>
        </is>
      </c>
      <c r="G1112" s="34" t="inlineStr">
        <is>
          <t>ONE_TO_ONE</t>
        </is>
      </c>
      <c r="H1112" s="34" t="inlineStr">
        <is>
          <t>APPROVED</t>
        </is>
      </c>
      <c r="I1112" s="34" t="inlineStr">
        <is>
          <t>New</t>
        </is>
      </c>
      <c r="J1112" s="34" t="inlineStr">
        <is>
          <t>Source assignment -- not individually reviewed</t>
        </is>
      </c>
      <c r="K1112" s="39" t="inlineStr"/>
      <c r="L1112" s="14" t="inlineStr"/>
      <c r="M1112" s="14" t="inlineStr"/>
      <c r="N1112" s="92" t="inlineStr">
        <is>
          <t>10 EVIDENCE &amp; DECISIONS</t>
        </is>
      </c>
    </row>
    <row r="1113" ht="34" customHeight="1">
      <c r="A1113" s="34" t="inlineStr">
        <is>
          <t>Contractor Programme</t>
        </is>
      </c>
      <c r="B1113" s="34" t="inlineStr">
        <is>
          <t>SCH-05-029</t>
        </is>
      </c>
      <c r="C1113" s="34" t="inlineStr">
        <is>
          <t>Control Centre: safety certificate evidence closeout - turnover</t>
        </is>
      </c>
      <c r="D1113" s="34" t="inlineStr">
        <is>
          <t>WBS Code = 1.5.1</t>
        </is>
      </c>
      <c r="E1113" s="34" t="inlineStr">
        <is>
          <t>R749-v1</t>
        </is>
      </c>
      <c r="F1113" s="34" t="inlineStr">
        <is>
          <t>1.5.1 Testing and Commissioning - Test Readiness</t>
        </is>
      </c>
      <c r="G1113" s="34" t="inlineStr">
        <is>
          <t>ONE_TO_ONE</t>
        </is>
      </c>
      <c r="H1113" s="34" t="inlineStr">
        <is>
          <t>APPROVED</t>
        </is>
      </c>
      <c r="I1113" s="34" t="inlineStr">
        <is>
          <t>New</t>
        </is>
      </c>
      <c r="J1113" s="34" t="inlineStr">
        <is>
          <t>Source assignment -- not individually reviewed</t>
        </is>
      </c>
      <c r="K1113" s="39" t="inlineStr"/>
      <c r="L1113" s="14" t="inlineStr"/>
      <c r="M1113" s="14" t="inlineStr"/>
      <c r="N1113" s="92" t="inlineStr">
        <is>
          <t>10 EVIDENCE &amp; DECISIONS</t>
        </is>
      </c>
    </row>
    <row r="1114" ht="34" customHeight="1">
      <c r="A1114" s="34" t="inlineStr">
        <is>
          <t>Contractor Programme</t>
        </is>
      </c>
      <c r="B1114" s="34" t="inlineStr">
        <is>
          <t>SCH-05-031</t>
        </is>
      </c>
      <c r="C1114" s="34" t="inlineStr">
        <is>
          <t>Central section: station integrated test - field start</t>
        </is>
      </c>
      <c r="D1114" s="34" t="inlineStr">
        <is>
          <t>WBS Code = 1.5.1</t>
        </is>
      </c>
      <c r="E1114" s="34" t="inlineStr">
        <is>
          <t>R751-v1</t>
        </is>
      </c>
      <c r="F1114" s="34" t="inlineStr">
        <is>
          <t>1.5.1 Testing and Commissioning - Test Readiness</t>
        </is>
      </c>
      <c r="G1114" s="34" t="inlineStr">
        <is>
          <t>ONE_TO_ONE</t>
        </is>
      </c>
      <c r="H1114" s="34" t="inlineStr">
        <is>
          <t>APPROVED</t>
        </is>
      </c>
      <c r="I1114" s="34" t="inlineStr">
        <is>
          <t>New</t>
        </is>
      </c>
      <c r="J1114" s="34" t="inlineStr">
        <is>
          <t>Source assignment -- not individually reviewed</t>
        </is>
      </c>
      <c r="K1114" s="39" t="inlineStr"/>
      <c r="L1114" s="14" t="inlineStr"/>
      <c r="M1114" s="14" t="inlineStr"/>
      <c r="N1114" s="92" t="inlineStr">
        <is>
          <t>10 EVIDENCE &amp; DECISIONS</t>
        </is>
      </c>
    </row>
    <row r="1115" ht="34" customHeight="1">
      <c r="A1115" s="34" t="inlineStr">
        <is>
          <t>Contractor Programme</t>
        </is>
      </c>
      <c r="B1115" s="34" t="inlineStr">
        <is>
          <t>SCH-05-032</t>
        </is>
      </c>
      <c r="C1115" s="34" t="inlineStr">
        <is>
          <t>West terminal: trial-running shift - installation</t>
        </is>
      </c>
      <c r="D1115" s="34" t="inlineStr">
        <is>
          <t>WBS Code = 1.5.1</t>
        </is>
      </c>
      <c r="E1115" s="34" t="inlineStr">
        <is>
          <t>R752-v1</t>
        </is>
      </c>
      <c r="F1115" s="34" t="inlineStr">
        <is>
          <t>1.5.1 Testing and Commissioning - Test Readiness</t>
        </is>
      </c>
      <c r="G1115" s="34" t="inlineStr">
        <is>
          <t>ONE_TO_ONE</t>
        </is>
      </c>
      <c r="H1115" s="34" t="inlineStr">
        <is>
          <t>APPROVED</t>
        </is>
      </c>
      <c r="I1115" s="34" t="inlineStr">
        <is>
          <t>New</t>
        </is>
      </c>
      <c r="J1115" s="34" t="inlineStr">
        <is>
          <t>Source assignment -- not individually reviewed</t>
        </is>
      </c>
      <c r="K1115" s="39" t="inlineStr"/>
      <c r="L1115" s="14" t="inlineStr"/>
      <c r="M1115" s="14" t="inlineStr"/>
      <c r="N1115" s="92" t="inlineStr">
        <is>
          <t>10 EVIDENCE &amp; DECISIONS</t>
        </is>
      </c>
    </row>
    <row r="1116" ht="34" customHeight="1">
      <c r="A1116" s="34" t="inlineStr">
        <is>
          <t>Contractor Programme</t>
        </is>
      </c>
      <c r="B1116" s="34" t="inlineStr">
        <is>
          <t>SCH-05-034</t>
        </is>
      </c>
      <c r="C1116" s="34" t="inlineStr">
        <is>
          <t>Control Centre: emergency-response drill - turnover</t>
        </is>
      </c>
      <c r="D1116" s="34" t="inlineStr">
        <is>
          <t>WBS Code = 1.5.1</t>
        </is>
      </c>
      <c r="E1116" s="34" t="inlineStr">
        <is>
          <t>R754-v1</t>
        </is>
      </c>
      <c r="F1116" s="34" t="inlineStr">
        <is>
          <t>1.5.1 Testing and Commissioning - Test Readiness</t>
        </is>
      </c>
      <c r="G1116" s="34" t="inlineStr">
        <is>
          <t>ONE_TO_ONE</t>
        </is>
      </c>
      <c r="H1116" s="34" t="inlineStr">
        <is>
          <t>APPROVED</t>
        </is>
      </c>
      <c r="I1116" s="34" t="inlineStr">
        <is>
          <t>New</t>
        </is>
      </c>
      <c r="J1116" s="34" t="inlineStr">
        <is>
          <t>Source assignment -- not individually reviewed</t>
        </is>
      </c>
      <c r="K1116" s="39" t="inlineStr"/>
      <c r="L1116" s="14" t="inlineStr"/>
      <c r="M1116" s="14" t="inlineStr"/>
      <c r="N1116" s="92" t="inlineStr">
        <is>
          <t>10 EVIDENCE &amp; DECISIONS</t>
        </is>
      </c>
    </row>
    <row r="1117" ht="34" customHeight="1">
      <c r="A1117" s="34" t="inlineStr">
        <is>
          <t>Contractor Programme</t>
        </is>
      </c>
      <c r="B1117" s="34" t="inlineStr">
        <is>
          <t>SCH-05-035</t>
        </is>
      </c>
      <c r="C1117" s="34" t="inlineStr">
        <is>
          <t>Mainline east: defect retest - release</t>
        </is>
      </c>
      <c r="D1117" s="34" t="inlineStr">
        <is>
          <t>WBS Code = 1.5.1</t>
        </is>
      </c>
      <c r="E1117" s="34" t="inlineStr">
        <is>
          <t>R755-v1</t>
        </is>
      </c>
      <c r="F1117" s="34" t="inlineStr">
        <is>
          <t>1.5.1 Testing and Commissioning - Test Readiness</t>
        </is>
      </c>
      <c r="G1117" s="34" t="inlineStr">
        <is>
          <t>ONE_TO_ONE</t>
        </is>
      </c>
      <c r="H1117" s="34" t="inlineStr">
        <is>
          <t>APPROVED</t>
        </is>
      </c>
      <c r="I1117" s="34" t="inlineStr">
        <is>
          <t>New</t>
        </is>
      </c>
      <c r="J1117" s="34" t="inlineStr">
        <is>
          <t>Source assignment -- not individually reviewed</t>
        </is>
      </c>
      <c r="K1117" s="39" t="inlineStr"/>
      <c r="L1117" s="14" t="inlineStr"/>
      <c r="M1117" s="14" t="inlineStr"/>
      <c r="N1117" s="92" t="inlineStr">
        <is>
          <t>10 EVIDENCE &amp; DECISIONS</t>
        </is>
      </c>
    </row>
    <row r="1118" ht="34" customHeight="1">
      <c r="A1118" s="34" t="inlineStr">
        <is>
          <t>Contractor Programme</t>
        </is>
      </c>
      <c r="B1118" s="34" t="inlineStr">
        <is>
          <t>SCH-05-037</t>
        </is>
      </c>
      <c r="C1118" s="34" t="inlineStr">
        <is>
          <t>West terminal: safety certificate evidence closeout - installation</t>
        </is>
      </c>
      <c r="D1118" s="34" t="inlineStr">
        <is>
          <t>WBS Code = 1.5.1</t>
        </is>
      </c>
      <c r="E1118" s="34" t="inlineStr">
        <is>
          <t>R757-v1</t>
        </is>
      </c>
      <c r="F1118" s="34" t="inlineStr">
        <is>
          <t>1.5.1 Testing and Commissioning - Test Readiness</t>
        </is>
      </c>
      <c r="G1118" s="34" t="inlineStr">
        <is>
          <t>ONE_TO_ONE</t>
        </is>
      </c>
      <c r="H1118" s="34" t="inlineStr">
        <is>
          <t>APPROVED</t>
        </is>
      </c>
      <c r="I1118" s="34" t="inlineStr">
        <is>
          <t>New</t>
        </is>
      </c>
      <c r="J1118" s="34" t="inlineStr">
        <is>
          <t>Source assignment -- not individually reviewed</t>
        </is>
      </c>
      <c r="K1118" s="39" t="inlineStr"/>
      <c r="L1118" s="14" t="inlineStr"/>
      <c r="M1118" s="14" t="inlineStr"/>
      <c r="N1118" s="92" t="inlineStr">
        <is>
          <t>10 EVIDENCE &amp; DECISIONS</t>
        </is>
      </c>
    </row>
    <row r="1119" ht="34" customHeight="1">
      <c r="A1119" s="34" t="inlineStr">
        <is>
          <t>Contractor Programme</t>
        </is>
      </c>
      <c r="B1119" s="34" t="inlineStr">
        <is>
          <t>SCH-05-038</t>
        </is>
      </c>
      <c r="C1119" s="34" t="inlineStr">
        <is>
          <t>Depot: service-readiness review - inspection</t>
        </is>
      </c>
      <c r="D1119" s="34" t="inlineStr">
        <is>
          <t>WBS Code = 1.5.1</t>
        </is>
      </c>
      <c r="E1119" s="34" t="inlineStr">
        <is>
          <t>R758-v1</t>
        </is>
      </c>
      <c r="F1119" s="34" t="inlineStr">
        <is>
          <t>1.5.1 Testing and Commissioning - Test Readiness</t>
        </is>
      </c>
      <c r="G1119" s="34" t="inlineStr">
        <is>
          <t>ONE_TO_ONE</t>
        </is>
      </c>
      <c r="H1119" s="34" t="inlineStr">
        <is>
          <t>APPROVED</t>
        </is>
      </c>
      <c r="I1119" s="34" t="inlineStr">
        <is>
          <t>New</t>
        </is>
      </c>
      <c r="J1119" s="34" t="inlineStr">
        <is>
          <t>Source assignment -- not individually reviewed</t>
        </is>
      </c>
      <c r="K1119" s="39" t="inlineStr"/>
      <c r="L1119" s="14" t="inlineStr"/>
      <c r="M1119" s="14" t="inlineStr"/>
      <c r="N1119" s="92" t="inlineStr">
        <is>
          <t>10 EVIDENCE &amp; DECISIONS</t>
        </is>
      </c>
    </row>
    <row r="1120" ht="34" customHeight="1">
      <c r="A1120" s="34" t="inlineStr">
        <is>
          <t>Contractor Programme</t>
        </is>
      </c>
      <c r="B1120" s="34" t="inlineStr">
        <is>
          <t>SCH-05-040</t>
        </is>
      </c>
      <c r="C1120" s="34" t="inlineStr">
        <is>
          <t>Mainline east: trial-running shift - release</t>
        </is>
      </c>
      <c r="D1120" s="34" t="inlineStr">
        <is>
          <t>WBS Code = 1.5.1</t>
        </is>
      </c>
      <c r="E1120" s="34" t="inlineStr">
        <is>
          <t>R760-v1</t>
        </is>
      </c>
      <c r="F1120" s="34" t="inlineStr">
        <is>
          <t>1.5.1 Testing and Commissioning - Test Readiness</t>
        </is>
      </c>
      <c r="G1120" s="34" t="inlineStr">
        <is>
          <t>ONE_TO_ONE</t>
        </is>
      </c>
      <c r="H1120" s="34" t="inlineStr">
        <is>
          <t>APPROVED</t>
        </is>
      </c>
      <c r="I1120" s="34" t="inlineStr">
        <is>
          <t>New</t>
        </is>
      </c>
      <c r="J1120" s="34" t="inlineStr">
        <is>
          <t>Source assignment -- not individually reviewed</t>
        </is>
      </c>
      <c r="K1120" s="39" t="inlineStr"/>
      <c r="L1120" s="14" t="inlineStr"/>
      <c r="M1120" s="14" t="inlineStr"/>
      <c r="N1120" s="92" t="inlineStr">
        <is>
          <t>10 EVIDENCE &amp; DECISIONS</t>
        </is>
      </c>
    </row>
    <row r="1121" ht="34" customHeight="1">
      <c r="A1121" s="34" t="inlineStr">
        <is>
          <t>Contractor Programme</t>
        </is>
      </c>
      <c r="B1121" s="34" t="inlineStr">
        <is>
          <t>SCH-05-041</t>
        </is>
      </c>
      <c r="C1121" s="34" t="inlineStr">
        <is>
          <t>Central section: test procedure readiness review - field start</t>
        </is>
      </c>
      <c r="D1121" s="34" t="inlineStr">
        <is>
          <t>WBS Code = 1.5.1</t>
        </is>
      </c>
      <c r="E1121" s="34" t="inlineStr">
        <is>
          <t>R761-v1</t>
        </is>
      </c>
      <c r="F1121" s="34" t="inlineStr">
        <is>
          <t>1.5.1 Testing and Commissioning - Test Readiness</t>
        </is>
      </c>
      <c r="G1121" s="34" t="inlineStr">
        <is>
          <t>ONE_TO_ONE</t>
        </is>
      </c>
      <c r="H1121" s="34" t="inlineStr">
        <is>
          <t>APPROVED</t>
        </is>
      </c>
      <c r="I1121" s="34" t="inlineStr">
        <is>
          <t>New</t>
        </is>
      </c>
      <c r="J1121" s="34" t="inlineStr">
        <is>
          <t>Source assignment -- not individually reviewed</t>
        </is>
      </c>
      <c r="K1121" s="39" t="inlineStr"/>
      <c r="L1121" s="14" t="inlineStr"/>
      <c r="M1121" s="14" t="inlineStr"/>
      <c r="N1121" s="92" t="inlineStr">
        <is>
          <t>10 EVIDENCE &amp; DECISIONS</t>
        </is>
      </c>
    </row>
    <row r="1122" ht="34" customHeight="1">
      <c r="A1122" s="34" t="inlineStr">
        <is>
          <t>Contractor Programme</t>
        </is>
      </c>
      <c r="B1122" s="34" t="inlineStr">
        <is>
          <t>SCH-05-043</t>
        </is>
      </c>
      <c r="C1122" s="34" t="inlineStr">
        <is>
          <t>Depot: defect retest - inspection</t>
        </is>
      </c>
      <c r="D1122" s="34" t="inlineStr">
        <is>
          <t>WBS Code = 1.5.1</t>
        </is>
      </c>
      <c r="E1122" s="34" t="inlineStr">
        <is>
          <t>R763-v1</t>
        </is>
      </c>
      <c r="F1122" s="34" t="inlineStr">
        <is>
          <t>1.5.1 Testing and Commissioning - Test Readiness</t>
        </is>
      </c>
      <c r="G1122" s="34" t="inlineStr">
        <is>
          <t>ONE_TO_ONE</t>
        </is>
      </c>
      <c r="H1122" s="34" t="inlineStr">
        <is>
          <t>APPROVED</t>
        </is>
      </c>
      <c r="I1122" s="34" t="inlineStr">
        <is>
          <t>New</t>
        </is>
      </c>
      <c r="J1122" s="34" t="inlineStr">
        <is>
          <t>Source assignment -- not individually reviewed</t>
        </is>
      </c>
      <c r="K1122" s="39" t="inlineStr"/>
      <c r="L1122" s="14" t="inlineStr"/>
      <c r="M1122" s="14" t="inlineStr"/>
      <c r="N1122" s="92" t="inlineStr">
        <is>
          <t>10 EVIDENCE &amp; DECISIONS</t>
        </is>
      </c>
    </row>
    <row r="1123" ht="34" customHeight="1">
      <c r="A1123" s="34" t="inlineStr">
        <is>
          <t>Contractor Programme</t>
        </is>
      </c>
      <c r="B1123" s="34" t="inlineStr">
        <is>
          <t>SCH-05-044</t>
        </is>
      </c>
      <c r="C1123" s="34" t="inlineStr">
        <is>
          <t>Control Centre: mainline dynamic test - turnover</t>
        </is>
      </c>
      <c r="D1123" s="34" t="inlineStr">
        <is>
          <t>WBS Code = 1.5.1</t>
        </is>
      </c>
      <c r="E1123" s="34" t="inlineStr">
        <is>
          <t>R764-v1</t>
        </is>
      </c>
      <c r="F1123" s="34" t="inlineStr">
        <is>
          <t>1.5.1 Testing and Commissioning - Test Readiness</t>
        </is>
      </c>
      <c r="G1123" s="34" t="inlineStr">
        <is>
          <t>ONE_TO_ONE</t>
        </is>
      </c>
      <c r="H1123" s="34" t="inlineStr">
        <is>
          <t>APPROVED</t>
        </is>
      </c>
      <c r="I1123" s="34" t="inlineStr">
        <is>
          <t>New</t>
        </is>
      </c>
      <c r="J1123" s="34" t="inlineStr">
        <is>
          <t>Source assignment -- not individually reviewed</t>
        </is>
      </c>
      <c r="K1123" s="39" t="inlineStr"/>
      <c r="L1123" s="14" t="inlineStr"/>
      <c r="M1123" s="14" t="inlineStr"/>
      <c r="N1123" s="92" t="inlineStr">
        <is>
          <t>10 EVIDENCE &amp; DECISIONS</t>
        </is>
      </c>
    </row>
    <row r="1124" ht="34" customHeight="1">
      <c r="A1124" s="34" t="inlineStr">
        <is>
          <t>Contractor Programme</t>
        </is>
      </c>
      <c r="B1124" s="34" t="inlineStr">
        <is>
          <t>SCH-05-046</t>
        </is>
      </c>
      <c r="C1124" s="34" t="inlineStr">
        <is>
          <t>Central section: service-readiness review - field start</t>
        </is>
      </c>
      <c r="D1124" s="34" t="inlineStr">
        <is>
          <t>WBS Code = 1.5.1</t>
        </is>
      </c>
      <c r="E1124" s="34" t="inlineStr">
        <is>
          <t>R766-v1</t>
        </is>
      </c>
      <c r="F1124" s="34" t="inlineStr">
        <is>
          <t>1.5.1 Testing and Commissioning - Test Readiness</t>
        </is>
      </c>
      <c r="G1124" s="34" t="inlineStr">
        <is>
          <t>ONE_TO_ONE</t>
        </is>
      </c>
      <c r="H1124" s="34" t="inlineStr">
        <is>
          <t>APPROVED</t>
        </is>
      </c>
      <c r="I1124" s="34" t="inlineStr">
        <is>
          <t>New</t>
        </is>
      </c>
      <c r="J1124" s="34" t="inlineStr">
        <is>
          <t>Source assignment -- not individually reviewed</t>
        </is>
      </c>
      <c r="K1124" s="39" t="inlineStr"/>
      <c r="L1124" s="14" t="inlineStr"/>
      <c r="M1124" s="14" t="inlineStr"/>
      <c r="N1124" s="92" t="inlineStr">
        <is>
          <t>10 EVIDENCE &amp; DECISIONS</t>
        </is>
      </c>
    </row>
    <row r="1125" ht="34" customHeight="1">
      <c r="A1125" s="34" t="inlineStr">
        <is>
          <t>Contractor Programme</t>
        </is>
      </c>
      <c r="B1125" s="34" t="inlineStr">
        <is>
          <t>SCH-05-047</t>
        </is>
      </c>
      <c r="C1125" s="34" t="inlineStr">
        <is>
          <t>West terminal: station integrated test - installation</t>
        </is>
      </c>
      <c r="D1125" s="34" t="inlineStr">
        <is>
          <t>WBS Code = 1.5.1</t>
        </is>
      </c>
      <c r="E1125" s="34" t="inlineStr">
        <is>
          <t>R767-v1</t>
        </is>
      </c>
      <c r="F1125" s="34" t="inlineStr">
        <is>
          <t>1.5.1 Testing and Commissioning - Test Readiness</t>
        </is>
      </c>
      <c r="G1125" s="34" t="inlineStr">
        <is>
          <t>ONE_TO_ONE</t>
        </is>
      </c>
      <c r="H1125" s="34" t="inlineStr">
        <is>
          <t>APPROVED</t>
        </is>
      </c>
      <c r="I1125" s="34" t="inlineStr">
        <is>
          <t>New</t>
        </is>
      </c>
      <c r="J1125" s="34" t="inlineStr">
        <is>
          <t>Source assignment -- not individually reviewed</t>
        </is>
      </c>
      <c r="K1125" s="39" t="inlineStr"/>
      <c r="L1125" s="14" t="inlineStr"/>
      <c r="M1125" s="14" t="inlineStr"/>
      <c r="N1125" s="92" t="inlineStr">
        <is>
          <t>10 EVIDENCE &amp; DECISIONS</t>
        </is>
      </c>
    </row>
    <row r="1126" ht="34" customHeight="1">
      <c r="A1126" s="34" t="inlineStr">
        <is>
          <t>Contractor Programme</t>
        </is>
      </c>
      <c r="B1126" s="34" t="inlineStr">
        <is>
          <t>SCH-05-049</t>
        </is>
      </c>
      <c r="C1126" s="34" t="inlineStr">
        <is>
          <t>Control Centre: test procedure readiness review - turnover</t>
        </is>
      </c>
      <c r="D1126" s="34" t="inlineStr">
        <is>
          <t>WBS Code = 1.5.1</t>
        </is>
      </c>
      <c r="E1126" s="34" t="inlineStr">
        <is>
          <t>R769-v1</t>
        </is>
      </c>
      <c r="F1126" s="34" t="inlineStr">
        <is>
          <t>1.5.1 Testing and Commissioning - Test Readiness</t>
        </is>
      </c>
      <c r="G1126" s="34" t="inlineStr">
        <is>
          <t>ONE_TO_ONE</t>
        </is>
      </c>
      <c r="H1126" s="34" t="inlineStr">
        <is>
          <t>APPROVED</t>
        </is>
      </c>
      <c r="I1126" s="34" t="inlineStr">
        <is>
          <t>New</t>
        </is>
      </c>
      <c r="J1126" s="34" t="inlineStr">
        <is>
          <t>Source assignment -- not individually reviewed</t>
        </is>
      </c>
      <c r="K1126" s="39" t="inlineStr"/>
      <c r="L1126" s="14" t="inlineStr"/>
      <c r="M1126" s="14" t="inlineStr"/>
      <c r="N1126" s="92" t="inlineStr">
        <is>
          <t>10 EVIDENCE &amp; DECISIONS</t>
        </is>
      </c>
    </row>
    <row r="1127" ht="34" customHeight="1">
      <c r="A1127" s="34" t="inlineStr">
        <is>
          <t>Contractor Programme</t>
        </is>
      </c>
      <c r="B1127" s="34" t="inlineStr">
        <is>
          <t>SCH-05-050</t>
        </is>
      </c>
      <c r="C1127" s="34" t="inlineStr">
        <is>
          <t>Mainline east: emergency-response drill - release</t>
        </is>
      </c>
      <c r="D1127" s="34" t="inlineStr">
        <is>
          <t>WBS Code = 1.5.1</t>
        </is>
      </c>
      <c r="E1127" s="34" t="inlineStr">
        <is>
          <t>R770-v1</t>
        </is>
      </c>
      <c r="F1127" s="34" t="inlineStr">
        <is>
          <t>1.5.1 Testing and Commissioning - Test Readiness</t>
        </is>
      </c>
      <c r="G1127" s="34" t="inlineStr">
        <is>
          <t>ONE_TO_ONE</t>
        </is>
      </c>
      <c r="H1127" s="34" t="inlineStr">
        <is>
          <t>APPROVED</t>
        </is>
      </c>
      <c r="I1127" s="34" t="inlineStr">
        <is>
          <t>New</t>
        </is>
      </c>
      <c r="J1127" s="34" t="inlineStr">
        <is>
          <t>Source assignment -- not individually reviewed</t>
        </is>
      </c>
      <c r="K1127" s="39" t="inlineStr"/>
      <c r="L1127" s="14" t="inlineStr"/>
      <c r="M1127" s="14" t="inlineStr"/>
      <c r="N1127" s="92" t="inlineStr">
        <is>
          <t>10 EVIDENCE &amp; DECISIONS</t>
        </is>
      </c>
    </row>
    <row r="1128" ht="34" customHeight="1">
      <c r="A1128" s="34" t="inlineStr">
        <is>
          <t>Contractor Programme</t>
        </is>
      </c>
      <c r="B1128" s="34" t="inlineStr">
        <is>
          <t>SCH-05-052</t>
        </is>
      </c>
      <c r="C1128" s="34" t="inlineStr">
        <is>
          <t>West terminal: mainline dynamic test - installation</t>
        </is>
      </c>
      <c r="D1128" s="34" t="inlineStr">
        <is>
          <t>WBS Code = 1.5.1</t>
        </is>
      </c>
      <c r="E1128" s="34" t="inlineStr">
        <is>
          <t>R772-v1</t>
        </is>
      </c>
      <c r="F1128" s="34" t="inlineStr">
        <is>
          <t>1.5.1 Testing and Commissioning - Test Readiness</t>
        </is>
      </c>
      <c r="G1128" s="34" t="inlineStr">
        <is>
          <t>ONE_TO_ONE</t>
        </is>
      </c>
      <c r="H1128" s="34" t="inlineStr">
        <is>
          <t>APPROVED</t>
        </is>
      </c>
      <c r="I1128" s="34" t="inlineStr">
        <is>
          <t>New</t>
        </is>
      </c>
      <c r="J1128" s="34" t="inlineStr">
        <is>
          <t>Source assignment -- not individually reviewed</t>
        </is>
      </c>
      <c r="K1128" s="39" t="inlineStr"/>
      <c r="L1128" s="14" t="inlineStr"/>
      <c r="M1128" s="14" t="inlineStr"/>
      <c r="N1128" s="92" t="inlineStr">
        <is>
          <t>10 EVIDENCE &amp; DECISIONS</t>
        </is>
      </c>
    </row>
    <row r="1129" ht="34" customHeight="1">
      <c r="A1129" s="34" t="inlineStr">
        <is>
          <t>Contractor Programme</t>
        </is>
      </c>
      <c r="B1129" s="34" t="inlineStr">
        <is>
          <t>SCH-05-053</t>
        </is>
      </c>
      <c r="C1129" s="34" t="inlineStr">
        <is>
          <t>Depot: safety certificate evidence closeout - inspection</t>
        </is>
      </c>
      <c r="D1129" s="34" t="inlineStr">
        <is>
          <t>WBS Code = 1.5.1</t>
        </is>
      </c>
      <c r="E1129" s="34" t="inlineStr">
        <is>
          <t>R773-v1</t>
        </is>
      </c>
      <c r="F1129" s="34" t="inlineStr">
        <is>
          <t>1.5.1 Testing and Commissioning - Test Readiness</t>
        </is>
      </c>
      <c r="G1129" s="34" t="inlineStr">
        <is>
          <t>ONE_TO_ONE</t>
        </is>
      </c>
      <c r="H1129" s="34" t="inlineStr">
        <is>
          <t>APPROVED</t>
        </is>
      </c>
      <c r="I1129" s="34" t="inlineStr">
        <is>
          <t>New</t>
        </is>
      </c>
      <c r="J1129" s="34" t="inlineStr">
        <is>
          <t>Source assignment -- not individually reviewed</t>
        </is>
      </c>
      <c r="K1129" s="39" t="inlineStr"/>
      <c r="L1129" s="14" t="inlineStr"/>
      <c r="M1129" s="14" t="inlineStr"/>
      <c r="N1129" s="92" t="inlineStr">
        <is>
          <t>10 EVIDENCE &amp; DECISIONS</t>
        </is>
      </c>
    </row>
    <row r="1130" ht="34" customHeight="1">
      <c r="A1130" s="34" t="inlineStr">
        <is>
          <t>Contractor Programme</t>
        </is>
      </c>
      <c r="B1130" s="34" t="inlineStr">
        <is>
          <t>SCH-05-055</t>
        </is>
      </c>
      <c r="C1130" s="34" t="inlineStr">
        <is>
          <t>Mainline east: station integrated test - release</t>
        </is>
      </c>
      <c r="D1130" s="34" t="inlineStr">
        <is>
          <t>WBS Code = 1.5.1</t>
        </is>
      </c>
      <c r="E1130" s="34" t="inlineStr">
        <is>
          <t>R775-v1</t>
        </is>
      </c>
      <c r="F1130" s="34" t="inlineStr">
        <is>
          <t>1.5.1 Testing and Commissioning - Test Readiness</t>
        </is>
      </c>
      <c r="G1130" s="34" t="inlineStr">
        <is>
          <t>ONE_TO_ONE</t>
        </is>
      </c>
      <c r="H1130" s="34" t="inlineStr">
        <is>
          <t>APPROVED</t>
        </is>
      </c>
      <c r="I1130" s="34" t="inlineStr">
        <is>
          <t>New</t>
        </is>
      </c>
      <c r="J1130" s="34" t="inlineStr">
        <is>
          <t>Source assignment -- not individually reviewed</t>
        </is>
      </c>
      <c r="K1130" s="39" t="inlineStr"/>
      <c r="L1130" s="14" t="inlineStr"/>
      <c r="M1130" s="14" t="inlineStr"/>
      <c r="N1130" s="92" t="inlineStr">
        <is>
          <t>10 EVIDENCE &amp; DECISIONS</t>
        </is>
      </c>
    </row>
    <row r="1131" ht="34" customHeight="1">
      <c r="A1131" s="34" t="inlineStr">
        <is>
          <t>Contractor Programme</t>
        </is>
      </c>
      <c r="B1131" s="34" t="inlineStr">
        <is>
          <t>SCH-05-056</t>
        </is>
      </c>
      <c r="C1131" s="34" t="inlineStr">
        <is>
          <t>Central section: trial-running shift - field start</t>
        </is>
      </c>
      <c r="D1131" s="34" t="inlineStr">
        <is>
          <t>WBS Code = 1.5.1</t>
        </is>
      </c>
      <c r="E1131" s="34" t="inlineStr">
        <is>
          <t>R776-v1</t>
        </is>
      </c>
      <c r="F1131" s="34" t="inlineStr">
        <is>
          <t>1.5.1 Testing and Commissioning - Test Readiness</t>
        </is>
      </c>
      <c r="G1131" s="34" t="inlineStr">
        <is>
          <t>ONE_TO_ONE</t>
        </is>
      </c>
      <c r="H1131" s="34" t="inlineStr">
        <is>
          <t>APPROVED</t>
        </is>
      </c>
      <c r="I1131" s="34" t="inlineStr">
        <is>
          <t>New</t>
        </is>
      </c>
      <c r="J1131" s="34" t="inlineStr">
        <is>
          <t>Source assignment -- not individually reviewed</t>
        </is>
      </c>
      <c r="K1131" s="39" t="inlineStr"/>
      <c r="L1131" s="14" t="inlineStr"/>
      <c r="M1131" s="14" t="inlineStr"/>
      <c r="N1131" s="92" t="inlineStr">
        <is>
          <t>10 EVIDENCE &amp; DECISIONS</t>
        </is>
      </c>
    </row>
    <row r="1132" ht="34" customHeight="1">
      <c r="A1132" s="34" t="inlineStr">
        <is>
          <t>Contractor Programme</t>
        </is>
      </c>
      <c r="B1132" s="34" t="inlineStr">
        <is>
          <t>SCH-05-058</t>
        </is>
      </c>
      <c r="C1132" s="34" t="inlineStr">
        <is>
          <t>Depot: emergency-response drill - inspection</t>
        </is>
      </c>
      <c r="D1132" s="34" t="inlineStr">
        <is>
          <t>WBS Code = 1.5.1</t>
        </is>
      </c>
      <c r="E1132" s="34" t="inlineStr">
        <is>
          <t>R778-v1</t>
        </is>
      </c>
      <c r="F1132" s="34" t="inlineStr">
        <is>
          <t>1.5.1 Testing and Commissioning - Test Readiness</t>
        </is>
      </c>
      <c r="G1132" s="34" t="inlineStr">
        <is>
          <t>ONE_TO_ONE</t>
        </is>
      </c>
      <c r="H1132" s="34" t="inlineStr">
        <is>
          <t>APPROVED</t>
        </is>
      </c>
      <c r="I1132" s="34" t="inlineStr">
        <is>
          <t>New</t>
        </is>
      </c>
      <c r="J1132" s="34" t="inlineStr">
        <is>
          <t>Source assignment -- not individually reviewed</t>
        </is>
      </c>
      <c r="K1132" s="39" t="inlineStr"/>
      <c r="L1132" s="14" t="inlineStr"/>
      <c r="M1132" s="14" t="inlineStr"/>
      <c r="N1132" s="92" t="inlineStr">
        <is>
          <t>10 EVIDENCE &amp; DECISIONS</t>
        </is>
      </c>
    </row>
    <row r="1133" ht="34" customHeight="1">
      <c r="A1133" s="34" t="inlineStr">
        <is>
          <t>Contractor Programme</t>
        </is>
      </c>
      <c r="B1133" s="34" t="inlineStr">
        <is>
          <t>SCH-05-059</t>
        </is>
      </c>
      <c r="C1133" s="34" t="inlineStr">
        <is>
          <t>Control Centre: defect retest - turnover</t>
        </is>
      </c>
      <c r="D1133" s="34" t="inlineStr">
        <is>
          <t>WBS Code = 1.5.1</t>
        </is>
      </c>
      <c r="E1133" s="34" t="inlineStr">
        <is>
          <t>R779-v1</t>
        </is>
      </c>
      <c r="F1133" s="34" t="inlineStr">
        <is>
          <t>1.5.1 Testing and Commissioning - Test Readiness</t>
        </is>
      </c>
      <c r="G1133" s="34" t="inlineStr">
        <is>
          <t>ONE_TO_ONE</t>
        </is>
      </c>
      <c r="H1133" s="34" t="inlineStr">
        <is>
          <t>APPROVED</t>
        </is>
      </c>
      <c r="I1133" s="34" t="inlineStr">
        <is>
          <t>New</t>
        </is>
      </c>
      <c r="J1133" s="34" t="inlineStr">
        <is>
          <t>Source assignment -- not individually reviewed</t>
        </is>
      </c>
      <c r="K1133" s="39" t="inlineStr"/>
      <c r="L1133" s="14" t="inlineStr"/>
      <c r="M1133" s="14" t="inlineStr"/>
      <c r="N1133" s="92" t="inlineStr">
        <is>
          <t>10 EVIDENCE &amp; DECISIONS</t>
        </is>
      </c>
    </row>
    <row r="1134" ht="34" customHeight="1">
      <c r="A1134" s="34" t="inlineStr">
        <is>
          <t>Contractor Programme</t>
        </is>
      </c>
      <c r="B1134" s="34" t="inlineStr">
        <is>
          <t>SCH-05-061</t>
        </is>
      </c>
      <c r="C1134" s="34" t="inlineStr">
        <is>
          <t>Central section: safety certificate evidence closeout - field start</t>
        </is>
      </c>
      <c r="D1134" s="34" t="inlineStr">
        <is>
          <t>WBS Code = 1.5.1</t>
        </is>
      </c>
      <c r="E1134" s="34" t="inlineStr">
        <is>
          <t>R781-v1</t>
        </is>
      </c>
      <c r="F1134" s="34" t="inlineStr">
        <is>
          <t>1.5.1 Testing and Commissioning - Test Readiness</t>
        </is>
      </c>
      <c r="G1134" s="34" t="inlineStr">
        <is>
          <t>ONE_TO_ONE</t>
        </is>
      </c>
      <c r="H1134" s="34" t="inlineStr">
        <is>
          <t>APPROVED</t>
        </is>
      </c>
      <c r="I1134" s="34" t="inlineStr">
        <is>
          <t>New</t>
        </is>
      </c>
      <c r="J1134" s="34" t="inlineStr">
        <is>
          <t>Source assignment -- not individually reviewed</t>
        </is>
      </c>
      <c r="K1134" s="39" t="inlineStr"/>
      <c r="L1134" s="14" t="inlineStr"/>
      <c r="M1134" s="14" t="inlineStr"/>
      <c r="N1134" s="92" t="inlineStr">
        <is>
          <t>10 EVIDENCE &amp; DECISIONS</t>
        </is>
      </c>
    </row>
    <row r="1135" ht="34" customHeight="1">
      <c r="A1135" s="34" t="inlineStr">
        <is>
          <t>Contractor Programme</t>
        </is>
      </c>
      <c r="B1135" s="34" t="inlineStr">
        <is>
          <t>SCH-05-062</t>
        </is>
      </c>
      <c r="C1135" s="34" t="inlineStr">
        <is>
          <t>West terminal: service-readiness review - installation</t>
        </is>
      </c>
      <c r="D1135" s="34" t="inlineStr">
        <is>
          <t>WBS Code = 1.5.1</t>
        </is>
      </c>
      <c r="E1135" s="34" t="inlineStr">
        <is>
          <t>R782-v1</t>
        </is>
      </c>
      <c r="F1135" s="34" t="inlineStr">
        <is>
          <t>1.5.1 Testing and Commissioning - Test Readiness</t>
        </is>
      </c>
      <c r="G1135" s="34" t="inlineStr">
        <is>
          <t>ONE_TO_ONE</t>
        </is>
      </c>
      <c r="H1135" s="34" t="inlineStr">
        <is>
          <t>APPROVED</t>
        </is>
      </c>
      <c r="I1135" s="34" t="inlineStr">
        <is>
          <t>New</t>
        </is>
      </c>
      <c r="J1135" s="34" t="inlineStr">
        <is>
          <t>Source assignment -- not individually reviewed</t>
        </is>
      </c>
      <c r="K1135" s="39" t="inlineStr"/>
      <c r="L1135" s="14" t="inlineStr"/>
      <c r="M1135" s="14" t="inlineStr"/>
      <c r="N1135" s="92" t="inlineStr">
        <is>
          <t>10 EVIDENCE &amp; DECISIONS</t>
        </is>
      </c>
    </row>
    <row r="1136" ht="34" customHeight="1">
      <c r="A1136" s="34" t="inlineStr">
        <is>
          <t>Contractor Programme</t>
        </is>
      </c>
      <c r="B1136" s="34" t="inlineStr">
        <is>
          <t>SCH-05-064</t>
        </is>
      </c>
      <c r="C1136" s="34" t="inlineStr">
        <is>
          <t>Control Centre: trial-running shift - turnover</t>
        </is>
      </c>
      <c r="D1136" s="34" t="inlineStr">
        <is>
          <t>WBS Code = 1.5.1</t>
        </is>
      </c>
      <c r="E1136" s="34" t="inlineStr">
        <is>
          <t>R784-v1</t>
        </is>
      </c>
      <c r="F1136" s="34" t="inlineStr">
        <is>
          <t>1.5.1 Testing and Commissioning - Test Readiness</t>
        </is>
      </c>
      <c r="G1136" s="34" t="inlineStr">
        <is>
          <t>ONE_TO_ONE</t>
        </is>
      </c>
      <c r="H1136" s="34" t="inlineStr">
        <is>
          <t>APPROVED</t>
        </is>
      </c>
      <c r="I1136" s="34" t="inlineStr">
        <is>
          <t>New</t>
        </is>
      </c>
      <c r="J1136" s="34" t="inlineStr">
        <is>
          <t>Source assignment -- not individually reviewed</t>
        </is>
      </c>
      <c r="K1136" s="39" t="inlineStr"/>
      <c r="L1136" s="14" t="inlineStr"/>
      <c r="M1136" s="14" t="inlineStr"/>
      <c r="N1136" s="92" t="inlineStr">
        <is>
          <t>10 EVIDENCE &amp; DECISIONS</t>
        </is>
      </c>
    </row>
    <row r="1137" ht="34" customHeight="1">
      <c r="A1137" s="34" t="inlineStr">
        <is>
          <t>Contractor Programme</t>
        </is>
      </c>
      <c r="B1137" s="34" t="inlineStr">
        <is>
          <t>SCH-05-065</t>
        </is>
      </c>
      <c r="C1137" s="34" t="inlineStr">
        <is>
          <t>Mainline east: test procedure readiness review - release</t>
        </is>
      </c>
      <c r="D1137" s="34" t="inlineStr">
        <is>
          <t>WBS Code = 1.5.1</t>
        </is>
      </c>
      <c r="E1137" s="34" t="inlineStr">
        <is>
          <t>R785-v1</t>
        </is>
      </c>
      <c r="F1137" s="34" t="inlineStr">
        <is>
          <t>1.5.1 Testing and Commissioning - Test Readiness</t>
        </is>
      </c>
      <c r="G1137" s="34" t="inlineStr">
        <is>
          <t>ONE_TO_ONE</t>
        </is>
      </c>
      <c r="H1137" s="34" t="inlineStr">
        <is>
          <t>APPROVED</t>
        </is>
      </c>
      <c r="I1137" s="34" t="inlineStr">
        <is>
          <t>New</t>
        </is>
      </c>
      <c r="J1137" s="34" t="inlineStr">
        <is>
          <t>Source assignment -- not individually reviewed</t>
        </is>
      </c>
      <c r="K1137" s="39" t="inlineStr"/>
      <c r="L1137" s="14" t="inlineStr"/>
      <c r="M1137" s="14" t="inlineStr"/>
      <c r="N1137" s="92" t="inlineStr">
        <is>
          <t>10 EVIDENCE &amp; DECISIONS</t>
        </is>
      </c>
    </row>
    <row r="1138" ht="34" customHeight="1">
      <c r="A1138" s="34" t="inlineStr">
        <is>
          <t>Contractor Programme</t>
        </is>
      </c>
      <c r="B1138" s="34" t="inlineStr">
        <is>
          <t>SCH-05-067</t>
        </is>
      </c>
      <c r="C1138" s="34" t="inlineStr">
        <is>
          <t>West terminal: defect retest - installation</t>
        </is>
      </c>
      <c r="D1138" s="34" t="inlineStr">
        <is>
          <t>WBS Code = 1.5.1</t>
        </is>
      </c>
      <c r="E1138" s="34" t="inlineStr">
        <is>
          <t>R787-v1</t>
        </is>
      </c>
      <c r="F1138" s="34" t="inlineStr">
        <is>
          <t>1.5.1 Testing and Commissioning - Test Readiness</t>
        </is>
      </c>
      <c r="G1138" s="34" t="inlineStr">
        <is>
          <t>ONE_TO_ONE</t>
        </is>
      </c>
      <c r="H1138" s="34" t="inlineStr">
        <is>
          <t>APPROVED</t>
        </is>
      </c>
      <c r="I1138" s="34" t="inlineStr">
        <is>
          <t>New</t>
        </is>
      </c>
      <c r="J1138" s="34" t="inlineStr">
        <is>
          <t>Source assignment -- not individually reviewed</t>
        </is>
      </c>
      <c r="K1138" s="39" t="inlineStr"/>
      <c r="L1138" s="14" t="inlineStr"/>
      <c r="M1138" s="14" t="inlineStr"/>
      <c r="N1138" s="92" t="inlineStr">
        <is>
          <t>10 EVIDENCE &amp; DECISIONS</t>
        </is>
      </c>
    </row>
    <row r="1139" ht="34" customHeight="1">
      <c r="A1139" s="34" t="inlineStr">
        <is>
          <t>Contractor Programme</t>
        </is>
      </c>
      <c r="B1139" s="34" t="inlineStr">
        <is>
          <t>SCH-05-068</t>
        </is>
      </c>
      <c r="C1139" s="34" t="inlineStr">
        <is>
          <t>Depot: mainline dynamic test - inspection</t>
        </is>
      </c>
      <c r="D1139" s="34" t="inlineStr">
        <is>
          <t>WBS Code = 1.5.1</t>
        </is>
      </c>
      <c r="E1139" s="34" t="inlineStr">
        <is>
          <t>R788-v1</t>
        </is>
      </c>
      <c r="F1139" s="34" t="inlineStr">
        <is>
          <t>1.5.1 Testing and Commissioning - Test Readiness</t>
        </is>
      </c>
      <c r="G1139" s="34" t="inlineStr">
        <is>
          <t>ONE_TO_ONE</t>
        </is>
      </c>
      <c r="H1139" s="34" t="inlineStr">
        <is>
          <t>APPROVED</t>
        </is>
      </c>
      <c r="I1139" s="34" t="inlineStr">
        <is>
          <t>New</t>
        </is>
      </c>
      <c r="J1139" s="34" t="inlineStr">
        <is>
          <t>Source assignment -- not individually reviewed</t>
        </is>
      </c>
      <c r="K1139" s="39" t="inlineStr"/>
      <c r="L1139" s="14" t="inlineStr"/>
      <c r="M1139" s="14" t="inlineStr"/>
      <c r="N1139" s="92" t="inlineStr">
        <is>
          <t>10 EVIDENCE &amp; DECISIONS</t>
        </is>
      </c>
    </row>
    <row r="1140" ht="34" customHeight="1">
      <c r="A1140" s="34" t="inlineStr">
        <is>
          <t>Contractor Programme</t>
        </is>
      </c>
      <c r="B1140" s="34" t="inlineStr">
        <is>
          <t>SCH-05-070</t>
        </is>
      </c>
      <c r="C1140" s="34" t="inlineStr">
        <is>
          <t>Mainline east: service-readiness review - release</t>
        </is>
      </c>
      <c r="D1140" s="34" t="inlineStr">
        <is>
          <t>WBS Code = 1.5.1</t>
        </is>
      </c>
      <c r="E1140" s="34" t="inlineStr">
        <is>
          <t>R790-v1</t>
        </is>
      </c>
      <c r="F1140" s="34" t="inlineStr">
        <is>
          <t>1.5.1 Testing and Commissioning - Test Readiness</t>
        </is>
      </c>
      <c r="G1140" s="34" t="inlineStr">
        <is>
          <t>ONE_TO_ONE</t>
        </is>
      </c>
      <c r="H1140" s="34" t="inlineStr">
        <is>
          <t>APPROVED</t>
        </is>
      </c>
      <c r="I1140" s="34" t="inlineStr">
        <is>
          <t>New</t>
        </is>
      </c>
      <c r="J1140" s="34" t="inlineStr">
        <is>
          <t>Source assignment -- not individually reviewed</t>
        </is>
      </c>
      <c r="K1140" s="39" t="inlineStr"/>
      <c r="L1140" s="14" t="inlineStr"/>
      <c r="M1140" s="14" t="inlineStr"/>
      <c r="N1140" s="92" t="inlineStr">
        <is>
          <t>10 EVIDENCE &amp; DECISIONS</t>
        </is>
      </c>
    </row>
    <row r="1141" ht="34" customHeight="1">
      <c r="A1141" s="34" t="inlineStr">
        <is>
          <t>Contractor Programme</t>
        </is>
      </c>
      <c r="B1141" s="34" t="inlineStr">
        <is>
          <t>SCH-05-071</t>
        </is>
      </c>
      <c r="C1141" s="34" t="inlineStr">
        <is>
          <t>Central section: station integrated test - field start</t>
        </is>
      </c>
      <c r="D1141" s="34" t="inlineStr">
        <is>
          <t>WBS Code = 1.5.1</t>
        </is>
      </c>
      <c r="E1141" s="34" t="inlineStr">
        <is>
          <t>R791-v1</t>
        </is>
      </c>
      <c r="F1141" s="34" t="inlineStr">
        <is>
          <t>1.5.1 Testing and Commissioning - Test Readiness</t>
        </is>
      </c>
      <c r="G1141" s="34" t="inlineStr">
        <is>
          <t>ONE_TO_ONE</t>
        </is>
      </c>
      <c r="H1141" s="34" t="inlineStr">
        <is>
          <t>APPROVED</t>
        </is>
      </c>
      <c r="I1141" s="34" t="inlineStr">
        <is>
          <t>New</t>
        </is>
      </c>
      <c r="J1141" s="34" t="inlineStr">
        <is>
          <t>Source assignment -- not individually reviewed</t>
        </is>
      </c>
      <c r="K1141" s="39" t="inlineStr"/>
      <c r="L1141" s="14" t="inlineStr"/>
      <c r="M1141" s="14" t="inlineStr"/>
      <c r="N1141" s="92" t="inlineStr">
        <is>
          <t>10 EVIDENCE &amp; DECISIONS</t>
        </is>
      </c>
    </row>
    <row r="1142" ht="34" customHeight="1">
      <c r="A1142" s="34" t="inlineStr">
        <is>
          <t>Contractor Programme</t>
        </is>
      </c>
      <c r="B1142" s="34" t="inlineStr">
        <is>
          <t>SCH-05-073</t>
        </is>
      </c>
      <c r="C1142" s="34" t="inlineStr">
        <is>
          <t>Depot: test procedure readiness review - inspection</t>
        </is>
      </c>
      <c r="D1142" s="34" t="inlineStr">
        <is>
          <t>WBS Code = 1.5.1</t>
        </is>
      </c>
      <c r="E1142" s="34" t="inlineStr">
        <is>
          <t>R793-v1</t>
        </is>
      </c>
      <c r="F1142" s="34" t="inlineStr">
        <is>
          <t>1.5.1 Testing and Commissioning - Test Readiness</t>
        </is>
      </c>
      <c r="G1142" s="34" t="inlineStr">
        <is>
          <t>ONE_TO_ONE</t>
        </is>
      </c>
      <c r="H1142" s="34" t="inlineStr">
        <is>
          <t>APPROVED</t>
        </is>
      </c>
      <c r="I1142" s="34" t="inlineStr">
        <is>
          <t>New</t>
        </is>
      </c>
      <c r="J1142" s="34" t="inlineStr">
        <is>
          <t>Source assignment -- not individually reviewed</t>
        </is>
      </c>
      <c r="K1142" s="39" t="inlineStr"/>
      <c r="L1142" s="14" t="inlineStr"/>
      <c r="M1142" s="14" t="inlineStr"/>
      <c r="N1142" s="92" t="inlineStr">
        <is>
          <t>10 EVIDENCE &amp; DECISIONS</t>
        </is>
      </c>
    </row>
    <row r="1143" ht="34" customHeight="1">
      <c r="A1143" s="34" t="inlineStr">
        <is>
          <t>Contractor Programme</t>
        </is>
      </c>
      <c r="B1143" s="34" t="inlineStr">
        <is>
          <t>SCH-05-074</t>
        </is>
      </c>
      <c r="C1143" s="34" t="inlineStr">
        <is>
          <t>Control Centre: emergency-response drill - turnover</t>
        </is>
      </c>
      <c r="D1143" s="34" t="inlineStr">
        <is>
          <t>WBS Code = 1.5.1</t>
        </is>
      </c>
      <c r="E1143" s="34" t="inlineStr">
        <is>
          <t>R794-v1</t>
        </is>
      </c>
      <c r="F1143" s="34" t="inlineStr">
        <is>
          <t>1.5.1 Testing and Commissioning - Test Readiness</t>
        </is>
      </c>
      <c r="G1143" s="34" t="inlineStr">
        <is>
          <t>ONE_TO_ONE</t>
        </is>
      </c>
      <c r="H1143" s="34" t="inlineStr">
        <is>
          <t>APPROVED</t>
        </is>
      </c>
      <c r="I1143" s="34" t="inlineStr">
        <is>
          <t>New</t>
        </is>
      </c>
      <c r="J1143" s="34" t="inlineStr">
        <is>
          <t>Source assignment -- not individually reviewed</t>
        </is>
      </c>
      <c r="K1143" s="39" t="inlineStr"/>
      <c r="L1143" s="14" t="inlineStr"/>
      <c r="M1143" s="14" t="inlineStr"/>
      <c r="N1143" s="92" t="inlineStr">
        <is>
          <t>10 EVIDENCE &amp; DECISIONS</t>
        </is>
      </c>
    </row>
    <row r="1144" ht="34" customHeight="1">
      <c r="A1144" s="34" t="inlineStr">
        <is>
          <t>Contractor Programme</t>
        </is>
      </c>
      <c r="B1144" s="34" t="inlineStr">
        <is>
          <t>SCH-05-076</t>
        </is>
      </c>
      <c r="C1144" s="34" t="inlineStr">
        <is>
          <t>Central section: mainline dynamic test - field start</t>
        </is>
      </c>
      <c r="D1144" s="34" t="inlineStr">
        <is>
          <t>WBS Code = 1.5.1</t>
        </is>
      </c>
      <c r="E1144" s="34" t="inlineStr">
        <is>
          <t>R796-v1</t>
        </is>
      </c>
      <c r="F1144" s="34" t="inlineStr">
        <is>
          <t>1.5.1 Testing and Commissioning - Test Readiness</t>
        </is>
      </c>
      <c r="G1144" s="34" t="inlineStr">
        <is>
          <t>ONE_TO_ONE</t>
        </is>
      </c>
      <c r="H1144" s="34" t="inlineStr">
        <is>
          <t>APPROVED</t>
        </is>
      </c>
      <c r="I1144" s="34" t="inlineStr">
        <is>
          <t>New</t>
        </is>
      </c>
      <c r="J1144" s="34" t="inlineStr">
        <is>
          <t>Source assignment -- not individually reviewed</t>
        </is>
      </c>
      <c r="K1144" s="39" t="inlineStr"/>
      <c r="L1144" s="14" t="inlineStr"/>
      <c r="M1144" s="14" t="inlineStr"/>
      <c r="N1144" s="92" t="inlineStr">
        <is>
          <t>10 EVIDENCE &amp; DECISIONS</t>
        </is>
      </c>
    </row>
    <row r="1145" ht="34" customHeight="1">
      <c r="A1145" s="34" t="inlineStr">
        <is>
          <t>Contractor Programme</t>
        </is>
      </c>
      <c r="B1145" s="34" t="inlineStr">
        <is>
          <t>SCH-05-077</t>
        </is>
      </c>
      <c r="C1145" s="34" t="inlineStr">
        <is>
          <t>West terminal: safety certificate evidence closeout - installation</t>
        </is>
      </c>
      <c r="D1145" s="34" t="inlineStr">
        <is>
          <t>WBS Code = 1.5.1</t>
        </is>
      </c>
      <c r="E1145" s="34" t="inlineStr">
        <is>
          <t>R797-v1</t>
        </is>
      </c>
      <c r="F1145" s="34" t="inlineStr">
        <is>
          <t>1.5.1 Testing and Commissioning - Test Readiness</t>
        </is>
      </c>
      <c r="G1145" s="34" t="inlineStr">
        <is>
          <t>ONE_TO_ONE</t>
        </is>
      </c>
      <c r="H1145" s="34" t="inlineStr">
        <is>
          <t>APPROVED</t>
        </is>
      </c>
      <c r="I1145" s="34" t="inlineStr">
        <is>
          <t>New</t>
        </is>
      </c>
      <c r="J1145" s="34" t="inlineStr">
        <is>
          <t>Source assignment -- not individually reviewed</t>
        </is>
      </c>
      <c r="K1145" s="39" t="inlineStr"/>
      <c r="L1145" s="14" t="inlineStr"/>
      <c r="M1145" s="14" t="inlineStr"/>
      <c r="N1145" s="92" t="inlineStr">
        <is>
          <t>10 EVIDENCE &amp; DECISIONS</t>
        </is>
      </c>
    </row>
    <row r="1146" ht="34" customHeight="1">
      <c r="A1146" s="34" t="inlineStr">
        <is>
          <t>Contractor Programme</t>
        </is>
      </c>
      <c r="B1146" s="34" t="inlineStr">
        <is>
          <t>SCH-05-079</t>
        </is>
      </c>
      <c r="C1146" s="34" t="inlineStr">
        <is>
          <t>Control Centre: station integrated test - turnover</t>
        </is>
      </c>
      <c r="D1146" s="34" t="inlineStr">
        <is>
          <t>WBS Code = 1.5.1</t>
        </is>
      </c>
      <c r="E1146" s="34" t="inlineStr">
        <is>
          <t>R799-v1</t>
        </is>
      </c>
      <c r="F1146" s="34" t="inlineStr">
        <is>
          <t>1.5.1 Testing and Commissioning - Test Readiness</t>
        </is>
      </c>
      <c r="G1146" s="34" t="inlineStr">
        <is>
          <t>ONE_TO_ONE</t>
        </is>
      </c>
      <c r="H1146" s="34" t="inlineStr">
        <is>
          <t>APPROVED</t>
        </is>
      </c>
      <c r="I1146" s="34" t="inlineStr">
        <is>
          <t>New</t>
        </is>
      </c>
      <c r="J1146" s="34" t="inlineStr">
        <is>
          <t>Source assignment -- not individually reviewed</t>
        </is>
      </c>
      <c r="K1146" s="39" t="inlineStr"/>
      <c r="L1146" s="14" t="inlineStr"/>
      <c r="M1146" s="14" t="inlineStr"/>
      <c r="N1146" s="92" t="inlineStr">
        <is>
          <t>10 EVIDENCE &amp; DECISIONS</t>
        </is>
      </c>
    </row>
    <row r="1147" ht="34" customHeight="1">
      <c r="A1147" s="34" t="inlineStr">
        <is>
          <t>Contractor Programme</t>
        </is>
      </c>
      <c r="B1147" s="34" t="inlineStr">
        <is>
          <t>SCH-05-080</t>
        </is>
      </c>
      <c r="C1147" s="34" t="inlineStr">
        <is>
          <t>Mainline east: trial-running shift - release</t>
        </is>
      </c>
      <c r="D1147" s="34" t="inlineStr">
        <is>
          <t>WBS Code = 1.5.1</t>
        </is>
      </c>
      <c r="E1147" s="34" t="inlineStr">
        <is>
          <t>R800-v1</t>
        </is>
      </c>
      <c r="F1147" s="34" t="inlineStr">
        <is>
          <t>1.5.1 Testing and Commissioning - Test Readiness</t>
        </is>
      </c>
      <c r="G1147" s="34" t="inlineStr">
        <is>
          <t>ONE_TO_ONE</t>
        </is>
      </c>
      <c r="H1147" s="34" t="inlineStr">
        <is>
          <t>APPROVED</t>
        </is>
      </c>
      <c r="I1147" s="34" t="inlineStr">
        <is>
          <t>New</t>
        </is>
      </c>
      <c r="J1147" s="34" t="inlineStr">
        <is>
          <t>Source assignment -- not individually reviewed</t>
        </is>
      </c>
      <c r="K1147" s="39" t="inlineStr"/>
      <c r="L1147" s="14" t="inlineStr"/>
      <c r="M1147" s="14" t="inlineStr"/>
      <c r="N1147" s="92" t="inlineStr">
        <is>
          <t>10 EVIDENCE &amp; DECISIONS</t>
        </is>
      </c>
    </row>
    <row r="1148" ht="34" customHeight="1">
      <c r="A1148" s="34" t="inlineStr">
        <is>
          <t>Contractor Programme</t>
        </is>
      </c>
      <c r="B1148" s="34" t="inlineStr">
        <is>
          <t>SCH-05-082</t>
        </is>
      </c>
      <c r="C1148" s="34" t="inlineStr">
        <is>
          <t>West terminal: emergency-response drill - installation</t>
        </is>
      </c>
      <c r="D1148" s="34" t="inlineStr">
        <is>
          <t>WBS Code = 1.5.1</t>
        </is>
      </c>
      <c r="E1148" s="34" t="inlineStr">
        <is>
          <t>R802-v1</t>
        </is>
      </c>
      <c r="F1148" s="34" t="inlineStr">
        <is>
          <t>1.5.1 Testing and Commissioning - Test Readiness</t>
        </is>
      </c>
      <c r="G1148" s="34" t="inlineStr">
        <is>
          <t>ONE_TO_ONE</t>
        </is>
      </c>
      <c r="H1148" s="34" t="inlineStr">
        <is>
          <t>APPROVED</t>
        </is>
      </c>
      <c r="I1148" s="34" t="inlineStr">
        <is>
          <t>New</t>
        </is>
      </c>
      <c r="J1148" s="34" t="inlineStr">
        <is>
          <t>Source assignment -- not individually reviewed</t>
        </is>
      </c>
      <c r="K1148" s="39" t="inlineStr"/>
      <c r="L1148" s="14" t="inlineStr"/>
      <c r="M1148" s="14" t="inlineStr"/>
      <c r="N1148" s="92" t="inlineStr">
        <is>
          <t>10 EVIDENCE &amp; DECISIONS</t>
        </is>
      </c>
    </row>
    <row r="1149" ht="34" customHeight="1">
      <c r="A1149" s="34" t="inlineStr">
        <is>
          <t>Contractor Programme</t>
        </is>
      </c>
      <c r="B1149" s="34" t="inlineStr">
        <is>
          <t>SCH-05-083</t>
        </is>
      </c>
      <c r="C1149" s="34" t="inlineStr">
        <is>
          <t>Depot: defect retest - inspection</t>
        </is>
      </c>
      <c r="D1149" s="34" t="inlineStr">
        <is>
          <t>WBS Code = 1.5.1</t>
        </is>
      </c>
      <c r="E1149" s="34" t="inlineStr">
        <is>
          <t>R803-v1</t>
        </is>
      </c>
      <c r="F1149" s="34" t="inlineStr">
        <is>
          <t>1.5.1 Testing and Commissioning - Test Readiness</t>
        </is>
      </c>
      <c r="G1149" s="34" t="inlineStr">
        <is>
          <t>ONE_TO_ONE</t>
        </is>
      </c>
      <c r="H1149" s="34" t="inlineStr">
        <is>
          <t>APPROVED</t>
        </is>
      </c>
      <c r="I1149" s="34" t="inlineStr">
        <is>
          <t>New</t>
        </is>
      </c>
      <c r="J1149" s="34" t="inlineStr">
        <is>
          <t>Source assignment -- not individually reviewed</t>
        </is>
      </c>
      <c r="K1149" s="39" t="inlineStr"/>
      <c r="L1149" s="14" t="inlineStr"/>
      <c r="M1149" s="14" t="inlineStr"/>
      <c r="N1149" s="92" t="inlineStr">
        <is>
          <t>10 EVIDENCE &amp; DECISIONS</t>
        </is>
      </c>
    </row>
    <row r="1150" ht="34" customHeight="1">
      <c r="A1150" s="34" t="inlineStr">
        <is>
          <t>Contractor Programme</t>
        </is>
      </c>
      <c r="B1150" s="34" t="inlineStr">
        <is>
          <t>SCH-05-085</t>
        </is>
      </c>
      <c r="C1150" s="34" t="inlineStr">
        <is>
          <t>Mainline east: safety certificate evidence closeout - release</t>
        </is>
      </c>
      <c r="D1150" s="34" t="inlineStr">
        <is>
          <t>WBS Code = 1.5.1</t>
        </is>
      </c>
      <c r="E1150" s="34" t="inlineStr">
        <is>
          <t>R805-v1</t>
        </is>
      </c>
      <c r="F1150" s="34" t="inlineStr">
        <is>
          <t>1.5.1 Testing and Commissioning - Test Readiness</t>
        </is>
      </c>
      <c r="G1150" s="34" t="inlineStr">
        <is>
          <t>ONE_TO_ONE</t>
        </is>
      </c>
      <c r="H1150" s="34" t="inlineStr">
        <is>
          <t>APPROVED</t>
        </is>
      </c>
      <c r="I1150" s="34" t="inlineStr">
        <is>
          <t>New</t>
        </is>
      </c>
      <c r="J1150" s="34" t="inlineStr">
        <is>
          <t>Source assignment -- not individually reviewed</t>
        </is>
      </c>
      <c r="K1150" s="39" t="inlineStr"/>
      <c r="L1150" s="14" t="inlineStr"/>
      <c r="M1150" s="14" t="inlineStr"/>
      <c r="N1150" s="92" t="inlineStr">
        <is>
          <t>10 EVIDENCE &amp; DECISIONS</t>
        </is>
      </c>
    </row>
    <row r="1151" ht="34" customHeight="1">
      <c r="A1151" s="34" t="inlineStr">
        <is>
          <t>Contractor Programme</t>
        </is>
      </c>
      <c r="B1151" s="34" t="inlineStr">
        <is>
          <t>SCH-05-086</t>
        </is>
      </c>
      <c r="C1151" s="34" t="inlineStr">
        <is>
          <t>Central section: service-readiness review - field start</t>
        </is>
      </c>
      <c r="D1151" s="34" t="inlineStr">
        <is>
          <t>WBS Code = 1.5.1</t>
        </is>
      </c>
      <c r="E1151" s="34" t="inlineStr">
        <is>
          <t>R806-v1</t>
        </is>
      </c>
      <c r="F1151" s="34" t="inlineStr">
        <is>
          <t>1.5.1 Testing and Commissioning - Test Readiness</t>
        </is>
      </c>
      <c r="G1151" s="34" t="inlineStr">
        <is>
          <t>ONE_TO_ONE</t>
        </is>
      </c>
      <c r="H1151" s="34" t="inlineStr">
        <is>
          <t>APPROVED</t>
        </is>
      </c>
      <c r="I1151" s="34" t="inlineStr">
        <is>
          <t>New</t>
        </is>
      </c>
      <c r="J1151" s="34" t="inlineStr">
        <is>
          <t>Source assignment -- not individually reviewed</t>
        </is>
      </c>
      <c r="K1151" s="39" t="inlineStr"/>
      <c r="L1151" s="14" t="inlineStr"/>
      <c r="M1151" s="14" t="inlineStr"/>
      <c r="N1151" s="92" t="inlineStr">
        <is>
          <t>10 EVIDENCE &amp; DECISIONS</t>
        </is>
      </c>
    </row>
    <row r="1152" ht="34" customHeight="1">
      <c r="A1152" s="34" t="inlineStr">
        <is>
          <t>Contractor Programme</t>
        </is>
      </c>
      <c r="B1152" s="34" t="inlineStr">
        <is>
          <t>SCH-05-088</t>
        </is>
      </c>
      <c r="C1152" s="34" t="inlineStr">
        <is>
          <t>Depot: trial-running shift - inspection</t>
        </is>
      </c>
      <c r="D1152" s="34" t="inlineStr">
        <is>
          <t>WBS Code = 1.5.1</t>
        </is>
      </c>
      <c r="E1152" s="34" t="inlineStr">
        <is>
          <t>R808-v1</t>
        </is>
      </c>
      <c r="F1152" s="34" t="inlineStr">
        <is>
          <t>1.5.1 Testing and Commissioning - Test Readiness</t>
        </is>
      </c>
      <c r="G1152" s="34" t="inlineStr">
        <is>
          <t>ONE_TO_ONE</t>
        </is>
      </c>
      <c r="H1152" s="34" t="inlineStr">
        <is>
          <t>APPROVED</t>
        </is>
      </c>
      <c r="I1152" s="34" t="inlineStr">
        <is>
          <t>New</t>
        </is>
      </c>
      <c r="J1152" s="34" t="inlineStr">
        <is>
          <t>Source assignment -- not individually reviewed</t>
        </is>
      </c>
      <c r="K1152" s="39" t="inlineStr"/>
      <c r="L1152" s="14" t="inlineStr"/>
      <c r="M1152" s="14" t="inlineStr"/>
      <c r="N1152" s="92" t="inlineStr">
        <is>
          <t>10 EVIDENCE &amp; DECISIONS</t>
        </is>
      </c>
    </row>
    <row r="1153" ht="34" customHeight="1">
      <c r="A1153" s="34" t="inlineStr">
        <is>
          <t>Contractor Programme</t>
        </is>
      </c>
      <c r="B1153" s="34" t="inlineStr">
        <is>
          <t>SCH-05-089</t>
        </is>
      </c>
      <c r="C1153" s="34" t="inlineStr">
        <is>
          <t>Control Centre: test procedure readiness review - turnover</t>
        </is>
      </c>
      <c r="D1153" s="34" t="inlineStr">
        <is>
          <t>WBS Code = 1.5.1</t>
        </is>
      </c>
      <c r="E1153" s="34" t="inlineStr">
        <is>
          <t>R809-v1</t>
        </is>
      </c>
      <c r="F1153" s="34" t="inlineStr">
        <is>
          <t>1.5.1 Testing and Commissioning - Test Readiness</t>
        </is>
      </c>
      <c r="G1153" s="34" t="inlineStr">
        <is>
          <t>ONE_TO_ONE</t>
        </is>
      </c>
      <c r="H1153" s="34" t="inlineStr">
        <is>
          <t>APPROVED</t>
        </is>
      </c>
      <c r="I1153" s="34" t="inlineStr">
        <is>
          <t>New</t>
        </is>
      </c>
      <c r="J1153" s="34" t="inlineStr">
        <is>
          <t>Source assignment -- not individually reviewed</t>
        </is>
      </c>
      <c r="K1153" s="39" t="inlineStr"/>
      <c r="L1153" s="14" t="inlineStr"/>
      <c r="M1153" s="14" t="inlineStr"/>
      <c r="N1153" s="92" t="inlineStr">
        <is>
          <t>10 EVIDENCE &amp; DECISIONS</t>
        </is>
      </c>
    </row>
    <row r="1154" ht="34" customHeight="1">
      <c r="A1154" s="34" t="inlineStr">
        <is>
          <t>Contractor Programme</t>
        </is>
      </c>
      <c r="B1154" s="34" t="inlineStr">
        <is>
          <t>SCH-05-091</t>
        </is>
      </c>
      <c r="C1154" s="34" t="inlineStr">
        <is>
          <t>Central section: defect retest - field start</t>
        </is>
      </c>
      <c r="D1154" s="34" t="inlineStr">
        <is>
          <t>WBS Code = 1.5.1</t>
        </is>
      </c>
      <c r="E1154" s="34" t="inlineStr">
        <is>
          <t>R811-v1</t>
        </is>
      </c>
      <c r="F1154" s="34" t="inlineStr">
        <is>
          <t>1.5.1 Testing and Commissioning - Test Readiness</t>
        </is>
      </c>
      <c r="G1154" s="34" t="inlineStr">
        <is>
          <t>ONE_TO_ONE</t>
        </is>
      </c>
      <c r="H1154" s="34" t="inlineStr">
        <is>
          <t>APPROVED</t>
        </is>
      </c>
      <c r="I1154" s="34" t="inlineStr">
        <is>
          <t>New</t>
        </is>
      </c>
      <c r="J1154" s="34" t="inlineStr">
        <is>
          <t>Source assignment -- not individually reviewed</t>
        </is>
      </c>
      <c r="K1154" s="39" t="inlineStr"/>
      <c r="L1154" s="14" t="inlineStr"/>
      <c r="M1154" s="14" t="inlineStr"/>
      <c r="N1154" s="92" t="inlineStr">
        <is>
          <t>10 EVIDENCE &amp; DECISIONS</t>
        </is>
      </c>
    </row>
    <row r="1155" ht="34" customHeight="1">
      <c r="A1155" s="34" t="inlineStr">
        <is>
          <t>Contractor Programme</t>
        </is>
      </c>
      <c r="B1155" s="34" t="inlineStr">
        <is>
          <t>SCH-05-092</t>
        </is>
      </c>
      <c r="C1155" s="34" t="inlineStr">
        <is>
          <t>West terminal: mainline dynamic test - installation</t>
        </is>
      </c>
      <c r="D1155" s="34" t="inlineStr">
        <is>
          <t>WBS Code = 1.5.1</t>
        </is>
      </c>
      <c r="E1155" s="34" t="inlineStr">
        <is>
          <t>R812-v1</t>
        </is>
      </c>
      <c r="F1155" s="34" t="inlineStr">
        <is>
          <t>1.5.1 Testing and Commissioning - Test Readiness</t>
        </is>
      </c>
      <c r="G1155" s="34" t="inlineStr">
        <is>
          <t>ONE_TO_ONE</t>
        </is>
      </c>
      <c r="H1155" s="34" t="inlineStr">
        <is>
          <t>APPROVED</t>
        </is>
      </c>
      <c r="I1155" s="34" t="inlineStr">
        <is>
          <t>New</t>
        </is>
      </c>
      <c r="J1155" s="34" t="inlineStr">
        <is>
          <t>Source assignment -- not individually reviewed</t>
        </is>
      </c>
      <c r="K1155" s="39" t="inlineStr"/>
      <c r="L1155" s="14" t="inlineStr"/>
      <c r="M1155" s="14" t="inlineStr"/>
      <c r="N1155" s="92" t="inlineStr">
        <is>
          <t>10 EVIDENCE &amp; DECISIONS</t>
        </is>
      </c>
    </row>
    <row r="1156" ht="34" customHeight="1">
      <c r="A1156" s="34" t="inlineStr">
        <is>
          <t>Contractor Programme</t>
        </is>
      </c>
      <c r="B1156" s="34" t="inlineStr">
        <is>
          <t>SCH-05-094</t>
        </is>
      </c>
      <c r="C1156" s="34" t="inlineStr">
        <is>
          <t>Control Centre: service-readiness review - turnover</t>
        </is>
      </c>
      <c r="D1156" s="34" t="inlineStr">
        <is>
          <t>WBS Code = 1.5.1</t>
        </is>
      </c>
      <c r="E1156" s="34" t="inlineStr">
        <is>
          <t>R814-v1</t>
        </is>
      </c>
      <c r="F1156" s="34" t="inlineStr">
        <is>
          <t>1.5.1 Testing and Commissioning - Test Readiness</t>
        </is>
      </c>
      <c r="G1156" s="34" t="inlineStr">
        <is>
          <t>ONE_TO_ONE</t>
        </is>
      </c>
      <c r="H1156" s="34" t="inlineStr">
        <is>
          <t>APPROVED</t>
        </is>
      </c>
      <c r="I1156" s="34" t="inlineStr">
        <is>
          <t>New</t>
        </is>
      </c>
      <c r="J1156" s="34" t="inlineStr">
        <is>
          <t>Source assignment -- not individually reviewed</t>
        </is>
      </c>
      <c r="K1156" s="39" t="inlineStr"/>
      <c r="L1156" s="14" t="inlineStr"/>
      <c r="M1156" s="14" t="inlineStr"/>
      <c r="N1156" s="92" t="inlineStr">
        <is>
          <t>10 EVIDENCE &amp; DECISIONS</t>
        </is>
      </c>
    </row>
    <row r="1157" ht="34" customHeight="1">
      <c r="A1157" s="34" t="inlineStr">
        <is>
          <t>Contractor Programme</t>
        </is>
      </c>
      <c r="B1157" s="34" t="inlineStr">
        <is>
          <t>SCH-05-095</t>
        </is>
      </c>
      <c r="C1157" s="34" t="inlineStr">
        <is>
          <t>Mainline east: station integrated test - release</t>
        </is>
      </c>
      <c r="D1157" s="34" t="inlineStr">
        <is>
          <t>WBS Code = 1.5.1</t>
        </is>
      </c>
      <c r="E1157" s="34" t="inlineStr">
        <is>
          <t>R815-v1</t>
        </is>
      </c>
      <c r="F1157" s="34" t="inlineStr">
        <is>
          <t>1.5.1 Testing and Commissioning - Test Readiness</t>
        </is>
      </c>
      <c r="G1157" s="34" t="inlineStr">
        <is>
          <t>ONE_TO_ONE</t>
        </is>
      </c>
      <c r="H1157" s="34" t="inlineStr">
        <is>
          <t>APPROVED</t>
        </is>
      </c>
      <c r="I1157" s="34" t="inlineStr">
        <is>
          <t>New</t>
        </is>
      </c>
      <c r="J1157" s="34" t="inlineStr">
        <is>
          <t>Source assignment -- not individually reviewed</t>
        </is>
      </c>
      <c r="K1157" s="39" t="inlineStr"/>
      <c r="L1157" s="14" t="inlineStr"/>
      <c r="M1157" s="14" t="inlineStr"/>
      <c r="N1157" s="92" t="inlineStr">
        <is>
          <t>10 EVIDENCE &amp; DECISIONS</t>
        </is>
      </c>
    </row>
    <row r="1158" ht="34" customHeight="1">
      <c r="A1158" s="34" t="inlineStr">
        <is>
          <t>Contractor Programme</t>
        </is>
      </c>
      <c r="B1158" s="34" t="inlineStr">
        <is>
          <t>SCH-05-097</t>
        </is>
      </c>
      <c r="C1158" s="34" t="inlineStr">
        <is>
          <t>West terminal: test procedure readiness review - installation</t>
        </is>
      </c>
      <c r="D1158" s="34" t="inlineStr">
        <is>
          <t>WBS Code = 1.5.1</t>
        </is>
      </c>
      <c r="E1158" s="34" t="inlineStr">
        <is>
          <t>R817-v1</t>
        </is>
      </c>
      <c r="F1158" s="34" t="inlineStr">
        <is>
          <t>1.5.1 Testing and Commissioning - Test Readiness</t>
        </is>
      </c>
      <c r="G1158" s="34" t="inlineStr">
        <is>
          <t>ONE_TO_ONE</t>
        </is>
      </c>
      <c r="H1158" s="34" t="inlineStr">
        <is>
          <t>APPROVED</t>
        </is>
      </c>
      <c r="I1158" s="34" t="inlineStr">
        <is>
          <t>New</t>
        </is>
      </c>
      <c r="J1158" s="34" t="inlineStr">
        <is>
          <t>Source assignment -- not individually reviewed</t>
        </is>
      </c>
      <c r="K1158" s="39" t="inlineStr"/>
      <c r="L1158" s="14" t="inlineStr"/>
      <c r="M1158" s="14" t="inlineStr"/>
      <c r="N1158" s="92" t="inlineStr">
        <is>
          <t>10 EVIDENCE &amp; DECISIONS</t>
        </is>
      </c>
    </row>
    <row r="1159" ht="34" customHeight="1">
      <c r="A1159" s="34" t="inlineStr">
        <is>
          <t>Contractor Programme</t>
        </is>
      </c>
      <c r="B1159" s="34" t="inlineStr">
        <is>
          <t>SCH-05-098</t>
        </is>
      </c>
      <c r="C1159" s="34" t="inlineStr">
        <is>
          <t>Depot: emergency-response drill - inspection</t>
        </is>
      </c>
      <c r="D1159" s="34" t="inlineStr">
        <is>
          <t>WBS Code = 1.5.1</t>
        </is>
      </c>
      <c r="E1159" s="34" t="inlineStr">
        <is>
          <t>R818-v1</t>
        </is>
      </c>
      <c r="F1159" s="34" t="inlineStr">
        <is>
          <t>1.5.1 Testing and Commissioning - Test Readiness</t>
        </is>
      </c>
      <c r="G1159" s="34" t="inlineStr">
        <is>
          <t>ONE_TO_ONE</t>
        </is>
      </c>
      <c r="H1159" s="34" t="inlineStr">
        <is>
          <t>APPROVED</t>
        </is>
      </c>
      <c r="I1159" s="34" t="inlineStr">
        <is>
          <t>New</t>
        </is>
      </c>
      <c r="J1159" s="34" t="inlineStr">
        <is>
          <t>Source assignment -- not individually reviewed</t>
        </is>
      </c>
      <c r="K1159" s="39" t="inlineStr"/>
      <c r="L1159" s="14" t="inlineStr"/>
      <c r="M1159" s="14" t="inlineStr"/>
      <c r="N1159" s="92" t="inlineStr">
        <is>
          <t>10 EVIDENCE &amp; DECISIONS</t>
        </is>
      </c>
    </row>
    <row r="1160" ht="34" customHeight="1">
      <c r="A1160" s="34" t="inlineStr">
        <is>
          <t>Contractor Programme</t>
        </is>
      </c>
      <c r="B1160" s="34" t="inlineStr">
        <is>
          <t>SCH-05-100</t>
        </is>
      </c>
      <c r="C1160" s="34" t="inlineStr">
        <is>
          <t>Mainline east: mainline dynamic test - release</t>
        </is>
      </c>
      <c r="D1160" s="34" t="inlineStr">
        <is>
          <t>WBS Code = 1.5.1</t>
        </is>
      </c>
      <c r="E1160" s="34" t="inlineStr">
        <is>
          <t>R820-v1</t>
        </is>
      </c>
      <c r="F1160" s="34" t="inlineStr">
        <is>
          <t>1.5.1 Testing and Commissioning - Test Readiness</t>
        </is>
      </c>
      <c r="G1160" s="34" t="inlineStr">
        <is>
          <t>ONE_TO_ONE</t>
        </is>
      </c>
      <c r="H1160" s="34" t="inlineStr">
        <is>
          <t>APPROVED</t>
        </is>
      </c>
      <c r="I1160" s="34" t="inlineStr">
        <is>
          <t>New</t>
        </is>
      </c>
      <c r="J1160" s="34" t="inlineStr">
        <is>
          <t>Source assignment -- not individually reviewed</t>
        </is>
      </c>
      <c r="K1160" s="39" t="inlineStr"/>
      <c r="L1160" s="14" t="inlineStr"/>
      <c r="M1160" s="14" t="inlineStr"/>
      <c r="N1160" s="92" t="inlineStr">
        <is>
          <t>10 EVIDENCE &amp; DECISIONS</t>
        </is>
      </c>
    </row>
    <row r="1161" ht="34" customHeight="1">
      <c r="A1161" s="34" t="inlineStr">
        <is>
          <t>Contractor Programme</t>
        </is>
      </c>
      <c r="B1161" s="34" t="inlineStr">
        <is>
          <t>SCH-05-101</t>
        </is>
      </c>
      <c r="C1161" s="34" t="inlineStr">
        <is>
          <t>Central section: safety certificate evidence closeout - field start</t>
        </is>
      </c>
      <c r="D1161" s="34" t="inlineStr">
        <is>
          <t>WBS Code = 1.5.1</t>
        </is>
      </c>
      <c r="E1161" s="34" t="inlineStr">
        <is>
          <t>R821-v1</t>
        </is>
      </c>
      <c r="F1161" s="34" t="inlineStr">
        <is>
          <t>1.5.1 Testing and Commissioning - Test Readiness</t>
        </is>
      </c>
      <c r="G1161" s="34" t="inlineStr">
        <is>
          <t>ONE_TO_ONE</t>
        </is>
      </c>
      <c r="H1161" s="34" t="inlineStr">
        <is>
          <t>APPROVED</t>
        </is>
      </c>
      <c r="I1161" s="34" t="inlineStr">
        <is>
          <t>New</t>
        </is>
      </c>
      <c r="J1161" s="34" t="inlineStr">
        <is>
          <t>Source assignment -- not individually reviewed</t>
        </is>
      </c>
      <c r="K1161" s="39" t="inlineStr"/>
      <c r="L1161" s="14" t="inlineStr"/>
      <c r="M1161" s="14" t="inlineStr"/>
      <c r="N1161" s="92" t="inlineStr">
        <is>
          <t>10 EVIDENCE &amp; DECISIONS</t>
        </is>
      </c>
    </row>
    <row r="1162" ht="34" customHeight="1">
      <c r="A1162" s="34" t="inlineStr">
        <is>
          <t>Contractor Programme</t>
        </is>
      </c>
      <c r="B1162" s="34" t="inlineStr">
        <is>
          <t>SCH-05-103</t>
        </is>
      </c>
      <c r="C1162" s="34" t="inlineStr">
        <is>
          <t>Depot: station integrated test - inspection</t>
        </is>
      </c>
      <c r="D1162" s="34" t="inlineStr">
        <is>
          <t>WBS Code = 1.5.1</t>
        </is>
      </c>
      <c r="E1162" s="34" t="inlineStr">
        <is>
          <t>R823-v1</t>
        </is>
      </c>
      <c r="F1162" s="34" t="inlineStr">
        <is>
          <t>1.5.1 Testing and Commissioning - Test Readiness</t>
        </is>
      </c>
      <c r="G1162" s="34" t="inlineStr">
        <is>
          <t>ONE_TO_ONE</t>
        </is>
      </c>
      <c r="H1162" s="34" t="inlineStr">
        <is>
          <t>APPROVED</t>
        </is>
      </c>
      <c r="I1162" s="34" t="inlineStr">
        <is>
          <t>New</t>
        </is>
      </c>
      <c r="J1162" s="34" t="inlineStr">
        <is>
          <t>Source assignment -- not individually reviewed</t>
        </is>
      </c>
      <c r="K1162" s="39" t="inlineStr"/>
      <c r="L1162" s="14" t="inlineStr"/>
      <c r="M1162" s="14" t="inlineStr"/>
      <c r="N1162" s="92" t="inlineStr">
        <is>
          <t>10 EVIDENCE &amp; DECISIONS</t>
        </is>
      </c>
    </row>
    <row r="1163" ht="34" customHeight="1">
      <c r="A1163" s="34" t="inlineStr">
        <is>
          <t>Contractor Programme</t>
        </is>
      </c>
      <c r="B1163" s="34" t="inlineStr">
        <is>
          <t>SCH-05-104</t>
        </is>
      </c>
      <c r="C1163" s="34" t="inlineStr">
        <is>
          <t>Control Centre: trial-running shift - turnover</t>
        </is>
      </c>
      <c r="D1163" s="34" t="inlineStr">
        <is>
          <t>WBS Code = 1.5.1</t>
        </is>
      </c>
      <c r="E1163" s="34" t="inlineStr">
        <is>
          <t>R824-v1</t>
        </is>
      </c>
      <c r="F1163" s="34" t="inlineStr">
        <is>
          <t>1.5.1 Testing and Commissioning - Test Readiness</t>
        </is>
      </c>
      <c r="G1163" s="34" t="inlineStr">
        <is>
          <t>ONE_TO_ONE</t>
        </is>
      </c>
      <c r="H1163" s="34" t="inlineStr">
        <is>
          <t>APPROVED</t>
        </is>
      </c>
      <c r="I1163" s="34" t="inlineStr">
        <is>
          <t>New</t>
        </is>
      </c>
      <c r="J1163" s="34" t="inlineStr">
        <is>
          <t>Source assignment -- not individually reviewed</t>
        </is>
      </c>
      <c r="K1163" s="39" t="inlineStr"/>
      <c r="L1163" s="14" t="inlineStr"/>
      <c r="M1163" s="14" t="inlineStr"/>
      <c r="N1163" s="92" t="inlineStr">
        <is>
          <t>10 EVIDENCE &amp; DECISIONS</t>
        </is>
      </c>
    </row>
    <row r="1164" ht="34" customHeight="1">
      <c r="A1164" s="34" t="inlineStr">
        <is>
          <t>Contractor Programme</t>
        </is>
      </c>
      <c r="B1164" s="34" t="inlineStr">
        <is>
          <t>SCH-05-106</t>
        </is>
      </c>
      <c r="C1164" s="34" t="inlineStr">
        <is>
          <t>Central section: emergency-response drill - field start</t>
        </is>
      </c>
      <c r="D1164" s="34" t="inlineStr">
        <is>
          <t>WBS Code = 1.5.1</t>
        </is>
      </c>
      <c r="E1164" s="34" t="inlineStr">
        <is>
          <t>R826-v1</t>
        </is>
      </c>
      <c r="F1164" s="34" t="inlineStr">
        <is>
          <t>1.5.1 Testing and Commissioning - Test Readiness</t>
        </is>
      </c>
      <c r="G1164" s="34" t="inlineStr">
        <is>
          <t>ONE_TO_ONE</t>
        </is>
      </c>
      <c r="H1164" s="34" t="inlineStr">
        <is>
          <t>APPROVED</t>
        </is>
      </c>
      <c r="I1164" s="34" t="inlineStr">
        <is>
          <t>New</t>
        </is>
      </c>
      <c r="J1164" s="34" t="inlineStr">
        <is>
          <t>Source assignment -- not individually reviewed</t>
        </is>
      </c>
      <c r="K1164" s="39" t="inlineStr"/>
      <c r="L1164" s="14" t="inlineStr"/>
      <c r="M1164" s="14" t="inlineStr"/>
      <c r="N1164" s="92" t="inlineStr">
        <is>
          <t>10 EVIDENCE &amp; DECISIONS</t>
        </is>
      </c>
    </row>
    <row r="1165" ht="34" customHeight="1">
      <c r="A1165" s="34" t="inlineStr">
        <is>
          <t>Contractor Programme</t>
        </is>
      </c>
      <c r="B1165" s="34" t="inlineStr">
        <is>
          <t>SCH-05-107</t>
        </is>
      </c>
      <c r="C1165" s="34" t="inlineStr">
        <is>
          <t>West terminal: defect retest - installation</t>
        </is>
      </c>
      <c r="D1165" s="34" t="inlineStr">
        <is>
          <t>WBS Code = 1.5.1</t>
        </is>
      </c>
      <c r="E1165" s="34" t="inlineStr">
        <is>
          <t>R827-v1</t>
        </is>
      </c>
      <c r="F1165" s="34" t="inlineStr">
        <is>
          <t>1.5.1 Testing and Commissioning - Test Readiness</t>
        </is>
      </c>
      <c r="G1165" s="34" t="inlineStr">
        <is>
          <t>ONE_TO_ONE</t>
        </is>
      </c>
      <c r="H1165" s="34" t="inlineStr">
        <is>
          <t>APPROVED</t>
        </is>
      </c>
      <c r="I1165" s="34" t="inlineStr">
        <is>
          <t>New</t>
        </is>
      </c>
      <c r="J1165" s="34" t="inlineStr">
        <is>
          <t>Source assignment -- not individually reviewed</t>
        </is>
      </c>
      <c r="K1165" s="39" t="inlineStr"/>
      <c r="L1165" s="14" t="inlineStr"/>
      <c r="M1165" s="14" t="inlineStr"/>
      <c r="N1165" s="92" t="inlineStr">
        <is>
          <t>10 EVIDENCE &amp; DECISIONS</t>
        </is>
      </c>
    </row>
    <row r="1166" ht="34" customHeight="1">
      <c r="A1166" s="34" t="inlineStr">
        <is>
          <t>Contractor Programme</t>
        </is>
      </c>
      <c r="B1166" s="34" t="inlineStr">
        <is>
          <t>SCH-05-109</t>
        </is>
      </c>
      <c r="C1166" s="34" t="inlineStr">
        <is>
          <t>Control Centre: safety certificate evidence closeout - turnover</t>
        </is>
      </c>
      <c r="D1166" s="34" t="inlineStr">
        <is>
          <t>WBS Code = 1.5.1</t>
        </is>
      </c>
      <c r="E1166" s="34" t="inlineStr">
        <is>
          <t>R829-v1</t>
        </is>
      </c>
      <c r="F1166" s="34" t="inlineStr">
        <is>
          <t>1.5.1 Testing and Commissioning - Test Readiness</t>
        </is>
      </c>
      <c r="G1166" s="34" t="inlineStr">
        <is>
          <t>ONE_TO_ONE</t>
        </is>
      </c>
      <c r="H1166" s="34" t="inlineStr">
        <is>
          <t>APPROVED</t>
        </is>
      </c>
      <c r="I1166" s="34" t="inlineStr">
        <is>
          <t>New</t>
        </is>
      </c>
      <c r="J1166" s="34" t="inlineStr">
        <is>
          <t>Source assignment -- not individually reviewed</t>
        </is>
      </c>
      <c r="K1166" s="39" t="inlineStr"/>
      <c r="L1166" s="14" t="inlineStr"/>
      <c r="M1166" s="14" t="inlineStr"/>
      <c r="N1166" s="92" t="inlineStr">
        <is>
          <t>10 EVIDENCE &amp; DECISIONS</t>
        </is>
      </c>
    </row>
    <row r="1167" ht="34" customHeight="1">
      <c r="A1167" s="34" t="inlineStr">
        <is>
          <t>Contractor Programme</t>
        </is>
      </c>
      <c r="B1167" s="34" t="inlineStr">
        <is>
          <t>SCH-05-110</t>
        </is>
      </c>
      <c r="C1167" s="34" t="inlineStr">
        <is>
          <t>Mainline east: service-readiness review - release</t>
        </is>
      </c>
      <c r="D1167" s="34" t="inlineStr">
        <is>
          <t>WBS Code = 1.5.1</t>
        </is>
      </c>
      <c r="E1167" s="34" t="inlineStr">
        <is>
          <t>R830-v1</t>
        </is>
      </c>
      <c r="F1167" s="34" t="inlineStr">
        <is>
          <t>1.5.1 Testing and Commissioning - Test Readiness</t>
        </is>
      </c>
      <c r="G1167" s="34" t="inlineStr">
        <is>
          <t>ONE_TO_ONE</t>
        </is>
      </c>
      <c r="H1167" s="34" t="inlineStr">
        <is>
          <t>APPROVED</t>
        </is>
      </c>
      <c r="I1167" s="34" t="inlineStr">
        <is>
          <t>New</t>
        </is>
      </c>
      <c r="J1167" s="34" t="inlineStr">
        <is>
          <t>Source assignment -- not individually reviewed</t>
        </is>
      </c>
      <c r="K1167" s="39" t="inlineStr"/>
      <c r="L1167" s="14" t="inlineStr"/>
      <c r="M1167" s="14" t="inlineStr"/>
      <c r="N1167" s="92" t="inlineStr">
        <is>
          <t>10 EVIDENCE &amp; DECISIONS</t>
        </is>
      </c>
    </row>
    <row r="1168" ht="34" customHeight="1">
      <c r="A1168" s="34" t="inlineStr">
        <is>
          <t>Contractor Programme</t>
        </is>
      </c>
      <c r="B1168" s="34" t="inlineStr">
        <is>
          <t>SCH-05-112</t>
        </is>
      </c>
      <c r="C1168" s="34" t="inlineStr">
        <is>
          <t>West terminal: trial-running shift - installation</t>
        </is>
      </c>
      <c r="D1168" s="34" t="inlineStr">
        <is>
          <t>WBS Code = 1.5.1</t>
        </is>
      </c>
      <c r="E1168" s="34" t="inlineStr">
        <is>
          <t>R832-v1</t>
        </is>
      </c>
      <c r="F1168" s="34" t="inlineStr">
        <is>
          <t>1.5.1 Testing and Commissioning - Test Readiness</t>
        </is>
      </c>
      <c r="G1168" s="34" t="inlineStr">
        <is>
          <t>ONE_TO_ONE</t>
        </is>
      </c>
      <c r="H1168" s="34" t="inlineStr">
        <is>
          <t>APPROVED</t>
        </is>
      </c>
      <c r="I1168" s="34" t="inlineStr">
        <is>
          <t>New</t>
        </is>
      </c>
      <c r="J1168" s="34" t="inlineStr">
        <is>
          <t>Source assignment -- not individually reviewed</t>
        </is>
      </c>
      <c r="K1168" s="39" t="inlineStr"/>
      <c r="L1168" s="14" t="inlineStr"/>
      <c r="M1168" s="14" t="inlineStr"/>
      <c r="N1168" s="92" t="inlineStr">
        <is>
          <t>10 EVIDENCE &amp; DECISIONS</t>
        </is>
      </c>
    </row>
    <row r="1169" ht="34" customHeight="1">
      <c r="A1169" s="34" t="inlineStr">
        <is>
          <t>Contractor Programme</t>
        </is>
      </c>
      <c r="B1169" s="34" t="inlineStr">
        <is>
          <t>SCH-05-113</t>
        </is>
      </c>
      <c r="C1169" s="34" t="inlineStr">
        <is>
          <t>Depot: test procedure readiness review - inspection</t>
        </is>
      </c>
      <c r="D1169" s="34" t="inlineStr">
        <is>
          <t>WBS Code = 1.5.1</t>
        </is>
      </c>
      <c r="E1169" s="34" t="inlineStr">
        <is>
          <t>R833-v1</t>
        </is>
      </c>
      <c r="F1169" s="34" t="inlineStr">
        <is>
          <t>1.5.1 Testing and Commissioning - Test Readiness</t>
        </is>
      </c>
      <c r="G1169" s="34" t="inlineStr">
        <is>
          <t>ONE_TO_ONE</t>
        </is>
      </c>
      <c r="H1169" s="34" t="inlineStr">
        <is>
          <t>APPROVED</t>
        </is>
      </c>
      <c r="I1169" s="34" t="inlineStr">
        <is>
          <t>New</t>
        </is>
      </c>
      <c r="J1169" s="34" t="inlineStr">
        <is>
          <t>Source assignment -- not individually reviewed</t>
        </is>
      </c>
      <c r="K1169" s="39" t="inlineStr"/>
      <c r="L1169" s="14" t="inlineStr"/>
      <c r="M1169" s="14" t="inlineStr"/>
      <c r="N1169" s="92" t="inlineStr">
        <is>
          <t>10 EVIDENCE &amp; DECISIONS</t>
        </is>
      </c>
    </row>
    <row r="1170" ht="34" customHeight="1">
      <c r="A1170" s="34" t="inlineStr">
        <is>
          <t>Contractor Programme</t>
        </is>
      </c>
      <c r="B1170" s="34" t="inlineStr">
        <is>
          <t>SCH-05-115</t>
        </is>
      </c>
      <c r="C1170" s="34" t="inlineStr">
        <is>
          <t>Mainline east: defect retest - release</t>
        </is>
      </c>
      <c r="D1170" s="34" t="inlineStr">
        <is>
          <t>WBS Code = 1.5.1</t>
        </is>
      </c>
      <c r="E1170" s="34" t="inlineStr">
        <is>
          <t>R835-v1</t>
        </is>
      </c>
      <c r="F1170" s="34" t="inlineStr">
        <is>
          <t>1.5.1 Testing and Commissioning - Test Readiness</t>
        </is>
      </c>
      <c r="G1170" s="34" t="inlineStr">
        <is>
          <t>ONE_TO_ONE</t>
        </is>
      </c>
      <c r="H1170" s="34" t="inlineStr">
        <is>
          <t>APPROVED</t>
        </is>
      </c>
      <c r="I1170" s="34" t="inlineStr">
        <is>
          <t>New</t>
        </is>
      </c>
      <c r="J1170" s="34" t="inlineStr">
        <is>
          <t>Source assignment -- not individually reviewed</t>
        </is>
      </c>
      <c r="K1170" s="39" t="inlineStr"/>
      <c r="L1170" s="14" t="inlineStr"/>
      <c r="M1170" s="14" t="inlineStr"/>
      <c r="N1170" s="92" t="inlineStr">
        <is>
          <t>10 EVIDENCE &amp; DECISIONS</t>
        </is>
      </c>
    </row>
    <row r="1171" ht="34" customHeight="1">
      <c r="A1171" s="34" t="inlineStr">
        <is>
          <t>Contractor Programme</t>
        </is>
      </c>
      <c r="B1171" s="34" t="inlineStr">
        <is>
          <t>SCH-05-116</t>
        </is>
      </c>
      <c r="C1171" s="34" t="inlineStr">
        <is>
          <t>Central section: mainline dynamic test - field start</t>
        </is>
      </c>
      <c r="D1171" s="34" t="inlineStr">
        <is>
          <t>WBS Code = 1.5.1</t>
        </is>
      </c>
      <c r="E1171" s="34" t="inlineStr">
        <is>
          <t>R836-v1</t>
        </is>
      </c>
      <c r="F1171" s="34" t="inlineStr">
        <is>
          <t>1.5.1 Testing and Commissioning - Test Readiness</t>
        </is>
      </c>
      <c r="G1171" s="34" t="inlineStr">
        <is>
          <t>ONE_TO_ONE</t>
        </is>
      </c>
      <c r="H1171" s="34" t="inlineStr">
        <is>
          <t>APPROVED</t>
        </is>
      </c>
      <c r="I1171" s="34" t="inlineStr">
        <is>
          <t>New</t>
        </is>
      </c>
      <c r="J1171" s="34" t="inlineStr">
        <is>
          <t>Source assignment -- not individually reviewed</t>
        </is>
      </c>
      <c r="K1171" s="39" t="inlineStr"/>
      <c r="L1171" s="14" t="inlineStr"/>
      <c r="M1171" s="14" t="inlineStr"/>
      <c r="N1171" s="92" t="inlineStr">
        <is>
          <t>10 EVIDENCE &amp; DECISIONS</t>
        </is>
      </c>
    </row>
    <row r="1172" ht="34" customHeight="1">
      <c r="A1172" s="34" t="inlineStr">
        <is>
          <t>Contractor Programme</t>
        </is>
      </c>
      <c r="B1172" s="34" t="inlineStr">
        <is>
          <t>SCH-05-118</t>
        </is>
      </c>
      <c r="C1172" s="34" t="inlineStr">
        <is>
          <t>Depot: service-readiness review - inspection</t>
        </is>
      </c>
      <c r="D1172" s="34" t="inlineStr">
        <is>
          <t>WBS Code = 1.5.1</t>
        </is>
      </c>
      <c r="E1172" s="34" t="inlineStr">
        <is>
          <t>R838-v1</t>
        </is>
      </c>
      <c r="F1172" s="34" t="inlineStr">
        <is>
          <t>1.5.1 Testing and Commissioning - Test Readiness</t>
        </is>
      </c>
      <c r="G1172" s="34" t="inlineStr">
        <is>
          <t>ONE_TO_ONE</t>
        </is>
      </c>
      <c r="H1172" s="34" t="inlineStr">
        <is>
          <t>APPROVED</t>
        </is>
      </c>
      <c r="I1172" s="34" t="inlineStr">
        <is>
          <t>New</t>
        </is>
      </c>
      <c r="J1172" s="34" t="inlineStr">
        <is>
          <t>Source assignment -- not individually reviewed</t>
        </is>
      </c>
      <c r="K1172" s="39" t="inlineStr"/>
      <c r="L1172" s="14" t="inlineStr"/>
      <c r="M1172" s="14" t="inlineStr"/>
      <c r="N1172" s="92" t="inlineStr">
        <is>
          <t>10 EVIDENCE &amp; DECISIONS</t>
        </is>
      </c>
    </row>
    <row r="1173" ht="34" customHeight="1">
      <c r="A1173" s="34" t="inlineStr">
        <is>
          <t>Contractor Programme</t>
        </is>
      </c>
      <c r="B1173" s="34" t="inlineStr">
        <is>
          <t>SCH-05-119</t>
        </is>
      </c>
      <c r="C1173" s="34" t="inlineStr">
        <is>
          <t>Control Centre: station integrated test - turnover</t>
        </is>
      </c>
      <c r="D1173" s="34" t="inlineStr">
        <is>
          <t>WBS Code = 1.5.1</t>
        </is>
      </c>
      <c r="E1173" s="34" t="inlineStr">
        <is>
          <t>R839-v1</t>
        </is>
      </c>
      <c r="F1173" s="34" t="inlineStr">
        <is>
          <t>1.5.1 Testing and Commissioning - Test Readiness</t>
        </is>
      </c>
      <c r="G1173" s="34" t="inlineStr">
        <is>
          <t>ONE_TO_ONE</t>
        </is>
      </c>
      <c r="H1173" s="34" t="inlineStr">
        <is>
          <t>APPROVED</t>
        </is>
      </c>
      <c r="I1173" s="34" t="inlineStr">
        <is>
          <t>New</t>
        </is>
      </c>
      <c r="J1173" s="34" t="inlineStr">
        <is>
          <t>Source assignment -- not individually reviewed</t>
        </is>
      </c>
      <c r="K1173" s="39" t="inlineStr"/>
      <c r="L1173" s="14" t="inlineStr"/>
      <c r="M1173" s="14" t="inlineStr"/>
      <c r="N1173" s="92" t="inlineStr">
        <is>
          <t>10 EVIDENCE &amp; DECISIONS</t>
        </is>
      </c>
    </row>
    <row r="1174" ht="34" customHeight="1">
      <c r="A1174" s="34" t="inlineStr">
        <is>
          <t>Contractor Programme</t>
        </is>
      </c>
      <c r="B1174" s="34" t="inlineStr">
        <is>
          <t>SCH-05-121</t>
        </is>
      </c>
      <c r="C1174" s="34" t="inlineStr">
        <is>
          <t>Central section: test procedure readiness review - field start</t>
        </is>
      </c>
      <c r="D1174" s="34" t="inlineStr">
        <is>
          <t>WBS Code = 1.5.1</t>
        </is>
      </c>
      <c r="E1174" s="34" t="inlineStr">
        <is>
          <t>R841-v1</t>
        </is>
      </c>
      <c r="F1174" s="34" t="inlineStr">
        <is>
          <t>1.5.1 Testing and Commissioning - Test Readiness</t>
        </is>
      </c>
      <c r="G1174" s="34" t="inlineStr">
        <is>
          <t>ONE_TO_ONE</t>
        </is>
      </c>
      <c r="H1174" s="34" t="inlineStr">
        <is>
          <t>APPROVED</t>
        </is>
      </c>
      <c r="I1174" s="34" t="inlineStr">
        <is>
          <t>New</t>
        </is>
      </c>
      <c r="J1174" s="34" t="inlineStr">
        <is>
          <t>Source assignment -- not individually reviewed</t>
        </is>
      </c>
      <c r="K1174" s="39" t="inlineStr"/>
      <c r="L1174" s="14" t="inlineStr"/>
      <c r="M1174" s="14" t="inlineStr"/>
      <c r="N1174" s="92" t="inlineStr">
        <is>
          <t>10 EVIDENCE &amp; DECISIONS</t>
        </is>
      </c>
    </row>
    <row r="1175" ht="34" customHeight="1">
      <c r="A1175" s="34" t="inlineStr">
        <is>
          <t>Contractor Programme</t>
        </is>
      </c>
      <c r="B1175" s="34" t="inlineStr">
        <is>
          <t>SCH-05-122</t>
        </is>
      </c>
      <c r="C1175" s="34" t="inlineStr">
        <is>
          <t>West terminal: emergency-response drill - installation</t>
        </is>
      </c>
      <c r="D1175" s="34" t="inlineStr">
        <is>
          <t>WBS Code = 1.5.1</t>
        </is>
      </c>
      <c r="E1175" s="34" t="inlineStr">
        <is>
          <t>R842-v1</t>
        </is>
      </c>
      <c r="F1175" s="34" t="inlineStr">
        <is>
          <t>1.5.1 Testing and Commissioning - Test Readiness</t>
        </is>
      </c>
      <c r="G1175" s="34" t="inlineStr">
        <is>
          <t>ONE_TO_ONE</t>
        </is>
      </c>
      <c r="H1175" s="34" t="inlineStr">
        <is>
          <t>APPROVED</t>
        </is>
      </c>
      <c r="I1175" s="34" t="inlineStr">
        <is>
          <t>New</t>
        </is>
      </c>
      <c r="J1175" s="34" t="inlineStr">
        <is>
          <t>Source assignment -- not individually reviewed</t>
        </is>
      </c>
      <c r="K1175" s="39" t="inlineStr"/>
      <c r="L1175" s="14" t="inlineStr"/>
      <c r="M1175" s="14" t="inlineStr"/>
      <c r="N1175" s="92" t="inlineStr">
        <is>
          <t>10 EVIDENCE &amp; DECISIONS</t>
        </is>
      </c>
    </row>
    <row r="1176" ht="34" customHeight="1">
      <c r="A1176" s="34" t="inlineStr">
        <is>
          <t>Contractor Programme</t>
        </is>
      </c>
      <c r="B1176" s="34" t="inlineStr">
        <is>
          <t>SCH-05-124</t>
        </is>
      </c>
      <c r="C1176" s="34" t="inlineStr">
        <is>
          <t>Control Centre: mainline dynamic test - turnover</t>
        </is>
      </c>
      <c r="D1176" s="34" t="inlineStr">
        <is>
          <t>WBS Code = 1.5.1</t>
        </is>
      </c>
      <c r="E1176" s="34" t="inlineStr">
        <is>
          <t>R844-v1</t>
        </is>
      </c>
      <c r="F1176" s="34" t="inlineStr">
        <is>
          <t>1.5.1 Testing and Commissioning - Test Readiness</t>
        </is>
      </c>
      <c r="G1176" s="34" t="inlineStr">
        <is>
          <t>ONE_TO_ONE</t>
        </is>
      </c>
      <c r="H1176" s="34" t="inlineStr">
        <is>
          <t>APPROVED</t>
        </is>
      </c>
      <c r="I1176" s="34" t="inlineStr">
        <is>
          <t>New</t>
        </is>
      </c>
      <c r="J1176" s="34" t="inlineStr">
        <is>
          <t>Source assignment -- not individually reviewed</t>
        </is>
      </c>
      <c r="K1176" s="39" t="inlineStr"/>
      <c r="L1176" s="14" t="inlineStr"/>
      <c r="M1176" s="14" t="inlineStr"/>
      <c r="N1176" s="92" t="inlineStr">
        <is>
          <t>10 EVIDENCE &amp; DECISIONS</t>
        </is>
      </c>
    </row>
    <row r="1177" ht="34" customHeight="1">
      <c r="A1177" s="34" t="inlineStr">
        <is>
          <t>Contractor Programme</t>
        </is>
      </c>
      <c r="B1177" s="34" t="inlineStr">
        <is>
          <t>SCH-05-125</t>
        </is>
      </c>
      <c r="C1177" s="34" t="inlineStr">
        <is>
          <t>Mainline east: safety certificate evidence closeout - release</t>
        </is>
      </c>
      <c r="D1177" s="34" t="inlineStr">
        <is>
          <t>WBS Code = 1.5.1</t>
        </is>
      </c>
      <c r="E1177" s="34" t="inlineStr">
        <is>
          <t>R845-v1</t>
        </is>
      </c>
      <c r="F1177" s="34" t="inlineStr">
        <is>
          <t>1.5.1 Testing and Commissioning - Test Readiness</t>
        </is>
      </c>
      <c r="G1177" s="34" t="inlineStr">
        <is>
          <t>ONE_TO_ONE</t>
        </is>
      </c>
      <c r="H1177" s="34" t="inlineStr">
        <is>
          <t>APPROVED</t>
        </is>
      </c>
      <c r="I1177" s="34" t="inlineStr">
        <is>
          <t>New</t>
        </is>
      </c>
      <c r="J1177" s="34" t="inlineStr">
        <is>
          <t>Source assignment -- not individually reviewed</t>
        </is>
      </c>
      <c r="K1177" s="39" t="inlineStr"/>
      <c r="L1177" s="14" t="inlineStr"/>
      <c r="M1177" s="14" t="inlineStr"/>
      <c r="N1177" s="92" t="inlineStr">
        <is>
          <t>10 EVIDENCE &amp; DECISIONS</t>
        </is>
      </c>
    </row>
    <row r="1178" ht="34" customHeight="1">
      <c r="A1178" s="34" t="inlineStr">
        <is>
          <t>Contractor Programme</t>
        </is>
      </c>
      <c r="B1178" s="34" t="inlineStr">
        <is>
          <t>SCH-05-127</t>
        </is>
      </c>
      <c r="C1178" s="34" t="inlineStr">
        <is>
          <t>West terminal: station integrated test - installation</t>
        </is>
      </c>
      <c r="D1178" s="34" t="inlineStr">
        <is>
          <t>WBS Code = 1.5.1</t>
        </is>
      </c>
      <c r="E1178" s="34" t="inlineStr">
        <is>
          <t>R847-v1</t>
        </is>
      </c>
      <c r="F1178" s="34" t="inlineStr">
        <is>
          <t>1.5.1 Testing and Commissioning - Test Readiness</t>
        </is>
      </c>
      <c r="G1178" s="34" t="inlineStr">
        <is>
          <t>ONE_TO_ONE</t>
        </is>
      </c>
      <c r="H1178" s="34" t="inlineStr">
        <is>
          <t>APPROVED</t>
        </is>
      </c>
      <c r="I1178" s="34" t="inlineStr">
        <is>
          <t>New</t>
        </is>
      </c>
      <c r="J1178" s="34" t="inlineStr">
        <is>
          <t>Source assignment -- not individually reviewed</t>
        </is>
      </c>
      <c r="K1178" s="39" t="inlineStr"/>
      <c r="L1178" s="14" t="inlineStr"/>
      <c r="M1178" s="14" t="inlineStr"/>
      <c r="N1178" s="92" t="inlineStr">
        <is>
          <t>10 EVIDENCE &amp; DECISIONS</t>
        </is>
      </c>
    </row>
    <row r="1179" ht="34" customHeight="1">
      <c r="A1179" s="34" t="inlineStr">
        <is>
          <t>Contractor Programme</t>
        </is>
      </c>
      <c r="B1179" s="34" t="inlineStr">
        <is>
          <t>SCH-05-128</t>
        </is>
      </c>
      <c r="C1179" s="34" t="inlineStr">
        <is>
          <t>Depot: trial-running shift - inspection</t>
        </is>
      </c>
      <c r="D1179" s="34" t="inlineStr">
        <is>
          <t>WBS Code = 1.5.1</t>
        </is>
      </c>
      <c r="E1179" s="34" t="inlineStr">
        <is>
          <t>R848-v1</t>
        </is>
      </c>
      <c r="F1179" s="34" t="inlineStr">
        <is>
          <t>1.5.1 Testing and Commissioning - Test Readiness</t>
        </is>
      </c>
      <c r="G1179" s="34" t="inlineStr">
        <is>
          <t>ONE_TO_ONE</t>
        </is>
      </c>
      <c r="H1179" s="34" t="inlineStr">
        <is>
          <t>APPROVED</t>
        </is>
      </c>
      <c r="I1179" s="34" t="inlineStr">
        <is>
          <t>New</t>
        </is>
      </c>
      <c r="J1179" s="34" t="inlineStr">
        <is>
          <t>Source assignment -- not individually reviewed</t>
        </is>
      </c>
      <c r="K1179" s="39" t="inlineStr"/>
      <c r="L1179" s="14" t="inlineStr"/>
      <c r="M1179" s="14" t="inlineStr"/>
      <c r="N1179" s="92" t="inlineStr">
        <is>
          <t>10 EVIDENCE &amp; DECISIONS</t>
        </is>
      </c>
    </row>
    <row r="1180" ht="34" customHeight="1">
      <c r="A1180" s="34" t="inlineStr">
        <is>
          <t>Contractor Programme</t>
        </is>
      </c>
      <c r="B1180" s="34" t="inlineStr">
        <is>
          <t>SCH-05-130</t>
        </is>
      </c>
      <c r="C1180" s="34" t="inlineStr">
        <is>
          <t>Mainline east: emergency-response drill - release</t>
        </is>
      </c>
      <c r="D1180" s="34" t="inlineStr">
        <is>
          <t>WBS Code = 1.5.1</t>
        </is>
      </c>
      <c r="E1180" s="34" t="inlineStr">
        <is>
          <t>R850-v1</t>
        </is>
      </c>
      <c r="F1180" s="34" t="inlineStr">
        <is>
          <t>1.5.1 Testing and Commissioning - Test Readiness</t>
        </is>
      </c>
      <c r="G1180" s="34" t="inlineStr">
        <is>
          <t>ONE_TO_ONE</t>
        </is>
      </c>
      <c r="H1180" s="34" t="inlineStr">
        <is>
          <t>APPROVED</t>
        </is>
      </c>
      <c r="I1180" s="34" t="inlineStr">
        <is>
          <t>New</t>
        </is>
      </c>
      <c r="J1180" s="34" t="inlineStr">
        <is>
          <t>Source assignment -- not individually reviewed</t>
        </is>
      </c>
      <c r="K1180" s="39" t="inlineStr"/>
      <c r="L1180" s="14" t="inlineStr"/>
      <c r="M1180" s="14" t="inlineStr"/>
      <c r="N1180" s="92" t="inlineStr">
        <is>
          <t>10 EVIDENCE &amp; DECISIONS</t>
        </is>
      </c>
    </row>
    <row r="1181" ht="34" customHeight="1">
      <c r="A1181" s="34" t="inlineStr">
        <is>
          <t>Contractor Programme</t>
        </is>
      </c>
      <c r="B1181" s="34" t="inlineStr">
        <is>
          <t>SCH-05-131</t>
        </is>
      </c>
      <c r="C1181" s="34" t="inlineStr">
        <is>
          <t>Central section: defect retest - field start</t>
        </is>
      </c>
      <c r="D1181" s="34" t="inlineStr">
        <is>
          <t>WBS Code = 1.5.1</t>
        </is>
      </c>
      <c r="E1181" s="34" t="inlineStr">
        <is>
          <t>R851-v1</t>
        </is>
      </c>
      <c r="F1181" s="34" t="inlineStr">
        <is>
          <t>1.5.1 Testing and Commissioning - Test Readiness</t>
        </is>
      </c>
      <c r="G1181" s="34" t="inlineStr">
        <is>
          <t>ONE_TO_ONE</t>
        </is>
      </c>
      <c r="H1181" s="34" t="inlineStr">
        <is>
          <t>APPROVED</t>
        </is>
      </c>
      <c r="I1181" s="34" t="inlineStr">
        <is>
          <t>New</t>
        </is>
      </c>
      <c r="J1181" s="34" t="inlineStr">
        <is>
          <t>Source assignment -- not individually reviewed</t>
        </is>
      </c>
      <c r="K1181" s="39" t="inlineStr"/>
      <c r="L1181" s="14" t="inlineStr"/>
      <c r="M1181" s="14" t="inlineStr"/>
      <c r="N1181" s="92" t="inlineStr">
        <is>
          <t>10 EVIDENCE &amp; DECISIONS</t>
        </is>
      </c>
    </row>
    <row r="1182" ht="34" customHeight="1">
      <c r="A1182" s="34" t="inlineStr">
        <is>
          <t>Contractor Programme</t>
        </is>
      </c>
      <c r="B1182" s="34" t="inlineStr">
        <is>
          <t>SCH-05-133</t>
        </is>
      </c>
      <c r="C1182" s="34" t="inlineStr">
        <is>
          <t>Depot: safety certificate evidence closeout - inspection</t>
        </is>
      </c>
      <c r="D1182" s="34" t="inlineStr">
        <is>
          <t>WBS Code = 1.5.1</t>
        </is>
      </c>
      <c r="E1182" s="34" t="inlineStr">
        <is>
          <t>R853-v1</t>
        </is>
      </c>
      <c r="F1182" s="34" t="inlineStr">
        <is>
          <t>1.5.1 Testing and Commissioning - Test Readiness</t>
        </is>
      </c>
      <c r="G1182" s="34" t="inlineStr">
        <is>
          <t>ONE_TO_ONE</t>
        </is>
      </c>
      <c r="H1182" s="34" t="inlineStr">
        <is>
          <t>APPROVED</t>
        </is>
      </c>
      <c r="I1182" s="34" t="inlineStr">
        <is>
          <t>New</t>
        </is>
      </c>
      <c r="J1182" s="34" t="inlineStr">
        <is>
          <t>Source assignment -- not individually reviewed</t>
        </is>
      </c>
      <c r="K1182" s="39" t="inlineStr"/>
      <c r="L1182" s="14" t="inlineStr"/>
      <c r="M1182" s="14" t="inlineStr"/>
      <c r="N1182" s="92" t="inlineStr">
        <is>
          <t>10 EVIDENCE &amp; DECISIONS</t>
        </is>
      </c>
    </row>
    <row r="1183" ht="34" customHeight="1">
      <c r="A1183" s="34" t="inlineStr">
        <is>
          <t>Contractor Programme</t>
        </is>
      </c>
      <c r="B1183" s="34" t="inlineStr">
        <is>
          <t>SCH-05-134</t>
        </is>
      </c>
      <c r="C1183" s="34" t="inlineStr">
        <is>
          <t>Control Centre: service-readiness review - turnover</t>
        </is>
      </c>
      <c r="D1183" s="34" t="inlineStr">
        <is>
          <t>WBS Code = 1.5.1</t>
        </is>
      </c>
      <c r="E1183" s="34" t="inlineStr">
        <is>
          <t>R854-v1</t>
        </is>
      </c>
      <c r="F1183" s="34" t="inlineStr">
        <is>
          <t>1.5.1 Testing and Commissioning - Test Readiness</t>
        </is>
      </c>
      <c r="G1183" s="34" t="inlineStr">
        <is>
          <t>ONE_TO_ONE</t>
        </is>
      </c>
      <c r="H1183" s="34" t="inlineStr">
        <is>
          <t>APPROVED</t>
        </is>
      </c>
      <c r="I1183" s="34" t="inlineStr">
        <is>
          <t>New</t>
        </is>
      </c>
      <c r="J1183" s="34" t="inlineStr">
        <is>
          <t>Source assignment -- not individually reviewed</t>
        </is>
      </c>
      <c r="K1183" s="39" t="inlineStr"/>
      <c r="L1183" s="14" t="inlineStr"/>
      <c r="M1183" s="14" t="inlineStr"/>
      <c r="N1183" s="92" t="inlineStr">
        <is>
          <t>10 EVIDENCE &amp; DECISIONS</t>
        </is>
      </c>
    </row>
    <row r="1184" ht="34" customHeight="1">
      <c r="A1184" s="34" t="inlineStr">
        <is>
          <t>Contractor Programme</t>
        </is>
      </c>
      <c r="B1184" s="34" t="inlineStr">
        <is>
          <t>SCH-05-136</t>
        </is>
      </c>
      <c r="C1184" s="34" t="inlineStr">
        <is>
          <t>Central section: trial-running shift - field start</t>
        </is>
      </c>
      <c r="D1184" s="34" t="inlineStr">
        <is>
          <t>WBS Code = 1.5.1</t>
        </is>
      </c>
      <c r="E1184" s="34" t="inlineStr">
        <is>
          <t>R856-v1</t>
        </is>
      </c>
      <c r="F1184" s="34" t="inlineStr">
        <is>
          <t>1.5.1 Testing and Commissioning - Test Readiness</t>
        </is>
      </c>
      <c r="G1184" s="34" t="inlineStr">
        <is>
          <t>ONE_TO_ONE</t>
        </is>
      </c>
      <c r="H1184" s="34" t="inlineStr">
        <is>
          <t>APPROVED</t>
        </is>
      </c>
      <c r="I1184" s="34" t="inlineStr">
        <is>
          <t>New</t>
        </is>
      </c>
      <c r="J1184" s="34" t="inlineStr">
        <is>
          <t>Source assignment -- not individually reviewed</t>
        </is>
      </c>
      <c r="K1184" s="39" t="inlineStr"/>
      <c r="L1184" s="14" t="inlineStr"/>
      <c r="M1184" s="14" t="inlineStr"/>
      <c r="N1184" s="92" t="inlineStr">
        <is>
          <t>10 EVIDENCE &amp; DECISIONS</t>
        </is>
      </c>
    </row>
    <row r="1185" ht="34" customHeight="1">
      <c r="A1185" s="34" t="inlineStr">
        <is>
          <t>Contractor Programme</t>
        </is>
      </c>
      <c r="B1185" s="34" t="inlineStr">
        <is>
          <t>SCH-05-137</t>
        </is>
      </c>
      <c r="C1185" s="34" t="inlineStr">
        <is>
          <t>West terminal: test procedure readiness review - installation</t>
        </is>
      </c>
      <c r="D1185" s="34" t="inlineStr">
        <is>
          <t>WBS Code = 1.5.1</t>
        </is>
      </c>
      <c r="E1185" s="34" t="inlineStr">
        <is>
          <t>R857-v1</t>
        </is>
      </c>
      <c r="F1185" s="34" t="inlineStr">
        <is>
          <t>1.5.1 Testing and Commissioning - Test Readiness</t>
        </is>
      </c>
      <c r="G1185" s="34" t="inlineStr">
        <is>
          <t>ONE_TO_ONE</t>
        </is>
      </c>
      <c r="H1185" s="34" t="inlineStr">
        <is>
          <t>APPROVED</t>
        </is>
      </c>
      <c r="I1185" s="34" t="inlineStr">
        <is>
          <t>New</t>
        </is>
      </c>
      <c r="J1185" s="34" t="inlineStr">
        <is>
          <t>Source assignment -- not individually reviewed</t>
        </is>
      </c>
      <c r="K1185" s="39" t="inlineStr"/>
      <c r="L1185" s="14" t="inlineStr"/>
      <c r="M1185" s="14" t="inlineStr"/>
      <c r="N1185" s="92" t="inlineStr">
        <is>
          <t>10 EVIDENCE &amp; DECISIONS</t>
        </is>
      </c>
    </row>
    <row r="1186" ht="34" customHeight="1">
      <c r="A1186" s="34" t="inlineStr">
        <is>
          <t>Contractor Programme</t>
        </is>
      </c>
      <c r="B1186" s="34" t="inlineStr">
        <is>
          <t>SCH-05-139</t>
        </is>
      </c>
      <c r="C1186" s="34" t="inlineStr">
        <is>
          <t>Control Centre: defect retest - turnover</t>
        </is>
      </c>
      <c r="D1186" s="34" t="inlineStr">
        <is>
          <t>WBS Code = 1.5.1</t>
        </is>
      </c>
      <c r="E1186" s="34" t="inlineStr">
        <is>
          <t>R859-v1</t>
        </is>
      </c>
      <c r="F1186" s="34" t="inlineStr">
        <is>
          <t>1.5.1 Testing and Commissioning - Test Readiness</t>
        </is>
      </c>
      <c r="G1186" s="34" t="inlineStr">
        <is>
          <t>ONE_TO_ONE</t>
        </is>
      </c>
      <c r="H1186" s="34" t="inlineStr">
        <is>
          <t>APPROVED</t>
        </is>
      </c>
      <c r="I1186" s="34" t="inlineStr">
        <is>
          <t>New</t>
        </is>
      </c>
      <c r="J1186" s="34" t="inlineStr">
        <is>
          <t>Source assignment -- not individually reviewed</t>
        </is>
      </c>
      <c r="K1186" s="39" t="inlineStr"/>
      <c r="L1186" s="14" t="inlineStr"/>
      <c r="M1186" s="14" t="inlineStr"/>
      <c r="N1186" s="92" t="inlineStr">
        <is>
          <t>10 EVIDENCE &amp; DECISIONS</t>
        </is>
      </c>
    </row>
    <row r="1187" ht="34" customHeight="1">
      <c r="A1187" s="34" t="inlineStr">
        <is>
          <t>Contractor Programme</t>
        </is>
      </c>
      <c r="B1187" s="34" t="inlineStr">
        <is>
          <t>SCH-05-140</t>
        </is>
      </c>
      <c r="C1187" s="34" t="inlineStr">
        <is>
          <t>Mainline east: mainline dynamic test - release</t>
        </is>
      </c>
      <c r="D1187" s="34" t="inlineStr">
        <is>
          <t>WBS Code = 1.5.1</t>
        </is>
      </c>
      <c r="E1187" s="34" t="inlineStr">
        <is>
          <t>R860-v1</t>
        </is>
      </c>
      <c r="F1187" s="34" t="inlineStr">
        <is>
          <t>1.5.1 Testing and Commissioning - Test Readiness</t>
        </is>
      </c>
      <c r="G1187" s="34" t="inlineStr">
        <is>
          <t>ONE_TO_ONE</t>
        </is>
      </c>
      <c r="H1187" s="34" t="inlineStr">
        <is>
          <t>APPROVED</t>
        </is>
      </c>
      <c r="I1187" s="34" t="inlineStr">
        <is>
          <t>New</t>
        </is>
      </c>
      <c r="J1187" s="34" t="inlineStr">
        <is>
          <t>Source assignment -- not individually reviewed</t>
        </is>
      </c>
      <c r="K1187" s="39" t="inlineStr"/>
      <c r="L1187" s="14" t="inlineStr"/>
      <c r="M1187" s="14" t="inlineStr"/>
      <c r="N1187" s="92" t="inlineStr">
        <is>
          <t>10 EVIDENCE &amp; DECISIONS</t>
        </is>
      </c>
    </row>
    <row r="1188" ht="34" customHeight="1">
      <c r="A1188" s="34" t="inlineStr">
        <is>
          <t>Contractor Programme</t>
        </is>
      </c>
      <c r="B1188" s="34" t="inlineStr">
        <is>
          <t>SCH-05-142</t>
        </is>
      </c>
      <c r="C1188" s="34" t="inlineStr">
        <is>
          <t>West terminal: service-readiness review - installation</t>
        </is>
      </c>
      <c r="D1188" s="34" t="inlineStr">
        <is>
          <t>WBS Code = 1.5.1</t>
        </is>
      </c>
      <c r="E1188" s="34" t="inlineStr">
        <is>
          <t>R862-v1</t>
        </is>
      </c>
      <c r="F1188" s="34" t="inlineStr">
        <is>
          <t>1.5.1 Testing and Commissioning - Test Readiness</t>
        </is>
      </c>
      <c r="G1188" s="34" t="inlineStr">
        <is>
          <t>ONE_TO_ONE</t>
        </is>
      </c>
      <c r="H1188" s="34" t="inlineStr">
        <is>
          <t>APPROVED</t>
        </is>
      </c>
      <c r="I1188" s="34" t="inlineStr">
        <is>
          <t>New</t>
        </is>
      </c>
      <c r="J1188" s="34" t="inlineStr">
        <is>
          <t>Source assignment -- not individually reviewed</t>
        </is>
      </c>
      <c r="K1188" s="39" t="inlineStr"/>
      <c r="L1188" s="14" t="inlineStr"/>
      <c r="M1188" s="14" t="inlineStr"/>
      <c r="N1188" s="92" t="inlineStr">
        <is>
          <t>10 EVIDENCE &amp; DECISIONS</t>
        </is>
      </c>
    </row>
    <row r="1189" ht="34" customHeight="1">
      <c r="A1189" s="34" t="inlineStr">
        <is>
          <t>Contractor Programme</t>
        </is>
      </c>
      <c r="B1189" s="34" t="inlineStr">
        <is>
          <t>SCH-05-143</t>
        </is>
      </c>
      <c r="C1189" s="34" t="inlineStr">
        <is>
          <t>Depot: station integrated test - inspection</t>
        </is>
      </c>
      <c r="D1189" s="34" t="inlineStr">
        <is>
          <t>WBS Code = 1.5.1</t>
        </is>
      </c>
      <c r="E1189" s="34" t="inlineStr">
        <is>
          <t>R863-v1</t>
        </is>
      </c>
      <c r="F1189" s="34" t="inlineStr">
        <is>
          <t>1.5.1 Testing and Commissioning - Test Readiness</t>
        </is>
      </c>
      <c r="G1189" s="34" t="inlineStr">
        <is>
          <t>ONE_TO_ONE</t>
        </is>
      </c>
      <c r="H1189" s="34" t="inlineStr">
        <is>
          <t>APPROVED</t>
        </is>
      </c>
      <c r="I1189" s="34" t="inlineStr">
        <is>
          <t>New</t>
        </is>
      </c>
      <c r="J1189" s="34" t="inlineStr">
        <is>
          <t>Source assignment -- not individually reviewed</t>
        </is>
      </c>
      <c r="K1189" s="39" t="inlineStr"/>
      <c r="L1189" s="14" t="inlineStr"/>
      <c r="M1189" s="14" t="inlineStr"/>
      <c r="N1189" s="92" t="inlineStr">
        <is>
          <t>10 EVIDENCE &amp; DECISIONS</t>
        </is>
      </c>
    </row>
    <row r="1190" ht="34" customHeight="1">
      <c r="A1190" s="34" t="inlineStr">
        <is>
          <t>Contractor Programme</t>
        </is>
      </c>
      <c r="B1190" s="34" t="inlineStr">
        <is>
          <t>SCH-05-145</t>
        </is>
      </c>
      <c r="C1190" s="34" t="inlineStr">
        <is>
          <t>Mainline east: test procedure readiness review - release</t>
        </is>
      </c>
      <c r="D1190" s="34" t="inlineStr">
        <is>
          <t>WBS Code = 1.5.1</t>
        </is>
      </c>
      <c r="E1190" s="34" t="inlineStr">
        <is>
          <t>R865-v1</t>
        </is>
      </c>
      <c r="F1190" s="34" t="inlineStr">
        <is>
          <t>1.5.1 Testing and Commissioning - Test Readiness</t>
        </is>
      </c>
      <c r="G1190" s="34" t="inlineStr">
        <is>
          <t>ONE_TO_ONE</t>
        </is>
      </c>
      <c r="H1190" s="34" t="inlineStr">
        <is>
          <t>APPROVED</t>
        </is>
      </c>
      <c r="I1190" s="34" t="inlineStr">
        <is>
          <t>New</t>
        </is>
      </c>
      <c r="J1190" s="34" t="inlineStr">
        <is>
          <t>Source assignment -- not individually reviewed</t>
        </is>
      </c>
      <c r="K1190" s="39" t="inlineStr"/>
      <c r="L1190" s="14" t="inlineStr"/>
      <c r="M1190" s="14" t="inlineStr"/>
      <c r="N1190" s="92" t="inlineStr">
        <is>
          <t>10 EVIDENCE &amp; DECISIONS</t>
        </is>
      </c>
    </row>
    <row r="1191" ht="34" customHeight="1">
      <c r="A1191" s="34" t="inlineStr">
        <is>
          <t>Contractor Programme</t>
        </is>
      </c>
      <c r="B1191" s="34" t="inlineStr">
        <is>
          <t>SCH-05-146</t>
        </is>
      </c>
      <c r="C1191" s="34" t="inlineStr">
        <is>
          <t>Central section: emergency-response drill - field start</t>
        </is>
      </c>
      <c r="D1191" s="34" t="inlineStr">
        <is>
          <t>WBS Code = 1.5.1</t>
        </is>
      </c>
      <c r="E1191" s="34" t="inlineStr">
        <is>
          <t>R866-v1</t>
        </is>
      </c>
      <c r="F1191" s="34" t="inlineStr">
        <is>
          <t>1.5.1 Testing and Commissioning - Test Readiness</t>
        </is>
      </c>
      <c r="G1191" s="34" t="inlineStr">
        <is>
          <t>ONE_TO_ONE</t>
        </is>
      </c>
      <c r="H1191" s="34" t="inlineStr">
        <is>
          <t>APPROVED</t>
        </is>
      </c>
      <c r="I1191" s="34" t="inlineStr">
        <is>
          <t>New</t>
        </is>
      </c>
      <c r="J1191" s="34" t="inlineStr">
        <is>
          <t>Source assignment -- not individually reviewed</t>
        </is>
      </c>
      <c r="K1191" s="39" t="inlineStr"/>
      <c r="L1191" s="14" t="inlineStr"/>
      <c r="M1191" s="14" t="inlineStr"/>
      <c r="N1191" s="92" t="inlineStr">
        <is>
          <t>10 EVIDENCE &amp; DECISIONS</t>
        </is>
      </c>
    </row>
    <row r="1192" ht="34" customHeight="1">
      <c r="A1192" s="34" t="inlineStr">
        <is>
          <t>Contractor Programme</t>
        </is>
      </c>
      <c r="B1192" s="34" t="inlineStr">
        <is>
          <t>SCH-05-148</t>
        </is>
      </c>
      <c r="C1192" s="34" t="inlineStr">
        <is>
          <t>Depot: mainline dynamic test - inspection</t>
        </is>
      </c>
      <c r="D1192" s="34" t="inlineStr">
        <is>
          <t>WBS Code = 1.5.1</t>
        </is>
      </c>
      <c r="E1192" s="34" t="inlineStr">
        <is>
          <t>R868-v1</t>
        </is>
      </c>
      <c r="F1192" s="34" t="inlineStr">
        <is>
          <t>1.5.1 Testing and Commissioning - Test Readiness</t>
        </is>
      </c>
      <c r="G1192" s="34" t="inlineStr">
        <is>
          <t>ONE_TO_ONE</t>
        </is>
      </c>
      <c r="H1192" s="34" t="inlineStr">
        <is>
          <t>APPROVED</t>
        </is>
      </c>
      <c r="I1192" s="34" t="inlineStr">
        <is>
          <t>New</t>
        </is>
      </c>
      <c r="J1192" s="34" t="inlineStr">
        <is>
          <t>Source assignment -- not individually reviewed</t>
        </is>
      </c>
      <c r="K1192" s="39" t="inlineStr"/>
      <c r="L1192" s="14" t="inlineStr"/>
      <c r="M1192" s="14" t="inlineStr"/>
      <c r="N1192" s="92" t="inlineStr">
        <is>
          <t>10 EVIDENCE &amp; DECISIONS</t>
        </is>
      </c>
    </row>
    <row r="1193" ht="34" customHeight="1">
      <c r="A1193" s="34" t="inlineStr">
        <is>
          <t>Contractor Programme</t>
        </is>
      </c>
      <c r="B1193" s="34" t="inlineStr">
        <is>
          <t>SCH-05-149</t>
        </is>
      </c>
      <c r="C1193" s="34" t="inlineStr">
        <is>
          <t>Control Centre: safety certificate evidence closeout - turnover</t>
        </is>
      </c>
      <c r="D1193" s="34" t="inlineStr">
        <is>
          <t>WBS Code = 1.5.1</t>
        </is>
      </c>
      <c r="E1193" s="34" t="inlineStr">
        <is>
          <t>R869-v1</t>
        </is>
      </c>
      <c r="F1193" s="34" t="inlineStr">
        <is>
          <t>1.5.1 Testing and Commissioning - Test Readiness</t>
        </is>
      </c>
      <c r="G1193" s="34" t="inlineStr">
        <is>
          <t>ONE_TO_ONE</t>
        </is>
      </c>
      <c r="H1193" s="34" t="inlineStr">
        <is>
          <t>APPROVED</t>
        </is>
      </c>
      <c r="I1193" s="34" t="inlineStr">
        <is>
          <t>New</t>
        </is>
      </c>
      <c r="J1193" s="34" t="inlineStr">
        <is>
          <t>Source assignment -- not individually reviewed</t>
        </is>
      </c>
      <c r="K1193" s="39" t="inlineStr"/>
      <c r="L1193" s="14" t="inlineStr"/>
      <c r="M1193" s="14" t="inlineStr"/>
      <c r="N1193" s="92" t="inlineStr">
        <is>
          <t>10 EVIDENCE &amp; DECISIONS</t>
        </is>
      </c>
    </row>
    <row r="1194" ht="34" customHeight="1">
      <c r="A1194" s="34" t="inlineStr">
        <is>
          <t>Contractor Programme</t>
        </is>
      </c>
      <c r="B1194" s="34" t="inlineStr">
        <is>
          <t>SCH-05-151</t>
        </is>
      </c>
      <c r="C1194" s="34" t="inlineStr">
        <is>
          <t>Central section: station integrated test - field start</t>
        </is>
      </c>
      <c r="D1194" s="34" t="inlineStr">
        <is>
          <t>WBS Code = 1.5.1</t>
        </is>
      </c>
      <c r="E1194" s="34" t="inlineStr">
        <is>
          <t>R871-v1</t>
        </is>
      </c>
      <c r="F1194" s="34" t="inlineStr">
        <is>
          <t>1.5.1 Testing and Commissioning - Test Readiness</t>
        </is>
      </c>
      <c r="G1194" s="34" t="inlineStr">
        <is>
          <t>ONE_TO_ONE</t>
        </is>
      </c>
      <c r="H1194" s="34" t="inlineStr">
        <is>
          <t>APPROVED</t>
        </is>
      </c>
      <c r="I1194" s="34" t="inlineStr">
        <is>
          <t>New</t>
        </is>
      </c>
      <c r="J1194" s="34" t="inlineStr">
        <is>
          <t>Source assignment -- not individually reviewed</t>
        </is>
      </c>
      <c r="K1194" s="39" t="inlineStr"/>
      <c r="L1194" s="14" t="inlineStr"/>
      <c r="M1194" s="14" t="inlineStr"/>
      <c r="N1194" s="92" t="inlineStr">
        <is>
          <t>10 EVIDENCE &amp; DECISIONS</t>
        </is>
      </c>
    </row>
    <row r="1195" ht="34" customHeight="1">
      <c r="A1195" s="34" t="inlineStr">
        <is>
          <t>Contractor Programme</t>
        </is>
      </c>
      <c r="B1195" s="34" t="inlineStr">
        <is>
          <t>SCH-05-152</t>
        </is>
      </c>
      <c r="C1195" s="34" t="inlineStr">
        <is>
          <t>West terminal: trial-running shift - installation</t>
        </is>
      </c>
      <c r="D1195" s="34" t="inlineStr">
        <is>
          <t>WBS Code = 1.5.1</t>
        </is>
      </c>
      <c r="E1195" s="34" t="inlineStr">
        <is>
          <t>R872-v1</t>
        </is>
      </c>
      <c r="F1195" s="34" t="inlineStr">
        <is>
          <t>1.5.1 Testing and Commissioning - Test Readiness</t>
        </is>
      </c>
      <c r="G1195" s="34" t="inlineStr">
        <is>
          <t>ONE_TO_ONE</t>
        </is>
      </c>
      <c r="H1195" s="34" t="inlineStr">
        <is>
          <t>APPROVED</t>
        </is>
      </c>
      <c r="I1195" s="34" t="inlineStr">
        <is>
          <t>New</t>
        </is>
      </c>
      <c r="J1195" s="34" t="inlineStr">
        <is>
          <t>Source assignment -- not individually reviewed</t>
        </is>
      </c>
      <c r="K1195" s="39" t="inlineStr"/>
      <c r="L1195" s="14" t="inlineStr"/>
      <c r="M1195" s="14" t="inlineStr"/>
      <c r="N1195" s="92" t="inlineStr">
        <is>
          <t>10 EVIDENCE &amp; DECISIONS</t>
        </is>
      </c>
    </row>
    <row r="1196" ht="34" customHeight="1">
      <c r="A1196" s="34" t="inlineStr">
        <is>
          <t>Contractor Programme</t>
        </is>
      </c>
      <c r="B1196" s="34" t="inlineStr">
        <is>
          <t>SCH-05-154</t>
        </is>
      </c>
      <c r="C1196" s="34" t="inlineStr">
        <is>
          <t>Control Centre: emergency-response drill - turnover</t>
        </is>
      </c>
      <c r="D1196" s="34" t="inlineStr">
        <is>
          <t>WBS Code = 1.5.1</t>
        </is>
      </c>
      <c r="E1196" s="34" t="inlineStr">
        <is>
          <t>R874-v1</t>
        </is>
      </c>
      <c r="F1196" s="34" t="inlineStr">
        <is>
          <t>1.5.1 Testing and Commissioning - Test Readiness</t>
        </is>
      </c>
      <c r="G1196" s="34" t="inlineStr">
        <is>
          <t>ONE_TO_ONE</t>
        </is>
      </c>
      <c r="H1196" s="34" t="inlineStr">
        <is>
          <t>APPROVED</t>
        </is>
      </c>
      <c r="I1196" s="34" t="inlineStr">
        <is>
          <t>New</t>
        </is>
      </c>
      <c r="J1196" s="34" t="inlineStr">
        <is>
          <t>Source assignment -- not individually reviewed</t>
        </is>
      </c>
      <c r="K1196" s="39" t="inlineStr"/>
      <c r="L1196" s="14" t="inlineStr"/>
      <c r="M1196" s="14" t="inlineStr"/>
      <c r="N1196" s="92" t="inlineStr">
        <is>
          <t>10 EVIDENCE &amp; DECISIONS</t>
        </is>
      </c>
    </row>
    <row r="1197" ht="34" customHeight="1">
      <c r="A1197" s="34" t="inlineStr">
        <is>
          <t>Contractor Programme</t>
        </is>
      </c>
      <c r="B1197" s="34" t="inlineStr">
        <is>
          <t>SCH-05-155</t>
        </is>
      </c>
      <c r="C1197" s="34" t="inlineStr">
        <is>
          <t>Mainline east: defect retest - release</t>
        </is>
      </c>
      <c r="D1197" s="34" t="inlineStr">
        <is>
          <t>WBS Code = 1.5.1</t>
        </is>
      </c>
      <c r="E1197" s="34" t="inlineStr">
        <is>
          <t>R875-v1</t>
        </is>
      </c>
      <c r="F1197" s="34" t="inlineStr">
        <is>
          <t>1.5.1 Testing and Commissioning - Test Readiness</t>
        </is>
      </c>
      <c r="G1197" s="34" t="inlineStr">
        <is>
          <t>ONE_TO_ONE</t>
        </is>
      </c>
      <c r="H1197" s="34" t="inlineStr">
        <is>
          <t>APPROVED</t>
        </is>
      </c>
      <c r="I1197" s="34" t="inlineStr">
        <is>
          <t>New</t>
        </is>
      </c>
      <c r="J1197" s="34" t="inlineStr">
        <is>
          <t>Source assignment -- not individually reviewed</t>
        </is>
      </c>
      <c r="K1197" s="39" t="inlineStr"/>
      <c r="L1197" s="14" t="inlineStr"/>
      <c r="M1197" s="14" t="inlineStr"/>
      <c r="N1197" s="92" t="inlineStr">
        <is>
          <t>10 EVIDENCE &amp; DECISIONS</t>
        </is>
      </c>
    </row>
    <row r="1198" ht="34" customHeight="1">
      <c r="A1198" s="34" t="inlineStr">
        <is>
          <t>Contractor Programme</t>
        </is>
      </c>
      <c r="B1198" s="34" t="inlineStr">
        <is>
          <t>SCH-05-157</t>
        </is>
      </c>
      <c r="C1198" s="34" t="inlineStr">
        <is>
          <t>West terminal: safety certificate evidence closeout - installation</t>
        </is>
      </c>
      <c r="D1198" s="34" t="inlineStr">
        <is>
          <t>WBS Code = 1.5.1</t>
        </is>
      </c>
      <c r="E1198" s="34" t="inlineStr">
        <is>
          <t>R877-v1</t>
        </is>
      </c>
      <c r="F1198" s="34" t="inlineStr">
        <is>
          <t>1.5.1 Testing and Commissioning - Test Readiness</t>
        </is>
      </c>
      <c r="G1198" s="34" t="inlineStr">
        <is>
          <t>ONE_TO_ONE</t>
        </is>
      </c>
      <c r="H1198" s="34" t="inlineStr">
        <is>
          <t>APPROVED</t>
        </is>
      </c>
      <c r="I1198" s="34" t="inlineStr">
        <is>
          <t>New</t>
        </is>
      </c>
      <c r="J1198" s="34" t="inlineStr">
        <is>
          <t>Source assignment -- not individually reviewed</t>
        </is>
      </c>
      <c r="K1198" s="39" t="inlineStr"/>
      <c r="L1198" s="14" t="inlineStr"/>
      <c r="M1198" s="14" t="inlineStr"/>
      <c r="N1198" s="92" t="inlineStr">
        <is>
          <t>10 EVIDENCE &amp; DECISIONS</t>
        </is>
      </c>
    </row>
    <row r="1199" ht="34" customHeight="1">
      <c r="A1199" s="34" t="inlineStr">
        <is>
          <t>Contractor Programme</t>
        </is>
      </c>
      <c r="B1199" s="34" t="inlineStr">
        <is>
          <t>SCH-05-158</t>
        </is>
      </c>
      <c r="C1199" s="34" t="inlineStr">
        <is>
          <t>Depot: service-readiness review - inspection</t>
        </is>
      </c>
      <c r="D1199" s="34" t="inlineStr">
        <is>
          <t>WBS Code = 1.5.1</t>
        </is>
      </c>
      <c r="E1199" s="34" t="inlineStr">
        <is>
          <t>R878-v1</t>
        </is>
      </c>
      <c r="F1199" s="34" t="inlineStr">
        <is>
          <t>1.5.1 Testing and Commissioning - Test Readiness</t>
        </is>
      </c>
      <c r="G1199" s="34" t="inlineStr">
        <is>
          <t>ONE_TO_ONE</t>
        </is>
      </c>
      <c r="H1199" s="34" t="inlineStr">
        <is>
          <t>APPROVED</t>
        </is>
      </c>
      <c r="I1199" s="34" t="inlineStr">
        <is>
          <t>New</t>
        </is>
      </c>
      <c r="J1199" s="34" t="inlineStr">
        <is>
          <t>Source assignment -- not individually reviewed</t>
        </is>
      </c>
      <c r="K1199" s="39" t="inlineStr"/>
      <c r="L1199" s="14" t="inlineStr"/>
      <c r="M1199" s="14" t="inlineStr"/>
      <c r="N1199" s="92" t="inlineStr">
        <is>
          <t>10 EVIDENCE &amp; DECISIONS</t>
        </is>
      </c>
    </row>
    <row r="1200" ht="34" customHeight="1">
      <c r="A1200" s="34" t="inlineStr">
        <is>
          <t>Contractor Programme</t>
        </is>
      </c>
      <c r="B1200" s="34" t="inlineStr">
        <is>
          <t>SCH-05-160</t>
        </is>
      </c>
      <c r="C1200" s="34" t="inlineStr">
        <is>
          <t>Mainline east: trial-running shift - release</t>
        </is>
      </c>
      <c r="D1200" s="34" t="inlineStr">
        <is>
          <t>WBS Code = 1.5.1</t>
        </is>
      </c>
      <c r="E1200" s="34" t="inlineStr">
        <is>
          <t>R880-v1</t>
        </is>
      </c>
      <c r="F1200" s="34" t="inlineStr">
        <is>
          <t>1.5.1 Testing and Commissioning - Test Readiness</t>
        </is>
      </c>
      <c r="G1200" s="34" t="inlineStr">
        <is>
          <t>ONE_TO_ONE</t>
        </is>
      </c>
      <c r="H1200" s="34" t="inlineStr">
        <is>
          <t>APPROVED</t>
        </is>
      </c>
      <c r="I1200" s="34" t="inlineStr">
        <is>
          <t>New</t>
        </is>
      </c>
      <c r="J1200" s="34" t="inlineStr">
        <is>
          <t>Source assignment -- not individually reviewed</t>
        </is>
      </c>
      <c r="K1200" s="39" t="inlineStr"/>
      <c r="L1200" s="14" t="inlineStr"/>
      <c r="M1200" s="14" t="inlineStr"/>
      <c r="N1200" s="92" t="inlineStr">
        <is>
          <t>10 EVIDENCE &amp; DECISIONS</t>
        </is>
      </c>
    </row>
    <row r="1201" ht="34" customHeight="1">
      <c r="A1201" s="34" t="inlineStr">
        <is>
          <t>Contractor Programme</t>
        </is>
      </c>
      <c r="B1201" s="34" t="inlineStr">
        <is>
          <t>SCH-05-161</t>
        </is>
      </c>
      <c r="C1201" s="34" t="inlineStr">
        <is>
          <t>Central section: test procedure readiness review - field start</t>
        </is>
      </c>
      <c r="D1201" s="34" t="inlineStr">
        <is>
          <t>WBS Code = 1.5.1</t>
        </is>
      </c>
      <c r="E1201" s="34" t="inlineStr">
        <is>
          <t>R881-v1</t>
        </is>
      </c>
      <c r="F1201" s="34" t="inlineStr">
        <is>
          <t>1.5.1 Testing and Commissioning - Test Readiness</t>
        </is>
      </c>
      <c r="G1201" s="34" t="inlineStr">
        <is>
          <t>ONE_TO_ONE</t>
        </is>
      </c>
      <c r="H1201" s="34" t="inlineStr">
        <is>
          <t>APPROVED</t>
        </is>
      </c>
      <c r="I1201" s="34" t="inlineStr">
        <is>
          <t>New</t>
        </is>
      </c>
      <c r="J1201" s="34" t="inlineStr">
        <is>
          <t>Source assignment -- not individually reviewed</t>
        </is>
      </c>
      <c r="K1201" s="39" t="inlineStr"/>
      <c r="L1201" s="14" t="inlineStr"/>
      <c r="M1201" s="14" t="inlineStr"/>
      <c r="N1201" s="92" t="inlineStr">
        <is>
          <t>10 EVIDENCE &amp; DECISIONS</t>
        </is>
      </c>
    </row>
    <row r="1202" ht="34" customHeight="1">
      <c r="A1202" s="34" t="inlineStr">
        <is>
          <t>Contractor Programme</t>
        </is>
      </c>
      <c r="B1202" s="34" t="inlineStr">
        <is>
          <t>SCH-05-163</t>
        </is>
      </c>
      <c r="C1202" s="34" t="inlineStr">
        <is>
          <t>Depot: defect retest - inspection</t>
        </is>
      </c>
      <c r="D1202" s="34" t="inlineStr">
        <is>
          <t>WBS Code = 1.5.1</t>
        </is>
      </c>
      <c r="E1202" s="34" t="inlineStr">
        <is>
          <t>R883-v1</t>
        </is>
      </c>
      <c r="F1202" s="34" t="inlineStr">
        <is>
          <t>1.5.1 Testing and Commissioning - Test Readiness</t>
        </is>
      </c>
      <c r="G1202" s="34" t="inlineStr">
        <is>
          <t>ONE_TO_ONE</t>
        </is>
      </c>
      <c r="H1202" s="34" t="inlineStr">
        <is>
          <t>APPROVED</t>
        </is>
      </c>
      <c r="I1202" s="34" t="inlineStr">
        <is>
          <t>New</t>
        </is>
      </c>
      <c r="J1202" s="34" t="inlineStr">
        <is>
          <t>Source assignment -- not individually reviewed</t>
        </is>
      </c>
      <c r="K1202" s="39" t="inlineStr"/>
      <c r="L1202" s="14" t="inlineStr"/>
      <c r="M1202" s="14" t="inlineStr"/>
      <c r="N1202" s="92" t="inlineStr">
        <is>
          <t>10 EVIDENCE &amp; DECISIONS</t>
        </is>
      </c>
    </row>
    <row r="1203" ht="34" customHeight="1">
      <c r="A1203" s="34" t="inlineStr">
        <is>
          <t>Contractor Programme</t>
        </is>
      </c>
      <c r="B1203" s="34" t="inlineStr">
        <is>
          <t>SCH-05-164</t>
        </is>
      </c>
      <c r="C1203" s="34" t="inlineStr">
        <is>
          <t>Control Centre: mainline dynamic test - turnover</t>
        </is>
      </c>
      <c r="D1203" s="34" t="inlineStr">
        <is>
          <t>WBS Code = 1.5.1</t>
        </is>
      </c>
      <c r="E1203" s="34" t="inlineStr">
        <is>
          <t>R884-v1</t>
        </is>
      </c>
      <c r="F1203" s="34" t="inlineStr">
        <is>
          <t>1.5.1 Testing and Commissioning - Test Readiness</t>
        </is>
      </c>
      <c r="G1203" s="34" t="inlineStr">
        <is>
          <t>ONE_TO_ONE</t>
        </is>
      </c>
      <c r="H1203" s="34" t="inlineStr">
        <is>
          <t>APPROVED</t>
        </is>
      </c>
      <c r="I1203" s="34" t="inlineStr">
        <is>
          <t>New</t>
        </is>
      </c>
      <c r="J1203" s="34" t="inlineStr">
        <is>
          <t>Source assignment -- not individually reviewed</t>
        </is>
      </c>
      <c r="K1203" s="39" t="inlineStr"/>
      <c r="L1203" s="14" t="inlineStr"/>
      <c r="M1203" s="14" t="inlineStr"/>
      <c r="N1203" s="92" t="inlineStr">
        <is>
          <t>10 EVIDENCE &amp; DECISIONS</t>
        </is>
      </c>
    </row>
    <row r="1204" ht="34" customHeight="1">
      <c r="A1204" s="34" t="inlineStr">
        <is>
          <t>Contractor Programme</t>
        </is>
      </c>
      <c r="B1204" s="34" t="inlineStr">
        <is>
          <t>SCH-05-166</t>
        </is>
      </c>
      <c r="C1204" s="34" t="inlineStr">
        <is>
          <t>Central section: service-readiness review - field start</t>
        </is>
      </c>
      <c r="D1204" s="34" t="inlineStr">
        <is>
          <t>WBS Code = 1.5.1</t>
        </is>
      </c>
      <c r="E1204" s="34" t="inlineStr">
        <is>
          <t>R886-v1</t>
        </is>
      </c>
      <c r="F1204" s="34" t="inlineStr">
        <is>
          <t>1.5.1 Testing and Commissioning - Test Readiness</t>
        </is>
      </c>
      <c r="G1204" s="34" t="inlineStr">
        <is>
          <t>ONE_TO_ONE</t>
        </is>
      </c>
      <c r="H1204" s="34" t="inlineStr">
        <is>
          <t>APPROVED</t>
        </is>
      </c>
      <c r="I1204" s="34" t="inlineStr">
        <is>
          <t>New</t>
        </is>
      </c>
      <c r="J1204" s="34" t="inlineStr">
        <is>
          <t>Source assignment -- not individually reviewed</t>
        </is>
      </c>
      <c r="K1204" s="39" t="inlineStr"/>
      <c r="L1204" s="14" t="inlineStr"/>
      <c r="M1204" s="14" t="inlineStr"/>
      <c r="N1204" s="92" t="inlineStr">
        <is>
          <t>10 EVIDENCE &amp; DECISIONS</t>
        </is>
      </c>
    </row>
    <row r="1205" ht="34" customHeight="1">
      <c r="A1205" s="34" t="inlineStr">
        <is>
          <t>Contractor Programme</t>
        </is>
      </c>
      <c r="B1205" s="34" t="inlineStr">
        <is>
          <t>SCH-05-167</t>
        </is>
      </c>
      <c r="C1205" s="34" t="inlineStr">
        <is>
          <t>West terminal: station integrated test - installation</t>
        </is>
      </c>
      <c r="D1205" s="34" t="inlineStr">
        <is>
          <t>WBS Code = 1.5.1</t>
        </is>
      </c>
      <c r="E1205" s="34" t="inlineStr">
        <is>
          <t>R887-v1</t>
        </is>
      </c>
      <c r="F1205" s="34" t="inlineStr">
        <is>
          <t>1.5.1 Testing and Commissioning - Test Readiness</t>
        </is>
      </c>
      <c r="G1205" s="34" t="inlineStr">
        <is>
          <t>ONE_TO_ONE</t>
        </is>
      </c>
      <c r="H1205" s="34" t="inlineStr">
        <is>
          <t>APPROVED</t>
        </is>
      </c>
      <c r="I1205" s="34" t="inlineStr">
        <is>
          <t>New</t>
        </is>
      </c>
      <c r="J1205" s="34" t="inlineStr">
        <is>
          <t>Source assignment -- not individually reviewed</t>
        </is>
      </c>
      <c r="K1205" s="39" t="inlineStr"/>
      <c r="L1205" s="14" t="inlineStr"/>
      <c r="M1205" s="14" t="inlineStr"/>
      <c r="N1205" s="92" t="inlineStr">
        <is>
          <t>10 EVIDENCE &amp; DECISIONS</t>
        </is>
      </c>
    </row>
    <row r="1206" ht="34" customHeight="1">
      <c r="A1206" s="34" t="inlineStr">
        <is>
          <t>Contractor Programme</t>
        </is>
      </c>
      <c r="B1206" s="34" t="inlineStr">
        <is>
          <t>SCH-05-169</t>
        </is>
      </c>
      <c r="C1206" s="34" t="inlineStr">
        <is>
          <t>Control Centre: test procedure readiness review - turnover</t>
        </is>
      </c>
      <c r="D1206" s="34" t="inlineStr">
        <is>
          <t>WBS Code = 1.5.1</t>
        </is>
      </c>
      <c r="E1206" s="34" t="inlineStr">
        <is>
          <t>R889-v1</t>
        </is>
      </c>
      <c r="F1206" s="34" t="inlineStr">
        <is>
          <t>1.5.1 Testing and Commissioning - Test Readiness</t>
        </is>
      </c>
      <c r="G1206" s="34" t="inlineStr">
        <is>
          <t>ONE_TO_ONE</t>
        </is>
      </c>
      <c r="H1206" s="34" t="inlineStr">
        <is>
          <t>APPROVED</t>
        </is>
      </c>
      <c r="I1206" s="34" t="inlineStr">
        <is>
          <t>New</t>
        </is>
      </c>
      <c r="J1206" s="34" t="inlineStr">
        <is>
          <t>Source assignment -- not individually reviewed</t>
        </is>
      </c>
      <c r="K1206" s="39" t="inlineStr"/>
      <c r="L1206" s="14" t="inlineStr"/>
      <c r="M1206" s="14" t="inlineStr"/>
      <c r="N1206" s="92" t="inlineStr">
        <is>
          <t>10 EVIDENCE &amp; DECISIONS</t>
        </is>
      </c>
    </row>
    <row r="1207" ht="34" customHeight="1">
      <c r="A1207" s="34" t="inlineStr">
        <is>
          <t>Contractor Programme</t>
        </is>
      </c>
      <c r="B1207" s="34" t="inlineStr">
        <is>
          <t>SCH-05-170</t>
        </is>
      </c>
      <c r="C1207" s="34" t="inlineStr">
        <is>
          <t>Mainline east: emergency-response drill - release</t>
        </is>
      </c>
      <c r="D1207" s="34" t="inlineStr">
        <is>
          <t>WBS Code = 1.5.1</t>
        </is>
      </c>
      <c r="E1207" s="34" t="inlineStr">
        <is>
          <t>R890-v1</t>
        </is>
      </c>
      <c r="F1207" s="34" t="inlineStr">
        <is>
          <t>1.5.1 Testing and Commissioning - Test Readiness</t>
        </is>
      </c>
      <c r="G1207" s="34" t="inlineStr">
        <is>
          <t>ONE_TO_ONE</t>
        </is>
      </c>
      <c r="H1207" s="34" t="inlineStr">
        <is>
          <t>APPROVED</t>
        </is>
      </c>
      <c r="I1207" s="34" t="inlineStr">
        <is>
          <t>New</t>
        </is>
      </c>
      <c r="J1207" s="34" t="inlineStr">
        <is>
          <t>Source assignment -- not individually reviewed</t>
        </is>
      </c>
      <c r="K1207" s="39" t="inlineStr"/>
      <c r="L1207" s="14" t="inlineStr"/>
      <c r="M1207" s="14" t="inlineStr"/>
      <c r="N1207" s="92" t="inlineStr">
        <is>
          <t>10 EVIDENCE &amp; DECISIONS</t>
        </is>
      </c>
    </row>
    <row r="1208" ht="34" customHeight="1">
      <c r="A1208" s="34" t="inlineStr">
        <is>
          <t>Contractor Programme</t>
        </is>
      </c>
      <c r="B1208" s="34" t="inlineStr">
        <is>
          <t>SCH-05-172</t>
        </is>
      </c>
      <c r="C1208" s="34" t="inlineStr">
        <is>
          <t>West terminal: mainline dynamic test - installation</t>
        </is>
      </c>
      <c r="D1208" s="34" t="inlineStr">
        <is>
          <t>WBS Code = 1.5.1</t>
        </is>
      </c>
      <c r="E1208" s="34" t="inlineStr">
        <is>
          <t>R892-v1</t>
        </is>
      </c>
      <c r="F1208" s="34" t="inlineStr">
        <is>
          <t>1.5.1 Testing and Commissioning - Test Readiness</t>
        </is>
      </c>
      <c r="G1208" s="34" t="inlineStr">
        <is>
          <t>ONE_TO_ONE</t>
        </is>
      </c>
      <c r="H1208" s="34" t="inlineStr">
        <is>
          <t>APPROVED</t>
        </is>
      </c>
      <c r="I1208" s="34" t="inlineStr">
        <is>
          <t>New</t>
        </is>
      </c>
      <c r="J1208" s="34" t="inlineStr">
        <is>
          <t>Source assignment -- not individually reviewed</t>
        </is>
      </c>
      <c r="K1208" s="39" t="inlineStr"/>
      <c r="L1208" s="14" t="inlineStr"/>
      <c r="M1208" s="14" t="inlineStr"/>
      <c r="N1208" s="92" t="inlineStr">
        <is>
          <t>10 EVIDENCE &amp; DECISIONS</t>
        </is>
      </c>
    </row>
    <row r="1209" ht="34" customHeight="1">
      <c r="A1209" s="34" t="inlineStr">
        <is>
          <t>Contractor Programme</t>
        </is>
      </c>
      <c r="B1209" s="34" t="inlineStr">
        <is>
          <t>SCH-05-173</t>
        </is>
      </c>
      <c r="C1209" s="34" t="inlineStr">
        <is>
          <t>Depot: safety certificate evidence closeout - inspection</t>
        </is>
      </c>
      <c r="D1209" s="34" t="inlineStr">
        <is>
          <t>WBS Code = 1.5.1</t>
        </is>
      </c>
      <c r="E1209" s="34" t="inlineStr">
        <is>
          <t>R893-v1</t>
        </is>
      </c>
      <c r="F1209" s="34" t="inlineStr">
        <is>
          <t>1.5.1 Testing and Commissioning - Test Readiness</t>
        </is>
      </c>
      <c r="G1209" s="34" t="inlineStr">
        <is>
          <t>ONE_TO_ONE</t>
        </is>
      </c>
      <c r="H1209" s="34" t="inlineStr">
        <is>
          <t>APPROVED</t>
        </is>
      </c>
      <c r="I1209" s="34" t="inlineStr">
        <is>
          <t>New</t>
        </is>
      </c>
      <c r="J1209" s="34" t="inlineStr">
        <is>
          <t>Source assignment -- not individually reviewed</t>
        </is>
      </c>
      <c r="K1209" s="39" t="inlineStr"/>
      <c r="L1209" s="14" t="inlineStr"/>
      <c r="M1209" s="14" t="inlineStr"/>
      <c r="N1209" s="92" t="inlineStr">
        <is>
          <t>10 EVIDENCE &amp; DECISIONS</t>
        </is>
      </c>
    </row>
    <row r="1210" ht="34" customHeight="1">
      <c r="A1210" s="34" t="inlineStr">
        <is>
          <t>Contractor Programme</t>
        </is>
      </c>
      <c r="B1210" s="34" t="inlineStr">
        <is>
          <t>SCH-05-175</t>
        </is>
      </c>
      <c r="C1210" s="34" t="inlineStr">
        <is>
          <t>Mainline east: station integrated test - release</t>
        </is>
      </c>
      <c r="D1210" s="34" t="inlineStr">
        <is>
          <t>WBS Code = 1.5.1</t>
        </is>
      </c>
      <c r="E1210" s="34" t="inlineStr">
        <is>
          <t>R895-v1</t>
        </is>
      </c>
      <c r="F1210" s="34" t="inlineStr">
        <is>
          <t>1.5.1 Testing and Commissioning - Test Readiness</t>
        </is>
      </c>
      <c r="G1210" s="34" t="inlineStr">
        <is>
          <t>ONE_TO_ONE</t>
        </is>
      </c>
      <c r="H1210" s="34" t="inlineStr">
        <is>
          <t>APPROVED</t>
        </is>
      </c>
      <c r="I1210" s="34" t="inlineStr">
        <is>
          <t>New</t>
        </is>
      </c>
      <c r="J1210" s="34" t="inlineStr">
        <is>
          <t>Source assignment -- not individually reviewed</t>
        </is>
      </c>
      <c r="K1210" s="39" t="inlineStr"/>
      <c r="L1210" s="14" t="inlineStr"/>
      <c r="M1210" s="14" t="inlineStr"/>
      <c r="N1210" s="92" t="inlineStr">
        <is>
          <t>10 EVIDENCE &amp; DECISIONS</t>
        </is>
      </c>
    </row>
    <row r="1211" ht="34" customHeight="1">
      <c r="A1211" s="34" t="inlineStr">
        <is>
          <t>Contractor Programme</t>
        </is>
      </c>
      <c r="B1211" s="34" t="inlineStr">
        <is>
          <t>SCH-05-176</t>
        </is>
      </c>
      <c r="C1211" s="34" t="inlineStr">
        <is>
          <t>Central section: trial-running shift - field start</t>
        </is>
      </c>
      <c r="D1211" s="34" t="inlineStr">
        <is>
          <t>WBS Code = 1.5.1</t>
        </is>
      </c>
      <c r="E1211" s="34" t="inlineStr">
        <is>
          <t>R896-v1</t>
        </is>
      </c>
      <c r="F1211" s="34" t="inlineStr">
        <is>
          <t>1.5.1 Testing and Commissioning - Test Readiness</t>
        </is>
      </c>
      <c r="G1211" s="34" t="inlineStr">
        <is>
          <t>ONE_TO_ONE</t>
        </is>
      </c>
      <c r="H1211" s="34" t="inlineStr">
        <is>
          <t>APPROVED</t>
        </is>
      </c>
      <c r="I1211" s="34" t="inlineStr">
        <is>
          <t>New</t>
        </is>
      </c>
      <c r="J1211" s="34" t="inlineStr">
        <is>
          <t>Source assignment -- not individually reviewed</t>
        </is>
      </c>
      <c r="K1211" s="39" t="inlineStr"/>
      <c r="L1211" s="14" t="inlineStr"/>
      <c r="M1211" s="14" t="inlineStr"/>
      <c r="N1211" s="92" t="inlineStr">
        <is>
          <t>10 EVIDENCE &amp; DECISIONS</t>
        </is>
      </c>
    </row>
    <row r="1212" ht="34" customHeight="1">
      <c r="A1212" s="34" t="inlineStr">
        <is>
          <t>Contractor Programme</t>
        </is>
      </c>
      <c r="B1212" s="34" t="inlineStr">
        <is>
          <t>SCH-05-178</t>
        </is>
      </c>
      <c r="C1212" s="34" t="inlineStr">
        <is>
          <t>Depot: emergency-response drill - inspection</t>
        </is>
      </c>
      <c r="D1212" s="34" t="inlineStr">
        <is>
          <t>WBS Code = 1.5.1</t>
        </is>
      </c>
      <c r="E1212" s="34" t="inlineStr">
        <is>
          <t>R898-v1</t>
        </is>
      </c>
      <c r="F1212" s="34" t="inlineStr">
        <is>
          <t>1.5.1 Testing and Commissioning - Test Readiness</t>
        </is>
      </c>
      <c r="G1212" s="34" t="inlineStr">
        <is>
          <t>ONE_TO_ONE</t>
        </is>
      </c>
      <c r="H1212" s="34" t="inlineStr">
        <is>
          <t>APPROVED</t>
        </is>
      </c>
      <c r="I1212" s="34" t="inlineStr">
        <is>
          <t>New</t>
        </is>
      </c>
      <c r="J1212" s="34" t="inlineStr">
        <is>
          <t>Source assignment -- not individually reviewed</t>
        </is>
      </c>
      <c r="K1212" s="39" t="inlineStr"/>
      <c r="L1212" s="14" t="inlineStr"/>
      <c r="M1212" s="14" t="inlineStr"/>
      <c r="N1212" s="92" t="inlineStr">
        <is>
          <t>10 EVIDENCE &amp; DECISIONS</t>
        </is>
      </c>
    </row>
    <row r="1213" ht="34" customHeight="1">
      <c r="A1213" s="34" t="inlineStr">
        <is>
          <t>Contractor Programme</t>
        </is>
      </c>
      <c r="B1213" s="34" t="inlineStr">
        <is>
          <t>SCH-05-179</t>
        </is>
      </c>
      <c r="C1213" s="34" t="inlineStr">
        <is>
          <t>Control Centre: defect retest - turnover</t>
        </is>
      </c>
      <c r="D1213" s="34" t="inlineStr">
        <is>
          <t>WBS Code = 1.5.1</t>
        </is>
      </c>
      <c r="E1213" s="34" t="inlineStr">
        <is>
          <t>R899-v1</t>
        </is>
      </c>
      <c r="F1213" s="34" t="inlineStr">
        <is>
          <t>1.5.1 Testing and Commissioning - Test Readiness</t>
        </is>
      </c>
      <c r="G1213" s="34" t="inlineStr">
        <is>
          <t>ONE_TO_ONE</t>
        </is>
      </c>
      <c r="H1213" s="34" t="inlineStr">
        <is>
          <t>APPROVED</t>
        </is>
      </c>
      <c r="I1213" s="34" t="inlineStr">
        <is>
          <t>New</t>
        </is>
      </c>
      <c r="J1213" s="34" t="inlineStr">
        <is>
          <t>Source assignment -- not individually reviewed</t>
        </is>
      </c>
      <c r="K1213" s="39" t="inlineStr"/>
      <c r="L1213" s="14" t="inlineStr"/>
      <c r="M1213" s="14" t="inlineStr"/>
      <c r="N1213" s="92" t="inlineStr">
        <is>
          <t>10 EVIDENCE &amp; DECISIONS</t>
        </is>
      </c>
    </row>
    <row r="1214" ht="34" customHeight="1">
      <c r="A1214" s="34" t="inlineStr">
        <is>
          <t>Contractor Programme</t>
        </is>
      </c>
      <c r="B1214" s="34" t="inlineStr">
        <is>
          <t>SCH-05-003</t>
        </is>
      </c>
      <c r="C1214" s="34" t="inlineStr">
        <is>
          <t>Interface works near testing and commissioning boundary</t>
        </is>
      </c>
      <c r="D1214" s="34" t="inlineStr">
        <is>
          <t>WBS Code = 1.5.2</t>
        </is>
      </c>
      <c r="E1214" s="34" t="inlineStr">
        <is>
          <t>R723-v1</t>
        </is>
      </c>
      <c r="F1214" s="34" t="inlineStr">
        <is>
          <t>1.5.2 Testing and Commissioning - Dynamic Testing</t>
        </is>
      </c>
      <c r="G1214" s="34" t="inlineStr">
        <is>
          <t>ONE_TO_ONE</t>
        </is>
      </c>
      <c r="H1214" s="34" t="inlineStr">
        <is>
          <t>APPROVED</t>
        </is>
      </c>
      <c r="I1214" s="34" t="inlineStr">
        <is>
          <t>New</t>
        </is>
      </c>
      <c r="J1214" s="34" t="inlineStr">
        <is>
          <t>Source assignment -- not individually reviewed</t>
        </is>
      </c>
      <c r="K1214" s="39" t="inlineStr"/>
      <c r="L1214" s="14" t="inlineStr"/>
      <c r="M1214" s="14" t="inlineStr"/>
      <c r="N1214" s="92" t="inlineStr">
        <is>
          <t>10 EVIDENCE &amp; DECISIONS</t>
        </is>
      </c>
    </row>
    <row r="1215" ht="34" customHeight="1">
      <c r="A1215" s="34" t="inlineStr">
        <is>
          <t>Contractor Programme</t>
        </is>
      </c>
      <c r="B1215" s="34" t="inlineStr">
        <is>
          <t>SCH-05-006</t>
        </is>
      </c>
      <c r="C1215" s="34" t="inlineStr">
        <is>
          <t>Central section: service-readiness review - field start</t>
        </is>
      </c>
      <c r="D1215" s="34" t="inlineStr">
        <is>
          <t>WBS Code = 1.5.2</t>
        </is>
      </c>
      <c r="E1215" s="34" t="inlineStr">
        <is>
          <t>R726-v1</t>
        </is>
      </c>
      <c r="F1215" s="34" t="inlineStr">
        <is>
          <t>1.5.2 Testing and Commissioning - Dynamic Testing</t>
        </is>
      </c>
      <c r="G1215" s="34" t="inlineStr">
        <is>
          <t>ONE_TO_ONE</t>
        </is>
      </c>
      <c r="H1215" s="34" t="inlineStr">
        <is>
          <t>APPROVED</t>
        </is>
      </c>
      <c r="I1215" s="34" t="inlineStr">
        <is>
          <t>New</t>
        </is>
      </c>
      <c r="J1215" s="34" t="inlineStr">
        <is>
          <t>Source assignment -- not individually reviewed</t>
        </is>
      </c>
      <c r="K1215" s="39" t="inlineStr"/>
      <c r="L1215" s="14" t="inlineStr"/>
      <c r="M1215" s="14" t="inlineStr"/>
      <c r="N1215" s="92" t="inlineStr">
        <is>
          <t>10 EVIDENCE &amp; DECISIONS</t>
        </is>
      </c>
    </row>
    <row r="1216" ht="34" customHeight="1">
      <c r="A1216" s="34" t="inlineStr">
        <is>
          <t>Contractor Programme</t>
        </is>
      </c>
      <c r="B1216" s="34" t="inlineStr">
        <is>
          <t>SCH-05-009</t>
        </is>
      </c>
      <c r="C1216" s="34" t="inlineStr">
        <is>
          <t>Control Centre: test procedure readiness review - turnover</t>
        </is>
      </c>
      <c r="D1216" s="34" t="inlineStr">
        <is>
          <t>WBS Code = 1.5.2</t>
        </is>
      </c>
      <c r="E1216" s="34" t="inlineStr">
        <is>
          <t>R729-v1</t>
        </is>
      </c>
      <c r="F1216" s="34" t="inlineStr">
        <is>
          <t>1.5.2 Testing and Commissioning - Dynamic Testing</t>
        </is>
      </c>
      <c r="G1216" s="34" t="inlineStr">
        <is>
          <t>ONE_TO_ONE</t>
        </is>
      </c>
      <c r="H1216" s="34" t="inlineStr">
        <is>
          <t>APPROVED</t>
        </is>
      </c>
      <c r="I1216" s="34" t="inlineStr">
        <is>
          <t>New</t>
        </is>
      </c>
      <c r="J1216" s="34" t="inlineStr">
        <is>
          <t>Source assignment -- not individually reviewed</t>
        </is>
      </c>
      <c r="K1216" s="39" t="inlineStr"/>
      <c r="L1216" s="14" t="inlineStr"/>
      <c r="M1216" s="14" t="inlineStr"/>
      <c r="N1216" s="92" t="inlineStr">
        <is>
          <t>10 EVIDENCE &amp; DECISIONS</t>
        </is>
      </c>
    </row>
    <row r="1217" ht="34" customHeight="1">
      <c r="A1217" s="34" t="inlineStr">
        <is>
          <t>Contractor Programme</t>
        </is>
      </c>
      <c r="B1217" s="34" t="inlineStr">
        <is>
          <t>SCH-05-012</t>
        </is>
      </c>
      <c r="C1217" s="34" t="inlineStr">
        <is>
          <t>West terminal: mainline dynamic test - installation</t>
        </is>
      </c>
      <c r="D1217" s="34" t="inlineStr">
        <is>
          <t>WBS Code = 1.5.2</t>
        </is>
      </c>
      <c r="E1217" s="34" t="inlineStr">
        <is>
          <t>R732-v1</t>
        </is>
      </c>
      <c r="F1217" s="34" t="inlineStr">
        <is>
          <t>1.5.2 Testing and Commissioning - Dynamic Testing</t>
        </is>
      </c>
      <c r="G1217" s="34" t="inlineStr">
        <is>
          <t>ONE_TO_ONE</t>
        </is>
      </c>
      <c r="H1217" s="34" t="inlineStr">
        <is>
          <t>APPROVED</t>
        </is>
      </c>
      <c r="I1217" s="34" t="inlineStr">
        <is>
          <t>New</t>
        </is>
      </c>
      <c r="J1217" s="34" t="inlineStr">
        <is>
          <t>Source assignment -- not individually reviewed</t>
        </is>
      </c>
      <c r="K1217" s="39" t="inlineStr"/>
      <c r="L1217" s="14" t="inlineStr"/>
      <c r="M1217" s="14" t="inlineStr"/>
      <c r="N1217" s="92" t="inlineStr">
        <is>
          <t>10 EVIDENCE &amp; DECISIONS</t>
        </is>
      </c>
    </row>
    <row r="1218" ht="34" customHeight="1">
      <c r="A1218" s="34" t="inlineStr">
        <is>
          <t>Contractor Programme</t>
        </is>
      </c>
      <c r="B1218" s="34" t="inlineStr">
        <is>
          <t>SCH-05-015</t>
        </is>
      </c>
      <c r="C1218" s="34" t="inlineStr">
        <is>
          <t>Mainline east: station integrated test - release</t>
        </is>
      </c>
      <c r="D1218" s="34" t="inlineStr">
        <is>
          <t>WBS Code = 1.5.2</t>
        </is>
      </c>
      <c r="E1218" s="34" t="inlineStr">
        <is>
          <t>R735-v1</t>
        </is>
      </c>
      <c r="F1218" s="34" t="inlineStr">
        <is>
          <t>1.5.2 Testing and Commissioning - Dynamic Testing</t>
        </is>
      </c>
      <c r="G1218" s="34" t="inlineStr">
        <is>
          <t>ONE_TO_ONE</t>
        </is>
      </c>
      <c r="H1218" s="34" t="inlineStr">
        <is>
          <t>APPROVED</t>
        </is>
      </c>
      <c r="I1218" s="34" t="inlineStr">
        <is>
          <t>New</t>
        </is>
      </c>
      <c r="J1218" s="34" t="inlineStr">
        <is>
          <t>Source assignment -- not individually reviewed</t>
        </is>
      </c>
      <c r="K1218" s="39" t="inlineStr"/>
      <c r="L1218" s="14" t="inlineStr"/>
      <c r="M1218" s="14" t="inlineStr"/>
      <c r="N1218" s="92" t="inlineStr">
        <is>
          <t>10 EVIDENCE &amp; DECISIONS</t>
        </is>
      </c>
    </row>
    <row r="1219" ht="34" customHeight="1">
      <c r="A1219" s="34" t="inlineStr">
        <is>
          <t>Contractor Programme</t>
        </is>
      </c>
      <c r="B1219" s="34" t="inlineStr">
        <is>
          <t>SCH-05-018</t>
        </is>
      </c>
      <c r="C1219" s="34" t="inlineStr">
        <is>
          <t>Depot: emergency-response drill - inspection</t>
        </is>
      </c>
      <c r="D1219" s="34" t="inlineStr">
        <is>
          <t>WBS Code = 1.5.2</t>
        </is>
      </c>
      <c r="E1219" s="34" t="inlineStr">
        <is>
          <t>R738-v1</t>
        </is>
      </c>
      <c r="F1219" s="34" t="inlineStr">
        <is>
          <t>1.5.2 Testing and Commissioning - Dynamic Testing</t>
        </is>
      </c>
      <c r="G1219" s="34" t="inlineStr">
        <is>
          <t>ONE_TO_ONE</t>
        </is>
      </c>
      <c r="H1219" s="34" t="inlineStr">
        <is>
          <t>APPROVED</t>
        </is>
      </c>
      <c r="I1219" s="34" t="inlineStr">
        <is>
          <t>New</t>
        </is>
      </c>
      <c r="J1219" s="34" t="inlineStr">
        <is>
          <t>Source assignment -- not individually reviewed</t>
        </is>
      </c>
      <c r="K1219" s="39" t="inlineStr"/>
      <c r="L1219" s="14" t="inlineStr"/>
      <c r="M1219" s="14" t="inlineStr"/>
      <c r="N1219" s="92" t="inlineStr">
        <is>
          <t>10 EVIDENCE &amp; DECISIONS</t>
        </is>
      </c>
    </row>
    <row r="1220" ht="34" customHeight="1">
      <c r="A1220" s="34" t="inlineStr">
        <is>
          <t>Contractor Programme</t>
        </is>
      </c>
      <c r="B1220" s="34" t="inlineStr">
        <is>
          <t>SCH-05-021</t>
        </is>
      </c>
      <c r="C1220" s="34" t="inlineStr">
        <is>
          <t>Central section: safety certificate evidence closeout - field start</t>
        </is>
      </c>
      <c r="D1220" s="34" t="inlineStr">
        <is>
          <t>WBS Code = 1.5.2</t>
        </is>
      </c>
      <c r="E1220" s="34" t="inlineStr">
        <is>
          <t>R741-v1</t>
        </is>
      </c>
      <c r="F1220" s="34" t="inlineStr">
        <is>
          <t>1.5.2 Testing and Commissioning - Dynamic Testing</t>
        </is>
      </c>
      <c r="G1220" s="34" t="inlineStr">
        <is>
          <t>ONE_TO_ONE</t>
        </is>
      </c>
      <c r="H1220" s="34" t="inlineStr">
        <is>
          <t>APPROVED</t>
        </is>
      </c>
      <c r="I1220" s="34" t="inlineStr">
        <is>
          <t>New</t>
        </is>
      </c>
      <c r="J1220" s="34" t="inlineStr">
        <is>
          <t>Source assignment -- not individually reviewed</t>
        </is>
      </c>
      <c r="K1220" s="39" t="inlineStr"/>
      <c r="L1220" s="14" t="inlineStr"/>
      <c r="M1220" s="14" t="inlineStr"/>
      <c r="N1220" s="92" t="inlineStr">
        <is>
          <t>10 EVIDENCE &amp; DECISIONS</t>
        </is>
      </c>
    </row>
    <row r="1221" ht="34" customHeight="1">
      <c r="A1221" s="34" t="inlineStr">
        <is>
          <t>Contractor Programme</t>
        </is>
      </c>
      <c r="B1221" s="34" t="inlineStr">
        <is>
          <t>SCH-05-024</t>
        </is>
      </c>
      <c r="C1221" s="34" t="inlineStr">
        <is>
          <t>Control Centre: trial-running shift - turnover</t>
        </is>
      </c>
      <c r="D1221" s="34" t="inlineStr">
        <is>
          <t>WBS Code = 1.5.2</t>
        </is>
      </c>
      <c r="E1221" s="34" t="inlineStr">
        <is>
          <t>R744-v1</t>
        </is>
      </c>
      <c r="F1221" s="34" t="inlineStr">
        <is>
          <t>1.5.2 Testing and Commissioning - Dynamic Testing</t>
        </is>
      </c>
      <c r="G1221" s="34" t="inlineStr">
        <is>
          <t>ONE_TO_ONE</t>
        </is>
      </c>
      <c r="H1221" s="34" t="inlineStr">
        <is>
          <t>APPROVED</t>
        </is>
      </c>
      <c r="I1221" s="34" t="inlineStr">
        <is>
          <t>New</t>
        </is>
      </c>
      <c r="J1221" s="34" t="inlineStr">
        <is>
          <t>Source assignment -- not individually reviewed</t>
        </is>
      </c>
      <c r="K1221" s="39" t="inlineStr"/>
      <c r="L1221" s="14" t="inlineStr"/>
      <c r="M1221" s="14" t="inlineStr"/>
      <c r="N1221" s="92" t="inlineStr">
        <is>
          <t>10 EVIDENCE &amp; DECISIONS</t>
        </is>
      </c>
    </row>
    <row r="1222" ht="34" customHeight="1">
      <c r="A1222" s="34" t="inlineStr">
        <is>
          <t>Contractor Programme</t>
        </is>
      </c>
      <c r="B1222" s="34" t="inlineStr">
        <is>
          <t>SCH-05-027</t>
        </is>
      </c>
      <c r="C1222" s="34" t="inlineStr">
        <is>
          <t>West terminal: defect retest - installation</t>
        </is>
      </c>
      <c r="D1222" s="34" t="inlineStr">
        <is>
          <t>WBS Code = 1.5.2</t>
        </is>
      </c>
      <c r="E1222" s="34" t="inlineStr">
        <is>
          <t>R747-v1</t>
        </is>
      </c>
      <c r="F1222" s="34" t="inlineStr">
        <is>
          <t>1.5.2 Testing and Commissioning - Dynamic Testing</t>
        </is>
      </c>
      <c r="G1222" s="34" t="inlineStr">
        <is>
          <t>ONE_TO_ONE</t>
        </is>
      </c>
      <c r="H1222" s="34" t="inlineStr">
        <is>
          <t>APPROVED</t>
        </is>
      </c>
      <c r="I1222" s="34" t="inlineStr">
        <is>
          <t>New</t>
        </is>
      </c>
      <c r="J1222" s="34" t="inlineStr">
        <is>
          <t>Source assignment -- not individually reviewed</t>
        </is>
      </c>
      <c r="K1222" s="39" t="inlineStr"/>
      <c r="L1222" s="14" t="inlineStr"/>
      <c r="M1222" s="14" t="inlineStr"/>
      <c r="N1222" s="92" t="inlineStr">
        <is>
          <t>10 EVIDENCE &amp; DECISIONS</t>
        </is>
      </c>
    </row>
    <row r="1223" ht="34" customHeight="1">
      <c r="A1223" s="34" t="inlineStr">
        <is>
          <t>Contractor Programme</t>
        </is>
      </c>
      <c r="B1223" s="34" t="inlineStr">
        <is>
          <t>SCH-05-030</t>
        </is>
      </c>
      <c r="C1223" s="34" t="inlineStr">
        <is>
          <t>Mainline east: service-readiness review - release</t>
        </is>
      </c>
      <c r="D1223" s="34" t="inlineStr">
        <is>
          <t>WBS Code = 1.5.2</t>
        </is>
      </c>
      <c r="E1223" s="34" t="inlineStr">
        <is>
          <t>R750-v1</t>
        </is>
      </c>
      <c r="F1223" s="34" t="inlineStr">
        <is>
          <t>1.5.2 Testing and Commissioning - Dynamic Testing</t>
        </is>
      </c>
      <c r="G1223" s="34" t="inlineStr">
        <is>
          <t>ONE_TO_ONE</t>
        </is>
      </c>
      <c r="H1223" s="34" t="inlineStr">
        <is>
          <t>APPROVED</t>
        </is>
      </c>
      <c r="I1223" s="34" t="inlineStr">
        <is>
          <t>New</t>
        </is>
      </c>
      <c r="J1223" s="34" t="inlineStr">
        <is>
          <t>Source assignment -- not individually reviewed</t>
        </is>
      </c>
      <c r="K1223" s="39" t="inlineStr"/>
      <c r="L1223" s="14" t="inlineStr"/>
      <c r="M1223" s="14" t="inlineStr"/>
      <c r="N1223" s="92" t="inlineStr">
        <is>
          <t>10 EVIDENCE &amp; DECISIONS</t>
        </is>
      </c>
    </row>
    <row r="1224" ht="34" customHeight="1">
      <c r="A1224" s="34" t="inlineStr">
        <is>
          <t>Contractor Programme</t>
        </is>
      </c>
      <c r="B1224" s="34" t="inlineStr">
        <is>
          <t>SCH-05-033</t>
        </is>
      </c>
      <c r="C1224" s="34" t="inlineStr">
        <is>
          <t>Depot: test procedure readiness review - inspection</t>
        </is>
      </c>
      <c r="D1224" s="34" t="inlineStr">
        <is>
          <t>WBS Code = 1.5.2</t>
        </is>
      </c>
      <c r="E1224" s="34" t="inlineStr">
        <is>
          <t>R753-v1</t>
        </is>
      </c>
      <c r="F1224" s="34" t="inlineStr">
        <is>
          <t>1.5.2 Testing and Commissioning - Dynamic Testing</t>
        </is>
      </c>
      <c r="G1224" s="34" t="inlineStr">
        <is>
          <t>ONE_TO_ONE</t>
        </is>
      </c>
      <c r="H1224" s="34" t="inlineStr">
        <is>
          <t>APPROVED</t>
        </is>
      </c>
      <c r="I1224" s="34" t="inlineStr">
        <is>
          <t>New</t>
        </is>
      </c>
      <c r="J1224" s="34" t="inlineStr">
        <is>
          <t>Source assignment -- not individually reviewed</t>
        </is>
      </c>
      <c r="K1224" s="39" t="inlineStr"/>
      <c r="L1224" s="14" t="inlineStr"/>
      <c r="M1224" s="14" t="inlineStr"/>
      <c r="N1224" s="92" t="inlineStr">
        <is>
          <t>10 EVIDENCE &amp; DECISIONS</t>
        </is>
      </c>
    </row>
    <row r="1225" ht="34" customHeight="1">
      <c r="A1225" s="34" t="inlineStr">
        <is>
          <t>Contractor Programme</t>
        </is>
      </c>
      <c r="B1225" s="34" t="inlineStr">
        <is>
          <t>SCH-05-036</t>
        </is>
      </c>
      <c r="C1225" s="34" t="inlineStr">
        <is>
          <t>Central section: mainline dynamic test - field start</t>
        </is>
      </c>
      <c r="D1225" s="34" t="inlineStr">
        <is>
          <t>WBS Code = 1.5.2</t>
        </is>
      </c>
      <c r="E1225" s="34" t="inlineStr">
        <is>
          <t>R756-v1</t>
        </is>
      </c>
      <c r="F1225" s="34" t="inlineStr">
        <is>
          <t>1.5.2 Testing and Commissioning - Dynamic Testing</t>
        </is>
      </c>
      <c r="G1225" s="34" t="inlineStr">
        <is>
          <t>ONE_TO_ONE</t>
        </is>
      </c>
      <c r="H1225" s="34" t="inlineStr">
        <is>
          <t>APPROVED</t>
        </is>
      </c>
      <c r="I1225" s="34" t="inlineStr">
        <is>
          <t>New</t>
        </is>
      </c>
      <c r="J1225" s="34" t="inlineStr">
        <is>
          <t>Source assignment -- not individually reviewed</t>
        </is>
      </c>
      <c r="K1225" s="39" t="inlineStr"/>
      <c r="L1225" s="14" t="inlineStr"/>
      <c r="M1225" s="14" t="inlineStr"/>
      <c r="N1225" s="92" t="inlineStr">
        <is>
          <t>10 EVIDENCE &amp; DECISIONS</t>
        </is>
      </c>
    </row>
    <row r="1226" ht="34" customHeight="1">
      <c r="A1226" s="34" t="inlineStr">
        <is>
          <t>Contractor Programme</t>
        </is>
      </c>
      <c r="B1226" s="34" t="inlineStr">
        <is>
          <t>SCH-05-039</t>
        </is>
      </c>
      <c r="C1226" s="34" t="inlineStr">
        <is>
          <t>Control Centre: station integrated test - turnover</t>
        </is>
      </c>
      <c r="D1226" s="34" t="inlineStr">
        <is>
          <t>WBS Code = 1.5.2</t>
        </is>
      </c>
      <c r="E1226" s="34" t="inlineStr">
        <is>
          <t>R759-v1</t>
        </is>
      </c>
      <c r="F1226" s="34" t="inlineStr">
        <is>
          <t>1.5.2 Testing and Commissioning - Dynamic Testing</t>
        </is>
      </c>
      <c r="G1226" s="34" t="inlineStr">
        <is>
          <t>ONE_TO_ONE</t>
        </is>
      </c>
      <c r="H1226" s="34" t="inlineStr">
        <is>
          <t>APPROVED</t>
        </is>
      </c>
      <c r="I1226" s="34" t="inlineStr">
        <is>
          <t>New</t>
        </is>
      </c>
      <c r="J1226" s="34" t="inlineStr">
        <is>
          <t>Source assignment -- not individually reviewed</t>
        </is>
      </c>
      <c r="K1226" s="39" t="inlineStr"/>
      <c r="L1226" s="14" t="inlineStr"/>
      <c r="M1226" s="14" t="inlineStr"/>
      <c r="N1226" s="92" t="inlineStr">
        <is>
          <t>10 EVIDENCE &amp; DECISIONS</t>
        </is>
      </c>
    </row>
    <row r="1227" ht="34" customHeight="1">
      <c r="A1227" s="34" t="inlineStr">
        <is>
          <t>Contractor Programme</t>
        </is>
      </c>
      <c r="B1227" s="34" t="inlineStr">
        <is>
          <t>SCH-05-042</t>
        </is>
      </c>
      <c r="C1227" s="34" t="inlineStr">
        <is>
          <t>West terminal: emergency-response drill - installation</t>
        </is>
      </c>
      <c r="D1227" s="34" t="inlineStr">
        <is>
          <t>WBS Code = 1.5.2</t>
        </is>
      </c>
      <c r="E1227" s="34" t="inlineStr">
        <is>
          <t>R762-v1</t>
        </is>
      </c>
      <c r="F1227" s="34" t="inlineStr">
        <is>
          <t>1.5.2 Testing and Commissioning - Dynamic Testing</t>
        </is>
      </c>
      <c r="G1227" s="34" t="inlineStr">
        <is>
          <t>ONE_TO_ONE</t>
        </is>
      </c>
      <c r="H1227" s="34" t="inlineStr">
        <is>
          <t>APPROVED</t>
        </is>
      </c>
      <c r="I1227" s="34" t="inlineStr">
        <is>
          <t>New</t>
        </is>
      </c>
      <c r="J1227" s="34" t="inlineStr">
        <is>
          <t>Source assignment -- not individually reviewed</t>
        </is>
      </c>
      <c r="K1227" s="39" t="inlineStr"/>
      <c r="L1227" s="14" t="inlineStr"/>
      <c r="M1227" s="14" t="inlineStr"/>
      <c r="N1227" s="92" t="inlineStr">
        <is>
          <t>10 EVIDENCE &amp; DECISIONS</t>
        </is>
      </c>
    </row>
    <row r="1228" ht="34" customHeight="1">
      <c r="A1228" s="34" t="inlineStr">
        <is>
          <t>Contractor Programme</t>
        </is>
      </c>
      <c r="B1228" s="34" t="inlineStr">
        <is>
          <t>SCH-05-045</t>
        </is>
      </c>
      <c r="C1228" s="34" t="inlineStr">
        <is>
          <t>Mainline east: safety certificate evidence closeout - release</t>
        </is>
      </c>
      <c r="D1228" s="34" t="inlineStr">
        <is>
          <t>WBS Code = 1.5.2</t>
        </is>
      </c>
      <c r="E1228" s="34" t="inlineStr">
        <is>
          <t>R765-v1</t>
        </is>
      </c>
      <c r="F1228" s="34" t="inlineStr">
        <is>
          <t>1.5.2 Testing and Commissioning - Dynamic Testing</t>
        </is>
      </c>
      <c r="G1228" s="34" t="inlineStr">
        <is>
          <t>ONE_TO_ONE</t>
        </is>
      </c>
      <c r="H1228" s="34" t="inlineStr">
        <is>
          <t>APPROVED</t>
        </is>
      </c>
      <c r="I1228" s="34" t="inlineStr">
        <is>
          <t>New</t>
        </is>
      </c>
      <c r="J1228" s="34" t="inlineStr">
        <is>
          <t>Source assignment -- not individually reviewed</t>
        </is>
      </c>
      <c r="K1228" s="39" t="inlineStr"/>
      <c r="L1228" s="14" t="inlineStr"/>
      <c r="M1228" s="14" t="inlineStr"/>
      <c r="N1228" s="92" t="inlineStr">
        <is>
          <t>10 EVIDENCE &amp; DECISIONS</t>
        </is>
      </c>
    </row>
    <row r="1229" ht="34" customHeight="1">
      <c r="A1229" s="34" t="inlineStr">
        <is>
          <t>Contractor Programme</t>
        </is>
      </c>
      <c r="B1229" s="34" t="inlineStr">
        <is>
          <t>SCH-05-048</t>
        </is>
      </c>
      <c r="C1229" s="34" t="inlineStr">
        <is>
          <t>Depot: trial-running shift - inspection</t>
        </is>
      </c>
      <c r="D1229" s="34" t="inlineStr">
        <is>
          <t>WBS Code = 1.5.2</t>
        </is>
      </c>
      <c r="E1229" s="34" t="inlineStr">
        <is>
          <t>R768-v1</t>
        </is>
      </c>
      <c r="F1229" s="34" t="inlineStr">
        <is>
          <t>1.5.2 Testing and Commissioning - Dynamic Testing</t>
        </is>
      </c>
      <c r="G1229" s="34" t="inlineStr">
        <is>
          <t>ONE_TO_ONE</t>
        </is>
      </c>
      <c r="H1229" s="34" t="inlineStr">
        <is>
          <t>APPROVED</t>
        </is>
      </c>
      <c r="I1229" s="34" t="inlineStr">
        <is>
          <t>New</t>
        </is>
      </c>
      <c r="J1229" s="34" t="inlineStr">
        <is>
          <t>Source assignment -- not individually reviewed</t>
        </is>
      </c>
      <c r="K1229" s="39" t="inlineStr"/>
      <c r="L1229" s="14" t="inlineStr"/>
      <c r="M1229" s="14" t="inlineStr"/>
      <c r="N1229" s="92" t="inlineStr">
        <is>
          <t>10 EVIDENCE &amp; DECISIONS</t>
        </is>
      </c>
    </row>
    <row r="1230" ht="34" customHeight="1">
      <c r="A1230" s="34" t="inlineStr">
        <is>
          <t>Contractor Programme</t>
        </is>
      </c>
      <c r="B1230" s="34" t="inlineStr">
        <is>
          <t>SCH-05-051</t>
        </is>
      </c>
      <c r="C1230" s="34" t="inlineStr">
        <is>
          <t>Central section: defect retest - field start</t>
        </is>
      </c>
      <c r="D1230" s="34" t="inlineStr">
        <is>
          <t>WBS Code = 1.5.2</t>
        </is>
      </c>
      <c r="E1230" s="34" t="inlineStr">
        <is>
          <t>R771-v1</t>
        </is>
      </c>
      <c r="F1230" s="34" t="inlineStr">
        <is>
          <t>1.5.2 Testing and Commissioning - Dynamic Testing</t>
        </is>
      </c>
      <c r="G1230" s="34" t="inlineStr">
        <is>
          <t>ONE_TO_ONE</t>
        </is>
      </c>
      <c r="H1230" s="34" t="inlineStr">
        <is>
          <t>APPROVED</t>
        </is>
      </c>
      <c r="I1230" s="34" t="inlineStr">
        <is>
          <t>New</t>
        </is>
      </c>
      <c r="J1230" s="34" t="inlineStr">
        <is>
          <t>Source assignment -- not individually reviewed</t>
        </is>
      </c>
      <c r="K1230" s="39" t="inlineStr"/>
      <c r="L1230" s="14" t="inlineStr"/>
      <c r="M1230" s="14" t="inlineStr"/>
      <c r="N1230" s="92" t="inlineStr">
        <is>
          <t>10 EVIDENCE &amp; DECISIONS</t>
        </is>
      </c>
    </row>
    <row r="1231" ht="34" customHeight="1">
      <c r="A1231" s="34" t="inlineStr">
        <is>
          <t>Contractor Programme</t>
        </is>
      </c>
      <c r="B1231" s="34" t="inlineStr">
        <is>
          <t>SCH-05-054</t>
        </is>
      </c>
      <c r="C1231" s="34" t="inlineStr">
        <is>
          <t>Control Centre: service-readiness review - turnover</t>
        </is>
      </c>
      <c r="D1231" s="34" t="inlineStr">
        <is>
          <t>WBS Code = 1.5.2</t>
        </is>
      </c>
      <c r="E1231" s="34" t="inlineStr">
        <is>
          <t>R774-v1</t>
        </is>
      </c>
      <c r="F1231" s="34" t="inlineStr">
        <is>
          <t>1.5.2 Testing and Commissioning - Dynamic Testing</t>
        </is>
      </c>
      <c r="G1231" s="34" t="inlineStr">
        <is>
          <t>ONE_TO_ONE</t>
        </is>
      </c>
      <c r="H1231" s="34" t="inlineStr">
        <is>
          <t>APPROVED</t>
        </is>
      </c>
      <c r="I1231" s="34" t="inlineStr">
        <is>
          <t>New</t>
        </is>
      </c>
      <c r="J1231" s="34" t="inlineStr">
        <is>
          <t>Source assignment -- not individually reviewed</t>
        </is>
      </c>
      <c r="K1231" s="39" t="inlineStr"/>
      <c r="L1231" s="14" t="inlineStr"/>
      <c r="M1231" s="14" t="inlineStr"/>
      <c r="N1231" s="92" t="inlineStr">
        <is>
          <t>10 EVIDENCE &amp; DECISIONS</t>
        </is>
      </c>
    </row>
    <row r="1232" ht="34" customHeight="1">
      <c r="A1232" s="34" t="inlineStr">
        <is>
          <t>Contractor Programme</t>
        </is>
      </c>
      <c r="B1232" s="34" t="inlineStr">
        <is>
          <t>SCH-05-057</t>
        </is>
      </c>
      <c r="C1232" s="34" t="inlineStr">
        <is>
          <t>West terminal: test procedure readiness review - installation</t>
        </is>
      </c>
      <c r="D1232" s="34" t="inlineStr">
        <is>
          <t>WBS Code = 1.5.2</t>
        </is>
      </c>
      <c r="E1232" s="34" t="inlineStr">
        <is>
          <t>R777-v1</t>
        </is>
      </c>
      <c r="F1232" s="34" t="inlineStr">
        <is>
          <t>1.5.2 Testing and Commissioning - Dynamic Testing</t>
        </is>
      </c>
      <c r="G1232" s="34" t="inlineStr">
        <is>
          <t>ONE_TO_ONE</t>
        </is>
      </c>
      <c r="H1232" s="34" t="inlineStr">
        <is>
          <t>APPROVED</t>
        </is>
      </c>
      <c r="I1232" s="34" t="inlineStr">
        <is>
          <t>New</t>
        </is>
      </c>
      <c r="J1232" s="34" t="inlineStr">
        <is>
          <t>Source assignment -- not individually reviewed</t>
        </is>
      </c>
      <c r="K1232" s="39" t="inlineStr"/>
      <c r="L1232" s="14" t="inlineStr"/>
      <c r="M1232" s="14" t="inlineStr"/>
      <c r="N1232" s="92" t="inlineStr">
        <is>
          <t>10 EVIDENCE &amp; DECISIONS</t>
        </is>
      </c>
    </row>
    <row r="1233" ht="34" customHeight="1">
      <c r="A1233" s="34" t="inlineStr">
        <is>
          <t>Contractor Programme</t>
        </is>
      </c>
      <c r="B1233" s="34" t="inlineStr">
        <is>
          <t>SCH-05-060</t>
        </is>
      </c>
      <c r="C1233" s="34" t="inlineStr">
        <is>
          <t>Mainline east: mainline dynamic test - release</t>
        </is>
      </c>
      <c r="D1233" s="34" t="inlineStr">
        <is>
          <t>WBS Code = 1.5.2</t>
        </is>
      </c>
      <c r="E1233" s="34" t="inlineStr">
        <is>
          <t>R780-v1</t>
        </is>
      </c>
      <c r="F1233" s="34" t="inlineStr">
        <is>
          <t>1.5.2 Testing and Commissioning - Dynamic Testing</t>
        </is>
      </c>
      <c r="G1233" s="34" t="inlineStr">
        <is>
          <t>ONE_TO_ONE</t>
        </is>
      </c>
      <c r="H1233" s="34" t="inlineStr">
        <is>
          <t>APPROVED</t>
        </is>
      </c>
      <c r="I1233" s="34" t="inlineStr">
        <is>
          <t>New</t>
        </is>
      </c>
      <c r="J1233" s="34" t="inlineStr">
        <is>
          <t>Source assignment -- not individually reviewed</t>
        </is>
      </c>
      <c r="K1233" s="39" t="inlineStr"/>
      <c r="L1233" s="14" t="inlineStr"/>
      <c r="M1233" s="14" t="inlineStr"/>
      <c r="N1233" s="92" t="inlineStr">
        <is>
          <t>10 EVIDENCE &amp; DECISIONS</t>
        </is>
      </c>
    </row>
    <row r="1234" ht="34" customHeight="1">
      <c r="A1234" s="34" t="inlineStr">
        <is>
          <t>Contractor Programme</t>
        </is>
      </c>
      <c r="B1234" s="34" t="inlineStr">
        <is>
          <t>SCH-05-063</t>
        </is>
      </c>
      <c r="C1234" s="34" t="inlineStr">
        <is>
          <t>Depot: station integrated test - inspection</t>
        </is>
      </c>
      <c r="D1234" s="34" t="inlineStr">
        <is>
          <t>WBS Code = 1.5.2</t>
        </is>
      </c>
      <c r="E1234" s="34" t="inlineStr">
        <is>
          <t>R783-v1</t>
        </is>
      </c>
      <c r="F1234" s="34" t="inlineStr">
        <is>
          <t>1.5.2 Testing and Commissioning - Dynamic Testing</t>
        </is>
      </c>
      <c r="G1234" s="34" t="inlineStr">
        <is>
          <t>ONE_TO_ONE</t>
        </is>
      </c>
      <c r="H1234" s="34" t="inlineStr">
        <is>
          <t>APPROVED</t>
        </is>
      </c>
      <c r="I1234" s="34" t="inlineStr">
        <is>
          <t>New</t>
        </is>
      </c>
      <c r="J1234" s="34" t="inlineStr">
        <is>
          <t>Source assignment -- not individually reviewed</t>
        </is>
      </c>
      <c r="K1234" s="39" t="inlineStr"/>
      <c r="L1234" s="14" t="inlineStr"/>
      <c r="M1234" s="14" t="inlineStr"/>
      <c r="N1234" s="92" t="inlineStr">
        <is>
          <t>10 EVIDENCE &amp; DECISIONS</t>
        </is>
      </c>
    </row>
    <row r="1235" ht="34" customHeight="1">
      <c r="A1235" s="34" t="inlineStr">
        <is>
          <t>Contractor Programme</t>
        </is>
      </c>
      <c r="B1235" s="34" t="inlineStr">
        <is>
          <t>SCH-05-066</t>
        </is>
      </c>
      <c r="C1235" s="34" t="inlineStr">
        <is>
          <t>Central section: emergency-response drill - field start</t>
        </is>
      </c>
      <c r="D1235" s="34" t="inlineStr">
        <is>
          <t>WBS Code = 1.5.2</t>
        </is>
      </c>
      <c r="E1235" s="34" t="inlineStr">
        <is>
          <t>R786-v1</t>
        </is>
      </c>
      <c r="F1235" s="34" t="inlineStr">
        <is>
          <t>1.5.2 Testing and Commissioning - Dynamic Testing</t>
        </is>
      </c>
      <c r="G1235" s="34" t="inlineStr">
        <is>
          <t>ONE_TO_ONE</t>
        </is>
      </c>
      <c r="H1235" s="34" t="inlineStr">
        <is>
          <t>APPROVED</t>
        </is>
      </c>
      <c r="I1235" s="34" t="inlineStr">
        <is>
          <t>New</t>
        </is>
      </c>
      <c r="J1235" s="34" t="inlineStr">
        <is>
          <t>Source assignment -- not individually reviewed</t>
        </is>
      </c>
      <c r="K1235" s="39" t="inlineStr"/>
      <c r="L1235" s="14" t="inlineStr"/>
      <c r="M1235" s="14" t="inlineStr"/>
      <c r="N1235" s="92" t="inlineStr">
        <is>
          <t>10 EVIDENCE &amp; DECISIONS</t>
        </is>
      </c>
    </row>
    <row r="1236" ht="34" customHeight="1">
      <c r="A1236" s="34" t="inlineStr">
        <is>
          <t>Contractor Programme</t>
        </is>
      </c>
      <c r="B1236" s="34" t="inlineStr">
        <is>
          <t>SCH-05-069</t>
        </is>
      </c>
      <c r="C1236" s="34" t="inlineStr">
        <is>
          <t>Control Centre: safety certificate evidence closeout - turnover</t>
        </is>
      </c>
      <c r="D1236" s="34" t="inlineStr">
        <is>
          <t>WBS Code = 1.5.2</t>
        </is>
      </c>
      <c r="E1236" s="34" t="inlineStr">
        <is>
          <t>R789-v1</t>
        </is>
      </c>
      <c r="F1236" s="34" t="inlineStr">
        <is>
          <t>1.5.2 Testing and Commissioning - Dynamic Testing</t>
        </is>
      </c>
      <c r="G1236" s="34" t="inlineStr">
        <is>
          <t>ONE_TO_ONE</t>
        </is>
      </c>
      <c r="H1236" s="34" t="inlineStr">
        <is>
          <t>APPROVED</t>
        </is>
      </c>
      <c r="I1236" s="34" t="inlineStr">
        <is>
          <t>New</t>
        </is>
      </c>
      <c r="J1236" s="34" t="inlineStr">
        <is>
          <t>Source assignment -- not individually reviewed</t>
        </is>
      </c>
      <c r="K1236" s="39" t="inlineStr"/>
      <c r="L1236" s="14" t="inlineStr"/>
      <c r="M1236" s="14" t="inlineStr"/>
      <c r="N1236" s="92" t="inlineStr">
        <is>
          <t>10 EVIDENCE &amp; DECISIONS</t>
        </is>
      </c>
    </row>
    <row r="1237" ht="34" customHeight="1">
      <c r="A1237" s="34" t="inlineStr">
        <is>
          <t>Contractor Programme</t>
        </is>
      </c>
      <c r="B1237" s="34" t="inlineStr">
        <is>
          <t>SCH-05-072</t>
        </is>
      </c>
      <c r="C1237" s="34" t="inlineStr">
        <is>
          <t>West terminal: trial-running shift - installation</t>
        </is>
      </c>
      <c r="D1237" s="34" t="inlineStr">
        <is>
          <t>WBS Code = 1.5.2</t>
        </is>
      </c>
      <c r="E1237" s="34" t="inlineStr">
        <is>
          <t>R792-v1</t>
        </is>
      </c>
      <c r="F1237" s="34" t="inlineStr">
        <is>
          <t>1.5.2 Testing and Commissioning - Dynamic Testing</t>
        </is>
      </c>
      <c r="G1237" s="34" t="inlineStr">
        <is>
          <t>ONE_TO_ONE</t>
        </is>
      </c>
      <c r="H1237" s="34" t="inlineStr">
        <is>
          <t>APPROVED</t>
        </is>
      </c>
      <c r="I1237" s="34" t="inlineStr">
        <is>
          <t>New</t>
        </is>
      </c>
      <c r="J1237" s="34" t="inlineStr">
        <is>
          <t>Source assignment -- not individually reviewed</t>
        </is>
      </c>
      <c r="K1237" s="39" t="inlineStr"/>
      <c r="L1237" s="14" t="inlineStr"/>
      <c r="M1237" s="14" t="inlineStr"/>
      <c r="N1237" s="92" t="inlineStr">
        <is>
          <t>10 EVIDENCE &amp; DECISIONS</t>
        </is>
      </c>
    </row>
    <row r="1238" ht="34" customHeight="1">
      <c r="A1238" s="34" t="inlineStr">
        <is>
          <t>Contractor Programme</t>
        </is>
      </c>
      <c r="B1238" s="34" t="inlineStr">
        <is>
          <t>SCH-05-075</t>
        </is>
      </c>
      <c r="C1238" s="34" t="inlineStr">
        <is>
          <t>Mainline east: defect retest - release</t>
        </is>
      </c>
      <c r="D1238" s="34" t="inlineStr">
        <is>
          <t>WBS Code = 1.5.2</t>
        </is>
      </c>
      <c r="E1238" s="34" t="inlineStr">
        <is>
          <t>R795-v1</t>
        </is>
      </c>
      <c r="F1238" s="34" t="inlineStr">
        <is>
          <t>1.5.2 Testing and Commissioning - Dynamic Testing</t>
        </is>
      </c>
      <c r="G1238" s="34" t="inlineStr">
        <is>
          <t>ONE_TO_ONE</t>
        </is>
      </c>
      <c r="H1238" s="34" t="inlineStr">
        <is>
          <t>APPROVED</t>
        </is>
      </c>
      <c r="I1238" s="34" t="inlineStr">
        <is>
          <t>New</t>
        </is>
      </c>
      <c r="J1238" s="34" t="inlineStr">
        <is>
          <t>Source assignment -- not individually reviewed</t>
        </is>
      </c>
      <c r="K1238" s="39" t="inlineStr"/>
      <c r="L1238" s="14" t="inlineStr"/>
      <c r="M1238" s="14" t="inlineStr"/>
      <c r="N1238" s="92" t="inlineStr">
        <is>
          <t>10 EVIDENCE &amp; DECISIONS</t>
        </is>
      </c>
    </row>
    <row r="1239" ht="34" customHeight="1">
      <c r="A1239" s="34" t="inlineStr">
        <is>
          <t>Contractor Programme</t>
        </is>
      </c>
      <c r="B1239" s="34" t="inlineStr">
        <is>
          <t>SCH-05-078</t>
        </is>
      </c>
      <c r="C1239" s="34" t="inlineStr">
        <is>
          <t>Depot: service-readiness review - inspection</t>
        </is>
      </c>
      <c r="D1239" s="34" t="inlineStr">
        <is>
          <t>WBS Code = 1.5.2</t>
        </is>
      </c>
      <c r="E1239" s="34" t="inlineStr">
        <is>
          <t>R798-v1</t>
        </is>
      </c>
      <c r="F1239" s="34" t="inlineStr">
        <is>
          <t>1.5.2 Testing and Commissioning - Dynamic Testing</t>
        </is>
      </c>
      <c r="G1239" s="34" t="inlineStr">
        <is>
          <t>ONE_TO_ONE</t>
        </is>
      </c>
      <c r="H1239" s="34" t="inlineStr">
        <is>
          <t>APPROVED</t>
        </is>
      </c>
      <c r="I1239" s="34" t="inlineStr">
        <is>
          <t>New</t>
        </is>
      </c>
      <c r="J1239" s="34" t="inlineStr">
        <is>
          <t>Source assignment -- not individually reviewed</t>
        </is>
      </c>
      <c r="K1239" s="39" t="inlineStr"/>
      <c r="L1239" s="14" t="inlineStr"/>
      <c r="M1239" s="14" t="inlineStr"/>
      <c r="N1239" s="92" t="inlineStr">
        <is>
          <t>10 EVIDENCE &amp; DECISIONS</t>
        </is>
      </c>
    </row>
    <row r="1240" ht="34" customHeight="1">
      <c r="A1240" s="34" t="inlineStr">
        <is>
          <t>Contractor Programme</t>
        </is>
      </c>
      <c r="B1240" s="34" t="inlineStr">
        <is>
          <t>SCH-05-081</t>
        </is>
      </c>
      <c r="C1240" s="34" t="inlineStr">
        <is>
          <t>Central section: test procedure readiness review - field start</t>
        </is>
      </c>
      <c r="D1240" s="34" t="inlineStr">
        <is>
          <t>WBS Code = 1.5.2</t>
        </is>
      </c>
      <c r="E1240" s="34" t="inlineStr">
        <is>
          <t>R801-v1</t>
        </is>
      </c>
      <c r="F1240" s="34" t="inlineStr">
        <is>
          <t>1.5.2 Testing and Commissioning - Dynamic Testing</t>
        </is>
      </c>
      <c r="G1240" s="34" t="inlineStr">
        <is>
          <t>ONE_TO_ONE</t>
        </is>
      </c>
      <c r="H1240" s="34" t="inlineStr">
        <is>
          <t>APPROVED</t>
        </is>
      </c>
      <c r="I1240" s="34" t="inlineStr">
        <is>
          <t>New</t>
        </is>
      </c>
      <c r="J1240" s="34" t="inlineStr">
        <is>
          <t>Source assignment -- not individually reviewed</t>
        </is>
      </c>
      <c r="K1240" s="39" t="inlineStr"/>
      <c r="L1240" s="14" t="inlineStr"/>
      <c r="M1240" s="14" t="inlineStr"/>
      <c r="N1240" s="92" t="inlineStr">
        <is>
          <t>10 EVIDENCE &amp; DECISIONS</t>
        </is>
      </c>
    </row>
    <row r="1241" ht="34" customHeight="1">
      <c r="A1241" s="34" t="inlineStr">
        <is>
          <t>Contractor Programme</t>
        </is>
      </c>
      <c r="B1241" s="34" t="inlineStr">
        <is>
          <t>SCH-05-084</t>
        </is>
      </c>
      <c r="C1241" s="34" t="inlineStr">
        <is>
          <t>Control Centre: mainline dynamic test - turnover</t>
        </is>
      </c>
      <c r="D1241" s="34" t="inlineStr">
        <is>
          <t>WBS Code = 1.5.2</t>
        </is>
      </c>
      <c r="E1241" s="34" t="inlineStr">
        <is>
          <t>R804-v1</t>
        </is>
      </c>
      <c r="F1241" s="34" t="inlineStr">
        <is>
          <t>1.5.2 Testing and Commissioning - Dynamic Testing</t>
        </is>
      </c>
      <c r="G1241" s="34" t="inlineStr">
        <is>
          <t>ONE_TO_ONE</t>
        </is>
      </c>
      <c r="H1241" s="34" t="inlineStr">
        <is>
          <t>APPROVED</t>
        </is>
      </c>
      <c r="I1241" s="34" t="inlineStr">
        <is>
          <t>New</t>
        </is>
      </c>
      <c r="J1241" s="34" t="inlineStr">
        <is>
          <t>Source assignment -- not individually reviewed</t>
        </is>
      </c>
      <c r="K1241" s="39" t="inlineStr"/>
      <c r="L1241" s="14" t="inlineStr"/>
      <c r="M1241" s="14" t="inlineStr"/>
      <c r="N1241" s="92" t="inlineStr">
        <is>
          <t>10 EVIDENCE &amp; DECISIONS</t>
        </is>
      </c>
    </row>
    <row r="1242" ht="34" customHeight="1">
      <c r="A1242" s="34" t="inlineStr">
        <is>
          <t>Contractor Programme</t>
        </is>
      </c>
      <c r="B1242" s="34" t="inlineStr">
        <is>
          <t>SCH-05-087</t>
        </is>
      </c>
      <c r="C1242" s="34" t="inlineStr">
        <is>
          <t>West terminal: station integrated test - installation</t>
        </is>
      </c>
      <c r="D1242" s="34" t="inlineStr">
        <is>
          <t>WBS Code = 1.5.2</t>
        </is>
      </c>
      <c r="E1242" s="34" t="inlineStr">
        <is>
          <t>R807-v1</t>
        </is>
      </c>
      <c r="F1242" s="34" t="inlineStr">
        <is>
          <t>1.5.2 Testing and Commissioning - Dynamic Testing</t>
        </is>
      </c>
      <c r="G1242" s="34" t="inlineStr">
        <is>
          <t>ONE_TO_ONE</t>
        </is>
      </c>
      <c r="H1242" s="34" t="inlineStr">
        <is>
          <t>APPROVED</t>
        </is>
      </c>
      <c r="I1242" s="34" t="inlineStr">
        <is>
          <t>New</t>
        </is>
      </c>
      <c r="J1242" s="34" t="inlineStr">
        <is>
          <t>Source assignment -- not individually reviewed</t>
        </is>
      </c>
      <c r="K1242" s="39" t="inlineStr"/>
      <c r="L1242" s="14" t="inlineStr"/>
      <c r="M1242" s="14" t="inlineStr"/>
      <c r="N1242" s="92" t="inlineStr">
        <is>
          <t>10 EVIDENCE &amp; DECISIONS</t>
        </is>
      </c>
    </row>
    <row r="1243" ht="34" customHeight="1">
      <c r="A1243" s="34" t="inlineStr">
        <is>
          <t>Contractor Programme</t>
        </is>
      </c>
      <c r="B1243" s="34" t="inlineStr">
        <is>
          <t>SCH-05-090</t>
        </is>
      </c>
      <c r="C1243" s="34" t="inlineStr">
        <is>
          <t>Mainline east: emergency-response drill - release</t>
        </is>
      </c>
      <c r="D1243" s="34" t="inlineStr">
        <is>
          <t>WBS Code = 1.5.2</t>
        </is>
      </c>
      <c r="E1243" s="34" t="inlineStr">
        <is>
          <t>R810-v1</t>
        </is>
      </c>
      <c r="F1243" s="34" t="inlineStr">
        <is>
          <t>1.5.2 Testing and Commissioning - Dynamic Testing</t>
        </is>
      </c>
      <c r="G1243" s="34" t="inlineStr">
        <is>
          <t>ONE_TO_ONE</t>
        </is>
      </c>
      <c r="H1243" s="34" t="inlineStr">
        <is>
          <t>APPROVED</t>
        </is>
      </c>
      <c r="I1243" s="34" t="inlineStr">
        <is>
          <t>New</t>
        </is>
      </c>
      <c r="J1243" s="34" t="inlineStr">
        <is>
          <t>Source assignment -- not individually reviewed</t>
        </is>
      </c>
      <c r="K1243" s="39" t="inlineStr"/>
      <c r="L1243" s="14" t="inlineStr"/>
      <c r="M1243" s="14" t="inlineStr"/>
      <c r="N1243" s="92" t="inlineStr">
        <is>
          <t>10 EVIDENCE &amp; DECISIONS</t>
        </is>
      </c>
    </row>
    <row r="1244" ht="34" customHeight="1">
      <c r="A1244" s="34" t="inlineStr">
        <is>
          <t>Contractor Programme</t>
        </is>
      </c>
      <c r="B1244" s="34" t="inlineStr">
        <is>
          <t>SCH-05-093</t>
        </is>
      </c>
      <c r="C1244" s="34" t="inlineStr">
        <is>
          <t>Depot: safety certificate evidence closeout - inspection</t>
        </is>
      </c>
      <c r="D1244" s="34" t="inlineStr">
        <is>
          <t>WBS Code = 1.5.2</t>
        </is>
      </c>
      <c r="E1244" s="34" t="inlineStr">
        <is>
          <t>R813-v1</t>
        </is>
      </c>
      <c r="F1244" s="34" t="inlineStr">
        <is>
          <t>1.5.2 Testing and Commissioning - Dynamic Testing</t>
        </is>
      </c>
      <c r="G1244" s="34" t="inlineStr">
        <is>
          <t>ONE_TO_ONE</t>
        </is>
      </c>
      <c r="H1244" s="34" t="inlineStr">
        <is>
          <t>APPROVED</t>
        </is>
      </c>
      <c r="I1244" s="34" t="inlineStr">
        <is>
          <t>New</t>
        </is>
      </c>
      <c r="J1244" s="34" t="inlineStr">
        <is>
          <t>Source assignment -- not individually reviewed</t>
        </is>
      </c>
      <c r="K1244" s="39" t="inlineStr"/>
      <c r="L1244" s="14" t="inlineStr"/>
      <c r="M1244" s="14" t="inlineStr"/>
      <c r="N1244" s="92" t="inlineStr">
        <is>
          <t>10 EVIDENCE &amp; DECISIONS</t>
        </is>
      </c>
    </row>
    <row r="1245" ht="34" customHeight="1">
      <c r="A1245" s="34" t="inlineStr">
        <is>
          <t>Contractor Programme</t>
        </is>
      </c>
      <c r="B1245" s="34" t="inlineStr">
        <is>
          <t>SCH-05-096</t>
        </is>
      </c>
      <c r="C1245" s="34" t="inlineStr">
        <is>
          <t>Central section: trial-running shift - field start</t>
        </is>
      </c>
      <c r="D1245" s="34" t="inlineStr">
        <is>
          <t>WBS Code = 1.5.2</t>
        </is>
      </c>
      <c r="E1245" s="34" t="inlineStr">
        <is>
          <t>R816-v1</t>
        </is>
      </c>
      <c r="F1245" s="34" t="inlineStr">
        <is>
          <t>1.5.2 Testing and Commissioning - Dynamic Testing</t>
        </is>
      </c>
      <c r="G1245" s="34" t="inlineStr">
        <is>
          <t>ONE_TO_ONE</t>
        </is>
      </c>
      <c r="H1245" s="34" t="inlineStr">
        <is>
          <t>APPROVED</t>
        </is>
      </c>
      <c r="I1245" s="34" t="inlineStr">
        <is>
          <t>New</t>
        </is>
      </c>
      <c r="J1245" s="34" t="inlineStr">
        <is>
          <t>Source assignment -- not individually reviewed</t>
        </is>
      </c>
      <c r="K1245" s="39" t="inlineStr"/>
      <c r="L1245" s="14" t="inlineStr"/>
      <c r="M1245" s="14" t="inlineStr"/>
      <c r="N1245" s="92" t="inlineStr">
        <is>
          <t>10 EVIDENCE &amp; DECISIONS</t>
        </is>
      </c>
    </row>
    <row r="1246" ht="34" customHeight="1">
      <c r="A1246" s="34" t="inlineStr">
        <is>
          <t>Contractor Programme</t>
        </is>
      </c>
      <c r="B1246" s="34" t="inlineStr">
        <is>
          <t>SCH-05-099</t>
        </is>
      </c>
      <c r="C1246" s="34" t="inlineStr">
        <is>
          <t>Control Centre: defect retest - turnover</t>
        </is>
      </c>
      <c r="D1246" s="34" t="inlineStr">
        <is>
          <t>WBS Code = 1.5.2</t>
        </is>
      </c>
      <c r="E1246" s="34" t="inlineStr">
        <is>
          <t>R819-v1</t>
        </is>
      </c>
      <c r="F1246" s="34" t="inlineStr">
        <is>
          <t>1.5.2 Testing and Commissioning - Dynamic Testing</t>
        </is>
      </c>
      <c r="G1246" s="34" t="inlineStr">
        <is>
          <t>ONE_TO_ONE</t>
        </is>
      </c>
      <c r="H1246" s="34" t="inlineStr">
        <is>
          <t>APPROVED</t>
        </is>
      </c>
      <c r="I1246" s="34" t="inlineStr">
        <is>
          <t>New</t>
        </is>
      </c>
      <c r="J1246" s="34" t="inlineStr">
        <is>
          <t>Source assignment -- not individually reviewed</t>
        </is>
      </c>
      <c r="K1246" s="39" t="inlineStr"/>
      <c r="L1246" s="14" t="inlineStr"/>
      <c r="M1246" s="14" t="inlineStr"/>
      <c r="N1246" s="92" t="inlineStr">
        <is>
          <t>10 EVIDENCE &amp; DECISIONS</t>
        </is>
      </c>
    </row>
    <row r="1247" ht="34" customHeight="1">
      <c r="A1247" s="34" t="inlineStr">
        <is>
          <t>Contractor Programme</t>
        </is>
      </c>
      <c r="B1247" s="34" t="inlineStr">
        <is>
          <t>SCH-05-102</t>
        </is>
      </c>
      <c r="C1247" s="34" t="inlineStr">
        <is>
          <t>West terminal: service-readiness review - installation</t>
        </is>
      </c>
      <c r="D1247" s="34" t="inlineStr">
        <is>
          <t>WBS Code = 1.5.2</t>
        </is>
      </c>
      <c r="E1247" s="34" t="inlineStr">
        <is>
          <t>R822-v1</t>
        </is>
      </c>
      <c r="F1247" s="34" t="inlineStr">
        <is>
          <t>1.5.2 Testing and Commissioning - Dynamic Testing</t>
        </is>
      </c>
      <c r="G1247" s="34" t="inlineStr">
        <is>
          <t>ONE_TO_ONE</t>
        </is>
      </c>
      <c r="H1247" s="34" t="inlineStr">
        <is>
          <t>APPROVED</t>
        </is>
      </c>
      <c r="I1247" s="34" t="inlineStr">
        <is>
          <t>New</t>
        </is>
      </c>
      <c r="J1247" s="34" t="inlineStr">
        <is>
          <t>Source assignment -- not individually reviewed</t>
        </is>
      </c>
      <c r="K1247" s="39" t="inlineStr"/>
      <c r="L1247" s="14" t="inlineStr"/>
      <c r="M1247" s="14" t="inlineStr"/>
      <c r="N1247" s="92" t="inlineStr">
        <is>
          <t>10 EVIDENCE &amp; DECISIONS</t>
        </is>
      </c>
    </row>
    <row r="1248" ht="34" customHeight="1">
      <c r="A1248" s="34" t="inlineStr">
        <is>
          <t>Contractor Programme</t>
        </is>
      </c>
      <c r="B1248" s="34" t="inlineStr">
        <is>
          <t>SCH-05-105</t>
        </is>
      </c>
      <c r="C1248" s="34" t="inlineStr">
        <is>
          <t>Mainline east: test procedure readiness review - release</t>
        </is>
      </c>
      <c r="D1248" s="34" t="inlineStr">
        <is>
          <t>WBS Code = 1.5.2</t>
        </is>
      </c>
      <c r="E1248" s="34" t="inlineStr">
        <is>
          <t>R825-v1</t>
        </is>
      </c>
      <c r="F1248" s="34" t="inlineStr">
        <is>
          <t>1.5.2 Testing and Commissioning - Dynamic Testing</t>
        </is>
      </c>
      <c r="G1248" s="34" t="inlineStr">
        <is>
          <t>ONE_TO_ONE</t>
        </is>
      </c>
      <c r="H1248" s="34" t="inlineStr">
        <is>
          <t>APPROVED</t>
        </is>
      </c>
      <c r="I1248" s="34" t="inlineStr">
        <is>
          <t>New</t>
        </is>
      </c>
      <c r="J1248" s="34" t="inlineStr">
        <is>
          <t>Source assignment -- not individually reviewed</t>
        </is>
      </c>
      <c r="K1248" s="39" t="inlineStr"/>
      <c r="L1248" s="14" t="inlineStr"/>
      <c r="M1248" s="14" t="inlineStr"/>
      <c r="N1248" s="92" t="inlineStr">
        <is>
          <t>10 EVIDENCE &amp; DECISIONS</t>
        </is>
      </c>
    </row>
    <row r="1249" ht="34" customHeight="1">
      <c r="A1249" s="34" t="inlineStr">
        <is>
          <t>Contractor Programme</t>
        </is>
      </c>
      <c r="B1249" s="34" t="inlineStr">
        <is>
          <t>SCH-05-108</t>
        </is>
      </c>
      <c r="C1249" s="34" t="inlineStr">
        <is>
          <t>Depot: mainline dynamic test - inspection</t>
        </is>
      </c>
      <c r="D1249" s="34" t="inlineStr">
        <is>
          <t>WBS Code = 1.5.2</t>
        </is>
      </c>
      <c r="E1249" s="34" t="inlineStr">
        <is>
          <t>R828-v1</t>
        </is>
      </c>
      <c r="F1249" s="34" t="inlineStr">
        <is>
          <t>1.5.2 Testing and Commissioning - Dynamic Testing</t>
        </is>
      </c>
      <c r="G1249" s="34" t="inlineStr">
        <is>
          <t>ONE_TO_ONE</t>
        </is>
      </c>
      <c r="H1249" s="34" t="inlineStr">
        <is>
          <t>APPROVED</t>
        </is>
      </c>
      <c r="I1249" s="34" t="inlineStr">
        <is>
          <t>New</t>
        </is>
      </c>
      <c r="J1249" s="34" t="inlineStr">
        <is>
          <t>Source assignment -- not individually reviewed</t>
        </is>
      </c>
      <c r="K1249" s="39" t="inlineStr"/>
      <c r="L1249" s="14" t="inlineStr"/>
      <c r="M1249" s="14" t="inlineStr"/>
      <c r="N1249" s="92" t="inlineStr">
        <is>
          <t>10 EVIDENCE &amp; DECISIONS</t>
        </is>
      </c>
    </row>
    <row r="1250" ht="34" customHeight="1">
      <c r="A1250" s="34" t="inlineStr">
        <is>
          <t>Contractor Programme</t>
        </is>
      </c>
      <c r="B1250" s="34" t="inlineStr">
        <is>
          <t>SCH-05-111</t>
        </is>
      </c>
      <c r="C1250" s="34" t="inlineStr">
        <is>
          <t>Central section: station integrated test - field start</t>
        </is>
      </c>
      <c r="D1250" s="34" t="inlineStr">
        <is>
          <t>WBS Code = 1.5.2</t>
        </is>
      </c>
      <c r="E1250" s="34" t="inlineStr">
        <is>
          <t>R831-v1</t>
        </is>
      </c>
      <c r="F1250" s="34" t="inlineStr">
        <is>
          <t>1.5.2 Testing and Commissioning - Dynamic Testing</t>
        </is>
      </c>
      <c r="G1250" s="34" t="inlineStr">
        <is>
          <t>ONE_TO_ONE</t>
        </is>
      </c>
      <c r="H1250" s="34" t="inlineStr">
        <is>
          <t>APPROVED</t>
        </is>
      </c>
      <c r="I1250" s="34" t="inlineStr">
        <is>
          <t>New</t>
        </is>
      </c>
      <c r="J1250" s="34" t="inlineStr">
        <is>
          <t>Source assignment -- not individually reviewed</t>
        </is>
      </c>
      <c r="K1250" s="39" t="inlineStr"/>
      <c r="L1250" s="14" t="inlineStr"/>
      <c r="M1250" s="14" t="inlineStr"/>
      <c r="N1250" s="92" t="inlineStr">
        <is>
          <t>10 EVIDENCE &amp; DECISIONS</t>
        </is>
      </c>
    </row>
    <row r="1251" ht="34" customHeight="1">
      <c r="A1251" s="34" t="inlineStr">
        <is>
          <t>Contractor Programme</t>
        </is>
      </c>
      <c r="B1251" s="34" t="inlineStr">
        <is>
          <t>SCH-05-114</t>
        </is>
      </c>
      <c r="C1251" s="34" t="inlineStr">
        <is>
          <t>Control Centre: emergency-response drill - turnover</t>
        </is>
      </c>
      <c r="D1251" s="34" t="inlineStr">
        <is>
          <t>WBS Code = 1.5.2</t>
        </is>
      </c>
      <c r="E1251" s="34" t="inlineStr">
        <is>
          <t>R834-v1</t>
        </is>
      </c>
      <c r="F1251" s="34" t="inlineStr">
        <is>
          <t>1.5.2 Testing and Commissioning - Dynamic Testing</t>
        </is>
      </c>
      <c r="G1251" s="34" t="inlineStr">
        <is>
          <t>ONE_TO_ONE</t>
        </is>
      </c>
      <c r="H1251" s="34" t="inlineStr">
        <is>
          <t>APPROVED</t>
        </is>
      </c>
      <c r="I1251" s="34" t="inlineStr">
        <is>
          <t>New</t>
        </is>
      </c>
      <c r="J1251" s="34" t="inlineStr">
        <is>
          <t>Source assignment -- not individually reviewed</t>
        </is>
      </c>
      <c r="K1251" s="39" t="inlineStr"/>
      <c r="L1251" s="14" t="inlineStr"/>
      <c r="M1251" s="14" t="inlineStr"/>
      <c r="N1251" s="92" t="inlineStr">
        <is>
          <t>10 EVIDENCE &amp; DECISIONS</t>
        </is>
      </c>
    </row>
    <row r="1252" ht="34" customHeight="1">
      <c r="A1252" s="34" t="inlineStr">
        <is>
          <t>Contractor Programme</t>
        </is>
      </c>
      <c r="B1252" s="34" t="inlineStr">
        <is>
          <t>SCH-05-117</t>
        </is>
      </c>
      <c r="C1252" s="34" t="inlineStr">
        <is>
          <t>West terminal: safety certificate evidence closeout - installation</t>
        </is>
      </c>
      <c r="D1252" s="34" t="inlineStr">
        <is>
          <t>WBS Code = 1.5.2</t>
        </is>
      </c>
      <c r="E1252" s="34" t="inlineStr">
        <is>
          <t>R837-v1</t>
        </is>
      </c>
      <c r="F1252" s="34" t="inlineStr">
        <is>
          <t>1.5.2 Testing and Commissioning - Dynamic Testing</t>
        </is>
      </c>
      <c r="G1252" s="34" t="inlineStr">
        <is>
          <t>ONE_TO_ONE</t>
        </is>
      </c>
      <c r="H1252" s="34" t="inlineStr">
        <is>
          <t>APPROVED</t>
        </is>
      </c>
      <c r="I1252" s="34" t="inlineStr">
        <is>
          <t>New</t>
        </is>
      </c>
      <c r="J1252" s="34" t="inlineStr">
        <is>
          <t>Source assignment -- not individually reviewed</t>
        </is>
      </c>
      <c r="K1252" s="39" t="inlineStr"/>
      <c r="L1252" s="14" t="inlineStr"/>
      <c r="M1252" s="14" t="inlineStr"/>
      <c r="N1252" s="92" t="inlineStr">
        <is>
          <t>10 EVIDENCE &amp; DECISIONS</t>
        </is>
      </c>
    </row>
    <row r="1253" ht="34" customHeight="1">
      <c r="A1253" s="34" t="inlineStr">
        <is>
          <t>Contractor Programme</t>
        </is>
      </c>
      <c r="B1253" s="34" t="inlineStr">
        <is>
          <t>SCH-05-120</t>
        </is>
      </c>
      <c r="C1253" s="34" t="inlineStr">
        <is>
          <t>Mainline east: trial-running shift - release</t>
        </is>
      </c>
      <c r="D1253" s="34" t="inlineStr">
        <is>
          <t>WBS Code = 1.5.2</t>
        </is>
      </c>
      <c r="E1253" s="34" t="inlineStr">
        <is>
          <t>R840-v1</t>
        </is>
      </c>
      <c r="F1253" s="34" t="inlineStr">
        <is>
          <t>1.5.2 Testing and Commissioning - Dynamic Testing</t>
        </is>
      </c>
      <c r="G1253" s="34" t="inlineStr">
        <is>
          <t>ONE_TO_ONE</t>
        </is>
      </c>
      <c r="H1253" s="34" t="inlineStr">
        <is>
          <t>APPROVED</t>
        </is>
      </c>
      <c r="I1253" s="34" t="inlineStr">
        <is>
          <t>New</t>
        </is>
      </c>
      <c r="J1253" s="34" t="inlineStr">
        <is>
          <t>Source assignment -- not individually reviewed</t>
        </is>
      </c>
      <c r="K1253" s="39" t="inlineStr"/>
      <c r="L1253" s="14" t="inlineStr"/>
      <c r="M1253" s="14" t="inlineStr"/>
      <c r="N1253" s="92" t="inlineStr">
        <is>
          <t>10 EVIDENCE &amp; DECISIONS</t>
        </is>
      </c>
    </row>
    <row r="1254" ht="34" customHeight="1">
      <c r="A1254" s="34" t="inlineStr">
        <is>
          <t>Contractor Programme</t>
        </is>
      </c>
      <c r="B1254" s="34" t="inlineStr">
        <is>
          <t>SCH-05-123</t>
        </is>
      </c>
      <c r="C1254" s="34" t="inlineStr">
        <is>
          <t>Depot: defect retest - inspection</t>
        </is>
      </c>
      <c r="D1254" s="34" t="inlineStr">
        <is>
          <t>WBS Code = 1.5.2</t>
        </is>
      </c>
      <c r="E1254" s="34" t="inlineStr">
        <is>
          <t>R843-v1</t>
        </is>
      </c>
      <c r="F1254" s="34" t="inlineStr">
        <is>
          <t>1.5.2 Testing and Commissioning - Dynamic Testing</t>
        </is>
      </c>
      <c r="G1254" s="34" t="inlineStr">
        <is>
          <t>ONE_TO_ONE</t>
        </is>
      </c>
      <c r="H1254" s="34" t="inlineStr">
        <is>
          <t>APPROVED</t>
        </is>
      </c>
      <c r="I1254" s="34" t="inlineStr">
        <is>
          <t>New</t>
        </is>
      </c>
      <c r="J1254" s="34" t="inlineStr">
        <is>
          <t>Source assignment -- not individually reviewed</t>
        </is>
      </c>
      <c r="K1254" s="39" t="inlineStr"/>
      <c r="L1254" s="14" t="inlineStr"/>
      <c r="M1254" s="14" t="inlineStr"/>
      <c r="N1254" s="92" t="inlineStr">
        <is>
          <t>10 EVIDENCE &amp; DECISIONS</t>
        </is>
      </c>
    </row>
    <row r="1255" ht="34" customHeight="1">
      <c r="A1255" s="34" t="inlineStr">
        <is>
          <t>Contractor Programme</t>
        </is>
      </c>
      <c r="B1255" s="34" t="inlineStr">
        <is>
          <t>SCH-05-126</t>
        </is>
      </c>
      <c r="C1255" s="34" t="inlineStr">
        <is>
          <t>Central section: service-readiness review - field start</t>
        </is>
      </c>
      <c r="D1255" s="34" t="inlineStr">
        <is>
          <t>WBS Code = 1.5.2</t>
        </is>
      </c>
      <c r="E1255" s="34" t="inlineStr">
        <is>
          <t>R846-v1</t>
        </is>
      </c>
      <c r="F1255" s="34" t="inlineStr">
        <is>
          <t>1.5.2 Testing and Commissioning - Dynamic Testing</t>
        </is>
      </c>
      <c r="G1255" s="34" t="inlineStr">
        <is>
          <t>ONE_TO_ONE</t>
        </is>
      </c>
      <c r="H1255" s="34" t="inlineStr">
        <is>
          <t>APPROVED</t>
        </is>
      </c>
      <c r="I1255" s="34" t="inlineStr">
        <is>
          <t>New</t>
        </is>
      </c>
      <c r="J1255" s="34" t="inlineStr">
        <is>
          <t>Source assignment -- not individually reviewed</t>
        </is>
      </c>
      <c r="K1255" s="39" t="inlineStr"/>
      <c r="L1255" s="14" t="inlineStr"/>
      <c r="M1255" s="14" t="inlineStr"/>
      <c r="N1255" s="92" t="inlineStr">
        <is>
          <t>10 EVIDENCE &amp; DECISIONS</t>
        </is>
      </c>
    </row>
    <row r="1256" ht="34" customHeight="1">
      <c r="A1256" s="34" t="inlineStr">
        <is>
          <t>Contractor Programme</t>
        </is>
      </c>
      <c r="B1256" s="34" t="inlineStr">
        <is>
          <t>SCH-05-129</t>
        </is>
      </c>
      <c r="C1256" s="34" t="inlineStr">
        <is>
          <t>Control Centre: test procedure readiness review - turnover</t>
        </is>
      </c>
      <c r="D1256" s="34" t="inlineStr">
        <is>
          <t>WBS Code = 1.5.2</t>
        </is>
      </c>
      <c r="E1256" s="34" t="inlineStr">
        <is>
          <t>R849-v1</t>
        </is>
      </c>
      <c r="F1256" s="34" t="inlineStr">
        <is>
          <t>1.5.2 Testing and Commissioning - Dynamic Testing</t>
        </is>
      </c>
      <c r="G1256" s="34" t="inlineStr">
        <is>
          <t>ONE_TO_ONE</t>
        </is>
      </c>
      <c r="H1256" s="34" t="inlineStr">
        <is>
          <t>APPROVED</t>
        </is>
      </c>
      <c r="I1256" s="34" t="inlineStr">
        <is>
          <t>New</t>
        </is>
      </c>
      <c r="J1256" s="34" t="inlineStr">
        <is>
          <t>Source assignment -- not individually reviewed</t>
        </is>
      </c>
      <c r="K1256" s="39" t="inlineStr"/>
      <c r="L1256" s="14" t="inlineStr"/>
      <c r="M1256" s="14" t="inlineStr"/>
      <c r="N1256" s="92" t="inlineStr">
        <is>
          <t>10 EVIDENCE &amp; DECISIONS</t>
        </is>
      </c>
    </row>
    <row r="1257" ht="34" customHeight="1">
      <c r="A1257" s="34" t="inlineStr">
        <is>
          <t>Contractor Programme</t>
        </is>
      </c>
      <c r="B1257" s="34" t="inlineStr">
        <is>
          <t>SCH-05-132</t>
        </is>
      </c>
      <c r="C1257" s="34" t="inlineStr">
        <is>
          <t>West terminal: mainline dynamic test - installation</t>
        </is>
      </c>
      <c r="D1257" s="34" t="inlineStr">
        <is>
          <t>WBS Code = 1.5.2</t>
        </is>
      </c>
      <c r="E1257" s="34" t="inlineStr">
        <is>
          <t>R852-v1</t>
        </is>
      </c>
      <c r="F1257" s="34" t="inlineStr">
        <is>
          <t>1.5.2 Testing and Commissioning - Dynamic Testing</t>
        </is>
      </c>
      <c r="G1257" s="34" t="inlineStr">
        <is>
          <t>ONE_TO_ONE</t>
        </is>
      </c>
      <c r="H1257" s="34" t="inlineStr">
        <is>
          <t>APPROVED</t>
        </is>
      </c>
      <c r="I1257" s="34" t="inlineStr">
        <is>
          <t>New</t>
        </is>
      </c>
      <c r="J1257" s="34" t="inlineStr">
        <is>
          <t>Source assignment -- not individually reviewed</t>
        </is>
      </c>
      <c r="K1257" s="39" t="inlineStr"/>
      <c r="L1257" s="14" t="inlineStr"/>
      <c r="M1257" s="14" t="inlineStr"/>
      <c r="N1257" s="92" t="inlineStr">
        <is>
          <t>10 EVIDENCE &amp; DECISIONS</t>
        </is>
      </c>
    </row>
    <row r="1258" ht="34" customHeight="1">
      <c r="A1258" s="34" t="inlineStr">
        <is>
          <t>Contractor Programme</t>
        </is>
      </c>
      <c r="B1258" s="34" t="inlineStr">
        <is>
          <t>SCH-05-135</t>
        </is>
      </c>
      <c r="C1258" s="34" t="inlineStr">
        <is>
          <t>Mainline east: station integrated test - release</t>
        </is>
      </c>
      <c r="D1258" s="34" t="inlineStr">
        <is>
          <t>WBS Code = 1.5.2</t>
        </is>
      </c>
      <c r="E1258" s="34" t="inlineStr">
        <is>
          <t>R855-v1</t>
        </is>
      </c>
      <c r="F1258" s="34" t="inlineStr">
        <is>
          <t>1.5.2 Testing and Commissioning - Dynamic Testing</t>
        </is>
      </c>
      <c r="G1258" s="34" t="inlineStr">
        <is>
          <t>ONE_TO_ONE</t>
        </is>
      </c>
      <c r="H1258" s="34" t="inlineStr">
        <is>
          <t>APPROVED</t>
        </is>
      </c>
      <c r="I1258" s="34" t="inlineStr">
        <is>
          <t>New</t>
        </is>
      </c>
      <c r="J1258" s="34" t="inlineStr">
        <is>
          <t>Source assignment -- not individually reviewed</t>
        </is>
      </c>
      <c r="K1258" s="39" t="inlineStr"/>
      <c r="L1258" s="14" t="inlineStr"/>
      <c r="M1258" s="14" t="inlineStr"/>
      <c r="N1258" s="92" t="inlineStr">
        <is>
          <t>10 EVIDENCE &amp; DECISIONS</t>
        </is>
      </c>
    </row>
    <row r="1259" ht="34" customHeight="1">
      <c r="A1259" s="34" t="inlineStr">
        <is>
          <t>Contractor Programme</t>
        </is>
      </c>
      <c r="B1259" s="34" t="inlineStr">
        <is>
          <t>SCH-05-138</t>
        </is>
      </c>
      <c r="C1259" s="34" t="inlineStr">
        <is>
          <t>Depot: emergency-response drill - inspection</t>
        </is>
      </c>
      <c r="D1259" s="34" t="inlineStr">
        <is>
          <t>WBS Code = 1.5.2</t>
        </is>
      </c>
      <c r="E1259" s="34" t="inlineStr">
        <is>
          <t>R858-v1</t>
        </is>
      </c>
      <c r="F1259" s="34" t="inlineStr">
        <is>
          <t>1.5.2 Testing and Commissioning - Dynamic Testing</t>
        </is>
      </c>
      <c r="G1259" s="34" t="inlineStr">
        <is>
          <t>ONE_TO_ONE</t>
        </is>
      </c>
      <c r="H1259" s="34" t="inlineStr">
        <is>
          <t>APPROVED</t>
        </is>
      </c>
      <c r="I1259" s="34" t="inlineStr">
        <is>
          <t>New</t>
        </is>
      </c>
      <c r="J1259" s="34" t="inlineStr">
        <is>
          <t>Source assignment -- not individually reviewed</t>
        </is>
      </c>
      <c r="K1259" s="39" t="inlineStr"/>
      <c r="L1259" s="14" t="inlineStr"/>
      <c r="M1259" s="14" t="inlineStr"/>
      <c r="N1259" s="92" t="inlineStr">
        <is>
          <t>10 EVIDENCE &amp; DECISIONS</t>
        </is>
      </c>
    </row>
    <row r="1260" ht="34" customHeight="1">
      <c r="A1260" s="34" t="inlineStr">
        <is>
          <t>Contractor Programme</t>
        </is>
      </c>
      <c r="B1260" s="34" t="inlineStr">
        <is>
          <t>SCH-05-141</t>
        </is>
      </c>
      <c r="C1260" s="34" t="inlineStr">
        <is>
          <t>Central section: safety certificate evidence closeout - field start</t>
        </is>
      </c>
      <c r="D1260" s="34" t="inlineStr">
        <is>
          <t>WBS Code = 1.5.2</t>
        </is>
      </c>
      <c r="E1260" s="34" t="inlineStr">
        <is>
          <t>R861-v1</t>
        </is>
      </c>
      <c r="F1260" s="34" t="inlineStr">
        <is>
          <t>1.5.2 Testing and Commissioning - Dynamic Testing</t>
        </is>
      </c>
      <c r="G1260" s="34" t="inlineStr">
        <is>
          <t>ONE_TO_ONE</t>
        </is>
      </c>
      <c r="H1260" s="34" t="inlineStr">
        <is>
          <t>APPROVED</t>
        </is>
      </c>
      <c r="I1260" s="34" t="inlineStr">
        <is>
          <t>New</t>
        </is>
      </c>
      <c r="J1260" s="34" t="inlineStr">
        <is>
          <t>Source assignment -- not individually reviewed</t>
        </is>
      </c>
      <c r="K1260" s="39" t="inlineStr"/>
      <c r="L1260" s="14" t="inlineStr"/>
      <c r="M1260" s="14" t="inlineStr"/>
      <c r="N1260" s="92" t="inlineStr">
        <is>
          <t>10 EVIDENCE &amp; DECISIONS</t>
        </is>
      </c>
    </row>
    <row r="1261" ht="34" customHeight="1">
      <c r="A1261" s="34" t="inlineStr">
        <is>
          <t>Contractor Programme</t>
        </is>
      </c>
      <c r="B1261" s="34" t="inlineStr">
        <is>
          <t>SCH-05-144</t>
        </is>
      </c>
      <c r="C1261" s="34" t="inlineStr">
        <is>
          <t>Control Centre: trial-running shift - turnover</t>
        </is>
      </c>
      <c r="D1261" s="34" t="inlineStr">
        <is>
          <t>WBS Code = 1.5.2</t>
        </is>
      </c>
      <c r="E1261" s="34" t="inlineStr">
        <is>
          <t>R864-v1</t>
        </is>
      </c>
      <c r="F1261" s="34" t="inlineStr">
        <is>
          <t>1.5.2 Testing and Commissioning - Dynamic Testing</t>
        </is>
      </c>
      <c r="G1261" s="34" t="inlineStr">
        <is>
          <t>ONE_TO_ONE</t>
        </is>
      </c>
      <c r="H1261" s="34" t="inlineStr">
        <is>
          <t>APPROVED</t>
        </is>
      </c>
      <c r="I1261" s="34" t="inlineStr">
        <is>
          <t>New</t>
        </is>
      </c>
      <c r="J1261" s="34" t="inlineStr">
        <is>
          <t>Source assignment -- not individually reviewed</t>
        </is>
      </c>
      <c r="K1261" s="39" t="inlineStr"/>
      <c r="L1261" s="14" t="inlineStr"/>
      <c r="M1261" s="14" t="inlineStr"/>
      <c r="N1261" s="92" t="inlineStr">
        <is>
          <t>10 EVIDENCE &amp; DECISIONS</t>
        </is>
      </c>
    </row>
    <row r="1262" ht="34" customHeight="1">
      <c r="A1262" s="34" t="inlineStr">
        <is>
          <t>Contractor Programme</t>
        </is>
      </c>
      <c r="B1262" s="34" t="inlineStr">
        <is>
          <t>SCH-05-147</t>
        </is>
      </c>
      <c r="C1262" s="34" t="inlineStr">
        <is>
          <t>West terminal: defect retest - installation</t>
        </is>
      </c>
      <c r="D1262" s="34" t="inlineStr">
        <is>
          <t>WBS Code = 1.5.2</t>
        </is>
      </c>
      <c r="E1262" s="34" t="inlineStr">
        <is>
          <t>R867-v1</t>
        </is>
      </c>
      <c r="F1262" s="34" t="inlineStr">
        <is>
          <t>1.5.2 Testing and Commissioning - Dynamic Testing</t>
        </is>
      </c>
      <c r="G1262" s="34" t="inlineStr">
        <is>
          <t>ONE_TO_ONE</t>
        </is>
      </c>
      <c r="H1262" s="34" t="inlineStr">
        <is>
          <t>APPROVED</t>
        </is>
      </c>
      <c r="I1262" s="34" t="inlineStr">
        <is>
          <t>New</t>
        </is>
      </c>
      <c r="J1262" s="34" t="inlineStr">
        <is>
          <t>Source assignment -- not individually reviewed</t>
        </is>
      </c>
      <c r="K1262" s="39" t="inlineStr"/>
      <c r="L1262" s="14" t="inlineStr"/>
      <c r="M1262" s="14" t="inlineStr"/>
      <c r="N1262" s="92" t="inlineStr">
        <is>
          <t>10 EVIDENCE &amp; DECISIONS</t>
        </is>
      </c>
    </row>
    <row r="1263" ht="34" customHeight="1">
      <c r="A1263" s="34" t="inlineStr">
        <is>
          <t>Contractor Programme</t>
        </is>
      </c>
      <c r="B1263" s="34" t="inlineStr">
        <is>
          <t>SCH-05-150</t>
        </is>
      </c>
      <c r="C1263" s="34" t="inlineStr">
        <is>
          <t>Mainline east: service-readiness review - release</t>
        </is>
      </c>
      <c r="D1263" s="34" t="inlineStr">
        <is>
          <t>WBS Code = 1.5.2</t>
        </is>
      </c>
      <c r="E1263" s="34" t="inlineStr">
        <is>
          <t>R870-v1</t>
        </is>
      </c>
      <c r="F1263" s="34" t="inlineStr">
        <is>
          <t>1.5.2 Testing and Commissioning - Dynamic Testing</t>
        </is>
      </c>
      <c r="G1263" s="34" t="inlineStr">
        <is>
          <t>ONE_TO_ONE</t>
        </is>
      </c>
      <c r="H1263" s="34" t="inlineStr">
        <is>
          <t>APPROVED</t>
        </is>
      </c>
      <c r="I1263" s="34" t="inlineStr">
        <is>
          <t>New</t>
        </is>
      </c>
      <c r="J1263" s="34" t="inlineStr">
        <is>
          <t>Source assignment -- not individually reviewed</t>
        </is>
      </c>
      <c r="K1263" s="39" t="inlineStr"/>
      <c r="L1263" s="14" t="inlineStr"/>
      <c r="M1263" s="14" t="inlineStr"/>
      <c r="N1263" s="92" t="inlineStr">
        <is>
          <t>10 EVIDENCE &amp; DECISIONS</t>
        </is>
      </c>
    </row>
    <row r="1264" ht="34" customHeight="1">
      <c r="A1264" s="34" t="inlineStr">
        <is>
          <t>Contractor Programme</t>
        </is>
      </c>
      <c r="B1264" s="34" t="inlineStr">
        <is>
          <t>SCH-05-153</t>
        </is>
      </c>
      <c r="C1264" s="34" t="inlineStr">
        <is>
          <t>Depot: test procedure readiness review - inspection</t>
        </is>
      </c>
      <c r="D1264" s="34" t="inlineStr">
        <is>
          <t>WBS Code = 1.5.2</t>
        </is>
      </c>
      <c r="E1264" s="34" t="inlineStr">
        <is>
          <t>R873-v1</t>
        </is>
      </c>
      <c r="F1264" s="34" t="inlineStr">
        <is>
          <t>1.5.2 Testing and Commissioning - Dynamic Testing</t>
        </is>
      </c>
      <c r="G1264" s="34" t="inlineStr">
        <is>
          <t>ONE_TO_ONE</t>
        </is>
      </c>
      <c r="H1264" s="34" t="inlineStr">
        <is>
          <t>APPROVED</t>
        </is>
      </c>
      <c r="I1264" s="34" t="inlineStr">
        <is>
          <t>New</t>
        </is>
      </c>
      <c r="J1264" s="34" t="inlineStr">
        <is>
          <t>Source assignment -- not individually reviewed</t>
        </is>
      </c>
      <c r="K1264" s="39" t="inlineStr"/>
      <c r="L1264" s="14" t="inlineStr"/>
      <c r="M1264" s="14" t="inlineStr"/>
      <c r="N1264" s="92" t="inlineStr">
        <is>
          <t>10 EVIDENCE &amp; DECISIONS</t>
        </is>
      </c>
    </row>
    <row r="1265" ht="34" customHeight="1">
      <c r="A1265" s="34" t="inlineStr">
        <is>
          <t>Contractor Programme</t>
        </is>
      </c>
      <c r="B1265" s="34" t="inlineStr">
        <is>
          <t>SCH-05-156</t>
        </is>
      </c>
      <c r="C1265" s="34" t="inlineStr">
        <is>
          <t>Central section: mainline dynamic test - field start</t>
        </is>
      </c>
      <c r="D1265" s="34" t="inlineStr">
        <is>
          <t>WBS Code = 1.5.2</t>
        </is>
      </c>
      <c r="E1265" s="34" t="inlineStr">
        <is>
          <t>R876-v1</t>
        </is>
      </c>
      <c r="F1265" s="34" t="inlineStr">
        <is>
          <t>1.5.2 Testing and Commissioning - Dynamic Testing</t>
        </is>
      </c>
      <c r="G1265" s="34" t="inlineStr">
        <is>
          <t>ONE_TO_ONE</t>
        </is>
      </c>
      <c r="H1265" s="34" t="inlineStr">
        <is>
          <t>APPROVED</t>
        </is>
      </c>
      <c r="I1265" s="34" t="inlineStr">
        <is>
          <t>New</t>
        </is>
      </c>
      <c r="J1265" s="34" t="inlineStr">
        <is>
          <t>Source assignment -- not individually reviewed</t>
        </is>
      </c>
      <c r="K1265" s="39" t="inlineStr"/>
      <c r="L1265" s="14" t="inlineStr"/>
      <c r="M1265" s="14" t="inlineStr"/>
      <c r="N1265" s="92" t="inlineStr">
        <is>
          <t>10 EVIDENCE &amp; DECISIONS</t>
        </is>
      </c>
    </row>
    <row r="1266" ht="34" customHeight="1">
      <c r="A1266" s="34" t="inlineStr">
        <is>
          <t>Contractor Programme</t>
        </is>
      </c>
      <c r="B1266" s="34" t="inlineStr">
        <is>
          <t>SCH-05-159</t>
        </is>
      </c>
      <c r="C1266" s="34" t="inlineStr">
        <is>
          <t>Control Centre: station integrated test - turnover</t>
        </is>
      </c>
      <c r="D1266" s="34" t="inlineStr">
        <is>
          <t>WBS Code = 1.5.2</t>
        </is>
      </c>
      <c r="E1266" s="34" t="inlineStr">
        <is>
          <t>R879-v1</t>
        </is>
      </c>
      <c r="F1266" s="34" t="inlineStr">
        <is>
          <t>1.5.2 Testing and Commissioning - Dynamic Testing</t>
        </is>
      </c>
      <c r="G1266" s="34" t="inlineStr">
        <is>
          <t>ONE_TO_ONE</t>
        </is>
      </c>
      <c r="H1266" s="34" t="inlineStr">
        <is>
          <t>APPROVED</t>
        </is>
      </c>
      <c r="I1266" s="34" t="inlineStr">
        <is>
          <t>New</t>
        </is>
      </c>
      <c r="J1266" s="34" t="inlineStr">
        <is>
          <t>Source assignment -- not individually reviewed</t>
        </is>
      </c>
      <c r="K1266" s="39" t="inlineStr"/>
      <c r="L1266" s="14" t="inlineStr"/>
      <c r="M1266" s="14" t="inlineStr"/>
      <c r="N1266" s="92" t="inlineStr">
        <is>
          <t>10 EVIDENCE &amp; DECISIONS</t>
        </is>
      </c>
    </row>
    <row r="1267" ht="34" customHeight="1">
      <c r="A1267" s="34" t="inlineStr">
        <is>
          <t>Contractor Programme</t>
        </is>
      </c>
      <c r="B1267" s="34" t="inlineStr">
        <is>
          <t>SCH-05-162</t>
        </is>
      </c>
      <c r="C1267" s="34" t="inlineStr">
        <is>
          <t>West terminal: emergency-response drill - installation</t>
        </is>
      </c>
      <c r="D1267" s="34" t="inlineStr">
        <is>
          <t>WBS Code = 1.5.2</t>
        </is>
      </c>
      <c r="E1267" s="34" t="inlineStr">
        <is>
          <t>R882-v1</t>
        </is>
      </c>
      <c r="F1267" s="34" t="inlineStr">
        <is>
          <t>1.5.2 Testing and Commissioning - Dynamic Testing</t>
        </is>
      </c>
      <c r="G1267" s="34" t="inlineStr">
        <is>
          <t>ONE_TO_ONE</t>
        </is>
      </c>
      <c r="H1267" s="34" t="inlineStr">
        <is>
          <t>APPROVED</t>
        </is>
      </c>
      <c r="I1267" s="34" t="inlineStr">
        <is>
          <t>New</t>
        </is>
      </c>
      <c r="J1267" s="34" t="inlineStr">
        <is>
          <t>Source assignment -- not individually reviewed</t>
        </is>
      </c>
      <c r="K1267" s="39" t="inlineStr"/>
      <c r="L1267" s="14" t="inlineStr"/>
      <c r="M1267" s="14" t="inlineStr"/>
      <c r="N1267" s="92" t="inlineStr">
        <is>
          <t>10 EVIDENCE &amp; DECISIONS</t>
        </is>
      </c>
    </row>
    <row r="1268" ht="34" customHeight="1">
      <c r="A1268" s="34" t="inlineStr">
        <is>
          <t>Contractor Programme</t>
        </is>
      </c>
      <c r="B1268" s="34" t="inlineStr">
        <is>
          <t>SCH-05-165</t>
        </is>
      </c>
      <c r="C1268" s="34" t="inlineStr">
        <is>
          <t>Mainline east: safety certificate evidence closeout - release</t>
        </is>
      </c>
      <c r="D1268" s="34" t="inlineStr">
        <is>
          <t>WBS Code = 1.5.2</t>
        </is>
      </c>
      <c r="E1268" s="34" t="inlineStr">
        <is>
          <t>R885-v1</t>
        </is>
      </c>
      <c r="F1268" s="34" t="inlineStr">
        <is>
          <t>1.5.2 Testing and Commissioning - Dynamic Testing</t>
        </is>
      </c>
      <c r="G1268" s="34" t="inlineStr">
        <is>
          <t>ONE_TO_ONE</t>
        </is>
      </c>
      <c r="H1268" s="34" t="inlineStr">
        <is>
          <t>APPROVED</t>
        </is>
      </c>
      <c r="I1268" s="34" t="inlineStr">
        <is>
          <t>New</t>
        </is>
      </c>
      <c r="J1268" s="34" t="inlineStr">
        <is>
          <t>Source assignment -- not individually reviewed</t>
        </is>
      </c>
      <c r="K1268" s="39" t="inlineStr"/>
      <c r="L1268" s="14" t="inlineStr"/>
      <c r="M1268" s="14" t="inlineStr"/>
      <c r="N1268" s="92" t="inlineStr">
        <is>
          <t>10 EVIDENCE &amp; DECISIONS</t>
        </is>
      </c>
    </row>
    <row r="1269" ht="34" customHeight="1">
      <c r="A1269" s="34" t="inlineStr">
        <is>
          <t>Contractor Programme</t>
        </is>
      </c>
      <c r="B1269" s="34" t="inlineStr">
        <is>
          <t>SCH-05-168</t>
        </is>
      </c>
      <c r="C1269" s="34" t="inlineStr">
        <is>
          <t>Depot: trial-running shift - inspection</t>
        </is>
      </c>
      <c r="D1269" s="34" t="inlineStr">
        <is>
          <t>WBS Code = 1.5.2</t>
        </is>
      </c>
      <c r="E1269" s="34" t="inlineStr">
        <is>
          <t>R888-v1</t>
        </is>
      </c>
      <c r="F1269" s="34" t="inlineStr">
        <is>
          <t>1.5.2 Testing and Commissioning - Dynamic Testing</t>
        </is>
      </c>
      <c r="G1269" s="34" t="inlineStr">
        <is>
          <t>ONE_TO_ONE</t>
        </is>
      </c>
      <c r="H1269" s="34" t="inlineStr">
        <is>
          <t>APPROVED</t>
        </is>
      </c>
      <c r="I1269" s="34" t="inlineStr">
        <is>
          <t>New</t>
        </is>
      </c>
      <c r="J1269" s="34" t="inlineStr">
        <is>
          <t>Source assignment -- not individually reviewed</t>
        </is>
      </c>
      <c r="K1269" s="39" t="inlineStr"/>
      <c r="L1269" s="14" t="inlineStr"/>
      <c r="M1269" s="14" t="inlineStr"/>
      <c r="N1269" s="92" t="inlineStr">
        <is>
          <t>10 EVIDENCE &amp; DECISIONS</t>
        </is>
      </c>
    </row>
    <row r="1270" ht="34" customHeight="1">
      <c r="A1270" s="34" t="inlineStr">
        <is>
          <t>Contractor Programme</t>
        </is>
      </c>
      <c r="B1270" s="34" t="inlineStr">
        <is>
          <t>SCH-05-171</t>
        </is>
      </c>
      <c r="C1270" s="34" t="inlineStr">
        <is>
          <t>Central section: defect retest - field start</t>
        </is>
      </c>
      <c r="D1270" s="34" t="inlineStr">
        <is>
          <t>WBS Code = 1.5.2</t>
        </is>
      </c>
      <c r="E1270" s="34" t="inlineStr">
        <is>
          <t>R891-v1</t>
        </is>
      </c>
      <c r="F1270" s="34" t="inlineStr">
        <is>
          <t>1.5.2 Testing and Commissioning - Dynamic Testing</t>
        </is>
      </c>
      <c r="G1270" s="34" t="inlineStr">
        <is>
          <t>ONE_TO_ONE</t>
        </is>
      </c>
      <c r="H1270" s="34" t="inlineStr">
        <is>
          <t>APPROVED</t>
        </is>
      </c>
      <c r="I1270" s="34" t="inlineStr">
        <is>
          <t>New</t>
        </is>
      </c>
      <c r="J1270" s="34" t="inlineStr">
        <is>
          <t>Source assignment -- not individually reviewed</t>
        </is>
      </c>
      <c r="K1270" s="39" t="inlineStr"/>
      <c r="L1270" s="14" t="inlineStr"/>
      <c r="M1270" s="14" t="inlineStr"/>
      <c r="N1270" s="92" t="inlineStr">
        <is>
          <t>10 EVIDENCE &amp; DECISIONS</t>
        </is>
      </c>
    </row>
    <row r="1271" ht="34" customHeight="1">
      <c r="A1271" s="34" t="inlineStr">
        <is>
          <t>Contractor Programme</t>
        </is>
      </c>
      <c r="B1271" s="34" t="inlineStr">
        <is>
          <t>SCH-05-174</t>
        </is>
      </c>
      <c r="C1271" s="34" t="inlineStr">
        <is>
          <t>Control Centre: service-readiness review - turnover</t>
        </is>
      </c>
      <c r="D1271" s="34" t="inlineStr">
        <is>
          <t>WBS Code = 1.5.2</t>
        </is>
      </c>
      <c r="E1271" s="34" t="inlineStr">
        <is>
          <t>R894-v1</t>
        </is>
      </c>
      <c r="F1271" s="34" t="inlineStr">
        <is>
          <t>1.5.2 Testing and Commissioning - Dynamic Testing</t>
        </is>
      </c>
      <c r="G1271" s="34" t="inlineStr">
        <is>
          <t>ONE_TO_ONE</t>
        </is>
      </c>
      <c r="H1271" s="34" t="inlineStr">
        <is>
          <t>APPROVED</t>
        </is>
      </c>
      <c r="I1271" s="34" t="inlineStr">
        <is>
          <t>New</t>
        </is>
      </c>
      <c r="J1271" s="34" t="inlineStr">
        <is>
          <t>Source assignment -- not individually reviewed</t>
        </is>
      </c>
      <c r="K1271" s="39" t="inlineStr"/>
      <c r="L1271" s="14" t="inlineStr"/>
      <c r="M1271" s="14" t="inlineStr"/>
      <c r="N1271" s="92" t="inlineStr">
        <is>
          <t>10 EVIDENCE &amp; DECISIONS</t>
        </is>
      </c>
    </row>
    <row r="1272" ht="34" customHeight="1">
      <c r="A1272" s="34" t="inlineStr">
        <is>
          <t>Contractor Programme</t>
        </is>
      </c>
      <c r="B1272" s="34" t="inlineStr">
        <is>
          <t>SCH-05-177</t>
        </is>
      </c>
      <c r="C1272" s="34" t="inlineStr">
        <is>
          <t>West terminal: test procedure readiness review - installation</t>
        </is>
      </c>
      <c r="D1272" s="34" t="inlineStr">
        <is>
          <t>WBS Code = 1.5.2</t>
        </is>
      </c>
      <c r="E1272" s="34" t="inlineStr">
        <is>
          <t>R897-v1</t>
        </is>
      </c>
      <c r="F1272" s="34" t="inlineStr">
        <is>
          <t>1.5.2 Testing and Commissioning - Dynamic Testing</t>
        </is>
      </c>
      <c r="G1272" s="34" t="inlineStr">
        <is>
          <t>ONE_TO_ONE</t>
        </is>
      </c>
      <c r="H1272" s="34" t="inlineStr">
        <is>
          <t>APPROVED</t>
        </is>
      </c>
      <c r="I1272" s="34" t="inlineStr">
        <is>
          <t>New</t>
        </is>
      </c>
      <c r="J1272" s="34" t="inlineStr">
        <is>
          <t>Source assignment -- not individually reviewed</t>
        </is>
      </c>
      <c r="K1272" s="39" t="inlineStr"/>
      <c r="L1272" s="14" t="inlineStr"/>
      <c r="M1272" s="14" t="inlineStr"/>
      <c r="N1272" s="92" t="inlineStr">
        <is>
          <t>10 EVIDENCE &amp; DECISIONS</t>
        </is>
      </c>
    </row>
    <row r="1273" ht="34" customHeight="1">
      <c r="A1273" s="34" t="inlineStr">
        <is>
          <t>Contractor Programme</t>
        </is>
      </c>
      <c r="B1273" s="34" t="inlineStr">
        <is>
          <t>SCH-05-180</t>
        </is>
      </c>
      <c r="C1273" s="34" t="inlineStr">
        <is>
          <t>Mainline east: mainline dynamic test - release</t>
        </is>
      </c>
      <c r="D1273" s="34" t="inlineStr">
        <is>
          <t>WBS Code = 1.5.2</t>
        </is>
      </c>
      <c r="E1273" s="34" t="inlineStr">
        <is>
          <t>R900-v1</t>
        </is>
      </c>
      <c r="F1273" s="34" t="inlineStr">
        <is>
          <t>1.5.2 Testing and Commissioning - Dynamic Testing</t>
        </is>
      </c>
      <c r="G1273" s="34" t="inlineStr">
        <is>
          <t>ONE_TO_ONE</t>
        </is>
      </c>
      <c r="H1273" s="34" t="inlineStr">
        <is>
          <t>APPROVED</t>
        </is>
      </c>
      <c r="I1273" s="34" t="inlineStr">
        <is>
          <t>New</t>
        </is>
      </c>
      <c r="J1273" s="34" t="inlineStr">
        <is>
          <t>Source assignment -- not individually reviewed</t>
        </is>
      </c>
      <c r="K1273" s="39" t="inlineStr"/>
      <c r="L1273" s="14" t="inlineStr"/>
      <c r="M1273" s="14" t="inlineStr"/>
      <c r="N1273" s="92" t="inlineStr">
        <is>
          <t>10 EVIDENCE &amp; DECISIONS</t>
        </is>
      </c>
    </row>
    <row r="1274" ht="34" customHeight="1">
      <c r="A1274" s="34" t="inlineStr">
        <is>
          <t>Commercial Package Register</t>
        </is>
      </c>
      <c r="B1274" s="34" t="inlineStr">
        <is>
          <t>PKG-051</t>
        </is>
      </c>
      <c r="C1274" s="34" t="inlineStr">
        <is>
          <t>Program Controls</t>
        </is>
      </c>
      <c r="D1274" s="34" t="inlineStr">
        <is>
          <t>Package Code = PK-601; WBS Code = 1.6</t>
        </is>
      </c>
      <c r="E1274" s="34" t="inlineStr">
        <is>
          <t>R1613-v1</t>
        </is>
      </c>
      <c r="F1274" s="34" t="inlineStr">
        <is>
          <t>1.6 Program Management</t>
        </is>
      </c>
      <c r="G1274" s="34" t="inlineStr">
        <is>
          <t>ONE_TO_ONE</t>
        </is>
      </c>
      <c r="H1274" s="34" t="inlineStr">
        <is>
          <t>APPROVED</t>
        </is>
      </c>
      <c r="I1274" s="34" t="inlineStr">
        <is>
          <t>New</t>
        </is>
      </c>
      <c r="J1274" s="34" t="inlineStr">
        <is>
          <t>Source assignment -- not individually reviewed</t>
        </is>
      </c>
      <c r="K1274" s="39" t="inlineStr"/>
      <c r="L1274" s="14" t="inlineStr"/>
      <c r="M1274" s="14" t="inlineStr"/>
      <c r="N1274" s="92" t="inlineStr">
        <is>
          <t>10 EVIDENCE &amp; DECISIONS</t>
        </is>
      </c>
    </row>
    <row r="1275" ht="34" customHeight="1">
      <c r="A1275" s="34" t="inlineStr">
        <is>
          <t>Commercial Package Register</t>
        </is>
      </c>
      <c r="B1275" s="34" t="inlineStr">
        <is>
          <t>PKG-052</t>
        </is>
      </c>
      <c r="C1275" s="34" t="inlineStr">
        <is>
          <t>Commercial Advisory</t>
        </is>
      </c>
      <c r="D1275" s="34" t="inlineStr">
        <is>
          <t>Package Code = PK-602; WBS Code = 1.6</t>
        </is>
      </c>
      <c r="E1275" s="34" t="inlineStr">
        <is>
          <t>R1614-v1</t>
        </is>
      </c>
      <c r="F1275" s="34" t="inlineStr">
        <is>
          <t>1.6 Program Management</t>
        </is>
      </c>
      <c r="G1275" s="34" t="inlineStr">
        <is>
          <t>ONE_TO_ONE</t>
        </is>
      </c>
      <c r="H1275" s="34" t="inlineStr">
        <is>
          <t>APPROVED</t>
        </is>
      </c>
      <c r="I1275" s="34" t="inlineStr">
        <is>
          <t>New</t>
        </is>
      </c>
      <c r="J1275" s="34" t="inlineStr">
        <is>
          <t>Source assignment -- not individually reviewed</t>
        </is>
      </c>
      <c r="K1275" s="39" t="inlineStr"/>
      <c r="L1275" s="14" t="inlineStr"/>
      <c r="M1275" s="14" t="inlineStr"/>
      <c r="N1275" s="92" t="inlineStr">
        <is>
          <t>10 EVIDENCE &amp; DECISIONS</t>
        </is>
      </c>
    </row>
    <row r="1276" ht="34" customHeight="1">
      <c r="A1276" s="34" t="inlineStr">
        <is>
          <t>Commercial Package Register</t>
        </is>
      </c>
      <c r="B1276" s="34" t="inlineStr">
        <is>
          <t>PKG-053</t>
        </is>
      </c>
      <c r="C1276" s="34" t="inlineStr">
        <is>
          <t>Permitting Support</t>
        </is>
      </c>
      <c r="D1276" s="34" t="inlineStr">
        <is>
          <t>Package Code = PK-603; WBS Code = 1.6</t>
        </is>
      </c>
      <c r="E1276" s="34" t="inlineStr">
        <is>
          <t>R1615-v1</t>
        </is>
      </c>
      <c r="F1276" s="34" t="inlineStr">
        <is>
          <t>1.6 Program Management</t>
        </is>
      </c>
      <c r="G1276" s="34" t="inlineStr">
        <is>
          <t>ONE_TO_ONE</t>
        </is>
      </c>
      <c r="H1276" s="34" t="inlineStr">
        <is>
          <t>APPROVED</t>
        </is>
      </c>
      <c r="I1276" s="34" t="inlineStr">
        <is>
          <t>New</t>
        </is>
      </c>
      <c r="J1276" s="34" t="inlineStr">
        <is>
          <t>Source assignment -- not individually reviewed</t>
        </is>
      </c>
      <c r="K1276" s="39" t="inlineStr"/>
      <c r="L1276" s="14" t="inlineStr"/>
      <c r="M1276" s="14" t="inlineStr"/>
      <c r="N1276" s="92" t="inlineStr">
        <is>
          <t>10 EVIDENCE &amp; DECISIONS</t>
        </is>
      </c>
    </row>
    <row r="1277" ht="34" customHeight="1">
      <c r="A1277" s="34" t="inlineStr">
        <is>
          <t>Commercial Package Register</t>
        </is>
      </c>
      <c r="B1277" s="34" t="inlineStr">
        <is>
          <t>PKG-054</t>
        </is>
      </c>
      <c r="C1277" s="34" t="inlineStr">
        <is>
          <t>Delivery Integration</t>
        </is>
      </c>
      <c r="D1277" s="34" t="inlineStr">
        <is>
          <t>Package Code = PK-604; WBS Code = 1.6</t>
        </is>
      </c>
      <c r="E1277" s="34" t="inlineStr">
        <is>
          <t>R1616-v1</t>
        </is>
      </c>
      <c r="F1277" s="34" t="inlineStr">
        <is>
          <t>1.6 Program Management</t>
        </is>
      </c>
      <c r="G1277" s="34" t="inlineStr">
        <is>
          <t>ONE_TO_ONE</t>
        </is>
      </c>
      <c r="H1277" s="34" t="inlineStr">
        <is>
          <t>APPROVED</t>
        </is>
      </c>
      <c r="I1277" s="34" t="inlineStr">
        <is>
          <t>New</t>
        </is>
      </c>
      <c r="J1277" s="34" t="inlineStr">
        <is>
          <t>Source assignment -- not individually reviewed</t>
        </is>
      </c>
      <c r="K1277" s="39" t="inlineStr"/>
      <c r="L1277" s="14" t="inlineStr"/>
      <c r="M1277" s="14" t="inlineStr"/>
      <c r="N1277" s="92" t="inlineStr">
        <is>
          <t>10 EVIDENCE &amp; DECISIONS</t>
        </is>
      </c>
    </row>
    <row r="1278" ht="34" customHeight="1">
      <c r="A1278" s="34" t="inlineStr">
        <is>
          <t>Commercial Package Register</t>
        </is>
      </c>
      <c r="B1278" s="34" t="inlineStr">
        <is>
          <t>PKG-055</t>
        </is>
      </c>
      <c r="C1278" s="34" t="inlineStr">
        <is>
          <t>Program Controls - Lot 2</t>
        </is>
      </c>
      <c r="D1278" s="34" t="inlineStr">
        <is>
          <t>Package Code = PK-605; WBS Code = 1.6</t>
        </is>
      </c>
      <c r="E1278" s="34" t="inlineStr">
        <is>
          <t>R1617-v1</t>
        </is>
      </c>
      <c r="F1278" s="34" t="inlineStr">
        <is>
          <t>1.6 Program Management</t>
        </is>
      </c>
      <c r="G1278" s="34" t="inlineStr">
        <is>
          <t>ONE_TO_ONE</t>
        </is>
      </c>
      <c r="H1278" s="34" t="inlineStr">
        <is>
          <t>APPROVED</t>
        </is>
      </c>
      <c r="I1278" s="34" t="inlineStr">
        <is>
          <t>New</t>
        </is>
      </c>
      <c r="J1278" s="34" t="inlineStr">
        <is>
          <t>Source assignment -- not individually reviewed</t>
        </is>
      </c>
      <c r="K1278" s="39" t="inlineStr"/>
      <c r="L1278" s="14" t="inlineStr"/>
      <c r="M1278" s="14" t="inlineStr"/>
      <c r="N1278" s="92" t="inlineStr">
        <is>
          <t>10 EVIDENCE &amp; DECISIONS</t>
        </is>
      </c>
    </row>
    <row r="1279" ht="34" customHeight="1">
      <c r="A1279" s="34" t="inlineStr">
        <is>
          <t>Commercial Package Register</t>
        </is>
      </c>
      <c r="B1279" s="34" t="inlineStr">
        <is>
          <t>PKG-056</t>
        </is>
      </c>
      <c r="C1279" s="34" t="inlineStr">
        <is>
          <t>Commercial Advisory - Lot 2</t>
        </is>
      </c>
      <c r="D1279" s="34" t="inlineStr">
        <is>
          <t>Package Code = PK-606; WBS Code = 1.6</t>
        </is>
      </c>
      <c r="E1279" s="34" t="inlineStr">
        <is>
          <t>R1618-v1</t>
        </is>
      </c>
      <c r="F1279" s="34" t="inlineStr">
        <is>
          <t>1.6 Program Management</t>
        </is>
      </c>
      <c r="G1279" s="34" t="inlineStr">
        <is>
          <t>ONE_TO_ONE</t>
        </is>
      </c>
      <c r="H1279" s="34" t="inlineStr">
        <is>
          <t>APPROVED</t>
        </is>
      </c>
      <c r="I1279" s="34" t="inlineStr">
        <is>
          <t>New</t>
        </is>
      </c>
      <c r="J1279" s="34" t="inlineStr">
        <is>
          <t>Source assignment -- not individually reviewed</t>
        </is>
      </c>
      <c r="K1279" s="39" t="inlineStr"/>
      <c r="L1279" s="14" t="inlineStr"/>
      <c r="M1279" s="14" t="inlineStr"/>
      <c r="N1279" s="92" t="inlineStr">
        <is>
          <t>10 EVIDENCE &amp; DECISIONS</t>
        </is>
      </c>
    </row>
    <row r="1280" ht="34" customHeight="1">
      <c r="A1280" s="34" t="inlineStr">
        <is>
          <t>Commercial Package Register</t>
        </is>
      </c>
      <c r="B1280" s="34" t="inlineStr">
        <is>
          <t>PKG-057</t>
        </is>
      </c>
      <c r="C1280" s="34" t="inlineStr">
        <is>
          <t>Permitting Support - Lot 2</t>
        </is>
      </c>
      <c r="D1280" s="34" t="inlineStr">
        <is>
          <t>Package Code = PK-607; WBS Code = 1.6</t>
        </is>
      </c>
      <c r="E1280" s="34" t="inlineStr">
        <is>
          <t>R1619-v1</t>
        </is>
      </c>
      <c r="F1280" s="34" t="inlineStr">
        <is>
          <t>1.6 Program Management</t>
        </is>
      </c>
      <c r="G1280" s="34" t="inlineStr">
        <is>
          <t>ONE_TO_ONE</t>
        </is>
      </c>
      <c r="H1280" s="34" t="inlineStr">
        <is>
          <t>APPROVED</t>
        </is>
      </c>
      <c r="I1280" s="34" t="inlineStr">
        <is>
          <t>New</t>
        </is>
      </c>
      <c r="J1280" s="34" t="inlineStr">
        <is>
          <t>Source assignment -- not individually reviewed</t>
        </is>
      </c>
      <c r="K1280" s="39" t="inlineStr"/>
      <c r="L1280" s="14" t="inlineStr"/>
      <c r="M1280" s="14" t="inlineStr"/>
      <c r="N1280" s="92" t="inlineStr">
        <is>
          <t>10 EVIDENCE &amp; DECISIONS</t>
        </is>
      </c>
    </row>
    <row r="1281" ht="34" customHeight="1">
      <c r="A1281" s="34" t="inlineStr">
        <is>
          <t>Commercial Package Register</t>
        </is>
      </c>
      <c r="B1281" s="34" t="inlineStr">
        <is>
          <t>PKG-058</t>
        </is>
      </c>
      <c r="C1281" s="34" t="inlineStr">
        <is>
          <t>Delivery Integration - Lot 2</t>
        </is>
      </c>
      <c r="D1281" s="34" t="inlineStr">
        <is>
          <t>Package Code = PK-608; WBS Code = 1.6</t>
        </is>
      </c>
      <c r="E1281" s="34" t="inlineStr">
        <is>
          <t>R1620-v1</t>
        </is>
      </c>
      <c r="F1281" s="34" t="inlineStr">
        <is>
          <t>1.6 Program Management</t>
        </is>
      </c>
      <c r="G1281" s="34" t="inlineStr">
        <is>
          <t>ONE_TO_ONE</t>
        </is>
      </c>
      <c r="H1281" s="34" t="inlineStr">
        <is>
          <t>APPROVED</t>
        </is>
      </c>
      <c r="I1281" s="34" t="inlineStr">
        <is>
          <t>New</t>
        </is>
      </c>
      <c r="J1281" s="34" t="inlineStr">
        <is>
          <t>Source assignment -- not individually reviewed</t>
        </is>
      </c>
      <c r="K1281" s="39" t="inlineStr"/>
      <c r="L1281" s="14" t="inlineStr"/>
      <c r="M1281" s="14" t="inlineStr"/>
      <c r="N1281" s="92" t="inlineStr">
        <is>
          <t>10 EVIDENCE &amp; DECISIONS</t>
        </is>
      </c>
    </row>
    <row r="1282" ht="34" customHeight="1">
      <c r="A1282" s="34" t="inlineStr">
        <is>
          <t>Commercial Package Register</t>
        </is>
      </c>
      <c r="B1282" s="34" t="inlineStr">
        <is>
          <t>PKG-059</t>
        </is>
      </c>
      <c r="C1282" s="34" t="inlineStr">
        <is>
          <t>Program Controls - Lot 3</t>
        </is>
      </c>
      <c r="D1282" s="34" t="inlineStr">
        <is>
          <t>Package Code = PK-609; WBS Code = 1.6</t>
        </is>
      </c>
      <c r="E1282" s="34" t="inlineStr">
        <is>
          <t>R1621-v1</t>
        </is>
      </c>
      <c r="F1282" s="34" t="inlineStr">
        <is>
          <t>1.6 Program Management</t>
        </is>
      </c>
      <c r="G1282" s="34" t="inlineStr">
        <is>
          <t>ONE_TO_ONE</t>
        </is>
      </c>
      <c r="H1282" s="34" t="inlineStr">
        <is>
          <t>APPROVED</t>
        </is>
      </c>
      <c r="I1282" s="34" t="inlineStr">
        <is>
          <t>New</t>
        </is>
      </c>
      <c r="J1282" s="34" t="inlineStr">
        <is>
          <t>Source assignment -- not individually reviewed</t>
        </is>
      </c>
      <c r="K1282" s="39" t="inlineStr"/>
      <c r="L1282" s="14" t="inlineStr"/>
      <c r="M1282" s="14" t="inlineStr"/>
      <c r="N1282" s="92" t="inlineStr">
        <is>
          <t>10 EVIDENCE &amp; DECISIONS</t>
        </is>
      </c>
    </row>
    <row r="1283" ht="34" customHeight="1">
      <c r="A1283" s="34" t="inlineStr">
        <is>
          <t>Commercial Package Register</t>
        </is>
      </c>
      <c r="B1283" s="34" t="inlineStr">
        <is>
          <t>PKG-060</t>
        </is>
      </c>
      <c r="C1283" s="34" t="inlineStr">
        <is>
          <t>Commercial Advisory - Lot 3</t>
        </is>
      </c>
      <c r="D1283" s="34" t="inlineStr">
        <is>
          <t>Package Code = PK-610; WBS Code = 1.6</t>
        </is>
      </c>
      <c r="E1283" s="34" t="inlineStr">
        <is>
          <t>R1622-v1</t>
        </is>
      </c>
      <c r="F1283" s="34" t="inlineStr">
        <is>
          <t>1.6 Program Management</t>
        </is>
      </c>
      <c r="G1283" s="34" t="inlineStr">
        <is>
          <t>ONE_TO_ONE</t>
        </is>
      </c>
      <c r="H1283" s="34" t="inlineStr">
        <is>
          <t>APPROVED</t>
        </is>
      </c>
      <c r="I1283" s="34" t="inlineStr">
        <is>
          <t>New</t>
        </is>
      </c>
      <c r="J1283" s="34" t="inlineStr">
        <is>
          <t>Source assignment -- not individually reviewed</t>
        </is>
      </c>
      <c r="K1283" s="39" t="inlineStr"/>
      <c r="L1283" s="14" t="inlineStr"/>
      <c r="M1283" s="14" t="inlineStr"/>
      <c r="N1283" s="92" t="inlineStr">
        <is>
          <t>10 EVIDENCE &amp; DECISIONS</t>
        </is>
      </c>
    </row>
    <row r="1284" ht="34" customHeight="1">
      <c r="A1284" s="34" t="inlineStr">
        <is>
          <t>Cost &amp; Forecast Control Accounts</t>
        </is>
      </c>
      <c r="B1284" s="34" t="inlineStr">
        <is>
          <t>CST-06-001</t>
        </is>
      </c>
      <c r="C1284" s="34" t="inlineStr">
        <is>
          <t>Program Management - design integration - professional services</t>
        </is>
      </c>
      <c r="D1284" s="34" t="inlineStr">
        <is>
          <t>Cost Account = CA-6001; WBS Code = 1.6.1</t>
        </is>
      </c>
      <c r="E1284" s="34" t="inlineStr">
        <is>
          <t>R1483-v1</t>
        </is>
      </c>
      <c r="F1284" s="34" t="inlineStr">
        <is>
          <t>1.6.1 Program Management - Program Controls</t>
        </is>
      </c>
      <c r="G1284" s="34" t="inlineStr">
        <is>
          <t>ONE_TO_ONE</t>
        </is>
      </c>
      <c r="H1284" s="34" t="inlineStr">
        <is>
          <t>APPROVED</t>
        </is>
      </c>
      <c r="I1284" s="34" t="inlineStr">
        <is>
          <t>New</t>
        </is>
      </c>
      <c r="J1284" s="34" t="inlineStr">
        <is>
          <t>Source assignment -- not individually reviewed</t>
        </is>
      </c>
      <c r="K1284" s="39" t="inlineStr"/>
      <c r="L1284" s="14" t="inlineStr"/>
      <c r="M1284" s="14" t="inlineStr"/>
      <c r="N1284" s="92" t="inlineStr">
        <is>
          <t>10 EVIDENCE &amp; DECISIONS</t>
        </is>
      </c>
    </row>
    <row r="1285" ht="34" customHeight="1">
      <c r="A1285" s="34" t="inlineStr">
        <is>
          <t>Cost &amp; Forecast Control Accounts</t>
        </is>
      </c>
      <c r="B1285" s="34" t="inlineStr">
        <is>
          <t>CST-06-003</t>
        </is>
      </c>
      <c r="C1285" s="34" t="inlineStr">
        <is>
          <t>Program Management - program controls - closeout</t>
        </is>
      </c>
      <c r="D1285" s="34" t="inlineStr">
        <is>
          <t>Cost Account = CA-6003; WBS Code = 1.6.1</t>
        </is>
      </c>
      <c r="E1285" s="34" t="inlineStr">
        <is>
          <t>R1485-v1</t>
        </is>
      </c>
      <c r="F1285" s="34" t="inlineStr">
        <is>
          <t>1.6.1 Program Management - Program Controls</t>
        </is>
      </c>
      <c r="G1285" s="34" t="inlineStr">
        <is>
          <t>ONE_TO_ONE</t>
        </is>
      </c>
      <c r="H1285" s="34" t="inlineStr">
        <is>
          <t>APPROVED</t>
        </is>
      </c>
      <c r="I1285" s="34" t="inlineStr">
        <is>
          <t>New</t>
        </is>
      </c>
      <c r="J1285" s="34" t="inlineStr">
        <is>
          <t>Source assignment -- not individually reviewed</t>
        </is>
      </c>
      <c r="K1285" s="39" t="inlineStr"/>
      <c r="L1285" s="14" t="inlineStr"/>
      <c r="M1285" s="14" t="inlineStr"/>
      <c r="N1285" s="92" t="inlineStr">
        <is>
          <t>10 EVIDENCE &amp; DECISIONS</t>
        </is>
      </c>
    </row>
    <row r="1286" ht="34" customHeight="1">
      <c r="A1286" s="34" t="inlineStr">
        <is>
          <t>Cost &amp; Forecast Control Accounts</t>
        </is>
      </c>
      <c r="B1286" s="34" t="inlineStr">
        <is>
          <t>CST-06-005</t>
        </is>
      </c>
      <c r="C1286" s="34" t="inlineStr">
        <is>
          <t>Program Management - stakeholder services - supply and install</t>
        </is>
      </c>
      <c r="D1286" s="34" t="inlineStr">
        <is>
          <t>Cost Account = CA-6005; WBS Code = 1.6.1</t>
        </is>
      </c>
      <c r="E1286" s="34" t="inlineStr">
        <is>
          <t>R1487-v1</t>
        </is>
      </c>
      <c r="F1286" s="34" t="inlineStr">
        <is>
          <t>1.6.1 Program Management - Program Controls</t>
        </is>
      </c>
      <c r="G1286" s="34" t="inlineStr">
        <is>
          <t>ONE_TO_ONE</t>
        </is>
      </c>
      <c r="H1286" s="34" t="inlineStr">
        <is>
          <t>APPROVED</t>
        </is>
      </c>
      <c r="I1286" s="34" t="inlineStr">
        <is>
          <t>New</t>
        </is>
      </c>
      <c r="J1286" s="34" t="inlineStr">
        <is>
          <t>Source assignment -- not individually reviewed</t>
        </is>
      </c>
      <c r="K1286" s="39" t="inlineStr"/>
      <c r="L1286" s="14" t="inlineStr"/>
      <c r="M1286" s="14" t="inlineStr"/>
      <c r="N1286" s="92" t="inlineStr">
        <is>
          <t>10 EVIDENCE &amp; DECISIONS</t>
        </is>
      </c>
    </row>
    <row r="1287" ht="34" customHeight="1">
      <c r="A1287" s="34" t="inlineStr">
        <is>
          <t>Cost &amp; Forecast Control Accounts</t>
        </is>
      </c>
      <c r="B1287" s="34" t="inlineStr">
        <is>
          <t>CST-06-007</t>
        </is>
      </c>
      <c r="C1287" s="34" t="inlineStr">
        <is>
          <t>Program Management - design integration - allowance</t>
        </is>
      </c>
      <c r="D1287" s="34" t="inlineStr">
        <is>
          <t>Cost Account = CA-6007; WBS Code = 1.6.1</t>
        </is>
      </c>
      <c r="E1287" s="34" t="inlineStr">
        <is>
          <t>R1489-v1</t>
        </is>
      </c>
      <c r="F1287" s="34" t="inlineStr">
        <is>
          <t>1.6.1 Program Management - Program Controls</t>
        </is>
      </c>
      <c r="G1287" s="34" t="inlineStr">
        <is>
          <t>ONE_TO_ONE</t>
        </is>
      </c>
      <c r="H1287" s="34" t="inlineStr">
        <is>
          <t>APPROVED</t>
        </is>
      </c>
      <c r="I1287" s="34" t="inlineStr">
        <is>
          <t>New</t>
        </is>
      </c>
      <c r="J1287" s="34" t="inlineStr">
        <is>
          <t>Source assignment -- not individually reviewed</t>
        </is>
      </c>
      <c r="K1287" s="39" t="inlineStr"/>
      <c r="L1287" s="14" t="inlineStr"/>
      <c r="M1287" s="14" t="inlineStr"/>
      <c r="N1287" s="92" t="inlineStr">
        <is>
          <t>10 EVIDENCE &amp; DECISIONS</t>
        </is>
      </c>
    </row>
    <row r="1288" ht="34" customHeight="1">
      <c r="A1288" s="34" t="inlineStr">
        <is>
          <t>Cost &amp; Forecast Control Accounts</t>
        </is>
      </c>
      <c r="B1288" s="34" t="inlineStr">
        <is>
          <t>CST-06-009</t>
        </is>
      </c>
      <c r="C1288" s="34" t="inlineStr">
        <is>
          <t>Program Management - program controls - field package</t>
        </is>
      </c>
      <c r="D1288" s="34" t="inlineStr">
        <is>
          <t>Cost Account = CA-6009; WBS Code = 1.6.1</t>
        </is>
      </c>
      <c r="E1288" s="34" t="inlineStr">
        <is>
          <t>R1491-v1</t>
        </is>
      </c>
      <c r="F1288" s="34" t="inlineStr">
        <is>
          <t>1.6.1 Program Management - Program Controls</t>
        </is>
      </c>
      <c r="G1288" s="34" t="inlineStr">
        <is>
          <t>ONE_TO_ONE</t>
        </is>
      </c>
      <c r="H1288" s="34" t="inlineStr">
        <is>
          <t>APPROVED</t>
        </is>
      </c>
      <c r="I1288" s="34" t="inlineStr">
        <is>
          <t>New</t>
        </is>
      </c>
      <c r="J1288" s="34" t="inlineStr">
        <is>
          <t>Source assignment -- not individually reviewed</t>
        </is>
      </c>
      <c r="K1288" s="39" t="inlineStr"/>
      <c r="L1288" s="14" t="inlineStr"/>
      <c r="M1288" s="14" t="inlineStr"/>
      <c r="N1288" s="92" t="inlineStr">
        <is>
          <t>10 EVIDENCE &amp; DECISIONS</t>
        </is>
      </c>
    </row>
    <row r="1289" ht="34" customHeight="1">
      <c r="A1289" s="34" t="inlineStr">
        <is>
          <t>Cost &amp; Forecast Control Accounts</t>
        </is>
      </c>
      <c r="B1289" s="34" t="inlineStr">
        <is>
          <t>CST-06-011</t>
        </is>
      </c>
      <c r="C1289" s="34" t="inlineStr">
        <is>
          <t>Program Management - stakeholder services - professional services</t>
        </is>
      </c>
      <c r="D1289" s="34" t="inlineStr">
        <is>
          <t>Cost Account = CA-6011; WBS Code = 1.6.1</t>
        </is>
      </c>
      <c r="E1289" s="34" t="inlineStr">
        <is>
          <t>R1493-v1</t>
        </is>
      </c>
      <c r="F1289" s="34" t="inlineStr">
        <is>
          <t>1.6.1 Program Management - Program Controls</t>
        </is>
      </c>
      <c r="G1289" s="34" t="inlineStr">
        <is>
          <t>ONE_TO_ONE</t>
        </is>
      </c>
      <c r="H1289" s="34" t="inlineStr">
        <is>
          <t>APPROVED</t>
        </is>
      </c>
      <c r="I1289" s="34" t="inlineStr">
        <is>
          <t>New</t>
        </is>
      </c>
      <c r="J1289" s="34" t="inlineStr">
        <is>
          <t>Source assignment -- not individually reviewed</t>
        </is>
      </c>
      <c r="K1289" s="39" t="inlineStr"/>
      <c r="L1289" s="14" t="inlineStr"/>
      <c r="M1289" s="14" t="inlineStr"/>
      <c r="N1289" s="92" t="inlineStr">
        <is>
          <t>10 EVIDENCE &amp; DECISIONS</t>
        </is>
      </c>
    </row>
    <row r="1290" ht="34" customHeight="1">
      <c r="A1290" s="34" t="inlineStr">
        <is>
          <t>Cost &amp; Forecast Control Accounts</t>
        </is>
      </c>
      <c r="B1290" s="34" t="inlineStr">
        <is>
          <t>CST-06-013</t>
        </is>
      </c>
      <c r="C1290" s="34" t="inlineStr">
        <is>
          <t>Program Management - design integration - closeout</t>
        </is>
      </c>
      <c r="D1290" s="34" t="inlineStr">
        <is>
          <t>Cost Account = CA-6013; WBS Code = 1.6.1</t>
        </is>
      </c>
      <c r="E1290" s="34" t="inlineStr">
        <is>
          <t>R1495-v1</t>
        </is>
      </c>
      <c r="F1290" s="34" t="inlineStr">
        <is>
          <t>1.6.1 Program Management - Program Controls</t>
        </is>
      </c>
      <c r="G1290" s="34" t="inlineStr">
        <is>
          <t>ONE_TO_ONE</t>
        </is>
      </c>
      <c r="H1290" s="34" t="inlineStr">
        <is>
          <t>APPROVED</t>
        </is>
      </c>
      <c r="I1290" s="34" t="inlineStr">
        <is>
          <t>New</t>
        </is>
      </c>
      <c r="J1290" s="34" t="inlineStr">
        <is>
          <t>Source assignment -- not individually reviewed</t>
        </is>
      </c>
      <c r="K1290" s="39" t="inlineStr"/>
      <c r="L1290" s="14" t="inlineStr"/>
      <c r="M1290" s="14" t="inlineStr"/>
      <c r="N1290" s="92" t="inlineStr">
        <is>
          <t>10 EVIDENCE &amp; DECISIONS</t>
        </is>
      </c>
    </row>
    <row r="1291" ht="34" customHeight="1">
      <c r="A1291" s="34" t="inlineStr">
        <is>
          <t>Cost &amp; Forecast Control Accounts</t>
        </is>
      </c>
      <c r="B1291" s="34" t="inlineStr">
        <is>
          <t>CST-06-015</t>
        </is>
      </c>
      <c r="C1291" s="34" t="inlineStr">
        <is>
          <t>Program Management - program controls - supply and install</t>
        </is>
      </c>
      <c r="D1291" s="34" t="inlineStr">
        <is>
          <t>Cost Account = CA-6015; WBS Code = 1.6.1</t>
        </is>
      </c>
      <c r="E1291" s="34" t="inlineStr">
        <is>
          <t>R1497-v1</t>
        </is>
      </c>
      <c r="F1291" s="34" t="inlineStr">
        <is>
          <t>1.6.1 Program Management - Program Controls</t>
        </is>
      </c>
      <c r="G1291" s="34" t="inlineStr">
        <is>
          <t>ONE_TO_ONE</t>
        </is>
      </c>
      <c r="H1291" s="34" t="inlineStr">
        <is>
          <t>APPROVED</t>
        </is>
      </c>
      <c r="I1291" s="34" t="inlineStr">
        <is>
          <t>New</t>
        </is>
      </c>
      <c r="J1291" s="34" t="inlineStr">
        <is>
          <t>Source assignment -- not individually reviewed</t>
        </is>
      </c>
      <c r="K1291" s="39" t="inlineStr"/>
      <c r="L1291" s="14" t="inlineStr"/>
      <c r="M1291" s="14" t="inlineStr"/>
      <c r="N1291" s="92" t="inlineStr">
        <is>
          <t>10 EVIDENCE &amp; DECISIONS</t>
        </is>
      </c>
    </row>
    <row r="1292" ht="34" customHeight="1">
      <c r="A1292" s="34" t="inlineStr">
        <is>
          <t>Cost &amp; Forecast Control Accounts</t>
        </is>
      </c>
      <c r="B1292" s="34" t="inlineStr">
        <is>
          <t>CST-06-017</t>
        </is>
      </c>
      <c r="C1292" s="34" t="inlineStr">
        <is>
          <t>Program Management - stakeholder services - allowance</t>
        </is>
      </c>
      <c r="D1292" s="34" t="inlineStr">
        <is>
          <t>Cost Account = CA-6017; WBS Code = 1.6.1</t>
        </is>
      </c>
      <c r="E1292" s="34" t="inlineStr">
        <is>
          <t>R1499-v1</t>
        </is>
      </c>
      <c r="F1292" s="34" t="inlineStr">
        <is>
          <t>1.6.1 Program Management - Program Controls</t>
        </is>
      </c>
      <c r="G1292" s="34" t="inlineStr">
        <is>
          <t>ONE_TO_ONE</t>
        </is>
      </c>
      <c r="H1292" s="34" t="inlineStr">
        <is>
          <t>APPROVED</t>
        </is>
      </c>
      <c r="I1292" s="34" t="inlineStr">
        <is>
          <t>New</t>
        </is>
      </c>
      <c r="J1292" s="34" t="inlineStr">
        <is>
          <t>Source assignment -- not individually reviewed</t>
        </is>
      </c>
      <c r="K1292" s="39" t="inlineStr"/>
      <c r="L1292" s="14" t="inlineStr"/>
      <c r="M1292" s="14" t="inlineStr"/>
      <c r="N1292" s="92" t="inlineStr">
        <is>
          <t>10 EVIDENCE &amp; DECISIONS</t>
        </is>
      </c>
    </row>
    <row r="1293" ht="34" customHeight="1">
      <c r="A1293" s="34" t="inlineStr">
        <is>
          <t>Cost &amp; Forecast Control Accounts</t>
        </is>
      </c>
      <c r="B1293" s="34" t="inlineStr">
        <is>
          <t>CST-06-019</t>
        </is>
      </c>
      <c r="C1293" s="34" t="inlineStr">
        <is>
          <t>Program Management - design integration - field package</t>
        </is>
      </c>
      <c r="D1293" s="34" t="inlineStr">
        <is>
          <t>Cost Account = CA-6019; WBS Code = 1.6.1</t>
        </is>
      </c>
      <c r="E1293" s="34" t="inlineStr">
        <is>
          <t>R1501-v1</t>
        </is>
      </c>
      <c r="F1293" s="34" t="inlineStr">
        <is>
          <t>1.6.1 Program Management - Program Controls</t>
        </is>
      </c>
      <c r="G1293" s="34" t="inlineStr">
        <is>
          <t>ONE_TO_ONE</t>
        </is>
      </c>
      <c r="H1293" s="34" t="inlineStr">
        <is>
          <t>APPROVED</t>
        </is>
      </c>
      <c r="I1293" s="34" t="inlineStr">
        <is>
          <t>New</t>
        </is>
      </c>
      <c r="J1293" s="34" t="inlineStr">
        <is>
          <t>Source assignment -- not individually reviewed</t>
        </is>
      </c>
      <c r="K1293" s="39" t="inlineStr"/>
      <c r="L1293" s="14" t="inlineStr"/>
      <c r="M1293" s="14" t="inlineStr"/>
      <c r="N1293" s="92" t="inlineStr">
        <is>
          <t>10 EVIDENCE &amp; DECISIONS</t>
        </is>
      </c>
    </row>
    <row r="1294" ht="34" customHeight="1">
      <c r="A1294" s="34" t="inlineStr">
        <is>
          <t>Cost &amp; Forecast Control Accounts</t>
        </is>
      </c>
      <c r="B1294" s="34" t="inlineStr">
        <is>
          <t>CST-06-021</t>
        </is>
      </c>
      <c r="C1294" s="34" t="inlineStr">
        <is>
          <t>Program Management - program controls - professional services</t>
        </is>
      </c>
      <c r="D1294" s="34" t="inlineStr">
        <is>
          <t>Cost Account = CA-6021; WBS Code = 1.6.1</t>
        </is>
      </c>
      <c r="E1294" s="34" t="inlineStr">
        <is>
          <t>R1503-v1</t>
        </is>
      </c>
      <c r="F1294" s="34" t="inlineStr">
        <is>
          <t>1.6.1 Program Management - Program Controls</t>
        </is>
      </c>
      <c r="G1294" s="34" t="inlineStr">
        <is>
          <t>ONE_TO_ONE</t>
        </is>
      </c>
      <c r="H1294" s="34" t="inlineStr">
        <is>
          <t>APPROVED</t>
        </is>
      </c>
      <c r="I1294" s="34" t="inlineStr">
        <is>
          <t>New</t>
        </is>
      </c>
      <c r="J1294" s="34" t="inlineStr">
        <is>
          <t>Source assignment -- not individually reviewed</t>
        </is>
      </c>
      <c r="K1294" s="39" t="inlineStr"/>
      <c r="L1294" s="14" t="inlineStr"/>
      <c r="M1294" s="14" t="inlineStr"/>
      <c r="N1294" s="92" t="inlineStr">
        <is>
          <t>10 EVIDENCE &amp; DECISIONS</t>
        </is>
      </c>
    </row>
    <row r="1295" ht="34" customHeight="1">
      <c r="A1295" s="34" t="inlineStr">
        <is>
          <t>Cost &amp; Forecast Control Accounts</t>
        </is>
      </c>
      <c r="B1295" s="34" t="inlineStr">
        <is>
          <t>CST-06-023</t>
        </is>
      </c>
      <c r="C1295" s="34" t="inlineStr">
        <is>
          <t>Program Management - stakeholder services - closeout</t>
        </is>
      </c>
      <c r="D1295" s="34" t="inlineStr">
        <is>
          <t>Cost Account = CA-6023; WBS Code = 1.6.1</t>
        </is>
      </c>
      <c r="E1295" s="34" t="inlineStr">
        <is>
          <t>R1505-v1</t>
        </is>
      </c>
      <c r="F1295" s="34" t="inlineStr">
        <is>
          <t>1.6.1 Program Management - Program Controls</t>
        </is>
      </c>
      <c r="G1295" s="34" t="inlineStr">
        <is>
          <t>ONE_TO_ONE</t>
        </is>
      </c>
      <c r="H1295" s="34" t="inlineStr">
        <is>
          <t>APPROVED</t>
        </is>
      </c>
      <c r="I1295" s="34" t="inlineStr">
        <is>
          <t>New</t>
        </is>
      </c>
      <c r="J1295" s="34" t="inlineStr">
        <is>
          <t>Source assignment -- not individually reviewed</t>
        </is>
      </c>
      <c r="K1295" s="39" t="inlineStr"/>
      <c r="L1295" s="14" t="inlineStr"/>
      <c r="M1295" s="14" t="inlineStr"/>
      <c r="N1295" s="92" t="inlineStr">
        <is>
          <t>10 EVIDENCE &amp; DECISIONS</t>
        </is>
      </c>
    </row>
    <row r="1296" ht="34" customHeight="1">
      <c r="A1296" s="34" t="inlineStr">
        <is>
          <t>Cost &amp; Forecast Control Accounts</t>
        </is>
      </c>
      <c r="B1296" s="34" t="inlineStr">
        <is>
          <t>CST-06-025</t>
        </is>
      </c>
      <c r="C1296" s="34" t="inlineStr">
        <is>
          <t>Program Management - design integration - supply and install</t>
        </is>
      </c>
      <c r="D1296" s="34" t="inlineStr">
        <is>
          <t>Cost Account = CA-6025; WBS Code = 1.6.1</t>
        </is>
      </c>
      <c r="E1296" s="34" t="inlineStr">
        <is>
          <t>R1507-v1</t>
        </is>
      </c>
      <c r="F1296" s="34" t="inlineStr">
        <is>
          <t>1.6.1 Program Management - Program Controls</t>
        </is>
      </c>
      <c r="G1296" s="34" t="inlineStr">
        <is>
          <t>ONE_TO_ONE</t>
        </is>
      </c>
      <c r="H1296" s="34" t="inlineStr">
        <is>
          <t>APPROVED</t>
        </is>
      </c>
      <c r="I1296" s="34" t="inlineStr">
        <is>
          <t>New</t>
        </is>
      </c>
      <c r="J1296" s="34" t="inlineStr">
        <is>
          <t>Source assignment -- not individually reviewed</t>
        </is>
      </c>
      <c r="K1296" s="39" t="inlineStr"/>
      <c r="L1296" s="14" t="inlineStr"/>
      <c r="M1296" s="14" t="inlineStr"/>
      <c r="N1296" s="92" t="inlineStr">
        <is>
          <t>10 EVIDENCE &amp; DECISIONS</t>
        </is>
      </c>
    </row>
    <row r="1297" ht="34" customHeight="1">
      <c r="A1297" s="34" t="inlineStr">
        <is>
          <t>Cost &amp; Forecast Control Accounts</t>
        </is>
      </c>
      <c r="B1297" s="34" t="inlineStr">
        <is>
          <t>CST-06-027</t>
        </is>
      </c>
      <c r="C1297" s="34" t="inlineStr">
        <is>
          <t>Program Management - program controls - allowance</t>
        </is>
      </c>
      <c r="D1297" s="34" t="inlineStr">
        <is>
          <t>Cost Account = CA-6027; WBS Code = 1.6.1</t>
        </is>
      </c>
      <c r="E1297" s="34" t="inlineStr">
        <is>
          <t>R1509-v1</t>
        </is>
      </c>
      <c r="F1297" s="34" t="inlineStr">
        <is>
          <t>1.6.1 Program Management - Program Controls</t>
        </is>
      </c>
      <c r="G1297" s="34" t="inlineStr">
        <is>
          <t>ONE_TO_ONE</t>
        </is>
      </c>
      <c r="H1297" s="34" t="inlineStr">
        <is>
          <t>APPROVED</t>
        </is>
      </c>
      <c r="I1297" s="34" t="inlineStr">
        <is>
          <t>New</t>
        </is>
      </c>
      <c r="J1297" s="34" t="inlineStr">
        <is>
          <t>Source assignment -- not individually reviewed</t>
        </is>
      </c>
      <c r="K1297" s="39" t="inlineStr"/>
      <c r="L1297" s="14" t="inlineStr"/>
      <c r="M1297" s="14" t="inlineStr"/>
      <c r="N1297" s="92" t="inlineStr">
        <is>
          <t>10 EVIDENCE &amp; DECISIONS</t>
        </is>
      </c>
    </row>
    <row r="1298" ht="34" customHeight="1">
      <c r="A1298" s="34" t="inlineStr">
        <is>
          <t>Cost &amp; Forecast Control Accounts</t>
        </is>
      </c>
      <c r="B1298" s="34" t="inlineStr">
        <is>
          <t>CST-06-029</t>
        </is>
      </c>
      <c r="C1298" s="34" t="inlineStr">
        <is>
          <t>Program Management - stakeholder services - field package</t>
        </is>
      </c>
      <c r="D1298" s="34" t="inlineStr">
        <is>
          <t>Cost Account = CA-6029; WBS Code = 1.6.1</t>
        </is>
      </c>
      <c r="E1298" s="34" t="inlineStr">
        <is>
          <t>R1511-v1</t>
        </is>
      </c>
      <c r="F1298" s="34" t="inlineStr">
        <is>
          <t>1.6.1 Program Management - Program Controls</t>
        </is>
      </c>
      <c r="G1298" s="34" t="inlineStr">
        <is>
          <t>ONE_TO_ONE</t>
        </is>
      </c>
      <c r="H1298" s="34" t="inlineStr">
        <is>
          <t>APPROVED</t>
        </is>
      </c>
      <c r="I1298" s="34" t="inlineStr">
        <is>
          <t>New</t>
        </is>
      </c>
      <c r="J1298" s="34" t="inlineStr">
        <is>
          <t>Source assignment -- not individually reviewed</t>
        </is>
      </c>
      <c r="K1298" s="39" t="inlineStr"/>
      <c r="L1298" s="14" t="inlineStr"/>
      <c r="M1298" s="14" t="inlineStr"/>
      <c r="N1298" s="92" t="inlineStr">
        <is>
          <t>10 EVIDENCE &amp; DECISIONS</t>
        </is>
      </c>
    </row>
    <row r="1299" ht="34" customHeight="1">
      <c r="A1299" s="34" t="inlineStr">
        <is>
          <t>Cost &amp; Forecast Control Accounts</t>
        </is>
      </c>
      <c r="B1299" s="34" t="inlineStr">
        <is>
          <t>CST-06-031</t>
        </is>
      </c>
      <c r="C1299" s="34" t="inlineStr">
        <is>
          <t>Program Management - design integration - professional services</t>
        </is>
      </c>
      <c r="D1299" s="34" t="inlineStr">
        <is>
          <t>Cost Account = CA-6031; WBS Code = 1.6.1</t>
        </is>
      </c>
      <c r="E1299" s="34" t="inlineStr">
        <is>
          <t>R1513-v1</t>
        </is>
      </c>
      <c r="F1299" s="34" t="inlineStr">
        <is>
          <t>1.6.1 Program Management - Program Controls</t>
        </is>
      </c>
      <c r="G1299" s="34" t="inlineStr">
        <is>
          <t>ONE_TO_ONE</t>
        </is>
      </c>
      <c r="H1299" s="34" t="inlineStr">
        <is>
          <t>APPROVED</t>
        </is>
      </c>
      <c r="I1299" s="34" t="inlineStr">
        <is>
          <t>New</t>
        </is>
      </c>
      <c r="J1299" s="34" t="inlineStr">
        <is>
          <t>Source assignment -- not individually reviewed</t>
        </is>
      </c>
      <c r="K1299" s="39" t="inlineStr"/>
      <c r="L1299" s="14" t="inlineStr"/>
      <c r="M1299" s="14" t="inlineStr"/>
      <c r="N1299" s="92" t="inlineStr">
        <is>
          <t>10 EVIDENCE &amp; DECISIONS</t>
        </is>
      </c>
    </row>
    <row r="1300" ht="34" customHeight="1">
      <c r="A1300" s="34" t="inlineStr">
        <is>
          <t>Cost &amp; Forecast Control Accounts</t>
        </is>
      </c>
      <c r="B1300" s="34" t="inlineStr">
        <is>
          <t>CST-06-033</t>
        </is>
      </c>
      <c r="C1300" s="34" t="inlineStr">
        <is>
          <t>Program Management - program controls - closeout</t>
        </is>
      </c>
      <c r="D1300" s="34" t="inlineStr">
        <is>
          <t>Cost Account = CA-6033; WBS Code = 1.6.1</t>
        </is>
      </c>
      <c r="E1300" s="34" t="inlineStr">
        <is>
          <t>R1515-v1</t>
        </is>
      </c>
      <c r="F1300" s="34" t="inlineStr">
        <is>
          <t>1.6.1 Program Management - Program Controls</t>
        </is>
      </c>
      <c r="G1300" s="34" t="inlineStr">
        <is>
          <t>ONE_TO_ONE</t>
        </is>
      </c>
      <c r="H1300" s="34" t="inlineStr">
        <is>
          <t>APPROVED</t>
        </is>
      </c>
      <c r="I1300" s="34" t="inlineStr">
        <is>
          <t>New</t>
        </is>
      </c>
      <c r="J1300" s="34" t="inlineStr">
        <is>
          <t>Source assignment -- not individually reviewed</t>
        </is>
      </c>
      <c r="K1300" s="39" t="inlineStr"/>
      <c r="L1300" s="14" t="inlineStr"/>
      <c r="M1300" s="14" t="inlineStr"/>
      <c r="N1300" s="92" t="inlineStr">
        <is>
          <t>10 EVIDENCE &amp; DECISIONS</t>
        </is>
      </c>
    </row>
    <row r="1301" ht="34" customHeight="1">
      <c r="A1301" s="34" t="inlineStr">
        <is>
          <t>Cost &amp; Forecast Control Accounts</t>
        </is>
      </c>
      <c r="B1301" s="34" t="inlineStr">
        <is>
          <t>CST-06-035</t>
        </is>
      </c>
      <c r="C1301" s="34" t="inlineStr">
        <is>
          <t>Program Management - stakeholder services - supply and install</t>
        </is>
      </c>
      <c r="D1301" s="34" t="inlineStr">
        <is>
          <t>Cost Account = CA-6035; WBS Code = 1.6.1</t>
        </is>
      </c>
      <c r="E1301" s="34" t="inlineStr">
        <is>
          <t>R1517-v1</t>
        </is>
      </c>
      <c r="F1301" s="34" t="inlineStr">
        <is>
          <t>1.6.1 Program Management - Program Controls</t>
        </is>
      </c>
      <c r="G1301" s="34" t="inlineStr">
        <is>
          <t>ONE_TO_ONE</t>
        </is>
      </c>
      <c r="H1301" s="34" t="inlineStr">
        <is>
          <t>APPROVED</t>
        </is>
      </c>
      <c r="I1301" s="34" t="inlineStr">
        <is>
          <t>New</t>
        </is>
      </c>
      <c r="J1301" s="34" t="inlineStr">
        <is>
          <t>Source assignment -- not individually reviewed</t>
        </is>
      </c>
      <c r="K1301" s="39" t="inlineStr"/>
      <c r="L1301" s="14" t="inlineStr"/>
      <c r="M1301" s="14" t="inlineStr"/>
      <c r="N1301" s="92" t="inlineStr">
        <is>
          <t>10 EVIDENCE &amp; DECISIONS</t>
        </is>
      </c>
    </row>
    <row r="1302" ht="34" customHeight="1">
      <c r="A1302" s="34" t="inlineStr">
        <is>
          <t>Cost &amp; Forecast Control Accounts</t>
        </is>
      </c>
      <c r="B1302" s="34" t="inlineStr">
        <is>
          <t>CST-06-037</t>
        </is>
      </c>
      <c r="C1302" s="34" t="inlineStr">
        <is>
          <t>Program Management - design integration - allowance</t>
        </is>
      </c>
      <c r="D1302" s="34" t="inlineStr">
        <is>
          <t>Cost Account = CA-6037; WBS Code = 1.6.1</t>
        </is>
      </c>
      <c r="E1302" s="34" t="inlineStr">
        <is>
          <t>R1519-v1</t>
        </is>
      </c>
      <c r="F1302" s="34" t="inlineStr">
        <is>
          <t>1.6.1 Program Management - Program Controls</t>
        </is>
      </c>
      <c r="G1302" s="34" t="inlineStr">
        <is>
          <t>ONE_TO_ONE</t>
        </is>
      </c>
      <c r="H1302" s="34" t="inlineStr">
        <is>
          <t>APPROVED</t>
        </is>
      </c>
      <c r="I1302" s="34" t="inlineStr">
        <is>
          <t>New</t>
        </is>
      </c>
      <c r="J1302" s="34" t="inlineStr">
        <is>
          <t>Source assignment -- not individually reviewed</t>
        </is>
      </c>
      <c r="K1302" s="39" t="inlineStr"/>
      <c r="L1302" s="14" t="inlineStr"/>
      <c r="M1302" s="14" t="inlineStr"/>
      <c r="N1302" s="92" t="inlineStr">
        <is>
          <t>10 EVIDENCE &amp; DECISIONS</t>
        </is>
      </c>
    </row>
    <row r="1303" ht="34" customHeight="1">
      <c r="A1303" s="34" t="inlineStr">
        <is>
          <t>Cost &amp; Forecast Control Accounts</t>
        </is>
      </c>
      <c r="B1303" s="34" t="inlineStr">
        <is>
          <t>CST-06-039</t>
        </is>
      </c>
      <c r="C1303" s="34" t="inlineStr">
        <is>
          <t>Program Management - program controls - field package</t>
        </is>
      </c>
      <c r="D1303" s="34" t="inlineStr">
        <is>
          <t>Cost Account = CA-6039; WBS Code = 1.6.1</t>
        </is>
      </c>
      <c r="E1303" s="34" t="inlineStr">
        <is>
          <t>R1521-v1</t>
        </is>
      </c>
      <c r="F1303" s="34" t="inlineStr">
        <is>
          <t>1.6.1 Program Management - Program Controls</t>
        </is>
      </c>
      <c r="G1303" s="34" t="inlineStr">
        <is>
          <t>ONE_TO_ONE</t>
        </is>
      </c>
      <c r="H1303" s="34" t="inlineStr">
        <is>
          <t>APPROVED</t>
        </is>
      </c>
      <c r="I1303" s="34" t="inlineStr">
        <is>
          <t>New</t>
        </is>
      </c>
      <c r="J1303" s="34" t="inlineStr">
        <is>
          <t>Source assignment -- not individually reviewed</t>
        </is>
      </c>
      <c r="K1303" s="39" t="inlineStr"/>
      <c r="L1303" s="14" t="inlineStr"/>
      <c r="M1303" s="14" t="inlineStr"/>
      <c r="N1303" s="92" t="inlineStr">
        <is>
          <t>10 EVIDENCE &amp; DECISIONS</t>
        </is>
      </c>
    </row>
    <row r="1304" ht="34" customHeight="1">
      <c r="A1304" s="34" t="inlineStr">
        <is>
          <t>Cost &amp; Forecast Control Accounts</t>
        </is>
      </c>
      <c r="B1304" s="34" t="inlineStr">
        <is>
          <t>CST-06-041</t>
        </is>
      </c>
      <c r="C1304" s="34" t="inlineStr">
        <is>
          <t>Program Management - stakeholder services - professional services</t>
        </is>
      </c>
      <c r="D1304" s="34" t="inlineStr">
        <is>
          <t>Cost Account = CA-6041; WBS Code = 1.6.1</t>
        </is>
      </c>
      <c r="E1304" s="34" t="inlineStr">
        <is>
          <t>R1523-v1</t>
        </is>
      </c>
      <c r="F1304" s="34" t="inlineStr">
        <is>
          <t>1.6.1 Program Management - Program Controls</t>
        </is>
      </c>
      <c r="G1304" s="34" t="inlineStr">
        <is>
          <t>ONE_TO_ONE</t>
        </is>
      </c>
      <c r="H1304" s="34" t="inlineStr">
        <is>
          <t>APPROVED</t>
        </is>
      </c>
      <c r="I1304" s="34" t="inlineStr">
        <is>
          <t>New</t>
        </is>
      </c>
      <c r="J1304" s="34" t="inlineStr">
        <is>
          <t>Source assignment -- not individually reviewed</t>
        </is>
      </c>
      <c r="K1304" s="39" t="inlineStr"/>
      <c r="L1304" s="14" t="inlineStr"/>
      <c r="M1304" s="14" t="inlineStr"/>
      <c r="N1304" s="92" t="inlineStr">
        <is>
          <t>10 EVIDENCE &amp; DECISIONS</t>
        </is>
      </c>
    </row>
    <row r="1305" ht="34" customHeight="1">
      <c r="A1305" s="34" t="inlineStr">
        <is>
          <t>Cost &amp; Forecast Control Accounts</t>
        </is>
      </c>
      <c r="B1305" s="34" t="inlineStr">
        <is>
          <t>CST-06-043</t>
        </is>
      </c>
      <c r="C1305" s="34" t="inlineStr">
        <is>
          <t>Program Management - design integration - closeout</t>
        </is>
      </c>
      <c r="D1305" s="34" t="inlineStr">
        <is>
          <t>Cost Account = CA-6043; WBS Code = 1.6.1</t>
        </is>
      </c>
      <c r="E1305" s="34" t="inlineStr">
        <is>
          <t>R1525-v1</t>
        </is>
      </c>
      <c r="F1305" s="34" t="inlineStr">
        <is>
          <t>1.6.1 Program Management - Program Controls</t>
        </is>
      </c>
      <c r="G1305" s="34" t="inlineStr">
        <is>
          <t>ONE_TO_ONE</t>
        </is>
      </c>
      <c r="H1305" s="34" t="inlineStr">
        <is>
          <t>APPROVED</t>
        </is>
      </c>
      <c r="I1305" s="34" t="inlineStr">
        <is>
          <t>New</t>
        </is>
      </c>
      <c r="J1305" s="34" t="inlineStr">
        <is>
          <t>Source assignment -- not individually reviewed</t>
        </is>
      </c>
      <c r="K1305" s="39" t="inlineStr"/>
      <c r="L1305" s="14" t="inlineStr"/>
      <c r="M1305" s="14" t="inlineStr"/>
      <c r="N1305" s="92" t="inlineStr">
        <is>
          <t>10 EVIDENCE &amp; DECISIONS</t>
        </is>
      </c>
    </row>
    <row r="1306" ht="34" customHeight="1">
      <c r="A1306" s="34" t="inlineStr">
        <is>
          <t>Cost &amp; Forecast Control Accounts</t>
        </is>
      </c>
      <c r="B1306" s="34" t="inlineStr">
        <is>
          <t>CST-06-045</t>
        </is>
      </c>
      <c r="C1306" s="34" t="inlineStr">
        <is>
          <t>Program Management - program controls - supply and install</t>
        </is>
      </c>
      <c r="D1306" s="34" t="inlineStr">
        <is>
          <t>Cost Account = CA-6045; WBS Code = 1.6.1</t>
        </is>
      </c>
      <c r="E1306" s="34" t="inlineStr">
        <is>
          <t>R1527-v1</t>
        </is>
      </c>
      <c r="F1306" s="34" t="inlineStr">
        <is>
          <t>1.6.1 Program Management - Program Controls</t>
        </is>
      </c>
      <c r="G1306" s="34" t="inlineStr">
        <is>
          <t>ONE_TO_ONE</t>
        </is>
      </c>
      <c r="H1306" s="34" t="inlineStr">
        <is>
          <t>APPROVED</t>
        </is>
      </c>
      <c r="I1306" s="34" t="inlineStr">
        <is>
          <t>New</t>
        </is>
      </c>
      <c r="J1306" s="34" t="inlineStr">
        <is>
          <t>Source assignment -- not individually reviewed</t>
        </is>
      </c>
      <c r="K1306" s="39" t="inlineStr"/>
      <c r="L1306" s="14" t="inlineStr"/>
      <c r="M1306" s="14" t="inlineStr"/>
      <c r="N1306" s="92" t="inlineStr">
        <is>
          <t>10 EVIDENCE &amp; DECISIONS</t>
        </is>
      </c>
    </row>
    <row r="1307" ht="34" customHeight="1">
      <c r="A1307" s="34" t="inlineStr">
        <is>
          <t>Cost &amp; Forecast Control Accounts</t>
        </is>
      </c>
      <c r="B1307" s="34" t="inlineStr">
        <is>
          <t>CST-06-047</t>
        </is>
      </c>
      <c r="C1307" s="34" t="inlineStr">
        <is>
          <t>Program Management - stakeholder services - allowance</t>
        </is>
      </c>
      <c r="D1307" s="34" t="inlineStr">
        <is>
          <t>Cost Account = CA-6047; WBS Code = 1.6.1</t>
        </is>
      </c>
      <c r="E1307" s="34" t="inlineStr">
        <is>
          <t>R1529-v1</t>
        </is>
      </c>
      <c r="F1307" s="34" t="inlineStr">
        <is>
          <t>1.6.1 Program Management - Program Controls</t>
        </is>
      </c>
      <c r="G1307" s="34" t="inlineStr">
        <is>
          <t>ONE_TO_ONE</t>
        </is>
      </c>
      <c r="H1307" s="34" t="inlineStr">
        <is>
          <t>APPROVED</t>
        </is>
      </c>
      <c r="I1307" s="34" t="inlineStr">
        <is>
          <t>New</t>
        </is>
      </c>
      <c r="J1307" s="34" t="inlineStr">
        <is>
          <t>Source assignment -- not individually reviewed</t>
        </is>
      </c>
      <c r="K1307" s="39" t="inlineStr"/>
      <c r="L1307" s="14" t="inlineStr"/>
      <c r="M1307" s="14" t="inlineStr"/>
      <c r="N1307" s="92" t="inlineStr">
        <is>
          <t>10 EVIDENCE &amp; DECISIONS</t>
        </is>
      </c>
    </row>
    <row r="1308" ht="34" customHeight="1">
      <c r="A1308" s="34" t="inlineStr">
        <is>
          <t>Cost &amp; Forecast Control Accounts</t>
        </is>
      </c>
      <c r="B1308" s="34" t="inlineStr">
        <is>
          <t>CST-06-049</t>
        </is>
      </c>
      <c r="C1308" s="34" t="inlineStr">
        <is>
          <t>Program Management - design integration - field package</t>
        </is>
      </c>
      <c r="D1308" s="34" t="inlineStr">
        <is>
          <t>Cost Account = CA-6049; WBS Code = 1.6.1</t>
        </is>
      </c>
      <c r="E1308" s="34" t="inlineStr">
        <is>
          <t>R1531-v1</t>
        </is>
      </c>
      <c r="F1308" s="34" t="inlineStr">
        <is>
          <t>1.6.1 Program Management - Program Controls</t>
        </is>
      </c>
      <c r="G1308" s="34" t="inlineStr">
        <is>
          <t>ONE_TO_ONE</t>
        </is>
      </c>
      <c r="H1308" s="34" t="inlineStr">
        <is>
          <t>APPROVED</t>
        </is>
      </c>
      <c r="I1308" s="34" t="inlineStr">
        <is>
          <t>New</t>
        </is>
      </c>
      <c r="J1308" s="34" t="inlineStr">
        <is>
          <t>Source assignment -- not individually reviewed</t>
        </is>
      </c>
      <c r="K1308" s="39" t="inlineStr"/>
      <c r="L1308" s="14" t="inlineStr"/>
      <c r="M1308" s="14" t="inlineStr"/>
      <c r="N1308" s="92" t="inlineStr">
        <is>
          <t>10 EVIDENCE &amp; DECISIONS</t>
        </is>
      </c>
    </row>
    <row r="1309" ht="34" customHeight="1">
      <c r="A1309" s="34" t="inlineStr">
        <is>
          <t>Cost &amp; Forecast Control Accounts</t>
        </is>
      </c>
      <c r="B1309" s="34" t="inlineStr">
        <is>
          <t>CST-06-051</t>
        </is>
      </c>
      <c r="C1309" s="34" t="inlineStr">
        <is>
          <t>Program Management - program controls - professional services</t>
        </is>
      </c>
      <c r="D1309" s="34" t="inlineStr">
        <is>
          <t>Cost Account = CA-6051; WBS Code = 1.6.1</t>
        </is>
      </c>
      <c r="E1309" s="34" t="inlineStr">
        <is>
          <t>R1533-v1</t>
        </is>
      </c>
      <c r="F1309" s="34" t="inlineStr">
        <is>
          <t>1.6.1 Program Management - Program Controls</t>
        </is>
      </c>
      <c r="G1309" s="34" t="inlineStr">
        <is>
          <t>ONE_TO_ONE</t>
        </is>
      </c>
      <c r="H1309" s="34" t="inlineStr">
        <is>
          <t>APPROVED</t>
        </is>
      </c>
      <c r="I1309" s="34" t="inlineStr">
        <is>
          <t>New</t>
        </is>
      </c>
      <c r="J1309" s="34" t="inlineStr">
        <is>
          <t>Source assignment -- not individually reviewed</t>
        </is>
      </c>
      <c r="K1309" s="39" t="inlineStr"/>
      <c r="L1309" s="14" t="inlineStr"/>
      <c r="M1309" s="14" t="inlineStr"/>
      <c r="N1309" s="92" t="inlineStr">
        <is>
          <t>10 EVIDENCE &amp; DECISIONS</t>
        </is>
      </c>
    </row>
    <row r="1310" ht="34" customHeight="1">
      <c r="A1310" s="34" t="inlineStr">
        <is>
          <t>Cost &amp; Forecast Control Accounts</t>
        </is>
      </c>
      <c r="B1310" s="34" t="inlineStr">
        <is>
          <t>CST-06-053</t>
        </is>
      </c>
      <c r="C1310" s="34" t="inlineStr">
        <is>
          <t>Program Management - stakeholder services - closeout</t>
        </is>
      </c>
      <c r="D1310" s="34" t="inlineStr">
        <is>
          <t>Cost Account = CA-6053; WBS Code = 1.6.1</t>
        </is>
      </c>
      <c r="E1310" s="34" t="inlineStr">
        <is>
          <t>R1535-v1</t>
        </is>
      </c>
      <c r="F1310" s="34" t="inlineStr">
        <is>
          <t>1.6.1 Program Management - Program Controls</t>
        </is>
      </c>
      <c r="G1310" s="34" t="inlineStr">
        <is>
          <t>ONE_TO_ONE</t>
        </is>
      </c>
      <c r="H1310" s="34" t="inlineStr">
        <is>
          <t>APPROVED</t>
        </is>
      </c>
      <c r="I1310" s="34" t="inlineStr">
        <is>
          <t>New</t>
        </is>
      </c>
      <c r="J1310" s="34" t="inlineStr">
        <is>
          <t>Source assignment -- not individually reviewed</t>
        </is>
      </c>
      <c r="K1310" s="39" t="inlineStr"/>
      <c r="L1310" s="14" t="inlineStr"/>
      <c r="M1310" s="14" t="inlineStr"/>
      <c r="N1310" s="92" t="inlineStr">
        <is>
          <t>10 EVIDENCE &amp; DECISIONS</t>
        </is>
      </c>
    </row>
    <row r="1311" ht="34" customHeight="1">
      <c r="A1311" s="34" t="inlineStr">
        <is>
          <t>Cost &amp; Forecast Control Accounts</t>
        </is>
      </c>
      <c r="B1311" s="34" t="inlineStr">
        <is>
          <t>CST-06-055</t>
        </is>
      </c>
      <c r="C1311" s="34" t="inlineStr">
        <is>
          <t>Program Management - design integration - supply and install</t>
        </is>
      </c>
      <c r="D1311" s="34" t="inlineStr">
        <is>
          <t>Cost Account = CA-6055; WBS Code = 1.6.1</t>
        </is>
      </c>
      <c r="E1311" s="34" t="inlineStr">
        <is>
          <t>R1537-v1</t>
        </is>
      </c>
      <c r="F1311" s="34" t="inlineStr">
        <is>
          <t>1.6.1 Program Management - Program Controls</t>
        </is>
      </c>
      <c r="G1311" s="34" t="inlineStr">
        <is>
          <t>ONE_TO_ONE</t>
        </is>
      </c>
      <c r="H1311" s="34" t="inlineStr">
        <is>
          <t>APPROVED</t>
        </is>
      </c>
      <c r="I1311" s="34" t="inlineStr">
        <is>
          <t>New</t>
        </is>
      </c>
      <c r="J1311" s="34" t="inlineStr">
        <is>
          <t>Source assignment -- not individually reviewed</t>
        </is>
      </c>
      <c r="K1311" s="39" t="inlineStr"/>
      <c r="L1311" s="14" t="inlineStr"/>
      <c r="M1311" s="14" t="inlineStr"/>
      <c r="N1311" s="92" t="inlineStr">
        <is>
          <t>10 EVIDENCE &amp; DECISIONS</t>
        </is>
      </c>
    </row>
    <row r="1312" ht="34" customHeight="1">
      <c r="A1312" s="34" t="inlineStr">
        <is>
          <t>Cost &amp; Forecast Control Accounts</t>
        </is>
      </c>
      <c r="B1312" s="34" t="inlineStr">
        <is>
          <t>CST-06-057</t>
        </is>
      </c>
      <c r="C1312" s="34" t="inlineStr">
        <is>
          <t>Program Management - program controls - allowance</t>
        </is>
      </c>
      <c r="D1312" s="34" t="inlineStr">
        <is>
          <t>Cost Account = CA-6057; WBS Code = 1.6.1</t>
        </is>
      </c>
      <c r="E1312" s="34" t="inlineStr">
        <is>
          <t>R1539-v1</t>
        </is>
      </c>
      <c r="F1312" s="34" t="inlineStr">
        <is>
          <t>1.6.1 Program Management - Program Controls</t>
        </is>
      </c>
      <c r="G1312" s="34" t="inlineStr">
        <is>
          <t>ONE_TO_ONE</t>
        </is>
      </c>
      <c r="H1312" s="34" t="inlineStr">
        <is>
          <t>APPROVED</t>
        </is>
      </c>
      <c r="I1312" s="34" t="inlineStr">
        <is>
          <t>New</t>
        </is>
      </c>
      <c r="J1312" s="34" t="inlineStr">
        <is>
          <t>Source assignment -- not individually reviewed</t>
        </is>
      </c>
      <c r="K1312" s="39" t="inlineStr"/>
      <c r="L1312" s="14" t="inlineStr"/>
      <c r="M1312" s="14" t="inlineStr"/>
      <c r="N1312" s="92" t="inlineStr">
        <is>
          <t>10 EVIDENCE &amp; DECISIONS</t>
        </is>
      </c>
    </row>
    <row r="1313" ht="34" customHeight="1">
      <c r="A1313" s="34" t="inlineStr">
        <is>
          <t>Cost &amp; Forecast Control Accounts</t>
        </is>
      </c>
      <c r="B1313" s="34" t="inlineStr">
        <is>
          <t>CST-06-059</t>
        </is>
      </c>
      <c r="C1313" s="34" t="inlineStr">
        <is>
          <t>Program Management - stakeholder services - field package</t>
        </is>
      </c>
      <c r="D1313" s="34" t="inlineStr">
        <is>
          <t>Cost Account = CA-6059; WBS Code = 1.6.1</t>
        </is>
      </c>
      <c r="E1313" s="34" t="inlineStr">
        <is>
          <t>R1541-v1</t>
        </is>
      </c>
      <c r="F1313" s="34" t="inlineStr">
        <is>
          <t>1.6.1 Program Management - Program Controls</t>
        </is>
      </c>
      <c r="G1313" s="34" t="inlineStr">
        <is>
          <t>ONE_TO_ONE</t>
        </is>
      </c>
      <c r="H1313" s="34" t="inlineStr">
        <is>
          <t>APPROVED</t>
        </is>
      </c>
      <c r="I1313" s="34" t="inlineStr">
        <is>
          <t>New</t>
        </is>
      </c>
      <c r="J1313" s="34" t="inlineStr">
        <is>
          <t>Source assignment -- not individually reviewed</t>
        </is>
      </c>
      <c r="K1313" s="39" t="inlineStr"/>
      <c r="L1313" s="14" t="inlineStr"/>
      <c r="M1313" s="14" t="inlineStr"/>
      <c r="N1313" s="92" t="inlineStr">
        <is>
          <t>10 EVIDENCE &amp; DECISIONS</t>
        </is>
      </c>
    </row>
    <row r="1314" ht="34" customHeight="1">
      <c r="A1314" s="34" t="inlineStr">
        <is>
          <t>Cost &amp; Forecast Control Accounts</t>
        </is>
      </c>
      <c r="B1314" s="34" t="inlineStr">
        <is>
          <t>CST-06-061</t>
        </is>
      </c>
      <c r="C1314" s="34" t="inlineStr">
        <is>
          <t>Program Management - design integration - professional services</t>
        </is>
      </c>
      <c r="D1314" s="34" t="inlineStr">
        <is>
          <t>Cost Account = CA-6061; WBS Code = 1.6.1</t>
        </is>
      </c>
      <c r="E1314" s="34" t="inlineStr">
        <is>
          <t>R1543-v1</t>
        </is>
      </c>
      <c r="F1314" s="34" t="inlineStr">
        <is>
          <t>1.6.1 Program Management - Program Controls</t>
        </is>
      </c>
      <c r="G1314" s="34" t="inlineStr">
        <is>
          <t>ONE_TO_ONE</t>
        </is>
      </c>
      <c r="H1314" s="34" t="inlineStr">
        <is>
          <t>APPROVED</t>
        </is>
      </c>
      <c r="I1314" s="34" t="inlineStr">
        <is>
          <t>New</t>
        </is>
      </c>
      <c r="J1314" s="34" t="inlineStr">
        <is>
          <t>Source assignment -- not individually reviewed</t>
        </is>
      </c>
      <c r="K1314" s="39" t="inlineStr"/>
      <c r="L1314" s="14" t="inlineStr"/>
      <c r="M1314" s="14" t="inlineStr"/>
      <c r="N1314" s="92" t="inlineStr">
        <is>
          <t>10 EVIDENCE &amp; DECISIONS</t>
        </is>
      </c>
    </row>
    <row r="1315" ht="34" customHeight="1">
      <c r="A1315" s="34" t="inlineStr">
        <is>
          <t>Cost &amp; Forecast Control Accounts</t>
        </is>
      </c>
      <c r="B1315" s="34" t="inlineStr">
        <is>
          <t>CST-06-063</t>
        </is>
      </c>
      <c r="C1315" s="34" t="inlineStr">
        <is>
          <t>Program Management - program controls - closeout</t>
        </is>
      </c>
      <c r="D1315" s="34" t="inlineStr">
        <is>
          <t>Cost Account = CA-6063; WBS Code = 1.6.1</t>
        </is>
      </c>
      <c r="E1315" s="34" t="inlineStr">
        <is>
          <t>R1545-v1</t>
        </is>
      </c>
      <c r="F1315" s="34" t="inlineStr">
        <is>
          <t>1.6.1 Program Management - Program Controls</t>
        </is>
      </c>
      <c r="G1315" s="34" t="inlineStr">
        <is>
          <t>ONE_TO_ONE</t>
        </is>
      </c>
      <c r="H1315" s="34" t="inlineStr">
        <is>
          <t>APPROVED</t>
        </is>
      </c>
      <c r="I1315" s="34" t="inlineStr">
        <is>
          <t>New</t>
        </is>
      </c>
      <c r="J1315" s="34" t="inlineStr">
        <is>
          <t>Source assignment -- not individually reviewed</t>
        </is>
      </c>
      <c r="K1315" s="39" t="inlineStr"/>
      <c r="L1315" s="14" t="inlineStr"/>
      <c r="M1315" s="14" t="inlineStr"/>
      <c r="N1315" s="92" t="inlineStr">
        <is>
          <t>10 EVIDENCE &amp; DECISIONS</t>
        </is>
      </c>
    </row>
    <row r="1316" ht="34" customHeight="1">
      <c r="A1316" s="34" t="inlineStr">
        <is>
          <t>Cost &amp; Forecast Control Accounts</t>
        </is>
      </c>
      <c r="B1316" s="34" t="inlineStr">
        <is>
          <t>CST-06-065</t>
        </is>
      </c>
      <c r="C1316" s="34" t="inlineStr">
        <is>
          <t>Program Management - stakeholder services - supply and install</t>
        </is>
      </c>
      <c r="D1316" s="34" t="inlineStr">
        <is>
          <t>Cost Account = CA-6065; WBS Code = 1.6.1</t>
        </is>
      </c>
      <c r="E1316" s="34" t="inlineStr">
        <is>
          <t>R1547-v1</t>
        </is>
      </c>
      <c r="F1316" s="34" t="inlineStr">
        <is>
          <t>1.6.1 Program Management - Program Controls</t>
        </is>
      </c>
      <c r="G1316" s="34" t="inlineStr">
        <is>
          <t>ONE_TO_ONE</t>
        </is>
      </c>
      <c r="H1316" s="34" t="inlineStr">
        <is>
          <t>APPROVED</t>
        </is>
      </c>
      <c r="I1316" s="34" t="inlineStr">
        <is>
          <t>New</t>
        </is>
      </c>
      <c r="J1316" s="34" t="inlineStr">
        <is>
          <t>Source assignment -- not individually reviewed</t>
        </is>
      </c>
      <c r="K1316" s="39" t="inlineStr"/>
      <c r="L1316" s="14" t="inlineStr"/>
      <c r="M1316" s="14" t="inlineStr"/>
      <c r="N1316" s="92" t="inlineStr">
        <is>
          <t>10 EVIDENCE &amp; DECISIONS</t>
        </is>
      </c>
    </row>
    <row r="1317" ht="34" customHeight="1">
      <c r="A1317" s="34" t="inlineStr">
        <is>
          <t>Cost &amp; Forecast Control Accounts</t>
        </is>
      </c>
      <c r="B1317" s="34" t="inlineStr">
        <is>
          <t>CST-06-067</t>
        </is>
      </c>
      <c r="C1317" s="34" t="inlineStr">
        <is>
          <t>Program Management - design integration - allowance</t>
        </is>
      </c>
      <c r="D1317" s="34" t="inlineStr">
        <is>
          <t>Cost Account = CA-6067; WBS Code = 1.6.1</t>
        </is>
      </c>
      <c r="E1317" s="34" t="inlineStr">
        <is>
          <t>R1549-v1</t>
        </is>
      </c>
      <c r="F1317" s="34" t="inlineStr">
        <is>
          <t>1.6.1 Program Management - Program Controls</t>
        </is>
      </c>
      <c r="G1317" s="34" t="inlineStr">
        <is>
          <t>ONE_TO_ONE</t>
        </is>
      </c>
      <c r="H1317" s="34" t="inlineStr">
        <is>
          <t>APPROVED</t>
        </is>
      </c>
      <c r="I1317" s="34" t="inlineStr">
        <is>
          <t>New</t>
        </is>
      </c>
      <c r="J1317" s="34" t="inlineStr">
        <is>
          <t>Source assignment -- not individually reviewed</t>
        </is>
      </c>
      <c r="K1317" s="39" t="inlineStr"/>
      <c r="L1317" s="14" t="inlineStr"/>
      <c r="M1317" s="14" t="inlineStr"/>
      <c r="N1317" s="92" t="inlineStr">
        <is>
          <t>10 EVIDENCE &amp; DECISIONS</t>
        </is>
      </c>
    </row>
    <row r="1318" ht="34" customHeight="1">
      <c r="A1318" s="34" t="inlineStr">
        <is>
          <t>Cost &amp; Forecast Control Accounts</t>
        </is>
      </c>
      <c r="B1318" s="34" t="inlineStr">
        <is>
          <t>CST-06-069</t>
        </is>
      </c>
      <c r="C1318" s="34" t="inlineStr">
        <is>
          <t>Program Management - program controls - field package</t>
        </is>
      </c>
      <c r="D1318" s="34" t="inlineStr">
        <is>
          <t>Cost Account = CA-6069; WBS Code = 1.6.1</t>
        </is>
      </c>
      <c r="E1318" s="34" t="inlineStr">
        <is>
          <t>R1551-v1</t>
        </is>
      </c>
      <c r="F1318" s="34" t="inlineStr">
        <is>
          <t>1.6.1 Program Management - Program Controls</t>
        </is>
      </c>
      <c r="G1318" s="34" t="inlineStr">
        <is>
          <t>ONE_TO_ONE</t>
        </is>
      </c>
      <c r="H1318" s="34" t="inlineStr">
        <is>
          <t>APPROVED</t>
        </is>
      </c>
      <c r="I1318" s="34" t="inlineStr">
        <is>
          <t>New</t>
        </is>
      </c>
      <c r="J1318" s="34" t="inlineStr">
        <is>
          <t>Source assignment -- not individually reviewed</t>
        </is>
      </c>
      <c r="K1318" s="39" t="inlineStr"/>
      <c r="L1318" s="14" t="inlineStr"/>
      <c r="M1318" s="14" t="inlineStr"/>
      <c r="N1318" s="92" t="inlineStr">
        <is>
          <t>10 EVIDENCE &amp; DECISIONS</t>
        </is>
      </c>
    </row>
    <row r="1319" ht="34" customHeight="1">
      <c r="A1319" s="34" t="inlineStr">
        <is>
          <t>Cost &amp; Forecast Control Accounts</t>
        </is>
      </c>
      <c r="B1319" s="34" t="inlineStr">
        <is>
          <t>CST-06-071</t>
        </is>
      </c>
      <c r="C1319" s="34" t="inlineStr">
        <is>
          <t>Program Management - stakeholder services - professional services</t>
        </is>
      </c>
      <c r="D1319" s="34" t="inlineStr">
        <is>
          <t>Cost Account = CA-6071; WBS Code = 1.6.1</t>
        </is>
      </c>
      <c r="E1319" s="34" t="inlineStr">
        <is>
          <t>R1553-v1</t>
        </is>
      </c>
      <c r="F1319" s="34" t="inlineStr">
        <is>
          <t>1.6.1 Program Management - Program Controls</t>
        </is>
      </c>
      <c r="G1319" s="34" t="inlineStr">
        <is>
          <t>ONE_TO_ONE</t>
        </is>
      </c>
      <c r="H1319" s="34" t="inlineStr">
        <is>
          <t>APPROVED</t>
        </is>
      </c>
      <c r="I1319" s="34" t="inlineStr">
        <is>
          <t>New</t>
        </is>
      </c>
      <c r="J1319" s="34" t="inlineStr">
        <is>
          <t>Source assignment -- not individually reviewed</t>
        </is>
      </c>
      <c r="K1319" s="39" t="inlineStr"/>
      <c r="L1319" s="14" t="inlineStr"/>
      <c r="M1319" s="14" t="inlineStr"/>
      <c r="N1319" s="92" t="inlineStr">
        <is>
          <t>10 EVIDENCE &amp; DECISIONS</t>
        </is>
      </c>
    </row>
    <row r="1320" ht="34" customHeight="1">
      <c r="A1320" s="34" t="inlineStr">
        <is>
          <t>Cost &amp; Forecast Control Accounts</t>
        </is>
      </c>
      <c r="B1320" s="34" t="inlineStr">
        <is>
          <t>CST-06-073</t>
        </is>
      </c>
      <c r="C1320" s="34" t="inlineStr">
        <is>
          <t>Program Management - design integration - closeout</t>
        </is>
      </c>
      <c r="D1320" s="34" t="inlineStr">
        <is>
          <t>Cost Account = CA-6073; WBS Code = 1.6.1</t>
        </is>
      </c>
      <c r="E1320" s="34" t="inlineStr">
        <is>
          <t>R1555-v1</t>
        </is>
      </c>
      <c r="F1320" s="34" t="inlineStr">
        <is>
          <t>1.6.1 Program Management - Program Controls</t>
        </is>
      </c>
      <c r="G1320" s="34" t="inlineStr">
        <is>
          <t>ONE_TO_ONE</t>
        </is>
      </c>
      <c r="H1320" s="34" t="inlineStr">
        <is>
          <t>APPROVED</t>
        </is>
      </c>
      <c r="I1320" s="34" t="inlineStr">
        <is>
          <t>New</t>
        </is>
      </c>
      <c r="J1320" s="34" t="inlineStr">
        <is>
          <t>Source assignment -- not individually reviewed</t>
        </is>
      </c>
      <c r="K1320" s="39" t="inlineStr"/>
      <c r="L1320" s="14" t="inlineStr"/>
      <c r="M1320" s="14" t="inlineStr"/>
      <c r="N1320" s="92" t="inlineStr">
        <is>
          <t>10 EVIDENCE &amp; DECISIONS</t>
        </is>
      </c>
    </row>
    <row r="1321" ht="34" customHeight="1">
      <c r="A1321" s="34" t="inlineStr">
        <is>
          <t>Cost &amp; Forecast Control Accounts</t>
        </is>
      </c>
      <c r="B1321" s="34" t="inlineStr">
        <is>
          <t>CST-06-075</t>
        </is>
      </c>
      <c r="C1321" s="34" t="inlineStr">
        <is>
          <t>Program Management - program controls - supply and install</t>
        </is>
      </c>
      <c r="D1321" s="34" t="inlineStr">
        <is>
          <t>Cost Account = CA-6075; WBS Code = 1.6.1</t>
        </is>
      </c>
      <c r="E1321" s="34" t="inlineStr">
        <is>
          <t>R1557-v1</t>
        </is>
      </c>
      <c r="F1321" s="34" t="inlineStr">
        <is>
          <t>1.6.1 Program Management - Program Controls</t>
        </is>
      </c>
      <c r="G1321" s="34" t="inlineStr">
        <is>
          <t>ONE_TO_ONE</t>
        </is>
      </c>
      <c r="H1321" s="34" t="inlineStr">
        <is>
          <t>APPROVED</t>
        </is>
      </c>
      <c r="I1321" s="34" t="inlineStr">
        <is>
          <t>New</t>
        </is>
      </c>
      <c r="J1321" s="34" t="inlineStr">
        <is>
          <t>Source assignment -- not individually reviewed</t>
        </is>
      </c>
      <c r="K1321" s="39" t="inlineStr"/>
      <c r="L1321" s="14" t="inlineStr"/>
      <c r="M1321" s="14" t="inlineStr"/>
      <c r="N1321" s="92" t="inlineStr">
        <is>
          <t>10 EVIDENCE &amp; DECISIONS</t>
        </is>
      </c>
    </row>
    <row r="1322" ht="34" customHeight="1">
      <c r="A1322" s="34" t="inlineStr">
        <is>
          <t>Cost &amp; Forecast Control Accounts</t>
        </is>
      </c>
      <c r="B1322" s="34" t="inlineStr">
        <is>
          <t>CST-06-077</t>
        </is>
      </c>
      <c r="C1322" s="34" t="inlineStr">
        <is>
          <t>Program Management - stakeholder services - allowance</t>
        </is>
      </c>
      <c r="D1322" s="34" t="inlineStr">
        <is>
          <t>Cost Account = CA-6077; WBS Code = 1.6.1</t>
        </is>
      </c>
      <c r="E1322" s="34" t="inlineStr">
        <is>
          <t>R1559-v1</t>
        </is>
      </c>
      <c r="F1322" s="34" t="inlineStr">
        <is>
          <t>1.6.1 Program Management - Program Controls</t>
        </is>
      </c>
      <c r="G1322" s="34" t="inlineStr">
        <is>
          <t>ONE_TO_ONE</t>
        </is>
      </c>
      <c r="H1322" s="34" t="inlineStr">
        <is>
          <t>APPROVED</t>
        </is>
      </c>
      <c r="I1322" s="34" t="inlineStr">
        <is>
          <t>New</t>
        </is>
      </c>
      <c r="J1322" s="34" t="inlineStr">
        <is>
          <t>Source assignment -- not individually reviewed</t>
        </is>
      </c>
      <c r="K1322" s="39" t="inlineStr"/>
      <c r="L1322" s="14" t="inlineStr"/>
      <c r="M1322" s="14" t="inlineStr"/>
      <c r="N1322" s="92" t="inlineStr">
        <is>
          <t>10 EVIDENCE &amp; DECISIONS</t>
        </is>
      </c>
    </row>
    <row r="1323" ht="34" customHeight="1">
      <c r="A1323" s="34" t="inlineStr">
        <is>
          <t>Cost &amp; Forecast Control Accounts</t>
        </is>
      </c>
      <c r="B1323" s="34" t="inlineStr">
        <is>
          <t>CST-06-079</t>
        </is>
      </c>
      <c r="C1323" s="34" t="inlineStr">
        <is>
          <t>Program Management - design integration - field package</t>
        </is>
      </c>
      <c r="D1323" s="34" t="inlineStr">
        <is>
          <t>Cost Account = CA-6079; WBS Code = 1.6.1</t>
        </is>
      </c>
      <c r="E1323" s="34" t="inlineStr">
        <is>
          <t>R1561-v1</t>
        </is>
      </c>
      <c r="F1323" s="34" t="inlineStr">
        <is>
          <t>1.6.1 Program Management - Program Controls</t>
        </is>
      </c>
      <c r="G1323" s="34" t="inlineStr">
        <is>
          <t>ONE_TO_ONE</t>
        </is>
      </c>
      <c r="H1323" s="34" t="inlineStr">
        <is>
          <t>APPROVED</t>
        </is>
      </c>
      <c r="I1323" s="34" t="inlineStr">
        <is>
          <t>New</t>
        </is>
      </c>
      <c r="J1323" s="34" t="inlineStr">
        <is>
          <t>Source assignment -- not individually reviewed</t>
        </is>
      </c>
      <c r="K1323" s="39" t="inlineStr"/>
      <c r="L1323" s="14" t="inlineStr"/>
      <c r="M1323" s="14" t="inlineStr"/>
      <c r="N1323" s="92" t="inlineStr">
        <is>
          <t>10 EVIDENCE &amp; DECISIONS</t>
        </is>
      </c>
    </row>
    <row r="1324" ht="34" customHeight="1">
      <c r="A1324" s="34" t="inlineStr">
        <is>
          <t>Cost &amp; Forecast Control Accounts</t>
        </is>
      </c>
      <c r="B1324" s="34" t="inlineStr">
        <is>
          <t>CST-06-002</t>
        </is>
      </c>
      <c r="C1324" s="34" t="inlineStr">
        <is>
          <t>Program Management - stakeholder services - allowance</t>
        </is>
      </c>
      <c r="D1324" s="34" t="inlineStr">
        <is>
          <t>Cost Account = CA-6002; WBS Code = 1.6.2</t>
        </is>
      </c>
      <c r="E1324" s="34" t="inlineStr">
        <is>
          <t>R1484-v1</t>
        </is>
      </c>
      <c r="F1324" s="34" t="inlineStr">
        <is>
          <t>1.6.2 Program Management - Commercial &amp; Procurement</t>
        </is>
      </c>
      <c r="G1324" s="34" t="inlineStr">
        <is>
          <t>ONE_TO_ONE</t>
        </is>
      </c>
      <c r="H1324" s="34" t="inlineStr">
        <is>
          <t>APPROVED</t>
        </is>
      </c>
      <c r="I1324" s="34" t="inlineStr">
        <is>
          <t>New</t>
        </is>
      </c>
      <c r="J1324" s="34" t="inlineStr">
        <is>
          <t>Source assignment -- not individually reviewed</t>
        </is>
      </c>
      <c r="K1324" s="39" t="inlineStr"/>
      <c r="L1324" s="14" t="inlineStr"/>
      <c r="M1324" s="14" t="inlineStr"/>
      <c r="N1324" s="92" t="inlineStr">
        <is>
          <t>10 EVIDENCE &amp; DECISIONS</t>
        </is>
      </c>
    </row>
    <row r="1325" ht="34" customHeight="1">
      <c r="A1325" s="34" t="inlineStr">
        <is>
          <t>Cost &amp; Forecast Control Accounts</t>
        </is>
      </c>
      <c r="B1325" s="34" t="inlineStr">
        <is>
          <t>CST-06-004</t>
        </is>
      </c>
      <c r="C1325" s="34" t="inlineStr">
        <is>
          <t>Program Management - design integration - field package</t>
        </is>
      </c>
      <c r="D1325" s="34" t="inlineStr">
        <is>
          <t>Cost Account = CA-6004; WBS Code = 1.6.2</t>
        </is>
      </c>
      <c r="E1325" s="34" t="inlineStr">
        <is>
          <t>R1486-v1</t>
        </is>
      </c>
      <c r="F1325" s="34" t="inlineStr">
        <is>
          <t>1.6.2 Program Management - Commercial &amp; Procurement</t>
        </is>
      </c>
      <c r="G1325" s="34" t="inlineStr">
        <is>
          <t>ONE_TO_ONE</t>
        </is>
      </c>
      <c r="H1325" s="34" t="inlineStr">
        <is>
          <t>APPROVED</t>
        </is>
      </c>
      <c r="I1325" s="34" t="inlineStr">
        <is>
          <t>New</t>
        </is>
      </c>
      <c r="J1325" s="34" t="inlineStr">
        <is>
          <t>Source assignment -- not individually reviewed</t>
        </is>
      </c>
      <c r="K1325" s="39" t="inlineStr"/>
      <c r="L1325" s="14" t="inlineStr"/>
      <c r="M1325" s="14" t="inlineStr"/>
      <c r="N1325" s="92" t="inlineStr">
        <is>
          <t>10 EVIDENCE &amp; DECISIONS</t>
        </is>
      </c>
    </row>
    <row r="1326" ht="34" customHeight="1">
      <c r="A1326" s="34" t="inlineStr">
        <is>
          <t>Cost &amp; Forecast Control Accounts</t>
        </is>
      </c>
      <c r="B1326" s="34" t="inlineStr">
        <is>
          <t>CST-06-006</t>
        </is>
      </c>
      <c r="C1326" s="34" t="inlineStr">
        <is>
          <t>Program Management - program controls - professional services</t>
        </is>
      </c>
      <c r="D1326" s="34" t="inlineStr">
        <is>
          <t>Cost Account = CA-6006; WBS Code = 1.6.2</t>
        </is>
      </c>
      <c r="E1326" s="34" t="inlineStr">
        <is>
          <t>R1488-v1</t>
        </is>
      </c>
      <c r="F1326" s="34" t="inlineStr">
        <is>
          <t>1.6.2 Program Management - Commercial &amp; Procurement</t>
        </is>
      </c>
      <c r="G1326" s="34" t="inlineStr">
        <is>
          <t>ONE_TO_ONE</t>
        </is>
      </c>
      <c r="H1326" s="34" t="inlineStr">
        <is>
          <t>APPROVED</t>
        </is>
      </c>
      <c r="I1326" s="34" t="inlineStr">
        <is>
          <t>New</t>
        </is>
      </c>
      <c r="J1326" s="34" t="inlineStr">
        <is>
          <t>Source assignment -- not individually reviewed</t>
        </is>
      </c>
      <c r="K1326" s="39" t="inlineStr"/>
      <c r="L1326" s="14" t="inlineStr"/>
      <c r="M1326" s="14" t="inlineStr"/>
      <c r="N1326" s="92" t="inlineStr">
        <is>
          <t>10 EVIDENCE &amp; DECISIONS</t>
        </is>
      </c>
    </row>
    <row r="1327" ht="34" customHeight="1">
      <c r="A1327" s="34" t="inlineStr">
        <is>
          <t>Cost &amp; Forecast Control Accounts</t>
        </is>
      </c>
      <c r="B1327" s="34" t="inlineStr">
        <is>
          <t>CST-06-008</t>
        </is>
      </c>
      <c r="C1327" s="34" t="inlineStr">
        <is>
          <t>Program Management - stakeholder services - closeout</t>
        </is>
      </c>
      <c r="D1327" s="34" t="inlineStr">
        <is>
          <t>Cost Account = CA-6008; WBS Code = 1.6.2</t>
        </is>
      </c>
      <c r="E1327" s="34" t="inlineStr">
        <is>
          <t>R1490-v1</t>
        </is>
      </c>
      <c r="F1327" s="34" t="inlineStr">
        <is>
          <t>1.6.2 Program Management - Commercial &amp; Procurement</t>
        </is>
      </c>
      <c r="G1327" s="34" t="inlineStr">
        <is>
          <t>ONE_TO_ONE</t>
        </is>
      </c>
      <c r="H1327" s="34" t="inlineStr">
        <is>
          <t>APPROVED</t>
        </is>
      </c>
      <c r="I1327" s="34" t="inlineStr">
        <is>
          <t>New</t>
        </is>
      </c>
      <c r="J1327" s="34" t="inlineStr">
        <is>
          <t>Source assignment -- not individually reviewed</t>
        </is>
      </c>
      <c r="K1327" s="39" t="inlineStr"/>
      <c r="L1327" s="14" t="inlineStr"/>
      <c r="M1327" s="14" t="inlineStr"/>
      <c r="N1327" s="92" t="inlineStr">
        <is>
          <t>10 EVIDENCE &amp; DECISIONS</t>
        </is>
      </c>
    </row>
    <row r="1328" ht="34" customHeight="1">
      <c r="A1328" s="34" t="inlineStr">
        <is>
          <t>Cost &amp; Forecast Control Accounts</t>
        </is>
      </c>
      <c r="B1328" s="34" t="inlineStr">
        <is>
          <t>CST-06-010</t>
        </is>
      </c>
      <c r="C1328" s="34" t="inlineStr">
        <is>
          <t>Program Management - design integration - supply and install</t>
        </is>
      </c>
      <c r="D1328" s="34" t="inlineStr">
        <is>
          <t>Cost Account = CA-6010; WBS Code = 1.6.2</t>
        </is>
      </c>
      <c r="E1328" s="34" t="inlineStr">
        <is>
          <t>R1492-v1</t>
        </is>
      </c>
      <c r="F1328" s="34" t="inlineStr">
        <is>
          <t>1.6.2 Program Management - Commercial &amp; Procurement</t>
        </is>
      </c>
      <c r="G1328" s="34" t="inlineStr">
        <is>
          <t>ONE_TO_ONE</t>
        </is>
      </c>
      <c r="H1328" s="34" t="inlineStr">
        <is>
          <t>APPROVED</t>
        </is>
      </c>
      <c r="I1328" s="34" t="inlineStr">
        <is>
          <t>New</t>
        </is>
      </c>
      <c r="J1328" s="34" t="inlineStr">
        <is>
          <t>Source assignment -- not individually reviewed</t>
        </is>
      </c>
      <c r="K1328" s="39" t="inlineStr"/>
      <c r="L1328" s="14" t="inlineStr"/>
      <c r="M1328" s="14" t="inlineStr"/>
      <c r="N1328" s="92" t="inlineStr">
        <is>
          <t>10 EVIDENCE &amp; DECISIONS</t>
        </is>
      </c>
    </row>
    <row r="1329" ht="34" customHeight="1">
      <c r="A1329" s="34" t="inlineStr">
        <is>
          <t>Cost &amp; Forecast Control Accounts</t>
        </is>
      </c>
      <c r="B1329" s="34" t="inlineStr">
        <is>
          <t>CST-06-012</t>
        </is>
      </c>
      <c r="C1329" s="34" t="inlineStr">
        <is>
          <t>Program Management - program controls - allowance</t>
        </is>
      </c>
      <c r="D1329" s="34" t="inlineStr">
        <is>
          <t>Cost Account = CA-6012; WBS Code = 1.6.2</t>
        </is>
      </c>
      <c r="E1329" s="34" t="inlineStr">
        <is>
          <t>R1494-v1</t>
        </is>
      </c>
      <c r="F1329" s="34" t="inlineStr">
        <is>
          <t>1.6.2 Program Management - Commercial &amp; Procurement</t>
        </is>
      </c>
      <c r="G1329" s="34" t="inlineStr">
        <is>
          <t>ONE_TO_ONE</t>
        </is>
      </c>
      <c r="H1329" s="34" t="inlineStr">
        <is>
          <t>APPROVED</t>
        </is>
      </c>
      <c r="I1329" s="34" t="inlineStr">
        <is>
          <t>New</t>
        </is>
      </c>
      <c r="J1329" s="34" t="inlineStr">
        <is>
          <t>Source assignment -- not individually reviewed</t>
        </is>
      </c>
      <c r="K1329" s="39" t="inlineStr"/>
      <c r="L1329" s="14" t="inlineStr"/>
      <c r="M1329" s="14" t="inlineStr"/>
      <c r="N1329" s="92" t="inlineStr">
        <is>
          <t>10 EVIDENCE &amp; DECISIONS</t>
        </is>
      </c>
    </row>
    <row r="1330" ht="34" customHeight="1">
      <c r="A1330" s="34" t="inlineStr">
        <is>
          <t>Cost &amp; Forecast Control Accounts</t>
        </is>
      </c>
      <c r="B1330" s="34" t="inlineStr">
        <is>
          <t>CST-06-014</t>
        </is>
      </c>
      <c r="C1330" s="34" t="inlineStr">
        <is>
          <t>Program Management - stakeholder services - field package</t>
        </is>
      </c>
      <c r="D1330" s="34" t="inlineStr">
        <is>
          <t>Cost Account = CA-6014; WBS Code = 1.6.2</t>
        </is>
      </c>
      <c r="E1330" s="34" t="inlineStr">
        <is>
          <t>R1496-v1</t>
        </is>
      </c>
      <c r="F1330" s="34" t="inlineStr">
        <is>
          <t>1.6.2 Program Management - Commercial &amp; Procurement</t>
        </is>
      </c>
      <c r="G1330" s="34" t="inlineStr">
        <is>
          <t>ONE_TO_ONE</t>
        </is>
      </c>
      <c r="H1330" s="34" t="inlineStr">
        <is>
          <t>APPROVED</t>
        </is>
      </c>
      <c r="I1330" s="34" t="inlineStr">
        <is>
          <t>New</t>
        </is>
      </c>
      <c r="J1330" s="34" t="inlineStr">
        <is>
          <t>Source assignment -- not individually reviewed</t>
        </is>
      </c>
      <c r="K1330" s="39" t="inlineStr"/>
      <c r="L1330" s="14" t="inlineStr"/>
      <c r="M1330" s="14" t="inlineStr"/>
      <c r="N1330" s="92" t="inlineStr">
        <is>
          <t>10 EVIDENCE &amp; DECISIONS</t>
        </is>
      </c>
    </row>
    <row r="1331" ht="34" customHeight="1">
      <c r="A1331" s="34" t="inlineStr">
        <is>
          <t>Cost &amp; Forecast Control Accounts</t>
        </is>
      </c>
      <c r="B1331" s="34" t="inlineStr">
        <is>
          <t>CST-06-016</t>
        </is>
      </c>
      <c r="C1331" s="34" t="inlineStr">
        <is>
          <t>Program Management - design integration - professional services</t>
        </is>
      </c>
      <c r="D1331" s="34" t="inlineStr">
        <is>
          <t>Cost Account = CA-6016; WBS Code = 1.6.2</t>
        </is>
      </c>
      <c r="E1331" s="34" t="inlineStr">
        <is>
          <t>R1498-v1</t>
        </is>
      </c>
      <c r="F1331" s="34" t="inlineStr">
        <is>
          <t>1.6.2 Program Management - Commercial &amp; Procurement</t>
        </is>
      </c>
      <c r="G1331" s="34" t="inlineStr">
        <is>
          <t>ONE_TO_ONE</t>
        </is>
      </c>
      <c r="H1331" s="34" t="inlineStr">
        <is>
          <t>APPROVED</t>
        </is>
      </c>
      <c r="I1331" s="34" t="inlineStr">
        <is>
          <t>New</t>
        </is>
      </c>
      <c r="J1331" s="34" t="inlineStr">
        <is>
          <t>Source assignment -- not individually reviewed</t>
        </is>
      </c>
      <c r="K1331" s="39" t="inlineStr"/>
      <c r="L1331" s="14" t="inlineStr"/>
      <c r="M1331" s="14" t="inlineStr"/>
      <c r="N1331" s="92" t="inlineStr">
        <is>
          <t>10 EVIDENCE &amp; DECISIONS</t>
        </is>
      </c>
    </row>
    <row r="1332" ht="34" customHeight="1">
      <c r="A1332" s="34" t="inlineStr">
        <is>
          <t>Cost &amp; Forecast Control Accounts</t>
        </is>
      </c>
      <c r="B1332" s="34" t="inlineStr">
        <is>
          <t>CST-06-018</t>
        </is>
      </c>
      <c r="C1332" s="34" t="inlineStr">
        <is>
          <t>Program Management - program controls - closeout</t>
        </is>
      </c>
      <c r="D1332" s="34" t="inlineStr">
        <is>
          <t>Cost Account = CA-6018; WBS Code = 1.6.2</t>
        </is>
      </c>
      <c r="E1332" s="34" t="inlineStr">
        <is>
          <t>R1500-v1</t>
        </is>
      </c>
      <c r="F1332" s="34" t="inlineStr">
        <is>
          <t>1.6.2 Program Management - Commercial &amp; Procurement</t>
        </is>
      </c>
      <c r="G1332" s="34" t="inlineStr">
        <is>
          <t>ONE_TO_ONE</t>
        </is>
      </c>
      <c r="H1332" s="34" t="inlineStr">
        <is>
          <t>APPROVED</t>
        </is>
      </c>
      <c r="I1332" s="34" t="inlineStr">
        <is>
          <t>New</t>
        </is>
      </c>
      <c r="J1332" s="34" t="inlineStr">
        <is>
          <t>Source assignment -- not individually reviewed</t>
        </is>
      </c>
      <c r="K1332" s="39" t="inlineStr"/>
      <c r="L1332" s="14" t="inlineStr"/>
      <c r="M1332" s="14" t="inlineStr"/>
      <c r="N1332" s="92" t="inlineStr">
        <is>
          <t>10 EVIDENCE &amp; DECISIONS</t>
        </is>
      </c>
    </row>
    <row r="1333" ht="34" customHeight="1">
      <c r="A1333" s="34" t="inlineStr">
        <is>
          <t>Cost &amp; Forecast Control Accounts</t>
        </is>
      </c>
      <c r="B1333" s="34" t="inlineStr">
        <is>
          <t>CST-06-020</t>
        </is>
      </c>
      <c r="C1333" s="34" t="inlineStr">
        <is>
          <t>Program Management - stakeholder services - supply and install</t>
        </is>
      </c>
      <c r="D1333" s="34" t="inlineStr">
        <is>
          <t>Cost Account = CA-6020; WBS Code = 1.6.2</t>
        </is>
      </c>
      <c r="E1333" s="34" t="inlineStr">
        <is>
          <t>R1502-v1</t>
        </is>
      </c>
      <c r="F1333" s="34" t="inlineStr">
        <is>
          <t>1.6.2 Program Management - Commercial &amp; Procurement</t>
        </is>
      </c>
      <c r="G1333" s="34" t="inlineStr">
        <is>
          <t>ONE_TO_ONE</t>
        </is>
      </c>
      <c r="H1333" s="34" t="inlineStr">
        <is>
          <t>APPROVED</t>
        </is>
      </c>
      <c r="I1333" s="34" t="inlineStr">
        <is>
          <t>New</t>
        </is>
      </c>
      <c r="J1333" s="34" t="inlineStr">
        <is>
          <t>Source assignment -- not individually reviewed</t>
        </is>
      </c>
      <c r="K1333" s="39" t="inlineStr"/>
      <c r="L1333" s="14" t="inlineStr"/>
      <c r="M1333" s="14" t="inlineStr"/>
      <c r="N1333" s="92" t="inlineStr">
        <is>
          <t>10 EVIDENCE &amp; DECISIONS</t>
        </is>
      </c>
    </row>
    <row r="1334" ht="34" customHeight="1">
      <c r="A1334" s="34" t="inlineStr">
        <is>
          <t>Cost &amp; Forecast Control Accounts</t>
        </is>
      </c>
      <c r="B1334" s="34" t="inlineStr">
        <is>
          <t>CST-06-022</t>
        </is>
      </c>
      <c r="C1334" s="34" t="inlineStr">
        <is>
          <t>Program Management - design integration - allowance</t>
        </is>
      </c>
      <c r="D1334" s="34" t="inlineStr">
        <is>
          <t>Cost Account = CA-6022; WBS Code = 1.6.2</t>
        </is>
      </c>
      <c r="E1334" s="34" t="inlineStr">
        <is>
          <t>R1504-v1</t>
        </is>
      </c>
      <c r="F1334" s="34" t="inlineStr">
        <is>
          <t>1.6.2 Program Management - Commercial &amp; Procurement</t>
        </is>
      </c>
      <c r="G1334" s="34" t="inlineStr">
        <is>
          <t>ONE_TO_ONE</t>
        </is>
      </c>
      <c r="H1334" s="34" t="inlineStr">
        <is>
          <t>APPROVED</t>
        </is>
      </c>
      <c r="I1334" s="34" t="inlineStr">
        <is>
          <t>New</t>
        </is>
      </c>
      <c r="J1334" s="34" t="inlineStr">
        <is>
          <t>Source assignment -- not individually reviewed</t>
        </is>
      </c>
      <c r="K1334" s="39" t="inlineStr"/>
      <c r="L1334" s="14" t="inlineStr"/>
      <c r="M1334" s="14" t="inlineStr"/>
      <c r="N1334" s="92" t="inlineStr">
        <is>
          <t>10 EVIDENCE &amp; DECISIONS</t>
        </is>
      </c>
    </row>
    <row r="1335" ht="34" customHeight="1">
      <c r="A1335" s="34" t="inlineStr">
        <is>
          <t>Cost &amp; Forecast Control Accounts</t>
        </is>
      </c>
      <c r="B1335" s="34" t="inlineStr">
        <is>
          <t>CST-06-024</t>
        </is>
      </c>
      <c r="C1335" s="34" t="inlineStr">
        <is>
          <t>Program Management - program controls - field package</t>
        </is>
      </c>
      <c r="D1335" s="34" t="inlineStr">
        <is>
          <t>Cost Account = CA-6024; WBS Code = 1.6.2</t>
        </is>
      </c>
      <c r="E1335" s="34" t="inlineStr">
        <is>
          <t>R1506-v1</t>
        </is>
      </c>
      <c r="F1335" s="34" t="inlineStr">
        <is>
          <t>1.6.2 Program Management - Commercial &amp; Procurement</t>
        </is>
      </c>
      <c r="G1335" s="34" t="inlineStr">
        <is>
          <t>ONE_TO_ONE</t>
        </is>
      </c>
      <c r="H1335" s="34" t="inlineStr">
        <is>
          <t>APPROVED</t>
        </is>
      </c>
      <c r="I1335" s="34" t="inlineStr">
        <is>
          <t>New</t>
        </is>
      </c>
      <c r="J1335" s="34" t="inlineStr">
        <is>
          <t>Source assignment -- not individually reviewed</t>
        </is>
      </c>
      <c r="K1335" s="39" t="inlineStr"/>
      <c r="L1335" s="14" t="inlineStr"/>
      <c r="M1335" s="14" t="inlineStr"/>
      <c r="N1335" s="92" t="inlineStr">
        <is>
          <t>10 EVIDENCE &amp; DECISIONS</t>
        </is>
      </c>
    </row>
    <row r="1336" ht="34" customHeight="1">
      <c r="A1336" s="34" t="inlineStr">
        <is>
          <t>Cost &amp; Forecast Control Accounts</t>
        </is>
      </c>
      <c r="B1336" s="34" t="inlineStr">
        <is>
          <t>CST-06-026</t>
        </is>
      </c>
      <c r="C1336" s="34" t="inlineStr">
        <is>
          <t>Program Management - stakeholder services - professional services</t>
        </is>
      </c>
      <c r="D1336" s="34" t="inlineStr">
        <is>
          <t>Cost Account = CA-6026; WBS Code = 1.6.2</t>
        </is>
      </c>
      <c r="E1336" s="34" t="inlineStr">
        <is>
          <t>R1508-v1</t>
        </is>
      </c>
      <c r="F1336" s="34" t="inlineStr">
        <is>
          <t>1.6.2 Program Management - Commercial &amp; Procurement</t>
        </is>
      </c>
      <c r="G1336" s="34" t="inlineStr">
        <is>
          <t>ONE_TO_ONE</t>
        </is>
      </c>
      <c r="H1336" s="34" t="inlineStr">
        <is>
          <t>APPROVED</t>
        </is>
      </c>
      <c r="I1336" s="34" t="inlineStr">
        <is>
          <t>New</t>
        </is>
      </c>
      <c r="J1336" s="34" t="inlineStr">
        <is>
          <t>Source assignment -- not individually reviewed</t>
        </is>
      </c>
      <c r="K1336" s="39" t="inlineStr"/>
      <c r="L1336" s="14" t="inlineStr"/>
      <c r="M1336" s="14" t="inlineStr"/>
      <c r="N1336" s="92" t="inlineStr">
        <is>
          <t>10 EVIDENCE &amp; DECISIONS</t>
        </is>
      </c>
    </row>
    <row r="1337" ht="34" customHeight="1">
      <c r="A1337" s="34" t="inlineStr">
        <is>
          <t>Cost &amp; Forecast Control Accounts</t>
        </is>
      </c>
      <c r="B1337" s="34" t="inlineStr">
        <is>
          <t>CST-06-028</t>
        </is>
      </c>
      <c r="C1337" s="34" t="inlineStr">
        <is>
          <t>Program Management - design integration - closeout</t>
        </is>
      </c>
      <c r="D1337" s="34" t="inlineStr">
        <is>
          <t>Cost Account = CA-6028; WBS Code = 1.6.2</t>
        </is>
      </c>
      <c r="E1337" s="34" t="inlineStr">
        <is>
          <t>R1510-v1</t>
        </is>
      </c>
      <c r="F1337" s="34" t="inlineStr">
        <is>
          <t>1.6.2 Program Management - Commercial &amp; Procurement</t>
        </is>
      </c>
      <c r="G1337" s="34" t="inlineStr">
        <is>
          <t>ONE_TO_ONE</t>
        </is>
      </c>
      <c r="H1337" s="34" t="inlineStr">
        <is>
          <t>APPROVED</t>
        </is>
      </c>
      <c r="I1337" s="34" t="inlineStr">
        <is>
          <t>New</t>
        </is>
      </c>
      <c r="J1337" s="34" t="inlineStr">
        <is>
          <t>Source assignment -- not individually reviewed</t>
        </is>
      </c>
      <c r="K1337" s="39" t="inlineStr"/>
      <c r="L1337" s="14" t="inlineStr"/>
      <c r="M1337" s="14" t="inlineStr"/>
      <c r="N1337" s="92" t="inlineStr">
        <is>
          <t>10 EVIDENCE &amp; DECISIONS</t>
        </is>
      </c>
    </row>
    <row r="1338" ht="34" customHeight="1">
      <c r="A1338" s="34" t="inlineStr">
        <is>
          <t>Cost &amp; Forecast Control Accounts</t>
        </is>
      </c>
      <c r="B1338" s="34" t="inlineStr">
        <is>
          <t>CST-06-030</t>
        </is>
      </c>
      <c r="C1338" s="34" t="inlineStr">
        <is>
          <t>Program Management - program controls - supply and install</t>
        </is>
      </c>
      <c r="D1338" s="34" t="inlineStr">
        <is>
          <t>Cost Account = CA-6030; WBS Code = 1.6.2</t>
        </is>
      </c>
      <c r="E1338" s="34" t="inlineStr">
        <is>
          <t>R1512-v1</t>
        </is>
      </c>
      <c r="F1338" s="34" t="inlineStr">
        <is>
          <t>1.6.2 Program Management - Commercial &amp; Procurement</t>
        </is>
      </c>
      <c r="G1338" s="34" t="inlineStr">
        <is>
          <t>ONE_TO_ONE</t>
        </is>
      </c>
      <c r="H1338" s="34" t="inlineStr">
        <is>
          <t>APPROVED</t>
        </is>
      </c>
      <c r="I1338" s="34" t="inlineStr">
        <is>
          <t>New</t>
        </is>
      </c>
      <c r="J1338" s="34" t="inlineStr">
        <is>
          <t>Source assignment -- not individually reviewed</t>
        </is>
      </c>
      <c r="K1338" s="39" t="inlineStr"/>
      <c r="L1338" s="14" t="inlineStr"/>
      <c r="M1338" s="14" t="inlineStr"/>
      <c r="N1338" s="92" t="inlineStr">
        <is>
          <t>10 EVIDENCE &amp; DECISIONS</t>
        </is>
      </c>
    </row>
    <row r="1339" ht="34" customHeight="1">
      <c r="A1339" s="34" t="inlineStr">
        <is>
          <t>Cost &amp; Forecast Control Accounts</t>
        </is>
      </c>
      <c r="B1339" s="34" t="inlineStr">
        <is>
          <t>CST-06-032</t>
        </is>
      </c>
      <c r="C1339" s="34" t="inlineStr">
        <is>
          <t>Program Management - stakeholder services - allowance</t>
        </is>
      </c>
      <c r="D1339" s="34" t="inlineStr">
        <is>
          <t>Cost Account = CA-6032; WBS Code = 1.6.2</t>
        </is>
      </c>
      <c r="E1339" s="34" t="inlineStr">
        <is>
          <t>R1514-v1</t>
        </is>
      </c>
      <c r="F1339" s="34" t="inlineStr">
        <is>
          <t>1.6.2 Program Management - Commercial &amp; Procurement</t>
        </is>
      </c>
      <c r="G1339" s="34" t="inlineStr">
        <is>
          <t>ONE_TO_ONE</t>
        </is>
      </c>
      <c r="H1339" s="34" t="inlineStr">
        <is>
          <t>APPROVED</t>
        </is>
      </c>
      <c r="I1339" s="34" t="inlineStr">
        <is>
          <t>New</t>
        </is>
      </c>
      <c r="J1339" s="34" t="inlineStr">
        <is>
          <t>Source assignment -- not individually reviewed</t>
        </is>
      </c>
      <c r="K1339" s="39" t="inlineStr"/>
      <c r="L1339" s="14" t="inlineStr"/>
      <c r="M1339" s="14" t="inlineStr"/>
      <c r="N1339" s="92" t="inlineStr">
        <is>
          <t>10 EVIDENCE &amp; DECISIONS</t>
        </is>
      </c>
    </row>
    <row r="1340" ht="34" customHeight="1">
      <c r="A1340" s="34" t="inlineStr">
        <is>
          <t>Cost &amp; Forecast Control Accounts</t>
        </is>
      </c>
      <c r="B1340" s="34" t="inlineStr">
        <is>
          <t>CST-06-034</t>
        </is>
      </c>
      <c r="C1340" s="34" t="inlineStr">
        <is>
          <t>Program Management - design integration - field package</t>
        </is>
      </c>
      <c r="D1340" s="34" t="inlineStr">
        <is>
          <t>Cost Account = CA-6034; WBS Code = 1.6.2</t>
        </is>
      </c>
      <c r="E1340" s="34" t="inlineStr">
        <is>
          <t>R1516-v1</t>
        </is>
      </c>
      <c r="F1340" s="34" t="inlineStr">
        <is>
          <t>1.6.2 Program Management - Commercial &amp; Procurement</t>
        </is>
      </c>
      <c r="G1340" s="34" t="inlineStr">
        <is>
          <t>ONE_TO_ONE</t>
        </is>
      </c>
      <c r="H1340" s="34" t="inlineStr">
        <is>
          <t>APPROVED</t>
        </is>
      </c>
      <c r="I1340" s="34" t="inlineStr">
        <is>
          <t>New</t>
        </is>
      </c>
      <c r="J1340" s="34" t="inlineStr">
        <is>
          <t>Source assignment -- not individually reviewed</t>
        </is>
      </c>
      <c r="K1340" s="39" t="inlineStr"/>
      <c r="L1340" s="14" t="inlineStr"/>
      <c r="M1340" s="14" t="inlineStr"/>
      <c r="N1340" s="92" t="inlineStr">
        <is>
          <t>10 EVIDENCE &amp; DECISIONS</t>
        </is>
      </c>
    </row>
    <row r="1341" ht="34" customHeight="1">
      <c r="A1341" s="34" t="inlineStr">
        <is>
          <t>Cost &amp; Forecast Control Accounts</t>
        </is>
      </c>
      <c r="B1341" s="34" t="inlineStr">
        <is>
          <t>CST-06-036</t>
        </is>
      </c>
      <c r="C1341" s="34" t="inlineStr">
        <is>
          <t>Program Management - program controls - professional services</t>
        </is>
      </c>
      <c r="D1341" s="34" t="inlineStr">
        <is>
          <t>Cost Account = CA-6036; WBS Code = 1.6.2</t>
        </is>
      </c>
      <c r="E1341" s="34" t="inlineStr">
        <is>
          <t>R1518-v1</t>
        </is>
      </c>
      <c r="F1341" s="34" t="inlineStr">
        <is>
          <t>1.6.2 Program Management - Commercial &amp; Procurement</t>
        </is>
      </c>
      <c r="G1341" s="34" t="inlineStr">
        <is>
          <t>ONE_TO_ONE</t>
        </is>
      </c>
      <c r="H1341" s="34" t="inlineStr">
        <is>
          <t>APPROVED</t>
        </is>
      </c>
      <c r="I1341" s="34" t="inlineStr">
        <is>
          <t>New</t>
        </is>
      </c>
      <c r="J1341" s="34" t="inlineStr">
        <is>
          <t>Source assignment -- not individually reviewed</t>
        </is>
      </c>
      <c r="K1341" s="39" t="inlineStr"/>
      <c r="L1341" s="14" t="inlineStr"/>
      <c r="M1341" s="14" t="inlineStr"/>
      <c r="N1341" s="92" t="inlineStr">
        <is>
          <t>10 EVIDENCE &amp; DECISIONS</t>
        </is>
      </c>
    </row>
    <row r="1342" ht="34" customHeight="1">
      <c r="A1342" s="34" t="inlineStr">
        <is>
          <t>Cost &amp; Forecast Control Accounts</t>
        </is>
      </c>
      <c r="B1342" s="34" t="inlineStr">
        <is>
          <t>CST-06-038</t>
        </is>
      </c>
      <c r="C1342" s="34" t="inlineStr">
        <is>
          <t>Program Management - stakeholder services - closeout</t>
        </is>
      </c>
      <c r="D1342" s="34" t="inlineStr">
        <is>
          <t>Cost Account = CA-6038; WBS Code = 1.6.2</t>
        </is>
      </c>
      <c r="E1342" s="34" t="inlineStr">
        <is>
          <t>R1520-v1</t>
        </is>
      </c>
      <c r="F1342" s="34" t="inlineStr">
        <is>
          <t>1.6.2 Program Management - Commercial &amp; Procurement</t>
        </is>
      </c>
      <c r="G1342" s="34" t="inlineStr">
        <is>
          <t>ONE_TO_ONE</t>
        </is>
      </c>
      <c r="H1342" s="34" t="inlineStr">
        <is>
          <t>APPROVED</t>
        </is>
      </c>
      <c r="I1342" s="34" t="inlineStr">
        <is>
          <t>New</t>
        </is>
      </c>
      <c r="J1342" s="34" t="inlineStr">
        <is>
          <t>Source assignment -- not individually reviewed</t>
        </is>
      </c>
      <c r="K1342" s="39" t="inlineStr"/>
      <c r="L1342" s="14" t="inlineStr"/>
      <c r="M1342" s="14" t="inlineStr"/>
      <c r="N1342" s="92" t="inlineStr">
        <is>
          <t>10 EVIDENCE &amp; DECISIONS</t>
        </is>
      </c>
    </row>
    <row r="1343" ht="34" customHeight="1">
      <c r="A1343" s="34" t="inlineStr">
        <is>
          <t>Cost &amp; Forecast Control Accounts</t>
        </is>
      </c>
      <c r="B1343" s="34" t="inlineStr">
        <is>
          <t>CST-06-040</t>
        </is>
      </c>
      <c r="C1343" s="34" t="inlineStr">
        <is>
          <t>Program Management - design integration - supply and install</t>
        </is>
      </c>
      <c r="D1343" s="34" t="inlineStr">
        <is>
          <t>Cost Account = CA-6040; WBS Code = 1.6.2</t>
        </is>
      </c>
      <c r="E1343" s="34" t="inlineStr">
        <is>
          <t>R1522-v1</t>
        </is>
      </c>
      <c r="F1343" s="34" t="inlineStr">
        <is>
          <t>1.6.2 Program Management - Commercial &amp; Procurement</t>
        </is>
      </c>
      <c r="G1343" s="34" t="inlineStr">
        <is>
          <t>ONE_TO_ONE</t>
        </is>
      </c>
      <c r="H1343" s="34" t="inlineStr">
        <is>
          <t>APPROVED</t>
        </is>
      </c>
      <c r="I1343" s="34" t="inlineStr">
        <is>
          <t>New</t>
        </is>
      </c>
      <c r="J1343" s="34" t="inlineStr">
        <is>
          <t>Source assignment -- not individually reviewed</t>
        </is>
      </c>
      <c r="K1343" s="39" t="inlineStr"/>
      <c r="L1343" s="14" t="inlineStr"/>
      <c r="M1343" s="14" t="inlineStr"/>
      <c r="N1343" s="92" t="inlineStr">
        <is>
          <t>10 EVIDENCE &amp; DECISIONS</t>
        </is>
      </c>
    </row>
    <row r="1344" ht="34" customHeight="1">
      <c r="A1344" s="34" t="inlineStr">
        <is>
          <t>Cost &amp; Forecast Control Accounts</t>
        </is>
      </c>
      <c r="B1344" s="34" t="inlineStr">
        <is>
          <t>CST-06-042</t>
        </is>
      </c>
      <c r="C1344" s="34" t="inlineStr">
        <is>
          <t>Program Management - program controls - allowance</t>
        </is>
      </c>
      <c r="D1344" s="34" t="inlineStr">
        <is>
          <t>Cost Account = CA-6042; WBS Code = 1.6.2</t>
        </is>
      </c>
      <c r="E1344" s="34" t="inlineStr">
        <is>
          <t>R1524-v1</t>
        </is>
      </c>
      <c r="F1344" s="34" t="inlineStr">
        <is>
          <t>1.6.2 Program Management - Commercial &amp; Procurement</t>
        </is>
      </c>
      <c r="G1344" s="34" t="inlineStr">
        <is>
          <t>ONE_TO_ONE</t>
        </is>
      </c>
      <c r="H1344" s="34" t="inlineStr">
        <is>
          <t>APPROVED</t>
        </is>
      </c>
      <c r="I1344" s="34" t="inlineStr">
        <is>
          <t>New</t>
        </is>
      </c>
      <c r="J1344" s="34" t="inlineStr">
        <is>
          <t>Source assignment -- not individually reviewed</t>
        </is>
      </c>
      <c r="K1344" s="39" t="inlineStr"/>
      <c r="L1344" s="14" t="inlineStr"/>
      <c r="M1344" s="14" t="inlineStr"/>
      <c r="N1344" s="92" t="inlineStr">
        <is>
          <t>10 EVIDENCE &amp; DECISIONS</t>
        </is>
      </c>
    </row>
    <row r="1345" ht="34" customHeight="1">
      <c r="A1345" s="34" t="inlineStr">
        <is>
          <t>Cost &amp; Forecast Control Accounts</t>
        </is>
      </c>
      <c r="B1345" s="34" t="inlineStr">
        <is>
          <t>CST-06-044</t>
        </is>
      </c>
      <c r="C1345" s="34" t="inlineStr">
        <is>
          <t>Program Management - stakeholder services - field package</t>
        </is>
      </c>
      <c r="D1345" s="34" t="inlineStr">
        <is>
          <t>Cost Account = CA-6044; WBS Code = 1.6.2</t>
        </is>
      </c>
      <c r="E1345" s="34" t="inlineStr">
        <is>
          <t>R1526-v1</t>
        </is>
      </c>
      <c r="F1345" s="34" t="inlineStr">
        <is>
          <t>1.6.2 Program Management - Commercial &amp; Procurement</t>
        </is>
      </c>
      <c r="G1345" s="34" t="inlineStr">
        <is>
          <t>ONE_TO_ONE</t>
        </is>
      </c>
      <c r="H1345" s="34" t="inlineStr">
        <is>
          <t>APPROVED</t>
        </is>
      </c>
      <c r="I1345" s="34" t="inlineStr">
        <is>
          <t>New</t>
        </is>
      </c>
      <c r="J1345" s="34" t="inlineStr">
        <is>
          <t>Source assignment -- not individually reviewed</t>
        </is>
      </c>
      <c r="K1345" s="39" t="inlineStr"/>
      <c r="L1345" s="14" t="inlineStr"/>
      <c r="M1345" s="14" t="inlineStr"/>
      <c r="N1345" s="92" t="inlineStr">
        <is>
          <t>10 EVIDENCE &amp; DECISIONS</t>
        </is>
      </c>
    </row>
    <row r="1346" ht="34" customHeight="1">
      <c r="A1346" s="34" t="inlineStr">
        <is>
          <t>Cost &amp; Forecast Control Accounts</t>
        </is>
      </c>
      <c r="B1346" s="34" t="inlineStr">
        <is>
          <t>CST-06-046</t>
        </is>
      </c>
      <c r="C1346" s="34" t="inlineStr">
        <is>
          <t>Program Management - design integration - professional services</t>
        </is>
      </c>
      <c r="D1346" s="34" t="inlineStr">
        <is>
          <t>Cost Account = CA-6046; WBS Code = 1.6.2</t>
        </is>
      </c>
      <c r="E1346" s="34" t="inlineStr">
        <is>
          <t>R1528-v1</t>
        </is>
      </c>
      <c r="F1346" s="34" t="inlineStr">
        <is>
          <t>1.6.2 Program Management - Commercial &amp; Procurement</t>
        </is>
      </c>
      <c r="G1346" s="34" t="inlineStr">
        <is>
          <t>ONE_TO_ONE</t>
        </is>
      </c>
      <c r="H1346" s="34" t="inlineStr">
        <is>
          <t>APPROVED</t>
        </is>
      </c>
      <c r="I1346" s="34" t="inlineStr">
        <is>
          <t>New</t>
        </is>
      </c>
      <c r="J1346" s="34" t="inlineStr">
        <is>
          <t>Source assignment -- not individually reviewed</t>
        </is>
      </c>
      <c r="K1346" s="39" t="inlineStr"/>
      <c r="L1346" s="14" t="inlineStr"/>
      <c r="M1346" s="14" t="inlineStr"/>
      <c r="N1346" s="92" t="inlineStr">
        <is>
          <t>10 EVIDENCE &amp; DECISIONS</t>
        </is>
      </c>
    </row>
    <row r="1347" ht="34" customHeight="1">
      <c r="A1347" s="34" t="inlineStr">
        <is>
          <t>Cost &amp; Forecast Control Accounts</t>
        </is>
      </c>
      <c r="B1347" s="34" t="inlineStr">
        <is>
          <t>CST-06-048</t>
        </is>
      </c>
      <c r="C1347" s="34" t="inlineStr">
        <is>
          <t>Program Management - program controls - closeout</t>
        </is>
      </c>
      <c r="D1347" s="34" t="inlineStr">
        <is>
          <t>Cost Account = CA-6048; WBS Code = 1.6.2</t>
        </is>
      </c>
      <c r="E1347" s="34" t="inlineStr">
        <is>
          <t>R1530-v1</t>
        </is>
      </c>
      <c r="F1347" s="34" t="inlineStr">
        <is>
          <t>1.6.2 Program Management - Commercial &amp; Procurement</t>
        </is>
      </c>
      <c r="G1347" s="34" t="inlineStr">
        <is>
          <t>ONE_TO_ONE</t>
        </is>
      </c>
      <c r="H1347" s="34" t="inlineStr">
        <is>
          <t>APPROVED</t>
        </is>
      </c>
      <c r="I1347" s="34" t="inlineStr">
        <is>
          <t>New</t>
        </is>
      </c>
      <c r="J1347" s="34" t="inlineStr">
        <is>
          <t>Source assignment -- not individually reviewed</t>
        </is>
      </c>
      <c r="K1347" s="39" t="inlineStr"/>
      <c r="L1347" s="14" t="inlineStr"/>
      <c r="M1347" s="14" t="inlineStr"/>
      <c r="N1347" s="92" t="inlineStr">
        <is>
          <t>10 EVIDENCE &amp; DECISIONS</t>
        </is>
      </c>
    </row>
    <row r="1348" ht="34" customHeight="1">
      <c r="A1348" s="34" t="inlineStr">
        <is>
          <t>Cost &amp; Forecast Control Accounts</t>
        </is>
      </c>
      <c r="B1348" s="34" t="inlineStr">
        <is>
          <t>CST-06-050</t>
        </is>
      </c>
      <c r="C1348" s="34" t="inlineStr">
        <is>
          <t>Program Management - stakeholder services - supply and install</t>
        </is>
      </c>
      <c r="D1348" s="34" t="inlineStr">
        <is>
          <t>Cost Account = CA-6050; WBS Code = 1.6.2</t>
        </is>
      </c>
      <c r="E1348" s="34" t="inlineStr">
        <is>
          <t>R1532-v1</t>
        </is>
      </c>
      <c r="F1348" s="34" t="inlineStr">
        <is>
          <t>1.6.2 Program Management - Commercial &amp; Procurement</t>
        </is>
      </c>
      <c r="G1348" s="34" t="inlineStr">
        <is>
          <t>ONE_TO_ONE</t>
        </is>
      </c>
      <c r="H1348" s="34" t="inlineStr">
        <is>
          <t>APPROVED</t>
        </is>
      </c>
      <c r="I1348" s="34" t="inlineStr">
        <is>
          <t>New</t>
        </is>
      </c>
      <c r="J1348" s="34" t="inlineStr">
        <is>
          <t>Source assignment -- not individually reviewed</t>
        </is>
      </c>
      <c r="K1348" s="39" t="inlineStr"/>
      <c r="L1348" s="14" t="inlineStr"/>
      <c r="M1348" s="14" t="inlineStr"/>
      <c r="N1348" s="92" t="inlineStr">
        <is>
          <t>10 EVIDENCE &amp; DECISIONS</t>
        </is>
      </c>
    </row>
    <row r="1349" ht="34" customHeight="1">
      <c r="A1349" s="34" t="inlineStr">
        <is>
          <t>Cost &amp; Forecast Control Accounts</t>
        </is>
      </c>
      <c r="B1349" s="34" t="inlineStr">
        <is>
          <t>CST-06-052</t>
        </is>
      </c>
      <c r="C1349" s="34" t="inlineStr">
        <is>
          <t>Program Management - design integration - allowance</t>
        </is>
      </c>
      <c r="D1349" s="34" t="inlineStr">
        <is>
          <t>Cost Account = CA-6052; WBS Code = 1.6.2</t>
        </is>
      </c>
      <c r="E1349" s="34" t="inlineStr">
        <is>
          <t>R1534-v1</t>
        </is>
      </c>
      <c r="F1349" s="34" t="inlineStr">
        <is>
          <t>1.6.2 Program Management - Commercial &amp; Procurement</t>
        </is>
      </c>
      <c r="G1349" s="34" t="inlineStr">
        <is>
          <t>ONE_TO_ONE</t>
        </is>
      </c>
      <c r="H1349" s="34" t="inlineStr">
        <is>
          <t>APPROVED</t>
        </is>
      </c>
      <c r="I1349" s="34" t="inlineStr">
        <is>
          <t>New</t>
        </is>
      </c>
      <c r="J1349" s="34" t="inlineStr">
        <is>
          <t>Source assignment -- not individually reviewed</t>
        </is>
      </c>
      <c r="K1349" s="39" t="inlineStr"/>
      <c r="L1349" s="14" t="inlineStr"/>
      <c r="M1349" s="14" t="inlineStr"/>
      <c r="N1349" s="92" t="inlineStr">
        <is>
          <t>10 EVIDENCE &amp; DECISIONS</t>
        </is>
      </c>
    </row>
    <row r="1350" ht="34" customHeight="1">
      <c r="A1350" s="34" t="inlineStr">
        <is>
          <t>Cost &amp; Forecast Control Accounts</t>
        </is>
      </c>
      <c r="B1350" s="34" t="inlineStr">
        <is>
          <t>CST-06-054</t>
        </is>
      </c>
      <c r="C1350" s="34" t="inlineStr">
        <is>
          <t>Program Management - program controls - field package</t>
        </is>
      </c>
      <c r="D1350" s="34" t="inlineStr">
        <is>
          <t>Cost Account = CA-6054; WBS Code = 1.6.2</t>
        </is>
      </c>
      <c r="E1350" s="34" t="inlineStr">
        <is>
          <t>R1536-v1</t>
        </is>
      </c>
      <c r="F1350" s="34" t="inlineStr">
        <is>
          <t>1.6.2 Program Management - Commercial &amp; Procurement</t>
        </is>
      </c>
      <c r="G1350" s="34" t="inlineStr">
        <is>
          <t>ONE_TO_ONE</t>
        </is>
      </c>
      <c r="H1350" s="34" t="inlineStr">
        <is>
          <t>APPROVED</t>
        </is>
      </c>
      <c r="I1350" s="34" t="inlineStr">
        <is>
          <t>New</t>
        </is>
      </c>
      <c r="J1350" s="34" t="inlineStr">
        <is>
          <t>Source assignment -- not individually reviewed</t>
        </is>
      </c>
      <c r="K1350" s="39" t="inlineStr"/>
      <c r="L1350" s="14" t="inlineStr"/>
      <c r="M1350" s="14" t="inlineStr"/>
      <c r="N1350" s="92" t="inlineStr">
        <is>
          <t>10 EVIDENCE &amp; DECISIONS</t>
        </is>
      </c>
    </row>
    <row r="1351" ht="34" customHeight="1">
      <c r="A1351" s="34" t="inlineStr">
        <is>
          <t>Cost &amp; Forecast Control Accounts</t>
        </is>
      </c>
      <c r="B1351" s="34" t="inlineStr">
        <is>
          <t>CST-06-056</t>
        </is>
      </c>
      <c r="C1351" s="34" t="inlineStr">
        <is>
          <t>Program Management - stakeholder services - professional services</t>
        </is>
      </c>
      <c r="D1351" s="34" t="inlineStr">
        <is>
          <t>Cost Account = CA-6056; WBS Code = 1.6.2</t>
        </is>
      </c>
      <c r="E1351" s="34" t="inlineStr">
        <is>
          <t>R1538-v1</t>
        </is>
      </c>
      <c r="F1351" s="34" t="inlineStr">
        <is>
          <t>1.6.2 Program Management - Commercial &amp; Procurement</t>
        </is>
      </c>
      <c r="G1351" s="34" t="inlineStr">
        <is>
          <t>ONE_TO_ONE</t>
        </is>
      </c>
      <c r="H1351" s="34" t="inlineStr">
        <is>
          <t>APPROVED</t>
        </is>
      </c>
      <c r="I1351" s="34" t="inlineStr">
        <is>
          <t>New</t>
        </is>
      </c>
      <c r="J1351" s="34" t="inlineStr">
        <is>
          <t>Source assignment -- not individually reviewed</t>
        </is>
      </c>
      <c r="K1351" s="39" t="inlineStr"/>
      <c r="L1351" s="14" t="inlineStr"/>
      <c r="M1351" s="14" t="inlineStr"/>
      <c r="N1351" s="92" t="inlineStr">
        <is>
          <t>10 EVIDENCE &amp; DECISIONS</t>
        </is>
      </c>
    </row>
    <row r="1352" ht="34" customHeight="1">
      <c r="A1352" s="34" t="inlineStr">
        <is>
          <t>Cost &amp; Forecast Control Accounts</t>
        </is>
      </c>
      <c r="B1352" s="34" t="inlineStr">
        <is>
          <t>CST-06-058</t>
        </is>
      </c>
      <c r="C1352" s="34" t="inlineStr">
        <is>
          <t>Program Management - design integration - closeout</t>
        </is>
      </c>
      <c r="D1352" s="34" t="inlineStr">
        <is>
          <t>Cost Account = CA-6058; WBS Code = 1.6.2</t>
        </is>
      </c>
      <c r="E1352" s="34" t="inlineStr">
        <is>
          <t>R1540-v1</t>
        </is>
      </c>
      <c r="F1352" s="34" t="inlineStr">
        <is>
          <t>1.6.2 Program Management - Commercial &amp; Procurement</t>
        </is>
      </c>
      <c r="G1352" s="34" t="inlineStr">
        <is>
          <t>ONE_TO_ONE</t>
        </is>
      </c>
      <c r="H1352" s="34" t="inlineStr">
        <is>
          <t>APPROVED</t>
        </is>
      </c>
      <c r="I1352" s="34" t="inlineStr">
        <is>
          <t>New</t>
        </is>
      </c>
      <c r="J1352" s="34" t="inlineStr">
        <is>
          <t>Source assignment -- not individually reviewed</t>
        </is>
      </c>
      <c r="K1352" s="39" t="inlineStr"/>
      <c r="L1352" s="14" t="inlineStr"/>
      <c r="M1352" s="14" t="inlineStr"/>
      <c r="N1352" s="92" t="inlineStr">
        <is>
          <t>10 EVIDENCE &amp; DECISIONS</t>
        </is>
      </c>
    </row>
    <row r="1353" ht="34" customHeight="1">
      <c r="A1353" s="34" t="inlineStr">
        <is>
          <t>Cost &amp; Forecast Control Accounts</t>
        </is>
      </c>
      <c r="B1353" s="34" t="inlineStr">
        <is>
          <t>CST-06-060</t>
        </is>
      </c>
      <c r="C1353" s="34" t="inlineStr">
        <is>
          <t>Program Management - program controls - supply and install</t>
        </is>
      </c>
      <c r="D1353" s="34" t="inlineStr">
        <is>
          <t>Cost Account = CA-6060; WBS Code = 1.6.2</t>
        </is>
      </c>
      <c r="E1353" s="34" t="inlineStr">
        <is>
          <t>R1542-v1</t>
        </is>
      </c>
      <c r="F1353" s="34" t="inlineStr">
        <is>
          <t>1.6.2 Program Management - Commercial &amp; Procurement</t>
        </is>
      </c>
      <c r="G1353" s="34" t="inlineStr">
        <is>
          <t>ONE_TO_ONE</t>
        </is>
      </c>
      <c r="H1353" s="34" t="inlineStr">
        <is>
          <t>APPROVED</t>
        </is>
      </c>
      <c r="I1353" s="34" t="inlineStr">
        <is>
          <t>New</t>
        </is>
      </c>
      <c r="J1353" s="34" t="inlineStr">
        <is>
          <t>Source assignment -- not individually reviewed</t>
        </is>
      </c>
      <c r="K1353" s="39" t="inlineStr"/>
      <c r="L1353" s="14" t="inlineStr"/>
      <c r="M1353" s="14" t="inlineStr"/>
      <c r="N1353" s="92" t="inlineStr">
        <is>
          <t>10 EVIDENCE &amp; DECISIONS</t>
        </is>
      </c>
    </row>
    <row r="1354" ht="34" customHeight="1">
      <c r="A1354" s="34" t="inlineStr">
        <is>
          <t>Cost &amp; Forecast Control Accounts</t>
        </is>
      </c>
      <c r="B1354" s="34" t="inlineStr">
        <is>
          <t>CST-06-062</t>
        </is>
      </c>
      <c r="C1354" s="34" t="inlineStr">
        <is>
          <t>Program Management - stakeholder services - allowance</t>
        </is>
      </c>
      <c r="D1354" s="34" t="inlineStr">
        <is>
          <t>Cost Account = CA-6062; WBS Code = 1.6.2</t>
        </is>
      </c>
      <c r="E1354" s="34" t="inlineStr">
        <is>
          <t>R1544-v1</t>
        </is>
      </c>
      <c r="F1354" s="34" t="inlineStr">
        <is>
          <t>1.6.2 Program Management - Commercial &amp; Procurement</t>
        </is>
      </c>
      <c r="G1354" s="34" t="inlineStr">
        <is>
          <t>ONE_TO_ONE</t>
        </is>
      </c>
      <c r="H1354" s="34" t="inlineStr">
        <is>
          <t>APPROVED</t>
        </is>
      </c>
      <c r="I1354" s="34" t="inlineStr">
        <is>
          <t>New</t>
        </is>
      </c>
      <c r="J1354" s="34" t="inlineStr">
        <is>
          <t>Source assignment -- not individually reviewed</t>
        </is>
      </c>
      <c r="K1354" s="39" t="inlineStr"/>
      <c r="L1354" s="14" t="inlineStr"/>
      <c r="M1354" s="14" t="inlineStr"/>
      <c r="N1354" s="92" t="inlineStr">
        <is>
          <t>10 EVIDENCE &amp; DECISIONS</t>
        </is>
      </c>
    </row>
    <row r="1355" ht="34" customHeight="1">
      <c r="A1355" s="34" t="inlineStr">
        <is>
          <t>Cost &amp; Forecast Control Accounts</t>
        </is>
      </c>
      <c r="B1355" s="34" t="inlineStr">
        <is>
          <t>CST-06-064</t>
        </is>
      </c>
      <c r="C1355" s="34" t="inlineStr">
        <is>
          <t>Program Management - design integration - field package</t>
        </is>
      </c>
      <c r="D1355" s="34" t="inlineStr">
        <is>
          <t>Cost Account = CA-6064; WBS Code = 1.6.2</t>
        </is>
      </c>
      <c r="E1355" s="34" t="inlineStr">
        <is>
          <t>R1546-v1</t>
        </is>
      </c>
      <c r="F1355" s="34" t="inlineStr">
        <is>
          <t>1.6.2 Program Management - Commercial &amp; Procurement</t>
        </is>
      </c>
      <c r="G1355" s="34" t="inlineStr">
        <is>
          <t>ONE_TO_ONE</t>
        </is>
      </c>
      <c r="H1355" s="34" t="inlineStr">
        <is>
          <t>APPROVED</t>
        </is>
      </c>
      <c r="I1355" s="34" t="inlineStr">
        <is>
          <t>New</t>
        </is>
      </c>
      <c r="J1355" s="34" t="inlineStr">
        <is>
          <t>Source assignment -- not individually reviewed</t>
        </is>
      </c>
      <c r="K1355" s="39" t="inlineStr"/>
      <c r="L1355" s="14" t="inlineStr"/>
      <c r="M1355" s="14" t="inlineStr"/>
      <c r="N1355" s="92" t="inlineStr">
        <is>
          <t>10 EVIDENCE &amp; DECISIONS</t>
        </is>
      </c>
    </row>
    <row r="1356" ht="34" customHeight="1">
      <c r="A1356" s="34" t="inlineStr">
        <is>
          <t>Cost &amp; Forecast Control Accounts</t>
        </is>
      </c>
      <c r="B1356" s="34" t="inlineStr">
        <is>
          <t>CST-06-066</t>
        </is>
      </c>
      <c r="C1356" s="34" t="inlineStr">
        <is>
          <t>Program Management - program controls - professional services</t>
        </is>
      </c>
      <c r="D1356" s="34" t="inlineStr">
        <is>
          <t>Cost Account = CA-6066; WBS Code = 1.6.2</t>
        </is>
      </c>
      <c r="E1356" s="34" t="inlineStr">
        <is>
          <t>R1548-v1</t>
        </is>
      </c>
      <c r="F1356" s="34" t="inlineStr">
        <is>
          <t>1.6.2 Program Management - Commercial &amp; Procurement</t>
        </is>
      </c>
      <c r="G1356" s="34" t="inlineStr">
        <is>
          <t>ONE_TO_ONE</t>
        </is>
      </c>
      <c r="H1356" s="34" t="inlineStr">
        <is>
          <t>APPROVED</t>
        </is>
      </c>
      <c r="I1356" s="34" t="inlineStr">
        <is>
          <t>New</t>
        </is>
      </c>
      <c r="J1356" s="34" t="inlineStr">
        <is>
          <t>Source assignment -- not individually reviewed</t>
        </is>
      </c>
      <c r="K1356" s="39" t="inlineStr"/>
      <c r="L1356" s="14" t="inlineStr"/>
      <c r="M1356" s="14" t="inlineStr"/>
      <c r="N1356" s="92" t="inlineStr">
        <is>
          <t>10 EVIDENCE &amp; DECISIONS</t>
        </is>
      </c>
    </row>
    <row r="1357" ht="34" customHeight="1">
      <c r="A1357" s="34" t="inlineStr">
        <is>
          <t>Cost &amp; Forecast Control Accounts</t>
        </is>
      </c>
      <c r="B1357" s="34" t="inlineStr">
        <is>
          <t>CST-06-068</t>
        </is>
      </c>
      <c r="C1357" s="34" t="inlineStr">
        <is>
          <t>Program Management - stakeholder services - closeout</t>
        </is>
      </c>
      <c r="D1357" s="34" t="inlineStr">
        <is>
          <t>Cost Account = CA-6068; WBS Code = 1.6.2</t>
        </is>
      </c>
      <c r="E1357" s="34" t="inlineStr">
        <is>
          <t>R1550-v1</t>
        </is>
      </c>
      <c r="F1357" s="34" t="inlineStr">
        <is>
          <t>1.6.2 Program Management - Commercial &amp; Procurement</t>
        </is>
      </c>
      <c r="G1357" s="34" t="inlineStr">
        <is>
          <t>ONE_TO_ONE</t>
        </is>
      </c>
      <c r="H1357" s="34" t="inlineStr">
        <is>
          <t>APPROVED</t>
        </is>
      </c>
      <c r="I1357" s="34" t="inlineStr">
        <is>
          <t>New</t>
        </is>
      </c>
      <c r="J1357" s="34" t="inlineStr">
        <is>
          <t>Source assignment -- not individually reviewed</t>
        </is>
      </c>
      <c r="K1357" s="39" t="inlineStr"/>
      <c r="L1357" s="14" t="inlineStr"/>
      <c r="M1357" s="14" t="inlineStr"/>
      <c r="N1357" s="92" t="inlineStr">
        <is>
          <t>10 EVIDENCE &amp; DECISIONS</t>
        </is>
      </c>
    </row>
    <row r="1358" ht="34" customHeight="1">
      <c r="A1358" s="34" t="inlineStr">
        <is>
          <t>Cost &amp; Forecast Control Accounts</t>
        </is>
      </c>
      <c r="B1358" s="34" t="inlineStr">
        <is>
          <t>CST-06-070</t>
        </is>
      </c>
      <c r="C1358" s="34" t="inlineStr">
        <is>
          <t>Program Management - design integration - supply and install</t>
        </is>
      </c>
      <c r="D1358" s="34" t="inlineStr">
        <is>
          <t>Cost Account = CA-6070; WBS Code = 1.6.2</t>
        </is>
      </c>
      <c r="E1358" s="34" t="inlineStr">
        <is>
          <t>R1552-v1</t>
        </is>
      </c>
      <c r="F1358" s="34" t="inlineStr">
        <is>
          <t>1.6.2 Program Management - Commercial &amp; Procurement</t>
        </is>
      </c>
      <c r="G1358" s="34" t="inlineStr">
        <is>
          <t>ONE_TO_ONE</t>
        </is>
      </c>
      <c r="H1358" s="34" t="inlineStr">
        <is>
          <t>APPROVED</t>
        </is>
      </c>
      <c r="I1358" s="34" t="inlineStr">
        <is>
          <t>New</t>
        </is>
      </c>
      <c r="J1358" s="34" t="inlineStr">
        <is>
          <t>Source assignment -- not individually reviewed</t>
        </is>
      </c>
      <c r="K1358" s="39" t="inlineStr"/>
      <c r="L1358" s="14" t="inlineStr"/>
      <c r="M1358" s="14" t="inlineStr"/>
      <c r="N1358" s="92" t="inlineStr">
        <is>
          <t>10 EVIDENCE &amp; DECISIONS</t>
        </is>
      </c>
    </row>
    <row r="1359" ht="34" customHeight="1">
      <c r="A1359" s="34" t="inlineStr">
        <is>
          <t>Cost &amp; Forecast Control Accounts</t>
        </is>
      </c>
      <c r="B1359" s="34" t="inlineStr">
        <is>
          <t>CST-06-072</t>
        </is>
      </c>
      <c r="C1359" s="34" t="inlineStr">
        <is>
          <t>Program Management - program controls - allowance</t>
        </is>
      </c>
      <c r="D1359" s="34" t="inlineStr">
        <is>
          <t>Cost Account = CA-6072; WBS Code = 1.6.2</t>
        </is>
      </c>
      <c r="E1359" s="34" t="inlineStr">
        <is>
          <t>R1554-v1</t>
        </is>
      </c>
      <c r="F1359" s="34" t="inlineStr">
        <is>
          <t>1.6.2 Program Management - Commercial &amp; Procurement</t>
        </is>
      </c>
      <c r="G1359" s="34" t="inlineStr">
        <is>
          <t>ONE_TO_ONE</t>
        </is>
      </c>
      <c r="H1359" s="34" t="inlineStr">
        <is>
          <t>APPROVED</t>
        </is>
      </c>
      <c r="I1359" s="34" t="inlineStr">
        <is>
          <t>New</t>
        </is>
      </c>
      <c r="J1359" s="34" t="inlineStr">
        <is>
          <t>Source assignment -- not individually reviewed</t>
        </is>
      </c>
      <c r="K1359" s="39" t="inlineStr"/>
      <c r="L1359" s="14" t="inlineStr"/>
      <c r="M1359" s="14" t="inlineStr"/>
      <c r="N1359" s="92" t="inlineStr">
        <is>
          <t>10 EVIDENCE &amp; DECISIONS</t>
        </is>
      </c>
    </row>
    <row r="1360" ht="34" customHeight="1">
      <c r="A1360" s="34" t="inlineStr">
        <is>
          <t>Cost &amp; Forecast Control Accounts</t>
        </is>
      </c>
      <c r="B1360" s="34" t="inlineStr">
        <is>
          <t>CST-06-074</t>
        </is>
      </c>
      <c r="C1360" s="34" t="inlineStr">
        <is>
          <t>Program Management - stakeholder services - field package</t>
        </is>
      </c>
      <c r="D1360" s="34" t="inlineStr">
        <is>
          <t>Cost Account = CA-6074; WBS Code = 1.6.2</t>
        </is>
      </c>
      <c r="E1360" s="34" t="inlineStr">
        <is>
          <t>R1556-v1</t>
        </is>
      </c>
      <c r="F1360" s="34" t="inlineStr">
        <is>
          <t>1.6.2 Program Management - Commercial &amp; Procurement</t>
        </is>
      </c>
      <c r="G1360" s="34" t="inlineStr">
        <is>
          <t>ONE_TO_ONE</t>
        </is>
      </c>
      <c r="H1360" s="34" t="inlineStr">
        <is>
          <t>APPROVED</t>
        </is>
      </c>
      <c r="I1360" s="34" t="inlineStr">
        <is>
          <t>New</t>
        </is>
      </c>
      <c r="J1360" s="34" t="inlineStr">
        <is>
          <t>Source assignment -- not individually reviewed</t>
        </is>
      </c>
      <c r="K1360" s="39" t="inlineStr"/>
      <c r="L1360" s="14" t="inlineStr"/>
      <c r="M1360" s="14" t="inlineStr"/>
      <c r="N1360" s="92" t="inlineStr">
        <is>
          <t>10 EVIDENCE &amp; DECISIONS</t>
        </is>
      </c>
    </row>
    <row r="1361" ht="34" customHeight="1">
      <c r="A1361" s="34" t="inlineStr">
        <is>
          <t>Cost &amp; Forecast Control Accounts</t>
        </is>
      </c>
      <c r="B1361" s="34" t="inlineStr">
        <is>
          <t>CST-06-076</t>
        </is>
      </c>
      <c r="C1361" s="34" t="inlineStr">
        <is>
          <t>Program Management - design integration - professional services</t>
        </is>
      </c>
      <c r="D1361" s="34" t="inlineStr">
        <is>
          <t>Cost Account = CA-6076; WBS Code = 1.6.2</t>
        </is>
      </c>
      <c r="E1361" s="34" t="inlineStr">
        <is>
          <t>R1558-v1</t>
        </is>
      </c>
      <c r="F1361" s="34" t="inlineStr">
        <is>
          <t>1.6.2 Program Management - Commercial &amp; Procurement</t>
        </is>
      </c>
      <c r="G1361" s="34" t="inlineStr">
        <is>
          <t>ONE_TO_ONE</t>
        </is>
      </c>
      <c r="H1361" s="34" t="inlineStr">
        <is>
          <t>APPROVED</t>
        </is>
      </c>
      <c r="I1361" s="34" t="inlineStr">
        <is>
          <t>New</t>
        </is>
      </c>
      <c r="J1361" s="34" t="inlineStr">
        <is>
          <t>Source assignment -- not individually reviewed</t>
        </is>
      </c>
      <c r="K1361" s="39" t="inlineStr"/>
      <c r="L1361" s="14" t="inlineStr"/>
      <c r="M1361" s="14" t="inlineStr"/>
      <c r="N1361" s="92" t="inlineStr">
        <is>
          <t>10 EVIDENCE &amp; DECISIONS</t>
        </is>
      </c>
    </row>
    <row r="1362" ht="34" customHeight="1">
      <c r="A1362" s="34" t="inlineStr">
        <is>
          <t>Cost &amp; Forecast Control Accounts</t>
        </is>
      </c>
      <c r="B1362" s="34" t="inlineStr">
        <is>
          <t>CST-06-078</t>
        </is>
      </c>
      <c r="C1362" s="34" t="inlineStr">
        <is>
          <t>Program Management - program controls - closeout</t>
        </is>
      </c>
      <c r="D1362" s="34" t="inlineStr">
        <is>
          <t>Cost Account = CA-6078; WBS Code = 1.6.2</t>
        </is>
      </c>
      <c r="E1362" s="34" t="inlineStr">
        <is>
          <t>R1560-v1</t>
        </is>
      </c>
      <c r="F1362" s="34" t="inlineStr">
        <is>
          <t>1.6.2 Program Management - Commercial &amp; Procurement</t>
        </is>
      </c>
      <c r="G1362" s="34" t="inlineStr">
        <is>
          <t>ONE_TO_ONE</t>
        </is>
      </c>
      <c r="H1362" s="34" t="inlineStr">
        <is>
          <t>APPROVED</t>
        </is>
      </c>
      <c r="I1362" s="34" t="inlineStr">
        <is>
          <t>New</t>
        </is>
      </c>
      <c r="J1362" s="34" t="inlineStr">
        <is>
          <t>Source assignment -- not individually reviewed</t>
        </is>
      </c>
      <c r="K1362" s="39" t="inlineStr"/>
      <c r="L1362" s="14" t="inlineStr"/>
      <c r="M1362" s="14" t="inlineStr"/>
      <c r="N1362" s="92" t="inlineStr">
        <is>
          <t>10 EVIDENCE &amp; DECISIONS</t>
        </is>
      </c>
    </row>
    <row r="1363" ht="34" customHeight="1">
      <c r="A1363" s="34" t="inlineStr">
        <is>
          <t>Cost &amp; Forecast Control Accounts</t>
        </is>
      </c>
      <c r="B1363" s="34" t="inlineStr">
        <is>
          <t>CST-06-080</t>
        </is>
      </c>
      <c r="C1363" s="34" t="inlineStr">
        <is>
          <t>Program Management - stakeholder services - supply and install</t>
        </is>
      </c>
      <c r="D1363" s="34" t="inlineStr">
        <is>
          <t>Cost Account = CA-6080; WBS Code = 1.6.2</t>
        </is>
      </c>
      <c r="E1363" s="34" t="inlineStr">
        <is>
          <t>R1562-v1</t>
        </is>
      </c>
      <c r="F1363" s="34" t="inlineStr">
        <is>
          <t>1.6.2 Program Management - Commercial &amp; Procurement</t>
        </is>
      </c>
      <c r="G1363" s="34" t="inlineStr">
        <is>
          <t>ONE_TO_ONE</t>
        </is>
      </c>
      <c r="H1363" s="34" t="inlineStr">
        <is>
          <t>APPROVED</t>
        </is>
      </c>
      <c r="I1363" s="34" t="inlineStr">
        <is>
          <t>New</t>
        </is>
      </c>
      <c r="J1363" s="34" t="inlineStr">
        <is>
          <t>Source assignment -- not individually reviewed</t>
        </is>
      </c>
      <c r="K1363" s="39" t="inlineStr"/>
      <c r="L1363" s="14" t="inlineStr"/>
      <c r="M1363" s="14" t="inlineStr"/>
      <c r="N1363" s="92" t="inlineStr">
        <is>
          <t>10 EVIDENCE &amp; DECISIONS</t>
        </is>
      </c>
    </row>
    <row r="1364" ht="94" customHeight="1">
      <c r="A1364" s="34" t="inlineStr">
        <is>
          <t>Contractor Programme</t>
        </is>
      </c>
      <c r="B1364" s="34" t="inlineStr">
        <is>
          <t>SCH-90-901</t>
        </is>
      </c>
      <c r="C1364" s="34" t="inlineStr">
        <is>
          <t>Temporary offsite logistics compound</t>
        </is>
      </c>
      <c r="D1364" s="34" t="inlineStr">
        <is>
          <t>WBS Code = 2.1</t>
        </is>
      </c>
      <c r="E1364" s="34" t="inlineStr">
        <is>
          <t>R1081-v2</t>
        </is>
      </c>
      <c r="F1364" s="34" t="inlineStr">
        <is>
          <t>NEW_SCOPE</t>
        </is>
      </c>
      <c r="G1364" s="34" t="inlineStr">
        <is>
          <t>NEW_SCOPE</t>
        </is>
      </c>
      <c r="H1364" s="34" t="inlineStr">
        <is>
          <t>APPROVED</t>
        </is>
      </c>
      <c r="I1364" s="34" t="inlineStr">
        <is>
          <t>New</t>
        </is>
      </c>
      <c r="J1364" s="34" t="inlineStr">
        <is>
          <t>Professional decision</t>
        </is>
      </c>
      <c r="K1364" s="34" t="inlineStr">
        <is>
          <t>Maya Chen, Owner Project Controls</t>
        </is>
      </c>
      <c r="L1364" s="14" t="inlineStr"/>
      <c r="M1364" s="34" t="inlineStr">
        <is>
          <t>Source states 'WBS Code' = '2.1' -- names no element of this WBS -- professional reason (Maya Chen, Owner Project Controls): Source states a project-delivery code outside the currently approved Owner WBS.</t>
        </is>
      </c>
      <c r="N1364" s="92" t="inlineStr">
        <is>
          <t>10 EVIDENCE &amp; DECISIONS</t>
        </is>
      </c>
    </row>
    <row r="1365" ht="34" customHeight="1">
      <c r="A1365" s="34" t="inlineStr">
        <is>
          <t>Contractor Programme</t>
        </is>
      </c>
      <c r="B1365" s="34" t="inlineStr">
        <is>
          <t>SCH-90-902</t>
        </is>
      </c>
      <c r="C1365" s="34" t="inlineStr">
        <is>
          <t>Corporate training unrelated to project delivery scope</t>
        </is>
      </c>
      <c r="D1365" s="14" t="inlineStr"/>
      <c r="E1365" s="34" t="inlineStr">
        <is>
          <t>R1082-v2</t>
        </is>
      </c>
      <c r="F1365" s="34" t="inlineStr">
        <is>
          <t>NO_WBS</t>
        </is>
      </c>
      <c r="G1365" s="34" t="inlineStr">
        <is>
          <t>NO_WBS</t>
        </is>
      </c>
      <c r="H1365" s="34" t="inlineStr">
        <is>
          <t>APPROVED</t>
        </is>
      </c>
      <c r="I1365" s="34" t="inlineStr">
        <is>
          <t>New</t>
        </is>
      </c>
      <c r="J1365" s="34" t="inlineStr">
        <is>
          <t>Professional decision</t>
        </is>
      </c>
      <c r="K1365" s="34" t="inlineStr">
        <is>
          <t>Maya Chen, Owner Project Controls</t>
        </is>
      </c>
      <c r="L1365" s="14" t="inlineStr"/>
      <c r="M1365" s="14" t="inlineStr"/>
      <c r="N1365" s="92" t="inlineStr">
        <is>
          <t>10 EVIDENCE &amp; DECISIONS</t>
        </is>
      </c>
    </row>
    <row r="1366" ht="34" customHeight="1">
      <c r="A1366" s="34" t="inlineStr">
        <is>
          <t>Contractor Programme</t>
        </is>
      </c>
      <c r="B1366" s="34" t="inlineStr">
        <is>
          <t>SCH-02-003</t>
        </is>
      </c>
      <c r="C1366" s="34" t="inlineStr">
        <is>
          <t>Interface works near stations boundary</t>
        </is>
      </c>
      <c r="D1366" s="14" t="inlineStr"/>
      <c r="E1366" s="34" t="inlineStr">
        <is>
          <t>R183-v2</t>
        </is>
      </c>
      <c r="F1366" s="34" t="inlineStr">
        <is>
          <t>UNSURE</t>
        </is>
      </c>
      <c r="G1366" s="34" t="inlineStr">
        <is>
          <t>UNSURE</t>
        </is>
      </c>
      <c r="H1366" s="34" t="inlineStr">
        <is>
          <t>APPROVED</t>
        </is>
      </c>
      <c r="I1366" s="34" t="inlineStr">
        <is>
          <t>New</t>
        </is>
      </c>
      <c r="J1366" s="34" t="inlineStr">
        <is>
          <t>Professional decision</t>
        </is>
      </c>
      <c r="K1366" s="34" t="inlineStr">
        <is>
          <t>Maya Chen, Owner Project Controls</t>
        </is>
      </c>
      <c r="L1366" s="14" t="inlineStr"/>
      <c r="M1366" s="14" t="inlineStr"/>
      <c r="N1366" s="92" t="inlineStr">
        <is>
          <t>10 EVIDENCE &amp; DECISIONS</t>
        </is>
      </c>
    </row>
    <row r="1367" ht="34" customHeight="1">
      <c r="A1367" s="34" t="inlineStr">
        <is>
          <t>Contractor Programme</t>
        </is>
      </c>
      <c r="B1367" s="34" t="inlineStr">
        <is>
          <t>SCH-04-003</t>
        </is>
      </c>
      <c r="C1367" s="34" t="inlineStr">
        <is>
          <t>Interface works near vehicles and depot boundary</t>
        </is>
      </c>
      <c r="D1367" s="14" t="inlineStr"/>
      <c r="E1367" s="34" t="inlineStr">
        <is>
          <t>R543-v2</t>
        </is>
      </c>
      <c r="F1367" s="34" t="inlineStr">
        <is>
          <t>UNSURE</t>
        </is>
      </c>
      <c r="G1367" s="34" t="inlineStr">
        <is>
          <t>UNSURE</t>
        </is>
      </c>
      <c r="H1367" s="34" t="inlineStr">
        <is>
          <t>APPROVED</t>
        </is>
      </c>
      <c r="I1367" s="34" t="inlineStr">
        <is>
          <t>New</t>
        </is>
      </c>
      <c r="J1367" s="34" t="inlineStr">
        <is>
          <t>Professional decision</t>
        </is>
      </c>
      <c r="K1367" s="34" t="inlineStr">
        <is>
          <t>Maya Chen, Owner Project Controls</t>
        </is>
      </c>
      <c r="L1367" s="14" t="inlineStr"/>
      <c r="M1367" s="14" t="inlineStr"/>
      <c r="N1367" s="92" t="inlineStr">
        <is>
          <t>10 EVIDENCE &amp; DECISIONS</t>
        </is>
      </c>
    </row>
    <row r="1368" ht="34" customHeight="1">
      <c r="A1368" s="34" t="inlineStr">
        <is>
          <t>Contractor Programme</t>
        </is>
      </c>
      <c r="B1368" s="34" t="inlineStr">
        <is>
          <t>SCH-06-001</t>
        </is>
      </c>
      <c r="C1368" s="34" t="inlineStr">
        <is>
          <t>Systems package: commercial change review - installation</t>
        </is>
      </c>
      <c r="D1368" s="14" t="inlineStr"/>
      <c r="E1368" s="34" t="inlineStr">
        <is>
          <t>R901-v2</t>
        </is>
      </c>
      <c r="F1368" s="34" t="inlineStr">
        <is>
          <t>UNSURE</t>
        </is>
      </c>
      <c r="G1368" s="34" t="inlineStr">
        <is>
          <t>UNSURE</t>
        </is>
      </c>
      <c r="H1368" s="34" t="inlineStr">
        <is>
          <t>APPROVED</t>
        </is>
      </c>
      <c r="I1368" s="34" t="inlineStr">
        <is>
          <t>New</t>
        </is>
      </c>
      <c r="J1368" s="34" t="inlineStr">
        <is>
          <t>Professional decision</t>
        </is>
      </c>
      <c r="K1368" s="34" t="inlineStr">
        <is>
          <t>Maya Chen, Owner Project Controls</t>
        </is>
      </c>
      <c r="L1368" s="14" t="inlineStr"/>
      <c r="M1368" s="14" t="inlineStr"/>
      <c r="N1368" s="92" t="inlineStr">
        <is>
          <t>10 EVIDENCE &amp; DECISIONS</t>
        </is>
      </c>
    </row>
    <row r="1369" ht="34" customHeight="1">
      <c r="A1369" s="34" t="inlineStr">
        <is>
          <t>Contractor Programme</t>
        </is>
      </c>
      <c r="B1369" s="34" t="inlineStr">
        <is>
          <t>SCH-06-002</t>
        </is>
      </c>
      <c r="C1369" s="34" t="inlineStr">
        <is>
          <t>Fleet package: design-package integration review - inspection</t>
        </is>
      </c>
      <c r="D1369" s="14" t="inlineStr"/>
      <c r="E1369" s="34" t="inlineStr">
        <is>
          <t>R902-v2</t>
        </is>
      </c>
      <c r="F1369" s="34" t="inlineStr">
        <is>
          <t>UNSURE</t>
        </is>
      </c>
      <c r="G1369" s="34" t="inlineStr">
        <is>
          <t>UNSURE</t>
        </is>
      </c>
      <c r="H1369" s="34" t="inlineStr">
        <is>
          <t>APPROVED</t>
        </is>
      </c>
      <c r="I1369" s="34" t="inlineStr">
        <is>
          <t>New</t>
        </is>
      </c>
      <c r="J1369" s="34" t="inlineStr">
        <is>
          <t>Professional decision</t>
        </is>
      </c>
      <c r="K1369" s="34" t="inlineStr">
        <is>
          <t>Maya Chen, Owner Project Controls</t>
        </is>
      </c>
      <c r="L1369" s="14" t="inlineStr"/>
      <c r="M1369" s="14" t="inlineStr"/>
      <c r="N1369" s="92" t="inlineStr">
        <is>
          <t>10 EVIDENCE &amp; DECISIONS</t>
        </is>
      </c>
    </row>
    <row r="1370" ht="34" customHeight="1">
      <c r="A1370" s="34" t="inlineStr">
        <is>
          <t>Contractor Programme</t>
        </is>
      </c>
      <c r="B1370" s="34" t="inlineStr">
        <is>
          <t>SCH-06-003</t>
        </is>
      </c>
      <c r="C1370" s="34" t="inlineStr">
        <is>
          <t>Interface works near program management boundary</t>
        </is>
      </c>
      <c r="D1370" s="14" t="inlineStr"/>
      <c r="E1370" s="34" t="inlineStr">
        <is>
          <t>R903-v2</t>
        </is>
      </c>
      <c r="F1370" s="34" t="inlineStr">
        <is>
          <t>UNSURE</t>
        </is>
      </c>
      <c r="G1370" s="34" t="inlineStr">
        <is>
          <t>UNSURE</t>
        </is>
      </c>
      <c r="H1370" s="34" t="inlineStr">
        <is>
          <t>APPROVED</t>
        </is>
      </c>
      <c r="I1370" s="34" t="inlineStr">
        <is>
          <t>New</t>
        </is>
      </c>
      <c r="J1370" s="34" t="inlineStr">
        <is>
          <t>Professional decision</t>
        </is>
      </c>
      <c r="K1370" s="34" t="inlineStr">
        <is>
          <t>Maya Chen, Owner Project Controls</t>
        </is>
      </c>
      <c r="L1370" s="14" t="inlineStr"/>
      <c r="M1370" s="14" t="inlineStr"/>
      <c r="N1370" s="92" t="inlineStr">
        <is>
          <t>10 EVIDENCE &amp; DECISIONS</t>
        </is>
      </c>
    </row>
    <row r="1371" ht="34" customHeight="1">
      <c r="A1371" s="34" t="inlineStr">
        <is>
          <t>Contractor Programme</t>
        </is>
      </c>
      <c r="B1371" s="34" t="inlineStr">
        <is>
          <t>SCH-06-004</t>
        </is>
      </c>
      <c r="C1371" s="34" t="inlineStr">
        <is>
          <t>Civil package: permit coordination - release</t>
        </is>
      </c>
      <c r="D1371" s="14" t="inlineStr"/>
      <c r="E1371" s="34" t="inlineStr">
        <is>
          <t>R904-v2</t>
        </is>
      </c>
      <c r="F1371" s="34" t="inlineStr">
        <is>
          <t>UNSURE</t>
        </is>
      </c>
      <c r="G1371" s="34" t="inlineStr">
        <is>
          <t>UNSURE</t>
        </is>
      </c>
      <c r="H1371" s="34" t="inlineStr">
        <is>
          <t>APPROVED</t>
        </is>
      </c>
      <c r="I1371" s="34" t="inlineStr">
        <is>
          <t>New</t>
        </is>
      </c>
      <c r="J1371" s="34" t="inlineStr">
        <is>
          <t>Professional decision</t>
        </is>
      </c>
      <c r="K1371" s="34" t="inlineStr">
        <is>
          <t>Maya Chen, Owner Project Controls</t>
        </is>
      </c>
      <c r="L1371" s="14" t="inlineStr"/>
      <c r="M1371" s="14" t="inlineStr"/>
      <c r="N1371" s="92" t="inlineStr">
        <is>
          <t>10 EVIDENCE &amp; DECISIONS</t>
        </is>
      </c>
    </row>
    <row r="1372" ht="34" customHeight="1">
      <c r="A1372" s="34" t="inlineStr">
        <is>
          <t>Contractor Programme</t>
        </is>
      </c>
      <c r="B1372" s="34" t="inlineStr">
        <is>
          <t>SCH-06-005</t>
        </is>
      </c>
      <c r="C1372" s="34" t="inlineStr">
        <is>
          <t>Stations package: delivery risk workshop - field start</t>
        </is>
      </c>
      <c r="D1372" s="14" t="inlineStr"/>
      <c r="E1372" s="34" t="inlineStr">
        <is>
          <t>R905-v2</t>
        </is>
      </c>
      <c r="F1372" s="34" t="inlineStr">
        <is>
          <t>UNSURE</t>
        </is>
      </c>
      <c r="G1372" s="34" t="inlineStr">
        <is>
          <t>UNSURE</t>
        </is>
      </c>
      <c r="H1372" s="34" t="inlineStr">
        <is>
          <t>APPROVED</t>
        </is>
      </c>
      <c r="I1372" s="34" t="inlineStr">
        <is>
          <t>New</t>
        </is>
      </c>
      <c r="J1372" s="34" t="inlineStr">
        <is>
          <t>Professional decision</t>
        </is>
      </c>
      <c r="K1372" s="34" t="inlineStr">
        <is>
          <t>Maya Chen, Owner Project Controls</t>
        </is>
      </c>
      <c r="L1372" s="14" t="inlineStr"/>
      <c r="M1372" s="14" t="inlineStr"/>
      <c r="N1372" s="92" t="inlineStr">
        <is>
          <t>10 EVIDENCE &amp; DECISIONS</t>
        </is>
      </c>
    </row>
    <row r="1373" ht="34" customHeight="1">
      <c r="A1373" s="34" t="inlineStr">
        <is>
          <t>Contractor Programme</t>
        </is>
      </c>
      <c r="B1373" s="34" t="inlineStr">
        <is>
          <t>SCH-06-006</t>
        </is>
      </c>
      <c r="C1373" s="34" t="inlineStr">
        <is>
          <t>Systems package: monthly controls cut-off - installation</t>
        </is>
      </c>
      <c r="D1373" s="14" t="inlineStr"/>
      <c r="E1373" s="34" t="inlineStr">
        <is>
          <t>R906-v2</t>
        </is>
      </c>
      <c r="F1373" s="34" t="inlineStr">
        <is>
          <t>UNSURE</t>
        </is>
      </c>
      <c r="G1373" s="34" t="inlineStr">
        <is>
          <t>UNSURE</t>
        </is>
      </c>
      <c r="H1373" s="34" t="inlineStr">
        <is>
          <t>APPROVED</t>
        </is>
      </c>
      <c r="I1373" s="34" t="inlineStr">
        <is>
          <t>New</t>
        </is>
      </c>
      <c r="J1373" s="34" t="inlineStr">
        <is>
          <t>Professional decision</t>
        </is>
      </c>
      <c r="K1373" s="34" t="inlineStr">
        <is>
          <t>Maya Chen, Owner Project Controls</t>
        </is>
      </c>
      <c r="L1373" s="14" t="inlineStr"/>
      <c r="M1373" s="14" t="inlineStr"/>
      <c r="N1373" s="92" t="inlineStr">
        <is>
          <t>10 EVIDENCE &amp; DECISIONS</t>
        </is>
      </c>
    </row>
    <row r="1374" ht="34" customHeight="1">
      <c r="A1374" s="34" t="inlineStr">
        <is>
          <t>Contractor Programme</t>
        </is>
      </c>
      <c r="B1374" s="34" t="inlineStr">
        <is>
          <t>SCH-06-007</t>
        </is>
      </c>
      <c r="C1374" s="34" t="inlineStr">
        <is>
          <t>Fleet package: stakeholder interface meeting - inspection</t>
        </is>
      </c>
      <c r="D1374" s="14" t="inlineStr"/>
      <c r="E1374" s="34" t="inlineStr">
        <is>
          <t>R907-v2</t>
        </is>
      </c>
      <c r="F1374" s="34" t="inlineStr">
        <is>
          <t>UNSURE</t>
        </is>
      </c>
      <c r="G1374" s="34" t="inlineStr">
        <is>
          <t>UNSURE</t>
        </is>
      </c>
      <c r="H1374" s="34" t="inlineStr">
        <is>
          <t>APPROVED</t>
        </is>
      </c>
      <c r="I1374" s="34" t="inlineStr">
        <is>
          <t>New</t>
        </is>
      </c>
      <c r="J1374" s="34" t="inlineStr">
        <is>
          <t>Professional decision</t>
        </is>
      </c>
      <c r="K1374" s="34" t="inlineStr">
        <is>
          <t>Maya Chen, Owner Project Controls</t>
        </is>
      </c>
      <c r="L1374" s="14" t="inlineStr"/>
      <c r="M1374" s="14" t="inlineStr"/>
      <c r="N1374" s="92" t="inlineStr">
        <is>
          <t>10 EVIDENCE &amp; DECISIONS</t>
        </is>
      </c>
    </row>
    <row r="1375" ht="34" customHeight="1">
      <c r="A1375" s="34" t="inlineStr">
        <is>
          <t>Contractor Programme</t>
        </is>
      </c>
      <c r="B1375" s="34" t="inlineStr">
        <is>
          <t>SCH-06-008</t>
        </is>
      </c>
      <c r="C1375" s="34" t="inlineStr">
        <is>
          <t>Program office: baseline change control - turnover</t>
        </is>
      </c>
      <c r="D1375" s="14" t="inlineStr"/>
      <c r="E1375" s="34" t="inlineStr">
        <is>
          <t>R908-v2</t>
        </is>
      </c>
      <c r="F1375" s="34" t="inlineStr">
        <is>
          <t>UNSURE</t>
        </is>
      </c>
      <c r="G1375" s="34" t="inlineStr">
        <is>
          <t>UNSURE</t>
        </is>
      </c>
      <c r="H1375" s="34" t="inlineStr">
        <is>
          <t>APPROVED</t>
        </is>
      </c>
      <c r="I1375" s="34" t="inlineStr">
        <is>
          <t>New</t>
        </is>
      </c>
      <c r="J1375" s="34" t="inlineStr">
        <is>
          <t>Professional decision</t>
        </is>
      </c>
      <c r="K1375" s="34" t="inlineStr">
        <is>
          <t>Maya Chen, Owner Project Controls</t>
        </is>
      </c>
      <c r="L1375" s="14" t="inlineStr"/>
      <c r="M1375" s="14" t="inlineStr"/>
      <c r="N1375" s="92" t="inlineStr">
        <is>
          <t>10 EVIDENCE &amp; DECISIONS</t>
        </is>
      </c>
    </row>
    <row r="1376" ht="34" customHeight="1">
      <c r="A1376" s="34" t="inlineStr">
        <is>
          <t>Contractor Programme</t>
        </is>
      </c>
      <c r="B1376" s="34" t="inlineStr">
        <is>
          <t>SCH-06-009</t>
        </is>
      </c>
      <c r="C1376" s="34" t="inlineStr">
        <is>
          <t>Civil package: commercial change review - release</t>
        </is>
      </c>
      <c r="D1376" s="14" t="inlineStr"/>
      <c r="E1376" s="34" t="inlineStr">
        <is>
          <t>R909-v2</t>
        </is>
      </c>
      <c r="F1376" s="34" t="inlineStr">
        <is>
          <t>UNSURE</t>
        </is>
      </c>
      <c r="G1376" s="34" t="inlineStr">
        <is>
          <t>UNSURE</t>
        </is>
      </c>
      <c r="H1376" s="34" t="inlineStr">
        <is>
          <t>APPROVED</t>
        </is>
      </c>
      <c r="I1376" s="34" t="inlineStr">
        <is>
          <t>New</t>
        </is>
      </c>
      <c r="J1376" s="34" t="inlineStr">
        <is>
          <t>Professional decision</t>
        </is>
      </c>
      <c r="K1376" s="34" t="inlineStr">
        <is>
          <t>Maya Chen, Owner Project Controls</t>
        </is>
      </c>
      <c r="L1376" s="14" t="inlineStr"/>
      <c r="M1376" s="14" t="inlineStr"/>
      <c r="N1376" s="92" t="inlineStr">
        <is>
          <t>10 EVIDENCE &amp; DECISIONS</t>
        </is>
      </c>
    </row>
    <row r="1377" ht="34" customHeight="1">
      <c r="A1377" s="34" t="inlineStr">
        <is>
          <t>Contractor Programme</t>
        </is>
      </c>
      <c r="B1377" s="34" t="inlineStr">
        <is>
          <t>SCH-06-010</t>
        </is>
      </c>
      <c r="C1377" s="34" t="inlineStr">
        <is>
          <t>Stations package: design-package integration review - field start</t>
        </is>
      </c>
      <c r="D1377" s="14" t="inlineStr"/>
      <c r="E1377" s="34" t="inlineStr">
        <is>
          <t>R910-v2</t>
        </is>
      </c>
      <c r="F1377" s="34" t="inlineStr">
        <is>
          <t>UNSURE</t>
        </is>
      </c>
      <c r="G1377" s="34" t="inlineStr">
        <is>
          <t>UNSURE</t>
        </is>
      </c>
      <c r="H1377" s="34" t="inlineStr">
        <is>
          <t>APPROVED</t>
        </is>
      </c>
      <c r="I1377" s="34" t="inlineStr">
        <is>
          <t>New</t>
        </is>
      </c>
      <c r="J1377" s="34" t="inlineStr">
        <is>
          <t>Professional decision</t>
        </is>
      </c>
      <c r="K1377" s="34" t="inlineStr">
        <is>
          <t>Maya Chen, Owner Project Controls</t>
        </is>
      </c>
      <c r="L1377" s="14" t="inlineStr"/>
      <c r="M1377" s="14" t="inlineStr"/>
      <c r="N1377" s="92" t="inlineStr">
        <is>
          <t>10 EVIDENCE &amp; DECISIONS</t>
        </is>
      </c>
    </row>
    <row r="1378" ht="34" customHeight="1">
      <c r="A1378" s="34" t="inlineStr">
        <is>
          <t>Contractor Programme</t>
        </is>
      </c>
      <c r="B1378" s="34" t="inlineStr">
        <is>
          <t>SCH-06-011</t>
        </is>
      </c>
      <c r="C1378" s="34" t="inlineStr">
        <is>
          <t>Systems package: executive reporting close - installation</t>
        </is>
      </c>
      <c r="D1378" s="14" t="inlineStr"/>
      <c r="E1378" s="34" t="inlineStr">
        <is>
          <t>R911-v2</t>
        </is>
      </c>
      <c r="F1378" s="34" t="inlineStr">
        <is>
          <t>UNSURE</t>
        </is>
      </c>
      <c r="G1378" s="34" t="inlineStr">
        <is>
          <t>UNSURE</t>
        </is>
      </c>
      <c r="H1378" s="34" t="inlineStr">
        <is>
          <t>APPROVED</t>
        </is>
      </c>
      <c r="I1378" s="34" t="inlineStr">
        <is>
          <t>New</t>
        </is>
      </c>
      <c r="J1378" s="34" t="inlineStr">
        <is>
          <t>Professional decision</t>
        </is>
      </c>
      <c r="K1378" s="34" t="inlineStr">
        <is>
          <t>Maya Chen, Owner Project Controls</t>
        </is>
      </c>
      <c r="L1378" s="14" t="inlineStr"/>
      <c r="M1378" s="14" t="inlineStr"/>
      <c r="N1378" s="92" t="inlineStr">
        <is>
          <t>10 EVIDENCE &amp; DECISIONS</t>
        </is>
      </c>
    </row>
    <row r="1379" ht="34" customHeight="1">
      <c r="A1379" s="34" t="inlineStr">
        <is>
          <t>Contractor Programme</t>
        </is>
      </c>
      <c r="B1379" s="34" t="inlineStr">
        <is>
          <t>SCH-06-012</t>
        </is>
      </c>
      <c r="C1379" s="34" t="inlineStr">
        <is>
          <t>Fleet package: permit coordination - inspection</t>
        </is>
      </c>
      <c r="D1379" s="14" t="inlineStr"/>
      <c r="E1379" s="34" t="inlineStr">
        <is>
          <t>R912-v2</t>
        </is>
      </c>
      <c r="F1379" s="34" t="inlineStr">
        <is>
          <t>UNSURE</t>
        </is>
      </c>
      <c r="G1379" s="34" t="inlineStr">
        <is>
          <t>UNSURE</t>
        </is>
      </c>
      <c r="H1379" s="34" t="inlineStr">
        <is>
          <t>APPROVED</t>
        </is>
      </c>
      <c r="I1379" s="34" t="inlineStr">
        <is>
          <t>New</t>
        </is>
      </c>
      <c r="J1379" s="34" t="inlineStr">
        <is>
          <t>Professional decision</t>
        </is>
      </c>
      <c r="K1379" s="34" t="inlineStr">
        <is>
          <t>Maya Chen, Owner Project Controls</t>
        </is>
      </c>
      <c r="L1379" s="14" t="inlineStr"/>
      <c r="M1379" s="14" t="inlineStr"/>
      <c r="N1379" s="92" t="inlineStr">
        <is>
          <t>10 EVIDENCE &amp; DECISIONS</t>
        </is>
      </c>
    </row>
    <row r="1380" ht="34" customHeight="1">
      <c r="A1380" s="34" t="inlineStr">
        <is>
          <t>Contractor Programme</t>
        </is>
      </c>
      <c r="B1380" s="34" t="inlineStr">
        <is>
          <t>SCH-06-013</t>
        </is>
      </c>
      <c r="C1380" s="34" t="inlineStr">
        <is>
          <t>Program office: delivery risk workshop - turnover</t>
        </is>
      </c>
      <c r="D1380" s="14" t="inlineStr"/>
      <c r="E1380" s="34" t="inlineStr">
        <is>
          <t>R913-v2</t>
        </is>
      </c>
      <c r="F1380" s="34" t="inlineStr">
        <is>
          <t>UNSURE</t>
        </is>
      </c>
      <c r="G1380" s="34" t="inlineStr">
        <is>
          <t>UNSURE</t>
        </is>
      </c>
      <c r="H1380" s="34" t="inlineStr">
        <is>
          <t>APPROVED</t>
        </is>
      </c>
      <c r="I1380" s="34" t="inlineStr">
        <is>
          <t>New</t>
        </is>
      </c>
      <c r="J1380" s="34" t="inlineStr">
        <is>
          <t>Professional decision</t>
        </is>
      </c>
      <c r="K1380" s="34" t="inlineStr">
        <is>
          <t>Maya Chen, Owner Project Controls</t>
        </is>
      </c>
      <c r="L1380" s="14" t="inlineStr"/>
      <c r="M1380" s="14" t="inlineStr"/>
      <c r="N1380" s="92" t="inlineStr">
        <is>
          <t>10 EVIDENCE &amp; DECISIONS</t>
        </is>
      </c>
    </row>
    <row r="1381" ht="34" customHeight="1">
      <c r="A1381" s="34" t="inlineStr">
        <is>
          <t>Contractor Programme</t>
        </is>
      </c>
      <c r="B1381" s="34" t="inlineStr">
        <is>
          <t>SCH-06-014</t>
        </is>
      </c>
      <c r="C1381" s="34" t="inlineStr">
        <is>
          <t>Civil package: monthly controls cut-off - release</t>
        </is>
      </c>
      <c r="D1381" s="14" t="inlineStr"/>
      <c r="E1381" s="34" t="inlineStr">
        <is>
          <t>R914-v2</t>
        </is>
      </c>
      <c r="F1381" s="34" t="inlineStr">
        <is>
          <t>UNSURE</t>
        </is>
      </c>
      <c r="G1381" s="34" t="inlineStr">
        <is>
          <t>UNSURE</t>
        </is>
      </c>
      <c r="H1381" s="34" t="inlineStr">
        <is>
          <t>APPROVED</t>
        </is>
      </c>
      <c r="I1381" s="34" t="inlineStr">
        <is>
          <t>New</t>
        </is>
      </c>
      <c r="J1381" s="34" t="inlineStr">
        <is>
          <t>Professional decision</t>
        </is>
      </c>
      <c r="K1381" s="34" t="inlineStr">
        <is>
          <t>Maya Chen, Owner Project Controls</t>
        </is>
      </c>
      <c r="L1381" s="14" t="inlineStr"/>
      <c r="M1381" s="14" t="inlineStr"/>
      <c r="N1381" s="92" t="inlineStr">
        <is>
          <t>10 EVIDENCE &amp; DECISIONS</t>
        </is>
      </c>
    </row>
    <row r="1382" ht="34" customHeight="1">
      <c r="A1382" s="34" t="inlineStr">
        <is>
          <t>Contractor Programme</t>
        </is>
      </c>
      <c r="B1382" s="34" t="inlineStr">
        <is>
          <t>SCH-06-015</t>
        </is>
      </c>
      <c r="C1382" s="34" t="inlineStr">
        <is>
          <t>Stations package: stakeholder interface meeting - field start</t>
        </is>
      </c>
      <c r="D1382" s="14" t="inlineStr"/>
      <c r="E1382" s="34" t="inlineStr">
        <is>
          <t>R915-v2</t>
        </is>
      </c>
      <c r="F1382" s="34" t="inlineStr">
        <is>
          <t>UNSURE</t>
        </is>
      </c>
      <c r="G1382" s="34" t="inlineStr">
        <is>
          <t>UNSURE</t>
        </is>
      </c>
      <c r="H1382" s="34" t="inlineStr">
        <is>
          <t>APPROVED</t>
        </is>
      </c>
      <c r="I1382" s="34" t="inlineStr">
        <is>
          <t>New</t>
        </is>
      </c>
      <c r="J1382" s="34" t="inlineStr">
        <is>
          <t>Professional decision</t>
        </is>
      </c>
      <c r="K1382" s="34" t="inlineStr">
        <is>
          <t>Maya Chen, Owner Project Controls</t>
        </is>
      </c>
      <c r="L1382" s="14" t="inlineStr"/>
      <c r="M1382" s="14" t="inlineStr"/>
      <c r="N1382" s="92" t="inlineStr">
        <is>
          <t>10 EVIDENCE &amp; DECISIONS</t>
        </is>
      </c>
    </row>
    <row r="1383" ht="34" customHeight="1">
      <c r="A1383" s="34" t="inlineStr">
        <is>
          <t>Contractor Programme</t>
        </is>
      </c>
      <c r="B1383" s="34" t="inlineStr">
        <is>
          <t>SCH-06-016</t>
        </is>
      </c>
      <c r="C1383" s="34" t="inlineStr">
        <is>
          <t>Systems package: baseline change control - installation</t>
        </is>
      </c>
      <c r="D1383" s="14" t="inlineStr"/>
      <c r="E1383" s="34" t="inlineStr">
        <is>
          <t>R916-v2</t>
        </is>
      </c>
      <c r="F1383" s="34" t="inlineStr">
        <is>
          <t>UNSURE</t>
        </is>
      </c>
      <c r="G1383" s="34" t="inlineStr">
        <is>
          <t>UNSURE</t>
        </is>
      </c>
      <c r="H1383" s="34" t="inlineStr">
        <is>
          <t>APPROVED</t>
        </is>
      </c>
      <c r="I1383" s="34" t="inlineStr">
        <is>
          <t>New</t>
        </is>
      </c>
      <c r="J1383" s="34" t="inlineStr">
        <is>
          <t>Professional decision</t>
        </is>
      </c>
      <c r="K1383" s="34" t="inlineStr">
        <is>
          <t>Maya Chen, Owner Project Controls</t>
        </is>
      </c>
      <c r="L1383" s="14" t="inlineStr"/>
      <c r="M1383" s="14" t="inlineStr"/>
      <c r="N1383" s="92" t="inlineStr">
        <is>
          <t>10 EVIDENCE &amp; DECISIONS</t>
        </is>
      </c>
    </row>
    <row r="1384" ht="34" customHeight="1">
      <c r="A1384" s="34" t="inlineStr">
        <is>
          <t>Contractor Programme</t>
        </is>
      </c>
      <c r="B1384" s="34" t="inlineStr">
        <is>
          <t>SCH-06-017</t>
        </is>
      </c>
      <c r="C1384" s="34" t="inlineStr">
        <is>
          <t>Fleet package: commercial change review - inspection</t>
        </is>
      </c>
      <c r="D1384" s="14" t="inlineStr"/>
      <c r="E1384" s="34" t="inlineStr">
        <is>
          <t>R917-v2</t>
        </is>
      </c>
      <c r="F1384" s="34" t="inlineStr">
        <is>
          <t>UNSURE</t>
        </is>
      </c>
      <c r="G1384" s="34" t="inlineStr">
        <is>
          <t>UNSURE</t>
        </is>
      </c>
      <c r="H1384" s="34" t="inlineStr">
        <is>
          <t>APPROVED</t>
        </is>
      </c>
      <c r="I1384" s="34" t="inlineStr">
        <is>
          <t>New</t>
        </is>
      </c>
      <c r="J1384" s="34" t="inlineStr">
        <is>
          <t>Professional decision</t>
        </is>
      </c>
      <c r="K1384" s="34" t="inlineStr">
        <is>
          <t>Maya Chen, Owner Project Controls</t>
        </is>
      </c>
      <c r="L1384" s="14" t="inlineStr"/>
      <c r="M1384" s="14" t="inlineStr"/>
      <c r="N1384" s="92" t="inlineStr">
        <is>
          <t>10 EVIDENCE &amp; DECISIONS</t>
        </is>
      </c>
    </row>
    <row r="1385" ht="34" customHeight="1">
      <c r="A1385" s="34" t="inlineStr">
        <is>
          <t>Contractor Programme</t>
        </is>
      </c>
      <c r="B1385" s="34" t="inlineStr">
        <is>
          <t>SCH-06-018</t>
        </is>
      </c>
      <c r="C1385" s="34" t="inlineStr">
        <is>
          <t>Program office: design-package integration review - turnover</t>
        </is>
      </c>
      <c r="D1385" s="14" t="inlineStr"/>
      <c r="E1385" s="34" t="inlineStr">
        <is>
          <t>R918-v2</t>
        </is>
      </c>
      <c r="F1385" s="34" t="inlineStr">
        <is>
          <t>UNSURE</t>
        </is>
      </c>
      <c r="G1385" s="34" t="inlineStr">
        <is>
          <t>UNSURE</t>
        </is>
      </c>
      <c r="H1385" s="34" t="inlineStr">
        <is>
          <t>APPROVED</t>
        </is>
      </c>
      <c r="I1385" s="34" t="inlineStr">
        <is>
          <t>New</t>
        </is>
      </c>
      <c r="J1385" s="34" t="inlineStr">
        <is>
          <t>Professional decision</t>
        </is>
      </c>
      <c r="K1385" s="34" t="inlineStr">
        <is>
          <t>Maya Chen, Owner Project Controls</t>
        </is>
      </c>
      <c r="L1385" s="14" t="inlineStr"/>
      <c r="M1385" s="14" t="inlineStr"/>
      <c r="N1385" s="92" t="inlineStr">
        <is>
          <t>10 EVIDENCE &amp; DECISIONS</t>
        </is>
      </c>
    </row>
    <row r="1386" ht="34" customHeight="1">
      <c r="A1386" s="34" t="inlineStr">
        <is>
          <t>Contractor Programme</t>
        </is>
      </c>
      <c r="B1386" s="34" t="inlineStr">
        <is>
          <t>SCH-06-019</t>
        </is>
      </c>
      <c r="C1386" s="34" t="inlineStr">
        <is>
          <t>Civil package: executive reporting close - release</t>
        </is>
      </c>
      <c r="D1386" s="14" t="inlineStr"/>
      <c r="E1386" s="34" t="inlineStr">
        <is>
          <t>R919-v2</t>
        </is>
      </c>
      <c r="F1386" s="34" t="inlineStr">
        <is>
          <t>UNSURE</t>
        </is>
      </c>
      <c r="G1386" s="34" t="inlineStr">
        <is>
          <t>UNSURE</t>
        </is>
      </c>
      <c r="H1386" s="34" t="inlineStr">
        <is>
          <t>APPROVED</t>
        </is>
      </c>
      <c r="I1386" s="34" t="inlineStr">
        <is>
          <t>New</t>
        </is>
      </c>
      <c r="J1386" s="34" t="inlineStr">
        <is>
          <t>Professional decision</t>
        </is>
      </c>
      <c r="K1386" s="34" t="inlineStr">
        <is>
          <t>Maya Chen, Owner Project Controls</t>
        </is>
      </c>
      <c r="L1386" s="14" t="inlineStr"/>
      <c r="M1386" s="14" t="inlineStr"/>
      <c r="N1386" s="92" t="inlineStr">
        <is>
          <t>10 EVIDENCE &amp; DECISIONS</t>
        </is>
      </c>
    </row>
    <row r="1387" ht="34" customHeight="1">
      <c r="A1387" s="34" t="inlineStr">
        <is>
          <t>Contractor Programme</t>
        </is>
      </c>
      <c r="B1387" s="34" t="inlineStr">
        <is>
          <t>SCH-06-020</t>
        </is>
      </c>
      <c r="C1387" s="34" t="inlineStr">
        <is>
          <t>Stations package: permit coordination - field start</t>
        </is>
      </c>
      <c r="D1387" s="14" t="inlineStr"/>
      <c r="E1387" s="34" t="inlineStr">
        <is>
          <t>R920-v2</t>
        </is>
      </c>
      <c r="F1387" s="34" t="inlineStr">
        <is>
          <t>UNSURE</t>
        </is>
      </c>
      <c r="G1387" s="34" t="inlineStr">
        <is>
          <t>UNSURE</t>
        </is>
      </c>
      <c r="H1387" s="34" t="inlineStr">
        <is>
          <t>APPROVED</t>
        </is>
      </c>
      <c r="I1387" s="34" t="inlineStr">
        <is>
          <t>New</t>
        </is>
      </c>
      <c r="J1387" s="34" t="inlineStr">
        <is>
          <t>Professional decision</t>
        </is>
      </c>
      <c r="K1387" s="34" t="inlineStr">
        <is>
          <t>Maya Chen, Owner Project Controls</t>
        </is>
      </c>
      <c r="L1387" s="14" t="inlineStr"/>
      <c r="M1387" s="14" t="inlineStr"/>
      <c r="N1387" s="92" t="inlineStr">
        <is>
          <t>10 EVIDENCE &amp; DECISIONS</t>
        </is>
      </c>
    </row>
    <row r="1388" ht="34" customHeight="1">
      <c r="A1388" s="34" t="inlineStr">
        <is>
          <t>Contractor Programme</t>
        </is>
      </c>
      <c r="B1388" s="34" t="inlineStr">
        <is>
          <t>SCH-06-021</t>
        </is>
      </c>
      <c r="C1388" s="34" t="inlineStr">
        <is>
          <t>Systems package: delivery risk workshop - installation</t>
        </is>
      </c>
      <c r="D1388" s="14" t="inlineStr"/>
      <c r="E1388" s="34" t="inlineStr">
        <is>
          <t>R921-v2</t>
        </is>
      </c>
      <c r="F1388" s="34" t="inlineStr">
        <is>
          <t>UNSURE</t>
        </is>
      </c>
      <c r="G1388" s="34" t="inlineStr">
        <is>
          <t>UNSURE</t>
        </is>
      </c>
      <c r="H1388" s="34" t="inlineStr">
        <is>
          <t>APPROVED</t>
        </is>
      </c>
      <c r="I1388" s="34" t="inlineStr">
        <is>
          <t>New</t>
        </is>
      </c>
      <c r="J1388" s="34" t="inlineStr">
        <is>
          <t>Professional decision</t>
        </is>
      </c>
      <c r="K1388" s="34" t="inlineStr">
        <is>
          <t>Maya Chen, Owner Project Controls</t>
        </is>
      </c>
      <c r="L1388" s="14" t="inlineStr"/>
      <c r="M1388" s="14" t="inlineStr"/>
      <c r="N1388" s="92" t="inlineStr">
        <is>
          <t>10 EVIDENCE &amp; DECISIONS</t>
        </is>
      </c>
    </row>
    <row r="1389" ht="34" customHeight="1">
      <c r="A1389" s="34" t="inlineStr">
        <is>
          <t>Contractor Programme</t>
        </is>
      </c>
      <c r="B1389" s="34" t="inlineStr">
        <is>
          <t>SCH-06-022</t>
        </is>
      </c>
      <c r="C1389" s="34" t="inlineStr">
        <is>
          <t>Fleet package: monthly controls cut-off - inspection</t>
        </is>
      </c>
      <c r="D1389" s="14" t="inlineStr"/>
      <c r="E1389" s="34" t="inlineStr">
        <is>
          <t>R922-v2</t>
        </is>
      </c>
      <c r="F1389" s="34" t="inlineStr">
        <is>
          <t>UNSURE</t>
        </is>
      </c>
      <c r="G1389" s="34" t="inlineStr">
        <is>
          <t>UNSURE</t>
        </is>
      </c>
      <c r="H1389" s="34" t="inlineStr">
        <is>
          <t>APPROVED</t>
        </is>
      </c>
      <c r="I1389" s="34" t="inlineStr">
        <is>
          <t>New</t>
        </is>
      </c>
      <c r="J1389" s="34" t="inlineStr">
        <is>
          <t>Professional decision</t>
        </is>
      </c>
      <c r="K1389" s="34" t="inlineStr">
        <is>
          <t>Maya Chen, Owner Project Controls</t>
        </is>
      </c>
      <c r="L1389" s="14" t="inlineStr"/>
      <c r="M1389" s="14" t="inlineStr"/>
      <c r="N1389" s="92" t="inlineStr">
        <is>
          <t>10 EVIDENCE &amp; DECISIONS</t>
        </is>
      </c>
    </row>
    <row r="1390" ht="34" customHeight="1">
      <c r="A1390" s="34" t="inlineStr">
        <is>
          <t>Contractor Programme</t>
        </is>
      </c>
      <c r="B1390" s="34" t="inlineStr">
        <is>
          <t>SCH-06-023</t>
        </is>
      </c>
      <c r="C1390" s="34" t="inlineStr">
        <is>
          <t>Program office: stakeholder interface meeting - turnover</t>
        </is>
      </c>
      <c r="D1390" s="14" t="inlineStr"/>
      <c r="E1390" s="34" t="inlineStr">
        <is>
          <t>R923-v2</t>
        </is>
      </c>
      <c r="F1390" s="34" t="inlineStr">
        <is>
          <t>UNSURE</t>
        </is>
      </c>
      <c r="G1390" s="34" t="inlineStr">
        <is>
          <t>UNSURE</t>
        </is>
      </c>
      <c r="H1390" s="34" t="inlineStr">
        <is>
          <t>APPROVED</t>
        </is>
      </c>
      <c r="I1390" s="34" t="inlineStr">
        <is>
          <t>New</t>
        </is>
      </c>
      <c r="J1390" s="34" t="inlineStr">
        <is>
          <t>Professional decision</t>
        </is>
      </c>
      <c r="K1390" s="34" t="inlineStr">
        <is>
          <t>Maya Chen, Owner Project Controls</t>
        </is>
      </c>
      <c r="L1390" s="14" t="inlineStr"/>
      <c r="M1390" s="14" t="inlineStr"/>
      <c r="N1390" s="92" t="inlineStr">
        <is>
          <t>10 EVIDENCE &amp; DECISIONS</t>
        </is>
      </c>
    </row>
    <row r="1391" ht="34" customHeight="1">
      <c r="A1391" s="34" t="inlineStr">
        <is>
          <t>Contractor Programme</t>
        </is>
      </c>
      <c r="B1391" s="34" t="inlineStr">
        <is>
          <t>SCH-06-024</t>
        </is>
      </c>
      <c r="C1391" s="34" t="inlineStr">
        <is>
          <t>Civil package: baseline change control - release</t>
        </is>
      </c>
      <c r="D1391" s="14" t="inlineStr"/>
      <c r="E1391" s="34" t="inlineStr">
        <is>
          <t>R924-v2</t>
        </is>
      </c>
      <c r="F1391" s="34" t="inlineStr">
        <is>
          <t>UNSURE</t>
        </is>
      </c>
      <c r="G1391" s="34" t="inlineStr">
        <is>
          <t>UNSURE</t>
        </is>
      </c>
      <c r="H1391" s="34" t="inlineStr">
        <is>
          <t>APPROVED</t>
        </is>
      </c>
      <c r="I1391" s="34" t="inlineStr">
        <is>
          <t>New</t>
        </is>
      </c>
      <c r="J1391" s="34" t="inlineStr">
        <is>
          <t>Professional decision</t>
        </is>
      </c>
      <c r="K1391" s="34" t="inlineStr">
        <is>
          <t>Maya Chen, Owner Project Controls</t>
        </is>
      </c>
      <c r="L1391" s="14" t="inlineStr"/>
      <c r="M1391" s="14" t="inlineStr"/>
      <c r="N1391" s="92" t="inlineStr">
        <is>
          <t>10 EVIDENCE &amp; DECISIONS</t>
        </is>
      </c>
    </row>
    <row r="1392" ht="34" customHeight="1">
      <c r="A1392" s="34" t="inlineStr">
        <is>
          <t>Contractor Programme</t>
        </is>
      </c>
      <c r="B1392" s="34" t="inlineStr">
        <is>
          <t>SCH-06-025</t>
        </is>
      </c>
      <c r="C1392" s="34" t="inlineStr">
        <is>
          <t>Stations package: commercial change review - field start</t>
        </is>
      </c>
      <c r="D1392" s="14" t="inlineStr"/>
      <c r="E1392" s="34" t="inlineStr">
        <is>
          <t>R925-v2</t>
        </is>
      </c>
      <c r="F1392" s="34" t="inlineStr">
        <is>
          <t>UNSURE</t>
        </is>
      </c>
      <c r="G1392" s="34" t="inlineStr">
        <is>
          <t>UNSURE</t>
        </is>
      </c>
      <c r="H1392" s="34" t="inlineStr">
        <is>
          <t>APPROVED</t>
        </is>
      </c>
      <c r="I1392" s="34" t="inlineStr">
        <is>
          <t>New</t>
        </is>
      </c>
      <c r="J1392" s="34" t="inlineStr">
        <is>
          <t>Professional decision</t>
        </is>
      </c>
      <c r="K1392" s="34" t="inlineStr">
        <is>
          <t>Maya Chen, Owner Project Controls</t>
        </is>
      </c>
      <c r="L1392" s="14" t="inlineStr"/>
      <c r="M1392" s="14" t="inlineStr"/>
      <c r="N1392" s="92" t="inlineStr">
        <is>
          <t>10 EVIDENCE &amp; DECISIONS</t>
        </is>
      </c>
    </row>
    <row r="1393" ht="34" customHeight="1">
      <c r="A1393" s="34" t="inlineStr">
        <is>
          <t>Contractor Programme</t>
        </is>
      </c>
      <c r="B1393" s="34" t="inlineStr">
        <is>
          <t>SCH-06-026</t>
        </is>
      </c>
      <c r="C1393" s="34" t="inlineStr">
        <is>
          <t>Systems package: design-package integration review - installation</t>
        </is>
      </c>
      <c r="D1393" s="14" t="inlineStr"/>
      <c r="E1393" s="34" t="inlineStr">
        <is>
          <t>R926-v2</t>
        </is>
      </c>
      <c r="F1393" s="34" t="inlineStr">
        <is>
          <t>UNSURE</t>
        </is>
      </c>
      <c r="G1393" s="34" t="inlineStr">
        <is>
          <t>UNSURE</t>
        </is>
      </c>
      <c r="H1393" s="34" t="inlineStr">
        <is>
          <t>APPROVED</t>
        </is>
      </c>
      <c r="I1393" s="34" t="inlineStr">
        <is>
          <t>New</t>
        </is>
      </c>
      <c r="J1393" s="34" t="inlineStr">
        <is>
          <t>Professional decision</t>
        </is>
      </c>
      <c r="K1393" s="34" t="inlineStr">
        <is>
          <t>Maya Chen, Owner Project Controls</t>
        </is>
      </c>
      <c r="L1393" s="14" t="inlineStr"/>
      <c r="M1393" s="14" t="inlineStr"/>
      <c r="N1393" s="92" t="inlineStr">
        <is>
          <t>10 EVIDENCE &amp; DECISIONS</t>
        </is>
      </c>
    </row>
    <row r="1394" ht="34" customHeight="1">
      <c r="A1394" s="34" t="inlineStr">
        <is>
          <t>Contractor Programme</t>
        </is>
      </c>
      <c r="B1394" s="34" t="inlineStr">
        <is>
          <t>SCH-06-027</t>
        </is>
      </c>
      <c r="C1394" s="34" t="inlineStr">
        <is>
          <t>Fleet package: executive reporting close - inspection</t>
        </is>
      </c>
      <c r="D1394" s="14" t="inlineStr"/>
      <c r="E1394" s="34" t="inlineStr">
        <is>
          <t>R927-v2</t>
        </is>
      </c>
      <c r="F1394" s="34" t="inlineStr">
        <is>
          <t>UNSURE</t>
        </is>
      </c>
      <c r="G1394" s="34" t="inlineStr">
        <is>
          <t>UNSURE</t>
        </is>
      </c>
      <c r="H1394" s="34" t="inlineStr">
        <is>
          <t>APPROVED</t>
        </is>
      </c>
      <c r="I1394" s="34" t="inlineStr">
        <is>
          <t>New</t>
        </is>
      </c>
      <c r="J1394" s="34" t="inlineStr">
        <is>
          <t>Professional decision</t>
        </is>
      </c>
      <c r="K1394" s="34" t="inlineStr">
        <is>
          <t>Maya Chen, Owner Project Controls</t>
        </is>
      </c>
      <c r="L1394" s="14" t="inlineStr"/>
      <c r="M1394" s="14" t="inlineStr"/>
      <c r="N1394" s="92" t="inlineStr">
        <is>
          <t>10 EVIDENCE &amp; DECISIONS</t>
        </is>
      </c>
    </row>
    <row r="1395" ht="34" customHeight="1">
      <c r="A1395" s="34" t="inlineStr">
        <is>
          <t>Contractor Programme</t>
        </is>
      </c>
      <c r="B1395" s="34" t="inlineStr">
        <is>
          <t>SCH-06-028</t>
        </is>
      </c>
      <c r="C1395" s="34" t="inlineStr">
        <is>
          <t>Program office: permit coordination - turnover</t>
        </is>
      </c>
      <c r="D1395" s="14" t="inlineStr"/>
      <c r="E1395" s="34" t="inlineStr">
        <is>
          <t>R928-v2</t>
        </is>
      </c>
      <c r="F1395" s="34" t="inlineStr">
        <is>
          <t>UNSURE</t>
        </is>
      </c>
      <c r="G1395" s="34" t="inlineStr">
        <is>
          <t>UNSURE</t>
        </is>
      </c>
      <c r="H1395" s="34" t="inlineStr">
        <is>
          <t>APPROVED</t>
        </is>
      </c>
      <c r="I1395" s="34" t="inlineStr">
        <is>
          <t>New</t>
        </is>
      </c>
      <c r="J1395" s="34" t="inlineStr">
        <is>
          <t>Professional decision</t>
        </is>
      </c>
      <c r="K1395" s="34" t="inlineStr">
        <is>
          <t>Maya Chen, Owner Project Controls</t>
        </is>
      </c>
      <c r="L1395" s="14" t="inlineStr"/>
      <c r="M1395" s="14" t="inlineStr"/>
      <c r="N1395" s="92" t="inlineStr">
        <is>
          <t>10 EVIDENCE &amp; DECISIONS</t>
        </is>
      </c>
    </row>
    <row r="1396" ht="34" customHeight="1">
      <c r="A1396" s="34" t="inlineStr">
        <is>
          <t>Contractor Programme</t>
        </is>
      </c>
      <c r="B1396" s="34" t="inlineStr">
        <is>
          <t>SCH-06-029</t>
        </is>
      </c>
      <c r="C1396" s="34" t="inlineStr">
        <is>
          <t>Civil package: delivery risk workshop - release</t>
        </is>
      </c>
      <c r="D1396" s="14" t="inlineStr"/>
      <c r="E1396" s="34" t="inlineStr">
        <is>
          <t>R929-v2</t>
        </is>
      </c>
      <c r="F1396" s="34" t="inlineStr">
        <is>
          <t>UNSURE</t>
        </is>
      </c>
      <c r="G1396" s="34" t="inlineStr">
        <is>
          <t>UNSURE</t>
        </is>
      </c>
      <c r="H1396" s="34" t="inlineStr">
        <is>
          <t>APPROVED</t>
        </is>
      </c>
      <c r="I1396" s="34" t="inlineStr">
        <is>
          <t>New</t>
        </is>
      </c>
      <c r="J1396" s="34" t="inlineStr">
        <is>
          <t>Professional decision</t>
        </is>
      </c>
      <c r="K1396" s="34" t="inlineStr">
        <is>
          <t>Maya Chen, Owner Project Controls</t>
        </is>
      </c>
      <c r="L1396" s="14" t="inlineStr"/>
      <c r="M1396" s="14" t="inlineStr"/>
      <c r="N1396" s="92" t="inlineStr">
        <is>
          <t>10 EVIDENCE &amp; DECISIONS</t>
        </is>
      </c>
    </row>
    <row r="1397" ht="34" customHeight="1">
      <c r="A1397" s="34" t="inlineStr">
        <is>
          <t>Contractor Programme</t>
        </is>
      </c>
      <c r="B1397" s="34" t="inlineStr">
        <is>
          <t>SCH-06-030</t>
        </is>
      </c>
      <c r="C1397" s="34" t="inlineStr">
        <is>
          <t>Stations package: monthly controls cut-off - field start</t>
        </is>
      </c>
      <c r="D1397" s="14" t="inlineStr"/>
      <c r="E1397" s="34" t="inlineStr">
        <is>
          <t>R930-v2</t>
        </is>
      </c>
      <c r="F1397" s="34" t="inlineStr">
        <is>
          <t>UNSURE</t>
        </is>
      </c>
      <c r="G1397" s="34" t="inlineStr">
        <is>
          <t>UNSURE</t>
        </is>
      </c>
      <c r="H1397" s="34" t="inlineStr">
        <is>
          <t>APPROVED</t>
        </is>
      </c>
      <c r="I1397" s="34" t="inlineStr">
        <is>
          <t>New</t>
        </is>
      </c>
      <c r="J1397" s="34" t="inlineStr">
        <is>
          <t>Professional decision</t>
        </is>
      </c>
      <c r="K1397" s="34" t="inlineStr">
        <is>
          <t>Maya Chen, Owner Project Controls</t>
        </is>
      </c>
      <c r="L1397" s="14" t="inlineStr"/>
      <c r="M1397" s="14" t="inlineStr"/>
      <c r="N1397" s="92" t="inlineStr">
        <is>
          <t>10 EVIDENCE &amp; DECISIONS</t>
        </is>
      </c>
    </row>
    <row r="1398" ht="34" customHeight="1">
      <c r="A1398" s="34" t="inlineStr">
        <is>
          <t>Contractor Programme</t>
        </is>
      </c>
      <c r="B1398" s="34" t="inlineStr">
        <is>
          <t>SCH-06-031</t>
        </is>
      </c>
      <c r="C1398" s="34" t="inlineStr">
        <is>
          <t>Systems package: stakeholder interface meeting - installation</t>
        </is>
      </c>
      <c r="D1398" s="14" t="inlineStr"/>
      <c r="E1398" s="34" t="inlineStr">
        <is>
          <t>R931-v2</t>
        </is>
      </c>
      <c r="F1398" s="34" t="inlineStr">
        <is>
          <t>UNSURE</t>
        </is>
      </c>
      <c r="G1398" s="34" t="inlineStr">
        <is>
          <t>UNSURE</t>
        </is>
      </c>
      <c r="H1398" s="34" t="inlineStr">
        <is>
          <t>APPROVED</t>
        </is>
      </c>
      <c r="I1398" s="34" t="inlineStr">
        <is>
          <t>New</t>
        </is>
      </c>
      <c r="J1398" s="34" t="inlineStr">
        <is>
          <t>Professional decision</t>
        </is>
      </c>
      <c r="K1398" s="34" t="inlineStr">
        <is>
          <t>Maya Chen, Owner Project Controls</t>
        </is>
      </c>
      <c r="L1398" s="14" t="inlineStr"/>
      <c r="M1398" s="14" t="inlineStr"/>
      <c r="N1398" s="92" t="inlineStr">
        <is>
          <t>10 EVIDENCE &amp; DECISIONS</t>
        </is>
      </c>
    </row>
    <row r="1399" ht="34" customHeight="1">
      <c r="A1399" s="34" t="inlineStr">
        <is>
          <t>Contractor Programme</t>
        </is>
      </c>
      <c r="B1399" s="34" t="inlineStr">
        <is>
          <t>SCH-06-032</t>
        </is>
      </c>
      <c r="C1399" s="34" t="inlineStr">
        <is>
          <t>Fleet package: baseline change control - inspection</t>
        </is>
      </c>
      <c r="D1399" s="14" t="inlineStr"/>
      <c r="E1399" s="34" t="inlineStr">
        <is>
          <t>R932-v2</t>
        </is>
      </c>
      <c r="F1399" s="34" t="inlineStr">
        <is>
          <t>UNSURE</t>
        </is>
      </c>
      <c r="G1399" s="34" t="inlineStr">
        <is>
          <t>UNSURE</t>
        </is>
      </c>
      <c r="H1399" s="34" t="inlineStr">
        <is>
          <t>APPROVED</t>
        </is>
      </c>
      <c r="I1399" s="34" t="inlineStr">
        <is>
          <t>New</t>
        </is>
      </c>
      <c r="J1399" s="34" t="inlineStr">
        <is>
          <t>Professional decision</t>
        </is>
      </c>
      <c r="K1399" s="34" t="inlineStr">
        <is>
          <t>Maya Chen, Owner Project Controls</t>
        </is>
      </c>
      <c r="L1399" s="14" t="inlineStr"/>
      <c r="M1399" s="14" t="inlineStr"/>
      <c r="N1399" s="92" t="inlineStr">
        <is>
          <t>10 EVIDENCE &amp; DECISIONS</t>
        </is>
      </c>
    </row>
    <row r="1400" ht="34" customHeight="1">
      <c r="A1400" s="34" t="inlineStr">
        <is>
          <t>Contractor Programme</t>
        </is>
      </c>
      <c r="B1400" s="34" t="inlineStr">
        <is>
          <t>SCH-06-033</t>
        </is>
      </c>
      <c r="C1400" s="34" t="inlineStr">
        <is>
          <t>Program office: commercial change review - turnover</t>
        </is>
      </c>
      <c r="D1400" s="14" t="inlineStr"/>
      <c r="E1400" s="34" t="inlineStr">
        <is>
          <t>R933-v2</t>
        </is>
      </c>
      <c r="F1400" s="34" t="inlineStr">
        <is>
          <t>UNSURE</t>
        </is>
      </c>
      <c r="G1400" s="34" t="inlineStr">
        <is>
          <t>UNSURE</t>
        </is>
      </c>
      <c r="H1400" s="34" t="inlineStr">
        <is>
          <t>APPROVED</t>
        </is>
      </c>
      <c r="I1400" s="34" t="inlineStr">
        <is>
          <t>New</t>
        </is>
      </c>
      <c r="J1400" s="34" t="inlineStr">
        <is>
          <t>Professional decision</t>
        </is>
      </c>
      <c r="K1400" s="34" t="inlineStr">
        <is>
          <t>Maya Chen, Owner Project Controls</t>
        </is>
      </c>
      <c r="L1400" s="14" t="inlineStr"/>
      <c r="M1400" s="14" t="inlineStr"/>
      <c r="N1400" s="92" t="inlineStr">
        <is>
          <t>10 EVIDENCE &amp; DECISIONS</t>
        </is>
      </c>
    </row>
    <row r="1401" ht="34" customHeight="1">
      <c r="A1401" s="34" t="inlineStr">
        <is>
          <t>Contractor Programme</t>
        </is>
      </c>
      <c r="B1401" s="34" t="inlineStr">
        <is>
          <t>SCH-06-034</t>
        </is>
      </c>
      <c r="C1401" s="34" t="inlineStr">
        <is>
          <t>Civil package: design-package integration review - release</t>
        </is>
      </c>
      <c r="D1401" s="14" t="inlineStr"/>
      <c r="E1401" s="34" t="inlineStr">
        <is>
          <t>R934-v2</t>
        </is>
      </c>
      <c r="F1401" s="34" t="inlineStr">
        <is>
          <t>UNSURE</t>
        </is>
      </c>
      <c r="G1401" s="34" t="inlineStr">
        <is>
          <t>UNSURE</t>
        </is>
      </c>
      <c r="H1401" s="34" t="inlineStr">
        <is>
          <t>APPROVED</t>
        </is>
      </c>
      <c r="I1401" s="34" t="inlineStr">
        <is>
          <t>New</t>
        </is>
      </c>
      <c r="J1401" s="34" t="inlineStr">
        <is>
          <t>Professional decision</t>
        </is>
      </c>
      <c r="K1401" s="34" t="inlineStr">
        <is>
          <t>Maya Chen, Owner Project Controls</t>
        </is>
      </c>
      <c r="L1401" s="14" t="inlineStr"/>
      <c r="M1401" s="14" t="inlineStr"/>
      <c r="N1401" s="92" t="inlineStr">
        <is>
          <t>10 EVIDENCE &amp; DECISIONS</t>
        </is>
      </c>
    </row>
    <row r="1402" ht="34" customHeight="1">
      <c r="A1402" s="34" t="inlineStr">
        <is>
          <t>Contractor Programme</t>
        </is>
      </c>
      <c r="B1402" s="34" t="inlineStr">
        <is>
          <t>SCH-06-035</t>
        </is>
      </c>
      <c r="C1402" s="34" t="inlineStr">
        <is>
          <t>Stations package: executive reporting close - field start</t>
        </is>
      </c>
      <c r="D1402" s="14" t="inlineStr"/>
      <c r="E1402" s="34" t="inlineStr">
        <is>
          <t>R935-v2</t>
        </is>
      </c>
      <c r="F1402" s="34" t="inlineStr">
        <is>
          <t>UNSURE</t>
        </is>
      </c>
      <c r="G1402" s="34" t="inlineStr">
        <is>
          <t>UNSURE</t>
        </is>
      </c>
      <c r="H1402" s="34" t="inlineStr">
        <is>
          <t>APPROVED</t>
        </is>
      </c>
      <c r="I1402" s="34" t="inlineStr">
        <is>
          <t>New</t>
        </is>
      </c>
      <c r="J1402" s="34" t="inlineStr">
        <is>
          <t>Professional decision</t>
        </is>
      </c>
      <c r="K1402" s="34" t="inlineStr">
        <is>
          <t>Maya Chen, Owner Project Controls</t>
        </is>
      </c>
      <c r="L1402" s="14" t="inlineStr"/>
      <c r="M1402" s="14" t="inlineStr"/>
      <c r="N1402" s="92" t="inlineStr">
        <is>
          <t>10 EVIDENCE &amp; DECISIONS</t>
        </is>
      </c>
    </row>
    <row r="1403" ht="34" customHeight="1">
      <c r="A1403" s="34" t="inlineStr">
        <is>
          <t>Contractor Programme</t>
        </is>
      </c>
      <c r="B1403" s="34" t="inlineStr">
        <is>
          <t>SCH-06-036</t>
        </is>
      </c>
      <c r="C1403" s="34" t="inlineStr">
        <is>
          <t>Systems package: permit coordination - installation</t>
        </is>
      </c>
      <c r="D1403" s="14" t="inlineStr"/>
      <c r="E1403" s="34" t="inlineStr">
        <is>
          <t>R936-v2</t>
        </is>
      </c>
      <c r="F1403" s="34" t="inlineStr">
        <is>
          <t>UNSURE</t>
        </is>
      </c>
      <c r="G1403" s="34" t="inlineStr">
        <is>
          <t>UNSURE</t>
        </is>
      </c>
      <c r="H1403" s="34" t="inlineStr">
        <is>
          <t>APPROVED</t>
        </is>
      </c>
      <c r="I1403" s="34" t="inlineStr">
        <is>
          <t>New</t>
        </is>
      </c>
      <c r="J1403" s="34" t="inlineStr">
        <is>
          <t>Professional decision</t>
        </is>
      </c>
      <c r="K1403" s="34" t="inlineStr">
        <is>
          <t>Maya Chen, Owner Project Controls</t>
        </is>
      </c>
      <c r="L1403" s="14" t="inlineStr"/>
      <c r="M1403" s="14" t="inlineStr"/>
      <c r="N1403" s="92" t="inlineStr">
        <is>
          <t>10 EVIDENCE &amp; DECISIONS</t>
        </is>
      </c>
    </row>
    <row r="1404" ht="34" customHeight="1">
      <c r="A1404" s="34" t="inlineStr">
        <is>
          <t>Contractor Programme</t>
        </is>
      </c>
      <c r="B1404" s="34" t="inlineStr">
        <is>
          <t>SCH-06-037</t>
        </is>
      </c>
      <c r="C1404" s="34" t="inlineStr">
        <is>
          <t>Fleet package: delivery risk workshop - inspection</t>
        </is>
      </c>
      <c r="D1404" s="14" t="inlineStr"/>
      <c r="E1404" s="34" t="inlineStr">
        <is>
          <t>R937-v2</t>
        </is>
      </c>
      <c r="F1404" s="34" t="inlineStr">
        <is>
          <t>UNSURE</t>
        </is>
      </c>
      <c r="G1404" s="34" t="inlineStr">
        <is>
          <t>UNSURE</t>
        </is>
      </c>
      <c r="H1404" s="34" t="inlineStr">
        <is>
          <t>APPROVED</t>
        </is>
      </c>
      <c r="I1404" s="34" t="inlineStr">
        <is>
          <t>New</t>
        </is>
      </c>
      <c r="J1404" s="34" t="inlineStr">
        <is>
          <t>Professional decision</t>
        </is>
      </c>
      <c r="K1404" s="34" t="inlineStr">
        <is>
          <t>Maya Chen, Owner Project Controls</t>
        </is>
      </c>
      <c r="L1404" s="14" t="inlineStr"/>
      <c r="M1404" s="14" t="inlineStr"/>
      <c r="N1404" s="92" t="inlineStr">
        <is>
          <t>10 EVIDENCE &amp; DECISIONS</t>
        </is>
      </c>
    </row>
    <row r="1405" ht="34" customHeight="1">
      <c r="A1405" s="34" t="inlineStr">
        <is>
          <t>Contractor Programme</t>
        </is>
      </c>
      <c r="B1405" s="34" t="inlineStr">
        <is>
          <t>SCH-06-038</t>
        </is>
      </c>
      <c r="C1405" s="34" t="inlineStr">
        <is>
          <t>Program office: monthly controls cut-off - turnover</t>
        </is>
      </c>
      <c r="D1405" s="14" t="inlineStr"/>
      <c r="E1405" s="34" t="inlineStr">
        <is>
          <t>R938-v2</t>
        </is>
      </c>
      <c r="F1405" s="34" t="inlineStr">
        <is>
          <t>UNSURE</t>
        </is>
      </c>
      <c r="G1405" s="34" t="inlineStr">
        <is>
          <t>UNSURE</t>
        </is>
      </c>
      <c r="H1405" s="34" t="inlineStr">
        <is>
          <t>APPROVED</t>
        </is>
      </c>
      <c r="I1405" s="34" t="inlineStr">
        <is>
          <t>New</t>
        </is>
      </c>
      <c r="J1405" s="34" t="inlineStr">
        <is>
          <t>Professional decision</t>
        </is>
      </c>
      <c r="K1405" s="34" t="inlineStr">
        <is>
          <t>Maya Chen, Owner Project Controls</t>
        </is>
      </c>
      <c r="L1405" s="14" t="inlineStr"/>
      <c r="M1405" s="14" t="inlineStr"/>
      <c r="N1405" s="92" t="inlineStr">
        <is>
          <t>10 EVIDENCE &amp; DECISIONS</t>
        </is>
      </c>
    </row>
    <row r="1406" ht="34" customHeight="1">
      <c r="A1406" s="34" t="inlineStr">
        <is>
          <t>Contractor Programme</t>
        </is>
      </c>
      <c r="B1406" s="34" t="inlineStr">
        <is>
          <t>SCH-06-039</t>
        </is>
      </c>
      <c r="C1406" s="34" t="inlineStr">
        <is>
          <t>Civil package: stakeholder interface meeting - release</t>
        </is>
      </c>
      <c r="D1406" s="14" t="inlineStr"/>
      <c r="E1406" s="34" t="inlineStr">
        <is>
          <t>R939-v2</t>
        </is>
      </c>
      <c r="F1406" s="34" t="inlineStr">
        <is>
          <t>UNSURE</t>
        </is>
      </c>
      <c r="G1406" s="34" t="inlineStr">
        <is>
          <t>UNSURE</t>
        </is>
      </c>
      <c r="H1406" s="34" t="inlineStr">
        <is>
          <t>APPROVED</t>
        </is>
      </c>
      <c r="I1406" s="34" t="inlineStr">
        <is>
          <t>New</t>
        </is>
      </c>
      <c r="J1406" s="34" t="inlineStr">
        <is>
          <t>Professional decision</t>
        </is>
      </c>
      <c r="K1406" s="34" t="inlineStr">
        <is>
          <t>Maya Chen, Owner Project Controls</t>
        </is>
      </c>
      <c r="L1406" s="14" t="inlineStr"/>
      <c r="M1406" s="14" t="inlineStr"/>
      <c r="N1406" s="92" t="inlineStr">
        <is>
          <t>10 EVIDENCE &amp; DECISIONS</t>
        </is>
      </c>
    </row>
    <row r="1407" ht="34" customHeight="1">
      <c r="A1407" s="34" t="inlineStr">
        <is>
          <t>Contractor Programme</t>
        </is>
      </c>
      <c r="B1407" s="34" t="inlineStr">
        <is>
          <t>SCH-06-040</t>
        </is>
      </c>
      <c r="C1407" s="34" t="inlineStr">
        <is>
          <t>Stations package: baseline change control - field start</t>
        </is>
      </c>
      <c r="D1407" s="14" t="inlineStr"/>
      <c r="E1407" s="34" t="inlineStr">
        <is>
          <t>R940-v2</t>
        </is>
      </c>
      <c r="F1407" s="34" t="inlineStr">
        <is>
          <t>UNSURE</t>
        </is>
      </c>
      <c r="G1407" s="34" t="inlineStr">
        <is>
          <t>UNSURE</t>
        </is>
      </c>
      <c r="H1407" s="34" t="inlineStr">
        <is>
          <t>APPROVED</t>
        </is>
      </c>
      <c r="I1407" s="34" t="inlineStr">
        <is>
          <t>New</t>
        </is>
      </c>
      <c r="J1407" s="34" t="inlineStr">
        <is>
          <t>Professional decision</t>
        </is>
      </c>
      <c r="K1407" s="34" t="inlineStr">
        <is>
          <t>Maya Chen, Owner Project Controls</t>
        </is>
      </c>
      <c r="L1407" s="14" t="inlineStr"/>
      <c r="M1407" s="14" t="inlineStr"/>
      <c r="N1407" s="92" t="inlineStr">
        <is>
          <t>10 EVIDENCE &amp; DECISIONS</t>
        </is>
      </c>
    </row>
    <row r="1408" ht="34" customHeight="1">
      <c r="A1408" s="34" t="inlineStr">
        <is>
          <t>Contractor Programme</t>
        </is>
      </c>
      <c r="B1408" s="34" t="inlineStr">
        <is>
          <t>SCH-06-041</t>
        </is>
      </c>
      <c r="C1408" s="34" t="inlineStr">
        <is>
          <t>Systems package: commercial change review - installation</t>
        </is>
      </c>
      <c r="D1408" s="14" t="inlineStr"/>
      <c r="E1408" s="34" t="inlineStr">
        <is>
          <t>R941-v2</t>
        </is>
      </c>
      <c r="F1408" s="34" t="inlineStr">
        <is>
          <t>UNSURE</t>
        </is>
      </c>
      <c r="G1408" s="34" t="inlineStr">
        <is>
          <t>UNSURE</t>
        </is>
      </c>
      <c r="H1408" s="34" t="inlineStr">
        <is>
          <t>APPROVED</t>
        </is>
      </c>
      <c r="I1408" s="34" t="inlineStr">
        <is>
          <t>New</t>
        </is>
      </c>
      <c r="J1408" s="34" t="inlineStr">
        <is>
          <t>Professional decision</t>
        </is>
      </c>
      <c r="K1408" s="34" t="inlineStr">
        <is>
          <t>Maya Chen, Owner Project Controls</t>
        </is>
      </c>
      <c r="L1408" s="14" t="inlineStr"/>
      <c r="M1408" s="14" t="inlineStr"/>
      <c r="N1408" s="92" t="inlineStr">
        <is>
          <t>10 EVIDENCE &amp; DECISIONS</t>
        </is>
      </c>
    </row>
    <row r="1409" ht="34" customHeight="1">
      <c r="A1409" s="34" t="inlineStr">
        <is>
          <t>Contractor Programme</t>
        </is>
      </c>
      <c r="B1409" s="34" t="inlineStr">
        <is>
          <t>SCH-06-042</t>
        </is>
      </c>
      <c r="C1409" s="34" t="inlineStr">
        <is>
          <t>Fleet package: design-package integration review - inspection</t>
        </is>
      </c>
      <c r="D1409" s="14" t="inlineStr"/>
      <c r="E1409" s="34" t="inlineStr">
        <is>
          <t>R942-v2</t>
        </is>
      </c>
      <c r="F1409" s="34" t="inlineStr">
        <is>
          <t>UNSURE</t>
        </is>
      </c>
      <c r="G1409" s="34" t="inlineStr">
        <is>
          <t>UNSURE</t>
        </is>
      </c>
      <c r="H1409" s="34" t="inlineStr">
        <is>
          <t>APPROVED</t>
        </is>
      </c>
      <c r="I1409" s="34" t="inlineStr">
        <is>
          <t>New</t>
        </is>
      </c>
      <c r="J1409" s="34" t="inlineStr">
        <is>
          <t>Professional decision</t>
        </is>
      </c>
      <c r="K1409" s="34" t="inlineStr">
        <is>
          <t>Maya Chen, Owner Project Controls</t>
        </is>
      </c>
      <c r="L1409" s="14" t="inlineStr"/>
      <c r="M1409" s="14" t="inlineStr"/>
      <c r="N1409" s="92" t="inlineStr">
        <is>
          <t>10 EVIDENCE &amp; DECISIONS</t>
        </is>
      </c>
    </row>
    <row r="1410" ht="34" customHeight="1">
      <c r="A1410" s="34" t="inlineStr">
        <is>
          <t>Contractor Programme</t>
        </is>
      </c>
      <c r="B1410" s="34" t="inlineStr">
        <is>
          <t>SCH-06-043</t>
        </is>
      </c>
      <c r="C1410" s="34" t="inlineStr">
        <is>
          <t>Program office: executive reporting close - turnover</t>
        </is>
      </c>
      <c r="D1410" s="14" t="inlineStr"/>
      <c r="E1410" s="34" t="inlineStr">
        <is>
          <t>R943-v2</t>
        </is>
      </c>
      <c r="F1410" s="34" t="inlineStr">
        <is>
          <t>UNSURE</t>
        </is>
      </c>
      <c r="G1410" s="34" t="inlineStr">
        <is>
          <t>UNSURE</t>
        </is>
      </c>
      <c r="H1410" s="34" t="inlineStr">
        <is>
          <t>APPROVED</t>
        </is>
      </c>
      <c r="I1410" s="34" t="inlineStr">
        <is>
          <t>New</t>
        </is>
      </c>
      <c r="J1410" s="34" t="inlineStr">
        <is>
          <t>Professional decision</t>
        </is>
      </c>
      <c r="K1410" s="34" t="inlineStr">
        <is>
          <t>Maya Chen, Owner Project Controls</t>
        </is>
      </c>
      <c r="L1410" s="14" t="inlineStr"/>
      <c r="M1410" s="14" t="inlineStr"/>
      <c r="N1410" s="92" t="inlineStr">
        <is>
          <t>10 EVIDENCE &amp; DECISIONS</t>
        </is>
      </c>
    </row>
    <row r="1411" ht="34" customHeight="1">
      <c r="A1411" s="34" t="inlineStr">
        <is>
          <t>Contractor Programme</t>
        </is>
      </c>
      <c r="B1411" s="34" t="inlineStr">
        <is>
          <t>SCH-06-044</t>
        </is>
      </c>
      <c r="C1411" s="34" t="inlineStr">
        <is>
          <t>Civil package: permit coordination - release</t>
        </is>
      </c>
      <c r="D1411" s="14" t="inlineStr"/>
      <c r="E1411" s="34" t="inlineStr">
        <is>
          <t>R944-v2</t>
        </is>
      </c>
      <c r="F1411" s="34" t="inlineStr">
        <is>
          <t>UNSURE</t>
        </is>
      </c>
      <c r="G1411" s="34" t="inlineStr">
        <is>
          <t>UNSURE</t>
        </is>
      </c>
      <c r="H1411" s="34" t="inlineStr">
        <is>
          <t>APPROVED</t>
        </is>
      </c>
      <c r="I1411" s="34" t="inlineStr">
        <is>
          <t>New</t>
        </is>
      </c>
      <c r="J1411" s="34" t="inlineStr">
        <is>
          <t>Professional decision</t>
        </is>
      </c>
      <c r="K1411" s="34" t="inlineStr">
        <is>
          <t>Maya Chen, Owner Project Controls</t>
        </is>
      </c>
      <c r="L1411" s="14" t="inlineStr"/>
      <c r="M1411" s="14" t="inlineStr"/>
      <c r="N1411" s="92" t="inlineStr">
        <is>
          <t>10 EVIDENCE &amp; DECISIONS</t>
        </is>
      </c>
    </row>
    <row r="1412" ht="34" customHeight="1">
      <c r="A1412" s="34" t="inlineStr">
        <is>
          <t>Contractor Programme</t>
        </is>
      </c>
      <c r="B1412" s="34" t="inlineStr">
        <is>
          <t>SCH-06-045</t>
        </is>
      </c>
      <c r="C1412" s="34" t="inlineStr">
        <is>
          <t>Stations package: delivery risk workshop - field start</t>
        </is>
      </c>
      <c r="D1412" s="14" t="inlineStr"/>
      <c r="E1412" s="34" t="inlineStr">
        <is>
          <t>R945-v2</t>
        </is>
      </c>
      <c r="F1412" s="34" t="inlineStr">
        <is>
          <t>UNSURE</t>
        </is>
      </c>
      <c r="G1412" s="34" t="inlineStr">
        <is>
          <t>UNSURE</t>
        </is>
      </c>
      <c r="H1412" s="34" t="inlineStr">
        <is>
          <t>APPROVED</t>
        </is>
      </c>
      <c r="I1412" s="34" t="inlineStr">
        <is>
          <t>New</t>
        </is>
      </c>
      <c r="J1412" s="34" t="inlineStr">
        <is>
          <t>Professional decision</t>
        </is>
      </c>
      <c r="K1412" s="34" t="inlineStr">
        <is>
          <t>Maya Chen, Owner Project Controls</t>
        </is>
      </c>
      <c r="L1412" s="14" t="inlineStr"/>
      <c r="M1412" s="14" t="inlineStr"/>
      <c r="N1412" s="92" t="inlineStr">
        <is>
          <t>10 EVIDENCE &amp; DECISIONS</t>
        </is>
      </c>
    </row>
    <row r="1413" ht="34" customHeight="1">
      <c r="A1413" s="34" t="inlineStr">
        <is>
          <t>Contractor Programme</t>
        </is>
      </c>
      <c r="B1413" s="34" t="inlineStr">
        <is>
          <t>SCH-06-046</t>
        </is>
      </c>
      <c r="C1413" s="34" t="inlineStr">
        <is>
          <t>Systems package: monthly controls cut-off - installation</t>
        </is>
      </c>
      <c r="D1413" s="14" t="inlineStr"/>
      <c r="E1413" s="34" t="inlineStr">
        <is>
          <t>R946-v2</t>
        </is>
      </c>
      <c r="F1413" s="34" t="inlineStr">
        <is>
          <t>UNSURE</t>
        </is>
      </c>
      <c r="G1413" s="34" t="inlineStr">
        <is>
          <t>UNSURE</t>
        </is>
      </c>
      <c r="H1413" s="34" t="inlineStr">
        <is>
          <t>APPROVED</t>
        </is>
      </c>
      <c r="I1413" s="34" t="inlineStr">
        <is>
          <t>New</t>
        </is>
      </c>
      <c r="J1413" s="34" t="inlineStr">
        <is>
          <t>Professional decision</t>
        </is>
      </c>
      <c r="K1413" s="34" t="inlineStr">
        <is>
          <t>Maya Chen, Owner Project Controls</t>
        </is>
      </c>
      <c r="L1413" s="14" t="inlineStr"/>
      <c r="M1413" s="14" t="inlineStr"/>
      <c r="N1413" s="92" t="inlineStr">
        <is>
          <t>10 EVIDENCE &amp; DECISIONS</t>
        </is>
      </c>
    </row>
    <row r="1414" ht="34" customHeight="1">
      <c r="A1414" s="34" t="inlineStr">
        <is>
          <t>Contractor Programme</t>
        </is>
      </c>
      <c r="B1414" s="34" t="inlineStr">
        <is>
          <t>SCH-06-047</t>
        </is>
      </c>
      <c r="C1414" s="34" t="inlineStr">
        <is>
          <t>Fleet package: stakeholder interface meeting - inspection</t>
        </is>
      </c>
      <c r="D1414" s="14" t="inlineStr"/>
      <c r="E1414" s="34" t="inlineStr">
        <is>
          <t>R947-v2</t>
        </is>
      </c>
      <c r="F1414" s="34" t="inlineStr">
        <is>
          <t>UNSURE</t>
        </is>
      </c>
      <c r="G1414" s="34" t="inlineStr">
        <is>
          <t>UNSURE</t>
        </is>
      </c>
      <c r="H1414" s="34" t="inlineStr">
        <is>
          <t>APPROVED</t>
        </is>
      </c>
      <c r="I1414" s="34" t="inlineStr">
        <is>
          <t>New</t>
        </is>
      </c>
      <c r="J1414" s="34" t="inlineStr">
        <is>
          <t>Professional decision</t>
        </is>
      </c>
      <c r="K1414" s="34" t="inlineStr">
        <is>
          <t>Maya Chen, Owner Project Controls</t>
        </is>
      </c>
      <c r="L1414" s="14" t="inlineStr"/>
      <c r="M1414" s="14" t="inlineStr"/>
      <c r="N1414" s="92" t="inlineStr">
        <is>
          <t>10 EVIDENCE &amp; DECISIONS</t>
        </is>
      </c>
    </row>
    <row r="1415" ht="34" customHeight="1">
      <c r="A1415" s="34" t="inlineStr">
        <is>
          <t>Contractor Programme</t>
        </is>
      </c>
      <c r="B1415" s="34" t="inlineStr">
        <is>
          <t>SCH-06-048</t>
        </is>
      </c>
      <c r="C1415" s="34" t="inlineStr">
        <is>
          <t>Program office: baseline change control - turnover</t>
        </is>
      </c>
      <c r="D1415" s="14" t="inlineStr"/>
      <c r="E1415" s="34" t="inlineStr">
        <is>
          <t>R948-v2</t>
        </is>
      </c>
      <c r="F1415" s="34" t="inlineStr">
        <is>
          <t>UNSURE</t>
        </is>
      </c>
      <c r="G1415" s="34" t="inlineStr">
        <is>
          <t>UNSURE</t>
        </is>
      </c>
      <c r="H1415" s="34" t="inlineStr">
        <is>
          <t>APPROVED</t>
        </is>
      </c>
      <c r="I1415" s="34" t="inlineStr">
        <is>
          <t>New</t>
        </is>
      </c>
      <c r="J1415" s="34" t="inlineStr">
        <is>
          <t>Professional decision</t>
        </is>
      </c>
      <c r="K1415" s="34" t="inlineStr">
        <is>
          <t>Maya Chen, Owner Project Controls</t>
        </is>
      </c>
      <c r="L1415" s="14" t="inlineStr"/>
      <c r="M1415" s="14" t="inlineStr"/>
      <c r="N1415" s="92" t="inlineStr">
        <is>
          <t>10 EVIDENCE &amp; DECISIONS</t>
        </is>
      </c>
    </row>
    <row r="1416" ht="34" customHeight="1">
      <c r="A1416" s="34" t="inlineStr">
        <is>
          <t>Contractor Programme</t>
        </is>
      </c>
      <c r="B1416" s="34" t="inlineStr">
        <is>
          <t>SCH-06-049</t>
        </is>
      </c>
      <c r="C1416" s="34" t="inlineStr">
        <is>
          <t>Civil package: commercial change review - release</t>
        </is>
      </c>
      <c r="D1416" s="14" t="inlineStr"/>
      <c r="E1416" s="34" t="inlineStr">
        <is>
          <t>R949-v2</t>
        </is>
      </c>
      <c r="F1416" s="34" t="inlineStr">
        <is>
          <t>UNSURE</t>
        </is>
      </c>
      <c r="G1416" s="34" t="inlineStr">
        <is>
          <t>UNSURE</t>
        </is>
      </c>
      <c r="H1416" s="34" t="inlineStr">
        <is>
          <t>APPROVED</t>
        </is>
      </c>
      <c r="I1416" s="34" t="inlineStr">
        <is>
          <t>New</t>
        </is>
      </c>
      <c r="J1416" s="34" t="inlineStr">
        <is>
          <t>Professional decision</t>
        </is>
      </c>
      <c r="K1416" s="34" t="inlineStr">
        <is>
          <t>Maya Chen, Owner Project Controls</t>
        </is>
      </c>
      <c r="L1416" s="14" t="inlineStr"/>
      <c r="M1416" s="14" t="inlineStr"/>
      <c r="N1416" s="92" t="inlineStr">
        <is>
          <t>10 EVIDENCE &amp; DECISIONS</t>
        </is>
      </c>
    </row>
    <row r="1417" ht="34" customHeight="1">
      <c r="A1417" s="34" t="inlineStr">
        <is>
          <t>Contractor Programme</t>
        </is>
      </c>
      <c r="B1417" s="34" t="inlineStr">
        <is>
          <t>SCH-06-050</t>
        </is>
      </c>
      <c r="C1417" s="34" t="inlineStr">
        <is>
          <t>Stations package: design-package integration review - field start</t>
        </is>
      </c>
      <c r="D1417" s="14" t="inlineStr"/>
      <c r="E1417" s="34" t="inlineStr">
        <is>
          <t>R950-v2</t>
        </is>
      </c>
      <c r="F1417" s="34" t="inlineStr">
        <is>
          <t>UNSURE</t>
        </is>
      </c>
      <c r="G1417" s="34" t="inlineStr">
        <is>
          <t>UNSURE</t>
        </is>
      </c>
      <c r="H1417" s="34" t="inlineStr">
        <is>
          <t>APPROVED</t>
        </is>
      </c>
      <c r="I1417" s="34" t="inlineStr">
        <is>
          <t>New</t>
        </is>
      </c>
      <c r="J1417" s="34" t="inlineStr">
        <is>
          <t>Professional decision</t>
        </is>
      </c>
      <c r="K1417" s="34" t="inlineStr">
        <is>
          <t>Maya Chen, Owner Project Controls</t>
        </is>
      </c>
      <c r="L1417" s="14" t="inlineStr"/>
      <c r="M1417" s="14" t="inlineStr"/>
      <c r="N1417" s="92" t="inlineStr">
        <is>
          <t>10 EVIDENCE &amp; DECISIONS</t>
        </is>
      </c>
    </row>
    <row r="1418" ht="34" customHeight="1">
      <c r="A1418" s="34" t="inlineStr">
        <is>
          <t>Contractor Programme</t>
        </is>
      </c>
      <c r="B1418" s="34" t="inlineStr">
        <is>
          <t>SCH-06-051</t>
        </is>
      </c>
      <c r="C1418" s="34" t="inlineStr">
        <is>
          <t>Systems package: executive reporting close - installation</t>
        </is>
      </c>
      <c r="D1418" s="14" t="inlineStr"/>
      <c r="E1418" s="34" t="inlineStr">
        <is>
          <t>R951-v2</t>
        </is>
      </c>
      <c r="F1418" s="34" t="inlineStr">
        <is>
          <t>UNSURE</t>
        </is>
      </c>
      <c r="G1418" s="34" t="inlineStr">
        <is>
          <t>UNSURE</t>
        </is>
      </c>
      <c r="H1418" s="34" t="inlineStr">
        <is>
          <t>APPROVED</t>
        </is>
      </c>
      <c r="I1418" s="34" t="inlineStr">
        <is>
          <t>New</t>
        </is>
      </c>
      <c r="J1418" s="34" t="inlineStr">
        <is>
          <t>Professional decision</t>
        </is>
      </c>
      <c r="K1418" s="34" t="inlineStr">
        <is>
          <t>Maya Chen, Owner Project Controls</t>
        </is>
      </c>
      <c r="L1418" s="14" t="inlineStr"/>
      <c r="M1418" s="14" t="inlineStr"/>
      <c r="N1418" s="92" t="inlineStr">
        <is>
          <t>10 EVIDENCE &amp; DECISIONS</t>
        </is>
      </c>
    </row>
    <row r="1419" ht="34" customHeight="1">
      <c r="A1419" s="34" t="inlineStr">
        <is>
          <t>Contractor Programme</t>
        </is>
      </c>
      <c r="B1419" s="34" t="inlineStr">
        <is>
          <t>SCH-06-052</t>
        </is>
      </c>
      <c r="C1419" s="34" t="inlineStr">
        <is>
          <t>Fleet package: permit coordination - inspection</t>
        </is>
      </c>
      <c r="D1419" s="14" t="inlineStr"/>
      <c r="E1419" s="34" t="inlineStr">
        <is>
          <t>R952-v2</t>
        </is>
      </c>
      <c r="F1419" s="34" t="inlineStr">
        <is>
          <t>UNSURE</t>
        </is>
      </c>
      <c r="G1419" s="34" t="inlineStr">
        <is>
          <t>UNSURE</t>
        </is>
      </c>
      <c r="H1419" s="34" t="inlineStr">
        <is>
          <t>APPROVED</t>
        </is>
      </c>
      <c r="I1419" s="34" t="inlineStr">
        <is>
          <t>New</t>
        </is>
      </c>
      <c r="J1419" s="34" t="inlineStr">
        <is>
          <t>Professional decision</t>
        </is>
      </c>
      <c r="K1419" s="34" t="inlineStr">
        <is>
          <t>Maya Chen, Owner Project Controls</t>
        </is>
      </c>
      <c r="L1419" s="14" t="inlineStr"/>
      <c r="M1419" s="14" t="inlineStr"/>
      <c r="N1419" s="92" t="inlineStr">
        <is>
          <t>10 EVIDENCE &amp; DECISIONS</t>
        </is>
      </c>
    </row>
    <row r="1420" ht="34" customHeight="1">
      <c r="A1420" s="34" t="inlineStr">
        <is>
          <t>Contractor Programme</t>
        </is>
      </c>
      <c r="B1420" s="34" t="inlineStr">
        <is>
          <t>SCH-06-053</t>
        </is>
      </c>
      <c r="C1420" s="34" t="inlineStr">
        <is>
          <t>Program office: delivery risk workshop - turnover</t>
        </is>
      </c>
      <c r="D1420" s="14" t="inlineStr"/>
      <c r="E1420" s="34" t="inlineStr">
        <is>
          <t>R953-v2</t>
        </is>
      </c>
      <c r="F1420" s="34" t="inlineStr">
        <is>
          <t>UNSURE</t>
        </is>
      </c>
      <c r="G1420" s="34" t="inlineStr">
        <is>
          <t>UNSURE</t>
        </is>
      </c>
      <c r="H1420" s="34" t="inlineStr">
        <is>
          <t>APPROVED</t>
        </is>
      </c>
      <c r="I1420" s="34" t="inlineStr">
        <is>
          <t>New</t>
        </is>
      </c>
      <c r="J1420" s="34" t="inlineStr">
        <is>
          <t>Professional decision</t>
        </is>
      </c>
      <c r="K1420" s="34" t="inlineStr">
        <is>
          <t>Maya Chen, Owner Project Controls</t>
        </is>
      </c>
      <c r="L1420" s="14" t="inlineStr"/>
      <c r="M1420" s="14" t="inlineStr"/>
      <c r="N1420" s="92" t="inlineStr">
        <is>
          <t>10 EVIDENCE &amp; DECISIONS</t>
        </is>
      </c>
    </row>
    <row r="1421" ht="34" customHeight="1">
      <c r="A1421" s="34" t="inlineStr">
        <is>
          <t>Contractor Programme</t>
        </is>
      </c>
      <c r="B1421" s="34" t="inlineStr">
        <is>
          <t>SCH-06-054</t>
        </is>
      </c>
      <c r="C1421" s="34" t="inlineStr">
        <is>
          <t>Civil package: monthly controls cut-off - release</t>
        </is>
      </c>
      <c r="D1421" s="14" t="inlineStr"/>
      <c r="E1421" s="34" t="inlineStr">
        <is>
          <t>R954-v2</t>
        </is>
      </c>
      <c r="F1421" s="34" t="inlineStr">
        <is>
          <t>UNSURE</t>
        </is>
      </c>
      <c r="G1421" s="34" t="inlineStr">
        <is>
          <t>UNSURE</t>
        </is>
      </c>
      <c r="H1421" s="34" t="inlineStr">
        <is>
          <t>APPROVED</t>
        </is>
      </c>
      <c r="I1421" s="34" t="inlineStr">
        <is>
          <t>New</t>
        </is>
      </c>
      <c r="J1421" s="34" t="inlineStr">
        <is>
          <t>Professional decision</t>
        </is>
      </c>
      <c r="K1421" s="34" t="inlineStr">
        <is>
          <t>Maya Chen, Owner Project Controls</t>
        </is>
      </c>
      <c r="L1421" s="14" t="inlineStr"/>
      <c r="M1421" s="14" t="inlineStr"/>
      <c r="N1421" s="92" t="inlineStr">
        <is>
          <t>10 EVIDENCE &amp; DECISIONS</t>
        </is>
      </c>
    </row>
    <row r="1422" ht="34" customHeight="1">
      <c r="A1422" s="34" t="inlineStr">
        <is>
          <t>Contractor Programme</t>
        </is>
      </c>
      <c r="B1422" s="34" t="inlineStr">
        <is>
          <t>SCH-06-055</t>
        </is>
      </c>
      <c r="C1422" s="34" t="inlineStr">
        <is>
          <t>Stations package: stakeholder interface meeting - field start</t>
        </is>
      </c>
      <c r="D1422" s="14" t="inlineStr"/>
      <c r="E1422" s="34" t="inlineStr">
        <is>
          <t>R955-v2</t>
        </is>
      </c>
      <c r="F1422" s="34" t="inlineStr">
        <is>
          <t>UNSURE</t>
        </is>
      </c>
      <c r="G1422" s="34" t="inlineStr">
        <is>
          <t>UNSURE</t>
        </is>
      </c>
      <c r="H1422" s="34" t="inlineStr">
        <is>
          <t>APPROVED</t>
        </is>
      </c>
      <c r="I1422" s="34" t="inlineStr">
        <is>
          <t>New</t>
        </is>
      </c>
      <c r="J1422" s="34" t="inlineStr">
        <is>
          <t>Professional decision</t>
        </is>
      </c>
      <c r="K1422" s="34" t="inlineStr">
        <is>
          <t>Maya Chen, Owner Project Controls</t>
        </is>
      </c>
      <c r="L1422" s="14" t="inlineStr"/>
      <c r="M1422" s="14" t="inlineStr"/>
      <c r="N1422" s="92" t="inlineStr">
        <is>
          <t>10 EVIDENCE &amp; DECISIONS</t>
        </is>
      </c>
    </row>
    <row r="1423" ht="34" customHeight="1">
      <c r="A1423" s="34" t="inlineStr">
        <is>
          <t>Contractor Programme</t>
        </is>
      </c>
      <c r="B1423" s="34" t="inlineStr">
        <is>
          <t>SCH-06-056</t>
        </is>
      </c>
      <c r="C1423" s="34" t="inlineStr">
        <is>
          <t>Systems package: baseline change control - installation</t>
        </is>
      </c>
      <c r="D1423" s="14" t="inlineStr"/>
      <c r="E1423" s="34" t="inlineStr">
        <is>
          <t>R956-v2</t>
        </is>
      </c>
      <c r="F1423" s="34" t="inlineStr">
        <is>
          <t>UNSURE</t>
        </is>
      </c>
      <c r="G1423" s="34" t="inlineStr">
        <is>
          <t>UNSURE</t>
        </is>
      </c>
      <c r="H1423" s="34" t="inlineStr">
        <is>
          <t>APPROVED</t>
        </is>
      </c>
      <c r="I1423" s="34" t="inlineStr">
        <is>
          <t>New</t>
        </is>
      </c>
      <c r="J1423" s="34" t="inlineStr">
        <is>
          <t>Professional decision</t>
        </is>
      </c>
      <c r="K1423" s="34" t="inlineStr">
        <is>
          <t>Maya Chen, Owner Project Controls</t>
        </is>
      </c>
      <c r="L1423" s="14" t="inlineStr"/>
      <c r="M1423" s="14" t="inlineStr"/>
      <c r="N1423" s="92" t="inlineStr">
        <is>
          <t>10 EVIDENCE &amp; DECISIONS</t>
        </is>
      </c>
    </row>
    <row r="1424" ht="34" customHeight="1">
      <c r="A1424" s="34" t="inlineStr">
        <is>
          <t>Contractor Programme</t>
        </is>
      </c>
      <c r="B1424" s="34" t="inlineStr">
        <is>
          <t>SCH-06-057</t>
        </is>
      </c>
      <c r="C1424" s="34" t="inlineStr">
        <is>
          <t>Fleet package: commercial change review - inspection</t>
        </is>
      </c>
      <c r="D1424" s="14" t="inlineStr"/>
      <c r="E1424" s="34" t="inlineStr">
        <is>
          <t>R957-v2</t>
        </is>
      </c>
      <c r="F1424" s="34" t="inlineStr">
        <is>
          <t>UNSURE</t>
        </is>
      </c>
      <c r="G1424" s="34" t="inlineStr">
        <is>
          <t>UNSURE</t>
        </is>
      </c>
      <c r="H1424" s="34" t="inlineStr">
        <is>
          <t>APPROVED</t>
        </is>
      </c>
      <c r="I1424" s="34" t="inlineStr">
        <is>
          <t>New</t>
        </is>
      </c>
      <c r="J1424" s="34" t="inlineStr">
        <is>
          <t>Professional decision</t>
        </is>
      </c>
      <c r="K1424" s="34" t="inlineStr">
        <is>
          <t>Maya Chen, Owner Project Controls</t>
        </is>
      </c>
      <c r="L1424" s="14" t="inlineStr"/>
      <c r="M1424" s="14" t="inlineStr"/>
      <c r="N1424" s="92" t="inlineStr">
        <is>
          <t>10 EVIDENCE &amp; DECISIONS</t>
        </is>
      </c>
    </row>
    <row r="1425" ht="34" customHeight="1">
      <c r="A1425" s="34" t="inlineStr">
        <is>
          <t>Contractor Programme</t>
        </is>
      </c>
      <c r="B1425" s="34" t="inlineStr">
        <is>
          <t>SCH-06-058</t>
        </is>
      </c>
      <c r="C1425" s="34" t="inlineStr">
        <is>
          <t>Program office: design-package integration review - turnover</t>
        </is>
      </c>
      <c r="D1425" s="14" t="inlineStr"/>
      <c r="E1425" s="34" t="inlineStr">
        <is>
          <t>R958-v2</t>
        </is>
      </c>
      <c r="F1425" s="34" t="inlineStr">
        <is>
          <t>UNSURE</t>
        </is>
      </c>
      <c r="G1425" s="34" t="inlineStr">
        <is>
          <t>UNSURE</t>
        </is>
      </c>
      <c r="H1425" s="34" t="inlineStr">
        <is>
          <t>APPROVED</t>
        </is>
      </c>
      <c r="I1425" s="34" t="inlineStr">
        <is>
          <t>New</t>
        </is>
      </c>
      <c r="J1425" s="34" t="inlineStr">
        <is>
          <t>Professional decision</t>
        </is>
      </c>
      <c r="K1425" s="34" t="inlineStr">
        <is>
          <t>Maya Chen, Owner Project Controls</t>
        </is>
      </c>
      <c r="L1425" s="14" t="inlineStr"/>
      <c r="M1425" s="14" t="inlineStr"/>
      <c r="N1425" s="92" t="inlineStr">
        <is>
          <t>10 EVIDENCE &amp; DECISIONS</t>
        </is>
      </c>
    </row>
    <row r="1426" ht="34" customHeight="1">
      <c r="A1426" s="34" t="inlineStr">
        <is>
          <t>Contractor Programme</t>
        </is>
      </c>
      <c r="B1426" s="34" t="inlineStr">
        <is>
          <t>SCH-06-059</t>
        </is>
      </c>
      <c r="C1426" s="34" t="inlineStr">
        <is>
          <t>Civil package: executive reporting close - release</t>
        </is>
      </c>
      <c r="D1426" s="14" t="inlineStr"/>
      <c r="E1426" s="34" t="inlineStr">
        <is>
          <t>R959-v2</t>
        </is>
      </c>
      <c r="F1426" s="34" t="inlineStr">
        <is>
          <t>UNSURE</t>
        </is>
      </c>
      <c r="G1426" s="34" t="inlineStr">
        <is>
          <t>UNSURE</t>
        </is>
      </c>
      <c r="H1426" s="34" t="inlineStr">
        <is>
          <t>APPROVED</t>
        </is>
      </c>
      <c r="I1426" s="34" t="inlineStr">
        <is>
          <t>New</t>
        </is>
      </c>
      <c r="J1426" s="34" t="inlineStr">
        <is>
          <t>Professional decision</t>
        </is>
      </c>
      <c r="K1426" s="34" t="inlineStr">
        <is>
          <t>Maya Chen, Owner Project Controls</t>
        </is>
      </c>
      <c r="L1426" s="14" t="inlineStr"/>
      <c r="M1426" s="14" t="inlineStr"/>
      <c r="N1426" s="92" t="inlineStr">
        <is>
          <t>10 EVIDENCE &amp; DECISIONS</t>
        </is>
      </c>
    </row>
    <row r="1427" ht="34" customHeight="1">
      <c r="A1427" s="34" t="inlineStr">
        <is>
          <t>Contractor Programme</t>
        </is>
      </c>
      <c r="B1427" s="34" t="inlineStr">
        <is>
          <t>SCH-06-060</t>
        </is>
      </c>
      <c r="C1427" s="34" t="inlineStr">
        <is>
          <t>Stations package: permit coordination - field start</t>
        </is>
      </c>
      <c r="D1427" s="14" t="inlineStr"/>
      <c r="E1427" s="34" t="inlineStr">
        <is>
          <t>R960-v2</t>
        </is>
      </c>
      <c r="F1427" s="34" t="inlineStr">
        <is>
          <t>UNSURE</t>
        </is>
      </c>
      <c r="G1427" s="34" t="inlineStr">
        <is>
          <t>UNSURE</t>
        </is>
      </c>
      <c r="H1427" s="34" t="inlineStr">
        <is>
          <t>APPROVED</t>
        </is>
      </c>
      <c r="I1427" s="34" t="inlineStr">
        <is>
          <t>New</t>
        </is>
      </c>
      <c r="J1427" s="34" t="inlineStr">
        <is>
          <t>Professional decision</t>
        </is>
      </c>
      <c r="K1427" s="34" t="inlineStr">
        <is>
          <t>Maya Chen, Owner Project Controls</t>
        </is>
      </c>
      <c r="L1427" s="14" t="inlineStr"/>
      <c r="M1427" s="14" t="inlineStr"/>
      <c r="N1427" s="92" t="inlineStr">
        <is>
          <t>10 EVIDENCE &amp; DECISIONS</t>
        </is>
      </c>
    </row>
    <row r="1428" ht="34" customHeight="1">
      <c r="A1428" s="34" t="inlineStr">
        <is>
          <t>Contractor Programme</t>
        </is>
      </c>
      <c r="B1428" s="34" t="inlineStr">
        <is>
          <t>SCH-06-061</t>
        </is>
      </c>
      <c r="C1428" s="34" t="inlineStr">
        <is>
          <t>Systems package: delivery risk workshop - installation</t>
        </is>
      </c>
      <c r="D1428" s="14" t="inlineStr"/>
      <c r="E1428" s="34" t="inlineStr">
        <is>
          <t>R961-v2</t>
        </is>
      </c>
      <c r="F1428" s="34" t="inlineStr">
        <is>
          <t>UNSURE</t>
        </is>
      </c>
      <c r="G1428" s="34" t="inlineStr">
        <is>
          <t>UNSURE</t>
        </is>
      </c>
      <c r="H1428" s="34" t="inlineStr">
        <is>
          <t>APPROVED</t>
        </is>
      </c>
      <c r="I1428" s="34" t="inlineStr">
        <is>
          <t>New</t>
        </is>
      </c>
      <c r="J1428" s="34" t="inlineStr">
        <is>
          <t>Professional decision</t>
        </is>
      </c>
      <c r="K1428" s="34" t="inlineStr">
        <is>
          <t>Maya Chen, Owner Project Controls</t>
        </is>
      </c>
      <c r="L1428" s="14" t="inlineStr"/>
      <c r="M1428" s="14" t="inlineStr"/>
      <c r="N1428" s="92" t="inlineStr">
        <is>
          <t>10 EVIDENCE &amp; DECISIONS</t>
        </is>
      </c>
    </row>
    <row r="1429" ht="34" customHeight="1">
      <c r="A1429" s="34" t="inlineStr">
        <is>
          <t>Contractor Programme</t>
        </is>
      </c>
      <c r="B1429" s="34" t="inlineStr">
        <is>
          <t>SCH-06-062</t>
        </is>
      </c>
      <c r="C1429" s="34" t="inlineStr">
        <is>
          <t>Fleet package: monthly controls cut-off - inspection</t>
        </is>
      </c>
      <c r="D1429" s="14" t="inlineStr"/>
      <c r="E1429" s="34" t="inlineStr">
        <is>
          <t>R962-v2</t>
        </is>
      </c>
      <c r="F1429" s="34" t="inlineStr">
        <is>
          <t>UNSURE</t>
        </is>
      </c>
      <c r="G1429" s="34" t="inlineStr">
        <is>
          <t>UNSURE</t>
        </is>
      </c>
      <c r="H1429" s="34" t="inlineStr">
        <is>
          <t>APPROVED</t>
        </is>
      </c>
      <c r="I1429" s="34" t="inlineStr">
        <is>
          <t>New</t>
        </is>
      </c>
      <c r="J1429" s="34" t="inlineStr">
        <is>
          <t>Professional decision</t>
        </is>
      </c>
      <c r="K1429" s="34" t="inlineStr">
        <is>
          <t>Maya Chen, Owner Project Controls</t>
        </is>
      </c>
      <c r="L1429" s="14" t="inlineStr"/>
      <c r="M1429" s="14" t="inlineStr"/>
      <c r="N1429" s="92" t="inlineStr">
        <is>
          <t>10 EVIDENCE &amp; DECISIONS</t>
        </is>
      </c>
    </row>
    <row r="1430" ht="34" customHeight="1">
      <c r="A1430" s="34" t="inlineStr">
        <is>
          <t>Contractor Programme</t>
        </is>
      </c>
      <c r="B1430" s="34" t="inlineStr">
        <is>
          <t>SCH-06-063</t>
        </is>
      </c>
      <c r="C1430" s="34" t="inlineStr">
        <is>
          <t>Program office: stakeholder interface meeting - turnover</t>
        </is>
      </c>
      <c r="D1430" s="14" t="inlineStr"/>
      <c r="E1430" s="34" t="inlineStr">
        <is>
          <t>R963-v2</t>
        </is>
      </c>
      <c r="F1430" s="34" t="inlineStr">
        <is>
          <t>UNSURE</t>
        </is>
      </c>
      <c r="G1430" s="34" t="inlineStr">
        <is>
          <t>UNSURE</t>
        </is>
      </c>
      <c r="H1430" s="34" t="inlineStr">
        <is>
          <t>APPROVED</t>
        </is>
      </c>
      <c r="I1430" s="34" t="inlineStr">
        <is>
          <t>New</t>
        </is>
      </c>
      <c r="J1430" s="34" t="inlineStr">
        <is>
          <t>Professional decision</t>
        </is>
      </c>
      <c r="K1430" s="34" t="inlineStr">
        <is>
          <t>Maya Chen, Owner Project Controls</t>
        </is>
      </c>
      <c r="L1430" s="14" t="inlineStr"/>
      <c r="M1430" s="14" t="inlineStr"/>
      <c r="N1430" s="92" t="inlineStr">
        <is>
          <t>10 EVIDENCE &amp; DECISIONS</t>
        </is>
      </c>
    </row>
    <row r="1431" ht="34" customHeight="1">
      <c r="A1431" s="34" t="inlineStr">
        <is>
          <t>Contractor Programme</t>
        </is>
      </c>
      <c r="B1431" s="34" t="inlineStr">
        <is>
          <t>SCH-06-064</t>
        </is>
      </c>
      <c r="C1431" s="34" t="inlineStr">
        <is>
          <t>Civil package: baseline change control - release</t>
        </is>
      </c>
      <c r="D1431" s="14" t="inlineStr"/>
      <c r="E1431" s="34" t="inlineStr">
        <is>
          <t>R964-v2</t>
        </is>
      </c>
      <c r="F1431" s="34" t="inlineStr">
        <is>
          <t>UNSURE</t>
        </is>
      </c>
      <c r="G1431" s="34" t="inlineStr">
        <is>
          <t>UNSURE</t>
        </is>
      </c>
      <c r="H1431" s="34" t="inlineStr">
        <is>
          <t>APPROVED</t>
        </is>
      </c>
      <c r="I1431" s="34" t="inlineStr">
        <is>
          <t>New</t>
        </is>
      </c>
      <c r="J1431" s="34" t="inlineStr">
        <is>
          <t>Professional decision</t>
        </is>
      </c>
      <c r="K1431" s="34" t="inlineStr">
        <is>
          <t>Maya Chen, Owner Project Controls</t>
        </is>
      </c>
      <c r="L1431" s="14" t="inlineStr"/>
      <c r="M1431" s="14" t="inlineStr"/>
      <c r="N1431" s="92" t="inlineStr">
        <is>
          <t>10 EVIDENCE &amp; DECISIONS</t>
        </is>
      </c>
    </row>
    <row r="1432" ht="34" customHeight="1">
      <c r="A1432" s="34" t="inlineStr">
        <is>
          <t>Contractor Programme</t>
        </is>
      </c>
      <c r="B1432" s="34" t="inlineStr">
        <is>
          <t>SCH-06-065</t>
        </is>
      </c>
      <c r="C1432" s="34" t="inlineStr">
        <is>
          <t>Stations package: commercial change review - field start</t>
        </is>
      </c>
      <c r="D1432" s="14" t="inlineStr"/>
      <c r="E1432" s="34" t="inlineStr">
        <is>
          <t>R965-v2</t>
        </is>
      </c>
      <c r="F1432" s="34" t="inlineStr">
        <is>
          <t>UNSURE</t>
        </is>
      </c>
      <c r="G1432" s="34" t="inlineStr">
        <is>
          <t>UNSURE</t>
        </is>
      </c>
      <c r="H1432" s="34" t="inlineStr">
        <is>
          <t>APPROVED</t>
        </is>
      </c>
      <c r="I1432" s="34" t="inlineStr">
        <is>
          <t>New</t>
        </is>
      </c>
      <c r="J1432" s="34" t="inlineStr">
        <is>
          <t>Professional decision</t>
        </is>
      </c>
      <c r="K1432" s="34" t="inlineStr">
        <is>
          <t>Maya Chen, Owner Project Controls</t>
        </is>
      </c>
      <c r="L1432" s="14" t="inlineStr"/>
      <c r="M1432" s="14" t="inlineStr"/>
      <c r="N1432" s="92" t="inlineStr">
        <is>
          <t>10 EVIDENCE &amp; DECISIONS</t>
        </is>
      </c>
    </row>
    <row r="1433" ht="34" customHeight="1">
      <c r="A1433" s="34" t="inlineStr">
        <is>
          <t>Contractor Programme</t>
        </is>
      </c>
      <c r="B1433" s="34" t="inlineStr">
        <is>
          <t>SCH-06-066</t>
        </is>
      </c>
      <c r="C1433" s="34" t="inlineStr">
        <is>
          <t>Systems package: design-package integration review - installation</t>
        </is>
      </c>
      <c r="D1433" s="14" t="inlineStr"/>
      <c r="E1433" s="34" t="inlineStr">
        <is>
          <t>R966-v2</t>
        </is>
      </c>
      <c r="F1433" s="34" t="inlineStr">
        <is>
          <t>UNSURE</t>
        </is>
      </c>
      <c r="G1433" s="34" t="inlineStr">
        <is>
          <t>UNSURE</t>
        </is>
      </c>
      <c r="H1433" s="34" t="inlineStr">
        <is>
          <t>APPROVED</t>
        </is>
      </c>
      <c r="I1433" s="34" t="inlineStr">
        <is>
          <t>New</t>
        </is>
      </c>
      <c r="J1433" s="34" t="inlineStr">
        <is>
          <t>Professional decision</t>
        </is>
      </c>
      <c r="K1433" s="34" t="inlineStr">
        <is>
          <t>Maya Chen, Owner Project Controls</t>
        </is>
      </c>
      <c r="L1433" s="14" t="inlineStr"/>
      <c r="M1433" s="14" t="inlineStr"/>
      <c r="N1433" s="92" t="inlineStr">
        <is>
          <t>10 EVIDENCE &amp; DECISIONS</t>
        </is>
      </c>
    </row>
    <row r="1434" ht="34" customHeight="1">
      <c r="A1434" s="34" t="inlineStr">
        <is>
          <t>Contractor Programme</t>
        </is>
      </c>
      <c r="B1434" s="34" t="inlineStr">
        <is>
          <t>SCH-06-067</t>
        </is>
      </c>
      <c r="C1434" s="34" t="inlineStr">
        <is>
          <t>Fleet package: executive reporting close - inspection</t>
        </is>
      </c>
      <c r="D1434" s="14" t="inlineStr"/>
      <c r="E1434" s="34" t="inlineStr">
        <is>
          <t>R967-v2</t>
        </is>
      </c>
      <c r="F1434" s="34" t="inlineStr">
        <is>
          <t>UNSURE</t>
        </is>
      </c>
      <c r="G1434" s="34" t="inlineStr">
        <is>
          <t>UNSURE</t>
        </is>
      </c>
      <c r="H1434" s="34" t="inlineStr">
        <is>
          <t>APPROVED</t>
        </is>
      </c>
      <c r="I1434" s="34" t="inlineStr">
        <is>
          <t>New</t>
        </is>
      </c>
      <c r="J1434" s="34" t="inlineStr">
        <is>
          <t>Professional decision</t>
        </is>
      </c>
      <c r="K1434" s="34" t="inlineStr">
        <is>
          <t>Maya Chen, Owner Project Controls</t>
        </is>
      </c>
      <c r="L1434" s="14" t="inlineStr"/>
      <c r="M1434" s="14" t="inlineStr"/>
      <c r="N1434" s="92" t="inlineStr">
        <is>
          <t>10 EVIDENCE &amp; DECISIONS</t>
        </is>
      </c>
    </row>
    <row r="1435" ht="34" customHeight="1">
      <c r="A1435" s="34" t="inlineStr">
        <is>
          <t>Contractor Programme</t>
        </is>
      </c>
      <c r="B1435" s="34" t="inlineStr">
        <is>
          <t>SCH-06-068</t>
        </is>
      </c>
      <c r="C1435" s="34" t="inlineStr">
        <is>
          <t>Program office: permit coordination - turnover</t>
        </is>
      </c>
      <c r="D1435" s="14" t="inlineStr"/>
      <c r="E1435" s="34" t="inlineStr">
        <is>
          <t>R968-v2</t>
        </is>
      </c>
      <c r="F1435" s="34" t="inlineStr">
        <is>
          <t>UNSURE</t>
        </is>
      </c>
      <c r="G1435" s="34" t="inlineStr">
        <is>
          <t>UNSURE</t>
        </is>
      </c>
      <c r="H1435" s="34" t="inlineStr">
        <is>
          <t>APPROVED</t>
        </is>
      </c>
      <c r="I1435" s="34" t="inlineStr">
        <is>
          <t>New</t>
        </is>
      </c>
      <c r="J1435" s="34" t="inlineStr">
        <is>
          <t>Professional decision</t>
        </is>
      </c>
      <c r="K1435" s="34" t="inlineStr">
        <is>
          <t>Maya Chen, Owner Project Controls</t>
        </is>
      </c>
      <c r="L1435" s="14" t="inlineStr"/>
      <c r="M1435" s="14" t="inlineStr"/>
      <c r="N1435" s="92" t="inlineStr">
        <is>
          <t>10 EVIDENCE &amp; DECISIONS</t>
        </is>
      </c>
    </row>
    <row r="1436" ht="34" customHeight="1">
      <c r="A1436" s="34" t="inlineStr">
        <is>
          <t>Contractor Programme</t>
        </is>
      </c>
      <c r="B1436" s="34" t="inlineStr">
        <is>
          <t>SCH-06-069</t>
        </is>
      </c>
      <c r="C1436" s="34" t="inlineStr">
        <is>
          <t>Civil package: delivery risk workshop - release</t>
        </is>
      </c>
      <c r="D1436" s="14" t="inlineStr"/>
      <c r="E1436" s="34" t="inlineStr">
        <is>
          <t>R969-v2</t>
        </is>
      </c>
      <c r="F1436" s="34" t="inlineStr">
        <is>
          <t>UNSURE</t>
        </is>
      </c>
      <c r="G1436" s="34" t="inlineStr">
        <is>
          <t>UNSURE</t>
        </is>
      </c>
      <c r="H1436" s="34" t="inlineStr">
        <is>
          <t>APPROVED</t>
        </is>
      </c>
      <c r="I1436" s="34" t="inlineStr">
        <is>
          <t>New</t>
        </is>
      </c>
      <c r="J1436" s="34" t="inlineStr">
        <is>
          <t>Professional decision</t>
        </is>
      </c>
      <c r="K1436" s="34" t="inlineStr">
        <is>
          <t>Maya Chen, Owner Project Controls</t>
        </is>
      </c>
      <c r="L1436" s="14" t="inlineStr"/>
      <c r="M1436" s="14" t="inlineStr"/>
      <c r="N1436" s="92" t="inlineStr">
        <is>
          <t>10 EVIDENCE &amp; DECISIONS</t>
        </is>
      </c>
    </row>
    <row r="1437" ht="34" customHeight="1">
      <c r="A1437" s="34" t="inlineStr">
        <is>
          <t>Contractor Programme</t>
        </is>
      </c>
      <c r="B1437" s="34" t="inlineStr">
        <is>
          <t>SCH-06-070</t>
        </is>
      </c>
      <c r="C1437" s="34" t="inlineStr">
        <is>
          <t>Stations package: monthly controls cut-off - field start</t>
        </is>
      </c>
      <c r="D1437" s="14" t="inlineStr"/>
      <c r="E1437" s="34" t="inlineStr">
        <is>
          <t>R970-v2</t>
        </is>
      </c>
      <c r="F1437" s="34" t="inlineStr">
        <is>
          <t>UNSURE</t>
        </is>
      </c>
      <c r="G1437" s="34" t="inlineStr">
        <is>
          <t>UNSURE</t>
        </is>
      </c>
      <c r="H1437" s="34" t="inlineStr">
        <is>
          <t>APPROVED</t>
        </is>
      </c>
      <c r="I1437" s="34" t="inlineStr">
        <is>
          <t>New</t>
        </is>
      </c>
      <c r="J1437" s="34" t="inlineStr">
        <is>
          <t>Professional decision</t>
        </is>
      </c>
      <c r="K1437" s="34" t="inlineStr">
        <is>
          <t>Maya Chen, Owner Project Controls</t>
        </is>
      </c>
      <c r="L1437" s="14" t="inlineStr"/>
      <c r="M1437" s="14" t="inlineStr"/>
      <c r="N1437" s="92" t="inlineStr">
        <is>
          <t>10 EVIDENCE &amp; DECISIONS</t>
        </is>
      </c>
    </row>
    <row r="1438" ht="34" customHeight="1">
      <c r="A1438" s="34" t="inlineStr">
        <is>
          <t>Contractor Programme</t>
        </is>
      </c>
      <c r="B1438" s="34" t="inlineStr">
        <is>
          <t>SCH-06-071</t>
        </is>
      </c>
      <c r="C1438" s="34" t="inlineStr">
        <is>
          <t>Systems package: stakeholder interface meeting - installation</t>
        </is>
      </c>
      <c r="D1438" s="14" t="inlineStr"/>
      <c r="E1438" s="34" t="inlineStr">
        <is>
          <t>R971-v2</t>
        </is>
      </c>
      <c r="F1438" s="34" t="inlineStr">
        <is>
          <t>UNSURE</t>
        </is>
      </c>
      <c r="G1438" s="34" t="inlineStr">
        <is>
          <t>UNSURE</t>
        </is>
      </c>
      <c r="H1438" s="34" t="inlineStr">
        <is>
          <t>APPROVED</t>
        </is>
      </c>
      <c r="I1438" s="34" t="inlineStr">
        <is>
          <t>New</t>
        </is>
      </c>
      <c r="J1438" s="34" t="inlineStr">
        <is>
          <t>Professional decision</t>
        </is>
      </c>
      <c r="K1438" s="34" t="inlineStr">
        <is>
          <t>Maya Chen, Owner Project Controls</t>
        </is>
      </c>
      <c r="L1438" s="14" t="inlineStr"/>
      <c r="M1438" s="14" t="inlineStr"/>
      <c r="N1438" s="92" t="inlineStr">
        <is>
          <t>10 EVIDENCE &amp; DECISIONS</t>
        </is>
      </c>
    </row>
    <row r="1439" ht="34" customHeight="1">
      <c r="A1439" s="34" t="inlineStr">
        <is>
          <t>Contractor Programme</t>
        </is>
      </c>
      <c r="B1439" s="34" t="inlineStr">
        <is>
          <t>SCH-06-072</t>
        </is>
      </c>
      <c r="C1439" s="34" t="inlineStr">
        <is>
          <t>Fleet package: baseline change control - inspection</t>
        </is>
      </c>
      <c r="D1439" s="14" t="inlineStr"/>
      <c r="E1439" s="34" t="inlineStr">
        <is>
          <t>R972-v2</t>
        </is>
      </c>
      <c r="F1439" s="34" t="inlineStr">
        <is>
          <t>UNSURE</t>
        </is>
      </c>
      <c r="G1439" s="34" t="inlineStr">
        <is>
          <t>UNSURE</t>
        </is>
      </c>
      <c r="H1439" s="34" t="inlineStr">
        <is>
          <t>APPROVED</t>
        </is>
      </c>
      <c r="I1439" s="34" t="inlineStr">
        <is>
          <t>New</t>
        </is>
      </c>
      <c r="J1439" s="34" t="inlineStr">
        <is>
          <t>Professional decision</t>
        </is>
      </c>
      <c r="K1439" s="34" t="inlineStr">
        <is>
          <t>Maya Chen, Owner Project Controls</t>
        </is>
      </c>
      <c r="L1439" s="14" t="inlineStr"/>
      <c r="M1439" s="14" t="inlineStr"/>
      <c r="N1439" s="92" t="inlineStr">
        <is>
          <t>10 EVIDENCE &amp; DECISIONS</t>
        </is>
      </c>
    </row>
    <row r="1440" ht="34" customHeight="1">
      <c r="A1440" s="34" t="inlineStr">
        <is>
          <t>Contractor Programme</t>
        </is>
      </c>
      <c r="B1440" s="34" t="inlineStr">
        <is>
          <t>SCH-06-073</t>
        </is>
      </c>
      <c r="C1440" s="34" t="inlineStr">
        <is>
          <t>Program office: commercial change review - turnover</t>
        </is>
      </c>
      <c r="D1440" s="14" t="inlineStr"/>
      <c r="E1440" s="34" t="inlineStr">
        <is>
          <t>R973-v2</t>
        </is>
      </c>
      <c r="F1440" s="34" t="inlineStr">
        <is>
          <t>UNSURE</t>
        </is>
      </c>
      <c r="G1440" s="34" t="inlineStr">
        <is>
          <t>UNSURE</t>
        </is>
      </c>
      <c r="H1440" s="34" t="inlineStr">
        <is>
          <t>APPROVED</t>
        </is>
      </c>
      <c r="I1440" s="34" t="inlineStr">
        <is>
          <t>New</t>
        </is>
      </c>
      <c r="J1440" s="34" t="inlineStr">
        <is>
          <t>Professional decision</t>
        </is>
      </c>
      <c r="K1440" s="34" t="inlineStr">
        <is>
          <t>Maya Chen, Owner Project Controls</t>
        </is>
      </c>
      <c r="L1440" s="14" t="inlineStr"/>
      <c r="M1440" s="14" t="inlineStr"/>
      <c r="N1440" s="92" t="inlineStr">
        <is>
          <t>10 EVIDENCE &amp; DECISIONS</t>
        </is>
      </c>
    </row>
    <row r="1441" ht="34" customHeight="1">
      <c r="A1441" s="34" t="inlineStr">
        <is>
          <t>Contractor Programme</t>
        </is>
      </c>
      <c r="B1441" s="34" t="inlineStr">
        <is>
          <t>SCH-06-074</t>
        </is>
      </c>
      <c r="C1441" s="34" t="inlineStr">
        <is>
          <t>Civil package: design-package integration review - release</t>
        </is>
      </c>
      <c r="D1441" s="14" t="inlineStr"/>
      <c r="E1441" s="34" t="inlineStr">
        <is>
          <t>R974-v2</t>
        </is>
      </c>
      <c r="F1441" s="34" t="inlineStr">
        <is>
          <t>UNSURE</t>
        </is>
      </c>
      <c r="G1441" s="34" t="inlineStr">
        <is>
          <t>UNSURE</t>
        </is>
      </c>
      <c r="H1441" s="34" t="inlineStr">
        <is>
          <t>APPROVED</t>
        </is>
      </c>
      <c r="I1441" s="34" t="inlineStr">
        <is>
          <t>New</t>
        </is>
      </c>
      <c r="J1441" s="34" t="inlineStr">
        <is>
          <t>Professional decision</t>
        </is>
      </c>
      <c r="K1441" s="34" t="inlineStr">
        <is>
          <t>Maya Chen, Owner Project Controls</t>
        </is>
      </c>
      <c r="L1441" s="14" t="inlineStr"/>
      <c r="M1441" s="14" t="inlineStr"/>
      <c r="N1441" s="92" t="inlineStr">
        <is>
          <t>10 EVIDENCE &amp; DECISIONS</t>
        </is>
      </c>
    </row>
    <row r="1442" ht="34" customHeight="1">
      <c r="A1442" s="34" t="inlineStr">
        <is>
          <t>Contractor Programme</t>
        </is>
      </c>
      <c r="B1442" s="34" t="inlineStr">
        <is>
          <t>SCH-06-075</t>
        </is>
      </c>
      <c r="C1442" s="34" t="inlineStr">
        <is>
          <t>Stations package: executive reporting close - field start</t>
        </is>
      </c>
      <c r="D1442" s="14" t="inlineStr"/>
      <c r="E1442" s="34" t="inlineStr">
        <is>
          <t>R975-v2</t>
        </is>
      </c>
      <c r="F1442" s="34" t="inlineStr">
        <is>
          <t>UNSURE</t>
        </is>
      </c>
      <c r="G1442" s="34" t="inlineStr">
        <is>
          <t>UNSURE</t>
        </is>
      </c>
      <c r="H1442" s="34" t="inlineStr">
        <is>
          <t>APPROVED</t>
        </is>
      </c>
      <c r="I1442" s="34" t="inlineStr">
        <is>
          <t>New</t>
        </is>
      </c>
      <c r="J1442" s="34" t="inlineStr">
        <is>
          <t>Professional decision</t>
        </is>
      </c>
      <c r="K1442" s="34" t="inlineStr">
        <is>
          <t>Maya Chen, Owner Project Controls</t>
        </is>
      </c>
      <c r="L1442" s="14" t="inlineStr"/>
      <c r="M1442" s="14" t="inlineStr"/>
      <c r="N1442" s="92" t="inlineStr">
        <is>
          <t>10 EVIDENCE &amp; DECISIONS</t>
        </is>
      </c>
    </row>
    <row r="1443" ht="34" customHeight="1">
      <c r="A1443" s="34" t="inlineStr">
        <is>
          <t>Contractor Programme</t>
        </is>
      </c>
      <c r="B1443" s="34" t="inlineStr">
        <is>
          <t>SCH-06-076</t>
        </is>
      </c>
      <c r="C1443" s="34" t="inlineStr">
        <is>
          <t>Systems package: permit coordination - installation</t>
        </is>
      </c>
      <c r="D1443" s="14" t="inlineStr"/>
      <c r="E1443" s="34" t="inlineStr">
        <is>
          <t>R976-v2</t>
        </is>
      </c>
      <c r="F1443" s="34" t="inlineStr">
        <is>
          <t>UNSURE</t>
        </is>
      </c>
      <c r="G1443" s="34" t="inlineStr">
        <is>
          <t>UNSURE</t>
        </is>
      </c>
      <c r="H1443" s="34" t="inlineStr">
        <is>
          <t>APPROVED</t>
        </is>
      </c>
      <c r="I1443" s="34" t="inlineStr">
        <is>
          <t>New</t>
        </is>
      </c>
      <c r="J1443" s="34" t="inlineStr">
        <is>
          <t>Professional decision</t>
        </is>
      </c>
      <c r="K1443" s="34" t="inlineStr">
        <is>
          <t>Maya Chen, Owner Project Controls</t>
        </is>
      </c>
      <c r="L1443" s="14" t="inlineStr"/>
      <c r="M1443" s="14" t="inlineStr"/>
      <c r="N1443" s="92" t="inlineStr">
        <is>
          <t>10 EVIDENCE &amp; DECISIONS</t>
        </is>
      </c>
    </row>
    <row r="1444" ht="34" customHeight="1">
      <c r="A1444" s="34" t="inlineStr">
        <is>
          <t>Contractor Programme</t>
        </is>
      </c>
      <c r="B1444" s="34" t="inlineStr">
        <is>
          <t>SCH-06-077</t>
        </is>
      </c>
      <c r="C1444" s="34" t="inlineStr">
        <is>
          <t>Fleet package: delivery risk workshop - inspection</t>
        </is>
      </c>
      <c r="D1444" s="14" t="inlineStr"/>
      <c r="E1444" s="34" t="inlineStr">
        <is>
          <t>R977-v2</t>
        </is>
      </c>
      <c r="F1444" s="34" t="inlineStr">
        <is>
          <t>UNSURE</t>
        </is>
      </c>
      <c r="G1444" s="34" t="inlineStr">
        <is>
          <t>UNSURE</t>
        </is>
      </c>
      <c r="H1444" s="34" t="inlineStr">
        <is>
          <t>APPROVED</t>
        </is>
      </c>
      <c r="I1444" s="34" t="inlineStr">
        <is>
          <t>New</t>
        </is>
      </c>
      <c r="J1444" s="34" t="inlineStr">
        <is>
          <t>Professional decision</t>
        </is>
      </c>
      <c r="K1444" s="34" t="inlineStr">
        <is>
          <t>Maya Chen, Owner Project Controls</t>
        </is>
      </c>
      <c r="L1444" s="14" t="inlineStr"/>
      <c r="M1444" s="14" t="inlineStr"/>
      <c r="N1444" s="92" t="inlineStr">
        <is>
          <t>10 EVIDENCE &amp; DECISIONS</t>
        </is>
      </c>
    </row>
    <row r="1445" ht="34" customHeight="1">
      <c r="A1445" s="34" t="inlineStr">
        <is>
          <t>Contractor Programme</t>
        </is>
      </c>
      <c r="B1445" s="34" t="inlineStr">
        <is>
          <t>SCH-06-078</t>
        </is>
      </c>
      <c r="C1445" s="34" t="inlineStr">
        <is>
          <t>Program office: monthly controls cut-off - turnover</t>
        </is>
      </c>
      <c r="D1445" s="14" t="inlineStr"/>
      <c r="E1445" s="34" t="inlineStr">
        <is>
          <t>R978-v2</t>
        </is>
      </c>
      <c r="F1445" s="34" t="inlineStr">
        <is>
          <t>UNSURE</t>
        </is>
      </c>
      <c r="G1445" s="34" t="inlineStr">
        <is>
          <t>UNSURE</t>
        </is>
      </c>
      <c r="H1445" s="34" t="inlineStr">
        <is>
          <t>APPROVED</t>
        </is>
      </c>
      <c r="I1445" s="34" t="inlineStr">
        <is>
          <t>New</t>
        </is>
      </c>
      <c r="J1445" s="34" t="inlineStr">
        <is>
          <t>Professional decision</t>
        </is>
      </c>
      <c r="K1445" s="34" t="inlineStr">
        <is>
          <t>Maya Chen, Owner Project Controls</t>
        </is>
      </c>
      <c r="L1445" s="14" t="inlineStr"/>
      <c r="M1445" s="14" t="inlineStr"/>
      <c r="N1445" s="92" t="inlineStr">
        <is>
          <t>10 EVIDENCE &amp; DECISIONS</t>
        </is>
      </c>
    </row>
    <row r="1446" ht="34" customHeight="1">
      <c r="A1446" s="34" t="inlineStr">
        <is>
          <t>Contractor Programme</t>
        </is>
      </c>
      <c r="B1446" s="34" t="inlineStr">
        <is>
          <t>SCH-06-079</t>
        </is>
      </c>
      <c r="C1446" s="34" t="inlineStr">
        <is>
          <t>Civil package: stakeholder interface meeting - release</t>
        </is>
      </c>
      <c r="D1446" s="14" t="inlineStr"/>
      <c r="E1446" s="34" t="inlineStr">
        <is>
          <t>R979-v2</t>
        </is>
      </c>
      <c r="F1446" s="34" t="inlineStr">
        <is>
          <t>UNSURE</t>
        </is>
      </c>
      <c r="G1446" s="34" t="inlineStr">
        <is>
          <t>UNSURE</t>
        </is>
      </c>
      <c r="H1446" s="34" t="inlineStr">
        <is>
          <t>APPROVED</t>
        </is>
      </c>
      <c r="I1446" s="34" t="inlineStr">
        <is>
          <t>New</t>
        </is>
      </c>
      <c r="J1446" s="34" t="inlineStr">
        <is>
          <t>Professional decision</t>
        </is>
      </c>
      <c r="K1446" s="34" t="inlineStr">
        <is>
          <t>Maya Chen, Owner Project Controls</t>
        </is>
      </c>
      <c r="L1446" s="14" t="inlineStr"/>
      <c r="M1446" s="14" t="inlineStr"/>
      <c r="N1446" s="92" t="inlineStr">
        <is>
          <t>10 EVIDENCE &amp; DECISIONS</t>
        </is>
      </c>
    </row>
    <row r="1447" ht="34" customHeight="1">
      <c r="A1447" s="34" t="inlineStr">
        <is>
          <t>Contractor Programme</t>
        </is>
      </c>
      <c r="B1447" s="34" t="inlineStr">
        <is>
          <t>SCH-06-080</t>
        </is>
      </c>
      <c r="C1447" s="34" t="inlineStr">
        <is>
          <t>Stations package: baseline change control - field start</t>
        </is>
      </c>
      <c r="D1447" s="14" t="inlineStr"/>
      <c r="E1447" s="34" t="inlineStr">
        <is>
          <t>R980-v2</t>
        </is>
      </c>
      <c r="F1447" s="34" t="inlineStr">
        <is>
          <t>UNSURE</t>
        </is>
      </c>
      <c r="G1447" s="34" t="inlineStr">
        <is>
          <t>UNSURE</t>
        </is>
      </c>
      <c r="H1447" s="34" t="inlineStr">
        <is>
          <t>APPROVED</t>
        </is>
      </c>
      <c r="I1447" s="34" t="inlineStr">
        <is>
          <t>New</t>
        </is>
      </c>
      <c r="J1447" s="34" t="inlineStr">
        <is>
          <t>Professional decision</t>
        </is>
      </c>
      <c r="K1447" s="34" t="inlineStr">
        <is>
          <t>Maya Chen, Owner Project Controls</t>
        </is>
      </c>
      <c r="L1447" s="14" t="inlineStr"/>
      <c r="M1447" s="14" t="inlineStr"/>
      <c r="N1447" s="92" t="inlineStr">
        <is>
          <t>10 EVIDENCE &amp; DECISIONS</t>
        </is>
      </c>
    </row>
    <row r="1448" ht="34" customHeight="1">
      <c r="A1448" s="34" t="inlineStr">
        <is>
          <t>Contractor Programme</t>
        </is>
      </c>
      <c r="B1448" s="34" t="inlineStr">
        <is>
          <t>SCH-06-081</t>
        </is>
      </c>
      <c r="C1448" s="34" t="inlineStr">
        <is>
          <t>Systems package: commercial change review - installation</t>
        </is>
      </c>
      <c r="D1448" s="14" t="inlineStr"/>
      <c r="E1448" s="34" t="inlineStr">
        <is>
          <t>R981-v2</t>
        </is>
      </c>
      <c r="F1448" s="34" t="inlineStr">
        <is>
          <t>UNSURE</t>
        </is>
      </c>
      <c r="G1448" s="34" t="inlineStr">
        <is>
          <t>UNSURE</t>
        </is>
      </c>
      <c r="H1448" s="34" t="inlineStr">
        <is>
          <t>APPROVED</t>
        </is>
      </c>
      <c r="I1448" s="34" t="inlineStr">
        <is>
          <t>New</t>
        </is>
      </c>
      <c r="J1448" s="34" t="inlineStr">
        <is>
          <t>Professional decision</t>
        </is>
      </c>
      <c r="K1448" s="34" t="inlineStr">
        <is>
          <t>Maya Chen, Owner Project Controls</t>
        </is>
      </c>
      <c r="L1448" s="14" t="inlineStr"/>
      <c r="M1448" s="14" t="inlineStr"/>
      <c r="N1448" s="92" t="inlineStr">
        <is>
          <t>10 EVIDENCE &amp; DECISIONS</t>
        </is>
      </c>
    </row>
    <row r="1449" ht="34" customHeight="1">
      <c r="A1449" s="34" t="inlineStr">
        <is>
          <t>Contractor Programme</t>
        </is>
      </c>
      <c r="B1449" s="34" t="inlineStr">
        <is>
          <t>SCH-06-082</t>
        </is>
      </c>
      <c r="C1449" s="34" t="inlineStr">
        <is>
          <t>Fleet package: design-package integration review - inspection</t>
        </is>
      </c>
      <c r="D1449" s="14" t="inlineStr"/>
      <c r="E1449" s="34" t="inlineStr">
        <is>
          <t>R982-v2</t>
        </is>
      </c>
      <c r="F1449" s="34" t="inlineStr">
        <is>
          <t>UNSURE</t>
        </is>
      </c>
      <c r="G1449" s="34" t="inlineStr">
        <is>
          <t>UNSURE</t>
        </is>
      </c>
      <c r="H1449" s="34" t="inlineStr">
        <is>
          <t>APPROVED</t>
        </is>
      </c>
      <c r="I1449" s="34" t="inlineStr">
        <is>
          <t>New</t>
        </is>
      </c>
      <c r="J1449" s="34" t="inlineStr">
        <is>
          <t>Professional decision</t>
        </is>
      </c>
      <c r="K1449" s="34" t="inlineStr">
        <is>
          <t>Maya Chen, Owner Project Controls</t>
        </is>
      </c>
      <c r="L1449" s="14" t="inlineStr"/>
      <c r="M1449" s="14" t="inlineStr"/>
      <c r="N1449" s="92" t="inlineStr">
        <is>
          <t>10 EVIDENCE &amp; DECISIONS</t>
        </is>
      </c>
    </row>
    <row r="1450" ht="34" customHeight="1">
      <c r="A1450" s="34" t="inlineStr">
        <is>
          <t>Contractor Programme</t>
        </is>
      </c>
      <c r="B1450" s="34" t="inlineStr">
        <is>
          <t>SCH-06-083</t>
        </is>
      </c>
      <c r="C1450" s="34" t="inlineStr">
        <is>
          <t>Program office: executive reporting close - turnover</t>
        </is>
      </c>
      <c r="D1450" s="14" t="inlineStr"/>
      <c r="E1450" s="34" t="inlineStr">
        <is>
          <t>R983-v2</t>
        </is>
      </c>
      <c r="F1450" s="34" t="inlineStr">
        <is>
          <t>UNSURE</t>
        </is>
      </c>
      <c r="G1450" s="34" t="inlineStr">
        <is>
          <t>UNSURE</t>
        </is>
      </c>
      <c r="H1450" s="34" t="inlineStr">
        <is>
          <t>APPROVED</t>
        </is>
      </c>
      <c r="I1450" s="34" t="inlineStr">
        <is>
          <t>New</t>
        </is>
      </c>
      <c r="J1450" s="34" t="inlineStr">
        <is>
          <t>Professional decision</t>
        </is>
      </c>
      <c r="K1450" s="34" t="inlineStr">
        <is>
          <t>Maya Chen, Owner Project Controls</t>
        </is>
      </c>
      <c r="L1450" s="14" t="inlineStr"/>
      <c r="M1450" s="14" t="inlineStr"/>
      <c r="N1450" s="92" t="inlineStr">
        <is>
          <t>10 EVIDENCE &amp; DECISIONS</t>
        </is>
      </c>
    </row>
    <row r="1451" ht="34" customHeight="1">
      <c r="A1451" s="34" t="inlineStr">
        <is>
          <t>Contractor Programme</t>
        </is>
      </c>
      <c r="B1451" s="34" t="inlineStr">
        <is>
          <t>SCH-06-084</t>
        </is>
      </c>
      <c r="C1451" s="34" t="inlineStr">
        <is>
          <t>Civil package: permit coordination - release</t>
        </is>
      </c>
      <c r="D1451" s="14" t="inlineStr"/>
      <c r="E1451" s="34" t="inlineStr">
        <is>
          <t>R984-v2</t>
        </is>
      </c>
      <c r="F1451" s="34" t="inlineStr">
        <is>
          <t>UNSURE</t>
        </is>
      </c>
      <c r="G1451" s="34" t="inlineStr">
        <is>
          <t>UNSURE</t>
        </is>
      </c>
      <c r="H1451" s="34" t="inlineStr">
        <is>
          <t>APPROVED</t>
        </is>
      </c>
      <c r="I1451" s="34" t="inlineStr">
        <is>
          <t>New</t>
        </is>
      </c>
      <c r="J1451" s="34" t="inlineStr">
        <is>
          <t>Professional decision</t>
        </is>
      </c>
      <c r="K1451" s="34" t="inlineStr">
        <is>
          <t>Maya Chen, Owner Project Controls</t>
        </is>
      </c>
      <c r="L1451" s="14" t="inlineStr"/>
      <c r="M1451" s="14" t="inlineStr"/>
      <c r="N1451" s="92" t="inlineStr">
        <is>
          <t>10 EVIDENCE &amp; DECISIONS</t>
        </is>
      </c>
    </row>
    <row r="1452" ht="34" customHeight="1">
      <c r="A1452" s="34" t="inlineStr">
        <is>
          <t>Contractor Programme</t>
        </is>
      </c>
      <c r="B1452" s="34" t="inlineStr">
        <is>
          <t>SCH-06-085</t>
        </is>
      </c>
      <c r="C1452" s="34" t="inlineStr">
        <is>
          <t>Stations package: delivery risk workshop - field start</t>
        </is>
      </c>
      <c r="D1452" s="14" t="inlineStr"/>
      <c r="E1452" s="34" t="inlineStr">
        <is>
          <t>R985-v2</t>
        </is>
      </c>
      <c r="F1452" s="34" t="inlineStr">
        <is>
          <t>UNSURE</t>
        </is>
      </c>
      <c r="G1452" s="34" t="inlineStr">
        <is>
          <t>UNSURE</t>
        </is>
      </c>
      <c r="H1452" s="34" t="inlineStr">
        <is>
          <t>APPROVED</t>
        </is>
      </c>
      <c r="I1452" s="34" t="inlineStr">
        <is>
          <t>New</t>
        </is>
      </c>
      <c r="J1452" s="34" t="inlineStr">
        <is>
          <t>Professional decision</t>
        </is>
      </c>
      <c r="K1452" s="34" t="inlineStr">
        <is>
          <t>Maya Chen, Owner Project Controls</t>
        </is>
      </c>
      <c r="L1452" s="14" t="inlineStr"/>
      <c r="M1452" s="14" t="inlineStr"/>
      <c r="N1452" s="92" t="inlineStr">
        <is>
          <t>10 EVIDENCE &amp; DECISIONS</t>
        </is>
      </c>
    </row>
    <row r="1453" ht="34" customHeight="1">
      <c r="A1453" s="34" t="inlineStr">
        <is>
          <t>Contractor Programme</t>
        </is>
      </c>
      <c r="B1453" s="34" t="inlineStr">
        <is>
          <t>SCH-06-086</t>
        </is>
      </c>
      <c r="C1453" s="34" t="inlineStr">
        <is>
          <t>Systems package: monthly controls cut-off - installation</t>
        </is>
      </c>
      <c r="D1453" s="14" t="inlineStr"/>
      <c r="E1453" s="34" t="inlineStr">
        <is>
          <t>R986-v2</t>
        </is>
      </c>
      <c r="F1453" s="34" t="inlineStr">
        <is>
          <t>UNSURE</t>
        </is>
      </c>
      <c r="G1453" s="34" t="inlineStr">
        <is>
          <t>UNSURE</t>
        </is>
      </c>
      <c r="H1453" s="34" t="inlineStr">
        <is>
          <t>APPROVED</t>
        </is>
      </c>
      <c r="I1453" s="34" t="inlineStr">
        <is>
          <t>New</t>
        </is>
      </c>
      <c r="J1453" s="34" t="inlineStr">
        <is>
          <t>Professional decision</t>
        </is>
      </c>
      <c r="K1453" s="34" t="inlineStr">
        <is>
          <t>Maya Chen, Owner Project Controls</t>
        </is>
      </c>
      <c r="L1453" s="14" t="inlineStr"/>
      <c r="M1453" s="14" t="inlineStr"/>
      <c r="N1453" s="92" t="inlineStr">
        <is>
          <t>10 EVIDENCE &amp; DECISIONS</t>
        </is>
      </c>
    </row>
    <row r="1454" ht="34" customHeight="1">
      <c r="A1454" s="34" t="inlineStr">
        <is>
          <t>Contractor Programme</t>
        </is>
      </c>
      <c r="B1454" s="34" t="inlineStr">
        <is>
          <t>SCH-06-087</t>
        </is>
      </c>
      <c r="C1454" s="34" t="inlineStr">
        <is>
          <t>Fleet package: stakeholder interface meeting - inspection</t>
        </is>
      </c>
      <c r="D1454" s="14" t="inlineStr"/>
      <c r="E1454" s="34" t="inlineStr">
        <is>
          <t>R987-v2</t>
        </is>
      </c>
      <c r="F1454" s="34" t="inlineStr">
        <is>
          <t>UNSURE</t>
        </is>
      </c>
      <c r="G1454" s="34" t="inlineStr">
        <is>
          <t>UNSURE</t>
        </is>
      </c>
      <c r="H1454" s="34" t="inlineStr">
        <is>
          <t>APPROVED</t>
        </is>
      </c>
      <c r="I1454" s="34" t="inlineStr">
        <is>
          <t>New</t>
        </is>
      </c>
      <c r="J1454" s="34" t="inlineStr">
        <is>
          <t>Professional decision</t>
        </is>
      </c>
      <c r="K1454" s="34" t="inlineStr">
        <is>
          <t>Maya Chen, Owner Project Controls</t>
        </is>
      </c>
      <c r="L1454" s="14" t="inlineStr"/>
      <c r="M1454" s="14" t="inlineStr"/>
      <c r="N1454" s="92" t="inlineStr">
        <is>
          <t>10 EVIDENCE &amp; DECISIONS</t>
        </is>
      </c>
    </row>
    <row r="1455" ht="34" customHeight="1">
      <c r="A1455" s="34" t="inlineStr">
        <is>
          <t>Contractor Programme</t>
        </is>
      </c>
      <c r="B1455" s="34" t="inlineStr">
        <is>
          <t>SCH-06-088</t>
        </is>
      </c>
      <c r="C1455" s="34" t="inlineStr">
        <is>
          <t>Program office: baseline change control - turnover</t>
        </is>
      </c>
      <c r="D1455" s="14" t="inlineStr"/>
      <c r="E1455" s="34" t="inlineStr">
        <is>
          <t>R988-v2</t>
        </is>
      </c>
      <c r="F1455" s="34" t="inlineStr">
        <is>
          <t>UNSURE</t>
        </is>
      </c>
      <c r="G1455" s="34" t="inlineStr">
        <is>
          <t>UNSURE</t>
        </is>
      </c>
      <c r="H1455" s="34" t="inlineStr">
        <is>
          <t>APPROVED</t>
        </is>
      </c>
      <c r="I1455" s="34" t="inlineStr">
        <is>
          <t>New</t>
        </is>
      </c>
      <c r="J1455" s="34" t="inlineStr">
        <is>
          <t>Professional decision</t>
        </is>
      </c>
      <c r="K1455" s="34" t="inlineStr">
        <is>
          <t>Maya Chen, Owner Project Controls</t>
        </is>
      </c>
      <c r="L1455" s="14" t="inlineStr"/>
      <c r="M1455" s="14" t="inlineStr"/>
      <c r="N1455" s="92" t="inlineStr">
        <is>
          <t>10 EVIDENCE &amp; DECISIONS</t>
        </is>
      </c>
    </row>
    <row r="1456" ht="34" customHeight="1">
      <c r="A1456" s="34" t="inlineStr">
        <is>
          <t>Contractor Programme</t>
        </is>
      </c>
      <c r="B1456" s="34" t="inlineStr">
        <is>
          <t>SCH-06-089</t>
        </is>
      </c>
      <c r="C1456" s="34" t="inlineStr">
        <is>
          <t>Civil package: commercial change review - release</t>
        </is>
      </c>
      <c r="D1456" s="14" t="inlineStr"/>
      <c r="E1456" s="34" t="inlineStr">
        <is>
          <t>R989-v2</t>
        </is>
      </c>
      <c r="F1456" s="34" t="inlineStr">
        <is>
          <t>UNSURE</t>
        </is>
      </c>
      <c r="G1456" s="34" t="inlineStr">
        <is>
          <t>UNSURE</t>
        </is>
      </c>
      <c r="H1456" s="34" t="inlineStr">
        <is>
          <t>APPROVED</t>
        </is>
      </c>
      <c r="I1456" s="34" t="inlineStr">
        <is>
          <t>New</t>
        </is>
      </c>
      <c r="J1456" s="34" t="inlineStr">
        <is>
          <t>Professional decision</t>
        </is>
      </c>
      <c r="K1456" s="34" t="inlineStr">
        <is>
          <t>Maya Chen, Owner Project Controls</t>
        </is>
      </c>
      <c r="L1456" s="14" t="inlineStr"/>
      <c r="M1456" s="14" t="inlineStr"/>
      <c r="N1456" s="92" t="inlineStr">
        <is>
          <t>10 EVIDENCE &amp; DECISIONS</t>
        </is>
      </c>
    </row>
    <row r="1457" ht="34" customHeight="1">
      <c r="A1457" s="34" t="inlineStr">
        <is>
          <t>Contractor Programme</t>
        </is>
      </c>
      <c r="B1457" s="34" t="inlineStr">
        <is>
          <t>SCH-06-090</t>
        </is>
      </c>
      <c r="C1457" s="34" t="inlineStr">
        <is>
          <t>Stations package: design-package integration review - field start</t>
        </is>
      </c>
      <c r="D1457" s="14" t="inlineStr"/>
      <c r="E1457" s="34" t="inlineStr">
        <is>
          <t>R990-v2</t>
        </is>
      </c>
      <c r="F1457" s="34" t="inlineStr">
        <is>
          <t>UNSURE</t>
        </is>
      </c>
      <c r="G1457" s="34" t="inlineStr">
        <is>
          <t>UNSURE</t>
        </is>
      </c>
      <c r="H1457" s="34" t="inlineStr">
        <is>
          <t>APPROVED</t>
        </is>
      </c>
      <c r="I1457" s="34" t="inlineStr">
        <is>
          <t>New</t>
        </is>
      </c>
      <c r="J1457" s="34" t="inlineStr">
        <is>
          <t>Professional decision</t>
        </is>
      </c>
      <c r="K1457" s="34" t="inlineStr">
        <is>
          <t>Maya Chen, Owner Project Controls</t>
        </is>
      </c>
      <c r="L1457" s="14" t="inlineStr"/>
      <c r="M1457" s="14" t="inlineStr"/>
      <c r="N1457" s="92" t="inlineStr">
        <is>
          <t>10 EVIDENCE &amp; DECISIONS</t>
        </is>
      </c>
    </row>
    <row r="1458" ht="34" customHeight="1">
      <c r="A1458" s="34" t="inlineStr">
        <is>
          <t>Contractor Programme</t>
        </is>
      </c>
      <c r="B1458" s="34" t="inlineStr">
        <is>
          <t>SCH-06-091</t>
        </is>
      </c>
      <c r="C1458" s="34" t="inlineStr">
        <is>
          <t>Systems package: executive reporting close - installation</t>
        </is>
      </c>
      <c r="D1458" s="14" t="inlineStr"/>
      <c r="E1458" s="34" t="inlineStr">
        <is>
          <t>R991-v2</t>
        </is>
      </c>
      <c r="F1458" s="34" t="inlineStr">
        <is>
          <t>UNSURE</t>
        </is>
      </c>
      <c r="G1458" s="34" t="inlineStr">
        <is>
          <t>UNSURE</t>
        </is>
      </c>
      <c r="H1458" s="34" t="inlineStr">
        <is>
          <t>APPROVED</t>
        </is>
      </c>
      <c r="I1458" s="34" t="inlineStr">
        <is>
          <t>New</t>
        </is>
      </c>
      <c r="J1458" s="34" t="inlineStr">
        <is>
          <t>Professional decision</t>
        </is>
      </c>
      <c r="K1458" s="34" t="inlineStr">
        <is>
          <t>Maya Chen, Owner Project Controls</t>
        </is>
      </c>
      <c r="L1458" s="14" t="inlineStr"/>
      <c r="M1458" s="14" t="inlineStr"/>
      <c r="N1458" s="92" t="inlineStr">
        <is>
          <t>10 EVIDENCE &amp; DECISIONS</t>
        </is>
      </c>
    </row>
    <row r="1459" ht="34" customHeight="1">
      <c r="A1459" s="34" t="inlineStr">
        <is>
          <t>Contractor Programme</t>
        </is>
      </c>
      <c r="B1459" s="34" t="inlineStr">
        <is>
          <t>SCH-06-092</t>
        </is>
      </c>
      <c r="C1459" s="34" t="inlineStr">
        <is>
          <t>Fleet package: permit coordination - inspection</t>
        </is>
      </c>
      <c r="D1459" s="14" t="inlineStr"/>
      <c r="E1459" s="34" t="inlineStr">
        <is>
          <t>R992-v2</t>
        </is>
      </c>
      <c r="F1459" s="34" t="inlineStr">
        <is>
          <t>UNSURE</t>
        </is>
      </c>
      <c r="G1459" s="34" t="inlineStr">
        <is>
          <t>UNSURE</t>
        </is>
      </c>
      <c r="H1459" s="34" t="inlineStr">
        <is>
          <t>APPROVED</t>
        </is>
      </c>
      <c r="I1459" s="34" t="inlineStr">
        <is>
          <t>New</t>
        </is>
      </c>
      <c r="J1459" s="34" t="inlineStr">
        <is>
          <t>Professional decision</t>
        </is>
      </c>
      <c r="K1459" s="34" t="inlineStr">
        <is>
          <t>Maya Chen, Owner Project Controls</t>
        </is>
      </c>
      <c r="L1459" s="14" t="inlineStr"/>
      <c r="M1459" s="14" t="inlineStr"/>
      <c r="N1459" s="92" t="inlineStr">
        <is>
          <t>10 EVIDENCE &amp; DECISIONS</t>
        </is>
      </c>
    </row>
    <row r="1460" ht="34" customHeight="1">
      <c r="A1460" s="34" t="inlineStr">
        <is>
          <t>Contractor Programme</t>
        </is>
      </c>
      <c r="B1460" s="34" t="inlineStr">
        <is>
          <t>SCH-06-093</t>
        </is>
      </c>
      <c r="C1460" s="34" t="inlineStr">
        <is>
          <t>Program office: delivery risk workshop - turnover</t>
        </is>
      </c>
      <c r="D1460" s="14" t="inlineStr"/>
      <c r="E1460" s="34" t="inlineStr">
        <is>
          <t>R993-v2</t>
        </is>
      </c>
      <c r="F1460" s="34" t="inlineStr">
        <is>
          <t>UNSURE</t>
        </is>
      </c>
      <c r="G1460" s="34" t="inlineStr">
        <is>
          <t>UNSURE</t>
        </is>
      </c>
      <c r="H1460" s="34" t="inlineStr">
        <is>
          <t>APPROVED</t>
        </is>
      </c>
      <c r="I1460" s="34" t="inlineStr">
        <is>
          <t>New</t>
        </is>
      </c>
      <c r="J1460" s="34" t="inlineStr">
        <is>
          <t>Professional decision</t>
        </is>
      </c>
      <c r="K1460" s="34" t="inlineStr">
        <is>
          <t>Maya Chen, Owner Project Controls</t>
        </is>
      </c>
      <c r="L1460" s="14" t="inlineStr"/>
      <c r="M1460" s="14" t="inlineStr"/>
      <c r="N1460" s="92" t="inlineStr">
        <is>
          <t>10 EVIDENCE &amp; DECISIONS</t>
        </is>
      </c>
    </row>
    <row r="1461" ht="34" customHeight="1">
      <c r="A1461" s="34" t="inlineStr">
        <is>
          <t>Contractor Programme</t>
        </is>
      </c>
      <c r="B1461" s="34" t="inlineStr">
        <is>
          <t>SCH-06-094</t>
        </is>
      </c>
      <c r="C1461" s="34" t="inlineStr">
        <is>
          <t>Civil package: monthly controls cut-off - release</t>
        </is>
      </c>
      <c r="D1461" s="14" t="inlineStr"/>
      <c r="E1461" s="34" t="inlineStr">
        <is>
          <t>R994-v2</t>
        </is>
      </c>
      <c r="F1461" s="34" t="inlineStr">
        <is>
          <t>UNSURE</t>
        </is>
      </c>
      <c r="G1461" s="34" t="inlineStr">
        <is>
          <t>UNSURE</t>
        </is>
      </c>
      <c r="H1461" s="34" t="inlineStr">
        <is>
          <t>APPROVED</t>
        </is>
      </c>
      <c r="I1461" s="34" t="inlineStr">
        <is>
          <t>New</t>
        </is>
      </c>
      <c r="J1461" s="34" t="inlineStr">
        <is>
          <t>Professional decision</t>
        </is>
      </c>
      <c r="K1461" s="34" t="inlineStr">
        <is>
          <t>Maya Chen, Owner Project Controls</t>
        </is>
      </c>
      <c r="L1461" s="14" t="inlineStr"/>
      <c r="M1461" s="14" t="inlineStr"/>
      <c r="N1461" s="92" t="inlineStr">
        <is>
          <t>10 EVIDENCE &amp; DECISIONS</t>
        </is>
      </c>
    </row>
    <row r="1462" ht="34" customHeight="1">
      <c r="A1462" s="34" t="inlineStr">
        <is>
          <t>Contractor Programme</t>
        </is>
      </c>
      <c r="B1462" s="34" t="inlineStr">
        <is>
          <t>SCH-06-095</t>
        </is>
      </c>
      <c r="C1462" s="34" t="inlineStr">
        <is>
          <t>Stations package: stakeholder interface meeting - field start</t>
        </is>
      </c>
      <c r="D1462" s="14" t="inlineStr"/>
      <c r="E1462" s="34" t="inlineStr">
        <is>
          <t>R995-v2</t>
        </is>
      </c>
      <c r="F1462" s="34" t="inlineStr">
        <is>
          <t>UNSURE</t>
        </is>
      </c>
      <c r="G1462" s="34" t="inlineStr">
        <is>
          <t>UNSURE</t>
        </is>
      </c>
      <c r="H1462" s="34" t="inlineStr">
        <is>
          <t>APPROVED</t>
        </is>
      </c>
      <c r="I1462" s="34" t="inlineStr">
        <is>
          <t>New</t>
        </is>
      </c>
      <c r="J1462" s="34" t="inlineStr">
        <is>
          <t>Professional decision</t>
        </is>
      </c>
      <c r="K1462" s="34" t="inlineStr">
        <is>
          <t>Maya Chen, Owner Project Controls</t>
        </is>
      </c>
      <c r="L1462" s="14" t="inlineStr"/>
      <c r="M1462" s="14" t="inlineStr"/>
      <c r="N1462" s="92" t="inlineStr">
        <is>
          <t>10 EVIDENCE &amp; DECISIONS</t>
        </is>
      </c>
    </row>
    <row r="1463" ht="34" customHeight="1">
      <c r="A1463" s="34" t="inlineStr">
        <is>
          <t>Contractor Programme</t>
        </is>
      </c>
      <c r="B1463" s="34" t="inlineStr">
        <is>
          <t>SCH-06-096</t>
        </is>
      </c>
      <c r="C1463" s="34" t="inlineStr">
        <is>
          <t>Systems package: baseline change control - installation</t>
        </is>
      </c>
      <c r="D1463" s="14" t="inlineStr"/>
      <c r="E1463" s="34" t="inlineStr">
        <is>
          <t>R996-v2</t>
        </is>
      </c>
      <c r="F1463" s="34" t="inlineStr">
        <is>
          <t>UNSURE</t>
        </is>
      </c>
      <c r="G1463" s="34" t="inlineStr">
        <is>
          <t>UNSURE</t>
        </is>
      </c>
      <c r="H1463" s="34" t="inlineStr">
        <is>
          <t>APPROVED</t>
        </is>
      </c>
      <c r="I1463" s="34" t="inlineStr">
        <is>
          <t>New</t>
        </is>
      </c>
      <c r="J1463" s="34" t="inlineStr">
        <is>
          <t>Professional decision</t>
        </is>
      </c>
      <c r="K1463" s="34" t="inlineStr">
        <is>
          <t>Maya Chen, Owner Project Controls</t>
        </is>
      </c>
      <c r="L1463" s="14" t="inlineStr"/>
      <c r="M1463" s="14" t="inlineStr"/>
      <c r="N1463" s="92" t="inlineStr">
        <is>
          <t>10 EVIDENCE &amp; DECISIONS</t>
        </is>
      </c>
    </row>
    <row r="1464" ht="34" customHeight="1">
      <c r="A1464" s="34" t="inlineStr">
        <is>
          <t>Contractor Programme</t>
        </is>
      </c>
      <c r="B1464" s="34" t="inlineStr">
        <is>
          <t>SCH-06-097</t>
        </is>
      </c>
      <c r="C1464" s="34" t="inlineStr">
        <is>
          <t>Fleet package: commercial change review - inspection</t>
        </is>
      </c>
      <c r="D1464" s="14" t="inlineStr"/>
      <c r="E1464" s="34" t="inlineStr">
        <is>
          <t>R997-v2</t>
        </is>
      </c>
      <c r="F1464" s="34" t="inlineStr">
        <is>
          <t>UNSURE</t>
        </is>
      </c>
      <c r="G1464" s="34" t="inlineStr">
        <is>
          <t>UNSURE</t>
        </is>
      </c>
      <c r="H1464" s="34" t="inlineStr">
        <is>
          <t>APPROVED</t>
        </is>
      </c>
      <c r="I1464" s="34" t="inlineStr">
        <is>
          <t>New</t>
        </is>
      </c>
      <c r="J1464" s="34" t="inlineStr">
        <is>
          <t>Professional decision</t>
        </is>
      </c>
      <c r="K1464" s="34" t="inlineStr">
        <is>
          <t>Maya Chen, Owner Project Controls</t>
        </is>
      </c>
      <c r="L1464" s="14" t="inlineStr"/>
      <c r="M1464" s="14" t="inlineStr"/>
      <c r="N1464" s="92" t="inlineStr">
        <is>
          <t>10 EVIDENCE &amp; DECISIONS</t>
        </is>
      </c>
    </row>
    <row r="1465" ht="34" customHeight="1">
      <c r="A1465" s="34" t="inlineStr">
        <is>
          <t>Contractor Programme</t>
        </is>
      </c>
      <c r="B1465" s="34" t="inlineStr">
        <is>
          <t>SCH-06-098</t>
        </is>
      </c>
      <c r="C1465" s="34" t="inlineStr">
        <is>
          <t>Program office: design-package integration review - turnover</t>
        </is>
      </c>
      <c r="D1465" s="14" t="inlineStr"/>
      <c r="E1465" s="34" t="inlineStr">
        <is>
          <t>R998-v2</t>
        </is>
      </c>
      <c r="F1465" s="34" t="inlineStr">
        <is>
          <t>UNSURE</t>
        </is>
      </c>
      <c r="G1465" s="34" t="inlineStr">
        <is>
          <t>UNSURE</t>
        </is>
      </c>
      <c r="H1465" s="34" t="inlineStr">
        <is>
          <t>APPROVED</t>
        </is>
      </c>
      <c r="I1465" s="34" t="inlineStr">
        <is>
          <t>New</t>
        </is>
      </c>
      <c r="J1465" s="34" t="inlineStr">
        <is>
          <t>Professional decision</t>
        </is>
      </c>
      <c r="K1465" s="34" t="inlineStr">
        <is>
          <t>Maya Chen, Owner Project Controls</t>
        </is>
      </c>
      <c r="L1465" s="14" t="inlineStr"/>
      <c r="M1465" s="14" t="inlineStr"/>
      <c r="N1465" s="92" t="inlineStr">
        <is>
          <t>10 EVIDENCE &amp; DECISIONS</t>
        </is>
      </c>
    </row>
    <row r="1466" ht="34" customHeight="1">
      <c r="A1466" s="34" t="inlineStr">
        <is>
          <t>Contractor Programme</t>
        </is>
      </c>
      <c r="B1466" s="34" t="inlineStr">
        <is>
          <t>SCH-06-099</t>
        </is>
      </c>
      <c r="C1466" s="34" t="inlineStr">
        <is>
          <t>Civil package: executive reporting close - release</t>
        </is>
      </c>
      <c r="D1466" s="14" t="inlineStr"/>
      <c r="E1466" s="34" t="inlineStr">
        <is>
          <t>R999-v2</t>
        </is>
      </c>
      <c r="F1466" s="34" t="inlineStr">
        <is>
          <t>UNSURE</t>
        </is>
      </c>
      <c r="G1466" s="34" t="inlineStr">
        <is>
          <t>UNSURE</t>
        </is>
      </c>
      <c r="H1466" s="34" t="inlineStr">
        <is>
          <t>APPROVED</t>
        </is>
      </c>
      <c r="I1466" s="34" t="inlineStr">
        <is>
          <t>New</t>
        </is>
      </c>
      <c r="J1466" s="34" t="inlineStr">
        <is>
          <t>Professional decision</t>
        </is>
      </c>
      <c r="K1466" s="34" t="inlineStr">
        <is>
          <t>Maya Chen, Owner Project Controls</t>
        </is>
      </c>
      <c r="L1466" s="14" t="inlineStr"/>
      <c r="M1466" s="14" t="inlineStr"/>
      <c r="N1466" s="92" t="inlineStr">
        <is>
          <t>10 EVIDENCE &amp; DECISIONS</t>
        </is>
      </c>
    </row>
    <row r="1467" ht="34" customHeight="1">
      <c r="A1467" s="34" t="inlineStr">
        <is>
          <t>Contractor Programme</t>
        </is>
      </c>
      <c r="B1467" s="34" t="inlineStr">
        <is>
          <t>SCH-06-100</t>
        </is>
      </c>
      <c r="C1467" s="34" t="inlineStr">
        <is>
          <t>Stations package: permit coordination - field start</t>
        </is>
      </c>
      <c r="D1467" s="14" t="inlineStr"/>
      <c r="E1467" s="34" t="inlineStr">
        <is>
          <t>R1000-v2</t>
        </is>
      </c>
      <c r="F1467" s="34" t="inlineStr">
        <is>
          <t>UNSURE</t>
        </is>
      </c>
      <c r="G1467" s="34" t="inlineStr">
        <is>
          <t>UNSURE</t>
        </is>
      </c>
      <c r="H1467" s="34" t="inlineStr">
        <is>
          <t>APPROVED</t>
        </is>
      </c>
      <c r="I1467" s="34" t="inlineStr">
        <is>
          <t>New</t>
        </is>
      </c>
      <c r="J1467" s="34" t="inlineStr">
        <is>
          <t>Professional decision</t>
        </is>
      </c>
      <c r="K1467" s="34" t="inlineStr">
        <is>
          <t>Maya Chen, Owner Project Controls</t>
        </is>
      </c>
      <c r="L1467" s="14" t="inlineStr"/>
      <c r="M1467" s="14" t="inlineStr"/>
      <c r="N1467" s="92" t="inlineStr">
        <is>
          <t>10 EVIDENCE &amp; DECISIONS</t>
        </is>
      </c>
    </row>
    <row r="1468" ht="34" customHeight="1">
      <c r="A1468" s="34" t="inlineStr">
        <is>
          <t>Contractor Programme</t>
        </is>
      </c>
      <c r="B1468" s="34" t="inlineStr">
        <is>
          <t>SCH-06-101</t>
        </is>
      </c>
      <c r="C1468" s="34" t="inlineStr">
        <is>
          <t>Systems package: delivery risk workshop - installation</t>
        </is>
      </c>
      <c r="D1468" s="14" t="inlineStr"/>
      <c r="E1468" s="34" t="inlineStr">
        <is>
          <t>R1001-v2</t>
        </is>
      </c>
      <c r="F1468" s="34" t="inlineStr">
        <is>
          <t>UNSURE</t>
        </is>
      </c>
      <c r="G1468" s="34" t="inlineStr">
        <is>
          <t>UNSURE</t>
        </is>
      </c>
      <c r="H1468" s="34" t="inlineStr">
        <is>
          <t>APPROVED</t>
        </is>
      </c>
      <c r="I1468" s="34" t="inlineStr">
        <is>
          <t>New</t>
        </is>
      </c>
      <c r="J1468" s="34" t="inlineStr">
        <is>
          <t>Professional decision</t>
        </is>
      </c>
      <c r="K1468" s="34" t="inlineStr">
        <is>
          <t>Maya Chen, Owner Project Controls</t>
        </is>
      </c>
      <c r="L1468" s="14" t="inlineStr"/>
      <c r="M1468" s="14" t="inlineStr"/>
      <c r="N1468" s="92" t="inlineStr">
        <is>
          <t>10 EVIDENCE &amp; DECISIONS</t>
        </is>
      </c>
    </row>
    <row r="1469" ht="34" customHeight="1">
      <c r="A1469" s="34" t="inlineStr">
        <is>
          <t>Contractor Programme</t>
        </is>
      </c>
      <c r="B1469" s="34" t="inlineStr">
        <is>
          <t>SCH-06-102</t>
        </is>
      </c>
      <c r="C1469" s="34" t="inlineStr">
        <is>
          <t>Fleet package: monthly controls cut-off - inspection</t>
        </is>
      </c>
      <c r="D1469" s="14" t="inlineStr"/>
      <c r="E1469" s="34" t="inlineStr">
        <is>
          <t>R1002-v2</t>
        </is>
      </c>
      <c r="F1469" s="34" t="inlineStr">
        <is>
          <t>UNSURE</t>
        </is>
      </c>
      <c r="G1469" s="34" t="inlineStr">
        <is>
          <t>UNSURE</t>
        </is>
      </c>
      <c r="H1469" s="34" t="inlineStr">
        <is>
          <t>APPROVED</t>
        </is>
      </c>
      <c r="I1469" s="34" t="inlineStr">
        <is>
          <t>New</t>
        </is>
      </c>
      <c r="J1469" s="34" t="inlineStr">
        <is>
          <t>Professional decision</t>
        </is>
      </c>
      <c r="K1469" s="34" t="inlineStr">
        <is>
          <t>Maya Chen, Owner Project Controls</t>
        </is>
      </c>
      <c r="L1469" s="14" t="inlineStr"/>
      <c r="M1469" s="14" t="inlineStr"/>
      <c r="N1469" s="92" t="inlineStr">
        <is>
          <t>10 EVIDENCE &amp; DECISIONS</t>
        </is>
      </c>
    </row>
    <row r="1470" ht="34" customHeight="1">
      <c r="A1470" s="34" t="inlineStr">
        <is>
          <t>Contractor Programme</t>
        </is>
      </c>
      <c r="B1470" s="34" t="inlineStr">
        <is>
          <t>SCH-06-103</t>
        </is>
      </c>
      <c r="C1470" s="34" t="inlineStr">
        <is>
          <t>Program office: stakeholder interface meeting - turnover</t>
        </is>
      </c>
      <c r="D1470" s="14" t="inlineStr"/>
      <c r="E1470" s="34" t="inlineStr">
        <is>
          <t>R1003-v2</t>
        </is>
      </c>
      <c r="F1470" s="34" t="inlineStr">
        <is>
          <t>UNSURE</t>
        </is>
      </c>
      <c r="G1470" s="34" t="inlineStr">
        <is>
          <t>UNSURE</t>
        </is>
      </c>
      <c r="H1470" s="34" t="inlineStr">
        <is>
          <t>APPROVED</t>
        </is>
      </c>
      <c r="I1470" s="34" t="inlineStr">
        <is>
          <t>New</t>
        </is>
      </c>
      <c r="J1470" s="34" t="inlineStr">
        <is>
          <t>Professional decision</t>
        </is>
      </c>
      <c r="K1470" s="34" t="inlineStr">
        <is>
          <t>Maya Chen, Owner Project Controls</t>
        </is>
      </c>
      <c r="L1470" s="14" t="inlineStr"/>
      <c r="M1470" s="14" t="inlineStr"/>
      <c r="N1470" s="92" t="inlineStr">
        <is>
          <t>10 EVIDENCE &amp; DECISIONS</t>
        </is>
      </c>
    </row>
    <row r="1471" ht="34" customHeight="1">
      <c r="A1471" s="34" t="inlineStr">
        <is>
          <t>Contractor Programme</t>
        </is>
      </c>
      <c r="B1471" s="34" t="inlineStr">
        <is>
          <t>SCH-06-104</t>
        </is>
      </c>
      <c r="C1471" s="34" t="inlineStr">
        <is>
          <t>Civil package: baseline change control - release</t>
        </is>
      </c>
      <c r="D1471" s="14" t="inlineStr"/>
      <c r="E1471" s="34" t="inlineStr">
        <is>
          <t>R1004-v2</t>
        </is>
      </c>
      <c r="F1471" s="34" t="inlineStr">
        <is>
          <t>UNSURE</t>
        </is>
      </c>
      <c r="G1471" s="34" t="inlineStr">
        <is>
          <t>UNSURE</t>
        </is>
      </c>
      <c r="H1471" s="34" t="inlineStr">
        <is>
          <t>APPROVED</t>
        </is>
      </c>
      <c r="I1471" s="34" t="inlineStr">
        <is>
          <t>New</t>
        </is>
      </c>
      <c r="J1471" s="34" t="inlineStr">
        <is>
          <t>Professional decision</t>
        </is>
      </c>
      <c r="K1471" s="34" t="inlineStr">
        <is>
          <t>Maya Chen, Owner Project Controls</t>
        </is>
      </c>
      <c r="L1471" s="14" t="inlineStr"/>
      <c r="M1471" s="14" t="inlineStr"/>
      <c r="N1471" s="92" t="inlineStr">
        <is>
          <t>10 EVIDENCE &amp; DECISIONS</t>
        </is>
      </c>
    </row>
    <row r="1472" ht="34" customHeight="1">
      <c r="A1472" s="34" t="inlineStr">
        <is>
          <t>Contractor Programme</t>
        </is>
      </c>
      <c r="B1472" s="34" t="inlineStr">
        <is>
          <t>SCH-06-105</t>
        </is>
      </c>
      <c r="C1472" s="34" t="inlineStr">
        <is>
          <t>Stations package: commercial change review - field start</t>
        </is>
      </c>
      <c r="D1472" s="14" t="inlineStr"/>
      <c r="E1472" s="34" t="inlineStr">
        <is>
          <t>R1005-v2</t>
        </is>
      </c>
      <c r="F1472" s="34" t="inlineStr">
        <is>
          <t>UNSURE</t>
        </is>
      </c>
      <c r="G1472" s="34" t="inlineStr">
        <is>
          <t>UNSURE</t>
        </is>
      </c>
      <c r="H1472" s="34" t="inlineStr">
        <is>
          <t>APPROVED</t>
        </is>
      </c>
      <c r="I1472" s="34" t="inlineStr">
        <is>
          <t>New</t>
        </is>
      </c>
      <c r="J1472" s="34" t="inlineStr">
        <is>
          <t>Professional decision</t>
        </is>
      </c>
      <c r="K1472" s="34" t="inlineStr">
        <is>
          <t>Maya Chen, Owner Project Controls</t>
        </is>
      </c>
      <c r="L1472" s="14" t="inlineStr"/>
      <c r="M1472" s="14" t="inlineStr"/>
      <c r="N1472" s="92" t="inlineStr">
        <is>
          <t>10 EVIDENCE &amp; DECISIONS</t>
        </is>
      </c>
    </row>
    <row r="1473" ht="34" customHeight="1">
      <c r="A1473" s="34" t="inlineStr">
        <is>
          <t>Contractor Programme</t>
        </is>
      </c>
      <c r="B1473" s="34" t="inlineStr">
        <is>
          <t>SCH-06-106</t>
        </is>
      </c>
      <c r="C1473" s="34" t="inlineStr">
        <is>
          <t>Systems package: design-package integration review - installation</t>
        </is>
      </c>
      <c r="D1473" s="14" t="inlineStr"/>
      <c r="E1473" s="34" t="inlineStr">
        <is>
          <t>R1006-v2</t>
        </is>
      </c>
      <c r="F1473" s="34" t="inlineStr">
        <is>
          <t>UNSURE</t>
        </is>
      </c>
      <c r="G1473" s="34" t="inlineStr">
        <is>
          <t>UNSURE</t>
        </is>
      </c>
      <c r="H1473" s="34" t="inlineStr">
        <is>
          <t>APPROVED</t>
        </is>
      </c>
      <c r="I1473" s="34" t="inlineStr">
        <is>
          <t>New</t>
        </is>
      </c>
      <c r="J1473" s="34" t="inlineStr">
        <is>
          <t>Professional decision</t>
        </is>
      </c>
      <c r="K1473" s="34" t="inlineStr">
        <is>
          <t>Maya Chen, Owner Project Controls</t>
        </is>
      </c>
      <c r="L1473" s="14" t="inlineStr"/>
      <c r="M1473" s="14" t="inlineStr"/>
      <c r="N1473" s="92" t="inlineStr">
        <is>
          <t>10 EVIDENCE &amp; DECISIONS</t>
        </is>
      </c>
    </row>
    <row r="1474" ht="34" customHeight="1">
      <c r="A1474" s="34" t="inlineStr">
        <is>
          <t>Contractor Programme</t>
        </is>
      </c>
      <c r="B1474" s="34" t="inlineStr">
        <is>
          <t>SCH-06-107</t>
        </is>
      </c>
      <c r="C1474" s="34" t="inlineStr">
        <is>
          <t>Fleet package: executive reporting close - inspection</t>
        </is>
      </c>
      <c r="D1474" s="14" t="inlineStr"/>
      <c r="E1474" s="34" t="inlineStr">
        <is>
          <t>R1007-v2</t>
        </is>
      </c>
      <c r="F1474" s="34" t="inlineStr">
        <is>
          <t>UNSURE</t>
        </is>
      </c>
      <c r="G1474" s="34" t="inlineStr">
        <is>
          <t>UNSURE</t>
        </is>
      </c>
      <c r="H1474" s="34" t="inlineStr">
        <is>
          <t>APPROVED</t>
        </is>
      </c>
      <c r="I1474" s="34" t="inlineStr">
        <is>
          <t>New</t>
        </is>
      </c>
      <c r="J1474" s="34" t="inlineStr">
        <is>
          <t>Professional decision</t>
        </is>
      </c>
      <c r="K1474" s="34" t="inlineStr">
        <is>
          <t>Maya Chen, Owner Project Controls</t>
        </is>
      </c>
      <c r="L1474" s="14" t="inlineStr"/>
      <c r="M1474" s="14" t="inlineStr"/>
      <c r="N1474" s="92" t="inlineStr">
        <is>
          <t>10 EVIDENCE &amp; DECISIONS</t>
        </is>
      </c>
    </row>
    <row r="1475" ht="34" customHeight="1">
      <c r="A1475" s="34" t="inlineStr">
        <is>
          <t>Contractor Programme</t>
        </is>
      </c>
      <c r="B1475" s="34" t="inlineStr">
        <is>
          <t>SCH-06-108</t>
        </is>
      </c>
      <c r="C1475" s="34" t="inlineStr">
        <is>
          <t>Program office: permit coordination - turnover</t>
        </is>
      </c>
      <c r="D1475" s="14" t="inlineStr"/>
      <c r="E1475" s="34" t="inlineStr">
        <is>
          <t>R1008-v2</t>
        </is>
      </c>
      <c r="F1475" s="34" t="inlineStr">
        <is>
          <t>UNSURE</t>
        </is>
      </c>
      <c r="G1475" s="34" t="inlineStr">
        <is>
          <t>UNSURE</t>
        </is>
      </c>
      <c r="H1475" s="34" t="inlineStr">
        <is>
          <t>APPROVED</t>
        </is>
      </c>
      <c r="I1475" s="34" t="inlineStr">
        <is>
          <t>New</t>
        </is>
      </c>
      <c r="J1475" s="34" t="inlineStr">
        <is>
          <t>Professional decision</t>
        </is>
      </c>
      <c r="K1475" s="34" t="inlineStr">
        <is>
          <t>Maya Chen, Owner Project Controls</t>
        </is>
      </c>
      <c r="L1475" s="14" t="inlineStr"/>
      <c r="M1475" s="14" t="inlineStr"/>
      <c r="N1475" s="92" t="inlineStr">
        <is>
          <t>10 EVIDENCE &amp; DECISIONS</t>
        </is>
      </c>
    </row>
    <row r="1476" ht="34" customHeight="1">
      <c r="A1476" s="34" t="inlineStr">
        <is>
          <t>Contractor Programme</t>
        </is>
      </c>
      <c r="B1476" s="34" t="inlineStr">
        <is>
          <t>SCH-06-109</t>
        </is>
      </c>
      <c r="C1476" s="34" t="inlineStr">
        <is>
          <t>Civil package: delivery risk workshop - release</t>
        </is>
      </c>
      <c r="D1476" s="14" t="inlineStr"/>
      <c r="E1476" s="34" t="inlineStr">
        <is>
          <t>R1009-v2</t>
        </is>
      </c>
      <c r="F1476" s="34" t="inlineStr">
        <is>
          <t>UNSURE</t>
        </is>
      </c>
      <c r="G1476" s="34" t="inlineStr">
        <is>
          <t>UNSURE</t>
        </is>
      </c>
      <c r="H1476" s="34" t="inlineStr">
        <is>
          <t>APPROVED</t>
        </is>
      </c>
      <c r="I1476" s="34" t="inlineStr">
        <is>
          <t>New</t>
        </is>
      </c>
      <c r="J1476" s="34" t="inlineStr">
        <is>
          <t>Professional decision</t>
        </is>
      </c>
      <c r="K1476" s="34" t="inlineStr">
        <is>
          <t>Maya Chen, Owner Project Controls</t>
        </is>
      </c>
      <c r="L1476" s="14" t="inlineStr"/>
      <c r="M1476" s="14" t="inlineStr"/>
      <c r="N1476" s="92" t="inlineStr">
        <is>
          <t>10 EVIDENCE &amp; DECISIONS</t>
        </is>
      </c>
    </row>
    <row r="1477" ht="34" customHeight="1">
      <c r="A1477" s="34" t="inlineStr">
        <is>
          <t>Contractor Programme</t>
        </is>
      </c>
      <c r="B1477" s="34" t="inlineStr">
        <is>
          <t>SCH-06-110</t>
        </is>
      </c>
      <c r="C1477" s="34" t="inlineStr">
        <is>
          <t>Stations package: monthly controls cut-off - field start</t>
        </is>
      </c>
      <c r="D1477" s="14" t="inlineStr"/>
      <c r="E1477" s="34" t="inlineStr">
        <is>
          <t>R1010-v2</t>
        </is>
      </c>
      <c r="F1477" s="34" t="inlineStr">
        <is>
          <t>UNSURE</t>
        </is>
      </c>
      <c r="G1477" s="34" t="inlineStr">
        <is>
          <t>UNSURE</t>
        </is>
      </c>
      <c r="H1477" s="34" t="inlineStr">
        <is>
          <t>APPROVED</t>
        </is>
      </c>
      <c r="I1477" s="34" t="inlineStr">
        <is>
          <t>New</t>
        </is>
      </c>
      <c r="J1477" s="34" t="inlineStr">
        <is>
          <t>Professional decision</t>
        </is>
      </c>
      <c r="K1477" s="34" t="inlineStr">
        <is>
          <t>Maya Chen, Owner Project Controls</t>
        </is>
      </c>
      <c r="L1477" s="14" t="inlineStr"/>
      <c r="M1477" s="14" t="inlineStr"/>
      <c r="N1477" s="92" t="inlineStr">
        <is>
          <t>10 EVIDENCE &amp; DECISIONS</t>
        </is>
      </c>
    </row>
    <row r="1478" ht="34" customHeight="1">
      <c r="A1478" s="34" t="inlineStr">
        <is>
          <t>Contractor Programme</t>
        </is>
      </c>
      <c r="B1478" s="34" t="inlineStr">
        <is>
          <t>SCH-06-111</t>
        </is>
      </c>
      <c r="C1478" s="34" t="inlineStr">
        <is>
          <t>Systems package: stakeholder interface meeting - installation</t>
        </is>
      </c>
      <c r="D1478" s="14" t="inlineStr"/>
      <c r="E1478" s="34" t="inlineStr">
        <is>
          <t>R1011-v2</t>
        </is>
      </c>
      <c r="F1478" s="34" t="inlineStr">
        <is>
          <t>UNSURE</t>
        </is>
      </c>
      <c r="G1478" s="34" t="inlineStr">
        <is>
          <t>UNSURE</t>
        </is>
      </c>
      <c r="H1478" s="34" t="inlineStr">
        <is>
          <t>APPROVED</t>
        </is>
      </c>
      <c r="I1478" s="34" t="inlineStr">
        <is>
          <t>New</t>
        </is>
      </c>
      <c r="J1478" s="34" t="inlineStr">
        <is>
          <t>Professional decision</t>
        </is>
      </c>
      <c r="K1478" s="34" t="inlineStr">
        <is>
          <t>Maya Chen, Owner Project Controls</t>
        </is>
      </c>
      <c r="L1478" s="14" t="inlineStr"/>
      <c r="M1478" s="14" t="inlineStr"/>
      <c r="N1478" s="92" t="inlineStr">
        <is>
          <t>10 EVIDENCE &amp; DECISIONS</t>
        </is>
      </c>
    </row>
    <row r="1479" ht="34" customHeight="1">
      <c r="A1479" s="34" t="inlineStr">
        <is>
          <t>Contractor Programme</t>
        </is>
      </c>
      <c r="B1479" s="34" t="inlineStr">
        <is>
          <t>SCH-06-112</t>
        </is>
      </c>
      <c r="C1479" s="34" t="inlineStr">
        <is>
          <t>Fleet package: baseline change control - inspection</t>
        </is>
      </c>
      <c r="D1479" s="14" t="inlineStr"/>
      <c r="E1479" s="34" t="inlineStr">
        <is>
          <t>R1012-v2</t>
        </is>
      </c>
      <c r="F1479" s="34" t="inlineStr">
        <is>
          <t>UNSURE</t>
        </is>
      </c>
      <c r="G1479" s="34" t="inlineStr">
        <is>
          <t>UNSURE</t>
        </is>
      </c>
      <c r="H1479" s="34" t="inlineStr">
        <is>
          <t>APPROVED</t>
        </is>
      </c>
      <c r="I1479" s="34" t="inlineStr">
        <is>
          <t>New</t>
        </is>
      </c>
      <c r="J1479" s="34" t="inlineStr">
        <is>
          <t>Professional decision</t>
        </is>
      </c>
      <c r="K1479" s="34" t="inlineStr">
        <is>
          <t>Maya Chen, Owner Project Controls</t>
        </is>
      </c>
      <c r="L1479" s="14" t="inlineStr"/>
      <c r="M1479" s="14" t="inlineStr"/>
      <c r="N1479" s="92" t="inlineStr">
        <is>
          <t>10 EVIDENCE &amp; DECISIONS</t>
        </is>
      </c>
    </row>
    <row r="1480" ht="34" customHeight="1">
      <c r="A1480" s="34" t="inlineStr">
        <is>
          <t>Contractor Programme</t>
        </is>
      </c>
      <c r="B1480" s="34" t="inlineStr">
        <is>
          <t>SCH-06-113</t>
        </is>
      </c>
      <c r="C1480" s="34" t="inlineStr">
        <is>
          <t>Program office: commercial change review - turnover</t>
        </is>
      </c>
      <c r="D1480" s="14" t="inlineStr"/>
      <c r="E1480" s="34" t="inlineStr">
        <is>
          <t>R1013-v2</t>
        </is>
      </c>
      <c r="F1480" s="34" t="inlineStr">
        <is>
          <t>UNSURE</t>
        </is>
      </c>
      <c r="G1480" s="34" t="inlineStr">
        <is>
          <t>UNSURE</t>
        </is>
      </c>
      <c r="H1480" s="34" t="inlineStr">
        <is>
          <t>APPROVED</t>
        </is>
      </c>
      <c r="I1480" s="34" t="inlineStr">
        <is>
          <t>New</t>
        </is>
      </c>
      <c r="J1480" s="34" t="inlineStr">
        <is>
          <t>Professional decision</t>
        </is>
      </c>
      <c r="K1480" s="34" t="inlineStr">
        <is>
          <t>Maya Chen, Owner Project Controls</t>
        </is>
      </c>
      <c r="L1480" s="14" t="inlineStr"/>
      <c r="M1480" s="14" t="inlineStr"/>
      <c r="N1480" s="92" t="inlineStr">
        <is>
          <t>10 EVIDENCE &amp; DECISIONS</t>
        </is>
      </c>
    </row>
    <row r="1481" ht="34" customHeight="1">
      <c r="A1481" s="34" t="inlineStr">
        <is>
          <t>Contractor Programme</t>
        </is>
      </c>
      <c r="B1481" s="34" t="inlineStr">
        <is>
          <t>SCH-06-114</t>
        </is>
      </c>
      <c r="C1481" s="34" t="inlineStr">
        <is>
          <t>Civil package: design-package integration review - release</t>
        </is>
      </c>
      <c r="D1481" s="14" t="inlineStr"/>
      <c r="E1481" s="34" t="inlineStr">
        <is>
          <t>R1014-v2</t>
        </is>
      </c>
      <c r="F1481" s="34" t="inlineStr">
        <is>
          <t>UNSURE</t>
        </is>
      </c>
      <c r="G1481" s="34" t="inlineStr">
        <is>
          <t>UNSURE</t>
        </is>
      </c>
      <c r="H1481" s="34" t="inlineStr">
        <is>
          <t>APPROVED</t>
        </is>
      </c>
      <c r="I1481" s="34" t="inlineStr">
        <is>
          <t>New</t>
        </is>
      </c>
      <c r="J1481" s="34" t="inlineStr">
        <is>
          <t>Professional decision</t>
        </is>
      </c>
      <c r="K1481" s="34" t="inlineStr">
        <is>
          <t>Maya Chen, Owner Project Controls</t>
        </is>
      </c>
      <c r="L1481" s="14" t="inlineStr"/>
      <c r="M1481" s="14" t="inlineStr"/>
      <c r="N1481" s="92" t="inlineStr">
        <is>
          <t>10 EVIDENCE &amp; DECISIONS</t>
        </is>
      </c>
    </row>
    <row r="1482" ht="34" customHeight="1">
      <c r="A1482" s="34" t="inlineStr">
        <is>
          <t>Contractor Programme</t>
        </is>
      </c>
      <c r="B1482" s="34" t="inlineStr">
        <is>
          <t>SCH-06-115</t>
        </is>
      </c>
      <c r="C1482" s="34" t="inlineStr">
        <is>
          <t>Stations package: executive reporting close - field start</t>
        </is>
      </c>
      <c r="D1482" s="14" t="inlineStr"/>
      <c r="E1482" s="34" t="inlineStr">
        <is>
          <t>R1015-v2</t>
        </is>
      </c>
      <c r="F1482" s="34" t="inlineStr">
        <is>
          <t>UNSURE</t>
        </is>
      </c>
      <c r="G1482" s="34" t="inlineStr">
        <is>
          <t>UNSURE</t>
        </is>
      </c>
      <c r="H1482" s="34" t="inlineStr">
        <is>
          <t>APPROVED</t>
        </is>
      </c>
      <c r="I1482" s="34" t="inlineStr">
        <is>
          <t>New</t>
        </is>
      </c>
      <c r="J1482" s="34" t="inlineStr">
        <is>
          <t>Professional decision</t>
        </is>
      </c>
      <c r="K1482" s="34" t="inlineStr">
        <is>
          <t>Maya Chen, Owner Project Controls</t>
        </is>
      </c>
      <c r="L1482" s="14" t="inlineStr"/>
      <c r="M1482" s="14" t="inlineStr"/>
      <c r="N1482" s="92" t="inlineStr">
        <is>
          <t>10 EVIDENCE &amp; DECISIONS</t>
        </is>
      </c>
    </row>
    <row r="1483" ht="34" customHeight="1">
      <c r="A1483" s="34" t="inlineStr">
        <is>
          <t>Contractor Programme</t>
        </is>
      </c>
      <c r="B1483" s="34" t="inlineStr">
        <is>
          <t>SCH-06-116</t>
        </is>
      </c>
      <c r="C1483" s="34" t="inlineStr">
        <is>
          <t>Systems package: permit coordination - installation</t>
        </is>
      </c>
      <c r="D1483" s="14" t="inlineStr"/>
      <c r="E1483" s="34" t="inlineStr">
        <is>
          <t>R1016-v2</t>
        </is>
      </c>
      <c r="F1483" s="34" t="inlineStr">
        <is>
          <t>UNSURE</t>
        </is>
      </c>
      <c r="G1483" s="34" t="inlineStr">
        <is>
          <t>UNSURE</t>
        </is>
      </c>
      <c r="H1483" s="34" t="inlineStr">
        <is>
          <t>APPROVED</t>
        </is>
      </c>
      <c r="I1483" s="34" t="inlineStr">
        <is>
          <t>New</t>
        </is>
      </c>
      <c r="J1483" s="34" t="inlineStr">
        <is>
          <t>Professional decision</t>
        </is>
      </c>
      <c r="K1483" s="34" t="inlineStr">
        <is>
          <t>Maya Chen, Owner Project Controls</t>
        </is>
      </c>
      <c r="L1483" s="14" t="inlineStr"/>
      <c r="M1483" s="14" t="inlineStr"/>
      <c r="N1483" s="92" t="inlineStr">
        <is>
          <t>10 EVIDENCE &amp; DECISIONS</t>
        </is>
      </c>
    </row>
    <row r="1484" ht="34" customHeight="1">
      <c r="A1484" s="34" t="inlineStr">
        <is>
          <t>Contractor Programme</t>
        </is>
      </c>
      <c r="B1484" s="34" t="inlineStr">
        <is>
          <t>SCH-06-117</t>
        </is>
      </c>
      <c r="C1484" s="34" t="inlineStr">
        <is>
          <t>Fleet package: delivery risk workshop - inspection</t>
        </is>
      </c>
      <c r="D1484" s="14" t="inlineStr"/>
      <c r="E1484" s="34" t="inlineStr">
        <is>
          <t>R1017-v2</t>
        </is>
      </c>
      <c r="F1484" s="34" t="inlineStr">
        <is>
          <t>UNSURE</t>
        </is>
      </c>
      <c r="G1484" s="34" t="inlineStr">
        <is>
          <t>UNSURE</t>
        </is>
      </c>
      <c r="H1484" s="34" t="inlineStr">
        <is>
          <t>APPROVED</t>
        </is>
      </c>
      <c r="I1484" s="34" t="inlineStr">
        <is>
          <t>New</t>
        </is>
      </c>
      <c r="J1484" s="34" t="inlineStr">
        <is>
          <t>Professional decision</t>
        </is>
      </c>
      <c r="K1484" s="34" t="inlineStr">
        <is>
          <t>Maya Chen, Owner Project Controls</t>
        </is>
      </c>
      <c r="L1484" s="14" t="inlineStr"/>
      <c r="M1484" s="14" t="inlineStr"/>
      <c r="N1484" s="92" t="inlineStr">
        <is>
          <t>10 EVIDENCE &amp; DECISIONS</t>
        </is>
      </c>
    </row>
    <row r="1485" ht="34" customHeight="1">
      <c r="A1485" s="34" t="inlineStr">
        <is>
          <t>Contractor Programme</t>
        </is>
      </c>
      <c r="B1485" s="34" t="inlineStr">
        <is>
          <t>SCH-06-118</t>
        </is>
      </c>
      <c r="C1485" s="34" t="inlineStr">
        <is>
          <t>Program office: monthly controls cut-off - turnover</t>
        </is>
      </c>
      <c r="D1485" s="14" t="inlineStr"/>
      <c r="E1485" s="34" t="inlineStr">
        <is>
          <t>R1018-v2</t>
        </is>
      </c>
      <c r="F1485" s="34" t="inlineStr">
        <is>
          <t>UNSURE</t>
        </is>
      </c>
      <c r="G1485" s="34" t="inlineStr">
        <is>
          <t>UNSURE</t>
        </is>
      </c>
      <c r="H1485" s="34" t="inlineStr">
        <is>
          <t>APPROVED</t>
        </is>
      </c>
      <c r="I1485" s="34" t="inlineStr">
        <is>
          <t>New</t>
        </is>
      </c>
      <c r="J1485" s="34" t="inlineStr">
        <is>
          <t>Professional decision</t>
        </is>
      </c>
      <c r="K1485" s="34" t="inlineStr">
        <is>
          <t>Maya Chen, Owner Project Controls</t>
        </is>
      </c>
      <c r="L1485" s="14" t="inlineStr"/>
      <c r="M1485" s="14" t="inlineStr"/>
      <c r="N1485" s="92" t="inlineStr">
        <is>
          <t>10 EVIDENCE &amp; DECISIONS</t>
        </is>
      </c>
    </row>
    <row r="1486" ht="34" customHeight="1">
      <c r="A1486" s="34" t="inlineStr">
        <is>
          <t>Contractor Programme</t>
        </is>
      </c>
      <c r="B1486" s="34" t="inlineStr">
        <is>
          <t>SCH-06-119</t>
        </is>
      </c>
      <c r="C1486" s="34" t="inlineStr">
        <is>
          <t>Civil package: stakeholder interface meeting - release</t>
        </is>
      </c>
      <c r="D1486" s="14" t="inlineStr"/>
      <c r="E1486" s="34" t="inlineStr">
        <is>
          <t>R1019-v2</t>
        </is>
      </c>
      <c r="F1486" s="34" t="inlineStr">
        <is>
          <t>UNSURE</t>
        </is>
      </c>
      <c r="G1486" s="34" t="inlineStr">
        <is>
          <t>UNSURE</t>
        </is>
      </c>
      <c r="H1486" s="34" t="inlineStr">
        <is>
          <t>APPROVED</t>
        </is>
      </c>
      <c r="I1486" s="34" t="inlineStr">
        <is>
          <t>New</t>
        </is>
      </c>
      <c r="J1486" s="34" t="inlineStr">
        <is>
          <t>Professional decision</t>
        </is>
      </c>
      <c r="K1486" s="34" t="inlineStr">
        <is>
          <t>Maya Chen, Owner Project Controls</t>
        </is>
      </c>
      <c r="L1486" s="14" t="inlineStr"/>
      <c r="M1486" s="14" t="inlineStr"/>
      <c r="N1486" s="92" t="inlineStr">
        <is>
          <t>10 EVIDENCE &amp; DECISIONS</t>
        </is>
      </c>
    </row>
    <row r="1487" ht="34" customHeight="1">
      <c r="A1487" s="34" t="inlineStr">
        <is>
          <t>Contractor Programme</t>
        </is>
      </c>
      <c r="B1487" s="34" t="inlineStr">
        <is>
          <t>SCH-06-120</t>
        </is>
      </c>
      <c r="C1487" s="34" t="inlineStr">
        <is>
          <t>Stations package: baseline change control - field start</t>
        </is>
      </c>
      <c r="D1487" s="14" t="inlineStr"/>
      <c r="E1487" s="34" t="inlineStr">
        <is>
          <t>R1020-v2</t>
        </is>
      </c>
      <c r="F1487" s="34" t="inlineStr">
        <is>
          <t>UNSURE</t>
        </is>
      </c>
      <c r="G1487" s="34" t="inlineStr">
        <is>
          <t>UNSURE</t>
        </is>
      </c>
      <c r="H1487" s="34" t="inlineStr">
        <is>
          <t>APPROVED</t>
        </is>
      </c>
      <c r="I1487" s="34" t="inlineStr">
        <is>
          <t>New</t>
        </is>
      </c>
      <c r="J1487" s="34" t="inlineStr">
        <is>
          <t>Professional decision</t>
        </is>
      </c>
      <c r="K1487" s="34" t="inlineStr">
        <is>
          <t>Maya Chen, Owner Project Controls</t>
        </is>
      </c>
      <c r="L1487" s="14" t="inlineStr"/>
      <c r="M1487" s="14" t="inlineStr"/>
      <c r="N1487" s="92" t="inlineStr">
        <is>
          <t>10 EVIDENCE &amp; DECISIONS</t>
        </is>
      </c>
    </row>
    <row r="1488" ht="34" customHeight="1">
      <c r="A1488" s="34" t="inlineStr">
        <is>
          <t>Contractor Programme</t>
        </is>
      </c>
      <c r="B1488" s="34" t="inlineStr">
        <is>
          <t>SCH-06-121</t>
        </is>
      </c>
      <c r="C1488" s="34" t="inlineStr">
        <is>
          <t>Systems package: commercial change review - installation</t>
        </is>
      </c>
      <c r="D1488" s="14" t="inlineStr"/>
      <c r="E1488" s="34" t="inlineStr">
        <is>
          <t>R1021-v2</t>
        </is>
      </c>
      <c r="F1488" s="34" t="inlineStr">
        <is>
          <t>UNSURE</t>
        </is>
      </c>
      <c r="G1488" s="34" t="inlineStr">
        <is>
          <t>UNSURE</t>
        </is>
      </c>
      <c r="H1488" s="34" t="inlineStr">
        <is>
          <t>APPROVED</t>
        </is>
      </c>
      <c r="I1488" s="34" t="inlineStr">
        <is>
          <t>New</t>
        </is>
      </c>
      <c r="J1488" s="34" t="inlineStr">
        <is>
          <t>Professional decision</t>
        </is>
      </c>
      <c r="K1488" s="34" t="inlineStr">
        <is>
          <t>Maya Chen, Owner Project Controls</t>
        </is>
      </c>
      <c r="L1488" s="14" t="inlineStr"/>
      <c r="M1488" s="14" t="inlineStr"/>
      <c r="N1488" s="92" t="inlineStr">
        <is>
          <t>10 EVIDENCE &amp; DECISIONS</t>
        </is>
      </c>
    </row>
    <row r="1489" ht="34" customHeight="1">
      <c r="A1489" s="34" t="inlineStr">
        <is>
          <t>Contractor Programme</t>
        </is>
      </c>
      <c r="B1489" s="34" t="inlineStr">
        <is>
          <t>SCH-06-122</t>
        </is>
      </c>
      <c r="C1489" s="34" t="inlineStr">
        <is>
          <t>Fleet package: design-package integration review - inspection</t>
        </is>
      </c>
      <c r="D1489" s="14" t="inlineStr"/>
      <c r="E1489" s="34" t="inlineStr">
        <is>
          <t>R1022-v2</t>
        </is>
      </c>
      <c r="F1489" s="34" t="inlineStr">
        <is>
          <t>UNSURE</t>
        </is>
      </c>
      <c r="G1489" s="34" t="inlineStr">
        <is>
          <t>UNSURE</t>
        </is>
      </c>
      <c r="H1489" s="34" t="inlineStr">
        <is>
          <t>APPROVED</t>
        </is>
      </c>
      <c r="I1489" s="34" t="inlineStr">
        <is>
          <t>New</t>
        </is>
      </c>
      <c r="J1489" s="34" t="inlineStr">
        <is>
          <t>Professional decision</t>
        </is>
      </c>
      <c r="K1489" s="34" t="inlineStr">
        <is>
          <t>Maya Chen, Owner Project Controls</t>
        </is>
      </c>
      <c r="L1489" s="14" t="inlineStr"/>
      <c r="M1489" s="14" t="inlineStr"/>
      <c r="N1489" s="92" t="inlineStr">
        <is>
          <t>10 EVIDENCE &amp; DECISIONS</t>
        </is>
      </c>
    </row>
    <row r="1490" ht="34" customHeight="1">
      <c r="A1490" s="34" t="inlineStr">
        <is>
          <t>Contractor Programme</t>
        </is>
      </c>
      <c r="B1490" s="34" t="inlineStr">
        <is>
          <t>SCH-06-123</t>
        </is>
      </c>
      <c r="C1490" s="34" t="inlineStr">
        <is>
          <t>Program office: executive reporting close - turnover</t>
        </is>
      </c>
      <c r="D1490" s="14" t="inlineStr"/>
      <c r="E1490" s="34" t="inlineStr">
        <is>
          <t>R1023-v2</t>
        </is>
      </c>
      <c r="F1490" s="34" t="inlineStr">
        <is>
          <t>UNSURE</t>
        </is>
      </c>
      <c r="G1490" s="34" t="inlineStr">
        <is>
          <t>UNSURE</t>
        </is>
      </c>
      <c r="H1490" s="34" t="inlineStr">
        <is>
          <t>APPROVED</t>
        </is>
      </c>
      <c r="I1490" s="34" t="inlineStr">
        <is>
          <t>New</t>
        </is>
      </c>
      <c r="J1490" s="34" t="inlineStr">
        <is>
          <t>Professional decision</t>
        </is>
      </c>
      <c r="K1490" s="34" t="inlineStr">
        <is>
          <t>Maya Chen, Owner Project Controls</t>
        </is>
      </c>
      <c r="L1490" s="14" t="inlineStr"/>
      <c r="M1490" s="14" t="inlineStr"/>
      <c r="N1490" s="92" t="inlineStr">
        <is>
          <t>10 EVIDENCE &amp; DECISIONS</t>
        </is>
      </c>
    </row>
    <row r="1491" ht="34" customHeight="1">
      <c r="A1491" s="34" t="inlineStr">
        <is>
          <t>Contractor Programme</t>
        </is>
      </c>
      <c r="B1491" s="34" t="inlineStr">
        <is>
          <t>SCH-06-124</t>
        </is>
      </c>
      <c r="C1491" s="34" t="inlineStr">
        <is>
          <t>Civil package: permit coordination - release</t>
        </is>
      </c>
      <c r="D1491" s="14" t="inlineStr"/>
      <c r="E1491" s="34" t="inlineStr">
        <is>
          <t>R1024-v2</t>
        </is>
      </c>
      <c r="F1491" s="34" t="inlineStr">
        <is>
          <t>UNSURE</t>
        </is>
      </c>
      <c r="G1491" s="34" t="inlineStr">
        <is>
          <t>UNSURE</t>
        </is>
      </c>
      <c r="H1491" s="34" t="inlineStr">
        <is>
          <t>APPROVED</t>
        </is>
      </c>
      <c r="I1491" s="34" t="inlineStr">
        <is>
          <t>New</t>
        </is>
      </c>
      <c r="J1491" s="34" t="inlineStr">
        <is>
          <t>Professional decision</t>
        </is>
      </c>
      <c r="K1491" s="34" t="inlineStr">
        <is>
          <t>Maya Chen, Owner Project Controls</t>
        </is>
      </c>
      <c r="L1491" s="14" t="inlineStr"/>
      <c r="M1491" s="14" t="inlineStr"/>
      <c r="N1491" s="92" t="inlineStr">
        <is>
          <t>10 EVIDENCE &amp; DECISIONS</t>
        </is>
      </c>
    </row>
    <row r="1492" ht="34" customHeight="1">
      <c r="A1492" s="34" t="inlineStr">
        <is>
          <t>Contractor Programme</t>
        </is>
      </c>
      <c r="B1492" s="34" t="inlineStr">
        <is>
          <t>SCH-06-125</t>
        </is>
      </c>
      <c r="C1492" s="34" t="inlineStr">
        <is>
          <t>Stations package: delivery risk workshop - field start</t>
        </is>
      </c>
      <c r="D1492" s="14" t="inlineStr"/>
      <c r="E1492" s="34" t="inlineStr">
        <is>
          <t>R1025-v2</t>
        </is>
      </c>
      <c r="F1492" s="34" t="inlineStr">
        <is>
          <t>UNSURE</t>
        </is>
      </c>
      <c r="G1492" s="34" t="inlineStr">
        <is>
          <t>UNSURE</t>
        </is>
      </c>
      <c r="H1492" s="34" t="inlineStr">
        <is>
          <t>APPROVED</t>
        </is>
      </c>
      <c r="I1492" s="34" t="inlineStr">
        <is>
          <t>New</t>
        </is>
      </c>
      <c r="J1492" s="34" t="inlineStr">
        <is>
          <t>Professional decision</t>
        </is>
      </c>
      <c r="K1492" s="34" t="inlineStr">
        <is>
          <t>Maya Chen, Owner Project Controls</t>
        </is>
      </c>
      <c r="L1492" s="14" t="inlineStr"/>
      <c r="M1492" s="14" t="inlineStr"/>
      <c r="N1492" s="92" t="inlineStr">
        <is>
          <t>10 EVIDENCE &amp; DECISIONS</t>
        </is>
      </c>
    </row>
    <row r="1493" ht="34" customHeight="1">
      <c r="A1493" s="34" t="inlineStr">
        <is>
          <t>Contractor Programme</t>
        </is>
      </c>
      <c r="B1493" s="34" t="inlineStr">
        <is>
          <t>SCH-06-126</t>
        </is>
      </c>
      <c r="C1493" s="34" t="inlineStr">
        <is>
          <t>Systems package: monthly controls cut-off - installation</t>
        </is>
      </c>
      <c r="D1493" s="14" t="inlineStr"/>
      <c r="E1493" s="34" t="inlineStr">
        <is>
          <t>R1026-v2</t>
        </is>
      </c>
      <c r="F1493" s="34" t="inlineStr">
        <is>
          <t>UNSURE</t>
        </is>
      </c>
      <c r="G1493" s="34" t="inlineStr">
        <is>
          <t>UNSURE</t>
        </is>
      </c>
      <c r="H1493" s="34" t="inlineStr">
        <is>
          <t>APPROVED</t>
        </is>
      </c>
      <c r="I1493" s="34" t="inlineStr">
        <is>
          <t>New</t>
        </is>
      </c>
      <c r="J1493" s="34" t="inlineStr">
        <is>
          <t>Professional decision</t>
        </is>
      </c>
      <c r="K1493" s="34" t="inlineStr">
        <is>
          <t>Maya Chen, Owner Project Controls</t>
        </is>
      </c>
      <c r="L1493" s="14" t="inlineStr"/>
      <c r="M1493" s="14" t="inlineStr"/>
      <c r="N1493" s="92" t="inlineStr">
        <is>
          <t>10 EVIDENCE &amp; DECISIONS</t>
        </is>
      </c>
    </row>
    <row r="1494" ht="34" customHeight="1">
      <c r="A1494" s="34" t="inlineStr">
        <is>
          <t>Contractor Programme</t>
        </is>
      </c>
      <c r="B1494" s="34" t="inlineStr">
        <is>
          <t>SCH-06-127</t>
        </is>
      </c>
      <c r="C1494" s="34" t="inlineStr">
        <is>
          <t>Fleet package: stakeholder interface meeting - inspection</t>
        </is>
      </c>
      <c r="D1494" s="14" t="inlineStr"/>
      <c r="E1494" s="34" t="inlineStr">
        <is>
          <t>R1027-v2</t>
        </is>
      </c>
      <c r="F1494" s="34" t="inlineStr">
        <is>
          <t>UNSURE</t>
        </is>
      </c>
      <c r="G1494" s="34" t="inlineStr">
        <is>
          <t>UNSURE</t>
        </is>
      </c>
      <c r="H1494" s="34" t="inlineStr">
        <is>
          <t>APPROVED</t>
        </is>
      </c>
      <c r="I1494" s="34" t="inlineStr">
        <is>
          <t>New</t>
        </is>
      </c>
      <c r="J1494" s="34" t="inlineStr">
        <is>
          <t>Professional decision</t>
        </is>
      </c>
      <c r="K1494" s="34" t="inlineStr">
        <is>
          <t>Maya Chen, Owner Project Controls</t>
        </is>
      </c>
      <c r="L1494" s="14" t="inlineStr"/>
      <c r="M1494" s="14" t="inlineStr"/>
      <c r="N1494" s="92" t="inlineStr">
        <is>
          <t>10 EVIDENCE &amp; DECISIONS</t>
        </is>
      </c>
    </row>
    <row r="1495" ht="34" customHeight="1">
      <c r="A1495" s="34" t="inlineStr">
        <is>
          <t>Contractor Programme</t>
        </is>
      </c>
      <c r="B1495" s="34" t="inlineStr">
        <is>
          <t>SCH-06-128</t>
        </is>
      </c>
      <c r="C1495" s="34" t="inlineStr">
        <is>
          <t>Program office: baseline change control - turnover</t>
        </is>
      </c>
      <c r="D1495" s="14" t="inlineStr"/>
      <c r="E1495" s="34" t="inlineStr">
        <is>
          <t>R1028-v2</t>
        </is>
      </c>
      <c r="F1495" s="34" t="inlineStr">
        <is>
          <t>UNSURE</t>
        </is>
      </c>
      <c r="G1495" s="34" t="inlineStr">
        <is>
          <t>UNSURE</t>
        </is>
      </c>
      <c r="H1495" s="34" t="inlineStr">
        <is>
          <t>APPROVED</t>
        </is>
      </c>
      <c r="I1495" s="34" t="inlineStr">
        <is>
          <t>New</t>
        </is>
      </c>
      <c r="J1495" s="34" t="inlineStr">
        <is>
          <t>Professional decision</t>
        </is>
      </c>
      <c r="K1495" s="34" t="inlineStr">
        <is>
          <t>Maya Chen, Owner Project Controls</t>
        </is>
      </c>
      <c r="L1495" s="14" t="inlineStr"/>
      <c r="M1495" s="14" t="inlineStr"/>
      <c r="N1495" s="92" t="inlineStr">
        <is>
          <t>10 EVIDENCE &amp; DECISIONS</t>
        </is>
      </c>
    </row>
    <row r="1496" ht="34" customHeight="1">
      <c r="A1496" s="34" t="inlineStr">
        <is>
          <t>Contractor Programme</t>
        </is>
      </c>
      <c r="B1496" s="34" t="inlineStr">
        <is>
          <t>SCH-06-129</t>
        </is>
      </c>
      <c r="C1496" s="34" t="inlineStr">
        <is>
          <t>Civil package: commercial change review - release</t>
        </is>
      </c>
      <c r="D1496" s="14" t="inlineStr"/>
      <c r="E1496" s="34" t="inlineStr">
        <is>
          <t>R1029-v2</t>
        </is>
      </c>
      <c r="F1496" s="34" t="inlineStr">
        <is>
          <t>UNSURE</t>
        </is>
      </c>
      <c r="G1496" s="34" t="inlineStr">
        <is>
          <t>UNSURE</t>
        </is>
      </c>
      <c r="H1496" s="34" t="inlineStr">
        <is>
          <t>APPROVED</t>
        </is>
      </c>
      <c r="I1496" s="34" t="inlineStr">
        <is>
          <t>New</t>
        </is>
      </c>
      <c r="J1496" s="34" t="inlineStr">
        <is>
          <t>Professional decision</t>
        </is>
      </c>
      <c r="K1496" s="34" t="inlineStr">
        <is>
          <t>Maya Chen, Owner Project Controls</t>
        </is>
      </c>
      <c r="L1496" s="14" t="inlineStr"/>
      <c r="M1496" s="14" t="inlineStr"/>
      <c r="N1496" s="92" t="inlineStr">
        <is>
          <t>10 EVIDENCE &amp; DECISIONS</t>
        </is>
      </c>
    </row>
    <row r="1497" ht="34" customHeight="1">
      <c r="A1497" s="34" t="inlineStr">
        <is>
          <t>Contractor Programme</t>
        </is>
      </c>
      <c r="B1497" s="34" t="inlineStr">
        <is>
          <t>SCH-06-130</t>
        </is>
      </c>
      <c r="C1497" s="34" t="inlineStr">
        <is>
          <t>Stations package: design-package integration review - field start</t>
        </is>
      </c>
      <c r="D1497" s="14" t="inlineStr"/>
      <c r="E1497" s="34" t="inlineStr">
        <is>
          <t>R1030-v2</t>
        </is>
      </c>
      <c r="F1497" s="34" t="inlineStr">
        <is>
          <t>UNSURE</t>
        </is>
      </c>
      <c r="G1497" s="34" t="inlineStr">
        <is>
          <t>UNSURE</t>
        </is>
      </c>
      <c r="H1497" s="34" t="inlineStr">
        <is>
          <t>APPROVED</t>
        </is>
      </c>
      <c r="I1497" s="34" t="inlineStr">
        <is>
          <t>New</t>
        </is>
      </c>
      <c r="J1497" s="34" t="inlineStr">
        <is>
          <t>Professional decision</t>
        </is>
      </c>
      <c r="K1497" s="34" t="inlineStr">
        <is>
          <t>Maya Chen, Owner Project Controls</t>
        </is>
      </c>
      <c r="L1497" s="14" t="inlineStr"/>
      <c r="M1497" s="14" t="inlineStr"/>
      <c r="N1497" s="92" t="inlineStr">
        <is>
          <t>10 EVIDENCE &amp; DECISIONS</t>
        </is>
      </c>
    </row>
    <row r="1498" ht="34" customHeight="1">
      <c r="A1498" s="34" t="inlineStr">
        <is>
          <t>Contractor Programme</t>
        </is>
      </c>
      <c r="B1498" s="34" t="inlineStr">
        <is>
          <t>SCH-06-131</t>
        </is>
      </c>
      <c r="C1498" s="34" t="inlineStr">
        <is>
          <t>Systems package: executive reporting close - installation</t>
        </is>
      </c>
      <c r="D1498" s="14" t="inlineStr"/>
      <c r="E1498" s="34" t="inlineStr">
        <is>
          <t>R1031-v2</t>
        </is>
      </c>
      <c r="F1498" s="34" t="inlineStr">
        <is>
          <t>UNSURE</t>
        </is>
      </c>
      <c r="G1498" s="34" t="inlineStr">
        <is>
          <t>UNSURE</t>
        </is>
      </c>
      <c r="H1498" s="34" t="inlineStr">
        <is>
          <t>APPROVED</t>
        </is>
      </c>
      <c r="I1498" s="34" t="inlineStr">
        <is>
          <t>New</t>
        </is>
      </c>
      <c r="J1498" s="34" t="inlineStr">
        <is>
          <t>Professional decision</t>
        </is>
      </c>
      <c r="K1498" s="34" t="inlineStr">
        <is>
          <t>Maya Chen, Owner Project Controls</t>
        </is>
      </c>
      <c r="L1498" s="14" t="inlineStr"/>
      <c r="M1498" s="14" t="inlineStr"/>
      <c r="N1498" s="92" t="inlineStr">
        <is>
          <t>10 EVIDENCE &amp; DECISIONS</t>
        </is>
      </c>
    </row>
    <row r="1499" ht="34" customHeight="1">
      <c r="A1499" s="34" t="inlineStr">
        <is>
          <t>Contractor Programme</t>
        </is>
      </c>
      <c r="B1499" s="34" t="inlineStr">
        <is>
          <t>SCH-06-132</t>
        </is>
      </c>
      <c r="C1499" s="34" t="inlineStr">
        <is>
          <t>Fleet package: permit coordination - inspection</t>
        </is>
      </c>
      <c r="D1499" s="14" t="inlineStr"/>
      <c r="E1499" s="34" t="inlineStr">
        <is>
          <t>R1032-v2</t>
        </is>
      </c>
      <c r="F1499" s="34" t="inlineStr">
        <is>
          <t>UNSURE</t>
        </is>
      </c>
      <c r="G1499" s="34" t="inlineStr">
        <is>
          <t>UNSURE</t>
        </is>
      </c>
      <c r="H1499" s="34" t="inlineStr">
        <is>
          <t>APPROVED</t>
        </is>
      </c>
      <c r="I1499" s="34" t="inlineStr">
        <is>
          <t>New</t>
        </is>
      </c>
      <c r="J1499" s="34" t="inlineStr">
        <is>
          <t>Professional decision</t>
        </is>
      </c>
      <c r="K1499" s="34" t="inlineStr">
        <is>
          <t>Maya Chen, Owner Project Controls</t>
        </is>
      </c>
      <c r="L1499" s="14" t="inlineStr"/>
      <c r="M1499" s="14" t="inlineStr"/>
      <c r="N1499" s="92" t="inlineStr">
        <is>
          <t>10 EVIDENCE &amp; DECISIONS</t>
        </is>
      </c>
    </row>
    <row r="1500" ht="34" customHeight="1">
      <c r="A1500" s="34" t="inlineStr">
        <is>
          <t>Contractor Programme</t>
        </is>
      </c>
      <c r="B1500" s="34" t="inlineStr">
        <is>
          <t>SCH-06-133</t>
        </is>
      </c>
      <c r="C1500" s="34" t="inlineStr">
        <is>
          <t>Program office: delivery risk workshop - turnover</t>
        </is>
      </c>
      <c r="D1500" s="14" t="inlineStr"/>
      <c r="E1500" s="34" t="inlineStr">
        <is>
          <t>R1033-v2</t>
        </is>
      </c>
      <c r="F1500" s="34" t="inlineStr">
        <is>
          <t>UNSURE</t>
        </is>
      </c>
      <c r="G1500" s="34" t="inlineStr">
        <is>
          <t>UNSURE</t>
        </is>
      </c>
      <c r="H1500" s="34" t="inlineStr">
        <is>
          <t>APPROVED</t>
        </is>
      </c>
      <c r="I1500" s="34" t="inlineStr">
        <is>
          <t>New</t>
        </is>
      </c>
      <c r="J1500" s="34" t="inlineStr">
        <is>
          <t>Professional decision</t>
        </is>
      </c>
      <c r="K1500" s="34" t="inlineStr">
        <is>
          <t>Maya Chen, Owner Project Controls</t>
        </is>
      </c>
      <c r="L1500" s="14" t="inlineStr"/>
      <c r="M1500" s="14" t="inlineStr"/>
      <c r="N1500" s="92" t="inlineStr">
        <is>
          <t>10 EVIDENCE &amp; DECISIONS</t>
        </is>
      </c>
    </row>
    <row r="1501" ht="34" customHeight="1">
      <c r="A1501" s="34" t="inlineStr">
        <is>
          <t>Contractor Programme</t>
        </is>
      </c>
      <c r="B1501" s="34" t="inlineStr">
        <is>
          <t>SCH-06-134</t>
        </is>
      </c>
      <c r="C1501" s="34" t="inlineStr">
        <is>
          <t>Civil package: monthly controls cut-off - release</t>
        </is>
      </c>
      <c r="D1501" s="14" t="inlineStr"/>
      <c r="E1501" s="34" t="inlineStr">
        <is>
          <t>R1034-v2</t>
        </is>
      </c>
      <c r="F1501" s="34" t="inlineStr">
        <is>
          <t>UNSURE</t>
        </is>
      </c>
      <c r="G1501" s="34" t="inlineStr">
        <is>
          <t>UNSURE</t>
        </is>
      </c>
      <c r="H1501" s="34" t="inlineStr">
        <is>
          <t>APPROVED</t>
        </is>
      </c>
      <c r="I1501" s="34" t="inlineStr">
        <is>
          <t>New</t>
        </is>
      </c>
      <c r="J1501" s="34" t="inlineStr">
        <is>
          <t>Professional decision</t>
        </is>
      </c>
      <c r="K1501" s="34" t="inlineStr">
        <is>
          <t>Maya Chen, Owner Project Controls</t>
        </is>
      </c>
      <c r="L1501" s="14" t="inlineStr"/>
      <c r="M1501" s="14" t="inlineStr"/>
      <c r="N1501" s="92" t="inlineStr">
        <is>
          <t>10 EVIDENCE &amp; DECISIONS</t>
        </is>
      </c>
    </row>
    <row r="1502" ht="34" customHeight="1">
      <c r="A1502" s="34" t="inlineStr">
        <is>
          <t>Contractor Programme</t>
        </is>
      </c>
      <c r="B1502" s="34" t="inlineStr">
        <is>
          <t>SCH-06-135</t>
        </is>
      </c>
      <c r="C1502" s="34" t="inlineStr">
        <is>
          <t>Stations package: stakeholder interface meeting - field start</t>
        </is>
      </c>
      <c r="D1502" s="14" t="inlineStr"/>
      <c r="E1502" s="34" t="inlineStr">
        <is>
          <t>R1035-v2</t>
        </is>
      </c>
      <c r="F1502" s="34" t="inlineStr">
        <is>
          <t>UNSURE</t>
        </is>
      </c>
      <c r="G1502" s="34" t="inlineStr">
        <is>
          <t>UNSURE</t>
        </is>
      </c>
      <c r="H1502" s="34" t="inlineStr">
        <is>
          <t>APPROVED</t>
        </is>
      </c>
      <c r="I1502" s="34" t="inlineStr">
        <is>
          <t>New</t>
        </is>
      </c>
      <c r="J1502" s="34" t="inlineStr">
        <is>
          <t>Professional decision</t>
        </is>
      </c>
      <c r="K1502" s="34" t="inlineStr">
        <is>
          <t>Maya Chen, Owner Project Controls</t>
        </is>
      </c>
      <c r="L1502" s="14" t="inlineStr"/>
      <c r="M1502" s="14" t="inlineStr"/>
      <c r="N1502" s="92" t="inlineStr">
        <is>
          <t>10 EVIDENCE &amp; DECISIONS</t>
        </is>
      </c>
    </row>
    <row r="1503" ht="34" customHeight="1">
      <c r="A1503" s="34" t="inlineStr">
        <is>
          <t>Contractor Programme</t>
        </is>
      </c>
      <c r="B1503" s="34" t="inlineStr">
        <is>
          <t>SCH-06-136</t>
        </is>
      </c>
      <c r="C1503" s="34" t="inlineStr">
        <is>
          <t>Systems package: baseline change control - installation</t>
        </is>
      </c>
      <c r="D1503" s="14" t="inlineStr"/>
      <c r="E1503" s="34" t="inlineStr">
        <is>
          <t>R1036-v2</t>
        </is>
      </c>
      <c r="F1503" s="34" t="inlineStr">
        <is>
          <t>UNSURE</t>
        </is>
      </c>
      <c r="G1503" s="34" t="inlineStr">
        <is>
          <t>UNSURE</t>
        </is>
      </c>
      <c r="H1503" s="34" t="inlineStr">
        <is>
          <t>APPROVED</t>
        </is>
      </c>
      <c r="I1503" s="34" t="inlineStr">
        <is>
          <t>New</t>
        </is>
      </c>
      <c r="J1503" s="34" t="inlineStr">
        <is>
          <t>Professional decision</t>
        </is>
      </c>
      <c r="K1503" s="34" t="inlineStr">
        <is>
          <t>Maya Chen, Owner Project Controls</t>
        </is>
      </c>
      <c r="L1503" s="14" t="inlineStr"/>
      <c r="M1503" s="14" t="inlineStr"/>
      <c r="N1503" s="92" t="inlineStr">
        <is>
          <t>10 EVIDENCE &amp; DECISIONS</t>
        </is>
      </c>
    </row>
    <row r="1504" ht="34" customHeight="1">
      <c r="A1504" s="34" t="inlineStr">
        <is>
          <t>Contractor Programme</t>
        </is>
      </c>
      <c r="B1504" s="34" t="inlineStr">
        <is>
          <t>SCH-06-137</t>
        </is>
      </c>
      <c r="C1504" s="34" t="inlineStr">
        <is>
          <t>Fleet package: commercial change review - inspection</t>
        </is>
      </c>
      <c r="D1504" s="14" t="inlineStr"/>
      <c r="E1504" s="34" t="inlineStr">
        <is>
          <t>R1037-v2</t>
        </is>
      </c>
      <c r="F1504" s="34" t="inlineStr">
        <is>
          <t>UNSURE</t>
        </is>
      </c>
      <c r="G1504" s="34" t="inlineStr">
        <is>
          <t>UNSURE</t>
        </is>
      </c>
      <c r="H1504" s="34" t="inlineStr">
        <is>
          <t>APPROVED</t>
        </is>
      </c>
      <c r="I1504" s="34" t="inlineStr">
        <is>
          <t>New</t>
        </is>
      </c>
      <c r="J1504" s="34" t="inlineStr">
        <is>
          <t>Professional decision</t>
        </is>
      </c>
      <c r="K1504" s="34" t="inlineStr">
        <is>
          <t>Maya Chen, Owner Project Controls</t>
        </is>
      </c>
      <c r="L1504" s="14" t="inlineStr"/>
      <c r="M1504" s="14" t="inlineStr"/>
      <c r="N1504" s="92" t="inlineStr">
        <is>
          <t>10 EVIDENCE &amp; DECISIONS</t>
        </is>
      </c>
    </row>
    <row r="1505" ht="34" customHeight="1">
      <c r="A1505" s="34" t="inlineStr">
        <is>
          <t>Contractor Programme</t>
        </is>
      </c>
      <c r="B1505" s="34" t="inlineStr">
        <is>
          <t>SCH-06-138</t>
        </is>
      </c>
      <c r="C1505" s="34" t="inlineStr">
        <is>
          <t>Program office: design-package integration review - turnover</t>
        </is>
      </c>
      <c r="D1505" s="14" t="inlineStr"/>
      <c r="E1505" s="34" t="inlineStr">
        <is>
          <t>R1038-v2</t>
        </is>
      </c>
      <c r="F1505" s="34" t="inlineStr">
        <is>
          <t>UNSURE</t>
        </is>
      </c>
      <c r="G1505" s="34" t="inlineStr">
        <is>
          <t>UNSURE</t>
        </is>
      </c>
      <c r="H1505" s="34" t="inlineStr">
        <is>
          <t>APPROVED</t>
        </is>
      </c>
      <c r="I1505" s="34" t="inlineStr">
        <is>
          <t>New</t>
        </is>
      </c>
      <c r="J1505" s="34" t="inlineStr">
        <is>
          <t>Professional decision</t>
        </is>
      </c>
      <c r="K1505" s="34" t="inlineStr">
        <is>
          <t>Maya Chen, Owner Project Controls</t>
        </is>
      </c>
      <c r="L1505" s="14" t="inlineStr"/>
      <c r="M1505" s="14" t="inlineStr"/>
      <c r="N1505" s="92" t="inlineStr">
        <is>
          <t>10 EVIDENCE &amp; DECISIONS</t>
        </is>
      </c>
    </row>
    <row r="1506" ht="34" customHeight="1">
      <c r="A1506" s="34" t="inlineStr">
        <is>
          <t>Contractor Programme</t>
        </is>
      </c>
      <c r="B1506" s="34" t="inlineStr">
        <is>
          <t>SCH-06-139</t>
        </is>
      </c>
      <c r="C1506" s="34" t="inlineStr">
        <is>
          <t>Civil package: executive reporting close - release</t>
        </is>
      </c>
      <c r="D1506" s="14" t="inlineStr"/>
      <c r="E1506" s="34" t="inlineStr">
        <is>
          <t>R1039-v2</t>
        </is>
      </c>
      <c r="F1506" s="34" t="inlineStr">
        <is>
          <t>UNSURE</t>
        </is>
      </c>
      <c r="G1506" s="34" t="inlineStr">
        <is>
          <t>UNSURE</t>
        </is>
      </c>
      <c r="H1506" s="34" t="inlineStr">
        <is>
          <t>APPROVED</t>
        </is>
      </c>
      <c r="I1506" s="34" t="inlineStr">
        <is>
          <t>New</t>
        </is>
      </c>
      <c r="J1506" s="34" t="inlineStr">
        <is>
          <t>Professional decision</t>
        </is>
      </c>
      <c r="K1506" s="34" t="inlineStr">
        <is>
          <t>Maya Chen, Owner Project Controls</t>
        </is>
      </c>
      <c r="L1506" s="14" t="inlineStr"/>
      <c r="M1506" s="14" t="inlineStr"/>
      <c r="N1506" s="92" t="inlineStr">
        <is>
          <t>10 EVIDENCE &amp; DECISIONS</t>
        </is>
      </c>
    </row>
    <row r="1507" ht="34" customHeight="1">
      <c r="A1507" s="34" t="inlineStr">
        <is>
          <t>Contractor Programme</t>
        </is>
      </c>
      <c r="B1507" s="34" t="inlineStr">
        <is>
          <t>SCH-06-140</t>
        </is>
      </c>
      <c r="C1507" s="34" t="inlineStr">
        <is>
          <t>Stations package: permit coordination - field start</t>
        </is>
      </c>
      <c r="D1507" s="14" t="inlineStr"/>
      <c r="E1507" s="34" t="inlineStr">
        <is>
          <t>R1040-v2</t>
        </is>
      </c>
      <c r="F1507" s="34" t="inlineStr">
        <is>
          <t>UNSURE</t>
        </is>
      </c>
      <c r="G1507" s="34" t="inlineStr">
        <is>
          <t>UNSURE</t>
        </is>
      </c>
      <c r="H1507" s="34" t="inlineStr">
        <is>
          <t>APPROVED</t>
        </is>
      </c>
      <c r="I1507" s="34" t="inlineStr">
        <is>
          <t>New</t>
        </is>
      </c>
      <c r="J1507" s="34" t="inlineStr">
        <is>
          <t>Professional decision</t>
        </is>
      </c>
      <c r="K1507" s="34" t="inlineStr">
        <is>
          <t>Maya Chen, Owner Project Controls</t>
        </is>
      </c>
      <c r="L1507" s="14" t="inlineStr"/>
      <c r="M1507" s="14" t="inlineStr"/>
      <c r="N1507" s="92" t="inlineStr">
        <is>
          <t>10 EVIDENCE &amp; DECISIONS</t>
        </is>
      </c>
    </row>
    <row r="1508" ht="34" customHeight="1">
      <c r="A1508" s="34" t="inlineStr">
        <is>
          <t>Contractor Programme</t>
        </is>
      </c>
      <c r="B1508" s="34" t="inlineStr">
        <is>
          <t>SCH-06-141</t>
        </is>
      </c>
      <c r="C1508" s="34" t="inlineStr">
        <is>
          <t>Systems package: delivery risk workshop - installation</t>
        </is>
      </c>
      <c r="D1508" s="14" t="inlineStr"/>
      <c r="E1508" s="34" t="inlineStr">
        <is>
          <t>R1041-v2</t>
        </is>
      </c>
      <c r="F1508" s="34" t="inlineStr">
        <is>
          <t>UNSURE</t>
        </is>
      </c>
      <c r="G1508" s="34" t="inlineStr">
        <is>
          <t>UNSURE</t>
        </is>
      </c>
      <c r="H1508" s="34" t="inlineStr">
        <is>
          <t>APPROVED</t>
        </is>
      </c>
      <c r="I1508" s="34" t="inlineStr">
        <is>
          <t>New</t>
        </is>
      </c>
      <c r="J1508" s="34" t="inlineStr">
        <is>
          <t>Professional decision</t>
        </is>
      </c>
      <c r="K1508" s="34" t="inlineStr">
        <is>
          <t>Maya Chen, Owner Project Controls</t>
        </is>
      </c>
      <c r="L1508" s="14" t="inlineStr"/>
      <c r="M1508" s="14" t="inlineStr"/>
      <c r="N1508" s="92" t="inlineStr">
        <is>
          <t>10 EVIDENCE &amp; DECISIONS</t>
        </is>
      </c>
    </row>
    <row r="1509" ht="34" customHeight="1">
      <c r="A1509" s="34" t="inlineStr">
        <is>
          <t>Contractor Programme</t>
        </is>
      </c>
      <c r="B1509" s="34" t="inlineStr">
        <is>
          <t>SCH-06-142</t>
        </is>
      </c>
      <c r="C1509" s="34" t="inlineStr">
        <is>
          <t>Fleet package: monthly controls cut-off - inspection</t>
        </is>
      </c>
      <c r="D1509" s="14" t="inlineStr"/>
      <c r="E1509" s="34" t="inlineStr">
        <is>
          <t>R1042-v2</t>
        </is>
      </c>
      <c r="F1509" s="34" t="inlineStr">
        <is>
          <t>UNSURE</t>
        </is>
      </c>
      <c r="G1509" s="34" t="inlineStr">
        <is>
          <t>UNSURE</t>
        </is>
      </c>
      <c r="H1509" s="34" t="inlineStr">
        <is>
          <t>APPROVED</t>
        </is>
      </c>
      <c r="I1509" s="34" t="inlineStr">
        <is>
          <t>New</t>
        </is>
      </c>
      <c r="J1509" s="34" t="inlineStr">
        <is>
          <t>Professional decision</t>
        </is>
      </c>
      <c r="K1509" s="34" t="inlineStr">
        <is>
          <t>Maya Chen, Owner Project Controls</t>
        </is>
      </c>
      <c r="L1509" s="14" t="inlineStr"/>
      <c r="M1509" s="14" t="inlineStr"/>
      <c r="N1509" s="92" t="inlineStr">
        <is>
          <t>10 EVIDENCE &amp; DECISIONS</t>
        </is>
      </c>
    </row>
    <row r="1510" ht="34" customHeight="1">
      <c r="A1510" s="34" t="inlineStr">
        <is>
          <t>Contractor Programme</t>
        </is>
      </c>
      <c r="B1510" s="34" t="inlineStr">
        <is>
          <t>SCH-06-143</t>
        </is>
      </c>
      <c r="C1510" s="34" t="inlineStr">
        <is>
          <t>Program office: stakeholder interface meeting - turnover</t>
        </is>
      </c>
      <c r="D1510" s="14" t="inlineStr"/>
      <c r="E1510" s="34" t="inlineStr">
        <is>
          <t>R1043-v2</t>
        </is>
      </c>
      <c r="F1510" s="34" t="inlineStr">
        <is>
          <t>UNSURE</t>
        </is>
      </c>
      <c r="G1510" s="34" t="inlineStr">
        <is>
          <t>UNSURE</t>
        </is>
      </c>
      <c r="H1510" s="34" t="inlineStr">
        <is>
          <t>APPROVED</t>
        </is>
      </c>
      <c r="I1510" s="34" t="inlineStr">
        <is>
          <t>New</t>
        </is>
      </c>
      <c r="J1510" s="34" t="inlineStr">
        <is>
          <t>Professional decision</t>
        </is>
      </c>
      <c r="K1510" s="34" t="inlineStr">
        <is>
          <t>Maya Chen, Owner Project Controls</t>
        </is>
      </c>
      <c r="L1510" s="14" t="inlineStr"/>
      <c r="M1510" s="14" t="inlineStr"/>
      <c r="N1510" s="92" t="inlineStr">
        <is>
          <t>10 EVIDENCE &amp; DECISIONS</t>
        </is>
      </c>
    </row>
    <row r="1511" ht="34" customHeight="1">
      <c r="A1511" s="34" t="inlineStr">
        <is>
          <t>Contractor Programme</t>
        </is>
      </c>
      <c r="B1511" s="34" t="inlineStr">
        <is>
          <t>SCH-06-144</t>
        </is>
      </c>
      <c r="C1511" s="34" t="inlineStr">
        <is>
          <t>Civil package: baseline change control - release</t>
        </is>
      </c>
      <c r="D1511" s="14" t="inlineStr"/>
      <c r="E1511" s="34" t="inlineStr">
        <is>
          <t>R1044-v2</t>
        </is>
      </c>
      <c r="F1511" s="34" t="inlineStr">
        <is>
          <t>UNSURE</t>
        </is>
      </c>
      <c r="G1511" s="34" t="inlineStr">
        <is>
          <t>UNSURE</t>
        </is>
      </c>
      <c r="H1511" s="34" t="inlineStr">
        <is>
          <t>APPROVED</t>
        </is>
      </c>
      <c r="I1511" s="34" t="inlineStr">
        <is>
          <t>New</t>
        </is>
      </c>
      <c r="J1511" s="34" t="inlineStr">
        <is>
          <t>Professional decision</t>
        </is>
      </c>
      <c r="K1511" s="34" t="inlineStr">
        <is>
          <t>Maya Chen, Owner Project Controls</t>
        </is>
      </c>
      <c r="L1511" s="14" t="inlineStr"/>
      <c r="M1511" s="14" t="inlineStr"/>
      <c r="N1511" s="92" t="inlineStr">
        <is>
          <t>10 EVIDENCE &amp; DECISIONS</t>
        </is>
      </c>
    </row>
    <row r="1512" ht="34" customHeight="1">
      <c r="A1512" s="34" t="inlineStr">
        <is>
          <t>Contractor Programme</t>
        </is>
      </c>
      <c r="B1512" s="34" t="inlineStr">
        <is>
          <t>SCH-06-145</t>
        </is>
      </c>
      <c r="C1512" s="34" t="inlineStr">
        <is>
          <t>Stations package: commercial change review - field start</t>
        </is>
      </c>
      <c r="D1512" s="14" t="inlineStr"/>
      <c r="E1512" s="34" t="inlineStr">
        <is>
          <t>R1045-v2</t>
        </is>
      </c>
      <c r="F1512" s="34" t="inlineStr">
        <is>
          <t>UNSURE</t>
        </is>
      </c>
      <c r="G1512" s="34" t="inlineStr">
        <is>
          <t>UNSURE</t>
        </is>
      </c>
      <c r="H1512" s="34" t="inlineStr">
        <is>
          <t>APPROVED</t>
        </is>
      </c>
      <c r="I1512" s="34" t="inlineStr">
        <is>
          <t>New</t>
        </is>
      </c>
      <c r="J1512" s="34" t="inlineStr">
        <is>
          <t>Professional decision</t>
        </is>
      </c>
      <c r="K1512" s="34" t="inlineStr">
        <is>
          <t>Maya Chen, Owner Project Controls</t>
        </is>
      </c>
      <c r="L1512" s="14" t="inlineStr"/>
      <c r="M1512" s="14" t="inlineStr"/>
      <c r="N1512" s="92" t="inlineStr">
        <is>
          <t>10 EVIDENCE &amp; DECISIONS</t>
        </is>
      </c>
    </row>
    <row r="1513" ht="34" customHeight="1">
      <c r="A1513" s="34" t="inlineStr">
        <is>
          <t>Contractor Programme</t>
        </is>
      </c>
      <c r="B1513" s="34" t="inlineStr">
        <is>
          <t>SCH-06-146</t>
        </is>
      </c>
      <c r="C1513" s="34" t="inlineStr">
        <is>
          <t>Systems package: design-package integration review - installation</t>
        </is>
      </c>
      <c r="D1513" s="14" t="inlineStr"/>
      <c r="E1513" s="34" t="inlineStr">
        <is>
          <t>R1046-v2</t>
        </is>
      </c>
      <c r="F1513" s="34" t="inlineStr">
        <is>
          <t>UNSURE</t>
        </is>
      </c>
      <c r="G1513" s="34" t="inlineStr">
        <is>
          <t>UNSURE</t>
        </is>
      </c>
      <c r="H1513" s="34" t="inlineStr">
        <is>
          <t>APPROVED</t>
        </is>
      </c>
      <c r="I1513" s="34" t="inlineStr">
        <is>
          <t>New</t>
        </is>
      </c>
      <c r="J1513" s="34" t="inlineStr">
        <is>
          <t>Professional decision</t>
        </is>
      </c>
      <c r="K1513" s="34" t="inlineStr">
        <is>
          <t>Maya Chen, Owner Project Controls</t>
        </is>
      </c>
      <c r="L1513" s="14" t="inlineStr"/>
      <c r="M1513" s="14" t="inlineStr"/>
      <c r="N1513" s="92" t="inlineStr">
        <is>
          <t>10 EVIDENCE &amp; DECISIONS</t>
        </is>
      </c>
    </row>
    <row r="1514" ht="34" customHeight="1">
      <c r="A1514" s="34" t="inlineStr">
        <is>
          <t>Contractor Programme</t>
        </is>
      </c>
      <c r="B1514" s="34" t="inlineStr">
        <is>
          <t>SCH-06-147</t>
        </is>
      </c>
      <c r="C1514" s="34" t="inlineStr">
        <is>
          <t>Fleet package: executive reporting close - inspection</t>
        </is>
      </c>
      <c r="D1514" s="14" t="inlineStr"/>
      <c r="E1514" s="34" t="inlineStr">
        <is>
          <t>R1047-v2</t>
        </is>
      </c>
      <c r="F1514" s="34" t="inlineStr">
        <is>
          <t>UNSURE</t>
        </is>
      </c>
      <c r="G1514" s="34" t="inlineStr">
        <is>
          <t>UNSURE</t>
        </is>
      </c>
      <c r="H1514" s="34" t="inlineStr">
        <is>
          <t>APPROVED</t>
        </is>
      </c>
      <c r="I1514" s="34" t="inlineStr">
        <is>
          <t>New</t>
        </is>
      </c>
      <c r="J1514" s="34" t="inlineStr">
        <is>
          <t>Professional decision</t>
        </is>
      </c>
      <c r="K1514" s="34" t="inlineStr">
        <is>
          <t>Maya Chen, Owner Project Controls</t>
        </is>
      </c>
      <c r="L1514" s="14" t="inlineStr"/>
      <c r="M1514" s="14" t="inlineStr"/>
      <c r="N1514" s="92" t="inlineStr">
        <is>
          <t>10 EVIDENCE &amp; DECISIONS</t>
        </is>
      </c>
    </row>
    <row r="1515" ht="34" customHeight="1">
      <c r="A1515" s="34" t="inlineStr">
        <is>
          <t>Contractor Programme</t>
        </is>
      </c>
      <c r="B1515" s="34" t="inlineStr">
        <is>
          <t>SCH-06-148</t>
        </is>
      </c>
      <c r="C1515" s="34" t="inlineStr">
        <is>
          <t>Program office: permit coordination - turnover</t>
        </is>
      </c>
      <c r="D1515" s="14" t="inlineStr"/>
      <c r="E1515" s="34" t="inlineStr">
        <is>
          <t>R1048-v2</t>
        </is>
      </c>
      <c r="F1515" s="34" t="inlineStr">
        <is>
          <t>UNSURE</t>
        </is>
      </c>
      <c r="G1515" s="34" t="inlineStr">
        <is>
          <t>UNSURE</t>
        </is>
      </c>
      <c r="H1515" s="34" t="inlineStr">
        <is>
          <t>APPROVED</t>
        </is>
      </c>
      <c r="I1515" s="34" t="inlineStr">
        <is>
          <t>New</t>
        </is>
      </c>
      <c r="J1515" s="34" t="inlineStr">
        <is>
          <t>Professional decision</t>
        </is>
      </c>
      <c r="K1515" s="34" t="inlineStr">
        <is>
          <t>Maya Chen, Owner Project Controls</t>
        </is>
      </c>
      <c r="L1515" s="14" t="inlineStr"/>
      <c r="M1515" s="14" t="inlineStr"/>
      <c r="N1515" s="92" t="inlineStr">
        <is>
          <t>10 EVIDENCE &amp; DECISIONS</t>
        </is>
      </c>
    </row>
    <row r="1516" ht="34" customHeight="1">
      <c r="A1516" s="34" t="inlineStr">
        <is>
          <t>Contractor Programme</t>
        </is>
      </c>
      <c r="B1516" s="34" t="inlineStr">
        <is>
          <t>SCH-06-149</t>
        </is>
      </c>
      <c r="C1516" s="34" t="inlineStr">
        <is>
          <t>Civil package: delivery risk workshop - release</t>
        </is>
      </c>
      <c r="D1516" s="14" t="inlineStr"/>
      <c r="E1516" s="34" t="inlineStr">
        <is>
          <t>R1049-v2</t>
        </is>
      </c>
      <c r="F1516" s="34" t="inlineStr">
        <is>
          <t>UNSURE</t>
        </is>
      </c>
      <c r="G1516" s="34" t="inlineStr">
        <is>
          <t>UNSURE</t>
        </is>
      </c>
      <c r="H1516" s="34" t="inlineStr">
        <is>
          <t>APPROVED</t>
        </is>
      </c>
      <c r="I1516" s="34" t="inlineStr">
        <is>
          <t>New</t>
        </is>
      </c>
      <c r="J1516" s="34" t="inlineStr">
        <is>
          <t>Professional decision</t>
        </is>
      </c>
      <c r="K1516" s="34" t="inlineStr">
        <is>
          <t>Maya Chen, Owner Project Controls</t>
        </is>
      </c>
      <c r="L1516" s="14" t="inlineStr"/>
      <c r="M1516" s="14" t="inlineStr"/>
      <c r="N1516" s="92" t="inlineStr">
        <is>
          <t>10 EVIDENCE &amp; DECISIONS</t>
        </is>
      </c>
    </row>
    <row r="1517" ht="34" customHeight="1">
      <c r="A1517" s="34" t="inlineStr">
        <is>
          <t>Contractor Programme</t>
        </is>
      </c>
      <c r="B1517" s="34" t="inlineStr">
        <is>
          <t>SCH-06-150</t>
        </is>
      </c>
      <c r="C1517" s="34" t="inlineStr">
        <is>
          <t>Stations package: monthly controls cut-off - field start</t>
        </is>
      </c>
      <c r="D1517" s="14" t="inlineStr"/>
      <c r="E1517" s="34" t="inlineStr">
        <is>
          <t>R1050-v2</t>
        </is>
      </c>
      <c r="F1517" s="34" t="inlineStr">
        <is>
          <t>UNSURE</t>
        </is>
      </c>
      <c r="G1517" s="34" t="inlineStr">
        <is>
          <t>UNSURE</t>
        </is>
      </c>
      <c r="H1517" s="34" t="inlineStr">
        <is>
          <t>APPROVED</t>
        </is>
      </c>
      <c r="I1517" s="34" t="inlineStr">
        <is>
          <t>New</t>
        </is>
      </c>
      <c r="J1517" s="34" t="inlineStr">
        <is>
          <t>Professional decision</t>
        </is>
      </c>
      <c r="K1517" s="34" t="inlineStr">
        <is>
          <t>Maya Chen, Owner Project Controls</t>
        </is>
      </c>
      <c r="L1517" s="14" t="inlineStr"/>
      <c r="M1517" s="14" t="inlineStr"/>
      <c r="N1517" s="92" t="inlineStr">
        <is>
          <t>10 EVIDENCE &amp; DECISIONS</t>
        </is>
      </c>
    </row>
    <row r="1518" ht="34" customHeight="1">
      <c r="A1518" s="34" t="inlineStr">
        <is>
          <t>Contractor Programme</t>
        </is>
      </c>
      <c r="B1518" s="34" t="inlineStr">
        <is>
          <t>SCH-06-151</t>
        </is>
      </c>
      <c r="C1518" s="34" t="inlineStr">
        <is>
          <t>Systems package: stakeholder interface meeting - installation</t>
        </is>
      </c>
      <c r="D1518" s="14" t="inlineStr"/>
      <c r="E1518" s="34" t="inlineStr">
        <is>
          <t>R1051-v2</t>
        </is>
      </c>
      <c r="F1518" s="34" t="inlineStr">
        <is>
          <t>UNSURE</t>
        </is>
      </c>
      <c r="G1518" s="34" t="inlineStr">
        <is>
          <t>UNSURE</t>
        </is>
      </c>
      <c r="H1518" s="34" t="inlineStr">
        <is>
          <t>APPROVED</t>
        </is>
      </c>
      <c r="I1518" s="34" t="inlineStr">
        <is>
          <t>New</t>
        </is>
      </c>
      <c r="J1518" s="34" t="inlineStr">
        <is>
          <t>Professional decision</t>
        </is>
      </c>
      <c r="K1518" s="34" t="inlineStr">
        <is>
          <t>Maya Chen, Owner Project Controls</t>
        </is>
      </c>
      <c r="L1518" s="14" t="inlineStr"/>
      <c r="M1518" s="14" t="inlineStr"/>
      <c r="N1518" s="92" t="inlineStr">
        <is>
          <t>10 EVIDENCE &amp; DECISIONS</t>
        </is>
      </c>
    </row>
    <row r="1519" ht="34" customHeight="1">
      <c r="A1519" s="34" t="inlineStr">
        <is>
          <t>Contractor Programme</t>
        </is>
      </c>
      <c r="B1519" s="34" t="inlineStr">
        <is>
          <t>SCH-06-152</t>
        </is>
      </c>
      <c r="C1519" s="34" t="inlineStr">
        <is>
          <t>Fleet package: baseline change control - inspection</t>
        </is>
      </c>
      <c r="D1519" s="14" t="inlineStr"/>
      <c r="E1519" s="34" t="inlineStr">
        <is>
          <t>R1052-v2</t>
        </is>
      </c>
      <c r="F1519" s="34" t="inlineStr">
        <is>
          <t>UNSURE</t>
        </is>
      </c>
      <c r="G1519" s="34" t="inlineStr">
        <is>
          <t>UNSURE</t>
        </is>
      </c>
      <c r="H1519" s="34" t="inlineStr">
        <is>
          <t>APPROVED</t>
        </is>
      </c>
      <c r="I1519" s="34" t="inlineStr">
        <is>
          <t>New</t>
        </is>
      </c>
      <c r="J1519" s="34" t="inlineStr">
        <is>
          <t>Professional decision</t>
        </is>
      </c>
      <c r="K1519" s="34" t="inlineStr">
        <is>
          <t>Maya Chen, Owner Project Controls</t>
        </is>
      </c>
      <c r="L1519" s="14" t="inlineStr"/>
      <c r="M1519" s="14" t="inlineStr"/>
      <c r="N1519" s="92" t="inlineStr">
        <is>
          <t>10 EVIDENCE &amp; DECISIONS</t>
        </is>
      </c>
    </row>
    <row r="1520" ht="34" customHeight="1">
      <c r="A1520" s="34" t="inlineStr">
        <is>
          <t>Contractor Programme</t>
        </is>
      </c>
      <c r="B1520" s="34" t="inlineStr">
        <is>
          <t>SCH-06-153</t>
        </is>
      </c>
      <c r="C1520" s="34" t="inlineStr">
        <is>
          <t>Program office: commercial change review - turnover</t>
        </is>
      </c>
      <c r="D1520" s="14" t="inlineStr"/>
      <c r="E1520" s="34" t="inlineStr">
        <is>
          <t>R1053-v2</t>
        </is>
      </c>
      <c r="F1520" s="34" t="inlineStr">
        <is>
          <t>UNSURE</t>
        </is>
      </c>
      <c r="G1520" s="34" t="inlineStr">
        <is>
          <t>UNSURE</t>
        </is>
      </c>
      <c r="H1520" s="34" t="inlineStr">
        <is>
          <t>APPROVED</t>
        </is>
      </c>
      <c r="I1520" s="34" t="inlineStr">
        <is>
          <t>New</t>
        </is>
      </c>
      <c r="J1520" s="34" t="inlineStr">
        <is>
          <t>Professional decision</t>
        </is>
      </c>
      <c r="K1520" s="34" t="inlineStr">
        <is>
          <t>Maya Chen, Owner Project Controls</t>
        </is>
      </c>
      <c r="L1520" s="14" t="inlineStr"/>
      <c r="M1520" s="14" t="inlineStr"/>
      <c r="N1520" s="92" t="inlineStr">
        <is>
          <t>10 EVIDENCE &amp; DECISIONS</t>
        </is>
      </c>
    </row>
    <row r="1521" ht="34" customHeight="1">
      <c r="A1521" s="34" t="inlineStr">
        <is>
          <t>Contractor Programme</t>
        </is>
      </c>
      <c r="B1521" s="34" t="inlineStr">
        <is>
          <t>SCH-06-154</t>
        </is>
      </c>
      <c r="C1521" s="34" t="inlineStr">
        <is>
          <t>Civil package: design-package integration review - release</t>
        </is>
      </c>
      <c r="D1521" s="14" t="inlineStr"/>
      <c r="E1521" s="34" t="inlineStr">
        <is>
          <t>R1054-v2</t>
        </is>
      </c>
      <c r="F1521" s="34" t="inlineStr">
        <is>
          <t>UNSURE</t>
        </is>
      </c>
      <c r="G1521" s="34" t="inlineStr">
        <is>
          <t>UNSURE</t>
        </is>
      </c>
      <c r="H1521" s="34" t="inlineStr">
        <is>
          <t>APPROVED</t>
        </is>
      </c>
      <c r="I1521" s="34" t="inlineStr">
        <is>
          <t>New</t>
        </is>
      </c>
      <c r="J1521" s="34" t="inlineStr">
        <is>
          <t>Professional decision</t>
        </is>
      </c>
      <c r="K1521" s="34" t="inlineStr">
        <is>
          <t>Maya Chen, Owner Project Controls</t>
        </is>
      </c>
      <c r="L1521" s="14" t="inlineStr"/>
      <c r="M1521" s="14" t="inlineStr"/>
      <c r="N1521" s="92" t="inlineStr">
        <is>
          <t>10 EVIDENCE &amp; DECISIONS</t>
        </is>
      </c>
    </row>
    <row r="1522" ht="34" customHeight="1">
      <c r="A1522" s="34" t="inlineStr">
        <is>
          <t>Contractor Programme</t>
        </is>
      </c>
      <c r="B1522" s="34" t="inlineStr">
        <is>
          <t>SCH-06-155</t>
        </is>
      </c>
      <c r="C1522" s="34" t="inlineStr">
        <is>
          <t>Stations package: executive reporting close - field start</t>
        </is>
      </c>
      <c r="D1522" s="14" t="inlineStr"/>
      <c r="E1522" s="34" t="inlineStr">
        <is>
          <t>R1055-v2</t>
        </is>
      </c>
      <c r="F1522" s="34" t="inlineStr">
        <is>
          <t>UNSURE</t>
        </is>
      </c>
      <c r="G1522" s="34" t="inlineStr">
        <is>
          <t>UNSURE</t>
        </is>
      </c>
      <c r="H1522" s="34" t="inlineStr">
        <is>
          <t>APPROVED</t>
        </is>
      </c>
      <c r="I1522" s="34" t="inlineStr">
        <is>
          <t>New</t>
        </is>
      </c>
      <c r="J1522" s="34" t="inlineStr">
        <is>
          <t>Professional decision</t>
        </is>
      </c>
      <c r="K1522" s="34" t="inlineStr">
        <is>
          <t>Maya Chen, Owner Project Controls</t>
        </is>
      </c>
      <c r="L1522" s="14" t="inlineStr"/>
      <c r="M1522" s="14" t="inlineStr"/>
      <c r="N1522" s="92" t="inlineStr">
        <is>
          <t>10 EVIDENCE &amp; DECISIONS</t>
        </is>
      </c>
    </row>
    <row r="1523" ht="34" customHeight="1">
      <c r="A1523" s="34" t="inlineStr">
        <is>
          <t>Contractor Programme</t>
        </is>
      </c>
      <c r="B1523" s="34" t="inlineStr">
        <is>
          <t>SCH-06-156</t>
        </is>
      </c>
      <c r="C1523" s="34" t="inlineStr">
        <is>
          <t>Systems package: permit coordination - installation</t>
        </is>
      </c>
      <c r="D1523" s="14" t="inlineStr"/>
      <c r="E1523" s="34" t="inlineStr">
        <is>
          <t>R1056-v2</t>
        </is>
      </c>
      <c r="F1523" s="34" t="inlineStr">
        <is>
          <t>UNSURE</t>
        </is>
      </c>
      <c r="G1523" s="34" t="inlineStr">
        <is>
          <t>UNSURE</t>
        </is>
      </c>
      <c r="H1523" s="34" t="inlineStr">
        <is>
          <t>APPROVED</t>
        </is>
      </c>
      <c r="I1523" s="34" t="inlineStr">
        <is>
          <t>New</t>
        </is>
      </c>
      <c r="J1523" s="34" t="inlineStr">
        <is>
          <t>Professional decision</t>
        </is>
      </c>
      <c r="K1523" s="34" t="inlineStr">
        <is>
          <t>Maya Chen, Owner Project Controls</t>
        </is>
      </c>
      <c r="L1523" s="14" t="inlineStr"/>
      <c r="M1523" s="14" t="inlineStr"/>
      <c r="N1523" s="92" t="inlineStr">
        <is>
          <t>10 EVIDENCE &amp; DECISIONS</t>
        </is>
      </c>
    </row>
    <row r="1524" ht="34" customHeight="1">
      <c r="A1524" s="34" t="inlineStr">
        <is>
          <t>Contractor Programme</t>
        </is>
      </c>
      <c r="B1524" s="34" t="inlineStr">
        <is>
          <t>SCH-06-157</t>
        </is>
      </c>
      <c r="C1524" s="34" t="inlineStr">
        <is>
          <t>Fleet package: delivery risk workshop - inspection</t>
        </is>
      </c>
      <c r="D1524" s="14" t="inlineStr"/>
      <c r="E1524" s="34" t="inlineStr">
        <is>
          <t>R1057-v2</t>
        </is>
      </c>
      <c r="F1524" s="34" t="inlineStr">
        <is>
          <t>UNSURE</t>
        </is>
      </c>
      <c r="G1524" s="34" t="inlineStr">
        <is>
          <t>UNSURE</t>
        </is>
      </c>
      <c r="H1524" s="34" t="inlineStr">
        <is>
          <t>APPROVED</t>
        </is>
      </c>
      <c r="I1524" s="34" t="inlineStr">
        <is>
          <t>New</t>
        </is>
      </c>
      <c r="J1524" s="34" t="inlineStr">
        <is>
          <t>Professional decision</t>
        </is>
      </c>
      <c r="K1524" s="34" t="inlineStr">
        <is>
          <t>Maya Chen, Owner Project Controls</t>
        </is>
      </c>
      <c r="L1524" s="14" t="inlineStr"/>
      <c r="M1524" s="14" t="inlineStr"/>
      <c r="N1524" s="92" t="inlineStr">
        <is>
          <t>10 EVIDENCE &amp; DECISIONS</t>
        </is>
      </c>
    </row>
    <row r="1525" ht="34" customHeight="1">
      <c r="A1525" s="34" t="inlineStr">
        <is>
          <t>Contractor Programme</t>
        </is>
      </c>
      <c r="B1525" s="34" t="inlineStr">
        <is>
          <t>SCH-06-158</t>
        </is>
      </c>
      <c r="C1525" s="34" t="inlineStr">
        <is>
          <t>Program office: monthly controls cut-off - turnover</t>
        </is>
      </c>
      <c r="D1525" s="14" t="inlineStr"/>
      <c r="E1525" s="34" t="inlineStr">
        <is>
          <t>R1058-v2</t>
        </is>
      </c>
      <c r="F1525" s="34" t="inlineStr">
        <is>
          <t>UNSURE</t>
        </is>
      </c>
      <c r="G1525" s="34" t="inlineStr">
        <is>
          <t>UNSURE</t>
        </is>
      </c>
      <c r="H1525" s="34" t="inlineStr">
        <is>
          <t>APPROVED</t>
        </is>
      </c>
      <c r="I1525" s="34" t="inlineStr">
        <is>
          <t>New</t>
        </is>
      </c>
      <c r="J1525" s="34" t="inlineStr">
        <is>
          <t>Professional decision</t>
        </is>
      </c>
      <c r="K1525" s="34" t="inlineStr">
        <is>
          <t>Maya Chen, Owner Project Controls</t>
        </is>
      </c>
      <c r="L1525" s="14" t="inlineStr"/>
      <c r="M1525" s="14" t="inlineStr"/>
      <c r="N1525" s="92" t="inlineStr">
        <is>
          <t>10 EVIDENCE &amp; DECISIONS</t>
        </is>
      </c>
    </row>
    <row r="1526" ht="34" customHeight="1">
      <c r="A1526" s="34" t="inlineStr">
        <is>
          <t>Contractor Programme</t>
        </is>
      </c>
      <c r="B1526" s="34" t="inlineStr">
        <is>
          <t>SCH-06-159</t>
        </is>
      </c>
      <c r="C1526" s="34" t="inlineStr">
        <is>
          <t>Civil package: stakeholder interface meeting - release</t>
        </is>
      </c>
      <c r="D1526" s="14" t="inlineStr"/>
      <c r="E1526" s="34" t="inlineStr">
        <is>
          <t>R1059-v2</t>
        </is>
      </c>
      <c r="F1526" s="34" t="inlineStr">
        <is>
          <t>UNSURE</t>
        </is>
      </c>
      <c r="G1526" s="34" t="inlineStr">
        <is>
          <t>UNSURE</t>
        </is>
      </c>
      <c r="H1526" s="34" t="inlineStr">
        <is>
          <t>APPROVED</t>
        </is>
      </c>
      <c r="I1526" s="34" t="inlineStr">
        <is>
          <t>New</t>
        </is>
      </c>
      <c r="J1526" s="34" t="inlineStr">
        <is>
          <t>Professional decision</t>
        </is>
      </c>
      <c r="K1526" s="34" t="inlineStr">
        <is>
          <t>Maya Chen, Owner Project Controls</t>
        </is>
      </c>
      <c r="L1526" s="14" t="inlineStr"/>
      <c r="M1526" s="14" t="inlineStr"/>
      <c r="N1526" s="92" t="inlineStr">
        <is>
          <t>10 EVIDENCE &amp; DECISIONS</t>
        </is>
      </c>
    </row>
    <row r="1527" ht="34" customHeight="1">
      <c r="A1527" s="34" t="inlineStr">
        <is>
          <t>Contractor Programme</t>
        </is>
      </c>
      <c r="B1527" s="34" t="inlineStr">
        <is>
          <t>SCH-06-160</t>
        </is>
      </c>
      <c r="C1527" s="34" t="inlineStr">
        <is>
          <t>Stations package: baseline change control - field start</t>
        </is>
      </c>
      <c r="D1527" s="14" t="inlineStr"/>
      <c r="E1527" s="34" t="inlineStr">
        <is>
          <t>R1060-v2</t>
        </is>
      </c>
      <c r="F1527" s="34" t="inlineStr">
        <is>
          <t>UNSURE</t>
        </is>
      </c>
      <c r="G1527" s="34" t="inlineStr">
        <is>
          <t>UNSURE</t>
        </is>
      </c>
      <c r="H1527" s="34" t="inlineStr">
        <is>
          <t>APPROVED</t>
        </is>
      </c>
      <c r="I1527" s="34" t="inlineStr">
        <is>
          <t>New</t>
        </is>
      </c>
      <c r="J1527" s="34" t="inlineStr">
        <is>
          <t>Professional decision</t>
        </is>
      </c>
      <c r="K1527" s="34" t="inlineStr">
        <is>
          <t>Maya Chen, Owner Project Controls</t>
        </is>
      </c>
      <c r="L1527" s="14" t="inlineStr"/>
      <c r="M1527" s="14" t="inlineStr"/>
      <c r="N1527" s="92" t="inlineStr">
        <is>
          <t>10 EVIDENCE &amp; DECISIONS</t>
        </is>
      </c>
    </row>
    <row r="1528" ht="34" customHeight="1">
      <c r="A1528" s="34" t="inlineStr">
        <is>
          <t>Contractor Programme</t>
        </is>
      </c>
      <c r="B1528" s="34" t="inlineStr">
        <is>
          <t>SCH-06-161</t>
        </is>
      </c>
      <c r="C1528" s="34" t="inlineStr">
        <is>
          <t>Systems package: commercial change review - installation</t>
        </is>
      </c>
      <c r="D1528" s="14" t="inlineStr"/>
      <c r="E1528" s="34" t="inlineStr">
        <is>
          <t>R1061-v2</t>
        </is>
      </c>
      <c r="F1528" s="34" t="inlineStr">
        <is>
          <t>UNSURE</t>
        </is>
      </c>
      <c r="G1528" s="34" t="inlineStr">
        <is>
          <t>UNSURE</t>
        </is>
      </c>
      <c r="H1528" s="34" t="inlineStr">
        <is>
          <t>APPROVED</t>
        </is>
      </c>
      <c r="I1528" s="34" t="inlineStr">
        <is>
          <t>New</t>
        </is>
      </c>
      <c r="J1528" s="34" t="inlineStr">
        <is>
          <t>Professional decision</t>
        </is>
      </c>
      <c r="K1528" s="34" t="inlineStr">
        <is>
          <t>Maya Chen, Owner Project Controls</t>
        </is>
      </c>
      <c r="L1528" s="14" t="inlineStr"/>
      <c r="M1528" s="14" t="inlineStr"/>
      <c r="N1528" s="92" t="inlineStr">
        <is>
          <t>10 EVIDENCE &amp; DECISIONS</t>
        </is>
      </c>
    </row>
    <row r="1529" ht="34" customHeight="1">
      <c r="A1529" s="34" t="inlineStr">
        <is>
          <t>Contractor Programme</t>
        </is>
      </c>
      <c r="B1529" s="34" t="inlineStr">
        <is>
          <t>SCH-06-162</t>
        </is>
      </c>
      <c r="C1529" s="34" t="inlineStr">
        <is>
          <t>Fleet package: design-package integration review - inspection</t>
        </is>
      </c>
      <c r="D1529" s="14" t="inlineStr"/>
      <c r="E1529" s="34" t="inlineStr">
        <is>
          <t>R1062-v2</t>
        </is>
      </c>
      <c r="F1529" s="34" t="inlineStr">
        <is>
          <t>UNSURE</t>
        </is>
      </c>
      <c r="G1529" s="34" t="inlineStr">
        <is>
          <t>UNSURE</t>
        </is>
      </c>
      <c r="H1529" s="34" t="inlineStr">
        <is>
          <t>APPROVED</t>
        </is>
      </c>
      <c r="I1529" s="34" t="inlineStr">
        <is>
          <t>New</t>
        </is>
      </c>
      <c r="J1529" s="34" t="inlineStr">
        <is>
          <t>Professional decision</t>
        </is>
      </c>
      <c r="K1529" s="34" t="inlineStr">
        <is>
          <t>Maya Chen, Owner Project Controls</t>
        </is>
      </c>
      <c r="L1529" s="14" t="inlineStr"/>
      <c r="M1529" s="14" t="inlineStr"/>
      <c r="N1529" s="92" t="inlineStr">
        <is>
          <t>10 EVIDENCE &amp; DECISIONS</t>
        </is>
      </c>
    </row>
    <row r="1530" ht="34" customHeight="1">
      <c r="A1530" s="34" t="inlineStr">
        <is>
          <t>Contractor Programme</t>
        </is>
      </c>
      <c r="B1530" s="34" t="inlineStr">
        <is>
          <t>SCH-06-163</t>
        </is>
      </c>
      <c r="C1530" s="34" t="inlineStr">
        <is>
          <t>Program office: executive reporting close - turnover</t>
        </is>
      </c>
      <c r="D1530" s="14" t="inlineStr"/>
      <c r="E1530" s="34" t="inlineStr">
        <is>
          <t>R1063-v2</t>
        </is>
      </c>
      <c r="F1530" s="34" t="inlineStr">
        <is>
          <t>UNSURE</t>
        </is>
      </c>
      <c r="G1530" s="34" t="inlineStr">
        <is>
          <t>UNSURE</t>
        </is>
      </c>
      <c r="H1530" s="34" t="inlineStr">
        <is>
          <t>APPROVED</t>
        </is>
      </c>
      <c r="I1530" s="34" t="inlineStr">
        <is>
          <t>New</t>
        </is>
      </c>
      <c r="J1530" s="34" t="inlineStr">
        <is>
          <t>Professional decision</t>
        </is>
      </c>
      <c r="K1530" s="34" t="inlineStr">
        <is>
          <t>Maya Chen, Owner Project Controls</t>
        </is>
      </c>
      <c r="L1530" s="14" t="inlineStr"/>
      <c r="M1530" s="14" t="inlineStr"/>
      <c r="N1530" s="92" t="inlineStr">
        <is>
          <t>10 EVIDENCE &amp; DECISIONS</t>
        </is>
      </c>
    </row>
    <row r="1531" ht="34" customHeight="1">
      <c r="A1531" s="34" t="inlineStr">
        <is>
          <t>Contractor Programme</t>
        </is>
      </c>
      <c r="B1531" s="34" t="inlineStr">
        <is>
          <t>SCH-06-164</t>
        </is>
      </c>
      <c r="C1531" s="34" t="inlineStr">
        <is>
          <t>Civil package: permit coordination - release</t>
        </is>
      </c>
      <c r="D1531" s="14" t="inlineStr"/>
      <c r="E1531" s="34" t="inlineStr">
        <is>
          <t>R1064-v2</t>
        </is>
      </c>
      <c r="F1531" s="34" t="inlineStr">
        <is>
          <t>UNSURE</t>
        </is>
      </c>
      <c r="G1531" s="34" t="inlineStr">
        <is>
          <t>UNSURE</t>
        </is>
      </c>
      <c r="H1531" s="34" t="inlineStr">
        <is>
          <t>APPROVED</t>
        </is>
      </c>
      <c r="I1531" s="34" t="inlineStr">
        <is>
          <t>New</t>
        </is>
      </c>
      <c r="J1531" s="34" t="inlineStr">
        <is>
          <t>Professional decision</t>
        </is>
      </c>
      <c r="K1531" s="34" t="inlineStr">
        <is>
          <t>Maya Chen, Owner Project Controls</t>
        </is>
      </c>
      <c r="L1531" s="14" t="inlineStr"/>
      <c r="M1531" s="14" t="inlineStr"/>
      <c r="N1531" s="92" t="inlineStr">
        <is>
          <t>10 EVIDENCE &amp; DECISIONS</t>
        </is>
      </c>
    </row>
    <row r="1532" ht="34" customHeight="1">
      <c r="A1532" s="34" t="inlineStr">
        <is>
          <t>Contractor Programme</t>
        </is>
      </c>
      <c r="B1532" s="34" t="inlineStr">
        <is>
          <t>SCH-06-165</t>
        </is>
      </c>
      <c r="C1532" s="34" t="inlineStr">
        <is>
          <t>Stations package: delivery risk workshop - field start</t>
        </is>
      </c>
      <c r="D1532" s="14" t="inlineStr"/>
      <c r="E1532" s="34" t="inlineStr">
        <is>
          <t>R1065-v2</t>
        </is>
      </c>
      <c r="F1532" s="34" t="inlineStr">
        <is>
          <t>UNSURE</t>
        </is>
      </c>
      <c r="G1532" s="34" t="inlineStr">
        <is>
          <t>UNSURE</t>
        </is>
      </c>
      <c r="H1532" s="34" t="inlineStr">
        <is>
          <t>APPROVED</t>
        </is>
      </c>
      <c r="I1532" s="34" t="inlineStr">
        <is>
          <t>New</t>
        </is>
      </c>
      <c r="J1532" s="34" t="inlineStr">
        <is>
          <t>Professional decision</t>
        </is>
      </c>
      <c r="K1532" s="34" t="inlineStr">
        <is>
          <t>Maya Chen, Owner Project Controls</t>
        </is>
      </c>
      <c r="L1532" s="14" t="inlineStr"/>
      <c r="M1532" s="14" t="inlineStr"/>
      <c r="N1532" s="92" t="inlineStr">
        <is>
          <t>10 EVIDENCE &amp; DECISIONS</t>
        </is>
      </c>
    </row>
    <row r="1533" ht="34" customHeight="1">
      <c r="A1533" s="34" t="inlineStr">
        <is>
          <t>Contractor Programme</t>
        </is>
      </c>
      <c r="B1533" s="34" t="inlineStr">
        <is>
          <t>SCH-06-166</t>
        </is>
      </c>
      <c r="C1533" s="34" t="inlineStr">
        <is>
          <t>Systems package: monthly controls cut-off - installation</t>
        </is>
      </c>
      <c r="D1533" s="14" t="inlineStr"/>
      <c r="E1533" s="34" t="inlineStr">
        <is>
          <t>R1066-v2</t>
        </is>
      </c>
      <c r="F1533" s="34" t="inlineStr">
        <is>
          <t>UNSURE</t>
        </is>
      </c>
      <c r="G1533" s="34" t="inlineStr">
        <is>
          <t>UNSURE</t>
        </is>
      </c>
      <c r="H1533" s="34" t="inlineStr">
        <is>
          <t>APPROVED</t>
        </is>
      </c>
      <c r="I1533" s="34" t="inlineStr">
        <is>
          <t>New</t>
        </is>
      </c>
      <c r="J1533" s="34" t="inlineStr">
        <is>
          <t>Professional decision</t>
        </is>
      </c>
      <c r="K1533" s="34" t="inlineStr">
        <is>
          <t>Maya Chen, Owner Project Controls</t>
        </is>
      </c>
      <c r="L1533" s="14" t="inlineStr"/>
      <c r="M1533" s="14" t="inlineStr"/>
      <c r="N1533" s="92" t="inlineStr">
        <is>
          <t>10 EVIDENCE &amp; DECISIONS</t>
        </is>
      </c>
    </row>
    <row r="1534" ht="34" customHeight="1">
      <c r="A1534" s="34" t="inlineStr">
        <is>
          <t>Contractor Programme</t>
        </is>
      </c>
      <c r="B1534" s="34" t="inlineStr">
        <is>
          <t>SCH-06-167</t>
        </is>
      </c>
      <c r="C1534" s="34" t="inlineStr">
        <is>
          <t>Fleet package: stakeholder interface meeting - inspection</t>
        </is>
      </c>
      <c r="D1534" s="14" t="inlineStr"/>
      <c r="E1534" s="34" t="inlineStr">
        <is>
          <t>R1067-v2</t>
        </is>
      </c>
      <c r="F1534" s="34" t="inlineStr">
        <is>
          <t>UNSURE</t>
        </is>
      </c>
      <c r="G1534" s="34" t="inlineStr">
        <is>
          <t>UNSURE</t>
        </is>
      </c>
      <c r="H1534" s="34" t="inlineStr">
        <is>
          <t>APPROVED</t>
        </is>
      </c>
      <c r="I1534" s="34" t="inlineStr">
        <is>
          <t>New</t>
        </is>
      </c>
      <c r="J1534" s="34" t="inlineStr">
        <is>
          <t>Professional decision</t>
        </is>
      </c>
      <c r="K1534" s="34" t="inlineStr">
        <is>
          <t>Maya Chen, Owner Project Controls</t>
        </is>
      </c>
      <c r="L1534" s="14" t="inlineStr"/>
      <c r="M1534" s="14" t="inlineStr"/>
      <c r="N1534" s="92" t="inlineStr">
        <is>
          <t>10 EVIDENCE &amp; DECISIONS</t>
        </is>
      </c>
    </row>
    <row r="1535" ht="34" customHeight="1">
      <c r="A1535" s="34" t="inlineStr">
        <is>
          <t>Contractor Programme</t>
        </is>
      </c>
      <c r="B1535" s="34" t="inlineStr">
        <is>
          <t>SCH-06-168</t>
        </is>
      </c>
      <c r="C1535" s="34" t="inlineStr">
        <is>
          <t>Program office: baseline change control - turnover</t>
        </is>
      </c>
      <c r="D1535" s="14" t="inlineStr"/>
      <c r="E1535" s="34" t="inlineStr">
        <is>
          <t>R1068-v2</t>
        </is>
      </c>
      <c r="F1535" s="34" t="inlineStr">
        <is>
          <t>UNSURE</t>
        </is>
      </c>
      <c r="G1535" s="34" t="inlineStr">
        <is>
          <t>UNSURE</t>
        </is>
      </c>
      <c r="H1535" s="34" t="inlineStr">
        <is>
          <t>APPROVED</t>
        </is>
      </c>
      <c r="I1535" s="34" t="inlineStr">
        <is>
          <t>New</t>
        </is>
      </c>
      <c r="J1535" s="34" t="inlineStr">
        <is>
          <t>Professional decision</t>
        </is>
      </c>
      <c r="K1535" s="34" t="inlineStr">
        <is>
          <t>Maya Chen, Owner Project Controls</t>
        </is>
      </c>
      <c r="L1535" s="14" t="inlineStr"/>
      <c r="M1535" s="14" t="inlineStr"/>
      <c r="N1535" s="92" t="inlineStr">
        <is>
          <t>10 EVIDENCE &amp; DECISIONS</t>
        </is>
      </c>
    </row>
    <row r="1536" ht="34" customHeight="1">
      <c r="A1536" s="34" t="inlineStr">
        <is>
          <t>Contractor Programme</t>
        </is>
      </c>
      <c r="B1536" s="34" t="inlineStr">
        <is>
          <t>SCH-06-169</t>
        </is>
      </c>
      <c r="C1536" s="34" t="inlineStr">
        <is>
          <t>Civil package: commercial change review - release</t>
        </is>
      </c>
      <c r="D1536" s="14" t="inlineStr"/>
      <c r="E1536" s="34" t="inlineStr">
        <is>
          <t>R1069-v2</t>
        </is>
      </c>
      <c r="F1536" s="34" t="inlineStr">
        <is>
          <t>UNSURE</t>
        </is>
      </c>
      <c r="G1536" s="34" t="inlineStr">
        <is>
          <t>UNSURE</t>
        </is>
      </c>
      <c r="H1536" s="34" t="inlineStr">
        <is>
          <t>APPROVED</t>
        </is>
      </c>
      <c r="I1536" s="34" t="inlineStr">
        <is>
          <t>New</t>
        </is>
      </c>
      <c r="J1536" s="34" t="inlineStr">
        <is>
          <t>Professional decision</t>
        </is>
      </c>
      <c r="K1536" s="34" t="inlineStr">
        <is>
          <t>Maya Chen, Owner Project Controls</t>
        </is>
      </c>
      <c r="L1536" s="14" t="inlineStr"/>
      <c r="M1536" s="14" t="inlineStr"/>
      <c r="N1536" s="92" t="inlineStr">
        <is>
          <t>10 EVIDENCE &amp; DECISIONS</t>
        </is>
      </c>
    </row>
    <row r="1537" ht="34" customHeight="1">
      <c r="A1537" s="34" t="inlineStr">
        <is>
          <t>Contractor Programme</t>
        </is>
      </c>
      <c r="B1537" s="34" t="inlineStr">
        <is>
          <t>SCH-06-170</t>
        </is>
      </c>
      <c r="C1537" s="34" t="inlineStr">
        <is>
          <t>Stations package: design-package integration review - field start</t>
        </is>
      </c>
      <c r="D1537" s="14" t="inlineStr"/>
      <c r="E1537" s="34" t="inlineStr">
        <is>
          <t>R1070-v2</t>
        </is>
      </c>
      <c r="F1537" s="34" t="inlineStr">
        <is>
          <t>UNSURE</t>
        </is>
      </c>
      <c r="G1537" s="34" t="inlineStr">
        <is>
          <t>UNSURE</t>
        </is>
      </c>
      <c r="H1537" s="34" t="inlineStr">
        <is>
          <t>APPROVED</t>
        </is>
      </c>
      <c r="I1537" s="34" t="inlineStr">
        <is>
          <t>New</t>
        </is>
      </c>
      <c r="J1537" s="34" t="inlineStr">
        <is>
          <t>Professional decision</t>
        </is>
      </c>
      <c r="K1537" s="34" t="inlineStr">
        <is>
          <t>Maya Chen, Owner Project Controls</t>
        </is>
      </c>
      <c r="L1537" s="14" t="inlineStr"/>
      <c r="M1537" s="14" t="inlineStr"/>
      <c r="N1537" s="92" t="inlineStr">
        <is>
          <t>10 EVIDENCE &amp; DECISIONS</t>
        </is>
      </c>
    </row>
    <row r="1538" ht="34" customHeight="1">
      <c r="A1538" s="34" t="inlineStr">
        <is>
          <t>Contractor Programme</t>
        </is>
      </c>
      <c r="B1538" s="34" t="inlineStr">
        <is>
          <t>SCH-06-171</t>
        </is>
      </c>
      <c r="C1538" s="34" t="inlineStr">
        <is>
          <t>Systems package: executive reporting close - installation</t>
        </is>
      </c>
      <c r="D1538" s="14" t="inlineStr"/>
      <c r="E1538" s="34" t="inlineStr">
        <is>
          <t>R1071-v2</t>
        </is>
      </c>
      <c r="F1538" s="34" t="inlineStr">
        <is>
          <t>UNSURE</t>
        </is>
      </c>
      <c r="G1538" s="34" t="inlineStr">
        <is>
          <t>UNSURE</t>
        </is>
      </c>
      <c r="H1538" s="34" t="inlineStr">
        <is>
          <t>APPROVED</t>
        </is>
      </c>
      <c r="I1538" s="34" t="inlineStr">
        <is>
          <t>New</t>
        </is>
      </c>
      <c r="J1538" s="34" t="inlineStr">
        <is>
          <t>Professional decision</t>
        </is>
      </c>
      <c r="K1538" s="34" t="inlineStr">
        <is>
          <t>Maya Chen, Owner Project Controls</t>
        </is>
      </c>
      <c r="L1538" s="14" t="inlineStr"/>
      <c r="M1538" s="14" t="inlineStr"/>
      <c r="N1538" s="92" t="inlineStr">
        <is>
          <t>10 EVIDENCE &amp; DECISIONS</t>
        </is>
      </c>
    </row>
    <row r="1539" ht="34" customHeight="1">
      <c r="A1539" s="34" t="inlineStr">
        <is>
          <t>Contractor Programme</t>
        </is>
      </c>
      <c r="B1539" s="34" t="inlineStr">
        <is>
          <t>SCH-06-172</t>
        </is>
      </c>
      <c r="C1539" s="34" t="inlineStr">
        <is>
          <t>Fleet package: permit coordination - inspection</t>
        </is>
      </c>
      <c r="D1539" s="14" t="inlineStr"/>
      <c r="E1539" s="34" t="inlineStr">
        <is>
          <t>R1072-v2</t>
        </is>
      </c>
      <c r="F1539" s="34" t="inlineStr">
        <is>
          <t>UNSURE</t>
        </is>
      </c>
      <c r="G1539" s="34" t="inlineStr">
        <is>
          <t>UNSURE</t>
        </is>
      </c>
      <c r="H1539" s="34" t="inlineStr">
        <is>
          <t>APPROVED</t>
        </is>
      </c>
      <c r="I1539" s="34" t="inlineStr">
        <is>
          <t>New</t>
        </is>
      </c>
      <c r="J1539" s="34" t="inlineStr">
        <is>
          <t>Professional decision</t>
        </is>
      </c>
      <c r="K1539" s="34" t="inlineStr">
        <is>
          <t>Maya Chen, Owner Project Controls</t>
        </is>
      </c>
      <c r="L1539" s="14" t="inlineStr"/>
      <c r="M1539" s="14" t="inlineStr"/>
      <c r="N1539" s="92" t="inlineStr">
        <is>
          <t>10 EVIDENCE &amp; DECISIONS</t>
        </is>
      </c>
    </row>
    <row r="1540" ht="34" customHeight="1">
      <c r="A1540" s="34" t="inlineStr">
        <is>
          <t>Contractor Programme</t>
        </is>
      </c>
      <c r="B1540" s="34" t="inlineStr">
        <is>
          <t>SCH-06-173</t>
        </is>
      </c>
      <c r="C1540" s="34" t="inlineStr">
        <is>
          <t>Program office: delivery risk workshop - turnover</t>
        </is>
      </c>
      <c r="D1540" s="14" t="inlineStr"/>
      <c r="E1540" s="34" t="inlineStr">
        <is>
          <t>R1073-v2</t>
        </is>
      </c>
      <c r="F1540" s="34" t="inlineStr">
        <is>
          <t>UNSURE</t>
        </is>
      </c>
      <c r="G1540" s="34" t="inlineStr">
        <is>
          <t>UNSURE</t>
        </is>
      </c>
      <c r="H1540" s="34" t="inlineStr">
        <is>
          <t>APPROVED</t>
        </is>
      </c>
      <c r="I1540" s="34" t="inlineStr">
        <is>
          <t>New</t>
        </is>
      </c>
      <c r="J1540" s="34" t="inlineStr">
        <is>
          <t>Professional decision</t>
        </is>
      </c>
      <c r="K1540" s="34" t="inlineStr">
        <is>
          <t>Maya Chen, Owner Project Controls</t>
        </is>
      </c>
      <c r="L1540" s="14" t="inlineStr"/>
      <c r="M1540" s="14" t="inlineStr"/>
      <c r="N1540" s="92" t="inlineStr">
        <is>
          <t>10 EVIDENCE &amp; DECISIONS</t>
        </is>
      </c>
    </row>
    <row r="1541" ht="34" customHeight="1">
      <c r="A1541" s="34" t="inlineStr">
        <is>
          <t>Contractor Programme</t>
        </is>
      </c>
      <c r="B1541" s="34" t="inlineStr">
        <is>
          <t>SCH-06-174</t>
        </is>
      </c>
      <c r="C1541" s="34" t="inlineStr">
        <is>
          <t>Civil package: monthly controls cut-off - release</t>
        </is>
      </c>
      <c r="D1541" s="14" t="inlineStr"/>
      <c r="E1541" s="34" t="inlineStr">
        <is>
          <t>R1074-v2</t>
        </is>
      </c>
      <c r="F1541" s="34" t="inlineStr">
        <is>
          <t>UNSURE</t>
        </is>
      </c>
      <c r="G1541" s="34" t="inlineStr">
        <is>
          <t>UNSURE</t>
        </is>
      </c>
      <c r="H1541" s="34" t="inlineStr">
        <is>
          <t>APPROVED</t>
        </is>
      </c>
      <c r="I1541" s="34" t="inlineStr">
        <is>
          <t>New</t>
        </is>
      </c>
      <c r="J1541" s="34" t="inlineStr">
        <is>
          <t>Professional decision</t>
        </is>
      </c>
      <c r="K1541" s="34" t="inlineStr">
        <is>
          <t>Maya Chen, Owner Project Controls</t>
        </is>
      </c>
      <c r="L1541" s="14" t="inlineStr"/>
      <c r="M1541" s="14" t="inlineStr"/>
      <c r="N1541" s="92" t="inlineStr">
        <is>
          <t>10 EVIDENCE &amp; DECISIONS</t>
        </is>
      </c>
    </row>
    <row r="1542" ht="34" customHeight="1">
      <c r="A1542" s="34" t="inlineStr">
        <is>
          <t>Contractor Programme</t>
        </is>
      </c>
      <c r="B1542" s="34" t="inlineStr">
        <is>
          <t>SCH-06-175</t>
        </is>
      </c>
      <c r="C1542" s="34" t="inlineStr">
        <is>
          <t>Stations package: stakeholder interface meeting - field start</t>
        </is>
      </c>
      <c r="D1542" s="14" t="inlineStr"/>
      <c r="E1542" s="34" t="inlineStr">
        <is>
          <t>R1075-v2</t>
        </is>
      </c>
      <c r="F1542" s="34" t="inlineStr">
        <is>
          <t>UNSURE</t>
        </is>
      </c>
      <c r="G1542" s="34" t="inlineStr">
        <is>
          <t>UNSURE</t>
        </is>
      </c>
      <c r="H1542" s="34" t="inlineStr">
        <is>
          <t>APPROVED</t>
        </is>
      </c>
      <c r="I1542" s="34" t="inlineStr">
        <is>
          <t>New</t>
        </is>
      </c>
      <c r="J1542" s="34" t="inlineStr">
        <is>
          <t>Professional decision</t>
        </is>
      </c>
      <c r="K1542" s="34" t="inlineStr">
        <is>
          <t>Maya Chen, Owner Project Controls</t>
        </is>
      </c>
      <c r="L1542" s="14" t="inlineStr"/>
      <c r="M1542" s="14" t="inlineStr"/>
      <c r="N1542" s="92" t="inlineStr">
        <is>
          <t>10 EVIDENCE &amp; DECISIONS</t>
        </is>
      </c>
    </row>
    <row r="1543" ht="34" customHeight="1">
      <c r="A1543" s="34" t="inlineStr">
        <is>
          <t>Contractor Programme</t>
        </is>
      </c>
      <c r="B1543" s="34" t="inlineStr">
        <is>
          <t>SCH-06-176</t>
        </is>
      </c>
      <c r="C1543" s="34" t="inlineStr">
        <is>
          <t>Systems package: baseline change control - installation</t>
        </is>
      </c>
      <c r="D1543" s="14" t="inlineStr"/>
      <c r="E1543" s="34" t="inlineStr">
        <is>
          <t>R1076-v2</t>
        </is>
      </c>
      <c r="F1543" s="34" t="inlineStr">
        <is>
          <t>UNSURE</t>
        </is>
      </c>
      <c r="G1543" s="34" t="inlineStr">
        <is>
          <t>UNSURE</t>
        </is>
      </c>
      <c r="H1543" s="34" t="inlineStr">
        <is>
          <t>APPROVED</t>
        </is>
      </c>
      <c r="I1543" s="34" t="inlineStr">
        <is>
          <t>New</t>
        </is>
      </c>
      <c r="J1543" s="34" t="inlineStr">
        <is>
          <t>Professional decision</t>
        </is>
      </c>
      <c r="K1543" s="34" t="inlineStr">
        <is>
          <t>Maya Chen, Owner Project Controls</t>
        </is>
      </c>
      <c r="L1543" s="14" t="inlineStr"/>
      <c r="M1543" s="14" t="inlineStr"/>
      <c r="N1543" s="92" t="inlineStr">
        <is>
          <t>10 EVIDENCE &amp; DECISIONS</t>
        </is>
      </c>
    </row>
    <row r="1544" ht="34" customHeight="1">
      <c r="A1544" s="34" t="inlineStr">
        <is>
          <t>Contractor Programme</t>
        </is>
      </c>
      <c r="B1544" s="34" t="inlineStr">
        <is>
          <t>SCH-06-177</t>
        </is>
      </c>
      <c r="C1544" s="34" t="inlineStr">
        <is>
          <t>Fleet package: commercial change review - inspection</t>
        </is>
      </c>
      <c r="D1544" s="14" t="inlineStr"/>
      <c r="E1544" s="34" t="inlineStr">
        <is>
          <t>R1077-v2</t>
        </is>
      </c>
      <c r="F1544" s="34" t="inlineStr">
        <is>
          <t>UNSURE</t>
        </is>
      </c>
      <c r="G1544" s="34" t="inlineStr">
        <is>
          <t>UNSURE</t>
        </is>
      </c>
      <c r="H1544" s="34" t="inlineStr">
        <is>
          <t>APPROVED</t>
        </is>
      </c>
      <c r="I1544" s="34" t="inlineStr">
        <is>
          <t>New</t>
        </is>
      </c>
      <c r="J1544" s="34" t="inlineStr">
        <is>
          <t>Professional decision</t>
        </is>
      </c>
      <c r="K1544" s="34" t="inlineStr">
        <is>
          <t>Maya Chen, Owner Project Controls</t>
        </is>
      </c>
      <c r="L1544" s="14" t="inlineStr"/>
      <c r="M1544" s="14" t="inlineStr"/>
      <c r="N1544" s="92" t="inlineStr">
        <is>
          <t>10 EVIDENCE &amp; DECISIONS</t>
        </is>
      </c>
    </row>
    <row r="1545" ht="34" customHeight="1">
      <c r="A1545" s="34" t="inlineStr">
        <is>
          <t>Contractor Programme</t>
        </is>
      </c>
      <c r="B1545" s="34" t="inlineStr">
        <is>
          <t>SCH-06-178</t>
        </is>
      </c>
      <c r="C1545" s="34" t="inlineStr">
        <is>
          <t>Program office: design-package integration review - turnover</t>
        </is>
      </c>
      <c r="D1545" s="14" t="inlineStr"/>
      <c r="E1545" s="34" t="inlineStr">
        <is>
          <t>R1078-v2</t>
        </is>
      </c>
      <c r="F1545" s="34" t="inlineStr">
        <is>
          <t>UNSURE</t>
        </is>
      </c>
      <c r="G1545" s="34" t="inlineStr">
        <is>
          <t>UNSURE</t>
        </is>
      </c>
      <c r="H1545" s="34" t="inlineStr">
        <is>
          <t>APPROVED</t>
        </is>
      </c>
      <c r="I1545" s="34" t="inlineStr">
        <is>
          <t>New</t>
        </is>
      </c>
      <c r="J1545" s="34" t="inlineStr">
        <is>
          <t>Professional decision</t>
        </is>
      </c>
      <c r="K1545" s="34" t="inlineStr">
        <is>
          <t>Maya Chen, Owner Project Controls</t>
        </is>
      </c>
      <c r="L1545" s="14" t="inlineStr"/>
      <c r="M1545" s="14" t="inlineStr"/>
      <c r="N1545" s="92" t="inlineStr">
        <is>
          <t>10 EVIDENCE &amp; DECISIONS</t>
        </is>
      </c>
    </row>
    <row r="1546" ht="34" customHeight="1">
      <c r="A1546" s="34" t="inlineStr">
        <is>
          <t>Contractor Programme</t>
        </is>
      </c>
      <c r="B1546" s="34" t="inlineStr">
        <is>
          <t>SCH-06-179</t>
        </is>
      </c>
      <c r="C1546" s="34" t="inlineStr">
        <is>
          <t>Civil package: executive reporting close - release</t>
        </is>
      </c>
      <c r="D1546" s="14" t="inlineStr"/>
      <c r="E1546" s="34" t="inlineStr">
        <is>
          <t>R1079-v2</t>
        </is>
      </c>
      <c r="F1546" s="34" t="inlineStr">
        <is>
          <t>UNSURE</t>
        </is>
      </c>
      <c r="G1546" s="34" t="inlineStr">
        <is>
          <t>UNSURE</t>
        </is>
      </c>
      <c r="H1546" s="34" t="inlineStr">
        <is>
          <t>APPROVED</t>
        </is>
      </c>
      <c r="I1546" s="34" t="inlineStr">
        <is>
          <t>New</t>
        </is>
      </c>
      <c r="J1546" s="34" t="inlineStr">
        <is>
          <t>Professional decision</t>
        </is>
      </c>
      <c r="K1546" s="34" t="inlineStr">
        <is>
          <t>Maya Chen, Owner Project Controls</t>
        </is>
      </c>
      <c r="L1546" s="14" t="inlineStr"/>
      <c r="M1546" s="14" t="inlineStr"/>
      <c r="N1546" s="92" t="inlineStr">
        <is>
          <t>10 EVIDENCE &amp; DECISIONS</t>
        </is>
      </c>
    </row>
    <row r="1547" ht="34" customHeight="1">
      <c r="A1547" s="34" t="inlineStr">
        <is>
          <t>Contractor Programme</t>
        </is>
      </c>
      <c r="B1547" s="34" t="inlineStr">
        <is>
          <t>SCH-06-180</t>
        </is>
      </c>
      <c r="C1547" s="34" t="inlineStr">
        <is>
          <t>Stations package: permit coordination - field start</t>
        </is>
      </c>
      <c r="D1547" s="14" t="inlineStr"/>
      <c r="E1547" s="34" t="inlineStr">
        <is>
          <t>R1080-v2</t>
        </is>
      </c>
      <c r="F1547" s="34" t="inlineStr">
        <is>
          <t>UNSURE</t>
        </is>
      </c>
      <c r="G1547" s="34" t="inlineStr">
        <is>
          <t>UNSURE</t>
        </is>
      </c>
      <c r="H1547" s="34" t="inlineStr">
        <is>
          <t>APPROVED</t>
        </is>
      </c>
      <c r="I1547" s="34" t="inlineStr">
        <is>
          <t>New</t>
        </is>
      </c>
      <c r="J1547" s="34" t="inlineStr">
        <is>
          <t>Professional decision</t>
        </is>
      </c>
      <c r="K1547" s="34" t="inlineStr">
        <is>
          <t>Maya Chen, Owner Project Controls</t>
        </is>
      </c>
      <c r="L1547" s="14" t="inlineStr"/>
      <c r="M1547" s="14" t="inlineStr"/>
      <c r="N1547" s="92" t="inlineStr">
        <is>
          <t>10 EVIDENCE &amp; DECISIONS</t>
        </is>
      </c>
    </row>
    <row r="1548" ht="34" customHeight="1">
      <c r="A1548" s="34" t="inlineStr">
        <is>
          <t>Cost &amp; Forecast Control Accounts</t>
        </is>
      </c>
      <c r="B1548" s="34" t="inlineStr">
        <is>
          <t>CST-03-004</t>
        </is>
      </c>
      <c r="C1548" s="34" t="inlineStr">
        <is>
          <t>Systems - systems integration - professional services</t>
        </is>
      </c>
      <c r="D1548" s="34" t="inlineStr">
        <is>
          <t>Cost Account = CA-3004</t>
        </is>
      </c>
      <c r="E1548" s="34" t="inlineStr">
        <is>
          <t>R1246-v2</t>
        </is>
      </c>
      <c r="F1548" s="34" t="inlineStr">
        <is>
          <t>UNSURE</t>
        </is>
      </c>
      <c r="G1548" s="34" t="inlineStr">
        <is>
          <t>UNSURE</t>
        </is>
      </c>
      <c r="H1548" s="34" t="inlineStr">
        <is>
          <t>APPROVED</t>
        </is>
      </c>
      <c r="I1548" s="34" t="inlineStr">
        <is>
          <t>New</t>
        </is>
      </c>
      <c r="J1548" s="34" t="inlineStr">
        <is>
          <t>Professional decision</t>
        </is>
      </c>
      <c r="K1548" s="34" t="inlineStr">
        <is>
          <t>Maya Chen, Owner Project Controls</t>
        </is>
      </c>
      <c r="L1548" s="14" t="inlineStr"/>
      <c r="M1548" s="14" t="inlineStr"/>
      <c r="N1548" s="92" t="inlineStr">
        <is>
          <t>10 EVIDENCE &amp; DECISIONS</t>
        </is>
      </c>
    </row>
    <row r="1549" ht="34" customHeight="1">
      <c r="A1549" s="34" t="inlineStr">
        <is>
          <t>Cost &amp; Forecast Control Accounts</t>
        </is>
      </c>
      <c r="B1549" s="34" t="inlineStr">
        <is>
          <t>CST-05-001</t>
        </is>
      </c>
      <c r="C1549" s="34" t="inlineStr">
        <is>
          <t>Testing &amp; readiness - trial running - control account</t>
        </is>
      </c>
      <c r="D1549" s="34" t="inlineStr">
        <is>
          <t>Cost Account = CA-5001</t>
        </is>
      </c>
      <c r="E1549" s="34" t="inlineStr">
        <is>
          <t>R1403-v2</t>
        </is>
      </c>
      <c r="F1549" s="34" t="inlineStr">
        <is>
          <t>UNSURE</t>
        </is>
      </c>
      <c r="G1549" s="34" t="inlineStr">
        <is>
          <t>UNSURE</t>
        </is>
      </c>
      <c r="H1549" s="34" t="inlineStr">
        <is>
          <t>APPROVED</t>
        </is>
      </c>
      <c r="I1549" s="34" t="inlineStr">
        <is>
          <t>New</t>
        </is>
      </c>
      <c r="J1549" s="34" t="inlineStr">
        <is>
          <t>Professional decision</t>
        </is>
      </c>
      <c r="K1549" s="34" t="inlineStr">
        <is>
          <t>Maya Chen, Owner Project Controls</t>
        </is>
      </c>
      <c r="L1549" s="14" t="inlineStr"/>
      <c r="M1549" s="14" t="inlineStr"/>
      <c r="N1549" s="92" t="inlineStr">
        <is>
          <t>10 EVIDENCE &amp; DECISIONS</t>
        </is>
      </c>
    </row>
    <row r="1550" ht="34" customHeight="1">
      <c r="A1550" s="34" t="inlineStr">
        <is>
          <t>Cost &amp; Forecast Control Accounts</t>
        </is>
      </c>
      <c r="B1550" s="34" t="inlineStr">
        <is>
          <t>CST-05-002</t>
        </is>
      </c>
      <c r="C1550" s="34" t="inlineStr">
        <is>
          <t>Testing &amp; readiness - safety certification - control account</t>
        </is>
      </c>
      <c r="D1550" s="34" t="inlineStr">
        <is>
          <t>Cost Account = CA-5002</t>
        </is>
      </c>
      <c r="E1550" s="34" t="inlineStr">
        <is>
          <t>R1404-v2</t>
        </is>
      </c>
      <c r="F1550" s="34" t="inlineStr">
        <is>
          <t>UNSURE</t>
        </is>
      </c>
      <c r="G1550" s="34" t="inlineStr">
        <is>
          <t>UNSURE</t>
        </is>
      </c>
      <c r="H1550" s="34" t="inlineStr">
        <is>
          <t>APPROVED</t>
        </is>
      </c>
      <c r="I1550" s="34" t="inlineStr">
        <is>
          <t>New</t>
        </is>
      </c>
      <c r="J1550" s="34" t="inlineStr">
        <is>
          <t>Professional decision</t>
        </is>
      </c>
      <c r="K1550" s="34" t="inlineStr">
        <is>
          <t>Maya Chen, Owner Project Controls</t>
        </is>
      </c>
      <c r="L1550" s="14" t="inlineStr"/>
      <c r="M1550" s="14" t="inlineStr"/>
      <c r="N1550" s="92" t="inlineStr">
        <is>
          <t>10 EVIDENCE &amp; DECISIONS</t>
        </is>
      </c>
    </row>
    <row r="1551" ht="34" customHeight="1">
      <c r="A1551" s="34" t="inlineStr">
        <is>
          <t>Cost &amp; Forecast Control Accounts</t>
        </is>
      </c>
      <c r="B1551" s="34" t="inlineStr">
        <is>
          <t>CST-05-003</t>
        </is>
      </c>
      <c r="C1551" s="34" t="inlineStr">
        <is>
          <t>Testing &amp; readiness - defect closeout - control account</t>
        </is>
      </c>
      <c r="D1551" s="34" t="inlineStr">
        <is>
          <t>Cost Account = CA-5003</t>
        </is>
      </c>
      <c r="E1551" s="34" t="inlineStr">
        <is>
          <t>R1405-v2</t>
        </is>
      </c>
      <c r="F1551" s="34" t="inlineStr">
        <is>
          <t>UNSURE</t>
        </is>
      </c>
      <c r="G1551" s="34" t="inlineStr">
        <is>
          <t>UNSURE</t>
        </is>
      </c>
      <c r="H1551" s="34" t="inlineStr">
        <is>
          <t>APPROVED</t>
        </is>
      </c>
      <c r="I1551" s="34" t="inlineStr">
        <is>
          <t>New</t>
        </is>
      </c>
      <c r="J1551" s="34" t="inlineStr">
        <is>
          <t>Professional decision</t>
        </is>
      </c>
      <c r="K1551" s="34" t="inlineStr">
        <is>
          <t>Maya Chen, Owner Project Controls</t>
        </is>
      </c>
      <c r="L1551" s="14" t="inlineStr"/>
      <c r="M1551" s="14" t="inlineStr"/>
      <c r="N1551" s="92" t="inlineStr">
        <is>
          <t>10 EVIDENCE &amp; DECISIONS</t>
        </is>
      </c>
    </row>
    <row r="1552" ht="34" customHeight="1">
      <c r="A1552" s="34" t="inlineStr">
        <is>
          <t>Cost &amp; Forecast Control Accounts</t>
        </is>
      </c>
      <c r="B1552" s="34" t="inlineStr">
        <is>
          <t>CST-05-004</t>
        </is>
      </c>
      <c r="C1552" s="34" t="inlineStr">
        <is>
          <t>Testing &amp; readiness - test management - control account</t>
        </is>
      </c>
      <c r="D1552" s="34" t="inlineStr">
        <is>
          <t>Cost Account = CA-5004</t>
        </is>
      </c>
      <c r="E1552" s="34" t="inlineStr">
        <is>
          <t>R1406-v2</t>
        </is>
      </c>
      <c r="F1552" s="34" t="inlineStr">
        <is>
          <t>UNSURE</t>
        </is>
      </c>
      <c r="G1552" s="34" t="inlineStr">
        <is>
          <t>UNSURE</t>
        </is>
      </c>
      <c r="H1552" s="34" t="inlineStr">
        <is>
          <t>APPROVED</t>
        </is>
      </c>
      <c r="I1552" s="34" t="inlineStr">
        <is>
          <t>New</t>
        </is>
      </c>
      <c r="J1552" s="34" t="inlineStr">
        <is>
          <t>Professional decision</t>
        </is>
      </c>
      <c r="K1552" s="34" t="inlineStr">
        <is>
          <t>Maya Chen, Owner Project Controls</t>
        </is>
      </c>
      <c r="L1552" s="14" t="inlineStr"/>
      <c r="M1552" s="14" t="inlineStr"/>
      <c r="N1552" s="92" t="inlineStr">
        <is>
          <t>10 EVIDENCE &amp; DECISIONS</t>
        </is>
      </c>
    </row>
    <row r="1553" ht="34" customHeight="1">
      <c r="A1553" s="34" t="inlineStr">
        <is>
          <t>Cost &amp; Forecast Control Accounts</t>
        </is>
      </c>
      <c r="B1553" s="34" t="inlineStr">
        <is>
          <t>CST-05-005</t>
        </is>
      </c>
      <c r="C1553" s="34" t="inlineStr">
        <is>
          <t>Testing &amp; readiness - trial running - control account</t>
        </is>
      </c>
      <c r="D1553" s="34" t="inlineStr">
        <is>
          <t>Cost Account = CA-5005</t>
        </is>
      </c>
      <c r="E1553" s="34" t="inlineStr">
        <is>
          <t>R1407-v2</t>
        </is>
      </c>
      <c r="F1553" s="34" t="inlineStr">
        <is>
          <t>UNSURE</t>
        </is>
      </c>
      <c r="G1553" s="34" t="inlineStr">
        <is>
          <t>UNSURE</t>
        </is>
      </c>
      <c r="H1553" s="34" t="inlineStr">
        <is>
          <t>APPROVED</t>
        </is>
      </c>
      <c r="I1553" s="34" t="inlineStr">
        <is>
          <t>New</t>
        </is>
      </c>
      <c r="J1553" s="34" t="inlineStr">
        <is>
          <t>Professional decision</t>
        </is>
      </c>
      <c r="K1553" s="34" t="inlineStr">
        <is>
          <t>Maya Chen, Owner Project Controls</t>
        </is>
      </c>
      <c r="L1553" s="14" t="inlineStr"/>
      <c r="M1553" s="14" t="inlineStr"/>
      <c r="N1553" s="92" t="inlineStr">
        <is>
          <t>10 EVIDENCE &amp; DECISIONS</t>
        </is>
      </c>
    </row>
    <row r="1554" ht="34" customHeight="1">
      <c r="A1554" s="34" t="inlineStr">
        <is>
          <t>Cost &amp; Forecast Control Accounts</t>
        </is>
      </c>
      <c r="B1554" s="34" t="inlineStr">
        <is>
          <t>CST-05-006</t>
        </is>
      </c>
      <c r="C1554" s="34" t="inlineStr">
        <is>
          <t>Testing &amp; readiness - safety certification - control account</t>
        </is>
      </c>
      <c r="D1554" s="34" t="inlineStr">
        <is>
          <t>Cost Account = CA-5006</t>
        </is>
      </c>
      <c r="E1554" s="34" t="inlineStr">
        <is>
          <t>R1408-v2</t>
        </is>
      </c>
      <c r="F1554" s="34" t="inlineStr">
        <is>
          <t>UNSURE</t>
        </is>
      </c>
      <c r="G1554" s="34" t="inlineStr">
        <is>
          <t>UNSURE</t>
        </is>
      </c>
      <c r="H1554" s="34" t="inlineStr">
        <is>
          <t>APPROVED</t>
        </is>
      </c>
      <c r="I1554" s="34" t="inlineStr">
        <is>
          <t>New</t>
        </is>
      </c>
      <c r="J1554" s="34" t="inlineStr">
        <is>
          <t>Professional decision</t>
        </is>
      </c>
      <c r="K1554" s="34" t="inlineStr">
        <is>
          <t>Maya Chen, Owner Project Controls</t>
        </is>
      </c>
      <c r="L1554" s="14" t="inlineStr"/>
      <c r="M1554" s="14" t="inlineStr"/>
      <c r="N1554" s="92" t="inlineStr">
        <is>
          <t>10 EVIDENCE &amp; DECISIONS</t>
        </is>
      </c>
    </row>
    <row r="1555" ht="34" customHeight="1">
      <c r="A1555" s="34" t="inlineStr">
        <is>
          <t>Cost &amp; Forecast Control Accounts</t>
        </is>
      </c>
      <c r="B1555" s="34" t="inlineStr">
        <is>
          <t>CST-05-007</t>
        </is>
      </c>
      <c r="C1555" s="34" t="inlineStr">
        <is>
          <t>Testing &amp; readiness - defect closeout - control account</t>
        </is>
      </c>
      <c r="D1555" s="34" t="inlineStr">
        <is>
          <t>Cost Account = CA-5007</t>
        </is>
      </c>
      <c r="E1555" s="34" t="inlineStr">
        <is>
          <t>R1409-v2</t>
        </is>
      </c>
      <c r="F1555" s="34" t="inlineStr">
        <is>
          <t>UNSURE</t>
        </is>
      </c>
      <c r="G1555" s="34" t="inlineStr">
        <is>
          <t>UNSURE</t>
        </is>
      </c>
      <c r="H1555" s="34" t="inlineStr">
        <is>
          <t>APPROVED</t>
        </is>
      </c>
      <c r="I1555" s="34" t="inlineStr">
        <is>
          <t>New</t>
        </is>
      </c>
      <c r="J1555" s="34" t="inlineStr">
        <is>
          <t>Professional decision</t>
        </is>
      </c>
      <c r="K1555" s="34" t="inlineStr">
        <is>
          <t>Maya Chen, Owner Project Controls</t>
        </is>
      </c>
      <c r="L1555" s="14" t="inlineStr"/>
      <c r="M1555" s="14" t="inlineStr"/>
      <c r="N1555" s="92" t="inlineStr">
        <is>
          <t>10 EVIDENCE &amp; DECISIONS</t>
        </is>
      </c>
    </row>
    <row r="1556" ht="34" customHeight="1">
      <c r="A1556" s="34" t="inlineStr">
        <is>
          <t>Cost &amp; Forecast Control Accounts</t>
        </is>
      </c>
      <c r="B1556" s="34" t="inlineStr">
        <is>
          <t>CST-05-008</t>
        </is>
      </c>
      <c r="C1556" s="34" t="inlineStr">
        <is>
          <t>Testing &amp; readiness - test management - control account</t>
        </is>
      </c>
      <c r="D1556" s="34" t="inlineStr">
        <is>
          <t>Cost Account = CA-5008</t>
        </is>
      </c>
      <c r="E1556" s="34" t="inlineStr">
        <is>
          <t>R1410-v2</t>
        </is>
      </c>
      <c r="F1556" s="34" t="inlineStr">
        <is>
          <t>UNSURE</t>
        </is>
      </c>
      <c r="G1556" s="34" t="inlineStr">
        <is>
          <t>UNSURE</t>
        </is>
      </c>
      <c r="H1556" s="34" t="inlineStr">
        <is>
          <t>APPROVED</t>
        </is>
      </c>
      <c r="I1556" s="34" t="inlineStr">
        <is>
          <t>New</t>
        </is>
      </c>
      <c r="J1556" s="34" t="inlineStr">
        <is>
          <t>Professional decision</t>
        </is>
      </c>
      <c r="K1556" s="34" t="inlineStr">
        <is>
          <t>Maya Chen, Owner Project Controls</t>
        </is>
      </c>
      <c r="L1556" s="14" t="inlineStr"/>
      <c r="M1556" s="14" t="inlineStr"/>
      <c r="N1556" s="92" t="inlineStr">
        <is>
          <t>10 EVIDENCE &amp; DECISIONS</t>
        </is>
      </c>
    </row>
    <row r="1557" ht="34" customHeight="1">
      <c r="A1557" s="34" t="inlineStr">
        <is>
          <t>Cost &amp; Forecast Control Accounts</t>
        </is>
      </c>
      <c r="B1557" s="34" t="inlineStr">
        <is>
          <t>CST-05-009</t>
        </is>
      </c>
      <c r="C1557" s="34" t="inlineStr">
        <is>
          <t>Testing &amp; readiness - trial running - control account</t>
        </is>
      </c>
      <c r="D1557" s="34" t="inlineStr">
        <is>
          <t>Cost Account = CA-5009</t>
        </is>
      </c>
      <c r="E1557" s="34" t="inlineStr">
        <is>
          <t>R1411-v2</t>
        </is>
      </c>
      <c r="F1557" s="34" t="inlineStr">
        <is>
          <t>UNSURE</t>
        </is>
      </c>
      <c r="G1557" s="34" t="inlineStr">
        <is>
          <t>UNSURE</t>
        </is>
      </c>
      <c r="H1557" s="34" t="inlineStr">
        <is>
          <t>APPROVED</t>
        </is>
      </c>
      <c r="I1557" s="34" t="inlineStr">
        <is>
          <t>New</t>
        </is>
      </c>
      <c r="J1557" s="34" t="inlineStr">
        <is>
          <t>Professional decision</t>
        </is>
      </c>
      <c r="K1557" s="34" t="inlineStr">
        <is>
          <t>Maya Chen, Owner Project Controls</t>
        </is>
      </c>
      <c r="L1557" s="14" t="inlineStr"/>
      <c r="M1557" s="14" t="inlineStr"/>
      <c r="N1557" s="92" t="inlineStr">
        <is>
          <t>10 EVIDENCE &amp; DECISIONS</t>
        </is>
      </c>
    </row>
    <row r="1558" ht="34" customHeight="1">
      <c r="A1558" s="34" t="inlineStr">
        <is>
          <t>Cost &amp; Forecast Control Accounts</t>
        </is>
      </c>
      <c r="B1558" s="34" t="inlineStr">
        <is>
          <t>CST-05-010</t>
        </is>
      </c>
      <c r="C1558" s="34" t="inlineStr">
        <is>
          <t>Testing &amp; readiness - safety certification - control account</t>
        </is>
      </c>
      <c r="D1558" s="34" t="inlineStr">
        <is>
          <t>Cost Account = CA-5010</t>
        </is>
      </c>
      <c r="E1558" s="34" t="inlineStr">
        <is>
          <t>R1412-v2</t>
        </is>
      </c>
      <c r="F1558" s="34" t="inlineStr">
        <is>
          <t>UNSURE</t>
        </is>
      </c>
      <c r="G1558" s="34" t="inlineStr">
        <is>
          <t>UNSURE</t>
        </is>
      </c>
      <c r="H1558" s="34" t="inlineStr">
        <is>
          <t>APPROVED</t>
        </is>
      </c>
      <c r="I1558" s="34" t="inlineStr">
        <is>
          <t>New</t>
        </is>
      </c>
      <c r="J1558" s="34" t="inlineStr">
        <is>
          <t>Professional decision</t>
        </is>
      </c>
      <c r="K1558" s="34" t="inlineStr">
        <is>
          <t>Maya Chen, Owner Project Controls</t>
        </is>
      </c>
      <c r="L1558" s="14" t="inlineStr"/>
      <c r="M1558" s="14" t="inlineStr"/>
      <c r="N1558" s="92" t="inlineStr">
        <is>
          <t>10 EVIDENCE &amp; DECISIONS</t>
        </is>
      </c>
    </row>
    <row r="1559" ht="34" customHeight="1">
      <c r="A1559" s="34" t="inlineStr">
        <is>
          <t>Cost &amp; Forecast Control Accounts</t>
        </is>
      </c>
      <c r="B1559" s="34" t="inlineStr">
        <is>
          <t>CST-05-011</t>
        </is>
      </c>
      <c r="C1559" s="34" t="inlineStr">
        <is>
          <t>Testing &amp; readiness - defect closeout - control account</t>
        </is>
      </c>
      <c r="D1559" s="34" t="inlineStr">
        <is>
          <t>Cost Account = CA-5011</t>
        </is>
      </c>
      <c r="E1559" s="34" t="inlineStr">
        <is>
          <t>R1413-v2</t>
        </is>
      </c>
      <c r="F1559" s="34" t="inlineStr">
        <is>
          <t>UNSURE</t>
        </is>
      </c>
      <c r="G1559" s="34" t="inlineStr">
        <is>
          <t>UNSURE</t>
        </is>
      </c>
      <c r="H1559" s="34" t="inlineStr">
        <is>
          <t>APPROVED</t>
        </is>
      </c>
      <c r="I1559" s="34" t="inlineStr">
        <is>
          <t>New</t>
        </is>
      </c>
      <c r="J1559" s="34" t="inlineStr">
        <is>
          <t>Professional decision</t>
        </is>
      </c>
      <c r="K1559" s="34" t="inlineStr">
        <is>
          <t>Maya Chen, Owner Project Controls</t>
        </is>
      </c>
      <c r="L1559" s="14" t="inlineStr"/>
      <c r="M1559" s="14" t="inlineStr"/>
      <c r="N1559" s="92" t="inlineStr">
        <is>
          <t>10 EVIDENCE &amp; DECISIONS</t>
        </is>
      </c>
    </row>
    <row r="1560" ht="34" customHeight="1">
      <c r="A1560" s="34" t="inlineStr">
        <is>
          <t>Cost &amp; Forecast Control Accounts</t>
        </is>
      </c>
      <c r="B1560" s="34" t="inlineStr">
        <is>
          <t>CST-05-012</t>
        </is>
      </c>
      <c r="C1560" s="34" t="inlineStr">
        <is>
          <t>Testing &amp; readiness - test management - control account</t>
        </is>
      </c>
      <c r="D1560" s="34" t="inlineStr">
        <is>
          <t>Cost Account = CA-5012</t>
        </is>
      </c>
      <c r="E1560" s="34" t="inlineStr">
        <is>
          <t>R1414-v2</t>
        </is>
      </c>
      <c r="F1560" s="34" t="inlineStr">
        <is>
          <t>UNSURE</t>
        </is>
      </c>
      <c r="G1560" s="34" t="inlineStr">
        <is>
          <t>UNSURE</t>
        </is>
      </c>
      <c r="H1560" s="34" t="inlineStr">
        <is>
          <t>APPROVED</t>
        </is>
      </c>
      <c r="I1560" s="34" t="inlineStr">
        <is>
          <t>New</t>
        </is>
      </c>
      <c r="J1560" s="34" t="inlineStr">
        <is>
          <t>Professional decision</t>
        </is>
      </c>
      <c r="K1560" s="34" t="inlineStr">
        <is>
          <t>Maya Chen, Owner Project Controls</t>
        </is>
      </c>
      <c r="L1560" s="14" t="inlineStr"/>
      <c r="M1560" s="14" t="inlineStr"/>
      <c r="N1560" s="92" t="inlineStr">
        <is>
          <t>10 EVIDENCE &amp; DECISIONS</t>
        </is>
      </c>
    </row>
    <row r="1561" ht="34" customHeight="1">
      <c r="A1561" s="34" t="inlineStr">
        <is>
          <t>Cost &amp; Forecast Control Accounts</t>
        </is>
      </c>
      <c r="B1561" s="34" t="inlineStr">
        <is>
          <t>CST-05-013</t>
        </is>
      </c>
      <c r="C1561" s="34" t="inlineStr">
        <is>
          <t>Testing &amp; readiness - trial running - control account</t>
        </is>
      </c>
      <c r="D1561" s="34" t="inlineStr">
        <is>
          <t>Cost Account = CA-5013</t>
        </is>
      </c>
      <c r="E1561" s="34" t="inlineStr">
        <is>
          <t>R1415-v2</t>
        </is>
      </c>
      <c r="F1561" s="34" t="inlineStr">
        <is>
          <t>UNSURE</t>
        </is>
      </c>
      <c r="G1561" s="34" t="inlineStr">
        <is>
          <t>UNSURE</t>
        </is>
      </c>
      <c r="H1561" s="34" t="inlineStr">
        <is>
          <t>APPROVED</t>
        </is>
      </c>
      <c r="I1561" s="34" t="inlineStr">
        <is>
          <t>New</t>
        </is>
      </c>
      <c r="J1561" s="34" t="inlineStr">
        <is>
          <t>Professional decision</t>
        </is>
      </c>
      <c r="K1561" s="34" t="inlineStr">
        <is>
          <t>Maya Chen, Owner Project Controls</t>
        </is>
      </c>
      <c r="L1561" s="14" t="inlineStr"/>
      <c r="M1561" s="14" t="inlineStr"/>
      <c r="N1561" s="92" t="inlineStr">
        <is>
          <t>10 EVIDENCE &amp; DECISIONS</t>
        </is>
      </c>
    </row>
    <row r="1562" ht="34" customHeight="1">
      <c r="A1562" s="34" t="inlineStr">
        <is>
          <t>Cost &amp; Forecast Control Accounts</t>
        </is>
      </c>
      <c r="B1562" s="34" t="inlineStr">
        <is>
          <t>CST-05-014</t>
        </is>
      </c>
      <c r="C1562" s="34" t="inlineStr">
        <is>
          <t>Testing &amp; readiness - safety certification - control account</t>
        </is>
      </c>
      <c r="D1562" s="34" t="inlineStr">
        <is>
          <t>Cost Account = CA-5014</t>
        </is>
      </c>
      <c r="E1562" s="34" t="inlineStr">
        <is>
          <t>R1416-v2</t>
        </is>
      </c>
      <c r="F1562" s="34" t="inlineStr">
        <is>
          <t>UNSURE</t>
        </is>
      </c>
      <c r="G1562" s="34" t="inlineStr">
        <is>
          <t>UNSURE</t>
        </is>
      </c>
      <c r="H1562" s="34" t="inlineStr">
        <is>
          <t>APPROVED</t>
        </is>
      </c>
      <c r="I1562" s="34" t="inlineStr">
        <is>
          <t>New</t>
        </is>
      </c>
      <c r="J1562" s="34" t="inlineStr">
        <is>
          <t>Professional decision</t>
        </is>
      </c>
      <c r="K1562" s="34" t="inlineStr">
        <is>
          <t>Maya Chen, Owner Project Controls</t>
        </is>
      </c>
      <c r="L1562" s="14" t="inlineStr"/>
      <c r="M1562" s="14" t="inlineStr"/>
      <c r="N1562" s="92" t="inlineStr">
        <is>
          <t>10 EVIDENCE &amp; DECISIONS</t>
        </is>
      </c>
    </row>
    <row r="1563" ht="34" customHeight="1">
      <c r="A1563" s="34" t="inlineStr">
        <is>
          <t>Cost &amp; Forecast Control Accounts</t>
        </is>
      </c>
      <c r="B1563" s="34" t="inlineStr">
        <is>
          <t>CST-05-015</t>
        </is>
      </c>
      <c r="C1563" s="34" t="inlineStr">
        <is>
          <t>Testing &amp; readiness - defect closeout - control account</t>
        </is>
      </c>
      <c r="D1563" s="34" t="inlineStr">
        <is>
          <t>Cost Account = CA-5015</t>
        </is>
      </c>
      <c r="E1563" s="34" t="inlineStr">
        <is>
          <t>R1417-v2</t>
        </is>
      </c>
      <c r="F1563" s="34" t="inlineStr">
        <is>
          <t>UNSURE</t>
        </is>
      </c>
      <c r="G1563" s="34" t="inlineStr">
        <is>
          <t>UNSURE</t>
        </is>
      </c>
      <c r="H1563" s="34" t="inlineStr">
        <is>
          <t>APPROVED</t>
        </is>
      </c>
      <c r="I1563" s="34" t="inlineStr">
        <is>
          <t>New</t>
        </is>
      </c>
      <c r="J1563" s="34" t="inlineStr">
        <is>
          <t>Professional decision</t>
        </is>
      </c>
      <c r="K1563" s="34" t="inlineStr">
        <is>
          <t>Maya Chen, Owner Project Controls</t>
        </is>
      </c>
      <c r="L1563" s="14" t="inlineStr"/>
      <c r="M1563" s="14" t="inlineStr"/>
      <c r="N1563" s="92" t="inlineStr">
        <is>
          <t>10 EVIDENCE &amp; DECISIONS</t>
        </is>
      </c>
    </row>
    <row r="1564" ht="34" customHeight="1">
      <c r="A1564" s="34" t="inlineStr">
        <is>
          <t>Cost &amp; Forecast Control Accounts</t>
        </is>
      </c>
      <c r="B1564" s="34" t="inlineStr">
        <is>
          <t>CST-05-016</t>
        </is>
      </c>
      <c r="C1564" s="34" t="inlineStr">
        <is>
          <t>Testing &amp; readiness - test management - control account</t>
        </is>
      </c>
      <c r="D1564" s="34" t="inlineStr">
        <is>
          <t>Cost Account = CA-5016</t>
        </is>
      </c>
      <c r="E1564" s="34" t="inlineStr">
        <is>
          <t>R1418-v2</t>
        </is>
      </c>
      <c r="F1564" s="34" t="inlineStr">
        <is>
          <t>UNSURE</t>
        </is>
      </c>
      <c r="G1564" s="34" t="inlineStr">
        <is>
          <t>UNSURE</t>
        </is>
      </c>
      <c r="H1564" s="34" t="inlineStr">
        <is>
          <t>APPROVED</t>
        </is>
      </c>
      <c r="I1564" s="34" t="inlineStr">
        <is>
          <t>New</t>
        </is>
      </c>
      <c r="J1564" s="34" t="inlineStr">
        <is>
          <t>Professional decision</t>
        </is>
      </c>
      <c r="K1564" s="34" t="inlineStr">
        <is>
          <t>Maya Chen, Owner Project Controls</t>
        </is>
      </c>
      <c r="L1564" s="14" t="inlineStr"/>
      <c r="M1564" s="14" t="inlineStr"/>
      <c r="N1564" s="92" t="inlineStr">
        <is>
          <t>10 EVIDENCE &amp; DECISIONS</t>
        </is>
      </c>
    </row>
    <row r="1565" ht="34" customHeight="1">
      <c r="A1565" s="34" t="inlineStr">
        <is>
          <t>Cost &amp; Forecast Control Accounts</t>
        </is>
      </c>
      <c r="B1565" s="34" t="inlineStr">
        <is>
          <t>CST-05-017</t>
        </is>
      </c>
      <c r="C1565" s="34" t="inlineStr">
        <is>
          <t>Testing &amp; readiness - trial running - control account</t>
        </is>
      </c>
      <c r="D1565" s="34" t="inlineStr">
        <is>
          <t>Cost Account = CA-5017</t>
        </is>
      </c>
      <c r="E1565" s="34" t="inlineStr">
        <is>
          <t>R1419-v2</t>
        </is>
      </c>
      <c r="F1565" s="34" t="inlineStr">
        <is>
          <t>UNSURE</t>
        </is>
      </c>
      <c r="G1565" s="34" t="inlineStr">
        <is>
          <t>UNSURE</t>
        </is>
      </c>
      <c r="H1565" s="34" t="inlineStr">
        <is>
          <t>APPROVED</t>
        </is>
      </c>
      <c r="I1565" s="34" t="inlineStr">
        <is>
          <t>New</t>
        </is>
      </c>
      <c r="J1565" s="34" t="inlineStr">
        <is>
          <t>Professional decision</t>
        </is>
      </c>
      <c r="K1565" s="34" t="inlineStr">
        <is>
          <t>Maya Chen, Owner Project Controls</t>
        </is>
      </c>
      <c r="L1565" s="14" t="inlineStr"/>
      <c r="M1565" s="14" t="inlineStr"/>
      <c r="N1565" s="92" t="inlineStr">
        <is>
          <t>10 EVIDENCE &amp; DECISIONS</t>
        </is>
      </c>
    </row>
    <row r="1566" ht="34" customHeight="1">
      <c r="A1566" s="34" t="inlineStr">
        <is>
          <t>Cost &amp; Forecast Control Accounts</t>
        </is>
      </c>
      <c r="B1566" s="34" t="inlineStr">
        <is>
          <t>CST-05-018</t>
        </is>
      </c>
      <c r="C1566" s="34" t="inlineStr">
        <is>
          <t>Testing &amp; readiness - safety certification - control account</t>
        </is>
      </c>
      <c r="D1566" s="34" t="inlineStr">
        <is>
          <t>Cost Account = CA-5018</t>
        </is>
      </c>
      <c r="E1566" s="34" t="inlineStr">
        <is>
          <t>R1420-v2</t>
        </is>
      </c>
      <c r="F1566" s="34" t="inlineStr">
        <is>
          <t>UNSURE</t>
        </is>
      </c>
      <c r="G1566" s="34" t="inlineStr">
        <is>
          <t>UNSURE</t>
        </is>
      </c>
      <c r="H1566" s="34" t="inlineStr">
        <is>
          <t>APPROVED</t>
        </is>
      </c>
      <c r="I1566" s="34" t="inlineStr">
        <is>
          <t>New</t>
        </is>
      </c>
      <c r="J1566" s="34" t="inlineStr">
        <is>
          <t>Professional decision</t>
        </is>
      </c>
      <c r="K1566" s="34" t="inlineStr">
        <is>
          <t>Maya Chen, Owner Project Controls</t>
        </is>
      </c>
      <c r="L1566" s="14" t="inlineStr"/>
      <c r="M1566" s="14" t="inlineStr"/>
      <c r="N1566" s="92" t="inlineStr">
        <is>
          <t>10 EVIDENCE &amp; DECISIONS</t>
        </is>
      </c>
    </row>
    <row r="1567" ht="34" customHeight="1">
      <c r="A1567" s="34" t="inlineStr">
        <is>
          <t>Cost &amp; Forecast Control Accounts</t>
        </is>
      </c>
      <c r="B1567" s="34" t="inlineStr">
        <is>
          <t>CST-05-019</t>
        </is>
      </c>
      <c r="C1567" s="34" t="inlineStr">
        <is>
          <t>Testing &amp; readiness - defect closeout - control account</t>
        </is>
      </c>
      <c r="D1567" s="34" t="inlineStr">
        <is>
          <t>Cost Account = CA-5019</t>
        </is>
      </c>
      <c r="E1567" s="34" t="inlineStr">
        <is>
          <t>R1421-v2</t>
        </is>
      </c>
      <c r="F1567" s="34" t="inlineStr">
        <is>
          <t>UNSURE</t>
        </is>
      </c>
      <c r="G1567" s="34" t="inlineStr">
        <is>
          <t>UNSURE</t>
        </is>
      </c>
      <c r="H1567" s="34" t="inlineStr">
        <is>
          <t>APPROVED</t>
        </is>
      </c>
      <c r="I1567" s="34" t="inlineStr">
        <is>
          <t>New</t>
        </is>
      </c>
      <c r="J1567" s="34" t="inlineStr">
        <is>
          <t>Professional decision</t>
        </is>
      </c>
      <c r="K1567" s="34" t="inlineStr">
        <is>
          <t>Maya Chen, Owner Project Controls</t>
        </is>
      </c>
      <c r="L1567" s="14" t="inlineStr"/>
      <c r="M1567" s="14" t="inlineStr"/>
      <c r="N1567" s="92" t="inlineStr">
        <is>
          <t>10 EVIDENCE &amp; DECISIONS</t>
        </is>
      </c>
    </row>
    <row r="1568" ht="34" customHeight="1">
      <c r="A1568" s="34" t="inlineStr">
        <is>
          <t>Cost &amp; Forecast Control Accounts</t>
        </is>
      </c>
      <c r="B1568" s="34" t="inlineStr">
        <is>
          <t>CST-05-020</t>
        </is>
      </c>
      <c r="C1568" s="34" t="inlineStr">
        <is>
          <t>Testing &amp; readiness - test management - control account</t>
        </is>
      </c>
      <c r="D1568" s="34" t="inlineStr">
        <is>
          <t>Cost Account = CA-5020</t>
        </is>
      </c>
      <c r="E1568" s="34" t="inlineStr">
        <is>
          <t>R1422-v2</t>
        </is>
      </c>
      <c r="F1568" s="34" t="inlineStr">
        <is>
          <t>UNSURE</t>
        </is>
      </c>
      <c r="G1568" s="34" t="inlineStr">
        <is>
          <t>UNSURE</t>
        </is>
      </c>
      <c r="H1568" s="34" t="inlineStr">
        <is>
          <t>APPROVED</t>
        </is>
      </c>
      <c r="I1568" s="34" t="inlineStr">
        <is>
          <t>New</t>
        </is>
      </c>
      <c r="J1568" s="34" t="inlineStr">
        <is>
          <t>Professional decision</t>
        </is>
      </c>
      <c r="K1568" s="34" t="inlineStr">
        <is>
          <t>Maya Chen, Owner Project Controls</t>
        </is>
      </c>
      <c r="L1568" s="14" t="inlineStr"/>
      <c r="M1568" s="14" t="inlineStr"/>
      <c r="N1568" s="92" t="inlineStr">
        <is>
          <t>10 EVIDENCE &amp; DECISIONS</t>
        </is>
      </c>
    </row>
    <row r="1569" ht="34" customHeight="1">
      <c r="A1569" s="34" t="inlineStr">
        <is>
          <t>Cost &amp; Forecast Control Accounts</t>
        </is>
      </c>
      <c r="B1569" s="34" t="inlineStr">
        <is>
          <t>CST-05-021</t>
        </is>
      </c>
      <c r="C1569" s="34" t="inlineStr">
        <is>
          <t>Testing &amp; readiness - trial running - control account</t>
        </is>
      </c>
      <c r="D1569" s="34" t="inlineStr">
        <is>
          <t>Cost Account = CA-5021</t>
        </is>
      </c>
      <c r="E1569" s="34" t="inlineStr">
        <is>
          <t>R1423-v2</t>
        </is>
      </c>
      <c r="F1569" s="34" t="inlineStr">
        <is>
          <t>UNSURE</t>
        </is>
      </c>
      <c r="G1569" s="34" t="inlineStr">
        <is>
          <t>UNSURE</t>
        </is>
      </c>
      <c r="H1569" s="34" t="inlineStr">
        <is>
          <t>APPROVED</t>
        </is>
      </c>
      <c r="I1569" s="34" t="inlineStr">
        <is>
          <t>New</t>
        </is>
      </c>
      <c r="J1569" s="34" t="inlineStr">
        <is>
          <t>Professional decision</t>
        </is>
      </c>
      <c r="K1569" s="34" t="inlineStr">
        <is>
          <t>Maya Chen, Owner Project Controls</t>
        </is>
      </c>
      <c r="L1569" s="14" t="inlineStr"/>
      <c r="M1569" s="14" t="inlineStr"/>
      <c r="N1569" s="92" t="inlineStr">
        <is>
          <t>10 EVIDENCE &amp; DECISIONS</t>
        </is>
      </c>
    </row>
    <row r="1570" ht="34" customHeight="1">
      <c r="A1570" s="34" t="inlineStr">
        <is>
          <t>Cost &amp; Forecast Control Accounts</t>
        </is>
      </c>
      <c r="B1570" s="34" t="inlineStr">
        <is>
          <t>CST-05-022</t>
        </is>
      </c>
      <c r="C1570" s="34" t="inlineStr">
        <is>
          <t>Testing &amp; readiness - safety certification - control account</t>
        </is>
      </c>
      <c r="D1570" s="34" t="inlineStr">
        <is>
          <t>Cost Account = CA-5022</t>
        </is>
      </c>
      <c r="E1570" s="34" t="inlineStr">
        <is>
          <t>R1424-v2</t>
        </is>
      </c>
      <c r="F1570" s="34" t="inlineStr">
        <is>
          <t>UNSURE</t>
        </is>
      </c>
      <c r="G1570" s="34" t="inlineStr">
        <is>
          <t>UNSURE</t>
        </is>
      </c>
      <c r="H1570" s="34" t="inlineStr">
        <is>
          <t>APPROVED</t>
        </is>
      </c>
      <c r="I1570" s="34" t="inlineStr">
        <is>
          <t>New</t>
        </is>
      </c>
      <c r="J1570" s="34" t="inlineStr">
        <is>
          <t>Professional decision</t>
        </is>
      </c>
      <c r="K1570" s="34" t="inlineStr">
        <is>
          <t>Maya Chen, Owner Project Controls</t>
        </is>
      </c>
      <c r="L1570" s="14" t="inlineStr"/>
      <c r="M1570" s="14" t="inlineStr"/>
      <c r="N1570" s="92" t="inlineStr">
        <is>
          <t>10 EVIDENCE &amp; DECISIONS</t>
        </is>
      </c>
    </row>
    <row r="1571" ht="34" customHeight="1">
      <c r="A1571" s="34" t="inlineStr">
        <is>
          <t>Cost &amp; Forecast Control Accounts</t>
        </is>
      </c>
      <c r="B1571" s="34" t="inlineStr">
        <is>
          <t>CST-05-023</t>
        </is>
      </c>
      <c r="C1571" s="34" t="inlineStr">
        <is>
          <t>Testing &amp; readiness - defect closeout - control account</t>
        </is>
      </c>
      <c r="D1571" s="34" t="inlineStr">
        <is>
          <t>Cost Account = CA-5023</t>
        </is>
      </c>
      <c r="E1571" s="34" t="inlineStr">
        <is>
          <t>R1425-v2</t>
        </is>
      </c>
      <c r="F1571" s="34" t="inlineStr">
        <is>
          <t>UNSURE</t>
        </is>
      </c>
      <c r="G1571" s="34" t="inlineStr">
        <is>
          <t>UNSURE</t>
        </is>
      </c>
      <c r="H1571" s="34" t="inlineStr">
        <is>
          <t>APPROVED</t>
        </is>
      </c>
      <c r="I1571" s="34" t="inlineStr">
        <is>
          <t>New</t>
        </is>
      </c>
      <c r="J1571" s="34" t="inlineStr">
        <is>
          <t>Professional decision</t>
        </is>
      </c>
      <c r="K1571" s="34" t="inlineStr">
        <is>
          <t>Maya Chen, Owner Project Controls</t>
        </is>
      </c>
      <c r="L1571" s="14" t="inlineStr"/>
      <c r="M1571" s="14" t="inlineStr"/>
      <c r="N1571" s="92" t="inlineStr">
        <is>
          <t>10 EVIDENCE &amp; DECISIONS</t>
        </is>
      </c>
    </row>
    <row r="1572" ht="34" customHeight="1">
      <c r="A1572" s="34" t="inlineStr">
        <is>
          <t>Cost &amp; Forecast Control Accounts</t>
        </is>
      </c>
      <c r="B1572" s="34" t="inlineStr">
        <is>
          <t>CST-05-024</t>
        </is>
      </c>
      <c r="C1572" s="34" t="inlineStr">
        <is>
          <t>Testing &amp; readiness - test management - control account</t>
        </is>
      </c>
      <c r="D1572" s="34" t="inlineStr">
        <is>
          <t>Cost Account = CA-5024</t>
        </is>
      </c>
      <c r="E1572" s="34" t="inlineStr">
        <is>
          <t>R1426-v2</t>
        </is>
      </c>
      <c r="F1572" s="34" t="inlineStr">
        <is>
          <t>UNSURE</t>
        </is>
      </c>
      <c r="G1572" s="34" t="inlineStr">
        <is>
          <t>UNSURE</t>
        </is>
      </c>
      <c r="H1572" s="34" t="inlineStr">
        <is>
          <t>APPROVED</t>
        </is>
      </c>
      <c r="I1572" s="34" t="inlineStr">
        <is>
          <t>New</t>
        </is>
      </c>
      <c r="J1572" s="34" t="inlineStr">
        <is>
          <t>Professional decision</t>
        </is>
      </c>
      <c r="K1572" s="34" t="inlineStr">
        <is>
          <t>Maya Chen, Owner Project Controls</t>
        </is>
      </c>
      <c r="L1572" s="14" t="inlineStr"/>
      <c r="M1572" s="14" t="inlineStr"/>
      <c r="N1572" s="92" t="inlineStr">
        <is>
          <t>10 EVIDENCE &amp; DECISIONS</t>
        </is>
      </c>
    </row>
    <row r="1573" ht="34" customHeight="1">
      <c r="A1573" s="34" t="inlineStr">
        <is>
          <t>Cost &amp; Forecast Control Accounts</t>
        </is>
      </c>
      <c r="B1573" s="34" t="inlineStr">
        <is>
          <t>CST-05-025</t>
        </is>
      </c>
      <c r="C1573" s="34" t="inlineStr">
        <is>
          <t>Testing &amp; readiness - trial running - control account</t>
        </is>
      </c>
      <c r="D1573" s="34" t="inlineStr">
        <is>
          <t>Cost Account = CA-5025</t>
        </is>
      </c>
      <c r="E1573" s="34" t="inlineStr">
        <is>
          <t>R1427-v2</t>
        </is>
      </c>
      <c r="F1573" s="34" t="inlineStr">
        <is>
          <t>UNSURE</t>
        </is>
      </c>
      <c r="G1573" s="34" t="inlineStr">
        <is>
          <t>UNSURE</t>
        </is>
      </c>
      <c r="H1573" s="34" t="inlineStr">
        <is>
          <t>APPROVED</t>
        </is>
      </c>
      <c r="I1573" s="34" t="inlineStr">
        <is>
          <t>New</t>
        </is>
      </c>
      <c r="J1573" s="34" t="inlineStr">
        <is>
          <t>Professional decision</t>
        </is>
      </c>
      <c r="K1573" s="34" t="inlineStr">
        <is>
          <t>Maya Chen, Owner Project Controls</t>
        </is>
      </c>
      <c r="L1573" s="14" t="inlineStr"/>
      <c r="M1573" s="14" t="inlineStr"/>
      <c r="N1573" s="92" t="inlineStr">
        <is>
          <t>10 EVIDENCE &amp; DECISIONS</t>
        </is>
      </c>
    </row>
    <row r="1574" ht="34" customHeight="1">
      <c r="A1574" s="34" t="inlineStr">
        <is>
          <t>Cost &amp; Forecast Control Accounts</t>
        </is>
      </c>
      <c r="B1574" s="34" t="inlineStr">
        <is>
          <t>CST-05-026</t>
        </is>
      </c>
      <c r="C1574" s="34" t="inlineStr">
        <is>
          <t>Testing &amp; readiness - safety certification - control account</t>
        </is>
      </c>
      <c r="D1574" s="34" t="inlineStr">
        <is>
          <t>Cost Account = CA-5026</t>
        </is>
      </c>
      <c r="E1574" s="34" t="inlineStr">
        <is>
          <t>R1428-v2</t>
        </is>
      </c>
      <c r="F1574" s="34" t="inlineStr">
        <is>
          <t>UNSURE</t>
        </is>
      </c>
      <c r="G1574" s="34" t="inlineStr">
        <is>
          <t>UNSURE</t>
        </is>
      </c>
      <c r="H1574" s="34" t="inlineStr">
        <is>
          <t>APPROVED</t>
        </is>
      </c>
      <c r="I1574" s="34" t="inlineStr">
        <is>
          <t>New</t>
        </is>
      </c>
      <c r="J1574" s="34" t="inlineStr">
        <is>
          <t>Professional decision</t>
        </is>
      </c>
      <c r="K1574" s="34" t="inlineStr">
        <is>
          <t>Maya Chen, Owner Project Controls</t>
        </is>
      </c>
      <c r="L1574" s="14" t="inlineStr"/>
      <c r="M1574" s="14" t="inlineStr"/>
      <c r="N1574" s="92" t="inlineStr">
        <is>
          <t>10 EVIDENCE &amp; DECISIONS</t>
        </is>
      </c>
    </row>
    <row r="1575" ht="34" customHeight="1">
      <c r="A1575" s="34" t="inlineStr">
        <is>
          <t>Cost &amp; Forecast Control Accounts</t>
        </is>
      </c>
      <c r="B1575" s="34" t="inlineStr">
        <is>
          <t>CST-05-027</t>
        </is>
      </c>
      <c r="C1575" s="34" t="inlineStr">
        <is>
          <t>Testing &amp; readiness - defect closeout - control account</t>
        </is>
      </c>
      <c r="D1575" s="34" t="inlineStr">
        <is>
          <t>Cost Account = CA-5027</t>
        </is>
      </c>
      <c r="E1575" s="34" t="inlineStr">
        <is>
          <t>R1429-v2</t>
        </is>
      </c>
      <c r="F1575" s="34" t="inlineStr">
        <is>
          <t>UNSURE</t>
        </is>
      </c>
      <c r="G1575" s="34" t="inlineStr">
        <is>
          <t>UNSURE</t>
        </is>
      </c>
      <c r="H1575" s="34" t="inlineStr">
        <is>
          <t>APPROVED</t>
        </is>
      </c>
      <c r="I1575" s="34" t="inlineStr">
        <is>
          <t>New</t>
        </is>
      </c>
      <c r="J1575" s="34" t="inlineStr">
        <is>
          <t>Professional decision</t>
        </is>
      </c>
      <c r="K1575" s="34" t="inlineStr">
        <is>
          <t>Maya Chen, Owner Project Controls</t>
        </is>
      </c>
      <c r="L1575" s="14" t="inlineStr"/>
      <c r="M1575" s="14" t="inlineStr"/>
      <c r="N1575" s="92" t="inlineStr">
        <is>
          <t>10 EVIDENCE &amp; DECISIONS</t>
        </is>
      </c>
    </row>
    <row r="1576" ht="34" customHeight="1">
      <c r="A1576" s="34" t="inlineStr">
        <is>
          <t>Cost &amp; Forecast Control Accounts</t>
        </is>
      </c>
      <c r="B1576" s="34" t="inlineStr">
        <is>
          <t>CST-05-028</t>
        </is>
      </c>
      <c r="C1576" s="34" t="inlineStr">
        <is>
          <t>Testing &amp; readiness - test management - control account</t>
        </is>
      </c>
      <c r="D1576" s="34" t="inlineStr">
        <is>
          <t>Cost Account = CA-5028</t>
        </is>
      </c>
      <c r="E1576" s="34" t="inlineStr">
        <is>
          <t>R1430-v2</t>
        </is>
      </c>
      <c r="F1576" s="34" t="inlineStr">
        <is>
          <t>UNSURE</t>
        </is>
      </c>
      <c r="G1576" s="34" t="inlineStr">
        <is>
          <t>UNSURE</t>
        </is>
      </c>
      <c r="H1576" s="34" t="inlineStr">
        <is>
          <t>APPROVED</t>
        </is>
      </c>
      <c r="I1576" s="34" t="inlineStr">
        <is>
          <t>New</t>
        </is>
      </c>
      <c r="J1576" s="34" t="inlineStr">
        <is>
          <t>Professional decision</t>
        </is>
      </c>
      <c r="K1576" s="34" t="inlineStr">
        <is>
          <t>Maya Chen, Owner Project Controls</t>
        </is>
      </c>
      <c r="L1576" s="14" t="inlineStr"/>
      <c r="M1576" s="14" t="inlineStr"/>
      <c r="N1576" s="92" t="inlineStr">
        <is>
          <t>10 EVIDENCE &amp; DECISIONS</t>
        </is>
      </c>
    </row>
    <row r="1577" ht="34" customHeight="1">
      <c r="A1577" s="34" t="inlineStr">
        <is>
          <t>Cost &amp; Forecast Control Accounts</t>
        </is>
      </c>
      <c r="B1577" s="34" t="inlineStr">
        <is>
          <t>CST-05-029</t>
        </is>
      </c>
      <c r="C1577" s="34" t="inlineStr">
        <is>
          <t>Testing &amp; readiness - trial running - control account</t>
        </is>
      </c>
      <c r="D1577" s="34" t="inlineStr">
        <is>
          <t>Cost Account = CA-5029</t>
        </is>
      </c>
      <c r="E1577" s="34" t="inlineStr">
        <is>
          <t>R1431-v2</t>
        </is>
      </c>
      <c r="F1577" s="34" t="inlineStr">
        <is>
          <t>UNSURE</t>
        </is>
      </c>
      <c r="G1577" s="34" t="inlineStr">
        <is>
          <t>UNSURE</t>
        </is>
      </c>
      <c r="H1577" s="34" t="inlineStr">
        <is>
          <t>APPROVED</t>
        </is>
      </c>
      <c r="I1577" s="34" t="inlineStr">
        <is>
          <t>New</t>
        </is>
      </c>
      <c r="J1577" s="34" t="inlineStr">
        <is>
          <t>Professional decision</t>
        </is>
      </c>
      <c r="K1577" s="34" t="inlineStr">
        <is>
          <t>Maya Chen, Owner Project Controls</t>
        </is>
      </c>
      <c r="L1577" s="14" t="inlineStr"/>
      <c r="M1577" s="14" t="inlineStr"/>
      <c r="N1577" s="92" t="inlineStr">
        <is>
          <t>10 EVIDENCE &amp; DECISIONS</t>
        </is>
      </c>
    </row>
    <row r="1578" ht="34" customHeight="1">
      <c r="A1578" s="34" t="inlineStr">
        <is>
          <t>Cost &amp; Forecast Control Accounts</t>
        </is>
      </c>
      <c r="B1578" s="34" t="inlineStr">
        <is>
          <t>CST-05-030</t>
        </is>
      </c>
      <c r="C1578" s="34" t="inlineStr">
        <is>
          <t>Testing &amp; readiness - safety certification - control account</t>
        </is>
      </c>
      <c r="D1578" s="34" t="inlineStr">
        <is>
          <t>Cost Account = CA-5030</t>
        </is>
      </c>
      <c r="E1578" s="34" t="inlineStr">
        <is>
          <t>R1432-v2</t>
        </is>
      </c>
      <c r="F1578" s="34" t="inlineStr">
        <is>
          <t>UNSURE</t>
        </is>
      </c>
      <c r="G1578" s="34" t="inlineStr">
        <is>
          <t>UNSURE</t>
        </is>
      </c>
      <c r="H1578" s="34" t="inlineStr">
        <is>
          <t>APPROVED</t>
        </is>
      </c>
      <c r="I1578" s="34" t="inlineStr">
        <is>
          <t>New</t>
        </is>
      </c>
      <c r="J1578" s="34" t="inlineStr">
        <is>
          <t>Professional decision</t>
        </is>
      </c>
      <c r="K1578" s="34" t="inlineStr">
        <is>
          <t>Maya Chen, Owner Project Controls</t>
        </is>
      </c>
      <c r="L1578" s="14" t="inlineStr"/>
      <c r="M1578" s="14" t="inlineStr"/>
      <c r="N1578" s="92" t="inlineStr">
        <is>
          <t>10 EVIDENCE &amp; DECISIONS</t>
        </is>
      </c>
    </row>
    <row r="1579" ht="34" customHeight="1">
      <c r="A1579" s="34" t="inlineStr">
        <is>
          <t>Cost &amp; Forecast Control Accounts</t>
        </is>
      </c>
      <c r="B1579" s="34" t="inlineStr">
        <is>
          <t>CST-05-031</t>
        </is>
      </c>
      <c r="C1579" s="34" t="inlineStr">
        <is>
          <t>Testing &amp; readiness - defect closeout - control account</t>
        </is>
      </c>
      <c r="D1579" s="34" t="inlineStr">
        <is>
          <t>Cost Account = CA-5031</t>
        </is>
      </c>
      <c r="E1579" s="34" t="inlineStr">
        <is>
          <t>R1433-v2</t>
        </is>
      </c>
      <c r="F1579" s="34" t="inlineStr">
        <is>
          <t>UNSURE</t>
        </is>
      </c>
      <c r="G1579" s="34" t="inlineStr">
        <is>
          <t>UNSURE</t>
        </is>
      </c>
      <c r="H1579" s="34" t="inlineStr">
        <is>
          <t>APPROVED</t>
        </is>
      </c>
      <c r="I1579" s="34" t="inlineStr">
        <is>
          <t>New</t>
        </is>
      </c>
      <c r="J1579" s="34" t="inlineStr">
        <is>
          <t>Professional decision</t>
        </is>
      </c>
      <c r="K1579" s="34" t="inlineStr">
        <is>
          <t>Maya Chen, Owner Project Controls</t>
        </is>
      </c>
      <c r="L1579" s="14" t="inlineStr"/>
      <c r="M1579" s="14" t="inlineStr"/>
      <c r="N1579" s="92" t="inlineStr">
        <is>
          <t>10 EVIDENCE &amp; DECISIONS</t>
        </is>
      </c>
    </row>
    <row r="1580" ht="34" customHeight="1">
      <c r="A1580" s="34" t="inlineStr">
        <is>
          <t>Cost &amp; Forecast Control Accounts</t>
        </is>
      </c>
      <c r="B1580" s="34" t="inlineStr">
        <is>
          <t>CST-05-032</t>
        </is>
      </c>
      <c r="C1580" s="34" t="inlineStr">
        <is>
          <t>Testing &amp; readiness - test management - control account</t>
        </is>
      </c>
      <c r="D1580" s="34" t="inlineStr">
        <is>
          <t>Cost Account = CA-5032</t>
        </is>
      </c>
      <c r="E1580" s="34" t="inlineStr">
        <is>
          <t>R1434-v2</t>
        </is>
      </c>
      <c r="F1580" s="34" t="inlineStr">
        <is>
          <t>UNSURE</t>
        </is>
      </c>
      <c r="G1580" s="34" t="inlineStr">
        <is>
          <t>UNSURE</t>
        </is>
      </c>
      <c r="H1580" s="34" t="inlineStr">
        <is>
          <t>APPROVED</t>
        </is>
      </c>
      <c r="I1580" s="34" t="inlineStr">
        <is>
          <t>New</t>
        </is>
      </c>
      <c r="J1580" s="34" t="inlineStr">
        <is>
          <t>Professional decision</t>
        </is>
      </c>
      <c r="K1580" s="34" t="inlineStr">
        <is>
          <t>Maya Chen, Owner Project Controls</t>
        </is>
      </c>
      <c r="L1580" s="14" t="inlineStr"/>
      <c r="M1580" s="14" t="inlineStr"/>
      <c r="N1580" s="92" t="inlineStr">
        <is>
          <t>10 EVIDENCE &amp; DECISIONS</t>
        </is>
      </c>
    </row>
    <row r="1581" ht="34" customHeight="1">
      <c r="A1581" s="34" t="inlineStr">
        <is>
          <t>Cost &amp; Forecast Control Accounts</t>
        </is>
      </c>
      <c r="B1581" s="34" t="inlineStr">
        <is>
          <t>CST-05-033</t>
        </is>
      </c>
      <c r="C1581" s="34" t="inlineStr">
        <is>
          <t>Testing &amp; readiness - trial running - control account</t>
        </is>
      </c>
      <c r="D1581" s="34" t="inlineStr">
        <is>
          <t>Cost Account = CA-5033</t>
        </is>
      </c>
      <c r="E1581" s="34" t="inlineStr">
        <is>
          <t>R1435-v2</t>
        </is>
      </c>
      <c r="F1581" s="34" t="inlineStr">
        <is>
          <t>UNSURE</t>
        </is>
      </c>
      <c r="G1581" s="34" t="inlineStr">
        <is>
          <t>UNSURE</t>
        </is>
      </c>
      <c r="H1581" s="34" t="inlineStr">
        <is>
          <t>APPROVED</t>
        </is>
      </c>
      <c r="I1581" s="34" t="inlineStr">
        <is>
          <t>New</t>
        </is>
      </c>
      <c r="J1581" s="34" t="inlineStr">
        <is>
          <t>Professional decision</t>
        </is>
      </c>
      <c r="K1581" s="34" t="inlineStr">
        <is>
          <t>Maya Chen, Owner Project Controls</t>
        </is>
      </c>
      <c r="L1581" s="14" t="inlineStr"/>
      <c r="M1581" s="14" t="inlineStr"/>
      <c r="N1581" s="92" t="inlineStr">
        <is>
          <t>10 EVIDENCE &amp; DECISIONS</t>
        </is>
      </c>
    </row>
    <row r="1582" ht="34" customHeight="1">
      <c r="A1582" s="34" t="inlineStr">
        <is>
          <t>Cost &amp; Forecast Control Accounts</t>
        </is>
      </c>
      <c r="B1582" s="34" t="inlineStr">
        <is>
          <t>CST-05-034</t>
        </is>
      </c>
      <c r="C1582" s="34" t="inlineStr">
        <is>
          <t>Testing &amp; readiness - safety certification - control account</t>
        </is>
      </c>
      <c r="D1582" s="34" t="inlineStr">
        <is>
          <t>Cost Account = CA-5034</t>
        </is>
      </c>
      <c r="E1582" s="34" t="inlineStr">
        <is>
          <t>R1436-v2</t>
        </is>
      </c>
      <c r="F1582" s="34" t="inlineStr">
        <is>
          <t>UNSURE</t>
        </is>
      </c>
      <c r="G1582" s="34" t="inlineStr">
        <is>
          <t>UNSURE</t>
        </is>
      </c>
      <c r="H1582" s="34" t="inlineStr">
        <is>
          <t>APPROVED</t>
        </is>
      </c>
      <c r="I1582" s="34" t="inlineStr">
        <is>
          <t>New</t>
        </is>
      </c>
      <c r="J1582" s="34" t="inlineStr">
        <is>
          <t>Professional decision</t>
        </is>
      </c>
      <c r="K1582" s="34" t="inlineStr">
        <is>
          <t>Maya Chen, Owner Project Controls</t>
        </is>
      </c>
      <c r="L1582" s="14" t="inlineStr"/>
      <c r="M1582" s="14" t="inlineStr"/>
      <c r="N1582" s="92" t="inlineStr">
        <is>
          <t>10 EVIDENCE &amp; DECISIONS</t>
        </is>
      </c>
    </row>
    <row r="1583" ht="34" customHeight="1">
      <c r="A1583" s="34" t="inlineStr">
        <is>
          <t>Cost &amp; Forecast Control Accounts</t>
        </is>
      </c>
      <c r="B1583" s="34" t="inlineStr">
        <is>
          <t>CST-05-035</t>
        </is>
      </c>
      <c r="C1583" s="34" t="inlineStr">
        <is>
          <t>Testing &amp; readiness - defect closeout - control account</t>
        </is>
      </c>
      <c r="D1583" s="34" t="inlineStr">
        <is>
          <t>Cost Account = CA-5035</t>
        </is>
      </c>
      <c r="E1583" s="34" t="inlineStr">
        <is>
          <t>R1437-v2</t>
        </is>
      </c>
      <c r="F1583" s="34" t="inlineStr">
        <is>
          <t>UNSURE</t>
        </is>
      </c>
      <c r="G1583" s="34" t="inlineStr">
        <is>
          <t>UNSURE</t>
        </is>
      </c>
      <c r="H1583" s="34" t="inlineStr">
        <is>
          <t>APPROVED</t>
        </is>
      </c>
      <c r="I1583" s="34" t="inlineStr">
        <is>
          <t>New</t>
        </is>
      </c>
      <c r="J1583" s="34" t="inlineStr">
        <is>
          <t>Professional decision</t>
        </is>
      </c>
      <c r="K1583" s="34" t="inlineStr">
        <is>
          <t>Maya Chen, Owner Project Controls</t>
        </is>
      </c>
      <c r="L1583" s="14" t="inlineStr"/>
      <c r="M1583" s="14" t="inlineStr"/>
      <c r="N1583" s="92" t="inlineStr">
        <is>
          <t>10 EVIDENCE &amp; DECISIONS</t>
        </is>
      </c>
    </row>
    <row r="1584" ht="34" customHeight="1">
      <c r="A1584" s="34" t="inlineStr">
        <is>
          <t>Cost &amp; Forecast Control Accounts</t>
        </is>
      </c>
      <c r="B1584" s="34" t="inlineStr">
        <is>
          <t>CST-05-036</t>
        </is>
      </c>
      <c r="C1584" s="34" t="inlineStr">
        <is>
          <t>Testing &amp; readiness - test management - control account</t>
        </is>
      </c>
      <c r="D1584" s="34" t="inlineStr">
        <is>
          <t>Cost Account = CA-5036</t>
        </is>
      </c>
      <c r="E1584" s="34" t="inlineStr">
        <is>
          <t>R1438-v2</t>
        </is>
      </c>
      <c r="F1584" s="34" t="inlineStr">
        <is>
          <t>UNSURE</t>
        </is>
      </c>
      <c r="G1584" s="34" t="inlineStr">
        <is>
          <t>UNSURE</t>
        </is>
      </c>
      <c r="H1584" s="34" t="inlineStr">
        <is>
          <t>APPROVED</t>
        </is>
      </c>
      <c r="I1584" s="34" t="inlineStr">
        <is>
          <t>New</t>
        </is>
      </c>
      <c r="J1584" s="34" t="inlineStr">
        <is>
          <t>Professional decision</t>
        </is>
      </c>
      <c r="K1584" s="34" t="inlineStr">
        <is>
          <t>Maya Chen, Owner Project Controls</t>
        </is>
      </c>
      <c r="L1584" s="14" t="inlineStr"/>
      <c r="M1584" s="14" t="inlineStr"/>
      <c r="N1584" s="92" t="inlineStr">
        <is>
          <t>10 EVIDENCE &amp; DECISIONS</t>
        </is>
      </c>
    </row>
    <row r="1585" ht="34" customHeight="1">
      <c r="A1585" s="34" t="inlineStr">
        <is>
          <t>Cost &amp; Forecast Control Accounts</t>
        </is>
      </c>
      <c r="B1585" s="34" t="inlineStr">
        <is>
          <t>CST-05-037</t>
        </is>
      </c>
      <c r="C1585" s="34" t="inlineStr">
        <is>
          <t>Testing &amp; readiness - trial running - control account</t>
        </is>
      </c>
      <c r="D1585" s="34" t="inlineStr">
        <is>
          <t>Cost Account = CA-5037</t>
        </is>
      </c>
      <c r="E1585" s="34" t="inlineStr">
        <is>
          <t>R1439-v2</t>
        </is>
      </c>
      <c r="F1585" s="34" t="inlineStr">
        <is>
          <t>UNSURE</t>
        </is>
      </c>
      <c r="G1585" s="34" t="inlineStr">
        <is>
          <t>UNSURE</t>
        </is>
      </c>
      <c r="H1585" s="34" t="inlineStr">
        <is>
          <t>APPROVED</t>
        </is>
      </c>
      <c r="I1585" s="34" t="inlineStr">
        <is>
          <t>New</t>
        </is>
      </c>
      <c r="J1585" s="34" t="inlineStr">
        <is>
          <t>Professional decision</t>
        </is>
      </c>
      <c r="K1585" s="34" t="inlineStr">
        <is>
          <t>Maya Chen, Owner Project Controls</t>
        </is>
      </c>
      <c r="L1585" s="14" t="inlineStr"/>
      <c r="M1585" s="14" t="inlineStr"/>
      <c r="N1585" s="92" t="inlineStr">
        <is>
          <t>10 EVIDENCE &amp; DECISIONS</t>
        </is>
      </c>
    </row>
    <row r="1586" ht="34" customHeight="1">
      <c r="A1586" s="34" t="inlineStr">
        <is>
          <t>Cost &amp; Forecast Control Accounts</t>
        </is>
      </c>
      <c r="B1586" s="34" t="inlineStr">
        <is>
          <t>CST-05-038</t>
        </is>
      </c>
      <c r="C1586" s="34" t="inlineStr">
        <is>
          <t>Testing &amp; readiness - safety certification - control account</t>
        </is>
      </c>
      <c r="D1586" s="34" t="inlineStr">
        <is>
          <t>Cost Account = CA-5038</t>
        </is>
      </c>
      <c r="E1586" s="34" t="inlineStr">
        <is>
          <t>R1440-v2</t>
        </is>
      </c>
      <c r="F1586" s="34" t="inlineStr">
        <is>
          <t>UNSURE</t>
        </is>
      </c>
      <c r="G1586" s="34" t="inlineStr">
        <is>
          <t>UNSURE</t>
        </is>
      </c>
      <c r="H1586" s="34" t="inlineStr">
        <is>
          <t>APPROVED</t>
        </is>
      </c>
      <c r="I1586" s="34" t="inlineStr">
        <is>
          <t>New</t>
        </is>
      </c>
      <c r="J1586" s="34" t="inlineStr">
        <is>
          <t>Professional decision</t>
        </is>
      </c>
      <c r="K1586" s="34" t="inlineStr">
        <is>
          <t>Maya Chen, Owner Project Controls</t>
        </is>
      </c>
      <c r="L1586" s="14" t="inlineStr"/>
      <c r="M1586" s="14" t="inlineStr"/>
      <c r="N1586" s="92" t="inlineStr">
        <is>
          <t>10 EVIDENCE &amp; DECISIONS</t>
        </is>
      </c>
    </row>
    <row r="1587" ht="34" customHeight="1">
      <c r="A1587" s="34" t="inlineStr">
        <is>
          <t>Cost &amp; Forecast Control Accounts</t>
        </is>
      </c>
      <c r="B1587" s="34" t="inlineStr">
        <is>
          <t>CST-05-039</t>
        </is>
      </c>
      <c r="C1587" s="34" t="inlineStr">
        <is>
          <t>Testing &amp; readiness - defect closeout - control account</t>
        </is>
      </c>
      <c r="D1587" s="34" t="inlineStr">
        <is>
          <t>Cost Account = CA-5039</t>
        </is>
      </c>
      <c r="E1587" s="34" t="inlineStr">
        <is>
          <t>R1441-v2</t>
        </is>
      </c>
      <c r="F1587" s="34" t="inlineStr">
        <is>
          <t>UNSURE</t>
        </is>
      </c>
      <c r="G1587" s="34" t="inlineStr">
        <is>
          <t>UNSURE</t>
        </is>
      </c>
      <c r="H1587" s="34" t="inlineStr">
        <is>
          <t>APPROVED</t>
        </is>
      </c>
      <c r="I1587" s="34" t="inlineStr">
        <is>
          <t>New</t>
        </is>
      </c>
      <c r="J1587" s="34" t="inlineStr">
        <is>
          <t>Professional decision</t>
        </is>
      </c>
      <c r="K1587" s="34" t="inlineStr">
        <is>
          <t>Maya Chen, Owner Project Controls</t>
        </is>
      </c>
      <c r="L1587" s="14" t="inlineStr"/>
      <c r="M1587" s="14" t="inlineStr"/>
      <c r="N1587" s="92" t="inlineStr">
        <is>
          <t>10 EVIDENCE &amp; DECISIONS</t>
        </is>
      </c>
    </row>
    <row r="1588" ht="34" customHeight="1">
      <c r="A1588" s="34" t="inlineStr">
        <is>
          <t>Cost &amp; Forecast Control Accounts</t>
        </is>
      </c>
      <c r="B1588" s="34" t="inlineStr">
        <is>
          <t>CST-05-040</t>
        </is>
      </c>
      <c r="C1588" s="34" t="inlineStr">
        <is>
          <t>Testing &amp; readiness - test management - control account</t>
        </is>
      </c>
      <c r="D1588" s="34" t="inlineStr">
        <is>
          <t>Cost Account = CA-5040</t>
        </is>
      </c>
      <c r="E1588" s="34" t="inlineStr">
        <is>
          <t>R1442-v2</t>
        </is>
      </c>
      <c r="F1588" s="34" t="inlineStr">
        <is>
          <t>UNSURE</t>
        </is>
      </c>
      <c r="G1588" s="34" t="inlineStr">
        <is>
          <t>UNSURE</t>
        </is>
      </c>
      <c r="H1588" s="34" t="inlineStr">
        <is>
          <t>APPROVED</t>
        </is>
      </c>
      <c r="I1588" s="34" t="inlineStr">
        <is>
          <t>New</t>
        </is>
      </c>
      <c r="J1588" s="34" t="inlineStr">
        <is>
          <t>Professional decision</t>
        </is>
      </c>
      <c r="K1588" s="34" t="inlineStr">
        <is>
          <t>Maya Chen, Owner Project Controls</t>
        </is>
      </c>
      <c r="L1588" s="14" t="inlineStr"/>
      <c r="M1588" s="14" t="inlineStr"/>
      <c r="N1588" s="92" t="inlineStr">
        <is>
          <t>10 EVIDENCE &amp; DECISIONS</t>
        </is>
      </c>
    </row>
    <row r="1589" ht="34" customHeight="1">
      <c r="A1589" s="34" t="inlineStr">
        <is>
          <t>Cost &amp; Forecast Control Accounts</t>
        </is>
      </c>
      <c r="B1589" s="34" t="inlineStr">
        <is>
          <t>CST-05-041</t>
        </is>
      </c>
      <c r="C1589" s="34" t="inlineStr">
        <is>
          <t>Testing &amp; readiness - trial running - control account</t>
        </is>
      </c>
      <c r="D1589" s="34" t="inlineStr">
        <is>
          <t>Cost Account = CA-5041</t>
        </is>
      </c>
      <c r="E1589" s="34" t="inlineStr">
        <is>
          <t>R1443-v2</t>
        </is>
      </c>
      <c r="F1589" s="34" t="inlineStr">
        <is>
          <t>UNSURE</t>
        </is>
      </c>
      <c r="G1589" s="34" t="inlineStr">
        <is>
          <t>UNSURE</t>
        </is>
      </c>
      <c r="H1589" s="34" t="inlineStr">
        <is>
          <t>APPROVED</t>
        </is>
      </c>
      <c r="I1589" s="34" t="inlineStr">
        <is>
          <t>New</t>
        </is>
      </c>
      <c r="J1589" s="34" t="inlineStr">
        <is>
          <t>Professional decision</t>
        </is>
      </c>
      <c r="K1589" s="34" t="inlineStr">
        <is>
          <t>Maya Chen, Owner Project Controls</t>
        </is>
      </c>
      <c r="L1589" s="14" t="inlineStr"/>
      <c r="M1589" s="14" t="inlineStr"/>
      <c r="N1589" s="92" t="inlineStr">
        <is>
          <t>10 EVIDENCE &amp; DECISIONS</t>
        </is>
      </c>
    </row>
    <row r="1590" ht="34" customHeight="1">
      <c r="A1590" s="34" t="inlineStr">
        <is>
          <t>Cost &amp; Forecast Control Accounts</t>
        </is>
      </c>
      <c r="B1590" s="34" t="inlineStr">
        <is>
          <t>CST-05-042</t>
        </is>
      </c>
      <c r="C1590" s="34" t="inlineStr">
        <is>
          <t>Testing &amp; readiness - safety certification - control account</t>
        </is>
      </c>
      <c r="D1590" s="34" t="inlineStr">
        <is>
          <t>Cost Account = CA-5042</t>
        </is>
      </c>
      <c r="E1590" s="34" t="inlineStr">
        <is>
          <t>R1444-v2</t>
        </is>
      </c>
      <c r="F1590" s="34" t="inlineStr">
        <is>
          <t>UNSURE</t>
        </is>
      </c>
      <c r="G1590" s="34" t="inlineStr">
        <is>
          <t>UNSURE</t>
        </is>
      </c>
      <c r="H1590" s="34" t="inlineStr">
        <is>
          <t>APPROVED</t>
        </is>
      </c>
      <c r="I1590" s="34" t="inlineStr">
        <is>
          <t>New</t>
        </is>
      </c>
      <c r="J1590" s="34" t="inlineStr">
        <is>
          <t>Professional decision</t>
        </is>
      </c>
      <c r="K1590" s="34" t="inlineStr">
        <is>
          <t>Maya Chen, Owner Project Controls</t>
        </is>
      </c>
      <c r="L1590" s="14" t="inlineStr"/>
      <c r="M1590" s="14" t="inlineStr"/>
      <c r="N1590" s="92" t="inlineStr">
        <is>
          <t>10 EVIDENCE &amp; DECISIONS</t>
        </is>
      </c>
    </row>
    <row r="1591" ht="34" customHeight="1">
      <c r="A1591" s="34" t="inlineStr">
        <is>
          <t>Cost &amp; Forecast Control Accounts</t>
        </is>
      </c>
      <c r="B1591" s="34" t="inlineStr">
        <is>
          <t>CST-05-043</t>
        </is>
      </c>
      <c r="C1591" s="34" t="inlineStr">
        <is>
          <t>Testing &amp; readiness - defect closeout - control account</t>
        </is>
      </c>
      <c r="D1591" s="34" t="inlineStr">
        <is>
          <t>Cost Account = CA-5043</t>
        </is>
      </c>
      <c r="E1591" s="34" t="inlineStr">
        <is>
          <t>R1445-v2</t>
        </is>
      </c>
      <c r="F1591" s="34" t="inlineStr">
        <is>
          <t>UNSURE</t>
        </is>
      </c>
      <c r="G1591" s="34" t="inlineStr">
        <is>
          <t>UNSURE</t>
        </is>
      </c>
      <c r="H1591" s="34" t="inlineStr">
        <is>
          <t>APPROVED</t>
        </is>
      </c>
      <c r="I1591" s="34" t="inlineStr">
        <is>
          <t>New</t>
        </is>
      </c>
      <c r="J1591" s="34" t="inlineStr">
        <is>
          <t>Professional decision</t>
        </is>
      </c>
      <c r="K1591" s="34" t="inlineStr">
        <is>
          <t>Maya Chen, Owner Project Controls</t>
        </is>
      </c>
      <c r="L1591" s="14" t="inlineStr"/>
      <c r="M1591" s="14" t="inlineStr"/>
      <c r="N1591" s="92" t="inlineStr">
        <is>
          <t>10 EVIDENCE &amp; DECISIONS</t>
        </is>
      </c>
    </row>
    <row r="1592" ht="34" customHeight="1">
      <c r="A1592" s="34" t="inlineStr">
        <is>
          <t>Cost &amp; Forecast Control Accounts</t>
        </is>
      </c>
      <c r="B1592" s="34" t="inlineStr">
        <is>
          <t>CST-05-044</t>
        </is>
      </c>
      <c r="C1592" s="34" t="inlineStr">
        <is>
          <t>Testing &amp; readiness - test management - control account</t>
        </is>
      </c>
      <c r="D1592" s="34" t="inlineStr">
        <is>
          <t>Cost Account = CA-5044</t>
        </is>
      </c>
      <c r="E1592" s="34" t="inlineStr">
        <is>
          <t>R1446-v2</t>
        </is>
      </c>
      <c r="F1592" s="34" t="inlineStr">
        <is>
          <t>UNSURE</t>
        </is>
      </c>
      <c r="G1592" s="34" t="inlineStr">
        <is>
          <t>UNSURE</t>
        </is>
      </c>
      <c r="H1592" s="34" t="inlineStr">
        <is>
          <t>APPROVED</t>
        </is>
      </c>
      <c r="I1592" s="34" t="inlineStr">
        <is>
          <t>New</t>
        </is>
      </c>
      <c r="J1592" s="34" t="inlineStr">
        <is>
          <t>Professional decision</t>
        </is>
      </c>
      <c r="K1592" s="34" t="inlineStr">
        <is>
          <t>Maya Chen, Owner Project Controls</t>
        </is>
      </c>
      <c r="L1592" s="14" t="inlineStr"/>
      <c r="M1592" s="14" t="inlineStr"/>
      <c r="N1592" s="92" t="inlineStr">
        <is>
          <t>10 EVIDENCE &amp; DECISIONS</t>
        </is>
      </c>
    </row>
    <row r="1593" ht="34" customHeight="1">
      <c r="A1593" s="34" t="inlineStr">
        <is>
          <t>Cost &amp; Forecast Control Accounts</t>
        </is>
      </c>
      <c r="B1593" s="34" t="inlineStr">
        <is>
          <t>CST-05-045</t>
        </is>
      </c>
      <c r="C1593" s="34" t="inlineStr">
        <is>
          <t>Testing &amp; readiness - trial running - control account</t>
        </is>
      </c>
      <c r="D1593" s="34" t="inlineStr">
        <is>
          <t>Cost Account = CA-5045</t>
        </is>
      </c>
      <c r="E1593" s="34" t="inlineStr">
        <is>
          <t>R1447-v2</t>
        </is>
      </c>
      <c r="F1593" s="34" t="inlineStr">
        <is>
          <t>UNSURE</t>
        </is>
      </c>
      <c r="G1593" s="34" t="inlineStr">
        <is>
          <t>UNSURE</t>
        </is>
      </c>
      <c r="H1593" s="34" t="inlineStr">
        <is>
          <t>APPROVED</t>
        </is>
      </c>
      <c r="I1593" s="34" t="inlineStr">
        <is>
          <t>New</t>
        </is>
      </c>
      <c r="J1593" s="34" t="inlineStr">
        <is>
          <t>Professional decision</t>
        </is>
      </c>
      <c r="K1593" s="34" t="inlineStr">
        <is>
          <t>Maya Chen, Owner Project Controls</t>
        </is>
      </c>
      <c r="L1593" s="14" t="inlineStr"/>
      <c r="M1593" s="14" t="inlineStr"/>
      <c r="N1593" s="92" t="inlineStr">
        <is>
          <t>10 EVIDENCE &amp; DECISIONS</t>
        </is>
      </c>
    </row>
    <row r="1594" ht="34" customHeight="1">
      <c r="A1594" s="34" t="inlineStr">
        <is>
          <t>Cost &amp; Forecast Control Accounts</t>
        </is>
      </c>
      <c r="B1594" s="34" t="inlineStr">
        <is>
          <t>CST-05-046</t>
        </is>
      </c>
      <c r="C1594" s="34" t="inlineStr">
        <is>
          <t>Testing &amp; readiness - safety certification - control account</t>
        </is>
      </c>
      <c r="D1594" s="34" t="inlineStr">
        <is>
          <t>Cost Account = CA-5046</t>
        </is>
      </c>
      <c r="E1594" s="34" t="inlineStr">
        <is>
          <t>R1448-v2</t>
        </is>
      </c>
      <c r="F1594" s="34" t="inlineStr">
        <is>
          <t>UNSURE</t>
        </is>
      </c>
      <c r="G1594" s="34" t="inlineStr">
        <is>
          <t>UNSURE</t>
        </is>
      </c>
      <c r="H1594" s="34" t="inlineStr">
        <is>
          <t>APPROVED</t>
        </is>
      </c>
      <c r="I1594" s="34" t="inlineStr">
        <is>
          <t>New</t>
        </is>
      </c>
      <c r="J1594" s="34" t="inlineStr">
        <is>
          <t>Professional decision</t>
        </is>
      </c>
      <c r="K1594" s="34" t="inlineStr">
        <is>
          <t>Maya Chen, Owner Project Controls</t>
        </is>
      </c>
      <c r="L1594" s="14" t="inlineStr"/>
      <c r="M1594" s="14" t="inlineStr"/>
      <c r="N1594" s="92" t="inlineStr">
        <is>
          <t>10 EVIDENCE &amp; DECISIONS</t>
        </is>
      </c>
    </row>
    <row r="1595" ht="34" customHeight="1">
      <c r="A1595" s="34" t="inlineStr">
        <is>
          <t>Cost &amp; Forecast Control Accounts</t>
        </is>
      </c>
      <c r="B1595" s="34" t="inlineStr">
        <is>
          <t>CST-05-047</t>
        </is>
      </c>
      <c r="C1595" s="34" t="inlineStr">
        <is>
          <t>Testing &amp; readiness - defect closeout - control account</t>
        </is>
      </c>
      <c r="D1595" s="34" t="inlineStr">
        <is>
          <t>Cost Account = CA-5047</t>
        </is>
      </c>
      <c r="E1595" s="34" t="inlineStr">
        <is>
          <t>R1449-v2</t>
        </is>
      </c>
      <c r="F1595" s="34" t="inlineStr">
        <is>
          <t>UNSURE</t>
        </is>
      </c>
      <c r="G1595" s="34" t="inlineStr">
        <is>
          <t>UNSURE</t>
        </is>
      </c>
      <c r="H1595" s="34" t="inlineStr">
        <is>
          <t>APPROVED</t>
        </is>
      </c>
      <c r="I1595" s="34" t="inlineStr">
        <is>
          <t>New</t>
        </is>
      </c>
      <c r="J1595" s="34" t="inlineStr">
        <is>
          <t>Professional decision</t>
        </is>
      </c>
      <c r="K1595" s="34" t="inlineStr">
        <is>
          <t>Maya Chen, Owner Project Controls</t>
        </is>
      </c>
      <c r="L1595" s="14" t="inlineStr"/>
      <c r="M1595" s="14" t="inlineStr"/>
      <c r="N1595" s="92" t="inlineStr">
        <is>
          <t>10 EVIDENCE &amp; DECISIONS</t>
        </is>
      </c>
    </row>
    <row r="1596" ht="34" customHeight="1">
      <c r="A1596" s="34" t="inlineStr">
        <is>
          <t>Cost &amp; Forecast Control Accounts</t>
        </is>
      </c>
      <c r="B1596" s="34" t="inlineStr">
        <is>
          <t>CST-05-048</t>
        </is>
      </c>
      <c r="C1596" s="34" t="inlineStr">
        <is>
          <t>Testing &amp; readiness - test management - control account</t>
        </is>
      </c>
      <c r="D1596" s="34" t="inlineStr">
        <is>
          <t>Cost Account = CA-5048</t>
        </is>
      </c>
      <c r="E1596" s="34" t="inlineStr">
        <is>
          <t>R1450-v2</t>
        </is>
      </c>
      <c r="F1596" s="34" t="inlineStr">
        <is>
          <t>UNSURE</t>
        </is>
      </c>
      <c r="G1596" s="34" t="inlineStr">
        <is>
          <t>UNSURE</t>
        </is>
      </c>
      <c r="H1596" s="34" t="inlineStr">
        <is>
          <t>APPROVED</t>
        </is>
      </c>
      <c r="I1596" s="34" t="inlineStr">
        <is>
          <t>New</t>
        </is>
      </c>
      <c r="J1596" s="34" t="inlineStr">
        <is>
          <t>Professional decision</t>
        </is>
      </c>
      <c r="K1596" s="34" t="inlineStr">
        <is>
          <t>Maya Chen, Owner Project Controls</t>
        </is>
      </c>
      <c r="L1596" s="14" t="inlineStr"/>
      <c r="M1596" s="14" t="inlineStr"/>
      <c r="N1596" s="92" t="inlineStr">
        <is>
          <t>10 EVIDENCE &amp; DECISIONS</t>
        </is>
      </c>
    </row>
    <row r="1597" ht="34" customHeight="1">
      <c r="A1597" s="34" t="inlineStr">
        <is>
          <t>Cost &amp; Forecast Control Accounts</t>
        </is>
      </c>
      <c r="B1597" s="34" t="inlineStr">
        <is>
          <t>CST-05-049</t>
        </is>
      </c>
      <c r="C1597" s="34" t="inlineStr">
        <is>
          <t>Testing &amp; readiness - trial running - control account</t>
        </is>
      </c>
      <c r="D1597" s="34" t="inlineStr">
        <is>
          <t>Cost Account = CA-5049</t>
        </is>
      </c>
      <c r="E1597" s="34" t="inlineStr">
        <is>
          <t>R1451-v2</t>
        </is>
      </c>
      <c r="F1597" s="34" t="inlineStr">
        <is>
          <t>UNSURE</t>
        </is>
      </c>
      <c r="G1597" s="34" t="inlineStr">
        <is>
          <t>UNSURE</t>
        </is>
      </c>
      <c r="H1597" s="34" t="inlineStr">
        <is>
          <t>APPROVED</t>
        </is>
      </c>
      <c r="I1597" s="34" t="inlineStr">
        <is>
          <t>New</t>
        </is>
      </c>
      <c r="J1597" s="34" t="inlineStr">
        <is>
          <t>Professional decision</t>
        </is>
      </c>
      <c r="K1597" s="34" t="inlineStr">
        <is>
          <t>Maya Chen, Owner Project Controls</t>
        </is>
      </c>
      <c r="L1597" s="14" t="inlineStr"/>
      <c r="M1597" s="14" t="inlineStr"/>
      <c r="N1597" s="92" t="inlineStr">
        <is>
          <t>10 EVIDENCE &amp; DECISIONS</t>
        </is>
      </c>
    </row>
    <row r="1598" ht="34" customHeight="1">
      <c r="A1598" s="34" t="inlineStr">
        <is>
          <t>Cost &amp; Forecast Control Accounts</t>
        </is>
      </c>
      <c r="B1598" s="34" t="inlineStr">
        <is>
          <t>CST-05-050</t>
        </is>
      </c>
      <c r="C1598" s="34" t="inlineStr">
        <is>
          <t>Testing &amp; readiness - safety certification - control account</t>
        </is>
      </c>
      <c r="D1598" s="34" t="inlineStr">
        <is>
          <t>Cost Account = CA-5050</t>
        </is>
      </c>
      <c r="E1598" s="34" t="inlineStr">
        <is>
          <t>R1452-v2</t>
        </is>
      </c>
      <c r="F1598" s="34" t="inlineStr">
        <is>
          <t>UNSURE</t>
        </is>
      </c>
      <c r="G1598" s="34" t="inlineStr">
        <is>
          <t>UNSURE</t>
        </is>
      </c>
      <c r="H1598" s="34" t="inlineStr">
        <is>
          <t>APPROVED</t>
        </is>
      </c>
      <c r="I1598" s="34" t="inlineStr">
        <is>
          <t>New</t>
        </is>
      </c>
      <c r="J1598" s="34" t="inlineStr">
        <is>
          <t>Professional decision</t>
        </is>
      </c>
      <c r="K1598" s="34" t="inlineStr">
        <is>
          <t>Maya Chen, Owner Project Controls</t>
        </is>
      </c>
      <c r="L1598" s="14" t="inlineStr"/>
      <c r="M1598" s="14" t="inlineStr"/>
      <c r="N1598" s="92" t="inlineStr">
        <is>
          <t>10 EVIDENCE &amp; DECISIONS</t>
        </is>
      </c>
    </row>
    <row r="1599" ht="34" customHeight="1">
      <c r="A1599" s="34" t="inlineStr">
        <is>
          <t>Cost &amp; Forecast Control Accounts</t>
        </is>
      </c>
      <c r="B1599" s="34" t="inlineStr">
        <is>
          <t>CST-05-051</t>
        </is>
      </c>
      <c r="C1599" s="34" t="inlineStr">
        <is>
          <t>Testing &amp; readiness - defect closeout - control account</t>
        </is>
      </c>
      <c r="D1599" s="34" t="inlineStr">
        <is>
          <t>Cost Account = CA-5051</t>
        </is>
      </c>
      <c r="E1599" s="34" t="inlineStr">
        <is>
          <t>R1453-v2</t>
        </is>
      </c>
      <c r="F1599" s="34" t="inlineStr">
        <is>
          <t>UNSURE</t>
        </is>
      </c>
      <c r="G1599" s="34" t="inlineStr">
        <is>
          <t>UNSURE</t>
        </is>
      </c>
      <c r="H1599" s="34" t="inlineStr">
        <is>
          <t>APPROVED</t>
        </is>
      </c>
      <c r="I1599" s="34" t="inlineStr">
        <is>
          <t>New</t>
        </is>
      </c>
      <c r="J1599" s="34" t="inlineStr">
        <is>
          <t>Professional decision</t>
        </is>
      </c>
      <c r="K1599" s="34" t="inlineStr">
        <is>
          <t>Maya Chen, Owner Project Controls</t>
        </is>
      </c>
      <c r="L1599" s="14" t="inlineStr"/>
      <c r="M1599" s="14" t="inlineStr"/>
      <c r="N1599" s="92" t="inlineStr">
        <is>
          <t>10 EVIDENCE &amp; DECISIONS</t>
        </is>
      </c>
    </row>
    <row r="1600" ht="34" customHeight="1">
      <c r="A1600" s="34" t="inlineStr">
        <is>
          <t>Cost &amp; Forecast Control Accounts</t>
        </is>
      </c>
      <c r="B1600" s="34" t="inlineStr">
        <is>
          <t>CST-05-052</t>
        </is>
      </c>
      <c r="C1600" s="34" t="inlineStr">
        <is>
          <t>Testing &amp; readiness - test management - control account</t>
        </is>
      </c>
      <c r="D1600" s="34" t="inlineStr">
        <is>
          <t>Cost Account = CA-5052</t>
        </is>
      </c>
      <c r="E1600" s="34" t="inlineStr">
        <is>
          <t>R1454-v2</t>
        </is>
      </c>
      <c r="F1600" s="34" t="inlineStr">
        <is>
          <t>UNSURE</t>
        </is>
      </c>
      <c r="G1600" s="34" t="inlineStr">
        <is>
          <t>UNSURE</t>
        </is>
      </c>
      <c r="H1600" s="34" t="inlineStr">
        <is>
          <t>APPROVED</t>
        </is>
      </c>
      <c r="I1600" s="34" t="inlineStr">
        <is>
          <t>New</t>
        </is>
      </c>
      <c r="J1600" s="34" t="inlineStr">
        <is>
          <t>Professional decision</t>
        </is>
      </c>
      <c r="K1600" s="34" t="inlineStr">
        <is>
          <t>Maya Chen, Owner Project Controls</t>
        </is>
      </c>
      <c r="L1600" s="14" t="inlineStr"/>
      <c r="M1600" s="14" t="inlineStr"/>
      <c r="N1600" s="92" t="inlineStr">
        <is>
          <t>10 EVIDENCE &amp; DECISIONS</t>
        </is>
      </c>
    </row>
    <row r="1601" ht="34" customHeight="1">
      <c r="A1601" s="34" t="inlineStr">
        <is>
          <t>Cost &amp; Forecast Control Accounts</t>
        </is>
      </c>
      <c r="B1601" s="34" t="inlineStr">
        <is>
          <t>CST-05-053</t>
        </is>
      </c>
      <c r="C1601" s="34" t="inlineStr">
        <is>
          <t>Testing &amp; readiness - trial running - control account</t>
        </is>
      </c>
      <c r="D1601" s="34" t="inlineStr">
        <is>
          <t>Cost Account = CA-5053</t>
        </is>
      </c>
      <c r="E1601" s="34" t="inlineStr">
        <is>
          <t>R1455-v2</t>
        </is>
      </c>
      <c r="F1601" s="34" t="inlineStr">
        <is>
          <t>UNSURE</t>
        </is>
      </c>
      <c r="G1601" s="34" t="inlineStr">
        <is>
          <t>UNSURE</t>
        </is>
      </c>
      <c r="H1601" s="34" t="inlineStr">
        <is>
          <t>APPROVED</t>
        </is>
      </c>
      <c r="I1601" s="34" t="inlineStr">
        <is>
          <t>New</t>
        </is>
      </c>
      <c r="J1601" s="34" t="inlineStr">
        <is>
          <t>Professional decision</t>
        </is>
      </c>
      <c r="K1601" s="34" t="inlineStr">
        <is>
          <t>Maya Chen, Owner Project Controls</t>
        </is>
      </c>
      <c r="L1601" s="14" t="inlineStr"/>
      <c r="M1601" s="14" t="inlineStr"/>
      <c r="N1601" s="92" t="inlineStr">
        <is>
          <t>10 EVIDENCE &amp; DECISIONS</t>
        </is>
      </c>
    </row>
    <row r="1602" ht="34" customHeight="1">
      <c r="A1602" s="34" t="inlineStr">
        <is>
          <t>Cost &amp; Forecast Control Accounts</t>
        </is>
      </c>
      <c r="B1602" s="34" t="inlineStr">
        <is>
          <t>CST-05-054</t>
        </is>
      </c>
      <c r="C1602" s="34" t="inlineStr">
        <is>
          <t>Testing &amp; readiness - safety certification - control account</t>
        </is>
      </c>
      <c r="D1602" s="34" t="inlineStr">
        <is>
          <t>Cost Account = CA-5054</t>
        </is>
      </c>
      <c r="E1602" s="34" t="inlineStr">
        <is>
          <t>R1456-v2</t>
        </is>
      </c>
      <c r="F1602" s="34" t="inlineStr">
        <is>
          <t>UNSURE</t>
        </is>
      </c>
      <c r="G1602" s="34" t="inlineStr">
        <is>
          <t>UNSURE</t>
        </is>
      </c>
      <c r="H1602" s="34" t="inlineStr">
        <is>
          <t>APPROVED</t>
        </is>
      </c>
      <c r="I1602" s="34" t="inlineStr">
        <is>
          <t>New</t>
        </is>
      </c>
      <c r="J1602" s="34" t="inlineStr">
        <is>
          <t>Professional decision</t>
        </is>
      </c>
      <c r="K1602" s="34" t="inlineStr">
        <is>
          <t>Maya Chen, Owner Project Controls</t>
        </is>
      </c>
      <c r="L1602" s="14" t="inlineStr"/>
      <c r="M1602" s="14" t="inlineStr"/>
      <c r="N1602" s="92" t="inlineStr">
        <is>
          <t>10 EVIDENCE &amp; DECISIONS</t>
        </is>
      </c>
    </row>
    <row r="1603" ht="34" customHeight="1">
      <c r="A1603" s="34" t="inlineStr">
        <is>
          <t>Cost &amp; Forecast Control Accounts</t>
        </is>
      </c>
      <c r="B1603" s="34" t="inlineStr">
        <is>
          <t>CST-05-055</t>
        </is>
      </c>
      <c r="C1603" s="34" t="inlineStr">
        <is>
          <t>Testing &amp; readiness - defect closeout - control account</t>
        </is>
      </c>
      <c r="D1603" s="34" t="inlineStr">
        <is>
          <t>Cost Account = CA-5055</t>
        </is>
      </c>
      <c r="E1603" s="34" t="inlineStr">
        <is>
          <t>R1457-v2</t>
        </is>
      </c>
      <c r="F1603" s="34" t="inlineStr">
        <is>
          <t>UNSURE</t>
        </is>
      </c>
      <c r="G1603" s="34" t="inlineStr">
        <is>
          <t>UNSURE</t>
        </is>
      </c>
      <c r="H1603" s="34" t="inlineStr">
        <is>
          <t>APPROVED</t>
        </is>
      </c>
      <c r="I1603" s="34" t="inlineStr">
        <is>
          <t>New</t>
        </is>
      </c>
      <c r="J1603" s="34" t="inlineStr">
        <is>
          <t>Professional decision</t>
        </is>
      </c>
      <c r="K1603" s="34" t="inlineStr">
        <is>
          <t>Maya Chen, Owner Project Controls</t>
        </is>
      </c>
      <c r="L1603" s="14" t="inlineStr"/>
      <c r="M1603" s="14" t="inlineStr"/>
      <c r="N1603" s="92" t="inlineStr">
        <is>
          <t>10 EVIDENCE &amp; DECISIONS</t>
        </is>
      </c>
    </row>
    <row r="1604" ht="34" customHeight="1">
      <c r="A1604" s="34" t="inlineStr">
        <is>
          <t>Cost &amp; Forecast Control Accounts</t>
        </is>
      </c>
      <c r="B1604" s="34" t="inlineStr">
        <is>
          <t>CST-05-056</t>
        </is>
      </c>
      <c r="C1604" s="34" t="inlineStr">
        <is>
          <t>Testing &amp; readiness - test management - control account</t>
        </is>
      </c>
      <c r="D1604" s="34" t="inlineStr">
        <is>
          <t>Cost Account = CA-5056</t>
        </is>
      </c>
      <c r="E1604" s="34" t="inlineStr">
        <is>
          <t>R1458-v2</t>
        </is>
      </c>
      <c r="F1604" s="34" t="inlineStr">
        <is>
          <t>UNSURE</t>
        </is>
      </c>
      <c r="G1604" s="34" t="inlineStr">
        <is>
          <t>UNSURE</t>
        </is>
      </c>
      <c r="H1604" s="34" t="inlineStr">
        <is>
          <t>APPROVED</t>
        </is>
      </c>
      <c r="I1604" s="34" t="inlineStr">
        <is>
          <t>New</t>
        </is>
      </c>
      <c r="J1604" s="34" t="inlineStr">
        <is>
          <t>Professional decision</t>
        </is>
      </c>
      <c r="K1604" s="34" t="inlineStr">
        <is>
          <t>Maya Chen, Owner Project Controls</t>
        </is>
      </c>
      <c r="L1604" s="14" t="inlineStr"/>
      <c r="M1604" s="14" t="inlineStr"/>
      <c r="N1604" s="92" t="inlineStr">
        <is>
          <t>10 EVIDENCE &amp; DECISIONS</t>
        </is>
      </c>
    </row>
    <row r="1605" ht="34" customHeight="1">
      <c r="A1605" s="34" t="inlineStr">
        <is>
          <t>Cost &amp; Forecast Control Accounts</t>
        </is>
      </c>
      <c r="B1605" s="34" t="inlineStr">
        <is>
          <t>CST-05-057</t>
        </is>
      </c>
      <c r="C1605" s="34" t="inlineStr">
        <is>
          <t>Testing &amp; readiness - trial running - control account</t>
        </is>
      </c>
      <c r="D1605" s="34" t="inlineStr">
        <is>
          <t>Cost Account = CA-5057</t>
        </is>
      </c>
      <c r="E1605" s="34" t="inlineStr">
        <is>
          <t>R1459-v2</t>
        </is>
      </c>
      <c r="F1605" s="34" t="inlineStr">
        <is>
          <t>UNSURE</t>
        </is>
      </c>
      <c r="G1605" s="34" t="inlineStr">
        <is>
          <t>UNSURE</t>
        </is>
      </c>
      <c r="H1605" s="34" t="inlineStr">
        <is>
          <t>APPROVED</t>
        </is>
      </c>
      <c r="I1605" s="34" t="inlineStr">
        <is>
          <t>New</t>
        </is>
      </c>
      <c r="J1605" s="34" t="inlineStr">
        <is>
          <t>Professional decision</t>
        </is>
      </c>
      <c r="K1605" s="34" t="inlineStr">
        <is>
          <t>Maya Chen, Owner Project Controls</t>
        </is>
      </c>
      <c r="L1605" s="14" t="inlineStr"/>
      <c r="M1605" s="14" t="inlineStr"/>
      <c r="N1605" s="92" t="inlineStr">
        <is>
          <t>10 EVIDENCE &amp; DECISIONS</t>
        </is>
      </c>
    </row>
    <row r="1606" ht="34" customHeight="1">
      <c r="A1606" s="34" t="inlineStr">
        <is>
          <t>Cost &amp; Forecast Control Accounts</t>
        </is>
      </c>
      <c r="B1606" s="34" t="inlineStr">
        <is>
          <t>CST-05-058</t>
        </is>
      </c>
      <c r="C1606" s="34" t="inlineStr">
        <is>
          <t>Testing &amp; readiness - safety certification - control account</t>
        </is>
      </c>
      <c r="D1606" s="34" t="inlineStr">
        <is>
          <t>Cost Account = CA-5058</t>
        </is>
      </c>
      <c r="E1606" s="34" t="inlineStr">
        <is>
          <t>R1460-v2</t>
        </is>
      </c>
      <c r="F1606" s="34" t="inlineStr">
        <is>
          <t>UNSURE</t>
        </is>
      </c>
      <c r="G1606" s="34" t="inlineStr">
        <is>
          <t>UNSURE</t>
        </is>
      </c>
      <c r="H1606" s="34" t="inlineStr">
        <is>
          <t>APPROVED</t>
        </is>
      </c>
      <c r="I1606" s="34" t="inlineStr">
        <is>
          <t>New</t>
        </is>
      </c>
      <c r="J1606" s="34" t="inlineStr">
        <is>
          <t>Professional decision</t>
        </is>
      </c>
      <c r="K1606" s="34" t="inlineStr">
        <is>
          <t>Maya Chen, Owner Project Controls</t>
        </is>
      </c>
      <c r="L1606" s="14" t="inlineStr"/>
      <c r="M1606" s="14" t="inlineStr"/>
      <c r="N1606" s="92" t="inlineStr">
        <is>
          <t>10 EVIDENCE &amp; DECISIONS</t>
        </is>
      </c>
    </row>
    <row r="1607" ht="34" customHeight="1">
      <c r="A1607" s="34" t="inlineStr">
        <is>
          <t>Cost &amp; Forecast Control Accounts</t>
        </is>
      </c>
      <c r="B1607" s="34" t="inlineStr">
        <is>
          <t>CST-05-059</t>
        </is>
      </c>
      <c r="C1607" s="34" t="inlineStr">
        <is>
          <t>Testing &amp; readiness - defect closeout - control account</t>
        </is>
      </c>
      <c r="D1607" s="34" t="inlineStr">
        <is>
          <t>Cost Account = CA-5059</t>
        </is>
      </c>
      <c r="E1607" s="34" t="inlineStr">
        <is>
          <t>R1461-v2</t>
        </is>
      </c>
      <c r="F1607" s="34" t="inlineStr">
        <is>
          <t>UNSURE</t>
        </is>
      </c>
      <c r="G1607" s="34" t="inlineStr">
        <is>
          <t>UNSURE</t>
        </is>
      </c>
      <c r="H1607" s="34" t="inlineStr">
        <is>
          <t>APPROVED</t>
        </is>
      </c>
      <c r="I1607" s="34" t="inlineStr">
        <is>
          <t>New</t>
        </is>
      </c>
      <c r="J1607" s="34" t="inlineStr">
        <is>
          <t>Professional decision</t>
        </is>
      </c>
      <c r="K1607" s="34" t="inlineStr">
        <is>
          <t>Maya Chen, Owner Project Controls</t>
        </is>
      </c>
      <c r="L1607" s="14" t="inlineStr"/>
      <c r="M1607" s="14" t="inlineStr"/>
      <c r="N1607" s="92" t="inlineStr">
        <is>
          <t>10 EVIDENCE &amp; DECISIONS</t>
        </is>
      </c>
    </row>
    <row r="1608" ht="34" customHeight="1">
      <c r="A1608" s="34" t="inlineStr">
        <is>
          <t>Cost &amp; Forecast Control Accounts</t>
        </is>
      </c>
      <c r="B1608" s="34" t="inlineStr">
        <is>
          <t>CST-05-060</t>
        </is>
      </c>
      <c r="C1608" s="34" t="inlineStr">
        <is>
          <t>Testing &amp; readiness - test management - control account</t>
        </is>
      </c>
      <c r="D1608" s="34" t="inlineStr">
        <is>
          <t>Cost Account = CA-5060</t>
        </is>
      </c>
      <c r="E1608" s="34" t="inlineStr">
        <is>
          <t>R1462-v2</t>
        </is>
      </c>
      <c r="F1608" s="34" t="inlineStr">
        <is>
          <t>UNSURE</t>
        </is>
      </c>
      <c r="G1608" s="34" t="inlineStr">
        <is>
          <t>UNSURE</t>
        </is>
      </c>
      <c r="H1608" s="34" t="inlineStr">
        <is>
          <t>APPROVED</t>
        </is>
      </c>
      <c r="I1608" s="34" t="inlineStr">
        <is>
          <t>New</t>
        </is>
      </c>
      <c r="J1608" s="34" t="inlineStr">
        <is>
          <t>Professional decision</t>
        </is>
      </c>
      <c r="K1608" s="34" t="inlineStr">
        <is>
          <t>Maya Chen, Owner Project Controls</t>
        </is>
      </c>
      <c r="L1608" s="14" t="inlineStr"/>
      <c r="M1608" s="14" t="inlineStr"/>
      <c r="N1608" s="92" t="inlineStr">
        <is>
          <t>10 EVIDENCE &amp; DECISIONS</t>
        </is>
      </c>
    </row>
    <row r="1609" ht="34" customHeight="1">
      <c r="A1609" s="34" t="inlineStr">
        <is>
          <t>Cost &amp; Forecast Control Accounts</t>
        </is>
      </c>
      <c r="B1609" s="34" t="inlineStr">
        <is>
          <t>CST-05-061</t>
        </is>
      </c>
      <c r="C1609" s="34" t="inlineStr">
        <is>
          <t>Testing &amp; readiness - trial running - control account</t>
        </is>
      </c>
      <c r="D1609" s="34" t="inlineStr">
        <is>
          <t>Cost Account = CA-5061</t>
        </is>
      </c>
      <c r="E1609" s="34" t="inlineStr">
        <is>
          <t>R1463-v2</t>
        </is>
      </c>
      <c r="F1609" s="34" t="inlineStr">
        <is>
          <t>UNSURE</t>
        </is>
      </c>
      <c r="G1609" s="34" t="inlineStr">
        <is>
          <t>UNSURE</t>
        </is>
      </c>
      <c r="H1609" s="34" t="inlineStr">
        <is>
          <t>APPROVED</t>
        </is>
      </c>
      <c r="I1609" s="34" t="inlineStr">
        <is>
          <t>New</t>
        </is>
      </c>
      <c r="J1609" s="34" t="inlineStr">
        <is>
          <t>Professional decision</t>
        </is>
      </c>
      <c r="K1609" s="34" t="inlineStr">
        <is>
          <t>Maya Chen, Owner Project Controls</t>
        </is>
      </c>
      <c r="L1609" s="14" t="inlineStr"/>
      <c r="M1609" s="14" t="inlineStr"/>
      <c r="N1609" s="92" t="inlineStr">
        <is>
          <t>10 EVIDENCE &amp; DECISIONS</t>
        </is>
      </c>
    </row>
    <row r="1610" ht="34" customHeight="1">
      <c r="A1610" s="34" t="inlineStr">
        <is>
          <t>Cost &amp; Forecast Control Accounts</t>
        </is>
      </c>
      <c r="B1610" s="34" t="inlineStr">
        <is>
          <t>CST-05-062</t>
        </is>
      </c>
      <c r="C1610" s="34" t="inlineStr">
        <is>
          <t>Testing &amp; readiness - safety certification - control account</t>
        </is>
      </c>
      <c r="D1610" s="34" t="inlineStr">
        <is>
          <t>Cost Account = CA-5062</t>
        </is>
      </c>
      <c r="E1610" s="34" t="inlineStr">
        <is>
          <t>R1464-v2</t>
        </is>
      </c>
      <c r="F1610" s="34" t="inlineStr">
        <is>
          <t>UNSURE</t>
        </is>
      </c>
      <c r="G1610" s="34" t="inlineStr">
        <is>
          <t>UNSURE</t>
        </is>
      </c>
      <c r="H1610" s="34" t="inlineStr">
        <is>
          <t>APPROVED</t>
        </is>
      </c>
      <c r="I1610" s="34" t="inlineStr">
        <is>
          <t>New</t>
        </is>
      </c>
      <c r="J1610" s="34" t="inlineStr">
        <is>
          <t>Professional decision</t>
        </is>
      </c>
      <c r="K1610" s="34" t="inlineStr">
        <is>
          <t>Maya Chen, Owner Project Controls</t>
        </is>
      </c>
      <c r="L1610" s="14" t="inlineStr"/>
      <c r="M1610" s="14" t="inlineStr"/>
      <c r="N1610" s="92" t="inlineStr">
        <is>
          <t>10 EVIDENCE &amp; DECISIONS</t>
        </is>
      </c>
    </row>
    <row r="1611" ht="34" customHeight="1">
      <c r="A1611" s="34" t="inlineStr">
        <is>
          <t>Cost &amp; Forecast Control Accounts</t>
        </is>
      </c>
      <c r="B1611" s="34" t="inlineStr">
        <is>
          <t>CST-05-063</t>
        </is>
      </c>
      <c r="C1611" s="34" t="inlineStr">
        <is>
          <t>Testing &amp; readiness - defect closeout - control account</t>
        </is>
      </c>
      <c r="D1611" s="34" t="inlineStr">
        <is>
          <t>Cost Account = CA-5063</t>
        </is>
      </c>
      <c r="E1611" s="34" t="inlineStr">
        <is>
          <t>R1465-v2</t>
        </is>
      </c>
      <c r="F1611" s="34" t="inlineStr">
        <is>
          <t>UNSURE</t>
        </is>
      </c>
      <c r="G1611" s="34" t="inlineStr">
        <is>
          <t>UNSURE</t>
        </is>
      </c>
      <c r="H1611" s="34" t="inlineStr">
        <is>
          <t>APPROVED</t>
        </is>
      </c>
      <c r="I1611" s="34" t="inlineStr">
        <is>
          <t>New</t>
        </is>
      </c>
      <c r="J1611" s="34" t="inlineStr">
        <is>
          <t>Professional decision</t>
        </is>
      </c>
      <c r="K1611" s="34" t="inlineStr">
        <is>
          <t>Maya Chen, Owner Project Controls</t>
        </is>
      </c>
      <c r="L1611" s="14" t="inlineStr"/>
      <c r="M1611" s="14" t="inlineStr"/>
      <c r="N1611" s="92" t="inlineStr">
        <is>
          <t>10 EVIDENCE &amp; DECISIONS</t>
        </is>
      </c>
    </row>
    <row r="1612" ht="34" customHeight="1">
      <c r="A1612" s="34" t="inlineStr">
        <is>
          <t>Cost &amp; Forecast Control Accounts</t>
        </is>
      </c>
      <c r="B1612" s="34" t="inlineStr">
        <is>
          <t>CST-05-064</t>
        </is>
      </c>
      <c r="C1612" s="34" t="inlineStr">
        <is>
          <t>Testing &amp; readiness - test management - control account</t>
        </is>
      </c>
      <c r="D1612" s="34" t="inlineStr">
        <is>
          <t>Cost Account = CA-5064</t>
        </is>
      </c>
      <c r="E1612" s="34" t="inlineStr">
        <is>
          <t>R1466-v2</t>
        </is>
      </c>
      <c r="F1612" s="34" t="inlineStr">
        <is>
          <t>UNSURE</t>
        </is>
      </c>
      <c r="G1612" s="34" t="inlineStr">
        <is>
          <t>UNSURE</t>
        </is>
      </c>
      <c r="H1612" s="34" t="inlineStr">
        <is>
          <t>APPROVED</t>
        </is>
      </c>
      <c r="I1612" s="34" t="inlineStr">
        <is>
          <t>New</t>
        </is>
      </c>
      <c r="J1612" s="34" t="inlineStr">
        <is>
          <t>Professional decision</t>
        </is>
      </c>
      <c r="K1612" s="34" t="inlineStr">
        <is>
          <t>Maya Chen, Owner Project Controls</t>
        </is>
      </c>
      <c r="L1612" s="14" t="inlineStr"/>
      <c r="M1612" s="14" t="inlineStr"/>
      <c r="N1612" s="92" t="inlineStr">
        <is>
          <t>10 EVIDENCE &amp; DECISIONS</t>
        </is>
      </c>
    </row>
    <row r="1613" ht="34" customHeight="1">
      <c r="A1613" s="34" t="inlineStr">
        <is>
          <t>Cost &amp; Forecast Control Accounts</t>
        </is>
      </c>
      <c r="B1613" s="34" t="inlineStr">
        <is>
          <t>CST-05-065</t>
        </is>
      </c>
      <c r="C1613" s="34" t="inlineStr">
        <is>
          <t>Testing &amp; readiness - trial running - control account</t>
        </is>
      </c>
      <c r="D1613" s="34" t="inlineStr">
        <is>
          <t>Cost Account = CA-5065</t>
        </is>
      </c>
      <c r="E1613" s="34" t="inlineStr">
        <is>
          <t>R1467-v2</t>
        </is>
      </c>
      <c r="F1613" s="34" t="inlineStr">
        <is>
          <t>UNSURE</t>
        </is>
      </c>
      <c r="G1613" s="34" t="inlineStr">
        <is>
          <t>UNSURE</t>
        </is>
      </c>
      <c r="H1613" s="34" t="inlineStr">
        <is>
          <t>APPROVED</t>
        </is>
      </c>
      <c r="I1613" s="34" t="inlineStr">
        <is>
          <t>New</t>
        </is>
      </c>
      <c r="J1613" s="34" t="inlineStr">
        <is>
          <t>Professional decision</t>
        </is>
      </c>
      <c r="K1613" s="34" t="inlineStr">
        <is>
          <t>Maya Chen, Owner Project Controls</t>
        </is>
      </c>
      <c r="L1613" s="14" t="inlineStr"/>
      <c r="M1613" s="14" t="inlineStr"/>
      <c r="N1613" s="92" t="inlineStr">
        <is>
          <t>10 EVIDENCE &amp; DECISIONS</t>
        </is>
      </c>
    </row>
    <row r="1614" ht="34" customHeight="1">
      <c r="A1614" s="34" t="inlineStr">
        <is>
          <t>Cost &amp; Forecast Control Accounts</t>
        </is>
      </c>
      <c r="B1614" s="34" t="inlineStr">
        <is>
          <t>CST-05-066</t>
        </is>
      </c>
      <c r="C1614" s="34" t="inlineStr">
        <is>
          <t>Testing &amp; readiness - safety certification - control account</t>
        </is>
      </c>
      <c r="D1614" s="34" t="inlineStr">
        <is>
          <t>Cost Account = CA-5066</t>
        </is>
      </c>
      <c r="E1614" s="34" t="inlineStr">
        <is>
          <t>R1468-v2</t>
        </is>
      </c>
      <c r="F1614" s="34" t="inlineStr">
        <is>
          <t>UNSURE</t>
        </is>
      </c>
      <c r="G1614" s="34" t="inlineStr">
        <is>
          <t>UNSURE</t>
        </is>
      </c>
      <c r="H1614" s="34" t="inlineStr">
        <is>
          <t>APPROVED</t>
        </is>
      </c>
      <c r="I1614" s="34" t="inlineStr">
        <is>
          <t>New</t>
        </is>
      </c>
      <c r="J1614" s="34" t="inlineStr">
        <is>
          <t>Professional decision</t>
        </is>
      </c>
      <c r="K1614" s="34" t="inlineStr">
        <is>
          <t>Maya Chen, Owner Project Controls</t>
        </is>
      </c>
      <c r="L1614" s="14" t="inlineStr"/>
      <c r="M1614" s="14" t="inlineStr"/>
      <c r="N1614" s="92" t="inlineStr">
        <is>
          <t>10 EVIDENCE &amp; DECISIONS</t>
        </is>
      </c>
    </row>
    <row r="1615" ht="34" customHeight="1">
      <c r="A1615" s="34" t="inlineStr">
        <is>
          <t>Cost &amp; Forecast Control Accounts</t>
        </is>
      </c>
      <c r="B1615" s="34" t="inlineStr">
        <is>
          <t>CST-05-067</t>
        </is>
      </c>
      <c r="C1615" s="34" t="inlineStr">
        <is>
          <t>Testing &amp; readiness - defect closeout - control account</t>
        </is>
      </c>
      <c r="D1615" s="34" t="inlineStr">
        <is>
          <t>Cost Account = CA-5067</t>
        </is>
      </c>
      <c r="E1615" s="34" t="inlineStr">
        <is>
          <t>R1469-v2</t>
        </is>
      </c>
      <c r="F1615" s="34" t="inlineStr">
        <is>
          <t>UNSURE</t>
        </is>
      </c>
      <c r="G1615" s="34" t="inlineStr">
        <is>
          <t>UNSURE</t>
        </is>
      </c>
      <c r="H1615" s="34" t="inlineStr">
        <is>
          <t>APPROVED</t>
        </is>
      </c>
      <c r="I1615" s="34" t="inlineStr">
        <is>
          <t>New</t>
        </is>
      </c>
      <c r="J1615" s="34" t="inlineStr">
        <is>
          <t>Professional decision</t>
        </is>
      </c>
      <c r="K1615" s="34" t="inlineStr">
        <is>
          <t>Maya Chen, Owner Project Controls</t>
        </is>
      </c>
      <c r="L1615" s="14" t="inlineStr"/>
      <c r="M1615" s="14" t="inlineStr"/>
      <c r="N1615" s="92" t="inlineStr">
        <is>
          <t>10 EVIDENCE &amp; DECISIONS</t>
        </is>
      </c>
    </row>
    <row r="1616" ht="34" customHeight="1">
      <c r="A1616" s="34" t="inlineStr">
        <is>
          <t>Cost &amp; Forecast Control Accounts</t>
        </is>
      </c>
      <c r="B1616" s="34" t="inlineStr">
        <is>
          <t>CST-05-068</t>
        </is>
      </c>
      <c r="C1616" s="34" t="inlineStr">
        <is>
          <t>Testing &amp; readiness - test management - control account</t>
        </is>
      </c>
      <c r="D1616" s="34" t="inlineStr">
        <is>
          <t>Cost Account = CA-5068</t>
        </is>
      </c>
      <c r="E1616" s="34" t="inlineStr">
        <is>
          <t>R1470-v2</t>
        </is>
      </c>
      <c r="F1616" s="34" t="inlineStr">
        <is>
          <t>UNSURE</t>
        </is>
      </c>
      <c r="G1616" s="34" t="inlineStr">
        <is>
          <t>UNSURE</t>
        </is>
      </c>
      <c r="H1616" s="34" t="inlineStr">
        <is>
          <t>APPROVED</t>
        </is>
      </c>
      <c r="I1616" s="34" t="inlineStr">
        <is>
          <t>New</t>
        </is>
      </c>
      <c r="J1616" s="34" t="inlineStr">
        <is>
          <t>Professional decision</t>
        </is>
      </c>
      <c r="K1616" s="34" t="inlineStr">
        <is>
          <t>Maya Chen, Owner Project Controls</t>
        </is>
      </c>
      <c r="L1616" s="14" t="inlineStr"/>
      <c r="M1616" s="14" t="inlineStr"/>
      <c r="N1616" s="92" t="inlineStr">
        <is>
          <t>10 EVIDENCE &amp; DECISIONS</t>
        </is>
      </c>
    </row>
    <row r="1617" ht="34" customHeight="1">
      <c r="A1617" s="34" t="inlineStr">
        <is>
          <t>Cost &amp; Forecast Control Accounts</t>
        </is>
      </c>
      <c r="B1617" s="34" t="inlineStr">
        <is>
          <t>CST-05-069</t>
        </is>
      </c>
      <c r="C1617" s="34" t="inlineStr">
        <is>
          <t>Testing &amp; readiness - trial running - control account</t>
        </is>
      </c>
      <c r="D1617" s="34" t="inlineStr">
        <is>
          <t>Cost Account = CA-5069</t>
        </is>
      </c>
      <c r="E1617" s="34" t="inlineStr">
        <is>
          <t>R1471-v2</t>
        </is>
      </c>
      <c r="F1617" s="34" t="inlineStr">
        <is>
          <t>UNSURE</t>
        </is>
      </c>
      <c r="G1617" s="34" t="inlineStr">
        <is>
          <t>UNSURE</t>
        </is>
      </c>
      <c r="H1617" s="34" t="inlineStr">
        <is>
          <t>APPROVED</t>
        </is>
      </c>
      <c r="I1617" s="34" t="inlineStr">
        <is>
          <t>New</t>
        </is>
      </c>
      <c r="J1617" s="34" t="inlineStr">
        <is>
          <t>Professional decision</t>
        </is>
      </c>
      <c r="K1617" s="34" t="inlineStr">
        <is>
          <t>Maya Chen, Owner Project Controls</t>
        </is>
      </c>
      <c r="L1617" s="14" t="inlineStr"/>
      <c r="M1617" s="14" t="inlineStr"/>
      <c r="N1617" s="92" t="inlineStr">
        <is>
          <t>10 EVIDENCE &amp; DECISIONS</t>
        </is>
      </c>
    </row>
    <row r="1618" ht="34" customHeight="1">
      <c r="A1618" s="34" t="inlineStr">
        <is>
          <t>Cost &amp; Forecast Control Accounts</t>
        </is>
      </c>
      <c r="B1618" s="34" t="inlineStr">
        <is>
          <t>CST-05-070</t>
        </is>
      </c>
      <c r="C1618" s="34" t="inlineStr">
        <is>
          <t>Testing &amp; readiness - safety certification - control account</t>
        </is>
      </c>
      <c r="D1618" s="34" t="inlineStr">
        <is>
          <t>Cost Account = CA-5070</t>
        </is>
      </c>
      <c r="E1618" s="34" t="inlineStr">
        <is>
          <t>R1472-v2</t>
        </is>
      </c>
      <c r="F1618" s="34" t="inlineStr">
        <is>
          <t>UNSURE</t>
        </is>
      </c>
      <c r="G1618" s="34" t="inlineStr">
        <is>
          <t>UNSURE</t>
        </is>
      </c>
      <c r="H1618" s="34" t="inlineStr">
        <is>
          <t>APPROVED</t>
        </is>
      </c>
      <c r="I1618" s="34" t="inlineStr">
        <is>
          <t>New</t>
        </is>
      </c>
      <c r="J1618" s="34" t="inlineStr">
        <is>
          <t>Professional decision</t>
        </is>
      </c>
      <c r="K1618" s="34" t="inlineStr">
        <is>
          <t>Maya Chen, Owner Project Controls</t>
        </is>
      </c>
      <c r="L1618" s="14" t="inlineStr"/>
      <c r="M1618" s="14" t="inlineStr"/>
      <c r="N1618" s="92" t="inlineStr">
        <is>
          <t>10 EVIDENCE &amp; DECISIONS</t>
        </is>
      </c>
    </row>
    <row r="1619" ht="34" customHeight="1">
      <c r="A1619" s="34" t="inlineStr">
        <is>
          <t>Cost &amp; Forecast Control Accounts</t>
        </is>
      </c>
      <c r="B1619" s="34" t="inlineStr">
        <is>
          <t>CST-05-071</t>
        </is>
      </c>
      <c r="C1619" s="34" t="inlineStr">
        <is>
          <t>Testing &amp; readiness - defect closeout - control account</t>
        </is>
      </c>
      <c r="D1619" s="34" t="inlineStr">
        <is>
          <t>Cost Account = CA-5071</t>
        </is>
      </c>
      <c r="E1619" s="34" t="inlineStr">
        <is>
          <t>R1473-v2</t>
        </is>
      </c>
      <c r="F1619" s="34" t="inlineStr">
        <is>
          <t>UNSURE</t>
        </is>
      </c>
      <c r="G1619" s="34" t="inlineStr">
        <is>
          <t>UNSURE</t>
        </is>
      </c>
      <c r="H1619" s="34" t="inlineStr">
        <is>
          <t>APPROVED</t>
        </is>
      </c>
      <c r="I1619" s="34" t="inlineStr">
        <is>
          <t>New</t>
        </is>
      </c>
      <c r="J1619" s="34" t="inlineStr">
        <is>
          <t>Professional decision</t>
        </is>
      </c>
      <c r="K1619" s="34" t="inlineStr">
        <is>
          <t>Maya Chen, Owner Project Controls</t>
        </is>
      </c>
      <c r="L1619" s="14" t="inlineStr"/>
      <c r="M1619" s="14" t="inlineStr"/>
      <c r="N1619" s="92" t="inlineStr">
        <is>
          <t>10 EVIDENCE &amp; DECISIONS</t>
        </is>
      </c>
    </row>
    <row r="1620" ht="34" customHeight="1">
      <c r="A1620" s="34" t="inlineStr">
        <is>
          <t>Cost &amp; Forecast Control Accounts</t>
        </is>
      </c>
      <c r="B1620" s="34" t="inlineStr">
        <is>
          <t>CST-05-072</t>
        </is>
      </c>
      <c r="C1620" s="34" t="inlineStr">
        <is>
          <t>Testing &amp; readiness - test management - control account</t>
        </is>
      </c>
      <c r="D1620" s="34" t="inlineStr">
        <is>
          <t>Cost Account = CA-5072</t>
        </is>
      </c>
      <c r="E1620" s="34" t="inlineStr">
        <is>
          <t>R1474-v2</t>
        </is>
      </c>
      <c r="F1620" s="34" t="inlineStr">
        <is>
          <t>UNSURE</t>
        </is>
      </c>
      <c r="G1620" s="34" t="inlineStr">
        <is>
          <t>UNSURE</t>
        </is>
      </c>
      <c r="H1620" s="34" t="inlineStr">
        <is>
          <t>APPROVED</t>
        </is>
      </c>
      <c r="I1620" s="34" t="inlineStr">
        <is>
          <t>New</t>
        </is>
      </c>
      <c r="J1620" s="34" t="inlineStr">
        <is>
          <t>Professional decision</t>
        </is>
      </c>
      <c r="K1620" s="34" t="inlineStr">
        <is>
          <t>Maya Chen, Owner Project Controls</t>
        </is>
      </c>
      <c r="L1620" s="14" t="inlineStr"/>
      <c r="M1620" s="14" t="inlineStr"/>
      <c r="N1620" s="92" t="inlineStr">
        <is>
          <t>10 EVIDENCE &amp; DECISIONS</t>
        </is>
      </c>
    </row>
    <row r="1621" ht="34" customHeight="1">
      <c r="A1621" s="34" t="inlineStr">
        <is>
          <t>Cost &amp; Forecast Control Accounts</t>
        </is>
      </c>
      <c r="B1621" s="34" t="inlineStr">
        <is>
          <t>CST-05-073</t>
        </is>
      </c>
      <c r="C1621" s="34" t="inlineStr">
        <is>
          <t>Testing &amp; readiness - trial running - control account</t>
        </is>
      </c>
      <c r="D1621" s="34" t="inlineStr">
        <is>
          <t>Cost Account = CA-5073</t>
        </is>
      </c>
      <c r="E1621" s="34" t="inlineStr">
        <is>
          <t>R1475-v2</t>
        </is>
      </c>
      <c r="F1621" s="34" t="inlineStr">
        <is>
          <t>UNSURE</t>
        </is>
      </c>
      <c r="G1621" s="34" t="inlineStr">
        <is>
          <t>UNSURE</t>
        </is>
      </c>
      <c r="H1621" s="34" t="inlineStr">
        <is>
          <t>APPROVED</t>
        </is>
      </c>
      <c r="I1621" s="34" t="inlineStr">
        <is>
          <t>New</t>
        </is>
      </c>
      <c r="J1621" s="34" t="inlineStr">
        <is>
          <t>Professional decision</t>
        </is>
      </c>
      <c r="K1621" s="34" t="inlineStr">
        <is>
          <t>Maya Chen, Owner Project Controls</t>
        </is>
      </c>
      <c r="L1621" s="14" t="inlineStr"/>
      <c r="M1621" s="14" t="inlineStr"/>
      <c r="N1621" s="92" t="inlineStr">
        <is>
          <t>10 EVIDENCE &amp; DECISIONS</t>
        </is>
      </c>
    </row>
    <row r="1622" ht="34" customHeight="1">
      <c r="A1622" s="34" t="inlineStr">
        <is>
          <t>Cost &amp; Forecast Control Accounts</t>
        </is>
      </c>
      <c r="B1622" s="34" t="inlineStr">
        <is>
          <t>CST-05-074</t>
        </is>
      </c>
      <c r="C1622" s="34" t="inlineStr">
        <is>
          <t>Testing &amp; readiness - safety certification - control account</t>
        </is>
      </c>
      <c r="D1622" s="34" t="inlineStr">
        <is>
          <t>Cost Account = CA-5074</t>
        </is>
      </c>
      <c r="E1622" s="34" t="inlineStr">
        <is>
          <t>R1476-v2</t>
        </is>
      </c>
      <c r="F1622" s="34" t="inlineStr">
        <is>
          <t>UNSURE</t>
        </is>
      </c>
      <c r="G1622" s="34" t="inlineStr">
        <is>
          <t>UNSURE</t>
        </is>
      </c>
      <c r="H1622" s="34" t="inlineStr">
        <is>
          <t>APPROVED</t>
        </is>
      </c>
      <c r="I1622" s="34" t="inlineStr">
        <is>
          <t>New</t>
        </is>
      </c>
      <c r="J1622" s="34" t="inlineStr">
        <is>
          <t>Professional decision</t>
        </is>
      </c>
      <c r="K1622" s="34" t="inlineStr">
        <is>
          <t>Maya Chen, Owner Project Controls</t>
        </is>
      </c>
      <c r="L1622" s="14" t="inlineStr"/>
      <c r="M1622" s="14" t="inlineStr"/>
      <c r="N1622" s="92" t="inlineStr">
        <is>
          <t>10 EVIDENCE &amp; DECISIONS</t>
        </is>
      </c>
    </row>
    <row r="1623" ht="34" customHeight="1">
      <c r="A1623" s="34" t="inlineStr">
        <is>
          <t>Cost &amp; Forecast Control Accounts</t>
        </is>
      </c>
      <c r="B1623" s="34" t="inlineStr">
        <is>
          <t>CST-05-075</t>
        </is>
      </c>
      <c r="C1623" s="34" t="inlineStr">
        <is>
          <t>Testing &amp; readiness - defect closeout - control account</t>
        </is>
      </c>
      <c r="D1623" s="34" t="inlineStr">
        <is>
          <t>Cost Account = CA-5075</t>
        </is>
      </c>
      <c r="E1623" s="34" t="inlineStr">
        <is>
          <t>R1477-v2</t>
        </is>
      </c>
      <c r="F1623" s="34" t="inlineStr">
        <is>
          <t>UNSURE</t>
        </is>
      </c>
      <c r="G1623" s="34" t="inlineStr">
        <is>
          <t>UNSURE</t>
        </is>
      </c>
      <c r="H1623" s="34" t="inlineStr">
        <is>
          <t>APPROVED</t>
        </is>
      </c>
      <c r="I1623" s="34" t="inlineStr">
        <is>
          <t>New</t>
        </is>
      </c>
      <c r="J1623" s="34" t="inlineStr">
        <is>
          <t>Professional decision</t>
        </is>
      </c>
      <c r="K1623" s="34" t="inlineStr">
        <is>
          <t>Maya Chen, Owner Project Controls</t>
        </is>
      </c>
      <c r="L1623" s="14" t="inlineStr"/>
      <c r="M1623" s="14" t="inlineStr"/>
      <c r="N1623" s="92" t="inlineStr">
        <is>
          <t>10 EVIDENCE &amp; DECISIONS</t>
        </is>
      </c>
    </row>
    <row r="1624" ht="34" customHeight="1">
      <c r="A1624" s="34" t="inlineStr">
        <is>
          <t>Cost &amp; Forecast Control Accounts</t>
        </is>
      </c>
      <c r="B1624" s="34" t="inlineStr">
        <is>
          <t>CST-05-076</t>
        </is>
      </c>
      <c r="C1624" s="34" t="inlineStr">
        <is>
          <t>Testing &amp; readiness - test management - control account</t>
        </is>
      </c>
      <c r="D1624" s="34" t="inlineStr">
        <is>
          <t>Cost Account = CA-5076</t>
        </is>
      </c>
      <c r="E1624" s="34" t="inlineStr">
        <is>
          <t>R1478-v2</t>
        </is>
      </c>
      <c r="F1624" s="34" t="inlineStr">
        <is>
          <t>UNSURE</t>
        </is>
      </c>
      <c r="G1624" s="34" t="inlineStr">
        <is>
          <t>UNSURE</t>
        </is>
      </c>
      <c r="H1624" s="34" t="inlineStr">
        <is>
          <t>APPROVED</t>
        </is>
      </c>
      <c r="I1624" s="34" t="inlineStr">
        <is>
          <t>New</t>
        </is>
      </c>
      <c r="J1624" s="34" t="inlineStr">
        <is>
          <t>Professional decision</t>
        </is>
      </c>
      <c r="K1624" s="34" t="inlineStr">
        <is>
          <t>Maya Chen, Owner Project Controls</t>
        </is>
      </c>
      <c r="L1624" s="14" t="inlineStr"/>
      <c r="M1624" s="14" t="inlineStr"/>
      <c r="N1624" s="92" t="inlineStr">
        <is>
          <t>10 EVIDENCE &amp; DECISIONS</t>
        </is>
      </c>
    </row>
    <row r="1625" ht="34" customHeight="1">
      <c r="A1625" s="34" t="inlineStr">
        <is>
          <t>Cost &amp; Forecast Control Accounts</t>
        </is>
      </c>
      <c r="B1625" s="34" t="inlineStr">
        <is>
          <t>CST-05-077</t>
        </is>
      </c>
      <c r="C1625" s="34" t="inlineStr">
        <is>
          <t>Testing &amp; readiness - trial running - control account</t>
        </is>
      </c>
      <c r="D1625" s="34" t="inlineStr">
        <is>
          <t>Cost Account = CA-5077</t>
        </is>
      </c>
      <c r="E1625" s="34" t="inlineStr">
        <is>
          <t>R1479-v2</t>
        </is>
      </c>
      <c r="F1625" s="34" t="inlineStr">
        <is>
          <t>UNSURE</t>
        </is>
      </c>
      <c r="G1625" s="34" t="inlineStr">
        <is>
          <t>UNSURE</t>
        </is>
      </c>
      <c r="H1625" s="34" t="inlineStr">
        <is>
          <t>APPROVED</t>
        </is>
      </c>
      <c r="I1625" s="34" t="inlineStr">
        <is>
          <t>New</t>
        </is>
      </c>
      <c r="J1625" s="34" t="inlineStr">
        <is>
          <t>Professional decision</t>
        </is>
      </c>
      <c r="K1625" s="34" t="inlineStr">
        <is>
          <t>Maya Chen, Owner Project Controls</t>
        </is>
      </c>
      <c r="L1625" s="14" t="inlineStr"/>
      <c r="M1625" s="14" t="inlineStr"/>
      <c r="N1625" s="92" t="inlineStr">
        <is>
          <t>10 EVIDENCE &amp; DECISIONS</t>
        </is>
      </c>
    </row>
    <row r="1626" ht="34" customHeight="1">
      <c r="A1626" s="34" t="inlineStr">
        <is>
          <t>Cost &amp; Forecast Control Accounts</t>
        </is>
      </c>
      <c r="B1626" s="34" t="inlineStr">
        <is>
          <t>CST-05-078</t>
        </is>
      </c>
      <c r="C1626" s="34" t="inlineStr">
        <is>
          <t>Testing &amp; readiness - safety certification - control account</t>
        </is>
      </c>
      <c r="D1626" s="34" t="inlineStr">
        <is>
          <t>Cost Account = CA-5078</t>
        </is>
      </c>
      <c r="E1626" s="34" t="inlineStr">
        <is>
          <t>R1480-v2</t>
        </is>
      </c>
      <c r="F1626" s="34" t="inlineStr">
        <is>
          <t>UNSURE</t>
        </is>
      </c>
      <c r="G1626" s="34" t="inlineStr">
        <is>
          <t>UNSURE</t>
        </is>
      </c>
      <c r="H1626" s="34" t="inlineStr">
        <is>
          <t>APPROVED</t>
        </is>
      </c>
      <c r="I1626" s="34" t="inlineStr">
        <is>
          <t>New</t>
        </is>
      </c>
      <c r="J1626" s="34" t="inlineStr">
        <is>
          <t>Professional decision</t>
        </is>
      </c>
      <c r="K1626" s="34" t="inlineStr">
        <is>
          <t>Maya Chen, Owner Project Controls</t>
        </is>
      </c>
      <c r="L1626" s="14" t="inlineStr"/>
      <c r="M1626" s="14" t="inlineStr"/>
      <c r="N1626" s="92" t="inlineStr">
        <is>
          <t>10 EVIDENCE &amp; DECISIONS</t>
        </is>
      </c>
    </row>
    <row r="1627" ht="34" customHeight="1">
      <c r="A1627" s="34" t="inlineStr">
        <is>
          <t>Cost &amp; Forecast Control Accounts</t>
        </is>
      </c>
      <c r="B1627" s="34" t="inlineStr">
        <is>
          <t>CST-05-079</t>
        </is>
      </c>
      <c r="C1627" s="34" t="inlineStr">
        <is>
          <t>Testing &amp; readiness - defect closeout - control account</t>
        </is>
      </c>
      <c r="D1627" s="34" t="inlineStr">
        <is>
          <t>Cost Account = CA-5079</t>
        </is>
      </c>
      <c r="E1627" s="34" t="inlineStr">
        <is>
          <t>R1481-v2</t>
        </is>
      </c>
      <c r="F1627" s="34" t="inlineStr">
        <is>
          <t>UNSURE</t>
        </is>
      </c>
      <c r="G1627" s="34" t="inlineStr">
        <is>
          <t>UNSURE</t>
        </is>
      </c>
      <c r="H1627" s="34" t="inlineStr">
        <is>
          <t>APPROVED</t>
        </is>
      </c>
      <c r="I1627" s="34" t="inlineStr">
        <is>
          <t>New</t>
        </is>
      </c>
      <c r="J1627" s="34" t="inlineStr">
        <is>
          <t>Professional decision</t>
        </is>
      </c>
      <c r="K1627" s="34" t="inlineStr">
        <is>
          <t>Maya Chen, Owner Project Controls</t>
        </is>
      </c>
      <c r="L1627" s="14" t="inlineStr"/>
      <c r="M1627" s="14" t="inlineStr"/>
      <c r="N1627" s="92" t="inlineStr">
        <is>
          <t>10 EVIDENCE &amp; DECISIONS</t>
        </is>
      </c>
    </row>
    <row r="1628" ht="34" customHeight="1">
      <c r="A1628" s="34" t="inlineStr">
        <is>
          <t>Cost &amp; Forecast Control Accounts</t>
        </is>
      </c>
      <c r="B1628" s="34" t="inlineStr">
        <is>
          <t>CST-05-080</t>
        </is>
      </c>
      <c r="C1628" s="34" t="inlineStr">
        <is>
          <t>Testing &amp; readiness - test management - control account</t>
        </is>
      </c>
      <c r="D1628" s="34" t="inlineStr">
        <is>
          <t>Cost Account = CA-5080</t>
        </is>
      </c>
      <c r="E1628" s="34" t="inlineStr">
        <is>
          <t>R1482-v2</t>
        </is>
      </c>
      <c r="F1628" s="34" t="inlineStr">
        <is>
          <t>UNSURE</t>
        </is>
      </c>
      <c r="G1628" s="34" t="inlineStr">
        <is>
          <t>UNSURE</t>
        </is>
      </c>
      <c r="H1628" s="34" t="inlineStr">
        <is>
          <t>APPROVED</t>
        </is>
      </c>
      <c r="I1628" s="34" t="inlineStr">
        <is>
          <t>New</t>
        </is>
      </c>
      <c r="J1628" s="34" t="inlineStr">
        <is>
          <t>Professional decision</t>
        </is>
      </c>
      <c r="K1628" s="34" t="inlineStr">
        <is>
          <t>Maya Chen, Owner Project Controls</t>
        </is>
      </c>
      <c r="L1628" s="14" t="inlineStr"/>
      <c r="M1628" s="14" t="inlineStr"/>
      <c r="N1628" s="92" t="inlineStr">
        <is>
          <t>10 EVIDENCE &amp; DECISIONS</t>
        </is>
      </c>
    </row>
  </sheetData>
  <autoFilter ref="A5:N1628"/>
  <mergeCells count="1">
    <mergeCell ref="A2:B2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N8" r:id="rId11"/>
    <hyperlink xmlns:r="http://schemas.openxmlformats.org/officeDocument/2006/relationships" ref="N9" r:id="rId12"/>
    <hyperlink xmlns:r="http://schemas.openxmlformats.org/officeDocument/2006/relationships" ref="N10" r:id="rId13"/>
    <hyperlink xmlns:r="http://schemas.openxmlformats.org/officeDocument/2006/relationships" ref="N11" r:id="rId14"/>
    <hyperlink xmlns:r="http://schemas.openxmlformats.org/officeDocument/2006/relationships" ref="N12" r:id="rId15"/>
    <hyperlink xmlns:r="http://schemas.openxmlformats.org/officeDocument/2006/relationships" ref="N13" r:id="rId16"/>
    <hyperlink xmlns:r="http://schemas.openxmlformats.org/officeDocument/2006/relationships" ref="N14" r:id="rId17"/>
    <hyperlink xmlns:r="http://schemas.openxmlformats.org/officeDocument/2006/relationships" ref="N15" r:id="rId18"/>
    <hyperlink xmlns:r="http://schemas.openxmlformats.org/officeDocument/2006/relationships" ref="N16" r:id="rId19"/>
    <hyperlink xmlns:r="http://schemas.openxmlformats.org/officeDocument/2006/relationships" ref="N17" r:id="rId20"/>
    <hyperlink xmlns:r="http://schemas.openxmlformats.org/officeDocument/2006/relationships" ref="N18" r:id="rId21"/>
    <hyperlink xmlns:r="http://schemas.openxmlformats.org/officeDocument/2006/relationships" ref="N19" r:id="rId22"/>
    <hyperlink xmlns:r="http://schemas.openxmlformats.org/officeDocument/2006/relationships" ref="N20" r:id="rId23"/>
    <hyperlink xmlns:r="http://schemas.openxmlformats.org/officeDocument/2006/relationships" ref="N21" r:id="rId24"/>
    <hyperlink xmlns:r="http://schemas.openxmlformats.org/officeDocument/2006/relationships" ref="N22" r:id="rId25"/>
    <hyperlink xmlns:r="http://schemas.openxmlformats.org/officeDocument/2006/relationships" ref="N23" r:id="rId26"/>
    <hyperlink xmlns:r="http://schemas.openxmlformats.org/officeDocument/2006/relationships" ref="N24" r:id="rId27"/>
    <hyperlink xmlns:r="http://schemas.openxmlformats.org/officeDocument/2006/relationships" ref="N25" r:id="rId28"/>
    <hyperlink xmlns:r="http://schemas.openxmlformats.org/officeDocument/2006/relationships" ref="N26" r:id="rId29"/>
    <hyperlink xmlns:r="http://schemas.openxmlformats.org/officeDocument/2006/relationships" ref="N27" r:id="rId30"/>
    <hyperlink xmlns:r="http://schemas.openxmlformats.org/officeDocument/2006/relationships" ref="N28" r:id="rId31"/>
    <hyperlink xmlns:r="http://schemas.openxmlformats.org/officeDocument/2006/relationships" ref="N29" r:id="rId32"/>
    <hyperlink xmlns:r="http://schemas.openxmlformats.org/officeDocument/2006/relationships" ref="N30" r:id="rId33"/>
    <hyperlink xmlns:r="http://schemas.openxmlformats.org/officeDocument/2006/relationships" ref="N31" r:id="rId34"/>
    <hyperlink xmlns:r="http://schemas.openxmlformats.org/officeDocument/2006/relationships" ref="N32" r:id="rId35"/>
    <hyperlink xmlns:r="http://schemas.openxmlformats.org/officeDocument/2006/relationships" ref="N33" r:id="rId36"/>
    <hyperlink xmlns:r="http://schemas.openxmlformats.org/officeDocument/2006/relationships" ref="N34" r:id="rId37"/>
    <hyperlink xmlns:r="http://schemas.openxmlformats.org/officeDocument/2006/relationships" ref="N35" r:id="rId38"/>
    <hyperlink xmlns:r="http://schemas.openxmlformats.org/officeDocument/2006/relationships" ref="N36" r:id="rId39"/>
    <hyperlink xmlns:r="http://schemas.openxmlformats.org/officeDocument/2006/relationships" ref="N37" r:id="rId40"/>
    <hyperlink xmlns:r="http://schemas.openxmlformats.org/officeDocument/2006/relationships" ref="N38" r:id="rId41"/>
    <hyperlink xmlns:r="http://schemas.openxmlformats.org/officeDocument/2006/relationships" ref="N39" r:id="rId42"/>
    <hyperlink xmlns:r="http://schemas.openxmlformats.org/officeDocument/2006/relationships" ref="N40" r:id="rId43"/>
    <hyperlink xmlns:r="http://schemas.openxmlformats.org/officeDocument/2006/relationships" ref="N41" r:id="rId44"/>
    <hyperlink xmlns:r="http://schemas.openxmlformats.org/officeDocument/2006/relationships" ref="N42" r:id="rId45"/>
    <hyperlink xmlns:r="http://schemas.openxmlformats.org/officeDocument/2006/relationships" ref="N43" r:id="rId46"/>
    <hyperlink xmlns:r="http://schemas.openxmlformats.org/officeDocument/2006/relationships" ref="N44" r:id="rId47"/>
    <hyperlink xmlns:r="http://schemas.openxmlformats.org/officeDocument/2006/relationships" ref="N45" r:id="rId48"/>
    <hyperlink xmlns:r="http://schemas.openxmlformats.org/officeDocument/2006/relationships" ref="N46" r:id="rId49"/>
    <hyperlink xmlns:r="http://schemas.openxmlformats.org/officeDocument/2006/relationships" ref="N47" r:id="rId50"/>
    <hyperlink xmlns:r="http://schemas.openxmlformats.org/officeDocument/2006/relationships" ref="N48" r:id="rId51"/>
    <hyperlink xmlns:r="http://schemas.openxmlformats.org/officeDocument/2006/relationships" ref="N49" r:id="rId52"/>
    <hyperlink xmlns:r="http://schemas.openxmlformats.org/officeDocument/2006/relationships" ref="N50" r:id="rId53"/>
    <hyperlink xmlns:r="http://schemas.openxmlformats.org/officeDocument/2006/relationships" ref="N51" r:id="rId54"/>
    <hyperlink xmlns:r="http://schemas.openxmlformats.org/officeDocument/2006/relationships" ref="N52" r:id="rId55"/>
    <hyperlink xmlns:r="http://schemas.openxmlformats.org/officeDocument/2006/relationships" ref="N53" r:id="rId56"/>
    <hyperlink xmlns:r="http://schemas.openxmlformats.org/officeDocument/2006/relationships" ref="N54" r:id="rId57"/>
    <hyperlink xmlns:r="http://schemas.openxmlformats.org/officeDocument/2006/relationships" ref="N55" r:id="rId58"/>
    <hyperlink xmlns:r="http://schemas.openxmlformats.org/officeDocument/2006/relationships" ref="N56" r:id="rId59"/>
    <hyperlink xmlns:r="http://schemas.openxmlformats.org/officeDocument/2006/relationships" ref="N57" r:id="rId60"/>
    <hyperlink xmlns:r="http://schemas.openxmlformats.org/officeDocument/2006/relationships" ref="N58" r:id="rId61"/>
    <hyperlink xmlns:r="http://schemas.openxmlformats.org/officeDocument/2006/relationships" ref="N59" r:id="rId62"/>
    <hyperlink xmlns:r="http://schemas.openxmlformats.org/officeDocument/2006/relationships" ref="N60" r:id="rId63"/>
    <hyperlink xmlns:r="http://schemas.openxmlformats.org/officeDocument/2006/relationships" ref="N61" r:id="rId64"/>
    <hyperlink xmlns:r="http://schemas.openxmlformats.org/officeDocument/2006/relationships" ref="N62" r:id="rId65"/>
    <hyperlink xmlns:r="http://schemas.openxmlformats.org/officeDocument/2006/relationships" ref="N63" r:id="rId66"/>
    <hyperlink xmlns:r="http://schemas.openxmlformats.org/officeDocument/2006/relationships" ref="N64" r:id="rId67"/>
    <hyperlink xmlns:r="http://schemas.openxmlformats.org/officeDocument/2006/relationships" ref="N65" r:id="rId68"/>
    <hyperlink xmlns:r="http://schemas.openxmlformats.org/officeDocument/2006/relationships" ref="N66" r:id="rId69"/>
    <hyperlink xmlns:r="http://schemas.openxmlformats.org/officeDocument/2006/relationships" ref="N67" r:id="rId70"/>
    <hyperlink xmlns:r="http://schemas.openxmlformats.org/officeDocument/2006/relationships" ref="N68" r:id="rId71"/>
    <hyperlink xmlns:r="http://schemas.openxmlformats.org/officeDocument/2006/relationships" ref="N69" r:id="rId72"/>
    <hyperlink xmlns:r="http://schemas.openxmlformats.org/officeDocument/2006/relationships" ref="N70" r:id="rId73"/>
    <hyperlink xmlns:r="http://schemas.openxmlformats.org/officeDocument/2006/relationships" ref="N71" r:id="rId74"/>
    <hyperlink xmlns:r="http://schemas.openxmlformats.org/officeDocument/2006/relationships" ref="N72" r:id="rId75"/>
    <hyperlink xmlns:r="http://schemas.openxmlformats.org/officeDocument/2006/relationships" ref="N73" r:id="rId76"/>
    <hyperlink xmlns:r="http://schemas.openxmlformats.org/officeDocument/2006/relationships" ref="N74" r:id="rId77"/>
    <hyperlink xmlns:r="http://schemas.openxmlformats.org/officeDocument/2006/relationships" ref="N75" r:id="rId78"/>
    <hyperlink xmlns:r="http://schemas.openxmlformats.org/officeDocument/2006/relationships" ref="N76" r:id="rId79"/>
    <hyperlink xmlns:r="http://schemas.openxmlformats.org/officeDocument/2006/relationships" ref="N77" r:id="rId80"/>
    <hyperlink xmlns:r="http://schemas.openxmlformats.org/officeDocument/2006/relationships" ref="N78" r:id="rId81"/>
    <hyperlink xmlns:r="http://schemas.openxmlformats.org/officeDocument/2006/relationships" ref="N79" r:id="rId82"/>
    <hyperlink xmlns:r="http://schemas.openxmlformats.org/officeDocument/2006/relationships" ref="N80" r:id="rId83"/>
    <hyperlink xmlns:r="http://schemas.openxmlformats.org/officeDocument/2006/relationships" ref="N81" r:id="rId84"/>
    <hyperlink xmlns:r="http://schemas.openxmlformats.org/officeDocument/2006/relationships" ref="N82" r:id="rId85"/>
    <hyperlink xmlns:r="http://schemas.openxmlformats.org/officeDocument/2006/relationships" ref="N83" r:id="rId86"/>
    <hyperlink xmlns:r="http://schemas.openxmlformats.org/officeDocument/2006/relationships" ref="N84" r:id="rId87"/>
    <hyperlink xmlns:r="http://schemas.openxmlformats.org/officeDocument/2006/relationships" ref="N85" r:id="rId88"/>
    <hyperlink xmlns:r="http://schemas.openxmlformats.org/officeDocument/2006/relationships" ref="N86" r:id="rId89"/>
    <hyperlink xmlns:r="http://schemas.openxmlformats.org/officeDocument/2006/relationships" ref="N87" r:id="rId90"/>
    <hyperlink xmlns:r="http://schemas.openxmlformats.org/officeDocument/2006/relationships" ref="N88" r:id="rId91"/>
    <hyperlink xmlns:r="http://schemas.openxmlformats.org/officeDocument/2006/relationships" ref="N89" r:id="rId92"/>
    <hyperlink xmlns:r="http://schemas.openxmlformats.org/officeDocument/2006/relationships" ref="N90" r:id="rId93"/>
    <hyperlink xmlns:r="http://schemas.openxmlformats.org/officeDocument/2006/relationships" ref="N91" r:id="rId94"/>
    <hyperlink xmlns:r="http://schemas.openxmlformats.org/officeDocument/2006/relationships" ref="N92" r:id="rId95"/>
    <hyperlink xmlns:r="http://schemas.openxmlformats.org/officeDocument/2006/relationships" ref="N93" r:id="rId96"/>
    <hyperlink xmlns:r="http://schemas.openxmlformats.org/officeDocument/2006/relationships" ref="N94" r:id="rId97"/>
    <hyperlink xmlns:r="http://schemas.openxmlformats.org/officeDocument/2006/relationships" ref="N95" r:id="rId98"/>
    <hyperlink xmlns:r="http://schemas.openxmlformats.org/officeDocument/2006/relationships" ref="N96" r:id="rId99"/>
    <hyperlink xmlns:r="http://schemas.openxmlformats.org/officeDocument/2006/relationships" ref="N97" r:id="rId100"/>
    <hyperlink xmlns:r="http://schemas.openxmlformats.org/officeDocument/2006/relationships" ref="N98" r:id="rId101"/>
    <hyperlink xmlns:r="http://schemas.openxmlformats.org/officeDocument/2006/relationships" ref="N99" r:id="rId102"/>
    <hyperlink xmlns:r="http://schemas.openxmlformats.org/officeDocument/2006/relationships" ref="N100" r:id="rId103"/>
    <hyperlink xmlns:r="http://schemas.openxmlformats.org/officeDocument/2006/relationships" ref="N101" r:id="rId104"/>
    <hyperlink xmlns:r="http://schemas.openxmlformats.org/officeDocument/2006/relationships" ref="N102" r:id="rId105"/>
    <hyperlink xmlns:r="http://schemas.openxmlformats.org/officeDocument/2006/relationships" ref="N103" r:id="rId106"/>
    <hyperlink xmlns:r="http://schemas.openxmlformats.org/officeDocument/2006/relationships" ref="N104" r:id="rId107"/>
    <hyperlink xmlns:r="http://schemas.openxmlformats.org/officeDocument/2006/relationships" ref="N105" r:id="rId108"/>
    <hyperlink xmlns:r="http://schemas.openxmlformats.org/officeDocument/2006/relationships" ref="N106" r:id="rId109"/>
    <hyperlink xmlns:r="http://schemas.openxmlformats.org/officeDocument/2006/relationships" ref="N107" r:id="rId110"/>
    <hyperlink xmlns:r="http://schemas.openxmlformats.org/officeDocument/2006/relationships" ref="N108" r:id="rId111"/>
    <hyperlink xmlns:r="http://schemas.openxmlformats.org/officeDocument/2006/relationships" ref="N109" r:id="rId112"/>
    <hyperlink xmlns:r="http://schemas.openxmlformats.org/officeDocument/2006/relationships" ref="N110" r:id="rId113"/>
    <hyperlink xmlns:r="http://schemas.openxmlformats.org/officeDocument/2006/relationships" ref="N111" r:id="rId114"/>
    <hyperlink xmlns:r="http://schemas.openxmlformats.org/officeDocument/2006/relationships" ref="N112" r:id="rId115"/>
    <hyperlink xmlns:r="http://schemas.openxmlformats.org/officeDocument/2006/relationships" ref="N113" r:id="rId116"/>
    <hyperlink xmlns:r="http://schemas.openxmlformats.org/officeDocument/2006/relationships" ref="N114" r:id="rId117"/>
    <hyperlink xmlns:r="http://schemas.openxmlformats.org/officeDocument/2006/relationships" ref="N115" r:id="rId118"/>
    <hyperlink xmlns:r="http://schemas.openxmlformats.org/officeDocument/2006/relationships" ref="N116" r:id="rId119"/>
    <hyperlink xmlns:r="http://schemas.openxmlformats.org/officeDocument/2006/relationships" ref="N117" r:id="rId120"/>
    <hyperlink xmlns:r="http://schemas.openxmlformats.org/officeDocument/2006/relationships" ref="N118" r:id="rId121"/>
    <hyperlink xmlns:r="http://schemas.openxmlformats.org/officeDocument/2006/relationships" ref="N119" r:id="rId122"/>
    <hyperlink xmlns:r="http://schemas.openxmlformats.org/officeDocument/2006/relationships" ref="N120" r:id="rId123"/>
    <hyperlink xmlns:r="http://schemas.openxmlformats.org/officeDocument/2006/relationships" ref="N121" r:id="rId124"/>
    <hyperlink xmlns:r="http://schemas.openxmlformats.org/officeDocument/2006/relationships" ref="N122" r:id="rId125"/>
    <hyperlink xmlns:r="http://schemas.openxmlformats.org/officeDocument/2006/relationships" ref="N123" r:id="rId126"/>
    <hyperlink xmlns:r="http://schemas.openxmlformats.org/officeDocument/2006/relationships" ref="N124" r:id="rId127"/>
    <hyperlink xmlns:r="http://schemas.openxmlformats.org/officeDocument/2006/relationships" ref="N125" r:id="rId128"/>
    <hyperlink xmlns:r="http://schemas.openxmlformats.org/officeDocument/2006/relationships" ref="N126" r:id="rId129"/>
    <hyperlink xmlns:r="http://schemas.openxmlformats.org/officeDocument/2006/relationships" ref="N127" r:id="rId130"/>
    <hyperlink xmlns:r="http://schemas.openxmlformats.org/officeDocument/2006/relationships" ref="N128" r:id="rId131"/>
    <hyperlink xmlns:r="http://schemas.openxmlformats.org/officeDocument/2006/relationships" ref="N129" r:id="rId132"/>
    <hyperlink xmlns:r="http://schemas.openxmlformats.org/officeDocument/2006/relationships" ref="N130" r:id="rId133"/>
    <hyperlink xmlns:r="http://schemas.openxmlformats.org/officeDocument/2006/relationships" ref="N131" r:id="rId134"/>
    <hyperlink xmlns:r="http://schemas.openxmlformats.org/officeDocument/2006/relationships" ref="N132" r:id="rId135"/>
    <hyperlink xmlns:r="http://schemas.openxmlformats.org/officeDocument/2006/relationships" ref="N133" r:id="rId136"/>
    <hyperlink xmlns:r="http://schemas.openxmlformats.org/officeDocument/2006/relationships" ref="N134" r:id="rId137"/>
    <hyperlink xmlns:r="http://schemas.openxmlformats.org/officeDocument/2006/relationships" ref="N135" r:id="rId138"/>
    <hyperlink xmlns:r="http://schemas.openxmlformats.org/officeDocument/2006/relationships" ref="N136" r:id="rId139"/>
    <hyperlink xmlns:r="http://schemas.openxmlformats.org/officeDocument/2006/relationships" ref="N137" r:id="rId140"/>
    <hyperlink xmlns:r="http://schemas.openxmlformats.org/officeDocument/2006/relationships" ref="N138" r:id="rId141"/>
    <hyperlink xmlns:r="http://schemas.openxmlformats.org/officeDocument/2006/relationships" ref="N139" r:id="rId142"/>
    <hyperlink xmlns:r="http://schemas.openxmlformats.org/officeDocument/2006/relationships" ref="N140" r:id="rId143"/>
    <hyperlink xmlns:r="http://schemas.openxmlformats.org/officeDocument/2006/relationships" ref="N141" r:id="rId144"/>
    <hyperlink xmlns:r="http://schemas.openxmlformats.org/officeDocument/2006/relationships" ref="N142" r:id="rId145"/>
    <hyperlink xmlns:r="http://schemas.openxmlformats.org/officeDocument/2006/relationships" ref="N143" r:id="rId146"/>
    <hyperlink xmlns:r="http://schemas.openxmlformats.org/officeDocument/2006/relationships" ref="N144" r:id="rId147"/>
    <hyperlink xmlns:r="http://schemas.openxmlformats.org/officeDocument/2006/relationships" ref="N145" r:id="rId148"/>
    <hyperlink xmlns:r="http://schemas.openxmlformats.org/officeDocument/2006/relationships" ref="N146" r:id="rId149"/>
    <hyperlink xmlns:r="http://schemas.openxmlformats.org/officeDocument/2006/relationships" ref="N147" r:id="rId150"/>
    <hyperlink xmlns:r="http://schemas.openxmlformats.org/officeDocument/2006/relationships" ref="N148" r:id="rId151"/>
    <hyperlink xmlns:r="http://schemas.openxmlformats.org/officeDocument/2006/relationships" ref="N149" r:id="rId152"/>
    <hyperlink xmlns:r="http://schemas.openxmlformats.org/officeDocument/2006/relationships" ref="N150" r:id="rId153"/>
    <hyperlink xmlns:r="http://schemas.openxmlformats.org/officeDocument/2006/relationships" ref="N151" r:id="rId154"/>
    <hyperlink xmlns:r="http://schemas.openxmlformats.org/officeDocument/2006/relationships" ref="N152" r:id="rId155"/>
    <hyperlink xmlns:r="http://schemas.openxmlformats.org/officeDocument/2006/relationships" ref="N153" r:id="rId156"/>
    <hyperlink xmlns:r="http://schemas.openxmlformats.org/officeDocument/2006/relationships" ref="N154" r:id="rId157"/>
    <hyperlink xmlns:r="http://schemas.openxmlformats.org/officeDocument/2006/relationships" ref="N155" r:id="rId158"/>
    <hyperlink xmlns:r="http://schemas.openxmlformats.org/officeDocument/2006/relationships" ref="N156" r:id="rId159"/>
    <hyperlink xmlns:r="http://schemas.openxmlformats.org/officeDocument/2006/relationships" ref="N157" r:id="rId160"/>
    <hyperlink xmlns:r="http://schemas.openxmlformats.org/officeDocument/2006/relationships" ref="N158" r:id="rId161"/>
    <hyperlink xmlns:r="http://schemas.openxmlformats.org/officeDocument/2006/relationships" ref="N159" r:id="rId162"/>
    <hyperlink xmlns:r="http://schemas.openxmlformats.org/officeDocument/2006/relationships" ref="N160" r:id="rId163"/>
    <hyperlink xmlns:r="http://schemas.openxmlformats.org/officeDocument/2006/relationships" ref="N161" r:id="rId164"/>
    <hyperlink xmlns:r="http://schemas.openxmlformats.org/officeDocument/2006/relationships" ref="N162" r:id="rId165"/>
    <hyperlink xmlns:r="http://schemas.openxmlformats.org/officeDocument/2006/relationships" ref="N163" r:id="rId166"/>
    <hyperlink xmlns:r="http://schemas.openxmlformats.org/officeDocument/2006/relationships" ref="N164" r:id="rId167"/>
    <hyperlink xmlns:r="http://schemas.openxmlformats.org/officeDocument/2006/relationships" ref="N165" r:id="rId168"/>
    <hyperlink xmlns:r="http://schemas.openxmlformats.org/officeDocument/2006/relationships" ref="N166" r:id="rId169"/>
    <hyperlink xmlns:r="http://schemas.openxmlformats.org/officeDocument/2006/relationships" ref="N167" r:id="rId170"/>
    <hyperlink xmlns:r="http://schemas.openxmlformats.org/officeDocument/2006/relationships" ref="N168" r:id="rId171"/>
    <hyperlink xmlns:r="http://schemas.openxmlformats.org/officeDocument/2006/relationships" ref="N169" r:id="rId172"/>
    <hyperlink xmlns:r="http://schemas.openxmlformats.org/officeDocument/2006/relationships" ref="N170" r:id="rId173"/>
    <hyperlink xmlns:r="http://schemas.openxmlformats.org/officeDocument/2006/relationships" ref="N171" r:id="rId174"/>
    <hyperlink xmlns:r="http://schemas.openxmlformats.org/officeDocument/2006/relationships" ref="N172" r:id="rId175"/>
    <hyperlink xmlns:r="http://schemas.openxmlformats.org/officeDocument/2006/relationships" ref="N173" r:id="rId176"/>
    <hyperlink xmlns:r="http://schemas.openxmlformats.org/officeDocument/2006/relationships" ref="N174" r:id="rId177"/>
    <hyperlink xmlns:r="http://schemas.openxmlformats.org/officeDocument/2006/relationships" ref="N175" r:id="rId178"/>
    <hyperlink xmlns:r="http://schemas.openxmlformats.org/officeDocument/2006/relationships" ref="N176" r:id="rId179"/>
    <hyperlink xmlns:r="http://schemas.openxmlformats.org/officeDocument/2006/relationships" ref="N177" r:id="rId180"/>
    <hyperlink xmlns:r="http://schemas.openxmlformats.org/officeDocument/2006/relationships" ref="N178" r:id="rId181"/>
    <hyperlink xmlns:r="http://schemas.openxmlformats.org/officeDocument/2006/relationships" ref="N179" r:id="rId182"/>
    <hyperlink xmlns:r="http://schemas.openxmlformats.org/officeDocument/2006/relationships" ref="N180" r:id="rId183"/>
    <hyperlink xmlns:r="http://schemas.openxmlformats.org/officeDocument/2006/relationships" ref="N181" r:id="rId184"/>
    <hyperlink xmlns:r="http://schemas.openxmlformats.org/officeDocument/2006/relationships" ref="N182" r:id="rId185"/>
    <hyperlink xmlns:r="http://schemas.openxmlformats.org/officeDocument/2006/relationships" ref="N183" r:id="rId186"/>
    <hyperlink xmlns:r="http://schemas.openxmlformats.org/officeDocument/2006/relationships" ref="N184" r:id="rId187"/>
    <hyperlink xmlns:r="http://schemas.openxmlformats.org/officeDocument/2006/relationships" ref="N185" r:id="rId188"/>
    <hyperlink xmlns:r="http://schemas.openxmlformats.org/officeDocument/2006/relationships" ref="N186" r:id="rId189"/>
    <hyperlink xmlns:r="http://schemas.openxmlformats.org/officeDocument/2006/relationships" ref="N187" r:id="rId190"/>
    <hyperlink xmlns:r="http://schemas.openxmlformats.org/officeDocument/2006/relationships" ref="N188" r:id="rId191"/>
    <hyperlink xmlns:r="http://schemas.openxmlformats.org/officeDocument/2006/relationships" ref="N189" r:id="rId192"/>
    <hyperlink xmlns:r="http://schemas.openxmlformats.org/officeDocument/2006/relationships" ref="N190" r:id="rId193"/>
    <hyperlink xmlns:r="http://schemas.openxmlformats.org/officeDocument/2006/relationships" ref="N191" r:id="rId194"/>
    <hyperlink xmlns:r="http://schemas.openxmlformats.org/officeDocument/2006/relationships" ref="N192" r:id="rId195"/>
    <hyperlink xmlns:r="http://schemas.openxmlformats.org/officeDocument/2006/relationships" ref="N193" r:id="rId196"/>
    <hyperlink xmlns:r="http://schemas.openxmlformats.org/officeDocument/2006/relationships" ref="N194" r:id="rId197"/>
    <hyperlink xmlns:r="http://schemas.openxmlformats.org/officeDocument/2006/relationships" ref="N195" r:id="rId198"/>
    <hyperlink xmlns:r="http://schemas.openxmlformats.org/officeDocument/2006/relationships" ref="N196" r:id="rId199"/>
    <hyperlink xmlns:r="http://schemas.openxmlformats.org/officeDocument/2006/relationships" ref="N197" r:id="rId200"/>
    <hyperlink xmlns:r="http://schemas.openxmlformats.org/officeDocument/2006/relationships" ref="N198" r:id="rId201"/>
    <hyperlink xmlns:r="http://schemas.openxmlformats.org/officeDocument/2006/relationships" ref="N199" r:id="rId202"/>
    <hyperlink xmlns:r="http://schemas.openxmlformats.org/officeDocument/2006/relationships" ref="N200" r:id="rId203"/>
    <hyperlink xmlns:r="http://schemas.openxmlformats.org/officeDocument/2006/relationships" ref="N201" r:id="rId204"/>
    <hyperlink xmlns:r="http://schemas.openxmlformats.org/officeDocument/2006/relationships" ref="N202" r:id="rId205"/>
    <hyperlink xmlns:r="http://schemas.openxmlformats.org/officeDocument/2006/relationships" ref="N203" r:id="rId206"/>
    <hyperlink xmlns:r="http://schemas.openxmlformats.org/officeDocument/2006/relationships" ref="N204" r:id="rId207"/>
    <hyperlink xmlns:r="http://schemas.openxmlformats.org/officeDocument/2006/relationships" ref="N205" r:id="rId208"/>
    <hyperlink xmlns:r="http://schemas.openxmlformats.org/officeDocument/2006/relationships" ref="N206" r:id="rId209"/>
    <hyperlink xmlns:r="http://schemas.openxmlformats.org/officeDocument/2006/relationships" ref="N207" r:id="rId210"/>
    <hyperlink xmlns:r="http://schemas.openxmlformats.org/officeDocument/2006/relationships" ref="N208" r:id="rId211"/>
    <hyperlink xmlns:r="http://schemas.openxmlformats.org/officeDocument/2006/relationships" ref="N209" r:id="rId212"/>
    <hyperlink xmlns:r="http://schemas.openxmlformats.org/officeDocument/2006/relationships" ref="N210" r:id="rId213"/>
    <hyperlink xmlns:r="http://schemas.openxmlformats.org/officeDocument/2006/relationships" ref="N211" r:id="rId214"/>
    <hyperlink xmlns:r="http://schemas.openxmlformats.org/officeDocument/2006/relationships" ref="N212" r:id="rId215"/>
    <hyperlink xmlns:r="http://schemas.openxmlformats.org/officeDocument/2006/relationships" ref="N213" r:id="rId216"/>
    <hyperlink xmlns:r="http://schemas.openxmlformats.org/officeDocument/2006/relationships" ref="N214" r:id="rId217"/>
    <hyperlink xmlns:r="http://schemas.openxmlformats.org/officeDocument/2006/relationships" ref="N215" r:id="rId218"/>
    <hyperlink xmlns:r="http://schemas.openxmlformats.org/officeDocument/2006/relationships" ref="N216" r:id="rId219"/>
    <hyperlink xmlns:r="http://schemas.openxmlformats.org/officeDocument/2006/relationships" ref="N217" r:id="rId220"/>
    <hyperlink xmlns:r="http://schemas.openxmlformats.org/officeDocument/2006/relationships" ref="N218" r:id="rId221"/>
    <hyperlink xmlns:r="http://schemas.openxmlformats.org/officeDocument/2006/relationships" ref="N219" r:id="rId222"/>
    <hyperlink xmlns:r="http://schemas.openxmlformats.org/officeDocument/2006/relationships" ref="N220" r:id="rId223"/>
    <hyperlink xmlns:r="http://schemas.openxmlformats.org/officeDocument/2006/relationships" ref="N221" r:id="rId224"/>
    <hyperlink xmlns:r="http://schemas.openxmlformats.org/officeDocument/2006/relationships" ref="N222" r:id="rId225"/>
    <hyperlink xmlns:r="http://schemas.openxmlformats.org/officeDocument/2006/relationships" ref="N223" r:id="rId226"/>
    <hyperlink xmlns:r="http://schemas.openxmlformats.org/officeDocument/2006/relationships" ref="N224" r:id="rId227"/>
    <hyperlink xmlns:r="http://schemas.openxmlformats.org/officeDocument/2006/relationships" ref="N225" r:id="rId228"/>
    <hyperlink xmlns:r="http://schemas.openxmlformats.org/officeDocument/2006/relationships" ref="N226" r:id="rId229"/>
    <hyperlink xmlns:r="http://schemas.openxmlformats.org/officeDocument/2006/relationships" ref="N227" r:id="rId230"/>
    <hyperlink xmlns:r="http://schemas.openxmlformats.org/officeDocument/2006/relationships" ref="N228" r:id="rId231"/>
    <hyperlink xmlns:r="http://schemas.openxmlformats.org/officeDocument/2006/relationships" ref="N229" r:id="rId232"/>
    <hyperlink xmlns:r="http://schemas.openxmlformats.org/officeDocument/2006/relationships" ref="N230" r:id="rId233"/>
    <hyperlink xmlns:r="http://schemas.openxmlformats.org/officeDocument/2006/relationships" ref="N231" r:id="rId234"/>
    <hyperlink xmlns:r="http://schemas.openxmlformats.org/officeDocument/2006/relationships" ref="N232" r:id="rId235"/>
    <hyperlink xmlns:r="http://schemas.openxmlformats.org/officeDocument/2006/relationships" ref="N233" r:id="rId236"/>
    <hyperlink xmlns:r="http://schemas.openxmlformats.org/officeDocument/2006/relationships" ref="N234" r:id="rId237"/>
    <hyperlink xmlns:r="http://schemas.openxmlformats.org/officeDocument/2006/relationships" ref="N235" r:id="rId238"/>
    <hyperlink xmlns:r="http://schemas.openxmlformats.org/officeDocument/2006/relationships" ref="N236" r:id="rId239"/>
    <hyperlink xmlns:r="http://schemas.openxmlformats.org/officeDocument/2006/relationships" ref="N237" r:id="rId240"/>
    <hyperlink xmlns:r="http://schemas.openxmlformats.org/officeDocument/2006/relationships" ref="N238" r:id="rId241"/>
    <hyperlink xmlns:r="http://schemas.openxmlformats.org/officeDocument/2006/relationships" ref="N239" r:id="rId242"/>
    <hyperlink xmlns:r="http://schemas.openxmlformats.org/officeDocument/2006/relationships" ref="N240" r:id="rId243"/>
    <hyperlink xmlns:r="http://schemas.openxmlformats.org/officeDocument/2006/relationships" ref="N241" r:id="rId244"/>
    <hyperlink xmlns:r="http://schemas.openxmlformats.org/officeDocument/2006/relationships" ref="N242" r:id="rId245"/>
    <hyperlink xmlns:r="http://schemas.openxmlformats.org/officeDocument/2006/relationships" ref="N243" r:id="rId246"/>
    <hyperlink xmlns:r="http://schemas.openxmlformats.org/officeDocument/2006/relationships" ref="N244" r:id="rId247"/>
    <hyperlink xmlns:r="http://schemas.openxmlformats.org/officeDocument/2006/relationships" ref="N245" r:id="rId248"/>
    <hyperlink xmlns:r="http://schemas.openxmlformats.org/officeDocument/2006/relationships" ref="N246" r:id="rId249"/>
    <hyperlink xmlns:r="http://schemas.openxmlformats.org/officeDocument/2006/relationships" ref="N247" r:id="rId250"/>
    <hyperlink xmlns:r="http://schemas.openxmlformats.org/officeDocument/2006/relationships" ref="N248" r:id="rId251"/>
    <hyperlink xmlns:r="http://schemas.openxmlformats.org/officeDocument/2006/relationships" ref="N249" r:id="rId252"/>
    <hyperlink xmlns:r="http://schemas.openxmlformats.org/officeDocument/2006/relationships" ref="N250" r:id="rId253"/>
    <hyperlink xmlns:r="http://schemas.openxmlformats.org/officeDocument/2006/relationships" ref="N251" r:id="rId254"/>
    <hyperlink xmlns:r="http://schemas.openxmlformats.org/officeDocument/2006/relationships" ref="N252" r:id="rId255"/>
    <hyperlink xmlns:r="http://schemas.openxmlformats.org/officeDocument/2006/relationships" ref="N253" r:id="rId256"/>
    <hyperlink xmlns:r="http://schemas.openxmlformats.org/officeDocument/2006/relationships" ref="N254" r:id="rId257"/>
    <hyperlink xmlns:r="http://schemas.openxmlformats.org/officeDocument/2006/relationships" ref="N255" r:id="rId258"/>
    <hyperlink xmlns:r="http://schemas.openxmlformats.org/officeDocument/2006/relationships" ref="N256" r:id="rId259"/>
    <hyperlink xmlns:r="http://schemas.openxmlformats.org/officeDocument/2006/relationships" ref="N257" r:id="rId260"/>
    <hyperlink xmlns:r="http://schemas.openxmlformats.org/officeDocument/2006/relationships" ref="N258" r:id="rId261"/>
    <hyperlink xmlns:r="http://schemas.openxmlformats.org/officeDocument/2006/relationships" ref="N259" r:id="rId262"/>
    <hyperlink xmlns:r="http://schemas.openxmlformats.org/officeDocument/2006/relationships" ref="N260" r:id="rId263"/>
    <hyperlink xmlns:r="http://schemas.openxmlformats.org/officeDocument/2006/relationships" ref="N261" r:id="rId264"/>
    <hyperlink xmlns:r="http://schemas.openxmlformats.org/officeDocument/2006/relationships" ref="N262" r:id="rId265"/>
    <hyperlink xmlns:r="http://schemas.openxmlformats.org/officeDocument/2006/relationships" ref="N263" r:id="rId266"/>
    <hyperlink xmlns:r="http://schemas.openxmlformats.org/officeDocument/2006/relationships" ref="N264" r:id="rId267"/>
    <hyperlink xmlns:r="http://schemas.openxmlformats.org/officeDocument/2006/relationships" ref="N265" r:id="rId268"/>
    <hyperlink xmlns:r="http://schemas.openxmlformats.org/officeDocument/2006/relationships" ref="N266" r:id="rId269"/>
    <hyperlink xmlns:r="http://schemas.openxmlformats.org/officeDocument/2006/relationships" ref="N267" r:id="rId270"/>
    <hyperlink xmlns:r="http://schemas.openxmlformats.org/officeDocument/2006/relationships" ref="N268" r:id="rId271"/>
    <hyperlink xmlns:r="http://schemas.openxmlformats.org/officeDocument/2006/relationships" ref="N269" r:id="rId272"/>
    <hyperlink xmlns:r="http://schemas.openxmlformats.org/officeDocument/2006/relationships" ref="N270" r:id="rId273"/>
    <hyperlink xmlns:r="http://schemas.openxmlformats.org/officeDocument/2006/relationships" ref="N271" r:id="rId274"/>
    <hyperlink xmlns:r="http://schemas.openxmlformats.org/officeDocument/2006/relationships" ref="N272" r:id="rId275"/>
    <hyperlink xmlns:r="http://schemas.openxmlformats.org/officeDocument/2006/relationships" ref="N273" r:id="rId276"/>
    <hyperlink xmlns:r="http://schemas.openxmlformats.org/officeDocument/2006/relationships" ref="N274" r:id="rId277"/>
    <hyperlink xmlns:r="http://schemas.openxmlformats.org/officeDocument/2006/relationships" ref="N275" r:id="rId278"/>
    <hyperlink xmlns:r="http://schemas.openxmlformats.org/officeDocument/2006/relationships" ref="N276" r:id="rId279"/>
    <hyperlink xmlns:r="http://schemas.openxmlformats.org/officeDocument/2006/relationships" ref="N277" r:id="rId280"/>
    <hyperlink xmlns:r="http://schemas.openxmlformats.org/officeDocument/2006/relationships" ref="N278" r:id="rId281"/>
    <hyperlink xmlns:r="http://schemas.openxmlformats.org/officeDocument/2006/relationships" ref="N279" r:id="rId282"/>
    <hyperlink xmlns:r="http://schemas.openxmlformats.org/officeDocument/2006/relationships" ref="N280" r:id="rId283"/>
    <hyperlink xmlns:r="http://schemas.openxmlformats.org/officeDocument/2006/relationships" ref="N281" r:id="rId284"/>
    <hyperlink xmlns:r="http://schemas.openxmlformats.org/officeDocument/2006/relationships" ref="N282" r:id="rId285"/>
    <hyperlink xmlns:r="http://schemas.openxmlformats.org/officeDocument/2006/relationships" ref="N283" r:id="rId286"/>
    <hyperlink xmlns:r="http://schemas.openxmlformats.org/officeDocument/2006/relationships" ref="N284" r:id="rId287"/>
    <hyperlink xmlns:r="http://schemas.openxmlformats.org/officeDocument/2006/relationships" ref="N285" r:id="rId288"/>
    <hyperlink xmlns:r="http://schemas.openxmlformats.org/officeDocument/2006/relationships" ref="N286" r:id="rId289"/>
    <hyperlink xmlns:r="http://schemas.openxmlformats.org/officeDocument/2006/relationships" ref="N287" r:id="rId290"/>
    <hyperlink xmlns:r="http://schemas.openxmlformats.org/officeDocument/2006/relationships" ref="N288" r:id="rId291"/>
    <hyperlink xmlns:r="http://schemas.openxmlformats.org/officeDocument/2006/relationships" ref="N289" r:id="rId292"/>
    <hyperlink xmlns:r="http://schemas.openxmlformats.org/officeDocument/2006/relationships" ref="N290" r:id="rId293"/>
    <hyperlink xmlns:r="http://schemas.openxmlformats.org/officeDocument/2006/relationships" ref="N291" r:id="rId294"/>
    <hyperlink xmlns:r="http://schemas.openxmlformats.org/officeDocument/2006/relationships" ref="N292" r:id="rId295"/>
    <hyperlink xmlns:r="http://schemas.openxmlformats.org/officeDocument/2006/relationships" ref="N293" r:id="rId296"/>
    <hyperlink xmlns:r="http://schemas.openxmlformats.org/officeDocument/2006/relationships" ref="N294" r:id="rId297"/>
    <hyperlink xmlns:r="http://schemas.openxmlformats.org/officeDocument/2006/relationships" ref="N295" r:id="rId298"/>
    <hyperlink xmlns:r="http://schemas.openxmlformats.org/officeDocument/2006/relationships" ref="N296" r:id="rId299"/>
    <hyperlink xmlns:r="http://schemas.openxmlformats.org/officeDocument/2006/relationships" ref="N297" r:id="rId300"/>
    <hyperlink xmlns:r="http://schemas.openxmlformats.org/officeDocument/2006/relationships" ref="N298" r:id="rId301"/>
    <hyperlink xmlns:r="http://schemas.openxmlformats.org/officeDocument/2006/relationships" ref="N299" r:id="rId302"/>
    <hyperlink xmlns:r="http://schemas.openxmlformats.org/officeDocument/2006/relationships" ref="N300" r:id="rId303"/>
    <hyperlink xmlns:r="http://schemas.openxmlformats.org/officeDocument/2006/relationships" ref="N301" r:id="rId304"/>
    <hyperlink xmlns:r="http://schemas.openxmlformats.org/officeDocument/2006/relationships" ref="N302" r:id="rId305"/>
    <hyperlink xmlns:r="http://schemas.openxmlformats.org/officeDocument/2006/relationships" ref="N303" r:id="rId306"/>
    <hyperlink xmlns:r="http://schemas.openxmlformats.org/officeDocument/2006/relationships" ref="N304" r:id="rId307"/>
    <hyperlink xmlns:r="http://schemas.openxmlformats.org/officeDocument/2006/relationships" ref="N305" r:id="rId308"/>
    <hyperlink xmlns:r="http://schemas.openxmlformats.org/officeDocument/2006/relationships" ref="N306" r:id="rId309"/>
    <hyperlink xmlns:r="http://schemas.openxmlformats.org/officeDocument/2006/relationships" ref="N307" r:id="rId310"/>
    <hyperlink xmlns:r="http://schemas.openxmlformats.org/officeDocument/2006/relationships" ref="N308" r:id="rId311"/>
    <hyperlink xmlns:r="http://schemas.openxmlformats.org/officeDocument/2006/relationships" ref="N309" r:id="rId312"/>
    <hyperlink xmlns:r="http://schemas.openxmlformats.org/officeDocument/2006/relationships" ref="N310" r:id="rId313"/>
    <hyperlink xmlns:r="http://schemas.openxmlformats.org/officeDocument/2006/relationships" ref="N311" r:id="rId314"/>
    <hyperlink xmlns:r="http://schemas.openxmlformats.org/officeDocument/2006/relationships" ref="N312" r:id="rId315"/>
    <hyperlink xmlns:r="http://schemas.openxmlformats.org/officeDocument/2006/relationships" ref="N313" r:id="rId316"/>
    <hyperlink xmlns:r="http://schemas.openxmlformats.org/officeDocument/2006/relationships" ref="N314" r:id="rId317"/>
    <hyperlink xmlns:r="http://schemas.openxmlformats.org/officeDocument/2006/relationships" ref="N315" r:id="rId318"/>
    <hyperlink xmlns:r="http://schemas.openxmlformats.org/officeDocument/2006/relationships" ref="N316" r:id="rId319"/>
    <hyperlink xmlns:r="http://schemas.openxmlformats.org/officeDocument/2006/relationships" ref="N317" r:id="rId320"/>
    <hyperlink xmlns:r="http://schemas.openxmlformats.org/officeDocument/2006/relationships" ref="N318" r:id="rId321"/>
    <hyperlink xmlns:r="http://schemas.openxmlformats.org/officeDocument/2006/relationships" ref="N319" r:id="rId322"/>
    <hyperlink xmlns:r="http://schemas.openxmlformats.org/officeDocument/2006/relationships" ref="N320" r:id="rId323"/>
    <hyperlink xmlns:r="http://schemas.openxmlformats.org/officeDocument/2006/relationships" ref="N321" r:id="rId324"/>
    <hyperlink xmlns:r="http://schemas.openxmlformats.org/officeDocument/2006/relationships" ref="N322" r:id="rId325"/>
    <hyperlink xmlns:r="http://schemas.openxmlformats.org/officeDocument/2006/relationships" ref="N323" r:id="rId326"/>
    <hyperlink xmlns:r="http://schemas.openxmlformats.org/officeDocument/2006/relationships" ref="N324" r:id="rId327"/>
    <hyperlink xmlns:r="http://schemas.openxmlformats.org/officeDocument/2006/relationships" ref="N325" r:id="rId328"/>
    <hyperlink xmlns:r="http://schemas.openxmlformats.org/officeDocument/2006/relationships" ref="N326" r:id="rId329"/>
    <hyperlink xmlns:r="http://schemas.openxmlformats.org/officeDocument/2006/relationships" ref="N327" r:id="rId330"/>
    <hyperlink xmlns:r="http://schemas.openxmlformats.org/officeDocument/2006/relationships" ref="N328" r:id="rId331"/>
    <hyperlink xmlns:r="http://schemas.openxmlformats.org/officeDocument/2006/relationships" ref="N329" r:id="rId332"/>
    <hyperlink xmlns:r="http://schemas.openxmlformats.org/officeDocument/2006/relationships" ref="N330" r:id="rId333"/>
    <hyperlink xmlns:r="http://schemas.openxmlformats.org/officeDocument/2006/relationships" ref="N331" r:id="rId334"/>
    <hyperlink xmlns:r="http://schemas.openxmlformats.org/officeDocument/2006/relationships" ref="N332" r:id="rId335"/>
    <hyperlink xmlns:r="http://schemas.openxmlformats.org/officeDocument/2006/relationships" ref="N333" r:id="rId336"/>
    <hyperlink xmlns:r="http://schemas.openxmlformats.org/officeDocument/2006/relationships" ref="N334" r:id="rId337"/>
    <hyperlink xmlns:r="http://schemas.openxmlformats.org/officeDocument/2006/relationships" ref="N335" r:id="rId338"/>
    <hyperlink xmlns:r="http://schemas.openxmlformats.org/officeDocument/2006/relationships" ref="N336" r:id="rId339"/>
    <hyperlink xmlns:r="http://schemas.openxmlformats.org/officeDocument/2006/relationships" ref="N337" r:id="rId340"/>
    <hyperlink xmlns:r="http://schemas.openxmlformats.org/officeDocument/2006/relationships" ref="N338" r:id="rId341"/>
    <hyperlink xmlns:r="http://schemas.openxmlformats.org/officeDocument/2006/relationships" ref="N339" r:id="rId342"/>
    <hyperlink xmlns:r="http://schemas.openxmlformats.org/officeDocument/2006/relationships" ref="N340" r:id="rId343"/>
    <hyperlink xmlns:r="http://schemas.openxmlformats.org/officeDocument/2006/relationships" ref="N341" r:id="rId344"/>
    <hyperlink xmlns:r="http://schemas.openxmlformats.org/officeDocument/2006/relationships" ref="N342" r:id="rId345"/>
    <hyperlink xmlns:r="http://schemas.openxmlformats.org/officeDocument/2006/relationships" ref="N343" r:id="rId346"/>
    <hyperlink xmlns:r="http://schemas.openxmlformats.org/officeDocument/2006/relationships" ref="N344" r:id="rId347"/>
    <hyperlink xmlns:r="http://schemas.openxmlformats.org/officeDocument/2006/relationships" ref="N345" r:id="rId348"/>
    <hyperlink xmlns:r="http://schemas.openxmlformats.org/officeDocument/2006/relationships" ref="N346" r:id="rId349"/>
    <hyperlink xmlns:r="http://schemas.openxmlformats.org/officeDocument/2006/relationships" ref="N347" r:id="rId350"/>
    <hyperlink xmlns:r="http://schemas.openxmlformats.org/officeDocument/2006/relationships" ref="N348" r:id="rId351"/>
    <hyperlink xmlns:r="http://schemas.openxmlformats.org/officeDocument/2006/relationships" ref="N349" r:id="rId352"/>
    <hyperlink xmlns:r="http://schemas.openxmlformats.org/officeDocument/2006/relationships" ref="N350" r:id="rId353"/>
    <hyperlink xmlns:r="http://schemas.openxmlformats.org/officeDocument/2006/relationships" ref="N351" r:id="rId354"/>
    <hyperlink xmlns:r="http://schemas.openxmlformats.org/officeDocument/2006/relationships" ref="N352" r:id="rId355"/>
    <hyperlink xmlns:r="http://schemas.openxmlformats.org/officeDocument/2006/relationships" ref="N353" r:id="rId356"/>
    <hyperlink xmlns:r="http://schemas.openxmlformats.org/officeDocument/2006/relationships" ref="N354" r:id="rId357"/>
    <hyperlink xmlns:r="http://schemas.openxmlformats.org/officeDocument/2006/relationships" ref="N355" r:id="rId358"/>
    <hyperlink xmlns:r="http://schemas.openxmlformats.org/officeDocument/2006/relationships" ref="N356" r:id="rId359"/>
    <hyperlink xmlns:r="http://schemas.openxmlformats.org/officeDocument/2006/relationships" ref="N357" r:id="rId360"/>
    <hyperlink xmlns:r="http://schemas.openxmlformats.org/officeDocument/2006/relationships" ref="N358" r:id="rId361"/>
    <hyperlink xmlns:r="http://schemas.openxmlformats.org/officeDocument/2006/relationships" ref="N359" r:id="rId362"/>
    <hyperlink xmlns:r="http://schemas.openxmlformats.org/officeDocument/2006/relationships" ref="N360" r:id="rId363"/>
    <hyperlink xmlns:r="http://schemas.openxmlformats.org/officeDocument/2006/relationships" ref="N361" r:id="rId364"/>
    <hyperlink xmlns:r="http://schemas.openxmlformats.org/officeDocument/2006/relationships" ref="N362" r:id="rId365"/>
    <hyperlink xmlns:r="http://schemas.openxmlformats.org/officeDocument/2006/relationships" ref="N363" r:id="rId366"/>
    <hyperlink xmlns:r="http://schemas.openxmlformats.org/officeDocument/2006/relationships" ref="N364" r:id="rId367"/>
    <hyperlink xmlns:r="http://schemas.openxmlformats.org/officeDocument/2006/relationships" ref="N365" r:id="rId368"/>
    <hyperlink xmlns:r="http://schemas.openxmlformats.org/officeDocument/2006/relationships" ref="N366" r:id="rId369"/>
    <hyperlink xmlns:r="http://schemas.openxmlformats.org/officeDocument/2006/relationships" ref="N367" r:id="rId370"/>
    <hyperlink xmlns:r="http://schemas.openxmlformats.org/officeDocument/2006/relationships" ref="N368" r:id="rId371"/>
    <hyperlink xmlns:r="http://schemas.openxmlformats.org/officeDocument/2006/relationships" ref="N369" r:id="rId372"/>
    <hyperlink xmlns:r="http://schemas.openxmlformats.org/officeDocument/2006/relationships" ref="N370" r:id="rId373"/>
    <hyperlink xmlns:r="http://schemas.openxmlformats.org/officeDocument/2006/relationships" ref="N371" r:id="rId374"/>
    <hyperlink xmlns:r="http://schemas.openxmlformats.org/officeDocument/2006/relationships" ref="N372" r:id="rId375"/>
    <hyperlink xmlns:r="http://schemas.openxmlformats.org/officeDocument/2006/relationships" ref="N373" r:id="rId376"/>
    <hyperlink xmlns:r="http://schemas.openxmlformats.org/officeDocument/2006/relationships" ref="N374" r:id="rId377"/>
    <hyperlink xmlns:r="http://schemas.openxmlformats.org/officeDocument/2006/relationships" ref="N375" r:id="rId378"/>
    <hyperlink xmlns:r="http://schemas.openxmlformats.org/officeDocument/2006/relationships" ref="N376" r:id="rId379"/>
    <hyperlink xmlns:r="http://schemas.openxmlformats.org/officeDocument/2006/relationships" ref="N377" r:id="rId380"/>
    <hyperlink xmlns:r="http://schemas.openxmlformats.org/officeDocument/2006/relationships" ref="N378" r:id="rId381"/>
    <hyperlink xmlns:r="http://schemas.openxmlformats.org/officeDocument/2006/relationships" ref="N379" r:id="rId382"/>
    <hyperlink xmlns:r="http://schemas.openxmlformats.org/officeDocument/2006/relationships" ref="N380" r:id="rId383"/>
    <hyperlink xmlns:r="http://schemas.openxmlformats.org/officeDocument/2006/relationships" ref="N381" r:id="rId384"/>
    <hyperlink xmlns:r="http://schemas.openxmlformats.org/officeDocument/2006/relationships" ref="N382" r:id="rId385"/>
    <hyperlink xmlns:r="http://schemas.openxmlformats.org/officeDocument/2006/relationships" ref="N383" r:id="rId386"/>
    <hyperlink xmlns:r="http://schemas.openxmlformats.org/officeDocument/2006/relationships" ref="N384" r:id="rId387"/>
    <hyperlink xmlns:r="http://schemas.openxmlformats.org/officeDocument/2006/relationships" ref="N385" r:id="rId388"/>
    <hyperlink xmlns:r="http://schemas.openxmlformats.org/officeDocument/2006/relationships" ref="N386" r:id="rId389"/>
    <hyperlink xmlns:r="http://schemas.openxmlformats.org/officeDocument/2006/relationships" ref="N387" r:id="rId390"/>
    <hyperlink xmlns:r="http://schemas.openxmlformats.org/officeDocument/2006/relationships" ref="N388" r:id="rId391"/>
    <hyperlink xmlns:r="http://schemas.openxmlformats.org/officeDocument/2006/relationships" ref="N389" r:id="rId392"/>
    <hyperlink xmlns:r="http://schemas.openxmlformats.org/officeDocument/2006/relationships" ref="N390" r:id="rId393"/>
    <hyperlink xmlns:r="http://schemas.openxmlformats.org/officeDocument/2006/relationships" ref="N391" r:id="rId394"/>
    <hyperlink xmlns:r="http://schemas.openxmlformats.org/officeDocument/2006/relationships" ref="N392" r:id="rId395"/>
    <hyperlink xmlns:r="http://schemas.openxmlformats.org/officeDocument/2006/relationships" ref="N393" r:id="rId396"/>
    <hyperlink xmlns:r="http://schemas.openxmlformats.org/officeDocument/2006/relationships" ref="N394" r:id="rId397"/>
    <hyperlink xmlns:r="http://schemas.openxmlformats.org/officeDocument/2006/relationships" ref="N395" r:id="rId398"/>
    <hyperlink xmlns:r="http://schemas.openxmlformats.org/officeDocument/2006/relationships" ref="N396" r:id="rId399"/>
    <hyperlink xmlns:r="http://schemas.openxmlformats.org/officeDocument/2006/relationships" ref="N397" r:id="rId400"/>
    <hyperlink xmlns:r="http://schemas.openxmlformats.org/officeDocument/2006/relationships" ref="N398" r:id="rId401"/>
    <hyperlink xmlns:r="http://schemas.openxmlformats.org/officeDocument/2006/relationships" ref="N399" r:id="rId402"/>
    <hyperlink xmlns:r="http://schemas.openxmlformats.org/officeDocument/2006/relationships" ref="N400" r:id="rId403"/>
    <hyperlink xmlns:r="http://schemas.openxmlformats.org/officeDocument/2006/relationships" ref="N401" r:id="rId404"/>
    <hyperlink xmlns:r="http://schemas.openxmlformats.org/officeDocument/2006/relationships" ref="N402" r:id="rId405"/>
    <hyperlink xmlns:r="http://schemas.openxmlformats.org/officeDocument/2006/relationships" ref="N403" r:id="rId406"/>
    <hyperlink xmlns:r="http://schemas.openxmlformats.org/officeDocument/2006/relationships" ref="N404" r:id="rId407"/>
    <hyperlink xmlns:r="http://schemas.openxmlformats.org/officeDocument/2006/relationships" ref="N405" r:id="rId408"/>
    <hyperlink xmlns:r="http://schemas.openxmlformats.org/officeDocument/2006/relationships" ref="N406" r:id="rId409"/>
    <hyperlink xmlns:r="http://schemas.openxmlformats.org/officeDocument/2006/relationships" ref="N407" r:id="rId410"/>
    <hyperlink xmlns:r="http://schemas.openxmlformats.org/officeDocument/2006/relationships" ref="N408" r:id="rId411"/>
    <hyperlink xmlns:r="http://schemas.openxmlformats.org/officeDocument/2006/relationships" ref="N409" r:id="rId412"/>
    <hyperlink xmlns:r="http://schemas.openxmlformats.org/officeDocument/2006/relationships" ref="N410" r:id="rId413"/>
    <hyperlink xmlns:r="http://schemas.openxmlformats.org/officeDocument/2006/relationships" ref="N411" r:id="rId414"/>
    <hyperlink xmlns:r="http://schemas.openxmlformats.org/officeDocument/2006/relationships" ref="N412" r:id="rId415"/>
    <hyperlink xmlns:r="http://schemas.openxmlformats.org/officeDocument/2006/relationships" ref="N413" r:id="rId416"/>
    <hyperlink xmlns:r="http://schemas.openxmlformats.org/officeDocument/2006/relationships" ref="N414" r:id="rId417"/>
    <hyperlink xmlns:r="http://schemas.openxmlformats.org/officeDocument/2006/relationships" ref="N415" r:id="rId418"/>
    <hyperlink xmlns:r="http://schemas.openxmlformats.org/officeDocument/2006/relationships" ref="N416" r:id="rId419"/>
    <hyperlink xmlns:r="http://schemas.openxmlformats.org/officeDocument/2006/relationships" ref="N417" r:id="rId420"/>
    <hyperlink xmlns:r="http://schemas.openxmlformats.org/officeDocument/2006/relationships" ref="N418" r:id="rId421"/>
    <hyperlink xmlns:r="http://schemas.openxmlformats.org/officeDocument/2006/relationships" ref="N419" r:id="rId422"/>
    <hyperlink xmlns:r="http://schemas.openxmlformats.org/officeDocument/2006/relationships" ref="N420" r:id="rId423"/>
    <hyperlink xmlns:r="http://schemas.openxmlformats.org/officeDocument/2006/relationships" ref="N421" r:id="rId424"/>
    <hyperlink xmlns:r="http://schemas.openxmlformats.org/officeDocument/2006/relationships" ref="N422" r:id="rId425"/>
    <hyperlink xmlns:r="http://schemas.openxmlformats.org/officeDocument/2006/relationships" ref="N423" r:id="rId426"/>
    <hyperlink xmlns:r="http://schemas.openxmlformats.org/officeDocument/2006/relationships" ref="N424" r:id="rId427"/>
    <hyperlink xmlns:r="http://schemas.openxmlformats.org/officeDocument/2006/relationships" ref="N425" r:id="rId428"/>
    <hyperlink xmlns:r="http://schemas.openxmlformats.org/officeDocument/2006/relationships" ref="N426" r:id="rId429"/>
    <hyperlink xmlns:r="http://schemas.openxmlformats.org/officeDocument/2006/relationships" ref="N427" r:id="rId430"/>
    <hyperlink xmlns:r="http://schemas.openxmlformats.org/officeDocument/2006/relationships" ref="N428" r:id="rId431"/>
    <hyperlink xmlns:r="http://schemas.openxmlformats.org/officeDocument/2006/relationships" ref="N429" r:id="rId432"/>
    <hyperlink xmlns:r="http://schemas.openxmlformats.org/officeDocument/2006/relationships" ref="N430" r:id="rId433"/>
    <hyperlink xmlns:r="http://schemas.openxmlformats.org/officeDocument/2006/relationships" ref="N431" r:id="rId434"/>
    <hyperlink xmlns:r="http://schemas.openxmlformats.org/officeDocument/2006/relationships" ref="N432" r:id="rId435"/>
    <hyperlink xmlns:r="http://schemas.openxmlformats.org/officeDocument/2006/relationships" ref="N433" r:id="rId436"/>
    <hyperlink xmlns:r="http://schemas.openxmlformats.org/officeDocument/2006/relationships" ref="N434" r:id="rId437"/>
    <hyperlink xmlns:r="http://schemas.openxmlformats.org/officeDocument/2006/relationships" ref="N435" r:id="rId438"/>
    <hyperlink xmlns:r="http://schemas.openxmlformats.org/officeDocument/2006/relationships" ref="N436" r:id="rId439"/>
    <hyperlink xmlns:r="http://schemas.openxmlformats.org/officeDocument/2006/relationships" ref="N437" r:id="rId440"/>
    <hyperlink xmlns:r="http://schemas.openxmlformats.org/officeDocument/2006/relationships" ref="N438" r:id="rId441"/>
    <hyperlink xmlns:r="http://schemas.openxmlformats.org/officeDocument/2006/relationships" ref="N439" r:id="rId442"/>
    <hyperlink xmlns:r="http://schemas.openxmlformats.org/officeDocument/2006/relationships" ref="N440" r:id="rId443"/>
    <hyperlink xmlns:r="http://schemas.openxmlformats.org/officeDocument/2006/relationships" ref="N441" r:id="rId444"/>
    <hyperlink xmlns:r="http://schemas.openxmlformats.org/officeDocument/2006/relationships" ref="N442" r:id="rId445"/>
    <hyperlink xmlns:r="http://schemas.openxmlformats.org/officeDocument/2006/relationships" ref="N443" r:id="rId446"/>
    <hyperlink xmlns:r="http://schemas.openxmlformats.org/officeDocument/2006/relationships" ref="N444" r:id="rId447"/>
    <hyperlink xmlns:r="http://schemas.openxmlformats.org/officeDocument/2006/relationships" ref="N445" r:id="rId448"/>
    <hyperlink xmlns:r="http://schemas.openxmlformats.org/officeDocument/2006/relationships" ref="N446" r:id="rId449"/>
    <hyperlink xmlns:r="http://schemas.openxmlformats.org/officeDocument/2006/relationships" ref="N447" r:id="rId450"/>
    <hyperlink xmlns:r="http://schemas.openxmlformats.org/officeDocument/2006/relationships" ref="N448" r:id="rId451"/>
    <hyperlink xmlns:r="http://schemas.openxmlformats.org/officeDocument/2006/relationships" ref="N449" r:id="rId452"/>
    <hyperlink xmlns:r="http://schemas.openxmlformats.org/officeDocument/2006/relationships" ref="N450" r:id="rId453"/>
    <hyperlink xmlns:r="http://schemas.openxmlformats.org/officeDocument/2006/relationships" ref="N451" r:id="rId454"/>
    <hyperlink xmlns:r="http://schemas.openxmlformats.org/officeDocument/2006/relationships" ref="N452" r:id="rId455"/>
    <hyperlink xmlns:r="http://schemas.openxmlformats.org/officeDocument/2006/relationships" ref="N453" r:id="rId456"/>
    <hyperlink xmlns:r="http://schemas.openxmlformats.org/officeDocument/2006/relationships" ref="N454" r:id="rId457"/>
    <hyperlink xmlns:r="http://schemas.openxmlformats.org/officeDocument/2006/relationships" ref="N455" r:id="rId458"/>
    <hyperlink xmlns:r="http://schemas.openxmlformats.org/officeDocument/2006/relationships" ref="N456" r:id="rId459"/>
    <hyperlink xmlns:r="http://schemas.openxmlformats.org/officeDocument/2006/relationships" ref="N457" r:id="rId460"/>
    <hyperlink xmlns:r="http://schemas.openxmlformats.org/officeDocument/2006/relationships" ref="N458" r:id="rId461"/>
    <hyperlink xmlns:r="http://schemas.openxmlformats.org/officeDocument/2006/relationships" ref="N459" r:id="rId462"/>
    <hyperlink xmlns:r="http://schemas.openxmlformats.org/officeDocument/2006/relationships" ref="N460" r:id="rId463"/>
    <hyperlink xmlns:r="http://schemas.openxmlformats.org/officeDocument/2006/relationships" ref="N461" r:id="rId464"/>
    <hyperlink xmlns:r="http://schemas.openxmlformats.org/officeDocument/2006/relationships" ref="N462" r:id="rId465"/>
    <hyperlink xmlns:r="http://schemas.openxmlformats.org/officeDocument/2006/relationships" ref="N463" r:id="rId466"/>
    <hyperlink xmlns:r="http://schemas.openxmlformats.org/officeDocument/2006/relationships" ref="N464" r:id="rId467"/>
    <hyperlink xmlns:r="http://schemas.openxmlformats.org/officeDocument/2006/relationships" ref="N465" r:id="rId468"/>
    <hyperlink xmlns:r="http://schemas.openxmlformats.org/officeDocument/2006/relationships" ref="N466" r:id="rId469"/>
    <hyperlink xmlns:r="http://schemas.openxmlformats.org/officeDocument/2006/relationships" ref="N467" r:id="rId470"/>
    <hyperlink xmlns:r="http://schemas.openxmlformats.org/officeDocument/2006/relationships" ref="N468" r:id="rId471"/>
    <hyperlink xmlns:r="http://schemas.openxmlformats.org/officeDocument/2006/relationships" ref="N469" r:id="rId472"/>
    <hyperlink xmlns:r="http://schemas.openxmlformats.org/officeDocument/2006/relationships" ref="N470" r:id="rId473"/>
    <hyperlink xmlns:r="http://schemas.openxmlformats.org/officeDocument/2006/relationships" ref="N471" r:id="rId474"/>
    <hyperlink xmlns:r="http://schemas.openxmlformats.org/officeDocument/2006/relationships" ref="N472" r:id="rId475"/>
    <hyperlink xmlns:r="http://schemas.openxmlformats.org/officeDocument/2006/relationships" ref="N473" r:id="rId476"/>
    <hyperlink xmlns:r="http://schemas.openxmlformats.org/officeDocument/2006/relationships" ref="N474" r:id="rId477"/>
    <hyperlink xmlns:r="http://schemas.openxmlformats.org/officeDocument/2006/relationships" ref="N475" r:id="rId478"/>
    <hyperlink xmlns:r="http://schemas.openxmlformats.org/officeDocument/2006/relationships" ref="N476" r:id="rId479"/>
    <hyperlink xmlns:r="http://schemas.openxmlformats.org/officeDocument/2006/relationships" ref="N477" r:id="rId480"/>
    <hyperlink xmlns:r="http://schemas.openxmlformats.org/officeDocument/2006/relationships" ref="N478" r:id="rId481"/>
    <hyperlink xmlns:r="http://schemas.openxmlformats.org/officeDocument/2006/relationships" ref="N479" r:id="rId482"/>
    <hyperlink xmlns:r="http://schemas.openxmlformats.org/officeDocument/2006/relationships" ref="N480" r:id="rId483"/>
    <hyperlink xmlns:r="http://schemas.openxmlformats.org/officeDocument/2006/relationships" ref="N481" r:id="rId484"/>
    <hyperlink xmlns:r="http://schemas.openxmlformats.org/officeDocument/2006/relationships" ref="N482" r:id="rId485"/>
    <hyperlink xmlns:r="http://schemas.openxmlformats.org/officeDocument/2006/relationships" ref="N483" r:id="rId486"/>
    <hyperlink xmlns:r="http://schemas.openxmlformats.org/officeDocument/2006/relationships" ref="N484" r:id="rId487"/>
    <hyperlink xmlns:r="http://schemas.openxmlformats.org/officeDocument/2006/relationships" ref="N485" r:id="rId488"/>
    <hyperlink xmlns:r="http://schemas.openxmlformats.org/officeDocument/2006/relationships" ref="N486" r:id="rId489"/>
    <hyperlink xmlns:r="http://schemas.openxmlformats.org/officeDocument/2006/relationships" ref="N487" r:id="rId490"/>
    <hyperlink xmlns:r="http://schemas.openxmlformats.org/officeDocument/2006/relationships" ref="N488" r:id="rId491"/>
    <hyperlink xmlns:r="http://schemas.openxmlformats.org/officeDocument/2006/relationships" ref="N489" r:id="rId492"/>
    <hyperlink xmlns:r="http://schemas.openxmlformats.org/officeDocument/2006/relationships" ref="N490" r:id="rId493"/>
    <hyperlink xmlns:r="http://schemas.openxmlformats.org/officeDocument/2006/relationships" ref="N491" r:id="rId494"/>
    <hyperlink xmlns:r="http://schemas.openxmlformats.org/officeDocument/2006/relationships" ref="N492" r:id="rId495"/>
    <hyperlink xmlns:r="http://schemas.openxmlformats.org/officeDocument/2006/relationships" ref="N493" r:id="rId496"/>
    <hyperlink xmlns:r="http://schemas.openxmlformats.org/officeDocument/2006/relationships" ref="N494" r:id="rId497"/>
    <hyperlink xmlns:r="http://schemas.openxmlformats.org/officeDocument/2006/relationships" ref="N495" r:id="rId498"/>
    <hyperlink xmlns:r="http://schemas.openxmlformats.org/officeDocument/2006/relationships" ref="N496" r:id="rId499"/>
    <hyperlink xmlns:r="http://schemas.openxmlformats.org/officeDocument/2006/relationships" ref="N497" r:id="rId500"/>
    <hyperlink xmlns:r="http://schemas.openxmlformats.org/officeDocument/2006/relationships" ref="N498" r:id="rId501"/>
    <hyperlink xmlns:r="http://schemas.openxmlformats.org/officeDocument/2006/relationships" ref="N499" r:id="rId502"/>
    <hyperlink xmlns:r="http://schemas.openxmlformats.org/officeDocument/2006/relationships" ref="N500" r:id="rId503"/>
    <hyperlink xmlns:r="http://schemas.openxmlformats.org/officeDocument/2006/relationships" ref="N501" r:id="rId504"/>
    <hyperlink xmlns:r="http://schemas.openxmlformats.org/officeDocument/2006/relationships" ref="N502" r:id="rId505"/>
    <hyperlink xmlns:r="http://schemas.openxmlformats.org/officeDocument/2006/relationships" ref="N503" r:id="rId506"/>
    <hyperlink xmlns:r="http://schemas.openxmlformats.org/officeDocument/2006/relationships" ref="N504" r:id="rId507"/>
    <hyperlink xmlns:r="http://schemas.openxmlformats.org/officeDocument/2006/relationships" ref="N505" r:id="rId508"/>
    <hyperlink xmlns:r="http://schemas.openxmlformats.org/officeDocument/2006/relationships" ref="N506" r:id="rId509"/>
    <hyperlink xmlns:r="http://schemas.openxmlformats.org/officeDocument/2006/relationships" ref="N507" r:id="rId510"/>
    <hyperlink xmlns:r="http://schemas.openxmlformats.org/officeDocument/2006/relationships" ref="N508" r:id="rId511"/>
    <hyperlink xmlns:r="http://schemas.openxmlformats.org/officeDocument/2006/relationships" ref="N509" r:id="rId512"/>
    <hyperlink xmlns:r="http://schemas.openxmlformats.org/officeDocument/2006/relationships" ref="N510" r:id="rId513"/>
    <hyperlink xmlns:r="http://schemas.openxmlformats.org/officeDocument/2006/relationships" ref="N511" r:id="rId514"/>
    <hyperlink xmlns:r="http://schemas.openxmlformats.org/officeDocument/2006/relationships" ref="N512" r:id="rId515"/>
    <hyperlink xmlns:r="http://schemas.openxmlformats.org/officeDocument/2006/relationships" ref="N513" r:id="rId516"/>
    <hyperlink xmlns:r="http://schemas.openxmlformats.org/officeDocument/2006/relationships" ref="N514" r:id="rId517"/>
    <hyperlink xmlns:r="http://schemas.openxmlformats.org/officeDocument/2006/relationships" ref="N515" r:id="rId518"/>
    <hyperlink xmlns:r="http://schemas.openxmlformats.org/officeDocument/2006/relationships" ref="N516" r:id="rId519"/>
    <hyperlink xmlns:r="http://schemas.openxmlformats.org/officeDocument/2006/relationships" ref="N517" r:id="rId520"/>
    <hyperlink xmlns:r="http://schemas.openxmlformats.org/officeDocument/2006/relationships" ref="N518" r:id="rId521"/>
    <hyperlink xmlns:r="http://schemas.openxmlformats.org/officeDocument/2006/relationships" ref="N519" r:id="rId522"/>
    <hyperlink xmlns:r="http://schemas.openxmlformats.org/officeDocument/2006/relationships" ref="N520" r:id="rId523"/>
    <hyperlink xmlns:r="http://schemas.openxmlformats.org/officeDocument/2006/relationships" ref="N521" r:id="rId524"/>
    <hyperlink xmlns:r="http://schemas.openxmlformats.org/officeDocument/2006/relationships" ref="N522" r:id="rId525"/>
    <hyperlink xmlns:r="http://schemas.openxmlformats.org/officeDocument/2006/relationships" ref="N523" r:id="rId526"/>
    <hyperlink xmlns:r="http://schemas.openxmlformats.org/officeDocument/2006/relationships" ref="N524" r:id="rId527"/>
    <hyperlink xmlns:r="http://schemas.openxmlformats.org/officeDocument/2006/relationships" ref="N525" r:id="rId528"/>
    <hyperlink xmlns:r="http://schemas.openxmlformats.org/officeDocument/2006/relationships" ref="N526" r:id="rId529"/>
    <hyperlink xmlns:r="http://schemas.openxmlformats.org/officeDocument/2006/relationships" ref="N527" r:id="rId530"/>
    <hyperlink xmlns:r="http://schemas.openxmlformats.org/officeDocument/2006/relationships" ref="N528" r:id="rId531"/>
    <hyperlink xmlns:r="http://schemas.openxmlformats.org/officeDocument/2006/relationships" ref="N529" r:id="rId532"/>
    <hyperlink xmlns:r="http://schemas.openxmlformats.org/officeDocument/2006/relationships" ref="N530" r:id="rId533"/>
    <hyperlink xmlns:r="http://schemas.openxmlformats.org/officeDocument/2006/relationships" ref="N531" r:id="rId534"/>
    <hyperlink xmlns:r="http://schemas.openxmlformats.org/officeDocument/2006/relationships" ref="N532" r:id="rId535"/>
    <hyperlink xmlns:r="http://schemas.openxmlformats.org/officeDocument/2006/relationships" ref="N533" r:id="rId536"/>
    <hyperlink xmlns:r="http://schemas.openxmlformats.org/officeDocument/2006/relationships" ref="N534" r:id="rId537"/>
    <hyperlink xmlns:r="http://schemas.openxmlformats.org/officeDocument/2006/relationships" ref="N535" r:id="rId538"/>
    <hyperlink xmlns:r="http://schemas.openxmlformats.org/officeDocument/2006/relationships" ref="N536" r:id="rId539"/>
    <hyperlink xmlns:r="http://schemas.openxmlformats.org/officeDocument/2006/relationships" ref="N537" r:id="rId540"/>
    <hyperlink xmlns:r="http://schemas.openxmlformats.org/officeDocument/2006/relationships" ref="N538" r:id="rId541"/>
    <hyperlink xmlns:r="http://schemas.openxmlformats.org/officeDocument/2006/relationships" ref="N539" r:id="rId542"/>
    <hyperlink xmlns:r="http://schemas.openxmlformats.org/officeDocument/2006/relationships" ref="N540" r:id="rId543"/>
    <hyperlink xmlns:r="http://schemas.openxmlformats.org/officeDocument/2006/relationships" ref="N541" r:id="rId544"/>
    <hyperlink xmlns:r="http://schemas.openxmlformats.org/officeDocument/2006/relationships" ref="N542" r:id="rId545"/>
    <hyperlink xmlns:r="http://schemas.openxmlformats.org/officeDocument/2006/relationships" ref="N543" r:id="rId546"/>
    <hyperlink xmlns:r="http://schemas.openxmlformats.org/officeDocument/2006/relationships" ref="N544" r:id="rId547"/>
    <hyperlink xmlns:r="http://schemas.openxmlformats.org/officeDocument/2006/relationships" ref="N545" r:id="rId548"/>
    <hyperlink xmlns:r="http://schemas.openxmlformats.org/officeDocument/2006/relationships" ref="N546" r:id="rId549"/>
    <hyperlink xmlns:r="http://schemas.openxmlformats.org/officeDocument/2006/relationships" ref="N547" r:id="rId550"/>
    <hyperlink xmlns:r="http://schemas.openxmlformats.org/officeDocument/2006/relationships" ref="N548" r:id="rId551"/>
    <hyperlink xmlns:r="http://schemas.openxmlformats.org/officeDocument/2006/relationships" ref="N549" r:id="rId552"/>
    <hyperlink xmlns:r="http://schemas.openxmlformats.org/officeDocument/2006/relationships" ref="N550" r:id="rId553"/>
    <hyperlink xmlns:r="http://schemas.openxmlformats.org/officeDocument/2006/relationships" ref="N551" r:id="rId554"/>
    <hyperlink xmlns:r="http://schemas.openxmlformats.org/officeDocument/2006/relationships" ref="N552" r:id="rId555"/>
    <hyperlink xmlns:r="http://schemas.openxmlformats.org/officeDocument/2006/relationships" ref="N553" r:id="rId556"/>
    <hyperlink xmlns:r="http://schemas.openxmlformats.org/officeDocument/2006/relationships" ref="N554" r:id="rId557"/>
    <hyperlink xmlns:r="http://schemas.openxmlformats.org/officeDocument/2006/relationships" ref="N555" r:id="rId558"/>
    <hyperlink xmlns:r="http://schemas.openxmlformats.org/officeDocument/2006/relationships" ref="N556" r:id="rId559"/>
    <hyperlink xmlns:r="http://schemas.openxmlformats.org/officeDocument/2006/relationships" ref="N557" r:id="rId560"/>
    <hyperlink xmlns:r="http://schemas.openxmlformats.org/officeDocument/2006/relationships" ref="N558" r:id="rId561"/>
    <hyperlink xmlns:r="http://schemas.openxmlformats.org/officeDocument/2006/relationships" ref="N559" r:id="rId562"/>
    <hyperlink xmlns:r="http://schemas.openxmlformats.org/officeDocument/2006/relationships" ref="N560" r:id="rId563"/>
    <hyperlink xmlns:r="http://schemas.openxmlformats.org/officeDocument/2006/relationships" ref="N561" r:id="rId564"/>
    <hyperlink xmlns:r="http://schemas.openxmlformats.org/officeDocument/2006/relationships" ref="N562" r:id="rId565"/>
    <hyperlink xmlns:r="http://schemas.openxmlformats.org/officeDocument/2006/relationships" ref="N563" r:id="rId566"/>
    <hyperlink xmlns:r="http://schemas.openxmlformats.org/officeDocument/2006/relationships" ref="N564" r:id="rId567"/>
    <hyperlink xmlns:r="http://schemas.openxmlformats.org/officeDocument/2006/relationships" ref="N565" r:id="rId568"/>
    <hyperlink xmlns:r="http://schemas.openxmlformats.org/officeDocument/2006/relationships" ref="N566" r:id="rId569"/>
    <hyperlink xmlns:r="http://schemas.openxmlformats.org/officeDocument/2006/relationships" ref="N567" r:id="rId570"/>
    <hyperlink xmlns:r="http://schemas.openxmlformats.org/officeDocument/2006/relationships" ref="N568" r:id="rId571"/>
    <hyperlink xmlns:r="http://schemas.openxmlformats.org/officeDocument/2006/relationships" ref="N569" r:id="rId572"/>
    <hyperlink xmlns:r="http://schemas.openxmlformats.org/officeDocument/2006/relationships" ref="N570" r:id="rId573"/>
    <hyperlink xmlns:r="http://schemas.openxmlformats.org/officeDocument/2006/relationships" ref="N571" r:id="rId574"/>
    <hyperlink xmlns:r="http://schemas.openxmlformats.org/officeDocument/2006/relationships" ref="N572" r:id="rId575"/>
    <hyperlink xmlns:r="http://schemas.openxmlformats.org/officeDocument/2006/relationships" ref="N573" r:id="rId576"/>
    <hyperlink xmlns:r="http://schemas.openxmlformats.org/officeDocument/2006/relationships" ref="N574" r:id="rId577"/>
    <hyperlink xmlns:r="http://schemas.openxmlformats.org/officeDocument/2006/relationships" ref="N575" r:id="rId578"/>
    <hyperlink xmlns:r="http://schemas.openxmlformats.org/officeDocument/2006/relationships" ref="N576" r:id="rId579"/>
    <hyperlink xmlns:r="http://schemas.openxmlformats.org/officeDocument/2006/relationships" ref="N577" r:id="rId580"/>
    <hyperlink xmlns:r="http://schemas.openxmlformats.org/officeDocument/2006/relationships" ref="N578" r:id="rId581"/>
    <hyperlink xmlns:r="http://schemas.openxmlformats.org/officeDocument/2006/relationships" ref="N579" r:id="rId582"/>
    <hyperlink xmlns:r="http://schemas.openxmlformats.org/officeDocument/2006/relationships" ref="N580" r:id="rId583"/>
    <hyperlink xmlns:r="http://schemas.openxmlformats.org/officeDocument/2006/relationships" ref="N581" r:id="rId584"/>
    <hyperlink xmlns:r="http://schemas.openxmlformats.org/officeDocument/2006/relationships" ref="N582" r:id="rId585"/>
    <hyperlink xmlns:r="http://schemas.openxmlformats.org/officeDocument/2006/relationships" ref="N583" r:id="rId586"/>
    <hyperlink xmlns:r="http://schemas.openxmlformats.org/officeDocument/2006/relationships" ref="N584" r:id="rId587"/>
    <hyperlink xmlns:r="http://schemas.openxmlformats.org/officeDocument/2006/relationships" ref="N585" r:id="rId588"/>
    <hyperlink xmlns:r="http://schemas.openxmlformats.org/officeDocument/2006/relationships" ref="N586" r:id="rId589"/>
    <hyperlink xmlns:r="http://schemas.openxmlformats.org/officeDocument/2006/relationships" ref="N587" r:id="rId590"/>
    <hyperlink xmlns:r="http://schemas.openxmlformats.org/officeDocument/2006/relationships" ref="N588" r:id="rId591"/>
    <hyperlink xmlns:r="http://schemas.openxmlformats.org/officeDocument/2006/relationships" ref="N589" r:id="rId592"/>
    <hyperlink xmlns:r="http://schemas.openxmlformats.org/officeDocument/2006/relationships" ref="N590" r:id="rId593"/>
    <hyperlink xmlns:r="http://schemas.openxmlformats.org/officeDocument/2006/relationships" ref="N591" r:id="rId594"/>
    <hyperlink xmlns:r="http://schemas.openxmlformats.org/officeDocument/2006/relationships" ref="N592" r:id="rId595"/>
    <hyperlink xmlns:r="http://schemas.openxmlformats.org/officeDocument/2006/relationships" ref="N593" r:id="rId596"/>
    <hyperlink xmlns:r="http://schemas.openxmlformats.org/officeDocument/2006/relationships" ref="N594" r:id="rId597"/>
    <hyperlink xmlns:r="http://schemas.openxmlformats.org/officeDocument/2006/relationships" ref="N595" r:id="rId598"/>
    <hyperlink xmlns:r="http://schemas.openxmlformats.org/officeDocument/2006/relationships" ref="N596" r:id="rId599"/>
    <hyperlink xmlns:r="http://schemas.openxmlformats.org/officeDocument/2006/relationships" ref="N597" r:id="rId600"/>
    <hyperlink xmlns:r="http://schemas.openxmlformats.org/officeDocument/2006/relationships" ref="N598" r:id="rId601"/>
    <hyperlink xmlns:r="http://schemas.openxmlformats.org/officeDocument/2006/relationships" ref="N599" r:id="rId602"/>
    <hyperlink xmlns:r="http://schemas.openxmlformats.org/officeDocument/2006/relationships" ref="N600" r:id="rId603"/>
    <hyperlink xmlns:r="http://schemas.openxmlformats.org/officeDocument/2006/relationships" ref="N601" r:id="rId604"/>
    <hyperlink xmlns:r="http://schemas.openxmlformats.org/officeDocument/2006/relationships" ref="N602" r:id="rId605"/>
    <hyperlink xmlns:r="http://schemas.openxmlformats.org/officeDocument/2006/relationships" ref="N603" r:id="rId606"/>
    <hyperlink xmlns:r="http://schemas.openxmlformats.org/officeDocument/2006/relationships" ref="N604" r:id="rId607"/>
    <hyperlink xmlns:r="http://schemas.openxmlformats.org/officeDocument/2006/relationships" ref="N605" r:id="rId608"/>
    <hyperlink xmlns:r="http://schemas.openxmlformats.org/officeDocument/2006/relationships" ref="N606" r:id="rId609"/>
    <hyperlink xmlns:r="http://schemas.openxmlformats.org/officeDocument/2006/relationships" ref="N607" r:id="rId610"/>
    <hyperlink xmlns:r="http://schemas.openxmlformats.org/officeDocument/2006/relationships" ref="N608" r:id="rId611"/>
    <hyperlink xmlns:r="http://schemas.openxmlformats.org/officeDocument/2006/relationships" ref="N609" r:id="rId612"/>
    <hyperlink xmlns:r="http://schemas.openxmlformats.org/officeDocument/2006/relationships" ref="N610" r:id="rId613"/>
    <hyperlink xmlns:r="http://schemas.openxmlformats.org/officeDocument/2006/relationships" ref="N611" r:id="rId614"/>
    <hyperlink xmlns:r="http://schemas.openxmlformats.org/officeDocument/2006/relationships" ref="N612" r:id="rId615"/>
    <hyperlink xmlns:r="http://schemas.openxmlformats.org/officeDocument/2006/relationships" ref="N613" r:id="rId616"/>
    <hyperlink xmlns:r="http://schemas.openxmlformats.org/officeDocument/2006/relationships" ref="N614" r:id="rId617"/>
    <hyperlink xmlns:r="http://schemas.openxmlformats.org/officeDocument/2006/relationships" ref="N615" r:id="rId618"/>
    <hyperlink xmlns:r="http://schemas.openxmlformats.org/officeDocument/2006/relationships" ref="N616" r:id="rId619"/>
    <hyperlink xmlns:r="http://schemas.openxmlformats.org/officeDocument/2006/relationships" ref="N617" r:id="rId620"/>
    <hyperlink xmlns:r="http://schemas.openxmlformats.org/officeDocument/2006/relationships" ref="N618" r:id="rId621"/>
    <hyperlink xmlns:r="http://schemas.openxmlformats.org/officeDocument/2006/relationships" ref="N619" r:id="rId622"/>
    <hyperlink xmlns:r="http://schemas.openxmlformats.org/officeDocument/2006/relationships" ref="N620" r:id="rId623"/>
    <hyperlink xmlns:r="http://schemas.openxmlformats.org/officeDocument/2006/relationships" ref="N621" r:id="rId624"/>
    <hyperlink xmlns:r="http://schemas.openxmlformats.org/officeDocument/2006/relationships" ref="N622" r:id="rId625"/>
    <hyperlink xmlns:r="http://schemas.openxmlformats.org/officeDocument/2006/relationships" ref="N623" r:id="rId626"/>
    <hyperlink xmlns:r="http://schemas.openxmlformats.org/officeDocument/2006/relationships" ref="N624" r:id="rId627"/>
    <hyperlink xmlns:r="http://schemas.openxmlformats.org/officeDocument/2006/relationships" ref="N625" r:id="rId628"/>
    <hyperlink xmlns:r="http://schemas.openxmlformats.org/officeDocument/2006/relationships" ref="N626" r:id="rId629"/>
    <hyperlink xmlns:r="http://schemas.openxmlformats.org/officeDocument/2006/relationships" ref="N627" r:id="rId630"/>
    <hyperlink xmlns:r="http://schemas.openxmlformats.org/officeDocument/2006/relationships" ref="N628" r:id="rId631"/>
    <hyperlink xmlns:r="http://schemas.openxmlformats.org/officeDocument/2006/relationships" ref="N629" r:id="rId632"/>
    <hyperlink xmlns:r="http://schemas.openxmlformats.org/officeDocument/2006/relationships" ref="N630" r:id="rId633"/>
    <hyperlink xmlns:r="http://schemas.openxmlformats.org/officeDocument/2006/relationships" ref="N631" r:id="rId634"/>
    <hyperlink xmlns:r="http://schemas.openxmlformats.org/officeDocument/2006/relationships" ref="N632" r:id="rId635"/>
    <hyperlink xmlns:r="http://schemas.openxmlformats.org/officeDocument/2006/relationships" ref="N633" r:id="rId636"/>
    <hyperlink xmlns:r="http://schemas.openxmlformats.org/officeDocument/2006/relationships" ref="N634" r:id="rId637"/>
    <hyperlink xmlns:r="http://schemas.openxmlformats.org/officeDocument/2006/relationships" ref="N635" r:id="rId638"/>
    <hyperlink xmlns:r="http://schemas.openxmlformats.org/officeDocument/2006/relationships" ref="N636" r:id="rId639"/>
    <hyperlink xmlns:r="http://schemas.openxmlformats.org/officeDocument/2006/relationships" ref="N637" r:id="rId640"/>
    <hyperlink xmlns:r="http://schemas.openxmlformats.org/officeDocument/2006/relationships" ref="N638" r:id="rId641"/>
    <hyperlink xmlns:r="http://schemas.openxmlformats.org/officeDocument/2006/relationships" ref="N639" r:id="rId642"/>
    <hyperlink xmlns:r="http://schemas.openxmlformats.org/officeDocument/2006/relationships" ref="N640" r:id="rId643"/>
    <hyperlink xmlns:r="http://schemas.openxmlformats.org/officeDocument/2006/relationships" ref="N641" r:id="rId644"/>
    <hyperlink xmlns:r="http://schemas.openxmlformats.org/officeDocument/2006/relationships" ref="N642" r:id="rId645"/>
    <hyperlink xmlns:r="http://schemas.openxmlformats.org/officeDocument/2006/relationships" ref="N643" r:id="rId646"/>
    <hyperlink xmlns:r="http://schemas.openxmlformats.org/officeDocument/2006/relationships" ref="N644" r:id="rId647"/>
    <hyperlink xmlns:r="http://schemas.openxmlformats.org/officeDocument/2006/relationships" ref="N645" r:id="rId648"/>
    <hyperlink xmlns:r="http://schemas.openxmlformats.org/officeDocument/2006/relationships" ref="N646" r:id="rId649"/>
    <hyperlink xmlns:r="http://schemas.openxmlformats.org/officeDocument/2006/relationships" ref="N647" r:id="rId650"/>
    <hyperlink xmlns:r="http://schemas.openxmlformats.org/officeDocument/2006/relationships" ref="N648" r:id="rId651"/>
    <hyperlink xmlns:r="http://schemas.openxmlformats.org/officeDocument/2006/relationships" ref="N649" r:id="rId652"/>
    <hyperlink xmlns:r="http://schemas.openxmlformats.org/officeDocument/2006/relationships" ref="N650" r:id="rId653"/>
    <hyperlink xmlns:r="http://schemas.openxmlformats.org/officeDocument/2006/relationships" ref="N651" r:id="rId654"/>
    <hyperlink xmlns:r="http://schemas.openxmlformats.org/officeDocument/2006/relationships" ref="N652" r:id="rId655"/>
    <hyperlink xmlns:r="http://schemas.openxmlformats.org/officeDocument/2006/relationships" ref="N653" r:id="rId656"/>
    <hyperlink xmlns:r="http://schemas.openxmlformats.org/officeDocument/2006/relationships" ref="N654" r:id="rId657"/>
    <hyperlink xmlns:r="http://schemas.openxmlformats.org/officeDocument/2006/relationships" ref="N655" r:id="rId658"/>
    <hyperlink xmlns:r="http://schemas.openxmlformats.org/officeDocument/2006/relationships" ref="N656" r:id="rId659"/>
    <hyperlink xmlns:r="http://schemas.openxmlformats.org/officeDocument/2006/relationships" ref="N657" r:id="rId660"/>
    <hyperlink xmlns:r="http://schemas.openxmlformats.org/officeDocument/2006/relationships" ref="N658" r:id="rId661"/>
    <hyperlink xmlns:r="http://schemas.openxmlformats.org/officeDocument/2006/relationships" ref="N659" r:id="rId662"/>
    <hyperlink xmlns:r="http://schemas.openxmlformats.org/officeDocument/2006/relationships" ref="N660" r:id="rId663"/>
    <hyperlink xmlns:r="http://schemas.openxmlformats.org/officeDocument/2006/relationships" ref="N661" r:id="rId664"/>
    <hyperlink xmlns:r="http://schemas.openxmlformats.org/officeDocument/2006/relationships" ref="N662" r:id="rId665"/>
    <hyperlink xmlns:r="http://schemas.openxmlformats.org/officeDocument/2006/relationships" ref="N663" r:id="rId666"/>
    <hyperlink xmlns:r="http://schemas.openxmlformats.org/officeDocument/2006/relationships" ref="N664" r:id="rId667"/>
    <hyperlink xmlns:r="http://schemas.openxmlformats.org/officeDocument/2006/relationships" ref="N665" r:id="rId668"/>
    <hyperlink xmlns:r="http://schemas.openxmlformats.org/officeDocument/2006/relationships" ref="N666" r:id="rId669"/>
    <hyperlink xmlns:r="http://schemas.openxmlformats.org/officeDocument/2006/relationships" ref="N667" r:id="rId670"/>
    <hyperlink xmlns:r="http://schemas.openxmlformats.org/officeDocument/2006/relationships" ref="N668" r:id="rId671"/>
    <hyperlink xmlns:r="http://schemas.openxmlformats.org/officeDocument/2006/relationships" ref="N669" r:id="rId672"/>
    <hyperlink xmlns:r="http://schemas.openxmlformats.org/officeDocument/2006/relationships" ref="N670" r:id="rId673"/>
    <hyperlink xmlns:r="http://schemas.openxmlformats.org/officeDocument/2006/relationships" ref="N671" r:id="rId674"/>
    <hyperlink xmlns:r="http://schemas.openxmlformats.org/officeDocument/2006/relationships" ref="N672" r:id="rId675"/>
    <hyperlink xmlns:r="http://schemas.openxmlformats.org/officeDocument/2006/relationships" ref="N673" r:id="rId676"/>
    <hyperlink xmlns:r="http://schemas.openxmlformats.org/officeDocument/2006/relationships" ref="N674" r:id="rId677"/>
    <hyperlink xmlns:r="http://schemas.openxmlformats.org/officeDocument/2006/relationships" ref="N675" r:id="rId678"/>
    <hyperlink xmlns:r="http://schemas.openxmlformats.org/officeDocument/2006/relationships" ref="N676" r:id="rId679"/>
    <hyperlink xmlns:r="http://schemas.openxmlformats.org/officeDocument/2006/relationships" ref="N677" r:id="rId680"/>
    <hyperlink xmlns:r="http://schemas.openxmlformats.org/officeDocument/2006/relationships" ref="N678" r:id="rId681"/>
    <hyperlink xmlns:r="http://schemas.openxmlformats.org/officeDocument/2006/relationships" ref="N679" r:id="rId682"/>
    <hyperlink xmlns:r="http://schemas.openxmlformats.org/officeDocument/2006/relationships" ref="N680" r:id="rId683"/>
    <hyperlink xmlns:r="http://schemas.openxmlformats.org/officeDocument/2006/relationships" ref="N681" r:id="rId684"/>
    <hyperlink xmlns:r="http://schemas.openxmlformats.org/officeDocument/2006/relationships" ref="N682" r:id="rId685"/>
    <hyperlink xmlns:r="http://schemas.openxmlformats.org/officeDocument/2006/relationships" ref="N683" r:id="rId686"/>
    <hyperlink xmlns:r="http://schemas.openxmlformats.org/officeDocument/2006/relationships" ref="N684" r:id="rId687"/>
    <hyperlink xmlns:r="http://schemas.openxmlformats.org/officeDocument/2006/relationships" ref="N685" r:id="rId688"/>
    <hyperlink xmlns:r="http://schemas.openxmlformats.org/officeDocument/2006/relationships" ref="N686" r:id="rId689"/>
    <hyperlink xmlns:r="http://schemas.openxmlformats.org/officeDocument/2006/relationships" ref="N687" r:id="rId690"/>
    <hyperlink xmlns:r="http://schemas.openxmlformats.org/officeDocument/2006/relationships" ref="N688" r:id="rId691"/>
    <hyperlink xmlns:r="http://schemas.openxmlformats.org/officeDocument/2006/relationships" ref="N689" r:id="rId692"/>
    <hyperlink xmlns:r="http://schemas.openxmlformats.org/officeDocument/2006/relationships" ref="N690" r:id="rId693"/>
    <hyperlink xmlns:r="http://schemas.openxmlformats.org/officeDocument/2006/relationships" ref="N691" r:id="rId694"/>
    <hyperlink xmlns:r="http://schemas.openxmlformats.org/officeDocument/2006/relationships" ref="N692" r:id="rId695"/>
    <hyperlink xmlns:r="http://schemas.openxmlformats.org/officeDocument/2006/relationships" ref="N693" r:id="rId696"/>
    <hyperlink xmlns:r="http://schemas.openxmlformats.org/officeDocument/2006/relationships" ref="N694" r:id="rId697"/>
    <hyperlink xmlns:r="http://schemas.openxmlformats.org/officeDocument/2006/relationships" ref="N695" r:id="rId698"/>
    <hyperlink xmlns:r="http://schemas.openxmlformats.org/officeDocument/2006/relationships" ref="N696" r:id="rId699"/>
    <hyperlink xmlns:r="http://schemas.openxmlformats.org/officeDocument/2006/relationships" ref="N697" r:id="rId700"/>
    <hyperlink xmlns:r="http://schemas.openxmlformats.org/officeDocument/2006/relationships" ref="N698" r:id="rId701"/>
    <hyperlink xmlns:r="http://schemas.openxmlformats.org/officeDocument/2006/relationships" ref="N699" r:id="rId702"/>
    <hyperlink xmlns:r="http://schemas.openxmlformats.org/officeDocument/2006/relationships" ref="N700" r:id="rId703"/>
    <hyperlink xmlns:r="http://schemas.openxmlformats.org/officeDocument/2006/relationships" ref="N701" r:id="rId704"/>
    <hyperlink xmlns:r="http://schemas.openxmlformats.org/officeDocument/2006/relationships" ref="N702" r:id="rId705"/>
    <hyperlink xmlns:r="http://schemas.openxmlformats.org/officeDocument/2006/relationships" ref="N703" r:id="rId706"/>
    <hyperlink xmlns:r="http://schemas.openxmlformats.org/officeDocument/2006/relationships" ref="N704" r:id="rId707"/>
    <hyperlink xmlns:r="http://schemas.openxmlformats.org/officeDocument/2006/relationships" ref="N705" r:id="rId708"/>
    <hyperlink xmlns:r="http://schemas.openxmlformats.org/officeDocument/2006/relationships" ref="N706" r:id="rId709"/>
    <hyperlink xmlns:r="http://schemas.openxmlformats.org/officeDocument/2006/relationships" ref="N707" r:id="rId710"/>
    <hyperlink xmlns:r="http://schemas.openxmlformats.org/officeDocument/2006/relationships" ref="N708" r:id="rId711"/>
    <hyperlink xmlns:r="http://schemas.openxmlformats.org/officeDocument/2006/relationships" ref="N709" r:id="rId712"/>
    <hyperlink xmlns:r="http://schemas.openxmlformats.org/officeDocument/2006/relationships" ref="N710" r:id="rId713"/>
    <hyperlink xmlns:r="http://schemas.openxmlformats.org/officeDocument/2006/relationships" ref="N711" r:id="rId714"/>
    <hyperlink xmlns:r="http://schemas.openxmlformats.org/officeDocument/2006/relationships" ref="N712" r:id="rId715"/>
    <hyperlink xmlns:r="http://schemas.openxmlformats.org/officeDocument/2006/relationships" ref="N713" r:id="rId716"/>
    <hyperlink xmlns:r="http://schemas.openxmlformats.org/officeDocument/2006/relationships" ref="N714" r:id="rId717"/>
    <hyperlink xmlns:r="http://schemas.openxmlformats.org/officeDocument/2006/relationships" ref="N715" r:id="rId718"/>
    <hyperlink xmlns:r="http://schemas.openxmlformats.org/officeDocument/2006/relationships" ref="N716" r:id="rId719"/>
    <hyperlink xmlns:r="http://schemas.openxmlformats.org/officeDocument/2006/relationships" ref="N717" r:id="rId720"/>
    <hyperlink xmlns:r="http://schemas.openxmlformats.org/officeDocument/2006/relationships" ref="N718" r:id="rId721"/>
    <hyperlink xmlns:r="http://schemas.openxmlformats.org/officeDocument/2006/relationships" ref="N719" r:id="rId722"/>
    <hyperlink xmlns:r="http://schemas.openxmlformats.org/officeDocument/2006/relationships" ref="N720" r:id="rId723"/>
    <hyperlink xmlns:r="http://schemas.openxmlformats.org/officeDocument/2006/relationships" ref="N721" r:id="rId724"/>
    <hyperlink xmlns:r="http://schemas.openxmlformats.org/officeDocument/2006/relationships" ref="N722" r:id="rId725"/>
    <hyperlink xmlns:r="http://schemas.openxmlformats.org/officeDocument/2006/relationships" ref="N723" r:id="rId726"/>
    <hyperlink xmlns:r="http://schemas.openxmlformats.org/officeDocument/2006/relationships" ref="N724" r:id="rId727"/>
    <hyperlink xmlns:r="http://schemas.openxmlformats.org/officeDocument/2006/relationships" ref="N725" r:id="rId728"/>
    <hyperlink xmlns:r="http://schemas.openxmlformats.org/officeDocument/2006/relationships" ref="N726" r:id="rId729"/>
    <hyperlink xmlns:r="http://schemas.openxmlformats.org/officeDocument/2006/relationships" ref="N727" r:id="rId730"/>
    <hyperlink xmlns:r="http://schemas.openxmlformats.org/officeDocument/2006/relationships" ref="N728" r:id="rId731"/>
    <hyperlink xmlns:r="http://schemas.openxmlformats.org/officeDocument/2006/relationships" ref="N729" r:id="rId732"/>
    <hyperlink xmlns:r="http://schemas.openxmlformats.org/officeDocument/2006/relationships" ref="N730" r:id="rId733"/>
    <hyperlink xmlns:r="http://schemas.openxmlformats.org/officeDocument/2006/relationships" ref="N731" r:id="rId734"/>
    <hyperlink xmlns:r="http://schemas.openxmlformats.org/officeDocument/2006/relationships" ref="N732" r:id="rId735"/>
    <hyperlink xmlns:r="http://schemas.openxmlformats.org/officeDocument/2006/relationships" ref="N733" r:id="rId736"/>
    <hyperlink xmlns:r="http://schemas.openxmlformats.org/officeDocument/2006/relationships" ref="N734" r:id="rId737"/>
    <hyperlink xmlns:r="http://schemas.openxmlformats.org/officeDocument/2006/relationships" ref="N735" r:id="rId738"/>
    <hyperlink xmlns:r="http://schemas.openxmlformats.org/officeDocument/2006/relationships" ref="N736" r:id="rId739"/>
    <hyperlink xmlns:r="http://schemas.openxmlformats.org/officeDocument/2006/relationships" ref="N737" r:id="rId740"/>
    <hyperlink xmlns:r="http://schemas.openxmlformats.org/officeDocument/2006/relationships" ref="N738" r:id="rId741"/>
    <hyperlink xmlns:r="http://schemas.openxmlformats.org/officeDocument/2006/relationships" ref="N739" r:id="rId742"/>
    <hyperlink xmlns:r="http://schemas.openxmlformats.org/officeDocument/2006/relationships" ref="N740" r:id="rId743"/>
    <hyperlink xmlns:r="http://schemas.openxmlformats.org/officeDocument/2006/relationships" ref="N741" r:id="rId744"/>
    <hyperlink xmlns:r="http://schemas.openxmlformats.org/officeDocument/2006/relationships" ref="N742" r:id="rId745"/>
    <hyperlink xmlns:r="http://schemas.openxmlformats.org/officeDocument/2006/relationships" ref="N743" r:id="rId746"/>
    <hyperlink xmlns:r="http://schemas.openxmlformats.org/officeDocument/2006/relationships" ref="N744" r:id="rId747"/>
    <hyperlink xmlns:r="http://schemas.openxmlformats.org/officeDocument/2006/relationships" ref="N745" r:id="rId748"/>
    <hyperlink xmlns:r="http://schemas.openxmlformats.org/officeDocument/2006/relationships" ref="N746" r:id="rId749"/>
    <hyperlink xmlns:r="http://schemas.openxmlformats.org/officeDocument/2006/relationships" ref="N747" r:id="rId750"/>
    <hyperlink xmlns:r="http://schemas.openxmlformats.org/officeDocument/2006/relationships" ref="N748" r:id="rId751"/>
    <hyperlink xmlns:r="http://schemas.openxmlformats.org/officeDocument/2006/relationships" ref="N749" r:id="rId752"/>
    <hyperlink xmlns:r="http://schemas.openxmlformats.org/officeDocument/2006/relationships" ref="N750" r:id="rId753"/>
    <hyperlink xmlns:r="http://schemas.openxmlformats.org/officeDocument/2006/relationships" ref="N751" r:id="rId754"/>
    <hyperlink xmlns:r="http://schemas.openxmlformats.org/officeDocument/2006/relationships" ref="N752" r:id="rId755"/>
    <hyperlink xmlns:r="http://schemas.openxmlformats.org/officeDocument/2006/relationships" ref="N753" r:id="rId756"/>
    <hyperlink xmlns:r="http://schemas.openxmlformats.org/officeDocument/2006/relationships" ref="N754" r:id="rId757"/>
    <hyperlink xmlns:r="http://schemas.openxmlformats.org/officeDocument/2006/relationships" ref="N755" r:id="rId758"/>
    <hyperlink xmlns:r="http://schemas.openxmlformats.org/officeDocument/2006/relationships" ref="N756" r:id="rId759"/>
    <hyperlink xmlns:r="http://schemas.openxmlformats.org/officeDocument/2006/relationships" ref="N757" r:id="rId760"/>
    <hyperlink xmlns:r="http://schemas.openxmlformats.org/officeDocument/2006/relationships" ref="N758" r:id="rId761"/>
    <hyperlink xmlns:r="http://schemas.openxmlformats.org/officeDocument/2006/relationships" ref="N759" r:id="rId762"/>
    <hyperlink xmlns:r="http://schemas.openxmlformats.org/officeDocument/2006/relationships" ref="N760" r:id="rId763"/>
    <hyperlink xmlns:r="http://schemas.openxmlformats.org/officeDocument/2006/relationships" ref="N761" r:id="rId764"/>
    <hyperlink xmlns:r="http://schemas.openxmlformats.org/officeDocument/2006/relationships" ref="N762" r:id="rId765"/>
    <hyperlink xmlns:r="http://schemas.openxmlformats.org/officeDocument/2006/relationships" ref="N763" r:id="rId766"/>
    <hyperlink xmlns:r="http://schemas.openxmlformats.org/officeDocument/2006/relationships" ref="N764" r:id="rId767"/>
    <hyperlink xmlns:r="http://schemas.openxmlformats.org/officeDocument/2006/relationships" ref="N765" r:id="rId768"/>
    <hyperlink xmlns:r="http://schemas.openxmlformats.org/officeDocument/2006/relationships" ref="N766" r:id="rId769"/>
    <hyperlink xmlns:r="http://schemas.openxmlformats.org/officeDocument/2006/relationships" ref="N767" r:id="rId770"/>
    <hyperlink xmlns:r="http://schemas.openxmlformats.org/officeDocument/2006/relationships" ref="N768" r:id="rId771"/>
    <hyperlink xmlns:r="http://schemas.openxmlformats.org/officeDocument/2006/relationships" ref="N769" r:id="rId772"/>
    <hyperlink xmlns:r="http://schemas.openxmlformats.org/officeDocument/2006/relationships" ref="N770" r:id="rId773"/>
    <hyperlink xmlns:r="http://schemas.openxmlformats.org/officeDocument/2006/relationships" ref="N771" r:id="rId774"/>
    <hyperlink xmlns:r="http://schemas.openxmlformats.org/officeDocument/2006/relationships" ref="N772" r:id="rId775"/>
    <hyperlink xmlns:r="http://schemas.openxmlformats.org/officeDocument/2006/relationships" ref="N773" r:id="rId776"/>
    <hyperlink xmlns:r="http://schemas.openxmlformats.org/officeDocument/2006/relationships" ref="N774" r:id="rId777"/>
    <hyperlink xmlns:r="http://schemas.openxmlformats.org/officeDocument/2006/relationships" ref="N775" r:id="rId778"/>
    <hyperlink xmlns:r="http://schemas.openxmlformats.org/officeDocument/2006/relationships" ref="N776" r:id="rId779"/>
    <hyperlink xmlns:r="http://schemas.openxmlformats.org/officeDocument/2006/relationships" ref="N777" r:id="rId780"/>
    <hyperlink xmlns:r="http://schemas.openxmlformats.org/officeDocument/2006/relationships" ref="N778" r:id="rId781"/>
    <hyperlink xmlns:r="http://schemas.openxmlformats.org/officeDocument/2006/relationships" ref="N779" r:id="rId782"/>
    <hyperlink xmlns:r="http://schemas.openxmlformats.org/officeDocument/2006/relationships" ref="N780" r:id="rId783"/>
    <hyperlink xmlns:r="http://schemas.openxmlformats.org/officeDocument/2006/relationships" ref="N781" r:id="rId784"/>
    <hyperlink xmlns:r="http://schemas.openxmlformats.org/officeDocument/2006/relationships" ref="N782" r:id="rId785"/>
    <hyperlink xmlns:r="http://schemas.openxmlformats.org/officeDocument/2006/relationships" ref="N783" r:id="rId786"/>
    <hyperlink xmlns:r="http://schemas.openxmlformats.org/officeDocument/2006/relationships" ref="N784" r:id="rId787"/>
    <hyperlink xmlns:r="http://schemas.openxmlformats.org/officeDocument/2006/relationships" ref="N785" r:id="rId788"/>
    <hyperlink xmlns:r="http://schemas.openxmlformats.org/officeDocument/2006/relationships" ref="N786" r:id="rId789"/>
    <hyperlink xmlns:r="http://schemas.openxmlformats.org/officeDocument/2006/relationships" ref="N787" r:id="rId790"/>
    <hyperlink xmlns:r="http://schemas.openxmlformats.org/officeDocument/2006/relationships" ref="N788" r:id="rId791"/>
    <hyperlink xmlns:r="http://schemas.openxmlformats.org/officeDocument/2006/relationships" ref="N789" r:id="rId792"/>
    <hyperlink xmlns:r="http://schemas.openxmlformats.org/officeDocument/2006/relationships" ref="N790" r:id="rId793"/>
    <hyperlink xmlns:r="http://schemas.openxmlformats.org/officeDocument/2006/relationships" ref="N791" r:id="rId794"/>
    <hyperlink xmlns:r="http://schemas.openxmlformats.org/officeDocument/2006/relationships" ref="N792" r:id="rId795"/>
    <hyperlink xmlns:r="http://schemas.openxmlformats.org/officeDocument/2006/relationships" ref="N793" r:id="rId796"/>
    <hyperlink xmlns:r="http://schemas.openxmlformats.org/officeDocument/2006/relationships" ref="N794" r:id="rId797"/>
    <hyperlink xmlns:r="http://schemas.openxmlformats.org/officeDocument/2006/relationships" ref="N795" r:id="rId798"/>
    <hyperlink xmlns:r="http://schemas.openxmlformats.org/officeDocument/2006/relationships" ref="N796" r:id="rId799"/>
    <hyperlink xmlns:r="http://schemas.openxmlformats.org/officeDocument/2006/relationships" ref="N797" r:id="rId800"/>
    <hyperlink xmlns:r="http://schemas.openxmlformats.org/officeDocument/2006/relationships" ref="N798" r:id="rId801"/>
    <hyperlink xmlns:r="http://schemas.openxmlformats.org/officeDocument/2006/relationships" ref="N799" r:id="rId802"/>
    <hyperlink xmlns:r="http://schemas.openxmlformats.org/officeDocument/2006/relationships" ref="N800" r:id="rId803"/>
    <hyperlink xmlns:r="http://schemas.openxmlformats.org/officeDocument/2006/relationships" ref="N801" r:id="rId804"/>
    <hyperlink xmlns:r="http://schemas.openxmlformats.org/officeDocument/2006/relationships" ref="N802" r:id="rId805"/>
    <hyperlink xmlns:r="http://schemas.openxmlformats.org/officeDocument/2006/relationships" ref="N803" r:id="rId806"/>
    <hyperlink xmlns:r="http://schemas.openxmlformats.org/officeDocument/2006/relationships" ref="N804" r:id="rId807"/>
    <hyperlink xmlns:r="http://schemas.openxmlformats.org/officeDocument/2006/relationships" ref="N805" r:id="rId808"/>
    <hyperlink xmlns:r="http://schemas.openxmlformats.org/officeDocument/2006/relationships" ref="N806" r:id="rId809"/>
    <hyperlink xmlns:r="http://schemas.openxmlformats.org/officeDocument/2006/relationships" ref="N807" r:id="rId810"/>
    <hyperlink xmlns:r="http://schemas.openxmlformats.org/officeDocument/2006/relationships" ref="N808" r:id="rId811"/>
    <hyperlink xmlns:r="http://schemas.openxmlformats.org/officeDocument/2006/relationships" ref="N809" r:id="rId812"/>
    <hyperlink xmlns:r="http://schemas.openxmlformats.org/officeDocument/2006/relationships" ref="N810" r:id="rId813"/>
    <hyperlink xmlns:r="http://schemas.openxmlformats.org/officeDocument/2006/relationships" ref="N811" r:id="rId814"/>
    <hyperlink xmlns:r="http://schemas.openxmlformats.org/officeDocument/2006/relationships" ref="N812" r:id="rId815"/>
    <hyperlink xmlns:r="http://schemas.openxmlformats.org/officeDocument/2006/relationships" ref="N813" r:id="rId816"/>
    <hyperlink xmlns:r="http://schemas.openxmlformats.org/officeDocument/2006/relationships" ref="N814" r:id="rId817"/>
    <hyperlink xmlns:r="http://schemas.openxmlformats.org/officeDocument/2006/relationships" ref="N815" r:id="rId818"/>
    <hyperlink xmlns:r="http://schemas.openxmlformats.org/officeDocument/2006/relationships" ref="N816" r:id="rId819"/>
    <hyperlink xmlns:r="http://schemas.openxmlformats.org/officeDocument/2006/relationships" ref="N817" r:id="rId820"/>
    <hyperlink xmlns:r="http://schemas.openxmlformats.org/officeDocument/2006/relationships" ref="N818" r:id="rId821"/>
    <hyperlink xmlns:r="http://schemas.openxmlformats.org/officeDocument/2006/relationships" ref="N819" r:id="rId822"/>
    <hyperlink xmlns:r="http://schemas.openxmlformats.org/officeDocument/2006/relationships" ref="N820" r:id="rId823"/>
    <hyperlink xmlns:r="http://schemas.openxmlformats.org/officeDocument/2006/relationships" ref="N821" r:id="rId824"/>
    <hyperlink xmlns:r="http://schemas.openxmlformats.org/officeDocument/2006/relationships" ref="N822" r:id="rId825"/>
    <hyperlink xmlns:r="http://schemas.openxmlformats.org/officeDocument/2006/relationships" ref="N823" r:id="rId826"/>
    <hyperlink xmlns:r="http://schemas.openxmlformats.org/officeDocument/2006/relationships" ref="N824" r:id="rId827"/>
    <hyperlink xmlns:r="http://schemas.openxmlformats.org/officeDocument/2006/relationships" ref="N825" r:id="rId828"/>
    <hyperlink xmlns:r="http://schemas.openxmlformats.org/officeDocument/2006/relationships" ref="N826" r:id="rId829"/>
    <hyperlink xmlns:r="http://schemas.openxmlformats.org/officeDocument/2006/relationships" ref="N827" r:id="rId830"/>
    <hyperlink xmlns:r="http://schemas.openxmlformats.org/officeDocument/2006/relationships" ref="N828" r:id="rId831"/>
    <hyperlink xmlns:r="http://schemas.openxmlformats.org/officeDocument/2006/relationships" ref="N829" r:id="rId832"/>
    <hyperlink xmlns:r="http://schemas.openxmlformats.org/officeDocument/2006/relationships" ref="N830" r:id="rId833"/>
    <hyperlink xmlns:r="http://schemas.openxmlformats.org/officeDocument/2006/relationships" ref="N831" r:id="rId834"/>
    <hyperlink xmlns:r="http://schemas.openxmlformats.org/officeDocument/2006/relationships" ref="N832" r:id="rId835"/>
    <hyperlink xmlns:r="http://schemas.openxmlformats.org/officeDocument/2006/relationships" ref="N833" r:id="rId836"/>
    <hyperlink xmlns:r="http://schemas.openxmlformats.org/officeDocument/2006/relationships" ref="N834" r:id="rId837"/>
    <hyperlink xmlns:r="http://schemas.openxmlformats.org/officeDocument/2006/relationships" ref="N835" r:id="rId838"/>
    <hyperlink xmlns:r="http://schemas.openxmlformats.org/officeDocument/2006/relationships" ref="N836" r:id="rId839"/>
    <hyperlink xmlns:r="http://schemas.openxmlformats.org/officeDocument/2006/relationships" ref="N837" r:id="rId840"/>
    <hyperlink xmlns:r="http://schemas.openxmlformats.org/officeDocument/2006/relationships" ref="N838" r:id="rId841"/>
    <hyperlink xmlns:r="http://schemas.openxmlformats.org/officeDocument/2006/relationships" ref="N839" r:id="rId842"/>
    <hyperlink xmlns:r="http://schemas.openxmlformats.org/officeDocument/2006/relationships" ref="N840" r:id="rId843"/>
    <hyperlink xmlns:r="http://schemas.openxmlformats.org/officeDocument/2006/relationships" ref="N841" r:id="rId844"/>
    <hyperlink xmlns:r="http://schemas.openxmlformats.org/officeDocument/2006/relationships" ref="N842" r:id="rId845"/>
    <hyperlink xmlns:r="http://schemas.openxmlformats.org/officeDocument/2006/relationships" ref="N843" r:id="rId846"/>
    <hyperlink xmlns:r="http://schemas.openxmlformats.org/officeDocument/2006/relationships" ref="N844" r:id="rId847"/>
    <hyperlink xmlns:r="http://schemas.openxmlformats.org/officeDocument/2006/relationships" ref="N845" r:id="rId848"/>
    <hyperlink xmlns:r="http://schemas.openxmlformats.org/officeDocument/2006/relationships" ref="N846" r:id="rId849"/>
    <hyperlink xmlns:r="http://schemas.openxmlformats.org/officeDocument/2006/relationships" ref="N847" r:id="rId850"/>
    <hyperlink xmlns:r="http://schemas.openxmlformats.org/officeDocument/2006/relationships" ref="N848" r:id="rId851"/>
    <hyperlink xmlns:r="http://schemas.openxmlformats.org/officeDocument/2006/relationships" ref="N849" r:id="rId852"/>
    <hyperlink xmlns:r="http://schemas.openxmlformats.org/officeDocument/2006/relationships" ref="N850" r:id="rId853"/>
    <hyperlink xmlns:r="http://schemas.openxmlformats.org/officeDocument/2006/relationships" ref="N851" r:id="rId854"/>
    <hyperlink xmlns:r="http://schemas.openxmlformats.org/officeDocument/2006/relationships" ref="N852" r:id="rId855"/>
    <hyperlink xmlns:r="http://schemas.openxmlformats.org/officeDocument/2006/relationships" ref="N853" r:id="rId856"/>
    <hyperlink xmlns:r="http://schemas.openxmlformats.org/officeDocument/2006/relationships" ref="N854" r:id="rId857"/>
    <hyperlink xmlns:r="http://schemas.openxmlformats.org/officeDocument/2006/relationships" ref="N855" r:id="rId858"/>
    <hyperlink xmlns:r="http://schemas.openxmlformats.org/officeDocument/2006/relationships" ref="N856" r:id="rId859"/>
    <hyperlink xmlns:r="http://schemas.openxmlformats.org/officeDocument/2006/relationships" ref="N857" r:id="rId860"/>
    <hyperlink xmlns:r="http://schemas.openxmlformats.org/officeDocument/2006/relationships" ref="N858" r:id="rId861"/>
    <hyperlink xmlns:r="http://schemas.openxmlformats.org/officeDocument/2006/relationships" ref="N859" r:id="rId862"/>
    <hyperlink xmlns:r="http://schemas.openxmlformats.org/officeDocument/2006/relationships" ref="N860" r:id="rId863"/>
    <hyperlink xmlns:r="http://schemas.openxmlformats.org/officeDocument/2006/relationships" ref="N861" r:id="rId864"/>
    <hyperlink xmlns:r="http://schemas.openxmlformats.org/officeDocument/2006/relationships" ref="N862" r:id="rId865"/>
    <hyperlink xmlns:r="http://schemas.openxmlformats.org/officeDocument/2006/relationships" ref="N863" r:id="rId866"/>
    <hyperlink xmlns:r="http://schemas.openxmlformats.org/officeDocument/2006/relationships" ref="N864" r:id="rId867"/>
    <hyperlink xmlns:r="http://schemas.openxmlformats.org/officeDocument/2006/relationships" ref="N865" r:id="rId868"/>
    <hyperlink xmlns:r="http://schemas.openxmlformats.org/officeDocument/2006/relationships" ref="N866" r:id="rId869"/>
    <hyperlink xmlns:r="http://schemas.openxmlformats.org/officeDocument/2006/relationships" ref="N867" r:id="rId870"/>
    <hyperlink xmlns:r="http://schemas.openxmlformats.org/officeDocument/2006/relationships" ref="N868" r:id="rId871"/>
    <hyperlink xmlns:r="http://schemas.openxmlformats.org/officeDocument/2006/relationships" ref="N869" r:id="rId872"/>
    <hyperlink xmlns:r="http://schemas.openxmlformats.org/officeDocument/2006/relationships" ref="N870" r:id="rId873"/>
    <hyperlink xmlns:r="http://schemas.openxmlformats.org/officeDocument/2006/relationships" ref="N871" r:id="rId874"/>
    <hyperlink xmlns:r="http://schemas.openxmlformats.org/officeDocument/2006/relationships" ref="N872" r:id="rId875"/>
    <hyperlink xmlns:r="http://schemas.openxmlformats.org/officeDocument/2006/relationships" ref="N873" r:id="rId876"/>
    <hyperlink xmlns:r="http://schemas.openxmlformats.org/officeDocument/2006/relationships" ref="N874" r:id="rId877"/>
    <hyperlink xmlns:r="http://schemas.openxmlformats.org/officeDocument/2006/relationships" ref="N875" r:id="rId878"/>
    <hyperlink xmlns:r="http://schemas.openxmlformats.org/officeDocument/2006/relationships" ref="N876" r:id="rId879"/>
    <hyperlink xmlns:r="http://schemas.openxmlformats.org/officeDocument/2006/relationships" ref="N877" r:id="rId880"/>
    <hyperlink xmlns:r="http://schemas.openxmlformats.org/officeDocument/2006/relationships" ref="N878" r:id="rId881"/>
    <hyperlink xmlns:r="http://schemas.openxmlformats.org/officeDocument/2006/relationships" ref="N879" r:id="rId882"/>
    <hyperlink xmlns:r="http://schemas.openxmlformats.org/officeDocument/2006/relationships" ref="N880" r:id="rId883"/>
    <hyperlink xmlns:r="http://schemas.openxmlformats.org/officeDocument/2006/relationships" ref="N881" r:id="rId884"/>
    <hyperlink xmlns:r="http://schemas.openxmlformats.org/officeDocument/2006/relationships" ref="N882" r:id="rId885"/>
    <hyperlink xmlns:r="http://schemas.openxmlformats.org/officeDocument/2006/relationships" ref="N883" r:id="rId886"/>
    <hyperlink xmlns:r="http://schemas.openxmlformats.org/officeDocument/2006/relationships" ref="N884" r:id="rId887"/>
    <hyperlink xmlns:r="http://schemas.openxmlformats.org/officeDocument/2006/relationships" ref="N885" r:id="rId888"/>
    <hyperlink xmlns:r="http://schemas.openxmlformats.org/officeDocument/2006/relationships" ref="N886" r:id="rId889"/>
    <hyperlink xmlns:r="http://schemas.openxmlformats.org/officeDocument/2006/relationships" ref="N887" r:id="rId890"/>
    <hyperlink xmlns:r="http://schemas.openxmlformats.org/officeDocument/2006/relationships" ref="N888" r:id="rId891"/>
    <hyperlink xmlns:r="http://schemas.openxmlformats.org/officeDocument/2006/relationships" ref="N889" r:id="rId892"/>
    <hyperlink xmlns:r="http://schemas.openxmlformats.org/officeDocument/2006/relationships" ref="N890" r:id="rId893"/>
    <hyperlink xmlns:r="http://schemas.openxmlformats.org/officeDocument/2006/relationships" ref="N891" r:id="rId894"/>
    <hyperlink xmlns:r="http://schemas.openxmlformats.org/officeDocument/2006/relationships" ref="N892" r:id="rId895"/>
    <hyperlink xmlns:r="http://schemas.openxmlformats.org/officeDocument/2006/relationships" ref="N893" r:id="rId896"/>
    <hyperlink xmlns:r="http://schemas.openxmlformats.org/officeDocument/2006/relationships" ref="N894" r:id="rId897"/>
    <hyperlink xmlns:r="http://schemas.openxmlformats.org/officeDocument/2006/relationships" ref="N895" r:id="rId898"/>
    <hyperlink xmlns:r="http://schemas.openxmlformats.org/officeDocument/2006/relationships" ref="N896" r:id="rId899"/>
    <hyperlink xmlns:r="http://schemas.openxmlformats.org/officeDocument/2006/relationships" ref="N897" r:id="rId900"/>
    <hyperlink xmlns:r="http://schemas.openxmlformats.org/officeDocument/2006/relationships" ref="N898" r:id="rId901"/>
    <hyperlink xmlns:r="http://schemas.openxmlformats.org/officeDocument/2006/relationships" ref="N899" r:id="rId902"/>
    <hyperlink xmlns:r="http://schemas.openxmlformats.org/officeDocument/2006/relationships" ref="N900" r:id="rId903"/>
    <hyperlink xmlns:r="http://schemas.openxmlformats.org/officeDocument/2006/relationships" ref="N901" r:id="rId904"/>
    <hyperlink xmlns:r="http://schemas.openxmlformats.org/officeDocument/2006/relationships" ref="N902" r:id="rId905"/>
    <hyperlink xmlns:r="http://schemas.openxmlformats.org/officeDocument/2006/relationships" ref="N903" r:id="rId906"/>
    <hyperlink xmlns:r="http://schemas.openxmlformats.org/officeDocument/2006/relationships" ref="N904" r:id="rId907"/>
    <hyperlink xmlns:r="http://schemas.openxmlformats.org/officeDocument/2006/relationships" ref="N905" r:id="rId908"/>
    <hyperlink xmlns:r="http://schemas.openxmlformats.org/officeDocument/2006/relationships" ref="N906" r:id="rId909"/>
    <hyperlink xmlns:r="http://schemas.openxmlformats.org/officeDocument/2006/relationships" ref="N907" r:id="rId910"/>
    <hyperlink xmlns:r="http://schemas.openxmlformats.org/officeDocument/2006/relationships" ref="N908" r:id="rId911"/>
    <hyperlink xmlns:r="http://schemas.openxmlformats.org/officeDocument/2006/relationships" ref="N909" r:id="rId912"/>
    <hyperlink xmlns:r="http://schemas.openxmlformats.org/officeDocument/2006/relationships" ref="N910" r:id="rId913"/>
    <hyperlink xmlns:r="http://schemas.openxmlformats.org/officeDocument/2006/relationships" ref="N911" r:id="rId914"/>
    <hyperlink xmlns:r="http://schemas.openxmlformats.org/officeDocument/2006/relationships" ref="N912" r:id="rId915"/>
    <hyperlink xmlns:r="http://schemas.openxmlformats.org/officeDocument/2006/relationships" ref="N913" r:id="rId916"/>
    <hyperlink xmlns:r="http://schemas.openxmlformats.org/officeDocument/2006/relationships" ref="N914" r:id="rId917"/>
    <hyperlink xmlns:r="http://schemas.openxmlformats.org/officeDocument/2006/relationships" ref="N915" r:id="rId918"/>
    <hyperlink xmlns:r="http://schemas.openxmlformats.org/officeDocument/2006/relationships" ref="N916" r:id="rId919"/>
    <hyperlink xmlns:r="http://schemas.openxmlformats.org/officeDocument/2006/relationships" ref="N917" r:id="rId920"/>
    <hyperlink xmlns:r="http://schemas.openxmlformats.org/officeDocument/2006/relationships" ref="N918" r:id="rId921"/>
    <hyperlink xmlns:r="http://schemas.openxmlformats.org/officeDocument/2006/relationships" ref="N919" r:id="rId922"/>
    <hyperlink xmlns:r="http://schemas.openxmlformats.org/officeDocument/2006/relationships" ref="N920" r:id="rId923"/>
    <hyperlink xmlns:r="http://schemas.openxmlformats.org/officeDocument/2006/relationships" ref="N921" r:id="rId924"/>
    <hyperlink xmlns:r="http://schemas.openxmlformats.org/officeDocument/2006/relationships" ref="N922" r:id="rId925"/>
    <hyperlink xmlns:r="http://schemas.openxmlformats.org/officeDocument/2006/relationships" ref="N923" r:id="rId926"/>
    <hyperlink xmlns:r="http://schemas.openxmlformats.org/officeDocument/2006/relationships" ref="N924" r:id="rId927"/>
    <hyperlink xmlns:r="http://schemas.openxmlformats.org/officeDocument/2006/relationships" ref="N925" r:id="rId928"/>
    <hyperlink xmlns:r="http://schemas.openxmlformats.org/officeDocument/2006/relationships" ref="N926" r:id="rId929"/>
    <hyperlink xmlns:r="http://schemas.openxmlformats.org/officeDocument/2006/relationships" ref="N927" r:id="rId930"/>
    <hyperlink xmlns:r="http://schemas.openxmlformats.org/officeDocument/2006/relationships" ref="N928" r:id="rId931"/>
    <hyperlink xmlns:r="http://schemas.openxmlformats.org/officeDocument/2006/relationships" ref="N929" r:id="rId932"/>
    <hyperlink xmlns:r="http://schemas.openxmlformats.org/officeDocument/2006/relationships" ref="N930" r:id="rId933"/>
    <hyperlink xmlns:r="http://schemas.openxmlformats.org/officeDocument/2006/relationships" ref="N931" r:id="rId934"/>
    <hyperlink xmlns:r="http://schemas.openxmlformats.org/officeDocument/2006/relationships" ref="N932" r:id="rId935"/>
    <hyperlink xmlns:r="http://schemas.openxmlformats.org/officeDocument/2006/relationships" ref="N933" r:id="rId936"/>
    <hyperlink xmlns:r="http://schemas.openxmlformats.org/officeDocument/2006/relationships" ref="N934" r:id="rId937"/>
    <hyperlink xmlns:r="http://schemas.openxmlformats.org/officeDocument/2006/relationships" ref="N935" r:id="rId938"/>
    <hyperlink xmlns:r="http://schemas.openxmlformats.org/officeDocument/2006/relationships" ref="N936" r:id="rId939"/>
    <hyperlink xmlns:r="http://schemas.openxmlformats.org/officeDocument/2006/relationships" ref="N937" r:id="rId940"/>
    <hyperlink xmlns:r="http://schemas.openxmlformats.org/officeDocument/2006/relationships" ref="N938" r:id="rId941"/>
    <hyperlink xmlns:r="http://schemas.openxmlformats.org/officeDocument/2006/relationships" ref="N939" r:id="rId942"/>
    <hyperlink xmlns:r="http://schemas.openxmlformats.org/officeDocument/2006/relationships" ref="N940" r:id="rId943"/>
    <hyperlink xmlns:r="http://schemas.openxmlformats.org/officeDocument/2006/relationships" ref="N941" r:id="rId944"/>
    <hyperlink xmlns:r="http://schemas.openxmlformats.org/officeDocument/2006/relationships" ref="N942" r:id="rId945"/>
    <hyperlink xmlns:r="http://schemas.openxmlformats.org/officeDocument/2006/relationships" ref="N943" r:id="rId946"/>
    <hyperlink xmlns:r="http://schemas.openxmlformats.org/officeDocument/2006/relationships" ref="N944" r:id="rId947"/>
    <hyperlink xmlns:r="http://schemas.openxmlformats.org/officeDocument/2006/relationships" ref="N945" r:id="rId948"/>
    <hyperlink xmlns:r="http://schemas.openxmlformats.org/officeDocument/2006/relationships" ref="N946" r:id="rId949"/>
    <hyperlink xmlns:r="http://schemas.openxmlformats.org/officeDocument/2006/relationships" ref="N947" r:id="rId950"/>
    <hyperlink xmlns:r="http://schemas.openxmlformats.org/officeDocument/2006/relationships" ref="N948" r:id="rId951"/>
    <hyperlink xmlns:r="http://schemas.openxmlformats.org/officeDocument/2006/relationships" ref="N949" r:id="rId952"/>
    <hyperlink xmlns:r="http://schemas.openxmlformats.org/officeDocument/2006/relationships" ref="N950" r:id="rId953"/>
    <hyperlink xmlns:r="http://schemas.openxmlformats.org/officeDocument/2006/relationships" ref="N951" r:id="rId954"/>
    <hyperlink xmlns:r="http://schemas.openxmlformats.org/officeDocument/2006/relationships" ref="N952" r:id="rId955"/>
    <hyperlink xmlns:r="http://schemas.openxmlformats.org/officeDocument/2006/relationships" ref="N953" r:id="rId956"/>
    <hyperlink xmlns:r="http://schemas.openxmlformats.org/officeDocument/2006/relationships" ref="N954" r:id="rId957"/>
    <hyperlink xmlns:r="http://schemas.openxmlformats.org/officeDocument/2006/relationships" ref="N955" r:id="rId958"/>
    <hyperlink xmlns:r="http://schemas.openxmlformats.org/officeDocument/2006/relationships" ref="N956" r:id="rId959"/>
    <hyperlink xmlns:r="http://schemas.openxmlformats.org/officeDocument/2006/relationships" ref="N957" r:id="rId960"/>
    <hyperlink xmlns:r="http://schemas.openxmlformats.org/officeDocument/2006/relationships" ref="N958" r:id="rId961"/>
    <hyperlink xmlns:r="http://schemas.openxmlformats.org/officeDocument/2006/relationships" ref="N959" r:id="rId962"/>
    <hyperlink xmlns:r="http://schemas.openxmlformats.org/officeDocument/2006/relationships" ref="N960" r:id="rId963"/>
    <hyperlink xmlns:r="http://schemas.openxmlformats.org/officeDocument/2006/relationships" ref="N961" r:id="rId964"/>
    <hyperlink xmlns:r="http://schemas.openxmlformats.org/officeDocument/2006/relationships" ref="N962" r:id="rId965"/>
    <hyperlink xmlns:r="http://schemas.openxmlformats.org/officeDocument/2006/relationships" ref="N963" r:id="rId966"/>
    <hyperlink xmlns:r="http://schemas.openxmlformats.org/officeDocument/2006/relationships" ref="N964" r:id="rId967"/>
    <hyperlink xmlns:r="http://schemas.openxmlformats.org/officeDocument/2006/relationships" ref="N965" r:id="rId968"/>
    <hyperlink xmlns:r="http://schemas.openxmlformats.org/officeDocument/2006/relationships" ref="N966" r:id="rId969"/>
    <hyperlink xmlns:r="http://schemas.openxmlformats.org/officeDocument/2006/relationships" ref="N967" r:id="rId970"/>
    <hyperlink xmlns:r="http://schemas.openxmlformats.org/officeDocument/2006/relationships" ref="N968" r:id="rId971"/>
    <hyperlink xmlns:r="http://schemas.openxmlformats.org/officeDocument/2006/relationships" ref="N969" r:id="rId972"/>
    <hyperlink xmlns:r="http://schemas.openxmlformats.org/officeDocument/2006/relationships" ref="N970" r:id="rId973"/>
    <hyperlink xmlns:r="http://schemas.openxmlformats.org/officeDocument/2006/relationships" ref="N971" r:id="rId974"/>
    <hyperlink xmlns:r="http://schemas.openxmlformats.org/officeDocument/2006/relationships" ref="N972" r:id="rId975"/>
    <hyperlink xmlns:r="http://schemas.openxmlformats.org/officeDocument/2006/relationships" ref="N973" r:id="rId976"/>
    <hyperlink xmlns:r="http://schemas.openxmlformats.org/officeDocument/2006/relationships" ref="N974" r:id="rId977"/>
    <hyperlink xmlns:r="http://schemas.openxmlformats.org/officeDocument/2006/relationships" ref="N975" r:id="rId978"/>
    <hyperlink xmlns:r="http://schemas.openxmlformats.org/officeDocument/2006/relationships" ref="N976" r:id="rId979"/>
    <hyperlink xmlns:r="http://schemas.openxmlformats.org/officeDocument/2006/relationships" ref="N977" r:id="rId980"/>
    <hyperlink xmlns:r="http://schemas.openxmlformats.org/officeDocument/2006/relationships" ref="N978" r:id="rId981"/>
    <hyperlink xmlns:r="http://schemas.openxmlformats.org/officeDocument/2006/relationships" ref="N979" r:id="rId982"/>
    <hyperlink xmlns:r="http://schemas.openxmlformats.org/officeDocument/2006/relationships" ref="N980" r:id="rId983"/>
    <hyperlink xmlns:r="http://schemas.openxmlformats.org/officeDocument/2006/relationships" ref="N981" r:id="rId984"/>
    <hyperlink xmlns:r="http://schemas.openxmlformats.org/officeDocument/2006/relationships" ref="N982" r:id="rId985"/>
    <hyperlink xmlns:r="http://schemas.openxmlformats.org/officeDocument/2006/relationships" ref="N983" r:id="rId986"/>
    <hyperlink xmlns:r="http://schemas.openxmlformats.org/officeDocument/2006/relationships" ref="N984" r:id="rId987"/>
    <hyperlink xmlns:r="http://schemas.openxmlformats.org/officeDocument/2006/relationships" ref="N985" r:id="rId988"/>
    <hyperlink xmlns:r="http://schemas.openxmlformats.org/officeDocument/2006/relationships" ref="N986" r:id="rId989"/>
    <hyperlink xmlns:r="http://schemas.openxmlformats.org/officeDocument/2006/relationships" ref="N987" r:id="rId990"/>
    <hyperlink xmlns:r="http://schemas.openxmlformats.org/officeDocument/2006/relationships" ref="N988" r:id="rId991"/>
    <hyperlink xmlns:r="http://schemas.openxmlformats.org/officeDocument/2006/relationships" ref="N989" r:id="rId992"/>
    <hyperlink xmlns:r="http://schemas.openxmlformats.org/officeDocument/2006/relationships" ref="N990" r:id="rId993"/>
    <hyperlink xmlns:r="http://schemas.openxmlformats.org/officeDocument/2006/relationships" ref="N991" r:id="rId994"/>
    <hyperlink xmlns:r="http://schemas.openxmlformats.org/officeDocument/2006/relationships" ref="N992" r:id="rId995"/>
    <hyperlink xmlns:r="http://schemas.openxmlformats.org/officeDocument/2006/relationships" ref="N993" r:id="rId996"/>
    <hyperlink xmlns:r="http://schemas.openxmlformats.org/officeDocument/2006/relationships" ref="N994" r:id="rId997"/>
    <hyperlink xmlns:r="http://schemas.openxmlformats.org/officeDocument/2006/relationships" ref="N995" r:id="rId998"/>
    <hyperlink xmlns:r="http://schemas.openxmlformats.org/officeDocument/2006/relationships" ref="N996" r:id="rId999"/>
    <hyperlink xmlns:r="http://schemas.openxmlformats.org/officeDocument/2006/relationships" ref="N997" r:id="rId1000"/>
    <hyperlink xmlns:r="http://schemas.openxmlformats.org/officeDocument/2006/relationships" ref="N998" r:id="rId1001"/>
    <hyperlink xmlns:r="http://schemas.openxmlformats.org/officeDocument/2006/relationships" ref="N999" r:id="rId1002"/>
    <hyperlink xmlns:r="http://schemas.openxmlformats.org/officeDocument/2006/relationships" ref="N1000" r:id="rId1003"/>
    <hyperlink xmlns:r="http://schemas.openxmlformats.org/officeDocument/2006/relationships" ref="N1001" r:id="rId1004"/>
    <hyperlink xmlns:r="http://schemas.openxmlformats.org/officeDocument/2006/relationships" ref="N1002" r:id="rId1005"/>
    <hyperlink xmlns:r="http://schemas.openxmlformats.org/officeDocument/2006/relationships" ref="N1003" r:id="rId1006"/>
    <hyperlink xmlns:r="http://schemas.openxmlformats.org/officeDocument/2006/relationships" ref="N1004" r:id="rId1007"/>
    <hyperlink xmlns:r="http://schemas.openxmlformats.org/officeDocument/2006/relationships" ref="N1005" r:id="rId1008"/>
    <hyperlink xmlns:r="http://schemas.openxmlformats.org/officeDocument/2006/relationships" ref="N1006" r:id="rId1009"/>
    <hyperlink xmlns:r="http://schemas.openxmlformats.org/officeDocument/2006/relationships" ref="N1007" r:id="rId1010"/>
    <hyperlink xmlns:r="http://schemas.openxmlformats.org/officeDocument/2006/relationships" ref="N1008" r:id="rId1011"/>
    <hyperlink xmlns:r="http://schemas.openxmlformats.org/officeDocument/2006/relationships" ref="N1009" r:id="rId1012"/>
    <hyperlink xmlns:r="http://schemas.openxmlformats.org/officeDocument/2006/relationships" ref="N1010" r:id="rId1013"/>
    <hyperlink xmlns:r="http://schemas.openxmlformats.org/officeDocument/2006/relationships" ref="N1011" r:id="rId1014"/>
    <hyperlink xmlns:r="http://schemas.openxmlformats.org/officeDocument/2006/relationships" ref="N1012" r:id="rId1015"/>
    <hyperlink xmlns:r="http://schemas.openxmlformats.org/officeDocument/2006/relationships" ref="N1013" r:id="rId1016"/>
    <hyperlink xmlns:r="http://schemas.openxmlformats.org/officeDocument/2006/relationships" ref="N1014" r:id="rId1017"/>
    <hyperlink xmlns:r="http://schemas.openxmlformats.org/officeDocument/2006/relationships" ref="N1015" r:id="rId1018"/>
    <hyperlink xmlns:r="http://schemas.openxmlformats.org/officeDocument/2006/relationships" ref="N1016" r:id="rId1019"/>
    <hyperlink xmlns:r="http://schemas.openxmlformats.org/officeDocument/2006/relationships" ref="N1017" r:id="rId1020"/>
    <hyperlink xmlns:r="http://schemas.openxmlformats.org/officeDocument/2006/relationships" ref="N1018" r:id="rId1021"/>
    <hyperlink xmlns:r="http://schemas.openxmlformats.org/officeDocument/2006/relationships" ref="N1019" r:id="rId1022"/>
    <hyperlink xmlns:r="http://schemas.openxmlformats.org/officeDocument/2006/relationships" ref="N1020" r:id="rId1023"/>
    <hyperlink xmlns:r="http://schemas.openxmlformats.org/officeDocument/2006/relationships" ref="N1021" r:id="rId1024"/>
    <hyperlink xmlns:r="http://schemas.openxmlformats.org/officeDocument/2006/relationships" ref="N1022" r:id="rId1025"/>
    <hyperlink xmlns:r="http://schemas.openxmlformats.org/officeDocument/2006/relationships" ref="N1023" r:id="rId1026"/>
    <hyperlink xmlns:r="http://schemas.openxmlformats.org/officeDocument/2006/relationships" ref="N1024" r:id="rId1027"/>
    <hyperlink xmlns:r="http://schemas.openxmlformats.org/officeDocument/2006/relationships" ref="N1025" r:id="rId1028"/>
    <hyperlink xmlns:r="http://schemas.openxmlformats.org/officeDocument/2006/relationships" ref="N1026" r:id="rId1029"/>
    <hyperlink xmlns:r="http://schemas.openxmlformats.org/officeDocument/2006/relationships" ref="N1027" r:id="rId1030"/>
    <hyperlink xmlns:r="http://schemas.openxmlformats.org/officeDocument/2006/relationships" ref="N1028" r:id="rId1031"/>
    <hyperlink xmlns:r="http://schemas.openxmlformats.org/officeDocument/2006/relationships" ref="N1029" r:id="rId1032"/>
    <hyperlink xmlns:r="http://schemas.openxmlformats.org/officeDocument/2006/relationships" ref="N1030" r:id="rId1033"/>
    <hyperlink xmlns:r="http://schemas.openxmlformats.org/officeDocument/2006/relationships" ref="N1031" r:id="rId1034"/>
    <hyperlink xmlns:r="http://schemas.openxmlformats.org/officeDocument/2006/relationships" ref="N1032" r:id="rId1035"/>
    <hyperlink xmlns:r="http://schemas.openxmlformats.org/officeDocument/2006/relationships" ref="N1033" r:id="rId1036"/>
    <hyperlink xmlns:r="http://schemas.openxmlformats.org/officeDocument/2006/relationships" ref="N1034" r:id="rId1037"/>
    <hyperlink xmlns:r="http://schemas.openxmlformats.org/officeDocument/2006/relationships" ref="N1035" r:id="rId1038"/>
    <hyperlink xmlns:r="http://schemas.openxmlformats.org/officeDocument/2006/relationships" ref="N1036" r:id="rId1039"/>
    <hyperlink xmlns:r="http://schemas.openxmlformats.org/officeDocument/2006/relationships" ref="N1037" r:id="rId1040"/>
    <hyperlink xmlns:r="http://schemas.openxmlformats.org/officeDocument/2006/relationships" ref="N1038" r:id="rId1041"/>
    <hyperlink xmlns:r="http://schemas.openxmlformats.org/officeDocument/2006/relationships" ref="N1039" r:id="rId1042"/>
    <hyperlink xmlns:r="http://schemas.openxmlformats.org/officeDocument/2006/relationships" ref="N1040" r:id="rId1043"/>
    <hyperlink xmlns:r="http://schemas.openxmlformats.org/officeDocument/2006/relationships" ref="N1041" r:id="rId1044"/>
    <hyperlink xmlns:r="http://schemas.openxmlformats.org/officeDocument/2006/relationships" ref="N1042" r:id="rId1045"/>
    <hyperlink xmlns:r="http://schemas.openxmlformats.org/officeDocument/2006/relationships" ref="N1043" r:id="rId1046"/>
    <hyperlink xmlns:r="http://schemas.openxmlformats.org/officeDocument/2006/relationships" ref="N1044" r:id="rId1047"/>
    <hyperlink xmlns:r="http://schemas.openxmlformats.org/officeDocument/2006/relationships" ref="N1045" r:id="rId1048"/>
    <hyperlink xmlns:r="http://schemas.openxmlformats.org/officeDocument/2006/relationships" ref="N1046" r:id="rId1049"/>
    <hyperlink xmlns:r="http://schemas.openxmlformats.org/officeDocument/2006/relationships" ref="N1047" r:id="rId1050"/>
    <hyperlink xmlns:r="http://schemas.openxmlformats.org/officeDocument/2006/relationships" ref="N1048" r:id="rId1051"/>
    <hyperlink xmlns:r="http://schemas.openxmlformats.org/officeDocument/2006/relationships" ref="N1049" r:id="rId1052"/>
    <hyperlink xmlns:r="http://schemas.openxmlformats.org/officeDocument/2006/relationships" ref="N1050" r:id="rId1053"/>
    <hyperlink xmlns:r="http://schemas.openxmlformats.org/officeDocument/2006/relationships" ref="N1051" r:id="rId1054"/>
    <hyperlink xmlns:r="http://schemas.openxmlformats.org/officeDocument/2006/relationships" ref="N1052" r:id="rId1055"/>
    <hyperlink xmlns:r="http://schemas.openxmlformats.org/officeDocument/2006/relationships" ref="N1053" r:id="rId1056"/>
    <hyperlink xmlns:r="http://schemas.openxmlformats.org/officeDocument/2006/relationships" ref="N1054" r:id="rId1057"/>
    <hyperlink xmlns:r="http://schemas.openxmlformats.org/officeDocument/2006/relationships" ref="N1055" r:id="rId1058"/>
    <hyperlink xmlns:r="http://schemas.openxmlformats.org/officeDocument/2006/relationships" ref="N1056" r:id="rId1059"/>
    <hyperlink xmlns:r="http://schemas.openxmlformats.org/officeDocument/2006/relationships" ref="N1057" r:id="rId1060"/>
    <hyperlink xmlns:r="http://schemas.openxmlformats.org/officeDocument/2006/relationships" ref="N1058" r:id="rId1061"/>
    <hyperlink xmlns:r="http://schemas.openxmlformats.org/officeDocument/2006/relationships" ref="N1059" r:id="rId1062"/>
    <hyperlink xmlns:r="http://schemas.openxmlformats.org/officeDocument/2006/relationships" ref="N1060" r:id="rId1063"/>
    <hyperlink xmlns:r="http://schemas.openxmlformats.org/officeDocument/2006/relationships" ref="N1061" r:id="rId1064"/>
    <hyperlink xmlns:r="http://schemas.openxmlformats.org/officeDocument/2006/relationships" ref="N1062" r:id="rId1065"/>
    <hyperlink xmlns:r="http://schemas.openxmlformats.org/officeDocument/2006/relationships" ref="N1063" r:id="rId1066"/>
    <hyperlink xmlns:r="http://schemas.openxmlformats.org/officeDocument/2006/relationships" ref="N1064" r:id="rId1067"/>
    <hyperlink xmlns:r="http://schemas.openxmlformats.org/officeDocument/2006/relationships" ref="N1065" r:id="rId1068"/>
    <hyperlink xmlns:r="http://schemas.openxmlformats.org/officeDocument/2006/relationships" ref="N1066" r:id="rId1069"/>
    <hyperlink xmlns:r="http://schemas.openxmlformats.org/officeDocument/2006/relationships" ref="N1067" r:id="rId1070"/>
    <hyperlink xmlns:r="http://schemas.openxmlformats.org/officeDocument/2006/relationships" ref="N1068" r:id="rId1071"/>
    <hyperlink xmlns:r="http://schemas.openxmlformats.org/officeDocument/2006/relationships" ref="N1069" r:id="rId1072"/>
    <hyperlink xmlns:r="http://schemas.openxmlformats.org/officeDocument/2006/relationships" ref="N1070" r:id="rId1073"/>
    <hyperlink xmlns:r="http://schemas.openxmlformats.org/officeDocument/2006/relationships" ref="N1071" r:id="rId1074"/>
    <hyperlink xmlns:r="http://schemas.openxmlformats.org/officeDocument/2006/relationships" ref="N1072" r:id="rId1075"/>
    <hyperlink xmlns:r="http://schemas.openxmlformats.org/officeDocument/2006/relationships" ref="N1073" r:id="rId1076"/>
    <hyperlink xmlns:r="http://schemas.openxmlformats.org/officeDocument/2006/relationships" ref="N1074" r:id="rId1077"/>
    <hyperlink xmlns:r="http://schemas.openxmlformats.org/officeDocument/2006/relationships" ref="N1075" r:id="rId1078"/>
    <hyperlink xmlns:r="http://schemas.openxmlformats.org/officeDocument/2006/relationships" ref="N1076" r:id="rId1079"/>
    <hyperlink xmlns:r="http://schemas.openxmlformats.org/officeDocument/2006/relationships" ref="N1077" r:id="rId1080"/>
    <hyperlink xmlns:r="http://schemas.openxmlformats.org/officeDocument/2006/relationships" ref="N1078" r:id="rId1081"/>
    <hyperlink xmlns:r="http://schemas.openxmlformats.org/officeDocument/2006/relationships" ref="N1079" r:id="rId1082"/>
    <hyperlink xmlns:r="http://schemas.openxmlformats.org/officeDocument/2006/relationships" ref="N1080" r:id="rId1083"/>
    <hyperlink xmlns:r="http://schemas.openxmlformats.org/officeDocument/2006/relationships" ref="N1081" r:id="rId1084"/>
    <hyperlink xmlns:r="http://schemas.openxmlformats.org/officeDocument/2006/relationships" ref="N1082" r:id="rId1085"/>
    <hyperlink xmlns:r="http://schemas.openxmlformats.org/officeDocument/2006/relationships" ref="N1083" r:id="rId1086"/>
    <hyperlink xmlns:r="http://schemas.openxmlformats.org/officeDocument/2006/relationships" ref="N1084" r:id="rId1087"/>
    <hyperlink xmlns:r="http://schemas.openxmlformats.org/officeDocument/2006/relationships" ref="N1085" r:id="rId1088"/>
    <hyperlink xmlns:r="http://schemas.openxmlformats.org/officeDocument/2006/relationships" ref="N1086" r:id="rId1089"/>
    <hyperlink xmlns:r="http://schemas.openxmlformats.org/officeDocument/2006/relationships" ref="N1087" r:id="rId1090"/>
    <hyperlink xmlns:r="http://schemas.openxmlformats.org/officeDocument/2006/relationships" ref="N1088" r:id="rId1091"/>
    <hyperlink xmlns:r="http://schemas.openxmlformats.org/officeDocument/2006/relationships" ref="N1089" r:id="rId1092"/>
    <hyperlink xmlns:r="http://schemas.openxmlformats.org/officeDocument/2006/relationships" ref="N1090" r:id="rId1093"/>
    <hyperlink xmlns:r="http://schemas.openxmlformats.org/officeDocument/2006/relationships" ref="N1091" r:id="rId1094"/>
    <hyperlink xmlns:r="http://schemas.openxmlformats.org/officeDocument/2006/relationships" ref="N1092" r:id="rId1095"/>
    <hyperlink xmlns:r="http://schemas.openxmlformats.org/officeDocument/2006/relationships" ref="N1093" r:id="rId1096"/>
    <hyperlink xmlns:r="http://schemas.openxmlformats.org/officeDocument/2006/relationships" ref="N1094" r:id="rId1097"/>
    <hyperlink xmlns:r="http://schemas.openxmlformats.org/officeDocument/2006/relationships" ref="N1095" r:id="rId1098"/>
    <hyperlink xmlns:r="http://schemas.openxmlformats.org/officeDocument/2006/relationships" ref="N1096" r:id="rId1099"/>
    <hyperlink xmlns:r="http://schemas.openxmlformats.org/officeDocument/2006/relationships" ref="N1097" r:id="rId1100"/>
    <hyperlink xmlns:r="http://schemas.openxmlformats.org/officeDocument/2006/relationships" ref="N1098" r:id="rId1101"/>
    <hyperlink xmlns:r="http://schemas.openxmlformats.org/officeDocument/2006/relationships" ref="N1099" r:id="rId1102"/>
    <hyperlink xmlns:r="http://schemas.openxmlformats.org/officeDocument/2006/relationships" ref="N1100" r:id="rId1103"/>
    <hyperlink xmlns:r="http://schemas.openxmlformats.org/officeDocument/2006/relationships" ref="N1101" r:id="rId1104"/>
    <hyperlink xmlns:r="http://schemas.openxmlformats.org/officeDocument/2006/relationships" ref="N1102" r:id="rId1105"/>
    <hyperlink xmlns:r="http://schemas.openxmlformats.org/officeDocument/2006/relationships" ref="N1103" r:id="rId1106"/>
    <hyperlink xmlns:r="http://schemas.openxmlformats.org/officeDocument/2006/relationships" ref="N1104" r:id="rId1107"/>
    <hyperlink xmlns:r="http://schemas.openxmlformats.org/officeDocument/2006/relationships" ref="N1105" r:id="rId1108"/>
    <hyperlink xmlns:r="http://schemas.openxmlformats.org/officeDocument/2006/relationships" ref="N1106" r:id="rId1109"/>
    <hyperlink xmlns:r="http://schemas.openxmlformats.org/officeDocument/2006/relationships" ref="N1107" r:id="rId1110"/>
    <hyperlink xmlns:r="http://schemas.openxmlformats.org/officeDocument/2006/relationships" ref="N1108" r:id="rId1111"/>
    <hyperlink xmlns:r="http://schemas.openxmlformats.org/officeDocument/2006/relationships" ref="N1109" r:id="rId1112"/>
    <hyperlink xmlns:r="http://schemas.openxmlformats.org/officeDocument/2006/relationships" ref="N1110" r:id="rId1113"/>
    <hyperlink xmlns:r="http://schemas.openxmlformats.org/officeDocument/2006/relationships" ref="N1111" r:id="rId1114"/>
    <hyperlink xmlns:r="http://schemas.openxmlformats.org/officeDocument/2006/relationships" ref="N1112" r:id="rId1115"/>
    <hyperlink xmlns:r="http://schemas.openxmlformats.org/officeDocument/2006/relationships" ref="N1113" r:id="rId1116"/>
    <hyperlink xmlns:r="http://schemas.openxmlformats.org/officeDocument/2006/relationships" ref="N1114" r:id="rId1117"/>
    <hyperlink xmlns:r="http://schemas.openxmlformats.org/officeDocument/2006/relationships" ref="N1115" r:id="rId1118"/>
    <hyperlink xmlns:r="http://schemas.openxmlformats.org/officeDocument/2006/relationships" ref="N1116" r:id="rId1119"/>
    <hyperlink xmlns:r="http://schemas.openxmlformats.org/officeDocument/2006/relationships" ref="N1117" r:id="rId1120"/>
    <hyperlink xmlns:r="http://schemas.openxmlformats.org/officeDocument/2006/relationships" ref="N1118" r:id="rId1121"/>
    <hyperlink xmlns:r="http://schemas.openxmlformats.org/officeDocument/2006/relationships" ref="N1119" r:id="rId1122"/>
    <hyperlink xmlns:r="http://schemas.openxmlformats.org/officeDocument/2006/relationships" ref="N1120" r:id="rId1123"/>
    <hyperlink xmlns:r="http://schemas.openxmlformats.org/officeDocument/2006/relationships" ref="N1121" r:id="rId1124"/>
    <hyperlink xmlns:r="http://schemas.openxmlformats.org/officeDocument/2006/relationships" ref="N1122" r:id="rId1125"/>
    <hyperlink xmlns:r="http://schemas.openxmlformats.org/officeDocument/2006/relationships" ref="N1123" r:id="rId1126"/>
    <hyperlink xmlns:r="http://schemas.openxmlformats.org/officeDocument/2006/relationships" ref="N1124" r:id="rId1127"/>
    <hyperlink xmlns:r="http://schemas.openxmlformats.org/officeDocument/2006/relationships" ref="N1125" r:id="rId1128"/>
    <hyperlink xmlns:r="http://schemas.openxmlformats.org/officeDocument/2006/relationships" ref="N1126" r:id="rId1129"/>
    <hyperlink xmlns:r="http://schemas.openxmlformats.org/officeDocument/2006/relationships" ref="N1127" r:id="rId1130"/>
    <hyperlink xmlns:r="http://schemas.openxmlformats.org/officeDocument/2006/relationships" ref="N1128" r:id="rId1131"/>
    <hyperlink xmlns:r="http://schemas.openxmlformats.org/officeDocument/2006/relationships" ref="N1129" r:id="rId1132"/>
    <hyperlink xmlns:r="http://schemas.openxmlformats.org/officeDocument/2006/relationships" ref="N1130" r:id="rId1133"/>
    <hyperlink xmlns:r="http://schemas.openxmlformats.org/officeDocument/2006/relationships" ref="N1131" r:id="rId1134"/>
    <hyperlink xmlns:r="http://schemas.openxmlformats.org/officeDocument/2006/relationships" ref="N1132" r:id="rId1135"/>
    <hyperlink xmlns:r="http://schemas.openxmlformats.org/officeDocument/2006/relationships" ref="N1133" r:id="rId1136"/>
    <hyperlink xmlns:r="http://schemas.openxmlformats.org/officeDocument/2006/relationships" ref="N1134" r:id="rId1137"/>
    <hyperlink xmlns:r="http://schemas.openxmlformats.org/officeDocument/2006/relationships" ref="N1135" r:id="rId1138"/>
    <hyperlink xmlns:r="http://schemas.openxmlformats.org/officeDocument/2006/relationships" ref="N1136" r:id="rId1139"/>
    <hyperlink xmlns:r="http://schemas.openxmlformats.org/officeDocument/2006/relationships" ref="N1137" r:id="rId1140"/>
    <hyperlink xmlns:r="http://schemas.openxmlformats.org/officeDocument/2006/relationships" ref="N1138" r:id="rId1141"/>
    <hyperlink xmlns:r="http://schemas.openxmlformats.org/officeDocument/2006/relationships" ref="N1139" r:id="rId1142"/>
    <hyperlink xmlns:r="http://schemas.openxmlformats.org/officeDocument/2006/relationships" ref="N1140" r:id="rId1143"/>
    <hyperlink xmlns:r="http://schemas.openxmlformats.org/officeDocument/2006/relationships" ref="N1141" r:id="rId1144"/>
    <hyperlink xmlns:r="http://schemas.openxmlformats.org/officeDocument/2006/relationships" ref="N1142" r:id="rId1145"/>
    <hyperlink xmlns:r="http://schemas.openxmlformats.org/officeDocument/2006/relationships" ref="N1143" r:id="rId1146"/>
    <hyperlink xmlns:r="http://schemas.openxmlformats.org/officeDocument/2006/relationships" ref="N1144" r:id="rId1147"/>
    <hyperlink xmlns:r="http://schemas.openxmlformats.org/officeDocument/2006/relationships" ref="N1145" r:id="rId1148"/>
    <hyperlink xmlns:r="http://schemas.openxmlformats.org/officeDocument/2006/relationships" ref="N1146" r:id="rId1149"/>
    <hyperlink xmlns:r="http://schemas.openxmlformats.org/officeDocument/2006/relationships" ref="N1147" r:id="rId1150"/>
    <hyperlink xmlns:r="http://schemas.openxmlformats.org/officeDocument/2006/relationships" ref="N1148" r:id="rId1151"/>
    <hyperlink xmlns:r="http://schemas.openxmlformats.org/officeDocument/2006/relationships" ref="N1149" r:id="rId1152"/>
    <hyperlink xmlns:r="http://schemas.openxmlformats.org/officeDocument/2006/relationships" ref="N1150" r:id="rId1153"/>
    <hyperlink xmlns:r="http://schemas.openxmlformats.org/officeDocument/2006/relationships" ref="N1151" r:id="rId1154"/>
    <hyperlink xmlns:r="http://schemas.openxmlformats.org/officeDocument/2006/relationships" ref="N1152" r:id="rId1155"/>
    <hyperlink xmlns:r="http://schemas.openxmlformats.org/officeDocument/2006/relationships" ref="N1153" r:id="rId1156"/>
    <hyperlink xmlns:r="http://schemas.openxmlformats.org/officeDocument/2006/relationships" ref="N1154" r:id="rId1157"/>
    <hyperlink xmlns:r="http://schemas.openxmlformats.org/officeDocument/2006/relationships" ref="N1155" r:id="rId1158"/>
    <hyperlink xmlns:r="http://schemas.openxmlformats.org/officeDocument/2006/relationships" ref="N1156" r:id="rId1159"/>
    <hyperlink xmlns:r="http://schemas.openxmlformats.org/officeDocument/2006/relationships" ref="N1157" r:id="rId1160"/>
    <hyperlink xmlns:r="http://schemas.openxmlformats.org/officeDocument/2006/relationships" ref="N1158" r:id="rId1161"/>
    <hyperlink xmlns:r="http://schemas.openxmlformats.org/officeDocument/2006/relationships" ref="N1159" r:id="rId1162"/>
    <hyperlink xmlns:r="http://schemas.openxmlformats.org/officeDocument/2006/relationships" ref="N1160" r:id="rId1163"/>
    <hyperlink xmlns:r="http://schemas.openxmlformats.org/officeDocument/2006/relationships" ref="N1161" r:id="rId1164"/>
    <hyperlink xmlns:r="http://schemas.openxmlformats.org/officeDocument/2006/relationships" ref="N1162" r:id="rId1165"/>
    <hyperlink xmlns:r="http://schemas.openxmlformats.org/officeDocument/2006/relationships" ref="N1163" r:id="rId1166"/>
    <hyperlink xmlns:r="http://schemas.openxmlformats.org/officeDocument/2006/relationships" ref="N1164" r:id="rId1167"/>
    <hyperlink xmlns:r="http://schemas.openxmlformats.org/officeDocument/2006/relationships" ref="N1165" r:id="rId1168"/>
    <hyperlink xmlns:r="http://schemas.openxmlformats.org/officeDocument/2006/relationships" ref="N1166" r:id="rId1169"/>
    <hyperlink xmlns:r="http://schemas.openxmlformats.org/officeDocument/2006/relationships" ref="N1167" r:id="rId1170"/>
    <hyperlink xmlns:r="http://schemas.openxmlformats.org/officeDocument/2006/relationships" ref="N1168" r:id="rId1171"/>
    <hyperlink xmlns:r="http://schemas.openxmlformats.org/officeDocument/2006/relationships" ref="N1169" r:id="rId1172"/>
    <hyperlink xmlns:r="http://schemas.openxmlformats.org/officeDocument/2006/relationships" ref="N1170" r:id="rId1173"/>
    <hyperlink xmlns:r="http://schemas.openxmlformats.org/officeDocument/2006/relationships" ref="N1171" r:id="rId1174"/>
    <hyperlink xmlns:r="http://schemas.openxmlformats.org/officeDocument/2006/relationships" ref="N1172" r:id="rId1175"/>
    <hyperlink xmlns:r="http://schemas.openxmlformats.org/officeDocument/2006/relationships" ref="N1173" r:id="rId1176"/>
    <hyperlink xmlns:r="http://schemas.openxmlformats.org/officeDocument/2006/relationships" ref="N1174" r:id="rId1177"/>
    <hyperlink xmlns:r="http://schemas.openxmlformats.org/officeDocument/2006/relationships" ref="N1175" r:id="rId1178"/>
    <hyperlink xmlns:r="http://schemas.openxmlformats.org/officeDocument/2006/relationships" ref="N1176" r:id="rId1179"/>
    <hyperlink xmlns:r="http://schemas.openxmlformats.org/officeDocument/2006/relationships" ref="N1177" r:id="rId1180"/>
    <hyperlink xmlns:r="http://schemas.openxmlformats.org/officeDocument/2006/relationships" ref="N1178" r:id="rId1181"/>
    <hyperlink xmlns:r="http://schemas.openxmlformats.org/officeDocument/2006/relationships" ref="N1179" r:id="rId1182"/>
    <hyperlink xmlns:r="http://schemas.openxmlformats.org/officeDocument/2006/relationships" ref="N1180" r:id="rId1183"/>
    <hyperlink xmlns:r="http://schemas.openxmlformats.org/officeDocument/2006/relationships" ref="N1181" r:id="rId1184"/>
    <hyperlink xmlns:r="http://schemas.openxmlformats.org/officeDocument/2006/relationships" ref="N1182" r:id="rId1185"/>
    <hyperlink xmlns:r="http://schemas.openxmlformats.org/officeDocument/2006/relationships" ref="N1183" r:id="rId1186"/>
    <hyperlink xmlns:r="http://schemas.openxmlformats.org/officeDocument/2006/relationships" ref="N1184" r:id="rId1187"/>
    <hyperlink xmlns:r="http://schemas.openxmlformats.org/officeDocument/2006/relationships" ref="N1185" r:id="rId1188"/>
    <hyperlink xmlns:r="http://schemas.openxmlformats.org/officeDocument/2006/relationships" ref="N1186" r:id="rId1189"/>
    <hyperlink xmlns:r="http://schemas.openxmlformats.org/officeDocument/2006/relationships" ref="N1187" r:id="rId1190"/>
    <hyperlink xmlns:r="http://schemas.openxmlformats.org/officeDocument/2006/relationships" ref="N1188" r:id="rId1191"/>
    <hyperlink xmlns:r="http://schemas.openxmlformats.org/officeDocument/2006/relationships" ref="N1189" r:id="rId1192"/>
    <hyperlink xmlns:r="http://schemas.openxmlformats.org/officeDocument/2006/relationships" ref="N1190" r:id="rId1193"/>
    <hyperlink xmlns:r="http://schemas.openxmlformats.org/officeDocument/2006/relationships" ref="N1191" r:id="rId1194"/>
    <hyperlink xmlns:r="http://schemas.openxmlformats.org/officeDocument/2006/relationships" ref="N1192" r:id="rId1195"/>
    <hyperlink xmlns:r="http://schemas.openxmlformats.org/officeDocument/2006/relationships" ref="N1193" r:id="rId1196"/>
    <hyperlink xmlns:r="http://schemas.openxmlformats.org/officeDocument/2006/relationships" ref="N1194" r:id="rId1197"/>
    <hyperlink xmlns:r="http://schemas.openxmlformats.org/officeDocument/2006/relationships" ref="N1195" r:id="rId1198"/>
    <hyperlink xmlns:r="http://schemas.openxmlformats.org/officeDocument/2006/relationships" ref="N1196" r:id="rId1199"/>
    <hyperlink xmlns:r="http://schemas.openxmlformats.org/officeDocument/2006/relationships" ref="N1197" r:id="rId1200"/>
    <hyperlink xmlns:r="http://schemas.openxmlformats.org/officeDocument/2006/relationships" ref="N1198" r:id="rId1201"/>
    <hyperlink xmlns:r="http://schemas.openxmlformats.org/officeDocument/2006/relationships" ref="N1199" r:id="rId1202"/>
    <hyperlink xmlns:r="http://schemas.openxmlformats.org/officeDocument/2006/relationships" ref="N1200" r:id="rId1203"/>
    <hyperlink xmlns:r="http://schemas.openxmlformats.org/officeDocument/2006/relationships" ref="N1201" r:id="rId1204"/>
    <hyperlink xmlns:r="http://schemas.openxmlformats.org/officeDocument/2006/relationships" ref="N1202" r:id="rId1205"/>
    <hyperlink xmlns:r="http://schemas.openxmlformats.org/officeDocument/2006/relationships" ref="N1203" r:id="rId1206"/>
    <hyperlink xmlns:r="http://schemas.openxmlformats.org/officeDocument/2006/relationships" ref="N1204" r:id="rId1207"/>
    <hyperlink xmlns:r="http://schemas.openxmlformats.org/officeDocument/2006/relationships" ref="N1205" r:id="rId1208"/>
    <hyperlink xmlns:r="http://schemas.openxmlformats.org/officeDocument/2006/relationships" ref="N1206" r:id="rId1209"/>
    <hyperlink xmlns:r="http://schemas.openxmlformats.org/officeDocument/2006/relationships" ref="N1207" r:id="rId1210"/>
    <hyperlink xmlns:r="http://schemas.openxmlformats.org/officeDocument/2006/relationships" ref="N1208" r:id="rId1211"/>
    <hyperlink xmlns:r="http://schemas.openxmlformats.org/officeDocument/2006/relationships" ref="N1209" r:id="rId1212"/>
    <hyperlink xmlns:r="http://schemas.openxmlformats.org/officeDocument/2006/relationships" ref="N1210" r:id="rId1213"/>
    <hyperlink xmlns:r="http://schemas.openxmlformats.org/officeDocument/2006/relationships" ref="N1211" r:id="rId1214"/>
    <hyperlink xmlns:r="http://schemas.openxmlformats.org/officeDocument/2006/relationships" ref="N1212" r:id="rId1215"/>
    <hyperlink xmlns:r="http://schemas.openxmlformats.org/officeDocument/2006/relationships" ref="N1213" r:id="rId1216"/>
    <hyperlink xmlns:r="http://schemas.openxmlformats.org/officeDocument/2006/relationships" ref="N1214" r:id="rId1217"/>
    <hyperlink xmlns:r="http://schemas.openxmlformats.org/officeDocument/2006/relationships" ref="N1215" r:id="rId1218"/>
    <hyperlink xmlns:r="http://schemas.openxmlformats.org/officeDocument/2006/relationships" ref="N1216" r:id="rId1219"/>
    <hyperlink xmlns:r="http://schemas.openxmlformats.org/officeDocument/2006/relationships" ref="N1217" r:id="rId1220"/>
    <hyperlink xmlns:r="http://schemas.openxmlformats.org/officeDocument/2006/relationships" ref="N1218" r:id="rId1221"/>
    <hyperlink xmlns:r="http://schemas.openxmlformats.org/officeDocument/2006/relationships" ref="N1219" r:id="rId1222"/>
    <hyperlink xmlns:r="http://schemas.openxmlformats.org/officeDocument/2006/relationships" ref="N1220" r:id="rId1223"/>
    <hyperlink xmlns:r="http://schemas.openxmlformats.org/officeDocument/2006/relationships" ref="N1221" r:id="rId1224"/>
    <hyperlink xmlns:r="http://schemas.openxmlformats.org/officeDocument/2006/relationships" ref="N1222" r:id="rId1225"/>
    <hyperlink xmlns:r="http://schemas.openxmlformats.org/officeDocument/2006/relationships" ref="N1223" r:id="rId1226"/>
    <hyperlink xmlns:r="http://schemas.openxmlformats.org/officeDocument/2006/relationships" ref="N1224" r:id="rId1227"/>
    <hyperlink xmlns:r="http://schemas.openxmlformats.org/officeDocument/2006/relationships" ref="N1225" r:id="rId1228"/>
    <hyperlink xmlns:r="http://schemas.openxmlformats.org/officeDocument/2006/relationships" ref="N1226" r:id="rId1229"/>
    <hyperlink xmlns:r="http://schemas.openxmlformats.org/officeDocument/2006/relationships" ref="N1227" r:id="rId1230"/>
    <hyperlink xmlns:r="http://schemas.openxmlformats.org/officeDocument/2006/relationships" ref="N1228" r:id="rId1231"/>
    <hyperlink xmlns:r="http://schemas.openxmlformats.org/officeDocument/2006/relationships" ref="N1229" r:id="rId1232"/>
    <hyperlink xmlns:r="http://schemas.openxmlformats.org/officeDocument/2006/relationships" ref="N1230" r:id="rId1233"/>
    <hyperlink xmlns:r="http://schemas.openxmlformats.org/officeDocument/2006/relationships" ref="N1231" r:id="rId1234"/>
    <hyperlink xmlns:r="http://schemas.openxmlformats.org/officeDocument/2006/relationships" ref="N1232" r:id="rId1235"/>
    <hyperlink xmlns:r="http://schemas.openxmlformats.org/officeDocument/2006/relationships" ref="N1233" r:id="rId1236"/>
    <hyperlink xmlns:r="http://schemas.openxmlformats.org/officeDocument/2006/relationships" ref="N1234" r:id="rId1237"/>
    <hyperlink xmlns:r="http://schemas.openxmlformats.org/officeDocument/2006/relationships" ref="N1235" r:id="rId1238"/>
    <hyperlink xmlns:r="http://schemas.openxmlformats.org/officeDocument/2006/relationships" ref="N1236" r:id="rId1239"/>
    <hyperlink xmlns:r="http://schemas.openxmlformats.org/officeDocument/2006/relationships" ref="N1237" r:id="rId1240"/>
    <hyperlink xmlns:r="http://schemas.openxmlformats.org/officeDocument/2006/relationships" ref="N1238" r:id="rId1241"/>
    <hyperlink xmlns:r="http://schemas.openxmlformats.org/officeDocument/2006/relationships" ref="N1239" r:id="rId1242"/>
    <hyperlink xmlns:r="http://schemas.openxmlformats.org/officeDocument/2006/relationships" ref="N1240" r:id="rId1243"/>
    <hyperlink xmlns:r="http://schemas.openxmlformats.org/officeDocument/2006/relationships" ref="N1241" r:id="rId1244"/>
    <hyperlink xmlns:r="http://schemas.openxmlformats.org/officeDocument/2006/relationships" ref="N1242" r:id="rId1245"/>
    <hyperlink xmlns:r="http://schemas.openxmlformats.org/officeDocument/2006/relationships" ref="N1243" r:id="rId1246"/>
    <hyperlink xmlns:r="http://schemas.openxmlformats.org/officeDocument/2006/relationships" ref="N1244" r:id="rId1247"/>
    <hyperlink xmlns:r="http://schemas.openxmlformats.org/officeDocument/2006/relationships" ref="N1245" r:id="rId1248"/>
    <hyperlink xmlns:r="http://schemas.openxmlformats.org/officeDocument/2006/relationships" ref="N1246" r:id="rId1249"/>
    <hyperlink xmlns:r="http://schemas.openxmlformats.org/officeDocument/2006/relationships" ref="N1247" r:id="rId1250"/>
    <hyperlink xmlns:r="http://schemas.openxmlformats.org/officeDocument/2006/relationships" ref="N1248" r:id="rId1251"/>
    <hyperlink xmlns:r="http://schemas.openxmlformats.org/officeDocument/2006/relationships" ref="N1249" r:id="rId1252"/>
    <hyperlink xmlns:r="http://schemas.openxmlformats.org/officeDocument/2006/relationships" ref="N1250" r:id="rId1253"/>
    <hyperlink xmlns:r="http://schemas.openxmlformats.org/officeDocument/2006/relationships" ref="N1251" r:id="rId1254"/>
    <hyperlink xmlns:r="http://schemas.openxmlformats.org/officeDocument/2006/relationships" ref="N1252" r:id="rId1255"/>
    <hyperlink xmlns:r="http://schemas.openxmlformats.org/officeDocument/2006/relationships" ref="N1253" r:id="rId1256"/>
    <hyperlink xmlns:r="http://schemas.openxmlformats.org/officeDocument/2006/relationships" ref="N1254" r:id="rId1257"/>
    <hyperlink xmlns:r="http://schemas.openxmlformats.org/officeDocument/2006/relationships" ref="N1255" r:id="rId1258"/>
    <hyperlink xmlns:r="http://schemas.openxmlformats.org/officeDocument/2006/relationships" ref="N1256" r:id="rId1259"/>
    <hyperlink xmlns:r="http://schemas.openxmlformats.org/officeDocument/2006/relationships" ref="N1257" r:id="rId1260"/>
    <hyperlink xmlns:r="http://schemas.openxmlformats.org/officeDocument/2006/relationships" ref="N1258" r:id="rId1261"/>
    <hyperlink xmlns:r="http://schemas.openxmlformats.org/officeDocument/2006/relationships" ref="N1259" r:id="rId1262"/>
    <hyperlink xmlns:r="http://schemas.openxmlformats.org/officeDocument/2006/relationships" ref="N1260" r:id="rId1263"/>
    <hyperlink xmlns:r="http://schemas.openxmlformats.org/officeDocument/2006/relationships" ref="N1261" r:id="rId1264"/>
    <hyperlink xmlns:r="http://schemas.openxmlformats.org/officeDocument/2006/relationships" ref="N1262" r:id="rId1265"/>
    <hyperlink xmlns:r="http://schemas.openxmlformats.org/officeDocument/2006/relationships" ref="N1263" r:id="rId1266"/>
    <hyperlink xmlns:r="http://schemas.openxmlformats.org/officeDocument/2006/relationships" ref="N1264" r:id="rId1267"/>
    <hyperlink xmlns:r="http://schemas.openxmlformats.org/officeDocument/2006/relationships" ref="N1265" r:id="rId1268"/>
    <hyperlink xmlns:r="http://schemas.openxmlformats.org/officeDocument/2006/relationships" ref="N1266" r:id="rId1269"/>
    <hyperlink xmlns:r="http://schemas.openxmlformats.org/officeDocument/2006/relationships" ref="N1267" r:id="rId1270"/>
    <hyperlink xmlns:r="http://schemas.openxmlformats.org/officeDocument/2006/relationships" ref="N1268" r:id="rId1271"/>
    <hyperlink xmlns:r="http://schemas.openxmlformats.org/officeDocument/2006/relationships" ref="N1269" r:id="rId1272"/>
    <hyperlink xmlns:r="http://schemas.openxmlformats.org/officeDocument/2006/relationships" ref="N1270" r:id="rId1273"/>
    <hyperlink xmlns:r="http://schemas.openxmlformats.org/officeDocument/2006/relationships" ref="N1271" r:id="rId1274"/>
    <hyperlink xmlns:r="http://schemas.openxmlformats.org/officeDocument/2006/relationships" ref="N1272" r:id="rId1275"/>
    <hyperlink xmlns:r="http://schemas.openxmlformats.org/officeDocument/2006/relationships" ref="N1273" r:id="rId1276"/>
    <hyperlink xmlns:r="http://schemas.openxmlformats.org/officeDocument/2006/relationships" ref="N1274" r:id="rId1277"/>
    <hyperlink xmlns:r="http://schemas.openxmlformats.org/officeDocument/2006/relationships" ref="N1275" r:id="rId1278"/>
    <hyperlink xmlns:r="http://schemas.openxmlformats.org/officeDocument/2006/relationships" ref="N1276" r:id="rId1279"/>
    <hyperlink xmlns:r="http://schemas.openxmlformats.org/officeDocument/2006/relationships" ref="N1277" r:id="rId1280"/>
    <hyperlink xmlns:r="http://schemas.openxmlformats.org/officeDocument/2006/relationships" ref="N1278" r:id="rId1281"/>
    <hyperlink xmlns:r="http://schemas.openxmlformats.org/officeDocument/2006/relationships" ref="N1279" r:id="rId1282"/>
    <hyperlink xmlns:r="http://schemas.openxmlformats.org/officeDocument/2006/relationships" ref="N1280" r:id="rId1283"/>
    <hyperlink xmlns:r="http://schemas.openxmlformats.org/officeDocument/2006/relationships" ref="N1281" r:id="rId1284"/>
    <hyperlink xmlns:r="http://schemas.openxmlformats.org/officeDocument/2006/relationships" ref="N1282" r:id="rId1285"/>
    <hyperlink xmlns:r="http://schemas.openxmlformats.org/officeDocument/2006/relationships" ref="N1283" r:id="rId1286"/>
    <hyperlink xmlns:r="http://schemas.openxmlformats.org/officeDocument/2006/relationships" ref="N1284" r:id="rId1287"/>
    <hyperlink xmlns:r="http://schemas.openxmlformats.org/officeDocument/2006/relationships" ref="N1285" r:id="rId1288"/>
    <hyperlink xmlns:r="http://schemas.openxmlformats.org/officeDocument/2006/relationships" ref="N1286" r:id="rId1289"/>
    <hyperlink xmlns:r="http://schemas.openxmlformats.org/officeDocument/2006/relationships" ref="N1287" r:id="rId1290"/>
    <hyperlink xmlns:r="http://schemas.openxmlformats.org/officeDocument/2006/relationships" ref="N1288" r:id="rId1291"/>
    <hyperlink xmlns:r="http://schemas.openxmlformats.org/officeDocument/2006/relationships" ref="N1289" r:id="rId1292"/>
    <hyperlink xmlns:r="http://schemas.openxmlformats.org/officeDocument/2006/relationships" ref="N1290" r:id="rId1293"/>
    <hyperlink xmlns:r="http://schemas.openxmlformats.org/officeDocument/2006/relationships" ref="N1291" r:id="rId1294"/>
    <hyperlink xmlns:r="http://schemas.openxmlformats.org/officeDocument/2006/relationships" ref="N1292" r:id="rId1295"/>
    <hyperlink xmlns:r="http://schemas.openxmlformats.org/officeDocument/2006/relationships" ref="N1293" r:id="rId1296"/>
    <hyperlink xmlns:r="http://schemas.openxmlformats.org/officeDocument/2006/relationships" ref="N1294" r:id="rId1297"/>
    <hyperlink xmlns:r="http://schemas.openxmlformats.org/officeDocument/2006/relationships" ref="N1295" r:id="rId1298"/>
    <hyperlink xmlns:r="http://schemas.openxmlformats.org/officeDocument/2006/relationships" ref="N1296" r:id="rId1299"/>
    <hyperlink xmlns:r="http://schemas.openxmlformats.org/officeDocument/2006/relationships" ref="N1297" r:id="rId1300"/>
    <hyperlink xmlns:r="http://schemas.openxmlformats.org/officeDocument/2006/relationships" ref="N1298" r:id="rId1301"/>
    <hyperlink xmlns:r="http://schemas.openxmlformats.org/officeDocument/2006/relationships" ref="N1299" r:id="rId1302"/>
    <hyperlink xmlns:r="http://schemas.openxmlformats.org/officeDocument/2006/relationships" ref="N1300" r:id="rId1303"/>
    <hyperlink xmlns:r="http://schemas.openxmlformats.org/officeDocument/2006/relationships" ref="N1301" r:id="rId1304"/>
    <hyperlink xmlns:r="http://schemas.openxmlformats.org/officeDocument/2006/relationships" ref="N1302" r:id="rId1305"/>
    <hyperlink xmlns:r="http://schemas.openxmlformats.org/officeDocument/2006/relationships" ref="N1303" r:id="rId1306"/>
    <hyperlink xmlns:r="http://schemas.openxmlformats.org/officeDocument/2006/relationships" ref="N1304" r:id="rId1307"/>
    <hyperlink xmlns:r="http://schemas.openxmlformats.org/officeDocument/2006/relationships" ref="N1305" r:id="rId1308"/>
    <hyperlink xmlns:r="http://schemas.openxmlformats.org/officeDocument/2006/relationships" ref="N1306" r:id="rId1309"/>
    <hyperlink xmlns:r="http://schemas.openxmlformats.org/officeDocument/2006/relationships" ref="N1307" r:id="rId1310"/>
    <hyperlink xmlns:r="http://schemas.openxmlformats.org/officeDocument/2006/relationships" ref="N1308" r:id="rId1311"/>
    <hyperlink xmlns:r="http://schemas.openxmlformats.org/officeDocument/2006/relationships" ref="N1309" r:id="rId1312"/>
    <hyperlink xmlns:r="http://schemas.openxmlformats.org/officeDocument/2006/relationships" ref="N1310" r:id="rId1313"/>
    <hyperlink xmlns:r="http://schemas.openxmlformats.org/officeDocument/2006/relationships" ref="N1311" r:id="rId1314"/>
    <hyperlink xmlns:r="http://schemas.openxmlformats.org/officeDocument/2006/relationships" ref="N1312" r:id="rId1315"/>
    <hyperlink xmlns:r="http://schemas.openxmlformats.org/officeDocument/2006/relationships" ref="N1313" r:id="rId1316"/>
    <hyperlink xmlns:r="http://schemas.openxmlformats.org/officeDocument/2006/relationships" ref="N1314" r:id="rId1317"/>
    <hyperlink xmlns:r="http://schemas.openxmlformats.org/officeDocument/2006/relationships" ref="N1315" r:id="rId1318"/>
    <hyperlink xmlns:r="http://schemas.openxmlformats.org/officeDocument/2006/relationships" ref="N1316" r:id="rId1319"/>
    <hyperlink xmlns:r="http://schemas.openxmlformats.org/officeDocument/2006/relationships" ref="N1317" r:id="rId1320"/>
    <hyperlink xmlns:r="http://schemas.openxmlformats.org/officeDocument/2006/relationships" ref="N1318" r:id="rId1321"/>
    <hyperlink xmlns:r="http://schemas.openxmlformats.org/officeDocument/2006/relationships" ref="N1319" r:id="rId1322"/>
    <hyperlink xmlns:r="http://schemas.openxmlformats.org/officeDocument/2006/relationships" ref="N1320" r:id="rId1323"/>
    <hyperlink xmlns:r="http://schemas.openxmlformats.org/officeDocument/2006/relationships" ref="N1321" r:id="rId1324"/>
    <hyperlink xmlns:r="http://schemas.openxmlformats.org/officeDocument/2006/relationships" ref="N1322" r:id="rId1325"/>
    <hyperlink xmlns:r="http://schemas.openxmlformats.org/officeDocument/2006/relationships" ref="N1323" r:id="rId1326"/>
    <hyperlink xmlns:r="http://schemas.openxmlformats.org/officeDocument/2006/relationships" ref="N1324" r:id="rId1327"/>
    <hyperlink xmlns:r="http://schemas.openxmlformats.org/officeDocument/2006/relationships" ref="N1325" r:id="rId1328"/>
    <hyperlink xmlns:r="http://schemas.openxmlformats.org/officeDocument/2006/relationships" ref="N1326" r:id="rId1329"/>
    <hyperlink xmlns:r="http://schemas.openxmlformats.org/officeDocument/2006/relationships" ref="N1327" r:id="rId1330"/>
    <hyperlink xmlns:r="http://schemas.openxmlformats.org/officeDocument/2006/relationships" ref="N1328" r:id="rId1331"/>
    <hyperlink xmlns:r="http://schemas.openxmlformats.org/officeDocument/2006/relationships" ref="N1329" r:id="rId1332"/>
    <hyperlink xmlns:r="http://schemas.openxmlformats.org/officeDocument/2006/relationships" ref="N1330" r:id="rId1333"/>
    <hyperlink xmlns:r="http://schemas.openxmlformats.org/officeDocument/2006/relationships" ref="N1331" r:id="rId1334"/>
    <hyperlink xmlns:r="http://schemas.openxmlformats.org/officeDocument/2006/relationships" ref="N1332" r:id="rId1335"/>
    <hyperlink xmlns:r="http://schemas.openxmlformats.org/officeDocument/2006/relationships" ref="N1333" r:id="rId1336"/>
    <hyperlink xmlns:r="http://schemas.openxmlformats.org/officeDocument/2006/relationships" ref="N1334" r:id="rId1337"/>
    <hyperlink xmlns:r="http://schemas.openxmlformats.org/officeDocument/2006/relationships" ref="N1335" r:id="rId1338"/>
    <hyperlink xmlns:r="http://schemas.openxmlformats.org/officeDocument/2006/relationships" ref="N1336" r:id="rId1339"/>
    <hyperlink xmlns:r="http://schemas.openxmlformats.org/officeDocument/2006/relationships" ref="N1337" r:id="rId1340"/>
    <hyperlink xmlns:r="http://schemas.openxmlformats.org/officeDocument/2006/relationships" ref="N1338" r:id="rId1341"/>
    <hyperlink xmlns:r="http://schemas.openxmlformats.org/officeDocument/2006/relationships" ref="N1339" r:id="rId1342"/>
    <hyperlink xmlns:r="http://schemas.openxmlformats.org/officeDocument/2006/relationships" ref="N1340" r:id="rId1343"/>
    <hyperlink xmlns:r="http://schemas.openxmlformats.org/officeDocument/2006/relationships" ref="N1341" r:id="rId1344"/>
    <hyperlink xmlns:r="http://schemas.openxmlformats.org/officeDocument/2006/relationships" ref="N1342" r:id="rId1345"/>
    <hyperlink xmlns:r="http://schemas.openxmlformats.org/officeDocument/2006/relationships" ref="N1343" r:id="rId1346"/>
    <hyperlink xmlns:r="http://schemas.openxmlformats.org/officeDocument/2006/relationships" ref="N1344" r:id="rId1347"/>
    <hyperlink xmlns:r="http://schemas.openxmlformats.org/officeDocument/2006/relationships" ref="N1345" r:id="rId1348"/>
    <hyperlink xmlns:r="http://schemas.openxmlformats.org/officeDocument/2006/relationships" ref="N1346" r:id="rId1349"/>
    <hyperlink xmlns:r="http://schemas.openxmlformats.org/officeDocument/2006/relationships" ref="N1347" r:id="rId1350"/>
    <hyperlink xmlns:r="http://schemas.openxmlformats.org/officeDocument/2006/relationships" ref="N1348" r:id="rId1351"/>
    <hyperlink xmlns:r="http://schemas.openxmlformats.org/officeDocument/2006/relationships" ref="N1349" r:id="rId1352"/>
    <hyperlink xmlns:r="http://schemas.openxmlformats.org/officeDocument/2006/relationships" ref="N1350" r:id="rId1353"/>
    <hyperlink xmlns:r="http://schemas.openxmlformats.org/officeDocument/2006/relationships" ref="N1351" r:id="rId1354"/>
    <hyperlink xmlns:r="http://schemas.openxmlformats.org/officeDocument/2006/relationships" ref="N1352" r:id="rId1355"/>
    <hyperlink xmlns:r="http://schemas.openxmlformats.org/officeDocument/2006/relationships" ref="N1353" r:id="rId1356"/>
    <hyperlink xmlns:r="http://schemas.openxmlformats.org/officeDocument/2006/relationships" ref="N1354" r:id="rId1357"/>
    <hyperlink xmlns:r="http://schemas.openxmlformats.org/officeDocument/2006/relationships" ref="N1355" r:id="rId1358"/>
    <hyperlink xmlns:r="http://schemas.openxmlformats.org/officeDocument/2006/relationships" ref="N1356" r:id="rId1359"/>
    <hyperlink xmlns:r="http://schemas.openxmlformats.org/officeDocument/2006/relationships" ref="N1357" r:id="rId1360"/>
    <hyperlink xmlns:r="http://schemas.openxmlformats.org/officeDocument/2006/relationships" ref="N1358" r:id="rId1361"/>
    <hyperlink xmlns:r="http://schemas.openxmlformats.org/officeDocument/2006/relationships" ref="N1359" r:id="rId1362"/>
    <hyperlink xmlns:r="http://schemas.openxmlformats.org/officeDocument/2006/relationships" ref="N1360" r:id="rId1363"/>
    <hyperlink xmlns:r="http://schemas.openxmlformats.org/officeDocument/2006/relationships" ref="N1361" r:id="rId1364"/>
    <hyperlink xmlns:r="http://schemas.openxmlformats.org/officeDocument/2006/relationships" ref="N1362" r:id="rId1365"/>
    <hyperlink xmlns:r="http://schemas.openxmlformats.org/officeDocument/2006/relationships" ref="N1363" r:id="rId1366"/>
    <hyperlink xmlns:r="http://schemas.openxmlformats.org/officeDocument/2006/relationships" ref="N1364" r:id="rId1367"/>
    <hyperlink xmlns:r="http://schemas.openxmlformats.org/officeDocument/2006/relationships" ref="N1365" r:id="rId1368"/>
    <hyperlink xmlns:r="http://schemas.openxmlformats.org/officeDocument/2006/relationships" ref="N1366" r:id="rId1369"/>
    <hyperlink xmlns:r="http://schemas.openxmlformats.org/officeDocument/2006/relationships" ref="N1367" r:id="rId1370"/>
    <hyperlink xmlns:r="http://schemas.openxmlformats.org/officeDocument/2006/relationships" ref="N1368" r:id="rId1371"/>
    <hyperlink xmlns:r="http://schemas.openxmlformats.org/officeDocument/2006/relationships" ref="N1369" r:id="rId1372"/>
    <hyperlink xmlns:r="http://schemas.openxmlformats.org/officeDocument/2006/relationships" ref="N1370" r:id="rId1373"/>
    <hyperlink xmlns:r="http://schemas.openxmlformats.org/officeDocument/2006/relationships" ref="N1371" r:id="rId1374"/>
    <hyperlink xmlns:r="http://schemas.openxmlformats.org/officeDocument/2006/relationships" ref="N1372" r:id="rId1375"/>
    <hyperlink xmlns:r="http://schemas.openxmlformats.org/officeDocument/2006/relationships" ref="N1373" r:id="rId1376"/>
    <hyperlink xmlns:r="http://schemas.openxmlformats.org/officeDocument/2006/relationships" ref="N1374" r:id="rId1377"/>
    <hyperlink xmlns:r="http://schemas.openxmlformats.org/officeDocument/2006/relationships" ref="N1375" r:id="rId1378"/>
    <hyperlink xmlns:r="http://schemas.openxmlformats.org/officeDocument/2006/relationships" ref="N1376" r:id="rId1379"/>
    <hyperlink xmlns:r="http://schemas.openxmlformats.org/officeDocument/2006/relationships" ref="N1377" r:id="rId1380"/>
    <hyperlink xmlns:r="http://schemas.openxmlformats.org/officeDocument/2006/relationships" ref="N1378" r:id="rId1381"/>
    <hyperlink xmlns:r="http://schemas.openxmlformats.org/officeDocument/2006/relationships" ref="N1379" r:id="rId1382"/>
    <hyperlink xmlns:r="http://schemas.openxmlformats.org/officeDocument/2006/relationships" ref="N1380" r:id="rId1383"/>
    <hyperlink xmlns:r="http://schemas.openxmlformats.org/officeDocument/2006/relationships" ref="N1381" r:id="rId1384"/>
    <hyperlink xmlns:r="http://schemas.openxmlformats.org/officeDocument/2006/relationships" ref="N1382" r:id="rId1385"/>
    <hyperlink xmlns:r="http://schemas.openxmlformats.org/officeDocument/2006/relationships" ref="N1383" r:id="rId1386"/>
    <hyperlink xmlns:r="http://schemas.openxmlformats.org/officeDocument/2006/relationships" ref="N1384" r:id="rId1387"/>
    <hyperlink xmlns:r="http://schemas.openxmlformats.org/officeDocument/2006/relationships" ref="N1385" r:id="rId1388"/>
    <hyperlink xmlns:r="http://schemas.openxmlformats.org/officeDocument/2006/relationships" ref="N1386" r:id="rId1389"/>
    <hyperlink xmlns:r="http://schemas.openxmlformats.org/officeDocument/2006/relationships" ref="N1387" r:id="rId1390"/>
    <hyperlink xmlns:r="http://schemas.openxmlformats.org/officeDocument/2006/relationships" ref="N1388" r:id="rId1391"/>
    <hyperlink xmlns:r="http://schemas.openxmlformats.org/officeDocument/2006/relationships" ref="N1389" r:id="rId1392"/>
    <hyperlink xmlns:r="http://schemas.openxmlformats.org/officeDocument/2006/relationships" ref="N1390" r:id="rId1393"/>
    <hyperlink xmlns:r="http://schemas.openxmlformats.org/officeDocument/2006/relationships" ref="N1391" r:id="rId1394"/>
    <hyperlink xmlns:r="http://schemas.openxmlformats.org/officeDocument/2006/relationships" ref="N1392" r:id="rId1395"/>
    <hyperlink xmlns:r="http://schemas.openxmlformats.org/officeDocument/2006/relationships" ref="N1393" r:id="rId1396"/>
    <hyperlink xmlns:r="http://schemas.openxmlformats.org/officeDocument/2006/relationships" ref="N1394" r:id="rId1397"/>
    <hyperlink xmlns:r="http://schemas.openxmlformats.org/officeDocument/2006/relationships" ref="N1395" r:id="rId1398"/>
    <hyperlink xmlns:r="http://schemas.openxmlformats.org/officeDocument/2006/relationships" ref="N1396" r:id="rId1399"/>
    <hyperlink xmlns:r="http://schemas.openxmlformats.org/officeDocument/2006/relationships" ref="N1397" r:id="rId1400"/>
    <hyperlink xmlns:r="http://schemas.openxmlformats.org/officeDocument/2006/relationships" ref="N1398" r:id="rId1401"/>
    <hyperlink xmlns:r="http://schemas.openxmlformats.org/officeDocument/2006/relationships" ref="N1399" r:id="rId1402"/>
    <hyperlink xmlns:r="http://schemas.openxmlformats.org/officeDocument/2006/relationships" ref="N1400" r:id="rId1403"/>
    <hyperlink xmlns:r="http://schemas.openxmlformats.org/officeDocument/2006/relationships" ref="N1401" r:id="rId1404"/>
    <hyperlink xmlns:r="http://schemas.openxmlformats.org/officeDocument/2006/relationships" ref="N1402" r:id="rId1405"/>
    <hyperlink xmlns:r="http://schemas.openxmlformats.org/officeDocument/2006/relationships" ref="N1403" r:id="rId1406"/>
    <hyperlink xmlns:r="http://schemas.openxmlformats.org/officeDocument/2006/relationships" ref="N1404" r:id="rId1407"/>
    <hyperlink xmlns:r="http://schemas.openxmlformats.org/officeDocument/2006/relationships" ref="N1405" r:id="rId1408"/>
    <hyperlink xmlns:r="http://schemas.openxmlformats.org/officeDocument/2006/relationships" ref="N1406" r:id="rId1409"/>
    <hyperlink xmlns:r="http://schemas.openxmlformats.org/officeDocument/2006/relationships" ref="N1407" r:id="rId1410"/>
    <hyperlink xmlns:r="http://schemas.openxmlformats.org/officeDocument/2006/relationships" ref="N1408" r:id="rId1411"/>
    <hyperlink xmlns:r="http://schemas.openxmlformats.org/officeDocument/2006/relationships" ref="N1409" r:id="rId1412"/>
    <hyperlink xmlns:r="http://schemas.openxmlformats.org/officeDocument/2006/relationships" ref="N1410" r:id="rId1413"/>
    <hyperlink xmlns:r="http://schemas.openxmlformats.org/officeDocument/2006/relationships" ref="N1411" r:id="rId1414"/>
    <hyperlink xmlns:r="http://schemas.openxmlformats.org/officeDocument/2006/relationships" ref="N1412" r:id="rId1415"/>
    <hyperlink xmlns:r="http://schemas.openxmlformats.org/officeDocument/2006/relationships" ref="N1413" r:id="rId1416"/>
    <hyperlink xmlns:r="http://schemas.openxmlformats.org/officeDocument/2006/relationships" ref="N1414" r:id="rId1417"/>
    <hyperlink xmlns:r="http://schemas.openxmlformats.org/officeDocument/2006/relationships" ref="N1415" r:id="rId1418"/>
    <hyperlink xmlns:r="http://schemas.openxmlformats.org/officeDocument/2006/relationships" ref="N1416" r:id="rId1419"/>
    <hyperlink xmlns:r="http://schemas.openxmlformats.org/officeDocument/2006/relationships" ref="N1417" r:id="rId1420"/>
    <hyperlink xmlns:r="http://schemas.openxmlformats.org/officeDocument/2006/relationships" ref="N1418" r:id="rId1421"/>
    <hyperlink xmlns:r="http://schemas.openxmlformats.org/officeDocument/2006/relationships" ref="N1419" r:id="rId1422"/>
    <hyperlink xmlns:r="http://schemas.openxmlformats.org/officeDocument/2006/relationships" ref="N1420" r:id="rId1423"/>
    <hyperlink xmlns:r="http://schemas.openxmlformats.org/officeDocument/2006/relationships" ref="N1421" r:id="rId1424"/>
    <hyperlink xmlns:r="http://schemas.openxmlformats.org/officeDocument/2006/relationships" ref="N1422" r:id="rId1425"/>
    <hyperlink xmlns:r="http://schemas.openxmlformats.org/officeDocument/2006/relationships" ref="N1423" r:id="rId1426"/>
    <hyperlink xmlns:r="http://schemas.openxmlformats.org/officeDocument/2006/relationships" ref="N1424" r:id="rId1427"/>
    <hyperlink xmlns:r="http://schemas.openxmlformats.org/officeDocument/2006/relationships" ref="N1425" r:id="rId1428"/>
    <hyperlink xmlns:r="http://schemas.openxmlformats.org/officeDocument/2006/relationships" ref="N1426" r:id="rId1429"/>
    <hyperlink xmlns:r="http://schemas.openxmlformats.org/officeDocument/2006/relationships" ref="N1427" r:id="rId1430"/>
    <hyperlink xmlns:r="http://schemas.openxmlformats.org/officeDocument/2006/relationships" ref="N1428" r:id="rId1431"/>
    <hyperlink xmlns:r="http://schemas.openxmlformats.org/officeDocument/2006/relationships" ref="N1429" r:id="rId1432"/>
    <hyperlink xmlns:r="http://schemas.openxmlformats.org/officeDocument/2006/relationships" ref="N1430" r:id="rId1433"/>
    <hyperlink xmlns:r="http://schemas.openxmlformats.org/officeDocument/2006/relationships" ref="N1431" r:id="rId1434"/>
    <hyperlink xmlns:r="http://schemas.openxmlformats.org/officeDocument/2006/relationships" ref="N1432" r:id="rId1435"/>
    <hyperlink xmlns:r="http://schemas.openxmlformats.org/officeDocument/2006/relationships" ref="N1433" r:id="rId1436"/>
    <hyperlink xmlns:r="http://schemas.openxmlformats.org/officeDocument/2006/relationships" ref="N1434" r:id="rId1437"/>
    <hyperlink xmlns:r="http://schemas.openxmlformats.org/officeDocument/2006/relationships" ref="N1435" r:id="rId1438"/>
    <hyperlink xmlns:r="http://schemas.openxmlformats.org/officeDocument/2006/relationships" ref="N1436" r:id="rId1439"/>
    <hyperlink xmlns:r="http://schemas.openxmlformats.org/officeDocument/2006/relationships" ref="N1437" r:id="rId1440"/>
    <hyperlink xmlns:r="http://schemas.openxmlformats.org/officeDocument/2006/relationships" ref="N1438" r:id="rId1441"/>
    <hyperlink xmlns:r="http://schemas.openxmlformats.org/officeDocument/2006/relationships" ref="N1439" r:id="rId1442"/>
    <hyperlink xmlns:r="http://schemas.openxmlformats.org/officeDocument/2006/relationships" ref="N1440" r:id="rId1443"/>
    <hyperlink xmlns:r="http://schemas.openxmlformats.org/officeDocument/2006/relationships" ref="N1441" r:id="rId1444"/>
    <hyperlink xmlns:r="http://schemas.openxmlformats.org/officeDocument/2006/relationships" ref="N1442" r:id="rId1445"/>
    <hyperlink xmlns:r="http://schemas.openxmlformats.org/officeDocument/2006/relationships" ref="N1443" r:id="rId1446"/>
    <hyperlink xmlns:r="http://schemas.openxmlformats.org/officeDocument/2006/relationships" ref="N1444" r:id="rId1447"/>
    <hyperlink xmlns:r="http://schemas.openxmlformats.org/officeDocument/2006/relationships" ref="N1445" r:id="rId1448"/>
    <hyperlink xmlns:r="http://schemas.openxmlformats.org/officeDocument/2006/relationships" ref="N1446" r:id="rId1449"/>
    <hyperlink xmlns:r="http://schemas.openxmlformats.org/officeDocument/2006/relationships" ref="N1447" r:id="rId1450"/>
    <hyperlink xmlns:r="http://schemas.openxmlformats.org/officeDocument/2006/relationships" ref="N1448" r:id="rId1451"/>
    <hyperlink xmlns:r="http://schemas.openxmlformats.org/officeDocument/2006/relationships" ref="N1449" r:id="rId1452"/>
    <hyperlink xmlns:r="http://schemas.openxmlformats.org/officeDocument/2006/relationships" ref="N1450" r:id="rId1453"/>
    <hyperlink xmlns:r="http://schemas.openxmlformats.org/officeDocument/2006/relationships" ref="N1451" r:id="rId1454"/>
    <hyperlink xmlns:r="http://schemas.openxmlformats.org/officeDocument/2006/relationships" ref="N1452" r:id="rId1455"/>
    <hyperlink xmlns:r="http://schemas.openxmlformats.org/officeDocument/2006/relationships" ref="N1453" r:id="rId1456"/>
    <hyperlink xmlns:r="http://schemas.openxmlformats.org/officeDocument/2006/relationships" ref="N1454" r:id="rId1457"/>
    <hyperlink xmlns:r="http://schemas.openxmlformats.org/officeDocument/2006/relationships" ref="N1455" r:id="rId1458"/>
    <hyperlink xmlns:r="http://schemas.openxmlformats.org/officeDocument/2006/relationships" ref="N1456" r:id="rId1459"/>
    <hyperlink xmlns:r="http://schemas.openxmlformats.org/officeDocument/2006/relationships" ref="N1457" r:id="rId1460"/>
    <hyperlink xmlns:r="http://schemas.openxmlformats.org/officeDocument/2006/relationships" ref="N1458" r:id="rId1461"/>
    <hyperlink xmlns:r="http://schemas.openxmlformats.org/officeDocument/2006/relationships" ref="N1459" r:id="rId1462"/>
    <hyperlink xmlns:r="http://schemas.openxmlformats.org/officeDocument/2006/relationships" ref="N1460" r:id="rId1463"/>
    <hyperlink xmlns:r="http://schemas.openxmlformats.org/officeDocument/2006/relationships" ref="N1461" r:id="rId1464"/>
    <hyperlink xmlns:r="http://schemas.openxmlformats.org/officeDocument/2006/relationships" ref="N1462" r:id="rId1465"/>
    <hyperlink xmlns:r="http://schemas.openxmlformats.org/officeDocument/2006/relationships" ref="N1463" r:id="rId1466"/>
    <hyperlink xmlns:r="http://schemas.openxmlformats.org/officeDocument/2006/relationships" ref="N1464" r:id="rId1467"/>
    <hyperlink xmlns:r="http://schemas.openxmlformats.org/officeDocument/2006/relationships" ref="N1465" r:id="rId1468"/>
    <hyperlink xmlns:r="http://schemas.openxmlformats.org/officeDocument/2006/relationships" ref="N1466" r:id="rId1469"/>
    <hyperlink xmlns:r="http://schemas.openxmlformats.org/officeDocument/2006/relationships" ref="N1467" r:id="rId1470"/>
    <hyperlink xmlns:r="http://schemas.openxmlformats.org/officeDocument/2006/relationships" ref="N1468" r:id="rId1471"/>
    <hyperlink xmlns:r="http://schemas.openxmlformats.org/officeDocument/2006/relationships" ref="N1469" r:id="rId1472"/>
    <hyperlink xmlns:r="http://schemas.openxmlformats.org/officeDocument/2006/relationships" ref="N1470" r:id="rId1473"/>
    <hyperlink xmlns:r="http://schemas.openxmlformats.org/officeDocument/2006/relationships" ref="N1471" r:id="rId1474"/>
    <hyperlink xmlns:r="http://schemas.openxmlformats.org/officeDocument/2006/relationships" ref="N1472" r:id="rId1475"/>
    <hyperlink xmlns:r="http://schemas.openxmlformats.org/officeDocument/2006/relationships" ref="N1473" r:id="rId1476"/>
    <hyperlink xmlns:r="http://schemas.openxmlformats.org/officeDocument/2006/relationships" ref="N1474" r:id="rId1477"/>
    <hyperlink xmlns:r="http://schemas.openxmlformats.org/officeDocument/2006/relationships" ref="N1475" r:id="rId1478"/>
    <hyperlink xmlns:r="http://schemas.openxmlformats.org/officeDocument/2006/relationships" ref="N1476" r:id="rId1479"/>
    <hyperlink xmlns:r="http://schemas.openxmlformats.org/officeDocument/2006/relationships" ref="N1477" r:id="rId1480"/>
    <hyperlink xmlns:r="http://schemas.openxmlformats.org/officeDocument/2006/relationships" ref="N1478" r:id="rId1481"/>
    <hyperlink xmlns:r="http://schemas.openxmlformats.org/officeDocument/2006/relationships" ref="N1479" r:id="rId1482"/>
    <hyperlink xmlns:r="http://schemas.openxmlformats.org/officeDocument/2006/relationships" ref="N1480" r:id="rId1483"/>
    <hyperlink xmlns:r="http://schemas.openxmlformats.org/officeDocument/2006/relationships" ref="N1481" r:id="rId1484"/>
    <hyperlink xmlns:r="http://schemas.openxmlformats.org/officeDocument/2006/relationships" ref="N1482" r:id="rId1485"/>
    <hyperlink xmlns:r="http://schemas.openxmlformats.org/officeDocument/2006/relationships" ref="N1483" r:id="rId1486"/>
    <hyperlink xmlns:r="http://schemas.openxmlformats.org/officeDocument/2006/relationships" ref="N1484" r:id="rId1487"/>
    <hyperlink xmlns:r="http://schemas.openxmlformats.org/officeDocument/2006/relationships" ref="N1485" r:id="rId1488"/>
    <hyperlink xmlns:r="http://schemas.openxmlformats.org/officeDocument/2006/relationships" ref="N1486" r:id="rId1489"/>
    <hyperlink xmlns:r="http://schemas.openxmlformats.org/officeDocument/2006/relationships" ref="N1487" r:id="rId1490"/>
    <hyperlink xmlns:r="http://schemas.openxmlformats.org/officeDocument/2006/relationships" ref="N1488" r:id="rId1491"/>
    <hyperlink xmlns:r="http://schemas.openxmlformats.org/officeDocument/2006/relationships" ref="N1489" r:id="rId1492"/>
    <hyperlink xmlns:r="http://schemas.openxmlformats.org/officeDocument/2006/relationships" ref="N1490" r:id="rId1493"/>
    <hyperlink xmlns:r="http://schemas.openxmlformats.org/officeDocument/2006/relationships" ref="N1491" r:id="rId1494"/>
    <hyperlink xmlns:r="http://schemas.openxmlformats.org/officeDocument/2006/relationships" ref="N1492" r:id="rId1495"/>
    <hyperlink xmlns:r="http://schemas.openxmlformats.org/officeDocument/2006/relationships" ref="N1493" r:id="rId1496"/>
    <hyperlink xmlns:r="http://schemas.openxmlformats.org/officeDocument/2006/relationships" ref="N1494" r:id="rId1497"/>
    <hyperlink xmlns:r="http://schemas.openxmlformats.org/officeDocument/2006/relationships" ref="N1495" r:id="rId1498"/>
    <hyperlink xmlns:r="http://schemas.openxmlformats.org/officeDocument/2006/relationships" ref="N1496" r:id="rId1499"/>
    <hyperlink xmlns:r="http://schemas.openxmlformats.org/officeDocument/2006/relationships" ref="N1497" r:id="rId1500"/>
    <hyperlink xmlns:r="http://schemas.openxmlformats.org/officeDocument/2006/relationships" ref="N1498" r:id="rId1501"/>
    <hyperlink xmlns:r="http://schemas.openxmlformats.org/officeDocument/2006/relationships" ref="N1499" r:id="rId1502"/>
    <hyperlink xmlns:r="http://schemas.openxmlformats.org/officeDocument/2006/relationships" ref="N1500" r:id="rId1503"/>
    <hyperlink xmlns:r="http://schemas.openxmlformats.org/officeDocument/2006/relationships" ref="N1501" r:id="rId1504"/>
    <hyperlink xmlns:r="http://schemas.openxmlformats.org/officeDocument/2006/relationships" ref="N1502" r:id="rId1505"/>
    <hyperlink xmlns:r="http://schemas.openxmlformats.org/officeDocument/2006/relationships" ref="N1503" r:id="rId1506"/>
    <hyperlink xmlns:r="http://schemas.openxmlformats.org/officeDocument/2006/relationships" ref="N1504" r:id="rId1507"/>
    <hyperlink xmlns:r="http://schemas.openxmlformats.org/officeDocument/2006/relationships" ref="N1505" r:id="rId1508"/>
    <hyperlink xmlns:r="http://schemas.openxmlformats.org/officeDocument/2006/relationships" ref="N1506" r:id="rId1509"/>
    <hyperlink xmlns:r="http://schemas.openxmlformats.org/officeDocument/2006/relationships" ref="N1507" r:id="rId1510"/>
    <hyperlink xmlns:r="http://schemas.openxmlformats.org/officeDocument/2006/relationships" ref="N1508" r:id="rId1511"/>
    <hyperlink xmlns:r="http://schemas.openxmlformats.org/officeDocument/2006/relationships" ref="N1509" r:id="rId1512"/>
    <hyperlink xmlns:r="http://schemas.openxmlformats.org/officeDocument/2006/relationships" ref="N1510" r:id="rId1513"/>
    <hyperlink xmlns:r="http://schemas.openxmlformats.org/officeDocument/2006/relationships" ref="N1511" r:id="rId1514"/>
    <hyperlink xmlns:r="http://schemas.openxmlformats.org/officeDocument/2006/relationships" ref="N1512" r:id="rId1515"/>
    <hyperlink xmlns:r="http://schemas.openxmlformats.org/officeDocument/2006/relationships" ref="N1513" r:id="rId1516"/>
    <hyperlink xmlns:r="http://schemas.openxmlformats.org/officeDocument/2006/relationships" ref="N1514" r:id="rId1517"/>
    <hyperlink xmlns:r="http://schemas.openxmlformats.org/officeDocument/2006/relationships" ref="N1515" r:id="rId1518"/>
    <hyperlink xmlns:r="http://schemas.openxmlformats.org/officeDocument/2006/relationships" ref="N1516" r:id="rId1519"/>
    <hyperlink xmlns:r="http://schemas.openxmlformats.org/officeDocument/2006/relationships" ref="N1517" r:id="rId1520"/>
    <hyperlink xmlns:r="http://schemas.openxmlformats.org/officeDocument/2006/relationships" ref="N1518" r:id="rId1521"/>
    <hyperlink xmlns:r="http://schemas.openxmlformats.org/officeDocument/2006/relationships" ref="N1519" r:id="rId1522"/>
    <hyperlink xmlns:r="http://schemas.openxmlformats.org/officeDocument/2006/relationships" ref="N1520" r:id="rId1523"/>
    <hyperlink xmlns:r="http://schemas.openxmlformats.org/officeDocument/2006/relationships" ref="N1521" r:id="rId1524"/>
    <hyperlink xmlns:r="http://schemas.openxmlformats.org/officeDocument/2006/relationships" ref="N1522" r:id="rId1525"/>
    <hyperlink xmlns:r="http://schemas.openxmlformats.org/officeDocument/2006/relationships" ref="N1523" r:id="rId1526"/>
    <hyperlink xmlns:r="http://schemas.openxmlformats.org/officeDocument/2006/relationships" ref="N1524" r:id="rId1527"/>
    <hyperlink xmlns:r="http://schemas.openxmlformats.org/officeDocument/2006/relationships" ref="N1525" r:id="rId1528"/>
    <hyperlink xmlns:r="http://schemas.openxmlformats.org/officeDocument/2006/relationships" ref="N1526" r:id="rId1529"/>
    <hyperlink xmlns:r="http://schemas.openxmlformats.org/officeDocument/2006/relationships" ref="N1527" r:id="rId1530"/>
    <hyperlink xmlns:r="http://schemas.openxmlformats.org/officeDocument/2006/relationships" ref="N1528" r:id="rId1531"/>
    <hyperlink xmlns:r="http://schemas.openxmlformats.org/officeDocument/2006/relationships" ref="N1529" r:id="rId1532"/>
    <hyperlink xmlns:r="http://schemas.openxmlformats.org/officeDocument/2006/relationships" ref="N1530" r:id="rId1533"/>
    <hyperlink xmlns:r="http://schemas.openxmlformats.org/officeDocument/2006/relationships" ref="N1531" r:id="rId1534"/>
    <hyperlink xmlns:r="http://schemas.openxmlformats.org/officeDocument/2006/relationships" ref="N1532" r:id="rId1535"/>
    <hyperlink xmlns:r="http://schemas.openxmlformats.org/officeDocument/2006/relationships" ref="N1533" r:id="rId1536"/>
    <hyperlink xmlns:r="http://schemas.openxmlformats.org/officeDocument/2006/relationships" ref="N1534" r:id="rId1537"/>
    <hyperlink xmlns:r="http://schemas.openxmlformats.org/officeDocument/2006/relationships" ref="N1535" r:id="rId1538"/>
    <hyperlink xmlns:r="http://schemas.openxmlformats.org/officeDocument/2006/relationships" ref="N1536" r:id="rId1539"/>
    <hyperlink xmlns:r="http://schemas.openxmlformats.org/officeDocument/2006/relationships" ref="N1537" r:id="rId1540"/>
    <hyperlink xmlns:r="http://schemas.openxmlformats.org/officeDocument/2006/relationships" ref="N1538" r:id="rId1541"/>
    <hyperlink xmlns:r="http://schemas.openxmlformats.org/officeDocument/2006/relationships" ref="N1539" r:id="rId1542"/>
    <hyperlink xmlns:r="http://schemas.openxmlformats.org/officeDocument/2006/relationships" ref="N1540" r:id="rId1543"/>
    <hyperlink xmlns:r="http://schemas.openxmlformats.org/officeDocument/2006/relationships" ref="N1541" r:id="rId1544"/>
    <hyperlink xmlns:r="http://schemas.openxmlformats.org/officeDocument/2006/relationships" ref="N1542" r:id="rId1545"/>
    <hyperlink xmlns:r="http://schemas.openxmlformats.org/officeDocument/2006/relationships" ref="N1543" r:id="rId1546"/>
    <hyperlink xmlns:r="http://schemas.openxmlformats.org/officeDocument/2006/relationships" ref="N1544" r:id="rId1547"/>
    <hyperlink xmlns:r="http://schemas.openxmlformats.org/officeDocument/2006/relationships" ref="N1545" r:id="rId1548"/>
    <hyperlink xmlns:r="http://schemas.openxmlformats.org/officeDocument/2006/relationships" ref="N1546" r:id="rId1549"/>
    <hyperlink xmlns:r="http://schemas.openxmlformats.org/officeDocument/2006/relationships" ref="N1547" r:id="rId1550"/>
    <hyperlink xmlns:r="http://schemas.openxmlformats.org/officeDocument/2006/relationships" ref="N1548" r:id="rId1551"/>
    <hyperlink xmlns:r="http://schemas.openxmlformats.org/officeDocument/2006/relationships" ref="N1549" r:id="rId1552"/>
    <hyperlink xmlns:r="http://schemas.openxmlformats.org/officeDocument/2006/relationships" ref="N1550" r:id="rId1553"/>
    <hyperlink xmlns:r="http://schemas.openxmlformats.org/officeDocument/2006/relationships" ref="N1551" r:id="rId1554"/>
    <hyperlink xmlns:r="http://schemas.openxmlformats.org/officeDocument/2006/relationships" ref="N1552" r:id="rId1555"/>
    <hyperlink xmlns:r="http://schemas.openxmlformats.org/officeDocument/2006/relationships" ref="N1553" r:id="rId1556"/>
    <hyperlink xmlns:r="http://schemas.openxmlformats.org/officeDocument/2006/relationships" ref="N1554" r:id="rId1557"/>
    <hyperlink xmlns:r="http://schemas.openxmlformats.org/officeDocument/2006/relationships" ref="N1555" r:id="rId1558"/>
    <hyperlink xmlns:r="http://schemas.openxmlformats.org/officeDocument/2006/relationships" ref="N1556" r:id="rId1559"/>
    <hyperlink xmlns:r="http://schemas.openxmlformats.org/officeDocument/2006/relationships" ref="N1557" r:id="rId1560"/>
    <hyperlink xmlns:r="http://schemas.openxmlformats.org/officeDocument/2006/relationships" ref="N1558" r:id="rId1561"/>
    <hyperlink xmlns:r="http://schemas.openxmlformats.org/officeDocument/2006/relationships" ref="N1559" r:id="rId1562"/>
    <hyperlink xmlns:r="http://schemas.openxmlformats.org/officeDocument/2006/relationships" ref="N1560" r:id="rId1563"/>
    <hyperlink xmlns:r="http://schemas.openxmlformats.org/officeDocument/2006/relationships" ref="N1561" r:id="rId1564"/>
    <hyperlink xmlns:r="http://schemas.openxmlformats.org/officeDocument/2006/relationships" ref="N1562" r:id="rId1565"/>
    <hyperlink xmlns:r="http://schemas.openxmlformats.org/officeDocument/2006/relationships" ref="N1563" r:id="rId1566"/>
    <hyperlink xmlns:r="http://schemas.openxmlformats.org/officeDocument/2006/relationships" ref="N1564" r:id="rId1567"/>
    <hyperlink xmlns:r="http://schemas.openxmlformats.org/officeDocument/2006/relationships" ref="N1565" r:id="rId1568"/>
    <hyperlink xmlns:r="http://schemas.openxmlformats.org/officeDocument/2006/relationships" ref="N1566" r:id="rId1569"/>
    <hyperlink xmlns:r="http://schemas.openxmlformats.org/officeDocument/2006/relationships" ref="N1567" r:id="rId1570"/>
    <hyperlink xmlns:r="http://schemas.openxmlformats.org/officeDocument/2006/relationships" ref="N1568" r:id="rId1571"/>
    <hyperlink xmlns:r="http://schemas.openxmlformats.org/officeDocument/2006/relationships" ref="N1569" r:id="rId1572"/>
    <hyperlink xmlns:r="http://schemas.openxmlformats.org/officeDocument/2006/relationships" ref="N1570" r:id="rId1573"/>
    <hyperlink xmlns:r="http://schemas.openxmlformats.org/officeDocument/2006/relationships" ref="N1571" r:id="rId1574"/>
    <hyperlink xmlns:r="http://schemas.openxmlformats.org/officeDocument/2006/relationships" ref="N1572" r:id="rId1575"/>
    <hyperlink xmlns:r="http://schemas.openxmlformats.org/officeDocument/2006/relationships" ref="N1573" r:id="rId1576"/>
    <hyperlink xmlns:r="http://schemas.openxmlformats.org/officeDocument/2006/relationships" ref="N1574" r:id="rId1577"/>
    <hyperlink xmlns:r="http://schemas.openxmlformats.org/officeDocument/2006/relationships" ref="N1575" r:id="rId1578"/>
    <hyperlink xmlns:r="http://schemas.openxmlformats.org/officeDocument/2006/relationships" ref="N1576" r:id="rId1579"/>
    <hyperlink xmlns:r="http://schemas.openxmlformats.org/officeDocument/2006/relationships" ref="N1577" r:id="rId1580"/>
    <hyperlink xmlns:r="http://schemas.openxmlformats.org/officeDocument/2006/relationships" ref="N1578" r:id="rId1581"/>
    <hyperlink xmlns:r="http://schemas.openxmlformats.org/officeDocument/2006/relationships" ref="N1579" r:id="rId1582"/>
    <hyperlink xmlns:r="http://schemas.openxmlformats.org/officeDocument/2006/relationships" ref="N1580" r:id="rId1583"/>
    <hyperlink xmlns:r="http://schemas.openxmlformats.org/officeDocument/2006/relationships" ref="N1581" r:id="rId1584"/>
    <hyperlink xmlns:r="http://schemas.openxmlformats.org/officeDocument/2006/relationships" ref="N1582" r:id="rId1585"/>
    <hyperlink xmlns:r="http://schemas.openxmlformats.org/officeDocument/2006/relationships" ref="N1583" r:id="rId1586"/>
    <hyperlink xmlns:r="http://schemas.openxmlformats.org/officeDocument/2006/relationships" ref="N1584" r:id="rId1587"/>
    <hyperlink xmlns:r="http://schemas.openxmlformats.org/officeDocument/2006/relationships" ref="N1585" r:id="rId1588"/>
    <hyperlink xmlns:r="http://schemas.openxmlformats.org/officeDocument/2006/relationships" ref="N1586" r:id="rId1589"/>
    <hyperlink xmlns:r="http://schemas.openxmlformats.org/officeDocument/2006/relationships" ref="N1587" r:id="rId1590"/>
    <hyperlink xmlns:r="http://schemas.openxmlformats.org/officeDocument/2006/relationships" ref="N1588" r:id="rId1591"/>
    <hyperlink xmlns:r="http://schemas.openxmlformats.org/officeDocument/2006/relationships" ref="N1589" r:id="rId1592"/>
    <hyperlink xmlns:r="http://schemas.openxmlformats.org/officeDocument/2006/relationships" ref="N1590" r:id="rId1593"/>
    <hyperlink xmlns:r="http://schemas.openxmlformats.org/officeDocument/2006/relationships" ref="N1591" r:id="rId1594"/>
    <hyperlink xmlns:r="http://schemas.openxmlformats.org/officeDocument/2006/relationships" ref="N1592" r:id="rId1595"/>
    <hyperlink xmlns:r="http://schemas.openxmlformats.org/officeDocument/2006/relationships" ref="N1593" r:id="rId1596"/>
    <hyperlink xmlns:r="http://schemas.openxmlformats.org/officeDocument/2006/relationships" ref="N1594" r:id="rId1597"/>
    <hyperlink xmlns:r="http://schemas.openxmlformats.org/officeDocument/2006/relationships" ref="N1595" r:id="rId1598"/>
    <hyperlink xmlns:r="http://schemas.openxmlformats.org/officeDocument/2006/relationships" ref="N1596" r:id="rId1599"/>
    <hyperlink xmlns:r="http://schemas.openxmlformats.org/officeDocument/2006/relationships" ref="N1597" r:id="rId1600"/>
    <hyperlink xmlns:r="http://schemas.openxmlformats.org/officeDocument/2006/relationships" ref="N1598" r:id="rId1601"/>
    <hyperlink xmlns:r="http://schemas.openxmlformats.org/officeDocument/2006/relationships" ref="N1599" r:id="rId1602"/>
    <hyperlink xmlns:r="http://schemas.openxmlformats.org/officeDocument/2006/relationships" ref="N1600" r:id="rId1603"/>
    <hyperlink xmlns:r="http://schemas.openxmlformats.org/officeDocument/2006/relationships" ref="N1601" r:id="rId1604"/>
    <hyperlink xmlns:r="http://schemas.openxmlformats.org/officeDocument/2006/relationships" ref="N1602" r:id="rId1605"/>
    <hyperlink xmlns:r="http://schemas.openxmlformats.org/officeDocument/2006/relationships" ref="N1603" r:id="rId1606"/>
    <hyperlink xmlns:r="http://schemas.openxmlformats.org/officeDocument/2006/relationships" ref="N1604" r:id="rId1607"/>
    <hyperlink xmlns:r="http://schemas.openxmlformats.org/officeDocument/2006/relationships" ref="N1605" r:id="rId1608"/>
    <hyperlink xmlns:r="http://schemas.openxmlformats.org/officeDocument/2006/relationships" ref="N1606" r:id="rId1609"/>
    <hyperlink xmlns:r="http://schemas.openxmlformats.org/officeDocument/2006/relationships" ref="N1607" r:id="rId1610"/>
    <hyperlink xmlns:r="http://schemas.openxmlformats.org/officeDocument/2006/relationships" ref="N1608" r:id="rId1611"/>
    <hyperlink xmlns:r="http://schemas.openxmlformats.org/officeDocument/2006/relationships" ref="N1609" r:id="rId1612"/>
    <hyperlink xmlns:r="http://schemas.openxmlformats.org/officeDocument/2006/relationships" ref="N1610" r:id="rId1613"/>
    <hyperlink xmlns:r="http://schemas.openxmlformats.org/officeDocument/2006/relationships" ref="N1611" r:id="rId1614"/>
    <hyperlink xmlns:r="http://schemas.openxmlformats.org/officeDocument/2006/relationships" ref="N1612" r:id="rId1615"/>
    <hyperlink xmlns:r="http://schemas.openxmlformats.org/officeDocument/2006/relationships" ref="N1613" r:id="rId1616"/>
    <hyperlink xmlns:r="http://schemas.openxmlformats.org/officeDocument/2006/relationships" ref="N1614" r:id="rId1617"/>
    <hyperlink xmlns:r="http://schemas.openxmlformats.org/officeDocument/2006/relationships" ref="N1615" r:id="rId1618"/>
    <hyperlink xmlns:r="http://schemas.openxmlformats.org/officeDocument/2006/relationships" ref="N1616" r:id="rId1619"/>
    <hyperlink xmlns:r="http://schemas.openxmlformats.org/officeDocument/2006/relationships" ref="N1617" r:id="rId1620"/>
    <hyperlink xmlns:r="http://schemas.openxmlformats.org/officeDocument/2006/relationships" ref="N1618" r:id="rId1621"/>
    <hyperlink xmlns:r="http://schemas.openxmlformats.org/officeDocument/2006/relationships" ref="N1619" r:id="rId1622"/>
    <hyperlink xmlns:r="http://schemas.openxmlformats.org/officeDocument/2006/relationships" ref="N1620" r:id="rId1623"/>
    <hyperlink xmlns:r="http://schemas.openxmlformats.org/officeDocument/2006/relationships" ref="N1621" r:id="rId1624"/>
    <hyperlink xmlns:r="http://schemas.openxmlformats.org/officeDocument/2006/relationships" ref="N1622" r:id="rId1625"/>
    <hyperlink xmlns:r="http://schemas.openxmlformats.org/officeDocument/2006/relationships" ref="N1623" r:id="rId1626"/>
    <hyperlink xmlns:r="http://schemas.openxmlformats.org/officeDocument/2006/relationships" ref="N1624" r:id="rId1627"/>
    <hyperlink xmlns:r="http://schemas.openxmlformats.org/officeDocument/2006/relationships" ref="N1625" r:id="rId1628"/>
    <hyperlink xmlns:r="http://schemas.openxmlformats.org/officeDocument/2006/relationships" ref="N1626" r:id="rId1629"/>
    <hyperlink xmlns:r="http://schemas.openxmlformats.org/officeDocument/2006/relationships" ref="N1627" r:id="rId1630"/>
    <hyperlink xmlns:r="http://schemas.openxmlformats.org/officeDocument/2006/relationships" ref="N1628" r:id="rId1631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43553"/>
    <outlinePr summaryBelow="0" summaryRight="0"/>
    <pageSetUpPr fitToPage="1"/>
  </sheetPr>
  <dimension ref="A1:K85"/>
  <sheetViews>
    <sheetView showGridLines="0" tabSelected="0" topLeftCell="A1" zoomScale="100" zoomScaleNormal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21" customWidth="1" min="4" max="4"/>
    <col width="21" customWidth="1" min="5" max="5"/>
    <col width="22" customWidth="1" min="6" max="6"/>
    <col width="18" customWidth="1" min="7" max="7"/>
    <col width="17" customWidth="1" min="8" max="8"/>
    <col width="12" customWidth="1" min="9" max="9"/>
    <col width="46" customWidth="1" min="10" max="10"/>
    <col width="18" customWidth="1" min="11" max="11"/>
  </cols>
  <sheetData>
    <row r="1" ht="86" customHeight="1">
      <c r="A1" s="88" t="inlineStr">
        <is>
          <t>WBS EXPLORER</t>
        </is>
      </c>
    </row>
    <row r="2" ht="184" customHeight="1">
      <c r="A2" s="89" t="inlineStr">
        <is>
          <t>The approved WBS as integration spine, with governed relationship populations beneath it.</t>
        </is>
      </c>
    </row>
    <row r="3" ht="34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4" ht="154" customHeight="1">
      <c r="A4" s="87" t="inlineStr">
        <is>
          <t>Governed relationship coverage/status → advanced approved scope / relationship-row view</t>
        </is>
      </c>
    </row>
    <row r="5" ht="34" customHeight="1">
      <c r="A5" s="91" t="inlineStr">
        <is>
          <t>WBS</t>
        </is>
      </c>
      <c r="B5" s="91" t="inlineStr">
        <is>
          <t>Element</t>
        </is>
      </c>
      <c r="C5" s="91" t="inlineStr">
        <is>
          <t>Level</t>
        </is>
      </c>
      <c r="D5" s="91" t="inlineStr">
        <is>
          <t>Schedule</t>
        </is>
      </c>
      <c r="E5" s="91" t="inlineStr">
        <is>
          <t>Cost / forecast</t>
        </is>
      </c>
      <c r="F5" s="91" t="inlineStr">
        <is>
          <t>Package / contract</t>
        </is>
      </c>
      <c r="G5" s="91" t="inlineStr">
        <is>
          <t>Other</t>
        </is>
      </c>
      <c r="H5" s="91" t="inlineStr">
        <is>
          <t>Open / unresolved</t>
        </is>
      </c>
      <c r="I5" s="91" t="inlineStr">
        <is>
          <t>Changed</t>
        </is>
      </c>
      <c r="J5" s="91" t="inlineStr">
        <is>
          <t>Integration condition</t>
        </is>
      </c>
      <c r="K5" s="91" t="inlineStr">
        <is>
          <t>Crosswalk</t>
        </is>
      </c>
    </row>
    <row r="6" ht="64" customHeight="1">
      <c r="A6" s="53" t="inlineStr"/>
      <c r="B6" s="102" t="inlineStr">
        <is>
          <t>HarbourLink Urban Transit Expansion</t>
        </is>
      </c>
      <c r="C6" s="66" t="n">
        <v>0</v>
      </c>
      <c r="D6" s="102" t="inlineStr">
        <is>
          <t>898 governed relationships</t>
        </is>
      </c>
      <c r="E6" s="102" t="inlineStr">
        <is>
          <t>399 governed relationships</t>
        </is>
      </c>
      <c r="F6" s="102" t="inlineStr">
        <is>
          <t>60 governed relationships</t>
        </is>
      </c>
      <c r="G6" s="102" t="inlineStr">
        <is>
          <t>0 governed relationships</t>
        </is>
      </c>
      <c r="H6" s="66" t="n">
        <v>0</v>
      </c>
      <c r="I6" s="66" t="n">
        <v>1357</v>
      </c>
      <c r="J6" s="102" t="inlineStr">
        <is>
          <t>Aligned: Schedule and cost both relate through this WBS branch. 60 package/contract relationships also project through this branch.</t>
        </is>
      </c>
      <c r="K6" s="92" t="inlineStr">
        <is>
          <t>08 CROSSWALK</t>
        </is>
      </c>
    </row>
    <row r="7" ht="64" customHeight="1">
      <c r="A7" s="102" t="inlineStr">
        <is>
          <t>1</t>
        </is>
      </c>
      <c r="B7" s="103" t="inlineStr">
        <is>
          <t>HarbourLink Urban Transit Expansion</t>
        </is>
      </c>
      <c r="C7" s="66" t="n">
        <v>1</v>
      </c>
      <c r="D7" s="102" t="inlineStr">
        <is>
          <t>898 governed relationships</t>
        </is>
      </c>
      <c r="E7" s="102" t="inlineStr">
        <is>
          <t>399 governed relationships</t>
        </is>
      </c>
      <c r="F7" s="102" t="inlineStr">
        <is>
          <t>60 governed relationships</t>
        </is>
      </c>
      <c r="G7" s="102" t="inlineStr">
        <is>
          <t>0 governed relationships</t>
        </is>
      </c>
      <c r="H7" s="66" t="n">
        <v>0</v>
      </c>
      <c r="I7" s="66" t="n">
        <v>1357</v>
      </c>
      <c r="J7" s="102" t="inlineStr">
        <is>
          <t>Aligned: Schedule and cost both relate through this WBS branch. 60 package/contract relationships also project through this branch.</t>
        </is>
      </c>
      <c r="K7" s="92" t="inlineStr">
        <is>
          <t>08 CROSSWALK</t>
        </is>
      </c>
    </row>
    <row r="8" ht="64" customHeight="1">
      <c r="A8" s="34" t="inlineStr">
        <is>
          <t>1.1</t>
        </is>
      </c>
      <c r="B8" s="104" t="inlineStr">
        <is>
          <t>Guideway and Civil</t>
        </is>
      </c>
      <c r="C8" s="95" t="n">
        <v>2</v>
      </c>
      <c r="D8" s="34" t="inlineStr">
        <is>
          <t>180 governed relationships</t>
        </is>
      </c>
      <c r="E8" s="34" t="inlineStr">
        <is>
          <t>80 governed relationships</t>
        </is>
      </c>
      <c r="F8" s="34" t="inlineStr">
        <is>
          <t>10 governed relationships</t>
        </is>
      </c>
      <c r="G8" s="34" t="inlineStr">
        <is>
          <t>0 governed relationships</t>
        </is>
      </c>
      <c r="H8" s="95" t="n">
        <v>0</v>
      </c>
      <c r="I8" s="95" t="n">
        <v>270</v>
      </c>
      <c r="J8" s="34" t="inlineStr">
        <is>
          <t>Aligned: Schedule and cost both relate through this WBS branch. 10 package/contract relationships also project through this branch.</t>
        </is>
      </c>
      <c r="K8" s="92" t="inlineStr">
        <is>
          <t>08 CROSSWALK</t>
        </is>
      </c>
    </row>
    <row r="9" ht="34" customHeight="1">
      <c r="A9" s="34" t="inlineStr">
        <is>
          <t>1.1.1</t>
        </is>
      </c>
      <c r="B9" s="105" t="inlineStr">
        <is>
          <t>Guideway and Civil - Guideway Structures</t>
        </is>
      </c>
      <c r="C9" s="95" t="n">
        <v>3</v>
      </c>
      <c r="D9" s="34" t="inlineStr">
        <is>
          <t>120 governed relationships</t>
        </is>
      </c>
      <c r="E9" s="34" t="inlineStr">
        <is>
          <t>40 governed relationships</t>
        </is>
      </c>
      <c r="F9" s="34" t="inlineStr">
        <is>
          <t>0 governed relationships</t>
        </is>
      </c>
      <c r="G9" s="34" t="inlineStr">
        <is>
          <t>0 governed relationships</t>
        </is>
      </c>
      <c r="H9" s="95" t="n">
        <v>0</v>
      </c>
      <c r="I9" s="95" t="n">
        <v>160</v>
      </c>
      <c r="J9" s="34" t="inlineStr">
        <is>
          <t>Aligned: Schedule and cost both relate through this WBS branch.</t>
        </is>
      </c>
      <c r="K9" s="92" t="inlineStr">
        <is>
          <t>08 CROSSWALK</t>
        </is>
      </c>
    </row>
    <row r="10" ht="34" customHeight="1">
      <c r="A10" s="34" t="inlineStr">
        <is>
          <t>1.1.1.1</t>
        </is>
      </c>
      <c r="B10" s="106" t="inlineStr">
        <is>
          <t>Guideway Structures - East Segment</t>
        </is>
      </c>
      <c r="C10" s="95" t="n">
        <v>4</v>
      </c>
      <c r="D10" s="34" t="inlineStr">
        <is>
          <t>0 governed relationships</t>
        </is>
      </c>
      <c r="E10" s="34" t="inlineStr">
        <is>
          <t>0 governed relationships</t>
        </is>
      </c>
      <c r="F10" s="34" t="inlineStr">
        <is>
          <t>0 governed relationships</t>
        </is>
      </c>
      <c r="G10" s="34" t="inlineStr">
        <is>
          <t>0 governed relationships</t>
        </is>
      </c>
      <c r="H10" s="95" t="n">
        <v>0</v>
      </c>
      <c r="I10" s="95" t="n">
        <v>0</v>
      </c>
      <c r="J10" s="34" t="inlineStr">
        <is>
          <t>Partial: No governed schedule or cost relationships in this WBS branch.</t>
        </is>
      </c>
      <c r="K10" s="92" t="inlineStr">
        <is>
          <t>08 CROSSWALK</t>
        </is>
      </c>
    </row>
    <row r="11" ht="34" customHeight="1">
      <c r="A11" s="34" t="inlineStr">
        <is>
          <t>1.1.1.2</t>
        </is>
      </c>
      <c r="B11" s="106" t="inlineStr">
        <is>
          <t>Guideway Structures - West Segment</t>
        </is>
      </c>
      <c r="C11" s="95" t="n">
        <v>4</v>
      </c>
      <c r="D11" s="34" t="inlineStr">
        <is>
          <t>0 governed relationships</t>
        </is>
      </c>
      <c r="E11" s="34" t="inlineStr">
        <is>
          <t>0 governed relationships</t>
        </is>
      </c>
      <c r="F11" s="34" t="inlineStr">
        <is>
          <t>0 governed relationships</t>
        </is>
      </c>
      <c r="G11" s="34" t="inlineStr">
        <is>
          <t>0 governed relationships</t>
        </is>
      </c>
      <c r="H11" s="95" t="n">
        <v>0</v>
      </c>
      <c r="I11" s="95" t="n">
        <v>0</v>
      </c>
      <c r="J11" s="34" t="inlineStr">
        <is>
          <t>Partial: No governed schedule or cost relationships in this WBS branch.</t>
        </is>
      </c>
      <c r="K11" s="92" t="inlineStr">
        <is>
          <t>08 CROSSWALK</t>
        </is>
      </c>
    </row>
    <row r="12" ht="34" customHeight="1">
      <c r="A12" s="34" t="inlineStr">
        <is>
          <t>1.1.2</t>
        </is>
      </c>
      <c r="B12" s="105" t="inlineStr">
        <is>
          <t>Guideway and Civil - Utility &amp; Roadworks</t>
        </is>
      </c>
      <c r="C12" s="95" t="n">
        <v>3</v>
      </c>
      <c r="D12" s="34" t="inlineStr">
        <is>
          <t>60 governed relationships</t>
        </is>
      </c>
      <c r="E12" s="34" t="inlineStr">
        <is>
          <t>40 governed relationships</t>
        </is>
      </c>
      <c r="F12" s="34" t="inlineStr">
        <is>
          <t>0 governed relationships</t>
        </is>
      </c>
      <c r="G12" s="34" t="inlineStr">
        <is>
          <t>0 governed relationships</t>
        </is>
      </c>
      <c r="H12" s="95" t="n">
        <v>0</v>
      </c>
      <c r="I12" s="95" t="n">
        <v>100</v>
      </c>
      <c r="J12" s="34" t="inlineStr">
        <is>
          <t>Aligned: Schedule and cost both relate through this WBS branch.</t>
        </is>
      </c>
      <c r="K12" s="92" t="inlineStr">
        <is>
          <t>08 CROSSWALK</t>
        </is>
      </c>
    </row>
    <row r="13" ht="34" customHeight="1">
      <c r="A13" s="34" t="inlineStr">
        <is>
          <t>1.1.2.1</t>
        </is>
      </c>
      <c r="B13" s="106" t="inlineStr">
        <is>
          <t>Utility &amp; Roadworks - East Segment</t>
        </is>
      </c>
      <c r="C13" s="95" t="n">
        <v>4</v>
      </c>
      <c r="D13" s="34" t="inlineStr">
        <is>
          <t>0 governed relationships</t>
        </is>
      </c>
      <c r="E13" s="34" t="inlineStr">
        <is>
          <t>0 governed relationships</t>
        </is>
      </c>
      <c r="F13" s="34" t="inlineStr">
        <is>
          <t>0 governed relationships</t>
        </is>
      </c>
      <c r="G13" s="34" t="inlineStr">
        <is>
          <t>0 governed relationships</t>
        </is>
      </c>
      <c r="H13" s="95" t="n">
        <v>0</v>
      </c>
      <c r="I13" s="95" t="n">
        <v>0</v>
      </c>
      <c r="J13" s="34" t="inlineStr">
        <is>
          <t>Partial: No governed schedule or cost relationships in this WBS branch.</t>
        </is>
      </c>
      <c r="K13" s="92" t="inlineStr">
        <is>
          <t>08 CROSSWALK</t>
        </is>
      </c>
    </row>
    <row r="14" ht="34" customHeight="1">
      <c r="A14" s="34" t="inlineStr">
        <is>
          <t>1.1.2.2</t>
        </is>
      </c>
      <c r="B14" s="106" t="inlineStr">
        <is>
          <t>Utility &amp; Roadworks - West Segment</t>
        </is>
      </c>
      <c r="C14" s="95" t="n">
        <v>4</v>
      </c>
      <c r="D14" s="34" t="inlineStr">
        <is>
          <t>0 governed relationships</t>
        </is>
      </c>
      <c r="E14" s="34" t="inlineStr">
        <is>
          <t>0 governed relationships</t>
        </is>
      </c>
      <c r="F14" s="34" t="inlineStr">
        <is>
          <t>0 governed relationships</t>
        </is>
      </c>
      <c r="G14" s="34" t="inlineStr">
        <is>
          <t>0 governed relationships</t>
        </is>
      </c>
      <c r="H14" s="95" t="n">
        <v>0</v>
      </c>
      <c r="I14" s="95" t="n">
        <v>0</v>
      </c>
      <c r="J14" s="34" t="inlineStr">
        <is>
          <t>Partial: No governed schedule or cost relationships in this WBS branch.</t>
        </is>
      </c>
      <c r="K14" s="92" t="inlineStr">
        <is>
          <t>08 CROSSWALK</t>
        </is>
      </c>
    </row>
    <row r="15" ht="34" customHeight="1">
      <c r="A15" s="34" t="inlineStr">
        <is>
          <t>1.1.3</t>
        </is>
      </c>
      <c r="B15" s="105" t="inlineStr">
        <is>
          <t>Guideway and Civil - Track Support Works</t>
        </is>
      </c>
      <c r="C15" s="95" t="n">
        <v>3</v>
      </c>
      <c r="D15" s="34" t="inlineStr">
        <is>
          <t>0 governed relationships</t>
        </is>
      </c>
      <c r="E15" s="34" t="inlineStr">
        <is>
          <t>0 governed relationships</t>
        </is>
      </c>
      <c r="F15" s="34" t="inlineStr">
        <is>
          <t>0 governed relationships</t>
        </is>
      </c>
      <c r="G15" s="34" t="inlineStr">
        <is>
          <t>0 governed relationships</t>
        </is>
      </c>
      <c r="H15" s="95" t="n">
        <v>0</v>
      </c>
      <c r="I15" s="95" t="n">
        <v>0</v>
      </c>
      <c r="J15" s="34" t="inlineStr">
        <is>
          <t>Partial: No governed schedule or cost relationships in this WBS branch.</t>
        </is>
      </c>
      <c r="K15" s="92" t="inlineStr">
        <is>
          <t>08 CROSSWALK</t>
        </is>
      </c>
    </row>
    <row r="16" ht="34" customHeight="1">
      <c r="A16" s="34" t="inlineStr">
        <is>
          <t>1.1.3.1</t>
        </is>
      </c>
      <c r="B16" s="106" t="inlineStr">
        <is>
          <t>Track Support Works - East Segment</t>
        </is>
      </c>
      <c r="C16" s="95" t="n">
        <v>4</v>
      </c>
      <c r="D16" s="34" t="inlineStr">
        <is>
          <t>0 governed relationships</t>
        </is>
      </c>
      <c r="E16" s="34" t="inlineStr">
        <is>
          <t>0 governed relationships</t>
        </is>
      </c>
      <c r="F16" s="34" t="inlineStr">
        <is>
          <t>0 governed relationships</t>
        </is>
      </c>
      <c r="G16" s="34" t="inlineStr">
        <is>
          <t>0 governed relationships</t>
        </is>
      </c>
      <c r="H16" s="95" t="n">
        <v>0</v>
      </c>
      <c r="I16" s="95" t="n">
        <v>0</v>
      </c>
      <c r="J16" s="34" t="inlineStr">
        <is>
          <t>Partial: No governed schedule or cost relationships in this WBS branch.</t>
        </is>
      </c>
      <c r="K16" s="92" t="inlineStr">
        <is>
          <t>08 CROSSWALK</t>
        </is>
      </c>
    </row>
    <row r="17" ht="34" customHeight="1">
      <c r="A17" s="34" t="inlineStr">
        <is>
          <t>1.1.3.2</t>
        </is>
      </c>
      <c r="B17" s="106" t="inlineStr">
        <is>
          <t>Track Support Works - West Segment</t>
        </is>
      </c>
      <c r="C17" s="95" t="n">
        <v>4</v>
      </c>
      <c r="D17" s="34" t="inlineStr">
        <is>
          <t>0 governed relationships</t>
        </is>
      </c>
      <c r="E17" s="34" t="inlineStr">
        <is>
          <t>0 governed relationships</t>
        </is>
      </c>
      <c r="F17" s="34" t="inlineStr">
        <is>
          <t>0 governed relationships</t>
        </is>
      </c>
      <c r="G17" s="34" t="inlineStr">
        <is>
          <t>0 governed relationships</t>
        </is>
      </c>
      <c r="H17" s="95" t="n">
        <v>0</v>
      </c>
      <c r="I17" s="95" t="n">
        <v>0</v>
      </c>
      <c r="J17" s="34" t="inlineStr">
        <is>
          <t>Partial: No governed schedule or cost relationships in this WBS branch.</t>
        </is>
      </c>
      <c r="K17" s="92" t="inlineStr">
        <is>
          <t>08 CROSSWALK</t>
        </is>
      </c>
    </row>
    <row r="18" ht="34" customHeight="1">
      <c r="A18" s="34" t="inlineStr">
        <is>
          <t>1.1.4</t>
        </is>
      </c>
      <c r="B18" s="105" t="inlineStr">
        <is>
          <t>Guideway and Civil - Civil Interfaces</t>
        </is>
      </c>
      <c r="C18" s="95" t="n">
        <v>3</v>
      </c>
      <c r="D18" s="34" t="inlineStr">
        <is>
          <t>0 governed relationships</t>
        </is>
      </c>
      <c r="E18" s="34" t="inlineStr">
        <is>
          <t>0 governed relationships</t>
        </is>
      </c>
      <c r="F18" s="34" t="inlineStr">
        <is>
          <t>0 governed relationships</t>
        </is>
      </c>
      <c r="G18" s="34" t="inlineStr">
        <is>
          <t>0 governed relationships</t>
        </is>
      </c>
      <c r="H18" s="95" t="n">
        <v>0</v>
      </c>
      <c r="I18" s="95" t="n">
        <v>0</v>
      </c>
      <c r="J18" s="34" t="inlineStr">
        <is>
          <t>Partial: No governed schedule or cost relationships in this WBS branch.</t>
        </is>
      </c>
      <c r="K18" s="92" t="inlineStr">
        <is>
          <t>08 CROSSWALK</t>
        </is>
      </c>
    </row>
    <row r="19" ht="34" customHeight="1">
      <c r="A19" s="34" t="inlineStr">
        <is>
          <t>1.1.4.1</t>
        </is>
      </c>
      <c r="B19" s="106" t="inlineStr">
        <is>
          <t>Civil Interfaces - East Segment</t>
        </is>
      </c>
      <c r="C19" s="95" t="n">
        <v>4</v>
      </c>
      <c r="D19" s="34" t="inlineStr">
        <is>
          <t>0 governed relationships</t>
        </is>
      </c>
      <c r="E19" s="34" t="inlineStr">
        <is>
          <t>0 governed relationships</t>
        </is>
      </c>
      <c r="F19" s="34" t="inlineStr">
        <is>
          <t>0 governed relationships</t>
        </is>
      </c>
      <c r="G19" s="34" t="inlineStr">
        <is>
          <t>0 governed relationships</t>
        </is>
      </c>
      <c r="H19" s="95" t="n">
        <v>0</v>
      </c>
      <c r="I19" s="95" t="n">
        <v>0</v>
      </c>
      <c r="J19" s="34" t="inlineStr">
        <is>
          <t>Partial: No governed schedule or cost relationships in this WBS branch.</t>
        </is>
      </c>
      <c r="K19" s="92" t="inlineStr">
        <is>
          <t>08 CROSSWALK</t>
        </is>
      </c>
    </row>
    <row r="20" ht="34" customHeight="1">
      <c r="A20" s="34" t="inlineStr">
        <is>
          <t>1.1.4.2</t>
        </is>
      </c>
      <c r="B20" s="106" t="inlineStr">
        <is>
          <t>Civil Interfaces - West Segment</t>
        </is>
      </c>
      <c r="C20" s="95" t="n">
        <v>4</v>
      </c>
      <c r="D20" s="34" t="inlineStr">
        <is>
          <t>0 governed relationships</t>
        </is>
      </c>
      <c r="E20" s="34" t="inlineStr">
        <is>
          <t>0 governed relationships</t>
        </is>
      </c>
      <c r="F20" s="34" t="inlineStr">
        <is>
          <t>0 governed relationships</t>
        </is>
      </c>
      <c r="G20" s="34" t="inlineStr">
        <is>
          <t>0 governed relationships</t>
        </is>
      </c>
      <c r="H20" s="95" t="n">
        <v>0</v>
      </c>
      <c r="I20" s="95" t="n">
        <v>0</v>
      </c>
      <c r="J20" s="34" t="inlineStr">
        <is>
          <t>Partial: No governed schedule or cost relationships in this WBS branch.</t>
        </is>
      </c>
      <c r="K20" s="92" t="inlineStr">
        <is>
          <t>08 CROSSWALK</t>
        </is>
      </c>
    </row>
    <row r="21" ht="64" customHeight="1">
      <c r="A21" s="34" t="inlineStr">
        <is>
          <t>1.2</t>
        </is>
      </c>
      <c r="B21" s="104" t="inlineStr">
        <is>
          <t>Stations</t>
        </is>
      </c>
      <c r="C21" s="95" t="n">
        <v>2</v>
      </c>
      <c r="D21" s="34" t="inlineStr">
        <is>
          <t>179 governed relationships</t>
        </is>
      </c>
      <c r="E21" s="34" t="inlineStr">
        <is>
          <t>80 governed relationships</t>
        </is>
      </c>
      <c r="F21" s="34" t="inlineStr">
        <is>
          <t>11 governed relationships</t>
        </is>
      </c>
      <c r="G21" s="34" t="inlineStr">
        <is>
          <t>0 governed relationships</t>
        </is>
      </c>
      <c r="H21" s="95" t="n">
        <v>0</v>
      </c>
      <c r="I21" s="95" t="n">
        <v>270</v>
      </c>
      <c r="J21" s="34" t="inlineStr">
        <is>
          <t>Aligned: Schedule and cost both relate through this WBS branch. 11 package/contract relationships also project through this branch.</t>
        </is>
      </c>
      <c r="K21" s="92" t="inlineStr">
        <is>
          <t>08 CROSSWALK</t>
        </is>
      </c>
    </row>
    <row r="22" ht="34" customHeight="1">
      <c r="A22" s="34" t="inlineStr">
        <is>
          <t>1.2.1</t>
        </is>
      </c>
      <c r="B22" s="105" t="inlineStr">
        <is>
          <t>Stations - Station Structures</t>
        </is>
      </c>
      <c r="C22" s="95" t="n">
        <v>3</v>
      </c>
      <c r="D22" s="34" t="inlineStr">
        <is>
          <t>120 governed relationships</t>
        </is>
      </c>
      <c r="E22" s="34" t="inlineStr">
        <is>
          <t>40 governed relationships</t>
        </is>
      </c>
      <c r="F22" s="34" t="inlineStr">
        <is>
          <t>0 governed relationships</t>
        </is>
      </c>
      <c r="G22" s="34" t="inlineStr">
        <is>
          <t>0 governed relationships</t>
        </is>
      </c>
      <c r="H22" s="95" t="n">
        <v>0</v>
      </c>
      <c r="I22" s="95" t="n">
        <v>160</v>
      </c>
      <c r="J22" s="34" t="inlineStr">
        <is>
          <t>Aligned: Schedule and cost both relate through this WBS branch.</t>
        </is>
      </c>
      <c r="K22" s="92" t="inlineStr">
        <is>
          <t>08 CROSSWALK</t>
        </is>
      </c>
    </row>
    <row r="23" ht="34" customHeight="1">
      <c r="A23" s="34" t="inlineStr">
        <is>
          <t>1.2.1.1</t>
        </is>
      </c>
      <c r="B23" s="106" t="inlineStr">
        <is>
          <t>Station Structures - Concourse &amp; Entries</t>
        </is>
      </c>
      <c r="C23" s="95" t="n">
        <v>4</v>
      </c>
      <c r="D23" s="34" t="inlineStr">
        <is>
          <t>0 governed relationships</t>
        </is>
      </c>
      <c r="E23" s="34" t="inlineStr">
        <is>
          <t>0 governed relationships</t>
        </is>
      </c>
      <c r="F23" s="34" t="inlineStr">
        <is>
          <t>0 governed relationships</t>
        </is>
      </c>
      <c r="G23" s="34" t="inlineStr">
        <is>
          <t>0 governed relationships</t>
        </is>
      </c>
      <c r="H23" s="95" t="n">
        <v>0</v>
      </c>
      <c r="I23" s="95" t="n">
        <v>0</v>
      </c>
      <c r="J23" s="34" t="inlineStr">
        <is>
          <t>Partial: No governed schedule or cost relationships in this WBS branch.</t>
        </is>
      </c>
      <c r="K23" s="92" t="inlineStr">
        <is>
          <t>08 CROSSWALK</t>
        </is>
      </c>
    </row>
    <row r="24" ht="34" customHeight="1">
      <c r="A24" s="34" t="inlineStr">
        <is>
          <t>1.2.1.2</t>
        </is>
      </c>
      <c r="B24" s="106" t="inlineStr">
        <is>
          <t>Station Structures - Platforms &amp; Back-of-House</t>
        </is>
      </c>
      <c r="C24" s="95" t="n">
        <v>4</v>
      </c>
      <c r="D24" s="34" t="inlineStr">
        <is>
          <t>0 governed relationships</t>
        </is>
      </c>
      <c r="E24" s="34" t="inlineStr">
        <is>
          <t>0 governed relationships</t>
        </is>
      </c>
      <c r="F24" s="34" t="inlineStr">
        <is>
          <t>0 governed relationships</t>
        </is>
      </c>
      <c r="G24" s="34" t="inlineStr">
        <is>
          <t>0 governed relationships</t>
        </is>
      </c>
      <c r="H24" s="95" t="n">
        <v>0</v>
      </c>
      <c r="I24" s="95" t="n">
        <v>0</v>
      </c>
      <c r="J24" s="34" t="inlineStr">
        <is>
          <t>Partial: No governed schedule or cost relationships in this WBS branch.</t>
        </is>
      </c>
      <c r="K24" s="92" t="inlineStr">
        <is>
          <t>08 CROSSWALK</t>
        </is>
      </c>
    </row>
    <row r="25" ht="34" customHeight="1">
      <c r="A25" s="34" t="inlineStr">
        <is>
          <t>1.2.2</t>
        </is>
      </c>
      <c r="B25" s="105" t="inlineStr">
        <is>
          <t>Stations - Architectural Fit-Out</t>
        </is>
      </c>
      <c r="C25" s="95" t="n">
        <v>3</v>
      </c>
      <c r="D25" s="34" t="inlineStr">
        <is>
          <t>59 governed relationships</t>
        </is>
      </c>
      <c r="E25" s="34" t="inlineStr">
        <is>
          <t>40 governed relationships</t>
        </is>
      </c>
      <c r="F25" s="34" t="inlineStr">
        <is>
          <t>0 governed relationships</t>
        </is>
      </c>
      <c r="G25" s="34" t="inlineStr">
        <is>
          <t>0 governed relationships</t>
        </is>
      </c>
      <c r="H25" s="95" t="n">
        <v>0</v>
      </c>
      <c r="I25" s="95" t="n">
        <v>99</v>
      </c>
      <c r="J25" s="34" t="inlineStr">
        <is>
          <t>Aligned: Schedule and cost both relate through this WBS branch.</t>
        </is>
      </c>
      <c r="K25" s="92" t="inlineStr">
        <is>
          <t>08 CROSSWALK</t>
        </is>
      </c>
    </row>
    <row r="26" ht="34" customHeight="1">
      <c r="A26" s="34" t="inlineStr">
        <is>
          <t>1.2.2.1</t>
        </is>
      </c>
      <c r="B26" s="106" t="inlineStr">
        <is>
          <t>Architectural Fit-Out - Concourse &amp; Entries</t>
        </is>
      </c>
      <c r="C26" s="95" t="n">
        <v>4</v>
      </c>
      <c r="D26" s="34" t="inlineStr">
        <is>
          <t>0 governed relationships</t>
        </is>
      </c>
      <c r="E26" s="34" t="inlineStr">
        <is>
          <t>0 governed relationships</t>
        </is>
      </c>
      <c r="F26" s="34" t="inlineStr">
        <is>
          <t>0 governed relationships</t>
        </is>
      </c>
      <c r="G26" s="34" t="inlineStr">
        <is>
          <t>0 governed relationships</t>
        </is>
      </c>
      <c r="H26" s="95" t="n">
        <v>0</v>
      </c>
      <c r="I26" s="95" t="n">
        <v>0</v>
      </c>
      <c r="J26" s="34" t="inlineStr">
        <is>
          <t>Partial: No governed schedule or cost relationships in this WBS branch.</t>
        </is>
      </c>
      <c r="K26" s="92" t="inlineStr">
        <is>
          <t>08 CROSSWALK</t>
        </is>
      </c>
    </row>
    <row r="27" ht="34" customHeight="1">
      <c r="A27" s="34" t="inlineStr">
        <is>
          <t>1.2.2.2</t>
        </is>
      </c>
      <c r="B27" s="106" t="inlineStr">
        <is>
          <t>Architectural Fit-Out - Platforms &amp; Back-of-House</t>
        </is>
      </c>
      <c r="C27" s="95" t="n">
        <v>4</v>
      </c>
      <c r="D27" s="34" t="inlineStr">
        <is>
          <t>0 governed relationships</t>
        </is>
      </c>
      <c r="E27" s="34" t="inlineStr">
        <is>
          <t>0 governed relationships</t>
        </is>
      </c>
      <c r="F27" s="34" t="inlineStr">
        <is>
          <t>0 governed relationships</t>
        </is>
      </c>
      <c r="G27" s="34" t="inlineStr">
        <is>
          <t>0 governed relationships</t>
        </is>
      </c>
      <c r="H27" s="95" t="n">
        <v>0</v>
      </c>
      <c r="I27" s="95" t="n">
        <v>0</v>
      </c>
      <c r="J27" s="34" t="inlineStr">
        <is>
          <t>Partial: No governed schedule or cost relationships in this WBS branch.</t>
        </is>
      </c>
      <c r="K27" s="92" t="inlineStr">
        <is>
          <t>08 CROSSWALK</t>
        </is>
      </c>
    </row>
    <row r="28" ht="34" customHeight="1">
      <c r="A28" s="34" t="inlineStr">
        <is>
          <t>1.2.3</t>
        </is>
      </c>
      <c r="B28" s="105" t="inlineStr">
        <is>
          <t>Stations - Station Building Services</t>
        </is>
      </c>
      <c r="C28" s="95" t="n">
        <v>3</v>
      </c>
      <c r="D28" s="34" t="inlineStr">
        <is>
          <t>0 governed relationships</t>
        </is>
      </c>
      <c r="E28" s="34" t="inlineStr">
        <is>
          <t>0 governed relationships</t>
        </is>
      </c>
      <c r="F28" s="34" t="inlineStr">
        <is>
          <t>0 governed relationships</t>
        </is>
      </c>
      <c r="G28" s="34" t="inlineStr">
        <is>
          <t>0 governed relationships</t>
        </is>
      </c>
      <c r="H28" s="95" t="n">
        <v>0</v>
      </c>
      <c r="I28" s="95" t="n">
        <v>0</v>
      </c>
      <c r="J28" s="34" t="inlineStr">
        <is>
          <t>Partial: No governed schedule or cost relationships in this WBS branch.</t>
        </is>
      </c>
      <c r="K28" s="92" t="inlineStr">
        <is>
          <t>08 CROSSWALK</t>
        </is>
      </c>
    </row>
    <row r="29" ht="34" customHeight="1">
      <c r="A29" s="34" t="inlineStr">
        <is>
          <t>1.2.3.1</t>
        </is>
      </c>
      <c r="B29" s="106" t="inlineStr">
        <is>
          <t>Station Building Services - Concourse &amp; Entries</t>
        </is>
      </c>
      <c r="C29" s="95" t="n">
        <v>4</v>
      </c>
      <c r="D29" s="34" t="inlineStr">
        <is>
          <t>0 governed relationships</t>
        </is>
      </c>
      <c r="E29" s="34" t="inlineStr">
        <is>
          <t>0 governed relationships</t>
        </is>
      </c>
      <c r="F29" s="34" t="inlineStr">
        <is>
          <t>0 governed relationships</t>
        </is>
      </c>
      <c r="G29" s="34" t="inlineStr">
        <is>
          <t>0 governed relationships</t>
        </is>
      </c>
      <c r="H29" s="95" t="n">
        <v>0</v>
      </c>
      <c r="I29" s="95" t="n">
        <v>0</v>
      </c>
      <c r="J29" s="34" t="inlineStr">
        <is>
          <t>Partial: No governed schedule or cost relationships in this WBS branch.</t>
        </is>
      </c>
      <c r="K29" s="92" t="inlineStr">
        <is>
          <t>08 CROSSWALK</t>
        </is>
      </c>
    </row>
    <row r="30" ht="34" customHeight="1">
      <c r="A30" s="34" t="inlineStr">
        <is>
          <t>1.2.3.2</t>
        </is>
      </c>
      <c r="B30" s="106" t="inlineStr">
        <is>
          <t>Station Building Services - Platforms &amp; Back-of-House</t>
        </is>
      </c>
      <c r="C30" s="95" t="n">
        <v>4</v>
      </c>
      <c r="D30" s="34" t="inlineStr">
        <is>
          <t>0 governed relationships</t>
        </is>
      </c>
      <c r="E30" s="34" t="inlineStr">
        <is>
          <t>0 governed relationships</t>
        </is>
      </c>
      <c r="F30" s="34" t="inlineStr">
        <is>
          <t>0 governed relationships</t>
        </is>
      </c>
      <c r="G30" s="34" t="inlineStr">
        <is>
          <t>0 governed relationships</t>
        </is>
      </c>
      <c r="H30" s="95" t="n">
        <v>0</v>
      </c>
      <c r="I30" s="95" t="n">
        <v>0</v>
      </c>
      <c r="J30" s="34" t="inlineStr">
        <is>
          <t>Partial: No governed schedule or cost relationships in this WBS branch.</t>
        </is>
      </c>
      <c r="K30" s="92" t="inlineStr">
        <is>
          <t>08 CROSSWALK</t>
        </is>
      </c>
    </row>
    <row r="31" ht="34" customHeight="1">
      <c r="A31" s="34" t="inlineStr">
        <is>
          <t>1.2.4</t>
        </is>
      </c>
      <c r="B31" s="105" t="inlineStr">
        <is>
          <t>Stations - Public Realm</t>
        </is>
      </c>
      <c r="C31" s="95" t="n">
        <v>3</v>
      </c>
      <c r="D31" s="34" t="inlineStr">
        <is>
          <t>0 governed relationships</t>
        </is>
      </c>
      <c r="E31" s="34" t="inlineStr">
        <is>
          <t>0 governed relationships</t>
        </is>
      </c>
      <c r="F31" s="34" t="inlineStr">
        <is>
          <t>0 governed relationships</t>
        </is>
      </c>
      <c r="G31" s="34" t="inlineStr">
        <is>
          <t>0 governed relationships</t>
        </is>
      </c>
      <c r="H31" s="95" t="n">
        <v>0</v>
      </c>
      <c r="I31" s="95" t="n">
        <v>0</v>
      </c>
      <c r="J31" s="34" t="inlineStr">
        <is>
          <t>Partial: No governed schedule or cost relationships in this WBS branch.</t>
        </is>
      </c>
      <c r="K31" s="92" t="inlineStr">
        <is>
          <t>08 CROSSWALK</t>
        </is>
      </c>
    </row>
    <row r="32" ht="34" customHeight="1">
      <c r="A32" s="34" t="inlineStr">
        <is>
          <t>1.2.4.1</t>
        </is>
      </c>
      <c r="B32" s="106" t="inlineStr">
        <is>
          <t>Public Realm - Concourse &amp; Entries</t>
        </is>
      </c>
      <c r="C32" s="95" t="n">
        <v>4</v>
      </c>
      <c r="D32" s="34" t="inlineStr">
        <is>
          <t>0 governed relationships</t>
        </is>
      </c>
      <c r="E32" s="34" t="inlineStr">
        <is>
          <t>0 governed relationships</t>
        </is>
      </c>
      <c r="F32" s="34" t="inlineStr">
        <is>
          <t>0 governed relationships</t>
        </is>
      </c>
      <c r="G32" s="34" t="inlineStr">
        <is>
          <t>0 governed relationships</t>
        </is>
      </c>
      <c r="H32" s="95" t="n">
        <v>0</v>
      </c>
      <c r="I32" s="95" t="n">
        <v>0</v>
      </c>
      <c r="J32" s="34" t="inlineStr">
        <is>
          <t>Partial: No governed schedule or cost relationships in this WBS branch.</t>
        </is>
      </c>
      <c r="K32" s="92" t="inlineStr">
        <is>
          <t>08 CROSSWALK</t>
        </is>
      </c>
    </row>
    <row r="33" ht="34" customHeight="1">
      <c r="A33" s="34" t="inlineStr">
        <is>
          <t>1.2.4.2</t>
        </is>
      </c>
      <c r="B33" s="106" t="inlineStr">
        <is>
          <t>Public Realm - Platforms &amp; Back-of-House</t>
        </is>
      </c>
      <c r="C33" s="95" t="n">
        <v>4</v>
      </c>
      <c r="D33" s="34" t="inlineStr">
        <is>
          <t>0 governed relationships</t>
        </is>
      </c>
      <c r="E33" s="34" t="inlineStr">
        <is>
          <t>0 governed relationships</t>
        </is>
      </c>
      <c r="F33" s="34" t="inlineStr">
        <is>
          <t>0 governed relationships</t>
        </is>
      </c>
      <c r="G33" s="34" t="inlineStr">
        <is>
          <t>0 governed relationships</t>
        </is>
      </c>
      <c r="H33" s="95" t="n">
        <v>0</v>
      </c>
      <c r="I33" s="95" t="n">
        <v>0</v>
      </c>
      <c r="J33" s="34" t="inlineStr">
        <is>
          <t>Partial: No governed schedule or cost relationships in this WBS branch.</t>
        </is>
      </c>
      <c r="K33" s="92" t="inlineStr">
        <is>
          <t>08 CROSSWALK</t>
        </is>
      </c>
    </row>
    <row r="34" ht="64" customHeight="1">
      <c r="A34" s="34" t="inlineStr">
        <is>
          <t>1.3</t>
        </is>
      </c>
      <c r="B34" s="104" t="inlineStr">
        <is>
          <t>Systems</t>
        </is>
      </c>
      <c r="C34" s="95" t="n">
        <v>2</v>
      </c>
      <c r="D34" s="34" t="inlineStr">
        <is>
          <t>180 governed relationships</t>
        </is>
      </c>
      <c r="E34" s="34" t="inlineStr">
        <is>
          <t>79 governed relationships</t>
        </is>
      </c>
      <c r="F34" s="34" t="inlineStr">
        <is>
          <t>10 governed relationships</t>
        </is>
      </c>
      <c r="G34" s="34" t="inlineStr">
        <is>
          <t>0 governed relationships</t>
        </is>
      </c>
      <c r="H34" s="95" t="n">
        <v>0</v>
      </c>
      <c r="I34" s="95" t="n">
        <v>269</v>
      </c>
      <c r="J34" s="34" t="inlineStr">
        <is>
          <t>Aligned: Schedule and cost both relate through this WBS branch. 10 package/contract relationships also project through this branch.</t>
        </is>
      </c>
      <c r="K34" s="92" t="inlineStr">
        <is>
          <t>08 CROSSWALK</t>
        </is>
      </c>
    </row>
    <row r="35" ht="34" customHeight="1">
      <c r="A35" s="34" t="inlineStr">
        <is>
          <t>1.3.1</t>
        </is>
      </c>
      <c r="B35" s="105" t="inlineStr">
        <is>
          <t>Systems - Traction Power</t>
        </is>
      </c>
      <c r="C35" s="95" t="n">
        <v>3</v>
      </c>
      <c r="D35" s="34" t="inlineStr">
        <is>
          <t>120 governed relationships</t>
        </is>
      </c>
      <c r="E35" s="34" t="inlineStr">
        <is>
          <t>40 governed relationships</t>
        </is>
      </c>
      <c r="F35" s="34" t="inlineStr">
        <is>
          <t>0 governed relationships</t>
        </is>
      </c>
      <c r="G35" s="34" t="inlineStr">
        <is>
          <t>0 governed relationships</t>
        </is>
      </c>
      <c r="H35" s="95" t="n">
        <v>0</v>
      </c>
      <c r="I35" s="95" t="n">
        <v>160</v>
      </c>
      <c r="J35" s="34" t="inlineStr">
        <is>
          <t>Aligned: Schedule and cost both relate through this WBS branch.</t>
        </is>
      </c>
      <c r="K35" s="92" t="inlineStr">
        <is>
          <t>08 CROSSWALK</t>
        </is>
      </c>
    </row>
    <row r="36" ht="34" customHeight="1">
      <c r="A36" s="34" t="inlineStr">
        <is>
          <t>1.3.1.1</t>
        </is>
      </c>
      <c r="B36" s="106" t="inlineStr">
        <is>
          <t>Traction Power - Wayside</t>
        </is>
      </c>
      <c r="C36" s="95" t="n">
        <v>4</v>
      </c>
      <c r="D36" s="34" t="inlineStr">
        <is>
          <t>0 governed relationships</t>
        </is>
      </c>
      <c r="E36" s="34" t="inlineStr">
        <is>
          <t>0 governed relationships</t>
        </is>
      </c>
      <c r="F36" s="34" t="inlineStr">
        <is>
          <t>0 governed relationships</t>
        </is>
      </c>
      <c r="G36" s="34" t="inlineStr">
        <is>
          <t>0 governed relationships</t>
        </is>
      </c>
      <c r="H36" s="95" t="n">
        <v>0</v>
      </c>
      <c r="I36" s="95" t="n">
        <v>0</v>
      </c>
      <c r="J36" s="34" t="inlineStr">
        <is>
          <t>Partial: No governed schedule or cost relationships in this WBS branch.</t>
        </is>
      </c>
      <c r="K36" s="92" t="inlineStr">
        <is>
          <t>08 CROSSWALK</t>
        </is>
      </c>
    </row>
    <row r="37" ht="34" customHeight="1">
      <c r="A37" s="34" t="inlineStr">
        <is>
          <t>1.3.1.2</t>
        </is>
      </c>
      <c r="B37" s="106" t="inlineStr">
        <is>
          <t>Traction Power - Control Centre &amp; Stations</t>
        </is>
      </c>
      <c r="C37" s="95" t="n">
        <v>4</v>
      </c>
      <c r="D37" s="34" t="inlineStr">
        <is>
          <t>0 governed relationships</t>
        </is>
      </c>
      <c r="E37" s="34" t="inlineStr">
        <is>
          <t>0 governed relationships</t>
        </is>
      </c>
      <c r="F37" s="34" t="inlineStr">
        <is>
          <t>0 governed relationships</t>
        </is>
      </c>
      <c r="G37" s="34" t="inlineStr">
        <is>
          <t>0 governed relationships</t>
        </is>
      </c>
      <c r="H37" s="95" t="n">
        <v>0</v>
      </c>
      <c r="I37" s="95" t="n">
        <v>0</v>
      </c>
      <c r="J37" s="34" t="inlineStr">
        <is>
          <t>Partial: No governed schedule or cost relationships in this WBS branch.</t>
        </is>
      </c>
      <c r="K37" s="92" t="inlineStr">
        <is>
          <t>08 CROSSWALK</t>
        </is>
      </c>
    </row>
    <row r="38" ht="34" customHeight="1">
      <c r="A38" s="34" t="inlineStr">
        <is>
          <t>1.3.2</t>
        </is>
      </c>
      <c r="B38" s="105" t="inlineStr">
        <is>
          <t>Systems - Signalling &amp; Train Control</t>
        </is>
      </c>
      <c r="C38" s="95" t="n">
        <v>3</v>
      </c>
      <c r="D38" s="34" t="inlineStr">
        <is>
          <t>60 governed relationships</t>
        </is>
      </c>
      <c r="E38" s="34" t="inlineStr">
        <is>
          <t>39 governed relationships</t>
        </is>
      </c>
      <c r="F38" s="34" t="inlineStr">
        <is>
          <t>0 governed relationships</t>
        </is>
      </c>
      <c r="G38" s="34" t="inlineStr">
        <is>
          <t>0 governed relationships</t>
        </is>
      </c>
      <c r="H38" s="95" t="n">
        <v>0</v>
      </c>
      <c r="I38" s="95" t="n">
        <v>99</v>
      </c>
      <c r="J38" s="34" t="inlineStr">
        <is>
          <t>Aligned: Schedule and cost both relate through this WBS branch.</t>
        </is>
      </c>
      <c r="K38" s="92" t="inlineStr">
        <is>
          <t>08 CROSSWALK</t>
        </is>
      </c>
    </row>
    <row r="39" ht="34" customHeight="1">
      <c r="A39" s="34" t="inlineStr">
        <is>
          <t>1.3.2.1</t>
        </is>
      </c>
      <c r="B39" s="106" t="inlineStr">
        <is>
          <t>Signalling &amp; Train Control - Wayside</t>
        </is>
      </c>
      <c r="C39" s="95" t="n">
        <v>4</v>
      </c>
      <c r="D39" s="34" t="inlineStr">
        <is>
          <t>0 governed relationships</t>
        </is>
      </c>
      <c r="E39" s="34" t="inlineStr">
        <is>
          <t>0 governed relationships</t>
        </is>
      </c>
      <c r="F39" s="34" t="inlineStr">
        <is>
          <t>0 governed relationships</t>
        </is>
      </c>
      <c r="G39" s="34" t="inlineStr">
        <is>
          <t>0 governed relationships</t>
        </is>
      </c>
      <c r="H39" s="95" t="n">
        <v>0</v>
      </c>
      <c r="I39" s="95" t="n">
        <v>0</v>
      </c>
      <c r="J39" s="34" t="inlineStr">
        <is>
          <t>Partial: No governed schedule or cost relationships in this WBS branch.</t>
        </is>
      </c>
      <c r="K39" s="92" t="inlineStr">
        <is>
          <t>08 CROSSWALK</t>
        </is>
      </c>
    </row>
    <row r="40" ht="34" customHeight="1">
      <c r="A40" s="34" t="inlineStr">
        <is>
          <t>1.3.2.2</t>
        </is>
      </c>
      <c r="B40" s="106" t="inlineStr">
        <is>
          <t>Signalling &amp; Train Control - Control Centre &amp; Stations</t>
        </is>
      </c>
      <c r="C40" s="95" t="n">
        <v>4</v>
      </c>
      <c r="D40" s="34" t="inlineStr">
        <is>
          <t>0 governed relationships</t>
        </is>
      </c>
      <c r="E40" s="34" t="inlineStr">
        <is>
          <t>0 governed relationships</t>
        </is>
      </c>
      <c r="F40" s="34" t="inlineStr">
        <is>
          <t>0 governed relationships</t>
        </is>
      </c>
      <c r="G40" s="34" t="inlineStr">
        <is>
          <t>0 governed relationships</t>
        </is>
      </c>
      <c r="H40" s="95" t="n">
        <v>0</v>
      </c>
      <c r="I40" s="95" t="n">
        <v>0</v>
      </c>
      <c r="J40" s="34" t="inlineStr">
        <is>
          <t>Partial: No governed schedule or cost relationships in this WBS branch.</t>
        </is>
      </c>
      <c r="K40" s="92" t="inlineStr">
        <is>
          <t>08 CROSSWALK</t>
        </is>
      </c>
    </row>
    <row r="41" ht="34" customHeight="1">
      <c r="A41" s="34" t="inlineStr">
        <is>
          <t>1.3.3</t>
        </is>
      </c>
      <c r="B41" s="105" t="inlineStr">
        <is>
          <t>Systems - Communications</t>
        </is>
      </c>
      <c r="C41" s="95" t="n">
        <v>3</v>
      </c>
      <c r="D41" s="34" t="inlineStr">
        <is>
          <t>0 governed relationships</t>
        </is>
      </c>
      <c r="E41" s="34" t="inlineStr">
        <is>
          <t>0 governed relationships</t>
        </is>
      </c>
      <c r="F41" s="34" t="inlineStr">
        <is>
          <t>0 governed relationships</t>
        </is>
      </c>
      <c r="G41" s="34" t="inlineStr">
        <is>
          <t>0 governed relationships</t>
        </is>
      </c>
      <c r="H41" s="95" t="n">
        <v>0</v>
      </c>
      <c r="I41" s="95" t="n">
        <v>0</v>
      </c>
      <c r="J41" s="34" t="inlineStr">
        <is>
          <t>Partial: No governed schedule or cost relationships in this WBS branch.</t>
        </is>
      </c>
      <c r="K41" s="92" t="inlineStr">
        <is>
          <t>08 CROSSWALK</t>
        </is>
      </c>
    </row>
    <row r="42" ht="34" customHeight="1">
      <c r="A42" s="34" t="inlineStr">
        <is>
          <t>1.3.3.1</t>
        </is>
      </c>
      <c r="B42" s="106" t="inlineStr">
        <is>
          <t>Communications - Wayside</t>
        </is>
      </c>
      <c r="C42" s="95" t="n">
        <v>4</v>
      </c>
      <c r="D42" s="34" t="inlineStr">
        <is>
          <t>0 governed relationships</t>
        </is>
      </c>
      <c r="E42" s="34" t="inlineStr">
        <is>
          <t>0 governed relationships</t>
        </is>
      </c>
      <c r="F42" s="34" t="inlineStr">
        <is>
          <t>0 governed relationships</t>
        </is>
      </c>
      <c r="G42" s="34" t="inlineStr">
        <is>
          <t>0 governed relationships</t>
        </is>
      </c>
      <c r="H42" s="95" t="n">
        <v>0</v>
      </c>
      <c r="I42" s="95" t="n">
        <v>0</v>
      </c>
      <c r="J42" s="34" t="inlineStr">
        <is>
          <t>Partial: No governed schedule or cost relationships in this WBS branch.</t>
        </is>
      </c>
      <c r="K42" s="92" t="inlineStr">
        <is>
          <t>08 CROSSWALK</t>
        </is>
      </c>
    </row>
    <row r="43" ht="34" customHeight="1">
      <c r="A43" s="34" t="inlineStr">
        <is>
          <t>1.3.3.2</t>
        </is>
      </c>
      <c r="B43" s="106" t="inlineStr">
        <is>
          <t>Communications - Control Centre &amp; Stations</t>
        </is>
      </c>
      <c r="C43" s="95" t="n">
        <v>4</v>
      </c>
      <c r="D43" s="34" t="inlineStr">
        <is>
          <t>0 governed relationships</t>
        </is>
      </c>
      <c r="E43" s="34" t="inlineStr">
        <is>
          <t>0 governed relationships</t>
        </is>
      </c>
      <c r="F43" s="34" t="inlineStr">
        <is>
          <t>0 governed relationships</t>
        </is>
      </c>
      <c r="G43" s="34" t="inlineStr">
        <is>
          <t>0 governed relationships</t>
        </is>
      </c>
      <c r="H43" s="95" t="n">
        <v>0</v>
      </c>
      <c r="I43" s="95" t="n">
        <v>0</v>
      </c>
      <c r="J43" s="34" t="inlineStr">
        <is>
          <t>Partial: No governed schedule or cost relationships in this WBS branch.</t>
        </is>
      </c>
      <c r="K43" s="92" t="inlineStr">
        <is>
          <t>08 CROSSWALK</t>
        </is>
      </c>
    </row>
    <row r="44" ht="34" customHeight="1">
      <c r="A44" s="34" t="inlineStr">
        <is>
          <t>1.3.4</t>
        </is>
      </c>
      <c r="B44" s="105" t="inlineStr">
        <is>
          <t>Systems - Systems Integration</t>
        </is>
      </c>
      <c r="C44" s="95" t="n">
        <v>3</v>
      </c>
      <c r="D44" s="34" t="inlineStr">
        <is>
          <t>0 governed relationships</t>
        </is>
      </c>
      <c r="E44" s="34" t="inlineStr">
        <is>
          <t>0 governed relationships</t>
        </is>
      </c>
      <c r="F44" s="34" t="inlineStr">
        <is>
          <t>0 governed relationships</t>
        </is>
      </c>
      <c r="G44" s="34" t="inlineStr">
        <is>
          <t>0 governed relationships</t>
        </is>
      </c>
      <c r="H44" s="95" t="n">
        <v>0</v>
      </c>
      <c r="I44" s="95" t="n">
        <v>0</v>
      </c>
      <c r="J44" s="34" t="inlineStr">
        <is>
          <t>Partial: No governed schedule or cost relationships in this WBS branch.</t>
        </is>
      </c>
      <c r="K44" s="92" t="inlineStr">
        <is>
          <t>08 CROSSWALK</t>
        </is>
      </c>
    </row>
    <row r="45" ht="34" customHeight="1">
      <c r="A45" s="34" t="inlineStr">
        <is>
          <t>1.3.4.1</t>
        </is>
      </c>
      <c r="B45" s="106" t="inlineStr">
        <is>
          <t>Systems Integration - Wayside</t>
        </is>
      </c>
      <c r="C45" s="95" t="n">
        <v>4</v>
      </c>
      <c r="D45" s="34" t="inlineStr">
        <is>
          <t>0 governed relationships</t>
        </is>
      </c>
      <c r="E45" s="34" t="inlineStr">
        <is>
          <t>0 governed relationships</t>
        </is>
      </c>
      <c r="F45" s="34" t="inlineStr">
        <is>
          <t>0 governed relationships</t>
        </is>
      </c>
      <c r="G45" s="34" t="inlineStr">
        <is>
          <t>0 governed relationships</t>
        </is>
      </c>
      <c r="H45" s="95" t="n">
        <v>0</v>
      </c>
      <c r="I45" s="95" t="n">
        <v>0</v>
      </c>
      <c r="J45" s="34" t="inlineStr">
        <is>
          <t>Partial: No governed schedule or cost relationships in this WBS branch.</t>
        </is>
      </c>
      <c r="K45" s="92" t="inlineStr">
        <is>
          <t>08 CROSSWALK</t>
        </is>
      </c>
    </row>
    <row r="46" ht="34" customHeight="1">
      <c r="A46" s="34" t="inlineStr">
        <is>
          <t>1.3.4.2</t>
        </is>
      </c>
      <c r="B46" s="106" t="inlineStr">
        <is>
          <t>Systems Integration - Control Centre &amp; Stations</t>
        </is>
      </c>
      <c r="C46" s="95" t="n">
        <v>4</v>
      </c>
      <c r="D46" s="34" t="inlineStr">
        <is>
          <t>0 governed relationships</t>
        </is>
      </c>
      <c r="E46" s="34" t="inlineStr">
        <is>
          <t>0 governed relationships</t>
        </is>
      </c>
      <c r="F46" s="34" t="inlineStr">
        <is>
          <t>0 governed relationships</t>
        </is>
      </c>
      <c r="G46" s="34" t="inlineStr">
        <is>
          <t>0 governed relationships</t>
        </is>
      </c>
      <c r="H46" s="95" t="n">
        <v>0</v>
      </c>
      <c r="I46" s="95" t="n">
        <v>0</v>
      </c>
      <c r="J46" s="34" t="inlineStr">
        <is>
          <t>Partial: No governed schedule or cost relationships in this WBS branch.</t>
        </is>
      </c>
      <c r="K46" s="92" t="inlineStr">
        <is>
          <t>08 CROSSWALK</t>
        </is>
      </c>
    </row>
    <row r="47" ht="64" customHeight="1">
      <c r="A47" s="34" t="inlineStr">
        <is>
          <t>1.4</t>
        </is>
      </c>
      <c r="B47" s="104" t="inlineStr">
        <is>
          <t>Vehicles and Depot</t>
        </is>
      </c>
      <c r="C47" s="95" t="n">
        <v>2</v>
      </c>
      <c r="D47" s="34" t="inlineStr">
        <is>
          <t>179 governed relationships</t>
        </is>
      </c>
      <c r="E47" s="34" t="inlineStr">
        <is>
          <t>80 governed relationships</t>
        </is>
      </c>
      <c r="F47" s="34" t="inlineStr">
        <is>
          <t>10 governed relationships</t>
        </is>
      </c>
      <c r="G47" s="34" t="inlineStr">
        <is>
          <t>0 governed relationships</t>
        </is>
      </c>
      <c r="H47" s="95" t="n">
        <v>0</v>
      </c>
      <c r="I47" s="95" t="n">
        <v>269</v>
      </c>
      <c r="J47" s="34" t="inlineStr">
        <is>
          <t>Aligned: Schedule and cost both relate through this WBS branch. 10 package/contract relationships also project through this branch.</t>
        </is>
      </c>
      <c r="K47" s="92" t="inlineStr">
        <is>
          <t>08 CROSSWALK</t>
        </is>
      </c>
    </row>
    <row r="48" ht="34" customHeight="1">
      <c r="A48" s="34" t="inlineStr">
        <is>
          <t>1.4.1</t>
        </is>
      </c>
      <c r="B48" s="105" t="inlineStr">
        <is>
          <t>Vehicles and Depot - Fleet Supply</t>
        </is>
      </c>
      <c r="C48" s="95" t="n">
        <v>3</v>
      </c>
      <c r="D48" s="34" t="inlineStr">
        <is>
          <t>120 governed relationships</t>
        </is>
      </c>
      <c r="E48" s="34" t="inlineStr">
        <is>
          <t>40 governed relationships</t>
        </is>
      </c>
      <c r="F48" s="34" t="inlineStr">
        <is>
          <t>0 governed relationships</t>
        </is>
      </c>
      <c r="G48" s="34" t="inlineStr">
        <is>
          <t>0 governed relationships</t>
        </is>
      </c>
      <c r="H48" s="95" t="n">
        <v>0</v>
      </c>
      <c r="I48" s="95" t="n">
        <v>160</v>
      </c>
      <c r="J48" s="34" t="inlineStr">
        <is>
          <t>Aligned: Schedule and cost both relate through this WBS branch.</t>
        </is>
      </c>
      <c r="K48" s="92" t="inlineStr">
        <is>
          <t>08 CROSSWALK</t>
        </is>
      </c>
    </row>
    <row r="49" ht="34" customHeight="1">
      <c r="A49" s="34" t="inlineStr">
        <is>
          <t>1.4.1.1</t>
        </is>
      </c>
      <c r="B49" s="106" t="inlineStr">
        <is>
          <t>Fleet Supply - Maintenance Facility</t>
        </is>
      </c>
      <c r="C49" s="95" t="n">
        <v>4</v>
      </c>
      <c r="D49" s="34" t="inlineStr">
        <is>
          <t>0 governed relationships</t>
        </is>
      </c>
      <c r="E49" s="34" t="inlineStr">
        <is>
          <t>0 governed relationships</t>
        </is>
      </c>
      <c r="F49" s="34" t="inlineStr">
        <is>
          <t>0 governed relationships</t>
        </is>
      </c>
      <c r="G49" s="34" t="inlineStr">
        <is>
          <t>0 governed relationships</t>
        </is>
      </c>
      <c r="H49" s="95" t="n">
        <v>0</v>
      </c>
      <c r="I49" s="95" t="n">
        <v>0</v>
      </c>
      <c r="J49" s="34" t="inlineStr">
        <is>
          <t>Partial: No governed schedule or cost relationships in this WBS branch.</t>
        </is>
      </c>
      <c r="K49" s="92" t="inlineStr">
        <is>
          <t>08 CROSSWALK</t>
        </is>
      </c>
    </row>
    <row r="50" ht="34" customHeight="1">
      <c r="A50" s="34" t="inlineStr">
        <is>
          <t>1.4.1.2</t>
        </is>
      </c>
      <c r="B50" s="106" t="inlineStr">
        <is>
          <t>Fleet Supply - Storage &amp; Commissioning Yard</t>
        </is>
      </c>
      <c r="C50" s="95" t="n">
        <v>4</v>
      </c>
      <c r="D50" s="34" t="inlineStr">
        <is>
          <t>0 governed relationships</t>
        </is>
      </c>
      <c r="E50" s="34" t="inlineStr">
        <is>
          <t>0 governed relationships</t>
        </is>
      </c>
      <c r="F50" s="34" t="inlineStr">
        <is>
          <t>0 governed relationships</t>
        </is>
      </c>
      <c r="G50" s="34" t="inlineStr">
        <is>
          <t>0 governed relationships</t>
        </is>
      </c>
      <c r="H50" s="95" t="n">
        <v>0</v>
      </c>
      <c r="I50" s="95" t="n">
        <v>0</v>
      </c>
      <c r="J50" s="34" t="inlineStr">
        <is>
          <t>Partial: No governed schedule or cost relationships in this WBS branch.</t>
        </is>
      </c>
      <c r="K50" s="92" t="inlineStr">
        <is>
          <t>08 CROSSWALK</t>
        </is>
      </c>
    </row>
    <row r="51" ht="34" customHeight="1">
      <c r="A51" s="34" t="inlineStr">
        <is>
          <t>1.4.2</t>
        </is>
      </c>
      <c r="B51" s="105" t="inlineStr">
        <is>
          <t>Vehicles and Depot - Depot Buildings</t>
        </is>
      </c>
      <c r="C51" s="95" t="n">
        <v>3</v>
      </c>
      <c r="D51" s="34" t="inlineStr">
        <is>
          <t>59 governed relationships</t>
        </is>
      </c>
      <c r="E51" s="34" t="inlineStr">
        <is>
          <t>40 governed relationships</t>
        </is>
      </c>
      <c r="F51" s="34" t="inlineStr">
        <is>
          <t>0 governed relationships</t>
        </is>
      </c>
      <c r="G51" s="34" t="inlineStr">
        <is>
          <t>0 governed relationships</t>
        </is>
      </c>
      <c r="H51" s="95" t="n">
        <v>0</v>
      </c>
      <c r="I51" s="95" t="n">
        <v>99</v>
      </c>
      <c r="J51" s="34" t="inlineStr">
        <is>
          <t>Aligned: Schedule and cost both relate through this WBS branch.</t>
        </is>
      </c>
      <c r="K51" s="92" t="inlineStr">
        <is>
          <t>08 CROSSWALK</t>
        </is>
      </c>
    </row>
    <row r="52" ht="34" customHeight="1">
      <c r="A52" s="34" t="inlineStr">
        <is>
          <t>1.4.2.1</t>
        </is>
      </c>
      <c r="B52" s="106" t="inlineStr">
        <is>
          <t>Depot Buildings - Maintenance Facility</t>
        </is>
      </c>
      <c r="C52" s="95" t="n">
        <v>4</v>
      </c>
      <c r="D52" s="34" t="inlineStr">
        <is>
          <t>0 governed relationships</t>
        </is>
      </c>
      <c r="E52" s="34" t="inlineStr">
        <is>
          <t>0 governed relationships</t>
        </is>
      </c>
      <c r="F52" s="34" t="inlineStr">
        <is>
          <t>0 governed relationships</t>
        </is>
      </c>
      <c r="G52" s="34" t="inlineStr">
        <is>
          <t>0 governed relationships</t>
        </is>
      </c>
      <c r="H52" s="95" t="n">
        <v>0</v>
      </c>
      <c r="I52" s="95" t="n">
        <v>0</v>
      </c>
      <c r="J52" s="34" t="inlineStr">
        <is>
          <t>Partial: No governed schedule or cost relationships in this WBS branch.</t>
        </is>
      </c>
      <c r="K52" s="92" t="inlineStr">
        <is>
          <t>08 CROSSWALK</t>
        </is>
      </c>
    </row>
    <row r="53" ht="34" customHeight="1">
      <c r="A53" s="34" t="inlineStr">
        <is>
          <t>1.4.2.2</t>
        </is>
      </c>
      <c r="B53" s="106" t="inlineStr">
        <is>
          <t>Depot Buildings - Storage &amp; Commissioning Yard</t>
        </is>
      </c>
      <c r="C53" s="95" t="n">
        <v>4</v>
      </c>
      <c r="D53" s="34" t="inlineStr">
        <is>
          <t>0 governed relationships</t>
        </is>
      </c>
      <c r="E53" s="34" t="inlineStr">
        <is>
          <t>0 governed relationships</t>
        </is>
      </c>
      <c r="F53" s="34" t="inlineStr">
        <is>
          <t>0 governed relationships</t>
        </is>
      </c>
      <c r="G53" s="34" t="inlineStr">
        <is>
          <t>0 governed relationships</t>
        </is>
      </c>
      <c r="H53" s="95" t="n">
        <v>0</v>
      </c>
      <c r="I53" s="95" t="n">
        <v>0</v>
      </c>
      <c r="J53" s="34" t="inlineStr">
        <is>
          <t>Partial: No governed schedule or cost relationships in this WBS branch.</t>
        </is>
      </c>
      <c r="K53" s="92" t="inlineStr">
        <is>
          <t>08 CROSSWALK</t>
        </is>
      </c>
    </row>
    <row r="54" ht="34" customHeight="1">
      <c r="A54" s="34" t="inlineStr">
        <is>
          <t>1.4.3</t>
        </is>
      </c>
      <c r="B54" s="105" t="inlineStr">
        <is>
          <t>Vehicles and Depot - Workshop Equipment</t>
        </is>
      </c>
      <c r="C54" s="95" t="n">
        <v>3</v>
      </c>
      <c r="D54" s="34" t="inlineStr">
        <is>
          <t>0 governed relationships</t>
        </is>
      </c>
      <c r="E54" s="34" t="inlineStr">
        <is>
          <t>0 governed relationships</t>
        </is>
      </c>
      <c r="F54" s="34" t="inlineStr">
        <is>
          <t>0 governed relationships</t>
        </is>
      </c>
      <c r="G54" s="34" t="inlineStr">
        <is>
          <t>0 governed relationships</t>
        </is>
      </c>
      <c r="H54" s="95" t="n">
        <v>0</v>
      </c>
      <c r="I54" s="95" t="n">
        <v>0</v>
      </c>
      <c r="J54" s="34" t="inlineStr">
        <is>
          <t>Partial: No governed schedule or cost relationships in this WBS branch.</t>
        </is>
      </c>
      <c r="K54" s="92" t="inlineStr">
        <is>
          <t>08 CROSSWALK</t>
        </is>
      </c>
    </row>
    <row r="55" ht="34" customHeight="1">
      <c r="A55" s="34" t="inlineStr">
        <is>
          <t>1.4.3.1</t>
        </is>
      </c>
      <c r="B55" s="106" t="inlineStr">
        <is>
          <t>Workshop Equipment - Maintenance Facility</t>
        </is>
      </c>
      <c r="C55" s="95" t="n">
        <v>4</v>
      </c>
      <c r="D55" s="34" t="inlineStr">
        <is>
          <t>0 governed relationships</t>
        </is>
      </c>
      <c r="E55" s="34" t="inlineStr">
        <is>
          <t>0 governed relationships</t>
        </is>
      </c>
      <c r="F55" s="34" t="inlineStr">
        <is>
          <t>0 governed relationships</t>
        </is>
      </c>
      <c r="G55" s="34" t="inlineStr">
        <is>
          <t>0 governed relationships</t>
        </is>
      </c>
      <c r="H55" s="95" t="n">
        <v>0</v>
      </c>
      <c r="I55" s="95" t="n">
        <v>0</v>
      </c>
      <c r="J55" s="34" t="inlineStr">
        <is>
          <t>Partial: No governed schedule or cost relationships in this WBS branch.</t>
        </is>
      </c>
      <c r="K55" s="92" t="inlineStr">
        <is>
          <t>08 CROSSWALK</t>
        </is>
      </c>
    </row>
    <row r="56" ht="34" customHeight="1">
      <c r="A56" s="34" t="inlineStr">
        <is>
          <t>1.4.3.2</t>
        </is>
      </c>
      <c r="B56" s="106" t="inlineStr">
        <is>
          <t>Workshop Equipment - Storage &amp; Commissioning Yard</t>
        </is>
      </c>
      <c r="C56" s="95" t="n">
        <v>4</v>
      </c>
      <c r="D56" s="34" t="inlineStr">
        <is>
          <t>0 governed relationships</t>
        </is>
      </c>
      <c r="E56" s="34" t="inlineStr">
        <is>
          <t>0 governed relationships</t>
        </is>
      </c>
      <c r="F56" s="34" t="inlineStr">
        <is>
          <t>0 governed relationships</t>
        </is>
      </c>
      <c r="G56" s="34" t="inlineStr">
        <is>
          <t>0 governed relationships</t>
        </is>
      </c>
      <c r="H56" s="95" t="n">
        <v>0</v>
      </c>
      <c r="I56" s="95" t="n">
        <v>0</v>
      </c>
      <c r="J56" s="34" t="inlineStr">
        <is>
          <t>Partial: No governed schedule or cost relationships in this WBS branch.</t>
        </is>
      </c>
      <c r="K56" s="92" t="inlineStr">
        <is>
          <t>08 CROSSWALK</t>
        </is>
      </c>
    </row>
    <row r="57" ht="34" customHeight="1">
      <c r="A57" s="34" t="inlineStr">
        <is>
          <t>1.4.4</t>
        </is>
      </c>
      <c r="B57" s="105" t="inlineStr">
        <is>
          <t>Vehicles and Depot - Vehicle Integration</t>
        </is>
      </c>
      <c r="C57" s="95" t="n">
        <v>3</v>
      </c>
      <c r="D57" s="34" t="inlineStr">
        <is>
          <t>0 governed relationships</t>
        </is>
      </c>
      <c r="E57" s="34" t="inlineStr">
        <is>
          <t>0 governed relationships</t>
        </is>
      </c>
      <c r="F57" s="34" t="inlineStr">
        <is>
          <t>0 governed relationships</t>
        </is>
      </c>
      <c r="G57" s="34" t="inlineStr">
        <is>
          <t>0 governed relationships</t>
        </is>
      </c>
      <c r="H57" s="95" t="n">
        <v>0</v>
      </c>
      <c r="I57" s="95" t="n">
        <v>0</v>
      </c>
      <c r="J57" s="34" t="inlineStr">
        <is>
          <t>Partial: No governed schedule or cost relationships in this WBS branch.</t>
        </is>
      </c>
      <c r="K57" s="92" t="inlineStr">
        <is>
          <t>08 CROSSWALK</t>
        </is>
      </c>
    </row>
    <row r="58" ht="34" customHeight="1">
      <c r="A58" s="34" t="inlineStr">
        <is>
          <t>1.4.4.1</t>
        </is>
      </c>
      <c r="B58" s="106" t="inlineStr">
        <is>
          <t>Vehicle Integration - Maintenance Facility</t>
        </is>
      </c>
      <c r="C58" s="95" t="n">
        <v>4</v>
      </c>
      <c r="D58" s="34" t="inlineStr">
        <is>
          <t>0 governed relationships</t>
        </is>
      </c>
      <c r="E58" s="34" t="inlineStr">
        <is>
          <t>0 governed relationships</t>
        </is>
      </c>
      <c r="F58" s="34" t="inlineStr">
        <is>
          <t>0 governed relationships</t>
        </is>
      </c>
      <c r="G58" s="34" t="inlineStr">
        <is>
          <t>0 governed relationships</t>
        </is>
      </c>
      <c r="H58" s="95" t="n">
        <v>0</v>
      </c>
      <c r="I58" s="95" t="n">
        <v>0</v>
      </c>
      <c r="J58" s="34" t="inlineStr">
        <is>
          <t>Partial: No governed schedule or cost relationships in this WBS branch.</t>
        </is>
      </c>
      <c r="K58" s="92" t="inlineStr">
        <is>
          <t>08 CROSSWALK</t>
        </is>
      </c>
    </row>
    <row r="59" ht="34" customHeight="1">
      <c r="A59" s="34" t="inlineStr">
        <is>
          <t>1.4.4.2</t>
        </is>
      </c>
      <c r="B59" s="106" t="inlineStr">
        <is>
          <t>Vehicle Integration - Storage &amp; Commissioning Yard</t>
        </is>
      </c>
      <c r="C59" s="95" t="n">
        <v>4</v>
      </c>
      <c r="D59" s="34" t="inlineStr">
        <is>
          <t>0 governed relationships</t>
        </is>
      </c>
      <c r="E59" s="34" t="inlineStr">
        <is>
          <t>0 governed relationships</t>
        </is>
      </c>
      <c r="F59" s="34" t="inlineStr">
        <is>
          <t>0 governed relationships</t>
        </is>
      </c>
      <c r="G59" s="34" t="inlineStr">
        <is>
          <t>0 governed relationships</t>
        </is>
      </c>
      <c r="H59" s="95" t="n">
        <v>0</v>
      </c>
      <c r="I59" s="95" t="n">
        <v>0</v>
      </c>
      <c r="J59" s="34" t="inlineStr">
        <is>
          <t>Partial: No governed schedule or cost relationships in this WBS branch.</t>
        </is>
      </c>
      <c r="K59" s="92" t="inlineStr">
        <is>
          <t>08 CROSSWALK</t>
        </is>
      </c>
    </row>
    <row r="60" ht="64" customHeight="1">
      <c r="A60" s="34" t="inlineStr">
        <is>
          <t>1.5</t>
        </is>
      </c>
      <c r="B60" s="104" t="inlineStr">
        <is>
          <t>Testing and Commissioning</t>
        </is>
      </c>
      <c r="C60" s="95" t="n">
        <v>2</v>
      </c>
      <c r="D60" s="34" t="inlineStr">
        <is>
          <t>180 governed relationships</t>
        </is>
      </c>
      <c r="E60" s="34" t="inlineStr">
        <is>
          <t>0 governed relationships</t>
        </is>
      </c>
      <c r="F60" s="34" t="inlineStr">
        <is>
          <t>10 governed relationships</t>
        </is>
      </c>
      <c r="G60" s="34" t="inlineStr">
        <is>
          <t>0 governed relationships</t>
        </is>
      </c>
      <c r="H60" s="95" t="n">
        <v>0</v>
      </c>
      <c r="I60" s="95" t="n">
        <v>190</v>
      </c>
      <c r="J60" s="34" t="inlineStr">
        <is>
          <t>Attention: Schedule scope has no governed cost relationships in this WBS branch. 10 package/contract relationships also project through this branch.</t>
        </is>
      </c>
      <c r="K60" s="92" t="inlineStr">
        <is>
          <t>08 CROSSWALK</t>
        </is>
      </c>
    </row>
    <row r="61" ht="34" customHeight="1">
      <c r="A61" s="34" t="inlineStr">
        <is>
          <t>1.5.1</t>
        </is>
      </c>
      <c r="B61" s="105" t="inlineStr">
        <is>
          <t>Testing and Commissioning - Test Readiness</t>
        </is>
      </c>
      <c r="C61" s="95" t="n">
        <v>3</v>
      </c>
      <c r="D61" s="34" t="inlineStr">
        <is>
          <t>120 governed relationships</t>
        </is>
      </c>
      <c r="E61" s="34" t="inlineStr">
        <is>
          <t>0 governed relationships</t>
        </is>
      </c>
      <c r="F61" s="34" t="inlineStr">
        <is>
          <t>0 governed relationships</t>
        </is>
      </c>
      <c r="G61" s="34" t="inlineStr">
        <is>
          <t>0 governed relationships</t>
        </is>
      </c>
      <c r="H61" s="95" t="n">
        <v>0</v>
      </c>
      <c r="I61" s="95" t="n">
        <v>120</v>
      </c>
      <c r="J61" s="34" t="inlineStr">
        <is>
          <t>Attention: Schedule scope has no governed cost relationships in this WBS branch.</t>
        </is>
      </c>
      <c r="K61" s="92" t="inlineStr">
        <is>
          <t>08 CROSSWALK</t>
        </is>
      </c>
    </row>
    <row r="62" ht="34" customHeight="1">
      <c r="A62" s="34" t="inlineStr">
        <is>
          <t>1.5.1.1</t>
        </is>
      </c>
      <c r="B62" s="106" t="inlineStr">
        <is>
          <t>Test Readiness - Mainline</t>
        </is>
      </c>
      <c r="C62" s="95" t="n">
        <v>4</v>
      </c>
      <c r="D62" s="34" t="inlineStr">
        <is>
          <t>0 governed relationships</t>
        </is>
      </c>
      <c r="E62" s="34" t="inlineStr">
        <is>
          <t>0 governed relationships</t>
        </is>
      </c>
      <c r="F62" s="34" t="inlineStr">
        <is>
          <t>0 governed relationships</t>
        </is>
      </c>
      <c r="G62" s="34" t="inlineStr">
        <is>
          <t>0 governed relationships</t>
        </is>
      </c>
      <c r="H62" s="95" t="n">
        <v>0</v>
      </c>
      <c r="I62" s="95" t="n">
        <v>0</v>
      </c>
      <c r="J62" s="34" t="inlineStr">
        <is>
          <t>Partial: No governed schedule or cost relationships in this WBS branch.</t>
        </is>
      </c>
      <c r="K62" s="92" t="inlineStr">
        <is>
          <t>08 CROSSWALK</t>
        </is>
      </c>
    </row>
    <row r="63" ht="34" customHeight="1">
      <c r="A63" s="34" t="inlineStr">
        <is>
          <t>1.5.1.2</t>
        </is>
      </c>
      <c r="B63" s="106" t="inlineStr">
        <is>
          <t>Test Readiness - Depot &amp; Stations</t>
        </is>
      </c>
      <c r="C63" s="95" t="n">
        <v>4</v>
      </c>
      <c r="D63" s="34" t="inlineStr">
        <is>
          <t>0 governed relationships</t>
        </is>
      </c>
      <c r="E63" s="34" t="inlineStr">
        <is>
          <t>0 governed relationships</t>
        </is>
      </c>
      <c r="F63" s="34" t="inlineStr">
        <is>
          <t>0 governed relationships</t>
        </is>
      </c>
      <c r="G63" s="34" t="inlineStr">
        <is>
          <t>0 governed relationships</t>
        </is>
      </c>
      <c r="H63" s="95" t="n">
        <v>0</v>
      </c>
      <c r="I63" s="95" t="n">
        <v>0</v>
      </c>
      <c r="J63" s="34" t="inlineStr">
        <is>
          <t>Partial: No governed schedule or cost relationships in this WBS branch.</t>
        </is>
      </c>
      <c r="K63" s="92" t="inlineStr">
        <is>
          <t>08 CROSSWALK</t>
        </is>
      </c>
    </row>
    <row r="64" ht="34" customHeight="1">
      <c r="A64" s="34" t="inlineStr">
        <is>
          <t>1.5.2</t>
        </is>
      </c>
      <c r="B64" s="105" t="inlineStr">
        <is>
          <t>Testing and Commissioning - Dynamic Testing</t>
        </is>
      </c>
      <c r="C64" s="95" t="n">
        <v>3</v>
      </c>
      <c r="D64" s="34" t="inlineStr">
        <is>
          <t>60 governed relationships</t>
        </is>
      </c>
      <c r="E64" s="34" t="inlineStr">
        <is>
          <t>0 governed relationships</t>
        </is>
      </c>
      <c r="F64" s="34" t="inlineStr">
        <is>
          <t>0 governed relationships</t>
        </is>
      </c>
      <c r="G64" s="34" t="inlineStr">
        <is>
          <t>0 governed relationships</t>
        </is>
      </c>
      <c r="H64" s="95" t="n">
        <v>0</v>
      </c>
      <c r="I64" s="95" t="n">
        <v>60</v>
      </c>
      <c r="J64" s="34" t="inlineStr">
        <is>
          <t>Attention: Schedule scope has no governed cost relationships in this WBS branch.</t>
        </is>
      </c>
      <c r="K64" s="92" t="inlineStr">
        <is>
          <t>08 CROSSWALK</t>
        </is>
      </c>
    </row>
    <row r="65" ht="34" customHeight="1">
      <c r="A65" s="34" t="inlineStr">
        <is>
          <t>1.5.2.1</t>
        </is>
      </c>
      <c r="B65" s="106" t="inlineStr">
        <is>
          <t>Dynamic Testing - Mainline</t>
        </is>
      </c>
      <c r="C65" s="95" t="n">
        <v>4</v>
      </c>
      <c r="D65" s="34" t="inlineStr">
        <is>
          <t>0 governed relationships</t>
        </is>
      </c>
      <c r="E65" s="34" t="inlineStr">
        <is>
          <t>0 governed relationships</t>
        </is>
      </c>
      <c r="F65" s="34" t="inlineStr">
        <is>
          <t>0 governed relationships</t>
        </is>
      </c>
      <c r="G65" s="34" t="inlineStr">
        <is>
          <t>0 governed relationships</t>
        </is>
      </c>
      <c r="H65" s="95" t="n">
        <v>0</v>
      </c>
      <c r="I65" s="95" t="n">
        <v>0</v>
      </c>
      <c r="J65" s="34" t="inlineStr">
        <is>
          <t>Partial: No governed schedule or cost relationships in this WBS branch.</t>
        </is>
      </c>
      <c r="K65" s="92" t="inlineStr">
        <is>
          <t>08 CROSSWALK</t>
        </is>
      </c>
    </row>
    <row r="66" ht="34" customHeight="1">
      <c r="A66" s="34" t="inlineStr">
        <is>
          <t>1.5.2.2</t>
        </is>
      </c>
      <c r="B66" s="106" t="inlineStr">
        <is>
          <t>Dynamic Testing - Depot &amp; Stations</t>
        </is>
      </c>
      <c r="C66" s="95" t="n">
        <v>4</v>
      </c>
      <c r="D66" s="34" t="inlineStr">
        <is>
          <t>0 governed relationships</t>
        </is>
      </c>
      <c r="E66" s="34" t="inlineStr">
        <is>
          <t>0 governed relationships</t>
        </is>
      </c>
      <c r="F66" s="34" t="inlineStr">
        <is>
          <t>0 governed relationships</t>
        </is>
      </c>
      <c r="G66" s="34" t="inlineStr">
        <is>
          <t>0 governed relationships</t>
        </is>
      </c>
      <c r="H66" s="95" t="n">
        <v>0</v>
      </c>
      <c r="I66" s="95" t="n">
        <v>0</v>
      </c>
      <c r="J66" s="34" t="inlineStr">
        <is>
          <t>Partial: No governed schedule or cost relationships in this WBS branch.</t>
        </is>
      </c>
      <c r="K66" s="92" t="inlineStr">
        <is>
          <t>08 CROSSWALK</t>
        </is>
      </c>
    </row>
    <row r="67" ht="34" customHeight="1">
      <c r="A67" s="34" t="inlineStr">
        <is>
          <t>1.5.3</t>
        </is>
      </c>
      <c r="B67" s="105" t="inlineStr">
        <is>
          <t>Testing and Commissioning - Safety Certification</t>
        </is>
      </c>
      <c r="C67" s="95" t="n">
        <v>3</v>
      </c>
      <c r="D67" s="34" t="inlineStr">
        <is>
          <t>0 governed relationships</t>
        </is>
      </c>
      <c r="E67" s="34" t="inlineStr">
        <is>
          <t>0 governed relationships</t>
        </is>
      </c>
      <c r="F67" s="34" t="inlineStr">
        <is>
          <t>0 governed relationships</t>
        </is>
      </c>
      <c r="G67" s="34" t="inlineStr">
        <is>
          <t>0 governed relationships</t>
        </is>
      </c>
      <c r="H67" s="95" t="n">
        <v>0</v>
      </c>
      <c r="I67" s="95" t="n">
        <v>0</v>
      </c>
      <c r="J67" s="34" t="inlineStr">
        <is>
          <t>Partial: No governed schedule or cost relationships in this WBS branch.</t>
        </is>
      </c>
      <c r="K67" s="92" t="inlineStr">
        <is>
          <t>08 CROSSWALK</t>
        </is>
      </c>
    </row>
    <row r="68" ht="34" customHeight="1">
      <c r="A68" s="34" t="inlineStr">
        <is>
          <t>1.5.3.1</t>
        </is>
      </c>
      <c r="B68" s="106" t="inlineStr">
        <is>
          <t>Safety Certification - Mainline</t>
        </is>
      </c>
      <c r="C68" s="95" t="n">
        <v>4</v>
      </c>
      <c r="D68" s="34" t="inlineStr">
        <is>
          <t>0 governed relationships</t>
        </is>
      </c>
      <c r="E68" s="34" t="inlineStr">
        <is>
          <t>0 governed relationships</t>
        </is>
      </c>
      <c r="F68" s="34" t="inlineStr">
        <is>
          <t>0 governed relationships</t>
        </is>
      </c>
      <c r="G68" s="34" t="inlineStr">
        <is>
          <t>0 governed relationships</t>
        </is>
      </c>
      <c r="H68" s="95" t="n">
        <v>0</v>
      </c>
      <c r="I68" s="95" t="n">
        <v>0</v>
      </c>
      <c r="J68" s="34" t="inlineStr">
        <is>
          <t>Partial: No governed schedule or cost relationships in this WBS branch.</t>
        </is>
      </c>
      <c r="K68" s="92" t="inlineStr">
        <is>
          <t>08 CROSSWALK</t>
        </is>
      </c>
    </row>
    <row r="69" ht="34" customHeight="1">
      <c r="A69" s="34" t="inlineStr">
        <is>
          <t>1.5.3.2</t>
        </is>
      </c>
      <c r="B69" s="106" t="inlineStr">
        <is>
          <t>Safety Certification - Depot &amp; Stations</t>
        </is>
      </c>
      <c r="C69" s="95" t="n">
        <v>4</v>
      </c>
      <c r="D69" s="34" t="inlineStr">
        <is>
          <t>0 governed relationships</t>
        </is>
      </c>
      <c r="E69" s="34" t="inlineStr">
        <is>
          <t>0 governed relationships</t>
        </is>
      </c>
      <c r="F69" s="34" t="inlineStr">
        <is>
          <t>0 governed relationships</t>
        </is>
      </c>
      <c r="G69" s="34" t="inlineStr">
        <is>
          <t>0 governed relationships</t>
        </is>
      </c>
      <c r="H69" s="95" t="n">
        <v>0</v>
      </c>
      <c r="I69" s="95" t="n">
        <v>0</v>
      </c>
      <c r="J69" s="34" t="inlineStr">
        <is>
          <t>Partial: No governed schedule or cost relationships in this WBS branch.</t>
        </is>
      </c>
      <c r="K69" s="92" t="inlineStr">
        <is>
          <t>08 CROSSWALK</t>
        </is>
      </c>
    </row>
    <row r="70" ht="34" customHeight="1">
      <c r="A70" s="34" t="inlineStr">
        <is>
          <t>1.5.4</t>
        </is>
      </c>
      <c r="B70" s="105" t="inlineStr">
        <is>
          <t>Testing and Commissioning - Service Readiness</t>
        </is>
      </c>
      <c r="C70" s="95" t="n">
        <v>3</v>
      </c>
      <c r="D70" s="34" t="inlineStr">
        <is>
          <t>0 governed relationships</t>
        </is>
      </c>
      <c r="E70" s="34" t="inlineStr">
        <is>
          <t>0 governed relationships</t>
        </is>
      </c>
      <c r="F70" s="34" t="inlineStr">
        <is>
          <t>0 governed relationships</t>
        </is>
      </c>
      <c r="G70" s="34" t="inlineStr">
        <is>
          <t>0 governed relationships</t>
        </is>
      </c>
      <c r="H70" s="95" t="n">
        <v>0</v>
      </c>
      <c r="I70" s="95" t="n">
        <v>0</v>
      </c>
      <c r="J70" s="34" t="inlineStr">
        <is>
          <t>Partial: No governed schedule or cost relationships in this WBS branch.</t>
        </is>
      </c>
      <c r="K70" s="92" t="inlineStr">
        <is>
          <t>08 CROSSWALK</t>
        </is>
      </c>
    </row>
    <row r="71" ht="34" customHeight="1">
      <c r="A71" s="34" t="inlineStr">
        <is>
          <t>1.5.4.1</t>
        </is>
      </c>
      <c r="B71" s="106" t="inlineStr">
        <is>
          <t>Service Readiness - Mainline</t>
        </is>
      </c>
      <c r="C71" s="95" t="n">
        <v>4</v>
      </c>
      <c r="D71" s="34" t="inlineStr">
        <is>
          <t>0 governed relationships</t>
        </is>
      </c>
      <c r="E71" s="34" t="inlineStr">
        <is>
          <t>0 governed relationships</t>
        </is>
      </c>
      <c r="F71" s="34" t="inlineStr">
        <is>
          <t>0 governed relationships</t>
        </is>
      </c>
      <c r="G71" s="34" t="inlineStr">
        <is>
          <t>0 governed relationships</t>
        </is>
      </c>
      <c r="H71" s="95" t="n">
        <v>0</v>
      </c>
      <c r="I71" s="95" t="n">
        <v>0</v>
      </c>
      <c r="J71" s="34" t="inlineStr">
        <is>
          <t>Partial: No governed schedule or cost relationships in this WBS branch.</t>
        </is>
      </c>
      <c r="K71" s="92" t="inlineStr">
        <is>
          <t>08 CROSSWALK</t>
        </is>
      </c>
    </row>
    <row r="72" ht="34" customHeight="1">
      <c r="A72" s="34" t="inlineStr">
        <is>
          <t>1.5.4.2</t>
        </is>
      </c>
      <c r="B72" s="106" t="inlineStr">
        <is>
          <t>Service Readiness - Depot &amp; Stations</t>
        </is>
      </c>
      <c r="C72" s="95" t="n">
        <v>4</v>
      </c>
      <c r="D72" s="34" t="inlineStr">
        <is>
          <t>0 governed relationships</t>
        </is>
      </c>
      <c r="E72" s="34" t="inlineStr">
        <is>
          <t>0 governed relationships</t>
        </is>
      </c>
      <c r="F72" s="34" t="inlineStr">
        <is>
          <t>0 governed relationships</t>
        </is>
      </c>
      <c r="G72" s="34" t="inlineStr">
        <is>
          <t>0 governed relationships</t>
        </is>
      </c>
      <c r="H72" s="95" t="n">
        <v>0</v>
      </c>
      <c r="I72" s="95" t="n">
        <v>0</v>
      </c>
      <c r="J72" s="34" t="inlineStr">
        <is>
          <t>Partial: No governed schedule or cost relationships in this WBS branch.</t>
        </is>
      </c>
      <c r="K72" s="92" t="inlineStr">
        <is>
          <t>08 CROSSWALK</t>
        </is>
      </c>
    </row>
    <row r="73" ht="64" customHeight="1">
      <c r="A73" s="34" t="inlineStr">
        <is>
          <t>1.6</t>
        </is>
      </c>
      <c r="B73" s="104" t="inlineStr">
        <is>
          <t>Program Management</t>
        </is>
      </c>
      <c r="C73" s="95" t="n">
        <v>2</v>
      </c>
      <c r="D73" s="34" t="inlineStr">
        <is>
          <t>0 governed relationships</t>
        </is>
      </c>
      <c r="E73" s="34" t="inlineStr">
        <is>
          <t>80 governed relationships</t>
        </is>
      </c>
      <c r="F73" s="34" t="inlineStr">
        <is>
          <t>10 governed relationships</t>
        </is>
      </c>
      <c r="G73" s="34" t="inlineStr">
        <is>
          <t>0 governed relationships</t>
        </is>
      </c>
      <c r="H73" s="95" t="n">
        <v>0</v>
      </c>
      <c r="I73" s="95" t="n">
        <v>90</v>
      </c>
      <c r="J73" s="34" t="inlineStr">
        <is>
          <t>Attention: Cost scope has no governed schedule relationships in this WBS branch. 10 package/contract relationships also project through this branch.</t>
        </is>
      </c>
      <c r="K73" s="92" t="inlineStr">
        <is>
          <t>08 CROSSWALK</t>
        </is>
      </c>
    </row>
    <row r="74" ht="49" customHeight="1">
      <c r="A74" s="34" t="inlineStr">
        <is>
          <t>1.6.1</t>
        </is>
      </c>
      <c r="B74" s="105" t="inlineStr">
        <is>
          <t>Program Management - Program Controls</t>
        </is>
      </c>
      <c r="C74" s="95" t="n">
        <v>3</v>
      </c>
      <c r="D74" s="34" t="inlineStr">
        <is>
          <t>0 governed relationships</t>
        </is>
      </c>
      <c r="E74" s="34" t="inlineStr">
        <is>
          <t>40 governed relationships</t>
        </is>
      </c>
      <c r="F74" s="34" t="inlineStr">
        <is>
          <t>0 governed relationships</t>
        </is>
      </c>
      <c r="G74" s="34" t="inlineStr">
        <is>
          <t>0 governed relationships</t>
        </is>
      </c>
      <c r="H74" s="95" t="n">
        <v>0</v>
      </c>
      <c r="I74" s="95" t="n">
        <v>40</v>
      </c>
      <c r="J74" s="34" t="inlineStr">
        <is>
          <t>Attention: Cost scope has no governed schedule relationships in this WBS branch.</t>
        </is>
      </c>
      <c r="K74" s="92" t="inlineStr">
        <is>
          <t>08 CROSSWALK</t>
        </is>
      </c>
    </row>
    <row r="75" ht="34" customHeight="1">
      <c r="A75" s="34" t="inlineStr">
        <is>
          <t>1.6.1.1</t>
        </is>
      </c>
      <c r="B75" s="106" t="inlineStr">
        <is>
          <t>Program Controls - Owner Team</t>
        </is>
      </c>
      <c r="C75" s="95" t="n">
        <v>4</v>
      </c>
      <c r="D75" s="34" t="inlineStr">
        <is>
          <t>0 governed relationships</t>
        </is>
      </c>
      <c r="E75" s="34" t="inlineStr">
        <is>
          <t>0 governed relationships</t>
        </is>
      </c>
      <c r="F75" s="34" t="inlineStr">
        <is>
          <t>0 governed relationships</t>
        </is>
      </c>
      <c r="G75" s="34" t="inlineStr">
        <is>
          <t>0 governed relationships</t>
        </is>
      </c>
      <c r="H75" s="95" t="n">
        <v>0</v>
      </c>
      <c r="I75" s="95" t="n">
        <v>0</v>
      </c>
      <c r="J75" s="34" t="inlineStr">
        <is>
          <t>Partial: No governed schedule or cost relationships in this WBS branch.</t>
        </is>
      </c>
      <c r="K75" s="92" t="inlineStr">
        <is>
          <t>08 CROSSWALK</t>
        </is>
      </c>
    </row>
    <row r="76" ht="34" customHeight="1">
      <c r="A76" s="34" t="inlineStr">
        <is>
          <t>1.6.1.2</t>
        </is>
      </c>
      <c r="B76" s="106" t="inlineStr">
        <is>
          <t>Program Controls - Delivery Partners</t>
        </is>
      </c>
      <c r="C76" s="95" t="n">
        <v>4</v>
      </c>
      <c r="D76" s="34" t="inlineStr">
        <is>
          <t>0 governed relationships</t>
        </is>
      </c>
      <c r="E76" s="34" t="inlineStr">
        <is>
          <t>0 governed relationships</t>
        </is>
      </c>
      <c r="F76" s="34" t="inlineStr">
        <is>
          <t>0 governed relationships</t>
        </is>
      </c>
      <c r="G76" s="34" t="inlineStr">
        <is>
          <t>0 governed relationships</t>
        </is>
      </c>
      <c r="H76" s="95" t="n">
        <v>0</v>
      </c>
      <c r="I76" s="95" t="n">
        <v>0</v>
      </c>
      <c r="J76" s="34" t="inlineStr">
        <is>
          <t>Partial: No governed schedule or cost relationships in this WBS branch.</t>
        </is>
      </c>
      <c r="K76" s="92" t="inlineStr">
        <is>
          <t>08 CROSSWALK</t>
        </is>
      </c>
    </row>
    <row r="77" ht="49" customHeight="1">
      <c r="A77" s="34" t="inlineStr">
        <is>
          <t>1.6.2</t>
        </is>
      </c>
      <c r="B77" s="105" t="inlineStr">
        <is>
          <t>Program Management - Commercial &amp; Procurement</t>
        </is>
      </c>
      <c r="C77" s="95" t="n">
        <v>3</v>
      </c>
      <c r="D77" s="34" t="inlineStr">
        <is>
          <t>0 governed relationships</t>
        </is>
      </c>
      <c r="E77" s="34" t="inlineStr">
        <is>
          <t>40 governed relationships</t>
        </is>
      </c>
      <c r="F77" s="34" t="inlineStr">
        <is>
          <t>0 governed relationships</t>
        </is>
      </c>
      <c r="G77" s="34" t="inlineStr">
        <is>
          <t>0 governed relationships</t>
        </is>
      </c>
      <c r="H77" s="95" t="n">
        <v>0</v>
      </c>
      <c r="I77" s="95" t="n">
        <v>40</v>
      </c>
      <c r="J77" s="34" t="inlineStr">
        <is>
          <t>Attention: Cost scope has no governed schedule relationships in this WBS branch.</t>
        </is>
      </c>
      <c r="K77" s="92" t="inlineStr">
        <is>
          <t>08 CROSSWALK</t>
        </is>
      </c>
    </row>
    <row r="78" ht="34" customHeight="1">
      <c r="A78" s="34" t="inlineStr">
        <is>
          <t>1.6.2.1</t>
        </is>
      </c>
      <c r="B78" s="106" t="inlineStr">
        <is>
          <t>Commercial &amp; Procurement - Owner Team</t>
        </is>
      </c>
      <c r="C78" s="95" t="n">
        <v>4</v>
      </c>
      <c r="D78" s="34" t="inlineStr">
        <is>
          <t>0 governed relationships</t>
        </is>
      </c>
      <c r="E78" s="34" t="inlineStr">
        <is>
          <t>0 governed relationships</t>
        </is>
      </c>
      <c r="F78" s="34" t="inlineStr">
        <is>
          <t>0 governed relationships</t>
        </is>
      </c>
      <c r="G78" s="34" t="inlineStr">
        <is>
          <t>0 governed relationships</t>
        </is>
      </c>
      <c r="H78" s="95" t="n">
        <v>0</v>
      </c>
      <c r="I78" s="95" t="n">
        <v>0</v>
      </c>
      <c r="J78" s="34" t="inlineStr">
        <is>
          <t>Partial: No governed schedule or cost relationships in this WBS branch.</t>
        </is>
      </c>
      <c r="K78" s="92" t="inlineStr">
        <is>
          <t>08 CROSSWALK</t>
        </is>
      </c>
    </row>
    <row r="79" ht="34" customHeight="1">
      <c r="A79" s="34" t="inlineStr">
        <is>
          <t>1.6.2.2</t>
        </is>
      </c>
      <c r="B79" s="106" t="inlineStr">
        <is>
          <t>Commercial &amp; Procurement - Delivery Partners</t>
        </is>
      </c>
      <c r="C79" s="95" t="n">
        <v>4</v>
      </c>
      <c r="D79" s="34" t="inlineStr">
        <is>
          <t>0 governed relationships</t>
        </is>
      </c>
      <c r="E79" s="34" t="inlineStr">
        <is>
          <t>0 governed relationships</t>
        </is>
      </c>
      <c r="F79" s="34" t="inlineStr">
        <is>
          <t>0 governed relationships</t>
        </is>
      </c>
      <c r="G79" s="34" t="inlineStr">
        <is>
          <t>0 governed relationships</t>
        </is>
      </c>
      <c r="H79" s="95" t="n">
        <v>0</v>
      </c>
      <c r="I79" s="95" t="n">
        <v>0</v>
      </c>
      <c r="J79" s="34" t="inlineStr">
        <is>
          <t>Partial: No governed schedule or cost relationships in this WBS branch.</t>
        </is>
      </c>
      <c r="K79" s="92" t="inlineStr">
        <is>
          <t>08 CROSSWALK</t>
        </is>
      </c>
    </row>
    <row r="80" ht="34" customHeight="1">
      <c r="A80" s="34" t="inlineStr">
        <is>
          <t>1.6.3</t>
        </is>
      </c>
      <c r="B80" s="105" t="inlineStr">
        <is>
          <t>Program Management - Stakeholder &amp; Permits</t>
        </is>
      </c>
      <c r="C80" s="95" t="n">
        <v>3</v>
      </c>
      <c r="D80" s="34" t="inlineStr">
        <is>
          <t>0 governed relationships</t>
        </is>
      </c>
      <c r="E80" s="34" t="inlineStr">
        <is>
          <t>0 governed relationships</t>
        </is>
      </c>
      <c r="F80" s="34" t="inlineStr">
        <is>
          <t>0 governed relationships</t>
        </is>
      </c>
      <c r="G80" s="34" t="inlineStr">
        <is>
          <t>0 governed relationships</t>
        </is>
      </c>
      <c r="H80" s="95" t="n">
        <v>0</v>
      </c>
      <c r="I80" s="95" t="n">
        <v>0</v>
      </c>
      <c r="J80" s="34" t="inlineStr">
        <is>
          <t>Partial: No governed schedule or cost relationships in this WBS branch.</t>
        </is>
      </c>
      <c r="K80" s="92" t="inlineStr">
        <is>
          <t>08 CROSSWALK</t>
        </is>
      </c>
    </row>
    <row r="81" ht="34" customHeight="1">
      <c r="A81" s="34" t="inlineStr">
        <is>
          <t>1.6.3.1</t>
        </is>
      </c>
      <c r="B81" s="106" t="inlineStr">
        <is>
          <t>Stakeholder &amp; Permits - Owner Team</t>
        </is>
      </c>
      <c r="C81" s="95" t="n">
        <v>4</v>
      </c>
      <c r="D81" s="34" t="inlineStr">
        <is>
          <t>0 governed relationships</t>
        </is>
      </c>
      <c r="E81" s="34" t="inlineStr">
        <is>
          <t>0 governed relationships</t>
        </is>
      </c>
      <c r="F81" s="34" t="inlineStr">
        <is>
          <t>0 governed relationships</t>
        </is>
      </c>
      <c r="G81" s="34" t="inlineStr">
        <is>
          <t>0 governed relationships</t>
        </is>
      </c>
      <c r="H81" s="95" t="n">
        <v>0</v>
      </c>
      <c r="I81" s="95" t="n">
        <v>0</v>
      </c>
      <c r="J81" s="34" t="inlineStr">
        <is>
          <t>Partial: No governed schedule or cost relationships in this WBS branch.</t>
        </is>
      </c>
      <c r="K81" s="92" t="inlineStr">
        <is>
          <t>08 CROSSWALK</t>
        </is>
      </c>
    </row>
    <row r="82" ht="34" customHeight="1">
      <c r="A82" s="34" t="inlineStr">
        <is>
          <t>1.6.3.2</t>
        </is>
      </c>
      <c r="B82" s="106" t="inlineStr">
        <is>
          <t>Stakeholder &amp; Permits - Delivery Partners</t>
        </is>
      </c>
      <c r="C82" s="95" t="n">
        <v>4</v>
      </c>
      <c r="D82" s="34" t="inlineStr">
        <is>
          <t>0 governed relationships</t>
        </is>
      </c>
      <c r="E82" s="34" t="inlineStr">
        <is>
          <t>0 governed relationships</t>
        </is>
      </c>
      <c r="F82" s="34" t="inlineStr">
        <is>
          <t>0 governed relationships</t>
        </is>
      </c>
      <c r="G82" s="34" t="inlineStr">
        <is>
          <t>0 governed relationships</t>
        </is>
      </c>
      <c r="H82" s="95" t="n">
        <v>0</v>
      </c>
      <c r="I82" s="95" t="n">
        <v>0</v>
      </c>
      <c r="J82" s="34" t="inlineStr">
        <is>
          <t>Partial: No governed schedule or cost relationships in this WBS branch.</t>
        </is>
      </c>
      <c r="K82" s="92" t="inlineStr">
        <is>
          <t>08 CROSSWALK</t>
        </is>
      </c>
    </row>
    <row r="83" ht="34" customHeight="1">
      <c r="A83" s="34" t="inlineStr">
        <is>
          <t>1.6.4</t>
        </is>
      </c>
      <c r="B83" s="105" t="inlineStr">
        <is>
          <t>Program Management - Delivery Integration</t>
        </is>
      </c>
      <c r="C83" s="95" t="n">
        <v>3</v>
      </c>
      <c r="D83" s="34" t="inlineStr">
        <is>
          <t>0 governed relationships</t>
        </is>
      </c>
      <c r="E83" s="34" t="inlineStr">
        <is>
          <t>0 governed relationships</t>
        </is>
      </c>
      <c r="F83" s="34" t="inlineStr">
        <is>
          <t>0 governed relationships</t>
        </is>
      </c>
      <c r="G83" s="34" t="inlineStr">
        <is>
          <t>0 governed relationships</t>
        </is>
      </c>
      <c r="H83" s="95" t="n">
        <v>0</v>
      </c>
      <c r="I83" s="95" t="n">
        <v>0</v>
      </c>
      <c r="J83" s="34" t="inlineStr">
        <is>
          <t>Partial: No governed schedule or cost relationships in this WBS branch.</t>
        </is>
      </c>
      <c r="K83" s="92" t="inlineStr">
        <is>
          <t>08 CROSSWALK</t>
        </is>
      </c>
    </row>
    <row r="84" ht="34" customHeight="1">
      <c r="A84" s="34" t="inlineStr">
        <is>
          <t>1.6.4.1</t>
        </is>
      </c>
      <c r="B84" s="106" t="inlineStr">
        <is>
          <t>Delivery Integration - Owner Team</t>
        </is>
      </c>
      <c r="C84" s="95" t="n">
        <v>4</v>
      </c>
      <c r="D84" s="34" t="inlineStr">
        <is>
          <t>0 governed relationships</t>
        </is>
      </c>
      <c r="E84" s="34" t="inlineStr">
        <is>
          <t>0 governed relationships</t>
        </is>
      </c>
      <c r="F84" s="34" t="inlineStr">
        <is>
          <t>0 governed relationships</t>
        </is>
      </c>
      <c r="G84" s="34" t="inlineStr">
        <is>
          <t>0 governed relationships</t>
        </is>
      </c>
      <c r="H84" s="95" t="n">
        <v>0</v>
      </c>
      <c r="I84" s="95" t="n">
        <v>0</v>
      </c>
      <c r="J84" s="34" t="inlineStr">
        <is>
          <t>Partial: No governed schedule or cost relationships in this WBS branch.</t>
        </is>
      </c>
      <c r="K84" s="92" t="inlineStr">
        <is>
          <t>08 CROSSWALK</t>
        </is>
      </c>
    </row>
    <row r="85" ht="34" customHeight="1">
      <c r="A85" s="34" t="inlineStr">
        <is>
          <t>1.6.4.2</t>
        </is>
      </c>
      <c r="B85" s="106" t="inlineStr">
        <is>
          <t>Delivery Integration - Delivery Partners</t>
        </is>
      </c>
      <c r="C85" s="95" t="n">
        <v>4</v>
      </c>
      <c r="D85" s="34" t="inlineStr">
        <is>
          <t>0 governed relationships</t>
        </is>
      </c>
      <c r="E85" s="34" t="inlineStr">
        <is>
          <t>0 governed relationships</t>
        </is>
      </c>
      <c r="F85" s="34" t="inlineStr">
        <is>
          <t>0 governed relationships</t>
        </is>
      </c>
      <c r="G85" s="34" t="inlineStr">
        <is>
          <t>0 governed relationships</t>
        </is>
      </c>
      <c r="H85" s="95" t="n">
        <v>0</v>
      </c>
      <c r="I85" s="95" t="n">
        <v>0</v>
      </c>
      <c r="J85" s="34" t="inlineStr">
        <is>
          <t>Partial: No governed schedule or cost relationships in this WBS branch.</t>
        </is>
      </c>
      <c r="K85" s="92" t="inlineStr">
        <is>
          <t>08 CROSSWALK</t>
        </is>
      </c>
    </row>
  </sheetData>
  <autoFilter ref="A5:K85"/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A4" r:id="rId9"/>
    <hyperlink xmlns:r="http://schemas.openxmlformats.org/officeDocument/2006/relationships" ref="K6" r:id="rId10"/>
    <hyperlink xmlns:r="http://schemas.openxmlformats.org/officeDocument/2006/relationships" ref="K7" tooltip="First relationship in this approved WBS branch; use the WBS Explorer hierarchy and Target WBS filter to inspect all descendant targets." r:id="rId11"/>
    <hyperlink xmlns:r="http://schemas.openxmlformats.org/officeDocument/2006/relationships" ref="K8" tooltip="First relationship in this approved WBS branch; use the WBS Explorer hierarchy and Target WBS filter to inspect all descendant targets." r:id="rId12"/>
    <hyperlink xmlns:r="http://schemas.openxmlformats.org/officeDocument/2006/relationships" ref="K9" tooltip="First relationship in this approved WBS branch; use the WBS Explorer hierarchy and Target WBS filter to inspect all descendant targets." r:id="rId13"/>
    <hyperlink xmlns:r="http://schemas.openxmlformats.org/officeDocument/2006/relationships" ref="K10" r:id="rId14"/>
    <hyperlink xmlns:r="http://schemas.openxmlformats.org/officeDocument/2006/relationships" ref="K11" r:id="rId15"/>
    <hyperlink xmlns:r="http://schemas.openxmlformats.org/officeDocument/2006/relationships" ref="K12" tooltip="First relationship in this approved WBS branch; use the WBS Explorer hierarchy and Target WBS filter to inspect all descendant targets." r:id="rId16"/>
    <hyperlink xmlns:r="http://schemas.openxmlformats.org/officeDocument/2006/relationships" ref="K13" r:id="rId17"/>
    <hyperlink xmlns:r="http://schemas.openxmlformats.org/officeDocument/2006/relationships" ref="K14" r:id="rId18"/>
    <hyperlink xmlns:r="http://schemas.openxmlformats.org/officeDocument/2006/relationships" ref="K15" r:id="rId19"/>
    <hyperlink xmlns:r="http://schemas.openxmlformats.org/officeDocument/2006/relationships" ref="K16" r:id="rId20"/>
    <hyperlink xmlns:r="http://schemas.openxmlformats.org/officeDocument/2006/relationships" ref="K17" r:id="rId21"/>
    <hyperlink xmlns:r="http://schemas.openxmlformats.org/officeDocument/2006/relationships" ref="K18" r:id="rId22"/>
    <hyperlink xmlns:r="http://schemas.openxmlformats.org/officeDocument/2006/relationships" ref="K19" r:id="rId23"/>
    <hyperlink xmlns:r="http://schemas.openxmlformats.org/officeDocument/2006/relationships" ref="K20" r:id="rId24"/>
    <hyperlink xmlns:r="http://schemas.openxmlformats.org/officeDocument/2006/relationships" ref="K21" tooltip="First relationship in this approved WBS branch; use the WBS Explorer hierarchy and Target WBS filter to inspect all descendant targets." r:id="rId25"/>
    <hyperlink xmlns:r="http://schemas.openxmlformats.org/officeDocument/2006/relationships" ref="K22" tooltip="First relationship in this approved WBS branch; use the WBS Explorer hierarchy and Target WBS filter to inspect all descendant targets." r:id="rId26"/>
    <hyperlink xmlns:r="http://schemas.openxmlformats.org/officeDocument/2006/relationships" ref="K23" r:id="rId27"/>
    <hyperlink xmlns:r="http://schemas.openxmlformats.org/officeDocument/2006/relationships" ref="K24" r:id="rId28"/>
    <hyperlink xmlns:r="http://schemas.openxmlformats.org/officeDocument/2006/relationships" ref="K25" tooltip="First relationship in this approved WBS branch; use the WBS Explorer hierarchy and Target WBS filter to inspect all descendant targets." r:id="rId29"/>
    <hyperlink xmlns:r="http://schemas.openxmlformats.org/officeDocument/2006/relationships" ref="K26" r:id="rId30"/>
    <hyperlink xmlns:r="http://schemas.openxmlformats.org/officeDocument/2006/relationships" ref="K27" r:id="rId31"/>
    <hyperlink xmlns:r="http://schemas.openxmlformats.org/officeDocument/2006/relationships" ref="K28" r:id="rId32"/>
    <hyperlink xmlns:r="http://schemas.openxmlformats.org/officeDocument/2006/relationships" ref="K29" r:id="rId33"/>
    <hyperlink xmlns:r="http://schemas.openxmlformats.org/officeDocument/2006/relationships" ref="K30" r:id="rId34"/>
    <hyperlink xmlns:r="http://schemas.openxmlformats.org/officeDocument/2006/relationships" ref="K31" r:id="rId35"/>
    <hyperlink xmlns:r="http://schemas.openxmlformats.org/officeDocument/2006/relationships" ref="K32" r:id="rId36"/>
    <hyperlink xmlns:r="http://schemas.openxmlformats.org/officeDocument/2006/relationships" ref="K33" r:id="rId37"/>
    <hyperlink xmlns:r="http://schemas.openxmlformats.org/officeDocument/2006/relationships" ref="K34" tooltip="First relationship in this approved WBS branch; use the WBS Explorer hierarchy and Target WBS filter to inspect all descendant targets." r:id="rId38"/>
    <hyperlink xmlns:r="http://schemas.openxmlformats.org/officeDocument/2006/relationships" ref="K35" tooltip="First relationship in this approved WBS branch; use the WBS Explorer hierarchy and Target WBS filter to inspect all descendant targets." r:id="rId39"/>
    <hyperlink xmlns:r="http://schemas.openxmlformats.org/officeDocument/2006/relationships" ref="K36" r:id="rId40"/>
    <hyperlink xmlns:r="http://schemas.openxmlformats.org/officeDocument/2006/relationships" ref="K37" r:id="rId41"/>
    <hyperlink xmlns:r="http://schemas.openxmlformats.org/officeDocument/2006/relationships" ref="K38" tooltip="First relationship in this approved WBS branch; use the WBS Explorer hierarchy and Target WBS filter to inspect all descendant targets." r:id="rId42"/>
    <hyperlink xmlns:r="http://schemas.openxmlformats.org/officeDocument/2006/relationships" ref="K39" r:id="rId43"/>
    <hyperlink xmlns:r="http://schemas.openxmlformats.org/officeDocument/2006/relationships" ref="K40" r:id="rId44"/>
    <hyperlink xmlns:r="http://schemas.openxmlformats.org/officeDocument/2006/relationships" ref="K41" r:id="rId45"/>
    <hyperlink xmlns:r="http://schemas.openxmlformats.org/officeDocument/2006/relationships" ref="K42" r:id="rId46"/>
    <hyperlink xmlns:r="http://schemas.openxmlformats.org/officeDocument/2006/relationships" ref="K43" r:id="rId47"/>
    <hyperlink xmlns:r="http://schemas.openxmlformats.org/officeDocument/2006/relationships" ref="K44" r:id="rId48"/>
    <hyperlink xmlns:r="http://schemas.openxmlformats.org/officeDocument/2006/relationships" ref="K45" r:id="rId49"/>
    <hyperlink xmlns:r="http://schemas.openxmlformats.org/officeDocument/2006/relationships" ref="K46" r:id="rId50"/>
    <hyperlink xmlns:r="http://schemas.openxmlformats.org/officeDocument/2006/relationships" ref="K47" tooltip="First relationship in this approved WBS branch; use the WBS Explorer hierarchy and Target WBS filter to inspect all descendant targets." r:id="rId51"/>
    <hyperlink xmlns:r="http://schemas.openxmlformats.org/officeDocument/2006/relationships" ref="K48" tooltip="First relationship in this approved WBS branch; use the WBS Explorer hierarchy and Target WBS filter to inspect all descendant targets." r:id="rId52"/>
    <hyperlink xmlns:r="http://schemas.openxmlformats.org/officeDocument/2006/relationships" ref="K49" r:id="rId53"/>
    <hyperlink xmlns:r="http://schemas.openxmlformats.org/officeDocument/2006/relationships" ref="K50" r:id="rId54"/>
    <hyperlink xmlns:r="http://schemas.openxmlformats.org/officeDocument/2006/relationships" ref="K51" tooltip="First relationship in this approved WBS branch; use the WBS Explorer hierarchy and Target WBS filter to inspect all descendant targets." r:id="rId55"/>
    <hyperlink xmlns:r="http://schemas.openxmlformats.org/officeDocument/2006/relationships" ref="K52" r:id="rId56"/>
    <hyperlink xmlns:r="http://schemas.openxmlformats.org/officeDocument/2006/relationships" ref="K53" r:id="rId57"/>
    <hyperlink xmlns:r="http://schemas.openxmlformats.org/officeDocument/2006/relationships" ref="K54" r:id="rId58"/>
    <hyperlink xmlns:r="http://schemas.openxmlformats.org/officeDocument/2006/relationships" ref="K55" r:id="rId59"/>
    <hyperlink xmlns:r="http://schemas.openxmlformats.org/officeDocument/2006/relationships" ref="K56" r:id="rId60"/>
    <hyperlink xmlns:r="http://schemas.openxmlformats.org/officeDocument/2006/relationships" ref="K57" r:id="rId61"/>
    <hyperlink xmlns:r="http://schemas.openxmlformats.org/officeDocument/2006/relationships" ref="K58" r:id="rId62"/>
    <hyperlink xmlns:r="http://schemas.openxmlformats.org/officeDocument/2006/relationships" ref="K59" r:id="rId63"/>
    <hyperlink xmlns:r="http://schemas.openxmlformats.org/officeDocument/2006/relationships" ref="K60" tooltip="First relationship in this approved WBS branch; use the WBS Explorer hierarchy and Target WBS filter to inspect all descendant targets." r:id="rId64"/>
    <hyperlink xmlns:r="http://schemas.openxmlformats.org/officeDocument/2006/relationships" ref="K61" tooltip="First relationship in this approved WBS branch; use the WBS Explorer hierarchy and Target WBS filter to inspect all descendant targets." r:id="rId65"/>
    <hyperlink xmlns:r="http://schemas.openxmlformats.org/officeDocument/2006/relationships" ref="K62" r:id="rId66"/>
    <hyperlink xmlns:r="http://schemas.openxmlformats.org/officeDocument/2006/relationships" ref="K63" r:id="rId67"/>
    <hyperlink xmlns:r="http://schemas.openxmlformats.org/officeDocument/2006/relationships" ref="K64" tooltip="First relationship in this approved WBS branch; use the WBS Explorer hierarchy and Target WBS filter to inspect all descendant targets." r:id="rId68"/>
    <hyperlink xmlns:r="http://schemas.openxmlformats.org/officeDocument/2006/relationships" ref="K65" r:id="rId69"/>
    <hyperlink xmlns:r="http://schemas.openxmlformats.org/officeDocument/2006/relationships" ref="K66" r:id="rId70"/>
    <hyperlink xmlns:r="http://schemas.openxmlformats.org/officeDocument/2006/relationships" ref="K67" r:id="rId71"/>
    <hyperlink xmlns:r="http://schemas.openxmlformats.org/officeDocument/2006/relationships" ref="K68" r:id="rId72"/>
    <hyperlink xmlns:r="http://schemas.openxmlformats.org/officeDocument/2006/relationships" ref="K69" r:id="rId73"/>
    <hyperlink xmlns:r="http://schemas.openxmlformats.org/officeDocument/2006/relationships" ref="K70" r:id="rId74"/>
    <hyperlink xmlns:r="http://schemas.openxmlformats.org/officeDocument/2006/relationships" ref="K71" r:id="rId75"/>
    <hyperlink xmlns:r="http://schemas.openxmlformats.org/officeDocument/2006/relationships" ref="K72" r:id="rId76"/>
    <hyperlink xmlns:r="http://schemas.openxmlformats.org/officeDocument/2006/relationships" ref="K73" tooltip="First relationship in this approved WBS branch; use the WBS Explorer hierarchy and Target WBS filter to inspect all descendant targets." r:id="rId77"/>
    <hyperlink xmlns:r="http://schemas.openxmlformats.org/officeDocument/2006/relationships" ref="K74" tooltip="First relationship in this approved WBS branch; use the WBS Explorer hierarchy and Target WBS filter to inspect all descendant targets." r:id="rId78"/>
    <hyperlink xmlns:r="http://schemas.openxmlformats.org/officeDocument/2006/relationships" ref="K75" r:id="rId79"/>
    <hyperlink xmlns:r="http://schemas.openxmlformats.org/officeDocument/2006/relationships" ref="K76" r:id="rId80"/>
    <hyperlink xmlns:r="http://schemas.openxmlformats.org/officeDocument/2006/relationships" ref="K77" tooltip="First relationship in this approved WBS branch; use the WBS Explorer hierarchy and Target WBS filter to inspect all descendant targets." r:id="rId81"/>
    <hyperlink xmlns:r="http://schemas.openxmlformats.org/officeDocument/2006/relationships" ref="K78" r:id="rId82"/>
    <hyperlink xmlns:r="http://schemas.openxmlformats.org/officeDocument/2006/relationships" ref="K79" r:id="rId83"/>
    <hyperlink xmlns:r="http://schemas.openxmlformats.org/officeDocument/2006/relationships" ref="K80" r:id="rId84"/>
    <hyperlink xmlns:r="http://schemas.openxmlformats.org/officeDocument/2006/relationships" ref="K81" r:id="rId85"/>
    <hyperlink xmlns:r="http://schemas.openxmlformats.org/officeDocument/2006/relationships" ref="K82" r:id="rId86"/>
    <hyperlink xmlns:r="http://schemas.openxmlformats.org/officeDocument/2006/relationships" ref="K83" r:id="rId87"/>
    <hyperlink xmlns:r="http://schemas.openxmlformats.org/officeDocument/2006/relationships" ref="K84" r:id="rId88"/>
    <hyperlink xmlns:r="http://schemas.openxmlformats.org/officeDocument/2006/relationships" ref="K85" r:id="rId89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565B64"/>
    <outlinePr summaryBelow="0" summaryRight="0"/>
    <pageSetUpPr fitToPage="1"/>
  </sheetPr>
  <dimension ref="A1:J1628"/>
  <sheetViews>
    <sheetView showGridLines="0" tabSelected="0" topLeftCell="A1" zoomScale="100" zoomScaleNormal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45" customWidth="1" min="4" max="4"/>
    <col width="46" customWidth="1" min="5" max="5"/>
    <col width="40" customWidth="1" min="6" max="6"/>
    <col width="30" customWidth="1" min="7" max="7"/>
    <col width="42" customWidth="1" min="8" max="8"/>
    <col width="40" customWidth="1" min="9" max="9"/>
    <col width="18" customWidth="1" min="10" max="10"/>
  </cols>
  <sheetData>
    <row r="1" ht="113" customHeight="1">
      <c r="A1" s="88" t="inlineStr">
        <is>
          <t>EVIDENCE &amp; DECISIONS</t>
        </is>
      </c>
    </row>
    <row r="2" ht="49" customHeight="1">
      <c r="A2" s="89" t="inlineStr">
        <is>
          <t>Source says → relationship / interpretation → professional decision → current governed state.</t>
        </is>
      </c>
    </row>
    <row r="3" ht="19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34" customHeight="1">
      <c r="A5" s="91" t="inlineStr">
        <is>
          <t>Relationship</t>
        </is>
      </c>
      <c r="B5" s="91" t="inlineStr">
        <is>
          <t>Source / record</t>
        </is>
      </c>
      <c r="C5" s="91" t="inlineStr">
        <is>
          <t>SOURCE SAYS</t>
        </is>
      </c>
      <c r="D5" s="91" t="inlineStr">
        <is>
          <t>RELATIONSHIP / INTERPRETATION</t>
        </is>
      </c>
      <c r="E5" s="91" t="inlineStr">
        <is>
          <t>Contrary / competing evidence</t>
        </is>
      </c>
      <c r="F5" s="91" t="inlineStr">
        <is>
          <t>PROFESSIONAL DECISION</t>
        </is>
      </c>
      <c r="G5" s="91" t="inlineStr">
        <is>
          <t>Decision scope</t>
        </is>
      </c>
      <c r="H5" s="91" t="inlineStr">
        <is>
          <t>CURRENT GOVERNED STATE</t>
        </is>
      </c>
      <c r="I5" s="91" t="inlineStr">
        <is>
          <t>Change / reopen</t>
        </is>
      </c>
      <c r="J5" s="91" t="inlineStr">
        <is>
          <t>Crosswalk</t>
        </is>
      </c>
    </row>
    <row r="6" ht="94" customHeight="1">
      <c r="A6" s="34" t="inlineStr">
        <is>
          <t>R1563-v2</t>
        </is>
      </c>
      <c r="B6" s="34" t="inlineStr">
        <is>
          <t>Commercial Package Register / PKG-001</t>
        </is>
      </c>
      <c r="C6" s="34" t="inlineStr">
        <is>
          <t>Package Code = PK-101; WBS Code = 1.1;1.2</t>
        </is>
      </c>
      <c r="D6" s="34" t="inlineStr">
        <is>
          <t>Proposed by Professional; target 1.1 Guideway and Civil</t>
        </is>
      </c>
      <c r="E6" s="34" t="inlineStr">
        <is>
          <t>Source states 'WBS Code' = '1.1;1.2' -- names no element of this WBS -- professional reason (Maya Chen, Owner Project Controls): Source package register explicitly states both Owner-WBS branches.</t>
        </is>
      </c>
      <c r="F6" s="34" t="inlineStr">
        <is>
          <t>Maya Chen, Owner Project Controls: Professional decision</t>
        </is>
      </c>
      <c r="G6" s="34" t="inlineStr">
        <is>
          <t>Individual</t>
        </is>
      </c>
      <c r="H6" s="34" t="inlineStr">
        <is>
          <t xml:space="preserve">APPROVED / ONE_TO_MANY; </t>
        </is>
      </c>
      <c r="I6" s="34" t="inlineStr">
        <is>
          <t>New</t>
        </is>
      </c>
      <c r="J6" s="92" t="inlineStr">
        <is>
          <t>08 CROSSWALK</t>
        </is>
      </c>
    </row>
    <row r="7" ht="49" customHeight="1">
      <c r="A7" s="34" t="inlineStr">
        <is>
          <t>R1564-v1</t>
        </is>
      </c>
      <c r="B7" s="34" t="inlineStr">
        <is>
          <t>Commercial Package Register / PKG-002</t>
        </is>
      </c>
      <c r="C7" s="34" t="inlineStr">
        <is>
          <t>Package Code = PK-102; WBS Code = 1.1</t>
        </is>
      </c>
      <c r="D7" s="34" t="inlineStr">
        <is>
          <t>Proposed by Source assignment; target 1.1 Guideway and Civil</t>
        </is>
      </c>
      <c r="E7" s="34" t="inlineStr">
        <is>
          <t>None recorded</t>
        </is>
      </c>
      <c r="F7" s="34" t="inlineStr">
        <is>
          <t>No individual professional decision recorded; Source assignment -- not individually reviewed</t>
        </is>
      </c>
      <c r="G7" s="34" t="inlineStr">
        <is>
          <t>Not individually decided</t>
        </is>
      </c>
      <c r="H7" s="34" t="inlineStr">
        <is>
          <t xml:space="preserve">APPROVED / ONE_TO_ONE; </t>
        </is>
      </c>
      <c r="I7" s="34" t="inlineStr">
        <is>
          <t>New</t>
        </is>
      </c>
      <c r="J7" s="92" t="inlineStr">
        <is>
          <t>08 CROSSWALK</t>
        </is>
      </c>
    </row>
    <row r="8" ht="49" customHeight="1">
      <c r="A8" s="34" t="inlineStr">
        <is>
          <t>R1565-v1</t>
        </is>
      </c>
      <c r="B8" s="34" t="inlineStr">
        <is>
          <t>Commercial Package Register / PKG-003</t>
        </is>
      </c>
      <c r="C8" s="34" t="inlineStr">
        <is>
          <t>Package Code = PK-103; WBS Code = 1.1</t>
        </is>
      </c>
      <c r="D8" s="34" t="inlineStr">
        <is>
          <t>Proposed by Source assignment; target 1.1 Guideway and Civil</t>
        </is>
      </c>
      <c r="E8" s="34" t="inlineStr">
        <is>
          <t>None recorded</t>
        </is>
      </c>
      <c r="F8" s="34" t="inlineStr">
        <is>
          <t>No individual professional decision recorded; Source assignment -- not individually reviewed</t>
        </is>
      </c>
      <c r="G8" s="34" t="inlineStr">
        <is>
          <t>Not individually decided</t>
        </is>
      </c>
      <c r="H8" s="34" t="inlineStr">
        <is>
          <t xml:space="preserve">APPROVED / ONE_TO_ONE; </t>
        </is>
      </c>
      <c r="I8" s="34" t="inlineStr">
        <is>
          <t>New</t>
        </is>
      </c>
      <c r="J8" s="92" t="inlineStr">
        <is>
          <t>08 CROSSWALK</t>
        </is>
      </c>
    </row>
    <row r="9" ht="49" customHeight="1">
      <c r="A9" s="34" t="inlineStr">
        <is>
          <t>R1566-v1</t>
        </is>
      </c>
      <c r="B9" s="34" t="inlineStr">
        <is>
          <t>Commercial Package Register / PKG-004</t>
        </is>
      </c>
      <c r="C9" s="34" t="inlineStr">
        <is>
          <t>Package Code = PK-104; WBS Code = 1.1</t>
        </is>
      </c>
      <c r="D9" s="34" t="inlineStr">
        <is>
          <t>Proposed by Source assignment; target 1.1 Guideway and Civil</t>
        </is>
      </c>
      <c r="E9" s="34" t="inlineStr">
        <is>
          <t>None recorded</t>
        </is>
      </c>
      <c r="F9" s="34" t="inlineStr">
        <is>
          <t>No individual professional decision recorded; Source assignment -- not individually reviewed</t>
        </is>
      </c>
      <c r="G9" s="34" t="inlineStr">
        <is>
          <t>Not individually decided</t>
        </is>
      </c>
      <c r="H9" s="34" t="inlineStr">
        <is>
          <t xml:space="preserve">APPROVED / ONE_TO_ONE; </t>
        </is>
      </c>
      <c r="I9" s="34" t="inlineStr">
        <is>
          <t>New</t>
        </is>
      </c>
      <c r="J9" s="92" t="inlineStr">
        <is>
          <t>08 CROSSWALK</t>
        </is>
      </c>
    </row>
    <row r="10" ht="49" customHeight="1">
      <c r="A10" s="34" t="inlineStr">
        <is>
          <t>R1567-v1</t>
        </is>
      </c>
      <c r="B10" s="34" t="inlineStr">
        <is>
          <t>Commercial Package Register / PKG-005</t>
        </is>
      </c>
      <c r="C10" s="34" t="inlineStr">
        <is>
          <t>Package Code = PK-105; WBS Code = 1.1</t>
        </is>
      </c>
      <c r="D10" s="34" t="inlineStr">
        <is>
          <t>Proposed by Source assignment; target 1.1 Guideway and Civil</t>
        </is>
      </c>
      <c r="E10" s="34" t="inlineStr">
        <is>
          <t>None recorded</t>
        </is>
      </c>
      <c r="F10" s="34" t="inlineStr">
        <is>
          <t>No individual professional decision recorded; Source assignment -- not individually reviewed</t>
        </is>
      </c>
      <c r="G10" s="34" t="inlineStr">
        <is>
          <t>Not individually decided</t>
        </is>
      </c>
      <c r="H10" s="34" t="inlineStr">
        <is>
          <t xml:space="preserve">APPROVED / ONE_TO_ONE; </t>
        </is>
      </c>
      <c r="I10" s="34" t="inlineStr">
        <is>
          <t>New</t>
        </is>
      </c>
      <c r="J10" s="92" t="inlineStr">
        <is>
          <t>08 CROSSWALK</t>
        </is>
      </c>
    </row>
    <row r="11" ht="49" customHeight="1">
      <c r="A11" s="34" t="inlineStr">
        <is>
          <t>R1568-v1</t>
        </is>
      </c>
      <c r="B11" s="34" t="inlineStr">
        <is>
          <t>Commercial Package Register / PKG-006</t>
        </is>
      </c>
      <c r="C11" s="34" t="inlineStr">
        <is>
          <t>Package Code = PK-106; WBS Code = 1.1</t>
        </is>
      </c>
      <c r="D11" s="34" t="inlineStr">
        <is>
          <t>Proposed by Source assignment; target 1.1 Guideway and Civil</t>
        </is>
      </c>
      <c r="E11" s="34" t="inlineStr">
        <is>
          <t>None recorded</t>
        </is>
      </c>
      <c r="F11" s="34" t="inlineStr">
        <is>
          <t>No individual professional decision recorded; Source assignment -- not individually reviewed</t>
        </is>
      </c>
      <c r="G11" s="34" t="inlineStr">
        <is>
          <t>Not individually decided</t>
        </is>
      </c>
      <c r="H11" s="34" t="inlineStr">
        <is>
          <t xml:space="preserve">APPROVED / ONE_TO_ONE; </t>
        </is>
      </c>
      <c r="I11" s="34" t="inlineStr">
        <is>
          <t>New</t>
        </is>
      </c>
      <c r="J11" s="92" t="inlineStr">
        <is>
          <t>08 CROSSWALK</t>
        </is>
      </c>
    </row>
    <row r="12" ht="49" customHeight="1">
      <c r="A12" s="34" t="inlineStr">
        <is>
          <t>R1569-v1</t>
        </is>
      </c>
      <c r="B12" s="34" t="inlineStr">
        <is>
          <t>Commercial Package Register / PKG-007</t>
        </is>
      </c>
      <c r="C12" s="34" t="inlineStr">
        <is>
          <t>Package Code = PK-107; WBS Code = 1.1</t>
        </is>
      </c>
      <c r="D12" s="34" t="inlineStr">
        <is>
          <t>Proposed by Source assignment; target 1.1 Guideway and Civil</t>
        </is>
      </c>
      <c r="E12" s="34" t="inlineStr">
        <is>
          <t>None recorded</t>
        </is>
      </c>
      <c r="F12" s="34" t="inlineStr">
        <is>
          <t>No individual professional decision recorded; Source assignment -- not individually reviewed</t>
        </is>
      </c>
      <c r="G12" s="34" t="inlineStr">
        <is>
          <t>Not individually decided</t>
        </is>
      </c>
      <c r="H12" s="34" t="inlineStr">
        <is>
          <t xml:space="preserve">APPROVED / ONE_TO_ONE; </t>
        </is>
      </c>
      <c r="I12" s="34" t="inlineStr">
        <is>
          <t>New</t>
        </is>
      </c>
      <c r="J12" s="92" t="inlineStr">
        <is>
          <t>08 CROSSWALK</t>
        </is>
      </c>
    </row>
    <row r="13" ht="49" customHeight="1">
      <c r="A13" s="34" t="inlineStr">
        <is>
          <t>R1570-v1</t>
        </is>
      </c>
      <c r="B13" s="34" t="inlineStr">
        <is>
          <t>Commercial Package Register / PKG-008</t>
        </is>
      </c>
      <c r="C13" s="34" t="inlineStr">
        <is>
          <t>Package Code = PK-108; WBS Code = 1.1</t>
        </is>
      </c>
      <c r="D13" s="34" t="inlineStr">
        <is>
          <t>Proposed by Source assignment; target 1.1 Guideway and Civil</t>
        </is>
      </c>
      <c r="E13" s="34" t="inlineStr">
        <is>
          <t>None recorded</t>
        </is>
      </c>
      <c r="F13" s="34" t="inlineStr">
        <is>
          <t>No individual professional decision recorded; Source assignment -- not individually reviewed</t>
        </is>
      </c>
      <c r="G13" s="34" t="inlineStr">
        <is>
          <t>Not individually decided</t>
        </is>
      </c>
      <c r="H13" s="34" t="inlineStr">
        <is>
          <t xml:space="preserve">APPROVED / ONE_TO_ONE; </t>
        </is>
      </c>
      <c r="I13" s="34" t="inlineStr">
        <is>
          <t>New</t>
        </is>
      </c>
      <c r="J13" s="92" t="inlineStr">
        <is>
          <t>08 CROSSWALK</t>
        </is>
      </c>
    </row>
    <row r="14" ht="49" customHeight="1">
      <c r="A14" s="34" t="inlineStr">
        <is>
          <t>R1571-v1</t>
        </is>
      </c>
      <c r="B14" s="34" t="inlineStr">
        <is>
          <t>Commercial Package Register / PKG-009</t>
        </is>
      </c>
      <c r="C14" s="34" t="inlineStr">
        <is>
          <t>Package Code = PK-109; WBS Code = 1.1</t>
        </is>
      </c>
      <c r="D14" s="34" t="inlineStr">
        <is>
          <t>Proposed by Source assignment; target 1.1 Guideway and Civil</t>
        </is>
      </c>
      <c r="E14" s="34" t="inlineStr">
        <is>
          <t>None recorded</t>
        </is>
      </c>
      <c r="F14" s="34" t="inlineStr">
        <is>
          <t>No individual professional decision recorded; Source assignment -- not individually reviewed</t>
        </is>
      </c>
      <c r="G14" s="34" t="inlineStr">
        <is>
          <t>Not individually decided</t>
        </is>
      </c>
      <c r="H14" s="34" t="inlineStr">
        <is>
          <t xml:space="preserve">APPROVED / ONE_TO_ONE; </t>
        </is>
      </c>
      <c r="I14" s="34" t="inlineStr">
        <is>
          <t>New</t>
        </is>
      </c>
      <c r="J14" s="92" t="inlineStr">
        <is>
          <t>08 CROSSWALK</t>
        </is>
      </c>
    </row>
    <row r="15" ht="49" customHeight="1">
      <c r="A15" s="34" t="inlineStr">
        <is>
          <t>R1572-v1</t>
        </is>
      </c>
      <c r="B15" s="34" t="inlineStr">
        <is>
          <t>Commercial Package Register / PKG-010</t>
        </is>
      </c>
      <c r="C15" s="34" t="inlineStr">
        <is>
          <t>Package Code = PK-110; WBS Code = 1.1</t>
        </is>
      </c>
      <c r="D15" s="34" t="inlineStr">
        <is>
          <t>Proposed by Source assignment; target 1.1 Guideway and Civil</t>
        </is>
      </c>
      <c r="E15" s="34" t="inlineStr">
        <is>
          <t>None recorded</t>
        </is>
      </c>
      <c r="F15" s="34" t="inlineStr">
        <is>
          <t>No individual professional decision recorded; Source assignment -- not individually reviewed</t>
        </is>
      </c>
      <c r="G15" s="34" t="inlineStr">
        <is>
          <t>Not individually decided</t>
        </is>
      </c>
      <c r="H15" s="34" t="inlineStr">
        <is>
          <t xml:space="preserve">APPROVED / ONE_TO_ONE; </t>
        </is>
      </c>
      <c r="I15" s="34" t="inlineStr">
        <is>
          <t>New</t>
        </is>
      </c>
      <c r="J15" s="92" t="inlineStr">
        <is>
          <t>08 CROSSWALK</t>
        </is>
      </c>
    </row>
    <row r="16" ht="49" customHeight="1">
      <c r="A16" s="34" t="inlineStr">
        <is>
          <t>R1-v1</t>
        </is>
      </c>
      <c r="B16" s="34" t="inlineStr">
        <is>
          <t>Contractor Programme / SCH-01-001</t>
        </is>
      </c>
      <c r="C16" s="34" t="inlineStr">
        <is>
          <t>WBS Code = 1.1.1</t>
        </is>
      </c>
      <c r="D16" s="34" t="inlineStr">
        <is>
          <t>Proposed by Source assignment; target 1.1.1 Guideway and Civil - Guideway Structures</t>
        </is>
      </c>
      <c r="E16" s="34" t="inlineStr">
        <is>
          <t>None recorded</t>
        </is>
      </c>
      <c r="F16" s="34" t="inlineStr">
        <is>
          <t>No individual professional decision recorded; Source assignment -- not individually reviewed</t>
        </is>
      </c>
      <c r="G16" s="34" t="inlineStr">
        <is>
          <t>Not individually decided</t>
        </is>
      </c>
      <c r="H16" s="34" t="inlineStr">
        <is>
          <t xml:space="preserve">APPROVED / ONE_TO_ONE; </t>
        </is>
      </c>
      <c r="I16" s="34" t="inlineStr">
        <is>
          <t>New</t>
        </is>
      </c>
      <c r="J16" s="92" t="inlineStr">
        <is>
          <t>08 CROSSWALK</t>
        </is>
      </c>
    </row>
    <row r="17" ht="49" customHeight="1">
      <c r="A17" s="34" t="inlineStr">
        <is>
          <t>R2-v1</t>
        </is>
      </c>
      <c r="B17" s="34" t="inlineStr">
        <is>
          <t>Contractor Programme / SCH-01-002</t>
        </is>
      </c>
      <c r="C17" s="34" t="inlineStr">
        <is>
          <t>WBS Code = 1.1.1</t>
        </is>
      </c>
      <c r="D17" s="34" t="inlineStr">
        <is>
          <t>Proposed by Source assignment; target 1.1.1 Guideway and Civil - Guideway Structures</t>
        </is>
      </c>
      <c r="E17" s="34" t="inlineStr">
        <is>
          <t>None recorded</t>
        </is>
      </c>
      <c r="F17" s="34" t="inlineStr">
        <is>
          <t>No individual professional decision recorded; Source assignment -- not individually reviewed</t>
        </is>
      </c>
      <c r="G17" s="34" t="inlineStr">
        <is>
          <t>Not individually decided</t>
        </is>
      </c>
      <c r="H17" s="34" t="inlineStr">
        <is>
          <t xml:space="preserve">APPROVED / ONE_TO_ONE; </t>
        </is>
      </c>
      <c r="I17" s="34" t="inlineStr">
        <is>
          <t>New</t>
        </is>
      </c>
      <c r="J17" s="92" t="inlineStr">
        <is>
          <t>08 CROSSWALK</t>
        </is>
      </c>
    </row>
    <row r="18" ht="49" customHeight="1">
      <c r="A18" s="34" t="inlineStr">
        <is>
          <t>R4-v1</t>
        </is>
      </c>
      <c r="B18" s="34" t="inlineStr">
        <is>
          <t>Contractor Programme / SCH-01-004</t>
        </is>
      </c>
      <c r="C18" s="34" t="inlineStr">
        <is>
          <t>WBS Code = 1.1.1</t>
        </is>
      </c>
      <c r="D18" s="34" t="inlineStr">
        <is>
          <t>Proposed by Source assignment; target 1.1.1 Guideway and Civil - Guideway Structures</t>
        </is>
      </c>
      <c r="E18" s="34" t="inlineStr">
        <is>
          <t>None recorded</t>
        </is>
      </c>
      <c r="F18" s="34" t="inlineStr">
        <is>
          <t>No individual professional decision recorded; Source assignment -- not individually reviewed</t>
        </is>
      </c>
      <c r="G18" s="34" t="inlineStr">
        <is>
          <t>Not individually decided</t>
        </is>
      </c>
      <c r="H18" s="34" t="inlineStr">
        <is>
          <t xml:space="preserve">APPROVED / ONE_TO_ONE; </t>
        </is>
      </c>
      <c r="I18" s="34" t="inlineStr">
        <is>
          <t>New</t>
        </is>
      </c>
      <c r="J18" s="92" t="inlineStr">
        <is>
          <t>08 CROSSWALK</t>
        </is>
      </c>
    </row>
    <row r="19" ht="49" customHeight="1">
      <c r="A19" s="34" t="inlineStr">
        <is>
          <t>R5-v1</t>
        </is>
      </c>
      <c r="B19" s="34" t="inlineStr">
        <is>
          <t>Contractor Programme / SCH-01-005</t>
        </is>
      </c>
      <c r="C19" s="34" t="inlineStr">
        <is>
          <t>WBS Code = 1.1.1</t>
        </is>
      </c>
      <c r="D19" s="34" t="inlineStr">
        <is>
          <t>Proposed by Source assignment; target 1.1.1 Guideway and Civil - Guideway Structures</t>
        </is>
      </c>
      <c r="E19" s="34" t="inlineStr">
        <is>
          <t>None recorded</t>
        </is>
      </c>
      <c r="F19" s="34" t="inlineStr">
        <is>
          <t>No individual professional decision recorded; Source assignment -- not individually reviewed</t>
        </is>
      </c>
      <c r="G19" s="34" t="inlineStr">
        <is>
          <t>Not individually decided</t>
        </is>
      </c>
      <c r="H19" s="34" t="inlineStr">
        <is>
          <t xml:space="preserve">APPROVED / ONE_TO_ONE; </t>
        </is>
      </c>
      <c r="I19" s="34" t="inlineStr">
        <is>
          <t>New</t>
        </is>
      </c>
      <c r="J19" s="92" t="inlineStr">
        <is>
          <t>08 CROSSWALK</t>
        </is>
      </c>
    </row>
    <row r="20" ht="49" customHeight="1">
      <c r="A20" s="34" t="inlineStr">
        <is>
          <t>R7-v1</t>
        </is>
      </c>
      <c r="B20" s="34" t="inlineStr">
        <is>
          <t>Contractor Programme / SCH-01-007</t>
        </is>
      </c>
      <c r="C20" s="34" t="inlineStr">
        <is>
          <t>WBS Code = 1.1.1</t>
        </is>
      </c>
      <c r="D20" s="34" t="inlineStr">
        <is>
          <t>Proposed by Source assignment; target 1.1.1 Guideway and Civil - Guideway Structures</t>
        </is>
      </c>
      <c r="E20" s="34" t="inlineStr">
        <is>
          <t>None recorded</t>
        </is>
      </c>
      <c r="F20" s="34" t="inlineStr">
        <is>
          <t>No individual professional decision recorded; Source assignment -- not individually reviewed</t>
        </is>
      </c>
      <c r="G20" s="34" t="inlineStr">
        <is>
          <t>Not individually decided</t>
        </is>
      </c>
      <c r="H20" s="34" t="inlineStr">
        <is>
          <t xml:space="preserve">APPROVED / ONE_TO_ONE; </t>
        </is>
      </c>
      <c r="I20" s="34" t="inlineStr">
        <is>
          <t>New</t>
        </is>
      </c>
      <c r="J20" s="92" t="inlineStr">
        <is>
          <t>08 CROSSWALK</t>
        </is>
      </c>
    </row>
    <row r="21" ht="49" customHeight="1">
      <c r="A21" s="34" t="inlineStr">
        <is>
          <t>R8-v1</t>
        </is>
      </c>
      <c r="B21" s="34" t="inlineStr">
        <is>
          <t>Contractor Programme / SCH-01-008</t>
        </is>
      </c>
      <c r="C21" s="34" t="inlineStr">
        <is>
          <t>WBS Code = 1.1.1</t>
        </is>
      </c>
      <c r="D21" s="34" t="inlineStr">
        <is>
          <t>Proposed by Source assignment; target 1.1.1 Guideway and Civil - Guideway Structures</t>
        </is>
      </c>
      <c r="E21" s="34" t="inlineStr">
        <is>
          <t>None recorded</t>
        </is>
      </c>
      <c r="F21" s="34" t="inlineStr">
        <is>
          <t>No individual professional decision recorded; Source assignment -- not individually reviewed</t>
        </is>
      </c>
      <c r="G21" s="34" t="inlineStr">
        <is>
          <t>Not individually decided</t>
        </is>
      </c>
      <c r="H21" s="34" t="inlineStr">
        <is>
          <t xml:space="preserve">APPROVED / ONE_TO_ONE; </t>
        </is>
      </c>
      <c r="I21" s="34" t="inlineStr">
        <is>
          <t>New</t>
        </is>
      </c>
      <c r="J21" s="92" t="inlineStr">
        <is>
          <t>08 CROSSWALK</t>
        </is>
      </c>
    </row>
    <row r="22" ht="49" customHeight="1">
      <c r="A22" s="34" t="inlineStr">
        <is>
          <t>R10-v1</t>
        </is>
      </c>
      <c r="B22" s="34" t="inlineStr">
        <is>
          <t>Contractor Programme / SCH-01-010</t>
        </is>
      </c>
      <c r="C22" s="34" t="inlineStr">
        <is>
          <t>WBS Code = 1.1.1</t>
        </is>
      </c>
      <c r="D22" s="34" t="inlineStr">
        <is>
          <t>Proposed by Source assignment; target 1.1.1 Guideway and Civil - Guideway Structures</t>
        </is>
      </c>
      <c r="E22" s="34" t="inlineStr">
        <is>
          <t>None recorded</t>
        </is>
      </c>
      <c r="F22" s="34" t="inlineStr">
        <is>
          <t>No individual professional decision recorded; Source assignment -- not individually reviewed</t>
        </is>
      </c>
      <c r="G22" s="34" t="inlineStr">
        <is>
          <t>Not individually decided</t>
        </is>
      </c>
      <c r="H22" s="34" t="inlineStr">
        <is>
          <t xml:space="preserve">APPROVED / ONE_TO_ONE; </t>
        </is>
      </c>
      <c r="I22" s="34" t="inlineStr">
        <is>
          <t>New</t>
        </is>
      </c>
      <c r="J22" s="92" t="inlineStr">
        <is>
          <t>08 CROSSWALK</t>
        </is>
      </c>
    </row>
    <row r="23" ht="49" customHeight="1">
      <c r="A23" s="34" t="inlineStr">
        <is>
          <t>R11-v1</t>
        </is>
      </c>
      <c r="B23" s="34" t="inlineStr">
        <is>
          <t>Contractor Programme / SCH-01-011</t>
        </is>
      </c>
      <c r="C23" s="34" t="inlineStr">
        <is>
          <t>WBS Code = 1.1.1</t>
        </is>
      </c>
      <c r="D23" s="34" t="inlineStr">
        <is>
          <t>Proposed by Source assignment; target 1.1.1 Guideway and Civil - Guideway Structures</t>
        </is>
      </c>
      <c r="E23" s="34" t="inlineStr">
        <is>
          <t>None recorded</t>
        </is>
      </c>
      <c r="F23" s="34" t="inlineStr">
        <is>
          <t>No individual professional decision recorded; Source assignment -- not individually reviewed</t>
        </is>
      </c>
      <c r="G23" s="34" t="inlineStr">
        <is>
          <t>Not individually decided</t>
        </is>
      </c>
      <c r="H23" s="34" t="inlineStr">
        <is>
          <t xml:space="preserve">APPROVED / ONE_TO_ONE; </t>
        </is>
      </c>
      <c r="I23" s="34" t="inlineStr">
        <is>
          <t>New</t>
        </is>
      </c>
      <c r="J23" s="92" t="inlineStr">
        <is>
          <t>08 CROSSWALK</t>
        </is>
      </c>
    </row>
    <row r="24" ht="49" customHeight="1">
      <c r="A24" s="34" t="inlineStr">
        <is>
          <t>R13-v1</t>
        </is>
      </c>
      <c r="B24" s="34" t="inlineStr">
        <is>
          <t>Contractor Programme / SCH-01-013</t>
        </is>
      </c>
      <c r="C24" s="34" t="inlineStr">
        <is>
          <t>WBS Code = 1.1.1</t>
        </is>
      </c>
      <c r="D24" s="34" t="inlineStr">
        <is>
          <t>Proposed by Source assignment; target 1.1.1 Guideway and Civil - Guideway Structures</t>
        </is>
      </c>
      <c r="E24" s="34" t="inlineStr">
        <is>
          <t>None recorded</t>
        </is>
      </c>
      <c r="F24" s="34" t="inlineStr">
        <is>
          <t>No individual professional decision recorded; Source assignment -- not individually reviewed</t>
        </is>
      </c>
      <c r="G24" s="34" t="inlineStr">
        <is>
          <t>Not individually decided</t>
        </is>
      </c>
      <c r="H24" s="34" t="inlineStr">
        <is>
          <t xml:space="preserve">APPROVED / ONE_TO_ONE; </t>
        </is>
      </c>
      <c r="I24" s="34" t="inlineStr">
        <is>
          <t>New</t>
        </is>
      </c>
      <c r="J24" s="92" t="inlineStr">
        <is>
          <t>08 CROSSWALK</t>
        </is>
      </c>
    </row>
    <row r="25" ht="49" customHeight="1">
      <c r="A25" s="34" t="inlineStr">
        <is>
          <t>R14-v1</t>
        </is>
      </c>
      <c r="B25" s="34" t="inlineStr">
        <is>
          <t>Contractor Programme / SCH-01-014</t>
        </is>
      </c>
      <c r="C25" s="34" t="inlineStr">
        <is>
          <t>WBS Code = 1.1.1</t>
        </is>
      </c>
      <c r="D25" s="34" t="inlineStr">
        <is>
          <t>Proposed by Source assignment; target 1.1.1 Guideway and Civil - Guideway Structures</t>
        </is>
      </c>
      <c r="E25" s="34" t="inlineStr">
        <is>
          <t>None recorded</t>
        </is>
      </c>
      <c r="F25" s="34" t="inlineStr">
        <is>
          <t>No individual professional decision recorded; Source assignment -- not individually reviewed</t>
        </is>
      </c>
      <c r="G25" s="34" t="inlineStr">
        <is>
          <t>Not individually decided</t>
        </is>
      </c>
      <c r="H25" s="34" t="inlineStr">
        <is>
          <t xml:space="preserve">APPROVED / ONE_TO_ONE; </t>
        </is>
      </c>
      <c r="I25" s="34" t="inlineStr">
        <is>
          <t>New</t>
        </is>
      </c>
      <c r="J25" s="92" t="inlineStr">
        <is>
          <t>08 CROSSWALK</t>
        </is>
      </c>
    </row>
    <row r="26" ht="49" customHeight="1">
      <c r="A26" s="34" t="inlineStr">
        <is>
          <t>R16-v1</t>
        </is>
      </c>
      <c r="B26" s="34" t="inlineStr">
        <is>
          <t>Contractor Programme / SCH-01-016</t>
        </is>
      </c>
      <c r="C26" s="34" t="inlineStr">
        <is>
          <t>WBS Code = 1.1.1</t>
        </is>
      </c>
      <c r="D26" s="34" t="inlineStr">
        <is>
          <t>Proposed by Source assignment; target 1.1.1 Guideway and Civil - Guideway Structures</t>
        </is>
      </c>
      <c r="E26" s="34" t="inlineStr">
        <is>
          <t>None recorded</t>
        </is>
      </c>
      <c r="F26" s="34" t="inlineStr">
        <is>
          <t>No individual professional decision recorded; Source assignment -- not individually reviewed</t>
        </is>
      </c>
      <c r="G26" s="34" t="inlineStr">
        <is>
          <t>Not individually decided</t>
        </is>
      </c>
      <c r="H26" s="34" t="inlineStr">
        <is>
          <t xml:space="preserve">APPROVED / ONE_TO_ONE; </t>
        </is>
      </c>
      <c r="I26" s="34" t="inlineStr">
        <is>
          <t>New</t>
        </is>
      </c>
      <c r="J26" s="92" t="inlineStr">
        <is>
          <t>08 CROSSWALK</t>
        </is>
      </c>
    </row>
    <row r="27" ht="49" customHeight="1">
      <c r="A27" s="34" t="inlineStr">
        <is>
          <t>R17-v1</t>
        </is>
      </c>
      <c r="B27" s="34" t="inlineStr">
        <is>
          <t>Contractor Programme / SCH-01-017</t>
        </is>
      </c>
      <c r="C27" s="34" t="inlineStr">
        <is>
          <t>WBS Code = 1.1.1</t>
        </is>
      </c>
      <c r="D27" s="34" t="inlineStr">
        <is>
          <t>Proposed by Source assignment; target 1.1.1 Guideway and Civil - Guideway Structures</t>
        </is>
      </c>
      <c r="E27" s="34" t="inlineStr">
        <is>
          <t>None recorded</t>
        </is>
      </c>
      <c r="F27" s="34" t="inlineStr">
        <is>
          <t>No individual professional decision recorded; Source assignment -- not individually reviewed</t>
        </is>
      </c>
      <c r="G27" s="34" t="inlineStr">
        <is>
          <t>Not individually decided</t>
        </is>
      </c>
      <c r="H27" s="34" t="inlineStr">
        <is>
          <t xml:space="preserve">APPROVED / ONE_TO_ONE; </t>
        </is>
      </c>
      <c r="I27" s="34" t="inlineStr">
        <is>
          <t>New</t>
        </is>
      </c>
      <c r="J27" s="92" t="inlineStr">
        <is>
          <t>08 CROSSWALK</t>
        </is>
      </c>
    </row>
    <row r="28" ht="49" customHeight="1">
      <c r="A28" s="34" t="inlineStr">
        <is>
          <t>R19-v1</t>
        </is>
      </c>
      <c r="B28" s="34" t="inlineStr">
        <is>
          <t>Contractor Programme / SCH-01-019</t>
        </is>
      </c>
      <c r="C28" s="34" t="inlineStr">
        <is>
          <t>WBS Code = 1.1.1</t>
        </is>
      </c>
      <c r="D28" s="34" t="inlineStr">
        <is>
          <t>Proposed by Source assignment; target 1.1.1 Guideway and Civil - Guideway Structures</t>
        </is>
      </c>
      <c r="E28" s="34" t="inlineStr">
        <is>
          <t>None recorded</t>
        </is>
      </c>
      <c r="F28" s="34" t="inlineStr">
        <is>
          <t>No individual professional decision recorded; Source assignment -- not individually reviewed</t>
        </is>
      </c>
      <c r="G28" s="34" t="inlineStr">
        <is>
          <t>Not individually decided</t>
        </is>
      </c>
      <c r="H28" s="34" t="inlineStr">
        <is>
          <t xml:space="preserve">APPROVED / ONE_TO_ONE; </t>
        </is>
      </c>
      <c r="I28" s="34" t="inlineStr">
        <is>
          <t>New</t>
        </is>
      </c>
      <c r="J28" s="92" t="inlineStr">
        <is>
          <t>08 CROSSWALK</t>
        </is>
      </c>
    </row>
    <row r="29" ht="49" customHeight="1">
      <c r="A29" s="34" t="inlineStr">
        <is>
          <t>R20-v1</t>
        </is>
      </c>
      <c r="B29" s="34" t="inlineStr">
        <is>
          <t>Contractor Programme / SCH-01-020</t>
        </is>
      </c>
      <c r="C29" s="34" t="inlineStr">
        <is>
          <t>WBS Code = 1.1.1</t>
        </is>
      </c>
      <c r="D29" s="34" t="inlineStr">
        <is>
          <t>Proposed by Source assignment; target 1.1.1 Guideway and Civil - Guideway Structures</t>
        </is>
      </c>
      <c r="E29" s="34" t="inlineStr">
        <is>
          <t>None recorded</t>
        </is>
      </c>
      <c r="F29" s="34" t="inlineStr">
        <is>
          <t>No individual professional decision recorded; Source assignment -- not individually reviewed</t>
        </is>
      </c>
      <c r="G29" s="34" t="inlineStr">
        <is>
          <t>Not individually decided</t>
        </is>
      </c>
      <c r="H29" s="34" t="inlineStr">
        <is>
          <t xml:space="preserve">APPROVED / ONE_TO_ONE; </t>
        </is>
      </c>
      <c r="I29" s="34" t="inlineStr">
        <is>
          <t>New</t>
        </is>
      </c>
      <c r="J29" s="92" t="inlineStr">
        <is>
          <t>08 CROSSWALK</t>
        </is>
      </c>
    </row>
    <row r="30" ht="49" customHeight="1">
      <c r="A30" s="34" t="inlineStr">
        <is>
          <t>R22-v1</t>
        </is>
      </c>
      <c r="B30" s="34" t="inlineStr">
        <is>
          <t>Contractor Programme / SCH-01-022</t>
        </is>
      </c>
      <c r="C30" s="34" t="inlineStr">
        <is>
          <t>WBS Code = 1.1.1</t>
        </is>
      </c>
      <c r="D30" s="34" t="inlineStr">
        <is>
          <t>Proposed by Source assignment; target 1.1.1 Guideway and Civil - Guideway Structures</t>
        </is>
      </c>
      <c r="E30" s="34" t="inlineStr">
        <is>
          <t>None recorded</t>
        </is>
      </c>
      <c r="F30" s="34" t="inlineStr">
        <is>
          <t>No individual professional decision recorded; Source assignment -- not individually reviewed</t>
        </is>
      </c>
      <c r="G30" s="34" t="inlineStr">
        <is>
          <t>Not individually decided</t>
        </is>
      </c>
      <c r="H30" s="34" t="inlineStr">
        <is>
          <t xml:space="preserve">APPROVED / ONE_TO_ONE; </t>
        </is>
      </c>
      <c r="I30" s="34" t="inlineStr">
        <is>
          <t>New</t>
        </is>
      </c>
      <c r="J30" s="92" t="inlineStr">
        <is>
          <t>08 CROSSWALK</t>
        </is>
      </c>
    </row>
    <row r="31" ht="49" customHeight="1">
      <c r="A31" s="34" t="inlineStr">
        <is>
          <t>R23-v1</t>
        </is>
      </c>
      <c r="B31" s="34" t="inlineStr">
        <is>
          <t>Contractor Programme / SCH-01-023</t>
        </is>
      </c>
      <c r="C31" s="34" t="inlineStr">
        <is>
          <t>WBS Code = 1.1.1</t>
        </is>
      </c>
      <c r="D31" s="34" t="inlineStr">
        <is>
          <t>Proposed by Source assignment; target 1.1.1 Guideway and Civil - Guideway Structures</t>
        </is>
      </c>
      <c r="E31" s="34" t="inlineStr">
        <is>
          <t>None recorded</t>
        </is>
      </c>
      <c r="F31" s="34" t="inlineStr">
        <is>
          <t>No individual professional decision recorded; Source assignment -- not individually reviewed</t>
        </is>
      </c>
      <c r="G31" s="34" t="inlineStr">
        <is>
          <t>Not individually decided</t>
        </is>
      </c>
      <c r="H31" s="34" t="inlineStr">
        <is>
          <t xml:space="preserve">APPROVED / ONE_TO_ONE; </t>
        </is>
      </c>
      <c r="I31" s="34" t="inlineStr">
        <is>
          <t>New</t>
        </is>
      </c>
      <c r="J31" s="92" t="inlineStr">
        <is>
          <t>08 CROSSWALK</t>
        </is>
      </c>
    </row>
    <row r="32" ht="49" customHeight="1">
      <c r="A32" s="34" t="inlineStr">
        <is>
          <t>R25-v1</t>
        </is>
      </c>
      <c r="B32" s="34" t="inlineStr">
        <is>
          <t>Contractor Programme / SCH-01-025</t>
        </is>
      </c>
      <c r="C32" s="34" t="inlineStr">
        <is>
          <t>WBS Code = 1.1.1</t>
        </is>
      </c>
      <c r="D32" s="34" t="inlineStr">
        <is>
          <t>Proposed by Source assignment; target 1.1.1 Guideway and Civil - Guideway Structures</t>
        </is>
      </c>
      <c r="E32" s="34" t="inlineStr">
        <is>
          <t>None recorded</t>
        </is>
      </c>
      <c r="F32" s="34" t="inlineStr">
        <is>
          <t>No individual professional decision recorded; Source assignment -- not individually reviewed</t>
        </is>
      </c>
      <c r="G32" s="34" t="inlineStr">
        <is>
          <t>Not individually decided</t>
        </is>
      </c>
      <c r="H32" s="34" t="inlineStr">
        <is>
          <t xml:space="preserve">APPROVED / ONE_TO_ONE; </t>
        </is>
      </c>
      <c r="I32" s="34" t="inlineStr">
        <is>
          <t>New</t>
        </is>
      </c>
      <c r="J32" s="92" t="inlineStr">
        <is>
          <t>08 CROSSWALK</t>
        </is>
      </c>
    </row>
    <row r="33" ht="49" customHeight="1">
      <c r="A33" s="34" t="inlineStr">
        <is>
          <t>R26-v1</t>
        </is>
      </c>
      <c r="B33" s="34" t="inlineStr">
        <is>
          <t>Contractor Programme / SCH-01-026</t>
        </is>
      </c>
      <c r="C33" s="34" t="inlineStr">
        <is>
          <t>WBS Code = 1.1.1</t>
        </is>
      </c>
      <c r="D33" s="34" t="inlineStr">
        <is>
          <t>Proposed by Source assignment; target 1.1.1 Guideway and Civil - Guideway Structures</t>
        </is>
      </c>
      <c r="E33" s="34" t="inlineStr">
        <is>
          <t>None recorded</t>
        </is>
      </c>
      <c r="F33" s="34" t="inlineStr">
        <is>
          <t>No individual professional decision recorded; Source assignment -- not individually reviewed</t>
        </is>
      </c>
      <c r="G33" s="34" t="inlineStr">
        <is>
          <t>Not individually decided</t>
        </is>
      </c>
      <c r="H33" s="34" t="inlineStr">
        <is>
          <t xml:space="preserve">APPROVED / ONE_TO_ONE; </t>
        </is>
      </c>
      <c r="I33" s="34" t="inlineStr">
        <is>
          <t>New</t>
        </is>
      </c>
      <c r="J33" s="92" t="inlineStr">
        <is>
          <t>08 CROSSWALK</t>
        </is>
      </c>
    </row>
    <row r="34" ht="49" customHeight="1">
      <c r="A34" s="34" t="inlineStr">
        <is>
          <t>R28-v1</t>
        </is>
      </c>
      <c r="B34" s="34" t="inlineStr">
        <is>
          <t>Contractor Programme / SCH-01-028</t>
        </is>
      </c>
      <c r="C34" s="34" t="inlineStr">
        <is>
          <t>WBS Code = 1.1.1</t>
        </is>
      </c>
      <c r="D34" s="34" t="inlineStr">
        <is>
          <t>Proposed by Source assignment; target 1.1.1 Guideway and Civil - Guideway Structures</t>
        </is>
      </c>
      <c r="E34" s="34" t="inlineStr">
        <is>
          <t>None recorded</t>
        </is>
      </c>
      <c r="F34" s="34" t="inlineStr">
        <is>
          <t>No individual professional decision recorded; Source assignment -- not individually reviewed</t>
        </is>
      </c>
      <c r="G34" s="34" t="inlineStr">
        <is>
          <t>Not individually decided</t>
        </is>
      </c>
      <c r="H34" s="34" t="inlineStr">
        <is>
          <t xml:space="preserve">APPROVED / ONE_TO_ONE; </t>
        </is>
      </c>
      <c r="I34" s="34" t="inlineStr">
        <is>
          <t>New</t>
        </is>
      </c>
      <c r="J34" s="92" t="inlineStr">
        <is>
          <t>08 CROSSWALK</t>
        </is>
      </c>
    </row>
    <row r="35" ht="49" customHeight="1">
      <c r="A35" s="34" t="inlineStr">
        <is>
          <t>R29-v1</t>
        </is>
      </c>
      <c r="B35" s="34" t="inlineStr">
        <is>
          <t>Contractor Programme / SCH-01-029</t>
        </is>
      </c>
      <c r="C35" s="34" t="inlineStr">
        <is>
          <t>WBS Code = 1.1.1</t>
        </is>
      </c>
      <c r="D35" s="34" t="inlineStr">
        <is>
          <t>Proposed by Source assignment; target 1.1.1 Guideway and Civil - Guideway Structures</t>
        </is>
      </c>
      <c r="E35" s="34" t="inlineStr">
        <is>
          <t>None recorded</t>
        </is>
      </c>
      <c r="F35" s="34" t="inlineStr">
        <is>
          <t>No individual professional decision recorded; Source assignment -- not individually reviewed</t>
        </is>
      </c>
      <c r="G35" s="34" t="inlineStr">
        <is>
          <t>Not individually decided</t>
        </is>
      </c>
      <c r="H35" s="34" t="inlineStr">
        <is>
          <t xml:space="preserve">APPROVED / ONE_TO_ONE; </t>
        </is>
      </c>
      <c r="I35" s="34" t="inlineStr">
        <is>
          <t>New</t>
        </is>
      </c>
      <c r="J35" s="92" t="inlineStr">
        <is>
          <t>08 CROSSWALK</t>
        </is>
      </c>
    </row>
    <row r="36" ht="49" customHeight="1">
      <c r="A36" s="34" t="inlineStr">
        <is>
          <t>R31-v1</t>
        </is>
      </c>
      <c r="B36" s="34" t="inlineStr">
        <is>
          <t>Contractor Programme / SCH-01-031</t>
        </is>
      </c>
      <c r="C36" s="34" t="inlineStr">
        <is>
          <t>WBS Code = 1.1.1</t>
        </is>
      </c>
      <c r="D36" s="34" t="inlineStr">
        <is>
          <t>Proposed by Source assignment; target 1.1.1 Guideway and Civil - Guideway Structures</t>
        </is>
      </c>
      <c r="E36" s="34" t="inlineStr">
        <is>
          <t>None recorded</t>
        </is>
      </c>
      <c r="F36" s="34" t="inlineStr">
        <is>
          <t>No individual professional decision recorded; Source assignment -- not individually reviewed</t>
        </is>
      </c>
      <c r="G36" s="34" t="inlineStr">
        <is>
          <t>Not individually decided</t>
        </is>
      </c>
      <c r="H36" s="34" t="inlineStr">
        <is>
          <t xml:space="preserve">APPROVED / ONE_TO_ONE; </t>
        </is>
      </c>
      <c r="I36" s="34" t="inlineStr">
        <is>
          <t>New</t>
        </is>
      </c>
      <c r="J36" s="92" t="inlineStr">
        <is>
          <t>08 CROSSWALK</t>
        </is>
      </c>
    </row>
    <row r="37" ht="49" customHeight="1">
      <c r="A37" s="34" t="inlineStr">
        <is>
          <t>R32-v1</t>
        </is>
      </c>
      <c r="B37" s="34" t="inlineStr">
        <is>
          <t>Contractor Programme / SCH-01-032</t>
        </is>
      </c>
      <c r="C37" s="34" t="inlineStr">
        <is>
          <t>WBS Code = 1.1.1</t>
        </is>
      </c>
      <c r="D37" s="34" t="inlineStr">
        <is>
          <t>Proposed by Source assignment; target 1.1.1 Guideway and Civil - Guideway Structures</t>
        </is>
      </c>
      <c r="E37" s="34" t="inlineStr">
        <is>
          <t>None recorded</t>
        </is>
      </c>
      <c r="F37" s="34" t="inlineStr">
        <is>
          <t>No individual professional decision recorded; Source assignment -- not individually reviewed</t>
        </is>
      </c>
      <c r="G37" s="34" t="inlineStr">
        <is>
          <t>Not individually decided</t>
        </is>
      </c>
      <c r="H37" s="34" t="inlineStr">
        <is>
          <t xml:space="preserve">APPROVED / ONE_TO_ONE; </t>
        </is>
      </c>
      <c r="I37" s="34" t="inlineStr">
        <is>
          <t>New</t>
        </is>
      </c>
      <c r="J37" s="92" t="inlineStr">
        <is>
          <t>08 CROSSWALK</t>
        </is>
      </c>
    </row>
    <row r="38" ht="49" customHeight="1">
      <c r="A38" s="34" t="inlineStr">
        <is>
          <t>R34-v1</t>
        </is>
      </c>
      <c r="B38" s="34" t="inlineStr">
        <is>
          <t>Contractor Programme / SCH-01-034</t>
        </is>
      </c>
      <c r="C38" s="34" t="inlineStr">
        <is>
          <t>WBS Code = 1.1.1</t>
        </is>
      </c>
      <c r="D38" s="34" t="inlineStr">
        <is>
          <t>Proposed by Source assignment; target 1.1.1 Guideway and Civil - Guideway Structures</t>
        </is>
      </c>
      <c r="E38" s="34" t="inlineStr">
        <is>
          <t>None recorded</t>
        </is>
      </c>
      <c r="F38" s="34" t="inlineStr">
        <is>
          <t>No individual professional decision recorded; Source assignment -- not individually reviewed</t>
        </is>
      </c>
      <c r="G38" s="34" t="inlineStr">
        <is>
          <t>Not individually decided</t>
        </is>
      </c>
      <c r="H38" s="34" t="inlineStr">
        <is>
          <t xml:space="preserve">APPROVED / ONE_TO_ONE; </t>
        </is>
      </c>
      <c r="I38" s="34" t="inlineStr">
        <is>
          <t>New</t>
        </is>
      </c>
      <c r="J38" s="92" t="inlineStr">
        <is>
          <t>08 CROSSWALK</t>
        </is>
      </c>
    </row>
    <row r="39" ht="49" customHeight="1">
      <c r="A39" s="34" t="inlineStr">
        <is>
          <t>R35-v1</t>
        </is>
      </c>
      <c r="B39" s="34" t="inlineStr">
        <is>
          <t>Contractor Programme / SCH-01-035</t>
        </is>
      </c>
      <c r="C39" s="34" t="inlineStr">
        <is>
          <t>WBS Code = 1.1.1</t>
        </is>
      </c>
      <c r="D39" s="34" t="inlineStr">
        <is>
          <t>Proposed by Source assignment; target 1.1.1 Guideway and Civil - Guideway Structures</t>
        </is>
      </c>
      <c r="E39" s="34" t="inlineStr">
        <is>
          <t>None recorded</t>
        </is>
      </c>
      <c r="F39" s="34" t="inlineStr">
        <is>
          <t>No individual professional decision recorded; Source assignment -- not individually reviewed</t>
        </is>
      </c>
      <c r="G39" s="34" t="inlineStr">
        <is>
          <t>Not individually decided</t>
        </is>
      </c>
      <c r="H39" s="34" t="inlineStr">
        <is>
          <t xml:space="preserve">APPROVED / ONE_TO_ONE; </t>
        </is>
      </c>
      <c r="I39" s="34" t="inlineStr">
        <is>
          <t>New</t>
        </is>
      </c>
      <c r="J39" s="92" t="inlineStr">
        <is>
          <t>08 CROSSWALK</t>
        </is>
      </c>
    </row>
    <row r="40" ht="49" customHeight="1">
      <c r="A40" s="34" t="inlineStr">
        <is>
          <t>R37-v1</t>
        </is>
      </c>
      <c r="B40" s="34" t="inlineStr">
        <is>
          <t>Contractor Programme / SCH-01-037</t>
        </is>
      </c>
      <c r="C40" s="34" t="inlineStr">
        <is>
          <t>WBS Code = 1.1.1</t>
        </is>
      </c>
      <c r="D40" s="34" t="inlineStr">
        <is>
          <t>Proposed by Source assignment; target 1.1.1 Guideway and Civil - Guideway Structures</t>
        </is>
      </c>
      <c r="E40" s="34" t="inlineStr">
        <is>
          <t>None recorded</t>
        </is>
      </c>
      <c r="F40" s="34" t="inlineStr">
        <is>
          <t>No individual professional decision recorded; Source assignment -- not individually reviewed</t>
        </is>
      </c>
      <c r="G40" s="34" t="inlineStr">
        <is>
          <t>Not individually decided</t>
        </is>
      </c>
      <c r="H40" s="34" t="inlineStr">
        <is>
          <t xml:space="preserve">APPROVED / ONE_TO_ONE; </t>
        </is>
      </c>
      <c r="I40" s="34" t="inlineStr">
        <is>
          <t>New</t>
        </is>
      </c>
      <c r="J40" s="92" t="inlineStr">
        <is>
          <t>08 CROSSWALK</t>
        </is>
      </c>
    </row>
    <row r="41" ht="49" customHeight="1">
      <c r="A41" s="34" t="inlineStr">
        <is>
          <t>R38-v1</t>
        </is>
      </c>
      <c r="B41" s="34" t="inlineStr">
        <is>
          <t>Contractor Programme / SCH-01-038</t>
        </is>
      </c>
      <c r="C41" s="34" t="inlineStr">
        <is>
          <t>WBS Code = 1.1.1</t>
        </is>
      </c>
      <c r="D41" s="34" t="inlineStr">
        <is>
          <t>Proposed by Source assignment; target 1.1.1 Guideway and Civil - Guideway Structures</t>
        </is>
      </c>
      <c r="E41" s="34" t="inlineStr">
        <is>
          <t>None recorded</t>
        </is>
      </c>
      <c r="F41" s="34" t="inlineStr">
        <is>
          <t>No individual professional decision recorded; Source assignment -- not individually reviewed</t>
        </is>
      </c>
      <c r="G41" s="34" t="inlineStr">
        <is>
          <t>Not individually decided</t>
        </is>
      </c>
      <c r="H41" s="34" t="inlineStr">
        <is>
          <t xml:space="preserve">APPROVED / ONE_TO_ONE; </t>
        </is>
      </c>
      <c r="I41" s="34" t="inlineStr">
        <is>
          <t>New</t>
        </is>
      </c>
      <c r="J41" s="92" t="inlineStr">
        <is>
          <t>08 CROSSWALK</t>
        </is>
      </c>
    </row>
    <row r="42" ht="49" customHeight="1">
      <c r="A42" s="34" t="inlineStr">
        <is>
          <t>R40-v1</t>
        </is>
      </c>
      <c r="B42" s="34" t="inlineStr">
        <is>
          <t>Contractor Programme / SCH-01-040</t>
        </is>
      </c>
      <c r="C42" s="34" t="inlineStr">
        <is>
          <t>WBS Code = 1.1.1</t>
        </is>
      </c>
      <c r="D42" s="34" t="inlineStr">
        <is>
          <t>Proposed by Source assignment; target 1.1.1 Guideway and Civil - Guideway Structures</t>
        </is>
      </c>
      <c r="E42" s="34" t="inlineStr">
        <is>
          <t>None recorded</t>
        </is>
      </c>
      <c r="F42" s="34" t="inlineStr">
        <is>
          <t>No individual professional decision recorded; Source assignment -- not individually reviewed</t>
        </is>
      </c>
      <c r="G42" s="34" t="inlineStr">
        <is>
          <t>Not individually decided</t>
        </is>
      </c>
      <c r="H42" s="34" t="inlineStr">
        <is>
          <t xml:space="preserve">APPROVED / ONE_TO_ONE; </t>
        </is>
      </c>
      <c r="I42" s="34" t="inlineStr">
        <is>
          <t>New</t>
        </is>
      </c>
      <c r="J42" s="92" t="inlineStr">
        <is>
          <t>08 CROSSWALK</t>
        </is>
      </c>
    </row>
    <row r="43" ht="49" customHeight="1">
      <c r="A43" s="34" t="inlineStr">
        <is>
          <t>R41-v1</t>
        </is>
      </c>
      <c r="B43" s="34" t="inlineStr">
        <is>
          <t>Contractor Programme / SCH-01-041</t>
        </is>
      </c>
      <c r="C43" s="34" t="inlineStr">
        <is>
          <t>WBS Code = 1.1.1</t>
        </is>
      </c>
      <c r="D43" s="34" t="inlineStr">
        <is>
          <t>Proposed by Source assignment; target 1.1.1 Guideway and Civil - Guideway Structures</t>
        </is>
      </c>
      <c r="E43" s="34" t="inlineStr">
        <is>
          <t>None recorded</t>
        </is>
      </c>
      <c r="F43" s="34" t="inlineStr">
        <is>
          <t>No individual professional decision recorded; Source assignment -- not individually reviewed</t>
        </is>
      </c>
      <c r="G43" s="34" t="inlineStr">
        <is>
          <t>Not individually decided</t>
        </is>
      </c>
      <c r="H43" s="34" t="inlineStr">
        <is>
          <t xml:space="preserve">APPROVED / ONE_TO_ONE; </t>
        </is>
      </c>
      <c r="I43" s="34" t="inlineStr">
        <is>
          <t>New</t>
        </is>
      </c>
      <c r="J43" s="92" t="inlineStr">
        <is>
          <t>08 CROSSWALK</t>
        </is>
      </c>
    </row>
    <row r="44" ht="49" customHeight="1">
      <c r="A44" s="34" t="inlineStr">
        <is>
          <t>R43-v1</t>
        </is>
      </c>
      <c r="B44" s="34" t="inlineStr">
        <is>
          <t>Contractor Programme / SCH-01-043</t>
        </is>
      </c>
      <c r="C44" s="34" t="inlineStr">
        <is>
          <t>WBS Code = 1.1.1</t>
        </is>
      </c>
      <c r="D44" s="34" t="inlineStr">
        <is>
          <t>Proposed by Source assignment; target 1.1.1 Guideway and Civil - Guideway Structures</t>
        </is>
      </c>
      <c r="E44" s="34" t="inlineStr">
        <is>
          <t>None recorded</t>
        </is>
      </c>
      <c r="F44" s="34" t="inlineStr">
        <is>
          <t>No individual professional decision recorded; Source assignment -- not individually reviewed</t>
        </is>
      </c>
      <c r="G44" s="34" t="inlineStr">
        <is>
          <t>Not individually decided</t>
        </is>
      </c>
      <c r="H44" s="34" t="inlineStr">
        <is>
          <t xml:space="preserve">APPROVED / ONE_TO_ONE; </t>
        </is>
      </c>
      <c r="I44" s="34" t="inlineStr">
        <is>
          <t>New</t>
        </is>
      </c>
      <c r="J44" s="92" t="inlineStr">
        <is>
          <t>08 CROSSWALK</t>
        </is>
      </c>
    </row>
    <row r="45" ht="49" customHeight="1">
      <c r="A45" s="34" t="inlineStr">
        <is>
          <t>R44-v1</t>
        </is>
      </c>
      <c r="B45" s="34" t="inlineStr">
        <is>
          <t>Contractor Programme / SCH-01-044</t>
        </is>
      </c>
      <c r="C45" s="34" t="inlineStr">
        <is>
          <t>WBS Code = 1.1.1</t>
        </is>
      </c>
      <c r="D45" s="34" t="inlineStr">
        <is>
          <t>Proposed by Source assignment; target 1.1.1 Guideway and Civil - Guideway Structures</t>
        </is>
      </c>
      <c r="E45" s="34" t="inlineStr">
        <is>
          <t>None recorded</t>
        </is>
      </c>
      <c r="F45" s="34" t="inlineStr">
        <is>
          <t>No individual professional decision recorded; Source assignment -- not individually reviewed</t>
        </is>
      </c>
      <c r="G45" s="34" t="inlineStr">
        <is>
          <t>Not individually decided</t>
        </is>
      </c>
      <c r="H45" s="34" t="inlineStr">
        <is>
          <t xml:space="preserve">APPROVED / ONE_TO_ONE; </t>
        </is>
      </c>
      <c r="I45" s="34" t="inlineStr">
        <is>
          <t>New</t>
        </is>
      </c>
      <c r="J45" s="92" t="inlineStr">
        <is>
          <t>08 CROSSWALK</t>
        </is>
      </c>
    </row>
    <row r="46" ht="49" customHeight="1">
      <c r="A46" s="34" t="inlineStr">
        <is>
          <t>R46-v1</t>
        </is>
      </c>
      <c r="B46" s="34" t="inlineStr">
        <is>
          <t>Contractor Programme / SCH-01-046</t>
        </is>
      </c>
      <c r="C46" s="34" t="inlineStr">
        <is>
          <t>WBS Code = 1.1.1</t>
        </is>
      </c>
      <c r="D46" s="34" t="inlineStr">
        <is>
          <t>Proposed by Source assignment; target 1.1.1 Guideway and Civil - Guideway Structures</t>
        </is>
      </c>
      <c r="E46" s="34" t="inlineStr">
        <is>
          <t>None recorded</t>
        </is>
      </c>
      <c r="F46" s="34" t="inlineStr">
        <is>
          <t>No individual professional decision recorded; Source assignment -- not individually reviewed</t>
        </is>
      </c>
      <c r="G46" s="34" t="inlineStr">
        <is>
          <t>Not individually decided</t>
        </is>
      </c>
      <c r="H46" s="34" t="inlineStr">
        <is>
          <t xml:space="preserve">APPROVED / ONE_TO_ONE; </t>
        </is>
      </c>
      <c r="I46" s="34" t="inlineStr">
        <is>
          <t>New</t>
        </is>
      </c>
      <c r="J46" s="92" t="inlineStr">
        <is>
          <t>08 CROSSWALK</t>
        </is>
      </c>
    </row>
    <row r="47" ht="49" customHeight="1">
      <c r="A47" s="34" t="inlineStr">
        <is>
          <t>R47-v1</t>
        </is>
      </c>
      <c r="B47" s="34" t="inlineStr">
        <is>
          <t>Contractor Programme / SCH-01-047</t>
        </is>
      </c>
      <c r="C47" s="34" t="inlineStr">
        <is>
          <t>WBS Code = 1.1.1</t>
        </is>
      </c>
      <c r="D47" s="34" t="inlineStr">
        <is>
          <t>Proposed by Source assignment; target 1.1.1 Guideway and Civil - Guideway Structures</t>
        </is>
      </c>
      <c r="E47" s="34" t="inlineStr">
        <is>
          <t>None recorded</t>
        </is>
      </c>
      <c r="F47" s="34" t="inlineStr">
        <is>
          <t>No individual professional decision recorded; Source assignment -- not individually reviewed</t>
        </is>
      </c>
      <c r="G47" s="34" t="inlineStr">
        <is>
          <t>Not individually decided</t>
        </is>
      </c>
      <c r="H47" s="34" t="inlineStr">
        <is>
          <t xml:space="preserve">APPROVED / ONE_TO_ONE; </t>
        </is>
      </c>
      <c r="I47" s="34" t="inlineStr">
        <is>
          <t>New</t>
        </is>
      </c>
      <c r="J47" s="92" t="inlineStr">
        <is>
          <t>08 CROSSWALK</t>
        </is>
      </c>
    </row>
    <row r="48" ht="49" customHeight="1">
      <c r="A48" s="34" t="inlineStr">
        <is>
          <t>R49-v1</t>
        </is>
      </c>
      <c r="B48" s="34" t="inlineStr">
        <is>
          <t>Contractor Programme / SCH-01-049</t>
        </is>
      </c>
      <c r="C48" s="34" t="inlineStr">
        <is>
          <t>WBS Code = 1.1.1</t>
        </is>
      </c>
      <c r="D48" s="34" t="inlineStr">
        <is>
          <t>Proposed by Source assignment; target 1.1.1 Guideway and Civil - Guideway Structures</t>
        </is>
      </c>
      <c r="E48" s="34" t="inlineStr">
        <is>
          <t>None recorded</t>
        </is>
      </c>
      <c r="F48" s="34" t="inlineStr">
        <is>
          <t>No individual professional decision recorded; Source assignment -- not individually reviewed</t>
        </is>
      </c>
      <c r="G48" s="34" t="inlineStr">
        <is>
          <t>Not individually decided</t>
        </is>
      </c>
      <c r="H48" s="34" t="inlineStr">
        <is>
          <t xml:space="preserve">APPROVED / ONE_TO_ONE; </t>
        </is>
      </c>
      <c r="I48" s="34" t="inlineStr">
        <is>
          <t>New</t>
        </is>
      </c>
      <c r="J48" s="92" t="inlineStr">
        <is>
          <t>08 CROSSWALK</t>
        </is>
      </c>
    </row>
    <row r="49" ht="49" customHeight="1">
      <c r="A49" s="34" t="inlineStr">
        <is>
          <t>R50-v1</t>
        </is>
      </c>
      <c r="B49" s="34" t="inlineStr">
        <is>
          <t>Contractor Programme / SCH-01-050</t>
        </is>
      </c>
      <c r="C49" s="34" t="inlineStr">
        <is>
          <t>WBS Code = 1.1.1</t>
        </is>
      </c>
      <c r="D49" s="34" t="inlineStr">
        <is>
          <t>Proposed by Source assignment; target 1.1.1 Guideway and Civil - Guideway Structures</t>
        </is>
      </c>
      <c r="E49" s="34" t="inlineStr">
        <is>
          <t>None recorded</t>
        </is>
      </c>
      <c r="F49" s="34" t="inlineStr">
        <is>
          <t>No individual professional decision recorded; Source assignment -- not individually reviewed</t>
        </is>
      </c>
      <c r="G49" s="34" t="inlineStr">
        <is>
          <t>Not individually decided</t>
        </is>
      </c>
      <c r="H49" s="34" t="inlineStr">
        <is>
          <t xml:space="preserve">APPROVED / ONE_TO_ONE; </t>
        </is>
      </c>
      <c r="I49" s="34" t="inlineStr">
        <is>
          <t>New</t>
        </is>
      </c>
      <c r="J49" s="92" t="inlineStr">
        <is>
          <t>08 CROSSWALK</t>
        </is>
      </c>
    </row>
    <row r="50" ht="49" customHeight="1">
      <c r="A50" s="34" t="inlineStr">
        <is>
          <t>R52-v1</t>
        </is>
      </c>
      <c r="B50" s="34" t="inlineStr">
        <is>
          <t>Contractor Programme / SCH-01-052</t>
        </is>
      </c>
      <c r="C50" s="34" t="inlineStr">
        <is>
          <t>WBS Code = 1.1.1</t>
        </is>
      </c>
      <c r="D50" s="34" t="inlineStr">
        <is>
          <t>Proposed by Source assignment; target 1.1.1 Guideway and Civil - Guideway Structures</t>
        </is>
      </c>
      <c r="E50" s="34" t="inlineStr">
        <is>
          <t>None recorded</t>
        </is>
      </c>
      <c r="F50" s="34" t="inlineStr">
        <is>
          <t>No individual professional decision recorded; Source assignment -- not individually reviewed</t>
        </is>
      </c>
      <c r="G50" s="34" t="inlineStr">
        <is>
          <t>Not individually decided</t>
        </is>
      </c>
      <c r="H50" s="34" t="inlineStr">
        <is>
          <t xml:space="preserve">APPROVED / ONE_TO_ONE; </t>
        </is>
      </c>
      <c r="I50" s="34" t="inlineStr">
        <is>
          <t>New</t>
        </is>
      </c>
      <c r="J50" s="92" t="inlineStr">
        <is>
          <t>08 CROSSWALK</t>
        </is>
      </c>
    </row>
    <row r="51" ht="49" customHeight="1">
      <c r="A51" s="34" t="inlineStr">
        <is>
          <t>R53-v1</t>
        </is>
      </c>
      <c r="B51" s="34" t="inlineStr">
        <is>
          <t>Contractor Programme / SCH-01-053</t>
        </is>
      </c>
      <c r="C51" s="34" t="inlineStr">
        <is>
          <t>WBS Code = 1.1.1</t>
        </is>
      </c>
      <c r="D51" s="34" t="inlineStr">
        <is>
          <t>Proposed by Source assignment; target 1.1.1 Guideway and Civil - Guideway Structures</t>
        </is>
      </c>
      <c r="E51" s="34" t="inlineStr">
        <is>
          <t>None recorded</t>
        </is>
      </c>
      <c r="F51" s="34" t="inlineStr">
        <is>
          <t>No individual professional decision recorded; Source assignment -- not individually reviewed</t>
        </is>
      </c>
      <c r="G51" s="34" t="inlineStr">
        <is>
          <t>Not individually decided</t>
        </is>
      </c>
      <c r="H51" s="34" t="inlineStr">
        <is>
          <t xml:space="preserve">APPROVED / ONE_TO_ONE; </t>
        </is>
      </c>
      <c r="I51" s="34" t="inlineStr">
        <is>
          <t>New</t>
        </is>
      </c>
      <c r="J51" s="92" t="inlineStr">
        <is>
          <t>08 CROSSWALK</t>
        </is>
      </c>
    </row>
    <row r="52" ht="49" customHeight="1">
      <c r="A52" s="34" t="inlineStr">
        <is>
          <t>R55-v1</t>
        </is>
      </c>
      <c r="B52" s="34" t="inlineStr">
        <is>
          <t>Contractor Programme / SCH-01-055</t>
        </is>
      </c>
      <c r="C52" s="34" t="inlineStr">
        <is>
          <t>WBS Code = 1.1.1</t>
        </is>
      </c>
      <c r="D52" s="34" t="inlineStr">
        <is>
          <t>Proposed by Source assignment; target 1.1.1 Guideway and Civil - Guideway Structures</t>
        </is>
      </c>
      <c r="E52" s="34" t="inlineStr">
        <is>
          <t>None recorded</t>
        </is>
      </c>
      <c r="F52" s="34" t="inlineStr">
        <is>
          <t>No individual professional decision recorded; Source assignment -- not individually reviewed</t>
        </is>
      </c>
      <c r="G52" s="34" t="inlineStr">
        <is>
          <t>Not individually decided</t>
        </is>
      </c>
      <c r="H52" s="34" t="inlineStr">
        <is>
          <t xml:space="preserve">APPROVED / ONE_TO_ONE; </t>
        </is>
      </c>
      <c r="I52" s="34" t="inlineStr">
        <is>
          <t>New</t>
        </is>
      </c>
      <c r="J52" s="92" t="inlineStr">
        <is>
          <t>08 CROSSWALK</t>
        </is>
      </c>
    </row>
    <row r="53" ht="49" customHeight="1">
      <c r="A53" s="34" t="inlineStr">
        <is>
          <t>R56-v1</t>
        </is>
      </c>
      <c r="B53" s="34" t="inlineStr">
        <is>
          <t>Contractor Programme / SCH-01-056</t>
        </is>
      </c>
      <c r="C53" s="34" t="inlineStr">
        <is>
          <t>WBS Code = 1.1.1</t>
        </is>
      </c>
      <c r="D53" s="34" t="inlineStr">
        <is>
          <t>Proposed by Source assignment; target 1.1.1 Guideway and Civil - Guideway Structures</t>
        </is>
      </c>
      <c r="E53" s="34" t="inlineStr">
        <is>
          <t>None recorded</t>
        </is>
      </c>
      <c r="F53" s="34" t="inlineStr">
        <is>
          <t>No individual professional decision recorded; Source assignment -- not individually reviewed</t>
        </is>
      </c>
      <c r="G53" s="34" t="inlineStr">
        <is>
          <t>Not individually decided</t>
        </is>
      </c>
      <c r="H53" s="34" t="inlineStr">
        <is>
          <t xml:space="preserve">APPROVED / ONE_TO_ONE; </t>
        </is>
      </c>
      <c r="I53" s="34" t="inlineStr">
        <is>
          <t>New</t>
        </is>
      </c>
      <c r="J53" s="92" t="inlineStr">
        <is>
          <t>08 CROSSWALK</t>
        </is>
      </c>
    </row>
    <row r="54" ht="49" customHeight="1">
      <c r="A54" s="34" t="inlineStr">
        <is>
          <t>R58-v1</t>
        </is>
      </c>
      <c r="B54" s="34" t="inlineStr">
        <is>
          <t>Contractor Programme / SCH-01-058</t>
        </is>
      </c>
      <c r="C54" s="34" t="inlineStr">
        <is>
          <t>WBS Code = 1.1.1</t>
        </is>
      </c>
      <c r="D54" s="34" t="inlineStr">
        <is>
          <t>Proposed by Source assignment; target 1.1.1 Guideway and Civil - Guideway Structures</t>
        </is>
      </c>
      <c r="E54" s="34" t="inlineStr">
        <is>
          <t>None recorded</t>
        </is>
      </c>
      <c r="F54" s="34" t="inlineStr">
        <is>
          <t>No individual professional decision recorded; Source assignment -- not individually reviewed</t>
        </is>
      </c>
      <c r="G54" s="34" t="inlineStr">
        <is>
          <t>Not individually decided</t>
        </is>
      </c>
      <c r="H54" s="34" t="inlineStr">
        <is>
          <t xml:space="preserve">APPROVED / ONE_TO_ONE; </t>
        </is>
      </c>
      <c r="I54" s="34" t="inlineStr">
        <is>
          <t>New</t>
        </is>
      </c>
      <c r="J54" s="92" t="inlineStr">
        <is>
          <t>08 CROSSWALK</t>
        </is>
      </c>
    </row>
    <row r="55" ht="49" customHeight="1">
      <c r="A55" s="34" t="inlineStr">
        <is>
          <t>R59-v1</t>
        </is>
      </c>
      <c r="B55" s="34" t="inlineStr">
        <is>
          <t>Contractor Programme / SCH-01-059</t>
        </is>
      </c>
      <c r="C55" s="34" t="inlineStr">
        <is>
          <t>WBS Code = 1.1.1</t>
        </is>
      </c>
      <c r="D55" s="34" t="inlineStr">
        <is>
          <t>Proposed by Source assignment; target 1.1.1 Guideway and Civil - Guideway Structures</t>
        </is>
      </c>
      <c r="E55" s="34" t="inlineStr">
        <is>
          <t>None recorded</t>
        </is>
      </c>
      <c r="F55" s="34" t="inlineStr">
        <is>
          <t>No individual professional decision recorded; Source assignment -- not individually reviewed</t>
        </is>
      </c>
      <c r="G55" s="34" t="inlineStr">
        <is>
          <t>Not individually decided</t>
        </is>
      </c>
      <c r="H55" s="34" t="inlineStr">
        <is>
          <t xml:space="preserve">APPROVED / ONE_TO_ONE; </t>
        </is>
      </c>
      <c r="I55" s="34" t="inlineStr">
        <is>
          <t>New</t>
        </is>
      </c>
      <c r="J55" s="92" t="inlineStr">
        <is>
          <t>08 CROSSWALK</t>
        </is>
      </c>
    </row>
    <row r="56" ht="49" customHeight="1">
      <c r="A56" s="34" t="inlineStr">
        <is>
          <t>R61-v1</t>
        </is>
      </c>
      <c r="B56" s="34" t="inlineStr">
        <is>
          <t>Contractor Programme / SCH-01-061</t>
        </is>
      </c>
      <c r="C56" s="34" t="inlineStr">
        <is>
          <t>WBS Code = 1.1.1</t>
        </is>
      </c>
      <c r="D56" s="34" t="inlineStr">
        <is>
          <t>Proposed by Source assignment; target 1.1.1 Guideway and Civil - Guideway Structures</t>
        </is>
      </c>
      <c r="E56" s="34" t="inlineStr">
        <is>
          <t>None recorded</t>
        </is>
      </c>
      <c r="F56" s="34" t="inlineStr">
        <is>
          <t>No individual professional decision recorded; Source assignment -- not individually reviewed</t>
        </is>
      </c>
      <c r="G56" s="34" t="inlineStr">
        <is>
          <t>Not individually decided</t>
        </is>
      </c>
      <c r="H56" s="34" t="inlineStr">
        <is>
          <t xml:space="preserve">APPROVED / ONE_TO_ONE; </t>
        </is>
      </c>
      <c r="I56" s="34" t="inlineStr">
        <is>
          <t>New</t>
        </is>
      </c>
      <c r="J56" s="92" t="inlineStr">
        <is>
          <t>08 CROSSWALK</t>
        </is>
      </c>
    </row>
    <row r="57" ht="49" customHeight="1">
      <c r="A57" s="34" t="inlineStr">
        <is>
          <t>R62-v1</t>
        </is>
      </c>
      <c r="B57" s="34" t="inlineStr">
        <is>
          <t>Contractor Programme / SCH-01-062</t>
        </is>
      </c>
      <c r="C57" s="34" t="inlineStr">
        <is>
          <t>WBS Code = 1.1.1</t>
        </is>
      </c>
      <c r="D57" s="34" t="inlineStr">
        <is>
          <t>Proposed by Source assignment; target 1.1.1 Guideway and Civil - Guideway Structures</t>
        </is>
      </c>
      <c r="E57" s="34" t="inlineStr">
        <is>
          <t>None recorded</t>
        </is>
      </c>
      <c r="F57" s="34" t="inlineStr">
        <is>
          <t>No individual professional decision recorded; Source assignment -- not individually reviewed</t>
        </is>
      </c>
      <c r="G57" s="34" t="inlineStr">
        <is>
          <t>Not individually decided</t>
        </is>
      </c>
      <c r="H57" s="34" t="inlineStr">
        <is>
          <t xml:space="preserve">APPROVED / ONE_TO_ONE; </t>
        </is>
      </c>
      <c r="I57" s="34" t="inlineStr">
        <is>
          <t>New</t>
        </is>
      </c>
      <c r="J57" s="92" t="inlineStr">
        <is>
          <t>08 CROSSWALK</t>
        </is>
      </c>
    </row>
    <row r="58" ht="49" customHeight="1">
      <c r="A58" s="34" t="inlineStr">
        <is>
          <t>R64-v1</t>
        </is>
      </c>
      <c r="B58" s="34" t="inlineStr">
        <is>
          <t>Contractor Programme / SCH-01-064</t>
        </is>
      </c>
      <c r="C58" s="34" t="inlineStr">
        <is>
          <t>WBS Code = 1.1.1</t>
        </is>
      </c>
      <c r="D58" s="34" t="inlineStr">
        <is>
          <t>Proposed by Source assignment; target 1.1.1 Guideway and Civil - Guideway Structures</t>
        </is>
      </c>
      <c r="E58" s="34" t="inlineStr">
        <is>
          <t>None recorded</t>
        </is>
      </c>
      <c r="F58" s="34" t="inlineStr">
        <is>
          <t>No individual professional decision recorded; Source assignment -- not individually reviewed</t>
        </is>
      </c>
      <c r="G58" s="34" t="inlineStr">
        <is>
          <t>Not individually decided</t>
        </is>
      </c>
      <c r="H58" s="34" t="inlineStr">
        <is>
          <t xml:space="preserve">APPROVED / ONE_TO_ONE; </t>
        </is>
      </c>
      <c r="I58" s="34" t="inlineStr">
        <is>
          <t>New</t>
        </is>
      </c>
      <c r="J58" s="92" t="inlineStr">
        <is>
          <t>08 CROSSWALK</t>
        </is>
      </c>
    </row>
    <row r="59" ht="49" customHeight="1">
      <c r="A59" s="34" t="inlineStr">
        <is>
          <t>R65-v1</t>
        </is>
      </c>
      <c r="B59" s="34" t="inlineStr">
        <is>
          <t>Contractor Programme / SCH-01-065</t>
        </is>
      </c>
      <c r="C59" s="34" t="inlineStr">
        <is>
          <t>WBS Code = 1.1.1</t>
        </is>
      </c>
      <c r="D59" s="34" t="inlineStr">
        <is>
          <t>Proposed by Source assignment; target 1.1.1 Guideway and Civil - Guideway Structures</t>
        </is>
      </c>
      <c r="E59" s="34" t="inlineStr">
        <is>
          <t>None recorded</t>
        </is>
      </c>
      <c r="F59" s="34" t="inlineStr">
        <is>
          <t>No individual professional decision recorded; Source assignment -- not individually reviewed</t>
        </is>
      </c>
      <c r="G59" s="34" t="inlineStr">
        <is>
          <t>Not individually decided</t>
        </is>
      </c>
      <c r="H59" s="34" t="inlineStr">
        <is>
          <t xml:space="preserve">APPROVED / ONE_TO_ONE; </t>
        </is>
      </c>
      <c r="I59" s="34" t="inlineStr">
        <is>
          <t>New</t>
        </is>
      </c>
      <c r="J59" s="92" t="inlineStr">
        <is>
          <t>08 CROSSWALK</t>
        </is>
      </c>
    </row>
    <row r="60" ht="49" customHeight="1">
      <c r="A60" s="34" t="inlineStr">
        <is>
          <t>R67-v1</t>
        </is>
      </c>
      <c r="B60" s="34" t="inlineStr">
        <is>
          <t>Contractor Programme / SCH-01-067</t>
        </is>
      </c>
      <c r="C60" s="34" t="inlineStr">
        <is>
          <t>WBS Code = 1.1.1</t>
        </is>
      </c>
      <c r="D60" s="34" t="inlineStr">
        <is>
          <t>Proposed by Source assignment; target 1.1.1 Guideway and Civil - Guideway Structures</t>
        </is>
      </c>
      <c r="E60" s="34" t="inlineStr">
        <is>
          <t>None recorded</t>
        </is>
      </c>
      <c r="F60" s="34" t="inlineStr">
        <is>
          <t>No individual professional decision recorded; Source assignment -- not individually reviewed</t>
        </is>
      </c>
      <c r="G60" s="34" t="inlineStr">
        <is>
          <t>Not individually decided</t>
        </is>
      </c>
      <c r="H60" s="34" t="inlineStr">
        <is>
          <t xml:space="preserve">APPROVED / ONE_TO_ONE; </t>
        </is>
      </c>
      <c r="I60" s="34" t="inlineStr">
        <is>
          <t>New</t>
        </is>
      </c>
      <c r="J60" s="92" t="inlineStr">
        <is>
          <t>08 CROSSWALK</t>
        </is>
      </c>
    </row>
    <row r="61" ht="49" customHeight="1">
      <c r="A61" s="34" t="inlineStr">
        <is>
          <t>R68-v1</t>
        </is>
      </c>
      <c r="B61" s="34" t="inlineStr">
        <is>
          <t>Contractor Programme / SCH-01-068</t>
        </is>
      </c>
      <c r="C61" s="34" t="inlineStr">
        <is>
          <t>WBS Code = 1.1.1</t>
        </is>
      </c>
      <c r="D61" s="34" t="inlineStr">
        <is>
          <t>Proposed by Source assignment; target 1.1.1 Guideway and Civil - Guideway Structures</t>
        </is>
      </c>
      <c r="E61" s="34" t="inlineStr">
        <is>
          <t>None recorded</t>
        </is>
      </c>
      <c r="F61" s="34" t="inlineStr">
        <is>
          <t>No individual professional decision recorded; Source assignment -- not individually reviewed</t>
        </is>
      </c>
      <c r="G61" s="34" t="inlineStr">
        <is>
          <t>Not individually decided</t>
        </is>
      </c>
      <c r="H61" s="34" t="inlineStr">
        <is>
          <t xml:space="preserve">APPROVED / ONE_TO_ONE; </t>
        </is>
      </c>
      <c r="I61" s="34" t="inlineStr">
        <is>
          <t>New</t>
        </is>
      </c>
      <c r="J61" s="92" t="inlineStr">
        <is>
          <t>08 CROSSWALK</t>
        </is>
      </c>
    </row>
    <row r="62" ht="49" customHeight="1">
      <c r="A62" s="34" t="inlineStr">
        <is>
          <t>R70-v1</t>
        </is>
      </c>
      <c r="B62" s="34" t="inlineStr">
        <is>
          <t>Contractor Programme / SCH-01-070</t>
        </is>
      </c>
      <c r="C62" s="34" t="inlineStr">
        <is>
          <t>WBS Code = 1.1.1</t>
        </is>
      </c>
      <c r="D62" s="34" t="inlineStr">
        <is>
          <t>Proposed by Source assignment; target 1.1.1 Guideway and Civil - Guideway Structures</t>
        </is>
      </c>
      <c r="E62" s="34" t="inlineStr">
        <is>
          <t>None recorded</t>
        </is>
      </c>
      <c r="F62" s="34" t="inlineStr">
        <is>
          <t>No individual professional decision recorded; Source assignment -- not individually reviewed</t>
        </is>
      </c>
      <c r="G62" s="34" t="inlineStr">
        <is>
          <t>Not individually decided</t>
        </is>
      </c>
      <c r="H62" s="34" t="inlineStr">
        <is>
          <t xml:space="preserve">APPROVED / ONE_TO_ONE; </t>
        </is>
      </c>
      <c r="I62" s="34" t="inlineStr">
        <is>
          <t>New</t>
        </is>
      </c>
      <c r="J62" s="92" t="inlineStr">
        <is>
          <t>08 CROSSWALK</t>
        </is>
      </c>
    </row>
    <row r="63" ht="49" customHeight="1">
      <c r="A63" s="34" t="inlineStr">
        <is>
          <t>R71-v1</t>
        </is>
      </c>
      <c r="B63" s="34" t="inlineStr">
        <is>
          <t>Contractor Programme / SCH-01-071</t>
        </is>
      </c>
      <c r="C63" s="34" t="inlineStr">
        <is>
          <t>WBS Code = 1.1.1</t>
        </is>
      </c>
      <c r="D63" s="34" t="inlineStr">
        <is>
          <t>Proposed by Source assignment; target 1.1.1 Guideway and Civil - Guideway Structures</t>
        </is>
      </c>
      <c r="E63" s="34" t="inlineStr">
        <is>
          <t>None recorded</t>
        </is>
      </c>
      <c r="F63" s="34" t="inlineStr">
        <is>
          <t>No individual professional decision recorded; Source assignment -- not individually reviewed</t>
        </is>
      </c>
      <c r="G63" s="34" t="inlineStr">
        <is>
          <t>Not individually decided</t>
        </is>
      </c>
      <c r="H63" s="34" t="inlineStr">
        <is>
          <t xml:space="preserve">APPROVED / ONE_TO_ONE; </t>
        </is>
      </c>
      <c r="I63" s="34" t="inlineStr">
        <is>
          <t>New</t>
        </is>
      </c>
      <c r="J63" s="92" t="inlineStr">
        <is>
          <t>08 CROSSWALK</t>
        </is>
      </c>
    </row>
    <row r="64" ht="49" customHeight="1">
      <c r="A64" s="34" t="inlineStr">
        <is>
          <t>R73-v1</t>
        </is>
      </c>
      <c r="B64" s="34" t="inlineStr">
        <is>
          <t>Contractor Programme / SCH-01-073</t>
        </is>
      </c>
      <c r="C64" s="34" t="inlineStr">
        <is>
          <t>WBS Code = 1.1.1</t>
        </is>
      </c>
      <c r="D64" s="34" t="inlineStr">
        <is>
          <t>Proposed by Source assignment; target 1.1.1 Guideway and Civil - Guideway Structures</t>
        </is>
      </c>
      <c r="E64" s="34" t="inlineStr">
        <is>
          <t>None recorded</t>
        </is>
      </c>
      <c r="F64" s="34" t="inlineStr">
        <is>
          <t>No individual professional decision recorded; Source assignment -- not individually reviewed</t>
        </is>
      </c>
      <c r="G64" s="34" t="inlineStr">
        <is>
          <t>Not individually decided</t>
        </is>
      </c>
      <c r="H64" s="34" t="inlineStr">
        <is>
          <t xml:space="preserve">APPROVED / ONE_TO_ONE; </t>
        </is>
      </c>
      <c r="I64" s="34" t="inlineStr">
        <is>
          <t>New</t>
        </is>
      </c>
      <c r="J64" s="92" t="inlineStr">
        <is>
          <t>08 CROSSWALK</t>
        </is>
      </c>
    </row>
    <row r="65" ht="49" customHeight="1">
      <c r="A65" s="34" t="inlineStr">
        <is>
          <t>R74-v1</t>
        </is>
      </c>
      <c r="B65" s="34" t="inlineStr">
        <is>
          <t>Contractor Programme / SCH-01-074</t>
        </is>
      </c>
      <c r="C65" s="34" t="inlineStr">
        <is>
          <t>WBS Code = 1.1.1</t>
        </is>
      </c>
      <c r="D65" s="34" t="inlineStr">
        <is>
          <t>Proposed by Source assignment; target 1.1.1 Guideway and Civil - Guideway Structures</t>
        </is>
      </c>
      <c r="E65" s="34" t="inlineStr">
        <is>
          <t>None recorded</t>
        </is>
      </c>
      <c r="F65" s="34" t="inlineStr">
        <is>
          <t>No individual professional decision recorded; Source assignment -- not individually reviewed</t>
        </is>
      </c>
      <c r="G65" s="34" t="inlineStr">
        <is>
          <t>Not individually decided</t>
        </is>
      </c>
      <c r="H65" s="34" t="inlineStr">
        <is>
          <t xml:space="preserve">APPROVED / ONE_TO_ONE; </t>
        </is>
      </c>
      <c r="I65" s="34" t="inlineStr">
        <is>
          <t>New</t>
        </is>
      </c>
      <c r="J65" s="92" t="inlineStr">
        <is>
          <t>08 CROSSWALK</t>
        </is>
      </c>
    </row>
    <row r="66" ht="49" customHeight="1">
      <c r="A66" s="34" t="inlineStr">
        <is>
          <t>R76-v1</t>
        </is>
      </c>
      <c r="B66" s="34" t="inlineStr">
        <is>
          <t>Contractor Programme / SCH-01-076</t>
        </is>
      </c>
      <c r="C66" s="34" t="inlineStr">
        <is>
          <t>WBS Code = 1.1.1</t>
        </is>
      </c>
      <c r="D66" s="34" t="inlineStr">
        <is>
          <t>Proposed by Source assignment; target 1.1.1 Guideway and Civil - Guideway Structures</t>
        </is>
      </c>
      <c r="E66" s="34" t="inlineStr">
        <is>
          <t>None recorded</t>
        </is>
      </c>
      <c r="F66" s="34" t="inlineStr">
        <is>
          <t>No individual professional decision recorded; Source assignment -- not individually reviewed</t>
        </is>
      </c>
      <c r="G66" s="34" t="inlineStr">
        <is>
          <t>Not individually decided</t>
        </is>
      </c>
      <c r="H66" s="34" t="inlineStr">
        <is>
          <t xml:space="preserve">APPROVED / ONE_TO_ONE; </t>
        </is>
      </c>
      <c r="I66" s="34" t="inlineStr">
        <is>
          <t>New</t>
        </is>
      </c>
      <c r="J66" s="92" t="inlineStr">
        <is>
          <t>08 CROSSWALK</t>
        </is>
      </c>
    </row>
    <row r="67" ht="49" customHeight="1">
      <c r="A67" s="34" t="inlineStr">
        <is>
          <t>R77-v1</t>
        </is>
      </c>
      <c r="B67" s="34" t="inlineStr">
        <is>
          <t>Contractor Programme / SCH-01-077</t>
        </is>
      </c>
      <c r="C67" s="34" t="inlineStr">
        <is>
          <t>WBS Code = 1.1.1</t>
        </is>
      </c>
      <c r="D67" s="34" t="inlineStr">
        <is>
          <t>Proposed by Source assignment; target 1.1.1 Guideway and Civil - Guideway Structures</t>
        </is>
      </c>
      <c r="E67" s="34" t="inlineStr">
        <is>
          <t>None recorded</t>
        </is>
      </c>
      <c r="F67" s="34" t="inlineStr">
        <is>
          <t>No individual professional decision recorded; Source assignment -- not individually reviewed</t>
        </is>
      </c>
      <c r="G67" s="34" t="inlineStr">
        <is>
          <t>Not individually decided</t>
        </is>
      </c>
      <c r="H67" s="34" t="inlineStr">
        <is>
          <t xml:space="preserve">APPROVED / ONE_TO_ONE; </t>
        </is>
      </c>
      <c r="I67" s="34" t="inlineStr">
        <is>
          <t>New</t>
        </is>
      </c>
      <c r="J67" s="92" t="inlineStr">
        <is>
          <t>08 CROSSWALK</t>
        </is>
      </c>
    </row>
    <row r="68" ht="49" customHeight="1">
      <c r="A68" s="34" t="inlineStr">
        <is>
          <t>R79-v1</t>
        </is>
      </c>
      <c r="B68" s="34" t="inlineStr">
        <is>
          <t>Contractor Programme / SCH-01-079</t>
        </is>
      </c>
      <c r="C68" s="34" t="inlineStr">
        <is>
          <t>WBS Code = 1.1.1</t>
        </is>
      </c>
      <c r="D68" s="34" t="inlineStr">
        <is>
          <t>Proposed by Source assignment; target 1.1.1 Guideway and Civil - Guideway Structures</t>
        </is>
      </c>
      <c r="E68" s="34" t="inlineStr">
        <is>
          <t>None recorded</t>
        </is>
      </c>
      <c r="F68" s="34" t="inlineStr">
        <is>
          <t>No individual professional decision recorded; Source assignment -- not individually reviewed</t>
        </is>
      </c>
      <c r="G68" s="34" t="inlineStr">
        <is>
          <t>Not individually decided</t>
        </is>
      </c>
      <c r="H68" s="34" t="inlineStr">
        <is>
          <t xml:space="preserve">APPROVED / ONE_TO_ONE; </t>
        </is>
      </c>
      <c r="I68" s="34" t="inlineStr">
        <is>
          <t>New</t>
        </is>
      </c>
      <c r="J68" s="92" t="inlineStr">
        <is>
          <t>08 CROSSWALK</t>
        </is>
      </c>
    </row>
    <row r="69" ht="49" customHeight="1">
      <c r="A69" s="34" t="inlineStr">
        <is>
          <t>R80-v1</t>
        </is>
      </c>
      <c r="B69" s="34" t="inlineStr">
        <is>
          <t>Contractor Programme / SCH-01-080</t>
        </is>
      </c>
      <c r="C69" s="34" t="inlineStr">
        <is>
          <t>WBS Code = 1.1.1</t>
        </is>
      </c>
      <c r="D69" s="34" t="inlineStr">
        <is>
          <t>Proposed by Source assignment; target 1.1.1 Guideway and Civil - Guideway Structures</t>
        </is>
      </c>
      <c r="E69" s="34" t="inlineStr">
        <is>
          <t>None recorded</t>
        </is>
      </c>
      <c r="F69" s="34" t="inlineStr">
        <is>
          <t>No individual professional decision recorded; Source assignment -- not individually reviewed</t>
        </is>
      </c>
      <c r="G69" s="34" t="inlineStr">
        <is>
          <t>Not individually decided</t>
        </is>
      </c>
      <c r="H69" s="34" t="inlineStr">
        <is>
          <t xml:space="preserve">APPROVED / ONE_TO_ONE; </t>
        </is>
      </c>
      <c r="I69" s="34" t="inlineStr">
        <is>
          <t>New</t>
        </is>
      </c>
      <c r="J69" s="92" t="inlineStr">
        <is>
          <t>08 CROSSWALK</t>
        </is>
      </c>
    </row>
    <row r="70" ht="49" customHeight="1">
      <c r="A70" s="34" t="inlineStr">
        <is>
          <t>R82-v1</t>
        </is>
      </c>
      <c r="B70" s="34" t="inlineStr">
        <is>
          <t>Contractor Programme / SCH-01-082</t>
        </is>
      </c>
      <c r="C70" s="34" t="inlineStr">
        <is>
          <t>WBS Code = 1.1.1</t>
        </is>
      </c>
      <c r="D70" s="34" t="inlineStr">
        <is>
          <t>Proposed by Source assignment; target 1.1.1 Guideway and Civil - Guideway Structures</t>
        </is>
      </c>
      <c r="E70" s="34" t="inlineStr">
        <is>
          <t>None recorded</t>
        </is>
      </c>
      <c r="F70" s="34" t="inlineStr">
        <is>
          <t>No individual professional decision recorded; Source assignment -- not individually reviewed</t>
        </is>
      </c>
      <c r="G70" s="34" t="inlineStr">
        <is>
          <t>Not individually decided</t>
        </is>
      </c>
      <c r="H70" s="34" t="inlineStr">
        <is>
          <t xml:space="preserve">APPROVED / ONE_TO_ONE; </t>
        </is>
      </c>
      <c r="I70" s="34" t="inlineStr">
        <is>
          <t>New</t>
        </is>
      </c>
      <c r="J70" s="92" t="inlineStr">
        <is>
          <t>08 CROSSWALK</t>
        </is>
      </c>
    </row>
    <row r="71" ht="49" customHeight="1">
      <c r="A71" s="34" t="inlineStr">
        <is>
          <t>R83-v1</t>
        </is>
      </c>
      <c r="B71" s="34" t="inlineStr">
        <is>
          <t>Contractor Programme / SCH-01-083</t>
        </is>
      </c>
      <c r="C71" s="34" t="inlineStr">
        <is>
          <t>WBS Code = 1.1.1</t>
        </is>
      </c>
      <c r="D71" s="34" t="inlineStr">
        <is>
          <t>Proposed by Source assignment; target 1.1.1 Guideway and Civil - Guideway Structures</t>
        </is>
      </c>
      <c r="E71" s="34" t="inlineStr">
        <is>
          <t>None recorded</t>
        </is>
      </c>
      <c r="F71" s="34" t="inlineStr">
        <is>
          <t>No individual professional decision recorded; Source assignment -- not individually reviewed</t>
        </is>
      </c>
      <c r="G71" s="34" t="inlineStr">
        <is>
          <t>Not individually decided</t>
        </is>
      </c>
      <c r="H71" s="34" t="inlineStr">
        <is>
          <t xml:space="preserve">APPROVED / ONE_TO_ONE; </t>
        </is>
      </c>
      <c r="I71" s="34" t="inlineStr">
        <is>
          <t>New</t>
        </is>
      </c>
      <c r="J71" s="92" t="inlineStr">
        <is>
          <t>08 CROSSWALK</t>
        </is>
      </c>
    </row>
    <row r="72" ht="49" customHeight="1">
      <c r="A72" s="34" t="inlineStr">
        <is>
          <t>R85-v1</t>
        </is>
      </c>
      <c r="B72" s="34" t="inlineStr">
        <is>
          <t>Contractor Programme / SCH-01-085</t>
        </is>
      </c>
      <c r="C72" s="34" t="inlineStr">
        <is>
          <t>WBS Code = 1.1.1</t>
        </is>
      </c>
      <c r="D72" s="34" t="inlineStr">
        <is>
          <t>Proposed by Source assignment; target 1.1.1 Guideway and Civil - Guideway Structures</t>
        </is>
      </c>
      <c r="E72" s="34" t="inlineStr">
        <is>
          <t>None recorded</t>
        </is>
      </c>
      <c r="F72" s="34" t="inlineStr">
        <is>
          <t>No individual professional decision recorded; Source assignment -- not individually reviewed</t>
        </is>
      </c>
      <c r="G72" s="34" t="inlineStr">
        <is>
          <t>Not individually decided</t>
        </is>
      </c>
      <c r="H72" s="34" t="inlineStr">
        <is>
          <t xml:space="preserve">APPROVED / ONE_TO_ONE; </t>
        </is>
      </c>
      <c r="I72" s="34" t="inlineStr">
        <is>
          <t>New</t>
        </is>
      </c>
      <c r="J72" s="92" t="inlineStr">
        <is>
          <t>08 CROSSWALK</t>
        </is>
      </c>
    </row>
    <row r="73" ht="49" customHeight="1">
      <c r="A73" s="34" t="inlineStr">
        <is>
          <t>R86-v1</t>
        </is>
      </c>
      <c r="B73" s="34" t="inlineStr">
        <is>
          <t>Contractor Programme / SCH-01-086</t>
        </is>
      </c>
      <c r="C73" s="34" t="inlineStr">
        <is>
          <t>WBS Code = 1.1.1</t>
        </is>
      </c>
      <c r="D73" s="34" t="inlineStr">
        <is>
          <t>Proposed by Source assignment; target 1.1.1 Guideway and Civil - Guideway Structures</t>
        </is>
      </c>
      <c r="E73" s="34" t="inlineStr">
        <is>
          <t>None recorded</t>
        </is>
      </c>
      <c r="F73" s="34" t="inlineStr">
        <is>
          <t>No individual professional decision recorded; Source assignment -- not individually reviewed</t>
        </is>
      </c>
      <c r="G73" s="34" t="inlineStr">
        <is>
          <t>Not individually decided</t>
        </is>
      </c>
      <c r="H73" s="34" t="inlineStr">
        <is>
          <t xml:space="preserve">APPROVED / ONE_TO_ONE; </t>
        </is>
      </c>
      <c r="I73" s="34" t="inlineStr">
        <is>
          <t>New</t>
        </is>
      </c>
      <c r="J73" s="92" t="inlineStr">
        <is>
          <t>08 CROSSWALK</t>
        </is>
      </c>
    </row>
    <row r="74" ht="49" customHeight="1">
      <c r="A74" s="34" t="inlineStr">
        <is>
          <t>R88-v1</t>
        </is>
      </c>
      <c r="B74" s="34" t="inlineStr">
        <is>
          <t>Contractor Programme / SCH-01-088</t>
        </is>
      </c>
      <c r="C74" s="34" t="inlineStr">
        <is>
          <t>WBS Code = 1.1.1</t>
        </is>
      </c>
      <c r="D74" s="34" t="inlineStr">
        <is>
          <t>Proposed by Source assignment; target 1.1.1 Guideway and Civil - Guideway Structures</t>
        </is>
      </c>
      <c r="E74" s="34" t="inlineStr">
        <is>
          <t>None recorded</t>
        </is>
      </c>
      <c r="F74" s="34" t="inlineStr">
        <is>
          <t>No individual professional decision recorded; Source assignment -- not individually reviewed</t>
        </is>
      </c>
      <c r="G74" s="34" t="inlineStr">
        <is>
          <t>Not individually decided</t>
        </is>
      </c>
      <c r="H74" s="34" t="inlineStr">
        <is>
          <t xml:space="preserve">APPROVED / ONE_TO_ONE; </t>
        </is>
      </c>
      <c r="I74" s="34" t="inlineStr">
        <is>
          <t>New</t>
        </is>
      </c>
      <c r="J74" s="92" t="inlineStr">
        <is>
          <t>08 CROSSWALK</t>
        </is>
      </c>
    </row>
    <row r="75" ht="49" customHeight="1">
      <c r="A75" s="34" t="inlineStr">
        <is>
          <t>R89-v1</t>
        </is>
      </c>
      <c r="B75" s="34" t="inlineStr">
        <is>
          <t>Contractor Programme / SCH-01-089</t>
        </is>
      </c>
      <c r="C75" s="34" t="inlineStr">
        <is>
          <t>WBS Code = 1.1.1</t>
        </is>
      </c>
      <c r="D75" s="34" t="inlineStr">
        <is>
          <t>Proposed by Source assignment; target 1.1.1 Guideway and Civil - Guideway Structures</t>
        </is>
      </c>
      <c r="E75" s="34" t="inlineStr">
        <is>
          <t>None recorded</t>
        </is>
      </c>
      <c r="F75" s="34" t="inlineStr">
        <is>
          <t>No individual professional decision recorded; Source assignment -- not individually reviewed</t>
        </is>
      </c>
      <c r="G75" s="34" t="inlineStr">
        <is>
          <t>Not individually decided</t>
        </is>
      </c>
      <c r="H75" s="34" t="inlineStr">
        <is>
          <t xml:space="preserve">APPROVED / ONE_TO_ONE; </t>
        </is>
      </c>
      <c r="I75" s="34" t="inlineStr">
        <is>
          <t>New</t>
        </is>
      </c>
      <c r="J75" s="92" t="inlineStr">
        <is>
          <t>08 CROSSWALK</t>
        </is>
      </c>
    </row>
    <row r="76" ht="49" customHeight="1">
      <c r="A76" s="34" t="inlineStr">
        <is>
          <t>R91-v1</t>
        </is>
      </c>
      <c r="B76" s="34" t="inlineStr">
        <is>
          <t>Contractor Programme / SCH-01-091</t>
        </is>
      </c>
      <c r="C76" s="34" t="inlineStr">
        <is>
          <t>WBS Code = 1.1.1</t>
        </is>
      </c>
      <c r="D76" s="34" t="inlineStr">
        <is>
          <t>Proposed by Source assignment; target 1.1.1 Guideway and Civil - Guideway Structures</t>
        </is>
      </c>
      <c r="E76" s="34" t="inlineStr">
        <is>
          <t>None recorded</t>
        </is>
      </c>
      <c r="F76" s="34" t="inlineStr">
        <is>
          <t>No individual professional decision recorded; Source assignment -- not individually reviewed</t>
        </is>
      </c>
      <c r="G76" s="34" t="inlineStr">
        <is>
          <t>Not individually decided</t>
        </is>
      </c>
      <c r="H76" s="34" t="inlineStr">
        <is>
          <t xml:space="preserve">APPROVED / ONE_TO_ONE; </t>
        </is>
      </c>
      <c r="I76" s="34" t="inlineStr">
        <is>
          <t>New</t>
        </is>
      </c>
      <c r="J76" s="92" t="inlineStr">
        <is>
          <t>08 CROSSWALK</t>
        </is>
      </c>
    </row>
    <row r="77" ht="49" customHeight="1">
      <c r="A77" s="34" t="inlineStr">
        <is>
          <t>R92-v1</t>
        </is>
      </c>
      <c r="B77" s="34" t="inlineStr">
        <is>
          <t>Contractor Programme / SCH-01-092</t>
        </is>
      </c>
      <c r="C77" s="34" t="inlineStr">
        <is>
          <t>WBS Code = 1.1.1</t>
        </is>
      </c>
      <c r="D77" s="34" t="inlineStr">
        <is>
          <t>Proposed by Source assignment; target 1.1.1 Guideway and Civil - Guideway Structures</t>
        </is>
      </c>
      <c r="E77" s="34" t="inlineStr">
        <is>
          <t>None recorded</t>
        </is>
      </c>
      <c r="F77" s="34" t="inlineStr">
        <is>
          <t>No individual professional decision recorded; Source assignment -- not individually reviewed</t>
        </is>
      </c>
      <c r="G77" s="34" t="inlineStr">
        <is>
          <t>Not individually decided</t>
        </is>
      </c>
      <c r="H77" s="34" t="inlineStr">
        <is>
          <t xml:space="preserve">APPROVED / ONE_TO_ONE; </t>
        </is>
      </c>
      <c r="I77" s="34" t="inlineStr">
        <is>
          <t>New</t>
        </is>
      </c>
      <c r="J77" s="92" t="inlineStr">
        <is>
          <t>08 CROSSWALK</t>
        </is>
      </c>
    </row>
    <row r="78" ht="49" customHeight="1">
      <c r="A78" s="34" t="inlineStr">
        <is>
          <t>R94-v1</t>
        </is>
      </c>
      <c r="B78" s="34" t="inlineStr">
        <is>
          <t>Contractor Programme / SCH-01-094</t>
        </is>
      </c>
      <c r="C78" s="34" t="inlineStr">
        <is>
          <t>WBS Code = 1.1.1</t>
        </is>
      </c>
      <c r="D78" s="34" t="inlineStr">
        <is>
          <t>Proposed by Source assignment; target 1.1.1 Guideway and Civil - Guideway Structures</t>
        </is>
      </c>
      <c r="E78" s="34" t="inlineStr">
        <is>
          <t>None recorded</t>
        </is>
      </c>
      <c r="F78" s="34" t="inlineStr">
        <is>
          <t>No individual professional decision recorded; Source assignment -- not individually reviewed</t>
        </is>
      </c>
      <c r="G78" s="34" t="inlineStr">
        <is>
          <t>Not individually decided</t>
        </is>
      </c>
      <c r="H78" s="34" t="inlineStr">
        <is>
          <t xml:space="preserve">APPROVED / ONE_TO_ONE; </t>
        </is>
      </c>
      <c r="I78" s="34" t="inlineStr">
        <is>
          <t>New</t>
        </is>
      </c>
      <c r="J78" s="92" t="inlineStr">
        <is>
          <t>08 CROSSWALK</t>
        </is>
      </c>
    </row>
    <row r="79" ht="49" customHeight="1">
      <c r="A79" s="34" t="inlineStr">
        <is>
          <t>R95-v1</t>
        </is>
      </c>
      <c r="B79" s="34" t="inlineStr">
        <is>
          <t>Contractor Programme / SCH-01-095</t>
        </is>
      </c>
      <c r="C79" s="34" t="inlineStr">
        <is>
          <t>WBS Code = 1.1.1</t>
        </is>
      </c>
      <c r="D79" s="34" t="inlineStr">
        <is>
          <t>Proposed by Source assignment; target 1.1.1 Guideway and Civil - Guideway Structures</t>
        </is>
      </c>
      <c r="E79" s="34" t="inlineStr">
        <is>
          <t>None recorded</t>
        </is>
      </c>
      <c r="F79" s="34" t="inlineStr">
        <is>
          <t>No individual professional decision recorded; Source assignment -- not individually reviewed</t>
        </is>
      </c>
      <c r="G79" s="34" t="inlineStr">
        <is>
          <t>Not individually decided</t>
        </is>
      </c>
      <c r="H79" s="34" t="inlineStr">
        <is>
          <t xml:space="preserve">APPROVED / ONE_TO_ONE; </t>
        </is>
      </c>
      <c r="I79" s="34" t="inlineStr">
        <is>
          <t>New</t>
        </is>
      </c>
      <c r="J79" s="92" t="inlineStr">
        <is>
          <t>08 CROSSWALK</t>
        </is>
      </c>
    </row>
    <row r="80" ht="49" customHeight="1">
      <c r="A80" s="34" t="inlineStr">
        <is>
          <t>R97-v1</t>
        </is>
      </c>
      <c r="B80" s="34" t="inlineStr">
        <is>
          <t>Contractor Programme / SCH-01-097</t>
        </is>
      </c>
      <c r="C80" s="34" t="inlineStr">
        <is>
          <t>WBS Code = 1.1.1</t>
        </is>
      </c>
      <c r="D80" s="34" t="inlineStr">
        <is>
          <t>Proposed by Source assignment; target 1.1.1 Guideway and Civil - Guideway Structures</t>
        </is>
      </c>
      <c r="E80" s="34" t="inlineStr">
        <is>
          <t>None recorded</t>
        </is>
      </c>
      <c r="F80" s="34" t="inlineStr">
        <is>
          <t>No individual professional decision recorded; Source assignment -- not individually reviewed</t>
        </is>
      </c>
      <c r="G80" s="34" t="inlineStr">
        <is>
          <t>Not individually decided</t>
        </is>
      </c>
      <c r="H80" s="34" t="inlineStr">
        <is>
          <t xml:space="preserve">APPROVED / ONE_TO_ONE; </t>
        </is>
      </c>
      <c r="I80" s="34" t="inlineStr">
        <is>
          <t>New</t>
        </is>
      </c>
      <c r="J80" s="92" t="inlineStr">
        <is>
          <t>08 CROSSWALK</t>
        </is>
      </c>
    </row>
    <row r="81" ht="49" customHeight="1">
      <c r="A81" s="34" t="inlineStr">
        <is>
          <t>R98-v1</t>
        </is>
      </c>
      <c r="B81" s="34" t="inlineStr">
        <is>
          <t>Contractor Programme / SCH-01-098</t>
        </is>
      </c>
      <c r="C81" s="34" t="inlineStr">
        <is>
          <t>WBS Code = 1.1.1</t>
        </is>
      </c>
      <c r="D81" s="34" t="inlineStr">
        <is>
          <t>Proposed by Source assignment; target 1.1.1 Guideway and Civil - Guideway Structures</t>
        </is>
      </c>
      <c r="E81" s="34" t="inlineStr">
        <is>
          <t>None recorded</t>
        </is>
      </c>
      <c r="F81" s="34" t="inlineStr">
        <is>
          <t>No individual professional decision recorded; Source assignment -- not individually reviewed</t>
        </is>
      </c>
      <c r="G81" s="34" t="inlineStr">
        <is>
          <t>Not individually decided</t>
        </is>
      </c>
      <c r="H81" s="34" t="inlineStr">
        <is>
          <t xml:space="preserve">APPROVED / ONE_TO_ONE; </t>
        </is>
      </c>
      <c r="I81" s="34" t="inlineStr">
        <is>
          <t>New</t>
        </is>
      </c>
      <c r="J81" s="92" t="inlineStr">
        <is>
          <t>08 CROSSWALK</t>
        </is>
      </c>
    </row>
    <row r="82" ht="49" customHeight="1">
      <c r="A82" s="34" t="inlineStr">
        <is>
          <t>R100-v1</t>
        </is>
      </c>
      <c r="B82" s="34" t="inlineStr">
        <is>
          <t>Contractor Programme / SCH-01-100</t>
        </is>
      </c>
      <c r="C82" s="34" t="inlineStr">
        <is>
          <t>WBS Code = 1.1.1</t>
        </is>
      </c>
      <c r="D82" s="34" t="inlineStr">
        <is>
          <t>Proposed by Source assignment; target 1.1.1 Guideway and Civil - Guideway Structures</t>
        </is>
      </c>
      <c r="E82" s="34" t="inlineStr">
        <is>
          <t>None recorded</t>
        </is>
      </c>
      <c r="F82" s="34" t="inlineStr">
        <is>
          <t>No individual professional decision recorded; Source assignment -- not individually reviewed</t>
        </is>
      </c>
      <c r="G82" s="34" t="inlineStr">
        <is>
          <t>Not individually decided</t>
        </is>
      </c>
      <c r="H82" s="34" t="inlineStr">
        <is>
          <t xml:space="preserve">APPROVED / ONE_TO_ONE; </t>
        </is>
      </c>
      <c r="I82" s="34" t="inlineStr">
        <is>
          <t>New</t>
        </is>
      </c>
      <c r="J82" s="92" t="inlineStr">
        <is>
          <t>08 CROSSWALK</t>
        </is>
      </c>
    </row>
    <row r="83" ht="49" customHeight="1">
      <c r="A83" s="34" t="inlineStr">
        <is>
          <t>R101-v1</t>
        </is>
      </c>
      <c r="B83" s="34" t="inlineStr">
        <is>
          <t>Contractor Programme / SCH-01-101</t>
        </is>
      </c>
      <c r="C83" s="34" t="inlineStr">
        <is>
          <t>WBS Code = 1.1.1</t>
        </is>
      </c>
      <c r="D83" s="34" t="inlineStr">
        <is>
          <t>Proposed by Source assignment; target 1.1.1 Guideway and Civil - Guideway Structures</t>
        </is>
      </c>
      <c r="E83" s="34" t="inlineStr">
        <is>
          <t>None recorded</t>
        </is>
      </c>
      <c r="F83" s="34" t="inlineStr">
        <is>
          <t>No individual professional decision recorded; Source assignment -- not individually reviewed</t>
        </is>
      </c>
      <c r="G83" s="34" t="inlineStr">
        <is>
          <t>Not individually decided</t>
        </is>
      </c>
      <c r="H83" s="34" t="inlineStr">
        <is>
          <t xml:space="preserve">APPROVED / ONE_TO_ONE; </t>
        </is>
      </c>
      <c r="I83" s="34" t="inlineStr">
        <is>
          <t>New</t>
        </is>
      </c>
      <c r="J83" s="92" t="inlineStr">
        <is>
          <t>08 CROSSWALK</t>
        </is>
      </c>
    </row>
    <row r="84" ht="49" customHeight="1">
      <c r="A84" s="34" t="inlineStr">
        <is>
          <t>R103-v1</t>
        </is>
      </c>
      <c r="B84" s="34" t="inlineStr">
        <is>
          <t>Contractor Programme / SCH-01-103</t>
        </is>
      </c>
      <c r="C84" s="34" t="inlineStr">
        <is>
          <t>WBS Code = 1.1.1</t>
        </is>
      </c>
      <c r="D84" s="34" t="inlineStr">
        <is>
          <t>Proposed by Source assignment; target 1.1.1 Guideway and Civil - Guideway Structures</t>
        </is>
      </c>
      <c r="E84" s="34" t="inlineStr">
        <is>
          <t>None recorded</t>
        </is>
      </c>
      <c r="F84" s="34" t="inlineStr">
        <is>
          <t>No individual professional decision recorded; Source assignment -- not individually reviewed</t>
        </is>
      </c>
      <c r="G84" s="34" t="inlineStr">
        <is>
          <t>Not individually decided</t>
        </is>
      </c>
      <c r="H84" s="34" t="inlineStr">
        <is>
          <t xml:space="preserve">APPROVED / ONE_TO_ONE; </t>
        </is>
      </c>
      <c r="I84" s="34" t="inlineStr">
        <is>
          <t>New</t>
        </is>
      </c>
      <c r="J84" s="92" t="inlineStr">
        <is>
          <t>08 CROSSWALK</t>
        </is>
      </c>
    </row>
    <row r="85" ht="49" customHeight="1">
      <c r="A85" s="34" t="inlineStr">
        <is>
          <t>R104-v1</t>
        </is>
      </c>
      <c r="B85" s="34" t="inlineStr">
        <is>
          <t>Contractor Programme / SCH-01-104</t>
        </is>
      </c>
      <c r="C85" s="34" t="inlineStr">
        <is>
          <t>WBS Code = 1.1.1</t>
        </is>
      </c>
      <c r="D85" s="34" t="inlineStr">
        <is>
          <t>Proposed by Source assignment; target 1.1.1 Guideway and Civil - Guideway Structures</t>
        </is>
      </c>
      <c r="E85" s="34" t="inlineStr">
        <is>
          <t>None recorded</t>
        </is>
      </c>
      <c r="F85" s="34" t="inlineStr">
        <is>
          <t>No individual professional decision recorded; Source assignment -- not individually reviewed</t>
        </is>
      </c>
      <c r="G85" s="34" t="inlineStr">
        <is>
          <t>Not individually decided</t>
        </is>
      </c>
      <c r="H85" s="34" t="inlineStr">
        <is>
          <t xml:space="preserve">APPROVED / ONE_TO_ONE; </t>
        </is>
      </c>
      <c r="I85" s="34" t="inlineStr">
        <is>
          <t>New</t>
        </is>
      </c>
      <c r="J85" s="92" t="inlineStr">
        <is>
          <t>08 CROSSWALK</t>
        </is>
      </c>
    </row>
    <row r="86" ht="49" customHeight="1">
      <c r="A86" s="34" t="inlineStr">
        <is>
          <t>R106-v1</t>
        </is>
      </c>
      <c r="B86" s="34" t="inlineStr">
        <is>
          <t>Contractor Programme / SCH-01-106</t>
        </is>
      </c>
      <c r="C86" s="34" t="inlineStr">
        <is>
          <t>WBS Code = 1.1.1</t>
        </is>
      </c>
      <c r="D86" s="34" t="inlineStr">
        <is>
          <t>Proposed by Source assignment; target 1.1.1 Guideway and Civil - Guideway Structures</t>
        </is>
      </c>
      <c r="E86" s="34" t="inlineStr">
        <is>
          <t>None recorded</t>
        </is>
      </c>
      <c r="F86" s="34" t="inlineStr">
        <is>
          <t>No individual professional decision recorded; Source assignment -- not individually reviewed</t>
        </is>
      </c>
      <c r="G86" s="34" t="inlineStr">
        <is>
          <t>Not individually decided</t>
        </is>
      </c>
      <c r="H86" s="34" t="inlineStr">
        <is>
          <t xml:space="preserve">APPROVED / ONE_TO_ONE; </t>
        </is>
      </c>
      <c r="I86" s="34" t="inlineStr">
        <is>
          <t>New</t>
        </is>
      </c>
      <c r="J86" s="92" t="inlineStr">
        <is>
          <t>08 CROSSWALK</t>
        </is>
      </c>
    </row>
    <row r="87" ht="49" customHeight="1">
      <c r="A87" s="34" t="inlineStr">
        <is>
          <t>R107-v1</t>
        </is>
      </c>
      <c r="B87" s="34" t="inlineStr">
        <is>
          <t>Contractor Programme / SCH-01-107</t>
        </is>
      </c>
      <c r="C87" s="34" t="inlineStr">
        <is>
          <t>WBS Code = 1.1.1</t>
        </is>
      </c>
      <c r="D87" s="34" t="inlineStr">
        <is>
          <t>Proposed by Source assignment; target 1.1.1 Guideway and Civil - Guideway Structures</t>
        </is>
      </c>
      <c r="E87" s="34" t="inlineStr">
        <is>
          <t>None recorded</t>
        </is>
      </c>
      <c r="F87" s="34" t="inlineStr">
        <is>
          <t>No individual professional decision recorded; Source assignment -- not individually reviewed</t>
        </is>
      </c>
      <c r="G87" s="34" t="inlineStr">
        <is>
          <t>Not individually decided</t>
        </is>
      </c>
      <c r="H87" s="34" t="inlineStr">
        <is>
          <t xml:space="preserve">APPROVED / ONE_TO_ONE; </t>
        </is>
      </c>
      <c r="I87" s="34" t="inlineStr">
        <is>
          <t>New</t>
        </is>
      </c>
      <c r="J87" s="92" t="inlineStr">
        <is>
          <t>08 CROSSWALK</t>
        </is>
      </c>
    </row>
    <row r="88" ht="49" customHeight="1">
      <c r="A88" s="34" t="inlineStr">
        <is>
          <t>R109-v1</t>
        </is>
      </c>
      <c r="B88" s="34" t="inlineStr">
        <is>
          <t>Contractor Programme / SCH-01-109</t>
        </is>
      </c>
      <c r="C88" s="34" t="inlineStr">
        <is>
          <t>WBS Code = 1.1.1</t>
        </is>
      </c>
      <c r="D88" s="34" t="inlineStr">
        <is>
          <t>Proposed by Source assignment; target 1.1.1 Guideway and Civil - Guideway Structures</t>
        </is>
      </c>
      <c r="E88" s="34" t="inlineStr">
        <is>
          <t>None recorded</t>
        </is>
      </c>
      <c r="F88" s="34" t="inlineStr">
        <is>
          <t>No individual professional decision recorded; Source assignment -- not individually reviewed</t>
        </is>
      </c>
      <c r="G88" s="34" t="inlineStr">
        <is>
          <t>Not individually decided</t>
        </is>
      </c>
      <c r="H88" s="34" t="inlineStr">
        <is>
          <t xml:space="preserve">APPROVED / ONE_TO_ONE; </t>
        </is>
      </c>
      <c r="I88" s="34" t="inlineStr">
        <is>
          <t>New</t>
        </is>
      </c>
      <c r="J88" s="92" t="inlineStr">
        <is>
          <t>08 CROSSWALK</t>
        </is>
      </c>
    </row>
    <row r="89" ht="49" customHeight="1">
      <c r="A89" s="34" t="inlineStr">
        <is>
          <t>R110-v1</t>
        </is>
      </c>
      <c r="B89" s="34" t="inlineStr">
        <is>
          <t>Contractor Programme / SCH-01-110</t>
        </is>
      </c>
      <c r="C89" s="34" t="inlineStr">
        <is>
          <t>WBS Code = 1.1.1</t>
        </is>
      </c>
      <c r="D89" s="34" t="inlineStr">
        <is>
          <t>Proposed by Source assignment; target 1.1.1 Guideway and Civil - Guideway Structures</t>
        </is>
      </c>
      <c r="E89" s="34" t="inlineStr">
        <is>
          <t>None recorded</t>
        </is>
      </c>
      <c r="F89" s="34" t="inlineStr">
        <is>
          <t>No individual professional decision recorded; Source assignment -- not individually reviewed</t>
        </is>
      </c>
      <c r="G89" s="34" t="inlineStr">
        <is>
          <t>Not individually decided</t>
        </is>
      </c>
      <c r="H89" s="34" t="inlineStr">
        <is>
          <t xml:space="preserve">APPROVED / ONE_TO_ONE; </t>
        </is>
      </c>
      <c r="I89" s="34" t="inlineStr">
        <is>
          <t>New</t>
        </is>
      </c>
      <c r="J89" s="92" t="inlineStr">
        <is>
          <t>08 CROSSWALK</t>
        </is>
      </c>
    </row>
    <row r="90" ht="49" customHeight="1">
      <c r="A90" s="34" t="inlineStr">
        <is>
          <t>R112-v1</t>
        </is>
      </c>
      <c r="B90" s="34" t="inlineStr">
        <is>
          <t>Contractor Programme / SCH-01-112</t>
        </is>
      </c>
      <c r="C90" s="34" t="inlineStr">
        <is>
          <t>WBS Code = 1.1.1</t>
        </is>
      </c>
      <c r="D90" s="34" t="inlineStr">
        <is>
          <t>Proposed by Source assignment; target 1.1.1 Guideway and Civil - Guideway Structures</t>
        </is>
      </c>
      <c r="E90" s="34" t="inlineStr">
        <is>
          <t>None recorded</t>
        </is>
      </c>
      <c r="F90" s="34" t="inlineStr">
        <is>
          <t>No individual professional decision recorded; Source assignment -- not individually reviewed</t>
        </is>
      </c>
      <c r="G90" s="34" t="inlineStr">
        <is>
          <t>Not individually decided</t>
        </is>
      </c>
      <c r="H90" s="34" t="inlineStr">
        <is>
          <t xml:space="preserve">APPROVED / ONE_TO_ONE; </t>
        </is>
      </c>
      <c r="I90" s="34" t="inlineStr">
        <is>
          <t>New</t>
        </is>
      </c>
      <c r="J90" s="92" t="inlineStr">
        <is>
          <t>08 CROSSWALK</t>
        </is>
      </c>
    </row>
    <row r="91" ht="49" customHeight="1">
      <c r="A91" s="34" t="inlineStr">
        <is>
          <t>R113-v1</t>
        </is>
      </c>
      <c r="B91" s="34" t="inlineStr">
        <is>
          <t>Contractor Programme / SCH-01-113</t>
        </is>
      </c>
      <c r="C91" s="34" t="inlineStr">
        <is>
          <t>WBS Code = 1.1.1</t>
        </is>
      </c>
      <c r="D91" s="34" t="inlineStr">
        <is>
          <t>Proposed by Source assignment; target 1.1.1 Guideway and Civil - Guideway Structures</t>
        </is>
      </c>
      <c r="E91" s="34" t="inlineStr">
        <is>
          <t>None recorded</t>
        </is>
      </c>
      <c r="F91" s="34" t="inlineStr">
        <is>
          <t>No individual professional decision recorded; Source assignment -- not individually reviewed</t>
        </is>
      </c>
      <c r="G91" s="34" t="inlineStr">
        <is>
          <t>Not individually decided</t>
        </is>
      </c>
      <c r="H91" s="34" t="inlineStr">
        <is>
          <t xml:space="preserve">APPROVED / ONE_TO_ONE; </t>
        </is>
      </c>
      <c r="I91" s="34" t="inlineStr">
        <is>
          <t>New</t>
        </is>
      </c>
      <c r="J91" s="92" t="inlineStr">
        <is>
          <t>08 CROSSWALK</t>
        </is>
      </c>
    </row>
    <row r="92" ht="49" customHeight="1">
      <c r="A92" s="34" t="inlineStr">
        <is>
          <t>R115-v1</t>
        </is>
      </c>
      <c r="B92" s="34" t="inlineStr">
        <is>
          <t>Contractor Programme / SCH-01-115</t>
        </is>
      </c>
      <c r="C92" s="34" t="inlineStr">
        <is>
          <t>WBS Code = 1.1.1</t>
        </is>
      </c>
      <c r="D92" s="34" t="inlineStr">
        <is>
          <t>Proposed by Source assignment; target 1.1.1 Guideway and Civil - Guideway Structures</t>
        </is>
      </c>
      <c r="E92" s="34" t="inlineStr">
        <is>
          <t>None recorded</t>
        </is>
      </c>
      <c r="F92" s="34" t="inlineStr">
        <is>
          <t>No individual professional decision recorded; Source assignment -- not individually reviewed</t>
        </is>
      </c>
      <c r="G92" s="34" t="inlineStr">
        <is>
          <t>Not individually decided</t>
        </is>
      </c>
      <c r="H92" s="34" t="inlineStr">
        <is>
          <t xml:space="preserve">APPROVED / ONE_TO_ONE; </t>
        </is>
      </c>
      <c r="I92" s="34" t="inlineStr">
        <is>
          <t>New</t>
        </is>
      </c>
      <c r="J92" s="92" t="inlineStr">
        <is>
          <t>08 CROSSWALK</t>
        </is>
      </c>
    </row>
    <row r="93" ht="49" customHeight="1">
      <c r="A93" s="34" t="inlineStr">
        <is>
          <t>R116-v1</t>
        </is>
      </c>
      <c r="B93" s="34" t="inlineStr">
        <is>
          <t>Contractor Programme / SCH-01-116</t>
        </is>
      </c>
      <c r="C93" s="34" t="inlineStr">
        <is>
          <t>WBS Code = 1.1.1</t>
        </is>
      </c>
      <c r="D93" s="34" t="inlineStr">
        <is>
          <t>Proposed by Source assignment; target 1.1.1 Guideway and Civil - Guideway Structures</t>
        </is>
      </c>
      <c r="E93" s="34" t="inlineStr">
        <is>
          <t>None recorded</t>
        </is>
      </c>
      <c r="F93" s="34" t="inlineStr">
        <is>
          <t>No individual professional decision recorded; Source assignment -- not individually reviewed</t>
        </is>
      </c>
      <c r="G93" s="34" t="inlineStr">
        <is>
          <t>Not individually decided</t>
        </is>
      </c>
      <c r="H93" s="34" t="inlineStr">
        <is>
          <t xml:space="preserve">APPROVED / ONE_TO_ONE; </t>
        </is>
      </c>
      <c r="I93" s="34" t="inlineStr">
        <is>
          <t>New</t>
        </is>
      </c>
      <c r="J93" s="92" t="inlineStr">
        <is>
          <t>08 CROSSWALK</t>
        </is>
      </c>
    </row>
    <row r="94" ht="49" customHeight="1">
      <c r="A94" s="34" t="inlineStr">
        <is>
          <t>R118-v1</t>
        </is>
      </c>
      <c r="B94" s="34" t="inlineStr">
        <is>
          <t>Contractor Programme / SCH-01-118</t>
        </is>
      </c>
      <c r="C94" s="34" t="inlineStr">
        <is>
          <t>WBS Code = 1.1.1</t>
        </is>
      </c>
      <c r="D94" s="34" t="inlineStr">
        <is>
          <t>Proposed by Source assignment; target 1.1.1 Guideway and Civil - Guideway Structures</t>
        </is>
      </c>
      <c r="E94" s="34" t="inlineStr">
        <is>
          <t>None recorded</t>
        </is>
      </c>
      <c r="F94" s="34" t="inlineStr">
        <is>
          <t>No individual professional decision recorded; Source assignment -- not individually reviewed</t>
        </is>
      </c>
      <c r="G94" s="34" t="inlineStr">
        <is>
          <t>Not individually decided</t>
        </is>
      </c>
      <c r="H94" s="34" t="inlineStr">
        <is>
          <t xml:space="preserve">APPROVED / ONE_TO_ONE; </t>
        </is>
      </c>
      <c r="I94" s="34" t="inlineStr">
        <is>
          <t>New</t>
        </is>
      </c>
      <c r="J94" s="92" t="inlineStr">
        <is>
          <t>08 CROSSWALK</t>
        </is>
      </c>
    </row>
    <row r="95" ht="49" customHeight="1">
      <c r="A95" s="34" t="inlineStr">
        <is>
          <t>R119-v1</t>
        </is>
      </c>
      <c r="B95" s="34" t="inlineStr">
        <is>
          <t>Contractor Programme / SCH-01-119</t>
        </is>
      </c>
      <c r="C95" s="34" t="inlineStr">
        <is>
          <t>WBS Code = 1.1.1</t>
        </is>
      </c>
      <c r="D95" s="34" t="inlineStr">
        <is>
          <t>Proposed by Source assignment; target 1.1.1 Guideway and Civil - Guideway Structures</t>
        </is>
      </c>
      <c r="E95" s="34" t="inlineStr">
        <is>
          <t>None recorded</t>
        </is>
      </c>
      <c r="F95" s="34" t="inlineStr">
        <is>
          <t>No individual professional decision recorded; Source assignment -- not individually reviewed</t>
        </is>
      </c>
      <c r="G95" s="34" t="inlineStr">
        <is>
          <t>Not individually decided</t>
        </is>
      </c>
      <c r="H95" s="34" t="inlineStr">
        <is>
          <t xml:space="preserve">APPROVED / ONE_TO_ONE; </t>
        </is>
      </c>
      <c r="I95" s="34" t="inlineStr">
        <is>
          <t>New</t>
        </is>
      </c>
      <c r="J95" s="92" t="inlineStr">
        <is>
          <t>08 CROSSWALK</t>
        </is>
      </c>
    </row>
    <row r="96" ht="49" customHeight="1">
      <c r="A96" s="34" t="inlineStr">
        <is>
          <t>R121-v1</t>
        </is>
      </c>
      <c r="B96" s="34" t="inlineStr">
        <is>
          <t>Contractor Programme / SCH-01-121</t>
        </is>
      </c>
      <c r="C96" s="34" t="inlineStr">
        <is>
          <t>WBS Code = 1.1.1</t>
        </is>
      </c>
      <c r="D96" s="34" t="inlineStr">
        <is>
          <t>Proposed by Source assignment; target 1.1.1 Guideway and Civil - Guideway Structures</t>
        </is>
      </c>
      <c r="E96" s="34" t="inlineStr">
        <is>
          <t>None recorded</t>
        </is>
      </c>
      <c r="F96" s="34" t="inlineStr">
        <is>
          <t>No individual professional decision recorded; Source assignment -- not individually reviewed</t>
        </is>
      </c>
      <c r="G96" s="34" t="inlineStr">
        <is>
          <t>Not individually decided</t>
        </is>
      </c>
      <c r="H96" s="34" t="inlineStr">
        <is>
          <t xml:space="preserve">APPROVED / ONE_TO_ONE; </t>
        </is>
      </c>
      <c r="I96" s="34" t="inlineStr">
        <is>
          <t>New</t>
        </is>
      </c>
      <c r="J96" s="92" t="inlineStr">
        <is>
          <t>08 CROSSWALK</t>
        </is>
      </c>
    </row>
    <row r="97" ht="49" customHeight="1">
      <c r="A97" s="34" t="inlineStr">
        <is>
          <t>R122-v1</t>
        </is>
      </c>
      <c r="B97" s="34" t="inlineStr">
        <is>
          <t>Contractor Programme / SCH-01-122</t>
        </is>
      </c>
      <c r="C97" s="34" t="inlineStr">
        <is>
          <t>WBS Code = 1.1.1</t>
        </is>
      </c>
      <c r="D97" s="34" t="inlineStr">
        <is>
          <t>Proposed by Source assignment; target 1.1.1 Guideway and Civil - Guideway Structures</t>
        </is>
      </c>
      <c r="E97" s="34" t="inlineStr">
        <is>
          <t>None recorded</t>
        </is>
      </c>
      <c r="F97" s="34" t="inlineStr">
        <is>
          <t>No individual professional decision recorded; Source assignment -- not individually reviewed</t>
        </is>
      </c>
      <c r="G97" s="34" t="inlineStr">
        <is>
          <t>Not individually decided</t>
        </is>
      </c>
      <c r="H97" s="34" t="inlineStr">
        <is>
          <t xml:space="preserve">APPROVED / ONE_TO_ONE; </t>
        </is>
      </c>
      <c r="I97" s="34" t="inlineStr">
        <is>
          <t>New</t>
        </is>
      </c>
      <c r="J97" s="92" t="inlineStr">
        <is>
          <t>08 CROSSWALK</t>
        </is>
      </c>
    </row>
    <row r="98" ht="49" customHeight="1">
      <c r="A98" s="34" t="inlineStr">
        <is>
          <t>R124-v1</t>
        </is>
      </c>
      <c r="B98" s="34" t="inlineStr">
        <is>
          <t>Contractor Programme / SCH-01-124</t>
        </is>
      </c>
      <c r="C98" s="34" t="inlineStr">
        <is>
          <t>WBS Code = 1.1.1</t>
        </is>
      </c>
      <c r="D98" s="34" t="inlineStr">
        <is>
          <t>Proposed by Source assignment; target 1.1.1 Guideway and Civil - Guideway Structures</t>
        </is>
      </c>
      <c r="E98" s="34" t="inlineStr">
        <is>
          <t>None recorded</t>
        </is>
      </c>
      <c r="F98" s="34" t="inlineStr">
        <is>
          <t>No individual professional decision recorded; Source assignment -- not individually reviewed</t>
        </is>
      </c>
      <c r="G98" s="34" t="inlineStr">
        <is>
          <t>Not individually decided</t>
        </is>
      </c>
      <c r="H98" s="34" t="inlineStr">
        <is>
          <t xml:space="preserve">APPROVED / ONE_TO_ONE; </t>
        </is>
      </c>
      <c r="I98" s="34" t="inlineStr">
        <is>
          <t>New</t>
        </is>
      </c>
      <c r="J98" s="92" t="inlineStr">
        <is>
          <t>08 CROSSWALK</t>
        </is>
      </c>
    </row>
    <row r="99" ht="49" customHeight="1">
      <c r="A99" s="34" t="inlineStr">
        <is>
          <t>R125-v1</t>
        </is>
      </c>
      <c r="B99" s="34" t="inlineStr">
        <is>
          <t>Contractor Programme / SCH-01-125</t>
        </is>
      </c>
      <c r="C99" s="34" t="inlineStr">
        <is>
          <t>WBS Code = 1.1.1</t>
        </is>
      </c>
      <c r="D99" s="34" t="inlineStr">
        <is>
          <t>Proposed by Source assignment; target 1.1.1 Guideway and Civil - Guideway Structures</t>
        </is>
      </c>
      <c r="E99" s="34" t="inlineStr">
        <is>
          <t>None recorded</t>
        </is>
      </c>
      <c r="F99" s="34" t="inlineStr">
        <is>
          <t>No individual professional decision recorded; Source assignment -- not individually reviewed</t>
        </is>
      </c>
      <c r="G99" s="34" t="inlineStr">
        <is>
          <t>Not individually decided</t>
        </is>
      </c>
      <c r="H99" s="34" t="inlineStr">
        <is>
          <t xml:space="preserve">APPROVED / ONE_TO_ONE; </t>
        </is>
      </c>
      <c r="I99" s="34" t="inlineStr">
        <is>
          <t>New</t>
        </is>
      </c>
      <c r="J99" s="92" t="inlineStr">
        <is>
          <t>08 CROSSWALK</t>
        </is>
      </c>
    </row>
    <row r="100" ht="49" customHeight="1">
      <c r="A100" s="34" t="inlineStr">
        <is>
          <t>R127-v1</t>
        </is>
      </c>
      <c r="B100" s="34" t="inlineStr">
        <is>
          <t>Contractor Programme / SCH-01-127</t>
        </is>
      </c>
      <c r="C100" s="34" t="inlineStr">
        <is>
          <t>WBS Code = 1.1.1</t>
        </is>
      </c>
      <c r="D100" s="34" t="inlineStr">
        <is>
          <t>Proposed by Source assignment; target 1.1.1 Guideway and Civil - Guideway Structures</t>
        </is>
      </c>
      <c r="E100" s="34" t="inlineStr">
        <is>
          <t>None recorded</t>
        </is>
      </c>
      <c r="F100" s="34" t="inlineStr">
        <is>
          <t>No individual professional decision recorded; Source assignment -- not individually reviewed</t>
        </is>
      </c>
      <c r="G100" s="34" t="inlineStr">
        <is>
          <t>Not individually decided</t>
        </is>
      </c>
      <c r="H100" s="34" t="inlineStr">
        <is>
          <t xml:space="preserve">APPROVED / ONE_TO_ONE; </t>
        </is>
      </c>
      <c r="I100" s="34" t="inlineStr">
        <is>
          <t>New</t>
        </is>
      </c>
      <c r="J100" s="92" t="inlineStr">
        <is>
          <t>08 CROSSWALK</t>
        </is>
      </c>
    </row>
    <row r="101" ht="49" customHeight="1">
      <c r="A101" s="34" t="inlineStr">
        <is>
          <t>R128-v1</t>
        </is>
      </c>
      <c r="B101" s="34" t="inlineStr">
        <is>
          <t>Contractor Programme / SCH-01-128</t>
        </is>
      </c>
      <c r="C101" s="34" t="inlineStr">
        <is>
          <t>WBS Code = 1.1.1</t>
        </is>
      </c>
      <c r="D101" s="34" t="inlineStr">
        <is>
          <t>Proposed by Source assignment; target 1.1.1 Guideway and Civil - Guideway Structures</t>
        </is>
      </c>
      <c r="E101" s="34" t="inlineStr">
        <is>
          <t>None recorded</t>
        </is>
      </c>
      <c r="F101" s="34" t="inlineStr">
        <is>
          <t>No individual professional decision recorded; Source assignment -- not individually reviewed</t>
        </is>
      </c>
      <c r="G101" s="34" t="inlineStr">
        <is>
          <t>Not individually decided</t>
        </is>
      </c>
      <c r="H101" s="34" t="inlineStr">
        <is>
          <t xml:space="preserve">APPROVED / ONE_TO_ONE; </t>
        </is>
      </c>
      <c r="I101" s="34" t="inlineStr">
        <is>
          <t>New</t>
        </is>
      </c>
      <c r="J101" s="92" t="inlineStr">
        <is>
          <t>08 CROSSWALK</t>
        </is>
      </c>
    </row>
    <row r="102" ht="49" customHeight="1">
      <c r="A102" s="34" t="inlineStr">
        <is>
          <t>R130-v1</t>
        </is>
      </c>
      <c r="B102" s="34" t="inlineStr">
        <is>
          <t>Contractor Programme / SCH-01-130</t>
        </is>
      </c>
      <c r="C102" s="34" t="inlineStr">
        <is>
          <t>WBS Code = 1.1.1</t>
        </is>
      </c>
      <c r="D102" s="34" t="inlineStr">
        <is>
          <t>Proposed by Source assignment; target 1.1.1 Guideway and Civil - Guideway Structures</t>
        </is>
      </c>
      <c r="E102" s="34" t="inlineStr">
        <is>
          <t>None recorded</t>
        </is>
      </c>
      <c r="F102" s="34" t="inlineStr">
        <is>
          <t>No individual professional decision recorded; Source assignment -- not individually reviewed</t>
        </is>
      </c>
      <c r="G102" s="34" t="inlineStr">
        <is>
          <t>Not individually decided</t>
        </is>
      </c>
      <c r="H102" s="34" t="inlineStr">
        <is>
          <t xml:space="preserve">APPROVED / ONE_TO_ONE; </t>
        </is>
      </c>
      <c r="I102" s="34" t="inlineStr">
        <is>
          <t>New</t>
        </is>
      </c>
      <c r="J102" s="92" t="inlineStr">
        <is>
          <t>08 CROSSWALK</t>
        </is>
      </c>
    </row>
    <row r="103" ht="49" customHeight="1">
      <c r="A103" s="34" t="inlineStr">
        <is>
          <t>R131-v1</t>
        </is>
      </c>
      <c r="B103" s="34" t="inlineStr">
        <is>
          <t>Contractor Programme / SCH-01-131</t>
        </is>
      </c>
      <c r="C103" s="34" t="inlineStr">
        <is>
          <t>WBS Code = 1.1.1</t>
        </is>
      </c>
      <c r="D103" s="34" t="inlineStr">
        <is>
          <t>Proposed by Source assignment; target 1.1.1 Guideway and Civil - Guideway Structures</t>
        </is>
      </c>
      <c r="E103" s="34" t="inlineStr">
        <is>
          <t>None recorded</t>
        </is>
      </c>
      <c r="F103" s="34" t="inlineStr">
        <is>
          <t>No individual professional decision recorded; Source assignment -- not individually reviewed</t>
        </is>
      </c>
      <c r="G103" s="34" t="inlineStr">
        <is>
          <t>Not individually decided</t>
        </is>
      </c>
      <c r="H103" s="34" t="inlineStr">
        <is>
          <t xml:space="preserve">APPROVED / ONE_TO_ONE; </t>
        </is>
      </c>
      <c r="I103" s="34" t="inlineStr">
        <is>
          <t>New</t>
        </is>
      </c>
      <c r="J103" s="92" t="inlineStr">
        <is>
          <t>08 CROSSWALK</t>
        </is>
      </c>
    </row>
    <row r="104" ht="49" customHeight="1">
      <c r="A104" s="34" t="inlineStr">
        <is>
          <t>R133-v1</t>
        </is>
      </c>
      <c r="B104" s="34" t="inlineStr">
        <is>
          <t>Contractor Programme / SCH-01-133</t>
        </is>
      </c>
      <c r="C104" s="34" t="inlineStr">
        <is>
          <t>WBS Code = 1.1.1</t>
        </is>
      </c>
      <c r="D104" s="34" t="inlineStr">
        <is>
          <t>Proposed by Source assignment; target 1.1.1 Guideway and Civil - Guideway Structures</t>
        </is>
      </c>
      <c r="E104" s="34" t="inlineStr">
        <is>
          <t>None recorded</t>
        </is>
      </c>
      <c r="F104" s="34" t="inlineStr">
        <is>
          <t>No individual professional decision recorded; Source assignment -- not individually reviewed</t>
        </is>
      </c>
      <c r="G104" s="34" t="inlineStr">
        <is>
          <t>Not individually decided</t>
        </is>
      </c>
      <c r="H104" s="34" t="inlineStr">
        <is>
          <t xml:space="preserve">APPROVED / ONE_TO_ONE; </t>
        </is>
      </c>
      <c r="I104" s="34" t="inlineStr">
        <is>
          <t>New</t>
        </is>
      </c>
      <c r="J104" s="92" t="inlineStr">
        <is>
          <t>08 CROSSWALK</t>
        </is>
      </c>
    </row>
    <row r="105" ht="49" customHeight="1">
      <c r="A105" s="34" t="inlineStr">
        <is>
          <t>R134-v1</t>
        </is>
      </c>
      <c r="B105" s="34" t="inlineStr">
        <is>
          <t>Contractor Programme / SCH-01-134</t>
        </is>
      </c>
      <c r="C105" s="34" t="inlineStr">
        <is>
          <t>WBS Code = 1.1.1</t>
        </is>
      </c>
      <c r="D105" s="34" t="inlineStr">
        <is>
          <t>Proposed by Source assignment; target 1.1.1 Guideway and Civil - Guideway Structures</t>
        </is>
      </c>
      <c r="E105" s="34" t="inlineStr">
        <is>
          <t>None recorded</t>
        </is>
      </c>
      <c r="F105" s="34" t="inlineStr">
        <is>
          <t>No individual professional decision recorded; Source assignment -- not individually reviewed</t>
        </is>
      </c>
      <c r="G105" s="34" t="inlineStr">
        <is>
          <t>Not individually decided</t>
        </is>
      </c>
      <c r="H105" s="34" t="inlineStr">
        <is>
          <t xml:space="preserve">APPROVED / ONE_TO_ONE; </t>
        </is>
      </c>
      <c r="I105" s="34" t="inlineStr">
        <is>
          <t>New</t>
        </is>
      </c>
      <c r="J105" s="92" t="inlineStr">
        <is>
          <t>08 CROSSWALK</t>
        </is>
      </c>
    </row>
    <row r="106" ht="49" customHeight="1">
      <c r="A106" s="34" t="inlineStr">
        <is>
          <t>R136-v1</t>
        </is>
      </c>
      <c r="B106" s="34" t="inlineStr">
        <is>
          <t>Contractor Programme / SCH-01-136</t>
        </is>
      </c>
      <c r="C106" s="34" t="inlineStr">
        <is>
          <t>WBS Code = 1.1.1</t>
        </is>
      </c>
      <c r="D106" s="34" t="inlineStr">
        <is>
          <t>Proposed by Source assignment; target 1.1.1 Guideway and Civil - Guideway Structures</t>
        </is>
      </c>
      <c r="E106" s="34" t="inlineStr">
        <is>
          <t>None recorded</t>
        </is>
      </c>
      <c r="F106" s="34" t="inlineStr">
        <is>
          <t>No individual professional decision recorded; Source assignment -- not individually reviewed</t>
        </is>
      </c>
      <c r="G106" s="34" t="inlineStr">
        <is>
          <t>Not individually decided</t>
        </is>
      </c>
      <c r="H106" s="34" t="inlineStr">
        <is>
          <t xml:space="preserve">APPROVED / ONE_TO_ONE; </t>
        </is>
      </c>
      <c r="I106" s="34" t="inlineStr">
        <is>
          <t>New</t>
        </is>
      </c>
      <c r="J106" s="92" t="inlineStr">
        <is>
          <t>08 CROSSWALK</t>
        </is>
      </c>
    </row>
    <row r="107" ht="49" customHeight="1">
      <c r="A107" s="34" t="inlineStr">
        <is>
          <t>R137-v1</t>
        </is>
      </c>
      <c r="B107" s="34" t="inlineStr">
        <is>
          <t>Contractor Programme / SCH-01-137</t>
        </is>
      </c>
      <c r="C107" s="34" t="inlineStr">
        <is>
          <t>WBS Code = 1.1.1</t>
        </is>
      </c>
      <c r="D107" s="34" t="inlineStr">
        <is>
          <t>Proposed by Source assignment; target 1.1.1 Guideway and Civil - Guideway Structures</t>
        </is>
      </c>
      <c r="E107" s="34" t="inlineStr">
        <is>
          <t>None recorded</t>
        </is>
      </c>
      <c r="F107" s="34" t="inlineStr">
        <is>
          <t>No individual professional decision recorded; Source assignment -- not individually reviewed</t>
        </is>
      </c>
      <c r="G107" s="34" t="inlineStr">
        <is>
          <t>Not individually decided</t>
        </is>
      </c>
      <c r="H107" s="34" t="inlineStr">
        <is>
          <t xml:space="preserve">APPROVED / ONE_TO_ONE; </t>
        </is>
      </c>
      <c r="I107" s="34" t="inlineStr">
        <is>
          <t>New</t>
        </is>
      </c>
      <c r="J107" s="92" t="inlineStr">
        <is>
          <t>08 CROSSWALK</t>
        </is>
      </c>
    </row>
    <row r="108" ht="49" customHeight="1">
      <c r="A108" s="34" t="inlineStr">
        <is>
          <t>R139-v1</t>
        </is>
      </c>
      <c r="B108" s="34" t="inlineStr">
        <is>
          <t>Contractor Programme / SCH-01-139</t>
        </is>
      </c>
      <c r="C108" s="34" t="inlineStr">
        <is>
          <t>WBS Code = 1.1.1</t>
        </is>
      </c>
      <c r="D108" s="34" t="inlineStr">
        <is>
          <t>Proposed by Source assignment; target 1.1.1 Guideway and Civil - Guideway Structures</t>
        </is>
      </c>
      <c r="E108" s="34" t="inlineStr">
        <is>
          <t>None recorded</t>
        </is>
      </c>
      <c r="F108" s="34" t="inlineStr">
        <is>
          <t>No individual professional decision recorded; Source assignment -- not individually reviewed</t>
        </is>
      </c>
      <c r="G108" s="34" t="inlineStr">
        <is>
          <t>Not individually decided</t>
        </is>
      </c>
      <c r="H108" s="34" t="inlineStr">
        <is>
          <t xml:space="preserve">APPROVED / ONE_TO_ONE; </t>
        </is>
      </c>
      <c r="I108" s="34" t="inlineStr">
        <is>
          <t>New</t>
        </is>
      </c>
      <c r="J108" s="92" t="inlineStr">
        <is>
          <t>08 CROSSWALK</t>
        </is>
      </c>
    </row>
    <row r="109" ht="49" customHeight="1">
      <c r="A109" s="34" t="inlineStr">
        <is>
          <t>R140-v1</t>
        </is>
      </c>
      <c r="B109" s="34" t="inlineStr">
        <is>
          <t>Contractor Programme / SCH-01-140</t>
        </is>
      </c>
      <c r="C109" s="34" t="inlineStr">
        <is>
          <t>WBS Code = 1.1.1</t>
        </is>
      </c>
      <c r="D109" s="34" t="inlineStr">
        <is>
          <t>Proposed by Source assignment; target 1.1.1 Guideway and Civil - Guideway Structures</t>
        </is>
      </c>
      <c r="E109" s="34" t="inlineStr">
        <is>
          <t>None recorded</t>
        </is>
      </c>
      <c r="F109" s="34" t="inlineStr">
        <is>
          <t>No individual professional decision recorded; Source assignment -- not individually reviewed</t>
        </is>
      </c>
      <c r="G109" s="34" t="inlineStr">
        <is>
          <t>Not individually decided</t>
        </is>
      </c>
      <c r="H109" s="34" t="inlineStr">
        <is>
          <t xml:space="preserve">APPROVED / ONE_TO_ONE; </t>
        </is>
      </c>
      <c r="I109" s="34" t="inlineStr">
        <is>
          <t>New</t>
        </is>
      </c>
      <c r="J109" s="92" t="inlineStr">
        <is>
          <t>08 CROSSWALK</t>
        </is>
      </c>
    </row>
    <row r="110" ht="49" customHeight="1">
      <c r="A110" s="34" t="inlineStr">
        <is>
          <t>R142-v1</t>
        </is>
      </c>
      <c r="B110" s="34" t="inlineStr">
        <is>
          <t>Contractor Programme / SCH-01-142</t>
        </is>
      </c>
      <c r="C110" s="34" t="inlineStr">
        <is>
          <t>WBS Code = 1.1.1</t>
        </is>
      </c>
      <c r="D110" s="34" t="inlineStr">
        <is>
          <t>Proposed by Source assignment; target 1.1.1 Guideway and Civil - Guideway Structures</t>
        </is>
      </c>
      <c r="E110" s="34" t="inlineStr">
        <is>
          <t>None recorded</t>
        </is>
      </c>
      <c r="F110" s="34" t="inlineStr">
        <is>
          <t>No individual professional decision recorded; Source assignment -- not individually reviewed</t>
        </is>
      </c>
      <c r="G110" s="34" t="inlineStr">
        <is>
          <t>Not individually decided</t>
        </is>
      </c>
      <c r="H110" s="34" t="inlineStr">
        <is>
          <t xml:space="preserve">APPROVED / ONE_TO_ONE; </t>
        </is>
      </c>
      <c r="I110" s="34" t="inlineStr">
        <is>
          <t>New</t>
        </is>
      </c>
      <c r="J110" s="92" t="inlineStr">
        <is>
          <t>08 CROSSWALK</t>
        </is>
      </c>
    </row>
    <row r="111" ht="49" customHeight="1">
      <c r="A111" s="34" t="inlineStr">
        <is>
          <t>R143-v1</t>
        </is>
      </c>
      <c r="B111" s="34" t="inlineStr">
        <is>
          <t>Contractor Programme / SCH-01-143</t>
        </is>
      </c>
      <c r="C111" s="34" t="inlineStr">
        <is>
          <t>WBS Code = 1.1.1</t>
        </is>
      </c>
      <c r="D111" s="34" t="inlineStr">
        <is>
          <t>Proposed by Source assignment; target 1.1.1 Guideway and Civil - Guideway Structures</t>
        </is>
      </c>
      <c r="E111" s="34" t="inlineStr">
        <is>
          <t>None recorded</t>
        </is>
      </c>
      <c r="F111" s="34" t="inlineStr">
        <is>
          <t>No individual professional decision recorded; Source assignment -- not individually reviewed</t>
        </is>
      </c>
      <c r="G111" s="34" t="inlineStr">
        <is>
          <t>Not individually decided</t>
        </is>
      </c>
      <c r="H111" s="34" t="inlineStr">
        <is>
          <t xml:space="preserve">APPROVED / ONE_TO_ONE; </t>
        </is>
      </c>
      <c r="I111" s="34" t="inlineStr">
        <is>
          <t>New</t>
        </is>
      </c>
      <c r="J111" s="92" t="inlineStr">
        <is>
          <t>08 CROSSWALK</t>
        </is>
      </c>
    </row>
    <row r="112" ht="49" customHeight="1">
      <c r="A112" s="34" t="inlineStr">
        <is>
          <t>R145-v1</t>
        </is>
      </c>
      <c r="B112" s="34" t="inlineStr">
        <is>
          <t>Contractor Programme / SCH-01-145</t>
        </is>
      </c>
      <c r="C112" s="34" t="inlineStr">
        <is>
          <t>WBS Code = 1.1.1</t>
        </is>
      </c>
      <c r="D112" s="34" t="inlineStr">
        <is>
          <t>Proposed by Source assignment; target 1.1.1 Guideway and Civil - Guideway Structures</t>
        </is>
      </c>
      <c r="E112" s="34" t="inlineStr">
        <is>
          <t>None recorded</t>
        </is>
      </c>
      <c r="F112" s="34" t="inlineStr">
        <is>
          <t>No individual professional decision recorded; Source assignment -- not individually reviewed</t>
        </is>
      </c>
      <c r="G112" s="34" t="inlineStr">
        <is>
          <t>Not individually decided</t>
        </is>
      </c>
      <c r="H112" s="34" t="inlineStr">
        <is>
          <t xml:space="preserve">APPROVED / ONE_TO_ONE; </t>
        </is>
      </c>
      <c r="I112" s="34" t="inlineStr">
        <is>
          <t>New</t>
        </is>
      </c>
      <c r="J112" s="92" t="inlineStr">
        <is>
          <t>08 CROSSWALK</t>
        </is>
      </c>
    </row>
    <row r="113" ht="49" customHeight="1">
      <c r="A113" s="34" t="inlineStr">
        <is>
          <t>R146-v1</t>
        </is>
      </c>
      <c r="B113" s="34" t="inlineStr">
        <is>
          <t>Contractor Programme / SCH-01-146</t>
        </is>
      </c>
      <c r="C113" s="34" t="inlineStr">
        <is>
          <t>WBS Code = 1.1.1</t>
        </is>
      </c>
      <c r="D113" s="34" t="inlineStr">
        <is>
          <t>Proposed by Source assignment; target 1.1.1 Guideway and Civil - Guideway Structures</t>
        </is>
      </c>
      <c r="E113" s="34" t="inlineStr">
        <is>
          <t>None recorded</t>
        </is>
      </c>
      <c r="F113" s="34" t="inlineStr">
        <is>
          <t>No individual professional decision recorded; Source assignment -- not individually reviewed</t>
        </is>
      </c>
      <c r="G113" s="34" t="inlineStr">
        <is>
          <t>Not individually decided</t>
        </is>
      </c>
      <c r="H113" s="34" t="inlineStr">
        <is>
          <t xml:space="preserve">APPROVED / ONE_TO_ONE; </t>
        </is>
      </c>
      <c r="I113" s="34" t="inlineStr">
        <is>
          <t>New</t>
        </is>
      </c>
      <c r="J113" s="92" t="inlineStr">
        <is>
          <t>08 CROSSWALK</t>
        </is>
      </c>
    </row>
    <row r="114" ht="49" customHeight="1">
      <c r="A114" s="34" t="inlineStr">
        <is>
          <t>R148-v1</t>
        </is>
      </c>
      <c r="B114" s="34" t="inlineStr">
        <is>
          <t>Contractor Programme / SCH-01-148</t>
        </is>
      </c>
      <c r="C114" s="34" t="inlineStr">
        <is>
          <t>WBS Code = 1.1.1</t>
        </is>
      </c>
      <c r="D114" s="34" t="inlineStr">
        <is>
          <t>Proposed by Source assignment; target 1.1.1 Guideway and Civil - Guideway Structures</t>
        </is>
      </c>
      <c r="E114" s="34" t="inlineStr">
        <is>
          <t>None recorded</t>
        </is>
      </c>
      <c r="F114" s="34" t="inlineStr">
        <is>
          <t>No individual professional decision recorded; Source assignment -- not individually reviewed</t>
        </is>
      </c>
      <c r="G114" s="34" t="inlineStr">
        <is>
          <t>Not individually decided</t>
        </is>
      </c>
      <c r="H114" s="34" t="inlineStr">
        <is>
          <t xml:space="preserve">APPROVED / ONE_TO_ONE; </t>
        </is>
      </c>
      <c r="I114" s="34" t="inlineStr">
        <is>
          <t>New</t>
        </is>
      </c>
      <c r="J114" s="92" t="inlineStr">
        <is>
          <t>08 CROSSWALK</t>
        </is>
      </c>
    </row>
    <row r="115" ht="49" customHeight="1">
      <c r="A115" s="34" t="inlineStr">
        <is>
          <t>R149-v1</t>
        </is>
      </c>
      <c r="B115" s="34" t="inlineStr">
        <is>
          <t>Contractor Programme / SCH-01-149</t>
        </is>
      </c>
      <c r="C115" s="34" t="inlineStr">
        <is>
          <t>WBS Code = 1.1.1</t>
        </is>
      </c>
      <c r="D115" s="34" t="inlineStr">
        <is>
          <t>Proposed by Source assignment; target 1.1.1 Guideway and Civil - Guideway Structures</t>
        </is>
      </c>
      <c r="E115" s="34" t="inlineStr">
        <is>
          <t>None recorded</t>
        </is>
      </c>
      <c r="F115" s="34" t="inlineStr">
        <is>
          <t>No individual professional decision recorded; Source assignment -- not individually reviewed</t>
        </is>
      </c>
      <c r="G115" s="34" t="inlineStr">
        <is>
          <t>Not individually decided</t>
        </is>
      </c>
      <c r="H115" s="34" t="inlineStr">
        <is>
          <t xml:space="preserve">APPROVED / ONE_TO_ONE; </t>
        </is>
      </c>
      <c r="I115" s="34" t="inlineStr">
        <is>
          <t>New</t>
        </is>
      </c>
      <c r="J115" s="92" t="inlineStr">
        <is>
          <t>08 CROSSWALK</t>
        </is>
      </c>
    </row>
    <row r="116" ht="49" customHeight="1">
      <c r="A116" s="34" t="inlineStr">
        <is>
          <t>R151-v1</t>
        </is>
      </c>
      <c r="B116" s="34" t="inlineStr">
        <is>
          <t>Contractor Programme / SCH-01-151</t>
        </is>
      </c>
      <c r="C116" s="34" t="inlineStr">
        <is>
          <t>WBS Code = 1.1.1</t>
        </is>
      </c>
      <c r="D116" s="34" t="inlineStr">
        <is>
          <t>Proposed by Source assignment; target 1.1.1 Guideway and Civil - Guideway Structures</t>
        </is>
      </c>
      <c r="E116" s="34" t="inlineStr">
        <is>
          <t>None recorded</t>
        </is>
      </c>
      <c r="F116" s="34" t="inlineStr">
        <is>
          <t>No individual professional decision recorded; Source assignment -- not individually reviewed</t>
        </is>
      </c>
      <c r="G116" s="34" t="inlineStr">
        <is>
          <t>Not individually decided</t>
        </is>
      </c>
      <c r="H116" s="34" t="inlineStr">
        <is>
          <t xml:space="preserve">APPROVED / ONE_TO_ONE; </t>
        </is>
      </c>
      <c r="I116" s="34" t="inlineStr">
        <is>
          <t>New</t>
        </is>
      </c>
      <c r="J116" s="92" t="inlineStr">
        <is>
          <t>08 CROSSWALK</t>
        </is>
      </c>
    </row>
    <row r="117" ht="49" customHeight="1">
      <c r="A117" s="34" t="inlineStr">
        <is>
          <t>R152-v1</t>
        </is>
      </c>
      <c r="B117" s="34" t="inlineStr">
        <is>
          <t>Contractor Programme / SCH-01-152</t>
        </is>
      </c>
      <c r="C117" s="34" t="inlineStr">
        <is>
          <t>WBS Code = 1.1.1</t>
        </is>
      </c>
      <c r="D117" s="34" t="inlineStr">
        <is>
          <t>Proposed by Source assignment; target 1.1.1 Guideway and Civil - Guideway Structures</t>
        </is>
      </c>
      <c r="E117" s="34" t="inlineStr">
        <is>
          <t>None recorded</t>
        </is>
      </c>
      <c r="F117" s="34" t="inlineStr">
        <is>
          <t>No individual professional decision recorded; Source assignment -- not individually reviewed</t>
        </is>
      </c>
      <c r="G117" s="34" t="inlineStr">
        <is>
          <t>Not individually decided</t>
        </is>
      </c>
      <c r="H117" s="34" t="inlineStr">
        <is>
          <t xml:space="preserve">APPROVED / ONE_TO_ONE; </t>
        </is>
      </c>
      <c r="I117" s="34" t="inlineStr">
        <is>
          <t>New</t>
        </is>
      </c>
      <c r="J117" s="92" t="inlineStr">
        <is>
          <t>08 CROSSWALK</t>
        </is>
      </c>
    </row>
    <row r="118" ht="49" customHeight="1">
      <c r="A118" s="34" t="inlineStr">
        <is>
          <t>R154-v1</t>
        </is>
      </c>
      <c r="B118" s="34" t="inlineStr">
        <is>
          <t>Contractor Programme / SCH-01-154</t>
        </is>
      </c>
      <c r="C118" s="34" t="inlineStr">
        <is>
          <t>WBS Code = 1.1.1</t>
        </is>
      </c>
      <c r="D118" s="34" t="inlineStr">
        <is>
          <t>Proposed by Source assignment; target 1.1.1 Guideway and Civil - Guideway Structures</t>
        </is>
      </c>
      <c r="E118" s="34" t="inlineStr">
        <is>
          <t>None recorded</t>
        </is>
      </c>
      <c r="F118" s="34" t="inlineStr">
        <is>
          <t>No individual professional decision recorded; Source assignment -- not individually reviewed</t>
        </is>
      </c>
      <c r="G118" s="34" t="inlineStr">
        <is>
          <t>Not individually decided</t>
        </is>
      </c>
      <c r="H118" s="34" t="inlineStr">
        <is>
          <t xml:space="preserve">APPROVED / ONE_TO_ONE; </t>
        </is>
      </c>
      <c r="I118" s="34" t="inlineStr">
        <is>
          <t>New</t>
        </is>
      </c>
      <c r="J118" s="92" t="inlineStr">
        <is>
          <t>08 CROSSWALK</t>
        </is>
      </c>
    </row>
    <row r="119" ht="49" customHeight="1">
      <c r="A119" s="34" t="inlineStr">
        <is>
          <t>R155-v1</t>
        </is>
      </c>
      <c r="B119" s="34" t="inlineStr">
        <is>
          <t>Contractor Programme / SCH-01-155</t>
        </is>
      </c>
      <c r="C119" s="34" t="inlineStr">
        <is>
          <t>WBS Code = 1.1.1</t>
        </is>
      </c>
      <c r="D119" s="34" t="inlineStr">
        <is>
          <t>Proposed by Source assignment; target 1.1.1 Guideway and Civil - Guideway Structures</t>
        </is>
      </c>
      <c r="E119" s="34" t="inlineStr">
        <is>
          <t>None recorded</t>
        </is>
      </c>
      <c r="F119" s="34" t="inlineStr">
        <is>
          <t>No individual professional decision recorded; Source assignment -- not individually reviewed</t>
        </is>
      </c>
      <c r="G119" s="34" t="inlineStr">
        <is>
          <t>Not individually decided</t>
        </is>
      </c>
      <c r="H119" s="34" t="inlineStr">
        <is>
          <t xml:space="preserve">APPROVED / ONE_TO_ONE; </t>
        </is>
      </c>
      <c r="I119" s="34" t="inlineStr">
        <is>
          <t>New</t>
        </is>
      </c>
      <c r="J119" s="92" t="inlineStr">
        <is>
          <t>08 CROSSWALK</t>
        </is>
      </c>
    </row>
    <row r="120" ht="49" customHeight="1">
      <c r="A120" s="34" t="inlineStr">
        <is>
          <t>R157-v1</t>
        </is>
      </c>
      <c r="B120" s="34" t="inlineStr">
        <is>
          <t>Contractor Programme / SCH-01-157</t>
        </is>
      </c>
      <c r="C120" s="34" t="inlineStr">
        <is>
          <t>WBS Code = 1.1.1</t>
        </is>
      </c>
      <c r="D120" s="34" t="inlineStr">
        <is>
          <t>Proposed by Source assignment; target 1.1.1 Guideway and Civil - Guideway Structures</t>
        </is>
      </c>
      <c r="E120" s="34" t="inlineStr">
        <is>
          <t>None recorded</t>
        </is>
      </c>
      <c r="F120" s="34" t="inlineStr">
        <is>
          <t>No individual professional decision recorded; Source assignment -- not individually reviewed</t>
        </is>
      </c>
      <c r="G120" s="34" t="inlineStr">
        <is>
          <t>Not individually decided</t>
        </is>
      </c>
      <c r="H120" s="34" t="inlineStr">
        <is>
          <t xml:space="preserve">APPROVED / ONE_TO_ONE; </t>
        </is>
      </c>
      <c r="I120" s="34" t="inlineStr">
        <is>
          <t>New</t>
        </is>
      </c>
      <c r="J120" s="92" t="inlineStr">
        <is>
          <t>08 CROSSWALK</t>
        </is>
      </c>
    </row>
    <row r="121" ht="49" customHeight="1">
      <c r="A121" s="34" t="inlineStr">
        <is>
          <t>R158-v1</t>
        </is>
      </c>
      <c r="B121" s="34" t="inlineStr">
        <is>
          <t>Contractor Programme / SCH-01-158</t>
        </is>
      </c>
      <c r="C121" s="34" t="inlineStr">
        <is>
          <t>WBS Code = 1.1.1</t>
        </is>
      </c>
      <c r="D121" s="34" t="inlineStr">
        <is>
          <t>Proposed by Source assignment; target 1.1.1 Guideway and Civil - Guideway Structures</t>
        </is>
      </c>
      <c r="E121" s="34" t="inlineStr">
        <is>
          <t>None recorded</t>
        </is>
      </c>
      <c r="F121" s="34" t="inlineStr">
        <is>
          <t>No individual professional decision recorded; Source assignment -- not individually reviewed</t>
        </is>
      </c>
      <c r="G121" s="34" t="inlineStr">
        <is>
          <t>Not individually decided</t>
        </is>
      </c>
      <c r="H121" s="34" t="inlineStr">
        <is>
          <t xml:space="preserve">APPROVED / ONE_TO_ONE; </t>
        </is>
      </c>
      <c r="I121" s="34" t="inlineStr">
        <is>
          <t>New</t>
        </is>
      </c>
      <c r="J121" s="92" t="inlineStr">
        <is>
          <t>08 CROSSWALK</t>
        </is>
      </c>
    </row>
    <row r="122" ht="49" customHeight="1">
      <c r="A122" s="34" t="inlineStr">
        <is>
          <t>R160-v1</t>
        </is>
      </c>
      <c r="B122" s="34" t="inlineStr">
        <is>
          <t>Contractor Programme / SCH-01-160</t>
        </is>
      </c>
      <c r="C122" s="34" t="inlineStr">
        <is>
          <t>WBS Code = 1.1.1</t>
        </is>
      </c>
      <c r="D122" s="34" t="inlineStr">
        <is>
          <t>Proposed by Source assignment; target 1.1.1 Guideway and Civil - Guideway Structures</t>
        </is>
      </c>
      <c r="E122" s="34" t="inlineStr">
        <is>
          <t>None recorded</t>
        </is>
      </c>
      <c r="F122" s="34" t="inlineStr">
        <is>
          <t>No individual professional decision recorded; Source assignment -- not individually reviewed</t>
        </is>
      </c>
      <c r="G122" s="34" t="inlineStr">
        <is>
          <t>Not individually decided</t>
        </is>
      </c>
      <c r="H122" s="34" t="inlineStr">
        <is>
          <t xml:space="preserve">APPROVED / ONE_TO_ONE; </t>
        </is>
      </c>
      <c r="I122" s="34" t="inlineStr">
        <is>
          <t>New</t>
        </is>
      </c>
      <c r="J122" s="92" t="inlineStr">
        <is>
          <t>08 CROSSWALK</t>
        </is>
      </c>
    </row>
    <row r="123" ht="49" customHeight="1">
      <c r="A123" s="34" t="inlineStr">
        <is>
          <t>R161-v1</t>
        </is>
      </c>
      <c r="B123" s="34" t="inlineStr">
        <is>
          <t>Contractor Programme / SCH-01-161</t>
        </is>
      </c>
      <c r="C123" s="34" t="inlineStr">
        <is>
          <t>WBS Code = 1.1.1</t>
        </is>
      </c>
      <c r="D123" s="34" t="inlineStr">
        <is>
          <t>Proposed by Source assignment; target 1.1.1 Guideway and Civil - Guideway Structures</t>
        </is>
      </c>
      <c r="E123" s="34" t="inlineStr">
        <is>
          <t>None recorded</t>
        </is>
      </c>
      <c r="F123" s="34" t="inlineStr">
        <is>
          <t>No individual professional decision recorded; Source assignment -- not individually reviewed</t>
        </is>
      </c>
      <c r="G123" s="34" t="inlineStr">
        <is>
          <t>Not individually decided</t>
        </is>
      </c>
      <c r="H123" s="34" t="inlineStr">
        <is>
          <t xml:space="preserve">APPROVED / ONE_TO_ONE; </t>
        </is>
      </c>
      <c r="I123" s="34" t="inlineStr">
        <is>
          <t>New</t>
        </is>
      </c>
      <c r="J123" s="92" t="inlineStr">
        <is>
          <t>08 CROSSWALK</t>
        </is>
      </c>
    </row>
    <row r="124" ht="49" customHeight="1">
      <c r="A124" s="34" t="inlineStr">
        <is>
          <t>R163-v1</t>
        </is>
      </c>
      <c r="B124" s="34" t="inlineStr">
        <is>
          <t>Contractor Programme / SCH-01-163</t>
        </is>
      </c>
      <c r="C124" s="34" t="inlineStr">
        <is>
          <t>WBS Code = 1.1.1</t>
        </is>
      </c>
      <c r="D124" s="34" t="inlineStr">
        <is>
          <t>Proposed by Source assignment; target 1.1.1 Guideway and Civil - Guideway Structures</t>
        </is>
      </c>
      <c r="E124" s="34" t="inlineStr">
        <is>
          <t>None recorded</t>
        </is>
      </c>
      <c r="F124" s="34" t="inlineStr">
        <is>
          <t>No individual professional decision recorded; Source assignment -- not individually reviewed</t>
        </is>
      </c>
      <c r="G124" s="34" t="inlineStr">
        <is>
          <t>Not individually decided</t>
        </is>
      </c>
      <c r="H124" s="34" t="inlineStr">
        <is>
          <t xml:space="preserve">APPROVED / ONE_TO_ONE; </t>
        </is>
      </c>
      <c r="I124" s="34" t="inlineStr">
        <is>
          <t>New</t>
        </is>
      </c>
      <c r="J124" s="92" t="inlineStr">
        <is>
          <t>08 CROSSWALK</t>
        </is>
      </c>
    </row>
    <row r="125" ht="49" customHeight="1">
      <c r="A125" s="34" t="inlineStr">
        <is>
          <t>R164-v1</t>
        </is>
      </c>
      <c r="B125" s="34" t="inlineStr">
        <is>
          <t>Contractor Programme / SCH-01-164</t>
        </is>
      </c>
      <c r="C125" s="34" t="inlineStr">
        <is>
          <t>WBS Code = 1.1.1</t>
        </is>
      </c>
      <c r="D125" s="34" t="inlineStr">
        <is>
          <t>Proposed by Source assignment; target 1.1.1 Guideway and Civil - Guideway Structures</t>
        </is>
      </c>
      <c r="E125" s="34" t="inlineStr">
        <is>
          <t>None recorded</t>
        </is>
      </c>
      <c r="F125" s="34" t="inlineStr">
        <is>
          <t>No individual professional decision recorded; Source assignment -- not individually reviewed</t>
        </is>
      </c>
      <c r="G125" s="34" t="inlineStr">
        <is>
          <t>Not individually decided</t>
        </is>
      </c>
      <c r="H125" s="34" t="inlineStr">
        <is>
          <t xml:space="preserve">APPROVED / ONE_TO_ONE; </t>
        </is>
      </c>
      <c r="I125" s="34" t="inlineStr">
        <is>
          <t>New</t>
        </is>
      </c>
      <c r="J125" s="92" t="inlineStr">
        <is>
          <t>08 CROSSWALK</t>
        </is>
      </c>
    </row>
    <row r="126" ht="49" customHeight="1">
      <c r="A126" s="34" t="inlineStr">
        <is>
          <t>R166-v1</t>
        </is>
      </c>
      <c r="B126" s="34" t="inlineStr">
        <is>
          <t>Contractor Programme / SCH-01-166</t>
        </is>
      </c>
      <c r="C126" s="34" t="inlineStr">
        <is>
          <t>WBS Code = 1.1.1</t>
        </is>
      </c>
      <c r="D126" s="34" t="inlineStr">
        <is>
          <t>Proposed by Source assignment; target 1.1.1 Guideway and Civil - Guideway Structures</t>
        </is>
      </c>
      <c r="E126" s="34" t="inlineStr">
        <is>
          <t>None recorded</t>
        </is>
      </c>
      <c r="F126" s="34" t="inlineStr">
        <is>
          <t>No individual professional decision recorded; Source assignment -- not individually reviewed</t>
        </is>
      </c>
      <c r="G126" s="34" t="inlineStr">
        <is>
          <t>Not individually decided</t>
        </is>
      </c>
      <c r="H126" s="34" t="inlineStr">
        <is>
          <t xml:space="preserve">APPROVED / ONE_TO_ONE; </t>
        </is>
      </c>
      <c r="I126" s="34" t="inlineStr">
        <is>
          <t>New</t>
        </is>
      </c>
      <c r="J126" s="92" t="inlineStr">
        <is>
          <t>08 CROSSWALK</t>
        </is>
      </c>
    </row>
    <row r="127" ht="49" customHeight="1">
      <c r="A127" s="34" t="inlineStr">
        <is>
          <t>R167-v1</t>
        </is>
      </c>
      <c r="B127" s="34" t="inlineStr">
        <is>
          <t>Contractor Programme / SCH-01-167</t>
        </is>
      </c>
      <c r="C127" s="34" t="inlineStr">
        <is>
          <t>WBS Code = 1.1.1</t>
        </is>
      </c>
      <c r="D127" s="34" t="inlineStr">
        <is>
          <t>Proposed by Source assignment; target 1.1.1 Guideway and Civil - Guideway Structures</t>
        </is>
      </c>
      <c r="E127" s="34" t="inlineStr">
        <is>
          <t>None recorded</t>
        </is>
      </c>
      <c r="F127" s="34" t="inlineStr">
        <is>
          <t>No individual professional decision recorded; Source assignment -- not individually reviewed</t>
        </is>
      </c>
      <c r="G127" s="34" t="inlineStr">
        <is>
          <t>Not individually decided</t>
        </is>
      </c>
      <c r="H127" s="34" t="inlineStr">
        <is>
          <t xml:space="preserve">APPROVED / ONE_TO_ONE; </t>
        </is>
      </c>
      <c r="I127" s="34" t="inlineStr">
        <is>
          <t>New</t>
        </is>
      </c>
      <c r="J127" s="92" t="inlineStr">
        <is>
          <t>08 CROSSWALK</t>
        </is>
      </c>
    </row>
    <row r="128" ht="49" customHeight="1">
      <c r="A128" s="34" t="inlineStr">
        <is>
          <t>R169-v1</t>
        </is>
      </c>
      <c r="B128" s="34" t="inlineStr">
        <is>
          <t>Contractor Programme / SCH-01-169</t>
        </is>
      </c>
      <c r="C128" s="34" t="inlineStr">
        <is>
          <t>WBS Code = 1.1.1</t>
        </is>
      </c>
      <c r="D128" s="34" t="inlineStr">
        <is>
          <t>Proposed by Source assignment; target 1.1.1 Guideway and Civil - Guideway Structures</t>
        </is>
      </c>
      <c r="E128" s="34" t="inlineStr">
        <is>
          <t>None recorded</t>
        </is>
      </c>
      <c r="F128" s="34" t="inlineStr">
        <is>
          <t>No individual professional decision recorded; Source assignment -- not individually reviewed</t>
        </is>
      </c>
      <c r="G128" s="34" t="inlineStr">
        <is>
          <t>Not individually decided</t>
        </is>
      </c>
      <c r="H128" s="34" t="inlineStr">
        <is>
          <t xml:space="preserve">APPROVED / ONE_TO_ONE; </t>
        </is>
      </c>
      <c r="I128" s="34" t="inlineStr">
        <is>
          <t>New</t>
        </is>
      </c>
      <c r="J128" s="92" t="inlineStr">
        <is>
          <t>08 CROSSWALK</t>
        </is>
      </c>
    </row>
    <row r="129" ht="49" customHeight="1">
      <c r="A129" s="34" t="inlineStr">
        <is>
          <t>R170-v1</t>
        </is>
      </c>
      <c r="B129" s="34" t="inlineStr">
        <is>
          <t>Contractor Programme / SCH-01-170</t>
        </is>
      </c>
      <c r="C129" s="34" t="inlineStr">
        <is>
          <t>WBS Code = 1.1.1</t>
        </is>
      </c>
      <c r="D129" s="34" t="inlineStr">
        <is>
          <t>Proposed by Source assignment; target 1.1.1 Guideway and Civil - Guideway Structures</t>
        </is>
      </c>
      <c r="E129" s="34" t="inlineStr">
        <is>
          <t>None recorded</t>
        </is>
      </c>
      <c r="F129" s="34" t="inlineStr">
        <is>
          <t>No individual professional decision recorded; Source assignment -- not individually reviewed</t>
        </is>
      </c>
      <c r="G129" s="34" t="inlineStr">
        <is>
          <t>Not individually decided</t>
        </is>
      </c>
      <c r="H129" s="34" t="inlineStr">
        <is>
          <t xml:space="preserve">APPROVED / ONE_TO_ONE; </t>
        </is>
      </c>
      <c r="I129" s="34" t="inlineStr">
        <is>
          <t>New</t>
        </is>
      </c>
      <c r="J129" s="92" t="inlineStr">
        <is>
          <t>08 CROSSWALK</t>
        </is>
      </c>
    </row>
    <row r="130" ht="49" customHeight="1">
      <c r="A130" s="34" t="inlineStr">
        <is>
          <t>R172-v1</t>
        </is>
      </c>
      <c r="B130" s="34" t="inlineStr">
        <is>
          <t>Contractor Programme / SCH-01-172</t>
        </is>
      </c>
      <c r="C130" s="34" t="inlineStr">
        <is>
          <t>WBS Code = 1.1.1</t>
        </is>
      </c>
      <c r="D130" s="34" t="inlineStr">
        <is>
          <t>Proposed by Source assignment; target 1.1.1 Guideway and Civil - Guideway Structures</t>
        </is>
      </c>
      <c r="E130" s="34" t="inlineStr">
        <is>
          <t>None recorded</t>
        </is>
      </c>
      <c r="F130" s="34" t="inlineStr">
        <is>
          <t>No individual professional decision recorded; Source assignment -- not individually reviewed</t>
        </is>
      </c>
      <c r="G130" s="34" t="inlineStr">
        <is>
          <t>Not individually decided</t>
        </is>
      </c>
      <c r="H130" s="34" t="inlineStr">
        <is>
          <t xml:space="preserve">APPROVED / ONE_TO_ONE; </t>
        </is>
      </c>
      <c r="I130" s="34" t="inlineStr">
        <is>
          <t>New</t>
        </is>
      </c>
      <c r="J130" s="92" t="inlineStr">
        <is>
          <t>08 CROSSWALK</t>
        </is>
      </c>
    </row>
    <row r="131" ht="49" customHeight="1">
      <c r="A131" s="34" t="inlineStr">
        <is>
          <t>R173-v1</t>
        </is>
      </c>
      <c r="B131" s="34" t="inlineStr">
        <is>
          <t>Contractor Programme / SCH-01-173</t>
        </is>
      </c>
      <c r="C131" s="34" t="inlineStr">
        <is>
          <t>WBS Code = 1.1.1</t>
        </is>
      </c>
      <c r="D131" s="34" t="inlineStr">
        <is>
          <t>Proposed by Source assignment; target 1.1.1 Guideway and Civil - Guideway Structures</t>
        </is>
      </c>
      <c r="E131" s="34" t="inlineStr">
        <is>
          <t>None recorded</t>
        </is>
      </c>
      <c r="F131" s="34" t="inlineStr">
        <is>
          <t>No individual professional decision recorded; Source assignment -- not individually reviewed</t>
        </is>
      </c>
      <c r="G131" s="34" t="inlineStr">
        <is>
          <t>Not individually decided</t>
        </is>
      </c>
      <c r="H131" s="34" t="inlineStr">
        <is>
          <t xml:space="preserve">APPROVED / ONE_TO_ONE; </t>
        </is>
      </c>
      <c r="I131" s="34" t="inlineStr">
        <is>
          <t>New</t>
        </is>
      </c>
      <c r="J131" s="92" t="inlineStr">
        <is>
          <t>08 CROSSWALK</t>
        </is>
      </c>
    </row>
    <row r="132" ht="49" customHeight="1">
      <c r="A132" s="34" t="inlineStr">
        <is>
          <t>R175-v1</t>
        </is>
      </c>
      <c r="B132" s="34" t="inlineStr">
        <is>
          <t>Contractor Programme / SCH-01-175</t>
        </is>
      </c>
      <c r="C132" s="34" t="inlineStr">
        <is>
          <t>WBS Code = 1.1.1</t>
        </is>
      </c>
      <c r="D132" s="34" t="inlineStr">
        <is>
          <t>Proposed by Source assignment; target 1.1.1 Guideway and Civil - Guideway Structures</t>
        </is>
      </c>
      <c r="E132" s="34" t="inlineStr">
        <is>
          <t>None recorded</t>
        </is>
      </c>
      <c r="F132" s="34" t="inlineStr">
        <is>
          <t>No individual professional decision recorded; Source assignment -- not individually reviewed</t>
        </is>
      </c>
      <c r="G132" s="34" t="inlineStr">
        <is>
          <t>Not individually decided</t>
        </is>
      </c>
      <c r="H132" s="34" t="inlineStr">
        <is>
          <t xml:space="preserve">APPROVED / ONE_TO_ONE; </t>
        </is>
      </c>
      <c r="I132" s="34" t="inlineStr">
        <is>
          <t>New</t>
        </is>
      </c>
      <c r="J132" s="92" t="inlineStr">
        <is>
          <t>08 CROSSWALK</t>
        </is>
      </c>
    </row>
    <row r="133" ht="49" customHeight="1">
      <c r="A133" s="34" t="inlineStr">
        <is>
          <t>R176-v1</t>
        </is>
      </c>
      <c r="B133" s="34" t="inlineStr">
        <is>
          <t>Contractor Programme / SCH-01-176</t>
        </is>
      </c>
      <c r="C133" s="34" t="inlineStr">
        <is>
          <t>WBS Code = 1.1.1</t>
        </is>
      </c>
      <c r="D133" s="34" t="inlineStr">
        <is>
          <t>Proposed by Source assignment; target 1.1.1 Guideway and Civil - Guideway Structures</t>
        </is>
      </c>
      <c r="E133" s="34" t="inlineStr">
        <is>
          <t>None recorded</t>
        </is>
      </c>
      <c r="F133" s="34" t="inlineStr">
        <is>
          <t>No individual professional decision recorded; Source assignment -- not individually reviewed</t>
        </is>
      </c>
      <c r="G133" s="34" t="inlineStr">
        <is>
          <t>Not individually decided</t>
        </is>
      </c>
      <c r="H133" s="34" t="inlineStr">
        <is>
          <t xml:space="preserve">APPROVED / ONE_TO_ONE; </t>
        </is>
      </c>
      <c r="I133" s="34" t="inlineStr">
        <is>
          <t>New</t>
        </is>
      </c>
      <c r="J133" s="92" t="inlineStr">
        <is>
          <t>08 CROSSWALK</t>
        </is>
      </c>
    </row>
    <row r="134" ht="49" customHeight="1">
      <c r="A134" s="34" t="inlineStr">
        <is>
          <t>R178-v1</t>
        </is>
      </c>
      <c r="B134" s="34" t="inlineStr">
        <is>
          <t>Contractor Programme / SCH-01-178</t>
        </is>
      </c>
      <c r="C134" s="34" t="inlineStr">
        <is>
          <t>WBS Code = 1.1.1</t>
        </is>
      </c>
      <c r="D134" s="34" t="inlineStr">
        <is>
          <t>Proposed by Source assignment; target 1.1.1 Guideway and Civil - Guideway Structures</t>
        </is>
      </c>
      <c r="E134" s="34" t="inlineStr">
        <is>
          <t>None recorded</t>
        </is>
      </c>
      <c r="F134" s="34" t="inlineStr">
        <is>
          <t>No individual professional decision recorded; Source assignment -- not individually reviewed</t>
        </is>
      </c>
      <c r="G134" s="34" t="inlineStr">
        <is>
          <t>Not individually decided</t>
        </is>
      </c>
      <c r="H134" s="34" t="inlineStr">
        <is>
          <t xml:space="preserve">APPROVED / ONE_TO_ONE; </t>
        </is>
      </c>
      <c r="I134" s="34" t="inlineStr">
        <is>
          <t>New</t>
        </is>
      </c>
      <c r="J134" s="92" t="inlineStr">
        <is>
          <t>08 CROSSWALK</t>
        </is>
      </c>
    </row>
    <row r="135" ht="49" customHeight="1">
      <c r="A135" s="34" t="inlineStr">
        <is>
          <t>R179-v1</t>
        </is>
      </c>
      <c r="B135" s="34" t="inlineStr">
        <is>
          <t>Contractor Programme / SCH-01-179</t>
        </is>
      </c>
      <c r="C135" s="34" t="inlineStr">
        <is>
          <t>WBS Code = 1.1.1</t>
        </is>
      </c>
      <c r="D135" s="34" t="inlineStr">
        <is>
          <t>Proposed by Source assignment; target 1.1.1 Guideway and Civil - Guideway Structures</t>
        </is>
      </c>
      <c r="E135" s="34" t="inlineStr">
        <is>
          <t>None recorded</t>
        </is>
      </c>
      <c r="F135" s="34" t="inlineStr">
        <is>
          <t>No individual professional decision recorded; Source assignment -- not individually reviewed</t>
        </is>
      </c>
      <c r="G135" s="34" t="inlineStr">
        <is>
          <t>Not individually decided</t>
        </is>
      </c>
      <c r="H135" s="34" t="inlineStr">
        <is>
          <t xml:space="preserve">APPROVED / ONE_TO_ONE; </t>
        </is>
      </c>
      <c r="I135" s="34" t="inlineStr">
        <is>
          <t>New</t>
        </is>
      </c>
      <c r="J135" s="92" t="inlineStr">
        <is>
          <t>08 CROSSWALK</t>
        </is>
      </c>
    </row>
    <row r="136" ht="49" customHeight="1">
      <c r="A136" s="34" t="inlineStr">
        <is>
          <t>R1083-v1</t>
        </is>
      </c>
      <c r="B136" s="34" t="inlineStr">
        <is>
          <t>Cost &amp; Forecast Control Accounts / CST-01-001</t>
        </is>
      </c>
      <c r="C136" s="34" t="inlineStr">
        <is>
          <t>Cost Account = CA-1001; WBS Code = 1.1.1</t>
        </is>
      </c>
      <c r="D136" s="34" t="inlineStr">
        <is>
          <t>Proposed by Source assignment; target 1.1.1 Guideway and Civil - Guideway Structures</t>
        </is>
      </c>
      <c r="E136" s="34" t="inlineStr">
        <is>
          <t>None recorded</t>
        </is>
      </c>
      <c r="F136" s="34" t="inlineStr">
        <is>
          <t>No individual professional decision recorded; Source assignment -- not individually reviewed</t>
        </is>
      </c>
      <c r="G136" s="34" t="inlineStr">
        <is>
          <t>Not individually decided</t>
        </is>
      </c>
      <c r="H136" s="34" t="inlineStr">
        <is>
          <t xml:space="preserve">APPROVED / ONE_TO_ONE; </t>
        </is>
      </c>
      <c r="I136" s="34" t="inlineStr">
        <is>
          <t>New</t>
        </is>
      </c>
      <c r="J136" s="92" t="inlineStr">
        <is>
          <t>08 CROSSWALK</t>
        </is>
      </c>
    </row>
    <row r="137" ht="49" customHeight="1">
      <c r="A137" s="34" t="inlineStr">
        <is>
          <t>R1085-v1</t>
        </is>
      </c>
      <c r="B137" s="34" t="inlineStr">
        <is>
          <t>Cost &amp; Forecast Control Accounts / CST-01-003</t>
        </is>
      </c>
      <c r="C137" s="34" t="inlineStr">
        <is>
          <t>Cost Account = CA-1003; WBS Code = 1.1.1</t>
        </is>
      </c>
      <c r="D137" s="34" t="inlineStr">
        <is>
          <t>Proposed by Source assignment; target 1.1.1 Guideway and Civil - Guideway Structures</t>
        </is>
      </c>
      <c r="E137" s="34" t="inlineStr">
        <is>
          <t>None recorded</t>
        </is>
      </c>
      <c r="F137" s="34" t="inlineStr">
        <is>
          <t>No individual professional decision recorded; Source assignment -- not individually reviewed</t>
        </is>
      </c>
      <c r="G137" s="34" t="inlineStr">
        <is>
          <t>Not individually decided</t>
        </is>
      </c>
      <c r="H137" s="34" t="inlineStr">
        <is>
          <t xml:space="preserve">APPROVED / ONE_TO_ONE; </t>
        </is>
      </c>
      <c r="I137" s="34" t="inlineStr">
        <is>
          <t>New</t>
        </is>
      </c>
      <c r="J137" s="92" t="inlineStr">
        <is>
          <t>08 CROSSWALK</t>
        </is>
      </c>
    </row>
    <row r="138" ht="49" customHeight="1">
      <c r="A138" s="34" t="inlineStr">
        <is>
          <t>R1087-v1</t>
        </is>
      </c>
      <c r="B138" s="34" t="inlineStr">
        <is>
          <t>Cost &amp; Forecast Control Accounts / CST-01-005</t>
        </is>
      </c>
      <c r="C138" s="34" t="inlineStr">
        <is>
          <t>Cost Account = CA-1005; WBS Code = 1.1.1</t>
        </is>
      </c>
      <c r="D138" s="34" t="inlineStr">
        <is>
          <t>Proposed by Source assignment; target 1.1.1 Guideway and Civil - Guideway Structures</t>
        </is>
      </c>
      <c r="E138" s="34" t="inlineStr">
        <is>
          <t>None recorded</t>
        </is>
      </c>
      <c r="F138" s="34" t="inlineStr">
        <is>
          <t>No individual professional decision recorded; Source assignment -- not individually reviewed</t>
        </is>
      </c>
      <c r="G138" s="34" t="inlineStr">
        <is>
          <t>Not individually decided</t>
        </is>
      </c>
      <c r="H138" s="34" t="inlineStr">
        <is>
          <t xml:space="preserve">APPROVED / ONE_TO_ONE; </t>
        </is>
      </c>
      <c r="I138" s="34" t="inlineStr">
        <is>
          <t>New</t>
        </is>
      </c>
      <c r="J138" s="92" t="inlineStr">
        <is>
          <t>08 CROSSWALK</t>
        </is>
      </c>
    </row>
    <row r="139" ht="49" customHeight="1">
      <c r="A139" s="34" t="inlineStr">
        <is>
          <t>R1089-v1</t>
        </is>
      </c>
      <c r="B139" s="34" t="inlineStr">
        <is>
          <t>Cost &amp; Forecast Control Accounts / CST-01-007</t>
        </is>
      </c>
      <c r="C139" s="34" t="inlineStr">
        <is>
          <t>Cost Account = CA-1007; WBS Code = 1.1.1</t>
        </is>
      </c>
      <c r="D139" s="34" t="inlineStr">
        <is>
          <t>Proposed by Source assignment; target 1.1.1 Guideway and Civil - Guideway Structures</t>
        </is>
      </c>
      <c r="E139" s="34" t="inlineStr">
        <is>
          <t>None recorded</t>
        </is>
      </c>
      <c r="F139" s="34" t="inlineStr">
        <is>
          <t>No individual professional decision recorded; Source assignment -- not individually reviewed</t>
        </is>
      </c>
      <c r="G139" s="34" t="inlineStr">
        <is>
          <t>Not individually decided</t>
        </is>
      </c>
      <c r="H139" s="34" t="inlineStr">
        <is>
          <t xml:space="preserve">APPROVED / ONE_TO_ONE; </t>
        </is>
      </c>
      <c r="I139" s="34" t="inlineStr">
        <is>
          <t>New</t>
        </is>
      </c>
      <c r="J139" s="92" t="inlineStr">
        <is>
          <t>08 CROSSWALK</t>
        </is>
      </c>
    </row>
    <row r="140" ht="49" customHeight="1">
      <c r="A140" s="34" t="inlineStr">
        <is>
          <t>R1091-v1</t>
        </is>
      </c>
      <c r="B140" s="34" t="inlineStr">
        <is>
          <t>Cost &amp; Forecast Control Accounts / CST-01-009</t>
        </is>
      </c>
      <c r="C140" s="34" t="inlineStr">
        <is>
          <t>Cost Account = CA-1009; WBS Code = 1.1.1</t>
        </is>
      </c>
      <c r="D140" s="34" t="inlineStr">
        <is>
          <t>Proposed by Source assignment; target 1.1.1 Guideway and Civil - Guideway Structures</t>
        </is>
      </c>
      <c r="E140" s="34" t="inlineStr">
        <is>
          <t>None recorded</t>
        </is>
      </c>
      <c r="F140" s="34" t="inlineStr">
        <is>
          <t>No individual professional decision recorded; Source assignment -- not individually reviewed</t>
        </is>
      </c>
      <c r="G140" s="34" t="inlineStr">
        <is>
          <t>Not individually decided</t>
        </is>
      </c>
      <c r="H140" s="34" t="inlineStr">
        <is>
          <t xml:space="preserve">APPROVED / ONE_TO_ONE; </t>
        </is>
      </c>
      <c r="I140" s="34" t="inlineStr">
        <is>
          <t>New</t>
        </is>
      </c>
      <c r="J140" s="92" t="inlineStr">
        <is>
          <t>08 CROSSWALK</t>
        </is>
      </c>
    </row>
    <row r="141" ht="49" customHeight="1">
      <c r="A141" s="34" t="inlineStr">
        <is>
          <t>R1093-v1</t>
        </is>
      </c>
      <c r="B141" s="34" t="inlineStr">
        <is>
          <t>Cost &amp; Forecast Control Accounts / CST-01-011</t>
        </is>
      </c>
      <c r="C141" s="34" t="inlineStr">
        <is>
          <t>Cost Account = CA-1011; WBS Code = 1.1.1</t>
        </is>
      </c>
      <c r="D141" s="34" t="inlineStr">
        <is>
          <t>Proposed by Source assignment; target 1.1.1 Guideway and Civil - Guideway Structures</t>
        </is>
      </c>
      <c r="E141" s="34" t="inlineStr">
        <is>
          <t>None recorded</t>
        </is>
      </c>
      <c r="F141" s="34" t="inlineStr">
        <is>
          <t>No individual professional decision recorded; Source assignment -- not individually reviewed</t>
        </is>
      </c>
      <c r="G141" s="34" t="inlineStr">
        <is>
          <t>Not individually decided</t>
        </is>
      </c>
      <c r="H141" s="34" t="inlineStr">
        <is>
          <t xml:space="preserve">APPROVED / ONE_TO_ONE; </t>
        </is>
      </c>
      <c r="I141" s="34" t="inlineStr">
        <is>
          <t>New</t>
        </is>
      </c>
      <c r="J141" s="92" t="inlineStr">
        <is>
          <t>08 CROSSWALK</t>
        </is>
      </c>
    </row>
    <row r="142" ht="49" customHeight="1">
      <c r="A142" s="34" t="inlineStr">
        <is>
          <t>R1095-v1</t>
        </is>
      </c>
      <c r="B142" s="34" t="inlineStr">
        <is>
          <t>Cost &amp; Forecast Control Accounts / CST-01-013</t>
        </is>
      </c>
      <c r="C142" s="34" t="inlineStr">
        <is>
          <t>Cost Account = CA-1013; WBS Code = 1.1.1</t>
        </is>
      </c>
      <c r="D142" s="34" t="inlineStr">
        <is>
          <t>Proposed by Source assignment; target 1.1.1 Guideway and Civil - Guideway Structures</t>
        </is>
      </c>
      <c r="E142" s="34" t="inlineStr">
        <is>
          <t>None recorded</t>
        </is>
      </c>
      <c r="F142" s="34" t="inlineStr">
        <is>
          <t>No individual professional decision recorded; Source assignment -- not individually reviewed</t>
        </is>
      </c>
      <c r="G142" s="34" t="inlineStr">
        <is>
          <t>Not individually decided</t>
        </is>
      </c>
      <c r="H142" s="34" t="inlineStr">
        <is>
          <t xml:space="preserve">APPROVED / ONE_TO_ONE; </t>
        </is>
      </c>
      <c r="I142" s="34" t="inlineStr">
        <is>
          <t>New</t>
        </is>
      </c>
      <c r="J142" s="92" t="inlineStr">
        <is>
          <t>08 CROSSWALK</t>
        </is>
      </c>
    </row>
    <row r="143" ht="49" customHeight="1">
      <c r="A143" s="34" t="inlineStr">
        <is>
          <t>R1097-v1</t>
        </is>
      </c>
      <c r="B143" s="34" t="inlineStr">
        <is>
          <t>Cost &amp; Forecast Control Accounts / CST-01-015</t>
        </is>
      </c>
      <c r="C143" s="34" t="inlineStr">
        <is>
          <t>Cost Account = CA-1015; WBS Code = 1.1.1</t>
        </is>
      </c>
      <c r="D143" s="34" t="inlineStr">
        <is>
          <t>Proposed by Source assignment; target 1.1.1 Guideway and Civil - Guideway Structures</t>
        </is>
      </c>
      <c r="E143" s="34" t="inlineStr">
        <is>
          <t>None recorded</t>
        </is>
      </c>
      <c r="F143" s="34" t="inlineStr">
        <is>
          <t>No individual professional decision recorded; Source assignment -- not individually reviewed</t>
        </is>
      </c>
      <c r="G143" s="34" t="inlineStr">
        <is>
          <t>Not individually decided</t>
        </is>
      </c>
      <c r="H143" s="34" t="inlineStr">
        <is>
          <t xml:space="preserve">APPROVED / ONE_TO_ONE; </t>
        </is>
      </c>
      <c r="I143" s="34" t="inlineStr">
        <is>
          <t>New</t>
        </is>
      </c>
      <c r="J143" s="92" t="inlineStr">
        <is>
          <t>08 CROSSWALK</t>
        </is>
      </c>
    </row>
    <row r="144" ht="49" customHeight="1">
      <c r="A144" s="34" t="inlineStr">
        <is>
          <t>R1099-v1</t>
        </is>
      </c>
      <c r="B144" s="34" t="inlineStr">
        <is>
          <t>Cost &amp; Forecast Control Accounts / CST-01-017</t>
        </is>
      </c>
      <c r="C144" s="34" t="inlineStr">
        <is>
          <t>Cost Account = CA-1017; WBS Code = 1.1.1</t>
        </is>
      </c>
      <c r="D144" s="34" t="inlineStr">
        <is>
          <t>Proposed by Source assignment; target 1.1.1 Guideway and Civil - Guideway Structures</t>
        </is>
      </c>
      <c r="E144" s="34" t="inlineStr">
        <is>
          <t>None recorded</t>
        </is>
      </c>
      <c r="F144" s="34" t="inlineStr">
        <is>
          <t>No individual professional decision recorded; Source assignment -- not individually reviewed</t>
        </is>
      </c>
      <c r="G144" s="34" t="inlineStr">
        <is>
          <t>Not individually decided</t>
        </is>
      </c>
      <c r="H144" s="34" t="inlineStr">
        <is>
          <t xml:space="preserve">APPROVED / ONE_TO_ONE; </t>
        </is>
      </c>
      <c r="I144" s="34" t="inlineStr">
        <is>
          <t>New</t>
        </is>
      </c>
      <c r="J144" s="92" t="inlineStr">
        <is>
          <t>08 CROSSWALK</t>
        </is>
      </c>
    </row>
    <row r="145" ht="49" customHeight="1">
      <c r="A145" s="34" t="inlineStr">
        <is>
          <t>R1101-v1</t>
        </is>
      </c>
      <c r="B145" s="34" t="inlineStr">
        <is>
          <t>Cost &amp; Forecast Control Accounts / CST-01-019</t>
        </is>
      </c>
      <c r="C145" s="34" t="inlineStr">
        <is>
          <t>Cost Account = CA-1019; WBS Code = 1.1.1</t>
        </is>
      </c>
      <c r="D145" s="34" t="inlineStr">
        <is>
          <t>Proposed by Source assignment; target 1.1.1 Guideway and Civil - Guideway Structures</t>
        </is>
      </c>
      <c r="E145" s="34" t="inlineStr">
        <is>
          <t>None recorded</t>
        </is>
      </c>
      <c r="F145" s="34" t="inlineStr">
        <is>
          <t>No individual professional decision recorded; Source assignment -- not individually reviewed</t>
        </is>
      </c>
      <c r="G145" s="34" t="inlineStr">
        <is>
          <t>Not individually decided</t>
        </is>
      </c>
      <c r="H145" s="34" t="inlineStr">
        <is>
          <t xml:space="preserve">APPROVED / ONE_TO_ONE; </t>
        </is>
      </c>
      <c r="I145" s="34" t="inlineStr">
        <is>
          <t>New</t>
        </is>
      </c>
      <c r="J145" s="92" t="inlineStr">
        <is>
          <t>08 CROSSWALK</t>
        </is>
      </c>
    </row>
    <row r="146" ht="49" customHeight="1">
      <c r="A146" s="34" t="inlineStr">
        <is>
          <t>R1103-v1</t>
        </is>
      </c>
      <c r="B146" s="34" t="inlineStr">
        <is>
          <t>Cost &amp; Forecast Control Accounts / CST-01-021</t>
        </is>
      </c>
      <c r="C146" s="34" t="inlineStr">
        <is>
          <t>Cost Account = CA-1021; WBS Code = 1.1.1</t>
        </is>
      </c>
      <c r="D146" s="34" t="inlineStr">
        <is>
          <t>Proposed by Source assignment; target 1.1.1 Guideway and Civil - Guideway Structures</t>
        </is>
      </c>
      <c r="E146" s="34" t="inlineStr">
        <is>
          <t>None recorded</t>
        </is>
      </c>
      <c r="F146" s="34" t="inlineStr">
        <is>
          <t>No individual professional decision recorded; Source assignment -- not individually reviewed</t>
        </is>
      </c>
      <c r="G146" s="34" t="inlineStr">
        <is>
          <t>Not individually decided</t>
        </is>
      </c>
      <c r="H146" s="34" t="inlineStr">
        <is>
          <t xml:space="preserve">APPROVED / ONE_TO_ONE; </t>
        </is>
      </c>
      <c r="I146" s="34" t="inlineStr">
        <is>
          <t>New</t>
        </is>
      </c>
      <c r="J146" s="92" t="inlineStr">
        <is>
          <t>08 CROSSWALK</t>
        </is>
      </c>
    </row>
    <row r="147" ht="49" customHeight="1">
      <c r="A147" s="34" t="inlineStr">
        <is>
          <t>R1105-v1</t>
        </is>
      </c>
      <c r="B147" s="34" t="inlineStr">
        <is>
          <t>Cost &amp; Forecast Control Accounts / CST-01-023</t>
        </is>
      </c>
      <c r="C147" s="34" t="inlineStr">
        <is>
          <t>Cost Account = CA-1023; WBS Code = 1.1.1</t>
        </is>
      </c>
      <c r="D147" s="34" t="inlineStr">
        <is>
          <t>Proposed by Source assignment; target 1.1.1 Guideway and Civil - Guideway Structures</t>
        </is>
      </c>
      <c r="E147" s="34" t="inlineStr">
        <is>
          <t>None recorded</t>
        </is>
      </c>
      <c r="F147" s="34" t="inlineStr">
        <is>
          <t>No individual professional decision recorded; Source assignment -- not individually reviewed</t>
        </is>
      </c>
      <c r="G147" s="34" t="inlineStr">
        <is>
          <t>Not individually decided</t>
        </is>
      </c>
      <c r="H147" s="34" t="inlineStr">
        <is>
          <t xml:space="preserve">APPROVED / ONE_TO_ONE; </t>
        </is>
      </c>
      <c r="I147" s="34" t="inlineStr">
        <is>
          <t>New</t>
        </is>
      </c>
      <c r="J147" s="92" t="inlineStr">
        <is>
          <t>08 CROSSWALK</t>
        </is>
      </c>
    </row>
    <row r="148" ht="49" customHeight="1">
      <c r="A148" s="34" t="inlineStr">
        <is>
          <t>R1107-v1</t>
        </is>
      </c>
      <c r="B148" s="34" t="inlineStr">
        <is>
          <t>Cost &amp; Forecast Control Accounts / CST-01-025</t>
        </is>
      </c>
      <c r="C148" s="34" t="inlineStr">
        <is>
          <t>Cost Account = CA-1025; WBS Code = 1.1.1</t>
        </is>
      </c>
      <c r="D148" s="34" t="inlineStr">
        <is>
          <t>Proposed by Source assignment; target 1.1.1 Guideway and Civil - Guideway Structures</t>
        </is>
      </c>
      <c r="E148" s="34" t="inlineStr">
        <is>
          <t>None recorded</t>
        </is>
      </c>
      <c r="F148" s="34" t="inlineStr">
        <is>
          <t>No individual professional decision recorded; Source assignment -- not individually reviewed</t>
        </is>
      </c>
      <c r="G148" s="34" t="inlineStr">
        <is>
          <t>Not individually decided</t>
        </is>
      </c>
      <c r="H148" s="34" t="inlineStr">
        <is>
          <t xml:space="preserve">APPROVED / ONE_TO_ONE; </t>
        </is>
      </c>
      <c r="I148" s="34" t="inlineStr">
        <is>
          <t>New</t>
        </is>
      </c>
      <c r="J148" s="92" t="inlineStr">
        <is>
          <t>08 CROSSWALK</t>
        </is>
      </c>
    </row>
    <row r="149" ht="49" customHeight="1">
      <c r="A149" s="34" t="inlineStr">
        <is>
          <t>R1109-v1</t>
        </is>
      </c>
      <c r="B149" s="34" t="inlineStr">
        <is>
          <t>Cost &amp; Forecast Control Accounts / CST-01-027</t>
        </is>
      </c>
      <c r="C149" s="34" t="inlineStr">
        <is>
          <t>Cost Account = CA-1027; WBS Code = 1.1.1</t>
        </is>
      </c>
      <c r="D149" s="34" t="inlineStr">
        <is>
          <t>Proposed by Source assignment; target 1.1.1 Guideway and Civil - Guideway Structures</t>
        </is>
      </c>
      <c r="E149" s="34" t="inlineStr">
        <is>
          <t>None recorded</t>
        </is>
      </c>
      <c r="F149" s="34" t="inlineStr">
        <is>
          <t>No individual professional decision recorded; Source assignment -- not individually reviewed</t>
        </is>
      </c>
      <c r="G149" s="34" t="inlineStr">
        <is>
          <t>Not individually decided</t>
        </is>
      </c>
      <c r="H149" s="34" t="inlineStr">
        <is>
          <t xml:space="preserve">APPROVED / ONE_TO_ONE; </t>
        </is>
      </c>
      <c r="I149" s="34" t="inlineStr">
        <is>
          <t>New</t>
        </is>
      </c>
      <c r="J149" s="92" t="inlineStr">
        <is>
          <t>08 CROSSWALK</t>
        </is>
      </c>
    </row>
    <row r="150" ht="49" customHeight="1">
      <c r="A150" s="34" t="inlineStr">
        <is>
          <t>R1111-v1</t>
        </is>
      </c>
      <c r="B150" s="34" t="inlineStr">
        <is>
          <t>Cost &amp; Forecast Control Accounts / CST-01-029</t>
        </is>
      </c>
      <c r="C150" s="34" t="inlineStr">
        <is>
          <t>Cost Account = CA-1029; WBS Code = 1.1.1</t>
        </is>
      </c>
      <c r="D150" s="34" t="inlineStr">
        <is>
          <t>Proposed by Source assignment; target 1.1.1 Guideway and Civil - Guideway Structures</t>
        </is>
      </c>
      <c r="E150" s="34" t="inlineStr">
        <is>
          <t>None recorded</t>
        </is>
      </c>
      <c r="F150" s="34" t="inlineStr">
        <is>
          <t>No individual professional decision recorded; Source assignment -- not individually reviewed</t>
        </is>
      </c>
      <c r="G150" s="34" t="inlineStr">
        <is>
          <t>Not individually decided</t>
        </is>
      </c>
      <c r="H150" s="34" t="inlineStr">
        <is>
          <t xml:space="preserve">APPROVED / ONE_TO_ONE; </t>
        </is>
      </c>
      <c r="I150" s="34" t="inlineStr">
        <is>
          <t>New</t>
        </is>
      </c>
      <c r="J150" s="92" t="inlineStr">
        <is>
          <t>08 CROSSWALK</t>
        </is>
      </c>
    </row>
    <row r="151" ht="49" customHeight="1">
      <c r="A151" s="34" t="inlineStr">
        <is>
          <t>R1113-v1</t>
        </is>
      </c>
      <c r="B151" s="34" t="inlineStr">
        <is>
          <t>Cost &amp; Forecast Control Accounts / CST-01-031</t>
        </is>
      </c>
      <c r="C151" s="34" t="inlineStr">
        <is>
          <t>Cost Account = CA-1031; WBS Code = 1.1.1</t>
        </is>
      </c>
      <c r="D151" s="34" t="inlineStr">
        <is>
          <t>Proposed by Source assignment; target 1.1.1 Guideway and Civil - Guideway Structures</t>
        </is>
      </c>
      <c r="E151" s="34" t="inlineStr">
        <is>
          <t>None recorded</t>
        </is>
      </c>
      <c r="F151" s="34" t="inlineStr">
        <is>
          <t>No individual professional decision recorded; Source assignment -- not individually reviewed</t>
        </is>
      </c>
      <c r="G151" s="34" t="inlineStr">
        <is>
          <t>Not individually decided</t>
        </is>
      </c>
      <c r="H151" s="34" t="inlineStr">
        <is>
          <t xml:space="preserve">APPROVED / ONE_TO_ONE; </t>
        </is>
      </c>
      <c r="I151" s="34" t="inlineStr">
        <is>
          <t>New</t>
        </is>
      </c>
      <c r="J151" s="92" t="inlineStr">
        <is>
          <t>08 CROSSWALK</t>
        </is>
      </c>
    </row>
    <row r="152" ht="49" customHeight="1">
      <c r="A152" s="34" t="inlineStr">
        <is>
          <t>R1115-v1</t>
        </is>
      </c>
      <c r="B152" s="34" t="inlineStr">
        <is>
          <t>Cost &amp; Forecast Control Accounts / CST-01-033</t>
        </is>
      </c>
      <c r="C152" s="34" t="inlineStr">
        <is>
          <t>Cost Account = CA-1033; WBS Code = 1.1.1</t>
        </is>
      </c>
      <c r="D152" s="34" t="inlineStr">
        <is>
          <t>Proposed by Source assignment; target 1.1.1 Guideway and Civil - Guideway Structures</t>
        </is>
      </c>
      <c r="E152" s="34" t="inlineStr">
        <is>
          <t>None recorded</t>
        </is>
      </c>
      <c r="F152" s="34" t="inlineStr">
        <is>
          <t>No individual professional decision recorded; Source assignment -- not individually reviewed</t>
        </is>
      </c>
      <c r="G152" s="34" t="inlineStr">
        <is>
          <t>Not individually decided</t>
        </is>
      </c>
      <c r="H152" s="34" t="inlineStr">
        <is>
          <t xml:space="preserve">APPROVED / ONE_TO_ONE; </t>
        </is>
      </c>
      <c r="I152" s="34" t="inlineStr">
        <is>
          <t>New</t>
        </is>
      </c>
      <c r="J152" s="92" t="inlineStr">
        <is>
          <t>08 CROSSWALK</t>
        </is>
      </c>
    </row>
    <row r="153" ht="49" customHeight="1">
      <c r="A153" s="34" t="inlineStr">
        <is>
          <t>R1117-v1</t>
        </is>
      </c>
      <c r="B153" s="34" t="inlineStr">
        <is>
          <t>Cost &amp; Forecast Control Accounts / CST-01-035</t>
        </is>
      </c>
      <c r="C153" s="34" t="inlineStr">
        <is>
          <t>Cost Account = CA-1035; WBS Code = 1.1.1</t>
        </is>
      </c>
      <c r="D153" s="34" t="inlineStr">
        <is>
          <t>Proposed by Source assignment; target 1.1.1 Guideway and Civil - Guideway Structures</t>
        </is>
      </c>
      <c r="E153" s="34" t="inlineStr">
        <is>
          <t>None recorded</t>
        </is>
      </c>
      <c r="F153" s="34" t="inlineStr">
        <is>
          <t>No individual professional decision recorded; Source assignment -- not individually reviewed</t>
        </is>
      </c>
      <c r="G153" s="34" t="inlineStr">
        <is>
          <t>Not individually decided</t>
        </is>
      </c>
      <c r="H153" s="34" t="inlineStr">
        <is>
          <t xml:space="preserve">APPROVED / ONE_TO_ONE; </t>
        </is>
      </c>
      <c r="I153" s="34" t="inlineStr">
        <is>
          <t>New</t>
        </is>
      </c>
      <c r="J153" s="92" t="inlineStr">
        <is>
          <t>08 CROSSWALK</t>
        </is>
      </c>
    </row>
    <row r="154" ht="49" customHeight="1">
      <c r="A154" s="34" t="inlineStr">
        <is>
          <t>R1119-v1</t>
        </is>
      </c>
      <c r="B154" s="34" t="inlineStr">
        <is>
          <t>Cost &amp; Forecast Control Accounts / CST-01-037</t>
        </is>
      </c>
      <c r="C154" s="34" t="inlineStr">
        <is>
          <t>Cost Account = CA-1037; WBS Code = 1.1.1</t>
        </is>
      </c>
      <c r="D154" s="34" t="inlineStr">
        <is>
          <t>Proposed by Source assignment; target 1.1.1 Guideway and Civil - Guideway Structures</t>
        </is>
      </c>
      <c r="E154" s="34" t="inlineStr">
        <is>
          <t>None recorded</t>
        </is>
      </c>
      <c r="F154" s="34" t="inlineStr">
        <is>
          <t>No individual professional decision recorded; Source assignment -- not individually reviewed</t>
        </is>
      </c>
      <c r="G154" s="34" t="inlineStr">
        <is>
          <t>Not individually decided</t>
        </is>
      </c>
      <c r="H154" s="34" t="inlineStr">
        <is>
          <t xml:space="preserve">APPROVED / ONE_TO_ONE; </t>
        </is>
      </c>
      <c r="I154" s="34" t="inlineStr">
        <is>
          <t>New</t>
        </is>
      </c>
      <c r="J154" s="92" t="inlineStr">
        <is>
          <t>08 CROSSWALK</t>
        </is>
      </c>
    </row>
    <row r="155" ht="49" customHeight="1">
      <c r="A155" s="34" t="inlineStr">
        <is>
          <t>R1121-v1</t>
        </is>
      </c>
      <c r="B155" s="34" t="inlineStr">
        <is>
          <t>Cost &amp; Forecast Control Accounts / CST-01-039</t>
        </is>
      </c>
      <c r="C155" s="34" t="inlineStr">
        <is>
          <t>Cost Account = CA-1039; WBS Code = 1.1.1</t>
        </is>
      </c>
      <c r="D155" s="34" t="inlineStr">
        <is>
          <t>Proposed by Source assignment; target 1.1.1 Guideway and Civil - Guideway Structures</t>
        </is>
      </c>
      <c r="E155" s="34" t="inlineStr">
        <is>
          <t>None recorded</t>
        </is>
      </c>
      <c r="F155" s="34" t="inlineStr">
        <is>
          <t>No individual professional decision recorded; Source assignment -- not individually reviewed</t>
        </is>
      </c>
      <c r="G155" s="34" t="inlineStr">
        <is>
          <t>Not individually decided</t>
        </is>
      </c>
      <c r="H155" s="34" t="inlineStr">
        <is>
          <t xml:space="preserve">APPROVED / ONE_TO_ONE; </t>
        </is>
      </c>
      <c r="I155" s="34" t="inlineStr">
        <is>
          <t>New</t>
        </is>
      </c>
      <c r="J155" s="92" t="inlineStr">
        <is>
          <t>08 CROSSWALK</t>
        </is>
      </c>
    </row>
    <row r="156" ht="49" customHeight="1">
      <c r="A156" s="34" t="inlineStr">
        <is>
          <t>R1123-v1</t>
        </is>
      </c>
      <c r="B156" s="34" t="inlineStr">
        <is>
          <t>Cost &amp; Forecast Control Accounts / CST-01-041</t>
        </is>
      </c>
      <c r="C156" s="34" t="inlineStr">
        <is>
          <t>Cost Account = CA-1041; WBS Code = 1.1.1</t>
        </is>
      </c>
      <c r="D156" s="34" t="inlineStr">
        <is>
          <t>Proposed by Source assignment; target 1.1.1 Guideway and Civil - Guideway Structures</t>
        </is>
      </c>
      <c r="E156" s="34" t="inlineStr">
        <is>
          <t>None recorded</t>
        </is>
      </c>
      <c r="F156" s="34" t="inlineStr">
        <is>
          <t>No individual professional decision recorded; Source assignment -- not individually reviewed</t>
        </is>
      </c>
      <c r="G156" s="34" t="inlineStr">
        <is>
          <t>Not individually decided</t>
        </is>
      </c>
      <c r="H156" s="34" t="inlineStr">
        <is>
          <t xml:space="preserve">APPROVED / ONE_TO_ONE; </t>
        </is>
      </c>
      <c r="I156" s="34" t="inlineStr">
        <is>
          <t>New</t>
        </is>
      </c>
      <c r="J156" s="92" t="inlineStr">
        <is>
          <t>08 CROSSWALK</t>
        </is>
      </c>
    </row>
    <row r="157" ht="49" customHeight="1">
      <c r="A157" s="34" t="inlineStr">
        <is>
          <t>R1125-v1</t>
        </is>
      </c>
      <c r="B157" s="34" t="inlineStr">
        <is>
          <t>Cost &amp; Forecast Control Accounts / CST-01-043</t>
        </is>
      </c>
      <c r="C157" s="34" t="inlineStr">
        <is>
          <t>Cost Account = CA-1043; WBS Code = 1.1.1</t>
        </is>
      </c>
      <c r="D157" s="34" t="inlineStr">
        <is>
          <t>Proposed by Source assignment; target 1.1.1 Guideway and Civil - Guideway Structures</t>
        </is>
      </c>
      <c r="E157" s="34" t="inlineStr">
        <is>
          <t>None recorded</t>
        </is>
      </c>
      <c r="F157" s="34" t="inlineStr">
        <is>
          <t>No individual professional decision recorded; Source assignment -- not individually reviewed</t>
        </is>
      </c>
      <c r="G157" s="34" t="inlineStr">
        <is>
          <t>Not individually decided</t>
        </is>
      </c>
      <c r="H157" s="34" t="inlineStr">
        <is>
          <t xml:space="preserve">APPROVED / ONE_TO_ONE; </t>
        </is>
      </c>
      <c r="I157" s="34" t="inlineStr">
        <is>
          <t>New</t>
        </is>
      </c>
      <c r="J157" s="92" t="inlineStr">
        <is>
          <t>08 CROSSWALK</t>
        </is>
      </c>
    </row>
    <row r="158" ht="49" customHeight="1">
      <c r="A158" s="34" t="inlineStr">
        <is>
          <t>R1127-v1</t>
        </is>
      </c>
      <c r="B158" s="34" t="inlineStr">
        <is>
          <t>Cost &amp; Forecast Control Accounts / CST-01-045</t>
        </is>
      </c>
      <c r="C158" s="34" t="inlineStr">
        <is>
          <t>Cost Account = CA-1045; WBS Code = 1.1.1</t>
        </is>
      </c>
      <c r="D158" s="34" t="inlineStr">
        <is>
          <t>Proposed by Source assignment; target 1.1.1 Guideway and Civil - Guideway Structures</t>
        </is>
      </c>
      <c r="E158" s="34" t="inlineStr">
        <is>
          <t>None recorded</t>
        </is>
      </c>
      <c r="F158" s="34" t="inlineStr">
        <is>
          <t>No individual professional decision recorded; Source assignment -- not individually reviewed</t>
        </is>
      </c>
      <c r="G158" s="34" t="inlineStr">
        <is>
          <t>Not individually decided</t>
        </is>
      </c>
      <c r="H158" s="34" t="inlineStr">
        <is>
          <t xml:space="preserve">APPROVED / ONE_TO_ONE; </t>
        </is>
      </c>
      <c r="I158" s="34" t="inlineStr">
        <is>
          <t>New</t>
        </is>
      </c>
      <c r="J158" s="92" t="inlineStr">
        <is>
          <t>08 CROSSWALK</t>
        </is>
      </c>
    </row>
    <row r="159" ht="49" customHeight="1">
      <c r="A159" s="34" t="inlineStr">
        <is>
          <t>R1129-v1</t>
        </is>
      </c>
      <c r="B159" s="34" t="inlineStr">
        <is>
          <t>Cost &amp; Forecast Control Accounts / CST-01-047</t>
        </is>
      </c>
      <c r="C159" s="34" t="inlineStr">
        <is>
          <t>Cost Account = CA-1047; WBS Code = 1.1.1</t>
        </is>
      </c>
      <c r="D159" s="34" t="inlineStr">
        <is>
          <t>Proposed by Source assignment; target 1.1.1 Guideway and Civil - Guideway Structures</t>
        </is>
      </c>
      <c r="E159" s="34" t="inlineStr">
        <is>
          <t>None recorded</t>
        </is>
      </c>
      <c r="F159" s="34" t="inlineStr">
        <is>
          <t>No individual professional decision recorded; Source assignment -- not individually reviewed</t>
        </is>
      </c>
      <c r="G159" s="34" t="inlineStr">
        <is>
          <t>Not individually decided</t>
        </is>
      </c>
      <c r="H159" s="34" t="inlineStr">
        <is>
          <t xml:space="preserve">APPROVED / ONE_TO_ONE; </t>
        </is>
      </c>
      <c r="I159" s="34" t="inlineStr">
        <is>
          <t>New</t>
        </is>
      </c>
      <c r="J159" s="92" t="inlineStr">
        <is>
          <t>08 CROSSWALK</t>
        </is>
      </c>
    </row>
    <row r="160" ht="49" customHeight="1">
      <c r="A160" s="34" t="inlineStr">
        <is>
          <t>R1131-v1</t>
        </is>
      </c>
      <c r="B160" s="34" t="inlineStr">
        <is>
          <t>Cost &amp; Forecast Control Accounts / CST-01-049</t>
        </is>
      </c>
      <c r="C160" s="34" t="inlineStr">
        <is>
          <t>Cost Account = CA-1049; WBS Code = 1.1.1</t>
        </is>
      </c>
      <c r="D160" s="34" t="inlineStr">
        <is>
          <t>Proposed by Source assignment; target 1.1.1 Guideway and Civil - Guideway Structures</t>
        </is>
      </c>
      <c r="E160" s="34" t="inlineStr">
        <is>
          <t>None recorded</t>
        </is>
      </c>
      <c r="F160" s="34" t="inlineStr">
        <is>
          <t>No individual professional decision recorded; Source assignment -- not individually reviewed</t>
        </is>
      </c>
      <c r="G160" s="34" t="inlineStr">
        <is>
          <t>Not individually decided</t>
        </is>
      </c>
      <c r="H160" s="34" t="inlineStr">
        <is>
          <t xml:space="preserve">APPROVED / ONE_TO_ONE; </t>
        </is>
      </c>
      <c r="I160" s="34" t="inlineStr">
        <is>
          <t>New</t>
        </is>
      </c>
      <c r="J160" s="92" t="inlineStr">
        <is>
          <t>08 CROSSWALK</t>
        </is>
      </c>
    </row>
    <row r="161" ht="49" customHeight="1">
      <c r="A161" s="34" t="inlineStr">
        <is>
          <t>R1133-v1</t>
        </is>
      </c>
      <c r="B161" s="34" t="inlineStr">
        <is>
          <t>Cost &amp; Forecast Control Accounts / CST-01-051</t>
        </is>
      </c>
      <c r="C161" s="34" t="inlineStr">
        <is>
          <t>Cost Account = CA-1051; WBS Code = 1.1.1</t>
        </is>
      </c>
      <c r="D161" s="34" t="inlineStr">
        <is>
          <t>Proposed by Source assignment; target 1.1.1 Guideway and Civil - Guideway Structures</t>
        </is>
      </c>
      <c r="E161" s="34" t="inlineStr">
        <is>
          <t>None recorded</t>
        </is>
      </c>
      <c r="F161" s="34" t="inlineStr">
        <is>
          <t>No individual professional decision recorded; Source assignment -- not individually reviewed</t>
        </is>
      </c>
      <c r="G161" s="34" t="inlineStr">
        <is>
          <t>Not individually decided</t>
        </is>
      </c>
      <c r="H161" s="34" t="inlineStr">
        <is>
          <t xml:space="preserve">APPROVED / ONE_TO_ONE; </t>
        </is>
      </c>
      <c r="I161" s="34" t="inlineStr">
        <is>
          <t>New</t>
        </is>
      </c>
      <c r="J161" s="92" t="inlineStr">
        <is>
          <t>08 CROSSWALK</t>
        </is>
      </c>
    </row>
    <row r="162" ht="49" customHeight="1">
      <c r="A162" s="34" t="inlineStr">
        <is>
          <t>R1135-v1</t>
        </is>
      </c>
      <c r="B162" s="34" t="inlineStr">
        <is>
          <t>Cost &amp; Forecast Control Accounts / CST-01-053</t>
        </is>
      </c>
      <c r="C162" s="34" t="inlineStr">
        <is>
          <t>Cost Account = CA-1053; WBS Code = 1.1.1</t>
        </is>
      </c>
      <c r="D162" s="34" t="inlineStr">
        <is>
          <t>Proposed by Source assignment; target 1.1.1 Guideway and Civil - Guideway Structures</t>
        </is>
      </c>
      <c r="E162" s="34" t="inlineStr">
        <is>
          <t>None recorded</t>
        </is>
      </c>
      <c r="F162" s="34" t="inlineStr">
        <is>
          <t>No individual professional decision recorded; Source assignment -- not individually reviewed</t>
        </is>
      </c>
      <c r="G162" s="34" t="inlineStr">
        <is>
          <t>Not individually decided</t>
        </is>
      </c>
      <c r="H162" s="34" t="inlineStr">
        <is>
          <t xml:space="preserve">APPROVED / ONE_TO_ONE; </t>
        </is>
      </c>
      <c r="I162" s="34" t="inlineStr">
        <is>
          <t>New</t>
        </is>
      </c>
      <c r="J162" s="92" t="inlineStr">
        <is>
          <t>08 CROSSWALK</t>
        </is>
      </c>
    </row>
    <row r="163" ht="49" customHeight="1">
      <c r="A163" s="34" t="inlineStr">
        <is>
          <t>R1137-v1</t>
        </is>
      </c>
      <c r="B163" s="34" t="inlineStr">
        <is>
          <t>Cost &amp; Forecast Control Accounts / CST-01-055</t>
        </is>
      </c>
      <c r="C163" s="34" t="inlineStr">
        <is>
          <t>Cost Account = CA-1055; WBS Code = 1.1.1</t>
        </is>
      </c>
      <c r="D163" s="34" t="inlineStr">
        <is>
          <t>Proposed by Source assignment; target 1.1.1 Guideway and Civil - Guideway Structures</t>
        </is>
      </c>
      <c r="E163" s="34" t="inlineStr">
        <is>
          <t>None recorded</t>
        </is>
      </c>
      <c r="F163" s="34" t="inlineStr">
        <is>
          <t>No individual professional decision recorded; Source assignment -- not individually reviewed</t>
        </is>
      </c>
      <c r="G163" s="34" t="inlineStr">
        <is>
          <t>Not individually decided</t>
        </is>
      </c>
      <c r="H163" s="34" t="inlineStr">
        <is>
          <t xml:space="preserve">APPROVED / ONE_TO_ONE; </t>
        </is>
      </c>
      <c r="I163" s="34" t="inlineStr">
        <is>
          <t>New</t>
        </is>
      </c>
      <c r="J163" s="92" t="inlineStr">
        <is>
          <t>08 CROSSWALK</t>
        </is>
      </c>
    </row>
    <row r="164" ht="49" customHeight="1">
      <c r="A164" s="34" t="inlineStr">
        <is>
          <t>R1139-v1</t>
        </is>
      </c>
      <c r="B164" s="34" t="inlineStr">
        <is>
          <t>Cost &amp; Forecast Control Accounts / CST-01-057</t>
        </is>
      </c>
      <c r="C164" s="34" t="inlineStr">
        <is>
          <t>Cost Account = CA-1057; WBS Code = 1.1.1</t>
        </is>
      </c>
      <c r="D164" s="34" t="inlineStr">
        <is>
          <t>Proposed by Source assignment; target 1.1.1 Guideway and Civil - Guideway Structures</t>
        </is>
      </c>
      <c r="E164" s="34" t="inlineStr">
        <is>
          <t>None recorded</t>
        </is>
      </c>
      <c r="F164" s="34" t="inlineStr">
        <is>
          <t>No individual professional decision recorded; Source assignment -- not individually reviewed</t>
        </is>
      </c>
      <c r="G164" s="34" t="inlineStr">
        <is>
          <t>Not individually decided</t>
        </is>
      </c>
      <c r="H164" s="34" t="inlineStr">
        <is>
          <t xml:space="preserve">APPROVED / ONE_TO_ONE; </t>
        </is>
      </c>
      <c r="I164" s="34" t="inlineStr">
        <is>
          <t>New</t>
        </is>
      </c>
      <c r="J164" s="92" t="inlineStr">
        <is>
          <t>08 CROSSWALK</t>
        </is>
      </c>
    </row>
    <row r="165" ht="49" customHeight="1">
      <c r="A165" s="34" t="inlineStr">
        <is>
          <t>R1141-v1</t>
        </is>
      </c>
      <c r="B165" s="34" t="inlineStr">
        <is>
          <t>Cost &amp; Forecast Control Accounts / CST-01-059</t>
        </is>
      </c>
      <c r="C165" s="34" t="inlineStr">
        <is>
          <t>Cost Account = CA-1059; WBS Code = 1.1.1</t>
        </is>
      </c>
      <c r="D165" s="34" t="inlineStr">
        <is>
          <t>Proposed by Source assignment; target 1.1.1 Guideway and Civil - Guideway Structures</t>
        </is>
      </c>
      <c r="E165" s="34" t="inlineStr">
        <is>
          <t>None recorded</t>
        </is>
      </c>
      <c r="F165" s="34" t="inlineStr">
        <is>
          <t>No individual professional decision recorded; Source assignment -- not individually reviewed</t>
        </is>
      </c>
      <c r="G165" s="34" t="inlineStr">
        <is>
          <t>Not individually decided</t>
        </is>
      </c>
      <c r="H165" s="34" t="inlineStr">
        <is>
          <t xml:space="preserve">APPROVED / ONE_TO_ONE; </t>
        </is>
      </c>
      <c r="I165" s="34" t="inlineStr">
        <is>
          <t>New</t>
        </is>
      </c>
      <c r="J165" s="92" t="inlineStr">
        <is>
          <t>08 CROSSWALK</t>
        </is>
      </c>
    </row>
    <row r="166" ht="49" customHeight="1">
      <c r="A166" s="34" t="inlineStr">
        <is>
          <t>R1143-v1</t>
        </is>
      </c>
      <c r="B166" s="34" t="inlineStr">
        <is>
          <t>Cost &amp; Forecast Control Accounts / CST-01-061</t>
        </is>
      </c>
      <c r="C166" s="34" t="inlineStr">
        <is>
          <t>Cost Account = CA-1061; WBS Code = 1.1.1</t>
        </is>
      </c>
      <c r="D166" s="34" t="inlineStr">
        <is>
          <t>Proposed by Source assignment; target 1.1.1 Guideway and Civil - Guideway Structures</t>
        </is>
      </c>
      <c r="E166" s="34" t="inlineStr">
        <is>
          <t>None recorded</t>
        </is>
      </c>
      <c r="F166" s="34" t="inlineStr">
        <is>
          <t>No individual professional decision recorded; Source assignment -- not individually reviewed</t>
        </is>
      </c>
      <c r="G166" s="34" t="inlineStr">
        <is>
          <t>Not individually decided</t>
        </is>
      </c>
      <c r="H166" s="34" t="inlineStr">
        <is>
          <t xml:space="preserve">APPROVED / ONE_TO_ONE; </t>
        </is>
      </c>
      <c r="I166" s="34" t="inlineStr">
        <is>
          <t>New</t>
        </is>
      </c>
      <c r="J166" s="92" t="inlineStr">
        <is>
          <t>08 CROSSWALK</t>
        </is>
      </c>
    </row>
    <row r="167" ht="49" customHeight="1">
      <c r="A167" s="34" t="inlineStr">
        <is>
          <t>R1145-v1</t>
        </is>
      </c>
      <c r="B167" s="34" t="inlineStr">
        <is>
          <t>Cost &amp; Forecast Control Accounts / CST-01-063</t>
        </is>
      </c>
      <c r="C167" s="34" t="inlineStr">
        <is>
          <t>Cost Account = CA-1063; WBS Code = 1.1.1</t>
        </is>
      </c>
      <c r="D167" s="34" t="inlineStr">
        <is>
          <t>Proposed by Source assignment; target 1.1.1 Guideway and Civil - Guideway Structures</t>
        </is>
      </c>
      <c r="E167" s="34" t="inlineStr">
        <is>
          <t>None recorded</t>
        </is>
      </c>
      <c r="F167" s="34" t="inlineStr">
        <is>
          <t>No individual professional decision recorded; Source assignment -- not individually reviewed</t>
        </is>
      </c>
      <c r="G167" s="34" t="inlineStr">
        <is>
          <t>Not individually decided</t>
        </is>
      </c>
      <c r="H167" s="34" t="inlineStr">
        <is>
          <t xml:space="preserve">APPROVED / ONE_TO_ONE; </t>
        </is>
      </c>
      <c r="I167" s="34" t="inlineStr">
        <is>
          <t>New</t>
        </is>
      </c>
      <c r="J167" s="92" t="inlineStr">
        <is>
          <t>08 CROSSWALK</t>
        </is>
      </c>
    </row>
    <row r="168" ht="49" customHeight="1">
      <c r="A168" s="34" t="inlineStr">
        <is>
          <t>R1147-v1</t>
        </is>
      </c>
      <c r="B168" s="34" t="inlineStr">
        <is>
          <t>Cost &amp; Forecast Control Accounts / CST-01-065</t>
        </is>
      </c>
      <c r="C168" s="34" t="inlineStr">
        <is>
          <t>Cost Account = CA-1065; WBS Code = 1.1.1</t>
        </is>
      </c>
      <c r="D168" s="34" t="inlineStr">
        <is>
          <t>Proposed by Source assignment; target 1.1.1 Guideway and Civil - Guideway Structures</t>
        </is>
      </c>
      <c r="E168" s="34" t="inlineStr">
        <is>
          <t>None recorded</t>
        </is>
      </c>
      <c r="F168" s="34" t="inlineStr">
        <is>
          <t>No individual professional decision recorded; Source assignment -- not individually reviewed</t>
        </is>
      </c>
      <c r="G168" s="34" t="inlineStr">
        <is>
          <t>Not individually decided</t>
        </is>
      </c>
      <c r="H168" s="34" t="inlineStr">
        <is>
          <t xml:space="preserve">APPROVED / ONE_TO_ONE; </t>
        </is>
      </c>
      <c r="I168" s="34" t="inlineStr">
        <is>
          <t>New</t>
        </is>
      </c>
      <c r="J168" s="92" t="inlineStr">
        <is>
          <t>08 CROSSWALK</t>
        </is>
      </c>
    </row>
    <row r="169" ht="49" customHeight="1">
      <c r="A169" s="34" t="inlineStr">
        <is>
          <t>R1149-v1</t>
        </is>
      </c>
      <c r="B169" s="34" t="inlineStr">
        <is>
          <t>Cost &amp; Forecast Control Accounts / CST-01-067</t>
        </is>
      </c>
      <c r="C169" s="34" t="inlineStr">
        <is>
          <t>Cost Account = CA-1067; WBS Code = 1.1.1</t>
        </is>
      </c>
      <c r="D169" s="34" t="inlineStr">
        <is>
          <t>Proposed by Source assignment; target 1.1.1 Guideway and Civil - Guideway Structures</t>
        </is>
      </c>
      <c r="E169" s="34" t="inlineStr">
        <is>
          <t>None recorded</t>
        </is>
      </c>
      <c r="F169" s="34" t="inlineStr">
        <is>
          <t>No individual professional decision recorded; Source assignment -- not individually reviewed</t>
        </is>
      </c>
      <c r="G169" s="34" t="inlineStr">
        <is>
          <t>Not individually decided</t>
        </is>
      </c>
      <c r="H169" s="34" t="inlineStr">
        <is>
          <t xml:space="preserve">APPROVED / ONE_TO_ONE; </t>
        </is>
      </c>
      <c r="I169" s="34" t="inlineStr">
        <is>
          <t>New</t>
        </is>
      </c>
      <c r="J169" s="92" t="inlineStr">
        <is>
          <t>08 CROSSWALK</t>
        </is>
      </c>
    </row>
    <row r="170" ht="49" customHeight="1">
      <c r="A170" s="34" t="inlineStr">
        <is>
          <t>R1151-v1</t>
        </is>
      </c>
      <c r="B170" s="34" t="inlineStr">
        <is>
          <t>Cost &amp; Forecast Control Accounts / CST-01-069</t>
        </is>
      </c>
      <c r="C170" s="34" t="inlineStr">
        <is>
          <t>Cost Account = CA-1069; WBS Code = 1.1.1</t>
        </is>
      </c>
      <c r="D170" s="34" t="inlineStr">
        <is>
          <t>Proposed by Source assignment; target 1.1.1 Guideway and Civil - Guideway Structures</t>
        </is>
      </c>
      <c r="E170" s="34" t="inlineStr">
        <is>
          <t>None recorded</t>
        </is>
      </c>
      <c r="F170" s="34" t="inlineStr">
        <is>
          <t>No individual professional decision recorded; Source assignment -- not individually reviewed</t>
        </is>
      </c>
      <c r="G170" s="34" t="inlineStr">
        <is>
          <t>Not individually decided</t>
        </is>
      </c>
      <c r="H170" s="34" t="inlineStr">
        <is>
          <t xml:space="preserve">APPROVED / ONE_TO_ONE; </t>
        </is>
      </c>
      <c r="I170" s="34" t="inlineStr">
        <is>
          <t>New</t>
        </is>
      </c>
      <c r="J170" s="92" t="inlineStr">
        <is>
          <t>08 CROSSWALK</t>
        </is>
      </c>
    </row>
    <row r="171" ht="49" customHeight="1">
      <c r="A171" s="34" t="inlineStr">
        <is>
          <t>R1153-v1</t>
        </is>
      </c>
      <c r="B171" s="34" t="inlineStr">
        <is>
          <t>Cost &amp; Forecast Control Accounts / CST-01-071</t>
        </is>
      </c>
      <c r="C171" s="34" t="inlineStr">
        <is>
          <t>Cost Account = CA-1071; WBS Code = 1.1.1</t>
        </is>
      </c>
      <c r="D171" s="34" t="inlineStr">
        <is>
          <t>Proposed by Source assignment; target 1.1.1 Guideway and Civil - Guideway Structures</t>
        </is>
      </c>
      <c r="E171" s="34" t="inlineStr">
        <is>
          <t>None recorded</t>
        </is>
      </c>
      <c r="F171" s="34" t="inlineStr">
        <is>
          <t>No individual professional decision recorded; Source assignment -- not individually reviewed</t>
        </is>
      </c>
      <c r="G171" s="34" t="inlineStr">
        <is>
          <t>Not individually decided</t>
        </is>
      </c>
      <c r="H171" s="34" t="inlineStr">
        <is>
          <t xml:space="preserve">APPROVED / ONE_TO_ONE; </t>
        </is>
      </c>
      <c r="I171" s="34" t="inlineStr">
        <is>
          <t>New</t>
        </is>
      </c>
      <c r="J171" s="92" t="inlineStr">
        <is>
          <t>08 CROSSWALK</t>
        </is>
      </c>
    </row>
    <row r="172" ht="49" customHeight="1">
      <c r="A172" s="34" t="inlineStr">
        <is>
          <t>R1155-v1</t>
        </is>
      </c>
      <c r="B172" s="34" t="inlineStr">
        <is>
          <t>Cost &amp; Forecast Control Accounts / CST-01-073</t>
        </is>
      </c>
      <c r="C172" s="34" t="inlineStr">
        <is>
          <t>Cost Account = CA-1073; WBS Code = 1.1.1</t>
        </is>
      </c>
      <c r="D172" s="34" t="inlineStr">
        <is>
          <t>Proposed by Source assignment; target 1.1.1 Guideway and Civil - Guideway Structures</t>
        </is>
      </c>
      <c r="E172" s="34" t="inlineStr">
        <is>
          <t>None recorded</t>
        </is>
      </c>
      <c r="F172" s="34" t="inlineStr">
        <is>
          <t>No individual professional decision recorded; Source assignment -- not individually reviewed</t>
        </is>
      </c>
      <c r="G172" s="34" t="inlineStr">
        <is>
          <t>Not individually decided</t>
        </is>
      </c>
      <c r="H172" s="34" t="inlineStr">
        <is>
          <t xml:space="preserve">APPROVED / ONE_TO_ONE; </t>
        </is>
      </c>
      <c r="I172" s="34" t="inlineStr">
        <is>
          <t>New</t>
        </is>
      </c>
      <c r="J172" s="92" t="inlineStr">
        <is>
          <t>08 CROSSWALK</t>
        </is>
      </c>
    </row>
    <row r="173" ht="49" customHeight="1">
      <c r="A173" s="34" t="inlineStr">
        <is>
          <t>R1157-v1</t>
        </is>
      </c>
      <c r="B173" s="34" t="inlineStr">
        <is>
          <t>Cost &amp; Forecast Control Accounts / CST-01-075</t>
        </is>
      </c>
      <c r="C173" s="34" t="inlineStr">
        <is>
          <t>Cost Account = CA-1075; WBS Code = 1.1.1</t>
        </is>
      </c>
      <c r="D173" s="34" t="inlineStr">
        <is>
          <t>Proposed by Source assignment; target 1.1.1 Guideway and Civil - Guideway Structures</t>
        </is>
      </c>
      <c r="E173" s="34" t="inlineStr">
        <is>
          <t>None recorded</t>
        </is>
      </c>
      <c r="F173" s="34" t="inlineStr">
        <is>
          <t>No individual professional decision recorded; Source assignment -- not individually reviewed</t>
        </is>
      </c>
      <c r="G173" s="34" t="inlineStr">
        <is>
          <t>Not individually decided</t>
        </is>
      </c>
      <c r="H173" s="34" t="inlineStr">
        <is>
          <t xml:space="preserve">APPROVED / ONE_TO_ONE; </t>
        </is>
      </c>
      <c r="I173" s="34" t="inlineStr">
        <is>
          <t>New</t>
        </is>
      </c>
      <c r="J173" s="92" t="inlineStr">
        <is>
          <t>08 CROSSWALK</t>
        </is>
      </c>
    </row>
    <row r="174" ht="49" customHeight="1">
      <c r="A174" s="34" t="inlineStr">
        <is>
          <t>R1159-v1</t>
        </is>
      </c>
      <c r="B174" s="34" t="inlineStr">
        <is>
          <t>Cost &amp; Forecast Control Accounts / CST-01-077</t>
        </is>
      </c>
      <c r="C174" s="34" t="inlineStr">
        <is>
          <t>Cost Account = CA-1077; WBS Code = 1.1.1</t>
        </is>
      </c>
      <c r="D174" s="34" t="inlineStr">
        <is>
          <t>Proposed by Source assignment; target 1.1.1 Guideway and Civil - Guideway Structures</t>
        </is>
      </c>
      <c r="E174" s="34" t="inlineStr">
        <is>
          <t>None recorded</t>
        </is>
      </c>
      <c r="F174" s="34" t="inlineStr">
        <is>
          <t>No individual professional decision recorded; Source assignment -- not individually reviewed</t>
        </is>
      </c>
      <c r="G174" s="34" t="inlineStr">
        <is>
          <t>Not individually decided</t>
        </is>
      </c>
      <c r="H174" s="34" t="inlineStr">
        <is>
          <t xml:space="preserve">APPROVED / ONE_TO_ONE; </t>
        </is>
      </c>
      <c r="I174" s="34" t="inlineStr">
        <is>
          <t>New</t>
        </is>
      </c>
      <c r="J174" s="92" t="inlineStr">
        <is>
          <t>08 CROSSWALK</t>
        </is>
      </c>
    </row>
    <row r="175" ht="49" customHeight="1">
      <c r="A175" s="34" t="inlineStr">
        <is>
          <t>R1161-v1</t>
        </is>
      </c>
      <c r="B175" s="34" t="inlineStr">
        <is>
          <t>Cost &amp; Forecast Control Accounts / CST-01-079</t>
        </is>
      </c>
      <c r="C175" s="34" t="inlineStr">
        <is>
          <t>Cost Account = CA-1079; WBS Code = 1.1.1</t>
        </is>
      </c>
      <c r="D175" s="34" t="inlineStr">
        <is>
          <t>Proposed by Source assignment; target 1.1.1 Guideway and Civil - Guideway Structures</t>
        </is>
      </c>
      <c r="E175" s="34" t="inlineStr">
        <is>
          <t>None recorded</t>
        </is>
      </c>
      <c r="F175" s="34" t="inlineStr">
        <is>
          <t>No individual professional decision recorded; Source assignment -- not individually reviewed</t>
        </is>
      </c>
      <c r="G175" s="34" t="inlineStr">
        <is>
          <t>Not individually decided</t>
        </is>
      </c>
      <c r="H175" s="34" t="inlineStr">
        <is>
          <t xml:space="preserve">APPROVED / ONE_TO_ONE; </t>
        </is>
      </c>
      <c r="I175" s="34" t="inlineStr">
        <is>
          <t>New</t>
        </is>
      </c>
      <c r="J175" s="92" t="inlineStr">
        <is>
          <t>08 CROSSWALK</t>
        </is>
      </c>
    </row>
    <row r="176" ht="49" customHeight="1">
      <c r="A176" s="34" t="inlineStr">
        <is>
          <t>R3-v1</t>
        </is>
      </c>
      <c r="B176" s="34" t="inlineStr">
        <is>
          <t>Contractor Programme / SCH-01-003</t>
        </is>
      </c>
      <c r="C176" s="34" t="inlineStr">
        <is>
          <t>WBS Code = 1.1.2</t>
        </is>
      </c>
      <c r="D176" s="34" t="inlineStr">
        <is>
          <t>Proposed by Source assignment; target 1.1.2 Guideway and Civil - Utility &amp; Roadworks</t>
        </is>
      </c>
      <c r="E176" s="34" t="inlineStr">
        <is>
          <t>None recorded</t>
        </is>
      </c>
      <c r="F176" s="34" t="inlineStr">
        <is>
          <t>No individual professional decision recorded; Source assignment -- not individually reviewed</t>
        </is>
      </c>
      <c r="G176" s="34" t="inlineStr">
        <is>
          <t>Not individually decided</t>
        </is>
      </c>
      <c r="H176" s="34" t="inlineStr">
        <is>
          <t xml:space="preserve">APPROVED / ONE_TO_ONE; </t>
        </is>
      </c>
      <c r="I176" s="34" t="inlineStr">
        <is>
          <t>New</t>
        </is>
      </c>
      <c r="J176" s="92" t="inlineStr">
        <is>
          <t>08 CROSSWALK</t>
        </is>
      </c>
    </row>
    <row r="177" ht="49" customHeight="1">
      <c r="A177" s="34" t="inlineStr">
        <is>
          <t>R6-v1</t>
        </is>
      </c>
      <c r="B177" s="34" t="inlineStr">
        <is>
          <t>Contractor Programme / SCH-01-006</t>
        </is>
      </c>
      <c r="C177" s="34" t="inlineStr">
        <is>
          <t>WBS Code = 1.1.2</t>
        </is>
      </c>
      <c r="D177" s="34" t="inlineStr">
        <is>
          <t>Proposed by Source assignment; target 1.1.2 Guideway and Civil - Utility &amp; Roadworks</t>
        </is>
      </c>
      <c r="E177" s="34" t="inlineStr">
        <is>
          <t>None recorded</t>
        </is>
      </c>
      <c r="F177" s="34" t="inlineStr">
        <is>
          <t>No individual professional decision recorded; Source assignment -- not individually reviewed</t>
        </is>
      </c>
      <c r="G177" s="34" t="inlineStr">
        <is>
          <t>Not individually decided</t>
        </is>
      </c>
      <c r="H177" s="34" t="inlineStr">
        <is>
          <t xml:space="preserve">APPROVED / ONE_TO_ONE; </t>
        </is>
      </c>
      <c r="I177" s="34" t="inlineStr">
        <is>
          <t>New</t>
        </is>
      </c>
      <c r="J177" s="92" t="inlineStr">
        <is>
          <t>08 CROSSWALK</t>
        </is>
      </c>
    </row>
    <row r="178" ht="49" customHeight="1">
      <c r="A178" s="34" t="inlineStr">
        <is>
          <t>R9-v1</t>
        </is>
      </c>
      <c r="B178" s="34" t="inlineStr">
        <is>
          <t>Contractor Programme / SCH-01-009</t>
        </is>
      </c>
      <c r="C178" s="34" t="inlineStr">
        <is>
          <t>WBS Code = 1.1.2</t>
        </is>
      </c>
      <c r="D178" s="34" t="inlineStr">
        <is>
          <t>Proposed by Source assignment; target 1.1.2 Guideway and Civil - Utility &amp; Roadworks</t>
        </is>
      </c>
      <c r="E178" s="34" t="inlineStr">
        <is>
          <t>None recorded</t>
        </is>
      </c>
      <c r="F178" s="34" t="inlineStr">
        <is>
          <t>No individual professional decision recorded; Source assignment -- not individually reviewed</t>
        </is>
      </c>
      <c r="G178" s="34" t="inlineStr">
        <is>
          <t>Not individually decided</t>
        </is>
      </c>
      <c r="H178" s="34" t="inlineStr">
        <is>
          <t xml:space="preserve">APPROVED / ONE_TO_ONE; </t>
        </is>
      </c>
      <c r="I178" s="34" t="inlineStr">
        <is>
          <t>New</t>
        </is>
      </c>
      <c r="J178" s="92" t="inlineStr">
        <is>
          <t>08 CROSSWALK</t>
        </is>
      </c>
    </row>
    <row r="179" ht="49" customHeight="1">
      <c r="A179" s="34" t="inlineStr">
        <is>
          <t>R12-v1</t>
        </is>
      </c>
      <c r="B179" s="34" t="inlineStr">
        <is>
          <t>Contractor Programme / SCH-01-012</t>
        </is>
      </c>
      <c r="C179" s="34" t="inlineStr">
        <is>
          <t>WBS Code = 1.1.2</t>
        </is>
      </c>
      <c r="D179" s="34" t="inlineStr">
        <is>
          <t>Proposed by Source assignment; target 1.1.2 Guideway and Civil - Utility &amp; Roadworks</t>
        </is>
      </c>
      <c r="E179" s="34" t="inlineStr">
        <is>
          <t>None recorded</t>
        </is>
      </c>
      <c r="F179" s="34" t="inlineStr">
        <is>
          <t>No individual professional decision recorded; Source assignment -- not individually reviewed</t>
        </is>
      </c>
      <c r="G179" s="34" t="inlineStr">
        <is>
          <t>Not individually decided</t>
        </is>
      </c>
      <c r="H179" s="34" t="inlineStr">
        <is>
          <t xml:space="preserve">APPROVED / ONE_TO_ONE; </t>
        </is>
      </c>
      <c r="I179" s="34" t="inlineStr">
        <is>
          <t>New</t>
        </is>
      </c>
      <c r="J179" s="92" t="inlineStr">
        <is>
          <t>08 CROSSWALK</t>
        </is>
      </c>
    </row>
    <row r="180" ht="49" customHeight="1">
      <c r="A180" s="34" t="inlineStr">
        <is>
          <t>R15-v1</t>
        </is>
      </c>
      <c r="B180" s="34" t="inlineStr">
        <is>
          <t>Contractor Programme / SCH-01-015</t>
        </is>
      </c>
      <c r="C180" s="34" t="inlineStr">
        <is>
          <t>WBS Code = 1.1.2</t>
        </is>
      </c>
      <c r="D180" s="34" t="inlineStr">
        <is>
          <t>Proposed by Source assignment; target 1.1.2 Guideway and Civil - Utility &amp; Roadworks</t>
        </is>
      </c>
      <c r="E180" s="34" t="inlineStr">
        <is>
          <t>None recorded</t>
        </is>
      </c>
      <c r="F180" s="34" t="inlineStr">
        <is>
          <t>No individual professional decision recorded; Source assignment -- not individually reviewed</t>
        </is>
      </c>
      <c r="G180" s="34" t="inlineStr">
        <is>
          <t>Not individually decided</t>
        </is>
      </c>
      <c r="H180" s="34" t="inlineStr">
        <is>
          <t xml:space="preserve">APPROVED / ONE_TO_ONE; </t>
        </is>
      </c>
      <c r="I180" s="34" t="inlineStr">
        <is>
          <t>New</t>
        </is>
      </c>
      <c r="J180" s="92" t="inlineStr">
        <is>
          <t>08 CROSSWALK</t>
        </is>
      </c>
    </row>
    <row r="181" ht="49" customHeight="1">
      <c r="A181" s="34" t="inlineStr">
        <is>
          <t>R18-v1</t>
        </is>
      </c>
      <c r="B181" s="34" t="inlineStr">
        <is>
          <t>Contractor Programme / SCH-01-018</t>
        </is>
      </c>
      <c r="C181" s="34" t="inlineStr">
        <is>
          <t>WBS Code = 1.1.2</t>
        </is>
      </c>
      <c r="D181" s="34" t="inlineStr">
        <is>
          <t>Proposed by Source assignment; target 1.1.2 Guideway and Civil - Utility &amp; Roadworks</t>
        </is>
      </c>
      <c r="E181" s="34" t="inlineStr">
        <is>
          <t>None recorded</t>
        </is>
      </c>
      <c r="F181" s="34" t="inlineStr">
        <is>
          <t>No individual professional decision recorded; Source assignment -- not individually reviewed</t>
        </is>
      </c>
      <c r="G181" s="34" t="inlineStr">
        <is>
          <t>Not individually decided</t>
        </is>
      </c>
      <c r="H181" s="34" t="inlineStr">
        <is>
          <t xml:space="preserve">APPROVED / ONE_TO_ONE; </t>
        </is>
      </c>
      <c r="I181" s="34" t="inlineStr">
        <is>
          <t>New</t>
        </is>
      </c>
      <c r="J181" s="92" t="inlineStr">
        <is>
          <t>08 CROSSWALK</t>
        </is>
      </c>
    </row>
    <row r="182" ht="49" customHeight="1">
      <c r="A182" s="34" t="inlineStr">
        <is>
          <t>R21-v1</t>
        </is>
      </c>
      <c r="B182" s="34" t="inlineStr">
        <is>
          <t>Contractor Programme / SCH-01-021</t>
        </is>
      </c>
      <c r="C182" s="34" t="inlineStr">
        <is>
          <t>WBS Code = 1.1.2</t>
        </is>
      </c>
      <c r="D182" s="34" t="inlineStr">
        <is>
          <t>Proposed by Source assignment; target 1.1.2 Guideway and Civil - Utility &amp; Roadworks</t>
        </is>
      </c>
      <c r="E182" s="34" t="inlineStr">
        <is>
          <t>None recorded</t>
        </is>
      </c>
      <c r="F182" s="34" t="inlineStr">
        <is>
          <t>No individual professional decision recorded; Source assignment -- not individually reviewed</t>
        </is>
      </c>
      <c r="G182" s="34" t="inlineStr">
        <is>
          <t>Not individually decided</t>
        </is>
      </c>
      <c r="H182" s="34" t="inlineStr">
        <is>
          <t xml:space="preserve">APPROVED / ONE_TO_ONE; </t>
        </is>
      </c>
      <c r="I182" s="34" t="inlineStr">
        <is>
          <t>New</t>
        </is>
      </c>
      <c r="J182" s="92" t="inlineStr">
        <is>
          <t>08 CROSSWALK</t>
        </is>
      </c>
    </row>
    <row r="183" ht="49" customHeight="1">
      <c r="A183" s="34" t="inlineStr">
        <is>
          <t>R24-v1</t>
        </is>
      </c>
      <c r="B183" s="34" t="inlineStr">
        <is>
          <t>Contractor Programme / SCH-01-024</t>
        </is>
      </c>
      <c r="C183" s="34" t="inlineStr">
        <is>
          <t>WBS Code = 1.1.2</t>
        </is>
      </c>
      <c r="D183" s="34" t="inlineStr">
        <is>
          <t>Proposed by Source assignment; target 1.1.2 Guideway and Civil - Utility &amp; Roadworks</t>
        </is>
      </c>
      <c r="E183" s="34" t="inlineStr">
        <is>
          <t>None recorded</t>
        </is>
      </c>
      <c r="F183" s="34" t="inlineStr">
        <is>
          <t>No individual professional decision recorded; Source assignment -- not individually reviewed</t>
        </is>
      </c>
      <c r="G183" s="34" t="inlineStr">
        <is>
          <t>Not individually decided</t>
        </is>
      </c>
      <c r="H183" s="34" t="inlineStr">
        <is>
          <t xml:space="preserve">APPROVED / ONE_TO_ONE; </t>
        </is>
      </c>
      <c r="I183" s="34" t="inlineStr">
        <is>
          <t>New</t>
        </is>
      </c>
      <c r="J183" s="92" t="inlineStr">
        <is>
          <t>08 CROSSWALK</t>
        </is>
      </c>
    </row>
    <row r="184" ht="49" customHeight="1">
      <c r="A184" s="34" t="inlineStr">
        <is>
          <t>R27-v1</t>
        </is>
      </c>
      <c r="B184" s="34" t="inlineStr">
        <is>
          <t>Contractor Programme / SCH-01-027</t>
        </is>
      </c>
      <c r="C184" s="34" t="inlineStr">
        <is>
          <t>WBS Code = 1.1.2</t>
        </is>
      </c>
      <c r="D184" s="34" t="inlineStr">
        <is>
          <t>Proposed by Source assignment; target 1.1.2 Guideway and Civil - Utility &amp; Roadworks</t>
        </is>
      </c>
      <c r="E184" s="34" t="inlineStr">
        <is>
          <t>None recorded</t>
        </is>
      </c>
      <c r="F184" s="34" t="inlineStr">
        <is>
          <t>No individual professional decision recorded; Source assignment -- not individually reviewed</t>
        </is>
      </c>
      <c r="G184" s="34" t="inlineStr">
        <is>
          <t>Not individually decided</t>
        </is>
      </c>
      <c r="H184" s="34" t="inlineStr">
        <is>
          <t xml:space="preserve">APPROVED / ONE_TO_ONE; </t>
        </is>
      </c>
      <c r="I184" s="34" t="inlineStr">
        <is>
          <t>New</t>
        </is>
      </c>
      <c r="J184" s="92" t="inlineStr">
        <is>
          <t>08 CROSSWALK</t>
        </is>
      </c>
    </row>
    <row r="185" ht="49" customHeight="1">
      <c r="A185" s="34" t="inlineStr">
        <is>
          <t>R30-v1</t>
        </is>
      </c>
      <c r="B185" s="34" t="inlineStr">
        <is>
          <t>Contractor Programme / SCH-01-030</t>
        </is>
      </c>
      <c r="C185" s="34" t="inlineStr">
        <is>
          <t>WBS Code = 1.1.2</t>
        </is>
      </c>
      <c r="D185" s="34" t="inlineStr">
        <is>
          <t>Proposed by Source assignment; target 1.1.2 Guideway and Civil - Utility &amp; Roadworks</t>
        </is>
      </c>
      <c r="E185" s="34" t="inlineStr">
        <is>
          <t>None recorded</t>
        </is>
      </c>
      <c r="F185" s="34" t="inlineStr">
        <is>
          <t>No individual professional decision recorded; Source assignment -- not individually reviewed</t>
        </is>
      </c>
      <c r="G185" s="34" t="inlineStr">
        <is>
          <t>Not individually decided</t>
        </is>
      </c>
      <c r="H185" s="34" t="inlineStr">
        <is>
          <t xml:space="preserve">APPROVED / ONE_TO_ONE; </t>
        </is>
      </c>
      <c r="I185" s="34" t="inlineStr">
        <is>
          <t>New</t>
        </is>
      </c>
      <c r="J185" s="92" t="inlineStr">
        <is>
          <t>08 CROSSWALK</t>
        </is>
      </c>
    </row>
    <row r="186" ht="49" customHeight="1">
      <c r="A186" s="34" t="inlineStr">
        <is>
          <t>R33-v1</t>
        </is>
      </c>
      <c r="B186" s="34" t="inlineStr">
        <is>
          <t>Contractor Programme / SCH-01-033</t>
        </is>
      </c>
      <c r="C186" s="34" t="inlineStr">
        <is>
          <t>WBS Code = 1.1.2</t>
        </is>
      </c>
      <c r="D186" s="34" t="inlineStr">
        <is>
          <t>Proposed by Source assignment; target 1.1.2 Guideway and Civil - Utility &amp; Roadworks</t>
        </is>
      </c>
      <c r="E186" s="34" t="inlineStr">
        <is>
          <t>None recorded</t>
        </is>
      </c>
      <c r="F186" s="34" t="inlineStr">
        <is>
          <t>No individual professional decision recorded; Source assignment -- not individually reviewed</t>
        </is>
      </c>
      <c r="G186" s="34" t="inlineStr">
        <is>
          <t>Not individually decided</t>
        </is>
      </c>
      <c r="H186" s="34" t="inlineStr">
        <is>
          <t xml:space="preserve">APPROVED / ONE_TO_ONE; </t>
        </is>
      </c>
      <c r="I186" s="34" t="inlineStr">
        <is>
          <t>New</t>
        </is>
      </c>
      <c r="J186" s="92" t="inlineStr">
        <is>
          <t>08 CROSSWALK</t>
        </is>
      </c>
    </row>
    <row r="187" ht="49" customHeight="1">
      <c r="A187" s="34" t="inlineStr">
        <is>
          <t>R36-v1</t>
        </is>
      </c>
      <c r="B187" s="34" t="inlineStr">
        <is>
          <t>Contractor Programme / SCH-01-036</t>
        </is>
      </c>
      <c r="C187" s="34" t="inlineStr">
        <is>
          <t>WBS Code = 1.1.2</t>
        </is>
      </c>
      <c r="D187" s="34" t="inlineStr">
        <is>
          <t>Proposed by Source assignment; target 1.1.2 Guideway and Civil - Utility &amp; Roadworks</t>
        </is>
      </c>
      <c r="E187" s="34" t="inlineStr">
        <is>
          <t>None recorded</t>
        </is>
      </c>
      <c r="F187" s="34" t="inlineStr">
        <is>
          <t>No individual professional decision recorded; Source assignment -- not individually reviewed</t>
        </is>
      </c>
      <c r="G187" s="34" t="inlineStr">
        <is>
          <t>Not individually decided</t>
        </is>
      </c>
      <c r="H187" s="34" t="inlineStr">
        <is>
          <t xml:space="preserve">APPROVED / ONE_TO_ONE; </t>
        </is>
      </c>
      <c r="I187" s="34" t="inlineStr">
        <is>
          <t>New</t>
        </is>
      </c>
      <c r="J187" s="92" t="inlineStr">
        <is>
          <t>08 CROSSWALK</t>
        </is>
      </c>
    </row>
    <row r="188" ht="49" customHeight="1">
      <c r="A188" s="34" t="inlineStr">
        <is>
          <t>R39-v1</t>
        </is>
      </c>
      <c r="B188" s="34" t="inlineStr">
        <is>
          <t>Contractor Programme / SCH-01-039</t>
        </is>
      </c>
      <c r="C188" s="34" t="inlineStr">
        <is>
          <t>WBS Code = 1.1.2</t>
        </is>
      </c>
      <c r="D188" s="34" t="inlineStr">
        <is>
          <t>Proposed by Source assignment; target 1.1.2 Guideway and Civil - Utility &amp; Roadworks</t>
        </is>
      </c>
      <c r="E188" s="34" t="inlineStr">
        <is>
          <t>None recorded</t>
        </is>
      </c>
      <c r="F188" s="34" t="inlineStr">
        <is>
          <t>No individual professional decision recorded; Source assignment -- not individually reviewed</t>
        </is>
      </c>
      <c r="G188" s="34" t="inlineStr">
        <is>
          <t>Not individually decided</t>
        </is>
      </c>
      <c r="H188" s="34" t="inlineStr">
        <is>
          <t xml:space="preserve">APPROVED / ONE_TO_ONE; </t>
        </is>
      </c>
      <c r="I188" s="34" t="inlineStr">
        <is>
          <t>New</t>
        </is>
      </c>
      <c r="J188" s="92" t="inlineStr">
        <is>
          <t>08 CROSSWALK</t>
        </is>
      </c>
    </row>
    <row r="189" ht="49" customHeight="1">
      <c r="A189" s="34" t="inlineStr">
        <is>
          <t>R42-v1</t>
        </is>
      </c>
      <c r="B189" s="34" t="inlineStr">
        <is>
          <t>Contractor Programme / SCH-01-042</t>
        </is>
      </c>
      <c r="C189" s="34" t="inlineStr">
        <is>
          <t>WBS Code = 1.1.2</t>
        </is>
      </c>
      <c r="D189" s="34" t="inlineStr">
        <is>
          <t>Proposed by Source assignment; target 1.1.2 Guideway and Civil - Utility &amp; Roadworks</t>
        </is>
      </c>
      <c r="E189" s="34" t="inlineStr">
        <is>
          <t>None recorded</t>
        </is>
      </c>
      <c r="F189" s="34" t="inlineStr">
        <is>
          <t>No individual professional decision recorded; Source assignment -- not individually reviewed</t>
        </is>
      </c>
      <c r="G189" s="34" t="inlineStr">
        <is>
          <t>Not individually decided</t>
        </is>
      </c>
      <c r="H189" s="34" t="inlineStr">
        <is>
          <t xml:space="preserve">APPROVED / ONE_TO_ONE; </t>
        </is>
      </c>
      <c r="I189" s="34" t="inlineStr">
        <is>
          <t>New</t>
        </is>
      </c>
      <c r="J189" s="92" t="inlineStr">
        <is>
          <t>08 CROSSWALK</t>
        </is>
      </c>
    </row>
    <row r="190" ht="49" customHeight="1">
      <c r="A190" s="34" t="inlineStr">
        <is>
          <t>R45-v1</t>
        </is>
      </c>
      <c r="B190" s="34" t="inlineStr">
        <is>
          <t>Contractor Programme / SCH-01-045</t>
        </is>
      </c>
      <c r="C190" s="34" t="inlineStr">
        <is>
          <t>WBS Code = 1.1.2</t>
        </is>
      </c>
      <c r="D190" s="34" t="inlineStr">
        <is>
          <t>Proposed by Source assignment; target 1.1.2 Guideway and Civil - Utility &amp; Roadworks</t>
        </is>
      </c>
      <c r="E190" s="34" t="inlineStr">
        <is>
          <t>None recorded</t>
        </is>
      </c>
      <c r="F190" s="34" t="inlineStr">
        <is>
          <t>No individual professional decision recorded; Source assignment -- not individually reviewed</t>
        </is>
      </c>
      <c r="G190" s="34" t="inlineStr">
        <is>
          <t>Not individually decided</t>
        </is>
      </c>
      <c r="H190" s="34" t="inlineStr">
        <is>
          <t xml:space="preserve">APPROVED / ONE_TO_ONE; </t>
        </is>
      </c>
      <c r="I190" s="34" t="inlineStr">
        <is>
          <t>New</t>
        </is>
      </c>
      <c r="J190" s="92" t="inlineStr">
        <is>
          <t>08 CROSSWALK</t>
        </is>
      </c>
    </row>
    <row r="191" ht="49" customHeight="1">
      <c r="A191" s="34" t="inlineStr">
        <is>
          <t>R48-v1</t>
        </is>
      </c>
      <c r="B191" s="34" t="inlineStr">
        <is>
          <t>Contractor Programme / SCH-01-048</t>
        </is>
      </c>
      <c r="C191" s="34" t="inlineStr">
        <is>
          <t>WBS Code = 1.1.2</t>
        </is>
      </c>
      <c r="D191" s="34" t="inlineStr">
        <is>
          <t>Proposed by Source assignment; target 1.1.2 Guideway and Civil - Utility &amp; Roadworks</t>
        </is>
      </c>
      <c r="E191" s="34" t="inlineStr">
        <is>
          <t>None recorded</t>
        </is>
      </c>
      <c r="F191" s="34" t="inlineStr">
        <is>
          <t>No individual professional decision recorded; Source assignment -- not individually reviewed</t>
        </is>
      </c>
      <c r="G191" s="34" t="inlineStr">
        <is>
          <t>Not individually decided</t>
        </is>
      </c>
      <c r="H191" s="34" t="inlineStr">
        <is>
          <t xml:space="preserve">APPROVED / ONE_TO_ONE; </t>
        </is>
      </c>
      <c r="I191" s="34" t="inlineStr">
        <is>
          <t>New</t>
        </is>
      </c>
      <c r="J191" s="92" t="inlineStr">
        <is>
          <t>08 CROSSWALK</t>
        </is>
      </c>
    </row>
    <row r="192" ht="49" customHeight="1">
      <c r="A192" s="34" t="inlineStr">
        <is>
          <t>R51-v1</t>
        </is>
      </c>
      <c r="B192" s="34" t="inlineStr">
        <is>
          <t>Contractor Programme / SCH-01-051</t>
        </is>
      </c>
      <c r="C192" s="34" t="inlineStr">
        <is>
          <t>WBS Code = 1.1.2</t>
        </is>
      </c>
      <c r="D192" s="34" t="inlineStr">
        <is>
          <t>Proposed by Source assignment; target 1.1.2 Guideway and Civil - Utility &amp; Roadworks</t>
        </is>
      </c>
      <c r="E192" s="34" t="inlineStr">
        <is>
          <t>None recorded</t>
        </is>
      </c>
      <c r="F192" s="34" t="inlineStr">
        <is>
          <t>No individual professional decision recorded; Source assignment -- not individually reviewed</t>
        </is>
      </c>
      <c r="G192" s="34" t="inlineStr">
        <is>
          <t>Not individually decided</t>
        </is>
      </c>
      <c r="H192" s="34" t="inlineStr">
        <is>
          <t xml:space="preserve">APPROVED / ONE_TO_ONE; </t>
        </is>
      </c>
      <c r="I192" s="34" t="inlineStr">
        <is>
          <t>New</t>
        </is>
      </c>
      <c r="J192" s="92" t="inlineStr">
        <is>
          <t>08 CROSSWALK</t>
        </is>
      </c>
    </row>
    <row r="193" ht="49" customHeight="1">
      <c r="A193" s="34" t="inlineStr">
        <is>
          <t>R54-v1</t>
        </is>
      </c>
      <c r="B193" s="34" t="inlineStr">
        <is>
          <t>Contractor Programme / SCH-01-054</t>
        </is>
      </c>
      <c r="C193" s="34" t="inlineStr">
        <is>
          <t>WBS Code = 1.1.2</t>
        </is>
      </c>
      <c r="D193" s="34" t="inlineStr">
        <is>
          <t>Proposed by Source assignment; target 1.1.2 Guideway and Civil - Utility &amp; Roadworks</t>
        </is>
      </c>
      <c r="E193" s="34" t="inlineStr">
        <is>
          <t>None recorded</t>
        </is>
      </c>
      <c r="F193" s="34" t="inlineStr">
        <is>
          <t>No individual professional decision recorded; Source assignment -- not individually reviewed</t>
        </is>
      </c>
      <c r="G193" s="34" t="inlineStr">
        <is>
          <t>Not individually decided</t>
        </is>
      </c>
      <c r="H193" s="34" t="inlineStr">
        <is>
          <t xml:space="preserve">APPROVED / ONE_TO_ONE; </t>
        </is>
      </c>
      <c r="I193" s="34" t="inlineStr">
        <is>
          <t>New</t>
        </is>
      </c>
      <c r="J193" s="92" t="inlineStr">
        <is>
          <t>08 CROSSWALK</t>
        </is>
      </c>
    </row>
    <row r="194" ht="49" customHeight="1">
      <c r="A194" s="34" t="inlineStr">
        <is>
          <t>R57-v1</t>
        </is>
      </c>
      <c r="B194" s="34" t="inlineStr">
        <is>
          <t>Contractor Programme / SCH-01-057</t>
        </is>
      </c>
      <c r="C194" s="34" t="inlineStr">
        <is>
          <t>WBS Code = 1.1.2</t>
        </is>
      </c>
      <c r="D194" s="34" t="inlineStr">
        <is>
          <t>Proposed by Source assignment; target 1.1.2 Guideway and Civil - Utility &amp; Roadworks</t>
        </is>
      </c>
      <c r="E194" s="34" t="inlineStr">
        <is>
          <t>None recorded</t>
        </is>
      </c>
      <c r="F194" s="34" t="inlineStr">
        <is>
          <t>No individual professional decision recorded; Source assignment -- not individually reviewed</t>
        </is>
      </c>
      <c r="G194" s="34" t="inlineStr">
        <is>
          <t>Not individually decided</t>
        </is>
      </c>
      <c r="H194" s="34" t="inlineStr">
        <is>
          <t xml:space="preserve">APPROVED / ONE_TO_ONE; </t>
        </is>
      </c>
      <c r="I194" s="34" t="inlineStr">
        <is>
          <t>New</t>
        </is>
      </c>
      <c r="J194" s="92" t="inlineStr">
        <is>
          <t>08 CROSSWALK</t>
        </is>
      </c>
    </row>
    <row r="195" ht="49" customHeight="1">
      <c r="A195" s="34" t="inlineStr">
        <is>
          <t>R60-v1</t>
        </is>
      </c>
      <c r="B195" s="34" t="inlineStr">
        <is>
          <t>Contractor Programme / SCH-01-060</t>
        </is>
      </c>
      <c r="C195" s="34" t="inlineStr">
        <is>
          <t>WBS Code = 1.1.2</t>
        </is>
      </c>
      <c r="D195" s="34" t="inlineStr">
        <is>
          <t>Proposed by Source assignment; target 1.1.2 Guideway and Civil - Utility &amp; Roadworks</t>
        </is>
      </c>
      <c r="E195" s="34" t="inlineStr">
        <is>
          <t>None recorded</t>
        </is>
      </c>
      <c r="F195" s="34" t="inlineStr">
        <is>
          <t>No individual professional decision recorded; Source assignment -- not individually reviewed</t>
        </is>
      </c>
      <c r="G195" s="34" t="inlineStr">
        <is>
          <t>Not individually decided</t>
        </is>
      </c>
      <c r="H195" s="34" t="inlineStr">
        <is>
          <t xml:space="preserve">APPROVED / ONE_TO_ONE; </t>
        </is>
      </c>
      <c r="I195" s="34" t="inlineStr">
        <is>
          <t>New</t>
        </is>
      </c>
      <c r="J195" s="92" t="inlineStr">
        <is>
          <t>08 CROSSWALK</t>
        </is>
      </c>
    </row>
    <row r="196" ht="49" customHeight="1">
      <c r="A196" s="34" t="inlineStr">
        <is>
          <t>R63-v1</t>
        </is>
      </c>
      <c r="B196" s="34" t="inlineStr">
        <is>
          <t>Contractor Programme / SCH-01-063</t>
        </is>
      </c>
      <c r="C196" s="34" t="inlineStr">
        <is>
          <t>WBS Code = 1.1.2</t>
        </is>
      </c>
      <c r="D196" s="34" t="inlineStr">
        <is>
          <t>Proposed by Source assignment; target 1.1.2 Guideway and Civil - Utility &amp; Roadworks</t>
        </is>
      </c>
      <c r="E196" s="34" t="inlineStr">
        <is>
          <t>None recorded</t>
        </is>
      </c>
      <c r="F196" s="34" t="inlineStr">
        <is>
          <t>No individual professional decision recorded; Source assignment -- not individually reviewed</t>
        </is>
      </c>
      <c r="G196" s="34" t="inlineStr">
        <is>
          <t>Not individually decided</t>
        </is>
      </c>
      <c r="H196" s="34" t="inlineStr">
        <is>
          <t xml:space="preserve">APPROVED / ONE_TO_ONE; </t>
        </is>
      </c>
      <c r="I196" s="34" t="inlineStr">
        <is>
          <t>New</t>
        </is>
      </c>
      <c r="J196" s="92" t="inlineStr">
        <is>
          <t>08 CROSSWALK</t>
        </is>
      </c>
    </row>
    <row r="197" ht="49" customHeight="1">
      <c r="A197" s="34" t="inlineStr">
        <is>
          <t>R66-v1</t>
        </is>
      </c>
      <c r="B197" s="34" t="inlineStr">
        <is>
          <t>Contractor Programme / SCH-01-066</t>
        </is>
      </c>
      <c r="C197" s="34" t="inlineStr">
        <is>
          <t>WBS Code = 1.1.2</t>
        </is>
      </c>
      <c r="D197" s="34" t="inlineStr">
        <is>
          <t>Proposed by Source assignment; target 1.1.2 Guideway and Civil - Utility &amp; Roadworks</t>
        </is>
      </c>
      <c r="E197" s="34" t="inlineStr">
        <is>
          <t>None recorded</t>
        </is>
      </c>
      <c r="F197" s="34" t="inlineStr">
        <is>
          <t>No individual professional decision recorded; Source assignment -- not individually reviewed</t>
        </is>
      </c>
      <c r="G197" s="34" t="inlineStr">
        <is>
          <t>Not individually decided</t>
        </is>
      </c>
      <c r="H197" s="34" t="inlineStr">
        <is>
          <t xml:space="preserve">APPROVED / ONE_TO_ONE; </t>
        </is>
      </c>
      <c r="I197" s="34" t="inlineStr">
        <is>
          <t>New</t>
        </is>
      </c>
      <c r="J197" s="92" t="inlineStr">
        <is>
          <t>08 CROSSWALK</t>
        </is>
      </c>
    </row>
    <row r="198" ht="49" customHeight="1">
      <c r="A198" s="34" t="inlineStr">
        <is>
          <t>R69-v1</t>
        </is>
      </c>
      <c r="B198" s="34" t="inlineStr">
        <is>
          <t>Contractor Programme / SCH-01-069</t>
        </is>
      </c>
      <c r="C198" s="34" t="inlineStr">
        <is>
          <t>WBS Code = 1.1.2</t>
        </is>
      </c>
      <c r="D198" s="34" t="inlineStr">
        <is>
          <t>Proposed by Source assignment; target 1.1.2 Guideway and Civil - Utility &amp; Roadworks</t>
        </is>
      </c>
      <c r="E198" s="34" t="inlineStr">
        <is>
          <t>None recorded</t>
        </is>
      </c>
      <c r="F198" s="34" t="inlineStr">
        <is>
          <t>No individual professional decision recorded; Source assignment -- not individually reviewed</t>
        </is>
      </c>
      <c r="G198" s="34" t="inlineStr">
        <is>
          <t>Not individually decided</t>
        </is>
      </c>
      <c r="H198" s="34" t="inlineStr">
        <is>
          <t xml:space="preserve">APPROVED / ONE_TO_ONE; </t>
        </is>
      </c>
      <c r="I198" s="34" t="inlineStr">
        <is>
          <t>New</t>
        </is>
      </c>
      <c r="J198" s="92" t="inlineStr">
        <is>
          <t>08 CROSSWALK</t>
        </is>
      </c>
    </row>
    <row r="199" ht="49" customHeight="1">
      <c r="A199" s="34" t="inlineStr">
        <is>
          <t>R72-v1</t>
        </is>
      </c>
      <c r="B199" s="34" t="inlineStr">
        <is>
          <t>Contractor Programme / SCH-01-072</t>
        </is>
      </c>
      <c r="C199" s="34" t="inlineStr">
        <is>
          <t>WBS Code = 1.1.2</t>
        </is>
      </c>
      <c r="D199" s="34" t="inlineStr">
        <is>
          <t>Proposed by Source assignment; target 1.1.2 Guideway and Civil - Utility &amp; Roadworks</t>
        </is>
      </c>
      <c r="E199" s="34" t="inlineStr">
        <is>
          <t>None recorded</t>
        </is>
      </c>
      <c r="F199" s="34" t="inlineStr">
        <is>
          <t>No individual professional decision recorded; Source assignment -- not individually reviewed</t>
        </is>
      </c>
      <c r="G199" s="34" t="inlineStr">
        <is>
          <t>Not individually decided</t>
        </is>
      </c>
      <c r="H199" s="34" t="inlineStr">
        <is>
          <t xml:space="preserve">APPROVED / ONE_TO_ONE; </t>
        </is>
      </c>
      <c r="I199" s="34" t="inlineStr">
        <is>
          <t>New</t>
        </is>
      </c>
      <c r="J199" s="92" t="inlineStr">
        <is>
          <t>08 CROSSWALK</t>
        </is>
      </c>
    </row>
    <row r="200" ht="49" customHeight="1">
      <c r="A200" s="34" t="inlineStr">
        <is>
          <t>R75-v1</t>
        </is>
      </c>
      <c r="B200" s="34" t="inlineStr">
        <is>
          <t>Contractor Programme / SCH-01-075</t>
        </is>
      </c>
      <c r="C200" s="34" t="inlineStr">
        <is>
          <t>WBS Code = 1.1.2</t>
        </is>
      </c>
      <c r="D200" s="34" t="inlineStr">
        <is>
          <t>Proposed by Source assignment; target 1.1.2 Guideway and Civil - Utility &amp; Roadworks</t>
        </is>
      </c>
      <c r="E200" s="34" t="inlineStr">
        <is>
          <t>None recorded</t>
        </is>
      </c>
      <c r="F200" s="34" t="inlineStr">
        <is>
          <t>No individual professional decision recorded; Source assignment -- not individually reviewed</t>
        </is>
      </c>
      <c r="G200" s="34" t="inlineStr">
        <is>
          <t>Not individually decided</t>
        </is>
      </c>
      <c r="H200" s="34" t="inlineStr">
        <is>
          <t xml:space="preserve">APPROVED / ONE_TO_ONE; </t>
        </is>
      </c>
      <c r="I200" s="34" t="inlineStr">
        <is>
          <t>New</t>
        </is>
      </c>
      <c r="J200" s="92" t="inlineStr">
        <is>
          <t>08 CROSSWALK</t>
        </is>
      </c>
    </row>
    <row r="201" ht="49" customHeight="1">
      <c r="A201" s="34" t="inlineStr">
        <is>
          <t>R78-v1</t>
        </is>
      </c>
      <c r="B201" s="34" t="inlineStr">
        <is>
          <t>Contractor Programme / SCH-01-078</t>
        </is>
      </c>
      <c r="C201" s="34" t="inlineStr">
        <is>
          <t>WBS Code = 1.1.2</t>
        </is>
      </c>
      <c r="D201" s="34" t="inlineStr">
        <is>
          <t>Proposed by Source assignment; target 1.1.2 Guideway and Civil - Utility &amp; Roadworks</t>
        </is>
      </c>
      <c r="E201" s="34" t="inlineStr">
        <is>
          <t>None recorded</t>
        </is>
      </c>
      <c r="F201" s="34" t="inlineStr">
        <is>
          <t>No individual professional decision recorded; Source assignment -- not individually reviewed</t>
        </is>
      </c>
      <c r="G201" s="34" t="inlineStr">
        <is>
          <t>Not individually decided</t>
        </is>
      </c>
      <c r="H201" s="34" t="inlineStr">
        <is>
          <t xml:space="preserve">APPROVED / ONE_TO_ONE; </t>
        </is>
      </c>
      <c r="I201" s="34" t="inlineStr">
        <is>
          <t>New</t>
        </is>
      </c>
      <c r="J201" s="92" t="inlineStr">
        <is>
          <t>08 CROSSWALK</t>
        </is>
      </c>
    </row>
    <row r="202" ht="49" customHeight="1">
      <c r="A202" s="34" t="inlineStr">
        <is>
          <t>R81-v1</t>
        </is>
      </c>
      <c r="B202" s="34" t="inlineStr">
        <is>
          <t>Contractor Programme / SCH-01-081</t>
        </is>
      </c>
      <c r="C202" s="34" t="inlineStr">
        <is>
          <t>WBS Code = 1.1.2</t>
        </is>
      </c>
      <c r="D202" s="34" t="inlineStr">
        <is>
          <t>Proposed by Source assignment; target 1.1.2 Guideway and Civil - Utility &amp; Roadworks</t>
        </is>
      </c>
      <c r="E202" s="34" t="inlineStr">
        <is>
          <t>None recorded</t>
        </is>
      </c>
      <c r="F202" s="34" t="inlineStr">
        <is>
          <t>No individual professional decision recorded; Source assignment -- not individually reviewed</t>
        </is>
      </c>
      <c r="G202" s="34" t="inlineStr">
        <is>
          <t>Not individually decided</t>
        </is>
      </c>
      <c r="H202" s="34" t="inlineStr">
        <is>
          <t xml:space="preserve">APPROVED / ONE_TO_ONE; </t>
        </is>
      </c>
      <c r="I202" s="34" t="inlineStr">
        <is>
          <t>New</t>
        </is>
      </c>
      <c r="J202" s="92" t="inlineStr">
        <is>
          <t>08 CROSSWALK</t>
        </is>
      </c>
    </row>
    <row r="203" ht="49" customHeight="1">
      <c r="A203" s="34" t="inlineStr">
        <is>
          <t>R84-v1</t>
        </is>
      </c>
      <c r="B203" s="34" t="inlineStr">
        <is>
          <t>Contractor Programme / SCH-01-084</t>
        </is>
      </c>
      <c r="C203" s="34" t="inlineStr">
        <is>
          <t>WBS Code = 1.1.2</t>
        </is>
      </c>
      <c r="D203" s="34" t="inlineStr">
        <is>
          <t>Proposed by Source assignment; target 1.1.2 Guideway and Civil - Utility &amp; Roadworks</t>
        </is>
      </c>
      <c r="E203" s="34" t="inlineStr">
        <is>
          <t>None recorded</t>
        </is>
      </c>
      <c r="F203" s="34" t="inlineStr">
        <is>
          <t>No individual professional decision recorded; Source assignment -- not individually reviewed</t>
        </is>
      </c>
      <c r="G203" s="34" t="inlineStr">
        <is>
          <t>Not individually decided</t>
        </is>
      </c>
      <c r="H203" s="34" t="inlineStr">
        <is>
          <t xml:space="preserve">APPROVED / ONE_TO_ONE; </t>
        </is>
      </c>
      <c r="I203" s="34" t="inlineStr">
        <is>
          <t>New</t>
        </is>
      </c>
      <c r="J203" s="92" t="inlineStr">
        <is>
          <t>08 CROSSWALK</t>
        </is>
      </c>
    </row>
    <row r="204" ht="49" customHeight="1">
      <c r="A204" s="34" t="inlineStr">
        <is>
          <t>R87-v1</t>
        </is>
      </c>
      <c r="B204" s="34" t="inlineStr">
        <is>
          <t>Contractor Programme / SCH-01-087</t>
        </is>
      </c>
      <c r="C204" s="34" t="inlineStr">
        <is>
          <t>WBS Code = 1.1.2</t>
        </is>
      </c>
      <c r="D204" s="34" t="inlineStr">
        <is>
          <t>Proposed by Source assignment; target 1.1.2 Guideway and Civil - Utility &amp; Roadworks</t>
        </is>
      </c>
      <c r="E204" s="34" t="inlineStr">
        <is>
          <t>None recorded</t>
        </is>
      </c>
      <c r="F204" s="34" t="inlineStr">
        <is>
          <t>No individual professional decision recorded; Source assignment -- not individually reviewed</t>
        </is>
      </c>
      <c r="G204" s="34" t="inlineStr">
        <is>
          <t>Not individually decided</t>
        </is>
      </c>
      <c r="H204" s="34" t="inlineStr">
        <is>
          <t xml:space="preserve">APPROVED / ONE_TO_ONE; </t>
        </is>
      </c>
      <c r="I204" s="34" t="inlineStr">
        <is>
          <t>New</t>
        </is>
      </c>
      <c r="J204" s="92" t="inlineStr">
        <is>
          <t>08 CROSSWALK</t>
        </is>
      </c>
    </row>
    <row r="205" ht="49" customHeight="1">
      <c r="A205" s="34" t="inlineStr">
        <is>
          <t>R90-v1</t>
        </is>
      </c>
      <c r="B205" s="34" t="inlineStr">
        <is>
          <t>Contractor Programme / SCH-01-090</t>
        </is>
      </c>
      <c r="C205" s="34" t="inlineStr">
        <is>
          <t>WBS Code = 1.1.2</t>
        </is>
      </c>
      <c r="D205" s="34" t="inlineStr">
        <is>
          <t>Proposed by Source assignment; target 1.1.2 Guideway and Civil - Utility &amp; Roadworks</t>
        </is>
      </c>
      <c r="E205" s="34" t="inlineStr">
        <is>
          <t>None recorded</t>
        </is>
      </c>
      <c r="F205" s="34" t="inlineStr">
        <is>
          <t>No individual professional decision recorded; Source assignment -- not individually reviewed</t>
        </is>
      </c>
      <c r="G205" s="34" t="inlineStr">
        <is>
          <t>Not individually decided</t>
        </is>
      </c>
      <c r="H205" s="34" t="inlineStr">
        <is>
          <t xml:space="preserve">APPROVED / ONE_TO_ONE; </t>
        </is>
      </c>
      <c r="I205" s="34" t="inlineStr">
        <is>
          <t>New</t>
        </is>
      </c>
      <c r="J205" s="92" t="inlineStr">
        <is>
          <t>08 CROSSWALK</t>
        </is>
      </c>
    </row>
    <row r="206" ht="49" customHeight="1">
      <c r="A206" s="34" t="inlineStr">
        <is>
          <t>R93-v1</t>
        </is>
      </c>
      <c r="B206" s="34" t="inlineStr">
        <is>
          <t>Contractor Programme / SCH-01-093</t>
        </is>
      </c>
      <c r="C206" s="34" t="inlineStr">
        <is>
          <t>WBS Code = 1.1.2</t>
        </is>
      </c>
      <c r="D206" s="34" t="inlineStr">
        <is>
          <t>Proposed by Source assignment; target 1.1.2 Guideway and Civil - Utility &amp; Roadworks</t>
        </is>
      </c>
      <c r="E206" s="34" t="inlineStr">
        <is>
          <t>None recorded</t>
        </is>
      </c>
      <c r="F206" s="34" t="inlineStr">
        <is>
          <t>No individual professional decision recorded; Source assignment -- not individually reviewed</t>
        </is>
      </c>
      <c r="G206" s="34" t="inlineStr">
        <is>
          <t>Not individually decided</t>
        </is>
      </c>
      <c r="H206" s="34" t="inlineStr">
        <is>
          <t xml:space="preserve">APPROVED / ONE_TO_ONE; </t>
        </is>
      </c>
      <c r="I206" s="34" t="inlineStr">
        <is>
          <t>New</t>
        </is>
      </c>
      <c r="J206" s="92" t="inlineStr">
        <is>
          <t>08 CROSSWALK</t>
        </is>
      </c>
    </row>
    <row r="207" ht="49" customHeight="1">
      <c r="A207" s="34" t="inlineStr">
        <is>
          <t>R96-v1</t>
        </is>
      </c>
      <c r="B207" s="34" t="inlineStr">
        <is>
          <t>Contractor Programme / SCH-01-096</t>
        </is>
      </c>
      <c r="C207" s="34" t="inlineStr">
        <is>
          <t>WBS Code = 1.1.2</t>
        </is>
      </c>
      <c r="D207" s="34" t="inlineStr">
        <is>
          <t>Proposed by Source assignment; target 1.1.2 Guideway and Civil - Utility &amp; Roadworks</t>
        </is>
      </c>
      <c r="E207" s="34" t="inlineStr">
        <is>
          <t>None recorded</t>
        </is>
      </c>
      <c r="F207" s="34" t="inlineStr">
        <is>
          <t>No individual professional decision recorded; Source assignment -- not individually reviewed</t>
        </is>
      </c>
      <c r="G207" s="34" t="inlineStr">
        <is>
          <t>Not individually decided</t>
        </is>
      </c>
      <c r="H207" s="34" t="inlineStr">
        <is>
          <t xml:space="preserve">APPROVED / ONE_TO_ONE; </t>
        </is>
      </c>
      <c r="I207" s="34" t="inlineStr">
        <is>
          <t>New</t>
        </is>
      </c>
      <c r="J207" s="92" t="inlineStr">
        <is>
          <t>08 CROSSWALK</t>
        </is>
      </c>
    </row>
    <row r="208" ht="49" customHeight="1">
      <c r="A208" s="34" t="inlineStr">
        <is>
          <t>R99-v1</t>
        </is>
      </c>
      <c r="B208" s="34" t="inlineStr">
        <is>
          <t>Contractor Programme / SCH-01-099</t>
        </is>
      </c>
      <c r="C208" s="34" t="inlineStr">
        <is>
          <t>WBS Code = 1.1.2</t>
        </is>
      </c>
      <c r="D208" s="34" t="inlineStr">
        <is>
          <t>Proposed by Source assignment; target 1.1.2 Guideway and Civil - Utility &amp; Roadworks</t>
        </is>
      </c>
      <c r="E208" s="34" t="inlineStr">
        <is>
          <t>None recorded</t>
        </is>
      </c>
      <c r="F208" s="34" t="inlineStr">
        <is>
          <t>No individual professional decision recorded; Source assignment -- not individually reviewed</t>
        </is>
      </c>
      <c r="G208" s="34" t="inlineStr">
        <is>
          <t>Not individually decided</t>
        </is>
      </c>
      <c r="H208" s="34" t="inlineStr">
        <is>
          <t xml:space="preserve">APPROVED / ONE_TO_ONE; </t>
        </is>
      </c>
      <c r="I208" s="34" t="inlineStr">
        <is>
          <t>New</t>
        </is>
      </c>
      <c r="J208" s="92" t="inlineStr">
        <is>
          <t>08 CROSSWALK</t>
        </is>
      </c>
    </row>
    <row r="209" ht="49" customHeight="1">
      <c r="A209" s="34" t="inlineStr">
        <is>
          <t>R102-v1</t>
        </is>
      </c>
      <c r="B209" s="34" t="inlineStr">
        <is>
          <t>Contractor Programme / SCH-01-102</t>
        </is>
      </c>
      <c r="C209" s="34" t="inlineStr">
        <is>
          <t>WBS Code = 1.1.2</t>
        </is>
      </c>
      <c r="D209" s="34" t="inlineStr">
        <is>
          <t>Proposed by Source assignment; target 1.1.2 Guideway and Civil - Utility &amp; Roadworks</t>
        </is>
      </c>
      <c r="E209" s="34" t="inlineStr">
        <is>
          <t>None recorded</t>
        </is>
      </c>
      <c r="F209" s="34" t="inlineStr">
        <is>
          <t>No individual professional decision recorded; Source assignment -- not individually reviewed</t>
        </is>
      </c>
      <c r="G209" s="34" t="inlineStr">
        <is>
          <t>Not individually decided</t>
        </is>
      </c>
      <c r="H209" s="34" t="inlineStr">
        <is>
          <t xml:space="preserve">APPROVED / ONE_TO_ONE; </t>
        </is>
      </c>
      <c r="I209" s="34" t="inlineStr">
        <is>
          <t>New</t>
        </is>
      </c>
      <c r="J209" s="92" t="inlineStr">
        <is>
          <t>08 CROSSWALK</t>
        </is>
      </c>
    </row>
    <row r="210" ht="49" customHeight="1">
      <c r="A210" s="34" t="inlineStr">
        <is>
          <t>R105-v1</t>
        </is>
      </c>
      <c r="B210" s="34" t="inlineStr">
        <is>
          <t>Contractor Programme / SCH-01-105</t>
        </is>
      </c>
      <c r="C210" s="34" t="inlineStr">
        <is>
          <t>WBS Code = 1.1.2</t>
        </is>
      </c>
      <c r="D210" s="34" t="inlineStr">
        <is>
          <t>Proposed by Source assignment; target 1.1.2 Guideway and Civil - Utility &amp; Roadworks</t>
        </is>
      </c>
      <c r="E210" s="34" t="inlineStr">
        <is>
          <t>None recorded</t>
        </is>
      </c>
      <c r="F210" s="34" t="inlineStr">
        <is>
          <t>No individual professional decision recorded; Source assignment -- not individually reviewed</t>
        </is>
      </c>
      <c r="G210" s="34" t="inlineStr">
        <is>
          <t>Not individually decided</t>
        </is>
      </c>
      <c r="H210" s="34" t="inlineStr">
        <is>
          <t xml:space="preserve">APPROVED / ONE_TO_ONE; </t>
        </is>
      </c>
      <c r="I210" s="34" t="inlineStr">
        <is>
          <t>New</t>
        </is>
      </c>
      <c r="J210" s="92" t="inlineStr">
        <is>
          <t>08 CROSSWALK</t>
        </is>
      </c>
    </row>
    <row r="211" ht="49" customHeight="1">
      <c r="A211" s="34" t="inlineStr">
        <is>
          <t>R108-v1</t>
        </is>
      </c>
      <c r="B211" s="34" t="inlineStr">
        <is>
          <t>Contractor Programme / SCH-01-108</t>
        </is>
      </c>
      <c r="C211" s="34" t="inlineStr">
        <is>
          <t>WBS Code = 1.1.2</t>
        </is>
      </c>
      <c r="D211" s="34" t="inlineStr">
        <is>
          <t>Proposed by Source assignment; target 1.1.2 Guideway and Civil - Utility &amp; Roadworks</t>
        </is>
      </c>
      <c r="E211" s="34" t="inlineStr">
        <is>
          <t>None recorded</t>
        </is>
      </c>
      <c r="F211" s="34" t="inlineStr">
        <is>
          <t>No individual professional decision recorded; Source assignment -- not individually reviewed</t>
        </is>
      </c>
      <c r="G211" s="34" t="inlineStr">
        <is>
          <t>Not individually decided</t>
        </is>
      </c>
      <c r="H211" s="34" t="inlineStr">
        <is>
          <t xml:space="preserve">APPROVED / ONE_TO_ONE; </t>
        </is>
      </c>
      <c r="I211" s="34" t="inlineStr">
        <is>
          <t>New</t>
        </is>
      </c>
      <c r="J211" s="92" t="inlineStr">
        <is>
          <t>08 CROSSWALK</t>
        </is>
      </c>
    </row>
    <row r="212" ht="49" customHeight="1">
      <c r="A212" s="34" t="inlineStr">
        <is>
          <t>R111-v1</t>
        </is>
      </c>
      <c r="B212" s="34" t="inlineStr">
        <is>
          <t>Contractor Programme / SCH-01-111</t>
        </is>
      </c>
      <c r="C212" s="34" t="inlineStr">
        <is>
          <t>WBS Code = 1.1.2</t>
        </is>
      </c>
      <c r="D212" s="34" t="inlineStr">
        <is>
          <t>Proposed by Source assignment; target 1.1.2 Guideway and Civil - Utility &amp; Roadworks</t>
        </is>
      </c>
      <c r="E212" s="34" t="inlineStr">
        <is>
          <t>None recorded</t>
        </is>
      </c>
      <c r="F212" s="34" t="inlineStr">
        <is>
          <t>No individual professional decision recorded; Source assignment -- not individually reviewed</t>
        </is>
      </c>
      <c r="G212" s="34" t="inlineStr">
        <is>
          <t>Not individually decided</t>
        </is>
      </c>
      <c r="H212" s="34" t="inlineStr">
        <is>
          <t xml:space="preserve">APPROVED / ONE_TO_ONE; </t>
        </is>
      </c>
      <c r="I212" s="34" t="inlineStr">
        <is>
          <t>New</t>
        </is>
      </c>
      <c r="J212" s="92" t="inlineStr">
        <is>
          <t>08 CROSSWALK</t>
        </is>
      </c>
    </row>
    <row r="213" ht="49" customHeight="1">
      <c r="A213" s="34" t="inlineStr">
        <is>
          <t>R114-v1</t>
        </is>
      </c>
      <c r="B213" s="34" t="inlineStr">
        <is>
          <t>Contractor Programme / SCH-01-114</t>
        </is>
      </c>
      <c r="C213" s="34" t="inlineStr">
        <is>
          <t>WBS Code = 1.1.2</t>
        </is>
      </c>
      <c r="D213" s="34" t="inlineStr">
        <is>
          <t>Proposed by Source assignment; target 1.1.2 Guideway and Civil - Utility &amp; Roadworks</t>
        </is>
      </c>
      <c r="E213" s="34" t="inlineStr">
        <is>
          <t>None recorded</t>
        </is>
      </c>
      <c r="F213" s="34" t="inlineStr">
        <is>
          <t>No individual professional decision recorded; Source assignment -- not individually reviewed</t>
        </is>
      </c>
      <c r="G213" s="34" t="inlineStr">
        <is>
          <t>Not individually decided</t>
        </is>
      </c>
      <c r="H213" s="34" t="inlineStr">
        <is>
          <t xml:space="preserve">APPROVED / ONE_TO_ONE; </t>
        </is>
      </c>
      <c r="I213" s="34" t="inlineStr">
        <is>
          <t>New</t>
        </is>
      </c>
      <c r="J213" s="92" t="inlineStr">
        <is>
          <t>08 CROSSWALK</t>
        </is>
      </c>
    </row>
    <row r="214" ht="49" customHeight="1">
      <c r="A214" s="34" t="inlineStr">
        <is>
          <t>R117-v1</t>
        </is>
      </c>
      <c r="B214" s="34" t="inlineStr">
        <is>
          <t>Contractor Programme / SCH-01-117</t>
        </is>
      </c>
      <c r="C214" s="34" t="inlineStr">
        <is>
          <t>WBS Code = 1.1.2</t>
        </is>
      </c>
      <c r="D214" s="34" t="inlineStr">
        <is>
          <t>Proposed by Source assignment; target 1.1.2 Guideway and Civil - Utility &amp; Roadworks</t>
        </is>
      </c>
      <c r="E214" s="34" t="inlineStr">
        <is>
          <t>None recorded</t>
        </is>
      </c>
      <c r="F214" s="34" t="inlineStr">
        <is>
          <t>No individual professional decision recorded; Source assignment -- not individually reviewed</t>
        </is>
      </c>
      <c r="G214" s="34" t="inlineStr">
        <is>
          <t>Not individually decided</t>
        </is>
      </c>
      <c r="H214" s="34" t="inlineStr">
        <is>
          <t xml:space="preserve">APPROVED / ONE_TO_ONE; </t>
        </is>
      </c>
      <c r="I214" s="34" t="inlineStr">
        <is>
          <t>New</t>
        </is>
      </c>
      <c r="J214" s="92" t="inlineStr">
        <is>
          <t>08 CROSSWALK</t>
        </is>
      </c>
    </row>
    <row r="215" ht="49" customHeight="1">
      <c r="A215" s="34" t="inlineStr">
        <is>
          <t>R120-v1</t>
        </is>
      </c>
      <c r="B215" s="34" t="inlineStr">
        <is>
          <t>Contractor Programme / SCH-01-120</t>
        </is>
      </c>
      <c r="C215" s="34" t="inlineStr">
        <is>
          <t>WBS Code = 1.1.2</t>
        </is>
      </c>
      <c r="D215" s="34" t="inlineStr">
        <is>
          <t>Proposed by Source assignment; target 1.1.2 Guideway and Civil - Utility &amp; Roadworks</t>
        </is>
      </c>
      <c r="E215" s="34" t="inlineStr">
        <is>
          <t>None recorded</t>
        </is>
      </c>
      <c r="F215" s="34" t="inlineStr">
        <is>
          <t>No individual professional decision recorded; Source assignment -- not individually reviewed</t>
        </is>
      </c>
      <c r="G215" s="34" t="inlineStr">
        <is>
          <t>Not individually decided</t>
        </is>
      </c>
      <c r="H215" s="34" t="inlineStr">
        <is>
          <t xml:space="preserve">APPROVED / ONE_TO_ONE; </t>
        </is>
      </c>
      <c r="I215" s="34" t="inlineStr">
        <is>
          <t>New</t>
        </is>
      </c>
      <c r="J215" s="92" t="inlineStr">
        <is>
          <t>08 CROSSWALK</t>
        </is>
      </c>
    </row>
    <row r="216" ht="49" customHeight="1">
      <c r="A216" s="34" t="inlineStr">
        <is>
          <t>R123-v1</t>
        </is>
      </c>
      <c r="B216" s="34" t="inlineStr">
        <is>
          <t>Contractor Programme / SCH-01-123</t>
        </is>
      </c>
      <c r="C216" s="34" t="inlineStr">
        <is>
          <t>WBS Code = 1.1.2</t>
        </is>
      </c>
      <c r="D216" s="34" t="inlineStr">
        <is>
          <t>Proposed by Source assignment; target 1.1.2 Guideway and Civil - Utility &amp; Roadworks</t>
        </is>
      </c>
      <c r="E216" s="34" t="inlineStr">
        <is>
          <t>None recorded</t>
        </is>
      </c>
      <c r="F216" s="34" t="inlineStr">
        <is>
          <t>No individual professional decision recorded; Source assignment -- not individually reviewed</t>
        </is>
      </c>
      <c r="G216" s="34" t="inlineStr">
        <is>
          <t>Not individually decided</t>
        </is>
      </c>
      <c r="H216" s="34" t="inlineStr">
        <is>
          <t xml:space="preserve">APPROVED / ONE_TO_ONE; </t>
        </is>
      </c>
      <c r="I216" s="34" t="inlineStr">
        <is>
          <t>New</t>
        </is>
      </c>
      <c r="J216" s="92" t="inlineStr">
        <is>
          <t>08 CROSSWALK</t>
        </is>
      </c>
    </row>
    <row r="217" ht="49" customHeight="1">
      <c r="A217" s="34" t="inlineStr">
        <is>
          <t>R126-v1</t>
        </is>
      </c>
      <c r="B217" s="34" t="inlineStr">
        <is>
          <t>Contractor Programme / SCH-01-126</t>
        </is>
      </c>
      <c r="C217" s="34" t="inlineStr">
        <is>
          <t>WBS Code = 1.1.2</t>
        </is>
      </c>
      <c r="D217" s="34" t="inlineStr">
        <is>
          <t>Proposed by Source assignment; target 1.1.2 Guideway and Civil - Utility &amp; Roadworks</t>
        </is>
      </c>
      <c r="E217" s="34" t="inlineStr">
        <is>
          <t>None recorded</t>
        </is>
      </c>
      <c r="F217" s="34" t="inlineStr">
        <is>
          <t>No individual professional decision recorded; Source assignment -- not individually reviewed</t>
        </is>
      </c>
      <c r="G217" s="34" t="inlineStr">
        <is>
          <t>Not individually decided</t>
        </is>
      </c>
      <c r="H217" s="34" t="inlineStr">
        <is>
          <t xml:space="preserve">APPROVED / ONE_TO_ONE; </t>
        </is>
      </c>
      <c r="I217" s="34" t="inlineStr">
        <is>
          <t>New</t>
        </is>
      </c>
      <c r="J217" s="92" t="inlineStr">
        <is>
          <t>08 CROSSWALK</t>
        </is>
      </c>
    </row>
    <row r="218" ht="49" customHeight="1">
      <c r="A218" s="34" t="inlineStr">
        <is>
          <t>R129-v1</t>
        </is>
      </c>
      <c r="B218" s="34" t="inlineStr">
        <is>
          <t>Contractor Programme / SCH-01-129</t>
        </is>
      </c>
      <c r="C218" s="34" t="inlineStr">
        <is>
          <t>WBS Code = 1.1.2</t>
        </is>
      </c>
      <c r="D218" s="34" t="inlineStr">
        <is>
          <t>Proposed by Source assignment; target 1.1.2 Guideway and Civil - Utility &amp; Roadworks</t>
        </is>
      </c>
      <c r="E218" s="34" t="inlineStr">
        <is>
          <t>None recorded</t>
        </is>
      </c>
      <c r="F218" s="34" t="inlineStr">
        <is>
          <t>No individual professional decision recorded; Source assignment -- not individually reviewed</t>
        </is>
      </c>
      <c r="G218" s="34" t="inlineStr">
        <is>
          <t>Not individually decided</t>
        </is>
      </c>
      <c r="H218" s="34" t="inlineStr">
        <is>
          <t xml:space="preserve">APPROVED / ONE_TO_ONE; </t>
        </is>
      </c>
      <c r="I218" s="34" t="inlineStr">
        <is>
          <t>New</t>
        </is>
      </c>
      <c r="J218" s="92" t="inlineStr">
        <is>
          <t>08 CROSSWALK</t>
        </is>
      </c>
    </row>
    <row r="219" ht="49" customHeight="1">
      <c r="A219" s="34" t="inlineStr">
        <is>
          <t>R132-v1</t>
        </is>
      </c>
      <c r="B219" s="34" t="inlineStr">
        <is>
          <t>Contractor Programme / SCH-01-132</t>
        </is>
      </c>
      <c r="C219" s="34" t="inlineStr">
        <is>
          <t>WBS Code = 1.1.2</t>
        </is>
      </c>
      <c r="D219" s="34" t="inlineStr">
        <is>
          <t>Proposed by Source assignment; target 1.1.2 Guideway and Civil - Utility &amp; Roadworks</t>
        </is>
      </c>
      <c r="E219" s="34" t="inlineStr">
        <is>
          <t>None recorded</t>
        </is>
      </c>
      <c r="F219" s="34" t="inlineStr">
        <is>
          <t>No individual professional decision recorded; Source assignment -- not individually reviewed</t>
        </is>
      </c>
      <c r="G219" s="34" t="inlineStr">
        <is>
          <t>Not individually decided</t>
        </is>
      </c>
      <c r="H219" s="34" t="inlineStr">
        <is>
          <t xml:space="preserve">APPROVED / ONE_TO_ONE; </t>
        </is>
      </c>
      <c r="I219" s="34" t="inlineStr">
        <is>
          <t>New</t>
        </is>
      </c>
      <c r="J219" s="92" t="inlineStr">
        <is>
          <t>08 CROSSWALK</t>
        </is>
      </c>
    </row>
    <row r="220" ht="49" customHeight="1">
      <c r="A220" s="34" t="inlineStr">
        <is>
          <t>R135-v1</t>
        </is>
      </c>
      <c r="B220" s="34" t="inlineStr">
        <is>
          <t>Contractor Programme / SCH-01-135</t>
        </is>
      </c>
      <c r="C220" s="34" t="inlineStr">
        <is>
          <t>WBS Code = 1.1.2</t>
        </is>
      </c>
      <c r="D220" s="34" t="inlineStr">
        <is>
          <t>Proposed by Source assignment; target 1.1.2 Guideway and Civil - Utility &amp; Roadworks</t>
        </is>
      </c>
      <c r="E220" s="34" t="inlineStr">
        <is>
          <t>None recorded</t>
        </is>
      </c>
      <c r="F220" s="34" t="inlineStr">
        <is>
          <t>No individual professional decision recorded; Source assignment -- not individually reviewed</t>
        </is>
      </c>
      <c r="G220" s="34" t="inlineStr">
        <is>
          <t>Not individually decided</t>
        </is>
      </c>
      <c r="H220" s="34" t="inlineStr">
        <is>
          <t xml:space="preserve">APPROVED / ONE_TO_ONE; </t>
        </is>
      </c>
      <c r="I220" s="34" t="inlineStr">
        <is>
          <t>New</t>
        </is>
      </c>
      <c r="J220" s="92" t="inlineStr">
        <is>
          <t>08 CROSSWALK</t>
        </is>
      </c>
    </row>
    <row r="221" ht="49" customHeight="1">
      <c r="A221" s="34" t="inlineStr">
        <is>
          <t>R138-v1</t>
        </is>
      </c>
      <c r="B221" s="34" t="inlineStr">
        <is>
          <t>Contractor Programme / SCH-01-138</t>
        </is>
      </c>
      <c r="C221" s="34" t="inlineStr">
        <is>
          <t>WBS Code = 1.1.2</t>
        </is>
      </c>
      <c r="D221" s="34" t="inlineStr">
        <is>
          <t>Proposed by Source assignment; target 1.1.2 Guideway and Civil - Utility &amp; Roadworks</t>
        </is>
      </c>
      <c r="E221" s="34" t="inlineStr">
        <is>
          <t>None recorded</t>
        </is>
      </c>
      <c r="F221" s="34" t="inlineStr">
        <is>
          <t>No individual professional decision recorded; Source assignment -- not individually reviewed</t>
        </is>
      </c>
      <c r="G221" s="34" t="inlineStr">
        <is>
          <t>Not individually decided</t>
        </is>
      </c>
      <c r="H221" s="34" t="inlineStr">
        <is>
          <t xml:space="preserve">APPROVED / ONE_TO_ONE; </t>
        </is>
      </c>
      <c r="I221" s="34" t="inlineStr">
        <is>
          <t>New</t>
        </is>
      </c>
      <c r="J221" s="92" t="inlineStr">
        <is>
          <t>08 CROSSWALK</t>
        </is>
      </c>
    </row>
    <row r="222" ht="49" customHeight="1">
      <c r="A222" s="34" t="inlineStr">
        <is>
          <t>R141-v1</t>
        </is>
      </c>
      <c r="B222" s="34" t="inlineStr">
        <is>
          <t>Contractor Programme / SCH-01-141</t>
        </is>
      </c>
      <c r="C222" s="34" t="inlineStr">
        <is>
          <t>WBS Code = 1.1.2</t>
        </is>
      </c>
      <c r="D222" s="34" t="inlineStr">
        <is>
          <t>Proposed by Source assignment; target 1.1.2 Guideway and Civil - Utility &amp; Roadworks</t>
        </is>
      </c>
      <c r="E222" s="34" t="inlineStr">
        <is>
          <t>None recorded</t>
        </is>
      </c>
      <c r="F222" s="34" t="inlineStr">
        <is>
          <t>No individual professional decision recorded; Source assignment -- not individually reviewed</t>
        </is>
      </c>
      <c r="G222" s="34" t="inlineStr">
        <is>
          <t>Not individually decided</t>
        </is>
      </c>
      <c r="H222" s="34" t="inlineStr">
        <is>
          <t xml:space="preserve">APPROVED / ONE_TO_ONE; </t>
        </is>
      </c>
      <c r="I222" s="34" t="inlineStr">
        <is>
          <t>New</t>
        </is>
      </c>
      <c r="J222" s="92" t="inlineStr">
        <is>
          <t>08 CROSSWALK</t>
        </is>
      </c>
    </row>
    <row r="223" ht="49" customHeight="1">
      <c r="A223" s="34" t="inlineStr">
        <is>
          <t>R144-v1</t>
        </is>
      </c>
      <c r="B223" s="34" t="inlineStr">
        <is>
          <t>Contractor Programme / SCH-01-144</t>
        </is>
      </c>
      <c r="C223" s="34" t="inlineStr">
        <is>
          <t>WBS Code = 1.1.2</t>
        </is>
      </c>
      <c r="D223" s="34" t="inlineStr">
        <is>
          <t>Proposed by Source assignment; target 1.1.2 Guideway and Civil - Utility &amp; Roadworks</t>
        </is>
      </c>
      <c r="E223" s="34" t="inlineStr">
        <is>
          <t>None recorded</t>
        </is>
      </c>
      <c r="F223" s="34" t="inlineStr">
        <is>
          <t>No individual professional decision recorded; Source assignment -- not individually reviewed</t>
        </is>
      </c>
      <c r="G223" s="34" t="inlineStr">
        <is>
          <t>Not individually decided</t>
        </is>
      </c>
      <c r="H223" s="34" t="inlineStr">
        <is>
          <t xml:space="preserve">APPROVED / ONE_TO_ONE; </t>
        </is>
      </c>
      <c r="I223" s="34" t="inlineStr">
        <is>
          <t>New</t>
        </is>
      </c>
      <c r="J223" s="92" t="inlineStr">
        <is>
          <t>08 CROSSWALK</t>
        </is>
      </c>
    </row>
    <row r="224" ht="49" customHeight="1">
      <c r="A224" s="34" t="inlineStr">
        <is>
          <t>R147-v1</t>
        </is>
      </c>
      <c r="B224" s="34" t="inlineStr">
        <is>
          <t>Contractor Programme / SCH-01-147</t>
        </is>
      </c>
      <c r="C224" s="34" t="inlineStr">
        <is>
          <t>WBS Code = 1.1.2</t>
        </is>
      </c>
      <c r="D224" s="34" t="inlineStr">
        <is>
          <t>Proposed by Source assignment; target 1.1.2 Guideway and Civil - Utility &amp; Roadworks</t>
        </is>
      </c>
      <c r="E224" s="34" t="inlineStr">
        <is>
          <t>None recorded</t>
        </is>
      </c>
      <c r="F224" s="34" t="inlineStr">
        <is>
          <t>No individual professional decision recorded; Source assignment -- not individually reviewed</t>
        </is>
      </c>
      <c r="G224" s="34" t="inlineStr">
        <is>
          <t>Not individually decided</t>
        </is>
      </c>
      <c r="H224" s="34" t="inlineStr">
        <is>
          <t xml:space="preserve">APPROVED / ONE_TO_ONE; </t>
        </is>
      </c>
      <c r="I224" s="34" t="inlineStr">
        <is>
          <t>New</t>
        </is>
      </c>
      <c r="J224" s="92" t="inlineStr">
        <is>
          <t>08 CROSSWALK</t>
        </is>
      </c>
    </row>
    <row r="225" ht="49" customHeight="1">
      <c r="A225" s="34" t="inlineStr">
        <is>
          <t>R150-v1</t>
        </is>
      </c>
      <c r="B225" s="34" t="inlineStr">
        <is>
          <t>Contractor Programme / SCH-01-150</t>
        </is>
      </c>
      <c r="C225" s="34" t="inlineStr">
        <is>
          <t>WBS Code = 1.1.2</t>
        </is>
      </c>
      <c r="D225" s="34" t="inlineStr">
        <is>
          <t>Proposed by Source assignment; target 1.1.2 Guideway and Civil - Utility &amp; Roadworks</t>
        </is>
      </c>
      <c r="E225" s="34" t="inlineStr">
        <is>
          <t>None recorded</t>
        </is>
      </c>
      <c r="F225" s="34" t="inlineStr">
        <is>
          <t>No individual professional decision recorded; Source assignment -- not individually reviewed</t>
        </is>
      </c>
      <c r="G225" s="34" t="inlineStr">
        <is>
          <t>Not individually decided</t>
        </is>
      </c>
      <c r="H225" s="34" t="inlineStr">
        <is>
          <t xml:space="preserve">APPROVED / ONE_TO_ONE; </t>
        </is>
      </c>
      <c r="I225" s="34" t="inlineStr">
        <is>
          <t>New</t>
        </is>
      </c>
      <c r="J225" s="92" t="inlineStr">
        <is>
          <t>08 CROSSWALK</t>
        </is>
      </c>
    </row>
    <row r="226" ht="49" customHeight="1">
      <c r="A226" s="34" t="inlineStr">
        <is>
          <t>R153-v1</t>
        </is>
      </c>
      <c r="B226" s="34" t="inlineStr">
        <is>
          <t>Contractor Programme / SCH-01-153</t>
        </is>
      </c>
      <c r="C226" s="34" t="inlineStr">
        <is>
          <t>WBS Code = 1.1.2</t>
        </is>
      </c>
      <c r="D226" s="34" t="inlineStr">
        <is>
          <t>Proposed by Source assignment; target 1.1.2 Guideway and Civil - Utility &amp; Roadworks</t>
        </is>
      </c>
      <c r="E226" s="34" t="inlineStr">
        <is>
          <t>None recorded</t>
        </is>
      </c>
      <c r="F226" s="34" t="inlineStr">
        <is>
          <t>No individual professional decision recorded; Source assignment -- not individually reviewed</t>
        </is>
      </c>
      <c r="G226" s="34" t="inlineStr">
        <is>
          <t>Not individually decided</t>
        </is>
      </c>
      <c r="H226" s="34" t="inlineStr">
        <is>
          <t xml:space="preserve">APPROVED / ONE_TO_ONE; </t>
        </is>
      </c>
      <c r="I226" s="34" t="inlineStr">
        <is>
          <t>New</t>
        </is>
      </c>
      <c r="J226" s="92" t="inlineStr">
        <is>
          <t>08 CROSSWALK</t>
        </is>
      </c>
    </row>
    <row r="227" ht="49" customHeight="1">
      <c r="A227" s="34" t="inlineStr">
        <is>
          <t>R156-v1</t>
        </is>
      </c>
      <c r="B227" s="34" t="inlineStr">
        <is>
          <t>Contractor Programme / SCH-01-156</t>
        </is>
      </c>
      <c r="C227" s="34" t="inlineStr">
        <is>
          <t>WBS Code = 1.1.2</t>
        </is>
      </c>
      <c r="D227" s="34" t="inlineStr">
        <is>
          <t>Proposed by Source assignment; target 1.1.2 Guideway and Civil - Utility &amp; Roadworks</t>
        </is>
      </c>
      <c r="E227" s="34" t="inlineStr">
        <is>
          <t>None recorded</t>
        </is>
      </c>
      <c r="F227" s="34" t="inlineStr">
        <is>
          <t>No individual professional decision recorded; Source assignment -- not individually reviewed</t>
        </is>
      </c>
      <c r="G227" s="34" t="inlineStr">
        <is>
          <t>Not individually decided</t>
        </is>
      </c>
      <c r="H227" s="34" t="inlineStr">
        <is>
          <t xml:space="preserve">APPROVED / ONE_TO_ONE; </t>
        </is>
      </c>
      <c r="I227" s="34" t="inlineStr">
        <is>
          <t>New</t>
        </is>
      </c>
      <c r="J227" s="92" t="inlineStr">
        <is>
          <t>08 CROSSWALK</t>
        </is>
      </c>
    </row>
    <row r="228" ht="49" customHeight="1">
      <c r="A228" s="34" t="inlineStr">
        <is>
          <t>R159-v1</t>
        </is>
      </c>
      <c r="B228" s="34" t="inlineStr">
        <is>
          <t>Contractor Programme / SCH-01-159</t>
        </is>
      </c>
      <c r="C228" s="34" t="inlineStr">
        <is>
          <t>WBS Code = 1.1.2</t>
        </is>
      </c>
      <c r="D228" s="34" t="inlineStr">
        <is>
          <t>Proposed by Source assignment; target 1.1.2 Guideway and Civil - Utility &amp; Roadworks</t>
        </is>
      </c>
      <c r="E228" s="34" t="inlineStr">
        <is>
          <t>None recorded</t>
        </is>
      </c>
      <c r="F228" s="34" t="inlineStr">
        <is>
          <t>No individual professional decision recorded; Source assignment -- not individually reviewed</t>
        </is>
      </c>
      <c r="G228" s="34" t="inlineStr">
        <is>
          <t>Not individually decided</t>
        </is>
      </c>
      <c r="H228" s="34" t="inlineStr">
        <is>
          <t xml:space="preserve">APPROVED / ONE_TO_ONE; </t>
        </is>
      </c>
      <c r="I228" s="34" t="inlineStr">
        <is>
          <t>New</t>
        </is>
      </c>
      <c r="J228" s="92" t="inlineStr">
        <is>
          <t>08 CROSSWALK</t>
        </is>
      </c>
    </row>
    <row r="229" ht="49" customHeight="1">
      <c r="A229" s="34" t="inlineStr">
        <is>
          <t>R162-v1</t>
        </is>
      </c>
      <c r="B229" s="34" t="inlineStr">
        <is>
          <t>Contractor Programme / SCH-01-162</t>
        </is>
      </c>
      <c r="C229" s="34" t="inlineStr">
        <is>
          <t>WBS Code = 1.1.2</t>
        </is>
      </c>
      <c r="D229" s="34" t="inlineStr">
        <is>
          <t>Proposed by Source assignment; target 1.1.2 Guideway and Civil - Utility &amp; Roadworks</t>
        </is>
      </c>
      <c r="E229" s="34" t="inlineStr">
        <is>
          <t>None recorded</t>
        </is>
      </c>
      <c r="F229" s="34" t="inlineStr">
        <is>
          <t>No individual professional decision recorded; Source assignment -- not individually reviewed</t>
        </is>
      </c>
      <c r="G229" s="34" t="inlineStr">
        <is>
          <t>Not individually decided</t>
        </is>
      </c>
      <c r="H229" s="34" t="inlineStr">
        <is>
          <t xml:space="preserve">APPROVED / ONE_TO_ONE; </t>
        </is>
      </c>
      <c r="I229" s="34" t="inlineStr">
        <is>
          <t>New</t>
        </is>
      </c>
      <c r="J229" s="92" t="inlineStr">
        <is>
          <t>08 CROSSWALK</t>
        </is>
      </c>
    </row>
    <row r="230" ht="49" customHeight="1">
      <c r="A230" s="34" t="inlineStr">
        <is>
          <t>R165-v1</t>
        </is>
      </c>
      <c r="B230" s="34" t="inlineStr">
        <is>
          <t>Contractor Programme / SCH-01-165</t>
        </is>
      </c>
      <c r="C230" s="34" t="inlineStr">
        <is>
          <t>WBS Code = 1.1.2</t>
        </is>
      </c>
      <c r="D230" s="34" t="inlineStr">
        <is>
          <t>Proposed by Source assignment; target 1.1.2 Guideway and Civil - Utility &amp; Roadworks</t>
        </is>
      </c>
      <c r="E230" s="34" t="inlineStr">
        <is>
          <t>None recorded</t>
        </is>
      </c>
      <c r="F230" s="34" t="inlineStr">
        <is>
          <t>No individual professional decision recorded; Source assignment -- not individually reviewed</t>
        </is>
      </c>
      <c r="G230" s="34" t="inlineStr">
        <is>
          <t>Not individually decided</t>
        </is>
      </c>
      <c r="H230" s="34" t="inlineStr">
        <is>
          <t xml:space="preserve">APPROVED / ONE_TO_ONE; </t>
        </is>
      </c>
      <c r="I230" s="34" t="inlineStr">
        <is>
          <t>New</t>
        </is>
      </c>
      <c r="J230" s="92" t="inlineStr">
        <is>
          <t>08 CROSSWALK</t>
        </is>
      </c>
    </row>
    <row r="231" ht="49" customHeight="1">
      <c r="A231" s="34" t="inlineStr">
        <is>
          <t>R168-v1</t>
        </is>
      </c>
      <c r="B231" s="34" t="inlineStr">
        <is>
          <t>Contractor Programme / SCH-01-168</t>
        </is>
      </c>
      <c r="C231" s="34" t="inlineStr">
        <is>
          <t>WBS Code = 1.1.2</t>
        </is>
      </c>
      <c r="D231" s="34" t="inlineStr">
        <is>
          <t>Proposed by Source assignment; target 1.1.2 Guideway and Civil - Utility &amp; Roadworks</t>
        </is>
      </c>
      <c r="E231" s="34" t="inlineStr">
        <is>
          <t>None recorded</t>
        </is>
      </c>
      <c r="F231" s="34" t="inlineStr">
        <is>
          <t>No individual professional decision recorded; Source assignment -- not individually reviewed</t>
        </is>
      </c>
      <c r="G231" s="34" t="inlineStr">
        <is>
          <t>Not individually decided</t>
        </is>
      </c>
      <c r="H231" s="34" t="inlineStr">
        <is>
          <t xml:space="preserve">APPROVED / ONE_TO_ONE; </t>
        </is>
      </c>
      <c r="I231" s="34" t="inlineStr">
        <is>
          <t>New</t>
        </is>
      </c>
      <c r="J231" s="92" t="inlineStr">
        <is>
          <t>08 CROSSWALK</t>
        </is>
      </c>
    </row>
    <row r="232" ht="49" customHeight="1">
      <c r="A232" s="34" t="inlineStr">
        <is>
          <t>R171-v1</t>
        </is>
      </c>
      <c r="B232" s="34" t="inlineStr">
        <is>
          <t>Contractor Programme / SCH-01-171</t>
        </is>
      </c>
      <c r="C232" s="34" t="inlineStr">
        <is>
          <t>WBS Code = 1.1.2</t>
        </is>
      </c>
      <c r="D232" s="34" t="inlineStr">
        <is>
          <t>Proposed by Source assignment; target 1.1.2 Guideway and Civil - Utility &amp; Roadworks</t>
        </is>
      </c>
      <c r="E232" s="34" t="inlineStr">
        <is>
          <t>None recorded</t>
        </is>
      </c>
      <c r="F232" s="34" t="inlineStr">
        <is>
          <t>No individual professional decision recorded; Source assignment -- not individually reviewed</t>
        </is>
      </c>
      <c r="G232" s="34" t="inlineStr">
        <is>
          <t>Not individually decided</t>
        </is>
      </c>
      <c r="H232" s="34" t="inlineStr">
        <is>
          <t xml:space="preserve">APPROVED / ONE_TO_ONE; </t>
        </is>
      </c>
      <c r="I232" s="34" t="inlineStr">
        <is>
          <t>New</t>
        </is>
      </c>
      <c r="J232" s="92" t="inlineStr">
        <is>
          <t>08 CROSSWALK</t>
        </is>
      </c>
    </row>
    <row r="233" ht="49" customHeight="1">
      <c r="A233" s="34" t="inlineStr">
        <is>
          <t>R174-v1</t>
        </is>
      </c>
      <c r="B233" s="34" t="inlineStr">
        <is>
          <t>Contractor Programme / SCH-01-174</t>
        </is>
      </c>
      <c r="C233" s="34" t="inlineStr">
        <is>
          <t>WBS Code = 1.1.2</t>
        </is>
      </c>
      <c r="D233" s="34" t="inlineStr">
        <is>
          <t>Proposed by Source assignment; target 1.1.2 Guideway and Civil - Utility &amp; Roadworks</t>
        </is>
      </c>
      <c r="E233" s="34" t="inlineStr">
        <is>
          <t>None recorded</t>
        </is>
      </c>
      <c r="F233" s="34" t="inlineStr">
        <is>
          <t>No individual professional decision recorded; Source assignment -- not individually reviewed</t>
        </is>
      </c>
      <c r="G233" s="34" t="inlineStr">
        <is>
          <t>Not individually decided</t>
        </is>
      </c>
      <c r="H233" s="34" t="inlineStr">
        <is>
          <t xml:space="preserve">APPROVED / ONE_TO_ONE; </t>
        </is>
      </c>
      <c r="I233" s="34" t="inlineStr">
        <is>
          <t>New</t>
        </is>
      </c>
      <c r="J233" s="92" t="inlineStr">
        <is>
          <t>08 CROSSWALK</t>
        </is>
      </c>
    </row>
    <row r="234" ht="49" customHeight="1">
      <c r="A234" s="34" t="inlineStr">
        <is>
          <t>R177-v1</t>
        </is>
      </c>
      <c r="B234" s="34" t="inlineStr">
        <is>
          <t>Contractor Programme / SCH-01-177</t>
        </is>
      </c>
      <c r="C234" s="34" t="inlineStr">
        <is>
          <t>WBS Code = 1.1.2</t>
        </is>
      </c>
      <c r="D234" s="34" t="inlineStr">
        <is>
          <t>Proposed by Source assignment; target 1.1.2 Guideway and Civil - Utility &amp; Roadworks</t>
        </is>
      </c>
      <c r="E234" s="34" t="inlineStr">
        <is>
          <t>None recorded</t>
        </is>
      </c>
      <c r="F234" s="34" t="inlineStr">
        <is>
          <t>No individual professional decision recorded; Source assignment -- not individually reviewed</t>
        </is>
      </c>
      <c r="G234" s="34" t="inlineStr">
        <is>
          <t>Not individually decided</t>
        </is>
      </c>
      <c r="H234" s="34" t="inlineStr">
        <is>
          <t xml:space="preserve">APPROVED / ONE_TO_ONE; </t>
        </is>
      </c>
      <c r="I234" s="34" t="inlineStr">
        <is>
          <t>New</t>
        </is>
      </c>
      <c r="J234" s="92" t="inlineStr">
        <is>
          <t>08 CROSSWALK</t>
        </is>
      </c>
    </row>
    <row r="235" ht="49" customHeight="1">
      <c r="A235" s="34" t="inlineStr">
        <is>
          <t>R180-v1</t>
        </is>
      </c>
      <c r="B235" s="34" t="inlineStr">
        <is>
          <t>Contractor Programme / SCH-01-180</t>
        </is>
      </c>
      <c r="C235" s="34" t="inlineStr">
        <is>
          <t>WBS Code = 1.1.2</t>
        </is>
      </c>
      <c r="D235" s="34" t="inlineStr">
        <is>
          <t>Proposed by Source assignment; target 1.1.2 Guideway and Civil - Utility &amp; Roadworks</t>
        </is>
      </c>
      <c r="E235" s="34" t="inlineStr">
        <is>
          <t>None recorded</t>
        </is>
      </c>
      <c r="F235" s="34" t="inlineStr">
        <is>
          <t>No individual professional decision recorded; Source assignment -- not individually reviewed</t>
        </is>
      </c>
      <c r="G235" s="34" t="inlineStr">
        <is>
          <t>Not individually decided</t>
        </is>
      </c>
      <c r="H235" s="34" t="inlineStr">
        <is>
          <t xml:space="preserve">APPROVED / ONE_TO_ONE; </t>
        </is>
      </c>
      <c r="I235" s="34" t="inlineStr">
        <is>
          <t>New</t>
        </is>
      </c>
      <c r="J235" s="92" t="inlineStr">
        <is>
          <t>08 CROSSWALK</t>
        </is>
      </c>
    </row>
    <row r="236" ht="49" customHeight="1">
      <c r="A236" s="34" t="inlineStr">
        <is>
          <t>R1084-v1</t>
        </is>
      </c>
      <c r="B236" s="34" t="inlineStr">
        <is>
          <t>Cost &amp; Forecast Control Accounts / CST-01-002</t>
        </is>
      </c>
      <c r="C236" s="34" t="inlineStr">
        <is>
          <t>Cost Account = CA-1002; WBS Code = 1.1.2</t>
        </is>
      </c>
      <c r="D236" s="34" t="inlineStr">
        <is>
          <t>Proposed by Source assignment; target 1.1.2 Guideway and Civil - Utility &amp; Roadworks</t>
        </is>
      </c>
      <c r="E236" s="34" t="inlineStr">
        <is>
          <t>None recorded</t>
        </is>
      </c>
      <c r="F236" s="34" t="inlineStr">
        <is>
          <t>No individual professional decision recorded; Source assignment -- not individually reviewed</t>
        </is>
      </c>
      <c r="G236" s="34" t="inlineStr">
        <is>
          <t>Not individually decided</t>
        </is>
      </c>
      <c r="H236" s="34" t="inlineStr">
        <is>
          <t xml:space="preserve">APPROVED / ONE_TO_ONE; </t>
        </is>
      </c>
      <c r="I236" s="34" t="inlineStr">
        <is>
          <t>New</t>
        </is>
      </c>
      <c r="J236" s="92" t="inlineStr">
        <is>
          <t>08 CROSSWALK</t>
        </is>
      </c>
    </row>
    <row r="237" ht="49" customHeight="1">
      <c r="A237" s="34" t="inlineStr">
        <is>
          <t>R1086-v1</t>
        </is>
      </c>
      <c r="B237" s="34" t="inlineStr">
        <is>
          <t>Cost &amp; Forecast Control Accounts / CST-01-004</t>
        </is>
      </c>
      <c r="C237" s="34" t="inlineStr">
        <is>
          <t>Cost Account = CA-1004; WBS Code = 1.1.2</t>
        </is>
      </c>
      <c r="D237" s="34" t="inlineStr">
        <is>
          <t>Proposed by Source assignment; target 1.1.2 Guideway and Civil - Utility &amp; Roadworks</t>
        </is>
      </c>
      <c r="E237" s="34" t="inlineStr">
        <is>
          <t>None recorded</t>
        </is>
      </c>
      <c r="F237" s="34" t="inlineStr">
        <is>
          <t>No individual professional decision recorded; Source assignment -- not individually reviewed</t>
        </is>
      </c>
      <c r="G237" s="34" t="inlineStr">
        <is>
          <t>Not individually decided</t>
        </is>
      </c>
      <c r="H237" s="34" t="inlineStr">
        <is>
          <t xml:space="preserve">APPROVED / ONE_TO_ONE; </t>
        </is>
      </c>
      <c r="I237" s="34" t="inlineStr">
        <is>
          <t>New</t>
        </is>
      </c>
      <c r="J237" s="92" t="inlineStr">
        <is>
          <t>08 CROSSWALK</t>
        </is>
      </c>
    </row>
    <row r="238" ht="49" customHeight="1">
      <c r="A238" s="34" t="inlineStr">
        <is>
          <t>R1088-v1</t>
        </is>
      </c>
      <c r="B238" s="34" t="inlineStr">
        <is>
          <t>Cost &amp; Forecast Control Accounts / CST-01-006</t>
        </is>
      </c>
      <c r="C238" s="34" t="inlineStr">
        <is>
          <t>Cost Account = CA-1006; WBS Code = 1.1.2</t>
        </is>
      </c>
      <c r="D238" s="34" t="inlineStr">
        <is>
          <t>Proposed by Source assignment; target 1.1.2 Guideway and Civil - Utility &amp; Roadworks</t>
        </is>
      </c>
      <c r="E238" s="34" t="inlineStr">
        <is>
          <t>None recorded</t>
        </is>
      </c>
      <c r="F238" s="34" t="inlineStr">
        <is>
          <t>No individual professional decision recorded; Source assignment -- not individually reviewed</t>
        </is>
      </c>
      <c r="G238" s="34" t="inlineStr">
        <is>
          <t>Not individually decided</t>
        </is>
      </c>
      <c r="H238" s="34" t="inlineStr">
        <is>
          <t xml:space="preserve">APPROVED / ONE_TO_ONE; </t>
        </is>
      </c>
      <c r="I238" s="34" t="inlineStr">
        <is>
          <t>New</t>
        </is>
      </c>
      <c r="J238" s="92" t="inlineStr">
        <is>
          <t>08 CROSSWALK</t>
        </is>
      </c>
    </row>
    <row r="239" ht="49" customHeight="1">
      <c r="A239" s="34" t="inlineStr">
        <is>
          <t>R1090-v1</t>
        </is>
      </c>
      <c r="B239" s="34" t="inlineStr">
        <is>
          <t>Cost &amp; Forecast Control Accounts / CST-01-008</t>
        </is>
      </c>
      <c r="C239" s="34" t="inlineStr">
        <is>
          <t>Cost Account = CA-1008; WBS Code = 1.1.2</t>
        </is>
      </c>
      <c r="D239" s="34" t="inlineStr">
        <is>
          <t>Proposed by Source assignment; target 1.1.2 Guideway and Civil - Utility &amp; Roadworks</t>
        </is>
      </c>
      <c r="E239" s="34" t="inlineStr">
        <is>
          <t>None recorded</t>
        </is>
      </c>
      <c r="F239" s="34" t="inlineStr">
        <is>
          <t>No individual professional decision recorded; Source assignment -- not individually reviewed</t>
        </is>
      </c>
      <c r="G239" s="34" t="inlineStr">
        <is>
          <t>Not individually decided</t>
        </is>
      </c>
      <c r="H239" s="34" t="inlineStr">
        <is>
          <t xml:space="preserve">APPROVED / ONE_TO_ONE; </t>
        </is>
      </c>
      <c r="I239" s="34" t="inlineStr">
        <is>
          <t>New</t>
        </is>
      </c>
      <c r="J239" s="92" t="inlineStr">
        <is>
          <t>08 CROSSWALK</t>
        </is>
      </c>
    </row>
    <row r="240" ht="49" customHeight="1">
      <c r="A240" s="34" t="inlineStr">
        <is>
          <t>R1092-v1</t>
        </is>
      </c>
      <c r="B240" s="34" t="inlineStr">
        <is>
          <t>Cost &amp; Forecast Control Accounts / CST-01-010</t>
        </is>
      </c>
      <c r="C240" s="34" t="inlineStr">
        <is>
          <t>Cost Account = CA-1010; WBS Code = 1.1.2</t>
        </is>
      </c>
      <c r="D240" s="34" t="inlineStr">
        <is>
          <t>Proposed by Source assignment; target 1.1.2 Guideway and Civil - Utility &amp; Roadworks</t>
        </is>
      </c>
      <c r="E240" s="34" t="inlineStr">
        <is>
          <t>None recorded</t>
        </is>
      </c>
      <c r="F240" s="34" t="inlineStr">
        <is>
          <t>No individual professional decision recorded; Source assignment -- not individually reviewed</t>
        </is>
      </c>
      <c r="G240" s="34" t="inlineStr">
        <is>
          <t>Not individually decided</t>
        </is>
      </c>
      <c r="H240" s="34" t="inlineStr">
        <is>
          <t xml:space="preserve">APPROVED / ONE_TO_ONE; </t>
        </is>
      </c>
      <c r="I240" s="34" t="inlineStr">
        <is>
          <t>New</t>
        </is>
      </c>
      <c r="J240" s="92" t="inlineStr">
        <is>
          <t>08 CROSSWALK</t>
        </is>
      </c>
    </row>
    <row r="241" ht="49" customHeight="1">
      <c r="A241" s="34" t="inlineStr">
        <is>
          <t>R1094-v1</t>
        </is>
      </c>
      <c r="B241" s="34" t="inlineStr">
        <is>
          <t>Cost &amp; Forecast Control Accounts / CST-01-012</t>
        </is>
      </c>
      <c r="C241" s="34" t="inlineStr">
        <is>
          <t>Cost Account = CA-1012; WBS Code = 1.1.2</t>
        </is>
      </c>
      <c r="D241" s="34" t="inlineStr">
        <is>
          <t>Proposed by Source assignment; target 1.1.2 Guideway and Civil - Utility &amp; Roadworks</t>
        </is>
      </c>
      <c r="E241" s="34" t="inlineStr">
        <is>
          <t>None recorded</t>
        </is>
      </c>
      <c r="F241" s="34" t="inlineStr">
        <is>
          <t>No individual professional decision recorded; Source assignment -- not individually reviewed</t>
        </is>
      </c>
      <c r="G241" s="34" t="inlineStr">
        <is>
          <t>Not individually decided</t>
        </is>
      </c>
      <c r="H241" s="34" t="inlineStr">
        <is>
          <t xml:space="preserve">APPROVED / ONE_TO_ONE; </t>
        </is>
      </c>
      <c r="I241" s="34" t="inlineStr">
        <is>
          <t>New</t>
        </is>
      </c>
      <c r="J241" s="92" t="inlineStr">
        <is>
          <t>08 CROSSWALK</t>
        </is>
      </c>
    </row>
    <row r="242" ht="49" customHeight="1">
      <c r="A242" s="34" t="inlineStr">
        <is>
          <t>R1096-v1</t>
        </is>
      </c>
      <c r="B242" s="34" t="inlineStr">
        <is>
          <t>Cost &amp; Forecast Control Accounts / CST-01-014</t>
        </is>
      </c>
      <c r="C242" s="34" t="inlineStr">
        <is>
          <t>Cost Account = CA-1014; WBS Code = 1.1.2</t>
        </is>
      </c>
      <c r="D242" s="34" t="inlineStr">
        <is>
          <t>Proposed by Source assignment; target 1.1.2 Guideway and Civil - Utility &amp; Roadworks</t>
        </is>
      </c>
      <c r="E242" s="34" t="inlineStr">
        <is>
          <t>None recorded</t>
        </is>
      </c>
      <c r="F242" s="34" t="inlineStr">
        <is>
          <t>No individual professional decision recorded; Source assignment -- not individually reviewed</t>
        </is>
      </c>
      <c r="G242" s="34" t="inlineStr">
        <is>
          <t>Not individually decided</t>
        </is>
      </c>
      <c r="H242" s="34" t="inlineStr">
        <is>
          <t xml:space="preserve">APPROVED / ONE_TO_ONE; </t>
        </is>
      </c>
      <c r="I242" s="34" t="inlineStr">
        <is>
          <t>New</t>
        </is>
      </c>
      <c r="J242" s="92" t="inlineStr">
        <is>
          <t>08 CROSSWALK</t>
        </is>
      </c>
    </row>
    <row r="243" ht="49" customHeight="1">
      <c r="A243" s="34" t="inlineStr">
        <is>
          <t>R1098-v1</t>
        </is>
      </c>
      <c r="B243" s="34" t="inlineStr">
        <is>
          <t>Cost &amp; Forecast Control Accounts / CST-01-016</t>
        </is>
      </c>
      <c r="C243" s="34" t="inlineStr">
        <is>
          <t>Cost Account = CA-1016; WBS Code = 1.1.2</t>
        </is>
      </c>
      <c r="D243" s="34" t="inlineStr">
        <is>
          <t>Proposed by Source assignment; target 1.1.2 Guideway and Civil - Utility &amp; Roadworks</t>
        </is>
      </c>
      <c r="E243" s="34" t="inlineStr">
        <is>
          <t>None recorded</t>
        </is>
      </c>
      <c r="F243" s="34" t="inlineStr">
        <is>
          <t>No individual professional decision recorded; Source assignment -- not individually reviewed</t>
        </is>
      </c>
      <c r="G243" s="34" t="inlineStr">
        <is>
          <t>Not individually decided</t>
        </is>
      </c>
      <c r="H243" s="34" t="inlineStr">
        <is>
          <t xml:space="preserve">APPROVED / ONE_TO_ONE; </t>
        </is>
      </c>
      <c r="I243" s="34" t="inlineStr">
        <is>
          <t>New</t>
        </is>
      </c>
      <c r="J243" s="92" t="inlineStr">
        <is>
          <t>08 CROSSWALK</t>
        </is>
      </c>
    </row>
    <row r="244" ht="49" customHeight="1">
      <c r="A244" s="34" t="inlineStr">
        <is>
          <t>R1100-v1</t>
        </is>
      </c>
      <c r="B244" s="34" t="inlineStr">
        <is>
          <t>Cost &amp; Forecast Control Accounts / CST-01-018</t>
        </is>
      </c>
      <c r="C244" s="34" t="inlineStr">
        <is>
          <t>Cost Account = CA-1018; WBS Code = 1.1.2</t>
        </is>
      </c>
      <c r="D244" s="34" t="inlineStr">
        <is>
          <t>Proposed by Source assignment; target 1.1.2 Guideway and Civil - Utility &amp; Roadworks</t>
        </is>
      </c>
      <c r="E244" s="34" t="inlineStr">
        <is>
          <t>None recorded</t>
        </is>
      </c>
      <c r="F244" s="34" t="inlineStr">
        <is>
          <t>No individual professional decision recorded; Source assignment -- not individually reviewed</t>
        </is>
      </c>
      <c r="G244" s="34" t="inlineStr">
        <is>
          <t>Not individually decided</t>
        </is>
      </c>
      <c r="H244" s="34" t="inlineStr">
        <is>
          <t xml:space="preserve">APPROVED / ONE_TO_ONE; </t>
        </is>
      </c>
      <c r="I244" s="34" t="inlineStr">
        <is>
          <t>New</t>
        </is>
      </c>
      <c r="J244" s="92" t="inlineStr">
        <is>
          <t>08 CROSSWALK</t>
        </is>
      </c>
    </row>
    <row r="245" ht="49" customHeight="1">
      <c r="A245" s="34" t="inlineStr">
        <is>
          <t>R1102-v1</t>
        </is>
      </c>
      <c r="B245" s="34" t="inlineStr">
        <is>
          <t>Cost &amp; Forecast Control Accounts / CST-01-020</t>
        </is>
      </c>
      <c r="C245" s="34" t="inlineStr">
        <is>
          <t>Cost Account = CA-1020; WBS Code = 1.1.2</t>
        </is>
      </c>
      <c r="D245" s="34" t="inlineStr">
        <is>
          <t>Proposed by Source assignment; target 1.1.2 Guideway and Civil - Utility &amp; Roadworks</t>
        </is>
      </c>
      <c r="E245" s="34" t="inlineStr">
        <is>
          <t>None recorded</t>
        </is>
      </c>
      <c r="F245" s="34" t="inlineStr">
        <is>
          <t>No individual professional decision recorded; Source assignment -- not individually reviewed</t>
        </is>
      </c>
      <c r="G245" s="34" t="inlineStr">
        <is>
          <t>Not individually decided</t>
        </is>
      </c>
      <c r="H245" s="34" t="inlineStr">
        <is>
          <t xml:space="preserve">APPROVED / ONE_TO_ONE; </t>
        </is>
      </c>
      <c r="I245" s="34" t="inlineStr">
        <is>
          <t>New</t>
        </is>
      </c>
      <c r="J245" s="92" t="inlineStr">
        <is>
          <t>08 CROSSWALK</t>
        </is>
      </c>
    </row>
    <row r="246" ht="49" customHeight="1">
      <c r="A246" s="34" t="inlineStr">
        <is>
          <t>R1104-v1</t>
        </is>
      </c>
      <c r="B246" s="34" t="inlineStr">
        <is>
          <t>Cost &amp; Forecast Control Accounts / CST-01-022</t>
        </is>
      </c>
      <c r="C246" s="34" t="inlineStr">
        <is>
          <t>Cost Account = CA-1022; WBS Code = 1.1.2</t>
        </is>
      </c>
      <c r="D246" s="34" t="inlineStr">
        <is>
          <t>Proposed by Source assignment; target 1.1.2 Guideway and Civil - Utility &amp; Roadworks</t>
        </is>
      </c>
      <c r="E246" s="34" t="inlineStr">
        <is>
          <t>None recorded</t>
        </is>
      </c>
      <c r="F246" s="34" t="inlineStr">
        <is>
          <t>No individual professional decision recorded; Source assignment -- not individually reviewed</t>
        </is>
      </c>
      <c r="G246" s="34" t="inlineStr">
        <is>
          <t>Not individually decided</t>
        </is>
      </c>
      <c r="H246" s="34" t="inlineStr">
        <is>
          <t xml:space="preserve">APPROVED / ONE_TO_ONE; </t>
        </is>
      </c>
      <c r="I246" s="34" t="inlineStr">
        <is>
          <t>New</t>
        </is>
      </c>
      <c r="J246" s="92" t="inlineStr">
        <is>
          <t>08 CROSSWALK</t>
        </is>
      </c>
    </row>
    <row r="247" ht="49" customHeight="1">
      <c r="A247" s="34" t="inlineStr">
        <is>
          <t>R1106-v1</t>
        </is>
      </c>
      <c r="B247" s="34" t="inlineStr">
        <is>
          <t>Cost &amp; Forecast Control Accounts / CST-01-024</t>
        </is>
      </c>
      <c r="C247" s="34" t="inlineStr">
        <is>
          <t>Cost Account = CA-1024; WBS Code = 1.1.2</t>
        </is>
      </c>
      <c r="D247" s="34" t="inlineStr">
        <is>
          <t>Proposed by Source assignment; target 1.1.2 Guideway and Civil - Utility &amp; Roadworks</t>
        </is>
      </c>
      <c r="E247" s="34" t="inlineStr">
        <is>
          <t>None recorded</t>
        </is>
      </c>
      <c r="F247" s="34" t="inlineStr">
        <is>
          <t>No individual professional decision recorded; Source assignment -- not individually reviewed</t>
        </is>
      </c>
      <c r="G247" s="34" t="inlineStr">
        <is>
          <t>Not individually decided</t>
        </is>
      </c>
      <c r="H247" s="34" t="inlineStr">
        <is>
          <t xml:space="preserve">APPROVED / ONE_TO_ONE; </t>
        </is>
      </c>
      <c r="I247" s="34" t="inlineStr">
        <is>
          <t>New</t>
        </is>
      </c>
      <c r="J247" s="92" t="inlineStr">
        <is>
          <t>08 CROSSWALK</t>
        </is>
      </c>
    </row>
    <row r="248" ht="49" customHeight="1">
      <c r="A248" s="34" t="inlineStr">
        <is>
          <t>R1108-v1</t>
        </is>
      </c>
      <c r="B248" s="34" t="inlineStr">
        <is>
          <t>Cost &amp; Forecast Control Accounts / CST-01-026</t>
        </is>
      </c>
      <c r="C248" s="34" t="inlineStr">
        <is>
          <t>Cost Account = CA-1026; WBS Code = 1.1.2</t>
        </is>
      </c>
      <c r="D248" s="34" t="inlineStr">
        <is>
          <t>Proposed by Source assignment; target 1.1.2 Guideway and Civil - Utility &amp; Roadworks</t>
        </is>
      </c>
      <c r="E248" s="34" t="inlineStr">
        <is>
          <t>None recorded</t>
        </is>
      </c>
      <c r="F248" s="34" t="inlineStr">
        <is>
          <t>No individual professional decision recorded; Source assignment -- not individually reviewed</t>
        </is>
      </c>
      <c r="G248" s="34" t="inlineStr">
        <is>
          <t>Not individually decided</t>
        </is>
      </c>
      <c r="H248" s="34" t="inlineStr">
        <is>
          <t xml:space="preserve">APPROVED / ONE_TO_ONE; </t>
        </is>
      </c>
      <c r="I248" s="34" t="inlineStr">
        <is>
          <t>New</t>
        </is>
      </c>
      <c r="J248" s="92" t="inlineStr">
        <is>
          <t>08 CROSSWALK</t>
        </is>
      </c>
    </row>
    <row r="249" ht="49" customHeight="1">
      <c r="A249" s="34" t="inlineStr">
        <is>
          <t>R1110-v1</t>
        </is>
      </c>
      <c r="B249" s="34" t="inlineStr">
        <is>
          <t>Cost &amp; Forecast Control Accounts / CST-01-028</t>
        </is>
      </c>
      <c r="C249" s="34" t="inlineStr">
        <is>
          <t>Cost Account = CA-1028; WBS Code = 1.1.2</t>
        </is>
      </c>
      <c r="D249" s="34" t="inlineStr">
        <is>
          <t>Proposed by Source assignment; target 1.1.2 Guideway and Civil - Utility &amp; Roadworks</t>
        </is>
      </c>
      <c r="E249" s="34" t="inlineStr">
        <is>
          <t>None recorded</t>
        </is>
      </c>
      <c r="F249" s="34" t="inlineStr">
        <is>
          <t>No individual professional decision recorded; Source assignment -- not individually reviewed</t>
        </is>
      </c>
      <c r="G249" s="34" t="inlineStr">
        <is>
          <t>Not individually decided</t>
        </is>
      </c>
      <c r="H249" s="34" t="inlineStr">
        <is>
          <t xml:space="preserve">APPROVED / ONE_TO_ONE; </t>
        </is>
      </c>
      <c r="I249" s="34" t="inlineStr">
        <is>
          <t>New</t>
        </is>
      </c>
      <c r="J249" s="92" t="inlineStr">
        <is>
          <t>08 CROSSWALK</t>
        </is>
      </c>
    </row>
    <row r="250" ht="49" customHeight="1">
      <c r="A250" s="34" t="inlineStr">
        <is>
          <t>R1112-v1</t>
        </is>
      </c>
      <c r="B250" s="34" t="inlineStr">
        <is>
          <t>Cost &amp; Forecast Control Accounts / CST-01-030</t>
        </is>
      </c>
      <c r="C250" s="34" t="inlineStr">
        <is>
          <t>Cost Account = CA-1030; WBS Code = 1.1.2</t>
        </is>
      </c>
      <c r="D250" s="34" t="inlineStr">
        <is>
          <t>Proposed by Source assignment; target 1.1.2 Guideway and Civil - Utility &amp; Roadworks</t>
        </is>
      </c>
      <c r="E250" s="34" t="inlineStr">
        <is>
          <t>None recorded</t>
        </is>
      </c>
      <c r="F250" s="34" t="inlineStr">
        <is>
          <t>No individual professional decision recorded; Source assignment -- not individually reviewed</t>
        </is>
      </c>
      <c r="G250" s="34" t="inlineStr">
        <is>
          <t>Not individually decided</t>
        </is>
      </c>
      <c r="H250" s="34" t="inlineStr">
        <is>
          <t xml:space="preserve">APPROVED / ONE_TO_ONE; </t>
        </is>
      </c>
      <c r="I250" s="34" t="inlineStr">
        <is>
          <t>New</t>
        </is>
      </c>
      <c r="J250" s="92" t="inlineStr">
        <is>
          <t>08 CROSSWALK</t>
        </is>
      </c>
    </row>
    <row r="251" ht="49" customHeight="1">
      <c r="A251" s="34" t="inlineStr">
        <is>
          <t>R1114-v1</t>
        </is>
      </c>
      <c r="B251" s="34" t="inlineStr">
        <is>
          <t>Cost &amp; Forecast Control Accounts / CST-01-032</t>
        </is>
      </c>
      <c r="C251" s="34" t="inlineStr">
        <is>
          <t>Cost Account = CA-1032; WBS Code = 1.1.2</t>
        </is>
      </c>
      <c r="D251" s="34" t="inlineStr">
        <is>
          <t>Proposed by Source assignment; target 1.1.2 Guideway and Civil - Utility &amp; Roadworks</t>
        </is>
      </c>
      <c r="E251" s="34" t="inlineStr">
        <is>
          <t>None recorded</t>
        </is>
      </c>
      <c r="F251" s="34" t="inlineStr">
        <is>
          <t>No individual professional decision recorded; Source assignment -- not individually reviewed</t>
        </is>
      </c>
      <c r="G251" s="34" t="inlineStr">
        <is>
          <t>Not individually decided</t>
        </is>
      </c>
      <c r="H251" s="34" t="inlineStr">
        <is>
          <t xml:space="preserve">APPROVED / ONE_TO_ONE; </t>
        </is>
      </c>
      <c r="I251" s="34" t="inlineStr">
        <is>
          <t>New</t>
        </is>
      </c>
      <c r="J251" s="92" t="inlineStr">
        <is>
          <t>08 CROSSWALK</t>
        </is>
      </c>
    </row>
    <row r="252" ht="49" customHeight="1">
      <c r="A252" s="34" t="inlineStr">
        <is>
          <t>R1116-v1</t>
        </is>
      </c>
      <c r="B252" s="34" t="inlineStr">
        <is>
          <t>Cost &amp; Forecast Control Accounts / CST-01-034</t>
        </is>
      </c>
      <c r="C252" s="34" t="inlineStr">
        <is>
          <t>Cost Account = CA-1034; WBS Code = 1.1.2</t>
        </is>
      </c>
      <c r="D252" s="34" t="inlineStr">
        <is>
          <t>Proposed by Source assignment; target 1.1.2 Guideway and Civil - Utility &amp; Roadworks</t>
        </is>
      </c>
      <c r="E252" s="34" t="inlineStr">
        <is>
          <t>None recorded</t>
        </is>
      </c>
      <c r="F252" s="34" t="inlineStr">
        <is>
          <t>No individual professional decision recorded; Source assignment -- not individually reviewed</t>
        </is>
      </c>
      <c r="G252" s="34" t="inlineStr">
        <is>
          <t>Not individually decided</t>
        </is>
      </c>
      <c r="H252" s="34" t="inlineStr">
        <is>
          <t xml:space="preserve">APPROVED / ONE_TO_ONE; </t>
        </is>
      </c>
      <c r="I252" s="34" t="inlineStr">
        <is>
          <t>New</t>
        </is>
      </c>
      <c r="J252" s="92" t="inlineStr">
        <is>
          <t>08 CROSSWALK</t>
        </is>
      </c>
    </row>
    <row r="253" ht="49" customHeight="1">
      <c r="A253" s="34" t="inlineStr">
        <is>
          <t>R1118-v1</t>
        </is>
      </c>
      <c r="B253" s="34" t="inlineStr">
        <is>
          <t>Cost &amp; Forecast Control Accounts / CST-01-036</t>
        </is>
      </c>
      <c r="C253" s="34" t="inlineStr">
        <is>
          <t>Cost Account = CA-1036; WBS Code = 1.1.2</t>
        </is>
      </c>
      <c r="D253" s="34" t="inlineStr">
        <is>
          <t>Proposed by Source assignment; target 1.1.2 Guideway and Civil - Utility &amp; Roadworks</t>
        </is>
      </c>
      <c r="E253" s="34" t="inlineStr">
        <is>
          <t>None recorded</t>
        </is>
      </c>
      <c r="F253" s="34" t="inlineStr">
        <is>
          <t>No individual professional decision recorded; Source assignment -- not individually reviewed</t>
        </is>
      </c>
      <c r="G253" s="34" t="inlineStr">
        <is>
          <t>Not individually decided</t>
        </is>
      </c>
      <c r="H253" s="34" t="inlineStr">
        <is>
          <t xml:space="preserve">APPROVED / ONE_TO_ONE; </t>
        </is>
      </c>
      <c r="I253" s="34" t="inlineStr">
        <is>
          <t>New</t>
        </is>
      </c>
      <c r="J253" s="92" t="inlineStr">
        <is>
          <t>08 CROSSWALK</t>
        </is>
      </c>
    </row>
    <row r="254" ht="49" customHeight="1">
      <c r="A254" s="34" t="inlineStr">
        <is>
          <t>R1120-v1</t>
        </is>
      </c>
      <c r="B254" s="34" t="inlineStr">
        <is>
          <t>Cost &amp; Forecast Control Accounts / CST-01-038</t>
        </is>
      </c>
      <c r="C254" s="34" t="inlineStr">
        <is>
          <t>Cost Account = CA-1038; WBS Code = 1.1.2</t>
        </is>
      </c>
      <c r="D254" s="34" t="inlineStr">
        <is>
          <t>Proposed by Source assignment; target 1.1.2 Guideway and Civil - Utility &amp; Roadworks</t>
        </is>
      </c>
      <c r="E254" s="34" t="inlineStr">
        <is>
          <t>None recorded</t>
        </is>
      </c>
      <c r="F254" s="34" t="inlineStr">
        <is>
          <t>No individual professional decision recorded; Source assignment -- not individually reviewed</t>
        </is>
      </c>
      <c r="G254" s="34" t="inlineStr">
        <is>
          <t>Not individually decided</t>
        </is>
      </c>
      <c r="H254" s="34" t="inlineStr">
        <is>
          <t xml:space="preserve">APPROVED / ONE_TO_ONE; </t>
        </is>
      </c>
      <c r="I254" s="34" t="inlineStr">
        <is>
          <t>New</t>
        </is>
      </c>
      <c r="J254" s="92" t="inlineStr">
        <is>
          <t>08 CROSSWALK</t>
        </is>
      </c>
    </row>
    <row r="255" ht="49" customHeight="1">
      <c r="A255" s="34" t="inlineStr">
        <is>
          <t>R1122-v1</t>
        </is>
      </c>
      <c r="B255" s="34" t="inlineStr">
        <is>
          <t>Cost &amp; Forecast Control Accounts / CST-01-040</t>
        </is>
      </c>
      <c r="C255" s="34" t="inlineStr">
        <is>
          <t>Cost Account = CA-1040; WBS Code = 1.1.2</t>
        </is>
      </c>
      <c r="D255" s="34" t="inlineStr">
        <is>
          <t>Proposed by Source assignment; target 1.1.2 Guideway and Civil - Utility &amp; Roadworks</t>
        </is>
      </c>
      <c r="E255" s="34" t="inlineStr">
        <is>
          <t>None recorded</t>
        </is>
      </c>
      <c r="F255" s="34" t="inlineStr">
        <is>
          <t>No individual professional decision recorded; Source assignment -- not individually reviewed</t>
        </is>
      </c>
      <c r="G255" s="34" t="inlineStr">
        <is>
          <t>Not individually decided</t>
        </is>
      </c>
      <c r="H255" s="34" t="inlineStr">
        <is>
          <t xml:space="preserve">APPROVED / ONE_TO_ONE; </t>
        </is>
      </c>
      <c r="I255" s="34" t="inlineStr">
        <is>
          <t>New</t>
        </is>
      </c>
      <c r="J255" s="92" t="inlineStr">
        <is>
          <t>08 CROSSWALK</t>
        </is>
      </c>
    </row>
    <row r="256" ht="49" customHeight="1">
      <c r="A256" s="34" t="inlineStr">
        <is>
          <t>R1124-v1</t>
        </is>
      </c>
      <c r="B256" s="34" t="inlineStr">
        <is>
          <t>Cost &amp; Forecast Control Accounts / CST-01-042</t>
        </is>
      </c>
      <c r="C256" s="34" t="inlineStr">
        <is>
          <t>Cost Account = CA-1042; WBS Code = 1.1.2</t>
        </is>
      </c>
      <c r="D256" s="34" t="inlineStr">
        <is>
          <t>Proposed by Source assignment; target 1.1.2 Guideway and Civil - Utility &amp; Roadworks</t>
        </is>
      </c>
      <c r="E256" s="34" t="inlineStr">
        <is>
          <t>None recorded</t>
        </is>
      </c>
      <c r="F256" s="34" t="inlineStr">
        <is>
          <t>No individual professional decision recorded; Source assignment -- not individually reviewed</t>
        </is>
      </c>
      <c r="G256" s="34" t="inlineStr">
        <is>
          <t>Not individually decided</t>
        </is>
      </c>
      <c r="H256" s="34" t="inlineStr">
        <is>
          <t xml:space="preserve">APPROVED / ONE_TO_ONE; </t>
        </is>
      </c>
      <c r="I256" s="34" t="inlineStr">
        <is>
          <t>New</t>
        </is>
      </c>
      <c r="J256" s="92" t="inlineStr">
        <is>
          <t>08 CROSSWALK</t>
        </is>
      </c>
    </row>
    <row r="257" ht="49" customHeight="1">
      <c r="A257" s="34" t="inlineStr">
        <is>
          <t>R1126-v1</t>
        </is>
      </c>
      <c r="B257" s="34" t="inlineStr">
        <is>
          <t>Cost &amp; Forecast Control Accounts / CST-01-044</t>
        </is>
      </c>
      <c r="C257" s="34" t="inlineStr">
        <is>
          <t>Cost Account = CA-1044; WBS Code = 1.1.2</t>
        </is>
      </c>
      <c r="D257" s="34" t="inlineStr">
        <is>
          <t>Proposed by Source assignment; target 1.1.2 Guideway and Civil - Utility &amp; Roadworks</t>
        </is>
      </c>
      <c r="E257" s="34" t="inlineStr">
        <is>
          <t>None recorded</t>
        </is>
      </c>
      <c r="F257" s="34" t="inlineStr">
        <is>
          <t>No individual professional decision recorded; Source assignment -- not individually reviewed</t>
        </is>
      </c>
      <c r="G257" s="34" t="inlineStr">
        <is>
          <t>Not individually decided</t>
        </is>
      </c>
      <c r="H257" s="34" t="inlineStr">
        <is>
          <t xml:space="preserve">APPROVED / ONE_TO_ONE; </t>
        </is>
      </c>
      <c r="I257" s="34" t="inlineStr">
        <is>
          <t>New</t>
        </is>
      </c>
      <c r="J257" s="92" t="inlineStr">
        <is>
          <t>08 CROSSWALK</t>
        </is>
      </c>
    </row>
    <row r="258" ht="49" customHeight="1">
      <c r="A258" s="34" t="inlineStr">
        <is>
          <t>R1128-v1</t>
        </is>
      </c>
      <c r="B258" s="34" t="inlineStr">
        <is>
          <t>Cost &amp; Forecast Control Accounts / CST-01-046</t>
        </is>
      </c>
      <c r="C258" s="34" t="inlineStr">
        <is>
          <t>Cost Account = CA-1046; WBS Code = 1.1.2</t>
        </is>
      </c>
      <c r="D258" s="34" t="inlineStr">
        <is>
          <t>Proposed by Source assignment; target 1.1.2 Guideway and Civil - Utility &amp; Roadworks</t>
        </is>
      </c>
      <c r="E258" s="34" t="inlineStr">
        <is>
          <t>None recorded</t>
        </is>
      </c>
      <c r="F258" s="34" t="inlineStr">
        <is>
          <t>No individual professional decision recorded; Source assignment -- not individually reviewed</t>
        </is>
      </c>
      <c r="G258" s="34" t="inlineStr">
        <is>
          <t>Not individually decided</t>
        </is>
      </c>
      <c r="H258" s="34" t="inlineStr">
        <is>
          <t xml:space="preserve">APPROVED / ONE_TO_ONE; </t>
        </is>
      </c>
      <c r="I258" s="34" t="inlineStr">
        <is>
          <t>New</t>
        </is>
      </c>
      <c r="J258" s="92" t="inlineStr">
        <is>
          <t>08 CROSSWALK</t>
        </is>
      </c>
    </row>
    <row r="259" ht="49" customHeight="1">
      <c r="A259" s="34" t="inlineStr">
        <is>
          <t>R1130-v1</t>
        </is>
      </c>
      <c r="B259" s="34" t="inlineStr">
        <is>
          <t>Cost &amp; Forecast Control Accounts / CST-01-048</t>
        </is>
      </c>
      <c r="C259" s="34" t="inlineStr">
        <is>
          <t>Cost Account = CA-1048; WBS Code = 1.1.2</t>
        </is>
      </c>
      <c r="D259" s="34" t="inlineStr">
        <is>
          <t>Proposed by Source assignment; target 1.1.2 Guideway and Civil - Utility &amp; Roadworks</t>
        </is>
      </c>
      <c r="E259" s="34" t="inlineStr">
        <is>
          <t>None recorded</t>
        </is>
      </c>
      <c r="F259" s="34" t="inlineStr">
        <is>
          <t>No individual professional decision recorded; Source assignment -- not individually reviewed</t>
        </is>
      </c>
      <c r="G259" s="34" t="inlineStr">
        <is>
          <t>Not individually decided</t>
        </is>
      </c>
      <c r="H259" s="34" t="inlineStr">
        <is>
          <t xml:space="preserve">APPROVED / ONE_TO_ONE; </t>
        </is>
      </c>
      <c r="I259" s="34" t="inlineStr">
        <is>
          <t>New</t>
        </is>
      </c>
      <c r="J259" s="92" t="inlineStr">
        <is>
          <t>08 CROSSWALK</t>
        </is>
      </c>
    </row>
    <row r="260" ht="49" customHeight="1">
      <c r="A260" s="34" t="inlineStr">
        <is>
          <t>R1132-v1</t>
        </is>
      </c>
      <c r="B260" s="34" t="inlineStr">
        <is>
          <t>Cost &amp; Forecast Control Accounts / CST-01-050</t>
        </is>
      </c>
      <c r="C260" s="34" t="inlineStr">
        <is>
          <t>Cost Account = CA-1050; WBS Code = 1.1.2</t>
        </is>
      </c>
      <c r="D260" s="34" t="inlineStr">
        <is>
          <t>Proposed by Source assignment; target 1.1.2 Guideway and Civil - Utility &amp; Roadworks</t>
        </is>
      </c>
      <c r="E260" s="34" t="inlineStr">
        <is>
          <t>None recorded</t>
        </is>
      </c>
      <c r="F260" s="34" t="inlineStr">
        <is>
          <t>No individual professional decision recorded; Source assignment -- not individually reviewed</t>
        </is>
      </c>
      <c r="G260" s="34" t="inlineStr">
        <is>
          <t>Not individually decided</t>
        </is>
      </c>
      <c r="H260" s="34" t="inlineStr">
        <is>
          <t xml:space="preserve">APPROVED / ONE_TO_ONE; </t>
        </is>
      </c>
      <c r="I260" s="34" t="inlineStr">
        <is>
          <t>New</t>
        </is>
      </c>
      <c r="J260" s="92" t="inlineStr">
        <is>
          <t>08 CROSSWALK</t>
        </is>
      </c>
    </row>
    <row r="261" ht="49" customHeight="1">
      <c r="A261" s="34" t="inlineStr">
        <is>
          <t>R1134-v1</t>
        </is>
      </c>
      <c r="B261" s="34" t="inlineStr">
        <is>
          <t>Cost &amp; Forecast Control Accounts / CST-01-052</t>
        </is>
      </c>
      <c r="C261" s="34" t="inlineStr">
        <is>
          <t>Cost Account = CA-1052; WBS Code = 1.1.2</t>
        </is>
      </c>
      <c r="D261" s="34" t="inlineStr">
        <is>
          <t>Proposed by Source assignment; target 1.1.2 Guideway and Civil - Utility &amp; Roadworks</t>
        </is>
      </c>
      <c r="E261" s="34" t="inlineStr">
        <is>
          <t>None recorded</t>
        </is>
      </c>
      <c r="F261" s="34" t="inlineStr">
        <is>
          <t>No individual professional decision recorded; Source assignment -- not individually reviewed</t>
        </is>
      </c>
      <c r="G261" s="34" t="inlineStr">
        <is>
          <t>Not individually decided</t>
        </is>
      </c>
      <c r="H261" s="34" t="inlineStr">
        <is>
          <t xml:space="preserve">APPROVED / ONE_TO_ONE; </t>
        </is>
      </c>
      <c r="I261" s="34" t="inlineStr">
        <is>
          <t>New</t>
        </is>
      </c>
      <c r="J261" s="92" t="inlineStr">
        <is>
          <t>08 CROSSWALK</t>
        </is>
      </c>
    </row>
    <row r="262" ht="49" customHeight="1">
      <c r="A262" s="34" t="inlineStr">
        <is>
          <t>R1136-v1</t>
        </is>
      </c>
      <c r="B262" s="34" t="inlineStr">
        <is>
          <t>Cost &amp; Forecast Control Accounts / CST-01-054</t>
        </is>
      </c>
      <c r="C262" s="34" t="inlineStr">
        <is>
          <t>Cost Account = CA-1054; WBS Code = 1.1.2</t>
        </is>
      </c>
      <c r="D262" s="34" t="inlineStr">
        <is>
          <t>Proposed by Source assignment; target 1.1.2 Guideway and Civil - Utility &amp; Roadworks</t>
        </is>
      </c>
      <c r="E262" s="34" t="inlineStr">
        <is>
          <t>None recorded</t>
        </is>
      </c>
      <c r="F262" s="34" t="inlineStr">
        <is>
          <t>No individual professional decision recorded; Source assignment -- not individually reviewed</t>
        </is>
      </c>
      <c r="G262" s="34" t="inlineStr">
        <is>
          <t>Not individually decided</t>
        </is>
      </c>
      <c r="H262" s="34" t="inlineStr">
        <is>
          <t xml:space="preserve">APPROVED / ONE_TO_ONE; </t>
        </is>
      </c>
      <c r="I262" s="34" t="inlineStr">
        <is>
          <t>New</t>
        </is>
      </c>
      <c r="J262" s="92" t="inlineStr">
        <is>
          <t>08 CROSSWALK</t>
        </is>
      </c>
    </row>
    <row r="263" ht="49" customHeight="1">
      <c r="A263" s="34" t="inlineStr">
        <is>
          <t>R1138-v1</t>
        </is>
      </c>
      <c r="B263" s="34" t="inlineStr">
        <is>
          <t>Cost &amp; Forecast Control Accounts / CST-01-056</t>
        </is>
      </c>
      <c r="C263" s="34" t="inlineStr">
        <is>
          <t>Cost Account = CA-1056; WBS Code = 1.1.2</t>
        </is>
      </c>
      <c r="D263" s="34" t="inlineStr">
        <is>
          <t>Proposed by Source assignment; target 1.1.2 Guideway and Civil - Utility &amp; Roadworks</t>
        </is>
      </c>
      <c r="E263" s="34" t="inlineStr">
        <is>
          <t>None recorded</t>
        </is>
      </c>
      <c r="F263" s="34" t="inlineStr">
        <is>
          <t>No individual professional decision recorded; Source assignment -- not individually reviewed</t>
        </is>
      </c>
      <c r="G263" s="34" t="inlineStr">
        <is>
          <t>Not individually decided</t>
        </is>
      </c>
      <c r="H263" s="34" t="inlineStr">
        <is>
          <t xml:space="preserve">APPROVED / ONE_TO_ONE; </t>
        </is>
      </c>
      <c r="I263" s="34" t="inlineStr">
        <is>
          <t>New</t>
        </is>
      </c>
      <c r="J263" s="92" t="inlineStr">
        <is>
          <t>08 CROSSWALK</t>
        </is>
      </c>
    </row>
    <row r="264" ht="49" customHeight="1">
      <c r="A264" s="34" t="inlineStr">
        <is>
          <t>R1140-v1</t>
        </is>
      </c>
      <c r="B264" s="34" t="inlineStr">
        <is>
          <t>Cost &amp; Forecast Control Accounts / CST-01-058</t>
        </is>
      </c>
      <c r="C264" s="34" t="inlineStr">
        <is>
          <t>Cost Account = CA-1058; WBS Code = 1.1.2</t>
        </is>
      </c>
      <c r="D264" s="34" t="inlineStr">
        <is>
          <t>Proposed by Source assignment; target 1.1.2 Guideway and Civil - Utility &amp; Roadworks</t>
        </is>
      </c>
      <c r="E264" s="34" t="inlineStr">
        <is>
          <t>None recorded</t>
        </is>
      </c>
      <c r="F264" s="34" t="inlineStr">
        <is>
          <t>No individual professional decision recorded; Source assignment -- not individually reviewed</t>
        </is>
      </c>
      <c r="G264" s="34" t="inlineStr">
        <is>
          <t>Not individually decided</t>
        </is>
      </c>
      <c r="H264" s="34" t="inlineStr">
        <is>
          <t xml:space="preserve">APPROVED / ONE_TO_ONE; </t>
        </is>
      </c>
      <c r="I264" s="34" t="inlineStr">
        <is>
          <t>New</t>
        </is>
      </c>
      <c r="J264" s="92" t="inlineStr">
        <is>
          <t>08 CROSSWALK</t>
        </is>
      </c>
    </row>
    <row r="265" ht="49" customHeight="1">
      <c r="A265" s="34" t="inlineStr">
        <is>
          <t>R1142-v1</t>
        </is>
      </c>
      <c r="B265" s="34" t="inlineStr">
        <is>
          <t>Cost &amp; Forecast Control Accounts / CST-01-060</t>
        </is>
      </c>
      <c r="C265" s="34" t="inlineStr">
        <is>
          <t>Cost Account = CA-1060; WBS Code = 1.1.2</t>
        </is>
      </c>
      <c r="D265" s="34" t="inlineStr">
        <is>
          <t>Proposed by Source assignment; target 1.1.2 Guideway and Civil - Utility &amp; Roadworks</t>
        </is>
      </c>
      <c r="E265" s="34" t="inlineStr">
        <is>
          <t>None recorded</t>
        </is>
      </c>
      <c r="F265" s="34" t="inlineStr">
        <is>
          <t>No individual professional decision recorded; Source assignment -- not individually reviewed</t>
        </is>
      </c>
      <c r="G265" s="34" t="inlineStr">
        <is>
          <t>Not individually decided</t>
        </is>
      </c>
      <c r="H265" s="34" t="inlineStr">
        <is>
          <t xml:space="preserve">APPROVED / ONE_TO_ONE; </t>
        </is>
      </c>
      <c r="I265" s="34" t="inlineStr">
        <is>
          <t>New</t>
        </is>
      </c>
      <c r="J265" s="92" t="inlineStr">
        <is>
          <t>08 CROSSWALK</t>
        </is>
      </c>
    </row>
    <row r="266" ht="49" customHeight="1">
      <c r="A266" s="34" t="inlineStr">
        <is>
          <t>R1144-v1</t>
        </is>
      </c>
      <c r="B266" s="34" t="inlineStr">
        <is>
          <t>Cost &amp; Forecast Control Accounts / CST-01-062</t>
        </is>
      </c>
      <c r="C266" s="34" t="inlineStr">
        <is>
          <t>Cost Account = CA-1062; WBS Code = 1.1.2</t>
        </is>
      </c>
      <c r="D266" s="34" t="inlineStr">
        <is>
          <t>Proposed by Source assignment; target 1.1.2 Guideway and Civil - Utility &amp; Roadworks</t>
        </is>
      </c>
      <c r="E266" s="34" t="inlineStr">
        <is>
          <t>None recorded</t>
        </is>
      </c>
      <c r="F266" s="34" t="inlineStr">
        <is>
          <t>No individual professional decision recorded; Source assignment -- not individually reviewed</t>
        </is>
      </c>
      <c r="G266" s="34" t="inlineStr">
        <is>
          <t>Not individually decided</t>
        </is>
      </c>
      <c r="H266" s="34" t="inlineStr">
        <is>
          <t xml:space="preserve">APPROVED / ONE_TO_ONE; </t>
        </is>
      </c>
      <c r="I266" s="34" t="inlineStr">
        <is>
          <t>New</t>
        </is>
      </c>
      <c r="J266" s="92" t="inlineStr">
        <is>
          <t>08 CROSSWALK</t>
        </is>
      </c>
    </row>
    <row r="267" ht="49" customHeight="1">
      <c r="A267" s="34" t="inlineStr">
        <is>
          <t>R1146-v1</t>
        </is>
      </c>
      <c r="B267" s="34" t="inlineStr">
        <is>
          <t>Cost &amp; Forecast Control Accounts / CST-01-064</t>
        </is>
      </c>
      <c r="C267" s="34" t="inlineStr">
        <is>
          <t>Cost Account = CA-1064; WBS Code = 1.1.2</t>
        </is>
      </c>
      <c r="D267" s="34" t="inlineStr">
        <is>
          <t>Proposed by Source assignment; target 1.1.2 Guideway and Civil - Utility &amp; Roadworks</t>
        </is>
      </c>
      <c r="E267" s="34" t="inlineStr">
        <is>
          <t>None recorded</t>
        </is>
      </c>
      <c r="F267" s="34" t="inlineStr">
        <is>
          <t>No individual professional decision recorded; Source assignment -- not individually reviewed</t>
        </is>
      </c>
      <c r="G267" s="34" t="inlineStr">
        <is>
          <t>Not individually decided</t>
        </is>
      </c>
      <c r="H267" s="34" t="inlineStr">
        <is>
          <t xml:space="preserve">APPROVED / ONE_TO_ONE; </t>
        </is>
      </c>
      <c r="I267" s="34" t="inlineStr">
        <is>
          <t>New</t>
        </is>
      </c>
      <c r="J267" s="92" t="inlineStr">
        <is>
          <t>08 CROSSWALK</t>
        </is>
      </c>
    </row>
    <row r="268" ht="49" customHeight="1">
      <c r="A268" s="34" t="inlineStr">
        <is>
          <t>R1148-v1</t>
        </is>
      </c>
      <c r="B268" s="34" t="inlineStr">
        <is>
          <t>Cost &amp; Forecast Control Accounts / CST-01-066</t>
        </is>
      </c>
      <c r="C268" s="34" t="inlineStr">
        <is>
          <t>Cost Account = CA-1066; WBS Code = 1.1.2</t>
        </is>
      </c>
      <c r="D268" s="34" t="inlineStr">
        <is>
          <t>Proposed by Source assignment; target 1.1.2 Guideway and Civil - Utility &amp; Roadworks</t>
        </is>
      </c>
      <c r="E268" s="34" t="inlineStr">
        <is>
          <t>None recorded</t>
        </is>
      </c>
      <c r="F268" s="34" t="inlineStr">
        <is>
          <t>No individual professional decision recorded; Source assignment -- not individually reviewed</t>
        </is>
      </c>
      <c r="G268" s="34" t="inlineStr">
        <is>
          <t>Not individually decided</t>
        </is>
      </c>
      <c r="H268" s="34" t="inlineStr">
        <is>
          <t xml:space="preserve">APPROVED / ONE_TO_ONE; </t>
        </is>
      </c>
      <c r="I268" s="34" t="inlineStr">
        <is>
          <t>New</t>
        </is>
      </c>
      <c r="J268" s="92" t="inlineStr">
        <is>
          <t>08 CROSSWALK</t>
        </is>
      </c>
    </row>
    <row r="269" ht="49" customHeight="1">
      <c r="A269" s="34" t="inlineStr">
        <is>
          <t>R1150-v1</t>
        </is>
      </c>
      <c r="B269" s="34" t="inlineStr">
        <is>
          <t>Cost &amp; Forecast Control Accounts / CST-01-068</t>
        </is>
      </c>
      <c r="C269" s="34" t="inlineStr">
        <is>
          <t>Cost Account = CA-1068; WBS Code = 1.1.2</t>
        </is>
      </c>
      <c r="D269" s="34" t="inlineStr">
        <is>
          <t>Proposed by Source assignment; target 1.1.2 Guideway and Civil - Utility &amp; Roadworks</t>
        </is>
      </c>
      <c r="E269" s="34" t="inlineStr">
        <is>
          <t>None recorded</t>
        </is>
      </c>
      <c r="F269" s="34" t="inlineStr">
        <is>
          <t>No individual professional decision recorded; Source assignment -- not individually reviewed</t>
        </is>
      </c>
      <c r="G269" s="34" t="inlineStr">
        <is>
          <t>Not individually decided</t>
        </is>
      </c>
      <c r="H269" s="34" t="inlineStr">
        <is>
          <t xml:space="preserve">APPROVED / ONE_TO_ONE; </t>
        </is>
      </c>
      <c r="I269" s="34" t="inlineStr">
        <is>
          <t>New</t>
        </is>
      </c>
      <c r="J269" s="92" t="inlineStr">
        <is>
          <t>08 CROSSWALK</t>
        </is>
      </c>
    </row>
    <row r="270" ht="49" customHeight="1">
      <c r="A270" s="34" t="inlineStr">
        <is>
          <t>R1152-v1</t>
        </is>
      </c>
      <c r="B270" s="34" t="inlineStr">
        <is>
          <t>Cost &amp; Forecast Control Accounts / CST-01-070</t>
        </is>
      </c>
      <c r="C270" s="34" t="inlineStr">
        <is>
          <t>Cost Account = CA-1070; WBS Code = 1.1.2</t>
        </is>
      </c>
      <c r="D270" s="34" t="inlineStr">
        <is>
          <t>Proposed by Source assignment; target 1.1.2 Guideway and Civil - Utility &amp; Roadworks</t>
        </is>
      </c>
      <c r="E270" s="34" t="inlineStr">
        <is>
          <t>None recorded</t>
        </is>
      </c>
      <c r="F270" s="34" t="inlineStr">
        <is>
          <t>No individual professional decision recorded; Source assignment -- not individually reviewed</t>
        </is>
      </c>
      <c r="G270" s="34" t="inlineStr">
        <is>
          <t>Not individually decided</t>
        </is>
      </c>
      <c r="H270" s="34" t="inlineStr">
        <is>
          <t xml:space="preserve">APPROVED / ONE_TO_ONE; </t>
        </is>
      </c>
      <c r="I270" s="34" t="inlineStr">
        <is>
          <t>New</t>
        </is>
      </c>
      <c r="J270" s="92" t="inlineStr">
        <is>
          <t>08 CROSSWALK</t>
        </is>
      </c>
    </row>
    <row r="271" ht="49" customHeight="1">
      <c r="A271" s="34" t="inlineStr">
        <is>
          <t>R1154-v1</t>
        </is>
      </c>
      <c r="B271" s="34" t="inlineStr">
        <is>
          <t>Cost &amp; Forecast Control Accounts / CST-01-072</t>
        </is>
      </c>
      <c r="C271" s="34" t="inlineStr">
        <is>
          <t>Cost Account = CA-1072; WBS Code = 1.1.2</t>
        </is>
      </c>
      <c r="D271" s="34" t="inlineStr">
        <is>
          <t>Proposed by Source assignment; target 1.1.2 Guideway and Civil - Utility &amp; Roadworks</t>
        </is>
      </c>
      <c r="E271" s="34" t="inlineStr">
        <is>
          <t>None recorded</t>
        </is>
      </c>
      <c r="F271" s="34" t="inlineStr">
        <is>
          <t>No individual professional decision recorded; Source assignment -- not individually reviewed</t>
        </is>
      </c>
      <c r="G271" s="34" t="inlineStr">
        <is>
          <t>Not individually decided</t>
        </is>
      </c>
      <c r="H271" s="34" t="inlineStr">
        <is>
          <t xml:space="preserve">APPROVED / ONE_TO_ONE; </t>
        </is>
      </c>
      <c r="I271" s="34" t="inlineStr">
        <is>
          <t>New</t>
        </is>
      </c>
      <c r="J271" s="92" t="inlineStr">
        <is>
          <t>08 CROSSWALK</t>
        </is>
      </c>
    </row>
    <row r="272" ht="49" customHeight="1">
      <c r="A272" s="34" t="inlineStr">
        <is>
          <t>R1156-v1</t>
        </is>
      </c>
      <c r="B272" s="34" t="inlineStr">
        <is>
          <t>Cost &amp; Forecast Control Accounts / CST-01-074</t>
        </is>
      </c>
      <c r="C272" s="34" t="inlineStr">
        <is>
          <t>Cost Account = CA-1074; WBS Code = 1.1.2</t>
        </is>
      </c>
      <c r="D272" s="34" t="inlineStr">
        <is>
          <t>Proposed by Source assignment; target 1.1.2 Guideway and Civil - Utility &amp; Roadworks</t>
        </is>
      </c>
      <c r="E272" s="34" t="inlineStr">
        <is>
          <t>None recorded</t>
        </is>
      </c>
      <c r="F272" s="34" t="inlineStr">
        <is>
          <t>No individual professional decision recorded; Source assignment -- not individually reviewed</t>
        </is>
      </c>
      <c r="G272" s="34" t="inlineStr">
        <is>
          <t>Not individually decided</t>
        </is>
      </c>
      <c r="H272" s="34" t="inlineStr">
        <is>
          <t xml:space="preserve">APPROVED / ONE_TO_ONE; </t>
        </is>
      </c>
      <c r="I272" s="34" t="inlineStr">
        <is>
          <t>New</t>
        </is>
      </c>
      <c r="J272" s="92" t="inlineStr">
        <is>
          <t>08 CROSSWALK</t>
        </is>
      </c>
    </row>
    <row r="273" ht="49" customHeight="1">
      <c r="A273" s="34" t="inlineStr">
        <is>
          <t>R1158-v1</t>
        </is>
      </c>
      <c r="B273" s="34" t="inlineStr">
        <is>
          <t>Cost &amp; Forecast Control Accounts / CST-01-076</t>
        </is>
      </c>
      <c r="C273" s="34" t="inlineStr">
        <is>
          <t>Cost Account = CA-1076; WBS Code = 1.1.2</t>
        </is>
      </c>
      <c r="D273" s="34" t="inlineStr">
        <is>
          <t>Proposed by Source assignment; target 1.1.2 Guideway and Civil - Utility &amp; Roadworks</t>
        </is>
      </c>
      <c r="E273" s="34" t="inlineStr">
        <is>
          <t>None recorded</t>
        </is>
      </c>
      <c r="F273" s="34" t="inlineStr">
        <is>
          <t>No individual professional decision recorded; Source assignment -- not individually reviewed</t>
        </is>
      </c>
      <c r="G273" s="34" t="inlineStr">
        <is>
          <t>Not individually decided</t>
        </is>
      </c>
      <c r="H273" s="34" t="inlineStr">
        <is>
          <t xml:space="preserve">APPROVED / ONE_TO_ONE; </t>
        </is>
      </c>
      <c r="I273" s="34" t="inlineStr">
        <is>
          <t>New</t>
        </is>
      </c>
      <c r="J273" s="92" t="inlineStr">
        <is>
          <t>08 CROSSWALK</t>
        </is>
      </c>
    </row>
    <row r="274" ht="49" customHeight="1">
      <c r="A274" s="34" t="inlineStr">
        <is>
          <t>R1160-v1</t>
        </is>
      </c>
      <c r="B274" s="34" t="inlineStr">
        <is>
          <t>Cost &amp; Forecast Control Accounts / CST-01-078</t>
        </is>
      </c>
      <c r="C274" s="34" t="inlineStr">
        <is>
          <t>Cost Account = CA-1078; WBS Code = 1.1.2</t>
        </is>
      </c>
      <c r="D274" s="34" t="inlineStr">
        <is>
          <t>Proposed by Source assignment; target 1.1.2 Guideway and Civil - Utility &amp; Roadworks</t>
        </is>
      </c>
      <c r="E274" s="34" t="inlineStr">
        <is>
          <t>None recorded</t>
        </is>
      </c>
      <c r="F274" s="34" t="inlineStr">
        <is>
          <t>No individual professional decision recorded; Source assignment -- not individually reviewed</t>
        </is>
      </c>
      <c r="G274" s="34" t="inlineStr">
        <is>
          <t>Not individually decided</t>
        </is>
      </c>
      <c r="H274" s="34" t="inlineStr">
        <is>
          <t xml:space="preserve">APPROVED / ONE_TO_ONE; </t>
        </is>
      </c>
      <c r="I274" s="34" t="inlineStr">
        <is>
          <t>New</t>
        </is>
      </c>
      <c r="J274" s="92" t="inlineStr">
        <is>
          <t>08 CROSSWALK</t>
        </is>
      </c>
    </row>
    <row r="275" ht="49" customHeight="1">
      <c r="A275" s="34" t="inlineStr">
        <is>
          <t>R1162-v1</t>
        </is>
      </c>
      <c r="B275" s="34" t="inlineStr">
        <is>
          <t>Cost &amp; Forecast Control Accounts / CST-01-080</t>
        </is>
      </c>
      <c r="C275" s="34" t="inlineStr">
        <is>
          <t>Cost Account = CA-1080; WBS Code = 1.1.2</t>
        </is>
      </c>
      <c r="D275" s="34" t="inlineStr">
        <is>
          <t>Proposed by Source assignment; target 1.1.2 Guideway and Civil - Utility &amp; Roadworks</t>
        </is>
      </c>
      <c r="E275" s="34" t="inlineStr">
        <is>
          <t>None recorded</t>
        </is>
      </c>
      <c r="F275" s="34" t="inlineStr">
        <is>
          <t>No individual professional decision recorded; Source assignment -- not individually reviewed</t>
        </is>
      </c>
      <c r="G275" s="34" t="inlineStr">
        <is>
          <t>Not individually decided</t>
        </is>
      </c>
      <c r="H275" s="34" t="inlineStr">
        <is>
          <t xml:space="preserve">APPROVED / ONE_TO_ONE; </t>
        </is>
      </c>
      <c r="I275" s="34" t="inlineStr">
        <is>
          <t>New</t>
        </is>
      </c>
      <c r="J275" s="92" t="inlineStr">
        <is>
          <t>08 CROSSWALK</t>
        </is>
      </c>
    </row>
    <row r="276" ht="94" customHeight="1">
      <c r="A276" s="34" t="inlineStr">
        <is>
          <t>R1563-v2</t>
        </is>
      </c>
      <c r="B276" s="34" t="inlineStr">
        <is>
          <t>Commercial Package Register / PKG-001</t>
        </is>
      </c>
      <c r="C276" s="34" t="inlineStr">
        <is>
          <t>Package Code = PK-101; WBS Code = 1.1;1.2</t>
        </is>
      </c>
      <c r="D276" s="34" t="inlineStr">
        <is>
          <t>Proposed by Professional; target 1.2 Stations</t>
        </is>
      </c>
      <c r="E276" s="34" t="inlineStr">
        <is>
          <t>Source states 'WBS Code' = '1.1;1.2' -- names no element of this WBS -- professional reason (Maya Chen, Owner Project Controls): Source package register explicitly states both Owner-WBS branches.</t>
        </is>
      </c>
      <c r="F276" s="34" t="inlineStr">
        <is>
          <t>Maya Chen, Owner Project Controls: Professional decision</t>
        </is>
      </c>
      <c r="G276" s="34" t="inlineStr">
        <is>
          <t>Individual</t>
        </is>
      </c>
      <c r="H276" s="34" t="inlineStr">
        <is>
          <t xml:space="preserve">APPROVED / ONE_TO_MANY; </t>
        </is>
      </c>
      <c r="I276" s="34" t="inlineStr">
        <is>
          <t>New</t>
        </is>
      </c>
      <c r="J276" s="92" t="inlineStr">
        <is>
          <t>08 CROSSWALK</t>
        </is>
      </c>
    </row>
    <row r="277" ht="49" customHeight="1">
      <c r="A277" s="34" t="inlineStr">
        <is>
          <t>R1573-v1</t>
        </is>
      </c>
      <c r="B277" s="34" t="inlineStr">
        <is>
          <t>Commercial Package Register / PKG-011</t>
        </is>
      </c>
      <c r="C277" s="34" t="inlineStr">
        <is>
          <t>Package Code = PK-201; WBS Code = 1.2</t>
        </is>
      </c>
      <c r="D277" s="34" t="inlineStr">
        <is>
          <t>Proposed by Source assignment; target 1.2 Stations</t>
        </is>
      </c>
      <c r="E277" s="34" t="inlineStr">
        <is>
          <t>None recorded</t>
        </is>
      </c>
      <c r="F277" s="34" t="inlineStr">
        <is>
          <t>No individual professional decision recorded; Source assignment -- not individually reviewed</t>
        </is>
      </c>
      <c r="G277" s="34" t="inlineStr">
        <is>
          <t>Not individually decided</t>
        </is>
      </c>
      <c r="H277" s="34" t="inlineStr">
        <is>
          <t xml:space="preserve">APPROVED / ONE_TO_ONE; </t>
        </is>
      </c>
      <c r="I277" s="34" t="inlineStr">
        <is>
          <t>New</t>
        </is>
      </c>
      <c r="J277" s="92" t="inlineStr">
        <is>
          <t>08 CROSSWALK</t>
        </is>
      </c>
    </row>
    <row r="278" ht="49" customHeight="1">
      <c r="A278" s="34" t="inlineStr">
        <is>
          <t>R1574-v1</t>
        </is>
      </c>
      <c r="B278" s="34" t="inlineStr">
        <is>
          <t>Commercial Package Register / PKG-012</t>
        </is>
      </c>
      <c r="C278" s="34" t="inlineStr">
        <is>
          <t>Package Code = PK-202; WBS Code = 1.2</t>
        </is>
      </c>
      <c r="D278" s="34" t="inlineStr">
        <is>
          <t>Proposed by Source assignment; target 1.2 Stations</t>
        </is>
      </c>
      <c r="E278" s="34" t="inlineStr">
        <is>
          <t>None recorded</t>
        </is>
      </c>
      <c r="F278" s="34" t="inlineStr">
        <is>
          <t>No individual professional decision recorded; Source assignment -- not individually reviewed</t>
        </is>
      </c>
      <c r="G278" s="34" t="inlineStr">
        <is>
          <t>Not individually decided</t>
        </is>
      </c>
      <c r="H278" s="34" t="inlineStr">
        <is>
          <t xml:space="preserve">APPROVED / ONE_TO_ONE; </t>
        </is>
      </c>
      <c r="I278" s="34" t="inlineStr">
        <is>
          <t>New</t>
        </is>
      </c>
      <c r="J278" s="92" t="inlineStr">
        <is>
          <t>08 CROSSWALK</t>
        </is>
      </c>
    </row>
    <row r="279" ht="49" customHeight="1">
      <c r="A279" s="34" t="inlineStr">
        <is>
          <t>R1575-v1</t>
        </is>
      </c>
      <c r="B279" s="34" t="inlineStr">
        <is>
          <t>Commercial Package Register / PKG-013</t>
        </is>
      </c>
      <c r="C279" s="34" t="inlineStr">
        <is>
          <t>Package Code = PK-203; WBS Code = 1.2</t>
        </is>
      </c>
      <c r="D279" s="34" t="inlineStr">
        <is>
          <t>Proposed by Source assignment; target 1.2 Stations</t>
        </is>
      </c>
      <c r="E279" s="34" t="inlineStr">
        <is>
          <t>None recorded</t>
        </is>
      </c>
      <c r="F279" s="34" t="inlineStr">
        <is>
          <t>No individual professional decision recorded; Source assignment -- not individually reviewed</t>
        </is>
      </c>
      <c r="G279" s="34" t="inlineStr">
        <is>
          <t>Not individually decided</t>
        </is>
      </c>
      <c r="H279" s="34" t="inlineStr">
        <is>
          <t xml:space="preserve">APPROVED / ONE_TO_ONE; </t>
        </is>
      </c>
      <c r="I279" s="34" t="inlineStr">
        <is>
          <t>New</t>
        </is>
      </c>
      <c r="J279" s="92" t="inlineStr">
        <is>
          <t>08 CROSSWALK</t>
        </is>
      </c>
    </row>
    <row r="280" ht="49" customHeight="1">
      <c r="A280" s="34" t="inlineStr">
        <is>
          <t>R1576-v1</t>
        </is>
      </c>
      <c r="B280" s="34" t="inlineStr">
        <is>
          <t>Commercial Package Register / PKG-014</t>
        </is>
      </c>
      <c r="C280" s="34" t="inlineStr">
        <is>
          <t>Package Code = PK-204; WBS Code = 1.2</t>
        </is>
      </c>
      <c r="D280" s="34" t="inlineStr">
        <is>
          <t>Proposed by Source assignment; target 1.2 Stations</t>
        </is>
      </c>
      <c r="E280" s="34" t="inlineStr">
        <is>
          <t>None recorded</t>
        </is>
      </c>
      <c r="F280" s="34" t="inlineStr">
        <is>
          <t>No individual professional decision recorded; Source assignment -- not individually reviewed</t>
        </is>
      </c>
      <c r="G280" s="34" t="inlineStr">
        <is>
          <t>Not individually decided</t>
        </is>
      </c>
      <c r="H280" s="34" t="inlineStr">
        <is>
          <t xml:space="preserve">APPROVED / ONE_TO_ONE; </t>
        </is>
      </c>
      <c r="I280" s="34" t="inlineStr">
        <is>
          <t>New</t>
        </is>
      </c>
      <c r="J280" s="92" t="inlineStr">
        <is>
          <t>08 CROSSWALK</t>
        </is>
      </c>
    </row>
    <row r="281" ht="49" customHeight="1">
      <c r="A281" s="34" t="inlineStr">
        <is>
          <t>R1577-v1</t>
        </is>
      </c>
      <c r="B281" s="34" t="inlineStr">
        <is>
          <t>Commercial Package Register / PKG-015</t>
        </is>
      </c>
      <c r="C281" s="34" t="inlineStr">
        <is>
          <t>Package Code = PK-205; WBS Code = 1.2</t>
        </is>
      </c>
      <c r="D281" s="34" t="inlineStr">
        <is>
          <t>Proposed by Source assignment; target 1.2 Stations</t>
        </is>
      </c>
      <c r="E281" s="34" t="inlineStr">
        <is>
          <t>None recorded</t>
        </is>
      </c>
      <c r="F281" s="34" t="inlineStr">
        <is>
          <t>No individual professional decision recorded; Source assignment -- not individually reviewed</t>
        </is>
      </c>
      <c r="G281" s="34" t="inlineStr">
        <is>
          <t>Not individually decided</t>
        </is>
      </c>
      <c r="H281" s="34" t="inlineStr">
        <is>
          <t xml:space="preserve">APPROVED / ONE_TO_ONE; </t>
        </is>
      </c>
      <c r="I281" s="34" t="inlineStr">
        <is>
          <t>New</t>
        </is>
      </c>
      <c r="J281" s="92" t="inlineStr">
        <is>
          <t>08 CROSSWALK</t>
        </is>
      </c>
    </row>
    <row r="282" ht="49" customHeight="1">
      <c r="A282" s="34" t="inlineStr">
        <is>
          <t>R1578-v1</t>
        </is>
      </c>
      <c r="B282" s="34" t="inlineStr">
        <is>
          <t>Commercial Package Register / PKG-016</t>
        </is>
      </c>
      <c r="C282" s="34" t="inlineStr">
        <is>
          <t>Package Code = PK-206; WBS Code = 1.2</t>
        </is>
      </c>
      <c r="D282" s="34" t="inlineStr">
        <is>
          <t>Proposed by Source assignment; target 1.2 Stations</t>
        </is>
      </c>
      <c r="E282" s="34" t="inlineStr">
        <is>
          <t>None recorded</t>
        </is>
      </c>
      <c r="F282" s="34" t="inlineStr">
        <is>
          <t>No individual professional decision recorded; Source assignment -- not individually reviewed</t>
        </is>
      </c>
      <c r="G282" s="34" t="inlineStr">
        <is>
          <t>Not individually decided</t>
        </is>
      </c>
      <c r="H282" s="34" t="inlineStr">
        <is>
          <t xml:space="preserve">APPROVED / ONE_TO_ONE; </t>
        </is>
      </c>
      <c r="I282" s="34" t="inlineStr">
        <is>
          <t>New</t>
        </is>
      </c>
      <c r="J282" s="92" t="inlineStr">
        <is>
          <t>08 CROSSWALK</t>
        </is>
      </c>
    </row>
    <row r="283" ht="49" customHeight="1">
      <c r="A283" s="34" t="inlineStr">
        <is>
          <t>R1579-v1</t>
        </is>
      </c>
      <c r="B283" s="34" t="inlineStr">
        <is>
          <t>Commercial Package Register / PKG-017</t>
        </is>
      </c>
      <c r="C283" s="34" t="inlineStr">
        <is>
          <t>Package Code = PK-207; WBS Code = 1.2</t>
        </is>
      </c>
      <c r="D283" s="34" t="inlineStr">
        <is>
          <t>Proposed by Source assignment; target 1.2 Stations</t>
        </is>
      </c>
      <c r="E283" s="34" t="inlineStr">
        <is>
          <t>None recorded</t>
        </is>
      </c>
      <c r="F283" s="34" t="inlineStr">
        <is>
          <t>No individual professional decision recorded; Source assignment -- not individually reviewed</t>
        </is>
      </c>
      <c r="G283" s="34" t="inlineStr">
        <is>
          <t>Not individually decided</t>
        </is>
      </c>
      <c r="H283" s="34" t="inlineStr">
        <is>
          <t xml:space="preserve">APPROVED / ONE_TO_ONE; </t>
        </is>
      </c>
      <c r="I283" s="34" t="inlineStr">
        <is>
          <t>New</t>
        </is>
      </c>
      <c r="J283" s="92" t="inlineStr">
        <is>
          <t>08 CROSSWALK</t>
        </is>
      </c>
    </row>
    <row r="284" ht="49" customHeight="1">
      <c r="A284" s="34" t="inlineStr">
        <is>
          <t>R1580-v1</t>
        </is>
      </c>
      <c r="B284" s="34" t="inlineStr">
        <is>
          <t>Commercial Package Register / PKG-018</t>
        </is>
      </c>
      <c r="C284" s="34" t="inlineStr">
        <is>
          <t>Package Code = PK-208; WBS Code = 1.2</t>
        </is>
      </c>
      <c r="D284" s="34" t="inlineStr">
        <is>
          <t>Proposed by Source assignment; target 1.2 Stations</t>
        </is>
      </c>
      <c r="E284" s="34" t="inlineStr">
        <is>
          <t>None recorded</t>
        </is>
      </c>
      <c r="F284" s="34" t="inlineStr">
        <is>
          <t>No individual professional decision recorded; Source assignment -- not individually reviewed</t>
        </is>
      </c>
      <c r="G284" s="34" t="inlineStr">
        <is>
          <t>Not individually decided</t>
        </is>
      </c>
      <c r="H284" s="34" t="inlineStr">
        <is>
          <t xml:space="preserve">APPROVED / ONE_TO_ONE; </t>
        </is>
      </c>
      <c r="I284" s="34" t="inlineStr">
        <is>
          <t>New</t>
        </is>
      </c>
      <c r="J284" s="92" t="inlineStr">
        <is>
          <t>08 CROSSWALK</t>
        </is>
      </c>
    </row>
    <row r="285" ht="49" customHeight="1">
      <c r="A285" s="34" t="inlineStr">
        <is>
          <t>R1581-v1</t>
        </is>
      </c>
      <c r="B285" s="34" t="inlineStr">
        <is>
          <t>Commercial Package Register / PKG-019</t>
        </is>
      </c>
      <c r="C285" s="34" t="inlineStr">
        <is>
          <t>Package Code = PK-209; WBS Code = 1.2</t>
        </is>
      </c>
      <c r="D285" s="34" t="inlineStr">
        <is>
          <t>Proposed by Source assignment; target 1.2 Stations</t>
        </is>
      </c>
      <c r="E285" s="34" t="inlineStr">
        <is>
          <t>None recorded</t>
        </is>
      </c>
      <c r="F285" s="34" t="inlineStr">
        <is>
          <t>No individual professional decision recorded; Source assignment -- not individually reviewed</t>
        </is>
      </c>
      <c r="G285" s="34" t="inlineStr">
        <is>
          <t>Not individually decided</t>
        </is>
      </c>
      <c r="H285" s="34" t="inlineStr">
        <is>
          <t xml:space="preserve">APPROVED / ONE_TO_ONE; </t>
        </is>
      </c>
      <c r="I285" s="34" t="inlineStr">
        <is>
          <t>New</t>
        </is>
      </c>
      <c r="J285" s="92" t="inlineStr">
        <is>
          <t>08 CROSSWALK</t>
        </is>
      </c>
    </row>
    <row r="286" ht="49" customHeight="1">
      <c r="A286" s="34" t="inlineStr">
        <is>
          <t>R1582-v1</t>
        </is>
      </c>
      <c r="B286" s="34" t="inlineStr">
        <is>
          <t>Commercial Package Register / PKG-020</t>
        </is>
      </c>
      <c r="C286" s="34" t="inlineStr">
        <is>
          <t>Package Code = PK-210; WBS Code = 1.2</t>
        </is>
      </c>
      <c r="D286" s="34" t="inlineStr">
        <is>
          <t>Proposed by Source assignment; target 1.2 Stations</t>
        </is>
      </c>
      <c r="E286" s="34" t="inlineStr">
        <is>
          <t>None recorded</t>
        </is>
      </c>
      <c r="F286" s="34" t="inlineStr">
        <is>
          <t>No individual professional decision recorded; Source assignment -- not individually reviewed</t>
        </is>
      </c>
      <c r="G286" s="34" t="inlineStr">
        <is>
          <t>Not individually decided</t>
        </is>
      </c>
      <c r="H286" s="34" t="inlineStr">
        <is>
          <t xml:space="preserve">APPROVED / ONE_TO_ONE; </t>
        </is>
      </c>
      <c r="I286" s="34" t="inlineStr">
        <is>
          <t>New</t>
        </is>
      </c>
      <c r="J286" s="92" t="inlineStr">
        <is>
          <t>08 CROSSWALK</t>
        </is>
      </c>
    </row>
    <row r="287" ht="49" customHeight="1">
      <c r="A287" s="34" t="inlineStr">
        <is>
          <t>R181-v1</t>
        </is>
      </c>
      <c r="B287" s="34" t="inlineStr">
        <is>
          <t>Contractor Programme / SCH-02-001</t>
        </is>
      </c>
      <c r="C287" s="34" t="inlineStr">
        <is>
          <t>WBS Code = 1.2.1</t>
        </is>
      </c>
      <c r="D287" s="34" t="inlineStr">
        <is>
          <t>Proposed by Source assignment; target 1.2.1 Stations - Station Structures</t>
        </is>
      </c>
      <c r="E287" s="34" t="inlineStr">
        <is>
          <t>None recorded</t>
        </is>
      </c>
      <c r="F287" s="34" t="inlineStr">
        <is>
          <t>No individual professional decision recorded; Source assignment -- not individually reviewed</t>
        </is>
      </c>
      <c r="G287" s="34" t="inlineStr">
        <is>
          <t>Not individually decided</t>
        </is>
      </c>
      <c r="H287" s="34" t="inlineStr">
        <is>
          <t xml:space="preserve">APPROVED / ONE_TO_ONE; </t>
        </is>
      </c>
      <c r="I287" s="34" t="inlineStr">
        <is>
          <t>New</t>
        </is>
      </c>
      <c r="J287" s="92" t="inlineStr">
        <is>
          <t>08 CROSSWALK</t>
        </is>
      </c>
    </row>
    <row r="288" ht="49" customHeight="1">
      <c r="A288" s="34" t="inlineStr">
        <is>
          <t>R182-v1</t>
        </is>
      </c>
      <c r="B288" s="34" t="inlineStr">
        <is>
          <t>Contractor Programme / SCH-02-002</t>
        </is>
      </c>
      <c r="C288" s="34" t="inlineStr">
        <is>
          <t>WBS Code = 1.2.1</t>
        </is>
      </c>
      <c r="D288" s="34" t="inlineStr">
        <is>
          <t>Proposed by Source assignment; target 1.2.1 Stations - Station Structures</t>
        </is>
      </c>
      <c r="E288" s="34" t="inlineStr">
        <is>
          <t>None recorded</t>
        </is>
      </c>
      <c r="F288" s="34" t="inlineStr">
        <is>
          <t>No individual professional decision recorded; Source assignment -- not individually reviewed</t>
        </is>
      </c>
      <c r="G288" s="34" t="inlineStr">
        <is>
          <t>Not individually decided</t>
        </is>
      </c>
      <c r="H288" s="34" t="inlineStr">
        <is>
          <t xml:space="preserve">APPROVED / ONE_TO_ONE; </t>
        </is>
      </c>
      <c r="I288" s="34" t="inlineStr">
        <is>
          <t>New</t>
        </is>
      </c>
      <c r="J288" s="92" t="inlineStr">
        <is>
          <t>08 CROSSWALK</t>
        </is>
      </c>
    </row>
    <row r="289" ht="49" customHeight="1">
      <c r="A289" s="34" t="inlineStr">
        <is>
          <t>R184-v1</t>
        </is>
      </c>
      <c r="B289" s="34" t="inlineStr">
        <is>
          <t>Contractor Programme / SCH-02-004</t>
        </is>
      </c>
      <c r="C289" s="34" t="inlineStr">
        <is>
          <t>WBS Code = 1.2.1</t>
        </is>
      </c>
      <c r="D289" s="34" t="inlineStr">
        <is>
          <t>Proposed by Source assignment; target 1.2.1 Stations - Station Structures</t>
        </is>
      </c>
      <c r="E289" s="34" t="inlineStr">
        <is>
          <t>None recorded</t>
        </is>
      </c>
      <c r="F289" s="34" t="inlineStr">
        <is>
          <t>No individual professional decision recorded; Source assignment -- not individually reviewed</t>
        </is>
      </c>
      <c r="G289" s="34" t="inlineStr">
        <is>
          <t>Not individually decided</t>
        </is>
      </c>
      <c r="H289" s="34" t="inlineStr">
        <is>
          <t xml:space="preserve">APPROVED / ONE_TO_ONE; </t>
        </is>
      </c>
      <c r="I289" s="34" t="inlineStr">
        <is>
          <t>New</t>
        </is>
      </c>
      <c r="J289" s="92" t="inlineStr">
        <is>
          <t>08 CROSSWALK</t>
        </is>
      </c>
    </row>
    <row r="290" ht="49" customHeight="1">
      <c r="A290" s="34" t="inlineStr">
        <is>
          <t>R185-v1</t>
        </is>
      </c>
      <c r="B290" s="34" t="inlineStr">
        <is>
          <t>Contractor Programme / SCH-02-005</t>
        </is>
      </c>
      <c r="C290" s="34" t="inlineStr">
        <is>
          <t>WBS Code = 1.2.1</t>
        </is>
      </c>
      <c r="D290" s="34" t="inlineStr">
        <is>
          <t>Proposed by Source assignment; target 1.2.1 Stations - Station Structures</t>
        </is>
      </c>
      <c r="E290" s="34" t="inlineStr">
        <is>
          <t>None recorded</t>
        </is>
      </c>
      <c r="F290" s="34" t="inlineStr">
        <is>
          <t>No individual professional decision recorded; Source assignment -- not individually reviewed</t>
        </is>
      </c>
      <c r="G290" s="34" t="inlineStr">
        <is>
          <t>Not individually decided</t>
        </is>
      </c>
      <c r="H290" s="34" t="inlineStr">
        <is>
          <t xml:space="preserve">APPROVED / ONE_TO_ONE; </t>
        </is>
      </c>
      <c r="I290" s="34" t="inlineStr">
        <is>
          <t>New</t>
        </is>
      </c>
      <c r="J290" s="92" t="inlineStr">
        <is>
          <t>08 CROSSWALK</t>
        </is>
      </c>
    </row>
    <row r="291" ht="49" customHeight="1">
      <c r="A291" s="34" t="inlineStr">
        <is>
          <t>R187-v1</t>
        </is>
      </c>
      <c r="B291" s="34" t="inlineStr">
        <is>
          <t>Contractor Programme / SCH-02-007</t>
        </is>
      </c>
      <c r="C291" s="34" t="inlineStr">
        <is>
          <t>WBS Code = 1.2.1</t>
        </is>
      </c>
      <c r="D291" s="34" t="inlineStr">
        <is>
          <t>Proposed by Source assignment; target 1.2.1 Stations - Station Structures</t>
        </is>
      </c>
      <c r="E291" s="34" t="inlineStr">
        <is>
          <t>None recorded</t>
        </is>
      </c>
      <c r="F291" s="34" t="inlineStr">
        <is>
          <t>No individual professional decision recorded; Source assignment -- not individually reviewed</t>
        </is>
      </c>
      <c r="G291" s="34" t="inlineStr">
        <is>
          <t>Not individually decided</t>
        </is>
      </c>
      <c r="H291" s="34" t="inlineStr">
        <is>
          <t xml:space="preserve">APPROVED / ONE_TO_ONE; </t>
        </is>
      </c>
      <c r="I291" s="34" t="inlineStr">
        <is>
          <t>New</t>
        </is>
      </c>
      <c r="J291" s="92" t="inlineStr">
        <is>
          <t>08 CROSSWALK</t>
        </is>
      </c>
    </row>
    <row r="292" ht="49" customHeight="1">
      <c r="A292" s="34" t="inlineStr">
        <is>
          <t>R188-v1</t>
        </is>
      </c>
      <c r="B292" s="34" t="inlineStr">
        <is>
          <t>Contractor Programme / SCH-02-008</t>
        </is>
      </c>
      <c r="C292" s="34" t="inlineStr">
        <is>
          <t>WBS Code = 1.2.1</t>
        </is>
      </c>
      <c r="D292" s="34" t="inlineStr">
        <is>
          <t>Proposed by Source assignment; target 1.2.1 Stations - Station Structures</t>
        </is>
      </c>
      <c r="E292" s="34" t="inlineStr">
        <is>
          <t>None recorded</t>
        </is>
      </c>
      <c r="F292" s="34" t="inlineStr">
        <is>
          <t>No individual professional decision recorded; Source assignment -- not individually reviewed</t>
        </is>
      </c>
      <c r="G292" s="34" t="inlineStr">
        <is>
          <t>Not individually decided</t>
        </is>
      </c>
      <c r="H292" s="34" t="inlineStr">
        <is>
          <t xml:space="preserve">APPROVED / ONE_TO_ONE; </t>
        </is>
      </c>
      <c r="I292" s="34" t="inlineStr">
        <is>
          <t>New</t>
        </is>
      </c>
      <c r="J292" s="92" t="inlineStr">
        <is>
          <t>08 CROSSWALK</t>
        </is>
      </c>
    </row>
    <row r="293" ht="49" customHeight="1">
      <c r="A293" s="34" t="inlineStr">
        <is>
          <t>R190-v1</t>
        </is>
      </c>
      <c r="B293" s="34" t="inlineStr">
        <is>
          <t>Contractor Programme / SCH-02-010</t>
        </is>
      </c>
      <c r="C293" s="34" t="inlineStr">
        <is>
          <t>WBS Code = 1.2.1</t>
        </is>
      </c>
      <c r="D293" s="34" t="inlineStr">
        <is>
          <t>Proposed by Source assignment; target 1.2.1 Stations - Station Structures</t>
        </is>
      </c>
      <c r="E293" s="34" t="inlineStr">
        <is>
          <t>None recorded</t>
        </is>
      </c>
      <c r="F293" s="34" t="inlineStr">
        <is>
          <t>No individual professional decision recorded; Source assignment -- not individually reviewed</t>
        </is>
      </c>
      <c r="G293" s="34" t="inlineStr">
        <is>
          <t>Not individually decided</t>
        </is>
      </c>
      <c r="H293" s="34" t="inlineStr">
        <is>
          <t xml:space="preserve">APPROVED / ONE_TO_ONE; </t>
        </is>
      </c>
      <c r="I293" s="34" t="inlineStr">
        <is>
          <t>New</t>
        </is>
      </c>
      <c r="J293" s="92" t="inlineStr">
        <is>
          <t>08 CROSSWALK</t>
        </is>
      </c>
    </row>
    <row r="294" ht="49" customHeight="1">
      <c r="A294" s="34" t="inlineStr">
        <is>
          <t>R191-v1</t>
        </is>
      </c>
      <c r="B294" s="34" t="inlineStr">
        <is>
          <t>Contractor Programme / SCH-02-011</t>
        </is>
      </c>
      <c r="C294" s="34" t="inlineStr">
        <is>
          <t>WBS Code = 1.2.1</t>
        </is>
      </c>
      <c r="D294" s="34" t="inlineStr">
        <is>
          <t>Proposed by Source assignment; target 1.2.1 Stations - Station Structures</t>
        </is>
      </c>
      <c r="E294" s="34" t="inlineStr">
        <is>
          <t>None recorded</t>
        </is>
      </c>
      <c r="F294" s="34" t="inlineStr">
        <is>
          <t>No individual professional decision recorded; Source assignment -- not individually reviewed</t>
        </is>
      </c>
      <c r="G294" s="34" t="inlineStr">
        <is>
          <t>Not individually decided</t>
        </is>
      </c>
      <c r="H294" s="34" t="inlineStr">
        <is>
          <t xml:space="preserve">APPROVED / ONE_TO_ONE; </t>
        </is>
      </c>
      <c r="I294" s="34" t="inlineStr">
        <is>
          <t>New</t>
        </is>
      </c>
      <c r="J294" s="92" t="inlineStr">
        <is>
          <t>08 CROSSWALK</t>
        </is>
      </c>
    </row>
    <row r="295" ht="49" customHeight="1">
      <c r="A295" s="34" t="inlineStr">
        <is>
          <t>R193-v1</t>
        </is>
      </c>
      <c r="B295" s="34" t="inlineStr">
        <is>
          <t>Contractor Programme / SCH-02-013</t>
        </is>
      </c>
      <c r="C295" s="34" t="inlineStr">
        <is>
          <t>WBS Code = 1.2.1</t>
        </is>
      </c>
      <c r="D295" s="34" t="inlineStr">
        <is>
          <t>Proposed by Source assignment; target 1.2.1 Stations - Station Structures</t>
        </is>
      </c>
      <c r="E295" s="34" t="inlineStr">
        <is>
          <t>None recorded</t>
        </is>
      </c>
      <c r="F295" s="34" t="inlineStr">
        <is>
          <t>No individual professional decision recorded; Source assignment -- not individually reviewed</t>
        </is>
      </c>
      <c r="G295" s="34" t="inlineStr">
        <is>
          <t>Not individually decided</t>
        </is>
      </c>
      <c r="H295" s="34" t="inlineStr">
        <is>
          <t xml:space="preserve">APPROVED / ONE_TO_ONE; </t>
        </is>
      </c>
      <c r="I295" s="34" t="inlineStr">
        <is>
          <t>New</t>
        </is>
      </c>
      <c r="J295" s="92" t="inlineStr">
        <is>
          <t>08 CROSSWALK</t>
        </is>
      </c>
    </row>
    <row r="296" ht="49" customHeight="1">
      <c r="A296" s="34" t="inlineStr">
        <is>
          <t>R194-v1</t>
        </is>
      </c>
      <c r="B296" s="34" t="inlineStr">
        <is>
          <t>Contractor Programme / SCH-02-014</t>
        </is>
      </c>
      <c r="C296" s="34" t="inlineStr">
        <is>
          <t>WBS Code = 1.2.1</t>
        </is>
      </c>
      <c r="D296" s="34" t="inlineStr">
        <is>
          <t>Proposed by Source assignment; target 1.2.1 Stations - Station Structures</t>
        </is>
      </c>
      <c r="E296" s="34" t="inlineStr">
        <is>
          <t>None recorded</t>
        </is>
      </c>
      <c r="F296" s="34" t="inlineStr">
        <is>
          <t>No individual professional decision recorded; Source assignment -- not individually reviewed</t>
        </is>
      </c>
      <c r="G296" s="34" t="inlineStr">
        <is>
          <t>Not individually decided</t>
        </is>
      </c>
      <c r="H296" s="34" t="inlineStr">
        <is>
          <t xml:space="preserve">APPROVED / ONE_TO_ONE; </t>
        </is>
      </c>
      <c r="I296" s="34" t="inlineStr">
        <is>
          <t>New</t>
        </is>
      </c>
      <c r="J296" s="92" t="inlineStr">
        <is>
          <t>08 CROSSWALK</t>
        </is>
      </c>
    </row>
    <row r="297" ht="49" customHeight="1">
      <c r="A297" s="34" t="inlineStr">
        <is>
          <t>R196-v1</t>
        </is>
      </c>
      <c r="B297" s="34" t="inlineStr">
        <is>
          <t>Contractor Programme / SCH-02-016</t>
        </is>
      </c>
      <c r="C297" s="34" t="inlineStr">
        <is>
          <t>WBS Code = 1.2.1</t>
        </is>
      </c>
      <c r="D297" s="34" t="inlineStr">
        <is>
          <t>Proposed by Source assignment; target 1.2.1 Stations - Station Structures</t>
        </is>
      </c>
      <c r="E297" s="34" t="inlineStr">
        <is>
          <t>None recorded</t>
        </is>
      </c>
      <c r="F297" s="34" t="inlineStr">
        <is>
          <t>No individual professional decision recorded; Source assignment -- not individually reviewed</t>
        </is>
      </c>
      <c r="G297" s="34" t="inlineStr">
        <is>
          <t>Not individually decided</t>
        </is>
      </c>
      <c r="H297" s="34" t="inlineStr">
        <is>
          <t xml:space="preserve">APPROVED / ONE_TO_ONE; </t>
        </is>
      </c>
      <c r="I297" s="34" t="inlineStr">
        <is>
          <t>New</t>
        </is>
      </c>
      <c r="J297" s="92" t="inlineStr">
        <is>
          <t>08 CROSSWALK</t>
        </is>
      </c>
    </row>
    <row r="298" ht="49" customHeight="1">
      <c r="A298" s="34" t="inlineStr">
        <is>
          <t>R197-v1</t>
        </is>
      </c>
      <c r="B298" s="34" t="inlineStr">
        <is>
          <t>Contractor Programme / SCH-02-017</t>
        </is>
      </c>
      <c r="C298" s="34" t="inlineStr">
        <is>
          <t>WBS Code = 1.2.1</t>
        </is>
      </c>
      <c r="D298" s="34" t="inlineStr">
        <is>
          <t>Proposed by Source assignment; target 1.2.1 Stations - Station Structures</t>
        </is>
      </c>
      <c r="E298" s="34" t="inlineStr">
        <is>
          <t>None recorded</t>
        </is>
      </c>
      <c r="F298" s="34" t="inlineStr">
        <is>
          <t>No individual professional decision recorded; Source assignment -- not individually reviewed</t>
        </is>
      </c>
      <c r="G298" s="34" t="inlineStr">
        <is>
          <t>Not individually decided</t>
        </is>
      </c>
      <c r="H298" s="34" t="inlineStr">
        <is>
          <t xml:space="preserve">APPROVED / ONE_TO_ONE; </t>
        </is>
      </c>
      <c r="I298" s="34" t="inlineStr">
        <is>
          <t>New</t>
        </is>
      </c>
      <c r="J298" s="92" t="inlineStr">
        <is>
          <t>08 CROSSWALK</t>
        </is>
      </c>
    </row>
    <row r="299" ht="49" customHeight="1">
      <c r="A299" s="34" t="inlineStr">
        <is>
          <t>R199-v1</t>
        </is>
      </c>
      <c r="B299" s="34" t="inlineStr">
        <is>
          <t>Contractor Programme / SCH-02-019</t>
        </is>
      </c>
      <c r="C299" s="34" t="inlineStr">
        <is>
          <t>WBS Code = 1.2.1</t>
        </is>
      </c>
      <c r="D299" s="34" t="inlineStr">
        <is>
          <t>Proposed by Source assignment; target 1.2.1 Stations - Station Structures</t>
        </is>
      </c>
      <c r="E299" s="34" t="inlineStr">
        <is>
          <t>None recorded</t>
        </is>
      </c>
      <c r="F299" s="34" t="inlineStr">
        <is>
          <t>No individual professional decision recorded; Source assignment -- not individually reviewed</t>
        </is>
      </c>
      <c r="G299" s="34" t="inlineStr">
        <is>
          <t>Not individually decided</t>
        </is>
      </c>
      <c r="H299" s="34" t="inlineStr">
        <is>
          <t xml:space="preserve">APPROVED / ONE_TO_ONE; </t>
        </is>
      </c>
      <c r="I299" s="34" t="inlineStr">
        <is>
          <t>New</t>
        </is>
      </c>
      <c r="J299" s="92" t="inlineStr">
        <is>
          <t>08 CROSSWALK</t>
        </is>
      </c>
    </row>
    <row r="300" ht="49" customHeight="1">
      <c r="A300" s="34" t="inlineStr">
        <is>
          <t>R200-v1</t>
        </is>
      </c>
      <c r="B300" s="34" t="inlineStr">
        <is>
          <t>Contractor Programme / SCH-02-020</t>
        </is>
      </c>
      <c r="C300" s="34" t="inlineStr">
        <is>
          <t>WBS Code = 1.2.1</t>
        </is>
      </c>
      <c r="D300" s="34" t="inlineStr">
        <is>
          <t>Proposed by Source assignment; target 1.2.1 Stations - Station Structures</t>
        </is>
      </c>
      <c r="E300" s="34" t="inlineStr">
        <is>
          <t>None recorded</t>
        </is>
      </c>
      <c r="F300" s="34" t="inlineStr">
        <is>
          <t>No individual professional decision recorded; Source assignment -- not individually reviewed</t>
        </is>
      </c>
      <c r="G300" s="34" t="inlineStr">
        <is>
          <t>Not individually decided</t>
        </is>
      </c>
      <c r="H300" s="34" t="inlineStr">
        <is>
          <t xml:space="preserve">APPROVED / ONE_TO_ONE; </t>
        </is>
      </c>
      <c r="I300" s="34" t="inlineStr">
        <is>
          <t>New</t>
        </is>
      </c>
      <c r="J300" s="92" t="inlineStr">
        <is>
          <t>08 CROSSWALK</t>
        </is>
      </c>
    </row>
    <row r="301" ht="49" customHeight="1">
      <c r="A301" s="34" t="inlineStr">
        <is>
          <t>R202-v1</t>
        </is>
      </c>
      <c r="B301" s="34" t="inlineStr">
        <is>
          <t>Contractor Programme / SCH-02-022</t>
        </is>
      </c>
      <c r="C301" s="34" t="inlineStr">
        <is>
          <t>WBS Code = 1.2.1</t>
        </is>
      </c>
      <c r="D301" s="34" t="inlineStr">
        <is>
          <t>Proposed by Source assignment; target 1.2.1 Stations - Station Structures</t>
        </is>
      </c>
      <c r="E301" s="34" t="inlineStr">
        <is>
          <t>None recorded</t>
        </is>
      </c>
      <c r="F301" s="34" t="inlineStr">
        <is>
          <t>No individual professional decision recorded; Source assignment -- not individually reviewed</t>
        </is>
      </c>
      <c r="G301" s="34" t="inlineStr">
        <is>
          <t>Not individually decided</t>
        </is>
      </c>
      <c r="H301" s="34" t="inlineStr">
        <is>
          <t xml:space="preserve">APPROVED / ONE_TO_ONE; </t>
        </is>
      </c>
      <c r="I301" s="34" t="inlineStr">
        <is>
          <t>New</t>
        </is>
      </c>
      <c r="J301" s="92" t="inlineStr">
        <is>
          <t>08 CROSSWALK</t>
        </is>
      </c>
    </row>
    <row r="302" ht="49" customHeight="1">
      <c r="A302" s="34" t="inlineStr">
        <is>
          <t>R203-v1</t>
        </is>
      </c>
      <c r="B302" s="34" t="inlineStr">
        <is>
          <t>Contractor Programme / SCH-02-023</t>
        </is>
      </c>
      <c r="C302" s="34" t="inlineStr">
        <is>
          <t>WBS Code = 1.2.1</t>
        </is>
      </c>
      <c r="D302" s="34" t="inlineStr">
        <is>
          <t>Proposed by Source assignment; target 1.2.1 Stations - Station Structures</t>
        </is>
      </c>
      <c r="E302" s="34" t="inlineStr">
        <is>
          <t>None recorded</t>
        </is>
      </c>
      <c r="F302" s="34" t="inlineStr">
        <is>
          <t>No individual professional decision recorded; Source assignment -- not individually reviewed</t>
        </is>
      </c>
      <c r="G302" s="34" t="inlineStr">
        <is>
          <t>Not individually decided</t>
        </is>
      </c>
      <c r="H302" s="34" t="inlineStr">
        <is>
          <t xml:space="preserve">APPROVED / ONE_TO_ONE; </t>
        </is>
      </c>
      <c r="I302" s="34" t="inlineStr">
        <is>
          <t>New</t>
        </is>
      </c>
      <c r="J302" s="92" t="inlineStr">
        <is>
          <t>08 CROSSWALK</t>
        </is>
      </c>
    </row>
    <row r="303" ht="49" customHeight="1">
      <c r="A303" s="34" t="inlineStr">
        <is>
          <t>R205-v1</t>
        </is>
      </c>
      <c r="B303" s="34" t="inlineStr">
        <is>
          <t>Contractor Programme / SCH-02-025</t>
        </is>
      </c>
      <c r="C303" s="34" t="inlineStr">
        <is>
          <t>WBS Code = 1.2.1</t>
        </is>
      </c>
      <c r="D303" s="34" t="inlineStr">
        <is>
          <t>Proposed by Source assignment; target 1.2.1 Stations - Station Structures</t>
        </is>
      </c>
      <c r="E303" s="34" t="inlineStr">
        <is>
          <t>None recorded</t>
        </is>
      </c>
      <c r="F303" s="34" t="inlineStr">
        <is>
          <t>No individual professional decision recorded; Source assignment -- not individually reviewed</t>
        </is>
      </c>
      <c r="G303" s="34" t="inlineStr">
        <is>
          <t>Not individually decided</t>
        </is>
      </c>
      <c r="H303" s="34" t="inlineStr">
        <is>
          <t xml:space="preserve">APPROVED / ONE_TO_ONE; </t>
        </is>
      </c>
      <c r="I303" s="34" t="inlineStr">
        <is>
          <t>New</t>
        </is>
      </c>
      <c r="J303" s="92" t="inlineStr">
        <is>
          <t>08 CROSSWALK</t>
        </is>
      </c>
    </row>
    <row r="304" ht="49" customHeight="1">
      <c r="A304" s="34" t="inlineStr">
        <is>
          <t>R206-v1</t>
        </is>
      </c>
      <c r="B304" s="34" t="inlineStr">
        <is>
          <t>Contractor Programme / SCH-02-026</t>
        </is>
      </c>
      <c r="C304" s="34" t="inlineStr">
        <is>
          <t>WBS Code = 1.2.1</t>
        </is>
      </c>
      <c r="D304" s="34" t="inlineStr">
        <is>
          <t>Proposed by Source assignment; target 1.2.1 Stations - Station Structures</t>
        </is>
      </c>
      <c r="E304" s="34" t="inlineStr">
        <is>
          <t>None recorded</t>
        </is>
      </c>
      <c r="F304" s="34" t="inlineStr">
        <is>
          <t>No individual professional decision recorded; Source assignment -- not individually reviewed</t>
        </is>
      </c>
      <c r="G304" s="34" t="inlineStr">
        <is>
          <t>Not individually decided</t>
        </is>
      </c>
      <c r="H304" s="34" t="inlineStr">
        <is>
          <t xml:space="preserve">APPROVED / ONE_TO_ONE; </t>
        </is>
      </c>
      <c r="I304" s="34" t="inlineStr">
        <is>
          <t>New</t>
        </is>
      </c>
      <c r="J304" s="92" t="inlineStr">
        <is>
          <t>08 CROSSWALK</t>
        </is>
      </c>
    </row>
    <row r="305" ht="49" customHeight="1">
      <c r="A305" s="34" t="inlineStr">
        <is>
          <t>R208-v1</t>
        </is>
      </c>
      <c r="B305" s="34" t="inlineStr">
        <is>
          <t>Contractor Programme / SCH-02-028</t>
        </is>
      </c>
      <c r="C305" s="34" t="inlineStr">
        <is>
          <t>WBS Code = 1.2.1</t>
        </is>
      </c>
      <c r="D305" s="34" t="inlineStr">
        <is>
          <t>Proposed by Source assignment; target 1.2.1 Stations - Station Structures</t>
        </is>
      </c>
      <c r="E305" s="34" t="inlineStr">
        <is>
          <t>None recorded</t>
        </is>
      </c>
      <c r="F305" s="34" t="inlineStr">
        <is>
          <t>No individual professional decision recorded; Source assignment -- not individually reviewed</t>
        </is>
      </c>
      <c r="G305" s="34" t="inlineStr">
        <is>
          <t>Not individually decided</t>
        </is>
      </c>
      <c r="H305" s="34" t="inlineStr">
        <is>
          <t xml:space="preserve">APPROVED / ONE_TO_ONE; </t>
        </is>
      </c>
      <c r="I305" s="34" t="inlineStr">
        <is>
          <t>New</t>
        </is>
      </c>
      <c r="J305" s="92" t="inlineStr">
        <is>
          <t>08 CROSSWALK</t>
        </is>
      </c>
    </row>
    <row r="306" ht="49" customHeight="1">
      <c r="A306" s="34" t="inlineStr">
        <is>
          <t>R209-v1</t>
        </is>
      </c>
      <c r="B306" s="34" t="inlineStr">
        <is>
          <t>Contractor Programme / SCH-02-029</t>
        </is>
      </c>
      <c r="C306" s="34" t="inlineStr">
        <is>
          <t>WBS Code = 1.2.1</t>
        </is>
      </c>
      <c r="D306" s="34" t="inlineStr">
        <is>
          <t>Proposed by Source assignment; target 1.2.1 Stations - Station Structures</t>
        </is>
      </c>
      <c r="E306" s="34" t="inlineStr">
        <is>
          <t>None recorded</t>
        </is>
      </c>
      <c r="F306" s="34" t="inlineStr">
        <is>
          <t>No individual professional decision recorded; Source assignment -- not individually reviewed</t>
        </is>
      </c>
      <c r="G306" s="34" t="inlineStr">
        <is>
          <t>Not individually decided</t>
        </is>
      </c>
      <c r="H306" s="34" t="inlineStr">
        <is>
          <t xml:space="preserve">APPROVED / ONE_TO_ONE; </t>
        </is>
      </c>
      <c r="I306" s="34" t="inlineStr">
        <is>
          <t>New</t>
        </is>
      </c>
      <c r="J306" s="92" t="inlineStr">
        <is>
          <t>08 CROSSWALK</t>
        </is>
      </c>
    </row>
    <row r="307" ht="49" customHeight="1">
      <c r="A307" s="34" t="inlineStr">
        <is>
          <t>R211-v1</t>
        </is>
      </c>
      <c r="B307" s="34" t="inlineStr">
        <is>
          <t>Contractor Programme / SCH-02-031</t>
        </is>
      </c>
      <c r="C307" s="34" t="inlineStr">
        <is>
          <t>WBS Code = 1.2.1</t>
        </is>
      </c>
      <c r="D307" s="34" t="inlineStr">
        <is>
          <t>Proposed by Source assignment; target 1.2.1 Stations - Station Structures</t>
        </is>
      </c>
      <c r="E307" s="34" t="inlineStr">
        <is>
          <t>None recorded</t>
        </is>
      </c>
      <c r="F307" s="34" t="inlineStr">
        <is>
          <t>No individual professional decision recorded; Source assignment -- not individually reviewed</t>
        </is>
      </c>
      <c r="G307" s="34" t="inlineStr">
        <is>
          <t>Not individually decided</t>
        </is>
      </c>
      <c r="H307" s="34" t="inlineStr">
        <is>
          <t xml:space="preserve">APPROVED / ONE_TO_ONE; </t>
        </is>
      </c>
      <c r="I307" s="34" t="inlineStr">
        <is>
          <t>New</t>
        </is>
      </c>
      <c r="J307" s="92" t="inlineStr">
        <is>
          <t>08 CROSSWALK</t>
        </is>
      </c>
    </row>
    <row r="308" ht="49" customHeight="1">
      <c r="A308" s="34" t="inlineStr">
        <is>
          <t>R212-v1</t>
        </is>
      </c>
      <c r="B308" s="34" t="inlineStr">
        <is>
          <t>Contractor Programme / SCH-02-032</t>
        </is>
      </c>
      <c r="C308" s="34" t="inlineStr">
        <is>
          <t>WBS Code = 1.2.1</t>
        </is>
      </c>
      <c r="D308" s="34" t="inlineStr">
        <is>
          <t>Proposed by Source assignment; target 1.2.1 Stations - Station Structures</t>
        </is>
      </c>
      <c r="E308" s="34" t="inlineStr">
        <is>
          <t>None recorded</t>
        </is>
      </c>
      <c r="F308" s="34" t="inlineStr">
        <is>
          <t>No individual professional decision recorded; Source assignment -- not individually reviewed</t>
        </is>
      </c>
      <c r="G308" s="34" t="inlineStr">
        <is>
          <t>Not individually decided</t>
        </is>
      </c>
      <c r="H308" s="34" t="inlineStr">
        <is>
          <t xml:space="preserve">APPROVED / ONE_TO_ONE; </t>
        </is>
      </c>
      <c r="I308" s="34" t="inlineStr">
        <is>
          <t>New</t>
        </is>
      </c>
      <c r="J308" s="92" t="inlineStr">
        <is>
          <t>08 CROSSWALK</t>
        </is>
      </c>
    </row>
    <row r="309" ht="49" customHeight="1">
      <c r="A309" s="34" t="inlineStr">
        <is>
          <t>R214-v1</t>
        </is>
      </c>
      <c r="B309" s="34" t="inlineStr">
        <is>
          <t>Contractor Programme / SCH-02-034</t>
        </is>
      </c>
      <c r="C309" s="34" t="inlineStr">
        <is>
          <t>WBS Code = 1.2.1</t>
        </is>
      </c>
      <c r="D309" s="34" t="inlineStr">
        <is>
          <t>Proposed by Source assignment; target 1.2.1 Stations - Station Structures</t>
        </is>
      </c>
      <c r="E309" s="34" t="inlineStr">
        <is>
          <t>None recorded</t>
        </is>
      </c>
      <c r="F309" s="34" t="inlineStr">
        <is>
          <t>No individual professional decision recorded; Source assignment -- not individually reviewed</t>
        </is>
      </c>
      <c r="G309" s="34" t="inlineStr">
        <is>
          <t>Not individually decided</t>
        </is>
      </c>
      <c r="H309" s="34" t="inlineStr">
        <is>
          <t xml:space="preserve">APPROVED / ONE_TO_ONE; </t>
        </is>
      </c>
      <c r="I309" s="34" t="inlineStr">
        <is>
          <t>New</t>
        </is>
      </c>
      <c r="J309" s="92" t="inlineStr">
        <is>
          <t>08 CROSSWALK</t>
        </is>
      </c>
    </row>
    <row r="310" ht="49" customHeight="1">
      <c r="A310" s="34" t="inlineStr">
        <is>
          <t>R215-v1</t>
        </is>
      </c>
      <c r="B310" s="34" t="inlineStr">
        <is>
          <t>Contractor Programme / SCH-02-035</t>
        </is>
      </c>
      <c r="C310" s="34" t="inlineStr">
        <is>
          <t>WBS Code = 1.2.1</t>
        </is>
      </c>
      <c r="D310" s="34" t="inlineStr">
        <is>
          <t>Proposed by Source assignment; target 1.2.1 Stations - Station Structures</t>
        </is>
      </c>
      <c r="E310" s="34" t="inlineStr">
        <is>
          <t>None recorded</t>
        </is>
      </c>
      <c r="F310" s="34" t="inlineStr">
        <is>
          <t>No individual professional decision recorded; Source assignment -- not individually reviewed</t>
        </is>
      </c>
      <c r="G310" s="34" t="inlineStr">
        <is>
          <t>Not individually decided</t>
        </is>
      </c>
      <c r="H310" s="34" t="inlineStr">
        <is>
          <t xml:space="preserve">APPROVED / ONE_TO_ONE; </t>
        </is>
      </c>
      <c r="I310" s="34" t="inlineStr">
        <is>
          <t>New</t>
        </is>
      </c>
      <c r="J310" s="92" t="inlineStr">
        <is>
          <t>08 CROSSWALK</t>
        </is>
      </c>
    </row>
    <row r="311" ht="49" customHeight="1">
      <c r="A311" s="34" t="inlineStr">
        <is>
          <t>R217-v1</t>
        </is>
      </c>
      <c r="B311" s="34" t="inlineStr">
        <is>
          <t>Contractor Programme / SCH-02-037</t>
        </is>
      </c>
      <c r="C311" s="34" t="inlineStr">
        <is>
          <t>WBS Code = 1.2.1</t>
        </is>
      </c>
      <c r="D311" s="34" t="inlineStr">
        <is>
          <t>Proposed by Source assignment; target 1.2.1 Stations - Station Structures</t>
        </is>
      </c>
      <c r="E311" s="34" t="inlineStr">
        <is>
          <t>None recorded</t>
        </is>
      </c>
      <c r="F311" s="34" t="inlineStr">
        <is>
          <t>No individual professional decision recorded; Source assignment -- not individually reviewed</t>
        </is>
      </c>
      <c r="G311" s="34" t="inlineStr">
        <is>
          <t>Not individually decided</t>
        </is>
      </c>
      <c r="H311" s="34" t="inlineStr">
        <is>
          <t xml:space="preserve">APPROVED / ONE_TO_ONE; </t>
        </is>
      </c>
      <c r="I311" s="34" t="inlineStr">
        <is>
          <t>New</t>
        </is>
      </c>
      <c r="J311" s="92" t="inlineStr">
        <is>
          <t>08 CROSSWALK</t>
        </is>
      </c>
    </row>
    <row r="312" ht="49" customHeight="1">
      <c r="A312" s="34" t="inlineStr">
        <is>
          <t>R218-v1</t>
        </is>
      </c>
      <c r="B312" s="34" t="inlineStr">
        <is>
          <t>Contractor Programme / SCH-02-038</t>
        </is>
      </c>
      <c r="C312" s="34" t="inlineStr">
        <is>
          <t>WBS Code = 1.2.1</t>
        </is>
      </c>
      <c r="D312" s="34" t="inlineStr">
        <is>
          <t>Proposed by Source assignment; target 1.2.1 Stations - Station Structures</t>
        </is>
      </c>
      <c r="E312" s="34" t="inlineStr">
        <is>
          <t>None recorded</t>
        </is>
      </c>
      <c r="F312" s="34" t="inlineStr">
        <is>
          <t>No individual professional decision recorded; Source assignment -- not individually reviewed</t>
        </is>
      </c>
      <c r="G312" s="34" t="inlineStr">
        <is>
          <t>Not individually decided</t>
        </is>
      </c>
      <c r="H312" s="34" t="inlineStr">
        <is>
          <t xml:space="preserve">APPROVED / ONE_TO_ONE; </t>
        </is>
      </c>
      <c r="I312" s="34" t="inlineStr">
        <is>
          <t>New</t>
        </is>
      </c>
      <c r="J312" s="92" t="inlineStr">
        <is>
          <t>08 CROSSWALK</t>
        </is>
      </c>
    </row>
    <row r="313" ht="49" customHeight="1">
      <c r="A313" s="34" t="inlineStr">
        <is>
          <t>R220-v1</t>
        </is>
      </c>
      <c r="B313" s="34" t="inlineStr">
        <is>
          <t>Contractor Programme / SCH-02-040</t>
        </is>
      </c>
      <c r="C313" s="34" t="inlineStr">
        <is>
          <t>WBS Code = 1.2.1</t>
        </is>
      </c>
      <c r="D313" s="34" t="inlineStr">
        <is>
          <t>Proposed by Source assignment; target 1.2.1 Stations - Station Structures</t>
        </is>
      </c>
      <c r="E313" s="34" t="inlineStr">
        <is>
          <t>None recorded</t>
        </is>
      </c>
      <c r="F313" s="34" t="inlineStr">
        <is>
          <t>No individual professional decision recorded; Source assignment -- not individually reviewed</t>
        </is>
      </c>
      <c r="G313" s="34" t="inlineStr">
        <is>
          <t>Not individually decided</t>
        </is>
      </c>
      <c r="H313" s="34" t="inlineStr">
        <is>
          <t xml:space="preserve">APPROVED / ONE_TO_ONE; </t>
        </is>
      </c>
      <c r="I313" s="34" t="inlineStr">
        <is>
          <t>New</t>
        </is>
      </c>
      <c r="J313" s="92" t="inlineStr">
        <is>
          <t>08 CROSSWALK</t>
        </is>
      </c>
    </row>
    <row r="314" ht="49" customHeight="1">
      <c r="A314" s="34" t="inlineStr">
        <is>
          <t>R221-v1</t>
        </is>
      </c>
      <c r="B314" s="34" t="inlineStr">
        <is>
          <t>Contractor Programme / SCH-02-041</t>
        </is>
      </c>
      <c r="C314" s="34" t="inlineStr">
        <is>
          <t>WBS Code = 1.2.1</t>
        </is>
      </c>
      <c r="D314" s="34" t="inlineStr">
        <is>
          <t>Proposed by Source assignment; target 1.2.1 Stations - Station Structures</t>
        </is>
      </c>
      <c r="E314" s="34" t="inlineStr">
        <is>
          <t>None recorded</t>
        </is>
      </c>
      <c r="F314" s="34" t="inlineStr">
        <is>
          <t>No individual professional decision recorded; Source assignment -- not individually reviewed</t>
        </is>
      </c>
      <c r="G314" s="34" t="inlineStr">
        <is>
          <t>Not individually decided</t>
        </is>
      </c>
      <c r="H314" s="34" t="inlineStr">
        <is>
          <t xml:space="preserve">APPROVED / ONE_TO_ONE; </t>
        </is>
      </c>
      <c r="I314" s="34" t="inlineStr">
        <is>
          <t>New</t>
        </is>
      </c>
      <c r="J314" s="92" t="inlineStr">
        <is>
          <t>08 CROSSWALK</t>
        </is>
      </c>
    </row>
    <row r="315" ht="49" customHeight="1">
      <c r="A315" s="34" t="inlineStr">
        <is>
          <t>R223-v1</t>
        </is>
      </c>
      <c r="B315" s="34" t="inlineStr">
        <is>
          <t>Contractor Programme / SCH-02-043</t>
        </is>
      </c>
      <c r="C315" s="34" t="inlineStr">
        <is>
          <t>WBS Code = 1.2.1</t>
        </is>
      </c>
      <c r="D315" s="34" t="inlineStr">
        <is>
          <t>Proposed by Source assignment; target 1.2.1 Stations - Station Structures</t>
        </is>
      </c>
      <c r="E315" s="34" t="inlineStr">
        <is>
          <t>None recorded</t>
        </is>
      </c>
      <c r="F315" s="34" t="inlineStr">
        <is>
          <t>No individual professional decision recorded; Source assignment -- not individually reviewed</t>
        </is>
      </c>
      <c r="G315" s="34" t="inlineStr">
        <is>
          <t>Not individually decided</t>
        </is>
      </c>
      <c r="H315" s="34" t="inlineStr">
        <is>
          <t xml:space="preserve">APPROVED / ONE_TO_ONE; </t>
        </is>
      </c>
      <c r="I315" s="34" t="inlineStr">
        <is>
          <t>New</t>
        </is>
      </c>
      <c r="J315" s="92" t="inlineStr">
        <is>
          <t>08 CROSSWALK</t>
        </is>
      </c>
    </row>
    <row r="316" ht="49" customHeight="1">
      <c r="A316" s="34" t="inlineStr">
        <is>
          <t>R224-v1</t>
        </is>
      </c>
      <c r="B316" s="34" t="inlineStr">
        <is>
          <t>Contractor Programme / SCH-02-044</t>
        </is>
      </c>
      <c r="C316" s="34" t="inlineStr">
        <is>
          <t>WBS Code = 1.2.1</t>
        </is>
      </c>
      <c r="D316" s="34" t="inlineStr">
        <is>
          <t>Proposed by Source assignment; target 1.2.1 Stations - Station Structures</t>
        </is>
      </c>
      <c r="E316" s="34" t="inlineStr">
        <is>
          <t>None recorded</t>
        </is>
      </c>
      <c r="F316" s="34" t="inlineStr">
        <is>
          <t>No individual professional decision recorded; Source assignment -- not individually reviewed</t>
        </is>
      </c>
      <c r="G316" s="34" t="inlineStr">
        <is>
          <t>Not individually decided</t>
        </is>
      </c>
      <c r="H316" s="34" t="inlineStr">
        <is>
          <t xml:space="preserve">APPROVED / ONE_TO_ONE; </t>
        </is>
      </c>
      <c r="I316" s="34" t="inlineStr">
        <is>
          <t>New</t>
        </is>
      </c>
      <c r="J316" s="92" t="inlineStr">
        <is>
          <t>08 CROSSWALK</t>
        </is>
      </c>
    </row>
    <row r="317" ht="49" customHeight="1">
      <c r="A317" s="34" t="inlineStr">
        <is>
          <t>R226-v1</t>
        </is>
      </c>
      <c r="B317" s="34" t="inlineStr">
        <is>
          <t>Contractor Programme / SCH-02-046</t>
        </is>
      </c>
      <c r="C317" s="34" t="inlineStr">
        <is>
          <t>WBS Code = 1.2.1</t>
        </is>
      </c>
      <c r="D317" s="34" t="inlineStr">
        <is>
          <t>Proposed by Source assignment; target 1.2.1 Stations - Station Structures</t>
        </is>
      </c>
      <c r="E317" s="34" t="inlineStr">
        <is>
          <t>None recorded</t>
        </is>
      </c>
      <c r="F317" s="34" t="inlineStr">
        <is>
          <t>No individual professional decision recorded; Source assignment -- not individually reviewed</t>
        </is>
      </c>
      <c r="G317" s="34" t="inlineStr">
        <is>
          <t>Not individually decided</t>
        </is>
      </c>
      <c r="H317" s="34" t="inlineStr">
        <is>
          <t xml:space="preserve">APPROVED / ONE_TO_ONE; </t>
        </is>
      </c>
      <c r="I317" s="34" t="inlineStr">
        <is>
          <t>New</t>
        </is>
      </c>
      <c r="J317" s="92" t="inlineStr">
        <is>
          <t>08 CROSSWALK</t>
        </is>
      </c>
    </row>
    <row r="318" ht="49" customHeight="1">
      <c r="A318" s="34" t="inlineStr">
        <is>
          <t>R227-v1</t>
        </is>
      </c>
      <c r="B318" s="34" t="inlineStr">
        <is>
          <t>Contractor Programme / SCH-02-047</t>
        </is>
      </c>
      <c r="C318" s="34" t="inlineStr">
        <is>
          <t>WBS Code = 1.2.1</t>
        </is>
      </c>
      <c r="D318" s="34" t="inlineStr">
        <is>
          <t>Proposed by Source assignment; target 1.2.1 Stations - Station Structures</t>
        </is>
      </c>
      <c r="E318" s="34" t="inlineStr">
        <is>
          <t>None recorded</t>
        </is>
      </c>
      <c r="F318" s="34" t="inlineStr">
        <is>
          <t>No individual professional decision recorded; Source assignment -- not individually reviewed</t>
        </is>
      </c>
      <c r="G318" s="34" t="inlineStr">
        <is>
          <t>Not individually decided</t>
        </is>
      </c>
      <c r="H318" s="34" t="inlineStr">
        <is>
          <t xml:space="preserve">APPROVED / ONE_TO_ONE; </t>
        </is>
      </c>
      <c r="I318" s="34" t="inlineStr">
        <is>
          <t>New</t>
        </is>
      </c>
      <c r="J318" s="92" t="inlineStr">
        <is>
          <t>08 CROSSWALK</t>
        </is>
      </c>
    </row>
    <row r="319" ht="49" customHeight="1">
      <c r="A319" s="34" t="inlineStr">
        <is>
          <t>R229-v1</t>
        </is>
      </c>
      <c r="B319" s="34" t="inlineStr">
        <is>
          <t>Contractor Programme / SCH-02-049</t>
        </is>
      </c>
      <c r="C319" s="34" t="inlineStr">
        <is>
          <t>WBS Code = 1.2.1</t>
        </is>
      </c>
      <c r="D319" s="34" t="inlineStr">
        <is>
          <t>Proposed by Source assignment; target 1.2.1 Stations - Station Structures</t>
        </is>
      </c>
      <c r="E319" s="34" t="inlineStr">
        <is>
          <t>None recorded</t>
        </is>
      </c>
      <c r="F319" s="34" t="inlineStr">
        <is>
          <t>No individual professional decision recorded; Source assignment -- not individually reviewed</t>
        </is>
      </c>
      <c r="G319" s="34" t="inlineStr">
        <is>
          <t>Not individually decided</t>
        </is>
      </c>
      <c r="H319" s="34" t="inlineStr">
        <is>
          <t xml:space="preserve">APPROVED / ONE_TO_ONE; </t>
        </is>
      </c>
      <c r="I319" s="34" t="inlineStr">
        <is>
          <t>New</t>
        </is>
      </c>
      <c r="J319" s="92" t="inlineStr">
        <is>
          <t>08 CROSSWALK</t>
        </is>
      </c>
    </row>
    <row r="320" ht="49" customHeight="1">
      <c r="A320" s="34" t="inlineStr">
        <is>
          <t>R230-v1</t>
        </is>
      </c>
      <c r="B320" s="34" t="inlineStr">
        <is>
          <t>Contractor Programme / SCH-02-050</t>
        </is>
      </c>
      <c r="C320" s="34" t="inlineStr">
        <is>
          <t>WBS Code = 1.2.1</t>
        </is>
      </c>
      <c r="D320" s="34" t="inlineStr">
        <is>
          <t>Proposed by Source assignment; target 1.2.1 Stations - Station Structures</t>
        </is>
      </c>
      <c r="E320" s="34" t="inlineStr">
        <is>
          <t>None recorded</t>
        </is>
      </c>
      <c r="F320" s="34" t="inlineStr">
        <is>
          <t>No individual professional decision recorded; Source assignment -- not individually reviewed</t>
        </is>
      </c>
      <c r="G320" s="34" t="inlineStr">
        <is>
          <t>Not individually decided</t>
        </is>
      </c>
      <c r="H320" s="34" t="inlineStr">
        <is>
          <t xml:space="preserve">APPROVED / ONE_TO_ONE; </t>
        </is>
      </c>
      <c r="I320" s="34" t="inlineStr">
        <is>
          <t>New</t>
        </is>
      </c>
      <c r="J320" s="92" t="inlineStr">
        <is>
          <t>08 CROSSWALK</t>
        </is>
      </c>
    </row>
    <row r="321" ht="49" customHeight="1">
      <c r="A321" s="34" t="inlineStr">
        <is>
          <t>R232-v1</t>
        </is>
      </c>
      <c r="B321" s="34" t="inlineStr">
        <is>
          <t>Contractor Programme / SCH-02-052</t>
        </is>
      </c>
      <c r="C321" s="34" t="inlineStr">
        <is>
          <t>WBS Code = 1.2.1</t>
        </is>
      </c>
      <c r="D321" s="34" t="inlineStr">
        <is>
          <t>Proposed by Source assignment; target 1.2.1 Stations - Station Structures</t>
        </is>
      </c>
      <c r="E321" s="34" t="inlineStr">
        <is>
          <t>None recorded</t>
        </is>
      </c>
      <c r="F321" s="34" t="inlineStr">
        <is>
          <t>No individual professional decision recorded; Source assignment -- not individually reviewed</t>
        </is>
      </c>
      <c r="G321" s="34" t="inlineStr">
        <is>
          <t>Not individually decided</t>
        </is>
      </c>
      <c r="H321" s="34" t="inlineStr">
        <is>
          <t xml:space="preserve">APPROVED / ONE_TO_ONE; </t>
        </is>
      </c>
      <c r="I321" s="34" t="inlineStr">
        <is>
          <t>New</t>
        </is>
      </c>
      <c r="J321" s="92" t="inlineStr">
        <is>
          <t>08 CROSSWALK</t>
        </is>
      </c>
    </row>
    <row r="322" ht="49" customHeight="1">
      <c r="A322" s="34" t="inlineStr">
        <is>
          <t>R233-v1</t>
        </is>
      </c>
      <c r="B322" s="34" t="inlineStr">
        <is>
          <t>Contractor Programme / SCH-02-053</t>
        </is>
      </c>
      <c r="C322" s="34" t="inlineStr">
        <is>
          <t>WBS Code = 1.2.1</t>
        </is>
      </c>
      <c r="D322" s="34" t="inlineStr">
        <is>
          <t>Proposed by Source assignment; target 1.2.1 Stations - Station Structures</t>
        </is>
      </c>
      <c r="E322" s="34" t="inlineStr">
        <is>
          <t>None recorded</t>
        </is>
      </c>
      <c r="F322" s="34" t="inlineStr">
        <is>
          <t>No individual professional decision recorded; Source assignment -- not individually reviewed</t>
        </is>
      </c>
      <c r="G322" s="34" t="inlineStr">
        <is>
          <t>Not individually decided</t>
        </is>
      </c>
      <c r="H322" s="34" t="inlineStr">
        <is>
          <t xml:space="preserve">APPROVED / ONE_TO_ONE; </t>
        </is>
      </c>
      <c r="I322" s="34" t="inlineStr">
        <is>
          <t>New</t>
        </is>
      </c>
      <c r="J322" s="92" t="inlineStr">
        <is>
          <t>08 CROSSWALK</t>
        </is>
      </c>
    </row>
    <row r="323" ht="49" customHeight="1">
      <c r="A323" s="34" t="inlineStr">
        <is>
          <t>R235-v1</t>
        </is>
      </c>
      <c r="B323" s="34" t="inlineStr">
        <is>
          <t>Contractor Programme / SCH-02-055</t>
        </is>
      </c>
      <c r="C323" s="34" t="inlineStr">
        <is>
          <t>WBS Code = 1.2.1</t>
        </is>
      </c>
      <c r="D323" s="34" t="inlineStr">
        <is>
          <t>Proposed by Source assignment; target 1.2.1 Stations - Station Structures</t>
        </is>
      </c>
      <c r="E323" s="34" t="inlineStr">
        <is>
          <t>None recorded</t>
        </is>
      </c>
      <c r="F323" s="34" t="inlineStr">
        <is>
          <t>No individual professional decision recorded; Source assignment -- not individually reviewed</t>
        </is>
      </c>
      <c r="G323" s="34" t="inlineStr">
        <is>
          <t>Not individually decided</t>
        </is>
      </c>
      <c r="H323" s="34" t="inlineStr">
        <is>
          <t xml:space="preserve">APPROVED / ONE_TO_ONE; </t>
        </is>
      </c>
      <c r="I323" s="34" t="inlineStr">
        <is>
          <t>New</t>
        </is>
      </c>
      <c r="J323" s="92" t="inlineStr">
        <is>
          <t>08 CROSSWALK</t>
        </is>
      </c>
    </row>
    <row r="324" ht="49" customHeight="1">
      <c r="A324" s="34" t="inlineStr">
        <is>
          <t>R236-v1</t>
        </is>
      </c>
      <c r="B324" s="34" t="inlineStr">
        <is>
          <t>Contractor Programme / SCH-02-056</t>
        </is>
      </c>
      <c r="C324" s="34" t="inlineStr">
        <is>
          <t>WBS Code = 1.2.1</t>
        </is>
      </c>
      <c r="D324" s="34" t="inlineStr">
        <is>
          <t>Proposed by Source assignment; target 1.2.1 Stations - Station Structures</t>
        </is>
      </c>
      <c r="E324" s="34" t="inlineStr">
        <is>
          <t>None recorded</t>
        </is>
      </c>
      <c r="F324" s="34" t="inlineStr">
        <is>
          <t>No individual professional decision recorded; Source assignment -- not individually reviewed</t>
        </is>
      </c>
      <c r="G324" s="34" t="inlineStr">
        <is>
          <t>Not individually decided</t>
        </is>
      </c>
      <c r="H324" s="34" t="inlineStr">
        <is>
          <t xml:space="preserve">APPROVED / ONE_TO_ONE; </t>
        </is>
      </c>
      <c r="I324" s="34" t="inlineStr">
        <is>
          <t>New</t>
        </is>
      </c>
      <c r="J324" s="92" t="inlineStr">
        <is>
          <t>08 CROSSWALK</t>
        </is>
      </c>
    </row>
    <row r="325" ht="49" customHeight="1">
      <c r="A325" s="34" t="inlineStr">
        <is>
          <t>R238-v1</t>
        </is>
      </c>
      <c r="B325" s="34" t="inlineStr">
        <is>
          <t>Contractor Programme / SCH-02-058</t>
        </is>
      </c>
      <c r="C325" s="34" t="inlineStr">
        <is>
          <t>WBS Code = 1.2.1</t>
        </is>
      </c>
      <c r="D325" s="34" t="inlineStr">
        <is>
          <t>Proposed by Source assignment; target 1.2.1 Stations - Station Structures</t>
        </is>
      </c>
      <c r="E325" s="34" t="inlineStr">
        <is>
          <t>None recorded</t>
        </is>
      </c>
      <c r="F325" s="34" t="inlineStr">
        <is>
          <t>No individual professional decision recorded; Source assignment -- not individually reviewed</t>
        </is>
      </c>
      <c r="G325" s="34" t="inlineStr">
        <is>
          <t>Not individually decided</t>
        </is>
      </c>
      <c r="H325" s="34" t="inlineStr">
        <is>
          <t xml:space="preserve">APPROVED / ONE_TO_ONE; </t>
        </is>
      </c>
      <c r="I325" s="34" t="inlineStr">
        <is>
          <t>New</t>
        </is>
      </c>
      <c r="J325" s="92" t="inlineStr">
        <is>
          <t>08 CROSSWALK</t>
        </is>
      </c>
    </row>
    <row r="326" ht="49" customHeight="1">
      <c r="A326" s="34" t="inlineStr">
        <is>
          <t>R239-v1</t>
        </is>
      </c>
      <c r="B326" s="34" t="inlineStr">
        <is>
          <t>Contractor Programme / SCH-02-059</t>
        </is>
      </c>
      <c r="C326" s="34" t="inlineStr">
        <is>
          <t>WBS Code = 1.2.1</t>
        </is>
      </c>
      <c r="D326" s="34" t="inlineStr">
        <is>
          <t>Proposed by Source assignment; target 1.2.1 Stations - Station Structures</t>
        </is>
      </c>
      <c r="E326" s="34" t="inlineStr">
        <is>
          <t>None recorded</t>
        </is>
      </c>
      <c r="F326" s="34" t="inlineStr">
        <is>
          <t>No individual professional decision recorded; Source assignment -- not individually reviewed</t>
        </is>
      </c>
      <c r="G326" s="34" t="inlineStr">
        <is>
          <t>Not individually decided</t>
        </is>
      </c>
      <c r="H326" s="34" t="inlineStr">
        <is>
          <t xml:space="preserve">APPROVED / ONE_TO_ONE; </t>
        </is>
      </c>
      <c r="I326" s="34" t="inlineStr">
        <is>
          <t>New</t>
        </is>
      </c>
      <c r="J326" s="92" t="inlineStr">
        <is>
          <t>08 CROSSWALK</t>
        </is>
      </c>
    </row>
    <row r="327" ht="49" customHeight="1">
      <c r="A327" s="34" t="inlineStr">
        <is>
          <t>R241-v1</t>
        </is>
      </c>
      <c r="B327" s="34" t="inlineStr">
        <is>
          <t>Contractor Programme / SCH-02-061</t>
        </is>
      </c>
      <c r="C327" s="34" t="inlineStr">
        <is>
          <t>WBS Code = 1.2.1</t>
        </is>
      </c>
      <c r="D327" s="34" t="inlineStr">
        <is>
          <t>Proposed by Source assignment; target 1.2.1 Stations - Station Structures</t>
        </is>
      </c>
      <c r="E327" s="34" t="inlineStr">
        <is>
          <t>None recorded</t>
        </is>
      </c>
      <c r="F327" s="34" t="inlineStr">
        <is>
          <t>No individual professional decision recorded; Source assignment -- not individually reviewed</t>
        </is>
      </c>
      <c r="G327" s="34" t="inlineStr">
        <is>
          <t>Not individually decided</t>
        </is>
      </c>
      <c r="H327" s="34" t="inlineStr">
        <is>
          <t xml:space="preserve">APPROVED / ONE_TO_ONE; </t>
        </is>
      </c>
      <c r="I327" s="34" t="inlineStr">
        <is>
          <t>New</t>
        </is>
      </c>
      <c r="J327" s="92" t="inlineStr">
        <is>
          <t>08 CROSSWALK</t>
        </is>
      </c>
    </row>
    <row r="328" ht="49" customHeight="1">
      <c r="A328" s="34" t="inlineStr">
        <is>
          <t>R242-v1</t>
        </is>
      </c>
      <c r="B328" s="34" t="inlineStr">
        <is>
          <t>Contractor Programme / SCH-02-062</t>
        </is>
      </c>
      <c r="C328" s="34" t="inlineStr">
        <is>
          <t>WBS Code = 1.2.1</t>
        </is>
      </c>
      <c r="D328" s="34" t="inlineStr">
        <is>
          <t>Proposed by Source assignment; target 1.2.1 Stations - Station Structures</t>
        </is>
      </c>
      <c r="E328" s="34" t="inlineStr">
        <is>
          <t>None recorded</t>
        </is>
      </c>
      <c r="F328" s="34" t="inlineStr">
        <is>
          <t>No individual professional decision recorded; Source assignment -- not individually reviewed</t>
        </is>
      </c>
      <c r="G328" s="34" t="inlineStr">
        <is>
          <t>Not individually decided</t>
        </is>
      </c>
      <c r="H328" s="34" t="inlineStr">
        <is>
          <t xml:space="preserve">APPROVED / ONE_TO_ONE; </t>
        </is>
      </c>
      <c r="I328" s="34" t="inlineStr">
        <is>
          <t>New</t>
        </is>
      </c>
      <c r="J328" s="92" t="inlineStr">
        <is>
          <t>08 CROSSWALK</t>
        </is>
      </c>
    </row>
    <row r="329" ht="49" customHeight="1">
      <c r="A329" s="34" t="inlineStr">
        <is>
          <t>R244-v1</t>
        </is>
      </c>
      <c r="B329" s="34" t="inlineStr">
        <is>
          <t>Contractor Programme / SCH-02-064</t>
        </is>
      </c>
      <c r="C329" s="34" t="inlineStr">
        <is>
          <t>WBS Code = 1.2.1</t>
        </is>
      </c>
      <c r="D329" s="34" t="inlineStr">
        <is>
          <t>Proposed by Source assignment; target 1.2.1 Stations - Station Structures</t>
        </is>
      </c>
      <c r="E329" s="34" t="inlineStr">
        <is>
          <t>None recorded</t>
        </is>
      </c>
      <c r="F329" s="34" t="inlineStr">
        <is>
          <t>No individual professional decision recorded; Source assignment -- not individually reviewed</t>
        </is>
      </c>
      <c r="G329" s="34" t="inlineStr">
        <is>
          <t>Not individually decided</t>
        </is>
      </c>
      <c r="H329" s="34" t="inlineStr">
        <is>
          <t xml:space="preserve">APPROVED / ONE_TO_ONE; </t>
        </is>
      </c>
      <c r="I329" s="34" t="inlineStr">
        <is>
          <t>New</t>
        </is>
      </c>
      <c r="J329" s="92" t="inlineStr">
        <is>
          <t>08 CROSSWALK</t>
        </is>
      </c>
    </row>
    <row r="330" ht="49" customHeight="1">
      <c r="A330" s="34" t="inlineStr">
        <is>
          <t>R245-v1</t>
        </is>
      </c>
      <c r="B330" s="34" t="inlineStr">
        <is>
          <t>Contractor Programme / SCH-02-065</t>
        </is>
      </c>
      <c r="C330" s="34" t="inlineStr">
        <is>
          <t>WBS Code = 1.2.1</t>
        </is>
      </c>
      <c r="D330" s="34" t="inlineStr">
        <is>
          <t>Proposed by Source assignment; target 1.2.1 Stations - Station Structures</t>
        </is>
      </c>
      <c r="E330" s="34" t="inlineStr">
        <is>
          <t>None recorded</t>
        </is>
      </c>
      <c r="F330" s="34" t="inlineStr">
        <is>
          <t>No individual professional decision recorded; Source assignment -- not individually reviewed</t>
        </is>
      </c>
      <c r="G330" s="34" t="inlineStr">
        <is>
          <t>Not individually decided</t>
        </is>
      </c>
      <c r="H330" s="34" t="inlineStr">
        <is>
          <t xml:space="preserve">APPROVED / ONE_TO_ONE; </t>
        </is>
      </c>
      <c r="I330" s="34" t="inlineStr">
        <is>
          <t>New</t>
        </is>
      </c>
      <c r="J330" s="92" t="inlineStr">
        <is>
          <t>08 CROSSWALK</t>
        </is>
      </c>
    </row>
    <row r="331" ht="49" customHeight="1">
      <c r="A331" s="34" t="inlineStr">
        <is>
          <t>R247-v1</t>
        </is>
      </c>
      <c r="B331" s="34" t="inlineStr">
        <is>
          <t>Contractor Programme / SCH-02-067</t>
        </is>
      </c>
      <c r="C331" s="34" t="inlineStr">
        <is>
          <t>WBS Code = 1.2.1</t>
        </is>
      </c>
      <c r="D331" s="34" t="inlineStr">
        <is>
          <t>Proposed by Source assignment; target 1.2.1 Stations - Station Structures</t>
        </is>
      </c>
      <c r="E331" s="34" t="inlineStr">
        <is>
          <t>None recorded</t>
        </is>
      </c>
      <c r="F331" s="34" t="inlineStr">
        <is>
          <t>No individual professional decision recorded; Source assignment -- not individually reviewed</t>
        </is>
      </c>
      <c r="G331" s="34" t="inlineStr">
        <is>
          <t>Not individually decided</t>
        </is>
      </c>
      <c r="H331" s="34" t="inlineStr">
        <is>
          <t xml:space="preserve">APPROVED / ONE_TO_ONE; </t>
        </is>
      </c>
      <c r="I331" s="34" t="inlineStr">
        <is>
          <t>New</t>
        </is>
      </c>
      <c r="J331" s="92" t="inlineStr">
        <is>
          <t>08 CROSSWALK</t>
        </is>
      </c>
    </row>
    <row r="332" ht="49" customHeight="1">
      <c r="A332" s="34" t="inlineStr">
        <is>
          <t>R248-v1</t>
        </is>
      </c>
      <c r="B332" s="34" t="inlineStr">
        <is>
          <t>Contractor Programme / SCH-02-068</t>
        </is>
      </c>
      <c r="C332" s="34" t="inlineStr">
        <is>
          <t>WBS Code = 1.2.1</t>
        </is>
      </c>
      <c r="D332" s="34" t="inlineStr">
        <is>
          <t>Proposed by Source assignment; target 1.2.1 Stations - Station Structures</t>
        </is>
      </c>
      <c r="E332" s="34" t="inlineStr">
        <is>
          <t>None recorded</t>
        </is>
      </c>
      <c r="F332" s="34" t="inlineStr">
        <is>
          <t>No individual professional decision recorded; Source assignment -- not individually reviewed</t>
        </is>
      </c>
      <c r="G332" s="34" t="inlineStr">
        <is>
          <t>Not individually decided</t>
        </is>
      </c>
      <c r="H332" s="34" t="inlineStr">
        <is>
          <t xml:space="preserve">APPROVED / ONE_TO_ONE; </t>
        </is>
      </c>
      <c r="I332" s="34" t="inlineStr">
        <is>
          <t>New</t>
        </is>
      </c>
      <c r="J332" s="92" t="inlineStr">
        <is>
          <t>08 CROSSWALK</t>
        </is>
      </c>
    </row>
    <row r="333" ht="49" customHeight="1">
      <c r="A333" s="34" t="inlineStr">
        <is>
          <t>R250-v1</t>
        </is>
      </c>
      <c r="B333" s="34" t="inlineStr">
        <is>
          <t>Contractor Programme / SCH-02-070</t>
        </is>
      </c>
      <c r="C333" s="34" t="inlineStr">
        <is>
          <t>WBS Code = 1.2.1</t>
        </is>
      </c>
      <c r="D333" s="34" t="inlineStr">
        <is>
          <t>Proposed by Source assignment; target 1.2.1 Stations - Station Structures</t>
        </is>
      </c>
      <c r="E333" s="34" t="inlineStr">
        <is>
          <t>None recorded</t>
        </is>
      </c>
      <c r="F333" s="34" t="inlineStr">
        <is>
          <t>No individual professional decision recorded; Source assignment -- not individually reviewed</t>
        </is>
      </c>
      <c r="G333" s="34" t="inlineStr">
        <is>
          <t>Not individually decided</t>
        </is>
      </c>
      <c r="H333" s="34" t="inlineStr">
        <is>
          <t xml:space="preserve">APPROVED / ONE_TO_ONE; </t>
        </is>
      </c>
      <c r="I333" s="34" t="inlineStr">
        <is>
          <t>New</t>
        </is>
      </c>
      <c r="J333" s="92" t="inlineStr">
        <is>
          <t>08 CROSSWALK</t>
        </is>
      </c>
    </row>
    <row r="334" ht="49" customHeight="1">
      <c r="A334" s="34" t="inlineStr">
        <is>
          <t>R251-v1</t>
        </is>
      </c>
      <c r="B334" s="34" t="inlineStr">
        <is>
          <t>Contractor Programme / SCH-02-071</t>
        </is>
      </c>
      <c r="C334" s="34" t="inlineStr">
        <is>
          <t>WBS Code = 1.2.1</t>
        </is>
      </c>
      <c r="D334" s="34" t="inlineStr">
        <is>
          <t>Proposed by Source assignment; target 1.2.1 Stations - Station Structures</t>
        </is>
      </c>
      <c r="E334" s="34" t="inlineStr">
        <is>
          <t>None recorded</t>
        </is>
      </c>
      <c r="F334" s="34" t="inlineStr">
        <is>
          <t>No individual professional decision recorded; Source assignment -- not individually reviewed</t>
        </is>
      </c>
      <c r="G334" s="34" t="inlineStr">
        <is>
          <t>Not individually decided</t>
        </is>
      </c>
      <c r="H334" s="34" t="inlineStr">
        <is>
          <t xml:space="preserve">APPROVED / ONE_TO_ONE; </t>
        </is>
      </c>
      <c r="I334" s="34" t="inlineStr">
        <is>
          <t>New</t>
        </is>
      </c>
      <c r="J334" s="92" t="inlineStr">
        <is>
          <t>08 CROSSWALK</t>
        </is>
      </c>
    </row>
    <row r="335" ht="49" customHeight="1">
      <c r="A335" s="34" t="inlineStr">
        <is>
          <t>R253-v1</t>
        </is>
      </c>
      <c r="B335" s="34" t="inlineStr">
        <is>
          <t>Contractor Programme / SCH-02-073</t>
        </is>
      </c>
      <c r="C335" s="34" t="inlineStr">
        <is>
          <t>WBS Code = 1.2.1</t>
        </is>
      </c>
      <c r="D335" s="34" t="inlineStr">
        <is>
          <t>Proposed by Source assignment; target 1.2.1 Stations - Station Structures</t>
        </is>
      </c>
      <c r="E335" s="34" t="inlineStr">
        <is>
          <t>None recorded</t>
        </is>
      </c>
      <c r="F335" s="34" t="inlineStr">
        <is>
          <t>No individual professional decision recorded; Source assignment -- not individually reviewed</t>
        </is>
      </c>
      <c r="G335" s="34" t="inlineStr">
        <is>
          <t>Not individually decided</t>
        </is>
      </c>
      <c r="H335" s="34" t="inlineStr">
        <is>
          <t xml:space="preserve">APPROVED / ONE_TO_ONE; </t>
        </is>
      </c>
      <c r="I335" s="34" t="inlineStr">
        <is>
          <t>New</t>
        </is>
      </c>
      <c r="J335" s="92" t="inlineStr">
        <is>
          <t>08 CROSSWALK</t>
        </is>
      </c>
    </row>
    <row r="336" ht="49" customHeight="1">
      <c r="A336" s="34" t="inlineStr">
        <is>
          <t>R254-v1</t>
        </is>
      </c>
      <c r="B336" s="34" t="inlineStr">
        <is>
          <t>Contractor Programme / SCH-02-074</t>
        </is>
      </c>
      <c r="C336" s="34" t="inlineStr">
        <is>
          <t>WBS Code = 1.2.1</t>
        </is>
      </c>
      <c r="D336" s="34" t="inlineStr">
        <is>
          <t>Proposed by Source assignment; target 1.2.1 Stations - Station Structures</t>
        </is>
      </c>
      <c r="E336" s="34" t="inlineStr">
        <is>
          <t>None recorded</t>
        </is>
      </c>
      <c r="F336" s="34" t="inlineStr">
        <is>
          <t>No individual professional decision recorded; Source assignment -- not individually reviewed</t>
        </is>
      </c>
      <c r="G336" s="34" t="inlineStr">
        <is>
          <t>Not individually decided</t>
        </is>
      </c>
      <c r="H336" s="34" t="inlineStr">
        <is>
          <t xml:space="preserve">APPROVED / ONE_TO_ONE; </t>
        </is>
      </c>
      <c r="I336" s="34" t="inlineStr">
        <is>
          <t>New</t>
        </is>
      </c>
      <c r="J336" s="92" t="inlineStr">
        <is>
          <t>08 CROSSWALK</t>
        </is>
      </c>
    </row>
    <row r="337" ht="49" customHeight="1">
      <c r="A337" s="34" t="inlineStr">
        <is>
          <t>R256-v1</t>
        </is>
      </c>
      <c r="B337" s="34" t="inlineStr">
        <is>
          <t>Contractor Programme / SCH-02-076</t>
        </is>
      </c>
      <c r="C337" s="34" t="inlineStr">
        <is>
          <t>WBS Code = 1.2.1</t>
        </is>
      </c>
      <c r="D337" s="34" t="inlineStr">
        <is>
          <t>Proposed by Source assignment; target 1.2.1 Stations - Station Structures</t>
        </is>
      </c>
      <c r="E337" s="34" t="inlineStr">
        <is>
          <t>None recorded</t>
        </is>
      </c>
      <c r="F337" s="34" t="inlineStr">
        <is>
          <t>No individual professional decision recorded; Source assignment -- not individually reviewed</t>
        </is>
      </c>
      <c r="G337" s="34" t="inlineStr">
        <is>
          <t>Not individually decided</t>
        </is>
      </c>
      <c r="H337" s="34" t="inlineStr">
        <is>
          <t xml:space="preserve">APPROVED / ONE_TO_ONE; </t>
        </is>
      </c>
      <c r="I337" s="34" t="inlineStr">
        <is>
          <t>New</t>
        </is>
      </c>
      <c r="J337" s="92" t="inlineStr">
        <is>
          <t>08 CROSSWALK</t>
        </is>
      </c>
    </row>
    <row r="338" ht="49" customHeight="1">
      <c r="A338" s="34" t="inlineStr">
        <is>
          <t>R257-v1</t>
        </is>
      </c>
      <c r="B338" s="34" t="inlineStr">
        <is>
          <t>Contractor Programme / SCH-02-077</t>
        </is>
      </c>
      <c r="C338" s="34" t="inlineStr">
        <is>
          <t>WBS Code = 1.2.1</t>
        </is>
      </c>
      <c r="D338" s="34" t="inlineStr">
        <is>
          <t>Proposed by Source assignment; target 1.2.1 Stations - Station Structures</t>
        </is>
      </c>
      <c r="E338" s="34" t="inlineStr">
        <is>
          <t>None recorded</t>
        </is>
      </c>
      <c r="F338" s="34" t="inlineStr">
        <is>
          <t>No individual professional decision recorded; Source assignment -- not individually reviewed</t>
        </is>
      </c>
      <c r="G338" s="34" t="inlineStr">
        <is>
          <t>Not individually decided</t>
        </is>
      </c>
      <c r="H338" s="34" t="inlineStr">
        <is>
          <t xml:space="preserve">APPROVED / ONE_TO_ONE; </t>
        </is>
      </c>
      <c r="I338" s="34" t="inlineStr">
        <is>
          <t>New</t>
        </is>
      </c>
      <c r="J338" s="92" t="inlineStr">
        <is>
          <t>08 CROSSWALK</t>
        </is>
      </c>
    </row>
    <row r="339" ht="49" customHeight="1">
      <c r="A339" s="34" t="inlineStr">
        <is>
          <t>R259-v1</t>
        </is>
      </c>
      <c r="B339" s="34" t="inlineStr">
        <is>
          <t>Contractor Programme / SCH-02-079</t>
        </is>
      </c>
      <c r="C339" s="34" t="inlineStr">
        <is>
          <t>WBS Code = 1.2.1</t>
        </is>
      </c>
      <c r="D339" s="34" t="inlineStr">
        <is>
          <t>Proposed by Source assignment; target 1.2.1 Stations - Station Structures</t>
        </is>
      </c>
      <c r="E339" s="34" t="inlineStr">
        <is>
          <t>None recorded</t>
        </is>
      </c>
      <c r="F339" s="34" t="inlineStr">
        <is>
          <t>No individual professional decision recorded; Source assignment -- not individually reviewed</t>
        </is>
      </c>
      <c r="G339" s="34" t="inlineStr">
        <is>
          <t>Not individually decided</t>
        </is>
      </c>
      <c r="H339" s="34" t="inlineStr">
        <is>
          <t xml:space="preserve">APPROVED / ONE_TO_ONE; </t>
        </is>
      </c>
      <c r="I339" s="34" t="inlineStr">
        <is>
          <t>New</t>
        </is>
      </c>
      <c r="J339" s="92" t="inlineStr">
        <is>
          <t>08 CROSSWALK</t>
        </is>
      </c>
    </row>
    <row r="340" ht="49" customHeight="1">
      <c r="A340" s="34" t="inlineStr">
        <is>
          <t>R260-v1</t>
        </is>
      </c>
      <c r="B340" s="34" t="inlineStr">
        <is>
          <t>Contractor Programme / SCH-02-080</t>
        </is>
      </c>
      <c r="C340" s="34" t="inlineStr">
        <is>
          <t>WBS Code = 1.2.1</t>
        </is>
      </c>
      <c r="D340" s="34" t="inlineStr">
        <is>
          <t>Proposed by Source assignment; target 1.2.1 Stations - Station Structures</t>
        </is>
      </c>
      <c r="E340" s="34" t="inlineStr">
        <is>
          <t>None recorded</t>
        </is>
      </c>
      <c r="F340" s="34" t="inlineStr">
        <is>
          <t>No individual professional decision recorded; Source assignment -- not individually reviewed</t>
        </is>
      </c>
      <c r="G340" s="34" t="inlineStr">
        <is>
          <t>Not individually decided</t>
        </is>
      </c>
      <c r="H340" s="34" t="inlineStr">
        <is>
          <t xml:space="preserve">APPROVED / ONE_TO_ONE; </t>
        </is>
      </c>
      <c r="I340" s="34" t="inlineStr">
        <is>
          <t>New</t>
        </is>
      </c>
      <c r="J340" s="92" t="inlineStr">
        <is>
          <t>08 CROSSWALK</t>
        </is>
      </c>
    </row>
    <row r="341" ht="49" customHeight="1">
      <c r="A341" s="34" t="inlineStr">
        <is>
          <t>R262-v1</t>
        </is>
      </c>
      <c r="B341" s="34" t="inlineStr">
        <is>
          <t>Contractor Programme / SCH-02-082</t>
        </is>
      </c>
      <c r="C341" s="34" t="inlineStr">
        <is>
          <t>WBS Code = 1.2.1</t>
        </is>
      </c>
      <c r="D341" s="34" t="inlineStr">
        <is>
          <t>Proposed by Source assignment; target 1.2.1 Stations - Station Structures</t>
        </is>
      </c>
      <c r="E341" s="34" t="inlineStr">
        <is>
          <t>None recorded</t>
        </is>
      </c>
      <c r="F341" s="34" t="inlineStr">
        <is>
          <t>No individual professional decision recorded; Source assignment -- not individually reviewed</t>
        </is>
      </c>
      <c r="G341" s="34" t="inlineStr">
        <is>
          <t>Not individually decided</t>
        </is>
      </c>
      <c r="H341" s="34" t="inlineStr">
        <is>
          <t xml:space="preserve">APPROVED / ONE_TO_ONE; </t>
        </is>
      </c>
      <c r="I341" s="34" t="inlineStr">
        <is>
          <t>New</t>
        </is>
      </c>
      <c r="J341" s="92" t="inlineStr">
        <is>
          <t>08 CROSSWALK</t>
        </is>
      </c>
    </row>
    <row r="342" ht="49" customHeight="1">
      <c r="A342" s="34" t="inlineStr">
        <is>
          <t>R263-v1</t>
        </is>
      </c>
      <c r="B342" s="34" t="inlineStr">
        <is>
          <t>Contractor Programme / SCH-02-083</t>
        </is>
      </c>
      <c r="C342" s="34" t="inlineStr">
        <is>
          <t>WBS Code = 1.2.1</t>
        </is>
      </c>
      <c r="D342" s="34" t="inlineStr">
        <is>
          <t>Proposed by Source assignment; target 1.2.1 Stations - Station Structures</t>
        </is>
      </c>
      <c r="E342" s="34" t="inlineStr">
        <is>
          <t>None recorded</t>
        </is>
      </c>
      <c r="F342" s="34" t="inlineStr">
        <is>
          <t>No individual professional decision recorded; Source assignment -- not individually reviewed</t>
        </is>
      </c>
      <c r="G342" s="34" t="inlineStr">
        <is>
          <t>Not individually decided</t>
        </is>
      </c>
      <c r="H342" s="34" t="inlineStr">
        <is>
          <t xml:space="preserve">APPROVED / ONE_TO_ONE; </t>
        </is>
      </c>
      <c r="I342" s="34" t="inlineStr">
        <is>
          <t>New</t>
        </is>
      </c>
      <c r="J342" s="92" t="inlineStr">
        <is>
          <t>08 CROSSWALK</t>
        </is>
      </c>
    </row>
    <row r="343" ht="49" customHeight="1">
      <c r="A343" s="34" t="inlineStr">
        <is>
          <t>R265-v1</t>
        </is>
      </c>
      <c r="B343" s="34" t="inlineStr">
        <is>
          <t>Contractor Programme / SCH-02-085</t>
        </is>
      </c>
      <c r="C343" s="34" t="inlineStr">
        <is>
          <t>WBS Code = 1.2.1</t>
        </is>
      </c>
      <c r="D343" s="34" t="inlineStr">
        <is>
          <t>Proposed by Source assignment; target 1.2.1 Stations - Station Structures</t>
        </is>
      </c>
      <c r="E343" s="34" t="inlineStr">
        <is>
          <t>None recorded</t>
        </is>
      </c>
      <c r="F343" s="34" t="inlineStr">
        <is>
          <t>No individual professional decision recorded; Source assignment -- not individually reviewed</t>
        </is>
      </c>
      <c r="G343" s="34" t="inlineStr">
        <is>
          <t>Not individually decided</t>
        </is>
      </c>
      <c r="H343" s="34" t="inlineStr">
        <is>
          <t xml:space="preserve">APPROVED / ONE_TO_ONE; </t>
        </is>
      </c>
      <c r="I343" s="34" t="inlineStr">
        <is>
          <t>New</t>
        </is>
      </c>
      <c r="J343" s="92" t="inlineStr">
        <is>
          <t>08 CROSSWALK</t>
        </is>
      </c>
    </row>
    <row r="344" ht="49" customHeight="1">
      <c r="A344" s="34" t="inlineStr">
        <is>
          <t>R266-v1</t>
        </is>
      </c>
      <c r="B344" s="34" t="inlineStr">
        <is>
          <t>Contractor Programme / SCH-02-086</t>
        </is>
      </c>
      <c r="C344" s="34" t="inlineStr">
        <is>
          <t>WBS Code = 1.2.1</t>
        </is>
      </c>
      <c r="D344" s="34" t="inlineStr">
        <is>
          <t>Proposed by Source assignment; target 1.2.1 Stations - Station Structures</t>
        </is>
      </c>
      <c r="E344" s="34" t="inlineStr">
        <is>
          <t>None recorded</t>
        </is>
      </c>
      <c r="F344" s="34" t="inlineStr">
        <is>
          <t>No individual professional decision recorded; Source assignment -- not individually reviewed</t>
        </is>
      </c>
      <c r="G344" s="34" t="inlineStr">
        <is>
          <t>Not individually decided</t>
        </is>
      </c>
      <c r="H344" s="34" t="inlineStr">
        <is>
          <t xml:space="preserve">APPROVED / ONE_TO_ONE; </t>
        </is>
      </c>
      <c r="I344" s="34" t="inlineStr">
        <is>
          <t>New</t>
        </is>
      </c>
      <c r="J344" s="92" t="inlineStr">
        <is>
          <t>08 CROSSWALK</t>
        </is>
      </c>
    </row>
    <row r="345" ht="49" customHeight="1">
      <c r="A345" s="34" t="inlineStr">
        <is>
          <t>R268-v1</t>
        </is>
      </c>
      <c r="B345" s="34" t="inlineStr">
        <is>
          <t>Contractor Programme / SCH-02-088</t>
        </is>
      </c>
      <c r="C345" s="34" t="inlineStr">
        <is>
          <t>WBS Code = 1.2.1</t>
        </is>
      </c>
      <c r="D345" s="34" t="inlineStr">
        <is>
          <t>Proposed by Source assignment; target 1.2.1 Stations - Station Structures</t>
        </is>
      </c>
      <c r="E345" s="34" t="inlineStr">
        <is>
          <t>None recorded</t>
        </is>
      </c>
      <c r="F345" s="34" t="inlineStr">
        <is>
          <t>No individual professional decision recorded; Source assignment -- not individually reviewed</t>
        </is>
      </c>
      <c r="G345" s="34" t="inlineStr">
        <is>
          <t>Not individually decided</t>
        </is>
      </c>
      <c r="H345" s="34" t="inlineStr">
        <is>
          <t xml:space="preserve">APPROVED / ONE_TO_ONE; </t>
        </is>
      </c>
      <c r="I345" s="34" t="inlineStr">
        <is>
          <t>New</t>
        </is>
      </c>
      <c r="J345" s="92" t="inlineStr">
        <is>
          <t>08 CROSSWALK</t>
        </is>
      </c>
    </row>
    <row r="346" ht="49" customHeight="1">
      <c r="A346" s="34" t="inlineStr">
        <is>
          <t>R269-v1</t>
        </is>
      </c>
      <c r="B346" s="34" t="inlineStr">
        <is>
          <t>Contractor Programme / SCH-02-089</t>
        </is>
      </c>
      <c r="C346" s="34" t="inlineStr">
        <is>
          <t>WBS Code = 1.2.1</t>
        </is>
      </c>
      <c r="D346" s="34" t="inlineStr">
        <is>
          <t>Proposed by Source assignment; target 1.2.1 Stations - Station Structures</t>
        </is>
      </c>
      <c r="E346" s="34" t="inlineStr">
        <is>
          <t>None recorded</t>
        </is>
      </c>
      <c r="F346" s="34" t="inlineStr">
        <is>
          <t>No individual professional decision recorded; Source assignment -- not individually reviewed</t>
        </is>
      </c>
      <c r="G346" s="34" t="inlineStr">
        <is>
          <t>Not individually decided</t>
        </is>
      </c>
      <c r="H346" s="34" t="inlineStr">
        <is>
          <t xml:space="preserve">APPROVED / ONE_TO_ONE; </t>
        </is>
      </c>
      <c r="I346" s="34" t="inlineStr">
        <is>
          <t>New</t>
        </is>
      </c>
      <c r="J346" s="92" t="inlineStr">
        <is>
          <t>08 CROSSWALK</t>
        </is>
      </c>
    </row>
    <row r="347" ht="49" customHeight="1">
      <c r="A347" s="34" t="inlineStr">
        <is>
          <t>R271-v1</t>
        </is>
      </c>
      <c r="B347" s="34" t="inlineStr">
        <is>
          <t>Contractor Programme / SCH-02-091</t>
        </is>
      </c>
      <c r="C347" s="34" t="inlineStr">
        <is>
          <t>WBS Code = 1.2.1</t>
        </is>
      </c>
      <c r="D347" s="34" t="inlineStr">
        <is>
          <t>Proposed by Source assignment; target 1.2.1 Stations - Station Structures</t>
        </is>
      </c>
      <c r="E347" s="34" t="inlineStr">
        <is>
          <t>None recorded</t>
        </is>
      </c>
      <c r="F347" s="34" t="inlineStr">
        <is>
          <t>No individual professional decision recorded; Source assignment -- not individually reviewed</t>
        </is>
      </c>
      <c r="G347" s="34" t="inlineStr">
        <is>
          <t>Not individually decided</t>
        </is>
      </c>
      <c r="H347" s="34" t="inlineStr">
        <is>
          <t xml:space="preserve">APPROVED / ONE_TO_ONE; </t>
        </is>
      </c>
      <c r="I347" s="34" t="inlineStr">
        <is>
          <t>New</t>
        </is>
      </c>
      <c r="J347" s="92" t="inlineStr">
        <is>
          <t>08 CROSSWALK</t>
        </is>
      </c>
    </row>
    <row r="348" ht="49" customHeight="1">
      <c r="A348" s="34" t="inlineStr">
        <is>
          <t>R272-v1</t>
        </is>
      </c>
      <c r="B348" s="34" t="inlineStr">
        <is>
          <t>Contractor Programme / SCH-02-092</t>
        </is>
      </c>
      <c r="C348" s="34" t="inlineStr">
        <is>
          <t>WBS Code = 1.2.1</t>
        </is>
      </c>
      <c r="D348" s="34" t="inlineStr">
        <is>
          <t>Proposed by Source assignment; target 1.2.1 Stations - Station Structures</t>
        </is>
      </c>
      <c r="E348" s="34" t="inlineStr">
        <is>
          <t>None recorded</t>
        </is>
      </c>
      <c r="F348" s="34" t="inlineStr">
        <is>
          <t>No individual professional decision recorded; Source assignment -- not individually reviewed</t>
        </is>
      </c>
      <c r="G348" s="34" t="inlineStr">
        <is>
          <t>Not individually decided</t>
        </is>
      </c>
      <c r="H348" s="34" t="inlineStr">
        <is>
          <t xml:space="preserve">APPROVED / ONE_TO_ONE; </t>
        </is>
      </c>
      <c r="I348" s="34" t="inlineStr">
        <is>
          <t>New</t>
        </is>
      </c>
      <c r="J348" s="92" t="inlineStr">
        <is>
          <t>08 CROSSWALK</t>
        </is>
      </c>
    </row>
    <row r="349" ht="49" customHeight="1">
      <c r="A349" s="34" t="inlineStr">
        <is>
          <t>R274-v1</t>
        </is>
      </c>
      <c r="B349" s="34" t="inlineStr">
        <is>
          <t>Contractor Programme / SCH-02-094</t>
        </is>
      </c>
      <c r="C349" s="34" t="inlineStr">
        <is>
          <t>WBS Code = 1.2.1</t>
        </is>
      </c>
      <c r="D349" s="34" t="inlineStr">
        <is>
          <t>Proposed by Source assignment; target 1.2.1 Stations - Station Structures</t>
        </is>
      </c>
      <c r="E349" s="34" t="inlineStr">
        <is>
          <t>None recorded</t>
        </is>
      </c>
      <c r="F349" s="34" t="inlineStr">
        <is>
          <t>No individual professional decision recorded; Source assignment -- not individually reviewed</t>
        </is>
      </c>
      <c r="G349" s="34" t="inlineStr">
        <is>
          <t>Not individually decided</t>
        </is>
      </c>
      <c r="H349" s="34" t="inlineStr">
        <is>
          <t xml:space="preserve">APPROVED / ONE_TO_ONE; </t>
        </is>
      </c>
      <c r="I349" s="34" t="inlineStr">
        <is>
          <t>New</t>
        </is>
      </c>
      <c r="J349" s="92" t="inlineStr">
        <is>
          <t>08 CROSSWALK</t>
        </is>
      </c>
    </row>
    <row r="350" ht="49" customHeight="1">
      <c r="A350" s="34" t="inlineStr">
        <is>
          <t>R275-v1</t>
        </is>
      </c>
      <c r="B350" s="34" t="inlineStr">
        <is>
          <t>Contractor Programme / SCH-02-095</t>
        </is>
      </c>
      <c r="C350" s="34" t="inlineStr">
        <is>
          <t>WBS Code = 1.2.1</t>
        </is>
      </c>
      <c r="D350" s="34" t="inlineStr">
        <is>
          <t>Proposed by Source assignment; target 1.2.1 Stations - Station Structures</t>
        </is>
      </c>
      <c r="E350" s="34" t="inlineStr">
        <is>
          <t>None recorded</t>
        </is>
      </c>
      <c r="F350" s="34" t="inlineStr">
        <is>
          <t>No individual professional decision recorded; Source assignment -- not individually reviewed</t>
        </is>
      </c>
      <c r="G350" s="34" t="inlineStr">
        <is>
          <t>Not individually decided</t>
        </is>
      </c>
      <c r="H350" s="34" t="inlineStr">
        <is>
          <t xml:space="preserve">APPROVED / ONE_TO_ONE; </t>
        </is>
      </c>
      <c r="I350" s="34" t="inlineStr">
        <is>
          <t>New</t>
        </is>
      </c>
      <c r="J350" s="92" t="inlineStr">
        <is>
          <t>08 CROSSWALK</t>
        </is>
      </c>
    </row>
    <row r="351" ht="49" customHeight="1">
      <c r="A351" s="34" t="inlineStr">
        <is>
          <t>R277-v1</t>
        </is>
      </c>
      <c r="B351" s="34" t="inlineStr">
        <is>
          <t>Contractor Programme / SCH-02-097</t>
        </is>
      </c>
      <c r="C351" s="34" t="inlineStr">
        <is>
          <t>WBS Code = 1.2.1</t>
        </is>
      </c>
      <c r="D351" s="34" t="inlineStr">
        <is>
          <t>Proposed by Source assignment; target 1.2.1 Stations - Station Structures</t>
        </is>
      </c>
      <c r="E351" s="34" t="inlineStr">
        <is>
          <t>None recorded</t>
        </is>
      </c>
      <c r="F351" s="34" t="inlineStr">
        <is>
          <t>No individual professional decision recorded; Source assignment -- not individually reviewed</t>
        </is>
      </c>
      <c r="G351" s="34" t="inlineStr">
        <is>
          <t>Not individually decided</t>
        </is>
      </c>
      <c r="H351" s="34" t="inlineStr">
        <is>
          <t xml:space="preserve">APPROVED / ONE_TO_ONE; </t>
        </is>
      </c>
      <c r="I351" s="34" t="inlineStr">
        <is>
          <t>New</t>
        </is>
      </c>
      <c r="J351" s="92" t="inlineStr">
        <is>
          <t>08 CROSSWALK</t>
        </is>
      </c>
    </row>
    <row r="352" ht="49" customHeight="1">
      <c r="A352" s="34" t="inlineStr">
        <is>
          <t>R278-v1</t>
        </is>
      </c>
      <c r="B352" s="34" t="inlineStr">
        <is>
          <t>Contractor Programme / SCH-02-098</t>
        </is>
      </c>
      <c r="C352" s="34" t="inlineStr">
        <is>
          <t>WBS Code = 1.2.1</t>
        </is>
      </c>
      <c r="D352" s="34" t="inlineStr">
        <is>
          <t>Proposed by Source assignment; target 1.2.1 Stations - Station Structures</t>
        </is>
      </c>
      <c r="E352" s="34" t="inlineStr">
        <is>
          <t>None recorded</t>
        </is>
      </c>
      <c r="F352" s="34" t="inlineStr">
        <is>
          <t>No individual professional decision recorded; Source assignment -- not individually reviewed</t>
        </is>
      </c>
      <c r="G352" s="34" t="inlineStr">
        <is>
          <t>Not individually decided</t>
        </is>
      </c>
      <c r="H352" s="34" t="inlineStr">
        <is>
          <t xml:space="preserve">APPROVED / ONE_TO_ONE; </t>
        </is>
      </c>
      <c r="I352" s="34" t="inlineStr">
        <is>
          <t>New</t>
        </is>
      </c>
      <c r="J352" s="92" t="inlineStr">
        <is>
          <t>08 CROSSWALK</t>
        </is>
      </c>
    </row>
    <row r="353" ht="49" customHeight="1">
      <c r="A353" s="34" t="inlineStr">
        <is>
          <t>R280-v1</t>
        </is>
      </c>
      <c r="B353" s="34" t="inlineStr">
        <is>
          <t>Contractor Programme / SCH-02-100</t>
        </is>
      </c>
      <c r="C353" s="34" t="inlineStr">
        <is>
          <t>WBS Code = 1.2.1</t>
        </is>
      </c>
      <c r="D353" s="34" t="inlineStr">
        <is>
          <t>Proposed by Source assignment; target 1.2.1 Stations - Station Structures</t>
        </is>
      </c>
      <c r="E353" s="34" t="inlineStr">
        <is>
          <t>None recorded</t>
        </is>
      </c>
      <c r="F353" s="34" t="inlineStr">
        <is>
          <t>No individual professional decision recorded; Source assignment -- not individually reviewed</t>
        </is>
      </c>
      <c r="G353" s="34" t="inlineStr">
        <is>
          <t>Not individually decided</t>
        </is>
      </c>
      <c r="H353" s="34" t="inlineStr">
        <is>
          <t xml:space="preserve">APPROVED / ONE_TO_ONE; </t>
        </is>
      </c>
      <c r="I353" s="34" t="inlineStr">
        <is>
          <t>New</t>
        </is>
      </c>
      <c r="J353" s="92" t="inlineStr">
        <is>
          <t>08 CROSSWALK</t>
        </is>
      </c>
    </row>
    <row r="354" ht="49" customHeight="1">
      <c r="A354" s="34" t="inlineStr">
        <is>
          <t>R281-v1</t>
        </is>
      </c>
      <c r="B354" s="34" t="inlineStr">
        <is>
          <t>Contractor Programme / SCH-02-101</t>
        </is>
      </c>
      <c r="C354" s="34" t="inlineStr">
        <is>
          <t>WBS Code = 1.2.1</t>
        </is>
      </c>
      <c r="D354" s="34" t="inlineStr">
        <is>
          <t>Proposed by Source assignment; target 1.2.1 Stations - Station Structures</t>
        </is>
      </c>
      <c r="E354" s="34" t="inlineStr">
        <is>
          <t>None recorded</t>
        </is>
      </c>
      <c r="F354" s="34" t="inlineStr">
        <is>
          <t>No individual professional decision recorded; Source assignment -- not individually reviewed</t>
        </is>
      </c>
      <c r="G354" s="34" t="inlineStr">
        <is>
          <t>Not individually decided</t>
        </is>
      </c>
      <c r="H354" s="34" t="inlineStr">
        <is>
          <t xml:space="preserve">APPROVED / ONE_TO_ONE; </t>
        </is>
      </c>
      <c r="I354" s="34" t="inlineStr">
        <is>
          <t>New</t>
        </is>
      </c>
      <c r="J354" s="92" t="inlineStr">
        <is>
          <t>08 CROSSWALK</t>
        </is>
      </c>
    </row>
    <row r="355" ht="49" customHeight="1">
      <c r="A355" s="34" t="inlineStr">
        <is>
          <t>R283-v1</t>
        </is>
      </c>
      <c r="B355" s="34" t="inlineStr">
        <is>
          <t>Contractor Programme / SCH-02-103</t>
        </is>
      </c>
      <c r="C355" s="34" t="inlineStr">
        <is>
          <t>WBS Code = 1.2.1</t>
        </is>
      </c>
      <c r="D355" s="34" t="inlineStr">
        <is>
          <t>Proposed by Source assignment; target 1.2.1 Stations - Station Structures</t>
        </is>
      </c>
      <c r="E355" s="34" t="inlineStr">
        <is>
          <t>None recorded</t>
        </is>
      </c>
      <c r="F355" s="34" t="inlineStr">
        <is>
          <t>No individual professional decision recorded; Source assignment -- not individually reviewed</t>
        </is>
      </c>
      <c r="G355" s="34" t="inlineStr">
        <is>
          <t>Not individually decided</t>
        </is>
      </c>
      <c r="H355" s="34" t="inlineStr">
        <is>
          <t xml:space="preserve">APPROVED / ONE_TO_ONE; </t>
        </is>
      </c>
      <c r="I355" s="34" t="inlineStr">
        <is>
          <t>New</t>
        </is>
      </c>
      <c r="J355" s="92" t="inlineStr">
        <is>
          <t>08 CROSSWALK</t>
        </is>
      </c>
    </row>
    <row r="356" ht="49" customHeight="1">
      <c r="A356" s="34" t="inlineStr">
        <is>
          <t>R284-v1</t>
        </is>
      </c>
      <c r="B356" s="34" t="inlineStr">
        <is>
          <t>Contractor Programme / SCH-02-104</t>
        </is>
      </c>
      <c r="C356" s="34" t="inlineStr">
        <is>
          <t>WBS Code = 1.2.1</t>
        </is>
      </c>
      <c r="D356" s="34" t="inlineStr">
        <is>
          <t>Proposed by Source assignment; target 1.2.1 Stations - Station Structures</t>
        </is>
      </c>
      <c r="E356" s="34" t="inlineStr">
        <is>
          <t>None recorded</t>
        </is>
      </c>
      <c r="F356" s="34" t="inlineStr">
        <is>
          <t>No individual professional decision recorded; Source assignment -- not individually reviewed</t>
        </is>
      </c>
      <c r="G356" s="34" t="inlineStr">
        <is>
          <t>Not individually decided</t>
        </is>
      </c>
      <c r="H356" s="34" t="inlineStr">
        <is>
          <t xml:space="preserve">APPROVED / ONE_TO_ONE; </t>
        </is>
      </c>
      <c r="I356" s="34" t="inlineStr">
        <is>
          <t>New</t>
        </is>
      </c>
      <c r="J356" s="92" t="inlineStr">
        <is>
          <t>08 CROSSWALK</t>
        </is>
      </c>
    </row>
    <row r="357" ht="49" customHeight="1">
      <c r="A357" s="34" t="inlineStr">
        <is>
          <t>R286-v1</t>
        </is>
      </c>
      <c r="B357" s="34" t="inlineStr">
        <is>
          <t>Contractor Programme / SCH-02-106</t>
        </is>
      </c>
      <c r="C357" s="34" t="inlineStr">
        <is>
          <t>WBS Code = 1.2.1</t>
        </is>
      </c>
      <c r="D357" s="34" t="inlineStr">
        <is>
          <t>Proposed by Source assignment; target 1.2.1 Stations - Station Structures</t>
        </is>
      </c>
      <c r="E357" s="34" t="inlineStr">
        <is>
          <t>None recorded</t>
        </is>
      </c>
      <c r="F357" s="34" t="inlineStr">
        <is>
          <t>No individual professional decision recorded; Source assignment -- not individually reviewed</t>
        </is>
      </c>
      <c r="G357" s="34" t="inlineStr">
        <is>
          <t>Not individually decided</t>
        </is>
      </c>
      <c r="H357" s="34" t="inlineStr">
        <is>
          <t xml:space="preserve">APPROVED / ONE_TO_ONE; </t>
        </is>
      </c>
      <c r="I357" s="34" t="inlineStr">
        <is>
          <t>New</t>
        </is>
      </c>
      <c r="J357" s="92" t="inlineStr">
        <is>
          <t>08 CROSSWALK</t>
        </is>
      </c>
    </row>
    <row r="358" ht="49" customHeight="1">
      <c r="A358" s="34" t="inlineStr">
        <is>
          <t>R287-v1</t>
        </is>
      </c>
      <c r="B358" s="34" t="inlineStr">
        <is>
          <t>Contractor Programme / SCH-02-107</t>
        </is>
      </c>
      <c r="C358" s="34" t="inlineStr">
        <is>
          <t>WBS Code = 1.2.1</t>
        </is>
      </c>
      <c r="D358" s="34" t="inlineStr">
        <is>
          <t>Proposed by Source assignment; target 1.2.1 Stations - Station Structures</t>
        </is>
      </c>
      <c r="E358" s="34" t="inlineStr">
        <is>
          <t>None recorded</t>
        </is>
      </c>
      <c r="F358" s="34" t="inlineStr">
        <is>
          <t>No individual professional decision recorded; Source assignment -- not individually reviewed</t>
        </is>
      </c>
      <c r="G358" s="34" t="inlineStr">
        <is>
          <t>Not individually decided</t>
        </is>
      </c>
      <c r="H358" s="34" t="inlineStr">
        <is>
          <t xml:space="preserve">APPROVED / ONE_TO_ONE; </t>
        </is>
      </c>
      <c r="I358" s="34" t="inlineStr">
        <is>
          <t>New</t>
        </is>
      </c>
      <c r="J358" s="92" t="inlineStr">
        <is>
          <t>08 CROSSWALK</t>
        </is>
      </c>
    </row>
    <row r="359" ht="49" customHeight="1">
      <c r="A359" s="34" t="inlineStr">
        <is>
          <t>R289-v1</t>
        </is>
      </c>
      <c r="B359" s="34" t="inlineStr">
        <is>
          <t>Contractor Programme / SCH-02-109</t>
        </is>
      </c>
      <c r="C359" s="34" t="inlineStr">
        <is>
          <t>WBS Code = 1.2.1</t>
        </is>
      </c>
      <c r="D359" s="34" t="inlineStr">
        <is>
          <t>Proposed by Source assignment; target 1.2.1 Stations - Station Structures</t>
        </is>
      </c>
      <c r="E359" s="34" t="inlineStr">
        <is>
          <t>None recorded</t>
        </is>
      </c>
      <c r="F359" s="34" t="inlineStr">
        <is>
          <t>No individual professional decision recorded; Source assignment -- not individually reviewed</t>
        </is>
      </c>
      <c r="G359" s="34" t="inlineStr">
        <is>
          <t>Not individually decided</t>
        </is>
      </c>
      <c r="H359" s="34" t="inlineStr">
        <is>
          <t xml:space="preserve">APPROVED / ONE_TO_ONE; </t>
        </is>
      </c>
      <c r="I359" s="34" t="inlineStr">
        <is>
          <t>New</t>
        </is>
      </c>
      <c r="J359" s="92" t="inlineStr">
        <is>
          <t>08 CROSSWALK</t>
        </is>
      </c>
    </row>
    <row r="360" ht="49" customHeight="1">
      <c r="A360" s="34" t="inlineStr">
        <is>
          <t>R290-v1</t>
        </is>
      </c>
      <c r="B360" s="34" t="inlineStr">
        <is>
          <t>Contractor Programme / SCH-02-110</t>
        </is>
      </c>
      <c r="C360" s="34" t="inlineStr">
        <is>
          <t>WBS Code = 1.2.1</t>
        </is>
      </c>
      <c r="D360" s="34" t="inlineStr">
        <is>
          <t>Proposed by Source assignment; target 1.2.1 Stations - Station Structures</t>
        </is>
      </c>
      <c r="E360" s="34" t="inlineStr">
        <is>
          <t>None recorded</t>
        </is>
      </c>
      <c r="F360" s="34" t="inlineStr">
        <is>
          <t>No individual professional decision recorded; Source assignment -- not individually reviewed</t>
        </is>
      </c>
      <c r="G360" s="34" t="inlineStr">
        <is>
          <t>Not individually decided</t>
        </is>
      </c>
      <c r="H360" s="34" t="inlineStr">
        <is>
          <t xml:space="preserve">APPROVED / ONE_TO_ONE; </t>
        </is>
      </c>
      <c r="I360" s="34" t="inlineStr">
        <is>
          <t>New</t>
        </is>
      </c>
      <c r="J360" s="92" t="inlineStr">
        <is>
          <t>08 CROSSWALK</t>
        </is>
      </c>
    </row>
    <row r="361" ht="49" customHeight="1">
      <c r="A361" s="34" t="inlineStr">
        <is>
          <t>R292-v1</t>
        </is>
      </c>
      <c r="B361" s="34" t="inlineStr">
        <is>
          <t>Contractor Programme / SCH-02-112</t>
        </is>
      </c>
      <c r="C361" s="34" t="inlineStr">
        <is>
          <t>WBS Code = 1.2.1</t>
        </is>
      </c>
      <c r="D361" s="34" t="inlineStr">
        <is>
          <t>Proposed by Source assignment; target 1.2.1 Stations - Station Structures</t>
        </is>
      </c>
      <c r="E361" s="34" t="inlineStr">
        <is>
          <t>None recorded</t>
        </is>
      </c>
      <c r="F361" s="34" t="inlineStr">
        <is>
          <t>No individual professional decision recorded; Source assignment -- not individually reviewed</t>
        </is>
      </c>
      <c r="G361" s="34" t="inlineStr">
        <is>
          <t>Not individually decided</t>
        </is>
      </c>
      <c r="H361" s="34" t="inlineStr">
        <is>
          <t xml:space="preserve">APPROVED / ONE_TO_ONE; </t>
        </is>
      </c>
      <c r="I361" s="34" t="inlineStr">
        <is>
          <t>New</t>
        </is>
      </c>
      <c r="J361" s="92" t="inlineStr">
        <is>
          <t>08 CROSSWALK</t>
        </is>
      </c>
    </row>
    <row r="362" ht="49" customHeight="1">
      <c r="A362" s="34" t="inlineStr">
        <is>
          <t>R293-v1</t>
        </is>
      </c>
      <c r="B362" s="34" t="inlineStr">
        <is>
          <t>Contractor Programme / SCH-02-113</t>
        </is>
      </c>
      <c r="C362" s="34" t="inlineStr">
        <is>
          <t>WBS Code = 1.2.1</t>
        </is>
      </c>
      <c r="D362" s="34" t="inlineStr">
        <is>
          <t>Proposed by Source assignment; target 1.2.1 Stations - Station Structures</t>
        </is>
      </c>
      <c r="E362" s="34" t="inlineStr">
        <is>
          <t>None recorded</t>
        </is>
      </c>
      <c r="F362" s="34" t="inlineStr">
        <is>
          <t>No individual professional decision recorded; Source assignment -- not individually reviewed</t>
        </is>
      </c>
      <c r="G362" s="34" t="inlineStr">
        <is>
          <t>Not individually decided</t>
        </is>
      </c>
      <c r="H362" s="34" t="inlineStr">
        <is>
          <t xml:space="preserve">APPROVED / ONE_TO_ONE; </t>
        </is>
      </c>
      <c r="I362" s="34" t="inlineStr">
        <is>
          <t>New</t>
        </is>
      </c>
      <c r="J362" s="92" t="inlineStr">
        <is>
          <t>08 CROSSWALK</t>
        </is>
      </c>
    </row>
    <row r="363" ht="49" customHeight="1">
      <c r="A363" s="34" t="inlineStr">
        <is>
          <t>R295-v1</t>
        </is>
      </c>
      <c r="B363" s="34" t="inlineStr">
        <is>
          <t>Contractor Programme / SCH-02-115</t>
        </is>
      </c>
      <c r="C363" s="34" t="inlineStr">
        <is>
          <t>WBS Code = 1.2.1</t>
        </is>
      </c>
      <c r="D363" s="34" t="inlineStr">
        <is>
          <t>Proposed by Source assignment; target 1.2.1 Stations - Station Structures</t>
        </is>
      </c>
      <c r="E363" s="34" t="inlineStr">
        <is>
          <t>None recorded</t>
        </is>
      </c>
      <c r="F363" s="34" t="inlineStr">
        <is>
          <t>No individual professional decision recorded; Source assignment -- not individually reviewed</t>
        </is>
      </c>
      <c r="G363" s="34" t="inlineStr">
        <is>
          <t>Not individually decided</t>
        </is>
      </c>
      <c r="H363" s="34" t="inlineStr">
        <is>
          <t xml:space="preserve">APPROVED / ONE_TO_ONE; </t>
        </is>
      </c>
      <c r="I363" s="34" t="inlineStr">
        <is>
          <t>New</t>
        </is>
      </c>
      <c r="J363" s="92" t="inlineStr">
        <is>
          <t>08 CROSSWALK</t>
        </is>
      </c>
    </row>
    <row r="364" ht="49" customHeight="1">
      <c r="A364" s="34" t="inlineStr">
        <is>
          <t>R296-v1</t>
        </is>
      </c>
      <c r="B364" s="34" t="inlineStr">
        <is>
          <t>Contractor Programme / SCH-02-116</t>
        </is>
      </c>
      <c r="C364" s="34" t="inlineStr">
        <is>
          <t>WBS Code = 1.2.1</t>
        </is>
      </c>
      <c r="D364" s="34" t="inlineStr">
        <is>
          <t>Proposed by Source assignment; target 1.2.1 Stations - Station Structures</t>
        </is>
      </c>
      <c r="E364" s="34" t="inlineStr">
        <is>
          <t>None recorded</t>
        </is>
      </c>
      <c r="F364" s="34" t="inlineStr">
        <is>
          <t>No individual professional decision recorded; Source assignment -- not individually reviewed</t>
        </is>
      </c>
      <c r="G364" s="34" t="inlineStr">
        <is>
          <t>Not individually decided</t>
        </is>
      </c>
      <c r="H364" s="34" t="inlineStr">
        <is>
          <t xml:space="preserve">APPROVED / ONE_TO_ONE; </t>
        </is>
      </c>
      <c r="I364" s="34" t="inlineStr">
        <is>
          <t>New</t>
        </is>
      </c>
      <c r="J364" s="92" t="inlineStr">
        <is>
          <t>08 CROSSWALK</t>
        </is>
      </c>
    </row>
    <row r="365" ht="49" customHeight="1">
      <c r="A365" s="34" t="inlineStr">
        <is>
          <t>R298-v1</t>
        </is>
      </c>
      <c r="B365" s="34" t="inlineStr">
        <is>
          <t>Contractor Programme / SCH-02-118</t>
        </is>
      </c>
      <c r="C365" s="34" t="inlineStr">
        <is>
          <t>WBS Code = 1.2.1</t>
        </is>
      </c>
      <c r="D365" s="34" t="inlineStr">
        <is>
          <t>Proposed by Source assignment; target 1.2.1 Stations - Station Structures</t>
        </is>
      </c>
      <c r="E365" s="34" t="inlineStr">
        <is>
          <t>None recorded</t>
        </is>
      </c>
      <c r="F365" s="34" t="inlineStr">
        <is>
          <t>No individual professional decision recorded; Source assignment -- not individually reviewed</t>
        </is>
      </c>
      <c r="G365" s="34" t="inlineStr">
        <is>
          <t>Not individually decided</t>
        </is>
      </c>
      <c r="H365" s="34" t="inlineStr">
        <is>
          <t xml:space="preserve">APPROVED / ONE_TO_ONE; </t>
        </is>
      </c>
      <c r="I365" s="34" t="inlineStr">
        <is>
          <t>New</t>
        </is>
      </c>
      <c r="J365" s="92" t="inlineStr">
        <is>
          <t>08 CROSSWALK</t>
        </is>
      </c>
    </row>
    <row r="366" ht="49" customHeight="1">
      <c r="A366" s="34" t="inlineStr">
        <is>
          <t>R299-v1</t>
        </is>
      </c>
      <c r="B366" s="34" t="inlineStr">
        <is>
          <t>Contractor Programme / SCH-02-119</t>
        </is>
      </c>
      <c r="C366" s="34" t="inlineStr">
        <is>
          <t>WBS Code = 1.2.1</t>
        </is>
      </c>
      <c r="D366" s="34" t="inlineStr">
        <is>
          <t>Proposed by Source assignment; target 1.2.1 Stations - Station Structures</t>
        </is>
      </c>
      <c r="E366" s="34" t="inlineStr">
        <is>
          <t>None recorded</t>
        </is>
      </c>
      <c r="F366" s="34" t="inlineStr">
        <is>
          <t>No individual professional decision recorded; Source assignment -- not individually reviewed</t>
        </is>
      </c>
      <c r="G366" s="34" t="inlineStr">
        <is>
          <t>Not individually decided</t>
        </is>
      </c>
      <c r="H366" s="34" t="inlineStr">
        <is>
          <t xml:space="preserve">APPROVED / ONE_TO_ONE; </t>
        </is>
      </c>
      <c r="I366" s="34" t="inlineStr">
        <is>
          <t>New</t>
        </is>
      </c>
      <c r="J366" s="92" t="inlineStr">
        <is>
          <t>08 CROSSWALK</t>
        </is>
      </c>
    </row>
    <row r="367" ht="49" customHeight="1">
      <c r="A367" s="34" t="inlineStr">
        <is>
          <t>R301-v1</t>
        </is>
      </c>
      <c r="B367" s="34" t="inlineStr">
        <is>
          <t>Contractor Programme / SCH-02-121</t>
        </is>
      </c>
      <c r="C367" s="34" t="inlineStr">
        <is>
          <t>WBS Code = 1.2.1</t>
        </is>
      </c>
      <c r="D367" s="34" t="inlineStr">
        <is>
          <t>Proposed by Source assignment; target 1.2.1 Stations - Station Structures</t>
        </is>
      </c>
      <c r="E367" s="34" t="inlineStr">
        <is>
          <t>None recorded</t>
        </is>
      </c>
      <c r="F367" s="34" t="inlineStr">
        <is>
          <t>No individual professional decision recorded; Source assignment -- not individually reviewed</t>
        </is>
      </c>
      <c r="G367" s="34" t="inlineStr">
        <is>
          <t>Not individually decided</t>
        </is>
      </c>
      <c r="H367" s="34" t="inlineStr">
        <is>
          <t xml:space="preserve">APPROVED / ONE_TO_ONE; </t>
        </is>
      </c>
      <c r="I367" s="34" t="inlineStr">
        <is>
          <t>New</t>
        </is>
      </c>
      <c r="J367" s="92" t="inlineStr">
        <is>
          <t>08 CROSSWALK</t>
        </is>
      </c>
    </row>
    <row r="368" ht="49" customHeight="1">
      <c r="A368" s="34" t="inlineStr">
        <is>
          <t>R302-v1</t>
        </is>
      </c>
      <c r="B368" s="34" t="inlineStr">
        <is>
          <t>Contractor Programme / SCH-02-122</t>
        </is>
      </c>
      <c r="C368" s="34" t="inlineStr">
        <is>
          <t>WBS Code = 1.2.1</t>
        </is>
      </c>
      <c r="D368" s="34" t="inlineStr">
        <is>
          <t>Proposed by Source assignment; target 1.2.1 Stations - Station Structures</t>
        </is>
      </c>
      <c r="E368" s="34" t="inlineStr">
        <is>
          <t>None recorded</t>
        </is>
      </c>
      <c r="F368" s="34" t="inlineStr">
        <is>
          <t>No individual professional decision recorded; Source assignment -- not individually reviewed</t>
        </is>
      </c>
      <c r="G368" s="34" t="inlineStr">
        <is>
          <t>Not individually decided</t>
        </is>
      </c>
      <c r="H368" s="34" t="inlineStr">
        <is>
          <t xml:space="preserve">APPROVED / ONE_TO_ONE; </t>
        </is>
      </c>
      <c r="I368" s="34" t="inlineStr">
        <is>
          <t>New</t>
        </is>
      </c>
      <c r="J368" s="92" t="inlineStr">
        <is>
          <t>08 CROSSWALK</t>
        </is>
      </c>
    </row>
    <row r="369" ht="49" customHeight="1">
      <c r="A369" s="34" t="inlineStr">
        <is>
          <t>R304-v1</t>
        </is>
      </c>
      <c r="B369" s="34" t="inlineStr">
        <is>
          <t>Contractor Programme / SCH-02-124</t>
        </is>
      </c>
      <c r="C369" s="34" t="inlineStr">
        <is>
          <t>WBS Code = 1.2.1</t>
        </is>
      </c>
      <c r="D369" s="34" t="inlineStr">
        <is>
          <t>Proposed by Source assignment; target 1.2.1 Stations - Station Structures</t>
        </is>
      </c>
      <c r="E369" s="34" t="inlineStr">
        <is>
          <t>None recorded</t>
        </is>
      </c>
      <c r="F369" s="34" t="inlineStr">
        <is>
          <t>No individual professional decision recorded; Source assignment -- not individually reviewed</t>
        </is>
      </c>
      <c r="G369" s="34" t="inlineStr">
        <is>
          <t>Not individually decided</t>
        </is>
      </c>
      <c r="H369" s="34" t="inlineStr">
        <is>
          <t xml:space="preserve">APPROVED / ONE_TO_ONE; </t>
        </is>
      </c>
      <c r="I369" s="34" t="inlineStr">
        <is>
          <t>New</t>
        </is>
      </c>
      <c r="J369" s="92" t="inlineStr">
        <is>
          <t>08 CROSSWALK</t>
        </is>
      </c>
    </row>
    <row r="370" ht="49" customHeight="1">
      <c r="A370" s="34" t="inlineStr">
        <is>
          <t>R305-v1</t>
        </is>
      </c>
      <c r="B370" s="34" t="inlineStr">
        <is>
          <t>Contractor Programme / SCH-02-125</t>
        </is>
      </c>
      <c r="C370" s="34" t="inlineStr">
        <is>
          <t>WBS Code = 1.2.1</t>
        </is>
      </c>
      <c r="D370" s="34" t="inlineStr">
        <is>
          <t>Proposed by Source assignment; target 1.2.1 Stations - Station Structures</t>
        </is>
      </c>
      <c r="E370" s="34" t="inlineStr">
        <is>
          <t>None recorded</t>
        </is>
      </c>
      <c r="F370" s="34" t="inlineStr">
        <is>
          <t>No individual professional decision recorded; Source assignment -- not individually reviewed</t>
        </is>
      </c>
      <c r="G370" s="34" t="inlineStr">
        <is>
          <t>Not individually decided</t>
        </is>
      </c>
      <c r="H370" s="34" t="inlineStr">
        <is>
          <t xml:space="preserve">APPROVED / ONE_TO_ONE; </t>
        </is>
      </c>
      <c r="I370" s="34" t="inlineStr">
        <is>
          <t>New</t>
        </is>
      </c>
      <c r="J370" s="92" t="inlineStr">
        <is>
          <t>08 CROSSWALK</t>
        </is>
      </c>
    </row>
    <row r="371" ht="49" customHeight="1">
      <c r="A371" s="34" t="inlineStr">
        <is>
          <t>R307-v1</t>
        </is>
      </c>
      <c r="B371" s="34" t="inlineStr">
        <is>
          <t>Contractor Programme / SCH-02-127</t>
        </is>
      </c>
      <c r="C371" s="34" t="inlineStr">
        <is>
          <t>WBS Code = 1.2.1</t>
        </is>
      </c>
      <c r="D371" s="34" t="inlineStr">
        <is>
          <t>Proposed by Source assignment; target 1.2.1 Stations - Station Structures</t>
        </is>
      </c>
      <c r="E371" s="34" t="inlineStr">
        <is>
          <t>None recorded</t>
        </is>
      </c>
      <c r="F371" s="34" t="inlineStr">
        <is>
          <t>No individual professional decision recorded; Source assignment -- not individually reviewed</t>
        </is>
      </c>
      <c r="G371" s="34" t="inlineStr">
        <is>
          <t>Not individually decided</t>
        </is>
      </c>
      <c r="H371" s="34" t="inlineStr">
        <is>
          <t xml:space="preserve">APPROVED / ONE_TO_ONE; </t>
        </is>
      </c>
      <c r="I371" s="34" t="inlineStr">
        <is>
          <t>New</t>
        </is>
      </c>
      <c r="J371" s="92" t="inlineStr">
        <is>
          <t>08 CROSSWALK</t>
        </is>
      </c>
    </row>
    <row r="372" ht="49" customHeight="1">
      <c r="A372" s="34" t="inlineStr">
        <is>
          <t>R308-v1</t>
        </is>
      </c>
      <c r="B372" s="34" t="inlineStr">
        <is>
          <t>Contractor Programme / SCH-02-128</t>
        </is>
      </c>
      <c r="C372" s="34" t="inlineStr">
        <is>
          <t>WBS Code = 1.2.1</t>
        </is>
      </c>
      <c r="D372" s="34" t="inlineStr">
        <is>
          <t>Proposed by Source assignment; target 1.2.1 Stations - Station Structures</t>
        </is>
      </c>
      <c r="E372" s="34" t="inlineStr">
        <is>
          <t>None recorded</t>
        </is>
      </c>
      <c r="F372" s="34" t="inlineStr">
        <is>
          <t>No individual professional decision recorded; Source assignment -- not individually reviewed</t>
        </is>
      </c>
      <c r="G372" s="34" t="inlineStr">
        <is>
          <t>Not individually decided</t>
        </is>
      </c>
      <c r="H372" s="34" t="inlineStr">
        <is>
          <t xml:space="preserve">APPROVED / ONE_TO_ONE; </t>
        </is>
      </c>
      <c r="I372" s="34" t="inlineStr">
        <is>
          <t>New</t>
        </is>
      </c>
      <c r="J372" s="92" t="inlineStr">
        <is>
          <t>08 CROSSWALK</t>
        </is>
      </c>
    </row>
    <row r="373" ht="49" customHeight="1">
      <c r="A373" s="34" t="inlineStr">
        <is>
          <t>R310-v1</t>
        </is>
      </c>
      <c r="B373" s="34" t="inlineStr">
        <is>
          <t>Contractor Programme / SCH-02-130</t>
        </is>
      </c>
      <c r="C373" s="34" t="inlineStr">
        <is>
          <t>WBS Code = 1.2.1</t>
        </is>
      </c>
      <c r="D373" s="34" t="inlineStr">
        <is>
          <t>Proposed by Source assignment; target 1.2.1 Stations - Station Structures</t>
        </is>
      </c>
      <c r="E373" s="34" t="inlineStr">
        <is>
          <t>None recorded</t>
        </is>
      </c>
      <c r="F373" s="34" t="inlineStr">
        <is>
          <t>No individual professional decision recorded; Source assignment -- not individually reviewed</t>
        </is>
      </c>
      <c r="G373" s="34" t="inlineStr">
        <is>
          <t>Not individually decided</t>
        </is>
      </c>
      <c r="H373" s="34" t="inlineStr">
        <is>
          <t xml:space="preserve">APPROVED / ONE_TO_ONE; </t>
        </is>
      </c>
      <c r="I373" s="34" t="inlineStr">
        <is>
          <t>New</t>
        </is>
      </c>
      <c r="J373" s="92" t="inlineStr">
        <is>
          <t>08 CROSSWALK</t>
        </is>
      </c>
    </row>
    <row r="374" ht="49" customHeight="1">
      <c r="A374" s="34" t="inlineStr">
        <is>
          <t>R311-v1</t>
        </is>
      </c>
      <c r="B374" s="34" t="inlineStr">
        <is>
          <t>Contractor Programme / SCH-02-131</t>
        </is>
      </c>
      <c r="C374" s="34" t="inlineStr">
        <is>
          <t>WBS Code = 1.2.1</t>
        </is>
      </c>
      <c r="D374" s="34" t="inlineStr">
        <is>
          <t>Proposed by Source assignment; target 1.2.1 Stations - Station Structures</t>
        </is>
      </c>
      <c r="E374" s="34" t="inlineStr">
        <is>
          <t>None recorded</t>
        </is>
      </c>
      <c r="F374" s="34" t="inlineStr">
        <is>
          <t>No individual professional decision recorded; Source assignment -- not individually reviewed</t>
        </is>
      </c>
      <c r="G374" s="34" t="inlineStr">
        <is>
          <t>Not individually decided</t>
        </is>
      </c>
      <c r="H374" s="34" t="inlineStr">
        <is>
          <t xml:space="preserve">APPROVED / ONE_TO_ONE; </t>
        </is>
      </c>
      <c r="I374" s="34" t="inlineStr">
        <is>
          <t>New</t>
        </is>
      </c>
      <c r="J374" s="92" t="inlineStr">
        <is>
          <t>08 CROSSWALK</t>
        </is>
      </c>
    </row>
    <row r="375" ht="49" customHeight="1">
      <c r="A375" s="34" t="inlineStr">
        <is>
          <t>R313-v1</t>
        </is>
      </c>
      <c r="B375" s="34" t="inlineStr">
        <is>
          <t>Contractor Programme / SCH-02-133</t>
        </is>
      </c>
      <c r="C375" s="34" t="inlineStr">
        <is>
          <t>WBS Code = 1.2.1</t>
        </is>
      </c>
      <c r="D375" s="34" t="inlineStr">
        <is>
          <t>Proposed by Source assignment; target 1.2.1 Stations - Station Structures</t>
        </is>
      </c>
      <c r="E375" s="34" t="inlineStr">
        <is>
          <t>None recorded</t>
        </is>
      </c>
      <c r="F375" s="34" t="inlineStr">
        <is>
          <t>No individual professional decision recorded; Source assignment -- not individually reviewed</t>
        </is>
      </c>
      <c r="G375" s="34" t="inlineStr">
        <is>
          <t>Not individually decided</t>
        </is>
      </c>
      <c r="H375" s="34" t="inlineStr">
        <is>
          <t xml:space="preserve">APPROVED / ONE_TO_ONE; </t>
        </is>
      </c>
      <c r="I375" s="34" t="inlineStr">
        <is>
          <t>New</t>
        </is>
      </c>
      <c r="J375" s="92" t="inlineStr">
        <is>
          <t>08 CROSSWALK</t>
        </is>
      </c>
    </row>
    <row r="376" ht="49" customHeight="1">
      <c r="A376" s="34" t="inlineStr">
        <is>
          <t>R314-v1</t>
        </is>
      </c>
      <c r="B376" s="34" t="inlineStr">
        <is>
          <t>Contractor Programme / SCH-02-134</t>
        </is>
      </c>
      <c r="C376" s="34" t="inlineStr">
        <is>
          <t>WBS Code = 1.2.1</t>
        </is>
      </c>
      <c r="D376" s="34" t="inlineStr">
        <is>
          <t>Proposed by Source assignment; target 1.2.1 Stations - Station Structures</t>
        </is>
      </c>
      <c r="E376" s="34" t="inlineStr">
        <is>
          <t>None recorded</t>
        </is>
      </c>
      <c r="F376" s="34" t="inlineStr">
        <is>
          <t>No individual professional decision recorded; Source assignment -- not individually reviewed</t>
        </is>
      </c>
      <c r="G376" s="34" t="inlineStr">
        <is>
          <t>Not individually decided</t>
        </is>
      </c>
      <c r="H376" s="34" t="inlineStr">
        <is>
          <t xml:space="preserve">APPROVED / ONE_TO_ONE; </t>
        </is>
      </c>
      <c r="I376" s="34" t="inlineStr">
        <is>
          <t>New</t>
        </is>
      </c>
      <c r="J376" s="92" t="inlineStr">
        <is>
          <t>08 CROSSWALK</t>
        </is>
      </c>
    </row>
    <row r="377" ht="49" customHeight="1">
      <c r="A377" s="34" t="inlineStr">
        <is>
          <t>R316-v1</t>
        </is>
      </c>
      <c r="B377" s="34" t="inlineStr">
        <is>
          <t>Contractor Programme / SCH-02-136</t>
        </is>
      </c>
      <c r="C377" s="34" t="inlineStr">
        <is>
          <t>WBS Code = 1.2.1</t>
        </is>
      </c>
      <c r="D377" s="34" t="inlineStr">
        <is>
          <t>Proposed by Source assignment; target 1.2.1 Stations - Station Structures</t>
        </is>
      </c>
      <c r="E377" s="34" t="inlineStr">
        <is>
          <t>None recorded</t>
        </is>
      </c>
      <c r="F377" s="34" t="inlineStr">
        <is>
          <t>No individual professional decision recorded; Source assignment -- not individually reviewed</t>
        </is>
      </c>
      <c r="G377" s="34" t="inlineStr">
        <is>
          <t>Not individually decided</t>
        </is>
      </c>
      <c r="H377" s="34" t="inlineStr">
        <is>
          <t xml:space="preserve">APPROVED / ONE_TO_ONE; </t>
        </is>
      </c>
      <c r="I377" s="34" t="inlineStr">
        <is>
          <t>New</t>
        </is>
      </c>
      <c r="J377" s="92" t="inlineStr">
        <is>
          <t>08 CROSSWALK</t>
        </is>
      </c>
    </row>
    <row r="378" ht="49" customHeight="1">
      <c r="A378" s="34" t="inlineStr">
        <is>
          <t>R317-v1</t>
        </is>
      </c>
      <c r="B378" s="34" t="inlineStr">
        <is>
          <t>Contractor Programme / SCH-02-137</t>
        </is>
      </c>
      <c r="C378" s="34" t="inlineStr">
        <is>
          <t>WBS Code = 1.2.1</t>
        </is>
      </c>
      <c r="D378" s="34" t="inlineStr">
        <is>
          <t>Proposed by Source assignment; target 1.2.1 Stations - Station Structures</t>
        </is>
      </c>
      <c r="E378" s="34" t="inlineStr">
        <is>
          <t>None recorded</t>
        </is>
      </c>
      <c r="F378" s="34" t="inlineStr">
        <is>
          <t>No individual professional decision recorded; Source assignment -- not individually reviewed</t>
        </is>
      </c>
      <c r="G378" s="34" t="inlineStr">
        <is>
          <t>Not individually decided</t>
        </is>
      </c>
      <c r="H378" s="34" t="inlineStr">
        <is>
          <t xml:space="preserve">APPROVED / ONE_TO_ONE; </t>
        </is>
      </c>
      <c r="I378" s="34" t="inlineStr">
        <is>
          <t>New</t>
        </is>
      </c>
      <c r="J378" s="92" t="inlineStr">
        <is>
          <t>08 CROSSWALK</t>
        </is>
      </c>
    </row>
    <row r="379" ht="49" customHeight="1">
      <c r="A379" s="34" t="inlineStr">
        <is>
          <t>R319-v1</t>
        </is>
      </c>
      <c r="B379" s="34" t="inlineStr">
        <is>
          <t>Contractor Programme / SCH-02-139</t>
        </is>
      </c>
      <c r="C379" s="34" t="inlineStr">
        <is>
          <t>WBS Code = 1.2.1</t>
        </is>
      </c>
      <c r="D379" s="34" t="inlineStr">
        <is>
          <t>Proposed by Source assignment; target 1.2.1 Stations - Station Structures</t>
        </is>
      </c>
      <c r="E379" s="34" t="inlineStr">
        <is>
          <t>None recorded</t>
        </is>
      </c>
      <c r="F379" s="34" t="inlineStr">
        <is>
          <t>No individual professional decision recorded; Source assignment -- not individually reviewed</t>
        </is>
      </c>
      <c r="G379" s="34" t="inlineStr">
        <is>
          <t>Not individually decided</t>
        </is>
      </c>
      <c r="H379" s="34" t="inlineStr">
        <is>
          <t xml:space="preserve">APPROVED / ONE_TO_ONE; </t>
        </is>
      </c>
      <c r="I379" s="34" t="inlineStr">
        <is>
          <t>New</t>
        </is>
      </c>
      <c r="J379" s="92" t="inlineStr">
        <is>
          <t>08 CROSSWALK</t>
        </is>
      </c>
    </row>
    <row r="380" ht="49" customHeight="1">
      <c r="A380" s="34" t="inlineStr">
        <is>
          <t>R320-v1</t>
        </is>
      </c>
      <c r="B380" s="34" t="inlineStr">
        <is>
          <t>Contractor Programme / SCH-02-140</t>
        </is>
      </c>
      <c r="C380" s="34" t="inlineStr">
        <is>
          <t>WBS Code = 1.2.1</t>
        </is>
      </c>
      <c r="D380" s="34" t="inlineStr">
        <is>
          <t>Proposed by Source assignment; target 1.2.1 Stations - Station Structures</t>
        </is>
      </c>
      <c r="E380" s="34" t="inlineStr">
        <is>
          <t>None recorded</t>
        </is>
      </c>
      <c r="F380" s="34" t="inlineStr">
        <is>
          <t>No individual professional decision recorded; Source assignment -- not individually reviewed</t>
        </is>
      </c>
      <c r="G380" s="34" t="inlineStr">
        <is>
          <t>Not individually decided</t>
        </is>
      </c>
      <c r="H380" s="34" t="inlineStr">
        <is>
          <t xml:space="preserve">APPROVED / ONE_TO_ONE; </t>
        </is>
      </c>
      <c r="I380" s="34" t="inlineStr">
        <is>
          <t>New</t>
        </is>
      </c>
      <c r="J380" s="92" t="inlineStr">
        <is>
          <t>08 CROSSWALK</t>
        </is>
      </c>
    </row>
    <row r="381" ht="49" customHeight="1">
      <c r="A381" s="34" t="inlineStr">
        <is>
          <t>R322-v1</t>
        </is>
      </c>
      <c r="B381" s="34" t="inlineStr">
        <is>
          <t>Contractor Programme / SCH-02-142</t>
        </is>
      </c>
      <c r="C381" s="34" t="inlineStr">
        <is>
          <t>WBS Code = 1.2.1</t>
        </is>
      </c>
      <c r="D381" s="34" t="inlineStr">
        <is>
          <t>Proposed by Source assignment; target 1.2.1 Stations - Station Structures</t>
        </is>
      </c>
      <c r="E381" s="34" t="inlineStr">
        <is>
          <t>None recorded</t>
        </is>
      </c>
      <c r="F381" s="34" t="inlineStr">
        <is>
          <t>No individual professional decision recorded; Source assignment -- not individually reviewed</t>
        </is>
      </c>
      <c r="G381" s="34" t="inlineStr">
        <is>
          <t>Not individually decided</t>
        </is>
      </c>
      <c r="H381" s="34" t="inlineStr">
        <is>
          <t xml:space="preserve">APPROVED / ONE_TO_ONE; </t>
        </is>
      </c>
      <c r="I381" s="34" t="inlineStr">
        <is>
          <t>New</t>
        </is>
      </c>
      <c r="J381" s="92" t="inlineStr">
        <is>
          <t>08 CROSSWALK</t>
        </is>
      </c>
    </row>
    <row r="382" ht="49" customHeight="1">
      <c r="A382" s="34" t="inlineStr">
        <is>
          <t>R323-v1</t>
        </is>
      </c>
      <c r="B382" s="34" t="inlineStr">
        <is>
          <t>Contractor Programme / SCH-02-143</t>
        </is>
      </c>
      <c r="C382" s="34" t="inlineStr">
        <is>
          <t>WBS Code = 1.2.1</t>
        </is>
      </c>
      <c r="D382" s="34" t="inlineStr">
        <is>
          <t>Proposed by Source assignment; target 1.2.1 Stations - Station Structures</t>
        </is>
      </c>
      <c r="E382" s="34" t="inlineStr">
        <is>
          <t>None recorded</t>
        </is>
      </c>
      <c r="F382" s="34" t="inlineStr">
        <is>
          <t>No individual professional decision recorded; Source assignment -- not individually reviewed</t>
        </is>
      </c>
      <c r="G382" s="34" t="inlineStr">
        <is>
          <t>Not individually decided</t>
        </is>
      </c>
      <c r="H382" s="34" t="inlineStr">
        <is>
          <t xml:space="preserve">APPROVED / ONE_TO_ONE; </t>
        </is>
      </c>
      <c r="I382" s="34" t="inlineStr">
        <is>
          <t>New</t>
        </is>
      </c>
      <c r="J382" s="92" t="inlineStr">
        <is>
          <t>08 CROSSWALK</t>
        </is>
      </c>
    </row>
    <row r="383" ht="49" customHeight="1">
      <c r="A383" s="34" t="inlineStr">
        <is>
          <t>R325-v1</t>
        </is>
      </c>
      <c r="B383" s="34" t="inlineStr">
        <is>
          <t>Contractor Programme / SCH-02-145</t>
        </is>
      </c>
      <c r="C383" s="34" t="inlineStr">
        <is>
          <t>WBS Code = 1.2.1</t>
        </is>
      </c>
      <c r="D383" s="34" t="inlineStr">
        <is>
          <t>Proposed by Source assignment; target 1.2.1 Stations - Station Structures</t>
        </is>
      </c>
      <c r="E383" s="34" t="inlineStr">
        <is>
          <t>None recorded</t>
        </is>
      </c>
      <c r="F383" s="34" t="inlineStr">
        <is>
          <t>No individual professional decision recorded; Source assignment -- not individually reviewed</t>
        </is>
      </c>
      <c r="G383" s="34" t="inlineStr">
        <is>
          <t>Not individually decided</t>
        </is>
      </c>
      <c r="H383" s="34" t="inlineStr">
        <is>
          <t xml:space="preserve">APPROVED / ONE_TO_ONE; </t>
        </is>
      </c>
      <c r="I383" s="34" t="inlineStr">
        <is>
          <t>New</t>
        </is>
      </c>
      <c r="J383" s="92" t="inlineStr">
        <is>
          <t>08 CROSSWALK</t>
        </is>
      </c>
    </row>
    <row r="384" ht="49" customHeight="1">
      <c r="A384" s="34" t="inlineStr">
        <is>
          <t>R326-v1</t>
        </is>
      </c>
      <c r="B384" s="34" t="inlineStr">
        <is>
          <t>Contractor Programme / SCH-02-146</t>
        </is>
      </c>
      <c r="C384" s="34" t="inlineStr">
        <is>
          <t>WBS Code = 1.2.1</t>
        </is>
      </c>
      <c r="D384" s="34" t="inlineStr">
        <is>
          <t>Proposed by Source assignment; target 1.2.1 Stations - Station Structures</t>
        </is>
      </c>
      <c r="E384" s="34" t="inlineStr">
        <is>
          <t>None recorded</t>
        </is>
      </c>
      <c r="F384" s="34" t="inlineStr">
        <is>
          <t>No individual professional decision recorded; Source assignment -- not individually reviewed</t>
        </is>
      </c>
      <c r="G384" s="34" t="inlineStr">
        <is>
          <t>Not individually decided</t>
        </is>
      </c>
      <c r="H384" s="34" t="inlineStr">
        <is>
          <t xml:space="preserve">APPROVED / ONE_TO_ONE; </t>
        </is>
      </c>
      <c r="I384" s="34" t="inlineStr">
        <is>
          <t>New</t>
        </is>
      </c>
      <c r="J384" s="92" t="inlineStr">
        <is>
          <t>08 CROSSWALK</t>
        </is>
      </c>
    </row>
    <row r="385" ht="49" customHeight="1">
      <c r="A385" s="34" t="inlineStr">
        <is>
          <t>R328-v1</t>
        </is>
      </c>
      <c r="B385" s="34" t="inlineStr">
        <is>
          <t>Contractor Programme / SCH-02-148</t>
        </is>
      </c>
      <c r="C385" s="34" t="inlineStr">
        <is>
          <t>WBS Code = 1.2.1</t>
        </is>
      </c>
      <c r="D385" s="34" t="inlineStr">
        <is>
          <t>Proposed by Source assignment; target 1.2.1 Stations - Station Structures</t>
        </is>
      </c>
      <c r="E385" s="34" t="inlineStr">
        <is>
          <t>None recorded</t>
        </is>
      </c>
      <c r="F385" s="34" t="inlineStr">
        <is>
          <t>No individual professional decision recorded; Source assignment -- not individually reviewed</t>
        </is>
      </c>
      <c r="G385" s="34" t="inlineStr">
        <is>
          <t>Not individually decided</t>
        </is>
      </c>
      <c r="H385" s="34" t="inlineStr">
        <is>
          <t xml:space="preserve">APPROVED / ONE_TO_ONE; </t>
        </is>
      </c>
      <c r="I385" s="34" t="inlineStr">
        <is>
          <t>New</t>
        </is>
      </c>
      <c r="J385" s="92" t="inlineStr">
        <is>
          <t>08 CROSSWALK</t>
        </is>
      </c>
    </row>
    <row r="386" ht="49" customHeight="1">
      <c r="A386" s="34" t="inlineStr">
        <is>
          <t>R329-v1</t>
        </is>
      </c>
      <c r="B386" s="34" t="inlineStr">
        <is>
          <t>Contractor Programme / SCH-02-149</t>
        </is>
      </c>
      <c r="C386" s="34" t="inlineStr">
        <is>
          <t>WBS Code = 1.2.1</t>
        </is>
      </c>
      <c r="D386" s="34" t="inlineStr">
        <is>
          <t>Proposed by Source assignment; target 1.2.1 Stations - Station Structures</t>
        </is>
      </c>
      <c r="E386" s="34" t="inlineStr">
        <is>
          <t>None recorded</t>
        </is>
      </c>
      <c r="F386" s="34" t="inlineStr">
        <is>
          <t>No individual professional decision recorded; Source assignment -- not individually reviewed</t>
        </is>
      </c>
      <c r="G386" s="34" t="inlineStr">
        <is>
          <t>Not individually decided</t>
        </is>
      </c>
      <c r="H386" s="34" t="inlineStr">
        <is>
          <t xml:space="preserve">APPROVED / ONE_TO_ONE; </t>
        </is>
      </c>
      <c r="I386" s="34" t="inlineStr">
        <is>
          <t>New</t>
        </is>
      </c>
      <c r="J386" s="92" t="inlineStr">
        <is>
          <t>08 CROSSWALK</t>
        </is>
      </c>
    </row>
    <row r="387" ht="49" customHeight="1">
      <c r="A387" s="34" t="inlineStr">
        <is>
          <t>R331-v1</t>
        </is>
      </c>
      <c r="B387" s="34" t="inlineStr">
        <is>
          <t>Contractor Programme / SCH-02-151</t>
        </is>
      </c>
      <c r="C387" s="34" t="inlineStr">
        <is>
          <t>WBS Code = 1.2.1</t>
        </is>
      </c>
      <c r="D387" s="34" t="inlineStr">
        <is>
          <t>Proposed by Source assignment; target 1.2.1 Stations - Station Structures</t>
        </is>
      </c>
      <c r="E387" s="34" t="inlineStr">
        <is>
          <t>None recorded</t>
        </is>
      </c>
      <c r="F387" s="34" t="inlineStr">
        <is>
          <t>No individual professional decision recorded; Source assignment -- not individually reviewed</t>
        </is>
      </c>
      <c r="G387" s="34" t="inlineStr">
        <is>
          <t>Not individually decided</t>
        </is>
      </c>
      <c r="H387" s="34" t="inlineStr">
        <is>
          <t xml:space="preserve">APPROVED / ONE_TO_ONE; </t>
        </is>
      </c>
      <c r="I387" s="34" t="inlineStr">
        <is>
          <t>New</t>
        </is>
      </c>
      <c r="J387" s="92" t="inlineStr">
        <is>
          <t>08 CROSSWALK</t>
        </is>
      </c>
    </row>
    <row r="388" ht="49" customHeight="1">
      <c r="A388" s="34" t="inlineStr">
        <is>
          <t>R332-v1</t>
        </is>
      </c>
      <c r="B388" s="34" t="inlineStr">
        <is>
          <t>Contractor Programme / SCH-02-152</t>
        </is>
      </c>
      <c r="C388" s="34" t="inlineStr">
        <is>
          <t>WBS Code = 1.2.1</t>
        </is>
      </c>
      <c r="D388" s="34" t="inlineStr">
        <is>
          <t>Proposed by Source assignment; target 1.2.1 Stations - Station Structures</t>
        </is>
      </c>
      <c r="E388" s="34" t="inlineStr">
        <is>
          <t>None recorded</t>
        </is>
      </c>
      <c r="F388" s="34" t="inlineStr">
        <is>
          <t>No individual professional decision recorded; Source assignment -- not individually reviewed</t>
        </is>
      </c>
      <c r="G388" s="34" t="inlineStr">
        <is>
          <t>Not individually decided</t>
        </is>
      </c>
      <c r="H388" s="34" t="inlineStr">
        <is>
          <t xml:space="preserve">APPROVED / ONE_TO_ONE; </t>
        </is>
      </c>
      <c r="I388" s="34" t="inlineStr">
        <is>
          <t>New</t>
        </is>
      </c>
      <c r="J388" s="92" t="inlineStr">
        <is>
          <t>08 CROSSWALK</t>
        </is>
      </c>
    </row>
    <row r="389" ht="49" customHeight="1">
      <c r="A389" s="34" t="inlineStr">
        <is>
          <t>R334-v1</t>
        </is>
      </c>
      <c r="B389" s="34" t="inlineStr">
        <is>
          <t>Contractor Programme / SCH-02-154</t>
        </is>
      </c>
      <c r="C389" s="34" t="inlineStr">
        <is>
          <t>WBS Code = 1.2.1</t>
        </is>
      </c>
      <c r="D389" s="34" t="inlineStr">
        <is>
          <t>Proposed by Source assignment; target 1.2.1 Stations - Station Structures</t>
        </is>
      </c>
      <c r="E389" s="34" t="inlineStr">
        <is>
          <t>None recorded</t>
        </is>
      </c>
      <c r="F389" s="34" t="inlineStr">
        <is>
          <t>No individual professional decision recorded; Source assignment -- not individually reviewed</t>
        </is>
      </c>
      <c r="G389" s="34" t="inlineStr">
        <is>
          <t>Not individually decided</t>
        </is>
      </c>
      <c r="H389" s="34" t="inlineStr">
        <is>
          <t xml:space="preserve">APPROVED / ONE_TO_ONE; </t>
        </is>
      </c>
      <c r="I389" s="34" t="inlineStr">
        <is>
          <t>New</t>
        </is>
      </c>
      <c r="J389" s="92" t="inlineStr">
        <is>
          <t>08 CROSSWALK</t>
        </is>
      </c>
    </row>
    <row r="390" ht="49" customHeight="1">
      <c r="A390" s="34" t="inlineStr">
        <is>
          <t>R335-v1</t>
        </is>
      </c>
      <c r="B390" s="34" t="inlineStr">
        <is>
          <t>Contractor Programme / SCH-02-155</t>
        </is>
      </c>
      <c r="C390" s="34" t="inlineStr">
        <is>
          <t>WBS Code = 1.2.1</t>
        </is>
      </c>
      <c r="D390" s="34" t="inlineStr">
        <is>
          <t>Proposed by Source assignment; target 1.2.1 Stations - Station Structures</t>
        </is>
      </c>
      <c r="E390" s="34" t="inlineStr">
        <is>
          <t>None recorded</t>
        </is>
      </c>
      <c r="F390" s="34" t="inlineStr">
        <is>
          <t>No individual professional decision recorded; Source assignment -- not individually reviewed</t>
        </is>
      </c>
      <c r="G390" s="34" t="inlineStr">
        <is>
          <t>Not individually decided</t>
        </is>
      </c>
      <c r="H390" s="34" t="inlineStr">
        <is>
          <t xml:space="preserve">APPROVED / ONE_TO_ONE; </t>
        </is>
      </c>
      <c r="I390" s="34" t="inlineStr">
        <is>
          <t>New</t>
        </is>
      </c>
      <c r="J390" s="92" t="inlineStr">
        <is>
          <t>08 CROSSWALK</t>
        </is>
      </c>
    </row>
    <row r="391" ht="49" customHeight="1">
      <c r="A391" s="34" t="inlineStr">
        <is>
          <t>R337-v1</t>
        </is>
      </c>
      <c r="B391" s="34" t="inlineStr">
        <is>
          <t>Contractor Programme / SCH-02-157</t>
        </is>
      </c>
      <c r="C391" s="34" t="inlineStr">
        <is>
          <t>WBS Code = 1.2.1</t>
        </is>
      </c>
      <c r="D391" s="34" t="inlineStr">
        <is>
          <t>Proposed by Source assignment; target 1.2.1 Stations - Station Structures</t>
        </is>
      </c>
      <c r="E391" s="34" t="inlineStr">
        <is>
          <t>None recorded</t>
        </is>
      </c>
      <c r="F391" s="34" t="inlineStr">
        <is>
          <t>No individual professional decision recorded; Source assignment -- not individually reviewed</t>
        </is>
      </c>
      <c r="G391" s="34" t="inlineStr">
        <is>
          <t>Not individually decided</t>
        </is>
      </c>
      <c r="H391" s="34" t="inlineStr">
        <is>
          <t xml:space="preserve">APPROVED / ONE_TO_ONE; </t>
        </is>
      </c>
      <c r="I391" s="34" t="inlineStr">
        <is>
          <t>New</t>
        </is>
      </c>
      <c r="J391" s="92" t="inlineStr">
        <is>
          <t>08 CROSSWALK</t>
        </is>
      </c>
    </row>
    <row r="392" ht="49" customHeight="1">
      <c r="A392" s="34" t="inlineStr">
        <is>
          <t>R338-v1</t>
        </is>
      </c>
      <c r="B392" s="34" t="inlineStr">
        <is>
          <t>Contractor Programme / SCH-02-158</t>
        </is>
      </c>
      <c r="C392" s="34" t="inlineStr">
        <is>
          <t>WBS Code = 1.2.1</t>
        </is>
      </c>
      <c r="D392" s="34" t="inlineStr">
        <is>
          <t>Proposed by Source assignment; target 1.2.1 Stations - Station Structures</t>
        </is>
      </c>
      <c r="E392" s="34" t="inlineStr">
        <is>
          <t>None recorded</t>
        </is>
      </c>
      <c r="F392" s="34" t="inlineStr">
        <is>
          <t>No individual professional decision recorded; Source assignment -- not individually reviewed</t>
        </is>
      </c>
      <c r="G392" s="34" t="inlineStr">
        <is>
          <t>Not individually decided</t>
        </is>
      </c>
      <c r="H392" s="34" t="inlineStr">
        <is>
          <t xml:space="preserve">APPROVED / ONE_TO_ONE; </t>
        </is>
      </c>
      <c r="I392" s="34" t="inlineStr">
        <is>
          <t>New</t>
        </is>
      </c>
      <c r="J392" s="92" t="inlineStr">
        <is>
          <t>08 CROSSWALK</t>
        </is>
      </c>
    </row>
    <row r="393" ht="49" customHeight="1">
      <c r="A393" s="34" t="inlineStr">
        <is>
          <t>R340-v1</t>
        </is>
      </c>
      <c r="B393" s="34" t="inlineStr">
        <is>
          <t>Contractor Programme / SCH-02-160</t>
        </is>
      </c>
      <c r="C393" s="34" t="inlineStr">
        <is>
          <t>WBS Code = 1.2.1</t>
        </is>
      </c>
      <c r="D393" s="34" t="inlineStr">
        <is>
          <t>Proposed by Source assignment; target 1.2.1 Stations - Station Structures</t>
        </is>
      </c>
      <c r="E393" s="34" t="inlineStr">
        <is>
          <t>None recorded</t>
        </is>
      </c>
      <c r="F393" s="34" t="inlineStr">
        <is>
          <t>No individual professional decision recorded; Source assignment -- not individually reviewed</t>
        </is>
      </c>
      <c r="G393" s="34" t="inlineStr">
        <is>
          <t>Not individually decided</t>
        </is>
      </c>
      <c r="H393" s="34" t="inlineStr">
        <is>
          <t xml:space="preserve">APPROVED / ONE_TO_ONE; </t>
        </is>
      </c>
      <c r="I393" s="34" t="inlineStr">
        <is>
          <t>New</t>
        </is>
      </c>
      <c r="J393" s="92" t="inlineStr">
        <is>
          <t>08 CROSSWALK</t>
        </is>
      </c>
    </row>
    <row r="394" ht="49" customHeight="1">
      <c r="A394" s="34" t="inlineStr">
        <is>
          <t>R341-v1</t>
        </is>
      </c>
      <c r="B394" s="34" t="inlineStr">
        <is>
          <t>Contractor Programme / SCH-02-161</t>
        </is>
      </c>
      <c r="C394" s="34" t="inlineStr">
        <is>
          <t>WBS Code = 1.2.1</t>
        </is>
      </c>
      <c r="D394" s="34" t="inlineStr">
        <is>
          <t>Proposed by Source assignment; target 1.2.1 Stations - Station Structures</t>
        </is>
      </c>
      <c r="E394" s="34" t="inlineStr">
        <is>
          <t>None recorded</t>
        </is>
      </c>
      <c r="F394" s="34" t="inlineStr">
        <is>
          <t>No individual professional decision recorded; Source assignment -- not individually reviewed</t>
        </is>
      </c>
      <c r="G394" s="34" t="inlineStr">
        <is>
          <t>Not individually decided</t>
        </is>
      </c>
      <c r="H394" s="34" t="inlineStr">
        <is>
          <t xml:space="preserve">APPROVED / ONE_TO_ONE; </t>
        </is>
      </c>
      <c r="I394" s="34" t="inlineStr">
        <is>
          <t>New</t>
        </is>
      </c>
      <c r="J394" s="92" t="inlineStr">
        <is>
          <t>08 CROSSWALK</t>
        </is>
      </c>
    </row>
    <row r="395" ht="49" customHeight="1">
      <c r="A395" s="34" t="inlineStr">
        <is>
          <t>R343-v1</t>
        </is>
      </c>
      <c r="B395" s="34" t="inlineStr">
        <is>
          <t>Contractor Programme / SCH-02-163</t>
        </is>
      </c>
      <c r="C395" s="34" t="inlineStr">
        <is>
          <t>WBS Code = 1.2.1</t>
        </is>
      </c>
      <c r="D395" s="34" t="inlineStr">
        <is>
          <t>Proposed by Source assignment; target 1.2.1 Stations - Station Structures</t>
        </is>
      </c>
      <c r="E395" s="34" t="inlineStr">
        <is>
          <t>None recorded</t>
        </is>
      </c>
      <c r="F395" s="34" t="inlineStr">
        <is>
          <t>No individual professional decision recorded; Source assignment -- not individually reviewed</t>
        </is>
      </c>
      <c r="G395" s="34" t="inlineStr">
        <is>
          <t>Not individually decided</t>
        </is>
      </c>
      <c r="H395" s="34" t="inlineStr">
        <is>
          <t xml:space="preserve">APPROVED / ONE_TO_ONE; </t>
        </is>
      </c>
      <c r="I395" s="34" t="inlineStr">
        <is>
          <t>New</t>
        </is>
      </c>
      <c r="J395" s="92" t="inlineStr">
        <is>
          <t>08 CROSSWALK</t>
        </is>
      </c>
    </row>
    <row r="396" ht="49" customHeight="1">
      <c r="A396" s="34" t="inlineStr">
        <is>
          <t>R344-v1</t>
        </is>
      </c>
      <c r="B396" s="34" t="inlineStr">
        <is>
          <t>Contractor Programme / SCH-02-164</t>
        </is>
      </c>
      <c r="C396" s="34" t="inlineStr">
        <is>
          <t>WBS Code = 1.2.1</t>
        </is>
      </c>
      <c r="D396" s="34" t="inlineStr">
        <is>
          <t>Proposed by Source assignment; target 1.2.1 Stations - Station Structures</t>
        </is>
      </c>
      <c r="E396" s="34" t="inlineStr">
        <is>
          <t>None recorded</t>
        </is>
      </c>
      <c r="F396" s="34" t="inlineStr">
        <is>
          <t>No individual professional decision recorded; Source assignment -- not individually reviewed</t>
        </is>
      </c>
      <c r="G396" s="34" t="inlineStr">
        <is>
          <t>Not individually decided</t>
        </is>
      </c>
      <c r="H396" s="34" t="inlineStr">
        <is>
          <t xml:space="preserve">APPROVED / ONE_TO_ONE; </t>
        </is>
      </c>
      <c r="I396" s="34" t="inlineStr">
        <is>
          <t>New</t>
        </is>
      </c>
      <c r="J396" s="92" t="inlineStr">
        <is>
          <t>08 CROSSWALK</t>
        </is>
      </c>
    </row>
    <row r="397" ht="49" customHeight="1">
      <c r="A397" s="34" t="inlineStr">
        <is>
          <t>R346-v1</t>
        </is>
      </c>
      <c r="B397" s="34" t="inlineStr">
        <is>
          <t>Contractor Programme / SCH-02-166</t>
        </is>
      </c>
      <c r="C397" s="34" t="inlineStr">
        <is>
          <t>WBS Code = 1.2.1</t>
        </is>
      </c>
      <c r="D397" s="34" t="inlineStr">
        <is>
          <t>Proposed by Source assignment; target 1.2.1 Stations - Station Structures</t>
        </is>
      </c>
      <c r="E397" s="34" t="inlineStr">
        <is>
          <t>None recorded</t>
        </is>
      </c>
      <c r="F397" s="34" t="inlineStr">
        <is>
          <t>No individual professional decision recorded; Source assignment -- not individually reviewed</t>
        </is>
      </c>
      <c r="G397" s="34" t="inlineStr">
        <is>
          <t>Not individually decided</t>
        </is>
      </c>
      <c r="H397" s="34" t="inlineStr">
        <is>
          <t xml:space="preserve">APPROVED / ONE_TO_ONE; </t>
        </is>
      </c>
      <c r="I397" s="34" t="inlineStr">
        <is>
          <t>New</t>
        </is>
      </c>
      <c r="J397" s="92" t="inlineStr">
        <is>
          <t>08 CROSSWALK</t>
        </is>
      </c>
    </row>
    <row r="398" ht="49" customHeight="1">
      <c r="A398" s="34" t="inlineStr">
        <is>
          <t>R347-v1</t>
        </is>
      </c>
      <c r="B398" s="34" t="inlineStr">
        <is>
          <t>Contractor Programme / SCH-02-167</t>
        </is>
      </c>
      <c r="C398" s="34" t="inlineStr">
        <is>
          <t>WBS Code = 1.2.1</t>
        </is>
      </c>
      <c r="D398" s="34" t="inlineStr">
        <is>
          <t>Proposed by Source assignment; target 1.2.1 Stations - Station Structures</t>
        </is>
      </c>
      <c r="E398" s="34" t="inlineStr">
        <is>
          <t>None recorded</t>
        </is>
      </c>
      <c r="F398" s="34" t="inlineStr">
        <is>
          <t>No individual professional decision recorded; Source assignment -- not individually reviewed</t>
        </is>
      </c>
      <c r="G398" s="34" t="inlineStr">
        <is>
          <t>Not individually decided</t>
        </is>
      </c>
      <c r="H398" s="34" t="inlineStr">
        <is>
          <t xml:space="preserve">APPROVED / ONE_TO_ONE; </t>
        </is>
      </c>
      <c r="I398" s="34" t="inlineStr">
        <is>
          <t>New</t>
        </is>
      </c>
      <c r="J398" s="92" t="inlineStr">
        <is>
          <t>08 CROSSWALK</t>
        </is>
      </c>
    </row>
    <row r="399" ht="49" customHeight="1">
      <c r="A399" s="34" t="inlineStr">
        <is>
          <t>R349-v1</t>
        </is>
      </c>
      <c r="B399" s="34" t="inlineStr">
        <is>
          <t>Contractor Programme / SCH-02-169</t>
        </is>
      </c>
      <c r="C399" s="34" t="inlineStr">
        <is>
          <t>WBS Code = 1.2.1</t>
        </is>
      </c>
      <c r="D399" s="34" t="inlineStr">
        <is>
          <t>Proposed by Source assignment; target 1.2.1 Stations - Station Structures</t>
        </is>
      </c>
      <c r="E399" s="34" t="inlineStr">
        <is>
          <t>None recorded</t>
        </is>
      </c>
      <c r="F399" s="34" t="inlineStr">
        <is>
          <t>No individual professional decision recorded; Source assignment -- not individually reviewed</t>
        </is>
      </c>
      <c r="G399" s="34" t="inlineStr">
        <is>
          <t>Not individually decided</t>
        </is>
      </c>
      <c r="H399" s="34" t="inlineStr">
        <is>
          <t xml:space="preserve">APPROVED / ONE_TO_ONE; </t>
        </is>
      </c>
      <c r="I399" s="34" t="inlineStr">
        <is>
          <t>New</t>
        </is>
      </c>
      <c r="J399" s="92" t="inlineStr">
        <is>
          <t>08 CROSSWALK</t>
        </is>
      </c>
    </row>
    <row r="400" ht="49" customHeight="1">
      <c r="A400" s="34" t="inlineStr">
        <is>
          <t>R350-v1</t>
        </is>
      </c>
      <c r="B400" s="34" t="inlineStr">
        <is>
          <t>Contractor Programme / SCH-02-170</t>
        </is>
      </c>
      <c r="C400" s="34" t="inlineStr">
        <is>
          <t>WBS Code = 1.2.1</t>
        </is>
      </c>
      <c r="D400" s="34" t="inlineStr">
        <is>
          <t>Proposed by Source assignment; target 1.2.1 Stations - Station Structures</t>
        </is>
      </c>
      <c r="E400" s="34" t="inlineStr">
        <is>
          <t>None recorded</t>
        </is>
      </c>
      <c r="F400" s="34" t="inlineStr">
        <is>
          <t>No individual professional decision recorded; Source assignment -- not individually reviewed</t>
        </is>
      </c>
      <c r="G400" s="34" t="inlineStr">
        <is>
          <t>Not individually decided</t>
        </is>
      </c>
      <c r="H400" s="34" t="inlineStr">
        <is>
          <t xml:space="preserve">APPROVED / ONE_TO_ONE; </t>
        </is>
      </c>
      <c r="I400" s="34" t="inlineStr">
        <is>
          <t>New</t>
        </is>
      </c>
      <c r="J400" s="92" t="inlineStr">
        <is>
          <t>08 CROSSWALK</t>
        </is>
      </c>
    </row>
    <row r="401" ht="49" customHeight="1">
      <c r="A401" s="34" t="inlineStr">
        <is>
          <t>R352-v1</t>
        </is>
      </c>
      <c r="B401" s="34" t="inlineStr">
        <is>
          <t>Contractor Programme / SCH-02-172</t>
        </is>
      </c>
      <c r="C401" s="34" t="inlineStr">
        <is>
          <t>WBS Code = 1.2.1</t>
        </is>
      </c>
      <c r="D401" s="34" t="inlineStr">
        <is>
          <t>Proposed by Source assignment; target 1.2.1 Stations - Station Structures</t>
        </is>
      </c>
      <c r="E401" s="34" t="inlineStr">
        <is>
          <t>None recorded</t>
        </is>
      </c>
      <c r="F401" s="34" t="inlineStr">
        <is>
          <t>No individual professional decision recorded; Source assignment -- not individually reviewed</t>
        </is>
      </c>
      <c r="G401" s="34" t="inlineStr">
        <is>
          <t>Not individually decided</t>
        </is>
      </c>
      <c r="H401" s="34" t="inlineStr">
        <is>
          <t xml:space="preserve">APPROVED / ONE_TO_ONE; </t>
        </is>
      </c>
      <c r="I401" s="34" t="inlineStr">
        <is>
          <t>New</t>
        </is>
      </c>
      <c r="J401" s="92" t="inlineStr">
        <is>
          <t>08 CROSSWALK</t>
        </is>
      </c>
    </row>
    <row r="402" ht="49" customHeight="1">
      <c r="A402" s="34" t="inlineStr">
        <is>
          <t>R353-v1</t>
        </is>
      </c>
      <c r="B402" s="34" t="inlineStr">
        <is>
          <t>Contractor Programme / SCH-02-173</t>
        </is>
      </c>
      <c r="C402" s="34" t="inlineStr">
        <is>
          <t>WBS Code = 1.2.1</t>
        </is>
      </c>
      <c r="D402" s="34" t="inlineStr">
        <is>
          <t>Proposed by Source assignment; target 1.2.1 Stations - Station Structures</t>
        </is>
      </c>
      <c r="E402" s="34" t="inlineStr">
        <is>
          <t>None recorded</t>
        </is>
      </c>
      <c r="F402" s="34" t="inlineStr">
        <is>
          <t>No individual professional decision recorded; Source assignment -- not individually reviewed</t>
        </is>
      </c>
      <c r="G402" s="34" t="inlineStr">
        <is>
          <t>Not individually decided</t>
        </is>
      </c>
      <c r="H402" s="34" t="inlineStr">
        <is>
          <t xml:space="preserve">APPROVED / ONE_TO_ONE; </t>
        </is>
      </c>
      <c r="I402" s="34" t="inlineStr">
        <is>
          <t>New</t>
        </is>
      </c>
      <c r="J402" s="92" t="inlineStr">
        <is>
          <t>08 CROSSWALK</t>
        </is>
      </c>
    </row>
    <row r="403" ht="49" customHeight="1">
      <c r="A403" s="34" t="inlineStr">
        <is>
          <t>R355-v1</t>
        </is>
      </c>
      <c r="B403" s="34" t="inlineStr">
        <is>
          <t>Contractor Programme / SCH-02-175</t>
        </is>
      </c>
      <c r="C403" s="34" t="inlineStr">
        <is>
          <t>WBS Code = 1.2.1</t>
        </is>
      </c>
      <c r="D403" s="34" t="inlineStr">
        <is>
          <t>Proposed by Source assignment; target 1.2.1 Stations - Station Structures</t>
        </is>
      </c>
      <c r="E403" s="34" t="inlineStr">
        <is>
          <t>None recorded</t>
        </is>
      </c>
      <c r="F403" s="34" t="inlineStr">
        <is>
          <t>No individual professional decision recorded; Source assignment -- not individually reviewed</t>
        </is>
      </c>
      <c r="G403" s="34" t="inlineStr">
        <is>
          <t>Not individually decided</t>
        </is>
      </c>
      <c r="H403" s="34" t="inlineStr">
        <is>
          <t xml:space="preserve">APPROVED / ONE_TO_ONE; </t>
        </is>
      </c>
      <c r="I403" s="34" t="inlineStr">
        <is>
          <t>New</t>
        </is>
      </c>
      <c r="J403" s="92" t="inlineStr">
        <is>
          <t>08 CROSSWALK</t>
        </is>
      </c>
    </row>
    <row r="404" ht="49" customHeight="1">
      <c r="A404" s="34" t="inlineStr">
        <is>
          <t>R356-v1</t>
        </is>
      </c>
      <c r="B404" s="34" t="inlineStr">
        <is>
          <t>Contractor Programme / SCH-02-176</t>
        </is>
      </c>
      <c r="C404" s="34" t="inlineStr">
        <is>
          <t>WBS Code = 1.2.1</t>
        </is>
      </c>
      <c r="D404" s="34" t="inlineStr">
        <is>
          <t>Proposed by Source assignment; target 1.2.1 Stations - Station Structures</t>
        </is>
      </c>
      <c r="E404" s="34" t="inlineStr">
        <is>
          <t>None recorded</t>
        </is>
      </c>
      <c r="F404" s="34" t="inlineStr">
        <is>
          <t>No individual professional decision recorded; Source assignment -- not individually reviewed</t>
        </is>
      </c>
      <c r="G404" s="34" t="inlineStr">
        <is>
          <t>Not individually decided</t>
        </is>
      </c>
      <c r="H404" s="34" t="inlineStr">
        <is>
          <t xml:space="preserve">APPROVED / ONE_TO_ONE; </t>
        </is>
      </c>
      <c r="I404" s="34" t="inlineStr">
        <is>
          <t>New</t>
        </is>
      </c>
      <c r="J404" s="92" t="inlineStr">
        <is>
          <t>08 CROSSWALK</t>
        </is>
      </c>
    </row>
    <row r="405" ht="49" customHeight="1">
      <c r="A405" s="34" t="inlineStr">
        <is>
          <t>R358-v1</t>
        </is>
      </c>
      <c r="B405" s="34" t="inlineStr">
        <is>
          <t>Contractor Programme / SCH-02-178</t>
        </is>
      </c>
      <c r="C405" s="34" t="inlineStr">
        <is>
          <t>WBS Code = 1.2.1</t>
        </is>
      </c>
      <c r="D405" s="34" t="inlineStr">
        <is>
          <t>Proposed by Source assignment; target 1.2.1 Stations - Station Structures</t>
        </is>
      </c>
      <c r="E405" s="34" t="inlineStr">
        <is>
          <t>None recorded</t>
        </is>
      </c>
      <c r="F405" s="34" t="inlineStr">
        <is>
          <t>No individual professional decision recorded; Source assignment -- not individually reviewed</t>
        </is>
      </c>
      <c r="G405" s="34" t="inlineStr">
        <is>
          <t>Not individually decided</t>
        </is>
      </c>
      <c r="H405" s="34" t="inlineStr">
        <is>
          <t xml:space="preserve">APPROVED / ONE_TO_ONE; </t>
        </is>
      </c>
      <c r="I405" s="34" t="inlineStr">
        <is>
          <t>New</t>
        </is>
      </c>
      <c r="J405" s="92" t="inlineStr">
        <is>
          <t>08 CROSSWALK</t>
        </is>
      </c>
    </row>
    <row r="406" ht="49" customHeight="1">
      <c r="A406" s="34" t="inlineStr">
        <is>
          <t>R359-v1</t>
        </is>
      </c>
      <c r="B406" s="34" t="inlineStr">
        <is>
          <t>Contractor Programme / SCH-02-179</t>
        </is>
      </c>
      <c r="C406" s="34" t="inlineStr">
        <is>
          <t>WBS Code = 1.2.1</t>
        </is>
      </c>
      <c r="D406" s="34" t="inlineStr">
        <is>
          <t>Proposed by Source assignment; target 1.2.1 Stations - Station Structures</t>
        </is>
      </c>
      <c r="E406" s="34" t="inlineStr">
        <is>
          <t>None recorded</t>
        </is>
      </c>
      <c r="F406" s="34" t="inlineStr">
        <is>
          <t>No individual professional decision recorded; Source assignment -- not individually reviewed</t>
        </is>
      </c>
      <c r="G406" s="34" t="inlineStr">
        <is>
          <t>Not individually decided</t>
        </is>
      </c>
      <c r="H406" s="34" t="inlineStr">
        <is>
          <t xml:space="preserve">APPROVED / ONE_TO_ONE; </t>
        </is>
      </c>
      <c r="I406" s="34" t="inlineStr">
        <is>
          <t>New</t>
        </is>
      </c>
      <c r="J406" s="92" t="inlineStr">
        <is>
          <t>08 CROSSWALK</t>
        </is>
      </c>
    </row>
    <row r="407" ht="49" customHeight="1">
      <c r="A407" s="34" t="inlineStr">
        <is>
          <t>R1163-v1</t>
        </is>
      </c>
      <c r="B407" s="34" t="inlineStr">
        <is>
          <t>Cost &amp; Forecast Control Accounts / CST-02-001</t>
        </is>
      </c>
      <c r="C407" s="34" t="inlineStr">
        <is>
          <t>Cost Account = CA-2001; WBS Code = 1.2.1</t>
        </is>
      </c>
      <c r="D407" s="34" t="inlineStr">
        <is>
          <t>Proposed by Source assignment; target 1.2.1 Stations - Station Structures</t>
        </is>
      </c>
      <c r="E407" s="34" t="inlineStr">
        <is>
          <t>None recorded</t>
        </is>
      </c>
      <c r="F407" s="34" t="inlineStr">
        <is>
          <t>No individual professional decision recorded; Source assignment -- not individually reviewed</t>
        </is>
      </c>
      <c r="G407" s="34" t="inlineStr">
        <is>
          <t>Not individually decided</t>
        </is>
      </c>
      <c r="H407" s="34" t="inlineStr">
        <is>
          <t xml:space="preserve">APPROVED / ONE_TO_ONE; </t>
        </is>
      </c>
      <c r="I407" s="34" t="inlineStr">
        <is>
          <t>New</t>
        </is>
      </c>
      <c r="J407" s="92" t="inlineStr">
        <is>
          <t>08 CROSSWALK</t>
        </is>
      </c>
    </row>
    <row r="408" ht="49" customHeight="1">
      <c r="A408" s="34" t="inlineStr">
        <is>
          <t>R1165-v1</t>
        </is>
      </c>
      <c r="B408" s="34" t="inlineStr">
        <is>
          <t>Cost &amp; Forecast Control Accounts / CST-02-003</t>
        </is>
      </c>
      <c r="C408" s="34" t="inlineStr">
        <is>
          <t>Cost Account = CA-2003; WBS Code = 1.2.1</t>
        </is>
      </c>
      <c r="D408" s="34" t="inlineStr">
        <is>
          <t>Proposed by Source assignment; target 1.2.1 Stations - Station Structures</t>
        </is>
      </c>
      <c r="E408" s="34" t="inlineStr">
        <is>
          <t>None recorded</t>
        </is>
      </c>
      <c r="F408" s="34" t="inlineStr">
        <is>
          <t>No individual professional decision recorded; Source assignment -- not individually reviewed</t>
        </is>
      </c>
      <c r="G408" s="34" t="inlineStr">
        <is>
          <t>Not individually decided</t>
        </is>
      </c>
      <c r="H408" s="34" t="inlineStr">
        <is>
          <t xml:space="preserve">APPROVED / ONE_TO_ONE; </t>
        </is>
      </c>
      <c r="I408" s="34" t="inlineStr">
        <is>
          <t>New</t>
        </is>
      </c>
      <c r="J408" s="92" t="inlineStr">
        <is>
          <t>08 CROSSWALK</t>
        </is>
      </c>
    </row>
    <row r="409" ht="49" customHeight="1">
      <c r="A409" s="34" t="inlineStr">
        <is>
          <t>R1167-v1</t>
        </is>
      </c>
      <c r="B409" s="34" t="inlineStr">
        <is>
          <t>Cost &amp; Forecast Control Accounts / CST-02-005</t>
        </is>
      </c>
      <c r="C409" s="34" t="inlineStr">
        <is>
          <t>Cost Account = CA-2005; WBS Code = 1.2.1</t>
        </is>
      </c>
      <c r="D409" s="34" t="inlineStr">
        <is>
          <t>Proposed by Source assignment; target 1.2.1 Stations - Station Structures</t>
        </is>
      </c>
      <c r="E409" s="34" t="inlineStr">
        <is>
          <t>None recorded</t>
        </is>
      </c>
      <c r="F409" s="34" t="inlineStr">
        <is>
          <t>No individual professional decision recorded; Source assignment -- not individually reviewed</t>
        </is>
      </c>
      <c r="G409" s="34" t="inlineStr">
        <is>
          <t>Not individually decided</t>
        </is>
      </c>
      <c r="H409" s="34" t="inlineStr">
        <is>
          <t xml:space="preserve">APPROVED / ONE_TO_ONE; </t>
        </is>
      </c>
      <c r="I409" s="34" t="inlineStr">
        <is>
          <t>New</t>
        </is>
      </c>
      <c r="J409" s="92" t="inlineStr">
        <is>
          <t>08 CROSSWALK</t>
        </is>
      </c>
    </row>
    <row r="410" ht="49" customHeight="1">
      <c r="A410" s="34" t="inlineStr">
        <is>
          <t>R1169-v1</t>
        </is>
      </c>
      <c r="B410" s="34" t="inlineStr">
        <is>
          <t>Cost &amp; Forecast Control Accounts / CST-02-007</t>
        </is>
      </c>
      <c r="C410" s="34" t="inlineStr">
        <is>
          <t>Cost Account = CA-2007; WBS Code = 1.2.1</t>
        </is>
      </c>
      <c r="D410" s="34" t="inlineStr">
        <is>
          <t>Proposed by Source assignment; target 1.2.1 Stations - Station Structures</t>
        </is>
      </c>
      <c r="E410" s="34" t="inlineStr">
        <is>
          <t>None recorded</t>
        </is>
      </c>
      <c r="F410" s="34" t="inlineStr">
        <is>
          <t>No individual professional decision recorded; Source assignment -- not individually reviewed</t>
        </is>
      </c>
      <c r="G410" s="34" t="inlineStr">
        <is>
          <t>Not individually decided</t>
        </is>
      </c>
      <c r="H410" s="34" t="inlineStr">
        <is>
          <t xml:space="preserve">APPROVED / ONE_TO_ONE; </t>
        </is>
      </c>
      <c r="I410" s="34" t="inlineStr">
        <is>
          <t>New</t>
        </is>
      </c>
      <c r="J410" s="92" t="inlineStr">
        <is>
          <t>08 CROSSWALK</t>
        </is>
      </c>
    </row>
    <row r="411" ht="49" customHeight="1">
      <c r="A411" s="34" t="inlineStr">
        <is>
          <t>R1171-v1</t>
        </is>
      </c>
      <c r="B411" s="34" t="inlineStr">
        <is>
          <t>Cost &amp; Forecast Control Accounts / CST-02-009</t>
        </is>
      </c>
      <c r="C411" s="34" t="inlineStr">
        <is>
          <t>Cost Account = CA-2009; WBS Code = 1.2.1</t>
        </is>
      </c>
      <c r="D411" s="34" t="inlineStr">
        <is>
          <t>Proposed by Source assignment; target 1.2.1 Stations - Station Structures</t>
        </is>
      </c>
      <c r="E411" s="34" t="inlineStr">
        <is>
          <t>None recorded</t>
        </is>
      </c>
      <c r="F411" s="34" t="inlineStr">
        <is>
          <t>No individual professional decision recorded; Source assignment -- not individually reviewed</t>
        </is>
      </c>
      <c r="G411" s="34" t="inlineStr">
        <is>
          <t>Not individually decided</t>
        </is>
      </c>
      <c r="H411" s="34" t="inlineStr">
        <is>
          <t xml:space="preserve">APPROVED / ONE_TO_ONE; </t>
        </is>
      </c>
      <c r="I411" s="34" t="inlineStr">
        <is>
          <t>New</t>
        </is>
      </c>
      <c r="J411" s="92" t="inlineStr">
        <is>
          <t>08 CROSSWALK</t>
        </is>
      </c>
    </row>
    <row r="412" ht="49" customHeight="1">
      <c r="A412" s="34" t="inlineStr">
        <is>
          <t>R1173-v1</t>
        </is>
      </c>
      <c r="B412" s="34" t="inlineStr">
        <is>
          <t>Cost &amp; Forecast Control Accounts / CST-02-011</t>
        </is>
      </c>
      <c r="C412" s="34" t="inlineStr">
        <is>
          <t>Cost Account = CA-2011; WBS Code = 1.2.1</t>
        </is>
      </c>
      <c r="D412" s="34" t="inlineStr">
        <is>
          <t>Proposed by Source assignment; target 1.2.1 Stations - Station Structures</t>
        </is>
      </c>
      <c r="E412" s="34" t="inlineStr">
        <is>
          <t>None recorded</t>
        </is>
      </c>
      <c r="F412" s="34" t="inlineStr">
        <is>
          <t>No individual professional decision recorded; Source assignment -- not individually reviewed</t>
        </is>
      </c>
      <c r="G412" s="34" t="inlineStr">
        <is>
          <t>Not individually decided</t>
        </is>
      </c>
      <c r="H412" s="34" t="inlineStr">
        <is>
          <t xml:space="preserve">APPROVED / ONE_TO_ONE; </t>
        </is>
      </c>
      <c r="I412" s="34" t="inlineStr">
        <is>
          <t>New</t>
        </is>
      </c>
      <c r="J412" s="92" t="inlineStr">
        <is>
          <t>08 CROSSWALK</t>
        </is>
      </c>
    </row>
    <row r="413" ht="49" customHeight="1">
      <c r="A413" s="34" t="inlineStr">
        <is>
          <t>R1175-v1</t>
        </is>
      </c>
      <c r="B413" s="34" t="inlineStr">
        <is>
          <t>Cost &amp; Forecast Control Accounts / CST-02-013</t>
        </is>
      </c>
      <c r="C413" s="34" t="inlineStr">
        <is>
          <t>Cost Account = CA-2013; WBS Code = 1.2.1</t>
        </is>
      </c>
      <c r="D413" s="34" t="inlineStr">
        <is>
          <t>Proposed by Source assignment; target 1.2.1 Stations - Station Structures</t>
        </is>
      </c>
      <c r="E413" s="34" t="inlineStr">
        <is>
          <t>None recorded</t>
        </is>
      </c>
      <c r="F413" s="34" t="inlineStr">
        <is>
          <t>No individual professional decision recorded; Source assignment -- not individually reviewed</t>
        </is>
      </c>
      <c r="G413" s="34" t="inlineStr">
        <is>
          <t>Not individually decided</t>
        </is>
      </c>
      <c r="H413" s="34" t="inlineStr">
        <is>
          <t xml:space="preserve">APPROVED / ONE_TO_ONE; </t>
        </is>
      </c>
      <c r="I413" s="34" t="inlineStr">
        <is>
          <t>New</t>
        </is>
      </c>
      <c r="J413" s="92" t="inlineStr">
        <is>
          <t>08 CROSSWALK</t>
        </is>
      </c>
    </row>
    <row r="414" ht="49" customHeight="1">
      <c r="A414" s="34" t="inlineStr">
        <is>
          <t>R1177-v1</t>
        </is>
      </c>
      <c r="B414" s="34" t="inlineStr">
        <is>
          <t>Cost &amp; Forecast Control Accounts / CST-02-015</t>
        </is>
      </c>
      <c r="C414" s="34" t="inlineStr">
        <is>
          <t>Cost Account = CA-2015; WBS Code = 1.2.1</t>
        </is>
      </c>
      <c r="D414" s="34" t="inlineStr">
        <is>
          <t>Proposed by Source assignment; target 1.2.1 Stations - Station Structures</t>
        </is>
      </c>
      <c r="E414" s="34" t="inlineStr">
        <is>
          <t>None recorded</t>
        </is>
      </c>
      <c r="F414" s="34" t="inlineStr">
        <is>
          <t>No individual professional decision recorded; Source assignment -- not individually reviewed</t>
        </is>
      </c>
      <c r="G414" s="34" t="inlineStr">
        <is>
          <t>Not individually decided</t>
        </is>
      </c>
      <c r="H414" s="34" t="inlineStr">
        <is>
          <t xml:space="preserve">APPROVED / ONE_TO_ONE; </t>
        </is>
      </c>
      <c r="I414" s="34" t="inlineStr">
        <is>
          <t>New</t>
        </is>
      </c>
      <c r="J414" s="92" t="inlineStr">
        <is>
          <t>08 CROSSWALK</t>
        </is>
      </c>
    </row>
    <row r="415" ht="49" customHeight="1">
      <c r="A415" s="34" t="inlineStr">
        <is>
          <t>R1179-v1</t>
        </is>
      </c>
      <c r="B415" s="34" t="inlineStr">
        <is>
          <t>Cost &amp; Forecast Control Accounts / CST-02-017</t>
        </is>
      </c>
      <c r="C415" s="34" t="inlineStr">
        <is>
          <t>Cost Account = CA-2017; WBS Code = 1.2.1</t>
        </is>
      </c>
      <c r="D415" s="34" t="inlineStr">
        <is>
          <t>Proposed by Source assignment; target 1.2.1 Stations - Station Structures</t>
        </is>
      </c>
      <c r="E415" s="34" t="inlineStr">
        <is>
          <t>None recorded</t>
        </is>
      </c>
      <c r="F415" s="34" t="inlineStr">
        <is>
          <t>No individual professional decision recorded; Source assignment -- not individually reviewed</t>
        </is>
      </c>
      <c r="G415" s="34" t="inlineStr">
        <is>
          <t>Not individually decided</t>
        </is>
      </c>
      <c r="H415" s="34" t="inlineStr">
        <is>
          <t xml:space="preserve">APPROVED / ONE_TO_ONE; </t>
        </is>
      </c>
      <c r="I415" s="34" t="inlineStr">
        <is>
          <t>New</t>
        </is>
      </c>
      <c r="J415" s="92" t="inlineStr">
        <is>
          <t>08 CROSSWALK</t>
        </is>
      </c>
    </row>
    <row r="416" ht="49" customHeight="1">
      <c r="A416" s="34" t="inlineStr">
        <is>
          <t>R1181-v1</t>
        </is>
      </c>
      <c r="B416" s="34" t="inlineStr">
        <is>
          <t>Cost &amp; Forecast Control Accounts / CST-02-019</t>
        </is>
      </c>
      <c r="C416" s="34" t="inlineStr">
        <is>
          <t>Cost Account = CA-2019; WBS Code = 1.2.1</t>
        </is>
      </c>
      <c r="D416" s="34" t="inlineStr">
        <is>
          <t>Proposed by Source assignment; target 1.2.1 Stations - Station Structures</t>
        </is>
      </c>
      <c r="E416" s="34" t="inlineStr">
        <is>
          <t>None recorded</t>
        </is>
      </c>
      <c r="F416" s="34" t="inlineStr">
        <is>
          <t>No individual professional decision recorded; Source assignment -- not individually reviewed</t>
        </is>
      </c>
      <c r="G416" s="34" t="inlineStr">
        <is>
          <t>Not individually decided</t>
        </is>
      </c>
      <c r="H416" s="34" t="inlineStr">
        <is>
          <t xml:space="preserve">APPROVED / ONE_TO_ONE; </t>
        </is>
      </c>
      <c r="I416" s="34" t="inlineStr">
        <is>
          <t>New</t>
        </is>
      </c>
      <c r="J416" s="92" t="inlineStr">
        <is>
          <t>08 CROSSWALK</t>
        </is>
      </c>
    </row>
    <row r="417" ht="49" customHeight="1">
      <c r="A417" s="34" t="inlineStr">
        <is>
          <t>R1183-v1</t>
        </is>
      </c>
      <c r="B417" s="34" t="inlineStr">
        <is>
          <t>Cost &amp; Forecast Control Accounts / CST-02-021</t>
        </is>
      </c>
      <c r="C417" s="34" t="inlineStr">
        <is>
          <t>Cost Account = CA-2021; WBS Code = 1.2.1</t>
        </is>
      </c>
      <c r="D417" s="34" t="inlineStr">
        <is>
          <t>Proposed by Source assignment; target 1.2.1 Stations - Station Structures</t>
        </is>
      </c>
      <c r="E417" s="34" t="inlineStr">
        <is>
          <t>None recorded</t>
        </is>
      </c>
      <c r="F417" s="34" t="inlineStr">
        <is>
          <t>No individual professional decision recorded; Source assignment -- not individually reviewed</t>
        </is>
      </c>
      <c r="G417" s="34" t="inlineStr">
        <is>
          <t>Not individually decided</t>
        </is>
      </c>
      <c r="H417" s="34" t="inlineStr">
        <is>
          <t xml:space="preserve">APPROVED / ONE_TO_ONE; </t>
        </is>
      </c>
      <c r="I417" s="34" t="inlineStr">
        <is>
          <t>New</t>
        </is>
      </c>
      <c r="J417" s="92" t="inlineStr">
        <is>
          <t>08 CROSSWALK</t>
        </is>
      </c>
    </row>
    <row r="418" ht="49" customHeight="1">
      <c r="A418" s="34" t="inlineStr">
        <is>
          <t>R1185-v1</t>
        </is>
      </c>
      <c r="B418" s="34" t="inlineStr">
        <is>
          <t>Cost &amp; Forecast Control Accounts / CST-02-023</t>
        </is>
      </c>
      <c r="C418" s="34" t="inlineStr">
        <is>
          <t>Cost Account = CA-2023; WBS Code = 1.2.1</t>
        </is>
      </c>
      <c r="D418" s="34" t="inlineStr">
        <is>
          <t>Proposed by Source assignment; target 1.2.1 Stations - Station Structures</t>
        </is>
      </c>
      <c r="E418" s="34" t="inlineStr">
        <is>
          <t>None recorded</t>
        </is>
      </c>
      <c r="F418" s="34" t="inlineStr">
        <is>
          <t>No individual professional decision recorded; Source assignment -- not individually reviewed</t>
        </is>
      </c>
      <c r="G418" s="34" t="inlineStr">
        <is>
          <t>Not individually decided</t>
        </is>
      </c>
      <c r="H418" s="34" t="inlineStr">
        <is>
          <t xml:space="preserve">APPROVED / ONE_TO_ONE; </t>
        </is>
      </c>
      <c r="I418" s="34" t="inlineStr">
        <is>
          <t>New</t>
        </is>
      </c>
      <c r="J418" s="92" t="inlineStr">
        <is>
          <t>08 CROSSWALK</t>
        </is>
      </c>
    </row>
    <row r="419" ht="49" customHeight="1">
      <c r="A419" s="34" t="inlineStr">
        <is>
          <t>R1187-v1</t>
        </is>
      </c>
      <c r="B419" s="34" t="inlineStr">
        <is>
          <t>Cost &amp; Forecast Control Accounts / CST-02-025</t>
        </is>
      </c>
      <c r="C419" s="34" t="inlineStr">
        <is>
          <t>Cost Account = CA-2025; WBS Code = 1.2.1</t>
        </is>
      </c>
      <c r="D419" s="34" t="inlineStr">
        <is>
          <t>Proposed by Source assignment; target 1.2.1 Stations - Station Structures</t>
        </is>
      </c>
      <c r="E419" s="34" t="inlineStr">
        <is>
          <t>None recorded</t>
        </is>
      </c>
      <c r="F419" s="34" t="inlineStr">
        <is>
          <t>No individual professional decision recorded; Source assignment -- not individually reviewed</t>
        </is>
      </c>
      <c r="G419" s="34" t="inlineStr">
        <is>
          <t>Not individually decided</t>
        </is>
      </c>
      <c r="H419" s="34" t="inlineStr">
        <is>
          <t xml:space="preserve">APPROVED / ONE_TO_ONE; </t>
        </is>
      </c>
      <c r="I419" s="34" t="inlineStr">
        <is>
          <t>New</t>
        </is>
      </c>
      <c r="J419" s="92" t="inlineStr">
        <is>
          <t>08 CROSSWALK</t>
        </is>
      </c>
    </row>
    <row r="420" ht="49" customHeight="1">
      <c r="A420" s="34" t="inlineStr">
        <is>
          <t>R1189-v1</t>
        </is>
      </c>
      <c r="B420" s="34" t="inlineStr">
        <is>
          <t>Cost &amp; Forecast Control Accounts / CST-02-027</t>
        </is>
      </c>
      <c r="C420" s="34" t="inlineStr">
        <is>
          <t>Cost Account = CA-2027; WBS Code = 1.2.1</t>
        </is>
      </c>
      <c r="D420" s="34" t="inlineStr">
        <is>
          <t>Proposed by Source assignment; target 1.2.1 Stations - Station Structures</t>
        </is>
      </c>
      <c r="E420" s="34" t="inlineStr">
        <is>
          <t>None recorded</t>
        </is>
      </c>
      <c r="F420" s="34" t="inlineStr">
        <is>
          <t>No individual professional decision recorded; Source assignment -- not individually reviewed</t>
        </is>
      </c>
      <c r="G420" s="34" t="inlineStr">
        <is>
          <t>Not individually decided</t>
        </is>
      </c>
      <c r="H420" s="34" t="inlineStr">
        <is>
          <t xml:space="preserve">APPROVED / ONE_TO_ONE; </t>
        </is>
      </c>
      <c r="I420" s="34" t="inlineStr">
        <is>
          <t>New</t>
        </is>
      </c>
      <c r="J420" s="92" t="inlineStr">
        <is>
          <t>08 CROSSWALK</t>
        </is>
      </c>
    </row>
    <row r="421" ht="49" customHeight="1">
      <c r="A421" s="34" t="inlineStr">
        <is>
          <t>R1191-v1</t>
        </is>
      </c>
      <c r="B421" s="34" t="inlineStr">
        <is>
          <t>Cost &amp; Forecast Control Accounts / CST-02-029</t>
        </is>
      </c>
      <c r="C421" s="34" t="inlineStr">
        <is>
          <t>Cost Account = CA-2029; WBS Code = 1.2.1</t>
        </is>
      </c>
      <c r="D421" s="34" t="inlineStr">
        <is>
          <t>Proposed by Source assignment; target 1.2.1 Stations - Station Structures</t>
        </is>
      </c>
      <c r="E421" s="34" t="inlineStr">
        <is>
          <t>None recorded</t>
        </is>
      </c>
      <c r="F421" s="34" t="inlineStr">
        <is>
          <t>No individual professional decision recorded; Source assignment -- not individually reviewed</t>
        </is>
      </c>
      <c r="G421" s="34" t="inlineStr">
        <is>
          <t>Not individually decided</t>
        </is>
      </c>
      <c r="H421" s="34" t="inlineStr">
        <is>
          <t xml:space="preserve">APPROVED / ONE_TO_ONE; </t>
        </is>
      </c>
      <c r="I421" s="34" t="inlineStr">
        <is>
          <t>New</t>
        </is>
      </c>
      <c r="J421" s="92" t="inlineStr">
        <is>
          <t>08 CROSSWALK</t>
        </is>
      </c>
    </row>
    <row r="422" ht="49" customHeight="1">
      <c r="A422" s="34" t="inlineStr">
        <is>
          <t>R1193-v1</t>
        </is>
      </c>
      <c r="B422" s="34" t="inlineStr">
        <is>
          <t>Cost &amp; Forecast Control Accounts / CST-02-031</t>
        </is>
      </c>
      <c r="C422" s="34" t="inlineStr">
        <is>
          <t>Cost Account = CA-2031; WBS Code = 1.2.1</t>
        </is>
      </c>
      <c r="D422" s="34" t="inlineStr">
        <is>
          <t>Proposed by Source assignment; target 1.2.1 Stations - Station Structures</t>
        </is>
      </c>
      <c r="E422" s="34" t="inlineStr">
        <is>
          <t>None recorded</t>
        </is>
      </c>
      <c r="F422" s="34" t="inlineStr">
        <is>
          <t>No individual professional decision recorded; Source assignment -- not individually reviewed</t>
        </is>
      </c>
      <c r="G422" s="34" t="inlineStr">
        <is>
          <t>Not individually decided</t>
        </is>
      </c>
      <c r="H422" s="34" t="inlineStr">
        <is>
          <t xml:space="preserve">APPROVED / ONE_TO_ONE; </t>
        </is>
      </c>
      <c r="I422" s="34" t="inlineStr">
        <is>
          <t>New</t>
        </is>
      </c>
      <c r="J422" s="92" t="inlineStr">
        <is>
          <t>08 CROSSWALK</t>
        </is>
      </c>
    </row>
    <row r="423" ht="49" customHeight="1">
      <c r="A423" s="34" t="inlineStr">
        <is>
          <t>R1195-v1</t>
        </is>
      </c>
      <c r="B423" s="34" t="inlineStr">
        <is>
          <t>Cost &amp; Forecast Control Accounts / CST-02-033</t>
        </is>
      </c>
      <c r="C423" s="34" t="inlineStr">
        <is>
          <t>Cost Account = CA-2033; WBS Code = 1.2.1</t>
        </is>
      </c>
      <c r="D423" s="34" t="inlineStr">
        <is>
          <t>Proposed by Source assignment; target 1.2.1 Stations - Station Structures</t>
        </is>
      </c>
      <c r="E423" s="34" t="inlineStr">
        <is>
          <t>None recorded</t>
        </is>
      </c>
      <c r="F423" s="34" t="inlineStr">
        <is>
          <t>No individual professional decision recorded; Source assignment -- not individually reviewed</t>
        </is>
      </c>
      <c r="G423" s="34" t="inlineStr">
        <is>
          <t>Not individually decided</t>
        </is>
      </c>
      <c r="H423" s="34" t="inlineStr">
        <is>
          <t xml:space="preserve">APPROVED / ONE_TO_ONE; </t>
        </is>
      </c>
      <c r="I423" s="34" t="inlineStr">
        <is>
          <t>New</t>
        </is>
      </c>
      <c r="J423" s="92" t="inlineStr">
        <is>
          <t>08 CROSSWALK</t>
        </is>
      </c>
    </row>
    <row r="424" ht="49" customHeight="1">
      <c r="A424" s="34" t="inlineStr">
        <is>
          <t>R1197-v1</t>
        </is>
      </c>
      <c r="B424" s="34" t="inlineStr">
        <is>
          <t>Cost &amp; Forecast Control Accounts / CST-02-035</t>
        </is>
      </c>
      <c r="C424" s="34" t="inlineStr">
        <is>
          <t>Cost Account = CA-2035; WBS Code = 1.2.1</t>
        </is>
      </c>
      <c r="D424" s="34" t="inlineStr">
        <is>
          <t>Proposed by Source assignment; target 1.2.1 Stations - Station Structures</t>
        </is>
      </c>
      <c r="E424" s="34" t="inlineStr">
        <is>
          <t>None recorded</t>
        </is>
      </c>
      <c r="F424" s="34" t="inlineStr">
        <is>
          <t>No individual professional decision recorded; Source assignment -- not individually reviewed</t>
        </is>
      </c>
      <c r="G424" s="34" t="inlineStr">
        <is>
          <t>Not individually decided</t>
        </is>
      </c>
      <c r="H424" s="34" t="inlineStr">
        <is>
          <t xml:space="preserve">APPROVED / ONE_TO_ONE; </t>
        </is>
      </c>
      <c r="I424" s="34" t="inlineStr">
        <is>
          <t>New</t>
        </is>
      </c>
      <c r="J424" s="92" t="inlineStr">
        <is>
          <t>08 CROSSWALK</t>
        </is>
      </c>
    </row>
    <row r="425" ht="49" customHeight="1">
      <c r="A425" s="34" t="inlineStr">
        <is>
          <t>R1199-v1</t>
        </is>
      </c>
      <c r="B425" s="34" t="inlineStr">
        <is>
          <t>Cost &amp; Forecast Control Accounts / CST-02-037</t>
        </is>
      </c>
      <c r="C425" s="34" t="inlineStr">
        <is>
          <t>Cost Account = CA-2037; WBS Code = 1.2.1</t>
        </is>
      </c>
      <c r="D425" s="34" t="inlineStr">
        <is>
          <t>Proposed by Source assignment; target 1.2.1 Stations - Station Structures</t>
        </is>
      </c>
      <c r="E425" s="34" t="inlineStr">
        <is>
          <t>None recorded</t>
        </is>
      </c>
      <c r="F425" s="34" t="inlineStr">
        <is>
          <t>No individual professional decision recorded; Source assignment -- not individually reviewed</t>
        </is>
      </c>
      <c r="G425" s="34" t="inlineStr">
        <is>
          <t>Not individually decided</t>
        </is>
      </c>
      <c r="H425" s="34" t="inlineStr">
        <is>
          <t xml:space="preserve">APPROVED / ONE_TO_ONE; </t>
        </is>
      </c>
      <c r="I425" s="34" t="inlineStr">
        <is>
          <t>New</t>
        </is>
      </c>
      <c r="J425" s="92" t="inlineStr">
        <is>
          <t>08 CROSSWALK</t>
        </is>
      </c>
    </row>
    <row r="426" ht="49" customHeight="1">
      <c r="A426" s="34" t="inlineStr">
        <is>
          <t>R1201-v1</t>
        </is>
      </c>
      <c r="B426" s="34" t="inlineStr">
        <is>
          <t>Cost &amp; Forecast Control Accounts / CST-02-039</t>
        </is>
      </c>
      <c r="C426" s="34" t="inlineStr">
        <is>
          <t>Cost Account = CA-2039; WBS Code = 1.2.1</t>
        </is>
      </c>
      <c r="D426" s="34" t="inlineStr">
        <is>
          <t>Proposed by Source assignment; target 1.2.1 Stations - Station Structures</t>
        </is>
      </c>
      <c r="E426" s="34" t="inlineStr">
        <is>
          <t>None recorded</t>
        </is>
      </c>
      <c r="F426" s="34" t="inlineStr">
        <is>
          <t>No individual professional decision recorded; Source assignment -- not individually reviewed</t>
        </is>
      </c>
      <c r="G426" s="34" t="inlineStr">
        <is>
          <t>Not individually decided</t>
        </is>
      </c>
      <c r="H426" s="34" t="inlineStr">
        <is>
          <t xml:space="preserve">APPROVED / ONE_TO_ONE; </t>
        </is>
      </c>
      <c r="I426" s="34" t="inlineStr">
        <is>
          <t>New</t>
        </is>
      </c>
      <c r="J426" s="92" t="inlineStr">
        <is>
          <t>08 CROSSWALK</t>
        </is>
      </c>
    </row>
    <row r="427" ht="49" customHeight="1">
      <c r="A427" s="34" t="inlineStr">
        <is>
          <t>R1203-v1</t>
        </is>
      </c>
      <c r="B427" s="34" t="inlineStr">
        <is>
          <t>Cost &amp; Forecast Control Accounts / CST-02-041</t>
        </is>
      </c>
      <c r="C427" s="34" t="inlineStr">
        <is>
          <t>Cost Account = CA-2041; WBS Code = 1.2.1</t>
        </is>
      </c>
      <c r="D427" s="34" t="inlineStr">
        <is>
          <t>Proposed by Source assignment; target 1.2.1 Stations - Station Structures</t>
        </is>
      </c>
      <c r="E427" s="34" t="inlineStr">
        <is>
          <t>None recorded</t>
        </is>
      </c>
      <c r="F427" s="34" t="inlineStr">
        <is>
          <t>No individual professional decision recorded; Source assignment -- not individually reviewed</t>
        </is>
      </c>
      <c r="G427" s="34" t="inlineStr">
        <is>
          <t>Not individually decided</t>
        </is>
      </c>
      <c r="H427" s="34" t="inlineStr">
        <is>
          <t xml:space="preserve">APPROVED / ONE_TO_ONE; </t>
        </is>
      </c>
      <c r="I427" s="34" t="inlineStr">
        <is>
          <t>New</t>
        </is>
      </c>
      <c r="J427" s="92" t="inlineStr">
        <is>
          <t>08 CROSSWALK</t>
        </is>
      </c>
    </row>
    <row r="428" ht="49" customHeight="1">
      <c r="A428" s="34" t="inlineStr">
        <is>
          <t>R1205-v1</t>
        </is>
      </c>
      <c r="B428" s="34" t="inlineStr">
        <is>
          <t>Cost &amp; Forecast Control Accounts / CST-02-043</t>
        </is>
      </c>
      <c r="C428" s="34" t="inlineStr">
        <is>
          <t>Cost Account = CA-2043; WBS Code = 1.2.1</t>
        </is>
      </c>
      <c r="D428" s="34" t="inlineStr">
        <is>
          <t>Proposed by Source assignment; target 1.2.1 Stations - Station Structures</t>
        </is>
      </c>
      <c r="E428" s="34" t="inlineStr">
        <is>
          <t>None recorded</t>
        </is>
      </c>
      <c r="F428" s="34" t="inlineStr">
        <is>
          <t>No individual professional decision recorded; Source assignment -- not individually reviewed</t>
        </is>
      </c>
      <c r="G428" s="34" t="inlineStr">
        <is>
          <t>Not individually decided</t>
        </is>
      </c>
      <c r="H428" s="34" t="inlineStr">
        <is>
          <t xml:space="preserve">APPROVED / ONE_TO_ONE; </t>
        </is>
      </c>
      <c r="I428" s="34" t="inlineStr">
        <is>
          <t>New</t>
        </is>
      </c>
      <c r="J428" s="92" t="inlineStr">
        <is>
          <t>08 CROSSWALK</t>
        </is>
      </c>
    </row>
    <row r="429" ht="49" customHeight="1">
      <c r="A429" s="34" t="inlineStr">
        <is>
          <t>R1207-v1</t>
        </is>
      </c>
      <c r="B429" s="34" t="inlineStr">
        <is>
          <t>Cost &amp; Forecast Control Accounts / CST-02-045</t>
        </is>
      </c>
      <c r="C429" s="34" t="inlineStr">
        <is>
          <t>Cost Account = CA-2045; WBS Code = 1.2.1</t>
        </is>
      </c>
      <c r="D429" s="34" t="inlineStr">
        <is>
          <t>Proposed by Source assignment; target 1.2.1 Stations - Station Structures</t>
        </is>
      </c>
      <c r="E429" s="34" t="inlineStr">
        <is>
          <t>None recorded</t>
        </is>
      </c>
      <c r="F429" s="34" t="inlineStr">
        <is>
          <t>No individual professional decision recorded; Source assignment -- not individually reviewed</t>
        </is>
      </c>
      <c r="G429" s="34" t="inlineStr">
        <is>
          <t>Not individually decided</t>
        </is>
      </c>
      <c r="H429" s="34" t="inlineStr">
        <is>
          <t xml:space="preserve">APPROVED / ONE_TO_ONE; </t>
        </is>
      </c>
      <c r="I429" s="34" t="inlineStr">
        <is>
          <t>New</t>
        </is>
      </c>
      <c r="J429" s="92" t="inlineStr">
        <is>
          <t>08 CROSSWALK</t>
        </is>
      </c>
    </row>
    <row r="430" ht="49" customHeight="1">
      <c r="A430" s="34" t="inlineStr">
        <is>
          <t>R1209-v1</t>
        </is>
      </c>
      <c r="B430" s="34" t="inlineStr">
        <is>
          <t>Cost &amp; Forecast Control Accounts / CST-02-047</t>
        </is>
      </c>
      <c r="C430" s="34" t="inlineStr">
        <is>
          <t>Cost Account = CA-2047; WBS Code = 1.2.1</t>
        </is>
      </c>
      <c r="D430" s="34" t="inlineStr">
        <is>
          <t>Proposed by Source assignment; target 1.2.1 Stations - Station Structures</t>
        </is>
      </c>
      <c r="E430" s="34" t="inlineStr">
        <is>
          <t>None recorded</t>
        </is>
      </c>
      <c r="F430" s="34" t="inlineStr">
        <is>
          <t>No individual professional decision recorded; Source assignment -- not individually reviewed</t>
        </is>
      </c>
      <c r="G430" s="34" t="inlineStr">
        <is>
          <t>Not individually decided</t>
        </is>
      </c>
      <c r="H430" s="34" t="inlineStr">
        <is>
          <t xml:space="preserve">APPROVED / ONE_TO_ONE; </t>
        </is>
      </c>
      <c r="I430" s="34" t="inlineStr">
        <is>
          <t>New</t>
        </is>
      </c>
      <c r="J430" s="92" t="inlineStr">
        <is>
          <t>08 CROSSWALK</t>
        </is>
      </c>
    </row>
    <row r="431" ht="49" customHeight="1">
      <c r="A431" s="34" t="inlineStr">
        <is>
          <t>R1211-v1</t>
        </is>
      </c>
      <c r="B431" s="34" t="inlineStr">
        <is>
          <t>Cost &amp; Forecast Control Accounts / CST-02-049</t>
        </is>
      </c>
      <c r="C431" s="34" t="inlineStr">
        <is>
          <t>Cost Account = CA-2049; WBS Code = 1.2.1</t>
        </is>
      </c>
      <c r="D431" s="34" t="inlineStr">
        <is>
          <t>Proposed by Source assignment; target 1.2.1 Stations - Station Structures</t>
        </is>
      </c>
      <c r="E431" s="34" t="inlineStr">
        <is>
          <t>None recorded</t>
        </is>
      </c>
      <c r="F431" s="34" t="inlineStr">
        <is>
          <t>No individual professional decision recorded; Source assignment -- not individually reviewed</t>
        </is>
      </c>
      <c r="G431" s="34" t="inlineStr">
        <is>
          <t>Not individually decided</t>
        </is>
      </c>
      <c r="H431" s="34" t="inlineStr">
        <is>
          <t xml:space="preserve">APPROVED / ONE_TO_ONE; </t>
        </is>
      </c>
      <c r="I431" s="34" t="inlineStr">
        <is>
          <t>New</t>
        </is>
      </c>
      <c r="J431" s="92" t="inlineStr">
        <is>
          <t>08 CROSSWALK</t>
        </is>
      </c>
    </row>
    <row r="432" ht="49" customHeight="1">
      <c r="A432" s="34" t="inlineStr">
        <is>
          <t>R1213-v1</t>
        </is>
      </c>
      <c r="B432" s="34" t="inlineStr">
        <is>
          <t>Cost &amp; Forecast Control Accounts / CST-02-051</t>
        </is>
      </c>
      <c r="C432" s="34" t="inlineStr">
        <is>
          <t>Cost Account = CA-2051; WBS Code = 1.2.1</t>
        </is>
      </c>
      <c r="D432" s="34" t="inlineStr">
        <is>
          <t>Proposed by Source assignment; target 1.2.1 Stations - Station Structures</t>
        </is>
      </c>
      <c r="E432" s="34" t="inlineStr">
        <is>
          <t>None recorded</t>
        </is>
      </c>
      <c r="F432" s="34" t="inlineStr">
        <is>
          <t>No individual professional decision recorded; Source assignment -- not individually reviewed</t>
        </is>
      </c>
      <c r="G432" s="34" t="inlineStr">
        <is>
          <t>Not individually decided</t>
        </is>
      </c>
      <c r="H432" s="34" t="inlineStr">
        <is>
          <t xml:space="preserve">APPROVED / ONE_TO_ONE; </t>
        </is>
      </c>
      <c r="I432" s="34" t="inlineStr">
        <is>
          <t>New</t>
        </is>
      </c>
      <c r="J432" s="92" t="inlineStr">
        <is>
          <t>08 CROSSWALK</t>
        </is>
      </c>
    </row>
    <row r="433" ht="49" customHeight="1">
      <c r="A433" s="34" t="inlineStr">
        <is>
          <t>R1215-v1</t>
        </is>
      </c>
      <c r="B433" s="34" t="inlineStr">
        <is>
          <t>Cost &amp; Forecast Control Accounts / CST-02-053</t>
        </is>
      </c>
      <c r="C433" s="34" t="inlineStr">
        <is>
          <t>Cost Account = CA-2053; WBS Code = 1.2.1</t>
        </is>
      </c>
      <c r="D433" s="34" t="inlineStr">
        <is>
          <t>Proposed by Source assignment; target 1.2.1 Stations - Station Structures</t>
        </is>
      </c>
      <c r="E433" s="34" t="inlineStr">
        <is>
          <t>None recorded</t>
        </is>
      </c>
      <c r="F433" s="34" t="inlineStr">
        <is>
          <t>No individual professional decision recorded; Source assignment -- not individually reviewed</t>
        </is>
      </c>
      <c r="G433" s="34" t="inlineStr">
        <is>
          <t>Not individually decided</t>
        </is>
      </c>
      <c r="H433" s="34" t="inlineStr">
        <is>
          <t xml:space="preserve">APPROVED / ONE_TO_ONE; </t>
        </is>
      </c>
      <c r="I433" s="34" t="inlineStr">
        <is>
          <t>New</t>
        </is>
      </c>
      <c r="J433" s="92" t="inlineStr">
        <is>
          <t>08 CROSSWALK</t>
        </is>
      </c>
    </row>
    <row r="434" ht="49" customHeight="1">
      <c r="A434" s="34" t="inlineStr">
        <is>
          <t>R1217-v1</t>
        </is>
      </c>
      <c r="B434" s="34" t="inlineStr">
        <is>
          <t>Cost &amp; Forecast Control Accounts / CST-02-055</t>
        </is>
      </c>
      <c r="C434" s="34" t="inlineStr">
        <is>
          <t>Cost Account = CA-2055; WBS Code = 1.2.1</t>
        </is>
      </c>
      <c r="D434" s="34" t="inlineStr">
        <is>
          <t>Proposed by Source assignment; target 1.2.1 Stations - Station Structures</t>
        </is>
      </c>
      <c r="E434" s="34" t="inlineStr">
        <is>
          <t>None recorded</t>
        </is>
      </c>
      <c r="F434" s="34" t="inlineStr">
        <is>
          <t>No individual professional decision recorded; Source assignment -- not individually reviewed</t>
        </is>
      </c>
      <c r="G434" s="34" t="inlineStr">
        <is>
          <t>Not individually decided</t>
        </is>
      </c>
      <c r="H434" s="34" t="inlineStr">
        <is>
          <t xml:space="preserve">APPROVED / ONE_TO_ONE; </t>
        </is>
      </c>
      <c r="I434" s="34" t="inlineStr">
        <is>
          <t>New</t>
        </is>
      </c>
      <c r="J434" s="92" t="inlineStr">
        <is>
          <t>08 CROSSWALK</t>
        </is>
      </c>
    </row>
    <row r="435" ht="49" customHeight="1">
      <c r="A435" s="34" t="inlineStr">
        <is>
          <t>R1219-v1</t>
        </is>
      </c>
      <c r="B435" s="34" t="inlineStr">
        <is>
          <t>Cost &amp; Forecast Control Accounts / CST-02-057</t>
        </is>
      </c>
      <c r="C435" s="34" t="inlineStr">
        <is>
          <t>Cost Account = CA-2057; WBS Code = 1.2.1</t>
        </is>
      </c>
      <c r="D435" s="34" t="inlineStr">
        <is>
          <t>Proposed by Source assignment; target 1.2.1 Stations - Station Structures</t>
        </is>
      </c>
      <c r="E435" s="34" t="inlineStr">
        <is>
          <t>None recorded</t>
        </is>
      </c>
      <c r="F435" s="34" t="inlineStr">
        <is>
          <t>No individual professional decision recorded; Source assignment -- not individually reviewed</t>
        </is>
      </c>
      <c r="G435" s="34" t="inlineStr">
        <is>
          <t>Not individually decided</t>
        </is>
      </c>
      <c r="H435" s="34" t="inlineStr">
        <is>
          <t xml:space="preserve">APPROVED / ONE_TO_ONE; </t>
        </is>
      </c>
      <c r="I435" s="34" t="inlineStr">
        <is>
          <t>New</t>
        </is>
      </c>
      <c r="J435" s="92" t="inlineStr">
        <is>
          <t>08 CROSSWALK</t>
        </is>
      </c>
    </row>
    <row r="436" ht="49" customHeight="1">
      <c r="A436" s="34" t="inlineStr">
        <is>
          <t>R1221-v1</t>
        </is>
      </c>
      <c r="B436" s="34" t="inlineStr">
        <is>
          <t>Cost &amp; Forecast Control Accounts / CST-02-059</t>
        </is>
      </c>
      <c r="C436" s="34" t="inlineStr">
        <is>
          <t>Cost Account = CA-2059; WBS Code = 1.2.1</t>
        </is>
      </c>
      <c r="D436" s="34" t="inlineStr">
        <is>
          <t>Proposed by Source assignment; target 1.2.1 Stations - Station Structures</t>
        </is>
      </c>
      <c r="E436" s="34" t="inlineStr">
        <is>
          <t>None recorded</t>
        </is>
      </c>
      <c r="F436" s="34" t="inlineStr">
        <is>
          <t>No individual professional decision recorded; Source assignment -- not individually reviewed</t>
        </is>
      </c>
      <c r="G436" s="34" t="inlineStr">
        <is>
          <t>Not individually decided</t>
        </is>
      </c>
      <c r="H436" s="34" t="inlineStr">
        <is>
          <t xml:space="preserve">APPROVED / ONE_TO_ONE; </t>
        </is>
      </c>
      <c r="I436" s="34" t="inlineStr">
        <is>
          <t>New</t>
        </is>
      </c>
      <c r="J436" s="92" t="inlineStr">
        <is>
          <t>08 CROSSWALK</t>
        </is>
      </c>
    </row>
    <row r="437" ht="49" customHeight="1">
      <c r="A437" s="34" t="inlineStr">
        <is>
          <t>R1223-v1</t>
        </is>
      </c>
      <c r="B437" s="34" t="inlineStr">
        <is>
          <t>Cost &amp; Forecast Control Accounts / CST-02-061</t>
        </is>
      </c>
      <c r="C437" s="34" t="inlineStr">
        <is>
          <t>Cost Account = CA-2061; WBS Code = 1.2.1</t>
        </is>
      </c>
      <c r="D437" s="34" t="inlineStr">
        <is>
          <t>Proposed by Source assignment; target 1.2.1 Stations - Station Structures</t>
        </is>
      </c>
      <c r="E437" s="34" t="inlineStr">
        <is>
          <t>None recorded</t>
        </is>
      </c>
      <c r="F437" s="34" t="inlineStr">
        <is>
          <t>No individual professional decision recorded; Source assignment -- not individually reviewed</t>
        </is>
      </c>
      <c r="G437" s="34" t="inlineStr">
        <is>
          <t>Not individually decided</t>
        </is>
      </c>
      <c r="H437" s="34" t="inlineStr">
        <is>
          <t xml:space="preserve">APPROVED / ONE_TO_ONE; </t>
        </is>
      </c>
      <c r="I437" s="34" t="inlineStr">
        <is>
          <t>New</t>
        </is>
      </c>
      <c r="J437" s="92" t="inlineStr">
        <is>
          <t>08 CROSSWALK</t>
        </is>
      </c>
    </row>
    <row r="438" ht="49" customHeight="1">
      <c r="A438" s="34" t="inlineStr">
        <is>
          <t>R1225-v1</t>
        </is>
      </c>
      <c r="B438" s="34" t="inlineStr">
        <is>
          <t>Cost &amp; Forecast Control Accounts / CST-02-063</t>
        </is>
      </c>
      <c r="C438" s="34" t="inlineStr">
        <is>
          <t>Cost Account = CA-2063; WBS Code = 1.2.1</t>
        </is>
      </c>
      <c r="D438" s="34" t="inlineStr">
        <is>
          <t>Proposed by Source assignment; target 1.2.1 Stations - Station Structures</t>
        </is>
      </c>
      <c r="E438" s="34" t="inlineStr">
        <is>
          <t>None recorded</t>
        </is>
      </c>
      <c r="F438" s="34" t="inlineStr">
        <is>
          <t>No individual professional decision recorded; Source assignment -- not individually reviewed</t>
        </is>
      </c>
      <c r="G438" s="34" t="inlineStr">
        <is>
          <t>Not individually decided</t>
        </is>
      </c>
      <c r="H438" s="34" t="inlineStr">
        <is>
          <t xml:space="preserve">APPROVED / ONE_TO_ONE; </t>
        </is>
      </c>
      <c r="I438" s="34" t="inlineStr">
        <is>
          <t>New</t>
        </is>
      </c>
      <c r="J438" s="92" t="inlineStr">
        <is>
          <t>08 CROSSWALK</t>
        </is>
      </c>
    </row>
    <row r="439" ht="49" customHeight="1">
      <c r="A439" s="34" t="inlineStr">
        <is>
          <t>R1227-v1</t>
        </is>
      </c>
      <c r="B439" s="34" t="inlineStr">
        <is>
          <t>Cost &amp; Forecast Control Accounts / CST-02-065</t>
        </is>
      </c>
      <c r="C439" s="34" t="inlineStr">
        <is>
          <t>Cost Account = CA-2065; WBS Code = 1.2.1</t>
        </is>
      </c>
      <c r="D439" s="34" t="inlineStr">
        <is>
          <t>Proposed by Source assignment; target 1.2.1 Stations - Station Structures</t>
        </is>
      </c>
      <c r="E439" s="34" t="inlineStr">
        <is>
          <t>None recorded</t>
        </is>
      </c>
      <c r="F439" s="34" t="inlineStr">
        <is>
          <t>No individual professional decision recorded; Source assignment -- not individually reviewed</t>
        </is>
      </c>
      <c r="G439" s="34" t="inlineStr">
        <is>
          <t>Not individually decided</t>
        </is>
      </c>
      <c r="H439" s="34" t="inlineStr">
        <is>
          <t xml:space="preserve">APPROVED / ONE_TO_ONE; </t>
        </is>
      </c>
      <c r="I439" s="34" t="inlineStr">
        <is>
          <t>New</t>
        </is>
      </c>
      <c r="J439" s="92" t="inlineStr">
        <is>
          <t>08 CROSSWALK</t>
        </is>
      </c>
    </row>
    <row r="440" ht="49" customHeight="1">
      <c r="A440" s="34" t="inlineStr">
        <is>
          <t>R1229-v1</t>
        </is>
      </c>
      <c r="B440" s="34" t="inlineStr">
        <is>
          <t>Cost &amp; Forecast Control Accounts / CST-02-067</t>
        </is>
      </c>
      <c r="C440" s="34" t="inlineStr">
        <is>
          <t>Cost Account = CA-2067; WBS Code = 1.2.1</t>
        </is>
      </c>
      <c r="D440" s="34" t="inlineStr">
        <is>
          <t>Proposed by Source assignment; target 1.2.1 Stations - Station Structures</t>
        </is>
      </c>
      <c r="E440" s="34" t="inlineStr">
        <is>
          <t>None recorded</t>
        </is>
      </c>
      <c r="F440" s="34" t="inlineStr">
        <is>
          <t>No individual professional decision recorded; Source assignment -- not individually reviewed</t>
        </is>
      </c>
      <c r="G440" s="34" t="inlineStr">
        <is>
          <t>Not individually decided</t>
        </is>
      </c>
      <c r="H440" s="34" t="inlineStr">
        <is>
          <t xml:space="preserve">APPROVED / ONE_TO_ONE; </t>
        </is>
      </c>
      <c r="I440" s="34" t="inlineStr">
        <is>
          <t>New</t>
        </is>
      </c>
      <c r="J440" s="92" t="inlineStr">
        <is>
          <t>08 CROSSWALK</t>
        </is>
      </c>
    </row>
    <row r="441" ht="49" customHeight="1">
      <c r="A441" s="34" t="inlineStr">
        <is>
          <t>R1231-v1</t>
        </is>
      </c>
      <c r="B441" s="34" t="inlineStr">
        <is>
          <t>Cost &amp; Forecast Control Accounts / CST-02-069</t>
        </is>
      </c>
      <c r="C441" s="34" t="inlineStr">
        <is>
          <t>Cost Account = CA-2069; WBS Code = 1.2.1</t>
        </is>
      </c>
      <c r="D441" s="34" t="inlineStr">
        <is>
          <t>Proposed by Source assignment; target 1.2.1 Stations - Station Structures</t>
        </is>
      </c>
      <c r="E441" s="34" t="inlineStr">
        <is>
          <t>None recorded</t>
        </is>
      </c>
      <c r="F441" s="34" t="inlineStr">
        <is>
          <t>No individual professional decision recorded; Source assignment -- not individually reviewed</t>
        </is>
      </c>
      <c r="G441" s="34" t="inlineStr">
        <is>
          <t>Not individually decided</t>
        </is>
      </c>
      <c r="H441" s="34" t="inlineStr">
        <is>
          <t xml:space="preserve">APPROVED / ONE_TO_ONE; </t>
        </is>
      </c>
      <c r="I441" s="34" t="inlineStr">
        <is>
          <t>New</t>
        </is>
      </c>
      <c r="J441" s="92" t="inlineStr">
        <is>
          <t>08 CROSSWALK</t>
        </is>
      </c>
    </row>
    <row r="442" ht="49" customHeight="1">
      <c r="A442" s="34" t="inlineStr">
        <is>
          <t>R1233-v1</t>
        </is>
      </c>
      <c r="B442" s="34" t="inlineStr">
        <is>
          <t>Cost &amp; Forecast Control Accounts / CST-02-071</t>
        </is>
      </c>
      <c r="C442" s="34" t="inlineStr">
        <is>
          <t>Cost Account = CA-2071; WBS Code = 1.2.1</t>
        </is>
      </c>
      <c r="D442" s="34" t="inlineStr">
        <is>
          <t>Proposed by Source assignment; target 1.2.1 Stations - Station Structures</t>
        </is>
      </c>
      <c r="E442" s="34" t="inlineStr">
        <is>
          <t>None recorded</t>
        </is>
      </c>
      <c r="F442" s="34" t="inlineStr">
        <is>
          <t>No individual professional decision recorded; Source assignment -- not individually reviewed</t>
        </is>
      </c>
      <c r="G442" s="34" t="inlineStr">
        <is>
          <t>Not individually decided</t>
        </is>
      </c>
      <c r="H442" s="34" t="inlineStr">
        <is>
          <t xml:space="preserve">APPROVED / ONE_TO_ONE; </t>
        </is>
      </c>
      <c r="I442" s="34" t="inlineStr">
        <is>
          <t>New</t>
        </is>
      </c>
      <c r="J442" s="92" t="inlineStr">
        <is>
          <t>08 CROSSWALK</t>
        </is>
      </c>
    </row>
    <row r="443" ht="49" customHeight="1">
      <c r="A443" s="34" t="inlineStr">
        <is>
          <t>R1235-v1</t>
        </is>
      </c>
      <c r="B443" s="34" t="inlineStr">
        <is>
          <t>Cost &amp; Forecast Control Accounts / CST-02-073</t>
        </is>
      </c>
      <c r="C443" s="34" t="inlineStr">
        <is>
          <t>Cost Account = CA-2073; WBS Code = 1.2.1</t>
        </is>
      </c>
      <c r="D443" s="34" t="inlineStr">
        <is>
          <t>Proposed by Source assignment; target 1.2.1 Stations - Station Structures</t>
        </is>
      </c>
      <c r="E443" s="34" t="inlineStr">
        <is>
          <t>None recorded</t>
        </is>
      </c>
      <c r="F443" s="34" t="inlineStr">
        <is>
          <t>No individual professional decision recorded; Source assignment -- not individually reviewed</t>
        </is>
      </c>
      <c r="G443" s="34" t="inlineStr">
        <is>
          <t>Not individually decided</t>
        </is>
      </c>
      <c r="H443" s="34" t="inlineStr">
        <is>
          <t xml:space="preserve">APPROVED / ONE_TO_ONE; </t>
        </is>
      </c>
      <c r="I443" s="34" t="inlineStr">
        <is>
          <t>New</t>
        </is>
      </c>
      <c r="J443" s="92" t="inlineStr">
        <is>
          <t>08 CROSSWALK</t>
        </is>
      </c>
    </row>
    <row r="444" ht="49" customHeight="1">
      <c r="A444" s="34" t="inlineStr">
        <is>
          <t>R1237-v1</t>
        </is>
      </c>
      <c r="B444" s="34" t="inlineStr">
        <is>
          <t>Cost &amp; Forecast Control Accounts / CST-02-075</t>
        </is>
      </c>
      <c r="C444" s="34" t="inlineStr">
        <is>
          <t>Cost Account = CA-2075; WBS Code = 1.2.1</t>
        </is>
      </c>
      <c r="D444" s="34" t="inlineStr">
        <is>
          <t>Proposed by Source assignment; target 1.2.1 Stations - Station Structures</t>
        </is>
      </c>
      <c r="E444" s="34" t="inlineStr">
        <is>
          <t>None recorded</t>
        </is>
      </c>
      <c r="F444" s="34" t="inlineStr">
        <is>
          <t>No individual professional decision recorded; Source assignment -- not individually reviewed</t>
        </is>
      </c>
      <c r="G444" s="34" t="inlineStr">
        <is>
          <t>Not individually decided</t>
        </is>
      </c>
      <c r="H444" s="34" t="inlineStr">
        <is>
          <t xml:space="preserve">APPROVED / ONE_TO_ONE; </t>
        </is>
      </c>
      <c r="I444" s="34" t="inlineStr">
        <is>
          <t>New</t>
        </is>
      </c>
      <c r="J444" s="92" t="inlineStr">
        <is>
          <t>08 CROSSWALK</t>
        </is>
      </c>
    </row>
    <row r="445" ht="49" customHeight="1">
      <c r="A445" s="34" t="inlineStr">
        <is>
          <t>R1239-v1</t>
        </is>
      </c>
      <c r="B445" s="34" t="inlineStr">
        <is>
          <t>Cost &amp; Forecast Control Accounts / CST-02-077</t>
        </is>
      </c>
      <c r="C445" s="34" t="inlineStr">
        <is>
          <t>Cost Account = CA-2077; WBS Code = 1.2.1</t>
        </is>
      </c>
      <c r="D445" s="34" t="inlineStr">
        <is>
          <t>Proposed by Source assignment; target 1.2.1 Stations - Station Structures</t>
        </is>
      </c>
      <c r="E445" s="34" t="inlineStr">
        <is>
          <t>None recorded</t>
        </is>
      </c>
      <c r="F445" s="34" t="inlineStr">
        <is>
          <t>No individual professional decision recorded; Source assignment -- not individually reviewed</t>
        </is>
      </c>
      <c r="G445" s="34" t="inlineStr">
        <is>
          <t>Not individually decided</t>
        </is>
      </c>
      <c r="H445" s="34" t="inlineStr">
        <is>
          <t xml:space="preserve">APPROVED / ONE_TO_ONE; </t>
        </is>
      </c>
      <c r="I445" s="34" t="inlineStr">
        <is>
          <t>New</t>
        </is>
      </c>
      <c r="J445" s="92" t="inlineStr">
        <is>
          <t>08 CROSSWALK</t>
        </is>
      </c>
    </row>
    <row r="446" ht="49" customHeight="1">
      <c r="A446" s="34" t="inlineStr">
        <is>
          <t>R1241-v1</t>
        </is>
      </c>
      <c r="B446" s="34" t="inlineStr">
        <is>
          <t>Cost &amp; Forecast Control Accounts / CST-02-079</t>
        </is>
      </c>
      <c r="C446" s="34" t="inlineStr">
        <is>
          <t>Cost Account = CA-2079; WBS Code = 1.2.1</t>
        </is>
      </c>
      <c r="D446" s="34" t="inlineStr">
        <is>
          <t>Proposed by Source assignment; target 1.2.1 Stations - Station Structures</t>
        </is>
      </c>
      <c r="E446" s="34" t="inlineStr">
        <is>
          <t>None recorded</t>
        </is>
      </c>
      <c r="F446" s="34" t="inlineStr">
        <is>
          <t>No individual professional decision recorded; Source assignment -- not individually reviewed</t>
        </is>
      </c>
      <c r="G446" s="34" t="inlineStr">
        <is>
          <t>Not individually decided</t>
        </is>
      </c>
      <c r="H446" s="34" t="inlineStr">
        <is>
          <t xml:space="preserve">APPROVED / ONE_TO_ONE; </t>
        </is>
      </c>
      <c r="I446" s="34" t="inlineStr">
        <is>
          <t>New</t>
        </is>
      </c>
      <c r="J446" s="92" t="inlineStr">
        <is>
          <t>08 CROSSWALK</t>
        </is>
      </c>
    </row>
    <row r="447" ht="49" customHeight="1">
      <c r="A447" s="34" t="inlineStr">
        <is>
          <t>R186-v1</t>
        </is>
      </c>
      <c r="B447" s="34" t="inlineStr">
        <is>
          <t>Contractor Programme / SCH-02-006</t>
        </is>
      </c>
      <c r="C447" s="34" t="inlineStr">
        <is>
          <t>WBS Code = 1.2.2</t>
        </is>
      </c>
      <c r="D447" s="34" t="inlineStr">
        <is>
          <t>Proposed by Source assignment; target 1.2.2 Stations - Architectural Fit-Out</t>
        </is>
      </c>
      <c r="E447" s="34" t="inlineStr">
        <is>
          <t>None recorded</t>
        </is>
      </c>
      <c r="F447" s="34" t="inlineStr">
        <is>
          <t>No individual professional decision recorded; Source assignment -- not individually reviewed</t>
        </is>
      </c>
      <c r="G447" s="34" t="inlineStr">
        <is>
          <t>Not individually decided</t>
        </is>
      </c>
      <c r="H447" s="34" t="inlineStr">
        <is>
          <t xml:space="preserve">APPROVED / ONE_TO_ONE; </t>
        </is>
      </c>
      <c r="I447" s="34" t="inlineStr">
        <is>
          <t>New</t>
        </is>
      </c>
      <c r="J447" s="92" t="inlineStr">
        <is>
          <t>08 CROSSWALK</t>
        </is>
      </c>
    </row>
    <row r="448" ht="49" customHeight="1">
      <c r="A448" s="34" t="inlineStr">
        <is>
          <t>R189-v1</t>
        </is>
      </c>
      <c r="B448" s="34" t="inlineStr">
        <is>
          <t>Contractor Programme / SCH-02-009</t>
        </is>
      </c>
      <c r="C448" s="34" t="inlineStr">
        <is>
          <t>WBS Code = 1.2.2</t>
        </is>
      </c>
      <c r="D448" s="34" t="inlineStr">
        <is>
          <t>Proposed by Source assignment; target 1.2.2 Stations - Architectural Fit-Out</t>
        </is>
      </c>
      <c r="E448" s="34" t="inlineStr">
        <is>
          <t>None recorded</t>
        </is>
      </c>
      <c r="F448" s="34" t="inlineStr">
        <is>
          <t>No individual professional decision recorded; Source assignment -- not individually reviewed</t>
        </is>
      </c>
      <c r="G448" s="34" t="inlineStr">
        <is>
          <t>Not individually decided</t>
        </is>
      </c>
      <c r="H448" s="34" t="inlineStr">
        <is>
          <t xml:space="preserve">APPROVED / ONE_TO_ONE; </t>
        </is>
      </c>
      <c r="I448" s="34" t="inlineStr">
        <is>
          <t>New</t>
        </is>
      </c>
      <c r="J448" s="92" t="inlineStr">
        <is>
          <t>08 CROSSWALK</t>
        </is>
      </c>
    </row>
    <row r="449" ht="49" customHeight="1">
      <c r="A449" s="34" t="inlineStr">
        <is>
          <t>R192-v1</t>
        </is>
      </c>
      <c r="B449" s="34" t="inlineStr">
        <is>
          <t>Contractor Programme / SCH-02-012</t>
        </is>
      </c>
      <c r="C449" s="34" t="inlineStr">
        <is>
          <t>WBS Code = 1.2.2</t>
        </is>
      </c>
      <c r="D449" s="34" t="inlineStr">
        <is>
          <t>Proposed by Source assignment; target 1.2.2 Stations - Architectural Fit-Out</t>
        </is>
      </c>
      <c r="E449" s="34" t="inlineStr">
        <is>
          <t>None recorded</t>
        </is>
      </c>
      <c r="F449" s="34" t="inlineStr">
        <is>
          <t>No individual professional decision recorded; Source assignment -- not individually reviewed</t>
        </is>
      </c>
      <c r="G449" s="34" t="inlineStr">
        <is>
          <t>Not individually decided</t>
        </is>
      </c>
      <c r="H449" s="34" t="inlineStr">
        <is>
          <t xml:space="preserve">APPROVED / ONE_TO_ONE; </t>
        </is>
      </c>
      <c r="I449" s="34" t="inlineStr">
        <is>
          <t>New</t>
        </is>
      </c>
      <c r="J449" s="92" t="inlineStr">
        <is>
          <t>08 CROSSWALK</t>
        </is>
      </c>
    </row>
    <row r="450" ht="49" customHeight="1">
      <c r="A450" s="34" t="inlineStr">
        <is>
          <t>R195-v1</t>
        </is>
      </c>
      <c r="B450" s="34" t="inlineStr">
        <is>
          <t>Contractor Programme / SCH-02-015</t>
        </is>
      </c>
      <c r="C450" s="34" t="inlineStr">
        <is>
          <t>WBS Code = 1.2.2</t>
        </is>
      </c>
      <c r="D450" s="34" t="inlineStr">
        <is>
          <t>Proposed by Source assignment; target 1.2.2 Stations - Architectural Fit-Out</t>
        </is>
      </c>
      <c r="E450" s="34" t="inlineStr">
        <is>
          <t>None recorded</t>
        </is>
      </c>
      <c r="F450" s="34" t="inlineStr">
        <is>
          <t>No individual professional decision recorded; Source assignment -- not individually reviewed</t>
        </is>
      </c>
      <c r="G450" s="34" t="inlineStr">
        <is>
          <t>Not individually decided</t>
        </is>
      </c>
      <c r="H450" s="34" t="inlineStr">
        <is>
          <t xml:space="preserve">APPROVED / ONE_TO_ONE; </t>
        </is>
      </c>
      <c r="I450" s="34" t="inlineStr">
        <is>
          <t>New</t>
        </is>
      </c>
      <c r="J450" s="92" t="inlineStr">
        <is>
          <t>08 CROSSWALK</t>
        </is>
      </c>
    </row>
    <row r="451" ht="49" customHeight="1">
      <c r="A451" s="34" t="inlineStr">
        <is>
          <t>R198-v1</t>
        </is>
      </c>
      <c r="B451" s="34" t="inlineStr">
        <is>
          <t>Contractor Programme / SCH-02-018</t>
        </is>
      </c>
      <c r="C451" s="34" t="inlineStr">
        <is>
          <t>WBS Code = 1.2.2</t>
        </is>
      </c>
      <c r="D451" s="34" t="inlineStr">
        <is>
          <t>Proposed by Source assignment; target 1.2.2 Stations - Architectural Fit-Out</t>
        </is>
      </c>
      <c r="E451" s="34" t="inlineStr">
        <is>
          <t>None recorded</t>
        </is>
      </c>
      <c r="F451" s="34" t="inlineStr">
        <is>
          <t>No individual professional decision recorded; Source assignment -- not individually reviewed</t>
        </is>
      </c>
      <c r="G451" s="34" t="inlineStr">
        <is>
          <t>Not individually decided</t>
        </is>
      </c>
      <c r="H451" s="34" t="inlineStr">
        <is>
          <t xml:space="preserve">APPROVED / ONE_TO_ONE; </t>
        </is>
      </c>
      <c r="I451" s="34" t="inlineStr">
        <is>
          <t>New</t>
        </is>
      </c>
      <c r="J451" s="92" t="inlineStr">
        <is>
          <t>08 CROSSWALK</t>
        </is>
      </c>
    </row>
    <row r="452" ht="49" customHeight="1">
      <c r="A452" s="34" t="inlineStr">
        <is>
          <t>R201-v1</t>
        </is>
      </c>
      <c r="B452" s="34" t="inlineStr">
        <is>
          <t>Contractor Programme / SCH-02-021</t>
        </is>
      </c>
      <c r="C452" s="34" t="inlineStr">
        <is>
          <t>WBS Code = 1.2.2</t>
        </is>
      </c>
      <c r="D452" s="34" t="inlineStr">
        <is>
          <t>Proposed by Source assignment; target 1.2.2 Stations - Architectural Fit-Out</t>
        </is>
      </c>
      <c r="E452" s="34" t="inlineStr">
        <is>
          <t>None recorded</t>
        </is>
      </c>
      <c r="F452" s="34" t="inlineStr">
        <is>
          <t>No individual professional decision recorded; Source assignment -- not individually reviewed</t>
        </is>
      </c>
      <c r="G452" s="34" t="inlineStr">
        <is>
          <t>Not individually decided</t>
        </is>
      </c>
      <c r="H452" s="34" t="inlineStr">
        <is>
          <t xml:space="preserve">APPROVED / ONE_TO_ONE; </t>
        </is>
      </c>
      <c r="I452" s="34" t="inlineStr">
        <is>
          <t>New</t>
        </is>
      </c>
      <c r="J452" s="92" t="inlineStr">
        <is>
          <t>08 CROSSWALK</t>
        </is>
      </c>
    </row>
    <row r="453" ht="49" customHeight="1">
      <c r="A453" s="34" t="inlineStr">
        <is>
          <t>R204-v1</t>
        </is>
      </c>
      <c r="B453" s="34" t="inlineStr">
        <is>
          <t>Contractor Programme / SCH-02-024</t>
        </is>
      </c>
      <c r="C453" s="34" t="inlineStr">
        <is>
          <t>WBS Code = 1.2.2</t>
        </is>
      </c>
      <c r="D453" s="34" t="inlineStr">
        <is>
          <t>Proposed by Source assignment; target 1.2.2 Stations - Architectural Fit-Out</t>
        </is>
      </c>
      <c r="E453" s="34" t="inlineStr">
        <is>
          <t>None recorded</t>
        </is>
      </c>
      <c r="F453" s="34" t="inlineStr">
        <is>
          <t>No individual professional decision recorded; Source assignment -- not individually reviewed</t>
        </is>
      </c>
      <c r="G453" s="34" t="inlineStr">
        <is>
          <t>Not individually decided</t>
        </is>
      </c>
      <c r="H453" s="34" t="inlineStr">
        <is>
          <t xml:space="preserve">APPROVED / ONE_TO_ONE; </t>
        </is>
      </c>
      <c r="I453" s="34" t="inlineStr">
        <is>
          <t>New</t>
        </is>
      </c>
      <c r="J453" s="92" t="inlineStr">
        <is>
          <t>08 CROSSWALK</t>
        </is>
      </c>
    </row>
    <row r="454" ht="49" customHeight="1">
      <c r="A454" s="34" t="inlineStr">
        <is>
          <t>R207-v1</t>
        </is>
      </c>
      <c r="B454" s="34" t="inlineStr">
        <is>
          <t>Contractor Programme / SCH-02-027</t>
        </is>
      </c>
      <c r="C454" s="34" t="inlineStr">
        <is>
          <t>WBS Code = 1.2.2</t>
        </is>
      </c>
      <c r="D454" s="34" t="inlineStr">
        <is>
          <t>Proposed by Source assignment; target 1.2.2 Stations - Architectural Fit-Out</t>
        </is>
      </c>
      <c r="E454" s="34" t="inlineStr">
        <is>
          <t>None recorded</t>
        </is>
      </c>
      <c r="F454" s="34" t="inlineStr">
        <is>
          <t>No individual professional decision recorded; Source assignment -- not individually reviewed</t>
        </is>
      </c>
      <c r="G454" s="34" t="inlineStr">
        <is>
          <t>Not individually decided</t>
        </is>
      </c>
      <c r="H454" s="34" t="inlineStr">
        <is>
          <t xml:space="preserve">APPROVED / ONE_TO_ONE; </t>
        </is>
      </c>
      <c r="I454" s="34" t="inlineStr">
        <is>
          <t>New</t>
        </is>
      </c>
      <c r="J454" s="92" t="inlineStr">
        <is>
          <t>08 CROSSWALK</t>
        </is>
      </c>
    </row>
    <row r="455" ht="49" customHeight="1">
      <c r="A455" s="34" t="inlineStr">
        <is>
          <t>R210-v1</t>
        </is>
      </c>
      <c r="B455" s="34" t="inlineStr">
        <is>
          <t>Contractor Programme / SCH-02-030</t>
        </is>
      </c>
      <c r="C455" s="34" t="inlineStr">
        <is>
          <t>WBS Code = 1.2.2</t>
        </is>
      </c>
      <c r="D455" s="34" t="inlineStr">
        <is>
          <t>Proposed by Source assignment; target 1.2.2 Stations - Architectural Fit-Out</t>
        </is>
      </c>
      <c r="E455" s="34" t="inlineStr">
        <is>
          <t>None recorded</t>
        </is>
      </c>
      <c r="F455" s="34" t="inlineStr">
        <is>
          <t>No individual professional decision recorded; Source assignment -- not individually reviewed</t>
        </is>
      </c>
      <c r="G455" s="34" t="inlineStr">
        <is>
          <t>Not individually decided</t>
        </is>
      </c>
      <c r="H455" s="34" t="inlineStr">
        <is>
          <t xml:space="preserve">APPROVED / ONE_TO_ONE; </t>
        </is>
      </c>
      <c r="I455" s="34" t="inlineStr">
        <is>
          <t>New</t>
        </is>
      </c>
      <c r="J455" s="92" t="inlineStr">
        <is>
          <t>08 CROSSWALK</t>
        </is>
      </c>
    </row>
    <row r="456" ht="49" customHeight="1">
      <c r="A456" s="34" t="inlineStr">
        <is>
          <t>R213-v1</t>
        </is>
      </c>
      <c r="B456" s="34" t="inlineStr">
        <is>
          <t>Contractor Programme / SCH-02-033</t>
        </is>
      </c>
      <c r="C456" s="34" t="inlineStr">
        <is>
          <t>WBS Code = 1.2.2</t>
        </is>
      </c>
      <c r="D456" s="34" t="inlineStr">
        <is>
          <t>Proposed by Source assignment; target 1.2.2 Stations - Architectural Fit-Out</t>
        </is>
      </c>
      <c r="E456" s="34" t="inlineStr">
        <is>
          <t>None recorded</t>
        </is>
      </c>
      <c r="F456" s="34" t="inlineStr">
        <is>
          <t>No individual professional decision recorded; Source assignment -- not individually reviewed</t>
        </is>
      </c>
      <c r="G456" s="34" t="inlineStr">
        <is>
          <t>Not individually decided</t>
        </is>
      </c>
      <c r="H456" s="34" t="inlineStr">
        <is>
          <t xml:space="preserve">APPROVED / ONE_TO_ONE; </t>
        </is>
      </c>
      <c r="I456" s="34" t="inlineStr">
        <is>
          <t>New</t>
        </is>
      </c>
      <c r="J456" s="92" t="inlineStr">
        <is>
          <t>08 CROSSWALK</t>
        </is>
      </c>
    </row>
    <row r="457" ht="49" customHeight="1">
      <c r="A457" s="34" t="inlineStr">
        <is>
          <t>R216-v1</t>
        </is>
      </c>
      <c r="B457" s="34" t="inlineStr">
        <is>
          <t>Contractor Programme / SCH-02-036</t>
        </is>
      </c>
      <c r="C457" s="34" t="inlineStr">
        <is>
          <t>WBS Code = 1.2.2</t>
        </is>
      </c>
      <c r="D457" s="34" t="inlineStr">
        <is>
          <t>Proposed by Source assignment; target 1.2.2 Stations - Architectural Fit-Out</t>
        </is>
      </c>
      <c r="E457" s="34" t="inlineStr">
        <is>
          <t>None recorded</t>
        </is>
      </c>
      <c r="F457" s="34" t="inlineStr">
        <is>
          <t>No individual professional decision recorded; Source assignment -- not individually reviewed</t>
        </is>
      </c>
      <c r="G457" s="34" t="inlineStr">
        <is>
          <t>Not individually decided</t>
        </is>
      </c>
      <c r="H457" s="34" t="inlineStr">
        <is>
          <t xml:space="preserve">APPROVED / ONE_TO_ONE; </t>
        </is>
      </c>
      <c r="I457" s="34" t="inlineStr">
        <is>
          <t>New</t>
        </is>
      </c>
      <c r="J457" s="92" t="inlineStr">
        <is>
          <t>08 CROSSWALK</t>
        </is>
      </c>
    </row>
    <row r="458" ht="49" customHeight="1">
      <c r="A458" s="34" t="inlineStr">
        <is>
          <t>R219-v1</t>
        </is>
      </c>
      <c r="B458" s="34" t="inlineStr">
        <is>
          <t>Contractor Programme / SCH-02-039</t>
        </is>
      </c>
      <c r="C458" s="34" t="inlineStr">
        <is>
          <t>WBS Code = 1.2.2</t>
        </is>
      </c>
      <c r="D458" s="34" t="inlineStr">
        <is>
          <t>Proposed by Source assignment; target 1.2.2 Stations - Architectural Fit-Out</t>
        </is>
      </c>
      <c r="E458" s="34" t="inlineStr">
        <is>
          <t>None recorded</t>
        </is>
      </c>
      <c r="F458" s="34" t="inlineStr">
        <is>
          <t>No individual professional decision recorded; Source assignment -- not individually reviewed</t>
        </is>
      </c>
      <c r="G458" s="34" t="inlineStr">
        <is>
          <t>Not individually decided</t>
        </is>
      </c>
      <c r="H458" s="34" t="inlineStr">
        <is>
          <t xml:space="preserve">APPROVED / ONE_TO_ONE; </t>
        </is>
      </c>
      <c r="I458" s="34" t="inlineStr">
        <is>
          <t>New</t>
        </is>
      </c>
      <c r="J458" s="92" t="inlineStr">
        <is>
          <t>08 CROSSWALK</t>
        </is>
      </c>
    </row>
    <row r="459" ht="49" customHeight="1">
      <c r="A459" s="34" t="inlineStr">
        <is>
          <t>R222-v1</t>
        </is>
      </c>
      <c r="B459" s="34" t="inlineStr">
        <is>
          <t>Contractor Programme / SCH-02-042</t>
        </is>
      </c>
      <c r="C459" s="34" t="inlineStr">
        <is>
          <t>WBS Code = 1.2.2</t>
        </is>
      </c>
      <c r="D459" s="34" t="inlineStr">
        <is>
          <t>Proposed by Source assignment; target 1.2.2 Stations - Architectural Fit-Out</t>
        </is>
      </c>
      <c r="E459" s="34" t="inlineStr">
        <is>
          <t>None recorded</t>
        </is>
      </c>
      <c r="F459" s="34" t="inlineStr">
        <is>
          <t>No individual professional decision recorded; Source assignment -- not individually reviewed</t>
        </is>
      </c>
      <c r="G459" s="34" t="inlineStr">
        <is>
          <t>Not individually decided</t>
        </is>
      </c>
      <c r="H459" s="34" t="inlineStr">
        <is>
          <t xml:space="preserve">APPROVED / ONE_TO_ONE; </t>
        </is>
      </c>
      <c r="I459" s="34" t="inlineStr">
        <is>
          <t>New</t>
        </is>
      </c>
      <c r="J459" s="92" t="inlineStr">
        <is>
          <t>08 CROSSWALK</t>
        </is>
      </c>
    </row>
    <row r="460" ht="49" customHeight="1">
      <c r="A460" s="34" t="inlineStr">
        <is>
          <t>R225-v1</t>
        </is>
      </c>
      <c r="B460" s="34" t="inlineStr">
        <is>
          <t>Contractor Programme / SCH-02-045</t>
        </is>
      </c>
      <c r="C460" s="34" t="inlineStr">
        <is>
          <t>WBS Code = 1.2.2</t>
        </is>
      </c>
      <c r="D460" s="34" t="inlineStr">
        <is>
          <t>Proposed by Source assignment; target 1.2.2 Stations - Architectural Fit-Out</t>
        </is>
      </c>
      <c r="E460" s="34" t="inlineStr">
        <is>
          <t>None recorded</t>
        </is>
      </c>
      <c r="F460" s="34" t="inlineStr">
        <is>
          <t>No individual professional decision recorded; Source assignment -- not individually reviewed</t>
        </is>
      </c>
      <c r="G460" s="34" t="inlineStr">
        <is>
          <t>Not individually decided</t>
        </is>
      </c>
      <c r="H460" s="34" t="inlineStr">
        <is>
          <t xml:space="preserve">APPROVED / ONE_TO_ONE; </t>
        </is>
      </c>
      <c r="I460" s="34" t="inlineStr">
        <is>
          <t>New</t>
        </is>
      </c>
      <c r="J460" s="92" t="inlineStr">
        <is>
          <t>08 CROSSWALK</t>
        </is>
      </c>
    </row>
    <row r="461" ht="49" customHeight="1">
      <c r="A461" s="34" t="inlineStr">
        <is>
          <t>R228-v1</t>
        </is>
      </c>
      <c r="B461" s="34" t="inlineStr">
        <is>
          <t>Contractor Programme / SCH-02-048</t>
        </is>
      </c>
      <c r="C461" s="34" t="inlineStr">
        <is>
          <t>WBS Code = 1.2.2</t>
        </is>
      </c>
      <c r="D461" s="34" t="inlineStr">
        <is>
          <t>Proposed by Source assignment; target 1.2.2 Stations - Architectural Fit-Out</t>
        </is>
      </c>
      <c r="E461" s="34" t="inlineStr">
        <is>
          <t>None recorded</t>
        </is>
      </c>
      <c r="F461" s="34" t="inlineStr">
        <is>
          <t>No individual professional decision recorded; Source assignment -- not individually reviewed</t>
        </is>
      </c>
      <c r="G461" s="34" t="inlineStr">
        <is>
          <t>Not individually decided</t>
        </is>
      </c>
      <c r="H461" s="34" t="inlineStr">
        <is>
          <t xml:space="preserve">APPROVED / ONE_TO_ONE; </t>
        </is>
      </c>
      <c r="I461" s="34" t="inlineStr">
        <is>
          <t>New</t>
        </is>
      </c>
      <c r="J461" s="92" t="inlineStr">
        <is>
          <t>08 CROSSWALK</t>
        </is>
      </c>
    </row>
    <row r="462" ht="49" customHeight="1">
      <c r="A462" s="34" t="inlineStr">
        <is>
          <t>R231-v1</t>
        </is>
      </c>
      <c r="B462" s="34" t="inlineStr">
        <is>
          <t>Contractor Programme / SCH-02-051</t>
        </is>
      </c>
      <c r="C462" s="34" t="inlineStr">
        <is>
          <t>WBS Code = 1.2.2</t>
        </is>
      </c>
      <c r="D462" s="34" t="inlineStr">
        <is>
          <t>Proposed by Source assignment; target 1.2.2 Stations - Architectural Fit-Out</t>
        </is>
      </c>
      <c r="E462" s="34" t="inlineStr">
        <is>
          <t>None recorded</t>
        </is>
      </c>
      <c r="F462" s="34" t="inlineStr">
        <is>
          <t>No individual professional decision recorded; Source assignment -- not individually reviewed</t>
        </is>
      </c>
      <c r="G462" s="34" t="inlineStr">
        <is>
          <t>Not individually decided</t>
        </is>
      </c>
      <c r="H462" s="34" t="inlineStr">
        <is>
          <t xml:space="preserve">APPROVED / ONE_TO_ONE; </t>
        </is>
      </c>
      <c r="I462" s="34" t="inlineStr">
        <is>
          <t>New</t>
        </is>
      </c>
      <c r="J462" s="92" t="inlineStr">
        <is>
          <t>08 CROSSWALK</t>
        </is>
      </c>
    </row>
    <row r="463" ht="49" customHeight="1">
      <c r="A463" s="34" t="inlineStr">
        <is>
          <t>R234-v1</t>
        </is>
      </c>
      <c r="B463" s="34" t="inlineStr">
        <is>
          <t>Contractor Programme / SCH-02-054</t>
        </is>
      </c>
      <c r="C463" s="34" t="inlineStr">
        <is>
          <t>WBS Code = 1.2.2</t>
        </is>
      </c>
      <c r="D463" s="34" t="inlineStr">
        <is>
          <t>Proposed by Source assignment; target 1.2.2 Stations - Architectural Fit-Out</t>
        </is>
      </c>
      <c r="E463" s="34" t="inlineStr">
        <is>
          <t>None recorded</t>
        </is>
      </c>
      <c r="F463" s="34" t="inlineStr">
        <is>
          <t>No individual professional decision recorded; Source assignment -- not individually reviewed</t>
        </is>
      </c>
      <c r="G463" s="34" t="inlineStr">
        <is>
          <t>Not individually decided</t>
        </is>
      </c>
      <c r="H463" s="34" t="inlineStr">
        <is>
          <t xml:space="preserve">APPROVED / ONE_TO_ONE; </t>
        </is>
      </c>
      <c r="I463" s="34" t="inlineStr">
        <is>
          <t>New</t>
        </is>
      </c>
      <c r="J463" s="92" t="inlineStr">
        <is>
          <t>08 CROSSWALK</t>
        </is>
      </c>
    </row>
    <row r="464" ht="49" customHeight="1">
      <c r="A464" s="34" t="inlineStr">
        <is>
          <t>R237-v1</t>
        </is>
      </c>
      <c r="B464" s="34" t="inlineStr">
        <is>
          <t>Contractor Programme / SCH-02-057</t>
        </is>
      </c>
      <c r="C464" s="34" t="inlineStr">
        <is>
          <t>WBS Code = 1.2.2</t>
        </is>
      </c>
      <c r="D464" s="34" t="inlineStr">
        <is>
          <t>Proposed by Source assignment; target 1.2.2 Stations - Architectural Fit-Out</t>
        </is>
      </c>
      <c r="E464" s="34" t="inlineStr">
        <is>
          <t>None recorded</t>
        </is>
      </c>
      <c r="F464" s="34" t="inlineStr">
        <is>
          <t>No individual professional decision recorded; Source assignment -- not individually reviewed</t>
        </is>
      </c>
      <c r="G464" s="34" t="inlineStr">
        <is>
          <t>Not individually decided</t>
        </is>
      </c>
      <c r="H464" s="34" t="inlineStr">
        <is>
          <t xml:space="preserve">APPROVED / ONE_TO_ONE; </t>
        </is>
      </c>
      <c r="I464" s="34" t="inlineStr">
        <is>
          <t>New</t>
        </is>
      </c>
      <c r="J464" s="92" t="inlineStr">
        <is>
          <t>08 CROSSWALK</t>
        </is>
      </c>
    </row>
    <row r="465" ht="49" customHeight="1">
      <c r="A465" s="34" t="inlineStr">
        <is>
          <t>R240-v1</t>
        </is>
      </c>
      <c r="B465" s="34" t="inlineStr">
        <is>
          <t>Contractor Programme / SCH-02-060</t>
        </is>
      </c>
      <c r="C465" s="34" t="inlineStr">
        <is>
          <t>WBS Code = 1.2.2</t>
        </is>
      </c>
      <c r="D465" s="34" t="inlineStr">
        <is>
          <t>Proposed by Source assignment; target 1.2.2 Stations - Architectural Fit-Out</t>
        </is>
      </c>
      <c r="E465" s="34" t="inlineStr">
        <is>
          <t>None recorded</t>
        </is>
      </c>
      <c r="F465" s="34" t="inlineStr">
        <is>
          <t>No individual professional decision recorded; Source assignment -- not individually reviewed</t>
        </is>
      </c>
      <c r="G465" s="34" t="inlineStr">
        <is>
          <t>Not individually decided</t>
        </is>
      </c>
      <c r="H465" s="34" t="inlineStr">
        <is>
          <t xml:space="preserve">APPROVED / ONE_TO_ONE; </t>
        </is>
      </c>
      <c r="I465" s="34" t="inlineStr">
        <is>
          <t>New</t>
        </is>
      </c>
      <c r="J465" s="92" t="inlineStr">
        <is>
          <t>08 CROSSWALK</t>
        </is>
      </c>
    </row>
    <row r="466" ht="49" customHeight="1">
      <c r="A466" s="34" t="inlineStr">
        <is>
          <t>R243-v1</t>
        </is>
      </c>
      <c r="B466" s="34" t="inlineStr">
        <is>
          <t>Contractor Programme / SCH-02-063</t>
        </is>
      </c>
      <c r="C466" s="34" t="inlineStr">
        <is>
          <t>WBS Code = 1.2.2</t>
        </is>
      </c>
      <c r="D466" s="34" t="inlineStr">
        <is>
          <t>Proposed by Source assignment; target 1.2.2 Stations - Architectural Fit-Out</t>
        </is>
      </c>
      <c r="E466" s="34" t="inlineStr">
        <is>
          <t>None recorded</t>
        </is>
      </c>
      <c r="F466" s="34" t="inlineStr">
        <is>
          <t>No individual professional decision recorded; Source assignment -- not individually reviewed</t>
        </is>
      </c>
      <c r="G466" s="34" t="inlineStr">
        <is>
          <t>Not individually decided</t>
        </is>
      </c>
      <c r="H466" s="34" t="inlineStr">
        <is>
          <t xml:space="preserve">APPROVED / ONE_TO_ONE; </t>
        </is>
      </c>
      <c r="I466" s="34" t="inlineStr">
        <is>
          <t>New</t>
        </is>
      </c>
      <c r="J466" s="92" t="inlineStr">
        <is>
          <t>08 CROSSWALK</t>
        </is>
      </c>
    </row>
    <row r="467" ht="49" customHeight="1">
      <c r="A467" s="34" t="inlineStr">
        <is>
          <t>R246-v1</t>
        </is>
      </c>
      <c r="B467" s="34" t="inlineStr">
        <is>
          <t>Contractor Programme / SCH-02-066</t>
        </is>
      </c>
      <c r="C467" s="34" t="inlineStr">
        <is>
          <t>WBS Code = 1.2.2</t>
        </is>
      </c>
      <c r="D467" s="34" t="inlineStr">
        <is>
          <t>Proposed by Source assignment; target 1.2.2 Stations - Architectural Fit-Out</t>
        </is>
      </c>
      <c r="E467" s="34" t="inlineStr">
        <is>
          <t>None recorded</t>
        </is>
      </c>
      <c r="F467" s="34" t="inlineStr">
        <is>
          <t>No individual professional decision recorded; Source assignment -- not individually reviewed</t>
        </is>
      </c>
      <c r="G467" s="34" t="inlineStr">
        <is>
          <t>Not individually decided</t>
        </is>
      </c>
      <c r="H467" s="34" t="inlineStr">
        <is>
          <t xml:space="preserve">APPROVED / ONE_TO_ONE; </t>
        </is>
      </c>
      <c r="I467" s="34" t="inlineStr">
        <is>
          <t>New</t>
        </is>
      </c>
      <c r="J467" s="92" t="inlineStr">
        <is>
          <t>08 CROSSWALK</t>
        </is>
      </c>
    </row>
    <row r="468" ht="49" customHeight="1">
      <c r="A468" s="34" t="inlineStr">
        <is>
          <t>R249-v1</t>
        </is>
      </c>
      <c r="B468" s="34" t="inlineStr">
        <is>
          <t>Contractor Programme / SCH-02-069</t>
        </is>
      </c>
      <c r="C468" s="34" t="inlineStr">
        <is>
          <t>WBS Code = 1.2.2</t>
        </is>
      </c>
      <c r="D468" s="34" t="inlineStr">
        <is>
          <t>Proposed by Source assignment; target 1.2.2 Stations - Architectural Fit-Out</t>
        </is>
      </c>
      <c r="E468" s="34" t="inlineStr">
        <is>
          <t>None recorded</t>
        </is>
      </c>
      <c r="F468" s="34" t="inlineStr">
        <is>
          <t>No individual professional decision recorded; Source assignment -- not individually reviewed</t>
        </is>
      </c>
      <c r="G468" s="34" t="inlineStr">
        <is>
          <t>Not individually decided</t>
        </is>
      </c>
      <c r="H468" s="34" t="inlineStr">
        <is>
          <t xml:space="preserve">APPROVED / ONE_TO_ONE; </t>
        </is>
      </c>
      <c r="I468" s="34" t="inlineStr">
        <is>
          <t>New</t>
        </is>
      </c>
      <c r="J468" s="92" t="inlineStr">
        <is>
          <t>08 CROSSWALK</t>
        </is>
      </c>
    </row>
    <row r="469" ht="49" customHeight="1">
      <c r="A469" s="34" t="inlineStr">
        <is>
          <t>R252-v1</t>
        </is>
      </c>
      <c r="B469" s="34" t="inlineStr">
        <is>
          <t>Contractor Programme / SCH-02-072</t>
        </is>
      </c>
      <c r="C469" s="34" t="inlineStr">
        <is>
          <t>WBS Code = 1.2.2</t>
        </is>
      </c>
      <c r="D469" s="34" t="inlineStr">
        <is>
          <t>Proposed by Source assignment; target 1.2.2 Stations - Architectural Fit-Out</t>
        </is>
      </c>
      <c r="E469" s="34" t="inlineStr">
        <is>
          <t>None recorded</t>
        </is>
      </c>
      <c r="F469" s="34" t="inlineStr">
        <is>
          <t>No individual professional decision recorded; Source assignment -- not individually reviewed</t>
        </is>
      </c>
      <c r="G469" s="34" t="inlineStr">
        <is>
          <t>Not individually decided</t>
        </is>
      </c>
      <c r="H469" s="34" t="inlineStr">
        <is>
          <t xml:space="preserve">APPROVED / ONE_TO_ONE; </t>
        </is>
      </c>
      <c r="I469" s="34" t="inlineStr">
        <is>
          <t>New</t>
        </is>
      </c>
      <c r="J469" s="92" t="inlineStr">
        <is>
          <t>08 CROSSWALK</t>
        </is>
      </c>
    </row>
    <row r="470" ht="49" customHeight="1">
      <c r="A470" s="34" t="inlineStr">
        <is>
          <t>R255-v1</t>
        </is>
      </c>
      <c r="B470" s="34" t="inlineStr">
        <is>
          <t>Contractor Programme / SCH-02-075</t>
        </is>
      </c>
      <c r="C470" s="34" t="inlineStr">
        <is>
          <t>WBS Code = 1.2.2</t>
        </is>
      </c>
      <c r="D470" s="34" t="inlineStr">
        <is>
          <t>Proposed by Source assignment; target 1.2.2 Stations - Architectural Fit-Out</t>
        </is>
      </c>
      <c r="E470" s="34" t="inlineStr">
        <is>
          <t>None recorded</t>
        </is>
      </c>
      <c r="F470" s="34" t="inlineStr">
        <is>
          <t>No individual professional decision recorded; Source assignment -- not individually reviewed</t>
        </is>
      </c>
      <c r="G470" s="34" t="inlineStr">
        <is>
          <t>Not individually decided</t>
        </is>
      </c>
      <c r="H470" s="34" t="inlineStr">
        <is>
          <t xml:space="preserve">APPROVED / ONE_TO_ONE; </t>
        </is>
      </c>
      <c r="I470" s="34" t="inlineStr">
        <is>
          <t>New</t>
        </is>
      </c>
      <c r="J470" s="92" t="inlineStr">
        <is>
          <t>08 CROSSWALK</t>
        </is>
      </c>
    </row>
    <row r="471" ht="49" customHeight="1">
      <c r="A471" s="34" t="inlineStr">
        <is>
          <t>R258-v1</t>
        </is>
      </c>
      <c r="B471" s="34" t="inlineStr">
        <is>
          <t>Contractor Programme / SCH-02-078</t>
        </is>
      </c>
      <c r="C471" s="34" t="inlineStr">
        <is>
          <t>WBS Code = 1.2.2</t>
        </is>
      </c>
      <c r="D471" s="34" t="inlineStr">
        <is>
          <t>Proposed by Source assignment; target 1.2.2 Stations - Architectural Fit-Out</t>
        </is>
      </c>
      <c r="E471" s="34" t="inlineStr">
        <is>
          <t>None recorded</t>
        </is>
      </c>
      <c r="F471" s="34" t="inlineStr">
        <is>
          <t>No individual professional decision recorded; Source assignment -- not individually reviewed</t>
        </is>
      </c>
      <c r="G471" s="34" t="inlineStr">
        <is>
          <t>Not individually decided</t>
        </is>
      </c>
      <c r="H471" s="34" t="inlineStr">
        <is>
          <t xml:space="preserve">APPROVED / ONE_TO_ONE; </t>
        </is>
      </c>
      <c r="I471" s="34" t="inlineStr">
        <is>
          <t>New</t>
        </is>
      </c>
      <c r="J471" s="92" t="inlineStr">
        <is>
          <t>08 CROSSWALK</t>
        </is>
      </c>
    </row>
    <row r="472" ht="49" customHeight="1">
      <c r="A472" s="34" t="inlineStr">
        <is>
          <t>R261-v1</t>
        </is>
      </c>
      <c r="B472" s="34" t="inlineStr">
        <is>
          <t>Contractor Programme / SCH-02-081</t>
        </is>
      </c>
      <c r="C472" s="34" t="inlineStr">
        <is>
          <t>WBS Code = 1.2.2</t>
        </is>
      </c>
      <c r="D472" s="34" t="inlineStr">
        <is>
          <t>Proposed by Source assignment; target 1.2.2 Stations - Architectural Fit-Out</t>
        </is>
      </c>
      <c r="E472" s="34" t="inlineStr">
        <is>
          <t>None recorded</t>
        </is>
      </c>
      <c r="F472" s="34" t="inlineStr">
        <is>
          <t>No individual professional decision recorded; Source assignment -- not individually reviewed</t>
        </is>
      </c>
      <c r="G472" s="34" t="inlineStr">
        <is>
          <t>Not individually decided</t>
        </is>
      </c>
      <c r="H472" s="34" t="inlineStr">
        <is>
          <t xml:space="preserve">APPROVED / ONE_TO_ONE; </t>
        </is>
      </c>
      <c r="I472" s="34" t="inlineStr">
        <is>
          <t>New</t>
        </is>
      </c>
      <c r="J472" s="92" t="inlineStr">
        <is>
          <t>08 CROSSWALK</t>
        </is>
      </c>
    </row>
    <row r="473" ht="49" customHeight="1">
      <c r="A473" s="34" t="inlineStr">
        <is>
          <t>R264-v1</t>
        </is>
      </c>
      <c r="B473" s="34" t="inlineStr">
        <is>
          <t>Contractor Programme / SCH-02-084</t>
        </is>
      </c>
      <c r="C473" s="34" t="inlineStr">
        <is>
          <t>WBS Code = 1.2.2</t>
        </is>
      </c>
      <c r="D473" s="34" t="inlineStr">
        <is>
          <t>Proposed by Source assignment; target 1.2.2 Stations - Architectural Fit-Out</t>
        </is>
      </c>
      <c r="E473" s="34" t="inlineStr">
        <is>
          <t>None recorded</t>
        </is>
      </c>
      <c r="F473" s="34" t="inlineStr">
        <is>
          <t>No individual professional decision recorded; Source assignment -- not individually reviewed</t>
        </is>
      </c>
      <c r="G473" s="34" t="inlineStr">
        <is>
          <t>Not individually decided</t>
        </is>
      </c>
      <c r="H473" s="34" t="inlineStr">
        <is>
          <t xml:space="preserve">APPROVED / ONE_TO_ONE; </t>
        </is>
      </c>
      <c r="I473" s="34" t="inlineStr">
        <is>
          <t>New</t>
        </is>
      </c>
      <c r="J473" s="92" t="inlineStr">
        <is>
          <t>08 CROSSWALK</t>
        </is>
      </c>
    </row>
    <row r="474" ht="49" customHeight="1">
      <c r="A474" s="34" t="inlineStr">
        <is>
          <t>R267-v1</t>
        </is>
      </c>
      <c r="B474" s="34" t="inlineStr">
        <is>
          <t>Contractor Programme / SCH-02-087</t>
        </is>
      </c>
      <c r="C474" s="34" t="inlineStr">
        <is>
          <t>WBS Code = 1.2.2</t>
        </is>
      </c>
      <c r="D474" s="34" t="inlineStr">
        <is>
          <t>Proposed by Source assignment; target 1.2.2 Stations - Architectural Fit-Out</t>
        </is>
      </c>
      <c r="E474" s="34" t="inlineStr">
        <is>
          <t>None recorded</t>
        </is>
      </c>
      <c r="F474" s="34" t="inlineStr">
        <is>
          <t>No individual professional decision recorded; Source assignment -- not individually reviewed</t>
        </is>
      </c>
      <c r="G474" s="34" t="inlineStr">
        <is>
          <t>Not individually decided</t>
        </is>
      </c>
      <c r="H474" s="34" t="inlineStr">
        <is>
          <t xml:space="preserve">APPROVED / ONE_TO_ONE; </t>
        </is>
      </c>
      <c r="I474" s="34" t="inlineStr">
        <is>
          <t>New</t>
        </is>
      </c>
      <c r="J474" s="92" t="inlineStr">
        <is>
          <t>08 CROSSWALK</t>
        </is>
      </c>
    </row>
    <row r="475" ht="49" customHeight="1">
      <c r="A475" s="34" t="inlineStr">
        <is>
          <t>R270-v1</t>
        </is>
      </c>
      <c r="B475" s="34" t="inlineStr">
        <is>
          <t>Contractor Programme / SCH-02-090</t>
        </is>
      </c>
      <c r="C475" s="34" t="inlineStr">
        <is>
          <t>WBS Code = 1.2.2</t>
        </is>
      </c>
      <c r="D475" s="34" t="inlineStr">
        <is>
          <t>Proposed by Source assignment; target 1.2.2 Stations - Architectural Fit-Out</t>
        </is>
      </c>
      <c r="E475" s="34" t="inlineStr">
        <is>
          <t>None recorded</t>
        </is>
      </c>
      <c r="F475" s="34" t="inlineStr">
        <is>
          <t>No individual professional decision recorded; Source assignment -- not individually reviewed</t>
        </is>
      </c>
      <c r="G475" s="34" t="inlineStr">
        <is>
          <t>Not individually decided</t>
        </is>
      </c>
      <c r="H475" s="34" t="inlineStr">
        <is>
          <t xml:space="preserve">APPROVED / ONE_TO_ONE; </t>
        </is>
      </c>
      <c r="I475" s="34" t="inlineStr">
        <is>
          <t>New</t>
        </is>
      </c>
      <c r="J475" s="92" t="inlineStr">
        <is>
          <t>08 CROSSWALK</t>
        </is>
      </c>
    </row>
    <row r="476" ht="49" customHeight="1">
      <c r="A476" s="34" t="inlineStr">
        <is>
          <t>R273-v1</t>
        </is>
      </c>
      <c r="B476" s="34" t="inlineStr">
        <is>
          <t>Contractor Programme / SCH-02-093</t>
        </is>
      </c>
      <c r="C476" s="34" t="inlineStr">
        <is>
          <t>WBS Code = 1.2.2</t>
        </is>
      </c>
      <c r="D476" s="34" t="inlineStr">
        <is>
          <t>Proposed by Source assignment; target 1.2.2 Stations - Architectural Fit-Out</t>
        </is>
      </c>
      <c r="E476" s="34" t="inlineStr">
        <is>
          <t>None recorded</t>
        </is>
      </c>
      <c r="F476" s="34" t="inlineStr">
        <is>
          <t>No individual professional decision recorded; Source assignment -- not individually reviewed</t>
        </is>
      </c>
      <c r="G476" s="34" t="inlineStr">
        <is>
          <t>Not individually decided</t>
        </is>
      </c>
      <c r="H476" s="34" t="inlineStr">
        <is>
          <t xml:space="preserve">APPROVED / ONE_TO_ONE; </t>
        </is>
      </c>
      <c r="I476" s="34" t="inlineStr">
        <is>
          <t>New</t>
        </is>
      </c>
      <c r="J476" s="92" t="inlineStr">
        <is>
          <t>08 CROSSWALK</t>
        </is>
      </c>
    </row>
    <row r="477" ht="49" customHeight="1">
      <c r="A477" s="34" t="inlineStr">
        <is>
          <t>R276-v1</t>
        </is>
      </c>
      <c r="B477" s="34" t="inlineStr">
        <is>
          <t>Contractor Programme / SCH-02-096</t>
        </is>
      </c>
      <c r="C477" s="34" t="inlineStr">
        <is>
          <t>WBS Code = 1.2.2</t>
        </is>
      </c>
      <c r="D477" s="34" t="inlineStr">
        <is>
          <t>Proposed by Source assignment; target 1.2.2 Stations - Architectural Fit-Out</t>
        </is>
      </c>
      <c r="E477" s="34" t="inlineStr">
        <is>
          <t>None recorded</t>
        </is>
      </c>
      <c r="F477" s="34" t="inlineStr">
        <is>
          <t>No individual professional decision recorded; Source assignment -- not individually reviewed</t>
        </is>
      </c>
      <c r="G477" s="34" t="inlineStr">
        <is>
          <t>Not individually decided</t>
        </is>
      </c>
      <c r="H477" s="34" t="inlineStr">
        <is>
          <t xml:space="preserve">APPROVED / ONE_TO_ONE; </t>
        </is>
      </c>
      <c r="I477" s="34" t="inlineStr">
        <is>
          <t>New</t>
        </is>
      </c>
      <c r="J477" s="92" t="inlineStr">
        <is>
          <t>08 CROSSWALK</t>
        </is>
      </c>
    </row>
    <row r="478" ht="49" customHeight="1">
      <c r="A478" s="34" t="inlineStr">
        <is>
          <t>R279-v1</t>
        </is>
      </c>
      <c r="B478" s="34" t="inlineStr">
        <is>
          <t>Contractor Programme / SCH-02-099</t>
        </is>
      </c>
      <c r="C478" s="34" t="inlineStr">
        <is>
          <t>WBS Code = 1.2.2</t>
        </is>
      </c>
      <c r="D478" s="34" t="inlineStr">
        <is>
          <t>Proposed by Source assignment; target 1.2.2 Stations - Architectural Fit-Out</t>
        </is>
      </c>
      <c r="E478" s="34" t="inlineStr">
        <is>
          <t>None recorded</t>
        </is>
      </c>
      <c r="F478" s="34" t="inlineStr">
        <is>
          <t>No individual professional decision recorded; Source assignment -- not individually reviewed</t>
        </is>
      </c>
      <c r="G478" s="34" t="inlineStr">
        <is>
          <t>Not individually decided</t>
        </is>
      </c>
      <c r="H478" s="34" t="inlineStr">
        <is>
          <t xml:space="preserve">APPROVED / ONE_TO_ONE; </t>
        </is>
      </c>
      <c r="I478" s="34" t="inlineStr">
        <is>
          <t>New</t>
        </is>
      </c>
      <c r="J478" s="92" t="inlineStr">
        <is>
          <t>08 CROSSWALK</t>
        </is>
      </c>
    </row>
    <row r="479" ht="49" customHeight="1">
      <c r="A479" s="34" t="inlineStr">
        <is>
          <t>R282-v1</t>
        </is>
      </c>
      <c r="B479" s="34" t="inlineStr">
        <is>
          <t>Contractor Programme / SCH-02-102</t>
        </is>
      </c>
      <c r="C479" s="34" t="inlineStr">
        <is>
          <t>WBS Code = 1.2.2</t>
        </is>
      </c>
      <c r="D479" s="34" t="inlineStr">
        <is>
          <t>Proposed by Source assignment; target 1.2.2 Stations - Architectural Fit-Out</t>
        </is>
      </c>
      <c r="E479" s="34" t="inlineStr">
        <is>
          <t>None recorded</t>
        </is>
      </c>
      <c r="F479" s="34" t="inlineStr">
        <is>
          <t>No individual professional decision recorded; Source assignment -- not individually reviewed</t>
        </is>
      </c>
      <c r="G479" s="34" t="inlineStr">
        <is>
          <t>Not individually decided</t>
        </is>
      </c>
      <c r="H479" s="34" t="inlineStr">
        <is>
          <t xml:space="preserve">APPROVED / ONE_TO_ONE; </t>
        </is>
      </c>
      <c r="I479" s="34" t="inlineStr">
        <is>
          <t>New</t>
        </is>
      </c>
      <c r="J479" s="92" t="inlineStr">
        <is>
          <t>08 CROSSWALK</t>
        </is>
      </c>
    </row>
    <row r="480" ht="49" customHeight="1">
      <c r="A480" s="34" t="inlineStr">
        <is>
          <t>R285-v1</t>
        </is>
      </c>
      <c r="B480" s="34" t="inlineStr">
        <is>
          <t>Contractor Programme / SCH-02-105</t>
        </is>
      </c>
      <c r="C480" s="34" t="inlineStr">
        <is>
          <t>WBS Code = 1.2.2</t>
        </is>
      </c>
      <c r="D480" s="34" t="inlineStr">
        <is>
          <t>Proposed by Source assignment; target 1.2.2 Stations - Architectural Fit-Out</t>
        </is>
      </c>
      <c r="E480" s="34" t="inlineStr">
        <is>
          <t>None recorded</t>
        </is>
      </c>
      <c r="F480" s="34" t="inlineStr">
        <is>
          <t>No individual professional decision recorded; Source assignment -- not individually reviewed</t>
        </is>
      </c>
      <c r="G480" s="34" t="inlineStr">
        <is>
          <t>Not individually decided</t>
        </is>
      </c>
      <c r="H480" s="34" t="inlineStr">
        <is>
          <t xml:space="preserve">APPROVED / ONE_TO_ONE; </t>
        </is>
      </c>
      <c r="I480" s="34" t="inlineStr">
        <is>
          <t>New</t>
        </is>
      </c>
      <c r="J480" s="92" t="inlineStr">
        <is>
          <t>08 CROSSWALK</t>
        </is>
      </c>
    </row>
    <row r="481" ht="49" customHeight="1">
      <c r="A481" s="34" t="inlineStr">
        <is>
          <t>R288-v1</t>
        </is>
      </c>
      <c r="B481" s="34" t="inlineStr">
        <is>
          <t>Contractor Programme / SCH-02-108</t>
        </is>
      </c>
      <c r="C481" s="34" t="inlineStr">
        <is>
          <t>WBS Code = 1.2.2</t>
        </is>
      </c>
      <c r="D481" s="34" t="inlineStr">
        <is>
          <t>Proposed by Source assignment; target 1.2.2 Stations - Architectural Fit-Out</t>
        </is>
      </c>
      <c r="E481" s="34" t="inlineStr">
        <is>
          <t>None recorded</t>
        </is>
      </c>
      <c r="F481" s="34" t="inlineStr">
        <is>
          <t>No individual professional decision recorded; Source assignment -- not individually reviewed</t>
        </is>
      </c>
      <c r="G481" s="34" t="inlineStr">
        <is>
          <t>Not individually decided</t>
        </is>
      </c>
      <c r="H481" s="34" t="inlineStr">
        <is>
          <t xml:space="preserve">APPROVED / ONE_TO_ONE; </t>
        </is>
      </c>
      <c r="I481" s="34" t="inlineStr">
        <is>
          <t>New</t>
        </is>
      </c>
      <c r="J481" s="92" t="inlineStr">
        <is>
          <t>08 CROSSWALK</t>
        </is>
      </c>
    </row>
    <row r="482" ht="49" customHeight="1">
      <c r="A482" s="34" t="inlineStr">
        <is>
          <t>R291-v1</t>
        </is>
      </c>
      <c r="B482" s="34" t="inlineStr">
        <is>
          <t>Contractor Programme / SCH-02-111</t>
        </is>
      </c>
      <c r="C482" s="34" t="inlineStr">
        <is>
          <t>WBS Code = 1.2.2</t>
        </is>
      </c>
      <c r="D482" s="34" t="inlineStr">
        <is>
          <t>Proposed by Source assignment; target 1.2.2 Stations - Architectural Fit-Out</t>
        </is>
      </c>
      <c r="E482" s="34" t="inlineStr">
        <is>
          <t>None recorded</t>
        </is>
      </c>
      <c r="F482" s="34" t="inlineStr">
        <is>
          <t>No individual professional decision recorded; Source assignment -- not individually reviewed</t>
        </is>
      </c>
      <c r="G482" s="34" t="inlineStr">
        <is>
          <t>Not individually decided</t>
        </is>
      </c>
      <c r="H482" s="34" t="inlineStr">
        <is>
          <t xml:space="preserve">APPROVED / ONE_TO_ONE; </t>
        </is>
      </c>
      <c r="I482" s="34" t="inlineStr">
        <is>
          <t>New</t>
        </is>
      </c>
      <c r="J482" s="92" t="inlineStr">
        <is>
          <t>08 CROSSWALK</t>
        </is>
      </c>
    </row>
    <row r="483" ht="49" customHeight="1">
      <c r="A483" s="34" t="inlineStr">
        <is>
          <t>R294-v1</t>
        </is>
      </c>
      <c r="B483" s="34" t="inlineStr">
        <is>
          <t>Contractor Programme / SCH-02-114</t>
        </is>
      </c>
      <c r="C483" s="34" t="inlineStr">
        <is>
          <t>WBS Code = 1.2.2</t>
        </is>
      </c>
      <c r="D483" s="34" t="inlineStr">
        <is>
          <t>Proposed by Source assignment; target 1.2.2 Stations - Architectural Fit-Out</t>
        </is>
      </c>
      <c r="E483" s="34" t="inlineStr">
        <is>
          <t>None recorded</t>
        </is>
      </c>
      <c r="F483" s="34" t="inlineStr">
        <is>
          <t>No individual professional decision recorded; Source assignment -- not individually reviewed</t>
        </is>
      </c>
      <c r="G483" s="34" t="inlineStr">
        <is>
          <t>Not individually decided</t>
        </is>
      </c>
      <c r="H483" s="34" t="inlineStr">
        <is>
          <t xml:space="preserve">APPROVED / ONE_TO_ONE; </t>
        </is>
      </c>
      <c r="I483" s="34" t="inlineStr">
        <is>
          <t>New</t>
        </is>
      </c>
      <c r="J483" s="92" t="inlineStr">
        <is>
          <t>08 CROSSWALK</t>
        </is>
      </c>
    </row>
    <row r="484" ht="49" customHeight="1">
      <c r="A484" s="34" t="inlineStr">
        <is>
          <t>R297-v1</t>
        </is>
      </c>
      <c r="B484" s="34" t="inlineStr">
        <is>
          <t>Contractor Programme / SCH-02-117</t>
        </is>
      </c>
      <c r="C484" s="34" t="inlineStr">
        <is>
          <t>WBS Code = 1.2.2</t>
        </is>
      </c>
      <c r="D484" s="34" t="inlineStr">
        <is>
          <t>Proposed by Source assignment; target 1.2.2 Stations - Architectural Fit-Out</t>
        </is>
      </c>
      <c r="E484" s="34" t="inlineStr">
        <is>
          <t>None recorded</t>
        </is>
      </c>
      <c r="F484" s="34" t="inlineStr">
        <is>
          <t>No individual professional decision recorded; Source assignment -- not individually reviewed</t>
        </is>
      </c>
      <c r="G484" s="34" t="inlineStr">
        <is>
          <t>Not individually decided</t>
        </is>
      </c>
      <c r="H484" s="34" t="inlineStr">
        <is>
          <t xml:space="preserve">APPROVED / ONE_TO_ONE; </t>
        </is>
      </c>
      <c r="I484" s="34" t="inlineStr">
        <is>
          <t>New</t>
        </is>
      </c>
      <c r="J484" s="92" t="inlineStr">
        <is>
          <t>08 CROSSWALK</t>
        </is>
      </c>
    </row>
    <row r="485" ht="49" customHeight="1">
      <c r="A485" s="34" t="inlineStr">
        <is>
          <t>R300-v1</t>
        </is>
      </c>
      <c r="B485" s="34" t="inlineStr">
        <is>
          <t>Contractor Programme / SCH-02-120</t>
        </is>
      </c>
      <c r="C485" s="34" t="inlineStr">
        <is>
          <t>WBS Code = 1.2.2</t>
        </is>
      </c>
      <c r="D485" s="34" t="inlineStr">
        <is>
          <t>Proposed by Source assignment; target 1.2.2 Stations - Architectural Fit-Out</t>
        </is>
      </c>
      <c r="E485" s="34" t="inlineStr">
        <is>
          <t>None recorded</t>
        </is>
      </c>
      <c r="F485" s="34" t="inlineStr">
        <is>
          <t>No individual professional decision recorded; Source assignment -- not individually reviewed</t>
        </is>
      </c>
      <c r="G485" s="34" t="inlineStr">
        <is>
          <t>Not individually decided</t>
        </is>
      </c>
      <c r="H485" s="34" t="inlineStr">
        <is>
          <t xml:space="preserve">APPROVED / ONE_TO_ONE; </t>
        </is>
      </c>
      <c r="I485" s="34" t="inlineStr">
        <is>
          <t>New</t>
        </is>
      </c>
      <c r="J485" s="92" t="inlineStr">
        <is>
          <t>08 CROSSWALK</t>
        </is>
      </c>
    </row>
    <row r="486" ht="49" customHeight="1">
      <c r="A486" s="34" t="inlineStr">
        <is>
          <t>R303-v1</t>
        </is>
      </c>
      <c r="B486" s="34" t="inlineStr">
        <is>
          <t>Contractor Programme / SCH-02-123</t>
        </is>
      </c>
      <c r="C486" s="34" t="inlineStr">
        <is>
          <t>WBS Code = 1.2.2</t>
        </is>
      </c>
      <c r="D486" s="34" t="inlineStr">
        <is>
          <t>Proposed by Source assignment; target 1.2.2 Stations - Architectural Fit-Out</t>
        </is>
      </c>
      <c r="E486" s="34" t="inlineStr">
        <is>
          <t>None recorded</t>
        </is>
      </c>
      <c r="F486" s="34" t="inlineStr">
        <is>
          <t>No individual professional decision recorded; Source assignment -- not individually reviewed</t>
        </is>
      </c>
      <c r="G486" s="34" t="inlineStr">
        <is>
          <t>Not individually decided</t>
        </is>
      </c>
      <c r="H486" s="34" t="inlineStr">
        <is>
          <t xml:space="preserve">APPROVED / ONE_TO_ONE; </t>
        </is>
      </c>
      <c r="I486" s="34" t="inlineStr">
        <is>
          <t>New</t>
        </is>
      </c>
      <c r="J486" s="92" t="inlineStr">
        <is>
          <t>08 CROSSWALK</t>
        </is>
      </c>
    </row>
    <row r="487" ht="49" customHeight="1">
      <c r="A487" s="34" t="inlineStr">
        <is>
          <t>R306-v1</t>
        </is>
      </c>
      <c r="B487" s="34" t="inlineStr">
        <is>
          <t>Contractor Programme / SCH-02-126</t>
        </is>
      </c>
      <c r="C487" s="34" t="inlineStr">
        <is>
          <t>WBS Code = 1.2.2</t>
        </is>
      </c>
      <c r="D487" s="34" t="inlineStr">
        <is>
          <t>Proposed by Source assignment; target 1.2.2 Stations - Architectural Fit-Out</t>
        </is>
      </c>
      <c r="E487" s="34" t="inlineStr">
        <is>
          <t>None recorded</t>
        </is>
      </c>
      <c r="F487" s="34" t="inlineStr">
        <is>
          <t>No individual professional decision recorded; Source assignment -- not individually reviewed</t>
        </is>
      </c>
      <c r="G487" s="34" t="inlineStr">
        <is>
          <t>Not individually decided</t>
        </is>
      </c>
      <c r="H487" s="34" t="inlineStr">
        <is>
          <t xml:space="preserve">APPROVED / ONE_TO_ONE; </t>
        </is>
      </c>
      <c r="I487" s="34" t="inlineStr">
        <is>
          <t>New</t>
        </is>
      </c>
      <c r="J487" s="92" t="inlineStr">
        <is>
          <t>08 CROSSWALK</t>
        </is>
      </c>
    </row>
    <row r="488" ht="49" customHeight="1">
      <c r="A488" s="34" t="inlineStr">
        <is>
          <t>R309-v1</t>
        </is>
      </c>
      <c r="B488" s="34" t="inlineStr">
        <is>
          <t>Contractor Programme / SCH-02-129</t>
        </is>
      </c>
      <c r="C488" s="34" t="inlineStr">
        <is>
          <t>WBS Code = 1.2.2</t>
        </is>
      </c>
      <c r="D488" s="34" t="inlineStr">
        <is>
          <t>Proposed by Source assignment; target 1.2.2 Stations - Architectural Fit-Out</t>
        </is>
      </c>
      <c r="E488" s="34" t="inlineStr">
        <is>
          <t>None recorded</t>
        </is>
      </c>
      <c r="F488" s="34" t="inlineStr">
        <is>
          <t>No individual professional decision recorded; Source assignment -- not individually reviewed</t>
        </is>
      </c>
      <c r="G488" s="34" t="inlineStr">
        <is>
          <t>Not individually decided</t>
        </is>
      </c>
      <c r="H488" s="34" t="inlineStr">
        <is>
          <t xml:space="preserve">APPROVED / ONE_TO_ONE; </t>
        </is>
      </c>
      <c r="I488" s="34" t="inlineStr">
        <is>
          <t>New</t>
        </is>
      </c>
      <c r="J488" s="92" t="inlineStr">
        <is>
          <t>08 CROSSWALK</t>
        </is>
      </c>
    </row>
    <row r="489" ht="49" customHeight="1">
      <c r="A489" s="34" t="inlineStr">
        <is>
          <t>R312-v1</t>
        </is>
      </c>
      <c r="B489" s="34" t="inlineStr">
        <is>
          <t>Contractor Programme / SCH-02-132</t>
        </is>
      </c>
      <c r="C489" s="34" t="inlineStr">
        <is>
          <t>WBS Code = 1.2.2</t>
        </is>
      </c>
      <c r="D489" s="34" t="inlineStr">
        <is>
          <t>Proposed by Source assignment; target 1.2.2 Stations - Architectural Fit-Out</t>
        </is>
      </c>
      <c r="E489" s="34" t="inlineStr">
        <is>
          <t>None recorded</t>
        </is>
      </c>
      <c r="F489" s="34" t="inlineStr">
        <is>
          <t>No individual professional decision recorded; Source assignment -- not individually reviewed</t>
        </is>
      </c>
      <c r="G489" s="34" t="inlineStr">
        <is>
          <t>Not individually decided</t>
        </is>
      </c>
      <c r="H489" s="34" t="inlineStr">
        <is>
          <t xml:space="preserve">APPROVED / ONE_TO_ONE; </t>
        </is>
      </c>
      <c r="I489" s="34" t="inlineStr">
        <is>
          <t>New</t>
        </is>
      </c>
      <c r="J489" s="92" t="inlineStr">
        <is>
          <t>08 CROSSWALK</t>
        </is>
      </c>
    </row>
    <row r="490" ht="49" customHeight="1">
      <c r="A490" s="34" t="inlineStr">
        <is>
          <t>R315-v1</t>
        </is>
      </c>
      <c r="B490" s="34" t="inlineStr">
        <is>
          <t>Contractor Programme / SCH-02-135</t>
        </is>
      </c>
      <c r="C490" s="34" t="inlineStr">
        <is>
          <t>WBS Code = 1.2.2</t>
        </is>
      </c>
      <c r="D490" s="34" t="inlineStr">
        <is>
          <t>Proposed by Source assignment; target 1.2.2 Stations - Architectural Fit-Out</t>
        </is>
      </c>
      <c r="E490" s="34" t="inlineStr">
        <is>
          <t>None recorded</t>
        </is>
      </c>
      <c r="F490" s="34" t="inlineStr">
        <is>
          <t>No individual professional decision recorded; Source assignment -- not individually reviewed</t>
        </is>
      </c>
      <c r="G490" s="34" t="inlineStr">
        <is>
          <t>Not individually decided</t>
        </is>
      </c>
      <c r="H490" s="34" t="inlineStr">
        <is>
          <t xml:space="preserve">APPROVED / ONE_TO_ONE; </t>
        </is>
      </c>
      <c r="I490" s="34" t="inlineStr">
        <is>
          <t>New</t>
        </is>
      </c>
      <c r="J490" s="92" t="inlineStr">
        <is>
          <t>08 CROSSWALK</t>
        </is>
      </c>
    </row>
    <row r="491" ht="49" customHeight="1">
      <c r="A491" s="34" t="inlineStr">
        <is>
          <t>R318-v1</t>
        </is>
      </c>
      <c r="B491" s="34" t="inlineStr">
        <is>
          <t>Contractor Programme / SCH-02-138</t>
        </is>
      </c>
      <c r="C491" s="34" t="inlineStr">
        <is>
          <t>WBS Code = 1.2.2</t>
        </is>
      </c>
      <c r="D491" s="34" t="inlineStr">
        <is>
          <t>Proposed by Source assignment; target 1.2.2 Stations - Architectural Fit-Out</t>
        </is>
      </c>
      <c r="E491" s="34" t="inlineStr">
        <is>
          <t>None recorded</t>
        </is>
      </c>
      <c r="F491" s="34" t="inlineStr">
        <is>
          <t>No individual professional decision recorded; Source assignment -- not individually reviewed</t>
        </is>
      </c>
      <c r="G491" s="34" t="inlineStr">
        <is>
          <t>Not individually decided</t>
        </is>
      </c>
      <c r="H491" s="34" t="inlineStr">
        <is>
          <t xml:space="preserve">APPROVED / ONE_TO_ONE; </t>
        </is>
      </c>
      <c r="I491" s="34" t="inlineStr">
        <is>
          <t>New</t>
        </is>
      </c>
      <c r="J491" s="92" t="inlineStr">
        <is>
          <t>08 CROSSWALK</t>
        </is>
      </c>
    </row>
    <row r="492" ht="49" customHeight="1">
      <c r="A492" s="34" t="inlineStr">
        <is>
          <t>R321-v1</t>
        </is>
      </c>
      <c r="B492" s="34" t="inlineStr">
        <is>
          <t>Contractor Programme / SCH-02-141</t>
        </is>
      </c>
      <c r="C492" s="34" t="inlineStr">
        <is>
          <t>WBS Code = 1.2.2</t>
        </is>
      </c>
      <c r="D492" s="34" t="inlineStr">
        <is>
          <t>Proposed by Source assignment; target 1.2.2 Stations - Architectural Fit-Out</t>
        </is>
      </c>
      <c r="E492" s="34" t="inlineStr">
        <is>
          <t>None recorded</t>
        </is>
      </c>
      <c r="F492" s="34" t="inlineStr">
        <is>
          <t>No individual professional decision recorded; Source assignment -- not individually reviewed</t>
        </is>
      </c>
      <c r="G492" s="34" t="inlineStr">
        <is>
          <t>Not individually decided</t>
        </is>
      </c>
      <c r="H492" s="34" t="inlineStr">
        <is>
          <t xml:space="preserve">APPROVED / ONE_TO_ONE; </t>
        </is>
      </c>
      <c r="I492" s="34" t="inlineStr">
        <is>
          <t>New</t>
        </is>
      </c>
      <c r="J492" s="92" t="inlineStr">
        <is>
          <t>08 CROSSWALK</t>
        </is>
      </c>
    </row>
    <row r="493" ht="49" customHeight="1">
      <c r="A493" s="34" t="inlineStr">
        <is>
          <t>R324-v1</t>
        </is>
      </c>
      <c r="B493" s="34" t="inlineStr">
        <is>
          <t>Contractor Programme / SCH-02-144</t>
        </is>
      </c>
      <c r="C493" s="34" t="inlineStr">
        <is>
          <t>WBS Code = 1.2.2</t>
        </is>
      </c>
      <c r="D493" s="34" t="inlineStr">
        <is>
          <t>Proposed by Source assignment; target 1.2.2 Stations - Architectural Fit-Out</t>
        </is>
      </c>
      <c r="E493" s="34" t="inlineStr">
        <is>
          <t>None recorded</t>
        </is>
      </c>
      <c r="F493" s="34" t="inlineStr">
        <is>
          <t>No individual professional decision recorded; Source assignment -- not individually reviewed</t>
        </is>
      </c>
      <c r="G493" s="34" t="inlineStr">
        <is>
          <t>Not individually decided</t>
        </is>
      </c>
      <c r="H493" s="34" t="inlineStr">
        <is>
          <t xml:space="preserve">APPROVED / ONE_TO_ONE; </t>
        </is>
      </c>
      <c r="I493" s="34" t="inlineStr">
        <is>
          <t>New</t>
        </is>
      </c>
      <c r="J493" s="92" t="inlineStr">
        <is>
          <t>08 CROSSWALK</t>
        </is>
      </c>
    </row>
    <row r="494" ht="49" customHeight="1">
      <c r="A494" s="34" t="inlineStr">
        <is>
          <t>R327-v1</t>
        </is>
      </c>
      <c r="B494" s="34" t="inlineStr">
        <is>
          <t>Contractor Programme / SCH-02-147</t>
        </is>
      </c>
      <c r="C494" s="34" t="inlineStr">
        <is>
          <t>WBS Code = 1.2.2</t>
        </is>
      </c>
      <c r="D494" s="34" t="inlineStr">
        <is>
          <t>Proposed by Source assignment; target 1.2.2 Stations - Architectural Fit-Out</t>
        </is>
      </c>
      <c r="E494" s="34" t="inlineStr">
        <is>
          <t>None recorded</t>
        </is>
      </c>
      <c r="F494" s="34" t="inlineStr">
        <is>
          <t>No individual professional decision recorded; Source assignment -- not individually reviewed</t>
        </is>
      </c>
      <c r="G494" s="34" t="inlineStr">
        <is>
          <t>Not individually decided</t>
        </is>
      </c>
      <c r="H494" s="34" t="inlineStr">
        <is>
          <t xml:space="preserve">APPROVED / ONE_TO_ONE; </t>
        </is>
      </c>
      <c r="I494" s="34" t="inlineStr">
        <is>
          <t>New</t>
        </is>
      </c>
      <c r="J494" s="92" t="inlineStr">
        <is>
          <t>08 CROSSWALK</t>
        </is>
      </c>
    </row>
    <row r="495" ht="49" customHeight="1">
      <c r="A495" s="34" t="inlineStr">
        <is>
          <t>R330-v1</t>
        </is>
      </c>
      <c r="B495" s="34" t="inlineStr">
        <is>
          <t>Contractor Programme / SCH-02-150</t>
        </is>
      </c>
      <c r="C495" s="34" t="inlineStr">
        <is>
          <t>WBS Code = 1.2.2</t>
        </is>
      </c>
      <c r="D495" s="34" t="inlineStr">
        <is>
          <t>Proposed by Source assignment; target 1.2.2 Stations - Architectural Fit-Out</t>
        </is>
      </c>
      <c r="E495" s="34" t="inlineStr">
        <is>
          <t>None recorded</t>
        </is>
      </c>
      <c r="F495" s="34" t="inlineStr">
        <is>
          <t>No individual professional decision recorded; Source assignment -- not individually reviewed</t>
        </is>
      </c>
      <c r="G495" s="34" t="inlineStr">
        <is>
          <t>Not individually decided</t>
        </is>
      </c>
      <c r="H495" s="34" t="inlineStr">
        <is>
          <t xml:space="preserve">APPROVED / ONE_TO_ONE; </t>
        </is>
      </c>
      <c r="I495" s="34" t="inlineStr">
        <is>
          <t>New</t>
        </is>
      </c>
      <c r="J495" s="92" t="inlineStr">
        <is>
          <t>08 CROSSWALK</t>
        </is>
      </c>
    </row>
    <row r="496" ht="49" customHeight="1">
      <c r="A496" s="34" t="inlineStr">
        <is>
          <t>R333-v1</t>
        </is>
      </c>
      <c r="B496" s="34" t="inlineStr">
        <is>
          <t>Contractor Programme / SCH-02-153</t>
        </is>
      </c>
      <c r="C496" s="34" t="inlineStr">
        <is>
          <t>WBS Code = 1.2.2</t>
        </is>
      </c>
      <c r="D496" s="34" t="inlineStr">
        <is>
          <t>Proposed by Source assignment; target 1.2.2 Stations - Architectural Fit-Out</t>
        </is>
      </c>
      <c r="E496" s="34" t="inlineStr">
        <is>
          <t>None recorded</t>
        </is>
      </c>
      <c r="F496" s="34" t="inlineStr">
        <is>
          <t>No individual professional decision recorded; Source assignment -- not individually reviewed</t>
        </is>
      </c>
      <c r="G496" s="34" t="inlineStr">
        <is>
          <t>Not individually decided</t>
        </is>
      </c>
      <c r="H496" s="34" t="inlineStr">
        <is>
          <t xml:space="preserve">APPROVED / ONE_TO_ONE; </t>
        </is>
      </c>
      <c r="I496" s="34" t="inlineStr">
        <is>
          <t>New</t>
        </is>
      </c>
      <c r="J496" s="92" t="inlineStr">
        <is>
          <t>08 CROSSWALK</t>
        </is>
      </c>
    </row>
    <row r="497" ht="49" customHeight="1">
      <c r="A497" s="34" t="inlineStr">
        <is>
          <t>R336-v1</t>
        </is>
      </c>
      <c r="B497" s="34" t="inlineStr">
        <is>
          <t>Contractor Programme / SCH-02-156</t>
        </is>
      </c>
      <c r="C497" s="34" t="inlineStr">
        <is>
          <t>WBS Code = 1.2.2</t>
        </is>
      </c>
      <c r="D497" s="34" t="inlineStr">
        <is>
          <t>Proposed by Source assignment; target 1.2.2 Stations - Architectural Fit-Out</t>
        </is>
      </c>
      <c r="E497" s="34" t="inlineStr">
        <is>
          <t>None recorded</t>
        </is>
      </c>
      <c r="F497" s="34" t="inlineStr">
        <is>
          <t>No individual professional decision recorded; Source assignment -- not individually reviewed</t>
        </is>
      </c>
      <c r="G497" s="34" t="inlineStr">
        <is>
          <t>Not individually decided</t>
        </is>
      </c>
      <c r="H497" s="34" t="inlineStr">
        <is>
          <t xml:space="preserve">APPROVED / ONE_TO_ONE; </t>
        </is>
      </c>
      <c r="I497" s="34" t="inlineStr">
        <is>
          <t>New</t>
        </is>
      </c>
      <c r="J497" s="92" t="inlineStr">
        <is>
          <t>08 CROSSWALK</t>
        </is>
      </c>
    </row>
    <row r="498" ht="49" customHeight="1">
      <c r="A498" s="34" t="inlineStr">
        <is>
          <t>R339-v1</t>
        </is>
      </c>
      <c r="B498" s="34" t="inlineStr">
        <is>
          <t>Contractor Programme / SCH-02-159</t>
        </is>
      </c>
      <c r="C498" s="34" t="inlineStr">
        <is>
          <t>WBS Code = 1.2.2</t>
        </is>
      </c>
      <c r="D498" s="34" t="inlineStr">
        <is>
          <t>Proposed by Source assignment; target 1.2.2 Stations - Architectural Fit-Out</t>
        </is>
      </c>
      <c r="E498" s="34" t="inlineStr">
        <is>
          <t>None recorded</t>
        </is>
      </c>
      <c r="F498" s="34" t="inlineStr">
        <is>
          <t>No individual professional decision recorded; Source assignment -- not individually reviewed</t>
        </is>
      </c>
      <c r="G498" s="34" t="inlineStr">
        <is>
          <t>Not individually decided</t>
        </is>
      </c>
      <c r="H498" s="34" t="inlineStr">
        <is>
          <t xml:space="preserve">APPROVED / ONE_TO_ONE; </t>
        </is>
      </c>
      <c r="I498" s="34" t="inlineStr">
        <is>
          <t>New</t>
        </is>
      </c>
      <c r="J498" s="92" t="inlineStr">
        <is>
          <t>08 CROSSWALK</t>
        </is>
      </c>
    </row>
    <row r="499" ht="49" customHeight="1">
      <c r="A499" s="34" t="inlineStr">
        <is>
          <t>R342-v1</t>
        </is>
      </c>
      <c r="B499" s="34" t="inlineStr">
        <is>
          <t>Contractor Programme / SCH-02-162</t>
        </is>
      </c>
      <c r="C499" s="34" t="inlineStr">
        <is>
          <t>WBS Code = 1.2.2</t>
        </is>
      </c>
      <c r="D499" s="34" t="inlineStr">
        <is>
          <t>Proposed by Source assignment; target 1.2.2 Stations - Architectural Fit-Out</t>
        </is>
      </c>
      <c r="E499" s="34" t="inlineStr">
        <is>
          <t>None recorded</t>
        </is>
      </c>
      <c r="F499" s="34" t="inlineStr">
        <is>
          <t>No individual professional decision recorded; Source assignment -- not individually reviewed</t>
        </is>
      </c>
      <c r="G499" s="34" t="inlineStr">
        <is>
          <t>Not individually decided</t>
        </is>
      </c>
      <c r="H499" s="34" t="inlineStr">
        <is>
          <t xml:space="preserve">APPROVED / ONE_TO_ONE; </t>
        </is>
      </c>
      <c r="I499" s="34" t="inlineStr">
        <is>
          <t>New</t>
        </is>
      </c>
      <c r="J499" s="92" t="inlineStr">
        <is>
          <t>08 CROSSWALK</t>
        </is>
      </c>
    </row>
    <row r="500" ht="49" customHeight="1">
      <c r="A500" s="34" t="inlineStr">
        <is>
          <t>R345-v1</t>
        </is>
      </c>
      <c r="B500" s="34" t="inlineStr">
        <is>
          <t>Contractor Programme / SCH-02-165</t>
        </is>
      </c>
      <c r="C500" s="34" t="inlineStr">
        <is>
          <t>WBS Code = 1.2.2</t>
        </is>
      </c>
      <c r="D500" s="34" t="inlineStr">
        <is>
          <t>Proposed by Source assignment; target 1.2.2 Stations - Architectural Fit-Out</t>
        </is>
      </c>
      <c r="E500" s="34" t="inlineStr">
        <is>
          <t>None recorded</t>
        </is>
      </c>
      <c r="F500" s="34" t="inlineStr">
        <is>
          <t>No individual professional decision recorded; Source assignment -- not individually reviewed</t>
        </is>
      </c>
      <c r="G500" s="34" t="inlineStr">
        <is>
          <t>Not individually decided</t>
        </is>
      </c>
      <c r="H500" s="34" t="inlineStr">
        <is>
          <t xml:space="preserve">APPROVED / ONE_TO_ONE; </t>
        </is>
      </c>
      <c r="I500" s="34" t="inlineStr">
        <is>
          <t>New</t>
        </is>
      </c>
      <c r="J500" s="92" t="inlineStr">
        <is>
          <t>08 CROSSWALK</t>
        </is>
      </c>
    </row>
    <row r="501" ht="49" customHeight="1">
      <c r="A501" s="34" t="inlineStr">
        <is>
          <t>R348-v1</t>
        </is>
      </c>
      <c r="B501" s="34" t="inlineStr">
        <is>
          <t>Contractor Programme / SCH-02-168</t>
        </is>
      </c>
      <c r="C501" s="34" t="inlineStr">
        <is>
          <t>WBS Code = 1.2.2</t>
        </is>
      </c>
      <c r="D501" s="34" t="inlineStr">
        <is>
          <t>Proposed by Source assignment; target 1.2.2 Stations - Architectural Fit-Out</t>
        </is>
      </c>
      <c r="E501" s="34" t="inlineStr">
        <is>
          <t>None recorded</t>
        </is>
      </c>
      <c r="F501" s="34" t="inlineStr">
        <is>
          <t>No individual professional decision recorded; Source assignment -- not individually reviewed</t>
        </is>
      </c>
      <c r="G501" s="34" t="inlineStr">
        <is>
          <t>Not individually decided</t>
        </is>
      </c>
      <c r="H501" s="34" t="inlineStr">
        <is>
          <t xml:space="preserve">APPROVED / ONE_TO_ONE; </t>
        </is>
      </c>
      <c r="I501" s="34" t="inlineStr">
        <is>
          <t>New</t>
        </is>
      </c>
      <c r="J501" s="92" t="inlineStr">
        <is>
          <t>08 CROSSWALK</t>
        </is>
      </c>
    </row>
    <row r="502" ht="49" customHeight="1">
      <c r="A502" s="34" t="inlineStr">
        <is>
          <t>R351-v1</t>
        </is>
      </c>
      <c r="B502" s="34" t="inlineStr">
        <is>
          <t>Contractor Programme / SCH-02-171</t>
        </is>
      </c>
      <c r="C502" s="34" t="inlineStr">
        <is>
          <t>WBS Code = 1.2.2</t>
        </is>
      </c>
      <c r="D502" s="34" t="inlineStr">
        <is>
          <t>Proposed by Source assignment; target 1.2.2 Stations - Architectural Fit-Out</t>
        </is>
      </c>
      <c r="E502" s="34" t="inlineStr">
        <is>
          <t>None recorded</t>
        </is>
      </c>
      <c r="F502" s="34" t="inlineStr">
        <is>
          <t>No individual professional decision recorded; Source assignment -- not individually reviewed</t>
        </is>
      </c>
      <c r="G502" s="34" t="inlineStr">
        <is>
          <t>Not individually decided</t>
        </is>
      </c>
      <c r="H502" s="34" t="inlineStr">
        <is>
          <t xml:space="preserve">APPROVED / ONE_TO_ONE; </t>
        </is>
      </c>
      <c r="I502" s="34" t="inlineStr">
        <is>
          <t>New</t>
        </is>
      </c>
      <c r="J502" s="92" t="inlineStr">
        <is>
          <t>08 CROSSWALK</t>
        </is>
      </c>
    </row>
    <row r="503" ht="49" customHeight="1">
      <c r="A503" s="34" t="inlineStr">
        <is>
          <t>R354-v1</t>
        </is>
      </c>
      <c r="B503" s="34" t="inlineStr">
        <is>
          <t>Contractor Programme / SCH-02-174</t>
        </is>
      </c>
      <c r="C503" s="34" t="inlineStr">
        <is>
          <t>WBS Code = 1.2.2</t>
        </is>
      </c>
      <c r="D503" s="34" t="inlineStr">
        <is>
          <t>Proposed by Source assignment; target 1.2.2 Stations - Architectural Fit-Out</t>
        </is>
      </c>
      <c r="E503" s="34" t="inlineStr">
        <is>
          <t>None recorded</t>
        </is>
      </c>
      <c r="F503" s="34" t="inlineStr">
        <is>
          <t>No individual professional decision recorded; Source assignment -- not individually reviewed</t>
        </is>
      </c>
      <c r="G503" s="34" t="inlineStr">
        <is>
          <t>Not individually decided</t>
        </is>
      </c>
      <c r="H503" s="34" t="inlineStr">
        <is>
          <t xml:space="preserve">APPROVED / ONE_TO_ONE; </t>
        </is>
      </c>
      <c r="I503" s="34" t="inlineStr">
        <is>
          <t>New</t>
        </is>
      </c>
      <c r="J503" s="92" t="inlineStr">
        <is>
          <t>08 CROSSWALK</t>
        </is>
      </c>
    </row>
    <row r="504" ht="49" customHeight="1">
      <c r="A504" s="34" t="inlineStr">
        <is>
          <t>R357-v1</t>
        </is>
      </c>
      <c r="B504" s="34" t="inlineStr">
        <is>
          <t>Contractor Programme / SCH-02-177</t>
        </is>
      </c>
      <c r="C504" s="34" t="inlineStr">
        <is>
          <t>WBS Code = 1.2.2</t>
        </is>
      </c>
      <c r="D504" s="34" t="inlineStr">
        <is>
          <t>Proposed by Source assignment; target 1.2.2 Stations - Architectural Fit-Out</t>
        </is>
      </c>
      <c r="E504" s="34" t="inlineStr">
        <is>
          <t>None recorded</t>
        </is>
      </c>
      <c r="F504" s="34" t="inlineStr">
        <is>
          <t>No individual professional decision recorded; Source assignment -- not individually reviewed</t>
        </is>
      </c>
      <c r="G504" s="34" t="inlineStr">
        <is>
          <t>Not individually decided</t>
        </is>
      </c>
      <c r="H504" s="34" t="inlineStr">
        <is>
          <t xml:space="preserve">APPROVED / ONE_TO_ONE; </t>
        </is>
      </c>
      <c r="I504" s="34" t="inlineStr">
        <is>
          <t>New</t>
        </is>
      </c>
      <c r="J504" s="92" t="inlineStr">
        <is>
          <t>08 CROSSWALK</t>
        </is>
      </c>
    </row>
    <row r="505" ht="49" customHeight="1">
      <c r="A505" s="34" t="inlineStr">
        <is>
          <t>R360-v1</t>
        </is>
      </c>
      <c r="B505" s="34" t="inlineStr">
        <is>
          <t>Contractor Programme / SCH-02-180</t>
        </is>
      </c>
      <c r="C505" s="34" t="inlineStr">
        <is>
          <t>WBS Code = 1.2.2</t>
        </is>
      </c>
      <c r="D505" s="34" t="inlineStr">
        <is>
          <t>Proposed by Source assignment; target 1.2.2 Stations - Architectural Fit-Out</t>
        </is>
      </c>
      <c r="E505" s="34" t="inlineStr">
        <is>
          <t>None recorded</t>
        </is>
      </c>
      <c r="F505" s="34" t="inlineStr">
        <is>
          <t>No individual professional decision recorded; Source assignment -- not individually reviewed</t>
        </is>
      </c>
      <c r="G505" s="34" t="inlineStr">
        <is>
          <t>Not individually decided</t>
        </is>
      </c>
      <c r="H505" s="34" t="inlineStr">
        <is>
          <t xml:space="preserve">APPROVED / ONE_TO_ONE; </t>
        </is>
      </c>
      <c r="I505" s="34" t="inlineStr">
        <is>
          <t>New</t>
        </is>
      </c>
      <c r="J505" s="92" t="inlineStr">
        <is>
          <t>08 CROSSWALK</t>
        </is>
      </c>
    </row>
    <row r="506" ht="49" customHeight="1">
      <c r="A506" s="34" t="inlineStr">
        <is>
          <t>R1164-v1</t>
        </is>
      </c>
      <c r="B506" s="34" t="inlineStr">
        <is>
          <t>Cost &amp; Forecast Control Accounts / CST-02-002</t>
        </is>
      </c>
      <c r="C506" s="34" t="inlineStr">
        <is>
          <t>Cost Account = CA-2002; WBS Code = 1.2.2</t>
        </is>
      </c>
      <c r="D506" s="34" t="inlineStr">
        <is>
          <t>Proposed by Source assignment; target 1.2.2 Stations - Architectural Fit-Out</t>
        </is>
      </c>
      <c r="E506" s="34" t="inlineStr">
        <is>
          <t>None recorded</t>
        </is>
      </c>
      <c r="F506" s="34" t="inlineStr">
        <is>
          <t>No individual professional decision recorded; Source assignment -- not individually reviewed</t>
        </is>
      </c>
      <c r="G506" s="34" t="inlineStr">
        <is>
          <t>Not individually decided</t>
        </is>
      </c>
      <c r="H506" s="34" t="inlineStr">
        <is>
          <t xml:space="preserve">APPROVED / ONE_TO_ONE; </t>
        </is>
      </c>
      <c r="I506" s="34" t="inlineStr">
        <is>
          <t>New</t>
        </is>
      </c>
      <c r="J506" s="92" t="inlineStr">
        <is>
          <t>08 CROSSWALK</t>
        </is>
      </c>
    </row>
    <row r="507" ht="49" customHeight="1">
      <c r="A507" s="34" t="inlineStr">
        <is>
          <t>R1166-v1</t>
        </is>
      </c>
      <c r="B507" s="34" t="inlineStr">
        <is>
          <t>Cost &amp; Forecast Control Accounts / CST-02-004</t>
        </is>
      </c>
      <c r="C507" s="34" t="inlineStr">
        <is>
          <t>Cost Account = CA-2004; WBS Code = 1.2.2</t>
        </is>
      </c>
      <c r="D507" s="34" t="inlineStr">
        <is>
          <t>Proposed by Source assignment; target 1.2.2 Stations - Architectural Fit-Out</t>
        </is>
      </c>
      <c r="E507" s="34" t="inlineStr">
        <is>
          <t>None recorded</t>
        </is>
      </c>
      <c r="F507" s="34" t="inlineStr">
        <is>
          <t>No individual professional decision recorded; Source assignment -- not individually reviewed</t>
        </is>
      </c>
      <c r="G507" s="34" t="inlineStr">
        <is>
          <t>Not individually decided</t>
        </is>
      </c>
      <c r="H507" s="34" t="inlineStr">
        <is>
          <t xml:space="preserve">APPROVED / ONE_TO_ONE; </t>
        </is>
      </c>
      <c r="I507" s="34" t="inlineStr">
        <is>
          <t>New</t>
        </is>
      </c>
      <c r="J507" s="92" t="inlineStr">
        <is>
          <t>08 CROSSWALK</t>
        </is>
      </c>
    </row>
    <row r="508" ht="49" customHeight="1">
      <c r="A508" s="34" t="inlineStr">
        <is>
          <t>R1168-v1</t>
        </is>
      </c>
      <c r="B508" s="34" t="inlineStr">
        <is>
          <t>Cost &amp; Forecast Control Accounts / CST-02-006</t>
        </is>
      </c>
      <c r="C508" s="34" t="inlineStr">
        <is>
          <t>Cost Account = CA-2006; WBS Code = 1.2.2</t>
        </is>
      </c>
      <c r="D508" s="34" t="inlineStr">
        <is>
          <t>Proposed by Source assignment; target 1.2.2 Stations - Architectural Fit-Out</t>
        </is>
      </c>
      <c r="E508" s="34" t="inlineStr">
        <is>
          <t>None recorded</t>
        </is>
      </c>
      <c r="F508" s="34" t="inlineStr">
        <is>
          <t>No individual professional decision recorded; Source assignment -- not individually reviewed</t>
        </is>
      </c>
      <c r="G508" s="34" t="inlineStr">
        <is>
          <t>Not individually decided</t>
        </is>
      </c>
      <c r="H508" s="34" t="inlineStr">
        <is>
          <t xml:space="preserve">APPROVED / ONE_TO_ONE; </t>
        </is>
      </c>
      <c r="I508" s="34" t="inlineStr">
        <is>
          <t>New</t>
        </is>
      </c>
      <c r="J508" s="92" t="inlineStr">
        <is>
          <t>08 CROSSWALK</t>
        </is>
      </c>
    </row>
    <row r="509" ht="49" customHeight="1">
      <c r="A509" s="34" t="inlineStr">
        <is>
          <t>R1170-v1</t>
        </is>
      </c>
      <c r="B509" s="34" t="inlineStr">
        <is>
          <t>Cost &amp; Forecast Control Accounts / CST-02-008</t>
        </is>
      </c>
      <c r="C509" s="34" t="inlineStr">
        <is>
          <t>Cost Account = CA-2008; WBS Code = 1.2.2</t>
        </is>
      </c>
      <c r="D509" s="34" t="inlineStr">
        <is>
          <t>Proposed by Source assignment; target 1.2.2 Stations - Architectural Fit-Out</t>
        </is>
      </c>
      <c r="E509" s="34" t="inlineStr">
        <is>
          <t>None recorded</t>
        </is>
      </c>
      <c r="F509" s="34" t="inlineStr">
        <is>
          <t>No individual professional decision recorded; Source assignment -- not individually reviewed</t>
        </is>
      </c>
      <c r="G509" s="34" t="inlineStr">
        <is>
          <t>Not individually decided</t>
        </is>
      </c>
      <c r="H509" s="34" t="inlineStr">
        <is>
          <t xml:space="preserve">APPROVED / ONE_TO_ONE; </t>
        </is>
      </c>
      <c r="I509" s="34" t="inlineStr">
        <is>
          <t>New</t>
        </is>
      </c>
      <c r="J509" s="92" t="inlineStr">
        <is>
          <t>08 CROSSWALK</t>
        </is>
      </c>
    </row>
    <row r="510" ht="49" customHeight="1">
      <c r="A510" s="34" t="inlineStr">
        <is>
          <t>R1172-v1</t>
        </is>
      </c>
      <c r="B510" s="34" t="inlineStr">
        <is>
          <t>Cost &amp; Forecast Control Accounts / CST-02-010</t>
        </is>
      </c>
      <c r="C510" s="34" t="inlineStr">
        <is>
          <t>Cost Account = CA-2010; WBS Code = 1.2.2</t>
        </is>
      </c>
      <c r="D510" s="34" t="inlineStr">
        <is>
          <t>Proposed by Source assignment; target 1.2.2 Stations - Architectural Fit-Out</t>
        </is>
      </c>
      <c r="E510" s="34" t="inlineStr">
        <is>
          <t>None recorded</t>
        </is>
      </c>
      <c r="F510" s="34" t="inlineStr">
        <is>
          <t>No individual professional decision recorded; Source assignment -- not individually reviewed</t>
        </is>
      </c>
      <c r="G510" s="34" t="inlineStr">
        <is>
          <t>Not individually decided</t>
        </is>
      </c>
      <c r="H510" s="34" t="inlineStr">
        <is>
          <t xml:space="preserve">APPROVED / ONE_TO_ONE; </t>
        </is>
      </c>
      <c r="I510" s="34" t="inlineStr">
        <is>
          <t>New</t>
        </is>
      </c>
      <c r="J510" s="92" t="inlineStr">
        <is>
          <t>08 CROSSWALK</t>
        </is>
      </c>
    </row>
    <row r="511" ht="49" customHeight="1">
      <c r="A511" s="34" t="inlineStr">
        <is>
          <t>R1174-v1</t>
        </is>
      </c>
      <c r="B511" s="34" t="inlineStr">
        <is>
          <t>Cost &amp; Forecast Control Accounts / CST-02-012</t>
        </is>
      </c>
      <c r="C511" s="34" t="inlineStr">
        <is>
          <t>Cost Account = CA-2012; WBS Code = 1.2.2</t>
        </is>
      </c>
      <c r="D511" s="34" t="inlineStr">
        <is>
          <t>Proposed by Source assignment; target 1.2.2 Stations - Architectural Fit-Out</t>
        </is>
      </c>
      <c r="E511" s="34" t="inlineStr">
        <is>
          <t>None recorded</t>
        </is>
      </c>
      <c r="F511" s="34" t="inlineStr">
        <is>
          <t>No individual professional decision recorded; Source assignment -- not individually reviewed</t>
        </is>
      </c>
      <c r="G511" s="34" t="inlineStr">
        <is>
          <t>Not individually decided</t>
        </is>
      </c>
      <c r="H511" s="34" t="inlineStr">
        <is>
          <t xml:space="preserve">APPROVED / ONE_TO_ONE; </t>
        </is>
      </c>
      <c r="I511" s="34" t="inlineStr">
        <is>
          <t>New</t>
        </is>
      </c>
      <c r="J511" s="92" t="inlineStr">
        <is>
          <t>08 CROSSWALK</t>
        </is>
      </c>
    </row>
    <row r="512" ht="49" customHeight="1">
      <c r="A512" s="34" t="inlineStr">
        <is>
          <t>R1176-v1</t>
        </is>
      </c>
      <c r="B512" s="34" t="inlineStr">
        <is>
          <t>Cost &amp; Forecast Control Accounts / CST-02-014</t>
        </is>
      </c>
      <c r="C512" s="34" t="inlineStr">
        <is>
          <t>Cost Account = CA-2014; WBS Code = 1.2.2</t>
        </is>
      </c>
      <c r="D512" s="34" t="inlineStr">
        <is>
          <t>Proposed by Source assignment; target 1.2.2 Stations - Architectural Fit-Out</t>
        </is>
      </c>
      <c r="E512" s="34" t="inlineStr">
        <is>
          <t>None recorded</t>
        </is>
      </c>
      <c r="F512" s="34" t="inlineStr">
        <is>
          <t>No individual professional decision recorded; Source assignment -- not individually reviewed</t>
        </is>
      </c>
      <c r="G512" s="34" t="inlineStr">
        <is>
          <t>Not individually decided</t>
        </is>
      </c>
      <c r="H512" s="34" t="inlineStr">
        <is>
          <t xml:space="preserve">APPROVED / ONE_TO_ONE; </t>
        </is>
      </c>
      <c r="I512" s="34" t="inlineStr">
        <is>
          <t>New</t>
        </is>
      </c>
      <c r="J512" s="92" t="inlineStr">
        <is>
          <t>08 CROSSWALK</t>
        </is>
      </c>
    </row>
    <row r="513" ht="49" customHeight="1">
      <c r="A513" s="34" t="inlineStr">
        <is>
          <t>R1178-v1</t>
        </is>
      </c>
      <c r="B513" s="34" t="inlineStr">
        <is>
          <t>Cost &amp; Forecast Control Accounts / CST-02-016</t>
        </is>
      </c>
      <c r="C513" s="34" t="inlineStr">
        <is>
          <t>Cost Account = CA-2016; WBS Code = 1.2.2</t>
        </is>
      </c>
      <c r="D513" s="34" t="inlineStr">
        <is>
          <t>Proposed by Source assignment; target 1.2.2 Stations - Architectural Fit-Out</t>
        </is>
      </c>
      <c r="E513" s="34" t="inlineStr">
        <is>
          <t>None recorded</t>
        </is>
      </c>
      <c r="F513" s="34" t="inlineStr">
        <is>
          <t>No individual professional decision recorded; Source assignment -- not individually reviewed</t>
        </is>
      </c>
      <c r="G513" s="34" t="inlineStr">
        <is>
          <t>Not individually decided</t>
        </is>
      </c>
      <c r="H513" s="34" t="inlineStr">
        <is>
          <t xml:space="preserve">APPROVED / ONE_TO_ONE; </t>
        </is>
      </c>
      <c r="I513" s="34" t="inlineStr">
        <is>
          <t>New</t>
        </is>
      </c>
      <c r="J513" s="92" t="inlineStr">
        <is>
          <t>08 CROSSWALK</t>
        </is>
      </c>
    </row>
    <row r="514" ht="49" customHeight="1">
      <c r="A514" s="34" t="inlineStr">
        <is>
          <t>R1180-v1</t>
        </is>
      </c>
      <c r="B514" s="34" t="inlineStr">
        <is>
          <t>Cost &amp; Forecast Control Accounts / CST-02-018</t>
        </is>
      </c>
      <c r="C514" s="34" t="inlineStr">
        <is>
          <t>Cost Account = CA-2018; WBS Code = 1.2.2</t>
        </is>
      </c>
      <c r="D514" s="34" t="inlineStr">
        <is>
          <t>Proposed by Source assignment; target 1.2.2 Stations - Architectural Fit-Out</t>
        </is>
      </c>
      <c r="E514" s="34" t="inlineStr">
        <is>
          <t>None recorded</t>
        </is>
      </c>
      <c r="F514" s="34" t="inlineStr">
        <is>
          <t>No individual professional decision recorded; Source assignment -- not individually reviewed</t>
        </is>
      </c>
      <c r="G514" s="34" t="inlineStr">
        <is>
          <t>Not individually decided</t>
        </is>
      </c>
      <c r="H514" s="34" t="inlineStr">
        <is>
          <t xml:space="preserve">APPROVED / ONE_TO_ONE; </t>
        </is>
      </c>
      <c r="I514" s="34" t="inlineStr">
        <is>
          <t>New</t>
        </is>
      </c>
      <c r="J514" s="92" t="inlineStr">
        <is>
          <t>08 CROSSWALK</t>
        </is>
      </c>
    </row>
    <row r="515" ht="49" customHeight="1">
      <c r="A515" s="34" t="inlineStr">
        <is>
          <t>R1182-v1</t>
        </is>
      </c>
      <c r="B515" s="34" t="inlineStr">
        <is>
          <t>Cost &amp; Forecast Control Accounts / CST-02-020</t>
        </is>
      </c>
      <c r="C515" s="34" t="inlineStr">
        <is>
          <t>Cost Account = CA-2020; WBS Code = 1.2.2</t>
        </is>
      </c>
      <c r="D515" s="34" t="inlineStr">
        <is>
          <t>Proposed by Source assignment; target 1.2.2 Stations - Architectural Fit-Out</t>
        </is>
      </c>
      <c r="E515" s="34" t="inlineStr">
        <is>
          <t>None recorded</t>
        </is>
      </c>
      <c r="F515" s="34" t="inlineStr">
        <is>
          <t>No individual professional decision recorded; Source assignment -- not individually reviewed</t>
        </is>
      </c>
      <c r="G515" s="34" t="inlineStr">
        <is>
          <t>Not individually decided</t>
        </is>
      </c>
      <c r="H515" s="34" t="inlineStr">
        <is>
          <t xml:space="preserve">APPROVED / ONE_TO_ONE; </t>
        </is>
      </c>
      <c r="I515" s="34" t="inlineStr">
        <is>
          <t>New</t>
        </is>
      </c>
      <c r="J515" s="92" t="inlineStr">
        <is>
          <t>08 CROSSWALK</t>
        </is>
      </c>
    </row>
    <row r="516" ht="49" customHeight="1">
      <c r="A516" s="34" t="inlineStr">
        <is>
          <t>R1184-v1</t>
        </is>
      </c>
      <c r="B516" s="34" t="inlineStr">
        <is>
          <t>Cost &amp; Forecast Control Accounts / CST-02-022</t>
        </is>
      </c>
      <c r="C516" s="34" t="inlineStr">
        <is>
          <t>Cost Account = CA-2022; WBS Code = 1.2.2</t>
        </is>
      </c>
      <c r="D516" s="34" t="inlineStr">
        <is>
          <t>Proposed by Source assignment; target 1.2.2 Stations - Architectural Fit-Out</t>
        </is>
      </c>
      <c r="E516" s="34" t="inlineStr">
        <is>
          <t>None recorded</t>
        </is>
      </c>
      <c r="F516" s="34" t="inlineStr">
        <is>
          <t>No individual professional decision recorded; Source assignment -- not individually reviewed</t>
        </is>
      </c>
      <c r="G516" s="34" t="inlineStr">
        <is>
          <t>Not individually decided</t>
        </is>
      </c>
      <c r="H516" s="34" t="inlineStr">
        <is>
          <t xml:space="preserve">APPROVED / ONE_TO_ONE; </t>
        </is>
      </c>
      <c r="I516" s="34" t="inlineStr">
        <is>
          <t>New</t>
        </is>
      </c>
      <c r="J516" s="92" t="inlineStr">
        <is>
          <t>08 CROSSWALK</t>
        </is>
      </c>
    </row>
    <row r="517" ht="49" customHeight="1">
      <c r="A517" s="34" t="inlineStr">
        <is>
          <t>R1186-v1</t>
        </is>
      </c>
      <c r="B517" s="34" t="inlineStr">
        <is>
          <t>Cost &amp; Forecast Control Accounts / CST-02-024</t>
        </is>
      </c>
      <c r="C517" s="34" t="inlineStr">
        <is>
          <t>Cost Account = CA-2024; WBS Code = 1.2.2</t>
        </is>
      </c>
      <c r="D517" s="34" t="inlineStr">
        <is>
          <t>Proposed by Source assignment; target 1.2.2 Stations - Architectural Fit-Out</t>
        </is>
      </c>
      <c r="E517" s="34" t="inlineStr">
        <is>
          <t>None recorded</t>
        </is>
      </c>
      <c r="F517" s="34" t="inlineStr">
        <is>
          <t>No individual professional decision recorded; Source assignment -- not individually reviewed</t>
        </is>
      </c>
      <c r="G517" s="34" t="inlineStr">
        <is>
          <t>Not individually decided</t>
        </is>
      </c>
      <c r="H517" s="34" t="inlineStr">
        <is>
          <t xml:space="preserve">APPROVED / ONE_TO_ONE; </t>
        </is>
      </c>
      <c r="I517" s="34" t="inlineStr">
        <is>
          <t>New</t>
        </is>
      </c>
      <c r="J517" s="92" t="inlineStr">
        <is>
          <t>08 CROSSWALK</t>
        </is>
      </c>
    </row>
    <row r="518" ht="49" customHeight="1">
      <c r="A518" s="34" t="inlineStr">
        <is>
          <t>R1188-v1</t>
        </is>
      </c>
      <c r="B518" s="34" t="inlineStr">
        <is>
          <t>Cost &amp; Forecast Control Accounts / CST-02-026</t>
        </is>
      </c>
      <c r="C518" s="34" t="inlineStr">
        <is>
          <t>Cost Account = CA-2026; WBS Code = 1.2.2</t>
        </is>
      </c>
      <c r="D518" s="34" t="inlineStr">
        <is>
          <t>Proposed by Source assignment; target 1.2.2 Stations - Architectural Fit-Out</t>
        </is>
      </c>
      <c r="E518" s="34" t="inlineStr">
        <is>
          <t>None recorded</t>
        </is>
      </c>
      <c r="F518" s="34" t="inlineStr">
        <is>
          <t>No individual professional decision recorded; Source assignment -- not individually reviewed</t>
        </is>
      </c>
      <c r="G518" s="34" t="inlineStr">
        <is>
          <t>Not individually decided</t>
        </is>
      </c>
      <c r="H518" s="34" t="inlineStr">
        <is>
          <t xml:space="preserve">APPROVED / ONE_TO_ONE; </t>
        </is>
      </c>
      <c r="I518" s="34" t="inlineStr">
        <is>
          <t>New</t>
        </is>
      </c>
      <c r="J518" s="92" t="inlineStr">
        <is>
          <t>08 CROSSWALK</t>
        </is>
      </c>
    </row>
    <row r="519" ht="49" customHeight="1">
      <c r="A519" s="34" t="inlineStr">
        <is>
          <t>R1190-v1</t>
        </is>
      </c>
      <c r="B519" s="34" t="inlineStr">
        <is>
          <t>Cost &amp; Forecast Control Accounts / CST-02-028</t>
        </is>
      </c>
      <c r="C519" s="34" t="inlineStr">
        <is>
          <t>Cost Account = CA-2028; WBS Code = 1.2.2</t>
        </is>
      </c>
      <c r="D519" s="34" t="inlineStr">
        <is>
          <t>Proposed by Source assignment; target 1.2.2 Stations - Architectural Fit-Out</t>
        </is>
      </c>
      <c r="E519" s="34" t="inlineStr">
        <is>
          <t>None recorded</t>
        </is>
      </c>
      <c r="F519" s="34" t="inlineStr">
        <is>
          <t>No individual professional decision recorded; Source assignment -- not individually reviewed</t>
        </is>
      </c>
      <c r="G519" s="34" t="inlineStr">
        <is>
          <t>Not individually decided</t>
        </is>
      </c>
      <c r="H519" s="34" t="inlineStr">
        <is>
          <t xml:space="preserve">APPROVED / ONE_TO_ONE; </t>
        </is>
      </c>
      <c r="I519" s="34" t="inlineStr">
        <is>
          <t>New</t>
        </is>
      </c>
      <c r="J519" s="92" t="inlineStr">
        <is>
          <t>08 CROSSWALK</t>
        </is>
      </c>
    </row>
    <row r="520" ht="49" customHeight="1">
      <c r="A520" s="34" t="inlineStr">
        <is>
          <t>R1192-v1</t>
        </is>
      </c>
      <c r="B520" s="34" t="inlineStr">
        <is>
          <t>Cost &amp; Forecast Control Accounts / CST-02-030</t>
        </is>
      </c>
      <c r="C520" s="34" t="inlineStr">
        <is>
          <t>Cost Account = CA-2030; WBS Code = 1.2.2</t>
        </is>
      </c>
      <c r="D520" s="34" t="inlineStr">
        <is>
          <t>Proposed by Source assignment; target 1.2.2 Stations - Architectural Fit-Out</t>
        </is>
      </c>
      <c r="E520" s="34" t="inlineStr">
        <is>
          <t>None recorded</t>
        </is>
      </c>
      <c r="F520" s="34" t="inlineStr">
        <is>
          <t>No individual professional decision recorded; Source assignment -- not individually reviewed</t>
        </is>
      </c>
      <c r="G520" s="34" t="inlineStr">
        <is>
          <t>Not individually decided</t>
        </is>
      </c>
      <c r="H520" s="34" t="inlineStr">
        <is>
          <t xml:space="preserve">APPROVED / ONE_TO_ONE; </t>
        </is>
      </c>
      <c r="I520" s="34" t="inlineStr">
        <is>
          <t>New</t>
        </is>
      </c>
      <c r="J520" s="92" t="inlineStr">
        <is>
          <t>08 CROSSWALK</t>
        </is>
      </c>
    </row>
    <row r="521" ht="49" customHeight="1">
      <c r="A521" s="34" t="inlineStr">
        <is>
          <t>R1194-v1</t>
        </is>
      </c>
      <c r="B521" s="34" t="inlineStr">
        <is>
          <t>Cost &amp; Forecast Control Accounts / CST-02-032</t>
        </is>
      </c>
      <c r="C521" s="34" t="inlineStr">
        <is>
          <t>Cost Account = CA-2032; WBS Code = 1.2.2</t>
        </is>
      </c>
      <c r="D521" s="34" t="inlineStr">
        <is>
          <t>Proposed by Source assignment; target 1.2.2 Stations - Architectural Fit-Out</t>
        </is>
      </c>
      <c r="E521" s="34" t="inlineStr">
        <is>
          <t>None recorded</t>
        </is>
      </c>
      <c r="F521" s="34" t="inlineStr">
        <is>
          <t>No individual professional decision recorded; Source assignment -- not individually reviewed</t>
        </is>
      </c>
      <c r="G521" s="34" t="inlineStr">
        <is>
          <t>Not individually decided</t>
        </is>
      </c>
      <c r="H521" s="34" t="inlineStr">
        <is>
          <t xml:space="preserve">APPROVED / ONE_TO_ONE; </t>
        </is>
      </c>
      <c r="I521" s="34" t="inlineStr">
        <is>
          <t>New</t>
        </is>
      </c>
      <c r="J521" s="92" t="inlineStr">
        <is>
          <t>08 CROSSWALK</t>
        </is>
      </c>
    </row>
    <row r="522" ht="49" customHeight="1">
      <c r="A522" s="34" t="inlineStr">
        <is>
          <t>R1196-v1</t>
        </is>
      </c>
      <c r="B522" s="34" t="inlineStr">
        <is>
          <t>Cost &amp; Forecast Control Accounts / CST-02-034</t>
        </is>
      </c>
      <c r="C522" s="34" t="inlineStr">
        <is>
          <t>Cost Account = CA-2034; WBS Code = 1.2.2</t>
        </is>
      </c>
      <c r="D522" s="34" t="inlineStr">
        <is>
          <t>Proposed by Source assignment; target 1.2.2 Stations - Architectural Fit-Out</t>
        </is>
      </c>
      <c r="E522" s="34" t="inlineStr">
        <is>
          <t>None recorded</t>
        </is>
      </c>
      <c r="F522" s="34" t="inlineStr">
        <is>
          <t>No individual professional decision recorded; Source assignment -- not individually reviewed</t>
        </is>
      </c>
      <c r="G522" s="34" t="inlineStr">
        <is>
          <t>Not individually decided</t>
        </is>
      </c>
      <c r="H522" s="34" t="inlineStr">
        <is>
          <t xml:space="preserve">APPROVED / ONE_TO_ONE; </t>
        </is>
      </c>
      <c r="I522" s="34" t="inlineStr">
        <is>
          <t>New</t>
        </is>
      </c>
      <c r="J522" s="92" t="inlineStr">
        <is>
          <t>08 CROSSWALK</t>
        </is>
      </c>
    </row>
    <row r="523" ht="49" customHeight="1">
      <c r="A523" s="34" t="inlineStr">
        <is>
          <t>R1198-v1</t>
        </is>
      </c>
      <c r="B523" s="34" t="inlineStr">
        <is>
          <t>Cost &amp; Forecast Control Accounts / CST-02-036</t>
        </is>
      </c>
      <c r="C523" s="34" t="inlineStr">
        <is>
          <t>Cost Account = CA-2036; WBS Code = 1.2.2</t>
        </is>
      </c>
      <c r="D523" s="34" t="inlineStr">
        <is>
          <t>Proposed by Source assignment; target 1.2.2 Stations - Architectural Fit-Out</t>
        </is>
      </c>
      <c r="E523" s="34" t="inlineStr">
        <is>
          <t>None recorded</t>
        </is>
      </c>
      <c r="F523" s="34" t="inlineStr">
        <is>
          <t>No individual professional decision recorded; Source assignment -- not individually reviewed</t>
        </is>
      </c>
      <c r="G523" s="34" t="inlineStr">
        <is>
          <t>Not individually decided</t>
        </is>
      </c>
      <c r="H523" s="34" t="inlineStr">
        <is>
          <t xml:space="preserve">APPROVED / ONE_TO_ONE; </t>
        </is>
      </c>
      <c r="I523" s="34" t="inlineStr">
        <is>
          <t>New</t>
        </is>
      </c>
      <c r="J523" s="92" t="inlineStr">
        <is>
          <t>08 CROSSWALK</t>
        </is>
      </c>
    </row>
    <row r="524" ht="49" customHeight="1">
      <c r="A524" s="34" t="inlineStr">
        <is>
          <t>R1200-v1</t>
        </is>
      </c>
      <c r="B524" s="34" t="inlineStr">
        <is>
          <t>Cost &amp; Forecast Control Accounts / CST-02-038</t>
        </is>
      </c>
      <c r="C524" s="34" t="inlineStr">
        <is>
          <t>Cost Account = CA-2038; WBS Code = 1.2.2</t>
        </is>
      </c>
      <c r="D524" s="34" t="inlineStr">
        <is>
          <t>Proposed by Source assignment; target 1.2.2 Stations - Architectural Fit-Out</t>
        </is>
      </c>
      <c r="E524" s="34" t="inlineStr">
        <is>
          <t>None recorded</t>
        </is>
      </c>
      <c r="F524" s="34" t="inlineStr">
        <is>
          <t>No individual professional decision recorded; Source assignment -- not individually reviewed</t>
        </is>
      </c>
      <c r="G524" s="34" t="inlineStr">
        <is>
          <t>Not individually decided</t>
        </is>
      </c>
      <c r="H524" s="34" t="inlineStr">
        <is>
          <t xml:space="preserve">APPROVED / ONE_TO_ONE; </t>
        </is>
      </c>
      <c r="I524" s="34" t="inlineStr">
        <is>
          <t>New</t>
        </is>
      </c>
      <c r="J524" s="92" t="inlineStr">
        <is>
          <t>08 CROSSWALK</t>
        </is>
      </c>
    </row>
    <row r="525" ht="49" customHeight="1">
      <c r="A525" s="34" t="inlineStr">
        <is>
          <t>R1202-v1</t>
        </is>
      </c>
      <c r="B525" s="34" t="inlineStr">
        <is>
          <t>Cost &amp; Forecast Control Accounts / CST-02-040</t>
        </is>
      </c>
      <c r="C525" s="34" t="inlineStr">
        <is>
          <t>Cost Account = CA-2040; WBS Code = 1.2.2</t>
        </is>
      </c>
      <c r="D525" s="34" t="inlineStr">
        <is>
          <t>Proposed by Source assignment; target 1.2.2 Stations - Architectural Fit-Out</t>
        </is>
      </c>
      <c r="E525" s="34" t="inlineStr">
        <is>
          <t>None recorded</t>
        </is>
      </c>
      <c r="F525" s="34" t="inlineStr">
        <is>
          <t>No individual professional decision recorded; Source assignment -- not individually reviewed</t>
        </is>
      </c>
      <c r="G525" s="34" t="inlineStr">
        <is>
          <t>Not individually decided</t>
        </is>
      </c>
      <c r="H525" s="34" t="inlineStr">
        <is>
          <t xml:space="preserve">APPROVED / ONE_TO_ONE; </t>
        </is>
      </c>
      <c r="I525" s="34" t="inlineStr">
        <is>
          <t>New</t>
        </is>
      </c>
      <c r="J525" s="92" t="inlineStr">
        <is>
          <t>08 CROSSWALK</t>
        </is>
      </c>
    </row>
    <row r="526" ht="49" customHeight="1">
      <c r="A526" s="34" t="inlineStr">
        <is>
          <t>R1204-v1</t>
        </is>
      </c>
      <c r="B526" s="34" t="inlineStr">
        <is>
          <t>Cost &amp; Forecast Control Accounts / CST-02-042</t>
        </is>
      </c>
      <c r="C526" s="34" t="inlineStr">
        <is>
          <t>Cost Account = CA-2042; WBS Code = 1.2.2</t>
        </is>
      </c>
      <c r="D526" s="34" t="inlineStr">
        <is>
          <t>Proposed by Source assignment; target 1.2.2 Stations - Architectural Fit-Out</t>
        </is>
      </c>
      <c r="E526" s="34" t="inlineStr">
        <is>
          <t>None recorded</t>
        </is>
      </c>
      <c r="F526" s="34" t="inlineStr">
        <is>
          <t>No individual professional decision recorded; Source assignment -- not individually reviewed</t>
        </is>
      </c>
      <c r="G526" s="34" t="inlineStr">
        <is>
          <t>Not individually decided</t>
        </is>
      </c>
      <c r="H526" s="34" t="inlineStr">
        <is>
          <t xml:space="preserve">APPROVED / ONE_TO_ONE; </t>
        </is>
      </c>
      <c r="I526" s="34" t="inlineStr">
        <is>
          <t>New</t>
        </is>
      </c>
      <c r="J526" s="92" t="inlineStr">
        <is>
          <t>08 CROSSWALK</t>
        </is>
      </c>
    </row>
    <row r="527" ht="49" customHeight="1">
      <c r="A527" s="34" t="inlineStr">
        <is>
          <t>R1206-v1</t>
        </is>
      </c>
      <c r="B527" s="34" t="inlineStr">
        <is>
          <t>Cost &amp; Forecast Control Accounts / CST-02-044</t>
        </is>
      </c>
      <c r="C527" s="34" t="inlineStr">
        <is>
          <t>Cost Account = CA-2044; WBS Code = 1.2.2</t>
        </is>
      </c>
      <c r="D527" s="34" t="inlineStr">
        <is>
          <t>Proposed by Source assignment; target 1.2.2 Stations - Architectural Fit-Out</t>
        </is>
      </c>
      <c r="E527" s="34" t="inlineStr">
        <is>
          <t>None recorded</t>
        </is>
      </c>
      <c r="F527" s="34" t="inlineStr">
        <is>
          <t>No individual professional decision recorded; Source assignment -- not individually reviewed</t>
        </is>
      </c>
      <c r="G527" s="34" t="inlineStr">
        <is>
          <t>Not individually decided</t>
        </is>
      </c>
      <c r="H527" s="34" t="inlineStr">
        <is>
          <t xml:space="preserve">APPROVED / ONE_TO_ONE; </t>
        </is>
      </c>
      <c r="I527" s="34" t="inlineStr">
        <is>
          <t>New</t>
        </is>
      </c>
      <c r="J527" s="92" t="inlineStr">
        <is>
          <t>08 CROSSWALK</t>
        </is>
      </c>
    </row>
    <row r="528" ht="49" customHeight="1">
      <c r="A528" s="34" t="inlineStr">
        <is>
          <t>R1208-v1</t>
        </is>
      </c>
      <c r="B528" s="34" t="inlineStr">
        <is>
          <t>Cost &amp; Forecast Control Accounts / CST-02-046</t>
        </is>
      </c>
      <c r="C528" s="34" t="inlineStr">
        <is>
          <t>Cost Account = CA-2046; WBS Code = 1.2.2</t>
        </is>
      </c>
      <c r="D528" s="34" t="inlineStr">
        <is>
          <t>Proposed by Source assignment; target 1.2.2 Stations - Architectural Fit-Out</t>
        </is>
      </c>
      <c r="E528" s="34" t="inlineStr">
        <is>
          <t>None recorded</t>
        </is>
      </c>
      <c r="F528" s="34" t="inlineStr">
        <is>
          <t>No individual professional decision recorded; Source assignment -- not individually reviewed</t>
        </is>
      </c>
      <c r="G528" s="34" t="inlineStr">
        <is>
          <t>Not individually decided</t>
        </is>
      </c>
      <c r="H528" s="34" t="inlineStr">
        <is>
          <t xml:space="preserve">APPROVED / ONE_TO_ONE; </t>
        </is>
      </c>
      <c r="I528" s="34" t="inlineStr">
        <is>
          <t>New</t>
        </is>
      </c>
      <c r="J528" s="92" t="inlineStr">
        <is>
          <t>08 CROSSWALK</t>
        </is>
      </c>
    </row>
    <row r="529" ht="49" customHeight="1">
      <c r="A529" s="34" t="inlineStr">
        <is>
          <t>R1210-v1</t>
        </is>
      </c>
      <c r="B529" s="34" t="inlineStr">
        <is>
          <t>Cost &amp; Forecast Control Accounts / CST-02-048</t>
        </is>
      </c>
      <c r="C529" s="34" t="inlineStr">
        <is>
          <t>Cost Account = CA-2048; WBS Code = 1.2.2</t>
        </is>
      </c>
      <c r="D529" s="34" t="inlineStr">
        <is>
          <t>Proposed by Source assignment; target 1.2.2 Stations - Architectural Fit-Out</t>
        </is>
      </c>
      <c r="E529" s="34" t="inlineStr">
        <is>
          <t>None recorded</t>
        </is>
      </c>
      <c r="F529" s="34" t="inlineStr">
        <is>
          <t>No individual professional decision recorded; Source assignment -- not individually reviewed</t>
        </is>
      </c>
      <c r="G529" s="34" t="inlineStr">
        <is>
          <t>Not individually decided</t>
        </is>
      </c>
      <c r="H529" s="34" t="inlineStr">
        <is>
          <t xml:space="preserve">APPROVED / ONE_TO_ONE; </t>
        </is>
      </c>
      <c r="I529" s="34" t="inlineStr">
        <is>
          <t>New</t>
        </is>
      </c>
      <c r="J529" s="92" t="inlineStr">
        <is>
          <t>08 CROSSWALK</t>
        </is>
      </c>
    </row>
    <row r="530" ht="49" customHeight="1">
      <c r="A530" s="34" t="inlineStr">
        <is>
          <t>R1212-v1</t>
        </is>
      </c>
      <c r="B530" s="34" t="inlineStr">
        <is>
          <t>Cost &amp; Forecast Control Accounts / CST-02-050</t>
        </is>
      </c>
      <c r="C530" s="34" t="inlineStr">
        <is>
          <t>Cost Account = CA-2050; WBS Code = 1.2.2</t>
        </is>
      </c>
      <c r="D530" s="34" t="inlineStr">
        <is>
          <t>Proposed by Source assignment; target 1.2.2 Stations - Architectural Fit-Out</t>
        </is>
      </c>
      <c r="E530" s="34" t="inlineStr">
        <is>
          <t>None recorded</t>
        </is>
      </c>
      <c r="F530" s="34" t="inlineStr">
        <is>
          <t>No individual professional decision recorded; Source assignment -- not individually reviewed</t>
        </is>
      </c>
      <c r="G530" s="34" t="inlineStr">
        <is>
          <t>Not individually decided</t>
        </is>
      </c>
      <c r="H530" s="34" t="inlineStr">
        <is>
          <t xml:space="preserve">APPROVED / ONE_TO_ONE; </t>
        </is>
      </c>
      <c r="I530" s="34" t="inlineStr">
        <is>
          <t>New</t>
        </is>
      </c>
      <c r="J530" s="92" t="inlineStr">
        <is>
          <t>08 CROSSWALK</t>
        </is>
      </c>
    </row>
    <row r="531" ht="49" customHeight="1">
      <c r="A531" s="34" t="inlineStr">
        <is>
          <t>R1214-v1</t>
        </is>
      </c>
      <c r="B531" s="34" t="inlineStr">
        <is>
          <t>Cost &amp; Forecast Control Accounts / CST-02-052</t>
        </is>
      </c>
      <c r="C531" s="34" t="inlineStr">
        <is>
          <t>Cost Account = CA-2052; WBS Code = 1.2.2</t>
        </is>
      </c>
      <c r="D531" s="34" t="inlineStr">
        <is>
          <t>Proposed by Source assignment; target 1.2.2 Stations - Architectural Fit-Out</t>
        </is>
      </c>
      <c r="E531" s="34" t="inlineStr">
        <is>
          <t>None recorded</t>
        </is>
      </c>
      <c r="F531" s="34" t="inlineStr">
        <is>
          <t>No individual professional decision recorded; Source assignment -- not individually reviewed</t>
        </is>
      </c>
      <c r="G531" s="34" t="inlineStr">
        <is>
          <t>Not individually decided</t>
        </is>
      </c>
      <c r="H531" s="34" t="inlineStr">
        <is>
          <t xml:space="preserve">APPROVED / ONE_TO_ONE; </t>
        </is>
      </c>
      <c r="I531" s="34" t="inlineStr">
        <is>
          <t>New</t>
        </is>
      </c>
      <c r="J531" s="92" t="inlineStr">
        <is>
          <t>08 CROSSWALK</t>
        </is>
      </c>
    </row>
    <row r="532" ht="49" customHeight="1">
      <c r="A532" s="34" t="inlineStr">
        <is>
          <t>R1216-v1</t>
        </is>
      </c>
      <c r="B532" s="34" t="inlineStr">
        <is>
          <t>Cost &amp; Forecast Control Accounts / CST-02-054</t>
        </is>
      </c>
      <c r="C532" s="34" t="inlineStr">
        <is>
          <t>Cost Account = CA-2054; WBS Code = 1.2.2</t>
        </is>
      </c>
      <c r="D532" s="34" t="inlineStr">
        <is>
          <t>Proposed by Source assignment; target 1.2.2 Stations - Architectural Fit-Out</t>
        </is>
      </c>
      <c r="E532" s="34" t="inlineStr">
        <is>
          <t>None recorded</t>
        </is>
      </c>
      <c r="F532" s="34" t="inlineStr">
        <is>
          <t>No individual professional decision recorded; Source assignment -- not individually reviewed</t>
        </is>
      </c>
      <c r="G532" s="34" t="inlineStr">
        <is>
          <t>Not individually decided</t>
        </is>
      </c>
      <c r="H532" s="34" t="inlineStr">
        <is>
          <t xml:space="preserve">APPROVED / ONE_TO_ONE; </t>
        </is>
      </c>
      <c r="I532" s="34" t="inlineStr">
        <is>
          <t>New</t>
        </is>
      </c>
      <c r="J532" s="92" t="inlineStr">
        <is>
          <t>08 CROSSWALK</t>
        </is>
      </c>
    </row>
    <row r="533" ht="49" customHeight="1">
      <c r="A533" s="34" t="inlineStr">
        <is>
          <t>R1218-v1</t>
        </is>
      </c>
      <c r="B533" s="34" t="inlineStr">
        <is>
          <t>Cost &amp; Forecast Control Accounts / CST-02-056</t>
        </is>
      </c>
      <c r="C533" s="34" t="inlineStr">
        <is>
          <t>Cost Account = CA-2056; WBS Code = 1.2.2</t>
        </is>
      </c>
      <c r="D533" s="34" t="inlineStr">
        <is>
          <t>Proposed by Source assignment; target 1.2.2 Stations - Architectural Fit-Out</t>
        </is>
      </c>
      <c r="E533" s="34" t="inlineStr">
        <is>
          <t>None recorded</t>
        </is>
      </c>
      <c r="F533" s="34" t="inlineStr">
        <is>
          <t>No individual professional decision recorded; Source assignment -- not individually reviewed</t>
        </is>
      </c>
      <c r="G533" s="34" t="inlineStr">
        <is>
          <t>Not individually decided</t>
        </is>
      </c>
      <c r="H533" s="34" t="inlineStr">
        <is>
          <t xml:space="preserve">APPROVED / ONE_TO_ONE; </t>
        </is>
      </c>
      <c r="I533" s="34" t="inlineStr">
        <is>
          <t>New</t>
        </is>
      </c>
      <c r="J533" s="92" t="inlineStr">
        <is>
          <t>08 CROSSWALK</t>
        </is>
      </c>
    </row>
    <row r="534" ht="49" customHeight="1">
      <c r="A534" s="34" t="inlineStr">
        <is>
          <t>R1220-v1</t>
        </is>
      </c>
      <c r="B534" s="34" t="inlineStr">
        <is>
          <t>Cost &amp; Forecast Control Accounts / CST-02-058</t>
        </is>
      </c>
      <c r="C534" s="34" t="inlineStr">
        <is>
          <t>Cost Account = CA-2058; WBS Code = 1.2.2</t>
        </is>
      </c>
      <c r="D534" s="34" t="inlineStr">
        <is>
          <t>Proposed by Source assignment; target 1.2.2 Stations - Architectural Fit-Out</t>
        </is>
      </c>
      <c r="E534" s="34" t="inlineStr">
        <is>
          <t>None recorded</t>
        </is>
      </c>
      <c r="F534" s="34" t="inlineStr">
        <is>
          <t>No individual professional decision recorded; Source assignment -- not individually reviewed</t>
        </is>
      </c>
      <c r="G534" s="34" t="inlineStr">
        <is>
          <t>Not individually decided</t>
        </is>
      </c>
      <c r="H534" s="34" t="inlineStr">
        <is>
          <t xml:space="preserve">APPROVED / ONE_TO_ONE; </t>
        </is>
      </c>
      <c r="I534" s="34" t="inlineStr">
        <is>
          <t>New</t>
        </is>
      </c>
      <c r="J534" s="92" t="inlineStr">
        <is>
          <t>08 CROSSWALK</t>
        </is>
      </c>
    </row>
    <row r="535" ht="49" customHeight="1">
      <c r="A535" s="34" t="inlineStr">
        <is>
          <t>R1222-v1</t>
        </is>
      </c>
      <c r="B535" s="34" t="inlineStr">
        <is>
          <t>Cost &amp; Forecast Control Accounts / CST-02-060</t>
        </is>
      </c>
      <c r="C535" s="34" t="inlineStr">
        <is>
          <t>Cost Account = CA-2060; WBS Code = 1.2.2</t>
        </is>
      </c>
      <c r="D535" s="34" t="inlineStr">
        <is>
          <t>Proposed by Source assignment; target 1.2.2 Stations - Architectural Fit-Out</t>
        </is>
      </c>
      <c r="E535" s="34" t="inlineStr">
        <is>
          <t>None recorded</t>
        </is>
      </c>
      <c r="F535" s="34" t="inlineStr">
        <is>
          <t>No individual professional decision recorded; Source assignment -- not individually reviewed</t>
        </is>
      </c>
      <c r="G535" s="34" t="inlineStr">
        <is>
          <t>Not individually decided</t>
        </is>
      </c>
      <c r="H535" s="34" t="inlineStr">
        <is>
          <t xml:space="preserve">APPROVED / ONE_TO_ONE; </t>
        </is>
      </c>
      <c r="I535" s="34" t="inlineStr">
        <is>
          <t>New</t>
        </is>
      </c>
      <c r="J535" s="92" t="inlineStr">
        <is>
          <t>08 CROSSWALK</t>
        </is>
      </c>
    </row>
    <row r="536" ht="49" customHeight="1">
      <c r="A536" s="34" t="inlineStr">
        <is>
          <t>R1224-v1</t>
        </is>
      </c>
      <c r="B536" s="34" t="inlineStr">
        <is>
          <t>Cost &amp; Forecast Control Accounts / CST-02-062</t>
        </is>
      </c>
      <c r="C536" s="34" t="inlineStr">
        <is>
          <t>Cost Account = CA-2062; WBS Code = 1.2.2</t>
        </is>
      </c>
      <c r="D536" s="34" t="inlineStr">
        <is>
          <t>Proposed by Source assignment; target 1.2.2 Stations - Architectural Fit-Out</t>
        </is>
      </c>
      <c r="E536" s="34" t="inlineStr">
        <is>
          <t>None recorded</t>
        </is>
      </c>
      <c r="F536" s="34" t="inlineStr">
        <is>
          <t>No individual professional decision recorded; Source assignment -- not individually reviewed</t>
        </is>
      </c>
      <c r="G536" s="34" t="inlineStr">
        <is>
          <t>Not individually decided</t>
        </is>
      </c>
      <c r="H536" s="34" t="inlineStr">
        <is>
          <t xml:space="preserve">APPROVED / ONE_TO_ONE; </t>
        </is>
      </c>
      <c r="I536" s="34" t="inlineStr">
        <is>
          <t>New</t>
        </is>
      </c>
      <c r="J536" s="92" t="inlineStr">
        <is>
          <t>08 CROSSWALK</t>
        </is>
      </c>
    </row>
    <row r="537" ht="49" customHeight="1">
      <c r="A537" s="34" t="inlineStr">
        <is>
          <t>R1226-v1</t>
        </is>
      </c>
      <c r="B537" s="34" t="inlineStr">
        <is>
          <t>Cost &amp; Forecast Control Accounts / CST-02-064</t>
        </is>
      </c>
      <c r="C537" s="34" t="inlineStr">
        <is>
          <t>Cost Account = CA-2064; WBS Code = 1.2.2</t>
        </is>
      </c>
      <c r="D537" s="34" t="inlineStr">
        <is>
          <t>Proposed by Source assignment; target 1.2.2 Stations - Architectural Fit-Out</t>
        </is>
      </c>
      <c r="E537" s="34" t="inlineStr">
        <is>
          <t>None recorded</t>
        </is>
      </c>
      <c r="F537" s="34" t="inlineStr">
        <is>
          <t>No individual professional decision recorded; Source assignment -- not individually reviewed</t>
        </is>
      </c>
      <c r="G537" s="34" t="inlineStr">
        <is>
          <t>Not individually decided</t>
        </is>
      </c>
      <c r="H537" s="34" t="inlineStr">
        <is>
          <t xml:space="preserve">APPROVED / ONE_TO_ONE; </t>
        </is>
      </c>
      <c r="I537" s="34" t="inlineStr">
        <is>
          <t>New</t>
        </is>
      </c>
      <c r="J537" s="92" t="inlineStr">
        <is>
          <t>08 CROSSWALK</t>
        </is>
      </c>
    </row>
    <row r="538" ht="49" customHeight="1">
      <c r="A538" s="34" t="inlineStr">
        <is>
          <t>R1228-v1</t>
        </is>
      </c>
      <c r="B538" s="34" t="inlineStr">
        <is>
          <t>Cost &amp; Forecast Control Accounts / CST-02-066</t>
        </is>
      </c>
      <c r="C538" s="34" t="inlineStr">
        <is>
          <t>Cost Account = CA-2066; WBS Code = 1.2.2</t>
        </is>
      </c>
      <c r="D538" s="34" t="inlineStr">
        <is>
          <t>Proposed by Source assignment; target 1.2.2 Stations - Architectural Fit-Out</t>
        </is>
      </c>
      <c r="E538" s="34" t="inlineStr">
        <is>
          <t>None recorded</t>
        </is>
      </c>
      <c r="F538" s="34" t="inlineStr">
        <is>
          <t>No individual professional decision recorded; Source assignment -- not individually reviewed</t>
        </is>
      </c>
      <c r="G538" s="34" t="inlineStr">
        <is>
          <t>Not individually decided</t>
        </is>
      </c>
      <c r="H538" s="34" t="inlineStr">
        <is>
          <t xml:space="preserve">APPROVED / ONE_TO_ONE; </t>
        </is>
      </c>
      <c r="I538" s="34" t="inlineStr">
        <is>
          <t>New</t>
        </is>
      </c>
      <c r="J538" s="92" t="inlineStr">
        <is>
          <t>08 CROSSWALK</t>
        </is>
      </c>
    </row>
    <row r="539" ht="49" customHeight="1">
      <c r="A539" s="34" t="inlineStr">
        <is>
          <t>R1230-v1</t>
        </is>
      </c>
      <c r="B539" s="34" t="inlineStr">
        <is>
          <t>Cost &amp; Forecast Control Accounts / CST-02-068</t>
        </is>
      </c>
      <c r="C539" s="34" t="inlineStr">
        <is>
          <t>Cost Account = CA-2068; WBS Code = 1.2.2</t>
        </is>
      </c>
      <c r="D539" s="34" t="inlineStr">
        <is>
          <t>Proposed by Source assignment; target 1.2.2 Stations - Architectural Fit-Out</t>
        </is>
      </c>
      <c r="E539" s="34" t="inlineStr">
        <is>
          <t>None recorded</t>
        </is>
      </c>
      <c r="F539" s="34" t="inlineStr">
        <is>
          <t>No individual professional decision recorded; Source assignment -- not individually reviewed</t>
        </is>
      </c>
      <c r="G539" s="34" t="inlineStr">
        <is>
          <t>Not individually decided</t>
        </is>
      </c>
      <c r="H539" s="34" t="inlineStr">
        <is>
          <t xml:space="preserve">APPROVED / ONE_TO_ONE; </t>
        </is>
      </c>
      <c r="I539" s="34" t="inlineStr">
        <is>
          <t>New</t>
        </is>
      </c>
      <c r="J539" s="92" t="inlineStr">
        <is>
          <t>08 CROSSWALK</t>
        </is>
      </c>
    </row>
    <row r="540" ht="49" customHeight="1">
      <c r="A540" s="34" t="inlineStr">
        <is>
          <t>R1232-v1</t>
        </is>
      </c>
      <c r="B540" s="34" t="inlineStr">
        <is>
          <t>Cost &amp; Forecast Control Accounts / CST-02-070</t>
        </is>
      </c>
      <c r="C540" s="34" t="inlineStr">
        <is>
          <t>Cost Account = CA-2070; WBS Code = 1.2.2</t>
        </is>
      </c>
      <c r="D540" s="34" t="inlineStr">
        <is>
          <t>Proposed by Source assignment; target 1.2.2 Stations - Architectural Fit-Out</t>
        </is>
      </c>
      <c r="E540" s="34" t="inlineStr">
        <is>
          <t>None recorded</t>
        </is>
      </c>
      <c r="F540" s="34" t="inlineStr">
        <is>
          <t>No individual professional decision recorded; Source assignment -- not individually reviewed</t>
        </is>
      </c>
      <c r="G540" s="34" t="inlineStr">
        <is>
          <t>Not individually decided</t>
        </is>
      </c>
      <c r="H540" s="34" t="inlineStr">
        <is>
          <t xml:space="preserve">APPROVED / ONE_TO_ONE; </t>
        </is>
      </c>
      <c r="I540" s="34" t="inlineStr">
        <is>
          <t>New</t>
        </is>
      </c>
      <c r="J540" s="92" t="inlineStr">
        <is>
          <t>08 CROSSWALK</t>
        </is>
      </c>
    </row>
    <row r="541" ht="49" customHeight="1">
      <c r="A541" s="34" t="inlineStr">
        <is>
          <t>R1234-v1</t>
        </is>
      </c>
      <c r="B541" s="34" t="inlineStr">
        <is>
          <t>Cost &amp; Forecast Control Accounts / CST-02-072</t>
        </is>
      </c>
      <c r="C541" s="34" t="inlineStr">
        <is>
          <t>Cost Account = CA-2072; WBS Code = 1.2.2</t>
        </is>
      </c>
      <c r="D541" s="34" t="inlineStr">
        <is>
          <t>Proposed by Source assignment; target 1.2.2 Stations - Architectural Fit-Out</t>
        </is>
      </c>
      <c r="E541" s="34" t="inlineStr">
        <is>
          <t>None recorded</t>
        </is>
      </c>
      <c r="F541" s="34" t="inlineStr">
        <is>
          <t>No individual professional decision recorded; Source assignment -- not individually reviewed</t>
        </is>
      </c>
      <c r="G541" s="34" t="inlineStr">
        <is>
          <t>Not individually decided</t>
        </is>
      </c>
      <c r="H541" s="34" t="inlineStr">
        <is>
          <t xml:space="preserve">APPROVED / ONE_TO_ONE; </t>
        </is>
      </c>
      <c r="I541" s="34" t="inlineStr">
        <is>
          <t>New</t>
        </is>
      </c>
      <c r="J541" s="92" t="inlineStr">
        <is>
          <t>08 CROSSWALK</t>
        </is>
      </c>
    </row>
    <row r="542" ht="49" customHeight="1">
      <c r="A542" s="34" t="inlineStr">
        <is>
          <t>R1236-v1</t>
        </is>
      </c>
      <c r="B542" s="34" t="inlineStr">
        <is>
          <t>Cost &amp; Forecast Control Accounts / CST-02-074</t>
        </is>
      </c>
      <c r="C542" s="34" t="inlineStr">
        <is>
          <t>Cost Account = CA-2074; WBS Code = 1.2.2</t>
        </is>
      </c>
      <c r="D542" s="34" t="inlineStr">
        <is>
          <t>Proposed by Source assignment; target 1.2.2 Stations - Architectural Fit-Out</t>
        </is>
      </c>
      <c r="E542" s="34" t="inlineStr">
        <is>
          <t>None recorded</t>
        </is>
      </c>
      <c r="F542" s="34" t="inlineStr">
        <is>
          <t>No individual professional decision recorded; Source assignment -- not individually reviewed</t>
        </is>
      </c>
      <c r="G542" s="34" t="inlineStr">
        <is>
          <t>Not individually decided</t>
        </is>
      </c>
      <c r="H542" s="34" t="inlineStr">
        <is>
          <t xml:space="preserve">APPROVED / ONE_TO_ONE; </t>
        </is>
      </c>
      <c r="I542" s="34" t="inlineStr">
        <is>
          <t>New</t>
        </is>
      </c>
      <c r="J542" s="92" t="inlineStr">
        <is>
          <t>08 CROSSWALK</t>
        </is>
      </c>
    </row>
    <row r="543" ht="49" customHeight="1">
      <c r="A543" s="34" t="inlineStr">
        <is>
          <t>R1238-v1</t>
        </is>
      </c>
      <c r="B543" s="34" t="inlineStr">
        <is>
          <t>Cost &amp; Forecast Control Accounts / CST-02-076</t>
        </is>
      </c>
      <c r="C543" s="34" t="inlineStr">
        <is>
          <t>Cost Account = CA-2076; WBS Code = 1.2.2</t>
        </is>
      </c>
      <c r="D543" s="34" t="inlineStr">
        <is>
          <t>Proposed by Source assignment; target 1.2.2 Stations - Architectural Fit-Out</t>
        </is>
      </c>
      <c r="E543" s="34" t="inlineStr">
        <is>
          <t>None recorded</t>
        </is>
      </c>
      <c r="F543" s="34" t="inlineStr">
        <is>
          <t>No individual professional decision recorded; Source assignment -- not individually reviewed</t>
        </is>
      </c>
      <c r="G543" s="34" t="inlineStr">
        <is>
          <t>Not individually decided</t>
        </is>
      </c>
      <c r="H543" s="34" t="inlineStr">
        <is>
          <t xml:space="preserve">APPROVED / ONE_TO_ONE; </t>
        </is>
      </c>
      <c r="I543" s="34" t="inlineStr">
        <is>
          <t>New</t>
        </is>
      </c>
      <c r="J543" s="92" t="inlineStr">
        <is>
          <t>08 CROSSWALK</t>
        </is>
      </c>
    </row>
    <row r="544" ht="49" customHeight="1">
      <c r="A544" s="34" t="inlineStr">
        <is>
          <t>R1240-v1</t>
        </is>
      </c>
      <c r="B544" s="34" t="inlineStr">
        <is>
          <t>Cost &amp; Forecast Control Accounts / CST-02-078</t>
        </is>
      </c>
      <c r="C544" s="34" t="inlineStr">
        <is>
          <t>Cost Account = CA-2078; WBS Code = 1.2.2</t>
        </is>
      </c>
      <c r="D544" s="34" t="inlineStr">
        <is>
          <t>Proposed by Source assignment; target 1.2.2 Stations - Architectural Fit-Out</t>
        </is>
      </c>
      <c r="E544" s="34" t="inlineStr">
        <is>
          <t>None recorded</t>
        </is>
      </c>
      <c r="F544" s="34" t="inlineStr">
        <is>
          <t>No individual professional decision recorded; Source assignment -- not individually reviewed</t>
        </is>
      </c>
      <c r="G544" s="34" t="inlineStr">
        <is>
          <t>Not individually decided</t>
        </is>
      </c>
      <c r="H544" s="34" t="inlineStr">
        <is>
          <t xml:space="preserve">APPROVED / ONE_TO_ONE; </t>
        </is>
      </c>
      <c r="I544" s="34" t="inlineStr">
        <is>
          <t>New</t>
        </is>
      </c>
      <c r="J544" s="92" t="inlineStr">
        <is>
          <t>08 CROSSWALK</t>
        </is>
      </c>
    </row>
    <row r="545" ht="49" customHeight="1">
      <c r="A545" s="34" t="inlineStr">
        <is>
          <t>R1242-v1</t>
        </is>
      </c>
      <c r="B545" s="34" t="inlineStr">
        <is>
          <t>Cost &amp; Forecast Control Accounts / CST-02-080</t>
        </is>
      </c>
      <c r="C545" s="34" t="inlineStr">
        <is>
          <t>Cost Account = CA-2080; WBS Code = 1.2.2</t>
        </is>
      </c>
      <c r="D545" s="34" t="inlineStr">
        <is>
          <t>Proposed by Source assignment; target 1.2.2 Stations - Architectural Fit-Out</t>
        </is>
      </c>
      <c r="E545" s="34" t="inlineStr">
        <is>
          <t>None recorded</t>
        </is>
      </c>
      <c r="F545" s="34" t="inlineStr">
        <is>
          <t>No individual professional decision recorded; Source assignment -- not individually reviewed</t>
        </is>
      </c>
      <c r="G545" s="34" t="inlineStr">
        <is>
          <t>Not individually decided</t>
        </is>
      </c>
      <c r="H545" s="34" t="inlineStr">
        <is>
          <t xml:space="preserve">APPROVED / ONE_TO_ONE; </t>
        </is>
      </c>
      <c r="I545" s="34" t="inlineStr">
        <is>
          <t>New</t>
        </is>
      </c>
      <c r="J545" s="92" t="inlineStr">
        <is>
          <t>08 CROSSWALK</t>
        </is>
      </c>
    </row>
    <row r="546" ht="49" customHeight="1">
      <c r="A546" s="34" t="inlineStr">
        <is>
          <t>R1583-v1</t>
        </is>
      </c>
      <c r="B546" s="34" t="inlineStr">
        <is>
          <t>Commercial Package Register / PKG-021</t>
        </is>
      </c>
      <c r="C546" s="34" t="inlineStr">
        <is>
          <t>Package Code = PK-301; WBS Code = 1.3</t>
        </is>
      </c>
      <c r="D546" s="34" t="inlineStr">
        <is>
          <t>Proposed by Source assignment; target 1.3 Systems</t>
        </is>
      </c>
      <c r="E546" s="34" t="inlineStr">
        <is>
          <t>None recorded</t>
        </is>
      </c>
      <c r="F546" s="34" t="inlineStr">
        <is>
          <t>No individual professional decision recorded; Source assignment -- not individually reviewed</t>
        </is>
      </c>
      <c r="G546" s="34" t="inlineStr">
        <is>
          <t>Not individually decided</t>
        </is>
      </c>
      <c r="H546" s="34" t="inlineStr">
        <is>
          <t xml:space="preserve">APPROVED / ONE_TO_ONE; </t>
        </is>
      </c>
      <c r="I546" s="34" t="inlineStr">
        <is>
          <t>New</t>
        </is>
      </c>
      <c r="J546" s="92" t="inlineStr">
        <is>
          <t>08 CROSSWALK</t>
        </is>
      </c>
    </row>
    <row r="547" ht="49" customHeight="1">
      <c r="A547" s="34" t="inlineStr">
        <is>
          <t>R1584-v1</t>
        </is>
      </c>
      <c r="B547" s="34" t="inlineStr">
        <is>
          <t>Commercial Package Register / PKG-022</t>
        </is>
      </c>
      <c r="C547" s="34" t="inlineStr">
        <is>
          <t>Package Code = PK-302; WBS Code = 1.3</t>
        </is>
      </c>
      <c r="D547" s="34" t="inlineStr">
        <is>
          <t>Proposed by Source assignment; target 1.3 Systems</t>
        </is>
      </c>
      <c r="E547" s="34" t="inlineStr">
        <is>
          <t>None recorded</t>
        </is>
      </c>
      <c r="F547" s="34" t="inlineStr">
        <is>
          <t>No individual professional decision recorded; Source assignment -- not individually reviewed</t>
        </is>
      </c>
      <c r="G547" s="34" t="inlineStr">
        <is>
          <t>Not individually decided</t>
        </is>
      </c>
      <c r="H547" s="34" t="inlineStr">
        <is>
          <t xml:space="preserve">APPROVED / ONE_TO_ONE; </t>
        </is>
      </c>
      <c r="I547" s="34" t="inlineStr">
        <is>
          <t>New</t>
        </is>
      </c>
      <c r="J547" s="92" t="inlineStr">
        <is>
          <t>08 CROSSWALK</t>
        </is>
      </c>
    </row>
    <row r="548" ht="49" customHeight="1">
      <c r="A548" s="34" t="inlineStr">
        <is>
          <t>R1585-v1</t>
        </is>
      </c>
      <c r="B548" s="34" t="inlineStr">
        <is>
          <t>Commercial Package Register / PKG-023</t>
        </is>
      </c>
      <c r="C548" s="34" t="inlineStr">
        <is>
          <t>Package Code = PK-303; WBS Code = 1.3</t>
        </is>
      </c>
      <c r="D548" s="34" t="inlineStr">
        <is>
          <t>Proposed by Source assignment; target 1.3 Systems</t>
        </is>
      </c>
      <c r="E548" s="34" t="inlineStr">
        <is>
          <t>None recorded</t>
        </is>
      </c>
      <c r="F548" s="34" t="inlineStr">
        <is>
          <t>No individual professional decision recorded; Source assignment -- not individually reviewed</t>
        </is>
      </c>
      <c r="G548" s="34" t="inlineStr">
        <is>
          <t>Not individually decided</t>
        </is>
      </c>
      <c r="H548" s="34" t="inlineStr">
        <is>
          <t xml:space="preserve">APPROVED / ONE_TO_ONE; </t>
        </is>
      </c>
      <c r="I548" s="34" t="inlineStr">
        <is>
          <t>New</t>
        </is>
      </c>
      <c r="J548" s="92" t="inlineStr">
        <is>
          <t>08 CROSSWALK</t>
        </is>
      </c>
    </row>
    <row r="549" ht="49" customHeight="1">
      <c r="A549" s="34" t="inlineStr">
        <is>
          <t>R1586-v1</t>
        </is>
      </c>
      <c r="B549" s="34" t="inlineStr">
        <is>
          <t>Commercial Package Register / PKG-024</t>
        </is>
      </c>
      <c r="C549" s="34" t="inlineStr">
        <is>
          <t>Package Code = PK-304; WBS Code = 1.3</t>
        </is>
      </c>
      <c r="D549" s="34" t="inlineStr">
        <is>
          <t>Proposed by Source assignment; target 1.3 Systems</t>
        </is>
      </c>
      <c r="E549" s="34" t="inlineStr">
        <is>
          <t>None recorded</t>
        </is>
      </c>
      <c r="F549" s="34" t="inlineStr">
        <is>
          <t>No individual professional decision recorded; Source assignment -- not individually reviewed</t>
        </is>
      </c>
      <c r="G549" s="34" t="inlineStr">
        <is>
          <t>Not individually decided</t>
        </is>
      </c>
      <c r="H549" s="34" t="inlineStr">
        <is>
          <t xml:space="preserve">APPROVED / ONE_TO_ONE; </t>
        </is>
      </c>
      <c r="I549" s="34" t="inlineStr">
        <is>
          <t>New</t>
        </is>
      </c>
      <c r="J549" s="92" t="inlineStr">
        <is>
          <t>08 CROSSWALK</t>
        </is>
      </c>
    </row>
    <row r="550" ht="49" customHeight="1">
      <c r="A550" s="34" t="inlineStr">
        <is>
          <t>R1587-v1</t>
        </is>
      </c>
      <c r="B550" s="34" t="inlineStr">
        <is>
          <t>Commercial Package Register / PKG-025</t>
        </is>
      </c>
      <c r="C550" s="34" t="inlineStr">
        <is>
          <t>Package Code = PK-305; WBS Code = 1.3</t>
        </is>
      </c>
      <c r="D550" s="34" t="inlineStr">
        <is>
          <t>Proposed by Source assignment; target 1.3 Systems</t>
        </is>
      </c>
      <c r="E550" s="34" t="inlineStr">
        <is>
          <t>None recorded</t>
        </is>
      </c>
      <c r="F550" s="34" t="inlineStr">
        <is>
          <t>No individual professional decision recorded; Source assignment -- not individually reviewed</t>
        </is>
      </c>
      <c r="G550" s="34" t="inlineStr">
        <is>
          <t>Not individually decided</t>
        </is>
      </c>
      <c r="H550" s="34" t="inlineStr">
        <is>
          <t xml:space="preserve">APPROVED / ONE_TO_ONE; </t>
        </is>
      </c>
      <c r="I550" s="34" t="inlineStr">
        <is>
          <t>New</t>
        </is>
      </c>
      <c r="J550" s="92" t="inlineStr">
        <is>
          <t>08 CROSSWALK</t>
        </is>
      </c>
    </row>
    <row r="551" ht="49" customHeight="1">
      <c r="A551" s="34" t="inlineStr">
        <is>
          <t>R1588-v1</t>
        </is>
      </c>
      <c r="B551" s="34" t="inlineStr">
        <is>
          <t>Commercial Package Register / PKG-026</t>
        </is>
      </c>
      <c r="C551" s="34" t="inlineStr">
        <is>
          <t>Package Code = PK-306; WBS Code = 1.3</t>
        </is>
      </c>
      <c r="D551" s="34" t="inlineStr">
        <is>
          <t>Proposed by Source assignment; target 1.3 Systems</t>
        </is>
      </c>
      <c r="E551" s="34" t="inlineStr">
        <is>
          <t>None recorded</t>
        </is>
      </c>
      <c r="F551" s="34" t="inlineStr">
        <is>
          <t>No individual professional decision recorded; Source assignment -- not individually reviewed</t>
        </is>
      </c>
      <c r="G551" s="34" t="inlineStr">
        <is>
          <t>Not individually decided</t>
        </is>
      </c>
      <c r="H551" s="34" t="inlineStr">
        <is>
          <t xml:space="preserve">APPROVED / ONE_TO_ONE; </t>
        </is>
      </c>
      <c r="I551" s="34" t="inlineStr">
        <is>
          <t>New</t>
        </is>
      </c>
      <c r="J551" s="92" t="inlineStr">
        <is>
          <t>08 CROSSWALK</t>
        </is>
      </c>
    </row>
    <row r="552" ht="49" customHeight="1">
      <c r="A552" s="34" t="inlineStr">
        <is>
          <t>R1589-v1</t>
        </is>
      </c>
      <c r="B552" s="34" t="inlineStr">
        <is>
          <t>Commercial Package Register / PKG-027</t>
        </is>
      </c>
      <c r="C552" s="34" t="inlineStr">
        <is>
          <t>Package Code = PK-307; WBS Code = 1.3</t>
        </is>
      </c>
      <c r="D552" s="34" t="inlineStr">
        <is>
          <t>Proposed by Source assignment; target 1.3 Systems</t>
        </is>
      </c>
      <c r="E552" s="34" t="inlineStr">
        <is>
          <t>None recorded</t>
        </is>
      </c>
      <c r="F552" s="34" t="inlineStr">
        <is>
          <t>No individual professional decision recorded; Source assignment -- not individually reviewed</t>
        </is>
      </c>
      <c r="G552" s="34" t="inlineStr">
        <is>
          <t>Not individually decided</t>
        </is>
      </c>
      <c r="H552" s="34" t="inlineStr">
        <is>
          <t xml:space="preserve">APPROVED / ONE_TO_ONE; </t>
        </is>
      </c>
      <c r="I552" s="34" t="inlineStr">
        <is>
          <t>New</t>
        </is>
      </c>
      <c r="J552" s="92" t="inlineStr">
        <is>
          <t>08 CROSSWALK</t>
        </is>
      </c>
    </row>
    <row r="553" ht="49" customHeight="1">
      <c r="A553" s="34" t="inlineStr">
        <is>
          <t>R1590-v1</t>
        </is>
      </c>
      <c r="B553" s="34" t="inlineStr">
        <is>
          <t>Commercial Package Register / PKG-028</t>
        </is>
      </c>
      <c r="C553" s="34" t="inlineStr">
        <is>
          <t>Package Code = PK-308; WBS Code = 1.3</t>
        </is>
      </c>
      <c r="D553" s="34" t="inlineStr">
        <is>
          <t>Proposed by Source assignment; target 1.3 Systems</t>
        </is>
      </c>
      <c r="E553" s="34" t="inlineStr">
        <is>
          <t>None recorded</t>
        </is>
      </c>
      <c r="F553" s="34" t="inlineStr">
        <is>
          <t>No individual professional decision recorded; Source assignment -- not individually reviewed</t>
        </is>
      </c>
      <c r="G553" s="34" t="inlineStr">
        <is>
          <t>Not individually decided</t>
        </is>
      </c>
      <c r="H553" s="34" t="inlineStr">
        <is>
          <t xml:space="preserve">APPROVED / ONE_TO_ONE; </t>
        </is>
      </c>
      <c r="I553" s="34" t="inlineStr">
        <is>
          <t>New</t>
        </is>
      </c>
      <c r="J553" s="92" t="inlineStr">
        <is>
          <t>08 CROSSWALK</t>
        </is>
      </c>
    </row>
    <row r="554" ht="49" customHeight="1">
      <c r="A554" s="34" t="inlineStr">
        <is>
          <t>R1591-v1</t>
        </is>
      </c>
      <c r="B554" s="34" t="inlineStr">
        <is>
          <t>Commercial Package Register / PKG-029</t>
        </is>
      </c>
      <c r="C554" s="34" t="inlineStr">
        <is>
          <t>Package Code = PK-309; WBS Code = 1.3</t>
        </is>
      </c>
      <c r="D554" s="34" t="inlineStr">
        <is>
          <t>Proposed by Source assignment; target 1.3 Systems</t>
        </is>
      </c>
      <c r="E554" s="34" t="inlineStr">
        <is>
          <t>None recorded</t>
        </is>
      </c>
      <c r="F554" s="34" t="inlineStr">
        <is>
          <t>No individual professional decision recorded; Source assignment -- not individually reviewed</t>
        </is>
      </c>
      <c r="G554" s="34" t="inlineStr">
        <is>
          <t>Not individually decided</t>
        </is>
      </c>
      <c r="H554" s="34" t="inlineStr">
        <is>
          <t xml:space="preserve">APPROVED / ONE_TO_ONE; </t>
        </is>
      </c>
      <c r="I554" s="34" t="inlineStr">
        <is>
          <t>New</t>
        </is>
      </c>
      <c r="J554" s="92" t="inlineStr">
        <is>
          <t>08 CROSSWALK</t>
        </is>
      </c>
    </row>
    <row r="555" ht="49" customHeight="1">
      <c r="A555" s="34" t="inlineStr">
        <is>
          <t>R1592-v1</t>
        </is>
      </c>
      <c r="B555" s="34" t="inlineStr">
        <is>
          <t>Commercial Package Register / PKG-030</t>
        </is>
      </c>
      <c r="C555" s="34" t="inlineStr">
        <is>
          <t>Package Code = PK-310; WBS Code = 1.3</t>
        </is>
      </c>
      <c r="D555" s="34" t="inlineStr">
        <is>
          <t>Proposed by Source assignment; target 1.3 Systems</t>
        </is>
      </c>
      <c r="E555" s="34" t="inlineStr">
        <is>
          <t>None recorded</t>
        </is>
      </c>
      <c r="F555" s="34" t="inlineStr">
        <is>
          <t>No individual professional decision recorded; Source assignment -- not individually reviewed</t>
        </is>
      </c>
      <c r="G555" s="34" t="inlineStr">
        <is>
          <t>Not individually decided</t>
        </is>
      </c>
      <c r="H555" s="34" t="inlineStr">
        <is>
          <t xml:space="preserve">APPROVED / ONE_TO_ONE; </t>
        </is>
      </c>
      <c r="I555" s="34" t="inlineStr">
        <is>
          <t>New</t>
        </is>
      </c>
      <c r="J555" s="92" t="inlineStr">
        <is>
          <t>08 CROSSWALK</t>
        </is>
      </c>
    </row>
    <row r="556" ht="49" customHeight="1">
      <c r="A556" s="34" t="inlineStr">
        <is>
          <t>R361-v1</t>
        </is>
      </c>
      <c r="B556" s="34" t="inlineStr">
        <is>
          <t>Contractor Programme / SCH-03-001</t>
        </is>
      </c>
      <c r="C556" s="34" t="inlineStr">
        <is>
          <t>WBS Code = 1.3.1</t>
        </is>
      </c>
      <c r="D556" s="34" t="inlineStr">
        <is>
          <t>Proposed by Source assignment; target 1.3.1 Systems - Traction Power</t>
        </is>
      </c>
      <c r="E556" s="34" t="inlineStr">
        <is>
          <t>None recorded</t>
        </is>
      </c>
      <c r="F556" s="34" t="inlineStr">
        <is>
          <t>No individual professional decision recorded; Source assignment -- not individually reviewed</t>
        </is>
      </c>
      <c r="G556" s="34" t="inlineStr">
        <is>
          <t>Not individually decided</t>
        </is>
      </c>
      <c r="H556" s="34" t="inlineStr">
        <is>
          <t xml:space="preserve">APPROVED / ONE_TO_ONE; </t>
        </is>
      </c>
      <c r="I556" s="34" t="inlineStr">
        <is>
          <t>New</t>
        </is>
      </c>
      <c r="J556" s="92" t="inlineStr">
        <is>
          <t>08 CROSSWALK</t>
        </is>
      </c>
    </row>
    <row r="557" ht="49" customHeight="1">
      <c r="A557" s="34" t="inlineStr">
        <is>
          <t>R362-v1</t>
        </is>
      </c>
      <c r="B557" s="34" t="inlineStr">
        <is>
          <t>Contractor Programme / SCH-03-002</t>
        </is>
      </c>
      <c r="C557" s="34" t="inlineStr">
        <is>
          <t>WBS Code = 1.3.1</t>
        </is>
      </c>
      <c r="D557" s="34" t="inlineStr">
        <is>
          <t>Proposed by Source assignment; target 1.3.1 Systems - Traction Power</t>
        </is>
      </c>
      <c r="E557" s="34" t="inlineStr">
        <is>
          <t>None recorded</t>
        </is>
      </c>
      <c r="F557" s="34" t="inlineStr">
        <is>
          <t>No individual professional decision recorded; Source assignment -- not individually reviewed</t>
        </is>
      </c>
      <c r="G557" s="34" t="inlineStr">
        <is>
          <t>Not individually decided</t>
        </is>
      </c>
      <c r="H557" s="34" t="inlineStr">
        <is>
          <t xml:space="preserve">APPROVED / ONE_TO_ONE; </t>
        </is>
      </c>
      <c r="I557" s="34" t="inlineStr">
        <is>
          <t>New</t>
        </is>
      </c>
      <c r="J557" s="92" t="inlineStr">
        <is>
          <t>08 CROSSWALK</t>
        </is>
      </c>
    </row>
    <row r="558" ht="49" customHeight="1">
      <c r="A558" s="34" t="inlineStr">
        <is>
          <t>R364-v1</t>
        </is>
      </c>
      <c r="B558" s="34" t="inlineStr">
        <is>
          <t>Contractor Programme / SCH-03-004</t>
        </is>
      </c>
      <c r="C558" s="34" t="inlineStr">
        <is>
          <t>WBS Code = 1.3.1</t>
        </is>
      </c>
      <c r="D558" s="34" t="inlineStr">
        <is>
          <t>Proposed by Source assignment; target 1.3.1 Systems - Traction Power</t>
        </is>
      </c>
      <c r="E558" s="34" t="inlineStr">
        <is>
          <t>None recorded</t>
        </is>
      </c>
      <c r="F558" s="34" t="inlineStr">
        <is>
          <t>No individual professional decision recorded; Source assignment -- not individually reviewed</t>
        </is>
      </c>
      <c r="G558" s="34" t="inlineStr">
        <is>
          <t>Not individually decided</t>
        </is>
      </c>
      <c r="H558" s="34" t="inlineStr">
        <is>
          <t xml:space="preserve">APPROVED / ONE_TO_ONE; </t>
        </is>
      </c>
      <c r="I558" s="34" t="inlineStr">
        <is>
          <t>New</t>
        </is>
      </c>
      <c r="J558" s="92" t="inlineStr">
        <is>
          <t>08 CROSSWALK</t>
        </is>
      </c>
    </row>
    <row r="559" ht="49" customHeight="1">
      <c r="A559" s="34" t="inlineStr">
        <is>
          <t>R365-v1</t>
        </is>
      </c>
      <c r="B559" s="34" t="inlineStr">
        <is>
          <t>Contractor Programme / SCH-03-005</t>
        </is>
      </c>
      <c r="C559" s="34" t="inlineStr">
        <is>
          <t>WBS Code = 1.3.1</t>
        </is>
      </c>
      <c r="D559" s="34" t="inlineStr">
        <is>
          <t>Proposed by Source assignment; target 1.3.1 Systems - Traction Power</t>
        </is>
      </c>
      <c r="E559" s="34" t="inlineStr">
        <is>
          <t>None recorded</t>
        </is>
      </c>
      <c r="F559" s="34" t="inlineStr">
        <is>
          <t>No individual professional decision recorded; Source assignment -- not individually reviewed</t>
        </is>
      </c>
      <c r="G559" s="34" t="inlineStr">
        <is>
          <t>Not individually decided</t>
        </is>
      </c>
      <c r="H559" s="34" t="inlineStr">
        <is>
          <t xml:space="preserve">APPROVED / ONE_TO_ONE; </t>
        </is>
      </c>
      <c r="I559" s="34" t="inlineStr">
        <is>
          <t>New</t>
        </is>
      </c>
      <c r="J559" s="92" t="inlineStr">
        <is>
          <t>08 CROSSWALK</t>
        </is>
      </c>
    </row>
    <row r="560" ht="49" customHeight="1">
      <c r="A560" s="34" t="inlineStr">
        <is>
          <t>R367-v1</t>
        </is>
      </c>
      <c r="B560" s="34" t="inlineStr">
        <is>
          <t>Contractor Programme / SCH-03-007</t>
        </is>
      </c>
      <c r="C560" s="34" t="inlineStr">
        <is>
          <t>WBS Code = 1.3.1</t>
        </is>
      </c>
      <c r="D560" s="34" t="inlineStr">
        <is>
          <t>Proposed by Source assignment; target 1.3.1 Systems - Traction Power</t>
        </is>
      </c>
      <c r="E560" s="34" t="inlineStr">
        <is>
          <t>None recorded</t>
        </is>
      </c>
      <c r="F560" s="34" t="inlineStr">
        <is>
          <t>No individual professional decision recorded; Source assignment -- not individually reviewed</t>
        </is>
      </c>
      <c r="G560" s="34" t="inlineStr">
        <is>
          <t>Not individually decided</t>
        </is>
      </c>
      <c r="H560" s="34" t="inlineStr">
        <is>
          <t xml:space="preserve">APPROVED / ONE_TO_ONE; </t>
        </is>
      </c>
      <c r="I560" s="34" t="inlineStr">
        <is>
          <t>New</t>
        </is>
      </c>
      <c r="J560" s="92" t="inlineStr">
        <is>
          <t>08 CROSSWALK</t>
        </is>
      </c>
    </row>
    <row r="561" ht="49" customHeight="1">
      <c r="A561" s="34" t="inlineStr">
        <is>
          <t>R368-v1</t>
        </is>
      </c>
      <c r="B561" s="34" t="inlineStr">
        <is>
          <t>Contractor Programme / SCH-03-008</t>
        </is>
      </c>
      <c r="C561" s="34" t="inlineStr">
        <is>
          <t>WBS Code = 1.3.1</t>
        </is>
      </c>
      <c r="D561" s="34" t="inlineStr">
        <is>
          <t>Proposed by Source assignment; target 1.3.1 Systems - Traction Power</t>
        </is>
      </c>
      <c r="E561" s="34" t="inlineStr">
        <is>
          <t>None recorded</t>
        </is>
      </c>
      <c r="F561" s="34" t="inlineStr">
        <is>
          <t>No individual professional decision recorded; Source assignment -- not individually reviewed</t>
        </is>
      </c>
      <c r="G561" s="34" t="inlineStr">
        <is>
          <t>Not individually decided</t>
        </is>
      </c>
      <c r="H561" s="34" t="inlineStr">
        <is>
          <t xml:space="preserve">APPROVED / ONE_TO_ONE; </t>
        </is>
      </c>
      <c r="I561" s="34" t="inlineStr">
        <is>
          <t>New</t>
        </is>
      </c>
      <c r="J561" s="92" t="inlineStr">
        <is>
          <t>08 CROSSWALK</t>
        </is>
      </c>
    </row>
    <row r="562" ht="49" customHeight="1">
      <c r="A562" s="34" t="inlineStr">
        <is>
          <t>R370-v1</t>
        </is>
      </c>
      <c r="B562" s="34" t="inlineStr">
        <is>
          <t>Contractor Programme / SCH-03-010</t>
        </is>
      </c>
      <c r="C562" s="34" t="inlineStr">
        <is>
          <t>WBS Code = 1.3.1</t>
        </is>
      </c>
      <c r="D562" s="34" t="inlineStr">
        <is>
          <t>Proposed by Source assignment; target 1.3.1 Systems - Traction Power</t>
        </is>
      </c>
      <c r="E562" s="34" t="inlineStr">
        <is>
          <t>None recorded</t>
        </is>
      </c>
      <c r="F562" s="34" t="inlineStr">
        <is>
          <t>No individual professional decision recorded; Source assignment -- not individually reviewed</t>
        </is>
      </c>
      <c r="G562" s="34" t="inlineStr">
        <is>
          <t>Not individually decided</t>
        </is>
      </c>
      <c r="H562" s="34" t="inlineStr">
        <is>
          <t xml:space="preserve">APPROVED / ONE_TO_ONE; </t>
        </is>
      </c>
      <c r="I562" s="34" t="inlineStr">
        <is>
          <t>New</t>
        </is>
      </c>
      <c r="J562" s="92" t="inlineStr">
        <is>
          <t>08 CROSSWALK</t>
        </is>
      </c>
    </row>
    <row r="563" ht="49" customHeight="1">
      <c r="A563" s="34" t="inlineStr">
        <is>
          <t>R371-v1</t>
        </is>
      </c>
      <c r="B563" s="34" t="inlineStr">
        <is>
          <t>Contractor Programme / SCH-03-011</t>
        </is>
      </c>
      <c r="C563" s="34" t="inlineStr">
        <is>
          <t>WBS Code = 1.3.1</t>
        </is>
      </c>
      <c r="D563" s="34" t="inlineStr">
        <is>
          <t>Proposed by Source assignment; target 1.3.1 Systems - Traction Power</t>
        </is>
      </c>
      <c r="E563" s="34" t="inlineStr">
        <is>
          <t>None recorded</t>
        </is>
      </c>
      <c r="F563" s="34" t="inlineStr">
        <is>
          <t>No individual professional decision recorded; Source assignment -- not individually reviewed</t>
        </is>
      </c>
      <c r="G563" s="34" t="inlineStr">
        <is>
          <t>Not individually decided</t>
        </is>
      </c>
      <c r="H563" s="34" t="inlineStr">
        <is>
          <t xml:space="preserve">APPROVED / ONE_TO_ONE; </t>
        </is>
      </c>
      <c r="I563" s="34" t="inlineStr">
        <is>
          <t>New</t>
        </is>
      </c>
      <c r="J563" s="92" t="inlineStr">
        <is>
          <t>08 CROSSWALK</t>
        </is>
      </c>
    </row>
    <row r="564" ht="49" customHeight="1">
      <c r="A564" s="34" t="inlineStr">
        <is>
          <t>R373-v1</t>
        </is>
      </c>
      <c r="B564" s="34" t="inlineStr">
        <is>
          <t>Contractor Programme / SCH-03-013</t>
        </is>
      </c>
      <c r="C564" s="34" t="inlineStr">
        <is>
          <t>WBS Code = 1.3.1</t>
        </is>
      </c>
      <c r="D564" s="34" t="inlineStr">
        <is>
          <t>Proposed by Source assignment; target 1.3.1 Systems - Traction Power</t>
        </is>
      </c>
      <c r="E564" s="34" t="inlineStr">
        <is>
          <t>None recorded</t>
        </is>
      </c>
      <c r="F564" s="34" t="inlineStr">
        <is>
          <t>No individual professional decision recorded; Source assignment -- not individually reviewed</t>
        </is>
      </c>
      <c r="G564" s="34" t="inlineStr">
        <is>
          <t>Not individually decided</t>
        </is>
      </c>
      <c r="H564" s="34" t="inlineStr">
        <is>
          <t xml:space="preserve">APPROVED / ONE_TO_ONE; </t>
        </is>
      </c>
      <c r="I564" s="34" t="inlineStr">
        <is>
          <t>New</t>
        </is>
      </c>
      <c r="J564" s="92" t="inlineStr">
        <is>
          <t>08 CROSSWALK</t>
        </is>
      </c>
    </row>
    <row r="565" ht="49" customHeight="1">
      <c r="A565" s="34" t="inlineStr">
        <is>
          <t>R374-v1</t>
        </is>
      </c>
      <c r="B565" s="34" t="inlineStr">
        <is>
          <t>Contractor Programme / SCH-03-014</t>
        </is>
      </c>
      <c r="C565" s="34" t="inlineStr">
        <is>
          <t>WBS Code = 1.3.1</t>
        </is>
      </c>
      <c r="D565" s="34" t="inlineStr">
        <is>
          <t>Proposed by Source assignment; target 1.3.1 Systems - Traction Power</t>
        </is>
      </c>
      <c r="E565" s="34" t="inlineStr">
        <is>
          <t>None recorded</t>
        </is>
      </c>
      <c r="F565" s="34" t="inlineStr">
        <is>
          <t>No individual professional decision recorded; Source assignment -- not individually reviewed</t>
        </is>
      </c>
      <c r="G565" s="34" t="inlineStr">
        <is>
          <t>Not individually decided</t>
        </is>
      </c>
      <c r="H565" s="34" t="inlineStr">
        <is>
          <t xml:space="preserve">APPROVED / ONE_TO_ONE; </t>
        </is>
      </c>
      <c r="I565" s="34" t="inlineStr">
        <is>
          <t>New</t>
        </is>
      </c>
      <c r="J565" s="92" t="inlineStr">
        <is>
          <t>08 CROSSWALK</t>
        </is>
      </c>
    </row>
    <row r="566" ht="49" customHeight="1">
      <c r="A566" s="34" t="inlineStr">
        <is>
          <t>R376-v1</t>
        </is>
      </c>
      <c r="B566" s="34" t="inlineStr">
        <is>
          <t>Contractor Programme / SCH-03-016</t>
        </is>
      </c>
      <c r="C566" s="34" t="inlineStr">
        <is>
          <t>WBS Code = 1.3.1</t>
        </is>
      </c>
      <c r="D566" s="34" t="inlineStr">
        <is>
          <t>Proposed by Source assignment; target 1.3.1 Systems - Traction Power</t>
        </is>
      </c>
      <c r="E566" s="34" t="inlineStr">
        <is>
          <t>None recorded</t>
        </is>
      </c>
      <c r="F566" s="34" t="inlineStr">
        <is>
          <t>No individual professional decision recorded; Source assignment -- not individually reviewed</t>
        </is>
      </c>
      <c r="G566" s="34" t="inlineStr">
        <is>
          <t>Not individually decided</t>
        </is>
      </c>
      <c r="H566" s="34" t="inlineStr">
        <is>
          <t xml:space="preserve">APPROVED / ONE_TO_ONE; </t>
        </is>
      </c>
      <c r="I566" s="34" t="inlineStr">
        <is>
          <t>New</t>
        </is>
      </c>
      <c r="J566" s="92" t="inlineStr">
        <is>
          <t>08 CROSSWALK</t>
        </is>
      </c>
    </row>
    <row r="567" ht="49" customHeight="1">
      <c r="A567" s="34" t="inlineStr">
        <is>
          <t>R377-v1</t>
        </is>
      </c>
      <c r="B567" s="34" t="inlineStr">
        <is>
          <t>Contractor Programme / SCH-03-017</t>
        </is>
      </c>
      <c r="C567" s="34" t="inlineStr">
        <is>
          <t>WBS Code = 1.3.1</t>
        </is>
      </c>
      <c r="D567" s="34" t="inlineStr">
        <is>
          <t>Proposed by Source assignment; target 1.3.1 Systems - Traction Power</t>
        </is>
      </c>
      <c r="E567" s="34" t="inlineStr">
        <is>
          <t>None recorded</t>
        </is>
      </c>
      <c r="F567" s="34" t="inlineStr">
        <is>
          <t>No individual professional decision recorded; Source assignment -- not individually reviewed</t>
        </is>
      </c>
      <c r="G567" s="34" t="inlineStr">
        <is>
          <t>Not individually decided</t>
        </is>
      </c>
      <c r="H567" s="34" t="inlineStr">
        <is>
          <t xml:space="preserve">APPROVED / ONE_TO_ONE; </t>
        </is>
      </c>
      <c r="I567" s="34" t="inlineStr">
        <is>
          <t>New</t>
        </is>
      </c>
      <c r="J567" s="92" t="inlineStr">
        <is>
          <t>08 CROSSWALK</t>
        </is>
      </c>
    </row>
    <row r="568" ht="49" customHeight="1">
      <c r="A568" s="34" t="inlineStr">
        <is>
          <t>R379-v1</t>
        </is>
      </c>
      <c r="B568" s="34" t="inlineStr">
        <is>
          <t>Contractor Programme / SCH-03-019</t>
        </is>
      </c>
      <c r="C568" s="34" t="inlineStr">
        <is>
          <t>WBS Code = 1.3.1</t>
        </is>
      </c>
      <c r="D568" s="34" t="inlineStr">
        <is>
          <t>Proposed by Source assignment; target 1.3.1 Systems - Traction Power</t>
        </is>
      </c>
      <c r="E568" s="34" t="inlineStr">
        <is>
          <t>None recorded</t>
        </is>
      </c>
      <c r="F568" s="34" t="inlineStr">
        <is>
          <t>No individual professional decision recorded; Source assignment -- not individually reviewed</t>
        </is>
      </c>
      <c r="G568" s="34" t="inlineStr">
        <is>
          <t>Not individually decided</t>
        </is>
      </c>
      <c r="H568" s="34" t="inlineStr">
        <is>
          <t xml:space="preserve">APPROVED / ONE_TO_ONE; </t>
        </is>
      </c>
      <c r="I568" s="34" t="inlineStr">
        <is>
          <t>New</t>
        </is>
      </c>
      <c r="J568" s="92" t="inlineStr">
        <is>
          <t>08 CROSSWALK</t>
        </is>
      </c>
    </row>
    <row r="569" ht="49" customHeight="1">
      <c r="A569" s="34" t="inlineStr">
        <is>
          <t>R380-v1</t>
        </is>
      </c>
      <c r="B569" s="34" t="inlineStr">
        <is>
          <t>Contractor Programme / SCH-03-020</t>
        </is>
      </c>
      <c r="C569" s="34" t="inlineStr">
        <is>
          <t>WBS Code = 1.3.1</t>
        </is>
      </c>
      <c r="D569" s="34" t="inlineStr">
        <is>
          <t>Proposed by Source assignment; target 1.3.1 Systems - Traction Power</t>
        </is>
      </c>
      <c r="E569" s="34" t="inlineStr">
        <is>
          <t>None recorded</t>
        </is>
      </c>
      <c r="F569" s="34" t="inlineStr">
        <is>
          <t>No individual professional decision recorded; Source assignment -- not individually reviewed</t>
        </is>
      </c>
      <c r="G569" s="34" t="inlineStr">
        <is>
          <t>Not individually decided</t>
        </is>
      </c>
      <c r="H569" s="34" t="inlineStr">
        <is>
          <t xml:space="preserve">APPROVED / ONE_TO_ONE; </t>
        </is>
      </c>
      <c r="I569" s="34" t="inlineStr">
        <is>
          <t>New</t>
        </is>
      </c>
      <c r="J569" s="92" t="inlineStr">
        <is>
          <t>08 CROSSWALK</t>
        </is>
      </c>
    </row>
    <row r="570" ht="49" customHeight="1">
      <c r="A570" s="34" t="inlineStr">
        <is>
          <t>R382-v1</t>
        </is>
      </c>
      <c r="B570" s="34" t="inlineStr">
        <is>
          <t>Contractor Programme / SCH-03-022</t>
        </is>
      </c>
      <c r="C570" s="34" t="inlineStr">
        <is>
          <t>WBS Code = 1.3.1</t>
        </is>
      </c>
      <c r="D570" s="34" t="inlineStr">
        <is>
          <t>Proposed by Source assignment; target 1.3.1 Systems - Traction Power</t>
        </is>
      </c>
      <c r="E570" s="34" t="inlineStr">
        <is>
          <t>None recorded</t>
        </is>
      </c>
      <c r="F570" s="34" t="inlineStr">
        <is>
          <t>No individual professional decision recorded; Source assignment -- not individually reviewed</t>
        </is>
      </c>
      <c r="G570" s="34" t="inlineStr">
        <is>
          <t>Not individually decided</t>
        </is>
      </c>
      <c r="H570" s="34" t="inlineStr">
        <is>
          <t xml:space="preserve">APPROVED / ONE_TO_ONE; </t>
        </is>
      </c>
      <c r="I570" s="34" t="inlineStr">
        <is>
          <t>New</t>
        </is>
      </c>
      <c r="J570" s="92" t="inlineStr">
        <is>
          <t>08 CROSSWALK</t>
        </is>
      </c>
    </row>
    <row r="571" ht="49" customHeight="1">
      <c r="A571" s="34" t="inlineStr">
        <is>
          <t>R383-v1</t>
        </is>
      </c>
      <c r="B571" s="34" t="inlineStr">
        <is>
          <t>Contractor Programme / SCH-03-023</t>
        </is>
      </c>
      <c r="C571" s="34" t="inlineStr">
        <is>
          <t>WBS Code = 1.3.1</t>
        </is>
      </c>
      <c r="D571" s="34" t="inlineStr">
        <is>
          <t>Proposed by Source assignment; target 1.3.1 Systems - Traction Power</t>
        </is>
      </c>
      <c r="E571" s="34" t="inlineStr">
        <is>
          <t>None recorded</t>
        </is>
      </c>
      <c r="F571" s="34" t="inlineStr">
        <is>
          <t>No individual professional decision recorded; Source assignment -- not individually reviewed</t>
        </is>
      </c>
      <c r="G571" s="34" t="inlineStr">
        <is>
          <t>Not individually decided</t>
        </is>
      </c>
      <c r="H571" s="34" t="inlineStr">
        <is>
          <t xml:space="preserve">APPROVED / ONE_TO_ONE; </t>
        </is>
      </c>
      <c r="I571" s="34" t="inlineStr">
        <is>
          <t>New</t>
        </is>
      </c>
      <c r="J571" s="92" t="inlineStr">
        <is>
          <t>08 CROSSWALK</t>
        </is>
      </c>
    </row>
    <row r="572" ht="49" customHeight="1">
      <c r="A572" s="34" t="inlineStr">
        <is>
          <t>R385-v1</t>
        </is>
      </c>
      <c r="B572" s="34" t="inlineStr">
        <is>
          <t>Contractor Programme / SCH-03-025</t>
        </is>
      </c>
      <c r="C572" s="34" t="inlineStr">
        <is>
          <t>WBS Code = 1.3.1</t>
        </is>
      </c>
      <c r="D572" s="34" t="inlineStr">
        <is>
          <t>Proposed by Source assignment; target 1.3.1 Systems - Traction Power</t>
        </is>
      </c>
      <c r="E572" s="34" t="inlineStr">
        <is>
          <t>None recorded</t>
        </is>
      </c>
      <c r="F572" s="34" t="inlineStr">
        <is>
          <t>No individual professional decision recorded; Source assignment -- not individually reviewed</t>
        </is>
      </c>
      <c r="G572" s="34" t="inlineStr">
        <is>
          <t>Not individually decided</t>
        </is>
      </c>
      <c r="H572" s="34" t="inlineStr">
        <is>
          <t xml:space="preserve">APPROVED / ONE_TO_ONE; </t>
        </is>
      </c>
      <c r="I572" s="34" t="inlineStr">
        <is>
          <t>New</t>
        </is>
      </c>
      <c r="J572" s="92" t="inlineStr">
        <is>
          <t>08 CROSSWALK</t>
        </is>
      </c>
    </row>
    <row r="573" ht="49" customHeight="1">
      <c r="A573" s="34" t="inlineStr">
        <is>
          <t>R386-v1</t>
        </is>
      </c>
      <c r="B573" s="34" t="inlineStr">
        <is>
          <t>Contractor Programme / SCH-03-026</t>
        </is>
      </c>
      <c r="C573" s="34" t="inlineStr">
        <is>
          <t>WBS Code = 1.3.1</t>
        </is>
      </c>
      <c r="D573" s="34" t="inlineStr">
        <is>
          <t>Proposed by Source assignment; target 1.3.1 Systems - Traction Power</t>
        </is>
      </c>
      <c r="E573" s="34" t="inlineStr">
        <is>
          <t>None recorded</t>
        </is>
      </c>
      <c r="F573" s="34" t="inlineStr">
        <is>
          <t>No individual professional decision recorded; Source assignment -- not individually reviewed</t>
        </is>
      </c>
      <c r="G573" s="34" t="inlineStr">
        <is>
          <t>Not individually decided</t>
        </is>
      </c>
      <c r="H573" s="34" t="inlineStr">
        <is>
          <t xml:space="preserve">APPROVED / ONE_TO_ONE; </t>
        </is>
      </c>
      <c r="I573" s="34" t="inlineStr">
        <is>
          <t>New</t>
        </is>
      </c>
      <c r="J573" s="92" t="inlineStr">
        <is>
          <t>08 CROSSWALK</t>
        </is>
      </c>
    </row>
    <row r="574" ht="49" customHeight="1">
      <c r="A574" s="34" t="inlineStr">
        <is>
          <t>R388-v1</t>
        </is>
      </c>
      <c r="B574" s="34" t="inlineStr">
        <is>
          <t>Contractor Programme / SCH-03-028</t>
        </is>
      </c>
      <c r="C574" s="34" t="inlineStr">
        <is>
          <t>WBS Code = 1.3.1</t>
        </is>
      </c>
      <c r="D574" s="34" t="inlineStr">
        <is>
          <t>Proposed by Source assignment; target 1.3.1 Systems - Traction Power</t>
        </is>
      </c>
      <c r="E574" s="34" t="inlineStr">
        <is>
          <t>None recorded</t>
        </is>
      </c>
      <c r="F574" s="34" t="inlineStr">
        <is>
          <t>No individual professional decision recorded; Source assignment -- not individually reviewed</t>
        </is>
      </c>
      <c r="G574" s="34" t="inlineStr">
        <is>
          <t>Not individually decided</t>
        </is>
      </c>
      <c r="H574" s="34" t="inlineStr">
        <is>
          <t xml:space="preserve">APPROVED / ONE_TO_ONE; </t>
        </is>
      </c>
      <c r="I574" s="34" t="inlineStr">
        <is>
          <t>New</t>
        </is>
      </c>
      <c r="J574" s="92" t="inlineStr">
        <is>
          <t>08 CROSSWALK</t>
        </is>
      </c>
    </row>
    <row r="575" ht="49" customHeight="1">
      <c r="A575" s="34" t="inlineStr">
        <is>
          <t>R389-v1</t>
        </is>
      </c>
      <c r="B575" s="34" t="inlineStr">
        <is>
          <t>Contractor Programme / SCH-03-029</t>
        </is>
      </c>
      <c r="C575" s="34" t="inlineStr">
        <is>
          <t>WBS Code = 1.3.1</t>
        </is>
      </c>
      <c r="D575" s="34" t="inlineStr">
        <is>
          <t>Proposed by Source assignment; target 1.3.1 Systems - Traction Power</t>
        </is>
      </c>
      <c r="E575" s="34" t="inlineStr">
        <is>
          <t>None recorded</t>
        </is>
      </c>
      <c r="F575" s="34" t="inlineStr">
        <is>
          <t>No individual professional decision recorded; Source assignment -- not individually reviewed</t>
        </is>
      </c>
      <c r="G575" s="34" t="inlineStr">
        <is>
          <t>Not individually decided</t>
        </is>
      </c>
      <c r="H575" s="34" t="inlineStr">
        <is>
          <t xml:space="preserve">APPROVED / ONE_TO_ONE; </t>
        </is>
      </c>
      <c r="I575" s="34" t="inlineStr">
        <is>
          <t>New</t>
        </is>
      </c>
      <c r="J575" s="92" t="inlineStr">
        <is>
          <t>08 CROSSWALK</t>
        </is>
      </c>
    </row>
    <row r="576" ht="49" customHeight="1">
      <c r="A576" s="34" t="inlineStr">
        <is>
          <t>R391-v1</t>
        </is>
      </c>
      <c r="B576" s="34" t="inlineStr">
        <is>
          <t>Contractor Programme / SCH-03-031</t>
        </is>
      </c>
      <c r="C576" s="34" t="inlineStr">
        <is>
          <t>WBS Code = 1.3.1</t>
        </is>
      </c>
      <c r="D576" s="34" t="inlineStr">
        <is>
          <t>Proposed by Source assignment; target 1.3.1 Systems - Traction Power</t>
        </is>
      </c>
      <c r="E576" s="34" t="inlineStr">
        <is>
          <t>None recorded</t>
        </is>
      </c>
      <c r="F576" s="34" t="inlineStr">
        <is>
          <t>No individual professional decision recorded; Source assignment -- not individually reviewed</t>
        </is>
      </c>
      <c r="G576" s="34" t="inlineStr">
        <is>
          <t>Not individually decided</t>
        </is>
      </c>
      <c r="H576" s="34" t="inlineStr">
        <is>
          <t xml:space="preserve">APPROVED / ONE_TO_ONE; </t>
        </is>
      </c>
      <c r="I576" s="34" t="inlineStr">
        <is>
          <t>New</t>
        </is>
      </c>
      <c r="J576" s="92" t="inlineStr">
        <is>
          <t>08 CROSSWALK</t>
        </is>
      </c>
    </row>
    <row r="577" ht="49" customHeight="1">
      <c r="A577" s="34" t="inlineStr">
        <is>
          <t>R392-v1</t>
        </is>
      </c>
      <c r="B577" s="34" t="inlineStr">
        <is>
          <t>Contractor Programme / SCH-03-032</t>
        </is>
      </c>
      <c r="C577" s="34" t="inlineStr">
        <is>
          <t>WBS Code = 1.3.1</t>
        </is>
      </c>
      <c r="D577" s="34" t="inlineStr">
        <is>
          <t>Proposed by Source assignment; target 1.3.1 Systems - Traction Power</t>
        </is>
      </c>
      <c r="E577" s="34" t="inlineStr">
        <is>
          <t>None recorded</t>
        </is>
      </c>
      <c r="F577" s="34" t="inlineStr">
        <is>
          <t>No individual professional decision recorded; Source assignment -- not individually reviewed</t>
        </is>
      </c>
      <c r="G577" s="34" t="inlineStr">
        <is>
          <t>Not individually decided</t>
        </is>
      </c>
      <c r="H577" s="34" t="inlineStr">
        <is>
          <t xml:space="preserve">APPROVED / ONE_TO_ONE; </t>
        </is>
      </c>
      <c r="I577" s="34" t="inlineStr">
        <is>
          <t>New</t>
        </is>
      </c>
      <c r="J577" s="92" t="inlineStr">
        <is>
          <t>08 CROSSWALK</t>
        </is>
      </c>
    </row>
    <row r="578" ht="49" customHeight="1">
      <c r="A578" s="34" t="inlineStr">
        <is>
          <t>R394-v1</t>
        </is>
      </c>
      <c r="B578" s="34" t="inlineStr">
        <is>
          <t>Contractor Programme / SCH-03-034</t>
        </is>
      </c>
      <c r="C578" s="34" t="inlineStr">
        <is>
          <t>WBS Code = 1.3.1</t>
        </is>
      </c>
      <c r="D578" s="34" t="inlineStr">
        <is>
          <t>Proposed by Source assignment; target 1.3.1 Systems - Traction Power</t>
        </is>
      </c>
      <c r="E578" s="34" t="inlineStr">
        <is>
          <t>None recorded</t>
        </is>
      </c>
      <c r="F578" s="34" t="inlineStr">
        <is>
          <t>No individual professional decision recorded; Source assignment -- not individually reviewed</t>
        </is>
      </c>
      <c r="G578" s="34" t="inlineStr">
        <is>
          <t>Not individually decided</t>
        </is>
      </c>
      <c r="H578" s="34" t="inlineStr">
        <is>
          <t xml:space="preserve">APPROVED / ONE_TO_ONE; </t>
        </is>
      </c>
      <c r="I578" s="34" t="inlineStr">
        <is>
          <t>New</t>
        </is>
      </c>
      <c r="J578" s="92" t="inlineStr">
        <is>
          <t>08 CROSSWALK</t>
        </is>
      </c>
    </row>
    <row r="579" ht="49" customHeight="1">
      <c r="A579" s="34" t="inlineStr">
        <is>
          <t>R395-v1</t>
        </is>
      </c>
      <c r="B579" s="34" t="inlineStr">
        <is>
          <t>Contractor Programme / SCH-03-035</t>
        </is>
      </c>
      <c r="C579" s="34" t="inlineStr">
        <is>
          <t>WBS Code = 1.3.1</t>
        </is>
      </c>
      <c r="D579" s="34" t="inlineStr">
        <is>
          <t>Proposed by Source assignment; target 1.3.1 Systems - Traction Power</t>
        </is>
      </c>
      <c r="E579" s="34" t="inlineStr">
        <is>
          <t>None recorded</t>
        </is>
      </c>
      <c r="F579" s="34" t="inlineStr">
        <is>
          <t>No individual professional decision recorded; Source assignment -- not individually reviewed</t>
        </is>
      </c>
      <c r="G579" s="34" t="inlineStr">
        <is>
          <t>Not individually decided</t>
        </is>
      </c>
      <c r="H579" s="34" t="inlineStr">
        <is>
          <t xml:space="preserve">APPROVED / ONE_TO_ONE; </t>
        </is>
      </c>
      <c r="I579" s="34" t="inlineStr">
        <is>
          <t>New</t>
        </is>
      </c>
      <c r="J579" s="92" t="inlineStr">
        <is>
          <t>08 CROSSWALK</t>
        </is>
      </c>
    </row>
    <row r="580" ht="49" customHeight="1">
      <c r="A580" s="34" t="inlineStr">
        <is>
          <t>R397-v1</t>
        </is>
      </c>
      <c r="B580" s="34" t="inlineStr">
        <is>
          <t>Contractor Programme / SCH-03-037</t>
        </is>
      </c>
      <c r="C580" s="34" t="inlineStr">
        <is>
          <t>WBS Code = 1.3.1</t>
        </is>
      </c>
      <c r="D580" s="34" t="inlineStr">
        <is>
          <t>Proposed by Source assignment; target 1.3.1 Systems - Traction Power</t>
        </is>
      </c>
      <c r="E580" s="34" t="inlineStr">
        <is>
          <t>None recorded</t>
        </is>
      </c>
      <c r="F580" s="34" t="inlineStr">
        <is>
          <t>No individual professional decision recorded; Source assignment -- not individually reviewed</t>
        </is>
      </c>
      <c r="G580" s="34" t="inlineStr">
        <is>
          <t>Not individually decided</t>
        </is>
      </c>
      <c r="H580" s="34" t="inlineStr">
        <is>
          <t xml:space="preserve">APPROVED / ONE_TO_ONE; </t>
        </is>
      </c>
      <c r="I580" s="34" t="inlineStr">
        <is>
          <t>New</t>
        </is>
      </c>
      <c r="J580" s="92" t="inlineStr">
        <is>
          <t>08 CROSSWALK</t>
        </is>
      </c>
    </row>
    <row r="581" ht="49" customHeight="1">
      <c r="A581" s="34" t="inlineStr">
        <is>
          <t>R398-v1</t>
        </is>
      </c>
      <c r="B581" s="34" t="inlineStr">
        <is>
          <t>Contractor Programme / SCH-03-038</t>
        </is>
      </c>
      <c r="C581" s="34" t="inlineStr">
        <is>
          <t>WBS Code = 1.3.1</t>
        </is>
      </c>
      <c r="D581" s="34" t="inlineStr">
        <is>
          <t>Proposed by Source assignment; target 1.3.1 Systems - Traction Power</t>
        </is>
      </c>
      <c r="E581" s="34" t="inlineStr">
        <is>
          <t>None recorded</t>
        </is>
      </c>
      <c r="F581" s="34" t="inlineStr">
        <is>
          <t>No individual professional decision recorded; Source assignment -- not individually reviewed</t>
        </is>
      </c>
      <c r="G581" s="34" t="inlineStr">
        <is>
          <t>Not individually decided</t>
        </is>
      </c>
      <c r="H581" s="34" t="inlineStr">
        <is>
          <t xml:space="preserve">APPROVED / ONE_TO_ONE; </t>
        </is>
      </c>
      <c r="I581" s="34" t="inlineStr">
        <is>
          <t>New</t>
        </is>
      </c>
      <c r="J581" s="92" t="inlineStr">
        <is>
          <t>08 CROSSWALK</t>
        </is>
      </c>
    </row>
    <row r="582" ht="49" customHeight="1">
      <c r="A582" s="34" t="inlineStr">
        <is>
          <t>R400-v1</t>
        </is>
      </c>
      <c r="B582" s="34" t="inlineStr">
        <is>
          <t>Contractor Programme / SCH-03-040</t>
        </is>
      </c>
      <c r="C582" s="34" t="inlineStr">
        <is>
          <t>WBS Code = 1.3.1</t>
        </is>
      </c>
      <c r="D582" s="34" t="inlineStr">
        <is>
          <t>Proposed by Source assignment; target 1.3.1 Systems - Traction Power</t>
        </is>
      </c>
      <c r="E582" s="34" t="inlineStr">
        <is>
          <t>None recorded</t>
        </is>
      </c>
      <c r="F582" s="34" t="inlineStr">
        <is>
          <t>No individual professional decision recorded; Source assignment -- not individually reviewed</t>
        </is>
      </c>
      <c r="G582" s="34" t="inlineStr">
        <is>
          <t>Not individually decided</t>
        </is>
      </c>
      <c r="H582" s="34" t="inlineStr">
        <is>
          <t xml:space="preserve">APPROVED / ONE_TO_ONE; </t>
        </is>
      </c>
      <c r="I582" s="34" t="inlineStr">
        <is>
          <t>New</t>
        </is>
      </c>
      <c r="J582" s="92" t="inlineStr">
        <is>
          <t>08 CROSSWALK</t>
        </is>
      </c>
    </row>
    <row r="583" ht="49" customHeight="1">
      <c r="A583" s="34" t="inlineStr">
        <is>
          <t>R401-v1</t>
        </is>
      </c>
      <c r="B583" s="34" t="inlineStr">
        <is>
          <t>Contractor Programme / SCH-03-041</t>
        </is>
      </c>
      <c r="C583" s="34" t="inlineStr">
        <is>
          <t>WBS Code = 1.3.1</t>
        </is>
      </c>
      <c r="D583" s="34" t="inlineStr">
        <is>
          <t>Proposed by Source assignment; target 1.3.1 Systems - Traction Power</t>
        </is>
      </c>
      <c r="E583" s="34" t="inlineStr">
        <is>
          <t>None recorded</t>
        </is>
      </c>
      <c r="F583" s="34" t="inlineStr">
        <is>
          <t>No individual professional decision recorded; Source assignment -- not individually reviewed</t>
        </is>
      </c>
      <c r="G583" s="34" t="inlineStr">
        <is>
          <t>Not individually decided</t>
        </is>
      </c>
      <c r="H583" s="34" t="inlineStr">
        <is>
          <t xml:space="preserve">APPROVED / ONE_TO_ONE; </t>
        </is>
      </c>
      <c r="I583" s="34" t="inlineStr">
        <is>
          <t>New</t>
        </is>
      </c>
      <c r="J583" s="92" t="inlineStr">
        <is>
          <t>08 CROSSWALK</t>
        </is>
      </c>
    </row>
    <row r="584" ht="49" customHeight="1">
      <c r="A584" s="34" t="inlineStr">
        <is>
          <t>R403-v1</t>
        </is>
      </c>
      <c r="B584" s="34" t="inlineStr">
        <is>
          <t>Contractor Programme / SCH-03-043</t>
        </is>
      </c>
      <c r="C584" s="34" t="inlineStr">
        <is>
          <t>WBS Code = 1.3.1</t>
        </is>
      </c>
      <c r="D584" s="34" t="inlineStr">
        <is>
          <t>Proposed by Source assignment; target 1.3.1 Systems - Traction Power</t>
        </is>
      </c>
      <c r="E584" s="34" t="inlineStr">
        <is>
          <t>None recorded</t>
        </is>
      </c>
      <c r="F584" s="34" t="inlineStr">
        <is>
          <t>No individual professional decision recorded; Source assignment -- not individually reviewed</t>
        </is>
      </c>
      <c r="G584" s="34" t="inlineStr">
        <is>
          <t>Not individually decided</t>
        </is>
      </c>
      <c r="H584" s="34" t="inlineStr">
        <is>
          <t xml:space="preserve">APPROVED / ONE_TO_ONE; </t>
        </is>
      </c>
      <c r="I584" s="34" t="inlineStr">
        <is>
          <t>New</t>
        </is>
      </c>
      <c r="J584" s="92" t="inlineStr">
        <is>
          <t>08 CROSSWALK</t>
        </is>
      </c>
    </row>
    <row r="585" ht="49" customHeight="1">
      <c r="A585" s="34" t="inlineStr">
        <is>
          <t>R404-v1</t>
        </is>
      </c>
      <c r="B585" s="34" t="inlineStr">
        <is>
          <t>Contractor Programme / SCH-03-044</t>
        </is>
      </c>
      <c r="C585" s="34" t="inlineStr">
        <is>
          <t>WBS Code = 1.3.1</t>
        </is>
      </c>
      <c r="D585" s="34" t="inlineStr">
        <is>
          <t>Proposed by Source assignment; target 1.3.1 Systems - Traction Power</t>
        </is>
      </c>
      <c r="E585" s="34" t="inlineStr">
        <is>
          <t>None recorded</t>
        </is>
      </c>
      <c r="F585" s="34" t="inlineStr">
        <is>
          <t>No individual professional decision recorded; Source assignment -- not individually reviewed</t>
        </is>
      </c>
      <c r="G585" s="34" t="inlineStr">
        <is>
          <t>Not individually decided</t>
        </is>
      </c>
      <c r="H585" s="34" t="inlineStr">
        <is>
          <t xml:space="preserve">APPROVED / ONE_TO_ONE; </t>
        </is>
      </c>
      <c r="I585" s="34" t="inlineStr">
        <is>
          <t>New</t>
        </is>
      </c>
      <c r="J585" s="92" t="inlineStr">
        <is>
          <t>08 CROSSWALK</t>
        </is>
      </c>
    </row>
    <row r="586" ht="49" customHeight="1">
      <c r="A586" s="34" t="inlineStr">
        <is>
          <t>R406-v1</t>
        </is>
      </c>
      <c r="B586" s="34" t="inlineStr">
        <is>
          <t>Contractor Programme / SCH-03-046</t>
        </is>
      </c>
      <c r="C586" s="34" t="inlineStr">
        <is>
          <t>WBS Code = 1.3.1</t>
        </is>
      </c>
      <c r="D586" s="34" t="inlineStr">
        <is>
          <t>Proposed by Source assignment; target 1.3.1 Systems - Traction Power</t>
        </is>
      </c>
      <c r="E586" s="34" t="inlineStr">
        <is>
          <t>None recorded</t>
        </is>
      </c>
      <c r="F586" s="34" t="inlineStr">
        <is>
          <t>No individual professional decision recorded; Source assignment -- not individually reviewed</t>
        </is>
      </c>
      <c r="G586" s="34" t="inlineStr">
        <is>
          <t>Not individually decided</t>
        </is>
      </c>
      <c r="H586" s="34" t="inlineStr">
        <is>
          <t xml:space="preserve">APPROVED / ONE_TO_ONE; </t>
        </is>
      </c>
      <c r="I586" s="34" t="inlineStr">
        <is>
          <t>New</t>
        </is>
      </c>
      <c r="J586" s="92" t="inlineStr">
        <is>
          <t>08 CROSSWALK</t>
        </is>
      </c>
    </row>
    <row r="587" ht="49" customHeight="1">
      <c r="A587" s="34" t="inlineStr">
        <is>
          <t>R407-v1</t>
        </is>
      </c>
      <c r="B587" s="34" t="inlineStr">
        <is>
          <t>Contractor Programme / SCH-03-047</t>
        </is>
      </c>
      <c r="C587" s="34" t="inlineStr">
        <is>
          <t>WBS Code = 1.3.1</t>
        </is>
      </c>
      <c r="D587" s="34" t="inlineStr">
        <is>
          <t>Proposed by Source assignment; target 1.3.1 Systems - Traction Power</t>
        </is>
      </c>
      <c r="E587" s="34" t="inlineStr">
        <is>
          <t>None recorded</t>
        </is>
      </c>
      <c r="F587" s="34" t="inlineStr">
        <is>
          <t>No individual professional decision recorded; Source assignment -- not individually reviewed</t>
        </is>
      </c>
      <c r="G587" s="34" t="inlineStr">
        <is>
          <t>Not individually decided</t>
        </is>
      </c>
      <c r="H587" s="34" t="inlineStr">
        <is>
          <t xml:space="preserve">APPROVED / ONE_TO_ONE; </t>
        </is>
      </c>
      <c r="I587" s="34" t="inlineStr">
        <is>
          <t>New</t>
        </is>
      </c>
      <c r="J587" s="92" t="inlineStr">
        <is>
          <t>08 CROSSWALK</t>
        </is>
      </c>
    </row>
    <row r="588" ht="49" customHeight="1">
      <c r="A588" s="34" t="inlineStr">
        <is>
          <t>R409-v1</t>
        </is>
      </c>
      <c r="B588" s="34" t="inlineStr">
        <is>
          <t>Contractor Programme / SCH-03-049</t>
        </is>
      </c>
      <c r="C588" s="34" t="inlineStr">
        <is>
          <t>WBS Code = 1.3.1</t>
        </is>
      </c>
      <c r="D588" s="34" t="inlineStr">
        <is>
          <t>Proposed by Source assignment; target 1.3.1 Systems - Traction Power</t>
        </is>
      </c>
      <c r="E588" s="34" t="inlineStr">
        <is>
          <t>None recorded</t>
        </is>
      </c>
      <c r="F588" s="34" t="inlineStr">
        <is>
          <t>No individual professional decision recorded; Source assignment -- not individually reviewed</t>
        </is>
      </c>
      <c r="G588" s="34" t="inlineStr">
        <is>
          <t>Not individually decided</t>
        </is>
      </c>
      <c r="H588" s="34" t="inlineStr">
        <is>
          <t xml:space="preserve">APPROVED / ONE_TO_ONE; </t>
        </is>
      </c>
      <c r="I588" s="34" t="inlineStr">
        <is>
          <t>New</t>
        </is>
      </c>
      <c r="J588" s="92" t="inlineStr">
        <is>
          <t>08 CROSSWALK</t>
        </is>
      </c>
    </row>
    <row r="589" ht="49" customHeight="1">
      <c r="A589" s="34" t="inlineStr">
        <is>
          <t>R410-v1</t>
        </is>
      </c>
      <c r="B589" s="34" t="inlineStr">
        <is>
          <t>Contractor Programme / SCH-03-050</t>
        </is>
      </c>
      <c r="C589" s="34" t="inlineStr">
        <is>
          <t>WBS Code = 1.3.1</t>
        </is>
      </c>
      <c r="D589" s="34" t="inlineStr">
        <is>
          <t>Proposed by Source assignment; target 1.3.1 Systems - Traction Power</t>
        </is>
      </c>
      <c r="E589" s="34" t="inlineStr">
        <is>
          <t>None recorded</t>
        </is>
      </c>
      <c r="F589" s="34" t="inlineStr">
        <is>
          <t>No individual professional decision recorded; Source assignment -- not individually reviewed</t>
        </is>
      </c>
      <c r="G589" s="34" t="inlineStr">
        <is>
          <t>Not individually decided</t>
        </is>
      </c>
      <c r="H589" s="34" t="inlineStr">
        <is>
          <t xml:space="preserve">APPROVED / ONE_TO_ONE; </t>
        </is>
      </c>
      <c r="I589" s="34" t="inlineStr">
        <is>
          <t>New</t>
        </is>
      </c>
      <c r="J589" s="92" t="inlineStr">
        <is>
          <t>08 CROSSWALK</t>
        </is>
      </c>
    </row>
    <row r="590" ht="49" customHeight="1">
      <c r="A590" s="34" t="inlineStr">
        <is>
          <t>R412-v1</t>
        </is>
      </c>
      <c r="B590" s="34" t="inlineStr">
        <is>
          <t>Contractor Programme / SCH-03-052</t>
        </is>
      </c>
      <c r="C590" s="34" t="inlineStr">
        <is>
          <t>WBS Code = 1.3.1</t>
        </is>
      </c>
      <c r="D590" s="34" t="inlineStr">
        <is>
          <t>Proposed by Source assignment; target 1.3.1 Systems - Traction Power</t>
        </is>
      </c>
      <c r="E590" s="34" t="inlineStr">
        <is>
          <t>None recorded</t>
        </is>
      </c>
      <c r="F590" s="34" t="inlineStr">
        <is>
          <t>No individual professional decision recorded; Source assignment -- not individually reviewed</t>
        </is>
      </c>
      <c r="G590" s="34" t="inlineStr">
        <is>
          <t>Not individually decided</t>
        </is>
      </c>
      <c r="H590" s="34" t="inlineStr">
        <is>
          <t xml:space="preserve">APPROVED / ONE_TO_ONE; </t>
        </is>
      </c>
      <c r="I590" s="34" t="inlineStr">
        <is>
          <t>New</t>
        </is>
      </c>
      <c r="J590" s="92" t="inlineStr">
        <is>
          <t>08 CROSSWALK</t>
        </is>
      </c>
    </row>
    <row r="591" ht="49" customHeight="1">
      <c r="A591" s="34" t="inlineStr">
        <is>
          <t>R413-v1</t>
        </is>
      </c>
      <c r="B591" s="34" t="inlineStr">
        <is>
          <t>Contractor Programme / SCH-03-053</t>
        </is>
      </c>
      <c r="C591" s="34" t="inlineStr">
        <is>
          <t>WBS Code = 1.3.1</t>
        </is>
      </c>
      <c r="D591" s="34" t="inlineStr">
        <is>
          <t>Proposed by Source assignment; target 1.3.1 Systems - Traction Power</t>
        </is>
      </c>
      <c r="E591" s="34" t="inlineStr">
        <is>
          <t>None recorded</t>
        </is>
      </c>
      <c r="F591" s="34" t="inlineStr">
        <is>
          <t>No individual professional decision recorded; Source assignment -- not individually reviewed</t>
        </is>
      </c>
      <c r="G591" s="34" t="inlineStr">
        <is>
          <t>Not individually decided</t>
        </is>
      </c>
      <c r="H591" s="34" t="inlineStr">
        <is>
          <t xml:space="preserve">APPROVED / ONE_TO_ONE; </t>
        </is>
      </c>
      <c r="I591" s="34" t="inlineStr">
        <is>
          <t>New</t>
        </is>
      </c>
      <c r="J591" s="92" t="inlineStr">
        <is>
          <t>08 CROSSWALK</t>
        </is>
      </c>
    </row>
    <row r="592" ht="49" customHeight="1">
      <c r="A592" s="34" t="inlineStr">
        <is>
          <t>R415-v1</t>
        </is>
      </c>
      <c r="B592" s="34" t="inlineStr">
        <is>
          <t>Contractor Programme / SCH-03-055</t>
        </is>
      </c>
      <c r="C592" s="34" t="inlineStr">
        <is>
          <t>WBS Code = 1.3.1</t>
        </is>
      </c>
      <c r="D592" s="34" t="inlineStr">
        <is>
          <t>Proposed by Source assignment; target 1.3.1 Systems - Traction Power</t>
        </is>
      </c>
      <c r="E592" s="34" t="inlineStr">
        <is>
          <t>None recorded</t>
        </is>
      </c>
      <c r="F592" s="34" t="inlineStr">
        <is>
          <t>No individual professional decision recorded; Source assignment -- not individually reviewed</t>
        </is>
      </c>
      <c r="G592" s="34" t="inlineStr">
        <is>
          <t>Not individually decided</t>
        </is>
      </c>
      <c r="H592" s="34" t="inlineStr">
        <is>
          <t xml:space="preserve">APPROVED / ONE_TO_ONE; </t>
        </is>
      </c>
      <c r="I592" s="34" t="inlineStr">
        <is>
          <t>New</t>
        </is>
      </c>
      <c r="J592" s="92" t="inlineStr">
        <is>
          <t>08 CROSSWALK</t>
        </is>
      </c>
    </row>
    <row r="593" ht="49" customHeight="1">
      <c r="A593" s="34" t="inlineStr">
        <is>
          <t>R416-v1</t>
        </is>
      </c>
      <c r="B593" s="34" t="inlineStr">
        <is>
          <t>Contractor Programme / SCH-03-056</t>
        </is>
      </c>
      <c r="C593" s="34" t="inlineStr">
        <is>
          <t>WBS Code = 1.3.1</t>
        </is>
      </c>
      <c r="D593" s="34" t="inlineStr">
        <is>
          <t>Proposed by Source assignment; target 1.3.1 Systems - Traction Power</t>
        </is>
      </c>
      <c r="E593" s="34" t="inlineStr">
        <is>
          <t>None recorded</t>
        </is>
      </c>
      <c r="F593" s="34" t="inlineStr">
        <is>
          <t>No individual professional decision recorded; Source assignment -- not individually reviewed</t>
        </is>
      </c>
      <c r="G593" s="34" t="inlineStr">
        <is>
          <t>Not individually decided</t>
        </is>
      </c>
      <c r="H593" s="34" t="inlineStr">
        <is>
          <t xml:space="preserve">APPROVED / ONE_TO_ONE; </t>
        </is>
      </c>
      <c r="I593" s="34" t="inlineStr">
        <is>
          <t>New</t>
        </is>
      </c>
      <c r="J593" s="92" t="inlineStr">
        <is>
          <t>08 CROSSWALK</t>
        </is>
      </c>
    </row>
    <row r="594" ht="49" customHeight="1">
      <c r="A594" s="34" t="inlineStr">
        <is>
          <t>R418-v1</t>
        </is>
      </c>
      <c r="B594" s="34" t="inlineStr">
        <is>
          <t>Contractor Programme / SCH-03-058</t>
        </is>
      </c>
      <c r="C594" s="34" t="inlineStr">
        <is>
          <t>WBS Code = 1.3.1</t>
        </is>
      </c>
      <c r="D594" s="34" t="inlineStr">
        <is>
          <t>Proposed by Source assignment; target 1.3.1 Systems - Traction Power</t>
        </is>
      </c>
      <c r="E594" s="34" t="inlineStr">
        <is>
          <t>None recorded</t>
        </is>
      </c>
      <c r="F594" s="34" t="inlineStr">
        <is>
          <t>No individual professional decision recorded; Source assignment -- not individually reviewed</t>
        </is>
      </c>
      <c r="G594" s="34" t="inlineStr">
        <is>
          <t>Not individually decided</t>
        </is>
      </c>
      <c r="H594" s="34" t="inlineStr">
        <is>
          <t xml:space="preserve">APPROVED / ONE_TO_ONE; </t>
        </is>
      </c>
      <c r="I594" s="34" t="inlineStr">
        <is>
          <t>New</t>
        </is>
      </c>
      <c r="J594" s="92" t="inlineStr">
        <is>
          <t>08 CROSSWALK</t>
        </is>
      </c>
    </row>
    <row r="595" ht="49" customHeight="1">
      <c r="A595" s="34" t="inlineStr">
        <is>
          <t>R419-v1</t>
        </is>
      </c>
      <c r="B595" s="34" t="inlineStr">
        <is>
          <t>Contractor Programme / SCH-03-059</t>
        </is>
      </c>
      <c r="C595" s="34" t="inlineStr">
        <is>
          <t>WBS Code = 1.3.1</t>
        </is>
      </c>
      <c r="D595" s="34" t="inlineStr">
        <is>
          <t>Proposed by Source assignment; target 1.3.1 Systems - Traction Power</t>
        </is>
      </c>
      <c r="E595" s="34" t="inlineStr">
        <is>
          <t>None recorded</t>
        </is>
      </c>
      <c r="F595" s="34" t="inlineStr">
        <is>
          <t>No individual professional decision recorded; Source assignment -- not individually reviewed</t>
        </is>
      </c>
      <c r="G595" s="34" t="inlineStr">
        <is>
          <t>Not individually decided</t>
        </is>
      </c>
      <c r="H595" s="34" t="inlineStr">
        <is>
          <t xml:space="preserve">APPROVED / ONE_TO_ONE; </t>
        </is>
      </c>
      <c r="I595" s="34" t="inlineStr">
        <is>
          <t>New</t>
        </is>
      </c>
      <c r="J595" s="92" t="inlineStr">
        <is>
          <t>08 CROSSWALK</t>
        </is>
      </c>
    </row>
    <row r="596" ht="49" customHeight="1">
      <c r="A596" s="34" t="inlineStr">
        <is>
          <t>R421-v1</t>
        </is>
      </c>
      <c r="B596" s="34" t="inlineStr">
        <is>
          <t>Contractor Programme / SCH-03-061</t>
        </is>
      </c>
      <c r="C596" s="34" t="inlineStr">
        <is>
          <t>WBS Code = 1.3.1</t>
        </is>
      </c>
      <c r="D596" s="34" t="inlineStr">
        <is>
          <t>Proposed by Source assignment; target 1.3.1 Systems - Traction Power</t>
        </is>
      </c>
      <c r="E596" s="34" t="inlineStr">
        <is>
          <t>None recorded</t>
        </is>
      </c>
      <c r="F596" s="34" t="inlineStr">
        <is>
          <t>No individual professional decision recorded; Source assignment -- not individually reviewed</t>
        </is>
      </c>
      <c r="G596" s="34" t="inlineStr">
        <is>
          <t>Not individually decided</t>
        </is>
      </c>
      <c r="H596" s="34" t="inlineStr">
        <is>
          <t xml:space="preserve">APPROVED / ONE_TO_ONE; </t>
        </is>
      </c>
      <c r="I596" s="34" t="inlineStr">
        <is>
          <t>New</t>
        </is>
      </c>
      <c r="J596" s="92" t="inlineStr">
        <is>
          <t>08 CROSSWALK</t>
        </is>
      </c>
    </row>
    <row r="597" ht="49" customHeight="1">
      <c r="A597" s="34" t="inlineStr">
        <is>
          <t>R422-v1</t>
        </is>
      </c>
      <c r="B597" s="34" t="inlineStr">
        <is>
          <t>Contractor Programme / SCH-03-062</t>
        </is>
      </c>
      <c r="C597" s="34" t="inlineStr">
        <is>
          <t>WBS Code = 1.3.1</t>
        </is>
      </c>
      <c r="D597" s="34" t="inlineStr">
        <is>
          <t>Proposed by Source assignment; target 1.3.1 Systems - Traction Power</t>
        </is>
      </c>
      <c r="E597" s="34" t="inlineStr">
        <is>
          <t>None recorded</t>
        </is>
      </c>
      <c r="F597" s="34" t="inlineStr">
        <is>
          <t>No individual professional decision recorded; Source assignment -- not individually reviewed</t>
        </is>
      </c>
      <c r="G597" s="34" t="inlineStr">
        <is>
          <t>Not individually decided</t>
        </is>
      </c>
      <c r="H597" s="34" t="inlineStr">
        <is>
          <t xml:space="preserve">APPROVED / ONE_TO_ONE; </t>
        </is>
      </c>
      <c r="I597" s="34" t="inlineStr">
        <is>
          <t>New</t>
        </is>
      </c>
      <c r="J597" s="92" t="inlineStr">
        <is>
          <t>08 CROSSWALK</t>
        </is>
      </c>
    </row>
    <row r="598" ht="49" customHeight="1">
      <c r="A598" s="34" t="inlineStr">
        <is>
          <t>R424-v1</t>
        </is>
      </c>
      <c r="B598" s="34" t="inlineStr">
        <is>
          <t>Contractor Programme / SCH-03-064</t>
        </is>
      </c>
      <c r="C598" s="34" t="inlineStr">
        <is>
          <t>WBS Code = 1.3.1</t>
        </is>
      </c>
      <c r="D598" s="34" t="inlineStr">
        <is>
          <t>Proposed by Source assignment; target 1.3.1 Systems - Traction Power</t>
        </is>
      </c>
      <c r="E598" s="34" t="inlineStr">
        <is>
          <t>None recorded</t>
        </is>
      </c>
      <c r="F598" s="34" t="inlineStr">
        <is>
          <t>No individual professional decision recorded; Source assignment -- not individually reviewed</t>
        </is>
      </c>
      <c r="G598" s="34" t="inlineStr">
        <is>
          <t>Not individually decided</t>
        </is>
      </c>
      <c r="H598" s="34" t="inlineStr">
        <is>
          <t xml:space="preserve">APPROVED / ONE_TO_ONE; </t>
        </is>
      </c>
      <c r="I598" s="34" t="inlineStr">
        <is>
          <t>New</t>
        </is>
      </c>
      <c r="J598" s="92" t="inlineStr">
        <is>
          <t>08 CROSSWALK</t>
        </is>
      </c>
    </row>
    <row r="599" ht="49" customHeight="1">
      <c r="A599" s="34" t="inlineStr">
        <is>
          <t>R425-v1</t>
        </is>
      </c>
      <c r="B599" s="34" t="inlineStr">
        <is>
          <t>Contractor Programme / SCH-03-065</t>
        </is>
      </c>
      <c r="C599" s="34" t="inlineStr">
        <is>
          <t>WBS Code = 1.3.1</t>
        </is>
      </c>
      <c r="D599" s="34" t="inlineStr">
        <is>
          <t>Proposed by Source assignment; target 1.3.1 Systems - Traction Power</t>
        </is>
      </c>
      <c r="E599" s="34" t="inlineStr">
        <is>
          <t>None recorded</t>
        </is>
      </c>
      <c r="F599" s="34" t="inlineStr">
        <is>
          <t>No individual professional decision recorded; Source assignment -- not individually reviewed</t>
        </is>
      </c>
      <c r="G599" s="34" t="inlineStr">
        <is>
          <t>Not individually decided</t>
        </is>
      </c>
      <c r="H599" s="34" t="inlineStr">
        <is>
          <t xml:space="preserve">APPROVED / ONE_TO_ONE; </t>
        </is>
      </c>
      <c r="I599" s="34" t="inlineStr">
        <is>
          <t>New</t>
        </is>
      </c>
      <c r="J599" s="92" t="inlineStr">
        <is>
          <t>08 CROSSWALK</t>
        </is>
      </c>
    </row>
    <row r="600" ht="49" customHeight="1">
      <c r="A600" s="34" t="inlineStr">
        <is>
          <t>R427-v1</t>
        </is>
      </c>
      <c r="B600" s="34" t="inlineStr">
        <is>
          <t>Contractor Programme / SCH-03-067</t>
        </is>
      </c>
      <c r="C600" s="34" t="inlineStr">
        <is>
          <t>WBS Code = 1.3.1</t>
        </is>
      </c>
      <c r="D600" s="34" t="inlineStr">
        <is>
          <t>Proposed by Source assignment; target 1.3.1 Systems - Traction Power</t>
        </is>
      </c>
      <c r="E600" s="34" t="inlineStr">
        <is>
          <t>None recorded</t>
        </is>
      </c>
      <c r="F600" s="34" t="inlineStr">
        <is>
          <t>No individual professional decision recorded; Source assignment -- not individually reviewed</t>
        </is>
      </c>
      <c r="G600" s="34" t="inlineStr">
        <is>
          <t>Not individually decided</t>
        </is>
      </c>
      <c r="H600" s="34" t="inlineStr">
        <is>
          <t xml:space="preserve">APPROVED / ONE_TO_ONE; </t>
        </is>
      </c>
      <c r="I600" s="34" t="inlineStr">
        <is>
          <t>New</t>
        </is>
      </c>
      <c r="J600" s="92" t="inlineStr">
        <is>
          <t>08 CROSSWALK</t>
        </is>
      </c>
    </row>
    <row r="601" ht="49" customHeight="1">
      <c r="A601" s="34" t="inlineStr">
        <is>
          <t>R428-v1</t>
        </is>
      </c>
      <c r="B601" s="34" t="inlineStr">
        <is>
          <t>Contractor Programme / SCH-03-068</t>
        </is>
      </c>
      <c r="C601" s="34" t="inlineStr">
        <is>
          <t>WBS Code = 1.3.1</t>
        </is>
      </c>
      <c r="D601" s="34" t="inlineStr">
        <is>
          <t>Proposed by Source assignment; target 1.3.1 Systems - Traction Power</t>
        </is>
      </c>
      <c r="E601" s="34" t="inlineStr">
        <is>
          <t>None recorded</t>
        </is>
      </c>
      <c r="F601" s="34" t="inlineStr">
        <is>
          <t>No individual professional decision recorded; Source assignment -- not individually reviewed</t>
        </is>
      </c>
      <c r="G601" s="34" t="inlineStr">
        <is>
          <t>Not individually decided</t>
        </is>
      </c>
      <c r="H601" s="34" t="inlineStr">
        <is>
          <t xml:space="preserve">APPROVED / ONE_TO_ONE; </t>
        </is>
      </c>
      <c r="I601" s="34" t="inlineStr">
        <is>
          <t>New</t>
        </is>
      </c>
      <c r="J601" s="92" t="inlineStr">
        <is>
          <t>08 CROSSWALK</t>
        </is>
      </c>
    </row>
    <row r="602" ht="49" customHeight="1">
      <c r="A602" s="34" t="inlineStr">
        <is>
          <t>R430-v1</t>
        </is>
      </c>
      <c r="B602" s="34" t="inlineStr">
        <is>
          <t>Contractor Programme / SCH-03-070</t>
        </is>
      </c>
      <c r="C602" s="34" t="inlineStr">
        <is>
          <t>WBS Code = 1.3.1</t>
        </is>
      </c>
      <c r="D602" s="34" t="inlineStr">
        <is>
          <t>Proposed by Source assignment; target 1.3.1 Systems - Traction Power</t>
        </is>
      </c>
      <c r="E602" s="34" t="inlineStr">
        <is>
          <t>None recorded</t>
        </is>
      </c>
      <c r="F602" s="34" t="inlineStr">
        <is>
          <t>No individual professional decision recorded; Source assignment -- not individually reviewed</t>
        </is>
      </c>
      <c r="G602" s="34" t="inlineStr">
        <is>
          <t>Not individually decided</t>
        </is>
      </c>
      <c r="H602" s="34" t="inlineStr">
        <is>
          <t xml:space="preserve">APPROVED / ONE_TO_ONE; </t>
        </is>
      </c>
      <c r="I602" s="34" t="inlineStr">
        <is>
          <t>New</t>
        </is>
      </c>
      <c r="J602" s="92" t="inlineStr">
        <is>
          <t>08 CROSSWALK</t>
        </is>
      </c>
    </row>
    <row r="603" ht="49" customHeight="1">
      <c r="A603" s="34" t="inlineStr">
        <is>
          <t>R431-v1</t>
        </is>
      </c>
      <c r="B603" s="34" t="inlineStr">
        <is>
          <t>Contractor Programme / SCH-03-071</t>
        </is>
      </c>
      <c r="C603" s="34" t="inlineStr">
        <is>
          <t>WBS Code = 1.3.1</t>
        </is>
      </c>
      <c r="D603" s="34" t="inlineStr">
        <is>
          <t>Proposed by Source assignment; target 1.3.1 Systems - Traction Power</t>
        </is>
      </c>
      <c r="E603" s="34" t="inlineStr">
        <is>
          <t>None recorded</t>
        </is>
      </c>
      <c r="F603" s="34" t="inlineStr">
        <is>
          <t>No individual professional decision recorded; Source assignment -- not individually reviewed</t>
        </is>
      </c>
      <c r="G603" s="34" t="inlineStr">
        <is>
          <t>Not individually decided</t>
        </is>
      </c>
      <c r="H603" s="34" t="inlineStr">
        <is>
          <t xml:space="preserve">APPROVED / ONE_TO_ONE; </t>
        </is>
      </c>
      <c r="I603" s="34" t="inlineStr">
        <is>
          <t>New</t>
        </is>
      </c>
      <c r="J603" s="92" t="inlineStr">
        <is>
          <t>08 CROSSWALK</t>
        </is>
      </c>
    </row>
    <row r="604" ht="49" customHeight="1">
      <c r="A604" s="34" t="inlineStr">
        <is>
          <t>R433-v1</t>
        </is>
      </c>
      <c r="B604" s="34" t="inlineStr">
        <is>
          <t>Contractor Programme / SCH-03-073</t>
        </is>
      </c>
      <c r="C604" s="34" t="inlineStr">
        <is>
          <t>WBS Code = 1.3.1</t>
        </is>
      </c>
      <c r="D604" s="34" t="inlineStr">
        <is>
          <t>Proposed by Source assignment; target 1.3.1 Systems - Traction Power</t>
        </is>
      </c>
      <c r="E604" s="34" t="inlineStr">
        <is>
          <t>None recorded</t>
        </is>
      </c>
      <c r="F604" s="34" t="inlineStr">
        <is>
          <t>No individual professional decision recorded; Source assignment -- not individually reviewed</t>
        </is>
      </c>
      <c r="G604" s="34" t="inlineStr">
        <is>
          <t>Not individually decided</t>
        </is>
      </c>
      <c r="H604" s="34" t="inlineStr">
        <is>
          <t xml:space="preserve">APPROVED / ONE_TO_ONE; </t>
        </is>
      </c>
      <c r="I604" s="34" t="inlineStr">
        <is>
          <t>New</t>
        </is>
      </c>
      <c r="J604" s="92" t="inlineStr">
        <is>
          <t>08 CROSSWALK</t>
        </is>
      </c>
    </row>
    <row r="605" ht="49" customHeight="1">
      <c r="A605" s="34" t="inlineStr">
        <is>
          <t>R434-v1</t>
        </is>
      </c>
      <c r="B605" s="34" t="inlineStr">
        <is>
          <t>Contractor Programme / SCH-03-074</t>
        </is>
      </c>
      <c r="C605" s="34" t="inlineStr">
        <is>
          <t>WBS Code = 1.3.1</t>
        </is>
      </c>
      <c r="D605" s="34" t="inlineStr">
        <is>
          <t>Proposed by Source assignment; target 1.3.1 Systems - Traction Power</t>
        </is>
      </c>
      <c r="E605" s="34" t="inlineStr">
        <is>
          <t>None recorded</t>
        </is>
      </c>
      <c r="F605" s="34" t="inlineStr">
        <is>
          <t>No individual professional decision recorded; Source assignment -- not individually reviewed</t>
        </is>
      </c>
      <c r="G605" s="34" t="inlineStr">
        <is>
          <t>Not individually decided</t>
        </is>
      </c>
      <c r="H605" s="34" t="inlineStr">
        <is>
          <t xml:space="preserve">APPROVED / ONE_TO_ONE; </t>
        </is>
      </c>
      <c r="I605" s="34" t="inlineStr">
        <is>
          <t>New</t>
        </is>
      </c>
      <c r="J605" s="92" t="inlineStr">
        <is>
          <t>08 CROSSWALK</t>
        </is>
      </c>
    </row>
    <row r="606" ht="49" customHeight="1">
      <c r="A606" s="34" t="inlineStr">
        <is>
          <t>R436-v1</t>
        </is>
      </c>
      <c r="B606" s="34" t="inlineStr">
        <is>
          <t>Contractor Programme / SCH-03-076</t>
        </is>
      </c>
      <c r="C606" s="34" t="inlineStr">
        <is>
          <t>WBS Code = 1.3.1</t>
        </is>
      </c>
      <c r="D606" s="34" t="inlineStr">
        <is>
          <t>Proposed by Source assignment; target 1.3.1 Systems - Traction Power</t>
        </is>
      </c>
      <c r="E606" s="34" t="inlineStr">
        <is>
          <t>None recorded</t>
        </is>
      </c>
      <c r="F606" s="34" t="inlineStr">
        <is>
          <t>No individual professional decision recorded; Source assignment -- not individually reviewed</t>
        </is>
      </c>
      <c r="G606" s="34" t="inlineStr">
        <is>
          <t>Not individually decided</t>
        </is>
      </c>
      <c r="H606" s="34" t="inlineStr">
        <is>
          <t xml:space="preserve">APPROVED / ONE_TO_ONE; </t>
        </is>
      </c>
      <c r="I606" s="34" t="inlineStr">
        <is>
          <t>New</t>
        </is>
      </c>
      <c r="J606" s="92" t="inlineStr">
        <is>
          <t>08 CROSSWALK</t>
        </is>
      </c>
    </row>
    <row r="607" ht="49" customHeight="1">
      <c r="A607" s="34" t="inlineStr">
        <is>
          <t>R437-v1</t>
        </is>
      </c>
      <c r="B607" s="34" t="inlineStr">
        <is>
          <t>Contractor Programme / SCH-03-077</t>
        </is>
      </c>
      <c r="C607" s="34" t="inlineStr">
        <is>
          <t>WBS Code = 1.3.1</t>
        </is>
      </c>
      <c r="D607" s="34" t="inlineStr">
        <is>
          <t>Proposed by Source assignment; target 1.3.1 Systems - Traction Power</t>
        </is>
      </c>
      <c r="E607" s="34" t="inlineStr">
        <is>
          <t>None recorded</t>
        </is>
      </c>
      <c r="F607" s="34" t="inlineStr">
        <is>
          <t>No individual professional decision recorded; Source assignment -- not individually reviewed</t>
        </is>
      </c>
      <c r="G607" s="34" t="inlineStr">
        <is>
          <t>Not individually decided</t>
        </is>
      </c>
      <c r="H607" s="34" t="inlineStr">
        <is>
          <t xml:space="preserve">APPROVED / ONE_TO_ONE; </t>
        </is>
      </c>
      <c r="I607" s="34" t="inlineStr">
        <is>
          <t>New</t>
        </is>
      </c>
      <c r="J607" s="92" t="inlineStr">
        <is>
          <t>08 CROSSWALK</t>
        </is>
      </c>
    </row>
    <row r="608" ht="49" customHeight="1">
      <c r="A608" s="34" t="inlineStr">
        <is>
          <t>R439-v1</t>
        </is>
      </c>
      <c r="B608" s="34" t="inlineStr">
        <is>
          <t>Contractor Programme / SCH-03-079</t>
        </is>
      </c>
      <c r="C608" s="34" t="inlineStr">
        <is>
          <t>WBS Code = 1.3.1</t>
        </is>
      </c>
      <c r="D608" s="34" t="inlineStr">
        <is>
          <t>Proposed by Source assignment; target 1.3.1 Systems - Traction Power</t>
        </is>
      </c>
      <c r="E608" s="34" t="inlineStr">
        <is>
          <t>None recorded</t>
        </is>
      </c>
      <c r="F608" s="34" t="inlineStr">
        <is>
          <t>No individual professional decision recorded; Source assignment -- not individually reviewed</t>
        </is>
      </c>
      <c r="G608" s="34" t="inlineStr">
        <is>
          <t>Not individually decided</t>
        </is>
      </c>
      <c r="H608" s="34" t="inlineStr">
        <is>
          <t xml:space="preserve">APPROVED / ONE_TO_ONE; </t>
        </is>
      </c>
      <c r="I608" s="34" t="inlineStr">
        <is>
          <t>New</t>
        </is>
      </c>
      <c r="J608" s="92" t="inlineStr">
        <is>
          <t>08 CROSSWALK</t>
        </is>
      </c>
    </row>
    <row r="609" ht="49" customHeight="1">
      <c r="A609" s="34" t="inlineStr">
        <is>
          <t>R440-v1</t>
        </is>
      </c>
      <c r="B609" s="34" t="inlineStr">
        <is>
          <t>Contractor Programme / SCH-03-080</t>
        </is>
      </c>
      <c r="C609" s="34" t="inlineStr">
        <is>
          <t>WBS Code = 1.3.1</t>
        </is>
      </c>
      <c r="D609" s="34" t="inlineStr">
        <is>
          <t>Proposed by Source assignment; target 1.3.1 Systems - Traction Power</t>
        </is>
      </c>
      <c r="E609" s="34" t="inlineStr">
        <is>
          <t>None recorded</t>
        </is>
      </c>
      <c r="F609" s="34" t="inlineStr">
        <is>
          <t>No individual professional decision recorded; Source assignment -- not individually reviewed</t>
        </is>
      </c>
      <c r="G609" s="34" t="inlineStr">
        <is>
          <t>Not individually decided</t>
        </is>
      </c>
      <c r="H609" s="34" t="inlineStr">
        <is>
          <t xml:space="preserve">APPROVED / ONE_TO_ONE; </t>
        </is>
      </c>
      <c r="I609" s="34" t="inlineStr">
        <is>
          <t>New</t>
        </is>
      </c>
      <c r="J609" s="92" t="inlineStr">
        <is>
          <t>08 CROSSWALK</t>
        </is>
      </c>
    </row>
    <row r="610" ht="49" customHeight="1">
      <c r="A610" s="34" t="inlineStr">
        <is>
          <t>R442-v1</t>
        </is>
      </c>
      <c r="B610" s="34" t="inlineStr">
        <is>
          <t>Contractor Programme / SCH-03-082</t>
        </is>
      </c>
      <c r="C610" s="34" t="inlineStr">
        <is>
          <t>WBS Code = 1.3.1</t>
        </is>
      </c>
      <c r="D610" s="34" t="inlineStr">
        <is>
          <t>Proposed by Source assignment; target 1.3.1 Systems - Traction Power</t>
        </is>
      </c>
      <c r="E610" s="34" t="inlineStr">
        <is>
          <t>None recorded</t>
        </is>
      </c>
      <c r="F610" s="34" t="inlineStr">
        <is>
          <t>No individual professional decision recorded; Source assignment -- not individually reviewed</t>
        </is>
      </c>
      <c r="G610" s="34" t="inlineStr">
        <is>
          <t>Not individually decided</t>
        </is>
      </c>
      <c r="H610" s="34" t="inlineStr">
        <is>
          <t xml:space="preserve">APPROVED / ONE_TO_ONE; </t>
        </is>
      </c>
      <c r="I610" s="34" t="inlineStr">
        <is>
          <t>New</t>
        </is>
      </c>
      <c r="J610" s="92" t="inlineStr">
        <is>
          <t>08 CROSSWALK</t>
        </is>
      </c>
    </row>
    <row r="611" ht="49" customHeight="1">
      <c r="A611" s="34" t="inlineStr">
        <is>
          <t>R443-v1</t>
        </is>
      </c>
      <c r="B611" s="34" t="inlineStr">
        <is>
          <t>Contractor Programme / SCH-03-083</t>
        </is>
      </c>
      <c r="C611" s="34" t="inlineStr">
        <is>
          <t>WBS Code = 1.3.1</t>
        </is>
      </c>
      <c r="D611" s="34" t="inlineStr">
        <is>
          <t>Proposed by Source assignment; target 1.3.1 Systems - Traction Power</t>
        </is>
      </c>
      <c r="E611" s="34" t="inlineStr">
        <is>
          <t>None recorded</t>
        </is>
      </c>
      <c r="F611" s="34" t="inlineStr">
        <is>
          <t>No individual professional decision recorded; Source assignment -- not individually reviewed</t>
        </is>
      </c>
      <c r="G611" s="34" t="inlineStr">
        <is>
          <t>Not individually decided</t>
        </is>
      </c>
      <c r="H611" s="34" t="inlineStr">
        <is>
          <t xml:space="preserve">APPROVED / ONE_TO_ONE; </t>
        </is>
      </c>
      <c r="I611" s="34" t="inlineStr">
        <is>
          <t>New</t>
        </is>
      </c>
      <c r="J611" s="92" t="inlineStr">
        <is>
          <t>08 CROSSWALK</t>
        </is>
      </c>
    </row>
    <row r="612" ht="49" customHeight="1">
      <c r="A612" s="34" t="inlineStr">
        <is>
          <t>R445-v1</t>
        </is>
      </c>
      <c r="B612" s="34" t="inlineStr">
        <is>
          <t>Contractor Programme / SCH-03-085</t>
        </is>
      </c>
      <c r="C612" s="34" t="inlineStr">
        <is>
          <t>WBS Code = 1.3.1</t>
        </is>
      </c>
      <c r="D612" s="34" t="inlineStr">
        <is>
          <t>Proposed by Source assignment; target 1.3.1 Systems - Traction Power</t>
        </is>
      </c>
      <c r="E612" s="34" t="inlineStr">
        <is>
          <t>None recorded</t>
        </is>
      </c>
      <c r="F612" s="34" t="inlineStr">
        <is>
          <t>No individual professional decision recorded; Source assignment -- not individually reviewed</t>
        </is>
      </c>
      <c r="G612" s="34" t="inlineStr">
        <is>
          <t>Not individually decided</t>
        </is>
      </c>
      <c r="H612" s="34" t="inlineStr">
        <is>
          <t xml:space="preserve">APPROVED / ONE_TO_ONE; </t>
        </is>
      </c>
      <c r="I612" s="34" t="inlineStr">
        <is>
          <t>New</t>
        </is>
      </c>
      <c r="J612" s="92" t="inlineStr">
        <is>
          <t>08 CROSSWALK</t>
        </is>
      </c>
    </row>
    <row r="613" ht="49" customHeight="1">
      <c r="A613" s="34" t="inlineStr">
        <is>
          <t>R446-v1</t>
        </is>
      </c>
      <c r="B613" s="34" t="inlineStr">
        <is>
          <t>Contractor Programme / SCH-03-086</t>
        </is>
      </c>
      <c r="C613" s="34" t="inlineStr">
        <is>
          <t>WBS Code = 1.3.1</t>
        </is>
      </c>
      <c r="D613" s="34" t="inlineStr">
        <is>
          <t>Proposed by Source assignment; target 1.3.1 Systems - Traction Power</t>
        </is>
      </c>
      <c r="E613" s="34" t="inlineStr">
        <is>
          <t>None recorded</t>
        </is>
      </c>
      <c r="F613" s="34" t="inlineStr">
        <is>
          <t>No individual professional decision recorded; Source assignment -- not individually reviewed</t>
        </is>
      </c>
      <c r="G613" s="34" t="inlineStr">
        <is>
          <t>Not individually decided</t>
        </is>
      </c>
      <c r="H613" s="34" t="inlineStr">
        <is>
          <t xml:space="preserve">APPROVED / ONE_TO_ONE; </t>
        </is>
      </c>
      <c r="I613" s="34" t="inlineStr">
        <is>
          <t>New</t>
        </is>
      </c>
      <c r="J613" s="92" t="inlineStr">
        <is>
          <t>08 CROSSWALK</t>
        </is>
      </c>
    </row>
    <row r="614" ht="49" customHeight="1">
      <c r="A614" s="34" t="inlineStr">
        <is>
          <t>R448-v1</t>
        </is>
      </c>
      <c r="B614" s="34" t="inlineStr">
        <is>
          <t>Contractor Programme / SCH-03-088</t>
        </is>
      </c>
      <c r="C614" s="34" t="inlineStr">
        <is>
          <t>WBS Code = 1.3.1</t>
        </is>
      </c>
      <c r="D614" s="34" t="inlineStr">
        <is>
          <t>Proposed by Source assignment; target 1.3.1 Systems - Traction Power</t>
        </is>
      </c>
      <c r="E614" s="34" t="inlineStr">
        <is>
          <t>None recorded</t>
        </is>
      </c>
      <c r="F614" s="34" t="inlineStr">
        <is>
          <t>No individual professional decision recorded; Source assignment -- not individually reviewed</t>
        </is>
      </c>
      <c r="G614" s="34" t="inlineStr">
        <is>
          <t>Not individually decided</t>
        </is>
      </c>
      <c r="H614" s="34" t="inlineStr">
        <is>
          <t xml:space="preserve">APPROVED / ONE_TO_ONE; </t>
        </is>
      </c>
      <c r="I614" s="34" t="inlineStr">
        <is>
          <t>New</t>
        </is>
      </c>
      <c r="J614" s="92" t="inlineStr">
        <is>
          <t>08 CROSSWALK</t>
        </is>
      </c>
    </row>
    <row r="615" ht="49" customHeight="1">
      <c r="A615" s="34" t="inlineStr">
        <is>
          <t>R449-v1</t>
        </is>
      </c>
      <c r="B615" s="34" t="inlineStr">
        <is>
          <t>Contractor Programme / SCH-03-089</t>
        </is>
      </c>
      <c r="C615" s="34" t="inlineStr">
        <is>
          <t>WBS Code = 1.3.1</t>
        </is>
      </c>
      <c r="D615" s="34" t="inlineStr">
        <is>
          <t>Proposed by Source assignment; target 1.3.1 Systems - Traction Power</t>
        </is>
      </c>
      <c r="E615" s="34" t="inlineStr">
        <is>
          <t>None recorded</t>
        </is>
      </c>
      <c r="F615" s="34" t="inlineStr">
        <is>
          <t>No individual professional decision recorded; Source assignment -- not individually reviewed</t>
        </is>
      </c>
      <c r="G615" s="34" t="inlineStr">
        <is>
          <t>Not individually decided</t>
        </is>
      </c>
      <c r="H615" s="34" t="inlineStr">
        <is>
          <t xml:space="preserve">APPROVED / ONE_TO_ONE; </t>
        </is>
      </c>
      <c r="I615" s="34" t="inlineStr">
        <is>
          <t>New</t>
        </is>
      </c>
      <c r="J615" s="92" t="inlineStr">
        <is>
          <t>08 CROSSWALK</t>
        </is>
      </c>
    </row>
    <row r="616" ht="49" customHeight="1">
      <c r="A616" s="34" t="inlineStr">
        <is>
          <t>R451-v1</t>
        </is>
      </c>
      <c r="B616" s="34" t="inlineStr">
        <is>
          <t>Contractor Programme / SCH-03-091</t>
        </is>
      </c>
      <c r="C616" s="34" t="inlineStr">
        <is>
          <t>WBS Code = 1.3.1</t>
        </is>
      </c>
      <c r="D616" s="34" t="inlineStr">
        <is>
          <t>Proposed by Source assignment; target 1.3.1 Systems - Traction Power</t>
        </is>
      </c>
      <c r="E616" s="34" t="inlineStr">
        <is>
          <t>None recorded</t>
        </is>
      </c>
      <c r="F616" s="34" t="inlineStr">
        <is>
          <t>No individual professional decision recorded; Source assignment -- not individually reviewed</t>
        </is>
      </c>
      <c r="G616" s="34" t="inlineStr">
        <is>
          <t>Not individually decided</t>
        </is>
      </c>
      <c r="H616" s="34" t="inlineStr">
        <is>
          <t xml:space="preserve">APPROVED / ONE_TO_ONE; </t>
        </is>
      </c>
      <c r="I616" s="34" t="inlineStr">
        <is>
          <t>New</t>
        </is>
      </c>
      <c r="J616" s="92" t="inlineStr">
        <is>
          <t>08 CROSSWALK</t>
        </is>
      </c>
    </row>
    <row r="617" ht="49" customHeight="1">
      <c r="A617" s="34" t="inlineStr">
        <is>
          <t>R452-v1</t>
        </is>
      </c>
      <c r="B617" s="34" t="inlineStr">
        <is>
          <t>Contractor Programme / SCH-03-092</t>
        </is>
      </c>
      <c r="C617" s="34" t="inlineStr">
        <is>
          <t>WBS Code = 1.3.1</t>
        </is>
      </c>
      <c r="D617" s="34" t="inlineStr">
        <is>
          <t>Proposed by Source assignment; target 1.3.1 Systems - Traction Power</t>
        </is>
      </c>
      <c r="E617" s="34" t="inlineStr">
        <is>
          <t>None recorded</t>
        </is>
      </c>
      <c r="F617" s="34" t="inlineStr">
        <is>
          <t>No individual professional decision recorded; Source assignment -- not individually reviewed</t>
        </is>
      </c>
      <c r="G617" s="34" t="inlineStr">
        <is>
          <t>Not individually decided</t>
        </is>
      </c>
      <c r="H617" s="34" t="inlineStr">
        <is>
          <t xml:space="preserve">APPROVED / ONE_TO_ONE; </t>
        </is>
      </c>
      <c r="I617" s="34" t="inlineStr">
        <is>
          <t>New</t>
        </is>
      </c>
      <c r="J617" s="92" t="inlineStr">
        <is>
          <t>08 CROSSWALK</t>
        </is>
      </c>
    </row>
    <row r="618" ht="49" customHeight="1">
      <c r="A618" s="34" t="inlineStr">
        <is>
          <t>R454-v1</t>
        </is>
      </c>
      <c r="B618" s="34" t="inlineStr">
        <is>
          <t>Contractor Programme / SCH-03-094</t>
        </is>
      </c>
      <c r="C618" s="34" t="inlineStr">
        <is>
          <t>WBS Code = 1.3.1</t>
        </is>
      </c>
      <c r="D618" s="34" t="inlineStr">
        <is>
          <t>Proposed by Source assignment; target 1.3.1 Systems - Traction Power</t>
        </is>
      </c>
      <c r="E618" s="34" t="inlineStr">
        <is>
          <t>None recorded</t>
        </is>
      </c>
      <c r="F618" s="34" t="inlineStr">
        <is>
          <t>No individual professional decision recorded; Source assignment -- not individually reviewed</t>
        </is>
      </c>
      <c r="G618" s="34" t="inlineStr">
        <is>
          <t>Not individually decided</t>
        </is>
      </c>
      <c r="H618" s="34" t="inlineStr">
        <is>
          <t xml:space="preserve">APPROVED / ONE_TO_ONE; </t>
        </is>
      </c>
      <c r="I618" s="34" t="inlineStr">
        <is>
          <t>New</t>
        </is>
      </c>
      <c r="J618" s="92" t="inlineStr">
        <is>
          <t>08 CROSSWALK</t>
        </is>
      </c>
    </row>
    <row r="619" ht="49" customHeight="1">
      <c r="A619" s="34" t="inlineStr">
        <is>
          <t>R455-v1</t>
        </is>
      </c>
      <c r="B619" s="34" t="inlineStr">
        <is>
          <t>Contractor Programme / SCH-03-095</t>
        </is>
      </c>
      <c r="C619" s="34" t="inlineStr">
        <is>
          <t>WBS Code = 1.3.1</t>
        </is>
      </c>
      <c r="D619" s="34" t="inlineStr">
        <is>
          <t>Proposed by Source assignment; target 1.3.1 Systems - Traction Power</t>
        </is>
      </c>
      <c r="E619" s="34" t="inlineStr">
        <is>
          <t>None recorded</t>
        </is>
      </c>
      <c r="F619" s="34" t="inlineStr">
        <is>
          <t>No individual professional decision recorded; Source assignment -- not individually reviewed</t>
        </is>
      </c>
      <c r="G619" s="34" t="inlineStr">
        <is>
          <t>Not individually decided</t>
        </is>
      </c>
      <c r="H619" s="34" t="inlineStr">
        <is>
          <t xml:space="preserve">APPROVED / ONE_TO_ONE; </t>
        </is>
      </c>
      <c r="I619" s="34" t="inlineStr">
        <is>
          <t>New</t>
        </is>
      </c>
      <c r="J619" s="92" t="inlineStr">
        <is>
          <t>08 CROSSWALK</t>
        </is>
      </c>
    </row>
    <row r="620" ht="49" customHeight="1">
      <c r="A620" s="34" t="inlineStr">
        <is>
          <t>R457-v1</t>
        </is>
      </c>
      <c r="B620" s="34" t="inlineStr">
        <is>
          <t>Contractor Programme / SCH-03-097</t>
        </is>
      </c>
      <c r="C620" s="34" t="inlineStr">
        <is>
          <t>WBS Code = 1.3.1</t>
        </is>
      </c>
      <c r="D620" s="34" t="inlineStr">
        <is>
          <t>Proposed by Source assignment; target 1.3.1 Systems - Traction Power</t>
        </is>
      </c>
      <c r="E620" s="34" t="inlineStr">
        <is>
          <t>None recorded</t>
        </is>
      </c>
      <c r="F620" s="34" t="inlineStr">
        <is>
          <t>No individual professional decision recorded; Source assignment -- not individually reviewed</t>
        </is>
      </c>
      <c r="G620" s="34" t="inlineStr">
        <is>
          <t>Not individually decided</t>
        </is>
      </c>
      <c r="H620" s="34" t="inlineStr">
        <is>
          <t xml:space="preserve">APPROVED / ONE_TO_ONE; </t>
        </is>
      </c>
      <c r="I620" s="34" t="inlineStr">
        <is>
          <t>New</t>
        </is>
      </c>
      <c r="J620" s="92" t="inlineStr">
        <is>
          <t>08 CROSSWALK</t>
        </is>
      </c>
    </row>
    <row r="621" ht="49" customHeight="1">
      <c r="A621" s="34" t="inlineStr">
        <is>
          <t>R458-v1</t>
        </is>
      </c>
      <c r="B621" s="34" t="inlineStr">
        <is>
          <t>Contractor Programme / SCH-03-098</t>
        </is>
      </c>
      <c r="C621" s="34" t="inlineStr">
        <is>
          <t>WBS Code = 1.3.1</t>
        </is>
      </c>
      <c r="D621" s="34" t="inlineStr">
        <is>
          <t>Proposed by Source assignment; target 1.3.1 Systems - Traction Power</t>
        </is>
      </c>
      <c r="E621" s="34" t="inlineStr">
        <is>
          <t>None recorded</t>
        </is>
      </c>
      <c r="F621" s="34" t="inlineStr">
        <is>
          <t>No individual professional decision recorded; Source assignment -- not individually reviewed</t>
        </is>
      </c>
      <c r="G621" s="34" t="inlineStr">
        <is>
          <t>Not individually decided</t>
        </is>
      </c>
      <c r="H621" s="34" t="inlineStr">
        <is>
          <t xml:space="preserve">APPROVED / ONE_TO_ONE; </t>
        </is>
      </c>
      <c r="I621" s="34" t="inlineStr">
        <is>
          <t>New</t>
        </is>
      </c>
      <c r="J621" s="92" t="inlineStr">
        <is>
          <t>08 CROSSWALK</t>
        </is>
      </c>
    </row>
    <row r="622" ht="49" customHeight="1">
      <c r="A622" s="34" t="inlineStr">
        <is>
          <t>R460-v1</t>
        </is>
      </c>
      <c r="B622" s="34" t="inlineStr">
        <is>
          <t>Contractor Programme / SCH-03-100</t>
        </is>
      </c>
      <c r="C622" s="34" t="inlineStr">
        <is>
          <t>WBS Code = 1.3.1</t>
        </is>
      </c>
      <c r="D622" s="34" t="inlineStr">
        <is>
          <t>Proposed by Source assignment; target 1.3.1 Systems - Traction Power</t>
        </is>
      </c>
      <c r="E622" s="34" t="inlineStr">
        <is>
          <t>None recorded</t>
        </is>
      </c>
      <c r="F622" s="34" t="inlineStr">
        <is>
          <t>No individual professional decision recorded; Source assignment -- not individually reviewed</t>
        </is>
      </c>
      <c r="G622" s="34" t="inlineStr">
        <is>
          <t>Not individually decided</t>
        </is>
      </c>
      <c r="H622" s="34" t="inlineStr">
        <is>
          <t xml:space="preserve">APPROVED / ONE_TO_ONE; </t>
        </is>
      </c>
      <c r="I622" s="34" t="inlineStr">
        <is>
          <t>New</t>
        </is>
      </c>
      <c r="J622" s="92" t="inlineStr">
        <is>
          <t>08 CROSSWALK</t>
        </is>
      </c>
    </row>
    <row r="623" ht="49" customHeight="1">
      <c r="A623" s="34" t="inlineStr">
        <is>
          <t>R461-v1</t>
        </is>
      </c>
      <c r="B623" s="34" t="inlineStr">
        <is>
          <t>Contractor Programme / SCH-03-101</t>
        </is>
      </c>
      <c r="C623" s="34" t="inlineStr">
        <is>
          <t>WBS Code = 1.3.1</t>
        </is>
      </c>
      <c r="D623" s="34" t="inlineStr">
        <is>
          <t>Proposed by Source assignment; target 1.3.1 Systems - Traction Power</t>
        </is>
      </c>
      <c r="E623" s="34" t="inlineStr">
        <is>
          <t>None recorded</t>
        </is>
      </c>
      <c r="F623" s="34" t="inlineStr">
        <is>
          <t>No individual professional decision recorded; Source assignment -- not individually reviewed</t>
        </is>
      </c>
      <c r="G623" s="34" t="inlineStr">
        <is>
          <t>Not individually decided</t>
        </is>
      </c>
      <c r="H623" s="34" t="inlineStr">
        <is>
          <t xml:space="preserve">APPROVED / ONE_TO_ONE; </t>
        </is>
      </c>
      <c r="I623" s="34" t="inlineStr">
        <is>
          <t>New</t>
        </is>
      </c>
      <c r="J623" s="92" t="inlineStr">
        <is>
          <t>08 CROSSWALK</t>
        </is>
      </c>
    </row>
    <row r="624" ht="49" customHeight="1">
      <c r="A624" s="34" t="inlineStr">
        <is>
          <t>R463-v1</t>
        </is>
      </c>
      <c r="B624" s="34" t="inlineStr">
        <is>
          <t>Contractor Programme / SCH-03-103</t>
        </is>
      </c>
      <c r="C624" s="34" t="inlineStr">
        <is>
          <t>WBS Code = 1.3.1</t>
        </is>
      </c>
      <c r="D624" s="34" t="inlineStr">
        <is>
          <t>Proposed by Source assignment; target 1.3.1 Systems - Traction Power</t>
        </is>
      </c>
      <c r="E624" s="34" t="inlineStr">
        <is>
          <t>None recorded</t>
        </is>
      </c>
      <c r="F624" s="34" t="inlineStr">
        <is>
          <t>No individual professional decision recorded; Source assignment -- not individually reviewed</t>
        </is>
      </c>
      <c r="G624" s="34" t="inlineStr">
        <is>
          <t>Not individually decided</t>
        </is>
      </c>
      <c r="H624" s="34" t="inlineStr">
        <is>
          <t xml:space="preserve">APPROVED / ONE_TO_ONE; </t>
        </is>
      </c>
      <c r="I624" s="34" t="inlineStr">
        <is>
          <t>New</t>
        </is>
      </c>
      <c r="J624" s="92" t="inlineStr">
        <is>
          <t>08 CROSSWALK</t>
        </is>
      </c>
    </row>
    <row r="625" ht="49" customHeight="1">
      <c r="A625" s="34" t="inlineStr">
        <is>
          <t>R464-v1</t>
        </is>
      </c>
      <c r="B625" s="34" t="inlineStr">
        <is>
          <t>Contractor Programme / SCH-03-104</t>
        </is>
      </c>
      <c r="C625" s="34" t="inlineStr">
        <is>
          <t>WBS Code = 1.3.1</t>
        </is>
      </c>
      <c r="D625" s="34" t="inlineStr">
        <is>
          <t>Proposed by Source assignment; target 1.3.1 Systems - Traction Power</t>
        </is>
      </c>
      <c r="E625" s="34" t="inlineStr">
        <is>
          <t>None recorded</t>
        </is>
      </c>
      <c r="F625" s="34" t="inlineStr">
        <is>
          <t>No individual professional decision recorded; Source assignment -- not individually reviewed</t>
        </is>
      </c>
      <c r="G625" s="34" t="inlineStr">
        <is>
          <t>Not individually decided</t>
        </is>
      </c>
      <c r="H625" s="34" t="inlineStr">
        <is>
          <t xml:space="preserve">APPROVED / ONE_TO_ONE; </t>
        </is>
      </c>
      <c r="I625" s="34" t="inlineStr">
        <is>
          <t>New</t>
        </is>
      </c>
      <c r="J625" s="92" t="inlineStr">
        <is>
          <t>08 CROSSWALK</t>
        </is>
      </c>
    </row>
    <row r="626" ht="49" customHeight="1">
      <c r="A626" s="34" t="inlineStr">
        <is>
          <t>R466-v1</t>
        </is>
      </c>
      <c r="B626" s="34" t="inlineStr">
        <is>
          <t>Contractor Programme / SCH-03-106</t>
        </is>
      </c>
      <c r="C626" s="34" t="inlineStr">
        <is>
          <t>WBS Code = 1.3.1</t>
        </is>
      </c>
      <c r="D626" s="34" t="inlineStr">
        <is>
          <t>Proposed by Source assignment; target 1.3.1 Systems - Traction Power</t>
        </is>
      </c>
      <c r="E626" s="34" t="inlineStr">
        <is>
          <t>None recorded</t>
        </is>
      </c>
      <c r="F626" s="34" t="inlineStr">
        <is>
          <t>No individual professional decision recorded; Source assignment -- not individually reviewed</t>
        </is>
      </c>
      <c r="G626" s="34" t="inlineStr">
        <is>
          <t>Not individually decided</t>
        </is>
      </c>
      <c r="H626" s="34" t="inlineStr">
        <is>
          <t xml:space="preserve">APPROVED / ONE_TO_ONE; </t>
        </is>
      </c>
      <c r="I626" s="34" t="inlineStr">
        <is>
          <t>New</t>
        </is>
      </c>
      <c r="J626" s="92" t="inlineStr">
        <is>
          <t>08 CROSSWALK</t>
        </is>
      </c>
    </row>
    <row r="627" ht="49" customHeight="1">
      <c r="A627" s="34" t="inlineStr">
        <is>
          <t>R467-v1</t>
        </is>
      </c>
      <c r="B627" s="34" t="inlineStr">
        <is>
          <t>Contractor Programme / SCH-03-107</t>
        </is>
      </c>
      <c r="C627" s="34" t="inlineStr">
        <is>
          <t>WBS Code = 1.3.1</t>
        </is>
      </c>
      <c r="D627" s="34" t="inlineStr">
        <is>
          <t>Proposed by Source assignment; target 1.3.1 Systems - Traction Power</t>
        </is>
      </c>
      <c r="E627" s="34" t="inlineStr">
        <is>
          <t>None recorded</t>
        </is>
      </c>
      <c r="F627" s="34" t="inlineStr">
        <is>
          <t>No individual professional decision recorded; Source assignment -- not individually reviewed</t>
        </is>
      </c>
      <c r="G627" s="34" t="inlineStr">
        <is>
          <t>Not individually decided</t>
        </is>
      </c>
      <c r="H627" s="34" t="inlineStr">
        <is>
          <t xml:space="preserve">APPROVED / ONE_TO_ONE; </t>
        </is>
      </c>
      <c r="I627" s="34" t="inlineStr">
        <is>
          <t>New</t>
        </is>
      </c>
      <c r="J627" s="92" t="inlineStr">
        <is>
          <t>08 CROSSWALK</t>
        </is>
      </c>
    </row>
    <row r="628" ht="49" customHeight="1">
      <c r="A628" s="34" t="inlineStr">
        <is>
          <t>R469-v1</t>
        </is>
      </c>
      <c r="B628" s="34" t="inlineStr">
        <is>
          <t>Contractor Programme / SCH-03-109</t>
        </is>
      </c>
      <c r="C628" s="34" t="inlineStr">
        <is>
          <t>WBS Code = 1.3.1</t>
        </is>
      </c>
      <c r="D628" s="34" t="inlineStr">
        <is>
          <t>Proposed by Source assignment; target 1.3.1 Systems - Traction Power</t>
        </is>
      </c>
      <c r="E628" s="34" t="inlineStr">
        <is>
          <t>None recorded</t>
        </is>
      </c>
      <c r="F628" s="34" t="inlineStr">
        <is>
          <t>No individual professional decision recorded; Source assignment -- not individually reviewed</t>
        </is>
      </c>
      <c r="G628" s="34" t="inlineStr">
        <is>
          <t>Not individually decided</t>
        </is>
      </c>
      <c r="H628" s="34" t="inlineStr">
        <is>
          <t xml:space="preserve">APPROVED / ONE_TO_ONE; </t>
        </is>
      </c>
      <c r="I628" s="34" t="inlineStr">
        <is>
          <t>New</t>
        </is>
      </c>
      <c r="J628" s="92" t="inlineStr">
        <is>
          <t>08 CROSSWALK</t>
        </is>
      </c>
    </row>
    <row r="629" ht="49" customHeight="1">
      <c r="A629" s="34" t="inlineStr">
        <is>
          <t>R470-v1</t>
        </is>
      </c>
      <c r="B629" s="34" t="inlineStr">
        <is>
          <t>Contractor Programme / SCH-03-110</t>
        </is>
      </c>
      <c r="C629" s="34" t="inlineStr">
        <is>
          <t>WBS Code = 1.3.1</t>
        </is>
      </c>
      <c r="D629" s="34" t="inlineStr">
        <is>
          <t>Proposed by Source assignment; target 1.3.1 Systems - Traction Power</t>
        </is>
      </c>
      <c r="E629" s="34" t="inlineStr">
        <is>
          <t>None recorded</t>
        </is>
      </c>
      <c r="F629" s="34" t="inlineStr">
        <is>
          <t>No individual professional decision recorded; Source assignment -- not individually reviewed</t>
        </is>
      </c>
      <c r="G629" s="34" t="inlineStr">
        <is>
          <t>Not individually decided</t>
        </is>
      </c>
      <c r="H629" s="34" t="inlineStr">
        <is>
          <t xml:space="preserve">APPROVED / ONE_TO_ONE; </t>
        </is>
      </c>
      <c r="I629" s="34" t="inlineStr">
        <is>
          <t>New</t>
        </is>
      </c>
      <c r="J629" s="92" t="inlineStr">
        <is>
          <t>08 CROSSWALK</t>
        </is>
      </c>
    </row>
    <row r="630" ht="49" customHeight="1">
      <c r="A630" s="34" t="inlineStr">
        <is>
          <t>R472-v1</t>
        </is>
      </c>
      <c r="B630" s="34" t="inlineStr">
        <is>
          <t>Contractor Programme / SCH-03-112</t>
        </is>
      </c>
      <c r="C630" s="34" t="inlineStr">
        <is>
          <t>WBS Code = 1.3.1</t>
        </is>
      </c>
      <c r="D630" s="34" t="inlineStr">
        <is>
          <t>Proposed by Source assignment; target 1.3.1 Systems - Traction Power</t>
        </is>
      </c>
      <c r="E630" s="34" t="inlineStr">
        <is>
          <t>None recorded</t>
        </is>
      </c>
      <c r="F630" s="34" t="inlineStr">
        <is>
          <t>No individual professional decision recorded; Source assignment -- not individually reviewed</t>
        </is>
      </c>
      <c r="G630" s="34" t="inlineStr">
        <is>
          <t>Not individually decided</t>
        </is>
      </c>
      <c r="H630" s="34" t="inlineStr">
        <is>
          <t xml:space="preserve">APPROVED / ONE_TO_ONE; </t>
        </is>
      </c>
      <c r="I630" s="34" t="inlineStr">
        <is>
          <t>New</t>
        </is>
      </c>
      <c r="J630" s="92" t="inlineStr">
        <is>
          <t>08 CROSSWALK</t>
        </is>
      </c>
    </row>
    <row r="631" ht="49" customHeight="1">
      <c r="A631" s="34" t="inlineStr">
        <is>
          <t>R473-v1</t>
        </is>
      </c>
      <c r="B631" s="34" t="inlineStr">
        <is>
          <t>Contractor Programme / SCH-03-113</t>
        </is>
      </c>
      <c r="C631" s="34" t="inlineStr">
        <is>
          <t>WBS Code = 1.3.1</t>
        </is>
      </c>
      <c r="D631" s="34" t="inlineStr">
        <is>
          <t>Proposed by Source assignment; target 1.3.1 Systems - Traction Power</t>
        </is>
      </c>
      <c r="E631" s="34" t="inlineStr">
        <is>
          <t>None recorded</t>
        </is>
      </c>
      <c r="F631" s="34" t="inlineStr">
        <is>
          <t>No individual professional decision recorded; Source assignment -- not individually reviewed</t>
        </is>
      </c>
      <c r="G631" s="34" t="inlineStr">
        <is>
          <t>Not individually decided</t>
        </is>
      </c>
      <c r="H631" s="34" t="inlineStr">
        <is>
          <t xml:space="preserve">APPROVED / ONE_TO_ONE; </t>
        </is>
      </c>
      <c r="I631" s="34" t="inlineStr">
        <is>
          <t>New</t>
        </is>
      </c>
      <c r="J631" s="92" t="inlineStr">
        <is>
          <t>08 CROSSWALK</t>
        </is>
      </c>
    </row>
    <row r="632" ht="49" customHeight="1">
      <c r="A632" s="34" t="inlineStr">
        <is>
          <t>R475-v1</t>
        </is>
      </c>
      <c r="B632" s="34" t="inlineStr">
        <is>
          <t>Contractor Programme / SCH-03-115</t>
        </is>
      </c>
      <c r="C632" s="34" t="inlineStr">
        <is>
          <t>WBS Code = 1.3.1</t>
        </is>
      </c>
      <c r="D632" s="34" t="inlineStr">
        <is>
          <t>Proposed by Source assignment; target 1.3.1 Systems - Traction Power</t>
        </is>
      </c>
      <c r="E632" s="34" t="inlineStr">
        <is>
          <t>None recorded</t>
        </is>
      </c>
      <c r="F632" s="34" t="inlineStr">
        <is>
          <t>No individual professional decision recorded; Source assignment -- not individually reviewed</t>
        </is>
      </c>
      <c r="G632" s="34" t="inlineStr">
        <is>
          <t>Not individually decided</t>
        </is>
      </c>
      <c r="H632" s="34" t="inlineStr">
        <is>
          <t xml:space="preserve">APPROVED / ONE_TO_ONE; </t>
        </is>
      </c>
      <c r="I632" s="34" t="inlineStr">
        <is>
          <t>New</t>
        </is>
      </c>
      <c r="J632" s="92" t="inlineStr">
        <is>
          <t>08 CROSSWALK</t>
        </is>
      </c>
    </row>
    <row r="633" ht="49" customHeight="1">
      <c r="A633" s="34" t="inlineStr">
        <is>
          <t>R476-v1</t>
        </is>
      </c>
      <c r="B633" s="34" t="inlineStr">
        <is>
          <t>Contractor Programme / SCH-03-116</t>
        </is>
      </c>
      <c r="C633" s="34" t="inlineStr">
        <is>
          <t>WBS Code = 1.3.1</t>
        </is>
      </c>
      <c r="D633" s="34" t="inlineStr">
        <is>
          <t>Proposed by Source assignment; target 1.3.1 Systems - Traction Power</t>
        </is>
      </c>
      <c r="E633" s="34" t="inlineStr">
        <is>
          <t>None recorded</t>
        </is>
      </c>
      <c r="F633" s="34" t="inlineStr">
        <is>
          <t>No individual professional decision recorded; Source assignment -- not individually reviewed</t>
        </is>
      </c>
      <c r="G633" s="34" t="inlineStr">
        <is>
          <t>Not individually decided</t>
        </is>
      </c>
      <c r="H633" s="34" t="inlineStr">
        <is>
          <t xml:space="preserve">APPROVED / ONE_TO_ONE; </t>
        </is>
      </c>
      <c r="I633" s="34" t="inlineStr">
        <is>
          <t>New</t>
        </is>
      </c>
      <c r="J633" s="92" t="inlineStr">
        <is>
          <t>08 CROSSWALK</t>
        </is>
      </c>
    </row>
    <row r="634" ht="49" customHeight="1">
      <c r="A634" s="34" t="inlineStr">
        <is>
          <t>R478-v1</t>
        </is>
      </c>
      <c r="B634" s="34" t="inlineStr">
        <is>
          <t>Contractor Programme / SCH-03-118</t>
        </is>
      </c>
      <c r="C634" s="34" t="inlineStr">
        <is>
          <t>WBS Code = 1.3.1</t>
        </is>
      </c>
      <c r="D634" s="34" t="inlineStr">
        <is>
          <t>Proposed by Source assignment; target 1.3.1 Systems - Traction Power</t>
        </is>
      </c>
      <c r="E634" s="34" t="inlineStr">
        <is>
          <t>None recorded</t>
        </is>
      </c>
      <c r="F634" s="34" t="inlineStr">
        <is>
          <t>No individual professional decision recorded; Source assignment -- not individually reviewed</t>
        </is>
      </c>
      <c r="G634" s="34" t="inlineStr">
        <is>
          <t>Not individually decided</t>
        </is>
      </c>
      <c r="H634" s="34" t="inlineStr">
        <is>
          <t xml:space="preserve">APPROVED / ONE_TO_ONE; </t>
        </is>
      </c>
      <c r="I634" s="34" t="inlineStr">
        <is>
          <t>New</t>
        </is>
      </c>
      <c r="J634" s="92" t="inlineStr">
        <is>
          <t>08 CROSSWALK</t>
        </is>
      </c>
    </row>
    <row r="635" ht="49" customHeight="1">
      <c r="A635" s="34" t="inlineStr">
        <is>
          <t>R479-v1</t>
        </is>
      </c>
      <c r="B635" s="34" t="inlineStr">
        <is>
          <t>Contractor Programme / SCH-03-119</t>
        </is>
      </c>
      <c r="C635" s="34" t="inlineStr">
        <is>
          <t>WBS Code = 1.3.1</t>
        </is>
      </c>
      <c r="D635" s="34" t="inlineStr">
        <is>
          <t>Proposed by Source assignment; target 1.3.1 Systems - Traction Power</t>
        </is>
      </c>
      <c r="E635" s="34" t="inlineStr">
        <is>
          <t>None recorded</t>
        </is>
      </c>
      <c r="F635" s="34" t="inlineStr">
        <is>
          <t>No individual professional decision recorded; Source assignment -- not individually reviewed</t>
        </is>
      </c>
      <c r="G635" s="34" t="inlineStr">
        <is>
          <t>Not individually decided</t>
        </is>
      </c>
      <c r="H635" s="34" t="inlineStr">
        <is>
          <t xml:space="preserve">APPROVED / ONE_TO_ONE; </t>
        </is>
      </c>
      <c r="I635" s="34" t="inlineStr">
        <is>
          <t>New</t>
        </is>
      </c>
      <c r="J635" s="92" t="inlineStr">
        <is>
          <t>08 CROSSWALK</t>
        </is>
      </c>
    </row>
    <row r="636" ht="49" customHeight="1">
      <c r="A636" s="34" t="inlineStr">
        <is>
          <t>R481-v1</t>
        </is>
      </c>
      <c r="B636" s="34" t="inlineStr">
        <is>
          <t>Contractor Programme / SCH-03-121</t>
        </is>
      </c>
      <c r="C636" s="34" t="inlineStr">
        <is>
          <t>WBS Code = 1.3.1</t>
        </is>
      </c>
      <c r="D636" s="34" t="inlineStr">
        <is>
          <t>Proposed by Source assignment; target 1.3.1 Systems - Traction Power</t>
        </is>
      </c>
      <c r="E636" s="34" t="inlineStr">
        <is>
          <t>None recorded</t>
        </is>
      </c>
      <c r="F636" s="34" t="inlineStr">
        <is>
          <t>No individual professional decision recorded; Source assignment -- not individually reviewed</t>
        </is>
      </c>
      <c r="G636" s="34" t="inlineStr">
        <is>
          <t>Not individually decided</t>
        </is>
      </c>
      <c r="H636" s="34" t="inlineStr">
        <is>
          <t xml:space="preserve">APPROVED / ONE_TO_ONE; </t>
        </is>
      </c>
      <c r="I636" s="34" t="inlineStr">
        <is>
          <t>New</t>
        </is>
      </c>
      <c r="J636" s="92" t="inlineStr">
        <is>
          <t>08 CROSSWALK</t>
        </is>
      </c>
    </row>
    <row r="637" ht="49" customHeight="1">
      <c r="A637" s="34" t="inlineStr">
        <is>
          <t>R482-v1</t>
        </is>
      </c>
      <c r="B637" s="34" t="inlineStr">
        <is>
          <t>Contractor Programme / SCH-03-122</t>
        </is>
      </c>
      <c r="C637" s="34" t="inlineStr">
        <is>
          <t>WBS Code = 1.3.1</t>
        </is>
      </c>
      <c r="D637" s="34" t="inlineStr">
        <is>
          <t>Proposed by Source assignment; target 1.3.1 Systems - Traction Power</t>
        </is>
      </c>
      <c r="E637" s="34" t="inlineStr">
        <is>
          <t>None recorded</t>
        </is>
      </c>
      <c r="F637" s="34" t="inlineStr">
        <is>
          <t>No individual professional decision recorded; Source assignment -- not individually reviewed</t>
        </is>
      </c>
      <c r="G637" s="34" t="inlineStr">
        <is>
          <t>Not individually decided</t>
        </is>
      </c>
      <c r="H637" s="34" t="inlineStr">
        <is>
          <t xml:space="preserve">APPROVED / ONE_TO_ONE; </t>
        </is>
      </c>
      <c r="I637" s="34" t="inlineStr">
        <is>
          <t>New</t>
        </is>
      </c>
      <c r="J637" s="92" t="inlineStr">
        <is>
          <t>08 CROSSWALK</t>
        </is>
      </c>
    </row>
    <row r="638" ht="49" customHeight="1">
      <c r="A638" s="34" t="inlineStr">
        <is>
          <t>R484-v1</t>
        </is>
      </c>
      <c r="B638" s="34" t="inlineStr">
        <is>
          <t>Contractor Programme / SCH-03-124</t>
        </is>
      </c>
      <c r="C638" s="34" t="inlineStr">
        <is>
          <t>WBS Code = 1.3.1</t>
        </is>
      </c>
      <c r="D638" s="34" t="inlineStr">
        <is>
          <t>Proposed by Source assignment; target 1.3.1 Systems - Traction Power</t>
        </is>
      </c>
      <c r="E638" s="34" t="inlineStr">
        <is>
          <t>None recorded</t>
        </is>
      </c>
      <c r="F638" s="34" t="inlineStr">
        <is>
          <t>No individual professional decision recorded; Source assignment -- not individually reviewed</t>
        </is>
      </c>
      <c r="G638" s="34" t="inlineStr">
        <is>
          <t>Not individually decided</t>
        </is>
      </c>
      <c r="H638" s="34" t="inlineStr">
        <is>
          <t xml:space="preserve">APPROVED / ONE_TO_ONE; </t>
        </is>
      </c>
      <c r="I638" s="34" t="inlineStr">
        <is>
          <t>New</t>
        </is>
      </c>
      <c r="J638" s="92" t="inlineStr">
        <is>
          <t>08 CROSSWALK</t>
        </is>
      </c>
    </row>
    <row r="639" ht="49" customHeight="1">
      <c r="A639" s="34" t="inlineStr">
        <is>
          <t>R485-v1</t>
        </is>
      </c>
      <c r="B639" s="34" t="inlineStr">
        <is>
          <t>Contractor Programme / SCH-03-125</t>
        </is>
      </c>
      <c r="C639" s="34" t="inlineStr">
        <is>
          <t>WBS Code = 1.3.1</t>
        </is>
      </c>
      <c r="D639" s="34" t="inlineStr">
        <is>
          <t>Proposed by Source assignment; target 1.3.1 Systems - Traction Power</t>
        </is>
      </c>
      <c r="E639" s="34" t="inlineStr">
        <is>
          <t>None recorded</t>
        </is>
      </c>
      <c r="F639" s="34" t="inlineStr">
        <is>
          <t>No individual professional decision recorded; Source assignment -- not individually reviewed</t>
        </is>
      </c>
      <c r="G639" s="34" t="inlineStr">
        <is>
          <t>Not individually decided</t>
        </is>
      </c>
      <c r="H639" s="34" t="inlineStr">
        <is>
          <t xml:space="preserve">APPROVED / ONE_TO_ONE; </t>
        </is>
      </c>
      <c r="I639" s="34" t="inlineStr">
        <is>
          <t>New</t>
        </is>
      </c>
      <c r="J639" s="92" t="inlineStr">
        <is>
          <t>08 CROSSWALK</t>
        </is>
      </c>
    </row>
    <row r="640" ht="49" customHeight="1">
      <c r="A640" s="34" t="inlineStr">
        <is>
          <t>R487-v1</t>
        </is>
      </c>
      <c r="B640" s="34" t="inlineStr">
        <is>
          <t>Contractor Programme / SCH-03-127</t>
        </is>
      </c>
      <c r="C640" s="34" t="inlineStr">
        <is>
          <t>WBS Code = 1.3.1</t>
        </is>
      </c>
      <c r="D640" s="34" t="inlineStr">
        <is>
          <t>Proposed by Source assignment; target 1.3.1 Systems - Traction Power</t>
        </is>
      </c>
      <c r="E640" s="34" t="inlineStr">
        <is>
          <t>None recorded</t>
        </is>
      </c>
      <c r="F640" s="34" t="inlineStr">
        <is>
          <t>No individual professional decision recorded; Source assignment -- not individually reviewed</t>
        </is>
      </c>
      <c r="G640" s="34" t="inlineStr">
        <is>
          <t>Not individually decided</t>
        </is>
      </c>
      <c r="H640" s="34" t="inlineStr">
        <is>
          <t xml:space="preserve">APPROVED / ONE_TO_ONE; </t>
        </is>
      </c>
      <c r="I640" s="34" t="inlineStr">
        <is>
          <t>New</t>
        </is>
      </c>
      <c r="J640" s="92" t="inlineStr">
        <is>
          <t>08 CROSSWALK</t>
        </is>
      </c>
    </row>
    <row r="641" ht="49" customHeight="1">
      <c r="A641" s="34" t="inlineStr">
        <is>
          <t>R488-v1</t>
        </is>
      </c>
      <c r="B641" s="34" t="inlineStr">
        <is>
          <t>Contractor Programme / SCH-03-128</t>
        </is>
      </c>
      <c r="C641" s="34" t="inlineStr">
        <is>
          <t>WBS Code = 1.3.1</t>
        </is>
      </c>
      <c r="D641" s="34" t="inlineStr">
        <is>
          <t>Proposed by Source assignment; target 1.3.1 Systems - Traction Power</t>
        </is>
      </c>
      <c r="E641" s="34" t="inlineStr">
        <is>
          <t>None recorded</t>
        </is>
      </c>
      <c r="F641" s="34" t="inlineStr">
        <is>
          <t>No individual professional decision recorded; Source assignment -- not individually reviewed</t>
        </is>
      </c>
      <c r="G641" s="34" t="inlineStr">
        <is>
          <t>Not individually decided</t>
        </is>
      </c>
      <c r="H641" s="34" t="inlineStr">
        <is>
          <t xml:space="preserve">APPROVED / ONE_TO_ONE; </t>
        </is>
      </c>
      <c r="I641" s="34" t="inlineStr">
        <is>
          <t>New</t>
        </is>
      </c>
      <c r="J641" s="92" t="inlineStr">
        <is>
          <t>08 CROSSWALK</t>
        </is>
      </c>
    </row>
    <row r="642" ht="49" customHeight="1">
      <c r="A642" s="34" t="inlineStr">
        <is>
          <t>R490-v1</t>
        </is>
      </c>
      <c r="B642" s="34" t="inlineStr">
        <is>
          <t>Contractor Programme / SCH-03-130</t>
        </is>
      </c>
      <c r="C642" s="34" t="inlineStr">
        <is>
          <t>WBS Code = 1.3.1</t>
        </is>
      </c>
      <c r="D642" s="34" t="inlineStr">
        <is>
          <t>Proposed by Source assignment; target 1.3.1 Systems - Traction Power</t>
        </is>
      </c>
      <c r="E642" s="34" t="inlineStr">
        <is>
          <t>None recorded</t>
        </is>
      </c>
      <c r="F642" s="34" t="inlineStr">
        <is>
          <t>No individual professional decision recorded; Source assignment -- not individually reviewed</t>
        </is>
      </c>
      <c r="G642" s="34" t="inlineStr">
        <is>
          <t>Not individually decided</t>
        </is>
      </c>
      <c r="H642" s="34" t="inlineStr">
        <is>
          <t xml:space="preserve">APPROVED / ONE_TO_ONE; </t>
        </is>
      </c>
      <c r="I642" s="34" t="inlineStr">
        <is>
          <t>New</t>
        </is>
      </c>
      <c r="J642" s="92" t="inlineStr">
        <is>
          <t>08 CROSSWALK</t>
        </is>
      </c>
    </row>
    <row r="643" ht="49" customHeight="1">
      <c r="A643" s="34" t="inlineStr">
        <is>
          <t>R491-v1</t>
        </is>
      </c>
      <c r="B643" s="34" t="inlineStr">
        <is>
          <t>Contractor Programme / SCH-03-131</t>
        </is>
      </c>
      <c r="C643" s="34" t="inlineStr">
        <is>
          <t>WBS Code = 1.3.1</t>
        </is>
      </c>
      <c r="D643" s="34" t="inlineStr">
        <is>
          <t>Proposed by Source assignment; target 1.3.1 Systems - Traction Power</t>
        </is>
      </c>
      <c r="E643" s="34" t="inlineStr">
        <is>
          <t>None recorded</t>
        </is>
      </c>
      <c r="F643" s="34" t="inlineStr">
        <is>
          <t>No individual professional decision recorded; Source assignment -- not individually reviewed</t>
        </is>
      </c>
      <c r="G643" s="34" t="inlineStr">
        <is>
          <t>Not individually decided</t>
        </is>
      </c>
      <c r="H643" s="34" t="inlineStr">
        <is>
          <t xml:space="preserve">APPROVED / ONE_TO_ONE; </t>
        </is>
      </c>
      <c r="I643" s="34" t="inlineStr">
        <is>
          <t>New</t>
        </is>
      </c>
      <c r="J643" s="92" t="inlineStr">
        <is>
          <t>08 CROSSWALK</t>
        </is>
      </c>
    </row>
    <row r="644" ht="49" customHeight="1">
      <c r="A644" s="34" t="inlineStr">
        <is>
          <t>R493-v1</t>
        </is>
      </c>
      <c r="B644" s="34" t="inlineStr">
        <is>
          <t>Contractor Programme / SCH-03-133</t>
        </is>
      </c>
      <c r="C644" s="34" t="inlineStr">
        <is>
          <t>WBS Code = 1.3.1</t>
        </is>
      </c>
      <c r="D644" s="34" t="inlineStr">
        <is>
          <t>Proposed by Source assignment; target 1.3.1 Systems - Traction Power</t>
        </is>
      </c>
      <c r="E644" s="34" t="inlineStr">
        <is>
          <t>None recorded</t>
        </is>
      </c>
      <c r="F644" s="34" t="inlineStr">
        <is>
          <t>No individual professional decision recorded; Source assignment -- not individually reviewed</t>
        </is>
      </c>
      <c r="G644" s="34" t="inlineStr">
        <is>
          <t>Not individually decided</t>
        </is>
      </c>
      <c r="H644" s="34" t="inlineStr">
        <is>
          <t xml:space="preserve">APPROVED / ONE_TO_ONE; </t>
        </is>
      </c>
      <c r="I644" s="34" t="inlineStr">
        <is>
          <t>New</t>
        </is>
      </c>
      <c r="J644" s="92" t="inlineStr">
        <is>
          <t>08 CROSSWALK</t>
        </is>
      </c>
    </row>
    <row r="645" ht="49" customHeight="1">
      <c r="A645" s="34" t="inlineStr">
        <is>
          <t>R494-v1</t>
        </is>
      </c>
      <c r="B645" s="34" t="inlineStr">
        <is>
          <t>Contractor Programme / SCH-03-134</t>
        </is>
      </c>
      <c r="C645" s="34" t="inlineStr">
        <is>
          <t>WBS Code = 1.3.1</t>
        </is>
      </c>
      <c r="D645" s="34" t="inlineStr">
        <is>
          <t>Proposed by Source assignment; target 1.3.1 Systems - Traction Power</t>
        </is>
      </c>
      <c r="E645" s="34" t="inlineStr">
        <is>
          <t>None recorded</t>
        </is>
      </c>
      <c r="F645" s="34" t="inlineStr">
        <is>
          <t>No individual professional decision recorded; Source assignment -- not individually reviewed</t>
        </is>
      </c>
      <c r="G645" s="34" t="inlineStr">
        <is>
          <t>Not individually decided</t>
        </is>
      </c>
      <c r="H645" s="34" t="inlineStr">
        <is>
          <t xml:space="preserve">APPROVED / ONE_TO_ONE; </t>
        </is>
      </c>
      <c r="I645" s="34" t="inlineStr">
        <is>
          <t>New</t>
        </is>
      </c>
      <c r="J645" s="92" t="inlineStr">
        <is>
          <t>08 CROSSWALK</t>
        </is>
      </c>
    </row>
    <row r="646" ht="49" customHeight="1">
      <c r="A646" s="34" t="inlineStr">
        <is>
          <t>R496-v1</t>
        </is>
      </c>
      <c r="B646" s="34" t="inlineStr">
        <is>
          <t>Contractor Programme / SCH-03-136</t>
        </is>
      </c>
      <c r="C646" s="34" t="inlineStr">
        <is>
          <t>WBS Code = 1.3.1</t>
        </is>
      </c>
      <c r="D646" s="34" t="inlineStr">
        <is>
          <t>Proposed by Source assignment; target 1.3.1 Systems - Traction Power</t>
        </is>
      </c>
      <c r="E646" s="34" t="inlineStr">
        <is>
          <t>None recorded</t>
        </is>
      </c>
      <c r="F646" s="34" t="inlineStr">
        <is>
          <t>No individual professional decision recorded; Source assignment -- not individually reviewed</t>
        </is>
      </c>
      <c r="G646" s="34" t="inlineStr">
        <is>
          <t>Not individually decided</t>
        </is>
      </c>
      <c r="H646" s="34" t="inlineStr">
        <is>
          <t xml:space="preserve">APPROVED / ONE_TO_ONE; </t>
        </is>
      </c>
      <c r="I646" s="34" t="inlineStr">
        <is>
          <t>New</t>
        </is>
      </c>
      <c r="J646" s="92" t="inlineStr">
        <is>
          <t>08 CROSSWALK</t>
        </is>
      </c>
    </row>
    <row r="647" ht="49" customHeight="1">
      <c r="A647" s="34" t="inlineStr">
        <is>
          <t>R497-v1</t>
        </is>
      </c>
      <c r="B647" s="34" t="inlineStr">
        <is>
          <t>Contractor Programme / SCH-03-137</t>
        </is>
      </c>
      <c r="C647" s="34" t="inlineStr">
        <is>
          <t>WBS Code = 1.3.1</t>
        </is>
      </c>
      <c r="D647" s="34" t="inlineStr">
        <is>
          <t>Proposed by Source assignment; target 1.3.1 Systems - Traction Power</t>
        </is>
      </c>
      <c r="E647" s="34" t="inlineStr">
        <is>
          <t>None recorded</t>
        </is>
      </c>
      <c r="F647" s="34" t="inlineStr">
        <is>
          <t>No individual professional decision recorded; Source assignment -- not individually reviewed</t>
        </is>
      </c>
      <c r="G647" s="34" t="inlineStr">
        <is>
          <t>Not individually decided</t>
        </is>
      </c>
      <c r="H647" s="34" t="inlineStr">
        <is>
          <t xml:space="preserve">APPROVED / ONE_TO_ONE; </t>
        </is>
      </c>
      <c r="I647" s="34" t="inlineStr">
        <is>
          <t>New</t>
        </is>
      </c>
      <c r="J647" s="92" t="inlineStr">
        <is>
          <t>08 CROSSWALK</t>
        </is>
      </c>
    </row>
    <row r="648" ht="49" customHeight="1">
      <c r="A648" s="34" t="inlineStr">
        <is>
          <t>R499-v1</t>
        </is>
      </c>
      <c r="B648" s="34" t="inlineStr">
        <is>
          <t>Contractor Programme / SCH-03-139</t>
        </is>
      </c>
      <c r="C648" s="34" t="inlineStr">
        <is>
          <t>WBS Code = 1.3.1</t>
        </is>
      </c>
      <c r="D648" s="34" t="inlineStr">
        <is>
          <t>Proposed by Source assignment; target 1.3.1 Systems - Traction Power</t>
        </is>
      </c>
      <c r="E648" s="34" t="inlineStr">
        <is>
          <t>None recorded</t>
        </is>
      </c>
      <c r="F648" s="34" t="inlineStr">
        <is>
          <t>No individual professional decision recorded; Source assignment -- not individually reviewed</t>
        </is>
      </c>
      <c r="G648" s="34" t="inlineStr">
        <is>
          <t>Not individually decided</t>
        </is>
      </c>
      <c r="H648" s="34" t="inlineStr">
        <is>
          <t xml:space="preserve">APPROVED / ONE_TO_ONE; </t>
        </is>
      </c>
      <c r="I648" s="34" t="inlineStr">
        <is>
          <t>New</t>
        </is>
      </c>
      <c r="J648" s="92" t="inlineStr">
        <is>
          <t>08 CROSSWALK</t>
        </is>
      </c>
    </row>
    <row r="649" ht="49" customHeight="1">
      <c r="A649" s="34" t="inlineStr">
        <is>
          <t>R500-v1</t>
        </is>
      </c>
      <c r="B649" s="34" t="inlineStr">
        <is>
          <t>Contractor Programme / SCH-03-140</t>
        </is>
      </c>
      <c r="C649" s="34" t="inlineStr">
        <is>
          <t>WBS Code = 1.3.1</t>
        </is>
      </c>
      <c r="D649" s="34" t="inlineStr">
        <is>
          <t>Proposed by Source assignment; target 1.3.1 Systems - Traction Power</t>
        </is>
      </c>
      <c r="E649" s="34" t="inlineStr">
        <is>
          <t>None recorded</t>
        </is>
      </c>
      <c r="F649" s="34" t="inlineStr">
        <is>
          <t>No individual professional decision recorded; Source assignment -- not individually reviewed</t>
        </is>
      </c>
      <c r="G649" s="34" t="inlineStr">
        <is>
          <t>Not individually decided</t>
        </is>
      </c>
      <c r="H649" s="34" t="inlineStr">
        <is>
          <t xml:space="preserve">APPROVED / ONE_TO_ONE; </t>
        </is>
      </c>
      <c r="I649" s="34" t="inlineStr">
        <is>
          <t>New</t>
        </is>
      </c>
      <c r="J649" s="92" t="inlineStr">
        <is>
          <t>08 CROSSWALK</t>
        </is>
      </c>
    </row>
    <row r="650" ht="49" customHeight="1">
      <c r="A650" s="34" t="inlineStr">
        <is>
          <t>R502-v1</t>
        </is>
      </c>
      <c r="B650" s="34" t="inlineStr">
        <is>
          <t>Contractor Programme / SCH-03-142</t>
        </is>
      </c>
      <c r="C650" s="34" t="inlineStr">
        <is>
          <t>WBS Code = 1.3.1</t>
        </is>
      </c>
      <c r="D650" s="34" t="inlineStr">
        <is>
          <t>Proposed by Source assignment; target 1.3.1 Systems - Traction Power</t>
        </is>
      </c>
      <c r="E650" s="34" t="inlineStr">
        <is>
          <t>None recorded</t>
        </is>
      </c>
      <c r="F650" s="34" t="inlineStr">
        <is>
          <t>No individual professional decision recorded; Source assignment -- not individually reviewed</t>
        </is>
      </c>
      <c r="G650" s="34" t="inlineStr">
        <is>
          <t>Not individually decided</t>
        </is>
      </c>
      <c r="H650" s="34" t="inlineStr">
        <is>
          <t xml:space="preserve">APPROVED / ONE_TO_ONE; </t>
        </is>
      </c>
      <c r="I650" s="34" t="inlineStr">
        <is>
          <t>New</t>
        </is>
      </c>
      <c r="J650" s="92" t="inlineStr">
        <is>
          <t>08 CROSSWALK</t>
        </is>
      </c>
    </row>
    <row r="651" ht="49" customHeight="1">
      <c r="A651" s="34" t="inlineStr">
        <is>
          <t>R503-v1</t>
        </is>
      </c>
      <c r="B651" s="34" t="inlineStr">
        <is>
          <t>Contractor Programme / SCH-03-143</t>
        </is>
      </c>
      <c r="C651" s="34" t="inlineStr">
        <is>
          <t>WBS Code = 1.3.1</t>
        </is>
      </c>
      <c r="D651" s="34" t="inlineStr">
        <is>
          <t>Proposed by Source assignment; target 1.3.1 Systems - Traction Power</t>
        </is>
      </c>
      <c r="E651" s="34" t="inlineStr">
        <is>
          <t>None recorded</t>
        </is>
      </c>
      <c r="F651" s="34" t="inlineStr">
        <is>
          <t>No individual professional decision recorded; Source assignment -- not individually reviewed</t>
        </is>
      </c>
      <c r="G651" s="34" t="inlineStr">
        <is>
          <t>Not individually decided</t>
        </is>
      </c>
      <c r="H651" s="34" t="inlineStr">
        <is>
          <t xml:space="preserve">APPROVED / ONE_TO_ONE; </t>
        </is>
      </c>
      <c r="I651" s="34" t="inlineStr">
        <is>
          <t>New</t>
        </is>
      </c>
      <c r="J651" s="92" t="inlineStr">
        <is>
          <t>08 CROSSWALK</t>
        </is>
      </c>
    </row>
    <row r="652" ht="49" customHeight="1">
      <c r="A652" s="34" t="inlineStr">
        <is>
          <t>R505-v1</t>
        </is>
      </c>
      <c r="B652" s="34" t="inlineStr">
        <is>
          <t>Contractor Programme / SCH-03-145</t>
        </is>
      </c>
      <c r="C652" s="34" t="inlineStr">
        <is>
          <t>WBS Code = 1.3.1</t>
        </is>
      </c>
      <c r="D652" s="34" t="inlineStr">
        <is>
          <t>Proposed by Source assignment; target 1.3.1 Systems - Traction Power</t>
        </is>
      </c>
      <c r="E652" s="34" t="inlineStr">
        <is>
          <t>None recorded</t>
        </is>
      </c>
      <c r="F652" s="34" t="inlineStr">
        <is>
          <t>No individual professional decision recorded; Source assignment -- not individually reviewed</t>
        </is>
      </c>
      <c r="G652" s="34" t="inlineStr">
        <is>
          <t>Not individually decided</t>
        </is>
      </c>
      <c r="H652" s="34" t="inlineStr">
        <is>
          <t xml:space="preserve">APPROVED / ONE_TO_ONE; </t>
        </is>
      </c>
      <c r="I652" s="34" t="inlineStr">
        <is>
          <t>New</t>
        </is>
      </c>
      <c r="J652" s="92" t="inlineStr">
        <is>
          <t>08 CROSSWALK</t>
        </is>
      </c>
    </row>
    <row r="653" ht="49" customHeight="1">
      <c r="A653" s="34" t="inlineStr">
        <is>
          <t>R506-v1</t>
        </is>
      </c>
      <c r="B653" s="34" t="inlineStr">
        <is>
          <t>Contractor Programme / SCH-03-146</t>
        </is>
      </c>
      <c r="C653" s="34" t="inlineStr">
        <is>
          <t>WBS Code = 1.3.1</t>
        </is>
      </c>
      <c r="D653" s="34" t="inlineStr">
        <is>
          <t>Proposed by Source assignment; target 1.3.1 Systems - Traction Power</t>
        </is>
      </c>
      <c r="E653" s="34" t="inlineStr">
        <is>
          <t>None recorded</t>
        </is>
      </c>
      <c r="F653" s="34" t="inlineStr">
        <is>
          <t>No individual professional decision recorded; Source assignment -- not individually reviewed</t>
        </is>
      </c>
      <c r="G653" s="34" t="inlineStr">
        <is>
          <t>Not individually decided</t>
        </is>
      </c>
      <c r="H653" s="34" t="inlineStr">
        <is>
          <t xml:space="preserve">APPROVED / ONE_TO_ONE; </t>
        </is>
      </c>
      <c r="I653" s="34" t="inlineStr">
        <is>
          <t>New</t>
        </is>
      </c>
      <c r="J653" s="92" t="inlineStr">
        <is>
          <t>08 CROSSWALK</t>
        </is>
      </c>
    </row>
    <row r="654" ht="49" customHeight="1">
      <c r="A654" s="34" t="inlineStr">
        <is>
          <t>R508-v1</t>
        </is>
      </c>
      <c r="B654" s="34" t="inlineStr">
        <is>
          <t>Contractor Programme / SCH-03-148</t>
        </is>
      </c>
      <c r="C654" s="34" t="inlineStr">
        <is>
          <t>WBS Code = 1.3.1</t>
        </is>
      </c>
      <c r="D654" s="34" t="inlineStr">
        <is>
          <t>Proposed by Source assignment; target 1.3.1 Systems - Traction Power</t>
        </is>
      </c>
      <c r="E654" s="34" t="inlineStr">
        <is>
          <t>None recorded</t>
        </is>
      </c>
      <c r="F654" s="34" t="inlineStr">
        <is>
          <t>No individual professional decision recorded; Source assignment -- not individually reviewed</t>
        </is>
      </c>
      <c r="G654" s="34" t="inlineStr">
        <is>
          <t>Not individually decided</t>
        </is>
      </c>
      <c r="H654" s="34" t="inlineStr">
        <is>
          <t xml:space="preserve">APPROVED / ONE_TO_ONE; </t>
        </is>
      </c>
      <c r="I654" s="34" t="inlineStr">
        <is>
          <t>New</t>
        </is>
      </c>
      <c r="J654" s="92" t="inlineStr">
        <is>
          <t>08 CROSSWALK</t>
        </is>
      </c>
    </row>
    <row r="655" ht="49" customHeight="1">
      <c r="A655" s="34" t="inlineStr">
        <is>
          <t>R509-v1</t>
        </is>
      </c>
      <c r="B655" s="34" t="inlineStr">
        <is>
          <t>Contractor Programme / SCH-03-149</t>
        </is>
      </c>
      <c r="C655" s="34" t="inlineStr">
        <is>
          <t>WBS Code = 1.3.1</t>
        </is>
      </c>
      <c r="D655" s="34" t="inlineStr">
        <is>
          <t>Proposed by Source assignment; target 1.3.1 Systems - Traction Power</t>
        </is>
      </c>
      <c r="E655" s="34" t="inlineStr">
        <is>
          <t>None recorded</t>
        </is>
      </c>
      <c r="F655" s="34" t="inlineStr">
        <is>
          <t>No individual professional decision recorded; Source assignment -- not individually reviewed</t>
        </is>
      </c>
      <c r="G655" s="34" t="inlineStr">
        <is>
          <t>Not individually decided</t>
        </is>
      </c>
      <c r="H655" s="34" t="inlineStr">
        <is>
          <t xml:space="preserve">APPROVED / ONE_TO_ONE; </t>
        </is>
      </c>
      <c r="I655" s="34" t="inlineStr">
        <is>
          <t>New</t>
        </is>
      </c>
      <c r="J655" s="92" t="inlineStr">
        <is>
          <t>08 CROSSWALK</t>
        </is>
      </c>
    </row>
    <row r="656" ht="49" customHeight="1">
      <c r="A656" s="34" t="inlineStr">
        <is>
          <t>R511-v1</t>
        </is>
      </c>
      <c r="B656" s="34" t="inlineStr">
        <is>
          <t>Contractor Programme / SCH-03-151</t>
        </is>
      </c>
      <c r="C656" s="34" t="inlineStr">
        <is>
          <t>WBS Code = 1.3.1</t>
        </is>
      </c>
      <c r="D656" s="34" t="inlineStr">
        <is>
          <t>Proposed by Source assignment; target 1.3.1 Systems - Traction Power</t>
        </is>
      </c>
      <c r="E656" s="34" t="inlineStr">
        <is>
          <t>None recorded</t>
        </is>
      </c>
      <c r="F656" s="34" t="inlineStr">
        <is>
          <t>No individual professional decision recorded; Source assignment -- not individually reviewed</t>
        </is>
      </c>
      <c r="G656" s="34" t="inlineStr">
        <is>
          <t>Not individually decided</t>
        </is>
      </c>
      <c r="H656" s="34" t="inlineStr">
        <is>
          <t xml:space="preserve">APPROVED / ONE_TO_ONE; </t>
        </is>
      </c>
      <c r="I656" s="34" t="inlineStr">
        <is>
          <t>New</t>
        </is>
      </c>
      <c r="J656" s="92" t="inlineStr">
        <is>
          <t>08 CROSSWALK</t>
        </is>
      </c>
    </row>
    <row r="657" ht="49" customHeight="1">
      <c r="A657" s="34" t="inlineStr">
        <is>
          <t>R512-v1</t>
        </is>
      </c>
      <c r="B657" s="34" t="inlineStr">
        <is>
          <t>Contractor Programme / SCH-03-152</t>
        </is>
      </c>
      <c r="C657" s="34" t="inlineStr">
        <is>
          <t>WBS Code = 1.3.1</t>
        </is>
      </c>
      <c r="D657" s="34" t="inlineStr">
        <is>
          <t>Proposed by Source assignment; target 1.3.1 Systems - Traction Power</t>
        </is>
      </c>
      <c r="E657" s="34" t="inlineStr">
        <is>
          <t>None recorded</t>
        </is>
      </c>
      <c r="F657" s="34" t="inlineStr">
        <is>
          <t>No individual professional decision recorded; Source assignment -- not individually reviewed</t>
        </is>
      </c>
      <c r="G657" s="34" t="inlineStr">
        <is>
          <t>Not individually decided</t>
        </is>
      </c>
      <c r="H657" s="34" t="inlineStr">
        <is>
          <t xml:space="preserve">APPROVED / ONE_TO_ONE; </t>
        </is>
      </c>
      <c r="I657" s="34" t="inlineStr">
        <is>
          <t>New</t>
        </is>
      </c>
      <c r="J657" s="92" t="inlineStr">
        <is>
          <t>08 CROSSWALK</t>
        </is>
      </c>
    </row>
    <row r="658" ht="49" customHeight="1">
      <c r="A658" s="34" t="inlineStr">
        <is>
          <t>R514-v1</t>
        </is>
      </c>
      <c r="B658" s="34" t="inlineStr">
        <is>
          <t>Contractor Programme / SCH-03-154</t>
        </is>
      </c>
      <c r="C658" s="34" t="inlineStr">
        <is>
          <t>WBS Code = 1.3.1</t>
        </is>
      </c>
      <c r="D658" s="34" t="inlineStr">
        <is>
          <t>Proposed by Source assignment; target 1.3.1 Systems - Traction Power</t>
        </is>
      </c>
      <c r="E658" s="34" t="inlineStr">
        <is>
          <t>None recorded</t>
        </is>
      </c>
      <c r="F658" s="34" t="inlineStr">
        <is>
          <t>No individual professional decision recorded; Source assignment -- not individually reviewed</t>
        </is>
      </c>
      <c r="G658" s="34" t="inlineStr">
        <is>
          <t>Not individually decided</t>
        </is>
      </c>
      <c r="H658" s="34" t="inlineStr">
        <is>
          <t xml:space="preserve">APPROVED / ONE_TO_ONE; </t>
        </is>
      </c>
      <c r="I658" s="34" t="inlineStr">
        <is>
          <t>New</t>
        </is>
      </c>
      <c r="J658" s="92" t="inlineStr">
        <is>
          <t>08 CROSSWALK</t>
        </is>
      </c>
    </row>
    <row r="659" ht="49" customHeight="1">
      <c r="A659" s="34" t="inlineStr">
        <is>
          <t>R515-v1</t>
        </is>
      </c>
      <c r="B659" s="34" t="inlineStr">
        <is>
          <t>Contractor Programme / SCH-03-155</t>
        </is>
      </c>
      <c r="C659" s="34" t="inlineStr">
        <is>
          <t>WBS Code = 1.3.1</t>
        </is>
      </c>
      <c r="D659" s="34" t="inlineStr">
        <is>
          <t>Proposed by Source assignment; target 1.3.1 Systems - Traction Power</t>
        </is>
      </c>
      <c r="E659" s="34" t="inlineStr">
        <is>
          <t>None recorded</t>
        </is>
      </c>
      <c r="F659" s="34" t="inlineStr">
        <is>
          <t>No individual professional decision recorded; Source assignment -- not individually reviewed</t>
        </is>
      </c>
      <c r="G659" s="34" t="inlineStr">
        <is>
          <t>Not individually decided</t>
        </is>
      </c>
      <c r="H659" s="34" t="inlineStr">
        <is>
          <t xml:space="preserve">APPROVED / ONE_TO_ONE; </t>
        </is>
      </c>
      <c r="I659" s="34" t="inlineStr">
        <is>
          <t>New</t>
        </is>
      </c>
      <c r="J659" s="92" t="inlineStr">
        <is>
          <t>08 CROSSWALK</t>
        </is>
      </c>
    </row>
    <row r="660" ht="49" customHeight="1">
      <c r="A660" s="34" t="inlineStr">
        <is>
          <t>R517-v1</t>
        </is>
      </c>
      <c r="B660" s="34" t="inlineStr">
        <is>
          <t>Contractor Programme / SCH-03-157</t>
        </is>
      </c>
      <c r="C660" s="34" t="inlineStr">
        <is>
          <t>WBS Code = 1.3.1</t>
        </is>
      </c>
      <c r="D660" s="34" t="inlineStr">
        <is>
          <t>Proposed by Source assignment; target 1.3.1 Systems - Traction Power</t>
        </is>
      </c>
      <c r="E660" s="34" t="inlineStr">
        <is>
          <t>None recorded</t>
        </is>
      </c>
      <c r="F660" s="34" t="inlineStr">
        <is>
          <t>No individual professional decision recorded; Source assignment -- not individually reviewed</t>
        </is>
      </c>
      <c r="G660" s="34" t="inlineStr">
        <is>
          <t>Not individually decided</t>
        </is>
      </c>
      <c r="H660" s="34" t="inlineStr">
        <is>
          <t xml:space="preserve">APPROVED / ONE_TO_ONE; </t>
        </is>
      </c>
      <c r="I660" s="34" t="inlineStr">
        <is>
          <t>New</t>
        </is>
      </c>
      <c r="J660" s="92" t="inlineStr">
        <is>
          <t>08 CROSSWALK</t>
        </is>
      </c>
    </row>
    <row r="661" ht="49" customHeight="1">
      <c r="A661" s="34" t="inlineStr">
        <is>
          <t>R518-v1</t>
        </is>
      </c>
      <c r="B661" s="34" t="inlineStr">
        <is>
          <t>Contractor Programme / SCH-03-158</t>
        </is>
      </c>
      <c r="C661" s="34" t="inlineStr">
        <is>
          <t>WBS Code = 1.3.1</t>
        </is>
      </c>
      <c r="D661" s="34" t="inlineStr">
        <is>
          <t>Proposed by Source assignment; target 1.3.1 Systems - Traction Power</t>
        </is>
      </c>
      <c r="E661" s="34" t="inlineStr">
        <is>
          <t>None recorded</t>
        </is>
      </c>
      <c r="F661" s="34" t="inlineStr">
        <is>
          <t>No individual professional decision recorded; Source assignment -- not individually reviewed</t>
        </is>
      </c>
      <c r="G661" s="34" t="inlineStr">
        <is>
          <t>Not individually decided</t>
        </is>
      </c>
      <c r="H661" s="34" t="inlineStr">
        <is>
          <t xml:space="preserve">APPROVED / ONE_TO_ONE; </t>
        </is>
      </c>
      <c r="I661" s="34" t="inlineStr">
        <is>
          <t>New</t>
        </is>
      </c>
      <c r="J661" s="92" t="inlineStr">
        <is>
          <t>08 CROSSWALK</t>
        </is>
      </c>
    </row>
    <row r="662" ht="49" customHeight="1">
      <c r="A662" s="34" t="inlineStr">
        <is>
          <t>R520-v1</t>
        </is>
      </c>
      <c r="B662" s="34" t="inlineStr">
        <is>
          <t>Contractor Programme / SCH-03-160</t>
        </is>
      </c>
      <c r="C662" s="34" t="inlineStr">
        <is>
          <t>WBS Code = 1.3.1</t>
        </is>
      </c>
      <c r="D662" s="34" t="inlineStr">
        <is>
          <t>Proposed by Source assignment; target 1.3.1 Systems - Traction Power</t>
        </is>
      </c>
      <c r="E662" s="34" t="inlineStr">
        <is>
          <t>None recorded</t>
        </is>
      </c>
      <c r="F662" s="34" t="inlineStr">
        <is>
          <t>No individual professional decision recorded; Source assignment -- not individually reviewed</t>
        </is>
      </c>
      <c r="G662" s="34" t="inlineStr">
        <is>
          <t>Not individually decided</t>
        </is>
      </c>
      <c r="H662" s="34" t="inlineStr">
        <is>
          <t xml:space="preserve">APPROVED / ONE_TO_ONE; </t>
        </is>
      </c>
      <c r="I662" s="34" t="inlineStr">
        <is>
          <t>New</t>
        </is>
      </c>
      <c r="J662" s="92" t="inlineStr">
        <is>
          <t>08 CROSSWALK</t>
        </is>
      </c>
    </row>
    <row r="663" ht="49" customHeight="1">
      <c r="A663" s="34" t="inlineStr">
        <is>
          <t>R521-v1</t>
        </is>
      </c>
      <c r="B663" s="34" t="inlineStr">
        <is>
          <t>Contractor Programme / SCH-03-161</t>
        </is>
      </c>
      <c r="C663" s="34" t="inlineStr">
        <is>
          <t>WBS Code = 1.3.1</t>
        </is>
      </c>
      <c r="D663" s="34" t="inlineStr">
        <is>
          <t>Proposed by Source assignment; target 1.3.1 Systems - Traction Power</t>
        </is>
      </c>
      <c r="E663" s="34" t="inlineStr">
        <is>
          <t>None recorded</t>
        </is>
      </c>
      <c r="F663" s="34" t="inlineStr">
        <is>
          <t>No individual professional decision recorded; Source assignment -- not individually reviewed</t>
        </is>
      </c>
      <c r="G663" s="34" t="inlineStr">
        <is>
          <t>Not individually decided</t>
        </is>
      </c>
      <c r="H663" s="34" t="inlineStr">
        <is>
          <t xml:space="preserve">APPROVED / ONE_TO_ONE; </t>
        </is>
      </c>
      <c r="I663" s="34" t="inlineStr">
        <is>
          <t>New</t>
        </is>
      </c>
      <c r="J663" s="92" t="inlineStr">
        <is>
          <t>08 CROSSWALK</t>
        </is>
      </c>
    </row>
    <row r="664" ht="49" customHeight="1">
      <c r="A664" s="34" t="inlineStr">
        <is>
          <t>R523-v1</t>
        </is>
      </c>
      <c r="B664" s="34" t="inlineStr">
        <is>
          <t>Contractor Programme / SCH-03-163</t>
        </is>
      </c>
      <c r="C664" s="34" t="inlineStr">
        <is>
          <t>WBS Code = 1.3.1</t>
        </is>
      </c>
      <c r="D664" s="34" t="inlineStr">
        <is>
          <t>Proposed by Source assignment; target 1.3.1 Systems - Traction Power</t>
        </is>
      </c>
      <c r="E664" s="34" t="inlineStr">
        <is>
          <t>None recorded</t>
        </is>
      </c>
      <c r="F664" s="34" t="inlineStr">
        <is>
          <t>No individual professional decision recorded; Source assignment -- not individually reviewed</t>
        </is>
      </c>
      <c r="G664" s="34" t="inlineStr">
        <is>
          <t>Not individually decided</t>
        </is>
      </c>
      <c r="H664" s="34" t="inlineStr">
        <is>
          <t xml:space="preserve">APPROVED / ONE_TO_ONE; </t>
        </is>
      </c>
      <c r="I664" s="34" t="inlineStr">
        <is>
          <t>New</t>
        </is>
      </c>
      <c r="J664" s="92" t="inlineStr">
        <is>
          <t>08 CROSSWALK</t>
        </is>
      </c>
    </row>
    <row r="665" ht="49" customHeight="1">
      <c r="A665" s="34" t="inlineStr">
        <is>
          <t>R524-v1</t>
        </is>
      </c>
      <c r="B665" s="34" t="inlineStr">
        <is>
          <t>Contractor Programme / SCH-03-164</t>
        </is>
      </c>
      <c r="C665" s="34" t="inlineStr">
        <is>
          <t>WBS Code = 1.3.1</t>
        </is>
      </c>
      <c r="D665" s="34" t="inlineStr">
        <is>
          <t>Proposed by Source assignment; target 1.3.1 Systems - Traction Power</t>
        </is>
      </c>
      <c r="E665" s="34" t="inlineStr">
        <is>
          <t>None recorded</t>
        </is>
      </c>
      <c r="F665" s="34" t="inlineStr">
        <is>
          <t>No individual professional decision recorded; Source assignment -- not individually reviewed</t>
        </is>
      </c>
      <c r="G665" s="34" t="inlineStr">
        <is>
          <t>Not individually decided</t>
        </is>
      </c>
      <c r="H665" s="34" t="inlineStr">
        <is>
          <t xml:space="preserve">APPROVED / ONE_TO_ONE; </t>
        </is>
      </c>
      <c r="I665" s="34" t="inlineStr">
        <is>
          <t>New</t>
        </is>
      </c>
      <c r="J665" s="92" t="inlineStr">
        <is>
          <t>08 CROSSWALK</t>
        </is>
      </c>
    </row>
    <row r="666" ht="49" customHeight="1">
      <c r="A666" s="34" t="inlineStr">
        <is>
          <t>R526-v1</t>
        </is>
      </c>
      <c r="B666" s="34" t="inlineStr">
        <is>
          <t>Contractor Programme / SCH-03-166</t>
        </is>
      </c>
      <c r="C666" s="34" t="inlineStr">
        <is>
          <t>WBS Code = 1.3.1</t>
        </is>
      </c>
      <c r="D666" s="34" t="inlineStr">
        <is>
          <t>Proposed by Source assignment; target 1.3.1 Systems - Traction Power</t>
        </is>
      </c>
      <c r="E666" s="34" t="inlineStr">
        <is>
          <t>None recorded</t>
        </is>
      </c>
      <c r="F666" s="34" t="inlineStr">
        <is>
          <t>No individual professional decision recorded; Source assignment -- not individually reviewed</t>
        </is>
      </c>
      <c r="G666" s="34" t="inlineStr">
        <is>
          <t>Not individually decided</t>
        </is>
      </c>
      <c r="H666" s="34" t="inlineStr">
        <is>
          <t xml:space="preserve">APPROVED / ONE_TO_ONE; </t>
        </is>
      </c>
      <c r="I666" s="34" t="inlineStr">
        <is>
          <t>New</t>
        </is>
      </c>
      <c r="J666" s="92" t="inlineStr">
        <is>
          <t>08 CROSSWALK</t>
        </is>
      </c>
    </row>
    <row r="667" ht="49" customHeight="1">
      <c r="A667" s="34" t="inlineStr">
        <is>
          <t>R527-v1</t>
        </is>
      </c>
      <c r="B667" s="34" t="inlineStr">
        <is>
          <t>Contractor Programme / SCH-03-167</t>
        </is>
      </c>
      <c r="C667" s="34" t="inlineStr">
        <is>
          <t>WBS Code = 1.3.1</t>
        </is>
      </c>
      <c r="D667" s="34" t="inlineStr">
        <is>
          <t>Proposed by Source assignment; target 1.3.1 Systems - Traction Power</t>
        </is>
      </c>
      <c r="E667" s="34" t="inlineStr">
        <is>
          <t>None recorded</t>
        </is>
      </c>
      <c r="F667" s="34" t="inlineStr">
        <is>
          <t>No individual professional decision recorded; Source assignment -- not individually reviewed</t>
        </is>
      </c>
      <c r="G667" s="34" t="inlineStr">
        <is>
          <t>Not individually decided</t>
        </is>
      </c>
      <c r="H667" s="34" t="inlineStr">
        <is>
          <t xml:space="preserve">APPROVED / ONE_TO_ONE; </t>
        </is>
      </c>
      <c r="I667" s="34" t="inlineStr">
        <is>
          <t>New</t>
        </is>
      </c>
      <c r="J667" s="92" t="inlineStr">
        <is>
          <t>08 CROSSWALK</t>
        </is>
      </c>
    </row>
    <row r="668" ht="49" customHeight="1">
      <c r="A668" s="34" t="inlineStr">
        <is>
          <t>R529-v1</t>
        </is>
      </c>
      <c r="B668" s="34" t="inlineStr">
        <is>
          <t>Contractor Programme / SCH-03-169</t>
        </is>
      </c>
      <c r="C668" s="34" t="inlineStr">
        <is>
          <t>WBS Code = 1.3.1</t>
        </is>
      </c>
      <c r="D668" s="34" t="inlineStr">
        <is>
          <t>Proposed by Source assignment; target 1.3.1 Systems - Traction Power</t>
        </is>
      </c>
      <c r="E668" s="34" t="inlineStr">
        <is>
          <t>None recorded</t>
        </is>
      </c>
      <c r="F668" s="34" t="inlineStr">
        <is>
          <t>No individual professional decision recorded; Source assignment -- not individually reviewed</t>
        </is>
      </c>
      <c r="G668" s="34" t="inlineStr">
        <is>
          <t>Not individually decided</t>
        </is>
      </c>
      <c r="H668" s="34" t="inlineStr">
        <is>
          <t xml:space="preserve">APPROVED / ONE_TO_ONE; </t>
        </is>
      </c>
      <c r="I668" s="34" t="inlineStr">
        <is>
          <t>New</t>
        </is>
      </c>
      <c r="J668" s="92" t="inlineStr">
        <is>
          <t>08 CROSSWALK</t>
        </is>
      </c>
    </row>
    <row r="669" ht="49" customHeight="1">
      <c r="A669" s="34" t="inlineStr">
        <is>
          <t>R530-v1</t>
        </is>
      </c>
      <c r="B669" s="34" t="inlineStr">
        <is>
          <t>Contractor Programme / SCH-03-170</t>
        </is>
      </c>
      <c r="C669" s="34" t="inlineStr">
        <is>
          <t>WBS Code = 1.3.1</t>
        </is>
      </c>
      <c r="D669" s="34" t="inlineStr">
        <is>
          <t>Proposed by Source assignment; target 1.3.1 Systems - Traction Power</t>
        </is>
      </c>
      <c r="E669" s="34" t="inlineStr">
        <is>
          <t>None recorded</t>
        </is>
      </c>
      <c r="F669" s="34" t="inlineStr">
        <is>
          <t>No individual professional decision recorded; Source assignment -- not individually reviewed</t>
        </is>
      </c>
      <c r="G669" s="34" t="inlineStr">
        <is>
          <t>Not individually decided</t>
        </is>
      </c>
      <c r="H669" s="34" t="inlineStr">
        <is>
          <t xml:space="preserve">APPROVED / ONE_TO_ONE; </t>
        </is>
      </c>
      <c r="I669" s="34" t="inlineStr">
        <is>
          <t>New</t>
        </is>
      </c>
      <c r="J669" s="92" t="inlineStr">
        <is>
          <t>08 CROSSWALK</t>
        </is>
      </c>
    </row>
    <row r="670" ht="49" customHeight="1">
      <c r="A670" s="34" t="inlineStr">
        <is>
          <t>R532-v1</t>
        </is>
      </c>
      <c r="B670" s="34" t="inlineStr">
        <is>
          <t>Contractor Programme / SCH-03-172</t>
        </is>
      </c>
      <c r="C670" s="34" t="inlineStr">
        <is>
          <t>WBS Code = 1.3.1</t>
        </is>
      </c>
      <c r="D670" s="34" t="inlineStr">
        <is>
          <t>Proposed by Source assignment; target 1.3.1 Systems - Traction Power</t>
        </is>
      </c>
      <c r="E670" s="34" t="inlineStr">
        <is>
          <t>None recorded</t>
        </is>
      </c>
      <c r="F670" s="34" t="inlineStr">
        <is>
          <t>No individual professional decision recorded; Source assignment -- not individually reviewed</t>
        </is>
      </c>
      <c r="G670" s="34" t="inlineStr">
        <is>
          <t>Not individually decided</t>
        </is>
      </c>
      <c r="H670" s="34" t="inlineStr">
        <is>
          <t xml:space="preserve">APPROVED / ONE_TO_ONE; </t>
        </is>
      </c>
      <c r="I670" s="34" t="inlineStr">
        <is>
          <t>New</t>
        </is>
      </c>
      <c r="J670" s="92" t="inlineStr">
        <is>
          <t>08 CROSSWALK</t>
        </is>
      </c>
    </row>
    <row r="671" ht="49" customHeight="1">
      <c r="A671" s="34" t="inlineStr">
        <is>
          <t>R533-v1</t>
        </is>
      </c>
      <c r="B671" s="34" t="inlineStr">
        <is>
          <t>Contractor Programme / SCH-03-173</t>
        </is>
      </c>
      <c r="C671" s="34" t="inlineStr">
        <is>
          <t>WBS Code = 1.3.1</t>
        </is>
      </c>
      <c r="D671" s="34" t="inlineStr">
        <is>
          <t>Proposed by Source assignment; target 1.3.1 Systems - Traction Power</t>
        </is>
      </c>
      <c r="E671" s="34" t="inlineStr">
        <is>
          <t>None recorded</t>
        </is>
      </c>
      <c r="F671" s="34" t="inlineStr">
        <is>
          <t>No individual professional decision recorded; Source assignment -- not individually reviewed</t>
        </is>
      </c>
      <c r="G671" s="34" t="inlineStr">
        <is>
          <t>Not individually decided</t>
        </is>
      </c>
      <c r="H671" s="34" t="inlineStr">
        <is>
          <t xml:space="preserve">APPROVED / ONE_TO_ONE; </t>
        </is>
      </c>
      <c r="I671" s="34" t="inlineStr">
        <is>
          <t>New</t>
        </is>
      </c>
      <c r="J671" s="92" t="inlineStr">
        <is>
          <t>08 CROSSWALK</t>
        </is>
      </c>
    </row>
    <row r="672" ht="49" customHeight="1">
      <c r="A672" s="34" t="inlineStr">
        <is>
          <t>R535-v1</t>
        </is>
      </c>
      <c r="B672" s="34" t="inlineStr">
        <is>
          <t>Contractor Programme / SCH-03-175</t>
        </is>
      </c>
      <c r="C672" s="34" t="inlineStr">
        <is>
          <t>WBS Code = 1.3.1</t>
        </is>
      </c>
      <c r="D672" s="34" t="inlineStr">
        <is>
          <t>Proposed by Source assignment; target 1.3.1 Systems - Traction Power</t>
        </is>
      </c>
      <c r="E672" s="34" t="inlineStr">
        <is>
          <t>None recorded</t>
        </is>
      </c>
      <c r="F672" s="34" t="inlineStr">
        <is>
          <t>No individual professional decision recorded; Source assignment -- not individually reviewed</t>
        </is>
      </c>
      <c r="G672" s="34" t="inlineStr">
        <is>
          <t>Not individually decided</t>
        </is>
      </c>
      <c r="H672" s="34" t="inlineStr">
        <is>
          <t xml:space="preserve">APPROVED / ONE_TO_ONE; </t>
        </is>
      </c>
      <c r="I672" s="34" t="inlineStr">
        <is>
          <t>New</t>
        </is>
      </c>
      <c r="J672" s="92" t="inlineStr">
        <is>
          <t>08 CROSSWALK</t>
        </is>
      </c>
    </row>
    <row r="673" ht="49" customHeight="1">
      <c r="A673" s="34" t="inlineStr">
        <is>
          <t>R536-v1</t>
        </is>
      </c>
      <c r="B673" s="34" t="inlineStr">
        <is>
          <t>Contractor Programme / SCH-03-176</t>
        </is>
      </c>
      <c r="C673" s="34" t="inlineStr">
        <is>
          <t>WBS Code = 1.3.1</t>
        </is>
      </c>
      <c r="D673" s="34" t="inlineStr">
        <is>
          <t>Proposed by Source assignment; target 1.3.1 Systems - Traction Power</t>
        </is>
      </c>
      <c r="E673" s="34" t="inlineStr">
        <is>
          <t>None recorded</t>
        </is>
      </c>
      <c r="F673" s="34" t="inlineStr">
        <is>
          <t>No individual professional decision recorded; Source assignment -- not individually reviewed</t>
        </is>
      </c>
      <c r="G673" s="34" t="inlineStr">
        <is>
          <t>Not individually decided</t>
        </is>
      </c>
      <c r="H673" s="34" t="inlineStr">
        <is>
          <t xml:space="preserve">APPROVED / ONE_TO_ONE; </t>
        </is>
      </c>
      <c r="I673" s="34" t="inlineStr">
        <is>
          <t>New</t>
        </is>
      </c>
      <c r="J673" s="92" t="inlineStr">
        <is>
          <t>08 CROSSWALK</t>
        </is>
      </c>
    </row>
    <row r="674" ht="49" customHeight="1">
      <c r="A674" s="34" t="inlineStr">
        <is>
          <t>R538-v1</t>
        </is>
      </c>
      <c r="B674" s="34" t="inlineStr">
        <is>
          <t>Contractor Programme / SCH-03-178</t>
        </is>
      </c>
      <c r="C674" s="34" t="inlineStr">
        <is>
          <t>WBS Code = 1.3.1</t>
        </is>
      </c>
      <c r="D674" s="34" t="inlineStr">
        <is>
          <t>Proposed by Source assignment; target 1.3.1 Systems - Traction Power</t>
        </is>
      </c>
      <c r="E674" s="34" t="inlineStr">
        <is>
          <t>None recorded</t>
        </is>
      </c>
      <c r="F674" s="34" t="inlineStr">
        <is>
          <t>No individual professional decision recorded; Source assignment -- not individually reviewed</t>
        </is>
      </c>
      <c r="G674" s="34" t="inlineStr">
        <is>
          <t>Not individually decided</t>
        </is>
      </c>
      <c r="H674" s="34" t="inlineStr">
        <is>
          <t xml:space="preserve">APPROVED / ONE_TO_ONE; </t>
        </is>
      </c>
      <c r="I674" s="34" t="inlineStr">
        <is>
          <t>New</t>
        </is>
      </c>
      <c r="J674" s="92" t="inlineStr">
        <is>
          <t>08 CROSSWALK</t>
        </is>
      </c>
    </row>
    <row r="675" ht="49" customHeight="1">
      <c r="A675" s="34" t="inlineStr">
        <is>
          <t>R539-v1</t>
        </is>
      </c>
      <c r="B675" s="34" t="inlineStr">
        <is>
          <t>Contractor Programme / SCH-03-179</t>
        </is>
      </c>
      <c r="C675" s="34" t="inlineStr">
        <is>
          <t>WBS Code = 1.3.1</t>
        </is>
      </c>
      <c r="D675" s="34" t="inlineStr">
        <is>
          <t>Proposed by Source assignment; target 1.3.1 Systems - Traction Power</t>
        </is>
      </c>
      <c r="E675" s="34" t="inlineStr">
        <is>
          <t>None recorded</t>
        </is>
      </c>
      <c r="F675" s="34" t="inlineStr">
        <is>
          <t>No individual professional decision recorded; Source assignment -- not individually reviewed</t>
        </is>
      </c>
      <c r="G675" s="34" t="inlineStr">
        <is>
          <t>Not individually decided</t>
        </is>
      </c>
      <c r="H675" s="34" t="inlineStr">
        <is>
          <t xml:space="preserve">APPROVED / ONE_TO_ONE; </t>
        </is>
      </c>
      <c r="I675" s="34" t="inlineStr">
        <is>
          <t>New</t>
        </is>
      </c>
      <c r="J675" s="92" t="inlineStr">
        <is>
          <t>08 CROSSWALK</t>
        </is>
      </c>
    </row>
    <row r="676" ht="49" customHeight="1">
      <c r="A676" s="34" t="inlineStr">
        <is>
          <t>R1243-v1</t>
        </is>
      </c>
      <c r="B676" s="34" t="inlineStr">
        <is>
          <t>Cost &amp; Forecast Control Accounts / CST-03-001</t>
        </is>
      </c>
      <c r="C676" s="34" t="inlineStr">
        <is>
          <t>Cost Account = CA-3001; WBS Code = 1.3.1</t>
        </is>
      </c>
      <c r="D676" s="34" t="inlineStr">
        <is>
          <t>Proposed by Source assignment; target 1.3.1 Systems - Traction Power</t>
        </is>
      </c>
      <c r="E676" s="34" t="inlineStr">
        <is>
          <t>None recorded</t>
        </is>
      </c>
      <c r="F676" s="34" t="inlineStr">
        <is>
          <t>No individual professional decision recorded; Source assignment -- not individually reviewed</t>
        </is>
      </c>
      <c r="G676" s="34" t="inlineStr">
        <is>
          <t>Not individually decided</t>
        </is>
      </c>
      <c r="H676" s="34" t="inlineStr">
        <is>
          <t xml:space="preserve">APPROVED / ONE_TO_ONE; </t>
        </is>
      </c>
      <c r="I676" s="34" t="inlineStr">
        <is>
          <t>New</t>
        </is>
      </c>
      <c r="J676" s="92" t="inlineStr">
        <is>
          <t>08 CROSSWALK</t>
        </is>
      </c>
    </row>
    <row r="677" ht="49" customHeight="1">
      <c r="A677" s="34" t="inlineStr">
        <is>
          <t>R1245-v1</t>
        </is>
      </c>
      <c r="B677" s="34" t="inlineStr">
        <is>
          <t>Cost &amp; Forecast Control Accounts / CST-03-003</t>
        </is>
      </c>
      <c r="C677" s="34" t="inlineStr">
        <is>
          <t>Cost Account = CA-3003; WBS Code = 1.3.1</t>
        </is>
      </c>
      <c r="D677" s="34" t="inlineStr">
        <is>
          <t>Proposed by Source assignment; target 1.3.1 Systems - Traction Power</t>
        </is>
      </c>
      <c r="E677" s="34" t="inlineStr">
        <is>
          <t>None recorded</t>
        </is>
      </c>
      <c r="F677" s="34" t="inlineStr">
        <is>
          <t>No individual professional decision recorded; Source assignment -- not individually reviewed</t>
        </is>
      </c>
      <c r="G677" s="34" t="inlineStr">
        <is>
          <t>Not individually decided</t>
        </is>
      </c>
      <c r="H677" s="34" t="inlineStr">
        <is>
          <t xml:space="preserve">APPROVED / ONE_TO_ONE; </t>
        </is>
      </c>
      <c r="I677" s="34" t="inlineStr">
        <is>
          <t>New</t>
        </is>
      </c>
      <c r="J677" s="92" t="inlineStr">
        <is>
          <t>08 CROSSWALK</t>
        </is>
      </c>
    </row>
    <row r="678" ht="49" customHeight="1">
      <c r="A678" s="34" t="inlineStr">
        <is>
          <t>R1247-v1</t>
        </is>
      </c>
      <c r="B678" s="34" t="inlineStr">
        <is>
          <t>Cost &amp; Forecast Control Accounts / CST-03-005</t>
        </is>
      </c>
      <c r="C678" s="34" t="inlineStr">
        <is>
          <t>Cost Account = CA-3005; WBS Code = 1.3.1</t>
        </is>
      </c>
      <c r="D678" s="34" t="inlineStr">
        <is>
          <t>Proposed by Source assignment; target 1.3.1 Systems - Traction Power</t>
        </is>
      </c>
      <c r="E678" s="34" t="inlineStr">
        <is>
          <t>None recorded</t>
        </is>
      </c>
      <c r="F678" s="34" t="inlineStr">
        <is>
          <t>No individual professional decision recorded; Source assignment -- not individually reviewed</t>
        </is>
      </c>
      <c r="G678" s="34" t="inlineStr">
        <is>
          <t>Not individually decided</t>
        </is>
      </c>
      <c r="H678" s="34" t="inlineStr">
        <is>
          <t xml:space="preserve">APPROVED / ONE_TO_ONE; </t>
        </is>
      </c>
      <c r="I678" s="34" t="inlineStr">
        <is>
          <t>New</t>
        </is>
      </c>
      <c r="J678" s="92" t="inlineStr">
        <is>
          <t>08 CROSSWALK</t>
        </is>
      </c>
    </row>
    <row r="679" ht="49" customHeight="1">
      <c r="A679" s="34" t="inlineStr">
        <is>
          <t>R1249-v1</t>
        </is>
      </c>
      <c r="B679" s="34" t="inlineStr">
        <is>
          <t>Cost &amp; Forecast Control Accounts / CST-03-007</t>
        </is>
      </c>
      <c r="C679" s="34" t="inlineStr">
        <is>
          <t>Cost Account = CA-3007; WBS Code = 1.3.1</t>
        </is>
      </c>
      <c r="D679" s="34" t="inlineStr">
        <is>
          <t>Proposed by Source assignment; target 1.3.1 Systems - Traction Power</t>
        </is>
      </c>
      <c r="E679" s="34" t="inlineStr">
        <is>
          <t>None recorded</t>
        </is>
      </c>
      <c r="F679" s="34" t="inlineStr">
        <is>
          <t>No individual professional decision recorded; Source assignment -- not individually reviewed</t>
        </is>
      </c>
      <c r="G679" s="34" t="inlineStr">
        <is>
          <t>Not individually decided</t>
        </is>
      </c>
      <c r="H679" s="34" t="inlineStr">
        <is>
          <t xml:space="preserve">APPROVED / ONE_TO_ONE; </t>
        </is>
      </c>
      <c r="I679" s="34" t="inlineStr">
        <is>
          <t>New</t>
        </is>
      </c>
      <c r="J679" s="92" t="inlineStr">
        <is>
          <t>08 CROSSWALK</t>
        </is>
      </c>
    </row>
    <row r="680" ht="49" customHeight="1">
      <c r="A680" s="34" t="inlineStr">
        <is>
          <t>R1251-v1</t>
        </is>
      </c>
      <c r="B680" s="34" t="inlineStr">
        <is>
          <t>Cost &amp; Forecast Control Accounts / CST-03-009</t>
        </is>
      </c>
      <c r="C680" s="34" t="inlineStr">
        <is>
          <t>Cost Account = CA-3009; WBS Code = 1.3.1</t>
        </is>
      </c>
      <c r="D680" s="34" t="inlineStr">
        <is>
          <t>Proposed by Source assignment; target 1.3.1 Systems - Traction Power</t>
        </is>
      </c>
      <c r="E680" s="34" t="inlineStr">
        <is>
          <t>None recorded</t>
        </is>
      </c>
      <c r="F680" s="34" t="inlineStr">
        <is>
          <t>No individual professional decision recorded; Source assignment -- not individually reviewed</t>
        </is>
      </c>
      <c r="G680" s="34" t="inlineStr">
        <is>
          <t>Not individually decided</t>
        </is>
      </c>
      <c r="H680" s="34" t="inlineStr">
        <is>
          <t xml:space="preserve">APPROVED / ONE_TO_ONE; </t>
        </is>
      </c>
      <c r="I680" s="34" t="inlineStr">
        <is>
          <t>New</t>
        </is>
      </c>
      <c r="J680" s="92" t="inlineStr">
        <is>
          <t>08 CROSSWALK</t>
        </is>
      </c>
    </row>
    <row r="681" ht="49" customHeight="1">
      <c r="A681" s="34" t="inlineStr">
        <is>
          <t>R1253-v1</t>
        </is>
      </c>
      <c r="B681" s="34" t="inlineStr">
        <is>
          <t>Cost &amp; Forecast Control Accounts / CST-03-011</t>
        </is>
      </c>
      <c r="C681" s="34" t="inlineStr">
        <is>
          <t>Cost Account = CA-3011; WBS Code = 1.3.1</t>
        </is>
      </c>
      <c r="D681" s="34" t="inlineStr">
        <is>
          <t>Proposed by Source assignment; target 1.3.1 Systems - Traction Power</t>
        </is>
      </c>
      <c r="E681" s="34" t="inlineStr">
        <is>
          <t>None recorded</t>
        </is>
      </c>
      <c r="F681" s="34" t="inlineStr">
        <is>
          <t>No individual professional decision recorded; Source assignment -- not individually reviewed</t>
        </is>
      </c>
      <c r="G681" s="34" t="inlineStr">
        <is>
          <t>Not individually decided</t>
        </is>
      </c>
      <c r="H681" s="34" t="inlineStr">
        <is>
          <t xml:space="preserve">APPROVED / ONE_TO_ONE; </t>
        </is>
      </c>
      <c r="I681" s="34" t="inlineStr">
        <is>
          <t>New</t>
        </is>
      </c>
      <c r="J681" s="92" t="inlineStr">
        <is>
          <t>08 CROSSWALK</t>
        </is>
      </c>
    </row>
    <row r="682" ht="49" customHeight="1">
      <c r="A682" s="34" t="inlineStr">
        <is>
          <t>R1255-v1</t>
        </is>
      </c>
      <c r="B682" s="34" t="inlineStr">
        <is>
          <t>Cost &amp; Forecast Control Accounts / CST-03-013</t>
        </is>
      </c>
      <c r="C682" s="34" t="inlineStr">
        <is>
          <t>Cost Account = CA-3013; WBS Code = 1.3.1</t>
        </is>
      </c>
      <c r="D682" s="34" t="inlineStr">
        <is>
          <t>Proposed by Source assignment; target 1.3.1 Systems - Traction Power</t>
        </is>
      </c>
      <c r="E682" s="34" t="inlineStr">
        <is>
          <t>None recorded</t>
        </is>
      </c>
      <c r="F682" s="34" t="inlineStr">
        <is>
          <t>No individual professional decision recorded; Source assignment -- not individually reviewed</t>
        </is>
      </c>
      <c r="G682" s="34" t="inlineStr">
        <is>
          <t>Not individually decided</t>
        </is>
      </c>
      <c r="H682" s="34" t="inlineStr">
        <is>
          <t xml:space="preserve">APPROVED / ONE_TO_ONE; </t>
        </is>
      </c>
      <c r="I682" s="34" t="inlineStr">
        <is>
          <t>New</t>
        </is>
      </c>
      <c r="J682" s="92" t="inlineStr">
        <is>
          <t>08 CROSSWALK</t>
        </is>
      </c>
    </row>
    <row r="683" ht="49" customHeight="1">
      <c r="A683" s="34" t="inlineStr">
        <is>
          <t>R1257-v1</t>
        </is>
      </c>
      <c r="B683" s="34" t="inlineStr">
        <is>
          <t>Cost &amp; Forecast Control Accounts / CST-03-015</t>
        </is>
      </c>
      <c r="C683" s="34" t="inlineStr">
        <is>
          <t>Cost Account = CA-3015; WBS Code = 1.3.1</t>
        </is>
      </c>
      <c r="D683" s="34" t="inlineStr">
        <is>
          <t>Proposed by Source assignment; target 1.3.1 Systems - Traction Power</t>
        </is>
      </c>
      <c r="E683" s="34" t="inlineStr">
        <is>
          <t>None recorded</t>
        </is>
      </c>
      <c r="F683" s="34" t="inlineStr">
        <is>
          <t>No individual professional decision recorded; Source assignment -- not individually reviewed</t>
        </is>
      </c>
      <c r="G683" s="34" t="inlineStr">
        <is>
          <t>Not individually decided</t>
        </is>
      </c>
      <c r="H683" s="34" t="inlineStr">
        <is>
          <t xml:space="preserve">APPROVED / ONE_TO_ONE; </t>
        </is>
      </c>
      <c r="I683" s="34" t="inlineStr">
        <is>
          <t>New</t>
        </is>
      </c>
      <c r="J683" s="92" t="inlineStr">
        <is>
          <t>08 CROSSWALK</t>
        </is>
      </c>
    </row>
    <row r="684" ht="49" customHeight="1">
      <c r="A684" s="34" t="inlineStr">
        <is>
          <t>R1259-v1</t>
        </is>
      </c>
      <c r="B684" s="34" t="inlineStr">
        <is>
          <t>Cost &amp; Forecast Control Accounts / CST-03-017</t>
        </is>
      </c>
      <c r="C684" s="34" t="inlineStr">
        <is>
          <t>Cost Account = CA-3017; WBS Code = 1.3.1</t>
        </is>
      </c>
      <c r="D684" s="34" t="inlineStr">
        <is>
          <t>Proposed by Source assignment; target 1.3.1 Systems - Traction Power</t>
        </is>
      </c>
      <c r="E684" s="34" t="inlineStr">
        <is>
          <t>None recorded</t>
        </is>
      </c>
      <c r="F684" s="34" t="inlineStr">
        <is>
          <t>No individual professional decision recorded; Source assignment -- not individually reviewed</t>
        </is>
      </c>
      <c r="G684" s="34" t="inlineStr">
        <is>
          <t>Not individually decided</t>
        </is>
      </c>
      <c r="H684" s="34" t="inlineStr">
        <is>
          <t xml:space="preserve">APPROVED / ONE_TO_ONE; </t>
        </is>
      </c>
      <c r="I684" s="34" t="inlineStr">
        <is>
          <t>New</t>
        </is>
      </c>
      <c r="J684" s="92" t="inlineStr">
        <is>
          <t>08 CROSSWALK</t>
        </is>
      </c>
    </row>
    <row r="685" ht="49" customHeight="1">
      <c r="A685" s="34" t="inlineStr">
        <is>
          <t>R1261-v1</t>
        </is>
      </c>
      <c r="B685" s="34" t="inlineStr">
        <is>
          <t>Cost &amp; Forecast Control Accounts / CST-03-019</t>
        </is>
      </c>
      <c r="C685" s="34" t="inlineStr">
        <is>
          <t>Cost Account = CA-3019; WBS Code = 1.3.1</t>
        </is>
      </c>
      <c r="D685" s="34" t="inlineStr">
        <is>
          <t>Proposed by Source assignment; target 1.3.1 Systems - Traction Power</t>
        </is>
      </c>
      <c r="E685" s="34" t="inlineStr">
        <is>
          <t>None recorded</t>
        </is>
      </c>
      <c r="F685" s="34" t="inlineStr">
        <is>
          <t>No individual professional decision recorded; Source assignment -- not individually reviewed</t>
        </is>
      </c>
      <c r="G685" s="34" t="inlineStr">
        <is>
          <t>Not individually decided</t>
        </is>
      </c>
      <c r="H685" s="34" t="inlineStr">
        <is>
          <t xml:space="preserve">APPROVED / ONE_TO_ONE; </t>
        </is>
      </c>
      <c r="I685" s="34" t="inlineStr">
        <is>
          <t>New</t>
        </is>
      </c>
      <c r="J685" s="92" t="inlineStr">
        <is>
          <t>08 CROSSWALK</t>
        </is>
      </c>
    </row>
    <row r="686" ht="49" customHeight="1">
      <c r="A686" s="34" t="inlineStr">
        <is>
          <t>R1263-v1</t>
        </is>
      </c>
      <c r="B686" s="34" t="inlineStr">
        <is>
          <t>Cost &amp; Forecast Control Accounts / CST-03-021</t>
        </is>
      </c>
      <c r="C686" s="34" t="inlineStr">
        <is>
          <t>Cost Account = CA-3021; WBS Code = 1.3.1</t>
        </is>
      </c>
      <c r="D686" s="34" t="inlineStr">
        <is>
          <t>Proposed by Source assignment; target 1.3.1 Systems - Traction Power</t>
        </is>
      </c>
      <c r="E686" s="34" t="inlineStr">
        <is>
          <t>None recorded</t>
        </is>
      </c>
      <c r="F686" s="34" t="inlineStr">
        <is>
          <t>No individual professional decision recorded; Source assignment -- not individually reviewed</t>
        </is>
      </c>
      <c r="G686" s="34" t="inlineStr">
        <is>
          <t>Not individually decided</t>
        </is>
      </c>
      <c r="H686" s="34" t="inlineStr">
        <is>
          <t xml:space="preserve">APPROVED / ONE_TO_ONE; </t>
        </is>
      </c>
      <c r="I686" s="34" t="inlineStr">
        <is>
          <t>New</t>
        </is>
      </c>
      <c r="J686" s="92" t="inlineStr">
        <is>
          <t>08 CROSSWALK</t>
        </is>
      </c>
    </row>
    <row r="687" ht="49" customHeight="1">
      <c r="A687" s="34" t="inlineStr">
        <is>
          <t>R1265-v1</t>
        </is>
      </c>
      <c r="B687" s="34" t="inlineStr">
        <is>
          <t>Cost &amp; Forecast Control Accounts / CST-03-023</t>
        </is>
      </c>
      <c r="C687" s="34" t="inlineStr">
        <is>
          <t>Cost Account = CA-3023; WBS Code = 1.3.1</t>
        </is>
      </c>
      <c r="D687" s="34" t="inlineStr">
        <is>
          <t>Proposed by Source assignment; target 1.3.1 Systems - Traction Power</t>
        </is>
      </c>
      <c r="E687" s="34" t="inlineStr">
        <is>
          <t>None recorded</t>
        </is>
      </c>
      <c r="F687" s="34" t="inlineStr">
        <is>
          <t>No individual professional decision recorded; Source assignment -- not individually reviewed</t>
        </is>
      </c>
      <c r="G687" s="34" t="inlineStr">
        <is>
          <t>Not individually decided</t>
        </is>
      </c>
      <c r="H687" s="34" t="inlineStr">
        <is>
          <t xml:space="preserve">APPROVED / ONE_TO_ONE; </t>
        </is>
      </c>
      <c r="I687" s="34" t="inlineStr">
        <is>
          <t>New</t>
        </is>
      </c>
      <c r="J687" s="92" t="inlineStr">
        <is>
          <t>08 CROSSWALK</t>
        </is>
      </c>
    </row>
    <row r="688" ht="49" customHeight="1">
      <c r="A688" s="34" t="inlineStr">
        <is>
          <t>R1267-v1</t>
        </is>
      </c>
      <c r="B688" s="34" t="inlineStr">
        <is>
          <t>Cost &amp; Forecast Control Accounts / CST-03-025</t>
        </is>
      </c>
      <c r="C688" s="34" t="inlineStr">
        <is>
          <t>Cost Account = CA-3025; WBS Code = 1.3.1</t>
        </is>
      </c>
      <c r="D688" s="34" t="inlineStr">
        <is>
          <t>Proposed by Source assignment; target 1.3.1 Systems - Traction Power</t>
        </is>
      </c>
      <c r="E688" s="34" t="inlineStr">
        <is>
          <t>None recorded</t>
        </is>
      </c>
      <c r="F688" s="34" t="inlineStr">
        <is>
          <t>No individual professional decision recorded; Source assignment -- not individually reviewed</t>
        </is>
      </c>
      <c r="G688" s="34" t="inlineStr">
        <is>
          <t>Not individually decided</t>
        </is>
      </c>
      <c r="H688" s="34" t="inlineStr">
        <is>
          <t xml:space="preserve">APPROVED / ONE_TO_ONE; </t>
        </is>
      </c>
      <c r="I688" s="34" t="inlineStr">
        <is>
          <t>New</t>
        </is>
      </c>
      <c r="J688" s="92" t="inlineStr">
        <is>
          <t>08 CROSSWALK</t>
        </is>
      </c>
    </row>
    <row r="689" ht="49" customHeight="1">
      <c r="A689" s="34" t="inlineStr">
        <is>
          <t>R1269-v1</t>
        </is>
      </c>
      <c r="B689" s="34" t="inlineStr">
        <is>
          <t>Cost &amp; Forecast Control Accounts / CST-03-027</t>
        </is>
      </c>
      <c r="C689" s="34" t="inlineStr">
        <is>
          <t>Cost Account = CA-3027; WBS Code = 1.3.1</t>
        </is>
      </c>
      <c r="D689" s="34" t="inlineStr">
        <is>
          <t>Proposed by Source assignment; target 1.3.1 Systems - Traction Power</t>
        </is>
      </c>
      <c r="E689" s="34" t="inlineStr">
        <is>
          <t>None recorded</t>
        </is>
      </c>
      <c r="F689" s="34" t="inlineStr">
        <is>
          <t>No individual professional decision recorded; Source assignment -- not individually reviewed</t>
        </is>
      </c>
      <c r="G689" s="34" t="inlineStr">
        <is>
          <t>Not individually decided</t>
        </is>
      </c>
      <c r="H689" s="34" t="inlineStr">
        <is>
          <t xml:space="preserve">APPROVED / ONE_TO_ONE; </t>
        </is>
      </c>
      <c r="I689" s="34" t="inlineStr">
        <is>
          <t>New</t>
        </is>
      </c>
      <c r="J689" s="92" t="inlineStr">
        <is>
          <t>08 CROSSWALK</t>
        </is>
      </c>
    </row>
    <row r="690" ht="49" customHeight="1">
      <c r="A690" s="34" t="inlineStr">
        <is>
          <t>R1271-v1</t>
        </is>
      </c>
      <c r="B690" s="34" t="inlineStr">
        <is>
          <t>Cost &amp; Forecast Control Accounts / CST-03-029</t>
        </is>
      </c>
      <c r="C690" s="34" t="inlineStr">
        <is>
          <t>Cost Account = CA-3029; WBS Code = 1.3.1</t>
        </is>
      </c>
      <c r="D690" s="34" t="inlineStr">
        <is>
          <t>Proposed by Source assignment; target 1.3.1 Systems - Traction Power</t>
        </is>
      </c>
      <c r="E690" s="34" t="inlineStr">
        <is>
          <t>None recorded</t>
        </is>
      </c>
      <c r="F690" s="34" t="inlineStr">
        <is>
          <t>No individual professional decision recorded; Source assignment -- not individually reviewed</t>
        </is>
      </c>
      <c r="G690" s="34" t="inlineStr">
        <is>
          <t>Not individually decided</t>
        </is>
      </c>
      <c r="H690" s="34" t="inlineStr">
        <is>
          <t xml:space="preserve">APPROVED / ONE_TO_ONE; </t>
        </is>
      </c>
      <c r="I690" s="34" t="inlineStr">
        <is>
          <t>New</t>
        </is>
      </c>
      <c r="J690" s="92" t="inlineStr">
        <is>
          <t>08 CROSSWALK</t>
        </is>
      </c>
    </row>
    <row r="691" ht="49" customHeight="1">
      <c r="A691" s="34" t="inlineStr">
        <is>
          <t>R1273-v1</t>
        </is>
      </c>
      <c r="B691" s="34" t="inlineStr">
        <is>
          <t>Cost &amp; Forecast Control Accounts / CST-03-031</t>
        </is>
      </c>
      <c r="C691" s="34" t="inlineStr">
        <is>
          <t>Cost Account = CA-3031; WBS Code = 1.3.1</t>
        </is>
      </c>
      <c r="D691" s="34" t="inlineStr">
        <is>
          <t>Proposed by Source assignment; target 1.3.1 Systems - Traction Power</t>
        </is>
      </c>
      <c r="E691" s="34" t="inlineStr">
        <is>
          <t>None recorded</t>
        </is>
      </c>
      <c r="F691" s="34" t="inlineStr">
        <is>
          <t>No individual professional decision recorded; Source assignment -- not individually reviewed</t>
        </is>
      </c>
      <c r="G691" s="34" t="inlineStr">
        <is>
          <t>Not individually decided</t>
        </is>
      </c>
      <c r="H691" s="34" t="inlineStr">
        <is>
          <t xml:space="preserve">APPROVED / ONE_TO_ONE; </t>
        </is>
      </c>
      <c r="I691" s="34" t="inlineStr">
        <is>
          <t>New</t>
        </is>
      </c>
      <c r="J691" s="92" t="inlineStr">
        <is>
          <t>08 CROSSWALK</t>
        </is>
      </c>
    </row>
    <row r="692" ht="49" customHeight="1">
      <c r="A692" s="34" t="inlineStr">
        <is>
          <t>R1275-v1</t>
        </is>
      </c>
      <c r="B692" s="34" t="inlineStr">
        <is>
          <t>Cost &amp; Forecast Control Accounts / CST-03-033</t>
        </is>
      </c>
      <c r="C692" s="34" t="inlineStr">
        <is>
          <t>Cost Account = CA-3033; WBS Code = 1.3.1</t>
        </is>
      </c>
      <c r="D692" s="34" t="inlineStr">
        <is>
          <t>Proposed by Source assignment; target 1.3.1 Systems - Traction Power</t>
        </is>
      </c>
      <c r="E692" s="34" t="inlineStr">
        <is>
          <t>None recorded</t>
        </is>
      </c>
      <c r="F692" s="34" t="inlineStr">
        <is>
          <t>No individual professional decision recorded; Source assignment -- not individually reviewed</t>
        </is>
      </c>
      <c r="G692" s="34" t="inlineStr">
        <is>
          <t>Not individually decided</t>
        </is>
      </c>
      <c r="H692" s="34" t="inlineStr">
        <is>
          <t xml:space="preserve">APPROVED / ONE_TO_ONE; </t>
        </is>
      </c>
      <c r="I692" s="34" t="inlineStr">
        <is>
          <t>New</t>
        </is>
      </c>
      <c r="J692" s="92" t="inlineStr">
        <is>
          <t>08 CROSSWALK</t>
        </is>
      </c>
    </row>
    <row r="693" ht="49" customHeight="1">
      <c r="A693" s="34" t="inlineStr">
        <is>
          <t>R1277-v1</t>
        </is>
      </c>
      <c r="B693" s="34" t="inlineStr">
        <is>
          <t>Cost &amp; Forecast Control Accounts / CST-03-035</t>
        </is>
      </c>
      <c r="C693" s="34" t="inlineStr">
        <is>
          <t>Cost Account = CA-3035; WBS Code = 1.3.1</t>
        </is>
      </c>
      <c r="D693" s="34" t="inlineStr">
        <is>
          <t>Proposed by Source assignment; target 1.3.1 Systems - Traction Power</t>
        </is>
      </c>
      <c r="E693" s="34" t="inlineStr">
        <is>
          <t>None recorded</t>
        </is>
      </c>
      <c r="F693" s="34" t="inlineStr">
        <is>
          <t>No individual professional decision recorded; Source assignment -- not individually reviewed</t>
        </is>
      </c>
      <c r="G693" s="34" t="inlineStr">
        <is>
          <t>Not individually decided</t>
        </is>
      </c>
      <c r="H693" s="34" t="inlineStr">
        <is>
          <t xml:space="preserve">APPROVED / ONE_TO_ONE; </t>
        </is>
      </c>
      <c r="I693" s="34" t="inlineStr">
        <is>
          <t>New</t>
        </is>
      </c>
      <c r="J693" s="92" t="inlineStr">
        <is>
          <t>08 CROSSWALK</t>
        </is>
      </c>
    </row>
    <row r="694" ht="49" customHeight="1">
      <c r="A694" s="34" t="inlineStr">
        <is>
          <t>R1279-v1</t>
        </is>
      </c>
      <c r="B694" s="34" t="inlineStr">
        <is>
          <t>Cost &amp; Forecast Control Accounts / CST-03-037</t>
        </is>
      </c>
      <c r="C694" s="34" t="inlineStr">
        <is>
          <t>Cost Account = CA-3037; WBS Code = 1.3.1</t>
        </is>
      </c>
      <c r="D694" s="34" t="inlineStr">
        <is>
          <t>Proposed by Source assignment; target 1.3.1 Systems - Traction Power</t>
        </is>
      </c>
      <c r="E694" s="34" t="inlineStr">
        <is>
          <t>None recorded</t>
        </is>
      </c>
      <c r="F694" s="34" t="inlineStr">
        <is>
          <t>No individual professional decision recorded; Source assignment -- not individually reviewed</t>
        </is>
      </c>
      <c r="G694" s="34" t="inlineStr">
        <is>
          <t>Not individually decided</t>
        </is>
      </c>
      <c r="H694" s="34" t="inlineStr">
        <is>
          <t xml:space="preserve">APPROVED / ONE_TO_ONE; </t>
        </is>
      </c>
      <c r="I694" s="34" t="inlineStr">
        <is>
          <t>New</t>
        </is>
      </c>
      <c r="J694" s="92" t="inlineStr">
        <is>
          <t>08 CROSSWALK</t>
        </is>
      </c>
    </row>
    <row r="695" ht="49" customHeight="1">
      <c r="A695" s="34" t="inlineStr">
        <is>
          <t>R1281-v1</t>
        </is>
      </c>
      <c r="B695" s="34" t="inlineStr">
        <is>
          <t>Cost &amp; Forecast Control Accounts / CST-03-039</t>
        </is>
      </c>
      <c r="C695" s="34" t="inlineStr">
        <is>
          <t>Cost Account = CA-3039; WBS Code = 1.3.1</t>
        </is>
      </c>
      <c r="D695" s="34" t="inlineStr">
        <is>
          <t>Proposed by Source assignment; target 1.3.1 Systems - Traction Power</t>
        </is>
      </c>
      <c r="E695" s="34" t="inlineStr">
        <is>
          <t>None recorded</t>
        </is>
      </c>
      <c r="F695" s="34" t="inlineStr">
        <is>
          <t>No individual professional decision recorded; Source assignment -- not individually reviewed</t>
        </is>
      </c>
      <c r="G695" s="34" t="inlineStr">
        <is>
          <t>Not individually decided</t>
        </is>
      </c>
      <c r="H695" s="34" t="inlineStr">
        <is>
          <t xml:space="preserve">APPROVED / ONE_TO_ONE; </t>
        </is>
      </c>
      <c r="I695" s="34" t="inlineStr">
        <is>
          <t>New</t>
        </is>
      </c>
      <c r="J695" s="92" t="inlineStr">
        <is>
          <t>08 CROSSWALK</t>
        </is>
      </c>
    </row>
    <row r="696" ht="49" customHeight="1">
      <c r="A696" s="34" t="inlineStr">
        <is>
          <t>R1283-v1</t>
        </is>
      </c>
      <c r="B696" s="34" t="inlineStr">
        <is>
          <t>Cost &amp; Forecast Control Accounts / CST-03-041</t>
        </is>
      </c>
      <c r="C696" s="34" t="inlineStr">
        <is>
          <t>Cost Account = CA-3041; WBS Code = 1.3.1</t>
        </is>
      </c>
      <c r="D696" s="34" t="inlineStr">
        <is>
          <t>Proposed by Source assignment; target 1.3.1 Systems - Traction Power</t>
        </is>
      </c>
      <c r="E696" s="34" t="inlineStr">
        <is>
          <t>None recorded</t>
        </is>
      </c>
      <c r="F696" s="34" t="inlineStr">
        <is>
          <t>No individual professional decision recorded; Source assignment -- not individually reviewed</t>
        </is>
      </c>
      <c r="G696" s="34" t="inlineStr">
        <is>
          <t>Not individually decided</t>
        </is>
      </c>
      <c r="H696" s="34" t="inlineStr">
        <is>
          <t xml:space="preserve">APPROVED / ONE_TO_ONE; </t>
        </is>
      </c>
      <c r="I696" s="34" t="inlineStr">
        <is>
          <t>New</t>
        </is>
      </c>
      <c r="J696" s="92" t="inlineStr">
        <is>
          <t>08 CROSSWALK</t>
        </is>
      </c>
    </row>
    <row r="697" ht="49" customHeight="1">
      <c r="A697" s="34" t="inlineStr">
        <is>
          <t>R1285-v1</t>
        </is>
      </c>
      <c r="B697" s="34" t="inlineStr">
        <is>
          <t>Cost &amp; Forecast Control Accounts / CST-03-043</t>
        </is>
      </c>
      <c r="C697" s="34" t="inlineStr">
        <is>
          <t>Cost Account = CA-3043; WBS Code = 1.3.1</t>
        </is>
      </c>
      <c r="D697" s="34" t="inlineStr">
        <is>
          <t>Proposed by Source assignment; target 1.3.1 Systems - Traction Power</t>
        </is>
      </c>
      <c r="E697" s="34" t="inlineStr">
        <is>
          <t>None recorded</t>
        </is>
      </c>
      <c r="F697" s="34" t="inlineStr">
        <is>
          <t>No individual professional decision recorded; Source assignment -- not individually reviewed</t>
        </is>
      </c>
      <c r="G697" s="34" t="inlineStr">
        <is>
          <t>Not individually decided</t>
        </is>
      </c>
      <c r="H697" s="34" t="inlineStr">
        <is>
          <t xml:space="preserve">APPROVED / ONE_TO_ONE; </t>
        </is>
      </c>
      <c r="I697" s="34" t="inlineStr">
        <is>
          <t>New</t>
        </is>
      </c>
      <c r="J697" s="92" t="inlineStr">
        <is>
          <t>08 CROSSWALK</t>
        </is>
      </c>
    </row>
    <row r="698" ht="49" customHeight="1">
      <c r="A698" s="34" t="inlineStr">
        <is>
          <t>R1287-v1</t>
        </is>
      </c>
      <c r="B698" s="34" t="inlineStr">
        <is>
          <t>Cost &amp; Forecast Control Accounts / CST-03-045</t>
        </is>
      </c>
      <c r="C698" s="34" t="inlineStr">
        <is>
          <t>Cost Account = CA-3045; WBS Code = 1.3.1</t>
        </is>
      </c>
      <c r="D698" s="34" t="inlineStr">
        <is>
          <t>Proposed by Source assignment; target 1.3.1 Systems - Traction Power</t>
        </is>
      </c>
      <c r="E698" s="34" t="inlineStr">
        <is>
          <t>None recorded</t>
        </is>
      </c>
      <c r="F698" s="34" t="inlineStr">
        <is>
          <t>No individual professional decision recorded; Source assignment -- not individually reviewed</t>
        </is>
      </c>
      <c r="G698" s="34" t="inlineStr">
        <is>
          <t>Not individually decided</t>
        </is>
      </c>
      <c r="H698" s="34" t="inlineStr">
        <is>
          <t xml:space="preserve">APPROVED / ONE_TO_ONE; </t>
        </is>
      </c>
      <c r="I698" s="34" t="inlineStr">
        <is>
          <t>New</t>
        </is>
      </c>
      <c r="J698" s="92" t="inlineStr">
        <is>
          <t>08 CROSSWALK</t>
        </is>
      </c>
    </row>
    <row r="699" ht="49" customHeight="1">
      <c r="A699" s="34" t="inlineStr">
        <is>
          <t>R1289-v1</t>
        </is>
      </c>
      <c r="B699" s="34" t="inlineStr">
        <is>
          <t>Cost &amp; Forecast Control Accounts / CST-03-047</t>
        </is>
      </c>
      <c r="C699" s="34" t="inlineStr">
        <is>
          <t>Cost Account = CA-3047; WBS Code = 1.3.1</t>
        </is>
      </c>
      <c r="D699" s="34" t="inlineStr">
        <is>
          <t>Proposed by Source assignment; target 1.3.1 Systems - Traction Power</t>
        </is>
      </c>
      <c r="E699" s="34" t="inlineStr">
        <is>
          <t>None recorded</t>
        </is>
      </c>
      <c r="F699" s="34" t="inlineStr">
        <is>
          <t>No individual professional decision recorded; Source assignment -- not individually reviewed</t>
        </is>
      </c>
      <c r="G699" s="34" t="inlineStr">
        <is>
          <t>Not individually decided</t>
        </is>
      </c>
      <c r="H699" s="34" t="inlineStr">
        <is>
          <t xml:space="preserve">APPROVED / ONE_TO_ONE; </t>
        </is>
      </c>
      <c r="I699" s="34" t="inlineStr">
        <is>
          <t>New</t>
        </is>
      </c>
      <c r="J699" s="92" t="inlineStr">
        <is>
          <t>08 CROSSWALK</t>
        </is>
      </c>
    </row>
    <row r="700" ht="49" customHeight="1">
      <c r="A700" s="34" t="inlineStr">
        <is>
          <t>R1291-v1</t>
        </is>
      </c>
      <c r="B700" s="34" t="inlineStr">
        <is>
          <t>Cost &amp; Forecast Control Accounts / CST-03-049</t>
        </is>
      </c>
      <c r="C700" s="34" t="inlineStr">
        <is>
          <t>Cost Account = CA-3049; WBS Code = 1.3.1</t>
        </is>
      </c>
      <c r="D700" s="34" t="inlineStr">
        <is>
          <t>Proposed by Source assignment; target 1.3.1 Systems - Traction Power</t>
        </is>
      </c>
      <c r="E700" s="34" t="inlineStr">
        <is>
          <t>None recorded</t>
        </is>
      </c>
      <c r="F700" s="34" t="inlineStr">
        <is>
          <t>No individual professional decision recorded; Source assignment -- not individually reviewed</t>
        </is>
      </c>
      <c r="G700" s="34" t="inlineStr">
        <is>
          <t>Not individually decided</t>
        </is>
      </c>
      <c r="H700" s="34" t="inlineStr">
        <is>
          <t xml:space="preserve">APPROVED / ONE_TO_ONE; </t>
        </is>
      </c>
      <c r="I700" s="34" t="inlineStr">
        <is>
          <t>New</t>
        </is>
      </c>
      <c r="J700" s="92" t="inlineStr">
        <is>
          <t>08 CROSSWALK</t>
        </is>
      </c>
    </row>
    <row r="701" ht="49" customHeight="1">
      <c r="A701" s="34" t="inlineStr">
        <is>
          <t>R1293-v1</t>
        </is>
      </c>
      <c r="B701" s="34" t="inlineStr">
        <is>
          <t>Cost &amp; Forecast Control Accounts / CST-03-051</t>
        </is>
      </c>
      <c r="C701" s="34" t="inlineStr">
        <is>
          <t>Cost Account = CA-3051; WBS Code = 1.3.1</t>
        </is>
      </c>
      <c r="D701" s="34" t="inlineStr">
        <is>
          <t>Proposed by Source assignment; target 1.3.1 Systems - Traction Power</t>
        </is>
      </c>
      <c r="E701" s="34" t="inlineStr">
        <is>
          <t>None recorded</t>
        </is>
      </c>
      <c r="F701" s="34" t="inlineStr">
        <is>
          <t>No individual professional decision recorded; Source assignment -- not individually reviewed</t>
        </is>
      </c>
      <c r="G701" s="34" t="inlineStr">
        <is>
          <t>Not individually decided</t>
        </is>
      </c>
      <c r="H701" s="34" t="inlineStr">
        <is>
          <t xml:space="preserve">APPROVED / ONE_TO_ONE; </t>
        </is>
      </c>
      <c r="I701" s="34" t="inlineStr">
        <is>
          <t>New</t>
        </is>
      </c>
      <c r="J701" s="92" t="inlineStr">
        <is>
          <t>08 CROSSWALK</t>
        </is>
      </c>
    </row>
    <row r="702" ht="49" customHeight="1">
      <c r="A702" s="34" t="inlineStr">
        <is>
          <t>R1295-v1</t>
        </is>
      </c>
      <c r="B702" s="34" t="inlineStr">
        <is>
          <t>Cost &amp; Forecast Control Accounts / CST-03-053</t>
        </is>
      </c>
      <c r="C702" s="34" t="inlineStr">
        <is>
          <t>Cost Account = CA-3053; WBS Code = 1.3.1</t>
        </is>
      </c>
      <c r="D702" s="34" t="inlineStr">
        <is>
          <t>Proposed by Source assignment; target 1.3.1 Systems - Traction Power</t>
        </is>
      </c>
      <c r="E702" s="34" t="inlineStr">
        <is>
          <t>None recorded</t>
        </is>
      </c>
      <c r="F702" s="34" t="inlineStr">
        <is>
          <t>No individual professional decision recorded; Source assignment -- not individually reviewed</t>
        </is>
      </c>
      <c r="G702" s="34" t="inlineStr">
        <is>
          <t>Not individually decided</t>
        </is>
      </c>
      <c r="H702" s="34" t="inlineStr">
        <is>
          <t xml:space="preserve">APPROVED / ONE_TO_ONE; </t>
        </is>
      </c>
      <c r="I702" s="34" t="inlineStr">
        <is>
          <t>New</t>
        </is>
      </c>
      <c r="J702" s="92" t="inlineStr">
        <is>
          <t>08 CROSSWALK</t>
        </is>
      </c>
    </row>
    <row r="703" ht="49" customHeight="1">
      <c r="A703" s="34" t="inlineStr">
        <is>
          <t>R1297-v1</t>
        </is>
      </c>
      <c r="B703" s="34" t="inlineStr">
        <is>
          <t>Cost &amp; Forecast Control Accounts / CST-03-055</t>
        </is>
      </c>
      <c r="C703" s="34" t="inlineStr">
        <is>
          <t>Cost Account = CA-3055; WBS Code = 1.3.1</t>
        </is>
      </c>
      <c r="D703" s="34" t="inlineStr">
        <is>
          <t>Proposed by Source assignment; target 1.3.1 Systems - Traction Power</t>
        </is>
      </c>
      <c r="E703" s="34" t="inlineStr">
        <is>
          <t>None recorded</t>
        </is>
      </c>
      <c r="F703" s="34" t="inlineStr">
        <is>
          <t>No individual professional decision recorded; Source assignment -- not individually reviewed</t>
        </is>
      </c>
      <c r="G703" s="34" t="inlineStr">
        <is>
          <t>Not individually decided</t>
        </is>
      </c>
      <c r="H703" s="34" t="inlineStr">
        <is>
          <t xml:space="preserve">APPROVED / ONE_TO_ONE; </t>
        </is>
      </c>
      <c r="I703" s="34" t="inlineStr">
        <is>
          <t>New</t>
        </is>
      </c>
      <c r="J703" s="92" t="inlineStr">
        <is>
          <t>08 CROSSWALK</t>
        </is>
      </c>
    </row>
    <row r="704" ht="49" customHeight="1">
      <c r="A704" s="34" t="inlineStr">
        <is>
          <t>R1299-v1</t>
        </is>
      </c>
      <c r="B704" s="34" t="inlineStr">
        <is>
          <t>Cost &amp; Forecast Control Accounts / CST-03-057</t>
        </is>
      </c>
      <c r="C704" s="34" t="inlineStr">
        <is>
          <t>Cost Account = CA-3057; WBS Code = 1.3.1</t>
        </is>
      </c>
      <c r="D704" s="34" t="inlineStr">
        <is>
          <t>Proposed by Source assignment; target 1.3.1 Systems - Traction Power</t>
        </is>
      </c>
      <c r="E704" s="34" t="inlineStr">
        <is>
          <t>None recorded</t>
        </is>
      </c>
      <c r="F704" s="34" t="inlineStr">
        <is>
          <t>No individual professional decision recorded; Source assignment -- not individually reviewed</t>
        </is>
      </c>
      <c r="G704" s="34" t="inlineStr">
        <is>
          <t>Not individually decided</t>
        </is>
      </c>
      <c r="H704" s="34" t="inlineStr">
        <is>
          <t xml:space="preserve">APPROVED / ONE_TO_ONE; </t>
        </is>
      </c>
      <c r="I704" s="34" t="inlineStr">
        <is>
          <t>New</t>
        </is>
      </c>
      <c r="J704" s="92" t="inlineStr">
        <is>
          <t>08 CROSSWALK</t>
        </is>
      </c>
    </row>
    <row r="705" ht="49" customHeight="1">
      <c r="A705" s="34" t="inlineStr">
        <is>
          <t>R1301-v1</t>
        </is>
      </c>
      <c r="B705" s="34" t="inlineStr">
        <is>
          <t>Cost &amp; Forecast Control Accounts / CST-03-059</t>
        </is>
      </c>
      <c r="C705" s="34" t="inlineStr">
        <is>
          <t>Cost Account = CA-3059; WBS Code = 1.3.1</t>
        </is>
      </c>
      <c r="D705" s="34" t="inlineStr">
        <is>
          <t>Proposed by Source assignment; target 1.3.1 Systems - Traction Power</t>
        </is>
      </c>
      <c r="E705" s="34" t="inlineStr">
        <is>
          <t>None recorded</t>
        </is>
      </c>
      <c r="F705" s="34" t="inlineStr">
        <is>
          <t>No individual professional decision recorded; Source assignment -- not individually reviewed</t>
        </is>
      </c>
      <c r="G705" s="34" t="inlineStr">
        <is>
          <t>Not individually decided</t>
        </is>
      </c>
      <c r="H705" s="34" t="inlineStr">
        <is>
          <t xml:space="preserve">APPROVED / ONE_TO_ONE; </t>
        </is>
      </c>
      <c r="I705" s="34" t="inlineStr">
        <is>
          <t>New</t>
        </is>
      </c>
      <c r="J705" s="92" t="inlineStr">
        <is>
          <t>08 CROSSWALK</t>
        </is>
      </c>
    </row>
    <row r="706" ht="49" customHeight="1">
      <c r="A706" s="34" t="inlineStr">
        <is>
          <t>R1303-v1</t>
        </is>
      </c>
      <c r="B706" s="34" t="inlineStr">
        <is>
          <t>Cost &amp; Forecast Control Accounts / CST-03-061</t>
        </is>
      </c>
      <c r="C706" s="34" t="inlineStr">
        <is>
          <t>Cost Account = CA-3061; WBS Code = 1.3.1</t>
        </is>
      </c>
      <c r="D706" s="34" t="inlineStr">
        <is>
          <t>Proposed by Source assignment; target 1.3.1 Systems - Traction Power</t>
        </is>
      </c>
      <c r="E706" s="34" t="inlineStr">
        <is>
          <t>None recorded</t>
        </is>
      </c>
      <c r="F706" s="34" t="inlineStr">
        <is>
          <t>No individual professional decision recorded; Source assignment -- not individually reviewed</t>
        </is>
      </c>
      <c r="G706" s="34" t="inlineStr">
        <is>
          <t>Not individually decided</t>
        </is>
      </c>
      <c r="H706" s="34" t="inlineStr">
        <is>
          <t xml:space="preserve">APPROVED / ONE_TO_ONE; </t>
        </is>
      </c>
      <c r="I706" s="34" t="inlineStr">
        <is>
          <t>New</t>
        </is>
      </c>
      <c r="J706" s="92" t="inlineStr">
        <is>
          <t>08 CROSSWALK</t>
        </is>
      </c>
    </row>
    <row r="707" ht="49" customHeight="1">
      <c r="A707" s="34" t="inlineStr">
        <is>
          <t>R1305-v1</t>
        </is>
      </c>
      <c r="B707" s="34" t="inlineStr">
        <is>
          <t>Cost &amp; Forecast Control Accounts / CST-03-063</t>
        </is>
      </c>
      <c r="C707" s="34" t="inlineStr">
        <is>
          <t>Cost Account = CA-3063; WBS Code = 1.3.1</t>
        </is>
      </c>
      <c r="D707" s="34" t="inlineStr">
        <is>
          <t>Proposed by Source assignment; target 1.3.1 Systems - Traction Power</t>
        </is>
      </c>
      <c r="E707" s="34" t="inlineStr">
        <is>
          <t>None recorded</t>
        </is>
      </c>
      <c r="F707" s="34" t="inlineStr">
        <is>
          <t>No individual professional decision recorded; Source assignment -- not individually reviewed</t>
        </is>
      </c>
      <c r="G707" s="34" t="inlineStr">
        <is>
          <t>Not individually decided</t>
        </is>
      </c>
      <c r="H707" s="34" t="inlineStr">
        <is>
          <t xml:space="preserve">APPROVED / ONE_TO_ONE; </t>
        </is>
      </c>
      <c r="I707" s="34" t="inlineStr">
        <is>
          <t>New</t>
        </is>
      </c>
      <c r="J707" s="92" t="inlineStr">
        <is>
          <t>08 CROSSWALK</t>
        </is>
      </c>
    </row>
    <row r="708" ht="49" customHeight="1">
      <c r="A708" s="34" t="inlineStr">
        <is>
          <t>R1307-v1</t>
        </is>
      </c>
      <c r="B708" s="34" t="inlineStr">
        <is>
          <t>Cost &amp; Forecast Control Accounts / CST-03-065</t>
        </is>
      </c>
      <c r="C708" s="34" t="inlineStr">
        <is>
          <t>Cost Account = CA-3065; WBS Code = 1.3.1</t>
        </is>
      </c>
      <c r="D708" s="34" t="inlineStr">
        <is>
          <t>Proposed by Source assignment; target 1.3.1 Systems - Traction Power</t>
        </is>
      </c>
      <c r="E708" s="34" t="inlineStr">
        <is>
          <t>None recorded</t>
        </is>
      </c>
      <c r="F708" s="34" t="inlineStr">
        <is>
          <t>No individual professional decision recorded; Source assignment -- not individually reviewed</t>
        </is>
      </c>
      <c r="G708" s="34" t="inlineStr">
        <is>
          <t>Not individually decided</t>
        </is>
      </c>
      <c r="H708" s="34" t="inlineStr">
        <is>
          <t xml:space="preserve">APPROVED / ONE_TO_ONE; </t>
        </is>
      </c>
      <c r="I708" s="34" t="inlineStr">
        <is>
          <t>New</t>
        </is>
      </c>
      <c r="J708" s="92" t="inlineStr">
        <is>
          <t>08 CROSSWALK</t>
        </is>
      </c>
    </row>
    <row r="709" ht="49" customHeight="1">
      <c r="A709" s="34" t="inlineStr">
        <is>
          <t>R1309-v1</t>
        </is>
      </c>
      <c r="B709" s="34" t="inlineStr">
        <is>
          <t>Cost &amp; Forecast Control Accounts / CST-03-067</t>
        </is>
      </c>
      <c r="C709" s="34" t="inlineStr">
        <is>
          <t>Cost Account = CA-3067; WBS Code = 1.3.1</t>
        </is>
      </c>
      <c r="D709" s="34" t="inlineStr">
        <is>
          <t>Proposed by Source assignment; target 1.3.1 Systems - Traction Power</t>
        </is>
      </c>
      <c r="E709" s="34" t="inlineStr">
        <is>
          <t>None recorded</t>
        </is>
      </c>
      <c r="F709" s="34" t="inlineStr">
        <is>
          <t>No individual professional decision recorded; Source assignment -- not individually reviewed</t>
        </is>
      </c>
      <c r="G709" s="34" t="inlineStr">
        <is>
          <t>Not individually decided</t>
        </is>
      </c>
      <c r="H709" s="34" t="inlineStr">
        <is>
          <t xml:space="preserve">APPROVED / ONE_TO_ONE; </t>
        </is>
      </c>
      <c r="I709" s="34" t="inlineStr">
        <is>
          <t>New</t>
        </is>
      </c>
      <c r="J709" s="92" t="inlineStr">
        <is>
          <t>08 CROSSWALK</t>
        </is>
      </c>
    </row>
    <row r="710" ht="49" customHeight="1">
      <c r="A710" s="34" t="inlineStr">
        <is>
          <t>R1311-v1</t>
        </is>
      </c>
      <c r="B710" s="34" t="inlineStr">
        <is>
          <t>Cost &amp; Forecast Control Accounts / CST-03-069</t>
        </is>
      </c>
      <c r="C710" s="34" t="inlineStr">
        <is>
          <t>Cost Account = CA-3069; WBS Code = 1.3.1</t>
        </is>
      </c>
      <c r="D710" s="34" t="inlineStr">
        <is>
          <t>Proposed by Source assignment; target 1.3.1 Systems - Traction Power</t>
        </is>
      </c>
      <c r="E710" s="34" t="inlineStr">
        <is>
          <t>None recorded</t>
        </is>
      </c>
      <c r="F710" s="34" t="inlineStr">
        <is>
          <t>No individual professional decision recorded; Source assignment -- not individually reviewed</t>
        </is>
      </c>
      <c r="G710" s="34" t="inlineStr">
        <is>
          <t>Not individually decided</t>
        </is>
      </c>
      <c r="H710" s="34" t="inlineStr">
        <is>
          <t xml:space="preserve">APPROVED / ONE_TO_ONE; </t>
        </is>
      </c>
      <c r="I710" s="34" t="inlineStr">
        <is>
          <t>New</t>
        </is>
      </c>
      <c r="J710" s="92" t="inlineStr">
        <is>
          <t>08 CROSSWALK</t>
        </is>
      </c>
    </row>
    <row r="711" ht="49" customHeight="1">
      <c r="A711" s="34" t="inlineStr">
        <is>
          <t>R1313-v1</t>
        </is>
      </c>
      <c r="B711" s="34" t="inlineStr">
        <is>
          <t>Cost &amp; Forecast Control Accounts / CST-03-071</t>
        </is>
      </c>
      <c r="C711" s="34" t="inlineStr">
        <is>
          <t>Cost Account = CA-3071; WBS Code = 1.3.1</t>
        </is>
      </c>
      <c r="D711" s="34" t="inlineStr">
        <is>
          <t>Proposed by Source assignment; target 1.3.1 Systems - Traction Power</t>
        </is>
      </c>
      <c r="E711" s="34" t="inlineStr">
        <is>
          <t>None recorded</t>
        </is>
      </c>
      <c r="F711" s="34" t="inlineStr">
        <is>
          <t>No individual professional decision recorded; Source assignment -- not individually reviewed</t>
        </is>
      </c>
      <c r="G711" s="34" t="inlineStr">
        <is>
          <t>Not individually decided</t>
        </is>
      </c>
      <c r="H711" s="34" t="inlineStr">
        <is>
          <t xml:space="preserve">APPROVED / ONE_TO_ONE; </t>
        </is>
      </c>
      <c r="I711" s="34" t="inlineStr">
        <is>
          <t>New</t>
        </is>
      </c>
      <c r="J711" s="92" t="inlineStr">
        <is>
          <t>08 CROSSWALK</t>
        </is>
      </c>
    </row>
    <row r="712" ht="49" customHeight="1">
      <c r="A712" s="34" t="inlineStr">
        <is>
          <t>R1315-v1</t>
        </is>
      </c>
      <c r="B712" s="34" t="inlineStr">
        <is>
          <t>Cost &amp; Forecast Control Accounts / CST-03-073</t>
        </is>
      </c>
      <c r="C712" s="34" t="inlineStr">
        <is>
          <t>Cost Account = CA-3073; WBS Code = 1.3.1</t>
        </is>
      </c>
      <c r="D712" s="34" t="inlineStr">
        <is>
          <t>Proposed by Source assignment; target 1.3.1 Systems - Traction Power</t>
        </is>
      </c>
      <c r="E712" s="34" t="inlineStr">
        <is>
          <t>None recorded</t>
        </is>
      </c>
      <c r="F712" s="34" t="inlineStr">
        <is>
          <t>No individual professional decision recorded; Source assignment -- not individually reviewed</t>
        </is>
      </c>
      <c r="G712" s="34" t="inlineStr">
        <is>
          <t>Not individually decided</t>
        </is>
      </c>
      <c r="H712" s="34" t="inlineStr">
        <is>
          <t xml:space="preserve">APPROVED / ONE_TO_ONE; </t>
        </is>
      </c>
      <c r="I712" s="34" t="inlineStr">
        <is>
          <t>New</t>
        </is>
      </c>
      <c r="J712" s="92" t="inlineStr">
        <is>
          <t>08 CROSSWALK</t>
        </is>
      </c>
    </row>
    <row r="713" ht="49" customHeight="1">
      <c r="A713" s="34" t="inlineStr">
        <is>
          <t>R1317-v1</t>
        </is>
      </c>
      <c r="B713" s="34" t="inlineStr">
        <is>
          <t>Cost &amp; Forecast Control Accounts / CST-03-075</t>
        </is>
      </c>
      <c r="C713" s="34" t="inlineStr">
        <is>
          <t>Cost Account = CA-3075; WBS Code = 1.3.1</t>
        </is>
      </c>
      <c r="D713" s="34" t="inlineStr">
        <is>
          <t>Proposed by Source assignment; target 1.3.1 Systems - Traction Power</t>
        </is>
      </c>
      <c r="E713" s="34" t="inlineStr">
        <is>
          <t>None recorded</t>
        </is>
      </c>
      <c r="F713" s="34" t="inlineStr">
        <is>
          <t>No individual professional decision recorded; Source assignment -- not individually reviewed</t>
        </is>
      </c>
      <c r="G713" s="34" t="inlineStr">
        <is>
          <t>Not individually decided</t>
        </is>
      </c>
      <c r="H713" s="34" t="inlineStr">
        <is>
          <t xml:space="preserve">APPROVED / ONE_TO_ONE; </t>
        </is>
      </c>
      <c r="I713" s="34" t="inlineStr">
        <is>
          <t>New</t>
        </is>
      </c>
      <c r="J713" s="92" t="inlineStr">
        <is>
          <t>08 CROSSWALK</t>
        </is>
      </c>
    </row>
    <row r="714" ht="49" customHeight="1">
      <c r="A714" s="34" t="inlineStr">
        <is>
          <t>R1319-v1</t>
        </is>
      </c>
      <c r="B714" s="34" t="inlineStr">
        <is>
          <t>Cost &amp; Forecast Control Accounts / CST-03-077</t>
        </is>
      </c>
      <c r="C714" s="34" t="inlineStr">
        <is>
          <t>Cost Account = CA-3077; WBS Code = 1.3.1</t>
        </is>
      </c>
      <c r="D714" s="34" t="inlineStr">
        <is>
          <t>Proposed by Source assignment; target 1.3.1 Systems - Traction Power</t>
        </is>
      </c>
      <c r="E714" s="34" t="inlineStr">
        <is>
          <t>None recorded</t>
        </is>
      </c>
      <c r="F714" s="34" t="inlineStr">
        <is>
          <t>No individual professional decision recorded; Source assignment -- not individually reviewed</t>
        </is>
      </c>
      <c r="G714" s="34" t="inlineStr">
        <is>
          <t>Not individually decided</t>
        </is>
      </c>
      <c r="H714" s="34" t="inlineStr">
        <is>
          <t xml:space="preserve">APPROVED / ONE_TO_ONE; </t>
        </is>
      </c>
      <c r="I714" s="34" t="inlineStr">
        <is>
          <t>New</t>
        </is>
      </c>
      <c r="J714" s="92" t="inlineStr">
        <is>
          <t>08 CROSSWALK</t>
        </is>
      </c>
    </row>
    <row r="715" ht="49" customHeight="1">
      <c r="A715" s="34" t="inlineStr">
        <is>
          <t>R1321-v1</t>
        </is>
      </c>
      <c r="B715" s="34" t="inlineStr">
        <is>
          <t>Cost &amp; Forecast Control Accounts / CST-03-079</t>
        </is>
      </c>
      <c r="C715" s="34" t="inlineStr">
        <is>
          <t>Cost Account = CA-3079; WBS Code = 1.3.1</t>
        </is>
      </c>
      <c r="D715" s="34" t="inlineStr">
        <is>
          <t>Proposed by Source assignment; target 1.3.1 Systems - Traction Power</t>
        </is>
      </c>
      <c r="E715" s="34" t="inlineStr">
        <is>
          <t>None recorded</t>
        </is>
      </c>
      <c r="F715" s="34" t="inlineStr">
        <is>
          <t>No individual professional decision recorded; Source assignment -- not individually reviewed</t>
        </is>
      </c>
      <c r="G715" s="34" t="inlineStr">
        <is>
          <t>Not individually decided</t>
        </is>
      </c>
      <c r="H715" s="34" t="inlineStr">
        <is>
          <t xml:space="preserve">APPROVED / ONE_TO_ONE; </t>
        </is>
      </c>
      <c r="I715" s="34" t="inlineStr">
        <is>
          <t>New</t>
        </is>
      </c>
      <c r="J715" s="92" t="inlineStr">
        <is>
          <t>08 CROSSWALK</t>
        </is>
      </c>
    </row>
    <row r="716" ht="49" customHeight="1">
      <c r="A716" s="34" t="inlineStr">
        <is>
          <t>R363-v1</t>
        </is>
      </c>
      <c r="B716" s="34" t="inlineStr">
        <is>
          <t>Contractor Programme / SCH-03-003</t>
        </is>
      </c>
      <c r="C716" s="34" t="inlineStr">
        <is>
          <t>WBS Code = 1.3.2</t>
        </is>
      </c>
      <c r="D716" s="34" t="inlineStr">
        <is>
          <t>Proposed by Source assignment; target 1.3.2 Systems - Signalling &amp; Train Control</t>
        </is>
      </c>
      <c r="E716" s="34" t="inlineStr">
        <is>
          <t>None recorded</t>
        </is>
      </c>
      <c r="F716" s="34" t="inlineStr">
        <is>
          <t>No individual professional decision recorded; Source assignment -- not individually reviewed</t>
        </is>
      </c>
      <c r="G716" s="34" t="inlineStr">
        <is>
          <t>Not individually decided</t>
        </is>
      </c>
      <c r="H716" s="34" t="inlineStr">
        <is>
          <t xml:space="preserve">APPROVED / ONE_TO_ONE; </t>
        </is>
      </c>
      <c r="I716" s="34" t="inlineStr">
        <is>
          <t>New</t>
        </is>
      </c>
      <c r="J716" s="92" t="inlineStr">
        <is>
          <t>08 CROSSWALK</t>
        </is>
      </c>
    </row>
    <row r="717" ht="49" customHeight="1">
      <c r="A717" s="34" t="inlineStr">
        <is>
          <t>R366-v1</t>
        </is>
      </c>
      <c r="B717" s="34" t="inlineStr">
        <is>
          <t>Contractor Programme / SCH-03-006</t>
        </is>
      </c>
      <c r="C717" s="34" t="inlineStr">
        <is>
          <t>WBS Code = 1.3.2</t>
        </is>
      </c>
      <c r="D717" s="34" t="inlineStr">
        <is>
          <t>Proposed by Source assignment; target 1.3.2 Systems - Signalling &amp; Train Control</t>
        </is>
      </c>
      <c r="E717" s="34" t="inlineStr">
        <is>
          <t>None recorded</t>
        </is>
      </c>
      <c r="F717" s="34" t="inlineStr">
        <is>
          <t>No individual professional decision recorded; Source assignment -- not individually reviewed</t>
        </is>
      </c>
      <c r="G717" s="34" t="inlineStr">
        <is>
          <t>Not individually decided</t>
        </is>
      </c>
      <c r="H717" s="34" t="inlineStr">
        <is>
          <t xml:space="preserve">APPROVED / ONE_TO_ONE; </t>
        </is>
      </c>
      <c r="I717" s="34" t="inlineStr">
        <is>
          <t>New</t>
        </is>
      </c>
      <c r="J717" s="92" t="inlineStr">
        <is>
          <t>08 CROSSWALK</t>
        </is>
      </c>
    </row>
    <row r="718" ht="49" customHeight="1">
      <c r="A718" s="34" t="inlineStr">
        <is>
          <t>R369-v1</t>
        </is>
      </c>
      <c r="B718" s="34" t="inlineStr">
        <is>
          <t>Contractor Programme / SCH-03-009</t>
        </is>
      </c>
      <c r="C718" s="34" t="inlineStr">
        <is>
          <t>WBS Code = 1.3.2</t>
        </is>
      </c>
      <c r="D718" s="34" t="inlineStr">
        <is>
          <t>Proposed by Source assignment; target 1.3.2 Systems - Signalling &amp; Train Control</t>
        </is>
      </c>
      <c r="E718" s="34" t="inlineStr">
        <is>
          <t>None recorded</t>
        </is>
      </c>
      <c r="F718" s="34" t="inlineStr">
        <is>
          <t>No individual professional decision recorded; Source assignment -- not individually reviewed</t>
        </is>
      </c>
      <c r="G718" s="34" t="inlineStr">
        <is>
          <t>Not individually decided</t>
        </is>
      </c>
      <c r="H718" s="34" t="inlineStr">
        <is>
          <t xml:space="preserve">APPROVED / ONE_TO_ONE; </t>
        </is>
      </c>
      <c r="I718" s="34" t="inlineStr">
        <is>
          <t>New</t>
        </is>
      </c>
      <c r="J718" s="92" t="inlineStr">
        <is>
          <t>08 CROSSWALK</t>
        </is>
      </c>
    </row>
    <row r="719" ht="49" customHeight="1">
      <c r="A719" s="34" t="inlineStr">
        <is>
          <t>R372-v1</t>
        </is>
      </c>
      <c r="B719" s="34" t="inlineStr">
        <is>
          <t>Contractor Programme / SCH-03-012</t>
        </is>
      </c>
      <c r="C719" s="34" t="inlineStr">
        <is>
          <t>WBS Code = 1.3.2</t>
        </is>
      </c>
      <c r="D719" s="34" t="inlineStr">
        <is>
          <t>Proposed by Source assignment; target 1.3.2 Systems - Signalling &amp; Train Control</t>
        </is>
      </c>
      <c r="E719" s="34" t="inlineStr">
        <is>
          <t>None recorded</t>
        </is>
      </c>
      <c r="F719" s="34" t="inlineStr">
        <is>
          <t>No individual professional decision recorded; Source assignment -- not individually reviewed</t>
        </is>
      </c>
      <c r="G719" s="34" t="inlineStr">
        <is>
          <t>Not individually decided</t>
        </is>
      </c>
      <c r="H719" s="34" t="inlineStr">
        <is>
          <t xml:space="preserve">APPROVED / ONE_TO_ONE; </t>
        </is>
      </c>
      <c r="I719" s="34" t="inlineStr">
        <is>
          <t>New</t>
        </is>
      </c>
      <c r="J719" s="92" t="inlineStr">
        <is>
          <t>08 CROSSWALK</t>
        </is>
      </c>
    </row>
    <row r="720" ht="49" customHeight="1">
      <c r="A720" s="34" t="inlineStr">
        <is>
          <t>R375-v1</t>
        </is>
      </c>
      <c r="B720" s="34" t="inlineStr">
        <is>
          <t>Contractor Programme / SCH-03-015</t>
        </is>
      </c>
      <c r="C720" s="34" t="inlineStr">
        <is>
          <t>WBS Code = 1.3.2</t>
        </is>
      </c>
      <c r="D720" s="34" t="inlineStr">
        <is>
          <t>Proposed by Source assignment; target 1.3.2 Systems - Signalling &amp; Train Control</t>
        </is>
      </c>
      <c r="E720" s="34" t="inlineStr">
        <is>
          <t>None recorded</t>
        </is>
      </c>
      <c r="F720" s="34" t="inlineStr">
        <is>
          <t>No individual professional decision recorded; Source assignment -- not individually reviewed</t>
        </is>
      </c>
      <c r="G720" s="34" t="inlineStr">
        <is>
          <t>Not individually decided</t>
        </is>
      </c>
      <c r="H720" s="34" t="inlineStr">
        <is>
          <t xml:space="preserve">APPROVED / ONE_TO_ONE; </t>
        </is>
      </c>
      <c r="I720" s="34" t="inlineStr">
        <is>
          <t>New</t>
        </is>
      </c>
      <c r="J720" s="92" t="inlineStr">
        <is>
          <t>08 CROSSWALK</t>
        </is>
      </c>
    </row>
    <row r="721" ht="49" customHeight="1">
      <c r="A721" s="34" t="inlineStr">
        <is>
          <t>R378-v1</t>
        </is>
      </c>
      <c r="B721" s="34" t="inlineStr">
        <is>
          <t>Contractor Programme / SCH-03-018</t>
        </is>
      </c>
      <c r="C721" s="34" t="inlineStr">
        <is>
          <t>WBS Code = 1.3.2</t>
        </is>
      </c>
      <c r="D721" s="34" t="inlineStr">
        <is>
          <t>Proposed by Source assignment; target 1.3.2 Systems - Signalling &amp; Train Control</t>
        </is>
      </c>
      <c r="E721" s="34" t="inlineStr">
        <is>
          <t>None recorded</t>
        </is>
      </c>
      <c r="F721" s="34" t="inlineStr">
        <is>
          <t>No individual professional decision recorded; Source assignment -- not individually reviewed</t>
        </is>
      </c>
      <c r="G721" s="34" t="inlineStr">
        <is>
          <t>Not individually decided</t>
        </is>
      </c>
      <c r="H721" s="34" t="inlineStr">
        <is>
          <t xml:space="preserve">APPROVED / ONE_TO_ONE; </t>
        </is>
      </c>
      <c r="I721" s="34" t="inlineStr">
        <is>
          <t>New</t>
        </is>
      </c>
      <c r="J721" s="92" t="inlineStr">
        <is>
          <t>08 CROSSWALK</t>
        </is>
      </c>
    </row>
    <row r="722" ht="49" customHeight="1">
      <c r="A722" s="34" t="inlineStr">
        <is>
          <t>R381-v1</t>
        </is>
      </c>
      <c r="B722" s="34" t="inlineStr">
        <is>
          <t>Contractor Programme / SCH-03-021</t>
        </is>
      </c>
      <c r="C722" s="34" t="inlineStr">
        <is>
          <t>WBS Code = 1.3.2</t>
        </is>
      </c>
      <c r="D722" s="34" t="inlineStr">
        <is>
          <t>Proposed by Source assignment; target 1.3.2 Systems - Signalling &amp; Train Control</t>
        </is>
      </c>
      <c r="E722" s="34" t="inlineStr">
        <is>
          <t>None recorded</t>
        </is>
      </c>
      <c r="F722" s="34" t="inlineStr">
        <is>
          <t>No individual professional decision recorded; Source assignment -- not individually reviewed</t>
        </is>
      </c>
      <c r="G722" s="34" t="inlineStr">
        <is>
          <t>Not individually decided</t>
        </is>
      </c>
      <c r="H722" s="34" t="inlineStr">
        <is>
          <t xml:space="preserve">APPROVED / ONE_TO_ONE; </t>
        </is>
      </c>
      <c r="I722" s="34" t="inlineStr">
        <is>
          <t>New</t>
        </is>
      </c>
      <c r="J722" s="92" t="inlineStr">
        <is>
          <t>08 CROSSWALK</t>
        </is>
      </c>
    </row>
    <row r="723" ht="49" customHeight="1">
      <c r="A723" s="34" t="inlineStr">
        <is>
          <t>R384-v1</t>
        </is>
      </c>
      <c r="B723" s="34" t="inlineStr">
        <is>
          <t>Contractor Programme / SCH-03-024</t>
        </is>
      </c>
      <c r="C723" s="34" t="inlineStr">
        <is>
          <t>WBS Code = 1.3.2</t>
        </is>
      </c>
      <c r="D723" s="34" t="inlineStr">
        <is>
          <t>Proposed by Source assignment; target 1.3.2 Systems - Signalling &amp; Train Control</t>
        </is>
      </c>
      <c r="E723" s="34" t="inlineStr">
        <is>
          <t>None recorded</t>
        </is>
      </c>
      <c r="F723" s="34" t="inlineStr">
        <is>
          <t>No individual professional decision recorded; Source assignment -- not individually reviewed</t>
        </is>
      </c>
      <c r="G723" s="34" t="inlineStr">
        <is>
          <t>Not individually decided</t>
        </is>
      </c>
      <c r="H723" s="34" t="inlineStr">
        <is>
          <t xml:space="preserve">APPROVED / ONE_TO_ONE; </t>
        </is>
      </c>
      <c r="I723" s="34" t="inlineStr">
        <is>
          <t>New</t>
        </is>
      </c>
      <c r="J723" s="92" t="inlineStr">
        <is>
          <t>08 CROSSWALK</t>
        </is>
      </c>
    </row>
    <row r="724" ht="49" customHeight="1">
      <c r="A724" s="34" t="inlineStr">
        <is>
          <t>R387-v1</t>
        </is>
      </c>
      <c r="B724" s="34" t="inlineStr">
        <is>
          <t>Contractor Programme / SCH-03-027</t>
        </is>
      </c>
      <c r="C724" s="34" t="inlineStr">
        <is>
          <t>WBS Code = 1.3.2</t>
        </is>
      </c>
      <c r="D724" s="34" t="inlineStr">
        <is>
          <t>Proposed by Source assignment; target 1.3.2 Systems - Signalling &amp; Train Control</t>
        </is>
      </c>
      <c r="E724" s="34" t="inlineStr">
        <is>
          <t>None recorded</t>
        </is>
      </c>
      <c r="F724" s="34" t="inlineStr">
        <is>
          <t>No individual professional decision recorded; Source assignment -- not individually reviewed</t>
        </is>
      </c>
      <c r="G724" s="34" t="inlineStr">
        <is>
          <t>Not individually decided</t>
        </is>
      </c>
      <c r="H724" s="34" t="inlineStr">
        <is>
          <t xml:space="preserve">APPROVED / ONE_TO_ONE; </t>
        </is>
      </c>
      <c r="I724" s="34" t="inlineStr">
        <is>
          <t>New</t>
        </is>
      </c>
      <c r="J724" s="92" t="inlineStr">
        <is>
          <t>08 CROSSWALK</t>
        </is>
      </c>
    </row>
    <row r="725" ht="49" customHeight="1">
      <c r="A725" s="34" t="inlineStr">
        <is>
          <t>R390-v1</t>
        </is>
      </c>
      <c r="B725" s="34" t="inlineStr">
        <is>
          <t>Contractor Programme / SCH-03-030</t>
        </is>
      </c>
      <c r="C725" s="34" t="inlineStr">
        <is>
          <t>WBS Code = 1.3.2</t>
        </is>
      </c>
      <c r="D725" s="34" t="inlineStr">
        <is>
          <t>Proposed by Source assignment; target 1.3.2 Systems - Signalling &amp; Train Control</t>
        </is>
      </c>
      <c r="E725" s="34" t="inlineStr">
        <is>
          <t>None recorded</t>
        </is>
      </c>
      <c r="F725" s="34" t="inlineStr">
        <is>
          <t>No individual professional decision recorded; Source assignment -- not individually reviewed</t>
        </is>
      </c>
      <c r="G725" s="34" t="inlineStr">
        <is>
          <t>Not individually decided</t>
        </is>
      </c>
      <c r="H725" s="34" t="inlineStr">
        <is>
          <t xml:space="preserve">APPROVED / ONE_TO_ONE; </t>
        </is>
      </c>
      <c r="I725" s="34" t="inlineStr">
        <is>
          <t>New</t>
        </is>
      </c>
      <c r="J725" s="92" t="inlineStr">
        <is>
          <t>08 CROSSWALK</t>
        </is>
      </c>
    </row>
    <row r="726" ht="49" customHeight="1">
      <c r="A726" s="34" t="inlineStr">
        <is>
          <t>R393-v1</t>
        </is>
      </c>
      <c r="B726" s="34" t="inlineStr">
        <is>
          <t>Contractor Programme / SCH-03-033</t>
        </is>
      </c>
      <c r="C726" s="34" t="inlineStr">
        <is>
          <t>WBS Code = 1.3.2</t>
        </is>
      </c>
      <c r="D726" s="34" t="inlineStr">
        <is>
          <t>Proposed by Source assignment; target 1.3.2 Systems - Signalling &amp; Train Control</t>
        </is>
      </c>
      <c r="E726" s="34" t="inlineStr">
        <is>
          <t>None recorded</t>
        </is>
      </c>
      <c r="F726" s="34" t="inlineStr">
        <is>
          <t>No individual professional decision recorded; Source assignment -- not individually reviewed</t>
        </is>
      </c>
      <c r="G726" s="34" t="inlineStr">
        <is>
          <t>Not individually decided</t>
        </is>
      </c>
      <c r="H726" s="34" t="inlineStr">
        <is>
          <t xml:space="preserve">APPROVED / ONE_TO_ONE; </t>
        </is>
      </c>
      <c r="I726" s="34" t="inlineStr">
        <is>
          <t>New</t>
        </is>
      </c>
      <c r="J726" s="92" t="inlineStr">
        <is>
          <t>08 CROSSWALK</t>
        </is>
      </c>
    </row>
    <row r="727" ht="49" customHeight="1">
      <c r="A727" s="34" t="inlineStr">
        <is>
          <t>R396-v1</t>
        </is>
      </c>
      <c r="B727" s="34" t="inlineStr">
        <is>
          <t>Contractor Programme / SCH-03-036</t>
        </is>
      </c>
      <c r="C727" s="34" t="inlineStr">
        <is>
          <t>WBS Code = 1.3.2</t>
        </is>
      </c>
      <c r="D727" s="34" t="inlineStr">
        <is>
          <t>Proposed by Source assignment; target 1.3.2 Systems - Signalling &amp; Train Control</t>
        </is>
      </c>
      <c r="E727" s="34" t="inlineStr">
        <is>
          <t>None recorded</t>
        </is>
      </c>
      <c r="F727" s="34" t="inlineStr">
        <is>
          <t>No individual professional decision recorded; Source assignment -- not individually reviewed</t>
        </is>
      </c>
      <c r="G727" s="34" t="inlineStr">
        <is>
          <t>Not individually decided</t>
        </is>
      </c>
      <c r="H727" s="34" t="inlineStr">
        <is>
          <t xml:space="preserve">APPROVED / ONE_TO_ONE; </t>
        </is>
      </c>
      <c r="I727" s="34" t="inlineStr">
        <is>
          <t>New</t>
        </is>
      </c>
      <c r="J727" s="92" t="inlineStr">
        <is>
          <t>08 CROSSWALK</t>
        </is>
      </c>
    </row>
    <row r="728" ht="49" customHeight="1">
      <c r="A728" s="34" t="inlineStr">
        <is>
          <t>R399-v1</t>
        </is>
      </c>
      <c r="B728" s="34" t="inlineStr">
        <is>
          <t>Contractor Programme / SCH-03-039</t>
        </is>
      </c>
      <c r="C728" s="34" t="inlineStr">
        <is>
          <t>WBS Code = 1.3.2</t>
        </is>
      </c>
      <c r="D728" s="34" t="inlineStr">
        <is>
          <t>Proposed by Source assignment; target 1.3.2 Systems - Signalling &amp; Train Control</t>
        </is>
      </c>
      <c r="E728" s="34" t="inlineStr">
        <is>
          <t>None recorded</t>
        </is>
      </c>
      <c r="F728" s="34" t="inlineStr">
        <is>
          <t>No individual professional decision recorded; Source assignment -- not individually reviewed</t>
        </is>
      </c>
      <c r="G728" s="34" t="inlineStr">
        <is>
          <t>Not individually decided</t>
        </is>
      </c>
      <c r="H728" s="34" t="inlineStr">
        <is>
          <t xml:space="preserve">APPROVED / ONE_TO_ONE; </t>
        </is>
      </c>
      <c r="I728" s="34" t="inlineStr">
        <is>
          <t>New</t>
        </is>
      </c>
      <c r="J728" s="92" t="inlineStr">
        <is>
          <t>08 CROSSWALK</t>
        </is>
      </c>
    </row>
    <row r="729" ht="49" customHeight="1">
      <c r="A729" s="34" t="inlineStr">
        <is>
          <t>R402-v1</t>
        </is>
      </c>
      <c r="B729" s="34" t="inlineStr">
        <is>
          <t>Contractor Programme / SCH-03-042</t>
        </is>
      </c>
      <c r="C729" s="34" t="inlineStr">
        <is>
          <t>WBS Code = 1.3.2</t>
        </is>
      </c>
      <c r="D729" s="34" t="inlineStr">
        <is>
          <t>Proposed by Source assignment; target 1.3.2 Systems - Signalling &amp; Train Control</t>
        </is>
      </c>
      <c r="E729" s="34" t="inlineStr">
        <is>
          <t>None recorded</t>
        </is>
      </c>
      <c r="F729" s="34" t="inlineStr">
        <is>
          <t>No individual professional decision recorded; Source assignment -- not individually reviewed</t>
        </is>
      </c>
      <c r="G729" s="34" t="inlineStr">
        <is>
          <t>Not individually decided</t>
        </is>
      </c>
      <c r="H729" s="34" t="inlineStr">
        <is>
          <t xml:space="preserve">APPROVED / ONE_TO_ONE; </t>
        </is>
      </c>
      <c r="I729" s="34" t="inlineStr">
        <is>
          <t>New</t>
        </is>
      </c>
      <c r="J729" s="92" t="inlineStr">
        <is>
          <t>08 CROSSWALK</t>
        </is>
      </c>
    </row>
    <row r="730" ht="49" customHeight="1">
      <c r="A730" s="34" t="inlineStr">
        <is>
          <t>R405-v1</t>
        </is>
      </c>
      <c r="B730" s="34" t="inlineStr">
        <is>
          <t>Contractor Programme / SCH-03-045</t>
        </is>
      </c>
      <c r="C730" s="34" t="inlineStr">
        <is>
          <t>WBS Code = 1.3.2</t>
        </is>
      </c>
      <c r="D730" s="34" t="inlineStr">
        <is>
          <t>Proposed by Source assignment; target 1.3.2 Systems - Signalling &amp; Train Control</t>
        </is>
      </c>
      <c r="E730" s="34" t="inlineStr">
        <is>
          <t>None recorded</t>
        </is>
      </c>
      <c r="F730" s="34" t="inlineStr">
        <is>
          <t>No individual professional decision recorded; Source assignment -- not individually reviewed</t>
        </is>
      </c>
      <c r="G730" s="34" t="inlineStr">
        <is>
          <t>Not individually decided</t>
        </is>
      </c>
      <c r="H730" s="34" t="inlineStr">
        <is>
          <t xml:space="preserve">APPROVED / ONE_TO_ONE; </t>
        </is>
      </c>
      <c r="I730" s="34" t="inlineStr">
        <is>
          <t>New</t>
        </is>
      </c>
      <c r="J730" s="92" t="inlineStr">
        <is>
          <t>08 CROSSWALK</t>
        </is>
      </c>
    </row>
    <row r="731" ht="49" customHeight="1">
      <c r="A731" s="34" t="inlineStr">
        <is>
          <t>R408-v1</t>
        </is>
      </c>
      <c r="B731" s="34" t="inlineStr">
        <is>
          <t>Contractor Programme / SCH-03-048</t>
        </is>
      </c>
      <c r="C731" s="34" t="inlineStr">
        <is>
          <t>WBS Code = 1.3.2</t>
        </is>
      </c>
      <c r="D731" s="34" t="inlineStr">
        <is>
          <t>Proposed by Source assignment; target 1.3.2 Systems - Signalling &amp; Train Control</t>
        </is>
      </c>
      <c r="E731" s="34" t="inlineStr">
        <is>
          <t>None recorded</t>
        </is>
      </c>
      <c r="F731" s="34" t="inlineStr">
        <is>
          <t>No individual professional decision recorded; Source assignment -- not individually reviewed</t>
        </is>
      </c>
      <c r="G731" s="34" t="inlineStr">
        <is>
          <t>Not individually decided</t>
        </is>
      </c>
      <c r="H731" s="34" t="inlineStr">
        <is>
          <t xml:space="preserve">APPROVED / ONE_TO_ONE; </t>
        </is>
      </c>
      <c r="I731" s="34" t="inlineStr">
        <is>
          <t>New</t>
        </is>
      </c>
      <c r="J731" s="92" t="inlineStr">
        <is>
          <t>08 CROSSWALK</t>
        </is>
      </c>
    </row>
    <row r="732" ht="49" customHeight="1">
      <c r="A732" s="34" t="inlineStr">
        <is>
          <t>R411-v1</t>
        </is>
      </c>
      <c r="B732" s="34" t="inlineStr">
        <is>
          <t>Contractor Programme / SCH-03-051</t>
        </is>
      </c>
      <c r="C732" s="34" t="inlineStr">
        <is>
          <t>WBS Code = 1.3.2</t>
        </is>
      </c>
      <c r="D732" s="34" t="inlineStr">
        <is>
          <t>Proposed by Source assignment; target 1.3.2 Systems - Signalling &amp; Train Control</t>
        </is>
      </c>
      <c r="E732" s="34" t="inlineStr">
        <is>
          <t>None recorded</t>
        </is>
      </c>
      <c r="F732" s="34" t="inlineStr">
        <is>
          <t>No individual professional decision recorded; Source assignment -- not individually reviewed</t>
        </is>
      </c>
      <c r="G732" s="34" t="inlineStr">
        <is>
          <t>Not individually decided</t>
        </is>
      </c>
      <c r="H732" s="34" t="inlineStr">
        <is>
          <t xml:space="preserve">APPROVED / ONE_TO_ONE; </t>
        </is>
      </c>
      <c r="I732" s="34" t="inlineStr">
        <is>
          <t>New</t>
        </is>
      </c>
      <c r="J732" s="92" t="inlineStr">
        <is>
          <t>08 CROSSWALK</t>
        </is>
      </c>
    </row>
    <row r="733" ht="49" customHeight="1">
      <c r="A733" s="34" t="inlineStr">
        <is>
          <t>R414-v1</t>
        </is>
      </c>
      <c r="B733" s="34" t="inlineStr">
        <is>
          <t>Contractor Programme / SCH-03-054</t>
        </is>
      </c>
      <c r="C733" s="34" t="inlineStr">
        <is>
          <t>WBS Code = 1.3.2</t>
        </is>
      </c>
      <c r="D733" s="34" t="inlineStr">
        <is>
          <t>Proposed by Source assignment; target 1.3.2 Systems - Signalling &amp; Train Control</t>
        </is>
      </c>
      <c r="E733" s="34" t="inlineStr">
        <is>
          <t>None recorded</t>
        </is>
      </c>
      <c r="F733" s="34" t="inlineStr">
        <is>
          <t>No individual professional decision recorded; Source assignment -- not individually reviewed</t>
        </is>
      </c>
      <c r="G733" s="34" t="inlineStr">
        <is>
          <t>Not individually decided</t>
        </is>
      </c>
      <c r="H733" s="34" t="inlineStr">
        <is>
          <t xml:space="preserve">APPROVED / ONE_TO_ONE; </t>
        </is>
      </c>
      <c r="I733" s="34" t="inlineStr">
        <is>
          <t>New</t>
        </is>
      </c>
      <c r="J733" s="92" t="inlineStr">
        <is>
          <t>08 CROSSWALK</t>
        </is>
      </c>
    </row>
    <row r="734" ht="49" customHeight="1">
      <c r="A734" s="34" t="inlineStr">
        <is>
          <t>R417-v1</t>
        </is>
      </c>
      <c r="B734" s="34" t="inlineStr">
        <is>
          <t>Contractor Programme / SCH-03-057</t>
        </is>
      </c>
      <c r="C734" s="34" t="inlineStr">
        <is>
          <t>WBS Code = 1.3.2</t>
        </is>
      </c>
      <c r="D734" s="34" t="inlineStr">
        <is>
          <t>Proposed by Source assignment; target 1.3.2 Systems - Signalling &amp; Train Control</t>
        </is>
      </c>
      <c r="E734" s="34" t="inlineStr">
        <is>
          <t>None recorded</t>
        </is>
      </c>
      <c r="F734" s="34" t="inlineStr">
        <is>
          <t>No individual professional decision recorded; Source assignment -- not individually reviewed</t>
        </is>
      </c>
      <c r="G734" s="34" t="inlineStr">
        <is>
          <t>Not individually decided</t>
        </is>
      </c>
      <c r="H734" s="34" t="inlineStr">
        <is>
          <t xml:space="preserve">APPROVED / ONE_TO_ONE; </t>
        </is>
      </c>
      <c r="I734" s="34" t="inlineStr">
        <is>
          <t>New</t>
        </is>
      </c>
      <c r="J734" s="92" t="inlineStr">
        <is>
          <t>08 CROSSWALK</t>
        </is>
      </c>
    </row>
    <row r="735" ht="49" customHeight="1">
      <c r="A735" s="34" t="inlineStr">
        <is>
          <t>R420-v1</t>
        </is>
      </c>
      <c r="B735" s="34" t="inlineStr">
        <is>
          <t>Contractor Programme / SCH-03-060</t>
        </is>
      </c>
      <c r="C735" s="34" t="inlineStr">
        <is>
          <t>WBS Code = 1.3.2</t>
        </is>
      </c>
      <c r="D735" s="34" t="inlineStr">
        <is>
          <t>Proposed by Source assignment; target 1.3.2 Systems - Signalling &amp; Train Control</t>
        </is>
      </c>
      <c r="E735" s="34" t="inlineStr">
        <is>
          <t>None recorded</t>
        </is>
      </c>
      <c r="F735" s="34" t="inlineStr">
        <is>
          <t>No individual professional decision recorded; Source assignment -- not individually reviewed</t>
        </is>
      </c>
      <c r="G735" s="34" t="inlineStr">
        <is>
          <t>Not individually decided</t>
        </is>
      </c>
      <c r="H735" s="34" t="inlineStr">
        <is>
          <t xml:space="preserve">APPROVED / ONE_TO_ONE; </t>
        </is>
      </c>
      <c r="I735" s="34" t="inlineStr">
        <is>
          <t>New</t>
        </is>
      </c>
      <c r="J735" s="92" t="inlineStr">
        <is>
          <t>08 CROSSWALK</t>
        </is>
      </c>
    </row>
    <row r="736" ht="49" customHeight="1">
      <c r="A736" s="34" t="inlineStr">
        <is>
          <t>R423-v1</t>
        </is>
      </c>
      <c r="B736" s="34" t="inlineStr">
        <is>
          <t>Contractor Programme / SCH-03-063</t>
        </is>
      </c>
      <c r="C736" s="34" t="inlineStr">
        <is>
          <t>WBS Code = 1.3.2</t>
        </is>
      </c>
      <c r="D736" s="34" t="inlineStr">
        <is>
          <t>Proposed by Source assignment; target 1.3.2 Systems - Signalling &amp; Train Control</t>
        </is>
      </c>
      <c r="E736" s="34" t="inlineStr">
        <is>
          <t>None recorded</t>
        </is>
      </c>
      <c r="F736" s="34" t="inlineStr">
        <is>
          <t>No individual professional decision recorded; Source assignment -- not individually reviewed</t>
        </is>
      </c>
      <c r="G736" s="34" t="inlineStr">
        <is>
          <t>Not individually decided</t>
        </is>
      </c>
      <c r="H736" s="34" t="inlineStr">
        <is>
          <t xml:space="preserve">APPROVED / ONE_TO_ONE; </t>
        </is>
      </c>
      <c r="I736" s="34" t="inlineStr">
        <is>
          <t>New</t>
        </is>
      </c>
      <c r="J736" s="92" t="inlineStr">
        <is>
          <t>08 CROSSWALK</t>
        </is>
      </c>
    </row>
    <row r="737" ht="49" customHeight="1">
      <c r="A737" s="34" t="inlineStr">
        <is>
          <t>R426-v1</t>
        </is>
      </c>
      <c r="B737" s="34" t="inlineStr">
        <is>
          <t>Contractor Programme / SCH-03-066</t>
        </is>
      </c>
      <c r="C737" s="34" t="inlineStr">
        <is>
          <t>WBS Code = 1.3.2</t>
        </is>
      </c>
      <c r="D737" s="34" t="inlineStr">
        <is>
          <t>Proposed by Source assignment; target 1.3.2 Systems - Signalling &amp; Train Control</t>
        </is>
      </c>
      <c r="E737" s="34" t="inlineStr">
        <is>
          <t>None recorded</t>
        </is>
      </c>
      <c r="F737" s="34" t="inlineStr">
        <is>
          <t>No individual professional decision recorded; Source assignment -- not individually reviewed</t>
        </is>
      </c>
      <c r="G737" s="34" t="inlineStr">
        <is>
          <t>Not individually decided</t>
        </is>
      </c>
      <c r="H737" s="34" t="inlineStr">
        <is>
          <t xml:space="preserve">APPROVED / ONE_TO_ONE; </t>
        </is>
      </c>
      <c r="I737" s="34" t="inlineStr">
        <is>
          <t>New</t>
        </is>
      </c>
      <c r="J737" s="92" t="inlineStr">
        <is>
          <t>08 CROSSWALK</t>
        </is>
      </c>
    </row>
    <row r="738" ht="49" customHeight="1">
      <c r="A738" s="34" t="inlineStr">
        <is>
          <t>R429-v1</t>
        </is>
      </c>
      <c r="B738" s="34" t="inlineStr">
        <is>
          <t>Contractor Programme / SCH-03-069</t>
        </is>
      </c>
      <c r="C738" s="34" t="inlineStr">
        <is>
          <t>WBS Code = 1.3.2</t>
        </is>
      </c>
      <c r="D738" s="34" t="inlineStr">
        <is>
          <t>Proposed by Source assignment; target 1.3.2 Systems - Signalling &amp; Train Control</t>
        </is>
      </c>
      <c r="E738" s="34" t="inlineStr">
        <is>
          <t>None recorded</t>
        </is>
      </c>
      <c r="F738" s="34" t="inlineStr">
        <is>
          <t>No individual professional decision recorded; Source assignment -- not individually reviewed</t>
        </is>
      </c>
      <c r="G738" s="34" t="inlineStr">
        <is>
          <t>Not individually decided</t>
        </is>
      </c>
      <c r="H738" s="34" t="inlineStr">
        <is>
          <t xml:space="preserve">APPROVED / ONE_TO_ONE; </t>
        </is>
      </c>
      <c r="I738" s="34" t="inlineStr">
        <is>
          <t>New</t>
        </is>
      </c>
      <c r="J738" s="92" t="inlineStr">
        <is>
          <t>08 CROSSWALK</t>
        </is>
      </c>
    </row>
    <row r="739" ht="49" customHeight="1">
      <c r="A739" s="34" t="inlineStr">
        <is>
          <t>R432-v1</t>
        </is>
      </c>
      <c r="B739" s="34" t="inlineStr">
        <is>
          <t>Contractor Programme / SCH-03-072</t>
        </is>
      </c>
      <c r="C739" s="34" t="inlineStr">
        <is>
          <t>WBS Code = 1.3.2</t>
        </is>
      </c>
      <c r="D739" s="34" t="inlineStr">
        <is>
          <t>Proposed by Source assignment; target 1.3.2 Systems - Signalling &amp; Train Control</t>
        </is>
      </c>
      <c r="E739" s="34" t="inlineStr">
        <is>
          <t>None recorded</t>
        </is>
      </c>
      <c r="F739" s="34" t="inlineStr">
        <is>
          <t>No individual professional decision recorded; Source assignment -- not individually reviewed</t>
        </is>
      </c>
      <c r="G739" s="34" t="inlineStr">
        <is>
          <t>Not individually decided</t>
        </is>
      </c>
      <c r="H739" s="34" t="inlineStr">
        <is>
          <t xml:space="preserve">APPROVED / ONE_TO_ONE; </t>
        </is>
      </c>
      <c r="I739" s="34" t="inlineStr">
        <is>
          <t>New</t>
        </is>
      </c>
      <c r="J739" s="92" t="inlineStr">
        <is>
          <t>08 CROSSWALK</t>
        </is>
      </c>
    </row>
    <row r="740" ht="49" customHeight="1">
      <c r="A740" s="34" t="inlineStr">
        <is>
          <t>R435-v1</t>
        </is>
      </c>
      <c r="B740" s="34" t="inlineStr">
        <is>
          <t>Contractor Programme / SCH-03-075</t>
        </is>
      </c>
      <c r="C740" s="34" t="inlineStr">
        <is>
          <t>WBS Code = 1.3.2</t>
        </is>
      </c>
      <c r="D740" s="34" t="inlineStr">
        <is>
          <t>Proposed by Source assignment; target 1.3.2 Systems - Signalling &amp; Train Control</t>
        </is>
      </c>
      <c r="E740" s="34" t="inlineStr">
        <is>
          <t>None recorded</t>
        </is>
      </c>
      <c r="F740" s="34" t="inlineStr">
        <is>
          <t>No individual professional decision recorded; Source assignment -- not individually reviewed</t>
        </is>
      </c>
      <c r="G740" s="34" t="inlineStr">
        <is>
          <t>Not individually decided</t>
        </is>
      </c>
      <c r="H740" s="34" t="inlineStr">
        <is>
          <t xml:space="preserve">APPROVED / ONE_TO_ONE; </t>
        </is>
      </c>
      <c r="I740" s="34" t="inlineStr">
        <is>
          <t>New</t>
        </is>
      </c>
      <c r="J740" s="92" t="inlineStr">
        <is>
          <t>08 CROSSWALK</t>
        </is>
      </c>
    </row>
    <row r="741" ht="49" customHeight="1">
      <c r="A741" s="34" t="inlineStr">
        <is>
          <t>R438-v1</t>
        </is>
      </c>
      <c r="B741" s="34" t="inlineStr">
        <is>
          <t>Contractor Programme / SCH-03-078</t>
        </is>
      </c>
      <c r="C741" s="34" t="inlineStr">
        <is>
          <t>WBS Code = 1.3.2</t>
        </is>
      </c>
      <c r="D741" s="34" t="inlineStr">
        <is>
          <t>Proposed by Source assignment; target 1.3.2 Systems - Signalling &amp; Train Control</t>
        </is>
      </c>
      <c r="E741" s="34" t="inlineStr">
        <is>
          <t>None recorded</t>
        </is>
      </c>
      <c r="F741" s="34" t="inlineStr">
        <is>
          <t>No individual professional decision recorded; Source assignment -- not individually reviewed</t>
        </is>
      </c>
      <c r="G741" s="34" t="inlineStr">
        <is>
          <t>Not individually decided</t>
        </is>
      </c>
      <c r="H741" s="34" t="inlineStr">
        <is>
          <t xml:space="preserve">APPROVED / ONE_TO_ONE; </t>
        </is>
      </c>
      <c r="I741" s="34" t="inlineStr">
        <is>
          <t>New</t>
        </is>
      </c>
      <c r="J741" s="92" t="inlineStr">
        <is>
          <t>08 CROSSWALK</t>
        </is>
      </c>
    </row>
    <row r="742" ht="49" customHeight="1">
      <c r="A742" s="34" t="inlineStr">
        <is>
          <t>R441-v1</t>
        </is>
      </c>
      <c r="B742" s="34" t="inlineStr">
        <is>
          <t>Contractor Programme / SCH-03-081</t>
        </is>
      </c>
      <c r="C742" s="34" t="inlineStr">
        <is>
          <t>WBS Code = 1.3.2</t>
        </is>
      </c>
      <c r="D742" s="34" t="inlineStr">
        <is>
          <t>Proposed by Source assignment; target 1.3.2 Systems - Signalling &amp; Train Control</t>
        </is>
      </c>
      <c r="E742" s="34" t="inlineStr">
        <is>
          <t>None recorded</t>
        </is>
      </c>
      <c r="F742" s="34" t="inlineStr">
        <is>
          <t>No individual professional decision recorded; Source assignment -- not individually reviewed</t>
        </is>
      </c>
      <c r="G742" s="34" t="inlineStr">
        <is>
          <t>Not individually decided</t>
        </is>
      </c>
      <c r="H742" s="34" t="inlineStr">
        <is>
          <t xml:space="preserve">APPROVED / ONE_TO_ONE; </t>
        </is>
      </c>
      <c r="I742" s="34" t="inlineStr">
        <is>
          <t>New</t>
        </is>
      </c>
      <c r="J742" s="92" t="inlineStr">
        <is>
          <t>08 CROSSWALK</t>
        </is>
      </c>
    </row>
    <row r="743" ht="49" customHeight="1">
      <c r="A743" s="34" t="inlineStr">
        <is>
          <t>R444-v1</t>
        </is>
      </c>
      <c r="B743" s="34" t="inlineStr">
        <is>
          <t>Contractor Programme / SCH-03-084</t>
        </is>
      </c>
      <c r="C743" s="34" t="inlineStr">
        <is>
          <t>WBS Code = 1.3.2</t>
        </is>
      </c>
      <c r="D743" s="34" t="inlineStr">
        <is>
          <t>Proposed by Source assignment; target 1.3.2 Systems - Signalling &amp; Train Control</t>
        </is>
      </c>
      <c r="E743" s="34" t="inlineStr">
        <is>
          <t>None recorded</t>
        </is>
      </c>
      <c r="F743" s="34" t="inlineStr">
        <is>
          <t>No individual professional decision recorded; Source assignment -- not individually reviewed</t>
        </is>
      </c>
      <c r="G743" s="34" t="inlineStr">
        <is>
          <t>Not individually decided</t>
        </is>
      </c>
      <c r="H743" s="34" t="inlineStr">
        <is>
          <t xml:space="preserve">APPROVED / ONE_TO_ONE; </t>
        </is>
      </c>
      <c r="I743" s="34" t="inlineStr">
        <is>
          <t>New</t>
        </is>
      </c>
      <c r="J743" s="92" t="inlineStr">
        <is>
          <t>08 CROSSWALK</t>
        </is>
      </c>
    </row>
    <row r="744" ht="49" customHeight="1">
      <c r="A744" s="34" t="inlineStr">
        <is>
          <t>R447-v1</t>
        </is>
      </c>
      <c r="B744" s="34" t="inlineStr">
        <is>
          <t>Contractor Programme / SCH-03-087</t>
        </is>
      </c>
      <c r="C744" s="34" t="inlineStr">
        <is>
          <t>WBS Code = 1.3.2</t>
        </is>
      </c>
      <c r="D744" s="34" t="inlineStr">
        <is>
          <t>Proposed by Source assignment; target 1.3.2 Systems - Signalling &amp; Train Control</t>
        </is>
      </c>
      <c r="E744" s="34" t="inlineStr">
        <is>
          <t>None recorded</t>
        </is>
      </c>
      <c r="F744" s="34" t="inlineStr">
        <is>
          <t>No individual professional decision recorded; Source assignment -- not individually reviewed</t>
        </is>
      </c>
      <c r="G744" s="34" t="inlineStr">
        <is>
          <t>Not individually decided</t>
        </is>
      </c>
      <c r="H744" s="34" t="inlineStr">
        <is>
          <t xml:space="preserve">APPROVED / ONE_TO_ONE; </t>
        </is>
      </c>
      <c r="I744" s="34" t="inlineStr">
        <is>
          <t>New</t>
        </is>
      </c>
      <c r="J744" s="92" t="inlineStr">
        <is>
          <t>08 CROSSWALK</t>
        </is>
      </c>
    </row>
    <row r="745" ht="49" customHeight="1">
      <c r="A745" s="34" t="inlineStr">
        <is>
          <t>R450-v1</t>
        </is>
      </c>
      <c r="B745" s="34" t="inlineStr">
        <is>
          <t>Contractor Programme / SCH-03-090</t>
        </is>
      </c>
      <c r="C745" s="34" t="inlineStr">
        <is>
          <t>WBS Code = 1.3.2</t>
        </is>
      </c>
      <c r="D745" s="34" t="inlineStr">
        <is>
          <t>Proposed by Source assignment; target 1.3.2 Systems - Signalling &amp; Train Control</t>
        </is>
      </c>
      <c r="E745" s="34" t="inlineStr">
        <is>
          <t>None recorded</t>
        </is>
      </c>
      <c r="F745" s="34" t="inlineStr">
        <is>
          <t>No individual professional decision recorded; Source assignment -- not individually reviewed</t>
        </is>
      </c>
      <c r="G745" s="34" t="inlineStr">
        <is>
          <t>Not individually decided</t>
        </is>
      </c>
      <c r="H745" s="34" t="inlineStr">
        <is>
          <t xml:space="preserve">APPROVED / ONE_TO_ONE; </t>
        </is>
      </c>
      <c r="I745" s="34" t="inlineStr">
        <is>
          <t>New</t>
        </is>
      </c>
      <c r="J745" s="92" t="inlineStr">
        <is>
          <t>08 CROSSWALK</t>
        </is>
      </c>
    </row>
    <row r="746" ht="49" customHeight="1">
      <c r="A746" s="34" t="inlineStr">
        <is>
          <t>R453-v1</t>
        </is>
      </c>
      <c r="B746" s="34" t="inlineStr">
        <is>
          <t>Contractor Programme / SCH-03-093</t>
        </is>
      </c>
      <c r="C746" s="34" t="inlineStr">
        <is>
          <t>WBS Code = 1.3.2</t>
        </is>
      </c>
      <c r="D746" s="34" t="inlineStr">
        <is>
          <t>Proposed by Source assignment; target 1.3.2 Systems - Signalling &amp; Train Control</t>
        </is>
      </c>
      <c r="E746" s="34" t="inlineStr">
        <is>
          <t>None recorded</t>
        </is>
      </c>
      <c r="F746" s="34" t="inlineStr">
        <is>
          <t>No individual professional decision recorded; Source assignment -- not individually reviewed</t>
        </is>
      </c>
      <c r="G746" s="34" t="inlineStr">
        <is>
          <t>Not individually decided</t>
        </is>
      </c>
      <c r="H746" s="34" t="inlineStr">
        <is>
          <t xml:space="preserve">APPROVED / ONE_TO_ONE; </t>
        </is>
      </c>
      <c r="I746" s="34" t="inlineStr">
        <is>
          <t>New</t>
        </is>
      </c>
      <c r="J746" s="92" t="inlineStr">
        <is>
          <t>08 CROSSWALK</t>
        </is>
      </c>
    </row>
    <row r="747" ht="49" customHeight="1">
      <c r="A747" s="34" t="inlineStr">
        <is>
          <t>R456-v1</t>
        </is>
      </c>
      <c r="B747" s="34" t="inlineStr">
        <is>
          <t>Contractor Programme / SCH-03-096</t>
        </is>
      </c>
      <c r="C747" s="34" t="inlineStr">
        <is>
          <t>WBS Code = 1.3.2</t>
        </is>
      </c>
      <c r="D747" s="34" t="inlineStr">
        <is>
          <t>Proposed by Source assignment; target 1.3.2 Systems - Signalling &amp; Train Control</t>
        </is>
      </c>
      <c r="E747" s="34" t="inlineStr">
        <is>
          <t>None recorded</t>
        </is>
      </c>
      <c r="F747" s="34" t="inlineStr">
        <is>
          <t>No individual professional decision recorded; Source assignment -- not individually reviewed</t>
        </is>
      </c>
      <c r="G747" s="34" t="inlineStr">
        <is>
          <t>Not individually decided</t>
        </is>
      </c>
      <c r="H747" s="34" t="inlineStr">
        <is>
          <t xml:space="preserve">APPROVED / ONE_TO_ONE; </t>
        </is>
      </c>
      <c r="I747" s="34" t="inlineStr">
        <is>
          <t>New</t>
        </is>
      </c>
      <c r="J747" s="92" t="inlineStr">
        <is>
          <t>08 CROSSWALK</t>
        </is>
      </c>
    </row>
    <row r="748" ht="49" customHeight="1">
      <c r="A748" s="34" t="inlineStr">
        <is>
          <t>R459-v1</t>
        </is>
      </c>
      <c r="B748" s="34" t="inlineStr">
        <is>
          <t>Contractor Programme / SCH-03-099</t>
        </is>
      </c>
      <c r="C748" s="34" t="inlineStr">
        <is>
          <t>WBS Code = 1.3.2</t>
        </is>
      </c>
      <c r="D748" s="34" t="inlineStr">
        <is>
          <t>Proposed by Source assignment; target 1.3.2 Systems - Signalling &amp; Train Control</t>
        </is>
      </c>
      <c r="E748" s="34" t="inlineStr">
        <is>
          <t>None recorded</t>
        </is>
      </c>
      <c r="F748" s="34" t="inlineStr">
        <is>
          <t>No individual professional decision recorded; Source assignment -- not individually reviewed</t>
        </is>
      </c>
      <c r="G748" s="34" t="inlineStr">
        <is>
          <t>Not individually decided</t>
        </is>
      </c>
      <c r="H748" s="34" t="inlineStr">
        <is>
          <t xml:space="preserve">APPROVED / ONE_TO_ONE; </t>
        </is>
      </c>
      <c r="I748" s="34" t="inlineStr">
        <is>
          <t>New</t>
        </is>
      </c>
      <c r="J748" s="92" t="inlineStr">
        <is>
          <t>08 CROSSWALK</t>
        </is>
      </c>
    </row>
    <row r="749" ht="49" customHeight="1">
      <c r="A749" s="34" t="inlineStr">
        <is>
          <t>R462-v1</t>
        </is>
      </c>
      <c r="B749" s="34" t="inlineStr">
        <is>
          <t>Contractor Programme / SCH-03-102</t>
        </is>
      </c>
      <c r="C749" s="34" t="inlineStr">
        <is>
          <t>WBS Code = 1.3.2</t>
        </is>
      </c>
      <c r="D749" s="34" t="inlineStr">
        <is>
          <t>Proposed by Source assignment; target 1.3.2 Systems - Signalling &amp; Train Control</t>
        </is>
      </c>
      <c r="E749" s="34" t="inlineStr">
        <is>
          <t>None recorded</t>
        </is>
      </c>
      <c r="F749" s="34" t="inlineStr">
        <is>
          <t>No individual professional decision recorded; Source assignment -- not individually reviewed</t>
        </is>
      </c>
      <c r="G749" s="34" t="inlineStr">
        <is>
          <t>Not individually decided</t>
        </is>
      </c>
      <c r="H749" s="34" t="inlineStr">
        <is>
          <t xml:space="preserve">APPROVED / ONE_TO_ONE; </t>
        </is>
      </c>
      <c r="I749" s="34" t="inlineStr">
        <is>
          <t>New</t>
        </is>
      </c>
      <c r="J749" s="92" t="inlineStr">
        <is>
          <t>08 CROSSWALK</t>
        </is>
      </c>
    </row>
    <row r="750" ht="49" customHeight="1">
      <c r="A750" s="34" t="inlineStr">
        <is>
          <t>R465-v1</t>
        </is>
      </c>
      <c r="B750" s="34" t="inlineStr">
        <is>
          <t>Contractor Programme / SCH-03-105</t>
        </is>
      </c>
      <c r="C750" s="34" t="inlineStr">
        <is>
          <t>WBS Code = 1.3.2</t>
        </is>
      </c>
      <c r="D750" s="34" t="inlineStr">
        <is>
          <t>Proposed by Source assignment; target 1.3.2 Systems - Signalling &amp; Train Control</t>
        </is>
      </c>
      <c r="E750" s="34" t="inlineStr">
        <is>
          <t>None recorded</t>
        </is>
      </c>
      <c r="F750" s="34" t="inlineStr">
        <is>
          <t>No individual professional decision recorded; Source assignment -- not individually reviewed</t>
        </is>
      </c>
      <c r="G750" s="34" t="inlineStr">
        <is>
          <t>Not individually decided</t>
        </is>
      </c>
      <c r="H750" s="34" t="inlineStr">
        <is>
          <t xml:space="preserve">APPROVED / ONE_TO_ONE; </t>
        </is>
      </c>
      <c r="I750" s="34" t="inlineStr">
        <is>
          <t>New</t>
        </is>
      </c>
      <c r="J750" s="92" t="inlineStr">
        <is>
          <t>08 CROSSWALK</t>
        </is>
      </c>
    </row>
    <row r="751" ht="49" customHeight="1">
      <c r="A751" s="34" t="inlineStr">
        <is>
          <t>R468-v1</t>
        </is>
      </c>
      <c r="B751" s="34" t="inlineStr">
        <is>
          <t>Contractor Programme / SCH-03-108</t>
        </is>
      </c>
      <c r="C751" s="34" t="inlineStr">
        <is>
          <t>WBS Code = 1.3.2</t>
        </is>
      </c>
      <c r="D751" s="34" t="inlineStr">
        <is>
          <t>Proposed by Source assignment; target 1.3.2 Systems - Signalling &amp; Train Control</t>
        </is>
      </c>
      <c r="E751" s="34" t="inlineStr">
        <is>
          <t>None recorded</t>
        </is>
      </c>
      <c r="F751" s="34" t="inlineStr">
        <is>
          <t>No individual professional decision recorded; Source assignment -- not individually reviewed</t>
        </is>
      </c>
      <c r="G751" s="34" t="inlineStr">
        <is>
          <t>Not individually decided</t>
        </is>
      </c>
      <c r="H751" s="34" t="inlineStr">
        <is>
          <t xml:space="preserve">APPROVED / ONE_TO_ONE; </t>
        </is>
      </c>
      <c r="I751" s="34" t="inlineStr">
        <is>
          <t>New</t>
        </is>
      </c>
      <c r="J751" s="92" t="inlineStr">
        <is>
          <t>08 CROSSWALK</t>
        </is>
      </c>
    </row>
    <row r="752" ht="49" customHeight="1">
      <c r="A752" s="34" t="inlineStr">
        <is>
          <t>R471-v1</t>
        </is>
      </c>
      <c r="B752" s="34" t="inlineStr">
        <is>
          <t>Contractor Programme / SCH-03-111</t>
        </is>
      </c>
      <c r="C752" s="34" t="inlineStr">
        <is>
          <t>WBS Code = 1.3.2</t>
        </is>
      </c>
      <c r="D752" s="34" t="inlineStr">
        <is>
          <t>Proposed by Source assignment; target 1.3.2 Systems - Signalling &amp; Train Control</t>
        </is>
      </c>
      <c r="E752" s="34" t="inlineStr">
        <is>
          <t>None recorded</t>
        </is>
      </c>
      <c r="F752" s="34" t="inlineStr">
        <is>
          <t>No individual professional decision recorded; Source assignment -- not individually reviewed</t>
        </is>
      </c>
      <c r="G752" s="34" t="inlineStr">
        <is>
          <t>Not individually decided</t>
        </is>
      </c>
      <c r="H752" s="34" t="inlineStr">
        <is>
          <t xml:space="preserve">APPROVED / ONE_TO_ONE; </t>
        </is>
      </c>
      <c r="I752" s="34" t="inlineStr">
        <is>
          <t>New</t>
        </is>
      </c>
      <c r="J752" s="92" t="inlineStr">
        <is>
          <t>08 CROSSWALK</t>
        </is>
      </c>
    </row>
    <row r="753" ht="49" customHeight="1">
      <c r="A753" s="34" t="inlineStr">
        <is>
          <t>R474-v1</t>
        </is>
      </c>
      <c r="B753" s="34" t="inlineStr">
        <is>
          <t>Contractor Programme / SCH-03-114</t>
        </is>
      </c>
      <c r="C753" s="34" t="inlineStr">
        <is>
          <t>WBS Code = 1.3.2</t>
        </is>
      </c>
      <c r="D753" s="34" t="inlineStr">
        <is>
          <t>Proposed by Source assignment; target 1.3.2 Systems - Signalling &amp; Train Control</t>
        </is>
      </c>
      <c r="E753" s="34" t="inlineStr">
        <is>
          <t>None recorded</t>
        </is>
      </c>
      <c r="F753" s="34" t="inlineStr">
        <is>
          <t>No individual professional decision recorded; Source assignment -- not individually reviewed</t>
        </is>
      </c>
      <c r="G753" s="34" t="inlineStr">
        <is>
          <t>Not individually decided</t>
        </is>
      </c>
      <c r="H753" s="34" t="inlineStr">
        <is>
          <t xml:space="preserve">APPROVED / ONE_TO_ONE; </t>
        </is>
      </c>
      <c r="I753" s="34" t="inlineStr">
        <is>
          <t>New</t>
        </is>
      </c>
      <c r="J753" s="92" t="inlineStr">
        <is>
          <t>08 CROSSWALK</t>
        </is>
      </c>
    </row>
    <row r="754" ht="49" customHeight="1">
      <c r="A754" s="34" t="inlineStr">
        <is>
          <t>R477-v1</t>
        </is>
      </c>
      <c r="B754" s="34" t="inlineStr">
        <is>
          <t>Contractor Programme / SCH-03-117</t>
        </is>
      </c>
      <c r="C754" s="34" t="inlineStr">
        <is>
          <t>WBS Code = 1.3.2</t>
        </is>
      </c>
      <c r="D754" s="34" t="inlineStr">
        <is>
          <t>Proposed by Source assignment; target 1.3.2 Systems - Signalling &amp; Train Control</t>
        </is>
      </c>
      <c r="E754" s="34" t="inlineStr">
        <is>
          <t>None recorded</t>
        </is>
      </c>
      <c r="F754" s="34" t="inlineStr">
        <is>
          <t>No individual professional decision recorded; Source assignment -- not individually reviewed</t>
        </is>
      </c>
      <c r="G754" s="34" t="inlineStr">
        <is>
          <t>Not individually decided</t>
        </is>
      </c>
      <c r="H754" s="34" t="inlineStr">
        <is>
          <t xml:space="preserve">APPROVED / ONE_TO_ONE; </t>
        </is>
      </c>
      <c r="I754" s="34" t="inlineStr">
        <is>
          <t>New</t>
        </is>
      </c>
      <c r="J754" s="92" t="inlineStr">
        <is>
          <t>08 CROSSWALK</t>
        </is>
      </c>
    </row>
    <row r="755" ht="49" customHeight="1">
      <c r="A755" s="34" t="inlineStr">
        <is>
          <t>R480-v1</t>
        </is>
      </c>
      <c r="B755" s="34" t="inlineStr">
        <is>
          <t>Contractor Programme / SCH-03-120</t>
        </is>
      </c>
      <c r="C755" s="34" t="inlineStr">
        <is>
          <t>WBS Code = 1.3.2</t>
        </is>
      </c>
      <c r="D755" s="34" t="inlineStr">
        <is>
          <t>Proposed by Source assignment; target 1.3.2 Systems - Signalling &amp; Train Control</t>
        </is>
      </c>
      <c r="E755" s="34" t="inlineStr">
        <is>
          <t>None recorded</t>
        </is>
      </c>
      <c r="F755" s="34" t="inlineStr">
        <is>
          <t>No individual professional decision recorded; Source assignment -- not individually reviewed</t>
        </is>
      </c>
      <c r="G755" s="34" t="inlineStr">
        <is>
          <t>Not individually decided</t>
        </is>
      </c>
      <c r="H755" s="34" t="inlineStr">
        <is>
          <t xml:space="preserve">APPROVED / ONE_TO_ONE; </t>
        </is>
      </c>
      <c r="I755" s="34" t="inlineStr">
        <is>
          <t>New</t>
        </is>
      </c>
      <c r="J755" s="92" t="inlineStr">
        <is>
          <t>08 CROSSWALK</t>
        </is>
      </c>
    </row>
    <row r="756" ht="49" customHeight="1">
      <c r="A756" s="34" t="inlineStr">
        <is>
          <t>R483-v1</t>
        </is>
      </c>
      <c r="B756" s="34" t="inlineStr">
        <is>
          <t>Contractor Programme / SCH-03-123</t>
        </is>
      </c>
      <c r="C756" s="34" t="inlineStr">
        <is>
          <t>WBS Code = 1.3.2</t>
        </is>
      </c>
      <c r="D756" s="34" t="inlineStr">
        <is>
          <t>Proposed by Source assignment; target 1.3.2 Systems - Signalling &amp; Train Control</t>
        </is>
      </c>
      <c r="E756" s="34" t="inlineStr">
        <is>
          <t>None recorded</t>
        </is>
      </c>
      <c r="F756" s="34" t="inlineStr">
        <is>
          <t>No individual professional decision recorded; Source assignment -- not individually reviewed</t>
        </is>
      </c>
      <c r="G756" s="34" t="inlineStr">
        <is>
          <t>Not individually decided</t>
        </is>
      </c>
      <c r="H756" s="34" t="inlineStr">
        <is>
          <t xml:space="preserve">APPROVED / ONE_TO_ONE; </t>
        </is>
      </c>
      <c r="I756" s="34" t="inlineStr">
        <is>
          <t>New</t>
        </is>
      </c>
      <c r="J756" s="92" t="inlineStr">
        <is>
          <t>08 CROSSWALK</t>
        </is>
      </c>
    </row>
    <row r="757" ht="49" customHeight="1">
      <c r="A757" s="34" t="inlineStr">
        <is>
          <t>R486-v1</t>
        </is>
      </c>
      <c r="B757" s="34" t="inlineStr">
        <is>
          <t>Contractor Programme / SCH-03-126</t>
        </is>
      </c>
      <c r="C757" s="34" t="inlineStr">
        <is>
          <t>WBS Code = 1.3.2</t>
        </is>
      </c>
      <c r="D757" s="34" t="inlineStr">
        <is>
          <t>Proposed by Source assignment; target 1.3.2 Systems - Signalling &amp; Train Control</t>
        </is>
      </c>
      <c r="E757" s="34" t="inlineStr">
        <is>
          <t>None recorded</t>
        </is>
      </c>
      <c r="F757" s="34" t="inlineStr">
        <is>
          <t>No individual professional decision recorded; Source assignment -- not individually reviewed</t>
        </is>
      </c>
      <c r="G757" s="34" t="inlineStr">
        <is>
          <t>Not individually decided</t>
        </is>
      </c>
      <c r="H757" s="34" t="inlineStr">
        <is>
          <t xml:space="preserve">APPROVED / ONE_TO_ONE; </t>
        </is>
      </c>
      <c r="I757" s="34" t="inlineStr">
        <is>
          <t>New</t>
        </is>
      </c>
      <c r="J757" s="92" t="inlineStr">
        <is>
          <t>08 CROSSWALK</t>
        </is>
      </c>
    </row>
    <row r="758" ht="49" customHeight="1">
      <c r="A758" s="34" t="inlineStr">
        <is>
          <t>R489-v1</t>
        </is>
      </c>
      <c r="B758" s="34" t="inlineStr">
        <is>
          <t>Contractor Programme / SCH-03-129</t>
        </is>
      </c>
      <c r="C758" s="34" t="inlineStr">
        <is>
          <t>WBS Code = 1.3.2</t>
        </is>
      </c>
      <c r="D758" s="34" t="inlineStr">
        <is>
          <t>Proposed by Source assignment; target 1.3.2 Systems - Signalling &amp; Train Control</t>
        </is>
      </c>
      <c r="E758" s="34" t="inlineStr">
        <is>
          <t>None recorded</t>
        </is>
      </c>
      <c r="F758" s="34" t="inlineStr">
        <is>
          <t>No individual professional decision recorded; Source assignment -- not individually reviewed</t>
        </is>
      </c>
      <c r="G758" s="34" t="inlineStr">
        <is>
          <t>Not individually decided</t>
        </is>
      </c>
      <c r="H758" s="34" t="inlineStr">
        <is>
          <t xml:space="preserve">APPROVED / ONE_TO_ONE; </t>
        </is>
      </c>
      <c r="I758" s="34" t="inlineStr">
        <is>
          <t>New</t>
        </is>
      </c>
      <c r="J758" s="92" t="inlineStr">
        <is>
          <t>08 CROSSWALK</t>
        </is>
      </c>
    </row>
    <row r="759" ht="49" customHeight="1">
      <c r="A759" s="34" t="inlineStr">
        <is>
          <t>R492-v1</t>
        </is>
      </c>
      <c r="B759" s="34" t="inlineStr">
        <is>
          <t>Contractor Programme / SCH-03-132</t>
        </is>
      </c>
      <c r="C759" s="34" t="inlineStr">
        <is>
          <t>WBS Code = 1.3.2</t>
        </is>
      </c>
      <c r="D759" s="34" t="inlineStr">
        <is>
          <t>Proposed by Source assignment; target 1.3.2 Systems - Signalling &amp; Train Control</t>
        </is>
      </c>
      <c r="E759" s="34" t="inlineStr">
        <is>
          <t>None recorded</t>
        </is>
      </c>
      <c r="F759" s="34" t="inlineStr">
        <is>
          <t>No individual professional decision recorded; Source assignment -- not individually reviewed</t>
        </is>
      </c>
      <c r="G759" s="34" t="inlineStr">
        <is>
          <t>Not individually decided</t>
        </is>
      </c>
      <c r="H759" s="34" t="inlineStr">
        <is>
          <t xml:space="preserve">APPROVED / ONE_TO_ONE; </t>
        </is>
      </c>
      <c r="I759" s="34" t="inlineStr">
        <is>
          <t>New</t>
        </is>
      </c>
      <c r="J759" s="92" t="inlineStr">
        <is>
          <t>08 CROSSWALK</t>
        </is>
      </c>
    </row>
    <row r="760" ht="49" customHeight="1">
      <c r="A760" s="34" t="inlineStr">
        <is>
          <t>R495-v1</t>
        </is>
      </c>
      <c r="B760" s="34" t="inlineStr">
        <is>
          <t>Contractor Programme / SCH-03-135</t>
        </is>
      </c>
      <c r="C760" s="34" t="inlineStr">
        <is>
          <t>WBS Code = 1.3.2</t>
        </is>
      </c>
      <c r="D760" s="34" t="inlineStr">
        <is>
          <t>Proposed by Source assignment; target 1.3.2 Systems - Signalling &amp; Train Control</t>
        </is>
      </c>
      <c r="E760" s="34" t="inlineStr">
        <is>
          <t>None recorded</t>
        </is>
      </c>
      <c r="F760" s="34" t="inlineStr">
        <is>
          <t>No individual professional decision recorded; Source assignment -- not individually reviewed</t>
        </is>
      </c>
      <c r="G760" s="34" t="inlineStr">
        <is>
          <t>Not individually decided</t>
        </is>
      </c>
      <c r="H760" s="34" t="inlineStr">
        <is>
          <t xml:space="preserve">APPROVED / ONE_TO_ONE; </t>
        </is>
      </c>
      <c r="I760" s="34" t="inlineStr">
        <is>
          <t>New</t>
        </is>
      </c>
      <c r="J760" s="92" t="inlineStr">
        <is>
          <t>08 CROSSWALK</t>
        </is>
      </c>
    </row>
    <row r="761" ht="49" customHeight="1">
      <c r="A761" s="34" t="inlineStr">
        <is>
          <t>R498-v1</t>
        </is>
      </c>
      <c r="B761" s="34" t="inlineStr">
        <is>
          <t>Contractor Programme / SCH-03-138</t>
        </is>
      </c>
      <c r="C761" s="34" t="inlineStr">
        <is>
          <t>WBS Code = 1.3.2</t>
        </is>
      </c>
      <c r="D761" s="34" t="inlineStr">
        <is>
          <t>Proposed by Source assignment; target 1.3.2 Systems - Signalling &amp; Train Control</t>
        </is>
      </c>
      <c r="E761" s="34" t="inlineStr">
        <is>
          <t>None recorded</t>
        </is>
      </c>
      <c r="F761" s="34" t="inlineStr">
        <is>
          <t>No individual professional decision recorded; Source assignment -- not individually reviewed</t>
        </is>
      </c>
      <c r="G761" s="34" t="inlineStr">
        <is>
          <t>Not individually decided</t>
        </is>
      </c>
      <c r="H761" s="34" t="inlineStr">
        <is>
          <t xml:space="preserve">APPROVED / ONE_TO_ONE; </t>
        </is>
      </c>
      <c r="I761" s="34" t="inlineStr">
        <is>
          <t>New</t>
        </is>
      </c>
      <c r="J761" s="92" t="inlineStr">
        <is>
          <t>08 CROSSWALK</t>
        </is>
      </c>
    </row>
    <row r="762" ht="49" customHeight="1">
      <c r="A762" s="34" t="inlineStr">
        <is>
          <t>R501-v1</t>
        </is>
      </c>
      <c r="B762" s="34" t="inlineStr">
        <is>
          <t>Contractor Programme / SCH-03-141</t>
        </is>
      </c>
      <c r="C762" s="34" t="inlineStr">
        <is>
          <t>WBS Code = 1.3.2</t>
        </is>
      </c>
      <c r="D762" s="34" t="inlineStr">
        <is>
          <t>Proposed by Source assignment; target 1.3.2 Systems - Signalling &amp; Train Control</t>
        </is>
      </c>
      <c r="E762" s="34" t="inlineStr">
        <is>
          <t>None recorded</t>
        </is>
      </c>
      <c r="F762" s="34" t="inlineStr">
        <is>
          <t>No individual professional decision recorded; Source assignment -- not individually reviewed</t>
        </is>
      </c>
      <c r="G762" s="34" t="inlineStr">
        <is>
          <t>Not individually decided</t>
        </is>
      </c>
      <c r="H762" s="34" t="inlineStr">
        <is>
          <t xml:space="preserve">APPROVED / ONE_TO_ONE; </t>
        </is>
      </c>
      <c r="I762" s="34" t="inlineStr">
        <is>
          <t>New</t>
        </is>
      </c>
      <c r="J762" s="92" t="inlineStr">
        <is>
          <t>08 CROSSWALK</t>
        </is>
      </c>
    </row>
    <row r="763" ht="49" customHeight="1">
      <c r="A763" s="34" t="inlineStr">
        <is>
          <t>R504-v1</t>
        </is>
      </c>
      <c r="B763" s="34" t="inlineStr">
        <is>
          <t>Contractor Programme / SCH-03-144</t>
        </is>
      </c>
      <c r="C763" s="34" t="inlineStr">
        <is>
          <t>WBS Code = 1.3.2</t>
        </is>
      </c>
      <c r="D763" s="34" t="inlineStr">
        <is>
          <t>Proposed by Source assignment; target 1.3.2 Systems - Signalling &amp; Train Control</t>
        </is>
      </c>
      <c r="E763" s="34" t="inlineStr">
        <is>
          <t>None recorded</t>
        </is>
      </c>
      <c r="F763" s="34" t="inlineStr">
        <is>
          <t>No individual professional decision recorded; Source assignment -- not individually reviewed</t>
        </is>
      </c>
      <c r="G763" s="34" t="inlineStr">
        <is>
          <t>Not individually decided</t>
        </is>
      </c>
      <c r="H763" s="34" t="inlineStr">
        <is>
          <t xml:space="preserve">APPROVED / ONE_TO_ONE; </t>
        </is>
      </c>
      <c r="I763" s="34" t="inlineStr">
        <is>
          <t>New</t>
        </is>
      </c>
      <c r="J763" s="92" t="inlineStr">
        <is>
          <t>08 CROSSWALK</t>
        </is>
      </c>
    </row>
    <row r="764" ht="49" customHeight="1">
      <c r="A764" s="34" t="inlineStr">
        <is>
          <t>R507-v1</t>
        </is>
      </c>
      <c r="B764" s="34" t="inlineStr">
        <is>
          <t>Contractor Programme / SCH-03-147</t>
        </is>
      </c>
      <c r="C764" s="34" t="inlineStr">
        <is>
          <t>WBS Code = 1.3.2</t>
        </is>
      </c>
      <c r="D764" s="34" t="inlineStr">
        <is>
          <t>Proposed by Source assignment; target 1.3.2 Systems - Signalling &amp; Train Control</t>
        </is>
      </c>
      <c r="E764" s="34" t="inlineStr">
        <is>
          <t>None recorded</t>
        </is>
      </c>
      <c r="F764" s="34" t="inlineStr">
        <is>
          <t>No individual professional decision recorded; Source assignment -- not individually reviewed</t>
        </is>
      </c>
      <c r="G764" s="34" t="inlineStr">
        <is>
          <t>Not individually decided</t>
        </is>
      </c>
      <c r="H764" s="34" t="inlineStr">
        <is>
          <t xml:space="preserve">APPROVED / ONE_TO_ONE; </t>
        </is>
      </c>
      <c r="I764" s="34" t="inlineStr">
        <is>
          <t>New</t>
        </is>
      </c>
      <c r="J764" s="92" t="inlineStr">
        <is>
          <t>08 CROSSWALK</t>
        </is>
      </c>
    </row>
    <row r="765" ht="49" customHeight="1">
      <c r="A765" s="34" t="inlineStr">
        <is>
          <t>R510-v1</t>
        </is>
      </c>
      <c r="B765" s="34" t="inlineStr">
        <is>
          <t>Contractor Programme / SCH-03-150</t>
        </is>
      </c>
      <c r="C765" s="34" t="inlineStr">
        <is>
          <t>WBS Code = 1.3.2</t>
        </is>
      </c>
      <c r="D765" s="34" t="inlineStr">
        <is>
          <t>Proposed by Source assignment; target 1.3.2 Systems - Signalling &amp; Train Control</t>
        </is>
      </c>
      <c r="E765" s="34" t="inlineStr">
        <is>
          <t>None recorded</t>
        </is>
      </c>
      <c r="F765" s="34" t="inlineStr">
        <is>
          <t>No individual professional decision recorded; Source assignment -- not individually reviewed</t>
        </is>
      </c>
      <c r="G765" s="34" t="inlineStr">
        <is>
          <t>Not individually decided</t>
        </is>
      </c>
      <c r="H765" s="34" t="inlineStr">
        <is>
          <t xml:space="preserve">APPROVED / ONE_TO_ONE; </t>
        </is>
      </c>
      <c r="I765" s="34" t="inlineStr">
        <is>
          <t>New</t>
        </is>
      </c>
      <c r="J765" s="92" t="inlineStr">
        <is>
          <t>08 CROSSWALK</t>
        </is>
      </c>
    </row>
    <row r="766" ht="49" customHeight="1">
      <c r="A766" s="34" t="inlineStr">
        <is>
          <t>R513-v1</t>
        </is>
      </c>
      <c r="B766" s="34" t="inlineStr">
        <is>
          <t>Contractor Programme / SCH-03-153</t>
        </is>
      </c>
      <c r="C766" s="34" t="inlineStr">
        <is>
          <t>WBS Code = 1.3.2</t>
        </is>
      </c>
      <c r="D766" s="34" t="inlineStr">
        <is>
          <t>Proposed by Source assignment; target 1.3.2 Systems - Signalling &amp; Train Control</t>
        </is>
      </c>
      <c r="E766" s="34" t="inlineStr">
        <is>
          <t>None recorded</t>
        </is>
      </c>
      <c r="F766" s="34" t="inlineStr">
        <is>
          <t>No individual professional decision recorded; Source assignment -- not individually reviewed</t>
        </is>
      </c>
      <c r="G766" s="34" t="inlineStr">
        <is>
          <t>Not individually decided</t>
        </is>
      </c>
      <c r="H766" s="34" t="inlineStr">
        <is>
          <t xml:space="preserve">APPROVED / ONE_TO_ONE; </t>
        </is>
      </c>
      <c r="I766" s="34" t="inlineStr">
        <is>
          <t>New</t>
        </is>
      </c>
      <c r="J766" s="92" t="inlineStr">
        <is>
          <t>08 CROSSWALK</t>
        </is>
      </c>
    </row>
    <row r="767" ht="49" customHeight="1">
      <c r="A767" s="34" t="inlineStr">
        <is>
          <t>R516-v1</t>
        </is>
      </c>
      <c r="B767" s="34" t="inlineStr">
        <is>
          <t>Contractor Programme / SCH-03-156</t>
        </is>
      </c>
      <c r="C767" s="34" t="inlineStr">
        <is>
          <t>WBS Code = 1.3.2</t>
        </is>
      </c>
      <c r="D767" s="34" t="inlineStr">
        <is>
          <t>Proposed by Source assignment; target 1.3.2 Systems - Signalling &amp; Train Control</t>
        </is>
      </c>
      <c r="E767" s="34" t="inlineStr">
        <is>
          <t>None recorded</t>
        </is>
      </c>
      <c r="F767" s="34" t="inlineStr">
        <is>
          <t>No individual professional decision recorded; Source assignment -- not individually reviewed</t>
        </is>
      </c>
      <c r="G767" s="34" t="inlineStr">
        <is>
          <t>Not individually decided</t>
        </is>
      </c>
      <c r="H767" s="34" t="inlineStr">
        <is>
          <t xml:space="preserve">APPROVED / ONE_TO_ONE; </t>
        </is>
      </c>
      <c r="I767" s="34" t="inlineStr">
        <is>
          <t>New</t>
        </is>
      </c>
      <c r="J767" s="92" t="inlineStr">
        <is>
          <t>08 CROSSWALK</t>
        </is>
      </c>
    </row>
    <row r="768" ht="49" customHeight="1">
      <c r="A768" s="34" t="inlineStr">
        <is>
          <t>R519-v1</t>
        </is>
      </c>
      <c r="B768" s="34" t="inlineStr">
        <is>
          <t>Contractor Programme / SCH-03-159</t>
        </is>
      </c>
      <c r="C768" s="34" t="inlineStr">
        <is>
          <t>WBS Code = 1.3.2</t>
        </is>
      </c>
      <c r="D768" s="34" t="inlineStr">
        <is>
          <t>Proposed by Source assignment; target 1.3.2 Systems - Signalling &amp; Train Control</t>
        </is>
      </c>
      <c r="E768" s="34" t="inlineStr">
        <is>
          <t>None recorded</t>
        </is>
      </c>
      <c r="F768" s="34" t="inlineStr">
        <is>
          <t>No individual professional decision recorded; Source assignment -- not individually reviewed</t>
        </is>
      </c>
      <c r="G768" s="34" t="inlineStr">
        <is>
          <t>Not individually decided</t>
        </is>
      </c>
      <c r="H768" s="34" t="inlineStr">
        <is>
          <t xml:space="preserve">APPROVED / ONE_TO_ONE; </t>
        </is>
      </c>
      <c r="I768" s="34" t="inlineStr">
        <is>
          <t>New</t>
        </is>
      </c>
      <c r="J768" s="92" t="inlineStr">
        <is>
          <t>08 CROSSWALK</t>
        </is>
      </c>
    </row>
    <row r="769" ht="49" customHeight="1">
      <c r="A769" s="34" t="inlineStr">
        <is>
          <t>R522-v1</t>
        </is>
      </c>
      <c r="B769" s="34" t="inlineStr">
        <is>
          <t>Contractor Programme / SCH-03-162</t>
        </is>
      </c>
      <c r="C769" s="34" t="inlineStr">
        <is>
          <t>WBS Code = 1.3.2</t>
        </is>
      </c>
      <c r="D769" s="34" t="inlineStr">
        <is>
          <t>Proposed by Source assignment; target 1.3.2 Systems - Signalling &amp; Train Control</t>
        </is>
      </c>
      <c r="E769" s="34" t="inlineStr">
        <is>
          <t>None recorded</t>
        </is>
      </c>
      <c r="F769" s="34" t="inlineStr">
        <is>
          <t>No individual professional decision recorded; Source assignment -- not individually reviewed</t>
        </is>
      </c>
      <c r="G769" s="34" t="inlineStr">
        <is>
          <t>Not individually decided</t>
        </is>
      </c>
      <c r="H769" s="34" t="inlineStr">
        <is>
          <t xml:space="preserve">APPROVED / ONE_TO_ONE; </t>
        </is>
      </c>
      <c r="I769" s="34" t="inlineStr">
        <is>
          <t>New</t>
        </is>
      </c>
      <c r="J769" s="92" t="inlineStr">
        <is>
          <t>08 CROSSWALK</t>
        </is>
      </c>
    </row>
    <row r="770" ht="49" customHeight="1">
      <c r="A770" s="34" t="inlineStr">
        <is>
          <t>R525-v1</t>
        </is>
      </c>
      <c r="B770" s="34" t="inlineStr">
        <is>
          <t>Contractor Programme / SCH-03-165</t>
        </is>
      </c>
      <c r="C770" s="34" t="inlineStr">
        <is>
          <t>WBS Code = 1.3.2</t>
        </is>
      </c>
      <c r="D770" s="34" t="inlineStr">
        <is>
          <t>Proposed by Source assignment; target 1.3.2 Systems - Signalling &amp; Train Control</t>
        </is>
      </c>
      <c r="E770" s="34" t="inlineStr">
        <is>
          <t>None recorded</t>
        </is>
      </c>
      <c r="F770" s="34" t="inlineStr">
        <is>
          <t>No individual professional decision recorded; Source assignment -- not individually reviewed</t>
        </is>
      </c>
      <c r="G770" s="34" t="inlineStr">
        <is>
          <t>Not individually decided</t>
        </is>
      </c>
      <c r="H770" s="34" t="inlineStr">
        <is>
          <t xml:space="preserve">APPROVED / ONE_TO_ONE; </t>
        </is>
      </c>
      <c r="I770" s="34" t="inlineStr">
        <is>
          <t>New</t>
        </is>
      </c>
      <c r="J770" s="92" t="inlineStr">
        <is>
          <t>08 CROSSWALK</t>
        </is>
      </c>
    </row>
    <row r="771" ht="49" customHeight="1">
      <c r="A771" s="34" t="inlineStr">
        <is>
          <t>R528-v1</t>
        </is>
      </c>
      <c r="B771" s="34" t="inlineStr">
        <is>
          <t>Contractor Programme / SCH-03-168</t>
        </is>
      </c>
      <c r="C771" s="34" t="inlineStr">
        <is>
          <t>WBS Code = 1.3.2</t>
        </is>
      </c>
      <c r="D771" s="34" t="inlineStr">
        <is>
          <t>Proposed by Source assignment; target 1.3.2 Systems - Signalling &amp; Train Control</t>
        </is>
      </c>
      <c r="E771" s="34" t="inlineStr">
        <is>
          <t>None recorded</t>
        </is>
      </c>
      <c r="F771" s="34" t="inlineStr">
        <is>
          <t>No individual professional decision recorded; Source assignment -- not individually reviewed</t>
        </is>
      </c>
      <c r="G771" s="34" t="inlineStr">
        <is>
          <t>Not individually decided</t>
        </is>
      </c>
      <c r="H771" s="34" t="inlineStr">
        <is>
          <t xml:space="preserve">APPROVED / ONE_TO_ONE; </t>
        </is>
      </c>
      <c r="I771" s="34" t="inlineStr">
        <is>
          <t>New</t>
        </is>
      </c>
      <c r="J771" s="92" t="inlineStr">
        <is>
          <t>08 CROSSWALK</t>
        </is>
      </c>
    </row>
    <row r="772" ht="49" customHeight="1">
      <c r="A772" s="34" t="inlineStr">
        <is>
          <t>R531-v1</t>
        </is>
      </c>
      <c r="B772" s="34" t="inlineStr">
        <is>
          <t>Contractor Programme / SCH-03-171</t>
        </is>
      </c>
      <c r="C772" s="34" t="inlineStr">
        <is>
          <t>WBS Code = 1.3.2</t>
        </is>
      </c>
      <c r="D772" s="34" t="inlineStr">
        <is>
          <t>Proposed by Source assignment; target 1.3.2 Systems - Signalling &amp; Train Control</t>
        </is>
      </c>
      <c r="E772" s="34" t="inlineStr">
        <is>
          <t>None recorded</t>
        </is>
      </c>
      <c r="F772" s="34" t="inlineStr">
        <is>
          <t>No individual professional decision recorded; Source assignment -- not individually reviewed</t>
        </is>
      </c>
      <c r="G772" s="34" t="inlineStr">
        <is>
          <t>Not individually decided</t>
        </is>
      </c>
      <c r="H772" s="34" t="inlineStr">
        <is>
          <t xml:space="preserve">APPROVED / ONE_TO_ONE; </t>
        </is>
      </c>
      <c r="I772" s="34" t="inlineStr">
        <is>
          <t>New</t>
        </is>
      </c>
      <c r="J772" s="92" t="inlineStr">
        <is>
          <t>08 CROSSWALK</t>
        </is>
      </c>
    </row>
    <row r="773" ht="49" customHeight="1">
      <c r="A773" s="34" t="inlineStr">
        <is>
          <t>R534-v1</t>
        </is>
      </c>
      <c r="B773" s="34" t="inlineStr">
        <is>
          <t>Contractor Programme / SCH-03-174</t>
        </is>
      </c>
      <c r="C773" s="34" t="inlineStr">
        <is>
          <t>WBS Code = 1.3.2</t>
        </is>
      </c>
      <c r="D773" s="34" t="inlineStr">
        <is>
          <t>Proposed by Source assignment; target 1.3.2 Systems - Signalling &amp; Train Control</t>
        </is>
      </c>
      <c r="E773" s="34" t="inlineStr">
        <is>
          <t>None recorded</t>
        </is>
      </c>
      <c r="F773" s="34" t="inlineStr">
        <is>
          <t>No individual professional decision recorded; Source assignment -- not individually reviewed</t>
        </is>
      </c>
      <c r="G773" s="34" t="inlineStr">
        <is>
          <t>Not individually decided</t>
        </is>
      </c>
      <c r="H773" s="34" t="inlineStr">
        <is>
          <t xml:space="preserve">APPROVED / ONE_TO_ONE; </t>
        </is>
      </c>
      <c r="I773" s="34" t="inlineStr">
        <is>
          <t>New</t>
        </is>
      </c>
      <c r="J773" s="92" t="inlineStr">
        <is>
          <t>08 CROSSWALK</t>
        </is>
      </c>
    </row>
    <row r="774" ht="49" customHeight="1">
      <c r="A774" s="34" t="inlineStr">
        <is>
          <t>R537-v1</t>
        </is>
      </c>
      <c r="B774" s="34" t="inlineStr">
        <is>
          <t>Contractor Programme / SCH-03-177</t>
        </is>
      </c>
      <c r="C774" s="34" t="inlineStr">
        <is>
          <t>WBS Code = 1.3.2</t>
        </is>
      </c>
      <c r="D774" s="34" t="inlineStr">
        <is>
          <t>Proposed by Source assignment; target 1.3.2 Systems - Signalling &amp; Train Control</t>
        </is>
      </c>
      <c r="E774" s="34" t="inlineStr">
        <is>
          <t>None recorded</t>
        </is>
      </c>
      <c r="F774" s="34" t="inlineStr">
        <is>
          <t>No individual professional decision recorded; Source assignment -- not individually reviewed</t>
        </is>
      </c>
      <c r="G774" s="34" t="inlineStr">
        <is>
          <t>Not individually decided</t>
        </is>
      </c>
      <c r="H774" s="34" t="inlineStr">
        <is>
          <t xml:space="preserve">APPROVED / ONE_TO_ONE; </t>
        </is>
      </c>
      <c r="I774" s="34" t="inlineStr">
        <is>
          <t>New</t>
        </is>
      </c>
      <c r="J774" s="92" t="inlineStr">
        <is>
          <t>08 CROSSWALK</t>
        </is>
      </c>
    </row>
    <row r="775" ht="49" customHeight="1">
      <c r="A775" s="34" t="inlineStr">
        <is>
          <t>R540-v1</t>
        </is>
      </c>
      <c r="B775" s="34" t="inlineStr">
        <is>
          <t>Contractor Programme / SCH-03-180</t>
        </is>
      </c>
      <c r="C775" s="34" t="inlineStr">
        <is>
          <t>WBS Code = 1.3.2</t>
        </is>
      </c>
      <c r="D775" s="34" t="inlineStr">
        <is>
          <t>Proposed by Source assignment; target 1.3.2 Systems - Signalling &amp; Train Control</t>
        </is>
      </c>
      <c r="E775" s="34" t="inlineStr">
        <is>
          <t>None recorded</t>
        </is>
      </c>
      <c r="F775" s="34" t="inlineStr">
        <is>
          <t>No individual professional decision recorded; Source assignment -- not individually reviewed</t>
        </is>
      </c>
      <c r="G775" s="34" t="inlineStr">
        <is>
          <t>Not individually decided</t>
        </is>
      </c>
      <c r="H775" s="34" t="inlineStr">
        <is>
          <t xml:space="preserve">APPROVED / ONE_TO_ONE; </t>
        </is>
      </c>
      <c r="I775" s="34" t="inlineStr">
        <is>
          <t>New</t>
        </is>
      </c>
      <c r="J775" s="92" t="inlineStr">
        <is>
          <t>08 CROSSWALK</t>
        </is>
      </c>
    </row>
    <row r="776" ht="49" customHeight="1">
      <c r="A776" s="34" t="inlineStr">
        <is>
          <t>R1244-v1</t>
        </is>
      </c>
      <c r="B776" s="34" t="inlineStr">
        <is>
          <t>Cost &amp; Forecast Control Accounts / CST-03-002</t>
        </is>
      </c>
      <c r="C776" s="34" t="inlineStr">
        <is>
          <t>Cost Account = CA-3002; WBS Code = 1.3.2</t>
        </is>
      </c>
      <c r="D776" s="34" t="inlineStr">
        <is>
          <t>Proposed by Source assignment; target 1.3.2 Systems - Signalling &amp; Train Control</t>
        </is>
      </c>
      <c r="E776" s="34" t="inlineStr">
        <is>
          <t>None recorded</t>
        </is>
      </c>
      <c r="F776" s="34" t="inlineStr">
        <is>
          <t>No individual professional decision recorded; Source assignment -- not individually reviewed</t>
        </is>
      </c>
      <c r="G776" s="34" t="inlineStr">
        <is>
          <t>Not individually decided</t>
        </is>
      </c>
      <c r="H776" s="34" t="inlineStr">
        <is>
          <t xml:space="preserve">APPROVED / ONE_TO_ONE; </t>
        </is>
      </c>
      <c r="I776" s="34" t="inlineStr">
        <is>
          <t>New</t>
        </is>
      </c>
      <c r="J776" s="92" t="inlineStr">
        <is>
          <t>08 CROSSWALK</t>
        </is>
      </c>
    </row>
    <row r="777" ht="49" customHeight="1">
      <c r="A777" s="34" t="inlineStr">
        <is>
          <t>R1248-v1</t>
        </is>
      </c>
      <c r="B777" s="34" t="inlineStr">
        <is>
          <t>Cost &amp; Forecast Control Accounts / CST-03-006</t>
        </is>
      </c>
      <c r="C777" s="34" t="inlineStr">
        <is>
          <t>Cost Account = CA-3006; WBS Code = 1.3.2</t>
        </is>
      </c>
      <c r="D777" s="34" t="inlineStr">
        <is>
          <t>Proposed by Source assignment; target 1.3.2 Systems - Signalling &amp; Train Control</t>
        </is>
      </c>
      <c r="E777" s="34" t="inlineStr">
        <is>
          <t>None recorded</t>
        </is>
      </c>
      <c r="F777" s="34" t="inlineStr">
        <is>
          <t>No individual professional decision recorded; Source assignment -- not individually reviewed</t>
        </is>
      </c>
      <c r="G777" s="34" t="inlineStr">
        <is>
          <t>Not individually decided</t>
        </is>
      </c>
      <c r="H777" s="34" t="inlineStr">
        <is>
          <t xml:space="preserve">APPROVED / ONE_TO_ONE; </t>
        </is>
      </c>
      <c r="I777" s="34" t="inlineStr">
        <is>
          <t>New</t>
        </is>
      </c>
      <c r="J777" s="92" t="inlineStr">
        <is>
          <t>08 CROSSWALK</t>
        </is>
      </c>
    </row>
    <row r="778" ht="49" customHeight="1">
      <c r="A778" s="34" t="inlineStr">
        <is>
          <t>R1250-v1</t>
        </is>
      </c>
      <c r="B778" s="34" t="inlineStr">
        <is>
          <t>Cost &amp; Forecast Control Accounts / CST-03-008</t>
        </is>
      </c>
      <c r="C778" s="34" t="inlineStr">
        <is>
          <t>Cost Account = CA-3008; WBS Code = 1.3.2</t>
        </is>
      </c>
      <c r="D778" s="34" t="inlineStr">
        <is>
          <t>Proposed by Source assignment; target 1.3.2 Systems - Signalling &amp; Train Control</t>
        </is>
      </c>
      <c r="E778" s="34" t="inlineStr">
        <is>
          <t>None recorded</t>
        </is>
      </c>
      <c r="F778" s="34" t="inlineStr">
        <is>
          <t>No individual professional decision recorded; Source assignment -- not individually reviewed</t>
        </is>
      </c>
      <c r="G778" s="34" t="inlineStr">
        <is>
          <t>Not individually decided</t>
        </is>
      </c>
      <c r="H778" s="34" t="inlineStr">
        <is>
          <t xml:space="preserve">APPROVED / ONE_TO_ONE; </t>
        </is>
      </c>
      <c r="I778" s="34" t="inlineStr">
        <is>
          <t>New</t>
        </is>
      </c>
      <c r="J778" s="92" t="inlineStr">
        <is>
          <t>08 CROSSWALK</t>
        </is>
      </c>
    </row>
    <row r="779" ht="49" customHeight="1">
      <c r="A779" s="34" t="inlineStr">
        <is>
          <t>R1252-v1</t>
        </is>
      </c>
      <c r="B779" s="34" t="inlineStr">
        <is>
          <t>Cost &amp; Forecast Control Accounts / CST-03-010</t>
        </is>
      </c>
      <c r="C779" s="34" t="inlineStr">
        <is>
          <t>Cost Account = CA-3010; WBS Code = 1.3.2</t>
        </is>
      </c>
      <c r="D779" s="34" t="inlineStr">
        <is>
          <t>Proposed by Source assignment; target 1.3.2 Systems - Signalling &amp; Train Control</t>
        </is>
      </c>
      <c r="E779" s="34" t="inlineStr">
        <is>
          <t>None recorded</t>
        </is>
      </c>
      <c r="F779" s="34" t="inlineStr">
        <is>
          <t>No individual professional decision recorded; Source assignment -- not individually reviewed</t>
        </is>
      </c>
      <c r="G779" s="34" t="inlineStr">
        <is>
          <t>Not individually decided</t>
        </is>
      </c>
      <c r="H779" s="34" t="inlineStr">
        <is>
          <t xml:space="preserve">APPROVED / ONE_TO_ONE; </t>
        </is>
      </c>
      <c r="I779" s="34" t="inlineStr">
        <is>
          <t>New</t>
        </is>
      </c>
      <c r="J779" s="92" t="inlineStr">
        <is>
          <t>08 CROSSWALK</t>
        </is>
      </c>
    </row>
    <row r="780" ht="49" customHeight="1">
      <c r="A780" s="34" t="inlineStr">
        <is>
          <t>R1254-v1</t>
        </is>
      </c>
      <c r="B780" s="34" t="inlineStr">
        <is>
          <t>Cost &amp; Forecast Control Accounts / CST-03-012</t>
        </is>
      </c>
      <c r="C780" s="34" t="inlineStr">
        <is>
          <t>Cost Account = CA-3012; WBS Code = 1.3.2</t>
        </is>
      </c>
      <c r="D780" s="34" t="inlineStr">
        <is>
          <t>Proposed by Source assignment; target 1.3.2 Systems - Signalling &amp; Train Control</t>
        </is>
      </c>
      <c r="E780" s="34" t="inlineStr">
        <is>
          <t>None recorded</t>
        </is>
      </c>
      <c r="F780" s="34" t="inlineStr">
        <is>
          <t>No individual professional decision recorded; Source assignment -- not individually reviewed</t>
        </is>
      </c>
      <c r="G780" s="34" t="inlineStr">
        <is>
          <t>Not individually decided</t>
        </is>
      </c>
      <c r="H780" s="34" t="inlineStr">
        <is>
          <t xml:space="preserve">APPROVED / ONE_TO_ONE; </t>
        </is>
      </c>
      <c r="I780" s="34" t="inlineStr">
        <is>
          <t>New</t>
        </is>
      </c>
      <c r="J780" s="92" t="inlineStr">
        <is>
          <t>08 CROSSWALK</t>
        </is>
      </c>
    </row>
    <row r="781" ht="49" customHeight="1">
      <c r="A781" s="34" t="inlineStr">
        <is>
          <t>R1256-v1</t>
        </is>
      </c>
      <c r="B781" s="34" t="inlineStr">
        <is>
          <t>Cost &amp; Forecast Control Accounts / CST-03-014</t>
        </is>
      </c>
      <c r="C781" s="34" t="inlineStr">
        <is>
          <t>Cost Account = CA-3014; WBS Code = 1.3.2</t>
        </is>
      </c>
      <c r="D781" s="34" t="inlineStr">
        <is>
          <t>Proposed by Source assignment; target 1.3.2 Systems - Signalling &amp; Train Control</t>
        </is>
      </c>
      <c r="E781" s="34" t="inlineStr">
        <is>
          <t>None recorded</t>
        </is>
      </c>
      <c r="F781" s="34" t="inlineStr">
        <is>
          <t>No individual professional decision recorded; Source assignment -- not individually reviewed</t>
        </is>
      </c>
      <c r="G781" s="34" t="inlineStr">
        <is>
          <t>Not individually decided</t>
        </is>
      </c>
      <c r="H781" s="34" t="inlineStr">
        <is>
          <t xml:space="preserve">APPROVED / ONE_TO_ONE; </t>
        </is>
      </c>
      <c r="I781" s="34" t="inlineStr">
        <is>
          <t>New</t>
        </is>
      </c>
      <c r="J781" s="92" t="inlineStr">
        <is>
          <t>08 CROSSWALK</t>
        </is>
      </c>
    </row>
    <row r="782" ht="49" customHeight="1">
      <c r="A782" s="34" t="inlineStr">
        <is>
          <t>R1258-v1</t>
        </is>
      </c>
      <c r="B782" s="34" t="inlineStr">
        <is>
          <t>Cost &amp; Forecast Control Accounts / CST-03-016</t>
        </is>
      </c>
      <c r="C782" s="34" t="inlineStr">
        <is>
          <t>Cost Account = CA-3016; WBS Code = 1.3.2</t>
        </is>
      </c>
      <c r="D782" s="34" t="inlineStr">
        <is>
          <t>Proposed by Source assignment; target 1.3.2 Systems - Signalling &amp; Train Control</t>
        </is>
      </c>
      <c r="E782" s="34" t="inlineStr">
        <is>
          <t>None recorded</t>
        </is>
      </c>
      <c r="F782" s="34" t="inlineStr">
        <is>
          <t>No individual professional decision recorded; Source assignment -- not individually reviewed</t>
        </is>
      </c>
      <c r="G782" s="34" t="inlineStr">
        <is>
          <t>Not individually decided</t>
        </is>
      </c>
      <c r="H782" s="34" t="inlineStr">
        <is>
          <t xml:space="preserve">APPROVED / ONE_TO_ONE; </t>
        </is>
      </c>
      <c r="I782" s="34" t="inlineStr">
        <is>
          <t>New</t>
        </is>
      </c>
      <c r="J782" s="92" t="inlineStr">
        <is>
          <t>08 CROSSWALK</t>
        </is>
      </c>
    </row>
    <row r="783" ht="49" customHeight="1">
      <c r="A783" s="34" t="inlineStr">
        <is>
          <t>R1260-v1</t>
        </is>
      </c>
      <c r="B783" s="34" t="inlineStr">
        <is>
          <t>Cost &amp; Forecast Control Accounts / CST-03-018</t>
        </is>
      </c>
      <c r="C783" s="34" t="inlineStr">
        <is>
          <t>Cost Account = CA-3018; WBS Code = 1.3.2</t>
        </is>
      </c>
      <c r="D783" s="34" t="inlineStr">
        <is>
          <t>Proposed by Source assignment; target 1.3.2 Systems - Signalling &amp; Train Control</t>
        </is>
      </c>
      <c r="E783" s="34" t="inlineStr">
        <is>
          <t>None recorded</t>
        </is>
      </c>
      <c r="F783" s="34" t="inlineStr">
        <is>
          <t>No individual professional decision recorded; Source assignment -- not individually reviewed</t>
        </is>
      </c>
      <c r="G783" s="34" t="inlineStr">
        <is>
          <t>Not individually decided</t>
        </is>
      </c>
      <c r="H783" s="34" t="inlineStr">
        <is>
          <t xml:space="preserve">APPROVED / ONE_TO_ONE; </t>
        </is>
      </c>
      <c r="I783" s="34" t="inlineStr">
        <is>
          <t>New</t>
        </is>
      </c>
      <c r="J783" s="92" t="inlineStr">
        <is>
          <t>08 CROSSWALK</t>
        </is>
      </c>
    </row>
    <row r="784" ht="49" customHeight="1">
      <c r="A784" s="34" t="inlineStr">
        <is>
          <t>R1262-v1</t>
        </is>
      </c>
      <c r="B784" s="34" t="inlineStr">
        <is>
          <t>Cost &amp; Forecast Control Accounts / CST-03-020</t>
        </is>
      </c>
      <c r="C784" s="34" t="inlineStr">
        <is>
          <t>Cost Account = CA-3020; WBS Code = 1.3.2</t>
        </is>
      </c>
      <c r="D784" s="34" t="inlineStr">
        <is>
          <t>Proposed by Source assignment; target 1.3.2 Systems - Signalling &amp; Train Control</t>
        </is>
      </c>
      <c r="E784" s="34" t="inlineStr">
        <is>
          <t>None recorded</t>
        </is>
      </c>
      <c r="F784" s="34" t="inlineStr">
        <is>
          <t>No individual professional decision recorded; Source assignment -- not individually reviewed</t>
        </is>
      </c>
      <c r="G784" s="34" t="inlineStr">
        <is>
          <t>Not individually decided</t>
        </is>
      </c>
      <c r="H784" s="34" t="inlineStr">
        <is>
          <t xml:space="preserve">APPROVED / ONE_TO_ONE; </t>
        </is>
      </c>
      <c r="I784" s="34" t="inlineStr">
        <is>
          <t>New</t>
        </is>
      </c>
      <c r="J784" s="92" t="inlineStr">
        <is>
          <t>08 CROSSWALK</t>
        </is>
      </c>
    </row>
    <row r="785" ht="49" customHeight="1">
      <c r="A785" s="34" t="inlineStr">
        <is>
          <t>R1264-v1</t>
        </is>
      </c>
      <c r="B785" s="34" t="inlineStr">
        <is>
          <t>Cost &amp; Forecast Control Accounts / CST-03-022</t>
        </is>
      </c>
      <c r="C785" s="34" t="inlineStr">
        <is>
          <t>Cost Account = CA-3022; WBS Code = 1.3.2</t>
        </is>
      </c>
      <c r="D785" s="34" t="inlineStr">
        <is>
          <t>Proposed by Source assignment; target 1.3.2 Systems - Signalling &amp; Train Control</t>
        </is>
      </c>
      <c r="E785" s="34" t="inlineStr">
        <is>
          <t>None recorded</t>
        </is>
      </c>
      <c r="F785" s="34" t="inlineStr">
        <is>
          <t>No individual professional decision recorded; Source assignment -- not individually reviewed</t>
        </is>
      </c>
      <c r="G785" s="34" t="inlineStr">
        <is>
          <t>Not individually decided</t>
        </is>
      </c>
      <c r="H785" s="34" t="inlineStr">
        <is>
          <t xml:space="preserve">APPROVED / ONE_TO_ONE; </t>
        </is>
      </c>
      <c r="I785" s="34" t="inlineStr">
        <is>
          <t>New</t>
        </is>
      </c>
      <c r="J785" s="92" t="inlineStr">
        <is>
          <t>08 CROSSWALK</t>
        </is>
      </c>
    </row>
    <row r="786" ht="49" customHeight="1">
      <c r="A786" s="34" t="inlineStr">
        <is>
          <t>R1266-v1</t>
        </is>
      </c>
      <c r="B786" s="34" t="inlineStr">
        <is>
          <t>Cost &amp; Forecast Control Accounts / CST-03-024</t>
        </is>
      </c>
      <c r="C786" s="34" t="inlineStr">
        <is>
          <t>Cost Account = CA-3024; WBS Code = 1.3.2</t>
        </is>
      </c>
      <c r="D786" s="34" t="inlineStr">
        <is>
          <t>Proposed by Source assignment; target 1.3.2 Systems - Signalling &amp; Train Control</t>
        </is>
      </c>
      <c r="E786" s="34" t="inlineStr">
        <is>
          <t>None recorded</t>
        </is>
      </c>
      <c r="F786" s="34" t="inlineStr">
        <is>
          <t>No individual professional decision recorded; Source assignment -- not individually reviewed</t>
        </is>
      </c>
      <c r="G786" s="34" t="inlineStr">
        <is>
          <t>Not individually decided</t>
        </is>
      </c>
      <c r="H786" s="34" t="inlineStr">
        <is>
          <t xml:space="preserve">APPROVED / ONE_TO_ONE; </t>
        </is>
      </c>
      <c r="I786" s="34" t="inlineStr">
        <is>
          <t>New</t>
        </is>
      </c>
      <c r="J786" s="92" t="inlineStr">
        <is>
          <t>08 CROSSWALK</t>
        </is>
      </c>
    </row>
    <row r="787" ht="49" customHeight="1">
      <c r="A787" s="34" t="inlineStr">
        <is>
          <t>R1268-v1</t>
        </is>
      </c>
      <c r="B787" s="34" t="inlineStr">
        <is>
          <t>Cost &amp; Forecast Control Accounts / CST-03-026</t>
        </is>
      </c>
      <c r="C787" s="34" t="inlineStr">
        <is>
          <t>Cost Account = CA-3026; WBS Code = 1.3.2</t>
        </is>
      </c>
      <c r="D787" s="34" t="inlineStr">
        <is>
          <t>Proposed by Source assignment; target 1.3.2 Systems - Signalling &amp; Train Control</t>
        </is>
      </c>
      <c r="E787" s="34" t="inlineStr">
        <is>
          <t>None recorded</t>
        </is>
      </c>
      <c r="F787" s="34" t="inlineStr">
        <is>
          <t>No individual professional decision recorded; Source assignment -- not individually reviewed</t>
        </is>
      </c>
      <c r="G787" s="34" t="inlineStr">
        <is>
          <t>Not individually decided</t>
        </is>
      </c>
      <c r="H787" s="34" t="inlineStr">
        <is>
          <t xml:space="preserve">APPROVED / ONE_TO_ONE; </t>
        </is>
      </c>
      <c r="I787" s="34" t="inlineStr">
        <is>
          <t>New</t>
        </is>
      </c>
      <c r="J787" s="92" t="inlineStr">
        <is>
          <t>08 CROSSWALK</t>
        </is>
      </c>
    </row>
    <row r="788" ht="49" customHeight="1">
      <c r="A788" s="34" t="inlineStr">
        <is>
          <t>R1270-v1</t>
        </is>
      </c>
      <c r="B788" s="34" t="inlineStr">
        <is>
          <t>Cost &amp; Forecast Control Accounts / CST-03-028</t>
        </is>
      </c>
      <c r="C788" s="34" t="inlineStr">
        <is>
          <t>Cost Account = CA-3028; WBS Code = 1.3.2</t>
        </is>
      </c>
      <c r="D788" s="34" t="inlineStr">
        <is>
          <t>Proposed by Source assignment; target 1.3.2 Systems - Signalling &amp; Train Control</t>
        </is>
      </c>
      <c r="E788" s="34" t="inlineStr">
        <is>
          <t>None recorded</t>
        </is>
      </c>
      <c r="F788" s="34" t="inlineStr">
        <is>
          <t>No individual professional decision recorded; Source assignment -- not individually reviewed</t>
        </is>
      </c>
      <c r="G788" s="34" t="inlineStr">
        <is>
          <t>Not individually decided</t>
        </is>
      </c>
      <c r="H788" s="34" t="inlineStr">
        <is>
          <t xml:space="preserve">APPROVED / ONE_TO_ONE; </t>
        </is>
      </c>
      <c r="I788" s="34" t="inlineStr">
        <is>
          <t>New</t>
        </is>
      </c>
      <c r="J788" s="92" t="inlineStr">
        <is>
          <t>08 CROSSWALK</t>
        </is>
      </c>
    </row>
    <row r="789" ht="49" customHeight="1">
      <c r="A789" s="34" t="inlineStr">
        <is>
          <t>R1272-v1</t>
        </is>
      </c>
      <c r="B789" s="34" t="inlineStr">
        <is>
          <t>Cost &amp; Forecast Control Accounts / CST-03-030</t>
        </is>
      </c>
      <c r="C789" s="34" t="inlineStr">
        <is>
          <t>Cost Account = CA-3030; WBS Code = 1.3.2</t>
        </is>
      </c>
      <c r="D789" s="34" t="inlineStr">
        <is>
          <t>Proposed by Source assignment; target 1.3.2 Systems - Signalling &amp; Train Control</t>
        </is>
      </c>
      <c r="E789" s="34" t="inlineStr">
        <is>
          <t>None recorded</t>
        </is>
      </c>
      <c r="F789" s="34" t="inlineStr">
        <is>
          <t>No individual professional decision recorded; Source assignment -- not individually reviewed</t>
        </is>
      </c>
      <c r="G789" s="34" t="inlineStr">
        <is>
          <t>Not individually decided</t>
        </is>
      </c>
      <c r="H789" s="34" t="inlineStr">
        <is>
          <t xml:space="preserve">APPROVED / ONE_TO_ONE; </t>
        </is>
      </c>
      <c r="I789" s="34" t="inlineStr">
        <is>
          <t>New</t>
        </is>
      </c>
      <c r="J789" s="92" t="inlineStr">
        <is>
          <t>08 CROSSWALK</t>
        </is>
      </c>
    </row>
    <row r="790" ht="49" customHeight="1">
      <c r="A790" s="34" t="inlineStr">
        <is>
          <t>R1274-v1</t>
        </is>
      </c>
      <c r="B790" s="34" t="inlineStr">
        <is>
          <t>Cost &amp; Forecast Control Accounts / CST-03-032</t>
        </is>
      </c>
      <c r="C790" s="34" t="inlineStr">
        <is>
          <t>Cost Account = CA-3032; WBS Code = 1.3.2</t>
        </is>
      </c>
      <c r="D790" s="34" t="inlineStr">
        <is>
          <t>Proposed by Source assignment; target 1.3.2 Systems - Signalling &amp; Train Control</t>
        </is>
      </c>
      <c r="E790" s="34" t="inlineStr">
        <is>
          <t>None recorded</t>
        </is>
      </c>
      <c r="F790" s="34" t="inlineStr">
        <is>
          <t>No individual professional decision recorded; Source assignment -- not individually reviewed</t>
        </is>
      </c>
      <c r="G790" s="34" t="inlineStr">
        <is>
          <t>Not individually decided</t>
        </is>
      </c>
      <c r="H790" s="34" t="inlineStr">
        <is>
          <t xml:space="preserve">APPROVED / ONE_TO_ONE; </t>
        </is>
      </c>
      <c r="I790" s="34" t="inlineStr">
        <is>
          <t>New</t>
        </is>
      </c>
      <c r="J790" s="92" t="inlineStr">
        <is>
          <t>08 CROSSWALK</t>
        </is>
      </c>
    </row>
    <row r="791" ht="49" customHeight="1">
      <c r="A791" s="34" t="inlineStr">
        <is>
          <t>R1276-v1</t>
        </is>
      </c>
      <c r="B791" s="34" t="inlineStr">
        <is>
          <t>Cost &amp; Forecast Control Accounts / CST-03-034</t>
        </is>
      </c>
      <c r="C791" s="34" t="inlineStr">
        <is>
          <t>Cost Account = CA-3034; WBS Code = 1.3.2</t>
        </is>
      </c>
      <c r="D791" s="34" t="inlineStr">
        <is>
          <t>Proposed by Source assignment; target 1.3.2 Systems - Signalling &amp; Train Control</t>
        </is>
      </c>
      <c r="E791" s="34" t="inlineStr">
        <is>
          <t>None recorded</t>
        </is>
      </c>
      <c r="F791" s="34" t="inlineStr">
        <is>
          <t>No individual professional decision recorded; Source assignment -- not individually reviewed</t>
        </is>
      </c>
      <c r="G791" s="34" t="inlineStr">
        <is>
          <t>Not individually decided</t>
        </is>
      </c>
      <c r="H791" s="34" t="inlineStr">
        <is>
          <t xml:space="preserve">APPROVED / ONE_TO_ONE; </t>
        </is>
      </c>
      <c r="I791" s="34" t="inlineStr">
        <is>
          <t>New</t>
        </is>
      </c>
      <c r="J791" s="92" t="inlineStr">
        <is>
          <t>08 CROSSWALK</t>
        </is>
      </c>
    </row>
    <row r="792" ht="49" customHeight="1">
      <c r="A792" s="34" t="inlineStr">
        <is>
          <t>R1278-v1</t>
        </is>
      </c>
      <c r="B792" s="34" t="inlineStr">
        <is>
          <t>Cost &amp; Forecast Control Accounts / CST-03-036</t>
        </is>
      </c>
      <c r="C792" s="34" t="inlineStr">
        <is>
          <t>Cost Account = CA-3036; WBS Code = 1.3.2</t>
        </is>
      </c>
      <c r="D792" s="34" t="inlineStr">
        <is>
          <t>Proposed by Source assignment; target 1.3.2 Systems - Signalling &amp; Train Control</t>
        </is>
      </c>
      <c r="E792" s="34" t="inlineStr">
        <is>
          <t>None recorded</t>
        </is>
      </c>
      <c r="F792" s="34" t="inlineStr">
        <is>
          <t>No individual professional decision recorded; Source assignment -- not individually reviewed</t>
        </is>
      </c>
      <c r="G792" s="34" t="inlineStr">
        <is>
          <t>Not individually decided</t>
        </is>
      </c>
      <c r="H792" s="34" t="inlineStr">
        <is>
          <t xml:space="preserve">APPROVED / ONE_TO_ONE; </t>
        </is>
      </c>
      <c r="I792" s="34" t="inlineStr">
        <is>
          <t>New</t>
        </is>
      </c>
      <c r="J792" s="92" t="inlineStr">
        <is>
          <t>08 CROSSWALK</t>
        </is>
      </c>
    </row>
    <row r="793" ht="49" customHeight="1">
      <c r="A793" s="34" t="inlineStr">
        <is>
          <t>R1280-v1</t>
        </is>
      </c>
      <c r="B793" s="34" t="inlineStr">
        <is>
          <t>Cost &amp; Forecast Control Accounts / CST-03-038</t>
        </is>
      </c>
      <c r="C793" s="34" t="inlineStr">
        <is>
          <t>Cost Account = CA-3038; WBS Code = 1.3.2</t>
        </is>
      </c>
      <c r="D793" s="34" t="inlineStr">
        <is>
          <t>Proposed by Source assignment; target 1.3.2 Systems - Signalling &amp; Train Control</t>
        </is>
      </c>
      <c r="E793" s="34" t="inlineStr">
        <is>
          <t>None recorded</t>
        </is>
      </c>
      <c r="F793" s="34" t="inlineStr">
        <is>
          <t>No individual professional decision recorded; Source assignment -- not individually reviewed</t>
        </is>
      </c>
      <c r="G793" s="34" t="inlineStr">
        <is>
          <t>Not individually decided</t>
        </is>
      </c>
      <c r="H793" s="34" t="inlineStr">
        <is>
          <t xml:space="preserve">APPROVED / ONE_TO_ONE; </t>
        </is>
      </c>
      <c r="I793" s="34" t="inlineStr">
        <is>
          <t>New</t>
        </is>
      </c>
      <c r="J793" s="92" t="inlineStr">
        <is>
          <t>08 CROSSWALK</t>
        </is>
      </c>
    </row>
    <row r="794" ht="49" customHeight="1">
      <c r="A794" s="34" t="inlineStr">
        <is>
          <t>R1282-v1</t>
        </is>
      </c>
      <c r="B794" s="34" t="inlineStr">
        <is>
          <t>Cost &amp; Forecast Control Accounts / CST-03-040</t>
        </is>
      </c>
      <c r="C794" s="34" t="inlineStr">
        <is>
          <t>Cost Account = CA-3040; WBS Code = 1.3.2</t>
        </is>
      </c>
      <c r="D794" s="34" t="inlineStr">
        <is>
          <t>Proposed by Source assignment; target 1.3.2 Systems - Signalling &amp; Train Control</t>
        </is>
      </c>
      <c r="E794" s="34" t="inlineStr">
        <is>
          <t>None recorded</t>
        </is>
      </c>
      <c r="F794" s="34" t="inlineStr">
        <is>
          <t>No individual professional decision recorded; Source assignment -- not individually reviewed</t>
        </is>
      </c>
      <c r="G794" s="34" t="inlineStr">
        <is>
          <t>Not individually decided</t>
        </is>
      </c>
      <c r="H794" s="34" t="inlineStr">
        <is>
          <t xml:space="preserve">APPROVED / ONE_TO_ONE; </t>
        </is>
      </c>
      <c r="I794" s="34" t="inlineStr">
        <is>
          <t>New</t>
        </is>
      </c>
      <c r="J794" s="92" t="inlineStr">
        <is>
          <t>08 CROSSWALK</t>
        </is>
      </c>
    </row>
    <row r="795" ht="49" customHeight="1">
      <c r="A795" s="34" t="inlineStr">
        <is>
          <t>R1284-v1</t>
        </is>
      </c>
      <c r="B795" s="34" t="inlineStr">
        <is>
          <t>Cost &amp; Forecast Control Accounts / CST-03-042</t>
        </is>
      </c>
      <c r="C795" s="34" t="inlineStr">
        <is>
          <t>Cost Account = CA-3042; WBS Code = 1.3.2</t>
        </is>
      </c>
      <c r="D795" s="34" t="inlineStr">
        <is>
          <t>Proposed by Source assignment; target 1.3.2 Systems - Signalling &amp; Train Control</t>
        </is>
      </c>
      <c r="E795" s="34" t="inlineStr">
        <is>
          <t>None recorded</t>
        </is>
      </c>
      <c r="F795" s="34" t="inlineStr">
        <is>
          <t>No individual professional decision recorded; Source assignment -- not individually reviewed</t>
        </is>
      </c>
      <c r="G795" s="34" t="inlineStr">
        <is>
          <t>Not individually decided</t>
        </is>
      </c>
      <c r="H795" s="34" t="inlineStr">
        <is>
          <t xml:space="preserve">APPROVED / ONE_TO_ONE; </t>
        </is>
      </c>
      <c r="I795" s="34" t="inlineStr">
        <is>
          <t>New</t>
        </is>
      </c>
      <c r="J795" s="92" t="inlineStr">
        <is>
          <t>08 CROSSWALK</t>
        </is>
      </c>
    </row>
    <row r="796" ht="49" customHeight="1">
      <c r="A796" s="34" t="inlineStr">
        <is>
          <t>R1286-v1</t>
        </is>
      </c>
      <c r="B796" s="34" t="inlineStr">
        <is>
          <t>Cost &amp; Forecast Control Accounts / CST-03-044</t>
        </is>
      </c>
      <c r="C796" s="34" t="inlineStr">
        <is>
          <t>Cost Account = CA-3044; WBS Code = 1.3.2</t>
        </is>
      </c>
      <c r="D796" s="34" t="inlineStr">
        <is>
          <t>Proposed by Source assignment; target 1.3.2 Systems - Signalling &amp; Train Control</t>
        </is>
      </c>
      <c r="E796" s="34" t="inlineStr">
        <is>
          <t>None recorded</t>
        </is>
      </c>
      <c r="F796" s="34" t="inlineStr">
        <is>
          <t>No individual professional decision recorded; Source assignment -- not individually reviewed</t>
        </is>
      </c>
      <c r="G796" s="34" t="inlineStr">
        <is>
          <t>Not individually decided</t>
        </is>
      </c>
      <c r="H796" s="34" t="inlineStr">
        <is>
          <t xml:space="preserve">APPROVED / ONE_TO_ONE; </t>
        </is>
      </c>
      <c r="I796" s="34" t="inlineStr">
        <is>
          <t>New</t>
        </is>
      </c>
      <c r="J796" s="92" t="inlineStr">
        <is>
          <t>08 CROSSWALK</t>
        </is>
      </c>
    </row>
    <row r="797" ht="49" customHeight="1">
      <c r="A797" s="34" t="inlineStr">
        <is>
          <t>R1288-v1</t>
        </is>
      </c>
      <c r="B797" s="34" t="inlineStr">
        <is>
          <t>Cost &amp; Forecast Control Accounts / CST-03-046</t>
        </is>
      </c>
      <c r="C797" s="34" t="inlineStr">
        <is>
          <t>Cost Account = CA-3046; WBS Code = 1.3.2</t>
        </is>
      </c>
      <c r="D797" s="34" t="inlineStr">
        <is>
          <t>Proposed by Source assignment; target 1.3.2 Systems - Signalling &amp; Train Control</t>
        </is>
      </c>
      <c r="E797" s="34" t="inlineStr">
        <is>
          <t>None recorded</t>
        </is>
      </c>
      <c r="F797" s="34" t="inlineStr">
        <is>
          <t>No individual professional decision recorded; Source assignment -- not individually reviewed</t>
        </is>
      </c>
      <c r="G797" s="34" t="inlineStr">
        <is>
          <t>Not individually decided</t>
        </is>
      </c>
      <c r="H797" s="34" t="inlineStr">
        <is>
          <t xml:space="preserve">APPROVED / ONE_TO_ONE; </t>
        </is>
      </c>
      <c r="I797" s="34" t="inlineStr">
        <is>
          <t>New</t>
        </is>
      </c>
      <c r="J797" s="92" t="inlineStr">
        <is>
          <t>08 CROSSWALK</t>
        </is>
      </c>
    </row>
    <row r="798" ht="49" customHeight="1">
      <c r="A798" s="34" t="inlineStr">
        <is>
          <t>R1290-v1</t>
        </is>
      </c>
      <c r="B798" s="34" t="inlineStr">
        <is>
          <t>Cost &amp; Forecast Control Accounts / CST-03-048</t>
        </is>
      </c>
      <c r="C798" s="34" t="inlineStr">
        <is>
          <t>Cost Account = CA-3048; WBS Code = 1.3.2</t>
        </is>
      </c>
      <c r="D798" s="34" t="inlineStr">
        <is>
          <t>Proposed by Source assignment; target 1.3.2 Systems - Signalling &amp; Train Control</t>
        </is>
      </c>
      <c r="E798" s="34" t="inlineStr">
        <is>
          <t>None recorded</t>
        </is>
      </c>
      <c r="F798" s="34" t="inlineStr">
        <is>
          <t>No individual professional decision recorded; Source assignment -- not individually reviewed</t>
        </is>
      </c>
      <c r="G798" s="34" t="inlineStr">
        <is>
          <t>Not individually decided</t>
        </is>
      </c>
      <c r="H798" s="34" t="inlineStr">
        <is>
          <t xml:space="preserve">APPROVED / ONE_TO_ONE; </t>
        </is>
      </c>
      <c r="I798" s="34" t="inlineStr">
        <is>
          <t>New</t>
        </is>
      </c>
      <c r="J798" s="92" t="inlineStr">
        <is>
          <t>08 CROSSWALK</t>
        </is>
      </c>
    </row>
    <row r="799" ht="49" customHeight="1">
      <c r="A799" s="34" t="inlineStr">
        <is>
          <t>R1292-v1</t>
        </is>
      </c>
      <c r="B799" s="34" t="inlineStr">
        <is>
          <t>Cost &amp; Forecast Control Accounts / CST-03-050</t>
        </is>
      </c>
      <c r="C799" s="34" t="inlineStr">
        <is>
          <t>Cost Account = CA-3050; WBS Code = 1.3.2</t>
        </is>
      </c>
      <c r="D799" s="34" t="inlineStr">
        <is>
          <t>Proposed by Source assignment; target 1.3.2 Systems - Signalling &amp; Train Control</t>
        </is>
      </c>
      <c r="E799" s="34" t="inlineStr">
        <is>
          <t>None recorded</t>
        </is>
      </c>
      <c r="F799" s="34" t="inlineStr">
        <is>
          <t>No individual professional decision recorded; Source assignment -- not individually reviewed</t>
        </is>
      </c>
      <c r="G799" s="34" t="inlineStr">
        <is>
          <t>Not individually decided</t>
        </is>
      </c>
      <c r="H799" s="34" t="inlineStr">
        <is>
          <t xml:space="preserve">APPROVED / ONE_TO_ONE; </t>
        </is>
      </c>
      <c r="I799" s="34" t="inlineStr">
        <is>
          <t>New</t>
        </is>
      </c>
      <c r="J799" s="92" t="inlineStr">
        <is>
          <t>08 CROSSWALK</t>
        </is>
      </c>
    </row>
    <row r="800" ht="49" customHeight="1">
      <c r="A800" s="34" t="inlineStr">
        <is>
          <t>R1294-v1</t>
        </is>
      </c>
      <c r="B800" s="34" t="inlineStr">
        <is>
          <t>Cost &amp; Forecast Control Accounts / CST-03-052</t>
        </is>
      </c>
      <c r="C800" s="34" t="inlineStr">
        <is>
          <t>Cost Account = CA-3052; WBS Code = 1.3.2</t>
        </is>
      </c>
      <c r="D800" s="34" t="inlineStr">
        <is>
          <t>Proposed by Source assignment; target 1.3.2 Systems - Signalling &amp; Train Control</t>
        </is>
      </c>
      <c r="E800" s="34" t="inlineStr">
        <is>
          <t>None recorded</t>
        </is>
      </c>
      <c r="F800" s="34" t="inlineStr">
        <is>
          <t>No individual professional decision recorded; Source assignment -- not individually reviewed</t>
        </is>
      </c>
      <c r="G800" s="34" t="inlineStr">
        <is>
          <t>Not individually decided</t>
        </is>
      </c>
      <c r="H800" s="34" t="inlineStr">
        <is>
          <t xml:space="preserve">APPROVED / ONE_TO_ONE; </t>
        </is>
      </c>
      <c r="I800" s="34" t="inlineStr">
        <is>
          <t>New</t>
        </is>
      </c>
      <c r="J800" s="92" t="inlineStr">
        <is>
          <t>08 CROSSWALK</t>
        </is>
      </c>
    </row>
    <row r="801" ht="49" customHeight="1">
      <c r="A801" s="34" t="inlineStr">
        <is>
          <t>R1296-v1</t>
        </is>
      </c>
      <c r="B801" s="34" t="inlineStr">
        <is>
          <t>Cost &amp; Forecast Control Accounts / CST-03-054</t>
        </is>
      </c>
      <c r="C801" s="34" t="inlineStr">
        <is>
          <t>Cost Account = CA-3054; WBS Code = 1.3.2</t>
        </is>
      </c>
      <c r="D801" s="34" t="inlineStr">
        <is>
          <t>Proposed by Source assignment; target 1.3.2 Systems - Signalling &amp; Train Control</t>
        </is>
      </c>
      <c r="E801" s="34" t="inlineStr">
        <is>
          <t>None recorded</t>
        </is>
      </c>
      <c r="F801" s="34" t="inlineStr">
        <is>
          <t>No individual professional decision recorded; Source assignment -- not individually reviewed</t>
        </is>
      </c>
      <c r="G801" s="34" t="inlineStr">
        <is>
          <t>Not individually decided</t>
        </is>
      </c>
      <c r="H801" s="34" t="inlineStr">
        <is>
          <t xml:space="preserve">APPROVED / ONE_TO_ONE; </t>
        </is>
      </c>
      <c r="I801" s="34" t="inlineStr">
        <is>
          <t>New</t>
        </is>
      </c>
      <c r="J801" s="92" t="inlineStr">
        <is>
          <t>08 CROSSWALK</t>
        </is>
      </c>
    </row>
    <row r="802" ht="49" customHeight="1">
      <c r="A802" s="34" t="inlineStr">
        <is>
          <t>R1298-v1</t>
        </is>
      </c>
      <c r="B802" s="34" t="inlineStr">
        <is>
          <t>Cost &amp; Forecast Control Accounts / CST-03-056</t>
        </is>
      </c>
      <c r="C802" s="34" t="inlineStr">
        <is>
          <t>Cost Account = CA-3056; WBS Code = 1.3.2</t>
        </is>
      </c>
      <c r="D802" s="34" t="inlineStr">
        <is>
          <t>Proposed by Source assignment; target 1.3.2 Systems - Signalling &amp; Train Control</t>
        </is>
      </c>
      <c r="E802" s="34" t="inlineStr">
        <is>
          <t>None recorded</t>
        </is>
      </c>
      <c r="F802" s="34" t="inlineStr">
        <is>
          <t>No individual professional decision recorded; Source assignment -- not individually reviewed</t>
        </is>
      </c>
      <c r="G802" s="34" t="inlineStr">
        <is>
          <t>Not individually decided</t>
        </is>
      </c>
      <c r="H802" s="34" t="inlineStr">
        <is>
          <t xml:space="preserve">APPROVED / ONE_TO_ONE; </t>
        </is>
      </c>
      <c r="I802" s="34" t="inlineStr">
        <is>
          <t>New</t>
        </is>
      </c>
      <c r="J802" s="92" t="inlineStr">
        <is>
          <t>08 CROSSWALK</t>
        </is>
      </c>
    </row>
    <row r="803" ht="49" customHeight="1">
      <c r="A803" s="34" t="inlineStr">
        <is>
          <t>R1300-v1</t>
        </is>
      </c>
      <c r="B803" s="34" t="inlineStr">
        <is>
          <t>Cost &amp; Forecast Control Accounts / CST-03-058</t>
        </is>
      </c>
      <c r="C803" s="34" t="inlineStr">
        <is>
          <t>Cost Account = CA-3058; WBS Code = 1.3.2</t>
        </is>
      </c>
      <c r="D803" s="34" t="inlineStr">
        <is>
          <t>Proposed by Source assignment; target 1.3.2 Systems - Signalling &amp; Train Control</t>
        </is>
      </c>
      <c r="E803" s="34" t="inlineStr">
        <is>
          <t>None recorded</t>
        </is>
      </c>
      <c r="F803" s="34" t="inlineStr">
        <is>
          <t>No individual professional decision recorded; Source assignment -- not individually reviewed</t>
        </is>
      </c>
      <c r="G803" s="34" t="inlineStr">
        <is>
          <t>Not individually decided</t>
        </is>
      </c>
      <c r="H803" s="34" t="inlineStr">
        <is>
          <t xml:space="preserve">APPROVED / ONE_TO_ONE; </t>
        </is>
      </c>
      <c r="I803" s="34" t="inlineStr">
        <is>
          <t>New</t>
        </is>
      </c>
      <c r="J803" s="92" t="inlineStr">
        <is>
          <t>08 CROSSWALK</t>
        </is>
      </c>
    </row>
    <row r="804" ht="49" customHeight="1">
      <c r="A804" s="34" t="inlineStr">
        <is>
          <t>R1302-v1</t>
        </is>
      </c>
      <c r="B804" s="34" t="inlineStr">
        <is>
          <t>Cost &amp; Forecast Control Accounts / CST-03-060</t>
        </is>
      </c>
      <c r="C804" s="34" t="inlineStr">
        <is>
          <t>Cost Account = CA-3060; WBS Code = 1.3.2</t>
        </is>
      </c>
      <c r="D804" s="34" t="inlineStr">
        <is>
          <t>Proposed by Source assignment; target 1.3.2 Systems - Signalling &amp; Train Control</t>
        </is>
      </c>
      <c r="E804" s="34" t="inlineStr">
        <is>
          <t>None recorded</t>
        </is>
      </c>
      <c r="F804" s="34" t="inlineStr">
        <is>
          <t>No individual professional decision recorded; Source assignment -- not individually reviewed</t>
        </is>
      </c>
      <c r="G804" s="34" t="inlineStr">
        <is>
          <t>Not individually decided</t>
        </is>
      </c>
      <c r="H804" s="34" t="inlineStr">
        <is>
          <t xml:space="preserve">APPROVED / ONE_TO_ONE; </t>
        </is>
      </c>
      <c r="I804" s="34" t="inlineStr">
        <is>
          <t>New</t>
        </is>
      </c>
      <c r="J804" s="92" t="inlineStr">
        <is>
          <t>08 CROSSWALK</t>
        </is>
      </c>
    </row>
    <row r="805" ht="49" customHeight="1">
      <c r="A805" s="34" t="inlineStr">
        <is>
          <t>R1304-v1</t>
        </is>
      </c>
      <c r="B805" s="34" t="inlineStr">
        <is>
          <t>Cost &amp; Forecast Control Accounts / CST-03-062</t>
        </is>
      </c>
      <c r="C805" s="34" t="inlineStr">
        <is>
          <t>Cost Account = CA-3062; WBS Code = 1.3.2</t>
        </is>
      </c>
      <c r="D805" s="34" t="inlineStr">
        <is>
          <t>Proposed by Source assignment; target 1.3.2 Systems - Signalling &amp; Train Control</t>
        </is>
      </c>
      <c r="E805" s="34" t="inlineStr">
        <is>
          <t>None recorded</t>
        </is>
      </c>
      <c r="F805" s="34" t="inlineStr">
        <is>
          <t>No individual professional decision recorded; Source assignment -- not individually reviewed</t>
        </is>
      </c>
      <c r="G805" s="34" t="inlineStr">
        <is>
          <t>Not individually decided</t>
        </is>
      </c>
      <c r="H805" s="34" t="inlineStr">
        <is>
          <t xml:space="preserve">APPROVED / ONE_TO_ONE; </t>
        </is>
      </c>
      <c r="I805" s="34" t="inlineStr">
        <is>
          <t>New</t>
        </is>
      </c>
      <c r="J805" s="92" t="inlineStr">
        <is>
          <t>08 CROSSWALK</t>
        </is>
      </c>
    </row>
    <row r="806" ht="49" customHeight="1">
      <c r="A806" s="34" t="inlineStr">
        <is>
          <t>R1306-v1</t>
        </is>
      </c>
      <c r="B806" s="34" t="inlineStr">
        <is>
          <t>Cost &amp; Forecast Control Accounts / CST-03-064</t>
        </is>
      </c>
      <c r="C806" s="34" t="inlineStr">
        <is>
          <t>Cost Account = CA-3064; WBS Code = 1.3.2</t>
        </is>
      </c>
      <c r="D806" s="34" t="inlineStr">
        <is>
          <t>Proposed by Source assignment; target 1.3.2 Systems - Signalling &amp; Train Control</t>
        </is>
      </c>
      <c r="E806" s="34" t="inlineStr">
        <is>
          <t>None recorded</t>
        </is>
      </c>
      <c r="F806" s="34" t="inlineStr">
        <is>
          <t>No individual professional decision recorded; Source assignment -- not individually reviewed</t>
        </is>
      </c>
      <c r="G806" s="34" t="inlineStr">
        <is>
          <t>Not individually decided</t>
        </is>
      </c>
      <c r="H806" s="34" t="inlineStr">
        <is>
          <t xml:space="preserve">APPROVED / ONE_TO_ONE; </t>
        </is>
      </c>
      <c r="I806" s="34" t="inlineStr">
        <is>
          <t>New</t>
        </is>
      </c>
      <c r="J806" s="92" t="inlineStr">
        <is>
          <t>08 CROSSWALK</t>
        </is>
      </c>
    </row>
    <row r="807" ht="49" customHeight="1">
      <c r="A807" s="34" t="inlineStr">
        <is>
          <t>R1308-v1</t>
        </is>
      </c>
      <c r="B807" s="34" t="inlineStr">
        <is>
          <t>Cost &amp; Forecast Control Accounts / CST-03-066</t>
        </is>
      </c>
      <c r="C807" s="34" t="inlineStr">
        <is>
          <t>Cost Account = CA-3066; WBS Code = 1.3.2</t>
        </is>
      </c>
      <c r="D807" s="34" t="inlineStr">
        <is>
          <t>Proposed by Source assignment; target 1.3.2 Systems - Signalling &amp; Train Control</t>
        </is>
      </c>
      <c r="E807" s="34" t="inlineStr">
        <is>
          <t>None recorded</t>
        </is>
      </c>
      <c r="F807" s="34" t="inlineStr">
        <is>
          <t>No individual professional decision recorded; Source assignment -- not individually reviewed</t>
        </is>
      </c>
      <c r="G807" s="34" t="inlineStr">
        <is>
          <t>Not individually decided</t>
        </is>
      </c>
      <c r="H807" s="34" t="inlineStr">
        <is>
          <t xml:space="preserve">APPROVED / ONE_TO_ONE; </t>
        </is>
      </c>
      <c r="I807" s="34" t="inlineStr">
        <is>
          <t>New</t>
        </is>
      </c>
      <c r="J807" s="92" t="inlineStr">
        <is>
          <t>08 CROSSWALK</t>
        </is>
      </c>
    </row>
    <row r="808" ht="49" customHeight="1">
      <c r="A808" s="34" t="inlineStr">
        <is>
          <t>R1310-v1</t>
        </is>
      </c>
      <c r="B808" s="34" t="inlineStr">
        <is>
          <t>Cost &amp; Forecast Control Accounts / CST-03-068</t>
        </is>
      </c>
      <c r="C808" s="34" t="inlineStr">
        <is>
          <t>Cost Account = CA-3068; WBS Code = 1.3.2</t>
        </is>
      </c>
      <c r="D808" s="34" t="inlineStr">
        <is>
          <t>Proposed by Source assignment; target 1.3.2 Systems - Signalling &amp; Train Control</t>
        </is>
      </c>
      <c r="E808" s="34" t="inlineStr">
        <is>
          <t>None recorded</t>
        </is>
      </c>
      <c r="F808" s="34" t="inlineStr">
        <is>
          <t>No individual professional decision recorded; Source assignment -- not individually reviewed</t>
        </is>
      </c>
      <c r="G808" s="34" t="inlineStr">
        <is>
          <t>Not individually decided</t>
        </is>
      </c>
      <c r="H808" s="34" t="inlineStr">
        <is>
          <t xml:space="preserve">APPROVED / ONE_TO_ONE; </t>
        </is>
      </c>
      <c r="I808" s="34" t="inlineStr">
        <is>
          <t>New</t>
        </is>
      </c>
      <c r="J808" s="92" t="inlineStr">
        <is>
          <t>08 CROSSWALK</t>
        </is>
      </c>
    </row>
    <row r="809" ht="49" customHeight="1">
      <c r="A809" s="34" t="inlineStr">
        <is>
          <t>R1312-v1</t>
        </is>
      </c>
      <c r="B809" s="34" t="inlineStr">
        <is>
          <t>Cost &amp; Forecast Control Accounts / CST-03-070</t>
        </is>
      </c>
      <c r="C809" s="34" t="inlineStr">
        <is>
          <t>Cost Account = CA-3070; WBS Code = 1.3.2</t>
        </is>
      </c>
      <c r="D809" s="34" t="inlineStr">
        <is>
          <t>Proposed by Source assignment; target 1.3.2 Systems - Signalling &amp; Train Control</t>
        </is>
      </c>
      <c r="E809" s="34" t="inlineStr">
        <is>
          <t>None recorded</t>
        </is>
      </c>
      <c r="F809" s="34" t="inlineStr">
        <is>
          <t>No individual professional decision recorded; Source assignment -- not individually reviewed</t>
        </is>
      </c>
      <c r="G809" s="34" t="inlineStr">
        <is>
          <t>Not individually decided</t>
        </is>
      </c>
      <c r="H809" s="34" t="inlineStr">
        <is>
          <t xml:space="preserve">APPROVED / ONE_TO_ONE; </t>
        </is>
      </c>
      <c r="I809" s="34" t="inlineStr">
        <is>
          <t>New</t>
        </is>
      </c>
      <c r="J809" s="92" t="inlineStr">
        <is>
          <t>08 CROSSWALK</t>
        </is>
      </c>
    </row>
    <row r="810" ht="49" customHeight="1">
      <c r="A810" s="34" t="inlineStr">
        <is>
          <t>R1314-v1</t>
        </is>
      </c>
      <c r="B810" s="34" t="inlineStr">
        <is>
          <t>Cost &amp; Forecast Control Accounts / CST-03-072</t>
        </is>
      </c>
      <c r="C810" s="34" t="inlineStr">
        <is>
          <t>Cost Account = CA-3072; WBS Code = 1.3.2</t>
        </is>
      </c>
      <c r="D810" s="34" t="inlineStr">
        <is>
          <t>Proposed by Source assignment; target 1.3.2 Systems - Signalling &amp; Train Control</t>
        </is>
      </c>
      <c r="E810" s="34" t="inlineStr">
        <is>
          <t>None recorded</t>
        </is>
      </c>
      <c r="F810" s="34" t="inlineStr">
        <is>
          <t>No individual professional decision recorded; Source assignment -- not individually reviewed</t>
        </is>
      </c>
      <c r="G810" s="34" t="inlineStr">
        <is>
          <t>Not individually decided</t>
        </is>
      </c>
      <c r="H810" s="34" t="inlineStr">
        <is>
          <t xml:space="preserve">APPROVED / ONE_TO_ONE; </t>
        </is>
      </c>
      <c r="I810" s="34" t="inlineStr">
        <is>
          <t>New</t>
        </is>
      </c>
      <c r="J810" s="92" t="inlineStr">
        <is>
          <t>08 CROSSWALK</t>
        </is>
      </c>
    </row>
    <row r="811" ht="49" customHeight="1">
      <c r="A811" s="34" t="inlineStr">
        <is>
          <t>R1316-v1</t>
        </is>
      </c>
      <c r="B811" s="34" t="inlineStr">
        <is>
          <t>Cost &amp; Forecast Control Accounts / CST-03-074</t>
        </is>
      </c>
      <c r="C811" s="34" t="inlineStr">
        <is>
          <t>Cost Account = CA-3074; WBS Code = 1.3.2</t>
        </is>
      </c>
      <c r="D811" s="34" t="inlineStr">
        <is>
          <t>Proposed by Source assignment; target 1.3.2 Systems - Signalling &amp; Train Control</t>
        </is>
      </c>
      <c r="E811" s="34" t="inlineStr">
        <is>
          <t>None recorded</t>
        </is>
      </c>
      <c r="F811" s="34" t="inlineStr">
        <is>
          <t>No individual professional decision recorded; Source assignment -- not individually reviewed</t>
        </is>
      </c>
      <c r="G811" s="34" t="inlineStr">
        <is>
          <t>Not individually decided</t>
        </is>
      </c>
      <c r="H811" s="34" t="inlineStr">
        <is>
          <t xml:space="preserve">APPROVED / ONE_TO_ONE; </t>
        </is>
      </c>
      <c r="I811" s="34" t="inlineStr">
        <is>
          <t>New</t>
        </is>
      </c>
      <c r="J811" s="92" t="inlineStr">
        <is>
          <t>08 CROSSWALK</t>
        </is>
      </c>
    </row>
    <row r="812" ht="49" customHeight="1">
      <c r="A812" s="34" t="inlineStr">
        <is>
          <t>R1318-v1</t>
        </is>
      </c>
      <c r="B812" s="34" t="inlineStr">
        <is>
          <t>Cost &amp; Forecast Control Accounts / CST-03-076</t>
        </is>
      </c>
      <c r="C812" s="34" t="inlineStr">
        <is>
          <t>Cost Account = CA-3076; WBS Code = 1.3.2</t>
        </is>
      </c>
      <c r="D812" s="34" t="inlineStr">
        <is>
          <t>Proposed by Source assignment; target 1.3.2 Systems - Signalling &amp; Train Control</t>
        </is>
      </c>
      <c r="E812" s="34" t="inlineStr">
        <is>
          <t>None recorded</t>
        </is>
      </c>
      <c r="F812" s="34" t="inlineStr">
        <is>
          <t>No individual professional decision recorded; Source assignment -- not individually reviewed</t>
        </is>
      </c>
      <c r="G812" s="34" t="inlineStr">
        <is>
          <t>Not individually decided</t>
        </is>
      </c>
      <c r="H812" s="34" t="inlineStr">
        <is>
          <t xml:space="preserve">APPROVED / ONE_TO_ONE; </t>
        </is>
      </c>
      <c r="I812" s="34" t="inlineStr">
        <is>
          <t>New</t>
        </is>
      </c>
      <c r="J812" s="92" t="inlineStr">
        <is>
          <t>08 CROSSWALK</t>
        </is>
      </c>
    </row>
    <row r="813" ht="49" customHeight="1">
      <c r="A813" s="34" t="inlineStr">
        <is>
          <t>R1320-v1</t>
        </is>
      </c>
      <c r="B813" s="34" t="inlineStr">
        <is>
          <t>Cost &amp; Forecast Control Accounts / CST-03-078</t>
        </is>
      </c>
      <c r="C813" s="34" t="inlineStr">
        <is>
          <t>Cost Account = CA-3078; WBS Code = 1.3.2</t>
        </is>
      </c>
      <c r="D813" s="34" t="inlineStr">
        <is>
          <t>Proposed by Source assignment; target 1.3.2 Systems - Signalling &amp; Train Control</t>
        </is>
      </c>
      <c r="E813" s="34" t="inlineStr">
        <is>
          <t>None recorded</t>
        </is>
      </c>
      <c r="F813" s="34" t="inlineStr">
        <is>
          <t>No individual professional decision recorded; Source assignment -- not individually reviewed</t>
        </is>
      </c>
      <c r="G813" s="34" t="inlineStr">
        <is>
          <t>Not individually decided</t>
        </is>
      </c>
      <c r="H813" s="34" t="inlineStr">
        <is>
          <t xml:space="preserve">APPROVED / ONE_TO_ONE; </t>
        </is>
      </c>
      <c r="I813" s="34" t="inlineStr">
        <is>
          <t>New</t>
        </is>
      </c>
      <c r="J813" s="92" t="inlineStr">
        <is>
          <t>08 CROSSWALK</t>
        </is>
      </c>
    </row>
    <row r="814" ht="49" customHeight="1">
      <c r="A814" s="34" t="inlineStr">
        <is>
          <t>R1322-v1</t>
        </is>
      </c>
      <c r="B814" s="34" t="inlineStr">
        <is>
          <t>Cost &amp; Forecast Control Accounts / CST-03-080</t>
        </is>
      </c>
      <c r="C814" s="34" t="inlineStr">
        <is>
          <t>Cost Account = CA-3080; WBS Code = 1.3.2</t>
        </is>
      </c>
      <c r="D814" s="34" t="inlineStr">
        <is>
          <t>Proposed by Source assignment; target 1.3.2 Systems - Signalling &amp; Train Control</t>
        </is>
      </c>
      <c r="E814" s="34" t="inlineStr">
        <is>
          <t>None recorded</t>
        </is>
      </c>
      <c r="F814" s="34" t="inlineStr">
        <is>
          <t>No individual professional decision recorded; Source assignment -- not individually reviewed</t>
        </is>
      </c>
      <c r="G814" s="34" t="inlineStr">
        <is>
          <t>Not individually decided</t>
        </is>
      </c>
      <c r="H814" s="34" t="inlineStr">
        <is>
          <t xml:space="preserve">APPROVED / ONE_TO_ONE; </t>
        </is>
      </c>
      <c r="I814" s="34" t="inlineStr">
        <is>
          <t>New</t>
        </is>
      </c>
      <c r="J814" s="92" t="inlineStr">
        <is>
          <t>08 CROSSWALK</t>
        </is>
      </c>
    </row>
    <row r="815" ht="49" customHeight="1">
      <c r="A815" s="34" t="inlineStr">
        <is>
          <t>R1593-v1</t>
        </is>
      </c>
      <c r="B815" s="34" t="inlineStr">
        <is>
          <t>Commercial Package Register / PKG-031</t>
        </is>
      </c>
      <c r="C815" s="34" t="inlineStr">
        <is>
          <t>Package Code = PK-401; WBS Code = 1.4</t>
        </is>
      </c>
      <c r="D815" s="34" t="inlineStr">
        <is>
          <t>Proposed by Source assignment; target 1.4 Vehicles and Depot</t>
        </is>
      </c>
      <c r="E815" s="34" t="inlineStr">
        <is>
          <t>None recorded</t>
        </is>
      </c>
      <c r="F815" s="34" t="inlineStr">
        <is>
          <t>No individual professional decision recorded; Source assignment -- not individually reviewed</t>
        </is>
      </c>
      <c r="G815" s="34" t="inlineStr">
        <is>
          <t>Not individually decided</t>
        </is>
      </c>
      <c r="H815" s="34" t="inlineStr">
        <is>
          <t xml:space="preserve">APPROVED / ONE_TO_ONE; </t>
        </is>
      </c>
      <c r="I815" s="34" t="inlineStr">
        <is>
          <t>New</t>
        </is>
      </c>
      <c r="J815" s="92" t="inlineStr">
        <is>
          <t>08 CROSSWALK</t>
        </is>
      </c>
    </row>
    <row r="816" ht="49" customHeight="1">
      <c r="A816" s="34" t="inlineStr">
        <is>
          <t>R1594-v1</t>
        </is>
      </c>
      <c r="B816" s="34" t="inlineStr">
        <is>
          <t>Commercial Package Register / PKG-032</t>
        </is>
      </c>
      <c r="C816" s="34" t="inlineStr">
        <is>
          <t>Package Code = PK-402; WBS Code = 1.4</t>
        </is>
      </c>
      <c r="D816" s="34" t="inlineStr">
        <is>
          <t>Proposed by Source assignment; target 1.4 Vehicles and Depot</t>
        </is>
      </c>
      <c r="E816" s="34" t="inlineStr">
        <is>
          <t>None recorded</t>
        </is>
      </c>
      <c r="F816" s="34" t="inlineStr">
        <is>
          <t>No individual professional decision recorded; Source assignment -- not individually reviewed</t>
        </is>
      </c>
      <c r="G816" s="34" t="inlineStr">
        <is>
          <t>Not individually decided</t>
        </is>
      </c>
      <c r="H816" s="34" t="inlineStr">
        <is>
          <t xml:space="preserve">APPROVED / ONE_TO_ONE; </t>
        </is>
      </c>
      <c r="I816" s="34" t="inlineStr">
        <is>
          <t>New</t>
        </is>
      </c>
      <c r="J816" s="92" t="inlineStr">
        <is>
          <t>08 CROSSWALK</t>
        </is>
      </c>
    </row>
    <row r="817" ht="49" customHeight="1">
      <c r="A817" s="34" t="inlineStr">
        <is>
          <t>R1595-v1</t>
        </is>
      </c>
      <c r="B817" s="34" t="inlineStr">
        <is>
          <t>Commercial Package Register / PKG-033</t>
        </is>
      </c>
      <c r="C817" s="34" t="inlineStr">
        <is>
          <t>Package Code = PK-403; WBS Code = 1.4</t>
        </is>
      </c>
      <c r="D817" s="34" t="inlineStr">
        <is>
          <t>Proposed by Source assignment; target 1.4 Vehicles and Depot</t>
        </is>
      </c>
      <c r="E817" s="34" t="inlineStr">
        <is>
          <t>None recorded</t>
        </is>
      </c>
      <c r="F817" s="34" t="inlineStr">
        <is>
          <t>No individual professional decision recorded; Source assignment -- not individually reviewed</t>
        </is>
      </c>
      <c r="G817" s="34" t="inlineStr">
        <is>
          <t>Not individually decided</t>
        </is>
      </c>
      <c r="H817" s="34" t="inlineStr">
        <is>
          <t xml:space="preserve">APPROVED / ONE_TO_ONE; </t>
        </is>
      </c>
      <c r="I817" s="34" t="inlineStr">
        <is>
          <t>New</t>
        </is>
      </c>
      <c r="J817" s="92" t="inlineStr">
        <is>
          <t>08 CROSSWALK</t>
        </is>
      </c>
    </row>
    <row r="818" ht="49" customHeight="1">
      <c r="A818" s="34" t="inlineStr">
        <is>
          <t>R1596-v1</t>
        </is>
      </c>
      <c r="B818" s="34" t="inlineStr">
        <is>
          <t>Commercial Package Register / PKG-034</t>
        </is>
      </c>
      <c r="C818" s="34" t="inlineStr">
        <is>
          <t>Package Code = PK-404; WBS Code = 1.4</t>
        </is>
      </c>
      <c r="D818" s="34" t="inlineStr">
        <is>
          <t>Proposed by Source assignment; target 1.4 Vehicles and Depot</t>
        </is>
      </c>
      <c r="E818" s="34" t="inlineStr">
        <is>
          <t>None recorded</t>
        </is>
      </c>
      <c r="F818" s="34" t="inlineStr">
        <is>
          <t>No individual professional decision recorded; Source assignment -- not individually reviewed</t>
        </is>
      </c>
      <c r="G818" s="34" t="inlineStr">
        <is>
          <t>Not individually decided</t>
        </is>
      </c>
      <c r="H818" s="34" t="inlineStr">
        <is>
          <t xml:space="preserve">APPROVED / ONE_TO_ONE; </t>
        </is>
      </c>
      <c r="I818" s="34" t="inlineStr">
        <is>
          <t>New</t>
        </is>
      </c>
      <c r="J818" s="92" t="inlineStr">
        <is>
          <t>08 CROSSWALK</t>
        </is>
      </c>
    </row>
    <row r="819" ht="49" customHeight="1">
      <c r="A819" s="34" t="inlineStr">
        <is>
          <t>R1597-v1</t>
        </is>
      </c>
      <c r="B819" s="34" t="inlineStr">
        <is>
          <t>Commercial Package Register / PKG-035</t>
        </is>
      </c>
      <c r="C819" s="34" t="inlineStr">
        <is>
          <t>Package Code = PK-405; WBS Code = 1.4</t>
        </is>
      </c>
      <c r="D819" s="34" t="inlineStr">
        <is>
          <t>Proposed by Source assignment; target 1.4 Vehicles and Depot</t>
        </is>
      </c>
      <c r="E819" s="34" t="inlineStr">
        <is>
          <t>None recorded</t>
        </is>
      </c>
      <c r="F819" s="34" t="inlineStr">
        <is>
          <t>No individual professional decision recorded; Source assignment -- not individually reviewed</t>
        </is>
      </c>
      <c r="G819" s="34" t="inlineStr">
        <is>
          <t>Not individually decided</t>
        </is>
      </c>
      <c r="H819" s="34" t="inlineStr">
        <is>
          <t xml:space="preserve">APPROVED / ONE_TO_ONE; </t>
        </is>
      </c>
      <c r="I819" s="34" t="inlineStr">
        <is>
          <t>New</t>
        </is>
      </c>
      <c r="J819" s="92" t="inlineStr">
        <is>
          <t>08 CROSSWALK</t>
        </is>
      </c>
    </row>
    <row r="820" ht="49" customHeight="1">
      <c r="A820" s="34" t="inlineStr">
        <is>
          <t>R1598-v1</t>
        </is>
      </c>
      <c r="B820" s="34" t="inlineStr">
        <is>
          <t>Commercial Package Register / PKG-036</t>
        </is>
      </c>
      <c r="C820" s="34" t="inlineStr">
        <is>
          <t>Package Code = PK-406; WBS Code = 1.4</t>
        </is>
      </c>
      <c r="D820" s="34" t="inlineStr">
        <is>
          <t>Proposed by Source assignment; target 1.4 Vehicles and Depot</t>
        </is>
      </c>
      <c r="E820" s="34" t="inlineStr">
        <is>
          <t>None recorded</t>
        </is>
      </c>
      <c r="F820" s="34" t="inlineStr">
        <is>
          <t>No individual professional decision recorded; Source assignment -- not individually reviewed</t>
        </is>
      </c>
      <c r="G820" s="34" t="inlineStr">
        <is>
          <t>Not individually decided</t>
        </is>
      </c>
      <c r="H820" s="34" t="inlineStr">
        <is>
          <t xml:space="preserve">APPROVED / ONE_TO_ONE; </t>
        </is>
      </c>
      <c r="I820" s="34" t="inlineStr">
        <is>
          <t>New</t>
        </is>
      </c>
      <c r="J820" s="92" t="inlineStr">
        <is>
          <t>08 CROSSWALK</t>
        </is>
      </c>
    </row>
    <row r="821" ht="49" customHeight="1">
      <c r="A821" s="34" t="inlineStr">
        <is>
          <t>R1599-v1</t>
        </is>
      </c>
      <c r="B821" s="34" t="inlineStr">
        <is>
          <t>Commercial Package Register / PKG-037</t>
        </is>
      </c>
      <c r="C821" s="34" t="inlineStr">
        <is>
          <t>Package Code = PK-407; WBS Code = 1.4</t>
        </is>
      </c>
      <c r="D821" s="34" t="inlineStr">
        <is>
          <t>Proposed by Source assignment; target 1.4 Vehicles and Depot</t>
        </is>
      </c>
      <c r="E821" s="34" t="inlineStr">
        <is>
          <t>None recorded</t>
        </is>
      </c>
      <c r="F821" s="34" t="inlineStr">
        <is>
          <t>No individual professional decision recorded; Source assignment -- not individually reviewed</t>
        </is>
      </c>
      <c r="G821" s="34" t="inlineStr">
        <is>
          <t>Not individually decided</t>
        </is>
      </c>
      <c r="H821" s="34" t="inlineStr">
        <is>
          <t xml:space="preserve">APPROVED / ONE_TO_ONE; </t>
        </is>
      </c>
      <c r="I821" s="34" t="inlineStr">
        <is>
          <t>New</t>
        </is>
      </c>
      <c r="J821" s="92" t="inlineStr">
        <is>
          <t>08 CROSSWALK</t>
        </is>
      </c>
    </row>
    <row r="822" ht="49" customHeight="1">
      <c r="A822" s="34" t="inlineStr">
        <is>
          <t>R1600-v1</t>
        </is>
      </c>
      <c r="B822" s="34" t="inlineStr">
        <is>
          <t>Commercial Package Register / PKG-038</t>
        </is>
      </c>
      <c r="C822" s="34" t="inlineStr">
        <is>
          <t>Package Code = PK-408; WBS Code = 1.4</t>
        </is>
      </c>
      <c r="D822" s="34" t="inlineStr">
        <is>
          <t>Proposed by Source assignment; target 1.4 Vehicles and Depot</t>
        </is>
      </c>
      <c r="E822" s="34" t="inlineStr">
        <is>
          <t>None recorded</t>
        </is>
      </c>
      <c r="F822" s="34" t="inlineStr">
        <is>
          <t>No individual professional decision recorded; Source assignment -- not individually reviewed</t>
        </is>
      </c>
      <c r="G822" s="34" t="inlineStr">
        <is>
          <t>Not individually decided</t>
        </is>
      </c>
      <c r="H822" s="34" t="inlineStr">
        <is>
          <t xml:space="preserve">APPROVED / ONE_TO_ONE; </t>
        </is>
      </c>
      <c r="I822" s="34" t="inlineStr">
        <is>
          <t>New</t>
        </is>
      </c>
      <c r="J822" s="92" t="inlineStr">
        <is>
          <t>08 CROSSWALK</t>
        </is>
      </c>
    </row>
    <row r="823" ht="49" customHeight="1">
      <c r="A823" s="34" t="inlineStr">
        <is>
          <t>R1601-v1</t>
        </is>
      </c>
      <c r="B823" s="34" t="inlineStr">
        <is>
          <t>Commercial Package Register / PKG-039</t>
        </is>
      </c>
      <c r="C823" s="34" t="inlineStr">
        <is>
          <t>Package Code = PK-409; WBS Code = 1.4</t>
        </is>
      </c>
      <c r="D823" s="34" t="inlineStr">
        <is>
          <t>Proposed by Source assignment; target 1.4 Vehicles and Depot</t>
        </is>
      </c>
      <c r="E823" s="34" t="inlineStr">
        <is>
          <t>None recorded</t>
        </is>
      </c>
      <c r="F823" s="34" t="inlineStr">
        <is>
          <t>No individual professional decision recorded; Source assignment -- not individually reviewed</t>
        </is>
      </c>
      <c r="G823" s="34" t="inlineStr">
        <is>
          <t>Not individually decided</t>
        </is>
      </c>
      <c r="H823" s="34" t="inlineStr">
        <is>
          <t xml:space="preserve">APPROVED / ONE_TO_ONE; </t>
        </is>
      </c>
      <c r="I823" s="34" t="inlineStr">
        <is>
          <t>New</t>
        </is>
      </c>
      <c r="J823" s="92" t="inlineStr">
        <is>
          <t>08 CROSSWALK</t>
        </is>
      </c>
    </row>
    <row r="824" ht="49" customHeight="1">
      <c r="A824" s="34" t="inlineStr">
        <is>
          <t>R1602-v1</t>
        </is>
      </c>
      <c r="B824" s="34" t="inlineStr">
        <is>
          <t>Commercial Package Register / PKG-040</t>
        </is>
      </c>
      <c r="C824" s="34" t="inlineStr">
        <is>
          <t>Package Code = PK-410; WBS Code = 1.4</t>
        </is>
      </c>
      <c r="D824" s="34" t="inlineStr">
        <is>
          <t>Proposed by Source assignment; target 1.4 Vehicles and Depot</t>
        </is>
      </c>
      <c r="E824" s="34" t="inlineStr">
        <is>
          <t>None recorded</t>
        </is>
      </c>
      <c r="F824" s="34" t="inlineStr">
        <is>
          <t>No individual professional decision recorded; Source assignment -- not individually reviewed</t>
        </is>
      </c>
      <c r="G824" s="34" t="inlineStr">
        <is>
          <t>Not individually decided</t>
        </is>
      </c>
      <c r="H824" s="34" t="inlineStr">
        <is>
          <t xml:space="preserve">APPROVED / ONE_TO_ONE; </t>
        </is>
      </c>
      <c r="I824" s="34" t="inlineStr">
        <is>
          <t>New</t>
        </is>
      </c>
      <c r="J824" s="92" t="inlineStr">
        <is>
          <t>08 CROSSWALK</t>
        </is>
      </c>
    </row>
    <row r="825" ht="49" customHeight="1">
      <c r="A825" s="34" t="inlineStr">
        <is>
          <t>R541-v1</t>
        </is>
      </c>
      <c r="B825" s="34" t="inlineStr">
        <is>
          <t>Contractor Programme / SCH-04-001</t>
        </is>
      </c>
      <c r="C825" s="34" t="inlineStr">
        <is>
          <t>WBS Code = 1.4.1</t>
        </is>
      </c>
      <c r="D825" s="34" t="inlineStr">
        <is>
          <t>Proposed by Source assignment; target 1.4.1 Vehicles and Depot - Fleet Supply</t>
        </is>
      </c>
      <c r="E825" s="34" t="inlineStr">
        <is>
          <t>None recorded</t>
        </is>
      </c>
      <c r="F825" s="34" t="inlineStr">
        <is>
          <t>No individual professional decision recorded; Source assignment -- not individually reviewed</t>
        </is>
      </c>
      <c r="G825" s="34" t="inlineStr">
        <is>
          <t>Not individually decided</t>
        </is>
      </c>
      <c r="H825" s="34" t="inlineStr">
        <is>
          <t xml:space="preserve">APPROVED / ONE_TO_ONE; </t>
        </is>
      </c>
      <c r="I825" s="34" t="inlineStr">
        <is>
          <t>New</t>
        </is>
      </c>
      <c r="J825" s="92" t="inlineStr">
        <is>
          <t>08 CROSSWALK</t>
        </is>
      </c>
    </row>
    <row r="826" ht="49" customHeight="1">
      <c r="A826" s="34" t="inlineStr">
        <is>
          <t>R542-v1</t>
        </is>
      </c>
      <c r="B826" s="34" t="inlineStr">
        <is>
          <t>Contractor Programme / SCH-04-002</t>
        </is>
      </c>
      <c r="C826" s="34" t="inlineStr">
        <is>
          <t>WBS Code = 1.4.1</t>
        </is>
      </c>
      <c r="D826" s="34" t="inlineStr">
        <is>
          <t>Proposed by Source assignment; target 1.4.1 Vehicles and Depot - Fleet Supply</t>
        </is>
      </c>
      <c r="E826" s="34" t="inlineStr">
        <is>
          <t>None recorded</t>
        </is>
      </c>
      <c r="F826" s="34" t="inlineStr">
        <is>
          <t>No individual professional decision recorded; Source assignment -- not individually reviewed</t>
        </is>
      </c>
      <c r="G826" s="34" t="inlineStr">
        <is>
          <t>Not individually decided</t>
        </is>
      </c>
      <c r="H826" s="34" t="inlineStr">
        <is>
          <t xml:space="preserve">APPROVED / ONE_TO_ONE; </t>
        </is>
      </c>
      <c r="I826" s="34" t="inlineStr">
        <is>
          <t>New</t>
        </is>
      </c>
      <c r="J826" s="92" t="inlineStr">
        <is>
          <t>08 CROSSWALK</t>
        </is>
      </c>
    </row>
    <row r="827" ht="49" customHeight="1">
      <c r="A827" s="34" t="inlineStr">
        <is>
          <t>R544-v1</t>
        </is>
      </c>
      <c r="B827" s="34" t="inlineStr">
        <is>
          <t>Contractor Programme / SCH-04-004</t>
        </is>
      </c>
      <c r="C827" s="34" t="inlineStr">
        <is>
          <t>WBS Code = 1.4.1</t>
        </is>
      </c>
      <c r="D827" s="34" t="inlineStr">
        <is>
          <t>Proposed by Source assignment; target 1.4.1 Vehicles and Depot - Fleet Supply</t>
        </is>
      </c>
      <c r="E827" s="34" t="inlineStr">
        <is>
          <t>None recorded</t>
        </is>
      </c>
      <c r="F827" s="34" t="inlineStr">
        <is>
          <t>No individual professional decision recorded; Source assignment -- not individually reviewed</t>
        </is>
      </c>
      <c r="G827" s="34" t="inlineStr">
        <is>
          <t>Not individually decided</t>
        </is>
      </c>
      <c r="H827" s="34" t="inlineStr">
        <is>
          <t xml:space="preserve">APPROVED / ONE_TO_ONE; </t>
        </is>
      </c>
      <c r="I827" s="34" t="inlineStr">
        <is>
          <t>New</t>
        </is>
      </c>
      <c r="J827" s="92" t="inlineStr">
        <is>
          <t>08 CROSSWALK</t>
        </is>
      </c>
    </row>
    <row r="828" ht="49" customHeight="1">
      <c r="A828" s="34" t="inlineStr">
        <is>
          <t>R545-v1</t>
        </is>
      </c>
      <c r="B828" s="34" t="inlineStr">
        <is>
          <t>Contractor Programme / SCH-04-005</t>
        </is>
      </c>
      <c r="C828" s="34" t="inlineStr">
        <is>
          <t>WBS Code = 1.4.1</t>
        </is>
      </c>
      <c r="D828" s="34" t="inlineStr">
        <is>
          <t>Proposed by Source assignment; target 1.4.1 Vehicles and Depot - Fleet Supply</t>
        </is>
      </c>
      <c r="E828" s="34" t="inlineStr">
        <is>
          <t>None recorded</t>
        </is>
      </c>
      <c r="F828" s="34" t="inlineStr">
        <is>
          <t>No individual professional decision recorded; Source assignment -- not individually reviewed</t>
        </is>
      </c>
      <c r="G828" s="34" t="inlineStr">
        <is>
          <t>Not individually decided</t>
        </is>
      </c>
      <c r="H828" s="34" t="inlineStr">
        <is>
          <t xml:space="preserve">APPROVED / ONE_TO_ONE; </t>
        </is>
      </c>
      <c r="I828" s="34" t="inlineStr">
        <is>
          <t>New</t>
        </is>
      </c>
      <c r="J828" s="92" t="inlineStr">
        <is>
          <t>08 CROSSWALK</t>
        </is>
      </c>
    </row>
    <row r="829" ht="49" customHeight="1">
      <c r="A829" s="34" t="inlineStr">
        <is>
          <t>R547-v1</t>
        </is>
      </c>
      <c r="B829" s="34" t="inlineStr">
        <is>
          <t>Contractor Programme / SCH-04-007</t>
        </is>
      </c>
      <c r="C829" s="34" t="inlineStr">
        <is>
          <t>WBS Code = 1.4.1</t>
        </is>
      </c>
      <c r="D829" s="34" t="inlineStr">
        <is>
          <t>Proposed by Source assignment; target 1.4.1 Vehicles and Depot - Fleet Supply</t>
        </is>
      </c>
      <c r="E829" s="34" t="inlineStr">
        <is>
          <t>None recorded</t>
        </is>
      </c>
      <c r="F829" s="34" t="inlineStr">
        <is>
          <t>No individual professional decision recorded; Source assignment -- not individually reviewed</t>
        </is>
      </c>
      <c r="G829" s="34" t="inlineStr">
        <is>
          <t>Not individually decided</t>
        </is>
      </c>
      <c r="H829" s="34" t="inlineStr">
        <is>
          <t xml:space="preserve">APPROVED / ONE_TO_ONE; </t>
        </is>
      </c>
      <c r="I829" s="34" t="inlineStr">
        <is>
          <t>New</t>
        </is>
      </c>
      <c r="J829" s="92" t="inlineStr">
        <is>
          <t>08 CROSSWALK</t>
        </is>
      </c>
    </row>
    <row r="830" ht="49" customHeight="1">
      <c r="A830" s="34" t="inlineStr">
        <is>
          <t>R548-v1</t>
        </is>
      </c>
      <c r="B830" s="34" t="inlineStr">
        <is>
          <t>Contractor Programme / SCH-04-008</t>
        </is>
      </c>
      <c r="C830" s="34" t="inlineStr">
        <is>
          <t>WBS Code = 1.4.1</t>
        </is>
      </c>
      <c r="D830" s="34" t="inlineStr">
        <is>
          <t>Proposed by Source assignment; target 1.4.1 Vehicles and Depot - Fleet Supply</t>
        </is>
      </c>
      <c r="E830" s="34" t="inlineStr">
        <is>
          <t>None recorded</t>
        </is>
      </c>
      <c r="F830" s="34" t="inlineStr">
        <is>
          <t>No individual professional decision recorded; Source assignment -- not individually reviewed</t>
        </is>
      </c>
      <c r="G830" s="34" t="inlineStr">
        <is>
          <t>Not individually decided</t>
        </is>
      </c>
      <c r="H830" s="34" t="inlineStr">
        <is>
          <t xml:space="preserve">APPROVED / ONE_TO_ONE; </t>
        </is>
      </c>
      <c r="I830" s="34" t="inlineStr">
        <is>
          <t>New</t>
        </is>
      </c>
      <c r="J830" s="92" t="inlineStr">
        <is>
          <t>08 CROSSWALK</t>
        </is>
      </c>
    </row>
    <row r="831" ht="49" customHeight="1">
      <c r="A831" s="34" t="inlineStr">
        <is>
          <t>R550-v1</t>
        </is>
      </c>
      <c r="B831" s="34" t="inlineStr">
        <is>
          <t>Contractor Programme / SCH-04-010</t>
        </is>
      </c>
      <c r="C831" s="34" t="inlineStr">
        <is>
          <t>WBS Code = 1.4.1</t>
        </is>
      </c>
      <c r="D831" s="34" t="inlineStr">
        <is>
          <t>Proposed by Source assignment; target 1.4.1 Vehicles and Depot - Fleet Supply</t>
        </is>
      </c>
      <c r="E831" s="34" t="inlineStr">
        <is>
          <t>None recorded</t>
        </is>
      </c>
      <c r="F831" s="34" t="inlineStr">
        <is>
          <t>No individual professional decision recorded; Source assignment -- not individually reviewed</t>
        </is>
      </c>
      <c r="G831" s="34" t="inlineStr">
        <is>
          <t>Not individually decided</t>
        </is>
      </c>
      <c r="H831" s="34" t="inlineStr">
        <is>
          <t xml:space="preserve">APPROVED / ONE_TO_ONE; </t>
        </is>
      </c>
      <c r="I831" s="34" t="inlineStr">
        <is>
          <t>New</t>
        </is>
      </c>
      <c r="J831" s="92" t="inlineStr">
        <is>
          <t>08 CROSSWALK</t>
        </is>
      </c>
    </row>
    <row r="832" ht="49" customHeight="1">
      <c r="A832" s="34" t="inlineStr">
        <is>
          <t>R551-v1</t>
        </is>
      </c>
      <c r="B832" s="34" t="inlineStr">
        <is>
          <t>Contractor Programme / SCH-04-011</t>
        </is>
      </c>
      <c r="C832" s="34" t="inlineStr">
        <is>
          <t>WBS Code = 1.4.1</t>
        </is>
      </c>
      <c r="D832" s="34" t="inlineStr">
        <is>
          <t>Proposed by Source assignment; target 1.4.1 Vehicles and Depot - Fleet Supply</t>
        </is>
      </c>
      <c r="E832" s="34" t="inlineStr">
        <is>
          <t>None recorded</t>
        </is>
      </c>
      <c r="F832" s="34" t="inlineStr">
        <is>
          <t>No individual professional decision recorded; Source assignment -- not individually reviewed</t>
        </is>
      </c>
      <c r="G832" s="34" t="inlineStr">
        <is>
          <t>Not individually decided</t>
        </is>
      </c>
      <c r="H832" s="34" t="inlineStr">
        <is>
          <t xml:space="preserve">APPROVED / ONE_TO_ONE; </t>
        </is>
      </c>
      <c r="I832" s="34" t="inlineStr">
        <is>
          <t>New</t>
        </is>
      </c>
      <c r="J832" s="92" t="inlineStr">
        <is>
          <t>08 CROSSWALK</t>
        </is>
      </c>
    </row>
    <row r="833" ht="49" customHeight="1">
      <c r="A833" s="34" t="inlineStr">
        <is>
          <t>R553-v1</t>
        </is>
      </c>
      <c r="B833" s="34" t="inlineStr">
        <is>
          <t>Contractor Programme / SCH-04-013</t>
        </is>
      </c>
      <c r="C833" s="34" t="inlineStr">
        <is>
          <t>WBS Code = 1.4.1</t>
        </is>
      </c>
      <c r="D833" s="34" t="inlineStr">
        <is>
          <t>Proposed by Source assignment; target 1.4.1 Vehicles and Depot - Fleet Supply</t>
        </is>
      </c>
      <c r="E833" s="34" t="inlineStr">
        <is>
          <t>None recorded</t>
        </is>
      </c>
      <c r="F833" s="34" t="inlineStr">
        <is>
          <t>No individual professional decision recorded; Source assignment -- not individually reviewed</t>
        </is>
      </c>
      <c r="G833" s="34" t="inlineStr">
        <is>
          <t>Not individually decided</t>
        </is>
      </c>
      <c r="H833" s="34" t="inlineStr">
        <is>
          <t xml:space="preserve">APPROVED / ONE_TO_ONE; </t>
        </is>
      </c>
      <c r="I833" s="34" t="inlineStr">
        <is>
          <t>New</t>
        </is>
      </c>
      <c r="J833" s="92" t="inlineStr">
        <is>
          <t>08 CROSSWALK</t>
        </is>
      </c>
    </row>
    <row r="834" ht="49" customHeight="1">
      <c r="A834" s="34" t="inlineStr">
        <is>
          <t>R554-v1</t>
        </is>
      </c>
      <c r="B834" s="34" t="inlineStr">
        <is>
          <t>Contractor Programme / SCH-04-014</t>
        </is>
      </c>
      <c r="C834" s="34" t="inlineStr">
        <is>
          <t>WBS Code = 1.4.1</t>
        </is>
      </c>
      <c r="D834" s="34" t="inlineStr">
        <is>
          <t>Proposed by Source assignment; target 1.4.1 Vehicles and Depot - Fleet Supply</t>
        </is>
      </c>
      <c r="E834" s="34" t="inlineStr">
        <is>
          <t>None recorded</t>
        </is>
      </c>
      <c r="F834" s="34" t="inlineStr">
        <is>
          <t>No individual professional decision recorded; Source assignment -- not individually reviewed</t>
        </is>
      </c>
      <c r="G834" s="34" t="inlineStr">
        <is>
          <t>Not individually decided</t>
        </is>
      </c>
      <c r="H834" s="34" t="inlineStr">
        <is>
          <t xml:space="preserve">APPROVED / ONE_TO_ONE; </t>
        </is>
      </c>
      <c r="I834" s="34" t="inlineStr">
        <is>
          <t>New</t>
        </is>
      </c>
      <c r="J834" s="92" t="inlineStr">
        <is>
          <t>08 CROSSWALK</t>
        </is>
      </c>
    </row>
    <row r="835" ht="49" customHeight="1">
      <c r="A835" s="34" t="inlineStr">
        <is>
          <t>R556-v1</t>
        </is>
      </c>
      <c r="B835" s="34" t="inlineStr">
        <is>
          <t>Contractor Programme / SCH-04-016</t>
        </is>
      </c>
      <c r="C835" s="34" t="inlineStr">
        <is>
          <t>WBS Code = 1.4.1</t>
        </is>
      </c>
      <c r="D835" s="34" t="inlineStr">
        <is>
          <t>Proposed by Source assignment; target 1.4.1 Vehicles and Depot - Fleet Supply</t>
        </is>
      </c>
      <c r="E835" s="34" t="inlineStr">
        <is>
          <t>None recorded</t>
        </is>
      </c>
      <c r="F835" s="34" t="inlineStr">
        <is>
          <t>No individual professional decision recorded; Source assignment -- not individually reviewed</t>
        </is>
      </c>
      <c r="G835" s="34" t="inlineStr">
        <is>
          <t>Not individually decided</t>
        </is>
      </c>
      <c r="H835" s="34" t="inlineStr">
        <is>
          <t xml:space="preserve">APPROVED / ONE_TO_ONE; </t>
        </is>
      </c>
      <c r="I835" s="34" t="inlineStr">
        <is>
          <t>New</t>
        </is>
      </c>
      <c r="J835" s="92" t="inlineStr">
        <is>
          <t>08 CROSSWALK</t>
        </is>
      </c>
    </row>
    <row r="836" ht="49" customHeight="1">
      <c r="A836" s="34" t="inlineStr">
        <is>
          <t>R557-v1</t>
        </is>
      </c>
      <c r="B836" s="34" t="inlineStr">
        <is>
          <t>Contractor Programme / SCH-04-017</t>
        </is>
      </c>
      <c r="C836" s="34" t="inlineStr">
        <is>
          <t>WBS Code = 1.4.1</t>
        </is>
      </c>
      <c r="D836" s="34" t="inlineStr">
        <is>
          <t>Proposed by Source assignment; target 1.4.1 Vehicles and Depot - Fleet Supply</t>
        </is>
      </c>
      <c r="E836" s="34" t="inlineStr">
        <is>
          <t>None recorded</t>
        </is>
      </c>
      <c r="F836" s="34" t="inlineStr">
        <is>
          <t>No individual professional decision recorded; Source assignment -- not individually reviewed</t>
        </is>
      </c>
      <c r="G836" s="34" t="inlineStr">
        <is>
          <t>Not individually decided</t>
        </is>
      </c>
      <c r="H836" s="34" t="inlineStr">
        <is>
          <t xml:space="preserve">APPROVED / ONE_TO_ONE; </t>
        </is>
      </c>
      <c r="I836" s="34" t="inlineStr">
        <is>
          <t>New</t>
        </is>
      </c>
      <c r="J836" s="92" t="inlineStr">
        <is>
          <t>08 CROSSWALK</t>
        </is>
      </c>
    </row>
    <row r="837" ht="49" customHeight="1">
      <c r="A837" s="34" t="inlineStr">
        <is>
          <t>R559-v1</t>
        </is>
      </c>
      <c r="B837" s="34" t="inlineStr">
        <is>
          <t>Contractor Programme / SCH-04-019</t>
        </is>
      </c>
      <c r="C837" s="34" t="inlineStr">
        <is>
          <t>WBS Code = 1.4.1</t>
        </is>
      </c>
      <c r="D837" s="34" t="inlineStr">
        <is>
          <t>Proposed by Source assignment; target 1.4.1 Vehicles and Depot - Fleet Supply</t>
        </is>
      </c>
      <c r="E837" s="34" t="inlineStr">
        <is>
          <t>None recorded</t>
        </is>
      </c>
      <c r="F837" s="34" t="inlineStr">
        <is>
          <t>No individual professional decision recorded; Source assignment -- not individually reviewed</t>
        </is>
      </c>
      <c r="G837" s="34" t="inlineStr">
        <is>
          <t>Not individually decided</t>
        </is>
      </c>
      <c r="H837" s="34" t="inlineStr">
        <is>
          <t xml:space="preserve">APPROVED / ONE_TO_ONE; </t>
        </is>
      </c>
      <c r="I837" s="34" t="inlineStr">
        <is>
          <t>New</t>
        </is>
      </c>
      <c r="J837" s="92" t="inlineStr">
        <is>
          <t>08 CROSSWALK</t>
        </is>
      </c>
    </row>
    <row r="838" ht="49" customHeight="1">
      <c r="A838" s="34" t="inlineStr">
        <is>
          <t>R560-v1</t>
        </is>
      </c>
      <c r="B838" s="34" t="inlineStr">
        <is>
          <t>Contractor Programme / SCH-04-020</t>
        </is>
      </c>
      <c r="C838" s="34" t="inlineStr">
        <is>
          <t>WBS Code = 1.4.1</t>
        </is>
      </c>
      <c r="D838" s="34" t="inlineStr">
        <is>
          <t>Proposed by Source assignment; target 1.4.1 Vehicles and Depot - Fleet Supply</t>
        </is>
      </c>
      <c r="E838" s="34" t="inlineStr">
        <is>
          <t>None recorded</t>
        </is>
      </c>
      <c r="F838" s="34" t="inlineStr">
        <is>
          <t>No individual professional decision recorded; Source assignment -- not individually reviewed</t>
        </is>
      </c>
      <c r="G838" s="34" t="inlineStr">
        <is>
          <t>Not individually decided</t>
        </is>
      </c>
      <c r="H838" s="34" t="inlineStr">
        <is>
          <t xml:space="preserve">APPROVED / ONE_TO_ONE; </t>
        </is>
      </c>
      <c r="I838" s="34" t="inlineStr">
        <is>
          <t>New</t>
        </is>
      </c>
      <c r="J838" s="92" t="inlineStr">
        <is>
          <t>08 CROSSWALK</t>
        </is>
      </c>
    </row>
    <row r="839" ht="49" customHeight="1">
      <c r="A839" s="34" t="inlineStr">
        <is>
          <t>R562-v1</t>
        </is>
      </c>
      <c r="B839" s="34" t="inlineStr">
        <is>
          <t>Contractor Programme / SCH-04-022</t>
        </is>
      </c>
      <c r="C839" s="34" t="inlineStr">
        <is>
          <t>WBS Code = 1.4.1</t>
        </is>
      </c>
      <c r="D839" s="34" t="inlineStr">
        <is>
          <t>Proposed by Source assignment; target 1.4.1 Vehicles and Depot - Fleet Supply</t>
        </is>
      </c>
      <c r="E839" s="34" t="inlineStr">
        <is>
          <t>None recorded</t>
        </is>
      </c>
      <c r="F839" s="34" t="inlineStr">
        <is>
          <t>No individual professional decision recorded; Source assignment -- not individually reviewed</t>
        </is>
      </c>
      <c r="G839" s="34" t="inlineStr">
        <is>
          <t>Not individually decided</t>
        </is>
      </c>
      <c r="H839" s="34" t="inlineStr">
        <is>
          <t xml:space="preserve">APPROVED / ONE_TO_ONE; </t>
        </is>
      </c>
      <c r="I839" s="34" t="inlineStr">
        <is>
          <t>New</t>
        </is>
      </c>
      <c r="J839" s="92" t="inlineStr">
        <is>
          <t>08 CROSSWALK</t>
        </is>
      </c>
    </row>
    <row r="840" ht="49" customHeight="1">
      <c r="A840" s="34" t="inlineStr">
        <is>
          <t>R563-v1</t>
        </is>
      </c>
      <c r="B840" s="34" t="inlineStr">
        <is>
          <t>Contractor Programme / SCH-04-023</t>
        </is>
      </c>
      <c r="C840" s="34" t="inlineStr">
        <is>
          <t>WBS Code = 1.4.1</t>
        </is>
      </c>
      <c r="D840" s="34" t="inlineStr">
        <is>
          <t>Proposed by Source assignment; target 1.4.1 Vehicles and Depot - Fleet Supply</t>
        </is>
      </c>
      <c r="E840" s="34" t="inlineStr">
        <is>
          <t>None recorded</t>
        </is>
      </c>
      <c r="F840" s="34" t="inlineStr">
        <is>
          <t>No individual professional decision recorded; Source assignment -- not individually reviewed</t>
        </is>
      </c>
      <c r="G840" s="34" t="inlineStr">
        <is>
          <t>Not individually decided</t>
        </is>
      </c>
      <c r="H840" s="34" t="inlineStr">
        <is>
          <t xml:space="preserve">APPROVED / ONE_TO_ONE; </t>
        </is>
      </c>
      <c r="I840" s="34" t="inlineStr">
        <is>
          <t>New</t>
        </is>
      </c>
      <c r="J840" s="92" t="inlineStr">
        <is>
          <t>08 CROSSWALK</t>
        </is>
      </c>
    </row>
    <row r="841" ht="49" customHeight="1">
      <c r="A841" s="34" t="inlineStr">
        <is>
          <t>R565-v1</t>
        </is>
      </c>
      <c r="B841" s="34" t="inlineStr">
        <is>
          <t>Contractor Programme / SCH-04-025</t>
        </is>
      </c>
      <c r="C841" s="34" t="inlineStr">
        <is>
          <t>WBS Code = 1.4.1</t>
        </is>
      </c>
      <c r="D841" s="34" t="inlineStr">
        <is>
          <t>Proposed by Source assignment; target 1.4.1 Vehicles and Depot - Fleet Supply</t>
        </is>
      </c>
      <c r="E841" s="34" t="inlineStr">
        <is>
          <t>None recorded</t>
        </is>
      </c>
      <c r="F841" s="34" t="inlineStr">
        <is>
          <t>No individual professional decision recorded; Source assignment -- not individually reviewed</t>
        </is>
      </c>
      <c r="G841" s="34" t="inlineStr">
        <is>
          <t>Not individually decided</t>
        </is>
      </c>
      <c r="H841" s="34" t="inlineStr">
        <is>
          <t xml:space="preserve">APPROVED / ONE_TO_ONE; </t>
        </is>
      </c>
      <c r="I841" s="34" t="inlineStr">
        <is>
          <t>New</t>
        </is>
      </c>
      <c r="J841" s="92" t="inlineStr">
        <is>
          <t>08 CROSSWALK</t>
        </is>
      </c>
    </row>
    <row r="842" ht="49" customHeight="1">
      <c r="A842" s="34" t="inlineStr">
        <is>
          <t>R566-v1</t>
        </is>
      </c>
      <c r="B842" s="34" t="inlineStr">
        <is>
          <t>Contractor Programme / SCH-04-026</t>
        </is>
      </c>
      <c r="C842" s="34" t="inlineStr">
        <is>
          <t>WBS Code = 1.4.1</t>
        </is>
      </c>
      <c r="D842" s="34" t="inlineStr">
        <is>
          <t>Proposed by Source assignment; target 1.4.1 Vehicles and Depot - Fleet Supply</t>
        </is>
      </c>
      <c r="E842" s="34" t="inlineStr">
        <is>
          <t>None recorded</t>
        </is>
      </c>
      <c r="F842" s="34" t="inlineStr">
        <is>
          <t>No individual professional decision recorded; Source assignment -- not individually reviewed</t>
        </is>
      </c>
      <c r="G842" s="34" t="inlineStr">
        <is>
          <t>Not individually decided</t>
        </is>
      </c>
      <c r="H842" s="34" t="inlineStr">
        <is>
          <t xml:space="preserve">APPROVED / ONE_TO_ONE; </t>
        </is>
      </c>
      <c r="I842" s="34" t="inlineStr">
        <is>
          <t>New</t>
        </is>
      </c>
      <c r="J842" s="92" t="inlineStr">
        <is>
          <t>08 CROSSWALK</t>
        </is>
      </c>
    </row>
    <row r="843" ht="49" customHeight="1">
      <c r="A843" s="34" t="inlineStr">
        <is>
          <t>R568-v1</t>
        </is>
      </c>
      <c r="B843" s="34" t="inlineStr">
        <is>
          <t>Contractor Programme / SCH-04-028</t>
        </is>
      </c>
      <c r="C843" s="34" t="inlineStr">
        <is>
          <t>WBS Code = 1.4.1</t>
        </is>
      </c>
      <c r="D843" s="34" t="inlineStr">
        <is>
          <t>Proposed by Source assignment; target 1.4.1 Vehicles and Depot - Fleet Supply</t>
        </is>
      </c>
      <c r="E843" s="34" t="inlineStr">
        <is>
          <t>None recorded</t>
        </is>
      </c>
      <c r="F843" s="34" t="inlineStr">
        <is>
          <t>No individual professional decision recorded; Source assignment -- not individually reviewed</t>
        </is>
      </c>
      <c r="G843" s="34" t="inlineStr">
        <is>
          <t>Not individually decided</t>
        </is>
      </c>
      <c r="H843" s="34" t="inlineStr">
        <is>
          <t xml:space="preserve">APPROVED / ONE_TO_ONE; </t>
        </is>
      </c>
      <c r="I843" s="34" t="inlineStr">
        <is>
          <t>New</t>
        </is>
      </c>
      <c r="J843" s="92" t="inlineStr">
        <is>
          <t>08 CROSSWALK</t>
        </is>
      </c>
    </row>
    <row r="844" ht="49" customHeight="1">
      <c r="A844" s="34" t="inlineStr">
        <is>
          <t>R569-v1</t>
        </is>
      </c>
      <c r="B844" s="34" t="inlineStr">
        <is>
          <t>Contractor Programme / SCH-04-029</t>
        </is>
      </c>
      <c r="C844" s="34" t="inlineStr">
        <is>
          <t>WBS Code = 1.4.1</t>
        </is>
      </c>
      <c r="D844" s="34" t="inlineStr">
        <is>
          <t>Proposed by Source assignment; target 1.4.1 Vehicles and Depot - Fleet Supply</t>
        </is>
      </c>
      <c r="E844" s="34" t="inlineStr">
        <is>
          <t>None recorded</t>
        </is>
      </c>
      <c r="F844" s="34" t="inlineStr">
        <is>
          <t>No individual professional decision recorded; Source assignment -- not individually reviewed</t>
        </is>
      </c>
      <c r="G844" s="34" t="inlineStr">
        <is>
          <t>Not individually decided</t>
        </is>
      </c>
      <c r="H844" s="34" t="inlineStr">
        <is>
          <t xml:space="preserve">APPROVED / ONE_TO_ONE; </t>
        </is>
      </c>
      <c r="I844" s="34" t="inlineStr">
        <is>
          <t>New</t>
        </is>
      </c>
      <c r="J844" s="92" t="inlineStr">
        <is>
          <t>08 CROSSWALK</t>
        </is>
      </c>
    </row>
    <row r="845" ht="49" customHeight="1">
      <c r="A845" s="34" t="inlineStr">
        <is>
          <t>R571-v1</t>
        </is>
      </c>
      <c r="B845" s="34" t="inlineStr">
        <is>
          <t>Contractor Programme / SCH-04-031</t>
        </is>
      </c>
      <c r="C845" s="34" t="inlineStr">
        <is>
          <t>WBS Code = 1.4.1</t>
        </is>
      </c>
      <c r="D845" s="34" t="inlineStr">
        <is>
          <t>Proposed by Source assignment; target 1.4.1 Vehicles and Depot - Fleet Supply</t>
        </is>
      </c>
      <c r="E845" s="34" t="inlineStr">
        <is>
          <t>None recorded</t>
        </is>
      </c>
      <c r="F845" s="34" t="inlineStr">
        <is>
          <t>No individual professional decision recorded; Source assignment -- not individually reviewed</t>
        </is>
      </c>
      <c r="G845" s="34" t="inlineStr">
        <is>
          <t>Not individually decided</t>
        </is>
      </c>
      <c r="H845" s="34" t="inlineStr">
        <is>
          <t xml:space="preserve">APPROVED / ONE_TO_ONE; </t>
        </is>
      </c>
      <c r="I845" s="34" t="inlineStr">
        <is>
          <t>New</t>
        </is>
      </c>
      <c r="J845" s="92" t="inlineStr">
        <is>
          <t>08 CROSSWALK</t>
        </is>
      </c>
    </row>
    <row r="846" ht="49" customHeight="1">
      <c r="A846" s="34" t="inlineStr">
        <is>
          <t>R572-v1</t>
        </is>
      </c>
      <c r="B846" s="34" t="inlineStr">
        <is>
          <t>Contractor Programme / SCH-04-032</t>
        </is>
      </c>
      <c r="C846" s="34" t="inlineStr">
        <is>
          <t>WBS Code = 1.4.1</t>
        </is>
      </c>
      <c r="D846" s="34" t="inlineStr">
        <is>
          <t>Proposed by Source assignment; target 1.4.1 Vehicles and Depot - Fleet Supply</t>
        </is>
      </c>
      <c r="E846" s="34" t="inlineStr">
        <is>
          <t>None recorded</t>
        </is>
      </c>
      <c r="F846" s="34" t="inlineStr">
        <is>
          <t>No individual professional decision recorded; Source assignment -- not individually reviewed</t>
        </is>
      </c>
      <c r="G846" s="34" t="inlineStr">
        <is>
          <t>Not individually decided</t>
        </is>
      </c>
      <c r="H846" s="34" t="inlineStr">
        <is>
          <t xml:space="preserve">APPROVED / ONE_TO_ONE; </t>
        </is>
      </c>
      <c r="I846" s="34" t="inlineStr">
        <is>
          <t>New</t>
        </is>
      </c>
      <c r="J846" s="92" t="inlineStr">
        <is>
          <t>08 CROSSWALK</t>
        </is>
      </c>
    </row>
    <row r="847" ht="49" customHeight="1">
      <c r="A847" s="34" t="inlineStr">
        <is>
          <t>R574-v1</t>
        </is>
      </c>
      <c r="B847" s="34" t="inlineStr">
        <is>
          <t>Contractor Programme / SCH-04-034</t>
        </is>
      </c>
      <c r="C847" s="34" t="inlineStr">
        <is>
          <t>WBS Code = 1.4.1</t>
        </is>
      </c>
      <c r="D847" s="34" t="inlineStr">
        <is>
          <t>Proposed by Source assignment; target 1.4.1 Vehicles and Depot - Fleet Supply</t>
        </is>
      </c>
      <c r="E847" s="34" t="inlineStr">
        <is>
          <t>None recorded</t>
        </is>
      </c>
      <c r="F847" s="34" t="inlineStr">
        <is>
          <t>No individual professional decision recorded; Source assignment -- not individually reviewed</t>
        </is>
      </c>
      <c r="G847" s="34" t="inlineStr">
        <is>
          <t>Not individually decided</t>
        </is>
      </c>
      <c r="H847" s="34" t="inlineStr">
        <is>
          <t xml:space="preserve">APPROVED / ONE_TO_ONE; </t>
        </is>
      </c>
      <c r="I847" s="34" t="inlineStr">
        <is>
          <t>New</t>
        </is>
      </c>
      <c r="J847" s="92" t="inlineStr">
        <is>
          <t>08 CROSSWALK</t>
        </is>
      </c>
    </row>
    <row r="848" ht="49" customHeight="1">
      <c r="A848" s="34" t="inlineStr">
        <is>
          <t>R575-v1</t>
        </is>
      </c>
      <c r="B848" s="34" t="inlineStr">
        <is>
          <t>Contractor Programme / SCH-04-035</t>
        </is>
      </c>
      <c r="C848" s="34" t="inlineStr">
        <is>
          <t>WBS Code = 1.4.1</t>
        </is>
      </c>
      <c r="D848" s="34" t="inlineStr">
        <is>
          <t>Proposed by Source assignment; target 1.4.1 Vehicles and Depot - Fleet Supply</t>
        </is>
      </c>
      <c r="E848" s="34" t="inlineStr">
        <is>
          <t>None recorded</t>
        </is>
      </c>
      <c r="F848" s="34" t="inlineStr">
        <is>
          <t>No individual professional decision recorded; Source assignment -- not individually reviewed</t>
        </is>
      </c>
      <c r="G848" s="34" t="inlineStr">
        <is>
          <t>Not individually decided</t>
        </is>
      </c>
      <c r="H848" s="34" t="inlineStr">
        <is>
          <t xml:space="preserve">APPROVED / ONE_TO_ONE; </t>
        </is>
      </c>
      <c r="I848" s="34" t="inlineStr">
        <is>
          <t>New</t>
        </is>
      </c>
      <c r="J848" s="92" t="inlineStr">
        <is>
          <t>08 CROSSWALK</t>
        </is>
      </c>
    </row>
    <row r="849" ht="49" customHeight="1">
      <c r="A849" s="34" t="inlineStr">
        <is>
          <t>R577-v1</t>
        </is>
      </c>
      <c r="B849" s="34" t="inlineStr">
        <is>
          <t>Contractor Programme / SCH-04-037</t>
        </is>
      </c>
      <c r="C849" s="34" t="inlineStr">
        <is>
          <t>WBS Code = 1.4.1</t>
        </is>
      </c>
      <c r="D849" s="34" t="inlineStr">
        <is>
          <t>Proposed by Source assignment; target 1.4.1 Vehicles and Depot - Fleet Supply</t>
        </is>
      </c>
      <c r="E849" s="34" t="inlineStr">
        <is>
          <t>None recorded</t>
        </is>
      </c>
      <c r="F849" s="34" t="inlineStr">
        <is>
          <t>No individual professional decision recorded; Source assignment -- not individually reviewed</t>
        </is>
      </c>
      <c r="G849" s="34" t="inlineStr">
        <is>
          <t>Not individually decided</t>
        </is>
      </c>
      <c r="H849" s="34" t="inlineStr">
        <is>
          <t xml:space="preserve">APPROVED / ONE_TO_ONE; </t>
        </is>
      </c>
      <c r="I849" s="34" t="inlineStr">
        <is>
          <t>New</t>
        </is>
      </c>
      <c r="J849" s="92" t="inlineStr">
        <is>
          <t>08 CROSSWALK</t>
        </is>
      </c>
    </row>
    <row r="850" ht="49" customHeight="1">
      <c r="A850" s="34" t="inlineStr">
        <is>
          <t>R578-v1</t>
        </is>
      </c>
      <c r="B850" s="34" t="inlineStr">
        <is>
          <t>Contractor Programme / SCH-04-038</t>
        </is>
      </c>
      <c r="C850" s="34" t="inlineStr">
        <is>
          <t>WBS Code = 1.4.1</t>
        </is>
      </c>
      <c r="D850" s="34" t="inlineStr">
        <is>
          <t>Proposed by Source assignment; target 1.4.1 Vehicles and Depot - Fleet Supply</t>
        </is>
      </c>
      <c r="E850" s="34" t="inlineStr">
        <is>
          <t>None recorded</t>
        </is>
      </c>
      <c r="F850" s="34" t="inlineStr">
        <is>
          <t>No individual professional decision recorded; Source assignment -- not individually reviewed</t>
        </is>
      </c>
      <c r="G850" s="34" t="inlineStr">
        <is>
          <t>Not individually decided</t>
        </is>
      </c>
      <c r="H850" s="34" t="inlineStr">
        <is>
          <t xml:space="preserve">APPROVED / ONE_TO_ONE; </t>
        </is>
      </c>
      <c r="I850" s="34" t="inlineStr">
        <is>
          <t>New</t>
        </is>
      </c>
      <c r="J850" s="92" t="inlineStr">
        <is>
          <t>08 CROSSWALK</t>
        </is>
      </c>
    </row>
    <row r="851" ht="49" customHeight="1">
      <c r="A851" s="34" t="inlineStr">
        <is>
          <t>R580-v1</t>
        </is>
      </c>
      <c r="B851" s="34" t="inlineStr">
        <is>
          <t>Contractor Programme / SCH-04-040</t>
        </is>
      </c>
      <c r="C851" s="34" t="inlineStr">
        <is>
          <t>WBS Code = 1.4.1</t>
        </is>
      </c>
      <c r="D851" s="34" t="inlineStr">
        <is>
          <t>Proposed by Source assignment; target 1.4.1 Vehicles and Depot - Fleet Supply</t>
        </is>
      </c>
      <c r="E851" s="34" t="inlineStr">
        <is>
          <t>None recorded</t>
        </is>
      </c>
      <c r="F851" s="34" t="inlineStr">
        <is>
          <t>No individual professional decision recorded; Source assignment -- not individually reviewed</t>
        </is>
      </c>
      <c r="G851" s="34" t="inlineStr">
        <is>
          <t>Not individually decided</t>
        </is>
      </c>
      <c r="H851" s="34" t="inlineStr">
        <is>
          <t xml:space="preserve">APPROVED / ONE_TO_ONE; </t>
        </is>
      </c>
      <c r="I851" s="34" t="inlineStr">
        <is>
          <t>New</t>
        </is>
      </c>
      <c r="J851" s="92" t="inlineStr">
        <is>
          <t>08 CROSSWALK</t>
        </is>
      </c>
    </row>
    <row r="852" ht="49" customHeight="1">
      <c r="A852" s="34" t="inlineStr">
        <is>
          <t>R581-v1</t>
        </is>
      </c>
      <c r="B852" s="34" t="inlineStr">
        <is>
          <t>Contractor Programme / SCH-04-041</t>
        </is>
      </c>
      <c r="C852" s="34" t="inlineStr">
        <is>
          <t>WBS Code = 1.4.1</t>
        </is>
      </c>
      <c r="D852" s="34" t="inlineStr">
        <is>
          <t>Proposed by Source assignment; target 1.4.1 Vehicles and Depot - Fleet Supply</t>
        </is>
      </c>
      <c r="E852" s="34" t="inlineStr">
        <is>
          <t>None recorded</t>
        </is>
      </c>
      <c r="F852" s="34" t="inlineStr">
        <is>
          <t>No individual professional decision recorded; Source assignment -- not individually reviewed</t>
        </is>
      </c>
      <c r="G852" s="34" t="inlineStr">
        <is>
          <t>Not individually decided</t>
        </is>
      </c>
      <c r="H852" s="34" t="inlineStr">
        <is>
          <t xml:space="preserve">APPROVED / ONE_TO_ONE; </t>
        </is>
      </c>
      <c r="I852" s="34" t="inlineStr">
        <is>
          <t>New</t>
        </is>
      </c>
      <c r="J852" s="92" t="inlineStr">
        <is>
          <t>08 CROSSWALK</t>
        </is>
      </c>
    </row>
    <row r="853" ht="49" customHeight="1">
      <c r="A853" s="34" t="inlineStr">
        <is>
          <t>R583-v1</t>
        </is>
      </c>
      <c r="B853" s="34" t="inlineStr">
        <is>
          <t>Contractor Programme / SCH-04-043</t>
        </is>
      </c>
      <c r="C853" s="34" t="inlineStr">
        <is>
          <t>WBS Code = 1.4.1</t>
        </is>
      </c>
      <c r="D853" s="34" t="inlineStr">
        <is>
          <t>Proposed by Source assignment; target 1.4.1 Vehicles and Depot - Fleet Supply</t>
        </is>
      </c>
      <c r="E853" s="34" t="inlineStr">
        <is>
          <t>None recorded</t>
        </is>
      </c>
      <c r="F853" s="34" t="inlineStr">
        <is>
          <t>No individual professional decision recorded; Source assignment -- not individually reviewed</t>
        </is>
      </c>
      <c r="G853" s="34" t="inlineStr">
        <is>
          <t>Not individually decided</t>
        </is>
      </c>
      <c r="H853" s="34" t="inlineStr">
        <is>
          <t xml:space="preserve">APPROVED / ONE_TO_ONE; </t>
        </is>
      </c>
      <c r="I853" s="34" t="inlineStr">
        <is>
          <t>New</t>
        </is>
      </c>
      <c r="J853" s="92" t="inlineStr">
        <is>
          <t>08 CROSSWALK</t>
        </is>
      </c>
    </row>
    <row r="854" ht="49" customHeight="1">
      <c r="A854" s="34" t="inlineStr">
        <is>
          <t>R584-v1</t>
        </is>
      </c>
      <c r="B854" s="34" t="inlineStr">
        <is>
          <t>Contractor Programme / SCH-04-044</t>
        </is>
      </c>
      <c r="C854" s="34" t="inlineStr">
        <is>
          <t>WBS Code = 1.4.1</t>
        </is>
      </c>
      <c r="D854" s="34" t="inlineStr">
        <is>
          <t>Proposed by Source assignment; target 1.4.1 Vehicles and Depot - Fleet Supply</t>
        </is>
      </c>
      <c r="E854" s="34" t="inlineStr">
        <is>
          <t>None recorded</t>
        </is>
      </c>
      <c r="F854" s="34" t="inlineStr">
        <is>
          <t>No individual professional decision recorded; Source assignment -- not individually reviewed</t>
        </is>
      </c>
      <c r="G854" s="34" t="inlineStr">
        <is>
          <t>Not individually decided</t>
        </is>
      </c>
      <c r="H854" s="34" t="inlineStr">
        <is>
          <t xml:space="preserve">APPROVED / ONE_TO_ONE; </t>
        </is>
      </c>
      <c r="I854" s="34" t="inlineStr">
        <is>
          <t>New</t>
        </is>
      </c>
      <c r="J854" s="92" t="inlineStr">
        <is>
          <t>08 CROSSWALK</t>
        </is>
      </c>
    </row>
    <row r="855" ht="49" customHeight="1">
      <c r="A855" s="34" t="inlineStr">
        <is>
          <t>R586-v1</t>
        </is>
      </c>
      <c r="B855" s="34" t="inlineStr">
        <is>
          <t>Contractor Programme / SCH-04-046</t>
        </is>
      </c>
      <c r="C855" s="34" t="inlineStr">
        <is>
          <t>WBS Code = 1.4.1</t>
        </is>
      </c>
      <c r="D855" s="34" t="inlineStr">
        <is>
          <t>Proposed by Source assignment; target 1.4.1 Vehicles and Depot - Fleet Supply</t>
        </is>
      </c>
      <c r="E855" s="34" t="inlineStr">
        <is>
          <t>None recorded</t>
        </is>
      </c>
      <c r="F855" s="34" t="inlineStr">
        <is>
          <t>No individual professional decision recorded; Source assignment -- not individually reviewed</t>
        </is>
      </c>
      <c r="G855" s="34" t="inlineStr">
        <is>
          <t>Not individually decided</t>
        </is>
      </c>
      <c r="H855" s="34" t="inlineStr">
        <is>
          <t xml:space="preserve">APPROVED / ONE_TO_ONE; </t>
        </is>
      </c>
      <c r="I855" s="34" t="inlineStr">
        <is>
          <t>New</t>
        </is>
      </c>
      <c r="J855" s="92" t="inlineStr">
        <is>
          <t>08 CROSSWALK</t>
        </is>
      </c>
    </row>
    <row r="856" ht="49" customHeight="1">
      <c r="A856" s="34" t="inlineStr">
        <is>
          <t>R587-v1</t>
        </is>
      </c>
      <c r="B856" s="34" t="inlineStr">
        <is>
          <t>Contractor Programme / SCH-04-047</t>
        </is>
      </c>
      <c r="C856" s="34" t="inlineStr">
        <is>
          <t>WBS Code = 1.4.1</t>
        </is>
      </c>
      <c r="D856" s="34" t="inlineStr">
        <is>
          <t>Proposed by Source assignment; target 1.4.1 Vehicles and Depot - Fleet Supply</t>
        </is>
      </c>
      <c r="E856" s="34" t="inlineStr">
        <is>
          <t>None recorded</t>
        </is>
      </c>
      <c r="F856" s="34" t="inlineStr">
        <is>
          <t>No individual professional decision recorded; Source assignment -- not individually reviewed</t>
        </is>
      </c>
      <c r="G856" s="34" t="inlineStr">
        <is>
          <t>Not individually decided</t>
        </is>
      </c>
      <c r="H856" s="34" t="inlineStr">
        <is>
          <t xml:space="preserve">APPROVED / ONE_TO_ONE; </t>
        </is>
      </c>
      <c r="I856" s="34" t="inlineStr">
        <is>
          <t>New</t>
        </is>
      </c>
      <c r="J856" s="92" t="inlineStr">
        <is>
          <t>08 CROSSWALK</t>
        </is>
      </c>
    </row>
    <row r="857" ht="49" customHeight="1">
      <c r="A857" s="34" t="inlineStr">
        <is>
          <t>R589-v1</t>
        </is>
      </c>
      <c r="B857" s="34" t="inlineStr">
        <is>
          <t>Contractor Programme / SCH-04-049</t>
        </is>
      </c>
      <c r="C857" s="34" t="inlineStr">
        <is>
          <t>WBS Code = 1.4.1</t>
        </is>
      </c>
      <c r="D857" s="34" t="inlineStr">
        <is>
          <t>Proposed by Source assignment; target 1.4.1 Vehicles and Depot - Fleet Supply</t>
        </is>
      </c>
      <c r="E857" s="34" t="inlineStr">
        <is>
          <t>None recorded</t>
        </is>
      </c>
      <c r="F857" s="34" t="inlineStr">
        <is>
          <t>No individual professional decision recorded; Source assignment -- not individually reviewed</t>
        </is>
      </c>
      <c r="G857" s="34" t="inlineStr">
        <is>
          <t>Not individually decided</t>
        </is>
      </c>
      <c r="H857" s="34" t="inlineStr">
        <is>
          <t xml:space="preserve">APPROVED / ONE_TO_ONE; </t>
        </is>
      </c>
      <c r="I857" s="34" t="inlineStr">
        <is>
          <t>New</t>
        </is>
      </c>
      <c r="J857" s="92" t="inlineStr">
        <is>
          <t>08 CROSSWALK</t>
        </is>
      </c>
    </row>
    <row r="858" ht="49" customHeight="1">
      <c r="A858" s="34" t="inlineStr">
        <is>
          <t>R590-v1</t>
        </is>
      </c>
      <c r="B858" s="34" t="inlineStr">
        <is>
          <t>Contractor Programme / SCH-04-050</t>
        </is>
      </c>
      <c r="C858" s="34" t="inlineStr">
        <is>
          <t>WBS Code = 1.4.1</t>
        </is>
      </c>
      <c r="D858" s="34" t="inlineStr">
        <is>
          <t>Proposed by Source assignment; target 1.4.1 Vehicles and Depot - Fleet Supply</t>
        </is>
      </c>
      <c r="E858" s="34" t="inlineStr">
        <is>
          <t>None recorded</t>
        </is>
      </c>
      <c r="F858" s="34" t="inlineStr">
        <is>
          <t>No individual professional decision recorded; Source assignment -- not individually reviewed</t>
        </is>
      </c>
      <c r="G858" s="34" t="inlineStr">
        <is>
          <t>Not individually decided</t>
        </is>
      </c>
      <c r="H858" s="34" t="inlineStr">
        <is>
          <t xml:space="preserve">APPROVED / ONE_TO_ONE; </t>
        </is>
      </c>
      <c r="I858" s="34" t="inlineStr">
        <is>
          <t>New</t>
        </is>
      </c>
      <c r="J858" s="92" t="inlineStr">
        <is>
          <t>08 CROSSWALK</t>
        </is>
      </c>
    </row>
    <row r="859" ht="49" customHeight="1">
      <c r="A859" s="34" t="inlineStr">
        <is>
          <t>R592-v1</t>
        </is>
      </c>
      <c r="B859" s="34" t="inlineStr">
        <is>
          <t>Contractor Programme / SCH-04-052</t>
        </is>
      </c>
      <c r="C859" s="34" t="inlineStr">
        <is>
          <t>WBS Code = 1.4.1</t>
        </is>
      </c>
      <c r="D859" s="34" t="inlineStr">
        <is>
          <t>Proposed by Source assignment; target 1.4.1 Vehicles and Depot - Fleet Supply</t>
        </is>
      </c>
      <c r="E859" s="34" t="inlineStr">
        <is>
          <t>None recorded</t>
        </is>
      </c>
      <c r="F859" s="34" t="inlineStr">
        <is>
          <t>No individual professional decision recorded; Source assignment -- not individually reviewed</t>
        </is>
      </c>
      <c r="G859" s="34" t="inlineStr">
        <is>
          <t>Not individually decided</t>
        </is>
      </c>
      <c r="H859" s="34" t="inlineStr">
        <is>
          <t xml:space="preserve">APPROVED / ONE_TO_ONE; </t>
        </is>
      </c>
      <c r="I859" s="34" t="inlineStr">
        <is>
          <t>New</t>
        </is>
      </c>
      <c r="J859" s="92" t="inlineStr">
        <is>
          <t>08 CROSSWALK</t>
        </is>
      </c>
    </row>
    <row r="860" ht="49" customHeight="1">
      <c r="A860" s="34" t="inlineStr">
        <is>
          <t>R593-v1</t>
        </is>
      </c>
      <c r="B860" s="34" t="inlineStr">
        <is>
          <t>Contractor Programme / SCH-04-053</t>
        </is>
      </c>
      <c r="C860" s="34" t="inlineStr">
        <is>
          <t>WBS Code = 1.4.1</t>
        </is>
      </c>
      <c r="D860" s="34" t="inlineStr">
        <is>
          <t>Proposed by Source assignment; target 1.4.1 Vehicles and Depot - Fleet Supply</t>
        </is>
      </c>
      <c r="E860" s="34" t="inlineStr">
        <is>
          <t>None recorded</t>
        </is>
      </c>
      <c r="F860" s="34" t="inlineStr">
        <is>
          <t>No individual professional decision recorded; Source assignment -- not individually reviewed</t>
        </is>
      </c>
      <c r="G860" s="34" t="inlineStr">
        <is>
          <t>Not individually decided</t>
        </is>
      </c>
      <c r="H860" s="34" t="inlineStr">
        <is>
          <t xml:space="preserve">APPROVED / ONE_TO_ONE; </t>
        </is>
      </c>
      <c r="I860" s="34" t="inlineStr">
        <is>
          <t>New</t>
        </is>
      </c>
      <c r="J860" s="92" t="inlineStr">
        <is>
          <t>08 CROSSWALK</t>
        </is>
      </c>
    </row>
    <row r="861" ht="49" customHeight="1">
      <c r="A861" s="34" t="inlineStr">
        <is>
          <t>R595-v1</t>
        </is>
      </c>
      <c r="B861" s="34" t="inlineStr">
        <is>
          <t>Contractor Programme / SCH-04-055</t>
        </is>
      </c>
      <c r="C861" s="34" t="inlineStr">
        <is>
          <t>WBS Code = 1.4.1</t>
        </is>
      </c>
      <c r="D861" s="34" t="inlineStr">
        <is>
          <t>Proposed by Source assignment; target 1.4.1 Vehicles and Depot - Fleet Supply</t>
        </is>
      </c>
      <c r="E861" s="34" t="inlineStr">
        <is>
          <t>None recorded</t>
        </is>
      </c>
      <c r="F861" s="34" t="inlineStr">
        <is>
          <t>No individual professional decision recorded; Source assignment -- not individually reviewed</t>
        </is>
      </c>
      <c r="G861" s="34" t="inlineStr">
        <is>
          <t>Not individually decided</t>
        </is>
      </c>
      <c r="H861" s="34" t="inlineStr">
        <is>
          <t xml:space="preserve">APPROVED / ONE_TO_ONE; </t>
        </is>
      </c>
      <c r="I861" s="34" t="inlineStr">
        <is>
          <t>New</t>
        </is>
      </c>
      <c r="J861" s="92" t="inlineStr">
        <is>
          <t>08 CROSSWALK</t>
        </is>
      </c>
    </row>
    <row r="862" ht="49" customHeight="1">
      <c r="A862" s="34" t="inlineStr">
        <is>
          <t>R596-v1</t>
        </is>
      </c>
      <c r="B862" s="34" t="inlineStr">
        <is>
          <t>Contractor Programme / SCH-04-056</t>
        </is>
      </c>
      <c r="C862" s="34" t="inlineStr">
        <is>
          <t>WBS Code = 1.4.1</t>
        </is>
      </c>
      <c r="D862" s="34" t="inlineStr">
        <is>
          <t>Proposed by Source assignment; target 1.4.1 Vehicles and Depot - Fleet Supply</t>
        </is>
      </c>
      <c r="E862" s="34" t="inlineStr">
        <is>
          <t>None recorded</t>
        </is>
      </c>
      <c r="F862" s="34" t="inlineStr">
        <is>
          <t>No individual professional decision recorded; Source assignment -- not individually reviewed</t>
        </is>
      </c>
      <c r="G862" s="34" t="inlineStr">
        <is>
          <t>Not individually decided</t>
        </is>
      </c>
      <c r="H862" s="34" t="inlineStr">
        <is>
          <t xml:space="preserve">APPROVED / ONE_TO_ONE; </t>
        </is>
      </c>
      <c r="I862" s="34" t="inlineStr">
        <is>
          <t>New</t>
        </is>
      </c>
      <c r="J862" s="92" t="inlineStr">
        <is>
          <t>08 CROSSWALK</t>
        </is>
      </c>
    </row>
    <row r="863" ht="49" customHeight="1">
      <c r="A863" s="34" t="inlineStr">
        <is>
          <t>R598-v1</t>
        </is>
      </c>
      <c r="B863" s="34" t="inlineStr">
        <is>
          <t>Contractor Programme / SCH-04-058</t>
        </is>
      </c>
      <c r="C863" s="34" t="inlineStr">
        <is>
          <t>WBS Code = 1.4.1</t>
        </is>
      </c>
      <c r="D863" s="34" t="inlineStr">
        <is>
          <t>Proposed by Source assignment; target 1.4.1 Vehicles and Depot - Fleet Supply</t>
        </is>
      </c>
      <c r="E863" s="34" t="inlineStr">
        <is>
          <t>None recorded</t>
        </is>
      </c>
      <c r="F863" s="34" t="inlineStr">
        <is>
          <t>No individual professional decision recorded; Source assignment -- not individually reviewed</t>
        </is>
      </c>
      <c r="G863" s="34" t="inlineStr">
        <is>
          <t>Not individually decided</t>
        </is>
      </c>
      <c r="H863" s="34" t="inlineStr">
        <is>
          <t xml:space="preserve">APPROVED / ONE_TO_ONE; </t>
        </is>
      </c>
      <c r="I863" s="34" t="inlineStr">
        <is>
          <t>New</t>
        </is>
      </c>
      <c r="J863" s="92" t="inlineStr">
        <is>
          <t>08 CROSSWALK</t>
        </is>
      </c>
    </row>
    <row r="864" ht="49" customHeight="1">
      <c r="A864" s="34" t="inlineStr">
        <is>
          <t>R599-v1</t>
        </is>
      </c>
      <c r="B864" s="34" t="inlineStr">
        <is>
          <t>Contractor Programme / SCH-04-059</t>
        </is>
      </c>
      <c r="C864" s="34" t="inlineStr">
        <is>
          <t>WBS Code = 1.4.1</t>
        </is>
      </c>
      <c r="D864" s="34" t="inlineStr">
        <is>
          <t>Proposed by Source assignment; target 1.4.1 Vehicles and Depot - Fleet Supply</t>
        </is>
      </c>
      <c r="E864" s="34" t="inlineStr">
        <is>
          <t>None recorded</t>
        </is>
      </c>
      <c r="F864" s="34" t="inlineStr">
        <is>
          <t>No individual professional decision recorded; Source assignment -- not individually reviewed</t>
        </is>
      </c>
      <c r="G864" s="34" t="inlineStr">
        <is>
          <t>Not individually decided</t>
        </is>
      </c>
      <c r="H864" s="34" t="inlineStr">
        <is>
          <t xml:space="preserve">APPROVED / ONE_TO_ONE; </t>
        </is>
      </c>
      <c r="I864" s="34" t="inlineStr">
        <is>
          <t>New</t>
        </is>
      </c>
      <c r="J864" s="92" t="inlineStr">
        <is>
          <t>08 CROSSWALK</t>
        </is>
      </c>
    </row>
    <row r="865" ht="49" customHeight="1">
      <c r="A865" s="34" t="inlineStr">
        <is>
          <t>R601-v1</t>
        </is>
      </c>
      <c r="B865" s="34" t="inlineStr">
        <is>
          <t>Contractor Programme / SCH-04-061</t>
        </is>
      </c>
      <c r="C865" s="34" t="inlineStr">
        <is>
          <t>WBS Code = 1.4.1</t>
        </is>
      </c>
      <c r="D865" s="34" t="inlineStr">
        <is>
          <t>Proposed by Source assignment; target 1.4.1 Vehicles and Depot - Fleet Supply</t>
        </is>
      </c>
      <c r="E865" s="34" t="inlineStr">
        <is>
          <t>None recorded</t>
        </is>
      </c>
      <c r="F865" s="34" t="inlineStr">
        <is>
          <t>No individual professional decision recorded; Source assignment -- not individually reviewed</t>
        </is>
      </c>
      <c r="G865" s="34" t="inlineStr">
        <is>
          <t>Not individually decided</t>
        </is>
      </c>
      <c r="H865" s="34" t="inlineStr">
        <is>
          <t xml:space="preserve">APPROVED / ONE_TO_ONE; </t>
        </is>
      </c>
      <c r="I865" s="34" t="inlineStr">
        <is>
          <t>New</t>
        </is>
      </c>
      <c r="J865" s="92" t="inlineStr">
        <is>
          <t>08 CROSSWALK</t>
        </is>
      </c>
    </row>
    <row r="866" ht="49" customHeight="1">
      <c r="A866" s="34" t="inlineStr">
        <is>
          <t>R602-v1</t>
        </is>
      </c>
      <c r="B866" s="34" t="inlineStr">
        <is>
          <t>Contractor Programme / SCH-04-062</t>
        </is>
      </c>
      <c r="C866" s="34" t="inlineStr">
        <is>
          <t>WBS Code = 1.4.1</t>
        </is>
      </c>
      <c r="D866" s="34" t="inlineStr">
        <is>
          <t>Proposed by Source assignment; target 1.4.1 Vehicles and Depot - Fleet Supply</t>
        </is>
      </c>
      <c r="E866" s="34" t="inlineStr">
        <is>
          <t>None recorded</t>
        </is>
      </c>
      <c r="F866" s="34" t="inlineStr">
        <is>
          <t>No individual professional decision recorded; Source assignment -- not individually reviewed</t>
        </is>
      </c>
      <c r="G866" s="34" t="inlineStr">
        <is>
          <t>Not individually decided</t>
        </is>
      </c>
      <c r="H866" s="34" t="inlineStr">
        <is>
          <t xml:space="preserve">APPROVED / ONE_TO_ONE; </t>
        </is>
      </c>
      <c r="I866" s="34" t="inlineStr">
        <is>
          <t>New</t>
        </is>
      </c>
      <c r="J866" s="92" t="inlineStr">
        <is>
          <t>08 CROSSWALK</t>
        </is>
      </c>
    </row>
    <row r="867" ht="49" customHeight="1">
      <c r="A867" s="34" t="inlineStr">
        <is>
          <t>R604-v1</t>
        </is>
      </c>
      <c r="B867" s="34" t="inlineStr">
        <is>
          <t>Contractor Programme / SCH-04-064</t>
        </is>
      </c>
      <c r="C867" s="34" t="inlineStr">
        <is>
          <t>WBS Code = 1.4.1</t>
        </is>
      </c>
      <c r="D867" s="34" t="inlineStr">
        <is>
          <t>Proposed by Source assignment; target 1.4.1 Vehicles and Depot - Fleet Supply</t>
        </is>
      </c>
      <c r="E867" s="34" t="inlineStr">
        <is>
          <t>None recorded</t>
        </is>
      </c>
      <c r="F867" s="34" t="inlineStr">
        <is>
          <t>No individual professional decision recorded; Source assignment -- not individually reviewed</t>
        </is>
      </c>
      <c r="G867" s="34" t="inlineStr">
        <is>
          <t>Not individually decided</t>
        </is>
      </c>
      <c r="H867" s="34" t="inlineStr">
        <is>
          <t xml:space="preserve">APPROVED / ONE_TO_ONE; </t>
        </is>
      </c>
      <c r="I867" s="34" t="inlineStr">
        <is>
          <t>New</t>
        </is>
      </c>
      <c r="J867" s="92" t="inlineStr">
        <is>
          <t>08 CROSSWALK</t>
        </is>
      </c>
    </row>
    <row r="868" ht="49" customHeight="1">
      <c r="A868" s="34" t="inlineStr">
        <is>
          <t>R605-v1</t>
        </is>
      </c>
      <c r="B868" s="34" t="inlineStr">
        <is>
          <t>Contractor Programme / SCH-04-065</t>
        </is>
      </c>
      <c r="C868" s="34" t="inlineStr">
        <is>
          <t>WBS Code = 1.4.1</t>
        </is>
      </c>
      <c r="D868" s="34" t="inlineStr">
        <is>
          <t>Proposed by Source assignment; target 1.4.1 Vehicles and Depot - Fleet Supply</t>
        </is>
      </c>
      <c r="E868" s="34" t="inlineStr">
        <is>
          <t>None recorded</t>
        </is>
      </c>
      <c r="F868" s="34" t="inlineStr">
        <is>
          <t>No individual professional decision recorded; Source assignment -- not individually reviewed</t>
        </is>
      </c>
      <c r="G868" s="34" t="inlineStr">
        <is>
          <t>Not individually decided</t>
        </is>
      </c>
      <c r="H868" s="34" t="inlineStr">
        <is>
          <t xml:space="preserve">APPROVED / ONE_TO_ONE; </t>
        </is>
      </c>
      <c r="I868" s="34" t="inlineStr">
        <is>
          <t>New</t>
        </is>
      </c>
      <c r="J868" s="92" t="inlineStr">
        <is>
          <t>08 CROSSWALK</t>
        </is>
      </c>
    </row>
    <row r="869" ht="49" customHeight="1">
      <c r="A869" s="34" t="inlineStr">
        <is>
          <t>R607-v1</t>
        </is>
      </c>
      <c r="B869" s="34" t="inlineStr">
        <is>
          <t>Contractor Programme / SCH-04-067</t>
        </is>
      </c>
      <c r="C869" s="34" t="inlineStr">
        <is>
          <t>WBS Code = 1.4.1</t>
        </is>
      </c>
      <c r="D869" s="34" t="inlineStr">
        <is>
          <t>Proposed by Source assignment; target 1.4.1 Vehicles and Depot - Fleet Supply</t>
        </is>
      </c>
      <c r="E869" s="34" t="inlineStr">
        <is>
          <t>None recorded</t>
        </is>
      </c>
      <c r="F869" s="34" t="inlineStr">
        <is>
          <t>No individual professional decision recorded; Source assignment -- not individually reviewed</t>
        </is>
      </c>
      <c r="G869" s="34" t="inlineStr">
        <is>
          <t>Not individually decided</t>
        </is>
      </c>
      <c r="H869" s="34" t="inlineStr">
        <is>
          <t xml:space="preserve">APPROVED / ONE_TO_ONE; </t>
        </is>
      </c>
      <c r="I869" s="34" t="inlineStr">
        <is>
          <t>New</t>
        </is>
      </c>
      <c r="J869" s="92" t="inlineStr">
        <is>
          <t>08 CROSSWALK</t>
        </is>
      </c>
    </row>
    <row r="870" ht="49" customHeight="1">
      <c r="A870" s="34" t="inlineStr">
        <is>
          <t>R608-v1</t>
        </is>
      </c>
      <c r="B870" s="34" t="inlineStr">
        <is>
          <t>Contractor Programme / SCH-04-068</t>
        </is>
      </c>
      <c r="C870" s="34" t="inlineStr">
        <is>
          <t>WBS Code = 1.4.1</t>
        </is>
      </c>
      <c r="D870" s="34" t="inlineStr">
        <is>
          <t>Proposed by Source assignment; target 1.4.1 Vehicles and Depot - Fleet Supply</t>
        </is>
      </c>
      <c r="E870" s="34" t="inlineStr">
        <is>
          <t>None recorded</t>
        </is>
      </c>
      <c r="F870" s="34" t="inlineStr">
        <is>
          <t>No individual professional decision recorded; Source assignment -- not individually reviewed</t>
        </is>
      </c>
      <c r="G870" s="34" t="inlineStr">
        <is>
          <t>Not individually decided</t>
        </is>
      </c>
      <c r="H870" s="34" t="inlineStr">
        <is>
          <t xml:space="preserve">APPROVED / ONE_TO_ONE; </t>
        </is>
      </c>
      <c r="I870" s="34" t="inlineStr">
        <is>
          <t>New</t>
        </is>
      </c>
      <c r="J870" s="92" t="inlineStr">
        <is>
          <t>08 CROSSWALK</t>
        </is>
      </c>
    </row>
    <row r="871" ht="49" customHeight="1">
      <c r="A871" s="34" t="inlineStr">
        <is>
          <t>R610-v1</t>
        </is>
      </c>
      <c r="B871" s="34" t="inlineStr">
        <is>
          <t>Contractor Programme / SCH-04-070</t>
        </is>
      </c>
      <c r="C871" s="34" t="inlineStr">
        <is>
          <t>WBS Code = 1.4.1</t>
        </is>
      </c>
      <c r="D871" s="34" t="inlineStr">
        <is>
          <t>Proposed by Source assignment; target 1.4.1 Vehicles and Depot - Fleet Supply</t>
        </is>
      </c>
      <c r="E871" s="34" t="inlineStr">
        <is>
          <t>None recorded</t>
        </is>
      </c>
      <c r="F871" s="34" t="inlineStr">
        <is>
          <t>No individual professional decision recorded; Source assignment -- not individually reviewed</t>
        </is>
      </c>
      <c r="G871" s="34" t="inlineStr">
        <is>
          <t>Not individually decided</t>
        </is>
      </c>
      <c r="H871" s="34" t="inlineStr">
        <is>
          <t xml:space="preserve">APPROVED / ONE_TO_ONE; </t>
        </is>
      </c>
      <c r="I871" s="34" t="inlineStr">
        <is>
          <t>New</t>
        </is>
      </c>
      <c r="J871" s="92" t="inlineStr">
        <is>
          <t>08 CROSSWALK</t>
        </is>
      </c>
    </row>
    <row r="872" ht="49" customHeight="1">
      <c r="A872" s="34" t="inlineStr">
        <is>
          <t>R611-v1</t>
        </is>
      </c>
      <c r="B872" s="34" t="inlineStr">
        <is>
          <t>Contractor Programme / SCH-04-071</t>
        </is>
      </c>
      <c r="C872" s="34" t="inlineStr">
        <is>
          <t>WBS Code = 1.4.1</t>
        </is>
      </c>
      <c r="D872" s="34" t="inlineStr">
        <is>
          <t>Proposed by Source assignment; target 1.4.1 Vehicles and Depot - Fleet Supply</t>
        </is>
      </c>
      <c r="E872" s="34" t="inlineStr">
        <is>
          <t>None recorded</t>
        </is>
      </c>
      <c r="F872" s="34" t="inlineStr">
        <is>
          <t>No individual professional decision recorded; Source assignment -- not individually reviewed</t>
        </is>
      </c>
      <c r="G872" s="34" t="inlineStr">
        <is>
          <t>Not individually decided</t>
        </is>
      </c>
      <c r="H872" s="34" t="inlineStr">
        <is>
          <t xml:space="preserve">APPROVED / ONE_TO_ONE; </t>
        </is>
      </c>
      <c r="I872" s="34" t="inlineStr">
        <is>
          <t>New</t>
        </is>
      </c>
      <c r="J872" s="92" t="inlineStr">
        <is>
          <t>08 CROSSWALK</t>
        </is>
      </c>
    </row>
    <row r="873" ht="49" customHeight="1">
      <c r="A873" s="34" t="inlineStr">
        <is>
          <t>R613-v1</t>
        </is>
      </c>
      <c r="B873" s="34" t="inlineStr">
        <is>
          <t>Contractor Programme / SCH-04-073</t>
        </is>
      </c>
      <c r="C873" s="34" t="inlineStr">
        <is>
          <t>WBS Code = 1.4.1</t>
        </is>
      </c>
      <c r="D873" s="34" t="inlineStr">
        <is>
          <t>Proposed by Source assignment; target 1.4.1 Vehicles and Depot - Fleet Supply</t>
        </is>
      </c>
      <c r="E873" s="34" t="inlineStr">
        <is>
          <t>None recorded</t>
        </is>
      </c>
      <c r="F873" s="34" t="inlineStr">
        <is>
          <t>No individual professional decision recorded; Source assignment -- not individually reviewed</t>
        </is>
      </c>
      <c r="G873" s="34" t="inlineStr">
        <is>
          <t>Not individually decided</t>
        </is>
      </c>
      <c r="H873" s="34" t="inlineStr">
        <is>
          <t xml:space="preserve">APPROVED / ONE_TO_ONE; </t>
        </is>
      </c>
      <c r="I873" s="34" t="inlineStr">
        <is>
          <t>New</t>
        </is>
      </c>
      <c r="J873" s="92" t="inlineStr">
        <is>
          <t>08 CROSSWALK</t>
        </is>
      </c>
    </row>
    <row r="874" ht="49" customHeight="1">
      <c r="A874" s="34" t="inlineStr">
        <is>
          <t>R614-v1</t>
        </is>
      </c>
      <c r="B874" s="34" t="inlineStr">
        <is>
          <t>Contractor Programme / SCH-04-074</t>
        </is>
      </c>
      <c r="C874" s="34" t="inlineStr">
        <is>
          <t>WBS Code = 1.4.1</t>
        </is>
      </c>
      <c r="D874" s="34" t="inlineStr">
        <is>
          <t>Proposed by Source assignment; target 1.4.1 Vehicles and Depot - Fleet Supply</t>
        </is>
      </c>
      <c r="E874" s="34" t="inlineStr">
        <is>
          <t>None recorded</t>
        </is>
      </c>
      <c r="F874" s="34" t="inlineStr">
        <is>
          <t>No individual professional decision recorded; Source assignment -- not individually reviewed</t>
        </is>
      </c>
      <c r="G874" s="34" t="inlineStr">
        <is>
          <t>Not individually decided</t>
        </is>
      </c>
      <c r="H874" s="34" t="inlineStr">
        <is>
          <t xml:space="preserve">APPROVED / ONE_TO_ONE; </t>
        </is>
      </c>
      <c r="I874" s="34" t="inlineStr">
        <is>
          <t>New</t>
        </is>
      </c>
      <c r="J874" s="92" t="inlineStr">
        <is>
          <t>08 CROSSWALK</t>
        </is>
      </c>
    </row>
    <row r="875" ht="49" customHeight="1">
      <c r="A875" s="34" t="inlineStr">
        <is>
          <t>R616-v1</t>
        </is>
      </c>
      <c r="B875" s="34" t="inlineStr">
        <is>
          <t>Contractor Programme / SCH-04-076</t>
        </is>
      </c>
      <c r="C875" s="34" t="inlineStr">
        <is>
          <t>WBS Code = 1.4.1</t>
        </is>
      </c>
      <c r="D875" s="34" t="inlineStr">
        <is>
          <t>Proposed by Source assignment; target 1.4.1 Vehicles and Depot - Fleet Supply</t>
        </is>
      </c>
      <c r="E875" s="34" t="inlineStr">
        <is>
          <t>None recorded</t>
        </is>
      </c>
      <c r="F875" s="34" t="inlineStr">
        <is>
          <t>No individual professional decision recorded; Source assignment -- not individually reviewed</t>
        </is>
      </c>
      <c r="G875" s="34" t="inlineStr">
        <is>
          <t>Not individually decided</t>
        </is>
      </c>
      <c r="H875" s="34" t="inlineStr">
        <is>
          <t xml:space="preserve">APPROVED / ONE_TO_ONE; </t>
        </is>
      </c>
      <c r="I875" s="34" t="inlineStr">
        <is>
          <t>New</t>
        </is>
      </c>
      <c r="J875" s="92" t="inlineStr">
        <is>
          <t>08 CROSSWALK</t>
        </is>
      </c>
    </row>
    <row r="876" ht="49" customHeight="1">
      <c r="A876" s="34" t="inlineStr">
        <is>
          <t>R617-v1</t>
        </is>
      </c>
      <c r="B876" s="34" t="inlineStr">
        <is>
          <t>Contractor Programme / SCH-04-077</t>
        </is>
      </c>
      <c r="C876" s="34" t="inlineStr">
        <is>
          <t>WBS Code = 1.4.1</t>
        </is>
      </c>
      <c r="D876" s="34" t="inlineStr">
        <is>
          <t>Proposed by Source assignment; target 1.4.1 Vehicles and Depot - Fleet Supply</t>
        </is>
      </c>
      <c r="E876" s="34" t="inlineStr">
        <is>
          <t>None recorded</t>
        </is>
      </c>
      <c r="F876" s="34" t="inlineStr">
        <is>
          <t>No individual professional decision recorded; Source assignment -- not individually reviewed</t>
        </is>
      </c>
      <c r="G876" s="34" t="inlineStr">
        <is>
          <t>Not individually decided</t>
        </is>
      </c>
      <c r="H876" s="34" t="inlineStr">
        <is>
          <t xml:space="preserve">APPROVED / ONE_TO_ONE; </t>
        </is>
      </c>
      <c r="I876" s="34" t="inlineStr">
        <is>
          <t>New</t>
        </is>
      </c>
      <c r="J876" s="92" t="inlineStr">
        <is>
          <t>08 CROSSWALK</t>
        </is>
      </c>
    </row>
    <row r="877" ht="49" customHeight="1">
      <c r="A877" s="34" t="inlineStr">
        <is>
          <t>R619-v1</t>
        </is>
      </c>
      <c r="B877" s="34" t="inlineStr">
        <is>
          <t>Contractor Programme / SCH-04-079</t>
        </is>
      </c>
      <c r="C877" s="34" t="inlineStr">
        <is>
          <t>WBS Code = 1.4.1</t>
        </is>
      </c>
      <c r="D877" s="34" t="inlineStr">
        <is>
          <t>Proposed by Source assignment; target 1.4.1 Vehicles and Depot - Fleet Supply</t>
        </is>
      </c>
      <c r="E877" s="34" t="inlineStr">
        <is>
          <t>None recorded</t>
        </is>
      </c>
      <c r="F877" s="34" t="inlineStr">
        <is>
          <t>No individual professional decision recorded; Source assignment -- not individually reviewed</t>
        </is>
      </c>
      <c r="G877" s="34" t="inlineStr">
        <is>
          <t>Not individually decided</t>
        </is>
      </c>
      <c r="H877" s="34" t="inlineStr">
        <is>
          <t xml:space="preserve">APPROVED / ONE_TO_ONE; </t>
        </is>
      </c>
      <c r="I877" s="34" t="inlineStr">
        <is>
          <t>New</t>
        </is>
      </c>
      <c r="J877" s="92" t="inlineStr">
        <is>
          <t>08 CROSSWALK</t>
        </is>
      </c>
    </row>
    <row r="878" ht="49" customHeight="1">
      <c r="A878" s="34" t="inlineStr">
        <is>
          <t>R620-v1</t>
        </is>
      </c>
      <c r="B878" s="34" t="inlineStr">
        <is>
          <t>Contractor Programme / SCH-04-080</t>
        </is>
      </c>
      <c r="C878" s="34" t="inlineStr">
        <is>
          <t>WBS Code = 1.4.1</t>
        </is>
      </c>
      <c r="D878" s="34" t="inlineStr">
        <is>
          <t>Proposed by Source assignment; target 1.4.1 Vehicles and Depot - Fleet Supply</t>
        </is>
      </c>
      <c r="E878" s="34" t="inlineStr">
        <is>
          <t>None recorded</t>
        </is>
      </c>
      <c r="F878" s="34" t="inlineStr">
        <is>
          <t>No individual professional decision recorded; Source assignment -- not individually reviewed</t>
        </is>
      </c>
      <c r="G878" s="34" t="inlineStr">
        <is>
          <t>Not individually decided</t>
        </is>
      </c>
      <c r="H878" s="34" t="inlineStr">
        <is>
          <t xml:space="preserve">APPROVED / ONE_TO_ONE; </t>
        </is>
      </c>
      <c r="I878" s="34" t="inlineStr">
        <is>
          <t>New</t>
        </is>
      </c>
      <c r="J878" s="92" t="inlineStr">
        <is>
          <t>08 CROSSWALK</t>
        </is>
      </c>
    </row>
    <row r="879" ht="49" customHeight="1">
      <c r="A879" s="34" t="inlineStr">
        <is>
          <t>R622-v1</t>
        </is>
      </c>
      <c r="B879" s="34" t="inlineStr">
        <is>
          <t>Contractor Programme / SCH-04-082</t>
        </is>
      </c>
      <c r="C879" s="34" t="inlineStr">
        <is>
          <t>WBS Code = 1.4.1</t>
        </is>
      </c>
      <c r="D879" s="34" t="inlineStr">
        <is>
          <t>Proposed by Source assignment; target 1.4.1 Vehicles and Depot - Fleet Supply</t>
        </is>
      </c>
      <c r="E879" s="34" t="inlineStr">
        <is>
          <t>None recorded</t>
        </is>
      </c>
      <c r="F879" s="34" t="inlineStr">
        <is>
          <t>No individual professional decision recorded; Source assignment -- not individually reviewed</t>
        </is>
      </c>
      <c r="G879" s="34" t="inlineStr">
        <is>
          <t>Not individually decided</t>
        </is>
      </c>
      <c r="H879" s="34" t="inlineStr">
        <is>
          <t xml:space="preserve">APPROVED / ONE_TO_ONE; </t>
        </is>
      </c>
      <c r="I879" s="34" t="inlineStr">
        <is>
          <t>New</t>
        </is>
      </c>
      <c r="J879" s="92" t="inlineStr">
        <is>
          <t>08 CROSSWALK</t>
        </is>
      </c>
    </row>
    <row r="880" ht="49" customHeight="1">
      <c r="A880" s="34" t="inlineStr">
        <is>
          <t>R623-v1</t>
        </is>
      </c>
      <c r="B880" s="34" t="inlineStr">
        <is>
          <t>Contractor Programme / SCH-04-083</t>
        </is>
      </c>
      <c r="C880" s="34" t="inlineStr">
        <is>
          <t>WBS Code = 1.4.1</t>
        </is>
      </c>
      <c r="D880" s="34" t="inlineStr">
        <is>
          <t>Proposed by Source assignment; target 1.4.1 Vehicles and Depot - Fleet Supply</t>
        </is>
      </c>
      <c r="E880" s="34" t="inlineStr">
        <is>
          <t>None recorded</t>
        </is>
      </c>
      <c r="F880" s="34" t="inlineStr">
        <is>
          <t>No individual professional decision recorded; Source assignment -- not individually reviewed</t>
        </is>
      </c>
      <c r="G880" s="34" t="inlineStr">
        <is>
          <t>Not individually decided</t>
        </is>
      </c>
      <c r="H880" s="34" t="inlineStr">
        <is>
          <t xml:space="preserve">APPROVED / ONE_TO_ONE; </t>
        </is>
      </c>
      <c r="I880" s="34" t="inlineStr">
        <is>
          <t>New</t>
        </is>
      </c>
      <c r="J880" s="92" t="inlineStr">
        <is>
          <t>08 CROSSWALK</t>
        </is>
      </c>
    </row>
    <row r="881" ht="49" customHeight="1">
      <c r="A881" s="34" t="inlineStr">
        <is>
          <t>R625-v1</t>
        </is>
      </c>
      <c r="B881" s="34" t="inlineStr">
        <is>
          <t>Contractor Programme / SCH-04-085</t>
        </is>
      </c>
      <c r="C881" s="34" t="inlineStr">
        <is>
          <t>WBS Code = 1.4.1</t>
        </is>
      </c>
      <c r="D881" s="34" t="inlineStr">
        <is>
          <t>Proposed by Source assignment; target 1.4.1 Vehicles and Depot - Fleet Supply</t>
        </is>
      </c>
      <c r="E881" s="34" t="inlineStr">
        <is>
          <t>None recorded</t>
        </is>
      </c>
      <c r="F881" s="34" t="inlineStr">
        <is>
          <t>No individual professional decision recorded; Source assignment -- not individually reviewed</t>
        </is>
      </c>
      <c r="G881" s="34" t="inlineStr">
        <is>
          <t>Not individually decided</t>
        </is>
      </c>
      <c r="H881" s="34" t="inlineStr">
        <is>
          <t xml:space="preserve">APPROVED / ONE_TO_ONE; </t>
        </is>
      </c>
      <c r="I881" s="34" t="inlineStr">
        <is>
          <t>New</t>
        </is>
      </c>
      <c r="J881" s="92" t="inlineStr">
        <is>
          <t>08 CROSSWALK</t>
        </is>
      </c>
    </row>
    <row r="882" ht="49" customHeight="1">
      <c r="A882" s="34" t="inlineStr">
        <is>
          <t>R626-v1</t>
        </is>
      </c>
      <c r="B882" s="34" t="inlineStr">
        <is>
          <t>Contractor Programme / SCH-04-086</t>
        </is>
      </c>
      <c r="C882" s="34" t="inlineStr">
        <is>
          <t>WBS Code = 1.4.1</t>
        </is>
      </c>
      <c r="D882" s="34" t="inlineStr">
        <is>
          <t>Proposed by Source assignment; target 1.4.1 Vehicles and Depot - Fleet Supply</t>
        </is>
      </c>
      <c r="E882" s="34" t="inlineStr">
        <is>
          <t>None recorded</t>
        </is>
      </c>
      <c r="F882" s="34" t="inlineStr">
        <is>
          <t>No individual professional decision recorded; Source assignment -- not individually reviewed</t>
        </is>
      </c>
      <c r="G882" s="34" t="inlineStr">
        <is>
          <t>Not individually decided</t>
        </is>
      </c>
      <c r="H882" s="34" t="inlineStr">
        <is>
          <t xml:space="preserve">APPROVED / ONE_TO_ONE; </t>
        </is>
      </c>
      <c r="I882" s="34" t="inlineStr">
        <is>
          <t>New</t>
        </is>
      </c>
      <c r="J882" s="92" t="inlineStr">
        <is>
          <t>08 CROSSWALK</t>
        </is>
      </c>
    </row>
    <row r="883" ht="49" customHeight="1">
      <c r="A883" s="34" t="inlineStr">
        <is>
          <t>R628-v1</t>
        </is>
      </c>
      <c r="B883" s="34" t="inlineStr">
        <is>
          <t>Contractor Programme / SCH-04-088</t>
        </is>
      </c>
      <c r="C883" s="34" t="inlineStr">
        <is>
          <t>WBS Code = 1.4.1</t>
        </is>
      </c>
      <c r="D883" s="34" t="inlineStr">
        <is>
          <t>Proposed by Source assignment; target 1.4.1 Vehicles and Depot - Fleet Supply</t>
        </is>
      </c>
      <c r="E883" s="34" t="inlineStr">
        <is>
          <t>None recorded</t>
        </is>
      </c>
      <c r="F883" s="34" t="inlineStr">
        <is>
          <t>No individual professional decision recorded; Source assignment -- not individually reviewed</t>
        </is>
      </c>
      <c r="G883" s="34" t="inlineStr">
        <is>
          <t>Not individually decided</t>
        </is>
      </c>
      <c r="H883" s="34" t="inlineStr">
        <is>
          <t xml:space="preserve">APPROVED / ONE_TO_ONE; </t>
        </is>
      </c>
      <c r="I883" s="34" t="inlineStr">
        <is>
          <t>New</t>
        </is>
      </c>
      <c r="J883" s="92" t="inlineStr">
        <is>
          <t>08 CROSSWALK</t>
        </is>
      </c>
    </row>
    <row r="884" ht="49" customHeight="1">
      <c r="A884" s="34" t="inlineStr">
        <is>
          <t>R629-v1</t>
        </is>
      </c>
      <c r="B884" s="34" t="inlineStr">
        <is>
          <t>Contractor Programme / SCH-04-089</t>
        </is>
      </c>
      <c r="C884" s="34" t="inlineStr">
        <is>
          <t>WBS Code = 1.4.1</t>
        </is>
      </c>
      <c r="D884" s="34" t="inlineStr">
        <is>
          <t>Proposed by Source assignment; target 1.4.1 Vehicles and Depot - Fleet Supply</t>
        </is>
      </c>
      <c r="E884" s="34" t="inlineStr">
        <is>
          <t>None recorded</t>
        </is>
      </c>
      <c r="F884" s="34" t="inlineStr">
        <is>
          <t>No individual professional decision recorded; Source assignment -- not individually reviewed</t>
        </is>
      </c>
      <c r="G884" s="34" t="inlineStr">
        <is>
          <t>Not individually decided</t>
        </is>
      </c>
      <c r="H884" s="34" t="inlineStr">
        <is>
          <t xml:space="preserve">APPROVED / ONE_TO_ONE; </t>
        </is>
      </c>
      <c r="I884" s="34" t="inlineStr">
        <is>
          <t>New</t>
        </is>
      </c>
      <c r="J884" s="92" t="inlineStr">
        <is>
          <t>08 CROSSWALK</t>
        </is>
      </c>
    </row>
    <row r="885" ht="49" customHeight="1">
      <c r="A885" s="34" t="inlineStr">
        <is>
          <t>R631-v1</t>
        </is>
      </c>
      <c r="B885" s="34" t="inlineStr">
        <is>
          <t>Contractor Programme / SCH-04-091</t>
        </is>
      </c>
      <c r="C885" s="34" t="inlineStr">
        <is>
          <t>WBS Code = 1.4.1</t>
        </is>
      </c>
      <c r="D885" s="34" t="inlineStr">
        <is>
          <t>Proposed by Source assignment; target 1.4.1 Vehicles and Depot - Fleet Supply</t>
        </is>
      </c>
      <c r="E885" s="34" t="inlineStr">
        <is>
          <t>None recorded</t>
        </is>
      </c>
      <c r="F885" s="34" t="inlineStr">
        <is>
          <t>No individual professional decision recorded; Source assignment -- not individually reviewed</t>
        </is>
      </c>
      <c r="G885" s="34" t="inlineStr">
        <is>
          <t>Not individually decided</t>
        </is>
      </c>
      <c r="H885" s="34" t="inlineStr">
        <is>
          <t xml:space="preserve">APPROVED / ONE_TO_ONE; </t>
        </is>
      </c>
      <c r="I885" s="34" t="inlineStr">
        <is>
          <t>New</t>
        </is>
      </c>
      <c r="J885" s="92" t="inlineStr">
        <is>
          <t>08 CROSSWALK</t>
        </is>
      </c>
    </row>
    <row r="886" ht="49" customHeight="1">
      <c r="A886" s="34" t="inlineStr">
        <is>
          <t>R632-v1</t>
        </is>
      </c>
      <c r="B886" s="34" t="inlineStr">
        <is>
          <t>Contractor Programme / SCH-04-092</t>
        </is>
      </c>
      <c r="C886" s="34" t="inlineStr">
        <is>
          <t>WBS Code = 1.4.1</t>
        </is>
      </c>
      <c r="D886" s="34" t="inlineStr">
        <is>
          <t>Proposed by Source assignment; target 1.4.1 Vehicles and Depot - Fleet Supply</t>
        </is>
      </c>
      <c r="E886" s="34" t="inlineStr">
        <is>
          <t>None recorded</t>
        </is>
      </c>
      <c r="F886" s="34" t="inlineStr">
        <is>
          <t>No individual professional decision recorded; Source assignment -- not individually reviewed</t>
        </is>
      </c>
      <c r="G886" s="34" t="inlineStr">
        <is>
          <t>Not individually decided</t>
        </is>
      </c>
      <c r="H886" s="34" t="inlineStr">
        <is>
          <t xml:space="preserve">APPROVED / ONE_TO_ONE; </t>
        </is>
      </c>
      <c r="I886" s="34" t="inlineStr">
        <is>
          <t>New</t>
        </is>
      </c>
      <c r="J886" s="92" t="inlineStr">
        <is>
          <t>08 CROSSWALK</t>
        </is>
      </c>
    </row>
    <row r="887" ht="49" customHeight="1">
      <c r="A887" s="34" t="inlineStr">
        <is>
          <t>R634-v1</t>
        </is>
      </c>
      <c r="B887" s="34" t="inlineStr">
        <is>
          <t>Contractor Programme / SCH-04-094</t>
        </is>
      </c>
      <c r="C887" s="34" t="inlineStr">
        <is>
          <t>WBS Code = 1.4.1</t>
        </is>
      </c>
      <c r="D887" s="34" t="inlineStr">
        <is>
          <t>Proposed by Source assignment; target 1.4.1 Vehicles and Depot - Fleet Supply</t>
        </is>
      </c>
      <c r="E887" s="34" t="inlineStr">
        <is>
          <t>None recorded</t>
        </is>
      </c>
      <c r="F887" s="34" t="inlineStr">
        <is>
          <t>No individual professional decision recorded; Source assignment -- not individually reviewed</t>
        </is>
      </c>
      <c r="G887" s="34" t="inlineStr">
        <is>
          <t>Not individually decided</t>
        </is>
      </c>
      <c r="H887" s="34" t="inlineStr">
        <is>
          <t xml:space="preserve">APPROVED / ONE_TO_ONE; </t>
        </is>
      </c>
      <c r="I887" s="34" t="inlineStr">
        <is>
          <t>New</t>
        </is>
      </c>
      <c r="J887" s="92" t="inlineStr">
        <is>
          <t>08 CROSSWALK</t>
        </is>
      </c>
    </row>
    <row r="888" ht="49" customHeight="1">
      <c r="A888" s="34" t="inlineStr">
        <is>
          <t>R635-v1</t>
        </is>
      </c>
      <c r="B888" s="34" t="inlineStr">
        <is>
          <t>Contractor Programme / SCH-04-095</t>
        </is>
      </c>
      <c r="C888" s="34" t="inlineStr">
        <is>
          <t>WBS Code = 1.4.1</t>
        </is>
      </c>
      <c r="D888" s="34" t="inlineStr">
        <is>
          <t>Proposed by Source assignment; target 1.4.1 Vehicles and Depot - Fleet Supply</t>
        </is>
      </c>
      <c r="E888" s="34" t="inlineStr">
        <is>
          <t>None recorded</t>
        </is>
      </c>
      <c r="F888" s="34" t="inlineStr">
        <is>
          <t>No individual professional decision recorded; Source assignment -- not individually reviewed</t>
        </is>
      </c>
      <c r="G888" s="34" t="inlineStr">
        <is>
          <t>Not individually decided</t>
        </is>
      </c>
      <c r="H888" s="34" t="inlineStr">
        <is>
          <t xml:space="preserve">APPROVED / ONE_TO_ONE; </t>
        </is>
      </c>
      <c r="I888" s="34" t="inlineStr">
        <is>
          <t>New</t>
        </is>
      </c>
      <c r="J888" s="92" t="inlineStr">
        <is>
          <t>08 CROSSWALK</t>
        </is>
      </c>
    </row>
    <row r="889" ht="49" customHeight="1">
      <c r="A889" s="34" t="inlineStr">
        <is>
          <t>R637-v1</t>
        </is>
      </c>
      <c r="B889" s="34" t="inlineStr">
        <is>
          <t>Contractor Programme / SCH-04-097</t>
        </is>
      </c>
      <c r="C889" s="34" t="inlineStr">
        <is>
          <t>WBS Code = 1.4.1</t>
        </is>
      </c>
      <c r="D889" s="34" t="inlineStr">
        <is>
          <t>Proposed by Source assignment; target 1.4.1 Vehicles and Depot - Fleet Supply</t>
        </is>
      </c>
      <c r="E889" s="34" t="inlineStr">
        <is>
          <t>None recorded</t>
        </is>
      </c>
      <c r="F889" s="34" t="inlineStr">
        <is>
          <t>No individual professional decision recorded; Source assignment -- not individually reviewed</t>
        </is>
      </c>
      <c r="G889" s="34" t="inlineStr">
        <is>
          <t>Not individually decided</t>
        </is>
      </c>
      <c r="H889" s="34" t="inlineStr">
        <is>
          <t xml:space="preserve">APPROVED / ONE_TO_ONE; </t>
        </is>
      </c>
      <c r="I889" s="34" t="inlineStr">
        <is>
          <t>New</t>
        </is>
      </c>
      <c r="J889" s="92" t="inlineStr">
        <is>
          <t>08 CROSSWALK</t>
        </is>
      </c>
    </row>
    <row r="890" ht="49" customHeight="1">
      <c r="A890" s="34" t="inlineStr">
        <is>
          <t>R638-v1</t>
        </is>
      </c>
      <c r="B890" s="34" t="inlineStr">
        <is>
          <t>Contractor Programme / SCH-04-098</t>
        </is>
      </c>
      <c r="C890" s="34" t="inlineStr">
        <is>
          <t>WBS Code = 1.4.1</t>
        </is>
      </c>
      <c r="D890" s="34" t="inlineStr">
        <is>
          <t>Proposed by Source assignment; target 1.4.1 Vehicles and Depot - Fleet Supply</t>
        </is>
      </c>
      <c r="E890" s="34" t="inlineStr">
        <is>
          <t>None recorded</t>
        </is>
      </c>
      <c r="F890" s="34" t="inlineStr">
        <is>
          <t>No individual professional decision recorded; Source assignment -- not individually reviewed</t>
        </is>
      </c>
      <c r="G890" s="34" t="inlineStr">
        <is>
          <t>Not individually decided</t>
        </is>
      </c>
      <c r="H890" s="34" t="inlineStr">
        <is>
          <t xml:space="preserve">APPROVED / ONE_TO_ONE; </t>
        </is>
      </c>
      <c r="I890" s="34" t="inlineStr">
        <is>
          <t>New</t>
        </is>
      </c>
      <c r="J890" s="92" t="inlineStr">
        <is>
          <t>08 CROSSWALK</t>
        </is>
      </c>
    </row>
    <row r="891" ht="49" customHeight="1">
      <c r="A891" s="34" t="inlineStr">
        <is>
          <t>R640-v1</t>
        </is>
      </c>
      <c r="B891" s="34" t="inlineStr">
        <is>
          <t>Contractor Programme / SCH-04-100</t>
        </is>
      </c>
      <c r="C891" s="34" t="inlineStr">
        <is>
          <t>WBS Code = 1.4.1</t>
        </is>
      </c>
      <c r="D891" s="34" t="inlineStr">
        <is>
          <t>Proposed by Source assignment; target 1.4.1 Vehicles and Depot - Fleet Supply</t>
        </is>
      </c>
      <c r="E891" s="34" t="inlineStr">
        <is>
          <t>None recorded</t>
        </is>
      </c>
      <c r="F891" s="34" t="inlineStr">
        <is>
          <t>No individual professional decision recorded; Source assignment -- not individually reviewed</t>
        </is>
      </c>
      <c r="G891" s="34" t="inlineStr">
        <is>
          <t>Not individually decided</t>
        </is>
      </c>
      <c r="H891" s="34" t="inlineStr">
        <is>
          <t xml:space="preserve">APPROVED / ONE_TO_ONE; </t>
        </is>
      </c>
      <c r="I891" s="34" t="inlineStr">
        <is>
          <t>New</t>
        </is>
      </c>
      <c r="J891" s="92" t="inlineStr">
        <is>
          <t>08 CROSSWALK</t>
        </is>
      </c>
    </row>
    <row r="892" ht="49" customHeight="1">
      <c r="A892" s="34" t="inlineStr">
        <is>
          <t>R641-v1</t>
        </is>
      </c>
      <c r="B892" s="34" t="inlineStr">
        <is>
          <t>Contractor Programme / SCH-04-101</t>
        </is>
      </c>
      <c r="C892" s="34" t="inlineStr">
        <is>
          <t>WBS Code = 1.4.1</t>
        </is>
      </c>
      <c r="D892" s="34" t="inlineStr">
        <is>
          <t>Proposed by Source assignment; target 1.4.1 Vehicles and Depot - Fleet Supply</t>
        </is>
      </c>
      <c r="E892" s="34" t="inlineStr">
        <is>
          <t>None recorded</t>
        </is>
      </c>
      <c r="F892" s="34" t="inlineStr">
        <is>
          <t>No individual professional decision recorded; Source assignment -- not individually reviewed</t>
        </is>
      </c>
      <c r="G892" s="34" t="inlineStr">
        <is>
          <t>Not individually decided</t>
        </is>
      </c>
      <c r="H892" s="34" t="inlineStr">
        <is>
          <t xml:space="preserve">APPROVED / ONE_TO_ONE; </t>
        </is>
      </c>
      <c r="I892" s="34" t="inlineStr">
        <is>
          <t>New</t>
        </is>
      </c>
      <c r="J892" s="92" t="inlineStr">
        <is>
          <t>08 CROSSWALK</t>
        </is>
      </c>
    </row>
    <row r="893" ht="49" customHeight="1">
      <c r="A893" s="34" t="inlineStr">
        <is>
          <t>R643-v1</t>
        </is>
      </c>
      <c r="B893" s="34" t="inlineStr">
        <is>
          <t>Contractor Programme / SCH-04-103</t>
        </is>
      </c>
      <c r="C893" s="34" t="inlineStr">
        <is>
          <t>WBS Code = 1.4.1</t>
        </is>
      </c>
      <c r="D893" s="34" t="inlineStr">
        <is>
          <t>Proposed by Source assignment; target 1.4.1 Vehicles and Depot - Fleet Supply</t>
        </is>
      </c>
      <c r="E893" s="34" t="inlineStr">
        <is>
          <t>None recorded</t>
        </is>
      </c>
      <c r="F893" s="34" t="inlineStr">
        <is>
          <t>No individual professional decision recorded; Source assignment -- not individually reviewed</t>
        </is>
      </c>
      <c r="G893" s="34" t="inlineStr">
        <is>
          <t>Not individually decided</t>
        </is>
      </c>
      <c r="H893" s="34" t="inlineStr">
        <is>
          <t xml:space="preserve">APPROVED / ONE_TO_ONE; </t>
        </is>
      </c>
      <c r="I893" s="34" t="inlineStr">
        <is>
          <t>New</t>
        </is>
      </c>
      <c r="J893" s="92" t="inlineStr">
        <is>
          <t>08 CROSSWALK</t>
        </is>
      </c>
    </row>
    <row r="894" ht="49" customHeight="1">
      <c r="A894" s="34" t="inlineStr">
        <is>
          <t>R644-v1</t>
        </is>
      </c>
      <c r="B894" s="34" t="inlineStr">
        <is>
          <t>Contractor Programme / SCH-04-104</t>
        </is>
      </c>
      <c r="C894" s="34" t="inlineStr">
        <is>
          <t>WBS Code = 1.4.1</t>
        </is>
      </c>
      <c r="D894" s="34" t="inlineStr">
        <is>
          <t>Proposed by Source assignment; target 1.4.1 Vehicles and Depot - Fleet Supply</t>
        </is>
      </c>
      <c r="E894" s="34" t="inlineStr">
        <is>
          <t>None recorded</t>
        </is>
      </c>
      <c r="F894" s="34" t="inlineStr">
        <is>
          <t>No individual professional decision recorded; Source assignment -- not individually reviewed</t>
        </is>
      </c>
      <c r="G894" s="34" t="inlineStr">
        <is>
          <t>Not individually decided</t>
        </is>
      </c>
      <c r="H894" s="34" t="inlineStr">
        <is>
          <t xml:space="preserve">APPROVED / ONE_TO_ONE; </t>
        </is>
      </c>
      <c r="I894" s="34" t="inlineStr">
        <is>
          <t>New</t>
        </is>
      </c>
      <c r="J894" s="92" t="inlineStr">
        <is>
          <t>08 CROSSWALK</t>
        </is>
      </c>
    </row>
    <row r="895" ht="49" customHeight="1">
      <c r="A895" s="34" t="inlineStr">
        <is>
          <t>R646-v1</t>
        </is>
      </c>
      <c r="B895" s="34" t="inlineStr">
        <is>
          <t>Contractor Programme / SCH-04-106</t>
        </is>
      </c>
      <c r="C895" s="34" t="inlineStr">
        <is>
          <t>WBS Code = 1.4.1</t>
        </is>
      </c>
      <c r="D895" s="34" t="inlineStr">
        <is>
          <t>Proposed by Source assignment; target 1.4.1 Vehicles and Depot - Fleet Supply</t>
        </is>
      </c>
      <c r="E895" s="34" t="inlineStr">
        <is>
          <t>None recorded</t>
        </is>
      </c>
      <c r="F895" s="34" t="inlineStr">
        <is>
          <t>No individual professional decision recorded; Source assignment -- not individually reviewed</t>
        </is>
      </c>
      <c r="G895" s="34" t="inlineStr">
        <is>
          <t>Not individually decided</t>
        </is>
      </c>
      <c r="H895" s="34" t="inlineStr">
        <is>
          <t xml:space="preserve">APPROVED / ONE_TO_ONE; </t>
        </is>
      </c>
      <c r="I895" s="34" t="inlineStr">
        <is>
          <t>New</t>
        </is>
      </c>
      <c r="J895" s="92" t="inlineStr">
        <is>
          <t>08 CROSSWALK</t>
        </is>
      </c>
    </row>
    <row r="896" ht="49" customHeight="1">
      <c r="A896" s="34" t="inlineStr">
        <is>
          <t>R647-v1</t>
        </is>
      </c>
      <c r="B896" s="34" t="inlineStr">
        <is>
          <t>Contractor Programme / SCH-04-107</t>
        </is>
      </c>
      <c r="C896" s="34" t="inlineStr">
        <is>
          <t>WBS Code = 1.4.1</t>
        </is>
      </c>
      <c r="D896" s="34" t="inlineStr">
        <is>
          <t>Proposed by Source assignment; target 1.4.1 Vehicles and Depot - Fleet Supply</t>
        </is>
      </c>
      <c r="E896" s="34" t="inlineStr">
        <is>
          <t>None recorded</t>
        </is>
      </c>
      <c r="F896" s="34" t="inlineStr">
        <is>
          <t>No individual professional decision recorded; Source assignment -- not individually reviewed</t>
        </is>
      </c>
      <c r="G896" s="34" t="inlineStr">
        <is>
          <t>Not individually decided</t>
        </is>
      </c>
      <c r="H896" s="34" t="inlineStr">
        <is>
          <t xml:space="preserve">APPROVED / ONE_TO_ONE; </t>
        </is>
      </c>
      <c r="I896" s="34" t="inlineStr">
        <is>
          <t>New</t>
        </is>
      </c>
      <c r="J896" s="92" t="inlineStr">
        <is>
          <t>08 CROSSWALK</t>
        </is>
      </c>
    </row>
    <row r="897" ht="49" customHeight="1">
      <c r="A897" s="34" t="inlineStr">
        <is>
          <t>R649-v1</t>
        </is>
      </c>
      <c r="B897" s="34" t="inlineStr">
        <is>
          <t>Contractor Programme / SCH-04-109</t>
        </is>
      </c>
      <c r="C897" s="34" t="inlineStr">
        <is>
          <t>WBS Code = 1.4.1</t>
        </is>
      </c>
      <c r="D897" s="34" t="inlineStr">
        <is>
          <t>Proposed by Source assignment; target 1.4.1 Vehicles and Depot - Fleet Supply</t>
        </is>
      </c>
      <c r="E897" s="34" t="inlineStr">
        <is>
          <t>None recorded</t>
        </is>
      </c>
      <c r="F897" s="34" t="inlineStr">
        <is>
          <t>No individual professional decision recorded; Source assignment -- not individually reviewed</t>
        </is>
      </c>
      <c r="G897" s="34" t="inlineStr">
        <is>
          <t>Not individually decided</t>
        </is>
      </c>
      <c r="H897" s="34" t="inlineStr">
        <is>
          <t xml:space="preserve">APPROVED / ONE_TO_ONE; </t>
        </is>
      </c>
      <c r="I897" s="34" t="inlineStr">
        <is>
          <t>New</t>
        </is>
      </c>
      <c r="J897" s="92" t="inlineStr">
        <is>
          <t>08 CROSSWALK</t>
        </is>
      </c>
    </row>
    <row r="898" ht="49" customHeight="1">
      <c r="A898" s="34" t="inlineStr">
        <is>
          <t>R650-v1</t>
        </is>
      </c>
      <c r="B898" s="34" t="inlineStr">
        <is>
          <t>Contractor Programme / SCH-04-110</t>
        </is>
      </c>
      <c r="C898" s="34" t="inlineStr">
        <is>
          <t>WBS Code = 1.4.1</t>
        </is>
      </c>
      <c r="D898" s="34" t="inlineStr">
        <is>
          <t>Proposed by Source assignment; target 1.4.1 Vehicles and Depot - Fleet Supply</t>
        </is>
      </c>
      <c r="E898" s="34" t="inlineStr">
        <is>
          <t>None recorded</t>
        </is>
      </c>
      <c r="F898" s="34" t="inlineStr">
        <is>
          <t>No individual professional decision recorded; Source assignment -- not individually reviewed</t>
        </is>
      </c>
      <c r="G898" s="34" t="inlineStr">
        <is>
          <t>Not individually decided</t>
        </is>
      </c>
      <c r="H898" s="34" t="inlineStr">
        <is>
          <t xml:space="preserve">APPROVED / ONE_TO_ONE; </t>
        </is>
      </c>
      <c r="I898" s="34" t="inlineStr">
        <is>
          <t>New</t>
        </is>
      </c>
      <c r="J898" s="92" t="inlineStr">
        <is>
          <t>08 CROSSWALK</t>
        </is>
      </c>
    </row>
    <row r="899" ht="49" customHeight="1">
      <c r="A899" s="34" t="inlineStr">
        <is>
          <t>R652-v1</t>
        </is>
      </c>
      <c r="B899" s="34" t="inlineStr">
        <is>
          <t>Contractor Programme / SCH-04-112</t>
        </is>
      </c>
      <c r="C899" s="34" t="inlineStr">
        <is>
          <t>WBS Code = 1.4.1</t>
        </is>
      </c>
      <c r="D899" s="34" t="inlineStr">
        <is>
          <t>Proposed by Source assignment; target 1.4.1 Vehicles and Depot - Fleet Supply</t>
        </is>
      </c>
      <c r="E899" s="34" t="inlineStr">
        <is>
          <t>None recorded</t>
        </is>
      </c>
      <c r="F899" s="34" t="inlineStr">
        <is>
          <t>No individual professional decision recorded; Source assignment -- not individually reviewed</t>
        </is>
      </c>
      <c r="G899" s="34" t="inlineStr">
        <is>
          <t>Not individually decided</t>
        </is>
      </c>
      <c r="H899" s="34" t="inlineStr">
        <is>
          <t xml:space="preserve">APPROVED / ONE_TO_ONE; </t>
        </is>
      </c>
      <c r="I899" s="34" t="inlineStr">
        <is>
          <t>New</t>
        </is>
      </c>
      <c r="J899" s="92" t="inlineStr">
        <is>
          <t>08 CROSSWALK</t>
        </is>
      </c>
    </row>
    <row r="900" ht="49" customHeight="1">
      <c r="A900" s="34" t="inlineStr">
        <is>
          <t>R653-v1</t>
        </is>
      </c>
      <c r="B900" s="34" t="inlineStr">
        <is>
          <t>Contractor Programme / SCH-04-113</t>
        </is>
      </c>
      <c r="C900" s="34" t="inlineStr">
        <is>
          <t>WBS Code = 1.4.1</t>
        </is>
      </c>
      <c r="D900" s="34" t="inlineStr">
        <is>
          <t>Proposed by Source assignment; target 1.4.1 Vehicles and Depot - Fleet Supply</t>
        </is>
      </c>
      <c r="E900" s="34" t="inlineStr">
        <is>
          <t>None recorded</t>
        </is>
      </c>
      <c r="F900" s="34" t="inlineStr">
        <is>
          <t>No individual professional decision recorded; Source assignment -- not individually reviewed</t>
        </is>
      </c>
      <c r="G900" s="34" t="inlineStr">
        <is>
          <t>Not individually decided</t>
        </is>
      </c>
      <c r="H900" s="34" t="inlineStr">
        <is>
          <t xml:space="preserve">APPROVED / ONE_TO_ONE; </t>
        </is>
      </c>
      <c r="I900" s="34" t="inlineStr">
        <is>
          <t>New</t>
        </is>
      </c>
      <c r="J900" s="92" t="inlineStr">
        <is>
          <t>08 CROSSWALK</t>
        </is>
      </c>
    </row>
    <row r="901" ht="49" customHeight="1">
      <c r="A901" s="34" t="inlineStr">
        <is>
          <t>R655-v1</t>
        </is>
      </c>
      <c r="B901" s="34" t="inlineStr">
        <is>
          <t>Contractor Programme / SCH-04-115</t>
        </is>
      </c>
      <c r="C901" s="34" t="inlineStr">
        <is>
          <t>WBS Code = 1.4.1</t>
        </is>
      </c>
      <c r="D901" s="34" t="inlineStr">
        <is>
          <t>Proposed by Source assignment; target 1.4.1 Vehicles and Depot - Fleet Supply</t>
        </is>
      </c>
      <c r="E901" s="34" t="inlineStr">
        <is>
          <t>None recorded</t>
        </is>
      </c>
      <c r="F901" s="34" t="inlineStr">
        <is>
          <t>No individual professional decision recorded; Source assignment -- not individually reviewed</t>
        </is>
      </c>
      <c r="G901" s="34" t="inlineStr">
        <is>
          <t>Not individually decided</t>
        </is>
      </c>
      <c r="H901" s="34" t="inlineStr">
        <is>
          <t xml:space="preserve">APPROVED / ONE_TO_ONE; </t>
        </is>
      </c>
      <c r="I901" s="34" t="inlineStr">
        <is>
          <t>New</t>
        </is>
      </c>
      <c r="J901" s="92" t="inlineStr">
        <is>
          <t>08 CROSSWALK</t>
        </is>
      </c>
    </row>
    <row r="902" ht="49" customHeight="1">
      <c r="A902" s="34" t="inlineStr">
        <is>
          <t>R656-v1</t>
        </is>
      </c>
      <c r="B902" s="34" t="inlineStr">
        <is>
          <t>Contractor Programme / SCH-04-116</t>
        </is>
      </c>
      <c r="C902" s="34" t="inlineStr">
        <is>
          <t>WBS Code = 1.4.1</t>
        </is>
      </c>
      <c r="D902" s="34" t="inlineStr">
        <is>
          <t>Proposed by Source assignment; target 1.4.1 Vehicles and Depot - Fleet Supply</t>
        </is>
      </c>
      <c r="E902" s="34" t="inlineStr">
        <is>
          <t>None recorded</t>
        </is>
      </c>
      <c r="F902" s="34" t="inlineStr">
        <is>
          <t>No individual professional decision recorded; Source assignment -- not individually reviewed</t>
        </is>
      </c>
      <c r="G902" s="34" t="inlineStr">
        <is>
          <t>Not individually decided</t>
        </is>
      </c>
      <c r="H902" s="34" t="inlineStr">
        <is>
          <t xml:space="preserve">APPROVED / ONE_TO_ONE; </t>
        </is>
      </c>
      <c r="I902" s="34" t="inlineStr">
        <is>
          <t>New</t>
        </is>
      </c>
      <c r="J902" s="92" t="inlineStr">
        <is>
          <t>08 CROSSWALK</t>
        </is>
      </c>
    </row>
    <row r="903" ht="49" customHeight="1">
      <c r="A903" s="34" t="inlineStr">
        <is>
          <t>R658-v1</t>
        </is>
      </c>
      <c r="B903" s="34" t="inlineStr">
        <is>
          <t>Contractor Programme / SCH-04-118</t>
        </is>
      </c>
      <c r="C903" s="34" t="inlineStr">
        <is>
          <t>WBS Code = 1.4.1</t>
        </is>
      </c>
      <c r="D903" s="34" t="inlineStr">
        <is>
          <t>Proposed by Source assignment; target 1.4.1 Vehicles and Depot - Fleet Supply</t>
        </is>
      </c>
      <c r="E903" s="34" t="inlineStr">
        <is>
          <t>None recorded</t>
        </is>
      </c>
      <c r="F903" s="34" t="inlineStr">
        <is>
          <t>No individual professional decision recorded; Source assignment -- not individually reviewed</t>
        </is>
      </c>
      <c r="G903" s="34" t="inlineStr">
        <is>
          <t>Not individually decided</t>
        </is>
      </c>
      <c r="H903" s="34" t="inlineStr">
        <is>
          <t xml:space="preserve">APPROVED / ONE_TO_ONE; </t>
        </is>
      </c>
      <c r="I903" s="34" t="inlineStr">
        <is>
          <t>New</t>
        </is>
      </c>
      <c r="J903" s="92" t="inlineStr">
        <is>
          <t>08 CROSSWALK</t>
        </is>
      </c>
    </row>
    <row r="904" ht="49" customHeight="1">
      <c r="A904" s="34" t="inlineStr">
        <is>
          <t>R659-v1</t>
        </is>
      </c>
      <c r="B904" s="34" t="inlineStr">
        <is>
          <t>Contractor Programme / SCH-04-119</t>
        </is>
      </c>
      <c r="C904" s="34" t="inlineStr">
        <is>
          <t>WBS Code = 1.4.1</t>
        </is>
      </c>
      <c r="D904" s="34" t="inlineStr">
        <is>
          <t>Proposed by Source assignment; target 1.4.1 Vehicles and Depot - Fleet Supply</t>
        </is>
      </c>
      <c r="E904" s="34" t="inlineStr">
        <is>
          <t>None recorded</t>
        </is>
      </c>
      <c r="F904" s="34" t="inlineStr">
        <is>
          <t>No individual professional decision recorded; Source assignment -- not individually reviewed</t>
        </is>
      </c>
      <c r="G904" s="34" t="inlineStr">
        <is>
          <t>Not individually decided</t>
        </is>
      </c>
      <c r="H904" s="34" t="inlineStr">
        <is>
          <t xml:space="preserve">APPROVED / ONE_TO_ONE; </t>
        </is>
      </c>
      <c r="I904" s="34" t="inlineStr">
        <is>
          <t>New</t>
        </is>
      </c>
      <c r="J904" s="92" t="inlineStr">
        <is>
          <t>08 CROSSWALK</t>
        </is>
      </c>
    </row>
    <row r="905" ht="49" customHeight="1">
      <c r="A905" s="34" t="inlineStr">
        <is>
          <t>R661-v1</t>
        </is>
      </c>
      <c r="B905" s="34" t="inlineStr">
        <is>
          <t>Contractor Programme / SCH-04-121</t>
        </is>
      </c>
      <c r="C905" s="34" t="inlineStr">
        <is>
          <t>WBS Code = 1.4.1</t>
        </is>
      </c>
      <c r="D905" s="34" t="inlineStr">
        <is>
          <t>Proposed by Source assignment; target 1.4.1 Vehicles and Depot - Fleet Supply</t>
        </is>
      </c>
      <c r="E905" s="34" t="inlineStr">
        <is>
          <t>None recorded</t>
        </is>
      </c>
      <c r="F905" s="34" t="inlineStr">
        <is>
          <t>No individual professional decision recorded; Source assignment -- not individually reviewed</t>
        </is>
      </c>
      <c r="G905" s="34" t="inlineStr">
        <is>
          <t>Not individually decided</t>
        </is>
      </c>
      <c r="H905" s="34" t="inlineStr">
        <is>
          <t xml:space="preserve">APPROVED / ONE_TO_ONE; </t>
        </is>
      </c>
      <c r="I905" s="34" t="inlineStr">
        <is>
          <t>New</t>
        </is>
      </c>
      <c r="J905" s="92" t="inlineStr">
        <is>
          <t>08 CROSSWALK</t>
        </is>
      </c>
    </row>
    <row r="906" ht="49" customHeight="1">
      <c r="A906" s="34" t="inlineStr">
        <is>
          <t>R662-v1</t>
        </is>
      </c>
      <c r="B906" s="34" t="inlineStr">
        <is>
          <t>Contractor Programme / SCH-04-122</t>
        </is>
      </c>
      <c r="C906" s="34" t="inlineStr">
        <is>
          <t>WBS Code = 1.4.1</t>
        </is>
      </c>
      <c r="D906" s="34" t="inlineStr">
        <is>
          <t>Proposed by Source assignment; target 1.4.1 Vehicles and Depot - Fleet Supply</t>
        </is>
      </c>
      <c r="E906" s="34" t="inlineStr">
        <is>
          <t>None recorded</t>
        </is>
      </c>
      <c r="F906" s="34" t="inlineStr">
        <is>
          <t>No individual professional decision recorded; Source assignment -- not individually reviewed</t>
        </is>
      </c>
      <c r="G906" s="34" t="inlineStr">
        <is>
          <t>Not individually decided</t>
        </is>
      </c>
      <c r="H906" s="34" t="inlineStr">
        <is>
          <t xml:space="preserve">APPROVED / ONE_TO_ONE; </t>
        </is>
      </c>
      <c r="I906" s="34" t="inlineStr">
        <is>
          <t>New</t>
        </is>
      </c>
      <c r="J906" s="92" t="inlineStr">
        <is>
          <t>08 CROSSWALK</t>
        </is>
      </c>
    </row>
    <row r="907" ht="49" customHeight="1">
      <c r="A907" s="34" t="inlineStr">
        <is>
          <t>R664-v1</t>
        </is>
      </c>
      <c r="B907" s="34" t="inlineStr">
        <is>
          <t>Contractor Programme / SCH-04-124</t>
        </is>
      </c>
      <c r="C907" s="34" t="inlineStr">
        <is>
          <t>WBS Code = 1.4.1</t>
        </is>
      </c>
      <c r="D907" s="34" t="inlineStr">
        <is>
          <t>Proposed by Source assignment; target 1.4.1 Vehicles and Depot - Fleet Supply</t>
        </is>
      </c>
      <c r="E907" s="34" t="inlineStr">
        <is>
          <t>None recorded</t>
        </is>
      </c>
      <c r="F907" s="34" t="inlineStr">
        <is>
          <t>No individual professional decision recorded; Source assignment -- not individually reviewed</t>
        </is>
      </c>
      <c r="G907" s="34" t="inlineStr">
        <is>
          <t>Not individually decided</t>
        </is>
      </c>
      <c r="H907" s="34" t="inlineStr">
        <is>
          <t xml:space="preserve">APPROVED / ONE_TO_ONE; </t>
        </is>
      </c>
      <c r="I907" s="34" t="inlineStr">
        <is>
          <t>New</t>
        </is>
      </c>
      <c r="J907" s="92" t="inlineStr">
        <is>
          <t>08 CROSSWALK</t>
        </is>
      </c>
    </row>
    <row r="908" ht="49" customHeight="1">
      <c r="A908" s="34" t="inlineStr">
        <is>
          <t>R665-v1</t>
        </is>
      </c>
      <c r="B908" s="34" t="inlineStr">
        <is>
          <t>Contractor Programme / SCH-04-125</t>
        </is>
      </c>
      <c r="C908" s="34" t="inlineStr">
        <is>
          <t>WBS Code = 1.4.1</t>
        </is>
      </c>
      <c r="D908" s="34" t="inlineStr">
        <is>
          <t>Proposed by Source assignment; target 1.4.1 Vehicles and Depot - Fleet Supply</t>
        </is>
      </c>
      <c r="E908" s="34" t="inlineStr">
        <is>
          <t>None recorded</t>
        </is>
      </c>
      <c r="F908" s="34" t="inlineStr">
        <is>
          <t>No individual professional decision recorded; Source assignment -- not individually reviewed</t>
        </is>
      </c>
      <c r="G908" s="34" t="inlineStr">
        <is>
          <t>Not individually decided</t>
        </is>
      </c>
      <c r="H908" s="34" t="inlineStr">
        <is>
          <t xml:space="preserve">APPROVED / ONE_TO_ONE; </t>
        </is>
      </c>
      <c r="I908" s="34" t="inlineStr">
        <is>
          <t>New</t>
        </is>
      </c>
      <c r="J908" s="92" t="inlineStr">
        <is>
          <t>08 CROSSWALK</t>
        </is>
      </c>
    </row>
    <row r="909" ht="49" customHeight="1">
      <c r="A909" s="34" t="inlineStr">
        <is>
          <t>R667-v1</t>
        </is>
      </c>
      <c r="B909" s="34" t="inlineStr">
        <is>
          <t>Contractor Programme / SCH-04-127</t>
        </is>
      </c>
      <c r="C909" s="34" t="inlineStr">
        <is>
          <t>WBS Code = 1.4.1</t>
        </is>
      </c>
      <c r="D909" s="34" t="inlineStr">
        <is>
          <t>Proposed by Source assignment; target 1.4.1 Vehicles and Depot - Fleet Supply</t>
        </is>
      </c>
      <c r="E909" s="34" t="inlineStr">
        <is>
          <t>None recorded</t>
        </is>
      </c>
      <c r="F909" s="34" t="inlineStr">
        <is>
          <t>No individual professional decision recorded; Source assignment -- not individually reviewed</t>
        </is>
      </c>
      <c r="G909" s="34" t="inlineStr">
        <is>
          <t>Not individually decided</t>
        </is>
      </c>
      <c r="H909" s="34" t="inlineStr">
        <is>
          <t xml:space="preserve">APPROVED / ONE_TO_ONE; </t>
        </is>
      </c>
      <c r="I909" s="34" t="inlineStr">
        <is>
          <t>New</t>
        </is>
      </c>
      <c r="J909" s="92" t="inlineStr">
        <is>
          <t>08 CROSSWALK</t>
        </is>
      </c>
    </row>
    <row r="910" ht="49" customHeight="1">
      <c r="A910" s="34" t="inlineStr">
        <is>
          <t>R668-v1</t>
        </is>
      </c>
      <c r="B910" s="34" t="inlineStr">
        <is>
          <t>Contractor Programme / SCH-04-128</t>
        </is>
      </c>
      <c r="C910" s="34" t="inlineStr">
        <is>
          <t>WBS Code = 1.4.1</t>
        </is>
      </c>
      <c r="D910" s="34" t="inlineStr">
        <is>
          <t>Proposed by Source assignment; target 1.4.1 Vehicles and Depot - Fleet Supply</t>
        </is>
      </c>
      <c r="E910" s="34" t="inlineStr">
        <is>
          <t>None recorded</t>
        </is>
      </c>
      <c r="F910" s="34" t="inlineStr">
        <is>
          <t>No individual professional decision recorded; Source assignment -- not individually reviewed</t>
        </is>
      </c>
      <c r="G910" s="34" t="inlineStr">
        <is>
          <t>Not individually decided</t>
        </is>
      </c>
      <c r="H910" s="34" t="inlineStr">
        <is>
          <t xml:space="preserve">APPROVED / ONE_TO_ONE; </t>
        </is>
      </c>
      <c r="I910" s="34" t="inlineStr">
        <is>
          <t>New</t>
        </is>
      </c>
      <c r="J910" s="92" t="inlineStr">
        <is>
          <t>08 CROSSWALK</t>
        </is>
      </c>
    </row>
    <row r="911" ht="49" customHeight="1">
      <c r="A911" s="34" t="inlineStr">
        <is>
          <t>R670-v1</t>
        </is>
      </c>
      <c r="B911" s="34" t="inlineStr">
        <is>
          <t>Contractor Programme / SCH-04-130</t>
        </is>
      </c>
      <c r="C911" s="34" t="inlineStr">
        <is>
          <t>WBS Code = 1.4.1</t>
        </is>
      </c>
      <c r="D911" s="34" t="inlineStr">
        <is>
          <t>Proposed by Source assignment; target 1.4.1 Vehicles and Depot - Fleet Supply</t>
        </is>
      </c>
      <c r="E911" s="34" t="inlineStr">
        <is>
          <t>None recorded</t>
        </is>
      </c>
      <c r="F911" s="34" t="inlineStr">
        <is>
          <t>No individual professional decision recorded; Source assignment -- not individually reviewed</t>
        </is>
      </c>
      <c r="G911" s="34" t="inlineStr">
        <is>
          <t>Not individually decided</t>
        </is>
      </c>
      <c r="H911" s="34" t="inlineStr">
        <is>
          <t xml:space="preserve">APPROVED / ONE_TO_ONE; </t>
        </is>
      </c>
      <c r="I911" s="34" t="inlineStr">
        <is>
          <t>New</t>
        </is>
      </c>
      <c r="J911" s="92" t="inlineStr">
        <is>
          <t>08 CROSSWALK</t>
        </is>
      </c>
    </row>
    <row r="912" ht="49" customHeight="1">
      <c r="A912" s="34" t="inlineStr">
        <is>
          <t>R671-v1</t>
        </is>
      </c>
      <c r="B912" s="34" t="inlineStr">
        <is>
          <t>Contractor Programme / SCH-04-131</t>
        </is>
      </c>
      <c r="C912" s="34" t="inlineStr">
        <is>
          <t>WBS Code = 1.4.1</t>
        </is>
      </c>
      <c r="D912" s="34" t="inlineStr">
        <is>
          <t>Proposed by Source assignment; target 1.4.1 Vehicles and Depot - Fleet Supply</t>
        </is>
      </c>
      <c r="E912" s="34" t="inlineStr">
        <is>
          <t>None recorded</t>
        </is>
      </c>
      <c r="F912" s="34" t="inlineStr">
        <is>
          <t>No individual professional decision recorded; Source assignment -- not individually reviewed</t>
        </is>
      </c>
      <c r="G912" s="34" t="inlineStr">
        <is>
          <t>Not individually decided</t>
        </is>
      </c>
      <c r="H912" s="34" t="inlineStr">
        <is>
          <t xml:space="preserve">APPROVED / ONE_TO_ONE; </t>
        </is>
      </c>
      <c r="I912" s="34" t="inlineStr">
        <is>
          <t>New</t>
        </is>
      </c>
      <c r="J912" s="92" t="inlineStr">
        <is>
          <t>08 CROSSWALK</t>
        </is>
      </c>
    </row>
    <row r="913" ht="49" customHeight="1">
      <c r="A913" s="34" t="inlineStr">
        <is>
          <t>R673-v1</t>
        </is>
      </c>
      <c r="B913" s="34" t="inlineStr">
        <is>
          <t>Contractor Programme / SCH-04-133</t>
        </is>
      </c>
      <c r="C913" s="34" t="inlineStr">
        <is>
          <t>WBS Code = 1.4.1</t>
        </is>
      </c>
      <c r="D913" s="34" t="inlineStr">
        <is>
          <t>Proposed by Source assignment; target 1.4.1 Vehicles and Depot - Fleet Supply</t>
        </is>
      </c>
      <c r="E913" s="34" t="inlineStr">
        <is>
          <t>None recorded</t>
        </is>
      </c>
      <c r="F913" s="34" t="inlineStr">
        <is>
          <t>No individual professional decision recorded; Source assignment -- not individually reviewed</t>
        </is>
      </c>
      <c r="G913" s="34" t="inlineStr">
        <is>
          <t>Not individually decided</t>
        </is>
      </c>
      <c r="H913" s="34" t="inlineStr">
        <is>
          <t xml:space="preserve">APPROVED / ONE_TO_ONE; </t>
        </is>
      </c>
      <c r="I913" s="34" t="inlineStr">
        <is>
          <t>New</t>
        </is>
      </c>
      <c r="J913" s="92" t="inlineStr">
        <is>
          <t>08 CROSSWALK</t>
        </is>
      </c>
    </row>
    <row r="914" ht="49" customHeight="1">
      <c r="A914" s="34" t="inlineStr">
        <is>
          <t>R674-v1</t>
        </is>
      </c>
      <c r="B914" s="34" t="inlineStr">
        <is>
          <t>Contractor Programme / SCH-04-134</t>
        </is>
      </c>
      <c r="C914" s="34" t="inlineStr">
        <is>
          <t>WBS Code = 1.4.1</t>
        </is>
      </c>
      <c r="D914" s="34" t="inlineStr">
        <is>
          <t>Proposed by Source assignment; target 1.4.1 Vehicles and Depot - Fleet Supply</t>
        </is>
      </c>
      <c r="E914" s="34" t="inlineStr">
        <is>
          <t>None recorded</t>
        </is>
      </c>
      <c r="F914" s="34" t="inlineStr">
        <is>
          <t>No individual professional decision recorded; Source assignment -- not individually reviewed</t>
        </is>
      </c>
      <c r="G914" s="34" t="inlineStr">
        <is>
          <t>Not individually decided</t>
        </is>
      </c>
      <c r="H914" s="34" t="inlineStr">
        <is>
          <t xml:space="preserve">APPROVED / ONE_TO_ONE; </t>
        </is>
      </c>
      <c r="I914" s="34" t="inlineStr">
        <is>
          <t>New</t>
        </is>
      </c>
      <c r="J914" s="92" t="inlineStr">
        <is>
          <t>08 CROSSWALK</t>
        </is>
      </c>
    </row>
    <row r="915" ht="49" customHeight="1">
      <c r="A915" s="34" t="inlineStr">
        <is>
          <t>R676-v1</t>
        </is>
      </c>
      <c r="B915" s="34" t="inlineStr">
        <is>
          <t>Contractor Programme / SCH-04-136</t>
        </is>
      </c>
      <c r="C915" s="34" t="inlineStr">
        <is>
          <t>WBS Code = 1.4.1</t>
        </is>
      </c>
      <c r="D915" s="34" t="inlineStr">
        <is>
          <t>Proposed by Source assignment; target 1.4.1 Vehicles and Depot - Fleet Supply</t>
        </is>
      </c>
      <c r="E915" s="34" t="inlineStr">
        <is>
          <t>None recorded</t>
        </is>
      </c>
      <c r="F915" s="34" t="inlineStr">
        <is>
          <t>No individual professional decision recorded; Source assignment -- not individually reviewed</t>
        </is>
      </c>
      <c r="G915" s="34" t="inlineStr">
        <is>
          <t>Not individually decided</t>
        </is>
      </c>
      <c r="H915" s="34" t="inlineStr">
        <is>
          <t xml:space="preserve">APPROVED / ONE_TO_ONE; </t>
        </is>
      </c>
      <c r="I915" s="34" t="inlineStr">
        <is>
          <t>New</t>
        </is>
      </c>
      <c r="J915" s="92" t="inlineStr">
        <is>
          <t>08 CROSSWALK</t>
        </is>
      </c>
    </row>
    <row r="916" ht="49" customHeight="1">
      <c r="A916" s="34" t="inlineStr">
        <is>
          <t>R677-v1</t>
        </is>
      </c>
      <c r="B916" s="34" t="inlineStr">
        <is>
          <t>Contractor Programme / SCH-04-137</t>
        </is>
      </c>
      <c r="C916" s="34" t="inlineStr">
        <is>
          <t>WBS Code = 1.4.1</t>
        </is>
      </c>
      <c r="D916" s="34" t="inlineStr">
        <is>
          <t>Proposed by Source assignment; target 1.4.1 Vehicles and Depot - Fleet Supply</t>
        </is>
      </c>
      <c r="E916" s="34" t="inlineStr">
        <is>
          <t>None recorded</t>
        </is>
      </c>
      <c r="F916" s="34" t="inlineStr">
        <is>
          <t>No individual professional decision recorded; Source assignment -- not individually reviewed</t>
        </is>
      </c>
      <c r="G916" s="34" t="inlineStr">
        <is>
          <t>Not individually decided</t>
        </is>
      </c>
      <c r="H916" s="34" t="inlineStr">
        <is>
          <t xml:space="preserve">APPROVED / ONE_TO_ONE; </t>
        </is>
      </c>
      <c r="I916" s="34" t="inlineStr">
        <is>
          <t>New</t>
        </is>
      </c>
      <c r="J916" s="92" t="inlineStr">
        <is>
          <t>08 CROSSWALK</t>
        </is>
      </c>
    </row>
    <row r="917" ht="49" customHeight="1">
      <c r="A917" s="34" t="inlineStr">
        <is>
          <t>R679-v1</t>
        </is>
      </c>
      <c r="B917" s="34" t="inlineStr">
        <is>
          <t>Contractor Programme / SCH-04-139</t>
        </is>
      </c>
      <c r="C917" s="34" t="inlineStr">
        <is>
          <t>WBS Code = 1.4.1</t>
        </is>
      </c>
      <c r="D917" s="34" t="inlineStr">
        <is>
          <t>Proposed by Source assignment; target 1.4.1 Vehicles and Depot - Fleet Supply</t>
        </is>
      </c>
      <c r="E917" s="34" t="inlineStr">
        <is>
          <t>None recorded</t>
        </is>
      </c>
      <c r="F917" s="34" t="inlineStr">
        <is>
          <t>No individual professional decision recorded; Source assignment -- not individually reviewed</t>
        </is>
      </c>
      <c r="G917" s="34" t="inlineStr">
        <is>
          <t>Not individually decided</t>
        </is>
      </c>
      <c r="H917" s="34" t="inlineStr">
        <is>
          <t xml:space="preserve">APPROVED / ONE_TO_ONE; </t>
        </is>
      </c>
      <c r="I917" s="34" t="inlineStr">
        <is>
          <t>New</t>
        </is>
      </c>
      <c r="J917" s="92" t="inlineStr">
        <is>
          <t>08 CROSSWALK</t>
        </is>
      </c>
    </row>
    <row r="918" ht="49" customHeight="1">
      <c r="A918" s="34" t="inlineStr">
        <is>
          <t>R680-v1</t>
        </is>
      </c>
      <c r="B918" s="34" t="inlineStr">
        <is>
          <t>Contractor Programme / SCH-04-140</t>
        </is>
      </c>
      <c r="C918" s="34" t="inlineStr">
        <is>
          <t>WBS Code = 1.4.1</t>
        </is>
      </c>
      <c r="D918" s="34" t="inlineStr">
        <is>
          <t>Proposed by Source assignment; target 1.4.1 Vehicles and Depot - Fleet Supply</t>
        </is>
      </c>
      <c r="E918" s="34" t="inlineStr">
        <is>
          <t>None recorded</t>
        </is>
      </c>
      <c r="F918" s="34" t="inlineStr">
        <is>
          <t>No individual professional decision recorded; Source assignment -- not individually reviewed</t>
        </is>
      </c>
      <c r="G918" s="34" t="inlineStr">
        <is>
          <t>Not individually decided</t>
        </is>
      </c>
      <c r="H918" s="34" t="inlineStr">
        <is>
          <t xml:space="preserve">APPROVED / ONE_TO_ONE; </t>
        </is>
      </c>
      <c r="I918" s="34" t="inlineStr">
        <is>
          <t>New</t>
        </is>
      </c>
      <c r="J918" s="92" t="inlineStr">
        <is>
          <t>08 CROSSWALK</t>
        </is>
      </c>
    </row>
    <row r="919" ht="49" customHeight="1">
      <c r="A919" s="34" t="inlineStr">
        <is>
          <t>R682-v1</t>
        </is>
      </c>
      <c r="B919" s="34" t="inlineStr">
        <is>
          <t>Contractor Programme / SCH-04-142</t>
        </is>
      </c>
      <c r="C919" s="34" t="inlineStr">
        <is>
          <t>WBS Code = 1.4.1</t>
        </is>
      </c>
      <c r="D919" s="34" t="inlineStr">
        <is>
          <t>Proposed by Source assignment; target 1.4.1 Vehicles and Depot - Fleet Supply</t>
        </is>
      </c>
      <c r="E919" s="34" t="inlineStr">
        <is>
          <t>None recorded</t>
        </is>
      </c>
      <c r="F919" s="34" t="inlineStr">
        <is>
          <t>No individual professional decision recorded; Source assignment -- not individually reviewed</t>
        </is>
      </c>
      <c r="G919" s="34" t="inlineStr">
        <is>
          <t>Not individually decided</t>
        </is>
      </c>
      <c r="H919" s="34" t="inlineStr">
        <is>
          <t xml:space="preserve">APPROVED / ONE_TO_ONE; </t>
        </is>
      </c>
      <c r="I919" s="34" t="inlineStr">
        <is>
          <t>New</t>
        </is>
      </c>
      <c r="J919" s="92" t="inlineStr">
        <is>
          <t>08 CROSSWALK</t>
        </is>
      </c>
    </row>
    <row r="920" ht="49" customHeight="1">
      <c r="A920" s="34" t="inlineStr">
        <is>
          <t>R683-v1</t>
        </is>
      </c>
      <c r="B920" s="34" t="inlineStr">
        <is>
          <t>Contractor Programme / SCH-04-143</t>
        </is>
      </c>
      <c r="C920" s="34" t="inlineStr">
        <is>
          <t>WBS Code = 1.4.1</t>
        </is>
      </c>
      <c r="D920" s="34" t="inlineStr">
        <is>
          <t>Proposed by Source assignment; target 1.4.1 Vehicles and Depot - Fleet Supply</t>
        </is>
      </c>
      <c r="E920" s="34" t="inlineStr">
        <is>
          <t>None recorded</t>
        </is>
      </c>
      <c r="F920" s="34" t="inlineStr">
        <is>
          <t>No individual professional decision recorded; Source assignment -- not individually reviewed</t>
        </is>
      </c>
      <c r="G920" s="34" t="inlineStr">
        <is>
          <t>Not individually decided</t>
        </is>
      </c>
      <c r="H920" s="34" t="inlineStr">
        <is>
          <t xml:space="preserve">APPROVED / ONE_TO_ONE; </t>
        </is>
      </c>
      <c r="I920" s="34" t="inlineStr">
        <is>
          <t>New</t>
        </is>
      </c>
      <c r="J920" s="92" t="inlineStr">
        <is>
          <t>08 CROSSWALK</t>
        </is>
      </c>
    </row>
    <row r="921" ht="49" customHeight="1">
      <c r="A921" s="34" t="inlineStr">
        <is>
          <t>R685-v1</t>
        </is>
      </c>
      <c r="B921" s="34" t="inlineStr">
        <is>
          <t>Contractor Programme / SCH-04-145</t>
        </is>
      </c>
      <c r="C921" s="34" t="inlineStr">
        <is>
          <t>WBS Code = 1.4.1</t>
        </is>
      </c>
      <c r="D921" s="34" t="inlineStr">
        <is>
          <t>Proposed by Source assignment; target 1.4.1 Vehicles and Depot - Fleet Supply</t>
        </is>
      </c>
      <c r="E921" s="34" t="inlineStr">
        <is>
          <t>None recorded</t>
        </is>
      </c>
      <c r="F921" s="34" t="inlineStr">
        <is>
          <t>No individual professional decision recorded; Source assignment -- not individually reviewed</t>
        </is>
      </c>
      <c r="G921" s="34" t="inlineStr">
        <is>
          <t>Not individually decided</t>
        </is>
      </c>
      <c r="H921" s="34" t="inlineStr">
        <is>
          <t xml:space="preserve">APPROVED / ONE_TO_ONE; </t>
        </is>
      </c>
      <c r="I921" s="34" t="inlineStr">
        <is>
          <t>New</t>
        </is>
      </c>
      <c r="J921" s="92" t="inlineStr">
        <is>
          <t>08 CROSSWALK</t>
        </is>
      </c>
    </row>
    <row r="922" ht="49" customHeight="1">
      <c r="A922" s="34" t="inlineStr">
        <is>
          <t>R686-v1</t>
        </is>
      </c>
      <c r="B922" s="34" t="inlineStr">
        <is>
          <t>Contractor Programme / SCH-04-146</t>
        </is>
      </c>
      <c r="C922" s="34" t="inlineStr">
        <is>
          <t>WBS Code = 1.4.1</t>
        </is>
      </c>
      <c r="D922" s="34" t="inlineStr">
        <is>
          <t>Proposed by Source assignment; target 1.4.1 Vehicles and Depot - Fleet Supply</t>
        </is>
      </c>
      <c r="E922" s="34" t="inlineStr">
        <is>
          <t>None recorded</t>
        </is>
      </c>
      <c r="F922" s="34" t="inlineStr">
        <is>
          <t>No individual professional decision recorded; Source assignment -- not individually reviewed</t>
        </is>
      </c>
      <c r="G922" s="34" t="inlineStr">
        <is>
          <t>Not individually decided</t>
        </is>
      </c>
      <c r="H922" s="34" t="inlineStr">
        <is>
          <t xml:space="preserve">APPROVED / ONE_TO_ONE; </t>
        </is>
      </c>
      <c r="I922" s="34" t="inlineStr">
        <is>
          <t>New</t>
        </is>
      </c>
      <c r="J922" s="92" t="inlineStr">
        <is>
          <t>08 CROSSWALK</t>
        </is>
      </c>
    </row>
    <row r="923" ht="49" customHeight="1">
      <c r="A923" s="34" t="inlineStr">
        <is>
          <t>R688-v1</t>
        </is>
      </c>
      <c r="B923" s="34" t="inlineStr">
        <is>
          <t>Contractor Programme / SCH-04-148</t>
        </is>
      </c>
      <c r="C923" s="34" t="inlineStr">
        <is>
          <t>WBS Code = 1.4.1</t>
        </is>
      </c>
      <c r="D923" s="34" t="inlineStr">
        <is>
          <t>Proposed by Source assignment; target 1.4.1 Vehicles and Depot - Fleet Supply</t>
        </is>
      </c>
      <c r="E923" s="34" t="inlineStr">
        <is>
          <t>None recorded</t>
        </is>
      </c>
      <c r="F923" s="34" t="inlineStr">
        <is>
          <t>No individual professional decision recorded; Source assignment -- not individually reviewed</t>
        </is>
      </c>
      <c r="G923" s="34" t="inlineStr">
        <is>
          <t>Not individually decided</t>
        </is>
      </c>
      <c r="H923" s="34" t="inlineStr">
        <is>
          <t xml:space="preserve">APPROVED / ONE_TO_ONE; </t>
        </is>
      </c>
      <c r="I923" s="34" t="inlineStr">
        <is>
          <t>New</t>
        </is>
      </c>
      <c r="J923" s="92" t="inlineStr">
        <is>
          <t>08 CROSSWALK</t>
        </is>
      </c>
    </row>
    <row r="924" ht="49" customHeight="1">
      <c r="A924" s="34" t="inlineStr">
        <is>
          <t>R689-v1</t>
        </is>
      </c>
      <c r="B924" s="34" t="inlineStr">
        <is>
          <t>Contractor Programme / SCH-04-149</t>
        </is>
      </c>
      <c r="C924" s="34" t="inlineStr">
        <is>
          <t>WBS Code = 1.4.1</t>
        </is>
      </c>
      <c r="D924" s="34" t="inlineStr">
        <is>
          <t>Proposed by Source assignment; target 1.4.1 Vehicles and Depot - Fleet Supply</t>
        </is>
      </c>
      <c r="E924" s="34" t="inlineStr">
        <is>
          <t>None recorded</t>
        </is>
      </c>
      <c r="F924" s="34" t="inlineStr">
        <is>
          <t>No individual professional decision recorded; Source assignment -- not individually reviewed</t>
        </is>
      </c>
      <c r="G924" s="34" t="inlineStr">
        <is>
          <t>Not individually decided</t>
        </is>
      </c>
      <c r="H924" s="34" t="inlineStr">
        <is>
          <t xml:space="preserve">APPROVED / ONE_TO_ONE; </t>
        </is>
      </c>
      <c r="I924" s="34" t="inlineStr">
        <is>
          <t>New</t>
        </is>
      </c>
      <c r="J924" s="92" t="inlineStr">
        <is>
          <t>08 CROSSWALK</t>
        </is>
      </c>
    </row>
    <row r="925" ht="49" customHeight="1">
      <c r="A925" s="34" t="inlineStr">
        <is>
          <t>R691-v1</t>
        </is>
      </c>
      <c r="B925" s="34" t="inlineStr">
        <is>
          <t>Contractor Programme / SCH-04-151</t>
        </is>
      </c>
      <c r="C925" s="34" t="inlineStr">
        <is>
          <t>WBS Code = 1.4.1</t>
        </is>
      </c>
      <c r="D925" s="34" t="inlineStr">
        <is>
          <t>Proposed by Source assignment; target 1.4.1 Vehicles and Depot - Fleet Supply</t>
        </is>
      </c>
      <c r="E925" s="34" t="inlineStr">
        <is>
          <t>None recorded</t>
        </is>
      </c>
      <c r="F925" s="34" t="inlineStr">
        <is>
          <t>No individual professional decision recorded; Source assignment -- not individually reviewed</t>
        </is>
      </c>
      <c r="G925" s="34" t="inlineStr">
        <is>
          <t>Not individually decided</t>
        </is>
      </c>
      <c r="H925" s="34" t="inlineStr">
        <is>
          <t xml:space="preserve">APPROVED / ONE_TO_ONE; </t>
        </is>
      </c>
      <c r="I925" s="34" t="inlineStr">
        <is>
          <t>New</t>
        </is>
      </c>
      <c r="J925" s="92" t="inlineStr">
        <is>
          <t>08 CROSSWALK</t>
        </is>
      </c>
    </row>
    <row r="926" ht="49" customHeight="1">
      <c r="A926" s="34" t="inlineStr">
        <is>
          <t>R692-v1</t>
        </is>
      </c>
      <c r="B926" s="34" t="inlineStr">
        <is>
          <t>Contractor Programme / SCH-04-152</t>
        </is>
      </c>
      <c r="C926" s="34" t="inlineStr">
        <is>
          <t>WBS Code = 1.4.1</t>
        </is>
      </c>
      <c r="D926" s="34" t="inlineStr">
        <is>
          <t>Proposed by Source assignment; target 1.4.1 Vehicles and Depot - Fleet Supply</t>
        </is>
      </c>
      <c r="E926" s="34" t="inlineStr">
        <is>
          <t>None recorded</t>
        </is>
      </c>
      <c r="F926" s="34" t="inlineStr">
        <is>
          <t>No individual professional decision recorded; Source assignment -- not individually reviewed</t>
        </is>
      </c>
      <c r="G926" s="34" t="inlineStr">
        <is>
          <t>Not individually decided</t>
        </is>
      </c>
      <c r="H926" s="34" t="inlineStr">
        <is>
          <t xml:space="preserve">APPROVED / ONE_TO_ONE; </t>
        </is>
      </c>
      <c r="I926" s="34" t="inlineStr">
        <is>
          <t>New</t>
        </is>
      </c>
      <c r="J926" s="92" t="inlineStr">
        <is>
          <t>08 CROSSWALK</t>
        </is>
      </c>
    </row>
    <row r="927" ht="49" customHeight="1">
      <c r="A927" s="34" t="inlineStr">
        <is>
          <t>R694-v1</t>
        </is>
      </c>
      <c r="B927" s="34" t="inlineStr">
        <is>
          <t>Contractor Programme / SCH-04-154</t>
        </is>
      </c>
      <c r="C927" s="34" t="inlineStr">
        <is>
          <t>WBS Code = 1.4.1</t>
        </is>
      </c>
      <c r="D927" s="34" t="inlineStr">
        <is>
          <t>Proposed by Source assignment; target 1.4.1 Vehicles and Depot - Fleet Supply</t>
        </is>
      </c>
      <c r="E927" s="34" t="inlineStr">
        <is>
          <t>None recorded</t>
        </is>
      </c>
      <c r="F927" s="34" t="inlineStr">
        <is>
          <t>No individual professional decision recorded; Source assignment -- not individually reviewed</t>
        </is>
      </c>
      <c r="G927" s="34" t="inlineStr">
        <is>
          <t>Not individually decided</t>
        </is>
      </c>
      <c r="H927" s="34" t="inlineStr">
        <is>
          <t xml:space="preserve">APPROVED / ONE_TO_ONE; </t>
        </is>
      </c>
      <c r="I927" s="34" t="inlineStr">
        <is>
          <t>New</t>
        </is>
      </c>
      <c r="J927" s="92" t="inlineStr">
        <is>
          <t>08 CROSSWALK</t>
        </is>
      </c>
    </row>
    <row r="928" ht="49" customHeight="1">
      <c r="A928" s="34" t="inlineStr">
        <is>
          <t>R695-v1</t>
        </is>
      </c>
      <c r="B928" s="34" t="inlineStr">
        <is>
          <t>Contractor Programme / SCH-04-155</t>
        </is>
      </c>
      <c r="C928" s="34" t="inlineStr">
        <is>
          <t>WBS Code = 1.4.1</t>
        </is>
      </c>
      <c r="D928" s="34" t="inlineStr">
        <is>
          <t>Proposed by Source assignment; target 1.4.1 Vehicles and Depot - Fleet Supply</t>
        </is>
      </c>
      <c r="E928" s="34" t="inlineStr">
        <is>
          <t>None recorded</t>
        </is>
      </c>
      <c r="F928" s="34" t="inlineStr">
        <is>
          <t>No individual professional decision recorded; Source assignment -- not individually reviewed</t>
        </is>
      </c>
      <c r="G928" s="34" t="inlineStr">
        <is>
          <t>Not individually decided</t>
        </is>
      </c>
      <c r="H928" s="34" t="inlineStr">
        <is>
          <t xml:space="preserve">APPROVED / ONE_TO_ONE; </t>
        </is>
      </c>
      <c r="I928" s="34" t="inlineStr">
        <is>
          <t>New</t>
        </is>
      </c>
      <c r="J928" s="92" t="inlineStr">
        <is>
          <t>08 CROSSWALK</t>
        </is>
      </c>
    </row>
    <row r="929" ht="49" customHeight="1">
      <c r="A929" s="34" t="inlineStr">
        <is>
          <t>R697-v1</t>
        </is>
      </c>
      <c r="B929" s="34" t="inlineStr">
        <is>
          <t>Contractor Programme / SCH-04-157</t>
        </is>
      </c>
      <c r="C929" s="34" t="inlineStr">
        <is>
          <t>WBS Code = 1.4.1</t>
        </is>
      </c>
      <c r="D929" s="34" t="inlineStr">
        <is>
          <t>Proposed by Source assignment; target 1.4.1 Vehicles and Depot - Fleet Supply</t>
        </is>
      </c>
      <c r="E929" s="34" t="inlineStr">
        <is>
          <t>None recorded</t>
        </is>
      </c>
      <c r="F929" s="34" t="inlineStr">
        <is>
          <t>No individual professional decision recorded; Source assignment -- not individually reviewed</t>
        </is>
      </c>
      <c r="G929" s="34" t="inlineStr">
        <is>
          <t>Not individually decided</t>
        </is>
      </c>
      <c r="H929" s="34" t="inlineStr">
        <is>
          <t xml:space="preserve">APPROVED / ONE_TO_ONE; </t>
        </is>
      </c>
      <c r="I929" s="34" t="inlineStr">
        <is>
          <t>New</t>
        </is>
      </c>
      <c r="J929" s="92" t="inlineStr">
        <is>
          <t>08 CROSSWALK</t>
        </is>
      </c>
    </row>
    <row r="930" ht="49" customHeight="1">
      <c r="A930" s="34" t="inlineStr">
        <is>
          <t>R698-v1</t>
        </is>
      </c>
      <c r="B930" s="34" t="inlineStr">
        <is>
          <t>Contractor Programme / SCH-04-158</t>
        </is>
      </c>
      <c r="C930" s="34" t="inlineStr">
        <is>
          <t>WBS Code = 1.4.1</t>
        </is>
      </c>
      <c r="D930" s="34" t="inlineStr">
        <is>
          <t>Proposed by Source assignment; target 1.4.1 Vehicles and Depot - Fleet Supply</t>
        </is>
      </c>
      <c r="E930" s="34" t="inlineStr">
        <is>
          <t>None recorded</t>
        </is>
      </c>
      <c r="F930" s="34" t="inlineStr">
        <is>
          <t>No individual professional decision recorded; Source assignment -- not individually reviewed</t>
        </is>
      </c>
      <c r="G930" s="34" t="inlineStr">
        <is>
          <t>Not individually decided</t>
        </is>
      </c>
      <c r="H930" s="34" t="inlineStr">
        <is>
          <t xml:space="preserve">APPROVED / ONE_TO_ONE; </t>
        </is>
      </c>
      <c r="I930" s="34" t="inlineStr">
        <is>
          <t>New</t>
        </is>
      </c>
      <c r="J930" s="92" t="inlineStr">
        <is>
          <t>08 CROSSWALK</t>
        </is>
      </c>
    </row>
    <row r="931" ht="49" customHeight="1">
      <c r="A931" s="34" t="inlineStr">
        <is>
          <t>R700-v1</t>
        </is>
      </c>
      <c r="B931" s="34" t="inlineStr">
        <is>
          <t>Contractor Programme / SCH-04-160</t>
        </is>
      </c>
      <c r="C931" s="34" t="inlineStr">
        <is>
          <t>WBS Code = 1.4.1</t>
        </is>
      </c>
      <c r="D931" s="34" t="inlineStr">
        <is>
          <t>Proposed by Source assignment; target 1.4.1 Vehicles and Depot - Fleet Supply</t>
        </is>
      </c>
      <c r="E931" s="34" t="inlineStr">
        <is>
          <t>None recorded</t>
        </is>
      </c>
      <c r="F931" s="34" t="inlineStr">
        <is>
          <t>No individual professional decision recorded; Source assignment -- not individually reviewed</t>
        </is>
      </c>
      <c r="G931" s="34" t="inlineStr">
        <is>
          <t>Not individually decided</t>
        </is>
      </c>
      <c r="H931" s="34" t="inlineStr">
        <is>
          <t xml:space="preserve">APPROVED / ONE_TO_ONE; </t>
        </is>
      </c>
      <c r="I931" s="34" t="inlineStr">
        <is>
          <t>New</t>
        </is>
      </c>
      <c r="J931" s="92" t="inlineStr">
        <is>
          <t>08 CROSSWALK</t>
        </is>
      </c>
    </row>
    <row r="932" ht="49" customHeight="1">
      <c r="A932" s="34" t="inlineStr">
        <is>
          <t>R701-v1</t>
        </is>
      </c>
      <c r="B932" s="34" t="inlineStr">
        <is>
          <t>Contractor Programme / SCH-04-161</t>
        </is>
      </c>
      <c r="C932" s="34" t="inlineStr">
        <is>
          <t>WBS Code = 1.4.1</t>
        </is>
      </c>
      <c r="D932" s="34" t="inlineStr">
        <is>
          <t>Proposed by Source assignment; target 1.4.1 Vehicles and Depot - Fleet Supply</t>
        </is>
      </c>
      <c r="E932" s="34" t="inlineStr">
        <is>
          <t>None recorded</t>
        </is>
      </c>
      <c r="F932" s="34" t="inlineStr">
        <is>
          <t>No individual professional decision recorded; Source assignment -- not individually reviewed</t>
        </is>
      </c>
      <c r="G932" s="34" t="inlineStr">
        <is>
          <t>Not individually decided</t>
        </is>
      </c>
      <c r="H932" s="34" t="inlineStr">
        <is>
          <t xml:space="preserve">APPROVED / ONE_TO_ONE; </t>
        </is>
      </c>
      <c r="I932" s="34" t="inlineStr">
        <is>
          <t>New</t>
        </is>
      </c>
      <c r="J932" s="92" t="inlineStr">
        <is>
          <t>08 CROSSWALK</t>
        </is>
      </c>
    </row>
    <row r="933" ht="49" customHeight="1">
      <c r="A933" s="34" t="inlineStr">
        <is>
          <t>R703-v1</t>
        </is>
      </c>
      <c r="B933" s="34" t="inlineStr">
        <is>
          <t>Contractor Programme / SCH-04-163</t>
        </is>
      </c>
      <c r="C933" s="34" t="inlineStr">
        <is>
          <t>WBS Code = 1.4.1</t>
        </is>
      </c>
      <c r="D933" s="34" t="inlineStr">
        <is>
          <t>Proposed by Source assignment; target 1.4.1 Vehicles and Depot - Fleet Supply</t>
        </is>
      </c>
      <c r="E933" s="34" t="inlineStr">
        <is>
          <t>None recorded</t>
        </is>
      </c>
      <c r="F933" s="34" t="inlineStr">
        <is>
          <t>No individual professional decision recorded; Source assignment -- not individually reviewed</t>
        </is>
      </c>
      <c r="G933" s="34" t="inlineStr">
        <is>
          <t>Not individually decided</t>
        </is>
      </c>
      <c r="H933" s="34" t="inlineStr">
        <is>
          <t xml:space="preserve">APPROVED / ONE_TO_ONE; </t>
        </is>
      </c>
      <c r="I933" s="34" t="inlineStr">
        <is>
          <t>New</t>
        </is>
      </c>
      <c r="J933" s="92" t="inlineStr">
        <is>
          <t>08 CROSSWALK</t>
        </is>
      </c>
    </row>
    <row r="934" ht="49" customHeight="1">
      <c r="A934" s="34" t="inlineStr">
        <is>
          <t>R704-v1</t>
        </is>
      </c>
      <c r="B934" s="34" t="inlineStr">
        <is>
          <t>Contractor Programme / SCH-04-164</t>
        </is>
      </c>
      <c r="C934" s="34" t="inlineStr">
        <is>
          <t>WBS Code = 1.4.1</t>
        </is>
      </c>
      <c r="D934" s="34" t="inlineStr">
        <is>
          <t>Proposed by Source assignment; target 1.4.1 Vehicles and Depot - Fleet Supply</t>
        </is>
      </c>
      <c r="E934" s="34" t="inlineStr">
        <is>
          <t>None recorded</t>
        </is>
      </c>
      <c r="F934" s="34" t="inlineStr">
        <is>
          <t>No individual professional decision recorded; Source assignment -- not individually reviewed</t>
        </is>
      </c>
      <c r="G934" s="34" t="inlineStr">
        <is>
          <t>Not individually decided</t>
        </is>
      </c>
      <c r="H934" s="34" t="inlineStr">
        <is>
          <t xml:space="preserve">APPROVED / ONE_TO_ONE; </t>
        </is>
      </c>
      <c r="I934" s="34" t="inlineStr">
        <is>
          <t>New</t>
        </is>
      </c>
      <c r="J934" s="92" t="inlineStr">
        <is>
          <t>08 CROSSWALK</t>
        </is>
      </c>
    </row>
    <row r="935" ht="49" customHeight="1">
      <c r="A935" s="34" t="inlineStr">
        <is>
          <t>R706-v1</t>
        </is>
      </c>
      <c r="B935" s="34" t="inlineStr">
        <is>
          <t>Contractor Programme / SCH-04-166</t>
        </is>
      </c>
      <c r="C935" s="34" t="inlineStr">
        <is>
          <t>WBS Code = 1.4.1</t>
        </is>
      </c>
      <c r="D935" s="34" t="inlineStr">
        <is>
          <t>Proposed by Source assignment; target 1.4.1 Vehicles and Depot - Fleet Supply</t>
        </is>
      </c>
      <c r="E935" s="34" t="inlineStr">
        <is>
          <t>None recorded</t>
        </is>
      </c>
      <c r="F935" s="34" t="inlineStr">
        <is>
          <t>No individual professional decision recorded; Source assignment -- not individually reviewed</t>
        </is>
      </c>
      <c r="G935" s="34" t="inlineStr">
        <is>
          <t>Not individually decided</t>
        </is>
      </c>
      <c r="H935" s="34" t="inlineStr">
        <is>
          <t xml:space="preserve">APPROVED / ONE_TO_ONE; </t>
        </is>
      </c>
      <c r="I935" s="34" t="inlineStr">
        <is>
          <t>New</t>
        </is>
      </c>
      <c r="J935" s="92" t="inlineStr">
        <is>
          <t>08 CROSSWALK</t>
        </is>
      </c>
    </row>
    <row r="936" ht="49" customHeight="1">
      <c r="A936" s="34" t="inlineStr">
        <is>
          <t>R707-v1</t>
        </is>
      </c>
      <c r="B936" s="34" t="inlineStr">
        <is>
          <t>Contractor Programme / SCH-04-167</t>
        </is>
      </c>
      <c r="C936" s="34" t="inlineStr">
        <is>
          <t>WBS Code = 1.4.1</t>
        </is>
      </c>
      <c r="D936" s="34" t="inlineStr">
        <is>
          <t>Proposed by Source assignment; target 1.4.1 Vehicles and Depot - Fleet Supply</t>
        </is>
      </c>
      <c r="E936" s="34" t="inlineStr">
        <is>
          <t>None recorded</t>
        </is>
      </c>
      <c r="F936" s="34" t="inlineStr">
        <is>
          <t>No individual professional decision recorded; Source assignment -- not individually reviewed</t>
        </is>
      </c>
      <c r="G936" s="34" t="inlineStr">
        <is>
          <t>Not individually decided</t>
        </is>
      </c>
      <c r="H936" s="34" t="inlineStr">
        <is>
          <t xml:space="preserve">APPROVED / ONE_TO_ONE; </t>
        </is>
      </c>
      <c r="I936" s="34" t="inlineStr">
        <is>
          <t>New</t>
        </is>
      </c>
      <c r="J936" s="92" t="inlineStr">
        <is>
          <t>08 CROSSWALK</t>
        </is>
      </c>
    </row>
    <row r="937" ht="49" customHeight="1">
      <c r="A937" s="34" t="inlineStr">
        <is>
          <t>R709-v1</t>
        </is>
      </c>
      <c r="B937" s="34" t="inlineStr">
        <is>
          <t>Contractor Programme / SCH-04-169</t>
        </is>
      </c>
      <c r="C937" s="34" t="inlineStr">
        <is>
          <t>WBS Code = 1.4.1</t>
        </is>
      </c>
      <c r="D937" s="34" t="inlineStr">
        <is>
          <t>Proposed by Source assignment; target 1.4.1 Vehicles and Depot - Fleet Supply</t>
        </is>
      </c>
      <c r="E937" s="34" t="inlineStr">
        <is>
          <t>None recorded</t>
        </is>
      </c>
      <c r="F937" s="34" t="inlineStr">
        <is>
          <t>No individual professional decision recorded; Source assignment -- not individually reviewed</t>
        </is>
      </c>
      <c r="G937" s="34" t="inlineStr">
        <is>
          <t>Not individually decided</t>
        </is>
      </c>
      <c r="H937" s="34" t="inlineStr">
        <is>
          <t xml:space="preserve">APPROVED / ONE_TO_ONE; </t>
        </is>
      </c>
      <c r="I937" s="34" t="inlineStr">
        <is>
          <t>New</t>
        </is>
      </c>
      <c r="J937" s="92" t="inlineStr">
        <is>
          <t>08 CROSSWALK</t>
        </is>
      </c>
    </row>
    <row r="938" ht="49" customHeight="1">
      <c r="A938" s="34" t="inlineStr">
        <is>
          <t>R710-v1</t>
        </is>
      </c>
      <c r="B938" s="34" t="inlineStr">
        <is>
          <t>Contractor Programme / SCH-04-170</t>
        </is>
      </c>
      <c r="C938" s="34" t="inlineStr">
        <is>
          <t>WBS Code = 1.4.1</t>
        </is>
      </c>
      <c r="D938" s="34" t="inlineStr">
        <is>
          <t>Proposed by Source assignment; target 1.4.1 Vehicles and Depot - Fleet Supply</t>
        </is>
      </c>
      <c r="E938" s="34" t="inlineStr">
        <is>
          <t>None recorded</t>
        </is>
      </c>
      <c r="F938" s="34" t="inlineStr">
        <is>
          <t>No individual professional decision recorded; Source assignment -- not individually reviewed</t>
        </is>
      </c>
      <c r="G938" s="34" t="inlineStr">
        <is>
          <t>Not individually decided</t>
        </is>
      </c>
      <c r="H938" s="34" t="inlineStr">
        <is>
          <t xml:space="preserve">APPROVED / ONE_TO_ONE; </t>
        </is>
      </c>
      <c r="I938" s="34" t="inlineStr">
        <is>
          <t>New</t>
        </is>
      </c>
      <c r="J938" s="92" t="inlineStr">
        <is>
          <t>08 CROSSWALK</t>
        </is>
      </c>
    </row>
    <row r="939" ht="49" customHeight="1">
      <c r="A939" s="34" t="inlineStr">
        <is>
          <t>R712-v1</t>
        </is>
      </c>
      <c r="B939" s="34" t="inlineStr">
        <is>
          <t>Contractor Programme / SCH-04-172</t>
        </is>
      </c>
      <c r="C939" s="34" t="inlineStr">
        <is>
          <t>WBS Code = 1.4.1</t>
        </is>
      </c>
      <c r="D939" s="34" t="inlineStr">
        <is>
          <t>Proposed by Source assignment; target 1.4.1 Vehicles and Depot - Fleet Supply</t>
        </is>
      </c>
      <c r="E939" s="34" t="inlineStr">
        <is>
          <t>None recorded</t>
        </is>
      </c>
      <c r="F939" s="34" t="inlineStr">
        <is>
          <t>No individual professional decision recorded; Source assignment -- not individually reviewed</t>
        </is>
      </c>
      <c r="G939" s="34" t="inlineStr">
        <is>
          <t>Not individually decided</t>
        </is>
      </c>
      <c r="H939" s="34" t="inlineStr">
        <is>
          <t xml:space="preserve">APPROVED / ONE_TO_ONE; </t>
        </is>
      </c>
      <c r="I939" s="34" t="inlineStr">
        <is>
          <t>New</t>
        </is>
      </c>
      <c r="J939" s="92" t="inlineStr">
        <is>
          <t>08 CROSSWALK</t>
        </is>
      </c>
    </row>
    <row r="940" ht="49" customHeight="1">
      <c r="A940" s="34" t="inlineStr">
        <is>
          <t>R713-v1</t>
        </is>
      </c>
      <c r="B940" s="34" t="inlineStr">
        <is>
          <t>Contractor Programme / SCH-04-173</t>
        </is>
      </c>
      <c r="C940" s="34" t="inlineStr">
        <is>
          <t>WBS Code = 1.4.1</t>
        </is>
      </c>
      <c r="D940" s="34" t="inlineStr">
        <is>
          <t>Proposed by Source assignment; target 1.4.1 Vehicles and Depot - Fleet Supply</t>
        </is>
      </c>
      <c r="E940" s="34" t="inlineStr">
        <is>
          <t>None recorded</t>
        </is>
      </c>
      <c r="F940" s="34" t="inlineStr">
        <is>
          <t>No individual professional decision recorded; Source assignment -- not individually reviewed</t>
        </is>
      </c>
      <c r="G940" s="34" t="inlineStr">
        <is>
          <t>Not individually decided</t>
        </is>
      </c>
      <c r="H940" s="34" t="inlineStr">
        <is>
          <t xml:space="preserve">APPROVED / ONE_TO_ONE; </t>
        </is>
      </c>
      <c r="I940" s="34" t="inlineStr">
        <is>
          <t>New</t>
        </is>
      </c>
      <c r="J940" s="92" t="inlineStr">
        <is>
          <t>08 CROSSWALK</t>
        </is>
      </c>
    </row>
    <row r="941" ht="49" customHeight="1">
      <c r="A941" s="34" t="inlineStr">
        <is>
          <t>R715-v1</t>
        </is>
      </c>
      <c r="B941" s="34" t="inlineStr">
        <is>
          <t>Contractor Programme / SCH-04-175</t>
        </is>
      </c>
      <c r="C941" s="34" t="inlineStr">
        <is>
          <t>WBS Code = 1.4.1</t>
        </is>
      </c>
      <c r="D941" s="34" t="inlineStr">
        <is>
          <t>Proposed by Source assignment; target 1.4.1 Vehicles and Depot - Fleet Supply</t>
        </is>
      </c>
      <c r="E941" s="34" t="inlineStr">
        <is>
          <t>None recorded</t>
        </is>
      </c>
      <c r="F941" s="34" t="inlineStr">
        <is>
          <t>No individual professional decision recorded; Source assignment -- not individually reviewed</t>
        </is>
      </c>
      <c r="G941" s="34" t="inlineStr">
        <is>
          <t>Not individually decided</t>
        </is>
      </c>
      <c r="H941" s="34" t="inlineStr">
        <is>
          <t xml:space="preserve">APPROVED / ONE_TO_ONE; </t>
        </is>
      </c>
      <c r="I941" s="34" t="inlineStr">
        <is>
          <t>New</t>
        </is>
      </c>
      <c r="J941" s="92" t="inlineStr">
        <is>
          <t>08 CROSSWALK</t>
        </is>
      </c>
    </row>
    <row r="942" ht="49" customHeight="1">
      <c r="A942" s="34" t="inlineStr">
        <is>
          <t>R716-v1</t>
        </is>
      </c>
      <c r="B942" s="34" t="inlineStr">
        <is>
          <t>Contractor Programme / SCH-04-176</t>
        </is>
      </c>
      <c r="C942" s="34" t="inlineStr">
        <is>
          <t>WBS Code = 1.4.1</t>
        </is>
      </c>
      <c r="D942" s="34" t="inlineStr">
        <is>
          <t>Proposed by Source assignment; target 1.4.1 Vehicles and Depot - Fleet Supply</t>
        </is>
      </c>
      <c r="E942" s="34" t="inlineStr">
        <is>
          <t>None recorded</t>
        </is>
      </c>
      <c r="F942" s="34" t="inlineStr">
        <is>
          <t>No individual professional decision recorded; Source assignment -- not individually reviewed</t>
        </is>
      </c>
      <c r="G942" s="34" t="inlineStr">
        <is>
          <t>Not individually decided</t>
        </is>
      </c>
      <c r="H942" s="34" t="inlineStr">
        <is>
          <t xml:space="preserve">APPROVED / ONE_TO_ONE; </t>
        </is>
      </c>
      <c r="I942" s="34" t="inlineStr">
        <is>
          <t>New</t>
        </is>
      </c>
      <c r="J942" s="92" t="inlineStr">
        <is>
          <t>08 CROSSWALK</t>
        </is>
      </c>
    </row>
    <row r="943" ht="49" customHeight="1">
      <c r="A943" s="34" t="inlineStr">
        <is>
          <t>R718-v1</t>
        </is>
      </c>
      <c r="B943" s="34" t="inlineStr">
        <is>
          <t>Contractor Programme / SCH-04-178</t>
        </is>
      </c>
      <c r="C943" s="34" t="inlineStr">
        <is>
          <t>WBS Code = 1.4.1</t>
        </is>
      </c>
      <c r="D943" s="34" t="inlineStr">
        <is>
          <t>Proposed by Source assignment; target 1.4.1 Vehicles and Depot - Fleet Supply</t>
        </is>
      </c>
      <c r="E943" s="34" t="inlineStr">
        <is>
          <t>None recorded</t>
        </is>
      </c>
      <c r="F943" s="34" t="inlineStr">
        <is>
          <t>No individual professional decision recorded; Source assignment -- not individually reviewed</t>
        </is>
      </c>
      <c r="G943" s="34" t="inlineStr">
        <is>
          <t>Not individually decided</t>
        </is>
      </c>
      <c r="H943" s="34" t="inlineStr">
        <is>
          <t xml:space="preserve">APPROVED / ONE_TO_ONE; </t>
        </is>
      </c>
      <c r="I943" s="34" t="inlineStr">
        <is>
          <t>New</t>
        </is>
      </c>
      <c r="J943" s="92" t="inlineStr">
        <is>
          <t>08 CROSSWALK</t>
        </is>
      </c>
    </row>
    <row r="944" ht="49" customHeight="1">
      <c r="A944" s="34" t="inlineStr">
        <is>
          <t>R719-v1</t>
        </is>
      </c>
      <c r="B944" s="34" t="inlineStr">
        <is>
          <t>Contractor Programme / SCH-04-179</t>
        </is>
      </c>
      <c r="C944" s="34" t="inlineStr">
        <is>
          <t>WBS Code = 1.4.1</t>
        </is>
      </c>
      <c r="D944" s="34" t="inlineStr">
        <is>
          <t>Proposed by Source assignment; target 1.4.1 Vehicles and Depot - Fleet Supply</t>
        </is>
      </c>
      <c r="E944" s="34" t="inlineStr">
        <is>
          <t>None recorded</t>
        </is>
      </c>
      <c r="F944" s="34" t="inlineStr">
        <is>
          <t>No individual professional decision recorded; Source assignment -- not individually reviewed</t>
        </is>
      </c>
      <c r="G944" s="34" t="inlineStr">
        <is>
          <t>Not individually decided</t>
        </is>
      </c>
      <c r="H944" s="34" t="inlineStr">
        <is>
          <t xml:space="preserve">APPROVED / ONE_TO_ONE; </t>
        </is>
      </c>
      <c r="I944" s="34" t="inlineStr">
        <is>
          <t>New</t>
        </is>
      </c>
      <c r="J944" s="92" t="inlineStr">
        <is>
          <t>08 CROSSWALK</t>
        </is>
      </c>
    </row>
    <row r="945" ht="49" customHeight="1">
      <c r="A945" s="34" t="inlineStr">
        <is>
          <t>R1323-v1</t>
        </is>
      </c>
      <c r="B945" s="34" t="inlineStr">
        <is>
          <t>Cost &amp; Forecast Control Accounts / CST-04-001</t>
        </is>
      </c>
      <c r="C945" s="34" t="inlineStr">
        <is>
          <t>Cost Account = CA-4001; WBS Code = 1.4.1</t>
        </is>
      </c>
      <c r="D945" s="34" t="inlineStr">
        <is>
          <t>Proposed by Source assignment; target 1.4.1 Vehicles and Depot - Fleet Supply</t>
        </is>
      </c>
      <c r="E945" s="34" t="inlineStr">
        <is>
          <t>None recorded</t>
        </is>
      </c>
      <c r="F945" s="34" t="inlineStr">
        <is>
          <t>No individual professional decision recorded; Source assignment -- not individually reviewed</t>
        </is>
      </c>
      <c r="G945" s="34" t="inlineStr">
        <is>
          <t>Not individually decided</t>
        </is>
      </c>
      <c r="H945" s="34" t="inlineStr">
        <is>
          <t xml:space="preserve">APPROVED / ONE_TO_ONE; </t>
        </is>
      </c>
      <c r="I945" s="34" t="inlineStr">
        <is>
          <t>New</t>
        </is>
      </c>
      <c r="J945" s="92" t="inlineStr">
        <is>
          <t>08 CROSSWALK</t>
        </is>
      </c>
    </row>
    <row r="946" ht="49" customHeight="1">
      <c r="A946" s="34" t="inlineStr">
        <is>
          <t>R1325-v1</t>
        </is>
      </c>
      <c r="B946" s="34" t="inlineStr">
        <is>
          <t>Cost &amp; Forecast Control Accounts / CST-04-003</t>
        </is>
      </c>
      <c r="C946" s="34" t="inlineStr">
        <is>
          <t>Cost Account = CA-4003; WBS Code = 1.4.1</t>
        </is>
      </c>
      <c r="D946" s="34" t="inlineStr">
        <is>
          <t>Proposed by Source assignment; target 1.4.1 Vehicles and Depot - Fleet Supply</t>
        </is>
      </c>
      <c r="E946" s="34" t="inlineStr">
        <is>
          <t>None recorded</t>
        </is>
      </c>
      <c r="F946" s="34" t="inlineStr">
        <is>
          <t>No individual professional decision recorded; Source assignment -- not individually reviewed</t>
        </is>
      </c>
      <c r="G946" s="34" t="inlineStr">
        <is>
          <t>Not individually decided</t>
        </is>
      </c>
      <c r="H946" s="34" t="inlineStr">
        <is>
          <t xml:space="preserve">APPROVED / ONE_TO_ONE; </t>
        </is>
      </c>
      <c r="I946" s="34" t="inlineStr">
        <is>
          <t>New</t>
        </is>
      </c>
      <c r="J946" s="92" t="inlineStr">
        <is>
          <t>08 CROSSWALK</t>
        </is>
      </c>
    </row>
    <row r="947" ht="49" customHeight="1">
      <c r="A947" s="34" t="inlineStr">
        <is>
          <t>R1327-v1</t>
        </is>
      </c>
      <c r="B947" s="34" t="inlineStr">
        <is>
          <t>Cost &amp; Forecast Control Accounts / CST-04-005</t>
        </is>
      </c>
      <c r="C947" s="34" t="inlineStr">
        <is>
          <t>Cost Account = CA-4005; WBS Code = 1.4.1</t>
        </is>
      </c>
      <c r="D947" s="34" t="inlineStr">
        <is>
          <t>Proposed by Source assignment; target 1.4.1 Vehicles and Depot - Fleet Supply</t>
        </is>
      </c>
      <c r="E947" s="34" t="inlineStr">
        <is>
          <t>None recorded</t>
        </is>
      </c>
      <c r="F947" s="34" t="inlineStr">
        <is>
          <t>No individual professional decision recorded; Source assignment -- not individually reviewed</t>
        </is>
      </c>
      <c r="G947" s="34" t="inlineStr">
        <is>
          <t>Not individually decided</t>
        </is>
      </c>
      <c r="H947" s="34" t="inlineStr">
        <is>
          <t xml:space="preserve">APPROVED / ONE_TO_ONE; </t>
        </is>
      </c>
      <c r="I947" s="34" t="inlineStr">
        <is>
          <t>New</t>
        </is>
      </c>
      <c r="J947" s="92" t="inlineStr">
        <is>
          <t>08 CROSSWALK</t>
        </is>
      </c>
    </row>
    <row r="948" ht="49" customHeight="1">
      <c r="A948" s="34" t="inlineStr">
        <is>
          <t>R1329-v1</t>
        </is>
      </c>
      <c r="B948" s="34" t="inlineStr">
        <is>
          <t>Cost &amp; Forecast Control Accounts / CST-04-007</t>
        </is>
      </c>
      <c r="C948" s="34" t="inlineStr">
        <is>
          <t>Cost Account = CA-4007; WBS Code = 1.4.1</t>
        </is>
      </c>
      <c r="D948" s="34" t="inlineStr">
        <is>
          <t>Proposed by Source assignment; target 1.4.1 Vehicles and Depot - Fleet Supply</t>
        </is>
      </c>
      <c r="E948" s="34" t="inlineStr">
        <is>
          <t>None recorded</t>
        </is>
      </c>
      <c r="F948" s="34" t="inlineStr">
        <is>
          <t>No individual professional decision recorded; Source assignment -- not individually reviewed</t>
        </is>
      </c>
      <c r="G948" s="34" t="inlineStr">
        <is>
          <t>Not individually decided</t>
        </is>
      </c>
      <c r="H948" s="34" t="inlineStr">
        <is>
          <t xml:space="preserve">APPROVED / ONE_TO_ONE; </t>
        </is>
      </c>
      <c r="I948" s="34" t="inlineStr">
        <is>
          <t>New</t>
        </is>
      </c>
      <c r="J948" s="92" t="inlineStr">
        <is>
          <t>08 CROSSWALK</t>
        </is>
      </c>
    </row>
    <row r="949" ht="49" customHeight="1">
      <c r="A949" s="34" t="inlineStr">
        <is>
          <t>R1331-v1</t>
        </is>
      </c>
      <c r="B949" s="34" t="inlineStr">
        <is>
          <t>Cost &amp; Forecast Control Accounts / CST-04-009</t>
        </is>
      </c>
      <c r="C949" s="34" t="inlineStr">
        <is>
          <t>Cost Account = CA-4009; WBS Code = 1.4.1</t>
        </is>
      </c>
      <c r="D949" s="34" t="inlineStr">
        <is>
          <t>Proposed by Source assignment; target 1.4.1 Vehicles and Depot - Fleet Supply</t>
        </is>
      </c>
      <c r="E949" s="34" t="inlineStr">
        <is>
          <t>None recorded</t>
        </is>
      </c>
      <c r="F949" s="34" t="inlineStr">
        <is>
          <t>No individual professional decision recorded; Source assignment -- not individually reviewed</t>
        </is>
      </c>
      <c r="G949" s="34" t="inlineStr">
        <is>
          <t>Not individually decided</t>
        </is>
      </c>
      <c r="H949" s="34" t="inlineStr">
        <is>
          <t xml:space="preserve">APPROVED / ONE_TO_ONE; </t>
        </is>
      </c>
      <c r="I949" s="34" t="inlineStr">
        <is>
          <t>New</t>
        </is>
      </c>
      <c r="J949" s="92" t="inlineStr">
        <is>
          <t>08 CROSSWALK</t>
        </is>
      </c>
    </row>
    <row r="950" ht="49" customHeight="1">
      <c r="A950" s="34" t="inlineStr">
        <is>
          <t>R1333-v1</t>
        </is>
      </c>
      <c r="B950" s="34" t="inlineStr">
        <is>
          <t>Cost &amp; Forecast Control Accounts / CST-04-011</t>
        </is>
      </c>
      <c r="C950" s="34" t="inlineStr">
        <is>
          <t>Cost Account = CA-4011; WBS Code = 1.4.1</t>
        </is>
      </c>
      <c r="D950" s="34" t="inlineStr">
        <is>
          <t>Proposed by Source assignment; target 1.4.1 Vehicles and Depot - Fleet Supply</t>
        </is>
      </c>
      <c r="E950" s="34" t="inlineStr">
        <is>
          <t>None recorded</t>
        </is>
      </c>
      <c r="F950" s="34" t="inlineStr">
        <is>
          <t>No individual professional decision recorded; Source assignment -- not individually reviewed</t>
        </is>
      </c>
      <c r="G950" s="34" t="inlineStr">
        <is>
          <t>Not individually decided</t>
        </is>
      </c>
      <c r="H950" s="34" t="inlineStr">
        <is>
          <t xml:space="preserve">APPROVED / ONE_TO_ONE; </t>
        </is>
      </c>
      <c r="I950" s="34" t="inlineStr">
        <is>
          <t>New</t>
        </is>
      </c>
      <c r="J950" s="92" t="inlineStr">
        <is>
          <t>08 CROSSWALK</t>
        </is>
      </c>
    </row>
    <row r="951" ht="49" customHeight="1">
      <c r="A951" s="34" t="inlineStr">
        <is>
          <t>R1335-v1</t>
        </is>
      </c>
      <c r="B951" s="34" t="inlineStr">
        <is>
          <t>Cost &amp; Forecast Control Accounts / CST-04-013</t>
        </is>
      </c>
      <c r="C951" s="34" t="inlineStr">
        <is>
          <t>Cost Account = CA-4013; WBS Code = 1.4.1</t>
        </is>
      </c>
      <c r="D951" s="34" t="inlineStr">
        <is>
          <t>Proposed by Source assignment; target 1.4.1 Vehicles and Depot - Fleet Supply</t>
        </is>
      </c>
      <c r="E951" s="34" t="inlineStr">
        <is>
          <t>None recorded</t>
        </is>
      </c>
      <c r="F951" s="34" t="inlineStr">
        <is>
          <t>No individual professional decision recorded; Source assignment -- not individually reviewed</t>
        </is>
      </c>
      <c r="G951" s="34" t="inlineStr">
        <is>
          <t>Not individually decided</t>
        </is>
      </c>
      <c r="H951" s="34" t="inlineStr">
        <is>
          <t xml:space="preserve">APPROVED / ONE_TO_ONE; </t>
        </is>
      </c>
      <c r="I951" s="34" t="inlineStr">
        <is>
          <t>New</t>
        </is>
      </c>
      <c r="J951" s="92" t="inlineStr">
        <is>
          <t>08 CROSSWALK</t>
        </is>
      </c>
    </row>
    <row r="952" ht="49" customHeight="1">
      <c r="A952" s="34" t="inlineStr">
        <is>
          <t>R1337-v1</t>
        </is>
      </c>
      <c r="B952" s="34" t="inlineStr">
        <is>
          <t>Cost &amp; Forecast Control Accounts / CST-04-015</t>
        </is>
      </c>
      <c r="C952" s="34" t="inlineStr">
        <is>
          <t>Cost Account = CA-4015; WBS Code = 1.4.1</t>
        </is>
      </c>
      <c r="D952" s="34" t="inlineStr">
        <is>
          <t>Proposed by Source assignment; target 1.4.1 Vehicles and Depot - Fleet Supply</t>
        </is>
      </c>
      <c r="E952" s="34" t="inlineStr">
        <is>
          <t>None recorded</t>
        </is>
      </c>
      <c r="F952" s="34" t="inlineStr">
        <is>
          <t>No individual professional decision recorded; Source assignment -- not individually reviewed</t>
        </is>
      </c>
      <c r="G952" s="34" t="inlineStr">
        <is>
          <t>Not individually decided</t>
        </is>
      </c>
      <c r="H952" s="34" t="inlineStr">
        <is>
          <t xml:space="preserve">APPROVED / ONE_TO_ONE; </t>
        </is>
      </c>
      <c r="I952" s="34" t="inlineStr">
        <is>
          <t>New</t>
        </is>
      </c>
      <c r="J952" s="92" t="inlineStr">
        <is>
          <t>08 CROSSWALK</t>
        </is>
      </c>
    </row>
    <row r="953" ht="49" customHeight="1">
      <c r="A953" s="34" t="inlineStr">
        <is>
          <t>R1339-v1</t>
        </is>
      </c>
      <c r="B953" s="34" t="inlineStr">
        <is>
          <t>Cost &amp; Forecast Control Accounts / CST-04-017</t>
        </is>
      </c>
      <c r="C953" s="34" t="inlineStr">
        <is>
          <t>Cost Account = CA-4017; WBS Code = 1.4.1</t>
        </is>
      </c>
      <c r="D953" s="34" t="inlineStr">
        <is>
          <t>Proposed by Source assignment; target 1.4.1 Vehicles and Depot - Fleet Supply</t>
        </is>
      </c>
      <c r="E953" s="34" t="inlineStr">
        <is>
          <t>None recorded</t>
        </is>
      </c>
      <c r="F953" s="34" t="inlineStr">
        <is>
          <t>No individual professional decision recorded; Source assignment -- not individually reviewed</t>
        </is>
      </c>
      <c r="G953" s="34" t="inlineStr">
        <is>
          <t>Not individually decided</t>
        </is>
      </c>
      <c r="H953" s="34" t="inlineStr">
        <is>
          <t xml:space="preserve">APPROVED / ONE_TO_ONE; </t>
        </is>
      </c>
      <c r="I953" s="34" t="inlineStr">
        <is>
          <t>New</t>
        </is>
      </c>
      <c r="J953" s="92" t="inlineStr">
        <is>
          <t>08 CROSSWALK</t>
        </is>
      </c>
    </row>
    <row r="954" ht="49" customHeight="1">
      <c r="A954" s="34" t="inlineStr">
        <is>
          <t>R1341-v1</t>
        </is>
      </c>
      <c r="B954" s="34" t="inlineStr">
        <is>
          <t>Cost &amp; Forecast Control Accounts / CST-04-019</t>
        </is>
      </c>
      <c r="C954" s="34" t="inlineStr">
        <is>
          <t>Cost Account = CA-4019; WBS Code = 1.4.1</t>
        </is>
      </c>
      <c r="D954" s="34" t="inlineStr">
        <is>
          <t>Proposed by Source assignment; target 1.4.1 Vehicles and Depot - Fleet Supply</t>
        </is>
      </c>
      <c r="E954" s="34" t="inlineStr">
        <is>
          <t>None recorded</t>
        </is>
      </c>
      <c r="F954" s="34" t="inlineStr">
        <is>
          <t>No individual professional decision recorded; Source assignment -- not individually reviewed</t>
        </is>
      </c>
      <c r="G954" s="34" t="inlineStr">
        <is>
          <t>Not individually decided</t>
        </is>
      </c>
      <c r="H954" s="34" t="inlineStr">
        <is>
          <t xml:space="preserve">APPROVED / ONE_TO_ONE; </t>
        </is>
      </c>
      <c r="I954" s="34" t="inlineStr">
        <is>
          <t>New</t>
        </is>
      </c>
      <c r="J954" s="92" t="inlineStr">
        <is>
          <t>08 CROSSWALK</t>
        </is>
      </c>
    </row>
    <row r="955" ht="49" customHeight="1">
      <c r="A955" s="34" t="inlineStr">
        <is>
          <t>R1343-v1</t>
        </is>
      </c>
      <c r="B955" s="34" t="inlineStr">
        <is>
          <t>Cost &amp; Forecast Control Accounts / CST-04-021</t>
        </is>
      </c>
      <c r="C955" s="34" t="inlineStr">
        <is>
          <t>Cost Account = CA-4021; WBS Code = 1.4.1</t>
        </is>
      </c>
      <c r="D955" s="34" t="inlineStr">
        <is>
          <t>Proposed by Source assignment; target 1.4.1 Vehicles and Depot - Fleet Supply</t>
        </is>
      </c>
      <c r="E955" s="34" t="inlineStr">
        <is>
          <t>None recorded</t>
        </is>
      </c>
      <c r="F955" s="34" t="inlineStr">
        <is>
          <t>No individual professional decision recorded; Source assignment -- not individually reviewed</t>
        </is>
      </c>
      <c r="G955" s="34" t="inlineStr">
        <is>
          <t>Not individually decided</t>
        </is>
      </c>
      <c r="H955" s="34" t="inlineStr">
        <is>
          <t xml:space="preserve">APPROVED / ONE_TO_ONE; </t>
        </is>
      </c>
      <c r="I955" s="34" t="inlineStr">
        <is>
          <t>New</t>
        </is>
      </c>
      <c r="J955" s="92" t="inlineStr">
        <is>
          <t>08 CROSSWALK</t>
        </is>
      </c>
    </row>
    <row r="956" ht="49" customHeight="1">
      <c r="A956" s="34" t="inlineStr">
        <is>
          <t>R1345-v1</t>
        </is>
      </c>
      <c r="B956" s="34" t="inlineStr">
        <is>
          <t>Cost &amp; Forecast Control Accounts / CST-04-023</t>
        </is>
      </c>
      <c r="C956" s="34" t="inlineStr">
        <is>
          <t>Cost Account = CA-4023; WBS Code = 1.4.1</t>
        </is>
      </c>
      <c r="D956" s="34" t="inlineStr">
        <is>
          <t>Proposed by Source assignment; target 1.4.1 Vehicles and Depot - Fleet Supply</t>
        </is>
      </c>
      <c r="E956" s="34" t="inlineStr">
        <is>
          <t>None recorded</t>
        </is>
      </c>
      <c r="F956" s="34" t="inlineStr">
        <is>
          <t>No individual professional decision recorded; Source assignment -- not individually reviewed</t>
        </is>
      </c>
      <c r="G956" s="34" t="inlineStr">
        <is>
          <t>Not individually decided</t>
        </is>
      </c>
      <c r="H956" s="34" t="inlineStr">
        <is>
          <t xml:space="preserve">APPROVED / ONE_TO_ONE; </t>
        </is>
      </c>
      <c r="I956" s="34" t="inlineStr">
        <is>
          <t>New</t>
        </is>
      </c>
      <c r="J956" s="92" t="inlineStr">
        <is>
          <t>08 CROSSWALK</t>
        </is>
      </c>
    </row>
    <row r="957" ht="49" customHeight="1">
      <c r="A957" s="34" t="inlineStr">
        <is>
          <t>R1347-v1</t>
        </is>
      </c>
      <c r="B957" s="34" t="inlineStr">
        <is>
          <t>Cost &amp; Forecast Control Accounts / CST-04-025</t>
        </is>
      </c>
      <c r="C957" s="34" t="inlineStr">
        <is>
          <t>Cost Account = CA-4025; WBS Code = 1.4.1</t>
        </is>
      </c>
      <c r="D957" s="34" t="inlineStr">
        <is>
          <t>Proposed by Source assignment; target 1.4.1 Vehicles and Depot - Fleet Supply</t>
        </is>
      </c>
      <c r="E957" s="34" t="inlineStr">
        <is>
          <t>None recorded</t>
        </is>
      </c>
      <c r="F957" s="34" t="inlineStr">
        <is>
          <t>No individual professional decision recorded; Source assignment -- not individually reviewed</t>
        </is>
      </c>
      <c r="G957" s="34" t="inlineStr">
        <is>
          <t>Not individually decided</t>
        </is>
      </c>
      <c r="H957" s="34" t="inlineStr">
        <is>
          <t xml:space="preserve">APPROVED / ONE_TO_ONE; </t>
        </is>
      </c>
      <c r="I957" s="34" t="inlineStr">
        <is>
          <t>New</t>
        </is>
      </c>
      <c r="J957" s="92" t="inlineStr">
        <is>
          <t>08 CROSSWALK</t>
        </is>
      </c>
    </row>
    <row r="958" ht="49" customHeight="1">
      <c r="A958" s="34" t="inlineStr">
        <is>
          <t>R1349-v1</t>
        </is>
      </c>
      <c r="B958" s="34" t="inlineStr">
        <is>
          <t>Cost &amp; Forecast Control Accounts / CST-04-027</t>
        </is>
      </c>
      <c r="C958" s="34" t="inlineStr">
        <is>
          <t>Cost Account = CA-4027; WBS Code = 1.4.1</t>
        </is>
      </c>
      <c r="D958" s="34" t="inlineStr">
        <is>
          <t>Proposed by Source assignment; target 1.4.1 Vehicles and Depot - Fleet Supply</t>
        </is>
      </c>
      <c r="E958" s="34" t="inlineStr">
        <is>
          <t>None recorded</t>
        </is>
      </c>
      <c r="F958" s="34" t="inlineStr">
        <is>
          <t>No individual professional decision recorded; Source assignment -- not individually reviewed</t>
        </is>
      </c>
      <c r="G958" s="34" t="inlineStr">
        <is>
          <t>Not individually decided</t>
        </is>
      </c>
      <c r="H958" s="34" t="inlineStr">
        <is>
          <t xml:space="preserve">APPROVED / ONE_TO_ONE; </t>
        </is>
      </c>
      <c r="I958" s="34" t="inlineStr">
        <is>
          <t>New</t>
        </is>
      </c>
      <c r="J958" s="92" t="inlineStr">
        <is>
          <t>08 CROSSWALK</t>
        </is>
      </c>
    </row>
    <row r="959" ht="49" customHeight="1">
      <c r="A959" s="34" t="inlineStr">
        <is>
          <t>R1351-v1</t>
        </is>
      </c>
      <c r="B959" s="34" t="inlineStr">
        <is>
          <t>Cost &amp; Forecast Control Accounts / CST-04-029</t>
        </is>
      </c>
      <c r="C959" s="34" t="inlineStr">
        <is>
          <t>Cost Account = CA-4029; WBS Code = 1.4.1</t>
        </is>
      </c>
      <c r="D959" s="34" t="inlineStr">
        <is>
          <t>Proposed by Source assignment; target 1.4.1 Vehicles and Depot - Fleet Supply</t>
        </is>
      </c>
      <c r="E959" s="34" t="inlineStr">
        <is>
          <t>None recorded</t>
        </is>
      </c>
      <c r="F959" s="34" t="inlineStr">
        <is>
          <t>No individual professional decision recorded; Source assignment -- not individually reviewed</t>
        </is>
      </c>
      <c r="G959" s="34" t="inlineStr">
        <is>
          <t>Not individually decided</t>
        </is>
      </c>
      <c r="H959" s="34" t="inlineStr">
        <is>
          <t xml:space="preserve">APPROVED / ONE_TO_ONE; </t>
        </is>
      </c>
      <c r="I959" s="34" t="inlineStr">
        <is>
          <t>New</t>
        </is>
      </c>
      <c r="J959" s="92" t="inlineStr">
        <is>
          <t>08 CROSSWALK</t>
        </is>
      </c>
    </row>
    <row r="960" ht="49" customHeight="1">
      <c r="A960" s="34" t="inlineStr">
        <is>
          <t>R1353-v1</t>
        </is>
      </c>
      <c r="B960" s="34" t="inlineStr">
        <is>
          <t>Cost &amp; Forecast Control Accounts / CST-04-031</t>
        </is>
      </c>
      <c r="C960" s="34" t="inlineStr">
        <is>
          <t>Cost Account = CA-4031; WBS Code = 1.4.1</t>
        </is>
      </c>
      <c r="D960" s="34" t="inlineStr">
        <is>
          <t>Proposed by Source assignment; target 1.4.1 Vehicles and Depot - Fleet Supply</t>
        </is>
      </c>
      <c r="E960" s="34" t="inlineStr">
        <is>
          <t>None recorded</t>
        </is>
      </c>
      <c r="F960" s="34" t="inlineStr">
        <is>
          <t>No individual professional decision recorded; Source assignment -- not individually reviewed</t>
        </is>
      </c>
      <c r="G960" s="34" t="inlineStr">
        <is>
          <t>Not individually decided</t>
        </is>
      </c>
      <c r="H960" s="34" t="inlineStr">
        <is>
          <t xml:space="preserve">APPROVED / ONE_TO_ONE; </t>
        </is>
      </c>
      <c r="I960" s="34" t="inlineStr">
        <is>
          <t>New</t>
        </is>
      </c>
      <c r="J960" s="92" t="inlineStr">
        <is>
          <t>08 CROSSWALK</t>
        </is>
      </c>
    </row>
    <row r="961" ht="49" customHeight="1">
      <c r="A961" s="34" t="inlineStr">
        <is>
          <t>R1355-v1</t>
        </is>
      </c>
      <c r="B961" s="34" t="inlineStr">
        <is>
          <t>Cost &amp; Forecast Control Accounts / CST-04-033</t>
        </is>
      </c>
      <c r="C961" s="34" t="inlineStr">
        <is>
          <t>Cost Account = CA-4033; WBS Code = 1.4.1</t>
        </is>
      </c>
      <c r="D961" s="34" t="inlineStr">
        <is>
          <t>Proposed by Source assignment; target 1.4.1 Vehicles and Depot - Fleet Supply</t>
        </is>
      </c>
      <c r="E961" s="34" t="inlineStr">
        <is>
          <t>None recorded</t>
        </is>
      </c>
      <c r="F961" s="34" t="inlineStr">
        <is>
          <t>No individual professional decision recorded; Source assignment -- not individually reviewed</t>
        </is>
      </c>
      <c r="G961" s="34" t="inlineStr">
        <is>
          <t>Not individually decided</t>
        </is>
      </c>
      <c r="H961" s="34" t="inlineStr">
        <is>
          <t xml:space="preserve">APPROVED / ONE_TO_ONE; </t>
        </is>
      </c>
      <c r="I961" s="34" t="inlineStr">
        <is>
          <t>New</t>
        </is>
      </c>
      <c r="J961" s="92" t="inlineStr">
        <is>
          <t>08 CROSSWALK</t>
        </is>
      </c>
    </row>
    <row r="962" ht="49" customHeight="1">
      <c r="A962" s="34" t="inlineStr">
        <is>
          <t>R1357-v1</t>
        </is>
      </c>
      <c r="B962" s="34" t="inlineStr">
        <is>
          <t>Cost &amp; Forecast Control Accounts / CST-04-035</t>
        </is>
      </c>
      <c r="C962" s="34" t="inlineStr">
        <is>
          <t>Cost Account = CA-4035; WBS Code = 1.4.1</t>
        </is>
      </c>
      <c r="D962" s="34" t="inlineStr">
        <is>
          <t>Proposed by Source assignment; target 1.4.1 Vehicles and Depot - Fleet Supply</t>
        </is>
      </c>
      <c r="E962" s="34" t="inlineStr">
        <is>
          <t>None recorded</t>
        </is>
      </c>
      <c r="F962" s="34" t="inlineStr">
        <is>
          <t>No individual professional decision recorded; Source assignment -- not individually reviewed</t>
        </is>
      </c>
      <c r="G962" s="34" t="inlineStr">
        <is>
          <t>Not individually decided</t>
        </is>
      </c>
      <c r="H962" s="34" t="inlineStr">
        <is>
          <t xml:space="preserve">APPROVED / ONE_TO_ONE; </t>
        </is>
      </c>
      <c r="I962" s="34" t="inlineStr">
        <is>
          <t>New</t>
        </is>
      </c>
      <c r="J962" s="92" t="inlineStr">
        <is>
          <t>08 CROSSWALK</t>
        </is>
      </c>
    </row>
    <row r="963" ht="49" customHeight="1">
      <c r="A963" s="34" t="inlineStr">
        <is>
          <t>R1359-v1</t>
        </is>
      </c>
      <c r="B963" s="34" t="inlineStr">
        <is>
          <t>Cost &amp; Forecast Control Accounts / CST-04-037</t>
        </is>
      </c>
      <c r="C963" s="34" t="inlineStr">
        <is>
          <t>Cost Account = CA-4037; WBS Code = 1.4.1</t>
        </is>
      </c>
      <c r="D963" s="34" t="inlineStr">
        <is>
          <t>Proposed by Source assignment; target 1.4.1 Vehicles and Depot - Fleet Supply</t>
        </is>
      </c>
      <c r="E963" s="34" t="inlineStr">
        <is>
          <t>None recorded</t>
        </is>
      </c>
      <c r="F963" s="34" t="inlineStr">
        <is>
          <t>No individual professional decision recorded; Source assignment -- not individually reviewed</t>
        </is>
      </c>
      <c r="G963" s="34" t="inlineStr">
        <is>
          <t>Not individually decided</t>
        </is>
      </c>
      <c r="H963" s="34" t="inlineStr">
        <is>
          <t xml:space="preserve">APPROVED / ONE_TO_ONE; </t>
        </is>
      </c>
      <c r="I963" s="34" t="inlineStr">
        <is>
          <t>New</t>
        </is>
      </c>
      <c r="J963" s="92" t="inlineStr">
        <is>
          <t>08 CROSSWALK</t>
        </is>
      </c>
    </row>
    <row r="964" ht="49" customHeight="1">
      <c r="A964" s="34" t="inlineStr">
        <is>
          <t>R1361-v1</t>
        </is>
      </c>
      <c r="B964" s="34" t="inlineStr">
        <is>
          <t>Cost &amp; Forecast Control Accounts / CST-04-039</t>
        </is>
      </c>
      <c r="C964" s="34" t="inlineStr">
        <is>
          <t>Cost Account = CA-4039; WBS Code = 1.4.1</t>
        </is>
      </c>
      <c r="D964" s="34" t="inlineStr">
        <is>
          <t>Proposed by Source assignment; target 1.4.1 Vehicles and Depot - Fleet Supply</t>
        </is>
      </c>
      <c r="E964" s="34" t="inlineStr">
        <is>
          <t>None recorded</t>
        </is>
      </c>
      <c r="F964" s="34" t="inlineStr">
        <is>
          <t>No individual professional decision recorded; Source assignment -- not individually reviewed</t>
        </is>
      </c>
      <c r="G964" s="34" t="inlineStr">
        <is>
          <t>Not individually decided</t>
        </is>
      </c>
      <c r="H964" s="34" t="inlineStr">
        <is>
          <t xml:space="preserve">APPROVED / ONE_TO_ONE; </t>
        </is>
      </c>
      <c r="I964" s="34" t="inlineStr">
        <is>
          <t>New</t>
        </is>
      </c>
      <c r="J964" s="92" t="inlineStr">
        <is>
          <t>08 CROSSWALK</t>
        </is>
      </c>
    </row>
    <row r="965" ht="49" customHeight="1">
      <c r="A965" s="34" t="inlineStr">
        <is>
          <t>R1363-v1</t>
        </is>
      </c>
      <c r="B965" s="34" t="inlineStr">
        <is>
          <t>Cost &amp; Forecast Control Accounts / CST-04-041</t>
        </is>
      </c>
      <c r="C965" s="34" t="inlineStr">
        <is>
          <t>Cost Account = CA-4041; WBS Code = 1.4.1</t>
        </is>
      </c>
      <c r="D965" s="34" t="inlineStr">
        <is>
          <t>Proposed by Source assignment; target 1.4.1 Vehicles and Depot - Fleet Supply</t>
        </is>
      </c>
      <c r="E965" s="34" t="inlineStr">
        <is>
          <t>None recorded</t>
        </is>
      </c>
      <c r="F965" s="34" t="inlineStr">
        <is>
          <t>No individual professional decision recorded; Source assignment -- not individually reviewed</t>
        </is>
      </c>
      <c r="G965" s="34" t="inlineStr">
        <is>
          <t>Not individually decided</t>
        </is>
      </c>
      <c r="H965" s="34" t="inlineStr">
        <is>
          <t xml:space="preserve">APPROVED / ONE_TO_ONE; </t>
        </is>
      </c>
      <c r="I965" s="34" t="inlineStr">
        <is>
          <t>New</t>
        </is>
      </c>
      <c r="J965" s="92" t="inlineStr">
        <is>
          <t>08 CROSSWALK</t>
        </is>
      </c>
    </row>
    <row r="966" ht="49" customHeight="1">
      <c r="A966" s="34" t="inlineStr">
        <is>
          <t>R1365-v1</t>
        </is>
      </c>
      <c r="B966" s="34" t="inlineStr">
        <is>
          <t>Cost &amp; Forecast Control Accounts / CST-04-043</t>
        </is>
      </c>
      <c r="C966" s="34" t="inlineStr">
        <is>
          <t>Cost Account = CA-4043; WBS Code = 1.4.1</t>
        </is>
      </c>
      <c r="D966" s="34" t="inlineStr">
        <is>
          <t>Proposed by Source assignment; target 1.4.1 Vehicles and Depot - Fleet Supply</t>
        </is>
      </c>
      <c r="E966" s="34" t="inlineStr">
        <is>
          <t>None recorded</t>
        </is>
      </c>
      <c r="F966" s="34" t="inlineStr">
        <is>
          <t>No individual professional decision recorded; Source assignment -- not individually reviewed</t>
        </is>
      </c>
      <c r="G966" s="34" t="inlineStr">
        <is>
          <t>Not individually decided</t>
        </is>
      </c>
      <c r="H966" s="34" t="inlineStr">
        <is>
          <t xml:space="preserve">APPROVED / ONE_TO_ONE; </t>
        </is>
      </c>
      <c r="I966" s="34" t="inlineStr">
        <is>
          <t>New</t>
        </is>
      </c>
      <c r="J966" s="92" t="inlineStr">
        <is>
          <t>08 CROSSWALK</t>
        </is>
      </c>
    </row>
    <row r="967" ht="49" customHeight="1">
      <c r="A967" s="34" t="inlineStr">
        <is>
          <t>R1367-v1</t>
        </is>
      </c>
      <c r="B967" s="34" t="inlineStr">
        <is>
          <t>Cost &amp; Forecast Control Accounts / CST-04-045</t>
        </is>
      </c>
      <c r="C967" s="34" t="inlineStr">
        <is>
          <t>Cost Account = CA-4045; WBS Code = 1.4.1</t>
        </is>
      </c>
      <c r="D967" s="34" t="inlineStr">
        <is>
          <t>Proposed by Source assignment; target 1.4.1 Vehicles and Depot - Fleet Supply</t>
        </is>
      </c>
      <c r="E967" s="34" t="inlineStr">
        <is>
          <t>None recorded</t>
        </is>
      </c>
      <c r="F967" s="34" t="inlineStr">
        <is>
          <t>No individual professional decision recorded; Source assignment -- not individually reviewed</t>
        </is>
      </c>
      <c r="G967" s="34" t="inlineStr">
        <is>
          <t>Not individually decided</t>
        </is>
      </c>
      <c r="H967" s="34" t="inlineStr">
        <is>
          <t xml:space="preserve">APPROVED / ONE_TO_ONE; </t>
        </is>
      </c>
      <c r="I967" s="34" t="inlineStr">
        <is>
          <t>New</t>
        </is>
      </c>
      <c r="J967" s="92" t="inlineStr">
        <is>
          <t>08 CROSSWALK</t>
        </is>
      </c>
    </row>
    <row r="968" ht="49" customHeight="1">
      <c r="A968" s="34" t="inlineStr">
        <is>
          <t>R1369-v1</t>
        </is>
      </c>
      <c r="B968" s="34" t="inlineStr">
        <is>
          <t>Cost &amp; Forecast Control Accounts / CST-04-047</t>
        </is>
      </c>
      <c r="C968" s="34" t="inlineStr">
        <is>
          <t>Cost Account = CA-4047; WBS Code = 1.4.1</t>
        </is>
      </c>
      <c r="D968" s="34" t="inlineStr">
        <is>
          <t>Proposed by Source assignment; target 1.4.1 Vehicles and Depot - Fleet Supply</t>
        </is>
      </c>
      <c r="E968" s="34" t="inlineStr">
        <is>
          <t>None recorded</t>
        </is>
      </c>
      <c r="F968" s="34" t="inlineStr">
        <is>
          <t>No individual professional decision recorded; Source assignment -- not individually reviewed</t>
        </is>
      </c>
      <c r="G968" s="34" t="inlineStr">
        <is>
          <t>Not individually decided</t>
        </is>
      </c>
      <c r="H968" s="34" t="inlineStr">
        <is>
          <t xml:space="preserve">APPROVED / ONE_TO_ONE; </t>
        </is>
      </c>
      <c r="I968" s="34" t="inlineStr">
        <is>
          <t>New</t>
        </is>
      </c>
      <c r="J968" s="92" t="inlineStr">
        <is>
          <t>08 CROSSWALK</t>
        </is>
      </c>
    </row>
    <row r="969" ht="49" customHeight="1">
      <c r="A969" s="34" t="inlineStr">
        <is>
          <t>R1371-v1</t>
        </is>
      </c>
      <c r="B969" s="34" t="inlineStr">
        <is>
          <t>Cost &amp; Forecast Control Accounts / CST-04-049</t>
        </is>
      </c>
      <c r="C969" s="34" t="inlineStr">
        <is>
          <t>Cost Account = CA-4049; WBS Code = 1.4.1</t>
        </is>
      </c>
      <c r="D969" s="34" t="inlineStr">
        <is>
          <t>Proposed by Source assignment; target 1.4.1 Vehicles and Depot - Fleet Supply</t>
        </is>
      </c>
      <c r="E969" s="34" t="inlineStr">
        <is>
          <t>None recorded</t>
        </is>
      </c>
      <c r="F969" s="34" t="inlineStr">
        <is>
          <t>No individual professional decision recorded; Source assignment -- not individually reviewed</t>
        </is>
      </c>
      <c r="G969" s="34" t="inlineStr">
        <is>
          <t>Not individually decided</t>
        </is>
      </c>
      <c r="H969" s="34" t="inlineStr">
        <is>
          <t xml:space="preserve">APPROVED / ONE_TO_ONE; </t>
        </is>
      </c>
      <c r="I969" s="34" t="inlineStr">
        <is>
          <t>New</t>
        </is>
      </c>
      <c r="J969" s="92" t="inlineStr">
        <is>
          <t>08 CROSSWALK</t>
        </is>
      </c>
    </row>
    <row r="970" ht="49" customHeight="1">
      <c r="A970" s="34" t="inlineStr">
        <is>
          <t>R1373-v1</t>
        </is>
      </c>
      <c r="B970" s="34" t="inlineStr">
        <is>
          <t>Cost &amp; Forecast Control Accounts / CST-04-051</t>
        </is>
      </c>
      <c r="C970" s="34" t="inlineStr">
        <is>
          <t>Cost Account = CA-4051; WBS Code = 1.4.1</t>
        </is>
      </c>
      <c r="D970" s="34" t="inlineStr">
        <is>
          <t>Proposed by Source assignment; target 1.4.1 Vehicles and Depot - Fleet Supply</t>
        </is>
      </c>
      <c r="E970" s="34" t="inlineStr">
        <is>
          <t>None recorded</t>
        </is>
      </c>
      <c r="F970" s="34" t="inlineStr">
        <is>
          <t>No individual professional decision recorded; Source assignment -- not individually reviewed</t>
        </is>
      </c>
      <c r="G970" s="34" t="inlineStr">
        <is>
          <t>Not individually decided</t>
        </is>
      </c>
      <c r="H970" s="34" t="inlineStr">
        <is>
          <t xml:space="preserve">APPROVED / ONE_TO_ONE; </t>
        </is>
      </c>
      <c r="I970" s="34" t="inlineStr">
        <is>
          <t>New</t>
        </is>
      </c>
      <c r="J970" s="92" t="inlineStr">
        <is>
          <t>08 CROSSWALK</t>
        </is>
      </c>
    </row>
    <row r="971" ht="49" customHeight="1">
      <c r="A971" s="34" t="inlineStr">
        <is>
          <t>R1375-v1</t>
        </is>
      </c>
      <c r="B971" s="34" t="inlineStr">
        <is>
          <t>Cost &amp; Forecast Control Accounts / CST-04-053</t>
        </is>
      </c>
      <c r="C971" s="34" t="inlineStr">
        <is>
          <t>Cost Account = CA-4053; WBS Code = 1.4.1</t>
        </is>
      </c>
      <c r="D971" s="34" t="inlineStr">
        <is>
          <t>Proposed by Source assignment; target 1.4.1 Vehicles and Depot - Fleet Supply</t>
        </is>
      </c>
      <c r="E971" s="34" t="inlineStr">
        <is>
          <t>None recorded</t>
        </is>
      </c>
      <c r="F971" s="34" t="inlineStr">
        <is>
          <t>No individual professional decision recorded; Source assignment -- not individually reviewed</t>
        </is>
      </c>
      <c r="G971" s="34" t="inlineStr">
        <is>
          <t>Not individually decided</t>
        </is>
      </c>
      <c r="H971" s="34" t="inlineStr">
        <is>
          <t xml:space="preserve">APPROVED / ONE_TO_ONE; </t>
        </is>
      </c>
      <c r="I971" s="34" t="inlineStr">
        <is>
          <t>New</t>
        </is>
      </c>
      <c r="J971" s="92" t="inlineStr">
        <is>
          <t>08 CROSSWALK</t>
        </is>
      </c>
    </row>
    <row r="972" ht="49" customHeight="1">
      <c r="A972" s="34" t="inlineStr">
        <is>
          <t>R1377-v1</t>
        </is>
      </c>
      <c r="B972" s="34" t="inlineStr">
        <is>
          <t>Cost &amp; Forecast Control Accounts / CST-04-055</t>
        </is>
      </c>
      <c r="C972" s="34" t="inlineStr">
        <is>
          <t>Cost Account = CA-4055; WBS Code = 1.4.1</t>
        </is>
      </c>
      <c r="D972" s="34" t="inlineStr">
        <is>
          <t>Proposed by Source assignment; target 1.4.1 Vehicles and Depot - Fleet Supply</t>
        </is>
      </c>
      <c r="E972" s="34" t="inlineStr">
        <is>
          <t>None recorded</t>
        </is>
      </c>
      <c r="F972" s="34" t="inlineStr">
        <is>
          <t>No individual professional decision recorded; Source assignment -- not individually reviewed</t>
        </is>
      </c>
      <c r="G972" s="34" t="inlineStr">
        <is>
          <t>Not individually decided</t>
        </is>
      </c>
      <c r="H972" s="34" t="inlineStr">
        <is>
          <t xml:space="preserve">APPROVED / ONE_TO_ONE; </t>
        </is>
      </c>
      <c r="I972" s="34" t="inlineStr">
        <is>
          <t>New</t>
        </is>
      </c>
      <c r="J972" s="92" t="inlineStr">
        <is>
          <t>08 CROSSWALK</t>
        </is>
      </c>
    </row>
    <row r="973" ht="49" customHeight="1">
      <c r="A973" s="34" t="inlineStr">
        <is>
          <t>R1379-v1</t>
        </is>
      </c>
      <c r="B973" s="34" t="inlineStr">
        <is>
          <t>Cost &amp; Forecast Control Accounts / CST-04-057</t>
        </is>
      </c>
      <c r="C973" s="34" t="inlineStr">
        <is>
          <t>Cost Account = CA-4057; WBS Code = 1.4.1</t>
        </is>
      </c>
      <c r="D973" s="34" t="inlineStr">
        <is>
          <t>Proposed by Source assignment; target 1.4.1 Vehicles and Depot - Fleet Supply</t>
        </is>
      </c>
      <c r="E973" s="34" t="inlineStr">
        <is>
          <t>None recorded</t>
        </is>
      </c>
      <c r="F973" s="34" t="inlineStr">
        <is>
          <t>No individual professional decision recorded; Source assignment -- not individually reviewed</t>
        </is>
      </c>
      <c r="G973" s="34" t="inlineStr">
        <is>
          <t>Not individually decided</t>
        </is>
      </c>
      <c r="H973" s="34" t="inlineStr">
        <is>
          <t xml:space="preserve">APPROVED / ONE_TO_ONE; </t>
        </is>
      </c>
      <c r="I973" s="34" t="inlineStr">
        <is>
          <t>New</t>
        </is>
      </c>
      <c r="J973" s="92" t="inlineStr">
        <is>
          <t>08 CROSSWALK</t>
        </is>
      </c>
    </row>
    <row r="974" ht="49" customHeight="1">
      <c r="A974" s="34" t="inlineStr">
        <is>
          <t>R1381-v1</t>
        </is>
      </c>
      <c r="B974" s="34" t="inlineStr">
        <is>
          <t>Cost &amp; Forecast Control Accounts / CST-04-059</t>
        </is>
      </c>
      <c r="C974" s="34" t="inlineStr">
        <is>
          <t>Cost Account = CA-4059; WBS Code = 1.4.1</t>
        </is>
      </c>
      <c r="D974" s="34" t="inlineStr">
        <is>
          <t>Proposed by Source assignment; target 1.4.1 Vehicles and Depot - Fleet Supply</t>
        </is>
      </c>
      <c r="E974" s="34" t="inlineStr">
        <is>
          <t>None recorded</t>
        </is>
      </c>
      <c r="F974" s="34" t="inlineStr">
        <is>
          <t>No individual professional decision recorded; Source assignment -- not individually reviewed</t>
        </is>
      </c>
      <c r="G974" s="34" t="inlineStr">
        <is>
          <t>Not individually decided</t>
        </is>
      </c>
      <c r="H974" s="34" t="inlineStr">
        <is>
          <t xml:space="preserve">APPROVED / ONE_TO_ONE; </t>
        </is>
      </c>
      <c r="I974" s="34" t="inlineStr">
        <is>
          <t>New</t>
        </is>
      </c>
      <c r="J974" s="92" t="inlineStr">
        <is>
          <t>08 CROSSWALK</t>
        </is>
      </c>
    </row>
    <row r="975" ht="49" customHeight="1">
      <c r="A975" s="34" t="inlineStr">
        <is>
          <t>R1383-v1</t>
        </is>
      </c>
      <c r="B975" s="34" t="inlineStr">
        <is>
          <t>Cost &amp; Forecast Control Accounts / CST-04-061</t>
        </is>
      </c>
      <c r="C975" s="34" t="inlineStr">
        <is>
          <t>Cost Account = CA-4061; WBS Code = 1.4.1</t>
        </is>
      </c>
      <c r="D975" s="34" t="inlineStr">
        <is>
          <t>Proposed by Source assignment; target 1.4.1 Vehicles and Depot - Fleet Supply</t>
        </is>
      </c>
      <c r="E975" s="34" t="inlineStr">
        <is>
          <t>None recorded</t>
        </is>
      </c>
      <c r="F975" s="34" t="inlineStr">
        <is>
          <t>No individual professional decision recorded; Source assignment -- not individually reviewed</t>
        </is>
      </c>
      <c r="G975" s="34" t="inlineStr">
        <is>
          <t>Not individually decided</t>
        </is>
      </c>
      <c r="H975" s="34" t="inlineStr">
        <is>
          <t xml:space="preserve">APPROVED / ONE_TO_ONE; </t>
        </is>
      </c>
      <c r="I975" s="34" t="inlineStr">
        <is>
          <t>New</t>
        </is>
      </c>
      <c r="J975" s="92" t="inlineStr">
        <is>
          <t>08 CROSSWALK</t>
        </is>
      </c>
    </row>
    <row r="976" ht="49" customHeight="1">
      <c r="A976" s="34" t="inlineStr">
        <is>
          <t>R1385-v1</t>
        </is>
      </c>
      <c r="B976" s="34" t="inlineStr">
        <is>
          <t>Cost &amp; Forecast Control Accounts / CST-04-063</t>
        </is>
      </c>
      <c r="C976" s="34" t="inlineStr">
        <is>
          <t>Cost Account = CA-4063; WBS Code = 1.4.1</t>
        </is>
      </c>
      <c r="D976" s="34" t="inlineStr">
        <is>
          <t>Proposed by Source assignment; target 1.4.1 Vehicles and Depot - Fleet Supply</t>
        </is>
      </c>
      <c r="E976" s="34" t="inlineStr">
        <is>
          <t>None recorded</t>
        </is>
      </c>
      <c r="F976" s="34" t="inlineStr">
        <is>
          <t>No individual professional decision recorded; Source assignment -- not individually reviewed</t>
        </is>
      </c>
      <c r="G976" s="34" t="inlineStr">
        <is>
          <t>Not individually decided</t>
        </is>
      </c>
      <c r="H976" s="34" t="inlineStr">
        <is>
          <t xml:space="preserve">APPROVED / ONE_TO_ONE; </t>
        </is>
      </c>
      <c r="I976" s="34" t="inlineStr">
        <is>
          <t>New</t>
        </is>
      </c>
      <c r="J976" s="92" t="inlineStr">
        <is>
          <t>08 CROSSWALK</t>
        </is>
      </c>
    </row>
    <row r="977" ht="49" customHeight="1">
      <c r="A977" s="34" t="inlineStr">
        <is>
          <t>R1387-v1</t>
        </is>
      </c>
      <c r="B977" s="34" t="inlineStr">
        <is>
          <t>Cost &amp; Forecast Control Accounts / CST-04-065</t>
        </is>
      </c>
      <c r="C977" s="34" t="inlineStr">
        <is>
          <t>Cost Account = CA-4065; WBS Code = 1.4.1</t>
        </is>
      </c>
      <c r="D977" s="34" t="inlineStr">
        <is>
          <t>Proposed by Source assignment; target 1.4.1 Vehicles and Depot - Fleet Supply</t>
        </is>
      </c>
      <c r="E977" s="34" t="inlineStr">
        <is>
          <t>None recorded</t>
        </is>
      </c>
      <c r="F977" s="34" t="inlineStr">
        <is>
          <t>No individual professional decision recorded; Source assignment -- not individually reviewed</t>
        </is>
      </c>
      <c r="G977" s="34" t="inlineStr">
        <is>
          <t>Not individually decided</t>
        </is>
      </c>
      <c r="H977" s="34" t="inlineStr">
        <is>
          <t xml:space="preserve">APPROVED / ONE_TO_ONE; </t>
        </is>
      </c>
      <c r="I977" s="34" t="inlineStr">
        <is>
          <t>New</t>
        </is>
      </c>
      <c r="J977" s="92" t="inlineStr">
        <is>
          <t>08 CROSSWALK</t>
        </is>
      </c>
    </row>
    <row r="978" ht="49" customHeight="1">
      <c r="A978" s="34" t="inlineStr">
        <is>
          <t>R1389-v1</t>
        </is>
      </c>
      <c r="B978" s="34" t="inlineStr">
        <is>
          <t>Cost &amp; Forecast Control Accounts / CST-04-067</t>
        </is>
      </c>
      <c r="C978" s="34" t="inlineStr">
        <is>
          <t>Cost Account = CA-4067; WBS Code = 1.4.1</t>
        </is>
      </c>
      <c r="D978" s="34" t="inlineStr">
        <is>
          <t>Proposed by Source assignment; target 1.4.1 Vehicles and Depot - Fleet Supply</t>
        </is>
      </c>
      <c r="E978" s="34" t="inlineStr">
        <is>
          <t>None recorded</t>
        </is>
      </c>
      <c r="F978" s="34" t="inlineStr">
        <is>
          <t>No individual professional decision recorded; Source assignment -- not individually reviewed</t>
        </is>
      </c>
      <c r="G978" s="34" t="inlineStr">
        <is>
          <t>Not individually decided</t>
        </is>
      </c>
      <c r="H978" s="34" t="inlineStr">
        <is>
          <t xml:space="preserve">APPROVED / ONE_TO_ONE; </t>
        </is>
      </c>
      <c r="I978" s="34" t="inlineStr">
        <is>
          <t>New</t>
        </is>
      </c>
      <c r="J978" s="92" t="inlineStr">
        <is>
          <t>08 CROSSWALK</t>
        </is>
      </c>
    </row>
    <row r="979" ht="49" customHeight="1">
      <c r="A979" s="34" t="inlineStr">
        <is>
          <t>R1391-v1</t>
        </is>
      </c>
      <c r="B979" s="34" t="inlineStr">
        <is>
          <t>Cost &amp; Forecast Control Accounts / CST-04-069</t>
        </is>
      </c>
      <c r="C979" s="34" t="inlineStr">
        <is>
          <t>Cost Account = CA-4069; WBS Code = 1.4.1</t>
        </is>
      </c>
      <c r="D979" s="34" t="inlineStr">
        <is>
          <t>Proposed by Source assignment; target 1.4.1 Vehicles and Depot - Fleet Supply</t>
        </is>
      </c>
      <c r="E979" s="34" t="inlineStr">
        <is>
          <t>None recorded</t>
        </is>
      </c>
      <c r="F979" s="34" t="inlineStr">
        <is>
          <t>No individual professional decision recorded; Source assignment -- not individually reviewed</t>
        </is>
      </c>
      <c r="G979" s="34" t="inlineStr">
        <is>
          <t>Not individually decided</t>
        </is>
      </c>
      <c r="H979" s="34" t="inlineStr">
        <is>
          <t xml:space="preserve">APPROVED / ONE_TO_ONE; </t>
        </is>
      </c>
      <c r="I979" s="34" t="inlineStr">
        <is>
          <t>New</t>
        </is>
      </c>
      <c r="J979" s="92" t="inlineStr">
        <is>
          <t>08 CROSSWALK</t>
        </is>
      </c>
    </row>
    <row r="980" ht="49" customHeight="1">
      <c r="A980" s="34" t="inlineStr">
        <is>
          <t>R1393-v1</t>
        </is>
      </c>
      <c r="B980" s="34" t="inlineStr">
        <is>
          <t>Cost &amp; Forecast Control Accounts / CST-04-071</t>
        </is>
      </c>
      <c r="C980" s="34" t="inlineStr">
        <is>
          <t>Cost Account = CA-4071; WBS Code = 1.4.1</t>
        </is>
      </c>
      <c r="D980" s="34" t="inlineStr">
        <is>
          <t>Proposed by Source assignment; target 1.4.1 Vehicles and Depot - Fleet Supply</t>
        </is>
      </c>
      <c r="E980" s="34" t="inlineStr">
        <is>
          <t>None recorded</t>
        </is>
      </c>
      <c r="F980" s="34" t="inlineStr">
        <is>
          <t>No individual professional decision recorded; Source assignment -- not individually reviewed</t>
        </is>
      </c>
      <c r="G980" s="34" t="inlineStr">
        <is>
          <t>Not individually decided</t>
        </is>
      </c>
      <c r="H980" s="34" t="inlineStr">
        <is>
          <t xml:space="preserve">APPROVED / ONE_TO_ONE; </t>
        </is>
      </c>
      <c r="I980" s="34" t="inlineStr">
        <is>
          <t>New</t>
        </is>
      </c>
      <c r="J980" s="92" t="inlineStr">
        <is>
          <t>08 CROSSWALK</t>
        </is>
      </c>
    </row>
    <row r="981" ht="49" customHeight="1">
      <c r="A981" s="34" t="inlineStr">
        <is>
          <t>R1395-v1</t>
        </is>
      </c>
      <c r="B981" s="34" t="inlineStr">
        <is>
          <t>Cost &amp; Forecast Control Accounts / CST-04-073</t>
        </is>
      </c>
      <c r="C981" s="34" t="inlineStr">
        <is>
          <t>Cost Account = CA-4073; WBS Code = 1.4.1</t>
        </is>
      </c>
      <c r="D981" s="34" t="inlineStr">
        <is>
          <t>Proposed by Source assignment; target 1.4.1 Vehicles and Depot - Fleet Supply</t>
        </is>
      </c>
      <c r="E981" s="34" t="inlineStr">
        <is>
          <t>None recorded</t>
        </is>
      </c>
      <c r="F981" s="34" t="inlineStr">
        <is>
          <t>No individual professional decision recorded; Source assignment -- not individually reviewed</t>
        </is>
      </c>
      <c r="G981" s="34" t="inlineStr">
        <is>
          <t>Not individually decided</t>
        </is>
      </c>
      <c r="H981" s="34" t="inlineStr">
        <is>
          <t xml:space="preserve">APPROVED / ONE_TO_ONE; </t>
        </is>
      </c>
      <c r="I981" s="34" t="inlineStr">
        <is>
          <t>New</t>
        </is>
      </c>
      <c r="J981" s="92" t="inlineStr">
        <is>
          <t>08 CROSSWALK</t>
        </is>
      </c>
    </row>
    <row r="982" ht="49" customHeight="1">
      <c r="A982" s="34" t="inlineStr">
        <is>
          <t>R1397-v1</t>
        </is>
      </c>
      <c r="B982" s="34" t="inlineStr">
        <is>
          <t>Cost &amp; Forecast Control Accounts / CST-04-075</t>
        </is>
      </c>
      <c r="C982" s="34" t="inlineStr">
        <is>
          <t>Cost Account = CA-4075; WBS Code = 1.4.1</t>
        </is>
      </c>
      <c r="D982" s="34" t="inlineStr">
        <is>
          <t>Proposed by Source assignment; target 1.4.1 Vehicles and Depot - Fleet Supply</t>
        </is>
      </c>
      <c r="E982" s="34" t="inlineStr">
        <is>
          <t>None recorded</t>
        </is>
      </c>
      <c r="F982" s="34" t="inlineStr">
        <is>
          <t>No individual professional decision recorded; Source assignment -- not individually reviewed</t>
        </is>
      </c>
      <c r="G982" s="34" t="inlineStr">
        <is>
          <t>Not individually decided</t>
        </is>
      </c>
      <c r="H982" s="34" t="inlineStr">
        <is>
          <t xml:space="preserve">APPROVED / ONE_TO_ONE; </t>
        </is>
      </c>
      <c r="I982" s="34" t="inlineStr">
        <is>
          <t>New</t>
        </is>
      </c>
      <c r="J982" s="92" t="inlineStr">
        <is>
          <t>08 CROSSWALK</t>
        </is>
      </c>
    </row>
    <row r="983" ht="49" customHeight="1">
      <c r="A983" s="34" t="inlineStr">
        <is>
          <t>R1399-v1</t>
        </is>
      </c>
      <c r="B983" s="34" t="inlineStr">
        <is>
          <t>Cost &amp; Forecast Control Accounts / CST-04-077</t>
        </is>
      </c>
      <c r="C983" s="34" t="inlineStr">
        <is>
          <t>Cost Account = CA-4077; WBS Code = 1.4.1</t>
        </is>
      </c>
      <c r="D983" s="34" t="inlineStr">
        <is>
          <t>Proposed by Source assignment; target 1.4.1 Vehicles and Depot - Fleet Supply</t>
        </is>
      </c>
      <c r="E983" s="34" t="inlineStr">
        <is>
          <t>None recorded</t>
        </is>
      </c>
      <c r="F983" s="34" t="inlineStr">
        <is>
          <t>No individual professional decision recorded; Source assignment -- not individually reviewed</t>
        </is>
      </c>
      <c r="G983" s="34" t="inlineStr">
        <is>
          <t>Not individually decided</t>
        </is>
      </c>
      <c r="H983" s="34" t="inlineStr">
        <is>
          <t xml:space="preserve">APPROVED / ONE_TO_ONE; </t>
        </is>
      </c>
      <c r="I983" s="34" t="inlineStr">
        <is>
          <t>New</t>
        </is>
      </c>
      <c r="J983" s="92" t="inlineStr">
        <is>
          <t>08 CROSSWALK</t>
        </is>
      </c>
    </row>
    <row r="984" ht="49" customHeight="1">
      <c r="A984" s="34" t="inlineStr">
        <is>
          <t>R1401-v1</t>
        </is>
      </c>
      <c r="B984" s="34" t="inlineStr">
        <is>
          <t>Cost &amp; Forecast Control Accounts / CST-04-079</t>
        </is>
      </c>
      <c r="C984" s="34" t="inlineStr">
        <is>
          <t>Cost Account = CA-4079; WBS Code = 1.4.1</t>
        </is>
      </c>
      <c r="D984" s="34" t="inlineStr">
        <is>
          <t>Proposed by Source assignment; target 1.4.1 Vehicles and Depot - Fleet Supply</t>
        </is>
      </c>
      <c r="E984" s="34" t="inlineStr">
        <is>
          <t>None recorded</t>
        </is>
      </c>
      <c r="F984" s="34" t="inlineStr">
        <is>
          <t>No individual professional decision recorded; Source assignment -- not individually reviewed</t>
        </is>
      </c>
      <c r="G984" s="34" t="inlineStr">
        <is>
          <t>Not individually decided</t>
        </is>
      </c>
      <c r="H984" s="34" t="inlineStr">
        <is>
          <t xml:space="preserve">APPROVED / ONE_TO_ONE; </t>
        </is>
      </c>
      <c r="I984" s="34" t="inlineStr">
        <is>
          <t>New</t>
        </is>
      </c>
      <c r="J984" s="92" t="inlineStr">
        <is>
          <t>08 CROSSWALK</t>
        </is>
      </c>
    </row>
    <row r="985" ht="49" customHeight="1">
      <c r="A985" s="34" t="inlineStr">
        <is>
          <t>R546-v1</t>
        </is>
      </c>
      <c r="B985" s="34" t="inlineStr">
        <is>
          <t>Contractor Programme / SCH-04-006</t>
        </is>
      </c>
      <c r="C985" s="34" t="inlineStr">
        <is>
          <t>WBS Code = 1.4.2</t>
        </is>
      </c>
      <c r="D985" s="34" t="inlineStr">
        <is>
          <t>Proposed by Source assignment; target 1.4.2 Vehicles and Depot - Depot Buildings</t>
        </is>
      </c>
      <c r="E985" s="34" t="inlineStr">
        <is>
          <t>None recorded</t>
        </is>
      </c>
      <c r="F985" s="34" t="inlineStr">
        <is>
          <t>No individual professional decision recorded; Source assignment -- not individually reviewed</t>
        </is>
      </c>
      <c r="G985" s="34" t="inlineStr">
        <is>
          <t>Not individually decided</t>
        </is>
      </c>
      <c r="H985" s="34" t="inlineStr">
        <is>
          <t xml:space="preserve">APPROVED / ONE_TO_ONE; </t>
        </is>
      </c>
      <c r="I985" s="34" t="inlineStr">
        <is>
          <t>New</t>
        </is>
      </c>
      <c r="J985" s="92" t="inlineStr">
        <is>
          <t>08 CROSSWALK</t>
        </is>
      </c>
    </row>
    <row r="986" ht="49" customHeight="1">
      <c r="A986" s="34" t="inlineStr">
        <is>
          <t>R549-v1</t>
        </is>
      </c>
      <c r="B986" s="34" t="inlineStr">
        <is>
          <t>Contractor Programme / SCH-04-009</t>
        </is>
      </c>
      <c r="C986" s="34" t="inlineStr">
        <is>
          <t>WBS Code = 1.4.2</t>
        </is>
      </c>
      <c r="D986" s="34" t="inlineStr">
        <is>
          <t>Proposed by Source assignment; target 1.4.2 Vehicles and Depot - Depot Buildings</t>
        </is>
      </c>
      <c r="E986" s="34" t="inlineStr">
        <is>
          <t>None recorded</t>
        </is>
      </c>
      <c r="F986" s="34" t="inlineStr">
        <is>
          <t>No individual professional decision recorded; Source assignment -- not individually reviewed</t>
        </is>
      </c>
      <c r="G986" s="34" t="inlineStr">
        <is>
          <t>Not individually decided</t>
        </is>
      </c>
      <c r="H986" s="34" t="inlineStr">
        <is>
          <t xml:space="preserve">APPROVED / ONE_TO_ONE; </t>
        </is>
      </c>
      <c r="I986" s="34" t="inlineStr">
        <is>
          <t>New</t>
        </is>
      </c>
      <c r="J986" s="92" t="inlineStr">
        <is>
          <t>08 CROSSWALK</t>
        </is>
      </c>
    </row>
    <row r="987" ht="49" customHeight="1">
      <c r="A987" s="34" t="inlineStr">
        <is>
          <t>R552-v1</t>
        </is>
      </c>
      <c r="B987" s="34" t="inlineStr">
        <is>
          <t>Contractor Programme / SCH-04-012</t>
        </is>
      </c>
      <c r="C987" s="34" t="inlineStr">
        <is>
          <t>WBS Code = 1.4.2</t>
        </is>
      </c>
      <c r="D987" s="34" t="inlineStr">
        <is>
          <t>Proposed by Source assignment; target 1.4.2 Vehicles and Depot - Depot Buildings</t>
        </is>
      </c>
      <c r="E987" s="34" t="inlineStr">
        <is>
          <t>None recorded</t>
        </is>
      </c>
      <c r="F987" s="34" t="inlineStr">
        <is>
          <t>No individual professional decision recorded; Source assignment -- not individually reviewed</t>
        </is>
      </c>
      <c r="G987" s="34" t="inlineStr">
        <is>
          <t>Not individually decided</t>
        </is>
      </c>
      <c r="H987" s="34" t="inlineStr">
        <is>
          <t xml:space="preserve">APPROVED / ONE_TO_ONE; </t>
        </is>
      </c>
      <c r="I987" s="34" t="inlineStr">
        <is>
          <t>New</t>
        </is>
      </c>
      <c r="J987" s="92" t="inlineStr">
        <is>
          <t>08 CROSSWALK</t>
        </is>
      </c>
    </row>
    <row r="988" ht="49" customHeight="1">
      <c r="A988" s="34" t="inlineStr">
        <is>
          <t>R555-v1</t>
        </is>
      </c>
      <c r="B988" s="34" t="inlineStr">
        <is>
          <t>Contractor Programme / SCH-04-015</t>
        </is>
      </c>
      <c r="C988" s="34" t="inlineStr">
        <is>
          <t>WBS Code = 1.4.2</t>
        </is>
      </c>
      <c r="D988" s="34" t="inlineStr">
        <is>
          <t>Proposed by Source assignment; target 1.4.2 Vehicles and Depot - Depot Buildings</t>
        </is>
      </c>
      <c r="E988" s="34" t="inlineStr">
        <is>
          <t>None recorded</t>
        </is>
      </c>
      <c r="F988" s="34" t="inlineStr">
        <is>
          <t>No individual professional decision recorded; Source assignment -- not individually reviewed</t>
        </is>
      </c>
      <c r="G988" s="34" t="inlineStr">
        <is>
          <t>Not individually decided</t>
        </is>
      </c>
      <c r="H988" s="34" t="inlineStr">
        <is>
          <t xml:space="preserve">APPROVED / ONE_TO_ONE; </t>
        </is>
      </c>
      <c r="I988" s="34" t="inlineStr">
        <is>
          <t>New</t>
        </is>
      </c>
      <c r="J988" s="92" t="inlineStr">
        <is>
          <t>08 CROSSWALK</t>
        </is>
      </c>
    </row>
    <row r="989" ht="49" customHeight="1">
      <c r="A989" s="34" t="inlineStr">
        <is>
          <t>R558-v1</t>
        </is>
      </c>
      <c r="B989" s="34" t="inlineStr">
        <is>
          <t>Contractor Programme / SCH-04-018</t>
        </is>
      </c>
      <c r="C989" s="34" t="inlineStr">
        <is>
          <t>WBS Code = 1.4.2</t>
        </is>
      </c>
      <c r="D989" s="34" t="inlineStr">
        <is>
          <t>Proposed by Source assignment; target 1.4.2 Vehicles and Depot - Depot Buildings</t>
        </is>
      </c>
      <c r="E989" s="34" t="inlineStr">
        <is>
          <t>None recorded</t>
        </is>
      </c>
      <c r="F989" s="34" t="inlineStr">
        <is>
          <t>No individual professional decision recorded; Source assignment -- not individually reviewed</t>
        </is>
      </c>
      <c r="G989" s="34" t="inlineStr">
        <is>
          <t>Not individually decided</t>
        </is>
      </c>
      <c r="H989" s="34" t="inlineStr">
        <is>
          <t xml:space="preserve">APPROVED / ONE_TO_ONE; </t>
        </is>
      </c>
      <c r="I989" s="34" t="inlineStr">
        <is>
          <t>New</t>
        </is>
      </c>
      <c r="J989" s="92" t="inlineStr">
        <is>
          <t>08 CROSSWALK</t>
        </is>
      </c>
    </row>
    <row r="990" ht="49" customHeight="1">
      <c r="A990" s="34" t="inlineStr">
        <is>
          <t>R561-v1</t>
        </is>
      </c>
      <c r="B990" s="34" t="inlineStr">
        <is>
          <t>Contractor Programme / SCH-04-021</t>
        </is>
      </c>
      <c r="C990" s="34" t="inlineStr">
        <is>
          <t>WBS Code = 1.4.2</t>
        </is>
      </c>
      <c r="D990" s="34" t="inlineStr">
        <is>
          <t>Proposed by Source assignment; target 1.4.2 Vehicles and Depot - Depot Buildings</t>
        </is>
      </c>
      <c r="E990" s="34" t="inlineStr">
        <is>
          <t>None recorded</t>
        </is>
      </c>
      <c r="F990" s="34" t="inlineStr">
        <is>
          <t>No individual professional decision recorded; Source assignment -- not individually reviewed</t>
        </is>
      </c>
      <c r="G990" s="34" t="inlineStr">
        <is>
          <t>Not individually decided</t>
        </is>
      </c>
      <c r="H990" s="34" t="inlineStr">
        <is>
          <t xml:space="preserve">APPROVED / ONE_TO_ONE; </t>
        </is>
      </c>
      <c r="I990" s="34" t="inlineStr">
        <is>
          <t>New</t>
        </is>
      </c>
      <c r="J990" s="92" t="inlineStr">
        <is>
          <t>08 CROSSWALK</t>
        </is>
      </c>
    </row>
    <row r="991" ht="49" customHeight="1">
      <c r="A991" s="34" t="inlineStr">
        <is>
          <t>R564-v1</t>
        </is>
      </c>
      <c r="B991" s="34" t="inlineStr">
        <is>
          <t>Contractor Programme / SCH-04-024</t>
        </is>
      </c>
      <c r="C991" s="34" t="inlineStr">
        <is>
          <t>WBS Code = 1.4.2</t>
        </is>
      </c>
      <c r="D991" s="34" t="inlineStr">
        <is>
          <t>Proposed by Source assignment; target 1.4.2 Vehicles and Depot - Depot Buildings</t>
        </is>
      </c>
      <c r="E991" s="34" t="inlineStr">
        <is>
          <t>None recorded</t>
        </is>
      </c>
      <c r="F991" s="34" t="inlineStr">
        <is>
          <t>No individual professional decision recorded; Source assignment -- not individually reviewed</t>
        </is>
      </c>
      <c r="G991" s="34" t="inlineStr">
        <is>
          <t>Not individually decided</t>
        </is>
      </c>
      <c r="H991" s="34" t="inlineStr">
        <is>
          <t xml:space="preserve">APPROVED / ONE_TO_ONE; </t>
        </is>
      </c>
      <c r="I991" s="34" t="inlineStr">
        <is>
          <t>New</t>
        </is>
      </c>
      <c r="J991" s="92" t="inlineStr">
        <is>
          <t>08 CROSSWALK</t>
        </is>
      </c>
    </row>
    <row r="992" ht="49" customHeight="1">
      <c r="A992" s="34" t="inlineStr">
        <is>
          <t>R567-v1</t>
        </is>
      </c>
      <c r="B992" s="34" t="inlineStr">
        <is>
          <t>Contractor Programme / SCH-04-027</t>
        </is>
      </c>
      <c r="C992" s="34" t="inlineStr">
        <is>
          <t>WBS Code = 1.4.2</t>
        </is>
      </c>
      <c r="D992" s="34" t="inlineStr">
        <is>
          <t>Proposed by Source assignment; target 1.4.2 Vehicles and Depot - Depot Buildings</t>
        </is>
      </c>
      <c r="E992" s="34" t="inlineStr">
        <is>
          <t>None recorded</t>
        </is>
      </c>
      <c r="F992" s="34" t="inlineStr">
        <is>
          <t>No individual professional decision recorded; Source assignment -- not individually reviewed</t>
        </is>
      </c>
      <c r="G992" s="34" t="inlineStr">
        <is>
          <t>Not individually decided</t>
        </is>
      </c>
      <c r="H992" s="34" t="inlineStr">
        <is>
          <t xml:space="preserve">APPROVED / ONE_TO_ONE; </t>
        </is>
      </c>
      <c r="I992" s="34" t="inlineStr">
        <is>
          <t>New</t>
        </is>
      </c>
      <c r="J992" s="92" t="inlineStr">
        <is>
          <t>08 CROSSWALK</t>
        </is>
      </c>
    </row>
    <row r="993" ht="49" customHeight="1">
      <c r="A993" s="34" t="inlineStr">
        <is>
          <t>R570-v1</t>
        </is>
      </c>
      <c r="B993" s="34" t="inlineStr">
        <is>
          <t>Contractor Programme / SCH-04-030</t>
        </is>
      </c>
      <c r="C993" s="34" t="inlineStr">
        <is>
          <t>WBS Code = 1.4.2</t>
        </is>
      </c>
      <c r="D993" s="34" t="inlineStr">
        <is>
          <t>Proposed by Source assignment; target 1.4.2 Vehicles and Depot - Depot Buildings</t>
        </is>
      </c>
      <c r="E993" s="34" t="inlineStr">
        <is>
          <t>None recorded</t>
        </is>
      </c>
      <c r="F993" s="34" t="inlineStr">
        <is>
          <t>No individual professional decision recorded; Source assignment -- not individually reviewed</t>
        </is>
      </c>
      <c r="G993" s="34" t="inlineStr">
        <is>
          <t>Not individually decided</t>
        </is>
      </c>
      <c r="H993" s="34" t="inlineStr">
        <is>
          <t xml:space="preserve">APPROVED / ONE_TO_ONE; </t>
        </is>
      </c>
      <c r="I993" s="34" t="inlineStr">
        <is>
          <t>New</t>
        </is>
      </c>
      <c r="J993" s="92" t="inlineStr">
        <is>
          <t>08 CROSSWALK</t>
        </is>
      </c>
    </row>
    <row r="994" ht="49" customHeight="1">
      <c r="A994" s="34" t="inlineStr">
        <is>
          <t>R573-v1</t>
        </is>
      </c>
      <c r="B994" s="34" t="inlineStr">
        <is>
          <t>Contractor Programme / SCH-04-033</t>
        </is>
      </c>
      <c r="C994" s="34" t="inlineStr">
        <is>
          <t>WBS Code = 1.4.2</t>
        </is>
      </c>
      <c r="D994" s="34" t="inlineStr">
        <is>
          <t>Proposed by Source assignment; target 1.4.2 Vehicles and Depot - Depot Buildings</t>
        </is>
      </c>
      <c r="E994" s="34" t="inlineStr">
        <is>
          <t>None recorded</t>
        </is>
      </c>
      <c r="F994" s="34" t="inlineStr">
        <is>
          <t>No individual professional decision recorded; Source assignment -- not individually reviewed</t>
        </is>
      </c>
      <c r="G994" s="34" t="inlineStr">
        <is>
          <t>Not individually decided</t>
        </is>
      </c>
      <c r="H994" s="34" t="inlineStr">
        <is>
          <t xml:space="preserve">APPROVED / ONE_TO_ONE; </t>
        </is>
      </c>
      <c r="I994" s="34" t="inlineStr">
        <is>
          <t>New</t>
        </is>
      </c>
      <c r="J994" s="92" t="inlineStr">
        <is>
          <t>08 CROSSWALK</t>
        </is>
      </c>
    </row>
    <row r="995" ht="49" customHeight="1">
      <c r="A995" s="34" t="inlineStr">
        <is>
          <t>R576-v1</t>
        </is>
      </c>
      <c r="B995" s="34" t="inlineStr">
        <is>
          <t>Contractor Programme / SCH-04-036</t>
        </is>
      </c>
      <c r="C995" s="34" t="inlineStr">
        <is>
          <t>WBS Code = 1.4.2</t>
        </is>
      </c>
      <c r="D995" s="34" t="inlineStr">
        <is>
          <t>Proposed by Source assignment; target 1.4.2 Vehicles and Depot - Depot Buildings</t>
        </is>
      </c>
      <c r="E995" s="34" t="inlineStr">
        <is>
          <t>None recorded</t>
        </is>
      </c>
      <c r="F995" s="34" t="inlineStr">
        <is>
          <t>No individual professional decision recorded; Source assignment -- not individually reviewed</t>
        </is>
      </c>
      <c r="G995" s="34" t="inlineStr">
        <is>
          <t>Not individually decided</t>
        </is>
      </c>
      <c r="H995" s="34" t="inlineStr">
        <is>
          <t xml:space="preserve">APPROVED / ONE_TO_ONE; </t>
        </is>
      </c>
      <c r="I995" s="34" t="inlineStr">
        <is>
          <t>New</t>
        </is>
      </c>
      <c r="J995" s="92" t="inlineStr">
        <is>
          <t>08 CROSSWALK</t>
        </is>
      </c>
    </row>
    <row r="996" ht="49" customHeight="1">
      <c r="A996" s="34" t="inlineStr">
        <is>
          <t>R579-v1</t>
        </is>
      </c>
      <c r="B996" s="34" t="inlineStr">
        <is>
          <t>Contractor Programme / SCH-04-039</t>
        </is>
      </c>
      <c r="C996" s="34" t="inlineStr">
        <is>
          <t>WBS Code = 1.4.2</t>
        </is>
      </c>
      <c r="D996" s="34" t="inlineStr">
        <is>
          <t>Proposed by Source assignment; target 1.4.2 Vehicles and Depot - Depot Buildings</t>
        </is>
      </c>
      <c r="E996" s="34" t="inlineStr">
        <is>
          <t>None recorded</t>
        </is>
      </c>
      <c r="F996" s="34" t="inlineStr">
        <is>
          <t>No individual professional decision recorded; Source assignment -- not individually reviewed</t>
        </is>
      </c>
      <c r="G996" s="34" t="inlineStr">
        <is>
          <t>Not individually decided</t>
        </is>
      </c>
      <c r="H996" s="34" t="inlineStr">
        <is>
          <t xml:space="preserve">APPROVED / ONE_TO_ONE; </t>
        </is>
      </c>
      <c r="I996" s="34" t="inlineStr">
        <is>
          <t>New</t>
        </is>
      </c>
      <c r="J996" s="92" t="inlineStr">
        <is>
          <t>08 CROSSWALK</t>
        </is>
      </c>
    </row>
    <row r="997" ht="49" customHeight="1">
      <c r="A997" s="34" t="inlineStr">
        <is>
          <t>R582-v1</t>
        </is>
      </c>
      <c r="B997" s="34" t="inlineStr">
        <is>
          <t>Contractor Programme / SCH-04-042</t>
        </is>
      </c>
      <c r="C997" s="34" t="inlineStr">
        <is>
          <t>WBS Code = 1.4.2</t>
        </is>
      </c>
      <c r="D997" s="34" t="inlineStr">
        <is>
          <t>Proposed by Source assignment; target 1.4.2 Vehicles and Depot - Depot Buildings</t>
        </is>
      </c>
      <c r="E997" s="34" t="inlineStr">
        <is>
          <t>None recorded</t>
        </is>
      </c>
      <c r="F997" s="34" t="inlineStr">
        <is>
          <t>No individual professional decision recorded; Source assignment -- not individually reviewed</t>
        </is>
      </c>
      <c r="G997" s="34" t="inlineStr">
        <is>
          <t>Not individually decided</t>
        </is>
      </c>
      <c r="H997" s="34" t="inlineStr">
        <is>
          <t xml:space="preserve">APPROVED / ONE_TO_ONE; </t>
        </is>
      </c>
      <c r="I997" s="34" t="inlineStr">
        <is>
          <t>New</t>
        </is>
      </c>
      <c r="J997" s="92" t="inlineStr">
        <is>
          <t>08 CROSSWALK</t>
        </is>
      </c>
    </row>
    <row r="998" ht="49" customHeight="1">
      <c r="A998" s="34" t="inlineStr">
        <is>
          <t>R585-v1</t>
        </is>
      </c>
      <c r="B998" s="34" t="inlineStr">
        <is>
          <t>Contractor Programme / SCH-04-045</t>
        </is>
      </c>
      <c r="C998" s="34" t="inlineStr">
        <is>
          <t>WBS Code = 1.4.2</t>
        </is>
      </c>
      <c r="D998" s="34" t="inlineStr">
        <is>
          <t>Proposed by Source assignment; target 1.4.2 Vehicles and Depot - Depot Buildings</t>
        </is>
      </c>
      <c r="E998" s="34" t="inlineStr">
        <is>
          <t>None recorded</t>
        </is>
      </c>
      <c r="F998" s="34" t="inlineStr">
        <is>
          <t>No individual professional decision recorded; Source assignment -- not individually reviewed</t>
        </is>
      </c>
      <c r="G998" s="34" t="inlineStr">
        <is>
          <t>Not individually decided</t>
        </is>
      </c>
      <c r="H998" s="34" t="inlineStr">
        <is>
          <t xml:space="preserve">APPROVED / ONE_TO_ONE; </t>
        </is>
      </c>
      <c r="I998" s="34" t="inlineStr">
        <is>
          <t>New</t>
        </is>
      </c>
      <c r="J998" s="92" t="inlineStr">
        <is>
          <t>08 CROSSWALK</t>
        </is>
      </c>
    </row>
    <row r="999" ht="49" customHeight="1">
      <c r="A999" s="34" t="inlineStr">
        <is>
          <t>R588-v1</t>
        </is>
      </c>
      <c r="B999" s="34" t="inlineStr">
        <is>
          <t>Contractor Programme / SCH-04-048</t>
        </is>
      </c>
      <c r="C999" s="34" t="inlineStr">
        <is>
          <t>WBS Code = 1.4.2</t>
        </is>
      </c>
      <c r="D999" s="34" t="inlineStr">
        <is>
          <t>Proposed by Source assignment; target 1.4.2 Vehicles and Depot - Depot Buildings</t>
        </is>
      </c>
      <c r="E999" s="34" t="inlineStr">
        <is>
          <t>None recorded</t>
        </is>
      </c>
      <c r="F999" s="34" t="inlineStr">
        <is>
          <t>No individual professional decision recorded; Source assignment -- not individually reviewed</t>
        </is>
      </c>
      <c r="G999" s="34" t="inlineStr">
        <is>
          <t>Not individually decided</t>
        </is>
      </c>
      <c r="H999" s="34" t="inlineStr">
        <is>
          <t xml:space="preserve">APPROVED / ONE_TO_ONE; </t>
        </is>
      </c>
      <c r="I999" s="34" t="inlineStr">
        <is>
          <t>New</t>
        </is>
      </c>
      <c r="J999" s="92" t="inlineStr">
        <is>
          <t>08 CROSSWALK</t>
        </is>
      </c>
    </row>
    <row r="1000" ht="49" customHeight="1">
      <c r="A1000" s="34" t="inlineStr">
        <is>
          <t>R591-v1</t>
        </is>
      </c>
      <c r="B1000" s="34" t="inlineStr">
        <is>
          <t>Contractor Programme / SCH-04-051</t>
        </is>
      </c>
      <c r="C1000" s="34" t="inlineStr">
        <is>
          <t>WBS Code = 1.4.2</t>
        </is>
      </c>
      <c r="D1000" s="34" t="inlineStr">
        <is>
          <t>Proposed by Source assignment; target 1.4.2 Vehicles and Depot - Depot Buildings</t>
        </is>
      </c>
      <c r="E1000" s="34" t="inlineStr">
        <is>
          <t>None recorded</t>
        </is>
      </c>
      <c r="F1000" s="34" t="inlineStr">
        <is>
          <t>No individual professional decision recorded; Source assignment -- not individually reviewed</t>
        </is>
      </c>
      <c r="G1000" s="34" t="inlineStr">
        <is>
          <t>Not individually decided</t>
        </is>
      </c>
      <c r="H1000" s="34" t="inlineStr">
        <is>
          <t xml:space="preserve">APPROVED / ONE_TO_ONE; </t>
        </is>
      </c>
      <c r="I1000" s="34" t="inlineStr">
        <is>
          <t>New</t>
        </is>
      </c>
      <c r="J1000" s="92" t="inlineStr">
        <is>
          <t>08 CROSSWALK</t>
        </is>
      </c>
    </row>
    <row r="1001" ht="49" customHeight="1">
      <c r="A1001" s="34" t="inlineStr">
        <is>
          <t>R594-v1</t>
        </is>
      </c>
      <c r="B1001" s="34" t="inlineStr">
        <is>
          <t>Contractor Programme / SCH-04-054</t>
        </is>
      </c>
      <c r="C1001" s="34" t="inlineStr">
        <is>
          <t>WBS Code = 1.4.2</t>
        </is>
      </c>
      <c r="D1001" s="34" t="inlineStr">
        <is>
          <t>Proposed by Source assignment; target 1.4.2 Vehicles and Depot - Depot Buildings</t>
        </is>
      </c>
      <c r="E1001" s="34" t="inlineStr">
        <is>
          <t>None recorded</t>
        </is>
      </c>
      <c r="F1001" s="34" t="inlineStr">
        <is>
          <t>No individual professional decision recorded; Source assignment -- not individually reviewed</t>
        </is>
      </c>
      <c r="G1001" s="34" t="inlineStr">
        <is>
          <t>Not individually decided</t>
        </is>
      </c>
      <c r="H1001" s="34" t="inlineStr">
        <is>
          <t xml:space="preserve">APPROVED / ONE_TO_ONE; </t>
        </is>
      </c>
      <c r="I1001" s="34" t="inlineStr">
        <is>
          <t>New</t>
        </is>
      </c>
      <c r="J1001" s="92" t="inlineStr">
        <is>
          <t>08 CROSSWALK</t>
        </is>
      </c>
    </row>
    <row r="1002" ht="49" customHeight="1">
      <c r="A1002" s="34" t="inlineStr">
        <is>
          <t>R597-v1</t>
        </is>
      </c>
      <c r="B1002" s="34" t="inlineStr">
        <is>
          <t>Contractor Programme / SCH-04-057</t>
        </is>
      </c>
      <c r="C1002" s="34" t="inlineStr">
        <is>
          <t>WBS Code = 1.4.2</t>
        </is>
      </c>
      <c r="D1002" s="34" t="inlineStr">
        <is>
          <t>Proposed by Source assignment; target 1.4.2 Vehicles and Depot - Depot Buildings</t>
        </is>
      </c>
      <c r="E1002" s="34" t="inlineStr">
        <is>
          <t>None recorded</t>
        </is>
      </c>
      <c r="F1002" s="34" t="inlineStr">
        <is>
          <t>No individual professional decision recorded; Source assignment -- not individually reviewed</t>
        </is>
      </c>
      <c r="G1002" s="34" t="inlineStr">
        <is>
          <t>Not individually decided</t>
        </is>
      </c>
      <c r="H1002" s="34" t="inlineStr">
        <is>
          <t xml:space="preserve">APPROVED / ONE_TO_ONE; </t>
        </is>
      </c>
      <c r="I1002" s="34" t="inlineStr">
        <is>
          <t>New</t>
        </is>
      </c>
      <c r="J1002" s="92" t="inlineStr">
        <is>
          <t>08 CROSSWALK</t>
        </is>
      </c>
    </row>
    <row r="1003" ht="49" customHeight="1">
      <c r="A1003" s="34" t="inlineStr">
        <is>
          <t>R600-v1</t>
        </is>
      </c>
      <c r="B1003" s="34" t="inlineStr">
        <is>
          <t>Contractor Programme / SCH-04-060</t>
        </is>
      </c>
      <c r="C1003" s="34" t="inlineStr">
        <is>
          <t>WBS Code = 1.4.2</t>
        </is>
      </c>
      <c r="D1003" s="34" t="inlineStr">
        <is>
          <t>Proposed by Source assignment; target 1.4.2 Vehicles and Depot - Depot Buildings</t>
        </is>
      </c>
      <c r="E1003" s="34" t="inlineStr">
        <is>
          <t>None recorded</t>
        </is>
      </c>
      <c r="F1003" s="34" t="inlineStr">
        <is>
          <t>No individual professional decision recorded; Source assignment -- not individually reviewed</t>
        </is>
      </c>
      <c r="G1003" s="34" t="inlineStr">
        <is>
          <t>Not individually decided</t>
        </is>
      </c>
      <c r="H1003" s="34" t="inlineStr">
        <is>
          <t xml:space="preserve">APPROVED / ONE_TO_ONE; </t>
        </is>
      </c>
      <c r="I1003" s="34" t="inlineStr">
        <is>
          <t>New</t>
        </is>
      </c>
      <c r="J1003" s="92" t="inlineStr">
        <is>
          <t>08 CROSSWALK</t>
        </is>
      </c>
    </row>
    <row r="1004" ht="49" customHeight="1">
      <c r="A1004" s="34" t="inlineStr">
        <is>
          <t>R603-v1</t>
        </is>
      </c>
      <c r="B1004" s="34" t="inlineStr">
        <is>
          <t>Contractor Programme / SCH-04-063</t>
        </is>
      </c>
      <c r="C1004" s="34" t="inlineStr">
        <is>
          <t>WBS Code = 1.4.2</t>
        </is>
      </c>
      <c r="D1004" s="34" t="inlineStr">
        <is>
          <t>Proposed by Source assignment; target 1.4.2 Vehicles and Depot - Depot Buildings</t>
        </is>
      </c>
      <c r="E1004" s="34" t="inlineStr">
        <is>
          <t>None recorded</t>
        </is>
      </c>
      <c r="F1004" s="34" t="inlineStr">
        <is>
          <t>No individual professional decision recorded; Source assignment -- not individually reviewed</t>
        </is>
      </c>
      <c r="G1004" s="34" t="inlineStr">
        <is>
          <t>Not individually decided</t>
        </is>
      </c>
      <c r="H1004" s="34" t="inlineStr">
        <is>
          <t xml:space="preserve">APPROVED / ONE_TO_ONE; </t>
        </is>
      </c>
      <c r="I1004" s="34" t="inlineStr">
        <is>
          <t>New</t>
        </is>
      </c>
      <c r="J1004" s="92" t="inlineStr">
        <is>
          <t>08 CROSSWALK</t>
        </is>
      </c>
    </row>
    <row r="1005" ht="49" customHeight="1">
      <c r="A1005" s="34" t="inlineStr">
        <is>
          <t>R606-v1</t>
        </is>
      </c>
      <c r="B1005" s="34" t="inlineStr">
        <is>
          <t>Contractor Programme / SCH-04-066</t>
        </is>
      </c>
      <c r="C1005" s="34" t="inlineStr">
        <is>
          <t>WBS Code = 1.4.2</t>
        </is>
      </c>
      <c r="D1005" s="34" t="inlineStr">
        <is>
          <t>Proposed by Source assignment; target 1.4.2 Vehicles and Depot - Depot Buildings</t>
        </is>
      </c>
      <c r="E1005" s="34" t="inlineStr">
        <is>
          <t>None recorded</t>
        </is>
      </c>
      <c r="F1005" s="34" t="inlineStr">
        <is>
          <t>No individual professional decision recorded; Source assignment -- not individually reviewed</t>
        </is>
      </c>
      <c r="G1005" s="34" t="inlineStr">
        <is>
          <t>Not individually decided</t>
        </is>
      </c>
      <c r="H1005" s="34" t="inlineStr">
        <is>
          <t xml:space="preserve">APPROVED / ONE_TO_ONE; </t>
        </is>
      </c>
      <c r="I1005" s="34" t="inlineStr">
        <is>
          <t>New</t>
        </is>
      </c>
      <c r="J1005" s="92" t="inlineStr">
        <is>
          <t>08 CROSSWALK</t>
        </is>
      </c>
    </row>
    <row r="1006" ht="49" customHeight="1">
      <c r="A1006" s="34" t="inlineStr">
        <is>
          <t>R609-v1</t>
        </is>
      </c>
      <c r="B1006" s="34" t="inlineStr">
        <is>
          <t>Contractor Programme / SCH-04-069</t>
        </is>
      </c>
      <c r="C1006" s="34" t="inlineStr">
        <is>
          <t>WBS Code = 1.4.2</t>
        </is>
      </c>
      <c r="D1006" s="34" t="inlineStr">
        <is>
          <t>Proposed by Source assignment; target 1.4.2 Vehicles and Depot - Depot Buildings</t>
        </is>
      </c>
      <c r="E1006" s="34" t="inlineStr">
        <is>
          <t>None recorded</t>
        </is>
      </c>
      <c r="F1006" s="34" t="inlineStr">
        <is>
          <t>No individual professional decision recorded; Source assignment -- not individually reviewed</t>
        </is>
      </c>
      <c r="G1006" s="34" t="inlineStr">
        <is>
          <t>Not individually decided</t>
        </is>
      </c>
      <c r="H1006" s="34" t="inlineStr">
        <is>
          <t xml:space="preserve">APPROVED / ONE_TO_ONE; </t>
        </is>
      </c>
      <c r="I1006" s="34" t="inlineStr">
        <is>
          <t>New</t>
        </is>
      </c>
      <c r="J1006" s="92" t="inlineStr">
        <is>
          <t>08 CROSSWALK</t>
        </is>
      </c>
    </row>
    <row r="1007" ht="49" customHeight="1">
      <c r="A1007" s="34" t="inlineStr">
        <is>
          <t>R612-v1</t>
        </is>
      </c>
      <c r="B1007" s="34" t="inlineStr">
        <is>
          <t>Contractor Programme / SCH-04-072</t>
        </is>
      </c>
      <c r="C1007" s="34" t="inlineStr">
        <is>
          <t>WBS Code = 1.4.2</t>
        </is>
      </c>
      <c r="D1007" s="34" t="inlineStr">
        <is>
          <t>Proposed by Source assignment; target 1.4.2 Vehicles and Depot - Depot Buildings</t>
        </is>
      </c>
      <c r="E1007" s="34" t="inlineStr">
        <is>
          <t>None recorded</t>
        </is>
      </c>
      <c r="F1007" s="34" t="inlineStr">
        <is>
          <t>No individual professional decision recorded; Source assignment -- not individually reviewed</t>
        </is>
      </c>
      <c r="G1007" s="34" t="inlineStr">
        <is>
          <t>Not individually decided</t>
        </is>
      </c>
      <c r="H1007" s="34" t="inlineStr">
        <is>
          <t xml:space="preserve">APPROVED / ONE_TO_ONE; </t>
        </is>
      </c>
      <c r="I1007" s="34" t="inlineStr">
        <is>
          <t>New</t>
        </is>
      </c>
      <c r="J1007" s="92" t="inlineStr">
        <is>
          <t>08 CROSSWALK</t>
        </is>
      </c>
    </row>
    <row r="1008" ht="49" customHeight="1">
      <c r="A1008" s="34" t="inlineStr">
        <is>
          <t>R615-v1</t>
        </is>
      </c>
      <c r="B1008" s="34" t="inlineStr">
        <is>
          <t>Contractor Programme / SCH-04-075</t>
        </is>
      </c>
      <c r="C1008" s="34" t="inlineStr">
        <is>
          <t>WBS Code = 1.4.2</t>
        </is>
      </c>
      <c r="D1008" s="34" t="inlineStr">
        <is>
          <t>Proposed by Source assignment; target 1.4.2 Vehicles and Depot - Depot Buildings</t>
        </is>
      </c>
      <c r="E1008" s="34" t="inlineStr">
        <is>
          <t>None recorded</t>
        </is>
      </c>
      <c r="F1008" s="34" t="inlineStr">
        <is>
          <t>No individual professional decision recorded; Source assignment -- not individually reviewed</t>
        </is>
      </c>
      <c r="G1008" s="34" t="inlineStr">
        <is>
          <t>Not individually decided</t>
        </is>
      </c>
      <c r="H1008" s="34" t="inlineStr">
        <is>
          <t xml:space="preserve">APPROVED / ONE_TO_ONE; </t>
        </is>
      </c>
      <c r="I1008" s="34" t="inlineStr">
        <is>
          <t>New</t>
        </is>
      </c>
      <c r="J1008" s="92" t="inlineStr">
        <is>
          <t>08 CROSSWALK</t>
        </is>
      </c>
    </row>
    <row r="1009" ht="49" customHeight="1">
      <c r="A1009" s="34" t="inlineStr">
        <is>
          <t>R618-v1</t>
        </is>
      </c>
      <c r="B1009" s="34" t="inlineStr">
        <is>
          <t>Contractor Programme / SCH-04-078</t>
        </is>
      </c>
      <c r="C1009" s="34" t="inlineStr">
        <is>
          <t>WBS Code = 1.4.2</t>
        </is>
      </c>
      <c r="D1009" s="34" t="inlineStr">
        <is>
          <t>Proposed by Source assignment; target 1.4.2 Vehicles and Depot - Depot Buildings</t>
        </is>
      </c>
      <c r="E1009" s="34" t="inlineStr">
        <is>
          <t>None recorded</t>
        </is>
      </c>
      <c r="F1009" s="34" t="inlineStr">
        <is>
          <t>No individual professional decision recorded; Source assignment -- not individually reviewed</t>
        </is>
      </c>
      <c r="G1009" s="34" t="inlineStr">
        <is>
          <t>Not individually decided</t>
        </is>
      </c>
      <c r="H1009" s="34" t="inlineStr">
        <is>
          <t xml:space="preserve">APPROVED / ONE_TO_ONE; </t>
        </is>
      </c>
      <c r="I1009" s="34" t="inlineStr">
        <is>
          <t>New</t>
        </is>
      </c>
      <c r="J1009" s="92" t="inlineStr">
        <is>
          <t>08 CROSSWALK</t>
        </is>
      </c>
    </row>
    <row r="1010" ht="49" customHeight="1">
      <c r="A1010" s="34" t="inlineStr">
        <is>
          <t>R621-v1</t>
        </is>
      </c>
      <c r="B1010" s="34" t="inlineStr">
        <is>
          <t>Contractor Programme / SCH-04-081</t>
        </is>
      </c>
      <c r="C1010" s="34" t="inlineStr">
        <is>
          <t>WBS Code = 1.4.2</t>
        </is>
      </c>
      <c r="D1010" s="34" t="inlineStr">
        <is>
          <t>Proposed by Source assignment; target 1.4.2 Vehicles and Depot - Depot Buildings</t>
        </is>
      </c>
      <c r="E1010" s="34" t="inlineStr">
        <is>
          <t>None recorded</t>
        </is>
      </c>
      <c r="F1010" s="34" t="inlineStr">
        <is>
          <t>No individual professional decision recorded; Source assignment -- not individually reviewed</t>
        </is>
      </c>
      <c r="G1010" s="34" t="inlineStr">
        <is>
          <t>Not individually decided</t>
        </is>
      </c>
      <c r="H1010" s="34" t="inlineStr">
        <is>
          <t xml:space="preserve">APPROVED / ONE_TO_ONE; </t>
        </is>
      </c>
      <c r="I1010" s="34" t="inlineStr">
        <is>
          <t>New</t>
        </is>
      </c>
      <c r="J1010" s="92" t="inlineStr">
        <is>
          <t>08 CROSSWALK</t>
        </is>
      </c>
    </row>
    <row r="1011" ht="49" customHeight="1">
      <c r="A1011" s="34" t="inlineStr">
        <is>
          <t>R624-v1</t>
        </is>
      </c>
      <c r="B1011" s="34" t="inlineStr">
        <is>
          <t>Contractor Programme / SCH-04-084</t>
        </is>
      </c>
      <c r="C1011" s="34" t="inlineStr">
        <is>
          <t>WBS Code = 1.4.2</t>
        </is>
      </c>
      <c r="D1011" s="34" t="inlineStr">
        <is>
          <t>Proposed by Source assignment; target 1.4.2 Vehicles and Depot - Depot Buildings</t>
        </is>
      </c>
      <c r="E1011" s="34" t="inlineStr">
        <is>
          <t>None recorded</t>
        </is>
      </c>
      <c r="F1011" s="34" t="inlineStr">
        <is>
          <t>No individual professional decision recorded; Source assignment -- not individually reviewed</t>
        </is>
      </c>
      <c r="G1011" s="34" t="inlineStr">
        <is>
          <t>Not individually decided</t>
        </is>
      </c>
      <c r="H1011" s="34" t="inlineStr">
        <is>
          <t xml:space="preserve">APPROVED / ONE_TO_ONE; </t>
        </is>
      </c>
      <c r="I1011" s="34" t="inlineStr">
        <is>
          <t>New</t>
        </is>
      </c>
      <c r="J1011" s="92" t="inlineStr">
        <is>
          <t>08 CROSSWALK</t>
        </is>
      </c>
    </row>
    <row r="1012" ht="49" customHeight="1">
      <c r="A1012" s="34" t="inlineStr">
        <is>
          <t>R627-v1</t>
        </is>
      </c>
      <c r="B1012" s="34" t="inlineStr">
        <is>
          <t>Contractor Programme / SCH-04-087</t>
        </is>
      </c>
      <c r="C1012" s="34" t="inlineStr">
        <is>
          <t>WBS Code = 1.4.2</t>
        </is>
      </c>
      <c r="D1012" s="34" t="inlineStr">
        <is>
          <t>Proposed by Source assignment; target 1.4.2 Vehicles and Depot - Depot Buildings</t>
        </is>
      </c>
      <c r="E1012" s="34" t="inlineStr">
        <is>
          <t>None recorded</t>
        </is>
      </c>
      <c r="F1012" s="34" t="inlineStr">
        <is>
          <t>No individual professional decision recorded; Source assignment -- not individually reviewed</t>
        </is>
      </c>
      <c r="G1012" s="34" t="inlineStr">
        <is>
          <t>Not individually decided</t>
        </is>
      </c>
      <c r="H1012" s="34" t="inlineStr">
        <is>
          <t xml:space="preserve">APPROVED / ONE_TO_ONE; </t>
        </is>
      </c>
      <c r="I1012" s="34" t="inlineStr">
        <is>
          <t>New</t>
        </is>
      </c>
      <c r="J1012" s="92" t="inlineStr">
        <is>
          <t>08 CROSSWALK</t>
        </is>
      </c>
    </row>
    <row r="1013" ht="49" customHeight="1">
      <c r="A1013" s="34" t="inlineStr">
        <is>
          <t>R630-v1</t>
        </is>
      </c>
      <c r="B1013" s="34" t="inlineStr">
        <is>
          <t>Contractor Programme / SCH-04-090</t>
        </is>
      </c>
      <c r="C1013" s="34" t="inlineStr">
        <is>
          <t>WBS Code = 1.4.2</t>
        </is>
      </c>
      <c r="D1013" s="34" t="inlineStr">
        <is>
          <t>Proposed by Source assignment; target 1.4.2 Vehicles and Depot - Depot Buildings</t>
        </is>
      </c>
      <c r="E1013" s="34" t="inlineStr">
        <is>
          <t>None recorded</t>
        </is>
      </c>
      <c r="F1013" s="34" t="inlineStr">
        <is>
          <t>No individual professional decision recorded; Source assignment -- not individually reviewed</t>
        </is>
      </c>
      <c r="G1013" s="34" t="inlineStr">
        <is>
          <t>Not individually decided</t>
        </is>
      </c>
      <c r="H1013" s="34" t="inlineStr">
        <is>
          <t xml:space="preserve">APPROVED / ONE_TO_ONE; </t>
        </is>
      </c>
      <c r="I1013" s="34" t="inlineStr">
        <is>
          <t>New</t>
        </is>
      </c>
      <c r="J1013" s="92" t="inlineStr">
        <is>
          <t>08 CROSSWALK</t>
        </is>
      </c>
    </row>
    <row r="1014" ht="49" customHeight="1">
      <c r="A1014" s="34" t="inlineStr">
        <is>
          <t>R633-v1</t>
        </is>
      </c>
      <c r="B1014" s="34" t="inlineStr">
        <is>
          <t>Contractor Programme / SCH-04-093</t>
        </is>
      </c>
      <c r="C1014" s="34" t="inlineStr">
        <is>
          <t>WBS Code = 1.4.2</t>
        </is>
      </c>
      <c r="D1014" s="34" t="inlineStr">
        <is>
          <t>Proposed by Source assignment; target 1.4.2 Vehicles and Depot - Depot Buildings</t>
        </is>
      </c>
      <c r="E1014" s="34" t="inlineStr">
        <is>
          <t>None recorded</t>
        </is>
      </c>
      <c r="F1014" s="34" t="inlineStr">
        <is>
          <t>No individual professional decision recorded; Source assignment -- not individually reviewed</t>
        </is>
      </c>
      <c r="G1014" s="34" t="inlineStr">
        <is>
          <t>Not individually decided</t>
        </is>
      </c>
      <c r="H1014" s="34" t="inlineStr">
        <is>
          <t xml:space="preserve">APPROVED / ONE_TO_ONE; </t>
        </is>
      </c>
      <c r="I1014" s="34" t="inlineStr">
        <is>
          <t>New</t>
        </is>
      </c>
      <c r="J1014" s="92" t="inlineStr">
        <is>
          <t>08 CROSSWALK</t>
        </is>
      </c>
    </row>
    <row r="1015" ht="49" customHeight="1">
      <c r="A1015" s="34" t="inlineStr">
        <is>
          <t>R636-v1</t>
        </is>
      </c>
      <c r="B1015" s="34" t="inlineStr">
        <is>
          <t>Contractor Programme / SCH-04-096</t>
        </is>
      </c>
      <c r="C1015" s="34" t="inlineStr">
        <is>
          <t>WBS Code = 1.4.2</t>
        </is>
      </c>
      <c r="D1015" s="34" t="inlineStr">
        <is>
          <t>Proposed by Source assignment; target 1.4.2 Vehicles and Depot - Depot Buildings</t>
        </is>
      </c>
      <c r="E1015" s="34" t="inlineStr">
        <is>
          <t>None recorded</t>
        </is>
      </c>
      <c r="F1015" s="34" t="inlineStr">
        <is>
          <t>No individual professional decision recorded; Source assignment -- not individually reviewed</t>
        </is>
      </c>
      <c r="G1015" s="34" t="inlineStr">
        <is>
          <t>Not individually decided</t>
        </is>
      </c>
      <c r="H1015" s="34" t="inlineStr">
        <is>
          <t xml:space="preserve">APPROVED / ONE_TO_ONE; </t>
        </is>
      </c>
      <c r="I1015" s="34" t="inlineStr">
        <is>
          <t>New</t>
        </is>
      </c>
      <c r="J1015" s="92" t="inlineStr">
        <is>
          <t>08 CROSSWALK</t>
        </is>
      </c>
    </row>
    <row r="1016" ht="49" customHeight="1">
      <c r="A1016" s="34" t="inlineStr">
        <is>
          <t>R639-v1</t>
        </is>
      </c>
      <c r="B1016" s="34" t="inlineStr">
        <is>
          <t>Contractor Programme / SCH-04-099</t>
        </is>
      </c>
      <c r="C1016" s="34" t="inlineStr">
        <is>
          <t>WBS Code = 1.4.2</t>
        </is>
      </c>
      <c r="D1016" s="34" t="inlineStr">
        <is>
          <t>Proposed by Source assignment; target 1.4.2 Vehicles and Depot - Depot Buildings</t>
        </is>
      </c>
      <c r="E1016" s="34" t="inlineStr">
        <is>
          <t>None recorded</t>
        </is>
      </c>
      <c r="F1016" s="34" t="inlineStr">
        <is>
          <t>No individual professional decision recorded; Source assignment -- not individually reviewed</t>
        </is>
      </c>
      <c r="G1016" s="34" t="inlineStr">
        <is>
          <t>Not individually decided</t>
        </is>
      </c>
      <c r="H1016" s="34" t="inlineStr">
        <is>
          <t xml:space="preserve">APPROVED / ONE_TO_ONE; </t>
        </is>
      </c>
      <c r="I1016" s="34" t="inlineStr">
        <is>
          <t>New</t>
        </is>
      </c>
      <c r="J1016" s="92" t="inlineStr">
        <is>
          <t>08 CROSSWALK</t>
        </is>
      </c>
    </row>
    <row r="1017" ht="49" customHeight="1">
      <c r="A1017" s="34" t="inlineStr">
        <is>
          <t>R642-v1</t>
        </is>
      </c>
      <c r="B1017" s="34" t="inlineStr">
        <is>
          <t>Contractor Programme / SCH-04-102</t>
        </is>
      </c>
      <c r="C1017" s="34" t="inlineStr">
        <is>
          <t>WBS Code = 1.4.2</t>
        </is>
      </c>
      <c r="D1017" s="34" t="inlineStr">
        <is>
          <t>Proposed by Source assignment; target 1.4.2 Vehicles and Depot - Depot Buildings</t>
        </is>
      </c>
      <c r="E1017" s="34" t="inlineStr">
        <is>
          <t>None recorded</t>
        </is>
      </c>
      <c r="F1017" s="34" t="inlineStr">
        <is>
          <t>No individual professional decision recorded; Source assignment -- not individually reviewed</t>
        </is>
      </c>
      <c r="G1017" s="34" t="inlineStr">
        <is>
          <t>Not individually decided</t>
        </is>
      </c>
      <c r="H1017" s="34" t="inlineStr">
        <is>
          <t xml:space="preserve">APPROVED / ONE_TO_ONE; </t>
        </is>
      </c>
      <c r="I1017" s="34" t="inlineStr">
        <is>
          <t>New</t>
        </is>
      </c>
      <c r="J1017" s="92" t="inlineStr">
        <is>
          <t>08 CROSSWALK</t>
        </is>
      </c>
    </row>
    <row r="1018" ht="49" customHeight="1">
      <c r="A1018" s="34" t="inlineStr">
        <is>
          <t>R645-v1</t>
        </is>
      </c>
      <c r="B1018" s="34" t="inlineStr">
        <is>
          <t>Contractor Programme / SCH-04-105</t>
        </is>
      </c>
      <c r="C1018" s="34" t="inlineStr">
        <is>
          <t>WBS Code = 1.4.2</t>
        </is>
      </c>
      <c r="D1018" s="34" t="inlineStr">
        <is>
          <t>Proposed by Source assignment; target 1.4.2 Vehicles and Depot - Depot Buildings</t>
        </is>
      </c>
      <c r="E1018" s="34" t="inlineStr">
        <is>
          <t>None recorded</t>
        </is>
      </c>
      <c r="F1018" s="34" t="inlineStr">
        <is>
          <t>No individual professional decision recorded; Source assignment -- not individually reviewed</t>
        </is>
      </c>
      <c r="G1018" s="34" t="inlineStr">
        <is>
          <t>Not individually decided</t>
        </is>
      </c>
      <c r="H1018" s="34" t="inlineStr">
        <is>
          <t xml:space="preserve">APPROVED / ONE_TO_ONE; </t>
        </is>
      </c>
      <c r="I1018" s="34" t="inlineStr">
        <is>
          <t>New</t>
        </is>
      </c>
      <c r="J1018" s="92" t="inlineStr">
        <is>
          <t>08 CROSSWALK</t>
        </is>
      </c>
    </row>
    <row r="1019" ht="49" customHeight="1">
      <c r="A1019" s="34" t="inlineStr">
        <is>
          <t>R648-v1</t>
        </is>
      </c>
      <c r="B1019" s="34" t="inlineStr">
        <is>
          <t>Contractor Programme / SCH-04-108</t>
        </is>
      </c>
      <c r="C1019" s="34" t="inlineStr">
        <is>
          <t>WBS Code = 1.4.2</t>
        </is>
      </c>
      <c r="D1019" s="34" t="inlineStr">
        <is>
          <t>Proposed by Source assignment; target 1.4.2 Vehicles and Depot - Depot Buildings</t>
        </is>
      </c>
      <c r="E1019" s="34" t="inlineStr">
        <is>
          <t>None recorded</t>
        </is>
      </c>
      <c r="F1019" s="34" t="inlineStr">
        <is>
          <t>No individual professional decision recorded; Source assignment -- not individually reviewed</t>
        </is>
      </c>
      <c r="G1019" s="34" t="inlineStr">
        <is>
          <t>Not individually decided</t>
        </is>
      </c>
      <c r="H1019" s="34" t="inlineStr">
        <is>
          <t xml:space="preserve">APPROVED / ONE_TO_ONE; </t>
        </is>
      </c>
      <c r="I1019" s="34" t="inlineStr">
        <is>
          <t>New</t>
        </is>
      </c>
      <c r="J1019" s="92" t="inlineStr">
        <is>
          <t>08 CROSSWALK</t>
        </is>
      </c>
    </row>
    <row r="1020" ht="49" customHeight="1">
      <c r="A1020" s="34" t="inlineStr">
        <is>
          <t>R651-v1</t>
        </is>
      </c>
      <c r="B1020" s="34" t="inlineStr">
        <is>
          <t>Contractor Programme / SCH-04-111</t>
        </is>
      </c>
      <c r="C1020" s="34" t="inlineStr">
        <is>
          <t>WBS Code = 1.4.2</t>
        </is>
      </c>
      <c r="D1020" s="34" t="inlineStr">
        <is>
          <t>Proposed by Source assignment; target 1.4.2 Vehicles and Depot - Depot Buildings</t>
        </is>
      </c>
      <c r="E1020" s="34" t="inlineStr">
        <is>
          <t>None recorded</t>
        </is>
      </c>
      <c r="F1020" s="34" t="inlineStr">
        <is>
          <t>No individual professional decision recorded; Source assignment -- not individually reviewed</t>
        </is>
      </c>
      <c r="G1020" s="34" t="inlineStr">
        <is>
          <t>Not individually decided</t>
        </is>
      </c>
      <c r="H1020" s="34" t="inlineStr">
        <is>
          <t xml:space="preserve">APPROVED / ONE_TO_ONE; </t>
        </is>
      </c>
      <c r="I1020" s="34" t="inlineStr">
        <is>
          <t>New</t>
        </is>
      </c>
      <c r="J1020" s="92" t="inlineStr">
        <is>
          <t>08 CROSSWALK</t>
        </is>
      </c>
    </row>
    <row r="1021" ht="49" customHeight="1">
      <c r="A1021" s="34" t="inlineStr">
        <is>
          <t>R654-v1</t>
        </is>
      </c>
      <c r="B1021" s="34" t="inlineStr">
        <is>
          <t>Contractor Programme / SCH-04-114</t>
        </is>
      </c>
      <c r="C1021" s="34" t="inlineStr">
        <is>
          <t>WBS Code = 1.4.2</t>
        </is>
      </c>
      <c r="D1021" s="34" t="inlineStr">
        <is>
          <t>Proposed by Source assignment; target 1.4.2 Vehicles and Depot - Depot Buildings</t>
        </is>
      </c>
      <c r="E1021" s="34" t="inlineStr">
        <is>
          <t>None recorded</t>
        </is>
      </c>
      <c r="F1021" s="34" t="inlineStr">
        <is>
          <t>No individual professional decision recorded; Source assignment -- not individually reviewed</t>
        </is>
      </c>
      <c r="G1021" s="34" t="inlineStr">
        <is>
          <t>Not individually decided</t>
        </is>
      </c>
      <c r="H1021" s="34" t="inlineStr">
        <is>
          <t xml:space="preserve">APPROVED / ONE_TO_ONE; </t>
        </is>
      </c>
      <c r="I1021" s="34" t="inlineStr">
        <is>
          <t>New</t>
        </is>
      </c>
      <c r="J1021" s="92" t="inlineStr">
        <is>
          <t>08 CROSSWALK</t>
        </is>
      </c>
    </row>
    <row r="1022" ht="49" customHeight="1">
      <c r="A1022" s="34" t="inlineStr">
        <is>
          <t>R657-v1</t>
        </is>
      </c>
      <c r="B1022" s="34" t="inlineStr">
        <is>
          <t>Contractor Programme / SCH-04-117</t>
        </is>
      </c>
      <c r="C1022" s="34" t="inlineStr">
        <is>
          <t>WBS Code = 1.4.2</t>
        </is>
      </c>
      <c r="D1022" s="34" t="inlineStr">
        <is>
          <t>Proposed by Source assignment; target 1.4.2 Vehicles and Depot - Depot Buildings</t>
        </is>
      </c>
      <c r="E1022" s="34" t="inlineStr">
        <is>
          <t>None recorded</t>
        </is>
      </c>
      <c r="F1022" s="34" t="inlineStr">
        <is>
          <t>No individual professional decision recorded; Source assignment -- not individually reviewed</t>
        </is>
      </c>
      <c r="G1022" s="34" t="inlineStr">
        <is>
          <t>Not individually decided</t>
        </is>
      </c>
      <c r="H1022" s="34" t="inlineStr">
        <is>
          <t xml:space="preserve">APPROVED / ONE_TO_ONE; </t>
        </is>
      </c>
      <c r="I1022" s="34" t="inlineStr">
        <is>
          <t>New</t>
        </is>
      </c>
      <c r="J1022" s="92" t="inlineStr">
        <is>
          <t>08 CROSSWALK</t>
        </is>
      </c>
    </row>
    <row r="1023" ht="49" customHeight="1">
      <c r="A1023" s="34" t="inlineStr">
        <is>
          <t>R660-v1</t>
        </is>
      </c>
      <c r="B1023" s="34" t="inlineStr">
        <is>
          <t>Contractor Programme / SCH-04-120</t>
        </is>
      </c>
      <c r="C1023" s="34" t="inlineStr">
        <is>
          <t>WBS Code = 1.4.2</t>
        </is>
      </c>
      <c r="D1023" s="34" t="inlineStr">
        <is>
          <t>Proposed by Source assignment; target 1.4.2 Vehicles and Depot - Depot Buildings</t>
        </is>
      </c>
      <c r="E1023" s="34" t="inlineStr">
        <is>
          <t>None recorded</t>
        </is>
      </c>
      <c r="F1023" s="34" t="inlineStr">
        <is>
          <t>No individual professional decision recorded; Source assignment -- not individually reviewed</t>
        </is>
      </c>
      <c r="G1023" s="34" t="inlineStr">
        <is>
          <t>Not individually decided</t>
        </is>
      </c>
      <c r="H1023" s="34" t="inlineStr">
        <is>
          <t xml:space="preserve">APPROVED / ONE_TO_ONE; </t>
        </is>
      </c>
      <c r="I1023" s="34" t="inlineStr">
        <is>
          <t>New</t>
        </is>
      </c>
      <c r="J1023" s="92" t="inlineStr">
        <is>
          <t>08 CROSSWALK</t>
        </is>
      </c>
    </row>
    <row r="1024" ht="49" customHeight="1">
      <c r="A1024" s="34" t="inlineStr">
        <is>
          <t>R663-v1</t>
        </is>
      </c>
      <c r="B1024" s="34" t="inlineStr">
        <is>
          <t>Contractor Programme / SCH-04-123</t>
        </is>
      </c>
      <c r="C1024" s="34" t="inlineStr">
        <is>
          <t>WBS Code = 1.4.2</t>
        </is>
      </c>
      <c r="D1024" s="34" t="inlineStr">
        <is>
          <t>Proposed by Source assignment; target 1.4.2 Vehicles and Depot - Depot Buildings</t>
        </is>
      </c>
      <c r="E1024" s="34" t="inlineStr">
        <is>
          <t>None recorded</t>
        </is>
      </c>
      <c r="F1024" s="34" t="inlineStr">
        <is>
          <t>No individual professional decision recorded; Source assignment -- not individually reviewed</t>
        </is>
      </c>
      <c r="G1024" s="34" t="inlineStr">
        <is>
          <t>Not individually decided</t>
        </is>
      </c>
      <c r="H1024" s="34" t="inlineStr">
        <is>
          <t xml:space="preserve">APPROVED / ONE_TO_ONE; </t>
        </is>
      </c>
      <c r="I1024" s="34" t="inlineStr">
        <is>
          <t>New</t>
        </is>
      </c>
      <c r="J1024" s="92" t="inlineStr">
        <is>
          <t>08 CROSSWALK</t>
        </is>
      </c>
    </row>
    <row r="1025" ht="49" customHeight="1">
      <c r="A1025" s="34" t="inlineStr">
        <is>
          <t>R666-v1</t>
        </is>
      </c>
      <c r="B1025" s="34" t="inlineStr">
        <is>
          <t>Contractor Programme / SCH-04-126</t>
        </is>
      </c>
      <c r="C1025" s="34" t="inlineStr">
        <is>
          <t>WBS Code = 1.4.2</t>
        </is>
      </c>
      <c r="D1025" s="34" t="inlineStr">
        <is>
          <t>Proposed by Source assignment; target 1.4.2 Vehicles and Depot - Depot Buildings</t>
        </is>
      </c>
      <c r="E1025" s="34" t="inlineStr">
        <is>
          <t>None recorded</t>
        </is>
      </c>
      <c r="F1025" s="34" t="inlineStr">
        <is>
          <t>No individual professional decision recorded; Source assignment -- not individually reviewed</t>
        </is>
      </c>
      <c r="G1025" s="34" t="inlineStr">
        <is>
          <t>Not individually decided</t>
        </is>
      </c>
      <c r="H1025" s="34" t="inlineStr">
        <is>
          <t xml:space="preserve">APPROVED / ONE_TO_ONE; </t>
        </is>
      </c>
      <c r="I1025" s="34" t="inlineStr">
        <is>
          <t>New</t>
        </is>
      </c>
      <c r="J1025" s="92" t="inlineStr">
        <is>
          <t>08 CROSSWALK</t>
        </is>
      </c>
    </row>
    <row r="1026" ht="49" customHeight="1">
      <c r="A1026" s="34" t="inlineStr">
        <is>
          <t>R669-v1</t>
        </is>
      </c>
      <c r="B1026" s="34" t="inlineStr">
        <is>
          <t>Contractor Programme / SCH-04-129</t>
        </is>
      </c>
      <c r="C1026" s="34" t="inlineStr">
        <is>
          <t>WBS Code = 1.4.2</t>
        </is>
      </c>
      <c r="D1026" s="34" t="inlineStr">
        <is>
          <t>Proposed by Source assignment; target 1.4.2 Vehicles and Depot - Depot Buildings</t>
        </is>
      </c>
      <c r="E1026" s="34" t="inlineStr">
        <is>
          <t>None recorded</t>
        </is>
      </c>
      <c r="F1026" s="34" t="inlineStr">
        <is>
          <t>No individual professional decision recorded; Source assignment -- not individually reviewed</t>
        </is>
      </c>
      <c r="G1026" s="34" t="inlineStr">
        <is>
          <t>Not individually decided</t>
        </is>
      </c>
      <c r="H1026" s="34" t="inlineStr">
        <is>
          <t xml:space="preserve">APPROVED / ONE_TO_ONE; </t>
        </is>
      </c>
      <c r="I1026" s="34" t="inlineStr">
        <is>
          <t>New</t>
        </is>
      </c>
      <c r="J1026" s="92" t="inlineStr">
        <is>
          <t>08 CROSSWALK</t>
        </is>
      </c>
    </row>
    <row r="1027" ht="49" customHeight="1">
      <c r="A1027" s="34" t="inlineStr">
        <is>
          <t>R672-v1</t>
        </is>
      </c>
      <c r="B1027" s="34" t="inlineStr">
        <is>
          <t>Contractor Programme / SCH-04-132</t>
        </is>
      </c>
      <c r="C1027" s="34" t="inlineStr">
        <is>
          <t>WBS Code = 1.4.2</t>
        </is>
      </c>
      <c r="D1027" s="34" t="inlineStr">
        <is>
          <t>Proposed by Source assignment; target 1.4.2 Vehicles and Depot - Depot Buildings</t>
        </is>
      </c>
      <c r="E1027" s="34" t="inlineStr">
        <is>
          <t>None recorded</t>
        </is>
      </c>
      <c r="F1027" s="34" t="inlineStr">
        <is>
          <t>No individual professional decision recorded; Source assignment -- not individually reviewed</t>
        </is>
      </c>
      <c r="G1027" s="34" t="inlineStr">
        <is>
          <t>Not individually decided</t>
        </is>
      </c>
      <c r="H1027" s="34" t="inlineStr">
        <is>
          <t xml:space="preserve">APPROVED / ONE_TO_ONE; </t>
        </is>
      </c>
      <c r="I1027" s="34" t="inlineStr">
        <is>
          <t>New</t>
        </is>
      </c>
      <c r="J1027" s="92" t="inlineStr">
        <is>
          <t>08 CROSSWALK</t>
        </is>
      </c>
    </row>
    <row r="1028" ht="49" customHeight="1">
      <c r="A1028" s="34" t="inlineStr">
        <is>
          <t>R675-v1</t>
        </is>
      </c>
      <c r="B1028" s="34" t="inlineStr">
        <is>
          <t>Contractor Programme / SCH-04-135</t>
        </is>
      </c>
      <c r="C1028" s="34" t="inlineStr">
        <is>
          <t>WBS Code = 1.4.2</t>
        </is>
      </c>
      <c r="D1028" s="34" t="inlineStr">
        <is>
          <t>Proposed by Source assignment; target 1.4.2 Vehicles and Depot - Depot Buildings</t>
        </is>
      </c>
      <c r="E1028" s="34" t="inlineStr">
        <is>
          <t>None recorded</t>
        </is>
      </c>
      <c r="F1028" s="34" t="inlineStr">
        <is>
          <t>No individual professional decision recorded; Source assignment -- not individually reviewed</t>
        </is>
      </c>
      <c r="G1028" s="34" t="inlineStr">
        <is>
          <t>Not individually decided</t>
        </is>
      </c>
      <c r="H1028" s="34" t="inlineStr">
        <is>
          <t xml:space="preserve">APPROVED / ONE_TO_ONE; </t>
        </is>
      </c>
      <c r="I1028" s="34" t="inlineStr">
        <is>
          <t>New</t>
        </is>
      </c>
      <c r="J1028" s="92" t="inlineStr">
        <is>
          <t>08 CROSSWALK</t>
        </is>
      </c>
    </row>
    <row r="1029" ht="49" customHeight="1">
      <c r="A1029" s="34" t="inlineStr">
        <is>
          <t>R678-v1</t>
        </is>
      </c>
      <c r="B1029" s="34" t="inlineStr">
        <is>
          <t>Contractor Programme / SCH-04-138</t>
        </is>
      </c>
      <c r="C1029" s="34" t="inlineStr">
        <is>
          <t>WBS Code = 1.4.2</t>
        </is>
      </c>
      <c r="D1029" s="34" t="inlineStr">
        <is>
          <t>Proposed by Source assignment; target 1.4.2 Vehicles and Depot - Depot Buildings</t>
        </is>
      </c>
      <c r="E1029" s="34" t="inlineStr">
        <is>
          <t>None recorded</t>
        </is>
      </c>
      <c r="F1029" s="34" t="inlineStr">
        <is>
          <t>No individual professional decision recorded; Source assignment -- not individually reviewed</t>
        </is>
      </c>
      <c r="G1029" s="34" t="inlineStr">
        <is>
          <t>Not individually decided</t>
        </is>
      </c>
      <c r="H1029" s="34" t="inlineStr">
        <is>
          <t xml:space="preserve">APPROVED / ONE_TO_ONE; </t>
        </is>
      </c>
      <c r="I1029" s="34" t="inlineStr">
        <is>
          <t>New</t>
        </is>
      </c>
      <c r="J1029" s="92" t="inlineStr">
        <is>
          <t>08 CROSSWALK</t>
        </is>
      </c>
    </row>
    <row r="1030" ht="49" customHeight="1">
      <c r="A1030" s="34" t="inlineStr">
        <is>
          <t>R681-v1</t>
        </is>
      </c>
      <c r="B1030" s="34" t="inlineStr">
        <is>
          <t>Contractor Programme / SCH-04-141</t>
        </is>
      </c>
      <c r="C1030" s="34" t="inlineStr">
        <is>
          <t>WBS Code = 1.4.2</t>
        </is>
      </c>
      <c r="D1030" s="34" t="inlineStr">
        <is>
          <t>Proposed by Source assignment; target 1.4.2 Vehicles and Depot - Depot Buildings</t>
        </is>
      </c>
      <c r="E1030" s="34" t="inlineStr">
        <is>
          <t>None recorded</t>
        </is>
      </c>
      <c r="F1030" s="34" t="inlineStr">
        <is>
          <t>No individual professional decision recorded; Source assignment -- not individually reviewed</t>
        </is>
      </c>
      <c r="G1030" s="34" t="inlineStr">
        <is>
          <t>Not individually decided</t>
        </is>
      </c>
      <c r="H1030" s="34" t="inlineStr">
        <is>
          <t xml:space="preserve">APPROVED / ONE_TO_ONE; </t>
        </is>
      </c>
      <c r="I1030" s="34" t="inlineStr">
        <is>
          <t>New</t>
        </is>
      </c>
      <c r="J1030" s="92" t="inlineStr">
        <is>
          <t>08 CROSSWALK</t>
        </is>
      </c>
    </row>
    <row r="1031" ht="49" customHeight="1">
      <c r="A1031" s="34" t="inlineStr">
        <is>
          <t>R684-v1</t>
        </is>
      </c>
      <c r="B1031" s="34" t="inlineStr">
        <is>
          <t>Contractor Programme / SCH-04-144</t>
        </is>
      </c>
      <c r="C1031" s="34" t="inlineStr">
        <is>
          <t>WBS Code = 1.4.2</t>
        </is>
      </c>
      <c r="D1031" s="34" t="inlineStr">
        <is>
          <t>Proposed by Source assignment; target 1.4.2 Vehicles and Depot - Depot Buildings</t>
        </is>
      </c>
      <c r="E1031" s="34" t="inlineStr">
        <is>
          <t>None recorded</t>
        </is>
      </c>
      <c r="F1031" s="34" t="inlineStr">
        <is>
          <t>No individual professional decision recorded; Source assignment -- not individually reviewed</t>
        </is>
      </c>
      <c r="G1031" s="34" t="inlineStr">
        <is>
          <t>Not individually decided</t>
        </is>
      </c>
      <c r="H1031" s="34" t="inlineStr">
        <is>
          <t xml:space="preserve">APPROVED / ONE_TO_ONE; </t>
        </is>
      </c>
      <c r="I1031" s="34" t="inlineStr">
        <is>
          <t>New</t>
        </is>
      </c>
      <c r="J1031" s="92" t="inlineStr">
        <is>
          <t>08 CROSSWALK</t>
        </is>
      </c>
    </row>
    <row r="1032" ht="49" customHeight="1">
      <c r="A1032" s="34" t="inlineStr">
        <is>
          <t>R687-v1</t>
        </is>
      </c>
      <c r="B1032" s="34" t="inlineStr">
        <is>
          <t>Contractor Programme / SCH-04-147</t>
        </is>
      </c>
      <c r="C1032" s="34" t="inlineStr">
        <is>
          <t>WBS Code = 1.4.2</t>
        </is>
      </c>
      <c r="D1032" s="34" t="inlineStr">
        <is>
          <t>Proposed by Source assignment; target 1.4.2 Vehicles and Depot - Depot Buildings</t>
        </is>
      </c>
      <c r="E1032" s="34" t="inlineStr">
        <is>
          <t>None recorded</t>
        </is>
      </c>
      <c r="F1032" s="34" t="inlineStr">
        <is>
          <t>No individual professional decision recorded; Source assignment -- not individually reviewed</t>
        </is>
      </c>
      <c r="G1032" s="34" t="inlineStr">
        <is>
          <t>Not individually decided</t>
        </is>
      </c>
      <c r="H1032" s="34" t="inlineStr">
        <is>
          <t xml:space="preserve">APPROVED / ONE_TO_ONE; </t>
        </is>
      </c>
      <c r="I1032" s="34" t="inlineStr">
        <is>
          <t>New</t>
        </is>
      </c>
      <c r="J1032" s="92" t="inlineStr">
        <is>
          <t>08 CROSSWALK</t>
        </is>
      </c>
    </row>
    <row r="1033" ht="49" customHeight="1">
      <c r="A1033" s="34" t="inlineStr">
        <is>
          <t>R690-v1</t>
        </is>
      </c>
      <c r="B1033" s="34" t="inlineStr">
        <is>
          <t>Contractor Programme / SCH-04-150</t>
        </is>
      </c>
      <c r="C1033" s="34" t="inlineStr">
        <is>
          <t>WBS Code = 1.4.2</t>
        </is>
      </c>
      <c r="D1033" s="34" t="inlineStr">
        <is>
          <t>Proposed by Source assignment; target 1.4.2 Vehicles and Depot - Depot Buildings</t>
        </is>
      </c>
      <c r="E1033" s="34" t="inlineStr">
        <is>
          <t>None recorded</t>
        </is>
      </c>
      <c r="F1033" s="34" t="inlineStr">
        <is>
          <t>No individual professional decision recorded; Source assignment -- not individually reviewed</t>
        </is>
      </c>
      <c r="G1033" s="34" t="inlineStr">
        <is>
          <t>Not individually decided</t>
        </is>
      </c>
      <c r="H1033" s="34" t="inlineStr">
        <is>
          <t xml:space="preserve">APPROVED / ONE_TO_ONE; </t>
        </is>
      </c>
      <c r="I1033" s="34" t="inlineStr">
        <is>
          <t>New</t>
        </is>
      </c>
      <c r="J1033" s="92" t="inlineStr">
        <is>
          <t>08 CROSSWALK</t>
        </is>
      </c>
    </row>
    <row r="1034" ht="49" customHeight="1">
      <c r="A1034" s="34" t="inlineStr">
        <is>
          <t>R693-v1</t>
        </is>
      </c>
      <c r="B1034" s="34" t="inlineStr">
        <is>
          <t>Contractor Programme / SCH-04-153</t>
        </is>
      </c>
      <c r="C1034" s="34" t="inlineStr">
        <is>
          <t>WBS Code = 1.4.2</t>
        </is>
      </c>
      <c r="D1034" s="34" t="inlineStr">
        <is>
          <t>Proposed by Source assignment; target 1.4.2 Vehicles and Depot - Depot Buildings</t>
        </is>
      </c>
      <c r="E1034" s="34" t="inlineStr">
        <is>
          <t>None recorded</t>
        </is>
      </c>
      <c r="F1034" s="34" t="inlineStr">
        <is>
          <t>No individual professional decision recorded; Source assignment -- not individually reviewed</t>
        </is>
      </c>
      <c r="G1034" s="34" t="inlineStr">
        <is>
          <t>Not individually decided</t>
        </is>
      </c>
      <c r="H1034" s="34" t="inlineStr">
        <is>
          <t xml:space="preserve">APPROVED / ONE_TO_ONE; </t>
        </is>
      </c>
      <c r="I1034" s="34" t="inlineStr">
        <is>
          <t>New</t>
        </is>
      </c>
      <c r="J1034" s="92" t="inlineStr">
        <is>
          <t>08 CROSSWALK</t>
        </is>
      </c>
    </row>
    <row r="1035" ht="49" customHeight="1">
      <c r="A1035" s="34" t="inlineStr">
        <is>
          <t>R696-v1</t>
        </is>
      </c>
      <c r="B1035" s="34" t="inlineStr">
        <is>
          <t>Contractor Programme / SCH-04-156</t>
        </is>
      </c>
      <c r="C1035" s="34" t="inlineStr">
        <is>
          <t>WBS Code = 1.4.2</t>
        </is>
      </c>
      <c r="D1035" s="34" t="inlineStr">
        <is>
          <t>Proposed by Source assignment; target 1.4.2 Vehicles and Depot - Depot Buildings</t>
        </is>
      </c>
      <c r="E1035" s="34" t="inlineStr">
        <is>
          <t>None recorded</t>
        </is>
      </c>
      <c r="F1035" s="34" t="inlineStr">
        <is>
          <t>No individual professional decision recorded; Source assignment -- not individually reviewed</t>
        </is>
      </c>
      <c r="G1035" s="34" t="inlineStr">
        <is>
          <t>Not individually decided</t>
        </is>
      </c>
      <c r="H1035" s="34" t="inlineStr">
        <is>
          <t xml:space="preserve">APPROVED / ONE_TO_ONE; </t>
        </is>
      </c>
      <c r="I1035" s="34" t="inlineStr">
        <is>
          <t>New</t>
        </is>
      </c>
      <c r="J1035" s="92" t="inlineStr">
        <is>
          <t>08 CROSSWALK</t>
        </is>
      </c>
    </row>
    <row r="1036" ht="49" customHeight="1">
      <c r="A1036" s="34" t="inlineStr">
        <is>
          <t>R699-v1</t>
        </is>
      </c>
      <c r="B1036" s="34" t="inlineStr">
        <is>
          <t>Contractor Programme / SCH-04-159</t>
        </is>
      </c>
      <c r="C1036" s="34" t="inlineStr">
        <is>
          <t>WBS Code = 1.4.2</t>
        </is>
      </c>
      <c r="D1036" s="34" t="inlineStr">
        <is>
          <t>Proposed by Source assignment; target 1.4.2 Vehicles and Depot - Depot Buildings</t>
        </is>
      </c>
      <c r="E1036" s="34" t="inlineStr">
        <is>
          <t>None recorded</t>
        </is>
      </c>
      <c r="F1036" s="34" t="inlineStr">
        <is>
          <t>No individual professional decision recorded; Source assignment -- not individually reviewed</t>
        </is>
      </c>
      <c r="G1036" s="34" t="inlineStr">
        <is>
          <t>Not individually decided</t>
        </is>
      </c>
      <c r="H1036" s="34" t="inlineStr">
        <is>
          <t xml:space="preserve">APPROVED / ONE_TO_ONE; </t>
        </is>
      </c>
      <c r="I1036" s="34" t="inlineStr">
        <is>
          <t>New</t>
        </is>
      </c>
      <c r="J1036" s="92" t="inlineStr">
        <is>
          <t>08 CROSSWALK</t>
        </is>
      </c>
    </row>
    <row r="1037" ht="49" customHeight="1">
      <c r="A1037" s="34" t="inlineStr">
        <is>
          <t>R702-v1</t>
        </is>
      </c>
      <c r="B1037" s="34" t="inlineStr">
        <is>
          <t>Contractor Programme / SCH-04-162</t>
        </is>
      </c>
      <c r="C1037" s="34" t="inlineStr">
        <is>
          <t>WBS Code = 1.4.2</t>
        </is>
      </c>
      <c r="D1037" s="34" t="inlineStr">
        <is>
          <t>Proposed by Source assignment; target 1.4.2 Vehicles and Depot - Depot Buildings</t>
        </is>
      </c>
      <c r="E1037" s="34" t="inlineStr">
        <is>
          <t>None recorded</t>
        </is>
      </c>
      <c r="F1037" s="34" t="inlineStr">
        <is>
          <t>No individual professional decision recorded; Source assignment -- not individually reviewed</t>
        </is>
      </c>
      <c r="G1037" s="34" t="inlineStr">
        <is>
          <t>Not individually decided</t>
        </is>
      </c>
      <c r="H1037" s="34" t="inlineStr">
        <is>
          <t xml:space="preserve">APPROVED / ONE_TO_ONE; </t>
        </is>
      </c>
      <c r="I1037" s="34" t="inlineStr">
        <is>
          <t>New</t>
        </is>
      </c>
      <c r="J1037" s="92" t="inlineStr">
        <is>
          <t>08 CROSSWALK</t>
        </is>
      </c>
    </row>
    <row r="1038" ht="49" customHeight="1">
      <c r="A1038" s="34" t="inlineStr">
        <is>
          <t>R705-v1</t>
        </is>
      </c>
      <c r="B1038" s="34" t="inlineStr">
        <is>
          <t>Contractor Programme / SCH-04-165</t>
        </is>
      </c>
      <c r="C1038" s="34" t="inlineStr">
        <is>
          <t>WBS Code = 1.4.2</t>
        </is>
      </c>
      <c r="D1038" s="34" t="inlineStr">
        <is>
          <t>Proposed by Source assignment; target 1.4.2 Vehicles and Depot - Depot Buildings</t>
        </is>
      </c>
      <c r="E1038" s="34" t="inlineStr">
        <is>
          <t>None recorded</t>
        </is>
      </c>
      <c r="F1038" s="34" t="inlineStr">
        <is>
          <t>No individual professional decision recorded; Source assignment -- not individually reviewed</t>
        </is>
      </c>
      <c r="G1038" s="34" t="inlineStr">
        <is>
          <t>Not individually decided</t>
        </is>
      </c>
      <c r="H1038" s="34" t="inlineStr">
        <is>
          <t xml:space="preserve">APPROVED / ONE_TO_ONE; </t>
        </is>
      </c>
      <c r="I1038" s="34" t="inlineStr">
        <is>
          <t>New</t>
        </is>
      </c>
      <c r="J1038" s="92" t="inlineStr">
        <is>
          <t>08 CROSSWALK</t>
        </is>
      </c>
    </row>
    <row r="1039" ht="49" customHeight="1">
      <c r="A1039" s="34" t="inlineStr">
        <is>
          <t>R708-v1</t>
        </is>
      </c>
      <c r="B1039" s="34" t="inlineStr">
        <is>
          <t>Contractor Programme / SCH-04-168</t>
        </is>
      </c>
      <c r="C1039" s="34" t="inlineStr">
        <is>
          <t>WBS Code = 1.4.2</t>
        </is>
      </c>
      <c r="D1039" s="34" t="inlineStr">
        <is>
          <t>Proposed by Source assignment; target 1.4.2 Vehicles and Depot - Depot Buildings</t>
        </is>
      </c>
      <c r="E1039" s="34" t="inlineStr">
        <is>
          <t>None recorded</t>
        </is>
      </c>
      <c r="F1039" s="34" t="inlineStr">
        <is>
          <t>No individual professional decision recorded; Source assignment -- not individually reviewed</t>
        </is>
      </c>
      <c r="G1039" s="34" t="inlineStr">
        <is>
          <t>Not individually decided</t>
        </is>
      </c>
      <c r="H1039" s="34" t="inlineStr">
        <is>
          <t xml:space="preserve">APPROVED / ONE_TO_ONE; </t>
        </is>
      </c>
      <c r="I1039" s="34" t="inlineStr">
        <is>
          <t>New</t>
        </is>
      </c>
      <c r="J1039" s="92" t="inlineStr">
        <is>
          <t>08 CROSSWALK</t>
        </is>
      </c>
    </row>
    <row r="1040" ht="49" customHeight="1">
      <c r="A1040" s="34" t="inlineStr">
        <is>
          <t>R711-v1</t>
        </is>
      </c>
      <c r="B1040" s="34" t="inlineStr">
        <is>
          <t>Contractor Programme / SCH-04-171</t>
        </is>
      </c>
      <c r="C1040" s="34" t="inlineStr">
        <is>
          <t>WBS Code = 1.4.2</t>
        </is>
      </c>
      <c r="D1040" s="34" t="inlineStr">
        <is>
          <t>Proposed by Source assignment; target 1.4.2 Vehicles and Depot - Depot Buildings</t>
        </is>
      </c>
      <c r="E1040" s="34" t="inlineStr">
        <is>
          <t>None recorded</t>
        </is>
      </c>
      <c r="F1040" s="34" t="inlineStr">
        <is>
          <t>No individual professional decision recorded; Source assignment -- not individually reviewed</t>
        </is>
      </c>
      <c r="G1040" s="34" t="inlineStr">
        <is>
          <t>Not individually decided</t>
        </is>
      </c>
      <c r="H1040" s="34" t="inlineStr">
        <is>
          <t xml:space="preserve">APPROVED / ONE_TO_ONE; </t>
        </is>
      </c>
      <c r="I1040" s="34" t="inlineStr">
        <is>
          <t>New</t>
        </is>
      </c>
      <c r="J1040" s="92" t="inlineStr">
        <is>
          <t>08 CROSSWALK</t>
        </is>
      </c>
    </row>
    <row r="1041" ht="49" customHeight="1">
      <c r="A1041" s="34" t="inlineStr">
        <is>
          <t>R714-v1</t>
        </is>
      </c>
      <c r="B1041" s="34" t="inlineStr">
        <is>
          <t>Contractor Programme / SCH-04-174</t>
        </is>
      </c>
      <c r="C1041" s="34" t="inlineStr">
        <is>
          <t>WBS Code = 1.4.2</t>
        </is>
      </c>
      <c r="D1041" s="34" t="inlineStr">
        <is>
          <t>Proposed by Source assignment; target 1.4.2 Vehicles and Depot - Depot Buildings</t>
        </is>
      </c>
      <c r="E1041" s="34" t="inlineStr">
        <is>
          <t>None recorded</t>
        </is>
      </c>
      <c r="F1041" s="34" t="inlineStr">
        <is>
          <t>No individual professional decision recorded; Source assignment -- not individually reviewed</t>
        </is>
      </c>
      <c r="G1041" s="34" t="inlineStr">
        <is>
          <t>Not individually decided</t>
        </is>
      </c>
      <c r="H1041" s="34" t="inlineStr">
        <is>
          <t xml:space="preserve">APPROVED / ONE_TO_ONE; </t>
        </is>
      </c>
      <c r="I1041" s="34" t="inlineStr">
        <is>
          <t>New</t>
        </is>
      </c>
      <c r="J1041" s="92" t="inlineStr">
        <is>
          <t>08 CROSSWALK</t>
        </is>
      </c>
    </row>
    <row r="1042" ht="49" customHeight="1">
      <c r="A1042" s="34" t="inlineStr">
        <is>
          <t>R717-v1</t>
        </is>
      </c>
      <c r="B1042" s="34" t="inlineStr">
        <is>
          <t>Contractor Programme / SCH-04-177</t>
        </is>
      </c>
      <c r="C1042" s="34" t="inlineStr">
        <is>
          <t>WBS Code = 1.4.2</t>
        </is>
      </c>
      <c r="D1042" s="34" t="inlineStr">
        <is>
          <t>Proposed by Source assignment; target 1.4.2 Vehicles and Depot - Depot Buildings</t>
        </is>
      </c>
      <c r="E1042" s="34" t="inlineStr">
        <is>
          <t>None recorded</t>
        </is>
      </c>
      <c r="F1042" s="34" t="inlineStr">
        <is>
          <t>No individual professional decision recorded; Source assignment -- not individually reviewed</t>
        </is>
      </c>
      <c r="G1042" s="34" t="inlineStr">
        <is>
          <t>Not individually decided</t>
        </is>
      </c>
      <c r="H1042" s="34" t="inlineStr">
        <is>
          <t xml:space="preserve">APPROVED / ONE_TO_ONE; </t>
        </is>
      </c>
      <c r="I1042" s="34" t="inlineStr">
        <is>
          <t>New</t>
        </is>
      </c>
      <c r="J1042" s="92" t="inlineStr">
        <is>
          <t>08 CROSSWALK</t>
        </is>
      </c>
    </row>
    <row r="1043" ht="49" customHeight="1">
      <c r="A1043" s="34" t="inlineStr">
        <is>
          <t>R720-v1</t>
        </is>
      </c>
      <c r="B1043" s="34" t="inlineStr">
        <is>
          <t>Contractor Programme / SCH-04-180</t>
        </is>
      </c>
      <c r="C1043" s="34" t="inlineStr">
        <is>
          <t>WBS Code = 1.4.2</t>
        </is>
      </c>
      <c r="D1043" s="34" t="inlineStr">
        <is>
          <t>Proposed by Source assignment; target 1.4.2 Vehicles and Depot - Depot Buildings</t>
        </is>
      </c>
      <c r="E1043" s="34" t="inlineStr">
        <is>
          <t>None recorded</t>
        </is>
      </c>
      <c r="F1043" s="34" t="inlineStr">
        <is>
          <t>No individual professional decision recorded; Source assignment -- not individually reviewed</t>
        </is>
      </c>
      <c r="G1043" s="34" t="inlineStr">
        <is>
          <t>Not individually decided</t>
        </is>
      </c>
      <c r="H1043" s="34" t="inlineStr">
        <is>
          <t xml:space="preserve">APPROVED / ONE_TO_ONE; </t>
        </is>
      </c>
      <c r="I1043" s="34" t="inlineStr">
        <is>
          <t>New</t>
        </is>
      </c>
      <c r="J1043" s="92" t="inlineStr">
        <is>
          <t>08 CROSSWALK</t>
        </is>
      </c>
    </row>
    <row r="1044" ht="49" customHeight="1">
      <c r="A1044" s="34" t="inlineStr">
        <is>
          <t>R1324-v1</t>
        </is>
      </c>
      <c r="B1044" s="34" t="inlineStr">
        <is>
          <t>Cost &amp; Forecast Control Accounts / CST-04-002</t>
        </is>
      </c>
      <c r="C1044" s="34" t="inlineStr">
        <is>
          <t>Cost Account = CA-4002; WBS Code = 1.4.2</t>
        </is>
      </c>
      <c r="D1044" s="34" t="inlineStr">
        <is>
          <t>Proposed by Source assignment; target 1.4.2 Vehicles and Depot - Depot Buildings</t>
        </is>
      </c>
      <c r="E1044" s="34" t="inlineStr">
        <is>
          <t>None recorded</t>
        </is>
      </c>
      <c r="F1044" s="34" t="inlineStr">
        <is>
          <t>No individual professional decision recorded; Source assignment -- not individually reviewed</t>
        </is>
      </c>
      <c r="G1044" s="34" t="inlineStr">
        <is>
          <t>Not individually decided</t>
        </is>
      </c>
      <c r="H1044" s="34" t="inlineStr">
        <is>
          <t xml:space="preserve">APPROVED / ONE_TO_ONE; </t>
        </is>
      </c>
      <c r="I1044" s="34" t="inlineStr">
        <is>
          <t>New</t>
        </is>
      </c>
      <c r="J1044" s="92" t="inlineStr">
        <is>
          <t>08 CROSSWALK</t>
        </is>
      </c>
    </row>
    <row r="1045" ht="49" customHeight="1">
      <c r="A1045" s="34" t="inlineStr">
        <is>
          <t>R1326-v1</t>
        </is>
      </c>
      <c r="B1045" s="34" t="inlineStr">
        <is>
          <t>Cost &amp; Forecast Control Accounts / CST-04-004</t>
        </is>
      </c>
      <c r="C1045" s="34" t="inlineStr">
        <is>
          <t>Cost Account = CA-4004; WBS Code = 1.4.2</t>
        </is>
      </c>
      <c r="D1045" s="34" t="inlineStr">
        <is>
          <t>Proposed by Source assignment; target 1.4.2 Vehicles and Depot - Depot Buildings</t>
        </is>
      </c>
      <c r="E1045" s="34" t="inlineStr">
        <is>
          <t>None recorded</t>
        </is>
      </c>
      <c r="F1045" s="34" t="inlineStr">
        <is>
          <t>No individual professional decision recorded; Source assignment -- not individually reviewed</t>
        </is>
      </c>
      <c r="G1045" s="34" t="inlineStr">
        <is>
          <t>Not individually decided</t>
        </is>
      </c>
      <c r="H1045" s="34" t="inlineStr">
        <is>
          <t xml:space="preserve">APPROVED / ONE_TO_ONE; </t>
        </is>
      </c>
      <c r="I1045" s="34" t="inlineStr">
        <is>
          <t>New</t>
        </is>
      </c>
      <c r="J1045" s="92" t="inlineStr">
        <is>
          <t>08 CROSSWALK</t>
        </is>
      </c>
    </row>
    <row r="1046" ht="49" customHeight="1">
      <c r="A1046" s="34" t="inlineStr">
        <is>
          <t>R1328-v1</t>
        </is>
      </c>
      <c r="B1046" s="34" t="inlineStr">
        <is>
          <t>Cost &amp; Forecast Control Accounts / CST-04-006</t>
        </is>
      </c>
      <c r="C1046" s="34" t="inlineStr">
        <is>
          <t>Cost Account = CA-4006; WBS Code = 1.4.2</t>
        </is>
      </c>
      <c r="D1046" s="34" t="inlineStr">
        <is>
          <t>Proposed by Source assignment; target 1.4.2 Vehicles and Depot - Depot Buildings</t>
        </is>
      </c>
      <c r="E1046" s="34" t="inlineStr">
        <is>
          <t>None recorded</t>
        </is>
      </c>
      <c r="F1046" s="34" t="inlineStr">
        <is>
          <t>No individual professional decision recorded; Source assignment -- not individually reviewed</t>
        </is>
      </c>
      <c r="G1046" s="34" t="inlineStr">
        <is>
          <t>Not individually decided</t>
        </is>
      </c>
      <c r="H1046" s="34" t="inlineStr">
        <is>
          <t xml:space="preserve">APPROVED / ONE_TO_ONE; </t>
        </is>
      </c>
      <c r="I1046" s="34" t="inlineStr">
        <is>
          <t>New</t>
        </is>
      </c>
      <c r="J1046" s="92" t="inlineStr">
        <is>
          <t>08 CROSSWALK</t>
        </is>
      </c>
    </row>
    <row r="1047" ht="49" customHeight="1">
      <c r="A1047" s="34" t="inlineStr">
        <is>
          <t>R1330-v1</t>
        </is>
      </c>
      <c r="B1047" s="34" t="inlineStr">
        <is>
          <t>Cost &amp; Forecast Control Accounts / CST-04-008</t>
        </is>
      </c>
      <c r="C1047" s="34" t="inlineStr">
        <is>
          <t>Cost Account = CA-4008; WBS Code = 1.4.2</t>
        </is>
      </c>
      <c r="D1047" s="34" t="inlineStr">
        <is>
          <t>Proposed by Source assignment; target 1.4.2 Vehicles and Depot - Depot Buildings</t>
        </is>
      </c>
      <c r="E1047" s="34" t="inlineStr">
        <is>
          <t>None recorded</t>
        </is>
      </c>
      <c r="F1047" s="34" t="inlineStr">
        <is>
          <t>No individual professional decision recorded; Source assignment -- not individually reviewed</t>
        </is>
      </c>
      <c r="G1047" s="34" t="inlineStr">
        <is>
          <t>Not individually decided</t>
        </is>
      </c>
      <c r="H1047" s="34" t="inlineStr">
        <is>
          <t xml:space="preserve">APPROVED / ONE_TO_ONE; </t>
        </is>
      </c>
      <c r="I1047" s="34" t="inlineStr">
        <is>
          <t>New</t>
        </is>
      </c>
      <c r="J1047" s="92" t="inlineStr">
        <is>
          <t>08 CROSSWALK</t>
        </is>
      </c>
    </row>
    <row r="1048" ht="49" customHeight="1">
      <c r="A1048" s="34" t="inlineStr">
        <is>
          <t>R1332-v1</t>
        </is>
      </c>
      <c r="B1048" s="34" t="inlineStr">
        <is>
          <t>Cost &amp; Forecast Control Accounts / CST-04-010</t>
        </is>
      </c>
      <c r="C1048" s="34" t="inlineStr">
        <is>
          <t>Cost Account = CA-4010; WBS Code = 1.4.2</t>
        </is>
      </c>
      <c r="D1048" s="34" t="inlineStr">
        <is>
          <t>Proposed by Source assignment; target 1.4.2 Vehicles and Depot - Depot Buildings</t>
        </is>
      </c>
      <c r="E1048" s="34" t="inlineStr">
        <is>
          <t>None recorded</t>
        </is>
      </c>
      <c r="F1048" s="34" t="inlineStr">
        <is>
          <t>No individual professional decision recorded; Source assignment -- not individually reviewed</t>
        </is>
      </c>
      <c r="G1048" s="34" t="inlineStr">
        <is>
          <t>Not individually decided</t>
        </is>
      </c>
      <c r="H1048" s="34" t="inlineStr">
        <is>
          <t xml:space="preserve">APPROVED / ONE_TO_ONE; </t>
        </is>
      </c>
      <c r="I1048" s="34" t="inlineStr">
        <is>
          <t>New</t>
        </is>
      </c>
      <c r="J1048" s="92" t="inlineStr">
        <is>
          <t>08 CROSSWALK</t>
        </is>
      </c>
    </row>
    <row r="1049" ht="49" customHeight="1">
      <c r="A1049" s="34" t="inlineStr">
        <is>
          <t>R1334-v1</t>
        </is>
      </c>
      <c r="B1049" s="34" t="inlineStr">
        <is>
          <t>Cost &amp; Forecast Control Accounts / CST-04-012</t>
        </is>
      </c>
      <c r="C1049" s="34" t="inlineStr">
        <is>
          <t>Cost Account = CA-4012; WBS Code = 1.4.2</t>
        </is>
      </c>
      <c r="D1049" s="34" t="inlineStr">
        <is>
          <t>Proposed by Source assignment; target 1.4.2 Vehicles and Depot - Depot Buildings</t>
        </is>
      </c>
      <c r="E1049" s="34" t="inlineStr">
        <is>
          <t>None recorded</t>
        </is>
      </c>
      <c r="F1049" s="34" t="inlineStr">
        <is>
          <t>No individual professional decision recorded; Source assignment -- not individually reviewed</t>
        </is>
      </c>
      <c r="G1049" s="34" t="inlineStr">
        <is>
          <t>Not individually decided</t>
        </is>
      </c>
      <c r="H1049" s="34" t="inlineStr">
        <is>
          <t xml:space="preserve">APPROVED / ONE_TO_ONE; </t>
        </is>
      </c>
      <c r="I1049" s="34" t="inlineStr">
        <is>
          <t>New</t>
        </is>
      </c>
      <c r="J1049" s="92" t="inlineStr">
        <is>
          <t>08 CROSSWALK</t>
        </is>
      </c>
    </row>
    <row r="1050" ht="49" customHeight="1">
      <c r="A1050" s="34" t="inlineStr">
        <is>
          <t>R1336-v1</t>
        </is>
      </c>
      <c r="B1050" s="34" t="inlineStr">
        <is>
          <t>Cost &amp; Forecast Control Accounts / CST-04-014</t>
        </is>
      </c>
      <c r="C1050" s="34" t="inlineStr">
        <is>
          <t>Cost Account = CA-4014; WBS Code = 1.4.2</t>
        </is>
      </c>
      <c r="D1050" s="34" t="inlineStr">
        <is>
          <t>Proposed by Source assignment; target 1.4.2 Vehicles and Depot - Depot Buildings</t>
        </is>
      </c>
      <c r="E1050" s="34" t="inlineStr">
        <is>
          <t>None recorded</t>
        </is>
      </c>
      <c r="F1050" s="34" t="inlineStr">
        <is>
          <t>No individual professional decision recorded; Source assignment -- not individually reviewed</t>
        </is>
      </c>
      <c r="G1050" s="34" t="inlineStr">
        <is>
          <t>Not individually decided</t>
        </is>
      </c>
      <c r="H1050" s="34" t="inlineStr">
        <is>
          <t xml:space="preserve">APPROVED / ONE_TO_ONE; </t>
        </is>
      </c>
      <c r="I1050" s="34" t="inlineStr">
        <is>
          <t>New</t>
        </is>
      </c>
      <c r="J1050" s="92" t="inlineStr">
        <is>
          <t>08 CROSSWALK</t>
        </is>
      </c>
    </row>
    <row r="1051" ht="49" customHeight="1">
      <c r="A1051" s="34" t="inlineStr">
        <is>
          <t>R1338-v1</t>
        </is>
      </c>
      <c r="B1051" s="34" t="inlineStr">
        <is>
          <t>Cost &amp; Forecast Control Accounts / CST-04-016</t>
        </is>
      </c>
      <c r="C1051" s="34" t="inlineStr">
        <is>
          <t>Cost Account = CA-4016; WBS Code = 1.4.2</t>
        </is>
      </c>
      <c r="D1051" s="34" t="inlineStr">
        <is>
          <t>Proposed by Source assignment; target 1.4.2 Vehicles and Depot - Depot Buildings</t>
        </is>
      </c>
      <c r="E1051" s="34" t="inlineStr">
        <is>
          <t>None recorded</t>
        </is>
      </c>
      <c r="F1051" s="34" t="inlineStr">
        <is>
          <t>No individual professional decision recorded; Source assignment -- not individually reviewed</t>
        </is>
      </c>
      <c r="G1051" s="34" t="inlineStr">
        <is>
          <t>Not individually decided</t>
        </is>
      </c>
      <c r="H1051" s="34" t="inlineStr">
        <is>
          <t xml:space="preserve">APPROVED / ONE_TO_ONE; </t>
        </is>
      </c>
      <c r="I1051" s="34" t="inlineStr">
        <is>
          <t>New</t>
        </is>
      </c>
      <c r="J1051" s="92" t="inlineStr">
        <is>
          <t>08 CROSSWALK</t>
        </is>
      </c>
    </row>
    <row r="1052" ht="49" customHeight="1">
      <c r="A1052" s="34" t="inlineStr">
        <is>
          <t>R1340-v1</t>
        </is>
      </c>
      <c r="B1052" s="34" t="inlineStr">
        <is>
          <t>Cost &amp; Forecast Control Accounts / CST-04-018</t>
        </is>
      </c>
      <c r="C1052" s="34" t="inlineStr">
        <is>
          <t>Cost Account = CA-4018; WBS Code = 1.4.2</t>
        </is>
      </c>
      <c r="D1052" s="34" t="inlineStr">
        <is>
          <t>Proposed by Source assignment; target 1.4.2 Vehicles and Depot - Depot Buildings</t>
        </is>
      </c>
      <c r="E1052" s="34" t="inlineStr">
        <is>
          <t>None recorded</t>
        </is>
      </c>
      <c r="F1052" s="34" t="inlineStr">
        <is>
          <t>No individual professional decision recorded; Source assignment -- not individually reviewed</t>
        </is>
      </c>
      <c r="G1052" s="34" t="inlineStr">
        <is>
          <t>Not individually decided</t>
        </is>
      </c>
      <c r="H1052" s="34" t="inlineStr">
        <is>
          <t xml:space="preserve">APPROVED / ONE_TO_ONE; </t>
        </is>
      </c>
      <c r="I1052" s="34" t="inlineStr">
        <is>
          <t>New</t>
        </is>
      </c>
      <c r="J1052" s="92" t="inlineStr">
        <is>
          <t>08 CROSSWALK</t>
        </is>
      </c>
    </row>
    <row r="1053" ht="49" customHeight="1">
      <c r="A1053" s="34" t="inlineStr">
        <is>
          <t>R1342-v1</t>
        </is>
      </c>
      <c r="B1053" s="34" t="inlineStr">
        <is>
          <t>Cost &amp; Forecast Control Accounts / CST-04-020</t>
        </is>
      </c>
      <c r="C1053" s="34" t="inlineStr">
        <is>
          <t>Cost Account = CA-4020; WBS Code = 1.4.2</t>
        </is>
      </c>
      <c r="D1053" s="34" t="inlineStr">
        <is>
          <t>Proposed by Source assignment; target 1.4.2 Vehicles and Depot - Depot Buildings</t>
        </is>
      </c>
      <c r="E1053" s="34" t="inlineStr">
        <is>
          <t>None recorded</t>
        </is>
      </c>
      <c r="F1053" s="34" t="inlineStr">
        <is>
          <t>No individual professional decision recorded; Source assignment -- not individually reviewed</t>
        </is>
      </c>
      <c r="G1053" s="34" t="inlineStr">
        <is>
          <t>Not individually decided</t>
        </is>
      </c>
      <c r="H1053" s="34" t="inlineStr">
        <is>
          <t xml:space="preserve">APPROVED / ONE_TO_ONE; </t>
        </is>
      </c>
      <c r="I1053" s="34" t="inlineStr">
        <is>
          <t>New</t>
        </is>
      </c>
      <c r="J1053" s="92" t="inlineStr">
        <is>
          <t>08 CROSSWALK</t>
        </is>
      </c>
    </row>
    <row r="1054" ht="49" customHeight="1">
      <c r="A1054" s="34" t="inlineStr">
        <is>
          <t>R1344-v1</t>
        </is>
      </c>
      <c r="B1054" s="34" t="inlineStr">
        <is>
          <t>Cost &amp; Forecast Control Accounts / CST-04-022</t>
        </is>
      </c>
      <c r="C1054" s="34" t="inlineStr">
        <is>
          <t>Cost Account = CA-4022; WBS Code = 1.4.2</t>
        </is>
      </c>
      <c r="D1054" s="34" t="inlineStr">
        <is>
          <t>Proposed by Source assignment; target 1.4.2 Vehicles and Depot - Depot Buildings</t>
        </is>
      </c>
      <c r="E1054" s="34" t="inlineStr">
        <is>
          <t>None recorded</t>
        </is>
      </c>
      <c r="F1054" s="34" t="inlineStr">
        <is>
          <t>No individual professional decision recorded; Source assignment -- not individually reviewed</t>
        </is>
      </c>
      <c r="G1054" s="34" t="inlineStr">
        <is>
          <t>Not individually decided</t>
        </is>
      </c>
      <c r="H1054" s="34" t="inlineStr">
        <is>
          <t xml:space="preserve">APPROVED / ONE_TO_ONE; </t>
        </is>
      </c>
      <c r="I1054" s="34" t="inlineStr">
        <is>
          <t>New</t>
        </is>
      </c>
      <c r="J1054" s="92" t="inlineStr">
        <is>
          <t>08 CROSSWALK</t>
        </is>
      </c>
    </row>
    <row r="1055" ht="49" customHeight="1">
      <c r="A1055" s="34" t="inlineStr">
        <is>
          <t>R1346-v1</t>
        </is>
      </c>
      <c r="B1055" s="34" t="inlineStr">
        <is>
          <t>Cost &amp; Forecast Control Accounts / CST-04-024</t>
        </is>
      </c>
      <c r="C1055" s="34" t="inlineStr">
        <is>
          <t>Cost Account = CA-4024; WBS Code = 1.4.2</t>
        </is>
      </c>
      <c r="D1055" s="34" t="inlineStr">
        <is>
          <t>Proposed by Source assignment; target 1.4.2 Vehicles and Depot - Depot Buildings</t>
        </is>
      </c>
      <c r="E1055" s="34" t="inlineStr">
        <is>
          <t>None recorded</t>
        </is>
      </c>
      <c r="F1055" s="34" t="inlineStr">
        <is>
          <t>No individual professional decision recorded; Source assignment -- not individually reviewed</t>
        </is>
      </c>
      <c r="G1055" s="34" t="inlineStr">
        <is>
          <t>Not individually decided</t>
        </is>
      </c>
      <c r="H1055" s="34" t="inlineStr">
        <is>
          <t xml:space="preserve">APPROVED / ONE_TO_ONE; </t>
        </is>
      </c>
      <c r="I1055" s="34" t="inlineStr">
        <is>
          <t>New</t>
        </is>
      </c>
      <c r="J1055" s="92" t="inlineStr">
        <is>
          <t>08 CROSSWALK</t>
        </is>
      </c>
    </row>
    <row r="1056" ht="49" customHeight="1">
      <c r="A1056" s="34" t="inlineStr">
        <is>
          <t>R1348-v1</t>
        </is>
      </c>
      <c r="B1056" s="34" t="inlineStr">
        <is>
          <t>Cost &amp; Forecast Control Accounts / CST-04-026</t>
        </is>
      </c>
      <c r="C1056" s="34" t="inlineStr">
        <is>
          <t>Cost Account = CA-4026; WBS Code = 1.4.2</t>
        </is>
      </c>
      <c r="D1056" s="34" t="inlineStr">
        <is>
          <t>Proposed by Source assignment; target 1.4.2 Vehicles and Depot - Depot Buildings</t>
        </is>
      </c>
      <c r="E1056" s="34" t="inlineStr">
        <is>
          <t>None recorded</t>
        </is>
      </c>
      <c r="F1056" s="34" t="inlineStr">
        <is>
          <t>No individual professional decision recorded; Source assignment -- not individually reviewed</t>
        </is>
      </c>
      <c r="G1056" s="34" t="inlineStr">
        <is>
          <t>Not individually decided</t>
        </is>
      </c>
      <c r="H1056" s="34" t="inlineStr">
        <is>
          <t xml:space="preserve">APPROVED / ONE_TO_ONE; </t>
        </is>
      </c>
      <c r="I1056" s="34" t="inlineStr">
        <is>
          <t>New</t>
        </is>
      </c>
      <c r="J1056" s="92" t="inlineStr">
        <is>
          <t>08 CROSSWALK</t>
        </is>
      </c>
    </row>
    <row r="1057" ht="49" customHeight="1">
      <c r="A1057" s="34" t="inlineStr">
        <is>
          <t>R1350-v1</t>
        </is>
      </c>
      <c r="B1057" s="34" t="inlineStr">
        <is>
          <t>Cost &amp; Forecast Control Accounts / CST-04-028</t>
        </is>
      </c>
      <c r="C1057" s="34" t="inlineStr">
        <is>
          <t>Cost Account = CA-4028; WBS Code = 1.4.2</t>
        </is>
      </c>
      <c r="D1057" s="34" t="inlineStr">
        <is>
          <t>Proposed by Source assignment; target 1.4.2 Vehicles and Depot - Depot Buildings</t>
        </is>
      </c>
      <c r="E1057" s="34" t="inlineStr">
        <is>
          <t>None recorded</t>
        </is>
      </c>
      <c r="F1057" s="34" t="inlineStr">
        <is>
          <t>No individual professional decision recorded; Source assignment -- not individually reviewed</t>
        </is>
      </c>
      <c r="G1057" s="34" t="inlineStr">
        <is>
          <t>Not individually decided</t>
        </is>
      </c>
      <c r="H1057" s="34" t="inlineStr">
        <is>
          <t xml:space="preserve">APPROVED / ONE_TO_ONE; </t>
        </is>
      </c>
      <c r="I1057" s="34" t="inlineStr">
        <is>
          <t>New</t>
        </is>
      </c>
      <c r="J1057" s="92" t="inlineStr">
        <is>
          <t>08 CROSSWALK</t>
        </is>
      </c>
    </row>
    <row r="1058" ht="49" customHeight="1">
      <c r="A1058" s="34" t="inlineStr">
        <is>
          <t>R1352-v1</t>
        </is>
      </c>
      <c r="B1058" s="34" t="inlineStr">
        <is>
          <t>Cost &amp; Forecast Control Accounts / CST-04-030</t>
        </is>
      </c>
      <c r="C1058" s="34" t="inlineStr">
        <is>
          <t>Cost Account = CA-4030; WBS Code = 1.4.2</t>
        </is>
      </c>
      <c r="D1058" s="34" t="inlineStr">
        <is>
          <t>Proposed by Source assignment; target 1.4.2 Vehicles and Depot - Depot Buildings</t>
        </is>
      </c>
      <c r="E1058" s="34" t="inlineStr">
        <is>
          <t>None recorded</t>
        </is>
      </c>
      <c r="F1058" s="34" t="inlineStr">
        <is>
          <t>No individual professional decision recorded; Source assignment -- not individually reviewed</t>
        </is>
      </c>
      <c r="G1058" s="34" t="inlineStr">
        <is>
          <t>Not individually decided</t>
        </is>
      </c>
      <c r="H1058" s="34" t="inlineStr">
        <is>
          <t xml:space="preserve">APPROVED / ONE_TO_ONE; </t>
        </is>
      </c>
      <c r="I1058" s="34" t="inlineStr">
        <is>
          <t>New</t>
        </is>
      </c>
      <c r="J1058" s="92" t="inlineStr">
        <is>
          <t>08 CROSSWALK</t>
        </is>
      </c>
    </row>
    <row r="1059" ht="49" customHeight="1">
      <c r="A1059" s="34" t="inlineStr">
        <is>
          <t>R1354-v1</t>
        </is>
      </c>
      <c r="B1059" s="34" t="inlineStr">
        <is>
          <t>Cost &amp; Forecast Control Accounts / CST-04-032</t>
        </is>
      </c>
      <c r="C1059" s="34" t="inlineStr">
        <is>
          <t>Cost Account = CA-4032; WBS Code = 1.4.2</t>
        </is>
      </c>
      <c r="D1059" s="34" t="inlineStr">
        <is>
          <t>Proposed by Source assignment; target 1.4.2 Vehicles and Depot - Depot Buildings</t>
        </is>
      </c>
      <c r="E1059" s="34" t="inlineStr">
        <is>
          <t>None recorded</t>
        </is>
      </c>
      <c r="F1059" s="34" t="inlineStr">
        <is>
          <t>No individual professional decision recorded; Source assignment -- not individually reviewed</t>
        </is>
      </c>
      <c r="G1059" s="34" t="inlineStr">
        <is>
          <t>Not individually decided</t>
        </is>
      </c>
      <c r="H1059" s="34" t="inlineStr">
        <is>
          <t xml:space="preserve">APPROVED / ONE_TO_ONE; </t>
        </is>
      </c>
      <c r="I1059" s="34" t="inlineStr">
        <is>
          <t>New</t>
        </is>
      </c>
      <c r="J1059" s="92" t="inlineStr">
        <is>
          <t>08 CROSSWALK</t>
        </is>
      </c>
    </row>
    <row r="1060" ht="49" customHeight="1">
      <c r="A1060" s="34" t="inlineStr">
        <is>
          <t>R1356-v1</t>
        </is>
      </c>
      <c r="B1060" s="34" t="inlineStr">
        <is>
          <t>Cost &amp; Forecast Control Accounts / CST-04-034</t>
        </is>
      </c>
      <c r="C1060" s="34" t="inlineStr">
        <is>
          <t>Cost Account = CA-4034; WBS Code = 1.4.2</t>
        </is>
      </c>
      <c r="D1060" s="34" t="inlineStr">
        <is>
          <t>Proposed by Source assignment; target 1.4.2 Vehicles and Depot - Depot Buildings</t>
        </is>
      </c>
      <c r="E1060" s="34" t="inlineStr">
        <is>
          <t>None recorded</t>
        </is>
      </c>
      <c r="F1060" s="34" t="inlineStr">
        <is>
          <t>No individual professional decision recorded; Source assignment -- not individually reviewed</t>
        </is>
      </c>
      <c r="G1060" s="34" t="inlineStr">
        <is>
          <t>Not individually decided</t>
        </is>
      </c>
      <c r="H1060" s="34" t="inlineStr">
        <is>
          <t xml:space="preserve">APPROVED / ONE_TO_ONE; </t>
        </is>
      </c>
      <c r="I1060" s="34" t="inlineStr">
        <is>
          <t>New</t>
        </is>
      </c>
      <c r="J1060" s="92" t="inlineStr">
        <is>
          <t>08 CROSSWALK</t>
        </is>
      </c>
    </row>
    <row r="1061" ht="49" customHeight="1">
      <c r="A1061" s="34" t="inlineStr">
        <is>
          <t>R1358-v1</t>
        </is>
      </c>
      <c r="B1061" s="34" t="inlineStr">
        <is>
          <t>Cost &amp; Forecast Control Accounts / CST-04-036</t>
        </is>
      </c>
      <c r="C1061" s="34" t="inlineStr">
        <is>
          <t>Cost Account = CA-4036; WBS Code = 1.4.2</t>
        </is>
      </c>
      <c r="D1061" s="34" t="inlineStr">
        <is>
          <t>Proposed by Source assignment; target 1.4.2 Vehicles and Depot - Depot Buildings</t>
        </is>
      </c>
      <c r="E1061" s="34" t="inlineStr">
        <is>
          <t>None recorded</t>
        </is>
      </c>
      <c r="F1061" s="34" t="inlineStr">
        <is>
          <t>No individual professional decision recorded; Source assignment -- not individually reviewed</t>
        </is>
      </c>
      <c r="G1061" s="34" t="inlineStr">
        <is>
          <t>Not individually decided</t>
        </is>
      </c>
      <c r="H1061" s="34" t="inlineStr">
        <is>
          <t xml:space="preserve">APPROVED / ONE_TO_ONE; </t>
        </is>
      </c>
      <c r="I1061" s="34" t="inlineStr">
        <is>
          <t>New</t>
        </is>
      </c>
      <c r="J1061" s="92" t="inlineStr">
        <is>
          <t>08 CROSSWALK</t>
        </is>
      </c>
    </row>
    <row r="1062" ht="49" customHeight="1">
      <c r="A1062" s="34" t="inlineStr">
        <is>
          <t>R1360-v1</t>
        </is>
      </c>
      <c r="B1062" s="34" t="inlineStr">
        <is>
          <t>Cost &amp; Forecast Control Accounts / CST-04-038</t>
        </is>
      </c>
      <c r="C1062" s="34" t="inlineStr">
        <is>
          <t>Cost Account = CA-4038; WBS Code = 1.4.2</t>
        </is>
      </c>
      <c r="D1062" s="34" t="inlineStr">
        <is>
          <t>Proposed by Source assignment; target 1.4.2 Vehicles and Depot - Depot Buildings</t>
        </is>
      </c>
      <c r="E1062" s="34" t="inlineStr">
        <is>
          <t>None recorded</t>
        </is>
      </c>
      <c r="F1062" s="34" t="inlineStr">
        <is>
          <t>No individual professional decision recorded; Source assignment -- not individually reviewed</t>
        </is>
      </c>
      <c r="G1062" s="34" t="inlineStr">
        <is>
          <t>Not individually decided</t>
        </is>
      </c>
      <c r="H1062" s="34" t="inlineStr">
        <is>
          <t xml:space="preserve">APPROVED / ONE_TO_ONE; </t>
        </is>
      </c>
      <c r="I1062" s="34" t="inlineStr">
        <is>
          <t>New</t>
        </is>
      </c>
      <c r="J1062" s="92" t="inlineStr">
        <is>
          <t>08 CROSSWALK</t>
        </is>
      </c>
    </row>
    <row r="1063" ht="49" customHeight="1">
      <c r="A1063" s="34" t="inlineStr">
        <is>
          <t>R1362-v1</t>
        </is>
      </c>
      <c r="B1063" s="34" t="inlineStr">
        <is>
          <t>Cost &amp; Forecast Control Accounts / CST-04-040</t>
        </is>
      </c>
      <c r="C1063" s="34" t="inlineStr">
        <is>
          <t>Cost Account = CA-4040; WBS Code = 1.4.2</t>
        </is>
      </c>
      <c r="D1063" s="34" t="inlineStr">
        <is>
          <t>Proposed by Source assignment; target 1.4.2 Vehicles and Depot - Depot Buildings</t>
        </is>
      </c>
      <c r="E1063" s="34" t="inlineStr">
        <is>
          <t>None recorded</t>
        </is>
      </c>
      <c r="F1063" s="34" t="inlineStr">
        <is>
          <t>No individual professional decision recorded; Source assignment -- not individually reviewed</t>
        </is>
      </c>
      <c r="G1063" s="34" t="inlineStr">
        <is>
          <t>Not individually decided</t>
        </is>
      </c>
      <c r="H1063" s="34" t="inlineStr">
        <is>
          <t xml:space="preserve">APPROVED / ONE_TO_ONE; </t>
        </is>
      </c>
      <c r="I1063" s="34" t="inlineStr">
        <is>
          <t>New</t>
        </is>
      </c>
      <c r="J1063" s="92" t="inlineStr">
        <is>
          <t>08 CROSSWALK</t>
        </is>
      </c>
    </row>
    <row r="1064" ht="49" customHeight="1">
      <c r="A1064" s="34" t="inlineStr">
        <is>
          <t>R1364-v1</t>
        </is>
      </c>
      <c r="B1064" s="34" t="inlineStr">
        <is>
          <t>Cost &amp; Forecast Control Accounts / CST-04-042</t>
        </is>
      </c>
      <c r="C1064" s="34" t="inlineStr">
        <is>
          <t>Cost Account = CA-4042; WBS Code = 1.4.2</t>
        </is>
      </c>
      <c r="D1064" s="34" t="inlineStr">
        <is>
          <t>Proposed by Source assignment; target 1.4.2 Vehicles and Depot - Depot Buildings</t>
        </is>
      </c>
      <c r="E1064" s="34" t="inlineStr">
        <is>
          <t>None recorded</t>
        </is>
      </c>
      <c r="F1064" s="34" t="inlineStr">
        <is>
          <t>No individual professional decision recorded; Source assignment -- not individually reviewed</t>
        </is>
      </c>
      <c r="G1064" s="34" t="inlineStr">
        <is>
          <t>Not individually decided</t>
        </is>
      </c>
      <c r="H1064" s="34" t="inlineStr">
        <is>
          <t xml:space="preserve">APPROVED / ONE_TO_ONE; </t>
        </is>
      </c>
      <c r="I1064" s="34" t="inlineStr">
        <is>
          <t>New</t>
        </is>
      </c>
      <c r="J1064" s="92" t="inlineStr">
        <is>
          <t>08 CROSSWALK</t>
        </is>
      </c>
    </row>
    <row r="1065" ht="49" customHeight="1">
      <c r="A1065" s="34" t="inlineStr">
        <is>
          <t>R1366-v1</t>
        </is>
      </c>
      <c r="B1065" s="34" t="inlineStr">
        <is>
          <t>Cost &amp; Forecast Control Accounts / CST-04-044</t>
        </is>
      </c>
      <c r="C1065" s="34" t="inlineStr">
        <is>
          <t>Cost Account = CA-4044; WBS Code = 1.4.2</t>
        </is>
      </c>
      <c r="D1065" s="34" t="inlineStr">
        <is>
          <t>Proposed by Source assignment; target 1.4.2 Vehicles and Depot - Depot Buildings</t>
        </is>
      </c>
      <c r="E1065" s="34" t="inlineStr">
        <is>
          <t>None recorded</t>
        </is>
      </c>
      <c r="F1065" s="34" t="inlineStr">
        <is>
          <t>No individual professional decision recorded; Source assignment -- not individually reviewed</t>
        </is>
      </c>
      <c r="G1065" s="34" t="inlineStr">
        <is>
          <t>Not individually decided</t>
        </is>
      </c>
      <c r="H1065" s="34" t="inlineStr">
        <is>
          <t xml:space="preserve">APPROVED / ONE_TO_ONE; </t>
        </is>
      </c>
      <c r="I1065" s="34" t="inlineStr">
        <is>
          <t>New</t>
        </is>
      </c>
      <c r="J1065" s="92" t="inlineStr">
        <is>
          <t>08 CROSSWALK</t>
        </is>
      </c>
    </row>
    <row r="1066" ht="49" customHeight="1">
      <c r="A1066" s="34" t="inlineStr">
        <is>
          <t>R1368-v1</t>
        </is>
      </c>
      <c r="B1066" s="34" t="inlineStr">
        <is>
          <t>Cost &amp; Forecast Control Accounts / CST-04-046</t>
        </is>
      </c>
      <c r="C1066" s="34" t="inlineStr">
        <is>
          <t>Cost Account = CA-4046; WBS Code = 1.4.2</t>
        </is>
      </c>
      <c r="D1066" s="34" t="inlineStr">
        <is>
          <t>Proposed by Source assignment; target 1.4.2 Vehicles and Depot - Depot Buildings</t>
        </is>
      </c>
      <c r="E1066" s="34" t="inlineStr">
        <is>
          <t>None recorded</t>
        </is>
      </c>
      <c r="F1066" s="34" t="inlineStr">
        <is>
          <t>No individual professional decision recorded; Source assignment -- not individually reviewed</t>
        </is>
      </c>
      <c r="G1066" s="34" t="inlineStr">
        <is>
          <t>Not individually decided</t>
        </is>
      </c>
      <c r="H1066" s="34" t="inlineStr">
        <is>
          <t xml:space="preserve">APPROVED / ONE_TO_ONE; </t>
        </is>
      </c>
      <c r="I1066" s="34" t="inlineStr">
        <is>
          <t>New</t>
        </is>
      </c>
      <c r="J1066" s="92" t="inlineStr">
        <is>
          <t>08 CROSSWALK</t>
        </is>
      </c>
    </row>
    <row r="1067" ht="49" customHeight="1">
      <c r="A1067" s="34" t="inlineStr">
        <is>
          <t>R1370-v1</t>
        </is>
      </c>
      <c r="B1067" s="34" t="inlineStr">
        <is>
          <t>Cost &amp; Forecast Control Accounts / CST-04-048</t>
        </is>
      </c>
      <c r="C1067" s="34" t="inlineStr">
        <is>
          <t>Cost Account = CA-4048; WBS Code = 1.4.2</t>
        </is>
      </c>
      <c r="D1067" s="34" t="inlineStr">
        <is>
          <t>Proposed by Source assignment; target 1.4.2 Vehicles and Depot - Depot Buildings</t>
        </is>
      </c>
      <c r="E1067" s="34" t="inlineStr">
        <is>
          <t>None recorded</t>
        </is>
      </c>
      <c r="F1067" s="34" t="inlineStr">
        <is>
          <t>No individual professional decision recorded; Source assignment -- not individually reviewed</t>
        </is>
      </c>
      <c r="G1067" s="34" t="inlineStr">
        <is>
          <t>Not individually decided</t>
        </is>
      </c>
      <c r="H1067" s="34" t="inlineStr">
        <is>
          <t xml:space="preserve">APPROVED / ONE_TO_ONE; </t>
        </is>
      </c>
      <c r="I1067" s="34" t="inlineStr">
        <is>
          <t>New</t>
        </is>
      </c>
      <c r="J1067" s="92" t="inlineStr">
        <is>
          <t>08 CROSSWALK</t>
        </is>
      </c>
    </row>
    <row r="1068" ht="49" customHeight="1">
      <c r="A1068" s="34" t="inlineStr">
        <is>
          <t>R1372-v1</t>
        </is>
      </c>
      <c r="B1068" s="34" t="inlineStr">
        <is>
          <t>Cost &amp; Forecast Control Accounts / CST-04-050</t>
        </is>
      </c>
      <c r="C1068" s="34" t="inlineStr">
        <is>
          <t>Cost Account = CA-4050; WBS Code = 1.4.2</t>
        </is>
      </c>
      <c r="D1068" s="34" t="inlineStr">
        <is>
          <t>Proposed by Source assignment; target 1.4.2 Vehicles and Depot - Depot Buildings</t>
        </is>
      </c>
      <c r="E1068" s="34" t="inlineStr">
        <is>
          <t>None recorded</t>
        </is>
      </c>
      <c r="F1068" s="34" t="inlineStr">
        <is>
          <t>No individual professional decision recorded; Source assignment -- not individually reviewed</t>
        </is>
      </c>
      <c r="G1068" s="34" t="inlineStr">
        <is>
          <t>Not individually decided</t>
        </is>
      </c>
      <c r="H1068" s="34" t="inlineStr">
        <is>
          <t xml:space="preserve">APPROVED / ONE_TO_ONE; </t>
        </is>
      </c>
      <c r="I1068" s="34" t="inlineStr">
        <is>
          <t>New</t>
        </is>
      </c>
      <c r="J1068" s="92" t="inlineStr">
        <is>
          <t>08 CROSSWALK</t>
        </is>
      </c>
    </row>
    <row r="1069" ht="49" customHeight="1">
      <c r="A1069" s="34" t="inlineStr">
        <is>
          <t>R1374-v1</t>
        </is>
      </c>
      <c r="B1069" s="34" t="inlineStr">
        <is>
          <t>Cost &amp; Forecast Control Accounts / CST-04-052</t>
        </is>
      </c>
      <c r="C1069" s="34" t="inlineStr">
        <is>
          <t>Cost Account = CA-4052; WBS Code = 1.4.2</t>
        </is>
      </c>
      <c r="D1069" s="34" t="inlineStr">
        <is>
          <t>Proposed by Source assignment; target 1.4.2 Vehicles and Depot - Depot Buildings</t>
        </is>
      </c>
      <c r="E1069" s="34" t="inlineStr">
        <is>
          <t>None recorded</t>
        </is>
      </c>
      <c r="F1069" s="34" t="inlineStr">
        <is>
          <t>No individual professional decision recorded; Source assignment -- not individually reviewed</t>
        </is>
      </c>
      <c r="G1069" s="34" t="inlineStr">
        <is>
          <t>Not individually decided</t>
        </is>
      </c>
      <c r="H1069" s="34" t="inlineStr">
        <is>
          <t xml:space="preserve">APPROVED / ONE_TO_ONE; </t>
        </is>
      </c>
      <c r="I1069" s="34" t="inlineStr">
        <is>
          <t>New</t>
        </is>
      </c>
      <c r="J1069" s="92" t="inlineStr">
        <is>
          <t>08 CROSSWALK</t>
        </is>
      </c>
    </row>
    <row r="1070" ht="49" customHeight="1">
      <c r="A1070" s="34" t="inlineStr">
        <is>
          <t>R1376-v1</t>
        </is>
      </c>
      <c r="B1070" s="34" t="inlineStr">
        <is>
          <t>Cost &amp; Forecast Control Accounts / CST-04-054</t>
        </is>
      </c>
      <c r="C1070" s="34" t="inlineStr">
        <is>
          <t>Cost Account = CA-4054; WBS Code = 1.4.2</t>
        </is>
      </c>
      <c r="D1070" s="34" t="inlineStr">
        <is>
          <t>Proposed by Source assignment; target 1.4.2 Vehicles and Depot - Depot Buildings</t>
        </is>
      </c>
      <c r="E1070" s="34" t="inlineStr">
        <is>
          <t>None recorded</t>
        </is>
      </c>
      <c r="F1070" s="34" t="inlineStr">
        <is>
          <t>No individual professional decision recorded; Source assignment -- not individually reviewed</t>
        </is>
      </c>
      <c r="G1070" s="34" t="inlineStr">
        <is>
          <t>Not individually decided</t>
        </is>
      </c>
      <c r="H1070" s="34" t="inlineStr">
        <is>
          <t xml:space="preserve">APPROVED / ONE_TO_ONE; </t>
        </is>
      </c>
      <c r="I1070" s="34" t="inlineStr">
        <is>
          <t>New</t>
        </is>
      </c>
      <c r="J1070" s="92" t="inlineStr">
        <is>
          <t>08 CROSSWALK</t>
        </is>
      </c>
    </row>
    <row r="1071" ht="49" customHeight="1">
      <c r="A1071" s="34" t="inlineStr">
        <is>
          <t>R1378-v1</t>
        </is>
      </c>
      <c r="B1071" s="34" t="inlineStr">
        <is>
          <t>Cost &amp; Forecast Control Accounts / CST-04-056</t>
        </is>
      </c>
      <c r="C1071" s="34" t="inlineStr">
        <is>
          <t>Cost Account = CA-4056; WBS Code = 1.4.2</t>
        </is>
      </c>
      <c r="D1071" s="34" t="inlineStr">
        <is>
          <t>Proposed by Source assignment; target 1.4.2 Vehicles and Depot - Depot Buildings</t>
        </is>
      </c>
      <c r="E1071" s="34" t="inlineStr">
        <is>
          <t>None recorded</t>
        </is>
      </c>
      <c r="F1071" s="34" t="inlineStr">
        <is>
          <t>No individual professional decision recorded; Source assignment -- not individually reviewed</t>
        </is>
      </c>
      <c r="G1071" s="34" t="inlineStr">
        <is>
          <t>Not individually decided</t>
        </is>
      </c>
      <c r="H1071" s="34" t="inlineStr">
        <is>
          <t xml:space="preserve">APPROVED / ONE_TO_ONE; </t>
        </is>
      </c>
      <c r="I1071" s="34" t="inlineStr">
        <is>
          <t>New</t>
        </is>
      </c>
      <c r="J1071" s="92" t="inlineStr">
        <is>
          <t>08 CROSSWALK</t>
        </is>
      </c>
    </row>
    <row r="1072" ht="49" customHeight="1">
      <c r="A1072" s="34" t="inlineStr">
        <is>
          <t>R1380-v1</t>
        </is>
      </c>
      <c r="B1072" s="34" t="inlineStr">
        <is>
          <t>Cost &amp; Forecast Control Accounts / CST-04-058</t>
        </is>
      </c>
      <c r="C1072" s="34" t="inlineStr">
        <is>
          <t>Cost Account = CA-4058; WBS Code = 1.4.2</t>
        </is>
      </c>
      <c r="D1072" s="34" t="inlineStr">
        <is>
          <t>Proposed by Source assignment; target 1.4.2 Vehicles and Depot - Depot Buildings</t>
        </is>
      </c>
      <c r="E1072" s="34" t="inlineStr">
        <is>
          <t>None recorded</t>
        </is>
      </c>
      <c r="F1072" s="34" t="inlineStr">
        <is>
          <t>No individual professional decision recorded; Source assignment -- not individually reviewed</t>
        </is>
      </c>
      <c r="G1072" s="34" t="inlineStr">
        <is>
          <t>Not individually decided</t>
        </is>
      </c>
      <c r="H1072" s="34" t="inlineStr">
        <is>
          <t xml:space="preserve">APPROVED / ONE_TO_ONE; </t>
        </is>
      </c>
      <c r="I1072" s="34" t="inlineStr">
        <is>
          <t>New</t>
        </is>
      </c>
      <c r="J1072" s="92" t="inlineStr">
        <is>
          <t>08 CROSSWALK</t>
        </is>
      </c>
    </row>
    <row r="1073" ht="49" customHeight="1">
      <c r="A1073" s="34" t="inlineStr">
        <is>
          <t>R1382-v1</t>
        </is>
      </c>
      <c r="B1073" s="34" t="inlineStr">
        <is>
          <t>Cost &amp; Forecast Control Accounts / CST-04-060</t>
        </is>
      </c>
      <c r="C1073" s="34" t="inlineStr">
        <is>
          <t>Cost Account = CA-4060; WBS Code = 1.4.2</t>
        </is>
      </c>
      <c r="D1073" s="34" t="inlineStr">
        <is>
          <t>Proposed by Source assignment; target 1.4.2 Vehicles and Depot - Depot Buildings</t>
        </is>
      </c>
      <c r="E1073" s="34" t="inlineStr">
        <is>
          <t>None recorded</t>
        </is>
      </c>
      <c r="F1073" s="34" t="inlineStr">
        <is>
          <t>No individual professional decision recorded; Source assignment -- not individually reviewed</t>
        </is>
      </c>
      <c r="G1073" s="34" t="inlineStr">
        <is>
          <t>Not individually decided</t>
        </is>
      </c>
      <c r="H1073" s="34" t="inlineStr">
        <is>
          <t xml:space="preserve">APPROVED / ONE_TO_ONE; </t>
        </is>
      </c>
      <c r="I1073" s="34" t="inlineStr">
        <is>
          <t>New</t>
        </is>
      </c>
      <c r="J1073" s="92" t="inlineStr">
        <is>
          <t>08 CROSSWALK</t>
        </is>
      </c>
    </row>
    <row r="1074" ht="49" customHeight="1">
      <c r="A1074" s="34" t="inlineStr">
        <is>
          <t>R1384-v1</t>
        </is>
      </c>
      <c r="B1074" s="34" t="inlineStr">
        <is>
          <t>Cost &amp; Forecast Control Accounts / CST-04-062</t>
        </is>
      </c>
      <c r="C1074" s="34" t="inlineStr">
        <is>
          <t>Cost Account = CA-4062; WBS Code = 1.4.2</t>
        </is>
      </c>
      <c r="D1074" s="34" t="inlineStr">
        <is>
          <t>Proposed by Source assignment; target 1.4.2 Vehicles and Depot - Depot Buildings</t>
        </is>
      </c>
      <c r="E1074" s="34" t="inlineStr">
        <is>
          <t>None recorded</t>
        </is>
      </c>
      <c r="F1074" s="34" t="inlineStr">
        <is>
          <t>No individual professional decision recorded; Source assignment -- not individually reviewed</t>
        </is>
      </c>
      <c r="G1074" s="34" t="inlineStr">
        <is>
          <t>Not individually decided</t>
        </is>
      </c>
      <c r="H1074" s="34" t="inlineStr">
        <is>
          <t xml:space="preserve">APPROVED / ONE_TO_ONE; </t>
        </is>
      </c>
      <c r="I1074" s="34" t="inlineStr">
        <is>
          <t>New</t>
        </is>
      </c>
      <c r="J1074" s="92" t="inlineStr">
        <is>
          <t>08 CROSSWALK</t>
        </is>
      </c>
    </row>
    <row r="1075" ht="49" customHeight="1">
      <c r="A1075" s="34" t="inlineStr">
        <is>
          <t>R1386-v1</t>
        </is>
      </c>
      <c r="B1075" s="34" t="inlineStr">
        <is>
          <t>Cost &amp; Forecast Control Accounts / CST-04-064</t>
        </is>
      </c>
      <c r="C1075" s="34" t="inlineStr">
        <is>
          <t>Cost Account = CA-4064; WBS Code = 1.4.2</t>
        </is>
      </c>
      <c r="D1075" s="34" t="inlineStr">
        <is>
          <t>Proposed by Source assignment; target 1.4.2 Vehicles and Depot - Depot Buildings</t>
        </is>
      </c>
      <c r="E1075" s="34" t="inlineStr">
        <is>
          <t>None recorded</t>
        </is>
      </c>
      <c r="F1075" s="34" t="inlineStr">
        <is>
          <t>No individual professional decision recorded; Source assignment -- not individually reviewed</t>
        </is>
      </c>
      <c r="G1075" s="34" t="inlineStr">
        <is>
          <t>Not individually decided</t>
        </is>
      </c>
      <c r="H1075" s="34" t="inlineStr">
        <is>
          <t xml:space="preserve">APPROVED / ONE_TO_ONE; </t>
        </is>
      </c>
      <c r="I1075" s="34" t="inlineStr">
        <is>
          <t>New</t>
        </is>
      </c>
      <c r="J1075" s="92" t="inlineStr">
        <is>
          <t>08 CROSSWALK</t>
        </is>
      </c>
    </row>
    <row r="1076" ht="49" customHeight="1">
      <c r="A1076" s="34" t="inlineStr">
        <is>
          <t>R1388-v1</t>
        </is>
      </c>
      <c r="B1076" s="34" t="inlineStr">
        <is>
          <t>Cost &amp; Forecast Control Accounts / CST-04-066</t>
        </is>
      </c>
      <c r="C1076" s="34" t="inlineStr">
        <is>
          <t>Cost Account = CA-4066; WBS Code = 1.4.2</t>
        </is>
      </c>
      <c r="D1076" s="34" t="inlineStr">
        <is>
          <t>Proposed by Source assignment; target 1.4.2 Vehicles and Depot - Depot Buildings</t>
        </is>
      </c>
      <c r="E1076" s="34" t="inlineStr">
        <is>
          <t>None recorded</t>
        </is>
      </c>
      <c r="F1076" s="34" t="inlineStr">
        <is>
          <t>No individual professional decision recorded; Source assignment -- not individually reviewed</t>
        </is>
      </c>
      <c r="G1076" s="34" t="inlineStr">
        <is>
          <t>Not individually decided</t>
        </is>
      </c>
      <c r="H1076" s="34" t="inlineStr">
        <is>
          <t xml:space="preserve">APPROVED / ONE_TO_ONE; </t>
        </is>
      </c>
      <c r="I1076" s="34" t="inlineStr">
        <is>
          <t>New</t>
        </is>
      </c>
      <c r="J1076" s="92" t="inlineStr">
        <is>
          <t>08 CROSSWALK</t>
        </is>
      </c>
    </row>
    <row r="1077" ht="49" customHeight="1">
      <c r="A1077" s="34" t="inlineStr">
        <is>
          <t>R1390-v1</t>
        </is>
      </c>
      <c r="B1077" s="34" t="inlineStr">
        <is>
          <t>Cost &amp; Forecast Control Accounts / CST-04-068</t>
        </is>
      </c>
      <c r="C1077" s="34" t="inlineStr">
        <is>
          <t>Cost Account = CA-4068; WBS Code = 1.4.2</t>
        </is>
      </c>
      <c r="D1077" s="34" t="inlineStr">
        <is>
          <t>Proposed by Source assignment; target 1.4.2 Vehicles and Depot - Depot Buildings</t>
        </is>
      </c>
      <c r="E1077" s="34" t="inlineStr">
        <is>
          <t>None recorded</t>
        </is>
      </c>
      <c r="F1077" s="34" t="inlineStr">
        <is>
          <t>No individual professional decision recorded; Source assignment -- not individually reviewed</t>
        </is>
      </c>
      <c r="G1077" s="34" t="inlineStr">
        <is>
          <t>Not individually decided</t>
        </is>
      </c>
      <c r="H1077" s="34" t="inlineStr">
        <is>
          <t xml:space="preserve">APPROVED / ONE_TO_ONE; </t>
        </is>
      </c>
      <c r="I1077" s="34" t="inlineStr">
        <is>
          <t>New</t>
        </is>
      </c>
      <c r="J1077" s="92" t="inlineStr">
        <is>
          <t>08 CROSSWALK</t>
        </is>
      </c>
    </row>
    <row r="1078" ht="49" customHeight="1">
      <c r="A1078" s="34" t="inlineStr">
        <is>
          <t>R1392-v1</t>
        </is>
      </c>
      <c r="B1078" s="34" t="inlineStr">
        <is>
          <t>Cost &amp; Forecast Control Accounts / CST-04-070</t>
        </is>
      </c>
      <c r="C1078" s="34" t="inlineStr">
        <is>
          <t>Cost Account = CA-4070; WBS Code = 1.4.2</t>
        </is>
      </c>
      <c r="D1078" s="34" t="inlineStr">
        <is>
          <t>Proposed by Source assignment; target 1.4.2 Vehicles and Depot - Depot Buildings</t>
        </is>
      </c>
      <c r="E1078" s="34" t="inlineStr">
        <is>
          <t>None recorded</t>
        </is>
      </c>
      <c r="F1078" s="34" t="inlineStr">
        <is>
          <t>No individual professional decision recorded; Source assignment -- not individually reviewed</t>
        </is>
      </c>
      <c r="G1078" s="34" t="inlineStr">
        <is>
          <t>Not individually decided</t>
        </is>
      </c>
      <c r="H1078" s="34" t="inlineStr">
        <is>
          <t xml:space="preserve">APPROVED / ONE_TO_ONE; </t>
        </is>
      </c>
      <c r="I1078" s="34" t="inlineStr">
        <is>
          <t>New</t>
        </is>
      </c>
      <c r="J1078" s="92" t="inlineStr">
        <is>
          <t>08 CROSSWALK</t>
        </is>
      </c>
    </row>
    <row r="1079" ht="49" customHeight="1">
      <c r="A1079" s="34" t="inlineStr">
        <is>
          <t>R1394-v1</t>
        </is>
      </c>
      <c r="B1079" s="34" t="inlineStr">
        <is>
          <t>Cost &amp; Forecast Control Accounts / CST-04-072</t>
        </is>
      </c>
      <c r="C1079" s="34" t="inlineStr">
        <is>
          <t>Cost Account = CA-4072; WBS Code = 1.4.2</t>
        </is>
      </c>
      <c r="D1079" s="34" t="inlineStr">
        <is>
          <t>Proposed by Source assignment; target 1.4.2 Vehicles and Depot - Depot Buildings</t>
        </is>
      </c>
      <c r="E1079" s="34" t="inlineStr">
        <is>
          <t>None recorded</t>
        </is>
      </c>
      <c r="F1079" s="34" t="inlineStr">
        <is>
          <t>No individual professional decision recorded; Source assignment -- not individually reviewed</t>
        </is>
      </c>
      <c r="G1079" s="34" t="inlineStr">
        <is>
          <t>Not individually decided</t>
        </is>
      </c>
      <c r="H1079" s="34" t="inlineStr">
        <is>
          <t xml:space="preserve">APPROVED / ONE_TO_ONE; </t>
        </is>
      </c>
      <c r="I1079" s="34" t="inlineStr">
        <is>
          <t>New</t>
        </is>
      </c>
      <c r="J1079" s="92" t="inlineStr">
        <is>
          <t>08 CROSSWALK</t>
        </is>
      </c>
    </row>
    <row r="1080" ht="49" customHeight="1">
      <c r="A1080" s="34" t="inlineStr">
        <is>
          <t>R1396-v1</t>
        </is>
      </c>
      <c r="B1080" s="34" t="inlineStr">
        <is>
          <t>Cost &amp; Forecast Control Accounts / CST-04-074</t>
        </is>
      </c>
      <c r="C1080" s="34" t="inlineStr">
        <is>
          <t>Cost Account = CA-4074; WBS Code = 1.4.2</t>
        </is>
      </c>
      <c r="D1080" s="34" t="inlineStr">
        <is>
          <t>Proposed by Source assignment; target 1.4.2 Vehicles and Depot - Depot Buildings</t>
        </is>
      </c>
      <c r="E1080" s="34" t="inlineStr">
        <is>
          <t>None recorded</t>
        </is>
      </c>
      <c r="F1080" s="34" t="inlineStr">
        <is>
          <t>No individual professional decision recorded; Source assignment -- not individually reviewed</t>
        </is>
      </c>
      <c r="G1080" s="34" t="inlineStr">
        <is>
          <t>Not individually decided</t>
        </is>
      </c>
      <c r="H1080" s="34" t="inlineStr">
        <is>
          <t xml:space="preserve">APPROVED / ONE_TO_ONE; </t>
        </is>
      </c>
      <c r="I1080" s="34" t="inlineStr">
        <is>
          <t>New</t>
        </is>
      </c>
      <c r="J1080" s="92" t="inlineStr">
        <is>
          <t>08 CROSSWALK</t>
        </is>
      </c>
    </row>
    <row r="1081" ht="49" customHeight="1">
      <c r="A1081" s="34" t="inlineStr">
        <is>
          <t>R1398-v1</t>
        </is>
      </c>
      <c r="B1081" s="34" t="inlineStr">
        <is>
          <t>Cost &amp; Forecast Control Accounts / CST-04-076</t>
        </is>
      </c>
      <c r="C1081" s="34" t="inlineStr">
        <is>
          <t>Cost Account = CA-4076; WBS Code = 1.4.2</t>
        </is>
      </c>
      <c r="D1081" s="34" t="inlineStr">
        <is>
          <t>Proposed by Source assignment; target 1.4.2 Vehicles and Depot - Depot Buildings</t>
        </is>
      </c>
      <c r="E1081" s="34" t="inlineStr">
        <is>
          <t>None recorded</t>
        </is>
      </c>
      <c r="F1081" s="34" t="inlineStr">
        <is>
          <t>No individual professional decision recorded; Source assignment -- not individually reviewed</t>
        </is>
      </c>
      <c r="G1081" s="34" t="inlineStr">
        <is>
          <t>Not individually decided</t>
        </is>
      </c>
      <c r="H1081" s="34" t="inlineStr">
        <is>
          <t xml:space="preserve">APPROVED / ONE_TO_ONE; </t>
        </is>
      </c>
      <c r="I1081" s="34" t="inlineStr">
        <is>
          <t>New</t>
        </is>
      </c>
      <c r="J1081" s="92" t="inlineStr">
        <is>
          <t>08 CROSSWALK</t>
        </is>
      </c>
    </row>
    <row r="1082" ht="49" customHeight="1">
      <c r="A1082" s="34" t="inlineStr">
        <is>
          <t>R1400-v1</t>
        </is>
      </c>
      <c r="B1082" s="34" t="inlineStr">
        <is>
          <t>Cost &amp; Forecast Control Accounts / CST-04-078</t>
        </is>
      </c>
      <c r="C1082" s="34" t="inlineStr">
        <is>
          <t>Cost Account = CA-4078; WBS Code = 1.4.2</t>
        </is>
      </c>
      <c r="D1082" s="34" t="inlineStr">
        <is>
          <t>Proposed by Source assignment; target 1.4.2 Vehicles and Depot - Depot Buildings</t>
        </is>
      </c>
      <c r="E1082" s="34" t="inlineStr">
        <is>
          <t>None recorded</t>
        </is>
      </c>
      <c r="F1082" s="34" t="inlineStr">
        <is>
          <t>No individual professional decision recorded; Source assignment -- not individually reviewed</t>
        </is>
      </c>
      <c r="G1082" s="34" t="inlineStr">
        <is>
          <t>Not individually decided</t>
        </is>
      </c>
      <c r="H1082" s="34" t="inlineStr">
        <is>
          <t xml:space="preserve">APPROVED / ONE_TO_ONE; </t>
        </is>
      </c>
      <c r="I1082" s="34" t="inlineStr">
        <is>
          <t>New</t>
        </is>
      </c>
      <c r="J1082" s="92" t="inlineStr">
        <is>
          <t>08 CROSSWALK</t>
        </is>
      </c>
    </row>
    <row r="1083" ht="49" customHeight="1">
      <c r="A1083" s="34" t="inlineStr">
        <is>
          <t>R1402-v1</t>
        </is>
      </c>
      <c r="B1083" s="34" t="inlineStr">
        <is>
          <t>Cost &amp; Forecast Control Accounts / CST-04-080</t>
        </is>
      </c>
      <c r="C1083" s="34" t="inlineStr">
        <is>
          <t>Cost Account = CA-4080; WBS Code = 1.4.2</t>
        </is>
      </c>
      <c r="D1083" s="34" t="inlineStr">
        <is>
          <t>Proposed by Source assignment; target 1.4.2 Vehicles and Depot - Depot Buildings</t>
        </is>
      </c>
      <c r="E1083" s="34" t="inlineStr">
        <is>
          <t>None recorded</t>
        </is>
      </c>
      <c r="F1083" s="34" t="inlineStr">
        <is>
          <t>No individual professional decision recorded; Source assignment -- not individually reviewed</t>
        </is>
      </c>
      <c r="G1083" s="34" t="inlineStr">
        <is>
          <t>Not individually decided</t>
        </is>
      </c>
      <c r="H1083" s="34" t="inlineStr">
        <is>
          <t xml:space="preserve">APPROVED / ONE_TO_ONE; </t>
        </is>
      </c>
      <c r="I1083" s="34" t="inlineStr">
        <is>
          <t>New</t>
        </is>
      </c>
      <c r="J1083" s="92" t="inlineStr">
        <is>
          <t>08 CROSSWALK</t>
        </is>
      </c>
    </row>
    <row r="1084" ht="49" customHeight="1">
      <c r="A1084" s="34" t="inlineStr">
        <is>
          <t>R1603-v1</t>
        </is>
      </c>
      <c r="B1084" s="34" t="inlineStr">
        <is>
          <t>Commercial Package Register / PKG-041</t>
        </is>
      </c>
      <c r="C1084" s="34" t="inlineStr">
        <is>
          <t>Package Code = PK-501; WBS Code = 1.5</t>
        </is>
      </c>
      <c r="D1084" s="34" t="inlineStr">
        <is>
          <t>Proposed by Source assignment; target 1.5 Testing and Commissioning</t>
        </is>
      </c>
      <c r="E1084" s="34" t="inlineStr">
        <is>
          <t>None recorded</t>
        </is>
      </c>
      <c r="F1084" s="34" t="inlineStr">
        <is>
          <t>No individual professional decision recorded; Source assignment -- not individually reviewed</t>
        </is>
      </c>
      <c r="G1084" s="34" t="inlineStr">
        <is>
          <t>Not individually decided</t>
        </is>
      </c>
      <c r="H1084" s="34" t="inlineStr">
        <is>
          <t xml:space="preserve">APPROVED / ONE_TO_ONE; </t>
        </is>
      </c>
      <c r="I1084" s="34" t="inlineStr">
        <is>
          <t>New</t>
        </is>
      </c>
      <c r="J1084" s="92" t="inlineStr">
        <is>
          <t>08 CROSSWALK</t>
        </is>
      </c>
    </row>
    <row r="1085" ht="49" customHeight="1">
      <c r="A1085" s="34" t="inlineStr">
        <is>
          <t>R1604-v1</t>
        </is>
      </c>
      <c r="B1085" s="34" t="inlineStr">
        <is>
          <t>Commercial Package Register / PKG-042</t>
        </is>
      </c>
      <c r="C1085" s="34" t="inlineStr">
        <is>
          <t>Package Code = PK-502; WBS Code = 1.5</t>
        </is>
      </c>
      <c r="D1085" s="34" t="inlineStr">
        <is>
          <t>Proposed by Source assignment; target 1.5 Testing and Commissioning</t>
        </is>
      </c>
      <c r="E1085" s="34" t="inlineStr">
        <is>
          <t>None recorded</t>
        </is>
      </c>
      <c r="F1085" s="34" t="inlineStr">
        <is>
          <t>No individual professional decision recorded; Source assignment -- not individually reviewed</t>
        </is>
      </c>
      <c r="G1085" s="34" t="inlineStr">
        <is>
          <t>Not individually decided</t>
        </is>
      </c>
      <c r="H1085" s="34" t="inlineStr">
        <is>
          <t xml:space="preserve">APPROVED / ONE_TO_ONE; </t>
        </is>
      </c>
      <c r="I1085" s="34" t="inlineStr">
        <is>
          <t>New</t>
        </is>
      </c>
      <c r="J1085" s="92" t="inlineStr">
        <is>
          <t>08 CROSSWALK</t>
        </is>
      </c>
    </row>
    <row r="1086" ht="49" customHeight="1">
      <c r="A1086" s="34" t="inlineStr">
        <is>
          <t>R1605-v1</t>
        </is>
      </c>
      <c r="B1086" s="34" t="inlineStr">
        <is>
          <t>Commercial Package Register / PKG-043</t>
        </is>
      </c>
      <c r="C1086" s="34" t="inlineStr">
        <is>
          <t>Package Code = PK-503; WBS Code = 1.5</t>
        </is>
      </c>
      <c r="D1086" s="34" t="inlineStr">
        <is>
          <t>Proposed by Source assignment; target 1.5 Testing and Commissioning</t>
        </is>
      </c>
      <c r="E1086" s="34" t="inlineStr">
        <is>
          <t>None recorded</t>
        </is>
      </c>
      <c r="F1086" s="34" t="inlineStr">
        <is>
          <t>No individual professional decision recorded; Source assignment -- not individually reviewed</t>
        </is>
      </c>
      <c r="G1086" s="34" t="inlineStr">
        <is>
          <t>Not individually decided</t>
        </is>
      </c>
      <c r="H1086" s="34" t="inlineStr">
        <is>
          <t xml:space="preserve">APPROVED / ONE_TO_ONE; </t>
        </is>
      </c>
      <c r="I1086" s="34" t="inlineStr">
        <is>
          <t>New</t>
        </is>
      </c>
      <c r="J1086" s="92" t="inlineStr">
        <is>
          <t>08 CROSSWALK</t>
        </is>
      </c>
    </row>
    <row r="1087" ht="49" customHeight="1">
      <c r="A1087" s="34" t="inlineStr">
        <is>
          <t>R1606-v1</t>
        </is>
      </c>
      <c r="B1087" s="34" t="inlineStr">
        <is>
          <t>Commercial Package Register / PKG-044</t>
        </is>
      </c>
      <c r="C1087" s="34" t="inlineStr">
        <is>
          <t>Package Code = PK-504; WBS Code = 1.5</t>
        </is>
      </c>
      <c r="D1087" s="34" t="inlineStr">
        <is>
          <t>Proposed by Source assignment; target 1.5 Testing and Commissioning</t>
        </is>
      </c>
      <c r="E1087" s="34" t="inlineStr">
        <is>
          <t>None recorded</t>
        </is>
      </c>
      <c r="F1087" s="34" t="inlineStr">
        <is>
          <t>No individual professional decision recorded; Source assignment -- not individually reviewed</t>
        </is>
      </c>
      <c r="G1087" s="34" t="inlineStr">
        <is>
          <t>Not individually decided</t>
        </is>
      </c>
      <c r="H1087" s="34" t="inlineStr">
        <is>
          <t xml:space="preserve">APPROVED / ONE_TO_ONE; </t>
        </is>
      </c>
      <c r="I1087" s="34" t="inlineStr">
        <is>
          <t>New</t>
        </is>
      </c>
      <c r="J1087" s="92" t="inlineStr">
        <is>
          <t>08 CROSSWALK</t>
        </is>
      </c>
    </row>
    <row r="1088" ht="49" customHeight="1">
      <c r="A1088" s="34" t="inlineStr">
        <is>
          <t>R1607-v1</t>
        </is>
      </c>
      <c r="B1088" s="34" t="inlineStr">
        <is>
          <t>Commercial Package Register / PKG-045</t>
        </is>
      </c>
      <c r="C1088" s="34" t="inlineStr">
        <is>
          <t>Package Code = PK-505; WBS Code = 1.5</t>
        </is>
      </c>
      <c r="D1088" s="34" t="inlineStr">
        <is>
          <t>Proposed by Source assignment; target 1.5 Testing and Commissioning</t>
        </is>
      </c>
      <c r="E1088" s="34" t="inlineStr">
        <is>
          <t>None recorded</t>
        </is>
      </c>
      <c r="F1088" s="34" t="inlineStr">
        <is>
          <t>No individual professional decision recorded; Source assignment -- not individually reviewed</t>
        </is>
      </c>
      <c r="G1088" s="34" t="inlineStr">
        <is>
          <t>Not individually decided</t>
        </is>
      </c>
      <c r="H1088" s="34" t="inlineStr">
        <is>
          <t xml:space="preserve">APPROVED / ONE_TO_ONE; </t>
        </is>
      </c>
      <c r="I1088" s="34" t="inlineStr">
        <is>
          <t>New</t>
        </is>
      </c>
      <c r="J1088" s="92" t="inlineStr">
        <is>
          <t>08 CROSSWALK</t>
        </is>
      </c>
    </row>
    <row r="1089" ht="49" customHeight="1">
      <c r="A1089" s="34" t="inlineStr">
        <is>
          <t>R1608-v1</t>
        </is>
      </c>
      <c r="B1089" s="34" t="inlineStr">
        <is>
          <t>Commercial Package Register / PKG-046</t>
        </is>
      </c>
      <c r="C1089" s="34" t="inlineStr">
        <is>
          <t>Package Code = PK-506; WBS Code = 1.5</t>
        </is>
      </c>
      <c r="D1089" s="34" t="inlineStr">
        <is>
          <t>Proposed by Source assignment; target 1.5 Testing and Commissioning</t>
        </is>
      </c>
      <c r="E1089" s="34" t="inlineStr">
        <is>
          <t>None recorded</t>
        </is>
      </c>
      <c r="F1089" s="34" t="inlineStr">
        <is>
          <t>No individual professional decision recorded; Source assignment -- not individually reviewed</t>
        </is>
      </c>
      <c r="G1089" s="34" t="inlineStr">
        <is>
          <t>Not individually decided</t>
        </is>
      </c>
      <c r="H1089" s="34" t="inlineStr">
        <is>
          <t xml:space="preserve">APPROVED / ONE_TO_ONE; </t>
        </is>
      </c>
      <c r="I1089" s="34" t="inlineStr">
        <is>
          <t>New</t>
        </is>
      </c>
      <c r="J1089" s="92" t="inlineStr">
        <is>
          <t>08 CROSSWALK</t>
        </is>
      </c>
    </row>
    <row r="1090" ht="49" customHeight="1">
      <c r="A1090" s="34" t="inlineStr">
        <is>
          <t>R1609-v1</t>
        </is>
      </c>
      <c r="B1090" s="34" t="inlineStr">
        <is>
          <t>Commercial Package Register / PKG-047</t>
        </is>
      </c>
      <c r="C1090" s="34" t="inlineStr">
        <is>
          <t>Package Code = PK-507; WBS Code = 1.5</t>
        </is>
      </c>
      <c r="D1090" s="34" t="inlineStr">
        <is>
          <t>Proposed by Source assignment; target 1.5 Testing and Commissioning</t>
        </is>
      </c>
      <c r="E1090" s="34" t="inlineStr">
        <is>
          <t>None recorded</t>
        </is>
      </c>
      <c r="F1090" s="34" t="inlineStr">
        <is>
          <t>No individual professional decision recorded; Source assignment -- not individually reviewed</t>
        </is>
      </c>
      <c r="G1090" s="34" t="inlineStr">
        <is>
          <t>Not individually decided</t>
        </is>
      </c>
      <c r="H1090" s="34" t="inlineStr">
        <is>
          <t xml:space="preserve">APPROVED / ONE_TO_ONE; </t>
        </is>
      </c>
      <c r="I1090" s="34" t="inlineStr">
        <is>
          <t>New</t>
        </is>
      </c>
      <c r="J1090" s="92" t="inlineStr">
        <is>
          <t>08 CROSSWALK</t>
        </is>
      </c>
    </row>
    <row r="1091" ht="49" customHeight="1">
      <c r="A1091" s="34" t="inlineStr">
        <is>
          <t>R1610-v1</t>
        </is>
      </c>
      <c r="B1091" s="34" t="inlineStr">
        <is>
          <t>Commercial Package Register / PKG-048</t>
        </is>
      </c>
      <c r="C1091" s="34" t="inlineStr">
        <is>
          <t>Package Code = PK-508; WBS Code = 1.5</t>
        </is>
      </c>
      <c r="D1091" s="34" t="inlineStr">
        <is>
          <t>Proposed by Source assignment; target 1.5 Testing and Commissioning</t>
        </is>
      </c>
      <c r="E1091" s="34" t="inlineStr">
        <is>
          <t>None recorded</t>
        </is>
      </c>
      <c r="F1091" s="34" t="inlineStr">
        <is>
          <t>No individual professional decision recorded; Source assignment -- not individually reviewed</t>
        </is>
      </c>
      <c r="G1091" s="34" t="inlineStr">
        <is>
          <t>Not individually decided</t>
        </is>
      </c>
      <c r="H1091" s="34" t="inlineStr">
        <is>
          <t xml:space="preserve">APPROVED / ONE_TO_ONE; </t>
        </is>
      </c>
      <c r="I1091" s="34" t="inlineStr">
        <is>
          <t>New</t>
        </is>
      </c>
      <c r="J1091" s="92" t="inlineStr">
        <is>
          <t>08 CROSSWALK</t>
        </is>
      </c>
    </row>
    <row r="1092" ht="49" customHeight="1">
      <c r="A1092" s="34" t="inlineStr">
        <is>
          <t>R1611-v1</t>
        </is>
      </c>
      <c r="B1092" s="34" t="inlineStr">
        <is>
          <t>Commercial Package Register / PKG-049</t>
        </is>
      </c>
      <c r="C1092" s="34" t="inlineStr">
        <is>
          <t>Package Code = PK-509; WBS Code = 1.5</t>
        </is>
      </c>
      <c r="D1092" s="34" t="inlineStr">
        <is>
          <t>Proposed by Source assignment; target 1.5 Testing and Commissioning</t>
        </is>
      </c>
      <c r="E1092" s="34" t="inlineStr">
        <is>
          <t>None recorded</t>
        </is>
      </c>
      <c r="F1092" s="34" t="inlineStr">
        <is>
          <t>No individual professional decision recorded; Source assignment -- not individually reviewed</t>
        </is>
      </c>
      <c r="G1092" s="34" t="inlineStr">
        <is>
          <t>Not individually decided</t>
        </is>
      </c>
      <c r="H1092" s="34" t="inlineStr">
        <is>
          <t xml:space="preserve">APPROVED / ONE_TO_ONE; </t>
        </is>
      </c>
      <c r="I1092" s="34" t="inlineStr">
        <is>
          <t>New</t>
        </is>
      </c>
      <c r="J1092" s="92" t="inlineStr">
        <is>
          <t>08 CROSSWALK</t>
        </is>
      </c>
    </row>
    <row r="1093" ht="49" customHeight="1">
      <c r="A1093" s="34" t="inlineStr">
        <is>
          <t>R1612-v1</t>
        </is>
      </c>
      <c r="B1093" s="34" t="inlineStr">
        <is>
          <t>Commercial Package Register / PKG-050</t>
        </is>
      </c>
      <c r="C1093" s="34" t="inlineStr">
        <is>
          <t>Package Code = PK-510; WBS Code = 1.5</t>
        </is>
      </c>
      <c r="D1093" s="34" t="inlineStr">
        <is>
          <t>Proposed by Source assignment; target 1.5 Testing and Commissioning</t>
        </is>
      </c>
      <c r="E1093" s="34" t="inlineStr">
        <is>
          <t>None recorded</t>
        </is>
      </c>
      <c r="F1093" s="34" t="inlineStr">
        <is>
          <t>No individual professional decision recorded; Source assignment -- not individually reviewed</t>
        </is>
      </c>
      <c r="G1093" s="34" t="inlineStr">
        <is>
          <t>Not individually decided</t>
        </is>
      </c>
      <c r="H1093" s="34" t="inlineStr">
        <is>
          <t xml:space="preserve">APPROVED / ONE_TO_ONE; </t>
        </is>
      </c>
      <c r="I1093" s="34" t="inlineStr">
        <is>
          <t>New</t>
        </is>
      </c>
      <c r="J1093" s="92" t="inlineStr">
        <is>
          <t>08 CROSSWALK</t>
        </is>
      </c>
    </row>
    <row r="1094" ht="49" customHeight="1">
      <c r="A1094" s="34" t="inlineStr">
        <is>
          <t>R721-v1</t>
        </is>
      </c>
      <c r="B1094" s="34" t="inlineStr">
        <is>
          <t>Contractor Programme / SCH-05-001</t>
        </is>
      </c>
      <c r="C1094" s="34" t="inlineStr">
        <is>
          <t>WBS Code = 1.5.1</t>
        </is>
      </c>
      <c r="D1094" s="34" t="inlineStr">
        <is>
          <t>Proposed by Source assignment; target 1.5.1 Testing and Commissioning - Test Readiness</t>
        </is>
      </c>
      <c r="E1094" s="34" t="inlineStr">
        <is>
          <t>None recorded</t>
        </is>
      </c>
      <c r="F1094" s="34" t="inlineStr">
        <is>
          <t>No individual professional decision recorded; Source assignment -- not individually reviewed</t>
        </is>
      </c>
      <c r="G1094" s="34" t="inlineStr">
        <is>
          <t>Not individually decided</t>
        </is>
      </c>
      <c r="H1094" s="34" t="inlineStr">
        <is>
          <t xml:space="preserve">APPROVED / ONE_TO_ONE; </t>
        </is>
      </c>
      <c r="I1094" s="34" t="inlineStr">
        <is>
          <t>New</t>
        </is>
      </c>
      <c r="J1094" s="92" t="inlineStr">
        <is>
          <t>08 CROSSWALK</t>
        </is>
      </c>
    </row>
    <row r="1095" ht="49" customHeight="1">
      <c r="A1095" s="34" t="inlineStr">
        <is>
          <t>R722-v1</t>
        </is>
      </c>
      <c r="B1095" s="34" t="inlineStr">
        <is>
          <t>Contractor Programme / SCH-05-002</t>
        </is>
      </c>
      <c r="C1095" s="34" t="inlineStr">
        <is>
          <t>WBS Code = 1.5.1</t>
        </is>
      </c>
      <c r="D1095" s="34" t="inlineStr">
        <is>
          <t>Proposed by Source assignment; target 1.5.1 Testing and Commissioning - Test Readiness</t>
        </is>
      </c>
      <c r="E1095" s="34" t="inlineStr">
        <is>
          <t>None recorded</t>
        </is>
      </c>
      <c r="F1095" s="34" t="inlineStr">
        <is>
          <t>No individual professional decision recorded; Source assignment -- not individually reviewed</t>
        </is>
      </c>
      <c r="G1095" s="34" t="inlineStr">
        <is>
          <t>Not individually decided</t>
        </is>
      </c>
      <c r="H1095" s="34" t="inlineStr">
        <is>
          <t xml:space="preserve">APPROVED / ONE_TO_ONE; </t>
        </is>
      </c>
      <c r="I1095" s="34" t="inlineStr">
        <is>
          <t>New</t>
        </is>
      </c>
      <c r="J1095" s="92" t="inlineStr">
        <is>
          <t>08 CROSSWALK</t>
        </is>
      </c>
    </row>
    <row r="1096" ht="49" customHeight="1">
      <c r="A1096" s="34" t="inlineStr">
        <is>
          <t>R724-v1</t>
        </is>
      </c>
      <c r="B1096" s="34" t="inlineStr">
        <is>
          <t>Contractor Programme / SCH-05-004</t>
        </is>
      </c>
      <c r="C1096" s="34" t="inlineStr">
        <is>
          <t>WBS Code = 1.5.1</t>
        </is>
      </c>
      <c r="D1096" s="34" t="inlineStr">
        <is>
          <t>Proposed by Source assignment; target 1.5.1 Testing and Commissioning - Test Readiness</t>
        </is>
      </c>
      <c r="E1096" s="34" t="inlineStr">
        <is>
          <t>None recorded</t>
        </is>
      </c>
      <c r="F1096" s="34" t="inlineStr">
        <is>
          <t>No individual professional decision recorded; Source assignment -- not individually reviewed</t>
        </is>
      </c>
      <c r="G1096" s="34" t="inlineStr">
        <is>
          <t>Not individually decided</t>
        </is>
      </c>
      <c r="H1096" s="34" t="inlineStr">
        <is>
          <t xml:space="preserve">APPROVED / ONE_TO_ONE; </t>
        </is>
      </c>
      <c r="I1096" s="34" t="inlineStr">
        <is>
          <t>New</t>
        </is>
      </c>
      <c r="J1096" s="92" t="inlineStr">
        <is>
          <t>08 CROSSWALK</t>
        </is>
      </c>
    </row>
    <row r="1097" ht="49" customHeight="1">
      <c r="A1097" s="34" t="inlineStr">
        <is>
          <t>R725-v1</t>
        </is>
      </c>
      <c r="B1097" s="34" t="inlineStr">
        <is>
          <t>Contractor Programme / SCH-05-005</t>
        </is>
      </c>
      <c r="C1097" s="34" t="inlineStr">
        <is>
          <t>WBS Code = 1.5.1</t>
        </is>
      </c>
      <c r="D1097" s="34" t="inlineStr">
        <is>
          <t>Proposed by Source assignment; target 1.5.1 Testing and Commissioning - Test Readiness</t>
        </is>
      </c>
      <c r="E1097" s="34" t="inlineStr">
        <is>
          <t>None recorded</t>
        </is>
      </c>
      <c r="F1097" s="34" t="inlineStr">
        <is>
          <t>No individual professional decision recorded; Source assignment -- not individually reviewed</t>
        </is>
      </c>
      <c r="G1097" s="34" t="inlineStr">
        <is>
          <t>Not individually decided</t>
        </is>
      </c>
      <c r="H1097" s="34" t="inlineStr">
        <is>
          <t xml:space="preserve">APPROVED / ONE_TO_ONE; </t>
        </is>
      </c>
      <c r="I1097" s="34" t="inlineStr">
        <is>
          <t>New</t>
        </is>
      </c>
      <c r="J1097" s="92" t="inlineStr">
        <is>
          <t>08 CROSSWALK</t>
        </is>
      </c>
    </row>
    <row r="1098" ht="49" customHeight="1">
      <c r="A1098" s="34" t="inlineStr">
        <is>
          <t>R727-v1</t>
        </is>
      </c>
      <c r="B1098" s="34" t="inlineStr">
        <is>
          <t>Contractor Programme / SCH-05-007</t>
        </is>
      </c>
      <c r="C1098" s="34" t="inlineStr">
        <is>
          <t>WBS Code = 1.5.1</t>
        </is>
      </c>
      <c r="D1098" s="34" t="inlineStr">
        <is>
          <t>Proposed by Source assignment; target 1.5.1 Testing and Commissioning - Test Readiness</t>
        </is>
      </c>
      <c r="E1098" s="34" t="inlineStr">
        <is>
          <t>None recorded</t>
        </is>
      </c>
      <c r="F1098" s="34" t="inlineStr">
        <is>
          <t>No individual professional decision recorded; Source assignment -- not individually reviewed</t>
        </is>
      </c>
      <c r="G1098" s="34" t="inlineStr">
        <is>
          <t>Not individually decided</t>
        </is>
      </c>
      <c r="H1098" s="34" t="inlineStr">
        <is>
          <t xml:space="preserve">APPROVED / ONE_TO_ONE; </t>
        </is>
      </c>
      <c r="I1098" s="34" t="inlineStr">
        <is>
          <t>New</t>
        </is>
      </c>
      <c r="J1098" s="92" t="inlineStr">
        <is>
          <t>08 CROSSWALK</t>
        </is>
      </c>
    </row>
    <row r="1099" ht="49" customHeight="1">
      <c r="A1099" s="34" t="inlineStr">
        <is>
          <t>R728-v1</t>
        </is>
      </c>
      <c r="B1099" s="34" t="inlineStr">
        <is>
          <t>Contractor Programme / SCH-05-008</t>
        </is>
      </c>
      <c r="C1099" s="34" t="inlineStr">
        <is>
          <t>WBS Code = 1.5.1</t>
        </is>
      </c>
      <c r="D1099" s="34" t="inlineStr">
        <is>
          <t>Proposed by Source assignment; target 1.5.1 Testing and Commissioning - Test Readiness</t>
        </is>
      </c>
      <c r="E1099" s="34" t="inlineStr">
        <is>
          <t>None recorded</t>
        </is>
      </c>
      <c r="F1099" s="34" t="inlineStr">
        <is>
          <t>No individual professional decision recorded; Source assignment -- not individually reviewed</t>
        </is>
      </c>
      <c r="G1099" s="34" t="inlineStr">
        <is>
          <t>Not individually decided</t>
        </is>
      </c>
      <c r="H1099" s="34" t="inlineStr">
        <is>
          <t xml:space="preserve">APPROVED / ONE_TO_ONE; </t>
        </is>
      </c>
      <c r="I1099" s="34" t="inlineStr">
        <is>
          <t>New</t>
        </is>
      </c>
      <c r="J1099" s="92" t="inlineStr">
        <is>
          <t>08 CROSSWALK</t>
        </is>
      </c>
    </row>
    <row r="1100" ht="49" customHeight="1">
      <c r="A1100" s="34" t="inlineStr">
        <is>
          <t>R730-v1</t>
        </is>
      </c>
      <c r="B1100" s="34" t="inlineStr">
        <is>
          <t>Contractor Programme / SCH-05-010</t>
        </is>
      </c>
      <c r="C1100" s="34" t="inlineStr">
        <is>
          <t>WBS Code = 1.5.1</t>
        </is>
      </c>
      <c r="D1100" s="34" t="inlineStr">
        <is>
          <t>Proposed by Source assignment; target 1.5.1 Testing and Commissioning - Test Readiness</t>
        </is>
      </c>
      <c r="E1100" s="34" t="inlineStr">
        <is>
          <t>None recorded</t>
        </is>
      </c>
      <c r="F1100" s="34" t="inlineStr">
        <is>
          <t>No individual professional decision recorded; Source assignment -- not individually reviewed</t>
        </is>
      </c>
      <c r="G1100" s="34" t="inlineStr">
        <is>
          <t>Not individually decided</t>
        </is>
      </c>
      <c r="H1100" s="34" t="inlineStr">
        <is>
          <t xml:space="preserve">APPROVED / ONE_TO_ONE; </t>
        </is>
      </c>
      <c r="I1100" s="34" t="inlineStr">
        <is>
          <t>New</t>
        </is>
      </c>
      <c r="J1100" s="92" t="inlineStr">
        <is>
          <t>08 CROSSWALK</t>
        </is>
      </c>
    </row>
    <row r="1101" ht="49" customHeight="1">
      <c r="A1101" s="34" t="inlineStr">
        <is>
          <t>R731-v1</t>
        </is>
      </c>
      <c r="B1101" s="34" t="inlineStr">
        <is>
          <t>Contractor Programme / SCH-05-011</t>
        </is>
      </c>
      <c r="C1101" s="34" t="inlineStr">
        <is>
          <t>WBS Code = 1.5.1</t>
        </is>
      </c>
      <c r="D1101" s="34" t="inlineStr">
        <is>
          <t>Proposed by Source assignment; target 1.5.1 Testing and Commissioning - Test Readiness</t>
        </is>
      </c>
      <c r="E1101" s="34" t="inlineStr">
        <is>
          <t>None recorded</t>
        </is>
      </c>
      <c r="F1101" s="34" t="inlineStr">
        <is>
          <t>No individual professional decision recorded; Source assignment -- not individually reviewed</t>
        </is>
      </c>
      <c r="G1101" s="34" t="inlineStr">
        <is>
          <t>Not individually decided</t>
        </is>
      </c>
      <c r="H1101" s="34" t="inlineStr">
        <is>
          <t xml:space="preserve">APPROVED / ONE_TO_ONE; </t>
        </is>
      </c>
      <c r="I1101" s="34" t="inlineStr">
        <is>
          <t>New</t>
        </is>
      </c>
      <c r="J1101" s="92" t="inlineStr">
        <is>
          <t>08 CROSSWALK</t>
        </is>
      </c>
    </row>
    <row r="1102" ht="49" customHeight="1">
      <c r="A1102" s="34" t="inlineStr">
        <is>
          <t>R733-v1</t>
        </is>
      </c>
      <c r="B1102" s="34" t="inlineStr">
        <is>
          <t>Contractor Programme / SCH-05-013</t>
        </is>
      </c>
      <c r="C1102" s="34" t="inlineStr">
        <is>
          <t>WBS Code = 1.5.1</t>
        </is>
      </c>
      <c r="D1102" s="34" t="inlineStr">
        <is>
          <t>Proposed by Source assignment; target 1.5.1 Testing and Commissioning - Test Readiness</t>
        </is>
      </c>
      <c r="E1102" s="34" t="inlineStr">
        <is>
          <t>None recorded</t>
        </is>
      </c>
      <c r="F1102" s="34" t="inlineStr">
        <is>
          <t>No individual professional decision recorded; Source assignment -- not individually reviewed</t>
        </is>
      </c>
      <c r="G1102" s="34" t="inlineStr">
        <is>
          <t>Not individually decided</t>
        </is>
      </c>
      <c r="H1102" s="34" t="inlineStr">
        <is>
          <t xml:space="preserve">APPROVED / ONE_TO_ONE; </t>
        </is>
      </c>
      <c r="I1102" s="34" t="inlineStr">
        <is>
          <t>New</t>
        </is>
      </c>
      <c r="J1102" s="92" t="inlineStr">
        <is>
          <t>08 CROSSWALK</t>
        </is>
      </c>
    </row>
    <row r="1103" ht="49" customHeight="1">
      <c r="A1103" s="34" t="inlineStr">
        <is>
          <t>R734-v1</t>
        </is>
      </c>
      <c r="B1103" s="34" t="inlineStr">
        <is>
          <t>Contractor Programme / SCH-05-014</t>
        </is>
      </c>
      <c r="C1103" s="34" t="inlineStr">
        <is>
          <t>WBS Code = 1.5.1</t>
        </is>
      </c>
      <c r="D1103" s="34" t="inlineStr">
        <is>
          <t>Proposed by Source assignment; target 1.5.1 Testing and Commissioning - Test Readiness</t>
        </is>
      </c>
      <c r="E1103" s="34" t="inlineStr">
        <is>
          <t>None recorded</t>
        </is>
      </c>
      <c r="F1103" s="34" t="inlineStr">
        <is>
          <t>No individual professional decision recorded; Source assignment -- not individually reviewed</t>
        </is>
      </c>
      <c r="G1103" s="34" t="inlineStr">
        <is>
          <t>Not individually decided</t>
        </is>
      </c>
      <c r="H1103" s="34" t="inlineStr">
        <is>
          <t xml:space="preserve">APPROVED / ONE_TO_ONE; </t>
        </is>
      </c>
      <c r="I1103" s="34" t="inlineStr">
        <is>
          <t>New</t>
        </is>
      </c>
      <c r="J1103" s="92" t="inlineStr">
        <is>
          <t>08 CROSSWALK</t>
        </is>
      </c>
    </row>
    <row r="1104" ht="49" customHeight="1">
      <c r="A1104" s="34" t="inlineStr">
        <is>
          <t>R736-v1</t>
        </is>
      </c>
      <c r="B1104" s="34" t="inlineStr">
        <is>
          <t>Contractor Programme / SCH-05-016</t>
        </is>
      </c>
      <c r="C1104" s="34" t="inlineStr">
        <is>
          <t>WBS Code = 1.5.1</t>
        </is>
      </c>
      <c r="D1104" s="34" t="inlineStr">
        <is>
          <t>Proposed by Source assignment; target 1.5.1 Testing and Commissioning - Test Readiness</t>
        </is>
      </c>
      <c r="E1104" s="34" t="inlineStr">
        <is>
          <t>None recorded</t>
        </is>
      </c>
      <c r="F1104" s="34" t="inlineStr">
        <is>
          <t>No individual professional decision recorded; Source assignment -- not individually reviewed</t>
        </is>
      </c>
      <c r="G1104" s="34" t="inlineStr">
        <is>
          <t>Not individually decided</t>
        </is>
      </c>
      <c r="H1104" s="34" t="inlineStr">
        <is>
          <t xml:space="preserve">APPROVED / ONE_TO_ONE; </t>
        </is>
      </c>
      <c r="I1104" s="34" t="inlineStr">
        <is>
          <t>New</t>
        </is>
      </c>
      <c r="J1104" s="92" t="inlineStr">
        <is>
          <t>08 CROSSWALK</t>
        </is>
      </c>
    </row>
    <row r="1105" ht="49" customHeight="1">
      <c r="A1105" s="34" t="inlineStr">
        <is>
          <t>R737-v1</t>
        </is>
      </c>
      <c r="B1105" s="34" t="inlineStr">
        <is>
          <t>Contractor Programme / SCH-05-017</t>
        </is>
      </c>
      <c r="C1105" s="34" t="inlineStr">
        <is>
          <t>WBS Code = 1.5.1</t>
        </is>
      </c>
      <c r="D1105" s="34" t="inlineStr">
        <is>
          <t>Proposed by Source assignment; target 1.5.1 Testing and Commissioning - Test Readiness</t>
        </is>
      </c>
      <c r="E1105" s="34" t="inlineStr">
        <is>
          <t>None recorded</t>
        </is>
      </c>
      <c r="F1105" s="34" t="inlineStr">
        <is>
          <t>No individual professional decision recorded; Source assignment -- not individually reviewed</t>
        </is>
      </c>
      <c r="G1105" s="34" t="inlineStr">
        <is>
          <t>Not individually decided</t>
        </is>
      </c>
      <c r="H1105" s="34" t="inlineStr">
        <is>
          <t xml:space="preserve">APPROVED / ONE_TO_ONE; </t>
        </is>
      </c>
      <c r="I1105" s="34" t="inlineStr">
        <is>
          <t>New</t>
        </is>
      </c>
      <c r="J1105" s="92" t="inlineStr">
        <is>
          <t>08 CROSSWALK</t>
        </is>
      </c>
    </row>
    <row r="1106" ht="49" customHeight="1">
      <c r="A1106" s="34" t="inlineStr">
        <is>
          <t>R739-v1</t>
        </is>
      </c>
      <c r="B1106" s="34" t="inlineStr">
        <is>
          <t>Contractor Programme / SCH-05-019</t>
        </is>
      </c>
      <c r="C1106" s="34" t="inlineStr">
        <is>
          <t>WBS Code = 1.5.1</t>
        </is>
      </c>
      <c r="D1106" s="34" t="inlineStr">
        <is>
          <t>Proposed by Source assignment; target 1.5.1 Testing and Commissioning - Test Readiness</t>
        </is>
      </c>
      <c r="E1106" s="34" t="inlineStr">
        <is>
          <t>None recorded</t>
        </is>
      </c>
      <c r="F1106" s="34" t="inlineStr">
        <is>
          <t>No individual professional decision recorded; Source assignment -- not individually reviewed</t>
        </is>
      </c>
      <c r="G1106" s="34" t="inlineStr">
        <is>
          <t>Not individually decided</t>
        </is>
      </c>
      <c r="H1106" s="34" t="inlineStr">
        <is>
          <t xml:space="preserve">APPROVED / ONE_TO_ONE; </t>
        </is>
      </c>
      <c r="I1106" s="34" t="inlineStr">
        <is>
          <t>New</t>
        </is>
      </c>
      <c r="J1106" s="92" t="inlineStr">
        <is>
          <t>08 CROSSWALK</t>
        </is>
      </c>
    </row>
    <row r="1107" ht="49" customHeight="1">
      <c r="A1107" s="34" t="inlineStr">
        <is>
          <t>R740-v1</t>
        </is>
      </c>
      <c r="B1107" s="34" t="inlineStr">
        <is>
          <t>Contractor Programme / SCH-05-020</t>
        </is>
      </c>
      <c r="C1107" s="34" t="inlineStr">
        <is>
          <t>WBS Code = 1.5.1</t>
        </is>
      </c>
      <c r="D1107" s="34" t="inlineStr">
        <is>
          <t>Proposed by Source assignment; target 1.5.1 Testing and Commissioning - Test Readiness</t>
        </is>
      </c>
      <c r="E1107" s="34" t="inlineStr">
        <is>
          <t>None recorded</t>
        </is>
      </c>
      <c r="F1107" s="34" t="inlineStr">
        <is>
          <t>No individual professional decision recorded; Source assignment -- not individually reviewed</t>
        </is>
      </c>
      <c r="G1107" s="34" t="inlineStr">
        <is>
          <t>Not individually decided</t>
        </is>
      </c>
      <c r="H1107" s="34" t="inlineStr">
        <is>
          <t xml:space="preserve">APPROVED / ONE_TO_ONE; </t>
        </is>
      </c>
      <c r="I1107" s="34" t="inlineStr">
        <is>
          <t>New</t>
        </is>
      </c>
      <c r="J1107" s="92" t="inlineStr">
        <is>
          <t>08 CROSSWALK</t>
        </is>
      </c>
    </row>
    <row r="1108" ht="49" customHeight="1">
      <c r="A1108" s="34" t="inlineStr">
        <is>
          <t>R742-v1</t>
        </is>
      </c>
      <c r="B1108" s="34" t="inlineStr">
        <is>
          <t>Contractor Programme / SCH-05-022</t>
        </is>
      </c>
      <c r="C1108" s="34" t="inlineStr">
        <is>
          <t>WBS Code = 1.5.1</t>
        </is>
      </c>
      <c r="D1108" s="34" t="inlineStr">
        <is>
          <t>Proposed by Source assignment; target 1.5.1 Testing and Commissioning - Test Readiness</t>
        </is>
      </c>
      <c r="E1108" s="34" t="inlineStr">
        <is>
          <t>None recorded</t>
        </is>
      </c>
      <c r="F1108" s="34" t="inlineStr">
        <is>
          <t>No individual professional decision recorded; Source assignment -- not individually reviewed</t>
        </is>
      </c>
      <c r="G1108" s="34" t="inlineStr">
        <is>
          <t>Not individually decided</t>
        </is>
      </c>
      <c r="H1108" s="34" t="inlineStr">
        <is>
          <t xml:space="preserve">APPROVED / ONE_TO_ONE; </t>
        </is>
      </c>
      <c r="I1108" s="34" t="inlineStr">
        <is>
          <t>New</t>
        </is>
      </c>
      <c r="J1108" s="92" t="inlineStr">
        <is>
          <t>08 CROSSWALK</t>
        </is>
      </c>
    </row>
    <row r="1109" ht="49" customHeight="1">
      <c r="A1109" s="34" t="inlineStr">
        <is>
          <t>R743-v1</t>
        </is>
      </c>
      <c r="B1109" s="34" t="inlineStr">
        <is>
          <t>Contractor Programme / SCH-05-023</t>
        </is>
      </c>
      <c r="C1109" s="34" t="inlineStr">
        <is>
          <t>WBS Code = 1.5.1</t>
        </is>
      </c>
      <c r="D1109" s="34" t="inlineStr">
        <is>
          <t>Proposed by Source assignment; target 1.5.1 Testing and Commissioning - Test Readiness</t>
        </is>
      </c>
      <c r="E1109" s="34" t="inlineStr">
        <is>
          <t>None recorded</t>
        </is>
      </c>
      <c r="F1109" s="34" t="inlineStr">
        <is>
          <t>No individual professional decision recorded; Source assignment -- not individually reviewed</t>
        </is>
      </c>
      <c r="G1109" s="34" t="inlineStr">
        <is>
          <t>Not individually decided</t>
        </is>
      </c>
      <c r="H1109" s="34" t="inlineStr">
        <is>
          <t xml:space="preserve">APPROVED / ONE_TO_ONE; </t>
        </is>
      </c>
      <c r="I1109" s="34" t="inlineStr">
        <is>
          <t>New</t>
        </is>
      </c>
      <c r="J1109" s="92" t="inlineStr">
        <is>
          <t>08 CROSSWALK</t>
        </is>
      </c>
    </row>
    <row r="1110" ht="49" customHeight="1">
      <c r="A1110" s="34" t="inlineStr">
        <is>
          <t>R745-v1</t>
        </is>
      </c>
      <c r="B1110" s="34" t="inlineStr">
        <is>
          <t>Contractor Programme / SCH-05-025</t>
        </is>
      </c>
      <c r="C1110" s="34" t="inlineStr">
        <is>
          <t>WBS Code = 1.5.1</t>
        </is>
      </c>
      <c r="D1110" s="34" t="inlineStr">
        <is>
          <t>Proposed by Source assignment; target 1.5.1 Testing and Commissioning - Test Readiness</t>
        </is>
      </c>
      <c r="E1110" s="34" t="inlineStr">
        <is>
          <t>None recorded</t>
        </is>
      </c>
      <c r="F1110" s="34" t="inlineStr">
        <is>
          <t>No individual professional decision recorded; Source assignment -- not individually reviewed</t>
        </is>
      </c>
      <c r="G1110" s="34" t="inlineStr">
        <is>
          <t>Not individually decided</t>
        </is>
      </c>
      <c r="H1110" s="34" t="inlineStr">
        <is>
          <t xml:space="preserve">APPROVED / ONE_TO_ONE; </t>
        </is>
      </c>
      <c r="I1110" s="34" t="inlineStr">
        <is>
          <t>New</t>
        </is>
      </c>
      <c r="J1110" s="92" t="inlineStr">
        <is>
          <t>08 CROSSWALK</t>
        </is>
      </c>
    </row>
    <row r="1111" ht="49" customHeight="1">
      <c r="A1111" s="34" t="inlineStr">
        <is>
          <t>R746-v1</t>
        </is>
      </c>
      <c r="B1111" s="34" t="inlineStr">
        <is>
          <t>Contractor Programme / SCH-05-026</t>
        </is>
      </c>
      <c r="C1111" s="34" t="inlineStr">
        <is>
          <t>WBS Code = 1.5.1</t>
        </is>
      </c>
      <c r="D1111" s="34" t="inlineStr">
        <is>
          <t>Proposed by Source assignment; target 1.5.1 Testing and Commissioning - Test Readiness</t>
        </is>
      </c>
      <c r="E1111" s="34" t="inlineStr">
        <is>
          <t>None recorded</t>
        </is>
      </c>
      <c r="F1111" s="34" t="inlineStr">
        <is>
          <t>No individual professional decision recorded; Source assignment -- not individually reviewed</t>
        </is>
      </c>
      <c r="G1111" s="34" t="inlineStr">
        <is>
          <t>Not individually decided</t>
        </is>
      </c>
      <c r="H1111" s="34" t="inlineStr">
        <is>
          <t xml:space="preserve">APPROVED / ONE_TO_ONE; </t>
        </is>
      </c>
      <c r="I1111" s="34" t="inlineStr">
        <is>
          <t>New</t>
        </is>
      </c>
      <c r="J1111" s="92" t="inlineStr">
        <is>
          <t>08 CROSSWALK</t>
        </is>
      </c>
    </row>
    <row r="1112" ht="49" customHeight="1">
      <c r="A1112" s="34" t="inlineStr">
        <is>
          <t>R748-v1</t>
        </is>
      </c>
      <c r="B1112" s="34" t="inlineStr">
        <is>
          <t>Contractor Programme / SCH-05-028</t>
        </is>
      </c>
      <c r="C1112" s="34" t="inlineStr">
        <is>
          <t>WBS Code = 1.5.1</t>
        </is>
      </c>
      <c r="D1112" s="34" t="inlineStr">
        <is>
          <t>Proposed by Source assignment; target 1.5.1 Testing and Commissioning - Test Readiness</t>
        </is>
      </c>
      <c r="E1112" s="34" t="inlineStr">
        <is>
          <t>None recorded</t>
        </is>
      </c>
      <c r="F1112" s="34" t="inlineStr">
        <is>
          <t>No individual professional decision recorded; Source assignment -- not individually reviewed</t>
        </is>
      </c>
      <c r="G1112" s="34" t="inlineStr">
        <is>
          <t>Not individually decided</t>
        </is>
      </c>
      <c r="H1112" s="34" t="inlineStr">
        <is>
          <t xml:space="preserve">APPROVED / ONE_TO_ONE; </t>
        </is>
      </c>
      <c r="I1112" s="34" t="inlineStr">
        <is>
          <t>New</t>
        </is>
      </c>
      <c r="J1112" s="92" t="inlineStr">
        <is>
          <t>08 CROSSWALK</t>
        </is>
      </c>
    </row>
    <row r="1113" ht="49" customHeight="1">
      <c r="A1113" s="34" t="inlineStr">
        <is>
          <t>R749-v1</t>
        </is>
      </c>
      <c r="B1113" s="34" t="inlineStr">
        <is>
          <t>Contractor Programme / SCH-05-029</t>
        </is>
      </c>
      <c r="C1113" s="34" t="inlineStr">
        <is>
          <t>WBS Code = 1.5.1</t>
        </is>
      </c>
      <c r="D1113" s="34" t="inlineStr">
        <is>
          <t>Proposed by Source assignment; target 1.5.1 Testing and Commissioning - Test Readiness</t>
        </is>
      </c>
      <c r="E1113" s="34" t="inlineStr">
        <is>
          <t>None recorded</t>
        </is>
      </c>
      <c r="F1113" s="34" t="inlineStr">
        <is>
          <t>No individual professional decision recorded; Source assignment -- not individually reviewed</t>
        </is>
      </c>
      <c r="G1113" s="34" t="inlineStr">
        <is>
          <t>Not individually decided</t>
        </is>
      </c>
      <c r="H1113" s="34" t="inlineStr">
        <is>
          <t xml:space="preserve">APPROVED / ONE_TO_ONE; </t>
        </is>
      </c>
      <c r="I1113" s="34" t="inlineStr">
        <is>
          <t>New</t>
        </is>
      </c>
      <c r="J1113" s="92" t="inlineStr">
        <is>
          <t>08 CROSSWALK</t>
        </is>
      </c>
    </row>
    <row r="1114" ht="49" customHeight="1">
      <c r="A1114" s="34" t="inlineStr">
        <is>
          <t>R751-v1</t>
        </is>
      </c>
      <c r="B1114" s="34" t="inlineStr">
        <is>
          <t>Contractor Programme / SCH-05-031</t>
        </is>
      </c>
      <c r="C1114" s="34" t="inlineStr">
        <is>
          <t>WBS Code = 1.5.1</t>
        </is>
      </c>
      <c r="D1114" s="34" t="inlineStr">
        <is>
          <t>Proposed by Source assignment; target 1.5.1 Testing and Commissioning - Test Readiness</t>
        </is>
      </c>
      <c r="E1114" s="34" t="inlineStr">
        <is>
          <t>None recorded</t>
        </is>
      </c>
      <c r="F1114" s="34" t="inlineStr">
        <is>
          <t>No individual professional decision recorded; Source assignment -- not individually reviewed</t>
        </is>
      </c>
      <c r="G1114" s="34" t="inlineStr">
        <is>
          <t>Not individually decided</t>
        </is>
      </c>
      <c r="H1114" s="34" t="inlineStr">
        <is>
          <t xml:space="preserve">APPROVED / ONE_TO_ONE; </t>
        </is>
      </c>
      <c r="I1114" s="34" t="inlineStr">
        <is>
          <t>New</t>
        </is>
      </c>
      <c r="J1114" s="92" t="inlineStr">
        <is>
          <t>08 CROSSWALK</t>
        </is>
      </c>
    </row>
    <row r="1115" ht="49" customHeight="1">
      <c r="A1115" s="34" t="inlineStr">
        <is>
          <t>R752-v1</t>
        </is>
      </c>
      <c r="B1115" s="34" t="inlineStr">
        <is>
          <t>Contractor Programme / SCH-05-032</t>
        </is>
      </c>
      <c r="C1115" s="34" t="inlineStr">
        <is>
          <t>WBS Code = 1.5.1</t>
        </is>
      </c>
      <c r="D1115" s="34" t="inlineStr">
        <is>
          <t>Proposed by Source assignment; target 1.5.1 Testing and Commissioning - Test Readiness</t>
        </is>
      </c>
      <c r="E1115" s="34" t="inlineStr">
        <is>
          <t>None recorded</t>
        </is>
      </c>
      <c r="F1115" s="34" t="inlineStr">
        <is>
          <t>No individual professional decision recorded; Source assignment -- not individually reviewed</t>
        </is>
      </c>
      <c r="G1115" s="34" t="inlineStr">
        <is>
          <t>Not individually decided</t>
        </is>
      </c>
      <c r="H1115" s="34" t="inlineStr">
        <is>
          <t xml:space="preserve">APPROVED / ONE_TO_ONE; </t>
        </is>
      </c>
      <c r="I1115" s="34" t="inlineStr">
        <is>
          <t>New</t>
        </is>
      </c>
      <c r="J1115" s="92" t="inlineStr">
        <is>
          <t>08 CROSSWALK</t>
        </is>
      </c>
    </row>
    <row r="1116" ht="49" customHeight="1">
      <c r="A1116" s="34" t="inlineStr">
        <is>
          <t>R754-v1</t>
        </is>
      </c>
      <c r="B1116" s="34" t="inlineStr">
        <is>
          <t>Contractor Programme / SCH-05-034</t>
        </is>
      </c>
      <c r="C1116" s="34" t="inlineStr">
        <is>
          <t>WBS Code = 1.5.1</t>
        </is>
      </c>
      <c r="D1116" s="34" t="inlineStr">
        <is>
          <t>Proposed by Source assignment; target 1.5.1 Testing and Commissioning - Test Readiness</t>
        </is>
      </c>
      <c r="E1116" s="34" t="inlineStr">
        <is>
          <t>None recorded</t>
        </is>
      </c>
      <c r="F1116" s="34" t="inlineStr">
        <is>
          <t>No individual professional decision recorded; Source assignment -- not individually reviewed</t>
        </is>
      </c>
      <c r="G1116" s="34" t="inlineStr">
        <is>
          <t>Not individually decided</t>
        </is>
      </c>
      <c r="H1116" s="34" t="inlineStr">
        <is>
          <t xml:space="preserve">APPROVED / ONE_TO_ONE; </t>
        </is>
      </c>
      <c r="I1116" s="34" t="inlineStr">
        <is>
          <t>New</t>
        </is>
      </c>
      <c r="J1116" s="92" t="inlineStr">
        <is>
          <t>08 CROSSWALK</t>
        </is>
      </c>
    </row>
    <row r="1117" ht="49" customHeight="1">
      <c r="A1117" s="34" t="inlineStr">
        <is>
          <t>R755-v1</t>
        </is>
      </c>
      <c r="B1117" s="34" t="inlineStr">
        <is>
          <t>Contractor Programme / SCH-05-035</t>
        </is>
      </c>
      <c r="C1117" s="34" t="inlineStr">
        <is>
          <t>WBS Code = 1.5.1</t>
        </is>
      </c>
      <c r="D1117" s="34" t="inlineStr">
        <is>
          <t>Proposed by Source assignment; target 1.5.1 Testing and Commissioning - Test Readiness</t>
        </is>
      </c>
      <c r="E1117" s="34" t="inlineStr">
        <is>
          <t>None recorded</t>
        </is>
      </c>
      <c r="F1117" s="34" t="inlineStr">
        <is>
          <t>No individual professional decision recorded; Source assignment -- not individually reviewed</t>
        </is>
      </c>
      <c r="G1117" s="34" t="inlineStr">
        <is>
          <t>Not individually decided</t>
        </is>
      </c>
      <c r="H1117" s="34" t="inlineStr">
        <is>
          <t xml:space="preserve">APPROVED / ONE_TO_ONE; </t>
        </is>
      </c>
      <c r="I1117" s="34" t="inlineStr">
        <is>
          <t>New</t>
        </is>
      </c>
      <c r="J1117" s="92" t="inlineStr">
        <is>
          <t>08 CROSSWALK</t>
        </is>
      </c>
    </row>
    <row r="1118" ht="49" customHeight="1">
      <c r="A1118" s="34" t="inlineStr">
        <is>
          <t>R757-v1</t>
        </is>
      </c>
      <c r="B1118" s="34" t="inlineStr">
        <is>
          <t>Contractor Programme / SCH-05-037</t>
        </is>
      </c>
      <c r="C1118" s="34" t="inlineStr">
        <is>
          <t>WBS Code = 1.5.1</t>
        </is>
      </c>
      <c r="D1118" s="34" t="inlineStr">
        <is>
          <t>Proposed by Source assignment; target 1.5.1 Testing and Commissioning - Test Readiness</t>
        </is>
      </c>
      <c r="E1118" s="34" t="inlineStr">
        <is>
          <t>None recorded</t>
        </is>
      </c>
      <c r="F1118" s="34" t="inlineStr">
        <is>
          <t>No individual professional decision recorded; Source assignment -- not individually reviewed</t>
        </is>
      </c>
      <c r="G1118" s="34" t="inlineStr">
        <is>
          <t>Not individually decided</t>
        </is>
      </c>
      <c r="H1118" s="34" t="inlineStr">
        <is>
          <t xml:space="preserve">APPROVED / ONE_TO_ONE; </t>
        </is>
      </c>
      <c r="I1118" s="34" t="inlineStr">
        <is>
          <t>New</t>
        </is>
      </c>
      <c r="J1118" s="92" t="inlineStr">
        <is>
          <t>08 CROSSWALK</t>
        </is>
      </c>
    </row>
    <row r="1119" ht="49" customHeight="1">
      <c r="A1119" s="34" t="inlineStr">
        <is>
          <t>R758-v1</t>
        </is>
      </c>
      <c r="B1119" s="34" t="inlineStr">
        <is>
          <t>Contractor Programme / SCH-05-038</t>
        </is>
      </c>
      <c r="C1119" s="34" t="inlineStr">
        <is>
          <t>WBS Code = 1.5.1</t>
        </is>
      </c>
      <c r="D1119" s="34" t="inlineStr">
        <is>
          <t>Proposed by Source assignment; target 1.5.1 Testing and Commissioning - Test Readiness</t>
        </is>
      </c>
      <c r="E1119" s="34" t="inlineStr">
        <is>
          <t>None recorded</t>
        </is>
      </c>
      <c r="F1119" s="34" t="inlineStr">
        <is>
          <t>No individual professional decision recorded; Source assignment -- not individually reviewed</t>
        </is>
      </c>
      <c r="G1119" s="34" t="inlineStr">
        <is>
          <t>Not individually decided</t>
        </is>
      </c>
      <c r="H1119" s="34" t="inlineStr">
        <is>
          <t xml:space="preserve">APPROVED / ONE_TO_ONE; </t>
        </is>
      </c>
      <c r="I1119" s="34" t="inlineStr">
        <is>
          <t>New</t>
        </is>
      </c>
      <c r="J1119" s="92" t="inlineStr">
        <is>
          <t>08 CROSSWALK</t>
        </is>
      </c>
    </row>
    <row r="1120" ht="49" customHeight="1">
      <c r="A1120" s="34" t="inlineStr">
        <is>
          <t>R760-v1</t>
        </is>
      </c>
      <c r="B1120" s="34" t="inlineStr">
        <is>
          <t>Contractor Programme / SCH-05-040</t>
        </is>
      </c>
      <c r="C1120" s="34" t="inlineStr">
        <is>
          <t>WBS Code = 1.5.1</t>
        </is>
      </c>
      <c r="D1120" s="34" t="inlineStr">
        <is>
          <t>Proposed by Source assignment; target 1.5.1 Testing and Commissioning - Test Readiness</t>
        </is>
      </c>
      <c r="E1120" s="34" t="inlineStr">
        <is>
          <t>None recorded</t>
        </is>
      </c>
      <c r="F1120" s="34" t="inlineStr">
        <is>
          <t>No individual professional decision recorded; Source assignment -- not individually reviewed</t>
        </is>
      </c>
      <c r="G1120" s="34" t="inlineStr">
        <is>
          <t>Not individually decided</t>
        </is>
      </c>
      <c r="H1120" s="34" t="inlineStr">
        <is>
          <t xml:space="preserve">APPROVED / ONE_TO_ONE; </t>
        </is>
      </c>
      <c r="I1120" s="34" t="inlineStr">
        <is>
          <t>New</t>
        </is>
      </c>
      <c r="J1120" s="92" t="inlineStr">
        <is>
          <t>08 CROSSWALK</t>
        </is>
      </c>
    </row>
    <row r="1121" ht="49" customHeight="1">
      <c r="A1121" s="34" t="inlineStr">
        <is>
          <t>R761-v1</t>
        </is>
      </c>
      <c r="B1121" s="34" t="inlineStr">
        <is>
          <t>Contractor Programme / SCH-05-041</t>
        </is>
      </c>
      <c r="C1121" s="34" t="inlineStr">
        <is>
          <t>WBS Code = 1.5.1</t>
        </is>
      </c>
      <c r="D1121" s="34" t="inlineStr">
        <is>
          <t>Proposed by Source assignment; target 1.5.1 Testing and Commissioning - Test Readiness</t>
        </is>
      </c>
      <c r="E1121" s="34" t="inlineStr">
        <is>
          <t>None recorded</t>
        </is>
      </c>
      <c r="F1121" s="34" t="inlineStr">
        <is>
          <t>No individual professional decision recorded; Source assignment -- not individually reviewed</t>
        </is>
      </c>
      <c r="G1121" s="34" t="inlineStr">
        <is>
          <t>Not individually decided</t>
        </is>
      </c>
      <c r="H1121" s="34" t="inlineStr">
        <is>
          <t xml:space="preserve">APPROVED / ONE_TO_ONE; </t>
        </is>
      </c>
      <c r="I1121" s="34" t="inlineStr">
        <is>
          <t>New</t>
        </is>
      </c>
      <c r="J1121" s="92" t="inlineStr">
        <is>
          <t>08 CROSSWALK</t>
        </is>
      </c>
    </row>
    <row r="1122" ht="49" customHeight="1">
      <c r="A1122" s="34" t="inlineStr">
        <is>
          <t>R763-v1</t>
        </is>
      </c>
      <c r="B1122" s="34" t="inlineStr">
        <is>
          <t>Contractor Programme / SCH-05-043</t>
        </is>
      </c>
      <c r="C1122" s="34" t="inlineStr">
        <is>
          <t>WBS Code = 1.5.1</t>
        </is>
      </c>
      <c r="D1122" s="34" t="inlineStr">
        <is>
          <t>Proposed by Source assignment; target 1.5.1 Testing and Commissioning - Test Readiness</t>
        </is>
      </c>
      <c r="E1122" s="34" t="inlineStr">
        <is>
          <t>None recorded</t>
        </is>
      </c>
      <c r="F1122" s="34" t="inlineStr">
        <is>
          <t>No individual professional decision recorded; Source assignment -- not individually reviewed</t>
        </is>
      </c>
      <c r="G1122" s="34" t="inlineStr">
        <is>
          <t>Not individually decided</t>
        </is>
      </c>
      <c r="H1122" s="34" t="inlineStr">
        <is>
          <t xml:space="preserve">APPROVED / ONE_TO_ONE; </t>
        </is>
      </c>
      <c r="I1122" s="34" t="inlineStr">
        <is>
          <t>New</t>
        </is>
      </c>
      <c r="J1122" s="92" t="inlineStr">
        <is>
          <t>08 CROSSWALK</t>
        </is>
      </c>
    </row>
    <row r="1123" ht="49" customHeight="1">
      <c r="A1123" s="34" t="inlineStr">
        <is>
          <t>R764-v1</t>
        </is>
      </c>
      <c r="B1123" s="34" t="inlineStr">
        <is>
          <t>Contractor Programme / SCH-05-044</t>
        </is>
      </c>
      <c r="C1123" s="34" t="inlineStr">
        <is>
          <t>WBS Code = 1.5.1</t>
        </is>
      </c>
      <c r="D1123" s="34" t="inlineStr">
        <is>
          <t>Proposed by Source assignment; target 1.5.1 Testing and Commissioning - Test Readiness</t>
        </is>
      </c>
      <c r="E1123" s="34" t="inlineStr">
        <is>
          <t>None recorded</t>
        </is>
      </c>
      <c r="F1123" s="34" t="inlineStr">
        <is>
          <t>No individual professional decision recorded; Source assignment -- not individually reviewed</t>
        </is>
      </c>
      <c r="G1123" s="34" t="inlineStr">
        <is>
          <t>Not individually decided</t>
        </is>
      </c>
      <c r="H1123" s="34" t="inlineStr">
        <is>
          <t xml:space="preserve">APPROVED / ONE_TO_ONE; </t>
        </is>
      </c>
      <c r="I1123" s="34" t="inlineStr">
        <is>
          <t>New</t>
        </is>
      </c>
      <c r="J1123" s="92" t="inlineStr">
        <is>
          <t>08 CROSSWALK</t>
        </is>
      </c>
    </row>
    <row r="1124" ht="49" customHeight="1">
      <c r="A1124" s="34" t="inlineStr">
        <is>
          <t>R766-v1</t>
        </is>
      </c>
      <c r="B1124" s="34" t="inlineStr">
        <is>
          <t>Contractor Programme / SCH-05-046</t>
        </is>
      </c>
      <c r="C1124" s="34" t="inlineStr">
        <is>
          <t>WBS Code = 1.5.1</t>
        </is>
      </c>
      <c r="D1124" s="34" t="inlineStr">
        <is>
          <t>Proposed by Source assignment; target 1.5.1 Testing and Commissioning - Test Readiness</t>
        </is>
      </c>
      <c r="E1124" s="34" t="inlineStr">
        <is>
          <t>None recorded</t>
        </is>
      </c>
      <c r="F1124" s="34" t="inlineStr">
        <is>
          <t>No individual professional decision recorded; Source assignment -- not individually reviewed</t>
        </is>
      </c>
      <c r="G1124" s="34" t="inlineStr">
        <is>
          <t>Not individually decided</t>
        </is>
      </c>
      <c r="H1124" s="34" t="inlineStr">
        <is>
          <t xml:space="preserve">APPROVED / ONE_TO_ONE; </t>
        </is>
      </c>
      <c r="I1124" s="34" t="inlineStr">
        <is>
          <t>New</t>
        </is>
      </c>
      <c r="J1124" s="92" t="inlineStr">
        <is>
          <t>08 CROSSWALK</t>
        </is>
      </c>
    </row>
    <row r="1125" ht="49" customHeight="1">
      <c r="A1125" s="34" t="inlineStr">
        <is>
          <t>R767-v1</t>
        </is>
      </c>
      <c r="B1125" s="34" t="inlineStr">
        <is>
          <t>Contractor Programme / SCH-05-047</t>
        </is>
      </c>
      <c r="C1125" s="34" t="inlineStr">
        <is>
          <t>WBS Code = 1.5.1</t>
        </is>
      </c>
      <c r="D1125" s="34" t="inlineStr">
        <is>
          <t>Proposed by Source assignment; target 1.5.1 Testing and Commissioning - Test Readiness</t>
        </is>
      </c>
      <c r="E1125" s="34" t="inlineStr">
        <is>
          <t>None recorded</t>
        </is>
      </c>
      <c r="F1125" s="34" t="inlineStr">
        <is>
          <t>No individual professional decision recorded; Source assignment -- not individually reviewed</t>
        </is>
      </c>
      <c r="G1125" s="34" t="inlineStr">
        <is>
          <t>Not individually decided</t>
        </is>
      </c>
      <c r="H1125" s="34" t="inlineStr">
        <is>
          <t xml:space="preserve">APPROVED / ONE_TO_ONE; </t>
        </is>
      </c>
      <c r="I1125" s="34" t="inlineStr">
        <is>
          <t>New</t>
        </is>
      </c>
      <c r="J1125" s="92" t="inlineStr">
        <is>
          <t>08 CROSSWALK</t>
        </is>
      </c>
    </row>
    <row r="1126" ht="49" customHeight="1">
      <c r="A1126" s="34" t="inlineStr">
        <is>
          <t>R769-v1</t>
        </is>
      </c>
      <c r="B1126" s="34" t="inlineStr">
        <is>
          <t>Contractor Programme / SCH-05-049</t>
        </is>
      </c>
      <c r="C1126" s="34" t="inlineStr">
        <is>
          <t>WBS Code = 1.5.1</t>
        </is>
      </c>
      <c r="D1126" s="34" t="inlineStr">
        <is>
          <t>Proposed by Source assignment; target 1.5.1 Testing and Commissioning - Test Readiness</t>
        </is>
      </c>
      <c r="E1126" s="34" t="inlineStr">
        <is>
          <t>None recorded</t>
        </is>
      </c>
      <c r="F1126" s="34" t="inlineStr">
        <is>
          <t>No individual professional decision recorded; Source assignment -- not individually reviewed</t>
        </is>
      </c>
      <c r="G1126" s="34" t="inlineStr">
        <is>
          <t>Not individually decided</t>
        </is>
      </c>
      <c r="H1126" s="34" t="inlineStr">
        <is>
          <t xml:space="preserve">APPROVED / ONE_TO_ONE; </t>
        </is>
      </c>
      <c r="I1126" s="34" t="inlineStr">
        <is>
          <t>New</t>
        </is>
      </c>
      <c r="J1126" s="92" t="inlineStr">
        <is>
          <t>08 CROSSWALK</t>
        </is>
      </c>
    </row>
    <row r="1127" ht="49" customHeight="1">
      <c r="A1127" s="34" t="inlineStr">
        <is>
          <t>R770-v1</t>
        </is>
      </c>
      <c r="B1127" s="34" t="inlineStr">
        <is>
          <t>Contractor Programme / SCH-05-050</t>
        </is>
      </c>
      <c r="C1127" s="34" t="inlineStr">
        <is>
          <t>WBS Code = 1.5.1</t>
        </is>
      </c>
      <c r="D1127" s="34" t="inlineStr">
        <is>
          <t>Proposed by Source assignment; target 1.5.1 Testing and Commissioning - Test Readiness</t>
        </is>
      </c>
      <c r="E1127" s="34" t="inlineStr">
        <is>
          <t>None recorded</t>
        </is>
      </c>
      <c r="F1127" s="34" t="inlineStr">
        <is>
          <t>No individual professional decision recorded; Source assignment -- not individually reviewed</t>
        </is>
      </c>
      <c r="G1127" s="34" t="inlineStr">
        <is>
          <t>Not individually decided</t>
        </is>
      </c>
      <c r="H1127" s="34" t="inlineStr">
        <is>
          <t xml:space="preserve">APPROVED / ONE_TO_ONE; </t>
        </is>
      </c>
      <c r="I1127" s="34" t="inlineStr">
        <is>
          <t>New</t>
        </is>
      </c>
      <c r="J1127" s="92" t="inlineStr">
        <is>
          <t>08 CROSSWALK</t>
        </is>
      </c>
    </row>
    <row r="1128" ht="49" customHeight="1">
      <c r="A1128" s="34" t="inlineStr">
        <is>
          <t>R772-v1</t>
        </is>
      </c>
      <c r="B1128" s="34" t="inlineStr">
        <is>
          <t>Contractor Programme / SCH-05-052</t>
        </is>
      </c>
      <c r="C1128" s="34" t="inlineStr">
        <is>
          <t>WBS Code = 1.5.1</t>
        </is>
      </c>
      <c r="D1128" s="34" t="inlineStr">
        <is>
          <t>Proposed by Source assignment; target 1.5.1 Testing and Commissioning - Test Readiness</t>
        </is>
      </c>
      <c r="E1128" s="34" t="inlineStr">
        <is>
          <t>None recorded</t>
        </is>
      </c>
      <c r="F1128" s="34" t="inlineStr">
        <is>
          <t>No individual professional decision recorded; Source assignment -- not individually reviewed</t>
        </is>
      </c>
      <c r="G1128" s="34" t="inlineStr">
        <is>
          <t>Not individually decided</t>
        </is>
      </c>
      <c r="H1128" s="34" t="inlineStr">
        <is>
          <t xml:space="preserve">APPROVED / ONE_TO_ONE; </t>
        </is>
      </c>
      <c r="I1128" s="34" t="inlineStr">
        <is>
          <t>New</t>
        </is>
      </c>
      <c r="J1128" s="92" t="inlineStr">
        <is>
          <t>08 CROSSWALK</t>
        </is>
      </c>
    </row>
    <row r="1129" ht="49" customHeight="1">
      <c r="A1129" s="34" t="inlineStr">
        <is>
          <t>R773-v1</t>
        </is>
      </c>
      <c r="B1129" s="34" t="inlineStr">
        <is>
          <t>Contractor Programme / SCH-05-053</t>
        </is>
      </c>
      <c r="C1129" s="34" t="inlineStr">
        <is>
          <t>WBS Code = 1.5.1</t>
        </is>
      </c>
      <c r="D1129" s="34" t="inlineStr">
        <is>
          <t>Proposed by Source assignment; target 1.5.1 Testing and Commissioning - Test Readiness</t>
        </is>
      </c>
      <c r="E1129" s="34" t="inlineStr">
        <is>
          <t>None recorded</t>
        </is>
      </c>
      <c r="F1129" s="34" t="inlineStr">
        <is>
          <t>No individual professional decision recorded; Source assignment -- not individually reviewed</t>
        </is>
      </c>
      <c r="G1129" s="34" t="inlineStr">
        <is>
          <t>Not individually decided</t>
        </is>
      </c>
      <c r="H1129" s="34" t="inlineStr">
        <is>
          <t xml:space="preserve">APPROVED / ONE_TO_ONE; </t>
        </is>
      </c>
      <c r="I1129" s="34" t="inlineStr">
        <is>
          <t>New</t>
        </is>
      </c>
      <c r="J1129" s="92" t="inlineStr">
        <is>
          <t>08 CROSSWALK</t>
        </is>
      </c>
    </row>
    <row r="1130" ht="49" customHeight="1">
      <c r="A1130" s="34" t="inlineStr">
        <is>
          <t>R775-v1</t>
        </is>
      </c>
      <c r="B1130" s="34" t="inlineStr">
        <is>
          <t>Contractor Programme / SCH-05-055</t>
        </is>
      </c>
      <c r="C1130" s="34" t="inlineStr">
        <is>
          <t>WBS Code = 1.5.1</t>
        </is>
      </c>
      <c r="D1130" s="34" t="inlineStr">
        <is>
          <t>Proposed by Source assignment; target 1.5.1 Testing and Commissioning - Test Readiness</t>
        </is>
      </c>
      <c r="E1130" s="34" t="inlineStr">
        <is>
          <t>None recorded</t>
        </is>
      </c>
      <c r="F1130" s="34" t="inlineStr">
        <is>
          <t>No individual professional decision recorded; Source assignment -- not individually reviewed</t>
        </is>
      </c>
      <c r="G1130" s="34" t="inlineStr">
        <is>
          <t>Not individually decided</t>
        </is>
      </c>
      <c r="H1130" s="34" t="inlineStr">
        <is>
          <t xml:space="preserve">APPROVED / ONE_TO_ONE; </t>
        </is>
      </c>
      <c r="I1130" s="34" t="inlineStr">
        <is>
          <t>New</t>
        </is>
      </c>
      <c r="J1130" s="92" t="inlineStr">
        <is>
          <t>08 CROSSWALK</t>
        </is>
      </c>
    </row>
    <row r="1131" ht="49" customHeight="1">
      <c r="A1131" s="34" t="inlineStr">
        <is>
          <t>R776-v1</t>
        </is>
      </c>
      <c r="B1131" s="34" t="inlineStr">
        <is>
          <t>Contractor Programme / SCH-05-056</t>
        </is>
      </c>
      <c r="C1131" s="34" t="inlineStr">
        <is>
          <t>WBS Code = 1.5.1</t>
        </is>
      </c>
      <c r="D1131" s="34" t="inlineStr">
        <is>
          <t>Proposed by Source assignment; target 1.5.1 Testing and Commissioning - Test Readiness</t>
        </is>
      </c>
      <c r="E1131" s="34" t="inlineStr">
        <is>
          <t>None recorded</t>
        </is>
      </c>
      <c r="F1131" s="34" t="inlineStr">
        <is>
          <t>No individual professional decision recorded; Source assignment -- not individually reviewed</t>
        </is>
      </c>
      <c r="G1131" s="34" t="inlineStr">
        <is>
          <t>Not individually decided</t>
        </is>
      </c>
      <c r="H1131" s="34" t="inlineStr">
        <is>
          <t xml:space="preserve">APPROVED / ONE_TO_ONE; </t>
        </is>
      </c>
      <c r="I1131" s="34" t="inlineStr">
        <is>
          <t>New</t>
        </is>
      </c>
      <c r="J1131" s="92" t="inlineStr">
        <is>
          <t>08 CROSSWALK</t>
        </is>
      </c>
    </row>
    <row r="1132" ht="49" customHeight="1">
      <c r="A1132" s="34" t="inlineStr">
        <is>
          <t>R778-v1</t>
        </is>
      </c>
      <c r="B1132" s="34" t="inlineStr">
        <is>
          <t>Contractor Programme / SCH-05-058</t>
        </is>
      </c>
      <c r="C1132" s="34" t="inlineStr">
        <is>
          <t>WBS Code = 1.5.1</t>
        </is>
      </c>
      <c r="D1132" s="34" t="inlineStr">
        <is>
          <t>Proposed by Source assignment; target 1.5.1 Testing and Commissioning - Test Readiness</t>
        </is>
      </c>
      <c r="E1132" s="34" t="inlineStr">
        <is>
          <t>None recorded</t>
        </is>
      </c>
      <c r="F1132" s="34" t="inlineStr">
        <is>
          <t>No individual professional decision recorded; Source assignment -- not individually reviewed</t>
        </is>
      </c>
      <c r="G1132" s="34" t="inlineStr">
        <is>
          <t>Not individually decided</t>
        </is>
      </c>
      <c r="H1132" s="34" t="inlineStr">
        <is>
          <t xml:space="preserve">APPROVED / ONE_TO_ONE; </t>
        </is>
      </c>
      <c r="I1132" s="34" t="inlineStr">
        <is>
          <t>New</t>
        </is>
      </c>
      <c r="J1132" s="92" t="inlineStr">
        <is>
          <t>08 CROSSWALK</t>
        </is>
      </c>
    </row>
    <row r="1133" ht="49" customHeight="1">
      <c r="A1133" s="34" t="inlineStr">
        <is>
          <t>R779-v1</t>
        </is>
      </c>
      <c r="B1133" s="34" t="inlineStr">
        <is>
          <t>Contractor Programme / SCH-05-059</t>
        </is>
      </c>
      <c r="C1133" s="34" t="inlineStr">
        <is>
          <t>WBS Code = 1.5.1</t>
        </is>
      </c>
      <c r="D1133" s="34" t="inlineStr">
        <is>
          <t>Proposed by Source assignment; target 1.5.1 Testing and Commissioning - Test Readiness</t>
        </is>
      </c>
      <c r="E1133" s="34" t="inlineStr">
        <is>
          <t>None recorded</t>
        </is>
      </c>
      <c r="F1133" s="34" t="inlineStr">
        <is>
          <t>No individual professional decision recorded; Source assignment -- not individually reviewed</t>
        </is>
      </c>
      <c r="G1133" s="34" t="inlineStr">
        <is>
          <t>Not individually decided</t>
        </is>
      </c>
      <c r="H1133" s="34" t="inlineStr">
        <is>
          <t xml:space="preserve">APPROVED / ONE_TO_ONE; </t>
        </is>
      </c>
      <c r="I1133" s="34" t="inlineStr">
        <is>
          <t>New</t>
        </is>
      </c>
      <c r="J1133" s="92" t="inlineStr">
        <is>
          <t>08 CROSSWALK</t>
        </is>
      </c>
    </row>
    <row r="1134" ht="49" customHeight="1">
      <c r="A1134" s="34" t="inlineStr">
        <is>
          <t>R781-v1</t>
        </is>
      </c>
      <c r="B1134" s="34" t="inlineStr">
        <is>
          <t>Contractor Programme / SCH-05-061</t>
        </is>
      </c>
      <c r="C1134" s="34" t="inlineStr">
        <is>
          <t>WBS Code = 1.5.1</t>
        </is>
      </c>
      <c r="D1134" s="34" t="inlineStr">
        <is>
          <t>Proposed by Source assignment; target 1.5.1 Testing and Commissioning - Test Readiness</t>
        </is>
      </c>
      <c r="E1134" s="34" t="inlineStr">
        <is>
          <t>None recorded</t>
        </is>
      </c>
      <c r="F1134" s="34" t="inlineStr">
        <is>
          <t>No individual professional decision recorded; Source assignment -- not individually reviewed</t>
        </is>
      </c>
      <c r="G1134" s="34" t="inlineStr">
        <is>
          <t>Not individually decided</t>
        </is>
      </c>
      <c r="H1134" s="34" t="inlineStr">
        <is>
          <t xml:space="preserve">APPROVED / ONE_TO_ONE; </t>
        </is>
      </c>
      <c r="I1134" s="34" t="inlineStr">
        <is>
          <t>New</t>
        </is>
      </c>
      <c r="J1134" s="92" t="inlineStr">
        <is>
          <t>08 CROSSWALK</t>
        </is>
      </c>
    </row>
    <row r="1135" ht="49" customHeight="1">
      <c r="A1135" s="34" t="inlineStr">
        <is>
          <t>R782-v1</t>
        </is>
      </c>
      <c r="B1135" s="34" t="inlineStr">
        <is>
          <t>Contractor Programme / SCH-05-062</t>
        </is>
      </c>
      <c r="C1135" s="34" t="inlineStr">
        <is>
          <t>WBS Code = 1.5.1</t>
        </is>
      </c>
      <c r="D1135" s="34" t="inlineStr">
        <is>
          <t>Proposed by Source assignment; target 1.5.1 Testing and Commissioning - Test Readiness</t>
        </is>
      </c>
      <c r="E1135" s="34" t="inlineStr">
        <is>
          <t>None recorded</t>
        </is>
      </c>
      <c r="F1135" s="34" t="inlineStr">
        <is>
          <t>No individual professional decision recorded; Source assignment -- not individually reviewed</t>
        </is>
      </c>
      <c r="G1135" s="34" t="inlineStr">
        <is>
          <t>Not individually decided</t>
        </is>
      </c>
      <c r="H1135" s="34" t="inlineStr">
        <is>
          <t xml:space="preserve">APPROVED / ONE_TO_ONE; </t>
        </is>
      </c>
      <c r="I1135" s="34" t="inlineStr">
        <is>
          <t>New</t>
        </is>
      </c>
      <c r="J1135" s="92" t="inlineStr">
        <is>
          <t>08 CROSSWALK</t>
        </is>
      </c>
    </row>
    <row r="1136" ht="49" customHeight="1">
      <c r="A1136" s="34" t="inlineStr">
        <is>
          <t>R784-v1</t>
        </is>
      </c>
      <c r="B1136" s="34" t="inlineStr">
        <is>
          <t>Contractor Programme / SCH-05-064</t>
        </is>
      </c>
      <c r="C1136" s="34" t="inlineStr">
        <is>
          <t>WBS Code = 1.5.1</t>
        </is>
      </c>
      <c r="D1136" s="34" t="inlineStr">
        <is>
          <t>Proposed by Source assignment; target 1.5.1 Testing and Commissioning - Test Readiness</t>
        </is>
      </c>
      <c r="E1136" s="34" t="inlineStr">
        <is>
          <t>None recorded</t>
        </is>
      </c>
      <c r="F1136" s="34" t="inlineStr">
        <is>
          <t>No individual professional decision recorded; Source assignment -- not individually reviewed</t>
        </is>
      </c>
      <c r="G1136" s="34" t="inlineStr">
        <is>
          <t>Not individually decided</t>
        </is>
      </c>
      <c r="H1136" s="34" t="inlineStr">
        <is>
          <t xml:space="preserve">APPROVED / ONE_TO_ONE; </t>
        </is>
      </c>
      <c r="I1136" s="34" t="inlineStr">
        <is>
          <t>New</t>
        </is>
      </c>
      <c r="J1136" s="92" t="inlineStr">
        <is>
          <t>08 CROSSWALK</t>
        </is>
      </c>
    </row>
    <row r="1137" ht="49" customHeight="1">
      <c r="A1137" s="34" t="inlineStr">
        <is>
          <t>R785-v1</t>
        </is>
      </c>
      <c r="B1137" s="34" t="inlineStr">
        <is>
          <t>Contractor Programme / SCH-05-065</t>
        </is>
      </c>
      <c r="C1137" s="34" t="inlineStr">
        <is>
          <t>WBS Code = 1.5.1</t>
        </is>
      </c>
      <c r="D1137" s="34" t="inlineStr">
        <is>
          <t>Proposed by Source assignment; target 1.5.1 Testing and Commissioning - Test Readiness</t>
        </is>
      </c>
      <c r="E1137" s="34" t="inlineStr">
        <is>
          <t>None recorded</t>
        </is>
      </c>
      <c r="F1137" s="34" t="inlineStr">
        <is>
          <t>No individual professional decision recorded; Source assignment -- not individually reviewed</t>
        </is>
      </c>
      <c r="G1137" s="34" t="inlineStr">
        <is>
          <t>Not individually decided</t>
        </is>
      </c>
      <c r="H1137" s="34" t="inlineStr">
        <is>
          <t xml:space="preserve">APPROVED / ONE_TO_ONE; </t>
        </is>
      </c>
      <c r="I1137" s="34" t="inlineStr">
        <is>
          <t>New</t>
        </is>
      </c>
      <c r="J1137" s="92" t="inlineStr">
        <is>
          <t>08 CROSSWALK</t>
        </is>
      </c>
    </row>
    <row r="1138" ht="49" customHeight="1">
      <c r="A1138" s="34" t="inlineStr">
        <is>
          <t>R787-v1</t>
        </is>
      </c>
      <c r="B1138" s="34" t="inlineStr">
        <is>
          <t>Contractor Programme / SCH-05-067</t>
        </is>
      </c>
      <c r="C1138" s="34" t="inlineStr">
        <is>
          <t>WBS Code = 1.5.1</t>
        </is>
      </c>
      <c r="D1138" s="34" t="inlineStr">
        <is>
          <t>Proposed by Source assignment; target 1.5.1 Testing and Commissioning - Test Readiness</t>
        </is>
      </c>
      <c r="E1138" s="34" t="inlineStr">
        <is>
          <t>None recorded</t>
        </is>
      </c>
      <c r="F1138" s="34" t="inlineStr">
        <is>
          <t>No individual professional decision recorded; Source assignment -- not individually reviewed</t>
        </is>
      </c>
      <c r="G1138" s="34" t="inlineStr">
        <is>
          <t>Not individually decided</t>
        </is>
      </c>
      <c r="H1138" s="34" t="inlineStr">
        <is>
          <t xml:space="preserve">APPROVED / ONE_TO_ONE; </t>
        </is>
      </c>
      <c r="I1138" s="34" t="inlineStr">
        <is>
          <t>New</t>
        </is>
      </c>
      <c r="J1138" s="92" t="inlineStr">
        <is>
          <t>08 CROSSWALK</t>
        </is>
      </c>
    </row>
    <row r="1139" ht="49" customHeight="1">
      <c r="A1139" s="34" t="inlineStr">
        <is>
          <t>R788-v1</t>
        </is>
      </c>
      <c r="B1139" s="34" t="inlineStr">
        <is>
          <t>Contractor Programme / SCH-05-068</t>
        </is>
      </c>
      <c r="C1139" s="34" t="inlineStr">
        <is>
          <t>WBS Code = 1.5.1</t>
        </is>
      </c>
      <c r="D1139" s="34" t="inlineStr">
        <is>
          <t>Proposed by Source assignment; target 1.5.1 Testing and Commissioning - Test Readiness</t>
        </is>
      </c>
      <c r="E1139" s="34" t="inlineStr">
        <is>
          <t>None recorded</t>
        </is>
      </c>
      <c r="F1139" s="34" t="inlineStr">
        <is>
          <t>No individual professional decision recorded; Source assignment -- not individually reviewed</t>
        </is>
      </c>
      <c r="G1139" s="34" t="inlineStr">
        <is>
          <t>Not individually decided</t>
        </is>
      </c>
      <c r="H1139" s="34" t="inlineStr">
        <is>
          <t xml:space="preserve">APPROVED / ONE_TO_ONE; </t>
        </is>
      </c>
      <c r="I1139" s="34" t="inlineStr">
        <is>
          <t>New</t>
        </is>
      </c>
      <c r="J1139" s="92" t="inlineStr">
        <is>
          <t>08 CROSSWALK</t>
        </is>
      </c>
    </row>
    <row r="1140" ht="49" customHeight="1">
      <c r="A1140" s="34" t="inlineStr">
        <is>
          <t>R790-v1</t>
        </is>
      </c>
      <c r="B1140" s="34" t="inlineStr">
        <is>
          <t>Contractor Programme / SCH-05-070</t>
        </is>
      </c>
      <c r="C1140" s="34" t="inlineStr">
        <is>
          <t>WBS Code = 1.5.1</t>
        </is>
      </c>
      <c r="D1140" s="34" t="inlineStr">
        <is>
          <t>Proposed by Source assignment; target 1.5.1 Testing and Commissioning - Test Readiness</t>
        </is>
      </c>
      <c r="E1140" s="34" t="inlineStr">
        <is>
          <t>None recorded</t>
        </is>
      </c>
      <c r="F1140" s="34" t="inlineStr">
        <is>
          <t>No individual professional decision recorded; Source assignment -- not individually reviewed</t>
        </is>
      </c>
      <c r="G1140" s="34" t="inlineStr">
        <is>
          <t>Not individually decided</t>
        </is>
      </c>
      <c r="H1140" s="34" t="inlineStr">
        <is>
          <t xml:space="preserve">APPROVED / ONE_TO_ONE; </t>
        </is>
      </c>
      <c r="I1140" s="34" t="inlineStr">
        <is>
          <t>New</t>
        </is>
      </c>
      <c r="J1140" s="92" t="inlineStr">
        <is>
          <t>08 CROSSWALK</t>
        </is>
      </c>
    </row>
    <row r="1141" ht="49" customHeight="1">
      <c r="A1141" s="34" t="inlineStr">
        <is>
          <t>R791-v1</t>
        </is>
      </c>
      <c r="B1141" s="34" t="inlineStr">
        <is>
          <t>Contractor Programme / SCH-05-071</t>
        </is>
      </c>
      <c r="C1141" s="34" t="inlineStr">
        <is>
          <t>WBS Code = 1.5.1</t>
        </is>
      </c>
      <c r="D1141" s="34" t="inlineStr">
        <is>
          <t>Proposed by Source assignment; target 1.5.1 Testing and Commissioning - Test Readiness</t>
        </is>
      </c>
      <c r="E1141" s="34" t="inlineStr">
        <is>
          <t>None recorded</t>
        </is>
      </c>
      <c r="F1141" s="34" t="inlineStr">
        <is>
          <t>No individual professional decision recorded; Source assignment -- not individually reviewed</t>
        </is>
      </c>
      <c r="G1141" s="34" t="inlineStr">
        <is>
          <t>Not individually decided</t>
        </is>
      </c>
      <c r="H1141" s="34" t="inlineStr">
        <is>
          <t xml:space="preserve">APPROVED / ONE_TO_ONE; </t>
        </is>
      </c>
      <c r="I1141" s="34" t="inlineStr">
        <is>
          <t>New</t>
        </is>
      </c>
      <c r="J1141" s="92" t="inlineStr">
        <is>
          <t>08 CROSSWALK</t>
        </is>
      </c>
    </row>
    <row r="1142" ht="49" customHeight="1">
      <c r="A1142" s="34" t="inlineStr">
        <is>
          <t>R793-v1</t>
        </is>
      </c>
      <c r="B1142" s="34" t="inlineStr">
        <is>
          <t>Contractor Programme / SCH-05-073</t>
        </is>
      </c>
      <c r="C1142" s="34" t="inlineStr">
        <is>
          <t>WBS Code = 1.5.1</t>
        </is>
      </c>
      <c r="D1142" s="34" t="inlineStr">
        <is>
          <t>Proposed by Source assignment; target 1.5.1 Testing and Commissioning - Test Readiness</t>
        </is>
      </c>
      <c r="E1142" s="34" t="inlineStr">
        <is>
          <t>None recorded</t>
        </is>
      </c>
      <c r="F1142" s="34" t="inlineStr">
        <is>
          <t>No individual professional decision recorded; Source assignment -- not individually reviewed</t>
        </is>
      </c>
      <c r="G1142" s="34" t="inlineStr">
        <is>
          <t>Not individually decided</t>
        </is>
      </c>
      <c r="H1142" s="34" t="inlineStr">
        <is>
          <t xml:space="preserve">APPROVED / ONE_TO_ONE; </t>
        </is>
      </c>
      <c r="I1142" s="34" t="inlineStr">
        <is>
          <t>New</t>
        </is>
      </c>
      <c r="J1142" s="92" t="inlineStr">
        <is>
          <t>08 CROSSWALK</t>
        </is>
      </c>
    </row>
    <row r="1143" ht="49" customHeight="1">
      <c r="A1143" s="34" t="inlineStr">
        <is>
          <t>R794-v1</t>
        </is>
      </c>
      <c r="B1143" s="34" t="inlineStr">
        <is>
          <t>Contractor Programme / SCH-05-074</t>
        </is>
      </c>
      <c r="C1143" s="34" t="inlineStr">
        <is>
          <t>WBS Code = 1.5.1</t>
        </is>
      </c>
      <c r="D1143" s="34" t="inlineStr">
        <is>
          <t>Proposed by Source assignment; target 1.5.1 Testing and Commissioning - Test Readiness</t>
        </is>
      </c>
      <c r="E1143" s="34" t="inlineStr">
        <is>
          <t>None recorded</t>
        </is>
      </c>
      <c r="F1143" s="34" t="inlineStr">
        <is>
          <t>No individual professional decision recorded; Source assignment -- not individually reviewed</t>
        </is>
      </c>
      <c r="G1143" s="34" t="inlineStr">
        <is>
          <t>Not individually decided</t>
        </is>
      </c>
      <c r="H1143" s="34" t="inlineStr">
        <is>
          <t xml:space="preserve">APPROVED / ONE_TO_ONE; </t>
        </is>
      </c>
      <c r="I1143" s="34" t="inlineStr">
        <is>
          <t>New</t>
        </is>
      </c>
      <c r="J1143" s="92" t="inlineStr">
        <is>
          <t>08 CROSSWALK</t>
        </is>
      </c>
    </row>
    <row r="1144" ht="49" customHeight="1">
      <c r="A1144" s="34" t="inlineStr">
        <is>
          <t>R796-v1</t>
        </is>
      </c>
      <c r="B1144" s="34" t="inlineStr">
        <is>
          <t>Contractor Programme / SCH-05-076</t>
        </is>
      </c>
      <c r="C1144" s="34" t="inlineStr">
        <is>
          <t>WBS Code = 1.5.1</t>
        </is>
      </c>
      <c r="D1144" s="34" t="inlineStr">
        <is>
          <t>Proposed by Source assignment; target 1.5.1 Testing and Commissioning - Test Readiness</t>
        </is>
      </c>
      <c r="E1144" s="34" t="inlineStr">
        <is>
          <t>None recorded</t>
        </is>
      </c>
      <c r="F1144" s="34" t="inlineStr">
        <is>
          <t>No individual professional decision recorded; Source assignment -- not individually reviewed</t>
        </is>
      </c>
      <c r="G1144" s="34" t="inlineStr">
        <is>
          <t>Not individually decided</t>
        </is>
      </c>
      <c r="H1144" s="34" t="inlineStr">
        <is>
          <t xml:space="preserve">APPROVED / ONE_TO_ONE; </t>
        </is>
      </c>
      <c r="I1144" s="34" t="inlineStr">
        <is>
          <t>New</t>
        </is>
      </c>
      <c r="J1144" s="92" t="inlineStr">
        <is>
          <t>08 CROSSWALK</t>
        </is>
      </c>
    </row>
    <row r="1145" ht="49" customHeight="1">
      <c r="A1145" s="34" t="inlineStr">
        <is>
          <t>R797-v1</t>
        </is>
      </c>
      <c r="B1145" s="34" t="inlineStr">
        <is>
          <t>Contractor Programme / SCH-05-077</t>
        </is>
      </c>
      <c r="C1145" s="34" t="inlineStr">
        <is>
          <t>WBS Code = 1.5.1</t>
        </is>
      </c>
      <c r="D1145" s="34" t="inlineStr">
        <is>
          <t>Proposed by Source assignment; target 1.5.1 Testing and Commissioning - Test Readiness</t>
        </is>
      </c>
      <c r="E1145" s="34" t="inlineStr">
        <is>
          <t>None recorded</t>
        </is>
      </c>
      <c r="F1145" s="34" t="inlineStr">
        <is>
          <t>No individual professional decision recorded; Source assignment -- not individually reviewed</t>
        </is>
      </c>
      <c r="G1145" s="34" t="inlineStr">
        <is>
          <t>Not individually decided</t>
        </is>
      </c>
      <c r="H1145" s="34" t="inlineStr">
        <is>
          <t xml:space="preserve">APPROVED / ONE_TO_ONE; </t>
        </is>
      </c>
      <c r="I1145" s="34" t="inlineStr">
        <is>
          <t>New</t>
        </is>
      </c>
      <c r="J1145" s="92" t="inlineStr">
        <is>
          <t>08 CROSSWALK</t>
        </is>
      </c>
    </row>
    <row r="1146" ht="49" customHeight="1">
      <c r="A1146" s="34" t="inlineStr">
        <is>
          <t>R799-v1</t>
        </is>
      </c>
      <c r="B1146" s="34" t="inlineStr">
        <is>
          <t>Contractor Programme / SCH-05-079</t>
        </is>
      </c>
      <c r="C1146" s="34" t="inlineStr">
        <is>
          <t>WBS Code = 1.5.1</t>
        </is>
      </c>
      <c r="D1146" s="34" t="inlineStr">
        <is>
          <t>Proposed by Source assignment; target 1.5.1 Testing and Commissioning - Test Readiness</t>
        </is>
      </c>
      <c r="E1146" s="34" t="inlineStr">
        <is>
          <t>None recorded</t>
        </is>
      </c>
      <c r="F1146" s="34" t="inlineStr">
        <is>
          <t>No individual professional decision recorded; Source assignment -- not individually reviewed</t>
        </is>
      </c>
      <c r="G1146" s="34" t="inlineStr">
        <is>
          <t>Not individually decided</t>
        </is>
      </c>
      <c r="H1146" s="34" t="inlineStr">
        <is>
          <t xml:space="preserve">APPROVED / ONE_TO_ONE; </t>
        </is>
      </c>
      <c r="I1146" s="34" t="inlineStr">
        <is>
          <t>New</t>
        </is>
      </c>
      <c r="J1146" s="92" t="inlineStr">
        <is>
          <t>08 CROSSWALK</t>
        </is>
      </c>
    </row>
    <row r="1147" ht="49" customHeight="1">
      <c r="A1147" s="34" t="inlineStr">
        <is>
          <t>R800-v1</t>
        </is>
      </c>
      <c r="B1147" s="34" t="inlineStr">
        <is>
          <t>Contractor Programme / SCH-05-080</t>
        </is>
      </c>
      <c r="C1147" s="34" t="inlineStr">
        <is>
          <t>WBS Code = 1.5.1</t>
        </is>
      </c>
      <c r="D1147" s="34" t="inlineStr">
        <is>
          <t>Proposed by Source assignment; target 1.5.1 Testing and Commissioning - Test Readiness</t>
        </is>
      </c>
      <c r="E1147" s="34" t="inlineStr">
        <is>
          <t>None recorded</t>
        </is>
      </c>
      <c r="F1147" s="34" t="inlineStr">
        <is>
          <t>No individual professional decision recorded; Source assignment -- not individually reviewed</t>
        </is>
      </c>
      <c r="G1147" s="34" t="inlineStr">
        <is>
          <t>Not individually decided</t>
        </is>
      </c>
      <c r="H1147" s="34" t="inlineStr">
        <is>
          <t xml:space="preserve">APPROVED / ONE_TO_ONE; </t>
        </is>
      </c>
      <c r="I1147" s="34" t="inlineStr">
        <is>
          <t>New</t>
        </is>
      </c>
      <c r="J1147" s="92" t="inlineStr">
        <is>
          <t>08 CROSSWALK</t>
        </is>
      </c>
    </row>
    <row r="1148" ht="49" customHeight="1">
      <c r="A1148" s="34" t="inlineStr">
        <is>
          <t>R802-v1</t>
        </is>
      </c>
      <c r="B1148" s="34" t="inlineStr">
        <is>
          <t>Contractor Programme / SCH-05-082</t>
        </is>
      </c>
      <c r="C1148" s="34" t="inlineStr">
        <is>
          <t>WBS Code = 1.5.1</t>
        </is>
      </c>
      <c r="D1148" s="34" t="inlineStr">
        <is>
          <t>Proposed by Source assignment; target 1.5.1 Testing and Commissioning - Test Readiness</t>
        </is>
      </c>
      <c r="E1148" s="34" t="inlineStr">
        <is>
          <t>None recorded</t>
        </is>
      </c>
      <c r="F1148" s="34" t="inlineStr">
        <is>
          <t>No individual professional decision recorded; Source assignment -- not individually reviewed</t>
        </is>
      </c>
      <c r="G1148" s="34" t="inlineStr">
        <is>
          <t>Not individually decided</t>
        </is>
      </c>
      <c r="H1148" s="34" t="inlineStr">
        <is>
          <t xml:space="preserve">APPROVED / ONE_TO_ONE; </t>
        </is>
      </c>
      <c r="I1148" s="34" t="inlineStr">
        <is>
          <t>New</t>
        </is>
      </c>
      <c r="J1148" s="92" t="inlineStr">
        <is>
          <t>08 CROSSWALK</t>
        </is>
      </c>
    </row>
    <row r="1149" ht="49" customHeight="1">
      <c r="A1149" s="34" t="inlineStr">
        <is>
          <t>R803-v1</t>
        </is>
      </c>
      <c r="B1149" s="34" t="inlineStr">
        <is>
          <t>Contractor Programme / SCH-05-083</t>
        </is>
      </c>
      <c r="C1149" s="34" t="inlineStr">
        <is>
          <t>WBS Code = 1.5.1</t>
        </is>
      </c>
      <c r="D1149" s="34" t="inlineStr">
        <is>
          <t>Proposed by Source assignment; target 1.5.1 Testing and Commissioning - Test Readiness</t>
        </is>
      </c>
      <c r="E1149" s="34" t="inlineStr">
        <is>
          <t>None recorded</t>
        </is>
      </c>
      <c r="F1149" s="34" t="inlineStr">
        <is>
          <t>No individual professional decision recorded; Source assignment -- not individually reviewed</t>
        </is>
      </c>
      <c r="G1149" s="34" t="inlineStr">
        <is>
          <t>Not individually decided</t>
        </is>
      </c>
      <c r="H1149" s="34" t="inlineStr">
        <is>
          <t xml:space="preserve">APPROVED / ONE_TO_ONE; </t>
        </is>
      </c>
      <c r="I1149" s="34" t="inlineStr">
        <is>
          <t>New</t>
        </is>
      </c>
      <c r="J1149" s="92" t="inlineStr">
        <is>
          <t>08 CROSSWALK</t>
        </is>
      </c>
    </row>
    <row r="1150" ht="49" customHeight="1">
      <c r="A1150" s="34" t="inlineStr">
        <is>
          <t>R805-v1</t>
        </is>
      </c>
      <c r="B1150" s="34" t="inlineStr">
        <is>
          <t>Contractor Programme / SCH-05-085</t>
        </is>
      </c>
      <c r="C1150" s="34" t="inlineStr">
        <is>
          <t>WBS Code = 1.5.1</t>
        </is>
      </c>
      <c r="D1150" s="34" t="inlineStr">
        <is>
          <t>Proposed by Source assignment; target 1.5.1 Testing and Commissioning - Test Readiness</t>
        </is>
      </c>
      <c r="E1150" s="34" t="inlineStr">
        <is>
          <t>None recorded</t>
        </is>
      </c>
      <c r="F1150" s="34" t="inlineStr">
        <is>
          <t>No individual professional decision recorded; Source assignment -- not individually reviewed</t>
        </is>
      </c>
      <c r="G1150" s="34" t="inlineStr">
        <is>
          <t>Not individually decided</t>
        </is>
      </c>
      <c r="H1150" s="34" t="inlineStr">
        <is>
          <t xml:space="preserve">APPROVED / ONE_TO_ONE; </t>
        </is>
      </c>
      <c r="I1150" s="34" t="inlineStr">
        <is>
          <t>New</t>
        </is>
      </c>
      <c r="J1150" s="92" t="inlineStr">
        <is>
          <t>08 CROSSWALK</t>
        </is>
      </c>
    </row>
    <row r="1151" ht="49" customHeight="1">
      <c r="A1151" s="34" t="inlineStr">
        <is>
          <t>R806-v1</t>
        </is>
      </c>
      <c r="B1151" s="34" t="inlineStr">
        <is>
          <t>Contractor Programme / SCH-05-086</t>
        </is>
      </c>
      <c r="C1151" s="34" t="inlineStr">
        <is>
          <t>WBS Code = 1.5.1</t>
        </is>
      </c>
      <c r="D1151" s="34" t="inlineStr">
        <is>
          <t>Proposed by Source assignment; target 1.5.1 Testing and Commissioning - Test Readiness</t>
        </is>
      </c>
      <c r="E1151" s="34" t="inlineStr">
        <is>
          <t>None recorded</t>
        </is>
      </c>
      <c r="F1151" s="34" t="inlineStr">
        <is>
          <t>No individual professional decision recorded; Source assignment -- not individually reviewed</t>
        </is>
      </c>
      <c r="G1151" s="34" t="inlineStr">
        <is>
          <t>Not individually decided</t>
        </is>
      </c>
      <c r="H1151" s="34" t="inlineStr">
        <is>
          <t xml:space="preserve">APPROVED / ONE_TO_ONE; </t>
        </is>
      </c>
      <c r="I1151" s="34" t="inlineStr">
        <is>
          <t>New</t>
        </is>
      </c>
      <c r="J1151" s="92" t="inlineStr">
        <is>
          <t>08 CROSSWALK</t>
        </is>
      </c>
    </row>
    <row r="1152" ht="49" customHeight="1">
      <c r="A1152" s="34" t="inlineStr">
        <is>
          <t>R808-v1</t>
        </is>
      </c>
      <c r="B1152" s="34" t="inlineStr">
        <is>
          <t>Contractor Programme / SCH-05-088</t>
        </is>
      </c>
      <c r="C1152" s="34" t="inlineStr">
        <is>
          <t>WBS Code = 1.5.1</t>
        </is>
      </c>
      <c r="D1152" s="34" t="inlineStr">
        <is>
          <t>Proposed by Source assignment; target 1.5.1 Testing and Commissioning - Test Readiness</t>
        </is>
      </c>
      <c r="E1152" s="34" t="inlineStr">
        <is>
          <t>None recorded</t>
        </is>
      </c>
      <c r="F1152" s="34" t="inlineStr">
        <is>
          <t>No individual professional decision recorded; Source assignment -- not individually reviewed</t>
        </is>
      </c>
      <c r="G1152" s="34" t="inlineStr">
        <is>
          <t>Not individually decided</t>
        </is>
      </c>
      <c r="H1152" s="34" t="inlineStr">
        <is>
          <t xml:space="preserve">APPROVED / ONE_TO_ONE; </t>
        </is>
      </c>
      <c r="I1152" s="34" t="inlineStr">
        <is>
          <t>New</t>
        </is>
      </c>
      <c r="J1152" s="92" t="inlineStr">
        <is>
          <t>08 CROSSWALK</t>
        </is>
      </c>
    </row>
    <row r="1153" ht="49" customHeight="1">
      <c r="A1153" s="34" t="inlineStr">
        <is>
          <t>R809-v1</t>
        </is>
      </c>
      <c r="B1153" s="34" t="inlineStr">
        <is>
          <t>Contractor Programme / SCH-05-089</t>
        </is>
      </c>
      <c r="C1153" s="34" t="inlineStr">
        <is>
          <t>WBS Code = 1.5.1</t>
        </is>
      </c>
      <c r="D1153" s="34" t="inlineStr">
        <is>
          <t>Proposed by Source assignment; target 1.5.1 Testing and Commissioning - Test Readiness</t>
        </is>
      </c>
      <c r="E1153" s="34" t="inlineStr">
        <is>
          <t>None recorded</t>
        </is>
      </c>
      <c r="F1153" s="34" t="inlineStr">
        <is>
          <t>No individual professional decision recorded; Source assignment -- not individually reviewed</t>
        </is>
      </c>
      <c r="G1153" s="34" t="inlineStr">
        <is>
          <t>Not individually decided</t>
        </is>
      </c>
      <c r="H1153" s="34" t="inlineStr">
        <is>
          <t xml:space="preserve">APPROVED / ONE_TO_ONE; </t>
        </is>
      </c>
      <c r="I1153" s="34" t="inlineStr">
        <is>
          <t>New</t>
        </is>
      </c>
      <c r="J1153" s="92" t="inlineStr">
        <is>
          <t>08 CROSSWALK</t>
        </is>
      </c>
    </row>
    <row r="1154" ht="49" customHeight="1">
      <c r="A1154" s="34" t="inlineStr">
        <is>
          <t>R811-v1</t>
        </is>
      </c>
      <c r="B1154" s="34" t="inlineStr">
        <is>
          <t>Contractor Programme / SCH-05-091</t>
        </is>
      </c>
      <c r="C1154" s="34" t="inlineStr">
        <is>
          <t>WBS Code = 1.5.1</t>
        </is>
      </c>
      <c r="D1154" s="34" t="inlineStr">
        <is>
          <t>Proposed by Source assignment; target 1.5.1 Testing and Commissioning - Test Readiness</t>
        </is>
      </c>
      <c r="E1154" s="34" t="inlineStr">
        <is>
          <t>None recorded</t>
        </is>
      </c>
      <c r="F1154" s="34" t="inlineStr">
        <is>
          <t>No individual professional decision recorded; Source assignment -- not individually reviewed</t>
        </is>
      </c>
      <c r="G1154" s="34" t="inlineStr">
        <is>
          <t>Not individually decided</t>
        </is>
      </c>
      <c r="H1154" s="34" t="inlineStr">
        <is>
          <t xml:space="preserve">APPROVED / ONE_TO_ONE; </t>
        </is>
      </c>
      <c r="I1154" s="34" t="inlineStr">
        <is>
          <t>New</t>
        </is>
      </c>
      <c r="J1154" s="92" t="inlineStr">
        <is>
          <t>08 CROSSWALK</t>
        </is>
      </c>
    </row>
    <row r="1155" ht="49" customHeight="1">
      <c r="A1155" s="34" t="inlineStr">
        <is>
          <t>R812-v1</t>
        </is>
      </c>
      <c r="B1155" s="34" t="inlineStr">
        <is>
          <t>Contractor Programme / SCH-05-092</t>
        </is>
      </c>
      <c r="C1155" s="34" t="inlineStr">
        <is>
          <t>WBS Code = 1.5.1</t>
        </is>
      </c>
      <c r="D1155" s="34" t="inlineStr">
        <is>
          <t>Proposed by Source assignment; target 1.5.1 Testing and Commissioning - Test Readiness</t>
        </is>
      </c>
      <c r="E1155" s="34" t="inlineStr">
        <is>
          <t>None recorded</t>
        </is>
      </c>
      <c r="F1155" s="34" t="inlineStr">
        <is>
          <t>No individual professional decision recorded; Source assignment -- not individually reviewed</t>
        </is>
      </c>
      <c r="G1155" s="34" t="inlineStr">
        <is>
          <t>Not individually decided</t>
        </is>
      </c>
      <c r="H1155" s="34" t="inlineStr">
        <is>
          <t xml:space="preserve">APPROVED / ONE_TO_ONE; </t>
        </is>
      </c>
      <c r="I1155" s="34" t="inlineStr">
        <is>
          <t>New</t>
        </is>
      </c>
      <c r="J1155" s="92" t="inlineStr">
        <is>
          <t>08 CROSSWALK</t>
        </is>
      </c>
    </row>
    <row r="1156" ht="49" customHeight="1">
      <c r="A1156" s="34" t="inlineStr">
        <is>
          <t>R814-v1</t>
        </is>
      </c>
      <c r="B1156" s="34" t="inlineStr">
        <is>
          <t>Contractor Programme / SCH-05-094</t>
        </is>
      </c>
      <c r="C1156" s="34" t="inlineStr">
        <is>
          <t>WBS Code = 1.5.1</t>
        </is>
      </c>
      <c r="D1156" s="34" t="inlineStr">
        <is>
          <t>Proposed by Source assignment; target 1.5.1 Testing and Commissioning - Test Readiness</t>
        </is>
      </c>
      <c r="E1156" s="34" t="inlineStr">
        <is>
          <t>None recorded</t>
        </is>
      </c>
      <c r="F1156" s="34" t="inlineStr">
        <is>
          <t>No individual professional decision recorded; Source assignment -- not individually reviewed</t>
        </is>
      </c>
      <c r="G1156" s="34" t="inlineStr">
        <is>
          <t>Not individually decided</t>
        </is>
      </c>
      <c r="H1156" s="34" t="inlineStr">
        <is>
          <t xml:space="preserve">APPROVED / ONE_TO_ONE; </t>
        </is>
      </c>
      <c r="I1156" s="34" t="inlineStr">
        <is>
          <t>New</t>
        </is>
      </c>
      <c r="J1156" s="92" t="inlineStr">
        <is>
          <t>08 CROSSWALK</t>
        </is>
      </c>
    </row>
    <row r="1157" ht="49" customHeight="1">
      <c r="A1157" s="34" t="inlineStr">
        <is>
          <t>R815-v1</t>
        </is>
      </c>
      <c r="B1157" s="34" t="inlineStr">
        <is>
          <t>Contractor Programme / SCH-05-095</t>
        </is>
      </c>
      <c r="C1157" s="34" t="inlineStr">
        <is>
          <t>WBS Code = 1.5.1</t>
        </is>
      </c>
      <c r="D1157" s="34" t="inlineStr">
        <is>
          <t>Proposed by Source assignment; target 1.5.1 Testing and Commissioning - Test Readiness</t>
        </is>
      </c>
      <c r="E1157" s="34" t="inlineStr">
        <is>
          <t>None recorded</t>
        </is>
      </c>
      <c r="F1157" s="34" t="inlineStr">
        <is>
          <t>No individual professional decision recorded; Source assignment -- not individually reviewed</t>
        </is>
      </c>
      <c r="G1157" s="34" t="inlineStr">
        <is>
          <t>Not individually decided</t>
        </is>
      </c>
      <c r="H1157" s="34" t="inlineStr">
        <is>
          <t xml:space="preserve">APPROVED / ONE_TO_ONE; </t>
        </is>
      </c>
      <c r="I1157" s="34" t="inlineStr">
        <is>
          <t>New</t>
        </is>
      </c>
      <c r="J1157" s="92" t="inlineStr">
        <is>
          <t>08 CROSSWALK</t>
        </is>
      </c>
    </row>
    <row r="1158" ht="49" customHeight="1">
      <c r="A1158" s="34" t="inlineStr">
        <is>
          <t>R817-v1</t>
        </is>
      </c>
      <c r="B1158" s="34" t="inlineStr">
        <is>
          <t>Contractor Programme / SCH-05-097</t>
        </is>
      </c>
      <c r="C1158" s="34" t="inlineStr">
        <is>
          <t>WBS Code = 1.5.1</t>
        </is>
      </c>
      <c r="D1158" s="34" t="inlineStr">
        <is>
          <t>Proposed by Source assignment; target 1.5.1 Testing and Commissioning - Test Readiness</t>
        </is>
      </c>
      <c r="E1158" s="34" t="inlineStr">
        <is>
          <t>None recorded</t>
        </is>
      </c>
      <c r="F1158" s="34" t="inlineStr">
        <is>
          <t>No individual professional decision recorded; Source assignment -- not individually reviewed</t>
        </is>
      </c>
      <c r="G1158" s="34" t="inlineStr">
        <is>
          <t>Not individually decided</t>
        </is>
      </c>
      <c r="H1158" s="34" t="inlineStr">
        <is>
          <t xml:space="preserve">APPROVED / ONE_TO_ONE; </t>
        </is>
      </c>
      <c r="I1158" s="34" t="inlineStr">
        <is>
          <t>New</t>
        </is>
      </c>
      <c r="J1158" s="92" t="inlineStr">
        <is>
          <t>08 CROSSWALK</t>
        </is>
      </c>
    </row>
    <row r="1159" ht="49" customHeight="1">
      <c r="A1159" s="34" t="inlineStr">
        <is>
          <t>R818-v1</t>
        </is>
      </c>
      <c r="B1159" s="34" t="inlineStr">
        <is>
          <t>Contractor Programme / SCH-05-098</t>
        </is>
      </c>
      <c r="C1159" s="34" t="inlineStr">
        <is>
          <t>WBS Code = 1.5.1</t>
        </is>
      </c>
      <c r="D1159" s="34" t="inlineStr">
        <is>
          <t>Proposed by Source assignment; target 1.5.1 Testing and Commissioning - Test Readiness</t>
        </is>
      </c>
      <c r="E1159" s="34" t="inlineStr">
        <is>
          <t>None recorded</t>
        </is>
      </c>
      <c r="F1159" s="34" t="inlineStr">
        <is>
          <t>No individual professional decision recorded; Source assignment -- not individually reviewed</t>
        </is>
      </c>
      <c r="G1159" s="34" t="inlineStr">
        <is>
          <t>Not individually decided</t>
        </is>
      </c>
      <c r="H1159" s="34" t="inlineStr">
        <is>
          <t xml:space="preserve">APPROVED / ONE_TO_ONE; </t>
        </is>
      </c>
      <c r="I1159" s="34" t="inlineStr">
        <is>
          <t>New</t>
        </is>
      </c>
      <c r="J1159" s="92" t="inlineStr">
        <is>
          <t>08 CROSSWALK</t>
        </is>
      </c>
    </row>
    <row r="1160" ht="49" customHeight="1">
      <c r="A1160" s="34" t="inlineStr">
        <is>
          <t>R820-v1</t>
        </is>
      </c>
      <c r="B1160" s="34" t="inlineStr">
        <is>
          <t>Contractor Programme / SCH-05-100</t>
        </is>
      </c>
      <c r="C1160" s="34" t="inlineStr">
        <is>
          <t>WBS Code = 1.5.1</t>
        </is>
      </c>
      <c r="D1160" s="34" t="inlineStr">
        <is>
          <t>Proposed by Source assignment; target 1.5.1 Testing and Commissioning - Test Readiness</t>
        </is>
      </c>
      <c r="E1160" s="34" t="inlineStr">
        <is>
          <t>None recorded</t>
        </is>
      </c>
      <c r="F1160" s="34" t="inlineStr">
        <is>
          <t>No individual professional decision recorded; Source assignment -- not individually reviewed</t>
        </is>
      </c>
      <c r="G1160" s="34" t="inlineStr">
        <is>
          <t>Not individually decided</t>
        </is>
      </c>
      <c r="H1160" s="34" t="inlineStr">
        <is>
          <t xml:space="preserve">APPROVED / ONE_TO_ONE; </t>
        </is>
      </c>
      <c r="I1160" s="34" t="inlineStr">
        <is>
          <t>New</t>
        </is>
      </c>
      <c r="J1160" s="92" t="inlineStr">
        <is>
          <t>08 CROSSWALK</t>
        </is>
      </c>
    </row>
    <row r="1161" ht="49" customHeight="1">
      <c r="A1161" s="34" t="inlineStr">
        <is>
          <t>R821-v1</t>
        </is>
      </c>
      <c r="B1161" s="34" t="inlineStr">
        <is>
          <t>Contractor Programme / SCH-05-101</t>
        </is>
      </c>
      <c r="C1161" s="34" t="inlineStr">
        <is>
          <t>WBS Code = 1.5.1</t>
        </is>
      </c>
      <c r="D1161" s="34" t="inlineStr">
        <is>
          <t>Proposed by Source assignment; target 1.5.1 Testing and Commissioning - Test Readiness</t>
        </is>
      </c>
      <c r="E1161" s="34" t="inlineStr">
        <is>
          <t>None recorded</t>
        </is>
      </c>
      <c r="F1161" s="34" t="inlineStr">
        <is>
          <t>No individual professional decision recorded; Source assignment -- not individually reviewed</t>
        </is>
      </c>
      <c r="G1161" s="34" t="inlineStr">
        <is>
          <t>Not individually decided</t>
        </is>
      </c>
      <c r="H1161" s="34" t="inlineStr">
        <is>
          <t xml:space="preserve">APPROVED / ONE_TO_ONE; </t>
        </is>
      </c>
      <c r="I1161" s="34" t="inlineStr">
        <is>
          <t>New</t>
        </is>
      </c>
      <c r="J1161" s="92" t="inlineStr">
        <is>
          <t>08 CROSSWALK</t>
        </is>
      </c>
    </row>
    <row r="1162" ht="49" customHeight="1">
      <c r="A1162" s="34" t="inlineStr">
        <is>
          <t>R823-v1</t>
        </is>
      </c>
      <c r="B1162" s="34" t="inlineStr">
        <is>
          <t>Contractor Programme / SCH-05-103</t>
        </is>
      </c>
      <c r="C1162" s="34" t="inlineStr">
        <is>
          <t>WBS Code = 1.5.1</t>
        </is>
      </c>
      <c r="D1162" s="34" t="inlineStr">
        <is>
          <t>Proposed by Source assignment; target 1.5.1 Testing and Commissioning - Test Readiness</t>
        </is>
      </c>
      <c r="E1162" s="34" t="inlineStr">
        <is>
          <t>None recorded</t>
        </is>
      </c>
      <c r="F1162" s="34" t="inlineStr">
        <is>
          <t>No individual professional decision recorded; Source assignment -- not individually reviewed</t>
        </is>
      </c>
      <c r="G1162" s="34" t="inlineStr">
        <is>
          <t>Not individually decided</t>
        </is>
      </c>
      <c r="H1162" s="34" t="inlineStr">
        <is>
          <t xml:space="preserve">APPROVED / ONE_TO_ONE; </t>
        </is>
      </c>
      <c r="I1162" s="34" t="inlineStr">
        <is>
          <t>New</t>
        </is>
      </c>
      <c r="J1162" s="92" t="inlineStr">
        <is>
          <t>08 CROSSWALK</t>
        </is>
      </c>
    </row>
    <row r="1163" ht="49" customHeight="1">
      <c r="A1163" s="34" t="inlineStr">
        <is>
          <t>R824-v1</t>
        </is>
      </c>
      <c r="B1163" s="34" t="inlineStr">
        <is>
          <t>Contractor Programme / SCH-05-104</t>
        </is>
      </c>
      <c r="C1163" s="34" t="inlineStr">
        <is>
          <t>WBS Code = 1.5.1</t>
        </is>
      </c>
      <c r="D1163" s="34" t="inlineStr">
        <is>
          <t>Proposed by Source assignment; target 1.5.1 Testing and Commissioning - Test Readiness</t>
        </is>
      </c>
      <c r="E1163" s="34" t="inlineStr">
        <is>
          <t>None recorded</t>
        </is>
      </c>
      <c r="F1163" s="34" t="inlineStr">
        <is>
          <t>No individual professional decision recorded; Source assignment -- not individually reviewed</t>
        </is>
      </c>
      <c r="G1163" s="34" t="inlineStr">
        <is>
          <t>Not individually decided</t>
        </is>
      </c>
      <c r="H1163" s="34" t="inlineStr">
        <is>
          <t xml:space="preserve">APPROVED / ONE_TO_ONE; </t>
        </is>
      </c>
      <c r="I1163" s="34" t="inlineStr">
        <is>
          <t>New</t>
        </is>
      </c>
      <c r="J1163" s="92" t="inlineStr">
        <is>
          <t>08 CROSSWALK</t>
        </is>
      </c>
    </row>
    <row r="1164" ht="49" customHeight="1">
      <c r="A1164" s="34" t="inlineStr">
        <is>
          <t>R826-v1</t>
        </is>
      </c>
      <c r="B1164" s="34" t="inlineStr">
        <is>
          <t>Contractor Programme / SCH-05-106</t>
        </is>
      </c>
      <c r="C1164" s="34" t="inlineStr">
        <is>
          <t>WBS Code = 1.5.1</t>
        </is>
      </c>
      <c r="D1164" s="34" t="inlineStr">
        <is>
          <t>Proposed by Source assignment; target 1.5.1 Testing and Commissioning - Test Readiness</t>
        </is>
      </c>
      <c r="E1164" s="34" t="inlineStr">
        <is>
          <t>None recorded</t>
        </is>
      </c>
      <c r="F1164" s="34" t="inlineStr">
        <is>
          <t>No individual professional decision recorded; Source assignment -- not individually reviewed</t>
        </is>
      </c>
      <c r="G1164" s="34" t="inlineStr">
        <is>
          <t>Not individually decided</t>
        </is>
      </c>
      <c r="H1164" s="34" t="inlineStr">
        <is>
          <t xml:space="preserve">APPROVED / ONE_TO_ONE; </t>
        </is>
      </c>
      <c r="I1164" s="34" t="inlineStr">
        <is>
          <t>New</t>
        </is>
      </c>
      <c r="J1164" s="92" t="inlineStr">
        <is>
          <t>08 CROSSWALK</t>
        </is>
      </c>
    </row>
    <row r="1165" ht="49" customHeight="1">
      <c r="A1165" s="34" t="inlineStr">
        <is>
          <t>R827-v1</t>
        </is>
      </c>
      <c r="B1165" s="34" t="inlineStr">
        <is>
          <t>Contractor Programme / SCH-05-107</t>
        </is>
      </c>
      <c r="C1165" s="34" t="inlineStr">
        <is>
          <t>WBS Code = 1.5.1</t>
        </is>
      </c>
      <c r="D1165" s="34" t="inlineStr">
        <is>
          <t>Proposed by Source assignment; target 1.5.1 Testing and Commissioning - Test Readiness</t>
        </is>
      </c>
      <c r="E1165" s="34" t="inlineStr">
        <is>
          <t>None recorded</t>
        </is>
      </c>
      <c r="F1165" s="34" t="inlineStr">
        <is>
          <t>No individual professional decision recorded; Source assignment -- not individually reviewed</t>
        </is>
      </c>
      <c r="G1165" s="34" t="inlineStr">
        <is>
          <t>Not individually decided</t>
        </is>
      </c>
      <c r="H1165" s="34" t="inlineStr">
        <is>
          <t xml:space="preserve">APPROVED / ONE_TO_ONE; </t>
        </is>
      </c>
      <c r="I1165" s="34" t="inlineStr">
        <is>
          <t>New</t>
        </is>
      </c>
      <c r="J1165" s="92" t="inlineStr">
        <is>
          <t>08 CROSSWALK</t>
        </is>
      </c>
    </row>
    <row r="1166" ht="49" customHeight="1">
      <c r="A1166" s="34" t="inlineStr">
        <is>
          <t>R829-v1</t>
        </is>
      </c>
      <c r="B1166" s="34" t="inlineStr">
        <is>
          <t>Contractor Programme / SCH-05-109</t>
        </is>
      </c>
      <c r="C1166" s="34" t="inlineStr">
        <is>
          <t>WBS Code = 1.5.1</t>
        </is>
      </c>
      <c r="D1166" s="34" t="inlineStr">
        <is>
          <t>Proposed by Source assignment; target 1.5.1 Testing and Commissioning - Test Readiness</t>
        </is>
      </c>
      <c r="E1166" s="34" t="inlineStr">
        <is>
          <t>None recorded</t>
        </is>
      </c>
      <c r="F1166" s="34" t="inlineStr">
        <is>
          <t>No individual professional decision recorded; Source assignment -- not individually reviewed</t>
        </is>
      </c>
      <c r="G1166" s="34" t="inlineStr">
        <is>
          <t>Not individually decided</t>
        </is>
      </c>
      <c r="H1166" s="34" t="inlineStr">
        <is>
          <t xml:space="preserve">APPROVED / ONE_TO_ONE; </t>
        </is>
      </c>
      <c r="I1166" s="34" t="inlineStr">
        <is>
          <t>New</t>
        </is>
      </c>
      <c r="J1166" s="92" t="inlineStr">
        <is>
          <t>08 CROSSWALK</t>
        </is>
      </c>
    </row>
    <row r="1167" ht="49" customHeight="1">
      <c r="A1167" s="34" t="inlineStr">
        <is>
          <t>R830-v1</t>
        </is>
      </c>
      <c r="B1167" s="34" t="inlineStr">
        <is>
          <t>Contractor Programme / SCH-05-110</t>
        </is>
      </c>
      <c r="C1167" s="34" t="inlineStr">
        <is>
          <t>WBS Code = 1.5.1</t>
        </is>
      </c>
      <c r="D1167" s="34" t="inlineStr">
        <is>
          <t>Proposed by Source assignment; target 1.5.1 Testing and Commissioning - Test Readiness</t>
        </is>
      </c>
      <c r="E1167" s="34" t="inlineStr">
        <is>
          <t>None recorded</t>
        </is>
      </c>
      <c r="F1167" s="34" t="inlineStr">
        <is>
          <t>No individual professional decision recorded; Source assignment -- not individually reviewed</t>
        </is>
      </c>
      <c r="G1167" s="34" t="inlineStr">
        <is>
          <t>Not individually decided</t>
        </is>
      </c>
      <c r="H1167" s="34" t="inlineStr">
        <is>
          <t xml:space="preserve">APPROVED / ONE_TO_ONE; </t>
        </is>
      </c>
      <c r="I1167" s="34" t="inlineStr">
        <is>
          <t>New</t>
        </is>
      </c>
      <c r="J1167" s="92" t="inlineStr">
        <is>
          <t>08 CROSSWALK</t>
        </is>
      </c>
    </row>
    <row r="1168" ht="49" customHeight="1">
      <c r="A1168" s="34" t="inlineStr">
        <is>
          <t>R832-v1</t>
        </is>
      </c>
      <c r="B1168" s="34" t="inlineStr">
        <is>
          <t>Contractor Programme / SCH-05-112</t>
        </is>
      </c>
      <c r="C1168" s="34" t="inlineStr">
        <is>
          <t>WBS Code = 1.5.1</t>
        </is>
      </c>
      <c r="D1168" s="34" t="inlineStr">
        <is>
          <t>Proposed by Source assignment; target 1.5.1 Testing and Commissioning - Test Readiness</t>
        </is>
      </c>
      <c r="E1168" s="34" t="inlineStr">
        <is>
          <t>None recorded</t>
        </is>
      </c>
      <c r="F1168" s="34" t="inlineStr">
        <is>
          <t>No individual professional decision recorded; Source assignment -- not individually reviewed</t>
        </is>
      </c>
      <c r="G1168" s="34" t="inlineStr">
        <is>
          <t>Not individually decided</t>
        </is>
      </c>
      <c r="H1168" s="34" t="inlineStr">
        <is>
          <t xml:space="preserve">APPROVED / ONE_TO_ONE; </t>
        </is>
      </c>
      <c r="I1168" s="34" t="inlineStr">
        <is>
          <t>New</t>
        </is>
      </c>
      <c r="J1168" s="92" t="inlineStr">
        <is>
          <t>08 CROSSWALK</t>
        </is>
      </c>
    </row>
    <row r="1169" ht="49" customHeight="1">
      <c r="A1169" s="34" t="inlineStr">
        <is>
          <t>R833-v1</t>
        </is>
      </c>
      <c r="B1169" s="34" t="inlineStr">
        <is>
          <t>Contractor Programme / SCH-05-113</t>
        </is>
      </c>
      <c r="C1169" s="34" t="inlineStr">
        <is>
          <t>WBS Code = 1.5.1</t>
        </is>
      </c>
      <c r="D1169" s="34" t="inlineStr">
        <is>
          <t>Proposed by Source assignment; target 1.5.1 Testing and Commissioning - Test Readiness</t>
        </is>
      </c>
      <c r="E1169" s="34" t="inlineStr">
        <is>
          <t>None recorded</t>
        </is>
      </c>
      <c r="F1169" s="34" t="inlineStr">
        <is>
          <t>No individual professional decision recorded; Source assignment -- not individually reviewed</t>
        </is>
      </c>
      <c r="G1169" s="34" t="inlineStr">
        <is>
          <t>Not individually decided</t>
        </is>
      </c>
      <c r="H1169" s="34" t="inlineStr">
        <is>
          <t xml:space="preserve">APPROVED / ONE_TO_ONE; </t>
        </is>
      </c>
      <c r="I1169" s="34" t="inlineStr">
        <is>
          <t>New</t>
        </is>
      </c>
      <c r="J1169" s="92" t="inlineStr">
        <is>
          <t>08 CROSSWALK</t>
        </is>
      </c>
    </row>
    <row r="1170" ht="49" customHeight="1">
      <c r="A1170" s="34" t="inlineStr">
        <is>
          <t>R835-v1</t>
        </is>
      </c>
      <c r="B1170" s="34" t="inlineStr">
        <is>
          <t>Contractor Programme / SCH-05-115</t>
        </is>
      </c>
      <c r="C1170" s="34" t="inlineStr">
        <is>
          <t>WBS Code = 1.5.1</t>
        </is>
      </c>
      <c r="D1170" s="34" t="inlineStr">
        <is>
          <t>Proposed by Source assignment; target 1.5.1 Testing and Commissioning - Test Readiness</t>
        </is>
      </c>
      <c r="E1170" s="34" t="inlineStr">
        <is>
          <t>None recorded</t>
        </is>
      </c>
      <c r="F1170" s="34" t="inlineStr">
        <is>
          <t>No individual professional decision recorded; Source assignment -- not individually reviewed</t>
        </is>
      </c>
      <c r="G1170" s="34" t="inlineStr">
        <is>
          <t>Not individually decided</t>
        </is>
      </c>
      <c r="H1170" s="34" t="inlineStr">
        <is>
          <t xml:space="preserve">APPROVED / ONE_TO_ONE; </t>
        </is>
      </c>
      <c r="I1170" s="34" t="inlineStr">
        <is>
          <t>New</t>
        </is>
      </c>
      <c r="J1170" s="92" t="inlineStr">
        <is>
          <t>08 CROSSWALK</t>
        </is>
      </c>
    </row>
    <row r="1171" ht="49" customHeight="1">
      <c r="A1171" s="34" t="inlineStr">
        <is>
          <t>R836-v1</t>
        </is>
      </c>
      <c r="B1171" s="34" t="inlineStr">
        <is>
          <t>Contractor Programme / SCH-05-116</t>
        </is>
      </c>
      <c r="C1171" s="34" t="inlineStr">
        <is>
          <t>WBS Code = 1.5.1</t>
        </is>
      </c>
      <c r="D1171" s="34" t="inlineStr">
        <is>
          <t>Proposed by Source assignment; target 1.5.1 Testing and Commissioning - Test Readiness</t>
        </is>
      </c>
      <c r="E1171" s="34" t="inlineStr">
        <is>
          <t>None recorded</t>
        </is>
      </c>
      <c r="F1171" s="34" t="inlineStr">
        <is>
          <t>No individual professional decision recorded; Source assignment -- not individually reviewed</t>
        </is>
      </c>
      <c r="G1171" s="34" t="inlineStr">
        <is>
          <t>Not individually decided</t>
        </is>
      </c>
      <c r="H1171" s="34" t="inlineStr">
        <is>
          <t xml:space="preserve">APPROVED / ONE_TO_ONE; </t>
        </is>
      </c>
      <c r="I1171" s="34" t="inlineStr">
        <is>
          <t>New</t>
        </is>
      </c>
      <c r="J1171" s="92" t="inlineStr">
        <is>
          <t>08 CROSSWALK</t>
        </is>
      </c>
    </row>
    <row r="1172" ht="49" customHeight="1">
      <c r="A1172" s="34" t="inlineStr">
        <is>
          <t>R838-v1</t>
        </is>
      </c>
      <c r="B1172" s="34" t="inlineStr">
        <is>
          <t>Contractor Programme / SCH-05-118</t>
        </is>
      </c>
      <c r="C1172" s="34" t="inlineStr">
        <is>
          <t>WBS Code = 1.5.1</t>
        </is>
      </c>
      <c r="D1172" s="34" t="inlineStr">
        <is>
          <t>Proposed by Source assignment; target 1.5.1 Testing and Commissioning - Test Readiness</t>
        </is>
      </c>
      <c r="E1172" s="34" t="inlineStr">
        <is>
          <t>None recorded</t>
        </is>
      </c>
      <c r="F1172" s="34" t="inlineStr">
        <is>
          <t>No individual professional decision recorded; Source assignment -- not individually reviewed</t>
        </is>
      </c>
      <c r="G1172" s="34" t="inlineStr">
        <is>
          <t>Not individually decided</t>
        </is>
      </c>
      <c r="H1172" s="34" t="inlineStr">
        <is>
          <t xml:space="preserve">APPROVED / ONE_TO_ONE; </t>
        </is>
      </c>
      <c r="I1172" s="34" t="inlineStr">
        <is>
          <t>New</t>
        </is>
      </c>
      <c r="J1172" s="92" t="inlineStr">
        <is>
          <t>08 CROSSWALK</t>
        </is>
      </c>
    </row>
    <row r="1173" ht="49" customHeight="1">
      <c r="A1173" s="34" t="inlineStr">
        <is>
          <t>R839-v1</t>
        </is>
      </c>
      <c r="B1173" s="34" t="inlineStr">
        <is>
          <t>Contractor Programme / SCH-05-119</t>
        </is>
      </c>
      <c r="C1173" s="34" t="inlineStr">
        <is>
          <t>WBS Code = 1.5.1</t>
        </is>
      </c>
      <c r="D1173" s="34" t="inlineStr">
        <is>
          <t>Proposed by Source assignment; target 1.5.1 Testing and Commissioning - Test Readiness</t>
        </is>
      </c>
      <c r="E1173" s="34" t="inlineStr">
        <is>
          <t>None recorded</t>
        </is>
      </c>
      <c r="F1173" s="34" t="inlineStr">
        <is>
          <t>No individual professional decision recorded; Source assignment -- not individually reviewed</t>
        </is>
      </c>
      <c r="G1173" s="34" t="inlineStr">
        <is>
          <t>Not individually decided</t>
        </is>
      </c>
      <c r="H1173" s="34" t="inlineStr">
        <is>
          <t xml:space="preserve">APPROVED / ONE_TO_ONE; </t>
        </is>
      </c>
      <c r="I1173" s="34" t="inlineStr">
        <is>
          <t>New</t>
        </is>
      </c>
      <c r="J1173" s="92" t="inlineStr">
        <is>
          <t>08 CROSSWALK</t>
        </is>
      </c>
    </row>
    <row r="1174" ht="49" customHeight="1">
      <c r="A1174" s="34" t="inlineStr">
        <is>
          <t>R841-v1</t>
        </is>
      </c>
      <c r="B1174" s="34" t="inlineStr">
        <is>
          <t>Contractor Programme / SCH-05-121</t>
        </is>
      </c>
      <c r="C1174" s="34" t="inlineStr">
        <is>
          <t>WBS Code = 1.5.1</t>
        </is>
      </c>
      <c r="D1174" s="34" t="inlineStr">
        <is>
          <t>Proposed by Source assignment; target 1.5.1 Testing and Commissioning - Test Readiness</t>
        </is>
      </c>
      <c r="E1174" s="34" t="inlineStr">
        <is>
          <t>None recorded</t>
        </is>
      </c>
      <c r="F1174" s="34" t="inlineStr">
        <is>
          <t>No individual professional decision recorded; Source assignment -- not individually reviewed</t>
        </is>
      </c>
      <c r="G1174" s="34" t="inlineStr">
        <is>
          <t>Not individually decided</t>
        </is>
      </c>
      <c r="H1174" s="34" t="inlineStr">
        <is>
          <t xml:space="preserve">APPROVED / ONE_TO_ONE; </t>
        </is>
      </c>
      <c r="I1174" s="34" t="inlineStr">
        <is>
          <t>New</t>
        </is>
      </c>
      <c r="J1174" s="92" t="inlineStr">
        <is>
          <t>08 CROSSWALK</t>
        </is>
      </c>
    </row>
    <row r="1175" ht="49" customHeight="1">
      <c r="A1175" s="34" t="inlineStr">
        <is>
          <t>R842-v1</t>
        </is>
      </c>
      <c r="B1175" s="34" t="inlineStr">
        <is>
          <t>Contractor Programme / SCH-05-122</t>
        </is>
      </c>
      <c r="C1175" s="34" t="inlineStr">
        <is>
          <t>WBS Code = 1.5.1</t>
        </is>
      </c>
      <c r="D1175" s="34" t="inlineStr">
        <is>
          <t>Proposed by Source assignment; target 1.5.1 Testing and Commissioning - Test Readiness</t>
        </is>
      </c>
      <c r="E1175" s="34" t="inlineStr">
        <is>
          <t>None recorded</t>
        </is>
      </c>
      <c r="F1175" s="34" t="inlineStr">
        <is>
          <t>No individual professional decision recorded; Source assignment -- not individually reviewed</t>
        </is>
      </c>
      <c r="G1175" s="34" t="inlineStr">
        <is>
          <t>Not individually decided</t>
        </is>
      </c>
      <c r="H1175" s="34" t="inlineStr">
        <is>
          <t xml:space="preserve">APPROVED / ONE_TO_ONE; </t>
        </is>
      </c>
      <c r="I1175" s="34" t="inlineStr">
        <is>
          <t>New</t>
        </is>
      </c>
      <c r="J1175" s="92" t="inlineStr">
        <is>
          <t>08 CROSSWALK</t>
        </is>
      </c>
    </row>
    <row r="1176" ht="49" customHeight="1">
      <c r="A1176" s="34" t="inlineStr">
        <is>
          <t>R844-v1</t>
        </is>
      </c>
      <c r="B1176" s="34" t="inlineStr">
        <is>
          <t>Contractor Programme / SCH-05-124</t>
        </is>
      </c>
      <c r="C1176" s="34" t="inlineStr">
        <is>
          <t>WBS Code = 1.5.1</t>
        </is>
      </c>
      <c r="D1176" s="34" t="inlineStr">
        <is>
          <t>Proposed by Source assignment; target 1.5.1 Testing and Commissioning - Test Readiness</t>
        </is>
      </c>
      <c r="E1176" s="34" t="inlineStr">
        <is>
          <t>None recorded</t>
        </is>
      </c>
      <c r="F1176" s="34" t="inlineStr">
        <is>
          <t>No individual professional decision recorded; Source assignment -- not individually reviewed</t>
        </is>
      </c>
      <c r="G1176" s="34" t="inlineStr">
        <is>
          <t>Not individually decided</t>
        </is>
      </c>
      <c r="H1176" s="34" t="inlineStr">
        <is>
          <t xml:space="preserve">APPROVED / ONE_TO_ONE; </t>
        </is>
      </c>
      <c r="I1176" s="34" t="inlineStr">
        <is>
          <t>New</t>
        </is>
      </c>
      <c r="J1176" s="92" t="inlineStr">
        <is>
          <t>08 CROSSWALK</t>
        </is>
      </c>
    </row>
    <row r="1177" ht="49" customHeight="1">
      <c r="A1177" s="34" t="inlineStr">
        <is>
          <t>R845-v1</t>
        </is>
      </c>
      <c r="B1177" s="34" t="inlineStr">
        <is>
          <t>Contractor Programme / SCH-05-125</t>
        </is>
      </c>
      <c r="C1177" s="34" t="inlineStr">
        <is>
          <t>WBS Code = 1.5.1</t>
        </is>
      </c>
      <c r="D1177" s="34" t="inlineStr">
        <is>
          <t>Proposed by Source assignment; target 1.5.1 Testing and Commissioning - Test Readiness</t>
        </is>
      </c>
      <c r="E1177" s="34" t="inlineStr">
        <is>
          <t>None recorded</t>
        </is>
      </c>
      <c r="F1177" s="34" t="inlineStr">
        <is>
          <t>No individual professional decision recorded; Source assignment -- not individually reviewed</t>
        </is>
      </c>
      <c r="G1177" s="34" t="inlineStr">
        <is>
          <t>Not individually decided</t>
        </is>
      </c>
      <c r="H1177" s="34" t="inlineStr">
        <is>
          <t xml:space="preserve">APPROVED / ONE_TO_ONE; </t>
        </is>
      </c>
      <c r="I1177" s="34" t="inlineStr">
        <is>
          <t>New</t>
        </is>
      </c>
      <c r="J1177" s="92" t="inlineStr">
        <is>
          <t>08 CROSSWALK</t>
        </is>
      </c>
    </row>
    <row r="1178" ht="49" customHeight="1">
      <c r="A1178" s="34" t="inlineStr">
        <is>
          <t>R847-v1</t>
        </is>
      </c>
      <c r="B1178" s="34" t="inlineStr">
        <is>
          <t>Contractor Programme / SCH-05-127</t>
        </is>
      </c>
      <c r="C1178" s="34" t="inlineStr">
        <is>
          <t>WBS Code = 1.5.1</t>
        </is>
      </c>
      <c r="D1178" s="34" t="inlineStr">
        <is>
          <t>Proposed by Source assignment; target 1.5.1 Testing and Commissioning - Test Readiness</t>
        </is>
      </c>
      <c r="E1178" s="34" t="inlineStr">
        <is>
          <t>None recorded</t>
        </is>
      </c>
      <c r="F1178" s="34" t="inlineStr">
        <is>
          <t>No individual professional decision recorded; Source assignment -- not individually reviewed</t>
        </is>
      </c>
      <c r="G1178" s="34" t="inlineStr">
        <is>
          <t>Not individually decided</t>
        </is>
      </c>
      <c r="H1178" s="34" t="inlineStr">
        <is>
          <t xml:space="preserve">APPROVED / ONE_TO_ONE; </t>
        </is>
      </c>
      <c r="I1178" s="34" t="inlineStr">
        <is>
          <t>New</t>
        </is>
      </c>
      <c r="J1178" s="92" t="inlineStr">
        <is>
          <t>08 CROSSWALK</t>
        </is>
      </c>
    </row>
    <row r="1179" ht="49" customHeight="1">
      <c r="A1179" s="34" t="inlineStr">
        <is>
          <t>R848-v1</t>
        </is>
      </c>
      <c r="B1179" s="34" t="inlineStr">
        <is>
          <t>Contractor Programme / SCH-05-128</t>
        </is>
      </c>
      <c r="C1179" s="34" t="inlineStr">
        <is>
          <t>WBS Code = 1.5.1</t>
        </is>
      </c>
      <c r="D1179" s="34" t="inlineStr">
        <is>
          <t>Proposed by Source assignment; target 1.5.1 Testing and Commissioning - Test Readiness</t>
        </is>
      </c>
      <c r="E1179" s="34" t="inlineStr">
        <is>
          <t>None recorded</t>
        </is>
      </c>
      <c r="F1179" s="34" t="inlineStr">
        <is>
          <t>No individual professional decision recorded; Source assignment -- not individually reviewed</t>
        </is>
      </c>
      <c r="G1179" s="34" t="inlineStr">
        <is>
          <t>Not individually decided</t>
        </is>
      </c>
      <c r="H1179" s="34" t="inlineStr">
        <is>
          <t xml:space="preserve">APPROVED / ONE_TO_ONE; </t>
        </is>
      </c>
      <c r="I1179" s="34" t="inlineStr">
        <is>
          <t>New</t>
        </is>
      </c>
      <c r="J1179" s="92" t="inlineStr">
        <is>
          <t>08 CROSSWALK</t>
        </is>
      </c>
    </row>
    <row r="1180" ht="49" customHeight="1">
      <c r="A1180" s="34" t="inlineStr">
        <is>
          <t>R850-v1</t>
        </is>
      </c>
      <c r="B1180" s="34" t="inlineStr">
        <is>
          <t>Contractor Programme / SCH-05-130</t>
        </is>
      </c>
      <c r="C1180" s="34" t="inlineStr">
        <is>
          <t>WBS Code = 1.5.1</t>
        </is>
      </c>
      <c r="D1180" s="34" t="inlineStr">
        <is>
          <t>Proposed by Source assignment; target 1.5.1 Testing and Commissioning - Test Readiness</t>
        </is>
      </c>
      <c r="E1180" s="34" t="inlineStr">
        <is>
          <t>None recorded</t>
        </is>
      </c>
      <c r="F1180" s="34" t="inlineStr">
        <is>
          <t>No individual professional decision recorded; Source assignment -- not individually reviewed</t>
        </is>
      </c>
      <c r="G1180" s="34" t="inlineStr">
        <is>
          <t>Not individually decided</t>
        </is>
      </c>
      <c r="H1180" s="34" t="inlineStr">
        <is>
          <t xml:space="preserve">APPROVED / ONE_TO_ONE; </t>
        </is>
      </c>
      <c r="I1180" s="34" t="inlineStr">
        <is>
          <t>New</t>
        </is>
      </c>
      <c r="J1180" s="92" t="inlineStr">
        <is>
          <t>08 CROSSWALK</t>
        </is>
      </c>
    </row>
    <row r="1181" ht="49" customHeight="1">
      <c r="A1181" s="34" t="inlineStr">
        <is>
          <t>R851-v1</t>
        </is>
      </c>
      <c r="B1181" s="34" t="inlineStr">
        <is>
          <t>Contractor Programme / SCH-05-131</t>
        </is>
      </c>
      <c r="C1181" s="34" t="inlineStr">
        <is>
          <t>WBS Code = 1.5.1</t>
        </is>
      </c>
      <c r="D1181" s="34" t="inlineStr">
        <is>
          <t>Proposed by Source assignment; target 1.5.1 Testing and Commissioning - Test Readiness</t>
        </is>
      </c>
      <c r="E1181" s="34" t="inlineStr">
        <is>
          <t>None recorded</t>
        </is>
      </c>
      <c r="F1181" s="34" t="inlineStr">
        <is>
          <t>No individual professional decision recorded; Source assignment -- not individually reviewed</t>
        </is>
      </c>
      <c r="G1181" s="34" t="inlineStr">
        <is>
          <t>Not individually decided</t>
        </is>
      </c>
      <c r="H1181" s="34" t="inlineStr">
        <is>
          <t xml:space="preserve">APPROVED / ONE_TO_ONE; </t>
        </is>
      </c>
      <c r="I1181" s="34" t="inlineStr">
        <is>
          <t>New</t>
        </is>
      </c>
      <c r="J1181" s="92" t="inlineStr">
        <is>
          <t>08 CROSSWALK</t>
        </is>
      </c>
    </row>
    <row r="1182" ht="49" customHeight="1">
      <c r="A1182" s="34" t="inlineStr">
        <is>
          <t>R853-v1</t>
        </is>
      </c>
      <c r="B1182" s="34" t="inlineStr">
        <is>
          <t>Contractor Programme / SCH-05-133</t>
        </is>
      </c>
      <c r="C1182" s="34" t="inlineStr">
        <is>
          <t>WBS Code = 1.5.1</t>
        </is>
      </c>
      <c r="D1182" s="34" t="inlineStr">
        <is>
          <t>Proposed by Source assignment; target 1.5.1 Testing and Commissioning - Test Readiness</t>
        </is>
      </c>
      <c r="E1182" s="34" t="inlineStr">
        <is>
          <t>None recorded</t>
        </is>
      </c>
      <c r="F1182" s="34" t="inlineStr">
        <is>
          <t>No individual professional decision recorded; Source assignment -- not individually reviewed</t>
        </is>
      </c>
      <c r="G1182" s="34" t="inlineStr">
        <is>
          <t>Not individually decided</t>
        </is>
      </c>
      <c r="H1182" s="34" t="inlineStr">
        <is>
          <t xml:space="preserve">APPROVED / ONE_TO_ONE; </t>
        </is>
      </c>
      <c r="I1182" s="34" t="inlineStr">
        <is>
          <t>New</t>
        </is>
      </c>
      <c r="J1182" s="92" t="inlineStr">
        <is>
          <t>08 CROSSWALK</t>
        </is>
      </c>
    </row>
    <row r="1183" ht="49" customHeight="1">
      <c r="A1183" s="34" t="inlineStr">
        <is>
          <t>R854-v1</t>
        </is>
      </c>
      <c r="B1183" s="34" t="inlineStr">
        <is>
          <t>Contractor Programme / SCH-05-134</t>
        </is>
      </c>
      <c r="C1183" s="34" t="inlineStr">
        <is>
          <t>WBS Code = 1.5.1</t>
        </is>
      </c>
      <c r="D1183" s="34" t="inlineStr">
        <is>
          <t>Proposed by Source assignment; target 1.5.1 Testing and Commissioning - Test Readiness</t>
        </is>
      </c>
      <c r="E1183" s="34" t="inlineStr">
        <is>
          <t>None recorded</t>
        </is>
      </c>
      <c r="F1183" s="34" t="inlineStr">
        <is>
          <t>No individual professional decision recorded; Source assignment -- not individually reviewed</t>
        </is>
      </c>
      <c r="G1183" s="34" t="inlineStr">
        <is>
          <t>Not individually decided</t>
        </is>
      </c>
      <c r="H1183" s="34" t="inlineStr">
        <is>
          <t xml:space="preserve">APPROVED / ONE_TO_ONE; </t>
        </is>
      </c>
      <c r="I1183" s="34" t="inlineStr">
        <is>
          <t>New</t>
        </is>
      </c>
      <c r="J1183" s="92" t="inlineStr">
        <is>
          <t>08 CROSSWALK</t>
        </is>
      </c>
    </row>
    <row r="1184" ht="49" customHeight="1">
      <c r="A1184" s="34" t="inlineStr">
        <is>
          <t>R856-v1</t>
        </is>
      </c>
      <c r="B1184" s="34" t="inlineStr">
        <is>
          <t>Contractor Programme / SCH-05-136</t>
        </is>
      </c>
      <c r="C1184" s="34" t="inlineStr">
        <is>
          <t>WBS Code = 1.5.1</t>
        </is>
      </c>
      <c r="D1184" s="34" t="inlineStr">
        <is>
          <t>Proposed by Source assignment; target 1.5.1 Testing and Commissioning - Test Readiness</t>
        </is>
      </c>
      <c r="E1184" s="34" t="inlineStr">
        <is>
          <t>None recorded</t>
        </is>
      </c>
      <c r="F1184" s="34" t="inlineStr">
        <is>
          <t>No individual professional decision recorded; Source assignment -- not individually reviewed</t>
        </is>
      </c>
      <c r="G1184" s="34" t="inlineStr">
        <is>
          <t>Not individually decided</t>
        </is>
      </c>
      <c r="H1184" s="34" t="inlineStr">
        <is>
          <t xml:space="preserve">APPROVED / ONE_TO_ONE; </t>
        </is>
      </c>
      <c r="I1184" s="34" t="inlineStr">
        <is>
          <t>New</t>
        </is>
      </c>
      <c r="J1184" s="92" t="inlineStr">
        <is>
          <t>08 CROSSWALK</t>
        </is>
      </c>
    </row>
    <row r="1185" ht="49" customHeight="1">
      <c r="A1185" s="34" t="inlineStr">
        <is>
          <t>R857-v1</t>
        </is>
      </c>
      <c r="B1185" s="34" t="inlineStr">
        <is>
          <t>Contractor Programme / SCH-05-137</t>
        </is>
      </c>
      <c r="C1185" s="34" t="inlineStr">
        <is>
          <t>WBS Code = 1.5.1</t>
        </is>
      </c>
      <c r="D1185" s="34" t="inlineStr">
        <is>
          <t>Proposed by Source assignment; target 1.5.1 Testing and Commissioning - Test Readiness</t>
        </is>
      </c>
      <c r="E1185" s="34" t="inlineStr">
        <is>
          <t>None recorded</t>
        </is>
      </c>
      <c r="F1185" s="34" t="inlineStr">
        <is>
          <t>No individual professional decision recorded; Source assignment -- not individually reviewed</t>
        </is>
      </c>
      <c r="G1185" s="34" t="inlineStr">
        <is>
          <t>Not individually decided</t>
        </is>
      </c>
      <c r="H1185" s="34" t="inlineStr">
        <is>
          <t xml:space="preserve">APPROVED / ONE_TO_ONE; </t>
        </is>
      </c>
      <c r="I1185" s="34" t="inlineStr">
        <is>
          <t>New</t>
        </is>
      </c>
      <c r="J1185" s="92" t="inlineStr">
        <is>
          <t>08 CROSSWALK</t>
        </is>
      </c>
    </row>
    <row r="1186" ht="49" customHeight="1">
      <c r="A1186" s="34" t="inlineStr">
        <is>
          <t>R859-v1</t>
        </is>
      </c>
      <c r="B1186" s="34" t="inlineStr">
        <is>
          <t>Contractor Programme / SCH-05-139</t>
        </is>
      </c>
      <c r="C1186" s="34" t="inlineStr">
        <is>
          <t>WBS Code = 1.5.1</t>
        </is>
      </c>
      <c r="D1186" s="34" t="inlineStr">
        <is>
          <t>Proposed by Source assignment; target 1.5.1 Testing and Commissioning - Test Readiness</t>
        </is>
      </c>
      <c r="E1186" s="34" t="inlineStr">
        <is>
          <t>None recorded</t>
        </is>
      </c>
      <c r="F1186" s="34" t="inlineStr">
        <is>
          <t>No individual professional decision recorded; Source assignment -- not individually reviewed</t>
        </is>
      </c>
      <c r="G1186" s="34" t="inlineStr">
        <is>
          <t>Not individually decided</t>
        </is>
      </c>
      <c r="H1186" s="34" t="inlineStr">
        <is>
          <t xml:space="preserve">APPROVED / ONE_TO_ONE; </t>
        </is>
      </c>
      <c r="I1186" s="34" t="inlineStr">
        <is>
          <t>New</t>
        </is>
      </c>
      <c r="J1186" s="92" t="inlineStr">
        <is>
          <t>08 CROSSWALK</t>
        </is>
      </c>
    </row>
    <row r="1187" ht="49" customHeight="1">
      <c r="A1187" s="34" t="inlineStr">
        <is>
          <t>R860-v1</t>
        </is>
      </c>
      <c r="B1187" s="34" t="inlineStr">
        <is>
          <t>Contractor Programme / SCH-05-140</t>
        </is>
      </c>
      <c r="C1187" s="34" t="inlineStr">
        <is>
          <t>WBS Code = 1.5.1</t>
        </is>
      </c>
      <c r="D1187" s="34" t="inlineStr">
        <is>
          <t>Proposed by Source assignment; target 1.5.1 Testing and Commissioning - Test Readiness</t>
        </is>
      </c>
      <c r="E1187" s="34" t="inlineStr">
        <is>
          <t>None recorded</t>
        </is>
      </c>
      <c r="F1187" s="34" t="inlineStr">
        <is>
          <t>No individual professional decision recorded; Source assignment -- not individually reviewed</t>
        </is>
      </c>
      <c r="G1187" s="34" t="inlineStr">
        <is>
          <t>Not individually decided</t>
        </is>
      </c>
      <c r="H1187" s="34" t="inlineStr">
        <is>
          <t xml:space="preserve">APPROVED / ONE_TO_ONE; </t>
        </is>
      </c>
      <c r="I1187" s="34" t="inlineStr">
        <is>
          <t>New</t>
        </is>
      </c>
      <c r="J1187" s="92" t="inlineStr">
        <is>
          <t>08 CROSSWALK</t>
        </is>
      </c>
    </row>
    <row r="1188" ht="49" customHeight="1">
      <c r="A1188" s="34" t="inlineStr">
        <is>
          <t>R862-v1</t>
        </is>
      </c>
      <c r="B1188" s="34" t="inlineStr">
        <is>
          <t>Contractor Programme / SCH-05-142</t>
        </is>
      </c>
      <c r="C1188" s="34" t="inlineStr">
        <is>
          <t>WBS Code = 1.5.1</t>
        </is>
      </c>
      <c r="D1188" s="34" t="inlineStr">
        <is>
          <t>Proposed by Source assignment; target 1.5.1 Testing and Commissioning - Test Readiness</t>
        </is>
      </c>
      <c r="E1188" s="34" t="inlineStr">
        <is>
          <t>None recorded</t>
        </is>
      </c>
      <c r="F1188" s="34" t="inlineStr">
        <is>
          <t>No individual professional decision recorded; Source assignment -- not individually reviewed</t>
        </is>
      </c>
      <c r="G1188" s="34" t="inlineStr">
        <is>
          <t>Not individually decided</t>
        </is>
      </c>
      <c r="H1188" s="34" t="inlineStr">
        <is>
          <t xml:space="preserve">APPROVED / ONE_TO_ONE; </t>
        </is>
      </c>
      <c r="I1188" s="34" t="inlineStr">
        <is>
          <t>New</t>
        </is>
      </c>
      <c r="J1188" s="92" t="inlineStr">
        <is>
          <t>08 CROSSWALK</t>
        </is>
      </c>
    </row>
    <row r="1189" ht="49" customHeight="1">
      <c r="A1189" s="34" t="inlineStr">
        <is>
          <t>R863-v1</t>
        </is>
      </c>
      <c r="B1189" s="34" t="inlineStr">
        <is>
          <t>Contractor Programme / SCH-05-143</t>
        </is>
      </c>
      <c r="C1189" s="34" t="inlineStr">
        <is>
          <t>WBS Code = 1.5.1</t>
        </is>
      </c>
      <c r="D1189" s="34" t="inlineStr">
        <is>
          <t>Proposed by Source assignment; target 1.5.1 Testing and Commissioning - Test Readiness</t>
        </is>
      </c>
      <c r="E1189" s="34" t="inlineStr">
        <is>
          <t>None recorded</t>
        </is>
      </c>
      <c r="F1189" s="34" t="inlineStr">
        <is>
          <t>No individual professional decision recorded; Source assignment -- not individually reviewed</t>
        </is>
      </c>
      <c r="G1189" s="34" t="inlineStr">
        <is>
          <t>Not individually decided</t>
        </is>
      </c>
      <c r="H1189" s="34" t="inlineStr">
        <is>
          <t xml:space="preserve">APPROVED / ONE_TO_ONE; </t>
        </is>
      </c>
      <c r="I1189" s="34" t="inlineStr">
        <is>
          <t>New</t>
        </is>
      </c>
      <c r="J1189" s="92" t="inlineStr">
        <is>
          <t>08 CROSSWALK</t>
        </is>
      </c>
    </row>
    <row r="1190" ht="49" customHeight="1">
      <c r="A1190" s="34" t="inlineStr">
        <is>
          <t>R865-v1</t>
        </is>
      </c>
      <c r="B1190" s="34" t="inlineStr">
        <is>
          <t>Contractor Programme / SCH-05-145</t>
        </is>
      </c>
      <c r="C1190" s="34" t="inlineStr">
        <is>
          <t>WBS Code = 1.5.1</t>
        </is>
      </c>
      <c r="D1190" s="34" t="inlineStr">
        <is>
          <t>Proposed by Source assignment; target 1.5.1 Testing and Commissioning - Test Readiness</t>
        </is>
      </c>
      <c r="E1190" s="34" t="inlineStr">
        <is>
          <t>None recorded</t>
        </is>
      </c>
      <c r="F1190" s="34" t="inlineStr">
        <is>
          <t>No individual professional decision recorded; Source assignment -- not individually reviewed</t>
        </is>
      </c>
      <c r="G1190" s="34" t="inlineStr">
        <is>
          <t>Not individually decided</t>
        </is>
      </c>
      <c r="H1190" s="34" t="inlineStr">
        <is>
          <t xml:space="preserve">APPROVED / ONE_TO_ONE; </t>
        </is>
      </c>
      <c r="I1190" s="34" t="inlineStr">
        <is>
          <t>New</t>
        </is>
      </c>
      <c r="J1190" s="92" t="inlineStr">
        <is>
          <t>08 CROSSWALK</t>
        </is>
      </c>
    </row>
    <row r="1191" ht="49" customHeight="1">
      <c r="A1191" s="34" t="inlineStr">
        <is>
          <t>R866-v1</t>
        </is>
      </c>
      <c r="B1191" s="34" t="inlineStr">
        <is>
          <t>Contractor Programme / SCH-05-146</t>
        </is>
      </c>
      <c r="C1191" s="34" t="inlineStr">
        <is>
          <t>WBS Code = 1.5.1</t>
        </is>
      </c>
      <c r="D1191" s="34" t="inlineStr">
        <is>
          <t>Proposed by Source assignment; target 1.5.1 Testing and Commissioning - Test Readiness</t>
        </is>
      </c>
      <c r="E1191" s="34" t="inlineStr">
        <is>
          <t>None recorded</t>
        </is>
      </c>
      <c r="F1191" s="34" t="inlineStr">
        <is>
          <t>No individual professional decision recorded; Source assignment -- not individually reviewed</t>
        </is>
      </c>
      <c r="G1191" s="34" t="inlineStr">
        <is>
          <t>Not individually decided</t>
        </is>
      </c>
      <c r="H1191" s="34" t="inlineStr">
        <is>
          <t xml:space="preserve">APPROVED / ONE_TO_ONE; </t>
        </is>
      </c>
      <c r="I1191" s="34" t="inlineStr">
        <is>
          <t>New</t>
        </is>
      </c>
      <c r="J1191" s="92" t="inlineStr">
        <is>
          <t>08 CROSSWALK</t>
        </is>
      </c>
    </row>
    <row r="1192" ht="49" customHeight="1">
      <c r="A1192" s="34" t="inlineStr">
        <is>
          <t>R868-v1</t>
        </is>
      </c>
      <c r="B1192" s="34" t="inlineStr">
        <is>
          <t>Contractor Programme / SCH-05-148</t>
        </is>
      </c>
      <c r="C1192" s="34" t="inlineStr">
        <is>
          <t>WBS Code = 1.5.1</t>
        </is>
      </c>
      <c r="D1192" s="34" t="inlineStr">
        <is>
          <t>Proposed by Source assignment; target 1.5.1 Testing and Commissioning - Test Readiness</t>
        </is>
      </c>
      <c r="E1192" s="34" t="inlineStr">
        <is>
          <t>None recorded</t>
        </is>
      </c>
      <c r="F1192" s="34" t="inlineStr">
        <is>
          <t>No individual professional decision recorded; Source assignment -- not individually reviewed</t>
        </is>
      </c>
      <c r="G1192" s="34" t="inlineStr">
        <is>
          <t>Not individually decided</t>
        </is>
      </c>
      <c r="H1192" s="34" t="inlineStr">
        <is>
          <t xml:space="preserve">APPROVED / ONE_TO_ONE; </t>
        </is>
      </c>
      <c r="I1192" s="34" t="inlineStr">
        <is>
          <t>New</t>
        </is>
      </c>
      <c r="J1192" s="92" t="inlineStr">
        <is>
          <t>08 CROSSWALK</t>
        </is>
      </c>
    </row>
    <row r="1193" ht="49" customHeight="1">
      <c r="A1193" s="34" t="inlineStr">
        <is>
          <t>R869-v1</t>
        </is>
      </c>
      <c r="B1193" s="34" t="inlineStr">
        <is>
          <t>Contractor Programme / SCH-05-149</t>
        </is>
      </c>
      <c r="C1193" s="34" t="inlineStr">
        <is>
          <t>WBS Code = 1.5.1</t>
        </is>
      </c>
      <c r="D1193" s="34" t="inlineStr">
        <is>
          <t>Proposed by Source assignment; target 1.5.1 Testing and Commissioning - Test Readiness</t>
        </is>
      </c>
      <c r="E1193" s="34" t="inlineStr">
        <is>
          <t>None recorded</t>
        </is>
      </c>
      <c r="F1193" s="34" t="inlineStr">
        <is>
          <t>No individual professional decision recorded; Source assignment -- not individually reviewed</t>
        </is>
      </c>
      <c r="G1193" s="34" t="inlineStr">
        <is>
          <t>Not individually decided</t>
        </is>
      </c>
      <c r="H1193" s="34" t="inlineStr">
        <is>
          <t xml:space="preserve">APPROVED / ONE_TO_ONE; </t>
        </is>
      </c>
      <c r="I1193" s="34" t="inlineStr">
        <is>
          <t>New</t>
        </is>
      </c>
      <c r="J1193" s="92" t="inlineStr">
        <is>
          <t>08 CROSSWALK</t>
        </is>
      </c>
    </row>
    <row r="1194" ht="49" customHeight="1">
      <c r="A1194" s="34" t="inlineStr">
        <is>
          <t>R871-v1</t>
        </is>
      </c>
      <c r="B1194" s="34" t="inlineStr">
        <is>
          <t>Contractor Programme / SCH-05-151</t>
        </is>
      </c>
      <c r="C1194" s="34" t="inlineStr">
        <is>
          <t>WBS Code = 1.5.1</t>
        </is>
      </c>
      <c r="D1194" s="34" t="inlineStr">
        <is>
          <t>Proposed by Source assignment; target 1.5.1 Testing and Commissioning - Test Readiness</t>
        </is>
      </c>
      <c r="E1194" s="34" t="inlineStr">
        <is>
          <t>None recorded</t>
        </is>
      </c>
      <c r="F1194" s="34" t="inlineStr">
        <is>
          <t>No individual professional decision recorded; Source assignment -- not individually reviewed</t>
        </is>
      </c>
      <c r="G1194" s="34" t="inlineStr">
        <is>
          <t>Not individually decided</t>
        </is>
      </c>
      <c r="H1194" s="34" t="inlineStr">
        <is>
          <t xml:space="preserve">APPROVED / ONE_TO_ONE; </t>
        </is>
      </c>
      <c r="I1194" s="34" t="inlineStr">
        <is>
          <t>New</t>
        </is>
      </c>
      <c r="J1194" s="92" t="inlineStr">
        <is>
          <t>08 CROSSWALK</t>
        </is>
      </c>
    </row>
    <row r="1195" ht="49" customHeight="1">
      <c r="A1195" s="34" t="inlineStr">
        <is>
          <t>R872-v1</t>
        </is>
      </c>
      <c r="B1195" s="34" t="inlineStr">
        <is>
          <t>Contractor Programme / SCH-05-152</t>
        </is>
      </c>
      <c r="C1195" s="34" t="inlineStr">
        <is>
          <t>WBS Code = 1.5.1</t>
        </is>
      </c>
      <c r="D1195" s="34" t="inlineStr">
        <is>
          <t>Proposed by Source assignment; target 1.5.1 Testing and Commissioning - Test Readiness</t>
        </is>
      </c>
      <c r="E1195" s="34" t="inlineStr">
        <is>
          <t>None recorded</t>
        </is>
      </c>
      <c r="F1195" s="34" t="inlineStr">
        <is>
          <t>No individual professional decision recorded; Source assignment -- not individually reviewed</t>
        </is>
      </c>
      <c r="G1195" s="34" t="inlineStr">
        <is>
          <t>Not individually decided</t>
        </is>
      </c>
      <c r="H1195" s="34" t="inlineStr">
        <is>
          <t xml:space="preserve">APPROVED / ONE_TO_ONE; </t>
        </is>
      </c>
      <c r="I1195" s="34" t="inlineStr">
        <is>
          <t>New</t>
        </is>
      </c>
      <c r="J1195" s="92" t="inlineStr">
        <is>
          <t>08 CROSSWALK</t>
        </is>
      </c>
    </row>
    <row r="1196" ht="49" customHeight="1">
      <c r="A1196" s="34" t="inlineStr">
        <is>
          <t>R874-v1</t>
        </is>
      </c>
      <c r="B1196" s="34" t="inlineStr">
        <is>
          <t>Contractor Programme / SCH-05-154</t>
        </is>
      </c>
      <c r="C1196" s="34" t="inlineStr">
        <is>
          <t>WBS Code = 1.5.1</t>
        </is>
      </c>
      <c r="D1196" s="34" t="inlineStr">
        <is>
          <t>Proposed by Source assignment; target 1.5.1 Testing and Commissioning - Test Readiness</t>
        </is>
      </c>
      <c r="E1196" s="34" t="inlineStr">
        <is>
          <t>None recorded</t>
        </is>
      </c>
      <c r="F1196" s="34" t="inlineStr">
        <is>
          <t>No individual professional decision recorded; Source assignment -- not individually reviewed</t>
        </is>
      </c>
      <c r="G1196" s="34" t="inlineStr">
        <is>
          <t>Not individually decided</t>
        </is>
      </c>
      <c r="H1196" s="34" t="inlineStr">
        <is>
          <t xml:space="preserve">APPROVED / ONE_TO_ONE; </t>
        </is>
      </c>
      <c r="I1196" s="34" t="inlineStr">
        <is>
          <t>New</t>
        </is>
      </c>
      <c r="J1196" s="92" t="inlineStr">
        <is>
          <t>08 CROSSWALK</t>
        </is>
      </c>
    </row>
    <row r="1197" ht="49" customHeight="1">
      <c r="A1197" s="34" t="inlineStr">
        <is>
          <t>R875-v1</t>
        </is>
      </c>
      <c r="B1197" s="34" t="inlineStr">
        <is>
          <t>Contractor Programme / SCH-05-155</t>
        </is>
      </c>
      <c r="C1197" s="34" t="inlineStr">
        <is>
          <t>WBS Code = 1.5.1</t>
        </is>
      </c>
      <c r="D1197" s="34" t="inlineStr">
        <is>
          <t>Proposed by Source assignment; target 1.5.1 Testing and Commissioning - Test Readiness</t>
        </is>
      </c>
      <c r="E1197" s="34" t="inlineStr">
        <is>
          <t>None recorded</t>
        </is>
      </c>
      <c r="F1197" s="34" t="inlineStr">
        <is>
          <t>No individual professional decision recorded; Source assignment -- not individually reviewed</t>
        </is>
      </c>
      <c r="G1197" s="34" t="inlineStr">
        <is>
          <t>Not individually decided</t>
        </is>
      </c>
      <c r="H1197" s="34" t="inlineStr">
        <is>
          <t xml:space="preserve">APPROVED / ONE_TO_ONE; </t>
        </is>
      </c>
      <c r="I1197" s="34" t="inlineStr">
        <is>
          <t>New</t>
        </is>
      </c>
      <c r="J1197" s="92" t="inlineStr">
        <is>
          <t>08 CROSSWALK</t>
        </is>
      </c>
    </row>
    <row r="1198" ht="49" customHeight="1">
      <c r="A1198" s="34" t="inlineStr">
        <is>
          <t>R877-v1</t>
        </is>
      </c>
      <c r="B1198" s="34" t="inlineStr">
        <is>
          <t>Contractor Programme / SCH-05-157</t>
        </is>
      </c>
      <c r="C1198" s="34" t="inlineStr">
        <is>
          <t>WBS Code = 1.5.1</t>
        </is>
      </c>
      <c r="D1198" s="34" t="inlineStr">
        <is>
          <t>Proposed by Source assignment; target 1.5.1 Testing and Commissioning - Test Readiness</t>
        </is>
      </c>
      <c r="E1198" s="34" t="inlineStr">
        <is>
          <t>None recorded</t>
        </is>
      </c>
      <c r="F1198" s="34" t="inlineStr">
        <is>
          <t>No individual professional decision recorded; Source assignment -- not individually reviewed</t>
        </is>
      </c>
      <c r="G1198" s="34" t="inlineStr">
        <is>
          <t>Not individually decided</t>
        </is>
      </c>
      <c r="H1198" s="34" t="inlineStr">
        <is>
          <t xml:space="preserve">APPROVED / ONE_TO_ONE; </t>
        </is>
      </c>
      <c r="I1198" s="34" t="inlineStr">
        <is>
          <t>New</t>
        </is>
      </c>
      <c r="J1198" s="92" t="inlineStr">
        <is>
          <t>08 CROSSWALK</t>
        </is>
      </c>
    </row>
    <row r="1199" ht="49" customHeight="1">
      <c r="A1199" s="34" t="inlineStr">
        <is>
          <t>R878-v1</t>
        </is>
      </c>
      <c r="B1199" s="34" t="inlineStr">
        <is>
          <t>Contractor Programme / SCH-05-158</t>
        </is>
      </c>
      <c r="C1199" s="34" t="inlineStr">
        <is>
          <t>WBS Code = 1.5.1</t>
        </is>
      </c>
      <c r="D1199" s="34" t="inlineStr">
        <is>
          <t>Proposed by Source assignment; target 1.5.1 Testing and Commissioning - Test Readiness</t>
        </is>
      </c>
      <c r="E1199" s="34" t="inlineStr">
        <is>
          <t>None recorded</t>
        </is>
      </c>
      <c r="F1199" s="34" t="inlineStr">
        <is>
          <t>No individual professional decision recorded; Source assignment -- not individually reviewed</t>
        </is>
      </c>
      <c r="G1199" s="34" t="inlineStr">
        <is>
          <t>Not individually decided</t>
        </is>
      </c>
      <c r="H1199" s="34" t="inlineStr">
        <is>
          <t xml:space="preserve">APPROVED / ONE_TO_ONE; </t>
        </is>
      </c>
      <c r="I1199" s="34" t="inlineStr">
        <is>
          <t>New</t>
        </is>
      </c>
      <c r="J1199" s="92" t="inlineStr">
        <is>
          <t>08 CROSSWALK</t>
        </is>
      </c>
    </row>
    <row r="1200" ht="49" customHeight="1">
      <c r="A1200" s="34" t="inlineStr">
        <is>
          <t>R880-v1</t>
        </is>
      </c>
      <c r="B1200" s="34" t="inlineStr">
        <is>
          <t>Contractor Programme / SCH-05-160</t>
        </is>
      </c>
      <c r="C1200" s="34" t="inlineStr">
        <is>
          <t>WBS Code = 1.5.1</t>
        </is>
      </c>
      <c r="D1200" s="34" t="inlineStr">
        <is>
          <t>Proposed by Source assignment; target 1.5.1 Testing and Commissioning - Test Readiness</t>
        </is>
      </c>
      <c r="E1200" s="34" t="inlineStr">
        <is>
          <t>None recorded</t>
        </is>
      </c>
      <c r="F1200" s="34" t="inlineStr">
        <is>
          <t>No individual professional decision recorded; Source assignment -- not individually reviewed</t>
        </is>
      </c>
      <c r="G1200" s="34" t="inlineStr">
        <is>
          <t>Not individually decided</t>
        </is>
      </c>
      <c r="H1200" s="34" t="inlineStr">
        <is>
          <t xml:space="preserve">APPROVED / ONE_TO_ONE; </t>
        </is>
      </c>
      <c r="I1200" s="34" t="inlineStr">
        <is>
          <t>New</t>
        </is>
      </c>
      <c r="J1200" s="92" t="inlineStr">
        <is>
          <t>08 CROSSWALK</t>
        </is>
      </c>
    </row>
    <row r="1201" ht="49" customHeight="1">
      <c r="A1201" s="34" t="inlineStr">
        <is>
          <t>R881-v1</t>
        </is>
      </c>
      <c r="B1201" s="34" t="inlineStr">
        <is>
          <t>Contractor Programme / SCH-05-161</t>
        </is>
      </c>
      <c r="C1201" s="34" t="inlineStr">
        <is>
          <t>WBS Code = 1.5.1</t>
        </is>
      </c>
      <c r="D1201" s="34" t="inlineStr">
        <is>
          <t>Proposed by Source assignment; target 1.5.1 Testing and Commissioning - Test Readiness</t>
        </is>
      </c>
      <c r="E1201" s="34" t="inlineStr">
        <is>
          <t>None recorded</t>
        </is>
      </c>
      <c r="F1201" s="34" t="inlineStr">
        <is>
          <t>No individual professional decision recorded; Source assignment -- not individually reviewed</t>
        </is>
      </c>
      <c r="G1201" s="34" t="inlineStr">
        <is>
          <t>Not individually decided</t>
        </is>
      </c>
      <c r="H1201" s="34" t="inlineStr">
        <is>
          <t xml:space="preserve">APPROVED / ONE_TO_ONE; </t>
        </is>
      </c>
      <c r="I1201" s="34" t="inlineStr">
        <is>
          <t>New</t>
        </is>
      </c>
      <c r="J1201" s="92" t="inlineStr">
        <is>
          <t>08 CROSSWALK</t>
        </is>
      </c>
    </row>
    <row r="1202" ht="49" customHeight="1">
      <c r="A1202" s="34" t="inlineStr">
        <is>
          <t>R883-v1</t>
        </is>
      </c>
      <c r="B1202" s="34" t="inlineStr">
        <is>
          <t>Contractor Programme / SCH-05-163</t>
        </is>
      </c>
      <c r="C1202" s="34" t="inlineStr">
        <is>
          <t>WBS Code = 1.5.1</t>
        </is>
      </c>
      <c r="D1202" s="34" t="inlineStr">
        <is>
          <t>Proposed by Source assignment; target 1.5.1 Testing and Commissioning - Test Readiness</t>
        </is>
      </c>
      <c r="E1202" s="34" t="inlineStr">
        <is>
          <t>None recorded</t>
        </is>
      </c>
      <c r="F1202" s="34" t="inlineStr">
        <is>
          <t>No individual professional decision recorded; Source assignment -- not individually reviewed</t>
        </is>
      </c>
      <c r="G1202" s="34" t="inlineStr">
        <is>
          <t>Not individually decided</t>
        </is>
      </c>
      <c r="H1202" s="34" t="inlineStr">
        <is>
          <t xml:space="preserve">APPROVED / ONE_TO_ONE; </t>
        </is>
      </c>
      <c r="I1202" s="34" t="inlineStr">
        <is>
          <t>New</t>
        </is>
      </c>
      <c r="J1202" s="92" t="inlineStr">
        <is>
          <t>08 CROSSWALK</t>
        </is>
      </c>
    </row>
    <row r="1203" ht="49" customHeight="1">
      <c r="A1203" s="34" t="inlineStr">
        <is>
          <t>R884-v1</t>
        </is>
      </c>
      <c r="B1203" s="34" t="inlineStr">
        <is>
          <t>Contractor Programme / SCH-05-164</t>
        </is>
      </c>
      <c r="C1203" s="34" t="inlineStr">
        <is>
          <t>WBS Code = 1.5.1</t>
        </is>
      </c>
      <c r="D1203" s="34" t="inlineStr">
        <is>
          <t>Proposed by Source assignment; target 1.5.1 Testing and Commissioning - Test Readiness</t>
        </is>
      </c>
      <c r="E1203" s="34" t="inlineStr">
        <is>
          <t>None recorded</t>
        </is>
      </c>
      <c r="F1203" s="34" t="inlineStr">
        <is>
          <t>No individual professional decision recorded; Source assignment -- not individually reviewed</t>
        </is>
      </c>
      <c r="G1203" s="34" t="inlineStr">
        <is>
          <t>Not individually decided</t>
        </is>
      </c>
      <c r="H1203" s="34" t="inlineStr">
        <is>
          <t xml:space="preserve">APPROVED / ONE_TO_ONE; </t>
        </is>
      </c>
      <c r="I1203" s="34" t="inlineStr">
        <is>
          <t>New</t>
        </is>
      </c>
      <c r="J1203" s="92" t="inlineStr">
        <is>
          <t>08 CROSSWALK</t>
        </is>
      </c>
    </row>
    <row r="1204" ht="49" customHeight="1">
      <c r="A1204" s="34" t="inlineStr">
        <is>
          <t>R886-v1</t>
        </is>
      </c>
      <c r="B1204" s="34" t="inlineStr">
        <is>
          <t>Contractor Programme / SCH-05-166</t>
        </is>
      </c>
      <c r="C1204" s="34" t="inlineStr">
        <is>
          <t>WBS Code = 1.5.1</t>
        </is>
      </c>
      <c r="D1204" s="34" t="inlineStr">
        <is>
          <t>Proposed by Source assignment; target 1.5.1 Testing and Commissioning - Test Readiness</t>
        </is>
      </c>
      <c r="E1204" s="34" t="inlineStr">
        <is>
          <t>None recorded</t>
        </is>
      </c>
      <c r="F1204" s="34" t="inlineStr">
        <is>
          <t>No individual professional decision recorded; Source assignment -- not individually reviewed</t>
        </is>
      </c>
      <c r="G1204" s="34" t="inlineStr">
        <is>
          <t>Not individually decided</t>
        </is>
      </c>
      <c r="H1204" s="34" t="inlineStr">
        <is>
          <t xml:space="preserve">APPROVED / ONE_TO_ONE; </t>
        </is>
      </c>
      <c r="I1204" s="34" t="inlineStr">
        <is>
          <t>New</t>
        </is>
      </c>
      <c r="J1204" s="92" t="inlineStr">
        <is>
          <t>08 CROSSWALK</t>
        </is>
      </c>
    </row>
    <row r="1205" ht="49" customHeight="1">
      <c r="A1205" s="34" t="inlineStr">
        <is>
          <t>R887-v1</t>
        </is>
      </c>
      <c r="B1205" s="34" t="inlineStr">
        <is>
          <t>Contractor Programme / SCH-05-167</t>
        </is>
      </c>
      <c r="C1205" s="34" t="inlineStr">
        <is>
          <t>WBS Code = 1.5.1</t>
        </is>
      </c>
      <c r="D1205" s="34" t="inlineStr">
        <is>
          <t>Proposed by Source assignment; target 1.5.1 Testing and Commissioning - Test Readiness</t>
        </is>
      </c>
      <c r="E1205" s="34" t="inlineStr">
        <is>
          <t>None recorded</t>
        </is>
      </c>
      <c r="F1205" s="34" t="inlineStr">
        <is>
          <t>No individual professional decision recorded; Source assignment -- not individually reviewed</t>
        </is>
      </c>
      <c r="G1205" s="34" t="inlineStr">
        <is>
          <t>Not individually decided</t>
        </is>
      </c>
      <c r="H1205" s="34" t="inlineStr">
        <is>
          <t xml:space="preserve">APPROVED / ONE_TO_ONE; </t>
        </is>
      </c>
      <c r="I1205" s="34" t="inlineStr">
        <is>
          <t>New</t>
        </is>
      </c>
      <c r="J1205" s="92" t="inlineStr">
        <is>
          <t>08 CROSSWALK</t>
        </is>
      </c>
    </row>
    <row r="1206" ht="49" customHeight="1">
      <c r="A1206" s="34" t="inlineStr">
        <is>
          <t>R889-v1</t>
        </is>
      </c>
      <c r="B1206" s="34" t="inlineStr">
        <is>
          <t>Contractor Programme / SCH-05-169</t>
        </is>
      </c>
      <c r="C1206" s="34" t="inlineStr">
        <is>
          <t>WBS Code = 1.5.1</t>
        </is>
      </c>
      <c r="D1206" s="34" t="inlineStr">
        <is>
          <t>Proposed by Source assignment; target 1.5.1 Testing and Commissioning - Test Readiness</t>
        </is>
      </c>
      <c r="E1206" s="34" t="inlineStr">
        <is>
          <t>None recorded</t>
        </is>
      </c>
      <c r="F1206" s="34" t="inlineStr">
        <is>
          <t>No individual professional decision recorded; Source assignment -- not individually reviewed</t>
        </is>
      </c>
      <c r="G1206" s="34" t="inlineStr">
        <is>
          <t>Not individually decided</t>
        </is>
      </c>
      <c r="H1206" s="34" t="inlineStr">
        <is>
          <t xml:space="preserve">APPROVED / ONE_TO_ONE; </t>
        </is>
      </c>
      <c r="I1206" s="34" t="inlineStr">
        <is>
          <t>New</t>
        </is>
      </c>
      <c r="J1206" s="92" t="inlineStr">
        <is>
          <t>08 CROSSWALK</t>
        </is>
      </c>
    </row>
    <row r="1207" ht="49" customHeight="1">
      <c r="A1207" s="34" t="inlineStr">
        <is>
          <t>R890-v1</t>
        </is>
      </c>
      <c r="B1207" s="34" t="inlineStr">
        <is>
          <t>Contractor Programme / SCH-05-170</t>
        </is>
      </c>
      <c r="C1207" s="34" t="inlineStr">
        <is>
          <t>WBS Code = 1.5.1</t>
        </is>
      </c>
      <c r="D1207" s="34" t="inlineStr">
        <is>
          <t>Proposed by Source assignment; target 1.5.1 Testing and Commissioning - Test Readiness</t>
        </is>
      </c>
      <c r="E1207" s="34" t="inlineStr">
        <is>
          <t>None recorded</t>
        </is>
      </c>
      <c r="F1207" s="34" t="inlineStr">
        <is>
          <t>No individual professional decision recorded; Source assignment -- not individually reviewed</t>
        </is>
      </c>
      <c r="G1207" s="34" t="inlineStr">
        <is>
          <t>Not individually decided</t>
        </is>
      </c>
      <c r="H1207" s="34" t="inlineStr">
        <is>
          <t xml:space="preserve">APPROVED / ONE_TO_ONE; </t>
        </is>
      </c>
      <c r="I1207" s="34" t="inlineStr">
        <is>
          <t>New</t>
        </is>
      </c>
      <c r="J1207" s="92" t="inlineStr">
        <is>
          <t>08 CROSSWALK</t>
        </is>
      </c>
    </row>
    <row r="1208" ht="49" customHeight="1">
      <c r="A1208" s="34" t="inlineStr">
        <is>
          <t>R892-v1</t>
        </is>
      </c>
      <c r="B1208" s="34" t="inlineStr">
        <is>
          <t>Contractor Programme / SCH-05-172</t>
        </is>
      </c>
      <c r="C1208" s="34" t="inlineStr">
        <is>
          <t>WBS Code = 1.5.1</t>
        </is>
      </c>
      <c r="D1208" s="34" t="inlineStr">
        <is>
          <t>Proposed by Source assignment; target 1.5.1 Testing and Commissioning - Test Readiness</t>
        </is>
      </c>
      <c r="E1208" s="34" t="inlineStr">
        <is>
          <t>None recorded</t>
        </is>
      </c>
      <c r="F1208" s="34" t="inlineStr">
        <is>
          <t>No individual professional decision recorded; Source assignment -- not individually reviewed</t>
        </is>
      </c>
      <c r="G1208" s="34" t="inlineStr">
        <is>
          <t>Not individually decided</t>
        </is>
      </c>
      <c r="H1208" s="34" t="inlineStr">
        <is>
          <t xml:space="preserve">APPROVED / ONE_TO_ONE; </t>
        </is>
      </c>
      <c r="I1208" s="34" t="inlineStr">
        <is>
          <t>New</t>
        </is>
      </c>
      <c r="J1208" s="92" t="inlineStr">
        <is>
          <t>08 CROSSWALK</t>
        </is>
      </c>
    </row>
    <row r="1209" ht="49" customHeight="1">
      <c r="A1209" s="34" t="inlineStr">
        <is>
          <t>R893-v1</t>
        </is>
      </c>
      <c r="B1209" s="34" t="inlineStr">
        <is>
          <t>Contractor Programme / SCH-05-173</t>
        </is>
      </c>
      <c r="C1209" s="34" t="inlineStr">
        <is>
          <t>WBS Code = 1.5.1</t>
        </is>
      </c>
      <c r="D1209" s="34" t="inlineStr">
        <is>
          <t>Proposed by Source assignment; target 1.5.1 Testing and Commissioning - Test Readiness</t>
        </is>
      </c>
      <c r="E1209" s="34" t="inlineStr">
        <is>
          <t>None recorded</t>
        </is>
      </c>
      <c r="F1209" s="34" t="inlineStr">
        <is>
          <t>No individual professional decision recorded; Source assignment -- not individually reviewed</t>
        </is>
      </c>
      <c r="G1209" s="34" t="inlineStr">
        <is>
          <t>Not individually decided</t>
        </is>
      </c>
      <c r="H1209" s="34" t="inlineStr">
        <is>
          <t xml:space="preserve">APPROVED / ONE_TO_ONE; </t>
        </is>
      </c>
      <c r="I1209" s="34" t="inlineStr">
        <is>
          <t>New</t>
        </is>
      </c>
      <c r="J1209" s="92" t="inlineStr">
        <is>
          <t>08 CROSSWALK</t>
        </is>
      </c>
    </row>
    <row r="1210" ht="49" customHeight="1">
      <c r="A1210" s="34" t="inlineStr">
        <is>
          <t>R895-v1</t>
        </is>
      </c>
      <c r="B1210" s="34" t="inlineStr">
        <is>
          <t>Contractor Programme / SCH-05-175</t>
        </is>
      </c>
      <c r="C1210" s="34" t="inlineStr">
        <is>
          <t>WBS Code = 1.5.1</t>
        </is>
      </c>
      <c r="D1210" s="34" t="inlineStr">
        <is>
          <t>Proposed by Source assignment; target 1.5.1 Testing and Commissioning - Test Readiness</t>
        </is>
      </c>
      <c r="E1210" s="34" t="inlineStr">
        <is>
          <t>None recorded</t>
        </is>
      </c>
      <c r="F1210" s="34" t="inlineStr">
        <is>
          <t>No individual professional decision recorded; Source assignment -- not individually reviewed</t>
        </is>
      </c>
      <c r="G1210" s="34" t="inlineStr">
        <is>
          <t>Not individually decided</t>
        </is>
      </c>
      <c r="H1210" s="34" t="inlineStr">
        <is>
          <t xml:space="preserve">APPROVED / ONE_TO_ONE; </t>
        </is>
      </c>
      <c r="I1210" s="34" t="inlineStr">
        <is>
          <t>New</t>
        </is>
      </c>
      <c r="J1210" s="92" t="inlineStr">
        <is>
          <t>08 CROSSWALK</t>
        </is>
      </c>
    </row>
    <row r="1211" ht="49" customHeight="1">
      <c r="A1211" s="34" t="inlineStr">
        <is>
          <t>R896-v1</t>
        </is>
      </c>
      <c r="B1211" s="34" t="inlineStr">
        <is>
          <t>Contractor Programme / SCH-05-176</t>
        </is>
      </c>
      <c r="C1211" s="34" t="inlineStr">
        <is>
          <t>WBS Code = 1.5.1</t>
        </is>
      </c>
      <c r="D1211" s="34" t="inlineStr">
        <is>
          <t>Proposed by Source assignment; target 1.5.1 Testing and Commissioning - Test Readiness</t>
        </is>
      </c>
      <c r="E1211" s="34" t="inlineStr">
        <is>
          <t>None recorded</t>
        </is>
      </c>
      <c r="F1211" s="34" t="inlineStr">
        <is>
          <t>No individual professional decision recorded; Source assignment -- not individually reviewed</t>
        </is>
      </c>
      <c r="G1211" s="34" t="inlineStr">
        <is>
          <t>Not individually decided</t>
        </is>
      </c>
      <c r="H1211" s="34" t="inlineStr">
        <is>
          <t xml:space="preserve">APPROVED / ONE_TO_ONE; </t>
        </is>
      </c>
      <c r="I1211" s="34" t="inlineStr">
        <is>
          <t>New</t>
        </is>
      </c>
      <c r="J1211" s="92" t="inlineStr">
        <is>
          <t>08 CROSSWALK</t>
        </is>
      </c>
    </row>
    <row r="1212" ht="49" customHeight="1">
      <c r="A1212" s="34" t="inlineStr">
        <is>
          <t>R898-v1</t>
        </is>
      </c>
      <c r="B1212" s="34" t="inlineStr">
        <is>
          <t>Contractor Programme / SCH-05-178</t>
        </is>
      </c>
      <c r="C1212" s="34" t="inlineStr">
        <is>
          <t>WBS Code = 1.5.1</t>
        </is>
      </c>
      <c r="D1212" s="34" t="inlineStr">
        <is>
          <t>Proposed by Source assignment; target 1.5.1 Testing and Commissioning - Test Readiness</t>
        </is>
      </c>
      <c r="E1212" s="34" t="inlineStr">
        <is>
          <t>None recorded</t>
        </is>
      </c>
      <c r="F1212" s="34" t="inlineStr">
        <is>
          <t>No individual professional decision recorded; Source assignment -- not individually reviewed</t>
        </is>
      </c>
      <c r="G1212" s="34" t="inlineStr">
        <is>
          <t>Not individually decided</t>
        </is>
      </c>
      <c r="H1212" s="34" t="inlineStr">
        <is>
          <t xml:space="preserve">APPROVED / ONE_TO_ONE; </t>
        </is>
      </c>
      <c r="I1212" s="34" t="inlineStr">
        <is>
          <t>New</t>
        </is>
      </c>
      <c r="J1212" s="92" t="inlineStr">
        <is>
          <t>08 CROSSWALK</t>
        </is>
      </c>
    </row>
    <row r="1213" ht="49" customHeight="1">
      <c r="A1213" s="34" t="inlineStr">
        <is>
          <t>R899-v1</t>
        </is>
      </c>
      <c r="B1213" s="34" t="inlineStr">
        <is>
          <t>Contractor Programme / SCH-05-179</t>
        </is>
      </c>
      <c r="C1213" s="34" t="inlineStr">
        <is>
          <t>WBS Code = 1.5.1</t>
        </is>
      </c>
      <c r="D1213" s="34" t="inlineStr">
        <is>
          <t>Proposed by Source assignment; target 1.5.1 Testing and Commissioning - Test Readiness</t>
        </is>
      </c>
      <c r="E1213" s="34" t="inlineStr">
        <is>
          <t>None recorded</t>
        </is>
      </c>
      <c r="F1213" s="34" t="inlineStr">
        <is>
          <t>No individual professional decision recorded; Source assignment -- not individually reviewed</t>
        </is>
      </c>
      <c r="G1213" s="34" t="inlineStr">
        <is>
          <t>Not individually decided</t>
        </is>
      </c>
      <c r="H1213" s="34" t="inlineStr">
        <is>
          <t xml:space="preserve">APPROVED / ONE_TO_ONE; </t>
        </is>
      </c>
      <c r="I1213" s="34" t="inlineStr">
        <is>
          <t>New</t>
        </is>
      </c>
      <c r="J1213" s="92" t="inlineStr">
        <is>
          <t>08 CROSSWALK</t>
        </is>
      </c>
    </row>
    <row r="1214" ht="49" customHeight="1">
      <c r="A1214" s="34" t="inlineStr">
        <is>
          <t>R723-v1</t>
        </is>
      </c>
      <c r="B1214" s="34" t="inlineStr">
        <is>
          <t>Contractor Programme / SCH-05-003</t>
        </is>
      </c>
      <c r="C1214" s="34" t="inlineStr">
        <is>
          <t>WBS Code = 1.5.2</t>
        </is>
      </c>
      <c r="D1214" s="34" t="inlineStr">
        <is>
          <t>Proposed by Source assignment; target 1.5.2 Testing and Commissioning - Dynamic Testing</t>
        </is>
      </c>
      <c r="E1214" s="34" t="inlineStr">
        <is>
          <t>None recorded</t>
        </is>
      </c>
      <c r="F1214" s="34" t="inlineStr">
        <is>
          <t>No individual professional decision recorded; Source assignment -- not individually reviewed</t>
        </is>
      </c>
      <c r="G1214" s="34" t="inlineStr">
        <is>
          <t>Not individually decided</t>
        </is>
      </c>
      <c r="H1214" s="34" t="inlineStr">
        <is>
          <t xml:space="preserve">APPROVED / ONE_TO_ONE; </t>
        </is>
      </c>
      <c r="I1214" s="34" t="inlineStr">
        <is>
          <t>New</t>
        </is>
      </c>
      <c r="J1214" s="92" t="inlineStr">
        <is>
          <t>08 CROSSWALK</t>
        </is>
      </c>
    </row>
    <row r="1215" ht="49" customHeight="1">
      <c r="A1215" s="34" t="inlineStr">
        <is>
          <t>R726-v1</t>
        </is>
      </c>
      <c r="B1215" s="34" t="inlineStr">
        <is>
          <t>Contractor Programme / SCH-05-006</t>
        </is>
      </c>
      <c r="C1215" s="34" t="inlineStr">
        <is>
          <t>WBS Code = 1.5.2</t>
        </is>
      </c>
      <c r="D1215" s="34" t="inlineStr">
        <is>
          <t>Proposed by Source assignment; target 1.5.2 Testing and Commissioning - Dynamic Testing</t>
        </is>
      </c>
      <c r="E1215" s="34" t="inlineStr">
        <is>
          <t>None recorded</t>
        </is>
      </c>
      <c r="F1215" s="34" t="inlineStr">
        <is>
          <t>No individual professional decision recorded; Source assignment -- not individually reviewed</t>
        </is>
      </c>
      <c r="G1215" s="34" t="inlineStr">
        <is>
          <t>Not individually decided</t>
        </is>
      </c>
      <c r="H1215" s="34" t="inlineStr">
        <is>
          <t xml:space="preserve">APPROVED / ONE_TO_ONE; </t>
        </is>
      </c>
      <c r="I1215" s="34" t="inlineStr">
        <is>
          <t>New</t>
        </is>
      </c>
      <c r="J1215" s="92" t="inlineStr">
        <is>
          <t>08 CROSSWALK</t>
        </is>
      </c>
    </row>
    <row r="1216" ht="49" customHeight="1">
      <c r="A1216" s="34" t="inlineStr">
        <is>
          <t>R729-v1</t>
        </is>
      </c>
      <c r="B1216" s="34" t="inlineStr">
        <is>
          <t>Contractor Programme / SCH-05-009</t>
        </is>
      </c>
      <c r="C1216" s="34" t="inlineStr">
        <is>
          <t>WBS Code = 1.5.2</t>
        </is>
      </c>
      <c r="D1216" s="34" t="inlineStr">
        <is>
          <t>Proposed by Source assignment; target 1.5.2 Testing and Commissioning - Dynamic Testing</t>
        </is>
      </c>
      <c r="E1216" s="34" t="inlineStr">
        <is>
          <t>None recorded</t>
        </is>
      </c>
      <c r="F1216" s="34" t="inlineStr">
        <is>
          <t>No individual professional decision recorded; Source assignment -- not individually reviewed</t>
        </is>
      </c>
      <c r="G1216" s="34" t="inlineStr">
        <is>
          <t>Not individually decided</t>
        </is>
      </c>
      <c r="H1216" s="34" t="inlineStr">
        <is>
          <t xml:space="preserve">APPROVED / ONE_TO_ONE; </t>
        </is>
      </c>
      <c r="I1216" s="34" t="inlineStr">
        <is>
          <t>New</t>
        </is>
      </c>
      <c r="J1216" s="92" t="inlineStr">
        <is>
          <t>08 CROSSWALK</t>
        </is>
      </c>
    </row>
    <row r="1217" ht="49" customHeight="1">
      <c r="A1217" s="34" t="inlineStr">
        <is>
          <t>R732-v1</t>
        </is>
      </c>
      <c r="B1217" s="34" t="inlineStr">
        <is>
          <t>Contractor Programme / SCH-05-012</t>
        </is>
      </c>
      <c r="C1217" s="34" t="inlineStr">
        <is>
          <t>WBS Code = 1.5.2</t>
        </is>
      </c>
      <c r="D1217" s="34" t="inlineStr">
        <is>
          <t>Proposed by Source assignment; target 1.5.2 Testing and Commissioning - Dynamic Testing</t>
        </is>
      </c>
      <c r="E1217" s="34" t="inlineStr">
        <is>
          <t>None recorded</t>
        </is>
      </c>
      <c r="F1217" s="34" t="inlineStr">
        <is>
          <t>No individual professional decision recorded; Source assignment -- not individually reviewed</t>
        </is>
      </c>
      <c r="G1217" s="34" t="inlineStr">
        <is>
          <t>Not individually decided</t>
        </is>
      </c>
      <c r="H1217" s="34" t="inlineStr">
        <is>
          <t xml:space="preserve">APPROVED / ONE_TO_ONE; </t>
        </is>
      </c>
      <c r="I1217" s="34" t="inlineStr">
        <is>
          <t>New</t>
        </is>
      </c>
      <c r="J1217" s="92" t="inlineStr">
        <is>
          <t>08 CROSSWALK</t>
        </is>
      </c>
    </row>
    <row r="1218" ht="49" customHeight="1">
      <c r="A1218" s="34" t="inlineStr">
        <is>
          <t>R735-v1</t>
        </is>
      </c>
      <c r="B1218" s="34" t="inlineStr">
        <is>
          <t>Contractor Programme / SCH-05-015</t>
        </is>
      </c>
      <c r="C1218" s="34" t="inlineStr">
        <is>
          <t>WBS Code = 1.5.2</t>
        </is>
      </c>
      <c r="D1218" s="34" t="inlineStr">
        <is>
          <t>Proposed by Source assignment; target 1.5.2 Testing and Commissioning - Dynamic Testing</t>
        </is>
      </c>
      <c r="E1218" s="34" t="inlineStr">
        <is>
          <t>None recorded</t>
        </is>
      </c>
      <c r="F1218" s="34" t="inlineStr">
        <is>
          <t>No individual professional decision recorded; Source assignment -- not individually reviewed</t>
        </is>
      </c>
      <c r="G1218" s="34" t="inlineStr">
        <is>
          <t>Not individually decided</t>
        </is>
      </c>
      <c r="H1218" s="34" t="inlineStr">
        <is>
          <t xml:space="preserve">APPROVED / ONE_TO_ONE; </t>
        </is>
      </c>
      <c r="I1218" s="34" t="inlineStr">
        <is>
          <t>New</t>
        </is>
      </c>
      <c r="J1218" s="92" t="inlineStr">
        <is>
          <t>08 CROSSWALK</t>
        </is>
      </c>
    </row>
    <row r="1219" ht="49" customHeight="1">
      <c r="A1219" s="34" t="inlineStr">
        <is>
          <t>R738-v1</t>
        </is>
      </c>
      <c r="B1219" s="34" t="inlineStr">
        <is>
          <t>Contractor Programme / SCH-05-018</t>
        </is>
      </c>
      <c r="C1219" s="34" t="inlineStr">
        <is>
          <t>WBS Code = 1.5.2</t>
        </is>
      </c>
      <c r="D1219" s="34" t="inlineStr">
        <is>
          <t>Proposed by Source assignment; target 1.5.2 Testing and Commissioning - Dynamic Testing</t>
        </is>
      </c>
      <c r="E1219" s="34" t="inlineStr">
        <is>
          <t>None recorded</t>
        </is>
      </c>
      <c r="F1219" s="34" t="inlineStr">
        <is>
          <t>No individual professional decision recorded; Source assignment -- not individually reviewed</t>
        </is>
      </c>
      <c r="G1219" s="34" t="inlineStr">
        <is>
          <t>Not individually decided</t>
        </is>
      </c>
      <c r="H1219" s="34" t="inlineStr">
        <is>
          <t xml:space="preserve">APPROVED / ONE_TO_ONE; </t>
        </is>
      </c>
      <c r="I1219" s="34" t="inlineStr">
        <is>
          <t>New</t>
        </is>
      </c>
      <c r="J1219" s="92" t="inlineStr">
        <is>
          <t>08 CROSSWALK</t>
        </is>
      </c>
    </row>
    <row r="1220" ht="49" customHeight="1">
      <c r="A1220" s="34" t="inlineStr">
        <is>
          <t>R741-v1</t>
        </is>
      </c>
      <c r="B1220" s="34" t="inlineStr">
        <is>
          <t>Contractor Programme / SCH-05-021</t>
        </is>
      </c>
      <c r="C1220" s="34" t="inlineStr">
        <is>
          <t>WBS Code = 1.5.2</t>
        </is>
      </c>
      <c r="D1220" s="34" t="inlineStr">
        <is>
          <t>Proposed by Source assignment; target 1.5.2 Testing and Commissioning - Dynamic Testing</t>
        </is>
      </c>
      <c r="E1220" s="34" t="inlineStr">
        <is>
          <t>None recorded</t>
        </is>
      </c>
      <c r="F1220" s="34" t="inlineStr">
        <is>
          <t>No individual professional decision recorded; Source assignment -- not individually reviewed</t>
        </is>
      </c>
      <c r="G1220" s="34" t="inlineStr">
        <is>
          <t>Not individually decided</t>
        </is>
      </c>
      <c r="H1220" s="34" t="inlineStr">
        <is>
          <t xml:space="preserve">APPROVED / ONE_TO_ONE; </t>
        </is>
      </c>
      <c r="I1220" s="34" t="inlineStr">
        <is>
          <t>New</t>
        </is>
      </c>
      <c r="J1220" s="92" t="inlineStr">
        <is>
          <t>08 CROSSWALK</t>
        </is>
      </c>
    </row>
    <row r="1221" ht="49" customHeight="1">
      <c r="A1221" s="34" t="inlineStr">
        <is>
          <t>R744-v1</t>
        </is>
      </c>
      <c r="B1221" s="34" t="inlineStr">
        <is>
          <t>Contractor Programme / SCH-05-024</t>
        </is>
      </c>
      <c r="C1221" s="34" t="inlineStr">
        <is>
          <t>WBS Code = 1.5.2</t>
        </is>
      </c>
      <c r="D1221" s="34" t="inlineStr">
        <is>
          <t>Proposed by Source assignment; target 1.5.2 Testing and Commissioning - Dynamic Testing</t>
        </is>
      </c>
      <c r="E1221" s="34" t="inlineStr">
        <is>
          <t>None recorded</t>
        </is>
      </c>
      <c r="F1221" s="34" t="inlineStr">
        <is>
          <t>No individual professional decision recorded; Source assignment -- not individually reviewed</t>
        </is>
      </c>
      <c r="G1221" s="34" t="inlineStr">
        <is>
          <t>Not individually decided</t>
        </is>
      </c>
      <c r="H1221" s="34" t="inlineStr">
        <is>
          <t xml:space="preserve">APPROVED / ONE_TO_ONE; </t>
        </is>
      </c>
      <c r="I1221" s="34" t="inlineStr">
        <is>
          <t>New</t>
        </is>
      </c>
      <c r="J1221" s="92" t="inlineStr">
        <is>
          <t>08 CROSSWALK</t>
        </is>
      </c>
    </row>
    <row r="1222" ht="49" customHeight="1">
      <c r="A1222" s="34" t="inlineStr">
        <is>
          <t>R747-v1</t>
        </is>
      </c>
      <c r="B1222" s="34" t="inlineStr">
        <is>
          <t>Contractor Programme / SCH-05-027</t>
        </is>
      </c>
      <c r="C1222" s="34" t="inlineStr">
        <is>
          <t>WBS Code = 1.5.2</t>
        </is>
      </c>
      <c r="D1222" s="34" t="inlineStr">
        <is>
          <t>Proposed by Source assignment; target 1.5.2 Testing and Commissioning - Dynamic Testing</t>
        </is>
      </c>
      <c r="E1222" s="34" t="inlineStr">
        <is>
          <t>None recorded</t>
        </is>
      </c>
      <c r="F1222" s="34" t="inlineStr">
        <is>
          <t>No individual professional decision recorded; Source assignment -- not individually reviewed</t>
        </is>
      </c>
      <c r="G1222" s="34" t="inlineStr">
        <is>
          <t>Not individually decided</t>
        </is>
      </c>
      <c r="H1222" s="34" t="inlineStr">
        <is>
          <t xml:space="preserve">APPROVED / ONE_TO_ONE; </t>
        </is>
      </c>
      <c r="I1222" s="34" t="inlineStr">
        <is>
          <t>New</t>
        </is>
      </c>
      <c r="J1222" s="92" t="inlineStr">
        <is>
          <t>08 CROSSWALK</t>
        </is>
      </c>
    </row>
    <row r="1223" ht="49" customHeight="1">
      <c r="A1223" s="34" t="inlineStr">
        <is>
          <t>R750-v1</t>
        </is>
      </c>
      <c r="B1223" s="34" t="inlineStr">
        <is>
          <t>Contractor Programme / SCH-05-030</t>
        </is>
      </c>
      <c r="C1223" s="34" t="inlineStr">
        <is>
          <t>WBS Code = 1.5.2</t>
        </is>
      </c>
      <c r="D1223" s="34" t="inlineStr">
        <is>
          <t>Proposed by Source assignment; target 1.5.2 Testing and Commissioning - Dynamic Testing</t>
        </is>
      </c>
      <c r="E1223" s="34" t="inlineStr">
        <is>
          <t>None recorded</t>
        </is>
      </c>
      <c r="F1223" s="34" t="inlineStr">
        <is>
          <t>No individual professional decision recorded; Source assignment -- not individually reviewed</t>
        </is>
      </c>
      <c r="G1223" s="34" t="inlineStr">
        <is>
          <t>Not individually decided</t>
        </is>
      </c>
      <c r="H1223" s="34" t="inlineStr">
        <is>
          <t xml:space="preserve">APPROVED / ONE_TO_ONE; </t>
        </is>
      </c>
      <c r="I1223" s="34" t="inlineStr">
        <is>
          <t>New</t>
        </is>
      </c>
      <c r="J1223" s="92" t="inlineStr">
        <is>
          <t>08 CROSSWALK</t>
        </is>
      </c>
    </row>
    <row r="1224" ht="49" customHeight="1">
      <c r="A1224" s="34" t="inlineStr">
        <is>
          <t>R753-v1</t>
        </is>
      </c>
      <c r="B1224" s="34" t="inlineStr">
        <is>
          <t>Contractor Programme / SCH-05-033</t>
        </is>
      </c>
      <c r="C1224" s="34" t="inlineStr">
        <is>
          <t>WBS Code = 1.5.2</t>
        </is>
      </c>
      <c r="D1224" s="34" t="inlineStr">
        <is>
          <t>Proposed by Source assignment; target 1.5.2 Testing and Commissioning - Dynamic Testing</t>
        </is>
      </c>
      <c r="E1224" s="34" t="inlineStr">
        <is>
          <t>None recorded</t>
        </is>
      </c>
      <c r="F1224" s="34" t="inlineStr">
        <is>
          <t>No individual professional decision recorded; Source assignment -- not individually reviewed</t>
        </is>
      </c>
      <c r="G1224" s="34" t="inlineStr">
        <is>
          <t>Not individually decided</t>
        </is>
      </c>
      <c r="H1224" s="34" t="inlineStr">
        <is>
          <t xml:space="preserve">APPROVED / ONE_TO_ONE; </t>
        </is>
      </c>
      <c r="I1224" s="34" t="inlineStr">
        <is>
          <t>New</t>
        </is>
      </c>
      <c r="J1224" s="92" t="inlineStr">
        <is>
          <t>08 CROSSWALK</t>
        </is>
      </c>
    </row>
    <row r="1225" ht="49" customHeight="1">
      <c r="A1225" s="34" t="inlineStr">
        <is>
          <t>R756-v1</t>
        </is>
      </c>
      <c r="B1225" s="34" t="inlineStr">
        <is>
          <t>Contractor Programme / SCH-05-036</t>
        </is>
      </c>
      <c r="C1225" s="34" t="inlineStr">
        <is>
          <t>WBS Code = 1.5.2</t>
        </is>
      </c>
      <c r="D1225" s="34" t="inlineStr">
        <is>
          <t>Proposed by Source assignment; target 1.5.2 Testing and Commissioning - Dynamic Testing</t>
        </is>
      </c>
      <c r="E1225" s="34" t="inlineStr">
        <is>
          <t>None recorded</t>
        </is>
      </c>
      <c r="F1225" s="34" t="inlineStr">
        <is>
          <t>No individual professional decision recorded; Source assignment -- not individually reviewed</t>
        </is>
      </c>
      <c r="G1225" s="34" t="inlineStr">
        <is>
          <t>Not individually decided</t>
        </is>
      </c>
      <c r="H1225" s="34" t="inlineStr">
        <is>
          <t xml:space="preserve">APPROVED / ONE_TO_ONE; </t>
        </is>
      </c>
      <c r="I1225" s="34" t="inlineStr">
        <is>
          <t>New</t>
        </is>
      </c>
      <c r="J1225" s="92" t="inlineStr">
        <is>
          <t>08 CROSSWALK</t>
        </is>
      </c>
    </row>
    <row r="1226" ht="49" customHeight="1">
      <c r="A1226" s="34" t="inlineStr">
        <is>
          <t>R759-v1</t>
        </is>
      </c>
      <c r="B1226" s="34" t="inlineStr">
        <is>
          <t>Contractor Programme / SCH-05-039</t>
        </is>
      </c>
      <c r="C1226" s="34" t="inlineStr">
        <is>
          <t>WBS Code = 1.5.2</t>
        </is>
      </c>
      <c r="D1226" s="34" t="inlineStr">
        <is>
          <t>Proposed by Source assignment; target 1.5.2 Testing and Commissioning - Dynamic Testing</t>
        </is>
      </c>
      <c r="E1226" s="34" t="inlineStr">
        <is>
          <t>None recorded</t>
        </is>
      </c>
      <c r="F1226" s="34" t="inlineStr">
        <is>
          <t>No individual professional decision recorded; Source assignment -- not individually reviewed</t>
        </is>
      </c>
      <c r="G1226" s="34" t="inlineStr">
        <is>
          <t>Not individually decided</t>
        </is>
      </c>
      <c r="H1226" s="34" t="inlineStr">
        <is>
          <t xml:space="preserve">APPROVED / ONE_TO_ONE; </t>
        </is>
      </c>
      <c r="I1226" s="34" t="inlineStr">
        <is>
          <t>New</t>
        </is>
      </c>
      <c r="J1226" s="92" t="inlineStr">
        <is>
          <t>08 CROSSWALK</t>
        </is>
      </c>
    </row>
    <row r="1227" ht="49" customHeight="1">
      <c r="A1227" s="34" t="inlineStr">
        <is>
          <t>R762-v1</t>
        </is>
      </c>
      <c r="B1227" s="34" t="inlineStr">
        <is>
          <t>Contractor Programme / SCH-05-042</t>
        </is>
      </c>
      <c r="C1227" s="34" t="inlineStr">
        <is>
          <t>WBS Code = 1.5.2</t>
        </is>
      </c>
      <c r="D1227" s="34" t="inlineStr">
        <is>
          <t>Proposed by Source assignment; target 1.5.2 Testing and Commissioning - Dynamic Testing</t>
        </is>
      </c>
      <c r="E1227" s="34" t="inlineStr">
        <is>
          <t>None recorded</t>
        </is>
      </c>
      <c r="F1227" s="34" t="inlineStr">
        <is>
          <t>No individual professional decision recorded; Source assignment -- not individually reviewed</t>
        </is>
      </c>
      <c r="G1227" s="34" t="inlineStr">
        <is>
          <t>Not individually decided</t>
        </is>
      </c>
      <c r="H1227" s="34" t="inlineStr">
        <is>
          <t xml:space="preserve">APPROVED / ONE_TO_ONE; </t>
        </is>
      </c>
      <c r="I1227" s="34" t="inlineStr">
        <is>
          <t>New</t>
        </is>
      </c>
      <c r="J1227" s="92" t="inlineStr">
        <is>
          <t>08 CROSSWALK</t>
        </is>
      </c>
    </row>
    <row r="1228" ht="49" customHeight="1">
      <c r="A1228" s="34" t="inlineStr">
        <is>
          <t>R765-v1</t>
        </is>
      </c>
      <c r="B1228" s="34" t="inlineStr">
        <is>
          <t>Contractor Programme / SCH-05-045</t>
        </is>
      </c>
      <c r="C1228" s="34" t="inlineStr">
        <is>
          <t>WBS Code = 1.5.2</t>
        </is>
      </c>
      <c r="D1228" s="34" t="inlineStr">
        <is>
          <t>Proposed by Source assignment; target 1.5.2 Testing and Commissioning - Dynamic Testing</t>
        </is>
      </c>
      <c r="E1228" s="34" t="inlineStr">
        <is>
          <t>None recorded</t>
        </is>
      </c>
      <c r="F1228" s="34" t="inlineStr">
        <is>
          <t>No individual professional decision recorded; Source assignment -- not individually reviewed</t>
        </is>
      </c>
      <c r="G1228" s="34" t="inlineStr">
        <is>
          <t>Not individually decided</t>
        </is>
      </c>
      <c r="H1228" s="34" t="inlineStr">
        <is>
          <t xml:space="preserve">APPROVED / ONE_TO_ONE; </t>
        </is>
      </c>
      <c r="I1228" s="34" t="inlineStr">
        <is>
          <t>New</t>
        </is>
      </c>
      <c r="J1228" s="92" t="inlineStr">
        <is>
          <t>08 CROSSWALK</t>
        </is>
      </c>
    </row>
    <row r="1229" ht="49" customHeight="1">
      <c r="A1229" s="34" t="inlineStr">
        <is>
          <t>R768-v1</t>
        </is>
      </c>
      <c r="B1229" s="34" t="inlineStr">
        <is>
          <t>Contractor Programme / SCH-05-048</t>
        </is>
      </c>
      <c r="C1229" s="34" t="inlineStr">
        <is>
          <t>WBS Code = 1.5.2</t>
        </is>
      </c>
      <c r="D1229" s="34" t="inlineStr">
        <is>
          <t>Proposed by Source assignment; target 1.5.2 Testing and Commissioning - Dynamic Testing</t>
        </is>
      </c>
      <c r="E1229" s="34" t="inlineStr">
        <is>
          <t>None recorded</t>
        </is>
      </c>
      <c r="F1229" s="34" t="inlineStr">
        <is>
          <t>No individual professional decision recorded; Source assignment -- not individually reviewed</t>
        </is>
      </c>
      <c r="G1229" s="34" t="inlineStr">
        <is>
          <t>Not individually decided</t>
        </is>
      </c>
      <c r="H1229" s="34" t="inlineStr">
        <is>
          <t xml:space="preserve">APPROVED / ONE_TO_ONE; </t>
        </is>
      </c>
      <c r="I1229" s="34" t="inlineStr">
        <is>
          <t>New</t>
        </is>
      </c>
      <c r="J1229" s="92" t="inlineStr">
        <is>
          <t>08 CROSSWALK</t>
        </is>
      </c>
    </row>
    <row r="1230" ht="49" customHeight="1">
      <c r="A1230" s="34" t="inlineStr">
        <is>
          <t>R771-v1</t>
        </is>
      </c>
      <c r="B1230" s="34" t="inlineStr">
        <is>
          <t>Contractor Programme / SCH-05-051</t>
        </is>
      </c>
      <c r="C1230" s="34" t="inlineStr">
        <is>
          <t>WBS Code = 1.5.2</t>
        </is>
      </c>
      <c r="D1230" s="34" t="inlineStr">
        <is>
          <t>Proposed by Source assignment; target 1.5.2 Testing and Commissioning - Dynamic Testing</t>
        </is>
      </c>
      <c r="E1230" s="34" t="inlineStr">
        <is>
          <t>None recorded</t>
        </is>
      </c>
      <c r="F1230" s="34" t="inlineStr">
        <is>
          <t>No individual professional decision recorded; Source assignment -- not individually reviewed</t>
        </is>
      </c>
      <c r="G1230" s="34" t="inlineStr">
        <is>
          <t>Not individually decided</t>
        </is>
      </c>
      <c r="H1230" s="34" t="inlineStr">
        <is>
          <t xml:space="preserve">APPROVED / ONE_TO_ONE; </t>
        </is>
      </c>
      <c r="I1230" s="34" t="inlineStr">
        <is>
          <t>New</t>
        </is>
      </c>
      <c r="J1230" s="92" t="inlineStr">
        <is>
          <t>08 CROSSWALK</t>
        </is>
      </c>
    </row>
    <row r="1231" ht="49" customHeight="1">
      <c r="A1231" s="34" t="inlineStr">
        <is>
          <t>R774-v1</t>
        </is>
      </c>
      <c r="B1231" s="34" t="inlineStr">
        <is>
          <t>Contractor Programme / SCH-05-054</t>
        </is>
      </c>
      <c r="C1231" s="34" t="inlineStr">
        <is>
          <t>WBS Code = 1.5.2</t>
        </is>
      </c>
      <c r="D1231" s="34" t="inlineStr">
        <is>
          <t>Proposed by Source assignment; target 1.5.2 Testing and Commissioning - Dynamic Testing</t>
        </is>
      </c>
      <c r="E1231" s="34" t="inlineStr">
        <is>
          <t>None recorded</t>
        </is>
      </c>
      <c r="F1231" s="34" t="inlineStr">
        <is>
          <t>No individual professional decision recorded; Source assignment -- not individually reviewed</t>
        </is>
      </c>
      <c r="G1231" s="34" t="inlineStr">
        <is>
          <t>Not individually decided</t>
        </is>
      </c>
      <c r="H1231" s="34" t="inlineStr">
        <is>
          <t xml:space="preserve">APPROVED / ONE_TO_ONE; </t>
        </is>
      </c>
      <c r="I1231" s="34" t="inlineStr">
        <is>
          <t>New</t>
        </is>
      </c>
      <c r="J1231" s="92" t="inlineStr">
        <is>
          <t>08 CROSSWALK</t>
        </is>
      </c>
    </row>
    <row r="1232" ht="49" customHeight="1">
      <c r="A1232" s="34" t="inlineStr">
        <is>
          <t>R777-v1</t>
        </is>
      </c>
      <c r="B1232" s="34" t="inlineStr">
        <is>
          <t>Contractor Programme / SCH-05-057</t>
        </is>
      </c>
      <c r="C1232" s="34" t="inlineStr">
        <is>
          <t>WBS Code = 1.5.2</t>
        </is>
      </c>
      <c r="D1232" s="34" t="inlineStr">
        <is>
          <t>Proposed by Source assignment; target 1.5.2 Testing and Commissioning - Dynamic Testing</t>
        </is>
      </c>
      <c r="E1232" s="34" t="inlineStr">
        <is>
          <t>None recorded</t>
        </is>
      </c>
      <c r="F1232" s="34" t="inlineStr">
        <is>
          <t>No individual professional decision recorded; Source assignment -- not individually reviewed</t>
        </is>
      </c>
      <c r="G1232" s="34" t="inlineStr">
        <is>
          <t>Not individually decided</t>
        </is>
      </c>
      <c r="H1232" s="34" t="inlineStr">
        <is>
          <t xml:space="preserve">APPROVED / ONE_TO_ONE; </t>
        </is>
      </c>
      <c r="I1232" s="34" t="inlineStr">
        <is>
          <t>New</t>
        </is>
      </c>
      <c r="J1232" s="92" t="inlineStr">
        <is>
          <t>08 CROSSWALK</t>
        </is>
      </c>
    </row>
    <row r="1233" ht="49" customHeight="1">
      <c r="A1233" s="34" t="inlineStr">
        <is>
          <t>R780-v1</t>
        </is>
      </c>
      <c r="B1233" s="34" t="inlineStr">
        <is>
          <t>Contractor Programme / SCH-05-060</t>
        </is>
      </c>
      <c r="C1233" s="34" t="inlineStr">
        <is>
          <t>WBS Code = 1.5.2</t>
        </is>
      </c>
      <c r="D1233" s="34" t="inlineStr">
        <is>
          <t>Proposed by Source assignment; target 1.5.2 Testing and Commissioning - Dynamic Testing</t>
        </is>
      </c>
      <c r="E1233" s="34" t="inlineStr">
        <is>
          <t>None recorded</t>
        </is>
      </c>
      <c r="F1233" s="34" t="inlineStr">
        <is>
          <t>No individual professional decision recorded; Source assignment -- not individually reviewed</t>
        </is>
      </c>
      <c r="G1233" s="34" t="inlineStr">
        <is>
          <t>Not individually decided</t>
        </is>
      </c>
      <c r="H1233" s="34" t="inlineStr">
        <is>
          <t xml:space="preserve">APPROVED / ONE_TO_ONE; </t>
        </is>
      </c>
      <c r="I1233" s="34" t="inlineStr">
        <is>
          <t>New</t>
        </is>
      </c>
      <c r="J1233" s="92" t="inlineStr">
        <is>
          <t>08 CROSSWALK</t>
        </is>
      </c>
    </row>
    <row r="1234" ht="49" customHeight="1">
      <c r="A1234" s="34" t="inlineStr">
        <is>
          <t>R783-v1</t>
        </is>
      </c>
      <c r="B1234" s="34" t="inlineStr">
        <is>
          <t>Contractor Programme / SCH-05-063</t>
        </is>
      </c>
      <c r="C1234" s="34" t="inlineStr">
        <is>
          <t>WBS Code = 1.5.2</t>
        </is>
      </c>
      <c r="D1234" s="34" t="inlineStr">
        <is>
          <t>Proposed by Source assignment; target 1.5.2 Testing and Commissioning - Dynamic Testing</t>
        </is>
      </c>
      <c r="E1234" s="34" t="inlineStr">
        <is>
          <t>None recorded</t>
        </is>
      </c>
      <c r="F1234" s="34" t="inlineStr">
        <is>
          <t>No individual professional decision recorded; Source assignment -- not individually reviewed</t>
        </is>
      </c>
      <c r="G1234" s="34" t="inlineStr">
        <is>
          <t>Not individually decided</t>
        </is>
      </c>
      <c r="H1234" s="34" t="inlineStr">
        <is>
          <t xml:space="preserve">APPROVED / ONE_TO_ONE; </t>
        </is>
      </c>
      <c r="I1234" s="34" t="inlineStr">
        <is>
          <t>New</t>
        </is>
      </c>
      <c r="J1234" s="92" t="inlineStr">
        <is>
          <t>08 CROSSWALK</t>
        </is>
      </c>
    </row>
    <row r="1235" ht="49" customHeight="1">
      <c r="A1235" s="34" t="inlineStr">
        <is>
          <t>R786-v1</t>
        </is>
      </c>
      <c r="B1235" s="34" t="inlineStr">
        <is>
          <t>Contractor Programme / SCH-05-066</t>
        </is>
      </c>
      <c r="C1235" s="34" t="inlineStr">
        <is>
          <t>WBS Code = 1.5.2</t>
        </is>
      </c>
      <c r="D1235" s="34" t="inlineStr">
        <is>
          <t>Proposed by Source assignment; target 1.5.2 Testing and Commissioning - Dynamic Testing</t>
        </is>
      </c>
      <c r="E1235" s="34" t="inlineStr">
        <is>
          <t>None recorded</t>
        </is>
      </c>
      <c r="F1235" s="34" t="inlineStr">
        <is>
          <t>No individual professional decision recorded; Source assignment -- not individually reviewed</t>
        </is>
      </c>
      <c r="G1235" s="34" t="inlineStr">
        <is>
          <t>Not individually decided</t>
        </is>
      </c>
      <c r="H1235" s="34" t="inlineStr">
        <is>
          <t xml:space="preserve">APPROVED / ONE_TO_ONE; </t>
        </is>
      </c>
      <c r="I1235" s="34" t="inlineStr">
        <is>
          <t>New</t>
        </is>
      </c>
      <c r="J1235" s="92" t="inlineStr">
        <is>
          <t>08 CROSSWALK</t>
        </is>
      </c>
    </row>
    <row r="1236" ht="49" customHeight="1">
      <c r="A1236" s="34" t="inlineStr">
        <is>
          <t>R789-v1</t>
        </is>
      </c>
      <c r="B1236" s="34" t="inlineStr">
        <is>
          <t>Contractor Programme / SCH-05-069</t>
        </is>
      </c>
      <c r="C1236" s="34" t="inlineStr">
        <is>
          <t>WBS Code = 1.5.2</t>
        </is>
      </c>
      <c r="D1236" s="34" t="inlineStr">
        <is>
          <t>Proposed by Source assignment; target 1.5.2 Testing and Commissioning - Dynamic Testing</t>
        </is>
      </c>
      <c r="E1236" s="34" t="inlineStr">
        <is>
          <t>None recorded</t>
        </is>
      </c>
      <c r="F1236" s="34" t="inlineStr">
        <is>
          <t>No individual professional decision recorded; Source assignment -- not individually reviewed</t>
        </is>
      </c>
      <c r="G1236" s="34" t="inlineStr">
        <is>
          <t>Not individually decided</t>
        </is>
      </c>
      <c r="H1236" s="34" t="inlineStr">
        <is>
          <t xml:space="preserve">APPROVED / ONE_TO_ONE; </t>
        </is>
      </c>
      <c r="I1236" s="34" t="inlineStr">
        <is>
          <t>New</t>
        </is>
      </c>
      <c r="J1236" s="92" t="inlineStr">
        <is>
          <t>08 CROSSWALK</t>
        </is>
      </c>
    </row>
    <row r="1237" ht="49" customHeight="1">
      <c r="A1237" s="34" t="inlineStr">
        <is>
          <t>R792-v1</t>
        </is>
      </c>
      <c r="B1237" s="34" t="inlineStr">
        <is>
          <t>Contractor Programme / SCH-05-072</t>
        </is>
      </c>
      <c r="C1237" s="34" t="inlineStr">
        <is>
          <t>WBS Code = 1.5.2</t>
        </is>
      </c>
      <c r="D1237" s="34" t="inlineStr">
        <is>
          <t>Proposed by Source assignment; target 1.5.2 Testing and Commissioning - Dynamic Testing</t>
        </is>
      </c>
      <c r="E1237" s="34" t="inlineStr">
        <is>
          <t>None recorded</t>
        </is>
      </c>
      <c r="F1237" s="34" t="inlineStr">
        <is>
          <t>No individual professional decision recorded; Source assignment -- not individually reviewed</t>
        </is>
      </c>
      <c r="G1237" s="34" t="inlineStr">
        <is>
          <t>Not individually decided</t>
        </is>
      </c>
      <c r="H1237" s="34" t="inlineStr">
        <is>
          <t xml:space="preserve">APPROVED / ONE_TO_ONE; </t>
        </is>
      </c>
      <c r="I1237" s="34" t="inlineStr">
        <is>
          <t>New</t>
        </is>
      </c>
      <c r="J1237" s="92" t="inlineStr">
        <is>
          <t>08 CROSSWALK</t>
        </is>
      </c>
    </row>
    <row r="1238" ht="49" customHeight="1">
      <c r="A1238" s="34" t="inlineStr">
        <is>
          <t>R795-v1</t>
        </is>
      </c>
      <c r="B1238" s="34" t="inlineStr">
        <is>
          <t>Contractor Programme / SCH-05-075</t>
        </is>
      </c>
      <c r="C1238" s="34" t="inlineStr">
        <is>
          <t>WBS Code = 1.5.2</t>
        </is>
      </c>
      <c r="D1238" s="34" t="inlineStr">
        <is>
          <t>Proposed by Source assignment; target 1.5.2 Testing and Commissioning - Dynamic Testing</t>
        </is>
      </c>
      <c r="E1238" s="34" t="inlineStr">
        <is>
          <t>None recorded</t>
        </is>
      </c>
      <c r="F1238" s="34" t="inlineStr">
        <is>
          <t>No individual professional decision recorded; Source assignment -- not individually reviewed</t>
        </is>
      </c>
      <c r="G1238" s="34" t="inlineStr">
        <is>
          <t>Not individually decided</t>
        </is>
      </c>
      <c r="H1238" s="34" t="inlineStr">
        <is>
          <t xml:space="preserve">APPROVED / ONE_TO_ONE; </t>
        </is>
      </c>
      <c r="I1238" s="34" t="inlineStr">
        <is>
          <t>New</t>
        </is>
      </c>
      <c r="J1238" s="92" t="inlineStr">
        <is>
          <t>08 CROSSWALK</t>
        </is>
      </c>
    </row>
    <row r="1239" ht="49" customHeight="1">
      <c r="A1239" s="34" t="inlineStr">
        <is>
          <t>R798-v1</t>
        </is>
      </c>
      <c r="B1239" s="34" t="inlineStr">
        <is>
          <t>Contractor Programme / SCH-05-078</t>
        </is>
      </c>
      <c r="C1239" s="34" t="inlineStr">
        <is>
          <t>WBS Code = 1.5.2</t>
        </is>
      </c>
      <c r="D1239" s="34" t="inlineStr">
        <is>
          <t>Proposed by Source assignment; target 1.5.2 Testing and Commissioning - Dynamic Testing</t>
        </is>
      </c>
      <c r="E1239" s="34" t="inlineStr">
        <is>
          <t>None recorded</t>
        </is>
      </c>
      <c r="F1239" s="34" t="inlineStr">
        <is>
          <t>No individual professional decision recorded; Source assignment -- not individually reviewed</t>
        </is>
      </c>
      <c r="G1239" s="34" t="inlineStr">
        <is>
          <t>Not individually decided</t>
        </is>
      </c>
      <c r="H1239" s="34" t="inlineStr">
        <is>
          <t xml:space="preserve">APPROVED / ONE_TO_ONE; </t>
        </is>
      </c>
      <c r="I1239" s="34" t="inlineStr">
        <is>
          <t>New</t>
        </is>
      </c>
      <c r="J1239" s="92" t="inlineStr">
        <is>
          <t>08 CROSSWALK</t>
        </is>
      </c>
    </row>
    <row r="1240" ht="49" customHeight="1">
      <c r="A1240" s="34" t="inlineStr">
        <is>
          <t>R801-v1</t>
        </is>
      </c>
      <c r="B1240" s="34" t="inlineStr">
        <is>
          <t>Contractor Programme / SCH-05-081</t>
        </is>
      </c>
      <c r="C1240" s="34" t="inlineStr">
        <is>
          <t>WBS Code = 1.5.2</t>
        </is>
      </c>
      <c r="D1240" s="34" t="inlineStr">
        <is>
          <t>Proposed by Source assignment; target 1.5.2 Testing and Commissioning - Dynamic Testing</t>
        </is>
      </c>
      <c r="E1240" s="34" t="inlineStr">
        <is>
          <t>None recorded</t>
        </is>
      </c>
      <c r="F1240" s="34" t="inlineStr">
        <is>
          <t>No individual professional decision recorded; Source assignment -- not individually reviewed</t>
        </is>
      </c>
      <c r="G1240" s="34" t="inlineStr">
        <is>
          <t>Not individually decided</t>
        </is>
      </c>
      <c r="H1240" s="34" t="inlineStr">
        <is>
          <t xml:space="preserve">APPROVED / ONE_TO_ONE; </t>
        </is>
      </c>
      <c r="I1240" s="34" t="inlineStr">
        <is>
          <t>New</t>
        </is>
      </c>
      <c r="J1240" s="92" t="inlineStr">
        <is>
          <t>08 CROSSWALK</t>
        </is>
      </c>
    </row>
    <row r="1241" ht="49" customHeight="1">
      <c r="A1241" s="34" t="inlineStr">
        <is>
          <t>R804-v1</t>
        </is>
      </c>
      <c r="B1241" s="34" t="inlineStr">
        <is>
          <t>Contractor Programme / SCH-05-084</t>
        </is>
      </c>
      <c r="C1241" s="34" t="inlineStr">
        <is>
          <t>WBS Code = 1.5.2</t>
        </is>
      </c>
      <c r="D1241" s="34" t="inlineStr">
        <is>
          <t>Proposed by Source assignment; target 1.5.2 Testing and Commissioning - Dynamic Testing</t>
        </is>
      </c>
      <c r="E1241" s="34" t="inlineStr">
        <is>
          <t>None recorded</t>
        </is>
      </c>
      <c r="F1241" s="34" t="inlineStr">
        <is>
          <t>No individual professional decision recorded; Source assignment -- not individually reviewed</t>
        </is>
      </c>
      <c r="G1241" s="34" t="inlineStr">
        <is>
          <t>Not individually decided</t>
        </is>
      </c>
      <c r="H1241" s="34" t="inlineStr">
        <is>
          <t xml:space="preserve">APPROVED / ONE_TO_ONE; </t>
        </is>
      </c>
      <c r="I1241" s="34" t="inlineStr">
        <is>
          <t>New</t>
        </is>
      </c>
      <c r="J1241" s="92" t="inlineStr">
        <is>
          <t>08 CROSSWALK</t>
        </is>
      </c>
    </row>
    <row r="1242" ht="49" customHeight="1">
      <c r="A1242" s="34" t="inlineStr">
        <is>
          <t>R807-v1</t>
        </is>
      </c>
      <c r="B1242" s="34" t="inlineStr">
        <is>
          <t>Contractor Programme / SCH-05-087</t>
        </is>
      </c>
      <c r="C1242" s="34" t="inlineStr">
        <is>
          <t>WBS Code = 1.5.2</t>
        </is>
      </c>
      <c r="D1242" s="34" t="inlineStr">
        <is>
          <t>Proposed by Source assignment; target 1.5.2 Testing and Commissioning - Dynamic Testing</t>
        </is>
      </c>
      <c r="E1242" s="34" t="inlineStr">
        <is>
          <t>None recorded</t>
        </is>
      </c>
      <c r="F1242" s="34" t="inlineStr">
        <is>
          <t>No individual professional decision recorded; Source assignment -- not individually reviewed</t>
        </is>
      </c>
      <c r="G1242" s="34" t="inlineStr">
        <is>
          <t>Not individually decided</t>
        </is>
      </c>
      <c r="H1242" s="34" t="inlineStr">
        <is>
          <t xml:space="preserve">APPROVED / ONE_TO_ONE; </t>
        </is>
      </c>
      <c r="I1242" s="34" t="inlineStr">
        <is>
          <t>New</t>
        </is>
      </c>
      <c r="J1242" s="92" t="inlineStr">
        <is>
          <t>08 CROSSWALK</t>
        </is>
      </c>
    </row>
    <row r="1243" ht="49" customHeight="1">
      <c r="A1243" s="34" t="inlineStr">
        <is>
          <t>R810-v1</t>
        </is>
      </c>
      <c r="B1243" s="34" t="inlineStr">
        <is>
          <t>Contractor Programme / SCH-05-090</t>
        </is>
      </c>
      <c r="C1243" s="34" t="inlineStr">
        <is>
          <t>WBS Code = 1.5.2</t>
        </is>
      </c>
      <c r="D1243" s="34" t="inlineStr">
        <is>
          <t>Proposed by Source assignment; target 1.5.2 Testing and Commissioning - Dynamic Testing</t>
        </is>
      </c>
      <c r="E1243" s="34" t="inlineStr">
        <is>
          <t>None recorded</t>
        </is>
      </c>
      <c r="F1243" s="34" t="inlineStr">
        <is>
          <t>No individual professional decision recorded; Source assignment -- not individually reviewed</t>
        </is>
      </c>
      <c r="G1243" s="34" t="inlineStr">
        <is>
          <t>Not individually decided</t>
        </is>
      </c>
      <c r="H1243" s="34" t="inlineStr">
        <is>
          <t xml:space="preserve">APPROVED / ONE_TO_ONE; </t>
        </is>
      </c>
      <c r="I1243" s="34" t="inlineStr">
        <is>
          <t>New</t>
        </is>
      </c>
      <c r="J1243" s="92" t="inlineStr">
        <is>
          <t>08 CROSSWALK</t>
        </is>
      </c>
    </row>
    <row r="1244" ht="49" customHeight="1">
      <c r="A1244" s="34" t="inlineStr">
        <is>
          <t>R813-v1</t>
        </is>
      </c>
      <c r="B1244" s="34" t="inlineStr">
        <is>
          <t>Contractor Programme / SCH-05-093</t>
        </is>
      </c>
      <c r="C1244" s="34" t="inlineStr">
        <is>
          <t>WBS Code = 1.5.2</t>
        </is>
      </c>
      <c r="D1244" s="34" t="inlineStr">
        <is>
          <t>Proposed by Source assignment; target 1.5.2 Testing and Commissioning - Dynamic Testing</t>
        </is>
      </c>
      <c r="E1244" s="34" t="inlineStr">
        <is>
          <t>None recorded</t>
        </is>
      </c>
      <c r="F1244" s="34" t="inlineStr">
        <is>
          <t>No individual professional decision recorded; Source assignment -- not individually reviewed</t>
        </is>
      </c>
      <c r="G1244" s="34" t="inlineStr">
        <is>
          <t>Not individually decided</t>
        </is>
      </c>
      <c r="H1244" s="34" t="inlineStr">
        <is>
          <t xml:space="preserve">APPROVED / ONE_TO_ONE; </t>
        </is>
      </c>
      <c r="I1244" s="34" t="inlineStr">
        <is>
          <t>New</t>
        </is>
      </c>
      <c r="J1244" s="92" t="inlineStr">
        <is>
          <t>08 CROSSWALK</t>
        </is>
      </c>
    </row>
    <row r="1245" ht="49" customHeight="1">
      <c r="A1245" s="34" t="inlineStr">
        <is>
          <t>R816-v1</t>
        </is>
      </c>
      <c r="B1245" s="34" t="inlineStr">
        <is>
          <t>Contractor Programme / SCH-05-096</t>
        </is>
      </c>
      <c r="C1245" s="34" t="inlineStr">
        <is>
          <t>WBS Code = 1.5.2</t>
        </is>
      </c>
      <c r="D1245" s="34" t="inlineStr">
        <is>
          <t>Proposed by Source assignment; target 1.5.2 Testing and Commissioning - Dynamic Testing</t>
        </is>
      </c>
      <c r="E1245" s="34" t="inlineStr">
        <is>
          <t>None recorded</t>
        </is>
      </c>
      <c r="F1245" s="34" t="inlineStr">
        <is>
          <t>No individual professional decision recorded; Source assignment -- not individually reviewed</t>
        </is>
      </c>
      <c r="G1245" s="34" t="inlineStr">
        <is>
          <t>Not individually decided</t>
        </is>
      </c>
      <c r="H1245" s="34" t="inlineStr">
        <is>
          <t xml:space="preserve">APPROVED / ONE_TO_ONE; </t>
        </is>
      </c>
      <c r="I1245" s="34" t="inlineStr">
        <is>
          <t>New</t>
        </is>
      </c>
      <c r="J1245" s="92" t="inlineStr">
        <is>
          <t>08 CROSSWALK</t>
        </is>
      </c>
    </row>
    <row r="1246" ht="49" customHeight="1">
      <c r="A1246" s="34" t="inlineStr">
        <is>
          <t>R819-v1</t>
        </is>
      </c>
      <c r="B1246" s="34" t="inlineStr">
        <is>
          <t>Contractor Programme / SCH-05-099</t>
        </is>
      </c>
      <c r="C1246" s="34" t="inlineStr">
        <is>
          <t>WBS Code = 1.5.2</t>
        </is>
      </c>
      <c r="D1246" s="34" t="inlineStr">
        <is>
          <t>Proposed by Source assignment; target 1.5.2 Testing and Commissioning - Dynamic Testing</t>
        </is>
      </c>
      <c r="E1246" s="34" t="inlineStr">
        <is>
          <t>None recorded</t>
        </is>
      </c>
      <c r="F1246" s="34" t="inlineStr">
        <is>
          <t>No individual professional decision recorded; Source assignment -- not individually reviewed</t>
        </is>
      </c>
      <c r="G1246" s="34" t="inlineStr">
        <is>
          <t>Not individually decided</t>
        </is>
      </c>
      <c r="H1246" s="34" t="inlineStr">
        <is>
          <t xml:space="preserve">APPROVED / ONE_TO_ONE; </t>
        </is>
      </c>
      <c r="I1246" s="34" t="inlineStr">
        <is>
          <t>New</t>
        </is>
      </c>
      <c r="J1246" s="92" t="inlineStr">
        <is>
          <t>08 CROSSWALK</t>
        </is>
      </c>
    </row>
    <row r="1247" ht="49" customHeight="1">
      <c r="A1247" s="34" t="inlineStr">
        <is>
          <t>R822-v1</t>
        </is>
      </c>
      <c r="B1247" s="34" t="inlineStr">
        <is>
          <t>Contractor Programme / SCH-05-102</t>
        </is>
      </c>
      <c r="C1247" s="34" t="inlineStr">
        <is>
          <t>WBS Code = 1.5.2</t>
        </is>
      </c>
      <c r="D1247" s="34" t="inlineStr">
        <is>
          <t>Proposed by Source assignment; target 1.5.2 Testing and Commissioning - Dynamic Testing</t>
        </is>
      </c>
      <c r="E1247" s="34" t="inlineStr">
        <is>
          <t>None recorded</t>
        </is>
      </c>
      <c r="F1247" s="34" t="inlineStr">
        <is>
          <t>No individual professional decision recorded; Source assignment -- not individually reviewed</t>
        </is>
      </c>
      <c r="G1247" s="34" t="inlineStr">
        <is>
          <t>Not individually decided</t>
        </is>
      </c>
      <c r="H1247" s="34" t="inlineStr">
        <is>
          <t xml:space="preserve">APPROVED / ONE_TO_ONE; </t>
        </is>
      </c>
      <c r="I1247" s="34" t="inlineStr">
        <is>
          <t>New</t>
        </is>
      </c>
      <c r="J1247" s="92" t="inlineStr">
        <is>
          <t>08 CROSSWALK</t>
        </is>
      </c>
    </row>
    <row r="1248" ht="49" customHeight="1">
      <c r="A1248" s="34" t="inlineStr">
        <is>
          <t>R825-v1</t>
        </is>
      </c>
      <c r="B1248" s="34" t="inlineStr">
        <is>
          <t>Contractor Programme / SCH-05-105</t>
        </is>
      </c>
      <c r="C1248" s="34" t="inlineStr">
        <is>
          <t>WBS Code = 1.5.2</t>
        </is>
      </c>
      <c r="D1248" s="34" t="inlineStr">
        <is>
          <t>Proposed by Source assignment; target 1.5.2 Testing and Commissioning - Dynamic Testing</t>
        </is>
      </c>
      <c r="E1248" s="34" t="inlineStr">
        <is>
          <t>None recorded</t>
        </is>
      </c>
      <c r="F1248" s="34" t="inlineStr">
        <is>
          <t>No individual professional decision recorded; Source assignment -- not individually reviewed</t>
        </is>
      </c>
      <c r="G1248" s="34" t="inlineStr">
        <is>
          <t>Not individually decided</t>
        </is>
      </c>
      <c r="H1248" s="34" t="inlineStr">
        <is>
          <t xml:space="preserve">APPROVED / ONE_TO_ONE; </t>
        </is>
      </c>
      <c r="I1248" s="34" t="inlineStr">
        <is>
          <t>New</t>
        </is>
      </c>
      <c r="J1248" s="92" t="inlineStr">
        <is>
          <t>08 CROSSWALK</t>
        </is>
      </c>
    </row>
    <row r="1249" ht="49" customHeight="1">
      <c r="A1249" s="34" t="inlineStr">
        <is>
          <t>R828-v1</t>
        </is>
      </c>
      <c r="B1249" s="34" t="inlineStr">
        <is>
          <t>Contractor Programme / SCH-05-108</t>
        </is>
      </c>
      <c r="C1249" s="34" t="inlineStr">
        <is>
          <t>WBS Code = 1.5.2</t>
        </is>
      </c>
      <c r="D1249" s="34" t="inlineStr">
        <is>
          <t>Proposed by Source assignment; target 1.5.2 Testing and Commissioning - Dynamic Testing</t>
        </is>
      </c>
      <c r="E1249" s="34" t="inlineStr">
        <is>
          <t>None recorded</t>
        </is>
      </c>
      <c r="F1249" s="34" t="inlineStr">
        <is>
          <t>No individual professional decision recorded; Source assignment -- not individually reviewed</t>
        </is>
      </c>
      <c r="G1249" s="34" t="inlineStr">
        <is>
          <t>Not individually decided</t>
        </is>
      </c>
      <c r="H1249" s="34" t="inlineStr">
        <is>
          <t xml:space="preserve">APPROVED / ONE_TO_ONE; </t>
        </is>
      </c>
      <c r="I1249" s="34" t="inlineStr">
        <is>
          <t>New</t>
        </is>
      </c>
      <c r="J1249" s="92" t="inlineStr">
        <is>
          <t>08 CROSSWALK</t>
        </is>
      </c>
    </row>
    <row r="1250" ht="49" customHeight="1">
      <c r="A1250" s="34" t="inlineStr">
        <is>
          <t>R831-v1</t>
        </is>
      </c>
      <c r="B1250" s="34" t="inlineStr">
        <is>
          <t>Contractor Programme / SCH-05-111</t>
        </is>
      </c>
      <c r="C1250" s="34" t="inlineStr">
        <is>
          <t>WBS Code = 1.5.2</t>
        </is>
      </c>
      <c r="D1250" s="34" t="inlineStr">
        <is>
          <t>Proposed by Source assignment; target 1.5.2 Testing and Commissioning - Dynamic Testing</t>
        </is>
      </c>
      <c r="E1250" s="34" t="inlineStr">
        <is>
          <t>None recorded</t>
        </is>
      </c>
      <c r="F1250" s="34" t="inlineStr">
        <is>
          <t>No individual professional decision recorded; Source assignment -- not individually reviewed</t>
        </is>
      </c>
      <c r="G1250" s="34" t="inlineStr">
        <is>
          <t>Not individually decided</t>
        </is>
      </c>
      <c r="H1250" s="34" t="inlineStr">
        <is>
          <t xml:space="preserve">APPROVED / ONE_TO_ONE; </t>
        </is>
      </c>
      <c r="I1250" s="34" t="inlineStr">
        <is>
          <t>New</t>
        </is>
      </c>
      <c r="J1250" s="92" t="inlineStr">
        <is>
          <t>08 CROSSWALK</t>
        </is>
      </c>
    </row>
    <row r="1251" ht="49" customHeight="1">
      <c r="A1251" s="34" t="inlineStr">
        <is>
          <t>R834-v1</t>
        </is>
      </c>
      <c r="B1251" s="34" t="inlineStr">
        <is>
          <t>Contractor Programme / SCH-05-114</t>
        </is>
      </c>
      <c r="C1251" s="34" t="inlineStr">
        <is>
          <t>WBS Code = 1.5.2</t>
        </is>
      </c>
      <c r="D1251" s="34" t="inlineStr">
        <is>
          <t>Proposed by Source assignment; target 1.5.2 Testing and Commissioning - Dynamic Testing</t>
        </is>
      </c>
      <c r="E1251" s="34" t="inlineStr">
        <is>
          <t>None recorded</t>
        </is>
      </c>
      <c r="F1251" s="34" t="inlineStr">
        <is>
          <t>No individual professional decision recorded; Source assignment -- not individually reviewed</t>
        </is>
      </c>
      <c r="G1251" s="34" t="inlineStr">
        <is>
          <t>Not individually decided</t>
        </is>
      </c>
      <c r="H1251" s="34" t="inlineStr">
        <is>
          <t xml:space="preserve">APPROVED / ONE_TO_ONE; </t>
        </is>
      </c>
      <c r="I1251" s="34" t="inlineStr">
        <is>
          <t>New</t>
        </is>
      </c>
      <c r="J1251" s="92" t="inlineStr">
        <is>
          <t>08 CROSSWALK</t>
        </is>
      </c>
    </row>
    <row r="1252" ht="49" customHeight="1">
      <c r="A1252" s="34" t="inlineStr">
        <is>
          <t>R837-v1</t>
        </is>
      </c>
      <c r="B1252" s="34" t="inlineStr">
        <is>
          <t>Contractor Programme / SCH-05-117</t>
        </is>
      </c>
      <c r="C1252" s="34" t="inlineStr">
        <is>
          <t>WBS Code = 1.5.2</t>
        </is>
      </c>
      <c r="D1252" s="34" t="inlineStr">
        <is>
          <t>Proposed by Source assignment; target 1.5.2 Testing and Commissioning - Dynamic Testing</t>
        </is>
      </c>
      <c r="E1252" s="34" t="inlineStr">
        <is>
          <t>None recorded</t>
        </is>
      </c>
      <c r="F1252" s="34" t="inlineStr">
        <is>
          <t>No individual professional decision recorded; Source assignment -- not individually reviewed</t>
        </is>
      </c>
      <c r="G1252" s="34" t="inlineStr">
        <is>
          <t>Not individually decided</t>
        </is>
      </c>
      <c r="H1252" s="34" t="inlineStr">
        <is>
          <t xml:space="preserve">APPROVED / ONE_TO_ONE; </t>
        </is>
      </c>
      <c r="I1252" s="34" t="inlineStr">
        <is>
          <t>New</t>
        </is>
      </c>
      <c r="J1252" s="92" t="inlineStr">
        <is>
          <t>08 CROSSWALK</t>
        </is>
      </c>
    </row>
    <row r="1253" ht="49" customHeight="1">
      <c r="A1253" s="34" t="inlineStr">
        <is>
          <t>R840-v1</t>
        </is>
      </c>
      <c r="B1253" s="34" t="inlineStr">
        <is>
          <t>Contractor Programme / SCH-05-120</t>
        </is>
      </c>
      <c r="C1253" s="34" t="inlineStr">
        <is>
          <t>WBS Code = 1.5.2</t>
        </is>
      </c>
      <c r="D1253" s="34" t="inlineStr">
        <is>
          <t>Proposed by Source assignment; target 1.5.2 Testing and Commissioning - Dynamic Testing</t>
        </is>
      </c>
      <c r="E1253" s="34" t="inlineStr">
        <is>
          <t>None recorded</t>
        </is>
      </c>
      <c r="F1253" s="34" t="inlineStr">
        <is>
          <t>No individual professional decision recorded; Source assignment -- not individually reviewed</t>
        </is>
      </c>
      <c r="G1253" s="34" t="inlineStr">
        <is>
          <t>Not individually decided</t>
        </is>
      </c>
      <c r="H1253" s="34" t="inlineStr">
        <is>
          <t xml:space="preserve">APPROVED / ONE_TO_ONE; </t>
        </is>
      </c>
      <c r="I1253" s="34" t="inlineStr">
        <is>
          <t>New</t>
        </is>
      </c>
      <c r="J1253" s="92" t="inlineStr">
        <is>
          <t>08 CROSSWALK</t>
        </is>
      </c>
    </row>
    <row r="1254" ht="49" customHeight="1">
      <c r="A1254" s="34" t="inlineStr">
        <is>
          <t>R843-v1</t>
        </is>
      </c>
      <c r="B1254" s="34" t="inlineStr">
        <is>
          <t>Contractor Programme / SCH-05-123</t>
        </is>
      </c>
      <c r="C1254" s="34" t="inlineStr">
        <is>
          <t>WBS Code = 1.5.2</t>
        </is>
      </c>
      <c r="D1254" s="34" t="inlineStr">
        <is>
          <t>Proposed by Source assignment; target 1.5.2 Testing and Commissioning - Dynamic Testing</t>
        </is>
      </c>
      <c r="E1254" s="34" t="inlineStr">
        <is>
          <t>None recorded</t>
        </is>
      </c>
      <c r="F1254" s="34" t="inlineStr">
        <is>
          <t>No individual professional decision recorded; Source assignment -- not individually reviewed</t>
        </is>
      </c>
      <c r="G1254" s="34" t="inlineStr">
        <is>
          <t>Not individually decided</t>
        </is>
      </c>
      <c r="H1254" s="34" t="inlineStr">
        <is>
          <t xml:space="preserve">APPROVED / ONE_TO_ONE; </t>
        </is>
      </c>
      <c r="I1254" s="34" t="inlineStr">
        <is>
          <t>New</t>
        </is>
      </c>
      <c r="J1254" s="92" t="inlineStr">
        <is>
          <t>08 CROSSWALK</t>
        </is>
      </c>
    </row>
    <row r="1255" ht="49" customHeight="1">
      <c r="A1255" s="34" t="inlineStr">
        <is>
          <t>R846-v1</t>
        </is>
      </c>
      <c r="B1255" s="34" t="inlineStr">
        <is>
          <t>Contractor Programme / SCH-05-126</t>
        </is>
      </c>
      <c r="C1255" s="34" t="inlineStr">
        <is>
          <t>WBS Code = 1.5.2</t>
        </is>
      </c>
      <c r="D1255" s="34" t="inlineStr">
        <is>
          <t>Proposed by Source assignment; target 1.5.2 Testing and Commissioning - Dynamic Testing</t>
        </is>
      </c>
      <c r="E1255" s="34" t="inlineStr">
        <is>
          <t>None recorded</t>
        </is>
      </c>
      <c r="F1255" s="34" t="inlineStr">
        <is>
          <t>No individual professional decision recorded; Source assignment -- not individually reviewed</t>
        </is>
      </c>
      <c r="G1255" s="34" t="inlineStr">
        <is>
          <t>Not individually decided</t>
        </is>
      </c>
      <c r="H1255" s="34" t="inlineStr">
        <is>
          <t xml:space="preserve">APPROVED / ONE_TO_ONE; </t>
        </is>
      </c>
      <c r="I1255" s="34" t="inlineStr">
        <is>
          <t>New</t>
        </is>
      </c>
      <c r="J1255" s="92" t="inlineStr">
        <is>
          <t>08 CROSSWALK</t>
        </is>
      </c>
    </row>
    <row r="1256" ht="49" customHeight="1">
      <c r="A1256" s="34" t="inlineStr">
        <is>
          <t>R849-v1</t>
        </is>
      </c>
      <c r="B1256" s="34" t="inlineStr">
        <is>
          <t>Contractor Programme / SCH-05-129</t>
        </is>
      </c>
      <c r="C1256" s="34" t="inlineStr">
        <is>
          <t>WBS Code = 1.5.2</t>
        </is>
      </c>
      <c r="D1256" s="34" t="inlineStr">
        <is>
          <t>Proposed by Source assignment; target 1.5.2 Testing and Commissioning - Dynamic Testing</t>
        </is>
      </c>
      <c r="E1256" s="34" t="inlineStr">
        <is>
          <t>None recorded</t>
        </is>
      </c>
      <c r="F1256" s="34" t="inlineStr">
        <is>
          <t>No individual professional decision recorded; Source assignment -- not individually reviewed</t>
        </is>
      </c>
      <c r="G1256" s="34" t="inlineStr">
        <is>
          <t>Not individually decided</t>
        </is>
      </c>
      <c r="H1256" s="34" t="inlineStr">
        <is>
          <t xml:space="preserve">APPROVED / ONE_TO_ONE; </t>
        </is>
      </c>
      <c r="I1256" s="34" t="inlineStr">
        <is>
          <t>New</t>
        </is>
      </c>
      <c r="J1256" s="92" t="inlineStr">
        <is>
          <t>08 CROSSWALK</t>
        </is>
      </c>
    </row>
    <row r="1257" ht="49" customHeight="1">
      <c r="A1257" s="34" t="inlineStr">
        <is>
          <t>R852-v1</t>
        </is>
      </c>
      <c r="B1257" s="34" t="inlineStr">
        <is>
          <t>Contractor Programme / SCH-05-132</t>
        </is>
      </c>
      <c r="C1257" s="34" t="inlineStr">
        <is>
          <t>WBS Code = 1.5.2</t>
        </is>
      </c>
      <c r="D1257" s="34" t="inlineStr">
        <is>
          <t>Proposed by Source assignment; target 1.5.2 Testing and Commissioning - Dynamic Testing</t>
        </is>
      </c>
      <c r="E1257" s="34" t="inlineStr">
        <is>
          <t>None recorded</t>
        </is>
      </c>
      <c r="F1257" s="34" t="inlineStr">
        <is>
          <t>No individual professional decision recorded; Source assignment -- not individually reviewed</t>
        </is>
      </c>
      <c r="G1257" s="34" t="inlineStr">
        <is>
          <t>Not individually decided</t>
        </is>
      </c>
      <c r="H1257" s="34" t="inlineStr">
        <is>
          <t xml:space="preserve">APPROVED / ONE_TO_ONE; </t>
        </is>
      </c>
      <c r="I1257" s="34" t="inlineStr">
        <is>
          <t>New</t>
        </is>
      </c>
      <c r="J1257" s="92" t="inlineStr">
        <is>
          <t>08 CROSSWALK</t>
        </is>
      </c>
    </row>
    <row r="1258" ht="49" customHeight="1">
      <c r="A1258" s="34" t="inlineStr">
        <is>
          <t>R855-v1</t>
        </is>
      </c>
      <c r="B1258" s="34" t="inlineStr">
        <is>
          <t>Contractor Programme / SCH-05-135</t>
        </is>
      </c>
      <c r="C1258" s="34" t="inlineStr">
        <is>
          <t>WBS Code = 1.5.2</t>
        </is>
      </c>
      <c r="D1258" s="34" t="inlineStr">
        <is>
          <t>Proposed by Source assignment; target 1.5.2 Testing and Commissioning - Dynamic Testing</t>
        </is>
      </c>
      <c r="E1258" s="34" t="inlineStr">
        <is>
          <t>None recorded</t>
        </is>
      </c>
      <c r="F1258" s="34" t="inlineStr">
        <is>
          <t>No individual professional decision recorded; Source assignment -- not individually reviewed</t>
        </is>
      </c>
      <c r="G1258" s="34" t="inlineStr">
        <is>
          <t>Not individually decided</t>
        </is>
      </c>
      <c r="H1258" s="34" t="inlineStr">
        <is>
          <t xml:space="preserve">APPROVED / ONE_TO_ONE; </t>
        </is>
      </c>
      <c r="I1258" s="34" t="inlineStr">
        <is>
          <t>New</t>
        </is>
      </c>
      <c r="J1258" s="92" t="inlineStr">
        <is>
          <t>08 CROSSWALK</t>
        </is>
      </c>
    </row>
    <row r="1259" ht="49" customHeight="1">
      <c r="A1259" s="34" t="inlineStr">
        <is>
          <t>R858-v1</t>
        </is>
      </c>
      <c r="B1259" s="34" t="inlineStr">
        <is>
          <t>Contractor Programme / SCH-05-138</t>
        </is>
      </c>
      <c r="C1259" s="34" t="inlineStr">
        <is>
          <t>WBS Code = 1.5.2</t>
        </is>
      </c>
      <c r="D1259" s="34" t="inlineStr">
        <is>
          <t>Proposed by Source assignment; target 1.5.2 Testing and Commissioning - Dynamic Testing</t>
        </is>
      </c>
      <c r="E1259" s="34" t="inlineStr">
        <is>
          <t>None recorded</t>
        </is>
      </c>
      <c r="F1259" s="34" t="inlineStr">
        <is>
          <t>No individual professional decision recorded; Source assignment -- not individually reviewed</t>
        </is>
      </c>
      <c r="G1259" s="34" t="inlineStr">
        <is>
          <t>Not individually decided</t>
        </is>
      </c>
      <c r="H1259" s="34" t="inlineStr">
        <is>
          <t xml:space="preserve">APPROVED / ONE_TO_ONE; </t>
        </is>
      </c>
      <c r="I1259" s="34" t="inlineStr">
        <is>
          <t>New</t>
        </is>
      </c>
      <c r="J1259" s="92" t="inlineStr">
        <is>
          <t>08 CROSSWALK</t>
        </is>
      </c>
    </row>
    <row r="1260" ht="49" customHeight="1">
      <c r="A1260" s="34" t="inlineStr">
        <is>
          <t>R861-v1</t>
        </is>
      </c>
      <c r="B1260" s="34" t="inlineStr">
        <is>
          <t>Contractor Programme / SCH-05-141</t>
        </is>
      </c>
      <c r="C1260" s="34" t="inlineStr">
        <is>
          <t>WBS Code = 1.5.2</t>
        </is>
      </c>
      <c r="D1260" s="34" t="inlineStr">
        <is>
          <t>Proposed by Source assignment; target 1.5.2 Testing and Commissioning - Dynamic Testing</t>
        </is>
      </c>
      <c r="E1260" s="34" t="inlineStr">
        <is>
          <t>None recorded</t>
        </is>
      </c>
      <c r="F1260" s="34" t="inlineStr">
        <is>
          <t>No individual professional decision recorded; Source assignment -- not individually reviewed</t>
        </is>
      </c>
      <c r="G1260" s="34" t="inlineStr">
        <is>
          <t>Not individually decided</t>
        </is>
      </c>
      <c r="H1260" s="34" t="inlineStr">
        <is>
          <t xml:space="preserve">APPROVED / ONE_TO_ONE; </t>
        </is>
      </c>
      <c r="I1260" s="34" t="inlineStr">
        <is>
          <t>New</t>
        </is>
      </c>
      <c r="J1260" s="92" t="inlineStr">
        <is>
          <t>08 CROSSWALK</t>
        </is>
      </c>
    </row>
    <row r="1261" ht="49" customHeight="1">
      <c r="A1261" s="34" t="inlineStr">
        <is>
          <t>R864-v1</t>
        </is>
      </c>
      <c r="B1261" s="34" t="inlineStr">
        <is>
          <t>Contractor Programme / SCH-05-144</t>
        </is>
      </c>
      <c r="C1261" s="34" t="inlineStr">
        <is>
          <t>WBS Code = 1.5.2</t>
        </is>
      </c>
      <c r="D1261" s="34" t="inlineStr">
        <is>
          <t>Proposed by Source assignment; target 1.5.2 Testing and Commissioning - Dynamic Testing</t>
        </is>
      </c>
      <c r="E1261" s="34" t="inlineStr">
        <is>
          <t>None recorded</t>
        </is>
      </c>
      <c r="F1261" s="34" t="inlineStr">
        <is>
          <t>No individual professional decision recorded; Source assignment -- not individually reviewed</t>
        </is>
      </c>
      <c r="G1261" s="34" t="inlineStr">
        <is>
          <t>Not individually decided</t>
        </is>
      </c>
      <c r="H1261" s="34" t="inlineStr">
        <is>
          <t xml:space="preserve">APPROVED / ONE_TO_ONE; </t>
        </is>
      </c>
      <c r="I1261" s="34" t="inlineStr">
        <is>
          <t>New</t>
        </is>
      </c>
      <c r="J1261" s="92" t="inlineStr">
        <is>
          <t>08 CROSSWALK</t>
        </is>
      </c>
    </row>
    <row r="1262" ht="49" customHeight="1">
      <c r="A1262" s="34" t="inlineStr">
        <is>
          <t>R867-v1</t>
        </is>
      </c>
      <c r="B1262" s="34" t="inlineStr">
        <is>
          <t>Contractor Programme / SCH-05-147</t>
        </is>
      </c>
      <c r="C1262" s="34" t="inlineStr">
        <is>
          <t>WBS Code = 1.5.2</t>
        </is>
      </c>
      <c r="D1262" s="34" t="inlineStr">
        <is>
          <t>Proposed by Source assignment; target 1.5.2 Testing and Commissioning - Dynamic Testing</t>
        </is>
      </c>
      <c r="E1262" s="34" t="inlineStr">
        <is>
          <t>None recorded</t>
        </is>
      </c>
      <c r="F1262" s="34" t="inlineStr">
        <is>
          <t>No individual professional decision recorded; Source assignment -- not individually reviewed</t>
        </is>
      </c>
      <c r="G1262" s="34" t="inlineStr">
        <is>
          <t>Not individually decided</t>
        </is>
      </c>
      <c r="H1262" s="34" t="inlineStr">
        <is>
          <t xml:space="preserve">APPROVED / ONE_TO_ONE; </t>
        </is>
      </c>
      <c r="I1262" s="34" t="inlineStr">
        <is>
          <t>New</t>
        </is>
      </c>
      <c r="J1262" s="92" t="inlineStr">
        <is>
          <t>08 CROSSWALK</t>
        </is>
      </c>
    </row>
    <row r="1263" ht="49" customHeight="1">
      <c r="A1263" s="34" t="inlineStr">
        <is>
          <t>R870-v1</t>
        </is>
      </c>
      <c r="B1263" s="34" t="inlineStr">
        <is>
          <t>Contractor Programme / SCH-05-150</t>
        </is>
      </c>
      <c r="C1263" s="34" t="inlineStr">
        <is>
          <t>WBS Code = 1.5.2</t>
        </is>
      </c>
      <c r="D1263" s="34" t="inlineStr">
        <is>
          <t>Proposed by Source assignment; target 1.5.2 Testing and Commissioning - Dynamic Testing</t>
        </is>
      </c>
      <c r="E1263" s="34" t="inlineStr">
        <is>
          <t>None recorded</t>
        </is>
      </c>
      <c r="F1263" s="34" t="inlineStr">
        <is>
          <t>No individual professional decision recorded; Source assignment -- not individually reviewed</t>
        </is>
      </c>
      <c r="G1263" s="34" t="inlineStr">
        <is>
          <t>Not individually decided</t>
        </is>
      </c>
      <c r="H1263" s="34" t="inlineStr">
        <is>
          <t xml:space="preserve">APPROVED / ONE_TO_ONE; </t>
        </is>
      </c>
      <c r="I1263" s="34" t="inlineStr">
        <is>
          <t>New</t>
        </is>
      </c>
      <c r="J1263" s="92" t="inlineStr">
        <is>
          <t>08 CROSSWALK</t>
        </is>
      </c>
    </row>
    <row r="1264" ht="49" customHeight="1">
      <c r="A1264" s="34" t="inlineStr">
        <is>
          <t>R873-v1</t>
        </is>
      </c>
      <c r="B1264" s="34" t="inlineStr">
        <is>
          <t>Contractor Programme / SCH-05-153</t>
        </is>
      </c>
      <c r="C1264" s="34" t="inlineStr">
        <is>
          <t>WBS Code = 1.5.2</t>
        </is>
      </c>
      <c r="D1264" s="34" t="inlineStr">
        <is>
          <t>Proposed by Source assignment; target 1.5.2 Testing and Commissioning - Dynamic Testing</t>
        </is>
      </c>
      <c r="E1264" s="34" t="inlineStr">
        <is>
          <t>None recorded</t>
        </is>
      </c>
      <c r="F1264" s="34" t="inlineStr">
        <is>
          <t>No individual professional decision recorded; Source assignment -- not individually reviewed</t>
        </is>
      </c>
      <c r="G1264" s="34" t="inlineStr">
        <is>
          <t>Not individually decided</t>
        </is>
      </c>
      <c r="H1264" s="34" t="inlineStr">
        <is>
          <t xml:space="preserve">APPROVED / ONE_TO_ONE; </t>
        </is>
      </c>
      <c r="I1264" s="34" t="inlineStr">
        <is>
          <t>New</t>
        </is>
      </c>
      <c r="J1264" s="92" t="inlineStr">
        <is>
          <t>08 CROSSWALK</t>
        </is>
      </c>
    </row>
    <row r="1265" ht="49" customHeight="1">
      <c r="A1265" s="34" t="inlineStr">
        <is>
          <t>R876-v1</t>
        </is>
      </c>
      <c r="B1265" s="34" t="inlineStr">
        <is>
          <t>Contractor Programme / SCH-05-156</t>
        </is>
      </c>
      <c r="C1265" s="34" t="inlineStr">
        <is>
          <t>WBS Code = 1.5.2</t>
        </is>
      </c>
      <c r="D1265" s="34" t="inlineStr">
        <is>
          <t>Proposed by Source assignment; target 1.5.2 Testing and Commissioning - Dynamic Testing</t>
        </is>
      </c>
      <c r="E1265" s="34" t="inlineStr">
        <is>
          <t>None recorded</t>
        </is>
      </c>
      <c r="F1265" s="34" t="inlineStr">
        <is>
          <t>No individual professional decision recorded; Source assignment -- not individually reviewed</t>
        </is>
      </c>
      <c r="G1265" s="34" t="inlineStr">
        <is>
          <t>Not individually decided</t>
        </is>
      </c>
      <c r="H1265" s="34" t="inlineStr">
        <is>
          <t xml:space="preserve">APPROVED / ONE_TO_ONE; </t>
        </is>
      </c>
      <c r="I1265" s="34" t="inlineStr">
        <is>
          <t>New</t>
        </is>
      </c>
      <c r="J1265" s="92" t="inlineStr">
        <is>
          <t>08 CROSSWALK</t>
        </is>
      </c>
    </row>
    <row r="1266" ht="49" customHeight="1">
      <c r="A1266" s="34" t="inlineStr">
        <is>
          <t>R879-v1</t>
        </is>
      </c>
      <c r="B1266" s="34" t="inlineStr">
        <is>
          <t>Contractor Programme / SCH-05-159</t>
        </is>
      </c>
      <c r="C1266" s="34" t="inlineStr">
        <is>
          <t>WBS Code = 1.5.2</t>
        </is>
      </c>
      <c r="D1266" s="34" t="inlineStr">
        <is>
          <t>Proposed by Source assignment; target 1.5.2 Testing and Commissioning - Dynamic Testing</t>
        </is>
      </c>
      <c r="E1266" s="34" t="inlineStr">
        <is>
          <t>None recorded</t>
        </is>
      </c>
      <c r="F1266" s="34" t="inlineStr">
        <is>
          <t>No individual professional decision recorded; Source assignment -- not individually reviewed</t>
        </is>
      </c>
      <c r="G1266" s="34" t="inlineStr">
        <is>
          <t>Not individually decided</t>
        </is>
      </c>
      <c r="H1266" s="34" t="inlineStr">
        <is>
          <t xml:space="preserve">APPROVED / ONE_TO_ONE; </t>
        </is>
      </c>
      <c r="I1266" s="34" t="inlineStr">
        <is>
          <t>New</t>
        </is>
      </c>
      <c r="J1266" s="92" t="inlineStr">
        <is>
          <t>08 CROSSWALK</t>
        </is>
      </c>
    </row>
    <row r="1267" ht="49" customHeight="1">
      <c r="A1267" s="34" t="inlineStr">
        <is>
          <t>R882-v1</t>
        </is>
      </c>
      <c r="B1267" s="34" t="inlineStr">
        <is>
          <t>Contractor Programme / SCH-05-162</t>
        </is>
      </c>
      <c r="C1267" s="34" t="inlineStr">
        <is>
          <t>WBS Code = 1.5.2</t>
        </is>
      </c>
      <c r="D1267" s="34" t="inlineStr">
        <is>
          <t>Proposed by Source assignment; target 1.5.2 Testing and Commissioning - Dynamic Testing</t>
        </is>
      </c>
      <c r="E1267" s="34" t="inlineStr">
        <is>
          <t>None recorded</t>
        </is>
      </c>
      <c r="F1267" s="34" t="inlineStr">
        <is>
          <t>No individual professional decision recorded; Source assignment -- not individually reviewed</t>
        </is>
      </c>
      <c r="G1267" s="34" t="inlineStr">
        <is>
          <t>Not individually decided</t>
        </is>
      </c>
      <c r="H1267" s="34" t="inlineStr">
        <is>
          <t xml:space="preserve">APPROVED / ONE_TO_ONE; </t>
        </is>
      </c>
      <c r="I1267" s="34" t="inlineStr">
        <is>
          <t>New</t>
        </is>
      </c>
      <c r="J1267" s="92" t="inlineStr">
        <is>
          <t>08 CROSSWALK</t>
        </is>
      </c>
    </row>
    <row r="1268" ht="49" customHeight="1">
      <c r="A1268" s="34" t="inlineStr">
        <is>
          <t>R885-v1</t>
        </is>
      </c>
      <c r="B1268" s="34" t="inlineStr">
        <is>
          <t>Contractor Programme / SCH-05-165</t>
        </is>
      </c>
      <c r="C1268" s="34" t="inlineStr">
        <is>
          <t>WBS Code = 1.5.2</t>
        </is>
      </c>
      <c r="D1268" s="34" t="inlineStr">
        <is>
          <t>Proposed by Source assignment; target 1.5.2 Testing and Commissioning - Dynamic Testing</t>
        </is>
      </c>
      <c r="E1268" s="34" t="inlineStr">
        <is>
          <t>None recorded</t>
        </is>
      </c>
      <c r="F1268" s="34" t="inlineStr">
        <is>
          <t>No individual professional decision recorded; Source assignment -- not individually reviewed</t>
        </is>
      </c>
      <c r="G1268" s="34" t="inlineStr">
        <is>
          <t>Not individually decided</t>
        </is>
      </c>
      <c r="H1268" s="34" t="inlineStr">
        <is>
          <t xml:space="preserve">APPROVED / ONE_TO_ONE; </t>
        </is>
      </c>
      <c r="I1268" s="34" t="inlineStr">
        <is>
          <t>New</t>
        </is>
      </c>
      <c r="J1268" s="92" t="inlineStr">
        <is>
          <t>08 CROSSWALK</t>
        </is>
      </c>
    </row>
    <row r="1269" ht="49" customHeight="1">
      <c r="A1269" s="34" t="inlineStr">
        <is>
          <t>R888-v1</t>
        </is>
      </c>
      <c r="B1269" s="34" t="inlineStr">
        <is>
          <t>Contractor Programme / SCH-05-168</t>
        </is>
      </c>
      <c r="C1269" s="34" t="inlineStr">
        <is>
          <t>WBS Code = 1.5.2</t>
        </is>
      </c>
      <c r="D1269" s="34" t="inlineStr">
        <is>
          <t>Proposed by Source assignment; target 1.5.2 Testing and Commissioning - Dynamic Testing</t>
        </is>
      </c>
      <c r="E1269" s="34" t="inlineStr">
        <is>
          <t>None recorded</t>
        </is>
      </c>
      <c r="F1269" s="34" t="inlineStr">
        <is>
          <t>No individual professional decision recorded; Source assignment -- not individually reviewed</t>
        </is>
      </c>
      <c r="G1269" s="34" t="inlineStr">
        <is>
          <t>Not individually decided</t>
        </is>
      </c>
      <c r="H1269" s="34" t="inlineStr">
        <is>
          <t xml:space="preserve">APPROVED / ONE_TO_ONE; </t>
        </is>
      </c>
      <c r="I1269" s="34" t="inlineStr">
        <is>
          <t>New</t>
        </is>
      </c>
      <c r="J1269" s="92" t="inlineStr">
        <is>
          <t>08 CROSSWALK</t>
        </is>
      </c>
    </row>
    <row r="1270" ht="49" customHeight="1">
      <c r="A1270" s="34" t="inlineStr">
        <is>
          <t>R891-v1</t>
        </is>
      </c>
      <c r="B1270" s="34" t="inlineStr">
        <is>
          <t>Contractor Programme / SCH-05-171</t>
        </is>
      </c>
      <c r="C1270" s="34" t="inlineStr">
        <is>
          <t>WBS Code = 1.5.2</t>
        </is>
      </c>
      <c r="D1270" s="34" t="inlineStr">
        <is>
          <t>Proposed by Source assignment; target 1.5.2 Testing and Commissioning - Dynamic Testing</t>
        </is>
      </c>
      <c r="E1270" s="34" t="inlineStr">
        <is>
          <t>None recorded</t>
        </is>
      </c>
      <c r="F1270" s="34" t="inlineStr">
        <is>
          <t>No individual professional decision recorded; Source assignment -- not individually reviewed</t>
        </is>
      </c>
      <c r="G1270" s="34" t="inlineStr">
        <is>
          <t>Not individually decided</t>
        </is>
      </c>
      <c r="H1270" s="34" t="inlineStr">
        <is>
          <t xml:space="preserve">APPROVED / ONE_TO_ONE; </t>
        </is>
      </c>
      <c r="I1270" s="34" t="inlineStr">
        <is>
          <t>New</t>
        </is>
      </c>
      <c r="J1270" s="92" t="inlineStr">
        <is>
          <t>08 CROSSWALK</t>
        </is>
      </c>
    </row>
    <row r="1271" ht="49" customHeight="1">
      <c r="A1271" s="34" t="inlineStr">
        <is>
          <t>R894-v1</t>
        </is>
      </c>
      <c r="B1271" s="34" t="inlineStr">
        <is>
          <t>Contractor Programme / SCH-05-174</t>
        </is>
      </c>
      <c r="C1271" s="34" t="inlineStr">
        <is>
          <t>WBS Code = 1.5.2</t>
        </is>
      </c>
      <c r="D1271" s="34" t="inlineStr">
        <is>
          <t>Proposed by Source assignment; target 1.5.2 Testing and Commissioning - Dynamic Testing</t>
        </is>
      </c>
      <c r="E1271" s="34" t="inlineStr">
        <is>
          <t>None recorded</t>
        </is>
      </c>
      <c r="F1271" s="34" t="inlineStr">
        <is>
          <t>No individual professional decision recorded; Source assignment -- not individually reviewed</t>
        </is>
      </c>
      <c r="G1271" s="34" t="inlineStr">
        <is>
          <t>Not individually decided</t>
        </is>
      </c>
      <c r="H1271" s="34" t="inlineStr">
        <is>
          <t xml:space="preserve">APPROVED / ONE_TO_ONE; </t>
        </is>
      </c>
      <c r="I1271" s="34" t="inlineStr">
        <is>
          <t>New</t>
        </is>
      </c>
      <c r="J1271" s="92" t="inlineStr">
        <is>
          <t>08 CROSSWALK</t>
        </is>
      </c>
    </row>
    <row r="1272" ht="49" customHeight="1">
      <c r="A1272" s="34" t="inlineStr">
        <is>
          <t>R897-v1</t>
        </is>
      </c>
      <c r="B1272" s="34" t="inlineStr">
        <is>
          <t>Contractor Programme / SCH-05-177</t>
        </is>
      </c>
      <c r="C1272" s="34" t="inlineStr">
        <is>
          <t>WBS Code = 1.5.2</t>
        </is>
      </c>
      <c r="D1272" s="34" t="inlineStr">
        <is>
          <t>Proposed by Source assignment; target 1.5.2 Testing and Commissioning - Dynamic Testing</t>
        </is>
      </c>
      <c r="E1272" s="34" t="inlineStr">
        <is>
          <t>None recorded</t>
        </is>
      </c>
      <c r="F1272" s="34" t="inlineStr">
        <is>
          <t>No individual professional decision recorded; Source assignment -- not individually reviewed</t>
        </is>
      </c>
      <c r="G1272" s="34" t="inlineStr">
        <is>
          <t>Not individually decided</t>
        </is>
      </c>
      <c r="H1272" s="34" t="inlineStr">
        <is>
          <t xml:space="preserve">APPROVED / ONE_TO_ONE; </t>
        </is>
      </c>
      <c r="I1272" s="34" t="inlineStr">
        <is>
          <t>New</t>
        </is>
      </c>
      <c r="J1272" s="92" t="inlineStr">
        <is>
          <t>08 CROSSWALK</t>
        </is>
      </c>
    </row>
    <row r="1273" ht="49" customHeight="1">
      <c r="A1273" s="34" t="inlineStr">
        <is>
          <t>R900-v1</t>
        </is>
      </c>
      <c r="B1273" s="34" t="inlineStr">
        <is>
          <t>Contractor Programme / SCH-05-180</t>
        </is>
      </c>
      <c r="C1273" s="34" t="inlineStr">
        <is>
          <t>WBS Code = 1.5.2</t>
        </is>
      </c>
      <c r="D1273" s="34" t="inlineStr">
        <is>
          <t>Proposed by Source assignment; target 1.5.2 Testing and Commissioning - Dynamic Testing</t>
        </is>
      </c>
      <c r="E1273" s="34" t="inlineStr">
        <is>
          <t>None recorded</t>
        </is>
      </c>
      <c r="F1273" s="34" t="inlineStr">
        <is>
          <t>No individual professional decision recorded; Source assignment -- not individually reviewed</t>
        </is>
      </c>
      <c r="G1273" s="34" t="inlineStr">
        <is>
          <t>Not individually decided</t>
        </is>
      </c>
      <c r="H1273" s="34" t="inlineStr">
        <is>
          <t xml:space="preserve">APPROVED / ONE_TO_ONE; </t>
        </is>
      </c>
      <c r="I1273" s="34" t="inlineStr">
        <is>
          <t>New</t>
        </is>
      </c>
      <c r="J1273" s="92" t="inlineStr">
        <is>
          <t>08 CROSSWALK</t>
        </is>
      </c>
    </row>
    <row r="1274" ht="49" customHeight="1">
      <c r="A1274" s="34" t="inlineStr">
        <is>
          <t>R1613-v1</t>
        </is>
      </c>
      <c r="B1274" s="34" t="inlineStr">
        <is>
          <t>Commercial Package Register / PKG-051</t>
        </is>
      </c>
      <c r="C1274" s="34" t="inlineStr">
        <is>
          <t>Package Code = PK-601; WBS Code = 1.6</t>
        </is>
      </c>
      <c r="D1274" s="34" t="inlineStr">
        <is>
          <t>Proposed by Source assignment; target 1.6 Program Management</t>
        </is>
      </c>
      <c r="E1274" s="34" t="inlineStr">
        <is>
          <t>None recorded</t>
        </is>
      </c>
      <c r="F1274" s="34" t="inlineStr">
        <is>
          <t>No individual professional decision recorded; Source assignment -- not individually reviewed</t>
        </is>
      </c>
      <c r="G1274" s="34" t="inlineStr">
        <is>
          <t>Not individually decided</t>
        </is>
      </c>
      <c r="H1274" s="34" t="inlineStr">
        <is>
          <t xml:space="preserve">APPROVED / ONE_TO_ONE; </t>
        </is>
      </c>
      <c r="I1274" s="34" t="inlineStr">
        <is>
          <t>New</t>
        </is>
      </c>
      <c r="J1274" s="92" t="inlineStr">
        <is>
          <t>08 CROSSWALK</t>
        </is>
      </c>
    </row>
    <row r="1275" ht="49" customHeight="1">
      <c r="A1275" s="34" t="inlineStr">
        <is>
          <t>R1614-v1</t>
        </is>
      </c>
      <c r="B1275" s="34" t="inlineStr">
        <is>
          <t>Commercial Package Register / PKG-052</t>
        </is>
      </c>
      <c r="C1275" s="34" t="inlineStr">
        <is>
          <t>Package Code = PK-602; WBS Code = 1.6</t>
        </is>
      </c>
      <c r="D1275" s="34" t="inlineStr">
        <is>
          <t>Proposed by Source assignment; target 1.6 Program Management</t>
        </is>
      </c>
      <c r="E1275" s="34" t="inlineStr">
        <is>
          <t>None recorded</t>
        </is>
      </c>
      <c r="F1275" s="34" t="inlineStr">
        <is>
          <t>No individual professional decision recorded; Source assignment -- not individually reviewed</t>
        </is>
      </c>
      <c r="G1275" s="34" t="inlineStr">
        <is>
          <t>Not individually decided</t>
        </is>
      </c>
      <c r="H1275" s="34" t="inlineStr">
        <is>
          <t xml:space="preserve">APPROVED / ONE_TO_ONE; </t>
        </is>
      </c>
      <c r="I1275" s="34" t="inlineStr">
        <is>
          <t>New</t>
        </is>
      </c>
      <c r="J1275" s="92" t="inlineStr">
        <is>
          <t>08 CROSSWALK</t>
        </is>
      </c>
    </row>
    <row r="1276" ht="49" customHeight="1">
      <c r="A1276" s="34" t="inlineStr">
        <is>
          <t>R1615-v1</t>
        </is>
      </c>
      <c r="B1276" s="34" t="inlineStr">
        <is>
          <t>Commercial Package Register / PKG-053</t>
        </is>
      </c>
      <c r="C1276" s="34" t="inlineStr">
        <is>
          <t>Package Code = PK-603; WBS Code = 1.6</t>
        </is>
      </c>
      <c r="D1276" s="34" t="inlineStr">
        <is>
          <t>Proposed by Source assignment; target 1.6 Program Management</t>
        </is>
      </c>
      <c r="E1276" s="34" t="inlineStr">
        <is>
          <t>None recorded</t>
        </is>
      </c>
      <c r="F1276" s="34" t="inlineStr">
        <is>
          <t>No individual professional decision recorded; Source assignment -- not individually reviewed</t>
        </is>
      </c>
      <c r="G1276" s="34" t="inlineStr">
        <is>
          <t>Not individually decided</t>
        </is>
      </c>
      <c r="H1276" s="34" t="inlineStr">
        <is>
          <t xml:space="preserve">APPROVED / ONE_TO_ONE; </t>
        </is>
      </c>
      <c r="I1276" s="34" t="inlineStr">
        <is>
          <t>New</t>
        </is>
      </c>
      <c r="J1276" s="92" t="inlineStr">
        <is>
          <t>08 CROSSWALK</t>
        </is>
      </c>
    </row>
    <row r="1277" ht="49" customHeight="1">
      <c r="A1277" s="34" t="inlineStr">
        <is>
          <t>R1616-v1</t>
        </is>
      </c>
      <c r="B1277" s="34" t="inlineStr">
        <is>
          <t>Commercial Package Register / PKG-054</t>
        </is>
      </c>
      <c r="C1277" s="34" t="inlineStr">
        <is>
          <t>Package Code = PK-604; WBS Code = 1.6</t>
        </is>
      </c>
      <c r="D1277" s="34" t="inlineStr">
        <is>
          <t>Proposed by Source assignment; target 1.6 Program Management</t>
        </is>
      </c>
      <c r="E1277" s="34" t="inlineStr">
        <is>
          <t>None recorded</t>
        </is>
      </c>
      <c r="F1277" s="34" t="inlineStr">
        <is>
          <t>No individual professional decision recorded; Source assignment -- not individually reviewed</t>
        </is>
      </c>
      <c r="G1277" s="34" t="inlineStr">
        <is>
          <t>Not individually decided</t>
        </is>
      </c>
      <c r="H1277" s="34" t="inlineStr">
        <is>
          <t xml:space="preserve">APPROVED / ONE_TO_ONE; </t>
        </is>
      </c>
      <c r="I1277" s="34" t="inlineStr">
        <is>
          <t>New</t>
        </is>
      </c>
      <c r="J1277" s="92" t="inlineStr">
        <is>
          <t>08 CROSSWALK</t>
        </is>
      </c>
    </row>
    <row r="1278" ht="49" customHeight="1">
      <c r="A1278" s="34" t="inlineStr">
        <is>
          <t>R1617-v1</t>
        </is>
      </c>
      <c r="B1278" s="34" t="inlineStr">
        <is>
          <t>Commercial Package Register / PKG-055</t>
        </is>
      </c>
      <c r="C1278" s="34" t="inlineStr">
        <is>
          <t>Package Code = PK-605; WBS Code = 1.6</t>
        </is>
      </c>
      <c r="D1278" s="34" t="inlineStr">
        <is>
          <t>Proposed by Source assignment; target 1.6 Program Management</t>
        </is>
      </c>
      <c r="E1278" s="34" t="inlineStr">
        <is>
          <t>None recorded</t>
        </is>
      </c>
      <c r="F1278" s="34" t="inlineStr">
        <is>
          <t>No individual professional decision recorded; Source assignment -- not individually reviewed</t>
        </is>
      </c>
      <c r="G1278" s="34" t="inlineStr">
        <is>
          <t>Not individually decided</t>
        </is>
      </c>
      <c r="H1278" s="34" t="inlineStr">
        <is>
          <t xml:space="preserve">APPROVED / ONE_TO_ONE; </t>
        </is>
      </c>
      <c r="I1278" s="34" t="inlineStr">
        <is>
          <t>New</t>
        </is>
      </c>
      <c r="J1278" s="92" t="inlineStr">
        <is>
          <t>08 CROSSWALK</t>
        </is>
      </c>
    </row>
    <row r="1279" ht="49" customHeight="1">
      <c r="A1279" s="34" t="inlineStr">
        <is>
          <t>R1618-v1</t>
        </is>
      </c>
      <c r="B1279" s="34" t="inlineStr">
        <is>
          <t>Commercial Package Register / PKG-056</t>
        </is>
      </c>
      <c r="C1279" s="34" t="inlineStr">
        <is>
          <t>Package Code = PK-606; WBS Code = 1.6</t>
        </is>
      </c>
      <c r="D1279" s="34" t="inlineStr">
        <is>
          <t>Proposed by Source assignment; target 1.6 Program Management</t>
        </is>
      </c>
      <c r="E1279" s="34" t="inlineStr">
        <is>
          <t>None recorded</t>
        </is>
      </c>
      <c r="F1279" s="34" t="inlineStr">
        <is>
          <t>No individual professional decision recorded; Source assignment -- not individually reviewed</t>
        </is>
      </c>
      <c r="G1279" s="34" t="inlineStr">
        <is>
          <t>Not individually decided</t>
        </is>
      </c>
      <c r="H1279" s="34" t="inlineStr">
        <is>
          <t xml:space="preserve">APPROVED / ONE_TO_ONE; </t>
        </is>
      </c>
      <c r="I1279" s="34" t="inlineStr">
        <is>
          <t>New</t>
        </is>
      </c>
      <c r="J1279" s="92" t="inlineStr">
        <is>
          <t>08 CROSSWALK</t>
        </is>
      </c>
    </row>
    <row r="1280" ht="49" customHeight="1">
      <c r="A1280" s="34" t="inlineStr">
        <is>
          <t>R1619-v1</t>
        </is>
      </c>
      <c r="B1280" s="34" t="inlineStr">
        <is>
          <t>Commercial Package Register / PKG-057</t>
        </is>
      </c>
      <c r="C1280" s="34" t="inlineStr">
        <is>
          <t>Package Code = PK-607; WBS Code = 1.6</t>
        </is>
      </c>
      <c r="D1280" s="34" t="inlineStr">
        <is>
          <t>Proposed by Source assignment; target 1.6 Program Management</t>
        </is>
      </c>
      <c r="E1280" s="34" t="inlineStr">
        <is>
          <t>None recorded</t>
        </is>
      </c>
      <c r="F1280" s="34" t="inlineStr">
        <is>
          <t>No individual professional decision recorded; Source assignment -- not individually reviewed</t>
        </is>
      </c>
      <c r="G1280" s="34" t="inlineStr">
        <is>
          <t>Not individually decided</t>
        </is>
      </c>
      <c r="H1280" s="34" t="inlineStr">
        <is>
          <t xml:space="preserve">APPROVED / ONE_TO_ONE; </t>
        </is>
      </c>
      <c r="I1280" s="34" t="inlineStr">
        <is>
          <t>New</t>
        </is>
      </c>
      <c r="J1280" s="92" t="inlineStr">
        <is>
          <t>08 CROSSWALK</t>
        </is>
      </c>
    </row>
    <row r="1281" ht="49" customHeight="1">
      <c r="A1281" s="34" t="inlineStr">
        <is>
          <t>R1620-v1</t>
        </is>
      </c>
      <c r="B1281" s="34" t="inlineStr">
        <is>
          <t>Commercial Package Register / PKG-058</t>
        </is>
      </c>
      <c r="C1281" s="34" t="inlineStr">
        <is>
          <t>Package Code = PK-608; WBS Code = 1.6</t>
        </is>
      </c>
      <c r="D1281" s="34" t="inlineStr">
        <is>
          <t>Proposed by Source assignment; target 1.6 Program Management</t>
        </is>
      </c>
      <c r="E1281" s="34" t="inlineStr">
        <is>
          <t>None recorded</t>
        </is>
      </c>
      <c r="F1281" s="34" t="inlineStr">
        <is>
          <t>No individual professional decision recorded; Source assignment -- not individually reviewed</t>
        </is>
      </c>
      <c r="G1281" s="34" t="inlineStr">
        <is>
          <t>Not individually decided</t>
        </is>
      </c>
      <c r="H1281" s="34" t="inlineStr">
        <is>
          <t xml:space="preserve">APPROVED / ONE_TO_ONE; </t>
        </is>
      </c>
      <c r="I1281" s="34" t="inlineStr">
        <is>
          <t>New</t>
        </is>
      </c>
      <c r="J1281" s="92" t="inlineStr">
        <is>
          <t>08 CROSSWALK</t>
        </is>
      </c>
    </row>
    <row r="1282" ht="49" customHeight="1">
      <c r="A1282" s="34" t="inlineStr">
        <is>
          <t>R1621-v1</t>
        </is>
      </c>
      <c r="B1282" s="34" t="inlineStr">
        <is>
          <t>Commercial Package Register / PKG-059</t>
        </is>
      </c>
      <c r="C1282" s="34" t="inlineStr">
        <is>
          <t>Package Code = PK-609; WBS Code = 1.6</t>
        </is>
      </c>
      <c r="D1282" s="34" t="inlineStr">
        <is>
          <t>Proposed by Source assignment; target 1.6 Program Management</t>
        </is>
      </c>
      <c r="E1282" s="34" t="inlineStr">
        <is>
          <t>None recorded</t>
        </is>
      </c>
      <c r="F1282" s="34" t="inlineStr">
        <is>
          <t>No individual professional decision recorded; Source assignment -- not individually reviewed</t>
        </is>
      </c>
      <c r="G1282" s="34" t="inlineStr">
        <is>
          <t>Not individually decided</t>
        </is>
      </c>
      <c r="H1282" s="34" t="inlineStr">
        <is>
          <t xml:space="preserve">APPROVED / ONE_TO_ONE; </t>
        </is>
      </c>
      <c r="I1282" s="34" t="inlineStr">
        <is>
          <t>New</t>
        </is>
      </c>
      <c r="J1282" s="92" t="inlineStr">
        <is>
          <t>08 CROSSWALK</t>
        </is>
      </c>
    </row>
    <row r="1283" ht="49" customHeight="1">
      <c r="A1283" s="34" t="inlineStr">
        <is>
          <t>R1622-v1</t>
        </is>
      </c>
      <c r="B1283" s="34" t="inlineStr">
        <is>
          <t>Commercial Package Register / PKG-060</t>
        </is>
      </c>
      <c r="C1283" s="34" t="inlineStr">
        <is>
          <t>Package Code = PK-610; WBS Code = 1.6</t>
        </is>
      </c>
      <c r="D1283" s="34" t="inlineStr">
        <is>
          <t>Proposed by Source assignment; target 1.6 Program Management</t>
        </is>
      </c>
      <c r="E1283" s="34" t="inlineStr">
        <is>
          <t>None recorded</t>
        </is>
      </c>
      <c r="F1283" s="34" t="inlineStr">
        <is>
          <t>No individual professional decision recorded; Source assignment -- not individually reviewed</t>
        </is>
      </c>
      <c r="G1283" s="34" t="inlineStr">
        <is>
          <t>Not individually decided</t>
        </is>
      </c>
      <c r="H1283" s="34" t="inlineStr">
        <is>
          <t xml:space="preserve">APPROVED / ONE_TO_ONE; </t>
        </is>
      </c>
      <c r="I1283" s="34" t="inlineStr">
        <is>
          <t>New</t>
        </is>
      </c>
      <c r="J1283" s="92" t="inlineStr">
        <is>
          <t>08 CROSSWALK</t>
        </is>
      </c>
    </row>
    <row r="1284" ht="49" customHeight="1">
      <c r="A1284" s="34" t="inlineStr">
        <is>
          <t>R1483-v1</t>
        </is>
      </c>
      <c r="B1284" s="34" t="inlineStr">
        <is>
          <t>Cost &amp; Forecast Control Accounts / CST-06-001</t>
        </is>
      </c>
      <c r="C1284" s="34" t="inlineStr">
        <is>
          <t>Cost Account = CA-6001; WBS Code = 1.6.1</t>
        </is>
      </c>
      <c r="D1284" s="34" t="inlineStr">
        <is>
          <t>Proposed by Source assignment; target 1.6.1 Program Management - Program Controls</t>
        </is>
      </c>
      <c r="E1284" s="34" t="inlineStr">
        <is>
          <t>None recorded</t>
        </is>
      </c>
      <c r="F1284" s="34" t="inlineStr">
        <is>
          <t>No individual professional decision recorded; Source assignment -- not individually reviewed</t>
        </is>
      </c>
      <c r="G1284" s="34" t="inlineStr">
        <is>
          <t>Not individually decided</t>
        </is>
      </c>
      <c r="H1284" s="34" t="inlineStr">
        <is>
          <t xml:space="preserve">APPROVED / ONE_TO_ONE; </t>
        </is>
      </c>
      <c r="I1284" s="34" t="inlineStr">
        <is>
          <t>New</t>
        </is>
      </c>
      <c r="J1284" s="92" t="inlineStr">
        <is>
          <t>08 CROSSWALK</t>
        </is>
      </c>
    </row>
    <row r="1285" ht="49" customHeight="1">
      <c r="A1285" s="34" t="inlineStr">
        <is>
          <t>R1485-v1</t>
        </is>
      </c>
      <c r="B1285" s="34" t="inlineStr">
        <is>
          <t>Cost &amp; Forecast Control Accounts / CST-06-003</t>
        </is>
      </c>
      <c r="C1285" s="34" t="inlineStr">
        <is>
          <t>Cost Account = CA-6003; WBS Code = 1.6.1</t>
        </is>
      </c>
      <c r="D1285" s="34" t="inlineStr">
        <is>
          <t>Proposed by Source assignment; target 1.6.1 Program Management - Program Controls</t>
        </is>
      </c>
      <c r="E1285" s="34" t="inlineStr">
        <is>
          <t>None recorded</t>
        </is>
      </c>
      <c r="F1285" s="34" t="inlineStr">
        <is>
          <t>No individual professional decision recorded; Source assignment -- not individually reviewed</t>
        </is>
      </c>
      <c r="G1285" s="34" t="inlineStr">
        <is>
          <t>Not individually decided</t>
        </is>
      </c>
      <c r="H1285" s="34" t="inlineStr">
        <is>
          <t xml:space="preserve">APPROVED / ONE_TO_ONE; </t>
        </is>
      </c>
      <c r="I1285" s="34" t="inlineStr">
        <is>
          <t>New</t>
        </is>
      </c>
      <c r="J1285" s="92" t="inlineStr">
        <is>
          <t>08 CROSSWALK</t>
        </is>
      </c>
    </row>
    <row r="1286" ht="49" customHeight="1">
      <c r="A1286" s="34" t="inlineStr">
        <is>
          <t>R1487-v1</t>
        </is>
      </c>
      <c r="B1286" s="34" t="inlineStr">
        <is>
          <t>Cost &amp; Forecast Control Accounts / CST-06-005</t>
        </is>
      </c>
      <c r="C1286" s="34" t="inlineStr">
        <is>
          <t>Cost Account = CA-6005; WBS Code = 1.6.1</t>
        </is>
      </c>
      <c r="D1286" s="34" t="inlineStr">
        <is>
          <t>Proposed by Source assignment; target 1.6.1 Program Management - Program Controls</t>
        </is>
      </c>
      <c r="E1286" s="34" t="inlineStr">
        <is>
          <t>None recorded</t>
        </is>
      </c>
      <c r="F1286" s="34" t="inlineStr">
        <is>
          <t>No individual professional decision recorded; Source assignment -- not individually reviewed</t>
        </is>
      </c>
      <c r="G1286" s="34" t="inlineStr">
        <is>
          <t>Not individually decided</t>
        </is>
      </c>
      <c r="H1286" s="34" t="inlineStr">
        <is>
          <t xml:space="preserve">APPROVED / ONE_TO_ONE; </t>
        </is>
      </c>
      <c r="I1286" s="34" t="inlineStr">
        <is>
          <t>New</t>
        </is>
      </c>
      <c r="J1286" s="92" t="inlineStr">
        <is>
          <t>08 CROSSWALK</t>
        </is>
      </c>
    </row>
    <row r="1287" ht="49" customHeight="1">
      <c r="A1287" s="34" t="inlineStr">
        <is>
          <t>R1489-v1</t>
        </is>
      </c>
      <c r="B1287" s="34" t="inlineStr">
        <is>
          <t>Cost &amp; Forecast Control Accounts / CST-06-007</t>
        </is>
      </c>
      <c r="C1287" s="34" t="inlineStr">
        <is>
          <t>Cost Account = CA-6007; WBS Code = 1.6.1</t>
        </is>
      </c>
      <c r="D1287" s="34" t="inlineStr">
        <is>
          <t>Proposed by Source assignment; target 1.6.1 Program Management - Program Controls</t>
        </is>
      </c>
      <c r="E1287" s="34" t="inlineStr">
        <is>
          <t>None recorded</t>
        </is>
      </c>
      <c r="F1287" s="34" t="inlineStr">
        <is>
          <t>No individual professional decision recorded; Source assignment -- not individually reviewed</t>
        </is>
      </c>
      <c r="G1287" s="34" t="inlineStr">
        <is>
          <t>Not individually decided</t>
        </is>
      </c>
      <c r="H1287" s="34" t="inlineStr">
        <is>
          <t xml:space="preserve">APPROVED / ONE_TO_ONE; </t>
        </is>
      </c>
      <c r="I1287" s="34" t="inlineStr">
        <is>
          <t>New</t>
        </is>
      </c>
      <c r="J1287" s="92" t="inlineStr">
        <is>
          <t>08 CROSSWALK</t>
        </is>
      </c>
    </row>
    <row r="1288" ht="49" customHeight="1">
      <c r="A1288" s="34" t="inlineStr">
        <is>
          <t>R1491-v1</t>
        </is>
      </c>
      <c r="B1288" s="34" t="inlineStr">
        <is>
          <t>Cost &amp; Forecast Control Accounts / CST-06-009</t>
        </is>
      </c>
      <c r="C1288" s="34" t="inlineStr">
        <is>
          <t>Cost Account = CA-6009; WBS Code = 1.6.1</t>
        </is>
      </c>
      <c r="D1288" s="34" t="inlineStr">
        <is>
          <t>Proposed by Source assignment; target 1.6.1 Program Management - Program Controls</t>
        </is>
      </c>
      <c r="E1288" s="34" t="inlineStr">
        <is>
          <t>None recorded</t>
        </is>
      </c>
      <c r="F1288" s="34" t="inlineStr">
        <is>
          <t>No individual professional decision recorded; Source assignment -- not individually reviewed</t>
        </is>
      </c>
      <c r="G1288" s="34" t="inlineStr">
        <is>
          <t>Not individually decided</t>
        </is>
      </c>
      <c r="H1288" s="34" t="inlineStr">
        <is>
          <t xml:space="preserve">APPROVED / ONE_TO_ONE; </t>
        </is>
      </c>
      <c r="I1288" s="34" t="inlineStr">
        <is>
          <t>New</t>
        </is>
      </c>
      <c r="J1288" s="92" t="inlineStr">
        <is>
          <t>08 CROSSWALK</t>
        </is>
      </c>
    </row>
    <row r="1289" ht="49" customHeight="1">
      <c r="A1289" s="34" t="inlineStr">
        <is>
          <t>R1493-v1</t>
        </is>
      </c>
      <c r="B1289" s="34" t="inlineStr">
        <is>
          <t>Cost &amp; Forecast Control Accounts / CST-06-011</t>
        </is>
      </c>
      <c r="C1289" s="34" t="inlineStr">
        <is>
          <t>Cost Account = CA-6011; WBS Code = 1.6.1</t>
        </is>
      </c>
      <c r="D1289" s="34" t="inlineStr">
        <is>
          <t>Proposed by Source assignment; target 1.6.1 Program Management - Program Controls</t>
        </is>
      </c>
      <c r="E1289" s="34" t="inlineStr">
        <is>
          <t>None recorded</t>
        </is>
      </c>
      <c r="F1289" s="34" t="inlineStr">
        <is>
          <t>No individual professional decision recorded; Source assignment -- not individually reviewed</t>
        </is>
      </c>
      <c r="G1289" s="34" t="inlineStr">
        <is>
          <t>Not individually decided</t>
        </is>
      </c>
      <c r="H1289" s="34" t="inlineStr">
        <is>
          <t xml:space="preserve">APPROVED / ONE_TO_ONE; </t>
        </is>
      </c>
      <c r="I1289" s="34" t="inlineStr">
        <is>
          <t>New</t>
        </is>
      </c>
      <c r="J1289" s="92" t="inlineStr">
        <is>
          <t>08 CROSSWALK</t>
        </is>
      </c>
    </row>
    <row r="1290" ht="49" customHeight="1">
      <c r="A1290" s="34" t="inlineStr">
        <is>
          <t>R1495-v1</t>
        </is>
      </c>
      <c r="B1290" s="34" t="inlineStr">
        <is>
          <t>Cost &amp; Forecast Control Accounts / CST-06-013</t>
        </is>
      </c>
      <c r="C1290" s="34" t="inlineStr">
        <is>
          <t>Cost Account = CA-6013; WBS Code = 1.6.1</t>
        </is>
      </c>
      <c r="D1290" s="34" t="inlineStr">
        <is>
          <t>Proposed by Source assignment; target 1.6.1 Program Management - Program Controls</t>
        </is>
      </c>
      <c r="E1290" s="34" t="inlineStr">
        <is>
          <t>None recorded</t>
        </is>
      </c>
      <c r="F1290" s="34" t="inlineStr">
        <is>
          <t>No individual professional decision recorded; Source assignment -- not individually reviewed</t>
        </is>
      </c>
      <c r="G1290" s="34" t="inlineStr">
        <is>
          <t>Not individually decided</t>
        </is>
      </c>
      <c r="H1290" s="34" t="inlineStr">
        <is>
          <t xml:space="preserve">APPROVED / ONE_TO_ONE; </t>
        </is>
      </c>
      <c r="I1290" s="34" t="inlineStr">
        <is>
          <t>New</t>
        </is>
      </c>
      <c r="J1290" s="92" t="inlineStr">
        <is>
          <t>08 CROSSWALK</t>
        </is>
      </c>
    </row>
    <row r="1291" ht="49" customHeight="1">
      <c r="A1291" s="34" t="inlineStr">
        <is>
          <t>R1497-v1</t>
        </is>
      </c>
      <c r="B1291" s="34" t="inlineStr">
        <is>
          <t>Cost &amp; Forecast Control Accounts / CST-06-015</t>
        </is>
      </c>
      <c r="C1291" s="34" t="inlineStr">
        <is>
          <t>Cost Account = CA-6015; WBS Code = 1.6.1</t>
        </is>
      </c>
      <c r="D1291" s="34" t="inlineStr">
        <is>
          <t>Proposed by Source assignment; target 1.6.1 Program Management - Program Controls</t>
        </is>
      </c>
      <c r="E1291" s="34" t="inlineStr">
        <is>
          <t>None recorded</t>
        </is>
      </c>
      <c r="F1291" s="34" t="inlineStr">
        <is>
          <t>No individual professional decision recorded; Source assignment -- not individually reviewed</t>
        </is>
      </c>
      <c r="G1291" s="34" t="inlineStr">
        <is>
          <t>Not individually decided</t>
        </is>
      </c>
      <c r="H1291" s="34" t="inlineStr">
        <is>
          <t xml:space="preserve">APPROVED / ONE_TO_ONE; </t>
        </is>
      </c>
      <c r="I1291" s="34" t="inlineStr">
        <is>
          <t>New</t>
        </is>
      </c>
      <c r="J1291" s="92" t="inlineStr">
        <is>
          <t>08 CROSSWALK</t>
        </is>
      </c>
    </row>
    <row r="1292" ht="49" customHeight="1">
      <c r="A1292" s="34" t="inlineStr">
        <is>
          <t>R1499-v1</t>
        </is>
      </c>
      <c r="B1292" s="34" t="inlineStr">
        <is>
          <t>Cost &amp; Forecast Control Accounts / CST-06-017</t>
        </is>
      </c>
      <c r="C1292" s="34" t="inlineStr">
        <is>
          <t>Cost Account = CA-6017; WBS Code = 1.6.1</t>
        </is>
      </c>
      <c r="D1292" s="34" t="inlineStr">
        <is>
          <t>Proposed by Source assignment; target 1.6.1 Program Management - Program Controls</t>
        </is>
      </c>
      <c r="E1292" s="34" t="inlineStr">
        <is>
          <t>None recorded</t>
        </is>
      </c>
      <c r="F1292" s="34" t="inlineStr">
        <is>
          <t>No individual professional decision recorded; Source assignment -- not individually reviewed</t>
        </is>
      </c>
      <c r="G1292" s="34" t="inlineStr">
        <is>
          <t>Not individually decided</t>
        </is>
      </c>
      <c r="H1292" s="34" t="inlineStr">
        <is>
          <t xml:space="preserve">APPROVED / ONE_TO_ONE; </t>
        </is>
      </c>
      <c r="I1292" s="34" t="inlineStr">
        <is>
          <t>New</t>
        </is>
      </c>
      <c r="J1292" s="92" t="inlineStr">
        <is>
          <t>08 CROSSWALK</t>
        </is>
      </c>
    </row>
    <row r="1293" ht="49" customHeight="1">
      <c r="A1293" s="34" t="inlineStr">
        <is>
          <t>R1501-v1</t>
        </is>
      </c>
      <c r="B1293" s="34" t="inlineStr">
        <is>
          <t>Cost &amp; Forecast Control Accounts / CST-06-019</t>
        </is>
      </c>
      <c r="C1293" s="34" t="inlineStr">
        <is>
          <t>Cost Account = CA-6019; WBS Code = 1.6.1</t>
        </is>
      </c>
      <c r="D1293" s="34" t="inlineStr">
        <is>
          <t>Proposed by Source assignment; target 1.6.1 Program Management - Program Controls</t>
        </is>
      </c>
      <c r="E1293" s="34" t="inlineStr">
        <is>
          <t>None recorded</t>
        </is>
      </c>
      <c r="F1293" s="34" t="inlineStr">
        <is>
          <t>No individual professional decision recorded; Source assignment -- not individually reviewed</t>
        </is>
      </c>
      <c r="G1293" s="34" t="inlineStr">
        <is>
          <t>Not individually decided</t>
        </is>
      </c>
      <c r="H1293" s="34" t="inlineStr">
        <is>
          <t xml:space="preserve">APPROVED / ONE_TO_ONE; </t>
        </is>
      </c>
      <c r="I1293" s="34" t="inlineStr">
        <is>
          <t>New</t>
        </is>
      </c>
      <c r="J1293" s="92" t="inlineStr">
        <is>
          <t>08 CROSSWALK</t>
        </is>
      </c>
    </row>
    <row r="1294" ht="49" customHeight="1">
      <c r="A1294" s="34" t="inlineStr">
        <is>
          <t>R1503-v1</t>
        </is>
      </c>
      <c r="B1294" s="34" t="inlineStr">
        <is>
          <t>Cost &amp; Forecast Control Accounts / CST-06-021</t>
        </is>
      </c>
      <c r="C1294" s="34" t="inlineStr">
        <is>
          <t>Cost Account = CA-6021; WBS Code = 1.6.1</t>
        </is>
      </c>
      <c r="D1294" s="34" t="inlineStr">
        <is>
          <t>Proposed by Source assignment; target 1.6.1 Program Management - Program Controls</t>
        </is>
      </c>
      <c r="E1294" s="34" t="inlineStr">
        <is>
          <t>None recorded</t>
        </is>
      </c>
      <c r="F1294" s="34" t="inlineStr">
        <is>
          <t>No individual professional decision recorded; Source assignment -- not individually reviewed</t>
        </is>
      </c>
      <c r="G1294" s="34" t="inlineStr">
        <is>
          <t>Not individually decided</t>
        </is>
      </c>
      <c r="H1294" s="34" t="inlineStr">
        <is>
          <t xml:space="preserve">APPROVED / ONE_TO_ONE; </t>
        </is>
      </c>
      <c r="I1294" s="34" t="inlineStr">
        <is>
          <t>New</t>
        </is>
      </c>
      <c r="J1294" s="92" t="inlineStr">
        <is>
          <t>08 CROSSWALK</t>
        </is>
      </c>
    </row>
    <row r="1295" ht="49" customHeight="1">
      <c r="A1295" s="34" t="inlineStr">
        <is>
          <t>R1505-v1</t>
        </is>
      </c>
      <c r="B1295" s="34" t="inlineStr">
        <is>
          <t>Cost &amp; Forecast Control Accounts / CST-06-023</t>
        </is>
      </c>
      <c r="C1295" s="34" t="inlineStr">
        <is>
          <t>Cost Account = CA-6023; WBS Code = 1.6.1</t>
        </is>
      </c>
      <c r="D1295" s="34" t="inlineStr">
        <is>
          <t>Proposed by Source assignment; target 1.6.1 Program Management - Program Controls</t>
        </is>
      </c>
      <c r="E1295" s="34" t="inlineStr">
        <is>
          <t>None recorded</t>
        </is>
      </c>
      <c r="F1295" s="34" t="inlineStr">
        <is>
          <t>No individual professional decision recorded; Source assignment -- not individually reviewed</t>
        </is>
      </c>
      <c r="G1295" s="34" t="inlineStr">
        <is>
          <t>Not individually decided</t>
        </is>
      </c>
      <c r="H1295" s="34" t="inlineStr">
        <is>
          <t xml:space="preserve">APPROVED / ONE_TO_ONE; </t>
        </is>
      </c>
      <c r="I1295" s="34" t="inlineStr">
        <is>
          <t>New</t>
        </is>
      </c>
      <c r="J1295" s="92" t="inlineStr">
        <is>
          <t>08 CROSSWALK</t>
        </is>
      </c>
    </row>
    <row r="1296" ht="49" customHeight="1">
      <c r="A1296" s="34" t="inlineStr">
        <is>
          <t>R1507-v1</t>
        </is>
      </c>
      <c r="B1296" s="34" t="inlineStr">
        <is>
          <t>Cost &amp; Forecast Control Accounts / CST-06-025</t>
        </is>
      </c>
      <c r="C1296" s="34" t="inlineStr">
        <is>
          <t>Cost Account = CA-6025; WBS Code = 1.6.1</t>
        </is>
      </c>
      <c r="D1296" s="34" t="inlineStr">
        <is>
          <t>Proposed by Source assignment; target 1.6.1 Program Management - Program Controls</t>
        </is>
      </c>
      <c r="E1296" s="34" t="inlineStr">
        <is>
          <t>None recorded</t>
        </is>
      </c>
      <c r="F1296" s="34" t="inlineStr">
        <is>
          <t>No individual professional decision recorded; Source assignment -- not individually reviewed</t>
        </is>
      </c>
      <c r="G1296" s="34" t="inlineStr">
        <is>
          <t>Not individually decided</t>
        </is>
      </c>
      <c r="H1296" s="34" t="inlineStr">
        <is>
          <t xml:space="preserve">APPROVED / ONE_TO_ONE; </t>
        </is>
      </c>
      <c r="I1296" s="34" t="inlineStr">
        <is>
          <t>New</t>
        </is>
      </c>
      <c r="J1296" s="92" t="inlineStr">
        <is>
          <t>08 CROSSWALK</t>
        </is>
      </c>
    </row>
    <row r="1297" ht="49" customHeight="1">
      <c r="A1297" s="34" t="inlineStr">
        <is>
          <t>R1509-v1</t>
        </is>
      </c>
      <c r="B1297" s="34" t="inlineStr">
        <is>
          <t>Cost &amp; Forecast Control Accounts / CST-06-027</t>
        </is>
      </c>
      <c r="C1297" s="34" t="inlineStr">
        <is>
          <t>Cost Account = CA-6027; WBS Code = 1.6.1</t>
        </is>
      </c>
      <c r="D1297" s="34" t="inlineStr">
        <is>
          <t>Proposed by Source assignment; target 1.6.1 Program Management - Program Controls</t>
        </is>
      </c>
      <c r="E1297" s="34" t="inlineStr">
        <is>
          <t>None recorded</t>
        </is>
      </c>
      <c r="F1297" s="34" t="inlineStr">
        <is>
          <t>No individual professional decision recorded; Source assignment -- not individually reviewed</t>
        </is>
      </c>
      <c r="G1297" s="34" t="inlineStr">
        <is>
          <t>Not individually decided</t>
        </is>
      </c>
      <c r="H1297" s="34" t="inlineStr">
        <is>
          <t xml:space="preserve">APPROVED / ONE_TO_ONE; </t>
        </is>
      </c>
      <c r="I1297" s="34" t="inlineStr">
        <is>
          <t>New</t>
        </is>
      </c>
      <c r="J1297" s="92" t="inlineStr">
        <is>
          <t>08 CROSSWALK</t>
        </is>
      </c>
    </row>
    <row r="1298" ht="49" customHeight="1">
      <c r="A1298" s="34" t="inlineStr">
        <is>
          <t>R1511-v1</t>
        </is>
      </c>
      <c r="B1298" s="34" t="inlineStr">
        <is>
          <t>Cost &amp; Forecast Control Accounts / CST-06-029</t>
        </is>
      </c>
      <c r="C1298" s="34" t="inlineStr">
        <is>
          <t>Cost Account = CA-6029; WBS Code = 1.6.1</t>
        </is>
      </c>
      <c r="D1298" s="34" t="inlineStr">
        <is>
          <t>Proposed by Source assignment; target 1.6.1 Program Management - Program Controls</t>
        </is>
      </c>
      <c r="E1298" s="34" t="inlineStr">
        <is>
          <t>None recorded</t>
        </is>
      </c>
      <c r="F1298" s="34" t="inlineStr">
        <is>
          <t>No individual professional decision recorded; Source assignment -- not individually reviewed</t>
        </is>
      </c>
      <c r="G1298" s="34" t="inlineStr">
        <is>
          <t>Not individually decided</t>
        </is>
      </c>
      <c r="H1298" s="34" t="inlineStr">
        <is>
          <t xml:space="preserve">APPROVED / ONE_TO_ONE; </t>
        </is>
      </c>
      <c r="I1298" s="34" t="inlineStr">
        <is>
          <t>New</t>
        </is>
      </c>
      <c r="J1298" s="92" t="inlineStr">
        <is>
          <t>08 CROSSWALK</t>
        </is>
      </c>
    </row>
    <row r="1299" ht="49" customHeight="1">
      <c r="A1299" s="34" t="inlineStr">
        <is>
          <t>R1513-v1</t>
        </is>
      </c>
      <c r="B1299" s="34" t="inlineStr">
        <is>
          <t>Cost &amp; Forecast Control Accounts / CST-06-031</t>
        </is>
      </c>
      <c r="C1299" s="34" t="inlineStr">
        <is>
          <t>Cost Account = CA-6031; WBS Code = 1.6.1</t>
        </is>
      </c>
      <c r="D1299" s="34" t="inlineStr">
        <is>
          <t>Proposed by Source assignment; target 1.6.1 Program Management - Program Controls</t>
        </is>
      </c>
      <c r="E1299" s="34" t="inlineStr">
        <is>
          <t>None recorded</t>
        </is>
      </c>
      <c r="F1299" s="34" t="inlineStr">
        <is>
          <t>No individual professional decision recorded; Source assignment -- not individually reviewed</t>
        </is>
      </c>
      <c r="G1299" s="34" t="inlineStr">
        <is>
          <t>Not individually decided</t>
        </is>
      </c>
      <c r="H1299" s="34" t="inlineStr">
        <is>
          <t xml:space="preserve">APPROVED / ONE_TO_ONE; </t>
        </is>
      </c>
      <c r="I1299" s="34" t="inlineStr">
        <is>
          <t>New</t>
        </is>
      </c>
      <c r="J1299" s="92" t="inlineStr">
        <is>
          <t>08 CROSSWALK</t>
        </is>
      </c>
    </row>
    <row r="1300" ht="49" customHeight="1">
      <c r="A1300" s="34" t="inlineStr">
        <is>
          <t>R1515-v1</t>
        </is>
      </c>
      <c r="B1300" s="34" t="inlineStr">
        <is>
          <t>Cost &amp; Forecast Control Accounts / CST-06-033</t>
        </is>
      </c>
      <c r="C1300" s="34" t="inlineStr">
        <is>
          <t>Cost Account = CA-6033; WBS Code = 1.6.1</t>
        </is>
      </c>
      <c r="D1300" s="34" t="inlineStr">
        <is>
          <t>Proposed by Source assignment; target 1.6.1 Program Management - Program Controls</t>
        </is>
      </c>
      <c r="E1300" s="34" t="inlineStr">
        <is>
          <t>None recorded</t>
        </is>
      </c>
      <c r="F1300" s="34" t="inlineStr">
        <is>
          <t>No individual professional decision recorded; Source assignment -- not individually reviewed</t>
        </is>
      </c>
      <c r="G1300" s="34" t="inlineStr">
        <is>
          <t>Not individually decided</t>
        </is>
      </c>
      <c r="H1300" s="34" t="inlineStr">
        <is>
          <t xml:space="preserve">APPROVED / ONE_TO_ONE; </t>
        </is>
      </c>
      <c r="I1300" s="34" t="inlineStr">
        <is>
          <t>New</t>
        </is>
      </c>
      <c r="J1300" s="92" t="inlineStr">
        <is>
          <t>08 CROSSWALK</t>
        </is>
      </c>
    </row>
    <row r="1301" ht="49" customHeight="1">
      <c r="A1301" s="34" t="inlineStr">
        <is>
          <t>R1517-v1</t>
        </is>
      </c>
      <c r="B1301" s="34" t="inlineStr">
        <is>
          <t>Cost &amp; Forecast Control Accounts / CST-06-035</t>
        </is>
      </c>
      <c r="C1301" s="34" t="inlineStr">
        <is>
          <t>Cost Account = CA-6035; WBS Code = 1.6.1</t>
        </is>
      </c>
      <c r="D1301" s="34" t="inlineStr">
        <is>
          <t>Proposed by Source assignment; target 1.6.1 Program Management - Program Controls</t>
        </is>
      </c>
      <c r="E1301" s="34" t="inlineStr">
        <is>
          <t>None recorded</t>
        </is>
      </c>
      <c r="F1301" s="34" t="inlineStr">
        <is>
          <t>No individual professional decision recorded; Source assignment -- not individually reviewed</t>
        </is>
      </c>
      <c r="G1301" s="34" t="inlineStr">
        <is>
          <t>Not individually decided</t>
        </is>
      </c>
      <c r="H1301" s="34" t="inlineStr">
        <is>
          <t xml:space="preserve">APPROVED / ONE_TO_ONE; </t>
        </is>
      </c>
      <c r="I1301" s="34" t="inlineStr">
        <is>
          <t>New</t>
        </is>
      </c>
      <c r="J1301" s="92" t="inlineStr">
        <is>
          <t>08 CROSSWALK</t>
        </is>
      </c>
    </row>
    <row r="1302" ht="49" customHeight="1">
      <c r="A1302" s="34" t="inlineStr">
        <is>
          <t>R1519-v1</t>
        </is>
      </c>
      <c r="B1302" s="34" t="inlineStr">
        <is>
          <t>Cost &amp; Forecast Control Accounts / CST-06-037</t>
        </is>
      </c>
      <c r="C1302" s="34" t="inlineStr">
        <is>
          <t>Cost Account = CA-6037; WBS Code = 1.6.1</t>
        </is>
      </c>
      <c r="D1302" s="34" t="inlineStr">
        <is>
          <t>Proposed by Source assignment; target 1.6.1 Program Management - Program Controls</t>
        </is>
      </c>
      <c r="E1302" s="34" t="inlineStr">
        <is>
          <t>None recorded</t>
        </is>
      </c>
      <c r="F1302" s="34" t="inlineStr">
        <is>
          <t>No individual professional decision recorded; Source assignment -- not individually reviewed</t>
        </is>
      </c>
      <c r="G1302" s="34" t="inlineStr">
        <is>
          <t>Not individually decided</t>
        </is>
      </c>
      <c r="H1302" s="34" t="inlineStr">
        <is>
          <t xml:space="preserve">APPROVED / ONE_TO_ONE; </t>
        </is>
      </c>
      <c r="I1302" s="34" t="inlineStr">
        <is>
          <t>New</t>
        </is>
      </c>
      <c r="J1302" s="92" t="inlineStr">
        <is>
          <t>08 CROSSWALK</t>
        </is>
      </c>
    </row>
    <row r="1303" ht="49" customHeight="1">
      <c r="A1303" s="34" t="inlineStr">
        <is>
          <t>R1521-v1</t>
        </is>
      </c>
      <c r="B1303" s="34" t="inlineStr">
        <is>
          <t>Cost &amp; Forecast Control Accounts / CST-06-039</t>
        </is>
      </c>
      <c r="C1303" s="34" t="inlineStr">
        <is>
          <t>Cost Account = CA-6039; WBS Code = 1.6.1</t>
        </is>
      </c>
      <c r="D1303" s="34" t="inlineStr">
        <is>
          <t>Proposed by Source assignment; target 1.6.1 Program Management - Program Controls</t>
        </is>
      </c>
      <c r="E1303" s="34" t="inlineStr">
        <is>
          <t>None recorded</t>
        </is>
      </c>
      <c r="F1303" s="34" t="inlineStr">
        <is>
          <t>No individual professional decision recorded; Source assignment -- not individually reviewed</t>
        </is>
      </c>
      <c r="G1303" s="34" t="inlineStr">
        <is>
          <t>Not individually decided</t>
        </is>
      </c>
      <c r="H1303" s="34" t="inlineStr">
        <is>
          <t xml:space="preserve">APPROVED / ONE_TO_ONE; </t>
        </is>
      </c>
      <c r="I1303" s="34" t="inlineStr">
        <is>
          <t>New</t>
        </is>
      </c>
      <c r="J1303" s="92" t="inlineStr">
        <is>
          <t>08 CROSSWALK</t>
        </is>
      </c>
    </row>
    <row r="1304" ht="49" customHeight="1">
      <c r="A1304" s="34" t="inlineStr">
        <is>
          <t>R1523-v1</t>
        </is>
      </c>
      <c r="B1304" s="34" t="inlineStr">
        <is>
          <t>Cost &amp; Forecast Control Accounts / CST-06-041</t>
        </is>
      </c>
      <c r="C1304" s="34" t="inlineStr">
        <is>
          <t>Cost Account = CA-6041; WBS Code = 1.6.1</t>
        </is>
      </c>
      <c r="D1304" s="34" t="inlineStr">
        <is>
          <t>Proposed by Source assignment; target 1.6.1 Program Management - Program Controls</t>
        </is>
      </c>
      <c r="E1304" s="34" t="inlineStr">
        <is>
          <t>None recorded</t>
        </is>
      </c>
      <c r="F1304" s="34" t="inlineStr">
        <is>
          <t>No individual professional decision recorded; Source assignment -- not individually reviewed</t>
        </is>
      </c>
      <c r="G1304" s="34" t="inlineStr">
        <is>
          <t>Not individually decided</t>
        </is>
      </c>
      <c r="H1304" s="34" t="inlineStr">
        <is>
          <t xml:space="preserve">APPROVED / ONE_TO_ONE; </t>
        </is>
      </c>
      <c r="I1304" s="34" t="inlineStr">
        <is>
          <t>New</t>
        </is>
      </c>
      <c r="J1304" s="92" t="inlineStr">
        <is>
          <t>08 CROSSWALK</t>
        </is>
      </c>
    </row>
    <row r="1305" ht="49" customHeight="1">
      <c r="A1305" s="34" t="inlineStr">
        <is>
          <t>R1525-v1</t>
        </is>
      </c>
      <c r="B1305" s="34" t="inlineStr">
        <is>
          <t>Cost &amp; Forecast Control Accounts / CST-06-043</t>
        </is>
      </c>
      <c r="C1305" s="34" t="inlineStr">
        <is>
          <t>Cost Account = CA-6043; WBS Code = 1.6.1</t>
        </is>
      </c>
      <c r="D1305" s="34" t="inlineStr">
        <is>
          <t>Proposed by Source assignment; target 1.6.1 Program Management - Program Controls</t>
        </is>
      </c>
      <c r="E1305" s="34" t="inlineStr">
        <is>
          <t>None recorded</t>
        </is>
      </c>
      <c r="F1305" s="34" t="inlineStr">
        <is>
          <t>No individual professional decision recorded; Source assignment -- not individually reviewed</t>
        </is>
      </c>
      <c r="G1305" s="34" t="inlineStr">
        <is>
          <t>Not individually decided</t>
        </is>
      </c>
      <c r="H1305" s="34" t="inlineStr">
        <is>
          <t xml:space="preserve">APPROVED / ONE_TO_ONE; </t>
        </is>
      </c>
      <c r="I1305" s="34" t="inlineStr">
        <is>
          <t>New</t>
        </is>
      </c>
      <c r="J1305" s="92" t="inlineStr">
        <is>
          <t>08 CROSSWALK</t>
        </is>
      </c>
    </row>
    <row r="1306" ht="49" customHeight="1">
      <c r="A1306" s="34" t="inlineStr">
        <is>
          <t>R1527-v1</t>
        </is>
      </c>
      <c r="B1306" s="34" t="inlineStr">
        <is>
          <t>Cost &amp; Forecast Control Accounts / CST-06-045</t>
        </is>
      </c>
      <c r="C1306" s="34" t="inlineStr">
        <is>
          <t>Cost Account = CA-6045; WBS Code = 1.6.1</t>
        </is>
      </c>
      <c r="D1306" s="34" t="inlineStr">
        <is>
          <t>Proposed by Source assignment; target 1.6.1 Program Management - Program Controls</t>
        </is>
      </c>
      <c r="E1306" s="34" t="inlineStr">
        <is>
          <t>None recorded</t>
        </is>
      </c>
      <c r="F1306" s="34" t="inlineStr">
        <is>
          <t>No individual professional decision recorded; Source assignment -- not individually reviewed</t>
        </is>
      </c>
      <c r="G1306" s="34" t="inlineStr">
        <is>
          <t>Not individually decided</t>
        </is>
      </c>
      <c r="H1306" s="34" t="inlineStr">
        <is>
          <t xml:space="preserve">APPROVED / ONE_TO_ONE; </t>
        </is>
      </c>
      <c r="I1306" s="34" t="inlineStr">
        <is>
          <t>New</t>
        </is>
      </c>
      <c r="J1306" s="92" t="inlineStr">
        <is>
          <t>08 CROSSWALK</t>
        </is>
      </c>
    </row>
    <row r="1307" ht="49" customHeight="1">
      <c r="A1307" s="34" t="inlineStr">
        <is>
          <t>R1529-v1</t>
        </is>
      </c>
      <c r="B1307" s="34" t="inlineStr">
        <is>
          <t>Cost &amp; Forecast Control Accounts / CST-06-047</t>
        </is>
      </c>
      <c r="C1307" s="34" t="inlineStr">
        <is>
          <t>Cost Account = CA-6047; WBS Code = 1.6.1</t>
        </is>
      </c>
      <c r="D1307" s="34" t="inlineStr">
        <is>
          <t>Proposed by Source assignment; target 1.6.1 Program Management - Program Controls</t>
        </is>
      </c>
      <c r="E1307" s="34" t="inlineStr">
        <is>
          <t>None recorded</t>
        </is>
      </c>
      <c r="F1307" s="34" t="inlineStr">
        <is>
          <t>No individual professional decision recorded; Source assignment -- not individually reviewed</t>
        </is>
      </c>
      <c r="G1307" s="34" t="inlineStr">
        <is>
          <t>Not individually decided</t>
        </is>
      </c>
      <c r="H1307" s="34" t="inlineStr">
        <is>
          <t xml:space="preserve">APPROVED / ONE_TO_ONE; </t>
        </is>
      </c>
      <c r="I1307" s="34" t="inlineStr">
        <is>
          <t>New</t>
        </is>
      </c>
      <c r="J1307" s="92" t="inlineStr">
        <is>
          <t>08 CROSSWALK</t>
        </is>
      </c>
    </row>
    <row r="1308" ht="49" customHeight="1">
      <c r="A1308" s="34" t="inlineStr">
        <is>
          <t>R1531-v1</t>
        </is>
      </c>
      <c r="B1308" s="34" t="inlineStr">
        <is>
          <t>Cost &amp; Forecast Control Accounts / CST-06-049</t>
        </is>
      </c>
      <c r="C1308" s="34" t="inlineStr">
        <is>
          <t>Cost Account = CA-6049; WBS Code = 1.6.1</t>
        </is>
      </c>
      <c r="D1308" s="34" t="inlineStr">
        <is>
          <t>Proposed by Source assignment; target 1.6.1 Program Management - Program Controls</t>
        </is>
      </c>
      <c r="E1308" s="34" t="inlineStr">
        <is>
          <t>None recorded</t>
        </is>
      </c>
      <c r="F1308" s="34" t="inlineStr">
        <is>
          <t>No individual professional decision recorded; Source assignment -- not individually reviewed</t>
        </is>
      </c>
      <c r="G1308" s="34" t="inlineStr">
        <is>
          <t>Not individually decided</t>
        </is>
      </c>
      <c r="H1308" s="34" t="inlineStr">
        <is>
          <t xml:space="preserve">APPROVED / ONE_TO_ONE; </t>
        </is>
      </c>
      <c r="I1308" s="34" t="inlineStr">
        <is>
          <t>New</t>
        </is>
      </c>
      <c r="J1308" s="92" t="inlineStr">
        <is>
          <t>08 CROSSWALK</t>
        </is>
      </c>
    </row>
    <row r="1309" ht="49" customHeight="1">
      <c r="A1309" s="34" t="inlineStr">
        <is>
          <t>R1533-v1</t>
        </is>
      </c>
      <c r="B1309" s="34" t="inlineStr">
        <is>
          <t>Cost &amp; Forecast Control Accounts / CST-06-051</t>
        </is>
      </c>
      <c r="C1309" s="34" t="inlineStr">
        <is>
          <t>Cost Account = CA-6051; WBS Code = 1.6.1</t>
        </is>
      </c>
      <c r="D1309" s="34" t="inlineStr">
        <is>
          <t>Proposed by Source assignment; target 1.6.1 Program Management - Program Controls</t>
        </is>
      </c>
      <c r="E1309" s="34" t="inlineStr">
        <is>
          <t>None recorded</t>
        </is>
      </c>
      <c r="F1309" s="34" t="inlineStr">
        <is>
          <t>No individual professional decision recorded; Source assignment -- not individually reviewed</t>
        </is>
      </c>
      <c r="G1309" s="34" t="inlineStr">
        <is>
          <t>Not individually decided</t>
        </is>
      </c>
      <c r="H1309" s="34" t="inlineStr">
        <is>
          <t xml:space="preserve">APPROVED / ONE_TO_ONE; </t>
        </is>
      </c>
      <c r="I1309" s="34" t="inlineStr">
        <is>
          <t>New</t>
        </is>
      </c>
      <c r="J1309" s="92" t="inlineStr">
        <is>
          <t>08 CROSSWALK</t>
        </is>
      </c>
    </row>
    <row r="1310" ht="49" customHeight="1">
      <c r="A1310" s="34" t="inlineStr">
        <is>
          <t>R1535-v1</t>
        </is>
      </c>
      <c r="B1310" s="34" t="inlineStr">
        <is>
          <t>Cost &amp; Forecast Control Accounts / CST-06-053</t>
        </is>
      </c>
      <c r="C1310" s="34" t="inlineStr">
        <is>
          <t>Cost Account = CA-6053; WBS Code = 1.6.1</t>
        </is>
      </c>
      <c r="D1310" s="34" t="inlineStr">
        <is>
          <t>Proposed by Source assignment; target 1.6.1 Program Management - Program Controls</t>
        </is>
      </c>
      <c r="E1310" s="34" t="inlineStr">
        <is>
          <t>None recorded</t>
        </is>
      </c>
      <c r="F1310" s="34" t="inlineStr">
        <is>
          <t>No individual professional decision recorded; Source assignment -- not individually reviewed</t>
        </is>
      </c>
      <c r="G1310" s="34" t="inlineStr">
        <is>
          <t>Not individually decided</t>
        </is>
      </c>
      <c r="H1310" s="34" t="inlineStr">
        <is>
          <t xml:space="preserve">APPROVED / ONE_TO_ONE; </t>
        </is>
      </c>
      <c r="I1310" s="34" t="inlineStr">
        <is>
          <t>New</t>
        </is>
      </c>
      <c r="J1310" s="92" t="inlineStr">
        <is>
          <t>08 CROSSWALK</t>
        </is>
      </c>
    </row>
    <row r="1311" ht="49" customHeight="1">
      <c r="A1311" s="34" t="inlineStr">
        <is>
          <t>R1537-v1</t>
        </is>
      </c>
      <c r="B1311" s="34" t="inlineStr">
        <is>
          <t>Cost &amp; Forecast Control Accounts / CST-06-055</t>
        </is>
      </c>
      <c r="C1311" s="34" t="inlineStr">
        <is>
          <t>Cost Account = CA-6055; WBS Code = 1.6.1</t>
        </is>
      </c>
      <c r="D1311" s="34" t="inlineStr">
        <is>
          <t>Proposed by Source assignment; target 1.6.1 Program Management - Program Controls</t>
        </is>
      </c>
      <c r="E1311" s="34" t="inlineStr">
        <is>
          <t>None recorded</t>
        </is>
      </c>
      <c r="F1311" s="34" t="inlineStr">
        <is>
          <t>No individual professional decision recorded; Source assignment -- not individually reviewed</t>
        </is>
      </c>
      <c r="G1311" s="34" t="inlineStr">
        <is>
          <t>Not individually decided</t>
        </is>
      </c>
      <c r="H1311" s="34" t="inlineStr">
        <is>
          <t xml:space="preserve">APPROVED / ONE_TO_ONE; </t>
        </is>
      </c>
      <c r="I1311" s="34" t="inlineStr">
        <is>
          <t>New</t>
        </is>
      </c>
      <c r="J1311" s="92" t="inlineStr">
        <is>
          <t>08 CROSSWALK</t>
        </is>
      </c>
    </row>
    <row r="1312" ht="49" customHeight="1">
      <c r="A1312" s="34" t="inlineStr">
        <is>
          <t>R1539-v1</t>
        </is>
      </c>
      <c r="B1312" s="34" t="inlineStr">
        <is>
          <t>Cost &amp; Forecast Control Accounts / CST-06-057</t>
        </is>
      </c>
      <c r="C1312" s="34" t="inlineStr">
        <is>
          <t>Cost Account = CA-6057; WBS Code = 1.6.1</t>
        </is>
      </c>
      <c r="D1312" s="34" t="inlineStr">
        <is>
          <t>Proposed by Source assignment; target 1.6.1 Program Management - Program Controls</t>
        </is>
      </c>
      <c r="E1312" s="34" t="inlineStr">
        <is>
          <t>None recorded</t>
        </is>
      </c>
      <c r="F1312" s="34" t="inlineStr">
        <is>
          <t>No individual professional decision recorded; Source assignment -- not individually reviewed</t>
        </is>
      </c>
      <c r="G1312" s="34" t="inlineStr">
        <is>
          <t>Not individually decided</t>
        </is>
      </c>
      <c r="H1312" s="34" t="inlineStr">
        <is>
          <t xml:space="preserve">APPROVED / ONE_TO_ONE; </t>
        </is>
      </c>
      <c r="I1312" s="34" t="inlineStr">
        <is>
          <t>New</t>
        </is>
      </c>
      <c r="J1312" s="92" t="inlineStr">
        <is>
          <t>08 CROSSWALK</t>
        </is>
      </c>
    </row>
    <row r="1313" ht="49" customHeight="1">
      <c r="A1313" s="34" t="inlineStr">
        <is>
          <t>R1541-v1</t>
        </is>
      </c>
      <c r="B1313" s="34" t="inlineStr">
        <is>
          <t>Cost &amp; Forecast Control Accounts / CST-06-059</t>
        </is>
      </c>
      <c r="C1313" s="34" t="inlineStr">
        <is>
          <t>Cost Account = CA-6059; WBS Code = 1.6.1</t>
        </is>
      </c>
      <c r="D1313" s="34" t="inlineStr">
        <is>
          <t>Proposed by Source assignment; target 1.6.1 Program Management - Program Controls</t>
        </is>
      </c>
      <c r="E1313" s="34" t="inlineStr">
        <is>
          <t>None recorded</t>
        </is>
      </c>
      <c r="F1313" s="34" t="inlineStr">
        <is>
          <t>No individual professional decision recorded; Source assignment -- not individually reviewed</t>
        </is>
      </c>
      <c r="G1313" s="34" t="inlineStr">
        <is>
          <t>Not individually decided</t>
        </is>
      </c>
      <c r="H1313" s="34" t="inlineStr">
        <is>
          <t xml:space="preserve">APPROVED / ONE_TO_ONE; </t>
        </is>
      </c>
      <c r="I1313" s="34" t="inlineStr">
        <is>
          <t>New</t>
        </is>
      </c>
      <c r="J1313" s="92" t="inlineStr">
        <is>
          <t>08 CROSSWALK</t>
        </is>
      </c>
    </row>
    <row r="1314" ht="49" customHeight="1">
      <c r="A1314" s="34" t="inlineStr">
        <is>
          <t>R1543-v1</t>
        </is>
      </c>
      <c r="B1314" s="34" t="inlineStr">
        <is>
          <t>Cost &amp; Forecast Control Accounts / CST-06-061</t>
        </is>
      </c>
      <c r="C1314" s="34" t="inlineStr">
        <is>
          <t>Cost Account = CA-6061; WBS Code = 1.6.1</t>
        </is>
      </c>
      <c r="D1314" s="34" t="inlineStr">
        <is>
          <t>Proposed by Source assignment; target 1.6.1 Program Management - Program Controls</t>
        </is>
      </c>
      <c r="E1314" s="34" t="inlineStr">
        <is>
          <t>None recorded</t>
        </is>
      </c>
      <c r="F1314" s="34" t="inlineStr">
        <is>
          <t>No individual professional decision recorded; Source assignment -- not individually reviewed</t>
        </is>
      </c>
      <c r="G1314" s="34" t="inlineStr">
        <is>
          <t>Not individually decided</t>
        </is>
      </c>
      <c r="H1314" s="34" t="inlineStr">
        <is>
          <t xml:space="preserve">APPROVED / ONE_TO_ONE; </t>
        </is>
      </c>
      <c r="I1314" s="34" t="inlineStr">
        <is>
          <t>New</t>
        </is>
      </c>
      <c r="J1314" s="92" t="inlineStr">
        <is>
          <t>08 CROSSWALK</t>
        </is>
      </c>
    </row>
    <row r="1315" ht="49" customHeight="1">
      <c r="A1315" s="34" t="inlineStr">
        <is>
          <t>R1545-v1</t>
        </is>
      </c>
      <c r="B1315" s="34" t="inlineStr">
        <is>
          <t>Cost &amp; Forecast Control Accounts / CST-06-063</t>
        </is>
      </c>
      <c r="C1315" s="34" t="inlineStr">
        <is>
          <t>Cost Account = CA-6063; WBS Code = 1.6.1</t>
        </is>
      </c>
      <c r="D1315" s="34" t="inlineStr">
        <is>
          <t>Proposed by Source assignment; target 1.6.1 Program Management - Program Controls</t>
        </is>
      </c>
      <c r="E1315" s="34" t="inlineStr">
        <is>
          <t>None recorded</t>
        </is>
      </c>
      <c r="F1315" s="34" t="inlineStr">
        <is>
          <t>No individual professional decision recorded; Source assignment -- not individually reviewed</t>
        </is>
      </c>
      <c r="G1315" s="34" t="inlineStr">
        <is>
          <t>Not individually decided</t>
        </is>
      </c>
      <c r="H1315" s="34" t="inlineStr">
        <is>
          <t xml:space="preserve">APPROVED / ONE_TO_ONE; </t>
        </is>
      </c>
      <c r="I1315" s="34" t="inlineStr">
        <is>
          <t>New</t>
        </is>
      </c>
      <c r="J1315" s="92" t="inlineStr">
        <is>
          <t>08 CROSSWALK</t>
        </is>
      </c>
    </row>
    <row r="1316" ht="49" customHeight="1">
      <c r="A1316" s="34" t="inlineStr">
        <is>
          <t>R1547-v1</t>
        </is>
      </c>
      <c r="B1316" s="34" t="inlineStr">
        <is>
          <t>Cost &amp; Forecast Control Accounts / CST-06-065</t>
        </is>
      </c>
      <c r="C1316" s="34" t="inlineStr">
        <is>
          <t>Cost Account = CA-6065; WBS Code = 1.6.1</t>
        </is>
      </c>
      <c r="D1316" s="34" t="inlineStr">
        <is>
          <t>Proposed by Source assignment; target 1.6.1 Program Management - Program Controls</t>
        </is>
      </c>
      <c r="E1316" s="34" t="inlineStr">
        <is>
          <t>None recorded</t>
        </is>
      </c>
      <c r="F1316" s="34" t="inlineStr">
        <is>
          <t>No individual professional decision recorded; Source assignment -- not individually reviewed</t>
        </is>
      </c>
      <c r="G1316" s="34" t="inlineStr">
        <is>
          <t>Not individually decided</t>
        </is>
      </c>
      <c r="H1316" s="34" t="inlineStr">
        <is>
          <t xml:space="preserve">APPROVED / ONE_TO_ONE; </t>
        </is>
      </c>
      <c r="I1316" s="34" t="inlineStr">
        <is>
          <t>New</t>
        </is>
      </c>
      <c r="J1316" s="92" t="inlineStr">
        <is>
          <t>08 CROSSWALK</t>
        </is>
      </c>
    </row>
    <row r="1317" ht="49" customHeight="1">
      <c r="A1317" s="34" t="inlineStr">
        <is>
          <t>R1549-v1</t>
        </is>
      </c>
      <c r="B1317" s="34" t="inlineStr">
        <is>
          <t>Cost &amp; Forecast Control Accounts / CST-06-067</t>
        </is>
      </c>
      <c r="C1317" s="34" t="inlineStr">
        <is>
          <t>Cost Account = CA-6067; WBS Code = 1.6.1</t>
        </is>
      </c>
      <c r="D1317" s="34" t="inlineStr">
        <is>
          <t>Proposed by Source assignment; target 1.6.1 Program Management - Program Controls</t>
        </is>
      </c>
      <c r="E1317" s="34" t="inlineStr">
        <is>
          <t>None recorded</t>
        </is>
      </c>
      <c r="F1317" s="34" t="inlineStr">
        <is>
          <t>No individual professional decision recorded; Source assignment -- not individually reviewed</t>
        </is>
      </c>
      <c r="G1317" s="34" t="inlineStr">
        <is>
          <t>Not individually decided</t>
        </is>
      </c>
      <c r="H1317" s="34" t="inlineStr">
        <is>
          <t xml:space="preserve">APPROVED / ONE_TO_ONE; </t>
        </is>
      </c>
      <c r="I1317" s="34" t="inlineStr">
        <is>
          <t>New</t>
        </is>
      </c>
      <c r="J1317" s="92" t="inlineStr">
        <is>
          <t>08 CROSSWALK</t>
        </is>
      </c>
    </row>
    <row r="1318" ht="49" customHeight="1">
      <c r="A1318" s="34" t="inlineStr">
        <is>
          <t>R1551-v1</t>
        </is>
      </c>
      <c r="B1318" s="34" t="inlineStr">
        <is>
          <t>Cost &amp; Forecast Control Accounts / CST-06-069</t>
        </is>
      </c>
      <c r="C1318" s="34" t="inlineStr">
        <is>
          <t>Cost Account = CA-6069; WBS Code = 1.6.1</t>
        </is>
      </c>
      <c r="D1318" s="34" t="inlineStr">
        <is>
          <t>Proposed by Source assignment; target 1.6.1 Program Management - Program Controls</t>
        </is>
      </c>
      <c r="E1318" s="34" t="inlineStr">
        <is>
          <t>None recorded</t>
        </is>
      </c>
      <c r="F1318" s="34" t="inlineStr">
        <is>
          <t>No individual professional decision recorded; Source assignment -- not individually reviewed</t>
        </is>
      </c>
      <c r="G1318" s="34" t="inlineStr">
        <is>
          <t>Not individually decided</t>
        </is>
      </c>
      <c r="H1318" s="34" t="inlineStr">
        <is>
          <t xml:space="preserve">APPROVED / ONE_TO_ONE; </t>
        </is>
      </c>
      <c r="I1318" s="34" t="inlineStr">
        <is>
          <t>New</t>
        </is>
      </c>
      <c r="J1318" s="92" t="inlineStr">
        <is>
          <t>08 CROSSWALK</t>
        </is>
      </c>
    </row>
    <row r="1319" ht="49" customHeight="1">
      <c r="A1319" s="34" t="inlineStr">
        <is>
          <t>R1553-v1</t>
        </is>
      </c>
      <c r="B1319" s="34" t="inlineStr">
        <is>
          <t>Cost &amp; Forecast Control Accounts / CST-06-071</t>
        </is>
      </c>
      <c r="C1319" s="34" t="inlineStr">
        <is>
          <t>Cost Account = CA-6071; WBS Code = 1.6.1</t>
        </is>
      </c>
      <c r="D1319" s="34" t="inlineStr">
        <is>
          <t>Proposed by Source assignment; target 1.6.1 Program Management - Program Controls</t>
        </is>
      </c>
      <c r="E1319" s="34" t="inlineStr">
        <is>
          <t>None recorded</t>
        </is>
      </c>
      <c r="F1319" s="34" t="inlineStr">
        <is>
          <t>No individual professional decision recorded; Source assignment -- not individually reviewed</t>
        </is>
      </c>
      <c r="G1319" s="34" t="inlineStr">
        <is>
          <t>Not individually decided</t>
        </is>
      </c>
      <c r="H1319" s="34" t="inlineStr">
        <is>
          <t xml:space="preserve">APPROVED / ONE_TO_ONE; </t>
        </is>
      </c>
      <c r="I1319" s="34" t="inlineStr">
        <is>
          <t>New</t>
        </is>
      </c>
      <c r="J1319" s="92" t="inlineStr">
        <is>
          <t>08 CROSSWALK</t>
        </is>
      </c>
    </row>
    <row r="1320" ht="49" customHeight="1">
      <c r="A1320" s="34" t="inlineStr">
        <is>
          <t>R1555-v1</t>
        </is>
      </c>
      <c r="B1320" s="34" t="inlineStr">
        <is>
          <t>Cost &amp; Forecast Control Accounts / CST-06-073</t>
        </is>
      </c>
      <c r="C1320" s="34" t="inlineStr">
        <is>
          <t>Cost Account = CA-6073; WBS Code = 1.6.1</t>
        </is>
      </c>
      <c r="D1320" s="34" t="inlineStr">
        <is>
          <t>Proposed by Source assignment; target 1.6.1 Program Management - Program Controls</t>
        </is>
      </c>
      <c r="E1320" s="34" t="inlineStr">
        <is>
          <t>None recorded</t>
        </is>
      </c>
      <c r="F1320" s="34" t="inlineStr">
        <is>
          <t>No individual professional decision recorded; Source assignment -- not individually reviewed</t>
        </is>
      </c>
      <c r="G1320" s="34" t="inlineStr">
        <is>
          <t>Not individually decided</t>
        </is>
      </c>
      <c r="H1320" s="34" t="inlineStr">
        <is>
          <t xml:space="preserve">APPROVED / ONE_TO_ONE; </t>
        </is>
      </c>
      <c r="I1320" s="34" t="inlineStr">
        <is>
          <t>New</t>
        </is>
      </c>
      <c r="J1320" s="92" t="inlineStr">
        <is>
          <t>08 CROSSWALK</t>
        </is>
      </c>
    </row>
    <row r="1321" ht="49" customHeight="1">
      <c r="A1321" s="34" t="inlineStr">
        <is>
          <t>R1557-v1</t>
        </is>
      </c>
      <c r="B1321" s="34" t="inlineStr">
        <is>
          <t>Cost &amp; Forecast Control Accounts / CST-06-075</t>
        </is>
      </c>
      <c r="C1321" s="34" t="inlineStr">
        <is>
          <t>Cost Account = CA-6075; WBS Code = 1.6.1</t>
        </is>
      </c>
      <c r="D1321" s="34" t="inlineStr">
        <is>
          <t>Proposed by Source assignment; target 1.6.1 Program Management - Program Controls</t>
        </is>
      </c>
      <c r="E1321" s="34" t="inlineStr">
        <is>
          <t>None recorded</t>
        </is>
      </c>
      <c r="F1321" s="34" t="inlineStr">
        <is>
          <t>No individual professional decision recorded; Source assignment -- not individually reviewed</t>
        </is>
      </c>
      <c r="G1321" s="34" t="inlineStr">
        <is>
          <t>Not individually decided</t>
        </is>
      </c>
      <c r="H1321" s="34" t="inlineStr">
        <is>
          <t xml:space="preserve">APPROVED / ONE_TO_ONE; </t>
        </is>
      </c>
      <c r="I1321" s="34" t="inlineStr">
        <is>
          <t>New</t>
        </is>
      </c>
      <c r="J1321" s="92" t="inlineStr">
        <is>
          <t>08 CROSSWALK</t>
        </is>
      </c>
    </row>
    <row r="1322" ht="49" customHeight="1">
      <c r="A1322" s="34" t="inlineStr">
        <is>
          <t>R1559-v1</t>
        </is>
      </c>
      <c r="B1322" s="34" t="inlineStr">
        <is>
          <t>Cost &amp; Forecast Control Accounts / CST-06-077</t>
        </is>
      </c>
      <c r="C1322" s="34" t="inlineStr">
        <is>
          <t>Cost Account = CA-6077; WBS Code = 1.6.1</t>
        </is>
      </c>
      <c r="D1322" s="34" t="inlineStr">
        <is>
          <t>Proposed by Source assignment; target 1.6.1 Program Management - Program Controls</t>
        </is>
      </c>
      <c r="E1322" s="34" t="inlineStr">
        <is>
          <t>None recorded</t>
        </is>
      </c>
      <c r="F1322" s="34" t="inlineStr">
        <is>
          <t>No individual professional decision recorded; Source assignment -- not individually reviewed</t>
        </is>
      </c>
      <c r="G1322" s="34" t="inlineStr">
        <is>
          <t>Not individually decided</t>
        </is>
      </c>
      <c r="H1322" s="34" t="inlineStr">
        <is>
          <t xml:space="preserve">APPROVED / ONE_TO_ONE; </t>
        </is>
      </c>
      <c r="I1322" s="34" t="inlineStr">
        <is>
          <t>New</t>
        </is>
      </c>
      <c r="J1322" s="92" t="inlineStr">
        <is>
          <t>08 CROSSWALK</t>
        </is>
      </c>
    </row>
    <row r="1323" ht="49" customHeight="1">
      <c r="A1323" s="34" t="inlineStr">
        <is>
          <t>R1561-v1</t>
        </is>
      </c>
      <c r="B1323" s="34" t="inlineStr">
        <is>
          <t>Cost &amp; Forecast Control Accounts / CST-06-079</t>
        </is>
      </c>
      <c r="C1323" s="34" t="inlineStr">
        <is>
          <t>Cost Account = CA-6079; WBS Code = 1.6.1</t>
        </is>
      </c>
      <c r="D1323" s="34" t="inlineStr">
        <is>
          <t>Proposed by Source assignment; target 1.6.1 Program Management - Program Controls</t>
        </is>
      </c>
      <c r="E1323" s="34" t="inlineStr">
        <is>
          <t>None recorded</t>
        </is>
      </c>
      <c r="F1323" s="34" t="inlineStr">
        <is>
          <t>No individual professional decision recorded; Source assignment -- not individually reviewed</t>
        </is>
      </c>
      <c r="G1323" s="34" t="inlineStr">
        <is>
          <t>Not individually decided</t>
        </is>
      </c>
      <c r="H1323" s="34" t="inlineStr">
        <is>
          <t xml:space="preserve">APPROVED / ONE_TO_ONE; </t>
        </is>
      </c>
      <c r="I1323" s="34" t="inlineStr">
        <is>
          <t>New</t>
        </is>
      </c>
      <c r="J1323" s="92" t="inlineStr">
        <is>
          <t>08 CROSSWALK</t>
        </is>
      </c>
    </row>
    <row r="1324" ht="49" customHeight="1">
      <c r="A1324" s="34" t="inlineStr">
        <is>
          <t>R1484-v1</t>
        </is>
      </c>
      <c r="B1324" s="34" t="inlineStr">
        <is>
          <t>Cost &amp; Forecast Control Accounts / CST-06-002</t>
        </is>
      </c>
      <c r="C1324" s="34" t="inlineStr">
        <is>
          <t>Cost Account = CA-6002; WBS Code = 1.6.2</t>
        </is>
      </c>
      <c r="D1324" s="34" t="inlineStr">
        <is>
          <t>Proposed by Source assignment; target 1.6.2 Program Management - Commercial &amp; Procurement</t>
        </is>
      </c>
      <c r="E1324" s="34" t="inlineStr">
        <is>
          <t>None recorded</t>
        </is>
      </c>
      <c r="F1324" s="34" t="inlineStr">
        <is>
          <t>No individual professional decision recorded; Source assignment -- not individually reviewed</t>
        </is>
      </c>
      <c r="G1324" s="34" t="inlineStr">
        <is>
          <t>Not individually decided</t>
        </is>
      </c>
      <c r="H1324" s="34" t="inlineStr">
        <is>
          <t xml:space="preserve">APPROVED / ONE_TO_ONE; </t>
        </is>
      </c>
      <c r="I1324" s="34" t="inlineStr">
        <is>
          <t>New</t>
        </is>
      </c>
      <c r="J1324" s="92" t="inlineStr">
        <is>
          <t>08 CROSSWALK</t>
        </is>
      </c>
    </row>
    <row r="1325" ht="49" customHeight="1">
      <c r="A1325" s="34" t="inlineStr">
        <is>
          <t>R1486-v1</t>
        </is>
      </c>
      <c r="B1325" s="34" t="inlineStr">
        <is>
          <t>Cost &amp; Forecast Control Accounts / CST-06-004</t>
        </is>
      </c>
      <c r="C1325" s="34" t="inlineStr">
        <is>
          <t>Cost Account = CA-6004; WBS Code = 1.6.2</t>
        </is>
      </c>
      <c r="D1325" s="34" t="inlineStr">
        <is>
          <t>Proposed by Source assignment; target 1.6.2 Program Management - Commercial &amp; Procurement</t>
        </is>
      </c>
      <c r="E1325" s="34" t="inlineStr">
        <is>
          <t>None recorded</t>
        </is>
      </c>
      <c r="F1325" s="34" t="inlineStr">
        <is>
          <t>No individual professional decision recorded; Source assignment -- not individually reviewed</t>
        </is>
      </c>
      <c r="G1325" s="34" t="inlineStr">
        <is>
          <t>Not individually decided</t>
        </is>
      </c>
      <c r="H1325" s="34" t="inlineStr">
        <is>
          <t xml:space="preserve">APPROVED / ONE_TO_ONE; </t>
        </is>
      </c>
      <c r="I1325" s="34" t="inlineStr">
        <is>
          <t>New</t>
        </is>
      </c>
      <c r="J1325" s="92" t="inlineStr">
        <is>
          <t>08 CROSSWALK</t>
        </is>
      </c>
    </row>
    <row r="1326" ht="49" customHeight="1">
      <c r="A1326" s="34" t="inlineStr">
        <is>
          <t>R1488-v1</t>
        </is>
      </c>
      <c r="B1326" s="34" t="inlineStr">
        <is>
          <t>Cost &amp; Forecast Control Accounts / CST-06-006</t>
        </is>
      </c>
      <c r="C1326" s="34" t="inlineStr">
        <is>
          <t>Cost Account = CA-6006; WBS Code = 1.6.2</t>
        </is>
      </c>
      <c r="D1326" s="34" t="inlineStr">
        <is>
          <t>Proposed by Source assignment; target 1.6.2 Program Management - Commercial &amp; Procurement</t>
        </is>
      </c>
      <c r="E1326" s="34" t="inlineStr">
        <is>
          <t>None recorded</t>
        </is>
      </c>
      <c r="F1326" s="34" t="inlineStr">
        <is>
          <t>No individual professional decision recorded; Source assignment -- not individually reviewed</t>
        </is>
      </c>
      <c r="G1326" s="34" t="inlineStr">
        <is>
          <t>Not individually decided</t>
        </is>
      </c>
      <c r="H1326" s="34" t="inlineStr">
        <is>
          <t xml:space="preserve">APPROVED / ONE_TO_ONE; </t>
        </is>
      </c>
      <c r="I1326" s="34" t="inlineStr">
        <is>
          <t>New</t>
        </is>
      </c>
      <c r="J1326" s="92" t="inlineStr">
        <is>
          <t>08 CROSSWALK</t>
        </is>
      </c>
    </row>
    <row r="1327" ht="49" customHeight="1">
      <c r="A1327" s="34" t="inlineStr">
        <is>
          <t>R1490-v1</t>
        </is>
      </c>
      <c r="B1327" s="34" t="inlineStr">
        <is>
          <t>Cost &amp; Forecast Control Accounts / CST-06-008</t>
        </is>
      </c>
      <c r="C1327" s="34" t="inlineStr">
        <is>
          <t>Cost Account = CA-6008; WBS Code = 1.6.2</t>
        </is>
      </c>
      <c r="D1327" s="34" t="inlineStr">
        <is>
          <t>Proposed by Source assignment; target 1.6.2 Program Management - Commercial &amp; Procurement</t>
        </is>
      </c>
      <c r="E1327" s="34" t="inlineStr">
        <is>
          <t>None recorded</t>
        </is>
      </c>
      <c r="F1327" s="34" t="inlineStr">
        <is>
          <t>No individual professional decision recorded; Source assignment -- not individually reviewed</t>
        </is>
      </c>
      <c r="G1327" s="34" t="inlineStr">
        <is>
          <t>Not individually decided</t>
        </is>
      </c>
      <c r="H1327" s="34" t="inlineStr">
        <is>
          <t xml:space="preserve">APPROVED / ONE_TO_ONE; </t>
        </is>
      </c>
      <c r="I1327" s="34" t="inlineStr">
        <is>
          <t>New</t>
        </is>
      </c>
      <c r="J1327" s="92" t="inlineStr">
        <is>
          <t>08 CROSSWALK</t>
        </is>
      </c>
    </row>
    <row r="1328" ht="49" customHeight="1">
      <c r="A1328" s="34" t="inlineStr">
        <is>
          <t>R1492-v1</t>
        </is>
      </c>
      <c r="B1328" s="34" t="inlineStr">
        <is>
          <t>Cost &amp; Forecast Control Accounts / CST-06-010</t>
        </is>
      </c>
      <c r="C1328" s="34" t="inlineStr">
        <is>
          <t>Cost Account = CA-6010; WBS Code = 1.6.2</t>
        </is>
      </c>
      <c r="D1328" s="34" t="inlineStr">
        <is>
          <t>Proposed by Source assignment; target 1.6.2 Program Management - Commercial &amp; Procurement</t>
        </is>
      </c>
      <c r="E1328" s="34" t="inlineStr">
        <is>
          <t>None recorded</t>
        </is>
      </c>
      <c r="F1328" s="34" t="inlineStr">
        <is>
          <t>No individual professional decision recorded; Source assignment -- not individually reviewed</t>
        </is>
      </c>
      <c r="G1328" s="34" t="inlineStr">
        <is>
          <t>Not individually decided</t>
        </is>
      </c>
      <c r="H1328" s="34" t="inlineStr">
        <is>
          <t xml:space="preserve">APPROVED / ONE_TO_ONE; </t>
        </is>
      </c>
      <c r="I1328" s="34" t="inlineStr">
        <is>
          <t>New</t>
        </is>
      </c>
      <c r="J1328" s="92" t="inlineStr">
        <is>
          <t>08 CROSSWALK</t>
        </is>
      </c>
    </row>
    <row r="1329" ht="49" customHeight="1">
      <c r="A1329" s="34" t="inlineStr">
        <is>
          <t>R1494-v1</t>
        </is>
      </c>
      <c r="B1329" s="34" t="inlineStr">
        <is>
          <t>Cost &amp; Forecast Control Accounts / CST-06-012</t>
        </is>
      </c>
      <c r="C1329" s="34" t="inlineStr">
        <is>
          <t>Cost Account = CA-6012; WBS Code = 1.6.2</t>
        </is>
      </c>
      <c r="D1329" s="34" t="inlineStr">
        <is>
          <t>Proposed by Source assignment; target 1.6.2 Program Management - Commercial &amp; Procurement</t>
        </is>
      </c>
      <c r="E1329" s="34" t="inlineStr">
        <is>
          <t>None recorded</t>
        </is>
      </c>
      <c r="F1329" s="34" t="inlineStr">
        <is>
          <t>No individual professional decision recorded; Source assignment -- not individually reviewed</t>
        </is>
      </c>
      <c r="G1329" s="34" t="inlineStr">
        <is>
          <t>Not individually decided</t>
        </is>
      </c>
      <c r="H1329" s="34" t="inlineStr">
        <is>
          <t xml:space="preserve">APPROVED / ONE_TO_ONE; </t>
        </is>
      </c>
      <c r="I1329" s="34" t="inlineStr">
        <is>
          <t>New</t>
        </is>
      </c>
      <c r="J1329" s="92" t="inlineStr">
        <is>
          <t>08 CROSSWALK</t>
        </is>
      </c>
    </row>
    <row r="1330" ht="49" customHeight="1">
      <c r="A1330" s="34" t="inlineStr">
        <is>
          <t>R1496-v1</t>
        </is>
      </c>
      <c r="B1330" s="34" t="inlineStr">
        <is>
          <t>Cost &amp; Forecast Control Accounts / CST-06-014</t>
        </is>
      </c>
      <c r="C1330" s="34" t="inlineStr">
        <is>
          <t>Cost Account = CA-6014; WBS Code = 1.6.2</t>
        </is>
      </c>
      <c r="D1330" s="34" t="inlineStr">
        <is>
          <t>Proposed by Source assignment; target 1.6.2 Program Management - Commercial &amp; Procurement</t>
        </is>
      </c>
      <c r="E1330" s="34" t="inlineStr">
        <is>
          <t>None recorded</t>
        </is>
      </c>
      <c r="F1330" s="34" t="inlineStr">
        <is>
          <t>No individual professional decision recorded; Source assignment -- not individually reviewed</t>
        </is>
      </c>
      <c r="G1330" s="34" t="inlineStr">
        <is>
          <t>Not individually decided</t>
        </is>
      </c>
      <c r="H1330" s="34" t="inlineStr">
        <is>
          <t xml:space="preserve">APPROVED / ONE_TO_ONE; </t>
        </is>
      </c>
      <c r="I1330" s="34" t="inlineStr">
        <is>
          <t>New</t>
        </is>
      </c>
      <c r="J1330" s="92" t="inlineStr">
        <is>
          <t>08 CROSSWALK</t>
        </is>
      </c>
    </row>
    <row r="1331" ht="49" customHeight="1">
      <c r="A1331" s="34" t="inlineStr">
        <is>
          <t>R1498-v1</t>
        </is>
      </c>
      <c r="B1331" s="34" t="inlineStr">
        <is>
          <t>Cost &amp; Forecast Control Accounts / CST-06-016</t>
        </is>
      </c>
      <c r="C1331" s="34" t="inlineStr">
        <is>
          <t>Cost Account = CA-6016; WBS Code = 1.6.2</t>
        </is>
      </c>
      <c r="D1331" s="34" t="inlineStr">
        <is>
          <t>Proposed by Source assignment; target 1.6.2 Program Management - Commercial &amp; Procurement</t>
        </is>
      </c>
      <c r="E1331" s="34" t="inlineStr">
        <is>
          <t>None recorded</t>
        </is>
      </c>
      <c r="F1331" s="34" t="inlineStr">
        <is>
          <t>No individual professional decision recorded; Source assignment -- not individually reviewed</t>
        </is>
      </c>
      <c r="G1331" s="34" t="inlineStr">
        <is>
          <t>Not individually decided</t>
        </is>
      </c>
      <c r="H1331" s="34" t="inlineStr">
        <is>
          <t xml:space="preserve">APPROVED / ONE_TO_ONE; </t>
        </is>
      </c>
      <c r="I1331" s="34" t="inlineStr">
        <is>
          <t>New</t>
        </is>
      </c>
      <c r="J1331" s="92" t="inlineStr">
        <is>
          <t>08 CROSSWALK</t>
        </is>
      </c>
    </row>
    <row r="1332" ht="49" customHeight="1">
      <c r="A1332" s="34" t="inlineStr">
        <is>
          <t>R1500-v1</t>
        </is>
      </c>
      <c r="B1332" s="34" t="inlineStr">
        <is>
          <t>Cost &amp; Forecast Control Accounts / CST-06-018</t>
        </is>
      </c>
      <c r="C1332" s="34" t="inlineStr">
        <is>
          <t>Cost Account = CA-6018; WBS Code = 1.6.2</t>
        </is>
      </c>
      <c r="D1332" s="34" t="inlineStr">
        <is>
          <t>Proposed by Source assignment; target 1.6.2 Program Management - Commercial &amp; Procurement</t>
        </is>
      </c>
      <c r="E1332" s="34" t="inlineStr">
        <is>
          <t>None recorded</t>
        </is>
      </c>
      <c r="F1332" s="34" t="inlineStr">
        <is>
          <t>No individual professional decision recorded; Source assignment -- not individually reviewed</t>
        </is>
      </c>
      <c r="G1332" s="34" t="inlineStr">
        <is>
          <t>Not individually decided</t>
        </is>
      </c>
      <c r="H1332" s="34" t="inlineStr">
        <is>
          <t xml:space="preserve">APPROVED / ONE_TO_ONE; </t>
        </is>
      </c>
      <c r="I1332" s="34" t="inlineStr">
        <is>
          <t>New</t>
        </is>
      </c>
      <c r="J1332" s="92" t="inlineStr">
        <is>
          <t>08 CROSSWALK</t>
        </is>
      </c>
    </row>
    <row r="1333" ht="49" customHeight="1">
      <c r="A1333" s="34" t="inlineStr">
        <is>
          <t>R1502-v1</t>
        </is>
      </c>
      <c r="B1333" s="34" t="inlineStr">
        <is>
          <t>Cost &amp; Forecast Control Accounts / CST-06-020</t>
        </is>
      </c>
      <c r="C1333" s="34" t="inlineStr">
        <is>
          <t>Cost Account = CA-6020; WBS Code = 1.6.2</t>
        </is>
      </c>
      <c r="D1333" s="34" t="inlineStr">
        <is>
          <t>Proposed by Source assignment; target 1.6.2 Program Management - Commercial &amp; Procurement</t>
        </is>
      </c>
      <c r="E1333" s="34" t="inlineStr">
        <is>
          <t>None recorded</t>
        </is>
      </c>
      <c r="F1333" s="34" t="inlineStr">
        <is>
          <t>No individual professional decision recorded; Source assignment -- not individually reviewed</t>
        </is>
      </c>
      <c r="G1333" s="34" t="inlineStr">
        <is>
          <t>Not individually decided</t>
        </is>
      </c>
      <c r="H1333" s="34" t="inlineStr">
        <is>
          <t xml:space="preserve">APPROVED / ONE_TO_ONE; </t>
        </is>
      </c>
      <c r="I1333" s="34" t="inlineStr">
        <is>
          <t>New</t>
        </is>
      </c>
      <c r="J1333" s="92" t="inlineStr">
        <is>
          <t>08 CROSSWALK</t>
        </is>
      </c>
    </row>
    <row r="1334" ht="49" customHeight="1">
      <c r="A1334" s="34" t="inlineStr">
        <is>
          <t>R1504-v1</t>
        </is>
      </c>
      <c r="B1334" s="34" t="inlineStr">
        <is>
          <t>Cost &amp; Forecast Control Accounts / CST-06-022</t>
        </is>
      </c>
      <c r="C1334" s="34" t="inlineStr">
        <is>
          <t>Cost Account = CA-6022; WBS Code = 1.6.2</t>
        </is>
      </c>
      <c r="D1334" s="34" t="inlineStr">
        <is>
          <t>Proposed by Source assignment; target 1.6.2 Program Management - Commercial &amp; Procurement</t>
        </is>
      </c>
      <c r="E1334" s="34" t="inlineStr">
        <is>
          <t>None recorded</t>
        </is>
      </c>
      <c r="F1334" s="34" t="inlineStr">
        <is>
          <t>No individual professional decision recorded; Source assignment -- not individually reviewed</t>
        </is>
      </c>
      <c r="G1334" s="34" t="inlineStr">
        <is>
          <t>Not individually decided</t>
        </is>
      </c>
      <c r="H1334" s="34" t="inlineStr">
        <is>
          <t xml:space="preserve">APPROVED / ONE_TO_ONE; </t>
        </is>
      </c>
      <c r="I1334" s="34" t="inlineStr">
        <is>
          <t>New</t>
        </is>
      </c>
      <c r="J1334" s="92" t="inlineStr">
        <is>
          <t>08 CROSSWALK</t>
        </is>
      </c>
    </row>
    <row r="1335" ht="49" customHeight="1">
      <c r="A1335" s="34" t="inlineStr">
        <is>
          <t>R1506-v1</t>
        </is>
      </c>
      <c r="B1335" s="34" t="inlineStr">
        <is>
          <t>Cost &amp; Forecast Control Accounts / CST-06-024</t>
        </is>
      </c>
      <c r="C1335" s="34" t="inlineStr">
        <is>
          <t>Cost Account = CA-6024; WBS Code = 1.6.2</t>
        </is>
      </c>
      <c r="D1335" s="34" t="inlineStr">
        <is>
          <t>Proposed by Source assignment; target 1.6.2 Program Management - Commercial &amp; Procurement</t>
        </is>
      </c>
      <c r="E1335" s="34" t="inlineStr">
        <is>
          <t>None recorded</t>
        </is>
      </c>
      <c r="F1335" s="34" t="inlineStr">
        <is>
          <t>No individual professional decision recorded; Source assignment -- not individually reviewed</t>
        </is>
      </c>
      <c r="G1335" s="34" t="inlineStr">
        <is>
          <t>Not individually decided</t>
        </is>
      </c>
      <c r="H1335" s="34" t="inlineStr">
        <is>
          <t xml:space="preserve">APPROVED / ONE_TO_ONE; </t>
        </is>
      </c>
      <c r="I1335" s="34" t="inlineStr">
        <is>
          <t>New</t>
        </is>
      </c>
      <c r="J1335" s="92" t="inlineStr">
        <is>
          <t>08 CROSSWALK</t>
        </is>
      </c>
    </row>
    <row r="1336" ht="49" customHeight="1">
      <c r="A1336" s="34" t="inlineStr">
        <is>
          <t>R1508-v1</t>
        </is>
      </c>
      <c r="B1336" s="34" t="inlineStr">
        <is>
          <t>Cost &amp; Forecast Control Accounts / CST-06-026</t>
        </is>
      </c>
      <c r="C1336" s="34" t="inlineStr">
        <is>
          <t>Cost Account = CA-6026; WBS Code = 1.6.2</t>
        </is>
      </c>
      <c r="D1336" s="34" t="inlineStr">
        <is>
          <t>Proposed by Source assignment; target 1.6.2 Program Management - Commercial &amp; Procurement</t>
        </is>
      </c>
      <c r="E1336" s="34" t="inlineStr">
        <is>
          <t>None recorded</t>
        </is>
      </c>
      <c r="F1336" s="34" t="inlineStr">
        <is>
          <t>No individual professional decision recorded; Source assignment -- not individually reviewed</t>
        </is>
      </c>
      <c r="G1336" s="34" t="inlineStr">
        <is>
          <t>Not individually decided</t>
        </is>
      </c>
      <c r="H1336" s="34" t="inlineStr">
        <is>
          <t xml:space="preserve">APPROVED / ONE_TO_ONE; </t>
        </is>
      </c>
      <c r="I1336" s="34" t="inlineStr">
        <is>
          <t>New</t>
        </is>
      </c>
      <c r="J1336" s="92" t="inlineStr">
        <is>
          <t>08 CROSSWALK</t>
        </is>
      </c>
    </row>
    <row r="1337" ht="49" customHeight="1">
      <c r="A1337" s="34" t="inlineStr">
        <is>
          <t>R1510-v1</t>
        </is>
      </c>
      <c r="B1337" s="34" t="inlineStr">
        <is>
          <t>Cost &amp; Forecast Control Accounts / CST-06-028</t>
        </is>
      </c>
      <c r="C1337" s="34" t="inlineStr">
        <is>
          <t>Cost Account = CA-6028; WBS Code = 1.6.2</t>
        </is>
      </c>
      <c r="D1337" s="34" t="inlineStr">
        <is>
          <t>Proposed by Source assignment; target 1.6.2 Program Management - Commercial &amp; Procurement</t>
        </is>
      </c>
      <c r="E1337" s="34" t="inlineStr">
        <is>
          <t>None recorded</t>
        </is>
      </c>
      <c r="F1337" s="34" t="inlineStr">
        <is>
          <t>No individual professional decision recorded; Source assignment -- not individually reviewed</t>
        </is>
      </c>
      <c r="G1337" s="34" t="inlineStr">
        <is>
          <t>Not individually decided</t>
        </is>
      </c>
      <c r="H1337" s="34" t="inlineStr">
        <is>
          <t xml:space="preserve">APPROVED / ONE_TO_ONE; </t>
        </is>
      </c>
      <c r="I1337" s="34" t="inlineStr">
        <is>
          <t>New</t>
        </is>
      </c>
      <c r="J1337" s="92" t="inlineStr">
        <is>
          <t>08 CROSSWALK</t>
        </is>
      </c>
    </row>
    <row r="1338" ht="49" customHeight="1">
      <c r="A1338" s="34" t="inlineStr">
        <is>
          <t>R1512-v1</t>
        </is>
      </c>
      <c r="B1338" s="34" t="inlineStr">
        <is>
          <t>Cost &amp; Forecast Control Accounts / CST-06-030</t>
        </is>
      </c>
      <c r="C1338" s="34" t="inlineStr">
        <is>
          <t>Cost Account = CA-6030; WBS Code = 1.6.2</t>
        </is>
      </c>
      <c r="D1338" s="34" t="inlineStr">
        <is>
          <t>Proposed by Source assignment; target 1.6.2 Program Management - Commercial &amp; Procurement</t>
        </is>
      </c>
      <c r="E1338" s="34" t="inlineStr">
        <is>
          <t>None recorded</t>
        </is>
      </c>
      <c r="F1338" s="34" t="inlineStr">
        <is>
          <t>No individual professional decision recorded; Source assignment -- not individually reviewed</t>
        </is>
      </c>
      <c r="G1338" s="34" t="inlineStr">
        <is>
          <t>Not individually decided</t>
        </is>
      </c>
      <c r="H1338" s="34" t="inlineStr">
        <is>
          <t xml:space="preserve">APPROVED / ONE_TO_ONE; </t>
        </is>
      </c>
      <c r="I1338" s="34" t="inlineStr">
        <is>
          <t>New</t>
        </is>
      </c>
      <c r="J1338" s="92" t="inlineStr">
        <is>
          <t>08 CROSSWALK</t>
        </is>
      </c>
    </row>
    <row r="1339" ht="49" customHeight="1">
      <c r="A1339" s="34" t="inlineStr">
        <is>
          <t>R1514-v1</t>
        </is>
      </c>
      <c r="B1339" s="34" t="inlineStr">
        <is>
          <t>Cost &amp; Forecast Control Accounts / CST-06-032</t>
        </is>
      </c>
      <c r="C1339" s="34" t="inlineStr">
        <is>
          <t>Cost Account = CA-6032; WBS Code = 1.6.2</t>
        </is>
      </c>
      <c r="D1339" s="34" t="inlineStr">
        <is>
          <t>Proposed by Source assignment; target 1.6.2 Program Management - Commercial &amp; Procurement</t>
        </is>
      </c>
      <c r="E1339" s="34" t="inlineStr">
        <is>
          <t>None recorded</t>
        </is>
      </c>
      <c r="F1339" s="34" t="inlineStr">
        <is>
          <t>No individual professional decision recorded; Source assignment -- not individually reviewed</t>
        </is>
      </c>
      <c r="G1339" s="34" t="inlineStr">
        <is>
          <t>Not individually decided</t>
        </is>
      </c>
      <c r="H1339" s="34" t="inlineStr">
        <is>
          <t xml:space="preserve">APPROVED / ONE_TO_ONE; </t>
        </is>
      </c>
      <c r="I1339" s="34" t="inlineStr">
        <is>
          <t>New</t>
        </is>
      </c>
      <c r="J1339" s="92" t="inlineStr">
        <is>
          <t>08 CROSSWALK</t>
        </is>
      </c>
    </row>
    <row r="1340" ht="49" customHeight="1">
      <c r="A1340" s="34" t="inlineStr">
        <is>
          <t>R1516-v1</t>
        </is>
      </c>
      <c r="B1340" s="34" t="inlineStr">
        <is>
          <t>Cost &amp; Forecast Control Accounts / CST-06-034</t>
        </is>
      </c>
      <c r="C1340" s="34" t="inlineStr">
        <is>
          <t>Cost Account = CA-6034; WBS Code = 1.6.2</t>
        </is>
      </c>
      <c r="D1340" s="34" t="inlineStr">
        <is>
          <t>Proposed by Source assignment; target 1.6.2 Program Management - Commercial &amp; Procurement</t>
        </is>
      </c>
      <c r="E1340" s="34" t="inlineStr">
        <is>
          <t>None recorded</t>
        </is>
      </c>
      <c r="F1340" s="34" t="inlineStr">
        <is>
          <t>No individual professional decision recorded; Source assignment -- not individually reviewed</t>
        </is>
      </c>
      <c r="G1340" s="34" t="inlineStr">
        <is>
          <t>Not individually decided</t>
        </is>
      </c>
      <c r="H1340" s="34" t="inlineStr">
        <is>
          <t xml:space="preserve">APPROVED / ONE_TO_ONE; </t>
        </is>
      </c>
      <c r="I1340" s="34" t="inlineStr">
        <is>
          <t>New</t>
        </is>
      </c>
      <c r="J1340" s="92" t="inlineStr">
        <is>
          <t>08 CROSSWALK</t>
        </is>
      </c>
    </row>
    <row r="1341" ht="49" customHeight="1">
      <c r="A1341" s="34" t="inlineStr">
        <is>
          <t>R1518-v1</t>
        </is>
      </c>
      <c r="B1341" s="34" t="inlineStr">
        <is>
          <t>Cost &amp; Forecast Control Accounts / CST-06-036</t>
        </is>
      </c>
      <c r="C1341" s="34" t="inlineStr">
        <is>
          <t>Cost Account = CA-6036; WBS Code = 1.6.2</t>
        </is>
      </c>
      <c r="D1341" s="34" t="inlineStr">
        <is>
          <t>Proposed by Source assignment; target 1.6.2 Program Management - Commercial &amp; Procurement</t>
        </is>
      </c>
      <c r="E1341" s="34" t="inlineStr">
        <is>
          <t>None recorded</t>
        </is>
      </c>
      <c r="F1341" s="34" t="inlineStr">
        <is>
          <t>No individual professional decision recorded; Source assignment -- not individually reviewed</t>
        </is>
      </c>
      <c r="G1341" s="34" t="inlineStr">
        <is>
          <t>Not individually decided</t>
        </is>
      </c>
      <c r="H1341" s="34" t="inlineStr">
        <is>
          <t xml:space="preserve">APPROVED / ONE_TO_ONE; </t>
        </is>
      </c>
      <c r="I1341" s="34" t="inlineStr">
        <is>
          <t>New</t>
        </is>
      </c>
      <c r="J1341" s="92" t="inlineStr">
        <is>
          <t>08 CROSSWALK</t>
        </is>
      </c>
    </row>
    <row r="1342" ht="49" customHeight="1">
      <c r="A1342" s="34" t="inlineStr">
        <is>
          <t>R1520-v1</t>
        </is>
      </c>
      <c r="B1342" s="34" t="inlineStr">
        <is>
          <t>Cost &amp; Forecast Control Accounts / CST-06-038</t>
        </is>
      </c>
      <c r="C1342" s="34" t="inlineStr">
        <is>
          <t>Cost Account = CA-6038; WBS Code = 1.6.2</t>
        </is>
      </c>
      <c r="D1342" s="34" t="inlineStr">
        <is>
          <t>Proposed by Source assignment; target 1.6.2 Program Management - Commercial &amp; Procurement</t>
        </is>
      </c>
      <c r="E1342" s="34" t="inlineStr">
        <is>
          <t>None recorded</t>
        </is>
      </c>
      <c r="F1342" s="34" t="inlineStr">
        <is>
          <t>No individual professional decision recorded; Source assignment -- not individually reviewed</t>
        </is>
      </c>
      <c r="G1342" s="34" t="inlineStr">
        <is>
          <t>Not individually decided</t>
        </is>
      </c>
      <c r="H1342" s="34" t="inlineStr">
        <is>
          <t xml:space="preserve">APPROVED / ONE_TO_ONE; </t>
        </is>
      </c>
      <c r="I1342" s="34" t="inlineStr">
        <is>
          <t>New</t>
        </is>
      </c>
      <c r="J1342" s="92" t="inlineStr">
        <is>
          <t>08 CROSSWALK</t>
        </is>
      </c>
    </row>
    <row r="1343" ht="49" customHeight="1">
      <c r="A1343" s="34" t="inlineStr">
        <is>
          <t>R1522-v1</t>
        </is>
      </c>
      <c r="B1343" s="34" t="inlineStr">
        <is>
          <t>Cost &amp; Forecast Control Accounts / CST-06-040</t>
        </is>
      </c>
      <c r="C1343" s="34" t="inlineStr">
        <is>
          <t>Cost Account = CA-6040; WBS Code = 1.6.2</t>
        </is>
      </c>
      <c r="D1343" s="34" t="inlineStr">
        <is>
          <t>Proposed by Source assignment; target 1.6.2 Program Management - Commercial &amp; Procurement</t>
        </is>
      </c>
      <c r="E1343" s="34" t="inlineStr">
        <is>
          <t>None recorded</t>
        </is>
      </c>
      <c r="F1343" s="34" t="inlineStr">
        <is>
          <t>No individual professional decision recorded; Source assignment -- not individually reviewed</t>
        </is>
      </c>
      <c r="G1343" s="34" t="inlineStr">
        <is>
          <t>Not individually decided</t>
        </is>
      </c>
      <c r="H1343" s="34" t="inlineStr">
        <is>
          <t xml:space="preserve">APPROVED / ONE_TO_ONE; </t>
        </is>
      </c>
      <c r="I1343" s="34" t="inlineStr">
        <is>
          <t>New</t>
        </is>
      </c>
      <c r="J1343" s="92" t="inlineStr">
        <is>
          <t>08 CROSSWALK</t>
        </is>
      </c>
    </row>
    <row r="1344" ht="49" customHeight="1">
      <c r="A1344" s="34" t="inlineStr">
        <is>
          <t>R1524-v1</t>
        </is>
      </c>
      <c r="B1344" s="34" t="inlineStr">
        <is>
          <t>Cost &amp; Forecast Control Accounts / CST-06-042</t>
        </is>
      </c>
      <c r="C1344" s="34" t="inlineStr">
        <is>
          <t>Cost Account = CA-6042; WBS Code = 1.6.2</t>
        </is>
      </c>
      <c r="D1344" s="34" t="inlineStr">
        <is>
          <t>Proposed by Source assignment; target 1.6.2 Program Management - Commercial &amp; Procurement</t>
        </is>
      </c>
      <c r="E1344" s="34" t="inlineStr">
        <is>
          <t>None recorded</t>
        </is>
      </c>
      <c r="F1344" s="34" t="inlineStr">
        <is>
          <t>No individual professional decision recorded; Source assignment -- not individually reviewed</t>
        </is>
      </c>
      <c r="G1344" s="34" t="inlineStr">
        <is>
          <t>Not individually decided</t>
        </is>
      </c>
      <c r="H1344" s="34" t="inlineStr">
        <is>
          <t xml:space="preserve">APPROVED / ONE_TO_ONE; </t>
        </is>
      </c>
      <c r="I1344" s="34" t="inlineStr">
        <is>
          <t>New</t>
        </is>
      </c>
      <c r="J1344" s="92" t="inlineStr">
        <is>
          <t>08 CROSSWALK</t>
        </is>
      </c>
    </row>
    <row r="1345" ht="49" customHeight="1">
      <c r="A1345" s="34" t="inlineStr">
        <is>
          <t>R1526-v1</t>
        </is>
      </c>
      <c r="B1345" s="34" t="inlineStr">
        <is>
          <t>Cost &amp; Forecast Control Accounts / CST-06-044</t>
        </is>
      </c>
      <c r="C1345" s="34" t="inlineStr">
        <is>
          <t>Cost Account = CA-6044; WBS Code = 1.6.2</t>
        </is>
      </c>
      <c r="D1345" s="34" t="inlineStr">
        <is>
          <t>Proposed by Source assignment; target 1.6.2 Program Management - Commercial &amp; Procurement</t>
        </is>
      </c>
      <c r="E1345" s="34" t="inlineStr">
        <is>
          <t>None recorded</t>
        </is>
      </c>
      <c r="F1345" s="34" t="inlineStr">
        <is>
          <t>No individual professional decision recorded; Source assignment -- not individually reviewed</t>
        </is>
      </c>
      <c r="G1345" s="34" t="inlineStr">
        <is>
          <t>Not individually decided</t>
        </is>
      </c>
      <c r="H1345" s="34" t="inlineStr">
        <is>
          <t xml:space="preserve">APPROVED / ONE_TO_ONE; </t>
        </is>
      </c>
      <c r="I1345" s="34" t="inlineStr">
        <is>
          <t>New</t>
        </is>
      </c>
      <c r="J1345" s="92" t="inlineStr">
        <is>
          <t>08 CROSSWALK</t>
        </is>
      </c>
    </row>
    <row r="1346" ht="49" customHeight="1">
      <c r="A1346" s="34" t="inlineStr">
        <is>
          <t>R1528-v1</t>
        </is>
      </c>
      <c r="B1346" s="34" t="inlineStr">
        <is>
          <t>Cost &amp; Forecast Control Accounts / CST-06-046</t>
        </is>
      </c>
      <c r="C1346" s="34" t="inlineStr">
        <is>
          <t>Cost Account = CA-6046; WBS Code = 1.6.2</t>
        </is>
      </c>
      <c r="D1346" s="34" t="inlineStr">
        <is>
          <t>Proposed by Source assignment; target 1.6.2 Program Management - Commercial &amp; Procurement</t>
        </is>
      </c>
      <c r="E1346" s="34" t="inlineStr">
        <is>
          <t>None recorded</t>
        </is>
      </c>
      <c r="F1346" s="34" t="inlineStr">
        <is>
          <t>No individual professional decision recorded; Source assignment -- not individually reviewed</t>
        </is>
      </c>
      <c r="G1346" s="34" t="inlineStr">
        <is>
          <t>Not individually decided</t>
        </is>
      </c>
      <c r="H1346" s="34" t="inlineStr">
        <is>
          <t xml:space="preserve">APPROVED / ONE_TO_ONE; </t>
        </is>
      </c>
      <c r="I1346" s="34" t="inlineStr">
        <is>
          <t>New</t>
        </is>
      </c>
      <c r="J1346" s="92" t="inlineStr">
        <is>
          <t>08 CROSSWALK</t>
        </is>
      </c>
    </row>
    <row r="1347" ht="49" customHeight="1">
      <c r="A1347" s="34" t="inlineStr">
        <is>
          <t>R1530-v1</t>
        </is>
      </c>
      <c r="B1347" s="34" t="inlineStr">
        <is>
          <t>Cost &amp; Forecast Control Accounts / CST-06-048</t>
        </is>
      </c>
      <c r="C1347" s="34" t="inlineStr">
        <is>
          <t>Cost Account = CA-6048; WBS Code = 1.6.2</t>
        </is>
      </c>
      <c r="D1347" s="34" t="inlineStr">
        <is>
          <t>Proposed by Source assignment; target 1.6.2 Program Management - Commercial &amp; Procurement</t>
        </is>
      </c>
      <c r="E1347" s="34" t="inlineStr">
        <is>
          <t>None recorded</t>
        </is>
      </c>
      <c r="F1347" s="34" t="inlineStr">
        <is>
          <t>No individual professional decision recorded; Source assignment -- not individually reviewed</t>
        </is>
      </c>
      <c r="G1347" s="34" t="inlineStr">
        <is>
          <t>Not individually decided</t>
        </is>
      </c>
      <c r="H1347" s="34" t="inlineStr">
        <is>
          <t xml:space="preserve">APPROVED / ONE_TO_ONE; </t>
        </is>
      </c>
      <c r="I1347" s="34" t="inlineStr">
        <is>
          <t>New</t>
        </is>
      </c>
      <c r="J1347" s="92" t="inlineStr">
        <is>
          <t>08 CROSSWALK</t>
        </is>
      </c>
    </row>
    <row r="1348" ht="49" customHeight="1">
      <c r="A1348" s="34" t="inlineStr">
        <is>
          <t>R1532-v1</t>
        </is>
      </c>
      <c r="B1348" s="34" t="inlineStr">
        <is>
          <t>Cost &amp; Forecast Control Accounts / CST-06-050</t>
        </is>
      </c>
      <c r="C1348" s="34" t="inlineStr">
        <is>
          <t>Cost Account = CA-6050; WBS Code = 1.6.2</t>
        </is>
      </c>
      <c r="D1348" s="34" t="inlineStr">
        <is>
          <t>Proposed by Source assignment; target 1.6.2 Program Management - Commercial &amp; Procurement</t>
        </is>
      </c>
      <c r="E1348" s="34" t="inlineStr">
        <is>
          <t>None recorded</t>
        </is>
      </c>
      <c r="F1348" s="34" t="inlineStr">
        <is>
          <t>No individual professional decision recorded; Source assignment -- not individually reviewed</t>
        </is>
      </c>
      <c r="G1348" s="34" t="inlineStr">
        <is>
          <t>Not individually decided</t>
        </is>
      </c>
      <c r="H1348" s="34" t="inlineStr">
        <is>
          <t xml:space="preserve">APPROVED / ONE_TO_ONE; </t>
        </is>
      </c>
      <c r="I1348" s="34" t="inlineStr">
        <is>
          <t>New</t>
        </is>
      </c>
      <c r="J1348" s="92" t="inlineStr">
        <is>
          <t>08 CROSSWALK</t>
        </is>
      </c>
    </row>
    <row r="1349" ht="49" customHeight="1">
      <c r="A1349" s="34" t="inlineStr">
        <is>
          <t>R1534-v1</t>
        </is>
      </c>
      <c r="B1349" s="34" t="inlineStr">
        <is>
          <t>Cost &amp; Forecast Control Accounts / CST-06-052</t>
        </is>
      </c>
      <c r="C1349" s="34" t="inlineStr">
        <is>
          <t>Cost Account = CA-6052; WBS Code = 1.6.2</t>
        </is>
      </c>
      <c r="D1349" s="34" t="inlineStr">
        <is>
          <t>Proposed by Source assignment; target 1.6.2 Program Management - Commercial &amp; Procurement</t>
        </is>
      </c>
      <c r="E1349" s="34" t="inlineStr">
        <is>
          <t>None recorded</t>
        </is>
      </c>
      <c r="F1349" s="34" t="inlineStr">
        <is>
          <t>No individual professional decision recorded; Source assignment -- not individually reviewed</t>
        </is>
      </c>
      <c r="G1349" s="34" t="inlineStr">
        <is>
          <t>Not individually decided</t>
        </is>
      </c>
      <c r="H1349" s="34" t="inlineStr">
        <is>
          <t xml:space="preserve">APPROVED / ONE_TO_ONE; </t>
        </is>
      </c>
      <c r="I1349" s="34" t="inlineStr">
        <is>
          <t>New</t>
        </is>
      </c>
      <c r="J1349" s="92" t="inlineStr">
        <is>
          <t>08 CROSSWALK</t>
        </is>
      </c>
    </row>
    <row r="1350" ht="49" customHeight="1">
      <c r="A1350" s="34" t="inlineStr">
        <is>
          <t>R1536-v1</t>
        </is>
      </c>
      <c r="B1350" s="34" t="inlineStr">
        <is>
          <t>Cost &amp; Forecast Control Accounts / CST-06-054</t>
        </is>
      </c>
      <c r="C1350" s="34" t="inlineStr">
        <is>
          <t>Cost Account = CA-6054; WBS Code = 1.6.2</t>
        </is>
      </c>
      <c r="D1350" s="34" t="inlineStr">
        <is>
          <t>Proposed by Source assignment; target 1.6.2 Program Management - Commercial &amp; Procurement</t>
        </is>
      </c>
      <c r="E1350" s="34" t="inlineStr">
        <is>
          <t>None recorded</t>
        </is>
      </c>
      <c r="F1350" s="34" t="inlineStr">
        <is>
          <t>No individual professional decision recorded; Source assignment -- not individually reviewed</t>
        </is>
      </c>
      <c r="G1350" s="34" t="inlineStr">
        <is>
          <t>Not individually decided</t>
        </is>
      </c>
      <c r="H1350" s="34" t="inlineStr">
        <is>
          <t xml:space="preserve">APPROVED / ONE_TO_ONE; </t>
        </is>
      </c>
      <c r="I1350" s="34" t="inlineStr">
        <is>
          <t>New</t>
        </is>
      </c>
      <c r="J1350" s="92" t="inlineStr">
        <is>
          <t>08 CROSSWALK</t>
        </is>
      </c>
    </row>
    <row r="1351" ht="49" customHeight="1">
      <c r="A1351" s="34" t="inlineStr">
        <is>
          <t>R1538-v1</t>
        </is>
      </c>
      <c r="B1351" s="34" t="inlineStr">
        <is>
          <t>Cost &amp; Forecast Control Accounts / CST-06-056</t>
        </is>
      </c>
      <c r="C1351" s="34" t="inlineStr">
        <is>
          <t>Cost Account = CA-6056; WBS Code = 1.6.2</t>
        </is>
      </c>
      <c r="D1351" s="34" t="inlineStr">
        <is>
          <t>Proposed by Source assignment; target 1.6.2 Program Management - Commercial &amp; Procurement</t>
        </is>
      </c>
      <c r="E1351" s="34" t="inlineStr">
        <is>
          <t>None recorded</t>
        </is>
      </c>
      <c r="F1351" s="34" t="inlineStr">
        <is>
          <t>No individual professional decision recorded; Source assignment -- not individually reviewed</t>
        </is>
      </c>
      <c r="G1351" s="34" t="inlineStr">
        <is>
          <t>Not individually decided</t>
        </is>
      </c>
      <c r="H1351" s="34" t="inlineStr">
        <is>
          <t xml:space="preserve">APPROVED / ONE_TO_ONE; </t>
        </is>
      </c>
      <c r="I1351" s="34" t="inlineStr">
        <is>
          <t>New</t>
        </is>
      </c>
      <c r="J1351" s="92" t="inlineStr">
        <is>
          <t>08 CROSSWALK</t>
        </is>
      </c>
    </row>
    <row r="1352" ht="49" customHeight="1">
      <c r="A1352" s="34" t="inlineStr">
        <is>
          <t>R1540-v1</t>
        </is>
      </c>
      <c r="B1352" s="34" t="inlineStr">
        <is>
          <t>Cost &amp; Forecast Control Accounts / CST-06-058</t>
        </is>
      </c>
      <c r="C1352" s="34" t="inlineStr">
        <is>
          <t>Cost Account = CA-6058; WBS Code = 1.6.2</t>
        </is>
      </c>
      <c r="D1352" s="34" t="inlineStr">
        <is>
          <t>Proposed by Source assignment; target 1.6.2 Program Management - Commercial &amp; Procurement</t>
        </is>
      </c>
      <c r="E1352" s="34" t="inlineStr">
        <is>
          <t>None recorded</t>
        </is>
      </c>
      <c r="F1352" s="34" t="inlineStr">
        <is>
          <t>No individual professional decision recorded; Source assignment -- not individually reviewed</t>
        </is>
      </c>
      <c r="G1352" s="34" t="inlineStr">
        <is>
          <t>Not individually decided</t>
        </is>
      </c>
      <c r="H1352" s="34" t="inlineStr">
        <is>
          <t xml:space="preserve">APPROVED / ONE_TO_ONE; </t>
        </is>
      </c>
      <c r="I1352" s="34" t="inlineStr">
        <is>
          <t>New</t>
        </is>
      </c>
      <c r="J1352" s="92" t="inlineStr">
        <is>
          <t>08 CROSSWALK</t>
        </is>
      </c>
    </row>
    <row r="1353" ht="49" customHeight="1">
      <c r="A1353" s="34" t="inlineStr">
        <is>
          <t>R1542-v1</t>
        </is>
      </c>
      <c r="B1353" s="34" t="inlineStr">
        <is>
          <t>Cost &amp; Forecast Control Accounts / CST-06-060</t>
        </is>
      </c>
      <c r="C1353" s="34" t="inlineStr">
        <is>
          <t>Cost Account = CA-6060; WBS Code = 1.6.2</t>
        </is>
      </c>
      <c r="D1353" s="34" t="inlineStr">
        <is>
          <t>Proposed by Source assignment; target 1.6.2 Program Management - Commercial &amp; Procurement</t>
        </is>
      </c>
      <c r="E1353" s="34" t="inlineStr">
        <is>
          <t>None recorded</t>
        </is>
      </c>
      <c r="F1353" s="34" t="inlineStr">
        <is>
          <t>No individual professional decision recorded; Source assignment -- not individually reviewed</t>
        </is>
      </c>
      <c r="G1353" s="34" t="inlineStr">
        <is>
          <t>Not individually decided</t>
        </is>
      </c>
      <c r="H1353" s="34" t="inlineStr">
        <is>
          <t xml:space="preserve">APPROVED / ONE_TO_ONE; </t>
        </is>
      </c>
      <c r="I1353" s="34" t="inlineStr">
        <is>
          <t>New</t>
        </is>
      </c>
      <c r="J1353" s="92" t="inlineStr">
        <is>
          <t>08 CROSSWALK</t>
        </is>
      </c>
    </row>
    <row r="1354" ht="49" customHeight="1">
      <c r="A1354" s="34" t="inlineStr">
        <is>
          <t>R1544-v1</t>
        </is>
      </c>
      <c r="B1354" s="34" t="inlineStr">
        <is>
          <t>Cost &amp; Forecast Control Accounts / CST-06-062</t>
        </is>
      </c>
      <c r="C1354" s="34" t="inlineStr">
        <is>
          <t>Cost Account = CA-6062; WBS Code = 1.6.2</t>
        </is>
      </c>
      <c r="D1354" s="34" t="inlineStr">
        <is>
          <t>Proposed by Source assignment; target 1.6.2 Program Management - Commercial &amp; Procurement</t>
        </is>
      </c>
      <c r="E1354" s="34" t="inlineStr">
        <is>
          <t>None recorded</t>
        </is>
      </c>
      <c r="F1354" s="34" t="inlineStr">
        <is>
          <t>No individual professional decision recorded; Source assignment -- not individually reviewed</t>
        </is>
      </c>
      <c r="G1354" s="34" t="inlineStr">
        <is>
          <t>Not individually decided</t>
        </is>
      </c>
      <c r="H1354" s="34" t="inlineStr">
        <is>
          <t xml:space="preserve">APPROVED / ONE_TO_ONE; </t>
        </is>
      </c>
      <c r="I1354" s="34" t="inlineStr">
        <is>
          <t>New</t>
        </is>
      </c>
      <c r="J1354" s="92" t="inlineStr">
        <is>
          <t>08 CROSSWALK</t>
        </is>
      </c>
    </row>
    <row r="1355" ht="49" customHeight="1">
      <c r="A1355" s="34" t="inlineStr">
        <is>
          <t>R1546-v1</t>
        </is>
      </c>
      <c r="B1355" s="34" t="inlineStr">
        <is>
          <t>Cost &amp; Forecast Control Accounts / CST-06-064</t>
        </is>
      </c>
      <c r="C1355" s="34" t="inlineStr">
        <is>
          <t>Cost Account = CA-6064; WBS Code = 1.6.2</t>
        </is>
      </c>
      <c r="D1355" s="34" t="inlineStr">
        <is>
          <t>Proposed by Source assignment; target 1.6.2 Program Management - Commercial &amp; Procurement</t>
        </is>
      </c>
      <c r="E1355" s="34" t="inlineStr">
        <is>
          <t>None recorded</t>
        </is>
      </c>
      <c r="F1355" s="34" t="inlineStr">
        <is>
          <t>No individual professional decision recorded; Source assignment -- not individually reviewed</t>
        </is>
      </c>
      <c r="G1355" s="34" t="inlineStr">
        <is>
          <t>Not individually decided</t>
        </is>
      </c>
      <c r="H1355" s="34" t="inlineStr">
        <is>
          <t xml:space="preserve">APPROVED / ONE_TO_ONE; </t>
        </is>
      </c>
      <c r="I1355" s="34" t="inlineStr">
        <is>
          <t>New</t>
        </is>
      </c>
      <c r="J1355" s="92" t="inlineStr">
        <is>
          <t>08 CROSSWALK</t>
        </is>
      </c>
    </row>
    <row r="1356" ht="49" customHeight="1">
      <c r="A1356" s="34" t="inlineStr">
        <is>
          <t>R1548-v1</t>
        </is>
      </c>
      <c r="B1356" s="34" t="inlineStr">
        <is>
          <t>Cost &amp; Forecast Control Accounts / CST-06-066</t>
        </is>
      </c>
      <c r="C1356" s="34" t="inlineStr">
        <is>
          <t>Cost Account = CA-6066; WBS Code = 1.6.2</t>
        </is>
      </c>
      <c r="D1356" s="34" t="inlineStr">
        <is>
          <t>Proposed by Source assignment; target 1.6.2 Program Management - Commercial &amp; Procurement</t>
        </is>
      </c>
      <c r="E1356" s="34" t="inlineStr">
        <is>
          <t>None recorded</t>
        </is>
      </c>
      <c r="F1356" s="34" t="inlineStr">
        <is>
          <t>No individual professional decision recorded; Source assignment -- not individually reviewed</t>
        </is>
      </c>
      <c r="G1356" s="34" t="inlineStr">
        <is>
          <t>Not individually decided</t>
        </is>
      </c>
      <c r="H1356" s="34" t="inlineStr">
        <is>
          <t xml:space="preserve">APPROVED / ONE_TO_ONE; </t>
        </is>
      </c>
      <c r="I1356" s="34" t="inlineStr">
        <is>
          <t>New</t>
        </is>
      </c>
      <c r="J1356" s="92" t="inlineStr">
        <is>
          <t>08 CROSSWALK</t>
        </is>
      </c>
    </row>
    <row r="1357" ht="49" customHeight="1">
      <c r="A1357" s="34" t="inlineStr">
        <is>
          <t>R1550-v1</t>
        </is>
      </c>
      <c r="B1357" s="34" t="inlineStr">
        <is>
          <t>Cost &amp; Forecast Control Accounts / CST-06-068</t>
        </is>
      </c>
      <c r="C1357" s="34" t="inlineStr">
        <is>
          <t>Cost Account = CA-6068; WBS Code = 1.6.2</t>
        </is>
      </c>
      <c r="D1357" s="34" t="inlineStr">
        <is>
          <t>Proposed by Source assignment; target 1.6.2 Program Management - Commercial &amp; Procurement</t>
        </is>
      </c>
      <c r="E1357" s="34" t="inlineStr">
        <is>
          <t>None recorded</t>
        </is>
      </c>
      <c r="F1357" s="34" t="inlineStr">
        <is>
          <t>No individual professional decision recorded; Source assignment -- not individually reviewed</t>
        </is>
      </c>
      <c r="G1357" s="34" t="inlineStr">
        <is>
          <t>Not individually decided</t>
        </is>
      </c>
      <c r="H1357" s="34" t="inlineStr">
        <is>
          <t xml:space="preserve">APPROVED / ONE_TO_ONE; </t>
        </is>
      </c>
      <c r="I1357" s="34" t="inlineStr">
        <is>
          <t>New</t>
        </is>
      </c>
      <c r="J1357" s="92" t="inlineStr">
        <is>
          <t>08 CROSSWALK</t>
        </is>
      </c>
    </row>
    <row r="1358" ht="49" customHeight="1">
      <c r="A1358" s="34" t="inlineStr">
        <is>
          <t>R1552-v1</t>
        </is>
      </c>
      <c r="B1358" s="34" t="inlineStr">
        <is>
          <t>Cost &amp; Forecast Control Accounts / CST-06-070</t>
        </is>
      </c>
      <c r="C1358" s="34" t="inlineStr">
        <is>
          <t>Cost Account = CA-6070; WBS Code = 1.6.2</t>
        </is>
      </c>
      <c r="D1358" s="34" t="inlineStr">
        <is>
          <t>Proposed by Source assignment; target 1.6.2 Program Management - Commercial &amp; Procurement</t>
        </is>
      </c>
      <c r="E1358" s="34" t="inlineStr">
        <is>
          <t>None recorded</t>
        </is>
      </c>
      <c r="F1358" s="34" t="inlineStr">
        <is>
          <t>No individual professional decision recorded; Source assignment -- not individually reviewed</t>
        </is>
      </c>
      <c r="G1358" s="34" t="inlineStr">
        <is>
          <t>Not individually decided</t>
        </is>
      </c>
      <c r="H1358" s="34" t="inlineStr">
        <is>
          <t xml:space="preserve">APPROVED / ONE_TO_ONE; </t>
        </is>
      </c>
      <c r="I1358" s="34" t="inlineStr">
        <is>
          <t>New</t>
        </is>
      </c>
      <c r="J1358" s="92" t="inlineStr">
        <is>
          <t>08 CROSSWALK</t>
        </is>
      </c>
    </row>
    <row r="1359" ht="49" customHeight="1">
      <c r="A1359" s="34" t="inlineStr">
        <is>
          <t>R1554-v1</t>
        </is>
      </c>
      <c r="B1359" s="34" t="inlineStr">
        <is>
          <t>Cost &amp; Forecast Control Accounts / CST-06-072</t>
        </is>
      </c>
      <c r="C1359" s="34" t="inlineStr">
        <is>
          <t>Cost Account = CA-6072; WBS Code = 1.6.2</t>
        </is>
      </c>
      <c r="D1359" s="34" t="inlineStr">
        <is>
          <t>Proposed by Source assignment; target 1.6.2 Program Management - Commercial &amp; Procurement</t>
        </is>
      </c>
      <c r="E1359" s="34" t="inlineStr">
        <is>
          <t>None recorded</t>
        </is>
      </c>
      <c r="F1359" s="34" t="inlineStr">
        <is>
          <t>No individual professional decision recorded; Source assignment -- not individually reviewed</t>
        </is>
      </c>
      <c r="G1359" s="34" t="inlineStr">
        <is>
          <t>Not individually decided</t>
        </is>
      </c>
      <c r="H1359" s="34" t="inlineStr">
        <is>
          <t xml:space="preserve">APPROVED / ONE_TO_ONE; </t>
        </is>
      </c>
      <c r="I1359" s="34" t="inlineStr">
        <is>
          <t>New</t>
        </is>
      </c>
      <c r="J1359" s="92" t="inlineStr">
        <is>
          <t>08 CROSSWALK</t>
        </is>
      </c>
    </row>
    <row r="1360" ht="49" customHeight="1">
      <c r="A1360" s="34" t="inlineStr">
        <is>
          <t>R1556-v1</t>
        </is>
      </c>
      <c r="B1360" s="34" t="inlineStr">
        <is>
          <t>Cost &amp; Forecast Control Accounts / CST-06-074</t>
        </is>
      </c>
      <c r="C1360" s="34" t="inlineStr">
        <is>
          <t>Cost Account = CA-6074; WBS Code = 1.6.2</t>
        </is>
      </c>
      <c r="D1360" s="34" t="inlineStr">
        <is>
          <t>Proposed by Source assignment; target 1.6.2 Program Management - Commercial &amp; Procurement</t>
        </is>
      </c>
      <c r="E1360" s="34" t="inlineStr">
        <is>
          <t>None recorded</t>
        </is>
      </c>
      <c r="F1360" s="34" t="inlineStr">
        <is>
          <t>No individual professional decision recorded; Source assignment -- not individually reviewed</t>
        </is>
      </c>
      <c r="G1360" s="34" t="inlineStr">
        <is>
          <t>Not individually decided</t>
        </is>
      </c>
      <c r="H1360" s="34" t="inlineStr">
        <is>
          <t xml:space="preserve">APPROVED / ONE_TO_ONE; </t>
        </is>
      </c>
      <c r="I1360" s="34" t="inlineStr">
        <is>
          <t>New</t>
        </is>
      </c>
      <c r="J1360" s="92" t="inlineStr">
        <is>
          <t>08 CROSSWALK</t>
        </is>
      </c>
    </row>
    <row r="1361" ht="49" customHeight="1">
      <c r="A1361" s="34" t="inlineStr">
        <is>
          <t>R1558-v1</t>
        </is>
      </c>
      <c r="B1361" s="34" t="inlineStr">
        <is>
          <t>Cost &amp; Forecast Control Accounts / CST-06-076</t>
        </is>
      </c>
      <c r="C1361" s="34" t="inlineStr">
        <is>
          <t>Cost Account = CA-6076; WBS Code = 1.6.2</t>
        </is>
      </c>
      <c r="D1361" s="34" t="inlineStr">
        <is>
          <t>Proposed by Source assignment; target 1.6.2 Program Management - Commercial &amp; Procurement</t>
        </is>
      </c>
      <c r="E1361" s="34" t="inlineStr">
        <is>
          <t>None recorded</t>
        </is>
      </c>
      <c r="F1361" s="34" t="inlineStr">
        <is>
          <t>No individual professional decision recorded; Source assignment -- not individually reviewed</t>
        </is>
      </c>
      <c r="G1361" s="34" t="inlineStr">
        <is>
          <t>Not individually decided</t>
        </is>
      </c>
      <c r="H1361" s="34" t="inlineStr">
        <is>
          <t xml:space="preserve">APPROVED / ONE_TO_ONE; </t>
        </is>
      </c>
      <c r="I1361" s="34" t="inlineStr">
        <is>
          <t>New</t>
        </is>
      </c>
      <c r="J1361" s="92" t="inlineStr">
        <is>
          <t>08 CROSSWALK</t>
        </is>
      </c>
    </row>
    <row r="1362" ht="49" customHeight="1">
      <c r="A1362" s="34" t="inlineStr">
        <is>
          <t>R1560-v1</t>
        </is>
      </c>
      <c r="B1362" s="34" t="inlineStr">
        <is>
          <t>Cost &amp; Forecast Control Accounts / CST-06-078</t>
        </is>
      </c>
      <c r="C1362" s="34" t="inlineStr">
        <is>
          <t>Cost Account = CA-6078; WBS Code = 1.6.2</t>
        </is>
      </c>
      <c r="D1362" s="34" t="inlineStr">
        <is>
          <t>Proposed by Source assignment; target 1.6.2 Program Management - Commercial &amp; Procurement</t>
        </is>
      </c>
      <c r="E1362" s="34" t="inlineStr">
        <is>
          <t>None recorded</t>
        </is>
      </c>
      <c r="F1362" s="34" t="inlineStr">
        <is>
          <t>No individual professional decision recorded; Source assignment -- not individually reviewed</t>
        </is>
      </c>
      <c r="G1362" s="34" t="inlineStr">
        <is>
          <t>Not individually decided</t>
        </is>
      </c>
      <c r="H1362" s="34" t="inlineStr">
        <is>
          <t xml:space="preserve">APPROVED / ONE_TO_ONE; </t>
        </is>
      </c>
      <c r="I1362" s="34" t="inlineStr">
        <is>
          <t>New</t>
        </is>
      </c>
      <c r="J1362" s="92" t="inlineStr">
        <is>
          <t>08 CROSSWALK</t>
        </is>
      </c>
    </row>
    <row r="1363" ht="49" customHeight="1">
      <c r="A1363" s="34" t="inlineStr">
        <is>
          <t>R1562-v1</t>
        </is>
      </c>
      <c r="B1363" s="34" t="inlineStr">
        <is>
          <t>Cost &amp; Forecast Control Accounts / CST-06-080</t>
        </is>
      </c>
      <c r="C1363" s="34" t="inlineStr">
        <is>
          <t>Cost Account = CA-6080; WBS Code = 1.6.2</t>
        </is>
      </c>
      <c r="D1363" s="34" t="inlineStr">
        <is>
          <t>Proposed by Source assignment; target 1.6.2 Program Management - Commercial &amp; Procurement</t>
        </is>
      </c>
      <c r="E1363" s="34" t="inlineStr">
        <is>
          <t>None recorded</t>
        </is>
      </c>
      <c r="F1363" s="34" t="inlineStr">
        <is>
          <t>No individual professional decision recorded; Source assignment -- not individually reviewed</t>
        </is>
      </c>
      <c r="G1363" s="34" t="inlineStr">
        <is>
          <t>Not individually decided</t>
        </is>
      </c>
      <c r="H1363" s="34" t="inlineStr">
        <is>
          <t xml:space="preserve">APPROVED / ONE_TO_ONE; </t>
        </is>
      </c>
      <c r="I1363" s="34" t="inlineStr">
        <is>
          <t>New</t>
        </is>
      </c>
      <c r="J1363" s="92" t="inlineStr">
        <is>
          <t>08 CROSSWALK</t>
        </is>
      </c>
    </row>
    <row r="1364" ht="94" customHeight="1">
      <c r="A1364" s="34" t="inlineStr">
        <is>
          <t>R1081-v2</t>
        </is>
      </c>
      <c r="B1364" s="34" t="inlineStr">
        <is>
          <t>Contractor Programme / SCH-90-901</t>
        </is>
      </c>
      <c r="C1364" s="34" t="inlineStr">
        <is>
          <t>WBS Code = 2.1</t>
        </is>
      </c>
      <c r="D1364" s="34" t="inlineStr">
        <is>
          <t>Proposed by Professional; target NEW_SCOPE</t>
        </is>
      </c>
      <c r="E1364" s="34" t="inlineStr">
        <is>
          <t>Source states 'WBS Code' = '2.1' -- names no element of this WBS -- professional reason (Maya Chen, Owner Project Controls): Source states a project-delivery code outside the currently approved Owner WBS.</t>
        </is>
      </c>
      <c r="F1364" s="34" t="inlineStr">
        <is>
          <t>Maya Chen, Owner Project Controls: Professional decision</t>
        </is>
      </c>
      <c r="G1364" s="34" t="inlineStr">
        <is>
          <t>Individual</t>
        </is>
      </c>
      <c r="H1364" s="34" t="inlineStr">
        <is>
          <t xml:space="preserve">APPROVED / NEW_SCOPE; </t>
        </is>
      </c>
      <c r="I1364" s="34" t="inlineStr">
        <is>
          <t>New</t>
        </is>
      </c>
      <c r="J1364" s="92" t="inlineStr">
        <is>
          <t>08 CROSSWALK</t>
        </is>
      </c>
    </row>
    <row r="1365" ht="34" customHeight="1">
      <c r="A1365" s="34" t="inlineStr">
        <is>
          <t>R1082-v2</t>
        </is>
      </c>
      <c r="B1365" s="34" t="inlineStr">
        <is>
          <t>Contractor Programme / SCH-90-902</t>
        </is>
      </c>
      <c r="C1365" s="34" t="inlineStr">
        <is>
          <t>No explicit source assertion recorded</t>
        </is>
      </c>
      <c r="D1365" s="34" t="inlineStr">
        <is>
          <t>Proposed by Professional; target NO_WBS</t>
        </is>
      </c>
      <c r="E1365" s="34" t="inlineStr">
        <is>
          <t>None recorded</t>
        </is>
      </c>
      <c r="F1365" s="34" t="inlineStr">
        <is>
          <t>Maya Chen, Owner Project Controls: Professional decision</t>
        </is>
      </c>
      <c r="G1365" s="34" t="inlineStr">
        <is>
          <t>Individual</t>
        </is>
      </c>
      <c r="H1365" s="34" t="inlineStr">
        <is>
          <t xml:space="preserve">APPROVED / NO_WBS; </t>
        </is>
      </c>
      <c r="I1365" s="34" t="inlineStr">
        <is>
          <t>New</t>
        </is>
      </c>
      <c r="J1365" s="92" t="inlineStr">
        <is>
          <t>08 CROSSWALK</t>
        </is>
      </c>
    </row>
    <row r="1366" ht="49" customHeight="1">
      <c r="A1366" s="34" t="inlineStr">
        <is>
          <t>R183-v2</t>
        </is>
      </c>
      <c r="B1366" s="34" t="inlineStr">
        <is>
          <t>Contractor Programme / SCH-02-003</t>
        </is>
      </c>
      <c r="C1366" s="34" t="inlineStr">
        <is>
          <t>No explicit source assertion recorded</t>
        </is>
      </c>
      <c r="D1366" s="34" t="inlineStr">
        <is>
          <t>Proposed by Professional; target UNSURE</t>
        </is>
      </c>
      <c r="E1366" s="34" t="inlineStr">
        <is>
          <t>None recorded</t>
        </is>
      </c>
      <c r="F1366" s="34" t="inlineStr">
        <is>
          <t>Maya Chen, Owner Project Controls: Professional decision</t>
        </is>
      </c>
      <c r="G1366" s="34" t="inlineStr">
        <is>
          <t>Group decision (182 records sharing one decision state)</t>
        </is>
      </c>
      <c r="H1366" s="34" t="inlineStr">
        <is>
          <t xml:space="preserve">APPROVED / UNSURE; </t>
        </is>
      </c>
      <c r="I1366" s="34" t="inlineStr">
        <is>
          <t>New</t>
        </is>
      </c>
      <c r="J1366" s="92" t="inlineStr">
        <is>
          <t>08 CROSSWALK</t>
        </is>
      </c>
    </row>
    <row r="1367" ht="49" customHeight="1">
      <c r="A1367" s="34" t="inlineStr">
        <is>
          <t>R543-v2</t>
        </is>
      </c>
      <c r="B1367" s="34" t="inlineStr">
        <is>
          <t>Contractor Programme / SCH-04-003</t>
        </is>
      </c>
      <c r="C1367" s="34" t="inlineStr">
        <is>
          <t>No explicit source assertion recorded</t>
        </is>
      </c>
      <c r="D1367" s="34" t="inlineStr">
        <is>
          <t>Proposed by Professional; target UNSURE</t>
        </is>
      </c>
      <c r="E1367" s="34" t="inlineStr">
        <is>
          <t>None recorded</t>
        </is>
      </c>
      <c r="F1367" s="34" t="inlineStr">
        <is>
          <t>Maya Chen, Owner Project Controls: Professional decision</t>
        </is>
      </c>
      <c r="G1367" s="34" t="inlineStr">
        <is>
          <t>Group decision (182 records sharing one decision state)</t>
        </is>
      </c>
      <c r="H1367" s="34" t="inlineStr">
        <is>
          <t xml:space="preserve">APPROVED / UNSURE; </t>
        </is>
      </c>
      <c r="I1367" s="34" t="inlineStr">
        <is>
          <t>New</t>
        </is>
      </c>
      <c r="J1367" s="92" t="inlineStr">
        <is>
          <t>08 CROSSWALK</t>
        </is>
      </c>
    </row>
    <row r="1368" ht="49" customHeight="1">
      <c r="A1368" s="34" t="inlineStr">
        <is>
          <t>R901-v2</t>
        </is>
      </c>
      <c r="B1368" s="34" t="inlineStr">
        <is>
          <t>Contractor Programme / SCH-06-001</t>
        </is>
      </c>
      <c r="C1368" s="34" t="inlineStr">
        <is>
          <t>No explicit source assertion recorded</t>
        </is>
      </c>
      <c r="D1368" s="34" t="inlineStr">
        <is>
          <t>Proposed by Professional; target UNSURE</t>
        </is>
      </c>
      <c r="E1368" s="34" t="inlineStr">
        <is>
          <t>None recorded</t>
        </is>
      </c>
      <c r="F1368" s="34" t="inlineStr">
        <is>
          <t>Maya Chen, Owner Project Controls: Professional decision</t>
        </is>
      </c>
      <c r="G1368" s="34" t="inlineStr">
        <is>
          <t>Group decision (182 records sharing one decision state)</t>
        </is>
      </c>
      <c r="H1368" s="34" t="inlineStr">
        <is>
          <t xml:space="preserve">APPROVED / UNSURE; </t>
        </is>
      </c>
      <c r="I1368" s="34" t="inlineStr">
        <is>
          <t>New</t>
        </is>
      </c>
      <c r="J1368" s="92" t="inlineStr">
        <is>
          <t>08 CROSSWALK</t>
        </is>
      </c>
    </row>
    <row r="1369" ht="49" customHeight="1">
      <c r="A1369" s="34" t="inlineStr">
        <is>
          <t>R902-v2</t>
        </is>
      </c>
      <c r="B1369" s="34" t="inlineStr">
        <is>
          <t>Contractor Programme / SCH-06-002</t>
        </is>
      </c>
      <c r="C1369" s="34" t="inlineStr">
        <is>
          <t>No explicit source assertion recorded</t>
        </is>
      </c>
      <c r="D1369" s="34" t="inlineStr">
        <is>
          <t>Proposed by Professional; target UNSURE</t>
        </is>
      </c>
      <c r="E1369" s="34" t="inlineStr">
        <is>
          <t>None recorded</t>
        </is>
      </c>
      <c r="F1369" s="34" t="inlineStr">
        <is>
          <t>Maya Chen, Owner Project Controls: Professional decision</t>
        </is>
      </c>
      <c r="G1369" s="34" t="inlineStr">
        <is>
          <t>Group decision (182 records sharing one decision state)</t>
        </is>
      </c>
      <c r="H1369" s="34" t="inlineStr">
        <is>
          <t xml:space="preserve">APPROVED / UNSURE; </t>
        </is>
      </c>
      <c r="I1369" s="34" t="inlineStr">
        <is>
          <t>New</t>
        </is>
      </c>
      <c r="J1369" s="92" t="inlineStr">
        <is>
          <t>08 CROSSWALK</t>
        </is>
      </c>
    </row>
    <row r="1370" ht="49" customHeight="1">
      <c r="A1370" s="34" t="inlineStr">
        <is>
          <t>R903-v2</t>
        </is>
      </c>
      <c r="B1370" s="34" t="inlineStr">
        <is>
          <t>Contractor Programme / SCH-06-003</t>
        </is>
      </c>
      <c r="C1370" s="34" t="inlineStr">
        <is>
          <t>No explicit source assertion recorded</t>
        </is>
      </c>
      <c r="D1370" s="34" t="inlineStr">
        <is>
          <t>Proposed by Professional; target UNSURE</t>
        </is>
      </c>
      <c r="E1370" s="34" t="inlineStr">
        <is>
          <t>None recorded</t>
        </is>
      </c>
      <c r="F1370" s="34" t="inlineStr">
        <is>
          <t>Maya Chen, Owner Project Controls: Professional decision</t>
        </is>
      </c>
      <c r="G1370" s="34" t="inlineStr">
        <is>
          <t>Group decision (182 records sharing one decision state)</t>
        </is>
      </c>
      <c r="H1370" s="34" t="inlineStr">
        <is>
          <t xml:space="preserve">APPROVED / UNSURE; </t>
        </is>
      </c>
      <c r="I1370" s="34" t="inlineStr">
        <is>
          <t>New</t>
        </is>
      </c>
      <c r="J1370" s="92" t="inlineStr">
        <is>
          <t>08 CROSSWALK</t>
        </is>
      </c>
    </row>
    <row r="1371" ht="49" customHeight="1">
      <c r="A1371" s="34" t="inlineStr">
        <is>
          <t>R904-v2</t>
        </is>
      </c>
      <c r="B1371" s="34" t="inlineStr">
        <is>
          <t>Contractor Programme / SCH-06-004</t>
        </is>
      </c>
      <c r="C1371" s="34" t="inlineStr">
        <is>
          <t>No explicit source assertion recorded</t>
        </is>
      </c>
      <c r="D1371" s="34" t="inlineStr">
        <is>
          <t>Proposed by Professional; target UNSURE</t>
        </is>
      </c>
      <c r="E1371" s="34" t="inlineStr">
        <is>
          <t>None recorded</t>
        </is>
      </c>
      <c r="F1371" s="34" t="inlineStr">
        <is>
          <t>Maya Chen, Owner Project Controls: Professional decision</t>
        </is>
      </c>
      <c r="G1371" s="34" t="inlineStr">
        <is>
          <t>Group decision (182 records sharing one decision state)</t>
        </is>
      </c>
      <c r="H1371" s="34" t="inlineStr">
        <is>
          <t xml:space="preserve">APPROVED / UNSURE; </t>
        </is>
      </c>
      <c r="I1371" s="34" t="inlineStr">
        <is>
          <t>New</t>
        </is>
      </c>
      <c r="J1371" s="92" t="inlineStr">
        <is>
          <t>08 CROSSWALK</t>
        </is>
      </c>
    </row>
    <row r="1372" ht="49" customHeight="1">
      <c r="A1372" s="34" t="inlineStr">
        <is>
          <t>R905-v2</t>
        </is>
      </c>
      <c r="B1372" s="34" t="inlineStr">
        <is>
          <t>Contractor Programme / SCH-06-005</t>
        </is>
      </c>
      <c r="C1372" s="34" t="inlineStr">
        <is>
          <t>No explicit source assertion recorded</t>
        </is>
      </c>
      <c r="D1372" s="34" t="inlineStr">
        <is>
          <t>Proposed by Professional; target UNSURE</t>
        </is>
      </c>
      <c r="E1372" s="34" t="inlineStr">
        <is>
          <t>None recorded</t>
        </is>
      </c>
      <c r="F1372" s="34" t="inlineStr">
        <is>
          <t>Maya Chen, Owner Project Controls: Professional decision</t>
        </is>
      </c>
      <c r="G1372" s="34" t="inlineStr">
        <is>
          <t>Group decision (182 records sharing one decision state)</t>
        </is>
      </c>
      <c r="H1372" s="34" t="inlineStr">
        <is>
          <t xml:space="preserve">APPROVED / UNSURE; </t>
        </is>
      </c>
      <c r="I1372" s="34" t="inlineStr">
        <is>
          <t>New</t>
        </is>
      </c>
      <c r="J1372" s="92" t="inlineStr">
        <is>
          <t>08 CROSSWALK</t>
        </is>
      </c>
    </row>
    <row r="1373" ht="49" customHeight="1">
      <c r="A1373" s="34" t="inlineStr">
        <is>
          <t>R906-v2</t>
        </is>
      </c>
      <c r="B1373" s="34" t="inlineStr">
        <is>
          <t>Contractor Programme / SCH-06-006</t>
        </is>
      </c>
      <c r="C1373" s="34" t="inlineStr">
        <is>
          <t>No explicit source assertion recorded</t>
        </is>
      </c>
      <c r="D1373" s="34" t="inlineStr">
        <is>
          <t>Proposed by Professional; target UNSURE</t>
        </is>
      </c>
      <c r="E1373" s="34" t="inlineStr">
        <is>
          <t>None recorded</t>
        </is>
      </c>
      <c r="F1373" s="34" t="inlineStr">
        <is>
          <t>Maya Chen, Owner Project Controls: Professional decision</t>
        </is>
      </c>
      <c r="G1373" s="34" t="inlineStr">
        <is>
          <t>Group decision (182 records sharing one decision state)</t>
        </is>
      </c>
      <c r="H1373" s="34" t="inlineStr">
        <is>
          <t xml:space="preserve">APPROVED / UNSURE; </t>
        </is>
      </c>
      <c r="I1373" s="34" t="inlineStr">
        <is>
          <t>New</t>
        </is>
      </c>
      <c r="J1373" s="92" t="inlineStr">
        <is>
          <t>08 CROSSWALK</t>
        </is>
      </c>
    </row>
    <row r="1374" ht="49" customHeight="1">
      <c r="A1374" s="34" t="inlineStr">
        <is>
          <t>R907-v2</t>
        </is>
      </c>
      <c r="B1374" s="34" t="inlineStr">
        <is>
          <t>Contractor Programme / SCH-06-007</t>
        </is>
      </c>
      <c r="C1374" s="34" t="inlineStr">
        <is>
          <t>No explicit source assertion recorded</t>
        </is>
      </c>
      <c r="D1374" s="34" t="inlineStr">
        <is>
          <t>Proposed by Professional; target UNSURE</t>
        </is>
      </c>
      <c r="E1374" s="34" t="inlineStr">
        <is>
          <t>None recorded</t>
        </is>
      </c>
      <c r="F1374" s="34" t="inlineStr">
        <is>
          <t>Maya Chen, Owner Project Controls: Professional decision</t>
        </is>
      </c>
      <c r="G1374" s="34" t="inlineStr">
        <is>
          <t>Group decision (182 records sharing one decision state)</t>
        </is>
      </c>
      <c r="H1374" s="34" t="inlineStr">
        <is>
          <t xml:space="preserve">APPROVED / UNSURE; </t>
        </is>
      </c>
      <c r="I1374" s="34" t="inlineStr">
        <is>
          <t>New</t>
        </is>
      </c>
      <c r="J1374" s="92" t="inlineStr">
        <is>
          <t>08 CROSSWALK</t>
        </is>
      </c>
    </row>
    <row r="1375" ht="49" customHeight="1">
      <c r="A1375" s="34" t="inlineStr">
        <is>
          <t>R908-v2</t>
        </is>
      </c>
      <c r="B1375" s="34" t="inlineStr">
        <is>
          <t>Contractor Programme / SCH-06-008</t>
        </is>
      </c>
      <c r="C1375" s="34" t="inlineStr">
        <is>
          <t>No explicit source assertion recorded</t>
        </is>
      </c>
      <c r="D1375" s="34" t="inlineStr">
        <is>
          <t>Proposed by Professional; target UNSURE</t>
        </is>
      </c>
      <c r="E1375" s="34" t="inlineStr">
        <is>
          <t>None recorded</t>
        </is>
      </c>
      <c r="F1375" s="34" t="inlineStr">
        <is>
          <t>Maya Chen, Owner Project Controls: Professional decision</t>
        </is>
      </c>
      <c r="G1375" s="34" t="inlineStr">
        <is>
          <t>Group decision (182 records sharing one decision state)</t>
        </is>
      </c>
      <c r="H1375" s="34" t="inlineStr">
        <is>
          <t xml:space="preserve">APPROVED / UNSURE; </t>
        </is>
      </c>
      <c r="I1375" s="34" t="inlineStr">
        <is>
          <t>New</t>
        </is>
      </c>
      <c r="J1375" s="92" t="inlineStr">
        <is>
          <t>08 CROSSWALK</t>
        </is>
      </c>
    </row>
    <row r="1376" ht="49" customHeight="1">
      <c r="A1376" s="34" t="inlineStr">
        <is>
          <t>R909-v2</t>
        </is>
      </c>
      <c r="B1376" s="34" t="inlineStr">
        <is>
          <t>Contractor Programme / SCH-06-009</t>
        </is>
      </c>
      <c r="C1376" s="34" t="inlineStr">
        <is>
          <t>No explicit source assertion recorded</t>
        </is>
      </c>
      <c r="D1376" s="34" t="inlineStr">
        <is>
          <t>Proposed by Professional; target UNSURE</t>
        </is>
      </c>
      <c r="E1376" s="34" t="inlineStr">
        <is>
          <t>None recorded</t>
        </is>
      </c>
      <c r="F1376" s="34" t="inlineStr">
        <is>
          <t>Maya Chen, Owner Project Controls: Professional decision</t>
        </is>
      </c>
      <c r="G1376" s="34" t="inlineStr">
        <is>
          <t>Group decision (182 records sharing one decision state)</t>
        </is>
      </c>
      <c r="H1376" s="34" t="inlineStr">
        <is>
          <t xml:space="preserve">APPROVED / UNSURE; </t>
        </is>
      </c>
      <c r="I1376" s="34" t="inlineStr">
        <is>
          <t>New</t>
        </is>
      </c>
      <c r="J1376" s="92" t="inlineStr">
        <is>
          <t>08 CROSSWALK</t>
        </is>
      </c>
    </row>
    <row r="1377" ht="49" customHeight="1">
      <c r="A1377" s="34" t="inlineStr">
        <is>
          <t>R910-v2</t>
        </is>
      </c>
      <c r="B1377" s="34" t="inlineStr">
        <is>
          <t>Contractor Programme / SCH-06-010</t>
        </is>
      </c>
      <c r="C1377" s="34" t="inlineStr">
        <is>
          <t>No explicit source assertion recorded</t>
        </is>
      </c>
      <c r="D1377" s="34" t="inlineStr">
        <is>
          <t>Proposed by Professional; target UNSURE</t>
        </is>
      </c>
      <c r="E1377" s="34" t="inlineStr">
        <is>
          <t>None recorded</t>
        </is>
      </c>
      <c r="F1377" s="34" t="inlineStr">
        <is>
          <t>Maya Chen, Owner Project Controls: Professional decision</t>
        </is>
      </c>
      <c r="G1377" s="34" t="inlineStr">
        <is>
          <t>Group decision (182 records sharing one decision state)</t>
        </is>
      </c>
      <c r="H1377" s="34" t="inlineStr">
        <is>
          <t xml:space="preserve">APPROVED / UNSURE; </t>
        </is>
      </c>
      <c r="I1377" s="34" t="inlineStr">
        <is>
          <t>New</t>
        </is>
      </c>
      <c r="J1377" s="92" t="inlineStr">
        <is>
          <t>08 CROSSWALK</t>
        </is>
      </c>
    </row>
    <row r="1378" ht="49" customHeight="1">
      <c r="A1378" s="34" t="inlineStr">
        <is>
          <t>R911-v2</t>
        </is>
      </c>
      <c r="B1378" s="34" t="inlineStr">
        <is>
          <t>Contractor Programme / SCH-06-011</t>
        </is>
      </c>
      <c r="C1378" s="34" t="inlineStr">
        <is>
          <t>No explicit source assertion recorded</t>
        </is>
      </c>
      <c r="D1378" s="34" t="inlineStr">
        <is>
          <t>Proposed by Professional; target UNSURE</t>
        </is>
      </c>
      <c r="E1378" s="34" t="inlineStr">
        <is>
          <t>None recorded</t>
        </is>
      </c>
      <c r="F1378" s="34" t="inlineStr">
        <is>
          <t>Maya Chen, Owner Project Controls: Professional decision</t>
        </is>
      </c>
      <c r="G1378" s="34" t="inlineStr">
        <is>
          <t>Group decision (182 records sharing one decision state)</t>
        </is>
      </c>
      <c r="H1378" s="34" t="inlineStr">
        <is>
          <t xml:space="preserve">APPROVED / UNSURE; </t>
        </is>
      </c>
      <c r="I1378" s="34" t="inlineStr">
        <is>
          <t>New</t>
        </is>
      </c>
      <c r="J1378" s="92" t="inlineStr">
        <is>
          <t>08 CROSSWALK</t>
        </is>
      </c>
    </row>
    <row r="1379" ht="49" customHeight="1">
      <c r="A1379" s="34" t="inlineStr">
        <is>
          <t>R912-v2</t>
        </is>
      </c>
      <c r="B1379" s="34" t="inlineStr">
        <is>
          <t>Contractor Programme / SCH-06-012</t>
        </is>
      </c>
      <c r="C1379" s="34" t="inlineStr">
        <is>
          <t>No explicit source assertion recorded</t>
        </is>
      </c>
      <c r="D1379" s="34" t="inlineStr">
        <is>
          <t>Proposed by Professional; target UNSURE</t>
        </is>
      </c>
      <c r="E1379" s="34" t="inlineStr">
        <is>
          <t>None recorded</t>
        </is>
      </c>
      <c r="F1379" s="34" t="inlineStr">
        <is>
          <t>Maya Chen, Owner Project Controls: Professional decision</t>
        </is>
      </c>
      <c r="G1379" s="34" t="inlineStr">
        <is>
          <t>Group decision (182 records sharing one decision state)</t>
        </is>
      </c>
      <c r="H1379" s="34" t="inlineStr">
        <is>
          <t xml:space="preserve">APPROVED / UNSURE; </t>
        </is>
      </c>
      <c r="I1379" s="34" t="inlineStr">
        <is>
          <t>New</t>
        </is>
      </c>
      <c r="J1379" s="92" t="inlineStr">
        <is>
          <t>08 CROSSWALK</t>
        </is>
      </c>
    </row>
    <row r="1380" ht="49" customHeight="1">
      <c r="A1380" s="34" t="inlineStr">
        <is>
          <t>R913-v2</t>
        </is>
      </c>
      <c r="B1380" s="34" t="inlineStr">
        <is>
          <t>Contractor Programme / SCH-06-013</t>
        </is>
      </c>
      <c r="C1380" s="34" t="inlineStr">
        <is>
          <t>No explicit source assertion recorded</t>
        </is>
      </c>
      <c r="D1380" s="34" t="inlineStr">
        <is>
          <t>Proposed by Professional; target UNSURE</t>
        </is>
      </c>
      <c r="E1380" s="34" t="inlineStr">
        <is>
          <t>None recorded</t>
        </is>
      </c>
      <c r="F1380" s="34" t="inlineStr">
        <is>
          <t>Maya Chen, Owner Project Controls: Professional decision</t>
        </is>
      </c>
      <c r="G1380" s="34" t="inlineStr">
        <is>
          <t>Group decision (182 records sharing one decision state)</t>
        </is>
      </c>
      <c r="H1380" s="34" t="inlineStr">
        <is>
          <t xml:space="preserve">APPROVED / UNSURE; </t>
        </is>
      </c>
      <c r="I1380" s="34" t="inlineStr">
        <is>
          <t>New</t>
        </is>
      </c>
      <c r="J1380" s="92" t="inlineStr">
        <is>
          <t>08 CROSSWALK</t>
        </is>
      </c>
    </row>
    <row r="1381" ht="49" customHeight="1">
      <c r="A1381" s="34" t="inlineStr">
        <is>
          <t>R914-v2</t>
        </is>
      </c>
      <c r="B1381" s="34" t="inlineStr">
        <is>
          <t>Contractor Programme / SCH-06-014</t>
        </is>
      </c>
      <c r="C1381" s="34" t="inlineStr">
        <is>
          <t>No explicit source assertion recorded</t>
        </is>
      </c>
      <c r="D1381" s="34" t="inlineStr">
        <is>
          <t>Proposed by Professional; target UNSURE</t>
        </is>
      </c>
      <c r="E1381" s="34" t="inlineStr">
        <is>
          <t>None recorded</t>
        </is>
      </c>
      <c r="F1381" s="34" t="inlineStr">
        <is>
          <t>Maya Chen, Owner Project Controls: Professional decision</t>
        </is>
      </c>
      <c r="G1381" s="34" t="inlineStr">
        <is>
          <t>Group decision (182 records sharing one decision state)</t>
        </is>
      </c>
      <c r="H1381" s="34" t="inlineStr">
        <is>
          <t xml:space="preserve">APPROVED / UNSURE; </t>
        </is>
      </c>
      <c r="I1381" s="34" t="inlineStr">
        <is>
          <t>New</t>
        </is>
      </c>
      <c r="J1381" s="92" t="inlineStr">
        <is>
          <t>08 CROSSWALK</t>
        </is>
      </c>
    </row>
    <row r="1382" ht="49" customHeight="1">
      <c r="A1382" s="34" t="inlineStr">
        <is>
          <t>R915-v2</t>
        </is>
      </c>
      <c r="B1382" s="34" t="inlineStr">
        <is>
          <t>Contractor Programme / SCH-06-015</t>
        </is>
      </c>
      <c r="C1382" s="34" t="inlineStr">
        <is>
          <t>No explicit source assertion recorded</t>
        </is>
      </c>
      <c r="D1382" s="34" t="inlineStr">
        <is>
          <t>Proposed by Professional; target UNSURE</t>
        </is>
      </c>
      <c r="E1382" s="34" t="inlineStr">
        <is>
          <t>None recorded</t>
        </is>
      </c>
      <c r="F1382" s="34" t="inlineStr">
        <is>
          <t>Maya Chen, Owner Project Controls: Professional decision</t>
        </is>
      </c>
      <c r="G1382" s="34" t="inlineStr">
        <is>
          <t>Group decision (182 records sharing one decision state)</t>
        </is>
      </c>
      <c r="H1382" s="34" t="inlineStr">
        <is>
          <t xml:space="preserve">APPROVED / UNSURE; </t>
        </is>
      </c>
      <c r="I1382" s="34" t="inlineStr">
        <is>
          <t>New</t>
        </is>
      </c>
      <c r="J1382" s="92" t="inlineStr">
        <is>
          <t>08 CROSSWALK</t>
        </is>
      </c>
    </row>
    <row r="1383" ht="49" customHeight="1">
      <c r="A1383" s="34" t="inlineStr">
        <is>
          <t>R916-v2</t>
        </is>
      </c>
      <c r="B1383" s="34" t="inlineStr">
        <is>
          <t>Contractor Programme / SCH-06-016</t>
        </is>
      </c>
      <c r="C1383" s="34" t="inlineStr">
        <is>
          <t>No explicit source assertion recorded</t>
        </is>
      </c>
      <c r="D1383" s="34" t="inlineStr">
        <is>
          <t>Proposed by Professional; target UNSURE</t>
        </is>
      </c>
      <c r="E1383" s="34" t="inlineStr">
        <is>
          <t>None recorded</t>
        </is>
      </c>
      <c r="F1383" s="34" t="inlineStr">
        <is>
          <t>Maya Chen, Owner Project Controls: Professional decision</t>
        </is>
      </c>
      <c r="G1383" s="34" t="inlineStr">
        <is>
          <t>Group decision (182 records sharing one decision state)</t>
        </is>
      </c>
      <c r="H1383" s="34" t="inlineStr">
        <is>
          <t xml:space="preserve">APPROVED / UNSURE; </t>
        </is>
      </c>
      <c r="I1383" s="34" t="inlineStr">
        <is>
          <t>New</t>
        </is>
      </c>
      <c r="J1383" s="92" t="inlineStr">
        <is>
          <t>08 CROSSWALK</t>
        </is>
      </c>
    </row>
    <row r="1384" ht="49" customHeight="1">
      <c r="A1384" s="34" t="inlineStr">
        <is>
          <t>R917-v2</t>
        </is>
      </c>
      <c r="B1384" s="34" t="inlineStr">
        <is>
          <t>Contractor Programme / SCH-06-017</t>
        </is>
      </c>
      <c r="C1384" s="34" t="inlineStr">
        <is>
          <t>No explicit source assertion recorded</t>
        </is>
      </c>
      <c r="D1384" s="34" t="inlineStr">
        <is>
          <t>Proposed by Professional; target UNSURE</t>
        </is>
      </c>
      <c r="E1384" s="34" t="inlineStr">
        <is>
          <t>None recorded</t>
        </is>
      </c>
      <c r="F1384" s="34" t="inlineStr">
        <is>
          <t>Maya Chen, Owner Project Controls: Professional decision</t>
        </is>
      </c>
      <c r="G1384" s="34" t="inlineStr">
        <is>
          <t>Group decision (182 records sharing one decision state)</t>
        </is>
      </c>
      <c r="H1384" s="34" t="inlineStr">
        <is>
          <t xml:space="preserve">APPROVED / UNSURE; </t>
        </is>
      </c>
      <c r="I1384" s="34" t="inlineStr">
        <is>
          <t>New</t>
        </is>
      </c>
      <c r="J1384" s="92" t="inlineStr">
        <is>
          <t>08 CROSSWALK</t>
        </is>
      </c>
    </row>
    <row r="1385" ht="49" customHeight="1">
      <c r="A1385" s="34" t="inlineStr">
        <is>
          <t>R918-v2</t>
        </is>
      </c>
      <c r="B1385" s="34" t="inlineStr">
        <is>
          <t>Contractor Programme / SCH-06-018</t>
        </is>
      </c>
      <c r="C1385" s="34" t="inlineStr">
        <is>
          <t>No explicit source assertion recorded</t>
        </is>
      </c>
      <c r="D1385" s="34" t="inlineStr">
        <is>
          <t>Proposed by Professional; target UNSURE</t>
        </is>
      </c>
      <c r="E1385" s="34" t="inlineStr">
        <is>
          <t>None recorded</t>
        </is>
      </c>
      <c r="F1385" s="34" t="inlineStr">
        <is>
          <t>Maya Chen, Owner Project Controls: Professional decision</t>
        </is>
      </c>
      <c r="G1385" s="34" t="inlineStr">
        <is>
          <t>Group decision (182 records sharing one decision state)</t>
        </is>
      </c>
      <c r="H1385" s="34" t="inlineStr">
        <is>
          <t xml:space="preserve">APPROVED / UNSURE; </t>
        </is>
      </c>
      <c r="I1385" s="34" t="inlineStr">
        <is>
          <t>New</t>
        </is>
      </c>
      <c r="J1385" s="92" t="inlineStr">
        <is>
          <t>08 CROSSWALK</t>
        </is>
      </c>
    </row>
    <row r="1386" ht="49" customHeight="1">
      <c r="A1386" s="34" t="inlineStr">
        <is>
          <t>R919-v2</t>
        </is>
      </c>
      <c r="B1386" s="34" t="inlineStr">
        <is>
          <t>Contractor Programme / SCH-06-019</t>
        </is>
      </c>
      <c r="C1386" s="34" t="inlineStr">
        <is>
          <t>No explicit source assertion recorded</t>
        </is>
      </c>
      <c r="D1386" s="34" t="inlineStr">
        <is>
          <t>Proposed by Professional; target UNSURE</t>
        </is>
      </c>
      <c r="E1386" s="34" t="inlineStr">
        <is>
          <t>None recorded</t>
        </is>
      </c>
      <c r="F1386" s="34" t="inlineStr">
        <is>
          <t>Maya Chen, Owner Project Controls: Professional decision</t>
        </is>
      </c>
      <c r="G1386" s="34" t="inlineStr">
        <is>
          <t>Group decision (182 records sharing one decision state)</t>
        </is>
      </c>
      <c r="H1386" s="34" t="inlineStr">
        <is>
          <t xml:space="preserve">APPROVED / UNSURE; </t>
        </is>
      </c>
      <c r="I1386" s="34" t="inlineStr">
        <is>
          <t>New</t>
        </is>
      </c>
      <c r="J1386" s="92" t="inlineStr">
        <is>
          <t>08 CROSSWALK</t>
        </is>
      </c>
    </row>
    <row r="1387" ht="49" customHeight="1">
      <c r="A1387" s="34" t="inlineStr">
        <is>
          <t>R920-v2</t>
        </is>
      </c>
      <c r="B1387" s="34" t="inlineStr">
        <is>
          <t>Contractor Programme / SCH-06-020</t>
        </is>
      </c>
      <c r="C1387" s="34" t="inlineStr">
        <is>
          <t>No explicit source assertion recorded</t>
        </is>
      </c>
      <c r="D1387" s="34" t="inlineStr">
        <is>
          <t>Proposed by Professional; target UNSURE</t>
        </is>
      </c>
      <c r="E1387" s="34" t="inlineStr">
        <is>
          <t>None recorded</t>
        </is>
      </c>
      <c r="F1387" s="34" t="inlineStr">
        <is>
          <t>Maya Chen, Owner Project Controls: Professional decision</t>
        </is>
      </c>
      <c r="G1387" s="34" t="inlineStr">
        <is>
          <t>Group decision (182 records sharing one decision state)</t>
        </is>
      </c>
      <c r="H1387" s="34" t="inlineStr">
        <is>
          <t xml:space="preserve">APPROVED / UNSURE; </t>
        </is>
      </c>
      <c r="I1387" s="34" t="inlineStr">
        <is>
          <t>New</t>
        </is>
      </c>
      <c r="J1387" s="92" t="inlineStr">
        <is>
          <t>08 CROSSWALK</t>
        </is>
      </c>
    </row>
    <row r="1388" ht="49" customHeight="1">
      <c r="A1388" s="34" t="inlineStr">
        <is>
          <t>R921-v2</t>
        </is>
      </c>
      <c r="B1388" s="34" t="inlineStr">
        <is>
          <t>Contractor Programme / SCH-06-021</t>
        </is>
      </c>
      <c r="C1388" s="34" t="inlineStr">
        <is>
          <t>No explicit source assertion recorded</t>
        </is>
      </c>
      <c r="D1388" s="34" t="inlineStr">
        <is>
          <t>Proposed by Professional; target UNSURE</t>
        </is>
      </c>
      <c r="E1388" s="34" t="inlineStr">
        <is>
          <t>None recorded</t>
        </is>
      </c>
      <c r="F1388" s="34" t="inlineStr">
        <is>
          <t>Maya Chen, Owner Project Controls: Professional decision</t>
        </is>
      </c>
      <c r="G1388" s="34" t="inlineStr">
        <is>
          <t>Group decision (182 records sharing one decision state)</t>
        </is>
      </c>
      <c r="H1388" s="34" t="inlineStr">
        <is>
          <t xml:space="preserve">APPROVED / UNSURE; </t>
        </is>
      </c>
      <c r="I1388" s="34" t="inlineStr">
        <is>
          <t>New</t>
        </is>
      </c>
      <c r="J1388" s="92" t="inlineStr">
        <is>
          <t>08 CROSSWALK</t>
        </is>
      </c>
    </row>
    <row r="1389" ht="49" customHeight="1">
      <c r="A1389" s="34" t="inlineStr">
        <is>
          <t>R922-v2</t>
        </is>
      </c>
      <c r="B1389" s="34" t="inlineStr">
        <is>
          <t>Contractor Programme / SCH-06-022</t>
        </is>
      </c>
      <c r="C1389" s="34" t="inlineStr">
        <is>
          <t>No explicit source assertion recorded</t>
        </is>
      </c>
      <c r="D1389" s="34" t="inlineStr">
        <is>
          <t>Proposed by Professional; target UNSURE</t>
        </is>
      </c>
      <c r="E1389" s="34" t="inlineStr">
        <is>
          <t>None recorded</t>
        </is>
      </c>
      <c r="F1389" s="34" t="inlineStr">
        <is>
          <t>Maya Chen, Owner Project Controls: Professional decision</t>
        </is>
      </c>
      <c r="G1389" s="34" t="inlineStr">
        <is>
          <t>Group decision (182 records sharing one decision state)</t>
        </is>
      </c>
      <c r="H1389" s="34" t="inlineStr">
        <is>
          <t xml:space="preserve">APPROVED / UNSURE; </t>
        </is>
      </c>
      <c r="I1389" s="34" t="inlineStr">
        <is>
          <t>New</t>
        </is>
      </c>
      <c r="J1389" s="92" t="inlineStr">
        <is>
          <t>08 CROSSWALK</t>
        </is>
      </c>
    </row>
    <row r="1390" ht="49" customHeight="1">
      <c r="A1390" s="34" t="inlineStr">
        <is>
          <t>R923-v2</t>
        </is>
      </c>
      <c r="B1390" s="34" t="inlineStr">
        <is>
          <t>Contractor Programme / SCH-06-023</t>
        </is>
      </c>
      <c r="C1390" s="34" t="inlineStr">
        <is>
          <t>No explicit source assertion recorded</t>
        </is>
      </c>
      <c r="D1390" s="34" t="inlineStr">
        <is>
          <t>Proposed by Professional; target UNSURE</t>
        </is>
      </c>
      <c r="E1390" s="34" t="inlineStr">
        <is>
          <t>None recorded</t>
        </is>
      </c>
      <c r="F1390" s="34" t="inlineStr">
        <is>
          <t>Maya Chen, Owner Project Controls: Professional decision</t>
        </is>
      </c>
      <c r="G1390" s="34" t="inlineStr">
        <is>
          <t>Group decision (182 records sharing one decision state)</t>
        </is>
      </c>
      <c r="H1390" s="34" t="inlineStr">
        <is>
          <t xml:space="preserve">APPROVED / UNSURE; </t>
        </is>
      </c>
      <c r="I1390" s="34" t="inlineStr">
        <is>
          <t>New</t>
        </is>
      </c>
      <c r="J1390" s="92" t="inlineStr">
        <is>
          <t>08 CROSSWALK</t>
        </is>
      </c>
    </row>
    <row r="1391" ht="49" customHeight="1">
      <c r="A1391" s="34" t="inlineStr">
        <is>
          <t>R924-v2</t>
        </is>
      </c>
      <c r="B1391" s="34" t="inlineStr">
        <is>
          <t>Contractor Programme / SCH-06-024</t>
        </is>
      </c>
      <c r="C1391" s="34" t="inlineStr">
        <is>
          <t>No explicit source assertion recorded</t>
        </is>
      </c>
      <c r="D1391" s="34" t="inlineStr">
        <is>
          <t>Proposed by Professional; target UNSURE</t>
        </is>
      </c>
      <c r="E1391" s="34" t="inlineStr">
        <is>
          <t>None recorded</t>
        </is>
      </c>
      <c r="F1391" s="34" t="inlineStr">
        <is>
          <t>Maya Chen, Owner Project Controls: Professional decision</t>
        </is>
      </c>
      <c r="G1391" s="34" t="inlineStr">
        <is>
          <t>Group decision (182 records sharing one decision state)</t>
        </is>
      </c>
      <c r="H1391" s="34" t="inlineStr">
        <is>
          <t xml:space="preserve">APPROVED / UNSURE; </t>
        </is>
      </c>
      <c r="I1391" s="34" t="inlineStr">
        <is>
          <t>New</t>
        </is>
      </c>
      <c r="J1391" s="92" t="inlineStr">
        <is>
          <t>08 CROSSWALK</t>
        </is>
      </c>
    </row>
    <row r="1392" ht="49" customHeight="1">
      <c r="A1392" s="34" t="inlineStr">
        <is>
          <t>R925-v2</t>
        </is>
      </c>
      <c r="B1392" s="34" t="inlineStr">
        <is>
          <t>Contractor Programme / SCH-06-025</t>
        </is>
      </c>
      <c r="C1392" s="34" t="inlineStr">
        <is>
          <t>No explicit source assertion recorded</t>
        </is>
      </c>
      <c r="D1392" s="34" t="inlineStr">
        <is>
          <t>Proposed by Professional; target UNSURE</t>
        </is>
      </c>
      <c r="E1392" s="34" t="inlineStr">
        <is>
          <t>None recorded</t>
        </is>
      </c>
      <c r="F1392" s="34" t="inlineStr">
        <is>
          <t>Maya Chen, Owner Project Controls: Professional decision</t>
        </is>
      </c>
      <c r="G1392" s="34" t="inlineStr">
        <is>
          <t>Group decision (182 records sharing one decision state)</t>
        </is>
      </c>
      <c r="H1392" s="34" t="inlineStr">
        <is>
          <t xml:space="preserve">APPROVED / UNSURE; </t>
        </is>
      </c>
      <c r="I1392" s="34" t="inlineStr">
        <is>
          <t>New</t>
        </is>
      </c>
      <c r="J1392" s="92" t="inlineStr">
        <is>
          <t>08 CROSSWALK</t>
        </is>
      </c>
    </row>
    <row r="1393" ht="49" customHeight="1">
      <c r="A1393" s="34" t="inlineStr">
        <is>
          <t>R926-v2</t>
        </is>
      </c>
      <c r="B1393" s="34" t="inlineStr">
        <is>
          <t>Contractor Programme / SCH-06-026</t>
        </is>
      </c>
      <c r="C1393" s="34" t="inlineStr">
        <is>
          <t>No explicit source assertion recorded</t>
        </is>
      </c>
      <c r="D1393" s="34" t="inlineStr">
        <is>
          <t>Proposed by Professional; target UNSURE</t>
        </is>
      </c>
      <c r="E1393" s="34" t="inlineStr">
        <is>
          <t>None recorded</t>
        </is>
      </c>
      <c r="F1393" s="34" t="inlineStr">
        <is>
          <t>Maya Chen, Owner Project Controls: Professional decision</t>
        </is>
      </c>
      <c r="G1393" s="34" t="inlineStr">
        <is>
          <t>Group decision (182 records sharing one decision state)</t>
        </is>
      </c>
      <c r="H1393" s="34" t="inlineStr">
        <is>
          <t xml:space="preserve">APPROVED / UNSURE; </t>
        </is>
      </c>
      <c r="I1393" s="34" t="inlineStr">
        <is>
          <t>New</t>
        </is>
      </c>
      <c r="J1393" s="92" t="inlineStr">
        <is>
          <t>08 CROSSWALK</t>
        </is>
      </c>
    </row>
    <row r="1394" ht="49" customHeight="1">
      <c r="A1394" s="34" t="inlineStr">
        <is>
          <t>R927-v2</t>
        </is>
      </c>
      <c r="B1394" s="34" t="inlineStr">
        <is>
          <t>Contractor Programme / SCH-06-027</t>
        </is>
      </c>
      <c r="C1394" s="34" t="inlineStr">
        <is>
          <t>No explicit source assertion recorded</t>
        </is>
      </c>
      <c r="D1394" s="34" t="inlineStr">
        <is>
          <t>Proposed by Professional; target UNSURE</t>
        </is>
      </c>
      <c r="E1394" s="34" t="inlineStr">
        <is>
          <t>None recorded</t>
        </is>
      </c>
      <c r="F1394" s="34" t="inlineStr">
        <is>
          <t>Maya Chen, Owner Project Controls: Professional decision</t>
        </is>
      </c>
      <c r="G1394" s="34" t="inlineStr">
        <is>
          <t>Group decision (182 records sharing one decision state)</t>
        </is>
      </c>
      <c r="H1394" s="34" t="inlineStr">
        <is>
          <t xml:space="preserve">APPROVED / UNSURE; </t>
        </is>
      </c>
      <c r="I1394" s="34" t="inlineStr">
        <is>
          <t>New</t>
        </is>
      </c>
      <c r="J1394" s="92" t="inlineStr">
        <is>
          <t>08 CROSSWALK</t>
        </is>
      </c>
    </row>
    <row r="1395" ht="49" customHeight="1">
      <c r="A1395" s="34" t="inlineStr">
        <is>
          <t>R928-v2</t>
        </is>
      </c>
      <c r="B1395" s="34" t="inlineStr">
        <is>
          <t>Contractor Programme / SCH-06-028</t>
        </is>
      </c>
      <c r="C1395" s="34" t="inlineStr">
        <is>
          <t>No explicit source assertion recorded</t>
        </is>
      </c>
      <c r="D1395" s="34" t="inlineStr">
        <is>
          <t>Proposed by Professional; target UNSURE</t>
        </is>
      </c>
      <c r="E1395" s="34" t="inlineStr">
        <is>
          <t>None recorded</t>
        </is>
      </c>
      <c r="F1395" s="34" t="inlineStr">
        <is>
          <t>Maya Chen, Owner Project Controls: Professional decision</t>
        </is>
      </c>
      <c r="G1395" s="34" t="inlineStr">
        <is>
          <t>Group decision (182 records sharing one decision state)</t>
        </is>
      </c>
      <c r="H1395" s="34" t="inlineStr">
        <is>
          <t xml:space="preserve">APPROVED / UNSURE; </t>
        </is>
      </c>
      <c r="I1395" s="34" t="inlineStr">
        <is>
          <t>New</t>
        </is>
      </c>
      <c r="J1395" s="92" t="inlineStr">
        <is>
          <t>08 CROSSWALK</t>
        </is>
      </c>
    </row>
    <row r="1396" ht="49" customHeight="1">
      <c r="A1396" s="34" t="inlineStr">
        <is>
          <t>R929-v2</t>
        </is>
      </c>
      <c r="B1396" s="34" t="inlineStr">
        <is>
          <t>Contractor Programme / SCH-06-029</t>
        </is>
      </c>
      <c r="C1396" s="34" t="inlineStr">
        <is>
          <t>No explicit source assertion recorded</t>
        </is>
      </c>
      <c r="D1396" s="34" t="inlineStr">
        <is>
          <t>Proposed by Professional; target UNSURE</t>
        </is>
      </c>
      <c r="E1396" s="34" t="inlineStr">
        <is>
          <t>None recorded</t>
        </is>
      </c>
      <c r="F1396" s="34" t="inlineStr">
        <is>
          <t>Maya Chen, Owner Project Controls: Professional decision</t>
        </is>
      </c>
      <c r="G1396" s="34" t="inlineStr">
        <is>
          <t>Group decision (182 records sharing one decision state)</t>
        </is>
      </c>
      <c r="H1396" s="34" t="inlineStr">
        <is>
          <t xml:space="preserve">APPROVED / UNSURE; </t>
        </is>
      </c>
      <c r="I1396" s="34" t="inlineStr">
        <is>
          <t>New</t>
        </is>
      </c>
      <c r="J1396" s="92" t="inlineStr">
        <is>
          <t>08 CROSSWALK</t>
        </is>
      </c>
    </row>
    <row r="1397" ht="49" customHeight="1">
      <c r="A1397" s="34" t="inlineStr">
        <is>
          <t>R930-v2</t>
        </is>
      </c>
      <c r="B1397" s="34" t="inlineStr">
        <is>
          <t>Contractor Programme / SCH-06-030</t>
        </is>
      </c>
      <c r="C1397" s="34" t="inlineStr">
        <is>
          <t>No explicit source assertion recorded</t>
        </is>
      </c>
      <c r="D1397" s="34" t="inlineStr">
        <is>
          <t>Proposed by Professional; target UNSURE</t>
        </is>
      </c>
      <c r="E1397" s="34" t="inlineStr">
        <is>
          <t>None recorded</t>
        </is>
      </c>
      <c r="F1397" s="34" t="inlineStr">
        <is>
          <t>Maya Chen, Owner Project Controls: Professional decision</t>
        </is>
      </c>
      <c r="G1397" s="34" t="inlineStr">
        <is>
          <t>Group decision (182 records sharing one decision state)</t>
        </is>
      </c>
      <c r="H1397" s="34" t="inlineStr">
        <is>
          <t xml:space="preserve">APPROVED / UNSURE; </t>
        </is>
      </c>
      <c r="I1397" s="34" t="inlineStr">
        <is>
          <t>New</t>
        </is>
      </c>
      <c r="J1397" s="92" t="inlineStr">
        <is>
          <t>08 CROSSWALK</t>
        </is>
      </c>
    </row>
    <row r="1398" ht="49" customHeight="1">
      <c r="A1398" s="34" t="inlineStr">
        <is>
          <t>R931-v2</t>
        </is>
      </c>
      <c r="B1398" s="34" t="inlineStr">
        <is>
          <t>Contractor Programme / SCH-06-031</t>
        </is>
      </c>
      <c r="C1398" s="34" t="inlineStr">
        <is>
          <t>No explicit source assertion recorded</t>
        </is>
      </c>
      <c r="D1398" s="34" t="inlineStr">
        <is>
          <t>Proposed by Professional; target UNSURE</t>
        </is>
      </c>
      <c r="E1398" s="34" t="inlineStr">
        <is>
          <t>None recorded</t>
        </is>
      </c>
      <c r="F1398" s="34" t="inlineStr">
        <is>
          <t>Maya Chen, Owner Project Controls: Professional decision</t>
        </is>
      </c>
      <c r="G1398" s="34" t="inlineStr">
        <is>
          <t>Group decision (182 records sharing one decision state)</t>
        </is>
      </c>
      <c r="H1398" s="34" t="inlineStr">
        <is>
          <t xml:space="preserve">APPROVED / UNSURE; </t>
        </is>
      </c>
      <c r="I1398" s="34" t="inlineStr">
        <is>
          <t>New</t>
        </is>
      </c>
      <c r="J1398" s="92" t="inlineStr">
        <is>
          <t>08 CROSSWALK</t>
        </is>
      </c>
    </row>
    <row r="1399" ht="49" customHeight="1">
      <c r="A1399" s="34" t="inlineStr">
        <is>
          <t>R932-v2</t>
        </is>
      </c>
      <c r="B1399" s="34" t="inlineStr">
        <is>
          <t>Contractor Programme / SCH-06-032</t>
        </is>
      </c>
      <c r="C1399" s="34" t="inlineStr">
        <is>
          <t>No explicit source assertion recorded</t>
        </is>
      </c>
      <c r="D1399" s="34" t="inlineStr">
        <is>
          <t>Proposed by Professional; target UNSURE</t>
        </is>
      </c>
      <c r="E1399" s="34" t="inlineStr">
        <is>
          <t>None recorded</t>
        </is>
      </c>
      <c r="F1399" s="34" t="inlineStr">
        <is>
          <t>Maya Chen, Owner Project Controls: Professional decision</t>
        </is>
      </c>
      <c r="G1399" s="34" t="inlineStr">
        <is>
          <t>Group decision (182 records sharing one decision state)</t>
        </is>
      </c>
      <c r="H1399" s="34" t="inlineStr">
        <is>
          <t xml:space="preserve">APPROVED / UNSURE; </t>
        </is>
      </c>
      <c r="I1399" s="34" t="inlineStr">
        <is>
          <t>New</t>
        </is>
      </c>
      <c r="J1399" s="92" t="inlineStr">
        <is>
          <t>08 CROSSWALK</t>
        </is>
      </c>
    </row>
    <row r="1400" ht="49" customHeight="1">
      <c r="A1400" s="34" t="inlineStr">
        <is>
          <t>R933-v2</t>
        </is>
      </c>
      <c r="B1400" s="34" t="inlineStr">
        <is>
          <t>Contractor Programme / SCH-06-033</t>
        </is>
      </c>
      <c r="C1400" s="34" t="inlineStr">
        <is>
          <t>No explicit source assertion recorded</t>
        </is>
      </c>
      <c r="D1400" s="34" t="inlineStr">
        <is>
          <t>Proposed by Professional; target UNSURE</t>
        </is>
      </c>
      <c r="E1400" s="34" t="inlineStr">
        <is>
          <t>None recorded</t>
        </is>
      </c>
      <c r="F1400" s="34" t="inlineStr">
        <is>
          <t>Maya Chen, Owner Project Controls: Professional decision</t>
        </is>
      </c>
      <c r="G1400" s="34" t="inlineStr">
        <is>
          <t>Group decision (182 records sharing one decision state)</t>
        </is>
      </c>
      <c r="H1400" s="34" t="inlineStr">
        <is>
          <t xml:space="preserve">APPROVED / UNSURE; </t>
        </is>
      </c>
      <c r="I1400" s="34" t="inlineStr">
        <is>
          <t>New</t>
        </is>
      </c>
      <c r="J1400" s="92" t="inlineStr">
        <is>
          <t>08 CROSSWALK</t>
        </is>
      </c>
    </row>
    <row r="1401" ht="49" customHeight="1">
      <c r="A1401" s="34" t="inlineStr">
        <is>
          <t>R934-v2</t>
        </is>
      </c>
      <c r="B1401" s="34" t="inlineStr">
        <is>
          <t>Contractor Programme / SCH-06-034</t>
        </is>
      </c>
      <c r="C1401" s="34" t="inlineStr">
        <is>
          <t>No explicit source assertion recorded</t>
        </is>
      </c>
      <c r="D1401" s="34" t="inlineStr">
        <is>
          <t>Proposed by Professional; target UNSURE</t>
        </is>
      </c>
      <c r="E1401" s="34" t="inlineStr">
        <is>
          <t>None recorded</t>
        </is>
      </c>
      <c r="F1401" s="34" t="inlineStr">
        <is>
          <t>Maya Chen, Owner Project Controls: Professional decision</t>
        </is>
      </c>
      <c r="G1401" s="34" t="inlineStr">
        <is>
          <t>Group decision (182 records sharing one decision state)</t>
        </is>
      </c>
      <c r="H1401" s="34" t="inlineStr">
        <is>
          <t xml:space="preserve">APPROVED / UNSURE; </t>
        </is>
      </c>
      <c r="I1401" s="34" t="inlineStr">
        <is>
          <t>New</t>
        </is>
      </c>
      <c r="J1401" s="92" t="inlineStr">
        <is>
          <t>08 CROSSWALK</t>
        </is>
      </c>
    </row>
    <row r="1402" ht="49" customHeight="1">
      <c r="A1402" s="34" t="inlineStr">
        <is>
          <t>R935-v2</t>
        </is>
      </c>
      <c r="B1402" s="34" t="inlineStr">
        <is>
          <t>Contractor Programme / SCH-06-035</t>
        </is>
      </c>
      <c r="C1402" s="34" t="inlineStr">
        <is>
          <t>No explicit source assertion recorded</t>
        </is>
      </c>
      <c r="D1402" s="34" t="inlineStr">
        <is>
          <t>Proposed by Professional; target UNSURE</t>
        </is>
      </c>
      <c r="E1402" s="34" t="inlineStr">
        <is>
          <t>None recorded</t>
        </is>
      </c>
      <c r="F1402" s="34" t="inlineStr">
        <is>
          <t>Maya Chen, Owner Project Controls: Professional decision</t>
        </is>
      </c>
      <c r="G1402" s="34" t="inlineStr">
        <is>
          <t>Group decision (182 records sharing one decision state)</t>
        </is>
      </c>
      <c r="H1402" s="34" t="inlineStr">
        <is>
          <t xml:space="preserve">APPROVED / UNSURE; </t>
        </is>
      </c>
      <c r="I1402" s="34" t="inlineStr">
        <is>
          <t>New</t>
        </is>
      </c>
      <c r="J1402" s="92" t="inlineStr">
        <is>
          <t>08 CROSSWALK</t>
        </is>
      </c>
    </row>
    <row r="1403" ht="49" customHeight="1">
      <c r="A1403" s="34" t="inlineStr">
        <is>
          <t>R936-v2</t>
        </is>
      </c>
      <c r="B1403" s="34" t="inlineStr">
        <is>
          <t>Contractor Programme / SCH-06-036</t>
        </is>
      </c>
      <c r="C1403" s="34" t="inlineStr">
        <is>
          <t>No explicit source assertion recorded</t>
        </is>
      </c>
      <c r="D1403" s="34" t="inlineStr">
        <is>
          <t>Proposed by Professional; target UNSURE</t>
        </is>
      </c>
      <c r="E1403" s="34" t="inlineStr">
        <is>
          <t>None recorded</t>
        </is>
      </c>
      <c r="F1403" s="34" t="inlineStr">
        <is>
          <t>Maya Chen, Owner Project Controls: Professional decision</t>
        </is>
      </c>
      <c r="G1403" s="34" t="inlineStr">
        <is>
          <t>Group decision (182 records sharing one decision state)</t>
        </is>
      </c>
      <c r="H1403" s="34" t="inlineStr">
        <is>
          <t xml:space="preserve">APPROVED / UNSURE; </t>
        </is>
      </c>
      <c r="I1403" s="34" t="inlineStr">
        <is>
          <t>New</t>
        </is>
      </c>
      <c r="J1403" s="92" t="inlineStr">
        <is>
          <t>08 CROSSWALK</t>
        </is>
      </c>
    </row>
    <row r="1404" ht="49" customHeight="1">
      <c r="A1404" s="34" t="inlineStr">
        <is>
          <t>R937-v2</t>
        </is>
      </c>
      <c r="B1404" s="34" t="inlineStr">
        <is>
          <t>Contractor Programme / SCH-06-037</t>
        </is>
      </c>
      <c r="C1404" s="34" t="inlineStr">
        <is>
          <t>No explicit source assertion recorded</t>
        </is>
      </c>
      <c r="D1404" s="34" t="inlineStr">
        <is>
          <t>Proposed by Professional; target UNSURE</t>
        </is>
      </c>
      <c r="E1404" s="34" t="inlineStr">
        <is>
          <t>None recorded</t>
        </is>
      </c>
      <c r="F1404" s="34" t="inlineStr">
        <is>
          <t>Maya Chen, Owner Project Controls: Professional decision</t>
        </is>
      </c>
      <c r="G1404" s="34" t="inlineStr">
        <is>
          <t>Group decision (182 records sharing one decision state)</t>
        </is>
      </c>
      <c r="H1404" s="34" t="inlineStr">
        <is>
          <t xml:space="preserve">APPROVED / UNSURE; </t>
        </is>
      </c>
      <c r="I1404" s="34" t="inlineStr">
        <is>
          <t>New</t>
        </is>
      </c>
      <c r="J1404" s="92" t="inlineStr">
        <is>
          <t>08 CROSSWALK</t>
        </is>
      </c>
    </row>
    <row r="1405" ht="49" customHeight="1">
      <c r="A1405" s="34" t="inlineStr">
        <is>
          <t>R938-v2</t>
        </is>
      </c>
      <c r="B1405" s="34" t="inlineStr">
        <is>
          <t>Contractor Programme / SCH-06-038</t>
        </is>
      </c>
      <c r="C1405" s="34" t="inlineStr">
        <is>
          <t>No explicit source assertion recorded</t>
        </is>
      </c>
      <c r="D1405" s="34" t="inlineStr">
        <is>
          <t>Proposed by Professional; target UNSURE</t>
        </is>
      </c>
      <c r="E1405" s="34" t="inlineStr">
        <is>
          <t>None recorded</t>
        </is>
      </c>
      <c r="F1405" s="34" t="inlineStr">
        <is>
          <t>Maya Chen, Owner Project Controls: Professional decision</t>
        </is>
      </c>
      <c r="G1405" s="34" t="inlineStr">
        <is>
          <t>Group decision (182 records sharing one decision state)</t>
        </is>
      </c>
      <c r="H1405" s="34" t="inlineStr">
        <is>
          <t xml:space="preserve">APPROVED / UNSURE; </t>
        </is>
      </c>
      <c r="I1405" s="34" t="inlineStr">
        <is>
          <t>New</t>
        </is>
      </c>
      <c r="J1405" s="92" t="inlineStr">
        <is>
          <t>08 CROSSWALK</t>
        </is>
      </c>
    </row>
    <row r="1406" ht="49" customHeight="1">
      <c r="A1406" s="34" t="inlineStr">
        <is>
          <t>R939-v2</t>
        </is>
      </c>
      <c r="B1406" s="34" t="inlineStr">
        <is>
          <t>Contractor Programme / SCH-06-039</t>
        </is>
      </c>
      <c r="C1406" s="34" t="inlineStr">
        <is>
          <t>No explicit source assertion recorded</t>
        </is>
      </c>
      <c r="D1406" s="34" t="inlineStr">
        <is>
          <t>Proposed by Professional; target UNSURE</t>
        </is>
      </c>
      <c r="E1406" s="34" t="inlineStr">
        <is>
          <t>None recorded</t>
        </is>
      </c>
      <c r="F1406" s="34" t="inlineStr">
        <is>
          <t>Maya Chen, Owner Project Controls: Professional decision</t>
        </is>
      </c>
      <c r="G1406" s="34" t="inlineStr">
        <is>
          <t>Group decision (182 records sharing one decision state)</t>
        </is>
      </c>
      <c r="H1406" s="34" t="inlineStr">
        <is>
          <t xml:space="preserve">APPROVED / UNSURE; </t>
        </is>
      </c>
      <c r="I1406" s="34" t="inlineStr">
        <is>
          <t>New</t>
        </is>
      </c>
      <c r="J1406" s="92" t="inlineStr">
        <is>
          <t>08 CROSSWALK</t>
        </is>
      </c>
    </row>
    <row r="1407" ht="49" customHeight="1">
      <c r="A1407" s="34" t="inlineStr">
        <is>
          <t>R940-v2</t>
        </is>
      </c>
      <c r="B1407" s="34" t="inlineStr">
        <is>
          <t>Contractor Programme / SCH-06-040</t>
        </is>
      </c>
      <c r="C1407" s="34" t="inlineStr">
        <is>
          <t>No explicit source assertion recorded</t>
        </is>
      </c>
      <c r="D1407" s="34" t="inlineStr">
        <is>
          <t>Proposed by Professional; target UNSURE</t>
        </is>
      </c>
      <c r="E1407" s="34" t="inlineStr">
        <is>
          <t>None recorded</t>
        </is>
      </c>
      <c r="F1407" s="34" t="inlineStr">
        <is>
          <t>Maya Chen, Owner Project Controls: Professional decision</t>
        </is>
      </c>
      <c r="G1407" s="34" t="inlineStr">
        <is>
          <t>Group decision (182 records sharing one decision state)</t>
        </is>
      </c>
      <c r="H1407" s="34" t="inlineStr">
        <is>
          <t xml:space="preserve">APPROVED / UNSURE; </t>
        </is>
      </c>
      <c r="I1407" s="34" t="inlineStr">
        <is>
          <t>New</t>
        </is>
      </c>
      <c r="J1407" s="92" t="inlineStr">
        <is>
          <t>08 CROSSWALK</t>
        </is>
      </c>
    </row>
    <row r="1408" ht="49" customHeight="1">
      <c r="A1408" s="34" t="inlineStr">
        <is>
          <t>R941-v2</t>
        </is>
      </c>
      <c r="B1408" s="34" t="inlineStr">
        <is>
          <t>Contractor Programme / SCH-06-041</t>
        </is>
      </c>
      <c r="C1408" s="34" t="inlineStr">
        <is>
          <t>No explicit source assertion recorded</t>
        </is>
      </c>
      <c r="D1408" s="34" t="inlineStr">
        <is>
          <t>Proposed by Professional; target UNSURE</t>
        </is>
      </c>
      <c r="E1408" s="34" t="inlineStr">
        <is>
          <t>None recorded</t>
        </is>
      </c>
      <c r="F1408" s="34" t="inlineStr">
        <is>
          <t>Maya Chen, Owner Project Controls: Professional decision</t>
        </is>
      </c>
      <c r="G1408" s="34" t="inlineStr">
        <is>
          <t>Group decision (182 records sharing one decision state)</t>
        </is>
      </c>
      <c r="H1408" s="34" t="inlineStr">
        <is>
          <t xml:space="preserve">APPROVED / UNSURE; </t>
        </is>
      </c>
      <c r="I1408" s="34" t="inlineStr">
        <is>
          <t>New</t>
        </is>
      </c>
      <c r="J1408" s="92" t="inlineStr">
        <is>
          <t>08 CROSSWALK</t>
        </is>
      </c>
    </row>
    <row r="1409" ht="49" customHeight="1">
      <c r="A1409" s="34" t="inlineStr">
        <is>
          <t>R942-v2</t>
        </is>
      </c>
      <c r="B1409" s="34" t="inlineStr">
        <is>
          <t>Contractor Programme / SCH-06-042</t>
        </is>
      </c>
      <c r="C1409" s="34" t="inlineStr">
        <is>
          <t>No explicit source assertion recorded</t>
        </is>
      </c>
      <c r="D1409" s="34" t="inlineStr">
        <is>
          <t>Proposed by Professional; target UNSURE</t>
        </is>
      </c>
      <c r="E1409" s="34" t="inlineStr">
        <is>
          <t>None recorded</t>
        </is>
      </c>
      <c r="F1409" s="34" t="inlineStr">
        <is>
          <t>Maya Chen, Owner Project Controls: Professional decision</t>
        </is>
      </c>
      <c r="G1409" s="34" t="inlineStr">
        <is>
          <t>Group decision (182 records sharing one decision state)</t>
        </is>
      </c>
      <c r="H1409" s="34" t="inlineStr">
        <is>
          <t xml:space="preserve">APPROVED / UNSURE; </t>
        </is>
      </c>
      <c r="I1409" s="34" t="inlineStr">
        <is>
          <t>New</t>
        </is>
      </c>
      <c r="J1409" s="92" t="inlineStr">
        <is>
          <t>08 CROSSWALK</t>
        </is>
      </c>
    </row>
    <row r="1410" ht="49" customHeight="1">
      <c r="A1410" s="34" t="inlineStr">
        <is>
          <t>R943-v2</t>
        </is>
      </c>
      <c r="B1410" s="34" t="inlineStr">
        <is>
          <t>Contractor Programme / SCH-06-043</t>
        </is>
      </c>
      <c r="C1410" s="34" t="inlineStr">
        <is>
          <t>No explicit source assertion recorded</t>
        </is>
      </c>
      <c r="D1410" s="34" t="inlineStr">
        <is>
          <t>Proposed by Professional; target UNSURE</t>
        </is>
      </c>
      <c r="E1410" s="34" t="inlineStr">
        <is>
          <t>None recorded</t>
        </is>
      </c>
      <c r="F1410" s="34" t="inlineStr">
        <is>
          <t>Maya Chen, Owner Project Controls: Professional decision</t>
        </is>
      </c>
      <c r="G1410" s="34" t="inlineStr">
        <is>
          <t>Group decision (182 records sharing one decision state)</t>
        </is>
      </c>
      <c r="H1410" s="34" t="inlineStr">
        <is>
          <t xml:space="preserve">APPROVED / UNSURE; </t>
        </is>
      </c>
      <c r="I1410" s="34" t="inlineStr">
        <is>
          <t>New</t>
        </is>
      </c>
      <c r="J1410" s="92" t="inlineStr">
        <is>
          <t>08 CROSSWALK</t>
        </is>
      </c>
    </row>
    <row r="1411" ht="49" customHeight="1">
      <c r="A1411" s="34" t="inlineStr">
        <is>
          <t>R944-v2</t>
        </is>
      </c>
      <c r="B1411" s="34" t="inlineStr">
        <is>
          <t>Contractor Programme / SCH-06-044</t>
        </is>
      </c>
      <c r="C1411" s="34" t="inlineStr">
        <is>
          <t>No explicit source assertion recorded</t>
        </is>
      </c>
      <c r="D1411" s="34" t="inlineStr">
        <is>
          <t>Proposed by Professional; target UNSURE</t>
        </is>
      </c>
      <c r="E1411" s="34" t="inlineStr">
        <is>
          <t>None recorded</t>
        </is>
      </c>
      <c r="F1411" s="34" t="inlineStr">
        <is>
          <t>Maya Chen, Owner Project Controls: Professional decision</t>
        </is>
      </c>
      <c r="G1411" s="34" t="inlineStr">
        <is>
          <t>Group decision (182 records sharing one decision state)</t>
        </is>
      </c>
      <c r="H1411" s="34" t="inlineStr">
        <is>
          <t xml:space="preserve">APPROVED / UNSURE; </t>
        </is>
      </c>
      <c r="I1411" s="34" t="inlineStr">
        <is>
          <t>New</t>
        </is>
      </c>
      <c r="J1411" s="92" t="inlineStr">
        <is>
          <t>08 CROSSWALK</t>
        </is>
      </c>
    </row>
    <row r="1412" ht="49" customHeight="1">
      <c r="A1412" s="34" t="inlineStr">
        <is>
          <t>R945-v2</t>
        </is>
      </c>
      <c r="B1412" s="34" t="inlineStr">
        <is>
          <t>Contractor Programme / SCH-06-045</t>
        </is>
      </c>
      <c r="C1412" s="34" t="inlineStr">
        <is>
          <t>No explicit source assertion recorded</t>
        </is>
      </c>
      <c r="D1412" s="34" t="inlineStr">
        <is>
          <t>Proposed by Professional; target UNSURE</t>
        </is>
      </c>
      <c r="E1412" s="34" t="inlineStr">
        <is>
          <t>None recorded</t>
        </is>
      </c>
      <c r="F1412" s="34" t="inlineStr">
        <is>
          <t>Maya Chen, Owner Project Controls: Professional decision</t>
        </is>
      </c>
      <c r="G1412" s="34" t="inlineStr">
        <is>
          <t>Group decision (182 records sharing one decision state)</t>
        </is>
      </c>
      <c r="H1412" s="34" t="inlineStr">
        <is>
          <t xml:space="preserve">APPROVED / UNSURE; </t>
        </is>
      </c>
      <c r="I1412" s="34" t="inlineStr">
        <is>
          <t>New</t>
        </is>
      </c>
      <c r="J1412" s="92" t="inlineStr">
        <is>
          <t>08 CROSSWALK</t>
        </is>
      </c>
    </row>
    <row r="1413" ht="49" customHeight="1">
      <c r="A1413" s="34" t="inlineStr">
        <is>
          <t>R946-v2</t>
        </is>
      </c>
      <c r="B1413" s="34" t="inlineStr">
        <is>
          <t>Contractor Programme / SCH-06-046</t>
        </is>
      </c>
      <c r="C1413" s="34" t="inlineStr">
        <is>
          <t>No explicit source assertion recorded</t>
        </is>
      </c>
      <c r="D1413" s="34" t="inlineStr">
        <is>
          <t>Proposed by Professional; target UNSURE</t>
        </is>
      </c>
      <c r="E1413" s="34" t="inlineStr">
        <is>
          <t>None recorded</t>
        </is>
      </c>
      <c r="F1413" s="34" t="inlineStr">
        <is>
          <t>Maya Chen, Owner Project Controls: Professional decision</t>
        </is>
      </c>
      <c r="G1413" s="34" t="inlineStr">
        <is>
          <t>Group decision (182 records sharing one decision state)</t>
        </is>
      </c>
      <c r="H1413" s="34" t="inlineStr">
        <is>
          <t xml:space="preserve">APPROVED / UNSURE; </t>
        </is>
      </c>
      <c r="I1413" s="34" t="inlineStr">
        <is>
          <t>New</t>
        </is>
      </c>
      <c r="J1413" s="92" t="inlineStr">
        <is>
          <t>08 CROSSWALK</t>
        </is>
      </c>
    </row>
    <row r="1414" ht="49" customHeight="1">
      <c r="A1414" s="34" t="inlineStr">
        <is>
          <t>R947-v2</t>
        </is>
      </c>
      <c r="B1414" s="34" t="inlineStr">
        <is>
          <t>Contractor Programme / SCH-06-047</t>
        </is>
      </c>
      <c r="C1414" s="34" t="inlineStr">
        <is>
          <t>No explicit source assertion recorded</t>
        </is>
      </c>
      <c r="D1414" s="34" t="inlineStr">
        <is>
          <t>Proposed by Professional; target UNSURE</t>
        </is>
      </c>
      <c r="E1414" s="34" t="inlineStr">
        <is>
          <t>None recorded</t>
        </is>
      </c>
      <c r="F1414" s="34" t="inlineStr">
        <is>
          <t>Maya Chen, Owner Project Controls: Professional decision</t>
        </is>
      </c>
      <c r="G1414" s="34" t="inlineStr">
        <is>
          <t>Group decision (182 records sharing one decision state)</t>
        </is>
      </c>
      <c r="H1414" s="34" t="inlineStr">
        <is>
          <t xml:space="preserve">APPROVED / UNSURE; </t>
        </is>
      </c>
      <c r="I1414" s="34" t="inlineStr">
        <is>
          <t>New</t>
        </is>
      </c>
      <c r="J1414" s="92" t="inlineStr">
        <is>
          <t>08 CROSSWALK</t>
        </is>
      </c>
    </row>
    <row r="1415" ht="49" customHeight="1">
      <c r="A1415" s="34" t="inlineStr">
        <is>
          <t>R948-v2</t>
        </is>
      </c>
      <c r="B1415" s="34" t="inlineStr">
        <is>
          <t>Contractor Programme / SCH-06-048</t>
        </is>
      </c>
      <c r="C1415" s="34" t="inlineStr">
        <is>
          <t>No explicit source assertion recorded</t>
        </is>
      </c>
      <c r="D1415" s="34" t="inlineStr">
        <is>
          <t>Proposed by Professional; target UNSURE</t>
        </is>
      </c>
      <c r="E1415" s="34" t="inlineStr">
        <is>
          <t>None recorded</t>
        </is>
      </c>
      <c r="F1415" s="34" t="inlineStr">
        <is>
          <t>Maya Chen, Owner Project Controls: Professional decision</t>
        </is>
      </c>
      <c r="G1415" s="34" t="inlineStr">
        <is>
          <t>Group decision (182 records sharing one decision state)</t>
        </is>
      </c>
      <c r="H1415" s="34" t="inlineStr">
        <is>
          <t xml:space="preserve">APPROVED / UNSURE; </t>
        </is>
      </c>
      <c r="I1415" s="34" t="inlineStr">
        <is>
          <t>New</t>
        </is>
      </c>
      <c r="J1415" s="92" t="inlineStr">
        <is>
          <t>08 CROSSWALK</t>
        </is>
      </c>
    </row>
    <row r="1416" ht="49" customHeight="1">
      <c r="A1416" s="34" t="inlineStr">
        <is>
          <t>R949-v2</t>
        </is>
      </c>
      <c r="B1416" s="34" t="inlineStr">
        <is>
          <t>Contractor Programme / SCH-06-049</t>
        </is>
      </c>
      <c r="C1416" s="34" t="inlineStr">
        <is>
          <t>No explicit source assertion recorded</t>
        </is>
      </c>
      <c r="D1416" s="34" t="inlineStr">
        <is>
          <t>Proposed by Professional; target UNSURE</t>
        </is>
      </c>
      <c r="E1416" s="34" t="inlineStr">
        <is>
          <t>None recorded</t>
        </is>
      </c>
      <c r="F1416" s="34" t="inlineStr">
        <is>
          <t>Maya Chen, Owner Project Controls: Professional decision</t>
        </is>
      </c>
      <c r="G1416" s="34" t="inlineStr">
        <is>
          <t>Group decision (182 records sharing one decision state)</t>
        </is>
      </c>
      <c r="H1416" s="34" t="inlineStr">
        <is>
          <t xml:space="preserve">APPROVED / UNSURE; </t>
        </is>
      </c>
      <c r="I1416" s="34" t="inlineStr">
        <is>
          <t>New</t>
        </is>
      </c>
      <c r="J1416" s="92" t="inlineStr">
        <is>
          <t>08 CROSSWALK</t>
        </is>
      </c>
    </row>
    <row r="1417" ht="49" customHeight="1">
      <c r="A1417" s="34" t="inlineStr">
        <is>
          <t>R950-v2</t>
        </is>
      </c>
      <c r="B1417" s="34" t="inlineStr">
        <is>
          <t>Contractor Programme / SCH-06-050</t>
        </is>
      </c>
      <c r="C1417" s="34" t="inlineStr">
        <is>
          <t>No explicit source assertion recorded</t>
        </is>
      </c>
      <c r="D1417" s="34" t="inlineStr">
        <is>
          <t>Proposed by Professional; target UNSURE</t>
        </is>
      </c>
      <c r="E1417" s="34" t="inlineStr">
        <is>
          <t>None recorded</t>
        </is>
      </c>
      <c r="F1417" s="34" t="inlineStr">
        <is>
          <t>Maya Chen, Owner Project Controls: Professional decision</t>
        </is>
      </c>
      <c r="G1417" s="34" t="inlineStr">
        <is>
          <t>Group decision (182 records sharing one decision state)</t>
        </is>
      </c>
      <c r="H1417" s="34" t="inlineStr">
        <is>
          <t xml:space="preserve">APPROVED / UNSURE; </t>
        </is>
      </c>
      <c r="I1417" s="34" t="inlineStr">
        <is>
          <t>New</t>
        </is>
      </c>
      <c r="J1417" s="92" t="inlineStr">
        <is>
          <t>08 CROSSWALK</t>
        </is>
      </c>
    </row>
    <row r="1418" ht="49" customHeight="1">
      <c r="A1418" s="34" t="inlineStr">
        <is>
          <t>R951-v2</t>
        </is>
      </c>
      <c r="B1418" s="34" t="inlineStr">
        <is>
          <t>Contractor Programme / SCH-06-051</t>
        </is>
      </c>
      <c r="C1418" s="34" t="inlineStr">
        <is>
          <t>No explicit source assertion recorded</t>
        </is>
      </c>
      <c r="D1418" s="34" t="inlineStr">
        <is>
          <t>Proposed by Professional; target UNSURE</t>
        </is>
      </c>
      <c r="E1418" s="34" t="inlineStr">
        <is>
          <t>None recorded</t>
        </is>
      </c>
      <c r="F1418" s="34" t="inlineStr">
        <is>
          <t>Maya Chen, Owner Project Controls: Professional decision</t>
        </is>
      </c>
      <c r="G1418" s="34" t="inlineStr">
        <is>
          <t>Group decision (182 records sharing one decision state)</t>
        </is>
      </c>
      <c r="H1418" s="34" t="inlineStr">
        <is>
          <t xml:space="preserve">APPROVED / UNSURE; </t>
        </is>
      </c>
      <c r="I1418" s="34" t="inlineStr">
        <is>
          <t>New</t>
        </is>
      </c>
      <c r="J1418" s="92" t="inlineStr">
        <is>
          <t>08 CROSSWALK</t>
        </is>
      </c>
    </row>
    <row r="1419" ht="49" customHeight="1">
      <c r="A1419" s="34" t="inlineStr">
        <is>
          <t>R952-v2</t>
        </is>
      </c>
      <c r="B1419" s="34" t="inlineStr">
        <is>
          <t>Contractor Programme / SCH-06-052</t>
        </is>
      </c>
      <c r="C1419" s="34" t="inlineStr">
        <is>
          <t>No explicit source assertion recorded</t>
        </is>
      </c>
      <c r="D1419" s="34" t="inlineStr">
        <is>
          <t>Proposed by Professional; target UNSURE</t>
        </is>
      </c>
      <c r="E1419" s="34" t="inlineStr">
        <is>
          <t>None recorded</t>
        </is>
      </c>
      <c r="F1419" s="34" t="inlineStr">
        <is>
          <t>Maya Chen, Owner Project Controls: Professional decision</t>
        </is>
      </c>
      <c r="G1419" s="34" t="inlineStr">
        <is>
          <t>Group decision (182 records sharing one decision state)</t>
        </is>
      </c>
      <c r="H1419" s="34" t="inlineStr">
        <is>
          <t xml:space="preserve">APPROVED / UNSURE; </t>
        </is>
      </c>
      <c r="I1419" s="34" t="inlineStr">
        <is>
          <t>New</t>
        </is>
      </c>
      <c r="J1419" s="92" t="inlineStr">
        <is>
          <t>08 CROSSWALK</t>
        </is>
      </c>
    </row>
    <row r="1420" ht="49" customHeight="1">
      <c r="A1420" s="34" t="inlineStr">
        <is>
          <t>R953-v2</t>
        </is>
      </c>
      <c r="B1420" s="34" t="inlineStr">
        <is>
          <t>Contractor Programme / SCH-06-053</t>
        </is>
      </c>
      <c r="C1420" s="34" t="inlineStr">
        <is>
          <t>No explicit source assertion recorded</t>
        </is>
      </c>
      <c r="D1420" s="34" t="inlineStr">
        <is>
          <t>Proposed by Professional; target UNSURE</t>
        </is>
      </c>
      <c r="E1420" s="34" t="inlineStr">
        <is>
          <t>None recorded</t>
        </is>
      </c>
      <c r="F1420" s="34" t="inlineStr">
        <is>
          <t>Maya Chen, Owner Project Controls: Professional decision</t>
        </is>
      </c>
      <c r="G1420" s="34" t="inlineStr">
        <is>
          <t>Group decision (182 records sharing one decision state)</t>
        </is>
      </c>
      <c r="H1420" s="34" t="inlineStr">
        <is>
          <t xml:space="preserve">APPROVED / UNSURE; </t>
        </is>
      </c>
      <c r="I1420" s="34" t="inlineStr">
        <is>
          <t>New</t>
        </is>
      </c>
      <c r="J1420" s="92" t="inlineStr">
        <is>
          <t>08 CROSSWALK</t>
        </is>
      </c>
    </row>
    <row r="1421" ht="49" customHeight="1">
      <c r="A1421" s="34" t="inlineStr">
        <is>
          <t>R954-v2</t>
        </is>
      </c>
      <c r="B1421" s="34" t="inlineStr">
        <is>
          <t>Contractor Programme / SCH-06-054</t>
        </is>
      </c>
      <c r="C1421" s="34" t="inlineStr">
        <is>
          <t>No explicit source assertion recorded</t>
        </is>
      </c>
      <c r="D1421" s="34" t="inlineStr">
        <is>
          <t>Proposed by Professional; target UNSURE</t>
        </is>
      </c>
      <c r="E1421" s="34" t="inlineStr">
        <is>
          <t>None recorded</t>
        </is>
      </c>
      <c r="F1421" s="34" t="inlineStr">
        <is>
          <t>Maya Chen, Owner Project Controls: Professional decision</t>
        </is>
      </c>
      <c r="G1421" s="34" t="inlineStr">
        <is>
          <t>Group decision (182 records sharing one decision state)</t>
        </is>
      </c>
      <c r="H1421" s="34" t="inlineStr">
        <is>
          <t xml:space="preserve">APPROVED / UNSURE; </t>
        </is>
      </c>
      <c r="I1421" s="34" t="inlineStr">
        <is>
          <t>New</t>
        </is>
      </c>
      <c r="J1421" s="92" t="inlineStr">
        <is>
          <t>08 CROSSWALK</t>
        </is>
      </c>
    </row>
    <row r="1422" ht="49" customHeight="1">
      <c r="A1422" s="34" t="inlineStr">
        <is>
          <t>R955-v2</t>
        </is>
      </c>
      <c r="B1422" s="34" t="inlineStr">
        <is>
          <t>Contractor Programme / SCH-06-055</t>
        </is>
      </c>
      <c r="C1422" s="34" t="inlineStr">
        <is>
          <t>No explicit source assertion recorded</t>
        </is>
      </c>
      <c r="D1422" s="34" t="inlineStr">
        <is>
          <t>Proposed by Professional; target UNSURE</t>
        </is>
      </c>
      <c r="E1422" s="34" t="inlineStr">
        <is>
          <t>None recorded</t>
        </is>
      </c>
      <c r="F1422" s="34" t="inlineStr">
        <is>
          <t>Maya Chen, Owner Project Controls: Professional decision</t>
        </is>
      </c>
      <c r="G1422" s="34" t="inlineStr">
        <is>
          <t>Group decision (182 records sharing one decision state)</t>
        </is>
      </c>
      <c r="H1422" s="34" t="inlineStr">
        <is>
          <t xml:space="preserve">APPROVED / UNSURE; </t>
        </is>
      </c>
      <c r="I1422" s="34" t="inlineStr">
        <is>
          <t>New</t>
        </is>
      </c>
      <c r="J1422" s="92" t="inlineStr">
        <is>
          <t>08 CROSSWALK</t>
        </is>
      </c>
    </row>
    <row r="1423" ht="49" customHeight="1">
      <c r="A1423" s="34" t="inlineStr">
        <is>
          <t>R956-v2</t>
        </is>
      </c>
      <c r="B1423" s="34" t="inlineStr">
        <is>
          <t>Contractor Programme / SCH-06-056</t>
        </is>
      </c>
      <c r="C1423" s="34" t="inlineStr">
        <is>
          <t>No explicit source assertion recorded</t>
        </is>
      </c>
      <c r="D1423" s="34" t="inlineStr">
        <is>
          <t>Proposed by Professional; target UNSURE</t>
        </is>
      </c>
      <c r="E1423" s="34" t="inlineStr">
        <is>
          <t>None recorded</t>
        </is>
      </c>
      <c r="F1423" s="34" t="inlineStr">
        <is>
          <t>Maya Chen, Owner Project Controls: Professional decision</t>
        </is>
      </c>
      <c r="G1423" s="34" t="inlineStr">
        <is>
          <t>Group decision (182 records sharing one decision state)</t>
        </is>
      </c>
      <c r="H1423" s="34" t="inlineStr">
        <is>
          <t xml:space="preserve">APPROVED / UNSURE; </t>
        </is>
      </c>
      <c r="I1423" s="34" t="inlineStr">
        <is>
          <t>New</t>
        </is>
      </c>
      <c r="J1423" s="92" t="inlineStr">
        <is>
          <t>08 CROSSWALK</t>
        </is>
      </c>
    </row>
    <row r="1424" ht="49" customHeight="1">
      <c r="A1424" s="34" t="inlineStr">
        <is>
          <t>R957-v2</t>
        </is>
      </c>
      <c r="B1424" s="34" t="inlineStr">
        <is>
          <t>Contractor Programme / SCH-06-057</t>
        </is>
      </c>
      <c r="C1424" s="34" t="inlineStr">
        <is>
          <t>No explicit source assertion recorded</t>
        </is>
      </c>
      <c r="D1424" s="34" t="inlineStr">
        <is>
          <t>Proposed by Professional; target UNSURE</t>
        </is>
      </c>
      <c r="E1424" s="34" t="inlineStr">
        <is>
          <t>None recorded</t>
        </is>
      </c>
      <c r="F1424" s="34" t="inlineStr">
        <is>
          <t>Maya Chen, Owner Project Controls: Professional decision</t>
        </is>
      </c>
      <c r="G1424" s="34" t="inlineStr">
        <is>
          <t>Group decision (182 records sharing one decision state)</t>
        </is>
      </c>
      <c r="H1424" s="34" t="inlineStr">
        <is>
          <t xml:space="preserve">APPROVED / UNSURE; </t>
        </is>
      </c>
      <c r="I1424" s="34" t="inlineStr">
        <is>
          <t>New</t>
        </is>
      </c>
      <c r="J1424" s="92" t="inlineStr">
        <is>
          <t>08 CROSSWALK</t>
        </is>
      </c>
    </row>
    <row r="1425" ht="49" customHeight="1">
      <c r="A1425" s="34" t="inlineStr">
        <is>
          <t>R958-v2</t>
        </is>
      </c>
      <c r="B1425" s="34" t="inlineStr">
        <is>
          <t>Contractor Programme / SCH-06-058</t>
        </is>
      </c>
      <c r="C1425" s="34" t="inlineStr">
        <is>
          <t>No explicit source assertion recorded</t>
        </is>
      </c>
      <c r="D1425" s="34" t="inlineStr">
        <is>
          <t>Proposed by Professional; target UNSURE</t>
        </is>
      </c>
      <c r="E1425" s="34" t="inlineStr">
        <is>
          <t>None recorded</t>
        </is>
      </c>
      <c r="F1425" s="34" t="inlineStr">
        <is>
          <t>Maya Chen, Owner Project Controls: Professional decision</t>
        </is>
      </c>
      <c r="G1425" s="34" t="inlineStr">
        <is>
          <t>Group decision (182 records sharing one decision state)</t>
        </is>
      </c>
      <c r="H1425" s="34" t="inlineStr">
        <is>
          <t xml:space="preserve">APPROVED / UNSURE; </t>
        </is>
      </c>
      <c r="I1425" s="34" t="inlineStr">
        <is>
          <t>New</t>
        </is>
      </c>
      <c r="J1425" s="92" t="inlineStr">
        <is>
          <t>08 CROSSWALK</t>
        </is>
      </c>
    </row>
    <row r="1426" ht="49" customHeight="1">
      <c r="A1426" s="34" t="inlineStr">
        <is>
          <t>R959-v2</t>
        </is>
      </c>
      <c r="B1426" s="34" t="inlineStr">
        <is>
          <t>Contractor Programme / SCH-06-059</t>
        </is>
      </c>
      <c r="C1426" s="34" t="inlineStr">
        <is>
          <t>No explicit source assertion recorded</t>
        </is>
      </c>
      <c r="D1426" s="34" t="inlineStr">
        <is>
          <t>Proposed by Professional; target UNSURE</t>
        </is>
      </c>
      <c r="E1426" s="34" t="inlineStr">
        <is>
          <t>None recorded</t>
        </is>
      </c>
      <c r="F1426" s="34" t="inlineStr">
        <is>
          <t>Maya Chen, Owner Project Controls: Professional decision</t>
        </is>
      </c>
      <c r="G1426" s="34" t="inlineStr">
        <is>
          <t>Group decision (182 records sharing one decision state)</t>
        </is>
      </c>
      <c r="H1426" s="34" t="inlineStr">
        <is>
          <t xml:space="preserve">APPROVED / UNSURE; </t>
        </is>
      </c>
      <c r="I1426" s="34" t="inlineStr">
        <is>
          <t>New</t>
        </is>
      </c>
      <c r="J1426" s="92" t="inlineStr">
        <is>
          <t>08 CROSSWALK</t>
        </is>
      </c>
    </row>
    <row r="1427" ht="49" customHeight="1">
      <c r="A1427" s="34" t="inlineStr">
        <is>
          <t>R960-v2</t>
        </is>
      </c>
      <c r="B1427" s="34" t="inlineStr">
        <is>
          <t>Contractor Programme / SCH-06-060</t>
        </is>
      </c>
      <c r="C1427" s="34" t="inlineStr">
        <is>
          <t>No explicit source assertion recorded</t>
        </is>
      </c>
      <c r="D1427" s="34" t="inlineStr">
        <is>
          <t>Proposed by Professional; target UNSURE</t>
        </is>
      </c>
      <c r="E1427" s="34" t="inlineStr">
        <is>
          <t>None recorded</t>
        </is>
      </c>
      <c r="F1427" s="34" t="inlineStr">
        <is>
          <t>Maya Chen, Owner Project Controls: Professional decision</t>
        </is>
      </c>
      <c r="G1427" s="34" t="inlineStr">
        <is>
          <t>Group decision (182 records sharing one decision state)</t>
        </is>
      </c>
      <c r="H1427" s="34" t="inlineStr">
        <is>
          <t xml:space="preserve">APPROVED / UNSURE; </t>
        </is>
      </c>
      <c r="I1427" s="34" t="inlineStr">
        <is>
          <t>New</t>
        </is>
      </c>
      <c r="J1427" s="92" t="inlineStr">
        <is>
          <t>08 CROSSWALK</t>
        </is>
      </c>
    </row>
    <row r="1428" ht="49" customHeight="1">
      <c r="A1428" s="34" t="inlineStr">
        <is>
          <t>R961-v2</t>
        </is>
      </c>
      <c r="B1428" s="34" t="inlineStr">
        <is>
          <t>Contractor Programme / SCH-06-061</t>
        </is>
      </c>
      <c r="C1428" s="34" t="inlineStr">
        <is>
          <t>No explicit source assertion recorded</t>
        </is>
      </c>
      <c r="D1428" s="34" t="inlineStr">
        <is>
          <t>Proposed by Professional; target UNSURE</t>
        </is>
      </c>
      <c r="E1428" s="34" t="inlineStr">
        <is>
          <t>None recorded</t>
        </is>
      </c>
      <c r="F1428" s="34" t="inlineStr">
        <is>
          <t>Maya Chen, Owner Project Controls: Professional decision</t>
        </is>
      </c>
      <c r="G1428" s="34" t="inlineStr">
        <is>
          <t>Group decision (182 records sharing one decision state)</t>
        </is>
      </c>
      <c r="H1428" s="34" t="inlineStr">
        <is>
          <t xml:space="preserve">APPROVED / UNSURE; </t>
        </is>
      </c>
      <c r="I1428" s="34" t="inlineStr">
        <is>
          <t>New</t>
        </is>
      </c>
      <c r="J1428" s="92" t="inlineStr">
        <is>
          <t>08 CROSSWALK</t>
        </is>
      </c>
    </row>
    <row r="1429" ht="49" customHeight="1">
      <c r="A1429" s="34" t="inlineStr">
        <is>
          <t>R962-v2</t>
        </is>
      </c>
      <c r="B1429" s="34" t="inlineStr">
        <is>
          <t>Contractor Programme / SCH-06-062</t>
        </is>
      </c>
      <c r="C1429" s="34" t="inlineStr">
        <is>
          <t>No explicit source assertion recorded</t>
        </is>
      </c>
      <c r="D1429" s="34" t="inlineStr">
        <is>
          <t>Proposed by Professional; target UNSURE</t>
        </is>
      </c>
      <c r="E1429" s="34" t="inlineStr">
        <is>
          <t>None recorded</t>
        </is>
      </c>
      <c r="F1429" s="34" t="inlineStr">
        <is>
          <t>Maya Chen, Owner Project Controls: Professional decision</t>
        </is>
      </c>
      <c r="G1429" s="34" t="inlineStr">
        <is>
          <t>Group decision (182 records sharing one decision state)</t>
        </is>
      </c>
      <c r="H1429" s="34" t="inlineStr">
        <is>
          <t xml:space="preserve">APPROVED / UNSURE; </t>
        </is>
      </c>
      <c r="I1429" s="34" t="inlineStr">
        <is>
          <t>New</t>
        </is>
      </c>
      <c r="J1429" s="92" t="inlineStr">
        <is>
          <t>08 CROSSWALK</t>
        </is>
      </c>
    </row>
    <row r="1430" ht="49" customHeight="1">
      <c r="A1430" s="34" t="inlineStr">
        <is>
          <t>R963-v2</t>
        </is>
      </c>
      <c r="B1430" s="34" t="inlineStr">
        <is>
          <t>Contractor Programme / SCH-06-063</t>
        </is>
      </c>
      <c r="C1430" s="34" t="inlineStr">
        <is>
          <t>No explicit source assertion recorded</t>
        </is>
      </c>
      <c r="D1430" s="34" t="inlineStr">
        <is>
          <t>Proposed by Professional; target UNSURE</t>
        </is>
      </c>
      <c r="E1430" s="34" t="inlineStr">
        <is>
          <t>None recorded</t>
        </is>
      </c>
      <c r="F1430" s="34" t="inlineStr">
        <is>
          <t>Maya Chen, Owner Project Controls: Professional decision</t>
        </is>
      </c>
      <c r="G1430" s="34" t="inlineStr">
        <is>
          <t>Group decision (182 records sharing one decision state)</t>
        </is>
      </c>
      <c r="H1430" s="34" t="inlineStr">
        <is>
          <t xml:space="preserve">APPROVED / UNSURE; </t>
        </is>
      </c>
      <c r="I1430" s="34" t="inlineStr">
        <is>
          <t>New</t>
        </is>
      </c>
      <c r="J1430" s="92" t="inlineStr">
        <is>
          <t>08 CROSSWALK</t>
        </is>
      </c>
    </row>
    <row r="1431" ht="49" customHeight="1">
      <c r="A1431" s="34" t="inlineStr">
        <is>
          <t>R964-v2</t>
        </is>
      </c>
      <c r="B1431" s="34" t="inlineStr">
        <is>
          <t>Contractor Programme / SCH-06-064</t>
        </is>
      </c>
      <c r="C1431" s="34" t="inlineStr">
        <is>
          <t>No explicit source assertion recorded</t>
        </is>
      </c>
      <c r="D1431" s="34" t="inlineStr">
        <is>
          <t>Proposed by Professional; target UNSURE</t>
        </is>
      </c>
      <c r="E1431" s="34" t="inlineStr">
        <is>
          <t>None recorded</t>
        </is>
      </c>
      <c r="F1431" s="34" t="inlineStr">
        <is>
          <t>Maya Chen, Owner Project Controls: Professional decision</t>
        </is>
      </c>
      <c r="G1431" s="34" t="inlineStr">
        <is>
          <t>Group decision (182 records sharing one decision state)</t>
        </is>
      </c>
      <c r="H1431" s="34" t="inlineStr">
        <is>
          <t xml:space="preserve">APPROVED / UNSURE; </t>
        </is>
      </c>
      <c r="I1431" s="34" t="inlineStr">
        <is>
          <t>New</t>
        </is>
      </c>
      <c r="J1431" s="92" t="inlineStr">
        <is>
          <t>08 CROSSWALK</t>
        </is>
      </c>
    </row>
    <row r="1432" ht="49" customHeight="1">
      <c r="A1432" s="34" t="inlineStr">
        <is>
          <t>R965-v2</t>
        </is>
      </c>
      <c r="B1432" s="34" t="inlineStr">
        <is>
          <t>Contractor Programme / SCH-06-065</t>
        </is>
      </c>
      <c r="C1432" s="34" t="inlineStr">
        <is>
          <t>No explicit source assertion recorded</t>
        </is>
      </c>
      <c r="D1432" s="34" t="inlineStr">
        <is>
          <t>Proposed by Professional; target UNSURE</t>
        </is>
      </c>
      <c r="E1432" s="34" t="inlineStr">
        <is>
          <t>None recorded</t>
        </is>
      </c>
      <c r="F1432" s="34" t="inlineStr">
        <is>
          <t>Maya Chen, Owner Project Controls: Professional decision</t>
        </is>
      </c>
      <c r="G1432" s="34" t="inlineStr">
        <is>
          <t>Group decision (182 records sharing one decision state)</t>
        </is>
      </c>
      <c r="H1432" s="34" t="inlineStr">
        <is>
          <t xml:space="preserve">APPROVED / UNSURE; </t>
        </is>
      </c>
      <c r="I1432" s="34" t="inlineStr">
        <is>
          <t>New</t>
        </is>
      </c>
      <c r="J1432" s="92" t="inlineStr">
        <is>
          <t>08 CROSSWALK</t>
        </is>
      </c>
    </row>
    <row r="1433" ht="49" customHeight="1">
      <c r="A1433" s="34" t="inlineStr">
        <is>
          <t>R966-v2</t>
        </is>
      </c>
      <c r="B1433" s="34" t="inlineStr">
        <is>
          <t>Contractor Programme / SCH-06-066</t>
        </is>
      </c>
      <c r="C1433" s="34" t="inlineStr">
        <is>
          <t>No explicit source assertion recorded</t>
        </is>
      </c>
      <c r="D1433" s="34" t="inlineStr">
        <is>
          <t>Proposed by Professional; target UNSURE</t>
        </is>
      </c>
      <c r="E1433" s="34" t="inlineStr">
        <is>
          <t>None recorded</t>
        </is>
      </c>
      <c r="F1433" s="34" t="inlineStr">
        <is>
          <t>Maya Chen, Owner Project Controls: Professional decision</t>
        </is>
      </c>
      <c r="G1433" s="34" t="inlineStr">
        <is>
          <t>Group decision (182 records sharing one decision state)</t>
        </is>
      </c>
      <c r="H1433" s="34" t="inlineStr">
        <is>
          <t xml:space="preserve">APPROVED / UNSURE; </t>
        </is>
      </c>
      <c r="I1433" s="34" t="inlineStr">
        <is>
          <t>New</t>
        </is>
      </c>
      <c r="J1433" s="92" t="inlineStr">
        <is>
          <t>08 CROSSWALK</t>
        </is>
      </c>
    </row>
    <row r="1434" ht="49" customHeight="1">
      <c r="A1434" s="34" t="inlineStr">
        <is>
          <t>R967-v2</t>
        </is>
      </c>
      <c r="B1434" s="34" t="inlineStr">
        <is>
          <t>Contractor Programme / SCH-06-067</t>
        </is>
      </c>
      <c r="C1434" s="34" t="inlineStr">
        <is>
          <t>No explicit source assertion recorded</t>
        </is>
      </c>
      <c r="D1434" s="34" t="inlineStr">
        <is>
          <t>Proposed by Professional; target UNSURE</t>
        </is>
      </c>
      <c r="E1434" s="34" t="inlineStr">
        <is>
          <t>None recorded</t>
        </is>
      </c>
      <c r="F1434" s="34" t="inlineStr">
        <is>
          <t>Maya Chen, Owner Project Controls: Professional decision</t>
        </is>
      </c>
      <c r="G1434" s="34" t="inlineStr">
        <is>
          <t>Group decision (182 records sharing one decision state)</t>
        </is>
      </c>
      <c r="H1434" s="34" t="inlineStr">
        <is>
          <t xml:space="preserve">APPROVED / UNSURE; </t>
        </is>
      </c>
      <c r="I1434" s="34" t="inlineStr">
        <is>
          <t>New</t>
        </is>
      </c>
      <c r="J1434" s="92" t="inlineStr">
        <is>
          <t>08 CROSSWALK</t>
        </is>
      </c>
    </row>
    <row r="1435" ht="49" customHeight="1">
      <c r="A1435" s="34" t="inlineStr">
        <is>
          <t>R968-v2</t>
        </is>
      </c>
      <c r="B1435" s="34" t="inlineStr">
        <is>
          <t>Contractor Programme / SCH-06-068</t>
        </is>
      </c>
      <c r="C1435" s="34" t="inlineStr">
        <is>
          <t>No explicit source assertion recorded</t>
        </is>
      </c>
      <c r="D1435" s="34" t="inlineStr">
        <is>
          <t>Proposed by Professional; target UNSURE</t>
        </is>
      </c>
      <c r="E1435" s="34" t="inlineStr">
        <is>
          <t>None recorded</t>
        </is>
      </c>
      <c r="F1435" s="34" t="inlineStr">
        <is>
          <t>Maya Chen, Owner Project Controls: Professional decision</t>
        </is>
      </c>
      <c r="G1435" s="34" t="inlineStr">
        <is>
          <t>Group decision (182 records sharing one decision state)</t>
        </is>
      </c>
      <c r="H1435" s="34" t="inlineStr">
        <is>
          <t xml:space="preserve">APPROVED / UNSURE; </t>
        </is>
      </c>
      <c r="I1435" s="34" t="inlineStr">
        <is>
          <t>New</t>
        </is>
      </c>
      <c r="J1435" s="92" t="inlineStr">
        <is>
          <t>08 CROSSWALK</t>
        </is>
      </c>
    </row>
    <row r="1436" ht="49" customHeight="1">
      <c r="A1436" s="34" t="inlineStr">
        <is>
          <t>R969-v2</t>
        </is>
      </c>
      <c r="B1436" s="34" t="inlineStr">
        <is>
          <t>Contractor Programme / SCH-06-069</t>
        </is>
      </c>
      <c r="C1436" s="34" t="inlineStr">
        <is>
          <t>No explicit source assertion recorded</t>
        </is>
      </c>
      <c r="D1436" s="34" t="inlineStr">
        <is>
          <t>Proposed by Professional; target UNSURE</t>
        </is>
      </c>
      <c r="E1436" s="34" t="inlineStr">
        <is>
          <t>None recorded</t>
        </is>
      </c>
      <c r="F1436" s="34" t="inlineStr">
        <is>
          <t>Maya Chen, Owner Project Controls: Professional decision</t>
        </is>
      </c>
      <c r="G1436" s="34" t="inlineStr">
        <is>
          <t>Group decision (182 records sharing one decision state)</t>
        </is>
      </c>
      <c r="H1436" s="34" t="inlineStr">
        <is>
          <t xml:space="preserve">APPROVED / UNSURE; </t>
        </is>
      </c>
      <c r="I1436" s="34" t="inlineStr">
        <is>
          <t>New</t>
        </is>
      </c>
      <c r="J1436" s="92" t="inlineStr">
        <is>
          <t>08 CROSSWALK</t>
        </is>
      </c>
    </row>
    <row r="1437" ht="49" customHeight="1">
      <c r="A1437" s="34" t="inlineStr">
        <is>
          <t>R970-v2</t>
        </is>
      </c>
      <c r="B1437" s="34" t="inlineStr">
        <is>
          <t>Contractor Programme / SCH-06-070</t>
        </is>
      </c>
      <c r="C1437" s="34" t="inlineStr">
        <is>
          <t>No explicit source assertion recorded</t>
        </is>
      </c>
      <c r="D1437" s="34" t="inlineStr">
        <is>
          <t>Proposed by Professional; target UNSURE</t>
        </is>
      </c>
      <c r="E1437" s="34" t="inlineStr">
        <is>
          <t>None recorded</t>
        </is>
      </c>
      <c r="F1437" s="34" t="inlineStr">
        <is>
          <t>Maya Chen, Owner Project Controls: Professional decision</t>
        </is>
      </c>
      <c r="G1437" s="34" t="inlineStr">
        <is>
          <t>Group decision (182 records sharing one decision state)</t>
        </is>
      </c>
      <c r="H1437" s="34" t="inlineStr">
        <is>
          <t xml:space="preserve">APPROVED / UNSURE; </t>
        </is>
      </c>
      <c r="I1437" s="34" t="inlineStr">
        <is>
          <t>New</t>
        </is>
      </c>
      <c r="J1437" s="92" t="inlineStr">
        <is>
          <t>08 CROSSWALK</t>
        </is>
      </c>
    </row>
    <row r="1438" ht="49" customHeight="1">
      <c r="A1438" s="34" t="inlineStr">
        <is>
          <t>R971-v2</t>
        </is>
      </c>
      <c r="B1438" s="34" t="inlineStr">
        <is>
          <t>Contractor Programme / SCH-06-071</t>
        </is>
      </c>
      <c r="C1438" s="34" t="inlineStr">
        <is>
          <t>No explicit source assertion recorded</t>
        </is>
      </c>
      <c r="D1438" s="34" t="inlineStr">
        <is>
          <t>Proposed by Professional; target UNSURE</t>
        </is>
      </c>
      <c r="E1438" s="34" t="inlineStr">
        <is>
          <t>None recorded</t>
        </is>
      </c>
      <c r="F1438" s="34" t="inlineStr">
        <is>
          <t>Maya Chen, Owner Project Controls: Professional decision</t>
        </is>
      </c>
      <c r="G1438" s="34" t="inlineStr">
        <is>
          <t>Group decision (182 records sharing one decision state)</t>
        </is>
      </c>
      <c r="H1438" s="34" t="inlineStr">
        <is>
          <t xml:space="preserve">APPROVED / UNSURE; </t>
        </is>
      </c>
      <c r="I1438" s="34" t="inlineStr">
        <is>
          <t>New</t>
        </is>
      </c>
      <c r="J1438" s="92" t="inlineStr">
        <is>
          <t>08 CROSSWALK</t>
        </is>
      </c>
    </row>
    <row r="1439" ht="49" customHeight="1">
      <c r="A1439" s="34" t="inlineStr">
        <is>
          <t>R972-v2</t>
        </is>
      </c>
      <c r="B1439" s="34" t="inlineStr">
        <is>
          <t>Contractor Programme / SCH-06-072</t>
        </is>
      </c>
      <c r="C1439" s="34" t="inlineStr">
        <is>
          <t>No explicit source assertion recorded</t>
        </is>
      </c>
      <c r="D1439" s="34" t="inlineStr">
        <is>
          <t>Proposed by Professional; target UNSURE</t>
        </is>
      </c>
      <c r="E1439" s="34" t="inlineStr">
        <is>
          <t>None recorded</t>
        </is>
      </c>
      <c r="F1439" s="34" t="inlineStr">
        <is>
          <t>Maya Chen, Owner Project Controls: Professional decision</t>
        </is>
      </c>
      <c r="G1439" s="34" t="inlineStr">
        <is>
          <t>Group decision (182 records sharing one decision state)</t>
        </is>
      </c>
      <c r="H1439" s="34" t="inlineStr">
        <is>
          <t xml:space="preserve">APPROVED / UNSURE; </t>
        </is>
      </c>
      <c r="I1439" s="34" t="inlineStr">
        <is>
          <t>New</t>
        </is>
      </c>
      <c r="J1439" s="92" t="inlineStr">
        <is>
          <t>08 CROSSWALK</t>
        </is>
      </c>
    </row>
    <row r="1440" ht="49" customHeight="1">
      <c r="A1440" s="34" t="inlineStr">
        <is>
          <t>R973-v2</t>
        </is>
      </c>
      <c r="B1440" s="34" t="inlineStr">
        <is>
          <t>Contractor Programme / SCH-06-073</t>
        </is>
      </c>
      <c r="C1440" s="34" t="inlineStr">
        <is>
          <t>No explicit source assertion recorded</t>
        </is>
      </c>
      <c r="D1440" s="34" t="inlineStr">
        <is>
          <t>Proposed by Professional; target UNSURE</t>
        </is>
      </c>
      <c r="E1440" s="34" t="inlineStr">
        <is>
          <t>None recorded</t>
        </is>
      </c>
      <c r="F1440" s="34" t="inlineStr">
        <is>
          <t>Maya Chen, Owner Project Controls: Professional decision</t>
        </is>
      </c>
      <c r="G1440" s="34" t="inlineStr">
        <is>
          <t>Group decision (182 records sharing one decision state)</t>
        </is>
      </c>
      <c r="H1440" s="34" t="inlineStr">
        <is>
          <t xml:space="preserve">APPROVED / UNSURE; </t>
        </is>
      </c>
      <c r="I1440" s="34" t="inlineStr">
        <is>
          <t>New</t>
        </is>
      </c>
      <c r="J1440" s="92" t="inlineStr">
        <is>
          <t>08 CROSSWALK</t>
        </is>
      </c>
    </row>
    <row r="1441" ht="49" customHeight="1">
      <c r="A1441" s="34" t="inlineStr">
        <is>
          <t>R974-v2</t>
        </is>
      </c>
      <c r="B1441" s="34" t="inlineStr">
        <is>
          <t>Contractor Programme / SCH-06-074</t>
        </is>
      </c>
      <c r="C1441" s="34" t="inlineStr">
        <is>
          <t>No explicit source assertion recorded</t>
        </is>
      </c>
      <c r="D1441" s="34" t="inlineStr">
        <is>
          <t>Proposed by Professional; target UNSURE</t>
        </is>
      </c>
      <c r="E1441" s="34" t="inlineStr">
        <is>
          <t>None recorded</t>
        </is>
      </c>
      <c r="F1441" s="34" t="inlineStr">
        <is>
          <t>Maya Chen, Owner Project Controls: Professional decision</t>
        </is>
      </c>
      <c r="G1441" s="34" t="inlineStr">
        <is>
          <t>Group decision (182 records sharing one decision state)</t>
        </is>
      </c>
      <c r="H1441" s="34" t="inlineStr">
        <is>
          <t xml:space="preserve">APPROVED / UNSURE; </t>
        </is>
      </c>
      <c r="I1441" s="34" t="inlineStr">
        <is>
          <t>New</t>
        </is>
      </c>
      <c r="J1441" s="92" t="inlineStr">
        <is>
          <t>08 CROSSWALK</t>
        </is>
      </c>
    </row>
    <row r="1442" ht="49" customHeight="1">
      <c r="A1442" s="34" t="inlineStr">
        <is>
          <t>R975-v2</t>
        </is>
      </c>
      <c r="B1442" s="34" t="inlineStr">
        <is>
          <t>Contractor Programme / SCH-06-075</t>
        </is>
      </c>
      <c r="C1442" s="34" t="inlineStr">
        <is>
          <t>No explicit source assertion recorded</t>
        </is>
      </c>
      <c r="D1442" s="34" t="inlineStr">
        <is>
          <t>Proposed by Professional; target UNSURE</t>
        </is>
      </c>
      <c r="E1442" s="34" t="inlineStr">
        <is>
          <t>None recorded</t>
        </is>
      </c>
      <c r="F1442" s="34" t="inlineStr">
        <is>
          <t>Maya Chen, Owner Project Controls: Professional decision</t>
        </is>
      </c>
      <c r="G1442" s="34" t="inlineStr">
        <is>
          <t>Group decision (182 records sharing one decision state)</t>
        </is>
      </c>
      <c r="H1442" s="34" t="inlineStr">
        <is>
          <t xml:space="preserve">APPROVED / UNSURE; </t>
        </is>
      </c>
      <c r="I1442" s="34" t="inlineStr">
        <is>
          <t>New</t>
        </is>
      </c>
      <c r="J1442" s="92" t="inlineStr">
        <is>
          <t>08 CROSSWALK</t>
        </is>
      </c>
    </row>
    <row r="1443" ht="49" customHeight="1">
      <c r="A1443" s="34" t="inlineStr">
        <is>
          <t>R976-v2</t>
        </is>
      </c>
      <c r="B1443" s="34" t="inlineStr">
        <is>
          <t>Contractor Programme / SCH-06-076</t>
        </is>
      </c>
      <c r="C1443" s="34" t="inlineStr">
        <is>
          <t>No explicit source assertion recorded</t>
        </is>
      </c>
      <c r="D1443" s="34" t="inlineStr">
        <is>
          <t>Proposed by Professional; target UNSURE</t>
        </is>
      </c>
      <c r="E1443" s="34" t="inlineStr">
        <is>
          <t>None recorded</t>
        </is>
      </c>
      <c r="F1443" s="34" t="inlineStr">
        <is>
          <t>Maya Chen, Owner Project Controls: Professional decision</t>
        </is>
      </c>
      <c r="G1443" s="34" t="inlineStr">
        <is>
          <t>Group decision (182 records sharing one decision state)</t>
        </is>
      </c>
      <c r="H1443" s="34" t="inlineStr">
        <is>
          <t xml:space="preserve">APPROVED / UNSURE; </t>
        </is>
      </c>
      <c r="I1443" s="34" t="inlineStr">
        <is>
          <t>New</t>
        </is>
      </c>
      <c r="J1443" s="92" t="inlineStr">
        <is>
          <t>08 CROSSWALK</t>
        </is>
      </c>
    </row>
    <row r="1444" ht="49" customHeight="1">
      <c r="A1444" s="34" t="inlineStr">
        <is>
          <t>R977-v2</t>
        </is>
      </c>
      <c r="B1444" s="34" t="inlineStr">
        <is>
          <t>Contractor Programme / SCH-06-077</t>
        </is>
      </c>
      <c r="C1444" s="34" t="inlineStr">
        <is>
          <t>No explicit source assertion recorded</t>
        </is>
      </c>
      <c r="D1444" s="34" t="inlineStr">
        <is>
          <t>Proposed by Professional; target UNSURE</t>
        </is>
      </c>
      <c r="E1444" s="34" t="inlineStr">
        <is>
          <t>None recorded</t>
        </is>
      </c>
      <c r="F1444" s="34" t="inlineStr">
        <is>
          <t>Maya Chen, Owner Project Controls: Professional decision</t>
        </is>
      </c>
      <c r="G1444" s="34" t="inlineStr">
        <is>
          <t>Group decision (182 records sharing one decision state)</t>
        </is>
      </c>
      <c r="H1444" s="34" t="inlineStr">
        <is>
          <t xml:space="preserve">APPROVED / UNSURE; </t>
        </is>
      </c>
      <c r="I1444" s="34" t="inlineStr">
        <is>
          <t>New</t>
        </is>
      </c>
      <c r="J1444" s="92" t="inlineStr">
        <is>
          <t>08 CROSSWALK</t>
        </is>
      </c>
    </row>
    <row r="1445" ht="49" customHeight="1">
      <c r="A1445" s="34" t="inlineStr">
        <is>
          <t>R978-v2</t>
        </is>
      </c>
      <c r="B1445" s="34" t="inlineStr">
        <is>
          <t>Contractor Programme / SCH-06-078</t>
        </is>
      </c>
      <c r="C1445" s="34" t="inlineStr">
        <is>
          <t>No explicit source assertion recorded</t>
        </is>
      </c>
      <c r="D1445" s="34" t="inlineStr">
        <is>
          <t>Proposed by Professional; target UNSURE</t>
        </is>
      </c>
      <c r="E1445" s="34" t="inlineStr">
        <is>
          <t>None recorded</t>
        </is>
      </c>
      <c r="F1445" s="34" t="inlineStr">
        <is>
          <t>Maya Chen, Owner Project Controls: Professional decision</t>
        </is>
      </c>
      <c r="G1445" s="34" t="inlineStr">
        <is>
          <t>Group decision (182 records sharing one decision state)</t>
        </is>
      </c>
      <c r="H1445" s="34" t="inlineStr">
        <is>
          <t xml:space="preserve">APPROVED / UNSURE; </t>
        </is>
      </c>
      <c r="I1445" s="34" t="inlineStr">
        <is>
          <t>New</t>
        </is>
      </c>
      <c r="J1445" s="92" t="inlineStr">
        <is>
          <t>08 CROSSWALK</t>
        </is>
      </c>
    </row>
    <row r="1446" ht="49" customHeight="1">
      <c r="A1446" s="34" t="inlineStr">
        <is>
          <t>R979-v2</t>
        </is>
      </c>
      <c r="B1446" s="34" t="inlineStr">
        <is>
          <t>Contractor Programme / SCH-06-079</t>
        </is>
      </c>
      <c r="C1446" s="34" t="inlineStr">
        <is>
          <t>No explicit source assertion recorded</t>
        </is>
      </c>
      <c r="D1446" s="34" t="inlineStr">
        <is>
          <t>Proposed by Professional; target UNSURE</t>
        </is>
      </c>
      <c r="E1446" s="34" t="inlineStr">
        <is>
          <t>None recorded</t>
        </is>
      </c>
      <c r="F1446" s="34" t="inlineStr">
        <is>
          <t>Maya Chen, Owner Project Controls: Professional decision</t>
        </is>
      </c>
      <c r="G1446" s="34" t="inlineStr">
        <is>
          <t>Group decision (182 records sharing one decision state)</t>
        </is>
      </c>
      <c r="H1446" s="34" t="inlineStr">
        <is>
          <t xml:space="preserve">APPROVED / UNSURE; </t>
        </is>
      </c>
      <c r="I1446" s="34" t="inlineStr">
        <is>
          <t>New</t>
        </is>
      </c>
      <c r="J1446" s="92" t="inlineStr">
        <is>
          <t>08 CROSSWALK</t>
        </is>
      </c>
    </row>
    <row r="1447" ht="49" customHeight="1">
      <c r="A1447" s="34" t="inlineStr">
        <is>
          <t>R980-v2</t>
        </is>
      </c>
      <c r="B1447" s="34" t="inlineStr">
        <is>
          <t>Contractor Programme / SCH-06-080</t>
        </is>
      </c>
      <c r="C1447" s="34" t="inlineStr">
        <is>
          <t>No explicit source assertion recorded</t>
        </is>
      </c>
      <c r="D1447" s="34" t="inlineStr">
        <is>
          <t>Proposed by Professional; target UNSURE</t>
        </is>
      </c>
      <c r="E1447" s="34" t="inlineStr">
        <is>
          <t>None recorded</t>
        </is>
      </c>
      <c r="F1447" s="34" t="inlineStr">
        <is>
          <t>Maya Chen, Owner Project Controls: Professional decision</t>
        </is>
      </c>
      <c r="G1447" s="34" t="inlineStr">
        <is>
          <t>Group decision (182 records sharing one decision state)</t>
        </is>
      </c>
      <c r="H1447" s="34" t="inlineStr">
        <is>
          <t xml:space="preserve">APPROVED / UNSURE; </t>
        </is>
      </c>
      <c r="I1447" s="34" t="inlineStr">
        <is>
          <t>New</t>
        </is>
      </c>
      <c r="J1447" s="92" t="inlineStr">
        <is>
          <t>08 CROSSWALK</t>
        </is>
      </c>
    </row>
    <row r="1448" ht="49" customHeight="1">
      <c r="A1448" s="34" t="inlineStr">
        <is>
          <t>R981-v2</t>
        </is>
      </c>
      <c r="B1448" s="34" t="inlineStr">
        <is>
          <t>Contractor Programme / SCH-06-081</t>
        </is>
      </c>
      <c r="C1448" s="34" t="inlineStr">
        <is>
          <t>No explicit source assertion recorded</t>
        </is>
      </c>
      <c r="D1448" s="34" t="inlineStr">
        <is>
          <t>Proposed by Professional; target UNSURE</t>
        </is>
      </c>
      <c r="E1448" s="34" t="inlineStr">
        <is>
          <t>None recorded</t>
        </is>
      </c>
      <c r="F1448" s="34" t="inlineStr">
        <is>
          <t>Maya Chen, Owner Project Controls: Professional decision</t>
        </is>
      </c>
      <c r="G1448" s="34" t="inlineStr">
        <is>
          <t>Group decision (182 records sharing one decision state)</t>
        </is>
      </c>
      <c r="H1448" s="34" t="inlineStr">
        <is>
          <t xml:space="preserve">APPROVED / UNSURE; </t>
        </is>
      </c>
      <c r="I1448" s="34" t="inlineStr">
        <is>
          <t>New</t>
        </is>
      </c>
      <c r="J1448" s="92" t="inlineStr">
        <is>
          <t>08 CROSSWALK</t>
        </is>
      </c>
    </row>
    <row r="1449" ht="49" customHeight="1">
      <c r="A1449" s="34" t="inlineStr">
        <is>
          <t>R982-v2</t>
        </is>
      </c>
      <c r="B1449" s="34" t="inlineStr">
        <is>
          <t>Contractor Programme / SCH-06-082</t>
        </is>
      </c>
      <c r="C1449" s="34" t="inlineStr">
        <is>
          <t>No explicit source assertion recorded</t>
        </is>
      </c>
      <c r="D1449" s="34" t="inlineStr">
        <is>
          <t>Proposed by Professional; target UNSURE</t>
        </is>
      </c>
      <c r="E1449" s="34" t="inlineStr">
        <is>
          <t>None recorded</t>
        </is>
      </c>
      <c r="F1449" s="34" t="inlineStr">
        <is>
          <t>Maya Chen, Owner Project Controls: Professional decision</t>
        </is>
      </c>
      <c r="G1449" s="34" t="inlineStr">
        <is>
          <t>Group decision (182 records sharing one decision state)</t>
        </is>
      </c>
      <c r="H1449" s="34" t="inlineStr">
        <is>
          <t xml:space="preserve">APPROVED / UNSURE; </t>
        </is>
      </c>
      <c r="I1449" s="34" t="inlineStr">
        <is>
          <t>New</t>
        </is>
      </c>
      <c r="J1449" s="92" t="inlineStr">
        <is>
          <t>08 CROSSWALK</t>
        </is>
      </c>
    </row>
    <row r="1450" ht="49" customHeight="1">
      <c r="A1450" s="34" t="inlineStr">
        <is>
          <t>R983-v2</t>
        </is>
      </c>
      <c r="B1450" s="34" t="inlineStr">
        <is>
          <t>Contractor Programme / SCH-06-083</t>
        </is>
      </c>
      <c r="C1450" s="34" t="inlineStr">
        <is>
          <t>No explicit source assertion recorded</t>
        </is>
      </c>
      <c r="D1450" s="34" t="inlineStr">
        <is>
          <t>Proposed by Professional; target UNSURE</t>
        </is>
      </c>
      <c r="E1450" s="34" t="inlineStr">
        <is>
          <t>None recorded</t>
        </is>
      </c>
      <c r="F1450" s="34" t="inlineStr">
        <is>
          <t>Maya Chen, Owner Project Controls: Professional decision</t>
        </is>
      </c>
      <c r="G1450" s="34" t="inlineStr">
        <is>
          <t>Group decision (182 records sharing one decision state)</t>
        </is>
      </c>
      <c r="H1450" s="34" t="inlineStr">
        <is>
          <t xml:space="preserve">APPROVED / UNSURE; </t>
        </is>
      </c>
      <c r="I1450" s="34" t="inlineStr">
        <is>
          <t>New</t>
        </is>
      </c>
      <c r="J1450" s="92" t="inlineStr">
        <is>
          <t>08 CROSSWALK</t>
        </is>
      </c>
    </row>
    <row r="1451" ht="49" customHeight="1">
      <c r="A1451" s="34" t="inlineStr">
        <is>
          <t>R984-v2</t>
        </is>
      </c>
      <c r="B1451" s="34" t="inlineStr">
        <is>
          <t>Contractor Programme / SCH-06-084</t>
        </is>
      </c>
      <c r="C1451" s="34" t="inlineStr">
        <is>
          <t>No explicit source assertion recorded</t>
        </is>
      </c>
      <c r="D1451" s="34" t="inlineStr">
        <is>
          <t>Proposed by Professional; target UNSURE</t>
        </is>
      </c>
      <c r="E1451" s="34" t="inlineStr">
        <is>
          <t>None recorded</t>
        </is>
      </c>
      <c r="F1451" s="34" t="inlineStr">
        <is>
          <t>Maya Chen, Owner Project Controls: Professional decision</t>
        </is>
      </c>
      <c r="G1451" s="34" t="inlineStr">
        <is>
          <t>Group decision (182 records sharing one decision state)</t>
        </is>
      </c>
      <c r="H1451" s="34" t="inlineStr">
        <is>
          <t xml:space="preserve">APPROVED / UNSURE; </t>
        </is>
      </c>
      <c r="I1451" s="34" t="inlineStr">
        <is>
          <t>New</t>
        </is>
      </c>
      <c r="J1451" s="92" t="inlineStr">
        <is>
          <t>08 CROSSWALK</t>
        </is>
      </c>
    </row>
    <row r="1452" ht="49" customHeight="1">
      <c r="A1452" s="34" t="inlineStr">
        <is>
          <t>R985-v2</t>
        </is>
      </c>
      <c r="B1452" s="34" t="inlineStr">
        <is>
          <t>Contractor Programme / SCH-06-085</t>
        </is>
      </c>
      <c r="C1452" s="34" t="inlineStr">
        <is>
          <t>No explicit source assertion recorded</t>
        </is>
      </c>
      <c r="D1452" s="34" t="inlineStr">
        <is>
          <t>Proposed by Professional; target UNSURE</t>
        </is>
      </c>
      <c r="E1452" s="34" t="inlineStr">
        <is>
          <t>None recorded</t>
        </is>
      </c>
      <c r="F1452" s="34" t="inlineStr">
        <is>
          <t>Maya Chen, Owner Project Controls: Professional decision</t>
        </is>
      </c>
      <c r="G1452" s="34" t="inlineStr">
        <is>
          <t>Group decision (182 records sharing one decision state)</t>
        </is>
      </c>
      <c r="H1452" s="34" t="inlineStr">
        <is>
          <t xml:space="preserve">APPROVED / UNSURE; </t>
        </is>
      </c>
      <c r="I1452" s="34" t="inlineStr">
        <is>
          <t>New</t>
        </is>
      </c>
      <c r="J1452" s="92" t="inlineStr">
        <is>
          <t>08 CROSSWALK</t>
        </is>
      </c>
    </row>
    <row r="1453" ht="49" customHeight="1">
      <c r="A1453" s="34" t="inlineStr">
        <is>
          <t>R986-v2</t>
        </is>
      </c>
      <c r="B1453" s="34" t="inlineStr">
        <is>
          <t>Contractor Programme / SCH-06-086</t>
        </is>
      </c>
      <c r="C1453" s="34" t="inlineStr">
        <is>
          <t>No explicit source assertion recorded</t>
        </is>
      </c>
      <c r="D1453" s="34" t="inlineStr">
        <is>
          <t>Proposed by Professional; target UNSURE</t>
        </is>
      </c>
      <c r="E1453" s="34" t="inlineStr">
        <is>
          <t>None recorded</t>
        </is>
      </c>
      <c r="F1453" s="34" t="inlineStr">
        <is>
          <t>Maya Chen, Owner Project Controls: Professional decision</t>
        </is>
      </c>
      <c r="G1453" s="34" t="inlineStr">
        <is>
          <t>Group decision (182 records sharing one decision state)</t>
        </is>
      </c>
      <c r="H1453" s="34" t="inlineStr">
        <is>
          <t xml:space="preserve">APPROVED / UNSURE; </t>
        </is>
      </c>
      <c r="I1453" s="34" t="inlineStr">
        <is>
          <t>New</t>
        </is>
      </c>
      <c r="J1453" s="92" t="inlineStr">
        <is>
          <t>08 CROSSWALK</t>
        </is>
      </c>
    </row>
    <row r="1454" ht="49" customHeight="1">
      <c r="A1454" s="34" t="inlineStr">
        <is>
          <t>R987-v2</t>
        </is>
      </c>
      <c r="B1454" s="34" t="inlineStr">
        <is>
          <t>Contractor Programme / SCH-06-087</t>
        </is>
      </c>
      <c r="C1454" s="34" t="inlineStr">
        <is>
          <t>No explicit source assertion recorded</t>
        </is>
      </c>
      <c r="D1454" s="34" t="inlineStr">
        <is>
          <t>Proposed by Professional; target UNSURE</t>
        </is>
      </c>
      <c r="E1454" s="34" t="inlineStr">
        <is>
          <t>None recorded</t>
        </is>
      </c>
      <c r="F1454" s="34" t="inlineStr">
        <is>
          <t>Maya Chen, Owner Project Controls: Professional decision</t>
        </is>
      </c>
      <c r="G1454" s="34" t="inlineStr">
        <is>
          <t>Group decision (182 records sharing one decision state)</t>
        </is>
      </c>
      <c r="H1454" s="34" t="inlineStr">
        <is>
          <t xml:space="preserve">APPROVED / UNSURE; </t>
        </is>
      </c>
      <c r="I1454" s="34" t="inlineStr">
        <is>
          <t>New</t>
        </is>
      </c>
      <c r="J1454" s="92" t="inlineStr">
        <is>
          <t>08 CROSSWALK</t>
        </is>
      </c>
    </row>
    <row r="1455" ht="49" customHeight="1">
      <c r="A1455" s="34" t="inlineStr">
        <is>
          <t>R988-v2</t>
        </is>
      </c>
      <c r="B1455" s="34" t="inlineStr">
        <is>
          <t>Contractor Programme / SCH-06-088</t>
        </is>
      </c>
      <c r="C1455" s="34" t="inlineStr">
        <is>
          <t>No explicit source assertion recorded</t>
        </is>
      </c>
      <c r="D1455" s="34" t="inlineStr">
        <is>
          <t>Proposed by Professional; target UNSURE</t>
        </is>
      </c>
      <c r="E1455" s="34" t="inlineStr">
        <is>
          <t>None recorded</t>
        </is>
      </c>
      <c r="F1455" s="34" t="inlineStr">
        <is>
          <t>Maya Chen, Owner Project Controls: Professional decision</t>
        </is>
      </c>
      <c r="G1455" s="34" t="inlineStr">
        <is>
          <t>Group decision (182 records sharing one decision state)</t>
        </is>
      </c>
      <c r="H1455" s="34" t="inlineStr">
        <is>
          <t xml:space="preserve">APPROVED / UNSURE; </t>
        </is>
      </c>
      <c r="I1455" s="34" t="inlineStr">
        <is>
          <t>New</t>
        </is>
      </c>
      <c r="J1455" s="92" t="inlineStr">
        <is>
          <t>08 CROSSWALK</t>
        </is>
      </c>
    </row>
    <row r="1456" ht="49" customHeight="1">
      <c r="A1456" s="34" t="inlineStr">
        <is>
          <t>R989-v2</t>
        </is>
      </c>
      <c r="B1456" s="34" t="inlineStr">
        <is>
          <t>Contractor Programme / SCH-06-089</t>
        </is>
      </c>
      <c r="C1456" s="34" t="inlineStr">
        <is>
          <t>No explicit source assertion recorded</t>
        </is>
      </c>
      <c r="D1456" s="34" t="inlineStr">
        <is>
          <t>Proposed by Professional; target UNSURE</t>
        </is>
      </c>
      <c r="E1456" s="34" t="inlineStr">
        <is>
          <t>None recorded</t>
        </is>
      </c>
      <c r="F1456" s="34" t="inlineStr">
        <is>
          <t>Maya Chen, Owner Project Controls: Professional decision</t>
        </is>
      </c>
      <c r="G1456" s="34" t="inlineStr">
        <is>
          <t>Group decision (182 records sharing one decision state)</t>
        </is>
      </c>
      <c r="H1456" s="34" t="inlineStr">
        <is>
          <t xml:space="preserve">APPROVED / UNSURE; </t>
        </is>
      </c>
      <c r="I1456" s="34" t="inlineStr">
        <is>
          <t>New</t>
        </is>
      </c>
      <c r="J1456" s="92" t="inlineStr">
        <is>
          <t>08 CROSSWALK</t>
        </is>
      </c>
    </row>
    <row r="1457" ht="49" customHeight="1">
      <c r="A1457" s="34" t="inlineStr">
        <is>
          <t>R990-v2</t>
        </is>
      </c>
      <c r="B1457" s="34" t="inlineStr">
        <is>
          <t>Contractor Programme / SCH-06-090</t>
        </is>
      </c>
      <c r="C1457" s="34" t="inlineStr">
        <is>
          <t>No explicit source assertion recorded</t>
        </is>
      </c>
      <c r="D1457" s="34" t="inlineStr">
        <is>
          <t>Proposed by Professional; target UNSURE</t>
        </is>
      </c>
      <c r="E1457" s="34" t="inlineStr">
        <is>
          <t>None recorded</t>
        </is>
      </c>
      <c r="F1457" s="34" t="inlineStr">
        <is>
          <t>Maya Chen, Owner Project Controls: Professional decision</t>
        </is>
      </c>
      <c r="G1457" s="34" t="inlineStr">
        <is>
          <t>Group decision (182 records sharing one decision state)</t>
        </is>
      </c>
      <c r="H1457" s="34" t="inlineStr">
        <is>
          <t xml:space="preserve">APPROVED / UNSURE; </t>
        </is>
      </c>
      <c r="I1457" s="34" t="inlineStr">
        <is>
          <t>New</t>
        </is>
      </c>
      <c r="J1457" s="92" t="inlineStr">
        <is>
          <t>08 CROSSWALK</t>
        </is>
      </c>
    </row>
    <row r="1458" ht="49" customHeight="1">
      <c r="A1458" s="34" t="inlineStr">
        <is>
          <t>R991-v2</t>
        </is>
      </c>
      <c r="B1458" s="34" t="inlineStr">
        <is>
          <t>Contractor Programme / SCH-06-091</t>
        </is>
      </c>
      <c r="C1458" s="34" t="inlineStr">
        <is>
          <t>No explicit source assertion recorded</t>
        </is>
      </c>
      <c r="D1458" s="34" t="inlineStr">
        <is>
          <t>Proposed by Professional; target UNSURE</t>
        </is>
      </c>
      <c r="E1458" s="34" t="inlineStr">
        <is>
          <t>None recorded</t>
        </is>
      </c>
      <c r="F1458" s="34" t="inlineStr">
        <is>
          <t>Maya Chen, Owner Project Controls: Professional decision</t>
        </is>
      </c>
      <c r="G1458" s="34" t="inlineStr">
        <is>
          <t>Group decision (182 records sharing one decision state)</t>
        </is>
      </c>
      <c r="H1458" s="34" t="inlineStr">
        <is>
          <t xml:space="preserve">APPROVED / UNSURE; </t>
        </is>
      </c>
      <c r="I1458" s="34" t="inlineStr">
        <is>
          <t>New</t>
        </is>
      </c>
      <c r="J1458" s="92" t="inlineStr">
        <is>
          <t>08 CROSSWALK</t>
        </is>
      </c>
    </row>
    <row r="1459" ht="49" customHeight="1">
      <c r="A1459" s="34" t="inlineStr">
        <is>
          <t>R992-v2</t>
        </is>
      </c>
      <c r="B1459" s="34" t="inlineStr">
        <is>
          <t>Contractor Programme / SCH-06-092</t>
        </is>
      </c>
      <c r="C1459" s="34" t="inlineStr">
        <is>
          <t>No explicit source assertion recorded</t>
        </is>
      </c>
      <c r="D1459" s="34" t="inlineStr">
        <is>
          <t>Proposed by Professional; target UNSURE</t>
        </is>
      </c>
      <c r="E1459" s="34" t="inlineStr">
        <is>
          <t>None recorded</t>
        </is>
      </c>
      <c r="F1459" s="34" t="inlineStr">
        <is>
          <t>Maya Chen, Owner Project Controls: Professional decision</t>
        </is>
      </c>
      <c r="G1459" s="34" t="inlineStr">
        <is>
          <t>Group decision (182 records sharing one decision state)</t>
        </is>
      </c>
      <c r="H1459" s="34" t="inlineStr">
        <is>
          <t xml:space="preserve">APPROVED / UNSURE; </t>
        </is>
      </c>
      <c r="I1459" s="34" t="inlineStr">
        <is>
          <t>New</t>
        </is>
      </c>
      <c r="J1459" s="92" t="inlineStr">
        <is>
          <t>08 CROSSWALK</t>
        </is>
      </c>
    </row>
    <row r="1460" ht="49" customHeight="1">
      <c r="A1460" s="34" t="inlineStr">
        <is>
          <t>R993-v2</t>
        </is>
      </c>
      <c r="B1460" s="34" t="inlineStr">
        <is>
          <t>Contractor Programme / SCH-06-093</t>
        </is>
      </c>
      <c r="C1460" s="34" t="inlineStr">
        <is>
          <t>No explicit source assertion recorded</t>
        </is>
      </c>
      <c r="D1460" s="34" t="inlineStr">
        <is>
          <t>Proposed by Professional; target UNSURE</t>
        </is>
      </c>
      <c r="E1460" s="34" t="inlineStr">
        <is>
          <t>None recorded</t>
        </is>
      </c>
      <c r="F1460" s="34" t="inlineStr">
        <is>
          <t>Maya Chen, Owner Project Controls: Professional decision</t>
        </is>
      </c>
      <c r="G1460" s="34" t="inlineStr">
        <is>
          <t>Group decision (182 records sharing one decision state)</t>
        </is>
      </c>
      <c r="H1460" s="34" t="inlineStr">
        <is>
          <t xml:space="preserve">APPROVED / UNSURE; </t>
        </is>
      </c>
      <c r="I1460" s="34" t="inlineStr">
        <is>
          <t>New</t>
        </is>
      </c>
      <c r="J1460" s="92" t="inlineStr">
        <is>
          <t>08 CROSSWALK</t>
        </is>
      </c>
    </row>
    <row r="1461" ht="49" customHeight="1">
      <c r="A1461" s="34" t="inlineStr">
        <is>
          <t>R994-v2</t>
        </is>
      </c>
      <c r="B1461" s="34" t="inlineStr">
        <is>
          <t>Contractor Programme / SCH-06-094</t>
        </is>
      </c>
      <c r="C1461" s="34" t="inlineStr">
        <is>
          <t>No explicit source assertion recorded</t>
        </is>
      </c>
      <c r="D1461" s="34" t="inlineStr">
        <is>
          <t>Proposed by Professional; target UNSURE</t>
        </is>
      </c>
      <c r="E1461" s="34" t="inlineStr">
        <is>
          <t>None recorded</t>
        </is>
      </c>
      <c r="F1461" s="34" t="inlineStr">
        <is>
          <t>Maya Chen, Owner Project Controls: Professional decision</t>
        </is>
      </c>
      <c r="G1461" s="34" t="inlineStr">
        <is>
          <t>Group decision (182 records sharing one decision state)</t>
        </is>
      </c>
      <c r="H1461" s="34" t="inlineStr">
        <is>
          <t xml:space="preserve">APPROVED / UNSURE; </t>
        </is>
      </c>
      <c r="I1461" s="34" t="inlineStr">
        <is>
          <t>New</t>
        </is>
      </c>
      <c r="J1461" s="92" t="inlineStr">
        <is>
          <t>08 CROSSWALK</t>
        </is>
      </c>
    </row>
    <row r="1462" ht="49" customHeight="1">
      <c r="A1462" s="34" t="inlineStr">
        <is>
          <t>R995-v2</t>
        </is>
      </c>
      <c r="B1462" s="34" t="inlineStr">
        <is>
          <t>Contractor Programme / SCH-06-095</t>
        </is>
      </c>
      <c r="C1462" s="34" t="inlineStr">
        <is>
          <t>No explicit source assertion recorded</t>
        </is>
      </c>
      <c r="D1462" s="34" t="inlineStr">
        <is>
          <t>Proposed by Professional; target UNSURE</t>
        </is>
      </c>
      <c r="E1462" s="34" t="inlineStr">
        <is>
          <t>None recorded</t>
        </is>
      </c>
      <c r="F1462" s="34" t="inlineStr">
        <is>
          <t>Maya Chen, Owner Project Controls: Professional decision</t>
        </is>
      </c>
      <c r="G1462" s="34" t="inlineStr">
        <is>
          <t>Group decision (182 records sharing one decision state)</t>
        </is>
      </c>
      <c r="H1462" s="34" t="inlineStr">
        <is>
          <t xml:space="preserve">APPROVED / UNSURE; </t>
        </is>
      </c>
      <c r="I1462" s="34" t="inlineStr">
        <is>
          <t>New</t>
        </is>
      </c>
      <c r="J1462" s="92" t="inlineStr">
        <is>
          <t>08 CROSSWALK</t>
        </is>
      </c>
    </row>
    <row r="1463" ht="49" customHeight="1">
      <c r="A1463" s="34" t="inlineStr">
        <is>
          <t>R996-v2</t>
        </is>
      </c>
      <c r="B1463" s="34" t="inlineStr">
        <is>
          <t>Contractor Programme / SCH-06-096</t>
        </is>
      </c>
      <c r="C1463" s="34" t="inlineStr">
        <is>
          <t>No explicit source assertion recorded</t>
        </is>
      </c>
      <c r="D1463" s="34" t="inlineStr">
        <is>
          <t>Proposed by Professional; target UNSURE</t>
        </is>
      </c>
      <c r="E1463" s="34" t="inlineStr">
        <is>
          <t>None recorded</t>
        </is>
      </c>
      <c r="F1463" s="34" t="inlineStr">
        <is>
          <t>Maya Chen, Owner Project Controls: Professional decision</t>
        </is>
      </c>
      <c r="G1463" s="34" t="inlineStr">
        <is>
          <t>Group decision (182 records sharing one decision state)</t>
        </is>
      </c>
      <c r="H1463" s="34" t="inlineStr">
        <is>
          <t xml:space="preserve">APPROVED / UNSURE; </t>
        </is>
      </c>
      <c r="I1463" s="34" t="inlineStr">
        <is>
          <t>New</t>
        </is>
      </c>
      <c r="J1463" s="92" t="inlineStr">
        <is>
          <t>08 CROSSWALK</t>
        </is>
      </c>
    </row>
    <row r="1464" ht="49" customHeight="1">
      <c r="A1464" s="34" t="inlineStr">
        <is>
          <t>R997-v2</t>
        </is>
      </c>
      <c r="B1464" s="34" t="inlineStr">
        <is>
          <t>Contractor Programme / SCH-06-097</t>
        </is>
      </c>
      <c r="C1464" s="34" t="inlineStr">
        <is>
          <t>No explicit source assertion recorded</t>
        </is>
      </c>
      <c r="D1464" s="34" t="inlineStr">
        <is>
          <t>Proposed by Professional; target UNSURE</t>
        </is>
      </c>
      <c r="E1464" s="34" t="inlineStr">
        <is>
          <t>None recorded</t>
        </is>
      </c>
      <c r="F1464" s="34" t="inlineStr">
        <is>
          <t>Maya Chen, Owner Project Controls: Professional decision</t>
        </is>
      </c>
      <c r="G1464" s="34" t="inlineStr">
        <is>
          <t>Group decision (182 records sharing one decision state)</t>
        </is>
      </c>
      <c r="H1464" s="34" t="inlineStr">
        <is>
          <t xml:space="preserve">APPROVED / UNSURE; </t>
        </is>
      </c>
      <c r="I1464" s="34" t="inlineStr">
        <is>
          <t>New</t>
        </is>
      </c>
      <c r="J1464" s="92" t="inlineStr">
        <is>
          <t>08 CROSSWALK</t>
        </is>
      </c>
    </row>
    <row r="1465" ht="49" customHeight="1">
      <c r="A1465" s="34" t="inlineStr">
        <is>
          <t>R998-v2</t>
        </is>
      </c>
      <c r="B1465" s="34" t="inlineStr">
        <is>
          <t>Contractor Programme / SCH-06-098</t>
        </is>
      </c>
      <c r="C1465" s="34" t="inlineStr">
        <is>
          <t>No explicit source assertion recorded</t>
        </is>
      </c>
      <c r="D1465" s="34" t="inlineStr">
        <is>
          <t>Proposed by Professional; target UNSURE</t>
        </is>
      </c>
      <c r="E1465" s="34" t="inlineStr">
        <is>
          <t>None recorded</t>
        </is>
      </c>
      <c r="F1465" s="34" t="inlineStr">
        <is>
          <t>Maya Chen, Owner Project Controls: Professional decision</t>
        </is>
      </c>
      <c r="G1465" s="34" t="inlineStr">
        <is>
          <t>Group decision (182 records sharing one decision state)</t>
        </is>
      </c>
      <c r="H1465" s="34" t="inlineStr">
        <is>
          <t xml:space="preserve">APPROVED / UNSURE; </t>
        </is>
      </c>
      <c r="I1465" s="34" t="inlineStr">
        <is>
          <t>New</t>
        </is>
      </c>
      <c r="J1465" s="92" t="inlineStr">
        <is>
          <t>08 CROSSWALK</t>
        </is>
      </c>
    </row>
    <row r="1466" ht="49" customHeight="1">
      <c r="A1466" s="34" t="inlineStr">
        <is>
          <t>R999-v2</t>
        </is>
      </c>
      <c r="B1466" s="34" t="inlineStr">
        <is>
          <t>Contractor Programme / SCH-06-099</t>
        </is>
      </c>
      <c r="C1466" s="34" t="inlineStr">
        <is>
          <t>No explicit source assertion recorded</t>
        </is>
      </c>
      <c r="D1466" s="34" t="inlineStr">
        <is>
          <t>Proposed by Professional; target UNSURE</t>
        </is>
      </c>
      <c r="E1466" s="34" t="inlineStr">
        <is>
          <t>None recorded</t>
        </is>
      </c>
      <c r="F1466" s="34" t="inlineStr">
        <is>
          <t>Maya Chen, Owner Project Controls: Professional decision</t>
        </is>
      </c>
      <c r="G1466" s="34" t="inlineStr">
        <is>
          <t>Group decision (182 records sharing one decision state)</t>
        </is>
      </c>
      <c r="H1466" s="34" t="inlineStr">
        <is>
          <t xml:space="preserve">APPROVED / UNSURE; </t>
        </is>
      </c>
      <c r="I1466" s="34" t="inlineStr">
        <is>
          <t>New</t>
        </is>
      </c>
      <c r="J1466" s="92" t="inlineStr">
        <is>
          <t>08 CROSSWALK</t>
        </is>
      </c>
    </row>
    <row r="1467" ht="49" customHeight="1">
      <c r="A1467" s="34" t="inlineStr">
        <is>
          <t>R1000-v2</t>
        </is>
      </c>
      <c r="B1467" s="34" t="inlineStr">
        <is>
          <t>Contractor Programme / SCH-06-100</t>
        </is>
      </c>
      <c r="C1467" s="34" t="inlineStr">
        <is>
          <t>No explicit source assertion recorded</t>
        </is>
      </c>
      <c r="D1467" s="34" t="inlineStr">
        <is>
          <t>Proposed by Professional; target UNSURE</t>
        </is>
      </c>
      <c r="E1467" s="34" t="inlineStr">
        <is>
          <t>None recorded</t>
        </is>
      </c>
      <c r="F1467" s="34" t="inlineStr">
        <is>
          <t>Maya Chen, Owner Project Controls: Professional decision</t>
        </is>
      </c>
      <c r="G1467" s="34" t="inlineStr">
        <is>
          <t>Group decision (182 records sharing one decision state)</t>
        </is>
      </c>
      <c r="H1467" s="34" t="inlineStr">
        <is>
          <t xml:space="preserve">APPROVED / UNSURE; </t>
        </is>
      </c>
      <c r="I1467" s="34" t="inlineStr">
        <is>
          <t>New</t>
        </is>
      </c>
      <c r="J1467" s="92" t="inlineStr">
        <is>
          <t>08 CROSSWALK</t>
        </is>
      </c>
    </row>
    <row r="1468" ht="49" customHeight="1">
      <c r="A1468" s="34" t="inlineStr">
        <is>
          <t>R1001-v2</t>
        </is>
      </c>
      <c r="B1468" s="34" t="inlineStr">
        <is>
          <t>Contractor Programme / SCH-06-101</t>
        </is>
      </c>
      <c r="C1468" s="34" t="inlineStr">
        <is>
          <t>No explicit source assertion recorded</t>
        </is>
      </c>
      <c r="D1468" s="34" t="inlineStr">
        <is>
          <t>Proposed by Professional; target UNSURE</t>
        </is>
      </c>
      <c r="E1468" s="34" t="inlineStr">
        <is>
          <t>None recorded</t>
        </is>
      </c>
      <c r="F1468" s="34" t="inlineStr">
        <is>
          <t>Maya Chen, Owner Project Controls: Professional decision</t>
        </is>
      </c>
      <c r="G1468" s="34" t="inlineStr">
        <is>
          <t>Group decision (182 records sharing one decision state)</t>
        </is>
      </c>
      <c r="H1468" s="34" t="inlineStr">
        <is>
          <t xml:space="preserve">APPROVED / UNSURE; </t>
        </is>
      </c>
      <c r="I1468" s="34" t="inlineStr">
        <is>
          <t>New</t>
        </is>
      </c>
      <c r="J1468" s="92" t="inlineStr">
        <is>
          <t>08 CROSSWALK</t>
        </is>
      </c>
    </row>
    <row r="1469" ht="49" customHeight="1">
      <c r="A1469" s="34" t="inlineStr">
        <is>
          <t>R1002-v2</t>
        </is>
      </c>
      <c r="B1469" s="34" t="inlineStr">
        <is>
          <t>Contractor Programme / SCH-06-102</t>
        </is>
      </c>
      <c r="C1469" s="34" t="inlineStr">
        <is>
          <t>No explicit source assertion recorded</t>
        </is>
      </c>
      <c r="D1469" s="34" t="inlineStr">
        <is>
          <t>Proposed by Professional; target UNSURE</t>
        </is>
      </c>
      <c r="E1469" s="34" t="inlineStr">
        <is>
          <t>None recorded</t>
        </is>
      </c>
      <c r="F1469" s="34" t="inlineStr">
        <is>
          <t>Maya Chen, Owner Project Controls: Professional decision</t>
        </is>
      </c>
      <c r="G1469" s="34" t="inlineStr">
        <is>
          <t>Group decision (182 records sharing one decision state)</t>
        </is>
      </c>
      <c r="H1469" s="34" t="inlineStr">
        <is>
          <t xml:space="preserve">APPROVED / UNSURE; </t>
        </is>
      </c>
      <c r="I1469" s="34" t="inlineStr">
        <is>
          <t>New</t>
        </is>
      </c>
      <c r="J1469" s="92" t="inlineStr">
        <is>
          <t>08 CROSSWALK</t>
        </is>
      </c>
    </row>
    <row r="1470" ht="49" customHeight="1">
      <c r="A1470" s="34" t="inlineStr">
        <is>
          <t>R1003-v2</t>
        </is>
      </c>
      <c r="B1470" s="34" t="inlineStr">
        <is>
          <t>Contractor Programme / SCH-06-103</t>
        </is>
      </c>
      <c r="C1470" s="34" t="inlineStr">
        <is>
          <t>No explicit source assertion recorded</t>
        </is>
      </c>
      <c r="D1470" s="34" t="inlineStr">
        <is>
          <t>Proposed by Professional; target UNSURE</t>
        </is>
      </c>
      <c r="E1470" s="34" t="inlineStr">
        <is>
          <t>None recorded</t>
        </is>
      </c>
      <c r="F1470" s="34" t="inlineStr">
        <is>
          <t>Maya Chen, Owner Project Controls: Professional decision</t>
        </is>
      </c>
      <c r="G1470" s="34" t="inlineStr">
        <is>
          <t>Group decision (182 records sharing one decision state)</t>
        </is>
      </c>
      <c r="H1470" s="34" t="inlineStr">
        <is>
          <t xml:space="preserve">APPROVED / UNSURE; </t>
        </is>
      </c>
      <c r="I1470" s="34" t="inlineStr">
        <is>
          <t>New</t>
        </is>
      </c>
      <c r="J1470" s="92" t="inlineStr">
        <is>
          <t>08 CROSSWALK</t>
        </is>
      </c>
    </row>
    <row r="1471" ht="49" customHeight="1">
      <c r="A1471" s="34" t="inlineStr">
        <is>
          <t>R1004-v2</t>
        </is>
      </c>
      <c r="B1471" s="34" t="inlineStr">
        <is>
          <t>Contractor Programme / SCH-06-104</t>
        </is>
      </c>
      <c r="C1471" s="34" t="inlineStr">
        <is>
          <t>No explicit source assertion recorded</t>
        </is>
      </c>
      <c r="D1471" s="34" t="inlineStr">
        <is>
          <t>Proposed by Professional; target UNSURE</t>
        </is>
      </c>
      <c r="E1471" s="34" t="inlineStr">
        <is>
          <t>None recorded</t>
        </is>
      </c>
      <c r="F1471" s="34" t="inlineStr">
        <is>
          <t>Maya Chen, Owner Project Controls: Professional decision</t>
        </is>
      </c>
      <c r="G1471" s="34" t="inlineStr">
        <is>
          <t>Group decision (182 records sharing one decision state)</t>
        </is>
      </c>
      <c r="H1471" s="34" t="inlineStr">
        <is>
          <t xml:space="preserve">APPROVED / UNSURE; </t>
        </is>
      </c>
      <c r="I1471" s="34" t="inlineStr">
        <is>
          <t>New</t>
        </is>
      </c>
      <c r="J1471" s="92" t="inlineStr">
        <is>
          <t>08 CROSSWALK</t>
        </is>
      </c>
    </row>
    <row r="1472" ht="49" customHeight="1">
      <c r="A1472" s="34" t="inlineStr">
        <is>
          <t>R1005-v2</t>
        </is>
      </c>
      <c r="B1472" s="34" t="inlineStr">
        <is>
          <t>Contractor Programme / SCH-06-105</t>
        </is>
      </c>
      <c r="C1472" s="34" t="inlineStr">
        <is>
          <t>No explicit source assertion recorded</t>
        </is>
      </c>
      <c r="D1472" s="34" t="inlineStr">
        <is>
          <t>Proposed by Professional; target UNSURE</t>
        </is>
      </c>
      <c r="E1472" s="34" t="inlineStr">
        <is>
          <t>None recorded</t>
        </is>
      </c>
      <c r="F1472" s="34" t="inlineStr">
        <is>
          <t>Maya Chen, Owner Project Controls: Professional decision</t>
        </is>
      </c>
      <c r="G1472" s="34" t="inlineStr">
        <is>
          <t>Group decision (182 records sharing one decision state)</t>
        </is>
      </c>
      <c r="H1472" s="34" t="inlineStr">
        <is>
          <t xml:space="preserve">APPROVED / UNSURE; </t>
        </is>
      </c>
      <c r="I1472" s="34" t="inlineStr">
        <is>
          <t>New</t>
        </is>
      </c>
      <c r="J1472" s="92" t="inlineStr">
        <is>
          <t>08 CROSSWALK</t>
        </is>
      </c>
    </row>
    <row r="1473" ht="49" customHeight="1">
      <c r="A1473" s="34" t="inlineStr">
        <is>
          <t>R1006-v2</t>
        </is>
      </c>
      <c r="B1473" s="34" t="inlineStr">
        <is>
          <t>Contractor Programme / SCH-06-106</t>
        </is>
      </c>
      <c r="C1473" s="34" t="inlineStr">
        <is>
          <t>No explicit source assertion recorded</t>
        </is>
      </c>
      <c r="D1473" s="34" t="inlineStr">
        <is>
          <t>Proposed by Professional; target UNSURE</t>
        </is>
      </c>
      <c r="E1473" s="34" t="inlineStr">
        <is>
          <t>None recorded</t>
        </is>
      </c>
      <c r="F1473" s="34" t="inlineStr">
        <is>
          <t>Maya Chen, Owner Project Controls: Professional decision</t>
        </is>
      </c>
      <c r="G1473" s="34" t="inlineStr">
        <is>
          <t>Group decision (182 records sharing one decision state)</t>
        </is>
      </c>
      <c r="H1473" s="34" t="inlineStr">
        <is>
          <t xml:space="preserve">APPROVED / UNSURE; </t>
        </is>
      </c>
      <c r="I1473" s="34" t="inlineStr">
        <is>
          <t>New</t>
        </is>
      </c>
      <c r="J1473" s="92" t="inlineStr">
        <is>
          <t>08 CROSSWALK</t>
        </is>
      </c>
    </row>
    <row r="1474" ht="49" customHeight="1">
      <c r="A1474" s="34" t="inlineStr">
        <is>
          <t>R1007-v2</t>
        </is>
      </c>
      <c r="B1474" s="34" t="inlineStr">
        <is>
          <t>Contractor Programme / SCH-06-107</t>
        </is>
      </c>
      <c r="C1474" s="34" t="inlineStr">
        <is>
          <t>No explicit source assertion recorded</t>
        </is>
      </c>
      <c r="D1474" s="34" t="inlineStr">
        <is>
          <t>Proposed by Professional; target UNSURE</t>
        </is>
      </c>
      <c r="E1474" s="34" t="inlineStr">
        <is>
          <t>None recorded</t>
        </is>
      </c>
      <c r="F1474" s="34" t="inlineStr">
        <is>
          <t>Maya Chen, Owner Project Controls: Professional decision</t>
        </is>
      </c>
      <c r="G1474" s="34" t="inlineStr">
        <is>
          <t>Group decision (182 records sharing one decision state)</t>
        </is>
      </c>
      <c r="H1474" s="34" t="inlineStr">
        <is>
          <t xml:space="preserve">APPROVED / UNSURE; </t>
        </is>
      </c>
      <c r="I1474" s="34" t="inlineStr">
        <is>
          <t>New</t>
        </is>
      </c>
      <c r="J1474" s="92" t="inlineStr">
        <is>
          <t>08 CROSSWALK</t>
        </is>
      </c>
    </row>
    <row r="1475" ht="49" customHeight="1">
      <c r="A1475" s="34" t="inlineStr">
        <is>
          <t>R1008-v2</t>
        </is>
      </c>
      <c r="B1475" s="34" t="inlineStr">
        <is>
          <t>Contractor Programme / SCH-06-108</t>
        </is>
      </c>
      <c r="C1475" s="34" t="inlineStr">
        <is>
          <t>No explicit source assertion recorded</t>
        </is>
      </c>
      <c r="D1475" s="34" t="inlineStr">
        <is>
          <t>Proposed by Professional; target UNSURE</t>
        </is>
      </c>
      <c r="E1475" s="34" t="inlineStr">
        <is>
          <t>None recorded</t>
        </is>
      </c>
      <c r="F1475" s="34" t="inlineStr">
        <is>
          <t>Maya Chen, Owner Project Controls: Professional decision</t>
        </is>
      </c>
      <c r="G1475" s="34" t="inlineStr">
        <is>
          <t>Group decision (182 records sharing one decision state)</t>
        </is>
      </c>
      <c r="H1475" s="34" t="inlineStr">
        <is>
          <t xml:space="preserve">APPROVED / UNSURE; </t>
        </is>
      </c>
      <c r="I1475" s="34" t="inlineStr">
        <is>
          <t>New</t>
        </is>
      </c>
      <c r="J1475" s="92" t="inlineStr">
        <is>
          <t>08 CROSSWALK</t>
        </is>
      </c>
    </row>
    <row r="1476" ht="49" customHeight="1">
      <c r="A1476" s="34" t="inlineStr">
        <is>
          <t>R1009-v2</t>
        </is>
      </c>
      <c r="B1476" s="34" t="inlineStr">
        <is>
          <t>Contractor Programme / SCH-06-109</t>
        </is>
      </c>
      <c r="C1476" s="34" t="inlineStr">
        <is>
          <t>No explicit source assertion recorded</t>
        </is>
      </c>
      <c r="D1476" s="34" t="inlineStr">
        <is>
          <t>Proposed by Professional; target UNSURE</t>
        </is>
      </c>
      <c r="E1476" s="34" t="inlineStr">
        <is>
          <t>None recorded</t>
        </is>
      </c>
      <c r="F1476" s="34" t="inlineStr">
        <is>
          <t>Maya Chen, Owner Project Controls: Professional decision</t>
        </is>
      </c>
      <c r="G1476" s="34" t="inlineStr">
        <is>
          <t>Group decision (182 records sharing one decision state)</t>
        </is>
      </c>
      <c r="H1476" s="34" t="inlineStr">
        <is>
          <t xml:space="preserve">APPROVED / UNSURE; </t>
        </is>
      </c>
      <c r="I1476" s="34" t="inlineStr">
        <is>
          <t>New</t>
        </is>
      </c>
      <c r="J1476" s="92" t="inlineStr">
        <is>
          <t>08 CROSSWALK</t>
        </is>
      </c>
    </row>
    <row r="1477" ht="49" customHeight="1">
      <c r="A1477" s="34" t="inlineStr">
        <is>
          <t>R1010-v2</t>
        </is>
      </c>
      <c r="B1477" s="34" t="inlineStr">
        <is>
          <t>Contractor Programme / SCH-06-110</t>
        </is>
      </c>
      <c r="C1477" s="34" t="inlineStr">
        <is>
          <t>No explicit source assertion recorded</t>
        </is>
      </c>
      <c r="D1477" s="34" t="inlineStr">
        <is>
          <t>Proposed by Professional; target UNSURE</t>
        </is>
      </c>
      <c r="E1477" s="34" t="inlineStr">
        <is>
          <t>None recorded</t>
        </is>
      </c>
      <c r="F1477" s="34" t="inlineStr">
        <is>
          <t>Maya Chen, Owner Project Controls: Professional decision</t>
        </is>
      </c>
      <c r="G1477" s="34" t="inlineStr">
        <is>
          <t>Group decision (182 records sharing one decision state)</t>
        </is>
      </c>
      <c r="H1477" s="34" t="inlineStr">
        <is>
          <t xml:space="preserve">APPROVED / UNSURE; </t>
        </is>
      </c>
      <c r="I1477" s="34" t="inlineStr">
        <is>
          <t>New</t>
        </is>
      </c>
      <c r="J1477" s="92" t="inlineStr">
        <is>
          <t>08 CROSSWALK</t>
        </is>
      </c>
    </row>
    <row r="1478" ht="49" customHeight="1">
      <c r="A1478" s="34" t="inlineStr">
        <is>
          <t>R1011-v2</t>
        </is>
      </c>
      <c r="B1478" s="34" t="inlineStr">
        <is>
          <t>Contractor Programme / SCH-06-111</t>
        </is>
      </c>
      <c r="C1478" s="34" t="inlineStr">
        <is>
          <t>No explicit source assertion recorded</t>
        </is>
      </c>
      <c r="D1478" s="34" t="inlineStr">
        <is>
          <t>Proposed by Professional; target UNSURE</t>
        </is>
      </c>
      <c r="E1478" s="34" t="inlineStr">
        <is>
          <t>None recorded</t>
        </is>
      </c>
      <c r="F1478" s="34" t="inlineStr">
        <is>
          <t>Maya Chen, Owner Project Controls: Professional decision</t>
        </is>
      </c>
      <c r="G1478" s="34" t="inlineStr">
        <is>
          <t>Group decision (182 records sharing one decision state)</t>
        </is>
      </c>
      <c r="H1478" s="34" t="inlineStr">
        <is>
          <t xml:space="preserve">APPROVED / UNSURE; </t>
        </is>
      </c>
      <c r="I1478" s="34" t="inlineStr">
        <is>
          <t>New</t>
        </is>
      </c>
      <c r="J1478" s="92" t="inlineStr">
        <is>
          <t>08 CROSSWALK</t>
        </is>
      </c>
    </row>
    <row r="1479" ht="49" customHeight="1">
      <c r="A1479" s="34" t="inlineStr">
        <is>
          <t>R1012-v2</t>
        </is>
      </c>
      <c r="B1479" s="34" t="inlineStr">
        <is>
          <t>Contractor Programme / SCH-06-112</t>
        </is>
      </c>
      <c r="C1479" s="34" t="inlineStr">
        <is>
          <t>No explicit source assertion recorded</t>
        </is>
      </c>
      <c r="D1479" s="34" t="inlineStr">
        <is>
          <t>Proposed by Professional; target UNSURE</t>
        </is>
      </c>
      <c r="E1479" s="34" t="inlineStr">
        <is>
          <t>None recorded</t>
        </is>
      </c>
      <c r="F1479" s="34" t="inlineStr">
        <is>
          <t>Maya Chen, Owner Project Controls: Professional decision</t>
        </is>
      </c>
      <c r="G1479" s="34" t="inlineStr">
        <is>
          <t>Group decision (182 records sharing one decision state)</t>
        </is>
      </c>
      <c r="H1479" s="34" t="inlineStr">
        <is>
          <t xml:space="preserve">APPROVED / UNSURE; </t>
        </is>
      </c>
      <c r="I1479" s="34" t="inlineStr">
        <is>
          <t>New</t>
        </is>
      </c>
      <c r="J1479" s="92" t="inlineStr">
        <is>
          <t>08 CROSSWALK</t>
        </is>
      </c>
    </row>
    <row r="1480" ht="49" customHeight="1">
      <c r="A1480" s="34" t="inlineStr">
        <is>
          <t>R1013-v2</t>
        </is>
      </c>
      <c r="B1480" s="34" t="inlineStr">
        <is>
          <t>Contractor Programme / SCH-06-113</t>
        </is>
      </c>
      <c r="C1480" s="34" t="inlineStr">
        <is>
          <t>No explicit source assertion recorded</t>
        </is>
      </c>
      <c r="D1480" s="34" t="inlineStr">
        <is>
          <t>Proposed by Professional; target UNSURE</t>
        </is>
      </c>
      <c r="E1480" s="34" t="inlineStr">
        <is>
          <t>None recorded</t>
        </is>
      </c>
      <c r="F1480" s="34" t="inlineStr">
        <is>
          <t>Maya Chen, Owner Project Controls: Professional decision</t>
        </is>
      </c>
      <c r="G1480" s="34" t="inlineStr">
        <is>
          <t>Group decision (182 records sharing one decision state)</t>
        </is>
      </c>
      <c r="H1480" s="34" t="inlineStr">
        <is>
          <t xml:space="preserve">APPROVED / UNSURE; </t>
        </is>
      </c>
      <c r="I1480" s="34" t="inlineStr">
        <is>
          <t>New</t>
        </is>
      </c>
      <c r="J1480" s="92" t="inlineStr">
        <is>
          <t>08 CROSSWALK</t>
        </is>
      </c>
    </row>
    <row r="1481" ht="49" customHeight="1">
      <c r="A1481" s="34" t="inlineStr">
        <is>
          <t>R1014-v2</t>
        </is>
      </c>
      <c r="B1481" s="34" t="inlineStr">
        <is>
          <t>Contractor Programme / SCH-06-114</t>
        </is>
      </c>
      <c r="C1481" s="34" t="inlineStr">
        <is>
          <t>No explicit source assertion recorded</t>
        </is>
      </c>
      <c r="D1481" s="34" t="inlineStr">
        <is>
          <t>Proposed by Professional; target UNSURE</t>
        </is>
      </c>
      <c r="E1481" s="34" t="inlineStr">
        <is>
          <t>None recorded</t>
        </is>
      </c>
      <c r="F1481" s="34" t="inlineStr">
        <is>
          <t>Maya Chen, Owner Project Controls: Professional decision</t>
        </is>
      </c>
      <c r="G1481" s="34" t="inlineStr">
        <is>
          <t>Group decision (182 records sharing one decision state)</t>
        </is>
      </c>
      <c r="H1481" s="34" t="inlineStr">
        <is>
          <t xml:space="preserve">APPROVED / UNSURE; </t>
        </is>
      </c>
      <c r="I1481" s="34" t="inlineStr">
        <is>
          <t>New</t>
        </is>
      </c>
      <c r="J1481" s="92" t="inlineStr">
        <is>
          <t>08 CROSSWALK</t>
        </is>
      </c>
    </row>
    <row r="1482" ht="49" customHeight="1">
      <c r="A1482" s="34" t="inlineStr">
        <is>
          <t>R1015-v2</t>
        </is>
      </c>
      <c r="B1482" s="34" t="inlineStr">
        <is>
          <t>Contractor Programme / SCH-06-115</t>
        </is>
      </c>
      <c r="C1482" s="34" t="inlineStr">
        <is>
          <t>No explicit source assertion recorded</t>
        </is>
      </c>
      <c r="D1482" s="34" t="inlineStr">
        <is>
          <t>Proposed by Professional; target UNSURE</t>
        </is>
      </c>
      <c r="E1482" s="34" t="inlineStr">
        <is>
          <t>None recorded</t>
        </is>
      </c>
      <c r="F1482" s="34" t="inlineStr">
        <is>
          <t>Maya Chen, Owner Project Controls: Professional decision</t>
        </is>
      </c>
      <c r="G1482" s="34" t="inlineStr">
        <is>
          <t>Group decision (182 records sharing one decision state)</t>
        </is>
      </c>
      <c r="H1482" s="34" t="inlineStr">
        <is>
          <t xml:space="preserve">APPROVED / UNSURE; </t>
        </is>
      </c>
      <c r="I1482" s="34" t="inlineStr">
        <is>
          <t>New</t>
        </is>
      </c>
      <c r="J1482" s="92" t="inlineStr">
        <is>
          <t>08 CROSSWALK</t>
        </is>
      </c>
    </row>
    <row r="1483" ht="49" customHeight="1">
      <c r="A1483" s="34" t="inlineStr">
        <is>
          <t>R1016-v2</t>
        </is>
      </c>
      <c r="B1483" s="34" t="inlineStr">
        <is>
          <t>Contractor Programme / SCH-06-116</t>
        </is>
      </c>
      <c r="C1483" s="34" t="inlineStr">
        <is>
          <t>No explicit source assertion recorded</t>
        </is>
      </c>
      <c r="D1483" s="34" t="inlineStr">
        <is>
          <t>Proposed by Professional; target UNSURE</t>
        </is>
      </c>
      <c r="E1483" s="34" t="inlineStr">
        <is>
          <t>None recorded</t>
        </is>
      </c>
      <c r="F1483" s="34" t="inlineStr">
        <is>
          <t>Maya Chen, Owner Project Controls: Professional decision</t>
        </is>
      </c>
      <c r="G1483" s="34" t="inlineStr">
        <is>
          <t>Group decision (182 records sharing one decision state)</t>
        </is>
      </c>
      <c r="H1483" s="34" t="inlineStr">
        <is>
          <t xml:space="preserve">APPROVED / UNSURE; </t>
        </is>
      </c>
      <c r="I1483" s="34" t="inlineStr">
        <is>
          <t>New</t>
        </is>
      </c>
      <c r="J1483" s="92" t="inlineStr">
        <is>
          <t>08 CROSSWALK</t>
        </is>
      </c>
    </row>
    <row r="1484" ht="49" customHeight="1">
      <c r="A1484" s="34" t="inlineStr">
        <is>
          <t>R1017-v2</t>
        </is>
      </c>
      <c r="B1484" s="34" t="inlineStr">
        <is>
          <t>Contractor Programme / SCH-06-117</t>
        </is>
      </c>
      <c r="C1484" s="34" t="inlineStr">
        <is>
          <t>No explicit source assertion recorded</t>
        </is>
      </c>
      <c r="D1484" s="34" t="inlineStr">
        <is>
          <t>Proposed by Professional; target UNSURE</t>
        </is>
      </c>
      <c r="E1484" s="34" t="inlineStr">
        <is>
          <t>None recorded</t>
        </is>
      </c>
      <c r="F1484" s="34" t="inlineStr">
        <is>
          <t>Maya Chen, Owner Project Controls: Professional decision</t>
        </is>
      </c>
      <c r="G1484" s="34" t="inlineStr">
        <is>
          <t>Group decision (182 records sharing one decision state)</t>
        </is>
      </c>
      <c r="H1484" s="34" t="inlineStr">
        <is>
          <t xml:space="preserve">APPROVED / UNSURE; </t>
        </is>
      </c>
      <c r="I1484" s="34" t="inlineStr">
        <is>
          <t>New</t>
        </is>
      </c>
      <c r="J1484" s="92" t="inlineStr">
        <is>
          <t>08 CROSSWALK</t>
        </is>
      </c>
    </row>
    <row r="1485" ht="49" customHeight="1">
      <c r="A1485" s="34" t="inlineStr">
        <is>
          <t>R1018-v2</t>
        </is>
      </c>
      <c r="B1485" s="34" t="inlineStr">
        <is>
          <t>Contractor Programme / SCH-06-118</t>
        </is>
      </c>
      <c r="C1485" s="34" t="inlineStr">
        <is>
          <t>No explicit source assertion recorded</t>
        </is>
      </c>
      <c r="D1485" s="34" t="inlineStr">
        <is>
          <t>Proposed by Professional; target UNSURE</t>
        </is>
      </c>
      <c r="E1485" s="34" t="inlineStr">
        <is>
          <t>None recorded</t>
        </is>
      </c>
      <c r="F1485" s="34" t="inlineStr">
        <is>
          <t>Maya Chen, Owner Project Controls: Professional decision</t>
        </is>
      </c>
      <c r="G1485" s="34" t="inlineStr">
        <is>
          <t>Group decision (182 records sharing one decision state)</t>
        </is>
      </c>
      <c r="H1485" s="34" t="inlineStr">
        <is>
          <t xml:space="preserve">APPROVED / UNSURE; </t>
        </is>
      </c>
      <c r="I1485" s="34" t="inlineStr">
        <is>
          <t>New</t>
        </is>
      </c>
      <c r="J1485" s="92" t="inlineStr">
        <is>
          <t>08 CROSSWALK</t>
        </is>
      </c>
    </row>
    <row r="1486" ht="49" customHeight="1">
      <c r="A1486" s="34" t="inlineStr">
        <is>
          <t>R1019-v2</t>
        </is>
      </c>
      <c r="B1486" s="34" t="inlineStr">
        <is>
          <t>Contractor Programme / SCH-06-119</t>
        </is>
      </c>
      <c r="C1486" s="34" t="inlineStr">
        <is>
          <t>No explicit source assertion recorded</t>
        </is>
      </c>
      <c r="D1486" s="34" t="inlineStr">
        <is>
          <t>Proposed by Professional; target UNSURE</t>
        </is>
      </c>
      <c r="E1486" s="34" t="inlineStr">
        <is>
          <t>None recorded</t>
        </is>
      </c>
      <c r="F1486" s="34" t="inlineStr">
        <is>
          <t>Maya Chen, Owner Project Controls: Professional decision</t>
        </is>
      </c>
      <c r="G1486" s="34" t="inlineStr">
        <is>
          <t>Group decision (182 records sharing one decision state)</t>
        </is>
      </c>
      <c r="H1486" s="34" t="inlineStr">
        <is>
          <t xml:space="preserve">APPROVED / UNSURE; </t>
        </is>
      </c>
      <c r="I1486" s="34" t="inlineStr">
        <is>
          <t>New</t>
        </is>
      </c>
      <c r="J1486" s="92" t="inlineStr">
        <is>
          <t>08 CROSSWALK</t>
        </is>
      </c>
    </row>
    <row r="1487" ht="49" customHeight="1">
      <c r="A1487" s="34" t="inlineStr">
        <is>
          <t>R1020-v2</t>
        </is>
      </c>
      <c r="B1487" s="34" t="inlineStr">
        <is>
          <t>Contractor Programme / SCH-06-120</t>
        </is>
      </c>
      <c r="C1487" s="34" t="inlineStr">
        <is>
          <t>No explicit source assertion recorded</t>
        </is>
      </c>
      <c r="D1487" s="34" t="inlineStr">
        <is>
          <t>Proposed by Professional; target UNSURE</t>
        </is>
      </c>
      <c r="E1487" s="34" t="inlineStr">
        <is>
          <t>None recorded</t>
        </is>
      </c>
      <c r="F1487" s="34" t="inlineStr">
        <is>
          <t>Maya Chen, Owner Project Controls: Professional decision</t>
        </is>
      </c>
      <c r="G1487" s="34" t="inlineStr">
        <is>
          <t>Group decision (182 records sharing one decision state)</t>
        </is>
      </c>
      <c r="H1487" s="34" t="inlineStr">
        <is>
          <t xml:space="preserve">APPROVED / UNSURE; </t>
        </is>
      </c>
      <c r="I1487" s="34" t="inlineStr">
        <is>
          <t>New</t>
        </is>
      </c>
      <c r="J1487" s="92" t="inlineStr">
        <is>
          <t>08 CROSSWALK</t>
        </is>
      </c>
    </row>
    <row r="1488" ht="49" customHeight="1">
      <c r="A1488" s="34" t="inlineStr">
        <is>
          <t>R1021-v2</t>
        </is>
      </c>
      <c r="B1488" s="34" t="inlineStr">
        <is>
          <t>Contractor Programme / SCH-06-121</t>
        </is>
      </c>
      <c r="C1488" s="34" t="inlineStr">
        <is>
          <t>No explicit source assertion recorded</t>
        </is>
      </c>
      <c r="D1488" s="34" t="inlineStr">
        <is>
          <t>Proposed by Professional; target UNSURE</t>
        </is>
      </c>
      <c r="E1488" s="34" t="inlineStr">
        <is>
          <t>None recorded</t>
        </is>
      </c>
      <c r="F1488" s="34" t="inlineStr">
        <is>
          <t>Maya Chen, Owner Project Controls: Professional decision</t>
        </is>
      </c>
      <c r="G1488" s="34" t="inlineStr">
        <is>
          <t>Group decision (182 records sharing one decision state)</t>
        </is>
      </c>
      <c r="H1488" s="34" t="inlineStr">
        <is>
          <t xml:space="preserve">APPROVED / UNSURE; </t>
        </is>
      </c>
      <c r="I1488" s="34" t="inlineStr">
        <is>
          <t>New</t>
        </is>
      </c>
      <c r="J1488" s="92" t="inlineStr">
        <is>
          <t>08 CROSSWALK</t>
        </is>
      </c>
    </row>
    <row r="1489" ht="49" customHeight="1">
      <c r="A1489" s="34" t="inlineStr">
        <is>
          <t>R1022-v2</t>
        </is>
      </c>
      <c r="B1489" s="34" t="inlineStr">
        <is>
          <t>Contractor Programme / SCH-06-122</t>
        </is>
      </c>
      <c r="C1489" s="34" t="inlineStr">
        <is>
          <t>No explicit source assertion recorded</t>
        </is>
      </c>
      <c r="D1489" s="34" t="inlineStr">
        <is>
          <t>Proposed by Professional; target UNSURE</t>
        </is>
      </c>
      <c r="E1489" s="34" t="inlineStr">
        <is>
          <t>None recorded</t>
        </is>
      </c>
      <c r="F1489" s="34" t="inlineStr">
        <is>
          <t>Maya Chen, Owner Project Controls: Professional decision</t>
        </is>
      </c>
      <c r="G1489" s="34" t="inlineStr">
        <is>
          <t>Group decision (182 records sharing one decision state)</t>
        </is>
      </c>
      <c r="H1489" s="34" t="inlineStr">
        <is>
          <t xml:space="preserve">APPROVED / UNSURE; </t>
        </is>
      </c>
      <c r="I1489" s="34" t="inlineStr">
        <is>
          <t>New</t>
        </is>
      </c>
      <c r="J1489" s="92" t="inlineStr">
        <is>
          <t>08 CROSSWALK</t>
        </is>
      </c>
    </row>
    <row r="1490" ht="49" customHeight="1">
      <c r="A1490" s="34" t="inlineStr">
        <is>
          <t>R1023-v2</t>
        </is>
      </c>
      <c r="B1490" s="34" t="inlineStr">
        <is>
          <t>Contractor Programme / SCH-06-123</t>
        </is>
      </c>
      <c r="C1490" s="34" t="inlineStr">
        <is>
          <t>No explicit source assertion recorded</t>
        </is>
      </c>
      <c r="D1490" s="34" t="inlineStr">
        <is>
          <t>Proposed by Professional; target UNSURE</t>
        </is>
      </c>
      <c r="E1490" s="34" t="inlineStr">
        <is>
          <t>None recorded</t>
        </is>
      </c>
      <c r="F1490" s="34" t="inlineStr">
        <is>
          <t>Maya Chen, Owner Project Controls: Professional decision</t>
        </is>
      </c>
      <c r="G1490" s="34" t="inlineStr">
        <is>
          <t>Group decision (182 records sharing one decision state)</t>
        </is>
      </c>
      <c r="H1490" s="34" t="inlineStr">
        <is>
          <t xml:space="preserve">APPROVED / UNSURE; </t>
        </is>
      </c>
      <c r="I1490" s="34" t="inlineStr">
        <is>
          <t>New</t>
        </is>
      </c>
      <c r="J1490" s="92" t="inlineStr">
        <is>
          <t>08 CROSSWALK</t>
        </is>
      </c>
    </row>
    <row r="1491" ht="49" customHeight="1">
      <c r="A1491" s="34" t="inlineStr">
        <is>
          <t>R1024-v2</t>
        </is>
      </c>
      <c r="B1491" s="34" t="inlineStr">
        <is>
          <t>Contractor Programme / SCH-06-124</t>
        </is>
      </c>
      <c r="C1491" s="34" t="inlineStr">
        <is>
          <t>No explicit source assertion recorded</t>
        </is>
      </c>
      <c r="D1491" s="34" t="inlineStr">
        <is>
          <t>Proposed by Professional; target UNSURE</t>
        </is>
      </c>
      <c r="E1491" s="34" t="inlineStr">
        <is>
          <t>None recorded</t>
        </is>
      </c>
      <c r="F1491" s="34" t="inlineStr">
        <is>
          <t>Maya Chen, Owner Project Controls: Professional decision</t>
        </is>
      </c>
      <c r="G1491" s="34" t="inlineStr">
        <is>
          <t>Group decision (182 records sharing one decision state)</t>
        </is>
      </c>
      <c r="H1491" s="34" t="inlineStr">
        <is>
          <t xml:space="preserve">APPROVED / UNSURE; </t>
        </is>
      </c>
      <c r="I1491" s="34" t="inlineStr">
        <is>
          <t>New</t>
        </is>
      </c>
      <c r="J1491" s="92" t="inlineStr">
        <is>
          <t>08 CROSSWALK</t>
        </is>
      </c>
    </row>
    <row r="1492" ht="49" customHeight="1">
      <c r="A1492" s="34" t="inlineStr">
        <is>
          <t>R1025-v2</t>
        </is>
      </c>
      <c r="B1492" s="34" t="inlineStr">
        <is>
          <t>Contractor Programme / SCH-06-125</t>
        </is>
      </c>
      <c r="C1492" s="34" t="inlineStr">
        <is>
          <t>No explicit source assertion recorded</t>
        </is>
      </c>
      <c r="D1492" s="34" t="inlineStr">
        <is>
          <t>Proposed by Professional; target UNSURE</t>
        </is>
      </c>
      <c r="E1492" s="34" t="inlineStr">
        <is>
          <t>None recorded</t>
        </is>
      </c>
      <c r="F1492" s="34" t="inlineStr">
        <is>
          <t>Maya Chen, Owner Project Controls: Professional decision</t>
        </is>
      </c>
      <c r="G1492" s="34" t="inlineStr">
        <is>
          <t>Group decision (182 records sharing one decision state)</t>
        </is>
      </c>
      <c r="H1492" s="34" t="inlineStr">
        <is>
          <t xml:space="preserve">APPROVED / UNSURE; </t>
        </is>
      </c>
      <c r="I1492" s="34" t="inlineStr">
        <is>
          <t>New</t>
        </is>
      </c>
      <c r="J1492" s="92" t="inlineStr">
        <is>
          <t>08 CROSSWALK</t>
        </is>
      </c>
    </row>
    <row r="1493" ht="49" customHeight="1">
      <c r="A1493" s="34" t="inlineStr">
        <is>
          <t>R1026-v2</t>
        </is>
      </c>
      <c r="B1493" s="34" t="inlineStr">
        <is>
          <t>Contractor Programme / SCH-06-126</t>
        </is>
      </c>
      <c r="C1493" s="34" t="inlineStr">
        <is>
          <t>No explicit source assertion recorded</t>
        </is>
      </c>
      <c r="D1493" s="34" t="inlineStr">
        <is>
          <t>Proposed by Professional; target UNSURE</t>
        </is>
      </c>
      <c r="E1493" s="34" t="inlineStr">
        <is>
          <t>None recorded</t>
        </is>
      </c>
      <c r="F1493" s="34" t="inlineStr">
        <is>
          <t>Maya Chen, Owner Project Controls: Professional decision</t>
        </is>
      </c>
      <c r="G1493" s="34" t="inlineStr">
        <is>
          <t>Group decision (182 records sharing one decision state)</t>
        </is>
      </c>
      <c r="H1493" s="34" t="inlineStr">
        <is>
          <t xml:space="preserve">APPROVED / UNSURE; </t>
        </is>
      </c>
      <c r="I1493" s="34" t="inlineStr">
        <is>
          <t>New</t>
        </is>
      </c>
      <c r="J1493" s="92" t="inlineStr">
        <is>
          <t>08 CROSSWALK</t>
        </is>
      </c>
    </row>
    <row r="1494" ht="49" customHeight="1">
      <c r="A1494" s="34" t="inlineStr">
        <is>
          <t>R1027-v2</t>
        </is>
      </c>
      <c r="B1494" s="34" t="inlineStr">
        <is>
          <t>Contractor Programme / SCH-06-127</t>
        </is>
      </c>
      <c r="C1494" s="34" t="inlineStr">
        <is>
          <t>No explicit source assertion recorded</t>
        </is>
      </c>
      <c r="D1494" s="34" t="inlineStr">
        <is>
          <t>Proposed by Professional; target UNSURE</t>
        </is>
      </c>
      <c r="E1494" s="34" t="inlineStr">
        <is>
          <t>None recorded</t>
        </is>
      </c>
      <c r="F1494" s="34" t="inlineStr">
        <is>
          <t>Maya Chen, Owner Project Controls: Professional decision</t>
        </is>
      </c>
      <c r="G1494" s="34" t="inlineStr">
        <is>
          <t>Group decision (182 records sharing one decision state)</t>
        </is>
      </c>
      <c r="H1494" s="34" t="inlineStr">
        <is>
          <t xml:space="preserve">APPROVED / UNSURE; </t>
        </is>
      </c>
      <c r="I1494" s="34" t="inlineStr">
        <is>
          <t>New</t>
        </is>
      </c>
      <c r="J1494" s="92" t="inlineStr">
        <is>
          <t>08 CROSSWALK</t>
        </is>
      </c>
    </row>
    <row r="1495" ht="49" customHeight="1">
      <c r="A1495" s="34" t="inlineStr">
        <is>
          <t>R1028-v2</t>
        </is>
      </c>
      <c r="B1495" s="34" t="inlineStr">
        <is>
          <t>Contractor Programme / SCH-06-128</t>
        </is>
      </c>
      <c r="C1495" s="34" t="inlineStr">
        <is>
          <t>No explicit source assertion recorded</t>
        </is>
      </c>
      <c r="D1495" s="34" t="inlineStr">
        <is>
          <t>Proposed by Professional; target UNSURE</t>
        </is>
      </c>
      <c r="E1495" s="34" t="inlineStr">
        <is>
          <t>None recorded</t>
        </is>
      </c>
      <c r="F1495" s="34" t="inlineStr">
        <is>
          <t>Maya Chen, Owner Project Controls: Professional decision</t>
        </is>
      </c>
      <c r="G1495" s="34" t="inlineStr">
        <is>
          <t>Group decision (182 records sharing one decision state)</t>
        </is>
      </c>
      <c r="H1495" s="34" t="inlineStr">
        <is>
          <t xml:space="preserve">APPROVED / UNSURE; </t>
        </is>
      </c>
      <c r="I1495" s="34" t="inlineStr">
        <is>
          <t>New</t>
        </is>
      </c>
      <c r="J1495" s="92" t="inlineStr">
        <is>
          <t>08 CROSSWALK</t>
        </is>
      </c>
    </row>
    <row r="1496" ht="49" customHeight="1">
      <c r="A1496" s="34" t="inlineStr">
        <is>
          <t>R1029-v2</t>
        </is>
      </c>
      <c r="B1496" s="34" t="inlineStr">
        <is>
          <t>Contractor Programme / SCH-06-129</t>
        </is>
      </c>
      <c r="C1496" s="34" t="inlineStr">
        <is>
          <t>No explicit source assertion recorded</t>
        </is>
      </c>
      <c r="D1496" s="34" t="inlineStr">
        <is>
          <t>Proposed by Professional; target UNSURE</t>
        </is>
      </c>
      <c r="E1496" s="34" t="inlineStr">
        <is>
          <t>None recorded</t>
        </is>
      </c>
      <c r="F1496" s="34" t="inlineStr">
        <is>
          <t>Maya Chen, Owner Project Controls: Professional decision</t>
        </is>
      </c>
      <c r="G1496" s="34" t="inlineStr">
        <is>
          <t>Group decision (182 records sharing one decision state)</t>
        </is>
      </c>
      <c r="H1496" s="34" t="inlineStr">
        <is>
          <t xml:space="preserve">APPROVED / UNSURE; </t>
        </is>
      </c>
      <c r="I1496" s="34" t="inlineStr">
        <is>
          <t>New</t>
        </is>
      </c>
      <c r="J1496" s="92" t="inlineStr">
        <is>
          <t>08 CROSSWALK</t>
        </is>
      </c>
    </row>
    <row r="1497" ht="49" customHeight="1">
      <c r="A1497" s="34" t="inlineStr">
        <is>
          <t>R1030-v2</t>
        </is>
      </c>
      <c r="B1497" s="34" t="inlineStr">
        <is>
          <t>Contractor Programme / SCH-06-130</t>
        </is>
      </c>
      <c r="C1497" s="34" t="inlineStr">
        <is>
          <t>No explicit source assertion recorded</t>
        </is>
      </c>
      <c r="D1497" s="34" t="inlineStr">
        <is>
          <t>Proposed by Professional; target UNSURE</t>
        </is>
      </c>
      <c r="E1497" s="34" t="inlineStr">
        <is>
          <t>None recorded</t>
        </is>
      </c>
      <c r="F1497" s="34" t="inlineStr">
        <is>
          <t>Maya Chen, Owner Project Controls: Professional decision</t>
        </is>
      </c>
      <c r="G1497" s="34" t="inlineStr">
        <is>
          <t>Group decision (182 records sharing one decision state)</t>
        </is>
      </c>
      <c r="H1497" s="34" t="inlineStr">
        <is>
          <t xml:space="preserve">APPROVED / UNSURE; </t>
        </is>
      </c>
      <c r="I1497" s="34" t="inlineStr">
        <is>
          <t>New</t>
        </is>
      </c>
      <c r="J1497" s="92" t="inlineStr">
        <is>
          <t>08 CROSSWALK</t>
        </is>
      </c>
    </row>
    <row r="1498" ht="49" customHeight="1">
      <c r="A1498" s="34" t="inlineStr">
        <is>
          <t>R1031-v2</t>
        </is>
      </c>
      <c r="B1498" s="34" t="inlineStr">
        <is>
          <t>Contractor Programme / SCH-06-131</t>
        </is>
      </c>
      <c r="C1498" s="34" t="inlineStr">
        <is>
          <t>No explicit source assertion recorded</t>
        </is>
      </c>
      <c r="D1498" s="34" t="inlineStr">
        <is>
          <t>Proposed by Professional; target UNSURE</t>
        </is>
      </c>
      <c r="E1498" s="34" t="inlineStr">
        <is>
          <t>None recorded</t>
        </is>
      </c>
      <c r="F1498" s="34" t="inlineStr">
        <is>
          <t>Maya Chen, Owner Project Controls: Professional decision</t>
        </is>
      </c>
      <c r="G1498" s="34" t="inlineStr">
        <is>
          <t>Group decision (182 records sharing one decision state)</t>
        </is>
      </c>
      <c r="H1498" s="34" t="inlineStr">
        <is>
          <t xml:space="preserve">APPROVED / UNSURE; </t>
        </is>
      </c>
      <c r="I1498" s="34" t="inlineStr">
        <is>
          <t>New</t>
        </is>
      </c>
      <c r="J1498" s="92" t="inlineStr">
        <is>
          <t>08 CROSSWALK</t>
        </is>
      </c>
    </row>
    <row r="1499" ht="49" customHeight="1">
      <c r="A1499" s="34" t="inlineStr">
        <is>
          <t>R1032-v2</t>
        </is>
      </c>
      <c r="B1499" s="34" t="inlineStr">
        <is>
          <t>Contractor Programme / SCH-06-132</t>
        </is>
      </c>
      <c r="C1499" s="34" t="inlineStr">
        <is>
          <t>No explicit source assertion recorded</t>
        </is>
      </c>
      <c r="D1499" s="34" t="inlineStr">
        <is>
          <t>Proposed by Professional; target UNSURE</t>
        </is>
      </c>
      <c r="E1499" s="34" t="inlineStr">
        <is>
          <t>None recorded</t>
        </is>
      </c>
      <c r="F1499" s="34" t="inlineStr">
        <is>
          <t>Maya Chen, Owner Project Controls: Professional decision</t>
        </is>
      </c>
      <c r="G1499" s="34" t="inlineStr">
        <is>
          <t>Group decision (182 records sharing one decision state)</t>
        </is>
      </c>
      <c r="H1499" s="34" t="inlineStr">
        <is>
          <t xml:space="preserve">APPROVED / UNSURE; </t>
        </is>
      </c>
      <c r="I1499" s="34" t="inlineStr">
        <is>
          <t>New</t>
        </is>
      </c>
      <c r="J1499" s="92" t="inlineStr">
        <is>
          <t>08 CROSSWALK</t>
        </is>
      </c>
    </row>
    <row r="1500" ht="49" customHeight="1">
      <c r="A1500" s="34" t="inlineStr">
        <is>
          <t>R1033-v2</t>
        </is>
      </c>
      <c r="B1500" s="34" t="inlineStr">
        <is>
          <t>Contractor Programme / SCH-06-133</t>
        </is>
      </c>
      <c r="C1500" s="34" t="inlineStr">
        <is>
          <t>No explicit source assertion recorded</t>
        </is>
      </c>
      <c r="D1500" s="34" t="inlineStr">
        <is>
          <t>Proposed by Professional; target UNSURE</t>
        </is>
      </c>
      <c r="E1500" s="34" t="inlineStr">
        <is>
          <t>None recorded</t>
        </is>
      </c>
      <c r="F1500" s="34" t="inlineStr">
        <is>
          <t>Maya Chen, Owner Project Controls: Professional decision</t>
        </is>
      </c>
      <c r="G1500" s="34" t="inlineStr">
        <is>
          <t>Group decision (182 records sharing one decision state)</t>
        </is>
      </c>
      <c r="H1500" s="34" t="inlineStr">
        <is>
          <t xml:space="preserve">APPROVED / UNSURE; </t>
        </is>
      </c>
      <c r="I1500" s="34" t="inlineStr">
        <is>
          <t>New</t>
        </is>
      </c>
      <c r="J1500" s="92" t="inlineStr">
        <is>
          <t>08 CROSSWALK</t>
        </is>
      </c>
    </row>
    <row r="1501" ht="49" customHeight="1">
      <c r="A1501" s="34" t="inlineStr">
        <is>
          <t>R1034-v2</t>
        </is>
      </c>
      <c r="B1501" s="34" t="inlineStr">
        <is>
          <t>Contractor Programme / SCH-06-134</t>
        </is>
      </c>
      <c r="C1501" s="34" t="inlineStr">
        <is>
          <t>No explicit source assertion recorded</t>
        </is>
      </c>
      <c r="D1501" s="34" t="inlineStr">
        <is>
          <t>Proposed by Professional; target UNSURE</t>
        </is>
      </c>
      <c r="E1501" s="34" t="inlineStr">
        <is>
          <t>None recorded</t>
        </is>
      </c>
      <c r="F1501" s="34" t="inlineStr">
        <is>
          <t>Maya Chen, Owner Project Controls: Professional decision</t>
        </is>
      </c>
      <c r="G1501" s="34" t="inlineStr">
        <is>
          <t>Group decision (182 records sharing one decision state)</t>
        </is>
      </c>
      <c r="H1501" s="34" t="inlineStr">
        <is>
          <t xml:space="preserve">APPROVED / UNSURE; </t>
        </is>
      </c>
      <c r="I1501" s="34" t="inlineStr">
        <is>
          <t>New</t>
        </is>
      </c>
      <c r="J1501" s="92" t="inlineStr">
        <is>
          <t>08 CROSSWALK</t>
        </is>
      </c>
    </row>
    <row r="1502" ht="49" customHeight="1">
      <c r="A1502" s="34" t="inlineStr">
        <is>
          <t>R1035-v2</t>
        </is>
      </c>
      <c r="B1502" s="34" t="inlineStr">
        <is>
          <t>Contractor Programme / SCH-06-135</t>
        </is>
      </c>
      <c r="C1502" s="34" t="inlineStr">
        <is>
          <t>No explicit source assertion recorded</t>
        </is>
      </c>
      <c r="D1502" s="34" t="inlineStr">
        <is>
          <t>Proposed by Professional; target UNSURE</t>
        </is>
      </c>
      <c r="E1502" s="34" t="inlineStr">
        <is>
          <t>None recorded</t>
        </is>
      </c>
      <c r="F1502" s="34" t="inlineStr">
        <is>
          <t>Maya Chen, Owner Project Controls: Professional decision</t>
        </is>
      </c>
      <c r="G1502" s="34" t="inlineStr">
        <is>
          <t>Group decision (182 records sharing one decision state)</t>
        </is>
      </c>
      <c r="H1502" s="34" t="inlineStr">
        <is>
          <t xml:space="preserve">APPROVED / UNSURE; </t>
        </is>
      </c>
      <c r="I1502" s="34" t="inlineStr">
        <is>
          <t>New</t>
        </is>
      </c>
      <c r="J1502" s="92" t="inlineStr">
        <is>
          <t>08 CROSSWALK</t>
        </is>
      </c>
    </row>
    <row r="1503" ht="49" customHeight="1">
      <c r="A1503" s="34" t="inlineStr">
        <is>
          <t>R1036-v2</t>
        </is>
      </c>
      <c r="B1503" s="34" t="inlineStr">
        <is>
          <t>Contractor Programme / SCH-06-136</t>
        </is>
      </c>
      <c r="C1503" s="34" t="inlineStr">
        <is>
          <t>No explicit source assertion recorded</t>
        </is>
      </c>
      <c r="D1503" s="34" t="inlineStr">
        <is>
          <t>Proposed by Professional; target UNSURE</t>
        </is>
      </c>
      <c r="E1503" s="34" t="inlineStr">
        <is>
          <t>None recorded</t>
        </is>
      </c>
      <c r="F1503" s="34" t="inlineStr">
        <is>
          <t>Maya Chen, Owner Project Controls: Professional decision</t>
        </is>
      </c>
      <c r="G1503" s="34" t="inlineStr">
        <is>
          <t>Group decision (182 records sharing one decision state)</t>
        </is>
      </c>
      <c r="H1503" s="34" t="inlineStr">
        <is>
          <t xml:space="preserve">APPROVED / UNSURE; </t>
        </is>
      </c>
      <c r="I1503" s="34" t="inlineStr">
        <is>
          <t>New</t>
        </is>
      </c>
      <c r="J1503" s="92" t="inlineStr">
        <is>
          <t>08 CROSSWALK</t>
        </is>
      </c>
    </row>
    <row r="1504" ht="49" customHeight="1">
      <c r="A1504" s="34" t="inlineStr">
        <is>
          <t>R1037-v2</t>
        </is>
      </c>
      <c r="B1504" s="34" t="inlineStr">
        <is>
          <t>Contractor Programme / SCH-06-137</t>
        </is>
      </c>
      <c r="C1504" s="34" t="inlineStr">
        <is>
          <t>No explicit source assertion recorded</t>
        </is>
      </c>
      <c r="D1504" s="34" t="inlineStr">
        <is>
          <t>Proposed by Professional; target UNSURE</t>
        </is>
      </c>
      <c r="E1504" s="34" t="inlineStr">
        <is>
          <t>None recorded</t>
        </is>
      </c>
      <c r="F1504" s="34" t="inlineStr">
        <is>
          <t>Maya Chen, Owner Project Controls: Professional decision</t>
        </is>
      </c>
      <c r="G1504" s="34" t="inlineStr">
        <is>
          <t>Group decision (182 records sharing one decision state)</t>
        </is>
      </c>
      <c r="H1504" s="34" t="inlineStr">
        <is>
          <t xml:space="preserve">APPROVED / UNSURE; </t>
        </is>
      </c>
      <c r="I1504" s="34" t="inlineStr">
        <is>
          <t>New</t>
        </is>
      </c>
      <c r="J1504" s="92" t="inlineStr">
        <is>
          <t>08 CROSSWALK</t>
        </is>
      </c>
    </row>
    <row r="1505" ht="49" customHeight="1">
      <c r="A1505" s="34" t="inlineStr">
        <is>
          <t>R1038-v2</t>
        </is>
      </c>
      <c r="B1505" s="34" t="inlineStr">
        <is>
          <t>Contractor Programme / SCH-06-138</t>
        </is>
      </c>
      <c r="C1505" s="34" t="inlineStr">
        <is>
          <t>No explicit source assertion recorded</t>
        </is>
      </c>
      <c r="D1505" s="34" t="inlineStr">
        <is>
          <t>Proposed by Professional; target UNSURE</t>
        </is>
      </c>
      <c r="E1505" s="34" t="inlineStr">
        <is>
          <t>None recorded</t>
        </is>
      </c>
      <c r="F1505" s="34" t="inlineStr">
        <is>
          <t>Maya Chen, Owner Project Controls: Professional decision</t>
        </is>
      </c>
      <c r="G1505" s="34" t="inlineStr">
        <is>
          <t>Group decision (182 records sharing one decision state)</t>
        </is>
      </c>
      <c r="H1505" s="34" t="inlineStr">
        <is>
          <t xml:space="preserve">APPROVED / UNSURE; </t>
        </is>
      </c>
      <c r="I1505" s="34" t="inlineStr">
        <is>
          <t>New</t>
        </is>
      </c>
      <c r="J1505" s="92" t="inlineStr">
        <is>
          <t>08 CROSSWALK</t>
        </is>
      </c>
    </row>
    <row r="1506" ht="49" customHeight="1">
      <c r="A1506" s="34" t="inlineStr">
        <is>
          <t>R1039-v2</t>
        </is>
      </c>
      <c r="B1506" s="34" t="inlineStr">
        <is>
          <t>Contractor Programme / SCH-06-139</t>
        </is>
      </c>
      <c r="C1506" s="34" t="inlineStr">
        <is>
          <t>No explicit source assertion recorded</t>
        </is>
      </c>
      <c r="D1506" s="34" t="inlineStr">
        <is>
          <t>Proposed by Professional; target UNSURE</t>
        </is>
      </c>
      <c r="E1506" s="34" t="inlineStr">
        <is>
          <t>None recorded</t>
        </is>
      </c>
      <c r="F1506" s="34" t="inlineStr">
        <is>
          <t>Maya Chen, Owner Project Controls: Professional decision</t>
        </is>
      </c>
      <c r="G1506" s="34" t="inlineStr">
        <is>
          <t>Group decision (182 records sharing one decision state)</t>
        </is>
      </c>
      <c r="H1506" s="34" t="inlineStr">
        <is>
          <t xml:space="preserve">APPROVED / UNSURE; </t>
        </is>
      </c>
      <c r="I1506" s="34" t="inlineStr">
        <is>
          <t>New</t>
        </is>
      </c>
      <c r="J1506" s="92" t="inlineStr">
        <is>
          <t>08 CROSSWALK</t>
        </is>
      </c>
    </row>
    <row r="1507" ht="49" customHeight="1">
      <c r="A1507" s="34" t="inlineStr">
        <is>
          <t>R1040-v2</t>
        </is>
      </c>
      <c r="B1507" s="34" t="inlineStr">
        <is>
          <t>Contractor Programme / SCH-06-140</t>
        </is>
      </c>
      <c r="C1507" s="34" t="inlineStr">
        <is>
          <t>No explicit source assertion recorded</t>
        </is>
      </c>
      <c r="D1507" s="34" t="inlineStr">
        <is>
          <t>Proposed by Professional; target UNSURE</t>
        </is>
      </c>
      <c r="E1507" s="34" t="inlineStr">
        <is>
          <t>None recorded</t>
        </is>
      </c>
      <c r="F1507" s="34" t="inlineStr">
        <is>
          <t>Maya Chen, Owner Project Controls: Professional decision</t>
        </is>
      </c>
      <c r="G1507" s="34" t="inlineStr">
        <is>
          <t>Group decision (182 records sharing one decision state)</t>
        </is>
      </c>
      <c r="H1507" s="34" t="inlineStr">
        <is>
          <t xml:space="preserve">APPROVED / UNSURE; </t>
        </is>
      </c>
      <c r="I1507" s="34" t="inlineStr">
        <is>
          <t>New</t>
        </is>
      </c>
      <c r="J1507" s="92" t="inlineStr">
        <is>
          <t>08 CROSSWALK</t>
        </is>
      </c>
    </row>
    <row r="1508" ht="49" customHeight="1">
      <c r="A1508" s="34" t="inlineStr">
        <is>
          <t>R1041-v2</t>
        </is>
      </c>
      <c r="B1508" s="34" t="inlineStr">
        <is>
          <t>Contractor Programme / SCH-06-141</t>
        </is>
      </c>
      <c r="C1508" s="34" t="inlineStr">
        <is>
          <t>No explicit source assertion recorded</t>
        </is>
      </c>
      <c r="D1508" s="34" t="inlineStr">
        <is>
          <t>Proposed by Professional; target UNSURE</t>
        </is>
      </c>
      <c r="E1508" s="34" t="inlineStr">
        <is>
          <t>None recorded</t>
        </is>
      </c>
      <c r="F1508" s="34" t="inlineStr">
        <is>
          <t>Maya Chen, Owner Project Controls: Professional decision</t>
        </is>
      </c>
      <c r="G1508" s="34" t="inlineStr">
        <is>
          <t>Group decision (182 records sharing one decision state)</t>
        </is>
      </c>
      <c r="H1508" s="34" t="inlineStr">
        <is>
          <t xml:space="preserve">APPROVED / UNSURE; </t>
        </is>
      </c>
      <c r="I1508" s="34" t="inlineStr">
        <is>
          <t>New</t>
        </is>
      </c>
      <c r="J1508" s="92" t="inlineStr">
        <is>
          <t>08 CROSSWALK</t>
        </is>
      </c>
    </row>
    <row r="1509" ht="49" customHeight="1">
      <c r="A1509" s="34" t="inlineStr">
        <is>
          <t>R1042-v2</t>
        </is>
      </c>
      <c r="B1509" s="34" t="inlineStr">
        <is>
          <t>Contractor Programme / SCH-06-142</t>
        </is>
      </c>
      <c r="C1509" s="34" t="inlineStr">
        <is>
          <t>No explicit source assertion recorded</t>
        </is>
      </c>
      <c r="D1509" s="34" t="inlineStr">
        <is>
          <t>Proposed by Professional; target UNSURE</t>
        </is>
      </c>
      <c r="E1509" s="34" t="inlineStr">
        <is>
          <t>None recorded</t>
        </is>
      </c>
      <c r="F1509" s="34" t="inlineStr">
        <is>
          <t>Maya Chen, Owner Project Controls: Professional decision</t>
        </is>
      </c>
      <c r="G1509" s="34" t="inlineStr">
        <is>
          <t>Group decision (182 records sharing one decision state)</t>
        </is>
      </c>
      <c r="H1509" s="34" t="inlineStr">
        <is>
          <t xml:space="preserve">APPROVED / UNSURE; </t>
        </is>
      </c>
      <c r="I1509" s="34" t="inlineStr">
        <is>
          <t>New</t>
        </is>
      </c>
      <c r="J1509" s="92" t="inlineStr">
        <is>
          <t>08 CROSSWALK</t>
        </is>
      </c>
    </row>
    <row r="1510" ht="49" customHeight="1">
      <c r="A1510" s="34" t="inlineStr">
        <is>
          <t>R1043-v2</t>
        </is>
      </c>
      <c r="B1510" s="34" t="inlineStr">
        <is>
          <t>Contractor Programme / SCH-06-143</t>
        </is>
      </c>
      <c r="C1510" s="34" t="inlineStr">
        <is>
          <t>No explicit source assertion recorded</t>
        </is>
      </c>
      <c r="D1510" s="34" t="inlineStr">
        <is>
          <t>Proposed by Professional; target UNSURE</t>
        </is>
      </c>
      <c r="E1510" s="34" t="inlineStr">
        <is>
          <t>None recorded</t>
        </is>
      </c>
      <c r="F1510" s="34" t="inlineStr">
        <is>
          <t>Maya Chen, Owner Project Controls: Professional decision</t>
        </is>
      </c>
      <c r="G1510" s="34" t="inlineStr">
        <is>
          <t>Group decision (182 records sharing one decision state)</t>
        </is>
      </c>
      <c r="H1510" s="34" t="inlineStr">
        <is>
          <t xml:space="preserve">APPROVED / UNSURE; </t>
        </is>
      </c>
      <c r="I1510" s="34" t="inlineStr">
        <is>
          <t>New</t>
        </is>
      </c>
      <c r="J1510" s="92" t="inlineStr">
        <is>
          <t>08 CROSSWALK</t>
        </is>
      </c>
    </row>
    <row r="1511" ht="49" customHeight="1">
      <c r="A1511" s="34" t="inlineStr">
        <is>
          <t>R1044-v2</t>
        </is>
      </c>
      <c r="B1511" s="34" t="inlineStr">
        <is>
          <t>Contractor Programme / SCH-06-144</t>
        </is>
      </c>
      <c r="C1511" s="34" t="inlineStr">
        <is>
          <t>No explicit source assertion recorded</t>
        </is>
      </c>
      <c r="D1511" s="34" t="inlineStr">
        <is>
          <t>Proposed by Professional; target UNSURE</t>
        </is>
      </c>
      <c r="E1511" s="34" t="inlineStr">
        <is>
          <t>None recorded</t>
        </is>
      </c>
      <c r="F1511" s="34" t="inlineStr">
        <is>
          <t>Maya Chen, Owner Project Controls: Professional decision</t>
        </is>
      </c>
      <c r="G1511" s="34" t="inlineStr">
        <is>
          <t>Group decision (182 records sharing one decision state)</t>
        </is>
      </c>
      <c r="H1511" s="34" t="inlineStr">
        <is>
          <t xml:space="preserve">APPROVED / UNSURE; </t>
        </is>
      </c>
      <c r="I1511" s="34" t="inlineStr">
        <is>
          <t>New</t>
        </is>
      </c>
      <c r="J1511" s="92" t="inlineStr">
        <is>
          <t>08 CROSSWALK</t>
        </is>
      </c>
    </row>
    <row r="1512" ht="49" customHeight="1">
      <c r="A1512" s="34" t="inlineStr">
        <is>
          <t>R1045-v2</t>
        </is>
      </c>
      <c r="B1512" s="34" t="inlineStr">
        <is>
          <t>Contractor Programme / SCH-06-145</t>
        </is>
      </c>
      <c r="C1512" s="34" t="inlineStr">
        <is>
          <t>No explicit source assertion recorded</t>
        </is>
      </c>
      <c r="D1512" s="34" t="inlineStr">
        <is>
          <t>Proposed by Professional; target UNSURE</t>
        </is>
      </c>
      <c r="E1512" s="34" t="inlineStr">
        <is>
          <t>None recorded</t>
        </is>
      </c>
      <c r="F1512" s="34" t="inlineStr">
        <is>
          <t>Maya Chen, Owner Project Controls: Professional decision</t>
        </is>
      </c>
      <c r="G1512" s="34" t="inlineStr">
        <is>
          <t>Group decision (182 records sharing one decision state)</t>
        </is>
      </c>
      <c r="H1512" s="34" t="inlineStr">
        <is>
          <t xml:space="preserve">APPROVED / UNSURE; </t>
        </is>
      </c>
      <c r="I1512" s="34" t="inlineStr">
        <is>
          <t>New</t>
        </is>
      </c>
      <c r="J1512" s="92" t="inlineStr">
        <is>
          <t>08 CROSSWALK</t>
        </is>
      </c>
    </row>
    <row r="1513" ht="49" customHeight="1">
      <c r="A1513" s="34" t="inlineStr">
        <is>
          <t>R1046-v2</t>
        </is>
      </c>
      <c r="B1513" s="34" t="inlineStr">
        <is>
          <t>Contractor Programme / SCH-06-146</t>
        </is>
      </c>
      <c r="C1513" s="34" t="inlineStr">
        <is>
          <t>No explicit source assertion recorded</t>
        </is>
      </c>
      <c r="D1513" s="34" t="inlineStr">
        <is>
          <t>Proposed by Professional; target UNSURE</t>
        </is>
      </c>
      <c r="E1513" s="34" t="inlineStr">
        <is>
          <t>None recorded</t>
        </is>
      </c>
      <c r="F1513" s="34" t="inlineStr">
        <is>
          <t>Maya Chen, Owner Project Controls: Professional decision</t>
        </is>
      </c>
      <c r="G1513" s="34" t="inlineStr">
        <is>
          <t>Group decision (182 records sharing one decision state)</t>
        </is>
      </c>
      <c r="H1513" s="34" t="inlineStr">
        <is>
          <t xml:space="preserve">APPROVED / UNSURE; </t>
        </is>
      </c>
      <c r="I1513" s="34" t="inlineStr">
        <is>
          <t>New</t>
        </is>
      </c>
      <c r="J1513" s="92" t="inlineStr">
        <is>
          <t>08 CROSSWALK</t>
        </is>
      </c>
    </row>
    <row r="1514" ht="49" customHeight="1">
      <c r="A1514" s="34" t="inlineStr">
        <is>
          <t>R1047-v2</t>
        </is>
      </c>
      <c r="B1514" s="34" t="inlineStr">
        <is>
          <t>Contractor Programme / SCH-06-147</t>
        </is>
      </c>
      <c r="C1514" s="34" t="inlineStr">
        <is>
          <t>No explicit source assertion recorded</t>
        </is>
      </c>
      <c r="D1514" s="34" t="inlineStr">
        <is>
          <t>Proposed by Professional; target UNSURE</t>
        </is>
      </c>
      <c r="E1514" s="34" t="inlineStr">
        <is>
          <t>None recorded</t>
        </is>
      </c>
      <c r="F1514" s="34" t="inlineStr">
        <is>
          <t>Maya Chen, Owner Project Controls: Professional decision</t>
        </is>
      </c>
      <c r="G1514" s="34" t="inlineStr">
        <is>
          <t>Group decision (182 records sharing one decision state)</t>
        </is>
      </c>
      <c r="H1514" s="34" t="inlineStr">
        <is>
          <t xml:space="preserve">APPROVED / UNSURE; </t>
        </is>
      </c>
      <c r="I1514" s="34" t="inlineStr">
        <is>
          <t>New</t>
        </is>
      </c>
      <c r="J1514" s="92" t="inlineStr">
        <is>
          <t>08 CROSSWALK</t>
        </is>
      </c>
    </row>
    <row r="1515" ht="49" customHeight="1">
      <c r="A1515" s="34" t="inlineStr">
        <is>
          <t>R1048-v2</t>
        </is>
      </c>
      <c r="B1515" s="34" t="inlineStr">
        <is>
          <t>Contractor Programme / SCH-06-148</t>
        </is>
      </c>
      <c r="C1515" s="34" t="inlineStr">
        <is>
          <t>No explicit source assertion recorded</t>
        </is>
      </c>
      <c r="D1515" s="34" t="inlineStr">
        <is>
          <t>Proposed by Professional; target UNSURE</t>
        </is>
      </c>
      <c r="E1515" s="34" t="inlineStr">
        <is>
          <t>None recorded</t>
        </is>
      </c>
      <c r="F1515" s="34" t="inlineStr">
        <is>
          <t>Maya Chen, Owner Project Controls: Professional decision</t>
        </is>
      </c>
      <c r="G1515" s="34" t="inlineStr">
        <is>
          <t>Group decision (182 records sharing one decision state)</t>
        </is>
      </c>
      <c r="H1515" s="34" t="inlineStr">
        <is>
          <t xml:space="preserve">APPROVED / UNSURE; </t>
        </is>
      </c>
      <c r="I1515" s="34" t="inlineStr">
        <is>
          <t>New</t>
        </is>
      </c>
      <c r="J1515" s="92" t="inlineStr">
        <is>
          <t>08 CROSSWALK</t>
        </is>
      </c>
    </row>
    <row r="1516" ht="49" customHeight="1">
      <c r="A1516" s="34" t="inlineStr">
        <is>
          <t>R1049-v2</t>
        </is>
      </c>
      <c r="B1516" s="34" t="inlineStr">
        <is>
          <t>Contractor Programme / SCH-06-149</t>
        </is>
      </c>
      <c r="C1516" s="34" t="inlineStr">
        <is>
          <t>No explicit source assertion recorded</t>
        </is>
      </c>
      <c r="D1516" s="34" t="inlineStr">
        <is>
          <t>Proposed by Professional; target UNSURE</t>
        </is>
      </c>
      <c r="E1516" s="34" t="inlineStr">
        <is>
          <t>None recorded</t>
        </is>
      </c>
      <c r="F1516" s="34" t="inlineStr">
        <is>
          <t>Maya Chen, Owner Project Controls: Professional decision</t>
        </is>
      </c>
      <c r="G1516" s="34" t="inlineStr">
        <is>
          <t>Group decision (182 records sharing one decision state)</t>
        </is>
      </c>
      <c r="H1516" s="34" t="inlineStr">
        <is>
          <t xml:space="preserve">APPROVED / UNSURE; </t>
        </is>
      </c>
      <c r="I1516" s="34" t="inlineStr">
        <is>
          <t>New</t>
        </is>
      </c>
      <c r="J1516" s="92" t="inlineStr">
        <is>
          <t>08 CROSSWALK</t>
        </is>
      </c>
    </row>
    <row r="1517" ht="49" customHeight="1">
      <c r="A1517" s="34" t="inlineStr">
        <is>
          <t>R1050-v2</t>
        </is>
      </c>
      <c r="B1517" s="34" t="inlineStr">
        <is>
          <t>Contractor Programme / SCH-06-150</t>
        </is>
      </c>
      <c r="C1517" s="34" t="inlineStr">
        <is>
          <t>No explicit source assertion recorded</t>
        </is>
      </c>
      <c r="D1517" s="34" t="inlineStr">
        <is>
          <t>Proposed by Professional; target UNSURE</t>
        </is>
      </c>
      <c r="E1517" s="34" t="inlineStr">
        <is>
          <t>None recorded</t>
        </is>
      </c>
      <c r="F1517" s="34" t="inlineStr">
        <is>
          <t>Maya Chen, Owner Project Controls: Professional decision</t>
        </is>
      </c>
      <c r="G1517" s="34" t="inlineStr">
        <is>
          <t>Group decision (182 records sharing one decision state)</t>
        </is>
      </c>
      <c r="H1517" s="34" t="inlineStr">
        <is>
          <t xml:space="preserve">APPROVED / UNSURE; </t>
        </is>
      </c>
      <c r="I1517" s="34" t="inlineStr">
        <is>
          <t>New</t>
        </is>
      </c>
      <c r="J1517" s="92" t="inlineStr">
        <is>
          <t>08 CROSSWALK</t>
        </is>
      </c>
    </row>
    <row r="1518" ht="49" customHeight="1">
      <c r="A1518" s="34" t="inlineStr">
        <is>
          <t>R1051-v2</t>
        </is>
      </c>
      <c r="B1518" s="34" t="inlineStr">
        <is>
          <t>Contractor Programme / SCH-06-151</t>
        </is>
      </c>
      <c r="C1518" s="34" t="inlineStr">
        <is>
          <t>No explicit source assertion recorded</t>
        </is>
      </c>
      <c r="D1518" s="34" t="inlineStr">
        <is>
          <t>Proposed by Professional; target UNSURE</t>
        </is>
      </c>
      <c r="E1518" s="34" t="inlineStr">
        <is>
          <t>None recorded</t>
        </is>
      </c>
      <c r="F1518" s="34" t="inlineStr">
        <is>
          <t>Maya Chen, Owner Project Controls: Professional decision</t>
        </is>
      </c>
      <c r="G1518" s="34" t="inlineStr">
        <is>
          <t>Group decision (182 records sharing one decision state)</t>
        </is>
      </c>
      <c r="H1518" s="34" t="inlineStr">
        <is>
          <t xml:space="preserve">APPROVED / UNSURE; </t>
        </is>
      </c>
      <c r="I1518" s="34" t="inlineStr">
        <is>
          <t>New</t>
        </is>
      </c>
      <c r="J1518" s="92" t="inlineStr">
        <is>
          <t>08 CROSSWALK</t>
        </is>
      </c>
    </row>
    <row r="1519" ht="49" customHeight="1">
      <c r="A1519" s="34" t="inlineStr">
        <is>
          <t>R1052-v2</t>
        </is>
      </c>
      <c r="B1519" s="34" t="inlineStr">
        <is>
          <t>Contractor Programme / SCH-06-152</t>
        </is>
      </c>
      <c r="C1519" s="34" t="inlineStr">
        <is>
          <t>No explicit source assertion recorded</t>
        </is>
      </c>
      <c r="D1519" s="34" t="inlineStr">
        <is>
          <t>Proposed by Professional; target UNSURE</t>
        </is>
      </c>
      <c r="E1519" s="34" t="inlineStr">
        <is>
          <t>None recorded</t>
        </is>
      </c>
      <c r="F1519" s="34" t="inlineStr">
        <is>
          <t>Maya Chen, Owner Project Controls: Professional decision</t>
        </is>
      </c>
      <c r="G1519" s="34" t="inlineStr">
        <is>
          <t>Group decision (182 records sharing one decision state)</t>
        </is>
      </c>
      <c r="H1519" s="34" t="inlineStr">
        <is>
          <t xml:space="preserve">APPROVED / UNSURE; </t>
        </is>
      </c>
      <c r="I1519" s="34" t="inlineStr">
        <is>
          <t>New</t>
        </is>
      </c>
      <c r="J1519" s="92" t="inlineStr">
        <is>
          <t>08 CROSSWALK</t>
        </is>
      </c>
    </row>
    <row r="1520" ht="49" customHeight="1">
      <c r="A1520" s="34" t="inlineStr">
        <is>
          <t>R1053-v2</t>
        </is>
      </c>
      <c r="B1520" s="34" t="inlineStr">
        <is>
          <t>Contractor Programme / SCH-06-153</t>
        </is>
      </c>
      <c r="C1520" s="34" t="inlineStr">
        <is>
          <t>No explicit source assertion recorded</t>
        </is>
      </c>
      <c r="D1520" s="34" t="inlineStr">
        <is>
          <t>Proposed by Professional; target UNSURE</t>
        </is>
      </c>
      <c r="E1520" s="34" t="inlineStr">
        <is>
          <t>None recorded</t>
        </is>
      </c>
      <c r="F1520" s="34" t="inlineStr">
        <is>
          <t>Maya Chen, Owner Project Controls: Professional decision</t>
        </is>
      </c>
      <c r="G1520" s="34" t="inlineStr">
        <is>
          <t>Group decision (182 records sharing one decision state)</t>
        </is>
      </c>
      <c r="H1520" s="34" t="inlineStr">
        <is>
          <t xml:space="preserve">APPROVED / UNSURE; </t>
        </is>
      </c>
      <c r="I1520" s="34" t="inlineStr">
        <is>
          <t>New</t>
        </is>
      </c>
      <c r="J1520" s="92" t="inlineStr">
        <is>
          <t>08 CROSSWALK</t>
        </is>
      </c>
    </row>
    <row r="1521" ht="49" customHeight="1">
      <c r="A1521" s="34" t="inlineStr">
        <is>
          <t>R1054-v2</t>
        </is>
      </c>
      <c r="B1521" s="34" t="inlineStr">
        <is>
          <t>Contractor Programme / SCH-06-154</t>
        </is>
      </c>
      <c r="C1521" s="34" t="inlineStr">
        <is>
          <t>No explicit source assertion recorded</t>
        </is>
      </c>
      <c r="D1521" s="34" t="inlineStr">
        <is>
          <t>Proposed by Professional; target UNSURE</t>
        </is>
      </c>
      <c r="E1521" s="34" t="inlineStr">
        <is>
          <t>None recorded</t>
        </is>
      </c>
      <c r="F1521" s="34" t="inlineStr">
        <is>
          <t>Maya Chen, Owner Project Controls: Professional decision</t>
        </is>
      </c>
      <c r="G1521" s="34" t="inlineStr">
        <is>
          <t>Group decision (182 records sharing one decision state)</t>
        </is>
      </c>
      <c r="H1521" s="34" t="inlineStr">
        <is>
          <t xml:space="preserve">APPROVED / UNSURE; </t>
        </is>
      </c>
      <c r="I1521" s="34" t="inlineStr">
        <is>
          <t>New</t>
        </is>
      </c>
      <c r="J1521" s="92" t="inlineStr">
        <is>
          <t>08 CROSSWALK</t>
        </is>
      </c>
    </row>
    <row r="1522" ht="49" customHeight="1">
      <c r="A1522" s="34" t="inlineStr">
        <is>
          <t>R1055-v2</t>
        </is>
      </c>
      <c r="B1522" s="34" t="inlineStr">
        <is>
          <t>Contractor Programme / SCH-06-155</t>
        </is>
      </c>
      <c r="C1522" s="34" t="inlineStr">
        <is>
          <t>No explicit source assertion recorded</t>
        </is>
      </c>
      <c r="D1522" s="34" t="inlineStr">
        <is>
          <t>Proposed by Professional; target UNSURE</t>
        </is>
      </c>
      <c r="E1522" s="34" t="inlineStr">
        <is>
          <t>None recorded</t>
        </is>
      </c>
      <c r="F1522" s="34" t="inlineStr">
        <is>
          <t>Maya Chen, Owner Project Controls: Professional decision</t>
        </is>
      </c>
      <c r="G1522" s="34" t="inlineStr">
        <is>
          <t>Group decision (182 records sharing one decision state)</t>
        </is>
      </c>
      <c r="H1522" s="34" t="inlineStr">
        <is>
          <t xml:space="preserve">APPROVED / UNSURE; </t>
        </is>
      </c>
      <c r="I1522" s="34" t="inlineStr">
        <is>
          <t>New</t>
        </is>
      </c>
      <c r="J1522" s="92" t="inlineStr">
        <is>
          <t>08 CROSSWALK</t>
        </is>
      </c>
    </row>
    <row r="1523" ht="49" customHeight="1">
      <c r="A1523" s="34" t="inlineStr">
        <is>
          <t>R1056-v2</t>
        </is>
      </c>
      <c r="B1523" s="34" t="inlineStr">
        <is>
          <t>Contractor Programme / SCH-06-156</t>
        </is>
      </c>
      <c r="C1523" s="34" t="inlineStr">
        <is>
          <t>No explicit source assertion recorded</t>
        </is>
      </c>
      <c r="D1523" s="34" t="inlineStr">
        <is>
          <t>Proposed by Professional; target UNSURE</t>
        </is>
      </c>
      <c r="E1523" s="34" t="inlineStr">
        <is>
          <t>None recorded</t>
        </is>
      </c>
      <c r="F1523" s="34" t="inlineStr">
        <is>
          <t>Maya Chen, Owner Project Controls: Professional decision</t>
        </is>
      </c>
      <c r="G1523" s="34" t="inlineStr">
        <is>
          <t>Group decision (182 records sharing one decision state)</t>
        </is>
      </c>
      <c r="H1523" s="34" t="inlineStr">
        <is>
          <t xml:space="preserve">APPROVED / UNSURE; </t>
        </is>
      </c>
      <c r="I1523" s="34" t="inlineStr">
        <is>
          <t>New</t>
        </is>
      </c>
      <c r="J1523" s="92" t="inlineStr">
        <is>
          <t>08 CROSSWALK</t>
        </is>
      </c>
    </row>
    <row r="1524" ht="49" customHeight="1">
      <c r="A1524" s="34" t="inlineStr">
        <is>
          <t>R1057-v2</t>
        </is>
      </c>
      <c r="B1524" s="34" t="inlineStr">
        <is>
          <t>Contractor Programme / SCH-06-157</t>
        </is>
      </c>
      <c r="C1524" s="34" t="inlineStr">
        <is>
          <t>No explicit source assertion recorded</t>
        </is>
      </c>
      <c r="D1524" s="34" t="inlineStr">
        <is>
          <t>Proposed by Professional; target UNSURE</t>
        </is>
      </c>
      <c r="E1524" s="34" t="inlineStr">
        <is>
          <t>None recorded</t>
        </is>
      </c>
      <c r="F1524" s="34" t="inlineStr">
        <is>
          <t>Maya Chen, Owner Project Controls: Professional decision</t>
        </is>
      </c>
      <c r="G1524" s="34" t="inlineStr">
        <is>
          <t>Group decision (182 records sharing one decision state)</t>
        </is>
      </c>
      <c r="H1524" s="34" t="inlineStr">
        <is>
          <t xml:space="preserve">APPROVED / UNSURE; </t>
        </is>
      </c>
      <c r="I1524" s="34" t="inlineStr">
        <is>
          <t>New</t>
        </is>
      </c>
      <c r="J1524" s="92" t="inlineStr">
        <is>
          <t>08 CROSSWALK</t>
        </is>
      </c>
    </row>
    <row r="1525" ht="49" customHeight="1">
      <c r="A1525" s="34" t="inlineStr">
        <is>
          <t>R1058-v2</t>
        </is>
      </c>
      <c r="B1525" s="34" t="inlineStr">
        <is>
          <t>Contractor Programme / SCH-06-158</t>
        </is>
      </c>
      <c r="C1525" s="34" t="inlineStr">
        <is>
          <t>No explicit source assertion recorded</t>
        </is>
      </c>
      <c r="D1525" s="34" t="inlineStr">
        <is>
          <t>Proposed by Professional; target UNSURE</t>
        </is>
      </c>
      <c r="E1525" s="34" t="inlineStr">
        <is>
          <t>None recorded</t>
        </is>
      </c>
      <c r="F1525" s="34" t="inlineStr">
        <is>
          <t>Maya Chen, Owner Project Controls: Professional decision</t>
        </is>
      </c>
      <c r="G1525" s="34" t="inlineStr">
        <is>
          <t>Group decision (182 records sharing one decision state)</t>
        </is>
      </c>
      <c r="H1525" s="34" t="inlineStr">
        <is>
          <t xml:space="preserve">APPROVED / UNSURE; </t>
        </is>
      </c>
      <c r="I1525" s="34" t="inlineStr">
        <is>
          <t>New</t>
        </is>
      </c>
      <c r="J1525" s="92" t="inlineStr">
        <is>
          <t>08 CROSSWALK</t>
        </is>
      </c>
    </row>
    <row r="1526" ht="49" customHeight="1">
      <c r="A1526" s="34" t="inlineStr">
        <is>
          <t>R1059-v2</t>
        </is>
      </c>
      <c r="B1526" s="34" t="inlineStr">
        <is>
          <t>Contractor Programme / SCH-06-159</t>
        </is>
      </c>
      <c r="C1526" s="34" t="inlineStr">
        <is>
          <t>No explicit source assertion recorded</t>
        </is>
      </c>
      <c r="D1526" s="34" t="inlineStr">
        <is>
          <t>Proposed by Professional; target UNSURE</t>
        </is>
      </c>
      <c r="E1526" s="34" t="inlineStr">
        <is>
          <t>None recorded</t>
        </is>
      </c>
      <c r="F1526" s="34" t="inlineStr">
        <is>
          <t>Maya Chen, Owner Project Controls: Professional decision</t>
        </is>
      </c>
      <c r="G1526" s="34" t="inlineStr">
        <is>
          <t>Group decision (182 records sharing one decision state)</t>
        </is>
      </c>
      <c r="H1526" s="34" t="inlineStr">
        <is>
          <t xml:space="preserve">APPROVED / UNSURE; </t>
        </is>
      </c>
      <c r="I1526" s="34" t="inlineStr">
        <is>
          <t>New</t>
        </is>
      </c>
      <c r="J1526" s="92" t="inlineStr">
        <is>
          <t>08 CROSSWALK</t>
        </is>
      </c>
    </row>
    <row r="1527" ht="49" customHeight="1">
      <c r="A1527" s="34" t="inlineStr">
        <is>
          <t>R1060-v2</t>
        </is>
      </c>
      <c r="B1527" s="34" t="inlineStr">
        <is>
          <t>Contractor Programme / SCH-06-160</t>
        </is>
      </c>
      <c r="C1527" s="34" t="inlineStr">
        <is>
          <t>No explicit source assertion recorded</t>
        </is>
      </c>
      <c r="D1527" s="34" t="inlineStr">
        <is>
          <t>Proposed by Professional; target UNSURE</t>
        </is>
      </c>
      <c r="E1527" s="34" t="inlineStr">
        <is>
          <t>None recorded</t>
        </is>
      </c>
      <c r="F1527" s="34" t="inlineStr">
        <is>
          <t>Maya Chen, Owner Project Controls: Professional decision</t>
        </is>
      </c>
      <c r="G1527" s="34" t="inlineStr">
        <is>
          <t>Group decision (182 records sharing one decision state)</t>
        </is>
      </c>
      <c r="H1527" s="34" t="inlineStr">
        <is>
          <t xml:space="preserve">APPROVED / UNSURE; </t>
        </is>
      </c>
      <c r="I1527" s="34" t="inlineStr">
        <is>
          <t>New</t>
        </is>
      </c>
      <c r="J1527" s="92" t="inlineStr">
        <is>
          <t>08 CROSSWALK</t>
        </is>
      </c>
    </row>
    <row r="1528" ht="49" customHeight="1">
      <c r="A1528" s="34" t="inlineStr">
        <is>
          <t>R1061-v2</t>
        </is>
      </c>
      <c r="B1528" s="34" t="inlineStr">
        <is>
          <t>Contractor Programme / SCH-06-161</t>
        </is>
      </c>
      <c r="C1528" s="34" t="inlineStr">
        <is>
          <t>No explicit source assertion recorded</t>
        </is>
      </c>
      <c r="D1528" s="34" t="inlineStr">
        <is>
          <t>Proposed by Professional; target UNSURE</t>
        </is>
      </c>
      <c r="E1528" s="34" t="inlineStr">
        <is>
          <t>None recorded</t>
        </is>
      </c>
      <c r="F1528" s="34" t="inlineStr">
        <is>
          <t>Maya Chen, Owner Project Controls: Professional decision</t>
        </is>
      </c>
      <c r="G1528" s="34" t="inlineStr">
        <is>
          <t>Group decision (182 records sharing one decision state)</t>
        </is>
      </c>
      <c r="H1528" s="34" t="inlineStr">
        <is>
          <t xml:space="preserve">APPROVED / UNSURE; </t>
        </is>
      </c>
      <c r="I1528" s="34" t="inlineStr">
        <is>
          <t>New</t>
        </is>
      </c>
      <c r="J1528" s="92" t="inlineStr">
        <is>
          <t>08 CROSSWALK</t>
        </is>
      </c>
    </row>
    <row r="1529" ht="49" customHeight="1">
      <c r="A1529" s="34" t="inlineStr">
        <is>
          <t>R1062-v2</t>
        </is>
      </c>
      <c r="B1529" s="34" t="inlineStr">
        <is>
          <t>Contractor Programme / SCH-06-162</t>
        </is>
      </c>
      <c r="C1529" s="34" t="inlineStr">
        <is>
          <t>No explicit source assertion recorded</t>
        </is>
      </c>
      <c r="D1529" s="34" t="inlineStr">
        <is>
          <t>Proposed by Professional; target UNSURE</t>
        </is>
      </c>
      <c r="E1529" s="34" t="inlineStr">
        <is>
          <t>None recorded</t>
        </is>
      </c>
      <c r="F1529" s="34" t="inlineStr">
        <is>
          <t>Maya Chen, Owner Project Controls: Professional decision</t>
        </is>
      </c>
      <c r="G1529" s="34" t="inlineStr">
        <is>
          <t>Group decision (182 records sharing one decision state)</t>
        </is>
      </c>
      <c r="H1529" s="34" t="inlineStr">
        <is>
          <t xml:space="preserve">APPROVED / UNSURE; </t>
        </is>
      </c>
      <c r="I1529" s="34" t="inlineStr">
        <is>
          <t>New</t>
        </is>
      </c>
      <c r="J1529" s="92" t="inlineStr">
        <is>
          <t>08 CROSSWALK</t>
        </is>
      </c>
    </row>
    <row r="1530" ht="49" customHeight="1">
      <c r="A1530" s="34" t="inlineStr">
        <is>
          <t>R1063-v2</t>
        </is>
      </c>
      <c r="B1530" s="34" t="inlineStr">
        <is>
          <t>Contractor Programme / SCH-06-163</t>
        </is>
      </c>
      <c r="C1530" s="34" t="inlineStr">
        <is>
          <t>No explicit source assertion recorded</t>
        </is>
      </c>
      <c r="D1530" s="34" t="inlineStr">
        <is>
          <t>Proposed by Professional; target UNSURE</t>
        </is>
      </c>
      <c r="E1530" s="34" t="inlineStr">
        <is>
          <t>None recorded</t>
        </is>
      </c>
      <c r="F1530" s="34" t="inlineStr">
        <is>
          <t>Maya Chen, Owner Project Controls: Professional decision</t>
        </is>
      </c>
      <c r="G1530" s="34" t="inlineStr">
        <is>
          <t>Group decision (182 records sharing one decision state)</t>
        </is>
      </c>
      <c r="H1530" s="34" t="inlineStr">
        <is>
          <t xml:space="preserve">APPROVED / UNSURE; </t>
        </is>
      </c>
      <c r="I1530" s="34" t="inlineStr">
        <is>
          <t>New</t>
        </is>
      </c>
      <c r="J1530" s="92" t="inlineStr">
        <is>
          <t>08 CROSSWALK</t>
        </is>
      </c>
    </row>
    <row r="1531" ht="49" customHeight="1">
      <c r="A1531" s="34" t="inlineStr">
        <is>
          <t>R1064-v2</t>
        </is>
      </c>
      <c r="B1531" s="34" t="inlineStr">
        <is>
          <t>Contractor Programme / SCH-06-164</t>
        </is>
      </c>
      <c r="C1531" s="34" t="inlineStr">
        <is>
          <t>No explicit source assertion recorded</t>
        </is>
      </c>
      <c r="D1531" s="34" t="inlineStr">
        <is>
          <t>Proposed by Professional; target UNSURE</t>
        </is>
      </c>
      <c r="E1531" s="34" t="inlineStr">
        <is>
          <t>None recorded</t>
        </is>
      </c>
      <c r="F1531" s="34" t="inlineStr">
        <is>
          <t>Maya Chen, Owner Project Controls: Professional decision</t>
        </is>
      </c>
      <c r="G1531" s="34" t="inlineStr">
        <is>
          <t>Group decision (182 records sharing one decision state)</t>
        </is>
      </c>
      <c r="H1531" s="34" t="inlineStr">
        <is>
          <t xml:space="preserve">APPROVED / UNSURE; </t>
        </is>
      </c>
      <c r="I1531" s="34" t="inlineStr">
        <is>
          <t>New</t>
        </is>
      </c>
      <c r="J1531" s="92" t="inlineStr">
        <is>
          <t>08 CROSSWALK</t>
        </is>
      </c>
    </row>
    <row r="1532" ht="49" customHeight="1">
      <c r="A1532" s="34" t="inlineStr">
        <is>
          <t>R1065-v2</t>
        </is>
      </c>
      <c r="B1532" s="34" t="inlineStr">
        <is>
          <t>Contractor Programme / SCH-06-165</t>
        </is>
      </c>
      <c r="C1532" s="34" t="inlineStr">
        <is>
          <t>No explicit source assertion recorded</t>
        </is>
      </c>
      <c r="D1532" s="34" t="inlineStr">
        <is>
          <t>Proposed by Professional; target UNSURE</t>
        </is>
      </c>
      <c r="E1532" s="34" t="inlineStr">
        <is>
          <t>None recorded</t>
        </is>
      </c>
      <c r="F1532" s="34" t="inlineStr">
        <is>
          <t>Maya Chen, Owner Project Controls: Professional decision</t>
        </is>
      </c>
      <c r="G1532" s="34" t="inlineStr">
        <is>
          <t>Group decision (182 records sharing one decision state)</t>
        </is>
      </c>
      <c r="H1532" s="34" t="inlineStr">
        <is>
          <t xml:space="preserve">APPROVED / UNSURE; </t>
        </is>
      </c>
      <c r="I1532" s="34" t="inlineStr">
        <is>
          <t>New</t>
        </is>
      </c>
      <c r="J1532" s="92" t="inlineStr">
        <is>
          <t>08 CROSSWALK</t>
        </is>
      </c>
    </row>
    <row r="1533" ht="49" customHeight="1">
      <c r="A1533" s="34" t="inlineStr">
        <is>
          <t>R1066-v2</t>
        </is>
      </c>
      <c r="B1533" s="34" t="inlineStr">
        <is>
          <t>Contractor Programme / SCH-06-166</t>
        </is>
      </c>
      <c r="C1533" s="34" t="inlineStr">
        <is>
          <t>No explicit source assertion recorded</t>
        </is>
      </c>
      <c r="D1533" s="34" t="inlineStr">
        <is>
          <t>Proposed by Professional; target UNSURE</t>
        </is>
      </c>
      <c r="E1533" s="34" t="inlineStr">
        <is>
          <t>None recorded</t>
        </is>
      </c>
      <c r="F1533" s="34" t="inlineStr">
        <is>
          <t>Maya Chen, Owner Project Controls: Professional decision</t>
        </is>
      </c>
      <c r="G1533" s="34" t="inlineStr">
        <is>
          <t>Group decision (182 records sharing one decision state)</t>
        </is>
      </c>
      <c r="H1533" s="34" t="inlineStr">
        <is>
          <t xml:space="preserve">APPROVED / UNSURE; </t>
        </is>
      </c>
      <c r="I1533" s="34" t="inlineStr">
        <is>
          <t>New</t>
        </is>
      </c>
      <c r="J1533" s="92" t="inlineStr">
        <is>
          <t>08 CROSSWALK</t>
        </is>
      </c>
    </row>
    <row r="1534" ht="49" customHeight="1">
      <c r="A1534" s="34" t="inlineStr">
        <is>
          <t>R1067-v2</t>
        </is>
      </c>
      <c r="B1534" s="34" t="inlineStr">
        <is>
          <t>Contractor Programme / SCH-06-167</t>
        </is>
      </c>
      <c r="C1534" s="34" t="inlineStr">
        <is>
          <t>No explicit source assertion recorded</t>
        </is>
      </c>
      <c r="D1534" s="34" t="inlineStr">
        <is>
          <t>Proposed by Professional; target UNSURE</t>
        </is>
      </c>
      <c r="E1534" s="34" t="inlineStr">
        <is>
          <t>None recorded</t>
        </is>
      </c>
      <c r="F1534" s="34" t="inlineStr">
        <is>
          <t>Maya Chen, Owner Project Controls: Professional decision</t>
        </is>
      </c>
      <c r="G1534" s="34" t="inlineStr">
        <is>
          <t>Group decision (182 records sharing one decision state)</t>
        </is>
      </c>
      <c r="H1534" s="34" t="inlineStr">
        <is>
          <t xml:space="preserve">APPROVED / UNSURE; </t>
        </is>
      </c>
      <c r="I1534" s="34" t="inlineStr">
        <is>
          <t>New</t>
        </is>
      </c>
      <c r="J1534" s="92" t="inlineStr">
        <is>
          <t>08 CROSSWALK</t>
        </is>
      </c>
    </row>
    <row r="1535" ht="49" customHeight="1">
      <c r="A1535" s="34" t="inlineStr">
        <is>
          <t>R1068-v2</t>
        </is>
      </c>
      <c r="B1535" s="34" t="inlineStr">
        <is>
          <t>Contractor Programme / SCH-06-168</t>
        </is>
      </c>
      <c r="C1535" s="34" t="inlineStr">
        <is>
          <t>No explicit source assertion recorded</t>
        </is>
      </c>
      <c r="D1535" s="34" t="inlineStr">
        <is>
          <t>Proposed by Professional; target UNSURE</t>
        </is>
      </c>
      <c r="E1535" s="34" t="inlineStr">
        <is>
          <t>None recorded</t>
        </is>
      </c>
      <c r="F1535" s="34" t="inlineStr">
        <is>
          <t>Maya Chen, Owner Project Controls: Professional decision</t>
        </is>
      </c>
      <c r="G1535" s="34" t="inlineStr">
        <is>
          <t>Group decision (182 records sharing one decision state)</t>
        </is>
      </c>
      <c r="H1535" s="34" t="inlineStr">
        <is>
          <t xml:space="preserve">APPROVED / UNSURE; </t>
        </is>
      </c>
      <c r="I1535" s="34" t="inlineStr">
        <is>
          <t>New</t>
        </is>
      </c>
      <c r="J1535" s="92" t="inlineStr">
        <is>
          <t>08 CROSSWALK</t>
        </is>
      </c>
    </row>
    <row r="1536" ht="49" customHeight="1">
      <c r="A1536" s="34" t="inlineStr">
        <is>
          <t>R1069-v2</t>
        </is>
      </c>
      <c r="B1536" s="34" t="inlineStr">
        <is>
          <t>Contractor Programme / SCH-06-169</t>
        </is>
      </c>
      <c r="C1536" s="34" t="inlineStr">
        <is>
          <t>No explicit source assertion recorded</t>
        </is>
      </c>
      <c r="D1536" s="34" t="inlineStr">
        <is>
          <t>Proposed by Professional; target UNSURE</t>
        </is>
      </c>
      <c r="E1536" s="34" t="inlineStr">
        <is>
          <t>None recorded</t>
        </is>
      </c>
      <c r="F1536" s="34" t="inlineStr">
        <is>
          <t>Maya Chen, Owner Project Controls: Professional decision</t>
        </is>
      </c>
      <c r="G1536" s="34" t="inlineStr">
        <is>
          <t>Group decision (182 records sharing one decision state)</t>
        </is>
      </c>
      <c r="H1536" s="34" t="inlineStr">
        <is>
          <t xml:space="preserve">APPROVED / UNSURE; </t>
        </is>
      </c>
      <c r="I1536" s="34" t="inlineStr">
        <is>
          <t>New</t>
        </is>
      </c>
      <c r="J1536" s="92" t="inlineStr">
        <is>
          <t>08 CROSSWALK</t>
        </is>
      </c>
    </row>
    <row r="1537" ht="49" customHeight="1">
      <c r="A1537" s="34" t="inlineStr">
        <is>
          <t>R1070-v2</t>
        </is>
      </c>
      <c r="B1537" s="34" t="inlineStr">
        <is>
          <t>Contractor Programme / SCH-06-170</t>
        </is>
      </c>
      <c r="C1537" s="34" t="inlineStr">
        <is>
          <t>No explicit source assertion recorded</t>
        </is>
      </c>
      <c r="D1537" s="34" t="inlineStr">
        <is>
          <t>Proposed by Professional; target UNSURE</t>
        </is>
      </c>
      <c r="E1537" s="34" t="inlineStr">
        <is>
          <t>None recorded</t>
        </is>
      </c>
      <c r="F1537" s="34" t="inlineStr">
        <is>
          <t>Maya Chen, Owner Project Controls: Professional decision</t>
        </is>
      </c>
      <c r="G1537" s="34" t="inlineStr">
        <is>
          <t>Group decision (182 records sharing one decision state)</t>
        </is>
      </c>
      <c r="H1537" s="34" t="inlineStr">
        <is>
          <t xml:space="preserve">APPROVED / UNSURE; </t>
        </is>
      </c>
      <c r="I1537" s="34" t="inlineStr">
        <is>
          <t>New</t>
        </is>
      </c>
      <c r="J1537" s="92" t="inlineStr">
        <is>
          <t>08 CROSSWALK</t>
        </is>
      </c>
    </row>
    <row r="1538" ht="49" customHeight="1">
      <c r="A1538" s="34" t="inlineStr">
        <is>
          <t>R1071-v2</t>
        </is>
      </c>
      <c r="B1538" s="34" t="inlineStr">
        <is>
          <t>Contractor Programme / SCH-06-171</t>
        </is>
      </c>
      <c r="C1538" s="34" t="inlineStr">
        <is>
          <t>No explicit source assertion recorded</t>
        </is>
      </c>
      <c r="D1538" s="34" t="inlineStr">
        <is>
          <t>Proposed by Professional; target UNSURE</t>
        </is>
      </c>
      <c r="E1538" s="34" t="inlineStr">
        <is>
          <t>None recorded</t>
        </is>
      </c>
      <c r="F1538" s="34" t="inlineStr">
        <is>
          <t>Maya Chen, Owner Project Controls: Professional decision</t>
        </is>
      </c>
      <c r="G1538" s="34" t="inlineStr">
        <is>
          <t>Group decision (182 records sharing one decision state)</t>
        </is>
      </c>
      <c r="H1538" s="34" t="inlineStr">
        <is>
          <t xml:space="preserve">APPROVED / UNSURE; </t>
        </is>
      </c>
      <c r="I1538" s="34" t="inlineStr">
        <is>
          <t>New</t>
        </is>
      </c>
      <c r="J1538" s="92" t="inlineStr">
        <is>
          <t>08 CROSSWALK</t>
        </is>
      </c>
    </row>
    <row r="1539" ht="49" customHeight="1">
      <c r="A1539" s="34" t="inlineStr">
        <is>
          <t>R1072-v2</t>
        </is>
      </c>
      <c r="B1539" s="34" t="inlineStr">
        <is>
          <t>Contractor Programme / SCH-06-172</t>
        </is>
      </c>
      <c r="C1539" s="34" t="inlineStr">
        <is>
          <t>No explicit source assertion recorded</t>
        </is>
      </c>
      <c r="D1539" s="34" t="inlineStr">
        <is>
          <t>Proposed by Professional; target UNSURE</t>
        </is>
      </c>
      <c r="E1539" s="34" t="inlineStr">
        <is>
          <t>None recorded</t>
        </is>
      </c>
      <c r="F1539" s="34" t="inlineStr">
        <is>
          <t>Maya Chen, Owner Project Controls: Professional decision</t>
        </is>
      </c>
      <c r="G1539" s="34" t="inlineStr">
        <is>
          <t>Group decision (182 records sharing one decision state)</t>
        </is>
      </c>
      <c r="H1539" s="34" t="inlineStr">
        <is>
          <t xml:space="preserve">APPROVED / UNSURE; </t>
        </is>
      </c>
      <c r="I1539" s="34" t="inlineStr">
        <is>
          <t>New</t>
        </is>
      </c>
      <c r="J1539" s="92" t="inlineStr">
        <is>
          <t>08 CROSSWALK</t>
        </is>
      </c>
    </row>
    <row r="1540" ht="49" customHeight="1">
      <c r="A1540" s="34" t="inlineStr">
        <is>
          <t>R1073-v2</t>
        </is>
      </c>
      <c r="B1540" s="34" t="inlineStr">
        <is>
          <t>Contractor Programme / SCH-06-173</t>
        </is>
      </c>
      <c r="C1540" s="34" t="inlineStr">
        <is>
          <t>No explicit source assertion recorded</t>
        </is>
      </c>
      <c r="D1540" s="34" t="inlineStr">
        <is>
          <t>Proposed by Professional; target UNSURE</t>
        </is>
      </c>
      <c r="E1540" s="34" t="inlineStr">
        <is>
          <t>None recorded</t>
        </is>
      </c>
      <c r="F1540" s="34" t="inlineStr">
        <is>
          <t>Maya Chen, Owner Project Controls: Professional decision</t>
        </is>
      </c>
      <c r="G1540" s="34" t="inlineStr">
        <is>
          <t>Group decision (182 records sharing one decision state)</t>
        </is>
      </c>
      <c r="H1540" s="34" t="inlineStr">
        <is>
          <t xml:space="preserve">APPROVED / UNSURE; </t>
        </is>
      </c>
      <c r="I1540" s="34" t="inlineStr">
        <is>
          <t>New</t>
        </is>
      </c>
      <c r="J1540" s="92" t="inlineStr">
        <is>
          <t>08 CROSSWALK</t>
        </is>
      </c>
    </row>
    <row r="1541" ht="49" customHeight="1">
      <c r="A1541" s="34" t="inlineStr">
        <is>
          <t>R1074-v2</t>
        </is>
      </c>
      <c r="B1541" s="34" t="inlineStr">
        <is>
          <t>Contractor Programme / SCH-06-174</t>
        </is>
      </c>
      <c r="C1541" s="34" t="inlineStr">
        <is>
          <t>No explicit source assertion recorded</t>
        </is>
      </c>
      <c r="D1541" s="34" t="inlineStr">
        <is>
          <t>Proposed by Professional; target UNSURE</t>
        </is>
      </c>
      <c r="E1541" s="34" t="inlineStr">
        <is>
          <t>None recorded</t>
        </is>
      </c>
      <c r="F1541" s="34" t="inlineStr">
        <is>
          <t>Maya Chen, Owner Project Controls: Professional decision</t>
        </is>
      </c>
      <c r="G1541" s="34" t="inlineStr">
        <is>
          <t>Group decision (182 records sharing one decision state)</t>
        </is>
      </c>
      <c r="H1541" s="34" t="inlineStr">
        <is>
          <t xml:space="preserve">APPROVED / UNSURE; </t>
        </is>
      </c>
      <c r="I1541" s="34" t="inlineStr">
        <is>
          <t>New</t>
        </is>
      </c>
      <c r="J1541" s="92" t="inlineStr">
        <is>
          <t>08 CROSSWALK</t>
        </is>
      </c>
    </row>
    <row r="1542" ht="49" customHeight="1">
      <c r="A1542" s="34" t="inlineStr">
        <is>
          <t>R1075-v2</t>
        </is>
      </c>
      <c r="B1542" s="34" t="inlineStr">
        <is>
          <t>Contractor Programme / SCH-06-175</t>
        </is>
      </c>
      <c r="C1542" s="34" t="inlineStr">
        <is>
          <t>No explicit source assertion recorded</t>
        </is>
      </c>
      <c r="D1542" s="34" t="inlineStr">
        <is>
          <t>Proposed by Professional; target UNSURE</t>
        </is>
      </c>
      <c r="E1542" s="34" t="inlineStr">
        <is>
          <t>None recorded</t>
        </is>
      </c>
      <c r="F1542" s="34" t="inlineStr">
        <is>
          <t>Maya Chen, Owner Project Controls: Professional decision</t>
        </is>
      </c>
      <c r="G1542" s="34" t="inlineStr">
        <is>
          <t>Group decision (182 records sharing one decision state)</t>
        </is>
      </c>
      <c r="H1542" s="34" t="inlineStr">
        <is>
          <t xml:space="preserve">APPROVED / UNSURE; </t>
        </is>
      </c>
      <c r="I1542" s="34" t="inlineStr">
        <is>
          <t>New</t>
        </is>
      </c>
      <c r="J1542" s="92" t="inlineStr">
        <is>
          <t>08 CROSSWALK</t>
        </is>
      </c>
    </row>
    <row r="1543" ht="49" customHeight="1">
      <c r="A1543" s="34" t="inlineStr">
        <is>
          <t>R1076-v2</t>
        </is>
      </c>
      <c r="B1543" s="34" t="inlineStr">
        <is>
          <t>Contractor Programme / SCH-06-176</t>
        </is>
      </c>
      <c r="C1543" s="34" t="inlineStr">
        <is>
          <t>No explicit source assertion recorded</t>
        </is>
      </c>
      <c r="D1543" s="34" t="inlineStr">
        <is>
          <t>Proposed by Professional; target UNSURE</t>
        </is>
      </c>
      <c r="E1543" s="34" t="inlineStr">
        <is>
          <t>None recorded</t>
        </is>
      </c>
      <c r="F1543" s="34" t="inlineStr">
        <is>
          <t>Maya Chen, Owner Project Controls: Professional decision</t>
        </is>
      </c>
      <c r="G1543" s="34" t="inlineStr">
        <is>
          <t>Group decision (182 records sharing one decision state)</t>
        </is>
      </c>
      <c r="H1543" s="34" t="inlineStr">
        <is>
          <t xml:space="preserve">APPROVED / UNSURE; </t>
        </is>
      </c>
      <c r="I1543" s="34" t="inlineStr">
        <is>
          <t>New</t>
        </is>
      </c>
      <c r="J1543" s="92" t="inlineStr">
        <is>
          <t>08 CROSSWALK</t>
        </is>
      </c>
    </row>
    <row r="1544" ht="49" customHeight="1">
      <c r="A1544" s="34" t="inlineStr">
        <is>
          <t>R1077-v2</t>
        </is>
      </c>
      <c r="B1544" s="34" t="inlineStr">
        <is>
          <t>Contractor Programme / SCH-06-177</t>
        </is>
      </c>
      <c r="C1544" s="34" t="inlineStr">
        <is>
          <t>No explicit source assertion recorded</t>
        </is>
      </c>
      <c r="D1544" s="34" t="inlineStr">
        <is>
          <t>Proposed by Professional; target UNSURE</t>
        </is>
      </c>
      <c r="E1544" s="34" t="inlineStr">
        <is>
          <t>None recorded</t>
        </is>
      </c>
      <c r="F1544" s="34" t="inlineStr">
        <is>
          <t>Maya Chen, Owner Project Controls: Professional decision</t>
        </is>
      </c>
      <c r="G1544" s="34" t="inlineStr">
        <is>
          <t>Group decision (182 records sharing one decision state)</t>
        </is>
      </c>
      <c r="H1544" s="34" t="inlineStr">
        <is>
          <t xml:space="preserve">APPROVED / UNSURE; </t>
        </is>
      </c>
      <c r="I1544" s="34" t="inlineStr">
        <is>
          <t>New</t>
        </is>
      </c>
      <c r="J1544" s="92" t="inlineStr">
        <is>
          <t>08 CROSSWALK</t>
        </is>
      </c>
    </row>
    <row r="1545" ht="49" customHeight="1">
      <c r="A1545" s="34" t="inlineStr">
        <is>
          <t>R1078-v2</t>
        </is>
      </c>
      <c r="B1545" s="34" t="inlineStr">
        <is>
          <t>Contractor Programme / SCH-06-178</t>
        </is>
      </c>
      <c r="C1545" s="34" t="inlineStr">
        <is>
          <t>No explicit source assertion recorded</t>
        </is>
      </c>
      <c r="D1545" s="34" t="inlineStr">
        <is>
          <t>Proposed by Professional; target UNSURE</t>
        </is>
      </c>
      <c r="E1545" s="34" t="inlineStr">
        <is>
          <t>None recorded</t>
        </is>
      </c>
      <c r="F1545" s="34" t="inlineStr">
        <is>
          <t>Maya Chen, Owner Project Controls: Professional decision</t>
        </is>
      </c>
      <c r="G1545" s="34" t="inlineStr">
        <is>
          <t>Group decision (182 records sharing one decision state)</t>
        </is>
      </c>
      <c r="H1545" s="34" t="inlineStr">
        <is>
          <t xml:space="preserve">APPROVED / UNSURE; </t>
        </is>
      </c>
      <c r="I1545" s="34" t="inlineStr">
        <is>
          <t>New</t>
        </is>
      </c>
      <c r="J1545" s="92" t="inlineStr">
        <is>
          <t>08 CROSSWALK</t>
        </is>
      </c>
    </row>
    <row r="1546" ht="49" customHeight="1">
      <c r="A1546" s="34" t="inlineStr">
        <is>
          <t>R1079-v2</t>
        </is>
      </c>
      <c r="B1546" s="34" t="inlineStr">
        <is>
          <t>Contractor Programme / SCH-06-179</t>
        </is>
      </c>
      <c r="C1546" s="34" t="inlineStr">
        <is>
          <t>No explicit source assertion recorded</t>
        </is>
      </c>
      <c r="D1546" s="34" t="inlineStr">
        <is>
          <t>Proposed by Professional; target UNSURE</t>
        </is>
      </c>
      <c r="E1546" s="34" t="inlineStr">
        <is>
          <t>None recorded</t>
        </is>
      </c>
      <c r="F1546" s="34" t="inlineStr">
        <is>
          <t>Maya Chen, Owner Project Controls: Professional decision</t>
        </is>
      </c>
      <c r="G1546" s="34" t="inlineStr">
        <is>
          <t>Group decision (182 records sharing one decision state)</t>
        </is>
      </c>
      <c r="H1546" s="34" t="inlineStr">
        <is>
          <t xml:space="preserve">APPROVED / UNSURE; </t>
        </is>
      </c>
      <c r="I1546" s="34" t="inlineStr">
        <is>
          <t>New</t>
        </is>
      </c>
      <c r="J1546" s="92" t="inlineStr">
        <is>
          <t>08 CROSSWALK</t>
        </is>
      </c>
    </row>
    <row r="1547" ht="49" customHeight="1">
      <c r="A1547" s="34" t="inlineStr">
        <is>
          <t>R1080-v2</t>
        </is>
      </c>
      <c r="B1547" s="34" t="inlineStr">
        <is>
          <t>Contractor Programme / SCH-06-180</t>
        </is>
      </c>
      <c r="C1547" s="34" t="inlineStr">
        <is>
          <t>No explicit source assertion recorded</t>
        </is>
      </c>
      <c r="D1547" s="34" t="inlineStr">
        <is>
          <t>Proposed by Professional; target UNSURE</t>
        </is>
      </c>
      <c r="E1547" s="34" t="inlineStr">
        <is>
          <t>None recorded</t>
        </is>
      </c>
      <c r="F1547" s="34" t="inlineStr">
        <is>
          <t>Maya Chen, Owner Project Controls: Professional decision</t>
        </is>
      </c>
      <c r="G1547" s="34" t="inlineStr">
        <is>
          <t>Group decision (182 records sharing one decision state)</t>
        </is>
      </c>
      <c r="H1547" s="34" t="inlineStr">
        <is>
          <t xml:space="preserve">APPROVED / UNSURE; </t>
        </is>
      </c>
      <c r="I1547" s="34" t="inlineStr">
        <is>
          <t>New</t>
        </is>
      </c>
      <c r="J1547" s="92" t="inlineStr">
        <is>
          <t>08 CROSSWALK</t>
        </is>
      </c>
    </row>
    <row r="1548" ht="49" customHeight="1">
      <c r="A1548" s="34" t="inlineStr">
        <is>
          <t>R1246-v2</t>
        </is>
      </c>
      <c r="B1548" s="34" t="inlineStr">
        <is>
          <t>Cost &amp; Forecast Control Accounts / CST-03-004</t>
        </is>
      </c>
      <c r="C1548" s="34" t="inlineStr">
        <is>
          <t>Cost Account = CA-3004</t>
        </is>
      </c>
      <c r="D1548" s="34" t="inlineStr">
        <is>
          <t>Proposed by Professional; target UNSURE</t>
        </is>
      </c>
      <c r="E1548" s="34" t="inlineStr">
        <is>
          <t>None recorded</t>
        </is>
      </c>
      <c r="F1548" s="34" t="inlineStr">
        <is>
          <t>Maya Chen, Owner Project Controls: Professional decision</t>
        </is>
      </c>
      <c r="G1548" s="34" t="inlineStr">
        <is>
          <t>Group decision (81 records sharing one decision state)</t>
        </is>
      </c>
      <c r="H1548" s="34" t="inlineStr">
        <is>
          <t xml:space="preserve">APPROVED / UNSURE; </t>
        </is>
      </c>
      <c r="I1548" s="34" t="inlineStr">
        <is>
          <t>New</t>
        </is>
      </c>
      <c r="J1548" s="92" t="inlineStr">
        <is>
          <t>08 CROSSWALK</t>
        </is>
      </c>
    </row>
    <row r="1549" ht="49" customHeight="1">
      <c r="A1549" s="34" t="inlineStr">
        <is>
          <t>R1403-v2</t>
        </is>
      </c>
      <c r="B1549" s="34" t="inlineStr">
        <is>
          <t>Cost &amp; Forecast Control Accounts / CST-05-001</t>
        </is>
      </c>
      <c r="C1549" s="34" t="inlineStr">
        <is>
          <t>Cost Account = CA-5001</t>
        </is>
      </c>
      <c r="D1549" s="34" t="inlineStr">
        <is>
          <t>Proposed by Professional; target UNSURE</t>
        </is>
      </c>
      <c r="E1549" s="34" t="inlineStr">
        <is>
          <t>None recorded</t>
        </is>
      </c>
      <c r="F1549" s="34" t="inlineStr">
        <is>
          <t>Maya Chen, Owner Project Controls: Professional decision</t>
        </is>
      </c>
      <c r="G1549" s="34" t="inlineStr">
        <is>
          <t>Group decision (81 records sharing one decision state)</t>
        </is>
      </c>
      <c r="H1549" s="34" t="inlineStr">
        <is>
          <t xml:space="preserve">APPROVED / UNSURE; </t>
        </is>
      </c>
      <c r="I1549" s="34" t="inlineStr">
        <is>
          <t>New</t>
        </is>
      </c>
      <c r="J1549" s="92" t="inlineStr">
        <is>
          <t>08 CROSSWALK</t>
        </is>
      </c>
    </row>
    <row r="1550" ht="49" customHeight="1">
      <c r="A1550" s="34" t="inlineStr">
        <is>
          <t>R1404-v2</t>
        </is>
      </c>
      <c r="B1550" s="34" t="inlineStr">
        <is>
          <t>Cost &amp; Forecast Control Accounts / CST-05-002</t>
        </is>
      </c>
      <c r="C1550" s="34" t="inlineStr">
        <is>
          <t>Cost Account = CA-5002</t>
        </is>
      </c>
      <c r="D1550" s="34" t="inlineStr">
        <is>
          <t>Proposed by Professional; target UNSURE</t>
        </is>
      </c>
      <c r="E1550" s="34" t="inlineStr">
        <is>
          <t>None recorded</t>
        </is>
      </c>
      <c r="F1550" s="34" t="inlineStr">
        <is>
          <t>Maya Chen, Owner Project Controls: Professional decision</t>
        </is>
      </c>
      <c r="G1550" s="34" t="inlineStr">
        <is>
          <t>Group decision (81 records sharing one decision state)</t>
        </is>
      </c>
      <c r="H1550" s="34" t="inlineStr">
        <is>
          <t xml:space="preserve">APPROVED / UNSURE; </t>
        </is>
      </c>
      <c r="I1550" s="34" t="inlineStr">
        <is>
          <t>New</t>
        </is>
      </c>
      <c r="J1550" s="92" t="inlineStr">
        <is>
          <t>08 CROSSWALK</t>
        </is>
      </c>
    </row>
    <row r="1551" ht="49" customHeight="1">
      <c r="A1551" s="34" t="inlineStr">
        <is>
          <t>R1405-v2</t>
        </is>
      </c>
      <c r="B1551" s="34" t="inlineStr">
        <is>
          <t>Cost &amp; Forecast Control Accounts / CST-05-003</t>
        </is>
      </c>
      <c r="C1551" s="34" t="inlineStr">
        <is>
          <t>Cost Account = CA-5003</t>
        </is>
      </c>
      <c r="D1551" s="34" t="inlineStr">
        <is>
          <t>Proposed by Professional; target UNSURE</t>
        </is>
      </c>
      <c r="E1551" s="34" t="inlineStr">
        <is>
          <t>None recorded</t>
        </is>
      </c>
      <c r="F1551" s="34" t="inlineStr">
        <is>
          <t>Maya Chen, Owner Project Controls: Professional decision</t>
        </is>
      </c>
      <c r="G1551" s="34" t="inlineStr">
        <is>
          <t>Group decision (81 records sharing one decision state)</t>
        </is>
      </c>
      <c r="H1551" s="34" t="inlineStr">
        <is>
          <t xml:space="preserve">APPROVED / UNSURE; </t>
        </is>
      </c>
      <c r="I1551" s="34" t="inlineStr">
        <is>
          <t>New</t>
        </is>
      </c>
      <c r="J1551" s="92" t="inlineStr">
        <is>
          <t>08 CROSSWALK</t>
        </is>
      </c>
    </row>
    <row r="1552" ht="49" customHeight="1">
      <c r="A1552" s="34" t="inlineStr">
        <is>
          <t>R1406-v2</t>
        </is>
      </c>
      <c r="B1552" s="34" t="inlineStr">
        <is>
          <t>Cost &amp; Forecast Control Accounts / CST-05-004</t>
        </is>
      </c>
      <c r="C1552" s="34" t="inlineStr">
        <is>
          <t>Cost Account = CA-5004</t>
        </is>
      </c>
      <c r="D1552" s="34" t="inlineStr">
        <is>
          <t>Proposed by Professional; target UNSURE</t>
        </is>
      </c>
      <c r="E1552" s="34" t="inlineStr">
        <is>
          <t>None recorded</t>
        </is>
      </c>
      <c r="F1552" s="34" t="inlineStr">
        <is>
          <t>Maya Chen, Owner Project Controls: Professional decision</t>
        </is>
      </c>
      <c r="G1552" s="34" t="inlineStr">
        <is>
          <t>Group decision (81 records sharing one decision state)</t>
        </is>
      </c>
      <c r="H1552" s="34" t="inlineStr">
        <is>
          <t xml:space="preserve">APPROVED / UNSURE; </t>
        </is>
      </c>
      <c r="I1552" s="34" t="inlineStr">
        <is>
          <t>New</t>
        </is>
      </c>
      <c r="J1552" s="92" t="inlineStr">
        <is>
          <t>08 CROSSWALK</t>
        </is>
      </c>
    </row>
    <row r="1553" ht="49" customHeight="1">
      <c r="A1553" s="34" t="inlineStr">
        <is>
          <t>R1407-v2</t>
        </is>
      </c>
      <c r="B1553" s="34" t="inlineStr">
        <is>
          <t>Cost &amp; Forecast Control Accounts / CST-05-005</t>
        </is>
      </c>
      <c r="C1553" s="34" t="inlineStr">
        <is>
          <t>Cost Account = CA-5005</t>
        </is>
      </c>
      <c r="D1553" s="34" t="inlineStr">
        <is>
          <t>Proposed by Professional; target UNSURE</t>
        </is>
      </c>
      <c r="E1553" s="34" t="inlineStr">
        <is>
          <t>None recorded</t>
        </is>
      </c>
      <c r="F1553" s="34" t="inlineStr">
        <is>
          <t>Maya Chen, Owner Project Controls: Professional decision</t>
        </is>
      </c>
      <c r="G1553" s="34" t="inlineStr">
        <is>
          <t>Group decision (81 records sharing one decision state)</t>
        </is>
      </c>
      <c r="H1553" s="34" t="inlineStr">
        <is>
          <t xml:space="preserve">APPROVED / UNSURE; </t>
        </is>
      </c>
      <c r="I1553" s="34" t="inlineStr">
        <is>
          <t>New</t>
        </is>
      </c>
      <c r="J1553" s="92" t="inlineStr">
        <is>
          <t>08 CROSSWALK</t>
        </is>
      </c>
    </row>
    <row r="1554" ht="49" customHeight="1">
      <c r="A1554" s="34" t="inlineStr">
        <is>
          <t>R1408-v2</t>
        </is>
      </c>
      <c r="B1554" s="34" t="inlineStr">
        <is>
          <t>Cost &amp; Forecast Control Accounts / CST-05-006</t>
        </is>
      </c>
      <c r="C1554" s="34" t="inlineStr">
        <is>
          <t>Cost Account = CA-5006</t>
        </is>
      </c>
      <c r="D1554" s="34" t="inlineStr">
        <is>
          <t>Proposed by Professional; target UNSURE</t>
        </is>
      </c>
      <c r="E1554" s="34" t="inlineStr">
        <is>
          <t>None recorded</t>
        </is>
      </c>
      <c r="F1554" s="34" t="inlineStr">
        <is>
          <t>Maya Chen, Owner Project Controls: Professional decision</t>
        </is>
      </c>
      <c r="G1554" s="34" t="inlineStr">
        <is>
          <t>Group decision (81 records sharing one decision state)</t>
        </is>
      </c>
      <c r="H1554" s="34" t="inlineStr">
        <is>
          <t xml:space="preserve">APPROVED / UNSURE; </t>
        </is>
      </c>
      <c r="I1554" s="34" t="inlineStr">
        <is>
          <t>New</t>
        </is>
      </c>
      <c r="J1554" s="92" t="inlineStr">
        <is>
          <t>08 CROSSWALK</t>
        </is>
      </c>
    </row>
    <row r="1555" ht="49" customHeight="1">
      <c r="A1555" s="34" t="inlineStr">
        <is>
          <t>R1409-v2</t>
        </is>
      </c>
      <c r="B1555" s="34" t="inlineStr">
        <is>
          <t>Cost &amp; Forecast Control Accounts / CST-05-007</t>
        </is>
      </c>
      <c r="C1555" s="34" t="inlineStr">
        <is>
          <t>Cost Account = CA-5007</t>
        </is>
      </c>
      <c r="D1555" s="34" t="inlineStr">
        <is>
          <t>Proposed by Professional; target UNSURE</t>
        </is>
      </c>
      <c r="E1555" s="34" t="inlineStr">
        <is>
          <t>None recorded</t>
        </is>
      </c>
      <c r="F1555" s="34" t="inlineStr">
        <is>
          <t>Maya Chen, Owner Project Controls: Professional decision</t>
        </is>
      </c>
      <c r="G1555" s="34" t="inlineStr">
        <is>
          <t>Group decision (81 records sharing one decision state)</t>
        </is>
      </c>
      <c r="H1555" s="34" t="inlineStr">
        <is>
          <t xml:space="preserve">APPROVED / UNSURE; </t>
        </is>
      </c>
      <c r="I1555" s="34" t="inlineStr">
        <is>
          <t>New</t>
        </is>
      </c>
      <c r="J1555" s="92" t="inlineStr">
        <is>
          <t>08 CROSSWALK</t>
        </is>
      </c>
    </row>
    <row r="1556" ht="49" customHeight="1">
      <c r="A1556" s="34" t="inlineStr">
        <is>
          <t>R1410-v2</t>
        </is>
      </c>
      <c r="B1556" s="34" t="inlineStr">
        <is>
          <t>Cost &amp; Forecast Control Accounts / CST-05-008</t>
        </is>
      </c>
      <c r="C1556" s="34" t="inlineStr">
        <is>
          <t>Cost Account = CA-5008</t>
        </is>
      </c>
      <c r="D1556" s="34" t="inlineStr">
        <is>
          <t>Proposed by Professional; target UNSURE</t>
        </is>
      </c>
      <c r="E1556" s="34" t="inlineStr">
        <is>
          <t>None recorded</t>
        </is>
      </c>
      <c r="F1556" s="34" t="inlineStr">
        <is>
          <t>Maya Chen, Owner Project Controls: Professional decision</t>
        </is>
      </c>
      <c r="G1556" s="34" t="inlineStr">
        <is>
          <t>Group decision (81 records sharing one decision state)</t>
        </is>
      </c>
      <c r="H1556" s="34" t="inlineStr">
        <is>
          <t xml:space="preserve">APPROVED / UNSURE; </t>
        </is>
      </c>
      <c r="I1556" s="34" t="inlineStr">
        <is>
          <t>New</t>
        </is>
      </c>
      <c r="J1556" s="92" t="inlineStr">
        <is>
          <t>08 CROSSWALK</t>
        </is>
      </c>
    </row>
    <row r="1557" ht="49" customHeight="1">
      <c r="A1557" s="34" t="inlineStr">
        <is>
          <t>R1411-v2</t>
        </is>
      </c>
      <c r="B1557" s="34" t="inlineStr">
        <is>
          <t>Cost &amp; Forecast Control Accounts / CST-05-009</t>
        </is>
      </c>
      <c r="C1557" s="34" t="inlineStr">
        <is>
          <t>Cost Account = CA-5009</t>
        </is>
      </c>
      <c r="D1557" s="34" t="inlineStr">
        <is>
          <t>Proposed by Professional; target UNSURE</t>
        </is>
      </c>
      <c r="E1557" s="34" t="inlineStr">
        <is>
          <t>None recorded</t>
        </is>
      </c>
      <c r="F1557" s="34" t="inlineStr">
        <is>
          <t>Maya Chen, Owner Project Controls: Professional decision</t>
        </is>
      </c>
      <c r="G1557" s="34" t="inlineStr">
        <is>
          <t>Group decision (81 records sharing one decision state)</t>
        </is>
      </c>
      <c r="H1557" s="34" t="inlineStr">
        <is>
          <t xml:space="preserve">APPROVED / UNSURE; </t>
        </is>
      </c>
      <c r="I1557" s="34" t="inlineStr">
        <is>
          <t>New</t>
        </is>
      </c>
      <c r="J1557" s="92" t="inlineStr">
        <is>
          <t>08 CROSSWALK</t>
        </is>
      </c>
    </row>
    <row r="1558" ht="49" customHeight="1">
      <c r="A1558" s="34" t="inlineStr">
        <is>
          <t>R1412-v2</t>
        </is>
      </c>
      <c r="B1558" s="34" t="inlineStr">
        <is>
          <t>Cost &amp; Forecast Control Accounts / CST-05-010</t>
        </is>
      </c>
      <c r="C1558" s="34" t="inlineStr">
        <is>
          <t>Cost Account = CA-5010</t>
        </is>
      </c>
      <c r="D1558" s="34" t="inlineStr">
        <is>
          <t>Proposed by Professional; target UNSURE</t>
        </is>
      </c>
      <c r="E1558" s="34" t="inlineStr">
        <is>
          <t>None recorded</t>
        </is>
      </c>
      <c r="F1558" s="34" t="inlineStr">
        <is>
          <t>Maya Chen, Owner Project Controls: Professional decision</t>
        </is>
      </c>
      <c r="G1558" s="34" t="inlineStr">
        <is>
          <t>Group decision (81 records sharing one decision state)</t>
        </is>
      </c>
      <c r="H1558" s="34" t="inlineStr">
        <is>
          <t xml:space="preserve">APPROVED / UNSURE; </t>
        </is>
      </c>
      <c r="I1558" s="34" t="inlineStr">
        <is>
          <t>New</t>
        </is>
      </c>
      <c r="J1558" s="92" t="inlineStr">
        <is>
          <t>08 CROSSWALK</t>
        </is>
      </c>
    </row>
    <row r="1559" ht="49" customHeight="1">
      <c r="A1559" s="34" t="inlineStr">
        <is>
          <t>R1413-v2</t>
        </is>
      </c>
      <c r="B1559" s="34" t="inlineStr">
        <is>
          <t>Cost &amp; Forecast Control Accounts / CST-05-011</t>
        </is>
      </c>
      <c r="C1559" s="34" t="inlineStr">
        <is>
          <t>Cost Account = CA-5011</t>
        </is>
      </c>
      <c r="D1559" s="34" t="inlineStr">
        <is>
          <t>Proposed by Professional; target UNSURE</t>
        </is>
      </c>
      <c r="E1559" s="34" t="inlineStr">
        <is>
          <t>None recorded</t>
        </is>
      </c>
      <c r="F1559" s="34" t="inlineStr">
        <is>
          <t>Maya Chen, Owner Project Controls: Professional decision</t>
        </is>
      </c>
      <c r="G1559" s="34" t="inlineStr">
        <is>
          <t>Group decision (81 records sharing one decision state)</t>
        </is>
      </c>
      <c r="H1559" s="34" t="inlineStr">
        <is>
          <t xml:space="preserve">APPROVED / UNSURE; </t>
        </is>
      </c>
      <c r="I1559" s="34" t="inlineStr">
        <is>
          <t>New</t>
        </is>
      </c>
      <c r="J1559" s="92" t="inlineStr">
        <is>
          <t>08 CROSSWALK</t>
        </is>
      </c>
    </row>
    <row r="1560" ht="49" customHeight="1">
      <c r="A1560" s="34" t="inlineStr">
        <is>
          <t>R1414-v2</t>
        </is>
      </c>
      <c r="B1560" s="34" t="inlineStr">
        <is>
          <t>Cost &amp; Forecast Control Accounts / CST-05-012</t>
        </is>
      </c>
      <c r="C1560" s="34" t="inlineStr">
        <is>
          <t>Cost Account = CA-5012</t>
        </is>
      </c>
      <c r="D1560" s="34" t="inlineStr">
        <is>
          <t>Proposed by Professional; target UNSURE</t>
        </is>
      </c>
      <c r="E1560" s="34" t="inlineStr">
        <is>
          <t>None recorded</t>
        </is>
      </c>
      <c r="F1560" s="34" t="inlineStr">
        <is>
          <t>Maya Chen, Owner Project Controls: Professional decision</t>
        </is>
      </c>
      <c r="G1560" s="34" t="inlineStr">
        <is>
          <t>Group decision (81 records sharing one decision state)</t>
        </is>
      </c>
      <c r="H1560" s="34" t="inlineStr">
        <is>
          <t xml:space="preserve">APPROVED / UNSURE; </t>
        </is>
      </c>
      <c r="I1560" s="34" t="inlineStr">
        <is>
          <t>New</t>
        </is>
      </c>
      <c r="J1560" s="92" t="inlineStr">
        <is>
          <t>08 CROSSWALK</t>
        </is>
      </c>
    </row>
    <row r="1561" ht="49" customHeight="1">
      <c r="A1561" s="34" t="inlineStr">
        <is>
          <t>R1415-v2</t>
        </is>
      </c>
      <c r="B1561" s="34" t="inlineStr">
        <is>
          <t>Cost &amp; Forecast Control Accounts / CST-05-013</t>
        </is>
      </c>
      <c r="C1561" s="34" t="inlineStr">
        <is>
          <t>Cost Account = CA-5013</t>
        </is>
      </c>
      <c r="D1561" s="34" t="inlineStr">
        <is>
          <t>Proposed by Professional; target UNSURE</t>
        </is>
      </c>
      <c r="E1561" s="34" t="inlineStr">
        <is>
          <t>None recorded</t>
        </is>
      </c>
      <c r="F1561" s="34" t="inlineStr">
        <is>
          <t>Maya Chen, Owner Project Controls: Professional decision</t>
        </is>
      </c>
      <c r="G1561" s="34" t="inlineStr">
        <is>
          <t>Group decision (81 records sharing one decision state)</t>
        </is>
      </c>
      <c r="H1561" s="34" t="inlineStr">
        <is>
          <t xml:space="preserve">APPROVED / UNSURE; </t>
        </is>
      </c>
      <c r="I1561" s="34" t="inlineStr">
        <is>
          <t>New</t>
        </is>
      </c>
      <c r="J1561" s="92" t="inlineStr">
        <is>
          <t>08 CROSSWALK</t>
        </is>
      </c>
    </row>
    <row r="1562" ht="49" customHeight="1">
      <c r="A1562" s="34" t="inlineStr">
        <is>
          <t>R1416-v2</t>
        </is>
      </c>
      <c r="B1562" s="34" t="inlineStr">
        <is>
          <t>Cost &amp; Forecast Control Accounts / CST-05-014</t>
        </is>
      </c>
      <c r="C1562" s="34" t="inlineStr">
        <is>
          <t>Cost Account = CA-5014</t>
        </is>
      </c>
      <c r="D1562" s="34" t="inlineStr">
        <is>
          <t>Proposed by Professional; target UNSURE</t>
        </is>
      </c>
      <c r="E1562" s="34" t="inlineStr">
        <is>
          <t>None recorded</t>
        </is>
      </c>
      <c r="F1562" s="34" t="inlineStr">
        <is>
          <t>Maya Chen, Owner Project Controls: Professional decision</t>
        </is>
      </c>
      <c r="G1562" s="34" t="inlineStr">
        <is>
          <t>Group decision (81 records sharing one decision state)</t>
        </is>
      </c>
      <c r="H1562" s="34" t="inlineStr">
        <is>
          <t xml:space="preserve">APPROVED / UNSURE; </t>
        </is>
      </c>
      <c r="I1562" s="34" t="inlineStr">
        <is>
          <t>New</t>
        </is>
      </c>
      <c r="J1562" s="92" t="inlineStr">
        <is>
          <t>08 CROSSWALK</t>
        </is>
      </c>
    </row>
    <row r="1563" ht="49" customHeight="1">
      <c r="A1563" s="34" t="inlineStr">
        <is>
          <t>R1417-v2</t>
        </is>
      </c>
      <c r="B1563" s="34" t="inlineStr">
        <is>
          <t>Cost &amp; Forecast Control Accounts / CST-05-015</t>
        </is>
      </c>
      <c r="C1563" s="34" t="inlineStr">
        <is>
          <t>Cost Account = CA-5015</t>
        </is>
      </c>
      <c r="D1563" s="34" t="inlineStr">
        <is>
          <t>Proposed by Professional; target UNSURE</t>
        </is>
      </c>
      <c r="E1563" s="34" t="inlineStr">
        <is>
          <t>None recorded</t>
        </is>
      </c>
      <c r="F1563" s="34" t="inlineStr">
        <is>
          <t>Maya Chen, Owner Project Controls: Professional decision</t>
        </is>
      </c>
      <c r="G1563" s="34" t="inlineStr">
        <is>
          <t>Group decision (81 records sharing one decision state)</t>
        </is>
      </c>
      <c r="H1563" s="34" t="inlineStr">
        <is>
          <t xml:space="preserve">APPROVED / UNSURE; </t>
        </is>
      </c>
      <c r="I1563" s="34" t="inlineStr">
        <is>
          <t>New</t>
        </is>
      </c>
      <c r="J1563" s="92" t="inlineStr">
        <is>
          <t>08 CROSSWALK</t>
        </is>
      </c>
    </row>
    <row r="1564" ht="49" customHeight="1">
      <c r="A1564" s="34" t="inlineStr">
        <is>
          <t>R1418-v2</t>
        </is>
      </c>
      <c r="B1564" s="34" t="inlineStr">
        <is>
          <t>Cost &amp; Forecast Control Accounts / CST-05-016</t>
        </is>
      </c>
      <c r="C1564" s="34" t="inlineStr">
        <is>
          <t>Cost Account = CA-5016</t>
        </is>
      </c>
      <c r="D1564" s="34" t="inlineStr">
        <is>
          <t>Proposed by Professional; target UNSURE</t>
        </is>
      </c>
      <c r="E1564" s="34" t="inlineStr">
        <is>
          <t>None recorded</t>
        </is>
      </c>
      <c r="F1564" s="34" t="inlineStr">
        <is>
          <t>Maya Chen, Owner Project Controls: Professional decision</t>
        </is>
      </c>
      <c r="G1564" s="34" t="inlineStr">
        <is>
          <t>Group decision (81 records sharing one decision state)</t>
        </is>
      </c>
      <c r="H1564" s="34" t="inlineStr">
        <is>
          <t xml:space="preserve">APPROVED / UNSURE; </t>
        </is>
      </c>
      <c r="I1564" s="34" t="inlineStr">
        <is>
          <t>New</t>
        </is>
      </c>
      <c r="J1564" s="92" t="inlineStr">
        <is>
          <t>08 CROSSWALK</t>
        </is>
      </c>
    </row>
    <row r="1565" ht="49" customHeight="1">
      <c r="A1565" s="34" t="inlineStr">
        <is>
          <t>R1419-v2</t>
        </is>
      </c>
      <c r="B1565" s="34" t="inlineStr">
        <is>
          <t>Cost &amp; Forecast Control Accounts / CST-05-017</t>
        </is>
      </c>
      <c r="C1565" s="34" t="inlineStr">
        <is>
          <t>Cost Account = CA-5017</t>
        </is>
      </c>
      <c r="D1565" s="34" t="inlineStr">
        <is>
          <t>Proposed by Professional; target UNSURE</t>
        </is>
      </c>
      <c r="E1565" s="34" t="inlineStr">
        <is>
          <t>None recorded</t>
        </is>
      </c>
      <c r="F1565" s="34" t="inlineStr">
        <is>
          <t>Maya Chen, Owner Project Controls: Professional decision</t>
        </is>
      </c>
      <c r="G1565" s="34" t="inlineStr">
        <is>
          <t>Group decision (81 records sharing one decision state)</t>
        </is>
      </c>
      <c r="H1565" s="34" t="inlineStr">
        <is>
          <t xml:space="preserve">APPROVED / UNSURE; </t>
        </is>
      </c>
      <c r="I1565" s="34" t="inlineStr">
        <is>
          <t>New</t>
        </is>
      </c>
      <c r="J1565" s="92" t="inlineStr">
        <is>
          <t>08 CROSSWALK</t>
        </is>
      </c>
    </row>
    <row r="1566" ht="49" customHeight="1">
      <c r="A1566" s="34" t="inlineStr">
        <is>
          <t>R1420-v2</t>
        </is>
      </c>
      <c r="B1566" s="34" t="inlineStr">
        <is>
          <t>Cost &amp; Forecast Control Accounts / CST-05-018</t>
        </is>
      </c>
      <c r="C1566" s="34" t="inlineStr">
        <is>
          <t>Cost Account = CA-5018</t>
        </is>
      </c>
      <c r="D1566" s="34" t="inlineStr">
        <is>
          <t>Proposed by Professional; target UNSURE</t>
        </is>
      </c>
      <c r="E1566" s="34" t="inlineStr">
        <is>
          <t>None recorded</t>
        </is>
      </c>
      <c r="F1566" s="34" t="inlineStr">
        <is>
          <t>Maya Chen, Owner Project Controls: Professional decision</t>
        </is>
      </c>
      <c r="G1566" s="34" t="inlineStr">
        <is>
          <t>Group decision (81 records sharing one decision state)</t>
        </is>
      </c>
      <c r="H1566" s="34" t="inlineStr">
        <is>
          <t xml:space="preserve">APPROVED / UNSURE; </t>
        </is>
      </c>
      <c r="I1566" s="34" t="inlineStr">
        <is>
          <t>New</t>
        </is>
      </c>
      <c r="J1566" s="92" t="inlineStr">
        <is>
          <t>08 CROSSWALK</t>
        </is>
      </c>
    </row>
    <row r="1567" ht="49" customHeight="1">
      <c r="A1567" s="34" t="inlineStr">
        <is>
          <t>R1421-v2</t>
        </is>
      </c>
      <c r="B1567" s="34" t="inlineStr">
        <is>
          <t>Cost &amp; Forecast Control Accounts / CST-05-019</t>
        </is>
      </c>
      <c r="C1567" s="34" t="inlineStr">
        <is>
          <t>Cost Account = CA-5019</t>
        </is>
      </c>
      <c r="D1567" s="34" t="inlineStr">
        <is>
          <t>Proposed by Professional; target UNSURE</t>
        </is>
      </c>
      <c r="E1567" s="34" t="inlineStr">
        <is>
          <t>None recorded</t>
        </is>
      </c>
      <c r="F1567" s="34" t="inlineStr">
        <is>
          <t>Maya Chen, Owner Project Controls: Professional decision</t>
        </is>
      </c>
      <c r="G1567" s="34" t="inlineStr">
        <is>
          <t>Group decision (81 records sharing one decision state)</t>
        </is>
      </c>
      <c r="H1567" s="34" t="inlineStr">
        <is>
          <t xml:space="preserve">APPROVED / UNSURE; </t>
        </is>
      </c>
      <c r="I1567" s="34" t="inlineStr">
        <is>
          <t>New</t>
        </is>
      </c>
      <c r="J1567" s="92" t="inlineStr">
        <is>
          <t>08 CROSSWALK</t>
        </is>
      </c>
    </row>
    <row r="1568" ht="49" customHeight="1">
      <c r="A1568" s="34" t="inlineStr">
        <is>
          <t>R1422-v2</t>
        </is>
      </c>
      <c r="B1568" s="34" t="inlineStr">
        <is>
          <t>Cost &amp; Forecast Control Accounts / CST-05-020</t>
        </is>
      </c>
      <c r="C1568" s="34" t="inlineStr">
        <is>
          <t>Cost Account = CA-5020</t>
        </is>
      </c>
      <c r="D1568" s="34" t="inlineStr">
        <is>
          <t>Proposed by Professional; target UNSURE</t>
        </is>
      </c>
      <c r="E1568" s="34" t="inlineStr">
        <is>
          <t>None recorded</t>
        </is>
      </c>
      <c r="F1568" s="34" t="inlineStr">
        <is>
          <t>Maya Chen, Owner Project Controls: Professional decision</t>
        </is>
      </c>
      <c r="G1568" s="34" t="inlineStr">
        <is>
          <t>Group decision (81 records sharing one decision state)</t>
        </is>
      </c>
      <c r="H1568" s="34" t="inlineStr">
        <is>
          <t xml:space="preserve">APPROVED / UNSURE; </t>
        </is>
      </c>
      <c r="I1568" s="34" t="inlineStr">
        <is>
          <t>New</t>
        </is>
      </c>
      <c r="J1568" s="92" t="inlineStr">
        <is>
          <t>08 CROSSWALK</t>
        </is>
      </c>
    </row>
    <row r="1569" ht="49" customHeight="1">
      <c r="A1569" s="34" t="inlineStr">
        <is>
          <t>R1423-v2</t>
        </is>
      </c>
      <c r="B1569" s="34" t="inlineStr">
        <is>
          <t>Cost &amp; Forecast Control Accounts / CST-05-021</t>
        </is>
      </c>
      <c r="C1569" s="34" t="inlineStr">
        <is>
          <t>Cost Account = CA-5021</t>
        </is>
      </c>
      <c r="D1569" s="34" t="inlineStr">
        <is>
          <t>Proposed by Professional; target UNSURE</t>
        </is>
      </c>
      <c r="E1569" s="34" t="inlineStr">
        <is>
          <t>None recorded</t>
        </is>
      </c>
      <c r="F1569" s="34" t="inlineStr">
        <is>
          <t>Maya Chen, Owner Project Controls: Professional decision</t>
        </is>
      </c>
      <c r="G1569" s="34" t="inlineStr">
        <is>
          <t>Group decision (81 records sharing one decision state)</t>
        </is>
      </c>
      <c r="H1569" s="34" t="inlineStr">
        <is>
          <t xml:space="preserve">APPROVED / UNSURE; </t>
        </is>
      </c>
      <c r="I1569" s="34" t="inlineStr">
        <is>
          <t>New</t>
        </is>
      </c>
      <c r="J1569" s="92" t="inlineStr">
        <is>
          <t>08 CROSSWALK</t>
        </is>
      </c>
    </row>
    <row r="1570" ht="49" customHeight="1">
      <c r="A1570" s="34" t="inlineStr">
        <is>
          <t>R1424-v2</t>
        </is>
      </c>
      <c r="B1570" s="34" t="inlineStr">
        <is>
          <t>Cost &amp; Forecast Control Accounts / CST-05-022</t>
        </is>
      </c>
      <c r="C1570" s="34" t="inlineStr">
        <is>
          <t>Cost Account = CA-5022</t>
        </is>
      </c>
      <c r="D1570" s="34" t="inlineStr">
        <is>
          <t>Proposed by Professional; target UNSURE</t>
        </is>
      </c>
      <c r="E1570" s="34" t="inlineStr">
        <is>
          <t>None recorded</t>
        </is>
      </c>
      <c r="F1570" s="34" t="inlineStr">
        <is>
          <t>Maya Chen, Owner Project Controls: Professional decision</t>
        </is>
      </c>
      <c r="G1570" s="34" t="inlineStr">
        <is>
          <t>Group decision (81 records sharing one decision state)</t>
        </is>
      </c>
      <c r="H1570" s="34" t="inlineStr">
        <is>
          <t xml:space="preserve">APPROVED / UNSURE; </t>
        </is>
      </c>
      <c r="I1570" s="34" t="inlineStr">
        <is>
          <t>New</t>
        </is>
      </c>
      <c r="J1570" s="92" t="inlineStr">
        <is>
          <t>08 CROSSWALK</t>
        </is>
      </c>
    </row>
    <row r="1571" ht="49" customHeight="1">
      <c r="A1571" s="34" t="inlineStr">
        <is>
          <t>R1425-v2</t>
        </is>
      </c>
      <c r="B1571" s="34" t="inlineStr">
        <is>
          <t>Cost &amp; Forecast Control Accounts / CST-05-023</t>
        </is>
      </c>
      <c r="C1571" s="34" t="inlineStr">
        <is>
          <t>Cost Account = CA-5023</t>
        </is>
      </c>
      <c r="D1571" s="34" t="inlineStr">
        <is>
          <t>Proposed by Professional; target UNSURE</t>
        </is>
      </c>
      <c r="E1571" s="34" t="inlineStr">
        <is>
          <t>None recorded</t>
        </is>
      </c>
      <c r="F1571" s="34" t="inlineStr">
        <is>
          <t>Maya Chen, Owner Project Controls: Professional decision</t>
        </is>
      </c>
      <c r="G1571" s="34" t="inlineStr">
        <is>
          <t>Group decision (81 records sharing one decision state)</t>
        </is>
      </c>
      <c r="H1571" s="34" t="inlineStr">
        <is>
          <t xml:space="preserve">APPROVED / UNSURE; </t>
        </is>
      </c>
      <c r="I1571" s="34" t="inlineStr">
        <is>
          <t>New</t>
        </is>
      </c>
      <c r="J1571" s="92" t="inlineStr">
        <is>
          <t>08 CROSSWALK</t>
        </is>
      </c>
    </row>
    <row r="1572" ht="49" customHeight="1">
      <c r="A1572" s="34" t="inlineStr">
        <is>
          <t>R1426-v2</t>
        </is>
      </c>
      <c r="B1572" s="34" t="inlineStr">
        <is>
          <t>Cost &amp; Forecast Control Accounts / CST-05-024</t>
        </is>
      </c>
      <c r="C1572" s="34" t="inlineStr">
        <is>
          <t>Cost Account = CA-5024</t>
        </is>
      </c>
      <c r="D1572" s="34" t="inlineStr">
        <is>
          <t>Proposed by Professional; target UNSURE</t>
        </is>
      </c>
      <c r="E1572" s="34" t="inlineStr">
        <is>
          <t>None recorded</t>
        </is>
      </c>
      <c r="F1572" s="34" t="inlineStr">
        <is>
          <t>Maya Chen, Owner Project Controls: Professional decision</t>
        </is>
      </c>
      <c r="G1572" s="34" t="inlineStr">
        <is>
          <t>Group decision (81 records sharing one decision state)</t>
        </is>
      </c>
      <c r="H1572" s="34" t="inlineStr">
        <is>
          <t xml:space="preserve">APPROVED / UNSURE; </t>
        </is>
      </c>
      <c r="I1572" s="34" t="inlineStr">
        <is>
          <t>New</t>
        </is>
      </c>
      <c r="J1572" s="92" t="inlineStr">
        <is>
          <t>08 CROSSWALK</t>
        </is>
      </c>
    </row>
    <row r="1573" ht="49" customHeight="1">
      <c r="A1573" s="34" t="inlineStr">
        <is>
          <t>R1427-v2</t>
        </is>
      </c>
      <c r="B1573" s="34" t="inlineStr">
        <is>
          <t>Cost &amp; Forecast Control Accounts / CST-05-025</t>
        </is>
      </c>
      <c r="C1573" s="34" t="inlineStr">
        <is>
          <t>Cost Account = CA-5025</t>
        </is>
      </c>
      <c r="D1573" s="34" t="inlineStr">
        <is>
          <t>Proposed by Professional; target UNSURE</t>
        </is>
      </c>
      <c r="E1573" s="34" t="inlineStr">
        <is>
          <t>None recorded</t>
        </is>
      </c>
      <c r="F1573" s="34" t="inlineStr">
        <is>
          <t>Maya Chen, Owner Project Controls: Professional decision</t>
        </is>
      </c>
      <c r="G1573" s="34" t="inlineStr">
        <is>
          <t>Group decision (81 records sharing one decision state)</t>
        </is>
      </c>
      <c r="H1573" s="34" t="inlineStr">
        <is>
          <t xml:space="preserve">APPROVED / UNSURE; </t>
        </is>
      </c>
      <c r="I1573" s="34" t="inlineStr">
        <is>
          <t>New</t>
        </is>
      </c>
      <c r="J1573" s="92" t="inlineStr">
        <is>
          <t>08 CROSSWALK</t>
        </is>
      </c>
    </row>
    <row r="1574" ht="49" customHeight="1">
      <c r="A1574" s="34" t="inlineStr">
        <is>
          <t>R1428-v2</t>
        </is>
      </c>
      <c r="B1574" s="34" t="inlineStr">
        <is>
          <t>Cost &amp; Forecast Control Accounts / CST-05-026</t>
        </is>
      </c>
      <c r="C1574" s="34" t="inlineStr">
        <is>
          <t>Cost Account = CA-5026</t>
        </is>
      </c>
      <c r="D1574" s="34" t="inlineStr">
        <is>
          <t>Proposed by Professional; target UNSURE</t>
        </is>
      </c>
      <c r="E1574" s="34" t="inlineStr">
        <is>
          <t>None recorded</t>
        </is>
      </c>
      <c r="F1574" s="34" t="inlineStr">
        <is>
          <t>Maya Chen, Owner Project Controls: Professional decision</t>
        </is>
      </c>
      <c r="G1574" s="34" t="inlineStr">
        <is>
          <t>Group decision (81 records sharing one decision state)</t>
        </is>
      </c>
      <c r="H1574" s="34" t="inlineStr">
        <is>
          <t xml:space="preserve">APPROVED / UNSURE; </t>
        </is>
      </c>
      <c r="I1574" s="34" t="inlineStr">
        <is>
          <t>New</t>
        </is>
      </c>
      <c r="J1574" s="92" t="inlineStr">
        <is>
          <t>08 CROSSWALK</t>
        </is>
      </c>
    </row>
    <row r="1575" ht="49" customHeight="1">
      <c r="A1575" s="34" t="inlineStr">
        <is>
          <t>R1429-v2</t>
        </is>
      </c>
      <c r="B1575" s="34" t="inlineStr">
        <is>
          <t>Cost &amp; Forecast Control Accounts / CST-05-027</t>
        </is>
      </c>
      <c r="C1575" s="34" t="inlineStr">
        <is>
          <t>Cost Account = CA-5027</t>
        </is>
      </c>
      <c r="D1575" s="34" t="inlineStr">
        <is>
          <t>Proposed by Professional; target UNSURE</t>
        </is>
      </c>
      <c r="E1575" s="34" t="inlineStr">
        <is>
          <t>None recorded</t>
        </is>
      </c>
      <c r="F1575" s="34" t="inlineStr">
        <is>
          <t>Maya Chen, Owner Project Controls: Professional decision</t>
        </is>
      </c>
      <c r="G1575" s="34" t="inlineStr">
        <is>
          <t>Group decision (81 records sharing one decision state)</t>
        </is>
      </c>
      <c r="H1575" s="34" t="inlineStr">
        <is>
          <t xml:space="preserve">APPROVED / UNSURE; </t>
        </is>
      </c>
      <c r="I1575" s="34" t="inlineStr">
        <is>
          <t>New</t>
        </is>
      </c>
      <c r="J1575" s="92" t="inlineStr">
        <is>
          <t>08 CROSSWALK</t>
        </is>
      </c>
    </row>
    <row r="1576" ht="49" customHeight="1">
      <c r="A1576" s="34" t="inlineStr">
        <is>
          <t>R1430-v2</t>
        </is>
      </c>
      <c r="B1576" s="34" t="inlineStr">
        <is>
          <t>Cost &amp; Forecast Control Accounts / CST-05-028</t>
        </is>
      </c>
      <c r="C1576" s="34" t="inlineStr">
        <is>
          <t>Cost Account = CA-5028</t>
        </is>
      </c>
      <c r="D1576" s="34" t="inlineStr">
        <is>
          <t>Proposed by Professional; target UNSURE</t>
        </is>
      </c>
      <c r="E1576" s="34" t="inlineStr">
        <is>
          <t>None recorded</t>
        </is>
      </c>
      <c r="F1576" s="34" t="inlineStr">
        <is>
          <t>Maya Chen, Owner Project Controls: Professional decision</t>
        </is>
      </c>
      <c r="G1576" s="34" t="inlineStr">
        <is>
          <t>Group decision (81 records sharing one decision state)</t>
        </is>
      </c>
      <c r="H1576" s="34" t="inlineStr">
        <is>
          <t xml:space="preserve">APPROVED / UNSURE; </t>
        </is>
      </c>
      <c r="I1576" s="34" t="inlineStr">
        <is>
          <t>New</t>
        </is>
      </c>
      <c r="J1576" s="92" t="inlineStr">
        <is>
          <t>08 CROSSWALK</t>
        </is>
      </c>
    </row>
    <row r="1577" ht="49" customHeight="1">
      <c r="A1577" s="34" t="inlineStr">
        <is>
          <t>R1431-v2</t>
        </is>
      </c>
      <c r="B1577" s="34" t="inlineStr">
        <is>
          <t>Cost &amp; Forecast Control Accounts / CST-05-029</t>
        </is>
      </c>
      <c r="C1577" s="34" t="inlineStr">
        <is>
          <t>Cost Account = CA-5029</t>
        </is>
      </c>
      <c r="D1577" s="34" t="inlineStr">
        <is>
          <t>Proposed by Professional; target UNSURE</t>
        </is>
      </c>
      <c r="E1577" s="34" t="inlineStr">
        <is>
          <t>None recorded</t>
        </is>
      </c>
      <c r="F1577" s="34" t="inlineStr">
        <is>
          <t>Maya Chen, Owner Project Controls: Professional decision</t>
        </is>
      </c>
      <c r="G1577" s="34" t="inlineStr">
        <is>
          <t>Group decision (81 records sharing one decision state)</t>
        </is>
      </c>
      <c r="H1577" s="34" t="inlineStr">
        <is>
          <t xml:space="preserve">APPROVED / UNSURE; </t>
        </is>
      </c>
      <c r="I1577" s="34" t="inlineStr">
        <is>
          <t>New</t>
        </is>
      </c>
      <c r="J1577" s="92" t="inlineStr">
        <is>
          <t>08 CROSSWALK</t>
        </is>
      </c>
    </row>
    <row r="1578" ht="49" customHeight="1">
      <c r="A1578" s="34" t="inlineStr">
        <is>
          <t>R1432-v2</t>
        </is>
      </c>
      <c r="B1578" s="34" t="inlineStr">
        <is>
          <t>Cost &amp; Forecast Control Accounts / CST-05-030</t>
        </is>
      </c>
      <c r="C1578" s="34" t="inlineStr">
        <is>
          <t>Cost Account = CA-5030</t>
        </is>
      </c>
      <c r="D1578" s="34" t="inlineStr">
        <is>
          <t>Proposed by Professional; target UNSURE</t>
        </is>
      </c>
      <c r="E1578" s="34" t="inlineStr">
        <is>
          <t>None recorded</t>
        </is>
      </c>
      <c r="F1578" s="34" t="inlineStr">
        <is>
          <t>Maya Chen, Owner Project Controls: Professional decision</t>
        </is>
      </c>
      <c r="G1578" s="34" t="inlineStr">
        <is>
          <t>Group decision (81 records sharing one decision state)</t>
        </is>
      </c>
      <c r="H1578" s="34" t="inlineStr">
        <is>
          <t xml:space="preserve">APPROVED / UNSURE; </t>
        </is>
      </c>
      <c r="I1578" s="34" t="inlineStr">
        <is>
          <t>New</t>
        </is>
      </c>
      <c r="J1578" s="92" t="inlineStr">
        <is>
          <t>08 CROSSWALK</t>
        </is>
      </c>
    </row>
    <row r="1579" ht="49" customHeight="1">
      <c r="A1579" s="34" t="inlineStr">
        <is>
          <t>R1433-v2</t>
        </is>
      </c>
      <c r="B1579" s="34" t="inlineStr">
        <is>
          <t>Cost &amp; Forecast Control Accounts / CST-05-031</t>
        </is>
      </c>
      <c r="C1579" s="34" t="inlineStr">
        <is>
          <t>Cost Account = CA-5031</t>
        </is>
      </c>
      <c r="D1579" s="34" t="inlineStr">
        <is>
          <t>Proposed by Professional; target UNSURE</t>
        </is>
      </c>
      <c r="E1579" s="34" t="inlineStr">
        <is>
          <t>None recorded</t>
        </is>
      </c>
      <c r="F1579" s="34" t="inlineStr">
        <is>
          <t>Maya Chen, Owner Project Controls: Professional decision</t>
        </is>
      </c>
      <c r="G1579" s="34" t="inlineStr">
        <is>
          <t>Group decision (81 records sharing one decision state)</t>
        </is>
      </c>
      <c r="H1579" s="34" t="inlineStr">
        <is>
          <t xml:space="preserve">APPROVED / UNSURE; </t>
        </is>
      </c>
      <c r="I1579" s="34" t="inlineStr">
        <is>
          <t>New</t>
        </is>
      </c>
      <c r="J1579" s="92" t="inlineStr">
        <is>
          <t>08 CROSSWALK</t>
        </is>
      </c>
    </row>
    <row r="1580" ht="49" customHeight="1">
      <c r="A1580" s="34" t="inlineStr">
        <is>
          <t>R1434-v2</t>
        </is>
      </c>
      <c r="B1580" s="34" t="inlineStr">
        <is>
          <t>Cost &amp; Forecast Control Accounts / CST-05-032</t>
        </is>
      </c>
      <c r="C1580" s="34" t="inlineStr">
        <is>
          <t>Cost Account = CA-5032</t>
        </is>
      </c>
      <c r="D1580" s="34" t="inlineStr">
        <is>
          <t>Proposed by Professional; target UNSURE</t>
        </is>
      </c>
      <c r="E1580" s="34" t="inlineStr">
        <is>
          <t>None recorded</t>
        </is>
      </c>
      <c r="F1580" s="34" t="inlineStr">
        <is>
          <t>Maya Chen, Owner Project Controls: Professional decision</t>
        </is>
      </c>
      <c r="G1580" s="34" t="inlineStr">
        <is>
          <t>Group decision (81 records sharing one decision state)</t>
        </is>
      </c>
      <c r="H1580" s="34" t="inlineStr">
        <is>
          <t xml:space="preserve">APPROVED / UNSURE; </t>
        </is>
      </c>
      <c r="I1580" s="34" t="inlineStr">
        <is>
          <t>New</t>
        </is>
      </c>
      <c r="J1580" s="92" t="inlineStr">
        <is>
          <t>08 CROSSWALK</t>
        </is>
      </c>
    </row>
    <row r="1581" ht="49" customHeight="1">
      <c r="A1581" s="34" t="inlineStr">
        <is>
          <t>R1435-v2</t>
        </is>
      </c>
      <c r="B1581" s="34" t="inlineStr">
        <is>
          <t>Cost &amp; Forecast Control Accounts / CST-05-033</t>
        </is>
      </c>
      <c r="C1581" s="34" t="inlineStr">
        <is>
          <t>Cost Account = CA-5033</t>
        </is>
      </c>
      <c r="D1581" s="34" t="inlineStr">
        <is>
          <t>Proposed by Professional; target UNSURE</t>
        </is>
      </c>
      <c r="E1581" s="34" t="inlineStr">
        <is>
          <t>None recorded</t>
        </is>
      </c>
      <c r="F1581" s="34" t="inlineStr">
        <is>
          <t>Maya Chen, Owner Project Controls: Professional decision</t>
        </is>
      </c>
      <c r="G1581" s="34" t="inlineStr">
        <is>
          <t>Group decision (81 records sharing one decision state)</t>
        </is>
      </c>
      <c r="H1581" s="34" t="inlineStr">
        <is>
          <t xml:space="preserve">APPROVED / UNSURE; </t>
        </is>
      </c>
      <c r="I1581" s="34" t="inlineStr">
        <is>
          <t>New</t>
        </is>
      </c>
      <c r="J1581" s="92" t="inlineStr">
        <is>
          <t>08 CROSSWALK</t>
        </is>
      </c>
    </row>
    <row r="1582" ht="49" customHeight="1">
      <c r="A1582" s="34" t="inlineStr">
        <is>
          <t>R1436-v2</t>
        </is>
      </c>
      <c r="B1582" s="34" t="inlineStr">
        <is>
          <t>Cost &amp; Forecast Control Accounts / CST-05-034</t>
        </is>
      </c>
      <c r="C1582" s="34" t="inlineStr">
        <is>
          <t>Cost Account = CA-5034</t>
        </is>
      </c>
      <c r="D1582" s="34" t="inlineStr">
        <is>
          <t>Proposed by Professional; target UNSURE</t>
        </is>
      </c>
      <c r="E1582" s="34" t="inlineStr">
        <is>
          <t>None recorded</t>
        </is>
      </c>
      <c r="F1582" s="34" t="inlineStr">
        <is>
          <t>Maya Chen, Owner Project Controls: Professional decision</t>
        </is>
      </c>
      <c r="G1582" s="34" t="inlineStr">
        <is>
          <t>Group decision (81 records sharing one decision state)</t>
        </is>
      </c>
      <c r="H1582" s="34" t="inlineStr">
        <is>
          <t xml:space="preserve">APPROVED / UNSURE; </t>
        </is>
      </c>
      <c r="I1582" s="34" t="inlineStr">
        <is>
          <t>New</t>
        </is>
      </c>
      <c r="J1582" s="92" t="inlineStr">
        <is>
          <t>08 CROSSWALK</t>
        </is>
      </c>
    </row>
    <row r="1583" ht="49" customHeight="1">
      <c r="A1583" s="34" t="inlineStr">
        <is>
          <t>R1437-v2</t>
        </is>
      </c>
      <c r="B1583" s="34" t="inlineStr">
        <is>
          <t>Cost &amp; Forecast Control Accounts / CST-05-035</t>
        </is>
      </c>
      <c r="C1583" s="34" t="inlineStr">
        <is>
          <t>Cost Account = CA-5035</t>
        </is>
      </c>
      <c r="D1583" s="34" t="inlineStr">
        <is>
          <t>Proposed by Professional; target UNSURE</t>
        </is>
      </c>
      <c r="E1583" s="34" t="inlineStr">
        <is>
          <t>None recorded</t>
        </is>
      </c>
      <c r="F1583" s="34" t="inlineStr">
        <is>
          <t>Maya Chen, Owner Project Controls: Professional decision</t>
        </is>
      </c>
      <c r="G1583" s="34" t="inlineStr">
        <is>
          <t>Group decision (81 records sharing one decision state)</t>
        </is>
      </c>
      <c r="H1583" s="34" t="inlineStr">
        <is>
          <t xml:space="preserve">APPROVED / UNSURE; </t>
        </is>
      </c>
      <c r="I1583" s="34" t="inlineStr">
        <is>
          <t>New</t>
        </is>
      </c>
      <c r="J1583" s="92" t="inlineStr">
        <is>
          <t>08 CROSSWALK</t>
        </is>
      </c>
    </row>
    <row r="1584" ht="49" customHeight="1">
      <c r="A1584" s="34" t="inlineStr">
        <is>
          <t>R1438-v2</t>
        </is>
      </c>
      <c r="B1584" s="34" t="inlineStr">
        <is>
          <t>Cost &amp; Forecast Control Accounts / CST-05-036</t>
        </is>
      </c>
      <c r="C1584" s="34" t="inlineStr">
        <is>
          <t>Cost Account = CA-5036</t>
        </is>
      </c>
      <c r="D1584" s="34" t="inlineStr">
        <is>
          <t>Proposed by Professional; target UNSURE</t>
        </is>
      </c>
      <c r="E1584" s="34" t="inlineStr">
        <is>
          <t>None recorded</t>
        </is>
      </c>
      <c r="F1584" s="34" t="inlineStr">
        <is>
          <t>Maya Chen, Owner Project Controls: Professional decision</t>
        </is>
      </c>
      <c r="G1584" s="34" t="inlineStr">
        <is>
          <t>Group decision (81 records sharing one decision state)</t>
        </is>
      </c>
      <c r="H1584" s="34" t="inlineStr">
        <is>
          <t xml:space="preserve">APPROVED / UNSURE; </t>
        </is>
      </c>
      <c r="I1584" s="34" t="inlineStr">
        <is>
          <t>New</t>
        </is>
      </c>
      <c r="J1584" s="92" t="inlineStr">
        <is>
          <t>08 CROSSWALK</t>
        </is>
      </c>
    </row>
    <row r="1585" ht="49" customHeight="1">
      <c r="A1585" s="34" t="inlineStr">
        <is>
          <t>R1439-v2</t>
        </is>
      </c>
      <c r="B1585" s="34" t="inlineStr">
        <is>
          <t>Cost &amp; Forecast Control Accounts / CST-05-037</t>
        </is>
      </c>
      <c r="C1585" s="34" t="inlineStr">
        <is>
          <t>Cost Account = CA-5037</t>
        </is>
      </c>
      <c r="D1585" s="34" t="inlineStr">
        <is>
          <t>Proposed by Professional; target UNSURE</t>
        </is>
      </c>
      <c r="E1585" s="34" t="inlineStr">
        <is>
          <t>None recorded</t>
        </is>
      </c>
      <c r="F1585" s="34" t="inlineStr">
        <is>
          <t>Maya Chen, Owner Project Controls: Professional decision</t>
        </is>
      </c>
      <c r="G1585" s="34" t="inlineStr">
        <is>
          <t>Group decision (81 records sharing one decision state)</t>
        </is>
      </c>
      <c r="H1585" s="34" t="inlineStr">
        <is>
          <t xml:space="preserve">APPROVED / UNSURE; </t>
        </is>
      </c>
      <c r="I1585" s="34" t="inlineStr">
        <is>
          <t>New</t>
        </is>
      </c>
      <c r="J1585" s="92" t="inlineStr">
        <is>
          <t>08 CROSSWALK</t>
        </is>
      </c>
    </row>
    <row r="1586" ht="49" customHeight="1">
      <c r="A1586" s="34" t="inlineStr">
        <is>
          <t>R1440-v2</t>
        </is>
      </c>
      <c r="B1586" s="34" t="inlineStr">
        <is>
          <t>Cost &amp; Forecast Control Accounts / CST-05-038</t>
        </is>
      </c>
      <c r="C1586" s="34" t="inlineStr">
        <is>
          <t>Cost Account = CA-5038</t>
        </is>
      </c>
      <c r="D1586" s="34" t="inlineStr">
        <is>
          <t>Proposed by Professional; target UNSURE</t>
        </is>
      </c>
      <c r="E1586" s="34" t="inlineStr">
        <is>
          <t>None recorded</t>
        </is>
      </c>
      <c r="F1586" s="34" t="inlineStr">
        <is>
          <t>Maya Chen, Owner Project Controls: Professional decision</t>
        </is>
      </c>
      <c r="G1586" s="34" t="inlineStr">
        <is>
          <t>Group decision (81 records sharing one decision state)</t>
        </is>
      </c>
      <c r="H1586" s="34" t="inlineStr">
        <is>
          <t xml:space="preserve">APPROVED / UNSURE; </t>
        </is>
      </c>
      <c r="I1586" s="34" t="inlineStr">
        <is>
          <t>New</t>
        </is>
      </c>
      <c r="J1586" s="92" t="inlineStr">
        <is>
          <t>08 CROSSWALK</t>
        </is>
      </c>
    </row>
    <row r="1587" ht="49" customHeight="1">
      <c r="A1587" s="34" t="inlineStr">
        <is>
          <t>R1441-v2</t>
        </is>
      </c>
      <c r="B1587" s="34" t="inlineStr">
        <is>
          <t>Cost &amp; Forecast Control Accounts / CST-05-039</t>
        </is>
      </c>
      <c r="C1587" s="34" t="inlineStr">
        <is>
          <t>Cost Account = CA-5039</t>
        </is>
      </c>
      <c r="D1587" s="34" t="inlineStr">
        <is>
          <t>Proposed by Professional; target UNSURE</t>
        </is>
      </c>
      <c r="E1587" s="34" t="inlineStr">
        <is>
          <t>None recorded</t>
        </is>
      </c>
      <c r="F1587" s="34" t="inlineStr">
        <is>
          <t>Maya Chen, Owner Project Controls: Professional decision</t>
        </is>
      </c>
      <c r="G1587" s="34" t="inlineStr">
        <is>
          <t>Group decision (81 records sharing one decision state)</t>
        </is>
      </c>
      <c r="H1587" s="34" t="inlineStr">
        <is>
          <t xml:space="preserve">APPROVED / UNSURE; </t>
        </is>
      </c>
      <c r="I1587" s="34" t="inlineStr">
        <is>
          <t>New</t>
        </is>
      </c>
      <c r="J1587" s="92" t="inlineStr">
        <is>
          <t>08 CROSSWALK</t>
        </is>
      </c>
    </row>
    <row r="1588" ht="49" customHeight="1">
      <c r="A1588" s="34" t="inlineStr">
        <is>
          <t>R1442-v2</t>
        </is>
      </c>
      <c r="B1588" s="34" t="inlineStr">
        <is>
          <t>Cost &amp; Forecast Control Accounts / CST-05-040</t>
        </is>
      </c>
      <c r="C1588" s="34" t="inlineStr">
        <is>
          <t>Cost Account = CA-5040</t>
        </is>
      </c>
      <c r="D1588" s="34" t="inlineStr">
        <is>
          <t>Proposed by Professional; target UNSURE</t>
        </is>
      </c>
      <c r="E1588" s="34" t="inlineStr">
        <is>
          <t>None recorded</t>
        </is>
      </c>
      <c r="F1588" s="34" t="inlineStr">
        <is>
          <t>Maya Chen, Owner Project Controls: Professional decision</t>
        </is>
      </c>
      <c r="G1588" s="34" t="inlineStr">
        <is>
          <t>Group decision (81 records sharing one decision state)</t>
        </is>
      </c>
      <c r="H1588" s="34" t="inlineStr">
        <is>
          <t xml:space="preserve">APPROVED / UNSURE; </t>
        </is>
      </c>
      <c r="I1588" s="34" t="inlineStr">
        <is>
          <t>New</t>
        </is>
      </c>
      <c r="J1588" s="92" t="inlineStr">
        <is>
          <t>08 CROSSWALK</t>
        </is>
      </c>
    </row>
    <row r="1589" ht="49" customHeight="1">
      <c r="A1589" s="34" t="inlineStr">
        <is>
          <t>R1443-v2</t>
        </is>
      </c>
      <c r="B1589" s="34" t="inlineStr">
        <is>
          <t>Cost &amp; Forecast Control Accounts / CST-05-041</t>
        </is>
      </c>
      <c r="C1589" s="34" t="inlineStr">
        <is>
          <t>Cost Account = CA-5041</t>
        </is>
      </c>
      <c r="D1589" s="34" t="inlineStr">
        <is>
          <t>Proposed by Professional; target UNSURE</t>
        </is>
      </c>
      <c r="E1589" s="34" t="inlineStr">
        <is>
          <t>None recorded</t>
        </is>
      </c>
      <c r="F1589" s="34" t="inlineStr">
        <is>
          <t>Maya Chen, Owner Project Controls: Professional decision</t>
        </is>
      </c>
      <c r="G1589" s="34" t="inlineStr">
        <is>
          <t>Group decision (81 records sharing one decision state)</t>
        </is>
      </c>
      <c r="H1589" s="34" t="inlineStr">
        <is>
          <t xml:space="preserve">APPROVED / UNSURE; </t>
        </is>
      </c>
      <c r="I1589" s="34" t="inlineStr">
        <is>
          <t>New</t>
        </is>
      </c>
      <c r="J1589" s="92" t="inlineStr">
        <is>
          <t>08 CROSSWALK</t>
        </is>
      </c>
    </row>
    <row r="1590" ht="49" customHeight="1">
      <c r="A1590" s="34" t="inlineStr">
        <is>
          <t>R1444-v2</t>
        </is>
      </c>
      <c r="B1590" s="34" t="inlineStr">
        <is>
          <t>Cost &amp; Forecast Control Accounts / CST-05-042</t>
        </is>
      </c>
      <c r="C1590" s="34" t="inlineStr">
        <is>
          <t>Cost Account = CA-5042</t>
        </is>
      </c>
      <c r="D1590" s="34" t="inlineStr">
        <is>
          <t>Proposed by Professional; target UNSURE</t>
        </is>
      </c>
      <c r="E1590" s="34" t="inlineStr">
        <is>
          <t>None recorded</t>
        </is>
      </c>
      <c r="F1590" s="34" t="inlineStr">
        <is>
          <t>Maya Chen, Owner Project Controls: Professional decision</t>
        </is>
      </c>
      <c r="G1590" s="34" t="inlineStr">
        <is>
          <t>Group decision (81 records sharing one decision state)</t>
        </is>
      </c>
      <c r="H1590" s="34" t="inlineStr">
        <is>
          <t xml:space="preserve">APPROVED / UNSURE; </t>
        </is>
      </c>
      <c r="I1590" s="34" t="inlineStr">
        <is>
          <t>New</t>
        </is>
      </c>
      <c r="J1590" s="92" t="inlineStr">
        <is>
          <t>08 CROSSWALK</t>
        </is>
      </c>
    </row>
    <row r="1591" ht="49" customHeight="1">
      <c r="A1591" s="34" t="inlineStr">
        <is>
          <t>R1445-v2</t>
        </is>
      </c>
      <c r="B1591" s="34" t="inlineStr">
        <is>
          <t>Cost &amp; Forecast Control Accounts / CST-05-043</t>
        </is>
      </c>
      <c r="C1591" s="34" t="inlineStr">
        <is>
          <t>Cost Account = CA-5043</t>
        </is>
      </c>
      <c r="D1591" s="34" t="inlineStr">
        <is>
          <t>Proposed by Professional; target UNSURE</t>
        </is>
      </c>
      <c r="E1591" s="34" t="inlineStr">
        <is>
          <t>None recorded</t>
        </is>
      </c>
      <c r="F1591" s="34" t="inlineStr">
        <is>
          <t>Maya Chen, Owner Project Controls: Professional decision</t>
        </is>
      </c>
      <c r="G1591" s="34" t="inlineStr">
        <is>
          <t>Group decision (81 records sharing one decision state)</t>
        </is>
      </c>
      <c r="H1591" s="34" t="inlineStr">
        <is>
          <t xml:space="preserve">APPROVED / UNSURE; </t>
        </is>
      </c>
      <c r="I1591" s="34" t="inlineStr">
        <is>
          <t>New</t>
        </is>
      </c>
      <c r="J1591" s="92" t="inlineStr">
        <is>
          <t>08 CROSSWALK</t>
        </is>
      </c>
    </row>
    <row r="1592" ht="49" customHeight="1">
      <c r="A1592" s="34" t="inlineStr">
        <is>
          <t>R1446-v2</t>
        </is>
      </c>
      <c r="B1592" s="34" t="inlineStr">
        <is>
          <t>Cost &amp; Forecast Control Accounts / CST-05-044</t>
        </is>
      </c>
      <c r="C1592" s="34" t="inlineStr">
        <is>
          <t>Cost Account = CA-5044</t>
        </is>
      </c>
      <c r="D1592" s="34" t="inlineStr">
        <is>
          <t>Proposed by Professional; target UNSURE</t>
        </is>
      </c>
      <c r="E1592" s="34" t="inlineStr">
        <is>
          <t>None recorded</t>
        </is>
      </c>
      <c r="F1592" s="34" t="inlineStr">
        <is>
          <t>Maya Chen, Owner Project Controls: Professional decision</t>
        </is>
      </c>
      <c r="G1592" s="34" t="inlineStr">
        <is>
          <t>Group decision (81 records sharing one decision state)</t>
        </is>
      </c>
      <c r="H1592" s="34" t="inlineStr">
        <is>
          <t xml:space="preserve">APPROVED / UNSURE; </t>
        </is>
      </c>
      <c r="I1592" s="34" t="inlineStr">
        <is>
          <t>New</t>
        </is>
      </c>
      <c r="J1592" s="92" t="inlineStr">
        <is>
          <t>08 CROSSWALK</t>
        </is>
      </c>
    </row>
    <row r="1593" ht="49" customHeight="1">
      <c r="A1593" s="34" t="inlineStr">
        <is>
          <t>R1447-v2</t>
        </is>
      </c>
      <c r="B1593" s="34" t="inlineStr">
        <is>
          <t>Cost &amp; Forecast Control Accounts / CST-05-045</t>
        </is>
      </c>
      <c r="C1593" s="34" t="inlineStr">
        <is>
          <t>Cost Account = CA-5045</t>
        </is>
      </c>
      <c r="D1593" s="34" t="inlineStr">
        <is>
          <t>Proposed by Professional; target UNSURE</t>
        </is>
      </c>
      <c r="E1593" s="34" t="inlineStr">
        <is>
          <t>None recorded</t>
        </is>
      </c>
      <c r="F1593" s="34" t="inlineStr">
        <is>
          <t>Maya Chen, Owner Project Controls: Professional decision</t>
        </is>
      </c>
      <c r="G1593" s="34" t="inlineStr">
        <is>
          <t>Group decision (81 records sharing one decision state)</t>
        </is>
      </c>
      <c r="H1593" s="34" t="inlineStr">
        <is>
          <t xml:space="preserve">APPROVED / UNSURE; </t>
        </is>
      </c>
      <c r="I1593" s="34" t="inlineStr">
        <is>
          <t>New</t>
        </is>
      </c>
      <c r="J1593" s="92" t="inlineStr">
        <is>
          <t>08 CROSSWALK</t>
        </is>
      </c>
    </row>
    <row r="1594" ht="49" customHeight="1">
      <c r="A1594" s="34" t="inlineStr">
        <is>
          <t>R1448-v2</t>
        </is>
      </c>
      <c r="B1594" s="34" t="inlineStr">
        <is>
          <t>Cost &amp; Forecast Control Accounts / CST-05-046</t>
        </is>
      </c>
      <c r="C1594" s="34" t="inlineStr">
        <is>
          <t>Cost Account = CA-5046</t>
        </is>
      </c>
      <c r="D1594" s="34" t="inlineStr">
        <is>
          <t>Proposed by Professional; target UNSURE</t>
        </is>
      </c>
      <c r="E1594" s="34" t="inlineStr">
        <is>
          <t>None recorded</t>
        </is>
      </c>
      <c r="F1594" s="34" t="inlineStr">
        <is>
          <t>Maya Chen, Owner Project Controls: Professional decision</t>
        </is>
      </c>
      <c r="G1594" s="34" t="inlineStr">
        <is>
          <t>Group decision (81 records sharing one decision state)</t>
        </is>
      </c>
      <c r="H1594" s="34" t="inlineStr">
        <is>
          <t xml:space="preserve">APPROVED / UNSURE; </t>
        </is>
      </c>
      <c r="I1594" s="34" t="inlineStr">
        <is>
          <t>New</t>
        </is>
      </c>
      <c r="J1594" s="92" t="inlineStr">
        <is>
          <t>08 CROSSWALK</t>
        </is>
      </c>
    </row>
    <row r="1595" ht="49" customHeight="1">
      <c r="A1595" s="34" t="inlineStr">
        <is>
          <t>R1449-v2</t>
        </is>
      </c>
      <c r="B1595" s="34" t="inlineStr">
        <is>
          <t>Cost &amp; Forecast Control Accounts / CST-05-047</t>
        </is>
      </c>
      <c r="C1595" s="34" t="inlineStr">
        <is>
          <t>Cost Account = CA-5047</t>
        </is>
      </c>
      <c r="D1595" s="34" t="inlineStr">
        <is>
          <t>Proposed by Professional; target UNSURE</t>
        </is>
      </c>
      <c r="E1595" s="34" t="inlineStr">
        <is>
          <t>None recorded</t>
        </is>
      </c>
      <c r="F1595" s="34" t="inlineStr">
        <is>
          <t>Maya Chen, Owner Project Controls: Professional decision</t>
        </is>
      </c>
      <c r="G1595" s="34" t="inlineStr">
        <is>
          <t>Group decision (81 records sharing one decision state)</t>
        </is>
      </c>
      <c r="H1595" s="34" t="inlineStr">
        <is>
          <t xml:space="preserve">APPROVED / UNSURE; </t>
        </is>
      </c>
      <c r="I1595" s="34" t="inlineStr">
        <is>
          <t>New</t>
        </is>
      </c>
      <c r="J1595" s="92" t="inlineStr">
        <is>
          <t>08 CROSSWALK</t>
        </is>
      </c>
    </row>
    <row r="1596" ht="49" customHeight="1">
      <c r="A1596" s="34" t="inlineStr">
        <is>
          <t>R1450-v2</t>
        </is>
      </c>
      <c r="B1596" s="34" t="inlineStr">
        <is>
          <t>Cost &amp; Forecast Control Accounts / CST-05-048</t>
        </is>
      </c>
      <c r="C1596" s="34" t="inlineStr">
        <is>
          <t>Cost Account = CA-5048</t>
        </is>
      </c>
      <c r="D1596" s="34" t="inlineStr">
        <is>
          <t>Proposed by Professional; target UNSURE</t>
        </is>
      </c>
      <c r="E1596" s="34" t="inlineStr">
        <is>
          <t>None recorded</t>
        </is>
      </c>
      <c r="F1596" s="34" t="inlineStr">
        <is>
          <t>Maya Chen, Owner Project Controls: Professional decision</t>
        </is>
      </c>
      <c r="G1596" s="34" t="inlineStr">
        <is>
          <t>Group decision (81 records sharing one decision state)</t>
        </is>
      </c>
      <c r="H1596" s="34" t="inlineStr">
        <is>
          <t xml:space="preserve">APPROVED / UNSURE; </t>
        </is>
      </c>
      <c r="I1596" s="34" t="inlineStr">
        <is>
          <t>New</t>
        </is>
      </c>
      <c r="J1596" s="92" t="inlineStr">
        <is>
          <t>08 CROSSWALK</t>
        </is>
      </c>
    </row>
    <row r="1597" ht="49" customHeight="1">
      <c r="A1597" s="34" t="inlineStr">
        <is>
          <t>R1451-v2</t>
        </is>
      </c>
      <c r="B1597" s="34" t="inlineStr">
        <is>
          <t>Cost &amp; Forecast Control Accounts / CST-05-049</t>
        </is>
      </c>
      <c r="C1597" s="34" t="inlineStr">
        <is>
          <t>Cost Account = CA-5049</t>
        </is>
      </c>
      <c r="D1597" s="34" t="inlineStr">
        <is>
          <t>Proposed by Professional; target UNSURE</t>
        </is>
      </c>
      <c r="E1597" s="34" t="inlineStr">
        <is>
          <t>None recorded</t>
        </is>
      </c>
      <c r="F1597" s="34" t="inlineStr">
        <is>
          <t>Maya Chen, Owner Project Controls: Professional decision</t>
        </is>
      </c>
      <c r="G1597" s="34" t="inlineStr">
        <is>
          <t>Group decision (81 records sharing one decision state)</t>
        </is>
      </c>
      <c r="H1597" s="34" t="inlineStr">
        <is>
          <t xml:space="preserve">APPROVED / UNSURE; </t>
        </is>
      </c>
      <c r="I1597" s="34" t="inlineStr">
        <is>
          <t>New</t>
        </is>
      </c>
      <c r="J1597" s="92" t="inlineStr">
        <is>
          <t>08 CROSSWALK</t>
        </is>
      </c>
    </row>
    <row r="1598" ht="49" customHeight="1">
      <c r="A1598" s="34" t="inlineStr">
        <is>
          <t>R1452-v2</t>
        </is>
      </c>
      <c r="B1598" s="34" t="inlineStr">
        <is>
          <t>Cost &amp; Forecast Control Accounts / CST-05-050</t>
        </is>
      </c>
      <c r="C1598" s="34" t="inlineStr">
        <is>
          <t>Cost Account = CA-5050</t>
        </is>
      </c>
      <c r="D1598" s="34" t="inlineStr">
        <is>
          <t>Proposed by Professional; target UNSURE</t>
        </is>
      </c>
      <c r="E1598" s="34" t="inlineStr">
        <is>
          <t>None recorded</t>
        </is>
      </c>
      <c r="F1598" s="34" t="inlineStr">
        <is>
          <t>Maya Chen, Owner Project Controls: Professional decision</t>
        </is>
      </c>
      <c r="G1598" s="34" t="inlineStr">
        <is>
          <t>Group decision (81 records sharing one decision state)</t>
        </is>
      </c>
      <c r="H1598" s="34" t="inlineStr">
        <is>
          <t xml:space="preserve">APPROVED / UNSURE; </t>
        </is>
      </c>
      <c r="I1598" s="34" t="inlineStr">
        <is>
          <t>New</t>
        </is>
      </c>
      <c r="J1598" s="92" t="inlineStr">
        <is>
          <t>08 CROSSWALK</t>
        </is>
      </c>
    </row>
    <row r="1599" ht="49" customHeight="1">
      <c r="A1599" s="34" t="inlineStr">
        <is>
          <t>R1453-v2</t>
        </is>
      </c>
      <c r="B1599" s="34" t="inlineStr">
        <is>
          <t>Cost &amp; Forecast Control Accounts / CST-05-051</t>
        </is>
      </c>
      <c r="C1599" s="34" t="inlineStr">
        <is>
          <t>Cost Account = CA-5051</t>
        </is>
      </c>
      <c r="D1599" s="34" t="inlineStr">
        <is>
          <t>Proposed by Professional; target UNSURE</t>
        </is>
      </c>
      <c r="E1599" s="34" t="inlineStr">
        <is>
          <t>None recorded</t>
        </is>
      </c>
      <c r="F1599" s="34" t="inlineStr">
        <is>
          <t>Maya Chen, Owner Project Controls: Professional decision</t>
        </is>
      </c>
      <c r="G1599" s="34" t="inlineStr">
        <is>
          <t>Group decision (81 records sharing one decision state)</t>
        </is>
      </c>
      <c r="H1599" s="34" t="inlineStr">
        <is>
          <t xml:space="preserve">APPROVED / UNSURE; </t>
        </is>
      </c>
      <c r="I1599" s="34" t="inlineStr">
        <is>
          <t>New</t>
        </is>
      </c>
      <c r="J1599" s="92" t="inlineStr">
        <is>
          <t>08 CROSSWALK</t>
        </is>
      </c>
    </row>
    <row r="1600" ht="49" customHeight="1">
      <c r="A1600" s="34" t="inlineStr">
        <is>
          <t>R1454-v2</t>
        </is>
      </c>
      <c r="B1600" s="34" t="inlineStr">
        <is>
          <t>Cost &amp; Forecast Control Accounts / CST-05-052</t>
        </is>
      </c>
      <c r="C1600" s="34" t="inlineStr">
        <is>
          <t>Cost Account = CA-5052</t>
        </is>
      </c>
      <c r="D1600" s="34" t="inlineStr">
        <is>
          <t>Proposed by Professional; target UNSURE</t>
        </is>
      </c>
      <c r="E1600" s="34" t="inlineStr">
        <is>
          <t>None recorded</t>
        </is>
      </c>
      <c r="F1600" s="34" t="inlineStr">
        <is>
          <t>Maya Chen, Owner Project Controls: Professional decision</t>
        </is>
      </c>
      <c r="G1600" s="34" t="inlineStr">
        <is>
          <t>Group decision (81 records sharing one decision state)</t>
        </is>
      </c>
      <c r="H1600" s="34" t="inlineStr">
        <is>
          <t xml:space="preserve">APPROVED / UNSURE; </t>
        </is>
      </c>
      <c r="I1600" s="34" t="inlineStr">
        <is>
          <t>New</t>
        </is>
      </c>
      <c r="J1600" s="92" t="inlineStr">
        <is>
          <t>08 CROSSWALK</t>
        </is>
      </c>
    </row>
    <row r="1601" ht="49" customHeight="1">
      <c r="A1601" s="34" t="inlineStr">
        <is>
          <t>R1455-v2</t>
        </is>
      </c>
      <c r="B1601" s="34" t="inlineStr">
        <is>
          <t>Cost &amp; Forecast Control Accounts / CST-05-053</t>
        </is>
      </c>
      <c r="C1601" s="34" t="inlineStr">
        <is>
          <t>Cost Account = CA-5053</t>
        </is>
      </c>
      <c r="D1601" s="34" t="inlineStr">
        <is>
          <t>Proposed by Professional; target UNSURE</t>
        </is>
      </c>
      <c r="E1601" s="34" t="inlineStr">
        <is>
          <t>None recorded</t>
        </is>
      </c>
      <c r="F1601" s="34" t="inlineStr">
        <is>
          <t>Maya Chen, Owner Project Controls: Professional decision</t>
        </is>
      </c>
      <c r="G1601" s="34" t="inlineStr">
        <is>
          <t>Group decision (81 records sharing one decision state)</t>
        </is>
      </c>
      <c r="H1601" s="34" t="inlineStr">
        <is>
          <t xml:space="preserve">APPROVED / UNSURE; </t>
        </is>
      </c>
      <c r="I1601" s="34" t="inlineStr">
        <is>
          <t>New</t>
        </is>
      </c>
      <c r="J1601" s="92" t="inlineStr">
        <is>
          <t>08 CROSSWALK</t>
        </is>
      </c>
    </row>
    <row r="1602" ht="49" customHeight="1">
      <c r="A1602" s="34" t="inlineStr">
        <is>
          <t>R1456-v2</t>
        </is>
      </c>
      <c r="B1602" s="34" t="inlineStr">
        <is>
          <t>Cost &amp; Forecast Control Accounts / CST-05-054</t>
        </is>
      </c>
      <c r="C1602" s="34" t="inlineStr">
        <is>
          <t>Cost Account = CA-5054</t>
        </is>
      </c>
      <c r="D1602" s="34" t="inlineStr">
        <is>
          <t>Proposed by Professional; target UNSURE</t>
        </is>
      </c>
      <c r="E1602" s="34" t="inlineStr">
        <is>
          <t>None recorded</t>
        </is>
      </c>
      <c r="F1602" s="34" t="inlineStr">
        <is>
          <t>Maya Chen, Owner Project Controls: Professional decision</t>
        </is>
      </c>
      <c r="G1602" s="34" t="inlineStr">
        <is>
          <t>Group decision (81 records sharing one decision state)</t>
        </is>
      </c>
      <c r="H1602" s="34" t="inlineStr">
        <is>
          <t xml:space="preserve">APPROVED / UNSURE; </t>
        </is>
      </c>
      <c r="I1602" s="34" t="inlineStr">
        <is>
          <t>New</t>
        </is>
      </c>
      <c r="J1602" s="92" t="inlineStr">
        <is>
          <t>08 CROSSWALK</t>
        </is>
      </c>
    </row>
    <row r="1603" ht="49" customHeight="1">
      <c r="A1603" s="34" t="inlineStr">
        <is>
          <t>R1457-v2</t>
        </is>
      </c>
      <c r="B1603" s="34" t="inlineStr">
        <is>
          <t>Cost &amp; Forecast Control Accounts / CST-05-055</t>
        </is>
      </c>
      <c r="C1603" s="34" t="inlineStr">
        <is>
          <t>Cost Account = CA-5055</t>
        </is>
      </c>
      <c r="D1603" s="34" t="inlineStr">
        <is>
          <t>Proposed by Professional; target UNSURE</t>
        </is>
      </c>
      <c r="E1603" s="34" t="inlineStr">
        <is>
          <t>None recorded</t>
        </is>
      </c>
      <c r="F1603" s="34" t="inlineStr">
        <is>
          <t>Maya Chen, Owner Project Controls: Professional decision</t>
        </is>
      </c>
      <c r="G1603" s="34" t="inlineStr">
        <is>
          <t>Group decision (81 records sharing one decision state)</t>
        </is>
      </c>
      <c r="H1603" s="34" t="inlineStr">
        <is>
          <t xml:space="preserve">APPROVED / UNSURE; </t>
        </is>
      </c>
      <c r="I1603" s="34" t="inlineStr">
        <is>
          <t>New</t>
        </is>
      </c>
      <c r="J1603" s="92" t="inlineStr">
        <is>
          <t>08 CROSSWALK</t>
        </is>
      </c>
    </row>
    <row r="1604" ht="49" customHeight="1">
      <c r="A1604" s="34" t="inlineStr">
        <is>
          <t>R1458-v2</t>
        </is>
      </c>
      <c r="B1604" s="34" t="inlineStr">
        <is>
          <t>Cost &amp; Forecast Control Accounts / CST-05-056</t>
        </is>
      </c>
      <c r="C1604" s="34" t="inlineStr">
        <is>
          <t>Cost Account = CA-5056</t>
        </is>
      </c>
      <c r="D1604" s="34" t="inlineStr">
        <is>
          <t>Proposed by Professional; target UNSURE</t>
        </is>
      </c>
      <c r="E1604" s="34" t="inlineStr">
        <is>
          <t>None recorded</t>
        </is>
      </c>
      <c r="F1604" s="34" t="inlineStr">
        <is>
          <t>Maya Chen, Owner Project Controls: Professional decision</t>
        </is>
      </c>
      <c r="G1604" s="34" t="inlineStr">
        <is>
          <t>Group decision (81 records sharing one decision state)</t>
        </is>
      </c>
      <c r="H1604" s="34" t="inlineStr">
        <is>
          <t xml:space="preserve">APPROVED / UNSURE; </t>
        </is>
      </c>
      <c r="I1604" s="34" t="inlineStr">
        <is>
          <t>New</t>
        </is>
      </c>
      <c r="J1604" s="92" t="inlineStr">
        <is>
          <t>08 CROSSWALK</t>
        </is>
      </c>
    </row>
    <row r="1605" ht="49" customHeight="1">
      <c r="A1605" s="34" t="inlineStr">
        <is>
          <t>R1459-v2</t>
        </is>
      </c>
      <c r="B1605" s="34" t="inlineStr">
        <is>
          <t>Cost &amp; Forecast Control Accounts / CST-05-057</t>
        </is>
      </c>
      <c r="C1605" s="34" t="inlineStr">
        <is>
          <t>Cost Account = CA-5057</t>
        </is>
      </c>
      <c r="D1605" s="34" t="inlineStr">
        <is>
          <t>Proposed by Professional; target UNSURE</t>
        </is>
      </c>
      <c r="E1605" s="34" t="inlineStr">
        <is>
          <t>None recorded</t>
        </is>
      </c>
      <c r="F1605" s="34" t="inlineStr">
        <is>
          <t>Maya Chen, Owner Project Controls: Professional decision</t>
        </is>
      </c>
      <c r="G1605" s="34" t="inlineStr">
        <is>
          <t>Group decision (81 records sharing one decision state)</t>
        </is>
      </c>
      <c r="H1605" s="34" t="inlineStr">
        <is>
          <t xml:space="preserve">APPROVED / UNSURE; </t>
        </is>
      </c>
      <c r="I1605" s="34" t="inlineStr">
        <is>
          <t>New</t>
        </is>
      </c>
      <c r="J1605" s="92" t="inlineStr">
        <is>
          <t>08 CROSSWALK</t>
        </is>
      </c>
    </row>
    <row r="1606" ht="49" customHeight="1">
      <c r="A1606" s="34" t="inlineStr">
        <is>
          <t>R1460-v2</t>
        </is>
      </c>
      <c r="B1606" s="34" t="inlineStr">
        <is>
          <t>Cost &amp; Forecast Control Accounts / CST-05-058</t>
        </is>
      </c>
      <c r="C1606" s="34" t="inlineStr">
        <is>
          <t>Cost Account = CA-5058</t>
        </is>
      </c>
      <c r="D1606" s="34" t="inlineStr">
        <is>
          <t>Proposed by Professional; target UNSURE</t>
        </is>
      </c>
      <c r="E1606" s="34" t="inlineStr">
        <is>
          <t>None recorded</t>
        </is>
      </c>
      <c r="F1606" s="34" t="inlineStr">
        <is>
          <t>Maya Chen, Owner Project Controls: Professional decision</t>
        </is>
      </c>
      <c r="G1606" s="34" t="inlineStr">
        <is>
          <t>Group decision (81 records sharing one decision state)</t>
        </is>
      </c>
      <c r="H1606" s="34" t="inlineStr">
        <is>
          <t xml:space="preserve">APPROVED / UNSURE; </t>
        </is>
      </c>
      <c r="I1606" s="34" t="inlineStr">
        <is>
          <t>New</t>
        </is>
      </c>
      <c r="J1606" s="92" t="inlineStr">
        <is>
          <t>08 CROSSWALK</t>
        </is>
      </c>
    </row>
    <row r="1607" ht="49" customHeight="1">
      <c r="A1607" s="34" t="inlineStr">
        <is>
          <t>R1461-v2</t>
        </is>
      </c>
      <c r="B1607" s="34" t="inlineStr">
        <is>
          <t>Cost &amp; Forecast Control Accounts / CST-05-059</t>
        </is>
      </c>
      <c r="C1607" s="34" t="inlineStr">
        <is>
          <t>Cost Account = CA-5059</t>
        </is>
      </c>
      <c r="D1607" s="34" t="inlineStr">
        <is>
          <t>Proposed by Professional; target UNSURE</t>
        </is>
      </c>
      <c r="E1607" s="34" t="inlineStr">
        <is>
          <t>None recorded</t>
        </is>
      </c>
      <c r="F1607" s="34" t="inlineStr">
        <is>
          <t>Maya Chen, Owner Project Controls: Professional decision</t>
        </is>
      </c>
      <c r="G1607" s="34" t="inlineStr">
        <is>
          <t>Group decision (81 records sharing one decision state)</t>
        </is>
      </c>
      <c r="H1607" s="34" t="inlineStr">
        <is>
          <t xml:space="preserve">APPROVED / UNSURE; </t>
        </is>
      </c>
      <c r="I1607" s="34" t="inlineStr">
        <is>
          <t>New</t>
        </is>
      </c>
      <c r="J1607" s="92" t="inlineStr">
        <is>
          <t>08 CROSSWALK</t>
        </is>
      </c>
    </row>
    <row r="1608" ht="49" customHeight="1">
      <c r="A1608" s="34" t="inlineStr">
        <is>
          <t>R1462-v2</t>
        </is>
      </c>
      <c r="B1608" s="34" t="inlineStr">
        <is>
          <t>Cost &amp; Forecast Control Accounts / CST-05-060</t>
        </is>
      </c>
      <c r="C1608" s="34" t="inlineStr">
        <is>
          <t>Cost Account = CA-5060</t>
        </is>
      </c>
      <c r="D1608" s="34" t="inlineStr">
        <is>
          <t>Proposed by Professional; target UNSURE</t>
        </is>
      </c>
      <c r="E1608" s="34" t="inlineStr">
        <is>
          <t>None recorded</t>
        </is>
      </c>
      <c r="F1608" s="34" t="inlineStr">
        <is>
          <t>Maya Chen, Owner Project Controls: Professional decision</t>
        </is>
      </c>
      <c r="G1608" s="34" t="inlineStr">
        <is>
          <t>Group decision (81 records sharing one decision state)</t>
        </is>
      </c>
      <c r="H1608" s="34" t="inlineStr">
        <is>
          <t xml:space="preserve">APPROVED / UNSURE; </t>
        </is>
      </c>
      <c r="I1608" s="34" t="inlineStr">
        <is>
          <t>New</t>
        </is>
      </c>
      <c r="J1608" s="92" t="inlineStr">
        <is>
          <t>08 CROSSWALK</t>
        </is>
      </c>
    </row>
    <row r="1609" ht="49" customHeight="1">
      <c r="A1609" s="34" t="inlineStr">
        <is>
          <t>R1463-v2</t>
        </is>
      </c>
      <c r="B1609" s="34" t="inlineStr">
        <is>
          <t>Cost &amp; Forecast Control Accounts / CST-05-061</t>
        </is>
      </c>
      <c r="C1609" s="34" t="inlineStr">
        <is>
          <t>Cost Account = CA-5061</t>
        </is>
      </c>
      <c r="D1609" s="34" t="inlineStr">
        <is>
          <t>Proposed by Professional; target UNSURE</t>
        </is>
      </c>
      <c r="E1609" s="34" t="inlineStr">
        <is>
          <t>None recorded</t>
        </is>
      </c>
      <c r="F1609" s="34" t="inlineStr">
        <is>
          <t>Maya Chen, Owner Project Controls: Professional decision</t>
        </is>
      </c>
      <c r="G1609" s="34" t="inlineStr">
        <is>
          <t>Group decision (81 records sharing one decision state)</t>
        </is>
      </c>
      <c r="H1609" s="34" t="inlineStr">
        <is>
          <t xml:space="preserve">APPROVED / UNSURE; </t>
        </is>
      </c>
      <c r="I1609" s="34" t="inlineStr">
        <is>
          <t>New</t>
        </is>
      </c>
      <c r="J1609" s="92" t="inlineStr">
        <is>
          <t>08 CROSSWALK</t>
        </is>
      </c>
    </row>
    <row r="1610" ht="49" customHeight="1">
      <c r="A1610" s="34" t="inlineStr">
        <is>
          <t>R1464-v2</t>
        </is>
      </c>
      <c r="B1610" s="34" t="inlineStr">
        <is>
          <t>Cost &amp; Forecast Control Accounts / CST-05-062</t>
        </is>
      </c>
      <c r="C1610" s="34" t="inlineStr">
        <is>
          <t>Cost Account = CA-5062</t>
        </is>
      </c>
      <c r="D1610" s="34" t="inlineStr">
        <is>
          <t>Proposed by Professional; target UNSURE</t>
        </is>
      </c>
      <c r="E1610" s="34" t="inlineStr">
        <is>
          <t>None recorded</t>
        </is>
      </c>
      <c r="F1610" s="34" t="inlineStr">
        <is>
          <t>Maya Chen, Owner Project Controls: Professional decision</t>
        </is>
      </c>
      <c r="G1610" s="34" t="inlineStr">
        <is>
          <t>Group decision (81 records sharing one decision state)</t>
        </is>
      </c>
      <c r="H1610" s="34" t="inlineStr">
        <is>
          <t xml:space="preserve">APPROVED / UNSURE; </t>
        </is>
      </c>
      <c r="I1610" s="34" t="inlineStr">
        <is>
          <t>New</t>
        </is>
      </c>
      <c r="J1610" s="92" t="inlineStr">
        <is>
          <t>08 CROSSWALK</t>
        </is>
      </c>
    </row>
    <row r="1611" ht="49" customHeight="1">
      <c r="A1611" s="34" t="inlineStr">
        <is>
          <t>R1465-v2</t>
        </is>
      </c>
      <c r="B1611" s="34" t="inlineStr">
        <is>
          <t>Cost &amp; Forecast Control Accounts / CST-05-063</t>
        </is>
      </c>
      <c r="C1611" s="34" t="inlineStr">
        <is>
          <t>Cost Account = CA-5063</t>
        </is>
      </c>
      <c r="D1611" s="34" t="inlineStr">
        <is>
          <t>Proposed by Professional; target UNSURE</t>
        </is>
      </c>
      <c r="E1611" s="34" t="inlineStr">
        <is>
          <t>None recorded</t>
        </is>
      </c>
      <c r="F1611" s="34" t="inlineStr">
        <is>
          <t>Maya Chen, Owner Project Controls: Professional decision</t>
        </is>
      </c>
      <c r="G1611" s="34" t="inlineStr">
        <is>
          <t>Group decision (81 records sharing one decision state)</t>
        </is>
      </c>
      <c r="H1611" s="34" t="inlineStr">
        <is>
          <t xml:space="preserve">APPROVED / UNSURE; </t>
        </is>
      </c>
      <c r="I1611" s="34" t="inlineStr">
        <is>
          <t>New</t>
        </is>
      </c>
      <c r="J1611" s="92" t="inlineStr">
        <is>
          <t>08 CROSSWALK</t>
        </is>
      </c>
    </row>
    <row r="1612" ht="49" customHeight="1">
      <c r="A1612" s="34" t="inlineStr">
        <is>
          <t>R1466-v2</t>
        </is>
      </c>
      <c r="B1612" s="34" t="inlineStr">
        <is>
          <t>Cost &amp; Forecast Control Accounts / CST-05-064</t>
        </is>
      </c>
      <c r="C1612" s="34" t="inlineStr">
        <is>
          <t>Cost Account = CA-5064</t>
        </is>
      </c>
      <c r="D1612" s="34" t="inlineStr">
        <is>
          <t>Proposed by Professional; target UNSURE</t>
        </is>
      </c>
      <c r="E1612" s="34" t="inlineStr">
        <is>
          <t>None recorded</t>
        </is>
      </c>
      <c r="F1612" s="34" t="inlineStr">
        <is>
          <t>Maya Chen, Owner Project Controls: Professional decision</t>
        </is>
      </c>
      <c r="G1612" s="34" t="inlineStr">
        <is>
          <t>Group decision (81 records sharing one decision state)</t>
        </is>
      </c>
      <c r="H1612" s="34" t="inlineStr">
        <is>
          <t xml:space="preserve">APPROVED / UNSURE; </t>
        </is>
      </c>
      <c r="I1612" s="34" t="inlineStr">
        <is>
          <t>New</t>
        </is>
      </c>
      <c r="J1612" s="92" t="inlineStr">
        <is>
          <t>08 CROSSWALK</t>
        </is>
      </c>
    </row>
    <row r="1613" ht="49" customHeight="1">
      <c r="A1613" s="34" t="inlineStr">
        <is>
          <t>R1467-v2</t>
        </is>
      </c>
      <c r="B1613" s="34" t="inlineStr">
        <is>
          <t>Cost &amp; Forecast Control Accounts / CST-05-065</t>
        </is>
      </c>
      <c r="C1613" s="34" t="inlineStr">
        <is>
          <t>Cost Account = CA-5065</t>
        </is>
      </c>
      <c r="D1613" s="34" t="inlineStr">
        <is>
          <t>Proposed by Professional; target UNSURE</t>
        </is>
      </c>
      <c r="E1613" s="34" t="inlineStr">
        <is>
          <t>None recorded</t>
        </is>
      </c>
      <c r="F1613" s="34" t="inlineStr">
        <is>
          <t>Maya Chen, Owner Project Controls: Professional decision</t>
        </is>
      </c>
      <c r="G1613" s="34" t="inlineStr">
        <is>
          <t>Group decision (81 records sharing one decision state)</t>
        </is>
      </c>
      <c r="H1613" s="34" t="inlineStr">
        <is>
          <t xml:space="preserve">APPROVED / UNSURE; </t>
        </is>
      </c>
      <c r="I1613" s="34" t="inlineStr">
        <is>
          <t>New</t>
        </is>
      </c>
      <c r="J1613" s="92" t="inlineStr">
        <is>
          <t>08 CROSSWALK</t>
        </is>
      </c>
    </row>
    <row r="1614" ht="49" customHeight="1">
      <c r="A1614" s="34" t="inlineStr">
        <is>
          <t>R1468-v2</t>
        </is>
      </c>
      <c r="B1614" s="34" t="inlineStr">
        <is>
          <t>Cost &amp; Forecast Control Accounts / CST-05-066</t>
        </is>
      </c>
      <c r="C1614" s="34" t="inlineStr">
        <is>
          <t>Cost Account = CA-5066</t>
        </is>
      </c>
      <c r="D1614" s="34" t="inlineStr">
        <is>
          <t>Proposed by Professional; target UNSURE</t>
        </is>
      </c>
      <c r="E1614" s="34" t="inlineStr">
        <is>
          <t>None recorded</t>
        </is>
      </c>
      <c r="F1614" s="34" t="inlineStr">
        <is>
          <t>Maya Chen, Owner Project Controls: Professional decision</t>
        </is>
      </c>
      <c r="G1614" s="34" t="inlineStr">
        <is>
          <t>Group decision (81 records sharing one decision state)</t>
        </is>
      </c>
      <c r="H1614" s="34" t="inlineStr">
        <is>
          <t xml:space="preserve">APPROVED / UNSURE; </t>
        </is>
      </c>
      <c r="I1614" s="34" t="inlineStr">
        <is>
          <t>New</t>
        </is>
      </c>
      <c r="J1614" s="92" t="inlineStr">
        <is>
          <t>08 CROSSWALK</t>
        </is>
      </c>
    </row>
    <row r="1615" ht="49" customHeight="1">
      <c r="A1615" s="34" t="inlineStr">
        <is>
          <t>R1469-v2</t>
        </is>
      </c>
      <c r="B1615" s="34" t="inlineStr">
        <is>
          <t>Cost &amp; Forecast Control Accounts / CST-05-067</t>
        </is>
      </c>
      <c r="C1615" s="34" t="inlineStr">
        <is>
          <t>Cost Account = CA-5067</t>
        </is>
      </c>
      <c r="D1615" s="34" t="inlineStr">
        <is>
          <t>Proposed by Professional; target UNSURE</t>
        </is>
      </c>
      <c r="E1615" s="34" t="inlineStr">
        <is>
          <t>None recorded</t>
        </is>
      </c>
      <c r="F1615" s="34" t="inlineStr">
        <is>
          <t>Maya Chen, Owner Project Controls: Professional decision</t>
        </is>
      </c>
      <c r="G1615" s="34" t="inlineStr">
        <is>
          <t>Group decision (81 records sharing one decision state)</t>
        </is>
      </c>
      <c r="H1615" s="34" t="inlineStr">
        <is>
          <t xml:space="preserve">APPROVED / UNSURE; </t>
        </is>
      </c>
      <c r="I1615" s="34" t="inlineStr">
        <is>
          <t>New</t>
        </is>
      </c>
      <c r="J1615" s="92" t="inlineStr">
        <is>
          <t>08 CROSSWALK</t>
        </is>
      </c>
    </row>
    <row r="1616" ht="49" customHeight="1">
      <c r="A1616" s="34" t="inlineStr">
        <is>
          <t>R1470-v2</t>
        </is>
      </c>
      <c r="B1616" s="34" t="inlineStr">
        <is>
          <t>Cost &amp; Forecast Control Accounts / CST-05-068</t>
        </is>
      </c>
      <c r="C1616" s="34" t="inlineStr">
        <is>
          <t>Cost Account = CA-5068</t>
        </is>
      </c>
      <c r="D1616" s="34" t="inlineStr">
        <is>
          <t>Proposed by Professional; target UNSURE</t>
        </is>
      </c>
      <c r="E1616" s="34" t="inlineStr">
        <is>
          <t>None recorded</t>
        </is>
      </c>
      <c r="F1616" s="34" t="inlineStr">
        <is>
          <t>Maya Chen, Owner Project Controls: Professional decision</t>
        </is>
      </c>
      <c r="G1616" s="34" t="inlineStr">
        <is>
          <t>Group decision (81 records sharing one decision state)</t>
        </is>
      </c>
      <c r="H1616" s="34" t="inlineStr">
        <is>
          <t xml:space="preserve">APPROVED / UNSURE; </t>
        </is>
      </c>
      <c r="I1616" s="34" t="inlineStr">
        <is>
          <t>New</t>
        </is>
      </c>
      <c r="J1616" s="92" t="inlineStr">
        <is>
          <t>08 CROSSWALK</t>
        </is>
      </c>
    </row>
    <row r="1617" ht="49" customHeight="1">
      <c r="A1617" s="34" t="inlineStr">
        <is>
          <t>R1471-v2</t>
        </is>
      </c>
      <c r="B1617" s="34" t="inlineStr">
        <is>
          <t>Cost &amp; Forecast Control Accounts / CST-05-069</t>
        </is>
      </c>
      <c r="C1617" s="34" t="inlineStr">
        <is>
          <t>Cost Account = CA-5069</t>
        </is>
      </c>
      <c r="D1617" s="34" t="inlineStr">
        <is>
          <t>Proposed by Professional; target UNSURE</t>
        </is>
      </c>
      <c r="E1617" s="34" t="inlineStr">
        <is>
          <t>None recorded</t>
        </is>
      </c>
      <c r="F1617" s="34" t="inlineStr">
        <is>
          <t>Maya Chen, Owner Project Controls: Professional decision</t>
        </is>
      </c>
      <c r="G1617" s="34" t="inlineStr">
        <is>
          <t>Group decision (81 records sharing one decision state)</t>
        </is>
      </c>
      <c r="H1617" s="34" t="inlineStr">
        <is>
          <t xml:space="preserve">APPROVED / UNSURE; </t>
        </is>
      </c>
      <c r="I1617" s="34" t="inlineStr">
        <is>
          <t>New</t>
        </is>
      </c>
      <c r="J1617" s="92" t="inlineStr">
        <is>
          <t>08 CROSSWALK</t>
        </is>
      </c>
    </row>
    <row r="1618" ht="49" customHeight="1">
      <c r="A1618" s="34" t="inlineStr">
        <is>
          <t>R1472-v2</t>
        </is>
      </c>
      <c r="B1618" s="34" t="inlineStr">
        <is>
          <t>Cost &amp; Forecast Control Accounts / CST-05-070</t>
        </is>
      </c>
      <c r="C1618" s="34" t="inlineStr">
        <is>
          <t>Cost Account = CA-5070</t>
        </is>
      </c>
      <c r="D1618" s="34" t="inlineStr">
        <is>
          <t>Proposed by Professional; target UNSURE</t>
        </is>
      </c>
      <c r="E1618" s="34" t="inlineStr">
        <is>
          <t>None recorded</t>
        </is>
      </c>
      <c r="F1618" s="34" t="inlineStr">
        <is>
          <t>Maya Chen, Owner Project Controls: Professional decision</t>
        </is>
      </c>
      <c r="G1618" s="34" t="inlineStr">
        <is>
          <t>Group decision (81 records sharing one decision state)</t>
        </is>
      </c>
      <c r="H1618" s="34" t="inlineStr">
        <is>
          <t xml:space="preserve">APPROVED / UNSURE; </t>
        </is>
      </c>
      <c r="I1618" s="34" t="inlineStr">
        <is>
          <t>New</t>
        </is>
      </c>
      <c r="J1618" s="92" t="inlineStr">
        <is>
          <t>08 CROSSWALK</t>
        </is>
      </c>
    </row>
    <row r="1619" ht="49" customHeight="1">
      <c r="A1619" s="34" t="inlineStr">
        <is>
          <t>R1473-v2</t>
        </is>
      </c>
      <c r="B1619" s="34" t="inlineStr">
        <is>
          <t>Cost &amp; Forecast Control Accounts / CST-05-071</t>
        </is>
      </c>
      <c r="C1619" s="34" t="inlineStr">
        <is>
          <t>Cost Account = CA-5071</t>
        </is>
      </c>
      <c r="D1619" s="34" t="inlineStr">
        <is>
          <t>Proposed by Professional; target UNSURE</t>
        </is>
      </c>
      <c r="E1619" s="34" t="inlineStr">
        <is>
          <t>None recorded</t>
        </is>
      </c>
      <c r="F1619" s="34" t="inlineStr">
        <is>
          <t>Maya Chen, Owner Project Controls: Professional decision</t>
        </is>
      </c>
      <c r="G1619" s="34" t="inlineStr">
        <is>
          <t>Group decision (81 records sharing one decision state)</t>
        </is>
      </c>
      <c r="H1619" s="34" t="inlineStr">
        <is>
          <t xml:space="preserve">APPROVED / UNSURE; </t>
        </is>
      </c>
      <c r="I1619" s="34" t="inlineStr">
        <is>
          <t>New</t>
        </is>
      </c>
      <c r="J1619" s="92" t="inlineStr">
        <is>
          <t>08 CROSSWALK</t>
        </is>
      </c>
    </row>
    <row r="1620" ht="49" customHeight="1">
      <c r="A1620" s="34" t="inlineStr">
        <is>
          <t>R1474-v2</t>
        </is>
      </c>
      <c r="B1620" s="34" t="inlineStr">
        <is>
          <t>Cost &amp; Forecast Control Accounts / CST-05-072</t>
        </is>
      </c>
      <c r="C1620" s="34" t="inlineStr">
        <is>
          <t>Cost Account = CA-5072</t>
        </is>
      </c>
      <c r="D1620" s="34" t="inlineStr">
        <is>
          <t>Proposed by Professional; target UNSURE</t>
        </is>
      </c>
      <c r="E1620" s="34" t="inlineStr">
        <is>
          <t>None recorded</t>
        </is>
      </c>
      <c r="F1620" s="34" t="inlineStr">
        <is>
          <t>Maya Chen, Owner Project Controls: Professional decision</t>
        </is>
      </c>
      <c r="G1620" s="34" t="inlineStr">
        <is>
          <t>Group decision (81 records sharing one decision state)</t>
        </is>
      </c>
      <c r="H1620" s="34" t="inlineStr">
        <is>
          <t xml:space="preserve">APPROVED / UNSURE; </t>
        </is>
      </c>
      <c r="I1620" s="34" t="inlineStr">
        <is>
          <t>New</t>
        </is>
      </c>
      <c r="J1620" s="92" t="inlineStr">
        <is>
          <t>08 CROSSWALK</t>
        </is>
      </c>
    </row>
    <row r="1621" ht="49" customHeight="1">
      <c r="A1621" s="34" t="inlineStr">
        <is>
          <t>R1475-v2</t>
        </is>
      </c>
      <c r="B1621" s="34" t="inlineStr">
        <is>
          <t>Cost &amp; Forecast Control Accounts / CST-05-073</t>
        </is>
      </c>
      <c r="C1621" s="34" t="inlineStr">
        <is>
          <t>Cost Account = CA-5073</t>
        </is>
      </c>
      <c r="D1621" s="34" t="inlineStr">
        <is>
          <t>Proposed by Professional; target UNSURE</t>
        </is>
      </c>
      <c r="E1621" s="34" t="inlineStr">
        <is>
          <t>None recorded</t>
        </is>
      </c>
      <c r="F1621" s="34" t="inlineStr">
        <is>
          <t>Maya Chen, Owner Project Controls: Professional decision</t>
        </is>
      </c>
      <c r="G1621" s="34" t="inlineStr">
        <is>
          <t>Group decision (81 records sharing one decision state)</t>
        </is>
      </c>
      <c r="H1621" s="34" t="inlineStr">
        <is>
          <t xml:space="preserve">APPROVED / UNSURE; </t>
        </is>
      </c>
      <c r="I1621" s="34" t="inlineStr">
        <is>
          <t>New</t>
        </is>
      </c>
      <c r="J1621" s="92" t="inlineStr">
        <is>
          <t>08 CROSSWALK</t>
        </is>
      </c>
    </row>
    <row r="1622" ht="49" customHeight="1">
      <c r="A1622" s="34" t="inlineStr">
        <is>
          <t>R1476-v2</t>
        </is>
      </c>
      <c r="B1622" s="34" t="inlineStr">
        <is>
          <t>Cost &amp; Forecast Control Accounts / CST-05-074</t>
        </is>
      </c>
      <c r="C1622" s="34" t="inlineStr">
        <is>
          <t>Cost Account = CA-5074</t>
        </is>
      </c>
      <c r="D1622" s="34" t="inlineStr">
        <is>
          <t>Proposed by Professional; target UNSURE</t>
        </is>
      </c>
      <c r="E1622" s="34" t="inlineStr">
        <is>
          <t>None recorded</t>
        </is>
      </c>
      <c r="F1622" s="34" t="inlineStr">
        <is>
          <t>Maya Chen, Owner Project Controls: Professional decision</t>
        </is>
      </c>
      <c r="G1622" s="34" t="inlineStr">
        <is>
          <t>Group decision (81 records sharing one decision state)</t>
        </is>
      </c>
      <c r="H1622" s="34" t="inlineStr">
        <is>
          <t xml:space="preserve">APPROVED / UNSURE; </t>
        </is>
      </c>
      <c r="I1622" s="34" t="inlineStr">
        <is>
          <t>New</t>
        </is>
      </c>
      <c r="J1622" s="92" t="inlineStr">
        <is>
          <t>08 CROSSWALK</t>
        </is>
      </c>
    </row>
    <row r="1623" ht="49" customHeight="1">
      <c r="A1623" s="34" t="inlineStr">
        <is>
          <t>R1477-v2</t>
        </is>
      </c>
      <c r="B1623" s="34" t="inlineStr">
        <is>
          <t>Cost &amp; Forecast Control Accounts / CST-05-075</t>
        </is>
      </c>
      <c r="C1623" s="34" t="inlineStr">
        <is>
          <t>Cost Account = CA-5075</t>
        </is>
      </c>
      <c r="D1623" s="34" t="inlineStr">
        <is>
          <t>Proposed by Professional; target UNSURE</t>
        </is>
      </c>
      <c r="E1623" s="34" t="inlineStr">
        <is>
          <t>None recorded</t>
        </is>
      </c>
      <c r="F1623" s="34" t="inlineStr">
        <is>
          <t>Maya Chen, Owner Project Controls: Professional decision</t>
        </is>
      </c>
      <c r="G1623" s="34" t="inlineStr">
        <is>
          <t>Group decision (81 records sharing one decision state)</t>
        </is>
      </c>
      <c r="H1623" s="34" t="inlineStr">
        <is>
          <t xml:space="preserve">APPROVED / UNSURE; </t>
        </is>
      </c>
      <c r="I1623" s="34" t="inlineStr">
        <is>
          <t>New</t>
        </is>
      </c>
      <c r="J1623" s="92" t="inlineStr">
        <is>
          <t>08 CROSSWALK</t>
        </is>
      </c>
    </row>
    <row r="1624" ht="49" customHeight="1">
      <c r="A1624" s="34" t="inlineStr">
        <is>
          <t>R1478-v2</t>
        </is>
      </c>
      <c r="B1624" s="34" t="inlineStr">
        <is>
          <t>Cost &amp; Forecast Control Accounts / CST-05-076</t>
        </is>
      </c>
      <c r="C1624" s="34" t="inlineStr">
        <is>
          <t>Cost Account = CA-5076</t>
        </is>
      </c>
      <c r="D1624" s="34" t="inlineStr">
        <is>
          <t>Proposed by Professional; target UNSURE</t>
        </is>
      </c>
      <c r="E1624" s="34" t="inlineStr">
        <is>
          <t>None recorded</t>
        </is>
      </c>
      <c r="F1624" s="34" t="inlineStr">
        <is>
          <t>Maya Chen, Owner Project Controls: Professional decision</t>
        </is>
      </c>
      <c r="G1624" s="34" t="inlineStr">
        <is>
          <t>Group decision (81 records sharing one decision state)</t>
        </is>
      </c>
      <c r="H1624" s="34" t="inlineStr">
        <is>
          <t xml:space="preserve">APPROVED / UNSURE; </t>
        </is>
      </c>
      <c r="I1624" s="34" t="inlineStr">
        <is>
          <t>New</t>
        </is>
      </c>
      <c r="J1624" s="92" t="inlineStr">
        <is>
          <t>08 CROSSWALK</t>
        </is>
      </c>
    </row>
    <row r="1625" ht="49" customHeight="1">
      <c r="A1625" s="34" t="inlineStr">
        <is>
          <t>R1479-v2</t>
        </is>
      </c>
      <c r="B1625" s="34" t="inlineStr">
        <is>
          <t>Cost &amp; Forecast Control Accounts / CST-05-077</t>
        </is>
      </c>
      <c r="C1625" s="34" t="inlineStr">
        <is>
          <t>Cost Account = CA-5077</t>
        </is>
      </c>
      <c r="D1625" s="34" t="inlineStr">
        <is>
          <t>Proposed by Professional; target UNSURE</t>
        </is>
      </c>
      <c r="E1625" s="34" t="inlineStr">
        <is>
          <t>None recorded</t>
        </is>
      </c>
      <c r="F1625" s="34" t="inlineStr">
        <is>
          <t>Maya Chen, Owner Project Controls: Professional decision</t>
        </is>
      </c>
      <c r="G1625" s="34" t="inlineStr">
        <is>
          <t>Group decision (81 records sharing one decision state)</t>
        </is>
      </c>
      <c r="H1625" s="34" t="inlineStr">
        <is>
          <t xml:space="preserve">APPROVED / UNSURE; </t>
        </is>
      </c>
      <c r="I1625" s="34" t="inlineStr">
        <is>
          <t>New</t>
        </is>
      </c>
      <c r="J1625" s="92" t="inlineStr">
        <is>
          <t>08 CROSSWALK</t>
        </is>
      </c>
    </row>
    <row r="1626" ht="49" customHeight="1">
      <c r="A1626" s="34" t="inlineStr">
        <is>
          <t>R1480-v2</t>
        </is>
      </c>
      <c r="B1626" s="34" t="inlineStr">
        <is>
          <t>Cost &amp; Forecast Control Accounts / CST-05-078</t>
        </is>
      </c>
      <c r="C1626" s="34" t="inlineStr">
        <is>
          <t>Cost Account = CA-5078</t>
        </is>
      </c>
      <c r="D1626" s="34" t="inlineStr">
        <is>
          <t>Proposed by Professional; target UNSURE</t>
        </is>
      </c>
      <c r="E1626" s="34" t="inlineStr">
        <is>
          <t>None recorded</t>
        </is>
      </c>
      <c r="F1626" s="34" t="inlineStr">
        <is>
          <t>Maya Chen, Owner Project Controls: Professional decision</t>
        </is>
      </c>
      <c r="G1626" s="34" t="inlineStr">
        <is>
          <t>Group decision (81 records sharing one decision state)</t>
        </is>
      </c>
      <c r="H1626" s="34" t="inlineStr">
        <is>
          <t xml:space="preserve">APPROVED / UNSURE; </t>
        </is>
      </c>
      <c r="I1626" s="34" t="inlineStr">
        <is>
          <t>New</t>
        </is>
      </c>
      <c r="J1626" s="92" t="inlineStr">
        <is>
          <t>08 CROSSWALK</t>
        </is>
      </c>
    </row>
    <row r="1627" ht="49" customHeight="1">
      <c r="A1627" s="34" t="inlineStr">
        <is>
          <t>R1481-v2</t>
        </is>
      </c>
      <c r="B1627" s="34" t="inlineStr">
        <is>
          <t>Cost &amp; Forecast Control Accounts / CST-05-079</t>
        </is>
      </c>
      <c r="C1627" s="34" t="inlineStr">
        <is>
          <t>Cost Account = CA-5079</t>
        </is>
      </c>
      <c r="D1627" s="34" t="inlineStr">
        <is>
          <t>Proposed by Professional; target UNSURE</t>
        </is>
      </c>
      <c r="E1627" s="34" t="inlineStr">
        <is>
          <t>None recorded</t>
        </is>
      </c>
      <c r="F1627" s="34" t="inlineStr">
        <is>
          <t>Maya Chen, Owner Project Controls: Professional decision</t>
        </is>
      </c>
      <c r="G1627" s="34" t="inlineStr">
        <is>
          <t>Group decision (81 records sharing one decision state)</t>
        </is>
      </c>
      <c r="H1627" s="34" t="inlineStr">
        <is>
          <t xml:space="preserve">APPROVED / UNSURE; </t>
        </is>
      </c>
      <c r="I1627" s="34" t="inlineStr">
        <is>
          <t>New</t>
        </is>
      </c>
      <c r="J1627" s="92" t="inlineStr">
        <is>
          <t>08 CROSSWALK</t>
        </is>
      </c>
    </row>
    <row r="1628" ht="49" customHeight="1">
      <c r="A1628" s="34" t="inlineStr">
        <is>
          <t>R1482-v2</t>
        </is>
      </c>
      <c r="B1628" s="34" t="inlineStr">
        <is>
          <t>Cost &amp; Forecast Control Accounts / CST-05-080</t>
        </is>
      </c>
      <c r="C1628" s="34" t="inlineStr">
        <is>
          <t>Cost Account = CA-5080</t>
        </is>
      </c>
      <c r="D1628" s="34" t="inlineStr">
        <is>
          <t>Proposed by Professional; target UNSURE</t>
        </is>
      </c>
      <c r="E1628" s="34" t="inlineStr">
        <is>
          <t>None recorded</t>
        </is>
      </c>
      <c r="F1628" s="34" t="inlineStr">
        <is>
          <t>Maya Chen, Owner Project Controls: Professional decision</t>
        </is>
      </c>
      <c r="G1628" s="34" t="inlineStr">
        <is>
          <t>Group decision (81 records sharing one decision state)</t>
        </is>
      </c>
      <c r="H1628" s="34" t="inlineStr">
        <is>
          <t xml:space="preserve">APPROVED / UNSURE; </t>
        </is>
      </c>
      <c r="I1628" s="34" t="inlineStr">
        <is>
          <t>New</t>
        </is>
      </c>
      <c r="J1628" s="92" t="inlineStr">
        <is>
          <t>08 CROSSWALK</t>
        </is>
      </c>
    </row>
  </sheetData>
  <autoFilter ref="A5:J1628"/>
  <mergeCells count="1">
    <mergeCell ref="A2:B2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J6" r:id="rId9"/>
    <hyperlink xmlns:r="http://schemas.openxmlformats.org/officeDocument/2006/relationships" ref="J7" r:id="rId10"/>
    <hyperlink xmlns:r="http://schemas.openxmlformats.org/officeDocument/2006/relationships" ref="J8" r:id="rId11"/>
    <hyperlink xmlns:r="http://schemas.openxmlformats.org/officeDocument/2006/relationships" ref="J9" r:id="rId12"/>
    <hyperlink xmlns:r="http://schemas.openxmlformats.org/officeDocument/2006/relationships" ref="J10" r:id="rId13"/>
    <hyperlink xmlns:r="http://schemas.openxmlformats.org/officeDocument/2006/relationships" ref="J11" r:id="rId14"/>
    <hyperlink xmlns:r="http://schemas.openxmlformats.org/officeDocument/2006/relationships" ref="J12" r:id="rId15"/>
    <hyperlink xmlns:r="http://schemas.openxmlformats.org/officeDocument/2006/relationships" ref="J13" r:id="rId16"/>
    <hyperlink xmlns:r="http://schemas.openxmlformats.org/officeDocument/2006/relationships" ref="J14" r:id="rId17"/>
    <hyperlink xmlns:r="http://schemas.openxmlformats.org/officeDocument/2006/relationships" ref="J15" r:id="rId18"/>
    <hyperlink xmlns:r="http://schemas.openxmlformats.org/officeDocument/2006/relationships" ref="J16" r:id="rId19"/>
    <hyperlink xmlns:r="http://schemas.openxmlformats.org/officeDocument/2006/relationships" ref="J17" r:id="rId20"/>
    <hyperlink xmlns:r="http://schemas.openxmlformats.org/officeDocument/2006/relationships" ref="J18" r:id="rId21"/>
    <hyperlink xmlns:r="http://schemas.openxmlformats.org/officeDocument/2006/relationships" ref="J19" r:id="rId22"/>
    <hyperlink xmlns:r="http://schemas.openxmlformats.org/officeDocument/2006/relationships" ref="J20" r:id="rId23"/>
    <hyperlink xmlns:r="http://schemas.openxmlformats.org/officeDocument/2006/relationships" ref="J21" r:id="rId24"/>
    <hyperlink xmlns:r="http://schemas.openxmlformats.org/officeDocument/2006/relationships" ref="J22" r:id="rId25"/>
    <hyperlink xmlns:r="http://schemas.openxmlformats.org/officeDocument/2006/relationships" ref="J23" r:id="rId26"/>
    <hyperlink xmlns:r="http://schemas.openxmlformats.org/officeDocument/2006/relationships" ref="J24" r:id="rId27"/>
    <hyperlink xmlns:r="http://schemas.openxmlformats.org/officeDocument/2006/relationships" ref="J25" r:id="rId28"/>
    <hyperlink xmlns:r="http://schemas.openxmlformats.org/officeDocument/2006/relationships" ref="J26" r:id="rId29"/>
    <hyperlink xmlns:r="http://schemas.openxmlformats.org/officeDocument/2006/relationships" ref="J27" r:id="rId30"/>
    <hyperlink xmlns:r="http://schemas.openxmlformats.org/officeDocument/2006/relationships" ref="J28" r:id="rId31"/>
    <hyperlink xmlns:r="http://schemas.openxmlformats.org/officeDocument/2006/relationships" ref="J29" r:id="rId32"/>
    <hyperlink xmlns:r="http://schemas.openxmlformats.org/officeDocument/2006/relationships" ref="J30" r:id="rId33"/>
    <hyperlink xmlns:r="http://schemas.openxmlformats.org/officeDocument/2006/relationships" ref="J31" r:id="rId34"/>
    <hyperlink xmlns:r="http://schemas.openxmlformats.org/officeDocument/2006/relationships" ref="J32" r:id="rId35"/>
    <hyperlink xmlns:r="http://schemas.openxmlformats.org/officeDocument/2006/relationships" ref="J33" r:id="rId36"/>
    <hyperlink xmlns:r="http://schemas.openxmlformats.org/officeDocument/2006/relationships" ref="J34" r:id="rId37"/>
    <hyperlink xmlns:r="http://schemas.openxmlformats.org/officeDocument/2006/relationships" ref="J35" r:id="rId38"/>
    <hyperlink xmlns:r="http://schemas.openxmlformats.org/officeDocument/2006/relationships" ref="J36" r:id="rId39"/>
    <hyperlink xmlns:r="http://schemas.openxmlformats.org/officeDocument/2006/relationships" ref="J37" r:id="rId40"/>
    <hyperlink xmlns:r="http://schemas.openxmlformats.org/officeDocument/2006/relationships" ref="J38" r:id="rId41"/>
    <hyperlink xmlns:r="http://schemas.openxmlformats.org/officeDocument/2006/relationships" ref="J39" r:id="rId42"/>
    <hyperlink xmlns:r="http://schemas.openxmlformats.org/officeDocument/2006/relationships" ref="J40" r:id="rId43"/>
    <hyperlink xmlns:r="http://schemas.openxmlformats.org/officeDocument/2006/relationships" ref="J41" r:id="rId44"/>
    <hyperlink xmlns:r="http://schemas.openxmlformats.org/officeDocument/2006/relationships" ref="J42" r:id="rId45"/>
    <hyperlink xmlns:r="http://schemas.openxmlformats.org/officeDocument/2006/relationships" ref="J43" r:id="rId46"/>
    <hyperlink xmlns:r="http://schemas.openxmlformats.org/officeDocument/2006/relationships" ref="J44" r:id="rId47"/>
    <hyperlink xmlns:r="http://schemas.openxmlformats.org/officeDocument/2006/relationships" ref="J45" r:id="rId48"/>
    <hyperlink xmlns:r="http://schemas.openxmlformats.org/officeDocument/2006/relationships" ref="J46" r:id="rId49"/>
    <hyperlink xmlns:r="http://schemas.openxmlformats.org/officeDocument/2006/relationships" ref="J47" r:id="rId50"/>
    <hyperlink xmlns:r="http://schemas.openxmlformats.org/officeDocument/2006/relationships" ref="J48" r:id="rId51"/>
    <hyperlink xmlns:r="http://schemas.openxmlformats.org/officeDocument/2006/relationships" ref="J49" r:id="rId52"/>
    <hyperlink xmlns:r="http://schemas.openxmlformats.org/officeDocument/2006/relationships" ref="J50" r:id="rId53"/>
    <hyperlink xmlns:r="http://schemas.openxmlformats.org/officeDocument/2006/relationships" ref="J51" r:id="rId54"/>
    <hyperlink xmlns:r="http://schemas.openxmlformats.org/officeDocument/2006/relationships" ref="J52" r:id="rId55"/>
    <hyperlink xmlns:r="http://schemas.openxmlformats.org/officeDocument/2006/relationships" ref="J53" r:id="rId56"/>
    <hyperlink xmlns:r="http://schemas.openxmlformats.org/officeDocument/2006/relationships" ref="J54" r:id="rId57"/>
    <hyperlink xmlns:r="http://schemas.openxmlformats.org/officeDocument/2006/relationships" ref="J55" r:id="rId58"/>
    <hyperlink xmlns:r="http://schemas.openxmlformats.org/officeDocument/2006/relationships" ref="J56" r:id="rId59"/>
    <hyperlink xmlns:r="http://schemas.openxmlformats.org/officeDocument/2006/relationships" ref="J57" r:id="rId60"/>
    <hyperlink xmlns:r="http://schemas.openxmlformats.org/officeDocument/2006/relationships" ref="J58" r:id="rId61"/>
    <hyperlink xmlns:r="http://schemas.openxmlformats.org/officeDocument/2006/relationships" ref="J59" r:id="rId62"/>
    <hyperlink xmlns:r="http://schemas.openxmlformats.org/officeDocument/2006/relationships" ref="J60" r:id="rId63"/>
    <hyperlink xmlns:r="http://schemas.openxmlformats.org/officeDocument/2006/relationships" ref="J61" r:id="rId64"/>
    <hyperlink xmlns:r="http://schemas.openxmlformats.org/officeDocument/2006/relationships" ref="J62" r:id="rId65"/>
    <hyperlink xmlns:r="http://schemas.openxmlformats.org/officeDocument/2006/relationships" ref="J63" r:id="rId66"/>
    <hyperlink xmlns:r="http://schemas.openxmlformats.org/officeDocument/2006/relationships" ref="J64" r:id="rId67"/>
    <hyperlink xmlns:r="http://schemas.openxmlformats.org/officeDocument/2006/relationships" ref="J65" r:id="rId68"/>
    <hyperlink xmlns:r="http://schemas.openxmlformats.org/officeDocument/2006/relationships" ref="J66" r:id="rId69"/>
    <hyperlink xmlns:r="http://schemas.openxmlformats.org/officeDocument/2006/relationships" ref="J67" r:id="rId70"/>
    <hyperlink xmlns:r="http://schemas.openxmlformats.org/officeDocument/2006/relationships" ref="J68" r:id="rId71"/>
    <hyperlink xmlns:r="http://schemas.openxmlformats.org/officeDocument/2006/relationships" ref="J69" r:id="rId72"/>
    <hyperlink xmlns:r="http://schemas.openxmlformats.org/officeDocument/2006/relationships" ref="J70" r:id="rId73"/>
    <hyperlink xmlns:r="http://schemas.openxmlformats.org/officeDocument/2006/relationships" ref="J71" r:id="rId74"/>
    <hyperlink xmlns:r="http://schemas.openxmlformats.org/officeDocument/2006/relationships" ref="J72" r:id="rId75"/>
    <hyperlink xmlns:r="http://schemas.openxmlformats.org/officeDocument/2006/relationships" ref="J73" r:id="rId76"/>
    <hyperlink xmlns:r="http://schemas.openxmlformats.org/officeDocument/2006/relationships" ref="J74" r:id="rId77"/>
    <hyperlink xmlns:r="http://schemas.openxmlformats.org/officeDocument/2006/relationships" ref="J75" r:id="rId78"/>
    <hyperlink xmlns:r="http://schemas.openxmlformats.org/officeDocument/2006/relationships" ref="J76" r:id="rId79"/>
    <hyperlink xmlns:r="http://schemas.openxmlformats.org/officeDocument/2006/relationships" ref="J77" r:id="rId80"/>
    <hyperlink xmlns:r="http://schemas.openxmlformats.org/officeDocument/2006/relationships" ref="J78" r:id="rId81"/>
    <hyperlink xmlns:r="http://schemas.openxmlformats.org/officeDocument/2006/relationships" ref="J79" r:id="rId82"/>
    <hyperlink xmlns:r="http://schemas.openxmlformats.org/officeDocument/2006/relationships" ref="J80" r:id="rId83"/>
    <hyperlink xmlns:r="http://schemas.openxmlformats.org/officeDocument/2006/relationships" ref="J81" r:id="rId84"/>
    <hyperlink xmlns:r="http://schemas.openxmlformats.org/officeDocument/2006/relationships" ref="J82" r:id="rId85"/>
    <hyperlink xmlns:r="http://schemas.openxmlformats.org/officeDocument/2006/relationships" ref="J83" r:id="rId86"/>
    <hyperlink xmlns:r="http://schemas.openxmlformats.org/officeDocument/2006/relationships" ref="J84" r:id="rId87"/>
    <hyperlink xmlns:r="http://schemas.openxmlformats.org/officeDocument/2006/relationships" ref="J85" r:id="rId88"/>
    <hyperlink xmlns:r="http://schemas.openxmlformats.org/officeDocument/2006/relationships" ref="J86" r:id="rId89"/>
    <hyperlink xmlns:r="http://schemas.openxmlformats.org/officeDocument/2006/relationships" ref="J87" r:id="rId90"/>
    <hyperlink xmlns:r="http://schemas.openxmlformats.org/officeDocument/2006/relationships" ref="J88" r:id="rId91"/>
    <hyperlink xmlns:r="http://schemas.openxmlformats.org/officeDocument/2006/relationships" ref="J89" r:id="rId92"/>
    <hyperlink xmlns:r="http://schemas.openxmlformats.org/officeDocument/2006/relationships" ref="J90" r:id="rId93"/>
    <hyperlink xmlns:r="http://schemas.openxmlformats.org/officeDocument/2006/relationships" ref="J91" r:id="rId94"/>
    <hyperlink xmlns:r="http://schemas.openxmlformats.org/officeDocument/2006/relationships" ref="J92" r:id="rId95"/>
    <hyperlink xmlns:r="http://schemas.openxmlformats.org/officeDocument/2006/relationships" ref="J93" r:id="rId96"/>
    <hyperlink xmlns:r="http://schemas.openxmlformats.org/officeDocument/2006/relationships" ref="J94" r:id="rId97"/>
    <hyperlink xmlns:r="http://schemas.openxmlformats.org/officeDocument/2006/relationships" ref="J95" r:id="rId98"/>
    <hyperlink xmlns:r="http://schemas.openxmlformats.org/officeDocument/2006/relationships" ref="J96" r:id="rId99"/>
    <hyperlink xmlns:r="http://schemas.openxmlformats.org/officeDocument/2006/relationships" ref="J97" r:id="rId100"/>
    <hyperlink xmlns:r="http://schemas.openxmlformats.org/officeDocument/2006/relationships" ref="J98" r:id="rId101"/>
    <hyperlink xmlns:r="http://schemas.openxmlformats.org/officeDocument/2006/relationships" ref="J99" r:id="rId102"/>
    <hyperlink xmlns:r="http://schemas.openxmlformats.org/officeDocument/2006/relationships" ref="J100" r:id="rId103"/>
    <hyperlink xmlns:r="http://schemas.openxmlformats.org/officeDocument/2006/relationships" ref="J101" r:id="rId104"/>
    <hyperlink xmlns:r="http://schemas.openxmlformats.org/officeDocument/2006/relationships" ref="J102" r:id="rId105"/>
    <hyperlink xmlns:r="http://schemas.openxmlformats.org/officeDocument/2006/relationships" ref="J103" r:id="rId106"/>
    <hyperlink xmlns:r="http://schemas.openxmlformats.org/officeDocument/2006/relationships" ref="J104" r:id="rId107"/>
    <hyperlink xmlns:r="http://schemas.openxmlformats.org/officeDocument/2006/relationships" ref="J105" r:id="rId108"/>
    <hyperlink xmlns:r="http://schemas.openxmlformats.org/officeDocument/2006/relationships" ref="J106" r:id="rId109"/>
    <hyperlink xmlns:r="http://schemas.openxmlformats.org/officeDocument/2006/relationships" ref="J107" r:id="rId110"/>
    <hyperlink xmlns:r="http://schemas.openxmlformats.org/officeDocument/2006/relationships" ref="J108" r:id="rId111"/>
    <hyperlink xmlns:r="http://schemas.openxmlformats.org/officeDocument/2006/relationships" ref="J109" r:id="rId112"/>
    <hyperlink xmlns:r="http://schemas.openxmlformats.org/officeDocument/2006/relationships" ref="J110" r:id="rId113"/>
    <hyperlink xmlns:r="http://schemas.openxmlformats.org/officeDocument/2006/relationships" ref="J111" r:id="rId114"/>
    <hyperlink xmlns:r="http://schemas.openxmlformats.org/officeDocument/2006/relationships" ref="J112" r:id="rId115"/>
    <hyperlink xmlns:r="http://schemas.openxmlformats.org/officeDocument/2006/relationships" ref="J113" r:id="rId116"/>
    <hyperlink xmlns:r="http://schemas.openxmlformats.org/officeDocument/2006/relationships" ref="J114" r:id="rId117"/>
    <hyperlink xmlns:r="http://schemas.openxmlformats.org/officeDocument/2006/relationships" ref="J115" r:id="rId118"/>
    <hyperlink xmlns:r="http://schemas.openxmlformats.org/officeDocument/2006/relationships" ref="J116" r:id="rId119"/>
    <hyperlink xmlns:r="http://schemas.openxmlformats.org/officeDocument/2006/relationships" ref="J117" r:id="rId120"/>
    <hyperlink xmlns:r="http://schemas.openxmlformats.org/officeDocument/2006/relationships" ref="J118" r:id="rId121"/>
    <hyperlink xmlns:r="http://schemas.openxmlformats.org/officeDocument/2006/relationships" ref="J119" r:id="rId122"/>
    <hyperlink xmlns:r="http://schemas.openxmlformats.org/officeDocument/2006/relationships" ref="J120" r:id="rId123"/>
    <hyperlink xmlns:r="http://schemas.openxmlformats.org/officeDocument/2006/relationships" ref="J121" r:id="rId124"/>
    <hyperlink xmlns:r="http://schemas.openxmlformats.org/officeDocument/2006/relationships" ref="J122" r:id="rId125"/>
    <hyperlink xmlns:r="http://schemas.openxmlformats.org/officeDocument/2006/relationships" ref="J123" r:id="rId126"/>
    <hyperlink xmlns:r="http://schemas.openxmlformats.org/officeDocument/2006/relationships" ref="J124" r:id="rId127"/>
    <hyperlink xmlns:r="http://schemas.openxmlformats.org/officeDocument/2006/relationships" ref="J125" r:id="rId128"/>
    <hyperlink xmlns:r="http://schemas.openxmlformats.org/officeDocument/2006/relationships" ref="J126" r:id="rId129"/>
    <hyperlink xmlns:r="http://schemas.openxmlformats.org/officeDocument/2006/relationships" ref="J127" r:id="rId130"/>
    <hyperlink xmlns:r="http://schemas.openxmlformats.org/officeDocument/2006/relationships" ref="J128" r:id="rId131"/>
    <hyperlink xmlns:r="http://schemas.openxmlformats.org/officeDocument/2006/relationships" ref="J129" r:id="rId132"/>
    <hyperlink xmlns:r="http://schemas.openxmlformats.org/officeDocument/2006/relationships" ref="J130" r:id="rId133"/>
    <hyperlink xmlns:r="http://schemas.openxmlformats.org/officeDocument/2006/relationships" ref="J131" r:id="rId134"/>
    <hyperlink xmlns:r="http://schemas.openxmlformats.org/officeDocument/2006/relationships" ref="J132" r:id="rId135"/>
    <hyperlink xmlns:r="http://schemas.openxmlformats.org/officeDocument/2006/relationships" ref="J133" r:id="rId136"/>
    <hyperlink xmlns:r="http://schemas.openxmlformats.org/officeDocument/2006/relationships" ref="J134" r:id="rId137"/>
    <hyperlink xmlns:r="http://schemas.openxmlformats.org/officeDocument/2006/relationships" ref="J135" r:id="rId138"/>
    <hyperlink xmlns:r="http://schemas.openxmlformats.org/officeDocument/2006/relationships" ref="J136" r:id="rId139"/>
    <hyperlink xmlns:r="http://schemas.openxmlformats.org/officeDocument/2006/relationships" ref="J137" r:id="rId140"/>
    <hyperlink xmlns:r="http://schemas.openxmlformats.org/officeDocument/2006/relationships" ref="J138" r:id="rId141"/>
    <hyperlink xmlns:r="http://schemas.openxmlformats.org/officeDocument/2006/relationships" ref="J139" r:id="rId142"/>
    <hyperlink xmlns:r="http://schemas.openxmlformats.org/officeDocument/2006/relationships" ref="J140" r:id="rId143"/>
    <hyperlink xmlns:r="http://schemas.openxmlformats.org/officeDocument/2006/relationships" ref="J141" r:id="rId144"/>
    <hyperlink xmlns:r="http://schemas.openxmlformats.org/officeDocument/2006/relationships" ref="J142" r:id="rId145"/>
    <hyperlink xmlns:r="http://schemas.openxmlformats.org/officeDocument/2006/relationships" ref="J143" r:id="rId146"/>
    <hyperlink xmlns:r="http://schemas.openxmlformats.org/officeDocument/2006/relationships" ref="J144" r:id="rId147"/>
    <hyperlink xmlns:r="http://schemas.openxmlformats.org/officeDocument/2006/relationships" ref="J145" r:id="rId148"/>
    <hyperlink xmlns:r="http://schemas.openxmlformats.org/officeDocument/2006/relationships" ref="J146" r:id="rId149"/>
    <hyperlink xmlns:r="http://schemas.openxmlformats.org/officeDocument/2006/relationships" ref="J147" r:id="rId150"/>
    <hyperlink xmlns:r="http://schemas.openxmlformats.org/officeDocument/2006/relationships" ref="J148" r:id="rId151"/>
    <hyperlink xmlns:r="http://schemas.openxmlformats.org/officeDocument/2006/relationships" ref="J149" r:id="rId152"/>
    <hyperlink xmlns:r="http://schemas.openxmlformats.org/officeDocument/2006/relationships" ref="J150" r:id="rId153"/>
    <hyperlink xmlns:r="http://schemas.openxmlformats.org/officeDocument/2006/relationships" ref="J151" r:id="rId154"/>
    <hyperlink xmlns:r="http://schemas.openxmlformats.org/officeDocument/2006/relationships" ref="J152" r:id="rId155"/>
    <hyperlink xmlns:r="http://schemas.openxmlformats.org/officeDocument/2006/relationships" ref="J153" r:id="rId156"/>
    <hyperlink xmlns:r="http://schemas.openxmlformats.org/officeDocument/2006/relationships" ref="J154" r:id="rId157"/>
    <hyperlink xmlns:r="http://schemas.openxmlformats.org/officeDocument/2006/relationships" ref="J155" r:id="rId158"/>
    <hyperlink xmlns:r="http://schemas.openxmlformats.org/officeDocument/2006/relationships" ref="J156" r:id="rId159"/>
    <hyperlink xmlns:r="http://schemas.openxmlformats.org/officeDocument/2006/relationships" ref="J157" r:id="rId160"/>
    <hyperlink xmlns:r="http://schemas.openxmlformats.org/officeDocument/2006/relationships" ref="J158" r:id="rId161"/>
    <hyperlink xmlns:r="http://schemas.openxmlformats.org/officeDocument/2006/relationships" ref="J159" r:id="rId162"/>
    <hyperlink xmlns:r="http://schemas.openxmlformats.org/officeDocument/2006/relationships" ref="J160" r:id="rId163"/>
    <hyperlink xmlns:r="http://schemas.openxmlformats.org/officeDocument/2006/relationships" ref="J161" r:id="rId164"/>
    <hyperlink xmlns:r="http://schemas.openxmlformats.org/officeDocument/2006/relationships" ref="J162" r:id="rId165"/>
    <hyperlink xmlns:r="http://schemas.openxmlformats.org/officeDocument/2006/relationships" ref="J163" r:id="rId166"/>
    <hyperlink xmlns:r="http://schemas.openxmlformats.org/officeDocument/2006/relationships" ref="J164" r:id="rId167"/>
    <hyperlink xmlns:r="http://schemas.openxmlformats.org/officeDocument/2006/relationships" ref="J165" r:id="rId168"/>
    <hyperlink xmlns:r="http://schemas.openxmlformats.org/officeDocument/2006/relationships" ref="J166" r:id="rId169"/>
    <hyperlink xmlns:r="http://schemas.openxmlformats.org/officeDocument/2006/relationships" ref="J167" r:id="rId170"/>
    <hyperlink xmlns:r="http://schemas.openxmlformats.org/officeDocument/2006/relationships" ref="J168" r:id="rId171"/>
    <hyperlink xmlns:r="http://schemas.openxmlformats.org/officeDocument/2006/relationships" ref="J169" r:id="rId172"/>
    <hyperlink xmlns:r="http://schemas.openxmlformats.org/officeDocument/2006/relationships" ref="J170" r:id="rId173"/>
    <hyperlink xmlns:r="http://schemas.openxmlformats.org/officeDocument/2006/relationships" ref="J171" r:id="rId174"/>
    <hyperlink xmlns:r="http://schemas.openxmlformats.org/officeDocument/2006/relationships" ref="J172" r:id="rId175"/>
    <hyperlink xmlns:r="http://schemas.openxmlformats.org/officeDocument/2006/relationships" ref="J173" r:id="rId176"/>
    <hyperlink xmlns:r="http://schemas.openxmlformats.org/officeDocument/2006/relationships" ref="J174" r:id="rId177"/>
    <hyperlink xmlns:r="http://schemas.openxmlformats.org/officeDocument/2006/relationships" ref="J175" r:id="rId178"/>
    <hyperlink xmlns:r="http://schemas.openxmlformats.org/officeDocument/2006/relationships" ref="J176" r:id="rId179"/>
    <hyperlink xmlns:r="http://schemas.openxmlformats.org/officeDocument/2006/relationships" ref="J177" r:id="rId180"/>
    <hyperlink xmlns:r="http://schemas.openxmlformats.org/officeDocument/2006/relationships" ref="J178" r:id="rId181"/>
    <hyperlink xmlns:r="http://schemas.openxmlformats.org/officeDocument/2006/relationships" ref="J179" r:id="rId182"/>
    <hyperlink xmlns:r="http://schemas.openxmlformats.org/officeDocument/2006/relationships" ref="J180" r:id="rId183"/>
    <hyperlink xmlns:r="http://schemas.openxmlformats.org/officeDocument/2006/relationships" ref="J181" r:id="rId184"/>
    <hyperlink xmlns:r="http://schemas.openxmlformats.org/officeDocument/2006/relationships" ref="J182" r:id="rId185"/>
    <hyperlink xmlns:r="http://schemas.openxmlformats.org/officeDocument/2006/relationships" ref="J183" r:id="rId186"/>
    <hyperlink xmlns:r="http://schemas.openxmlformats.org/officeDocument/2006/relationships" ref="J184" r:id="rId187"/>
    <hyperlink xmlns:r="http://schemas.openxmlformats.org/officeDocument/2006/relationships" ref="J185" r:id="rId188"/>
    <hyperlink xmlns:r="http://schemas.openxmlformats.org/officeDocument/2006/relationships" ref="J186" r:id="rId189"/>
    <hyperlink xmlns:r="http://schemas.openxmlformats.org/officeDocument/2006/relationships" ref="J187" r:id="rId190"/>
    <hyperlink xmlns:r="http://schemas.openxmlformats.org/officeDocument/2006/relationships" ref="J188" r:id="rId191"/>
    <hyperlink xmlns:r="http://schemas.openxmlformats.org/officeDocument/2006/relationships" ref="J189" r:id="rId192"/>
    <hyperlink xmlns:r="http://schemas.openxmlformats.org/officeDocument/2006/relationships" ref="J190" r:id="rId193"/>
    <hyperlink xmlns:r="http://schemas.openxmlformats.org/officeDocument/2006/relationships" ref="J191" r:id="rId194"/>
    <hyperlink xmlns:r="http://schemas.openxmlformats.org/officeDocument/2006/relationships" ref="J192" r:id="rId195"/>
    <hyperlink xmlns:r="http://schemas.openxmlformats.org/officeDocument/2006/relationships" ref="J193" r:id="rId196"/>
    <hyperlink xmlns:r="http://schemas.openxmlformats.org/officeDocument/2006/relationships" ref="J194" r:id="rId197"/>
    <hyperlink xmlns:r="http://schemas.openxmlformats.org/officeDocument/2006/relationships" ref="J195" r:id="rId198"/>
    <hyperlink xmlns:r="http://schemas.openxmlformats.org/officeDocument/2006/relationships" ref="J196" r:id="rId199"/>
    <hyperlink xmlns:r="http://schemas.openxmlformats.org/officeDocument/2006/relationships" ref="J197" r:id="rId200"/>
    <hyperlink xmlns:r="http://schemas.openxmlformats.org/officeDocument/2006/relationships" ref="J198" r:id="rId201"/>
    <hyperlink xmlns:r="http://schemas.openxmlformats.org/officeDocument/2006/relationships" ref="J199" r:id="rId202"/>
    <hyperlink xmlns:r="http://schemas.openxmlformats.org/officeDocument/2006/relationships" ref="J200" r:id="rId203"/>
    <hyperlink xmlns:r="http://schemas.openxmlformats.org/officeDocument/2006/relationships" ref="J201" r:id="rId204"/>
    <hyperlink xmlns:r="http://schemas.openxmlformats.org/officeDocument/2006/relationships" ref="J202" r:id="rId205"/>
    <hyperlink xmlns:r="http://schemas.openxmlformats.org/officeDocument/2006/relationships" ref="J203" r:id="rId206"/>
    <hyperlink xmlns:r="http://schemas.openxmlformats.org/officeDocument/2006/relationships" ref="J204" r:id="rId207"/>
    <hyperlink xmlns:r="http://schemas.openxmlformats.org/officeDocument/2006/relationships" ref="J205" r:id="rId208"/>
    <hyperlink xmlns:r="http://schemas.openxmlformats.org/officeDocument/2006/relationships" ref="J206" r:id="rId209"/>
    <hyperlink xmlns:r="http://schemas.openxmlformats.org/officeDocument/2006/relationships" ref="J207" r:id="rId210"/>
    <hyperlink xmlns:r="http://schemas.openxmlformats.org/officeDocument/2006/relationships" ref="J208" r:id="rId211"/>
    <hyperlink xmlns:r="http://schemas.openxmlformats.org/officeDocument/2006/relationships" ref="J209" r:id="rId212"/>
    <hyperlink xmlns:r="http://schemas.openxmlformats.org/officeDocument/2006/relationships" ref="J210" r:id="rId213"/>
    <hyperlink xmlns:r="http://schemas.openxmlformats.org/officeDocument/2006/relationships" ref="J211" r:id="rId214"/>
    <hyperlink xmlns:r="http://schemas.openxmlformats.org/officeDocument/2006/relationships" ref="J212" r:id="rId215"/>
    <hyperlink xmlns:r="http://schemas.openxmlformats.org/officeDocument/2006/relationships" ref="J213" r:id="rId216"/>
    <hyperlink xmlns:r="http://schemas.openxmlformats.org/officeDocument/2006/relationships" ref="J214" r:id="rId217"/>
    <hyperlink xmlns:r="http://schemas.openxmlformats.org/officeDocument/2006/relationships" ref="J215" r:id="rId218"/>
    <hyperlink xmlns:r="http://schemas.openxmlformats.org/officeDocument/2006/relationships" ref="J216" r:id="rId219"/>
    <hyperlink xmlns:r="http://schemas.openxmlformats.org/officeDocument/2006/relationships" ref="J217" r:id="rId220"/>
    <hyperlink xmlns:r="http://schemas.openxmlformats.org/officeDocument/2006/relationships" ref="J218" r:id="rId221"/>
    <hyperlink xmlns:r="http://schemas.openxmlformats.org/officeDocument/2006/relationships" ref="J219" r:id="rId222"/>
    <hyperlink xmlns:r="http://schemas.openxmlformats.org/officeDocument/2006/relationships" ref="J220" r:id="rId223"/>
    <hyperlink xmlns:r="http://schemas.openxmlformats.org/officeDocument/2006/relationships" ref="J221" r:id="rId224"/>
    <hyperlink xmlns:r="http://schemas.openxmlformats.org/officeDocument/2006/relationships" ref="J222" r:id="rId225"/>
    <hyperlink xmlns:r="http://schemas.openxmlformats.org/officeDocument/2006/relationships" ref="J223" r:id="rId226"/>
    <hyperlink xmlns:r="http://schemas.openxmlformats.org/officeDocument/2006/relationships" ref="J224" r:id="rId227"/>
    <hyperlink xmlns:r="http://schemas.openxmlformats.org/officeDocument/2006/relationships" ref="J225" r:id="rId228"/>
    <hyperlink xmlns:r="http://schemas.openxmlformats.org/officeDocument/2006/relationships" ref="J226" r:id="rId229"/>
    <hyperlink xmlns:r="http://schemas.openxmlformats.org/officeDocument/2006/relationships" ref="J227" r:id="rId230"/>
    <hyperlink xmlns:r="http://schemas.openxmlformats.org/officeDocument/2006/relationships" ref="J228" r:id="rId231"/>
    <hyperlink xmlns:r="http://schemas.openxmlformats.org/officeDocument/2006/relationships" ref="J229" r:id="rId232"/>
    <hyperlink xmlns:r="http://schemas.openxmlformats.org/officeDocument/2006/relationships" ref="J230" r:id="rId233"/>
    <hyperlink xmlns:r="http://schemas.openxmlformats.org/officeDocument/2006/relationships" ref="J231" r:id="rId234"/>
    <hyperlink xmlns:r="http://schemas.openxmlformats.org/officeDocument/2006/relationships" ref="J232" r:id="rId235"/>
    <hyperlink xmlns:r="http://schemas.openxmlformats.org/officeDocument/2006/relationships" ref="J233" r:id="rId236"/>
    <hyperlink xmlns:r="http://schemas.openxmlformats.org/officeDocument/2006/relationships" ref="J234" r:id="rId237"/>
    <hyperlink xmlns:r="http://schemas.openxmlformats.org/officeDocument/2006/relationships" ref="J235" r:id="rId238"/>
    <hyperlink xmlns:r="http://schemas.openxmlformats.org/officeDocument/2006/relationships" ref="J236" r:id="rId239"/>
    <hyperlink xmlns:r="http://schemas.openxmlformats.org/officeDocument/2006/relationships" ref="J237" r:id="rId240"/>
    <hyperlink xmlns:r="http://schemas.openxmlformats.org/officeDocument/2006/relationships" ref="J238" r:id="rId241"/>
    <hyperlink xmlns:r="http://schemas.openxmlformats.org/officeDocument/2006/relationships" ref="J239" r:id="rId242"/>
    <hyperlink xmlns:r="http://schemas.openxmlformats.org/officeDocument/2006/relationships" ref="J240" r:id="rId243"/>
    <hyperlink xmlns:r="http://schemas.openxmlformats.org/officeDocument/2006/relationships" ref="J241" r:id="rId244"/>
    <hyperlink xmlns:r="http://schemas.openxmlformats.org/officeDocument/2006/relationships" ref="J242" r:id="rId245"/>
    <hyperlink xmlns:r="http://schemas.openxmlformats.org/officeDocument/2006/relationships" ref="J243" r:id="rId246"/>
    <hyperlink xmlns:r="http://schemas.openxmlformats.org/officeDocument/2006/relationships" ref="J244" r:id="rId247"/>
    <hyperlink xmlns:r="http://schemas.openxmlformats.org/officeDocument/2006/relationships" ref="J245" r:id="rId248"/>
    <hyperlink xmlns:r="http://schemas.openxmlformats.org/officeDocument/2006/relationships" ref="J246" r:id="rId249"/>
    <hyperlink xmlns:r="http://schemas.openxmlformats.org/officeDocument/2006/relationships" ref="J247" r:id="rId250"/>
    <hyperlink xmlns:r="http://schemas.openxmlformats.org/officeDocument/2006/relationships" ref="J248" r:id="rId251"/>
    <hyperlink xmlns:r="http://schemas.openxmlformats.org/officeDocument/2006/relationships" ref="J249" r:id="rId252"/>
    <hyperlink xmlns:r="http://schemas.openxmlformats.org/officeDocument/2006/relationships" ref="J250" r:id="rId253"/>
    <hyperlink xmlns:r="http://schemas.openxmlformats.org/officeDocument/2006/relationships" ref="J251" r:id="rId254"/>
    <hyperlink xmlns:r="http://schemas.openxmlformats.org/officeDocument/2006/relationships" ref="J252" r:id="rId255"/>
    <hyperlink xmlns:r="http://schemas.openxmlformats.org/officeDocument/2006/relationships" ref="J253" r:id="rId256"/>
    <hyperlink xmlns:r="http://schemas.openxmlformats.org/officeDocument/2006/relationships" ref="J254" r:id="rId257"/>
    <hyperlink xmlns:r="http://schemas.openxmlformats.org/officeDocument/2006/relationships" ref="J255" r:id="rId258"/>
    <hyperlink xmlns:r="http://schemas.openxmlformats.org/officeDocument/2006/relationships" ref="J256" r:id="rId259"/>
    <hyperlink xmlns:r="http://schemas.openxmlformats.org/officeDocument/2006/relationships" ref="J257" r:id="rId260"/>
    <hyperlink xmlns:r="http://schemas.openxmlformats.org/officeDocument/2006/relationships" ref="J258" r:id="rId261"/>
    <hyperlink xmlns:r="http://schemas.openxmlformats.org/officeDocument/2006/relationships" ref="J259" r:id="rId262"/>
    <hyperlink xmlns:r="http://schemas.openxmlformats.org/officeDocument/2006/relationships" ref="J260" r:id="rId263"/>
    <hyperlink xmlns:r="http://schemas.openxmlformats.org/officeDocument/2006/relationships" ref="J261" r:id="rId264"/>
    <hyperlink xmlns:r="http://schemas.openxmlformats.org/officeDocument/2006/relationships" ref="J262" r:id="rId265"/>
    <hyperlink xmlns:r="http://schemas.openxmlformats.org/officeDocument/2006/relationships" ref="J263" r:id="rId266"/>
    <hyperlink xmlns:r="http://schemas.openxmlformats.org/officeDocument/2006/relationships" ref="J264" r:id="rId267"/>
    <hyperlink xmlns:r="http://schemas.openxmlformats.org/officeDocument/2006/relationships" ref="J265" r:id="rId268"/>
    <hyperlink xmlns:r="http://schemas.openxmlformats.org/officeDocument/2006/relationships" ref="J266" r:id="rId269"/>
    <hyperlink xmlns:r="http://schemas.openxmlformats.org/officeDocument/2006/relationships" ref="J267" r:id="rId270"/>
    <hyperlink xmlns:r="http://schemas.openxmlformats.org/officeDocument/2006/relationships" ref="J268" r:id="rId271"/>
    <hyperlink xmlns:r="http://schemas.openxmlformats.org/officeDocument/2006/relationships" ref="J269" r:id="rId272"/>
    <hyperlink xmlns:r="http://schemas.openxmlformats.org/officeDocument/2006/relationships" ref="J270" r:id="rId273"/>
    <hyperlink xmlns:r="http://schemas.openxmlformats.org/officeDocument/2006/relationships" ref="J271" r:id="rId274"/>
    <hyperlink xmlns:r="http://schemas.openxmlformats.org/officeDocument/2006/relationships" ref="J272" r:id="rId275"/>
    <hyperlink xmlns:r="http://schemas.openxmlformats.org/officeDocument/2006/relationships" ref="J273" r:id="rId276"/>
    <hyperlink xmlns:r="http://schemas.openxmlformats.org/officeDocument/2006/relationships" ref="J274" r:id="rId277"/>
    <hyperlink xmlns:r="http://schemas.openxmlformats.org/officeDocument/2006/relationships" ref="J275" r:id="rId278"/>
    <hyperlink xmlns:r="http://schemas.openxmlformats.org/officeDocument/2006/relationships" ref="J276" r:id="rId279"/>
    <hyperlink xmlns:r="http://schemas.openxmlformats.org/officeDocument/2006/relationships" ref="J277" r:id="rId280"/>
    <hyperlink xmlns:r="http://schemas.openxmlformats.org/officeDocument/2006/relationships" ref="J278" r:id="rId281"/>
    <hyperlink xmlns:r="http://schemas.openxmlformats.org/officeDocument/2006/relationships" ref="J279" r:id="rId282"/>
    <hyperlink xmlns:r="http://schemas.openxmlformats.org/officeDocument/2006/relationships" ref="J280" r:id="rId283"/>
    <hyperlink xmlns:r="http://schemas.openxmlformats.org/officeDocument/2006/relationships" ref="J281" r:id="rId284"/>
    <hyperlink xmlns:r="http://schemas.openxmlformats.org/officeDocument/2006/relationships" ref="J282" r:id="rId285"/>
    <hyperlink xmlns:r="http://schemas.openxmlformats.org/officeDocument/2006/relationships" ref="J283" r:id="rId286"/>
    <hyperlink xmlns:r="http://schemas.openxmlformats.org/officeDocument/2006/relationships" ref="J284" r:id="rId287"/>
    <hyperlink xmlns:r="http://schemas.openxmlformats.org/officeDocument/2006/relationships" ref="J285" r:id="rId288"/>
    <hyperlink xmlns:r="http://schemas.openxmlformats.org/officeDocument/2006/relationships" ref="J286" r:id="rId289"/>
    <hyperlink xmlns:r="http://schemas.openxmlformats.org/officeDocument/2006/relationships" ref="J287" r:id="rId290"/>
    <hyperlink xmlns:r="http://schemas.openxmlformats.org/officeDocument/2006/relationships" ref="J288" r:id="rId291"/>
    <hyperlink xmlns:r="http://schemas.openxmlformats.org/officeDocument/2006/relationships" ref="J289" r:id="rId292"/>
    <hyperlink xmlns:r="http://schemas.openxmlformats.org/officeDocument/2006/relationships" ref="J290" r:id="rId293"/>
    <hyperlink xmlns:r="http://schemas.openxmlformats.org/officeDocument/2006/relationships" ref="J291" r:id="rId294"/>
    <hyperlink xmlns:r="http://schemas.openxmlformats.org/officeDocument/2006/relationships" ref="J292" r:id="rId295"/>
    <hyperlink xmlns:r="http://schemas.openxmlformats.org/officeDocument/2006/relationships" ref="J293" r:id="rId296"/>
    <hyperlink xmlns:r="http://schemas.openxmlformats.org/officeDocument/2006/relationships" ref="J294" r:id="rId297"/>
    <hyperlink xmlns:r="http://schemas.openxmlformats.org/officeDocument/2006/relationships" ref="J295" r:id="rId298"/>
    <hyperlink xmlns:r="http://schemas.openxmlformats.org/officeDocument/2006/relationships" ref="J296" r:id="rId299"/>
    <hyperlink xmlns:r="http://schemas.openxmlformats.org/officeDocument/2006/relationships" ref="J297" r:id="rId300"/>
    <hyperlink xmlns:r="http://schemas.openxmlformats.org/officeDocument/2006/relationships" ref="J298" r:id="rId301"/>
    <hyperlink xmlns:r="http://schemas.openxmlformats.org/officeDocument/2006/relationships" ref="J299" r:id="rId302"/>
    <hyperlink xmlns:r="http://schemas.openxmlformats.org/officeDocument/2006/relationships" ref="J300" r:id="rId303"/>
    <hyperlink xmlns:r="http://schemas.openxmlformats.org/officeDocument/2006/relationships" ref="J301" r:id="rId304"/>
    <hyperlink xmlns:r="http://schemas.openxmlformats.org/officeDocument/2006/relationships" ref="J302" r:id="rId305"/>
    <hyperlink xmlns:r="http://schemas.openxmlformats.org/officeDocument/2006/relationships" ref="J303" r:id="rId306"/>
    <hyperlink xmlns:r="http://schemas.openxmlformats.org/officeDocument/2006/relationships" ref="J304" r:id="rId307"/>
    <hyperlink xmlns:r="http://schemas.openxmlformats.org/officeDocument/2006/relationships" ref="J305" r:id="rId308"/>
    <hyperlink xmlns:r="http://schemas.openxmlformats.org/officeDocument/2006/relationships" ref="J306" r:id="rId309"/>
    <hyperlink xmlns:r="http://schemas.openxmlformats.org/officeDocument/2006/relationships" ref="J307" r:id="rId310"/>
    <hyperlink xmlns:r="http://schemas.openxmlformats.org/officeDocument/2006/relationships" ref="J308" r:id="rId311"/>
    <hyperlink xmlns:r="http://schemas.openxmlformats.org/officeDocument/2006/relationships" ref="J309" r:id="rId312"/>
    <hyperlink xmlns:r="http://schemas.openxmlformats.org/officeDocument/2006/relationships" ref="J310" r:id="rId313"/>
    <hyperlink xmlns:r="http://schemas.openxmlformats.org/officeDocument/2006/relationships" ref="J311" r:id="rId314"/>
    <hyperlink xmlns:r="http://schemas.openxmlformats.org/officeDocument/2006/relationships" ref="J312" r:id="rId315"/>
    <hyperlink xmlns:r="http://schemas.openxmlformats.org/officeDocument/2006/relationships" ref="J313" r:id="rId316"/>
    <hyperlink xmlns:r="http://schemas.openxmlformats.org/officeDocument/2006/relationships" ref="J314" r:id="rId317"/>
    <hyperlink xmlns:r="http://schemas.openxmlformats.org/officeDocument/2006/relationships" ref="J315" r:id="rId318"/>
    <hyperlink xmlns:r="http://schemas.openxmlformats.org/officeDocument/2006/relationships" ref="J316" r:id="rId319"/>
    <hyperlink xmlns:r="http://schemas.openxmlformats.org/officeDocument/2006/relationships" ref="J317" r:id="rId320"/>
    <hyperlink xmlns:r="http://schemas.openxmlformats.org/officeDocument/2006/relationships" ref="J318" r:id="rId321"/>
    <hyperlink xmlns:r="http://schemas.openxmlformats.org/officeDocument/2006/relationships" ref="J319" r:id="rId322"/>
    <hyperlink xmlns:r="http://schemas.openxmlformats.org/officeDocument/2006/relationships" ref="J320" r:id="rId323"/>
    <hyperlink xmlns:r="http://schemas.openxmlformats.org/officeDocument/2006/relationships" ref="J321" r:id="rId324"/>
    <hyperlink xmlns:r="http://schemas.openxmlformats.org/officeDocument/2006/relationships" ref="J322" r:id="rId325"/>
    <hyperlink xmlns:r="http://schemas.openxmlformats.org/officeDocument/2006/relationships" ref="J323" r:id="rId326"/>
    <hyperlink xmlns:r="http://schemas.openxmlformats.org/officeDocument/2006/relationships" ref="J324" r:id="rId327"/>
    <hyperlink xmlns:r="http://schemas.openxmlformats.org/officeDocument/2006/relationships" ref="J325" r:id="rId328"/>
    <hyperlink xmlns:r="http://schemas.openxmlformats.org/officeDocument/2006/relationships" ref="J326" r:id="rId329"/>
    <hyperlink xmlns:r="http://schemas.openxmlformats.org/officeDocument/2006/relationships" ref="J327" r:id="rId330"/>
    <hyperlink xmlns:r="http://schemas.openxmlformats.org/officeDocument/2006/relationships" ref="J328" r:id="rId331"/>
    <hyperlink xmlns:r="http://schemas.openxmlformats.org/officeDocument/2006/relationships" ref="J329" r:id="rId332"/>
    <hyperlink xmlns:r="http://schemas.openxmlformats.org/officeDocument/2006/relationships" ref="J330" r:id="rId333"/>
    <hyperlink xmlns:r="http://schemas.openxmlformats.org/officeDocument/2006/relationships" ref="J331" r:id="rId334"/>
    <hyperlink xmlns:r="http://schemas.openxmlformats.org/officeDocument/2006/relationships" ref="J332" r:id="rId335"/>
    <hyperlink xmlns:r="http://schemas.openxmlformats.org/officeDocument/2006/relationships" ref="J333" r:id="rId336"/>
    <hyperlink xmlns:r="http://schemas.openxmlformats.org/officeDocument/2006/relationships" ref="J334" r:id="rId337"/>
    <hyperlink xmlns:r="http://schemas.openxmlformats.org/officeDocument/2006/relationships" ref="J335" r:id="rId338"/>
    <hyperlink xmlns:r="http://schemas.openxmlformats.org/officeDocument/2006/relationships" ref="J336" r:id="rId339"/>
    <hyperlink xmlns:r="http://schemas.openxmlformats.org/officeDocument/2006/relationships" ref="J337" r:id="rId340"/>
    <hyperlink xmlns:r="http://schemas.openxmlformats.org/officeDocument/2006/relationships" ref="J338" r:id="rId341"/>
    <hyperlink xmlns:r="http://schemas.openxmlformats.org/officeDocument/2006/relationships" ref="J339" r:id="rId342"/>
    <hyperlink xmlns:r="http://schemas.openxmlformats.org/officeDocument/2006/relationships" ref="J340" r:id="rId343"/>
    <hyperlink xmlns:r="http://schemas.openxmlformats.org/officeDocument/2006/relationships" ref="J341" r:id="rId344"/>
    <hyperlink xmlns:r="http://schemas.openxmlformats.org/officeDocument/2006/relationships" ref="J342" r:id="rId345"/>
    <hyperlink xmlns:r="http://schemas.openxmlformats.org/officeDocument/2006/relationships" ref="J343" r:id="rId346"/>
    <hyperlink xmlns:r="http://schemas.openxmlformats.org/officeDocument/2006/relationships" ref="J344" r:id="rId347"/>
    <hyperlink xmlns:r="http://schemas.openxmlformats.org/officeDocument/2006/relationships" ref="J345" r:id="rId348"/>
    <hyperlink xmlns:r="http://schemas.openxmlformats.org/officeDocument/2006/relationships" ref="J346" r:id="rId349"/>
    <hyperlink xmlns:r="http://schemas.openxmlformats.org/officeDocument/2006/relationships" ref="J347" r:id="rId350"/>
    <hyperlink xmlns:r="http://schemas.openxmlformats.org/officeDocument/2006/relationships" ref="J348" r:id="rId351"/>
    <hyperlink xmlns:r="http://schemas.openxmlformats.org/officeDocument/2006/relationships" ref="J349" r:id="rId352"/>
    <hyperlink xmlns:r="http://schemas.openxmlformats.org/officeDocument/2006/relationships" ref="J350" r:id="rId353"/>
    <hyperlink xmlns:r="http://schemas.openxmlformats.org/officeDocument/2006/relationships" ref="J351" r:id="rId354"/>
    <hyperlink xmlns:r="http://schemas.openxmlformats.org/officeDocument/2006/relationships" ref="J352" r:id="rId355"/>
    <hyperlink xmlns:r="http://schemas.openxmlformats.org/officeDocument/2006/relationships" ref="J353" r:id="rId356"/>
    <hyperlink xmlns:r="http://schemas.openxmlformats.org/officeDocument/2006/relationships" ref="J354" r:id="rId357"/>
    <hyperlink xmlns:r="http://schemas.openxmlformats.org/officeDocument/2006/relationships" ref="J355" r:id="rId358"/>
    <hyperlink xmlns:r="http://schemas.openxmlformats.org/officeDocument/2006/relationships" ref="J356" r:id="rId359"/>
    <hyperlink xmlns:r="http://schemas.openxmlformats.org/officeDocument/2006/relationships" ref="J357" r:id="rId360"/>
    <hyperlink xmlns:r="http://schemas.openxmlformats.org/officeDocument/2006/relationships" ref="J358" r:id="rId361"/>
    <hyperlink xmlns:r="http://schemas.openxmlformats.org/officeDocument/2006/relationships" ref="J359" r:id="rId362"/>
    <hyperlink xmlns:r="http://schemas.openxmlformats.org/officeDocument/2006/relationships" ref="J360" r:id="rId363"/>
    <hyperlink xmlns:r="http://schemas.openxmlformats.org/officeDocument/2006/relationships" ref="J361" r:id="rId364"/>
    <hyperlink xmlns:r="http://schemas.openxmlformats.org/officeDocument/2006/relationships" ref="J362" r:id="rId365"/>
    <hyperlink xmlns:r="http://schemas.openxmlformats.org/officeDocument/2006/relationships" ref="J363" r:id="rId366"/>
    <hyperlink xmlns:r="http://schemas.openxmlformats.org/officeDocument/2006/relationships" ref="J364" r:id="rId367"/>
    <hyperlink xmlns:r="http://schemas.openxmlformats.org/officeDocument/2006/relationships" ref="J365" r:id="rId368"/>
    <hyperlink xmlns:r="http://schemas.openxmlformats.org/officeDocument/2006/relationships" ref="J366" r:id="rId369"/>
    <hyperlink xmlns:r="http://schemas.openxmlformats.org/officeDocument/2006/relationships" ref="J367" r:id="rId370"/>
    <hyperlink xmlns:r="http://schemas.openxmlformats.org/officeDocument/2006/relationships" ref="J368" r:id="rId371"/>
    <hyperlink xmlns:r="http://schemas.openxmlformats.org/officeDocument/2006/relationships" ref="J369" r:id="rId372"/>
    <hyperlink xmlns:r="http://schemas.openxmlformats.org/officeDocument/2006/relationships" ref="J370" r:id="rId373"/>
    <hyperlink xmlns:r="http://schemas.openxmlformats.org/officeDocument/2006/relationships" ref="J371" r:id="rId374"/>
    <hyperlink xmlns:r="http://schemas.openxmlformats.org/officeDocument/2006/relationships" ref="J372" r:id="rId375"/>
    <hyperlink xmlns:r="http://schemas.openxmlformats.org/officeDocument/2006/relationships" ref="J373" r:id="rId376"/>
    <hyperlink xmlns:r="http://schemas.openxmlformats.org/officeDocument/2006/relationships" ref="J374" r:id="rId377"/>
    <hyperlink xmlns:r="http://schemas.openxmlformats.org/officeDocument/2006/relationships" ref="J375" r:id="rId378"/>
    <hyperlink xmlns:r="http://schemas.openxmlformats.org/officeDocument/2006/relationships" ref="J376" r:id="rId379"/>
    <hyperlink xmlns:r="http://schemas.openxmlformats.org/officeDocument/2006/relationships" ref="J377" r:id="rId380"/>
    <hyperlink xmlns:r="http://schemas.openxmlformats.org/officeDocument/2006/relationships" ref="J378" r:id="rId381"/>
    <hyperlink xmlns:r="http://schemas.openxmlformats.org/officeDocument/2006/relationships" ref="J379" r:id="rId382"/>
    <hyperlink xmlns:r="http://schemas.openxmlformats.org/officeDocument/2006/relationships" ref="J380" r:id="rId383"/>
    <hyperlink xmlns:r="http://schemas.openxmlformats.org/officeDocument/2006/relationships" ref="J381" r:id="rId384"/>
    <hyperlink xmlns:r="http://schemas.openxmlformats.org/officeDocument/2006/relationships" ref="J382" r:id="rId385"/>
    <hyperlink xmlns:r="http://schemas.openxmlformats.org/officeDocument/2006/relationships" ref="J383" r:id="rId386"/>
    <hyperlink xmlns:r="http://schemas.openxmlformats.org/officeDocument/2006/relationships" ref="J384" r:id="rId387"/>
    <hyperlink xmlns:r="http://schemas.openxmlformats.org/officeDocument/2006/relationships" ref="J385" r:id="rId388"/>
    <hyperlink xmlns:r="http://schemas.openxmlformats.org/officeDocument/2006/relationships" ref="J386" r:id="rId389"/>
    <hyperlink xmlns:r="http://schemas.openxmlformats.org/officeDocument/2006/relationships" ref="J387" r:id="rId390"/>
    <hyperlink xmlns:r="http://schemas.openxmlformats.org/officeDocument/2006/relationships" ref="J388" r:id="rId391"/>
    <hyperlink xmlns:r="http://schemas.openxmlformats.org/officeDocument/2006/relationships" ref="J389" r:id="rId392"/>
    <hyperlink xmlns:r="http://schemas.openxmlformats.org/officeDocument/2006/relationships" ref="J390" r:id="rId393"/>
    <hyperlink xmlns:r="http://schemas.openxmlformats.org/officeDocument/2006/relationships" ref="J391" r:id="rId394"/>
    <hyperlink xmlns:r="http://schemas.openxmlformats.org/officeDocument/2006/relationships" ref="J392" r:id="rId395"/>
    <hyperlink xmlns:r="http://schemas.openxmlformats.org/officeDocument/2006/relationships" ref="J393" r:id="rId396"/>
    <hyperlink xmlns:r="http://schemas.openxmlformats.org/officeDocument/2006/relationships" ref="J394" r:id="rId397"/>
    <hyperlink xmlns:r="http://schemas.openxmlformats.org/officeDocument/2006/relationships" ref="J395" r:id="rId398"/>
    <hyperlink xmlns:r="http://schemas.openxmlformats.org/officeDocument/2006/relationships" ref="J396" r:id="rId399"/>
    <hyperlink xmlns:r="http://schemas.openxmlformats.org/officeDocument/2006/relationships" ref="J397" r:id="rId400"/>
    <hyperlink xmlns:r="http://schemas.openxmlformats.org/officeDocument/2006/relationships" ref="J398" r:id="rId401"/>
    <hyperlink xmlns:r="http://schemas.openxmlformats.org/officeDocument/2006/relationships" ref="J399" r:id="rId402"/>
    <hyperlink xmlns:r="http://schemas.openxmlformats.org/officeDocument/2006/relationships" ref="J400" r:id="rId403"/>
    <hyperlink xmlns:r="http://schemas.openxmlformats.org/officeDocument/2006/relationships" ref="J401" r:id="rId404"/>
    <hyperlink xmlns:r="http://schemas.openxmlformats.org/officeDocument/2006/relationships" ref="J402" r:id="rId405"/>
    <hyperlink xmlns:r="http://schemas.openxmlformats.org/officeDocument/2006/relationships" ref="J403" r:id="rId406"/>
    <hyperlink xmlns:r="http://schemas.openxmlformats.org/officeDocument/2006/relationships" ref="J404" r:id="rId407"/>
    <hyperlink xmlns:r="http://schemas.openxmlformats.org/officeDocument/2006/relationships" ref="J405" r:id="rId408"/>
    <hyperlink xmlns:r="http://schemas.openxmlformats.org/officeDocument/2006/relationships" ref="J406" r:id="rId409"/>
    <hyperlink xmlns:r="http://schemas.openxmlformats.org/officeDocument/2006/relationships" ref="J407" r:id="rId410"/>
    <hyperlink xmlns:r="http://schemas.openxmlformats.org/officeDocument/2006/relationships" ref="J408" r:id="rId411"/>
    <hyperlink xmlns:r="http://schemas.openxmlformats.org/officeDocument/2006/relationships" ref="J409" r:id="rId412"/>
    <hyperlink xmlns:r="http://schemas.openxmlformats.org/officeDocument/2006/relationships" ref="J410" r:id="rId413"/>
    <hyperlink xmlns:r="http://schemas.openxmlformats.org/officeDocument/2006/relationships" ref="J411" r:id="rId414"/>
    <hyperlink xmlns:r="http://schemas.openxmlformats.org/officeDocument/2006/relationships" ref="J412" r:id="rId415"/>
    <hyperlink xmlns:r="http://schemas.openxmlformats.org/officeDocument/2006/relationships" ref="J413" r:id="rId416"/>
    <hyperlink xmlns:r="http://schemas.openxmlformats.org/officeDocument/2006/relationships" ref="J414" r:id="rId417"/>
    <hyperlink xmlns:r="http://schemas.openxmlformats.org/officeDocument/2006/relationships" ref="J415" r:id="rId418"/>
    <hyperlink xmlns:r="http://schemas.openxmlformats.org/officeDocument/2006/relationships" ref="J416" r:id="rId419"/>
    <hyperlink xmlns:r="http://schemas.openxmlformats.org/officeDocument/2006/relationships" ref="J417" r:id="rId420"/>
    <hyperlink xmlns:r="http://schemas.openxmlformats.org/officeDocument/2006/relationships" ref="J418" r:id="rId421"/>
    <hyperlink xmlns:r="http://schemas.openxmlformats.org/officeDocument/2006/relationships" ref="J419" r:id="rId422"/>
    <hyperlink xmlns:r="http://schemas.openxmlformats.org/officeDocument/2006/relationships" ref="J420" r:id="rId423"/>
    <hyperlink xmlns:r="http://schemas.openxmlformats.org/officeDocument/2006/relationships" ref="J421" r:id="rId424"/>
    <hyperlink xmlns:r="http://schemas.openxmlformats.org/officeDocument/2006/relationships" ref="J422" r:id="rId425"/>
    <hyperlink xmlns:r="http://schemas.openxmlformats.org/officeDocument/2006/relationships" ref="J423" r:id="rId426"/>
    <hyperlink xmlns:r="http://schemas.openxmlformats.org/officeDocument/2006/relationships" ref="J424" r:id="rId427"/>
    <hyperlink xmlns:r="http://schemas.openxmlformats.org/officeDocument/2006/relationships" ref="J425" r:id="rId428"/>
    <hyperlink xmlns:r="http://schemas.openxmlformats.org/officeDocument/2006/relationships" ref="J426" r:id="rId429"/>
    <hyperlink xmlns:r="http://schemas.openxmlformats.org/officeDocument/2006/relationships" ref="J427" r:id="rId430"/>
    <hyperlink xmlns:r="http://schemas.openxmlformats.org/officeDocument/2006/relationships" ref="J428" r:id="rId431"/>
    <hyperlink xmlns:r="http://schemas.openxmlformats.org/officeDocument/2006/relationships" ref="J429" r:id="rId432"/>
    <hyperlink xmlns:r="http://schemas.openxmlformats.org/officeDocument/2006/relationships" ref="J430" r:id="rId433"/>
    <hyperlink xmlns:r="http://schemas.openxmlformats.org/officeDocument/2006/relationships" ref="J431" r:id="rId434"/>
    <hyperlink xmlns:r="http://schemas.openxmlformats.org/officeDocument/2006/relationships" ref="J432" r:id="rId435"/>
    <hyperlink xmlns:r="http://schemas.openxmlformats.org/officeDocument/2006/relationships" ref="J433" r:id="rId436"/>
    <hyperlink xmlns:r="http://schemas.openxmlformats.org/officeDocument/2006/relationships" ref="J434" r:id="rId437"/>
    <hyperlink xmlns:r="http://schemas.openxmlformats.org/officeDocument/2006/relationships" ref="J435" r:id="rId438"/>
    <hyperlink xmlns:r="http://schemas.openxmlformats.org/officeDocument/2006/relationships" ref="J436" r:id="rId439"/>
    <hyperlink xmlns:r="http://schemas.openxmlformats.org/officeDocument/2006/relationships" ref="J437" r:id="rId440"/>
    <hyperlink xmlns:r="http://schemas.openxmlformats.org/officeDocument/2006/relationships" ref="J438" r:id="rId441"/>
    <hyperlink xmlns:r="http://schemas.openxmlformats.org/officeDocument/2006/relationships" ref="J439" r:id="rId442"/>
    <hyperlink xmlns:r="http://schemas.openxmlformats.org/officeDocument/2006/relationships" ref="J440" r:id="rId443"/>
    <hyperlink xmlns:r="http://schemas.openxmlformats.org/officeDocument/2006/relationships" ref="J441" r:id="rId444"/>
    <hyperlink xmlns:r="http://schemas.openxmlformats.org/officeDocument/2006/relationships" ref="J442" r:id="rId445"/>
    <hyperlink xmlns:r="http://schemas.openxmlformats.org/officeDocument/2006/relationships" ref="J443" r:id="rId446"/>
    <hyperlink xmlns:r="http://schemas.openxmlformats.org/officeDocument/2006/relationships" ref="J444" r:id="rId447"/>
    <hyperlink xmlns:r="http://schemas.openxmlformats.org/officeDocument/2006/relationships" ref="J445" r:id="rId448"/>
    <hyperlink xmlns:r="http://schemas.openxmlformats.org/officeDocument/2006/relationships" ref="J446" r:id="rId449"/>
    <hyperlink xmlns:r="http://schemas.openxmlformats.org/officeDocument/2006/relationships" ref="J447" r:id="rId450"/>
    <hyperlink xmlns:r="http://schemas.openxmlformats.org/officeDocument/2006/relationships" ref="J448" r:id="rId451"/>
    <hyperlink xmlns:r="http://schemas.openxmlformats.org/officeDocument/2006/relationships" ref="J449" r:id="rId452"/>
    <hyperlink xmlns:r="http://schemas.openxmlformats.org/officeDocument/2006/relationships" ref="J450" r:id="rId453"/>
    <hyperlink xmlns:r="http://schemas.openxmlformats.org/officeDocument/2006/relationships" ref="J451" r:id="rId454"/>
    <hyperlink xmlns:r="http://schemas.openxmlformats.org/officeDocument/2006/relationships" ref="J452" r:id="rId455"/>
    <hyperlink xmlns:r="http://schemas.openxmlformats.org/officeDocument/2006/relationships" ref="J453" r:id="rId456"/>
    <hyperlink xmlns:r="http://schemas.openxmlformats.org/officeDocument/2006/relationships" ref="J454" r:id="rId457"/>
    <hyperlink xmlns:r="http://schemas.openxmlformats.org/officeDocument/2006/relationships" ref="J455" r:id="rId458"/>
    <hyperlink xmlns:r="http://schemas.openxmlformats.org/officeDocument/2006/relationships" ref="J456" r:id="rId459"/>
    <hyperlink xmlns:r="http://schemas.openxmlformats.org/officeDocument/2006/relationships" ref="J457" r:id="rId460"/>
    <hyperlink xmlns:r="http://schemas.openxmlformats.org/officeDocument/2006/relationships" ref="J458" r:id="rId461"/>
    <hyperlink xmlns:r="http://schemas.openxmlformats.org/officeDocument/2006/relationships" ref="J459" r:id="rId462"/>
    <hyperlink xmlns:r="http://schemas.openxmlformats.org/officeDocument/2006/relationships" ref="J460" r:id="rId463"/>
    <hyperlink xmlns:r="http://schemas.openxmlformats.org/officeDocument/2006/relationships" ref="J461" r:id="rId464"/>
    <hyperlink xmlns:r="http://schemas.openxmlformats.org/officeDocument/2006/relationships" ref="J462" r:id="rId465"/>
    <hyperlink xmlns:r="http://schemas.openxmlformats.org/officeDocument/2006/relationships" ref="J463" r:id="rId466"/>
    <hyperlink xmlns:r="http://schemas.openxmlformats.org/officeDocument/2006/relationships" ref="J464" r:id="rId467"/>
    <hyperlink xmlns:r="http://schemas.openxmlformats.org/officeDocument/2006/relationships" ref="J465" r:id="rId468"/>
    <hyperlink xmlns:r="http://schemas.openxmlformats.org/officeDocument/2006/relationships" ref="J466" r:id="rId469"/>
    <hyperlink xmlns:r="http://schemas.openxmlformats.org/officeDocument/2006/relationships" ref="J467" r:id="rId470"/>
    <hyperlink xmlns:r="http://schemas.openxmlformats.org/officeDocument/2006/relationships" ref="J468" r:id="rId471"/>
    <hyperlink xmlns:r="http://schemas.openxmlformats.org/officeDocument/2006/relationships" ref="J469" r:id="rId472"/>
    <hyperlink xmlns:r="http://schemas.openxmlformats.org/officeDocument/2006/relationships" ref="J470" r:id="rId473"/>
    <hyperlink xmlns:r="http://schemas.openxmlformats.org/officeDocument/2006/relationships" ref="J471" r:id="rId474"/>
    <hyperlink xmlns:r="http://schemas.openxmlformats.org/officeDocument/2006/relationships" ref="J472" r:id="rId475"/>
    <hyperlink xmlns:r="http://schemas.openxmlformats.org/officeDocument/2006/relationships" ref="J473" r:id="rId476"/>
    <hyperlink xmlns:r="http://schemas.openxmlformats.org/officeDocument/2006/relationships" ref="J474" r:id="rId477"/>
    <hyperlink xmlns:r="http://schemas.openxmlformats.org/officeDocument/2006/relationships" ref="J475" r:id="rId478"/>
    <hyperlink xmlns:r="http://schemas.openxmlformats.org/officeDocument/2006/relationships" ref="J476" r:id="rId479"/>
    <hyperlink xmlns:r="http://schemas.openxmlformats.org/officeDocument/2006/relationships" ref="J477" r:id="rId480"/>
    <hyperlink xmlns:r="http://schemas.openxmlformats.org/officeDocument/2006/relationships" ref="J478" r:id="rId481"/>
    <hyperlink xmlns:r="http://schemas.openxmlformats.org/officeDocument/2006/relationships" ref="J479" r:id="rId482"/>
    <hyperlink xmlns:r="http://schemas.openxmlformats.org/officeDocument/2006/relationships" ref="J480" r:id="rId483"/>
    <hyperlink xmlns:r="http://schemas.openxmlformats.org/officeDocument/2006/relationships" ref="J481" r:id="rId484"/>
    <hyperlink xmlns:r="http://schemas.openxmlformats.org/officeDocument/2006/relationships" ref="J482" r:id="rId485"/>
    <hyperlink xmlns:r="http://schemas.openxmlformats.org/officeDocument/2006/relationships" ref="J483" r:id="rId486"/>
    <hyperlink xmlns:r="http://schemas.openxmlformats.org/officeDocument/2006/relationships" ref="J484" r:id="rId487"/>
    <hyperlink xmlns:r="http://schemas.openxmlformats.org/officeDocument/2006/relationships" ref="J485" r:id="rId488"/>
    <hyperlink xmlns:r="http://schemas.openxmlformats.org/officeDocument/2006/relationships" ref="J486" r:id="rId489"/>
    <hyperlink xmlns:r="http://schemas.openxmlformats.org/officeDocument/2006/relationships" ref="J487" r:id="rId490"/>
    <hyperlink xmlns:r="http://schemas.openxmlformats.org/officeDocument/2006/relationships" ref="J488" r:id="rId491"/>
    <hyperlink xmlns:r="http://schemas.openxmlformats.org/officeDocument/2006/relationships" ref="J489" r:id="rId492"/>
    <hyperlink xmlns:r="http://schemas.openxmlformats.org/officeDocument/2006/relationships" ref="J490" r:id="rId493"/>
    <hyperlink xmlns:r="http://schemas.openxmlformats.org/officeDocument/2006/relationships" ref="J491" r:id="rId494"/>
    <hyperlink xmlns:r="http://schemas.openxmlformats.org/officeDocument/2006/relationships" ref="J492" r:id="rId495"/>
    <hyperlink xmlns:r="http://schemas.openxmlformats.org/officeDocument/2006/relationships" ref="J493" r:id="rId496"/>
    <hyperlink xmlns:r="http://schemas.openxmlformats.org/officeDocument/2006/relationships" ref="J494" r:id="rId497"/>
    <hyperlink xmlns:r="http://schemas.openxmlformats.org/officeDocument/2006/relationships" ref="J495" r:id="rId498"/>
    <hyperlink xmlns:r="http://schemas.openxmlformats.org/officeDocument/2006/relationships" ref="J496" r:id="rId499"/>
    <hyperlink xmlns:r="http://schemas.openxmlformats.org/officeDocument/2006/relationships" ref="J497" r:id="rId500"/>
    <hyperlink xmlns:r="http://schemas.openxmlformats.org/officeDocument/2006/relationships" ref="J498" r:id="rId501"/>
    <hyperlink xmlns:r="http://schemas.openxmlformats.org/officeDocument/2006/relationships" ref="J499" r:id="rId502"/>
    <hyperlink xmlns:r="http://schemas.openxmlformats.org/officeDocument/2006/relationships" ref="J500" r:id="rId503"/>
    <hyperlink xmlns:r="http://schemas.openxmlformats.org/officeDocument/2006/relationships" ref="J501" r:id="rId504"/>
    <hyperlink xmlns:r="http://schemas.openxmlformats.org/officeDocument/2006/relationships" ref="J502" r:id="rId505"/>
    <hyperlink xmlns:r="http://schemas.openxmlformats.org/officeDocument/2006/relationships" ref="J503" r:id="rId506"/>
    <hyperlink xmlns:r="http://schemas.openxmlformats.org/officeDocument/2006/relationships" ref="J504" r:id="rId507"/>
    <hyperlink xmlns:r="http://schemas.openxmlformats.org/officeDocument/2006/relationships" ref="J505" r:id="rId508"/>
    <hyperlink xmlns:r="http://schemas.openxmlformats.org/officeDocument/2006/relationships" ref="J506" r:id="rId509"/>
    <hyperlink xmlns:r="http://schemas.openxmlformats.org/officeDocument/2006/relationships" ref="J507" r:id="rId510"/>
    <hyperlink xmlns:r="http://schemas.openxmlformats.org/officeDocument/2006/relationships" ref="J508" r:id="rId511"/>
    <hyperlink xmlns:r="http://schemas.openxmlformats.org/officeDocument/2006/relationships" ref="J509" r:id="rId512"/>
    <hyperlink xmlns:r="http://schemas.openxmlformats.org/officeDocument/2006/relationships" ref="J510" r:id="rId513"/>
    <hyperlink xmlns:r="http://schemas.openxmlformats.org/officeDocument/2006/relationships" ref="J511" r:id="rId514"/>
    <hyperlink xmlns:r="http://schemas.openxmlformats.org/officeDocument/2006/relationships" ref="J512" r:id="rId515"/>
    <hyperlink xmlns:r="http://schemas.openxmlformats.org/officeDocument/2006/relationships" ref="J513" r:id="rId516"/>
    <hyperlink xmlns:r="http://schemas.openxmlformats.org/officeDocument/2006/relationships" ref="J514" r:id="rId517"/>
    <hyperlink xmlns:r="http://schemas.openxmlformats.org/officeDocument/2006/relationships" ref="J515" r:id="rId518"/>
    <hyperlink xmlns:r="http://schemas.openxmlformats.org/officeDocument/2006/relationships" ref="J516" r:id="rId519"/>
    <hyperlink xmlns:r="http://schemas.openxmlformats.org/officeDocument/2006/relationships" ref="J517" r:id="rId520"/>
    <hyperlink xmlns:r="http://schemas.openxmlformats.org/officeDocument/2006/relationships" ref="J518" r:id="rId521"/>
    <hyperlink xmlns:r="http://schemas.openxmlformats.org/officeDocument/2006/relationships" ref="J519" r:id="rId522"/>
    <hyperlink xmlns:r="http://schemas.openxmlformats.org/officeDocument/2006/relationships" ref="J520" r:id="rId523"/>
    <hyperlink xmlns:r="http://schemas.openxmlformats.org/officeDocument/2006/relationships" ref="J521" r:id="rId524"/>
    <hyperlink xmlns:r="http://schemas.openxmlformats.org/officeDocument/2006/relationships" ref="J522" r:id="rId525"/>
    <hyperlink xmlns:r="http://schemas.openxmlformats.org/officeDocument/2006/relationships" ref="J523" r:id="rId526"/>
    <hyperlink xmlns:r="http://schemas.openxmlformats.org/officeDocument/2006/relationships" ref="J524" r:id="rId527"/>
    <hyperlink xmlns:r="http://schemas.openxmlformats.org/officeDocument/2006/relationships" ref="J525" r:id="rId528"/>
    <hyperlink xmlns:r="http://schemas.openxmlformats.org/officeDocument/2006/relationships" ref="J526" r:id="rId529"/>
    <hyperlink xmlns:r="http://schemas.openxmlformats.org/officeDocument/2006/relationships" ref="J527" r:id="rId530"/>
    <hyperlink xmlns:r="http://schemas.openxmlformats.org/officeDocument/2006/relationships" ref="J528" r:id="rId531"/>
    <hyperlink xmlns:r="http://schemas.openxmlformats.org/officeDocument/2006/relationships" ref="J529" r:id="rId532"/>
    <hyperlink xmlns:r="http://schemas.openxmlformats.org/officeDocument/2006/relationships" ref="J530" r:id="rId533"/>
    <hyperlink xmlns:r="http://schemas.openxmlformats.org/officeDocument/2006/relationships" ref="J531" r:id="rId534"/>
    <hyperlink xmlns:r="http://schemas.openxmlformats.org/officeDocument/2006/relationships" ref="J532" r:id="rId535"/>
    <hyperlink xmlns:r="http://schemas.openxmlformats.org/officeDocument/2006/relationships" ref="J533" r:id="rId536"/>
    <hyperlink xmlns:r="http://schemas.openxmlformats.org/officeDocument/2006/relationships" ref="J534" r:id="rId537"/>
    <hyperlink xmlns:r="http://schemas.openxmlformats.org/officeDocument/2006/relationships" ref="J535" r:id="rId538"/>
    <hyperlink xmlns:r="http://schemas.openxmlformats.org/officeDocument/2006/relationships" ref="J536" r:id="rId539"/>
    <hyperlink xmlns:r="http://schemas.openxmlformats.org/officeDocument/2006/relationships" ref="J537" r:id="rId540"/>
    <hyperlink xmlns:r="http://schemas.openxmlformats.org/officeDocument/2006/relationships" ref="J538" r:id="rId541"/>
    <hyperlink xmlns:r="http://schemas.openxmlformats.org/officeDocument/2006/relationships" ref="J539" r:id="rId542"/>
    <hyperlink xmlns:r="http://schemas.openxmlformats.org/officeDocument/2006/relationships" ref="J540" r:id="rId543"/>
    <hyperlink xmlns:r="http://schemas.openxmlformats.org/officeDocument/2006/relationships" ref="J541" r:id="rId544"/>
    <hyperlink xmlns:r="http://schemas.openxmlformats.org/officeDocument/2006/relationships" ref="J542" r:id="rId545"/>
    <hyperlink xmlns:r="http://schemas.openxmlformats.org/officeDocument/2006/relationships" ref="J543" r:id="rId546"/>
    <hyperlink xmlns:r="http://schemas.openxmlformats.org/officeDocument/2006/relationships" ref="J544" r:id="rId547"/>
    <hyperlink xmlns:r="http://schemas.openxmlformats.org/officeDocument/2006/relationships" ref="J545" r:id="rId548"/>
    <hyperlink xmlns:r="http://schemas.openxmlformats.org/officeDocument/2006/relationships" ref="J546" r:id="rId549"/>
    <hyperlink xmlns:r="http://schemas.openxmlformats.org/officeDocument/2006/relationships" ref="J547" r:id="rId550"/>
    <hyperlink xmlns:r="http://schemas.openxmlformats.org/officeDocument/2006/relationships" ref="J548" r:id="rId551"/>
    <hyperlink xmlns:r="http://schemas.openxmlformats.org/officeDocument/2006/relationships" ref="J549" r:id="rId552"/>
    <hyperlink xmlns:r="http://schemas.openxmlformats.org/officeDocument/2006/relationships" ref="J550" r:id="rId553"/>
    <hyperlink xmlns:r="http://schemas.openxmlformats.org/officeDocument/2006/relationships" ref="J551" r:id="rId554"/>
    <hyperlink xmlns:r="http://schemas.openxmlformats.org/officeDocument/2006/relationships" ref="J552" r:id="rId555"/>
    <hyperlink xmlns:r="http://schemas.openxmlformats.org/officeDocument/2006/relationships" ref="J553" r:id="rId556"/>
    <hyperlink xmlns:r="http://schemas.openxmlformats.org/officeDocument/2006/relationships" ref="J554" r:id="rId557"/>
    <hyperlink xmlns:r="http://schemas.openxmlformats.org/officeDocument/2006/relationships" ref="J555" r:id="rId558"/>
    <hyperlink xmlns:r="http://schemas.openxmlformats.org/officeDocument/2006/relationships" ref="J556" r:id="rId559"/>
    <hyperlink xmlns:r="http://schemas.openxmlformats.org/officeDocument/2006/relationships" ref="J557" r:id="rId560"/>
    <hyperlink xmlns:r="http://schemas.openxmlformats.org/officeDocument/2006/relationships" ref="J558" r:id="rId561"/>
    <hyperlink xmlns:r="http://schemas.openxmlformats.org/officeDocument/2006/relationships" ref="J559" r:id="rId562"/>
    <hyperlink xmlns:r="http://schemas.openxmlformats.org/officeDocument/2006/relationships" ref="J560" r:id="rId563"/>
    <hyperlink xmlns:r="http://schemas.openxmlformats.org/officeDocument/2006/relationships" ref="J561" r:id="rId564"/>
    <hyperlink xmlns:r="http://schemas.openxmlformats.org/officeDocument/2006/relationships" ref="J562" r:id="rId565"/>
    <hyperlink xmlns:r="http://schemas.openxmlformats.org/officeDocument/2006/relationships" ref="J563" r:id="rId566"/>
    <hyperlink xmlns:r="http://schemas.openxmlformats.org/officeDocument/2006/relationships" ref="J564" r:id="rId567"/>
    <hyperlink xmlns:r="http://schemas.openxmlformats.org/officeDocument/2006/relationships" ref="J565" r:id="rId568"/>
    <hyperlink xmlns:r="http://schemas.openxmlformats.org/officeDocument/2006/relationships" ref="J566" r:id="rId569"/>
    <hyperlink xmlns:r="http://schemas.openxmlformats.org/officeDocument/2006/relationships" ref="J567" r:id="rId570"/>
    <hyperlink xmlns:r="http://schemas.openxmlformats.org/officeDocument/2006/relationships" ref="J568" r:id="rId571"/>
    <hyperlink xmlns:r="http://schemas.openxmlformats.org/officeDocument/2006/relationships" ref="J569" r:id="rId572"/>
    <hyperlink xmlns:r="http://schemas.openxmlformats.org/officeDocument/2006/relationships" ref="J570" r:id="rId573"/>
    <hyperlink xmlns:r="http://schemas.openxmlformats.org/officeDocument/2006/relationships" ref="J571" r:id="rId574"/>
    <hyperlink xmlns:r="http://schemas.openxmlformats.org/officeDocument/2006/relationships" ref="J572" r:id="rId575"/>
    <hyperlink xmlns:r="http://schemas.openxmlformats.org/officeDocument/2006/relationships" ref="J573" r:id="rId576"/>
    <hyperlink xmlns:r="http://schemas.openxmlformats.org/officeDocument/2006/relationships" ref="J574" r:id="rId577"/>
    <hyperlink xmlns:r="http://schemas.openxmlformats.org/officeDocument/2006/relationships" ref="J575" r:id="rId578"/>
    <hyperlink xmlns:r="http://schemas.openxmlformats.org/officeDocument/2006/relationships" ref="J576" r:id="rId579"/>
    <hyperlink xmlns:r="http://schemas.openxmlformats.org/officeDocument/2006/relationships" ref="J577" r:id="rId580"/>
    <hyperlink xmlns:r="http://schemas.openxmlformats.org/officeDocument/2006/relationships" ref="J578" r:id="rId581"/>
    <hyperlink xmlns:r="http://schemas.openxmlformats.org/officeDocument/2006/relationships" ref="J579" r:id="rId582"/>
    <hyperlink xmlns:r="http://schemas.openxmlformats.org/officeDocument/2006/relationships" ref="J580" r:id="rId583"/>
    <hyperlink xmlns:r="http://schemas.openxmlformats.org/officeDocument/2006/relationships" ref="J581" r:id="rId584"/>
    <hyperlink xmlns:r="http://schemas.openxmlformats.org/officeDocument/2006/relationships" ref="J582" r:id="rId585"/>
    <hyperlink xmlns:r="http://schemas.openxmlformats.org/officeDocument/2006/relationships" ref="J583" r:id="rId586"/>
    <hyperlink xmlns:r="http://schemas.openxmlformats.org/officeDocument/2006/relationships" ref="J584" r:id="rId587"/>
    <hyperlink xmlns:r="http://schemas.openxmlformats.org/officeDocument/2006/relationships" ref="J585" r:id="rId588"/>
    <hyperlink xmlns:r="http://schemas.openxmlformats.org/officeDocument/2006/relationships" ref="J586" r:id="rId589"/>
    <hyperlink xmlns:r="http://schemas.openxmlformats.org/officeDocument/2006/relationships" ref="J587" r:id="rId590"/>
    <hyperlink xmlns:r="http://schemas.openxmlformats.org/officeDocument/2006/relationships" ref="J588" r:id="rId591"/>
    <hyperlink xmlns:r="http://schemas.openxmlformats.org/officeDocument/2006/relationships" ref="J589" r:id="rId592"/>
    <hyperlink xmlns:r="http://schemas.openxmlformats.org/officeDocument/2006/relationships" ref="J590" r:id="rId593"/>
    <hyperlink xmlns:r="http://schemas.openxmlformats.org/officeDocument/2006/relationships" ref="J591" r:id="rId594"/>
    <hyperlink xmlns:r="http://schemas.openxmlformats.org/officeDocument/2006/relationships" ref="J592" r:id="rId595"/>
    <hyperlink xmlns:r="http://schemas.openxmlformats.org/officeDocument/2006/relationships" ref="J593" r:id="rId596"/>
    <hyperlink xmlns:r="http://schemas.openxmlformats.org/officeDocument/2006/relationships" ref="J594" r:id="rId597"/>
    <hyperlink xmlns:r="http://schemas.openxmlformats.org/officeDocument/2006/relationships" ref="J595" r:id="rId598"/>
    <hyperlink xmlns:r="http://schemas.openxmlformats.org/officeDocument/2006/relationships" ref="J596" r:id="rId599"/>
    <hyperlink xmlns:r="http://schemas.openxmlformats.org/officeDocument/2006/relationships" ref="J597" r:id="rId600"/>
    <hyperlink xmlns:r="http://schemas.openxmlformats.org/officeDocument/2006/relationships" ref="J598" r:id="rId601"/>
    <hyperlink xmlns:r="http://schemas.openxmlformats.org/officeDocument/2006/relationships" ref="J599" r:id="rId602"/>
    <hyperlink xmlns:r="http://schemas.openxmlformats.org/officeDocument/2006/relationships" ref="J600" r:id="rId603"/>
    <hyperlink xmlns:r="http://schemas.openxmlformats.org/officeDocument/2006/relationships" ref="J601" r:id="rId604"/>
    <hyperlink xmlns:r="http://schemas.openxmlformats.org/officeDocument/2006/relationships" ref="J602" r:id="rId605"/>
    <hyperlink xmlns:r="http://schemas.openxmlformats.org/officeDocument/2006/relationships" ref="J603" r:id="rId606"/>
    <hyperlink xmlns:r="http://schemas.openxmlformats.org/officeDocument/2006/relationships" ref="J604" r:id="rId607"/>
    <hyperlink xmlns:r="http://schemas.openxmlformats.org/officeDocument/2006/relationships" ref="J605" r:id="rId608"/>
    <hyperlink xmlns:r="http://schemas.openxmlformats.org/officeDocument/2006/relationships" ref="J606" r:id="rId609"/>
    <hyperlink xmlns:r="http://schemas.openxmlformats.org/officeDocument/2006/relationships" ref="J607" r:id="rId610"/>
    <hyperlink xmlns:r="http://schemas.openxmlformats.org/officeDocument/2006/relationships" ref="J608" r:id="rId611"/>
    <hyperlink xmlns:r="http://schemas.openxmlformats.org/officeDocument/2006/relationships" ref="J609" r:id="rId612"/>
    <hyperlink xmlns:r="http://schemas.openxmlformats.org/officeDocument/2006/relationships" ref="J610" r:id="rId613"/>
    <hyperlink xmlns:r="http://schemas.openxmlformats.org/officeDocument/2006/relationships" ref="J611" r:id="rId614"/>
    <hyperlink xmlns:r="http://schemas.openxmlformats.org/officeDocument/2006/relationships" ref="J612" r:id="rId615"/>
    <hyperlink xmlns:r="http://schemas.openxmlformats.org/officeDocument/2006/relationships" ref="J613" r:id="rId616"/>
    <hyperlink xmlns:r="http://schemas.openxmlformats.org/officeDocument/2006/relationships" ref="J614" r:id="rId617"/>
    <hyperlink xmlns:r="http://schemas.openxmlformats.org/officeDocument/2006/relationships" ref="J615" r:id="rId618"/>
    <hyperlink xmlns:r="http://schemas.openxmlformats.org/officeDocument/2006/relationships" ref="J616" r:id="rId619"/>
    <hyperlink xmlns:r="http://schemas.openxmlformats.org/officeDocument/2006/relationships" ref="J617" r:id="rId620"/>
    <hyperlink xmlns:r="http://schemas.openxmlformats.org/officeDocument/2006/relationships" ref="J618" r:id="rId621"/>
    <hyperlink xmlns:r="http://schemas.openxmlformats.org/officeDocument/2006/relationships" ref="J619" r:id="rId622"/>
    <hyperlink xmlns:r="http://schemas.openxmlformats.org/officeDocument/2006/relationships" ref="J620" r:id="rId623"/>
    <hyperlink xmlns:r="http://schemas.openxmlformats.org/officeDocument/2006/relationships" ref="J621" r:id="rId624"/>
    <hyperlink xmlns:r="http://schemas.openxmlformats.org/officeDocument/2006/relationships" ref="J622" r:id="rId625"/>
    <hyperlink xmlns:r="http://schemas.openxmlformats.org/officeDocument/2006/relationships" ref="J623" r:id="rId626"/>
    <hyperlink xmlns:r="http://schemas.openxmlformats.org/officeDocument/2006/relationships" ref="J624" r:id="rId627"/>
    <hyperlink xmlns:r="http://schemas.openxmlformats.org/officeDocument/2006/relationships" ref="J625" r:id="rId628"/>
    <hyperlink xmlns:r="http://schemas.openxmlformats.org/officeDocument/2006/relationships" ref="J626" r:id="rId629"/>
    <hyperlink xmlns:r="http://schemas.openxmlformats.org/officeDocument/2006/relationships" ref="J627" r:id="rId630"/>
    <hyperlink xmlns:r="http://schemas.openxmlformats.org/officeDocument/2006/relationships" ref="J628" r:id="rId631"/>
    <hyperlink xmlns:r="http://schemas.openxmlformats.org/officeDocument/2006/relationships" ref="J629" r:id="rId632"/>
    <hyperlink xmlns:r="http://schemas.openxmlformats.org/officeDocument/2006/relationships" ref="J630" r:id="rId633"/>
    <hyperlink xmlns:r="http://schemas.openxmlformats.org/officeDocument/2006/relationships" ref="J631" r:id="rId634"/>
    <hyperlink xmlns:r="http://schemas.openxmlformats.org/officeDocument/2006/relationships" ref="J632" r:id="rId635"/>
    <hyperlink xmlns:r="http://schemas.openxmlformats.org/officeDocument/2006/relationships" ref="J633" r:id="rId636"/>
    <hyperlink xmlns:r="http://schemas.openxmlformats.org/officeDocument/2006/relationships" ref="J634" r:id="rId637"/>
    <hyperlink xmlns:r="http://schemas.openxmlformats.org/officeDocument/2006/relationships" ref="J635" r:id="rId638"/>
    <hyperlink xmlns:r="http://schemas.openxmlformats.org/officeDocument/2006/relationships" ref="J636" r:id="rId639"/>
    <hyperlink xmlns:r="http://schemas.openxmlformats.org/officeDocument/2006/relationships" ref="J637" r:id="rId640"/>
    <hyperlink xmlns:r="http://schemas.openxmlformats.org/officeDocument/2006/relationships" ref="J638" r:id="rId641"/>
    <hyperlink xmlns:r="http://schemas.openxmlformats.org/officeDocument/2006/relationships" ref="J639" r:id="rId642"/>
    <hyperlink xmlns:r="http://schemas.openxmlformats.org/officeDocument/2006/relationships" ref="J640" r:id="rId643"/>
    <hyperlink xmlns:r="http://schemas.openxmlformats.org/officeDocument/2006/relationships" ref="J641" r:id="rId644"/>
    <hyperlink xmlns:r="http://schemas.openxmlformats.org/officeDocument/2006/relationships" ref="J642" r:id="rId645"/>
    <hyperlink xmlns:r="http://schemas.openxmlformats.org/officeDocument/2006/relationships" ref="J643" r:id="rId646"/>
    <hyperlink xmlns:r="http://schemas.openxmlformats.org/officeDocument/2006/relationships" ref="J644" r:id="rId647"/>
    <hyperlink xmlns:r="http://schemas.openxmlformats.org/officeDocument/2006/relationships" ref="J645" r:id="rId648"/>
    <hyperlink xmlns:r="http://schemas.openxmlformats.org/officeDocument/2006/relationships" ref="J646" r:id="rId649"/>
    <hyperlink xmlns:r="http://schemas.openxmlformats.org/officeDocument/2006/relationships" ref="J647" r:id="rId650"/>
    <hyperlink xmlns:r="http://schemas.openxmlformats.org/officeDocument/2006/relationships" ref="J648" r:id="rId651"/>
    <hyperlink xmlns:r="http://schemas.openxmlformats.org/officeDocument/2006/relationships" ref="J649" r:id="rId652"/>
    <hyperlink xmlns:r="http://schemas.openxmlformats.org/officeDocument/2006/relationships" ref="J650" r:id="rId653"/>
    <hyperlink xmlns:r="http://schemas.openxmlformats.org/officeDocument/2006/relationships" ref="J651" r:id="rId654"/>
    <hyperlink xmlns:r="http://schemas.openxmlformats.org/officeDocument/2006/relationships" ref="J652" r:id="rId655"/>
    <hyperlink xmlns:r="http://schemas.openxmlformats.org/officeDocument/2006/relationships" ref="J653" r:id="rId656"/>
    <hyperlink xmlns:r="http://schemas.openxmlformats.org/officeDocument/2006/relationships" ref="J654" r:id="rId657"/>
    <hyperlink xmlns:r="http://schemas.openxmlformats.org/officeDocument/2006/relationships" ref="J655" r:id="rId658"/>
    <hyperlink xmlns:r="http://schemas.openxmlformats.org/officeDocument/2006/relationships" ref="J656" r:id="rId659"/>
    <hyperlink xmlns:r="http://schemas.openxmlformats.org/officeDocument/2006/relationships" ref="J657" r:id="rId660"/>
    <hyperlink xmlns:r="http://schemas.openxmlformats.org/officeDocument/2006/relationships" ref="J658" r:id="rId661"/>
    <hyperlink xmlns:r="http://schemas.openxmlformats.org/officeDocument/2006/relationships" ref="J659" r:id="rId662"/>
    <hyperlink xmlns:r="http://schemas.openxmlformats.org/officeDocument/2006/relationships" ref="J660" r:id="rId663"/>
    <hyperlink xmlns:r="http://schemas.openxmlformats.org/officeDocument/2006/relationships" ref="J661" r:id="rId664"/>
    <hyperlink xmlns:r="http://schemas.openxmlformats.org/officeDocument/2006/relationships" ref="J662" r:id="rId665"/>
    <hyperlink xmlns:r="http://schemas.openxmlformats.org/officeDocument/2006/relationships" ref="J663" r:id="rId666"/>
    <hyperlink xmlns:r="http://schemas.openxmlformats.org/officeDocument/2006/relationships" ref="J664" r:id="rId667"/>
    <hyperlink xmlns:r="http://schemas.openxmlformats.org/officeDocument/2006/relationships" ref="J665" r:id="rId668"/>
    <hyperlink xmlns:r="http://schemas.openxmlformats.org/officeDocument/2006/relationships" ref="J666" r:id="rId669"/>
    <hyperlink xmlns:r="http://schemas.openxmlformats.org/officeDocument/2006/relationships" ref="J667" r:id="rId670"/>
    <hyperlink xmlns:r="http://schemas.openxmlformats.org/officeDocument/2006/relationships" ref="J668" r:id="rId671"/>
    <hyperlink xmlns:r="http://schemas.openxmlformats.org/officeDocument/2006/relationships" ref="J669" r:id="rId672"/>
    <hyperlink xmlns:r="http://schemas.openxmlformats.org/officeDocument/2006/relationships" ref="J670" r:id="rId673"/>
    <hyperlink xmlns:r="http://schemas.openxmlformats.org/officeDocument/2006/relationships" ref="J671" r:id="rId674"/>
    <hyperlink xmlns:r="http://schemas.openxmlformats.org/officeDocument/2006/relationships" ref="J672" r:id="rId675"/>
    <hyperlink xmlns:r="http://schemas.openxmlformats.org/officeDocument/2006/relationships" ref="J673" r:id="rId676"/>
    <hyperlink xmlns:r="http://schemas.openxmlformats.org/officeDocument/2006/relationships" ref="J674" r:id="rId677"/>
    <hyperlink xmlns:r="http://schemas.openxmlformats.org/officeDocument/2006/relationships" ref="J675" r:id="rId678"/>
    <hyperlink xmlns:r="http://schemas.openxmlformats.org/officeDocument/2006/relationships" ref="J676" r:id="rId679"/>
    <hyperlink xmlns:r="http://schemas.openxmlformats.org/officeDocument/2006/relationships" ref="J677" r:id="rId680"/>
    <hyperlink xmlns:r="http://schemas.openxmlformats.org/officeDocument/2006/relationships" ref="J678" r:id="rId681"/>
    <hyperlink xmlns:r="http://schemas.openxmlformats.org/officeDocument/2006/relationships" ref="J679" r:id="rId682"/>
    <hyperlink xmlns:r="http://schemas.openxmlformats.org/officeDocument/2006/relationships" ref="J680" r:id="rId683"/>
    <hyperlink xmlns:r="http://schemas.openxmlformats.org/officeDocument/2006/relationships" ref="J681" r:id="rId684"/>
    <hyperlink xmlns:r="http://schemas.openxmlformats.org/officeDocument/2006/relationships" ref="J682" r:id="rId685"/>
    <hyperlink xmlns:r="http://schemas.openxmlformats.org/officeDocument/2006/relationships" ref="J683" r:id="rId686"/>
    <hyperlink xmlns:r="http://schemas.openxmlformats.org/officeDocument/2006/relationships" ref="J684" r:id="rId687"/>
    <hyperlink xmlns:r="http://schemas.openxmlformats.org/officeDocument/2006/relationships" ref="J685" r:id="rId688"/>
    <hyperlink xmlns:r="http://schemas.openxmlformats.org/officeDocument/2006/relationships" ref="J686" r:id="rId689"/>
    <hyperlink xmlns:r="http://schemas.openxmlformats.org/officeDocument/2006/relationships" ref="J687" r:id="rId690"/>
    <hyperlink xmlns:r="http://schemas.openxmlformats.org/officeDocument/2006/relationships" ref="J688" r:id="rId691"/>
    <hyperlink xmlns:r="http://schemas.openxmlformats.org/officeDocument/2006/relationships" ref="J689" r:id="rId692"/>
    <hyperlink xmlns:r="http://schemas.openxmlformats.org/officeDocument/2006/relationships" ref="J690" r:id="rId693"/>
    <hyperlink xmlns:r="http://schemas.openxmlformats.org/officeDocument/2006/relationships" ref="J691" r:id="rId694"/>
    <hyperlink xmlns:r="http://schemas.openxmlformats.org/officeDocument/2006/relationships" ref="J692" r:id="rId695"/>
    <hyperlink xmlns:r="http://schemas.openxmlformats.org/officeDocument/2006/relationships" ref="J693" r:id="rId696"/>
    <hyperlink xmlns:r="http://schemas.openxmlformats.org/officeDocument/2006/relationships" ref="J694" r:id="rId697"/>
    <hyperlink xmlns:r="http://schemas.openxmlformats.org/officeDocument/2006/relationships" ref="J695" r:id="rId698"/>
    <hyperlink xmlns:r="http://schemas.openxmlformats.org/officeDocument/2006/relationships" ref="J696" r:id="rId699"/>
    <hyperlink xmlns:r="http://schemas.openxmlformats.org/officeDocument/2006/relationships" ref="J697" r:id="rId700"/>
    <hyperlink xmlns:r="http://schemas.openxmlformats.org/officeDocument/2006/relationships" ref="J698" r:id="rId701"/>
    <hyperlink xmlns:r="http://schemas.openxmlformats.org/officeDocument/2006/relationships" ref="J699" r:id="rId702"/>
    <hyperlink xmlns:r="http://schemas.openxmlformats.org/officeDocument/2006/relationships" ref="J700" r:id="rId703"/>
    <hyperlink xmlns:r="http://schemas.openxmlformats.org/officeDocument/2006/relationships" ref="J701" r:id="rId704"/>
    <hyperlink xmlns:r="http://schemas.openxmlformats.org/officeDocument/2006/relationships" ref="J702" r:id="rId705"/>
    <hyperlink xmlns:r="http://schemas.openxmlformats.org/officeDocument/2006/relationships" ref="J703" r:id="rId706"/>
    <hyperlink xmlns:r="http://schemas.openxmlformats.org/officeDocument/2006/relationships" ref="J704" r:id="rId707"/>
    <hyperlink xmlns:r="http://schemas.openxmlformats.org/officeDocument/2006/relationships" ref="J705" r:id="rId708"/>
    <hyperlink xmlns:r="http://schemas.openxmlformats.org/officeDocument/2006/relationships" ref="J706" r:id="rId709"/>
    <hyperlink xmlns:r="http://schemas.openxmlformats.org/officeDocument/2006/relationships" ref="J707" r:id="rId710"/>
    <hyperlink xmlns:r="http://schemas.openxmlformats.org/officeDocument/2006/relationships" ref="J708" r:id="rId711"/>
    <hyperlink xmlns:r="http://schemas.openxmlformats.org/officeDocument/2006/relationships" ref="J709" r:id="rId712"/>
    <hyperlink xmlns:r="http://schemas.openxmlformats.org/officeDocument/2006/relationships" ref="J710" r:id="rId713"/>
    <hyperlink xmlns:r="http://schemas.openxmlformats.org/officeDocument/2006/relationships" ref="J711" r:id="rId714"/>
    <hyperlink xmlns:r="http://schemas.openxmlformats.org/officeDocument/2006/relationships" ref="J712" r:id="rId715"/>
    <hyperlink xmlns:r="http://schemas.openxmlformats.org/officeDocument/2006/relationships" ref="J713" r:id="rId716"/>
    <hyperlink xmlns:r="http://schemas.openxmlformats.org/officeDocument/2006/relationships" ref="J714" r:id="rId717"/>
    <hyperlink xmlns:r="http://schemas.openxmlformats.org/officeDocument/2006/relationships" ref="J715" r:id="rId718"/>
    <hyperlink xmlns:r="http://schemas.openxmlformats.org/officeDocument/2006/relationships" ref="J716" r:id="rId719"/>
    <hyperlink xmlns:r="http://schemas.openxmlformats.org/officeDocument/2006/relationships" ref="J717" r:id="rId720"/>
    <hyperlink xmlns:r="http://schemas.openxmlformats.org/officeDocument/2006/relationships" ref="J718" r:id="rId721"/>
    <hyperlink xmlns:r="http://schemas.openxmlformats.org/officeDocument/2006/relationships" ref="J719" r:id="rId722"/>
    <hyperlink xmlns:r="http://schemas.openxmlformats.org/officeDocument/2006/relationships" ref="J720" r:id="rId723"/>
    <hyperlink xmlns:r="http://schemas.openxmlformats.org/officeDocument/2006/relationships" ref="J721" r:id="rId724"/>
    <hyperlink xmlns:r="http://schemas.openxmlformats.org/officeDocument/2006/relationships" ref="J722" r:id="rId725"/>
    <hyperlink xmlns:r="http://schemas.openxmlformats.org/officeDocument/2006/relationships" ref="J723" r:id="rId726"/>
    <hyperlink xmlns:r="http://schemas.openxmlformats.org/officeDocument/2006/relationships" ref="J724" r:id="rId727"/>
    <hyperlink xmlns:r="http://schemas.openxmlformats.org/officeDocument/2006/relationships" ref="J725" r:id="rId728"/>
    <hyperlink xmlns:r="http://schemas.openxmlformats.org/officeDocument/2006/relationships" ref="J726" r:id="rId729"/>
    <hyperlink xmlns:r="http://schemas.openxmlformats.org/officeDocument/2006/relationships" ref="J727" r:id="rId730"/>
    <hyperlink xmlns:r="http://schemas.openxmlformats.org/officeDocument/2006/relationships" ref="J728" r:id="rId731"/>
    <hyperlink xmlns:r="http://schemas.openxmlformats.org/officeDocument/2006/relationships" ref="J729" r:id="rId732"/>
    <hyperlink xmlns:r="http://schemas.openxmlformats.org/officeDocument/2006/relationships" ref="J730" r:id="rId733"/>
    <hyperlink xmlns:r="http://schemas.openxmlformats.org/officeDocument/2006/relationships" ref="J731" r:id="rId734"/>
    <hyperlink xmlns:r="http://schemas.openxmlformats.org/officeDocument/2006/relationships" ref="J732" r:id="rId735"/>
    <hyperlink xmlns:r="http://schemas.openxmlformats.org/officeDocument/2006/relationships" ref="J733" r:id="rId736"/>
    <hyperlink xmlns:r="http://schemas.openxmlformats.org/officeDocument/2006/relationships" ref="J734" r:id="rId737"/>
    <hyperlink xmlns:r="http://schemas.openxmlformats.org/officeDocument/2006/relationships" ref="J735" r:id="rId738"/>
    <hyperlink xmlns:r="http://schemas.openxmlformats.org/officeDocument/2006/relationships" ref="J736" r:id="rId739"/>
    <hyperlink xmlns:r="http://schemas.openxmlformats.org/officeDocument/2006/relationships" ref="J737" r:id="rId740"/>
    <hyperlink xmlns:r="http://schemas.openxmlformats.org/officeDocument/2006/relationships" ref="J738" r:id="rId741"/>
    <hyperlink xmlns:r="http://schemas.openxmlformats.org/officeDocument/2006/relationships" ref="J739" r:id="rId742"/>
    <hyperlink xmlns:r="http://schemas.openxmlformats.org/officeDocument/2006/relationships" ref="J740" r:id="rId743"/>
    <hyperlink xmlns:r="http://schemas.openxmlformats.org/officeDocument/2006/relationships" ref="J741" r:id="rId744"/>
    <hyperlink xmlns:r="http://schemas.openxmlformats.org/officeDocument/2006/relationships" ref="J742" r:id="rId745"/>
    <hyperlink xmlns:r="http://schemas.openxmlformats.org/officeDocument/2006/relationships" ref="J743" r:id="rId746"/>
    <hyperlink xmlns:r="http://schemas.openxmlformats.org/officeDocument/2006/relationships" ref="J744" r:id="rId747"/>
    <hyperlink xmlns:r="http://schemas.openxmlformats.org/officeDocument/2006/relationships" ref="J745" r:id="rId748"/>
    <hyperlink xmlns:r="http://schemas.openxmlformats.org/officeDocument/2006/relationships" ref="J746" r:id="rId749"/>
    <hyperlink xmlns:r="http://schemas.openxmlformats.org/officeDocument/2006/relationships" ref="J747" r:id="rId750"/>
    <hyperlink xmlns:r="http://schemas.openxmlformats.org/officeDocument/2006/relationships" ref="J748" r:id="rId751"/>
    <hyperlink xmlns:r="http://schemas.openxmlformats.org/officeDocument/2006/relationships" ref="J749" r:id="rId752"/>
    <hyperlink xmlns:r="http://schemas.openxmlformats.org/officeDocument/2006/relationships" ref="J750" r:id="rId753"/>
    <hyperlink xmlns:r="http://schemas.openxmlformats.org/officeDocument/2006/relationships" ref="J751" r:id="rId754"/>
    <hyperlink xmlns:r="http://schemas.openxmlformats.org/officeDocument/2006/relationships" ref="J752" r:id="rId755"/>
    <hyperlink xmlns:r="http://schemas.openxmlformats.org/officeDocument/2006/relationships" ref="J753" r:id="rId756"/>
    <hyperlink xmlns:r="http://schemas.openxmlformats.org/officeDocument/2006/relationships" ref="J754" r:id="rId757"/>
    <hyperlink xmlns:r="http://schemas.openxmlformats.org/officeDocument/2006/relationships" ref="J755" r:id="rId758"/>
    <hyperlink xmlns:r="http://schemas.openxmlformats.org/officeDocument/2006/relationships" ref="J756" r:id="rId759"/>
    <hyperlink xmlns:r="http://schemas.openxmlformats.org/officeDocument/2006/relationships" ref="J757" r:id="rId760"/>
    <hyperlink xmlns:r="http://schemas.openxmlformats.org/officeDocument/2006/relationships" ref="J758" r:id="rId761"/>
    <hyperlink xmlns:r="http://schemas.openxmlformats.org/officeDocument/2006/relationships" ref="J759" r:id="rId762"/>
    <hyperlink xmlns:r="http://schemas.openxmlformats.org/officeDocument/2006/relationships" ref="J760" r:id="rId763"/>
    <hyperlink xmlns:r="http://schemas.openxmlformats.org/officeDocument/2006/relationships" ref="J761" r:id="rId764"/>
    <hyperlink xmlns:r="http://schemas.openxmlformats.org/officeDocument/2006/relationships" ref="J762" r:id="rId765"/>
    <hyperlink xmlns:r="http://schemas.openxmlformats.org/officeDocument/2006/relationships" ref="J763" r:id="rId766"/>
    <hyperlink xmlns:r="http://schemas.openxmlformats.org/officeDocument/2006/relationships" ref="J764" r:id="rId767"/>
    <hyperlink xmlns:r="http://schemas.openxmlformats.org/officeDocument/2006/relationships" ref="J765" r:id="rId768"/>
    <hyperlink xmlns:r="http://schemas.openxmlformats.org/officeDocument/2006/relationships" ref="J766" r:id="rId769"/>
    <hyperlink xmlns:r="http://schemas.openxmlformats.org/officeDocument/2006/relationships" ref="J767" r:id="rId770"/>
    <hyperlink xmlns:r="http://schemas.openxmlformats.org/officeDocument/2006/relationships" ref="J768" r:id="rId771"/>
    <hyperlink xmlns:r="http://schemas.openxmlformats.org/officeDocument/2006/relationships" ref="J769" r:id="rId772"/>
    <hyperlink xmlns:r="http://schemas.openxmlformats.org/officeDocument/2006/relationships" ref="J770" r:id="rId773"/>
    <hyperlink xmlns:r="http://schemas.openxmlformats.org/officeDocument/2006/relationships" ref="J771" r:id="rId774"/>
    <hyperlink xmlns:r="http://schemas.openxmlformats.org/officeDocument/2006/relationships" ref="J772" r:id="rId775"/>
    <hyperlink xmlns:r="http://schemas.openxmlformats.org/officeDocument/2006/relationships" ref="J773" r:id="rId776"/>
    <hyperlink xmlns:r="http://schemas.openxmlformats.org/officeDocument/2006/relationships" ref="J774" r:id="rId777"/>
    <hyperlink xmlns:r="http://schemas.openxmlformats.org/officeDocument/2006/relationships" ref="J775" r:id="rId778"/>
    <hyperlink xmlns:r="http://schemas.openxmlformats.org/officeDocument/2006/relationships" ref="J776" r:id="rId779"/>
    <hyperlink xmlns:r="http://schemas.openxmlformats.org/officeDocument/2006/relationships" ref="J777" r:id="rId780"/>
    <hyperlink xmlns:r="http://schemas.openxmlformats.org/officeDocument/2006/relationships" ref="J778" r:id="rId781"/>
    <hyperlink xmlns:r="http://schemas.openxmlformats.org/officeDocument/2006/relationships" ref="J779" r:id="rId782"/>
    <hyperlink xmlns:r="http://schemas.openxmlformats.org/officeDocument/2006/relationships" ref="J780" r:id="rId783"/>
    <hyperlink xmlns:r="http://schemas.openxmlformats.org/officeDocument/2006/relationships" ref="J781" r:id="rId784"/>
    <hyperlink xmlns:r="http://schemas.openxmlformats.org/officeDocument/2006/relationships" ref="J782" r:id="rId785"/>
    <hyperlink xmlns:r="http://schemas.openxmlformats.org/officeDocument/2006/relationships" ref="J783" r:id="rId786"/>
    <hyperlink xmlns:r="http://schemas.openxmlformats.org/officeDocument/2006/relationships" ref="J784" r:id="rId787"/>
    <hyperlink xmlns:r="http://schemas.openxmlformats.org/officeDocument/2006/relationships" ref="J785" r:id="rId788"/>
    <hyperlink xmlns:r="http://schemas.openxmlformats.org/officeDocument/2006/relationships" ref="J786" r:id="rId789"/>
    <hyperlink xmlns:r="http://schemas.openxmlformats.org/officeDocument/2006/relationships" ref="J787" r:id="rId790"/>
    <hyperlink xmlns:r="http://schemas.openxmlformats.org/officeDocument/2006/relationships" ref="J788" r:id="rId791"/>
    <hyperlink xmlns:r="http://schemas.openxmlformats.org/officeDocument/2006/relationships" ref="J789" r:id="rId792"/>
    <hyperlink xmlns:r="http://schemas.openxmlformats.org/officeDocument/2006/relationships" ref="J790" r:id="rId793"/>
    <hyperlink xmlns:r="http://schemas.openxmlformats.org/officeDocument/2006/relationships" ref="J791" r:id="rId794"/>
    <hyperlink xmlns:r="http://schemas.openxmlformats.org/officeDocument/2006/relationships" ref="J792" r:id="rId795"/>
    <hyperlink xmlns:r="http://schemas.openxmlformats.org/officeDocument/2006/relationships" ref="J793" r:id="rId796"/>
    <hyperlink xmlns:r="http://schemas.openxmlformats.org/officeDocument/2006/relationships" ref="J794" r:id="rId797"/>
    <hyperlink xmlns:r="http://schemas.openxmlformats.org/officeDocument/2006/relationships" ref="J795" r:id="rId798"/>
    <hyperlink xmlns:r="http://schemas.openxmlformats.org/officeDocument/2006/relationships" ref="J796" r:id="rId799"/>
    <hyperlink xmlns:r="http://schemas.openxmlformats.org/officeDocument/2006/relationships" ref="J797" r:id="rId800"/>
    <hyperlink xmlns:r="http://schemas.openxmlformats.org/officeDocument/2006/relationships" ref="J798" r:id="rId801"/>
    <hyperlink xmlns:r="http://schemas.openxmlformats.org/officeDocument/2006/relationships" ref="J799" r:id="rId802"/>
    <hyperlink xmlns:r="http://schemas.openxmlformats.org/officeDocument/2006/relationships" ref="J800" r:id="rId803"/>
    <hyperlink xmlns:r="http://schemas.openxmlformats.org/officeDocument/2006/relationships" ref="J801" r:id="rId804"/>
    <hyperlink xmlns:r="http://schemas.openxmlformats.org/officeDocument/2006/relationships" ref="J802" r:id="rId805"/>
    <hyperlink xmlns:r="http://schemas.openxmlformats.org/officeDocument/2006/relationships" ref="J803" r:id="rId806"/>
    <hyperlink xmlns:r="http://schemas.openxmlformats.org/officeDocument/2006/relationships" ref="J804" r:id="rId807"/>
    <hyperlink xmlns:r="http://schemas.openxmlformats.org/officeDocument/2006/relationships" ref="J805" r:id="rId808"/>
    <hyperlink xmlns:r="http://schemas.openxmlformats.org/officeDocument/2006/relationships" ref="J806" r:id="rId809"/>
    <hyperlink xmlns:r="http://schemas.openxmlformats.org/officeDocument/2006/relationships" ref="J807" r:id="rId810"/>
    <hyperlink xmlns:r="http://schemas.openxmlformats.org/officeDocument/2006/relationships" ref="J808" r:id="rId811"/>
    <hyperlink xmlns:r="http://schemas.openxmlformats.org/officeDocument/2006/relationships" ref="J809" r:id="rId812"/>
    <hyperlink xmlns:r="http://schemas.openxmlformats.org/officeDocument/2006/relationships" ref="J810" r:id="rId813"/>
    <hyperlink xmlns:r="http://schemas.openxmlformats.org/officeDocument/2006/relationships" ref="J811" r:id="rId814"/>
    <hyperlink xmlns:r="http://schemas.openxmlformats.org/officeDocument/2006/relationships" ref="J812" r:id="rId815"/>
    <hyperlink xmlns:r="http://schemas.openxmlformats.org/officeDocument/2006/relationships" ref="J813" r:id="rId816"/>
    <hyperlink xmlns:r="http://schemas.openxmlformats.org/officeDocument/2006/relationships" ref="J814" r:id="rId817"/>
    <hyperlink xmlns:r="http://schemas.openxmlformats.org/officeDocument/2006/relationships" ref="J815" r:id="rId818"/>
    <hyperlink xmlns:r="http://schemas.openxmlformats.org/officeDocument/2006/relationships" ref="J816" r:id="rId819"/>
    <hyperlink xmlns:r="http://schemas.openxmlformats.org/officeDocument/2006/relationships" ref="J817" r:id="rId820"/>
    <hyperlink xmlns:r="http://schemas.openxmlformats.org/officeDocument/2006/relationships" ref="J818" r:id="rId821"/>
    <hyperlink xmlns:r="http://schemas.openxmlformats.org/officeDocument/2006/relationships" ref="J819" r:id="rId822"/>
    <hyperlink xmlns:r="http://schemas.openxmlformats.org/officeDocument/2006/relationships" ref="J820" r:id="rId823"/>
    <hyperlink xmlns:r="http://schemas.openxmlformats.org/officeDocument/2006/relationships" ref="J821" r:id="rId824"/>
    <hyperlink xmlns:r="http://schemas.openxmlformats.org/officeDocument/2006/relationships" ref="J822" r:id="rId825"/>
    <hyperlink xmlns:r="http://schemas.openxmlformats.org/officeDocument/2006/relationships" ref="J823" r:id="rId826"/>
    <hyperlink xmlns:r="http://schemas.openxmlformats.org/officeDocument/2006/relationships" ref="J824" r:id="rId827"/>
    <hyperlink xmlns:r="http://schemas.openxmlformats.org/officeDocument/2006/relationships" ref="J825" r:id="rId828"/>
    <hyperlink xmlns:r="http://schemas.openxmlformats.org/officeDocument/2006/relationships" ref="J826" r:id="rId829"/>
    <hyperlink xmlns:r="http://schemas.openxmlformats.org/officeDocument/2006/relationships" ref="J827" r:id="rId830"/>
    <hyperlink xmlns:r="http://schemas.openxmlformats.org/officeDocument/2006/relationships" ref="J828" r:id="rId831"/>
    <hyperlink xmlns:r="http://schemas.openxmlformats.org/officeDocument/2006/relationships" ref="J829" r:id="rId832"/>
    <hyperlink xmlns:r="http://schemas.openxmlformats.org/officeDocument/2006/relationships" ref="J830" r:id="rId833"/>
    <hyperlink xmlns:r="http://schemas.openxmlformats.org/officeDocument/2006/relationships" ref="J831" r:id="rId834"/>
    <hyperlink xmlns:r="http://schemas.openxmlformats.org/officeDocument/2006/relationships" ref="J832" r:id="rId835"/>
    <hyperlink xmlns:r="http://schemas.openxmlformats.org/officeDocument/2006/relationships" ref="J833" r:id="rId836"/>
    <hyperlink xmlns:r="http://schemas.openxmlformats.org/officeDocument/2006/relationships" ref="J834" r:id="rId837"/>
    <hyperlink xmlns:r="http://schemas.openxmlformats.org/officeDocument/2006/relationships" ref="J835" r:id="rId838"/>
    <hyperlink xmlns:r="http://schemas.openxmlformats.org/officeDocument/2006/relationships" ref="J836" r:id="rId839"/>
    <hyperlink xmlns:r="http://schemas.openxmlformats.org/officeDocument/2006/relationships" ref="J837" r:id="rId840"/>
    <hyperlink xmlns:r="http://schemas.openxmlformats.org/officeDocument/2006/relationships" ref="J838" r:id="rId841"/>
    <hyperlink xmlns:r="http://schemas.openxmlformats.org/officeDocument/2006/relationships" ref="J839" r:id="rId842"/>
    <hyperlink xmlns:r="http://schemas.openxmlformats.org/officeDocument/2006/relationships" ref="J840" r:id="rId843"/>
    <hyperlink xmlns:r="http://schemas.openxmlformats.org/officeDocument/2006/relationships" ref="J841" r:id="rId844"/>
    <hyperlink xmlns:r="http://schemas.openxmlformats.org/officeDocument/2006/relationships" ref="J842" r:id="rId845"/>
    <hyperlink xmlns:r="http://schemas.openxmlformats.org/officeDocument/2006/relationships" ref="J843" r:id="rId846"/>
    <hyperlink xmlns:r="http://schemas.openxmlformats.org/officeDocument/2006/relationships" ref="J844" r:id="rId847"/>
    <hyperlink xmlns:r="http://schemas.openxmlformats.org/officeDocument/2006/relationships" ref="J845" r:id="rId848"/>
    <hyperlink xmlns:r="http://schemas.openxmlformats.org/officeDocument/2006/relationships" ref="J846" r:id="rId849"/>
    <hyperlink xmlns:r="http://schemas.openxmlformats.org/officeDocument/2006/relationships" ref="J847" r:id="rId850"/>
    <hyperlink xmlns:r="http://schemas.openxmlformats.org/officeDocument/2006/relationships" ref="J848" r:id="rId851"/>
    <hyperlink xmlns:r="http://schemas.openxmlformats.org/officeDocument/2006/relationships" ref="J849" r:id="rId852"/>
    <hyperlink xmlns:r="http://schemas.openxmlformats.org/officeDocument/2006/relationships" ref="J850" r:id="rId853"/>
    <hyperlink xmlns:r="http://schemas.openxmlformats.org/officeDocument/2006/relationships" ref="J851" r:id="rId854"/>
    <hyperlink xmlns:r="http://schemas.openxmlformats.org/officeDocument/2006/relationships" ref="J852" r:id="rId855"/>
    <hyperlink xmlns:r="http://schemas.openxmlformats.org/officeDocument/2006/relationships" ref="J853" r:id="rId856"/>
    <hyperlink xmlns:r="http://schemas.openxmlformats.org/officeDocument/2006/relationships" ref="J854" r:id="rId857"/>
    <hyperlink xmlns:r="http://schemas.openxmlformats.org/officeDocument/2006/relationships" ref="J855" r:id="rId858"/>
    <hyperlink xmlns:r="http://schemas.openxmlformats.org/officeDocument/2006/relationships" ref="J856" r:id="rId859"/>
    <hyperlink xmlns:r="http://schemas.openxmlformats.org/officeDocument/2006/relationships" ref="J857" r:id="rId860"/>
    <hyperlink xmlns:r="http://schemas.openxmlformats.org/officeDocument/2006/relationships" ref="J858" r:id="rId861"/>
    <hyperlink xmlns:r="http://schemas.openxmlformats.org/officeDocument/2006/relationships" ref="J859" r:id="rId862"/>
    <hyperlink xmlns:r="http://schemas.openxmlformats.org/officeDocument/2006/relationships" ref="J860" r:id="rId863"/>
    <hyperlink xmlns:r="http://schemas.openxmlformats.org/officeDocument/2006/relationships" ref="J861" r:id="rId864"/>
    <hyperlink xmlns:r="http://schemas.openxmlformats.org/officeDocument/2006/relationships" ref="J862" r:id="rId865"/>
    <hyperlink xmlns:r="http://schemas.openxmlformats.org/officeDocument/2006/relationships" ref="J863" r:id="rId866"/>
    <hyperlink xmlns:r="http://schemas.openxmlformats.org/officeDocument/2006/relationships" ref="J864" r:id="rId867"/>
    <hyperlink xmlns:r="http://schemas.openxmlformats.org/officeDocument/2006/relationships" ref="J865" r:id="rId868"/>
    <hyperlink xmlns:r="http://schemas.openxmlformats.org/officeDocument/2006/relationships" ref="J866" r:id="rId869"/>
    <hyperlink xmlns:r="http://schemas.openxmlformats.org/officeDocument/2006/relationships" ref="J867" r:id="rId870"/>
    <hyperlink xmlns:r="http://schemas.openxmlformats.org/officeDocument/2006/relationships" ref="J868" r:id="rId871"/>
    <hyperlink xmlns:r="http://schemas.openxmlformats.org/officeDocument/2006/relationships" ref="J869" r:id="rId872"/>
    <hyperlink xmlns:r="http://schemas.openxmlformats.org/officeDocument/2006/relationships" ref="J870" r:id="rId873"/>
    <hyperlink xmlns:r="http://schemas.openxmlformats.org/officeDocument/2006/relationships" ref="J871" r:id="rId874"/>
    <hyperlink xmlns:r="http://schemas.openxmlformats.org/officeDocument/2006/relationships" ref="J872" r:id="rId875"/>
    <hyperlink xmlns:r="http://schemas.openxmlformats.org/officeDocument/2006/relationships" ref="J873" r:id="rId876"/>
    <hyperlink xmlns:r="http://schemas.openxmlformats.org/officeDocument/2006/relationships" ref="J874" r:id="rId877"/>
    <hyperlink xmlns:r="http://schemas.openxmlformats.org/officeDocument/2006/relationships" ref="J875" r:id="rId878"/>
    <hyperlink xmlns:r="http://schemas.openxmlformats.org/officeDocument/2006/relationships" ref="J876" r:id="rId879"/>
    <hyperlink xmlns:r="http://schemas.openxmlformats.org/officeDocument/2006/relationships" ref="J877" r:id="rId880"/>
    <hyperlink xmlns:r="http://schemas.openxmlformats.org/officeDocument/2006/relationships" ref="J878" r:id="rId881"/>
    <hyperlink xmlns:r="http://schemas.openxmlformats.org/officeDocument/2006/relationships" ref="J879" r:id="rId882"/>
    <hyperlink xmlns:r="http://schemas.openxmlformats.org/officeDocument/2006/relationships" ref="J880" r:id="rId883"/>
    <hyperlink xmlns:r="http://schemas.openxmlformats.org/officeDocument/2006/relationships" ref="J881" r:id="rId884"/>
    <hyperlink xmlns:r="http://schemas.openxmlformats.org/officeDocument/2006/relationships" ref="J882" r:id="rId885"/>
    <hyperlink xmlns:r="http://schemas.openxmlformats.org/officeDocument/2006/relationships" ref="J883" r:id="rId886"/>
    <hyperlink xmlns:r="http://schemas.openxmlformats.org/officeDocument/2006/relationships" ref="J884" r:id="rId887"/>
    <hyperlink xmlns:r="http://schemas.openxmlformats.org/officeDocument/2006/relationships" ref="J885" r:id="rId888"/>
    <hyperlink xmlns:r="http://schemas.openxmlformats.org/officeDocument/2006/relationships" ref="J886" r:id="rId889"/>
    <hyperlink xmlns:r="http://schemas.openxmlformats.org/officeDocument/2006/relationships" ref="J887" r:id="rId890"/>
    <hyperlink xmlns:r="http://schemas.openxmlformats.org/officeDocument/2006/relationships" ref="J888" r:id="rId891"/>
    <hyperlink xmlns:r="http://schemas.openxmlformats.org/officeDocument/2006/relationships" ref="J889" r:id="rId892"/>
    <hyperlink xmlns:r="http://schemas.openxmlformats.org/officeDocument/2006/relationships" ref="J890" r:id="rId893"/>
    <hyperlink xmlns:r="http://schemas.openxmlformats.org/officeDocument/2006/relationships" ref="J891" r:id="rId894"/>
    <hyperlink xmlns:r="http://schemas.openxmlformats.org/officeDocument/2006/relationships" ref="J892" r:id="rId895"/>
    <hyperlink xmlns:r="http://schemas.openxmlformats.org/officeDocument/2006/relationships" ref="J893" r:id="rId896"/>
    <hyperlink xmlns:r="http://schemas.openxmlformats.org/officeDocument/2006/relationships" ref="J894" r:id="rId897"/>
    <hyperlink xmlns:r="http://schemas.openxmlformats.org/officeDocument/2006/relationships" ref="J895" r:id="rId898"/>
    <hyperlink xmlns:r="http://schemas.openxmlformats.org/officeDocument/2006/relationships" ref="J896" r:id="rId899"/>
    <hyperlink xmlns:r="http://schemas.openxmlformats.org/officeDocument/2006/relationships" ref="J897" r:id="rId900"/>
    <hyperlink xmlns:r="http://schemas.openxmlformats.org/officeDocument/2006/relationships" ref="J898" r:id="rId901"/>
    <hyperlink xmlns:r="http://schemas.openxmlformats.org/officeDocument/2006/relationships" ref="J899" r:id="rId902"/>
    <hyperlink xmlns:r="http://schemas.openxmlformats.org/officeDocument/2006/relationships" ref="J900" r:id="rId903"/>
    <hyperlink xmlns:r="http://schemas.openxmlformats.org/officeDocument/2006/relationships" ref="J901" r:id="rId904"/>
    <hyperlink xmlns:r="http://schemas.openxmlformats.org/officeDocument/2006/relationships" ref="J902" r:id="rId905"/>
    <hyperlink xmlns:r="http://schemas.openxmlformats.org/officeDocument/2006/relationships" ref="J903" r:id="rId906"/>
    <hyperlink xmlns:r="http://schemas.openxmlformats.org/officeDocument/2006/relationships" ref="J904" r:id="rId907"/>
    <hyperlink xmlns:r="http://schemas.openxmlformats.org/officeDocument/2006/relationships" ref="J905" r:id="rId908"/>
    <hyperlink xmlns:r="http://schemas.openxmlformats.org/officeDocument/2006/relationships" ref="J906" r:id="rId909"/>
    <hyperlink xmlns:r="http://schemas.openxmlformats.org/officeDocument/2006/relationships" ref="J907" r:id="rId910"/>
    <hyperlink xmlns:r="http://schemas.openxmlformats.org/officeDocument/2006/relationships" ref="J908" r:id="rId911"/>
    <hyperlink xmlns:r="http://schemas.openxmlformats.org/officeDocument/2006/relationships" ref="J909" r:id="rId912"/>
    <hyperlink xmlns:r="http://schemas.openxmlformats.org/officeDocument/2006/relationships" ref="J910" r:id="rId913"/>
    <hyperlink xmlns:r="http://schemas.openxmlformats.org/officeDocument/2006/relationships" ref="J911" r:id="rId914"/>
    <hyperlink xmlns:r="http://schemas.openxmlformats.org/officeDocument/2006/relationships" ref="J912" r:id="rId915"/>
    <hyperlink xmlns:r="http://schemas.openxmlformats.org/officeDocument/2006/relationships" ref="J913" r:id="rId916"/>
    <hyperlink xmlns:r="http://schemas.openxmlformats.org/officeDocument/2006/relationships" ref="J914" r:id="rId917"/>
    <hyperlink xmlns:r="http://schemas.openxmlformats.org/officeDocument/2006/relationships" ref="J915" r:id="rId918"/>
    <hyperlink xmlns:r="http://schemas.openxmlformats.org/officeDocument/2006/relationships" ref="J916" r:id="rId919"/>
    <hyperlink xmlns:r="http://schemas.openxmlformats.org/officeDocument/2006/relationships" ref="J917" r:id="rId920"/>
    <hyperlink xmlns:r="http://schemas.openxmlformats.org/officeDocument/2006/relationships" ref="J918" r:id="rId921"/>
    <hyperlink xmlns:r="http://schemas.openxmlformats.org/officeDocument/2006/relationships" ref="J919" r:id="rId922"/>
    <hyperlink xmlns:r="http://schemas.openxmlformats.org/officeDocument/2006/relationships" ref="J920" r:id="rId923"/>
    <hyperlink xmlns:r="http://schemas.openxmlformats.org/officeDocument/2006/relationships" ref="J921" r:id="rId924"/>
    <hyperlink xmlns:r="http://schemas.openxmlformats.org/officeDocument/2006/relationships" ref="J922" r:id="rId925"/>
    <hyperlink xmlns:r="http://schemas.openxmlformats.org/officeDocument/2006/relationships" ref="J923" r:id="rId926"/>
    <hyperlink xmlns:r="http://schemas.openxmlformats.org/officeDocument/2006/relationships" ref="J924" r:id="rId927"/>
    <hyperlink xmlns:r="http://schemas.openxmlformats.org/officeDocument/2006/relationships" ref="J925" r:id="rId928"/>
    <hyperlink xmlns:r="http://schemas.openxmlformats.org/officeDocument/2006/relationships" ref="J926" r:id="rId929"/>
    <hyperlink xmlns:r="http://schemas.openxmlformats.org/officeDocument/2006/relationships" ref="J927" r:id="rId930"/>
    <hyperlink xmlns:r="http://schemas.openxmlformats.org/officeDocument/2006/relationships" ref="J928" r:id="rId931"/>
    <hyperlink xmlns:r="http://schemas.openxmlformats.org/officeDocument/2006/relationships" ref="J929" r:id="rId932"/>
    <hyperlink xmlns:r="http://schemas.openxmlformats.org/officeDocument/2006/relationships" ref="J930" r:id="rId933"/>
    <hyperlink xmlns:r="http://schemas.openxmlformats.org/officeDocument/2006/relationships" ref="J931" r:id="rId934"/>
    <hyperlink xmlns:r="http://schemas.openxmlformats.org/officeDocument/2006/relationships" ref="J932" r:id="rId935"/>
    <hyperlink xmlns:r="http://schemas.openxmlformats.org/officeDocument/2006/relationships" ref="J933" r:id="rId936"/>
    <hyperlink xmlns:r="http://schemas.openxmlformats.org/officeDocument/2006/relationships" ref="J934" r:id="rId937"/>
    <hyperlink xmlns:r="http://schemas.openxmlformats.org/officeDocument/2006/relationships" ref="J935" r:id="rId938"/>
    <hyperlink xmlns:r="http://schemas.openxmlformats.org/officeDocument/2006/relationships" ref="J936" r:id="rId939"/>
    <hyperlink xmlns:r="http://schemas.openxmlformats.org/officeDocument/2006/relationships" ref="J937" r:id="rId940"/>
    <hyperlink xmlns:r="http://schemas.openxmlformats.org/officeDocument/2006/relationships" ref="J938" r:id="rId941"/>
    <hyperlink xmlns:r="http://schemas.openxmlformats.org/officeDocument/2006/relationships" ref="J939" r:id="rId942"/>
    <hyperlink xmlns:r="http://schemas.openxmlformats.org/officeDocument/2006/relationships" ref="J940" r:id="rId943"/>
    <hyperlink xmlns:r="http://schemas.openxmlformats.org/officeDocument/2006/relationships" ref="J941" r:id="rId944"/>
    <hyperlink xmlns:r="http://schemas.openxmlformats.org/officeDocument/2006/relationships" ref="J942" r:id="rId945"/>
    <hyperlink xmlns:r="http://schemas.openxmlformats.org/officeDocument/2006/relationships" ref="J943" r:id="rId946"/>
    <hyperlink xmlns:r="http://schemas.openxmlformats.org/officeDocument/2006/relationships" ref="J944" r:id="rId947"/>
    <hyperlink xmlns:r="http://schemas.openxmlformats.org/officeDocument/2006/relationships" ref="J945" r:id="rId948"/>
    <hyperlink xmlns:r="http://schemas.openxmlformats.org/officeDocument/2006/relationships" ref="J946" r:id="rId949"/>
    <hyperlink xmlns:r="http://schemas.openxmlformats.org/officeDocument/2006/relationships" ref="J947" r:id="rId950"/>
    <hyperlink xmlns:r="http://schemas.openxmlformats.org/officeDocument/2006/relationships" ref="J948" r:id="rId951"/>
    <hyperlink xmlns:r="http://schemas.openxmlformats.org/officeDocument/2006/relationships" ref="J949" r:id="rId952"/>
    <hyperlink xmlns:r="http://schemas.openxmlformats.org/officeDocument/2006/relationships" ref="J950" r:id="rId953"/>
    <hyperlink xmlns:r="http://schemas.openxmlformats.org/officeDocument/2006/relationships" ref="J951" r:id="rId954"/>
    <hyperlink xmlns:r="http://schemas.openxmlformats.org/officeDocument/2006/relationships" ref="J952" r:id="rId955"/>
    <hyperlink xmlns:r="http://schemas.openxmlformats.org/officeDocument/2006/relationships" ref="J953" r:id="rId956"/>
    <hyperlink xmlns:r="http://schemas.openxmlformats.org/officeDocument/2006/relationships" ref="J954" r:id="rId957"/>
    <hyperlink xmlns:r="http://schemas.openxmlformats.org/officeDocument/2006/relationships" ref="J955" r:id="rId958"/>
    <hyperlink xmlns:r="http://schemas.openxmlformats.org/officeDocument/2006/relationships" ref="J956" r:id="rId959"/>
    <hyperlink xmlns:r="http://schemas.openxmlformats.org/officeDocument/2006/relationships" ref="J957" r:id="rId960"/>
    <hyperlink xmlns:r="http://schemas.openxmlformats.org/officeDocument/2006/relationships" ref="J958" r:id="rId961"/>
    <hyperlink xmlns:r="http://schemas.openxmlformats.org/officeDocument/2006/relationships" ref="J959" r:id="rId962"/>
    <hyperlink xmlns:r="http://schemas.openxmlformats.org/officeDocument/2006/relationships" ref="J960" r:id="rId963"/>
    <hyperlink xmlns:r="http://schemas.openxmlformats.org/officeDocument/2006/relationships" ref="J961" r:id="rId964"/>
    <hyperlink xmlns:r="http://schemas.openxmlformats.org/officeDocument/2006/relationships" ref="J962" r:id="rId965"/>
    <hyperlink xmlns:r="http://schemas.openxmlformats.org/officeDocument/2006/relationships" ref="J963" r:id="rId966"/>
    <hyperlink xmlns:r="http://schemas.openxmlformats.org/officeDocument/2006/relationships" ref="J964" r:id="rId967"/>
    <hyperlink xmlns:r="http://schemas.openxmlformats.org/officeDocument/2006/relationships" ref="J965" r:id="rId968"/>
    <hyperlink xmlns:r="http://schemas.openxmlformats.org/officeDocument/2006/relationships" ref="J966" r:id="rId969"/>
    <hyperlink xmlns:r="http://schemas.openxmlformats.org/officeDocument/2006/relationships" ref="J967" r:id="rId970"/>
    <hyperlink xmlns:r="http://schemas.openxmlformats.org/officeDocument/2006/relationships" ref="J968" r:id="rId971"/>
    <hyperlink xmlns:r="http://schemas.openxmlformats.org/officeDocument/2006/relationships" ref="J969" r:id="rId972"/>
    <hyperlink xmlns:r="http://schemas.openxmlformats.org/officeDocument/2006/relationships" ref="J970" r:id="rId973"/>
    <hyperlink xmlns:r="http://schemas.openxmlformats.org/officeDocument/2006/relationships" ref="J971" r:id="rId974"/>
    <hyperlink xmlns:r="http://schemas.openxmlformats.org/officeDocument/2006/relationships" ref="J972" r:id="rId975"/>
    <hyperlink xmlns:r="http://schemas.openxmlformats.org/officeDocument/2006/relationships" ref="J973" r:id="rId976"/>
    <hyperlink xmlns:r="http://schemas.openxmlformats.org/officeDocument/2006/relationships" ref="J974" r:id="rId977"/>
    <hyperlink xmlns:r="http://schemas.openxmlformats.org/officeDocument/2006/relationships" ref="J975" r:id="rId978"/>
    <hyperlink xmlns:r="http://schemas.openxmlformats.org/officeDocument/2006/relationships" ref="J976" r:id="rId979"/>
    <hyperlink xmlns:r="http://schemas.openxmlformats.org/officeDocument/2006/relationships" ref="J977" r:id="rId980"/>
    <hyperlink xmlns:r="http://schemas.openxmlformats.org/officeDocument/2006/relationships" ref="J978" r:id="rId981"/>
    <hyperlink xmlns:r="http://schemas.openxmlformats.org/officeDocument/2006/relationships" ref="J979" r:id="rId982"/>
    <hyperlink xmlns:r="http://schemas.openxmlformats.org/officeDocument/2006/relationships" ref="J980" r:id="rId983"/>
    <hyperlink xmlns:r="http://schemas.openxmlformats.org/officeDocument/2006/relationships" ref="J981" r:id="rId984"/>
    <hyperlink xmlns:r="http://schemas.openxmlformats.org/officeDocument/2006/relationships" ref="J982" r:id="rId985"/>
    <hyperlink xmlns:r="http://schemas.openxmlformats.org/officeDocument/2006/relationships" ref="J983" r:id="rId986"/>
    <hyperlink xmlns:r="http://schemas.openxmlformats.org/officeDocument/2006/relationships" ref="J984" r:id="rId987"/>
    <hyperlink xmlns:r="http://schemas.openxmlformats.org/officeDocument/2006/relationships" ref="J985" r:id="rId988"/>
    <hyperlink xmlns:r="http://schemas.openxmlformats.org/officeDocument/2006/relationships" ref="J986" r:id="rId989"/>
    <hyperlink xmlns:r="http://schemas.openxmlformats.org/officeDocument/2006/relationships" ref="J987" r:id="rId990"/>
    <hyperlink xmlns:r="http://schemas.openxmlformats.org/officeDocument/2006/relationships" ref="J988" r:id="rId991"/>
    <hyperlink xmlns:r="http://schemas.openxmlformats.org/officeDocument/2006/relationships" ref="J989" r:id="rId992"/>
    <hyperlink xmlns:r="http://schemas.openxmlformats.org/officeDocument/2006/relationships" ref="J990" r:id="rId993"/>
    <hyperlink xmlns:r="http://schemas.openxmlformats.org/officeDocument/2006/relationships" ref="J991" r:id="rId994"/>
    <hyperlink xmlns:r="http://schemas.openxmlformats.org/officeDocument/2006/relationships" ref="J992" r:id="rId995"/>
    <hyperlink xmlns:r="http://schemas.openxmlformats.org/officeDocument/2006/relationships" ref="J993" r:id="rId996"/>
    <hyperlink xmlns:r="http://schemas.openxmlformats.org/officeDocument/2006/relationships" ref="J994" r:id="rId997"/>
    <hyperlink xmlns:r="http://schemas.openxmlformats.org/officeDocument/2006/relationships" ref="J995" r:id="rId998"/>
    <hyperlink xmlns:r="http://schemas.openxmlformats.org/officeDocument/2006/relationships" ref="J996" r:id="rId999"/>
    <hyperlink xmlns:r="http://schemas.openxmlformats.org/officeDocument/2006/relationships" ref="J997" r:id="rId1000"/>
    <hyperlink xmlns:r="http://schemas.openxmlformats.org/officeDocument/2006/relationships" ref="J998" r:id="rId1001"/>
    <hyperlink xmlns:r="http://schemas.openxmlformats.org/officeDocument/2006/relationships" ref="J999" r:id="rId1002"/>
    <hyperlink xmlns:r="http://schemas.openxmlformats.org/officeDocument/2006/relationships" ref="J1000" r:id="rId1003"/>
    <hyperlink xmlns:r="http://schemas.openxmlformats.org/officeDocument/2006/relationships" ref="J1001" r:id="rId1004"/>
    <hyperlink xmlns:r="http://schemas.openxmlformats.org/officeDocument/2006/relationships" ref="J1002" r:id="rId1005"/>
    <hyperlink xmlns:r="http://schemas.openxmlformats.org/officeDocument/2006/relationships" ref="J1003" r:id="rId1006"/>
    <hyperlink xmlns:r="http://schemas.openxmlformats.org/officeDocument/2006/relationships" ref="J1004" r:id="rId1007"/>
    <hyperlink xmlns:r="http://schemas.openxmlformats.org/officeDocument/2006/relationships" ref="J1005" r:id="rId1008"/>
    <hyperlink xmlns:r="http://schemas.openxmlformats.org/officeDocument/2006/relationships" ref="J1006" r:id="rId1009"/>
    <hyperlink xmlns:r="http://schemas.openxmlformats.org/officeDocument/2006/relationships" ref="J1007" r:id="rId1010"/>
    <hyperlink xmlns:r="http://schemas.openxmlformats.org/officeDocument/2006/relationships" ref="J1008" r:id="rId1011"/>
    <hyperlink xmlns:r="http://schemas.openxmlformats.org/officeDocument/2006/relationships" ref="J1009" r:id="rId1012"/>
    <hyperlink xmlns:r="http://schemas.openxmlformats.org/officeDocument/2006/relationships" ref="J1010" r:id="rId1013"/>
    <hyperlink xmlns:r="http://schemas.openxmlformats.org/officeDocument/2006/relationships" ref="J1011" r:id="rId1014"/>
    <hyperlink xmlns:r="http://schemas.openxmlformats.org/officeDocument/2006/relationships" ref="J1012" r:id="rId1015"/>
    <hyperlink xmlns:r="http://schemas.openxmlformats.org/officeDocument/2006/relationships" ref="J1013" r:id="rId1016"/>
    <hyperlink xmlns:r="http://schemas.openxmlformats.org/officeDocument/2006/relationships" ref="J1014" r:id="rId1017"/>
    <hyperlink xmlns:r="http://schemas.openxmlformats.org/officeDocument/2006/relationships" ref="J1015" r:id="rId1018"/>
    <hyperlink xmlns:r="http://schemas.openxmlformats.org/officeDocument/2006/relationships" ref="J1016" r:id="rId1019"/>
    <hyperlink xmlns:r="http://schemas.openxmlformats.org/officeDocument/2006/relationships" ref="J1017" r:id="rId1020"/>
    <hyperlink xmlns:r="http://schemas.openxmlformats.org/officeDocument/2006/relationships" ref="J1018" r:id="rId1021"/>
    <hyperlink xmlns:r="http://schemas.openxmlformats.org/officeDocument/2006/relationships" ref="J1019" r:id="rId1022"/>
    <hyperlink xmlns:r="http://schemas.openxmlformats.org/officeDocument/2006/relationships" ref="J1020" r:id="rId1023"/>
    <hyperlink xmlns:r="http://schemas.openxmlformats.org/officeDocument/2006/relationships" ref="J1021" r:id="rId1024"/>
    <hyperlink xmlns:r="http://schemas.openxmlformats.org/officeDocument/2006/relationships" ref="J1022" r:id="rId1025"/>
    <hyperlink xmlns:r="http://schemas.openxmlformats.org/officeDocument/2006/relationships" ref="J1023" r:id="rId1026"/>
    <hyperlink xmlns:r="http://schemas.openxmlformats.org/officeDocument/2006/relationships" ref="J1024" r:id="rId1027"/>
    <hyperlink xmlns:r="http://schemas.openxmlformats.org/officeDocument/2006/relationships" ref="J1025" r:id="rId1028"/>
    <hyperlink xmlns:r="http://schemas.openxmlformats.org/officeDocument/2006/relationships" ref="J1026" r:id="rId1029"/>
    <hyperlink xmlns:r="http://schemas.openxmlformats.org/officeDocument/2006/relationships" ref="J1027" r:id="rId1030"/>
    <hyperlink xmlns:r="http://schemas.openxmlformats.org/officeDocument/2006/relationships" ref="J1028" r:id="rId1031"/>
    <hyperlink xmlns:r="http://schemas.openxmlformats.org/officeDocument/2006/relationships" ref="J1029" r:id="rId1032"/>
    <hyperlink xmlns:r="http://schemas.openxmlformats.org/officeDocument/2006/relationships" ref="J1030" r:id="rId1033"/>
    <hyperlink xmlns:r="http://schemas.openxmlformats.org/officeDocument/2006/relationships" ref="J1031" r:id="rId1034"/>
    <hyperlink xmlns:r="http://schemas.openxmlformats.org/officeDocument/2006/relationships" ref="J1032" r:id="rId1035"/>
    <hyperlink xmlns:r="http://schemas.openxmlformats.org/officeDocument/2006/relationships" ref="J1033" r:id="rId1036"/>
    <hyperlink xmlns:r="http://schemas.openxmlformats.org/officeDocument/2006/relationships" ref="J1034" r:id="rId1037"/>
    <hyperlink xmlns:r="http://schemas.openxmlformats.org/officeDocument/2006/relationships" ref="J1035" r:id="rId1038"/>
    <hyperlink xmlns:r="http://schemas.openxmlformats.org/officeDocument/2006/relationships" ref="J1036" r:id="rId1039"/>
    <hyperlink xmlns:r="http://schemas.openxmlformats.org/officeDocument/2006/relationships" ref="J1037" r:id="rId1040"/>
    <hyperlink xmlns:r="http://schemas.openxmlformats.org/officeDocument/2006/relationships" ref="J1038" r:id="rId1041"/>
    <hyperlink xmlns:r="http://schemas.openxmlformats.org/officeDocument/2006/relationships" ref="J1039" r:id="rId1042"/>
    <hyperlink xmlns:r="http://schemas.openxmlformats.org/officeDocument/2006/relationships" ref="J1040" r:id="rId1043"/>
    <hyperlink xmlns:r="http://schemas.openxmlformats.org/officeDocument/2006/relationships" ref="J1041" r:id="rId1044"/>
    <hyperlink xmlns:r="http://schemas.openxmlformats.org/officeDocument/2006/relationships" ref="J1042" r:id="rId1045"/>
    <hyperlink xmlns:r="http://schemas.openxmlformats.org/officeDocument/2006/relationships" ref="J1043" r:id="rId1046"/>
    <hyperlink xmlns:r="http://schemas.openxmlformats.org/officeDocument/2006/relationships" ref="J1044" r:id="rId1047"/>
    <hyperlink xmlns:r="http://schemas.openxmlformats.org/officeDocument/2006/relationships" ref="J1045" r:id="rId1048"/>
    <hyperlink xmlns:r="http://schemas.openxmlformats.org/officeDocument/2006/relationships" ref="J1046" r:id="rId1049"/>
    <hyperlink xmlns:r="http://schemas.openxmlformats.org/officeDocument/2006/relationships" ref="J1047" r:id="rId1050"/>
    <hyperlink xmlns:r="http://schemas.openxmlformats.org/officeDocument/2006/relationships" ref="J1048" r:id="rId1051"/>
    <hyperlink xmlns:r="http://schemas.openxmlformats.org/officeDocument/2006/relationships" ref="J1049" r:id="rId1052"/>
    <hyperlink xmlns:r="http://schemas.openxmlformats.org/officeDocument/2006/relationships" ref="J1050" r:id="rId1053"/>
    <hyperlink xmlns:r="http://schemas.openxmlformats.org/officeDocument/2006/relationships" ref="J1051" r:id="rId1054"/>
    <hyperlink xmlns:r="http://schemas.openxmlformats.org/officeDocument/2006/relationships" ref="J1052" r:id="rId1055"/>
    <hyperlink xmlns:r="http://schemas.openxmlformats.org/officeDocument/2006/relationships" ref="J1053" r:id="rId1056"/>
    <hyperlink xmlns:r="http://schemas.openxmlformats.org/officeDocument/2006/relationships" ref="J1054" r:id="rId1057"/>
    <hyperlink xmlns:r="http://schemas.openxmlformats.org/officeDocument/2006/relationships" ref="J1055" r:id="rId1058"/>
    <hyperlink xmlns:r="http://schemas.openxmlformats.org/officeDocument/2006/relationships" ref="J1056" r:id="rId1059"/>
    <hyperlink xmlns:r="http://schemas.openxmlformats.org/officeDocument/2006/relationships" ref="J1057" r:id="rId1060"/>
    <hyperlink xmlns:r="http://schemas.openxmlformats.org/officeDocument/2006/relationships" ref="J1058" r:id="rId1061"/>
    <hyperlink xmlns:r="http://schemas.openxmlformats.org/officeDocument/2006/relationships" ref="J1059" r:id="rId1062"/>
    <hyperlink xmlns:r="http://schemas.openxmlformats.org/officeDocument/2006/relationships" ref="J1060" r:id="rId1063"/>
    <hyperlink xmlns:r="http://schemas.openxmlformats.org/officeDocument/2006/relationships" ref="J1061" r:id="rId1064"/>
    <hyperlink xmlns:r="http://schemas.openxmlformats.org/officeDocument/2006/relationships" ref="J1062" r:id="rId1065"/>
    <hyperlink xmlns:r="http://schemas.openxmlformats.org/officeDocument/2006/relationships" ref="J1063" r:id="rId1066"/>
    <hyperlink xmlns:r="http://schemas.openxmlformats.org/officeDocument/2006/relationships" ref="J1064" r:id="rId1067"/>
    <hyperlink xmlns:r="http://schemas.openxmlformats.org/officeDocument/2006/relationships" ref="J1065" r:id="rId1068"/>
    <hyperlink xmlns:r="http://schemas.openxmlformats.org/officeDocument/2006/relationships" ref="J1066" r:id="rId1069"/>
    <hyperlink xmlns:r="http://schemas.openxmlformats.org/officeDocument/2006/relationships" ref="J1067" r:id="rId1070"/>
    <hyperlink xmlns:r="http://schemas.openxmlformats.org/officeDocument/2006/relationships" ref="J1068" r:id="rId1071"/>
    <hyperlink xmlns:r="http://schemas.openxmlformats.org/officeDocument/2006/relationships" ref="J1069" r:id="rId1072"/>
    <hyperlink xmlns:r="http://schemas.openxmlformats.org/officeDocument/2006/relationships" ref="J1070" r:id="rId1073"/>
    <hyperlink xmlns:r="http://schemas.openxmlformats.org/officeDocument/2006/relationships" ref="J1071" r:id="rId1074"/>
    <hyperlink xmlns:r="http://schemas.openxmlformats.org/officeDocument/2006/relationships" ref="J1072" r:id="rId1075"/>
    <hyperlink xmlns:r="http://schemas.openxmlformats.org/officeDocument/2006/relationships" ref="J1073" r:id="rId1076"/>
    <hyperlink xmlns:r="http://schemas.openxmlformats.org/officeDocument/2006/relationships" ref="J1074" r:id="rId1077"/>
    <hyperlink xmlns:r="http://schemas.openxmlformats.org/officeDocument/2006/relationships" ref="J1075" r:id="rId1078"/>
    <hyperlink xmlns:r="http://schemas.openxmlformats.org/officeDocument/2006/relationships" ref="J1076" r:id="rId1079"/>
    <hyperlink xmlns:r="http://schemas.openxmlformats.org/officeDocument/2006/relationships" ref="J1077" r:id="rId1080"/>
    <hyperlink xmlns:r="http://schemas.openxmlformats.org/officeDocument/2006/relationships" ref="J1078" r:id="rId1081"/>
    <hyperlink xmlns:r="http://schemas.openxmlformats.org/officeDocument/2006/relationships" ref="J1079" r:id="rId1082"/>
    <hyperlink xmlns:r="http://schemas.openxmlformats.org/officeDocument/2006/relationships" ref="J1080" r:id="rId1083"/>
    <hyperlink xmlns:r="http://schemas.openxmlformats.org/officeDocument/2006/relationships" ref="J1081" r:id="rId1084"/>
    <hyperlink xmlns:r="http://schemas.openxmlformats.org/officeDocument/2006/relationships" ref="J1082" r:id="rId1085"/>
    <hyperlink xmlns:r="http://schemas.openxmlformats.org/officeDocument/2006/relationships" ref="J1083" r:id="rId1086"/>
    <hyperlink xmlns:r="http://schemas.openxmlformats.org/officeDocument/2006/relationships" ref="J1084" r:id="rId1087"/>
    <hyperlink xmlns:r="http://schemas.openxmlformats.org/officeDocument/2006/relationships" ref="J1085" r:id="rId1088"/>
    <hyperlink xmlns:r="http://schemas.openxmlformats.org/officeDocument/2006/relationships" ref="J1086" r:id="rId1089"/>
    <hyperlink xmlns:r="http://schemas.openxmlformats.org/officeDocument/2006/relationships" ref="J1087" r:id="rId1090"/>
    <hyperlink xmlns:r="http://schemas.openxmlformats.org/officeDocument/2006/relationships" ref="J1088" r:id="rId1091"/>
    <hyperlink xmlns:r="http://schemas.openxmlformats.org/officeDocument/2006/relationships" ref="J1089" r:id="rId1092"/>
    <hyperlink xmlns:r="http://schemas.openxmlformats.org/officeDocument/2006/relationships" ref="J1090" r:id="rId1093"/>
    <hyperlink xmlns:r="http://schemas.openxmlformats.org/officeDocument/2006/relationships" ref="J1091" r:id="rId1094"/>
    <hyperlink xmlns:r="http://schemas.openxmlformats.org/officeDocument/2006/relationships" ref="J1092" r:id="rId1095"/>
    <hyperlink xmlns:r="http://schemas.openxmlformats.org/officeDocument/2006/relationships" ref="J1093" r:id="rId1096"/>
    <hyperlink xmlns:r="http://schemas.openxmlformats.org/officeDocument/2006/relationships" ref="J1094" r:id="rId1097"/>
    <hyperlink xmlns:r="http://schemas.openxmlformats.org/officeDocument/2006/relationships" ref="J1095" r:id="rId1098"/>
    <hyperlink xmlns:r="http://schemas.openxmlformats.org/officeDocument/2006/relationships" ref="J1096" r:id="rId1099"/>
    <hyperlink xmlns:r="http://schemas.openxmlformats.org/officeDocument/2006/relationships" ref="J1097" r:id="rId1100"/>
    <hyperlink xmlns:r="http://schemas.openxmlformats.org/officeDocument/2006/relationships" ref="J1098" r:id="rId1101"/>
    <hyperlink xmlns:r="http://schemas.openxmlformats.org/officeDocument/2006/relationships" ref="J1099" r:id="rId1102"/>
    <hyperlink xmlns:r="http://schemas.openxmlformats.org/officeDocument/2006/relationships" ref="J1100" r:id="rId1103"/>
    <hyperlink xmlns:r="http://schemas.openxmlformats.org/officeDocument/2006/relationships" ref="J1101" r:id="rId1104"/>
    <hyperlink xmlns:r="http://schemas.openxmlformats.org/officeDocument/2006/relationships" ref="J1102" r:id="rId1105"/>
    <hyperlink xmlns:r="http://schemas.openxmlformats.org/officeDocument/2006/relationships" ref="J1103" r:id="rId1106"/>
    <hyperlink xmlns:r="http://schemas.openxmlformats.org/officeDocument/2006/relationships" ref="J1104" r:id="rId1107"/>
    <hyperlink xmlns:r="http://schemas.openxmlformats.org/officeDocument/2006/relationships" ref="J1105" r:id="rId1108"/>
    <hyperlink xmlns:r="http://schemas.openxmlformats.org/officeDocument/2006/relationships" ref="J1106" r:id="rId1109"/>
    <hyperlink xmlns:r="http://schemas.openxmlformats.org/officeDocument/2006/relationships" ref="J1107" r:id="rId1110"/>
    <hyperlink xmlns:r="http://schemas.openxmlformats.org/officeDocument/2006/relationships" ref="J1108" r:id="rId1111"/>
    <hyperlink xmlns:r="http://schemas.openxmlformats.org/officeDocument/2006/relationships" ref="J1109" r:id="rId1112"/>
    <hyperlink xmlns:r="http://schemas.openxmlformats.org/officeDocument/2006/relationships" ref="J1110" r:id="rId1113"/>
    <hyperlink xmlns:r="http://schemas.openxmlformats.org/officeDocument/2006/relationships" ref="J1111" r:id="rId1114"/>
    <hyperlink xmlns:r="http://schemas.openxmlformats.org/officeDocument/2006/relationships" ref="J1112" r:id="rId1115"/>
    <hyperlink xmlns:r="http://schemas.openxmlformats.org/officeDocument/2006/relationships" ref="J1113" r:id="rId1116"/>
    <hyperlink xmlns:r="http://schemas.openxmlformats.org/officeDocument/2006/relationships" ref="J1114" r:id="rId1117"/>
    <hyperlink xmlns:r="http://schemas.openxmlformats.org/officeDocument/2006/relationships" ref="J1115" r:id="rId1118"/>
    <hyperlink xmlns:r="http://schemas.openxmlformats.org/officeDocument/2006/relationships" ref="J1116" r:id="rId1119"/>
    <hyperlink xmlns:r="http://schemas.openxmlformats.org/officeDocument/2006/relationships" ref="J1117" r:id="rId1120"/>
    <hyperlink xmlns:r="http://schemas.openxmlformats.org/officeDocument/2006/relationships" ref="J1118" r:id="rId1121"/>
    <hyperlink xmlns:r="http://schemas.openxmlformats.org/officeDocument/2006/relationships" ref="J1119" r:id="rId1122"/>
    <hyperlink xmlns:r="http://schemas.openxmlformats.org/officeDocument/2006/relationships" ref="J1120" r:id="rId1123"/>
    <hyperlink xmlns:r="http://schemas.openxmlformats.org/officeDocument/2006/relationships" ref="J1121" r:id="rId1124"/>
    <hyperlink xmlns:r="http://schemas.openxmlformats.org/officeDocument/2006/relationships" ref="J1122" r:id="rId1125"/>
    <hyperlink xmlns:r="http://schemas.openxmlformats.org/officeDocument/2006/relationships" ref="J1123" r:id="rId1126"/>
    <hyperlink xmlns:r="http://schemas.openxmlformats.org/officeDocument/2006/relationships" ref="J1124" r:id="rId1127"/>
    <hyperlink xmlns:r="http://schemas.openxmlformats.org/officeDocument/2006/relationships" ref="J1125" r:id="rId1128"/>
    <hyperlink xmlns:r="http://schemas.openxmlformats.org/officeDocument/2006/relationships" ref="J1126" r:id="rId1129"/>
    <hyperlink xmlns:r="http://schemas.openxmlformats.org/officeDocument/2006/relationships" ref="J1127" r:id="rId1130"/>
    <hyperlink xmlns:r="http://schemas.openxmlformats.org/officeDocument/2006/relationships" ref="J1128" r:id="rId1131"/>
    <hyperlink xmlns:r="http://schemas.openxmlformats.org/officeDocument/2006/relationships" ref="J1129" r:id="rId1132"/>
    <hyperlink xmlns:r="http://schemas.openxmlformats.org/officeDocument/2006/relationships" ref="J1130" r:id="rId1133"/>
    <hyperlink xmlns:r="http://schemas.openxmlformats.org/officeDocument/2006/relationships" ref="J1131" r:id="rId1134"/>
    <hyperlink xmlns:r="http://schemas.openxmlformats.org/officeDocument/2006/relationships" ref="J1132" r:id="rId1135"/>
    <hyperlink xmlns:r="http://schemas.openxmlformats.org/officeDocument/2006/relationships" ref="J1133" r:id="rId1136"/>
    <hyperlink xmlns:r="http://schemas.openxmlformats.org/officeDocument/2006/relationships" ref="J1134" r:id="rId1137"/>
    <hyperlink xmlns:r="http://schemas.openxmlformats.org/officeDocument/2006/relationships" ref="J1135" r:id="rId1138"/>
    <hyperlink xmlns:r="http://schemas.openxmlformats.org/officeDocument/2006/relationships" ref="J1136" r:id="rId1139"/>
    <hyperlink xmlns:r="http://schemas.openxmlformats.org/officeDocument/2006/relationships" ref="J1137" r:id="rId1140"/>
    <hyperlink xmlns:r="http://schemas.openxmlformats.org/officeDocument/2006/relationships" ref="J1138" r:id="rId1141"/>
    <hyperlink xmlns:r="http://schemas.openxmlformats.org/officeDocument/2006/relationships" ref="J1139" r:id="rId1142"/>
    <hyperlink xmlns:r="http://schemas.openxmlformats.org/officeDocument/2006/relationships" ref="J1140" r:id="rId1143"/>
    <hyperlink xmlns:r="http://schemas.openxmlformats.org/officeDocument/2006/relationships" ref="J1141" r:id="rId1144"/>
    <hyperlink xmlns:r="http://schemas.openxmlformats.org/officeDocument/2006/relationships" ref="J1142" r:id="rId1145"/>
    <hyperlink xmlns:r="http://schemas.openxmlformats.org/officeDocument/2006/relationships" ref="J1143" r:id="rId1146"/>
    <hyperlink xmlns:r="http://schemas.openxmlformats.org/officeDocument/2006/relationships" ref="J1144" r:id="rId1147"/>
    <hyperlink xmlns:r="http://schemas.openxmlformats.org/officeDocument/2006/relationships" ref="J1145" r:id="rId1148"/>
    <hyperlink xmlns:r="http://schemas.openxmlformats.org/officeDocument/2006/relationships" ref="J1146" r:id="rId1149"/>
    <hyperlink xmlns:r="http://schemas.openxmlformats.org/officeDocument/2006/relationships" ref="J1147" r:id="rId1150"/>
    <hyperlink xmlns:r="http://schemas.openxmlformats.org/officeDocument/2006/relationships" ref="J1148" r:id="rId1151"/>
    <hyperlink xmlns:r="http://schemas.openxmlformats.org/officeDocument/2006/relationships" ref="J1149" r:id="rId1152"/>
    <hyperlink xmlns:r="http://schemas.openxmlformats.org/officeDocument/2006/relationships" ref="J1150" r:id="rId1153"/>
    <hyperlink xmlns:r="http://schemas.openxmlformats.org/officeDocument/2006/relationships" ref="J1151" r:id="rId1154"/>
    <hyperlink xmlns:r="http://schemas.openxmlformats.org/officeDocument/2006/relationships" ref="J1152" r:id="rId1155"/>
    <hyperlink xmlns:r="http://schemas.openxmlformats.org/officeDocument/2006/relationships" ref="J1153" r:id="rId1156"/>
    <hyperlink xmlns:r="http://schemas.openxmlformats.org/officeDocument/2006/relationships" ref="J1154" r:id="rId1157"/>
    <hyperlink xmlns:r="http://schemas.openxmlformats.org/officeDocument/2006/relationships" ref="J1155" r:id="rId1158"/>
    <hyperlink xmlns:r="http://schemas.openxmlformats.org/officeDocument/2006/relationships" ref="J1156" r:id="rId1159"/>
    <hyperlink xmlns:r="http://schemas.openxmlformats.org/officeDocument/2006/relationships" ref="J1157" r:id="rId1160"/>
    <hyperlink xmlns:r="http://schemas.openxmlformats.org/officeDocument/2006/relationships" ref="J1158" r:id="rId1161"/>
    <hyperlink xmlns:r="http://schemas.openxmlformats.org/officeDocument/2006/relationships" ref="J1159" r:id="rId1162"/>
    <hyperlink xmlns:r="http://schemas.openxmlformats.org/officeDocument/2006/relationships" ref="J1160" r:id="rId1163"/>
    <hyperlink xmlns:r="http://schemas.openxmlformats.org/officeDocument/2006/relationships" ref="J1161" r:id="rId1164"/>
    <hyperlink xmlns:r="http://schemas.openxmlformats.org/officeDocument/2006/relationships" ref="J1162" r:id="rId1165"/>
    <hyperlink xmlns:r="http://schemas.openxmlformats.org/officeDocument/2006/relationships" ref="J1163" r:id="rId1166"/>
    <hyperlink xmlns:r="http://schemas.openxmlformats.org/officeDocument/2006/relationships" ref="J1164" r:id="rId1167"/>
    <hyperlink xmlns:r="http://schemas.openxmlformats.org/officeDocument/2006/relationships" ref="J1165" r:id="rId1168"/>
    <hyperlink xmlns:r="http://schemas.openxmlformats.org/officeDocument/2006/relationships" ref="J1166" r:id="rId1169"/>
    <hyperlink xmlns:r="http://schemas.openxmlformats.org/officeDocument/2006/relationships" ref="J1167" r:id="rId1170"/>
    <hyperlink xmlns:r="http://schemas.openxmlformats.org/officeDocument/2006/relationships" ref="J1168" r:id="rId1171"/>
    <hyperlink xmlns:r="http://schemas.openxmlformats.org/officeDocument/2006/relationships" ref="J1169" r:id="rId1172"/>
    <hyperlink xmlns:r="http://schemas.openxmlformats.org/officeDocument/2006/relationships" ref="J1170" r:id="rId1173"/>
    <hyperlink xmlns:r="http://schemas.openxmlformats.org/officeDocument/2006/relationships" ref="J1171" r:id="rId1174"/>
    <hyperlink xmlns:r="http://schemas.openxmlformats.org/officeDocument/2006/relationships" ref="J1172" r:id="rId1175"/>
    <hyperlink xmlns:r="http://schemas.openxmlformats.org/officeDocument/2006/relationships" ref="J1173" r:id="rId1176"/>
    <hyperlink xmlns:r="http://schemas.openxmlformats.org/officeDocument/2006/relationships" ref="J1174" r:id="rId1177"/>
    <hyperlink xmlns:r="http://schemas.openxmlformats.org/officeDocument/2006/relationships" ref="J1175" r:id="rId1178"/>
    <hyperlink xmlns:r="http://schemas.openxmlformats.org/officeDocument/2006/relationships" ref="J1176" r:id="rId1179"/>
    <hyperlink xmlns:r="http://schemas.openxmlformats.org/officeDocument/2006/relationships" ref="J1177" r:id="rId1180"/>
    <hyperlink xmlns:r="http://schemas.openxmlformats.org/officeDocument/2006/relationships" ref="J1178" r:id="rId1181"/>
    <hyperlink xmlns:r="http://schemas.openxmlformats.org/officeDocument/2006/relationships" ref="J1179" r:id="rId1182"/>
    <hyperlink xmlns:r="http://schemas.openxmlformats.org/officeDocument/2006/relationships" ref="J1180" r:id="rId1183"/>
    <hyperlink xmlns:r="http://schemas.openxmlformats.org/officeDocument/2006/relationships" ref="J1181" r:id="rId1184"/>
    <hyperlink xmlns:r="http://schemas.openxmlformats.org/officeDocument/2006/relationships" ref="J1182" r:id="rId1185"/>
    <hyperlink xmlns:r="http://schemas.openxmlformats.org/officeDocument/2006/relationships" ref="J1183" r:id="rId1186"/>
    <hyperlink xmlns:r="http://schemas.openxmlformats.org/officeDocument/2006/relationships" ref="J1184" r:id="rId1187"/>
    <hyperlink xmlns:r="http://schemas.openxmlformats.org/officeDocument/2006/relationships" ref="J1185" r:id="rId1188"/>
    <hyperlink xmlns:r="http://schemas.openxmlformats.org/officeDocument/2006/relationships" ref="J1186" r:id="rId1189"/>
    <hyperlink xmlns:r="http://schemas.openxmlformats.org/officeDocument/2006/relationships" ref="J1187" r:id="rId1190"/>
    <hyperlink xmlns:r="http://schemas.openxmlformats.org/officeDocument/2006/relationships" ref="J1188" r:id="rId1191"/>
    <hyperlink xmlns:r="http://schemas.openxmlformats.org/officeDocument/2006/relationships" ref="J1189" r:id="rId1192"/>
    <hyperlink xmlns:r="http://schemas.openxmlformats.org/officeDocument/2006/relationships" ref="J1190" r:id="rId1193"/>
    <hyperlink xmlns:r="http://schemas.openxmlformats.org/officeDocument/2006/relationships" ref="J1191" r:id="rId1194"/>
    <hyperlink xmlns:r="http://schemas.openxmlformats.org/officeDocument/2006/relationships" ref="J1192" r:id="rId1195"/>
    <hyperlink xmlns:r="http://schemas.openxmlformats.org/officeDocument/2006/relationships" ref="J1193" r:id="rId1196"/>
    <hyperlink xmlns:r="http://schemas.openxmlformats.org/officeDocument/2006/relationships" ref="J1194" r:id="rId1197"/>
    <hyperlink xmlns:r="http://schemas.openxmlformats.org/officeDocument/2006/relationships" ref="J1195" r:id="rId1198"/>
    <hyperlink xmlns:r="http://schemas.openxmlformats.org/officeDocument/2006/relationships" ref="J1196" r:id="rId1199"/>
    <hyperlink xmlns:r="http://schemas.openxmlformats.org/officeDocument/2006/relationships" ref="J1197" r:id="rId1200"/>
    <hyperlink xmlns:r="http://schemas.openxmlformats.org/officeDocument/2006/relationships" ref="J1198" r:id="rId1201"/>
    <hyperlink xmlns:r="http://schemas.openxmlformats.org/officeDocument/2006/relationships" ref="J1199" r:id="rId1202"/>
    <hyperlink xmlns:r="http://schemas.openxmlformats.org/officeDocument/2006/relationships" ref="J1200" r:id="rId1203"/>
    <hyperlink xmlns:r="http://schemas.openxmlformats.org/officeDocument/2006/relationships" ref="J1201" r:id="rId1204"/>
    <hyperlink xmlns:r="http://schemas.openxmlformats.org/officeDocument/2006/relationships" ref="J1202" r:id="rId1205"/>
    <hyperlink xmlns:r="http://schemas.openxmlformats.org/officeDocument/2006/relationships" ref="J1203" r:id="rId1206"/>
    <hyperlink xmlns:r="http://schemas.openxmlformats.org/officeDocument/2006/relationships" ref="J1204" r:id="rId1207"/>
    <hyperlink xmlns:r="http://schemas.openxmlformats.org/officeDocument/2006/relationships" ref="J1205" r:id="rId1208"/>
    <hyperlink xmlns:r="http://schemas.openxmlformats.org/officeDocument/2006/relationships" ref="J1206" r:id="rId1209"/>
    <hyperlink xmlns:r="http://schemas.openxmlformats.org/officeDocument/2006/relationships" ref="J1207" r:id="rId1210"/>
    <hyperlink xmlns:r="http://schemas.openxmlformats.org/officeDocument/2006/relationships" ref="J1208" r:id="rId1211"/>
    <hyperlink xmlns:r="http://schemas.openxmlformats.org/officeDocument/2006/relationships" ref="J1209" r:id="rId1212"/>
    <hyperlink xmlns:r="http://schemas.openxmlformats.org/officeDocument/2006/relationships" ref="J1210" r:id="rId1213"/>
    <hyperlink xmlns:r="http://schemas.openxmlformats.org/officeDocument/2006/relationships" ref="J1211" r:id="rId1214"/>
    <hyperlink xmlns:r="http://schemas.openxmlformats.org/officeDocument/2006/relationships" ref="J1212" r:id="rId1215"/>
    <hyperlink xmlns:r="http://schemas.openxmlformats.org/officeDocument/2006/relationships" ref="J1213" r:id="rId1216"/>
    <hyperlink xmlns:r="http://schemas.openxmlformats.org/officeDocument/2006/relationships" ref="J1214" r:id="rId1217"/>
    <hyperlink xmlns:r="http://schemas.openxmlformats.org/officeDocument/2006/relationships" ref="J1215" r:id="rId1218"/>
    <hyperlink xmlns:r="http://schemas.openxmlformats.org/officeDocument/2006/relationships" ref="J1216" r:id="rId1219"/>
    <hyperlink xmlns:r="http://schemas.openxmlformats.org/officeDocument/2006/relationships" ref="J1217" r:id="rId1220"/>
    <hyperlink xmlns:r="http://schemas.openxmlformats.org/officeDocument/2006/relationships" ref="J1218" r:id="rId1221"/>
    <hyperlink xmlns:r="http://schemas.openxmlformats.org/officeDocument/2006/relationships" ref="J1219" r:id="rId1222"/>
    <hyperlink xmlns:r="http://schemas.openxmlformats.org/officeDocument/2006/relationships" ref="J1220" r:id="rId1223"/>
    <hyperlink xmlns:r="http://schemas.openxmlformats.org/officeDocument/2006/relationships" ref="J1221" r:id="rId1224"/>
    <hyperlink xmlns:r="http://schemas.openxmlformats.org/officeDocument/2006/relationships" ref="J1222" r:id="rId1225"/>
    <hyperlink xmlns:r="http://schemas.openxmlformats.org/officeDocument/2006/relationships" ref="J1223" r:id="rId1226"/>
    <hyperlink xmlns:r="http://schemas.openxmlformats.org/officeDocument/2006/relationships" ref="J1224" r:id="rId1227"/>
    <hyperlink xmlns:r="http://schemas.openxmlformats.org/officeDocument/2006/relationships" ref="J1225" r:id="rId1228"/>
    <hyperlink xmlns:r="http://schemas.openxmlformats.org/officeDocument/2006/relationships" ref="J1226" r:id="rId1229"/>
    <hyperlink xmlns:r="http://schemas.openxmlformats.org/officeDocument/2006/relationships" ref="J1227" r:id="rId1230"/>
    <hyperlink xmlns:r="http://schemas.openxmlformats.org/officeDocument/2006/relationships" ref="J1228" r:id="rId1231"/>
    <hyperlink xmlns:r="http://schemas.openxmlformats.org/officeDocument/2006/relationships" ref="J1229" r:id="rId1232"/>
    <hyperlink xmlns:r="http://schemas.openxmlformats.org/officeDocument/2006/relationships" ref="J1230" r:id="rId1233"/>
    <hyperlink xmlns:r="http://schemas.openxmlformats.org/officeDocument/2006/relationships" ref="J1231" r:id="rId1234"/>
    <hyperlink xmlns:r="http://schemas.openxmlformats.org/officeDocument/2006/relationships" ref="J1232" r:id="rId1235"/>
    <hyperlink xmlns:r="http://schemas.openxmlformats.org/officeDocument/2006/relationships" ref="J1233" r:id="rId1236"/>
    <hyperlink xmlns:r="http://schemas.openxmlformats.org/officeDocument/2006/relationships" ref="J1234" r:id="rId1237"/>
    <hyperlink xmlns:r="http://schemas.openxmlformats.org/officeDocument/2006/relationships" ref="J1235" r:id="rId1238"/>
    <hyperlink xmlns:r="http://schemas.openxmlformats.org/officeDocument/2006/relationships" ref="J1236" r:id="rId1239"/>
    <hyperlink xmlns:r="http://schemas.openxmlformats.org/officeDocument/2006/relationships" ref="J1237" r:id="rId1240"/>
    <hyperlink xmlns:r="http://schemas.openxmlformats.org/officeDocument/2006/relationships" ref="J1238" r:id="rId1241"/>
    <hyperlink xmlns:r="http://schemas.openxmlformats.org/officeDocument/2006/relationships" ref="J1239" r:id="rId1242"/>
    <hyperlink xmlns:r="http://schemas.openxmlformats.org/officeDocument/2006/relationships" ref="J1240" r:id="rId1243"/>
    <hyperlink xmlns:r="http://schemas.openxmlformats.org/officeDocument/2006/relationships" ref="J1241" r:id="rId1244"/>
    <hyperlink xmlns:r="http://schemas.openxmlformats.org/officeDocument/2006/relationships" ref="J1242" r:id="rId1245"/>
    <hyperlink xmlns:r="http://schemas.openxmlformats.org/officeDocument/2006/relationships" ref="J1243" r:id="rId1246"/>
    <hyperlink xmlns:r="http://schemas.openxmlformats.org/officeDocument/2006/relationships" ref="J1244" r:id="rId1247"/>
    <hyperlink xmlns:r="http://schemas.openxmlformats.org/officeDocument/2006/relationships" ref="J1245" r:id="rId1248"/>
    <hyperlink xmlns:r="http://schemas.openxmlformats.org/officeDocument/2006/relationships" ref="J1246" r:id="rId1249"/>
    <hyperlink xmlns:r="http://schemas.openxmlformats.org/officeDocument/2006/relationships" ref="J1247" r:id="rId1250"/>
    <hyperlink xmlns:r="http://schemas.openxmlformats.org/officeDocument/2006/relationships" ref="J1248" r:id="rId1251"/>
    <hyperlink xmlns:r="http://schemas.openxmlformats.org/officeDocument/2006/relationships" ref="J1249" r:id="rId1252"/>
    <hyperlink xmlns:r="http://schemas.openxmlformats.org/officeDocument/2006/relationships" ref="J1250" r:id="rId1253"/>
    <hyperlink xmlns:r="http://schemas.openxmlformats.org/officeDocument/2006/relationships" ref="J1251" r:id="rId1254"/>
    <hyperlink xmlns:r="http://schemas.openxmlformats.org/officeDocument/2006/relationships" ref="J1252" r:id="rId1255"/>
    <hyperlink xmlns:r="http://schemas.openxmlformats.org/officeDocument/2006/relationships" ref="J1253" r:id="rId1256"/>
    <hyperlink xmlns:r="http://schemas.openxmlformats.org/officeDocument/2006/relationships" ref="J1254" r:id="rId1257"/>
    <hyperlink xmlns:r="http://schemas.openxmlformats.org/officeDocument/2006/relationships" ref="J1255" r:id="rId1258"/>
    <hyperlink xmlns:r="http://schemas.openxmlformats.org/officeDocument/2006/relationships" ref="J1256" r:id="rId1259"/>
    <hyperlink xmlns:r="http://schemas.openxmlformats.org/officeDocument/2006/relationships" ref="J1257" r:id="rId1260"/>
    <hyperlink xmlns:r="http://schemas.openxmlformats.org/officeDocument/2006/relationships" ref="J1258" r:id="rId1261"/>
    <hyperlink xmlns:r="http://schemas.openxmlformats.org/officeDocument/2006/relationships" ref="J1259" r:id="rId1262"/>
    <hyperlink xmlns:r="http://schemas.openxmlformats.org/officeDocument/2006/relationships" ref="J1260" r:id="rId1263"/>
    <hyperlink xmlns:r="http://schemas.openxmlformats.org/officeDocument/2006/relationships" ref="J1261" r:id="rId1264"/>
    <hyperlink xmlns:r="http://schemas.openxmlformats.org/officeDocument/2006/relationships" ref="J1262" r:id="rId1265"/>
    <hyperlink xmlns:r="http://schemas.openxmlformats.org/officeDocument/2006/relationships" ref="J1263" r:id="rId1266"/>
    <hyperlink xmlns:r="http://schemas.openxmlformats.org/officeDocument/2006/relationships" ref="J1264" r:id="rId1267"/>
    <hyperlink xmlns:r="http://schemas.openxmlformats.org/officeDocument/2006/relationships" ref="J1265" r:id="rId1268"/>
    <hyperlink xmlns:r="http://schemas.openxmlformats.org/officeDocument/2006/relationships" ref="J1266" r:id="rId1269"/>
    <hyperlink xmlns:r="http://schemas.openxmlformats.org/officeDocument/2006/relationships" ref="J1267" r:id="rId1270"/>
    <hyperlink xmlns:r="http://schemas.openxmlformats.org/officeDocument/2006/relationships" ref="J1268" r:id="rId1271"/>
    <hyperlink xmlns:r="http://schemas.openxmlformats.org/officeDocument/2006/relationships" ref="J1269" r:id="rId1272"/>
    <hyperlink xmlns:r="http://schemas.openxmlformats.org/officeDocument/2006/relationships" ref="J1270" r:id="rId1273"/>
    <hyperlink xmlns:r="http://schemas.openxmlformats.org/officeDocument/2006/relationships" ref="J1271" r:id="rId1274"/>
    <hyperlink xmlns:r="http://schemas.openxmlformats.org/officeDocument/2006/relationships" ref="J1272" r:id="rId1275"/>
    <hyperlink xmlns:r="http://schemas.openxmlformats.org/officeDocument/2006/relationships" ref="J1273" r:id="rId1276"/>
    <hyperlink xmlns:r="http://schemas.openxmlformats.org/officeDocument/2006/relationships" ref="J1274" r:id="rId1277"/>
    <hyperlink xmlns:r="http://schemas.openxmlformats.org/officeDocument/2006/relationships" ref="J1275" r:id="rId1278"/>
    <hyperlink xmlns:r="http://schemas.openxmlformats.org/officeDocument/2006/relationships" ref="J1276" r:id="rId1279"/>
    <hyperlink xmlns:r="http://schemas.openxmlformats.org/officeDocument/2006/relationships" ref="J1277" r:id="rId1280"/>
    <hyperlink xmlns:r="http://schemas.openxmlformats.org/officeDocument/2006/relationships" ref="J1278" r:id="rId1281"/>
    <hyperlink xmlns:r="http://schemas.openxmlformats.org/officeDocument/2006/relationships" ref="J1279" r:id="rId1282"/>
    <hyperlink xmlns:r="http://schemas.openxmlformats.org/officeDocument/2006/relationships" ref="J1280" r:id="rId1283"/>
    <hyperlink xmlns:r="http://schemas.openxmlformats.org/officeDocument/2006/relationships" ref="J1281" r:id="rId1284"/>
    <hyperlink xmlns:r="http://schemas.openxmlformats.org/officeDocument/2006/relationships" ref="J1282" r:id="rId1285"/>
    <hyperlink xmlns:r="http://schemas.openxmlformats.org/officeDocument/2006/relationships" ref="J1283" r:id="rId1286"/>
    <hyperlink xmlns:r="http://schemas.openxmlformats.org/officeDocument/2006/relationships" ref="J1284" r:id="rId1287"/>
    <hyperlink xmlns:r="http://schemas.openxmlformats.org/officeDocument/2006/relationships" ref="J1285" r:id="rId1288"/>
    <hyperlink xmlns:r="http://schemas.openxmlformats.org/officeDocument/2006/relationships" ref="J1286" r:id="rId1289"/>
    <hyperlink xmlns:r="http://schemas.openxmlformats.org/officeDocument/2006/relationships" ref="J1287" r:id="rId1290"/>
    <hyperlink xmlns:r="http://schemas.openxmlformats.org/officeDocument/2006/relationships" ref="J1288" r:id="rId1291"/>
    <hyperlink xmlns:r="http://schemas.openxmlformats.org/officeDocument/2006/relationships" ref="J1289" r:id="rId1292"/>
    <hyperlink xmlns:r="http://schemas.openxmlformats.org/officeDocument/2006/relationships" ref="J1290" r:id="rId1293"/>
    <hyperlink xmlns:r="http://schemas.openxmlformats.org/officeDocument/2006/relationships" ref="J1291" r:id="rId1294"/>
    <hyperlink xmlns:r="http://schemas.openxmlformats.org/officeDocument/2006/relationships" ref="J1292" r:id="rId1295"/>
    <hyperlink xmlns:r="http://schemas.openxmlformats.org/officeDocument/2006/relationships" ref="J1293" r:id="rId1296"/>
    <hyperlink xmlns:r="http://schemas.openxmlformats.org/officeDocument/2006/relationships" ref="J1294" r:id="rId1297"/>
    <hyperlink xmlns:r="http://schemas.openxmlformats.org/officeDocument/2006/relationships" ref="J1295" r:id="rId1298"/>
    <hyperlink xmlns:r="http://schemas.openxmlformats.org/officeDocument/2006/relationships" ref="J1296" r:id="rId1299"/>
    <hyperlink xmlns:r="http://schemas.openxmlformats.org/officeDocument/2006/relationships" ref="J1297" r:id="rId1300"/>
    <hyperlink xmlns:r="http://schemas.openxmlformats.org/officeDocument/2006/relationships" ref="J1298" r:id="rId1301"/>
    <hyperlink xmlns:r="http://schemas.openxmlformats.org/officeDocument/2006/relationships" ref="J1299" r:id="rId1302"/>
    <hyperlink xmlns:r="http://schemas.openxmlformats.org/officeDocument/2006/relationships" ref="J1300" r:id="rId1303"/>
    <hyperlink xmlns:r="http://schemas.openxmlformats.org/officeDocument/2006/relationships" ref="J1301" r:id="rId1304"/>
    <hyperlink xmlns:r="http://schemas.openxmlformats.org/officeDocument/2006/relationships" ref="J1302" r:id="rId1305"/>
    <hyperlink xmlns:r="http://schemas.openxmlformats.org/officeDocument/2006/relationships" ref="J1303" r:id="rId1306"/>
    <hyperlink xmlns:r="http://schemas.openxmlformats.org/officeDocument/2006/relationships" ref="J1304" r:id="rId1307"/>
    <hyperlink xmlns:r="http://schemas.openxmlformats.org/officeDocument/2006/relationships" ref="J1305" r:id="rId1308"/>
    <hyperlink xmlns:r="http://schemas.openxmlformats.org/officeDocument/2006/relationships" ref="J1306" r:id="rId1309"/>
    <hyperlink xmlns:r="http://schemas.openxmlformats.org/officeDocument/2006/relationships" ref="J1307" r:id="rId1310"/>
    <hyperlink xmlns:r="http://schemas.openxmlformats.org/officeDocument/2006/relationships" ref="J1308" r:id="rId1311"/>
    <hyperlink xmlns:r="http://schemas.openxmlformats.org/officeDocument/2006/relationships" ref="J1309" r:id="rId1312"/>
    <hyperlink xmlns:r="http://schemas.openxmlformats.org/officeDocument/2006/relationships" ref="J1310" r:id="rId1313"/>
    <hyperlink xmlns:r="http://schemas.openxmlformats.org/officeDocument/2006/relationships" ref="J1311" r:id="rId1314"/>
    <hyperlink xmlns:r="http://schemas.openxmlformats.org/officeDocument/2006/relationships" ref="J1312" r:id="rId1315"/>
    <hyperlink xmlns:r="http://schemas.openxmlformats.org/officeDocument/2006/relationships" ref="J1313" r:id="rId1316"/>
    <hyperlink xmlns:r="http://schemas.openxmlformats.org/officeDocument/2006/relationships" ref="J1314" r:id="rId1317"/>
    <hyperlink xmlns:r="http://schemas.openxmlformats.org/officeDocument/2006/relationships" ref="J1315" r:id="rId1318"/>
    <hyperlink xmlns:r="http://schemas.openxmlformats.org/officeDocument/2006/relationships" ref="J1316" r:id="rId1319"/>
    <hyperlink xmlns:r="http://schemas.openxmlformats.org/officeDocument/2006/relationships" ref="J1317" r:id="rId1320"/>
    <hyperlink xmlns:r="http://schemas.openxmlformats.org/officeDocument/2006/relationships" ref="J1318" r:id="rId1321"/>
    <hyperlink xmlns:r="http://schemas.openxmlformats.org/officeDocument/2006/relationships" ref="J1319" r:id="rId1322"/>
    <hyperlink xmlns:r="http://schemas.openxmlformats.org/officeDocument/2006/relationships" ref="J1320" r:id="rId1323"/>
    <hyperlink xmlns:r="http://schemas.openxmlformats.org/officeDocument/2006/relationships" ref="J1321" r:id="rId1324"/>
    <hyperlink xmlns:r="http://schemas.openxmlformats.org/officeDocument/2006/relationships" ref="J1322" r:id="rId1325"/>
    <hyperlink xmlns:r="http://schemas.openxmlformats.org/officeDocument/2006/relationships" ref="J1323" r:id="rId1326"/>
    <hyperlink xmlns:r="http://schemas.openxmlformats.org/officeDocument/2006/relationships" ref="J1324" r:id="rId1327"/>
    <hyperlink xmlns:r="http://schemas.openxmlformats.org/officeDocument/2006/relationships" ref="J1325" r:id="rId1328"/>
    <hyperlink xmlns:r="http://schemas.openxmlformats.org/officeDocument/2006/relationships" ref="J1326" r:id="rId1329"/>
    <hyperlink xmlns:r="http://schemas.openxmlformats.org/officeDocument/2006/relationships" ref="J1327" r:id="rId1330"/>
    <hyperlink xmlns:r="http://schemas.openxmlformats.org/officeDocument/2006/relationships" ref="J1328" r:id="rId1331"/>
    <hyperlink xmlns:r="http://schemas.openxmlformats.org/officeDocument/2006/relationships" ref="J1329" r:id="rId1332"/>
    <hyperlink xmlns:r="http://schemas.openxmlformats.org/officeDocument/2006/relationships" ref="J1330" r:id="rId1333"/>
    <hyperlink xmlns:r="http://schemas.openxmlformats.org/officeDocument/2006/relationships" ref="J1331" r:id="rId1334"/>
    <hyperlink xmlns:r="http://schemas.openxmlformats.org/officeDocument/2006/relationships" ref="J1332" r:id="rId1335"/>
    <hyperlink xmlns:r="http://schemas.openxmlformats.org/officeDocument/2006/relationships" ref="J1333" r:id="rId1336"/>
    <hyperlink xmlns:r="http://schemas.openxmlformats.org/officeDocument/2006/relationships" ref="J1334" r:id="rId1337"/>
    <hyperlink xmlns:r="http://schemas.openxmlformats.org/officeDocument/2006/relationships" ref="J1335" r:id="rId1338"/>
    <hyperlink xmlns:r="http://schemas.openxmlformats.org/officeDocument/2006/relationships" ref="J1336" r:id="rId1339"/>
    <hyperlink xmlns:r="http://schemas.openxmlformats.org/officeDocument/2006/relationships" ref="J1337" r:id="rId1340"/>
    <hyperlink xmlns:r="http://schemas.openxmlformats.org/officeDocument/2006/relationships" ref="J1338" r:id="rId1341"/>
    <hyperlink xmlns:r="http://schemas.openxmlformats.org/officeDocument/2006/relationships" ref="J1339" r:id="rId1342"/>
    <hyperlink xmlns:r="http://schemas.openxmlformats.org/officeDocument/2006/relationships" ref="J1340" r:id="rId1343"/>
    <hyperlink xmlns:r="http://schemas.openxmlformats.org/officeDocument/2006/relationships" ref="J1341" r:id="rId1344"/>
    <hyperlink xmlns:r="http://schemas.openxmlformats.org/officeDocument/2006/relationships" ref="J1342" r:id="rId1345"/>
    <hyperlink xmlns:r="http://schemas.openxmlformats.org/officeDocument/2006/relationships" ref="J1343" r:id="rId1346"/>
    <hyperlink xmlns:r="http://schemas.openxmlformats.org/officeDocument/2006/relationships" ref="J1344" r:id="rId1347"/>
    <hyperlink xmlns:r="http://schemas.openxmlformats.org/officeDocument/2006/relationships" ref="J1345" r:id="rId1348"/>
    <hyperlink xmlns:r="http://schemas.openxmlformats.org/officeDocument/2006/relationships" ref="J1346" r:id="rId1349"/>
    <hyperlink xmlns:r="http://schemas.openxmlformats.org/officeDocument/2006/relationships" ref="J1347" r:id="rId1350"/>
    <hyperlink xmlns:r="http://schemas.openxmlformats.org/officeDocument/2006/relationships" ref="J1348" r:id="rId1351"/>
    <hyperlink xmlns:r="http://schemas.openxmlformats.org/officeDocument/2006/relationships" ref="J1349" r:id="rId1352"/>
    <hyperlink xmlns:r="http://schemas.openxmlformats.org/officeDocument/2006/relationships" ref="J1350" r:id="rId1353"/>
    <hyperlink xmlns:r="http://schemas.openxmlformats.org/officeDocument/2006/relationships" ref="J1351" r:id="rId1354"/>
    <hyperlink xmlns:r="http://schemas.openxmlformats.org/officeDocument/2006/relationships" ref="J1352" r:id="rId1355"/>
    <hyperlink xmlns:r="http://schemas.openxmlformats.org/officeDocument/2006/relationships" ref="J1353" r:id="rId1356"/>
    <hyperlink xmlns:r="http://schemas.openxmlformats.org/officeDocument/2006/relationships" ref="J1354" r:id="rId1357"/>
    <hyperlink xmlns:r="http://schemas.openxmlformats.org/officeDocument/2006/relationships" ref="J1355" r:id="rId1358"/>
    <hyperlink xmlns:r="http://schemas.openxmlformats.org/officeDocument/2006/relationships" ref="J1356" r:id="rId1359"/>
    <hyperlink xmlns:r="http://schemas.openxmlformats.org/officeDocument/2006/relationships" ref="J1357" r:id="rId1360"/>
    <hyperlink xmlns:r="http://schemas.openxmlformats.org/officeDocument/2006/relationships" ref="J1358" r:id="rId1361"/>
    <hyperlink xmlns:r="http://schemas.openxmlformats.org/officeDocument/2006/relationships" ref="J1359" r:id="rId1362"/>
    <hyperlink xmlns:r="http://schemas.openxmlformats.org/officeDocument/2006/relationships" ref="J1360" r:id="rId1363"/>
    <hyperlink xmlns:r="http://schemas.openxmlformats.org/officeDocument/2006/relationships" ref="J1361" r:id="rId1364"/>
    <hyperlink xmlns:r="http://schemas.openxmlformats.org/officeDocument/2006/relationships" ref="J1362" r:id="rId1365"/>
    <hyperlink xmlns:r="http://schemas.openxmlformats.org/officeDocument/2006/relationships" ref="J1363" r:id="rId1366"/>
    <hyperlink xmlns:r="http://schemas.openxmlformats.org/officeDocument/2006/relationships" ref="J1364" r:id="rId1367"/>
    <hyperlink xmlns:r="http://schemas.openxmlformats.org/officeDocument/2006/relationships" ref="J1365" r:id="rId1368"/>
    <hyperlink xmlns:r="http://schemas.openxmlformats.org/officeDocument/2006/relationships" ref="J1366" r:id="rId1369"/>
    <hyperlink xmlns:r="http://schemas.openxmlformats.org/officeDocument/2006/relationships" ref="J1367" r:id="rId1370"/>
    <hyperlink xmlns:r="http://schemas.openxmlformats.org/officeDocument/2006/relationships" ref="J1368" r:id="rId1371"/>
    <hyperlink xmlns:r="http://schemas.openxmlformats.org/officeDocument/2006/relationships" ref="J1369" r:id="rId1372"/>
    <hyperlink xmlns:r="http://schemas.openxmlformats.org/officeDocument/2006/relationships" ref="J1370" r:id="rId1373"/>
    <hyperlink xmlns:r="http://schemas.openxmlformats.org/officeDocument/2006/relationships" ref="J1371" r:id="rId1374"/>
    <hyperlink xmlns:r="http://schemas.openxmlformats.org/officeDocument/2006/relationships" ref="J1372" r:id="rId1375"/>
    <hyperlink xmlns:r="http://schemas.openxmlformats.org/officeDocument/2006/relationships" ref="J1373" r:id="rId1376"/>
    <hyperlink xmlns:r="http://schemas.openxmlformats.org/officeDocument/2006/relationships" ref="J1374" r:id="rId1377"/>
    <hyperlink xmlns:r="http://schemas.openxmlformats.org/officeDocument/2006/relationships" ref="J1375" r:id="rId1378"/>
    <hyperlink xmlns:r="http://schemas.openxmlformats.org/officeDocument/2006/relationships" ref="J1376" r:id="rId1379"/>
    <hyperlink xmlns:r="http://schemas.openxmlformats.org/officeDocument/2006/relationships" ref="J1377" r:id="rId1380"/>
    <hyperlink xmlns:r="http://schemas.openxmlformats.org/officeDocument/2006/relationships" ref="J1378" r:id="rId1381"/>
    <hyperlink xmlns:r="http://schemas.openxmlformats.org/officeDocument/2006/relationships" ref="J1379" r:id="rId1382"/>
    <hyperlink xmlns:r="http://schemas.openxmlformats.org/officeDocument/2006/relationships" ref="J1380" r:id="rId1383"/>
    <hyperlink xmlns:r="http://schemas.openxmlformats.org/officeDocument/2006/relationships" ref="J1381" r:id="rId1384"/>
    <hyperlink xmlns:r="http://schemas.openxmlformats.org/officeDocument/2006/relationships" ref="J1382" r:id="rId1385"/>
    <hyperlink xmlns:r="http://schemas.openxmlformats.org/officeDocument/2006/relationships" ref="J1383" r:id="rId1386"/>
    <hyperlink xmlns:r="http://schemas.openxmlformats.org/officeDocument/2006/relationships" ref="J1384" r:id="rId1387"/>
    <hyperlink xmlns:r="http://schemas.openxmlformats.org/officeDocument/2006/relationships" ref="J1385" r:id="rId1388"/>
    <hyperlink xmlns:r="http://schemas.openxmlformats.org/officeDocument/2006/relationships" ref="J1386" r:id="rId1389"/>
    <hyperlink xmlns:r="http://schemas.openxmlformats.org/officeDocument/2006/relationships" ref="J1387" r:id="rId1390"/>
    <hyperlink xmlns:r="http://schemas.openxmlformats.org/officeDocument/2006/relationships" ref="J1388" r:id="rId1391"/>
    <hyperlink xmlns:r="http://schemas.openxmlformats.org/officeDocument/2006/relationships" ref="J1389" r:id="rId1392"/>
    <hyperlink xmlns:r="http://schemas.openxmlformats.org/officeDocument/2006/relationships" ref="J1390" r:id="rId1393"/>
    <hyperlink xmlns:r="http://schemas.openxmlformats.org/officeDocument/2006/relationships" ref="J1391" r:id="rId1394"/>
    <hyperlink xmlns:r="http://schemas.openxmlformats.org/officeDocument/2006/relationships" ref="J1392" r:id="rId1395"/>
    <hyperlink xmlns:r="http://schemas.openxmlformats.org/officeDocument/2006/relationships" ref="J1393" r:id="rId1396"/>
    <hyperlink xmlns:r="http://schemas.openxmlformats.org/officeDocument/2006/relationships" ref="J1394" r:id="rId1397"/>
    <hyperlink xmlns:r="http://schemas.openxmlformats.org/officeDocument/2006/relationships" ref="J1395" r:id="rId1398"/>
    <hyperlink xmlns:r="http://schemas.openxmlformats.org/officeDocument/2006/relationships" ref="J1396" r:id="rId1399"/>
    <hyperlink xmlns:r="http://schemas.openxmlformats.org/officeDocument/2006/relationships" ref="J1397" r:id="rId1400"/>
    <hyperlink xmlns:r="http://schemas.openxmlformats.org/officeDocument/2006/relationships" ref="J1398" r:id="rId1401"/>
    <hyperlink xmlns:r="http://schemas.openxmlformats.org/officeDocument/2006/relationships" ref="J1399" r:id="rId1402"/>
    <hyperlink xmlns:r="http://schemas.openxmlformats.org/officeDocument/2006/relationships" ref="J1400" r:id="rId1403"/>
    <hyperlink xmlns:r="http://schemas.openxmlformats.org/officeDocument/2006/relationships" ref="J1401" r:id="rId1404"/>
    <hyperlink xmlns:r="http://schemas.openxmlformats.org/officeDocument/2006/relationships" ref="J1402" r:id="rId1405"/>
    <hyperlink xmlns:r="http://schemas.openxmlformats.org/officeDocument/2006/relationships" ref="J1403" r:id="rId1406"/>
    <hyperlink xmlns:r="http://schemas.openxmlformats.org/officeDocument/2006/relationships" ref="J1404" r:id="rId1407"/>
    <hyperlink xmlns:r="http://schemas.openxmlformats.org/officeDocument/2006/relationships" ref="J1405" r:id="rId1408"/>
    <hyperlink xmlns:r="http://schemas.openxmlformats.org/officeDocument/2006/relationships" ref="J1406" r:id="rId1409"/>
    <hyperlink xmlns:r="http://schemas.openxmlformats.org/officeDocument/2006/relationships" ref="J1407" r:id="rId1410"/>
    <hyperlink xmlns:r="http://schemas.openxmlformats.org/officeDocument/2006/relationships" ref="J1408" r:id="rId1411"/>
    <hyperlink xmlns:r="http://schemas.openxmlformats.org/officeDocument/2006/relationships" ref="J1409" r:id="rId1412"/>
    <hyperlink xmlns:r="http://schemas.openxmlformats.org/officeDocument/2006/relationships" ref="J1410" r:id="rId1413"/>
    <hyperlink xmlns:r="http://schemas.openxmlformats.org/officeDocument/2006/relationships" ref="J1411" r:id="rId1414"/>
    <hyperlink xmlns:r="http://schemas.openxmlformats.org/officeDocument/2006/relationships" ref="J1412" r:id="rId1415"/>
    <hyperlink xmlns:r="http://schemas.openxmlformats.org/officeDocument/2006/relationships" ref="J1413" r:id="rId1416"/>
    <hyperlink xmlns:r="http://schemas.openxmlformats.org/officeDocument/2006/relationships" ref="J1414" r:id="rId1417"/>
    <hyperlink xmlns:r="http://schemas.openxmlformats.org/officeDocument/2006/relationships" ref="J1415" r:id="rId1418"/>
    <hyperlink xmlns:r="http://schemas.openxmlformats.org/officeDocument/2006/relationships" ref="J1416" r:id="rId1419"/>
    <hyperlink xmlns:r="http://schemas.openxmlformats.org/officeDocument/2006/relationships" ref="J1417" r:id="rId1420"/>
    <hyperlink xmlns:r="http://schemas.openxmlformats.org/officeDocument/2006/relationships" ref="J1418" r:id="rId1421"/>
    <hyperlink xmlns:r="http://schemas.openxmlformats.org/officeDocument/2006/relationships" ref="J1419" r:id="rId1422"/>
    <hyperlink xmlns:r="http://schemas.openxmlformats.org/officeDocument/2006/relationships" ref="J1420" r:id="rId1423"/>
    <hyperlink xmlns:r="http://schemas.openxmlformats.org/officeDocument/2006/relationships" ref="J1421" r:id="rId1424"/>
    <hyperlink xmlns:r="http://schemas.openxmlformats.org/officeDocument/2006/relationships" ref="J1422" r:id="rId1425"/>
    <hyperlink xmlns:r="http://schemas.openxmlformats.org/officeDocument/2006/relationships" ref="J1423" r:id="rId1426"/>
    <hyperlink xmlns:r="http://schemas.openxmlformats.org/officeDocument/2006/relationships" ref="J1424" r:id="rId1427"/>
    <hyperlink xmlns:r="http://schemas.openxmlformats.org/officeDocument/2006/relationships" ref="J1425" r:id="rId1428"/>
    <hyperlink xmlns:r="http://schemas.openxmlformats.org/officeDocument/2006/relationships" ref="J1426" r:id="rId1429"/>
    <hyperlink xmlns:r="http://schemas.openxmlformats.org/officeDocument/2006/relationships" ref="J1427" r:id="rId1430"/>
    <hyperlink xmlns:r="http://schemas.openxmlformats.org/officeDocument/2006/relationships" ref="J1428" r:id="rId1431"/>
    <hyperlink xmlns:r="http://schemas.openxmlformats.org/officeDocument/2006/relationships" ref="J1429" r:id="rId1432"/>
    <hyperlink xmlns:r="http://schemas.openxmlformats.org/officeDocument/2006/relationships" ref="J1430" r:id="rId1433"/>
    <hyperlink xmlns:r="http://schemas.openxmlformats.org/officeDocument/2006/relationships" ref="J1431" r:id="rId1434"/>
    <hyperlink xmlns:r="http://schemas.openxmlformats.org/officeDocument/2006/relationships" ref="J1432" r:id="rId1435"/>
    <hyperlink xmlns:r="http://schemas.openxmlformats.org/officeDocument/2006/relationships" ref="J1433" r:id="rId1436"/>
    <hyperlink xmlns:r="http://schemas.openxmlformats.org/officeDocument/2006/relationships" ref="J1434" r:id="rId1437"/>
    <hyperlink xmlns:r="http://schemas.openxmlformats.org/officeDocument/2006/relationships" ref="J1435" r:id="rId1438"/>
    <hyperlink xmlns:r="http://schemas.openxmlformats.org/officeDocument/2006/relationships" ref="J1436" r:id="rId1439"/>
    <hyperlink xmlns:r="http://schemas.openxmlformats.org/officeDocument/2006/relationships" ref="J1437" r:id="rId1440"/>
    <hyperlink xmlns:r="http://schemas.openxmlformats.org/officeDocument/2006/relationships" ref="J1438" r:id="rId1441"/>
    <hyperlink xmlns:r="http://schemas.openxmlformats.org/officeDocument/2006/relationships" ref="J1439" r:id="rId1442"/>
    <hyperlink xmlns:r="http://schemas.openxmlformats.org/officeDocument/2006/relationships" ref="J1440" r:id="rId1443"/>
    <hyperlink xmlns:r="http://schemas.openxmlformats.org/officeDocument/2006/relationships" ref="J1441" r:id="rId1444"/>
    <hyperlink xmlns:r="http://schemas.openxmlformats.org/officeDocument/2006/relationships" ref="J1442" r:id="rId1445"/>
    <hyperlink xmlns:r="http://schemas.openxmlformats.org/officeDocument/2006/relationships" ref="J1443" r:id="rId1446"/>
    <hyperlink xmlns:r="http://schemas.openxmlformats.org/officeDocument/2006/relationships" ref="J1444" r:id="rId1447"/>
    <hyperlink xmlns:r="http://schemas.openxmlformats.org/officeDocument/2006/relationships" ref="J1445" r:id="rId1448"/>
    <hyperlink xmlns:r="http://schemas.openxmlformats.org/officeDocument/2006/relationships" ref="J1446" r:id="rId1449"/>
    <hyperlink xmlns:r="http://schemas.openxmlformats.org/officeDocument/2006/relationships" ref="J1447" r:id="rId1450"/>
    <hyperlink xmlns:r="http://schemas.openxmlformats.org/officeDocument/2006/relationships" ref="J1448" r:id="rId1451"/>
    <hyperlink xmlns:r="http://schemas.openxmlformats.org/officeDocument/2006/relationships" ref="J1449" r:id="rId1452"/>
    <hyperlink xmlns:r="http://schemas.openxmlformats.org/officeDocument/2006/relationships" ref="J1450" r:id="rId1453"/>
    <hyperlink xmlns:r="http://schemas.openxmlformats.org/officeDocument/2006/relationships" ref="J1451" r:id="rId1454"/>
    <hyperlink xmlns:r="http://schemas.openxmlformats.org/officeDocument/2006/relationships" ref="J1452" r:id="rId1455"/>
    <hyperlink xmlns:r="http://schemas.openxmlformats.org/officeDocument/2006/relationships" ref="J1453" r:id="rId1456"/>
    <hyperlink xmlns:r="http://schemas.openxmlformats.org/officeDocument/2006/relationships" ref="J1454" r:id="rId1457"/>
    <hyperlink xmlns:r="http://schemas.openxmlformats.org/officeDocument/2006/relationships" ref="J1455" r:id="rId1458"/>
    <hyperlink xmlns:r="http://schemas.openxmlformats.org/officeDocument/2006/relationships" ref="J1456" r:id="rId1459"/>
    <hyperlink xmlns:r="http://schemas.openxmlformats.org/officeDocument/2006/relationships" ref="J1457" r:id="rId1460"/>
    <hyperlink xmlns:r="http://schemas.openxmlformats.org/officeDocument/2006/relationships" ref="J1458" r:id="rId1461"/>
    <hyperlink xmlns:r="http://schemas.openxmlformats.org/officeDocument/2006/relationships" ref="J1459" r:id="rId1462"/>
    <hyperlink xmlns:r="http://schemas.openxmlformats.org/officeDocument/2006/relationships" ref="J1460" r:id="rId1463"/>
    <hyperlink xmlns:r="http://schemas.openxmlformats.org/officeDocument/2006/relationships" ref="J1461" r:id="rId1464"/>
    <hyperlink xmlns:r="http://schemas.openxmlformats.org/officeDocument/2006/relationships" ref="J1462" r:id="rId1465"/>
    <hyperlink xmlns:r="http://schemas.openxmlformats.org/officeDocument/2006/relationships" ref="J1463" r:id="rId1466"/>
    <hyperlink xmlns:r="http://schemas.openxmlformats.org/officeDocument/2006/relationships" ref="J1464" r:id="rId1467"/>
    <hyperlink xmlns:r="http://schemas.openxmlformats.org/officeDocument/2006/relationships" ref="J1465" r:id="rId1468"/>
    <hyperlink xmlns:r="http://schemas.openxmlformats.org/officeDocument/2006/relationships" ref="J1466" r:id="rId1469"/>
    <hyperlink xmlns:r="http://schemas.openxmlformats.org/officeDocument/2006/relationships" ref="J1467" r:id="rId1470"/>
    <hyperlink xmlns:r="http://schemas.openxmlformats.org/officeDocument/2006/relationships" ref="J1468" r:id="rId1471"/>
    <hyperlink xmlns:r="http://schemas.openxmlformats.org/officeDocument/2006/relationships" ref="J1469" r:id="rId1472"/>
    <hyperlink xmlns:r="http://schemas.openxmlformats.org/officeDocument/2006/relationships" ref="J1470" r:id="rId1473"/>
    <hyperlink xmlns:r="http://schemas.openxmlformats.org/officeDocument/2006/relationships" ref="J1471" r:id="rId1474"/>
    <hyperlink xmlns:r="http://schemas.openxmlformats.org/officeDocument/2006/relationships" ref="J1472" r:id="rId1475"/>
    <hyperlink xmlns:r="http://schemas.openxmlformats.org/officeDocument/2006/relationships" ref="J1473" r:id="rId1476"/>
    <hyperlink xmlns:r="http://schemas.openxmlformats.org/officeDocument/2006/relationships" ref="J1474" r:id="rId1477"/>
    <hyperlink xmlns:r="http://schemas.openxmlformats.org/officeDocument/2006/relationships" ref="J1475" r:id="rId1478"/>
    <hyperlink xmlns:r="http://schemas.openxmlformats.org/officeDocument/2006/relationships" ref="J1476" r:id="rId1479"/>
    <hyperlink xmlns:r="http://schemas.openxmlformats.org/officeDocument/2006/relationships" ref="J1477" r:id="rId1480"/>
    <hyperlink xmlns:r="http://schemas.openxmlformats.org/officeDocument/2006/relationships" ref="J1478" r:id="rId1481"/>
    <hyperlink xmlns:r="http://schemas.openxmlformats.org/officeDocument/2006/relationships" ref="J1479" r:id="rId1482"/>
    <hyperlink xmlns:r="http://schemas.openxmlformats.org/officeDocument/2006/relationships" ref="J1480" r:id="rId1483"/>
    <hyperlink xmlns:r="http://schemas.openxmlformats.org/officeDocument/2006/relationships" ref="J1481" r:id="rId1484"/>
    <hyperlink xmlns:r="http://schemas.openxmlformats.org/officeDocument/2006/relationships" ref="J1482" r:id="rId1485"/>
    <hyperlink xmlns:r="http://schemas.openxmlformats.org/officeDocument/2006/relationships" ref="J1483" r:id="rId1486"/>
    <hyperlink xmlns:r="http://schemas.openxmlformats.org/officeDocument/2006/relationships" ref="J1484" r:id="rId1487"/>
    <hyperlink xmlns:r="http://schemas.openxmlformats.org/officeDocument/2006/relationships" ref="J1485" r:id="rId1488"/>
    <hyperlink xmlns:r="http://schemas.openxmlformats.org/officeDocument/2006/relationships" ref="J1486" r:id="rId1489"/>
    <hyperlink xmlns:r="http://schemas.openxmlformats.org/officeDocument/2006/relationships" ref="J1487" r:id="rId1490"/>
    <hyperlink xmlns:r="http://schemas.openxmlformats.org/officeDocument/2006/relationships" ref="J1488" r:id="rId1491"/>
    <hyperlink xmlns:r="http://schemas.openxmlformats.org/officeDocument/2006/relationships" ref="J1489" r:id="rId1492"/>
    <hyperlink xmlns:r="http://schemas.openxmlformats.org/officeDocument/2006/relationships" ref="J1490" r:id="rId1493"/>
    <hyperlink xmlns:r="http://schemas.openxmlformats.org/officeDocument/2006/relationships" ref="J1491" r:id="rId1494"/>
    <hyperlink xmlns:r="http://schemas.openxmlformats.org/officeDocument/2006/relationships" ref="J1492" r:id="rId1495"/>
    <hyperlink xmlns:r="http://schemas.openxmlformats.org/officeDocument/2006/relationships" ref="J1493" r:id="rId1496"/>
    <hyperlink xmlns:r="http://schemas.openxmlformats.org/officeDocument/2006/relationships" ref="J1494" r:id="rId1497"/>
    <hyperlink xmlns:r="http://schemas.openxmlformats.org/officeDocument/2006/relationships" ref="J1495" r:id="rId1498"/>
    <hyperlink xmlns:r="http://schemas.openxmlformats.org/officeDocument/2006/relationships" ref="J1496" r:id="rId1499"/>
    <hyperlink xmlns:r="http://schemas.openxmlformats.org/officeDocument/2006/relationships" ref="J1497" r:id="rId1500"/>
    <hyperlink xmlns:r="http://schemas.openxmlformats.org/officeDocument/2006/relationships" ref="J1498" r:id="rId1501"/>
    <hyperlink xmlns:r="http://schemas.openxmlformats.org/officeDocument/2006/relationships" ref="J1499" r:id="rId1502"/>
    <hyperlink xmlns:r="http://schemas.openxmlformats.org/officeDocument/2006/relationships" ref="J1500" r:id="rId1503"/>
    <hyperlink xmlns:r="http://schemas.openxmlformats.org/officeDocument/2006/relationships" ref="J1501" r:id="rId1504"/>
    <hyperlink xmlns:r="http://schemas.openxmlformats.org/officeDocument/2006/relationships" ref="J1502" r:id="rId1505"/>
    <hyperlink xmlns:r="http://schemas.openxmlformats.org/officeDocument/2006/relationships" ref="J1503" r:id="rId1506"/>
    <hyperlink xmlns:r="http://schemas.openxmlformats.org/officeDocument/2006/relationships" ref="J1504" r:id="rId1507"/>
    <hyperlink xmlns:r="http://schemas.openxmlformats.org/officeDocument/2006/relationships" ref="J1505" r:id="rId1508"/>
    <hyperlink xmlns:r="http://schemas.openxmlformats.org/officeDocument/2006/relationships" ref="J1506" r:id="rId1509"/>
    <hyperlink xmlns:r="http://schemas.openxmlformats.org/officeDocument/2006/relationships" ref="J1507" r:id="rId1510"/>
    <hyperlink xmlns:r="http://schemas.openxmlformats.org/officeDocument/2006/relationships" ref="J1508" r:id="rId1511"/>
    <hyperlink xmlns:r="http://schemas.openxmlformats.org/officeDocument/2006/relationships" ref="J1509" r:id="rId1512"/>
    <hyperlink xmlns:r="http://schemas.openxmlformats.org/officeDocument/2006/relationships" ref="J1510" r:id="rId1513"/>
    <hyperlink xmlns:r="http://schemas.openxmlformats.org/officeDocument/2006/relationships" ref="J1511" r:id="rId1514"/>
    <hyperlink xmlns:r="http://schemas.openxmlformats.org/officeDocument/2006/relationships" ref="J1512" r:id="rId1515"/>
    <hyperlink xmlns:r="http://schemas.openxmlformats.org/officeDocument/2006/relationships" ref="J1513" r:id="rId1516"/>
    <hyperlink xmlns:r="http://schemas.openxmlformats.org/officeDocument/2006/relationships" ref="J1514" r:id="rId1517"/>
    <hyperlink xmlns:r="http://schemas.openxmlformats.org/officeDocument/2006/relationships" ref="J1515" r:id="rId1518"/>
    <hyperlink xmlns:r="http://schemas.openxmlformats.org/officeDocument/2006/relationships" ref="J1516" r:id="rId1519"/>
    <hyperlink xmlns:r="http://schemas.openxmlformats.org/officeDocument/2006/relationships" ref="J1517" r:id="rId1520"/>
    <hyperlink xmlns:r="http://schemas.openxmlformats.org/officeDocument/2006/relationships" ref="J1518" r:id="rId1521"/>
    <hyperlink xmlns:r="http://schemas.openxmlformats.org/officeDocument/2006/relationships" ref="J1519" r:id="rId1522"/>
    <hyperlink xmlns:r="http://schemas.openxmlformats.org/officeDocument/2006/relationships" ref="J1520" r:id="rId1523"/>
    <hyperlink xmlns:r="http://schemas.openxmlformats.org/officeDocument/2006/relationships" ref="J1521" r:id="rId1524"/>
    <hyperlink xmlns:r="http://schemas.openxmlformats.org/officeDocument/2006/relationships" ref="J1522" r:id="rId1525"/>
    <hyperlink xmlns:r="http://schemas.openxmlformats.org/officeDocument/2006/relationships" ref="J1523" r:id="rId1526"/>
    <hyperlink xmlns:r="http://schemas.openxmlformats.org/officeDocument/2006/relationships" ref="J1524" r:id="rId1527"/>
    <hyperlink xmlns:r="http://schemas.openxmlformats.org/officeDocument/2006/relationships" ref="J1525" r:id="rId1528"/>
    <hyperlink xmlns:r="http://schemas.openxmlformats.org/officeDocument/2006/relationships" ref="J1526" r:id="rId1529"/>
    <hyperlink xmlns:r="http://schemas.openxmlformats.org/officeDocument/2006/relationships" ref="J1527" r:id="rId1530"/>
    <hyperlink xmlns:r="http://schemas.openxmlformats.org/officeDocument/2006/relationships" ref="J1528" r:id="rId1531"/>
    <hyperlink xmlns:r="http://schemas.openxmlformats.org/officeDocument/2006/relationships" ref="J1529" r:id="rId1532"/>
    <hyperlink xmlns:r="http://schemas.openxmlformats.org/officeDocument/2006/relationships" ref="J1530" r:id="rId1533"/>
    <hyperlink xmlns:r="http://schemas.openxmlformats.org/officeDocument/2006/relationships" ref="J1531" r:id="rId1534"/>
    <hyperlink xmlns:r="http://schemas.openxmlformats.org/officeDocument/2006/relationships" ref="J1532" r:id="rId1535"/>
    <hyperlink xmlns:r="http://schemas.openxmlformats.org/officeDocument/2006/relationships" ref="J1533" r:id="rId1536"/>
    <hyperlink xmlns:r="http://schemas.openxmlformats.org/officeDocument/2006/relationships" ref="J1534" r:id="rId1537"/>
    <hyperlink xmlns:r="http://schemas.openxmlformats.org/officeDocument/2006/relationships" ref="J1535" r:id="rId1538"/>
    <hyperlink xmlns:r="http://schemas.openxmlformats.org/officeDocument/2006/relationships" ref="J1536" r:id="rId1539"/>
    <hyperlink xmlns:r="http://schemas.openxmlformats.org/officeDocument/2006/relationships" ref="J1537" r:id="rId1540"/>
    <hyperlink xmlns:r="http://schemas.openxmlformats.org/officeDocument/2006/relationships" ref="J1538" r:id="rId1541"/>
    <hyperlink xmlns:r="http://schemas.openxmlformats.org/officeDocument/2006/relationships" ref="J1539" r:id="rId1542"/>
    <hyperlink xmlns:r="http://schemas.openxmlformats.org/officeDocument/2006/relationships" ref="J1540" r:id="rId1543"/>
    <hyperlink xmlns:r="http://schemas.openxmlformats.org/officeDocument/2006/relationships" ref="J1541" r:id="rId1544"/>
    <hyperlink xmlns:r="http://schemas.openxmlformats.org/officeDocument/2006/relationships" ref="J1542" r:id="rId1545"/>
    <hyperlink xmlns:r="http://schemas.openxmlformats.org/officeDocument/2006/relationships" ref="J1543" r:id="rId1546"/>
    <hyperlink xmlns:r="http://schemas.openxmlformats.org/officeDocument/2006/relationships" ref="J1544" r:id="rId1547"/>
    <hyperlink xmlns:r="http://schemas.openxmlformats.org/officeDocument/2006/relationships" ref="J1545" r:id="rId1548"/>
    <hyperlink xmlns:r="http://schemas.openxmlformats.org/officeDocument/2006/relationships" ref="J1546" r:id="rId1549"/>
    <hyperlink xmlns:r="http://schemas.openxmlformats.org/officeDocument/2006/relationships" ref="J1547" r:id="rId1550"/>
    <hyperlink xmlns:r="http://schemas.openxmlformats.org/officeDocument/2006/relationships" ref="J1548" r:id="rId1551"/>
    <hyperlink xmlns:r="http://schemas.openxmlformats.org/officeDocument/2006/relationships" ref="J1549" r:id="rId1552"/>
    <hyperlink xmlns:r="http://schemas.openxmlformats.org/officeDocument/2006/relationships" ref="J1550" r:id="rId1553"/>
    <hyperlink xmlns:r="http://schemas.openxmlformats.org/officeDocument/2006/relationships" ref="J1551" r:id="rId1554"/>
    <hyperlink xmlns:r="http://schemas.openxmlformats.org/officeDocument/2006/relationships" ref="J1552" r:id="rId1555"/>
    <hyperlink xmlns:r="http://schemas.openxmlformats.org/officeDocument/2006/relationships" ref="J1553" r:id="rId1556"/>
    <hyperlink xmlns:r="http://schemas.openxmlformats.org/officeDocument/2006/relationships" ref="J1554" r:id="rId1557"/>
    <hyperlink xmlns:r="http://schemas.openxmlformats.org/officeDocument/2006/relationships" ref="J1555" r:id="rId1558"/>
    <hyperlink xmlns:r="http://schemas.openxmlformats.org/officeDocument/2006/relationships" ref="J1556" r:id="rId1559"/>
    <hyperlink xmlns:r="http://schemas.openxmlformats.org/officeDocument/2006/relationships" ref="J1557" r:id="rId1560"/>
    <hyperlink xmlns:r="http://schemas.openxmlformats.org/officeDocument/2006/relationships" ref="J1558" r:id="rId1561"/>
    <hyperlink xmlns:r="http://schemas.openxmlformats.org/officeDocument/2006/relationships" ref="J1559" r:id="rId1562"/>
    <hyperlink xmlns:r="http://schemas.openxmlformats.org/officeDocument/2006/relationships" ref="J1560" r:id="rId1563"/>
    <hyperlink xmlns:r="http://schemas.openxmlformats.org/officeDocument/2006/relationships" ref="J1561" r:id="rId1564"/>
    <hyperlink xmlns:r="http://schemas.openxmlformats.org/officeDocument/2006/relationships" ref="J1562" r:id="rId1565"/>
    <hyperlink xmlns:r="http://schemas.openxmlformats.org/officeDocument/2006/relationships" ref="J1563" r:id="rId1566"/>
    <hyperlink xmlns:r="http://schemas.openxmlformats.org/officeDocument/2006/relationships" ref="J1564" r:id="rId1567"/>
    <hyperlink xmlns:r="http://schemas.openxmlformats.org/officeDocument/2006/relationships" ref="J1565" r:id="rId1568"/>
    <hyperlink xmlns:r="http://schemas.openxmlformats.org/officeDocument/2006/relationships" ref="J1566" r:id="rId1569"/>
    <hyperlink xmlns:r="http://schemas.openxmlformats.org/officeDocument/2006/relationships" ref="J1567" r:id="rId1570"/>
    <hyperlink xmlns:r="http://schemas.openxmlformats.org/officeDocument/2006/relationships" ref="J1568" r:id="rId1571"/>
    <hyperlink xmlns:r="http://schemas.openxmlformats.org/officeDocument/2006/relationships" ref="J1569" r:id="rId1572"/>
    <hyperlink xmlns:r="http://schemas.openxmlformats.org/officeDocument/2006/relationships" ref="J1570" r:id="rId1573"/>
    <hyperlink xmlns:r="http://schemas.openxmlformats.org/officeDocument/2006/relationships" ref="J1571" r:id="rId1574"/>
    <hyperlink xmlns:r="http://schemas.openxmlformats.org/officeDocument/2006/relationships" ref="J1572" r:id="rId1575"/>
    <hyperlink xmlns:r="http://schemas.openxmlformats.org/officeDocument/2006/relationships" ref="J1573" r:id="rId1576"/>
    <hyperlink xmlns:r="http://schemas.openxmlformats.org/officeDocument/2006/relationships" ref="J1574" r:id="rId1577"/>
    <hyperlink xmlns:r="http://schemas.openxmlformats.org/officeDocument/2006/relationships" ref="J1575" r:id="rId1578"/>
    <hyperlink xmlns:r="http://schemas.openxmlformats.org/officeDocument/2006/relationships" ref="J1576" r:id="rId1579"/>
    <hyperlink xmlns:r="http://schemas.openxmlformats.org/officeDocument/2006/relationships" ref="J1577" r:id="rId1580"/>
    <hyperlink xmlns:r="http://schemas.openxmlformats.org/officeDocument/2006/relationships" ref="J1578" r:id="rId1581"/>
    <hyperlink xmlns:r="http://schemas.openxmlformats.org/officeDocument/2006/relationships" ref="J1579" r:id="rId1582"/>
    <hyperlink xmlns:r="http://schemas.openxmlformats.org/officeDocument/2006/relationships" ref="J1580" r:id="rId1583"/>
    <hyperlink xmlns:r="http://schemas.openxmlformats.org/officeDocument/2006/relationships" ref="J1581" r:id="rId1584"/>
    <hyperlink xmlns:r="http://schemas.openxmlformats.org/officeDocument/2006/relationships" ref="J1582" r:id="rId1585"/>
    <hyperlink xmlns:r="http://schemas.openxmlformats.org/officeDocument/2006/relationships" ref="J1583" r:id="rId1586"/>
    <hyperlink xmlns:r="http://schemas.openxmlformats.org/officeDocument/2006/relationships" ref="J1584" r:id="rId1587"/>
    <hyperlink xmlns:r="http://schemas.openxmlformats.org/officeDocument/2006/relationships" ref="J1585" r:id="rId1588"/>
    <hyperlink xmlns:r="http://schemas.openxmlformats.org/officeDocument/2006/relationships" ref="J1586" r:id="rId1589"/>
    <hyperlink xmlns:r="http://schemas.openxmlformats.org/officeDocument/2006/relationships" ref="J1587" r:id="rId1590"/>
    <hyperlink xmlns:r="http://schemas.openxmlformats.org/officeDocument/2006/relationships" ref="J1588" r:id="rId1591"/>
    <hyperlink xmlns:r="http://schemas.openxmlformats.org/officeDocument/2006/relationships" ref="J1589" r:id="rId1592"/>
    <hyperlink xmlns:r="http://schemas.openxmlformats.org/officeDocument/2006/relationships" ref="J1590" r:id="rId1593"/>
    <hyperlink xmlns:r="http://schemas.openxmlformats.org/officeDocument/2006/relationships" ref="J1591" r:id="rId1594"/>
    <hyperlink xmlns:r="http://schemas.openxmlformats.org/officeDocument/2006/relationships" ref="J1592" r:id="rId1595"/>
    <hyperlink xmlns:r="http://schemas.openxmlformats.org/officeDocument/2006/relationships" ref="J1593" r:id="rId1596"/>
    <hyperlink xmlns:r="http://schemas.openxmlformats.org/officeDocument/2006/relationships" ref="J1594" r:id="rId1597"/>
    <hyperlink xmlns:r="http://schemas.openxmlformats.org/officeDocument/2006/relationships" ref="J1595" r:id="rId1598"/>
    <hyperlink xmlns:r="http://schemas.openxmlformats.org/officeDocument/2006/relationships" ref="J1596" r:id="rId1599"/>
    <hyperlink xmlns:r="http://schemas.openxmlformats.org/officeDocument/2006/relationships" ref="J1597" r:id="rId1600"/>
    <hyperlink xmlns:r="http://schemas.openxmlformats.org/officeDocument/2006/relationships" ref="J1598" r:id="rId1601"/>
    <hyperlink xmlns:r="http://schemas.openxmlformats.org/officeDocument/2006/relationships" ref="J1599" r:id="rId1602"/>
    <hyperlink xmlns:r="http://schemas.openxmlformats.org/officeDocument/2006/relationships" ref="J1600" r:id="rId1603"/>
    <hyperlink xmlns:r="http://schemas.openxmlformats.org/officeDocument/2006/relationships" ref="J1601" r:id="rId1604"/>
    <hyperlink xmlns:r="http://schemas.openxmlformats.org/officeDocument/2006/relationships" ref="J1602" r:id="rId1605"/>
    <hyperlink xmlns:r="http://schemas.openxmlformats.org/officeDocument/2006/relationships" ref="J1603" r:id="rId1606"/>
    <hyperlink xmlns:r="http://schemas.openxmlformats.org/officeDocument/2006/relationships" ref="J1604" r:id="rId1607"/>
    <hyperlink xmlns:r="http://schemas.openxmlformats.org/officeDocument/2006/relationships" ref="J1605" r:id="rId1608"/>
    <hyperlink xmlns:r="http://schemas.openxmlformats.org/officeDocument/2006/relationships" ref="J1606" r:id="rId1609"/>
    <hyperlink xmlns:r="http://schemas.openxmlformats.org/officeDocument/2006/relationships" ref="J1607" r:id="rId1610"/>
    <hyperlink xmlns:r="http://schemas.openxmlformats.org/officeDocument/2006/relationships" ref="J1608" r:id="rId1611"/>
    <hyperlink xmlns:r="http://schemas.openxmlformats.org/officeDocument/2006/relationships" ref="J1609" r:id="rId1612"/>
    <hyperlink xmlns:r="http://schemas.openxmlformats.org/officeDocument/2006/relationships" ref="J1610" r:id="rId1613"/>
    <hyperlink xmlns:r="http://schemas.openxmlformats.org/officeDocument/2006/relationships" ref="J1611" r:id="rId1614"/>
    <hyperlink xmlns:r="http://schemas.openxmlformats.org/officeDocument/2006/relationships" ref="J1612" r:id="rId1615"/>
    <hyperlink xmlns:r="http://schemas.openxmlformats.org/officeDocument/2006/relationships" ref="J1613" r:id="rId1616"/>
    <hyperlink xmlns:r="http://schemas.openxmlformats.org/officeDocument/2006/relationships" ref="J1614" r:id="rId1617"/>
    <hyperlink xmlns:r="http://schemas.openxmlformats.org/officeDocument/2006/relationships" ref="J1615" r:id="rId1618"/>
    <hyperlink xmlns:r="http://schemas.openxmlformats.org/officeDocument/2006/relationships" ref="J1616" r:id="rId1619"/>
    <hyperlink xmlns:r="http://schemas.openxmlformats.org/officeDocument/2006/relationships" ref="J1617" r:id="rId1620"/>
    <hyperlink xmlns:r="http://schemas.openxmlformats.org/officeDocument/2006/relationships" ref="J1618" r:id="rId1621"/>
    <hyperlink xmlns:r="http://schemas.openxmlformats.org/officeDocument/2006/relationships" ref="J1619" r:id="rId1622"/>
    <hyperlink xmlns:r="http://schemas.openxmlformats.org/officeDocument/2006/relationships" ref="J1620" r:id="rId1623"/>
    <hyperlink xmlns:r="http://schemas.openxmlformats.org/officeDocument/2006/relationships" ref="J1621" r:id="rId1624"/>
    <hyperlink xmlns:r="http://schemas.openxmlformats.org/officeDocument/2006/relationships" ref="J1622" r:id="rId1625"/>
    <hyperlink xmlns:r="http://schemas.openxmlformats.org/officeDocument/2006/relationships" ref="J1623" r:id="rId1626"/>
    <hyperlink xmlns:r="http://schemas.openxmlformats.org/officeDocument/2006/relationships" ref="J1624" r:id="rId1627"/>
    <hyperlink xmlns:r="http://schemas.openxmlformats.org/officeDocument/2006/relationships" ref="J1625" r:id="rId1628"/>
    <hyperlink xmlns:r="http://schemas.openxmlformats.org/officeDocument/2006/relationships" ref="J1626" r:id="rId1629"/>
    <hyperlink xmlns:r="http://schemas.openxmlformats.org/officeDocument/2006/relationships" ref="J1627" r:id="rId1630"/>
    <hyperlink xmlns:r="http://schemas.openxmlformats.org/officeDocument/2006/relationships" ref="J1628" r:id="rId1631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565B64"/>
    <outlinePr summaryBelow="0" summaryRight="0"/>
    <pageSetUpPr fitToPage="1"/>
  </sheetPr>
  <dimension ref="A1:M11"/>
  <sheetViews>
    <sheetView showGridLines="0" tabSelected="0" topLeftCell="A1" zoomScale="10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8" customWidth="1" min="4" max="4"/>
    <col width="10" customWidth="1" min="5" max="5"/>
    <col width="32" customWidth="1" min="6" max="6"/>
    <col width="22" customWidth="1" min="7" max="7"/>
    <col width="20" customWidth="1" min="8" max="8"/>
    <col width="20" customWidth="1" min="9" max="9"/>
    <col width="34" customWidth="1" min="10" max="10"/>
    <col width="14" customWidth="1" min="11" max="11"/>
    <col width="28" customWidth="1" min="12" max="12"/>
    <col width="13" customWidth="1" min="13" max="13"/>
    <col width="13" customWidth="1" min="14" max="14"/>
  </cols>
  <sheetData>
    <row r="1" ht="59" customHeight="1">
      <c r="A1" s="88" t="inlineStr">
        <is>
          <t>SOURCES &amp; PROVENANCE</t>
        </is>
      </c>
    </row>
    <row r="2" ht="49" customHeight="1">
      <c r="A2" s="89" t="inlineStr">
        <is>
          <t>The information boundary of this workbook. Supplied evidence is not the same as established interpretation.</t>
        </is>
      </c>
    </row>
    <row r="3" ht="19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49" customHeight="1">
      <c r="A5" s="86" t="inlineStr">
        <is>
          <t>Project source-representation integrity</t>
        </is>
      </c>
      <c r="B5" s="108" t="inlineStr">
        <is>
          <t>Established</t>
        </is>
      </c>
    </row>
    <row r="7" ht="34" customHeight="1">
      <c r="A7" s="91" t="inlineStr">
        <is>
          <t>Source</t>
        </is>
      </c>
      <c r="B7" s="91" t="inlineStr">
        <is>
          <t>Governed role</t>
        </is>
      </c>
      <c r="C7" s="91" t="inlineStr">
        <is>
          <t>Revision</t>
        </is>
      </c>
      <c r="D7" s="91" t="inlineStr">
        <is>
          <t>Reporting period</t>
        </is>
      </c>
      <c r="E7" s="91" t="inlineStr">
        <is>
          <t>Rows</t>
        </is>
      </c>
      <c r="F7" s="91" t="inlineStr">
        <is>
          <t>Role basis</t>
        </is>
      </c>
      <c r="G7" s="91" t="inlineStr">
        <is>
          <t>Role validity</t>
        </is>
      </c>
      <c r="H7" s="91" t="inlineStr">
        <is>
          <t>Table boundary</t>
        </is>
      </c>
      <c r="I7" s="91" t="inlineStr">
        <is>
          <t>Interpretation</t>
        </is>
      </c>
      <c r="J7" s="91" t="inlineStr">
        <is>
          <t>Interpretation basis</t>
        </is>
      </c>
      <c r="K7" s="91" t="inlineStr">
        <is>
          <t>Format</t>
        </is>
      </c>
      <c r="L7" s="91" t="inlineStr">
        <is>
          <t>File integrity</t>
        </is>
      </c>
    </row>
    <row r="8" ht="34" customHeight="1">
      <c r="A8" s="34" t="inlineStr">
        <is>
          <t>Commercial Package Register</t>
        </is>
      </c>
      <c r="B8" s="34" t="inlineStr">
        <is>
          <t>WORK_PACKAGE_LIST</t>
        </is>
      </c>
      <c r="C8" s="34" t="inlineStr">
        <is>
          <t>Rev 0</t>
        </is>
      </c>
      <c r="D8" s="34" t="inlineStr">
        <is>
          <t>Initial</t>
        </is>
      </c>
      <c r="E8" s="95" t="n">
        <v>60</v>
      </c>
      <c r="F8" s="34" t="inlineStr">
        <is>
          <t>declared at upload</t>
        </is>
      </c>
      <c r="G8" s="34" t="inlineStr">
        <is>
          <t>AS_SUPPLIED</t>
        </is>
      </c>
      <c r="H8" s="34" t="inlineStr">
        <is>
          <t>ESTABLISHED</t>
        </is>
      </c>
      <c r="I8" s="34" t="inlineStr">
        <is>
          <t>TABLE</t>
        </is>
      </c>
      <c r="J8" s="34" t="inlineStr">
        <is>
          <t>SOURCE_NATIVE_SCHEMA</t>
        </is>
      </c>
      <c r="K8" s="34" t="inlineStr">
        <is>
          <t>xlsx</t>
        </is>
      </c>
      <c r="L8" s="96" t="inlineStr">
        <is>
          <t>SOURCE_REPRESENTATION_ESTABLISHED</t>
        </is>
      </c>
      <c r="M8" s="41" t="n"/>
    </row>
    <row r="9" ht="34" customHeight="1">
      <c r="A9" s="34" t="inlineStr">
        <is>
          <t>Contractor Programme</t>
        </is>
      </c>
      <c r="B9" s="34" t="inlineStr">
        <is>
          <t>SCHEDULE</t>
        </is>
      </c>
      <c r="C9" s="34" t="inlineStr">
        <is>
          <t>Rev 0</t>
        </is>
      </c>
      <c r="D9" s="34" t="inlineStr">
        <is>
          <t>Initial</t>
        </is>
      </c>
      <c r="E9" s="95" t="n">
        <v>1082</v>
      </c>
      <c r="F9" s="34" t="inlineStr">
        <is>
          <t>declared at upload</t>
        </is>
      </c>
      <c r="G9" s="34" t="inlineStr">
        <is>
          <t>AS_SUPPLIED</t>
        </is>
      </c>
      <c r="H9" s="34" t="inlineStr">
        <is>
          <t>ESTABLISHED</t>
        </is>
      </c>
      <c r="I9" s="34" t="inlineStr">
        <is>
          <t>TABLE</t>
        </is>
      </c>
      <c r="J9" s="34" t="inlineStr">
        <is>
          <t>DETERMINISTIC_SEMANTIC_RELATION</t>
        </is>
      </c>
      <c r="K9" s="34" t="inlineStr">
        <is>
          <t>csv</t>
        </is>
      </c>
      <c r="L9" s="96" t="inlineStr">
        <is>
          <t>SOURCE_REPRESENTATION_ESTABLISHED</t>
        </is>
      </c>
      <c r="M9" s="41" t="n"/>
    </row>
    <row r="10" ht="34" customHeight="1">
      <c r="A10" s="34" t="inlineStr">
        <is>
          <t>Cost &amp; Forecast Control Accounts</t>
        </is>
      </c>
      <c r="B10" s="34" t="inlineStr">
        <is>
          <t>COST_ESTIMATE</t>
        </is>
      </c>
      <c r="C10" s="34" t="inlineStr">
        <is>
          <t>Rev 0</t>
        </is>
      </c>
      <c r="D10" s="34" t="inlineStr">
        <is>
          <t>Initial</t>
        </is>
      </c>
      <c r="E10" s="95" t="n">
        <v>480</v>
      </c>
      <c r="F10" s="34" t="inlineStr">
        <is>
          <t>declared at upload</t>
        </is>
      </c>
      <c r="G10" s="34" t="inlineStr">
        <is>
          <t>AS_SUPPLIED</t>
        </is>
      </c>
      <c r="H10" s="34" t="inlineStr">
        <is>
          <t>ESTABLISHED</t>
        </is>
      </c>
      <c r="I10" s="34" t="inlineStr">
        <is>
          <t>TABLE</t>
        </is>
      </c>
      <c r="J10" s="34" t="inlineStr">
        <is>
          <t>DETERMINISTIC_SEMANTIC_RELATION</t>
        </is>
      </c>
      <c r="K10" s="34" t="inlineStr">
        <is>
          <t>xlsx</t>
        </is>
      </c>
      <c r="L10" s="96" t="inlineStr">
        <is>
          <t>SOURCE_REPRESENTATION_ESTABLISHED</t>
        </is>
      </c>
      <c r="M10" s="41" t="n"/>
    </row>
    <row r="11" ht="34" customHeight="1">
      <c r="A11" s="34" t="inlineStr">
        <is>
          <t>Owner WBS</t>
        </is>
      </c>
      <c r="B11" s="34" t="inlineStr">
        <is>
          <t>WBS_DICTIONARY</t>
        </is>
      </c>
      <c r="C11" s="34" t="inlineStr">
        <is>
          <t>Rev 0</t>
        </is>
      </c>
      <c r="D11" s="34" t="inlineStr">
        <is>
          <t>Initial</t>
        </is>
      </c>
      <c r="E11" s="95" t="n">
        <v>79</v>
      </c>
      <c r="F11" s="34" t="inlineStr">
        <is>
          <t>declared at upload</t>
        </is>
      </c>
      <c r="G11" s="34" t="inlineStr">
        <is>
          <t>AS_SUPPLIED</t>
        </is>
      </c>
      <c r="H11" s="34" t="inlineStr">
        <is>
          <t>ESTABLISHED</t>
        </is>
      </c>
      <c r="I11" s="34" t="inlineStr">
        <is>
          <t>TABLE</t>
        </is>
      </c>
      <c r="J11" s="34" t="inlineStr">
        <is>
          <t>DETERMINISTIC_SEMANTIC_RELATION</t>
        </is>
      </c>
      <c r="K11" s="34" t="inlineStr">
        <is>
          <t>xlsx</t>
        </is>
      </c>
      <c r="L11" s="96" t="inlineStr">
        <is>
          <t>SOURCE_REPRESENTATION_ESTABLISHED</t>
        </is>
      </c>
      <c r="M11" s="41" t="n"/>
    </row>
  </sheetData>
  <mergeCells count="5">
    <mergeCell ref="A2:B2"/>
    <mergeCell ref="L10:M10"/>
    <mergeCell ref="L11:M11"/>
    <mergeCell ref="L8:M8"/>
    <mergeCell ref="L9:M9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565B64"/>
    <outlinePr summaryBelow="0" summaryRight="0"/>
    <pageSetUpPr fitToPage="1"/>
  </sheetPr>
  <dimension ref="A1:I32"/>
  <sheetViews>
    <sheetView showGridLines="0" tabSelected="0" topLeftCell="A1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6" customWidth="1" min="3" max="3"/>
    <col width="46" customWidth="1" min="4" max="4"/>
    <col width="45" customWidth="1" min="5" max="5"/>
    <col width="46" customWidth="1" min="6" max="6"/>
    <col width="45" customWidth="1" min="7" max="7"/>
    <col width="12" customWidth="1" min="8" max="8"/>
    <col width="14" customWidth="1" min="9" max="9"/>
  </cols>
  <sheetData>
    <row r="1" ht="113" customHeight="1">
      <c r="A1" s="88" t="inlineStr">
        <is>
          <t>ASSURANCE</t>
        </is>
      </c>
    </row>
    <row r="2" ht="64" customHeight="1">
      <c r="A2" s="89" t="inlineStr">
        <is>
          <t>Exact governance detail and output boundaries. This sheet supports review; it does not create authority.</t>
        </is>
      </c>
    </row>
    <row r="3" ht="34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49" customHeight="1">
      <c r="A5" s="91" t="inlineStr">
        <is>
          <t>Assurance item</t>
        </is>
      </c>
      <c r="B5" s="91" t="inlineStr">
        <is>
          <t>Recorded value</t>
        </is>
      </c>
    </row>
    <row r="6" ht="49" customHeight="1">
      <c r="A6" s="34" t="inlineStr">
        <is>
          <t>Output version</t>
        </is>
      </c>
      <c r="B6" s="34" t="inlineStr">
        <is>
          <t>Premium Workbook Rev 2</t>
        </is>
      </c>
    </row>
    <row r="7" ht="34" customHeight="1">
      <c r="A7" s="34" t="inlineStr">
        <is>
          <t>Project</t>
        </is>
      </c>
      <c r="B7" s="34" t="inlineStr">
        <is>
          <t>HarbourLink Urban Transit Expansion</t>
        </is>
      </c>
    </row>
    <row r="8" ht="94" customHeight="1">
      <c r="A8" s="34" t="inlineStr">
        <is>
          <t>Approved mapping version</t>
        </is>
      </c>
      <c r="B8" s="34" t="inlineStr">
        <is>
          <t>MV-1 (REPORTING)</t>
        </is>
      </c>
    </row>
    <row r="9" ht="34" customHeight="1">
      <c r="A9" s="34" t="inlineStr">
        <is>
          <t>Approved by</t>
        </is>
      </c>
      <c r="B9" s="34" t="inlineStr">
        <is>
          <t>Maya Chen, Owner Project Controls</t>
        </is>
      </c>
    </row>
    <row r="10" ht="64" customHeight="1">
      <c r="A10" s="34" t="inlineStr">
        <is>
          <t>Approved timestamp</t>
        </is>
      </c>
      <c r="B10" s="34" t="inlineStr">
        <is>
          <t>2026-10-12 14:25 UTC</t>
        </is>
      </c>
    </row>
    <row r="11" ht="49" customHeight="1">
      <c r="A11" s="34" t="inlineStr">
        <is>
          <t>WBS version</t>
        </is>
      </c>
      <c r="B11" s="34" t="inlineStr">
        <is>
          <t>1</t>
        </is>
      </c>
    </row>
    <row r="12" ht="94" customHeight="1">
      <c r="A12" s="34" t="inlineStr">
        <is>
          <t>Source-representation integrity</t>
        </is>
      </c>
      <c r="B12" s="34" t="inlineStr">
        <is>
          <t>SOURCE_REPRESENTATION_ESTABLISHED</t>
        </is>
      </c>
    </row>
    <row r="13" ht="94" customHeight="1">
      <c r="A13" s="34" t="inlineStr">
        <is>
          <t>Source-integrity unresolved count</t>
        </is>
      </c>
      <c r="B13" s="34" t="n">
        <v>0</v>
      </c>
    </row>
    <row r="14" ht="49" customHeight="1">
      <c r="A14" s="34" t="inlineStr">
        <is>
          <t>Relationship rows</t>
        </is>
      </c>
      <c r="B14" s="34" t="n">
        <v>1623</v>
      </c>
    </row>
    <row r="15" ht="64" customHeight="1">
      <c r="A15" s="34" t="inlineStr">
        <is>
          <t>Generation timestamp</t>
        </is>
      </c>
      <c r="B15" s="34" t="inlineStr">
        <is>
          <t>2026-10-13 13:45 UTC</t>
        </is>
      </c>
    </row>
    <row r="17" ht="19" customHeight="1">
      <c r="A17" s="28" t="inlineStr">
        <is>
          <t>Interpretation boundary</t>
        </is>
      </c>
    </row>
    <row r="18" ht="62" customHeight="1">
      <c r="A18" s="89" t="inlineStr">
        <is>
          <t>Workbook/App/JSON/PDF agreement can prove that outputs consume one governed state. It cannot prove that an upstream source interpretation is true. Source representation integrity is a separate prerequisite for substantive management claims.</t>
        </is>
      </c>
    </row>
    <row r="19" ht="62" customHeight="1"/>
    <row r="21" ht="19" customHeight="1">
      <c r="A21" s="28" t="inlineStr">
        <is>
          <t>Known output limitations</t>
        </is>
      </c>
    </row>
    <row r="22" ht="64" customHeight="1">
      <c r="A22" s="89" t="inlineStr">
        <is>
          <t>• Management amount/date/duration measures are withheld unless field semantics are explicitly governed for that use.</t>
        </is>
      </c>
    </row>
    <row r="23" ht="79" customHeight="1">
      <c r="A23" s="89" t="inlineStr">
        <is>
          <t>• The workbook projects independent source structures through governed WBS relationships; it does not create direct source-to-source truth.</t>
        </is>
      </c>
    </row>
    <row r="24" ht="64" customHeight="1">
      <c r="A24" s="89" t="inlineStr">
        <is>
          <t>• Sheet 04 (issues for review) is not a ranked list and does not claim objective materiality without a governed ranking basis.</t>
        </is>
      </c>
    </row>
    <row r="25" ht="79" customHeight="1">
      <c r="A25" s="89" t="inlineStr">
        <is>
          <t>• Fictional evaluation case. No real-client provenance, privacy/security/compliance or hosting-residency claim is made by this workbook.</t>
        </is>
      </c>
    </row>
    <row r="27" ht="19" customHeight="1">
      <c r="A27" s="28" t="inlineStr">
        <is>
          <t>Visual / metric ledger</t>
        </is>
      </c>
    </row>
    <row r="28" ht="30" customHeight="1">
      <c r="A28" s="91" t="inlineStr">
        <is>
          <t>ID</t>
        </is>
      </c>
      <c r="B28" s="91" t="inlineStr">
        <is>
          <t>Title</t>
        </is>
      </c>
      <c r="C28" s="91" t="inlineStr">
        <is>
          <t>Management question</t>
        </is>
      </c>
      <c r="D28" s="91" t="inlineStr">
        <is>
          <t>Basis / population</t>
        </is>
      </c>
      <c r="E28" s="91" t="inlineStr">
        <is>
          <t>Unresolved treatment</t>
        </is>
      </c>
      <c r="F28" s="91" t="inlineStr">
        <is>
          <t>Transformation</t>
        </is>
      </c>
      <c r="G28" s="91" t="inlineStr">
        <is>
          <t>Drill path</t>
        </is>
      </c>
      <c r="H28" s="91" t="inlineStr">
        <is>
          <t>Records</t>
        </is>
      </c>
      <c r="I28" s="91" t="inlineStr">
        <is>
          <t>Status</t>
        </is>
      </c>
    </row>
    <row r="29" ht="64" customHeight="1">
      <c r="A29" s="34" t="inlineStr">
        <is>
          <t>V1</t>
        </is>
      </c>
      <c r="B29" s="34" t="inlineStr">
        <is>
          <t>WBS × control-view integration matrix</t>
        </is>
      </c>
      <c r="C29" s="34" t="inlineStr">
        <is>
          <t>Which supplied project-control views have governed relationships through each major Owner-WBS branch?</t>
        </is>
      </c>
      <c r="D29" s="34" t="inlineStr">
        <is>
          <t>Latest approved MappingVersion and its approved source-role basis. | Non-retired governed/open relationship population scoped through each displayed WBS branch.</t>
        </is>
      </c>
      <c r="E29" s="34" t="inlineStr">
        <is>
          <t>Unresolved is distinct from assessed zero coverage and source-not-supplied.</t>
        </is>
      </c>
      <c r="F29" s="34" t="inlineStr">
        <is>
          <t>Categorical state from supplied source role plus branch-scoped governed/open relationships; no health percentage.</t>
        </is>
      </c>
      <c r="G29" s="34" t="inlineStr">
        <is>
          <t>visual → WBS branch → integrated project → Crosswalk → evidence/professional decision</t>
        </is>
      </c>
      <c r="H29" s="95" t="n">
        <v>1357</v>
      </c>
      <c r="I29" s="34" t="inlineStr">
        <is>
          <t>AVAILABLE</t>
        </is>
      </c>
    </row>
    <row r="30" ht="79" customHeight="1">
      <c r="A30" s="34" t="inlineStr">
        <is>
          <t>V2</t>
        </is>
      </c>
      <c r="B30" s="34" t="inlineStr">
        <is>
          <t>Management-attention concentration by WBS branch</t>
        </is>
      </c>
      <c r="C30" s="34" t="inlineStr">
        <is>
          <t>Where are governed reopened, unresolved or contradictory relationship populations concentrated?</t>
        </is>
      </c>
      <c r="D30" s="34" t="inlineStr">
        <is>
          <t>Latest approved relationship state and retained relationship evidence. | Branch-scoped relationships with reopened/unresolved/contradictory evidence.</t>
        </is>
      </c>
      <c r="E30" s="34" t="inlineStr">
        <is>
          <t>Counts remain explicit; no record-count-to-materiality inference.</t>
        </is>
      </c>
      <c r="F30" s="34" t="inlineStr">
        <is>
          <t>Count qualifying relationship records by approved WBS branch; overlapping categories remain separately labelled.</t>
        </is>
      </c>
      <c r="G30" s="34" t="inlineStr">
        <is>
          <t>visual → WBS branch → Changes/What Matters Now → Crosswalk → evidence</t>
        </is>
      </c>
      <c r="H30" s="95" t="n">
        <v>2</v>
      </c>
      <c r="I30" s="34" t="inlineStr">
        <is>
          <t>AVAILABLE</t>
        </is>
      </c>
    </row>
    <row r="31" ht="79" customHeight="1">
      <c r="A31" s="34" t="inlineStr">
        <is>
          <t>V3</t>
        </is>
      </c>
      <c r="B31" s="34" t="inlineStr">
        <is>
          <t>Cycle governed-state composition</t>
        </is>
      </c>
      <c r="C31" s="34" t="inlineStr">
        <is>
          <t>How much relationship state carried forward versus required revalidation/redecision/new/retired treatment?</t>
        </is>
      </c>
      <c r="D31" s="34" t="inlineStr">
        <is>
          <t>Current approved MappingVersion change labels relative to prior approved state. | One current/historical change label per governed relationship version represented in output.</t>
        </is>
      </c>
      <c r="E31" s="34" t="inlineStr">
        <is>
          <t>Unresolved relationship outcome remains separate from change-state composition.</t>
        </is>
      </c>
      <c r="F31" s="34" t="inlineStr">
        <is>
          <t>Count governed relationships by the existing change labels; no speed/value claim inferred.</t>
        </is>
      </c>
      <c r="G31" s="34" t="inlineStr">
        <is>
          <t>visual → change class → Changes &amp; Revalidation → relationship → evidence</t>
        </is>
      </c>
      <c r="H31" s="95" t="n">
        <v>1622</v>
      </c>
      <c r="I31" s="34" t="inlineStr">
        <is>
          <t>AVAILABLE</t>
        </is>
      </c>
    </row>
    <row r="32" ht="34" customHeight="1">
      <c r="A32" s="34" t="inlineStr">
        <is>
          <t>V4</t>
        </is>
      </c>
      <c r="B32" s="34" t="inlineStr">
        <is>
          <t>Governed cost / forecast view</t>
        </is>
      </c>
      <c r="C32" s="34" t="inlineStr">
        <is>
          <t>What governed cost/forecast amount can be shown by WBS scope?</t>
        </is>
      </c>
      <c r="D32" s="34" t="inlineStr">
        <is>
          <t>No sufficient quantitative contract supplied. | None admitted.</t>
        </is>
      </c>
      <c r="E32" s="34" t="inlineStr">
        <is>
          <t>All amount claims withheld.</t>
        </is>
      </c>
      <c r="F32" s="34" t="inlineStr">
        <is>
          <t>No aggregation performed.</t>
        </is>
      </c>
      <c r="G32" s="34" t="inlineStr">
        <is>
          <t>See Sources &amp; Provenance / Assurance for withholding reason.</t>
        </is>
      </c>
      <c r="H32" s="95" t="n">
        <v>0</v>
      </c>
      <c r="I32" s="34" t="inlineStr">
        <is>
          <t>WITHHELD</t>
        </is>
      </c>
    </row>
  </sheetData>
  <mergeCells count="9">
    <mergeCell ref="A21:B21"/>
    <mergeCell ref="A24:B24"/>
    <mergeCell ref="A2:B2"/>
    <mergeCell ref="A25:B25"/>
    <mergeCell ref="A18:B19"/>
    <mergeCell ref="A17:B17"/>
    <mergeCell ref="A23:B23"/>
    <mergeCell ref="A27:B27"/>
    <mergeCell ref="A22:B22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P1657"/>
  <sheetViews>
    <sheetView showGridLines="0" tabSelected="0" topLeftCell="A1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30" customWidth="1" min="5" max="5"/>
    <col width="20" customWidth="1" min="6" max="6"/>
    <col width="19" customWidth="1" min="7" max="7"/>
    <col width="19" customWidth="1" min="8" max="8"/>
    <col width="12" customWidth="1" min="9" max="9"/>
    <col width="11" customWidth="1" min="10" max="10"/>
    <col width="9" customWidth="1" min="11" max="11"/>
    <col width="9" customWidth="1" min="12" max="12"/>
    <col width="9" customWidth="1" min="13" max="13"/>
    <col width="10" customWidth="1" min="14" max="14"/>
    <col width="15" customWidth="1" min="15" max="15"/>
    <col width="26" customWidth="1" min="16" max="16"/>
  </cols>
  <sheetData>
    <row r="1" ht="59" customHeight="1">
      <c r="A1" s="88" t="inlineStr">
        <is>
          <t>REVISIONS &amp; PERIODS</t>
        </is>
      </c>
    </row>
    <row r="2" ht="79" customHeight="1">
      <c r="A2" s="89" t="inlineStr">
        <is>
          <t>Which reporting revision this workbook is built on, what superseded what, and why only part of the governed relationship state reopened.</t>
        </is>
      </c>
    </row>
    <row r="3" ht="34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49" customHeight="1">
      <c r="A5" s="86" t="inlineStr">
        <is>
          <t>State of record</t>
        </is>
      </c>
      <c r="B5" s="28" t="inlineStr">
        <is>
          <t>MV-1 approved by Maya Chen, Owner Project Controls · 2026-10-12 14:25 UTC</t>
        </is>
      </c>
    </row>
    <row r="6" ht="79" customHeight="1">
      <c r="A6" s="86" t="inlineStr">
        <is>
          <t>Built on these revisions</t>
        </is>
      </c>
      <c r="B6" s="22" t="inlineStr">
        <is>
          <t>Owner WBS (Initial Rev 0); Contractor Programme (Initial Rev 0); Cost &amp; Forecast Control Accounts (Initial Rev 0); Commercial Package Register (Initial Rev 0)</t>
        </is>
      </c>
    </row>
    <row r="8" ht="34" customHeight="1">
      <c r="A8" s="28" t="inlineStr">
        <is>
          <t>Selective revalidation in this version</t>
        </is>
      </c>
    </row>
    <row r="9" ht="94" customHeight="1">
      <c r="A9" s="33" t="inlineStr">
        <is>
          <t>Relationships (unique) by change since the previous approved version -- the same composition as 07 CHANGES &amp; REVALIDATION. Carried forward work was not rebuilt.</t>
        </is>
      </c>
    </row>
    <row r="10" ht="34" customHeight="1">
      <c r="A10" s="109" t="inlineStr">
        <is>
          <t>Relationships in this version</t>
        </is>
      </c>
      <c r="B10" s="66" t="n">
        <v>1622</v>
      </c>
    </row>
    <row r="11" ht="34" customHeight="1">
      <c r="A11" s="109" t="inlineStr">
        <is>
          <t>Carried forward without rework</t>
        </is>
      </c>
      <c r="B11" s="66" t="n">
        <v>0</v>
      </c>
    </row>
    <row r="12" ht="34" customHeight="1">
      <c r="A12" s="109" t="inlineStr">
        <is>
          <t>Came back and were decided again (changed)</t>
        </is>
      </c>
      <c r="B12" s="66" t="n">
        <v>0</v>
      </c>
    </row>
    <row r="13" ht="19" customHeight="1">
      <c r="A13" s="109" t="inlineStr">
        <is>
          <t>New in this version</t>
        </is>
      </c>
      <c r="B13" s="66" t="n">
        <v>1622</v>
      </c>
    </row>
    <row r="14" ht="34" customHeight="1">
      <c r="A14" s="109" t="inlineStr">
        <is>
          <t>Retired (no longer reported)</t>
        </is>
      </c>
      <c r="B14" s="66" t="n">
        <v>0</v>
      </c>
    </row>
    <row r="16" ht="19" customHeight="1">
      <c r="A16" s="28" t="inlineStr">
        <is>
          <t>Source revision history</t>
        </is>
      </c>
    </row>
    <row r="17" ht="214" customHeight="1">
      <c r="A17" s="33" t="inlineStr">
        <is>
          <t>Every revision supplied up to this approval, oldest first per source. CURRENT = the revision this version was approved against; SUPERSEDED = replaced within the same reporting period; HISTORICAL = the last revision of an earlier period. Added / Removed / Changed compare each revision's records with the previous revision of the same source (source content, not a relationship decision).</t>
        </is>
      </c>
    </row>
    <row r="18" ht="49" customHeight="1">
      <c r="A18" s="91" t="inlineStr">
        <is>
          <t>Source</t>
        </is>
      </c>
      <c r="B18" s="91" t="inlineStr">
        <is>
          <t>Reporting period</t>
        </is>
      </c>
      <c r="C18" s="91" t="inlineStr">
        <is>
          <t>Revision</t>
        </is>
      </c>
      <c r="D18" s="91" t="inlineStr">
        <is>
          <t>Revision in period</t>
        </is>
      </c>
      <c r="E18" s="91" t="inlineStr">
        <is>
          <t>State</t>
        </is>
      </c>
      <c r="F18" s="91" t="inlineStr">
        <is>
          <t>Superseded by</t>
        </is>
      </c>
      <c r="G18" s="91" t="inlineStr">
        <is>
          <t>Effective from (UTC)</t>
        </is>
      </c>
      <c r="H18" s="91" t="inlineStr">
        <is>
          <t>Effective to (UTC)</t>
        </is>
      </c>
      <c r="I18" s="91" t="inlineStr">
        <is>
          <t>Data date</t>
        </is>
      </c>
      <c r="J18" s="91" t="inlineStr">
        <is>
          <t>Records</t>
        </is>
      </c>
      <c r="K18" s="91" t="inlineStr">
        <is>
          <t>Added</t>
        </is>
      </c>
      <c r="L18" s="91" t="inlineStr">
        <is>
          <t>Removed</t>
        </is>
      </c>
      <c r="M18" s="91" t="inlineStr">
        <is>
          <t>Changed</t>
        </is>
      </c>
      <c r="N18" s="91" t="inlineStr">
        <is>
          <t>Unchanged</t>
        </is>
      </c>
      <c r="O18" s="91" t="inlineStr">
        <is>
          <t>Approval basis</t>
        </is>
      </c>
      <c r="P18" s="91" t="inlineStr">
        <is>
          <t>File (SHA-256, first 12)</t>
        </is>
      </c>
    </row>
    <row r="19" ht="34" customHeight="1">
      <c r="A19" s="102" t="inlineStr">
        <is>
          <t>Owner WBS</t>
        </is>
      </c>
      <c r="B19" s="102" t="inlineStr">
        <is>
          <t>Initial</t>
        </is>
      </c>
      <c r="C19" s="102" t="inlineStr">
        <is>
          <t>Rev 0</t>
        </is>
      </c>
      <c r="D19" s="66" t="n">
        <v>0</v>
      </c>
      <c r="E19" s="102" t="inlineStr">
        <is>
          <t>CURRENT</t>
        </is>
      </c>
      <c r="F19" s="53" t="inlineStr"/>
      <c r="G19" s="102" t="inlineStr">
        <is>
          <t>2026-10-12 14:24:44</t>
        </is>
      </c>
      <c r="H19" s="53" t="inlineStr"/>
      <c r="I19" s="102" t="inlineStr">
        <is>
          <t>2027-06-30</t>
        </is>
      </c>
      <c r="J19" s="66" t="n">
        <v>79</v>
      </c>
      <c r="K19" s="53" t="inlineStr"/>
      <c r="L19" s="53" t="inlineStr"/>
      <c r="M19" s="53" t="inlineStr"/>
      <c r="N19" s="53" t="inlineStr"/>
      <c r="O19" s="102" t="inlineStr">
        <is>
          <t>Approved basis</t>
        </is>
      </c>
      <c r="P19" s="102" t="inlineStr">
        <is>
          <t>37a40d25ac86</t>
        </is>
      </c>
    </row>
    <row r="20" ht="34" customHeight="1">
      <c r="A20" s="102" t="inlineStr">
        <is>
          <t>Contractor Programme</t>
        </is>
      </c>
      <c r="B20" s="102" t="inlineStr">
        <is>
          <t>Initial</t>
        </is>
      </c>
      <c r="C20" s="102" t="inlineStr">
        <is>
          <t>Rev 0</t>
        </is>
      </c>
      <c r="D20" s="66" t="n">
        <v>0</v>
      </c>
      <c r="E20" s="102" t="inlineStr">
        <is>
          <t>CURRENT</t>
        </is>
      </c>
      <c r="F20" s="53" t="inlineStr"/>
      <c r="G20" s="102" t="inlineStr">
        <is>
          <t>2026-10-12 14:24:45</t>
        </is>
      </c>
      <c r="H20" s="53" t="inlineStr"/>
      <c r="I20" s="102" t="inlineStr">
        <is>
          <t>2027-06-30</t>
        </is>
      </c>
      <c r="J20" s="66" t="n">
        <v>1082</v>
      </c>
      <c r="K20" s="53" t="inlineStr"/>
      <c r="L20" s="53" t="inlineStr"/>
      <c r="M20" s="53" t="inlineStr"/>
      <c r="N20" s="53" t="inlineStr"/>
      <c r="O20" s="102" t="inlineStr">
        <is>
          <t>Approved basis</t>
        </is>
      </c>
      <c r="P20" s="102" t="inlineStr">
        <is>
          <t>3fd2ce3d07c0</t>
        </is>
      </c>
    </row>
    <row r="21" ht="34" customHeight="1">
      <c r="A21" s="102" t="inlineStr">
        <is>
          <t>Cost &amp; Forecast Control Accounts</t>
        </is>
      </c>
      <c r="B21" s="102" t="inlineStr">
        <is>
          <t>Initial</t>
        </is>
      </c>
      <c r="C21" s="102" t="inlineStr">
        <is>
          <t>Rev 0</t>
        </is>
      </c>
      <c r="D21" s="66" t="n">
        <v>0</v>
      </c>
      <c r="E21" s="102" t="inlineStr">
        <is>
          <t>CURRENT</t>
        </is>
      </c>
      <c r="F21" s="53" t="inlineStr"/>
      <c r="G21" s="102" t="inlineStr">
        <is>
          <t>2026-10-12 14:24:46</t>
        </is>
      </c>
      <c r="H21" s="53" t="inlineStr"/>
      <c r="I21" s="102" t="inlineStr">
        <is>
          <t>2027-06-30</t>
        </is>
      </c>
      <c r="J21" s="66" t="n">
        <v>480</v>
      </c>
      <c r="K21" s="53" t="inlineStr"/>
      <c r="L21" s="53" t="inlineStr"/>
      <c r="M21" s="53" t="inlineStr"/>
      <c r="N21" s="53" t="inlineStr"/>
      <c r="O21" s="102" t="inlineStr">
        <is>
          <t>Approved basis</t>
        </is>
      </c>
      <c r="P21" s="102" t="inlineStr">
        <is>
          <t>f9ba38891271</t>
        </is>
      </c>
    </row>
    <row r="22" ht="34" customHeight="1">
      <c r="A22" s="102" t="inlineStr">
        <is>
          <t>Commercial Package Register</t>
        </is>
      </c>
      <c r="B22" s="102" t="inlineStr">
        <is>
          <t>Initial</t>
        </is>
      </c>
      <c r="C22" s="102" t="inlineStr">
        <is>
          <t>Rev 0</t>
        </is>
      </c>
      <c r="D22" s="66" t="n">
        <v>0</v>
      </c>
      <c r="E22" s="102" t="inlineStr">
        <is>
          <t>CURRENT</t>
        </is>
      </c>
      <c r="F22" s="53" t="inlineStr"/>
      <c r="G22" s="102" t="inlineStr">
        <is>
          <t>2026-10-12 14:24:47</t>
        </is>
      </c>
      <c r="H22" s="53" t="inlineStr"/>
      <c r="I22" s="102" t="inlineStr">
        <is>
          <t>2027-06-30</t>
        </is>
      </c>
      <c r="J22" s="66" t="n">
        <v>60</v>
      </c>
      <c r="K22" s="53" t="inlineStr"/>
      <c r="L22" s="53" t="inlineStr"/>
      <c r="M22" s="53" t="inlineStr"/>
      <c r="N22" s="53" t="inlineStr"/>
      <c r="O22" s="102" t="inlineStr">
        <is>
          <t>Approved basis</t>
        </is>
      </c>
      <c r="P22" s="102" t="inlineStr">
        <is>
          <t>69e50b85c924</t>
        </is>
      </c>
    </row>
    <row r="24" ht="19" customHeight="1">
      <c r="A24" s="28" t="inlineStr">
        <is>
          <t>Approval history</t>
        </is>
      </c>
    </row>
    <row r="25" ht="94" customHeight="1">
      <c r="A25" s="33" t="inlineStr">
        <is>
          <t>Each approved mapping version, the source revisions it was approved against, and how much of its relationship state was carried forward versus decided again.</t>
        </is>
      </c>
    </row>
    <row r="26" ht="34" customHeight="1">
      <c r="A26" s="91" t="inlineStr">
        <is>
          <t>Mapping version</t>
        </is>
      </c>
      <c r="B26" s="91" t="inlineStr">
        <is>
          <t>Status</t>
        </is>
      </c>
      <c r="C26" s="91" t="inlineStr">
        <is>
          <t>Approved by</t>
        </is>
      </c>
      <c r="D26" s="91" t="inlineStr">
        <is>
          <t>Approved at (UTC)</t>
        </is>
      </c>
      <c r="E26" s="91" t="inlineStr">
        <is>
          <t>Approved against</t>
        </is>
      </c>
      <c r="F26" s="91" t="inlineStr">
        <is>
          <t>Relationships</t>
        </is>
      </c>
      <c r="G26" s="91" t="inlineStr">
        <is>
          <t>Carried forward</t>
        </is>
      </c>
      <c r="H26" s="91" t="inlineStr">
        <is>
          <t>Changed, re-decided</t>
        </is>
      </c>
      <c r="I26" s="91" t="inlineStr">
        <is>
          <t>New</t>
        </is>
      </c>
      <c r="J26" s="91" t="inlineStr">
        <is>
          <t>Retired</t>
        </is>
      </c>
    </row>
    <row r="27" ht="139" customHeight="1">
      <c r="A27" s="102" t="inlineStr">
        <is>
          <t>MV-1</t>
        </is>
      </c>
      <c r="B27" s="102" t="inlineStr">
        <is>
          <t>State of record</t>
        </is>
      </c>
      <c r="C27" s="102" t="inlineStr">
        <is>
          <t>Maya Chen, Owner Project Controls</t>
        </is>
      </c>
      <c r="D27" s="102" t="inlineStr">
        <is>
          <t>2026-10-12 14:25:37</t>
        </is>
      </c>
      <c r="E27" s="102" t="inlineStr">
        <is>
          <t>Owner WBS (Initial Rev 0); Contractor Programme (Initial Rev 0); Cost &amp; Forecast Control Accounts (Initial Rev 0); Commercial Package Register (Initial Rev 0)</t>
        </is>
      </c>
      <c r="F27" s="66" t="n">
        <v>1622</v>
      </c>
      <c r="G27" s="66" t="n">
        <v>0</v>
      </c>
      <c r="H27" s="66" t="n">
        <v>0</v>
      </c>
      <c r="I27" s="66" t="n">
        <v>1622</v>
      </c>
      <c r="J27" s="66" t="n">
        <v>0</v>
      </c>
    </row>
    <row r="29" ht="34" customHeight="1">
      <c r="A29" s="28" t="inlineStr">
        <is>
          <t>Came back for a decision in this version</t>
        </is>
      </c>
    </row>
    <row r="30" ht="79" customHeight="1">
      <c r="A30" s="33" t="inlineStr">
        <is>
          <t>Only these relationships were reopened, new or retired; every other relationship was carried forward with its original basis and approver.</t>
        </is>
      </c>
    </row>
    <row r="31" ht="30" customHeight="1">
      <c r="A31" s="91" t="inlineStr">
        <is>
          <t>Relationship</t>
        </is>
      </c>
      <c r="B31" s="91" t="inlineStr">
        <is>
          <t>Record</t>
        </is>
      </c>
      <c r="C31" s="91" t="inlineStr">
        <is>
          <t>Change</t>
        </is>
      </c>
      <c r="D31" s="91" t="inlineStr">
        <is>
          <t>Reason</t>
        </is>
      </c>
      <c r="E31" s="91" t="inlineStr">
        <is>
          <t>Decided by</t>
        </is>
      </c>
      <c r="F31" s="91" t="inlineStr">
        <is>
          <t>Evidence</t>
        </is>
      </c>
    </row>
    <row r="32" ht="79" customHeight="1">
      <c r="A32" s="34" t="inlineStr">
        <is>
          <t>R1083-v1</t>
        </is>
      </c>
      <c r="B32" s="34" t="inlineStr">
        <is>
          <t>CST-01-001</t>
        </is>
      </c>
      <c r="C32" s="34" t="inlineStr">
        <is>
          <t>New</t>
        </is>
      </c>
      <c r="D32" s="34" t="inlineStr">
        <is>
          <t>Record first supplied in this revision</t>
        </is>
      </c>
      <c r="E32" s="39" t="inlineStr"/>
      <c r="F32" s="100" t="inlineStr">
        <is>
          <t>10 EVIDENCE &amp; DECISIONS</t>
        </is>
      </c>
      <c r="G32" s="41" t="n"/>
    </row>
    <row r="33" ht="79" customHeight="1">
      <c r="A33" s="34" t="inlineStr">
        <is>
          <t>R1084-v1</t>
        </is>
      </c>
      <c r="B33" s="34" t="inlineStr">
        <is>
          <t>CST-01-002</t>
        </is>
      </c>
      <c r="C33" s="34" t="inlineStr">
        <is>
          <t>New</t>
        </is>
      </c>
      <c r="D33" s="34" t="inlineStr">
        <is>
          <t>Record first supplied in this revision</t>
        </is>
      </c>
      <c r="E33" s="39" t="inlineStr"/>
      <c r="F33" s="100" t="inlineStr">
        <is>
          <t>10 EVIDENCE &amp; DECISIONS</t>
        </is>
      </c>
      <c r="G33" s="41" t="n"/>
    </row>
    <row r="34" ht="79" customHeight="1">
      <c r="A34" s="34" t="inlineStr">
        <is>
          <t>R1085-v1</t>
        </is>
      </c>
      <c r="B34" s="34" t="inlineStr">
        <is>
          <t>CST-01-003</t>
        </is>
      </c>
      <c r="C34" s="34" t="inlineStr">
        <is>
          <t>New</t>
        </is>
      </c>
      <c r="D34" s="34" t="inlineStr">
        <is>
          <t>Record first supplied in this revision</t>
        </is>
      </c>
      <c r="E34" s="39" t="inlineStr"/>
      <c r="F34" s="100" t="inlineStr">
        <is>
          <t>10 EVIDENCE &amp; DECISIONS</t>
        </is>
      </c>
      <c r="G34" s="41" t="n"/>
    </row>
    <row r="35" ht="79" customHeight="1">
      <c r="A35" s="34" t="inlineStr">
        <is>
          <t>R1086-v1</t>
        </is>
      </c>
      <c r="B35" s="34" t="inlineStr">
        <is>
          <t>CST-01-004</t>
        </is>
      </c>
      <c r="C35" s="34" t="inlineStr">
        <is>
          <t>New</t>
        </is>
      </c>
      <c r="D35" s="34" t="inlineStr">
        <is>
          <t>Record first supplied in this revision</t>
        </is>
      </c>
      <c r="E35" s="39" t="inlineStr"/>
      <c r="F35" s="100" t="inlineStr">
        <is>
          <t>10 EVIDENCE &amp; DECISIONS</t>
        </is>
      </c>
      <c r="G35" s="41" t="n"/>
    </row>
    <row r="36" ht="79" customHeight="1">
      <c r="A36" s="34" t="inlineStr">
        <is>
          <t>R1087-v1</t>
        </is>
      </c>
      <c r="B36" s="34" t="inlineStr">
        <is>
          <t>CST-01-005</t>
        </is>
      </c>
      <c r="C36" s="34" t="inlineStr">
        <is>
          <t>New</t>
        </is>
      </c>
      <c r="D36" s="34" t="inlineStr">
        <is>
          <t>Record first supplied in this revision</t>
        </is>
      </c>
      <c r="E36" s="39" t="inlineStr"/>
      <c r="F36" s="100" t="inlineStr">
        <is>
          <t>10 EVIDENCE &amp; DECISIONS</t>
        </is>
      </c>
      <c r="G36" s="41" t="n"/>
    </row>
    <row r="37" ht="79" customHeight="1">
      <c r="A37" s="34" t="inlineStr">
        <is>
          <t>R1088-v1</t>
        </is>
      </c>
      <c r="B37" s="34" t="inlineStr">
        <is>
          <t>CST-01-006</t>
        </is>
      </c>
      <c r="C37" s="34" t="inlineStr">
        <is>
          <t>New</t>
        </is>
      </c>
      <c r="D37" s="34" t="inlineStr">
        <is>
          <t>Record first supplied in this revision</t>
        </is>
      </c>
      <c r="E37" s="39" t="inlineStr"/>
      <c r="F37" s="100" t="inlineStr">
        <is>
          <t>10 EVIDENCE &amp; DECISIONS</t>
        </is>
      </c>
      <c r="G37" s="41" t="n"/>
    </row>
    <row r="38" ht="79" customHeight="1">
      <c r="A38" s="34" t="inlineStr">
        <is>
          <t>R1089-v1</t>
        </is>
      </c>
      <c r="B38" s="34" t="inlineStr">
        <is>
          <t>CST-01-007</t>
        </is>
      </c>
      <c r="C38" s="34" t="inlineStr">
        <is>
          <t>New</t>
        </is>
      </c>
      <c r="D38" s="34" t="inlineStr">
        <is>
          <t>Record first supplied in this revision</t>
        </is>
      </c>
      <c r="E38" s="39" t="inlineStr"/>
      <c r="F38" s="100" t="inlineStr">
        <is>
          <t>10 EVIDENCE &amp; DECISIONS</t>
        </is>
      </c>
      <c r="G38" s="41" t="n"/>
    </row>
    <row r="39" ht="79" customHeight="1">
      <c r="A39" s="34" t="inlineStr">
        <is>
          <t>R1090-v1</t>
        </is>
      </c>
      <c r="B39" s="34" t="inlineStr">
        <is>
          <t>CST-01-008</t>
        </is>
      </c>
      <c r="C39" s="34" t="inlineStr">
        <is>
          <t>New</t>
        </is>
      </c>
      <c r="D39" s="34" t="inlineStr">
        <is>
          <t>Record first supplied in this revision</t>
        </is>
      </c>
      <c r="E39" s="39" t="inlineStr"/>
      <c r="F39" s="100" t="inlineStr">
        <is>
          <t>10 EVIDENCE &amp; DECISIONS</t>
        </is>
      </c>
      <c r="G39" s="41" t="n"/>
    </row>
    <row r="40" ht="79" customHeight="1">
      <c r="A40" s="34" t="inlineStr">
        <is>
          <t>R1091-v1</t>
        </is>
      </c>
      <c r="B40" s="34" t="inlineStr">
        <is>
          <t>CST-01-009</t>
        </is>
      </c>
      <c r="C40" s="34" t="inlineStr">
        <is>
          <t>New</t>
        </is>
      </c>
      <c r="D40" s="34" t="inlineStr">
        <is>
          <t>Record first supplied in this revision</t>
        </is>
      </c>
      <c r="E40" s="39" t="inlineStr"/>
      <c r="F40" s="100" t="inlineStr">
        <is>
          <t>10 EVIDENCE &amp; DECISIONS</t>
        </is>
      </c>
      <c r="G40" s="41" t="n"/>
    </row>
    <row r="41" ht="79" customHeight="1">
      <c r="A41" s="34" t="inlineStr">
        <is>
          <t>R1092-v1</t>
        </is>
      </c>
      <c r="B41" s="34" t="inlineStr">
        <is>
          <t>CST-01-010</t>
        </is>
      </c>
      <c r="C41" s="34" t="inlineStr">
        <is>
          <t>New</t>
        </is>
      </c>
      <c r="D41" s="34" t="inlineStr">
        <is>
          <t>Record first supplied in this revision</t>
        </is>
      </c>
      <c r="E41" s="39" t="inlineStr"/>
      <c r="F41" s="100" t="inlineStr">
        <is>
          <t>10 EVIDENCE &amp; DECISIONS</t>
        </is>
      </c>
      <c r="G41" s="41" t="n"/>
    </row>
    <row r="42" ht="79" customHeight="1">
      <c r="A42" s="34" t="inlineStr">
        <is>
          <t>R1093-v1</t>
        </is>
      </c>
      <c r="B42" s="34" t="inlineStr">
        <is>
          <t>CST-01-011</t>
        </is>
      </c>
      <c r="C42" s="34" t="inlineStr">
        <is>
          <t>New</t>
        </is>
      </c>
      <c r="D42" s="34" t="inlineStr">
        <is>
          <t>Record first supplied in this revision</t>
        </is>
      </c>
      <c r="E42" s="39" t="inlineStr"/>
      <c r="F42" s="100" t="inlineStr">
        <is>
          <t>10 EVIDENCE &amp; DECISIONS</t>
        </is>
      </c>
      <c r="G42" s="41" t="n"/>
    </row>
    <row r="43" ht="79" customHeight="1">
      <c r="A43" s="34" t="inlineStr">
        <is>
          <t>R1094-v1</t>
        </is>
      </c>
      <c r="B43" s="34" t="inlineStr">
        <is>
          <t>CST-01-012</t>
        </is>
      </c>
      <c r="C43" s="34" t="inlineStr">
        <is>
          <t>New</t>
        </is>
      </c>
      <c r="D43" s="34" t="inlineStr">
        <is>
          <t>Record first supplied in this revision</t>
        </is>
      </c>
      <c r="E43" s="39" t="inlineStr"/>
      <c r="F43" s="100" t="inlineStr">
        <is>
          <t>10 EVIDENCE &amp; DECISIONS</t>
        </is>
      </c>
      <c r="G43" s="41" t="n"/>
    </row>
    <row r="44" ht="79" customHeight="1">
      <c r="A44" s="34" t="inlineStr">
        <is>
          <t>R1095-v1</t>
        </is>
      </c>
      <c r="B44" s="34" t="inlineStr">
        <is>
          <t>CST-01-013</t>
        </is>
      </c>
      <c r="C44" s="34" t="inlineStr">
        <is>
          <t>New</t>
        </is>
      </c>
      <c r="D44" s="34" t="inlineStr">
        <is>
          <t>Record first supplied in this revision</t>
        </is>
      </c>
      <c r="E44" s="39" t="inlineStr"/>
      <c r="F44" s="100" t="inlineStr">
        <is>
          <t>10 EVIDENCE &amp; DECISIONS</t>
        </is>
      </c>
      <c r="G44" s="41" t="n"/>
    </row>
    <row r="45" ht="79" customHeight="1">
      <c r="A45" s="34" t="inlineStr">
        <is>
          <t>R1096-v1</t>
        </is>
      </c>
      <c r="B45" s="34" t="inlineStr">
        <is>
          <t>CST-01-014</t>
        </is>
      </c>
      <c r="C45" s="34" t="inlineStr">
        <is>
          <t>New</t>
        </is>
      </c>
      <c r="D45" s="34" t="inlineStr">
        <is>
          <t>Record first supplied in this revision</t>
        </is>
      </c>
      <c r="E45" s="39" t="inlineStr"/>
      <c r="F45" s="100" t="inlineStr">
        <is>
          <t>10 EVIDENCE &amp; DECISIONS</t>
        </is>
      </c>
      <c r="G45" s="41" t="n"/>
    </row>
    <row r="46" ht="79" customHeight="1">
      <c r="A46" s="34" t="inlineStr">
        <is>
          <t>R1097-v1</t>
        </is>
      </c>
      <c r="B46" s="34" t="inlineStr">
        <is>
          <t>CST-01-015</t>
        </is>
      </c>
      <c r="C46" s="34" t="inlineStr">
        <is>
          <t>New</t>
        </is>
      </c>
      <c r="D46" s="34" t="inlineStr">
        <is>
          <t>Record first supplied in this revision</t>
        </is>
      </c>
      <c r="E46" s="39" t="inlineStr"/>
      <c r="F46" s="100" t="inlineStr">
        <is>
          <t>10 EVIDENCE &amp; DECISIONS</t>
        </is>
      </c>
      <c r="G46" s="41" t="n"/>
    </row>
    <row r="47" ht="79" customHeight="1">
      <c r="A47" s="34" t="inlineStr">
        <is>
          <t>R1098-v1</t>
        </is>
      </c>
      <c r="B47" s="34" t="inlineStr">
        <is>
          <t>CST-01-016</t>
        </is>
      </c>
      <c r="C47" s="34" t="inlineStr">
        <is>
          <t>New</t>
        </is>
      </c>
      <c r="D47" s="34" t="inlineStr">
        <is>
          <t>Record first supplied in this revision</t>
        </is>
      </c>
      <c r="E47" s="39" t="inlineStr"/>
      <c r="F47" s="100" t="inlineStr">
        <is>
          <t>10 EVIDENCE &amp; DECISIONS</t>
        </is>
      </c>
      <c r="G47" s="41" t="n"/>
    </row>
    <row r="48" ht="79" customHeight="1">
      <c r="A48" s="34" t="inlineStr">
        <is>
          <t>R1099-v1</t>
        </is>
      </c>
      <c r="B48" s="34" t="inlineStr">
        <is>
          <t>CST-01-017</t>
        </is>
      </c>
      <c r="C48" s="34" t="inlineStr">
        <is>
          <t>New</t>
        </is>
      </c>
      <c r="D48" s="34" t="inlineStr">
        <is>
          <t>Record first supplied in this revision</t>
        </is>
      </c>
      <c r="E48" s="39" t="inlineStr"/>
      <c r="F48" s="100" t="inlineStr">
        <is>
          <t>10 EVIDENCE &amp; DECISIONS</t>
        </is>
      </c>
      <c r="G48" s="41" t="n"/>
    </row>
    <row r="49" ht="79" customHeight="1">
      <c r="A49" s="34" t="inlineStr">
        <is>
          <t>R1100-v1</t>
        </is>
      </c>
      <c r="B49" s="34" t="inlineStr">
        <is>
          <t>CST-01-018</t>
        </is>
      </c>
      <c r="C49" s="34" t="inlineStr">
        <is>
          <t>New</t>
        </is>
      </c>
      <c r="D49" s="34" t="inlineStr">
        <is>
          <t>Record first supplied in this revision</t>
        </is>
      </c>
      <c r="E49" s="39" t="inlineStr"/>
      <c r="F49" s="100" t="inlineStr">
        <is>
          <t>10 EVIDENCE &amp; DECISIONS</t>
        </is>
      </c>
      <c r="G49" s="41" t="n"/>
    </row>
    <row r="50" ht="79" customHeight="1">
      <c r="A50" s="34" t="inlineStr">
        <is>
          <t>R1101-v1</t>
        </is>
      </c>
      <c r="B50" s="34" t="inlineStr">
        <is>
          <t>CST-01-019</t>
        </is>
      </c>
      <c r="C50" s="34" t="inlineStr">
        <is>
          <t>New</t>
        </is>
      </c>
      <c r="D50" s="34" t="inlineStr">
        <is>
          <t>Record first supplied in this revision</t>
        </is>
      </c>
      <c r="E50" s="39" t="inlineStr"/>
      <c r="F50" s="100" t="inlineStr">
        <is>
          <t>10 EVIDENCE &amp; DECISIONS</t>
        </is>
      </c>
      <c r="G50" s="41" t="n"/>
    </row>
    <row r="51" ht="79" customHeight="1">
      <c r="A51" s="34" t="inlineStr">
        <is>
          <t>R1102-v1</t>
        </is>
      </c>
      <c r="B51" s="34" t="inlineStr">
        <is>
          <t>CST-01-020</t>
        </is>
      </c>
      <c r="C51" s="34" t="inlineStr">
        <is>
          <t>New</t>
        </is>
      </c>
      <c r="D51" s="34" t="inlineStr">
        <is>
          <t>Record first supplied in this revision</t>
        </is>
      </c>
      <c r="E51" s="39" t="inlineStr"/>
      <c r="F51" s="100" t="inlineStr">
        <is>
          <t>10 EVIDENCE &amp; DECISIONS</t>
        </is>
      </c>
      <c r="G51" s="41" t="n"/>
    </row>
    <row r="52" ht="79" customHeight="1">
      <c r="A52" s="34" t="inlineStr">
        <is>
          <t>R1103-v1</t>
        </is>
      </c>
      <c r="B52" s="34" t="inlineStr">
        <is>
          <t>CST-01-021</t>
        </is>
      </c>
      <c r="C52" s="34" t="inlineStr">
        <is>
          <t>New</t>
        </is>
      </c>
      <c r="D52" s="34" t="inlineStr">
        <is>
          <t>Record first supplied in this revision</t>
        </is>
      </c>
      <c r="E52" s="39" t="inlineStr"/>
      <c r="F52" s="100" t="inlineStr">
        <is>
          <t>10 EVIDENCE &amp; DECISIONS</t>
        </is>
      </c>
      <c r="G52" s="41" t="n"/>
    </row>
    <row r="53" ht="79" customHeight="1">
      <c r="A53" s="34" t="inlineStr">
        <is>
          <t>R1104-v1</t>
        </is>
      </c>
      <c r="B53" s="34" t="inlineStr">
        <is>
          <t>CST-01-022</t>
        </is>
      </c>
      <c r="C53" s="34" t="inlineStr">
        <is>
          <t>New</t>
        </is>
      </c>
      <c r="D53" s="34" t="inlineStr">
        <is>
          <t>Record first supplied in this revision</t>
        </is>
      </c>
      <c r="E53" s="39" t="inlineStr"/>
      <c r="F53" s="100" t="inlineStr">
        <is>
          <t>10 EVIDENCE &amp; DECISIONS</t>
        </is>
      </c>
      <c r="G53" s="41" t="n"/>
    </row>
    <row r="54" ht="79" customHeight="1">
      <c r="A54" s="34" t="inlineStr">
        <is>
          <t>R1105-v1</t>
        </is>
      </c>
      <c r="B54" s="34" t="inlineStr">
        <is>
          <t>CST-01-023</t>
        </is>
      </c>
      <c r="C54" s="34" t="inlineStr">
        <is>
          <t>New</t>
        </is>
      </c>
      <c r="D54" s="34" t="inlineStr">
        <is>
          <t>Record first supplied in this revision</t>
        </is>
      </c>
      <c r="E54" s="39" t="inlineStr"/>
      <c r="F54" s="100" t="inlineStr">
        <is>
          <t>10 EVIDENCE &amp; DECISIONS</t>
        </is>
      </c>
      <c r="G54" s="41" t="n"/>
    </row>
    <row r="55" ht="79" customHeight="1">
      <c r="A55" s="34" t="inlineStr">
        <is>
          <t>R1106-v1</t>
        </is>
      </c>
      <c r="B55" s="34" t="inlineStr">
        <is>
          <t>CST-01-024</t>
        </is>
      </c>
      <c r="C55" s="34" t="inlineStr">
        <is>
          <t>New</t>
        </is>
      </c>
      <c r="D55" s="34" t="inlineStr">
        <is>
          <t>Record first supplied in this revision</t>
        </is>
      </c>
      <c r="E55" s="39" t="inlineStr"/>
      <c r="F55" s="100" t="inlineStr">
        <is>
          <t>10 EVIDENCE &amp; DECISIONS</t>
        </is>
      </c>
      <c r="G55" s="41" t="n"/>
    </row>
    <row r="56" ht="79" customHeight="1">
      <c r="A56" s="34" t="inlineStr">
        <is>
          <t>R1107-v1</t>
        </is>
      </c>
      <c r="B56" s="34" t="inlineStr">
        <is>
          <t>CST-01-025</t>
        </is>
      </c>
      <c r="C56" s="34" t="inlineStr">
        <is>
          <t>New</t>
        </is>
      </c>
      <c r="D56" s="34" t="inlineStr">
        <is>
          <t>Record first supplied in this revision</t>
        </is>
      </c>
      <c r="E56" s="39" t="inlineStr"/>
      <c r="F56" s="100" t="inlineStr">
        <is>
          <t>10 EVIDENCE &amp; DECISIONS</t>
        </is>
      </c>
      <c r="G56" s="41" t="n"/>
    </row>
    <row r="57" ht="79" customHeight="1">
      <c r="A57" s="34" t="inlineStr">
        <is>
          <t>R1108-v1</t>
        </is>
      </c>
      <c r="B57" s="34" t="inlineStr">
        <is>
          <t>CST-01-026</t>
        </is>
      </c>
      <c r="C57" s="34" t="inlineStr">
        <is>
          <t>New</t>
        </is>
      </c>
      <c r="D57" s="34" t="inlineStr">
        <is>
          <t>Record first supplied in this revision</t>
        </is>
      </c>
      <c r="E57" s="39" t="inlineStr"/>
      <c r="F57" s="100" t="inlineStr">
        <is>
          <t>10 EVIDENCE &amp; DECISIONS</t>
        </is>
      </c>
      <c r="G57" s="41" t="n"/>
    </row>
    <row r="58" ht="79" customHeight="1">
      <c r="A58" s="34" t="inlineStr">
        <is>
          <t>R1109-v1</t>
        </is>
      </c>
      <c r="B58" s="34" t="inlineStr">
        <is>
          <t>CST-01-027</t>
        </is>
      </c>
      <c r="C58" s="34" t="inlineStr">
        <is>
          <t>New</t>
        </is>
      </c>
      <c r="D58" s="34" t="inlineStr">
        <is>
          <t>Record first supplied in this revision</t>
        </is>
      </c>
      <c r="E58" s="39" t="inlineStr"/>
      <c r="F58" s="100" t="inlineStr">
        <is>
          <t>10 EVIDENCE &amp; DECISIONS</t>
        </is>
      </c>
      <c r="G58" s="41" t="n"/>
    </row>
    <row r="59" ht="79" customHeight="1">
      <c r="A59" s="34" t="inlineStr">
        <is>
          <t>R1110-v1</t>
        </is>
      </c>
      <c r="B59" s="34" t="inlineStr">
        <is>
          <t>CST-01-028</t>
        </is>
      </c>
      <c r="C59" s="34" t="inlineStr">
        <is>
          <t>New</t>
        </is>
      </c>
      <c r="D59" s="34" t="inlineStr">
        <is>
          <t>Record first supplied in this revision</t>
        </is>
      </c>
      <c r="E59" s="39" t="inlineStr"/>
      <c r="F59" s="100" t="inlineStr">
        <is>
          <t>10 EVIDENCE &amp; DECISIONS</t>
        </is>
      </c>
      <c r="G59" s="41" t="n"/>
    </row>
    <row r="60" ht="79" customHeight="1">
      <c r="A60" s="34" t="inlineStr">
        <is>
          <t>R1111-v1</t>
        </is>
      </c>
      <c r="B60" s="34" t="inlineStr">
        <is>
          <t>CST-01-029</t>
        </is>
      </c>
      <c r="C60" s="34" t="inlineStr">
        <is>
          <t>New</t>
        </is>
      </c>
      <c r="D60" s="34" t="inlineStr">
        <is>
          <t>Record first supplied in this revision</t>
        </is>
      </c>
      <c r="E60" s="39" t="inlineStr"/>
      <c r="F60" s="100" t="inlineStr">
        <is>
          <t>10 EVIDENCE &amp; DECISIONS</t>
        </is>
      </c>
      <c r="G60" s="41" t="n"/>
    </row>
    <row r="61" ht="79" customHeight="1">
      <c r="A61" s="34" t="inlineStr">
        <is>
          <t>R1112-v1</t>
        </is>
      </c>
      <c r="B61" s="34" t="inlineStr">
        <is>
          <t>CST-01-030</t>
        </is>
      </c>
      <c r="C61" s="34" t="inlineStr">
        <is>
          <t>New</t>
        </is>
      </c>
      <c r="D61" s="34" t="inlineStr">
        <is>
          <t>Record first supplied in this revision</t>
        </is>
      </c>
      <c r="E61" s="39" t="inlineStr"/>
      <c r="F61" s="100" t="inlineStr">
        <is>
          <t>10 EVIDENCE &amp; DECISIONS</t>
        </is>
      </c>
      <c r="G61" s="41" t="n"/>
    </row>
    <row r="62" ht="79" customHeight="1">
      <c r="A62" s="34" t="inlineStr">
        <is>
          <t>R1113-v1</t>
        </is>
      </c>
      <c r="B62" s="34" t="inlineStr">
        <is>
          <t>CST-01-031</t>
        </is>
      </c>
      <c r="C62" s="34" t="inlineStr">
        <is>
          <t>New</t>
        </is>
      </c>
      <c r="D62" s="34" t="inlineStr">
        <is>
          <t>Record first supplied in this revision</t>
        </is>
      </c>
      <c r="E62" s="39" t="inlineStr"/>
      <c r="F62" s="100" t="inlineStr">
        <is>
          <t>10 EVIDENCE &amp; DECISIONS</t>
        </is>
      </c>
      <c r="G62" s="41" t="n"/>
    </row>
    <row r="63" ht="79" customHeight="1">
      <c r="A63" s="34" t="inlineStr">
        <is>
          <t>R1114-v1</t>
        </is>
      </c>
      <c r="B63" s="34" t="inlineStr">
        <is>
          <t>CST-01-032</t>
        </is>
      </c>
      <c r="C63" s="34" t="inlineStr">
        <is>
          <t>New</t>
        </is>
      </c>
      <c r="D63" s="34" t="inlineStr">
        <is>
          <t>Record first supplied in this revision</t>
        </is>
      </c>
      <c r="E63" s="39" t="inlineStr"/>
      <c r="F63" s="100" t="inlineStr">
        <is>
          <t>10 EVIDENCE &amp; DECISIONS</t>
        </is>
      </c>
      <c r="G63" s="41" t="n"/>
    </row>
    <row r="64" ht="79" customHeight="1">
      <c r="A64" s="34" t="inlineStr">
        <is>
          <t>R1115-v1</t>
        </is>
      </c>
      <c r="B64" s="34" t="inlineStr">
        <is>
          <t>CST-01-033</t>
        </is>
      </c>
      <c r="C64" s="34" t="inlineStr">
        <is>
          <t>New</t>
        </is>
      </c>
      <c r="D64" s="34" t="inlineStr">
        <is>
          <t>Record first supplied in this revision</t>
        </is>
      </c>
      <c r="E64" s="39" t="inlineStr"/>
      <c r="F64" s="100" t="inlineStr">
        <is>
          <t>10 EVIDENCE &amp; DECISIONS</t>
        </is>
      </c>
      <c r="G64" s="41" t="n"/>
    </row>
    <row r="65" ht="79" customHeight="1">
      <c r="A65" s="34" t="inlineStr">
        <is>
          <t>R1116-v1</t>
        </is>
      </c>
      <c r="B65" s="34" t="inlineStr">
        <is>
          <t>CST-01-034</t>
        </is>
      </c>
      <c r="C65" s="34" t="inlineStr">
        <is>
          <t>New</t>
        </is>
      </c>
      <c r="D65" s="34" t="inlineStr">
        <is>
          <t>Record first supplied in this revision</t>
        </is>
      </c>
      <c r="E65" s="39" t="inlineStr"/>
      <c r="F65" s="100" t="inlineStr">
        <is>
          <t>10 EVIDENCE &amp; DECISIONS</t>
        </is>
      </c>
      <c r="G65" s="41" t="n"/>
    </row>
    <row r="66" ht="79" customHeight="1">
      <c r="A66" s="34" t="inlineStr">
        <is>
          <t>R1117-v1</t>
        </is>
      </c>
      <c r="B66" s="34" t="inlineStr">
        <is>
          <t>CST-01-035</t>
        </is>
      </c>
      <c r="C66" s="34" t="inlineStr">
        <is>
          <t>New</t>
        </is>
      </c>
      <c r="D66" s="34" t="inlineStr">
        <is>
          <t>Record first supplied in this revision</t>
        </is>
      </c>
      <c r="E66" s="39" t="inlineStr"/>
      <c r="F66" s="100" t="inlineStr">
        <is>
          <t>10 EVIDENCE &amp; DECISIONS</t>
        </is>
      </c>
      <c r="G66" s="41" t="n"/>
    </row>
    <row r="67" ht="79" customHeight="1">
      <c r="A67" s="34" t="inlineStr">
        <is>
          <t>R1118-v1</t>
        </is>
      </c>
      <c r="B67" s="34" t="inlineStr">
        <is>
          <t>CST-01-036</t>
        </is>
      </c>
      <c r="C67" s="34" t="inlineStr">
        <is>
          <t>New</t>
        </is>
      </c>
      <c r="D67" s="34" t="inlineStr">
        <is>
          <t>Record first supplied in this revision</t>
        </is>
      </c>
      <c r="E67" s="39" t="inlineStr"/>
      <c r="F67" s="100" t="inlineStr">
        <is>
          <t>10 EVIDENCE &amp; DECISIONS</t>
        </is>
      </c>
      <c r="G67" s="41" t="n"/>
    </row>
    <row r="68" ht="79" customHeight="1">
      <c r="A68" s="34" t="inlineStr">
        <is>
          <t>R1119-v1</t>
        </is>
      </c>
      <c r="B68" s="34" t="inlineStr">
        <is>
          <t>CST-01-037</t>
        </is>
      </c>
      <c r="C68" s="34" t="inlineStr">
        <is>
          <t>New</t>
        </is>
      </c>
      <c r="D68" s="34" t="inlineStr">
        <is>
          <t>Record first supplied in this revision</t>
        </is>
      </c>
      <c r="E68" s="39" t="inlineStr"/>
      <c r="F68" s="100" t="inlineStr">
        <is>
          <t>10 EVIDENCE &amp; DECISIONS</t>
        </is>
      </c>
      <c r="G68" s="41" t="n"/>
    </row>
    <row r="69" ht="79" customHeight="1">
      <c r="A69" s="34" t="inlineStr">
        <is>
          <t>R1120-v1</t>
        </is>
      </c>
      <c r="B69" s="34" t="inlineStr">
        <is>
          <t>CST-01-038</t>
        </is>
      </c>
      <c r="C69" s="34" t="inlineStr">
        <is>
          <t>New</t>
        </is>
      </c>
      <c r="D69" s="34" t="inlineStr">
        <is>
          <t>Record first supplied in this revision</t>
        </is>
      </c>
      <c r="E69" s="39" t="inlineStr"/>
      <c r="F69" s="100" t="inlineStr">
        <is>
          <t>10 EVIDENCE &amp; DECISIONS</t>
        </is>
      </c>
      <c r="G69" s="41" t="n"/>
    </row>
    <row r="70" ht="79" customHeight="1">
      <c r="A70" s="34" t="inlineStr">
        <is>
          <t>R1121-v1</t>
        </is>
      </c>
      <c r="B70" s="34" t="inlineStr">
        <is>
          <t>CST-01-039</t>
        </is>
      </c>
      <c r="C70" s="34" t="inlineStr">
        <is>
          <t>New</t>
        </is>
      </c>
      <c r="D70" s="34" t="inlineStr">
        <is>
          <t>Record first supplied in this revision</t>
        </is>
      </c>
      <c r="E70" s="39" t="inlineStr"/>
      <c r="F70" s="100" t="inlineStr">
        <is>
          <t>10 EVIDENCE &amp; DECISIONS</t>
        </is>
      </c>
      <c r="G70" s="41" t="n"/>
    </row>
    <row r="71" ht="79" customHeight="1">
      <c r="A71" s="34" t="inlineStr">
        <is>
          <t>R1122-v1</t>
        </is>
      </c>
      <c r="B71" s="34" t="inlineStr">
        <is>
          <t>CST-01-040</t>
        </is>
      </c>
      <c r="C71" s="34" t="inlineStr">
        <is>
          <t>New</t>
        </is>
      </c>
      <c r="D71" s="34" t="inlineStr">
        <is>
          <t>Record first supplied in this revision</t>
        </is>
      </c>
      <c r="E71" s="39" t="inlineStr"/>
      <c r="F71" s="100" t="inlineStr">
        <is>
          <t>10 EVIDENCE &amp; DECISIONS</t>
        </is>
      </c>
      <c r="G71" s="41" t="n"/>
    </row>
    <row r="72" ht="79" customHeight="1">
      <c r="A72" s="34" t="inlineStr">
        <is>
          <t>R1123-v1</t>
        </is>
      </c>
      <c r="B72" s="34" t="inlineStr">
        <is>
          <t>CST-01-041</t>
        </is>
      </c>
      <c r="C72" s="34" t="inlineStr">
        <is>
          <t>New</t>
        </is>
      </c>
      <c r="D72" s="34" t="inlineStr">
        <is>
          <t>Record first supplied in this revision</t>
        </is>
      </c>
      <c r="E72" s="39" t="inlineStr"/>
      <c r="F72" s="100" t="inlineStr">
        <is>
          <t>10 EVIDENCE &amp; DECISIONS</t>
        </is>
      </c>
      <c r="G72" s="41" t="n"/>
    </row>
    <row r="73" ht="79" customHeight="1">
      <c r="A73" s="34" t="inlineStr">
        <is>
          <t>R1124-v1</t>
        </is>
      </c>
      <c r="B73" s="34" t="inlineStr">
        <is>
          <t>CST-01-042</t>
        </is>
      </c>
      <c r="C73" s="34" t="inlineStr">
        <is>
          <t>New</t>
        </is>
      </c>
      <c r="D73" s="34" t="inlineStr">
        <is>
          <t>Record first supplied in this revision</t>
        </is>
      </c>
      <c r="E73" s="39" t="inlineStr"/>
      <c r="F73" s="100" t="inlineStr">
        <is>
          <t>10 EVIDENCE &amp; DECISIONS</t>
        </is>
      </c>
      <c r="G73" s="41" t="n"/>
    </row>
    <row r="74" ht="79" customHeight="1">
      <c r="A74" s="34" t="inlineStr">
        <is>
          <t>R1125-v1</t>
        </is>
      </c>
      <c r="B74" s="34" t="inlineStr">
        <is>
          <t>CST-01-043</t>
        </is>
      </c>
      <c r="C74" s="34" t="inlineStr">
        <is>
          <t>New</t>
        </is>
      </c>
      <c r="D74" s="34" t="inlineStr">
        <is>
          <t>Record first supplied in this revision</t>
        </is>
      </c>
      <c r="E74" s="39" t="inlineStr"/>
      <c r="F74" s="100" t="inlineStr">
        <is>
          <t>10 EVIDENCE &amp; DECISIONS</t>
        </is>
      </c>
      <c r="G74" s="41" t="n"/>
    </row>
    <row r="75" ht="79" customHeight="1">
      <c r="A75" s="34" t="inlineStr">
        <is>
          <t>R1126-v1</t>
        </is>
      </c>
      <c r="B75" s="34" t="inlineStr">
        <is>
          <t>CST-01-044</t>
        </is>
      </c>
      <c r="C75" s="34" t="inlineStr">
        <is>
          <t>New</t>
        </is>
      </c>
      <c r="D75" s="34" t="inlineStr">
        <is>
          <t>Record first supplied in this revision</t>
        </is>
      </c>
      <c r="E75" s="39" t="inlineStr"/>
      <c r="F75" s="100" t="inlineStr">
        <is>
          <t>10 EVIDENCE &amp; DECISIONS</t>
        </is>
      </c>
      <c r="G75" s="41" t="n"/>
    </row>
    <row r="76" ht="79" customHeight="1">
      <c r="A76" s="34" t="inlineStr">
        <is>
          <t>R1127-v1</t>
        </is>
      </c>
      <c r="B76" s="34" t="inlineStr">
        <is>
          <t>CST-01-045</t>
        </is>
      </c>
      <c r="C76" s="34" t="inlineStr">
        <is>
          <t>New</t>
        </is>
      </c>
      <c r="D76" s="34" t="inlineStr">
        <is>
          <t>Record first supplied in this revision</t>
        </is>
      </c>
      <c r="E76" s="39" t="inlineStr"/>
      <c r="F76" s="100" t="inlineStr">
        <is>
          <t>10 EVIDENCE &amp; DECISIONS</t>
        </is>
      </c>
      <c r="G76" s="41" t="n"/>
    </row>
    <row r="77" ht="79" customHeight="1">
      <c r="A77" s="34" t="inlineStr">
        <is>
          <t>R1128-v1</t>
        </is>
      </c>
      <c r="B77" s="34" t="inlineStr">
        <is>
          <t>CST-01-046</t>
        </is>
      </c>
      <c r="C77" s="34" t="inlineStr">
        <is>
          <t>New</t>
        </is>
      </c>
      <c r="D77" s="34" t="inlineStr">
        <is>
          <t>Record first supplied in this revision</t>
        </is>
      </c>
      <c r="E77" s="39" t="inlineStr"/>
      <c r="F77" s="100" t="inlineStr">
        <is>
          <t>10 EVIDENCE &amp; DECISIONS</t>
        </is>
      </c>
      <c r="G77" s="41" t="n"/>
    </row>
    <row r="78" ht="79" customHeight="1">
      <c r="A78" s="34" t="inlineStr">
        <is>
          <t>R1129-v1</t>
        </is>
      </c>
      <c r="B78" s="34" t="inlineStr">
        <is>
          <t>CST-01-047</t>
        </is>
      </c>
      <c r="C78" s="34" t="inlineStr">
        <is>
          <t>New</t>
        </is>
      </c>
      <c r="D78" s="34" t="inlineStr">
        <is>
          <t>Record first supplied in this revision</t>
        </is>
      </c>
      <c r="E78" s="39" t="inlineStr"/>
      <c r="F78" s="100" t="inlineStr">
        <is>
          <t>10 EVIDENCE &amp; DECISIONS</t>
        </is>
      </c>
      <c r="G78" s="41" t="n"/>
    </row>
    <row r="79" ht="79" customHeight="1">
      <c r="A79" s="34" t="inlineStr">
        <is>
          <t>R1130-v1</t>
        </is>
      </c>
      <c r="B79" s="34" t="inlineStr">
        <is>
          <t>CST-01-048</t>
        </is>
      </c>
      <c r="C79" s="34" t="inlineStr">
        <is>
          <t>New</t>
        </is>
      </c>
      <c r="D79" s="34" t="inlineStr">
        <is>
          <t>Record first supplied in this revision</t>
        </is>
      </c>
      <c r="E79" s="39" t="inlineStr"/>
      <c r="F79" s="100" t="inlineStr">
        <is>
          <t>10 EVIDENCE &amp; DECISIONS</t>
        </is>
      </c>
      <c r="G79" s="41" t="n"/>
    </row>
    <row r="80" ht="79" customHeight="1">
      <c r="A80" s="34" t="inlineStr">
        <is>
          <t>R1131-v1</t>
        </is>
      </c>
      <c r="B80" s="34" t="inlineStr">
        <is>
          <t>CST-01-049</t>
        </is>
      </c>
      <c r="C80" s="34" t="inlineStr">
        <is>
          <t>New</t>
        </is>
      </c>
      <c r="D80" s="34" t="inlineStr">
        <is>
          <t>Record first supplied in this revision</t>
        </is>
      </c>
      <c r="E80" s="39" t="inlineStr"/>
      <c r="F80" s="100" t="inlineStr">
        <is>
          <t>10 EVIDENCE &amp; DECISIONS</t>
        </is>
      </c>
      <c r="G80" s="41" t="n"/>
    </row>
    <row r="81" ht="79" customHeight="1">
      <c r="A81" s="34" t="inlineStr">
        <is>
          <t>R1132-v1</t>
        </is>
      </c>
      <c r="B81" s="34" t="inlineStr">
        <is>
          <t>CST-01-050</t>
        </is>
      </c>
      <c r="C81" s="34" t="inlineStr">
        <is>
          <t>New</t>
        </is>
      </c>
      <c r="D81" s="34" t="inlineStr">
        <is>
          <t>Record first supplied in this revision</t>
        </is>
      </c>
      <c r="E81" s="39" t="inlineStr"/>
      <c r="F81" s="100" t="inlineStr">
        <is>
          <t>10 EVIDENCE &amp; DECISIONS</t>
        </is>
      </c>
      <c r="G81" s="41" t="n"/>
    </row>
    <row r="82" ht="79" customHeight="1">
      <c r="A82" s="34" t="inlineStr">
        <is>
          <t>R1133-v1</t>
        </is>
      </c>
      <c r="B82" s="34" t="inlineStr">
        <is>
          <t>CST-01-051</t>
        </is>
      </c>
      <c r="C82" s="34" t="inlineStr">
        <is>
          <t>New</t>
        </is>
      </c>
      <c r="D82" s="34" t="inlineStr">
        <is>
          <t>Record first supplied in this revision</t>
        </is>
      </c>
      <c r="E82" s="39" t="inlineStr"/>
      <c r="F82" s="100" t="inlineStr">
        <is>
          <t>10 EVIDENCE &amp; DECISIONS</t>
        </is>
      </c>
      <c r="G82" s="41" t="n"/>
    </row>
    <row r="83" ht="79" customHeight="1">
      <c r="A83" s="34" t="inlineStr">
        <is>
          <t>R1134-v1</t>
        </is>
      </c>
      <c r="B83" s="34" t="inlineStr">
        <is>
          <t>CST-01-052</t>
        </is>
      </c>
      <c r="C83" s="34" t="inlineStr">
        <is>
          <t>New</t>
        </is>
      </c>
      <c r="D83" s="34" t="inlineStr">
        <is>
          <t>Record first supplied in this revision</t>
        </is>
      </c>
      <c r="E83" s="39" t="inlineStr"/>
      <c r="F83" s="100" t="inlineStr">
        <is>
          <t>10 EVIDENCE &amp; DECISIONS</t>
        </is>
      </c>
      <c r="G83" s="41" t="n"/>
    </row>
    <row r="84" ht="79" customHeight="1">
      <c r="A84" s="34" t="inlineStr">
        <is>
          <t>R1135-v1</t>
        </is>
      </c>
      <c r="B84" s="34" t="inlineStr">
        <is>
          <t>CST-01-053</t>
        </is>
      </c>
      <c r="C84" s="34" t="inlineStr">
        <is>
          <t>New</t>
        </is>
      </c>
      <c r="D84" s="34" t="inlineStr">
        <is>
          <t>Record first supplied in this revision</t>
        </is>
      </c>
      <c r="E84" s="39" t="inlineStr"/>
      <c r="F84" s="100" t="inlineStr">
        <is>
          <t>10 EVIDENCE &amp; DECISIONS</t>
        </is>
      </c>
      <c r="G84" s="41" t="n"/>
    </row>
    <row r="85" ht="79" customHeight="1">
      <c r="A85" s="34" t="inlineStr">
        <is>
          <t>R1136-v1</t>
        </is>
      </c>
      <c r="B85" s="34" t="inlineStr">
        <is>
          <t>CST-01-054</t>
        </is>
      </c>
      <c r="C85" s="34" t="inlineStr">
        <is>
          <t>New</t>
        </is>
      </c>
      <c r="D85" s="34" t="inlineStr">
        <is>
          <t>Record first supplied in this revision</t>
        </is>
      </c>
      <c r="E85" s="39" t="inlineStr"/>
      <c r="F85" s="100" t="inlineStr">
        <is>
          <t>10 EVIDENCE &amp; DECISIONS</t>
        </is>
      </c>
      <c r="G85" s="41" t="n"/>
    </row>
    <row r="86" ht="79" customHeight="1">
      <c r="A86" s="34" t="inlineStr">
        <is>
          <t>R1137-v1</t>
        </is>
      </c>
      <c r="B86" s="34" t="inlineStr">
        <is>
          <t>CST-01-055</t>
        </is>
      </c>
      <c r="C86" s="34" t="inlineStr">
        <is>
          <t>New</t>
        </is>
      </c>
      <c r="D86" s="34" t="inlineStr">
        <is>
          <t>Record first supplied in this revision</t>
        </is>
      </c>
      <c r="E86" s="39" t="inlineStr"/>
      <c r="F86" s="100" t="inlineStr">
        <is>
          <t>10 EVIDENCE &amp; DECISIONS</t>
        </is>
      </c>
      <c r="G86" s="41" t="n"/>
    </row>
    <row r="87" ht="79" customHeight="1">
      <c r="A87" s="34" t="inlineStr">
        <is>
          <t>R1138-v1</t>
        </is>
      </c>
      <c r="B87" s="34" t="inlineStr">
        <is>
          <t>CST-01-056</t>
        </is>
      </c>
      <c r="C87" s="34" t="inlineStr">
        <is>
          <t>New</t>
        </is>
      </c>
      <c r="D87" s="34" t="inlineStr">
        <is>
          <t>Record first supplied in this revision</t>
        </is>
      </c>
      <c r="E87" s="39" t="inlineStr"/>
      <c r="F87" s="100" t="inlineStr">
        <is>
          <t>10 EVIDENCE &amp; DECISIONS</t>
        </is>
      </c>
      <c r="G87" s="41" t="n"/>
    </row>
    <row r="88" ht="79" customHeight="1">
      <c r="A88" s="34" t="inlineStr">
        <is>
          <t>R1139-v1</t>
        </is>
      </c>
      <c r="B88" s="34" t="inlineStr">
        <is>
          <t>CST-01-057</t>
        </is>
      </c>
      <c r="C88" s="34" t="inlineStr">
        <is>
          <t>New</t>
        </is>
      </c>
      <c r="D88" s="34" t="inlineStr">
        <is>
          <t>Record first supplied in this revision</t>
        </is>
      </c>
      <c r="E88" s="39" t="inlineStr"/>
      <c r="F88" s="100" t="inlineStr">
        <is>
          <t>10 EVIDENCE &amp; DECISIONS</t>
        </is>
      </c>
      <c r="G88" s="41" t="n"/>
    </row>
    <row r="89" ht="79" customHeight="1">
      <c r="A89" s="34" t="inlineStr">
        <is>
          <t>R1140-v1</t>
        </is>
      </c>
      <c r="B89" s="34" t="inlineStr">
        <is>
          <t>CST-01-058</t>
        </is>
      </c>
      <c r="C89" s="34" t="inlineStr">
        <is>
          <t>New</t>
        </is>
      </c>
      <c r="D89" s="34" t="inlineStr">
        <is>
          <t>Record first supplied in this revision</t>
        </is>
      </c>
      <c r="E89" s="39" t="inlineStr"/>
      <c r="F89" s="100" t="inlineStr">
        <is>
          <t>10 EVIDENCE &amp; DECISIONS</t>
        </is>
      </c>
      <c r="G89" s="41" t="n"/>
    </row>
    <row r="90" ht="79" customHeight="1">
      <c r="A90" s="34" t="inlineStr">
        <is>
          <t>R1141-v1</t>
        </is>
      </c>
      <c r="B90" s="34" t="inlineStr">
        <is>
          <t>CST-01-059</t>
        </is>
      </c>
      <c r="C90" s="34" t="inlineStr">
        <is>
          <t>New</t>
        </is>
      </c>
      <c r="D90" s="34" t="inlineStr">
        <is>
          <t>Record first supplied in this revision</t>
        </is>
      </c>
      <c r="E90" s="39" t="inlineStr"/>
      <c r="F90" s="100" t="inlineStr">
        <is>
          <t>10 EVIDENCE &amp; DECISIONS</t>
        </is>
      </c>
      <c r="G90" s="41" t="n"/>
    </row>
    <row r="91" ht="79" customHeight="1">
      <c r="A91" s="34" t="inlineStr">
        <is>
          <t>R1142-v1</t>
        </is>
      </c>
      <c r="B91" s="34" t="inlineStr">
        <is>
          <t>CST-01-060</t>
        </is>
      </c>
      <c r="C91" s="34" t="inlineStr">
        <is>
          <t>New</t>
        </is>
      </c>
      <c r="D91" s="34" t="inlineStr">
        <is>
          <t>Record first supplied in this revision</t>
        </is>
      </c>
      <c r="E91" s="39" t="inlineStr"/>
      <c r="F91" s="100" t="inlineStr">
        <is>
          <t>10 EVIDENCE &amp; DECISIONS</t>
        </is>
      </c>
      <c r="G91" s="41" t="n"/>
    </row>
    <row r="92" ht="79" customHeight="1">
      <c r="A92" s="34" t="inlineStr">
        <is>
          <t>R1143-v1</t>
        </is>
      </c>
      <c r="B92" s="34" t="inlineStr">
        <is>
          <t>CST-01-061</t>
        </is>
      </c>
      <c r="C92" s="34" t="inlineStr">
        <is>
          <t>New</t>
        </is>
      </c>
      <c r="D92" s="34" t="inlineStr">
        <is>
          <t>Record first supplied in this revision</t>
        </is>
      </c>
      <c r="E92" s="39" t="inlineStr"/>
      <c r="F92" s="100" t="inlineStr">
        <is>
          <t>10 EVIDENCE &amp; DECISIONS</t>
        </is>
      </c>
      <c r="G92" s="41" t="n"/>
    </row>
    <row r="93" ht="79" customHeight="1">
      <c r="A93" s="34" t="inlineStr">
        <is>
          <t>R1144-v1</t>
        </is>
      </c>
      <c r="B93" s="34" t="inlineStr">
        <is>
          <t>CST-01-062</t>
        </is>
      </c>
      <c r="C93" s="34" t="inlineStr">
        <is>
          <t>New</t>
        </is>
      </c>
      <c r="D93" s="34" t="inlineStr">
        <is>
          <t>Record first supplied in this revision</t>
        </is>
      </c>
      <c r="E93" s="39" t="inlineStr"/>
      <c r="F93" s="100" t="inlineStr">
        <is>
          <t>10 EVIDENCE &amp; DECISIONS</t>
        </is>
      </c>
      <c r="G93" s="41" t="n"/>
    </row>
    <row r="94" ht="79" customHeight="1">
      <c r="A94" s="34" t="inlineStr">
        <is>
          <t>R1145-v1</t>
        </is>
      </c>
      <c r="B94" s="34" t="inlineStr">
        <is>
          <t>CST-01-063</t>
        </is>
      </c>
      <c r="C94" s="34" t="inlineStr">
        <is>
          <t>New</t>
        </is>
      </c>
      <c r="D94" s="34" t="inlineStr">
        <is>
          <t>Record first supplied in this revision</t>
        </is>
      </c>
      <c r="E94" s="39" t="inlineStr"/>
      <c r="F94" s="100" t="inlineStr">
        <is>
          <t>10 EVIDENCE &amp; DECISIONS</t>
        </is>
      </c>
      <c r="G94" s="41" t="n"/>
    </row>
    <row r="95" ht="79" customHeight="1">
      <c r="A95" s="34" t="inlineStr">
        <is>
          <t>R1146-v1</t>
        </is>
      </c>
      <c r="B95" s="34" t="inlineStr">
        <is>
          <t>CST-01-064</t>
        </is>
      </c>
      <c r="C95" s="34" t="inlineStr">
        <is>
          <t>New</t>
        </is>
      </c>
      <c r="D95" s="34" t="inlineStr">
        <is>
          <t>Record first supplied in this revision</t>
        </is>
      </c>
      <c r="E95" s="39" t="inlineStr"/>
      <c r="F95" s="100" t="inlineStr">
        <is>
          <t>10 EVIDENCE &amp; DECISIONS</t>
        </is>
      </c>
      <c r="G95" s="41" t="n"/>
    </row>
    <row r="96" ht="79" customHeight="1">
      <c r="A96" s="34" t="inlineStr">
        <is>
          <t>R1147-v1</t>
        </is>
      </c>
      <c r="B96" s="34" t="inlineStr">
        <is>
          <t>CST-01-065</t>
        </is>
      </c>
      <c r="C96" s="34" t="inlineStr">
        <is>
          <t>New</t>
        </is>
      </c>
      <c r="D96" s="34" t="inlineStr">
        <is>
          <t>Record first supplied in this revision</t>
        </is>
      </c>
      <c r="E96" s="39" t="inlineStr"/>
      <c r="F96" s="100" t="inlineStr">
        <is>
          <t>10 EVIDENCE &amp; DECISIONS</t>
        </is>
      </c>
      <c r="G96" s="41" t="n"/>
    </row>
    <row r="97" ht="79" customHeight="1">
      <c r="A97" s="34" t="inlineStr">
        <is>
          <t>R1148-v1</t>
        </is>
      </c>
      <c r="B97" s="34" t="inlineStr">
        <is>
          <t>CST-01-066</t>
        </is>
      </c>
      <c r="C97" s="34" t="inlineStr">
        <is>
          <t>New</t>
        </is>
      </c>
      <c r="D97" s="34" t="inlineStr">
        <is>
          <t>Record first supplied in this revision</t>
        </is>
      </c>
      <c r="E97" s="39" t="inlineStr"/>
      <c r="F97" s="100" t="inlineStr">
        <is>
          <t>10 EVIDENCE &amp; DECISIONS</t>
        </is>
      </c>
      <c r="G97" s="41" t="n"/>
    </row>
    <row r="98" ht="79" customHeight="1">
      <c r="A98" s="34" t="inlineStr">
        <is>
          <t>R1149-v1</t>
        </is>
      </c>
      <c r="B98" s="34" t="inlineStr">
        <is>
          <t>CST-01-067</t>
        </is>
      </c>
      <c r="C98" s="34" t="inlineStr">
        <is>
          <t>New</t>
        </is>
      </c>
      <c r="D98" s="34" t="inlineStr">
        <is>
          <t>Record first supplied in this revision</t>
        </is>
      </c>
      <c r="E98" s="39" t="inlineStr"/>
      <c r="F98" s="100" t="inlineStr">
        <is>
          <t>10 EVIDENCE &amp; DECISIONS</t>
        </is>
      </c>
      <c r="G98" s="41" t="n"/>
    </row>
    <row r="99" ht="79" customHeight="1">
      <c r="A99" s="34" t="inlineStr">
        <is>
          <t>R1150-v1</t>
        </is>
      </c>
      <c r="B99" s="34" t="inlineStr">
        <is>
          <t>CST-01-068</t>
        </is>
      </c>
      <c r="C99" s="34" t="inlineStr">
        <is>
          <t>New</t>
        </is>
      </c>
      <c r="D99" s="34" t="inlineStr">
        <is>
          <t>Record first supplied in this revision</t>
        </is>
      </c>
      <c r="E99" s="39" t="inlineStr"/>
      <c r="F99" s="100" t="inlineStr">
        <is>
          <t>10 EVIDENCE &amp; DECISIONS</t>
        </is>
      </c>
      <c r="G99" s="41" t="n"/>
    </row>
    <row r="100" ht="79" customHeight="1">
      <c r="A100" s="34" t="inlineStr">
        <is>
          <t>R1151-v1</t>
        </is>
      </c>
      <c r="B100" s="34" t="inlineStr">
        <is>
          <t>CST-01-069</t>
        </is>
      </c>
      <c r="C100" s="34" t="inlineStr">
        <is>
          <t>New</t>
        </is>
      </c>
      <c r="D100" s="34" t="inlineStr">
        <is>
          <t>Record first supplied in this revision</t>
        </is>
      </c>
      <c r="E100" s="39" t="inlineStr"/>
      <c r="F100" s="100" t="inlineStr">
        <is>
          <t>10 EVIDENCE &amp; DECISIONS</t>
        </is>
      </c>
      <c r="G100" s="41" t="n"/>
    </row>
    <row r="101" ht="79" customHeight="1">
      <c r="A101" s="34" t="inlineStr">
        <is>
          <t>R1152-v1</t>
        </is>
      </c>
      <c r="B101" s="34" t="inlineStr">
        <is>
          <t>CST-01-070</t>
        </is>
      </c>
      <c r="C101" s="34" t="inlineStr">
        <is>
          <t>New</t>
        </is>
      </c>
      <c r="D101" s="34" t="inlineStr">
        <is>
          <t>Record first supplied in this revision</t>
        </is>
      </c>
      <c r="E101" s="39" t="inlineStr"/>
      <c r="F101" s="100" t="inlineStr">
        <is>
          <t>10 EVIDENCE &amp; DECISIONS</t>
        </is>
      </c>
      <c r="G101" s="41" t="n"/>
    </row>
    <row r="102" ht="79" customHeight="1">
      <c r="A102" s="34" t="inlineStr">
        <is>
          <t>R1153-v1</t>
        </is>
      </c>
      <c r="B102" s="34" t="inlineStr">
        <is>
          <t>CST-01-071</t>
        </is>
      </c>
      <c r="C102" s="34" t="inlineStr">
        <is>
          <t>New</t>
        </is>
      </c>
      <c r="D102" s="34" t="inlineStr">
        <is>
          <t>Record first supplied in this revision</t>
        </is>
      </c>
      <c r="E102" s="39" t="inlineStr"/>
      <c r="F102" s="100" t="inlineStr">
        <is>
          <t>10 EVIDENCE &amp; DECISIONS</t>
        </is>
      </c>
      <c r="G102" s="41" t="n"/>
    </row>
    <row r="103" ht="79" customHeight="1">
      <c r="A103" s="34" t="inlineStr">
        <is>
          <t>R1154-v1</t>
        </is>
      </c>
      <c r="B103" s="34" t="inlineStr">
        <is>
          <t>CST-01-072</t>
        </is>
      </c>
      <c r="C103" s="34" t="inlineStr">
        <is>
          <t>New</t>
        </is>
      </c>
      <c r="D103" s="34" t="inlineStr">
        <is>
          <t>Record first supplied in this revision</t>
        </is>
      </c>
      <c r="E103" s="39" t="inlineStr"/>
      <c r="F103" s="100" t="inlineStr">
        <is>
          <t>10 EVIDENCE &amp; DECISIONS</t>
        </is>
      </c>
      <c r="G103" s="41" t="n"/>
    </row>
    <row r="104" ht="79" customHeight="1">
      <c r="A104" s="34" t="inlineStr">
        <is>
          <t>R1155-v1</t>
        </is>
      </c>
      <c r="B104" s="34" t="inlineStr">
        <is>
          <t>CST-01-073</t>
        </is>
      </c>
      <c r="C104" s="34" t="inlineStr">
        <is>
          <t>New</t>
        </is>
      </c>
      <c r="D104" s="34" t="inlineStr">
        <is>
          <t>Record first supplied in this revision</t>
        </is>
      </c>
      <c r="E104" s="39" t="inlineStr"/>
      <c r="F104" s="100" t="inlineStr">
        <is>
          <t>10 EVIDENCE &amp; DECISIONS</t>
        </is>
      </c>
      <c r="G104" s="41" t="n"/>
    </row>
    <row r="105" ht="79" customHeight="1">
      <c r="A105" s="34" t="inlineStr">
        <is>
          <t>R1156-v1</t>
        </is>
      </c>
      <c r="B105" s="34" t="inlineStr">
        <is>
          <t>CST-01-074</t>
        </is>
      </c>
      <c r="C105" s="34" t="inlineStr">
        <is>
          <t>New</t>
        </is>
      </c>
      <c r="D105" s="34" t="inlineStr">
        <is>
          <t>Record first supplied in this revision</t>
        </is>
      </c>
      <c r="E105" s="39" t="inlineStr"/>
      <c r="F105" s="100" t="inlineStr">
        <is>
          <t>10 EVIDENCE &amp; DECISIONS</t>
        </is>
      </c>
      <c r="G105" s="41" t="n"/>
    </row>
    <row r="106" ht="79" customHeight="1">
      <c r="A106" s="34" t="inlineStr">
        <is>
          <t>R1157-v1</t>
        </is>
      </c>
      <c r="B106" s="34" t="inlineStr">
        <is>
          <t>CST-01-075</t>
        </is>
      </c>
      <c r="C106" s="34" t="inlineStr">
        <is>
          <t>New</t>
        </is>
      </c>
      <c r="D106" s="34" t="inlineStr">
        <is>
          <t>Record first supplied in this revision</t>
        </is>
      </c>
      <c r="E106" s="39" t="inlineStr"/>
      <c r="F106" s="100" t="inlineStr">
        <is>
          <t>10 EVIDENCE &amp; DECISIONS</t>
        </is>
      </c>
      <c r="G106" s="41" t="n"/>
    </row>
    <row r="107" ht="79" customHeight="1">
      <c r="A107" s="34" t="inlineStr">
        <is>
          <t>R1158-v1</t>
        </is>
      </c>
      <c r="B107" s="34" t="inlineStr">
        <is>
          <t>CST-01-076</t>
        </is>
      </c>
      <c r="C107" s="34" t="inlineStr">
        <is>
          <t>New</t>
        </is>
      </c>
      <c r="D107" s="34" t="inlineStr">
        <is>
          <t>Record first supplied in this revision</t>
        </is>
      </c>
      <c r="E107" s="39" t="inlineStr"/>
      <c r="F107" s="100" t="inlineStr">
        <is>
          <t>10 EVIDENCE &amp; DECISIONS</t>
        </is>
      </c>
      <c r="G107" s="41" t="n"/>
    </row>
    <row r="108" ht="79" customHeight="1">
      <c r="A108" s="34" t="inlineStr">
        <is>
          <t>R1159-v1</t>
        </is>
      </c>
      <c r="B108" s="34" t="inlineStr">
        <is>
          <t>CST-01-077</t>
        </is>
      </c>
      <c r="C108" s="34" t="inlineStr">
        <is>
          <t>New</t>
        </is>
      </c>
      <c r="D108" s="34" t="inlineStr">
        <is>
          <t>Record first supplied in this revision</t>
        </is>
      </c>
      <c r="E108" s="39" t="inlineStr"/>
      <c r="F108" s="100" t="inlineStr">
        <is>
          <t>10 EVIDENCE &amp; DECISIONS</t>
        </is>
      </c>
      <c r="G108" s="41" t="n"/>
    </row>
    <row r="109" ht="79" customHeight="1">
      <c r="A109" s="34" t="inlineStr">
        <is>
          <t>R1160-v1</t>
        </is>
      </c>
      <c r="B109" s="34" t="inlineStr">
        <is>
          <t>CST-01-078</t>
        </is>
      </c>
      <c r="C109" s="34" t="inlineStr">
        <is>
          <t>New</t>
        </is>
      </c>
      <c r="D109" s="34" t="inlineStr">
        <is>
          <t>Record first supplied in this revision</t>
        </is>
      </c>
      <c r="E109" s="39" t="inlineStr"/>
      <c r="F109" s="100" t="inlineStr">
        <is>
          <t>10 EVIDENCE &amp; DECISIONS</t>
        </is>
      </c>
      <c r="G109" s="41" t="n"/>
    </row>
    <row r="110" ht="79" customHeight="1">
      <c r="A110" s="34" t="inlineStr">
        <is>
          <t>R1161-v1</t>
        </is>
      </c>
      <c r="B110" s="34" t="inlineStr">
        <is>
          <t>CST-01-079</t>
        </is>
      </c>
      <c r="C110" s="34" t="inlineStr">
        <is>
          <t>New</t>
        </is>
      </c>
      <c r="D110" s="34" t="inlineStr">
        <is>
          <t>Record first supplied in this revision</t>
        </is>
      </c>
      <c r="E110" s="39" t="inlineStr"/>
      <c r="F110" s="100" t="inlineStr">
        <is>
          <t>10 EVIDENCE &amp; DECISIONS</t>
        </is>
      </c>
      <c r="G110" s="41" t="n"/>
    </row>
    <row r="111" ht="79" customHeight="1">
      <c r="A111" s="34" t="inlineStr">
        <is>
          <t>R1162-v1</t>
        </is>
      </c>
      <c r="B111" s="34" t="inlineStr">
        <is>
          <t>CST-01-080</t>
        </is>
      </c>
      <c r="C111" s="34" t="inlineStr">
        <is>
          <t>New</t>
        </is>
      </c>
      <c r="D111" s="34" t="inlineStr">
        <is>
          <t>Record first supplied in this revision</t>
        </is>
      </c>
      <c r="E111" s="39" t="inlineStr"/>
      <c r="F111" s="100" t="inlineStr">
        <is>
          <t>10 EVIDENCE &amp; DECISIONS</t>
        </is>
      </c>
      <c r="G111" s="41" t="n"/>
    </row>
    <row r="112" ht="79" customHeight="1">
      <c r="A112" s="34" t="inlineStr">
        <is>
          <t>R1163-v1</t>
        </is>
      </c>
      <c r="B112" s="34" t="inlineStr">
        <is>
          <t>CST-02-001</t>
        </is>
      </c>
      <c r="C112" s="34" t="inlineStr">
        <is>
          <t>New</t>
        </is>
      </c>
      <c r="D112" s="34" t="inlineStr">
        <is>
          <t>Record first supplied in this revision</t>
        </is>
      </c>
      <c r="E112" s="39" t="inlineStr"/>
      <c r="F112" s="100" t="inlineStr">
        <is>
          <t>10 EVIDENCE &amp; DECISIONS</t>
        </is>
      </c>
      <c r="G112" s="41" t="n"/>
    </row>
    <row r="113" ht="79" customHeight="1">
      <c r="A113" s="34" t="inlineStr">
        <is>
          <t>R1164-v1</t>
        </is>
      </c>
      <c r="B113" s="34" t="inlineStr">
        <is>
          <t>CST-02-002</t>
        </is>
      </c>
      <c r="C113" s="34" t="inlineStr">
        <is>
          <t>New</t>
        </is>
      </c>
      <c r="D113" s="34" t="inlineStr">
        <is>
          <t>Record first supplied in this revision</t>
        </is>
      </c>
      <c r="E113" s="39" t="inlineStr"/>
      <c r="F113" s="100" t="inlineStr">
        <is>
          <t>10 EVIDENCE &amp; DECISIONS</t>
        </is>
      </c>
      <c r="G113" s="41" t="n"/>
    </row>
    <row r="114" ht="79" customHeight="1">
      <c r="A114" s="34" t="inlineStr">
        <is>
          <t>R1165-v1</t>
        </is>
      </c>
      <c r="B114" s="34" t="inlineStr">
        <is>
          <t>CST-02-003</t>
        </is>
      </c>
      <c r="C114" s="34" t="inlineStr">
        <is>
          <t>New</t>
        </is>
      </c>
      <c r="D114" s="34" t="inlineStr">
        <is>
          <t>Record first supplied in this revision</t>
        </is>
      </c>
      <c r="E114" s="39" t="inlineStr"/>
      <c r="F114" s="100" t="inlineStr">
        <is>
          <t>10 EVIDENCE &amp; DECISIONS</t>
        </is>
      </c>
      <c r="G114" s="41" t="n"/>
    </row>
    <row r="115" ht="79" customHeight="1">
      <c r="A115" s="34" t="inlineStr">
        <is>
          <t>R1166-v1</t>
        </is>
      </c>
      <c r="B115" s="34" t="inlineStr">
        <is>
          <t>CST-02-004</t>
        </is>
      </c>
      <c r="C115" s="34" t="inlineStr">
        <is>
          <t>New</t>
        </is>
      </c>
      <c r="D115" s="34" t="inlineStr">
        <is>
          <t>Record first supplied in this revision</t>
        </is>
      </c>
      <c r="E115" s="39" t="inlineStr"/>
      <c r="F115" s="100" t="inlineStr">
        <is>
          <t>10 EVIDENCE &amp; DECISIONS</t>
        </is>
      </c>
      <c r="G115" s="41" t="n"/>
    </row>
    <row r="116" ht="79" customHeight="1">
      <c r="A116" s="34" t="inlineStr">
        <is>
          <t>R1167-v1</t>
        </is>
      </c>
      <c r="B116" s="34" t="inlineStr">
        <is>
          <t>CST-02-005</t>
        </is>
      </c>
      <c r="C116" s="34" t="inlineStr">
        <is>
          <t>New</t>
        </is>
      </c>
      <c r="D116" s="34" t="inlineStr">
        <is>
          <t>Record first supplied in this revision</t>
        </is>
      </c>
      <c r="E116" s="39" t="inlineStr"/>
      <c r="F116" s="100" t="inlineStr">
        <is>
          <t>10 EVIDENCE &amp; DECISIONS</t>
        </is>
      </c>
      <c r="G116" s="41" t="n"/>
    </row>
    <row r="117" ht="79" customHeight="1">
      <c r="A117" s="34" t="inlineStr">
        <is>
          <t>R1168-v1</t>
        </is>
      </c>
      <c r="B117" s="34" t="inlineStr">
        <is>
          <t>CST-02-006</t>
        </is>
      </c>
      <c r="C117" s="34" t="inlineStr">
        <is>
          <t>New</t>
        </is>
      </c>
      <c r="D117" s="34" t="inlineStr">
        <is>
          <t>Record first supplied in this revision</t>
        </is>
      </c>
      <c r="E117" s="39" t="inlineStr"/>
      <c r="F117" s="100" t="inlineStr">
        <is>
          <t>10 EVIDENCE &amp; DECISIONS</t>
        </is>
      </c>
      <c r="G117" s="41" t="n"/>
    </row>
    <row r="118" ht="79" customHeight="1">
      <c r="A118" s="34" t="inlineStr">
        <is>
          <t>R1169-v1</t>
        </is>
      </c>
      <c r="B118" s="34" t="inlineStr">
        <is>
          <t>CST-02-007</t>
        </is>
      </c>
      <c r="C118" s="34" t="inlineStr">
        <is>
          <t>New</t>
        </is>
      </c>
      <c r="D118" s="34" t="inlineStr">
        <is>
          <t>Record first supplied in this revision</t>
        </is>
      </c>
      <c r="E118" s="39" t="inlineStr"/>
      <c r="F118" s="100" t="inlineStr">
        <is>
          <t>10 EVIDENCE &amp; DECISIONS</t>
        </is>
      </c>
      <c r="G118" s="41" t="n"/>
    </row>
    <row r="119" ht="79" customHeight="1">
      <c r="A119" s="34" t="inlineStr">
        <is>
          <t>R1170-v1</t>
        </is>
      </c>
      <c r="B119" s="34" t="inlineStr">
        <is>
          <t>CST-02-008</t>
        </is>
      </c>
      <c r="C119" s="34" t="inlineStr">
        <is>
          <t>New</t>
        </is>
      </c>
      <c r="D119" s="34" t="inlineStr">
        <is>
          <t>Record first supplied in this revision</t>
        </is>
      </c>
      <c r="E119" s="39" t="inlineStr"/>
      <c r="F119" s="100" t="inlineStr">
        <is>
          <t>10 EVIDENCE &amp; DECISIONS</t>
        </is>
      </c>
      <c r="G119" s="41" t="n"/>
    </row>
    <row r="120" ht="79" customHeight="1">
      <c r="A120" s="34" t="inlineStr">
        <is>
          <t>R1171-v1</t>
        </is>
      </c>
      <c r="B120" s="34" t="inlineStr">
        <is>
          <t>CST-02-009</t>
        </is>
      </c>
      <c r="C120" s="34" t="inlineStr">
        <is>
          <t>New</t>
        </is>
      </c>
      <c r="D120" s="34" t="inlineStr">
        <is>
          <t>Record first supplied in this revision</t>
        </is>
      </c>
      <c r="E120" s="39" t="inlineStr"/>
      <c r="F120" s="100" t="inlineStr">
        <is>
          <t>10 EVIDENCE &amp; DECISIONS</t>
        </is>
      </c>
      <c r="G120" s="41" t="n"/>
    </row>
    <row r="121" ht="79" customHeight="1">
      <c r="A121" s="34" t="inlineStr">
        <is>
          <t>R1172-v1</t>
        </is>
      </c>
      <c r="B121" s="34" t="inlineStr">
        <is>
          <t>CST-02-010</t>
        </is>
      </c>
      <c r="C121" s="34" t="inlineStr">
        <is>
          <t>New</t>
        </is>
      </c>
      <c r="D121" s="34" t="inlineStr">
        <is>
          <t>Record first supplied in this revision</t>
        </is>
      </c>
      <c r="E121" s="39" t="inlineStr"/>
      <c r="F121" s="100" t="inlineStr">
        <is>
          <t>10 EVIDENCE &amp; DECISIONS</t>
        </is>
      </c>
      <c r="G121" s="41" t="n"/>
    </row>
    <row r="122" ht="79" customHeight="1">
      <c r="A122" s="34" t="inlineStr">
        <is>
          <t>R1173-v1</t>
        </is>
      </c>
      <c r="B122" s="34" t="inlineStr">
        <is>
          <t>CST-02-011</t>
        </is>
      </c>
      <c r="C122" s="34" t="inlineStr">
        <is>
          <t>New</t>
        </is>
      </c>
      <c r="D122" s="34" t="inlineStr">
        <is>
          <t>Record first supplied in this revision</t>
        </is>
      </c>
      <c r="E122" s="39" t="inlineStr"/>
      <c r="F122" s="100" t="inlineStr">
        <is>
          <t>10 EVIDENCE &amp; DECISIONS</t>
        </is>
      </c>
      <c r="G122" s="41" t="n"/>
    </row>
    <row r="123" ht="79" customHeight="1">
      <c r="A123" s="34" t="inlineStr">
        <is>
          <t>R1174-v1</t>
        </is>
      </c>
      <c r="B123" s="34" t="inlineStr">
        <is>
          <t>CST-02-012</t>
        </is>
      </c>
      <c r="C123" s="34" t="inlineStr">
        <is>
          <t>New</t>
        </is>
      </c>
      <c r="D123" s="34" t="inlineStr">
        <is>
          <t>Record first supplied in this revision</t>
        </is>
      </c>
      <c r="E123" s="39" t="inlineStr"/>
      <c r="F123" s="100" t="inlineStr">
        <is>
          <t>10 EVIDENCE &amp; DECISIONS</t>
        </is>
      </c>
      <c r="G123" s="41" t="n"/>
    </row>
    <row r="124" ht="79" customHeight="1">
      <c r="A124" s="34" t="inlineStr">
        <is>
          <t>R1175-v1</t>
        </is>
      </c>
      <c r="B124" s="34" t="inlineStr">
        <is>
          <t>CST-02-013</t>
        </is>
      </c>
      <c r="C124" s="34" t="inlineStr">
        <is>
          <t>New</t>
        </is>
      </c>
      <c r="D124" s="34" t="inlineStr">
        <is>
          <t>Record first supplied in this revision</t>
        </is>
      </c>
      <c r="E124" s="39" t="inlineStr"/>
      <c r="F124" s="100" t="inlineStr">
        <is>
          <t>10 EVIDENCE &amp; DECISIONS</t>
        </is>
      </c>
      <c r="G124" s="41" t="n"/>
    </row>
    <row r="125" ht="79" customHeight="1">
      <c r="A125" s="34" t="inlineStr">
        <is>
          <t>R1176-v1</t>
        </is>
      </c>
      <c r="B125" s="34" t="inlineStr">
        <is>
          <t>CST-02-014</t>
        </is>
      </c>
      <c r="C125" s="34" t="inlineStr">
        <is>
          <t>New</t>
        </is>
      </c>
      <c r="D125" s="34" t="inlineStr">
        <is>
          <t>Record first supplied in this revision</t>
        </is>
      </c>
      <c r="E125" s="39" t="inlineStr"/>
      <c r="F125" s="100" t="inlineStr">
        <is>
          <t>10 EVIDENCE &amp; DECISIONS</t>
        </is>
      </c>
      <c r="G125" s="41" t="n"/>
    </row>
    <row r="126" ht="79" customHeight="1">
      <c r="A126" s="34" t="inlineStr">
        <is>
          <t>R1177-v1</t>
        </is>
      </c>
      <c r="B126" s="34" t="inlineStr">
        <is>
          <t>CST-02-015</t>
        </is>
      </c>
      <c r="C126" s="34" t="inlineStr">
        <is>
          <t>New</t>
        </is>
      </c>
      <c r="D126" s="34" t="inlineStr">
        <is>
          <t>Record first supplied in this revision</t>
        </is>
      </c>
      <c r="E126" s="39" t="inlineStr"/>
      <c r="F126" s="100" t="inlineStr">
        <is>
          <t>10 EVIDENCE &amp; DECISIONS</t>
        </is>
      </c>
      <c r="G126" s="41" t="n"/>
    </row>
    <row r="127" ht="79" customHeight="1">
      <c r="A127" s="34" t="inlineStr">
        <is>
          <t>R1178-v1</t>
        </is>
      </c>
      <c r="B127" s="34" t="inlineStr">
        <is>
          <t>CST-02-016</t>
        </is>
      </c>
      <c r="C127" s="34" t="inlineStr">
        <is>
          <t>New</t>
        </is>
      </c>
      <c r="D127" s="34" t="inlineStr">
        <is>
          <t>Record first supplied in this revision</t>
        </is>
      </c>
      <c r="E127" s="39" t="inlineStr"/>
      <c r="F127" s="100" t="inlineStr">
        <is>
          <t>10 EVIDENCE &amp; DECISIONS</t>
        </is>
      </c>
      <c r="G127" s="41" t="n"/>
    </row>
    <row r="128" ht="79" customHeight="1">
      <c r="A128" s="34" t="inlineStr">
        <is>
          <t>R1179-v1</t>
        </is>
      </c>
      <c r="B128" s="34" t="inlineStr">
        <is>
          <t>CST-02-017</t>
        </is>
      </c>
      <c r="C128" s="34" t="inlineStr">
        <is>
          <t>New</t>
        </is>
      </c>
      <c r="D128" s="34" t="inlineStr">
        <is>
          <t>Record first supplied in this revision</t>
        </is>
      </c>
      <c r="E128" s="39" t="inlineStr"/>
      <c r="F128" s="100" t="inlineStr">
        <is>
          <t>10 EVIDENCE &amp; DECISIONS</t>
        </is>
      </c>
      <c r="G128" s="41" t="n"/>
    </row>
    <row r="129" ht="79" customHeight="1">
      <c r="A129" s="34" t="inlineStr">
        <is>
          <t>R1180-v1</t>
        </is>
      </c>
      <c r="B129" s="34" t="inlineStr">
        <is>
          <t>CST-02-018</t>
        </is>
      </c>
      <c r="C129" s="34" t="inlineStr">
        <is>
          <t>New</t>
        </is>
      </c>
      <c r="D129" s="34" t="inlineStr">
        <is>
          <t>Record first supplied in this revision</t>
        </is>
      </c>
      <c r="E129" s="39" t="inlineStr"/>
      <c r="F129" s="100" t="inlineStr">
        <is>
          <t>10 EVIDENCE &amp; DECISIONS</t>
        </is>
      </c>
      <c r="G129" s="41" t="n"/>
    </row>
    <row r="130" ht="79" customHeight="1">
      <c r="A130" s="34" t="inlineStr">
        <is>
          <t>R1181-v1</t>
        </is>
      </c>
      <c r="B130" s="34" t="inlineStr">
        <is>
          <t>CST-02-019</t>
        </is>
      </c>
      <c r="C130" s="34" t="inlineStr">
        <is>
          <t>New</t>
        </is>
      </c>
      <c r="D130" s="34" t="inlineStr">
        <is>
          <t>Record first supplied in this revision</t>
        </is>
      </c>
      <c r="E130" s="39" t="inlineStr"/>
      <c r="F130" s="100" t="inlineStr">
        <is>
          <t>10 EVIDENCE &amp; DECISIONS</t>
        </is>
      </c>
      <c r="G130" s="41" t="n"/>
    </row>
    <row r="131" ht="79" customHeight="1">
      <c r="A131" s="34" t="inlineStr">
        <is>
          <t>R1182-v1</t>
        </is>
      </c>
      <c r="B131" s="34" t="inlineStr">
        <is>
          <t>CST-02-020</t>
        </is>
      </c>
      <c r="C131" s="34" t="inlineStr">
        <is>
          <t>New</t>
        </is>
      </c>
      <c r="D131" s="34" t="inlineStr">
        <is>
          <t>Record first supplied in this revision</t>
        </is>
      </c>
      <c r="E131" s="39" t="inlineStr"/>
      <c r="F131" s="100" t="inlineStr">
        <is>
          <t>10 EVIDENCE &amp; DECISIONS</t>
        </is>
      </c>
      <c r="G131" s="41" t="n"/>
    </row>
    <row r="132" ht="79" customHeight="1">
      <c r="A132" s="34" t="inlineStr">
        <is>
          <t>R1183-v1</t>
        </is>
      </c>
      <c r="B132" s="34" t="inlineStr">
        <is>
          <t>CST-02-021</t>
        </is>
      </c>
      <c r="C132" s="34" t="inlineStr">
        <is>
          <t>New</t>
        </is>
      </c>
      <c r="D132" s="34" t="inlineStr">
        <is>
          <t>Record first supplied in this revision</t>
        </is>
      </c>
      <c r="E132" s="39" t="inlineStr"/>
      <c r="F132" s="100" t="inlineStr">
        <is>
          <t>10 EVIDENCE &amp; DECISIONS</t>
        </is>
      </c>
      <c r="G132" s="41" t="n"/>
    </row>
    <row r="133" ht="79" customHeight="1">
      <c r="A133" s="34" t="inlineStr">
        <is>
          <t>R1184-v1</t>
        </is>
      </c>
      <c r="B133" s="34" t="inlineStr">
        <is>
          <t>CST-02-022</t>
        </is>
      </c>
      <c r="C133" s="34" t="inlineStr">
        <is>
          <t>New</t>
        </is>
      </c>
      <c r="D133" s="34" t="inlineStr">
        <is>
          <t>Record first supplied in this revision</t>
        </is>
      </c>
      <c r="E133" s="39" t="inlineStr"/>
      <c r="F133" s="100" t="inlineStr">
        <is>
          <t>10 EVIDENCE &amp; DECISIONS</t>
        </is>
      </c>
      <c r="G133" s="41" t="n"/>
    </row>
    <row r="134" ht="79" customHeight="1">
      <c r="A134" s="34" t="inlineStr">
        <is>
          <t>R1185-v1</t>
        </is>
      </c>
      <c r="B134" s="34" t="inlineStr">
        <is>
          <t>CST-02-023</t>
        </is>
      </c>
      <c r="C134" s="34" t="inlineStr">
        <is>
          <t>New</t>
        </is>
      </c>
      <c r="D134" s="34" t="inlineStr">
        <is>
          <t>Record first supplied in this revision</t>
        </is>
      </c>
      <c r="E134" s="39" t="inlineStr"/>
      <c r="F134" s="100" t="inlineStr">
        <is>
          <t>10 EVIDENCE &amp; DECISIONS</t>
        </is>
      </c>
      <c r="G134" s="41" t="n"/>
    </row>
    <row r="135" ht="79" customHeight="1">
      <c r="A135" s="34" t="inlineStr">
        <is>
          <t>R1186-v1</t>
        </is>
      </c>
      <c r="B135" s="34" t="inlineStr">
        <is>
          <t>CST-02-024</t>
        </is>
      </c>
      <c r="C135" s="34" t="inlineStr">
        <is>
          <t>New</t>
        </is>
      </c>
      <c r="D135" s="34" t="inlineStr">
        <is>
          <t>Record first supplied in this revision</t>
        </is>
      </c>
      <c r="E135" s="39" t="inlineStr"/>
      <c r="F135" s="100" t="inlineStr">
        <is>
          <t>10 EVIDENCE &amp; DECISIONS</t>
        </is>
      </c>
      <c r="G135" s="41" t="n"/>
    </row>
    <row r="136" ht="79" customHeight="1">
      <c r="A136" s="34" t="inlineStr">
        <is>
          <t>R1187-v1</t>
        </is>
      </c>
      <c r="B136" s="34" t="inlineStr">
        <is>
          <t>CST-02-025</t>
        </is>
      </c>
      <c r="C136" s="34" t="inlineStr">
        <is>
          <t>New</t>
        </is>
      </c>
      <c r="D136" s="34" t="inlineStr">
        <is>
          <t>Record first supplied in this revision</t>
        </is>
      </c>
      <c r="E136" s="39" t="inlineStr"/>
      <c r="F136" s="100" t="inlineStr">
        <is>
          <t>10 EVIDENCE &amp; DECISIONS</t>
        </is>
      </c>
      <c r="G136" s="41" t="n"/>
    </row>
    <row r="137" ht="79" customHeight="1">
      <c r="A137" s="34" t="inlineStr">
        <is>
          <t>R1188-v1</t>
        </is>
      </c>
      <c r="B137" s="34" t="inlineStr">
        <is>
          <t>CST-02-026</t>
        </is>
      </c>
      <c r="C137" s="34" t="inlineStr">
        <is>
          <t>New</t>
        </is>
      </c>
      <c r="D137" s="34" t="inlineStr">
        <is>
          <t>Record first supplied in this revision</t>
        </is>
      </c>
      <c r="E137" s="39" t="inlineStr"/>
      <c r="F137" s="100" t="inlineStr">
        <is>
          <t>10 EVIDENCE &amp; DECISIONS</t>
        </is>
      </c>
      <c r="G137" s="41" t="n"/>
    </row>
    <row r="138" ht="79" customHeight="1">
      <c r="A138" s="34" t="inlineStr">
        <is>
          <t>R1189-v1</t>
        </is>
      </c>
      <c r="B138" s="34" t="inlineStr">
        <is>
          <t>CST-02-027</t>
        </is>
      </c>
      <c r="C138" s="34" t="inlineStr">
        <is>
          <t>New</t>
        </is>
      </c>
      <c r="D138" s="34" t="inlineStr">
        <is>
          <t>Record first supplied in this revision</t>
        </is>
      </c>
      <c r="E138" s="39" t="inlineStr"/>
      <c r="F138" s="100" t="inlineStr">
        <is>
          <t>10 EVIDENCE &amp; DECISIONS</t>
        </is>
      </c>
      <c r="G138" s="41" t="n"/>
    </row>
    <row r="139" ht="79" customHeight="1">
      <c r="A139" s="34" t="inlineStr">
        <is>
          <t>R1190-v1</t>
        </is>
      </c>
      <c r="B139" s="34" t="inlineStr">
        <is>
          <t>CST-02-028</t>
        </is>
      </c>
      <c r="C139" s="34" t="inlineStr">
        <is>
          <t>New</t>
        </is>
      </c>
      <c r="D139" s="34" t="inlineStr">
        <is>
          <t>Record first supplied in this revision</t>
        </is>
      </c>
      <c r="E139" s="39" t="inlineStr"/>
      <c r="F139" s="100" t="inlineStr">
        <is>
          <t>10 EVIDENCE &amp; DECISIONS</t>
        </is>
      </c>
      <c r="G139" s="41" t="n"/>
    </row>
    <row r="140" ht="79" customHeight="1">
      <c r="A140" s="34" t="inlineStr">
        <is>
          <t>R1191-v1</t>
        </is>
      </c>
      <c r="B140" s="34" t="inlineStr">
        <is>
          <t>CST-02-029</t>
        </is>
      </c>
      <c r="C140" s="34" t="inlineStr">
        <is>
          <t>New</t>
        </is>
      </c>
      <c r="D140" s="34" t="inlineStr">
        <is>
          <t>Record first supplied in this revision</t>
        </is>
      </c>
      <c r="E140" s="39" t="inlineStr"/>
      <c r="F140" s="100" t="inlineStr">
        <is>
          <t>10 EVIDENCE &amp; DECISIONS</t>
        </is>
      </c>
      <c r="G140" s="41" t="n"/>
    </row>
    <row r="141" ht="79" customHeight="1">
      <c r="A141" s="34" t="inlineStr">
        <is>
          <t>R1192-v1</t>
        </is>
      </c>
      <c r="B141" s="34" t="inlineStr">
        <is>
          <t>CST-02-030</t>
        </is>
      </c>
      <c r="C141" s="34" t="inlineStr">
        <is>
          <t>New</t>
        </is>
      </c>
      <c r="D141" s="34" t="inlineStr">
        <is>
          <t>Record first supplied in this revision</t>
        </is>
      </c>
      <c r="E141" s="39" t="inlineStr"/>
      <c r="F141" s="100" t="inlineStr">
        <is>
          <t>10 EVIDENCE &amp; DECISIONS</t>
        </is>
      </c>
      <c r="G141" s="41" t="n"/>
    </row>
    <row r="142" ht="79" customHeight="1">
      <c r="A142" s="34" t="inlineStr">
        <is>
          <t>R1193-v1</t>
        </is>
      </c>
      <c r="B142" s="34" t="inlineStr">
        <is>
          <t>CST-02-031</t>
        </is>
      </c>
      <c r="C142" s="34" t="inlineStr">
        <is>
          <t>New</t>
        </is>
      </c>
      <c r="D142" s="34" t="inlineStr">
        <is>
          <t>Record first supplied in this revision</t>
        </is>
      </c>
      <c r="E142" s="39" t="inlineStr"/>
      <c r="F142" s="100" t="inlineStr">
        <is>
          <t>10 EVIDENCE &amp; DECISIONS</t>
        </is>
      </c>
      <c r="G142" s="41" t="n"/>
    </row>
    <row r="143" ht="79" customHeight="1">
      <c r="A143" s="34" t="inlineStr">
        <is>
          <t>R1194-v1</t>
        </is>
      </c>
      <c r="B143" s="34" t="inlineStr">
        <is>
          <t>CST-02-032</t>
        </is>
      </c>
      <c r="C143" s="34" t="inlineStr">
        <is>
          <t>New</t>
        </is>
      </c>
      <c r="D143" s="34" t="inlineStr">
        <is>
          <t>Record first supplied in this revision</t>
        </is>
      </c>
      <c r="E143" s="39" t="inlineStr"/>
      <c r="F143" s="100" t="inlineStr">
        <is>
          <t>10 EVIDENCE &amp; DECISIONS</t>
        </is>
      </c>
      <c r="G143" s="41" t="n"/>
    </row>
    <row r="144" ht="79" customHeight="1">
      <c r="A144" s="34" t="inlineStr">
        <is>
          <t>R1195-v1</t>
        </is>
      </c>
      <c r="B144" s="34" t="inlineStr">
        <is>
          <t>CST-02-033</t>
        </is>
      </c>
      <c r="C144" s="34" t="inlineStr">
        <is>
          <t>New</t>
        </is>
      </c>
      <c r="D144" s="34" t="inlineStr">
        <is>
          <t>Record first supplied in this revision</t>
        </is>
      </c>
      <c r="E144" s="39" t="inlineStr"/>
      <c r="F144" s="100" t="inlineStr">
        <is>
          <t>10 EVIDENCE &amp; DECISIONS</t>
        </is>
      </c>
      <c r="G144" s="41" t="n"/>
    </row>
    <row r="145" ht="79" customHeight="1">
      <c r="A145" s="34" t="inlineStr">
        <is>
          <t>R1196-v1</t>
        </is>
      </c>
      <c r="B145" s="34" t="inlineStr">
        <is>
          <t>CST-02-034</t>
        </is>
      </c>
      <c r="C145" s="34" t="inlineStr">
        <is>
          <t>New</t>
        </is>
      </c>
      <c r="D145" s="34" t="inlineStr">
        <is>
          <t>Record first supplied in this revision</t>
        </is>
      </c>
      <c r="E145" s="39" t="inlineStr"/>
      <c r="F145" s="100" t="inlineStr">
        <is>
          <t>10 EVIDENCE &amp; DECISIONS</t>
        </is>
      </c>
      <c r="G145" s="41" t="n"/>
    </row>
    <row r="146" ht="79" customHeight="1">
      <c r="A146" s="34" t="inlineStr">
        <is>
          <t>R1197-v1</t>
        </is>
      </c>
      <c r="B146" s="34" t="inlineStr">
        <is>
          <t>CST-02-035</t>
        </is>
      </c>
      <c r="C146" s="34" t="inlineStr">
        <is>
          <t>New</t>
        </is>
      </c>
      <c r="D146" s="34" t="inlineStr">
        <is>
          <t>Record first supplied in this revision</t>
        </is>
      </c>
      <c r="E146" s="39" t="inlineStr"/>
      <c r="F146" s="100" t="inlineStr">
        <is>
          <t>10 EVIDENCE &amp; DECISIONS</t>
        </is>
      </c>
      <c r="G146" s="41" t="n"/>
    </row>
    <row r="147" ht="79" customHeight="1">
      <c r="A147" s="34" t="inlineStr">
        <is>
          <t>R1198-v1</t>
        </is>
      </c>
      <c r="B147" s="34" t="inlineStr">
        <is>
          <t>CST-02-036</t>
        </is>
      </c>
      <c r="C147" s="34" t="inlineStr">
        <is>
          <t>New</t>
        </is>
      </c>
      <c r="D147" s="34" t="inlineStr">
        <is>
          <t>Record first supplied in this revision</t>
        </is>
      </c>
      <c r="E147" s="39" t="inlineStr"/>
      <c r="F147" s="100" t="inlineStr">
        <is>
          <t>10 EVIDENCE &amp; DECISIONS</t>
        </is>
      </c>
      <c r="G147" s="41" t="n"/>
    </row>
    <row r="148" ht="79" customHeight="1">
      <c r="A148" s="34" t="inlineStr">
        <is>
          <t>R1199-v1</t>
        </is>
      </c>
      <c r="B148" s="34" t="inlineStr">
        <is>
          <t>CST-02-037</t>
        </is>
      </c>
      <c r="C148" s="34" t="inlineStr">
        <is>
          <t>New</t>
        </is>
      </c>
      <c r="D148" s="34" t="inlineStr">
        <is>
          <t>Record first supplied in this revision</t>
        </is>
      </c>
      <c r="E148" s="39" t="inlineStr"/>
      <c r="F148" s="100" t="inlineStr">
        <is>
          <t>10 EVIDENCE &amp; DECISIONS</t>
        </is>
      </c>
      <c r="G148" s="41" t="n"/>
    </row>
    <row r="149" ht="79" customHeight="1">
      <c r="A149" s="34" t="inlineStr">
        <is>
          <t>R1200-v1</t>
        </is>
      </c>
      <c r="B149" s="34" t="inlineStr">
        <is>
          <t>CST-02-038</t>
        </is>
      </c>
      <c r="C149" s="34" t="inlineStr">
        <is>
          <t>New</t>
        </is>
      </c>
      <c r="D149" s="34" t="inlineStr">
        <is>
          <t>Record first supplied in this revision</t>
        </is>
      </c>
      <c r="E149" s="39" t="inlineStr"/>
      <c r="F149" s="100" t="inlineStr">
        <is>
          <t>10 EVIDENCE &amp; DECISIONS</t>
        </is>
      </c>
      <c r="G149" s="41" t="n"/>
    </row>
    <row r="150" ht="79" customHeight="1">
      <c r="A150" s="34" t="inlineStr">
        <is>
          <t>R1201-v1</t>
        </is>
      </c>
      <c r="B150" s="34" t="inlineStr">
        <is>
          <t>CST-02-039</t>
        </is>
      </c>
      <c r="C150" s="34" t="inlineStr">
        <is>
          <t>New</t>
        </is>
      </c>
      <c r="D150" s="34" t="inlineStr">
        <is>
          <t>Record first supplied in this revision</t>
        </is>
      </c>
      <c r="E150" s="39" t="inlineStr"/>
      <c r="F150" s="100" t="inlineStr">
        <is>
          <t>10 EVIDENCE &amp; DECISIONS</t>
        </is>
      </c>
      <c r="G150" s="41" t="n"/>
    </row>
    <row r="151" ht="79" customHeight="1">
      <c r="A151" s="34" t="inlineStr">
        <is>
          <t>R1202-v1</t>
        </is>
      </c>
      <c r="B151" s="34" t="inlineStr">
        <is>
          <t>CST-02-040</t>
        </is>
      </c>
      <c r="C151" s="34" t="inlineStr">
        <is>
          <t>New</t>
        </is>
      </c>
      <c r="D151" s="34" t="inlineStr">
        <is>
          <t>Record first supplied in this revision</t>
        </is>
      </c>
      <c r="E151" s="39" t="inlineStr"/>
      <c r="F151" s="100" t="inlineStr">
        <is>
          <t>10 EVIDENCE &amp; DECISIONS</t>
        </is>
      </c>
      <c r="G151" s="41" t="n"/>
    </row>
    <row r="152" ht="79" customHeight="1">
      <c r="A152" s="34" t="inlineStr">
        <is>
          <t>R1203-v1</t>
        </is>
      </c>
      <c r="B152" s="34" t="inlineStr">
        <is>
          <t>CST-02-041</t>
        </is>
      </c>
      <c r="C152" s="34" t="inlineStr">
        <is>
          <t>New</t>
        </is>
      </c>
      <c r="D152" s="34" t="inlineStr">
        <is>
          <t>Record first supplied in this revision</t>
        </is>
      </c>
      <c r="E152" s="39" t="inlineStr"/>
      <c r="F152" s="100" t="inlineStr">
        <is>
          <t>10 EVIDENCE &amp; DECISIONS</t>
        </is>
      </c>
      <c r="G152" s="41" t="n"/>
    </row>
    <row r="153" ht="79" customHeight="1">
      <c r="A153" s="34" t="inlineStr">
        <is>
          <t>R1204-v1</t>
        </is>
      </c>
      <c r="B153" s="34" t="inlineStr">
        <is>
          <t>CST-02-042</t>
        </is>
      </c>
      <c r="C153" s="34" t="inlineStr">
        <is>
          <t>New</t>
        </is>
      </c>
      <c r="D153" s="34" t="inlineStr">
        <is>
          <t>Record first supplied in this revision</t>
        </is>
      </c>
      <c r="E153" s="39" t="inlineStr"/>
      <c r="F153" s="100" t="inlineStr">
        <is>
          <t>10 EVIDENCE &amp; DECISIONS</t>
        </is>
      </c>
      <c r="G153" s="41" t="n"/>
    </row>
    <row r="154" ht="79" customHeight="1">
      <c r="A154" s="34" t="inlineStr">
        <is>
          <t>R1205-v1</t>
        </is>
      </c>
      <c r="B154" s="34" t="inlineStr">
        <is>
          <t>CST-02-043</t>
        </is>
      </c>
      <c r="C154" s="34" t="inlineStr">
        <is>
          <t>New</t>
        </is>
      </c>
      <c r="D154" s="34" t="inlineStr">
        <is>
          <t>Record first supplied in this revision</t>
        </is>
      </c>
      <c r="E154" s="39" t="inlineStr"/>
      <c r="F154" s="100" t="inlineStr">
        <is>
          <t>10 EVIDENCE &amp; DECISIONS</t>
        </is>
      </c>
      <c r="G154" s="41" t="n"/>
    </row>
    <row r="155" ht="79" customHeight="1">
      <c r="A155" s="34" t="inlineStr">
        <is>
          <t>R1206-v1</t>
        </is>
      </c>
      <c r="B155" s="34" t="inlineStr">
        <is>
          <t>CST-02-044</t>
        </is>
      </c>
      <c r="C155" s="34" t="inlineStr">
        <is>
          <t>New</t>
        </is>
      </c>
      <c r="D155" s="34" t="inlineStr">
        <is>
          <t>Record first supplied in this revision</t>
        </is>
      </c>
      <c r="E155" s="39" t="inlineStr"/>
      <c r="F155" s="100" t="inlineStr">
        <is>
          <t>10 EVIDENCE &amp; DECISIONS</t>
        </is>
      </c>
      <c r="G155" s="41" t="n"/>
    </row>
    <row r="156" ht="79" customHeight="1">
      <c r="A156" s="34" t="inlineStr">
        <is>
          <t>R1207-v1</t>
        </is>
      </c>
      <c r="B156" s="34" t="inlineStr">
        <is>
          <t>CST-02-045</t>
        </is>
      </c>
      <c r="C156" s="34" t="inlineStr">
        <is>
          <t>New</t>
        </is>
      </c>
      <c r="D156" s="34" t="inlineStr">
        <is>
          <t>Record first supplied in this revision</t>
        </is>
      </c>
      <c r="E156" s="39" t="inlineStr"/>
      <c r="F156" s="100" t="inlineStr">
        <is>
          <t>10 EVIDENCE &amp; DECISIONS</t>
        </is>
      </c>
      <c r="G156" s="41" t="n"/>
    </row>
    <row r="157" ht="79" customHeight="1">
      <c r="A157" s="34" t="inlineStr">
        <is>
          <t>R1208-v1</t>
        </is>
      </c>
      <c r="B157" s="34" t="inlineStr">
        <is>
          <t>CST-02-046</t>
        </is>
      </c>
      <c r="C157" s="34" t="inlineStr">
        <is>
          <t>New</t>
        </is>
      </c>
      <c r="D157" s="34" t="inlineStr">
        <is>
          <t>Record first supplied in this revision</t>
        </is>
      </c>
      <c r="E157" s="39" t="inlineStr"/>
      <c r="F157" s="100" t="inlineStr">
        <is>
          <t>10 EVIDENCE &amp; DECISIONS</t>
        </is>
      </c>
      <c r="G157" s="41" t="n"/>
    </row>
    <row r="158" ht="79" customHeight="1">
      <c r="A158" s="34" t="inlineStr">
        <is>
          <t>R1209-v1</t>
        </is>
      </c>
      <c r="B158" s="34" t="inlineStr">
        <is>
          <t>CST-02-047</t>
        </is>
      </c>
      <c r="C158" s="34" t="inlineStr">
        <is>
          <t>New</t>
        </is>
      </c>
      <c r="D158" s="34" t="inlineStr">
        <is>
          <t>Record first supplied in this revision</t>
        </is>
      </c>
      <c r="E158" s="39" t="inlineStr"/>
      <c r="F158" s="100" t="inlineStr">
        <is>
          <t>10 EVIDENCE &amp; DECISIONS</t>
        </is>
      </c>
      <c r="G158" s="41" t="n"/>
    </row>
    <row r="159" ht="79" customHeight="1">
      <c r="A159" s="34" t="inlineStr">
        <is>
          <t>R1210-v1</t>
        </is>
      </c>
      <c r="B159" s="34" t="inlineStr">
        <is>
          <t>CST-02-048</t>
        </is>
      </c>
      <c r="C159" s="34" t="inlineStr">
        <is>
          <t>New</t>
        </is>
      </c>
      <c r="D159" s="34" t="inlineStr">
        <is>
          <t>Record first supplied in this revision</t>
        </is>
      </c>
      <c r="E159" s="39" t="inlineStr"/>
      <c r="F159" s="100" t="inlineStr">
        <is>
          <t>10 EVIDENCE &amp; DECISIONS</t>
        </is>
      </c>
      <c r="G159" s="41" t="n"/>
    </row>
    <row r="160" ht="79" customHeight="1">
      <c r="A160" s="34" t="inlineStr">
        <is>
          <t>R1211-v1</t>
        </is>
      </c>
      <c r="B160" s="34" t="inlineStr">
        <is>
          <t>CST-02-049</t>
        </is>
      </c>
      <c r="C160" s="34" t="inlineStr">
        <is>
          <t>New</t>
        </is>
      </c>
      <c r="D160" s="34" t="inlineStr">
        <is>
          <t>Record first supplied in this revision</t>
        </is>
      </c>
      <c r="E160" s="39" t="inlineStr"/>
      <c r="F160" s="100" t="inlineStr">
        <is>
          <t>10 EVIDENCE &amp; DECISIONS</t>
        </is>
      </c>
      <c r="G160" s="41" t="n"/>
    </row>
    <row r="161" ht="79" customHeight="1">
      <c r="A161" s="34" t="inlineStr">
        <is>
          <t>R1212-v1</t>
        </is>
      </c>
      <c r="B161" s="34" t="inlineStr">
        <is>
          <t>CST-02-050</t>
        </is>
      </c>
      <c r="C161" s="34" t="inlineStr">
        <is>
          <t>New</t>
        </is>
      </c>
      <c r="D161" s="34" t="inlineStr">
        <is>
          <t>Record first supplied in this revision</t>
        </is>
      </c>
      <c r="E161" s="39" t="inlineStr"/>
      <c r="F161" s="100" t="inlineStr">
        <is>
          <t>10 EVIDENCE &amp; DECISIONS</t>
        </is>
      </c>
      <c r="G161" s="41" t="n"/>
    </row>
    <row r="162" ht="79" customHeight="1">
      <c r="A162" s="34" t="inlineStr">
        <is>
          <t>R1213-v1</t>
        </is>
      </c>
      <c r="B162" s="34" t="inlineStr">
        <is>
          <t>CST-02-051</t>
        </is>
      </c>
      <c r="C162" s="34" t="inlineStr">
        <is>
          <t>New</t>
        </is>
      </c>
      <c r="D162" s="34" t="inlineStr">
        <is>
          <t>Record first supplied in this revision</t>
        </is>
      </c>
      <c r="E162" s="39" t="inlineStr"/>
      <c r="F162" s="100" t="inlineStr">
        <is>
          <t>10 EVIDENCE &amp; DECISIONS</t>
        </is>
      </c>
      <c r="G162" s="41" t="n"/>
    </row>
    <row r="163" ht="79" customHeight="1">
      <c r="A163" s="34" t="inlineStr">
        <is>
          <t>R1214-v1</t>
        </is>
      </c>
      <c r="B163" s="34" t="inlineStr">
        <is>
          <t>CST-02-052</t>
        </is>
      </c>
      <c r="C163" s="34" t="inlineStr">
        <is>
          <t>New</t>
        </is>
      </c>
      <c r="D163" s="34" t="inlineStr">
        <is>
          <t>Record first supplied in this revision</t>
        </is>
      </c>
      <c r="E163" s="39" t="inlineStr"/>
      <c r="F163" s="100" t="inlineStr">
        <is>
          <t>10 EVIDENCE &amp; DECISIONS</t>
        </is>
      </c>
      <c r="G163" s="41" t="n"/>
    </row>
    <row r="164" ht="79" customHeight="1">
      <c r="A164" s="34" t="inlineStr">
        <is>
          <t>R1215-v1</t>
        </is>
      </c>
      <c r="B164" s="34" t="inlineStr">
        <is>
          <t>CST-02-053</t>
        </is>
      </c>
      <c r="C164" s="34" t="inlineStr">
        <is>
          <t>New</t>
        </is>
      </c>
      <c r="D164" s="34" t="inlineStr">
        <is>
          <t>Record first supplied in this revision</t>
        </is>
      </c>
      <c r="E164" s="39" t="inlineStr"/>
      <c r="F164" s="100" t="inlineStr">
        <is>
          <t>10 EVIDENCE &amp; DECISIONS</t>
        </is>
      </c>
      <c r="G164" s="41" t="n"/>
    </row>
    <row r="165" ht="79" customHeight="1">
      <c r="A165" s="34" t="inlineStr">
        <is>
          <t>R1216-v1</t>
        </is>
      </c>
      <c r="B165" s="34" t="inlineStr">
        <is>
          <t>CST-02-054</t>
        </is>
      </c>
      <c r="C165" s="34" t="inlineStr">
        <is>
          <t>New</t>
        </is>
      </c>
      <c r="D165" s="34" t="inlineStr">
        <is>
          <t>Record first supplied in this revision</t>
        </is>
      </c>
      <c r="E165" s="39" t="inlineStr"/>
      <c r="F165" s="100" t="inlineStr">
        <is>
          <t>10 EVIDENCE &amp; DECISIONS</t>
        </is>
      </c>
      <c r="G165" s="41" t="n"/>
    </row>
    <row r="166" ht="79" customHeight="1">
      <c r="A166" s="34" t="inlineStr">
        <is>
          <t>R1217-v1</t>
        </is>
      </c>
      <c r="B166" s="34" t="inlineStr">
        <is>
          <t>CST-02-055</t>
        </is>
      </c>
      <c r="C166" s="34" t="inlineStr">
        <is>
          <t>New</t>
        </is>
      </c>
      <c r="D166" s="34" t="inlineStr">
        <is>
          <t>Record first supplied in this revision</t>
        </is>
      </c>
      <c r="E166" s="39" t="inlineStr"/>
      <c r="F166" s="100" t="inlineStr">
        <is>
          <t>10 EVIDENCE &amp; DECISIONS</t>
        </is>
      </c>
      <c r="G166" s="41" t="n"/>
    </row>
    <row r="167" ht="79" customHeight="1">
      <c r="A167" s="34" t="inlineStr">
        <is>
          <t>R1218-v1</t>
        </is>
      </c>
      <c r="B167" s="34" t="inlineStr">
        <is>
          <t>CST-02-056</t>
        </is>
      </c>
      <c r="C167" s="34" t="inlineStr">
        <is>
          <t>New</t>
        </is>
      </c>
      <c r="D167" s="34" t="inlineStr">
        <is>
          <t>Record first supplied in this revision</t>
        </is>
      </c>
      <c r="E167" s="39" t="inlineStr"/>
      <c r="F167" s="100" t="inlineStr">
        <is>
          <t>10 EVIDENCE &amp; DECISIONS</t>
        </is>
      </c>
      <c r="G167" s="41" t="n"/>
    </row>
    <row r="168" ht="79" customHeight="1">
      <c r="A168" s="34" t="inlineStr">
        <is>
          <t>R1219-v1</t>
        </is>
      </c>
      <c r="B168" s="34" t="inlineStr">
        <is>
          <t>CST-02-057</t>
        </is>
      </c>
      <c r="C168" s="34" t="inlineStr">
        <is>
          <t>New</t>
        </is>
      </c>
      <c r="D168" s="34" t="inlineStr">
        <is>
          <t>Record first supplied in this revision</t>
        </is>
      </c>
      <c r="E168" s="39" t="inlineStr"/>
      <c r="F168" s="100" t="inlineStr">
        <is>
          <t>10 EVIDENCE &amp; DECISIONS</t>
        </is>
      </c>
      <c r="G168" s="41" t="n"/>
    </row>
    <row r="169" ht="79" customHeight="1">
      <c r="A169" s="34" t="inlineStr">
        <is>
          <t>R1220-v1</t>
        </is>
      </c>
      <c r="B169" s="34" t="inlineStr">
        <is>
          <t>CST-02-058</t>
        </is>
      </c>
      <c r="C169" s="34" t="inlineStr">
        <is>
          <t>New</t>
        </is>
      </c>
      <c r="D169" s="34" t="inlineStr">
        <is>
          <t>Record first supplied in this revision</t>
        </is>
      </c>
      <c r="E169" s="39" t="inlineStr"/>
      <c r="F169" s="100" t="inlineStr">
        <is>
          <t>10 EVIDENCE &amp; DECISIONS</t>
        </is>
      </c>
      <c r="G169" s="41" t="n"/>
    </row>
    <row r="170" ht="79" customHeight="1">
      <c r="A170" s="34" t="inlineStr">
        <is>
          <t>R1221-v1</t>
        </is>
      </c>
      <c r="B170" s="34" t="inlineStr">
        <is>
          <t>CST-02-059</t>
        </is>
      </c>
      <c r="C170" s="34" t="inlineStr">
        <is>
          <t>New</t>
        </is>
      </c>
      <c r="D170" s="34" t="inlineStr">
        <is>
          <t>Record first supplied in this revision</t>
        </is>
      </c>
      <c r="E170" s="39" t="inlineStr"/>
      <c r="F170" s="100" t="inlineStr">
        <is>
          <t>10 EVIDENCE &amp; DECISIONS</t>
        </is>
      </c>
      <c r="G170" s="41" t="n"/>
    </row>
    <row r="171" ht="79" customHeight="1">
      <c r="A171" s="34" t="inlineStr">
        <is>
          <t>R1222-v1</t>
        </is>
      </c>
      <c r="B171" s="34" t="inlineStr">
        <is>
          <t>CST-02-060</t>
        </is>
      </c>
      <c r="C171" s="34" t="inlineStr">
        <is>
          <t>New</t>
        </is>
      </c>
      <c r="D171" s="34" t="inlineStr">
        <is>
          <t>Record first supplied in this revision</t>
        </is>
      </c>
      <c r="E171" s="39" t="inlineStr"/>
      <c r="F171" s="100" t="inlineStr">
        <is>
          <t>10 EVIDENCE &amp; DECISIONS</t>
        </is>
      </c>
      <c r="G171" s="41" t="n"/>
    </row>
    <row r="172" ht="79" customHeight="1">
      <c r="A172" s="34" t="inlineStr">
        <is>
          <t>R1223-v1</t>
        </is>
      </c>
      <c r="B172" s="34" t="inlineStr">
        <is>
          <t>CST-02-061</t>
        </is>
      </c>
      <c r="C172" s="34" t="inlineStr">
        <is>
          <t>New</t>
        </is>
      </c>
      <c r="D172" s="34" t="inlineStr">
        <is>
          <t>Record first supplied in this revision</t>
        </is>
      </c>
      <c r="E172" s="39" t="inlineStr"/>
      <c r="F172" s="100" t="inlineStr">
        <is>
          <t>10 EVIDENCE &amp; DECISIONS</t>
        </is>
      </c>
      <c r="G172" s="41" t="n"/>
    </row>
    <row r="173" ht="79" customHeight="1">
      <c r="A173" s="34" t="inlineStr">
        <is>
          <t>R1224-v1</t>
        </is>
      </c>
      <c r="B173" s="34" t="inlineStr">
        <is>
          <t>CST-02-062</t>
        </is>
      </c>
      <c r="C173" s="34" t="inlineStr">
        <is>
          <t>New</t>
        </is>
      </c>
      <c r="D173" s="34" t="inlineStr">
        <is>
          <t>Record first supplied in this revision</t>
        </is>
      </c>
      <c r="E173" s="39" t="inlineStr"/>
      <c r="F173" s="100" t="inlineStr">
        <is>
          <t>10 EVIDENCE &amp; DECISIONS</t>
        </is>
      </c>
      <c r="G173" s="41" t="n"/>
    </row>
    <row r="174" ht="79" customHeight="1">
      <c r="A174" s="34" t="inlineStr">
        <is>
          <t>R1225-v1</t>
        </is>
      </c>
      <c r="B174" s="34" t="inlineStr">
        <is>
          <t>CST-02-063</t>
        </is>
      </c>
      <c r="C174" s="34" t="inlineStr">
        <is>
          <t>New</t>
        </is>
      </c>
      <c r="D174" s="34" t="inlineStr">
        <is>
          <t>Record first supplied in this revision</t>
        </is>
      </c>
      <c r="E174" s="39" t="inlineStr"/>
      <c r="F174" s="100" t="inlineStr">
        <is>
          <t>10 EVIDENCE &amp; DECISIONS</t>
        </is>
      </c>
      <c r="G174" s="41" t="n"/>
    </row>
    <row r="175" ht="79" customHeight="1">
      <c r="A175" s="34" t="inlineStr">
        <is>
          <t>R1226-v1</t>
        </is>
      </c>
      <c r="B175" s="34" t="inlineStr">
        <is>
          <t>CST-02-064</t>
        </is>
      </c>
      <c r="C175" s="34" t="inlineStr">
        <is>
          <t>New</t>
        </is>
      </c>
      <c r="D175" s="34" t="inlineStr">
        <is>
          <t>Record first supplied in this revision</t>
        </is>
      </c>
      <c r="E175" s="39" t="inlineStr"/>
      <c r="F175" s="100" t="inlineStr">
        <is>
          <t>10 EVIDENCE &amp; DECISIONS</t>
        </is>
      </c>
      <c r="G175" s="41" t="n"/>
    </row>
    <row r="176" ht="79" customHeight="1">
      <c r="A176" s="34" t="inlineStr">
        <is>
          <t>R1227-v1</t>
        </is>
      </c>
      <c r="B176" s="34" t="inlineStr">
        <is>
          <t>CST-02-065</t>
        </is>
      </c>
      <c r="C176" s="34" t="inlineStr">
        <is>
          <t>New</t>
        </is>
      </c>
      <c r="D176" s="34" t="inlineStr">
        <is>
          <t>Record first supplied in this revision</t>
        </is>
      </c>
      <c r="E176" s="39" t="inlineStr"/>
      <c r="F176" s="100" t="inlineStr">
        <is>
          <t>10 EVIDENCE &amp; DECISIONS</t>
        </is>
      </c>
      <c r="G176" s="41" t="n"/>
    </row>
    <row r="177" ht="79" customHeight="1">
      <c r="A177" s="34" t="inlineStr">
        <is>
          <t>R1228-v1</t>
        </is>
      </c>
      <c r="B177" s="34" t="inlineStr">
        <is>
          <t>CST-02-066</t>
        </is>
      </c>
      <c r="C177" s="34" t="inlineStr">
        <is>
          <t>New</t>
        </is>
      </c>
      <c r="D177" s="34" t="inlineStr">
        <is>
          <t>Record first supplied in this revision</t>
        </is>
      </c>
      <c r="E177" s="39" t="inlineStr"/>
      <c r="F177" s="100" t="inlineStr">
        <is>
          <t>10 EVIDENCE &amp; DECISIONS</t>
        </is>
      </c>
      <c r="G177" s="41" t="n"/>
    </row>
    <row r="178" ht="79" customHeight="1">
      <c r="A178" s="34" t="inlineStr">
        <is>
          <t>R1229-v1</t>
        </is>
      </c>
      <c r="B178" s="34" t="inlineStr">
        <is>
          <t>CST-02-067</t>
        </is>
      </c>
      <c r="C178" s="34" t="inlineStr">
        <is>
          <t>New</t>
        </is>
      </c>
      <c r="D178" s="34" t="inlineStr">
        <is>
          <t>Record first supplied in this revision</t>
        </is>
      </c>
      <c r="E178" s="39" t="inlineStr"/>
      <c r="F178" s="100" t="inlineStr">
        <is>
          <t>10 EVIDENCE &amp; DECISIONS</t>
        </is>
      </c>
      <c r="G178" s="41" t="n"/>
    </row>
    <row r="179" ht="79" customHeight="1">
      <c r="A179" s="34" t="inlineStr">
        <is>
          <t>R1230-v1</t>
        </is>
      </c>
      <c r="B179" s="34" t="inlineStr">
        <is>
          <t>CST-02-068</t>
        </is>
      </c>
      <c r="C179" s="34" t="inlineStr">
        <is>
          <t>New</t>
        </is>
      </c>
      <c r="D179" s="34" t="inlineStr">
        <is>
          <t>Record first supplied in this revision</t>
        </is>
      </c>
      <c r="E179" s="39" t="inlineStr"/>
      <c r="F179" s="100" t="inlineStr">
        <is>
          <t>10 EVIDENCE &amp; DECISIONS</t>
        </is>
      </c>
      <c r="G179" s="41" t="n"/>
    </row>
    <row r="180" ht="79" customHeight="1">
      <c r="A180" s="34" t="inlineStr">
        <is>
          <t>R1231-v1</t>
        </is>
      </c>
      <c r="B180" s="34" t="inlineStr">
        <is>
          <t>CST-02-069</t>
        </is>
      </c>
      <c r="C180" s="34" t="inlineStr">
        <is>
          <t>New</t>
        </is>
      </c>
      <c r="D180" s="34" t="inlineStr">
        <is>
          <t>Record first supplied in this revision</t>
        </is>
      </c>
      <c r="E180" s="39" t="inlineStr"/>
      <c r="F180" s="100" t="inlineStr">
        <is>
          <t>10 EVIDENCE &amp; DECISIONS</t>
        </is>
      </c>
      <c r="G180" s="41" t="n"/>
    </row>
    <row r="181" ht="79" customHeight="1">
      <c r="A181" s="34" t="inlineStr">
        <is>
          <t>R1232-v1</t>
        </is>
      </c>
      <c r="B181" s="34" t="inlineStr">
        <is>
          <t>CST-02-070</t>
        </is>
      </c>
      <c r="C181" s="34" t="inlineStr">
        <is>
          <t>New</t>
        </is>
      </c>
      <c r="D181" s="34" t="inlineStr">
        <is>
          <t>Record first supplied in this revision</t>
        </is>
      </c>
      <c r="E181" s="39" t="inlineStr"/>
      <c r="F181" s="100" t="inlineStr">
        <is>
          <t>10 EVIDENCE &amp; DECISIONS</t>
        </is>
      </c>
      <c r="G181" s="41" t="n"/>
    </row>
    <row r="182" ht="79" customHeight="1">
      <c r="A182" s="34" t="inlineStr">
        <is>
          <t>R1233-v1</t>
        </is>
      </c>
      <c r="B182" s="34" t="inlineStr">
        <is>
          <t>CST-02-071</t>
        </is>
      </c>
      <c r="C182" s="34" t="inlineStr">
        <is>
          <t>New</t>
        </is>
      </c>
      <c r="D182" s="34" t="inlineStr">
        <is>
          <t>Record first supplied in this revision</t>
        </is>
      </c>
      <c r="E182" s="39" t="inlineStr"/>
      <c r="F182" s="100" t="inlineStr">
        <is>
          <t>10 EVIDENCE &amp; DECISIONS</t>
        </is>
      </c>
      <c r="G182" s="41" t="n"/>
    </row>
    <row r="183" ht="79" customHeight="1">
      <c r="A183" s="34" t="inlineStr">
        <is>
          <t>R1234-v1</t>
        </is>
      </c>
      <c r="B183" s="34" t="inlineStr">
        <is>
          <t>CST-02-072</t>
        </is>
      </c>
      <c r="C183" s="34" t="inlineStr">
        <is>
          <t>New</t>
        </is>
      </c>
      <c r="D183" s="34" t="inlineStr">
        <is>
          <t>Record first supplied in this revision</t>
        </is>
      </c>
      <c r="E183" s="39" t="inlineStr"/>
      <c r="F183" s="100" t="inlineStr">
        <is>
          <t>10 EVIDENCE &amp; DECISIONS</t>
        </is>
      </c>
      <c r="G183" s="41" t="n"/>
    </row>
    <row r="184" ht="79" customHeight="1">
      <c r="A184" s="34" t="inlineStr">
        <is>
          <t>R1235-v1</t>
        </is>
      </c>
      <c r="B184" s="34" t="inlineStr">
        <is>
          <t>CST-02-073</t>
        </is>
      </c>
      <c r="C184" s="34" t="inlineStr">
        <is>
          <t>New</t>
        </is>
      </c>
      <c r="D184" s="34" t="inlineStr">
        <is>
          <t>Record first supplied in this revision</t>
        </is>
      </c>
      <c r="E184" s="39" t="inlineStr"/>
      <c r="F184" s="100" t="inlineStr">
        <is>
          <t>10 EVIDENCE &amp; DECISIONS</t>
        </is>
      </c>
      <c r="G184" s="41" t="n"/>
    </row>
    <row r="185" ht="79" customHeight="1">
      <c r="A185" s="34" t="inlineStr">
        <is>
          <t>R1236-v1</t>
        </is>
      </c>
      <c r="B185" s="34" t="inlineStr">
        <is>
          <t>CST-02-074</t>
        </is>
      </c>
      <c r="C185" s="34" t="inlineStr">
        <is>
          <t>New</t>
        </is>
      </c>
      <c r="D185" s="34" t="inlineStr">
        <is>
          <t>Record first supplied in this revision</t>
        </is>
      </c>
      <c r="E185" s="39" t="inlineStr"/>
      <c r="F185" s="100" t="inlineStr">
        <is>
          <t>10 EVIDENCE &amp; DECISIONS</t>
        </is>
      </c>
      <c r="G185" s="41" t="n"/>
    </row>
    <row r="186" ht="79" customHeight="1">
      <c r="A186" s="34" t="inlineStr">
        <is>
          <t>R1237-v1</t>
        </is>
      </c>
      <c r="B186" s="34" t="inlineStr">
        <is>
          <t>CST-02-075</t>
        </is>
      </c>
      <c r="C186" s="34" t="inlineStr">
        <is>
          <t>New</t>
        </is>
      </c>
      <c r="D186" s="34" t="inlineStr">
        <is>
          <t>Record first supplied in this revision</t>
        </is>
      </c>
      <c r="E186" s="39" t="inlineStr"/>
      <c r="F186" s="100" t="inlineStr">
        <is>
          <t>10 EVIDENCE &amp; DECISIONS</t>
        </is>
      </c>
      <c r="G186" s="41" t="n"/>
    </row>
    <row r="187" ht="79" customHeight="1">
      <c r="A187" s="34" t="inlineStr">
        <is>
          <t>R1238-v1</t>
        </is>
      </c>
      <c r="B187" s="34" t="inlineStr">
        <is>
          <t>CST-02-076</t>
        </is>
      </c>
      <c r="C187" s="34" t="inlineStr">
        <is>
          <t>New</t>
        </is>
      </c>
      <c r="D187" s="34" t="inlineStr">
        <is>
          <t>Record first supplied in this revision</t>
        </is>
      </c>
      <c r="E187" s="39" t="inlineStr"/>
      <c r="F187" s="100" t="inlineStr">
        <is>
          <t>10 EVIDENCE &amp; DECISIONS</t>
        </is>
      </c>
      <c r="G187" s="41" t="n"/>
    </row>
    <row r="188" ht="79" customHeight="1">
      <c r="A188" s="34" t="inlineStr">
        <is>
          <t>R1239-v1</t>
        </is>
      </c>
      <c r="B188" s="34" t="inlineStr">
        <is>
          <t>CST-02-077</t>
        </is>
      </c>
      <c r="C188" s="34" t="inlineStr">
        <is>
          <t>New</t>
        </is>
      </c>
      <c r="D188" s="34" t="inlineStr">
        <is>
          <t>Record first supplied in this revision</t>
        </is>
      </c>
      <c r="E188" s="39" t="inlineStr"/>
      <c r="F188" s="100" t="inlineStr">
        <is>
          <t>10 EVIDENCE &amp; DECISIONS</t>
        </is>
      </c>
      <c r="G188" s="41" t="n"/>
    </row>
    <row r="189" ht="79" customHeight="1">
      <c r="A189" s="34" t="inlineStr">
        <is>
          <t>R1240-v1</t>
        </is>
      </c>
      <c r="B189" s="34" t="inlineStr">
        <is>
          <t>CST-02-078</t>
        </is>
      </c>
      <c r="C189" s="34" t="inlineStr">
        <is>
          <t>New</t>
        </is>
      </c>
      <c r="D189" s="34" t="inlineStr">
        <is>
          <t>Record first supplied in this revision</t>
        </is>
      </c>
      <c r="E189" s="39" t="inlineStr"/>
      <c r="F189" s="100" t="inlineStr">
        <is>
          <t>10 EVIDENCE &amp; DECISIONS</t>
        </is>
      </c>
      <c r="G189" s="41" t="n"/>
    </row>
    <row r="190" ht="79" customHeight="1">
      <c r="A190" s="34" t="inlineStr">
        <is>
          <t>R1241-v1</t>
        </is>
      </c>
      <c r="B190" s="34" t="inlineStr">
        <is>
          <t>CST-02-079</t>
        </is>
      </c>
      <c r="C190" s="34" t="inlineStr">
        <is>
          <t>New</t>
        </is>
      </c>
      <c r="D190" s="34" t="inlineStr">
        <is>
          <t>Record first supplied in this revision</t>
        </is>
      </c>
      <c r="E190" s="39" t="inlineStr"/>
      <c r="F190" s="100" t="inlineStr">
        <is>
          <t>10 EVIDENCE &amp; DECISIONS</t>
        </is>
      </c>
      <c r="G190" s="41" t="n"/>
    </row>
    <row r="191" ht="79" customHeight="1">
      <c r="A191" s="34" t="inlineStr">
        <is>
          <t>R1242-v1</t>
        </is>
      </c>
      <c r="B191" s="34" t="inlineStr">
        <is>
          <t>CST-02-080</t>
        </is>
      </c>
      <c r="C191" s="34" t="inlineStr">
        <is>
          <t>New</t>
        </is>
      </c>
      <c r="D191" s="34" t="inlineStr">
        <is>
          <t>Record first supplied in this revision</t>
        </is>
      </c>
      <c r="E191" s="39" t="inlineStr"/>
      <c r="F191" s="100" t="inlineStr">
        <is>
          <t>10 EVIDENCE &amp; DECISIONS</t>
        </is>
      </c>
      <c r="G191" s="41" t="n"/>
    </row>
    <row r="192" ht="79" customHeight="1">
      <c r="A192" s="34" t="inlineStr">
        <is>
          <t>R1243-v1</t>
        </is>
      </c>
      <c r="B192" s="34" t="inlineStr">
        <is>
          <t>CST-03-001</t>
        </is>
      </c>
      <c r="C192" s="34" t="inlineStr">
        <is>
          <t>New</t>
        </is>
      </c>
      <c r="D192" s="34" t="inlineStr">
        <is>
          <t>Record first supplied in this revision</t>
        </is>
      </c>
      <c r="E192" s="39" t="inlineStr"/>
      <c r="F192" s="100" t="inlineStr">
        <is>
          <t>10 EVIDENCE &amp; DECISIONS</t>
        </is>
      </c>
      <c r="G192" s="41" t="n"/>
    </row>
    <row r="193" ht="79" customHeight="1">
      <c r="A193" s="34" t="inlineStr">
        <is>
          <t>R1244-v1</t>
        </is>
      </c>
      <c r="B193" s="34" t="inlineStr">
        <is>
          <t>CST-03-002</t>
        </is>
      </c>
      <c r="C193" s="34" t="inlineStr">
        <is>
          <t>New</t>
        </is>
      </c>
      <c r="D193" s="34" t="inlineStr">
        <is>
          <t>Record first supplied in this revision</t>
        </is>
      </c>
      <c r="E193" s="39" t="inlineStr"/>
      <c r="F193" s="100" t="inlineStr">
        <is>
          <t>10 EVIDENCE &amp; DECISIONS</t>
        </is>
      </c>
      <c r="G193" s="41" t="n"/>
    </row>
    <row r="194" ht="79" customHeight="1">
      <c r="A194" s="34" t="inlineStr">
        <is>
          <t>R1245-v1</t>
        </is>
      </c>
      <c r="B194" s="34" t="inlineStr">
        <is>
          <t>CST-03-003</t>
        </is>
      </c>
      <c r="C194" s="34" t="inlineStr">
        <is>
          <t>New</t>
        </is>
      </c>
      <c r="D194" s="34" t="inlineStr">
        <is>
          <t>Record first supplied in this revision</t>
        </is>
      </c>
      <c r="E194" s="39" t="inlineStr"/>
      <c r="F194" s="100" t="inlineStr">
        <is>
          <t>10 EVIDENCE &amp; DECISIONS</t>
        </is>
      </c>
      <c r="G194" s="41" t="n"/>
    </row>
    <row r="195" ht="79" customHeight="1">
      <c r="A195" s="34" t="inlineStr">
        <is>
          <t>R1246-v2</t>
        </is>
      </c>
      <c r="B195" s="34" t="inlineStr">
        <is>
          <t>CST-03-004</t>
        </is>
      </c>
      <c r="C195" s="34" t="inlineStr">
        <is>
          <t>New</t>
        </is>
      </c>
      <c r="D195" s="34" t="inlineStr">
        <is>
          <t>Record first supplied in this revision</t>
        </is>
      </c>
      <c r="E195" s="34" t="inlineStr">
        <is>
          <t>Maya Chen, Owner Project Controls</t>
        </is>
      </c>
      <c r="F195" s="100" t="inlineStr">
        <is>
          <t>10 EVIDENCE &amp; DECISIONS</t>
        </is>
      </c>
      <c r="G195" s="41" t="n"/>
    </row>
    <row r="196" ht="79" customHeight="1">
      <c r="A196" s="34" t="inlineStr">
        <is>
          <t>R1247-v1</t>
        </is>
      </c>
      <c r="B196" s="34" t="inlineStr">
        <is>
          <t>CST-03-005</t>
        </is>
      </c>
      <c r="C196" s="34" t="inlineStr">
        <is>
          <t>New</t>
        </is>
      </c>
      <c r="D196" s="34" t="inlineStr">
        <is>
          <t>Record first supplied in this revision</t>
        </is>
      </c>
      <c r="E196" s="39" t="inlineStr"/>
      <c r="F196" s="100" t="inlineStr">
        <is>
          <t>10 EVIDENCE &amp; DECISIONS</t>
        </is>
      </c>
      <c r="G196" s="41" t="n"/>
    </row>
    <row r="197" ht="79" customHeight="1">
      <c r="A197" s="34" t="inlineStr">
        <is>
          <t>R1248-v1</t>
        </is>
      </c>
      <c r="B197" s="34" t="inlineStr">
        <is>
          <t>CST-03-006</t>
        </is>
      </c>
      <c r="C197" s="34" t="inlineStr">
        <is>
          <t>New</t>
        </is>
      </c>
      <c r="D197" s="34" t="inlineStr">
        <is>
          <t>Record first supplied in this revision</t>
        </is>
      </c>
      <c r="E197" s="39" t="inlineStr"/>
      <c r="F197" s="100" t="inlineStr">
        <is>
          <t>10 EVIDENCE &amp; DECISIONS</t>
        </is>
      </c>
      <c r="G197" s="41" t="n"/>
    </row>
    <row r="198" ht="79" customHeight="1">
      <c r="A198" s="34" t="inlineStr">
        <is>
          <t>R1249-v1</t>
        </is>
      </c>
      <c r="B198" s="34" t="inlineStr">
        <is>
          <t>CST-03-007</t>
        </is>
      </c>
      <c r="C198" s="34" t="inlineStr">
        <is>
          <t>New</t>
        </is>
      </c>
      <c r="D198" s="34" t="inlineStr">
        <is>
          <t>Record first supplied in this revision</t>
        </is>
      </c>
      <c r="E198" s="39" t="inlineStr"/>
      <c r="F198" s="100" t="inlineStr">
        <is>
          <t>10 EVIDENCE &amp; DECISIONS</t>
        </is>
      </c>
      <c r="G198" s="41" t="n"/>
    </row>
    <row r="199" ht="79" customHeight="1">
      <c r="A199" s="34" t="inlineStr">
        <is>
          <t>R1250-v1</t>
        </is>
      </c>
      <c r="B199" s="34" t="inlineStr">
        <is>
          <t>CST-03-008</t>
        </is>
      </c>
      <c r="C199" s="34" t="inlineStr">
        <is>
          <t>New</t>
        </is>
      </c>
      <c r="D199" s="34" t="inlineStr">
        <is>
          <t>Record first supplied in this revision</t>
        </is>
      </c>
      <c r="E199" s="39" t="inlineStr"/>
      <c r="F199" s="100" t="inlineStr">
        <is>
          <t>10 EVIDENCE &amp; DECISIONS</t>
        </is>
      </c>
      <c r="G199" s="41" t="n"/>
    </row>
    <row r="200" ht="79" customHeight="1">
      <c r="A200" s="34" t="inlineStr">
        <is>
          <t>R1251-v1</t>
        </is>
      </c>
      <c r="B200" s="34" t="inlineStr">
        <is>
          <t>CST-03-009</t>
        </is>
      </c>
      <c r="C200" s="34" t="inlineStr">
        <is>
          <t>New</t>
        </is>
      </c>
      <c r="D200" s="34" t="inlineStr">
        <is>
          <t>Record first supplied in this revision</t>
        </is>
      </c>
      <c r="E200" s="39" t="inlineStr"/>
      <c r="F200" s="100" t="inlineStr">
        <is>
          <t>10 EVIDENCE &amp; DECISIONS</t>
        </is>
      </c>
      <c r="G200" s="41" t="n"/>
    </row>
    <row r="201" ht="79" customHeight="1">
      <c r="A201" s="34" t="inlineStr">
        <is>
          <t>R1252-v1</t>
        </is>
      </c>
      <c r="B201" s="34" t="inlineStr">
        <is>
          <t>CST-03-010</t>
        </is>
      </c>
      <c r="C201" s="34" t="inlineStr">
        <is>
          <t>New</t>
        </is>
      </c>
      <c r="D201" s="34" t="inlineStr">
        <is>
          <t>Record first supplied in this revision</t>
        </is>
      </c>
      <c r="E201" s="39" t="inlineStr"/>
      <c r="F201" s="100" t="inlineStr">
        <is>
          <t>10 EVIDENCE &amp; DECISIONS</t>
        </is>
      </c>
      <c r="G201" s="41" t="n"/>
    </row>
    <row r="202" ht="79" customHeight="1">
      <c r="A202" s="34" t="inlineStr">
        <is>
          <t>R1253-v1</t>
        </is>
      </c>
      <c r="B202" s="34" t="inlineStr">
        <is>
          <t>CST-03-011</t>
        </is>
      </c>
      <c r="C202" s="34" t="inlineStr">
        <is>
          <t>New</t>
        </is>
      </c>
      <c r="D202" s="34" t="inlineStr">
        <is>
          <t>Record first supplied in this revision</t>
        </is>
      </c>
      <c r="E202" s="39" t="inlineStr"/>
      <c r="F202" s="100" t="inlineStr">
        <is>
          <t>10 EVIDENCE &amp; DECISIONS</t>
        </is>
      </c>
      <c r="G202" s="41" t="n"/>
    </row>
    <row r="203" ht="79" customHeight="1">
      <c r="A203" s="34" t="inlineStr">
        <is>
          <t>R1254-v1</t>
        </is>
      </c>
      <c r="B203" s="34" t="inlineStr">
        <is>
          <t>CST-03-012</t>
        </is>
      </c>
      <c r="C203" s="34" t="inlineStr">
        <is>
          <t>New</t>
        </is>
      </c>
      <c r="D203" s="34" t="inlineStr">
        <is>
          <t>Record first supplied in this revision</t>
        </is>
      </c>
      <c r="E203" s="39" t="inlineStr"/>
      <c r="F203" s="100" t="inlineStr">
        <is>
          <t>10 EVIDENCE &amp; DECISIONS</t>
        </is>
      </c>
      <c r="G203" s="41" t="n"/>
    </row>
    <row r="204" ht="79" customHeight="1">
      <c r="A204" s="34" t="inlineStr">
        <is>
          <t>R1255-v1</t>
        </is>
      </c>
      <c r="B204" s="34" t="inlineStr">
        <is>
          <t>CST-03-013</t>
        </is>
      </c>
      <c r="C204" s="34" t="inlineStr">
        <is>
          <t>New</t>
        </is>
      </c>
      <c r="D204" s="34" t="inlineStr">
        <is>
          <t>Record first supplied in this revision</t>
        </is>
      </c>
      <c r="E204" s="39" t="inlineStr"/>
      <c r="F204" s="100" t="inlineStr">
        <is>
          <t>10 EVIDENCE &amp; DECISIONS</t>
        </is>
      </c>
      <c r="G204" s="41" t="n"/>
    </row>
    <row r="205" ht="79" customHeight="1">
      <c r="A205" s="34" t="inlineStr">
        <is>
          <t>R1256-v1</t>
        </is>
      </c>
      <c r="B205" s="34" t="inlineStr">
        <is>
          <t>CST-03-014</t>
        </is>
      </c>
      <c r="C205" s="34" t="inlineStr">
        <is>
          <t>New</t>
        </is>
      </c>
      <c r="D205" s="34" t="inlineStr">
        <is>
          <t>Record first supplied in this revision</t>
        </is>
      </c>
      <c r="E205" s="39" t="inlineStr"/>
      <c r="F205" s="100" t="inlineStr">
        <is>
          <t>10 EVIDENCE &amp; DECISIONS</t>
        </is>
      </c>
      <c r="G205" s="41" t="n"/>
    </row>
    <row r="206" ht="79" customHeight="1">
      <c r="A206" s="34" t="inlineStr">
        <is>
          <t>R1257-v1</t>
        </is>
      </c>
      <c r="B206" s="34" t="inlineStr">
        <is>
          <t>CST-03-015</t>
        </is>
      </c>
      <c r="C206" s="34" t="inlineStr">
        <is>
          <t>New</t>
        </is>
      </c>
      <c r="D206" s="34" t="inlineStr">
        <is>
          <t>Record first supplied in this revision</t>
        </is>
      </c>
      <c r="E206" s="39" t="inlineStr"/>
      <c r="F206" s="100" t="inlineStr">
        <is>
          <t>10 EVIDENCE &amp; DECISIONS</t>
        </is>
      </c>
      <c r="G206" s="41" t="n"/>
    </row>
    <row r="207" ht="79" customHeight="1">
      <c r="A207" s="34" t="inlineStr">
        <is>
          <t>R1258-v1</t>
        </is>
      </c>
      <c r="B207" s="34" t="inlineStr">
        <is>
          <t>CST-03-016</t>
        </is>
      </c>
      <c r="C207" s="34" t="inlineStr">
        <is>
          <t>New</t>
        </is>
      </c>
      <c r="D207" s="34" t="inlineStr">
        <is>
          <t>Record first supplied in this revision</t>
        </is>
      </c>
      <c r="E207" s="39" t="inlineStr"/>
      <c r="F207" s="100" t="inlineStr">
        <is>
          <t>10 EVIDENCE &amp; DECISIONS</t>
        </is>
      </c>
      <c r="G207" s="41" t="n"/>
    </row>
    <row r="208" ht="79" customHeight="1">
      <c r="A208" s="34" t="inlineStr">
        <is>
          <t>R1259-v1</t>
        </is>
      </c>
      <c r="B208" s="34" t="inlineStr">
        <is>
          <t>CST-03-017</t>
        </is>
      </c>
      <c r="C208" s="34" t="inlineStr">
        <is>
          <t>New</t>
        </is>
      </c>
      <c r="D208" s="34" t="inlineStr">
        <is>
          <t>Record first supplied in this revision</t>
        </is>
      </c>
      <c r="E208" s="39" t="inlineStr"/>
      <c r="F208" s="100" t="inlineStr">
        <is>
          <t>10 EVIDENCE &amp; DECISIONS</t>
        </is>
      </c>
      <c r="G208" s="41" t="n"/>
    </row>
    <row r="209" ht="79" customHeight="1">
      <c r="A209" s="34" t="inlineStr">
        <is>
          <t>R1260-v1</t>
        </is>
      </c>
      <c r="B209" s="34" t="inlineStr">
        <is>
          <t>CST-03-018</t>
        </is>
      </c>
      <c r="C209" s="34" t="inlineStr">
        <is>
          <t>New</t>
        </is>
      </c>
      <c r="D209" s="34" t="inlineStr">
        <is>
          <t>Record first supplied in this revision</t>
        </is>
      </c>
      <c r="E209" s="39" t="inlineStr"/>
      <c r="F209" s="100" t="inlineStr">
        <is>
          <t>10 EVIDENCE &amp; DECISIONS</t>
        </is>
      </c>
      <c r="G209" s="41" t="n"/>
    </row>
    <row r="210" ht="79" customHeight="1">
      <c r="A210" s="34" t="inlineStr">
        <is>
          <t>R1261-v1</t>
        </is>
      </c>
      <c r="B210" s="34" t="inlineStr">
        <is>
          <t>CST-03-019</t>
        </is>
      </c>
      <c r="C210" s="34" t="inlineStr">
        <is>
          <t>New</t>
        </is>
      </c>
      <c r="D210" s="34" t="inlineStr">
        <is>
          <t>Record first supplied in this revision</t>
        </is>
      </c>
      <c r="E210" s="39" t="inlineStr"/>
      <c r="F210" s="100" t="inlineStr">
        <is>
          <t>10 EVIDENCE &amp; DECISIONS</t>
        </is>
      </c>
      <c r="G210" s="41" t="n"/>
    </row>
    <row r="211" ht="79" customHeight="1">
      <c r="A211" s="34" t="inlineStr">
        <is>
          <t>R1262-v1</t>
        </is>
      </c>
      <c r="B211" s="34" t="inlineStr">
        <is>
          <t>CST-03-020</t>
        </is>
      </c>
      <c r="C211" s="34" t="inlineStr">
        <is>
          <t>New</t>
        </is>
      </c>
      <c r="D211" s="34" t="inlineStr">
        <is>
          <t>Record first supplied in this revision</t>
        </is>
      </c>
      <c r="E211" s="39" t="inlineStr"/>
      <c r="F211" s="100" t="inlineStr">
        <is>
          <t>10 EVIDENCE &amp; DECISIONS</t>
        </is>
      </c>
      <c r="G211" s="41" t="n"/>
    </row>
    <row r="212" ht="79" customHeight="1">
      <c r="A212" s="34" t="inlineStr">
        <is>
          <t>R1263-v1</t>
        </is>
      </c>
      <c r="B212" s="34" t="inlineStr">
        <is>
          <t>CST-03-021</t>
        </is>
      </c>
      <c r="C212" s="34" t="inlineStr">
        <is>
          <t>New</t>
        </is>
      </c>
      <c r="D212" s="34" t="inlineStr">
        <is>
          <t>Record first supplied in this revision</t>
        </is>
      </c>
      <c r="E212" s="39" t="inlineStr"/>
      <c r="F212" s="100" t="inlineStr">
        <is>
          <t>10 EVIDENCE &amp; DECISIONS</t>
        </is>
      </c>
      <c r="G212" s="41" t="n"/>
    </row>
    <row r="213" ht="79" customHeight="1">
      <c r="A213" s="34" t="inlineStr">
        <is>
          <t>R1264-v1</t>
        </is>
      </c>
      <c r="B213" s="34" t="inlineStr">
        <is>
          <t>CST-03-022</t>
        </is>
      </c>
      <c r="C213" s="34" t="inlineStr">
        <is>
          <t>New</t>
        </is>
      </c>
      <c r="D213" s="34" t="inlineStr">
        <is>
          <t>Record first supplied in this revision</t>
        </is>
      </c>
      <c r="E213" s="39" t="inlineStr"/>
      <c r="F213" s="100" t="inlineStr">
        <is>
          <t>10 EVIDENCE &amp; DECISIONS</t>
        </is>
      </c>
      <c r="G213" s="41" t="n"/>
    </row>
    <row r="214" ht="79" customHeight="1">
      <c r="A214" s="34" t="inlineStr">
        <is>
          <t>R1265-v1</t>
        </is>
      </c>
      <c r="B214" s="34" t="inlineStr">
        <is>
          <t>CST-03-023</t>
        </is>
      </c>
      <c r="C214" s="34" t="inlineStr">
        <is>
          <t>New</t>
        </is>
      </c>
      <c r="D214" s="34" t="inlineStr">
        <is>
          <t>Record first supplied in this revision</t>
        </is>
      </c>
      <c r="E214" s="39" t="inlineStr"/>
      <c r="F214" s="100" t="inlineStr">
        <is>
          <t>10 EVIDENCE &amp; DECISIONS</t>
        </is>
      </c>
      <c r="G214" s="41" t="n"/>
    </row>
    <row r="215" ht="79" customHeight="1">
      <c r="A215" s="34" t="inlineStr">
        <is>
          <t>R1266-v1</t>
        </is>
      </c>
      <c r="B215" s="34" t="inlineStr">
        <is>
          <t>CST-03-024</t>
        </is>
      </c>
      <c r="C215" s="34" t="inlineStr">
        <is>
          <t>New</t>
        </is>
      </c>
      <c r="D215" s="34" t="inlineStr">
        <is>
          <t>Record first supplied in this revision</t>
        </is>
      </c>
      <c r="E215" s="39" t="inlineStr"/>
      <c r="F215" s="100" t="inlineStr">
        <is>
          <t>10 EVIDENCE &amp; DECISIONS</t>
        </is>
      </c>
      <c r="G215" s="41" t="n"/>
    </row>
    <row r="216" ht="79" customHeight="1">
      <c r="A216" s="34" t="inlineStr">
        <is>
          <t>R1267-v1</t>
        </is>
      </c>
      <c r="B216" s="34" t="inlineStr">
        <is>
          <t>CST-03-025</t>
        </is>
      </c>
      <c r="C216" s="34" t="inlineStr">
        <is>
          <t>New</t>
        </is>
      </c>
      <c r="D216" s="34" t="inlineStr">
        <is>
          <t>Record first supplied in this revision</t>
        </is>
      </c>
      <c r="E216" s="39" t="inlineStr"/>
      <c r="F216" s="100" t="inlineStr">
        <is>
          <t>10 EVIDENCE &amp; DECISIONS</t>
        </is>
      </c>
      <c r="G216" s="41" t="n"/>
    </row>
    <row r="217" ht="79" customHeight="1">
      <c r="A217" s="34" t="inlineStr">
        <is>
          <t>R1268-v1</t>
        </is>
      </c>
      <c r="B217" s="34" t="inlineStr">
        <is>
          <t>CST-03-026</t>
        </is>
      </c>
      <c r="C217" s="34" t="inlineStr">
        <is>
          <t>New</t>
        </is>
      </c>
      <c r="D217" s="34" t="inlineStr">
        <is>
          <t>Record first supplied in this revision</t>
        </is>
      </c>
      <c r="E217" s="39" t="inlineStr"/>
      <c r="F217" s="100" t="inlineStr">
        <is>
          <t>10 EVIDENCE &amp; DECISIONS</t>
        </is>
      </c>
      <c r="G217" s="41" t="n"/>
    </row>
    <row r="218" ht="79" customHeight="1">
      <c r="A218" s="34" t="inlineStr">
        <is>
          <t>R1269-v1</t>
        </is>
      </c>
      <c r="B218" s="34" t="inlineStr">
        <is>
          <t>CST-03-027</t>
        </is>
      </c>
      <c r="C218" s="34" t="inlineStr">
        <is>
          <t>New</t>
        </is>
      </c>
      <c r="D218" s="34" t="inlineStr">
        <is>
          <t>Record first supplied in this revision</t>
        </is>
      </c>
      <c r="E218" s="39" t="inlineStr"/>
      <c r="F218" s="100" t="inlineStr">
        <is>
          <t>10 EVIDENCE &amp; DECISIONS</t>
        </is>
      </c>
      <c r="G218" s="41" t="n"/>
    </row>
    <row r="219" ht="79" customHeight="1">
      <c r="A219" s="34" t="inlineStr">
        <is>
          <t>R1270-v1</t>
        </is>
      </c>
      <c r="B219" s="34" t="inlineStr">
        <is>
          <t>CST-03-028</t>
        </is>
      </c>
      <c r="C219" s="34" t="inlineStr">
        <is>
          <t>New</t>
        </is>
      </c>
      <c r="D219" s="34" t="inlineStr">
        <is>
          <t>Record first supplied in this revision</t>
        </is>
      </c>
      <c r="E219" s="39" t="inlineStr"/>
      <c r="F219" s="100" t="inlineStr">
        <is>
          <t>10 EVIDENCE &amp; DECISIONS</t>
        </is>
      </c>
      <c r="G219" s="41" t="n"/>
    </row>
    <row r="220" ht="79" customHeight="1">
      <c r="A220" s="34" t="inlineStr">
        <is>
          <t>R1271-v1</t>
        </is>
      </c>
      <c r="B220" s="34" t="inlineStr">
        <is>
          <t>CST-03-029</t>
        </is>
      </c>
      <c r="C220" s="34" t="inlineStr">
        <is>
          <t>New</t>
        </is>
      </c>
      <c r="D220" s="34" t="inlineStr">
        <is>
          <t>Record first supplied in this revision</t>
        </is>
      </c>
      <c r="E220" s="39" t="inlineStr"/>
      <c r="F220" s="100" t="inlineStr">
        <is>
          <t>10 EVIDENCE &amp; DECISIONS</t>
        </is>
      </c>
      <c r="G220" s="41" t="n"/>
    </row>
    <row r="221" ht="79" customHeight="1">
      <c r="A221" s="34" t="inlineStr">
        <is>
          <t>R1272-v1</t>
        </is>
      </c>
      <c r="B221" s="34" t="inlineStr">
        <is>
          <t>CST-03-030</t>
        </is>
      </c>
      <c r="C221" s="34" t="inlineStr">
        <is>
          <t>New</t>
        </is>
      </c>
      <c r="D221" s="34" t="inlineStr">
        <is>
          <t>Record first supplied in this revision</t>
        </is>
      </c>
      <c r="E221" s="39" t="inlineStr"/>
      <c r="F221" s="100" t="inlineStr">
        <is>
          <t>10 EVIDENCE &amp; DECISIONS</t>
        </is>
      </c>
      <c r="G221" s="41" t="n"/>
    </row>
    <row r="222" ht="79" customHeight="1">
      <c r="A222" s="34" t="inlineStr">
        <is>
          <t>R1273-v1</t>
        </is>
      </c>
      <c r="B222" s="34" t="inlineStr">
        <is>
          <t>CST-03-031</t>
        </is>
      </c>
      <c r="C222" s="34" t="inlineStr">
        <is>
          <t>New</t>
        </is>
      </c>
      <c r="D222" s="34" t="inlineStr">
        <is>
          <t>Record first supplied in this revision</t>
        </is>
      </c>
      <c r="E222" s="39" t="inlineStr"/>
      <c r="F222" s="100" t="inlineStr">
        <is>
          <t>10 EVIDENCE &amp; DECISIONS</t>
        </is>
      </c>
      <c r="G222" s="41" t="n"/>
    </row>
    <row r="223" ht="79" customHeight="1">
      <c r="A223" s="34" t="inlineStr">
        <is>
          <t>R1274-v1</t>
        </is>
      </c>
      <c r="B223" s="34" t="inlineStr">
        <is>
          <t>CST-03-032</t>
        </is>
      </c>
      <c r="C223" s="34" t="inlineStr">
        <is>
          <t>New</t>
        </is>
      </c>
      <c r="D223" s="34" t="inlineStr">
        <is>
          <t>Record first supplied in this revision</t>
        </is>
      </c>
      <c r="E223" s="39" t="inlineStr"/>
      <c r="F223" s="100" t="inlineStr">
        <is>
          <t>10 EVIDENCE &amp; DECISIONS</t>
        </is>
      </c>
      <c r="G223" s="41" t="n"/>
    </row>
    <row r="224" ht="79" customHeight="1">
      <c r="A224" s="34" t="inlineStr">
        <is>
          <t>R1275-v1</t>
        </is>
      </c>
      <c r="B224" s="34" t="inlineStr">
        <is>
          <t>CST-03-033</t>
        </is>
      </c>
      <c r="C224" s="34" t="inlineStr">
        <is>
          <t>New</t>
        </is>
      </c>
      <c r="D224" s="34" t="inlineStr">
        <is>
          <t>Record first supplied in this revision</t>
        </is>
      </c>
      <c r="E224" s="39" t="inlineStr"/>
      <c r="F224" s="100" t="inlineStr">
        <is>
          <t>10 EVIDENCE &amp; DECISIONS</t>
        </is>
      </c>
      <c r="G224" s="41" t="n"/>
    </row>
    <row r="225" ht="79" customHeight="1">
      <c r="A225" s="34" t="inlineStr">
        <is>
          <t>R1276-v1</t>
        </is>
      </c>
      <c r="B225" s="34" t="inlineStr">
        <is>
          <t>CST-03-034</t>
        </is>
      </c>
      <c r="C225" s="34" t="inlineStr">
        <is>
          <t>New</t>
        </is>
      </c>
      <c r="D225" s="34" t="inlineStr">
        <is>
          <t>Record first supplied in this revision</t>
        </is>
      </c>
      <c r="E225" s="39" t="inlineStr"/>
      <c r="F225" s="100" t="inlineStr">
        <is>
          <t>10 EVIDENCE &amp; DECISIONS</t>
        </is>
      </c>
      <c r="G225" s="41" t="n"/>
    </row>
    <row r="226" ht="79" customHeight="1">
      <c r="A226" s="34" t="inlineStr">
        <is>
          <t>R1277-v1</t>
        </is>
      </c>
      <c r="B226" s="34" t="inlineStr">
        <is>
          <t>CST-03-035</t>
        </is>
      </c>
      <c r="C226" s="34" t="inlineStr">
        <is>
          <t>New</t>
        </is>
      </c>
      <c r="D226" s="34" t="inlineStr">
        <is>
          <t>Record first supplied in this revision</t>
        </is>
      </c>
      <c r="E226" s="39" t="inlineStr"/>
      <c r="F226" s="100" t="inlineStr">
        <is>
          <t>10 EVIDENCE &amp; DECISIONS</t>
        </is>
      </c>
      <c r="G226" s="41" t="n"/>
    </row>
    <row r="227" ht="79" customHeight="1">
      <c r="A227" s="34" t="inlineStr">
        <is>
          <t>R1278-v1</t>
        </is>
      </c>
      <c r="B227" s="34" t="inlineStr">
        <is>
          <t>CST-03-036</t>
        </is>
      </c>
      <c r="C227" s="34" t="inlineStr">
        <is>
          <t>New</t>
        </is>
      </c>
      <c r="D227" s="34" t="inlineStr">
        <is>
          <t>Record first supplied in this revision</t>
        </is>
      </c>
      <c r="E227" s="39" t="inlineStr"/>
      <c r="F227" s="100" t="inlineStr">
        <is>
          <t>10 EVIDENCE &amp; DECISIONS</t>
        </is>
      </c>
      <c r="G227" s="41" t="n"/>
    </row>
    <row r="228" ht="79" customHeight="1">
      <c r="A228" s="34" t="inlineStr">
        <is>
          <t>R1279-v1</t>
        </is>
      </c>
      <c r="B228" s="34" t="inlineStr">
        <is>
          <t>CST-03-037</t>
        </is>
      </c>
      <c r="C228" s="34" t="inlineStr">
        <is>
          <t>New</t>
        </is>
      </c>
      <c r="D228" s="34" t="inlineStr">
        <is>
          <t>Record first supplied in this revision</t>
        </is>
      </c>
      <c r="E228" s="39" t="inlineStr"/>
      <c r="F228" s="100" t="inlineStr">
        <is>
          <t>10 EVIDENCE &amp; DECISIONS</t>
        </is>
      </c>
      <c r="G228" s="41" t="n"/>
    </row>
    <row r="229" ht="79" customHeight="1">
      <c r="A229" s="34" t="inlineStr">
        <is>
          <t>R1280-v1</t>
        </is>
      </c>
      <c r="B229" s="34" t="inlineStr">
        <is>
          <t>CST-03-038</t>
        </is>
      </c>
      <c r="C229" s="34" t="inlineStr">
        <is>
          <t>New</t>
        </is>
      </c>
      <c r="D229" s="34" t="inlineStr">
        <is>
          <t>Record first supplied in this revision</t>
        </is>
      </c>
      <c r="E229" s="39" t="inlineStr"/>
      <c r="F229" s="100" t="inlineStr">
        <is>
          <t>10 EVIDENCE &amp; DECISIONS</t>
        </is>
      </c>
      <c r="G229" s="41" t="n"/>
    </row>
    <row r="230" ht="79" customHeight="1">
      <c r="A230" s="34" t="inlineStr">
        <is>
          <t>R1281-v1</t>
        </is>
      </c>
      <c r="B230" s="34" t="inlineStr">
        <is>
          <t>CST-03-039</t>
        </is>
      </c>
      <c r="C230" s="34" t="inlineStr">
        <is>
          <t>New</t>
        </is>
      </c>
      <c r="D230" s="34" t="inlineStr">
        <is>
          <t>Record first supplied in this revision</t>
        </is>
      </c>
      <c r="E230" s="39" t="inlineStr"/>
      <c r="F230" s="100" t="inlineStr">
        <is>
          <t>10 EVIDENCE &amp; DECISIONS</t>
        </is>
      </c>
      <c r="G230" s="41" t="n"/>
    </row>
    <row r="231" ht="79" customHeight="1">
      <c r="A231" s="34" t="inlineStr">
        <is>
          <t>R1282-v1</t>
        </is>
      </c>
      <c r="B231" s="34" t="inlineStr">
        <is>
          <t>CST-03-040</t>
        </is>
      </c>
      <c r="C231" s="34" t="inlineStr">
        <is>
          <t>New</t>
        </is>
      </c>
      <c r="D231" s="34" t="inlineStr">
        <is>
          <t>Record first supplied in this revision</t>
        </is>
      </c>
      <c r="E231" s="39" t="inlineStr"/>
      <c r="F231" s="100" t="inlineStr">
        <is>
          <t>10 EVIDENCE &amp; DECISIONS</t>
        </is>
      </c>
      <c r="G231" s="41" t="n"/>
    </row>
    <row r="232" ht="79" customHeight="1">
      <c r="A232" s="34" t="inlineStr">
        <is>
          <t>R1283-v1</t>
        </is>
      </c>
      <c r="B232" s="34" t="inlineStr">
        <is>
          <t>CST-03-041</t>
        </is>
      </c>
      <c r="C232" s="34" t="inlineStr">
        <is>
          <t>New</t>
        </is>
      </c>
      <c r="D232" s="34" t="inlineStr">
        <is>
          <t>Record first supplied in this revision</t>
        </is>
      </c>
      <c r="E232" s="39" t="inlineStr"/>
      <c r="F232" s="100" t="inlineStr">
        <is>
          <t>10 EVIDENCE &amp; DECISIONS</t>
        </is>
      </c>
      <c r="G232" s="41" t="n"/>
    </row>
    <row r="233" ht="79" customHeight="1">
      <c r="A233" s="34" t="inlineStr">
        <is>
          <t>R1284-v1</t>
        </is>
      </c>
      <c r="B233" s="34" t="inlineStr">
        <is>
          <t>CST-03-042</t>
        </is>
      </c>
      <c r="C233" s="34" t="inlineStr">
        <is>
          <t>New</t>
        </is>
      </c>
      <c r="D233" s="34" t="inlineStr">
        <is>
          <t>Record first supplied in this revision</t>
        </is>
      </c>
      <c r="E233" s="39" t="inlineStr"/>
      <c r="F233" s="100" t="inlineStr">
        <is>
          <t>10 EVIDENCE &amp; DECISIONS</t>
        </is>
      </c>
      <c r="G233" s="41" t="n"/>
    </row>
    <row r="234" ht="79" customHeight="1">
      <c r="A234" s="34" t="inlineStr">
        <is>
          <t>R1285-v1</t>
        </is>
      </c>
      <c r="B234" s="34" t="inlineStr">
        <is>
          <t>CST-03-043</t>
        </is>
      </c>
      <c r="C234" s="34" t="inlineStr">
        <is>
          <t>New</t>
        </is>
      </c>
      <c r="D234" s="34" t="inlineStr">
        <is>
          <t>Record first supplied in this revision</t>
        </is>
      </c>
      <c r="E234" s="39" t="inlineStr"/>
      <c r="F234" s="100" t="inlineStr">
        <is>
          <t>10 EVIDENCE &amp; DECISIONS</t>
        </is>
      </c>
      <c r="G234" s="41" t="n"/>
    </row>
    <row r="235" ht="79" customHeight="1">
      <c r="A235" s="34" t="inlineStr">
        <is>
          <t>R1286-v1</t>
        </is>
      </c>
      <c r="B235" s="34" t="inlineStr">
        <is>
          <t>CST-03-044</t>
        </is>
      </c>
      <c r="C235" s="34" t="inlineStr">
        <is>
          <t>New</t>
        </is>
      </c>
      <c r="D235" s="34" t="inlineStr">
        <is>
          <t>Record first supplied in this revision</t>
        </is>
      </c>
      <c r="E235" s="39" t="inlineStr"/>
      <c r="F235" s="100" t="inlineStr">
        <is>
          <t>10 EVIDENCE &amp; DECISIONS</t>
        </is>
      </c>
      <c r="G235" s="41" t="n"/>
    </row>
    <row r="236" ht="79" customHeight="1">
      <c r="A236" s="34" t="inlineStr">
        <is>
          <t>R1287-v1</t>
        </is>
      </c>
      <c r="B236" s="34" t="inlineStr">
        <is>
          <t>CST-03-045</t>
        </is>
      </c>
      <c r="C236" s="34" t="inlineStr">
        <is>
          <t>New</t>
        </is>
      </c>
      <c r="D236" s="34" t="inlineStr">
        <is>
          <t>Record first supplied in this revision</t>
        </is>
      </c>
      <c r="E236" s="39" t="inlineStr"/>
      <c r="F236" s="100" t="inlineStr">
        <is>
          <t>10 EVIDENCE &amp; DECISIONS</t>
        </is>
      </c>
      <c r="G236" s="41" t="n"/>
    </row>
    <row r="237" ht="79" customHeight="1">
      <c r="A237" s="34" t="inlineStr">
        <is>
          <t>R1288-v1</t>
        </is>
      </c>
      <c r="B237" s="34" t="inlineStr">
        <is>
          <t>CST-03-046</t>
        </is>
      </c>
      <c r="C237" s="34" t="inlineStr">
        <is>
          <t>New</t>
        </is>
      </c>
      <c r="D237" s="34" t="inlineStr">
        <is>
          <t>Record first supplied in this revision</t>
        </is>
      </c>
      <c r="E237" s="39" t="inlineStr"/>
      <c r="F237" s="100" t="inlineStr">
        <is>
          <t>10 EVIDENCE &amp; DECISIONS</t>
        </is>
      </c>
      <c r="G237" s="41" t="n"/>
    </row>
    <row r="238" ht="79" customHeight="1">
      <c r="A238" s="34" t="inlineStr">
        <is>
          <t>R1289-v1</t>
        </is>
      </c>
      <c r="B238" s="34" t="inlineStr">
        <is>
          <t>CST-03-047</t>
        </is>
      </c>
      <c r="C238" s="34" t="inlineStr">
        <is>
          <t>New</t>
        </is>
      </c>
      <c r="D238" s="34" t="inlineStr">
        <is>
          <t>Record first supplied in this revision</t>
        </is>
      </c>
      <c r="E238" s="39" t="inlineStr"/>
      <c r="F238" s="100" t="inlineStr">
        <is>
          <t>10 EVIDENCE &amp; DECISIONS</t>
        </is>
      </c>
      <c r="G238" s="41" t="n"/>
    </row>
    <row r="239" ht="79" customHeight="1">
      <c r="A239" s="34" t="inlineStr">
        <is>
          <t>R1290-v1</t>
        </is>
      </c>
      <c r="B239" s="34" t="inlineStr">
        <is>
          <t>CST-03-048</t>
        </is>
      </c>
      <c r="C239" s="34" t="inlineStr">
        <is>
          <t>New</t>
        </is>
      </c>
      <c r="D239" s="34" t="inlineStr">
        <is>
          <t>Record first supplied in this revision</t>
        </is>
      </c>
      <c r="E239" s="39" t="inlineStr"/>
      <c r="F239" s="100" t="inlineStr">
        <is>
          <t>10 EVIDENCE &amp; DECISIONS</t>
        </is>
      </c>
      <c r="G239" s="41" t="n"/>
    </row>
    <row r="240" ht="79" customHeight="1">
      <c r="A240" s="34" t="inlineStr">
        <is>
          <t>R1291-v1</t>
        </is>
      </c>
      <c r="B240" s="34" t="inlineStr">
        <is>
          <t>CST-03-049</t>
        </is>
      </c>
      <c r="C240" s="34" t="inlineStr">
        <is>
          <t>New</t>
        </is>
      </c>
      <c r="D240" s="34" t="inlineStr">
        <is>
          <t>Record first supplied in this revision</t>
        </is>
      </c>
      <c r="E240" s="39" t="inlineStr"/>
      <c r="F240" s="100" t="inlineStr">
        <is>
          <t>10 EVIDENCE &amp; DECISIONS</t>
        </is>
      </c>
      <c r="G240" s="41" t="n"/>
    </row>
    <row r="241" ht="79" customHeight="1">
      <c r="A241" s="34" t="inlineStr">
        <is>
          <t>R1292-v1</t>
        </is>
      </c>
      <c r="B241" s="34" t="inlineStr">
        <is>
          <t>CST-03-050</t>
        </is>
      </c>
      <c r="C241" s="34" t="inlineStr">
        <is>
          <t>New</t>
        </is>
      </c>
      <c r="D241" s="34" t="inlineStr">
        <is>
          <t>Record first supplied in this revision</t>
        </is>
      </c>
      <c r="E241" s="39" t="inlineStr"/>
      <c r="F241" s="100" t="inlineStr">
        <is>
          <t>10 EVIDENCE &amp; DECISIONS</t>
        </is>
      </c>
      <c r="G241" s="41" t="n"/>
    </row>
    <row r="242" ht="79" customHeight="1">
      <c r="A242" s="34" t="inlineStr">
        <is>
          <t>R1293-v1</t>
        </is>
      </c>
      <c r="B242" s="34" t="inlineStr">
        <is>
          <t>CST-03-051</t>
        </is>
      </c>
      <c r="C242" s="34" t="inlineStr">
        <is>
          <t>New</t>
        </is>
      </c>
      <c r="D242" s="34" t="inlineStr">
        <is>
          <t>Record first supplied in this revision</t>
        </is>
      </c>
      <c r="E242" s="39" t="inlineStr"/>
      <c r="F242" s="100" t="inlineStr">
        <is>
          <t>10 EVIDENCE &amp; DECISIONS</t>
        </is>
      </c>
      <c r="G242" s="41" t="n"/>
    </row>
    <row r="243" ht="79" customHeight="1">
      <c r="A243" s="34" t="inlineStr">
        <is>
          <t>R1294-v1</t>
        </is>
      </c>
      <c r="B243" s="34" t="inlineStr">
        <is>
          <t>CST-03-052</t>
        </is>
      </c>
      <c r="C243" s="34" t="inlineStr">
        <is>
          <t>New</t>
        </is>
      </c>
      <c r="D243" s="34" t="inlineStr">
        <is>
          <t>Record first supplied in this revision</t>
        </is>
      </c>
      <c r="E243" s="39" t="inlineStr"/>
      <c r="F243" s="100" t="inlineStr">
        <is>
          <t>10 EVIDENCE &amp; DECISIONS</t>
        </is>
      </c>
      <c r="G243" s="41" t="n"/>
    </row>
    <row r="244" ht="79" customHeight="1">
      <c r="A244" s="34" t="inlineStr">
        <is>
          <t>R1295-v1</t>
        </is>
      </c>
      <c r="B244" s="34" t="inlineStr">
        <is>
          <t>CST-03-053</t>
        </is>
      </c>
      <c r="C244" s="34" t="inlineStr">
        <is>
          <t>New</t>
        </is>
      </c>
      <c r="D244" s="34" t="inlineStr">
        <is>
          <t>Record first supplied in this revision</t>
        </is>
      </c>
      <c r="E244" s="39" t="inlineStr"/>
      <c r="F244" s="100" t="inlineStr">
        <is>
          <t>10 EVIDENCE &amp; DECISIONS</t>
        </is>
      </c>
      <c r="G244" s="41" t="n"/>
    </row>
    <row r="245" ht="79" customHeight="1">
      <c r="A245" s="34" t="inlineStr">
        <is>
          <t>R1296-v1</t>
        </is>
      </c>
      <c r="B245" s="34" t="inlineStr">
        <is>
          <t>CST-03-054</t>
        </is>
      </c>
      <c r="C245" s="34" t="inlineStr">
        <is>
          <t>New</t>
        </is>
      </c>
      <c r="D245" s="34" t="inlineStr">
        <is>
          <t>Record first supplied in this revision</t>
        </is>
      </c>
      <c r="E245" s="39" t="inlineStr"/>
      <c r="F245" s="100" t="inlineStr">
        <is>
          <t>10 EVIDENCE &amp; DECISIONS</t>
        </is>
      </c>
      <c r="G245" s="41" t="n"/>
    </row>
    <row r="246" ht="79" customHeight="1">
      <c r="A246" s="34" t="inlineStr">
        <is>
          <t>R1297-v1</t>
        </is>
      </c>
      <c r="B246" s="34" t="inlineStr">
        <is>
          <t>CST-03-055</t>
        </is>
      </c>
      <c r="C246" s="34" t="inlineStr">
        <is>
          <t>New</t>
        </is>
      </c>
      <c r="D246" s="34" t="inlineStr">
        <is>
          <t>Record first supplied in this revision</t>
        </is>
      </c>
      <c r="E246" s="39" t="inlineStr"/>
      <c r="F246" s="100" t="inlineStr">
        <is>
          <t>10 EVIDENCE &amp; DECISIONS</t>
        </is>
      </c>
      <c r="G246" s="41" t="n"/>
    </row>
    <row r="247" ht="79" customHeight="1">
      <c r="A247" s="34" t="inlineStr">
        <is>
          <t>R1298-v1</t>
        </is>
      </c>
      <c r="B247" s="34" t="inlineStr">
        <is>
          <t>CST-03-056</t>
        </is>
      </c>
      <c r="C247" s="34" t="inlineStr">
        <is>
          <t>New</t>
        </is>
      </c>
      <c r="D247" s="34" t="inlineStr">
        <is>
          <t>Record first supplied in this revision</t>
        </is>
      </c>
      <c r="E247" s="39" t="inlineStr"/>
      <c r="F247" s="100" t="inlineStr">
        <is>
          <t>10 EVIDENCE &amp; DECISIONS</t>
        </is>
      </c>
      <c r="G247" s="41" t="n"/>
    </row>
    <row r="248" ht="79" customHeight="1">
      <c r="A248" s="34" t="inlineStr">
        <is>
          <t>R1299-v1</t>
        </is>
      </c>
      <c r="B248" s="34" t="inlineStr">
        <is>
          <t>CST-03-057</t>
        </is>
      </c>
      <c r="C248" s="34" t="inlineStr">
        <is>
          <t>New</t>
        </is>
      </c>
      <c r="D248" s="34" t="inlineStr">
        <is>
          <t>Record first supplied in this revision</t>
        </is>
      </c>
      <c r="E248" s="39" t="inlineStr"/>
      <c r="F248" s="100" t="inlineStr">
        <is>
          <t>10 EVIDENCE &amp; DECISIONS</t>
        </is>
      </c>
      <c r="G248" s="41" t="n"/>
    </row>
    <row r="249" ht="79" customHeight="1">
      <c r="A249" s="34" t="inlineStr">
        <is>
          <t>R1300-v1</t>
        </is>
      </c>
      <c r="B249" s="34" t="inlineStr">
        <is>
          <t>CST-03-058</t>
        </is>
      </c>
      <c r="C249" s="34" t="inlineStr">
        <is>
          <t>New</t>
        </is>
      </c>
      <c r="D249" s="34" t="inlineStr">
        <is>
          <t>Record first supplied in this revision</t>
        </is>
      </c>
      <c r="E249" s="39" t="inlineStr"/>
      <c r="F249" s="100" t="inlineStr">
        <is>
          <t>10 EVIDENCE &amp; DECISIONS</t>
        </is>
      </c>
      <c r="G249" s="41" t="n"/>
    </row>
    <row r="250" ht="79" customHeight="1">
      <c r="A250" s="34" t="inlineStr">
        <is>
          <t>R1301-v1</t>
        </is>
      </c>
      <c r="B250" s="34" t="inlineStr">
        <is>
          <t>CST-03-059</t>
        </is>
      </c>
      <c r="C250" s="34" t="inlineStr">
        <is>
          <t>New</t>
        </is>
      </c>
      <c r="D250" s="34" t="inlineStr">
        <is>
          <t>Record first supplied in this revision</t>
        </is>
      </c>
      <c r="E250" s="39" t="inlineStr"/>
      <c r="F250" s="100" t="inlineStr">
        <is>
          <t>10 EVIDENCE &amp; DECISIONS</t>
        </is>
      </c>
      <c r="G250" s="41" t="n"/>
    </row>
    <row r="251" ht="79" customHeight="1">
      <c r="A251" s="34" t="inlineStr">
        <is>
          <t>R1302-v1</t>
        </is>
      </c>
      <c r="B251" s="34" t="inlineStr">
        <is>
          <t>CST-03-060</t>
        </is>
      </c>
      <c r="C251" s="34" t="inlineStr">
        <is>
          <t>New</t>
        </is>
      </c>
      <c r="D251" s="34" t="inlineStr">
        <is>
          <t>Record first supplied in this revision</t>
        </is>
      </c>
      <c r="E251" s="39" t="inlineStr"/>
      <c r="F251" s="100" t="inlineStr">
        <is>
          <t>10 EVIDENCE &amp; DECISIONS</t>
        </is>
      </c>
      <c r="G251" s="41" t="n"/>
    </row>
    <row r="252" ht="79" customHeight="1">
      <c r="A252" s="34" t="inlineStr">
        <is>
          <t>R1303-v1</t>
        </is>
      </c>
      <c r="B252" s="34" t="inlineStr">
        <is>
          <t>CST-03-061</t>
        </is>
      </c>
      <c r="C252" s="34" t="inlineStr">
        <is>
          <t>New</t>
        </is>
      </c>
      <c r="D252" s="34" t="inlineStr">
        <is>
          <t>Record first supplied in this revision</t>
        </is>
      </c>
      <c r="E252" s="39" t="inlineStr"/>
      <c r="F252" s="100" t="inlineStr">
        <is>
          <t>10 EVIDENCE &amp; DECISIONS</t>
        </is>
      </c>
      <c r="G252" s="41" t="n"/>
    </row>
    <row r="253" ht="79" customHeight="1">
      <c r="A253" s="34" t="inlineStr">
        <is>
          <t>R1304-v1</t>
        </is>
      </c>
      <c r="B253" s="34" t="inlineStr">
        <is>
          <t>CST-03-062</t>
        </is>
      </c>
      <c r="C253" s="34" t="inlineStr">
        <is>
          <t>New</t>
        </is>
      </c>
      <c r="D253" s="34" t="inlineStr">
        <is>
          <t>Record first supplied in this revision</t>
        </is>
      </c>
      <c r="E253" s="39" t="inlineStr"/>
      <c r="F253" s="100" t="inlineStr">
        <is>
          <t>10 EVIDENCE &amp; DECISIONS</t>
        </is>
      </c>
      <c r="G253" s="41" t="n"/>
    </row>
    <row r="254" ht="79" customHeight="1">
      <c r="A254" s="34" t="inlineStr">
        <is>
          <t>R1305-v1</t>
        </is>
      </c>
      <c r="B254" s="34" t="inlineStr">
        <is>
          <t>CST-03-063</t>
        </is>
      </c>
      <c r="C254" s="34" t="inlineStr">
        <is>
          <t>New</t>
        </is>
      </c>
      <c r="D254" s="34" t="inlineStr">
        <is>
          <t>Record first supplied in this revision</t>
        </is>
      </c>
      <c r="E254" s="39" t="inlineStr"/>
      <c r="F254" s="100" t="inlineStr">
        <is>
          <t>10 EVIDENCE &amp; DECISIONS</t>
        </is>
      </c>
      <c r="G254" s="41" t="n"/>
    </row>
    <row r="255" ht="79" customHeight="1">
      <c r="A255" s="34" t="inlineStr">
        <is>
          <t>R1306-v1</t>
        </is>
      </c>
      <c r="B255" s="34" t="inlineStr">
        <is>
          <t>CST-03-064</t>
        </is>
      </c>
      <c r="C255" s="34" t="inlineStr">
        <is>
          <t>New</t>
        </is>
      </c>
      <c r="D255" s="34" t="inlineStr">
        <is>
          <t>Record first supplied in this revision</t>
        </is>
      </c>
      <c r="E255" s="39" t="inlineStr"/>
      <c r="F255" s="100" t="inlineStr">
        <is>
          <t>10 EVIDENCE &amp; DECISIONS</t>
        </is>
      </c>
      <c r="G255" s="41" t="n"/>
    </row>
    <row r="256" ht="79" customHeight="1">
      <c r="A256" s="34" t="inlineStr">
        <is>
          <t>R1307-v1</t>
        </is>
      </c>
      <c r="B256" s="34" t="inlineStr">
        <is>
          <t>CST-03-065</t>
        </is>
      </c>
      <c r="C256" s="34" t="inlineStr">
        <is>
          <t>New</t>
        </is>
      </c>
      <c r="D256" s="34" t="inlineStr">
        <is>
          <t>Record first supplied in this revision</t>
        </is>
      </c>
      <c r="E256" s="39" t="inlineStr"/>
      <c r="F256" s="100" t="inlineStr">
        <is>
          <t>10 EVIDENCE &amp; DECISIONS</t>
        </is>
      </c>
      <c r="G256" s="41" t="n"/>
    </row>
    <row r="257" ht="79" customHeight="1">
      <c r="A257" s="34" t="inlineStr">
        <is>
          <t>R1308-v1</t>
        </is>
      </c>
      <c r="B257" s="34" t="inlineStr">
        <is>
          <t>CST-03-066</t>
        </is>
      </c>
      <c r="C257" s="34" t="inlineStr">
        <is>
          <t>New</t>
        </is>
      </c>
      <c r="D257" s="34" t="inlineStr">
        <is>
          <t>Record first supplied in this revision</t>
        </is>
      </c>
      <c r="E257" s="39" t="inlineStr"/>
      <c r="F257" s="100" t="inlineStr">
        <is>
          <t>10 EVIDENCE &amp; DECISIONS</t>
        </is>
      </c>
      <c r="G257" s="41" t="n"/>
    </row>
    <row r="258" ht="79" customHeight="1">
      <c r="A258" s="34" t="inlineStr">
        <is>
          <t>R1309-v1</t>
        </is>
      </c>
      <c r="B258" s="34" t="inlineStr">
        <is>
          <t>CST-03-067</t>
        </is>
      </c>
      <c r="C258" s="34" t="inlineStr">
        <is>
          <t>New</t>
        </is>
      </c>
      <c r="D258" s="34" t="inlineStr">
        <is>
          <t>Record first supplied in this revision</t>
        </is>
      </c>
      <c r="E258" s="39" t="inlineStr"/>
      <c r="F258" s="100" t="inlineStr">
        <is>
          <t>10 EVIDENCE &amp; DECISIONS</t>
        </is>
      </c>
      <c r="G258" s="41" t="n"/>
    </row>
    <row r="259" ht="79" customHeight="1">
      <c r="A259" s="34" t="inlineStr">
        <is>
          <t>R1310-v1</t>
        </is>
      </c>
      <c r="B259" s="34" t="inlineStr">
        <is>
          <t>CST-03-068</t>
        </is>
      </c>
      <c r="C259" s="34" t="inlineStr">
        <is>
          <t>New</t>
        </is>
      </c>
      <c r="D259" s="34" t="inlineStr">
        <is>
          <t>Record first supplied in this revision</t>
        </is>
      </c>
      <c r="E259" s="39" t="inlineStr"/>
      <c r="F259" s="100" t="inlineStr">
        <is>
          <t>10 EVIDENCE &amp; DECISIONS</t>
        </is>
      </c>
      <c r="G259" s="41" t="n"/>
    </row>
    <row r="260" ht="79" customHeight="1">
      <c r="A260" s="34" t="inlineStr">
        <is>
          <t>R1311-v1</t>
        </is>
      </c>
      <c r="B260" s="34" t="inlineStr">
        <is>
          <t>CST-03-069</t>
        </is>
      </c>
      <c r="C260" s="34" t="inlineStr">
        <is>
          <t>New</t>
        </is>
      </c>
      <c r="D260" s="34" t="inlineStr">
        <is>
          <t>Record first supplied in this revision</t>
        </is>
      </c>
      <c r="E260" s="39" t="inlineStr"/>
      <c r="F260" s="100" t="inlineStr">
        <is>
          <t>10 EVIDENCE &amp; DECISIONS</t>
        </is>
      </c>
      <c r="G260" s="41" t="n"/>
    </row>
    <row r="261" ht="79" customHeight="1">
      <c r="A261" s="34" t="inlineStr">
        <is>
          <t>R1312-v1</t>
        </is>
      </c>
      <c r="B261" s="34" t="inlineStr">
        <is>
          <t>CST-03-070</t>
        </is>
      </c>
      <c r="C261" s="34" t="inlineStr">
        <is>
          <t>New</t>
        </is>
      </c>
      <c r="D261" s="34" t="inlineStr">
        <is>
          <t>Record first supplied in this revision</t>
        </is>
      </c>
      <c r="E261" s="39" t="inlineStr"/>
      <c r="F261" s="100" t="inlineStr">
        <is>
          <t>10 EVIDENCE &amp; DECISIONS</t>
        </is>
      </c>
      <c r="G261" s="41" t="n"/>
    </row>
    <row r="262" ht="79" customHeight="1">
      <c r="A262" s="34" t="inlineStr">
        <is>
          <t>R1313-v1</t>
        </is>
      </c>
      <c r="B262" s="34" t="inlineStr">
        <is>
          <t>CST-03-071</t>
        </is>
      </c>
      <c r="C262" s="34" t="inlineStr">
        <is>
          <t>New</t>
        </is>
      </c>
      <c r="D262" s="34" t="inlineStr">
        <is>
          <t>Record first supplied in this revision</t>
        </is>
      </c>
      <c r="E262" s="39" t="inlineStr"/>
      <c r="F262" s="100" t="inlineStr">
        <is>
          <t>10 EVIDENCE &amp; DECISIONS</t>
        </is>
      </c>
      <c r="G262" s="41" t="n"/>
    </row>
    <row r="263" ht="79" customHeight="1">
      <c r="A263" s="34" t="inlineStr">
        <is>
          <t>R1314-v1</t>
        </is>
      </c>
      <c r="B263" s="34" t="inlineStr">
        <is>
          <t>CST-03-072</t>
        </is>
      </c>
      <c r="C263" s="34" t="inlineStr">
        <is>
          <t>New</t>
        </is>
      </c>
      <c r="D263" s="34" t="inlineStr">
        <is>
          <t>Record first supplied in this revision</t>
        </is>
      </c>
      <c r="E263" s="39" t="inlineStr"/>
      <c r="F263" s="100" t="inlineStr">
        <is>
          <t>10 EVIDENCE &amp; DECISIONS</t>
        </is>
      </c>
      <c r="G263" s="41" t="n"/>
    </row>
    <row r="264" ht="79" customHeight="1">
      <c r="A264" s="34" t="inlineStr">
        <is>
          <t>R1315-v1</t>
        </is>
      </c>
      <c r="B264" s="34" t="inlineStr">
        <is>
          <t>CST-03-073</t>
        </is>
      </c>
      <c r="C264" s="34" t="inlineStr">
        <is>
          <t>New</t>
        </is>
      </c>
      <c r="D264" s="34" t="inlineStr">
        <is>
          <t>Record first supplied in this revision</t>
        </is>
      </c>
      <c r="E264" s="39" t="inlineStr"/>
      <c r="F264" s="100" t="inlineStr">
        <is>
          <t>10 EVIDENCE &amp; DECISIONS</t>
        </is>
      </c>
      <c r="G264" s="41" t="n"/>
    </row>
    <row r="265" ht="79" customHeight="1">
      <c r="A265" s="34" t="inlineStr">
        <is>
          <t>R1316-v1</t>
        </is>
      </c>
      <c r="B265" s="34" t="inlineStr">
        <is>
          <t>CST-03-074</t>
        </is>
      </c>
      <c r="C265" s="34" t="inlineStr">
        <is>
          <t>New</t>
        </is>
      </c>
      <c r="D265" s="34" t="inlineStr">
        <is>
          <t>Record first supplied in this revision</t>
        </is>
      </c>
      <c r="E265" s="39" t="inlineStr"/>
      <c r="F265" s="100" t="inlineStr">
        <is>
          <t>10 EVIDENCE &amp; DECISIONS</t>
        </is>
      </c>
      <c r="G265" s="41" t="n"/>
    </row>
    <row r="266" ht="79" customHeight="1">
      <c r="A266" s="34" t="inlineStr">
        <is>
          <t>R1317-v1</t>
        </is>
      </c>
      <c r="B266" s="34" t="inlineStr">
        <is>
          <t>CST-03-075</t>
        </is>
      </c>
      <c r="C266" s="34" t="inlineStr">
        <is>
          <t>New</t>
        </is>
      </c>
      <c r="D266" s="34" t="inlineStr">
        <is>
          <t>Record first supplied in this revision</t>
        </is>
      </c>
      <c r="E266" s="39" t="inlineStr"/>
      <c r="F266" s="100" t="inlineStr">
        <is>
          <t>10 EVIDENCE &amp; DECISIONS</t>
        </is>
      </c>
      <c r="G266" s="41" t="n"/>
    </row>
    <row r="267" ht="79" customHeight="1">
      <c r="A267" s="34" t="inlineStr">
        <is>
          <t>R1318-v1</t>
        </is>
      </c>
      <c r="B267" s="34" t="inlineStr">
        <is>
          <t>CST-03-076</t>
        </is>
      </c>
      <c r="C267" s="34" t="inlineStr">
        <is>
          <t>New</t>
        </is>
      </c>
      <c r="D267" s="34" t="inlineStr">
        <is>
          <t>Record first supplied in this revision</t>
        </is>
      </c>
      <c r="E267" s="39" t="inlineStr"/>
      <c r="F267" s="100" t="inlineStr">
        <is>
          <t>10 EVIDENCE &amp; DECISIONS</t>
        </is>
      </c>
      <c r="G267" s="41" t="n"/>
    </row>
    <row r="268" ht="79" customHeight="1">
      <c r="A268" s="34" t="inlineStr">
        <is>
          <t>R1319-v1</t>
        </is>
      </c>
      <c r="B268" s="34" t="inlineStr">
        <is>
          <t>CST-03-077</t>
        </is>
      </c>
      <c r="C268" s="34" t="inlineStr">
        <is>
          <t>New</t>
        </is>
      </c>
      <c r="D268" s="34" t="inlineStr">
        <is>
          <t>Record first supplied in this revision</t>
        </is>
      </c>
      <c r="E268" s="39" t="inlineStr"/>
      <c r="F268" s="100" t="inlineStr">
        <is>
          <t>10 EVIDENCE &amp; DECISIONS</t>
        </is>
      </c>
      <c r="G268" s="41" t="n"/>
    </row>
    <row r="269" ht="79" customHeight="1">
      <c r="A269" s="34" t="inlineStr">
        <is>
          <t>R1320-v1</t>
        </is>
      </c>
      <c r="B269" s="34" t="inlineStr">
        <is>
          <t>CST-03-078</t>
        </is>
      </c>
      <c r="C269" s="34" t="inlineStr">
        <is>
          <t>New</t>
        </is>
      </c>
      <c r="D269" s="34" t="inlineStr">
        <is>
          <t>Record first supplied in this revision</t>
        </is>
      </c>
      <c r="E269" s="39" t="inlineStr"/>
      <c r="F269" s="100" t="inlineStr">
        <is>
          <t>10 EVIDENCE &amp; DECISIONS</t>
        </is>
      </c>
      <c r="G269" s="41" t="n"/>
    </row>
    <row r="270" ht="79" customHeight="1">
      <c r="A270" s="34" t="inlineStr">
        <is>
          <t>R1321-v1</t>
        </is>
      </c>
      <c r="B270" s="34" t="inlineStr">
        <is>
          <t>CST-03-079</t>
        </is>
      </c>
      <c r="C270" s="34" t="inlineStr">
        <is>
          <t>New</t>
        </is>
      </c>
      <c r="D270" s="34" t="inlineStr">
        <is>
          <t>Record first supplied in this revision</t>
        </is>
      </c>
      <c r="E270" s="39" t="inlineStr"/>
      <c r="F270" s="100" t="inlineStr">
        <is>
          <t>10 EVIDENCE &amp; DECISIONS</t>
        </is>
      </c>
      <c r="G270" s="41" t="n"/>
    </row>
    <row r="271" ht="79" customHeight="1">
      <c r="A271" s="34" t="inlineStr">
        <is>
          <t>R1322-v1</t>
        </is>
      </c>
      <c r="B271" s="34" t="inlineStr">
        <is>
          <t>CST-03-080</t>
        </is>
      </c>
      <c r="C271" s="34" t="inlineStr">
        <is>
          <t>New</t>
        </is>
      </c>
      <c r="D271" s="34" t="inlineStr">
        <is>
          <t>Record first supplied in this revision</t>
        </is>
      </c>
      <c r="E271" s="39" t="inlineStr"/>
      <c r="F271" s="100" t="inlineStr">
        <is>
          <t>10 EVIDENCE &amp; DECISIONS</t>
        </is>
      </c>
      <c r="G271" s="41" t="n"/>
    </row>
    <row r="272" ht="79" customHeight="1">
      <c r="A272" s="34" t="inlineStr">
        <is>
          <t>R1323-v1</t>
        </is>
      </c>
      <c r="B272" s="34" t="inlineStr">
        <is>
          <t>CST-04-001</t>
        </is>
      </c>
      <c r="C272" s="34" t="inlineStr">
        <is>
          <t>New</t>
        </is>
      </c>
      <c r="D272" s="34" t="inlineStr">
        <is>
          <t>Record first supplied in this revision</t>
        </is>
      </c>
      <c r="E272" s="39" t="inlineStr"/>
      <c r="F272" s="100" t="inlineStr">
        <is>
          <t>10 EVIDENCE &amp; DECISIONS</t>
        </is>
      </c>
      <c r="G272" s="41" t="n"/>
    </row>
    <row r="273" ht="79" customHeight="1">
      <c r="A273" s="34" t="inlineStr">
        <is>
          <t>R1324-v1</t>
        </is>
      </c>
      <c r="B273" s="34" t="inlineStr">
        <is>
          <t>CST-04-002</t>
        </is>
      </c>
      <c r="C273" s="34" t="inlineStr">
        <is>
          <t>New</t>
        </is>
      </c>
      <c r="D273" s="34" t="inlineStr">
        <is>
          <t>Record first supplied in this revision</t>
        </is>
      </c>
      <c r="E273" s="39" t="inlineStr"/>
      <c r="F273" s="100" t="inlineStr">
        <is>
          <t>10 EVIDENCE &amp; DECISIONS</t>
        </is>
      </c>
      <c r="G273" s="41" t="n"/>
    </row>
    <row r="274" ht="79" customHeight="1">
      <c r="A274" s="34" t="inlineStr">
        <is>
          <t>R1325-v1</t>
        </is>
      </c>
      <c r="B274" s="34" t="inlineStr">
        <is>
          <t>CST-04-003</t>
        </is>
      </c>
      <c r="C274" s="34" t="inlineStr">
        <is>
          <t>New</t>
        </is>
      </c>
      <c r="D274" s="34" t="inlineStr">
        <is>
          <t>Record first supplied in this revision</t>
        </is>
      </c>
      <c r="E274" s="39" t="inlineStr"/>
      <c r="F274" s="100" t="inlineStr">
        <is>
          <t>10 EVIDENCE &amp; DECISIONS</t>
        </is>
      </c>
      <c r="G274" s="41" t="n"/>
    </row>
    <row r="275" ht="79" customHeight="1">
      <c r="A275" s="34" t="inlineStr">
        <is>
          <t>R1326-v1</t>
        </is>
      </c>
      <c r="B275" s="34" t="inlineStr">
        <is>
          <t>CST-04-004</t>
        </is>
      </c>
      <c r="C275" s="34" t="inlineStr">
        <is>
          <t>New</t>
        </is>
      </c>
      <c r="D275" s="34" t="inlineStr">
        <is>
          <t>Record first supplied in this revision</t>
        </is>
      </c>
      <c r="E275" s="39" t="inlineStr"/>
      <c r="F275" s="100" t="inlineStr">
        <is>
          <t>10 EVIDENCE &amp; DECISIONS</t>
        </is>
      </c>
      <c r="G275" s="41" t="n"/>
    </row>
    <row r="276" ht="79" customHeight="1">
      <c r="A276" s="34" t="inlineStr">
        <is>
          <t>R1327-v1</t>
        </is>
      </c>
      <c r="B276" s="34" t="inlineStr">
        <is>
          <t>CST-04-005</t>
        </is>
      </c>
      <c r="C276" s="34" t="inlineStr">
        <is>
          <t>New</t>
        </is>
      </c>
      <c r="D276" s="34" t="inlineStr">
        <is>
          <t>Record first supplied in this revision</t>
        </is>
      </c>
      <c r="E276" s="39" t="inlineStr"/>
      <c r="F276" s="100" t="inlineStr">
        <is>
          <t>10 EVIDENCE &amp; DECISIONS</t>
        </is>
      </c>
      <c r="G276" s="41" t="n"/>
    </row>
    <row r="277" ht="79" customHeight="1">
      <c r="A277" s="34" t="inlineStr">
        <is>
          <t>R1328-v1</t>
        </is>
      </c>
      <c r="B277" s="34" t="inlineStr">
        <is>
          <t>CST-04-006</t>
        </is>
      </c>
      <c r="C277" s="34" t="inlineStr">
        <is>
          <t>New</t>
        </is>
      </c>
      <c r="D277" s="34" t="inlineStr">
        <is>
          <t>Record first supplied in this revision</t>
        </is>
      </c>
      <c r="E277" s="39" t="inlineStr"/>
      <c r="F277" s="100" t="inlineStr">
        <is>
          <t>10 EVIDENCE &amp; DECISIONS</t>
        </is>
      </c>
      <c r="G277" s="41" t="n"/>
    </row>
    <row r="278" ht="79" customHeight="1">
      <c r="A278" s="34" t="inlineStr">
        <is>
          <t>R1329-v1</t>
        </is>
      </c>
      <c r="B278" s="34" t="inlineStr">
        <is>
          <t>CST-04-007</t>
        </is>
      </c>
      <c r="C278" s="34" t="inlineStr">
        <is>
          <t>New</t>
        </is>
      </c>
      <c r="D278" s="34" t="inlineStr">
        <is>
          <t>Record first supplied in this revision</t>
        </is>
      </c>
      <c r="E278" s="39" t="inlineStr"/>
      <c r="F278" s="100" t="inlineStr">
        <is>
          <t>10 EVIDENCE &amp; DECISIONS</t>
        </is>
      </c>
      <c r="G278" s="41" t="n"/>
    </row>
    <row r="279" ht="79" customHeight="1">
      <c r="A279" s="34" t="inlineStr">
        <is>
          <t>R1330-v1</t>
        </is>
      </c>
      <c r="B279" s="34" t="inlineStr">
        <is>
          <t>CST-04-008</t>
        </is>
      </c>
      <c r="C279" s="34" t="inlineStr">
        <is>
          <t>New</t>
        </is>
      </c>
      <c r="D279" s="34" t="inlineStr">
        <is>
          <t>Record first supplied in this revision</t>
        </is>
      </c>
      <c r="E279" s="39" t="inlineStr"/>
      <c r="F279" s="100" t="inlineStr">
        <is>
          <t>10 EVIDENCE &amp; DECISIONS</t>
        </is>
      </c>
      <c r="G279" s="41" t="n"/>
    </row>
    <row r="280" ht="79" customHeight="1">
      <c r="A280" s="34" t="inlineStr">
        <is>
          <t>R1331-v1</t>
        </is>
      </c>
      <c r="B280" s="34" t="inlineStr">
        <is>
          <t>CST-04-009</t>
        </is>
      </c>
      <c r="C280" s="34" t="inlineStr">
        <is>
          <t>New</t>
        </is>
      </c>
      <c r="D280" s="34" t="inlineStr">
        <is>
          <t>Record first supplied in this revision</t>
        </is>
      </c>
      <c r="E280" s="39" t="inlineStr"/>
      <c r="F280" s="100" t="inlineStr">
        <is>
          <t>10 EVIDENCE &amp; DECISIONS</t>
        </is>
      </c>
      <c r="G280" s="41" t="n"/>
    </row>
    <row r="281" ht="79" customHeight="1">
      <c r="A281" s="34" t="inlineStr">
        <is>
          <t>R1332-v1</t>
        </is>
      </c>
      <c r="B281" s="34" t="inlineStr">
        <is>
          <t>CST-04-010</t>
        </is>
      </c>
      <c r="C281" s="34" t="inlineStr">
        <is>
          <t>New</t>
        </is>
      </c>
      <c r="D281" s="34" t="inlineStr">
        <is>
          <t>Record first supplied in this revision</t>
        </is>
      </c>
      <c r="E281" s="39" t="inlineStr"/>
      <c r="F281" s="100" t="inlineStr">
        <is>
          <t>10 EVIDENCE &amp; DECISIONS</t>
        </is>
      </c>
      <c r="G281" s="41" t="n"/>
    </row>
    <row r="282" ht="79" customHeight="1">
      <c r="A282" s="34" t="inlineStr">
        <is>
          <t>R1333-v1</t>
        </is>
      </c>
      <c r="B282" s="34" t="inlineStr">
        <is>
          <t>CST-04-011</t>
        </is>
      </c>
      <c r="C282" s="34" t="inlineStr">
        <is>
          <t>New</t>
        </is>
      </c>
      <c r="D282" s="34" t="inlineStr">
        <is>
          <t>Record first supplied in this revision</t>
        </is>
      </c>
      <c r="E282" s="39" t="inlineStr"/>
      <c r="F282" s="100" t="inlineStr">
        <is>
          <t>10 EVIDENCE &amp; DECISIONS</t>
        </is>
      </c>
      <c r="G282" s="41" t="n"/>
    </row>
    <row r="283" ht="79" customHeight="1">
      <c r="A283" s="34" t="inlineStr">
        <is>
          <t>R1334-v1</t>
        </is>
      </c>
      <c r="B283" s="34" t="inlineStr">
        <is>
          <t>CST-04-012</t>
        </is>
      </c>
      <c r="C283" s="34" t="inlineStr">
        <is>
          <t>New</t>
        </is>
      </c>
      <c r="D283" s="34" t="inlineStr">
        <is>
          <t>Record first supplied in this revision</t>
        </is>
      </c>
      <c r="E283" s="39" t="inlineStr"/>
      <c r="F283" s="100" t="inlineStr">
        <is>
          <t>10 EVIDENCE &amp; DECISIONS</t>
        </is>
      </c>
      <c r="G283" s="41" t="n"/>
    </row>
    <row r="284" ht="79" customHeight="1">
      <c r="A284" s="34" t="inlineStr">
        <is>
          <t>R1335-v1</t>
        </is>
      </c>
      <c r="B284" s="34" t="inlineStr">
        <is>
          <t>CST-04-013</t>
        </is>
      </c>
      <c r="C284" s="34" t="inlineStr">
        <is>
          <t>New</t>
        </is>
      </c>
      <c r="D284" s="34" t="inlineStr">
        <is>
          <t>Record first supplied in this revision</t>
        </is>
      </c>
      <c r="E284" s="39" t="inlineStr"/>
      <c r="F284" s="100" t="inlineStr">
        <is>
          <t>10 EVIDENCE &amp; DECISIONS</t>
        </is>
      </c>
      <c r="G284" s="41" t="n"/>
    </row>
    <row r="285" ht="79" customHeight="1">
      <c r="A285" s="34" t="inlineStr">
        <is>
          <t>R1336-v1</t>
        </is>
      </c>
      <c r="B285" s="34" t="inlineStr">
        <is>
          <t>CST-04-014</t>
        </is>
      </c>
      <c r="C285" s="34" t="inlineStr">
        <is>
          <t>New</t>
        </is>
      </c>
      <c r="D285" s="34" t="inlineStr">
        <is>
          <t>Record first supplied in this revision</t>
        </is>
      </c>
      <c r="E285" s="39" t="inlineStr"/>
      <c r="F285" s="100" t="inlineStr">
        <is>
          <t>10 EVIDENCE &amp; DECISIONS</t>
        </is>
      </c>
      <c r="G285" s="41" t="n"/>
    </row>
    <row r="286" ht="79" customHeight="1">
      <c r="A286" s="34" t="inlineStr">
        <is>
          <t>R1337-v1</t>
        </is>
      </c>
      <c r="B286" s="34" t="inlineStr">
        <is>
          <t>CST-04-015</t>
        </is>
      </c>
      <c r="C286" s="34" t="inlineStr">
        <is>
          <t>New</t>
        </is>
      </c>
      <c r="D286" s="34" t="inlineStr">
        <is>
          <t>Record first supplied in this revision</t>
        </is>
      </c>
      <c r="E286" s="39" t="inlineStr"/>
      <c r="F286" s="100" t="inlineStr">
        <is>
          <t>10 EVIDENCE &amp; DECISIONS</t>
        </is>
      </c>
      <c r="G286" s="41" t="n"/>
    </row>
    <row r="287" ht="79" customHeight="1">
      <c r="A287" s="34" t="inlineStr">
        <is>
          <t>R1338-v1</t>
        </is>
      </c>
      <c r="B287" s="34" t="inlineStr">
        <is>
          <t>CST-04-016</t>
        </is>
      </c>
      <c r="C287" s="34" t="inlineStr">
        <is>
          <t>New</t>
        </is>
      </c>
      <c r="D287" s="34" t="inlineStr">
        <is>
          <t>Record first supplied in this revision</t>
        </is>
      </c>
      <c r="E287" s="39" t="inlineStr"/>
      <c r="F287" s="100" t="inlineStr">
        <is>
          <t>10 EVIDENCE &amp; DECISIONS</t>
        </is>
      </c>
      <c r="G287" s="41" t="n"/>
    </row>
    <row r="288" ht="79" customHeight="1">
      <c r="A288" s="34" t="inlineStr">
        <is>
          <t>R1339-v1</t>
        </is>
      </c>
      <c r="B288" s="34" t="inlineStr">
        <is>
          <t>CST-04-017</t>
        </is>
      </c>
      <c r="C288" s="34" t="inlineStr">
        <is>
          <t>New</t>
        </is>
      </c>
      <c r="D288" s="34" t="inlineStr">
        <is>
          <t>Record first supplied in this revision</t>
        </is>
      </c>
      <c r="E288" s="39" t="inlineStr"/>
      <c r="F288" s="100" t="inlineStr">
        <is>
          <t>10 EVIDENCE &amp; DECISIONS</t>
        </is>
      </c>
      <c r="G288" s="41" t="n"/>
    </row>
    <row r="289" ht="79" customHeight="1">
      <c r="A289" s="34" t="inlineStr">
        <is>
          <t>R1340-v1</t>
        </is>
      </c>
      <c r="B289" s="34" t="inlineStr">
        <is>
          <t>CST-04-018</t>
        </is>
      </c>
      <c r="C289" s="34" t="inlineStr">
        <is>
          <t>New</t>
        </is>
      </c>
      <c r="D289" s="34" t="inlineStr">
        <is>
          <t>Record first supplied in this revision</t>
        </is>
      </c>
      <c r="E289" s="39" t="inlineStr"/>
      <c r="F289" s="100" t="inlineStr">
        <is>
          <t>10 EVIDENCE &amp; DECISIONS</t>
        </is>
      </c>
      <c r="G289" s="41" t="n"/>
    </row>
    <row r="290" ht="79" customHeight="1">
      <c r="A290" s="34" t="inlineStr">
        <is>
          <t>R1341-v1</t>
        </is>
      </c>
      <c r="B290" s="34" t="inlineStr">
        <is>
          <t>CST-04-019</t>
        </is>
      </c>
      <c r="C290" s="34" t="inlineStr">
        <is>
          <t>New</t>
        </is>
      </c>
      <c r="D290" s="34" t="inlineStr">
        <is>
          <t>Record first supplied in this revision</t>
        </is>
      </c>
      <c r="E290" s="39" t="inlineStr"/>
      <c r="F290" s="100" t="inlineStr">
        <is>
          <t>10 EVIDENCE &amp; DECISIONS</t>
        </is>
      </c>
      <c r="G290" s="41" t="n"/>
    </row>
    <row r="291" ht="79" customHeight="1">
      <c r="A291" s="34" t="inlineStr">
        <is>
          <t>R1342-v1</t>
        </is>
      </c>
      <c r="B291" s="34" t="inlineStr">
        <is>
          <t>CST-04-020</t>
        </is>
      </c>
      <c r="C291" s="34" t="inlineStr">
        <is>
          <t>New</t>
        </is>
      </c>
      <c r="D291" s="34" t="inlineStr">
        <is>
          <t>Record first supplied in this revision</t>
        </is>
      </c>
      <c r="E291" s="39" t="inlineStr"/>
      <c r="F291" s="100" t="inlineStr">
        <is>
          <t>10 EVIDENCE &amp; DECISIONS</t>
        </is>
      </c>
      <c r="G291" s="41" t="n"/>
    </row>
    <row r="292" ht="79" customHeight="1">
      <c r="A292" s="34" t="inlineStr">
        <is>
          <t>R1343-v1</t>
        </is>
      </c>
      <c r="B292" s="34" t="inlineStr">
        <is>
          <t>CST-04-021</t>
        </is>
      </c>
      <c r="C292" s="34" t="inlineStr">
        <is>
          <t>New</t>
        </is>
      </c>
      <c r="D292" s="34" t="inlineStr">
        <is>
          <t>Record first supplied in this revision</t>
        </is>
      </c>
      <c r="E292" s="39" t="inlineStr"/>
      <c r="F292" s="100" t="inlineStr">
        <is>
          <t>10 EVIDENCE &amp; DECISIONS</t>
        </is>
      </c>
      <c r="G292" s="41" t="n"/>
    </row>
    <row r="293" ht="79" customHeight="1">
      <c r="A293" s="34" t="inlineStr">
        <is>
          <t>R1344-v1</t>
        </is>
      </c>
      <c r="B293" s="34" t="inlineStr">
        <is>
          <t>CST-04-022</t>
        </is>
      </c>
      <c r="C293" s="34" t="inlineStr">
        <is>
          <t>New</t>
        </is>
      </c>
      <c r="D293" s="34" t="inlineStr">
        <is>
          <t>Record first supplied in this revision</t>
        </is>
      </c>
      <c r="E293" s="39" t="inlineStr"/>
      <c r="F293" s="100" t="inlineStr">
        <is>
          <t>10 EVIDENCE &amp; DECISIONS</t>
        </is>
      </c>
      <c r="G293" s="41" t="n"/>
    </row>
    <row r="294" ht="79" customHeight="1">
      <c r="A294" s="34" t="inlineStr">
        <is>
          <t>R1345-v1</t>
        </is>
      </c>
      <c r="B294" s="34" t="inlineStr">
        <is>
          <t>CST-04-023</t>
        </is>
      </c>
      <c r="C294" s="34" t="inlineStr">
        <is>
          <t>New</t>
        </is>
      </c>
      <c r="D294" s="34" t="inlineStr">
        <is>
          <t>Record first supplied in this revision</t>
        </is>
      </c>
      <c r="E294" s="39" t="inlineStr"/>
      <c r="F294" s="100" t="inlineStr">
        <is>
          <t>10 EVIDENCE &amp; DECISIONS</t>
        </is>
      </c>
      <c r="G294" s="41" t="n"/>
    </row>
    <row r="295" ht="79" customHeight="1">
      <c r="A295" s="34" t="inlineStr">
        <is>
          <t>R1346-v1</t>
        </is>
      </c>
      <c r="B295" s="34" t="inlineStr">
        <is>
          <t>CST-04-024</t>
        </is>
      </c>
      <c r="C295" s="34" t="inlineStr">
        <is>
          <t>New</t>
        </is>
      </c>
      <c r="D295" s="34" t="inlineStr">
        <is>
          <t>Record first supplied in this revision</t>
        </is>
      </c>
      <c r="E295" s="39" t="inlineStr"/>
      <c r="F295" s="100" t="inlineStr">
        <is>
          <t>10 EVIDENCE &amp; DECISIONS</t>
        </is>
      </c>
      <c r="G295" s="41" t="n"/>
    </row>
    <row r="296" ht="79" customHeight="1">
      <c r="A296" s="34" t="inlineStr">
        <is>
          <t>R1347-v1</t>
        </is>
      </c>
      <c r="B296" s="34" t="inlineStr">
        <is>
          <t>CST-04-025</t>
        </is>
      </c>
      <c r="C296" s="34" t="inlineStr">
        <is>
          <t>New</t>
        </is>
      </c>
      <c r="D296" s="34" t="inlineStr">
        <is>
          <t>Record first supplied in this revision</t>
        </is>
      </c>
      <c r="E296" s="39" t="inlineStr"/>
      <c r="F296" s="100" t="inlineStr">
        <is>
          <t>10 EVIDENCE &amp; DECISIONS</t>
        </is>
      </c>
      <c r="G296" s="41" t="n"/>
    </row>
    <row r="297" ht="79" customHeight="1">
      <c r="A297" s="34" t="inlineStr">
        <is>
          <t>R1348-v1</t>
        </is>
      </c>
      <c r="B297" s="34" t="inlineStr">
        <is>
          <t>CST-04-026</t>
        </is>
      </c>
      <c r="C297" s="34" t="inlineStr">
        <is>
          <t>New</t>
        </is>
      </c>
      <c r="D297" s="34" t="inlineStr">
        <is>
          <t>Record first supplied in this revision</t>
        </is>
      </c>
      <c r="E297" s="39" t="inlineStr"/>
      <c r="F297" s="100" t="inlineStr">
        <is>
          <t>10 EVIDENCE &amp; DECISIONS</t>
        </is>
      </c>
      <c r="G297" s="41" t="n"/>
    </row>
    <row r="298" ht="79" customHeight="1">
      <c r="A298" s="34" t="inlineStr">
        <is>
          <t>R1349-v1</t>
        </is>
      </c>
      <c r="B298" s="34" t="inlineStr">
        <is>
          <t>CST-04-027</t>
        </is>
      </c>
      <c r="C298" s="34" t="inlineStr">
        <is>
          <t>New</t>
        </is>
      </c>
      <c r="D298" s="34" t="inlineStr">
        <is>
          <t>Record first supplied in this revision</t>
        </is>
      </c>
      <c r="E298" s="39" t="inlineStr"/>
      <c r="F298" s="100" t="inlineStr">
        <is>
          <t>10 EVIDENCE &amp; DECISIONS</t>
        </is>
      </c>
      <c r="G298" s="41" t="n"/>
    </row>
    <row r="299" ht="79" customHeight="1">
      <c r="A299" s="34" t="inlineStr">
        <is>
          <t>R1350-v1</t>
        </is>
      </c>
      <c r="B299" s="34" t="inlineStr">
        <is>
          <t>CST-04-028</t>
        </is>
      </c>
      <c r="C299" s="34" t="inlineStr">
        <is>
          <t>New</t>
        </is>
      </c>
      <c r="D299" s="34" t="inlineStr">
        <is>
          <t>Record first supplied in this revision</t>
        </is>
      </c>
      <c r="E299" s="39" t="inlineStr"/>
      <c r="F299" s="100" t="inlineStr">
        <is>
          <t>10 EVIDENCE &amp; DECISIONS</t>
        </is>
      </c>
      <c r="G299" s="41" t="n"/>
    </row>
    <row r="300" ht="79" customHeight="1">
      <c r="A300" s="34" t="inlineStr">
        <is>
          <t>R1351-v1</t>
        </is>
      </c>
      <c r="B300" s="34" t="inlineStr">
        <is>
          <t>CST-04-029</t>
        </is>
      </c>
      <c r="C300" s="34" t="inlineStr">
        <is>
          <t>New</t>
        </is>
      </c>
      <c r="D300" s="34" t="inlineStr">
        <is>
          <t>Record first supplied in this revision</t>
        </is>
      </c>
      <c r="E300" s="39" t="inlineStr"/>
      <c r="F300" s="100" t="inlineStr">
        <is>
          <t>10 EVIDENCE &amp; DECISIONS</t>
        </is>
      </c>
      <c r="G300" s="41" t="n"/>
    </row>
    <row r="301" ht="79" customHeight="1">
      <c r="A301" s="34" t="inlineStr">
        <is>
          <t>R1352-v1</t>
        </is>
      </c>
      <c r="B301" s="34" t="inlineStr">
        <is>
          <t>CST-04-030</t>
        </is>
      </c>
      <c r="C301" s="34" t="inlineStr">
        <is>
          <t>New</t>
        </is>
      </c>
      <c r="D301" s="34" t="inlineStr">
        <is>
          <t>Record first supplied in this revision</t>
        </is>
      </c>
      <c r="E301" s="39" t="inlineStr"/>
      <c r="F301" s="100" t="inlineStr">
        <is>
          <t>10 EVIDENCE &amp; DECISIONS</t>
        </is>
      </c>
      <c r="G301" s="41" t="n"/>
    </row>
    <row r="302" ht="79" customHeight="1">
      <c r="A302" s="34" t="inlineStr">
        <is>
          <t>R1353-v1</t>
        </is>
      </c>
      <c r="B302" s="34" t="inlineStr">
        <is>
          <t>CST-04-031</t>
        </is>
      </c>
      <c r="C302" s="34" t="inlineStr">
        <is>
          <t>New</t>
        </is>
      </c>
      <c r="D302" s="34" t="inlineStr">
        <is>
          <t>Record first supplied in this revision</t>
        </is>
      </c>
      <c r="E302" s="39" t="inlineStr"/>
      <c r="F302" s="100" t="inlineStr">
        <is>
          <t>10 EVIDENCE &amp; DECISIONS</t>
        </is>
      </c>
      <c r="G302" s="41" t="n"/>
    </row>
    <row r="303" ht="79" customHeight="1">
      <c r="A303" s="34" t="inlineStr">
        <is>
          <t>R1354-v1</t>
        </is>
      </c>
      <c r="B303" s="34" t="inlineStr">
        <is>
          <t>CST-04-032</t>
        </is>
      </c>
      <c r="C303" s="34" t="inlineStr">
        <is>
          <t>New</t>
        </is>
      </c>
      <c r="D303" s="34" t="inlineStr">
        <is>
          <t>Record first supplied in this revision</t>
        </is>
      </c>
      <c r="E303" s="39" t="inlineStr"/>
      <c r="F303" s="100" t="inlineStr">
        <is>
          <t>10 EVIDENCE &amp; DECISIONS</t>
        </is>
      </c>
      <c r="G303" s="41" t="n"/>
    </row>
    <row r="304" ht="79" customHeight="1">
      <c r="A304" s="34" t="inlineStr">
        <is>
          <t>R1355-v1</t>
        </is>
      </c>
      <c r="B304" s="34" t="inlineStr">
        <is>
          <t>CST-04-033</t>
        </is>
      </c>
      <c r="C304" s="34" t="inlineStr">
        <is>
          <t>New</t>
        </is>
      </c>
      <c r="D304" s="34" t="inlineStr">
        <is>
          <t>Record first supplied in this revision</t>
        </is>
      </c>
      <c r="E304" s="39" t="inlineStr"/>
      <c r="F304" s="100" t="inlineStr">
        <is>
          <t>10 EVIDENCE &amp; DECISIONS</t>
        </is>
      </c>
      <c r="G304" s="41" t="n"/>
    </row>
    <row r="305" ht="79" customHeight="1">
      <c r="A305" s="34" t="inlineStr">
        <is>
          <t>R1356-v1</t>
        </is>
      </c>
      <c r="B305" s="34" t="inlineStr">
        <is>
          <t>CST-04-034</t>
        </is>
      </c>
      <c r="C305" s="34" t="inlineStr">
        <is>
          <t>New</t>
        </is>
      </c>
      <c r="D305" s="34" t="inlineStr">
        <is>
          <t>Record first supplied in this revision</t>
        </is>
      </c>
      <c r="E305" s="39" t="inlineStr"/>
      <c r="F305" s="100" t="inlineStr">
        <is>
          <t>10 EVIDENCE &amp; DECISIONS</t>
        </is>
      </c>
      <c r="G305" s="41" t="n"/>
    </row>
    <row r="306" ht="79" customHeight="1">
      <c r="A306" s="34" t="inlineStr">
        <is>
          <t>R1357-v1</t>
        </is>
      </c>
      <c r="B306" s="34" t="inlineStr">
        <is>
          <t>CST-04-035</t>
        </is>
      </c>
      <c r="C306" s="34" t="inlineStr">
        <is>
          <t>New</t>
        </is>
      </c>
      <c r="D306" s="34" t="inlineStr">
        <is>
          <t>Record first supplied in this revision</t>
        </is>
      </c>
      <c r="E306" s="39" t="inlineStr"/>
      <c r="F306" s="100" t="inlineStr">
        <is>
          <t>10 EVIDENCE &amp; DECISIONS</t>
        </is>
      </c>
      <c r="G306" s="41" t="n"/>
    </row>
    <row r="307" ht="79" customHeight="1">
      <c r="A307" s="34" t="inlineStr">
        <is>
          <t>R1358-v1</t>
        </is>
      </c>
      <c r="B307" s="34" t="inlineStr">
        <is>
          <t>CST-04-036</t>
        </is>
      </c>
      <c r="C307" s="34" t="inlineStr">
        <is>
          <t>New</t>
        </is>
      </c>
      <c r="D307" s="34" t="inlineStr">
        <is>
          <t>Record first supplied in this revision</t>
        </is>
      </c>
      <c r="E307" s="39" t="inlineStr"/>
      <c r="F307" s="100" t="inlineStr">
        <is>
          <t>10 EVIDENCE &amp; DECISIONS</t>
        </is>
      </c>
      <c r="G307" s="41" t="n"/>
    </row>
    <row r="308" ht="79" customHeight="1">
      <c r="A308" s="34" t="inlineStr">
        <is>
          <t>R1359-v1</t>
        </is>
      </c>
      <c r="B308" s="34" t="inlineStr">
        <is>
          <t>CST-04-037</t>
        </is>
      </c>
      <c r="C308" s="34" t="inlineStr">
        <is>
          <t>New</t>
        </is>
      </c>
      <c r="D308" s="34" t="inlineStr">
        <is>
          <t>Record first supplied in this revision</t>
        </is>
      </c>
      <c r="E308" s="39" t="inlineStr"/>
      <c r="F308" s="100" t="inlineStr">
        <is>
          <t>10 EVIDENCE &amp; DECISIONS</t>
        </is>
      </c>
      <c r="G308" s="41" t="n"/>
    </row>
    <row r="309" ht="79" customHeight="1">
      <c r="A309" s="34" t="inlineStr">
        <is>
          <t>R1360-v1</t>
        </is>
      </c>
      <c r="B309" s="34" t="inlineStr">
        <is>
          <t>CST-04-038</t>
        </is>
      </c>
      <c r="C309" s="34" t="inlineStr">
        <is>
          <t>New</t>
        </is>
      </c>
      <c r="D309" s="34" t="inlineStr">
        <is>
          <t>Record first supplied in this revision</t>
        </is>
      </c>
      <c r="E309" s="39" t="inlineStr"/>
      <c r="F309" s="100" t="inlineStr">
        <is>
          <t>10 EVIDENCE &amp; DECISIONS</t>
        </is>
      </c>
      <c r="G309" s="41" t="n"/>
    </row>
    <row r="310" ht="79" customHeight="1">
      <c r="A310" s="34" t="inlineStr">
        <is>
          <t>R1361-v1</t>
        </is>
      </c>
      <c r="B310" s="34" t="inlineStr">
        <is>
          <t>CST-04-039</t>
        </is>
      </c>
      <c r="C310" s="34" t="inlineStr">
        <is>
          <t>New</t>
        </is>
      </c>
      <c r="D310" s="34" t="inlineStr">
        <is>
          <t>Record first supplied in this revision</t>
        </is>
      </c>
      <c r="E310" s="39" t="inlineStr"/>
      <c r="F310" s="100" t="inlineStr">
        <is>
          <t>10 EVIDENCE &amp; DECISIONS</t>
        </is>
      </c>
      <c r="G310" s="41" t="n"/>
    </row>
    <row r="311" ht="79" customHeight="1">
      <c r="A311" s="34" t="inlineStr">
        <is>
          <t>R1362-v1</t>
        </is>
      </c>
      <c r="B311" s="34" t="inlineStr">
        <is>
          <t>CST-04-040</t>
        </is>
      </c>
      <c r="C311" s="34" t="inlineStr">
        <is>
          <t>New</t>
        </is>
      </c>
      <c r="D311" s="34" t="inlineStr">
        <is>
          <t>Record first supplied in this revision</t>
        </is>
      </c>
      <c r="E311" s="39" t="inlineStr"/>
      <c r="F311" s="100" t="inlineStr">
        <is>
          <t>10 EVIDENCE &amp; DECISIONS</t>
        </is>
      </c>
      <c r="G311" s="41" t="n"/>
    </row>
    <row r="312" ht="79" customHeight="1">
      <c r="A312" s="34" t="inlineStr">
        <is>
          <t>R1363-v1</t>
        </is>
      </c>
      <c r="B312" s="34" t="inlineStr">
        <is>
          <t>CST-04-041</t>
        </is>
      </c>
      <c r="C312" s="34" t="inlineStr">
        <is>
          <t>New</t>
        </is>
      </c>
      <c r="D312" s="34" t="inlineStr">
        <is>
          <t>Record first supplied in this revision</t>
        </is>
      </c>
      <c r="E312" s="39" t="inlineStr"/>
      <c r="F312" s="100" t="inlineStr">
        <is>
          <t>10 EVIDENCE &amp; DECISIONS</t>
        </is>
      </c>
      <c r="G312" s="41" t="n"/>
    </row>
    <row r="313" ht="79" customHeight="1">
      <c r="A313" s="34" t="inlineStr">
        <is>
          <t>R1364-v1</t>
        </is>
      </c>
      <c r="B313" s="34" t="inlineStr">
        <is>
          <t>CST-04-042</t>
        </is>
      </c>
      <c r="C313" s="34" t="inlineStr">
        <is>
          <t>New</t>
        </is>
      </c>
      <c r="D313" s="34" t="inlineStr">
        <is>
          <t>Record first supplied in this revision</t>
        </is>
      </c>
      <c r="E313" s="39" t="inlineStr"/>
      <c r="F313" s="100" t="inlineStr">
        <is>
          <t>10 EVIDENCE &amp; DECISIONS</t>
        </is>
      </c>
      <c r="G313" s="41" t="n"/>
    </row>
    <row r="314" ht="79" customHeight="1">
      <c r="A314" s="34" t="inlineStr">
        <is>
          <t>R1365-v1</t>
        </is>
      </c>
      <c r="B314" s="34" t="inlineStr">
        <is>
          <t>CST-04-043</t>
        </is>
      </c>
      <c r="C314" s="34" t="inlineStr">
        <is>
          <t>New</t>
        </is>
      </c>
      <c r="D314" s="34" t="inlineStr">
        <is>
          <t>Record first supplied in this revision</t>
        </is>
      </c>
      <c r="E314" s="39" t="inlineStr"/>
      <c r="F314" s="100" t="inlineStr">
        <is>
          <t>10 EVIDENCE &amp; DECISIONS</t>
        </is>
      </c>
      <c r="G314" s="41" t="n"/>
    </row>
    <row r="315" ht="79" customHeight="1">
      <c r="A315" s="34" t="inlineStr">
        <is>
          <t>R1366-v1</t>
        </is>
      </c>
      <c r="B315" s="34" t="inlineStr">
        <is>
          <t>CST-04-044</t>
        </is>
      </c>
      <c r="C315" s="34" t="inlineStr">
        <is>
          <t>New</t>
        </is>
      </c>
      <c r="D315" s="34" t="inlineStr">
        <is>
          <t>Record first supplied in this revision</t>
        </is>
      </c>
      <c r="E315" s="39" t="inlineStr"/>
      <c r="F315" s="100" t="inlineStr">
        <is>
          <t>10 EVIDENCE &amp; DECISIONS</t>
        </is>
      </c>
      <c r="G315" s="41" t="n"/>
    </row>
    <row r="316" ht="79" customHeight="1">
      <c r="A316" s="34" t="inlineStr">
        <is>
          <t>R1367-v1</t>
        </is>
      </c>
      <c r="B316" s="34" t="inlineStr">
        <is>
          <t>CST-04-045</t>
        </is>
      </c>
      <c r="C316" s="34" t="inlineStr">
        <is>
          <t>New</t>
        </is>
      </c>
      <c r="D316" s="34" t="inlineStr">
        <is>
          <t>Record first supplied in this revision</t>
        </is>
      </c>
      <c r="E316" s="39" t="inlineStr"/>
      <c r="F316" s="100" t="inlineStr">
        <is>
          <t>10 EVIDENCE &amp; DECISIONS</t>
        </is>
      </c>
      <c r="G316" s="41" t="n"/>
    </row>
    <row r="317" ht="79" customHeight="1">
      <c r="A317" s="34" t="inlineStr">
        <is>
          <t>R1368-v1</t>
        </is>
      </c>
      <c r="B317" s="34" t="inlineStr">
        <is>
          <t>CST-04-046</t>
        </is>
      </c>
      <c r="C317" s="34" t="inlineStr">
        <is>
          <t>New</t>
        </is>
      </c>
      <c r="D317" s="34" t="inlineStr">
        <is>
          <t>Record first supplied in this revision</t>
        </is>
      </c>
      <c r="E317" s="39" t="inlineStr"/>
      <c r="F317" s="100" t="inlineStr">
        <is>
          <t>10 EVIDENCE &amp; DECISIONS</t>
        </is>
      </c>
      <c r="G317" s="41" t="n"/>
    </row>
    <row r="318" ht="79" customHeight="1">
      <c r="A318" s="34" t="inlineStr">
        <is>
          <t>R1369-v1</t>
        </is>
      </c>
      <c r="B318" s="34" t="inlineStr">
        <is>
          <t>CST-04-047</t>
        </is>
      </c>
      <c r="C318" s="34" t="inlineStr">
        <is>
          <t>New</t>
        </is>
      </c>
      <c r="D318" s="34" t="inlineStr">
        <is>
          <t>Record first supplied in this revision</t>
        </is>
      </c>
      <c r="E318" s="39" t="inlineStr"/>
      <c r="F318" s="100" t="inlineStr">
        <is>
          <t>10 EVIDENCE &amp; DECISIONS</t>
        </is>
      </c>
      <c r="G318" s="41" t="n"/>
    </row>
    <row r="319" ht="79" customHeight="1">
      <c r="A319" s="34" t="inlineStr">
        <is>
          <t>R1370-v1</t>
        </is>
      </c>
      <c r="B319" s="34" t="inlineStr">
        <is>
          <t>CST-04-048</t>
        </is>
      </c>
      <c r="C319" s="34" t="inlineStr">
        <is>
          <t>New</t>
        </is>
      </c>
      <c r="D319" s="34" t="inlineStr">
        <is>
          <t>Record first supplied in this revision</t>
        </is>
      </c>
      <c r="E319" s="39" t="inlineStr"/>
      <c r="F319" s="100" t="inlineStr">
        <is>
          <t>10 EVIDENCE &amp; DECISIONS</t>
        </is>
      </c>
      <c r="G319" s="41" t="n"/>
    </row>
    <row r="320" ht="79" customHeight="1">
      <c r="A320" s="34" t="inlineStr">
        <is>
          <t>R1371-v1</t>
        </is>
      </c>
      <c r="B320" s="34" t="inlineStr">
        <is>
          <t>CST-04-049</t>
        </is>
      </c>
      <c r="C320" s="34" t="inlineStr">
        <is>
          <t>New</t>
        </is>
      </c>
      <c r="D320" s="34" t="inlineStr">
        <is>
          <t>Record first supplied in this revision</t>
        </is>
      </c>
      <c r="E320" s="39" t="inlineStr"/>
      <c r="F320" s="100" t="inlineStr">
        <is>
          <t>10 EVIDENCE &amp; DECISIONS</t>
        </is>
      </c>
      <c r="G320" s="41" t="n"/>
    </row>
    <row r="321" ht="79" customHeight="1">
      <c r="A321" s="34" t="inlineStr">
        <is>
          <t>R1372-v1</t>
        </is>
      </c>
      <c r="B321" s="34" t="inlineStr">
        <is>
          <t>CST-04-050</t>
        </is>
      </c>
      <c r="C321" s="34" t="inlineStr">
        <is>
          <t>New</t>
        </is>
      </c>
      <c r="D321" s="34" t="inlineStr">
        <is>
          <t>Record first supplied in this revision</t>
        </is>
      </c>
      <c r="E321" s="39" t="inlineStr"/>
      <c r="F321" s="100" t="inlineStr">
        <is>
          <t>10 EVIDENCE &amp; DECISIONS</t>
        </is>
      </c>
      <c r="G321" s="41" t="n"/>
    </row>
    <row r="322" ht="79" customHeight="1">
      <c r="A322" s="34" t="inlineStr">
        <is>
          <t>R1373-v1</t>
        </is>
      </c>
      <c r="B322" s="34" t="inlineStr">
        <is>
          <t>CST-04-051</t>
        </is>
      </c>
      <c r="C322" s="34" t="inlineStr">
        <is>
          <t>New</t>
        </is>
      </c>
      <c r="D322" s="34" t="inlineStr">
        <is>
          <t>Record first supplied in this revision</t>
        </is>
      </c>
      <c r="E322" s="39" t="inlineStr"/>
      <c r="F322" s="100" t="inlineStr">
        <is>
          <t>10 EVIDENCE &amp; DECISIONS</t>
        </is>
      </c>
      <c r="G322" s="41" t="n"/>
    </row>
    <row r="323" ht="79" customHeight="1">
      <c r="A323" s="34" t="inlineStr">
        <is>
          <t>R1374-v1</t>
        </is>
      </c>
      <c r="B323" s="34" t="inlineStr">
        <is>
          <t>CST-04-052</t>
        </is>
      </c>
      <c r="C323" s="34" t="inlineStr">
        <is>
          <t>New</t>
        </is>
      </c>
      <c r="D323" s="34" t="inlineStr">
        <is>
          <t>Record first supplied in this revision</t>
        </is>
      </c>
      <c r="E323" s="39" t="inlineStr"/>
      <c r="F323" s="100" t="inlineStr">
        <is>
          <t>10 EVIDENCE &amp; DECISIONS</t>
        </is>
      </c>
      <c r="G323" s="41" t="n"/>
    </row>
    <row r="324" ht="79" customHeight="1">
      <c r="A324" s="34" t="inlineStr">
        <is>
          <t>R1375-v1</t>
        </is>
      </c>
      <c r="B324" s="34" t="inlineStr">
        <is>
          <t>CST-04-053</t>
        </is>
      </c>
      <c r="C324" s="34" t="inlineStr">
        <is>
          <t>New</t>
        </is>
      </c>
      <c r="D324" s="34" t="inlineStr">
        <is>
          <t>Record first supplied in this revision</t>
        </is>
      </c>
      <c r="E324" s="39" t="inlineStr"/>
      <c r="F324" s="100" t="inlineStr">
        <is>
          <t>10 EVIDENCE &amp; DECISIONS</t>
        </is>
      </c>
      <c r="G324" s="41" t="n"/>
    </row>
    <row r="325" ht="79" customHeight="1">
      <c r="A325" s="34" t="inlineStr">
        <is>
          <t>R1376-v1</t>
        </is>
      </c>
      <c r="B325" s="34" t="inlineStr">
        <is>
          <t>CST-04-054</t>
        </is>
      </c>
      <c r="C325" s="34" t="inlineStr">
        <is>
          <t>New</t>
        </is>
      </c>
      <c r="D325" s="34" t="inlineStr">
        <is>
          <t>Record first supplied in this revision</t>
        </is>
      </c>
      <c r="E325" s="39" t="inlineStr"/>
      <c r="F325" s="100" t="inlineStr">
        <is>
          <t>10 EVIDENCE &amp; DECISIONS</t>
        </is>
      </c>
      <c r="G325" s="41" t="n"/>
    </row>
    <row r="326" ht="79" customHeight="1">
      <c r="A326" s="34" t="inlineStr">
        <is>
          <t>R1377-v1</t>
        </is>
      </c>
      <c r="B326" s="34" t="inlineStr">
        <is>
          <t>CST-04-055</t>
        </is>
      </c>
      <c r="C326" s="34" t="inlineStr">
        <is>
          <t>New</t>
        </is>
      </c>
      <c r="D326" s="34" t="inlineStr">
        <is>
          <t>Record first supplied in this revision</t>
        </is>
      </c>
      <c r="E326" s="39" t="inlineStr"/>
      <c r="F326" s="100" t="inlineStr">
        <is>
          <t>10 EVIDENCE &amp; DECISIONS</t>
        </is>
      </c>
      <c r="G326" s="41" t="n"/>
    </row>
    <row r="327" ht="79" customHeight="1">
      <c r="A327" s="34" t="inlineStr">
        <is>
          <t>R1378-v1</t>
        </is>
      </c>
      <c r="B327" s="34" t="inlineStr">
        <is>
          <t>CST-04-056</t>
        </is>
      </c>
      <c r="C327" s="34" t="inlineStr">
        <is>
          <t>New</t>
        </is>
      </c>
      <c r="D327" s="34" t="inlineStr">
        <is>
          <t>Record first supplied in this revision</t>
        </is>
      </c>
      <c r="E327" s="39" t="inlineStr"/>
      <c r="F327" s="100" t="inlineStr">
        <is>
          <t>10 EVIDENCE &amp; DECISIONS</t>
        </is>
      </c>
      <c r="G327" s="41" t="n"/>
    </row>
    <row r="328" ht="79" customHeight="1">
      <c r="A328" s="34" t="inlineStr">
        <is>
          <t>R1379-v1</t>
        </is>
      </c>
      <c r="B328" s="34" t="inlineStr">
        <is>
          <t>CST-04-057</t>
        </is>
      </c>
      <c r="C328" s="34" t="inlineStr">
        <is>
          <t>New</t>
        </is>
      </c>
      <c r="D328" s="34" t="inlineStr">
        <is>
          <t>Record first supplied in this revision</t>
        </is>
      </c>
      <c r="E328" s="39" t="inlineStr"/>
      <c r="F328" s="100" t="inlineStr">
        <is>
          <t>10 EVIDENCE &amp; DECISIONS</t>
        </is>
      </c>
      <c r="G328" s="41" t="n"/>
    </row>
    <row r="329" ht="79" customHeight="1">
      <c r="A329" s="34" t="inlineStr">
        <is>
          <t>R1380-v1</t>
        </is>
      </c>
      <c r="B329" s="34" t="inlineStr">
        <is>
          <t>CST-04-058</t>
        </is>
      </c>
      <c r="C329" s="34" t="inlineStr">
        <is>
          <t>New</t>
        </is>
      </c>
      <c r="D329" s="34" t="inlineStr">
        <is>
          <t>Record first supplied in this revision</t>
        </is>
      </c>
      <c r="E329" s="39" t="inlineStr"/>
      <c r="F329" s="100" t="inlineStr">
        <is>
          <t>10 EVIDENCE &amp; DECISIONS</t>
        </is>
      </c>
      <c r="G329" s="41" t="n"/>
    </row>
    <row r="330" ht="79" customHeight="1">
      <c r="A330" s="34" t="inlineStr">
        <is>
          <t>R1381-v1</t>
        </is>
      </c>
      <c r="B330" s="34" t="inlineStr">
        <is>
          <t>CST-04-059</t>
        </is>
      </c>
      <c r="C330" s="34" t="inlineStr">
        <is>
          <t>New</t>
        </is>
      </c>
      <c r="D330" s="34" t="inlineStr">
        <is>
          <t>Record first supplied in this revision</t>
        </is>
      </c>
      <c r="E330" s="39" t="inlineStr"/>
      <c r="F330" s="100" t="inlineStr">
        <is>
          <t>10 EVIDENCE &amp; DECISIONS</t>
        </is>
      </c>
      <c r="G330" s="41" t="n"/>
    </row>
    <row r="331" ht="79" customHeight="1">
      <c r="A331" s="34" t="inlineStr">
        <is>
          <t>R1382-v1</t>
        </is>
      </c>
      <c r="B331" s="34" t="inlineStr">
        <is>
          <t>CST-04-060</t>
        </is>
      </c>
      <c r="C331" s="34" t="inlineStr">
        <is>
          <t>New</t>
        </is>
      </c>
      <c r="D331" s="34" t="inlineStr">
        <is>
          <t>Record first supplied in this revision</t>
        </is>
      </c>
      <c r="E331" s="39" t="inlineStr"/>
      <c r="F331" s="100" t="inlineStr">
        <is>
          <t>10 EVIDENCE &amp; DECISIONS</t>
        </is>
      </c>
      <c r="G331" s="41" t="n"/>
    </row>
    <row r="332" ht="79" customHeight="1">
      <c r="A332" s="34" t="inlineStr">
        <is>
          <t>R1383-v1</t>
        </is>
      </c>
      <c r="B332" s="34" t="inlineStr">
        <is>
          <t>CST-04-061</t>
        </is>
      </c>
      <c r="C332" s="34" t="inlineStr">
        <is>
          <t>New</t>
        </is>
      </c>
      <c r="D332" s="34" t="inlineStr">
        <is>
          <t>Record first supplied in this revision</t>
        </is>
      </c>
      <c r="E332" s="39" t="inlineStr"/>
      <c r="F332" s="100" t="inlineStr">
        <is>
          <t>10 EVIDENCE &amp; DECISIONS</t>
        </is>
      </c>
      <c r="G332" s="41" t="n"/>
    </row>
    <row r="333" ht="79" customHeight="1">
      <c r="A333" s="34" t="inlineStr">
        <is>
          <t>R1384-v1</t>
        </is>
      </c>
      <c r="B333" s="34" t="inlineStr">
        <is>
          <t>CST-04-062</t>
        </is>
      </c>
      <c r="C333" s="34" t="inlineStr">
        <is>
          <t>New</t>
        </is>
      </c>
      <c r="D333" s="34" t="inlineStr">
        <is>
          <t>Record first supplied in this revision</t>
        </is>
      </c>
      <c r="E333" s="39" t="inlineStr"/>
      <c r="F333" s="100" t="inlineStr">
        <is>
          <t>10 EVIDENCE &amp; DECISIONS</t>
        </is>
      </c>
      <c r="G333" s="41" t="n"/>
    </row>
    <row r="334" ht="79" customHeight="1">
      <c r="A334" s="34" t="inlineStr">
        <is>
          <t>R1385-v1</t>
        </is>
      </c>
      <c r="B334" s="34" t="inlineStr">
        <is>
          <t>CST-04-063</t>
        </is>
      </c>
      <c r="C334" s="34" t="inlineStr">
        <is>
          <t>New</t>
        </is>
      </c>
      <c r="D334" s="34" t="inlineStr">
        <is>
          <t>Record first supplied in this revision</t>
        </is>
      </c>
      <c r="E334" s="39" t="inlineStr"/>
      <c r="F334" s="100" t="inlineStr">
        <is>
          <t>10 EVIDENCE &amp; DECISIONS</t>
        </is>
      </c>
      <c r="G334" s="41" t="n"/>
    </row>
    <row r="335" ht="79" customHeight="1">
      <c r="A335" s="34" t="inlineStr">
        <is>
          <t>R1386-v1</t>
        </is>
      </c>
      <c r="B335" s="34" t="inlineStr">
        <is>
          <t>CST-04-064</t>
        </is>
      </c>
      <c r="C335" s="34" t="inlineStr">
        <is>
          <t>New</t>
        </is>
      </c>
      <c r="D335" s="34" t="inlineStr">
        <is>
          <t>Record first supplied in this revision</t>
        </is>
      </c>
      <c r="E335" s="39" t="inlineStr"/>
      <c r="F335" s="100" t="inlineStr">
        <is>
          <t>10 EVIDENCE &amp; DECISIONS</t>
        </is>
      </c>
      <c r="G335" s="41" t="n"/>
    </row>
    <row r="336" ht="79" customHeight="1">
      <c r="A336" s="34" t="inlineStr">
        <is>
          <t>R1387-v1</t>
        </is>
      </c>
      <c r="B336" s="34" t="inlineStr">
        <is>
          <t>CST-04-065</t>
        </is>
      </c>
      <c r="C336" s="34" t="inlineStr">
        <is>
          <t>New</t>
        </is>
      </c>
      <c r="D336" s="34" t="inlineStr">
        <is>
          <t>Record first supplied in this revision</t>
        </is>
      </c>
      <c r="E336" s="39" t="inlineStr"/>
      <c r="F336" s="100" t="inlineStr">
        <is>
          <t>10 EVIDENCE &amp; DECISIONS</t>
        </is>
      </c>
      <c r="G336" s="41" t="n"/>
    </row>
    <row r="337" ht="79" customHeight="1">
      <c r="A337" s="34" t="inlineStr">
        <is>
          <t>R1388-v1</t>
        </is>
      </c>
      <c r="B337" s="34" t="inlineStr">
        <is>
          <t>CST-04-066</t>
        </is>
      </c>
      <c r="C337" s="34" t="inlineStr">
        <is>
          <t>New</t>
        </is>
      </c>
      <c r="D337" s="34" t="inlineStr">
        <is>
          <t>Record first supplied in this revision</t>
        </is>
      </c>
      <c r="E337" s="39" t="inlineStr"/>
      <c r="F337" s="100" t="inlineStr">
        <is>
          <t>10 EVIDENCE &amp; DECISIONS</t>
        </is>
      </c>
      <c r="G337" s="41" t="n"/>
    </row>
    <row r="338" ht="79" customHeight="1">
      <c r="A338" s="34" t="inlineStr">
        <is>
          <t>R1389-v1</t>
        </is>
      </c>
      <c r="B338" s="34" t="inlineStr">
        <is>
          <t>CST-04-067</t>
        </is>
      </c>
      <c r="C338" s="34" t="inlineStr">
        <is>
          <t>New</t>
        </is>
      </c>
      <c r="D338" s="34" t="inlineStr">
        <is>
          <t>Record first supplied in this revision</t>
        </is>
      </c>
      <c r="E338" s="39" t="inlineStr"/>
      <c r="F338" s="100" t="inlineStr">
        <is>
          <t>10 EVIDENCE &amp; DECISIONS</t>
        </is>
      </c>
      <c r="G338" s="41" t="n"/>
    </row>
    <row r="339" ht="79" customHeight="1">
      <c r="A339" s="34" t="inlineStr">
        <is>
          <t>R1390-v1</t>
        </is>
      </c>
      <c r="B339" s="34" t="inlineStr">
        <is>
          <t>CST-04-068</t>
        </is>
      </c>
      <c r="C339" s="34" t="inlineStr">
        <is>
          <t>New</t>
        </is>
      </c>
      <c r="D339" s="34" t="inlineStr">
        <is>
          <t>Record first supplied in this revision</t>
        </is>
      </c>
      <c r="E339" s="39" t="inlineStr"/>
      <c r="F339" s="100" t="inlineStr">
        <is>
          <t>10 EVIDENCE &amp; DECISIONS</t>
        </is>
      </c>
      <c r="G339" s="41" t="n"/>
    </row>
    <row r="340" ht="79" customHeight="1">
      <c r="A340" s="34" t="inlineStr">
        <is>
          <t>R1391-v1</t>
        </is>
      </c>
      <c r="B340" s="34" t="inlineStr">
        <is>
          <t>CST-04-069</t>
        </is>
      </c>
      <c r="C340" s="34" t="inlineStr">
        <is>
          <t>New</t>
        </is>
      </c>
      <c r="D340" s="34" t="inlineStr">
        <is>
          <t>Record first supplied in this revision</t>
        </is>
      </c>
      <c r="E340" s="39" t="inlineStr"/>
      <c r="F340" s="100" t="inlineStr">
        <is>
          <t>10 EVIDENCE &amp; DECISIONS</t>
        </is>
      </c>
      <c r="G340" s="41" t="n"/>
    </row>
    <row r="341" ht="79" customHeight="1">
      <c r="A341" s="34" t="inlineStr">
        <is>
          <t>R1392-v1</t>
        </is>
      </c>
      <c r="B341" s="34" t="inlineStr">
        <is>
          <t>CST-04-070</t>
        </is>
      </c>
      <c r="C341" s="34" t="inlineStr">
        <is>
          <t>New</t>
        </is>
      </c>
      <c r="D341" s="34" t="inlineStr">
        <is>
          <t>Record first supplied in this revision</t>
        </is>
      </c>
      <c r="E341" s="39" t="inlineStr"/>
      <c r="F341" s="100" t="inlineStr">
        <is>
          <t>10 EVIDENCE &amp; DECISIONS</t>
        </is>
      </c>
      <c r="G341" s="41" t="n"/>
    </row>
    <row r="342" ht="79" customHeight="1">
      <c r="A342" s="34" t="inlineStr">
        <is>
          <t>R1393-v1</t>
        </is>
      </c>
      <c r="B342" s="34" t="inlineStr">
        <is>
          <t>CST-04-071</t>
        </is>
      </c>
      <c r="C342" s="34" t="inlineStr">
        <is>
          <t>New</t>
        </is>
      </c>
      <c r="D342" s="34" t="inlineStr">
        <is>
          <t>Record first supplied in this revision</t>
        </is>
      </c>
      <c r="E342" s="39" t="inlineStr"/>
      <c r="F342" s="100" t="inlineStr">
        <is>
          <t>10 EVIDENCE &amp; DECISIONS</t>
        </is>
      </c>
      <c r="G342" s="41" t="n"/>
    </row>
    <row r="343" ht="79" customHeight="1">
      <c r="A343" s="34" t="inlineStr">
        <is>
          <t>R1394-v1</t>
        </is>
      </c>
      <c r="B343" s="34" t="inlineStr">
        <is>
          <t>CST-04-072</t>
        </is>
      </c>
      <c r="C343" s="34" t="inlineStr">
        <is>
          <t>New</t>
        </is>
      </c>
      <c r="D343" s="34" t="inlineStr">
        <is>
          <t>Record first supplied in this revision</t>
        </is>
      </c>
      <c r="E343" s="39" t="inlineStr"/>
      <c r="F343" s="100" t="inlineStr">
        <is>
          <t>10 EVIDENCE &amp; DECISIONS</t>
        </is>
      </c>
      <c r="G343" s="41" t="n"/>
    </row>
    <row r="344" ht="79" customHeight="1">
      <c r="A344" s="34" t="inlineStr">
        <is>
          <t>R1395-v1</t>
        </is>
      </c>
      <c r="B344" s="34" t="inlineStr">
        <is>
          <t>CST-04-073</t>
        </is>
      </c>
      <c r="C344" s="34" t="inlineStr">
        <is>
          <t>New</t>
        </is>
      </c>
      <c r="D344" s="34" t="inlineStr">
        <is>
          <t>Record first supplied in this revision</t>
        </is>
      </c>
      <c r="E344" s="39" t="inlineStr"/>
      <c r="F344" s="100" t="inlineStr">
        <is>
          <t>10 EVIDENCE &amp; DECISIONS</t>
        </is>
      </c>
      <c r="G344" s="41" t="n"/>
    </row>
    <row r="345" ht="79" customHeight="1">
      <c r="A345" s="34" t="inlineStr">
        <is>
          <t>R1396-v1</t>
        </is>
      </c>
      <c r="B345" s="34" t="inlineStr">
        <is>
          <t>CST-04-074</t>
        </is>
      </c>
      <c r="C345" s="34" t="inlineStr">
        <is>
          <t>New</t>
        </is>
      </c>
      <c r="D345" s="34" t="inlineStr">
        <is>
          <t>Record first supplied in this revision</t>
        </is>
      </c>
      <c r="E345" s="39" t="inlineStr"/>
      <c r="F345" s="100" t="inlineStr">
        <is>
          <t>10 EVIDENCE &amp; DECISIONS</t>
        </is>
      </c>
      <c r="G345" s="41" t="n"/>
    </row>
    <row r="346" ht="79" customHeight="1">
      <c r="A346" s="34" t="inlineStr">
        <is>
          <t>R1397-v1</t>
        </is>
      </c>
      <c r="B346" s="34" t="inlineStr">
        <is>
          <t>CST-04-075</t>
        </is>
      </c>
      <c r="C346" s="34" t="inlineStr">
        <is>
          <t>New</t>
        </is>
      </c>
      <c r="D346" s="34" t="inlineStr">
        <is>
          <t>Record first supplied in this revision</t>
        </is>
      </c>
      <c r="E346" s="39" t="inlineStr"/>
      <c r="F346" s="100" t="inlineStr">
        <is>
          <t>10 EVIDENCE &amp; DECISIONS</t>
        </is>
      </c>
      <c r="G346" s="41" t="n"/>
    </row>
    <row r="347" ht="79" customHeight="1">
      <c r="A347" s="34" t="inlineStr">
        <is>
          <t>R1398-v1</t>
        </is>
      </c>
      <c r="B347" s="34" t="inlineStr">
        <is>
          <t>CST-04-076</t>
        </is>
      </c>
      <c r="C347" s="34" t="inlineStr">
        <is>
          <t>New</t>
        </is>
      </c>
      <c r="D347" s="34" t="inlineStr">
        <is>
          <t>Record first supplied in this revision</t>
        </is>
      </c>
      <c r="E347" s="39" t="inlineStr"/>
      <c r="F347" s="100" t="inlineStr">
        <is>
          <t>10 EVIDENCE &amp; DECISIONS</t>
        </is>
      </c>
      <c r="G347" s="41" t="n"/>
    </row>
    <row r="348" ht="79" customHeight="1">
      <c r="A348" s="34" t="inlineStr">
        <is>
          <t>R1399-v1</t>
        </is>
      </c>
      <c r="B348" s="34" t="inlineStr">
        <is>
          <t>CST-04-077</t>
        </is>
      </c>
      <c r="C348" s="34" t="inlineStr">
        <is>
          <t>New</t>
        </is>
      </c>
      <c r="D348" s="34" t="inlineStr">
        <is>
          <t>Record first supplied in this revision</t>
        </is>
      </c>
      <c r="E348" s="39" t="inlineStr"/>
      <c r="F348" s="100" t="inlineStr">
        <is>
          <t>10 EVIDENCE &amp; DECISIONS</t>
        </is>
      </c>
      <c r="G348" s="41" t="n"/>
    </row>
    <row r="349" ht="79" customHeight="1">
      <c r="A349" s="34" t="inlineStr">
        <is>
          <t>R1400-v1</t>
        </is>
      </c>
      <c r="B349" s="34" t="inlineStr">
        <is>
          <t>CST-04-078</t>
        </is>
      </c>
      <c r="C349" s="34" t="inlineStr">
        <is>
          <t>New</t>
        </is>
      </c>
      <c r="D349" s="34" t="inlineStr">
        <is>
          <t>Record first supplied in this revision</t>
        </is>
      </c>
      <c r="E349" s="39" t="inlineStr"/>
      <c r="F349" s="100" t="inlineStr">
        <is>
          <t>10 EVIDENCE &amp; DECISIONS</t>
        </is>
      </c>
      <c r="G349" s="41" t="n"/>
    </row>
    <row r="350" ht="79" customHeight="1">
      <c r="A350" s="34" t="inlineStr">
        <is>
          <t>R1401-v1</t>
        </is>
      </c>
      <c r="B350" s="34" t="inlineStr">
        <is>
          <t>CST-04-079</t>
        </is>
      </c>
      <c r="C350" s="34" t="inlineStr">
        <is>
          <t>New</t>
        </is>
      </c>
      <c r="D350" s="34" t="inlineStr">
        <is>
          <t>Record first supplied in this revision</t>
        </is>
      </c>
      <c r="E350" s="39" t="inlineStr"/>
      <c r="F350" s="100" t="inlineStr">
        <is>
          <t>10 EVIDENCE &amp; DECISIONS</t>
        </is>
      </c>
      <c r="G350" s="41" t="n"/>
    </row>
    <row r="351" ht="79" customHeight="1">
      <c r="A351" s="34" t="inlineStr">
        <is>
          <t>R1402-v1</t>
        </is>
      </c>
      <c r="B351" s="34" t="inlineStr">
        <is>
          <t>CST-04-080</t>
        </is>
      </c>
      <c r="C351" s="34" t="inlineStr">
        <is>
          <t>New</t>
        </is>
      </c>
      <c r="D351" s="34" t="inlineStr">
        <is>
          <t>Record first supplied in this revision</t>
        </is>
      </c>
      <c r="E351" s="39" t="inlineStr"/>
      <c r="F351" s="100" t="inlineStr">
        <is>
          <t>10 EVIDENCE &amp; DECISIONS</t>
        </is>
      </c>
      <c r="G351" s="41" t="n"/>
    </row>
    <row r="352" ht="79" customHeight="1">
      <c r="A352" s="34" t="inlineStr">
        <is>
          <t>R1403-v2</t>
        </is>
      </c>
      <c r="B352" s="34" t="inlineStr">
        <is>
          <t>CST-05-001</t>
        </is>
      </c>
      <c r="C352" s="34" t="inlineStr">
        <is>
          <t>New</t>
        </is>
      </c>
      <c r="D352" s="34" t="inlineStr">
        <is>
          <t>Record first supplied in this revision</t>
        </is>
      </c>
      <c r="E352" s="34" t="inlineStr">
        <is>
          <t>Maya Chen, Owner Project Controls</t>
        </is>
      </c>
      <c r="F352" s="100" t="inlineStr">
        <is>
          <t>10 EVIDENCE &amp; DECISIONS</t>
        </is>
      </c>
      <c r="G352" s="41" t="n"/>
    </row>
    <row r="353" ht="79" customHeight="1">
      <c r="A353" s="34" t="inlineStr">
        <is>
          <t>R1404-v2</t>
        </is>
      </c>
      <c r="B353" s="34" t="inlineStr">
        <is>
          <t>CST-05-002</t>
        </is>
      </c>
      <c r="C353" s="34" t="inlineStr">
        <is>
          <t>New</t>
        </is>
      </c>
      <c r="D353" s="34" t="inlineStr">
        <is>
          <t>Record first supplied in this revision</t>
        </is>
      </c>
      <c r="E353" s="34" t="inlineStr">
        <is>
          <t>Maya Chen, Owner Project Controls</t>
        </is>
      </c>
      <c r="F353" s="100" t="inlineStr">
        <is>
          <t>10 EVIDENCE &amp; DECISIONS</t>
        </is>
      </c>
      <c r="G353" s="41" t="n"/>
    </row>
    <row r="354" ht="79" customHeight="1">
      <c r="A354" s="34" t="inlineStr">
        <is>
          <t>R1405-v2</t>
        </is>
      </c>
      <c r="B354" s="34" t="inlineStr">
        <is>
          <t>CST-05-003</t>
        </is>
      </c>
      <c r="C354" s="34" t="inlineStr">
        <is>
          <t>New</t>
        </is>
      </c>
      <c r="D354" s="34" t="inlineStr">
        <is>
          <t>Record first supplied in this revision</t>
        </is>
      </c>
      <c r="E354" s="34" t="inlineStr">
        <is>
          <t>Maya Chen, Owner Project Controls</t>
        </is>
      </c>
      <c r="F354" s="100" t="inlineStr">
        <is>
          <t>10 EVIDENCE &amp; DECISIONS</t>
        </is>
      </c>
      <c r="G354" s="41" t="n"/>
    </row>
    <row r="355" ht="79" customHeight="1">
      <c r="A355" s="34" t="inlineStr">
        <is>
          <t>R1406-v2</t>
        </is>
      </c>
      <c r="B355" s="34" t="inlineStr">
        <is>
          <t>CST-05-004</t>
        </is>
      </c>
      <c r="C355" s="34" t="inlineStr">
        <is>
          <t>New</t>
        </is>
      </c>
      <c r="D355" s="34" t="inlineStr">
        <is>
          <t>Record first supplied in this revision</t>
        </is>
      </c>
      <c r="E355" s="34" t="inlineStr">
        <is>
          <t>Maya Chen, Owner Project Controls</t>
        </is>
      </c>
      <c r="F355" s="100" t="inlineStr">
        <is>
          <t>10 EVIDENCE &amp; DECISIONS</t>
        </is>
      </c>
      <c r="G355" s="41" t="n"/>
    </row>
    <row r="356" ht="79" customHeight="1">
      <c r="A356" s="34" t="inlineStr">
        <is>
          <t>R1407-v2</t>
        </is>
      </c>
      <c r="B356" s="34" t="inlineStr">
        <is>
          <t>CST-05-005</t>
        </is>
      </c>
      <c r="C356" s="34" t="inlineStr">
        <is>
          <t>New</t>
        </is>
      </c>
      <c r="D356" s="34" t="inlineStr">
        <is>
          <t>Record first supplied in this revision</t>
        </is>
      </c>
      <c r="E356" s="34" t="inlineStr">
        <is>
          <t>Maya Chen, Owner Project Controls</t>
        </is>
      </c>
      <c r="F356" s="100" t="inlineStr">
        <is>
          <t>10 EVIDENCE &amp; DECISIONS</t>
        </is>
      </c>
      <c r="G356" s="41" t="n"/>
    </row>
    <row r="357" ht="79" customHeight="1">
      <c r="A357" s="34" t="inlineStr">
        <is>
          <t>R1408-v2</t>
        </is>
      </c>
      <c r="B357" s="34" t="inlineStr">
        <is>
          <t>CST-05-006</t>
        </is>
      </c>
      <c r="C357" s="34" t="inlineStr">
        <is>
          <t>New</t>
        </is>
      </c>
      <c r="D357" s="34" t="inlineStr">
        <is>
          <t>Record first supplied in this revision</t>
        </is>
      </c>
      <c r="E357" s="34" t="inlineStr">
        <is>
          <t>Maya Chen, Owner Project Controls</t>
        </is>
      </c>
      <c r="F357" s="100" t="inlineStr">
        <is>
          <t>10 EVIDENCE &amp; DECISIONS</t>
        </is>
      </c>
      <c r="G357" s="41" t="n"/>
    </row>
    <row r="358" ht="79" customHeight="1">
      <c r="A358" s="34" t="inlineStr">
        <is>
          <t>R1409-v2</t>
        </is>
      </c>
      <c r="B358" s="34" t="inlineStr">
        <is>
          <t>CST-05-007</t>
        </is>
      </c>
      <c r="C358" s="34" t="inlineStr">
        <is>
          <t>New</t>
        </is>
      </c>
      <c r="D358" s="34" t="inlineStr">
        <is>
          <t>Record first supplied in this revision</t>
        </is>
      </c>
      <c r="E358" s="34" t="inlineStr">
        <is>
          <t>Maya Chen, Owner Project Controls</t>
        </is>
      </c>
      <c r="F358" s="100" t="inlineStr">
        <is>
          <t>10 EVIDENCE &amp; DECISIONS</t>
        </is>
      </c>
      <c r="G358" s="41" t="n"/>
    </row>
    <row r="359" ht="79" customHeight="1">
      <c r="A359" s="34" t="inlineStr">
        <is>
          <t>R1410-v2</t>
        </is>
      </c>
      <c r="B359" s="34" t="inlineStr">
        <is>
          <t>CST-05-008</t>
        </is>
      </c>
      <c r="C359" s="34" t="inlineStr">
        <is>
          <t>New</t>
        </is>
      </c>
      <c r="D359" s="34" t="inlineStr">
        <is>
          <t>Record first supplied in this revision</t>
        </is>
      </c>
      <c r="E359" s="34" t="inlineStr">
        <is>
          <t>Maya Chen, Owner Project Controls</t>
        </is>
      </c>
      <c r="F359" s="100" t="inlineStr">
        <is>
          <t>10 EVIDENCE &amp; DECISIONS</t>
        </is>
      </c>
      <c r="G359" s="41" t="n"/>
    </row>
    <row r="360" ht="79" customHeight="1">
      <c r="A360" s="34" t="inlineStr">
        <is>
          <t>R1411-v2</t>
        </is>
      </c>
      <c r="B360" s="34" t="inlineStr">
        <is>
          <t>CST-05-009</t>
        </is>
      </c>
      <c r="C360" s="34" t="inlineStr">
        <is>
          <t>New</t>
        </is>
      </c>
      <c r="D360" s="34" t="inlineStr">
        <is>
          <t>Record first supplied in this revision</t>
        </is>
      </c>
      <c r="E360" s="34" t="inlineStr">
        <is>
          <t>Maya Chen, Owner Project Controls</t>
        </is>
      </c>
      <c r="F360" s="100" t="inlineStr">
        <is>
          <t>10 EVIDENCE &amp; DECISIONS</t>
        </is>
      </c>
      <c r="G360" s="41" t="n"/>
    </row>
    <row r="361" ht="79" customHeight="1">
      <c r="A361" s="34" t="inlineStr">
        <is>
          <t>R1412-v2</t>
        </is>
      </c>
      <c r="B361" s="34" t="inlineStr">
        <is>
          <t>CST-05-010</t>
        </is>
      </c>
      <c r="C361" s="34" t="inlineStr">
        <is>
          <t>New</t>
        </is>
      </c>
      <c r="D361" s="34" t="inlineStr">
        <is>
          <t>Record first supplied in this revision</t>
        </is>
      </c>
      <c r="E361" s="34" t="inlineStr">
        <is>
          <t>Maya Chen, Owner Project Controls</t>
        </is>
      </c>
      <c r="F361" s="100" t="inlineStr">
        <is>
          <t>10 EVIDENCE &amp; DECISIONS</t>
        </is>
      </c>
      <c r="G361" s="41" t="n"/>
    </row>
    <row r="362" ht="79" customHeight="1">
      <c r="A362" s="34" t="inlineStr">
        <is>
          <t>R1413-v2</t>
        </is>
      </c>
      <c r="B362" s="34" t="inlineStr">
        <is>
          <t>CST-05-011</t>
        </is>
      </c>
      <c r="C362" s="34" t="inlineStr">
        <is>
          <t>New</t>
        </is>
      </c>
      <c r="D362" s="34" t="inlineStr">
        <is>
          <t>Record first supplied in this revision</t>
        </is>
      </c>
      <c r="E362" s="34" t="inlineStr">
        <is>
          <t>Maya Chen, Owner Project Controls</t>
        </is>
      </c>
      <c r="F362" s="100" t="inlineStr">
        <is>
          <t>10 EVIDENCE &amp; DECISIONS</t>
        </is>
      </c>
      <c r="G362" s="41" t="n"/>
    </row>
    <row r="363" ht="79" customHeight="1">
      <c r="A363" s="34" t="inlineStr">
        <is>
          <t>R1414-v2</t>
        </is>
      </c>
      <c r="B363" s="34" t="inlineStr">
        <is>
          <t>CST-05-012</t>
        </is>
      </c>
      <c r="C363" s="34" t="inlineStr">
        <is>
          <t>New</t>
        </is>
      </c>
      <c r="D363" s="34" t="inlineStr">
        <is>
          <t>Record first supplied in this revision</t>
        </is>
      </c>
      <c r="E363" s="34" t="inlineStr">
        <is>
          <t>Maya Chen, Owner Project Controls</t>
        </is>
      </c>
      <c r="F363" s="100" t="inlineStr">
        <is>
          <t>10 EVIDENCE &amp; DECISIONS</t>
        </is>
      </c>
      <c r="G363" s="41" t="n"/>
    </row>
    <row r="364" ht="79" customHeight="1">
      <c r="A364" s="34" t="inlineStr">
        <is>
          <t>R1415-v2</t>
        </is>
      </c>
      <c r="B364" s="34" t="inlineStr">
        <is>
          <t>CST-05-013</t>
        </is>
      </c>
      <c r="C364" s="34" t="inlineStr">
        <is>
          <t>New</t>
        </is>
      </c>
      <c r="D364" s="34" t="inlineStr">
        <is>
          <t>Record first supplied in this revision</t>
        </is>
      </c>
      <c r="E364" s="34" t="inlineStr">
        <is>
          <t>Maya Chen, Owner Project Controls</t>
        </is>
      </c>
      <c r="F364" s="100" t="inlineStr">
        <is>
          <t>10 EVIDENCE &amp; DECISIONS</t>
        </is>
      </c>
      <c r="G364" s="41" t="n"/>
    </row>
    <row r="365" ht="79" customHeight="1">
      <c r="A365" s="34" t="inlineStr">
        <is>
          <t>R1416-v2</t>
        </is>
      </c>
      <c r="B365" s="34" t="inlineStr">
        <is>
          <t>CST-05-014</t>
        </is>
      </c>
      <c r="C365" s="34" t="inlineStr">
        <is>
          <t>New</t>
        </is>
      </c>
      <c r="D365" s="34" t="inlineStr">
        <is>
          <t>Record first supplied in this revision</t>
        </is>
      </c>
      <c r="E365" s="34" t="inlineStr">
        <is>
          <t>Maya Chen, Owner Project Controls</t>
        </is>
      </c>
      <c r="F365" s="100" t="inlineStr">
        <is>
          <t>10 EVIDENCE &amp; DECISIONS</t>
        </is>
      </c>
      <c r="G365" s="41" t="n"/>
    </row>
    <row r="366" ht="79" customHeight="1">
      <c r="A366" s="34" t="inlineStr">
        <is>
          <t>R1417-v2</t>
        </is>
      </c>
      <c r="B366" s="34" t="inlineStr">
        <is>
          <t>CST-05-015</t>
        </is>
      </c>
      <c r="C366" s="34" t="inlineStr">
        <is>
          <t>New</t>
        </is>
      </c>
      <c r="D366" s="34" t="inlineStr">
        <is>
          <t>Record first supplied in this revision</t>
        </is>
      </c>
      <c r="E366" s="34" t="inlineStr">
        <is>
          <t>Maya Chen, Owner Project Controls</t>
        </is>
      </c>
      <c r="F366" s="100" t="inlineStr">
        <is>
          <t>10 EVIDENCE &amp; DECISIONS</t>
        </is>
      </c>
      <c r="G366" s="41" t="n"/>
    </row>
    <row r="367" ht="79" customHeight="1">
      <c r="A367" s="34" t="inlineStr">
        <is>
          <t>R1418-v2</t>
        </is>
      </c>
      <c r="B367" s="34" t="inlineStr">
        <is>
          <t>CST-05-016</t>
        </is>
      </c>
      <c r="C367" s="34" t="inlineStr">
        <is>
          <t>New</t>
        </is>
      </c>
      <c r="D367" s="34" t="inlineStr">
        <is>
          <t>Record first supplied in this revision</t>
        </is>
      </c>
      <c r="E367" s="34" t="inlineStr">
        <is>
          <t>Maya Chen, Owner Project Controls</t>
        </is>
      </c>
      <c r="F367" s="100" t="inlineStr">
        <is>
          <t>10 EVIDENCE &amp; DECISIONS</t>
        </is>
      </c>
      <c r="G367" s="41" t="n"/>
    </row>
    <row r="368" ht="79" customHeight="1">
      <c r="A368" s="34" t="inlineStr">
        <is>
          <t>R1419-v2</t>
        </is>
      </c>
      <c r="B368" s="34" t="inlineStr">
        <is>
          <t>CST-05-017</t>
        </is>
      </c>
      <c r="C368" s="34" t="inlineStr">
        <is>
          <t>New</t>
        </is>
      </c>
      <c r="D368" s="34" t="inlineStr">
        <is>
          <t>Record first supplied in this revision</t>
        </is>
      </c>
      <c r="E368" s="34" t="inlineStr">
        <is>
          <t>Maya Chen, Owner Project Controls</t>
        </is>
      </c>
      <c r="F368" s="100" t="inlineStr">
        <is>
          <t>10 EVIDENCE &amp; DECISIONS</t>
        </is>
      </c>
      <c r="G368" s="41" t="n"/>
    </row>
    <row r="369" ht="79" customHeight="1">
      <c r="A369" s="34" t="inlineStr">
        <is>
          <t>R1420-v2</t>
        </is>
      </c>
      <c r="B369" s="34" t="inlineStr">
        <is>
          <t>CST-05-018</t>
        </is>
      </c>
      <c r="C369" s="34" t="inlineStr">
        <is>
          <t>New</t>
        </is>
      </c>
      <c r="D369" s="34" t="inlineStr">
        <is>
          <t>Record first supplied in this revision</t>
        </is>
      </c>
      <c r="E369" s="34" t="inlineStr">
        <is>
          <t>Maya Chen, Owner Project Controls</t>
        </is>
      </c>
      <c r="F369" s="100" t="inlineStr">
        <is>
          <t>10 EVIDENCE &amp; DECISIONS</t>
        </is>
      </c>
      <c r="G369" s="41" t="n"/>
    </row>
    <row r="370" ht="79" customHeight="1">
      <c r="A370" s="34" t="inlineStr">
        <is>
          <t>R1421-v2</t>
        </is>
      </c>
      <c r="B370" s="34" t="inlineStr">
        <is>
          <t>CST-05-019</t>
        </is>
      </c>
      <c r="C370" s="34" t="inlineStr">
        <is>
          <t>New</t>
        </is>
      </c>
      <c r="D370" s="34" t="inlineStr">
        <is>
          <t>Record first supplied in this revision</t>
        </is>
      </c>
      <c r="E370" s="34" t="inlineStr">
        <is>
          <t>Maya Chen, Owner Project Controls</t>
        </is>
      </c>
      <c r="F370" s="100" t="inlineStr">
        <is>
          <t>10 EVIDENCE &amp; DECISIONS</t>
        </is>
      </c>
      <c r="G370" s="41" t="n"/>
    </row>
    <row r="371" ht="79" customHeight="1">
      <c r="A371" s="34" t="inlineStr">
        <is>
          <t>R1422-v2</t>
        </is>
      </c>
      <c r="B371" s="34" t="inlineStr">
        <is>
          <t>CST-05-020</t>
        </is>
      </c>
      <c r="C371" s="34" t="inlineStr">
        <is>
          <t>New</t>
        </is>
      </c>
      <c r="D371" s="34" t="inlineStr">
        <is>
          <t>Record first supplied in this revision</t>
        </is>
      </c>
      <c r="E371" s="34" t="inlineStr">
        <is>
          <t>Maya Chen, Owner Project Controls</t>
        </is>
      </c>
      <c r="F371" s="100" t="inlineStr">
        <is>
          <t>10 EVIDENCE &amp; DECISIONS</t>
        </is>
      </c>
      <c r="G371" s="41" t="n"/>
    </row>
    <row r="372" ht="79" customHeight="1">
      <c r="A372" s="34" t="inlineStr">
        <is>
          <t>R1423-v2</t>
        </is>
      </c>
      <c r="B372" s="34" t="inlineStr">
        <is>
          <t>CST-05-021</t>
        </is>
      </c>
      <c r="C372" s="34" t="inlineStr">
        <is>
          <t>New</t>
        </is>
      </c>
      <c r="D372" s="34" t="inlineStr">
        <is>
          <t>Record first supplied in this revision</t>
        </is>
      </c>
      <c r="E372" s="34" t="inlineStr">
        <is>
          <t>Maya Chen, Owner Project Controls</t>
        </is>
      </c>
      <c r="F372" s="100" t="inlineStr">
        <is>
          <t>10 EVIDENCE &amp; DECISIONS</t>
        </is>
      </c>
      <c r="G372" s="41" t="n"/>
    </row>
    <row r="373" ht="79" customHeight="1">
      <c r="A373" s="34" t="inlineStr">
        <is>
          <t>R1424-v2</t>
        </is>
      </c>
      <c r="B373" s="34" t="inlineStr">
        <is>
          <t>CST-05-022</t>
        </is>
      </c>
      <c r="C373" s="34" t="inlineStr">
        <is>
          <t>New</t>
        </is>
      </c>
      <c r="D373" s="34" t="inlineStr">
        <is>
          <t>Record first supplied in this revision</t>
        </is>
      </c>
      <c r="E373" s="34" t="inlineStr">
        <is>
          <t>Maya Chen, Owner Project Controls</t>
        </is>
      </c>
      <c r="F373" s="100" t="inlineStr">
        <is>
          <t>10 EVIDENCE &amp; DECISIONS</t>
        </is>
      </c>
      <c r="G373" s="41" t="n"/>
    </row>
    <row r="374" ht="79" customHeight="1">
      <c r="A374" s="34" t="inlineStr">
        <is>
          <t>R1425-v2</t>
        </is>
      </c>
      <c r="B374" s="34" t="inlineStr">
        <is>
          <t>CST-05-023</t>
        </is>
      </c>
      <c r="C374" s="34" t="inlineStr">
        <is>
          <t>New</t>
        </is>
      </c>
      <c r="D374" s="34" t="inlineStr">
        <is>
          <t>Record first supplied in this revision</t>
        </is>
      </c>
      <c r="E374" s="34" t="inlineStr">
        <is>
          <t>Maya Chen, Owner Project Controls</t>
        </is>
      </c>
      <c r="F374" s="100" t="inlineStr">
        <is>
          <t>10 EVIDENCE &amp; DECISIONS</t>
        </is>
      </c>
      <c r="G374" s="41" t="n"/>
    </row>
    <row r="375" ht="79" customHeight="1">
      <c r="A375" s="34" t="inlineStr">
        <is>
          <t>R1426-v2</t>
        </is>
      </c>
      <c r="B375" s="34" t="inlineStr">
        <is>
          <t>CST-05-024</t>
        </is>
      </c>
      <c r="C375" s="34" t="inlineStr">
        <is>
          <t>New</t>
        </is>
      </c>
      <c r="D375" s="34" t="inlineStr">
        <is>
          <t>Record first supplied in this revision</t>
        </is>
      </c>
      <c r="E375" s="34" t="inlineStr">
        <is>
          <t>Maya Chen, Owner Project Controls</t>
        </is>
      </c>
      <c r="F375" s="100" t="inlineStr">
        <is>
          <t>10 EVIDENCE &amp; DECISIONS</t>
        </is>
      </c>
      <c r="G375" s="41" t="n"/>
    </row>
    <row r="376" ht="79" customHeight="1">
      <c r="A376" s="34" t="inlineStr">
        <is>
          <t>R1427-v2</t>
        </is>
      </c>
      <c r="B376" s="34" t="inlineStr">
        <is>
          <t>CST-05-025</t>
        </is>
      </c>
      <c r="C376" s="34" t="inlineStr">
        <is>
          <t>New</t>
        </is>
      </c>
      <c r="D376" s="34" t="inlineStr">
        <is>
          <t>Record first supplied in this revision</t>
        </is>
      </c>
      <c r="E376" s="34" t="inlineStr">
        <is>
          <t>Maya Chen, Owner Project Controls</t>
        </is>
      </c>
      <c r="F376" s="100" t="inlineStr">
        <is>
          <t>10 EVIDENCE &amp; DECISIONS</t>
        </is>
      </c>
      <c r="G376" s="41" t="n"/>
    </row>
    <row r="377" ht="79" customHeight="1">
      <c r="A377" s="34" t="inlineStr">
        <is>
          <t>R1428-v2</t>
        </is>
      </c>
      <c r="B377" s="34" t="inlineStr">
        <is>
          <t>CST-05-026</t>
        </is>
      </c>
      <c r="C377" s="34" t="inlineStr">
        <is>
          <t>New</t>
        </is>
      </c>
      <c r="D377" s="34" t="inlineStr">
        <is>
          <t>Record first supplied in this revision</t>
        </is>
      </c>
      <c r="E377" s="34" t="inlineStr">
        <is>
          <t>Maya Chen, Owner Project Controls</t>
        </is>
      </c>
      <c r="F377" s="100" t="inlineStr">
        <is>
          <t>10 EVIDENCE &amp; DECISIONS</t>
        </is>
      </c>
      <c r="G377" s="41" t="n"/>
    </row>
    <row r="378" ht="79" customHeight="1">
      <c r="A378" s="34" t="inlineStr">
        <is>
          <t>R1429-v2</t>
        </is>
      </c>
      <c r="B378" s="34" t="inlineStr">
        <is>
          <t>CST-05-027</t>
        </is>
      </c>
      <c r="C378" s="34" t="inlineStr">
        <is>
          <t>New</t>
        </is>
      </c>
      <c r="D378" s="34" t="inlineStr">
        <is>
          <t>Record first supplied in this revision</t>
        </is>
      </c>
      <c r="E378" s="34" t="inlineStr">
        <is>
          <t>Maya Chen, Owner Project Controls</t>
        </is>
      </c>
      <c r="F378" s="100" t="inlineStr">
        <is>
          <t>10 EVIDENCE &amp; DECISIONS</t>
        </is>
      </c>
      <c r="G378" s="41" t="n"/>
    </row>
    <row r="379" ht="79" customHeight="1">
      <c r="A379" s="34" t="inlineStr">
        <is>
          <t>R1430-v2</t>
        </is>
      </c>
      <c r="B379" s="34" t="inlineStr">
        <is>
          <t>CST-05-028</t>
        </is>
      </c>
      <c r="C379" s="34" t="inlineStr">
        <is>
          <t>New</t>
        </is>
      </c>
      <c r="D379" s="34" t="inlineStr">
        <is>
          <t>Record first supplied in this revision</t>
        </is>
      </c>
      <c r="E379" s="34" t="inlineStr">
        <is>
          <t>Maya Chen, Owner Project Controls</t>
        </is>
      </c>
      <c r="F379" s="100" t="inlineStr">
        <is>
          <t>10 EVIDENCE &amp; DECISIONS</t>
        </is>
      </c>
      <c r="G379" s="41" t="n"/>
    </row>
    <row r="380" ht="79" customHeight="1">
      <c r="A380" s="34" t="inlineStr">
        <is>
          <t>R1431-v2</t>
        </is>
      </c>
      <c r="B380" s="34" t="inlineStr">
        <is>
          <t>CST-05-029</t>
        </is>
      </c>
      <c r="C380" s="34" t="inlineStr">
        <is>
          <t>New</t>
        </is>
      </c>
      <c r="D380" s="34" t="inlineStr">
        <is>
          <t>Record first supplied in this revision</t>
        </is>
      </c>
      <c r="E380" s="34" t="inlineStr">
        <is>
          <t>Maya Chen, Owner Project Controls</t>
        </is>
      </c>
      <c r="F380" s="100" t="inlineStr">
        <is>
          <t>10 EVIDENCE &amp; DECISIONS</t>
        </is>
      </c>
      <c r="G380" s="41" t="n"/>
    </row>
    <row r="381" ht="79" customHeight="1">
      <c r="A381" s="34" t="inlineStr">
        <is>
          <t>R1432-v2</t>
        </is>
      </c>
      <c r="B381" s="34" t="inlineStr">
        <is>
          <t>CST-05-030</t>
        </is>
      </c>
      <c r="C381" s="34" t="inlineStr">
        <is>
          <t>New</t>
        </is>
      </c>
      <c r="D381" s="34" t="inlineStr">
        <is>
          <t>Record first supplied in this revision</t>
        </is>
      </c>
      <c r="E381" s="34" t="inlineStr">
        <is>
          <t>Maya Chen, Owner Project Controls</t>
        </is>
      </c>
      <c r="F381" s="100" t="inlineStr">
        <is>
          <t>10 EVIDENCE &amp; DECISIONS</t>
        </is>
      </c>
      <c r="G381" s="41" t="n"/>
    </row>
    <row r="382" ht="79" customHeight="1">
      <c r="A382" s="34" t="inlineStr">
        <is>
          <t>R1433-v2</t>
        </is>
      </c>
      <c r="B382" s="34" t="inlineStr">
        <is>
          <t>CST-05-031</t>
        </is>
      </c>
      <c r="C382" s="34" t="inlineStr">
        <is>
          <t>New</t>
        </is>
      </c>
      <c r="D382" s="34" t="inlineStr">
        <is>
          <t>Record first supplied in this revision</t>
        </is>
      </c>
      <c r="E382" s="34" t="inlineStr">
        <is>
          <t>Maya Chen, Owner Project Controls</t>
        </is>
      </c>
      <c r="F382" s="100" t="inlineStr">
        <is>
          <t>10 EVIDENCE &amp; DECISIONS</t>
        </is>
      </c>
      <c r="G382" s="41" t="n"/>
    </row>
    <row r="383" ht="79" customHeight="1">
      <c r="A383" s="34" t="inlineStr">
        <is>
          <t>R1434-v2</t>
        </is>
      </c>
      <c r="B383" s="34" t="inlineStr">
        <is>
          <t>CST-05-032</t>
        </is>
      </c>
      <c r="C383" s="34" t="inlineStr">
        <is>
          <t>New</t>
        </is>
      </c>
      <c r="D383" s="34" t="inlineStr">
        <is>
          <t>Record first supplied in this revision</t>
        </is>
      </c>
      <c r="E383" s="34" t="inlineStr">
        <is>
          <t>Maya Chen, Owner Project Controls</t>
        </is>
      </c>
      <c r="F383" s="100" t="inlineStr">
        <is>
          <t>10 EVIDENCE &amp; DECISIONS</t>
        </is>
      </c>
      <c r="G383" s="41" t="n"/>
    </row>
    <row r="384" ht="79" customHeight="1">
      <c r="A384" s="34" t="inlineStr">
        <is>
          <t>R1435-v2</t>
        </is>
      </c>
      <c r="B384" s="34" t="inlineStr">
        <is>
          <t>CST-05-033</t>
        </is>
      </c>
      <c r="C384" s="34" t="inlineStr">
        <is>
          <t>New</t>
        </is>
      </c>
      <c r="D384" s="34" t="inlineStr">
        <is>
          <t>Record first supplied in this revision</t>
        </is>
      </c>
      <c r="E384" s="34" t="inlineStr">
        <is>
          <t>Maya Chen, Owner Project Controls</t>
        </is>
      </c>
      <c r="F384" s="100" t="inlineStr">
        <is>
          <t>10 EVIDENCE &amp; DECISIONS</t>
        </is>
      </c>
      <c r="G384" s="41" t="n"/>
    </row>
    <row r="385" ht="79" customHeight="1">
      <c r="A385" s="34" t="inlineStr">
        <is>
          <t>R1436-v2</t>
        </is>
      </c>
      <c r="B385" s="34" t="inlineStr">
        <is>
          <t>CST-05-034</t>
        </is>
      </c>
      <c r="C385" s="34" t="inlineStr">
        <is>
          <t>New</t>
        </is>
      </c>
      <c r="D385" s="34" t="inlineStr">
        <is>
          <t>Record first supplied in this revision</t>
        </is>
      </c>
      <c r="E385" s="34" t="inlineStr">
        <is>
          <t>Maya Chen, Owner Project Controls</t>
        </is>
      </c>
      <c r="F385" s="100" t="inlineStr">
        <is>
          <t>10 EVIDENCE &amp; DECISIONS</t>
        </is>
      </c>
      <c r="G385" s="41" t="n"/>
    </row>
    <row r="386" ht="79" customHeight="1">
      <c r="A386" s="34" t="inlineStr">
        <is>
          <t>R1437-v2</t>
        </is>
      </c>
      <c r="B386" s="34" t="inlineStr">
        <is>
          <t>CST-05-035</t>
        </is>
      </c>
      <c r="C386" s="34" t="inlineStr">
        <is>
          <t>New</t>
        </is>
      </c>
      <c r="D386" s="34" t="inlineStr">
        <is>
          <t>Record first supplied in this revision</t>
        </is>
      </c>
      <c r="E386" s="34" t="inlineStr">
        <is>
          <t>Maya Chen, Owner Project Controls</t>
        </is>
      </c>
      <c r="F386" s="100" t="inlineStr">
        <is>
          <t>10 EVIDENCE &amp; DECISIONS</t>
        </is>
      </c>
      <c r="G386" s="41" t="n"/>
    </row>
    <row r="387" ht="79" customHeight="1">
      <c r="A387" s="34" t="inlineStr">
        <is>
          <t>R1438-v2</t>
        </is>
      </c>
      <c r="B387" s="34" t="inlineStr">
        <is>
          <t>CST-05-036</t>
        </is>
      </c>
      <c r="C387" s="34" t="inlineStr">
        <is>
          <t>New</t>
        </is>
      </c>
      <c r="D387" s="34" t="inlineStr">
        <is>
          <t>Record first supplied in this revision</t>
        </is>
      </c>
      <c r="E387" s="34" t="inlineStr">
        <is>
          <t>Maya Chen, Owner Project Controls</t>
        </is>
      </c>
      <c r="F387" s="100" t="inlineStr">
        <is>
          <t>10 EVIDENCE &amp; DECISIONS</t>
        </is>
      </c>
      <c r="G387" s="41" t="n"/>
    </row>
    <row r="388" ht="79" customHeight="1">
      <c r="A388" s="34" t="inlineStr">
        <is>
          <t>R1439-v2</t>
        </is>
      </c>
      <c r="B388" s="34" t="inlineStr">
        <is>
          <t>CST-05-037</t>
        </is>
      </c>
      <c r="C388" s="34" t="inlineStr">
        <is>
          <t>New</t>
        </is>
      </c>
      <c r="D388" s="34" t="inlineStr">
        <is>
          <t>Record first supplied in this revision</t>
        </is>
      </c>
      <c r="E388" s="34" t="inlineStr">
        <is>
          <t>Maya Chen, Owner Project Controls</t>
        </is>
      </c>
      <c r="F388" s="100" t="inlineStr">
        <is>
          <t>10 EVIDENCE &amp; DECISIONS</t>
        </is>
      </c>
      <c r="G388" s="41" t="n"/>
    </row>
    <row r="389" ht="79" customHeight="1">
      <c r="A389" s="34" t="inlineStr">
        <is>
          <t>R1440-v2</t>
        </is>
      </c>
      <c r="B389" s="34" t="inlineStr">
        <is>
          <t>CST-05-038</t>
        </is>
      </c>
      <c r="C389" s="34" t="inlineStr">
        <is>
          <t>New</t>
        </is>
      </c>
      <c r="D389" s="34" t="inlineStr">
        <is>
          <t>Record first supplied in this revision</t>
        </is>
      </c>
      <c r="E389" s="34" t="inlineStr">
        <is>
          <t>Maya Chen, Owner Project Controls</t>
        </is>
      </c>
      <c r="F389" s="100" t="inlineStr">
        <is>
          <t>10 EVIDENCE &amp; DECISIONS</t>
        </is>
      </c>
      <c r="G389" s="41" t="n"/>
    </row>
    <row r="390" ht="79" customHeight="1">
      <c r="A390" s="34" t="inlineStr">
        <is>
          <t>R1441-v2</t>
        </is>
      </c>
      <c r="B390" s="34" t="inlineStr">
        <is>
          <t>CST-05-039</t>
        </is>
      </c>
      <c r="C390" s="34" t="inlineStr">
        <is>
          <t>New</t>
        </is>
      </c>
      <c r="D390" s="34" t="inlineStr">
        <is>
          <t>Record first supplied in this revision</t>
        </is>
      </c>
      <c r="E390" s="34" t="inlineStr">
        <is>
          <t>Maya Chen, Owner Project Controls</t>
        </is>
      </c>
      <c r="F390" s="100" t="inlineStr">
        <is>
          <t>10 EVIDENCE &amp; DECISIONS</t>
        </is>
      </c>
      <c r="G390" s="41" t="n"/>
    </row>
    <row r="391" ht="79" customHeight="1">
      <c r="A391" s="34" t="inlineStr">
        <is>
          <t>R1442-v2</t>
        </is>
      </c>
      <c r="B391" s="34" t="inlineStr">
        <is>
          <t>CST-05-040</t>
        </is>
      </c>
      <c r="C391" s="34" t="inlineStr">
        <is>
          <t>New</t>
        </is>
      </c>
      <c r="D391" s="34" t="inlineStr">
        <is>
          <t>Record first supplied in this revision</t>
        </is>
      </c>
      <c r="E391" s="34" t="inlineStr">
        <is>
          <t>Maya Chen, Owner Project Controls</t>
        </is>
      </c>
      <c r="F391" s="100" t="inlineStr">
        <is>
          <t>10 EVIDENCE &amp; DECISIONS</t>
        </is>
      </c>
      <c r="G391" s="41" t="n"/>
    </row>
    <row r="392" ht="79" customHeight="1">
      <c r="A392" s="34" t="inlineStr">
        <is>
          <t>R1443-v2</t>
        </is>
      </c>
      <c r="B392" s="34" t="inlineStr">
        <is>
          <t>CST-05-041</t>
        </is>
      </c>
      <c r="C392" s="34" t="inlineStr">
        <is>
          <t>New</t>
        </is>
      </c>
      <c r="D392" s="34" t="inlineStr">
        <is>
          <t>Record first supplied in this revision</t>
        </is>
      </c>
      <c r="E392" s="34" t="inlineStr">
        <is>
          <t>Maya Chen, Owner Project Controls</t>
        </is>
      </c>
      <c r="F392" s="100" t="inlineStr">
        <is>
          <t>10 EVIDENCE &amp; DECISIONS</t>
        </is>
      </c>
      <c r="G392" s="41" t="n"/>
    </row>
    <row r="393" ht="79" customHeight="1">
      <c r="A393" s="34" t="inlineStr">
        <is>
          <t>R1444-v2</t>
        </is>
      </c>
      <c r="B393" s="34" t="inlineStr">
        <is>
          <t>CST-05-042</t>
        </is>
      </c>
      <c r="C393" s="34" t="inlineStr">
        <is>
          <t>New</t>
        </is>
      </c>
      <c r="D393" s="34" t="inlineStr">
        <is>
          <t>Record first supplied in this revision</t>
        </is>
      </c>
      <c r="E393" s="34" t="inlineStr">
        <is>
          <t>Maya Chen, Owner Project Controls</t>
        </is>
      </c>
      <c r="F393" s="100" t="inlineStr">
        <is>
          <t>10 EVIDENCE &amp; DECISIONS</t>
        </is>
      </c>
      <c r="G393" s="41" t="n"/>
    </row>
    <row r="394" ht="79" customHeight="1">
      <c r="A394" s="34" t="inlineStr">
        <is>
          <t>R1445-v2</t>
        </is>
      </c>
      <c r="B394" s="34" t="inlineStr">
        <is>
          <t>CST-05-043</t>
        </is>
      </c>
      <c r="C394" s="34" t="inlineStr">
        <is>
          <t>New</t>
        </is>
      </c>
      <c r="D394" s="34" t="inlineStr">
        <is>
          <t>Record first supplied in this revision</t>
        </is>
      </c>
      <c r="E394" s="34" t="inlineStr">
        <is>
          <t>Maya Chen, Owner Project Controls</t>
        </is>
      </c>
      <c r="F394" s="100" t="inlineStr">
        <is>
          <t>10 EVIDENCE &amp; DECISIONS</t>
        </is>
      </c>
      <c r="G394" s="41" t="n"/>
    </row>
    <row r="395" ht="79" customHeight="1">
      <c r="A395" s="34" t="inlineStr">
        <is>
          <t>R1446-v2</t>
        </is>
      </c>
      <c r="B395" s="34" t="inlineStr">
        <is>
          <t>CST-05-044</t>
        </is>
      </c>
      <c r="C395" s="34" t="inlineStr">
        <is>
          <t>New</t>
        </is>
      </c>
      <c r="D395" s="34" t="inlineStr">
        <is>
          <t>Record first supplied in this revision</t>
        </is>
      </c>
      <c r="E395" s="34" t="inlineStr">
        <is>
          <t>Maya Chen, Owner Project Controls</t>
        </is>
      </c>
      <c r="F395" s="100" t="inlineStr">
        <is>
          <t>10 EVIDENCE &amp; DECISIONS</t>
        </is>
      </c>
      <c r="G395" s="41" t="n"/>
    </row>
    <row r="396" ht="79" customHeight="1">
      <c r="A396" s="34" t="inlineStr">
        <is>
          <t>R1447-v2</t>
        </is>
      </c>
      <c r="B396" s="34" t="inlineStr">
        <is>
          <t>CST-05-045</t>
        </is>
      </c>
      <c r="C396" s="34" t="inlineStr">
        <is>
          <t>New</t>
        </is>
      </c>
      <c r="D396" s="34" t="inlineStr">
        <is>
          <t>Record first supplied in this revision</t>
        </is>
      </c>
      <c r="E396" s="34" t="inlineStr">
        <is>
          <t>Maya Chen, Owner Project Controls</t>
        </is>
      </c>
      <c r="F396" s="100" t="inlineStr">
        <is>
          <t>10 EVIDENCE &amp; DECISIONS</t>
        </is>
      </c>
      <c r="G396" s="41" t="n"/>
    </row>
    <row r="397" ht="79" customHeight="1">
      <c r="A397" s="34" t="inlineStr">
        <is>
          <t>R1448-v2</t>
        </is>
      </c>
      <c r="B397" s="34" t="inlineStr">
        <is>
          <t>CST-05-046</t>
        </is>
      </c>
      <c r="C397" s="34" t="inlineStr">
        <is>
          <t>New</t>
        </is>
      </c>
      <c r="D397" s="34" t="inlineStr">
        <is>
          <t>Record first supplied in this revision</t>
        </is>
      </c>
      <c r="E397" s="34" t="inlineStr">
        <is>
          <t>Maya Chen, Owner Project Controls</t>
        </is>
      </c>
      <c r="F397" s="100" t="inlineStr">
        <is>
          <t>10 EVIDENCE &amp; DECISIONS</t>
        </is>
      </c>
      <c r="G397" s="41" t="n"/>
    </row>
    <row r="398" ht="79" customHeight="1">
      <c r="A398" s="34" t="inlineStr">
        <is>
          <t>R1449-v2</t>
        </is>
      </c>
      <c r="B398" s="34" t="inlineStr">
        <is>
          <t>CST-05-047</t>
        </is>
      </c>
      <c r="C398" s="34" t="inlineStr">
        <is>
          <t>New</t>
        </is>
      </c>
      <c r="D398" s="34" t="inlineStr">
        <is>
          <t>Record first supplied in this revision</t>
        </is>
      </c>
      <c r="E398" s="34" t="inlineStr">
        <is>
          <t>Maya Chen, Owner Project Controls</t>
        </is>
      </c>
      <c r="F398" s="100" t="inlineStr">
        <is>
          <t>10 EVIDENCE &amp; DECISIONS</t>
        </is>
      </c>
      <c r="G398" s="41" t="n"/>
    </row>
    <row r="399" ht="79" customHeight="1">
      <c r="A399" s="34" t="inlineStr">
        <is>
          <t>R1450-v2</t>
        </is>
      </c>
      <c r="B399" s="34" t="inlineStr">
        <is>
          <t>CST-05-048</t>
        </is>
      </c>
      <c r="C399" s="34" t="inlineStr">
        <is>
          <t>New</t>
        </is>
      </c>
      <c r="D399" s="34" t="inlineStr">
        <is>
          <t>Record first supplied in this revision</t>
        </is>
      </c>
      <c r="E399" s="34" t="inlineStr">
        <is>
          <t>Maya Chen, Owner Project Controls</t>
        </is>
      </c>
      <c r="F399" s="100" t="inlineStr">
        <is>
          <t>10 EVIDENCE &amp; DECISIONS</t>
        </is>
      </c>
      <c r="G399" s="41" t="n"/>
    </row>
    <row r="400" ht="79" customHeight="1">
      <c r="A400" s="34" t="inlineStr">
        <is>
          <t>R1451-v2</t>
        </is>
      </c>
      <c r="B400" s="34" t="inlineStr">
        <is>
          <t>CST-05-049</t>
        </is>
      </c>
      <c r="C400" s="34" t="inlineStr">
        <is>
          <t>New</t>
        </is>
      </c>
      <c r="D400" s="34" t="inlineStr">
        <is>
          <t>Record first supplied in this revision</t>
        </is>
      </c>
      <c r="E400" s="34" t="inlineStr">
        <is>
          <t>Maya Chen, Owner Project Controls</t>
        </is>
      </c>
      <c r="F400" s="100" t="inlineStr">
        <is>
          <t>10 EVIDENCE &amp; DECISIONS</t>
        </is>
      </c>
      <c r="G400" s="41" t="n"/>
    </row>
    <row r="401" ht="79" customHeight="1">
      <c r="A401" s="34" t="inlineStr">
        <is>
          <t>R1452-v2</t>
        </is>
      </c>
      <c r="B401" s="34" t="inlineStr">
        <is>
          <t>CST-05-050</t>
        </is>
      </c>
      <c r="C401" s="34" t="inlineStr">
        <is>
          <t>New</t>
        </is>
      </c>
      <c r="D401" s="34" t="inlineStr">
        <is>
          <t>Record first supplied in this revision</t>
        </is>
      </c>
      <c r="E401" s="34" t="inlineStr">
        <is>
          <t>Maya Chen, Owner Project Controls</t>
        </is>
      </c>
      <c r="F401" s="100" t="inlineStr">
        <is>
          <t>10 EVIDENCE &amp; DECISIONS</t>
        </is>
      </c>
      <c r="G401" s="41" t="n"/>
    </row>
    <row r="402" ht="79" customHeight="1">
      <c r="A402" s="34" t="inlineStr">
        <is>
          <t>R1453-v2</t>
        </is>
      </c>
      <c r="B402" s="34" t="inlineStr">
        <is>
          <t>CST-05-051</t>
        </is>
      </c>
      <c r="C402" s="34" t="inlineStr">
        <is>
          <t>New</t>
        </is>
      </c>
      <c r="D402" s="34" t="inlineStr">
        <is>
          <t>Record first supplied in this revision</t>
        </is>
      </c>
      <c r="E402" s="34" t="inlineStr">
        <is>
          <t>Maya Chen, Owner Project Controls</t>
        </is>
      </c>
      <c r="F402" s="100" t="inlineStr">
        <is>
          <t>10 EVIDENCE &amp; DECISIONS</t>
        </is>
      </c>
      <c r="G402" s="41" t="n"/>
    </row>
    <row r="403" ht="79" customHeight="1">
      <c r="A403" s="34" t="inlineStr">
        <is>
          <t>R1454-v2</t>
        </is>
      </c>
      <c r="B403" s="34" t="inlineStr">
        <is>
          <t>CST-05-052</t>
        </is>
      </c>
      <c r="C403" s="34" t="inlineStr">
        <is>
          <t>New</t>
        </is>
      </c>
      <c r="D403" s="34" t="inlineStr">
        <is>
          <t>Record first supplied in this revision</t>
        </is>
      </c>
      <c r="E403" s="34" t="inlineStr">
        <is>
          <t>Maya Chen, Owner Project Controls</t>
        </is>
      </c>
      <c r="F403" s="100" t="inlineStr">
        <is>
          <t>10 EVIDENCE &amp; DECISIONS</t>
        </is>
      </c>
      <c r="G403" s="41" t="n"/>
    </row>
    <row r="404" ht="79" customHeight="1">
      <c r="A404" s="34" t="inlineStr">
        <is>
          <t>R1455-v2</t>
        </is>
      </c>
      <c r="B404" s="34" t="inlineStr">
        <is>
          <t>CST-05-053</t>
        </is>
      </c>
      <c r="C404" s="34" t="inlineStr">
        <is>
          <t>New</t>
        </is>
      </c>
      <c r="D404" s="34" t="inlineStr">
        <is>
          <t>Record first supplied in this revision</t>
        </is>
      </c>
      <c r="E404" s="34" t="inlineStr">
        <is>
          <t>Maya Chen, Owner Project Controls</t>
        </is>
      </c>
      <c r="F404" s="100" t="inlineStr">
        <is>
          <t>10 EVIDENCE &amp; DECISIONS</t>
        </is>
      </c>
      <c r="G404" s="41" t="n"/>
    </row>
    <row r="405" ht="79" customHeight="1">
      <c r="A405" s="34" t="inlineStr">
        <is>
          <t>R1456-v2</t>
        </is>
      </c>
      <c r="B405" s="34" t="inlineStr">
        <is>
          <t>CST-05-054</t>
        </is>
      </c>
      <c r="C405" s="34" t="inlineStr">
        <is>
          <t>New</t>
        </is>
      </c>
      <c r="D405" s="34" t="inlineStr">
        <is>
          <t>Record first supplied in this revision</t>
        </is>
      </c>
      <c r="E405" s="34" t="inlineStr">
        <is>
          <t>Maya Chen, Owner Project Controls</t>
        </is>
      </c>
      <c r="F405" s="100" t="inlineStr">
        <is>
          <t>10 EVIDENCE &amp; DECISIONS</t>
        </is>
      </c>
      <c r="G405" s="41" t="n"/>
    </row>
    <row r="406" ht="79" customHeight="1">
      <c r="A406" s="34" t="inlineStr">
        <is>
          <t>R1457-v2</t>
        </is>
      </c>
      <c r="B406" s="34" t="inlineStr">
        <is>
          <t>CST-05-055</t>
        </is>
      </c>
      <c r="C406" s="34" t="inlineStr">
        <is>
          <t>New</t>
        </is>
      </c>
      <c r="D406" s="34" t="inlineStr">
        <is>
          <t>Record first supplied in this revision</t>
        </is>
      </c>
      <c r="E406" s="34" t="inlineStr">
        <is>
          <t>Maya Chen, Owner Project Controls</t>
        </is>
      </c>
      <c r="F406" s="100" t="inlineStr">
        <is>
          <t>10 EVIDENCE &amp; DECISIONS</t>
        </is>
      </c>
      <c r="G406" s="41" t="n"/>
    </row>
    <row r="407" ht="79" customHeight="1">
      <c r="A407" s="34" t="inlineStr">
        <is>
          <t>R1458-v2</t>
        </is>
      </c>
      <c r="B407" s="34" t="inlineStr">
        <is>
          <t>CST-05-056</t>
        </is>
      </c>
      <c r="C407" s="34" t="inlineStr">
        <is>
          <t>New</t>
        </is>
      </c>
      <c r="D407" s="34" t="inlineStr">
        <is>
          <t>Record first supplied in this revision</t>
        </is>
      </c>
      <c r="E407" s="34" t="inlineStr">
        <is>
          <t>Maya Chen, Owner Project Controls</t>
        </is>
      </c>
      <c r="F407" s="100" t="inlineStr">
        <is>
          <t>10 EVIDENCE &amp; DECISIONS</t>
        </is>
      </c>
      <c r="G407" s="41" t="n"/>
    </row>
    <row r="408" ht="79" customHeight="1">
      <c r="A408" s="34" t="inlineStr">
        <is>
          <t>R1459-v2</t>
        </is>
      </c>
      <c r="B408" s="34" t="inlineStr">
        <is>
          <t>CST-05-057</t>
        </is>
      </c>
      <c r="C408" s="34" t="inlineStr">
        <is>
          <t>New</t>
        </is>
      </c>
      <c r="D408" s="34" t="inlineStr">
        <is>
          <t>Record first supplied in this revision</t>
        </is>
      </c>
      <c r="E408" s="34" t="inlineStr">
        <is>
          <t>Maya Chen, Owner Project Controls</t>
        </is>
      </c>
      <c r="F408" s="100" t="inlineStr">
        <is>
          <t>10 EVIDENCE &amp; DECISIONS</t>
        </is>
      </c>
      <c r="G408" s="41" t="n"/>
    </row>
    <row r="409" ht="79" customHeight="1">
      <c r="A409" s="34" t="inlineStr">
        <is>
          <t>R1460-v2</t>
        </is>
      </c>
      <c r="B409" s="34" t="inlineStr">
        <is>
          <t>CST-05-058</t>
        </is>
      </c>
      <c r="C409" s="34" t="inlineStr">
        <is>
          <t>New</t>
        </is>
      </c>
      <c r="D409" s="34" t="inlineStr">
        <is>
          <t>Record first supplied in this revision</t>
        </is>
      </c>
      <c r="E409" s="34" t="inlineStr">
        <is>
          <t>Maya Chen, Owner Project Controls</t>
        </is>
      </c>
      <c r="F409" s="100" t="inlineStr">
        <is>
          <t>10 EVIDENCE &amp; DECISIONS</t>
        </is>
      </c>
      <c r="G409" s="41" t="n"/>
    </row>
    <row r="410" ht="79" customHeight="1">
      <c r="A410" s="34" t="inlineStr">
        <is>
          <t>R1461-v2</t>
        </is>
      </c>
      <c r="B410" s="34" t="inlineStr">
        <is>
          <t>CST-05-059</t>
        </is>
      </c>
      <c r="C410" s="34" t="inlineStr">
        <is>
          <t>New</t>
        </is>
      </c>
      <c r="D410" s="34" t="inlineStr">
        <is>
          <t>Record first supplied in this revision</t>
        </is>
      </c>
      <c r="E410" s="34" t="inlineStr">
        <is>
          <t>Maya Chen, Owner Project Controls</t>
        </is>
      </c>
      <c r="F410" s="100" t="inlineStr">
        <is>
          <t>10 EVIDENCE &amp; DECISIONS</t>
        </is>
      </c>
      <c r="G410" s="41" t="n"/>
    </row>
    <row r="411" ht="79" customHeight="1">
      <c r="A411" s="34" t="inlineStr">
        <is>
          <t>R1462-v2</t>
        </is>
      </c>
      <c r="B411" s="34" t="inlineStr">
        <is>
          <t>CST-05-060</t>
        </is>
      </c>
      <c r="C411" s="34" t="inlineStr">
        <is>
          <t>New</t>
        </is>
      </c>
      <c r="D411" s="34" t="inlineStr">
        <is>
          <t>Record first supplied in this revision</t>
        </is>
      </c>
      <c r="E411" s="34" t="inlineStr">
        <is>
          <t>Maya Chen, Owner Project Controls</t>
        </is>
      </c>
      <c r="F411" s="100" t="inlineStr">
        <is>
          <t>10 EVIDENCE &amp; DECISIONS</t>
        </is>
      </c>
      <c r="G411" s="41" t="n"/>
    </row>
    <row r="412" ht="79" customHeight="1">
      <c r="A412" s="34" t="inlineStr">
        <is>
          <t>R1463-v2</t>
        </is>
      </c>
      <c r="B412" s="34" t="inlineStr">
        <is>
          <t>CST-05-061</t>
        </is>
      </c>
      <c r="C412" s="34" t="inlineStr">
        <is>
          <t>New</t>
        </is>
      </c>
      <c r="D412" s="34" t="inlineStr">
        <is>
          <t>Record first supplied in this revision</t>
        </is>
      </c>
      <c r="E412" s="34" t="inlineStr">
        <is>
          <t>Maya Chen, Owner Project Controls</t>
        </is>
      </c>
      <c r="F412" s="100" t="inlineStr">
        <is>
          <t>10 EVIDENCE &amp; DECISIONS</t>
        </is>
      </c>
      <c r="G412" s="41" t="n"/>
    </row>
    <row r="413" ht="79" customHeight="1">
      <c r="A413" s="34" t="inlineStr">
        <is>
          <t>R1464-v2</t>
        </is>
      </c>
      <c r="B413" s="34" t="inlineStr">
        <is>
          <t>CST-05-062</t>
        </is>
      </c>
      <c r="C413" s="34" t="inlineStr">
        <is>
          <t>New</t>
        </is>
      </c>
      <c r="D413" s="34" t="inlineStr">
        <is>
          <t>Record first supplied in this revision</t>
        </is>
      </c>
      <c r="E413" s="34" t="inlineStr">
        <is>
          <t>Maya Chen, Owner Project Controls</t>
        </is>
      </c>
      <c r="F413" s="100" t="inlineStr">
        <is>
          <t>10 EVIDENCE &amp; DECISIONS</t>
        </is>
      </c>
      <c r="G413" s="41" t="n"/>
    </row>
    <row r="414" ht="79" customHeight="1">
      <c r="A414" s="34" t="inlineStr">
        <is>
          <t>R1465-v2</t>
        </is>
      </c>
      <c r="B414" s="34" t="inlineStr">
        <is>
          <t>CST-05-063</t>
        </is>
      </c>
      <c r="C414" s="34" t="inlineStr">
        <is>
          <t>New</t>
        </is>
      </c>
      <c r="D414" s="34" t="inlineStr">
        <is>
          <t>Record first supplied in this revision</t>
        </is>
      </c>
      <c r="E414" s="34" t="inlineStr">
        <is>
          <t>Maya Chen, Owner Project Controls</t>
        </is>
      </c>
      <c r="F414" s="100" t="inlineStr">
        <is>
          <t>10 EVIDENCE &amp; DECISIONS</t>
        </is>
      </c>
      <c r="G414" s="41" t="n"/>
    </row>
    <row r="415" ht="79" customHeight="1">
      <c r="A415" s="34" t="inlineStr">
        <is>
          <t>R1466-v2</t>
        </is>
      </c>
      <c r="B415" s="34" t="inlineStr">
        <is>
          <t>CST-05-064</t>
        </is>
      </c>
      <c r="C415" s="34" t="inlineStr">
        <is>
          <t>New</t>
        </is>
      </c>
      <c r="D415" s="34" t="inlineStr">
        <is>
          <t>Record first supplied in this revision</t>
        </is>
      </c>
      <c r="E415" s="34" t="inlineStr">
        <is>
          <t>Maya Chen, Owner Project Controls</t>
        </is>
      </c>
      <c r="F415" s="100" t="inlineStr">
        <is>
          <t>10 EVIDENCE &amp; DECISIONS</t>
        </is>
      </c>
      <c r="G415" s="41" t="n"/>
    </row>
    <row r="416" ht="79" customHeight="1">
      <c r="A416" s="34" t="inlineStr">
        <is>
          <t>R1467-v2</t>
        </is>
      </c>
      <c r="B416" s="34" t="inlineStr">
        <is>
          <t>CST-05-065</t>
        </is>
      </c>
      <c r="C416" s="34" t="inlineStr">
        <is>
          <t>New</t>
        </is>
      </c>
      <c r="D416" s="34" t="inlineStr">
        <is>
          <t>Record first supplied in this revision</t>
        </is>
      </c>
      <c r="E416" s="34" t="inlineStr">
        <is>
          <t>Maya Chen, Owner Project Controls</t>
        </is>
      </c>
      <c r="F416" s="100" t="inlineStr">
        <is>
          <t>10 EVIDENCE &amp; DECISIONS</t>
        </is>
      </c>
      <c r="G416" s="41" t="n"/>
    </row>
    <row r="417" ht="79" customHeight="1">
      <c r="A417" s="34" t="inlineStr">
        <is>
          <t>R1468-v2</t>
        </is>
      </c>
      <c r="B417" s="34" t="inlineStr">
        <is>
          <t>CST-05-066</t>
        </is>
      </c>
      <c r="C417" s="34" t="inlineStr">
        <is>
          <t>New</t>
        </is>
      </c>
      <c r="D417" s="34" t="inlineStr">
        <is>
          <t>Record first supplied in this revision</t>
        </is>
      </c>
      <c r="E417" s="34" t="inlineStr">
        <is>
          <t>Maya Chen, Owner Project Controls</t>
        </is>
      </c>
      <c r="F417" s="100" t="inlineStr">
        <is>
          <t>10 EVIDENCE &amp; DECISIONS</t>
        </is>
      </c>
      <c r="G417" s="41" t="n"/>
    </row>
    <row r="418" ht="79" customHeight="1">
      <c r="A418" s="34" t="inlineStr">
        <is>
          <t>R1469-v2</t>
        </is>
      </c>
      <c r="B418" s="34" t="inlineStr">
        <is>
          <t>CST-05-067</t>
        </is>
      </c>
      <c r="C418" s="34" t="inlineStr">
        <is>
          <t>New</t>
        </is>
      </c>
      <c r="D418" s="34" t="inlineStr">
        <is>
          <t>Record first supplied in this revision</t>
        </is>
      </c>
      <c r="E418" s="34" t="inlineStr">
        <is>
          <t>Maya Chen, Owner Project Controls</t>
        </is>
      </c>
      <c r="F418" s="100" t="inlineStr">
        <is>
          <t>10 EVIDENCE &amp; DECISIONS</t>
        </is>
      </c>
      <c r="G418" s="41" t="n"/>
    </row>
    <row r="419" ht="79" customHeight="1">
      <c r="A419" s="34" t="inlineStr">
        <is>
          <t>R1470-v2</t>
        </is>
      </c>
      <c r="B419" s="34" t="inlineStr">
        <is>
          <t>CST-05-068</t>
        </is>
      </c>
      <c r="C419" s="34" t="inlineStr">
        <is>
          <t>New</t>
        </is>
      </c>
      <c r="D419" s="34" t="inlineStr">
        <is>
          <t>Record first supplied in this revision</t>
        </is>
      </c>
      <c r="E419" s="34" t="inlineStr">
        <is>
          <t>Maya Chen, Owner Project Controls</t>
        </is>
      </c>
      <c r="F419" s="100" t="inlineStr">
        <is>
          <t>10 EVIDENCE &amp; DECISIONS</t>
        </is>
      </c>
      <c r="G419" s="41" t="n"/>
    </row>
    <row r="420" ht="79" customHeight="1">
      <c r="A420" s="34" t="inlineStr">
        <is>
          <t>R1471-v2</t>
        </is>
      </c>
      <c r="B420" s="34" t="inlineStr">
        <is>
          <t>CST-05-069</t>
        </is>
      </c>
      <c r="C420" s="34" t="inlineStr">
        <is>
          <t>New</t>
        </is>
      </c>
      <c r="D420" s="34" t="inlineStr">
        <is>
          <t>Record first supplied in this revision</t>
        </is>
      </c>
      <c r="E420" s="34" t="inlineStr">
        <is>
          <t>Maya Chen, Owner Project Controls</t>
        </is>
      </c>
      <c r="F420" s="100" t="inlineStr">
        <is>
          <t>10 EVIDENCE &amp; DECISIONS</t>
        </is>
      </c>
      <c r="G420" s="41" t="n"/>
    </row>
    <row r="421" ht="79" customHeight="1">
      <c r="A421" s="34" t="inlineStr">
        <is>
          <t>R1472-v2</t>
        </is>
      </c>
      <c r="B421" s="34" t="inlineStr">
        <is>
          <t>CST-05-070</t>
        </is>
      </c>
      <c r="C421" s="34" t="inlineStr">
        <is>
          <t>New</t>
        </is>
      </c>
      <c r="D421" s="34" t="inlineStr">
        <is>
          <t>Record first supplied in this revision</t>
        </is>
      </c>
      <c r="E421" s="34" t="inlineStr">
        <is>
          <t>Maya Chen, Owner Project Controls</t>
        </is>
      </c>
      <c r="F421" s="100" t="inlineStr">
        <is>
          <t>10 EVIDENCE &amp; DECISIONS</t>
        </is>
      </c>
      <c r="G421" s="41" t="n"/>
    </row>
    <row r="422" ht="79" customHeight="1">
      <c r="A422" s="34" t="inlineStr">
        <is>
          <t>R1473-v2</t>
        </is>
      </c>
      <c r="B422" s="34" t="inlineStr">
        <is>
          <t>CST-05-071</t>
        </is>
      </c>
      <c r="C422" s="34" t="inlineStr">
        <is>
          <t>New</t>
        </is>
      </c>
      <c r="D422" s="34" t="inlineStr">
        <is>
          <t>Record first supplied in this revision</t>
        </is>
      </c>
      <c r="E422" s="34" t="inlineStr">
        <is>
          <t>Maya Chen, Owner Project Controls</t>
        </is>
      </c>
      <c r="F422" s="100" t="inlineStr">
        <is>
          <t>10 EVIDENCE &amp; DECISIONS</t>
        </is>
      </c>
      <c r="G422" s="41" t="n"/>
    </row>
    <row r="423" ht="79" customHeight="1">
      <c r="A423" s="34" t="inlineStr">
        <is>
          <t>R1474-v2</t>
        </is>
      </c>
      <c r="B423" s="34" t="inlineStr">
        <is>
          <t>CST-05-072</t>
        </is>
      </c>
      <c r="C423" s="34" t="inlineStr">
        <is>
          <t>New</t>
        </is>
      </c>
      <c r="D423" s="34" t="inlineStr">
        <is>
          <t>Record first supplied in this revision</t>
        </is>
      </c>
      <c r="E423" s="34" t="inlineStr">
        <is>
          <t>Maya Chen, Owner Project Controls</t>
        </is>
      </c>
      <c r="F423" s="100" t="inlineStr">
        <is>
          <t>10 EVIDENCE &amp; DECISIONS</t>
        </is>
      </c>
      <c r="G423" s="41" t="n"/>
    </row>
    <row r="424" ht="79" customHeight="1">
      <c r="A424" s="34" t="inlineStr">
        <is>
          <t>R1475-v2</t>
        </is>
      </c>
      <c r="B424" s="34" t="inlineStr">
        <is>
          <t>CST-05-073</t>
        </is>
      </c>
      <c r="C424" s="34" t="inlineStr">
        <is>
          <t>New</t>
        </is>
      </c>
      <c r="D424" s="34" t="inlineStr">
        <is>
          <t>Record first supplied in this revision</t>
        </is>
      </c>
      <c r="E424" s="34" t="inlineStr">
        <is>
          <t>Maya Chen, Owner Project Controls</t>
        </is>
      </c>
      <c r="F424" s="100" t="inlineStr">
        <is>
          <t>10 EVIDENCE &amp; DECISIONS</t>
        </is>
      </c>
      <c r="G424" s="41" t="n"/>
    </row>
    <row r="425" ht="79" customHeight="1">
      <c r="A425" s="34" t="inlineStr">
        <is>
          <t>R1476-v2</t>
        </is>
      </c>
      <c r="B425" s="34" t="inlineStr">
        <is>
          <t>CST-05-074</t>
        </is>
      </c>
      <c r="C425" s="34" t="inlineStr">
        <is>
          <t>New</t>
        </is>
      </c>
      <c r="D425" s="34" t="inlineStr">
        <is>
          <t>Record first supplied in this revision</t>
        </is>
      </c>
      <c r="E425" s="34" t="inlineStr">
        <is>
          <t>Maya Chen, Owner Project Controls</t>
        </is>
      </c>
      <c r="F425" s="100" t="inlineStr">
        <is>
          <t>10 EVIDENCE &amp; DECISIONS</t>
        </is>
      </c>
      <c r="G425" s="41" t="n"/>
    </row>
    <row r="426" ht="79" customHeight="1">
      <c r="A426" s="34" t="inlineStr">
        <is>
          <t>R1477-v2</t>
        </is>
      </c>
      <c r="B426" s="34" t="inlineStr">
        <is>
          <t>CST-05-075</t>
        </is>
      </c>
      <c r="C426" s="34" t="inlineStr">
        <is>
          <t>New</t>
        </is>
      </c>
      <c r="D426" s="34" t="inlineStr">
        <is>
          <t>Record first supplied in this revision</t>
        </is>
      </c>
      <c r="E426" s="34" t="inlineStr">
        <is>
          <t>Maya Chen, Owner Project Controls</t>
        </is>
      </c>
      <c r="F426" s="100" t="inlineStr">
        <is>
          <t>10 EVIDENCE &amp; DECISIONS</t>
        </is>
      </c>
      <c r="G426" s="41" t="n"/>
    </row>
    <row r="427" ht="79" customHeight="1">
      <c r="A427" s="34" t="inlineStr">
        <is>
          <t>R1478-v2</t>
        </is>
      </c>
      <c r="B427" s="34" t="inlineStr">
        <is>
          <t>CST-05-076</t>
        </is>
      </c>
      <c r="C427" s="34" t="inlineStr">
        <is>
          <t>New</t>
        </is>
      </c>
      <c r="D427" s="34" t="inlineStr">
        <is>
          <t>Record first supplied in this revision</t>
        </is>
      </c>
      <c r="E427" s="34" t="inlineStr">
        <is>
          <t>Maya Chen, Owner Project Controls</t>
        </is>
      </c>
      <c r="F427" s="100" t="inlineStr">
        <is>
          <t>10 EVIDENCE &amp; DECISIONS</t>
        </is>
      </c>
      <c r="G427" s="41" t="n"/>
    </row>
    <row r="428" ht="79" customHeight="1">
      <c r="A428" s="34" t="inlineStr">
        <is>
          <t>R1479-v2</t>
        </is>
      </c>
      <c r="B428" s="34" t="inlineStr">
        <is>
          <t>CST-05-077</t>
        </is>
      </c>
      <c r="C428" s="34" t="inlineStr">
        <is>
          <t>New</t>
        </is>
      </c>
      <c r="D428" s="34" t="inlineStr">
        <is>
          <t>Record first supplied in this revision</t>
        </is>
      </c>
      <c r="E428" s="34" t="inlineStr">
        <is>
          <t>Maya Chen, Owner Project Controls</t>
        </is>
      </c>
      <c r="F428" s="100" t="inlineStr">
        <is>
          <t>10 EVIDENCE &amp; DECISIONS</t>
        </is>
      </c>
      <c r="G428" s="41" t="n"/>
    </row>
    <row r="429" ht="79" customHeight="1">
      <c r="A429" s="34" t="inlineStr">
        <is>
          <t>R1480-v2</t>
        </is>
      </c>
      <c r="B429" s="34" t="inlineStr">
        <is>
          <t>CST-05-078</t>
        </is>
      </c>
      <c r="C429" s="34" t="inlineStr">
        <is>
          <t>New</t>
        </is>
      </c>
      <c r="D429" s="34" t="inlineStr">
        <is>
          <t>Record first supplied in this revision</t>
        </is>
      </c>
      <c r="E429" s="34" t="inlineStr">
        <is>
          <t>Maya Chen, Owner Project Controls</t>
        </is>
      </c>
      <c r="F429" s="100" t="inlineStr">
        <is>
          <t>10 EVIDENCE &amp; DECISIONS</t>
        </is>
      </c>
      <c r="G429" s="41" t="n"/>
    </row>
    <row r="430" ht="79" customHeight="1">
      <c r="A430" s="34" t="inlineStr">
        <is>
          <t>R1481-v2</t>
        </is>
      </c>
      <c r="B430" s="34" t="inlineStr">
        <is>
          <t>CST-05-079</t>
        </is>
      </c>
      <c r="C430" s="34" t="inlineStr">
        <is>
          <t>New</t>
        </is>
      </c>
      <c r="D430" s="34" t="inlineStr">
        <is>
          <t>Record first supplied in this revision</t>
        </is>
      </c>
      <c r="E430" s="34" t="inlineStr">
        <is>
          <t>Maya Chen, Owner Project Controls</t>
        </is>
      </c>
      <c r="F430" s="100" t="inlineStr">
        <is>
          <t>10 EVIDENCE &amp; DECISIONS</t>
        </is>
      </c>
      <c r="G430" s="41" t="n"/>
    </row>
    <row r="431" ht="79" customHeight="1">
      <c r="A431" s="34" t="inlineStr">
        <is>
          <t>R1482-v2</t>
        </is>
      </c>
      <c r="B431" s="34" t="inlineStr">
        <is>
          <t>CST-05-080</t>
        </is>
      </c>
      <c r="C431" s="34" t="inlineStr">
        <is>
          <t>New</t>
        </is>
      </c>
      <c r="D431" s="34" t="inlineStr">
        <is>
          <t>Record first supplied in this revision</t>
        </is>
      </c>
      <c r="E431" s="34" t="inlineStr">
        <is>
          <t>Maya Chen, Owner Project Controls</t>
        </is>
      </c>
      <c r="F431" s="100" t="inlineStr">
        <is>
          <t>10 EVIDENCE &amp; DECISIONS</t>
        </is>
      </c>
      <c r="G431" s="41" t="n"/>
    </row>
    <row r="432" ht="79" customHeight="1">
      <c r="A432" s="34" t="inlineStr">
        <is>
          <t>R1483-v1</t>
        </is>
      </c>
      <c r="B432" s="34" t="inlineStr">
        <is>
          <t>CST-06-001</t>
        </is>
      </c>
      <c r="C432" s="34" t="inlineStr">
        <is>
          <t>New</t>
        </is>
      </c>
      <c r="D432" s="34" t="inlineStr">
        <is>
          <t>Record first supplied in this revision</t>
        </is>
      </c>
      <c r="E432" s="39" t="inlineStr"/>
      <c r="F432" s="100" t="inlineStr">
        <is>
          <t>10 EVIDENCE &amp; DECISIONS</t>
        </is>
      </c>
      <c r="G432" s="41" t="n"/>
    </row>
    <row r="433" ht="79" customHeight="1">
      <c r="A433" s="34" t="inlineStr">
        <is>
          <t>R1484-v1</t>
        </is>
      </c>
      <c r="B433" s="34" t="inlineStr">
        <is>
          <t>CST-06-002</t>
        </is>
      </c>
      <c r="C433" s="34" t="inlineStr">
        <is>
          <t>New</t>
        </is>
      </c>
      <c r="D433" s="34" t="inlineStr">
        <is>
          <t>Record first supplied in this revision</t>
        </is>
      </c>
      <c r="E433" s="39" t="inlineStr"/>
      <c r="F433" s="100" t="inlineStr">
        <is>
          <t>10 EVIDENCE &amp; DECISIONS</t>
        </is>
      </c>
      <c r="G433" s="41" t="n"/>
    </row>
    <row r="434" ht="79" customHeight="1">
      <c r="A434" s="34" t="inlineStr">
        <is>
          <t>R1485-v1</t>
        </is>
      </c>
      <c r="B434" s="34" t="inlineStr">
        <is>
          <t>CST-06-003</t>
        </is>
      </c>
      <c r="C434" s="34" t="inlineStr">
        <is>
          <t>New</t>
        </is>
      </c>
      <c r="D434" s="34" t="inlineStr">
        <is>
          <t>Record first supplied in this revision</t>
        </is>
      </c>
      <c r="E434" s="39" t="inlineStr"/>
      <c r="F434" s="100" t="inlineStr">
        <is>
          <t>10 EVIDENCE &amp; DECISIONS</t>
        </is>
      </c>
      <c r="G434" s="41" t="n"/>
    </row>
    <row r="435" ht="79" customHeight="1">
      <c r="A435" s="34" t="inlineStr">
        <is>
          <t>R1486-v1</t>
        </is>
      </c>
      <c r="B435" s="34" t="inlineStr">
        <is>
          <t>CST-06-004</t>
        </is>
      </c>
      <c r="C435" s="34" t="inlineStr">
        <is>
          <t>New</t>
        </is>
      </c>
      <c r="D435" s="34" t="inlineStr">
        <is>
          <t>Record first supplied in this revision</t>
        </is>
      </c>
      <c r="E435" s="39" t="inlineStr"/>
      <c r="F435" s="100" t="inlineStr">
        <is>
          <t>10 EVIDENCE &amp; DECISIONS</t>
        </is>
      </c>
      <c r="G435" s="41" t="n"/>
    </row>
    <row r="436" ht="79" customHeight="1">
      <c r="A436" s="34" t="inlineStr">
        <is>
          <t>R1487-v1</t>
        </is>
      </c>
      <c r="B436" s="34" t="inlineStr">
        <is>
          <t>CST-06-005</t>
        </is>
      </c>
      <c r="C436" s="34" t="inlineStr">
        <is>
          <t>New</t>
        </is>
      </c>
      <c r="D436" s="34" t="inlineStr">
        <is>
          <t>Record first supplied in this revision</t>
        </is>
      </c>
      <c r="E436" s="39" t="inlineStr"/>
      <c r="F436" s="100" t="inlineStr">
        <is>
          <t>10 EVIDENCE &amp; DECISIONS</t>
        </is>
      </c>
      <c r="G436" s="41" t="n"/>
    </row>
    <row r="437" ht="79" customHeight="1">
      <c r="A437" s="34" t="inlineStr">
        <is>
          <t>R1488-v1</t>
        </is>
      </c>
      <c r="B437" s="34" t="inlineStr">
        <is>
          <t>CST-06-006</t>
        </is>
      </c>
      <c r="C437" s="34" t="inlineStr">
        <is>
          <t>New</t>
        </is>
      </c>
      <c r="D437" s="34" t="inlineStr">
        <is>
          <t>Record first supplied in this revision</t>
        </is>
      </c>
      <c r="E437" s="39" t="inlineStr"/>
      <c r="F437" s="100" t="inlineStr">
        <is>
          <t>10 EVIDENCE &amp; DECISIONS</t>
        </is>
      </c>
      <c r="G437" s="41" t="n"/>
    </row>
    <row r="438" ht="79" customHeight="1">
      <c r="A438" s="34" t="inlineStr">
        <is>
          <t>R1489-v1</t>
        </is>
      </c>
      <c r="B438" s="34" t="inlineStr">
        <is>
          <t>CST-06-007</t>
        </is>
      </c>
      <c r="C438" s="34" t="inlineStr">
        <is>
          <t>New</t>
        </is>
      </c>
      <c r="D438" s="34" t="inlineStr">
        <is>
          <t>Record first supplied in this revision</t>
        </is>
      </c>
      <c r="E438" s="39" t="inlineStr"/>
      <c r="F438" s="100" t="inlineStr">
        <is>
          <t>10 EVIDENCE &amp; DECISIONS</t>
        </is>
      </c>
      <c r="G438" s="41" t="n"/>
    </row>
    <row r="439" ht="79" customHeight="1">
      <c r="A439" s="34" t="inlineStr">
        <is>
          <t>R1490-v1</t>
        </is>
      </c>
      <c r="B439" s="34" t="inlineStr">
        <is>
          <t>CST-06-008</t>
        </is>
      </c>
      <c r="C439" s="34" t="inlineStr">
        <is>
          <t>New</t>
        </is>
      </c>
      <c r="D439" s="34" t="inlineStr">
        <is>
          <t>Record first supplied in this revision</t>
        </is>
      </c>
      <c r="E439" s="39" t="inlineStr"/>
      <c r="F439" s="100" t="inlineStr">
        <is>
          <t>10 EVIDENCE &amp; DECISIONS</t>
        </is>
      </c>
      <c r="G439" s="41" t="n"/>
    </row>
    <row r="440" ht="79" customHeight="1">
      <c r="A440" s="34" t="inlineStr">
        <is>
          <t>R1491-v1</t>
        </is>
      </c>
      <c r="B440" s="34" t="inlineStr">
        <is>
          <t>CST-06-009</t>
        </is>
      </c>
      <c r="C440" s="34" t="inlineStr">
        <is>
          <t>New</t>
        </is>
      </c>
      <c r="D440" s="34" t="inlineStr">
        <is>
          <t>Record first supplied in this revision</t>
        </is>
      </c>
      <c r="E440" s="39" t="inlineStr"/>
      <c r="F440" s="100" t="inlineStr">
        <is>
          <t>10 EVIDENCE &amp; DECISIONS</t>
        </is>
      </c>
      <c r="G440" s="41" t="n"/>
    </row>
    <row r="441" ht="79" customHeight="1">
      <c r="A441" s="34" t="inlineStr">
        <is>
          <t>R1492-v1</t>
        </is>
      </c>
      <c r="B441" s="34" t="inlineStr">
        <is>
          <t>CST-06-010</t>
        </is>
      </c>
      <c r="C441" s="34" t="inlineStr">
        <is>
          <t>New</t>
        </is>
      </c>
      <c r="D441" s="34" t="inlineStr">
        <is>
          <t>Record first supplied in this revision</t>
        </is>
      </c>
      <c r="E441" s="39" t="inlineStr"/>
      <c r="F441" s="100" t="inlineStr">
        <is>
          <t>10 EVIDENCE &amp; DECISIONS</t>
        </is>
      </c>
      <c r="G441" s="41" t="n"/>
    </row>
    <row r="442" ht="79" customHeight="1">
      <c r="A442" s="34" t="inlineStr">
        <is>
          <t>R1493-v1</t>
        </is>
      </c>
      <c r="B442" s="34" t="inlineStr">
        <is>
          <t>CST-06-011</t>
        </is>
      </c>
      <c r="C442" s="34" t="inlineStr">
        <is>
          <t>New</t>
        </is>
      </c>
      <c r="D442" s="34" t="inlineStr">
        <is>
          <t>Record first supplied in this revision</t>
        </is>
      </c>
      <c r="E442" s="39" t="inlineStr"/>
      <c r="F442" s="100" t="inlineStr">
        <is>
          <t>10 EVIDENCE &amp; DECISIONS</t>
        </is>
      </c>
      <c r="G442" s="41" t="n"/>
    </row>
    <row r="443" ht="79" customHeight="1">
      <c r="A443" s="34" t="inlineStr">
        <is>
          <t>R1494-v1</t>
        </is>
      </c>
      <c r="B443" s="34" t="inlineStr">
        <is>
          <t>CST-06-012</t>
        </is>
      </c>
      <c r="C443" s="34" t="inlineStr">
        <is>
          <t>New</t>
        </is>
      </c>
      <c r="D443" s="34" t="inlineStr">
        <is>
          <t>Record first supplied in this revision</t>
        </is>
      </c>
      <c r="E443" s="39" t="inlineStr"/>
      <c r="F443" s="100" t="inlineStr">
        <is>
          <t>10 EVIDENCE &amp; DECISIONS</t>
        </is>
      </c>
      <c r="G443" s="41" t="n"/>
    </row>
    <row r="444" ht="79" customHeight="1">
      <c r="A444" s="34" t="inlineStr">
        <is>
          <t>R1495-v1</t>
        </is>
      </c>
      <c r="B444" s="34" t="inlineStr">
        <is>
          <t>CST-06-013</t>
        </is>
      </c>
      <c r="C444" s="34" t="inlineStr">
        <is>
          <t>New</t>
        </is>
      </c>
      <c r="D444" s="34" t="inlineStr">
        <is>
          <t>Record first supplied in this revision</t>
        </is>
      </c>
      <c r="E444" s="39" t="inlineStr"/>
      <c r="F444" s="100" t="inlineStr">
        <is>
          <t>10 EVIDENCE &amp; DECISIONS</t>
        </is>
      </c>
      <c r="G444" s="41" t="n"/>
    </row>
    <row r="445" ht="79" customHeight="1">
      <c r="A445" s="34" t="inlineStr">
        <is>
          <t>R1496-v1</t>
        </is>
      </c>
      <c r="B445" s="34" t="inlineStr">
        <is>
          <t>CST-06-014</t>
        </is>
      </c>
      <c r="C445" s="34" t="inlineStr">
        <is>
          <t>New</t>
        </is>
      </c>
      <c r="D445" s="34" t="inlineStr">
        <is>
          <t>Record first supplied in this revision</t>
        </is>
      </c>
      <c r="E445" s="39" t="inlineStr"/>
      <c r="F445" s="100" t="inlineStr">
        <is>
          <t>10 EVIDENCE &amp; DECISIONS</t>
        </is>
      </c>
      <c r="G445" s="41" t="n"/>
    </row>
    <row r="446" ht="79" customHeight="1">
      <c r="A446" s="34" t="inlineStr">
        <is>
          <t>R1497-v1</t>
        </is>
      </c>
      <c r="B446" s="34" t="inlineStr">
        <is>
          <t>CST-06-015</t>
        </is>
      </c>
      <c r="C446" s="34" t="inlineStr">
        <is>
          <t>New</t>
        </is>
      </c>
      <c r="D446" s="34" t="inlineStr">
        <is>
          <t>Record first supplied in this revision</t>
        </is>
      </c>
      <c r="E446" s="39" t="inlineStr"/>
      <c r="F446" s="100" t="inlineStr">
        <is>
          <t>10 EVIDENCE &amp; DECISIONS</t>
        </is>
      </c>
      <c r="G446" s="41" t="n"/>
    </row>
    <row r="447" ht="79" customHeight="1">
      <c r="A447" s="34" t="inlineStr">
        <is>
          <t>R1498-v1</t>
        </is>
      </c>
      <c r="B447" s="34" t="inlineStr">
        <is>
          <t>CST-06-016</t>
        </is>
      </c>
      <c r="C447" s="34" t="inlineStr">
        <is>
          <t>New</t>
        </is>
      </c>
      <c r="D447" s="34" t="inlineStr">
        <is>
          <t>Record first supplied in this revision</t>
        </is>
      </c>
      <c r="E447" s="39" t="inlineStr"/>
      <c r="F447" s="100" t="inlineStr">
        <is>
          <t>10 EVIDENCE &amp; DECISIONS</t>
        </is>
      </c>
      <c r="G447" s="41" t="n"/>
    </row>
    <row r="448" ht="79" customHeight="1">
      <c r="A448" s="34" t="inlineStr">
        <is>
          <t>R1499-v1</t>
        </is>
      </c>
      <c r="B448" s="34" t="inlineStr">
        <is>
          <t>CST-06-017</t>
        </is>
      </c>
      <c r="C448" s="34" t="inlineStr">
        <is>
          <t>New</t>
        </is>
      </c>
      <c r="D448" s="34" t="inlineStr">
        <is>
          <t>Record first supplied in this revision</t>
        </is>
      </c>
      <c r="E448" s="39" t="inlineStr"/>
      <c r="F448" s="100" t="inlineStr">
        <is>
          <t>10 EVIDENCE &amp; DECISIONS</t>
        </is>
      </c>
      <c r="G448" s="41" t="n"/>
    </row>
    <row r="449" ht="79" customHeight="1">
      <c r="A449" s="34" t="inlineStr">
        <is>
          <t>R1500-v1</t>
        </is>
      </c>
      <c r="B449" s="34" t="inlineStr">
        <is>
          <t>CST-06-018</t>
        </is>
      </c>
      <c r="C449" s="34" t="inlineStr">
        <is>
          <t>New</t>
        </is>
      </c>
      <c r="D449" s="34" t="inlineStr">
        <is>
          <t>Record first supplied in this revision</t>
        </is>
      </c>
      <c r="E449" s="39" t="inlineStr"/>
      <c r="F449" s="100" t="inlineStr">
        <is>
          <t>10 EVIDENCE &amp; DECISIONS</t>
        </is>
      </c>
      <c r="G449" s="41" t="n"/>
    </row>
    <row r="450" ht="79" customHeight="1">
      <c r="A450" s="34" t="inlineStr">
        <is>
          <t>R1501-v1</t>
        </is>
      </c>
      <c r="B450" s="34" t="inlineStr">
        <is>
          <t>CST-06-019</t>
        </is>
      </c>
      <c r="C450" s="34" t="inlineStr">
        <is>
          <t>New</t>
        </is>
      </c>
      <c r="D450" s="34" t="inlineStr">
        <is>
          <t>Record first supplied in this revision</t>
        </is>
      </c>
      <c r="E450" s="39" t="inlineStr"/>
      <c r="F450" s="100" t="inlineStr">
        <is>
          <t>10 EVIDENCE &amp; DECISIONS</t>
        </is>
      </c>
      <c r="G450" s="41" t="n"/>
    </row>
    <row r="451" ht="79" customHeight="1">
      <c r="A451" s="34" t="inlineStr">
        <is>
          <t>R1502-v1</t>
        </is>
      </c>
      <c r="B451" s="34" t="inlineStr">
        <is>
          <t>CST-06-020</t>
        </is>
      </c>
      <c r="C451" s="34" t="inlineStr">
        <is>
          <t>New</t>
        </is>
      </c>
      <c r="D451" s="34" t="inlineStr">
        <is>
          <t>Record first supplied in this revision</t>
        </is>
      </c>
      <c r="E451" s="39" t="inlineStr"/>
      <c r="F451" s="100" t="inlineStr">
        <is>
          <t>10 EVIDENCE &amp; DECISIONS</t>
        </is>
      </c>
      <c r="G451" s="41" t="n"/>
    </row>
    <row r="452" ht="79" customHeight="1">
      <c r="A452" s="34" t="inlineStr">
        <is>
          <t>R1503-v1</t>
        </is>
      </c>
      <c r="B452" s="34" t="inlineStr">
        <is>
          <t>CST-06-021</t>
        </is>
      </c>
      <c r="C452" s="34" t="inlineStr">
        <is>
          <t>New</t>
        </is>
      </c>
      <c r="D452" s="34" t="inlineStr">
        <is>
          <t>Record first supplied in this revision</t>
        </is>
      </c>
      <c r="E452" s="39" t="inlineStr"/>
      <c r="F452" s="100" t="inlineStr">
        <is>
          <t>10 EVIDENCE &amp; DECISIONS</t>
        </is>
      </c>
      <c r="G452" s="41" t="n"/>
    </row>
    <row r="453" ht="79" customHeight="1">
      <c r="A453" s="34" t="inlineStr">
        <is>
          <t>R1504-v1</t>
        </is>
      </c>
      <c r="B453" s="34" t="inlineStr">
        <is>
          <t>CST-06-022</t>
        </is>
      </c>
      <c r="C453" s="34" t="inlineStr">
        <is>
          <t>New</t>
        </is>
      </c>
      <c r="D453" s="34" t="inlineStr">
        <is>
          <t>Record first supplied in this revision</t>
        </is>
      </c>
      <c r="E453" s="39" t="inlineStr"/>
      <c r="F453" s="100" t="inlineStr">
        <is>
          <t>10 EVIDENCE &amp; DECISIONS</t>
        </is>
      </c>
      <c r="G453" s="41" t="n"/>
    </row>
    <row r="454" ht="79" customHeight="1">
      <c r="A454" s="34" t="inlineStr">
        <is>
          <t>R1505-v1</t>
        </is>
      </c>
      <c r="B454" s="34" t="inlineStr">
        <is>
          <t>CST-06-023</t>
        </is>
      </c>
      <c r="C454" s="34" t="inlineStr">
        <is>
          <t>New</t>
        </is>
      </c>
      <c r="D454" s="34" t="inlineStr">
        <is>
          <t>Record first supplied in this revision</t>
        </is>
      </c>
      <c r="E454" s="39" t="inlineStr"/>
      <c r="F454" s="100" t="inlineStr">
        <is>
          <t>10 EVIDENCE &amp; DECISIONS</t>
        </is>
      </c>
      <c r="G454" s="41" t="n"/>
    </row>
    <row r="455" ht="79" customHeight="1">
      <c r="A455" s="34" t="inlineStr">
        <is>
          <t>R1506-v1</t>
        </is>
      </c>
      <c r="B455" s="34" t="inlineStr">
        <is>
          <t>CST-06-024</t>
        </is>
      </c>
      <c r="C455" s="34" t="inlineStr">
        <is>
          <t>New</t>
        </is>
      </c>
      <c r="D455" s="34" t="inlineStr">
        <is>
          <t>Record first supplied in this revision</t>
        </is>
      </c>
      <c r="E455" s="39" t="inlineStr"/>
      <c r="F455" s="100" t="inlineStr">
        <is>
          <t>10 EVIDENCE &amp; DECISIONS</t>
        </is>
      </c>
      <c r="G455" s="41" t="n"/>
    </row>
    <row r="456" ht="79" customHeight="1">
      <c r="A456" s="34" t="inlineStr">
        <is>
          <t>R1507-v1</t>
        </is>
      </c>
      <c r="B456" s="34" t="inlineStr">
        <is>
          <t>CST-06-025</t>
        </is>
      </c>
      <c r="C456" s="34" t="inlineStr">
        <is>
          <t>New</t>
        </is>
      </c>
      <c r="D456" s="34" t="inlineStr">
        <is>
          <t>Record first supplied in this revision</t>
        </is>
      </c>
      <c r="E456" s="39" t="inlineStr"/>
      <c r="F456" s="100" t="inlineStr">
        <is>
          <t>10 EVIDENCE &amp; DECISIONS</t>
        </is>
      </c>
      <c r="G456" s="41" t="n"/>
    </row>
    <row r="457" ht="79" customHeight="1">
      <c r="A457" s="34" t="inlineStr">
        <is>
          <t>R1508-v1</t>
        </is>
      </c>
      <c r="B457" s="34" t="inlineStr">
        <is>
          <t>CST-06-026</t>
        </is>
      </c>
      <c r="C457" s="34" t="inlineStr">
        <is>
          <t>New</t>
        </is>
      </c>
      <c r="D457" s="34" t="inlineStr">
        <is>
          <t>Record first supplied in this revision</t>
        </is>
      </c>
      <c r="E457" s="39" t="inlineStr"/>
      <c r="F457" s="100" t="inlineStr">
        <is>
          <t>10 EVIDENCE &amp; DECISIONS</t>
        </is>
      </c>
      <c r="G457" s="41" t="n"/>
    </row>
    <row r="458" ht="79" customHeight="1">
      <c r="A458" s="34" t="inlineStr">
        <is>
          <t>R1509-v1</t>
        </is>
      </c>
      <c r="B458" s="34" t="inlineStr">
        <is>
          <t>CST-06-027</t>
        </is>
      </c>
      <c r="C458" s="34" t="inlineStr">
        <is>
          <t>New</t>
        </is>
      </c>
      <c r="D458" s="34" t="inlineStr">
        <is>
          <t>Record first supplied in this revision</t>
        </is>
      </c>
      <c r="E458" s="39" t="inlineStr"/>
      <c r="F458" s="100" t="inlineStr">
        <is>
          <t>10 EVIDENCE &amp; DECISIONS</t>
        </is>
      </c>
      <c r="G458" s="41" t="n"/>
    </row>
    <row r="459" ht="79" customHeight="1">
      <c r="A459" s="34" t="inlineStr">
        <is>
          <t>R1510-v1</t>
        </is>
      </c>
      <c r="B459" s="34" t="inlineStr">
        <is>
          <t>CST-06-028</t>
        </is>
      </c>
      <c r="C459" s="34" t="inlineStr">
        <is>
          <t>New</t>
        </is>
      </c>
      <c r="D459" s="34" t="inlineStr">
        <is>
          <t>Record first supplied in this revision</t>
        </is>
      </c>
      <c r="E459" s="39" t="inlineStr"/>
      <c r="F459" s="100" t="inlineStr">
        <is>
          <t>10 EVIDENCE &amp; DECISIONS</t>
        </is>
      </c>
      <c r="G459" s="41" t="n"/>
    </row>
    <row r="460" ht="79" customHeight="1">
      <c r="A460" s="34" t="inlineStr">
        <is>
          <t>R1511-v1</t>
        </is>
      </c>
      <c r="B460" s="34" t="inlineStr">
        <is>
          <t>CST-06-029</t>
        </is>
      </c>
      <c r="C460" s="34" t="inlineStr">
        <is>
          <t>New</t>
        </is>
      </c>
      <c r="D460" s="34" t="inlineStr">
        <is>
          <t>Record first supplied in this revision</t>
        </is>
      </c>
      <c r="E460" s="39" t="inlineStr"/>
      <c r="F460" s="100" t="inlineStr">
        <is>
          <t>10 EVIDENCE &amp; DECISIONS</t>
        </is>
      </c>
      <c r="G460" s="41" t="n"/>
    </row>
    <row r="461" ht="79" customHeight="1">
      <c r="A461" s="34" t="inlineStr">
        <is>
          <t>R1512-v1</t>
        </is>
      </c>
      <c r="B461" s="34" t="inlineStr">
        <is>
          <t>CST-06-030</t>
        </is>
      </c>
      <c r="C461" s="34" t="inlineStr">
        <is>
          <t>New</t>
        </is>
      </c>
      <c r="D461" s="34" t="inlineStr">
        <is>
          <t>Record first supplied in this revision</t>
        </is>
      </c>
      <c r="E461" s="39" t="inlineStr"/>
      <c r="F461" s="100" t="inlineStr">
        <is>
          <t>10 EVIDENCE &amp; DECISIONS</t>
        </is>
      </c>
      <c r="G461" s="41" t="n"/>
    </row>
    <row r="462" ht="79" customHeight="1">
      <c r="A462" s="34" t="inlineStr">
        <is>
          <t>R1513-v1</t>
        </is>
      </c>
      <c r="B462" s="34" t="inlineStr">
        <is>
          <t>CST-06-031</t>
        </is>
      </c>
      <c r="C462" s="34" t="inlineStr">
        <is>
          <t>New</t>
        </is>
      </c>
      <c r="D462" s="34" t="inlineStr">
        <is>
          <t>Record first supplied in this revision</t>
        </is>
      </c>
      <c r="E462" s="39" t="inlineStr"/>
      <c r="F462" s="100" t="inlineStr">
        <is>
          <t>10 EVIDENCE &amp; DECISIONS</t>
        </is>
      </c>
      <c r="G462" s="41" t="n"/>
    </row>
    <row r="463" ht="79" customHeight="1">
      <c r="A463" s="34" t="inlineStr">
        <is>
          <t>R1514-v1</t>
        </is>
      </c>
      <c r="B463" s="34" t="inlineStr">
        <is>
          <t>CST-06-032</t>
        </is>
      </c>
      <c r="C463" s="34" t="inlineStr">
        <is>
          <t>New</t>
        </is>
      </c>
      <c r="D463" s="34" t="inlineStr">
        <is>
          <t>Record first supplied in this revision</t>
        </is>
      </c>
      <c r="E463" s="39" t="inlineStr"/>
      <c r="F463" s="100" t="inlineStr">
        <is>
          <t>10 EVIDENCE &amp; DECISIONS</t>
        </is>
      </c>
      <c r="G463" s="41" t="n"/>
    </row>
    <row r="464" ht="79" customHeight="1">
      <c r="A464" s="34" t="inlineStr">
        <is>
          <t>R1515-v1</t>
        </is>
      </c>
      <c r="B464" s="34" t="inlineStr">
        <is>
          <t>CST-06-033</t>
        </is>
      </c>
      <c r="C464" s="34" t="inlineStr">
        <is>
          <t>New</t>
        </is>
      </c>
      <c r="D464" s="34" t="inlineStr">
        <is>
          <t>Record first supplied in this revision</t>
        </is>
      </c>
      <c r="E464" s="39" t="inlineStr"/>
      <c r="F464" s="100" t="inlineStr">
        <is>
          <t>10 EVIDENCE &amp; DECISIONS</t>
        </is>
      </c>
      <c r="G464" s="41" t="n"/>
    </row>
    <row r="465" ht="79" customHeight="1">
      <c r="A465" s="34" t="inlineStr">
        <is>
          <t>R1516-v1</t>
        </is>
      </c>
      <c r="B465" s="34" t="inlineStr">
        <is>
          <t>CST-06-034</t>
        </is>
      </c>
      <c r="C465" s="34" t="inlineStr">
        <is>
          <t>New</t>
        </is>
      </c>
      <c r="D465" s="34" t="inlineStr">
        <is>
          <t>Record first supplied in this revision</t>
        </is>
      </c>
      <c r="E465" s="39" t="inlineStr"/>
      <c r="F465" s="100" t="inlineStr">
        <is>
          <t>10 EVIDENCE &amp; DECISIONS</t>
        </is>
      </c>
      <c r="G465" s="41" t="n"/>
    </row>
    <row r="466" ht="79" customHeight="1">
      <c r="A466" s="34" t="inlineStr">
        <is>
          <t>R1517-v1</t>
        </is>
      </c>
      <c r="B466" s="34" t="inlineStr">
        <is>
          <t>CST-06-035</t>
        </is>
      </c>
      <c r="C466" s="34" t="inlineStr">
        <is>
          <t>New</t>
        </is>
      </c>
      <c r="D466" s="34" t="inlineStr">
        <is>
          <t>Record first supplied in this revision</t>
        </is>
      </c>
      <c r="E466" s="39" t="inlineStr"/>
      <c r="F466" s="100" t="inlineStr">
        <is>
          <t>10 EVIDENCE &amp; DECISIONS</t>
        </is>
      </c>
      <c r="G466" s="41" t="n"/>
    </row>
    <row r="467" ht="79" customHeight="1">
      <c r="A467" s="34" t="inlineStr">
        <is>
          <t>R1518-v1</t>
        </is>
      </c>
      <c r="B467" s="34" t="inlineStr">
        <is>
          <t>CST-06-036</t>
        </is>
      </c>
      <c r="C467" s="34" t="inlineStr">
        <is>
          <t>New</t>
        </is>
      </c>
      <c r="D467" s="34" t="inlineStr">
        <is>
          <t>Record first supplied in this revision</t>
        </is>
      </c>
      <c r="E467" s="39" t="inlineStr"/>
      <c r="F467" s="100" t="inlineStr">
        <is>
          <t>10 EVIDENCE &amp; DECISIONS</t>
        </is>
      </c>
      <c r="G467" s="41" t="n"/>
    </row>
    <row r="468" ht="79" customHeight="1">
      <c r="A468" s="34" t="inlineStr">
        <is>
          <t>R1519-v1</t>
        </is>
      </c>
      <c r="B468" s="34" t="inlineStr">
        <is>
          <t>CST-06-037</t>
        </is>
      </c>
      <c r="C468" s="34" t="inlineStr">
        <is>
          <t>New</t>
        </is>
      </c>
      <c r="D468" s="34" t="inlineStr">
        <is>
          <t>Record first supplied in this revision</t>
        </is>
      </c>
      <c r="E468" s="39" t="inlineStr"/>
      <c r="F468" s="100" t="inlineStr">
        <is>
          <t>10 EVIDENCE &amp; DECISIONS</t>
        </is>
      </c>
      <c r="G468" s="41" t="n"/>
    </row>
    <row r="469" ht="79" customHeight="1">
      <c r="A469" s="34" t="inlineStr">
        <is>
          <t>R1520-v1</t>
        </is>
      </c>
      <c r="B469" s="34" t="inlineStr">
        <is>
          <t>CST-06-038</t>
        </is>
      </c>
      <c r="C469" s="34" t="inlineStr">
        <is>
          <t>New</t>
        </is>
      </c>
      <c r="D469" s="34" t="inlineStr">
        <is>
          <t>Record first supplied in this revision</t>
        </is>
      </c>
      <c r="E469" s="39" t="inlineStr"/>
      <c r="F469" s="100" t="inlineStr">
        <is>
          <t>10 EVIDENCE &amp; DECISIONS</t>
        </is>
      </c>
      <c r="G469" s="41" t="n"/>
    </row>
    <row r="470" ht="79" customHeight="1">
      <c r="A470" s="34" t="inlineStr">
        <is>
          <t>R1521-v1</t>
        </is>
      </c>
      <c r="B470" s="34" t="inlineStr">
        <is>
          <t>CST-06-039</t>
        </is>
      </c>
      <c r="C470" s="34" t="inlineStr">
        <is>
          <t>New</t>
        </is>
      </c>
      <c r="D470" s="34" t="inlineStr">
        <is>
          <t>Record first supplied in this revision</t>
        </is>
      </c>
      <c r="E470" s="39" t="inlineStr"/>
      <c r="F470" s="100" t="inlineStr">
        <is>
          <t>10 EVIDENCE &amp; DECISIONS</t>
        </is>
      </c>
      <c r="G470" s="41" t="n"/>
    </row>
    <row r="471" ht="79" customHeight="1">
      <c r="A471" s="34" t="inlineStr">
        <is>
          <t>R1522-v1</t>
        </is>
      </c>
      <c r="B471" s="34" t="inlineStr">
        <is>
          <t>CST-06-040</t>
        </is>
      </c>
      <c r="C471" s="34" t="inlineStr">
        <is>
          <t>New</t>
        </is>
      </c>
      <c r="D471" s="34" t="inlineStr">
        <is>
          <t>Record first supplied in this revision</t>
        </is>
      </c>
      <c r="E471" s="39" t="inlineStr"/>
      <c r="F471" s="100" t="inlineStr">
        <is>
          <t>10 EVIDENCE &amp; DECISIONS</t>
        </is>
      </c>
      <c r="G471" s="41" t="n"/>
    </row>
    <row r="472" ht="79" customHeight="1">
      <c r="A472" s="34" t="inlineStr">
        <is>
          <t>R1523-v1</t>
        </is>
      </c>
      <c r="B472" s="34" t="inlineStr">
        <is>
          <t>CST-06-041</t>
        </is>
      </c>
      <c r="C472" s="34" t="inlineStr">
        <is>
          <t>New</t>
        </is>
      </c>
      <c r="D472" s="34" t="inlineStr">
        <is>
          <t>Record first supplied in this revision</t>
        </is>
      </c>
      <c r="E472" s="39" t="inlineStr"/>
      <c r="F472" s="100" t="inlineStr">
        <is>
          <t>10 EVIDENCE &amp; DECISIONS</t>
        </is>
      </c>
      <c r="G472" s="41" t="n"/>
    </row>
    <row r="473" ht="79" customHeight="1">
      <c r="A473" s="34" t="inlineStr">
        <is>
          <t>R1524-v1</t>
        </is>
      </c>
      <c r="B473" s="34" t="inlineStr">
        <is>
          <t>CST-06-042</t>
        </is>
      </c>
      <c r="C473" s="34" t="inlineStr">
        <is>
          <t>New</t>
        </is>
      </c>
      <c r="D473" s="34" t="inlineStr">
        <is>
          <t>Record first supplied in this revision</t>
        </is>
      </c>
      <c r="E473" s="39" t="inlineStr"/>
      <c r="F473" s="100" t="inlineStr">
        <is>
          <t>10 EVIDENCE &amp; DECISIONS</t>
        </is>
      </c>
      <c r="G473" s="41" t="n"/>
    </row>
    <row r="474" ht="79" customHeight="1">
      <c r="A474" s="34" t="inlineStr">
        <is>
          <t>R1525-v1</t>
        </is>
      </c>
      <c r="B474" s="34" t="inlineStr">
        <is>
          <t>CST-06-043</t>
        </is>
      </c>
      <c r="C474" s="34" t="inlineStr">
        <is>
          <t>New</t>
        </is>
      </c>
      <c r="D474" s="34" t="inlineStr">
        <is>
          <t>Record first supplied in this revision</t>
        </is>
      </c>
      <c r="E474" s="39" t="inlineStr"/>
      <c r="F474" s="100" t="inlineStr">
        <is>
          <t>10 EVIDENCE &amp; DECISIONS</t>
        </is>
      </c>
      <c r="G474" s="41" t="n"/>
    </row>
    <row r="475" ht="79" customHeight="1">
      <c r="A475" s="34" t="inlineStr">
        <is>
          <t>R1526-v1</t>
        </is>
      </c>
      <c r="B475" s="34" t="inlineStr">
        <is>
          <t>CST-06-044</t>
        </is>
      </c>
      <c r="C475" s="34" t="inlineStr">
        <is>
          <t>New</t>
        </is>
      </c>
      <c r="D475" s="34" t="inlineStr">
        <is>
          <t>Record first supplied in this revision</t>
        </is>
      </c>
      <c r="E475" s="39" t="inlineStr"/>
      <c r="F475" s="100" t="inlineStr">
        <is>
          <t>10 EVIDENCE &amp; DECISIONS</t>
        </is>
      </c>
      <c r="G475" s="41" t="n"/>
    </row>
    <row r="476" ht="79" customHeight="1">
      <c r="A476" s="34" t="inlineStr">
        <is>
          <t>R1527-v1</t>
        </is>
      </c>
      <c r="B476" s="34" t="inlineStr">
        <is>
          <t>CST-06-045</t>
        </is>
      </c>
      <c r="C476" s="34" t="inlineStr">
        <is>
          <t>New</t>
        </is>
      </c>
      <c r="D476" s="34" t="inlineStr">
        <is>
          <t>Record first supplied in this revision</t>
        </is>
      </c>
      <c r="E476" s="39" t="inlineStr"/>
      <c r="F476" s="100" t="inlineStr">
        <is>
          <t>10 EVIDENCE &amp; DECISIONS</t>
        </is>
      </c>
      <c r="G476" s="41" t="n"/>
    </row>
    <row r="477" ht="79" customHeight="1">
      <c r="A477" s="34" t="inlineStr">
        <is>
          <t>R1528-v1</t>
        </is>
      </c>
      <c r="B477" s="34" t="inlineStr">
        <is>
          <t>CST-06-046</t>
        </is>
      </c>
      <c r="C477" s="34" t="inlineStr">
        <is>
          <t>New</t>
        </is>
      </c>
      <c r="D477" s="34" t="inlineStr">
        <is>
          <t>Record first supplied in this revision</t>
        </is>
      </c>
      <c r="E477" s="39" t="inlineStr"/>
      <c r="F477" s="100" t="inlineStr">
        <is>
          <t>10 EVIDENCE &amp; DECISIONS</t>
        </is>
      </c>
      <c r="G477" s="41" t="n"/>
    </row>
    <row r="478" ht="79" customHeight="1">
      <c r="A478" s="34" t="inlineStr">
        <is>
          <t>R1529-v1</t>
        </is>
      </c>
      <c r="B478" s="34" t="inlineStr">
        <is>
          <t>CST-06-047</t>
        </is>
      </c>
      <c r="C478" s="34" t="inlineStr">
        <is>
          <t>New</t>
        </is>
      </c>
      <c r="D478" s="34" t="inlineStr">
        <is>
          <t>Record first supplied in this revision</t>
        </is>
      </c>
      <c r="E478" s="39" t="inlineStr"/>
      <c r="F478" s="100" t="inlineStr">
        <is>
          <t>10 EVIDENCE &amp; DECISIONS</t>
        </is>
      </c>
      <c r="G478" s="41" t="n"/>
    </row>
    <row r="479" ht="79" customHeight="1">
      <c r="A479" s="34" t="inlineStr">
        <is>
          <t>R1530-v1</t>
        </is>
      </c>
      <c r="B479" s="34" t="inlineStr">
        <is>
          <t>CST-06-048</t>
        </is>
      </c>
      <c r="C479" s="34" t="inlineStr">
        <is>
          <t>New</t>
        </is>
      </c>
      <c r="D479" s="34" t="inlineStr">
        <is>
          <t>Record first supplied in this revision</t>
        </is>
      </c>
      <c r="E479" s="39" t="inlineStr"/>
      <c r="F479" s="100" t="inlineStr">
        <is>
          <t>10 EVIDENCE &amp; DECISIONS</t>
        </is>
      </c>
      <c r="G479" s="41" t="n"/>
    </row>
    <row r="480" ht="79" customHeight="1">
      <c r="A480" s="34" t="inlineStr">
        <is>
          <t>R1531-v1</t>
        </is>
      </c>
      <c r="B480" s="34" t="inlineStr">
        <is>
          <t>CST-06-049</t>
        </is>
      </c>
      <c r="C480" s="34" t="inlineStr">
        <is>
          <t>New</t>
        </is>
      </c>
      <c r="D480" s="34" t="inlineStr">
        <is>
          <t>Record first supplied in this revision</t>
        </is>
      </c>
      <c r="E480" s="39" t="inlineStr"/>
      <c r="F480" s="100" t="inlineStr">
        <is>
          <t>10 EVIDENCE &amp; DECISIONS</t>
        </is>
      </c>
      <c r="G480" s="41" t="n"/>
    </row>
    <row r="481" ht="79" customHeight="1">
      <c r="A481" s="34" t="inlineStr">
        <is>
          <t>R1532-v1</t>
        </is>
      </c>
      <c r="B481" s="34" t="inlineStr">
        <is>
          <t>CST-06-050</t>
        </is>
      </c>
      <c r="C481" s="34" t="inlineStr">
        <is>
          <t>New</t>
        </is>
      </c>
      <c r="D481" s="34" t="inlineStr">
        <is>
          <t>Record first supplied in this revision</t>
        </is>
      </c>
      <c r="E481" s="39" t="inlineStr"/>
      <c r="F481" s="100" t="inlineStr">
        <is>
          <t>10 EVIDENCE &amp; DECISIONS</t>
        </is>
      </c>
      <c r="G481" s="41" t="n"/>
    </row>
    <row r="482" ht="79" customHeight="1">
      <c r="A482" s="34" t="inlineStr">
        <is>
          <t>R1533-v1</t>
        </is>
      </c>
      <c r="B482" s="34" t="inlineStr">
        <is>
          <t>CST-06-051</t>
        </is>
      </c>
      <c r="C482" s="34" t="inlineStr">
        <is>
          <t>New</t>
        </is>
      </c>
      <c r="D482" s="34" t="inlineStr">
        <is>
          <t>Record first supplied in this revision</t>
        </is>
      </c>
      <c r="E482" s="39" t="inlineStr"/>
      <c r="F482" s="100" t="inlineStr">
        <is>
          <t>10 EVIDENCE &amp; DECISIONS</t>
        </is>
      </c>
      <c r="G482" s="41" t="n"/>
    </row>
    <row r="483" ht="79" customHeight="1">
      <c r="A483" s="34" t="inlineStr">
        <is>
          <t>R1534-v1</t>
        </is>
      </c>
      <c r="B483" s="34" t="inlineStr">
        <is>
          <t>CST-06-052</t>
        </is>
      </c>
      <c r="C483" s="34" t="inlineStr">
        <is>
          <t>New</t>
        </is>
      </c>
      <c r="D483" s="34" t="inlineStr">
        <is>
          <t>Record first supplied in this revision</t>
        </is>
      </c>
      <c r="E483" s="39" t="inlineStr"/>
      <c r="F483" s="100" t="inlineStr">
        <is>
          <t>10 EVIDENCE &amp; DECISIONS</t>
        </is>
      </c>
      <c r="G483" s="41" t="n"/>
    </row>
    <row r="484" ht="79" customHeight="1">
      <c r="A484" s="34" t="inlineStr">
        <is>
          <t>R1535-v1</t>
        </is>
      </c>
      <c r="B484" s="34" t="inlineStr">
        <is>
          <t>CST-06-053</t>
        </is>
      </c>
      <c r="C484" s="34" t="inlineStr">
        <is>
          <t>New</t>
        </is>
      </c>
      <c r="D484" s="34" t="inlineStr">
        <is>
          <t>Record first supplied in this revision</t>
        </is>
      </c>
      <c r="E484" s="39" t="inlineStr"/>
      <c r="F484" s="100" t="inlineStr">
        <is>
          <t>10 EVIDENCE &amp; DECISIONS</t>
        </is>
      </c>
      <c r="G484" s="41" t="n"/>
    </row>
    <row r="485" ht="79" customHeight="1">
      <c r="A485" s="34" t="inlineStr">
        <is>
          <t>R1536-v1</t>
        </is>
      </c>
      <c r="B485" s="34" t="inlineStr">
        <is>
          <t>CST-06-054</t>
        </is>
      </c>
      <c r="C485" s="34" t="inlineStr">
        <is>
          <t>New</t>
        </is>
      </c>
      <c r="D485" s="34" t="inlineStr">
        <is>
          <t>Record first supplied in this revision</t>
        </is>
      </c>
      <c r="E485" s="39" t="inlineStr"/>
      <c r="F485" s="100" t="inlineStr">
        <is>
          <t>10 EVIDENCE &amp; DECISIONS</t>
        </is>
      </c>
      <c r="G485" s="41" t="n"/>
    </row>
    <row r="486" ht="79" customHeight="1">
      <c r="A486" s="34" t="inlineStr">
        <is>
          <t>R1537-v1</t>
        </is>
      </c>
      <c r="B486" s="34" t="inlineStr">
        <is>
          <t>CST-06-055</t>
        </is>
      </c>
      <c r="C486" s="34" t="inlineStr">
        <is>
          <t>New</t>
        </is>
      </c>
      <c r="D486" s="34" t="inlineStr">
        <is>
          <t>Record first supplied in this revision</t>
        </is>
      </c>
      <c r="E486" s="39" t="inlineStr"/>
      <c r="F486" s="100" t="inlineStr">
        <is>
          <t>10 EVIDENCE &amp; DECISIONS</t>
        </is>
      </c>
      <c r="G486" s="41" t="n"/>
    </row>
    <row r="487" ht="79" customHeight="1">
      <c r="A487" s="34" t="inlineStr">
        <is>
          <t>R1538-v1</t>
        </is>
      </c>
      <c r="B487" s="34" t="inlineStr">
        <is>
          <t>CST-06-056</t>
        </is>
      </c>
      <c r="C487" s="34" t="inlineStr">
        <is>
          <t>New</t>
        </is>
      </c>
      <c r="D487" s="34" t="inlineStr">
        <is>
          <t>Record first supplied in this revision</t>
        </is>
      </c>
      <c r="E487" s="39" t="inlineStr"/>
      <c r="F487" s="100" t="inlineStr">
        <is>
          <t>10 EVIDENCE &amp; DECISIONS</t>
        </is>
      </c>
      <c r="G487" s="41" t="n"/>
    </row>
    <row r="488" ht="79" customHeight="1">
      <c r="A488" s="34" t="inlineStr">
        <is>
          <t>R1539-v1</t>
        </is>
      </c>
      <c r="B488" s="34" t="inlineStr">
        <is>
          <t>CST-06-057</t>
        </is>
      </c>
      <c r="C488" s="34" t="inlineStr">
        <is>
          <t>New</t>
        </is>
      </c>
      <c r="D488" s="34" t="inlineStr">
        <is>
          <t>Record first supplied in this revision</t>
        </is>
      </c>
      <c r="E488" s="39" t="inlineStr"/>
      <c r="F488" s="100" t="inlineStr">
        <is>
          <t>10 EVIDENCE &amp; DECISIONS</t>
        </is>
      </c>
      <c r="G488" s="41" t="n"/>
    </row>
    <row r="489" ht="79" customHeight="1">
      <c r="A489" s="34" t="inlineStr">
        <is>
          <t>R1540-v1</t>
        </is>
      </c>
      <c r="B489" s="34" t="inlineStr">
        <is>
          <t>CST-06-058</t>
        </is>
      </c>
      <c r="C489" s="34" t="inlineStr">
        <is>
          <t>New</t>
        </is>
      </c>
      <c r="D489" s="34" t="inlineStr">
        <is>
          <t>Record first supplied in this revision</t>
        </is>
      </c>
      <c r="E489" s="39" t="inlineStr"/>
      <c r="F489" s="100" t="inlineStr">
        <is>
          <t>10 EVIDENCE &amp; DECISIONS</t>
        </is>
      </c>
      <c r="G489" s="41" t="n"/>
    </row>
    <row r="490" ht="79" customHeight="1">
      <c r="A490" s="34" t="inlineStr">
        <is>
          <t>R1541-v1</t>
        </is>
      </c>
      <c r="B490" s="34" t="inlineStr">
        <is>
          <t>CST-06-059</t>
        </is>
      </c>
      <c r="C490" s="34" t="inlineStr">
        <is>
          <t>New</t>
        </is>
      </c>
      <c r="D490" s="34" t="inlineStr">
        <is>
          <t>Record first supplied in this revision</t>
        </is>
      </c>
      <c r="E490" s="39" t="inlineStr"/>
      <c r="F490" s="100" t="inlineStr">
        <is>
          <t>10 EVIDENCE &amp; DECISIONS</t>
        </is>
      </c>
      <c r="G490" s="41" t="n"/>
    </row>
    <row r="491" ht="79" customHeight="1">
      <c r="A491" s="34" t="inlineStr">
        <is>
          <t>R1542-v1</t>
        </is>
      </c>
      <c r="B491" s="34" t="inlineStr">
        <is>
          <t>CST-06-060</t>
        </is>
      </c>
      <c r="C491" s="34" t="inlineStr">
        <is>
          <t>New</t>
        </is>
      </c>
      <c r="D491" s="34" t="inlineStr">
        <is>
          <t>Record first supplied in this revision</t>
        </is>
      </c>
      <c r="E491" s="39" t="inlineStr"/>
      <c r="F491" s="100" t="inlineStr">
        <is>
          <t>10 EVIDENCE &amp; DECISIONS</t>
        </is>
      </c>
      <c r="G491" s="41" t="n"/>
    </row>
    <row r="492" ht="79" customHeight="1">
      <c r="A492" s="34" t="inlineStr">
        <is>
          <t>R1543-v1</t>
        </is>
      </c>
      <c r="B492" s="34" t="inlineStr">
        <is>
          <t>CST-06-061</t>
        </is>
      </c>
      <c r="C492" s="34" t="inlineStr">
        <is>
          <t>New</t>
        </is>
      </c>
      <c r="D492" s="34" t="inlineStr">
        <is>
          <t>Record first supplied in this revision</t>
        </is>
      </c>
      <c r="E492" s="39" t="inlineStr"/>
      <c r="F492" s="100" t="inlineStr">
        <is>
          <t>10 EVIDENCE &amp; DECISIONS</t>
        </is>
      </c>
      <c r="G492" s="41" t="n"/>
    </row>
    <row r="493" ht="79" customHeight="1">
      <c r="A493" s="34" t="inlineStr">
        <is>
          <t>R1544-v1</t>
        </is>
      </c>
      <c r="B493" s="34" t="inlineStr">
        <is>
          <t>CST-06-062</t>
        </is>
      </c>
      <c r="C493" s="34" t="inlineStr">
        <is>
          <t>New</t>
        </is>
      </c>
      <c r="D493" s="34" t="inlineStr">
        <is>
          <t>Record first supplied in this revision</t>
        </is>
      </c>
      <c r="E493" s="39" t="inlineStr"/>
      <c r="F493" s="100" t="inlineStr">
        <is>
          <t>10 EVIDENCE &amp; DECISIONS</t>
        </is>
      </c>
      <c r="G493" s="41" t="n"/>
    </row>
    <row r="494" ht="79" customHeight="1">
      <c r="A494" s="34" t="inlineStr">
        <is>
          <t>R1545-v1</t>
        </is>
      </c>
      <c r="B494" s="34" t="inlineStr">
        <is>
          <t>CST-06-063</t>
        </is>
      </c>
      <c r="C494" s="34" t="inlineStr">
        <is>
          <t>New</t>
        </is>
      </c>
      <c r="D494" s="34" t="inlineStr">
        <is>
          <t>Record first supplied in this revision</t>
        </is>
      </c>
      <c r="E494" s="39" t="inlineStr"/>
      <c r="F494" s="100" t="inlineStr">
        <is>
          <t>10 EVIDENCE &amp; DECISIONS</t>
        </is>
      </c>
      <c r="G494" s="41" t="n"/>
    </row>
    <row r="495" ht="79" customHeight="1">
      <c r="A495" s="34" t="inlineStr">
        <is>
          <t>R1546-v1</t>
        </is>
      </c>
      <c r="B495" s="34" t="inlineStr">
        <is>
          <t>CST-06-064</t>
        </is>
      </c>
      <c r="C495" s="34" t="inlineStr">
        <is>
          <t>New</t>
        </is>
      </c>
      <c r="D495" s="34" t="inlineStr">
        <is>
          <t>Record first supplied in this revision</t>
        </is>
      </c>
      <c r="E495" s="39" t="inlineStr"/>
      <c r="F495" s="100" t="inlineStr">
        <is>
          <t>10 EVIDENCE &amp; DECISIONS</t>
        </is>
      </c>
      <c r="G495" s="41" t="n"/>
    </row>
    <row r="496" ht="79" customHeight="1">
      <c r="A496" s="34" t="inlineStr">
        <is>
          <t>R1547-v1</t>
        </is>
      </c>
      <c r="B496" s="34" t="inlineStr">
        <is>
          <t>CST-06-065</t>
        </is>
      </c>
      <c r="C496" s="34" t="inlineStr">
        <is>
          <t>New</t>
        </is>
      </c>
      <c r="D496" s="34" t="inlineStr">
        <is>
          <t>Record first supplied in this revision</t>
        </is>
      </c>
      <c r="E496" s="39" t="inlineStr"/>
      <c r="F496" s="100" t="inlineStr">
        <is>
          <t>10 EVIDENCE &amp; DECISIONS</t>
        </is>
      </c>
      <c r="G496" s="41" t="n"/>
    </row>
    <row r="497" ht="79" customHeight="1">
      <c r="A497" s="34" t="inlineStr">
        <is>
          <t>R1548-v1</t>
        </is>
      </c>
      <c r="B497" s="34" t="inlineStr">
        <is>
          <t>CST-06-066</t>
        </is>
      </c>
      <c r="C497" s="34" t="inlineStr">
        <is>
          <t>New</t>
        </is>
      </c>
      <c r="D497" s="34" t="inlineStr">
        <is>
          <t>Record first supplied in this revision</t>
        </is>
      </c>
      <c r="E497" s="39" t="inlineStr"/>
      <c r="F497" s="100" t="inlineStr">
        <is>
          <t>10 EVIDENCE &amp; DECISIONS</t>
        </is>
      </c>
      <c r="G497" s="41" t="n"/>
    </row>
    <row r="498" ht="79" customHeight="1">
      <c r="A498" s="34" t="inlineStr">
        <is>
          <t>R1549-v1</t>
        </is>
      </c>
      <c r="B498" s="34" t="inlineStr">
        <is>
          <t>CST-06-067</t>
        </is>
      </c>
      <c r="C498" s="34" t="inlineStr">
        <is>
          <t>New</t>
        </is>
      </c>
      <c r="D498" s="34" t="inlineStr">
        <is>
          <t>Record first supplied in this revision</t>
        </is>
      </c>
      <c r="E498" s="39" t="inlineStr"/>
      <c r="F498" s="100" t="inlineStr">
        <is>
          <t>10 EVIDENCE &amp; DECISIONS</t>
        </is>
      </c>
      <c r="G498" s="41" t="n"/>
    </row>
    <row r="499" ht="79" customHeight="1">
      <c r="A499" s="34" t="inlineStr">
        <is>
          <t>R1550-v1</t>
        </is>
      </c>
      <c r="B499" s="34" t="inlineStr">
        <is>
          <t>CST-06-068</t>
        </is>
      </c>
      <c r="C499" s="34" t="inlineStr">
        <is>
          <t>New</t>
        </is>
      </c>
      <c r="D499" s="34" t="inlineStr">
        <is>
          <t>Record first supplied in this revision</t>
        </is>
      </c>
      <c r="E499" s="39" t="inlineStr"/>
      <c r="F499" s="100" t="inlineStr">
        <is>
          <t>10 EVIDENCE &amp; DECISIONS</t>
        </is>
      </c>
      <c r="G499" s="41" t="n"/>
    </row>
    <row r="500" ht="79" customHeight="1">
      <c r="A500" s="34" t="inlineStr">
        <is>
          <t>R1551-v1</t>
        </is>
      </c>
      <c r="B500" s="34" t="inlineStr">
        <is>
          <t>CST-06-069</t>
        </is>
      </c>
      <c r="C500" s="34" t="inlineStr">
        <is>
          <t>New</t>
        </is>
      </c>
      <c r="D500" s="34" t="inlineStr">
        <is>
          <t>Record first supplied in this revision</t>
        </is>
      </c>
      <c r="E500" s="39" t="inlineStr"/>
      <c r="F500" s="100" t="inlineStr">
        <is>
          <t>10 EVIDENCE &amp; DECISIONS</t>
        </is>
      </c>
      <c r="G500" s="41" t="n"/>
    </row>
    <row r="501" ht="79" customHeight="1">
      <c r="A501" s="34" t="inlineStr">
        <is>
          <t>R1552-v1</t>
        </is>
      </c>
      <c r="B501" s="34" t="inlineStr">
        <is>
          <t>CST-06-070</t>
        </is>
      </c>
      <c r="C501" s="34" t="inlineStr">
        <is>
          <t>New</t>
        </is>
      </c>
      <c r="D501" s="34" t="inlineStr">
        <is>
          <t>Record first supplied in this revision</t>
        </is>
      </c>
      <c r="E501" s="39" t="inlineStr"/>
      <c r="F501" s="100" t="inlineStr">
        <is>
          <t>10 EVIDENCE &amp; DECISIONS</t>
        </is>
      </c>
      <c r="G501" s="41" t="n"/>
    </row>
    <row r="502" ht="79" customHeight="1">
      <c r="A502" s="34" t="inlineStr">
        <is>
          <t>R1553-v1</t>
        </is>
      </c>
      <c r="B502" s="34" t="inlineStr">
        <is>
          <t>CST-06-071</t>
        </is>
      </c>
      <c r="C502" s="34" t="inlineStr">
        <is>
          <t>New</t>
        </is>
      </c>
      <c r="D502" s="34" t="inlineStr">
        <is>
          <t>Record first supplied in this revision</t>
        </is>
      </c>
      <c r="E502" s="39" t="inlineStr"/>
      <c r="F502" s="100" t="inlineStr">
        <is>
          <t>10 EVIDENCE &amp; DECISIONS</t>
        </is>
      </c>
      <c r="G502" s="41" t="n"/>
    </row>
    <row r="503" ht="79" customHeight="1">
      <c r="A503" s="34" t="inlineStr">
        <is>
          <t>R1554-v1</t>
        </is>
      </c>
      <c r="B503" s="34" t="inlineStr">
        <is>
          <t>CST-06-072</t>
        </is>
      </c>
      <c r="C503" s="34" t="inlineStr">
        <is>
          <t>New</t>
        </is>
      </c>
      <c r="D503" s="34" t="inlineStr">
        <is>
          <t>Record first supplied in this revision</t>
        </is>
      </c>
      <c r="E503" s="39" t="inlineStr"/>
      <c r="F503" s="100" t="inlineStr">
        <is>
          <t>10 EVIDENCE &amp; DECISIONS</t>
        </is>
      </c>
      <c r="G503" s="41" t="n"/>
    </row>
    <row r="504" ht="79" customHeight="1">
      <c r="A504" s="34" t="inlineStr">
        <is>
          <t>R1555-v1</t>
        </is>
      </c>
      <c r="B504" s="34" t="inlineStr">
        <is>
          <t>CST-06-073</t>
        </is>
      </c>
      <c r="C504" s="34" t="inlineStr">
        <is>
          <t>New</t>
        </is>
      </c>
      <c r="D504" s="34" t="inlineStr">
        <is>
          <t>Record first supplied in this revision</t>
        </is>
      </c>
      <c r="E504" s="39" t="inlineStr"/>
      <c r="F504" s="100" t="inlineStr">
        <is>
          <t>10 EVIDENCE &amp; DECISIONS</t>
        </is>
      </c>
      <c r="G504" s="41" t="n"/>
    </row>
    <row r="505" ht="79" customHeight="1">
      <c r="A505" s="34" t="inlineStr">
        <is>
          <t>R1556-v1</t>
        </is>
      </c>
      <c r="B505" s="34" t="inlineStr">
        <is>
          <t>CST-06-074</t>
        </is>
      </c>
      <c r="C505" s="34" t="inlineStr">
        <is>
          <t>New</t>
        </is>
      </c>
      <c r="D505" s="34" t="inlineStr">
        <is>
          <t>Record first supplied in this revision</t>
        </is>
      </c>
      <c r="E505" s="39" t="inlineStr"/>
      <c r="F505" s="100" t="inlineStr">
        <is>
          <t>10 EVIDENCE &amp; DECISIONS</t>
        </is>
      </c>
      <c r="G505" s="41" t="n"/>
    </row>
    <row r="506" ht="79" customHeight="1">
      <c r="A506" s="34" t="inlineStr">
        <is>
          <t>R1557-v1</t>
        </is>
      </c>
      <c r="B506" s="34" t="inlineStr">
        <is>
          <t>CST-06-075</t>
        </is>
      </c>
      <c r="C506" s="34" t="inlineStr">
        <is>
          <t>New</t>
        </is>
      </c>
      <c r="D506" s="34" t="inlineStr">
        <is>
          <t>Record first supplied in this revision</t>
        </is>
      </c>
      <c r="E506" s="39" t="inlineStr"/>
      <c r="F506" s="100" t="inlineStr">
        <is>
          <t>10 EVIDENCE &amp; DECISIONS</t>
        </is>
      </c>
      <c r="G506" s="41" t="n"/>
    </row>
    <row r="507" ht="79" customHeight="1">
      <c r="A507" s="34" t="inlineStr">
        <is>
          <t>R1558-v1</t>
        </is>
      </c>
      <c r="B507" s="34" t="inlineStr">
        <is>
          <t>CST-06-076</t>
        </is>
      </c>
      <c r="C507" s="34" t="inlineStr">
        <is>
          <t>New</t>
        </is>
      </c>
      <c r="D507" s="34" t="inlineStr">
        <is>
          <t>Record first supplied in this revision</t>
        </is>
      </c>
      <c r="E507" s="39" t="inlineStr"/>
      <c r="F507" s="100" t="inlineStr">
        <is>
          <t>10 EVIDENCE &amp; DECISIONS</t>
        </is>
      </c>
      <c r="G507" s="41" t="n"/>
    </row>
    <row r="508" ht="79" customHeight="1">
      <c r="A508" s="34" t="inlineStr">
        <is>
          <t>R1559-v1</t>
        </is>
      </c>
      <c r="B508" s="34" t="inlineStr">
        <is>
          <t>CST-06-077</t>
        </is>
      </c>
      <c r="C508" s="34" t="inlineStr">
        <is>
          <t>New</t>
        </is>
      </c>
      <c r="D508" s="34" t="inlineStr">
        <is>
          <t>Record first supplied in this revision</t>
        </is>
      </c>
      <c r="E508" s="39" t="inlineStr"/>
      <c r="F508" s="100" t="inlineStr">
        <is>
          <t>10 EVIDENCE &amp; DECISIONS</t>
        </is>
      </c>
      <c r="G508" s="41" t="n"/>
    </row>
    <row r="509" ht="79" customHeight="1">
      <c r="A509" s="34" t="inlineStr">
        <is>
          <t>R1560-v1</t>
        </is>
      </c>
      <c r="B509" s="34" t="inlineStr">
        <is>
          <t>CST-06-078</t>
        </is>
      </c>
      <c r="C509" s="34" t="inlineStr">
        <is>
          <t>New</t>
        </is>
      </c>
      <c r="D509" s="34" t="inlineStr">
        <is>
          <t>Record first supplied in this revision</t>
        </is>
      </c>
      <c r="E509" s="39" t="inlineStr"/>
      <c r="F509" s="100" t="inlineStr">
        <is>
          <t>10 EVIDENCE &amp; DECISIONS</t>
        </is>
      </c>
      <c r="G509" s="41" t="n"/>
    </row>
    <row r="510" ht="79" customHeight="1">
      <c r="A510" s="34" t="inlineStr">
        <is>
          <t>R1561-v1</t>
        </is>
      </c>
      <c r="B510" s="34" t="inlineStr">
        <is>
          <t>CST-06-079</t>
        </is>
      </c>
      <c r="C510" s="34" t="inlineStr">
        <is>
          <t>New</t>
        </is>
      </c>
      <c r="D510" s="34" t="inlineStr">
        <is>
          <t>Record first supplied in this revision</t>
        </is>
      </c>
      <c r="E510" s="39" t="inlineStr"/>
      <c r="F510" s="100" t="inlineStr">
        <is>
          <t>10 EVIDENCE &amp; DECISIONS</t>
        </is>
      </c>
      <c r="G510" s="41" t="n"/>
    </row>
    <row r="511" ht="79" customHeight="1">
      <c r="A511" s="34" t="inlineStr">
        <is>
          <t>R1562-v1</t>
        </is>
      </c>
      <c r="B511" s="34" t="inlineStr">
        <is>
          <t>CST-06-080</t>
        </is>
      </c>
      <c r="C511" s="34" t="inlineStr">
        <is>
          <t>New</t>
        </is>
      </c>
      <c r="D511" s="34" t="inlineStr">
        <is>
          <t>Record first supplied in this revision</t>
        </is>
      </c>
      <c r="E511" s="39" t="inlineStr"/>
      <c r="F511" s="100" t="inlineStr">
        <is>
          <t>10 EVIDENCE &amp; DECISIONS</t>
        </is>
      </c>
      <c r="G511" s="41" t="n"/>
    </row>
    <row r="512" ht="79" customHeight="1">
      <c r="A512" s="34" t="inlineStr">
        <is>
          <t>R1563-v2</t>
        </is>
      </c>
      <c r="B512" s="34" t="inlineStr">
        <is>
          <t>PKG-001</t>
        </is>
      </c>
      <c r="C512" s="34" t="inlineStr">
        <is>
          <t>New</t>
        </is>
      </c>
      <c r="D512" s="34" t="inlineStr">
        <is>
          <t>Record first supplied in this revision</t>
        </is>
      </c>
      <c r="E512" s="34" t="inlineStr">
        <is>
          <t>Maya Chen, Owner Project Controls</t>
        </is>
      </c>
      <c r="F512" s="100" t="inlineStr">
        <is>
          <t>10 EVIDENCE &amp; DECISIONS</t>
        </is>
      </c>
      <c r="G512" s="41" t="n"/>
    </row>
    <row r="513" ht="79" customHeight="1">
      <c r="A513" s="34" t="inlineStr">
        <is>
          <t>R1564-v1</t>
        </is>
      </c>
      <c r="B513" s="34" t="inlineStr">
        <is>
          <t>PKG-002</t>
        </is>
      </c>
      <c r="C513" s="34" t="inlineStr">
        <is>
          <t>New</t>
        </is>
      </c>
      <c r="D513" s="34" t="inlineStr">
        <is>
          <t>Record first supplied in this revision</t>
        </is>
      </c>
      <c r="E513" s="39" t="inlineStr"/>
      <c r="F513" s="100" t="inlineStr">
        <is>
          <t>10 EVIDENCE &amp; DECISIONS</t>
        </is>
      </c>
      <c r="G513" s="41" t="n"/>
    </row>
    <row r="514" ht="79" customHeight="1">
      <c r="A514" s="34" t="inlineStr">
        <is>
          <t>R1565-v1</t>
        </is>
      </c>
      <c r="B514" s="34" t="inlineStr">
        <is>
          <t>PKG-003</t>
        </is>
      </c>
      <c r="C514" s="34" t="inlineStr">
        <is>
          <t>New</t>
        </is>
      </c>
      <c r="D514" s="34" t="inlineStr">
        <is>
          <t>Record first supplied in this revision</t>
        </is>
      </c>
      <c r="E514" s="39" t="inlineStr"/>
      <c r="F514" s="100" t="inlineStr">
        <is>
          <t>10 EVIDENCE &amp; DECISIONS</t>
        </is>
      </c>
      <c r="G514" s="41" t="n"/>
    </row>
    <row r="515" ht="79" customHeight="1">
      <c r="A515" s="34" t="inlineStr">
        <is>
          <t>R1566-v1</t>
        </is>
      </c>
      <c r="B515" s="34" t="inlineStr">
        <is>
          <t>PKG-004</t>
        </is>
      </c>
      <c r="C515" s="34" t="inlineStr">
        <is>
          <t>New</t>
        </is>
      </c>
      <c r="D515" s="34" t="inlineStr">
        <is>
          <t>Record first supplied in this revision</t>
        </is>
      </c>
      <c r="E515" s="39" t="inlineStr"/>
      <c r="F515" s="100" t="inlineStr">
        <is>
          <t>10 EVIDENCE &amp; DECISIONS</t>
        </is>
      </c>
      <c r="G515" s="41" t="n"/>
    </row>
    <row r="516" ht="79" customHeight="1">
      <c r="A516" s="34" t="inlineStr">
        <is>
          <t>R1567-v1</t>
        </is>
      </c>
      <c r="B516" s="34" t="inlineStr">
        <is>
          <t>PKG-005</t>
        </is>
      </c>
      <c r="C516" s="34" t="inlineStr">
        <is>
          <t>New</t>
        </is>
      </c>
      <c r="D516" s="34" t="inlineStr">
        <is>
          <t>Record first supplied in this revision</t>
        </is>
      </c>
      <c r="E516" s="39" t="inlineStr"/>
      <c r="F516" s="100" t="inlineStr">
        <is>
          <t>10 EVIDENCE &amp; DECISIONS</t>
        </is>
      </c>
      <c r="G516" s="41" t="n"/>
    </row>
    <row r="517" ht="79" customHeight="1">
      <c r="A517" s="34" t="inlineStr">
        <is>
          <t>R1568-v1</t>
        </is>
      </c>
      <c r="B517" s="34" t="inlineStr">
        <is>
          <t>PKG-006</t>
        </is>
      </c>
      <c r="C517" s="34" t="inlineStr">
        <is>
          <t>New</t>
        </is>
      </c>
      <c r="D517" s="34" t="inlineStr">
        <is>
          <t>Record first supplied in this revision</t>
        </is>
      </c>
      <c r="E517" s="39" t="inlineStr"/>
      <c r="F517" s="100" t="inlineStr">
        <is>
          <t>10 EVIDENCE &amp; DECISIONS</t>
        </is>
      </c>
      <c r="G517" s="41" t="n"/>
    </row>
    <row r="518" ht="79" customHeight="1">
      <c r="A518" s="34" t="inlineStr">
        <is>
          <t>R1569-v1</t>
        </is>
      </c>
      <c r="B518" s="34" t="inlineStr">
        <is>
          <t>PKG-007</t>
        </is>
      </c>
      <c r="C518" s="34" t="inlineStr">
        <is>
          <t>New</t>
        </is>
      </c>
      <c r="D518" s="34" t="inlineStr">
        <is>
          <t>Record first supplied in this revision</t>
        </is>
      </c>
      <c r="E518" s="39" t="inlineStr"/>
      <c r="F518" s="100" t="inlineStr">
        <is>
          <t>10 EVIDENCE &amp; DECISIONS</t>
        </is>
      </c>
      <c r="G518" s="41" t="n"/>
    </row>
    <row r="519" ht="79" customHeight="1">
      <c r="A519" s="34" t="inlineStr">
        <is>
          <t>R1570-v1</t>
        </is>
      </c>
      <c r="B519" s="34" t="inlineStr">
        <is>
          <t>PKG-008</t>
        </is>
      </c>
      <c r="C519" s="34" t="inlineStr">
        <is>
          <t>New</t>
        </is>
      </c>
      <c r="D519" s="34" t="inlineStr">
        <is>
          <t>Record first supplied in this revision</t>
        </is>
      </c>
      <c r="E519" s="39" t="inlineStr"/>
      <c r="F519" s="100" t="inlineStr">
        <is>
          <t>10 EVIDENCE &amp; DECISIONS</t>
        </is>
      </c>
      <c r="G519" s="41" t="n"/>
    </row>
    <row r="520" ht="79" customHeight="1">
      <c r="A520" s="34" t="inlineStr">
        <is>
          <t>R1571-v1</t>
        </is>
      </c>
      <c r="B520" s="34" t="inlineStr">
        <is>
          <t>PKG-009</t>
        </is>
      </c>
      <c r="C520" s="34" t="inlineStr">
        <is>
          <t>New</t>
        </is>
      </c>
      <c r="D520" s="34" t="inlineStr">
        <is>
          <t>Record first supplied in this revision</t>
        </is>
      </c>
      <c r="E520" s="39" t="inlineStr"/>
      <c r="F520" s="100" t="inlineStr">
        <is>
          <t>10 EVIDENCE &amp; DECISIONS</t>
        </is>
      </c>
      <c r="G520" s="41" t="n"/>
    </row>
    <row r="521" ht="79" customHeight="1">
      <c r="A521" s="34" t="inlineStr">
        <is>
          <t>R1572-v1</t>
        </is>
      </c>
      <c r="B521" s="34" t="inlineStr">
        <is>
          <t>PKG-010</t>
        </is>
      </c>
      <c r="C521" s="34" t="inlineStr">
        <is>
          <t>New</t>
        </is>
      </c>
      <c r="D521" s="34" t="inlineStr">
        <is>
          <t>Record first supplied in this revision</t>
        </is>
      </c>
      <c r="E521" s="39" t="inlineStr"/>
      <c r="F521" s="100" t="inlineStr">
        <is>
          <t>10 EVIDENCE &amp; DECISIONS</t>
        </is>
      </c>
      <c r="G521" s="41" t="n"/>
    </row>
    <row r="522" ht="79" customHeight="1">
      <c r="A522" s="34" t="inlineStr">
        <is>
          <t>R1573-v1</t>
        </is>
      </c>
      <c r="B522" s="34" t="inlineStr">
        <is>
          <t>PKG-011</t>
        </is>
      </c>
      <c r="C522" s="34" t="inlineStr">
        <is>
          <t>New</t>
        </is>
      </c>
      <c r="D522" s="34" t="inlineStr">
        <is>
          <t>Record first supplied in this revision</t>
        </is>
      </c>
      <c r="E522" s="39" t="inlineStr"/>
      <c r="F522" s="100" t="inlineStr">
        <is>
          <t>10 EVIDENCE &amp; DECISIONS</t>
        </is>
      </c>
      <c r="G522" s="41" t="n"/>
    </row>
    <row r="523" ht="79" customHeight="1">
      <c r="A523" s="34" t="inlineStr">
        <is>
          <t>R1574-v1</t>
        </is>
      </c>
      <c r="B523" s="34" t="inlineStr">
        <is>
          <t>PKG-012</t>
        </is>
      </c>
      <c r="C523" s="34" t="inlineStr">
        <is>
          <t>New</t>
        </is>
      </c>
      <c r="D523" s="34" t="inlineStr">
        <is>
          <t>Record first supplied in this revision</t>
        </is>
      </c>
      <c r="E523" s="39" t="inlineStr"/>
      <c r="F523" s="100" t="inlineStr">
        <is>
          <t>10 EVIDENCE &amp; DECISIONS</t>
        </is>
      </c>
      <c r="G523" s="41" t="n"/>
    </row>
    <row r="524" ht="79" customHeight="1">
      <c r="A524" s="34" t="inlineStr">
        <is>
          <t>R1575-v1</t>
        </is>
      </c>
      <c r="B524" s="34" t="inlineStr">
        <is>
          <t>PKG-013</t>
        </is>
      </c>
      <c r="C524" s="34" t="inlineStr">
        <is>
          <t>New</t>
        </is>
      </c>
      <c r="D524" s="34" t="inlineStr">
        <is>
          <t>Record first supplied in this revision</t>
        </is>
      </c>
      <c r="E524" s="39" t="inlineStr"/>
      <c r="F524" s="100" t="inlineStr">
        <is>
          <t>10 EVIDENCE &amp; DECISIONS</t>
        </is>
      </c>
      <c r="G524" s="41" t="n"/>
    </row>
    <row r="525" ht="79" customHeight="1">
      <c r="A525" s="34" t="inlineStr">
        <is>
          <t>R1576-v1</t>
        </is>
      </c>
      <c r="B525" s="34" t="inlineStr">
        <is>
          <t>PKG-014</t>
        </is>
      </c>
      <c r="C525" s="34" t="inlineStr">
        <is>
          <t>New</t>
        </is>
      </c>
      <c r="D525" s="34" t="inlineStr">
        <is>
          <t>Record first supplied in this revision</t>
        </is>
      </c>
      <c r="E525" s="39" t="inlineStr"/>
      <c r="F525" s="100" t="inlineStr">
        <is>
          <t>10 EVIDENCE &amp; DECISIONS</t>
        </is>
      </c>
      <c r="G525" s="41" t="n"/>
    </row>
    <row r="526" ht="79" customHeight="1">
      <c r="A526" s="34" t="inlineStr">
        <is>
          <t>R1577-v1</t>
        </is>
      </c>
      <c r="B526" s="34" t="inlineStr">
        <is>
          <t>PKG-015</t>
        </is>
      </c>
      <c r="C526" s="34" t="inlineStr">
        <is>
          <t>New</t>
        </is>
      </c>
      <c r="D526" s="34" t="inlineStr">
        <is>
          <t>Record first supplied in this revision</t>
        </is>
      </c>
      <c r="E526" s="39" t="inlineStr"/>
      <c r="F526" s="100" t="inlineStr">
        <is>
          <t>10 EVIDENCE &amp; DECISIONS</t>
        </is>
      </c>
      <c r="G526" s="41" t="n"/>
    </row>
    <row r="527" ht="79" customHeight="1">
      <c r="A527" s="34" t="inlineStr">
        <is>
          <t>R1578-v1</t>
        </is>
      </c>
      <c r="B527" s="34" t="inlineStr">
        <is>
          <t>PKG-016</t>
        </is>
      </c>
      <c r="C527" s="34" t="inlineStr">
        <is>
          <t>New</t>
        </is>
      </c>
      <c r="D527" s="34" t="inlineStr">
        <is>
          <t>Record first supplied in this revision</t>
        </is>
      </c>
      <c r="E527" s="39" t="inlineStr"/>
      <c r="F527" s="100" t="inlineStr">
        <is>
          <t>10 EVIDENCE &amp; DECISIONS</t>
        </is>
      </c>
      <c r="G527" s="41" t="n"/>
    </row>
    <row r="528" ht="79" customHeight="1">
      <c r="A528" s="34" t="inlineStr">
        <is>
          <t>R1579-v1</t>
        </is>
      </c>
      <c r="B528" s="34" t="inlineStr">
        <is>
          <t>PKG-017</t>
        </is>
      </c>
      <c r="C528" s="34" t="inlineStr">
        <is>
          <t>New</t>
        </is>
      </c>
      <c r="D528" s="34" t="inlineStr">
        <is>
          <t>Record first supplied in this revision</t>
        </is>
      </c>
      <c r="E528" s="39" t="inlineStr"/>
      <c r="F528" s="100" t="inlineStr">
        <is>
          <t>10 EVIDENCE &amp; DECISIONS</t>
        </is>
      </c>
      <c r="G528" s="41" t="n"/>
    </row>
    <row r="529" ht="79" customHeight="1">
      <c r="A529" s="34" t="inlineStr">
        <is>
          <t>R1580-v1</t>
        </is>
      </c>
      <c r="B529" s="34" t="inlineStr">
        <is>
          <t>PKG-018</t>
        </is>
      </c>
      <c r="C529" s="34" t="inlineStr">
        <is>
          <t>New</t>
        </is>
      </c>
      <c r="D529" s="34" t="inlineStr">
        <is>
          <t>Record first supplied in this revision</t>
        </is>
      </c>
      <c r="E529" s="39" t="inlineStr"/>
      <c r="F529" s="100" t="inlineStr">
        <is>
          <t>10 EVIDENCE &amp; DECISIONS</t>
        </is>
      </c>
      <c r="G529" s="41" t="n"/>
    </row>
    <row r="530" ht="79" customHeight="1">
      <c r="A530" s="34" t="inlineStr">
        <is>
          <t>R1581-v1</t>
        </is>
      </c>
      <c r="B530" s="34" t="inlineStr">
        <is>
          <t>PKG-019</t>
        </is>
      </c>
      <c r="C530" s="34" t="inlineStr">
        <is>
          <t>New</t>
        </is>
      </c>
      <c r="D530" s="34" t="inlineStr">
        <is>
          <t>Record first supplied in this revision</t>
        </is>
      </c>
      <c r="E530" s="39" t="inlineStr"/>
      <c r="F530" s="100" t="inlineStr">
        <is>
          <t>10 EVIDENCE &amp; DECISIONS</t>
        </is>
      </c>
      <c r="G530" s="41" t="n"/>
    </row>
    <row r="531" ht="79" customHeight="1">
      <c r="A531" s="34" t="inlineStr">
        <is>
          <t>R1582-v1</t>
        </is>
      </c>
      <c r="B531" s="34" t="inlineStr">
        <is>
          <t>PKG-020</t>
        </is>
      </c>
      <c r="C531" s="34" t="inlineStr">
        <is>
          <t>New</t>
        </is>
      </c>
      <c r="D531" s="34" t="inlineStr">
        <is>
          <t>Record first supplied in this revision</t>
        </is>
      </c>
      <c r="E531" s="39" t="inlineStr"/>
      <c r="F531" s="100" t="inlineStr">
        <is>
          <t>10 EVIDENCE &amp; DECISIONS</t>
        </is>
      </c>
      <c r="G531" s="41" t="n"/>
    </row>
    <row r="532" ht="79" customHeight="1">
      <c r="A532" s="34" t="inlineStr">
        <is>
          <t>R1583-v1</t>
        </is>
      </c>
      <c r="B532" s="34" t="inlineStr">
        <is>
          <t>PKG-021</t>
        </is>
      </c>
      <c r="C532" s="34" t="inlineStr">
        <is>
          <t>New</t>
        </is>
      </c>
      <c r="D532" s="34" t="inlineStr">
        <is>
          <t>Record first supplied in this revision</t>
        </is>
      </c>
      <c r="E532" s="39" t="inlineStr"/>
      <c r="F532" s="100" t="inlineStr">
        <is>
          <t>10 EVIDENCE &amp; DECISIONS</t>
        </is>
      </c>
      <c r="G532" s="41" t="n"/>
    </row>
    <row r="533" ht="79" customHeight="1">
      <c r="A533" s="34" t="inlineStr">
        <is>
          <t>R1584-v1</t>
        </is>
      </c>
      <c r="B533" s="34" t="inlineStr">
        <is>
          <t>PKG-022</t>
        </is>
      </c>
      <c r="C533" s="34" t="inlineStr">
        <is>
          <t>New</t>
        </is>
      </c>
      <c r="D533" s="34" t="inlineStr">
        <is>
          <t>Record first supplied in this revision</t>
        </is>
      </c>
      <c r="E533" s="39" t="inlineStr"/>
      <c r="F533" s="100" t="inlineStr">
        <is>
          <t>10 EVIDENCE &amp; DECISIONS</t>
        </is>
      </c>
      <c r="G533" s="41" t="n"/>
    </row>
    <row r="534" ht="79" customHeight="1">
      <c r="A534" s="34" t="inlineStr">
        <is>
          <t>R1585-v1</t>
        </is>
      </c>
      <c r="B534" s="34" t="inlineStr">
        <is>
          <t>PKG-023</t>
        </is>
      </c>
      <c r="C534" s="34" t="inlineStr">
        <is>
          <t>New</t>
        </is>
      </c>
      <c r="D534" s="34" t="inlineStr">
        <is>
          <t>Record first supplied in this revision</t>
        </is>
      </c>
      <c r="E534" s="39" t="inlineStr"/>
      <c r="F534" s="100" t="inlineStr">
        <is>
          <t>10 EVIDENCE &amp; DECISIONS</t>
        </is>
      </c>
      <c r="G534" s="41" t="n"/>
    </row>
    <row r="535" ht="79" customHeight="1">
      <c r="A535" s="34" t="inlineStr">
        <is>
          <t>R1586-v1</t>
        </is>
      </c>
      <c r="B535" s="34" t="inlineStr">
        <is>
          <t>PKG-024</t>
        </is>
      </c>
      <c r="C535" s="34" t="inlineStr">
        <is>
          <t>New</t>
        </is>
      </c>
      <c r="D535" s="34" t="inlineStr">
        <is>
          <t>Record first supplied in this revision</t>
        </is>
      </c>
      <c r="E535" s="39" t="inlineStr"/>
      <c r="F535" s="100" t="inlineStr">
        <is>
          <t>10 EVIDENCE &amp; DECISIONS</t>
        </is>
      </c>
      <c r="G535" s="41" t="n"/>
    </row>
    <row r="536" ht="79" customHeight="1">
      <c r="A536" s="34" t="inlineStr">
        <is>
          <t>R1587-v1</t>
        </is>
      </c>
      <c r="B536" s="34" t="inlineStr">
        <is>
          <t>PKG-025</t>
        </is>
      </c>
      <c r="C536" s="34" t="inlineStr">
        <is>
          <t>New</t>
        </is>
      </c>
      <c r="D536" s="34" t="inlineStr">
        <is>
          <t>Record first supplied in this revision</t>
        </is>
      </c>
      <c r="E536" s="39" t="inlineStr"/>
      <c r="F536" s="100" t="inlineStr">
        <is>
          <t>10 EVIDENCE &amp; DECISIONS</t>
        </is>
      </c>
      <c r="G536" s="41" t="n"/>
    </row>
    <row r="537" ht="79" customHeight="1">
      <c r="A537" s="34" t="inlineStr">
        <is>
          <t>R1588-v1</t>
        </is>
      </c>
      <c r="B537" s="34" t="inlineStr">
        <is>
          <t>PKG-026</t>
        </is>
      </c>
      <c r="C537" s="34" t="inlineStr">
        <is>
          <t>New</t>
        </is>
      </c>
      <c r="D537" s="34" t="inlineStr">
        <is>
          <t>Record first supplied in this revision</t>
        </is>
      </c>
      <c r="E537" s="39" t="inlineStr"/>
      <c r="F537" s="100" t="inlineStr">
        <is>
          <t>10 EVIDENCE &amp; DECISIONS</t>
        </is>
      </c>
      <c r="G537" s="41" t="n"/>
    </row>
    <row r="538" ht="79" customHeight="1">
      <c r="A538" s="34" t="inlineStr">
        <is>
          <t>R1589-v1</t>
        </is>
      </c>
      <c r="B538" s="34" t="inlineStr">
        <is>
          <t>PKG-027</t>
        </is>
      </c>
      <c r="C538" s="34" t="inlineStr">
        <is>
          <t>New</t>
        </is>
      </c>
      <c r="D538" s="34" t="inlineStr">
        <is>
          <t>Record first supplied in this revision</t>
        </is>
      </c>
      <c r="E538" s="39" t="inlineStr"/>
      <c r="F538" s="100" t="inlineStr">
        <is>
          <t>10 EVIDENCE &amp; DECISIONS</t>
        </is>
      </c>
      <c r="G538" s="41" t="n"/>
    </row>
    <row r="539" ht="79" customHeight="1">
      <c r="A539" s="34" t="inlineStr">
        <is>
          <t>R1590-v1</t>
        </is>
      </c>
      <c r="B539" s="34" t="inlineStr">
        <is>
          <t>PKG-028</t>
        </is>
      </c>
      <c r="C539" s="34" t="inlineStr">
        <is>
          <t>New</t>
        </is>
      </c>
      <c r="D539" s="34" t="inlineStr">
        <is>
          <t>Record first supplied in this revision</t>
        </is>
      </c>
      <c r="E539" s="39" t="inlineStr"/>
      <c r="F539" s="100" t="inlineStr">
        <is>
          <t>10 EVIDENCE &amp; DECISIONS</t>
        </is>
      </c>
      <c r="G539" s="41" t="n"/>
    </row>
    <row r="540" ht="79" customHeight="1">
      <c r="A540" s="34" t="inlineStr">
        <is>
          <t>R1591-v1</t>
        </is>
      </c>
      <c r="B540" s="34" t="inlineStr">
        <is>
          <t>PKG-029</t>
        </is>
      </c>
      <c r="C540" s="34" t="inlineStr">
        <is>
          <t>New</t>
        </is>
      </c>
      <c r="D540" s="34" t="inlineStr">
        <is>
          <t>Record first supplied in this revision</t>
        </is>
      </c>
      <c r="E540" s="39" t="inlineStr"/>
      <c r="F540" s="100" t="inlineStr">
        <is>
          <t>10 EVIDENCE &amp; DECISIONS</t>
        </is>
      </c>
      <c r="G540" s="41" t="n"/>
    </row>
    <row r="541" ht="79" customHeight="1">
      <c r="A541" s="34" t="inlineStr">
        <is>
          <t>R1592-v1</t>
        </is>
      </c>
      <c r="B541" s="34" t="inlineStr">
        <is>
          <t>PKG-030</t>
        </is>
      </c>
      <c r="C541" s="34" t="inlineStr">
        <is>
          <t>New</t>
        </is>
      </c>
      <c r="D541" s="34" t="inlineStr">
        <is>
          <t>Record first supplied in this revision</t>
        </is>
      </c>
      <c r="E541" s="39" t="inlineStr"/>
      <c r="F541" s="100" t="inlineStr">
        <is>
          <t>10 EVIDENCE &amp; DECISIONS</t>
        </is>
      </c>
      <c r="G541" s="41" t="n"/>
    </row>
    <row r="542" ht="79" customHeight="1">
      <c r="A542" s="34" t="inlineStr">
        <is>
          <t>R1593-v1</t>
        </is>
      </c>
      <c r="B542" s="34" t="inlineStr">
        <is>
          <t>PKG-031</t>
        </is>
      </c>
      <c r="C542" s="34" t="inlineStr">
        <is>
          <t>New</t>
        </is>
      </c>
      <c r="D542" s="34" t="inlineStr">
        <is>
          <t>Record first supplied in this revision</t>
        </is>
      </c>
      <c r="E542" s="39" t="inlineStr"/>
      <c r="F542" s="100" t="inlineStr">
        <is>
          <t>10 EVIDENCE &amp; DECISIONS</t>
        </is>
      </c>
      <c r="G542" s="41" t="n"/>
    </row>
    <row r="543" ht="79" customHeight="1">
      <c r="A543" s="34" t="inlineStr">
        <is>
          <t>R1594-v1</t>
        </is>
      </c>
      <c r="B543" s="34" t="inlineStr">
        <is>
          <t>PKG-032</t>
        </is>
      </c>
      <c r="C543" s="34" t="inlineStr">
        <is>
          <t>New</t>
        </is>
      </c>
      <c r="D543" s="34" t="inlineStr">
        <is>
          <t>Record first supplied in this revision</t>
        </is>
      </c>
      <c r="E543" s="39" t="inlineStr"/>
      <c r="F543" s="100" t="inlineStr">
        <is>
          <t>10 EVIDENCE &amp; DECISIONS</t>
        </is>
      </c>
      <c r="G543" s="41" t="n"/>
    </row>
    <row r="544" ht="79" customHeight="1">
      <c r="A544" s="34" t="inlineStr">
        <is>
          <t>R1595-v1</t>
        </is>
      </c>
      <c r="B544" s="34" t="inlineStr">
        <is>
          <t>PKG-033</t>
        </is>
      </c>
      <c r="C544" s="34" t="inlineStr">
        <is>
          <t>New</t>
        </is>
      </c>
      <c r="D544" s="34" t="inlineStr">
        <is>
          <t>Record first supplied in this revision</t>
        </is>
      </c>
      <c r="E544" s="39" t="inlineStr"/>
      <c r="F544" s="100" t="inlineStr">
        <is>
          <t>10 EVIDENCE &amp; DECISIONS</t>
        </is>
      </c>
      <c r="G544" s="41" t="n"/>
    </row>
    <row r="545" ht="79" customHeight="1">
      <c r="A545" s="34" t="inlineStr">
        <is>
          <t>R1596-v1</t>
        </is>
      </c>
      <c r="B545" s="34" t="inlineStr">
        <is>
          <t>PKG-034</t>
        </is>
      </c>
      <c r="C545" s="34" t="inlineStr">
        <is>
          <t>New</t>
        </is>
      </c>
      <c r="D545" s="34" t="inlineStr">
        <is>
          <t>Record first supplied in this revision</t>
        </is>
      </c>
      <c r="E545" s="39" t="inlineStr"/>
      <c r="F545" s="100" t="inlineStr">
        <is>
          <t>10 EVIDENCE &amp; DECISIONS</t>
        </is>
      </c>
      <c r="G545" s="41" t="n"/>
    </row>
    <row r="546" ht="79" customHeight="1">
      <c r="A546" s="34" t="inlineStr">
        <is>
          <t>R1597-v1</t>
        </is>
      </c>
      <c r="B546" s="34" t="inlineStr">
        <is>
          <t>PKG-035</t>
        </is>
      </c>
      <c r="C546" s="34" t="inlineStr">
        <is>
          <t>New</t>
        </is>
      </c>
      <c r="D546" s="34" t="inlineStr">
        <is>
          <t>Record first supplied in this revision</t>
        </is>
      </c>
      <c r="E546" s="39" t="inlineStr"/>
      <c r="F546" s="100" t="inlineStr">
        <is>
          <t>10 EVIDENCE &amp; DECISIONS</t>
        </is>
      </c>
      <c r="G546" s="41" t="n"/>
    </row>
    <row r="547" ht="79" customHeight="1">
      <c r="A547" s="34" t="inlineStr">
        <is>
          <t>R1598-v1</t>
        </is>
      </c>
      <c r="B547" s="34" t="inlineStr">
        <is>
          <t>PKG-036</t>
        </is>
      </c>
      <c r="C547" s="34" t="inlineStr">
        <is>
          <t>New</t>
        </is>
      </c>
      <c r="D547" s="34" t="inlineStr">
        <is>
          <t>Record first supplied in this revision</t>
        </is>
      </c>
      <c r="E547" s="39" t="inlineStr"/>
      <c r="F547" s="100" t="inlineStr">
        <is>
          <t>10 EVIDENCE &amp; DECISIONS</t>
        </is>
      </c>
      <c r="G547" s="41" t="n"/>
    </row>
    <row r="548" ht="79" customHeight="1">
      <c r="A548" s="34" t="inlineStr">
        <is>
          <t>R1599-v1</t>
        </is>
      </c>
      <c r="B548" s="34" t="inlineStr">
        <is>
          <t>PKG-037</t>
        </is>
      </c>
      <c r="C548" s="34" t="inlineStr">
        <is>
          <t>New</t>
        </is>
      </c>
      <c r="D548" s="34" t="inlineStr">
        <is>
          <t>Record first supplied in this revision</t>
        </is>
      </c>
      <c r="E548" s="39" t="inlineStr"/>
      <c r="F548" s="100" t="inlineStr">
        <is>
          <t>10 EVIDENCE &amp; DECISIONS</t>
        </is>
      </c>
      <c r="G548" s="41" t="n"/>
    </row>
    <row r="549" ht="79" customHeight="1">
      <c r="A549" s="34" t="inlineStr">
        <is>
          <t>R1600-v1</t>
        </is>
      </c>
      <c r="B549" s="34" t="inlineStr">
        <is>
          <t>PKG-038</t>
        </is>
      </c>
      <c r="C549" s="34" t="inlineStr">
        <is>
          <t>New</t>
        </is>
      </c>
      <c r="D549" s="34" t="inlineStr">
        <is>
          <t>Record first supplied in this revision</t>
        </is>
      </c>
      <c r="E549" s="39" t="inlineStr"/>
      <c r="F549" s="100" t="inlineStr">
        <is>
          <t>10 EVIDENCE &amp; DECISIONS</t>
        </is>
      </c>
      <c r="G549" s="41" t="n"/>
    </row>
    <row r="550" ht="79" customHeight="1">
      <c r="A550" s="34" t="inlineStr">
        <is>
          <t>R1601-v1</t>
        </is>
      </c>
      <c r="B550" s="34" t="inlineStr">
        <is>
          <t>PKG-039</t>
        </is>
      </c>
      <c r="C550" s="34" t="inlineStr">
        <is>
          <t>New</t>
        </is>
      </c>
      <c r="D550" s="34" t="inlineStr">
        <is>
          <t>Record first supplied in this revision</t>
        </is>
      </c>
      <c r="E550" s="39" t="inlineStr"/>
      <c r="F550" s="100" t="inlineStr">
        <is>
          <t>10 EVIDENCE &amp; DECISIONS</t>
        </is>
      </c>
      <c r="G550" s="41" t="n"/>
    </row>
    <row r="551" ht="79" customHeight="1">
      <c r="A551" s="34" t="inlineStr">
        <is>
          <t>R1602-v1</t>
        </is>
      </c>
      <c r="B551" s="34" t="inlineStr">
        <is>
          <t>PKG-040</t>
        </is>
      </c>
      <c r="C551" s="34" t="inlineStr">
        <is>
          <t>New</t>
        </is>
      </c>
      <c r="D551" s="34" t="inlineStr">
        <is>
          <t>Record first supplied in this revision</t>
        </is>
      </c>
      <c r="E551" s="39" t="inlineStr"/>
      <c r="F551" s="100" t="inlineStr">
        <is>
          <t>10 EVIDENCE &amp; DECISIONS</t>
        </is>
      </c>
      <c r="G551" s="41" t="n"/>
    </row>
    <row r="552" ht="79" customHeight="1">
      <c r="A552" s="34" t="inlineStr">
        <is>
          <t>R1603-v1</t>
        </is>
      </c>
      <c r="B552" s="34" t="inlineStr">
        <is>
          <t>PKG-041</t>
        </is>
      </c>
      <c r="C552" s="34" t="inlineStr">
        <is>
          <t>New</t>
        </is>
      </c>
      <c r="D552" s="34" t="inlineStr">
        <is>
          <t>Record first supplied in this revision</t>
        </is>
      </c>
      <c r="E552" s="39" t="inlineStr"/>
      <c r="F552" s="100" t="inlineStr">
        <is>
          <t>10 EVIDENCE &amp; DECISIONS</t>
        </is>
      </c>
      <c r="G552" s="41" t="n"/>
    </row>
    <row r="553" ht="79" customHeight="1">
      <c r="A553" s="34" t="inlineStr">
        <is>
          <t>R1604-v1</t>
        </is>
      </c>
      <c r="B553" s="34" t="inlineStr">
        <is>
          <t>PKG-042</t>
        </is>
      </c>
      <c r="C553" s="34" t="inlineStr">
        <is>
          <t>New</t>
        </is>
      </c>
      <c r="D553" s="34" t="inlineStr">
        <is>
          <t>Record first supplied in this revision</t>
        </is>
      </c>
      <c r="E553" s="39" t="inlineStr"/>
      <c r="F553" s="100" t="inlineStr">
        <is>
          <t>10 EVIDENCE &amp; DECISIONS</t>
        </is>
      </c>
      <c r="G553" s="41" t="n"/>
    </row>
    <row r="554" ht="79" customHeight="1">
      <c r="A554" s="34" t="inlineStr">
        <is>
          <t>R1605-v1</t>
        </is>
      </c>
      <c r="B554" s="34" t="inlineStr">
        <is>
          <t>PKG-043</t>
        </is>
      </c>
      <c r="C554" s="34" t="inlineStr">
        <is>
          <t>New</t>
        </is>
      </c>
      <c r="D554" s="34" t="inlineStr">
        <is>
          <t>Record first supplied in this revision</t>
        </is>
      </c>
      <c r="E554" s="39" t="inlineStr"/>
      <c r="F554" s="100" t="inlineStr">
        <is>
          <t>10 EVIDENCE &amp; DECISIONS</t>
        </is>
      </c>
      <c r="G554" s="41" t="n"/>
    </row>
    <row r="555" ht="79" customHeight="1">
      <c r="A555" s="34" t="inlineStr">
        <is>
          <t>R1606-v1</t>
        </is>
      </c>
      <c r="B555" s="34" t="inlineStr">
        <is>
          <t>PKG-044</t>
        </is>
      </c>
      <c r="C555" s="34" t="inlineStr">
        <is>
          <t>New</t>
        </is>
      </c>
      <c r="D555" s="34" t="inlineStr">
        <is>
          <t>Record first supplied in this revision</t>
        </is>
      </c>
      <c r="E555" s="39" t="inlineStr"/>
      <c r="F555" s="100" t="inlineStr">
        <is>
          <t>10 EVIDENCE &amp; DECISIONS</t>
        </is>
      </c>
      <c r="G555" s="41" t="n"/>
    </row>
    <row r="556" ht="79" customHeight="1">
      <c r="A556" s="34" t="inlineStr">
        <is>
          <t>R1607-v1</t>
        </is>
      </c>
      <c r="B556" s="34" t="inlineStr">
        <is>
          <t>PKG-045</t>
        </is>
      </c>
      <c r="C556" s="34" t="inlineStr">
        <is>
          <t>New</t>
        </is>
      </c>
      <c r="D556" s="34" t="inlineStr">
        <is>
          <t>Record first supplied in this revision</t>
        </is>
      </c>
      <c r="E556" s="39" t="inlineStr"/>
      <c r="F556" s="100" t="inlineStr">
        <is>
          <t>10 EVIDENCE &amp; DECISIONS</t>
        </is>
      </c>
      <c r="G556" s="41" t="n"/>
    </row>
    <row r="557" ht="79" customHeight="1">
      <c r="A557" s="34" t="inlineStr">
        <is>
          <t>R1608-v1</t>
        </is>
      </c>
      <c r="B557" s="34" t="inlineStr">
        <is>
          <t>PKG-046</t>
        </is>
      </c>
      <c r="C557" s="34" t="inlineStr">
        <is>
          <t>New</t>
        </is>
      </c>
      <c r="D557" s="34" t="inlineStr">
        <is>
          <t>Record first supplied in this revision</t>
        </is>
      </c>
      <c r="E557" s="39" t="inlineStr"/>
      <c r="F557" s="100" t="inlineStr">
        <is>
          <t>10 EVIDENCE &amp; DECISIONS</t>
        </is>
      </c>
      <c r="G557" s="41" t="n"/>
    </row>
    <row r="558" ht="79" customHeight="1">
      <c r="A558" s="34" t="inlineStr">
        <is>
          <t>R1609-v1</t>
        </is>
      </c>
      <c r="B558" s="34" t="inlineStr">
        <is>
          <t>PKG-047</t>
        </is>
      </c>
      <c r="C558" s="34" t="inlineStr">
        <is>
          <t>New</t>
        </is>
      </c>
      <c r="D558" s="34" t="inlineStr">
        <is>
          <t>Record first supplied in this revision</t>
        </is>
      </c>
      <c r="E558" s="39" t="inlineStr"/>
      <c r="F558" s="100" t="inlineStr">
        <is>
          <t>10 EVIDENCE &amp; DECISIONS</t>
        </is>
      </c>
      <c r="G558" s="41" t="n"/>
    </row>
    <row r="559" ht="79" customHeight="1">
      <c r="A559" s="34" t="inlineStr">
        <is>
          <t>R1610-v1</t>
        </is>
      </c>
      <c r="B559" s="34" t="inlineStr">
        <is>
          <t>PKG-048</t>
        </is>
      </c>
      <c r="C559" s="34" t="inlineStr">
        <is>
          <t>New</t>
        </is>
      </c>
      <c r="D559" s="34" t="inlineStr">
        <is>
          <t>Record first supplied in this revision</t>
        </is>
      </c>
      <c r="E559" s="39" t="inlineStr"/>
      <c r="F559" s="100" t="inlineStr">
        <is>
          <t>10 EVIDENCE &amp; DECISIONS</t>
        </is>
      </c>
      <c r="G559" s="41" t="n"/>
    </row>
    <row r="560" ht="79" customHeight="1">
      <c r="A560" s="34" t="inlineStr">
        <is>
          <t>R1611-v1</t>
        </is>
      </c>
      <c r="B560" s="34" t="inlineStr">
        <is>
          <t>PKG-049</t>
        </is>
      </c>
      <c r="C560" s="34" t="inlineStr">
        <is>
          <t>New</t>
        </is>
      </c>
      <c r="D560" s="34" t="inlineStr">
        <is>
          <t>Record first supplied in this revision</t>
        </is>
      </c>
      <c r="E560" s="39" t="inlineStr"/>
      <c r="F560" s="100" t="inlineStr">
        <is>
          <t>10 EVIDENCE &amp; DECISIONS</t>
        </is>
      </c>
      <c r="G560" s="41" t="n"/>
    </row>
    <row r="561" ht="79" customHeight="1">
      <c r="A561" s="34" t="inlineStr">
        <is>
          <t>R1612-v1</t>
        </is>
      </c>
      <c r="B561" s="34" t="inlineStr">
        <is>
          <t>PKG-050</t>
        </is>
      </c>
      <c r="C561" s="34" t="inlineStr">
        <is>
          <t>New</t>
        </is>
      </c>
      <c r="D561" s="34" t="inlineStr">
        <is>
          <t>Record first supplied in this revision</t>
        </is>
      </c>
      <c r="E561" s="39" t="inlineStr"/>
      <c r="F561" s="100" t="inlineStr">
        <is>
          <t>10 EVIDENCE &amp; DECISIONS</t>
        </is>
      </c>
      <c r="G561" s="41" t="n"/>
    </row>
    <row r="562" ht="79" customHeight="1">
      <c r="A562" s="34" t="inlineStr">
        <is>
          <t>R1613-v1</t>
        </is>
      </c>
      <c r="B562" s="34" t="inlineStr">
        <is>
          <t>PKG-051</t>
        </is>
      </c>
      <c r="C562" s="34" t="inlineStr">
        <is>
          <t>New</t>
        </is>
      </c>
      <c r="D562" s="34" t="inlineStr">
        <is>
          <t>Record first supplied in this revision</t>
        </is>
      </c>
      <c r="E562" s="39" t="inlineStr"/>
      <c r="F562" s="100" t="inlineStr">
        <is>
          <t>10 EVIDENCE &amp; DECISIONS</t>
        </is>
      </c>
      <c r="G562" s="41" t="n"/>
    </row>
    <row r="563" ht="79" customHeight="1">
      <c r="A563" s="34" t="inlineStr">
        <is>
          <t>R1614-v1</t>
        </is>
      </c>
      <c r="B563" s="34" t="inlineStr">
        <is>
          <t>PKG-052</t>
        </is>
      </c>
      <c r="C563" s="34" t="inlineStr">
        <is>
          <t>New</t>
        </is>
      </c>
      <c r="D563" s="34" t="inlineStr">
        <is>
          <t>Record first supplied in this revision</t>
        </is>
      </c>
      <c r="E563" s="39" t="inlineStr"/>
      <c r="F563" s="100" t="inlineStr">
        <is>
          <t>10 EVIDENCE &amp; DECISIONS</t>
        </is>
      </c>
      <c r="G563" s="41" t="n"/>
    </row>
    <row r="564" ht="79" customHeight="1">
      <c r="A564" s="34" t="inlineStr">
        <is>
          <t>R1615-v1</t>
        </is>
      </c>
      <c r="B564" s="34" t="inlineStr">
        <is>
          <t>PKG-053</t>
        </is>
      </c>
      <c r="C564" s="34" t="inlineStr">
        <is>
          <t>New</t>
        </is>
      </c>
      <c r="D564" s="34" t="inlineStr">
        <is>
          <t>Record first supplied in this revision</t>
        </is>
      </c>
      <c r="E564" s="39" t="inlineStr"/>
      <c r="F564" s="100" t="inlineStr">
        <is>
          <t>10 EVIDENCE &amp; DECISIONS</t>
        </is>
      </c>
      <c r="G564" s="41" t="n"/>
    </row>
    <row r="565" ht="79" customHeight="1">
      <c r="A565" s="34" t="inlineStr">
        <is>
          <t>R1616-v1</t>
        </is>
      </c>
      <c r="B565" s="34" t="inlineStr">
        <is>
          <t>PKG-054</t>
        </is>
      </c>
      <c r="C565" s="34" t="inlineStr">
        <is>
          <t>New</t>
        </is>
      </c>
      <c r="D565" s="34" t="inlineStr">
        <is>
          <t>Record first supplied in this revision</t>
        </is>
      </c>
      <c r="E565" s="39" t="inlineStr"/>
      <c r="F565" s="100" t="inlineStr">
        <is>
          <t>10 EVIDENCE &amp; DECISIONS</t>
        </is>
      </c>
      <c r="G565" s="41" t="n"/>
    </row>
    <row r="566" ht="79" customHeight="1">
      <c r="A566" s="34" t="inlineStr">
        <is>
          <t>R1617-v1</t>
        </is>
      </c>
      <c r="B566" s="34" t="inlineStr">
        <is>
          <t>PKG-055</t>
        </is>
      </c>
      <c r="C566" s="34" t="inlineStr">
        <is>
          <t>New</t>
        </is>
      </c>
      <c r="D566" s="34" t="inlineStr">
        <is>
          <t>Record first supplied in this revision</t>
        </is>
      </c>
      <c r="E566" s="39" t="inlineStr"/>
      <c r="F566" s="100" t="inlineStr">
        <is>
          <t>10 EVIDENCE &amp; DECISIONS</t>
        </is>
      </c>
      <c r="G566" s="41" t="n"/>
    </row>
    <row r="567" ht="79" customHeight="1">
      <c r="A567" s="34" t="inlineStr">
        <is>
          <t>R1618-v1</t>
        </is>
      </c>
      <c r="B567" s="34" t="inlineStr">
        <is>
          <t>PKG-056</t>
        </is>
      </c>
      <c r="C567" s="34" t="inlineStr">
        <is>
          <t>New</t>
        </is>
      </c>
      <c r="D567" s="34" t="inlineStr">
        <is>
          <t>Record first supplied in this revision</t>
        </is>
      </c>
      <c r="E567" s="39" t="inlineStr"/>
      <c r="F567" s="100" t="inlineStr">
        <is>
          <t>10 EVIDENCE &amp; DECISIONS</t>
        </is>
      </c>
      <c r="G567" s="41" t="n"/>
    </row>
    <row r="568" ht="79" customHeight="1">
      <c r="A568" s="34" t="inlineStr">
        <is>
          <t>R1619-v1</t>
        </is>
      </c>
      <c r="B568" s="34" t="inlineStr">
        <is>
          <t>PKG-057</t>
        </is>
      </c>
      <c r="C568" s="34" t="inlineStr">
        <is>
          <t>New</t>
        </is>
      </c>
      <c r="D568" s="34" t="inlineStr">
        <is>
          <t>Record first supplied in this revision</t>
        </is>
      </c>
      <c r="E568" s="39" t="inlineStr"/>
      <c r="F568" s="100" t="inlineStr">
        <is>
          <t>10 EVIDENCE &amp; DECISIONS</t>
        </is>
      </c>
      <c r="G568" s="41" t="n"/>
    </row>
    <row r="569" ht="79" customHeight="1">
      <c r="A569" s="34" t="inlineStr">
        <is>
          <t>R1620-v1</t>
        </is>
      </c>
      <c r="B569" s="34" t="inlineStr">
        <is>
          <t>PKG-058</t>
        </is>
      </c>
      <c r="C569" s="34" t="inlineStr">
        <is>
          <t>New</t>
        </is>
      </c>
      <c r="D569" s="34" t="inlineStr">
        <is>
          <t>Record first supplied in this revision</t>
        </is>
      </c>
      <c r="E569" s="39" t="inlineStr"/>
      <c r="F569" s="100" t="inlineStr">
        <is>
          <t>10 EVIDENCE &amp; DECISIONS</t>
        </is>
      </c>
      <c r="G569" s="41" t="n"/>
    </row>
    <row r="570" ht="79" customHeight="1">
      <c r="A570" s="34" t="inlineStr">
        <is>
          <t>R1621-v1</t>
        </is>
      </c>
      <c r="B570" s="34" t="inlineStr">
        <is>
          <t>PKG-059</t>
        </is>
      </c>
      <c r="C570" s="34" t="inlineStr">
        <is>
          <t>New</t>
        </is>
      </c>
      <c r="D570" s="34" t="inlineStr">
        <is>
          <t>Record first supplied in this revision</t>
        </is>
      </c>
      <c r="E570" s="39" t="inlineStr"/>
      <c r="F570" s="100" t="inlineStr">
        <is>
          <t>10 EVIDENCE &amp; DECISIONS</t>
        </is>
      </c>
      <c r="G570" s="41" t="n"/>
    </row>
    <row r="571" ht="79" customHeight="1">
      <c r="A571" s="34" t="inlineStr">
        <is>
          <t>R1622-v1</t>
        </is>
      </c>
      <c r="B571" s="34" t="inlineStr">
        <is>
          <t>PKG-060</t>
        </is>
      </c>
      <c r="C571" s="34" t="inlineStr">
        <is>
          <t>New</t>
        </is>
      </c>
      <c r="D571" s="34" t="inlineStr">
        <is>
          <t>Record first supplied in this revision</t>
        </is>
      </c>
      <c r="E571" s="39" t="inlineStr"/>
      <c r="F571" s="100" t="inlineStr">
        <is>
          <t>10 EVIDENCE &amp; DECISIONS</t>
        </is>
      </c>
      <c r="G571" s="41" t="n"/>
    </row>
    <row r="572" ht="79" customHeight="1">
      <c r="A572" s="34" t="inlineStr">
        <is>
          <t>R1-v1</t>
        </is>
      </c>
      <c r="B572" s="34" t="inlineStr">
        <is>
          <t>SCH-01-001</t>
        </is>
      </c>
      <c r="C572" s="34" t="inlineStr">
        <is>
          <t>New</t>
        </is>
      </c>
      <c r="D572" s="34" t="inlineStr">
        <is>
          <t>Record first supplied in this revision</t>
        </is>
      </c>
      <c r="E572" s="39" t="inlineStr"/>
      <c r="F572" s="100" t="inlineStr">
        <is>
          <t>10 EVIDENCE &amp; DECISIONS</t>
        </is>
      </c>
      <c r="G572" s="41" t="n"/>
    </row>
    <row r="573" ht="79" customHeight="1">
      <c r="A573" s="34" t="inlineStr">
        <is>
          <t>R2-v1</t>
        </is>
      </c>
      <c r="B573" s="34" t="inlineStr">
        <is>
          <t>SCH-01-002</t>
        </is>
      </c>
      <c r="C573" s="34" t="inlineStr">
        <is>
          <t>New</t>
        </is>
      </c>
      <c r="D573" s="34" t="inlineStr">
        <is>
          <t>Record first supplied in this revision</t>
        </is>
      </c>
      <c r="E573" s="39" t="inlineStr"/>
      <c r="F573" s="100" t="inlineStr">
        <is>
          <t>10 EVIDENCE &amp; DECISIONS</t>
        </is>
      </c>
      <c r="G573" s="41" t="n"/>
    </row>
    <row r="574" ht="79" customHeight="1">
      <c r="A574" s="34" t="inlineStr">
        <is>
          <t>R3-v1</t>
        </is>
      </c>
      <c r="B574" s="34" t="inlineStr">
        <is>
          <t>SCH-01-003</t>
        </is>
      </c>
      <c r="C574" s="34" t="inlineStr">
        <is>
          <t>New</t>
        </is>
      </c>
      <c r="D574" s="34" t="inlineStr">
        <is>
          <t>Record first supplied in this revision</t>
        </is>
      </c>
      <c r="E574" s="39" t="inlineStr"/>
      <c r="F574" s="100" t="inlineStr">
        <is>
          <t>10 EVIDENCE &amp; DECISIONS</t>
        </is>
      </c>
      <c r="G574" s="41" t="n"/>
    </row>
    <row r="575" ht="79" customHeight="1">
      <c r="A575" s="34" t="inlineStr">
        <is>
          <t>R4-v1</t>
        </is>
      </c>
      <c r="B575" s="34" t="inlineStr">
        <is>
          <t>SCH-01-004</t>
        </is>
      </c>
      <c r="C575" s="34" t="inlineStr">
        <is>
          <t>New</t>
        </is>
      </c>
      <c r="D575" s="34" t="inlineStr">
        <is>
          <t>Record first supplied in this revision</t>
        </is>
      </c>
      <c r="E575" s="39" t="inlineStr"/>
      <c r="F575" s="100" t="inlineStr">
        <is>
          <t>10 EVIDENCE &amp; DECISIONS</t>
        </is>
      </c>
      <c r="G575" s="41" t="n"/>
    </row>
    <row r="576" ht="79" customHeight="1">
      <c r="A576" s="34" t="inlineStr">
        <is>
          <t>R5-v1</t>
        </is>
      </c>
      <c r="B576" s="34" t="inlineStr">
        <is>
          <t>SCH-01-005</t>
        </is>
      </c>
      <c r="C576" s="34" t="inlineStr">
        <is>
          <t>New</t>
        </is>
      </c>
      <c r="D576" s="34" t="inlineStr">
        <is>
          <t>Record first supplied in this revision</t>
        </is>
      </c>
      <c r="E576" s="39" t="inlineStr"/>
      <c r="F576" s="100" t="inlineStr">
        <is>
          <t>10 EVIDENCE &amp; DECISIONS</t>
        </is>
      </c>
      <c r="G576" s="41" t="n"/>
    </row>
    <row r="577" ht="79" customHeight="1">
      <c r="A577" s="34" t="inlineStr">
        <is>
          <t>R6-v1</t>
        </is>
      </c>
      <c r="B577" s="34" t="inlineStr">
        <is>
          <t>SCH-01-006</t>
        </is>
      </c>
      <c r="C577" s="34" t="inlineStr">
        <is>
          <t>New</t>
        </is>
      </c>
      <c r="D577" s="34" t="inlineStr">
        <is>
          <t>Record first supplied in this revision</t>
        </is>
      </c>
      <c r="E577" s="39" t="inlineStr"/>
      <c r="F577" s="100" t="inlineStr">
        <is>
          <t>10 EVIDENCE &amp; DECISIONS</t>
        </is>
      </c>
      <c r="G577" s="41" t="n"/>
    </row>
    <row r="578" ht="79" customHeight="1">
      <c r="A578" s="34" t="inlineStr">
        <is>
          <t>R7-v1</t>
        </is>
      </c>
      <c r="B578" s="34" t="inlineStr">
        <is>
          <t>SCH-01-007</t>
        </is>
      </c>
      <c r="C578" s="34" t="inlineStr">
        <is>
          <t>New</t>
        </is>
      </c>
      <c r="D578" s="34" t="inlineStr">
        <is>
          <t>Record first supplied in this revision</t>
        </is>
      </c>
      <c r="E578" s="39" t="inlineStr"/>
      <c r="F578" s="100" t="inlineStr">
        <is>
          <t>10 EVIDENCE &amp; DECISIONS</t>
        </is>
      </c>
      <c r="G578" s="41" t="n"/>
    </row>
    <row r="579" ht="79" customHeight="1">
      <c r="A579" s="34" t="inlineStr">
        <is>
          <t>R8-v1</t>
        </is>
      </c>
      <c r="B579" s="34" t="inlineStr">
        <is>
          <t>SCH-01-008</t>
        </is>
      </c>
      <c r="C579" s="34" t="inlineStr">
        <is>
          <t>New</t>
        </is>
      </c>
      <c r="D579" s="34" t="inlineStr">
        <is>
          <t>Record first supplied in this revision</t>
        </is>
      </c>
      <c r="E579" s="39" t="inlineStr"/>
      <c r="F579" s="100" t="inlineStr">
        <is>
          <t>10 EVIDENCE &amp; DECISIONS</t>
        </is>
      </c>
      <c r="G579" s="41" t="n"/>
    </row>
    <row r="580" ht="79" customHeight="1">
      <c r="A580" s="34" t="inlineStr">
        <is>
          <t>R9-v1</t>
        </is>
      </c>
      <c r="B580" s="34" t="inlineStr">
        <is>
          <t>SCH-01-009</t>
        </is>
      </c>
      <c r="C580" s="34" t="inlineStr">
        <is>
          <t>New</t>
        </is>
      </c>
      <c r="D580" s="34" t="inlineStr">
        <is>
          <t>Record first supplied in this revision</t>
        </is>
      </c>
      <c r="E580" s="39" t="inlineStr"/>
      <c r="F580" s="100" t="inlineStr">
        <is>
          <t>10 EVIDENCE &amp; DECISIONS</t>
        </is>
      </c>
      <c r="G580" s="41" t="n"/>
    </row>
    <row r="581" ht="79" customHeight="1">
      <c r="A581" s="34" t="inlineStr">
        <is>
          <t>R10-v1</t>
        </is>
      </c>
      <c r="B581" s="34" t="inlineStr">
        <is>
          <t>SCH-01-010</t>
        </is>
      </c>
      <c r="C581" s="34" t="inlineStr">
        <is>
          <t>New</t>
        </is>
      </c>
      <c r="D581" s="34" t="inlineStr">
        <is>
          <t>Record first supplied in this revision</t>
        </is>
      </c>
      <c r="E581" s="39" t="inlineStr"/>
      <c r="F581" s="100" t="inlineStr">
        <is>
          <t>10 EVIDENCE &amp; DECISIONS</t>
        </is>
      </c>
      <c r="G581" s="41" t="n"/>
    </row>
    <row r="582" ht="79" customHeight="1">
      <c r="A582" s="34" t="inlineStr">
        <is>
          <t>R11-v1</t>
        </is>
      </c>
      <c r="B582" s="34" t="inlineStr">
        <is>
          <t>SCH-01-011</t>
        </is>
      </c>
      <c r="C582" s="34" t="inlineStr">
        <is>
          <t>New</t>
        </is>
      </c>
      <c r="D582" s="34" t="inlineStr">
        <is>
          <t>Record first supplied in this revision</t>
        </is>
      </c>
      <c r="E582" s="39" t="inlineStr"/>
      <c r="F582" s="100" t="inlineStr">
        <is>
          <t>10 EVIDENCE &amp; DECISIONS</t>
        </is>
      </c>
      <c r="G582" s="41" t="n"/>
    </row>
    <row r="583" ht="79" customHeight="1">
      <c r="A583" s="34" t="inlineStr">
        <is>
          <t>R12-v1</t>
        </is>
      </c>
      <c r="B583" s="34" t="inlineStr">
        <is>
          <t>SCH-01-012</t>
        </is>
      </c>
      <c r="C583" s="34" t="inlineStr">
        <is>
          <t>New</t>
        </is>
      </c>
      <c r="D583" s="34" t="inlineStr">
        <is>
          <t>Record first supplied in this revision</t>
        </is>
      </c>
      <c r="E583" s="39" t="inlineStr"/>
      <c r="F583" s="100" t="inlineStr">
        <is>
          <t>10 EVIDENCE &amp; DECISIONS</t>
        </is>
      </c>
      <c r="G583" s="41" t="n"/>
    </row>
    <row r="584" ht="79" customHeight="1">
      <c r="A584" s="34" t="inlineStr">
        <is>
          <t>R13-v1</t>
        </is>
      </c>
      <c r="B584" s="34" t="inlineStr">
        <is>
          <t>SCH-01-013</t>
        </is>
      </c>
      <c r="C584" s="34" t="inlineStr">
        <is>
          <t>New</t>
        </is>
      </c>
      <c r="D584" s="34" t="inlineStr">
        <is>
          <t>Record first supplied in this revision</t>
        </is>
      </c>
      <c r="E584" s="39" t="inlineStr"/>
      <c r="F584" s="100" t="inlineStr">
        <is>
          <t>10 EVIDENCE &amp; DECISIONS</t>
        </is>
      </c>
      <c r="G584" s="41" t="n"/>
    </row>
    <row r="585" ht="79" customHeight="1">
      <c r="A585" s="34" t="inlineStr">
        <is>
          <t>R14-v1</t>
        </is>
      </c>
      <c r="B585" s="34" t="inlineStr">
        <is>
          <t>SCH-01-014</t>
        </is>
      </c>
      <c r="C585" s="34" t="inlineStr">
        <is>
          <t>New</t>
        </is>
      </c>
      <c r="D585" s="34" t="inlineStr">
        <is>
          <t>Record first supplied in this revision</t>
        </is>
      </c>
      <c r="E585" s="39" t="inlineStr"/>
      <c r="F585" s="100" t="inlineStr">
        <is>
          <t>10 EVIDENCE &amp; DECISIONS</t>
        </is>
      </c>
      <c r="G585" s="41" t="n"/>
    </row>
    <row r="586" ht="79" customHeight="1">
      <c r="A586" s="34" t="inlineStr">
        <is>
          <t>R15-v1</t>
        </is>
      </c>
      <c r="B586" s="34" t="inlineStr">
        <is>
          <t>SCH-01-015</t>
        </is>
      </c>
      <c r="C586" s="34" t="inlineStr">
        <is>
          <t>New</t>
        </is>
      </c>
      <c r="D586" s="34" t="inlineStr">
        <is>
          <t>Record first supplied in this revision</t>
        </is>
      </c>
      <c r="E586" s="39" t="inlineStr"/>
      <c r="F586" s="100" t="inlineStr">
        <is>
          <t>10 EVIDENCE &amp; DECISIONS</t>
        </is>
      </c>
      <c r="G586" s="41" t="n"/>
    </row>
    <row r="587" ht="79" customHeight="1">
      <c r="A587" s="34" t="inlineStr">
        <is>
          <t>R16-v1</t>
        </is>
      </c>
      <c r="B587" s="34" t="inlineStr">
        <is>
          <t>SCH-01-016</t>
        </is>
      </c>
      <c r="C587" s="34" t="inlineStr">
        <is>
          <t>New</t>
        </is>
      </c>
      <c r="D587" s="34" t="inlineStr">
        <is>
          <t>Record first supplied in this revision</t>
        </is>
      </c>
      <c r="E587" s="39" t="inlineStr"/>
      <c r="F587" s="100" t="inlineStr">
        <is>
          <t>10 EVIDENCE &amp; DECISIONS</t>
        </is>
      </c>
      <c r="G587" s="41" t="n"/>
    </row>
    <row r="588" ht="79" customHeight="1">
      <c r="A588" s="34" t="inlineStr">
        <is>
          <t>R17-v1</t>
        </is>
      </c>
      <c r="B588" s="34" t="inlineStr">
        <is>
          <t>SCH-01-017</t>
        </is>
      </c>
      <c r="C588" s="34" t="inlineStr">
        <is>
          <t>New</t>
        </is>
      </c>
      <c r="D588" s="34" t="inlineStr">
        <is>
          <t>Record first supplied in this revision</t>
        </is>
      </c>
      <c r="E588" s="39" t="inlineStr"/>
      <c r="F588" s="100" t="inlineStr">
        <is>
          <t>10 EVIDENCE &amp; DECISIONS</t>
        </is>
      </c>
      <c r="G588" s="41" t="n"/>
    </row>
    <row r="589" ht="79" customHeight="1">
      <c r="A589" s="34" t="inlineStr">
        <is>
          <t>R18-v1</t>
        </is>
      </c>
      <c r="B589" s="34" t="inlineStr">
        <is>
          <t>SCH-01-018</t>
        </is>
      </c>
      <c r="C589" s="34" t="inlineStr">
        <is>
          <t>New</t>
        </is>
      </c>
      <c r="D589" s="34" t="inlineStr">
        <is>
          <t>Record first supplied in this revision</t>
        </is>
      </c>
      <c r="E589" s="39" t="inlineStr"/>
      <c r="F589" s="100" t="inlineStr">
        <is>
          <t>10 EVIDENCE &amp; DECISIONS</t>
        </is>
      </c>
      <c r="G589" s="41" t="n"/>
    </row>
    <row r="590" ht="79" customHeight="1">
      <c r="A590" s="34" t="inlineStr">
        <is>
          <t>R19-v1</t>
        </is>
      </c>
      <c r="B590" s="34" t="inlineStr">
        <is>
          <t>SCH-01-019</t>
        </is>
      </c>
      <c r="C590" s="34" t="inlineStr">
        <is>
          <t>New</t>
        </is>
      </c>
      <c r="D590" s="34" t="inlineStr">
        <is>
          <t>Record first supplied in this revision</t>
        </is>
      </c>
      <c r="E590" s="39" t="inlineStr"/>
      <c r="F590" s="100" t="inlineStr">
        <is>
          <t>10 EVIDENCE &amp; DECISIONS</t>
        </is>
      </c>
      <c r="G590" s="41" t="n"/>
    </row>
    <row r="591" ht="79" customHeight="1">
      <c r="A591" s="34" t="inlineStr">
        <is>
          <t>R20-v1</t>
        </is>
      </c>
      <c r="B591" s="34" t="inlineStr">
        <is>
          <t>SCH-01-020</t>
        </is>
      </c>
      <c r="C591" s="34" t="inlineStr">
        <is>
          <t>New</t>
        </is>
      </c>
      <c r="D591" s="34" t="inlineStr">
        <is>
          <t>Record first supplied in this revision</t>
        </is>
      </c>
      <c r="E591" s="39" t="inlineStr"/>
      <c r="F591" s="100" t="inlineStr">
        <is>
          <t>10 EVIDENCE &amp; DECISIONS</t>
        </is>
      </c>
      <c r="G591" s="41" t="n"/>
    </row>
    <row r="592" ht="79" customHeight="1">
      <c r="A592" s="34" t="inlineStr">
        <is>
          <t>R21-v1</t>
        </is>
      </c>
      <c r="B592" s="34" t="inlineStr">
        <is>
          <t>SCH-01-021</t>
        </is>
      </c>
      <c r="C592" s="34" t="inlineStr">
        <is>
          <t>New</t>
        </is>
      </c>
      <c r="D592" s="34" t="inlineStr">
        <is>
          <t>Record first supplied in this revision</t>
        </is>
      </c>
      <c r="E592" s="39" t="inlineStr"/>
      <c r="F592" s="100" t="inlineStr">
        <is>
          <t>10 EVIDENCE &amp; DECISIONS</t>
        </is>
      </c>
      <c r="G592" s="41" t="n"/>
    </row>
    <row r="593" ht="79" customHeight="1">
      <c r="A593" s="34" t="inlineStr">
        <is>
          <t>R22-v1</t>
        </is>
      </c>
      <c r="B593" s="34" t="inlineStr">
        <is>
          <t>SCH-01-022</t>
        </is>
      </c>
      <c r="C593" s="34" t="inlineStr">
        <is>
          <t>New</t>
        </is>
      </c>
      <c r="D593" s="34" t="inlineStr">
        <is>
          <t>Record first supplied in this revision</t>
        </is>
      </c>
      <c r="E593" s="39" t="inlineStr"/>
      <c r="F593" s="100" t="inlineStr">
        <is>
          <t>10 EVIDENCE &amp; DECISIONS</t>
        </is>
      </c>
      <c r="G593" s="41" t="n"/>
    </row>
    <row r="594" ht="79" customHeight="1">
      <c r="A594" s="34" t="inlineStr">
        <is>
          <t>R23-v1</t>
        </is>
      </c>
      <c r="B594" s="34" t="inlineStr">
        <is>
          <t>SCH-01-023</t>
        </is>
      </c>
      <c r="C594" s="34" t="inlineStr">
        <is>
          <t>New</t>
        </is>
      </c>
      <c r="D594" s="34" t="inlineStr">
        <is>
          <t>Record first supplied in this revision</t>
        </is>
      </c>
      <c r="E594" s="39" t="inlineStr"/>
      <c r="F594" s="100" t="inlineStr">
        <is>
          <t>10 EVIDENCE &amp; DECISIONS</t>
        </is>
      </c>
      <c r="G594" s="41" t="n"/>
    </row>
    <row r="595" ht="79" customHeight="1">
      <c r="A595" s="34" t="inlineStr">
        <is>
          <t>R24-v1</t>
        </is>
      </c>
      <c r="B595" s="34" t="inlineStr">
        <is>
          <t>SCH-01-024</t>
        </is>
      </c>
      <c r="C595" s="34" t="inlineStr">
        <is>
          <t>New</t>
        </is>
      </c>
      <c r="D595" s="34" t="inlineStr">
        <is>
          <t>Record first supplied in this revision</t>
        </is>
      </c>
      <c r="E595" s="39" t="inlineStr"/>
      <c r="F595" s="100" t="inlineStr">
        <is>
          <t>10 EVIDENCE &amp; DECISIONS</t>
        </is>
      </c>
      <c r="G595" s="41" t="n"/>
    </row>
    <row r="596" ht="79" customHeight="1">
      <c r="A596" s="34" t="inlineStr">
        <is>
          <t>R25-v1</t>
        </is>
      </c>
      <c r="B596" s="34" t="inlineStr">
        <is>
          <t>SCH-01-025</t>
        </is>
      </c>
      <c r="C596" s="34" t="inlineStr">
        <is>
          <t>New</t>
        </is>
      </c>
      <c r="D596" s="34" t="inlineStr">
        <is>
          <t>Record first supplied in this revision</t>
        </is>
      </c>
      <c r="E596" s="39" t="inlineStr"/>
      <c r="F596" s="100" t="inlineStr">
        <is>
          <t>10 EVIDENCE &amp; DECISIONS</t>
        </is>
      </c>
      <c r="G596" s="41" t="n"/>
    </row>
    <row r="597" ht="79" customHeight="1">
      <c r="A597" s="34" t="inlineStr">
        <is>
          <t>R26-v1</t>
        </is>
      </c>
      <c r="B597" s="34" t="inlineStr">
        <is>
          <t>SCH-01-026</t>
        </is>
      </c>
      <c r="C597" s="34" t="inlineStr">
        <is>
          <t>New</t>
        </is>
      </c>
      <c r="D597" s="34" t="inlineStr">
        <is>
          <t>Record first supplied in this revision</t>
        </is>
      </c>
      <c r="E597" s="39" t="inlineStr"/>
      <c r="F597" s="100" t="inlineStr">
        <is>
          <t>10 EVIDENCE &amp; DECISIONS</t>
        </is>
      </c>
      <c r="G597" s="41" t="n"/>
    </row>
    <row r="598" ht="79" customHeight="1">
      <c r="A598" s="34" t="inlineStr">
        <is>
          <t>R27-v1</t>
        </is>
      </c>
      <c r="B598" s="34" t="inlineStr">
        <is>
          <t>SCH-01-027</t>
        </is>
      </c>
      <c r="C598" s="34" t="inlineStr">
        <is>
          <t>New</t>
        </is>
      </c>
      <c r="D598" s="34" t="inlineStr">
        <is>
          <t>Record first supplied in this revision</t>
        </is>
      </c>
      <c r="E598" s="39" t="inlineStr"/>
      <c r="F598" s="100" t="inlineStr">
        <is>
          <t>10 EVIDENCE &amp; DECISIONS</t>
        </is>
      </c>
      <c r="G598" s="41" t="n"/>
    </row>
    <row r="599" ht="79" customHeight="1">
      <c r="A599" s="34" t="inlineStr">
        <is>
          <t>R28-v1</t>
        </is>
      </c>
      <c r="B599" s="34" t="inlineStr">
        <is>
          <t>SCH-01-028</t>
        </is>
      </c>
      <c r="C599" s="34" t="inlineStr">
        <is>
          <t>New</t>
        </is>
      </c>
      <c r="D599" s="34" t="inlineStr">
        <is>
          <t>Record first supplied in this revision</t>
        </is>
      </c>
      <c r="E599" s="39" t="inlineStr"/>
      <c r="F599" s="100" t="inlineStr">
        <is>
          <t>10 EVIDENCE &amp; DECISIONS</t>
        </is>
      </c>
      <c r="G599" s="41" t="n"/>
    </row>
    <row r="600" ht="79" customHeight="1">
      <c r="A600" s="34" t="inlineStr">
        <is>
          <t>R29-v1</t>
        </is>
      </c>
      <c r="B600" s="34" t="inlineStr">
        <is>
          <t>SCH-01-029</t>
        </is>
      </c>
      <c r="C600" s="34" t="inlineStr">
        <is>
          <t>New</t>
        </is>
      </c>
      <c r="D600" s="34" t="inlineStr">
        <is>
          <t>Record first supplied in this revision</t>
        </is>
      </c>
      <c r="E600" s="39" t="inlineStr"/>
      <c r="F600" s="100" t="inlineStr">
        <is>
          <t>10 EVIDENCE &amp; DECISIONS</t>
        </is>
      </c>
      <c r="G600" s="41" t="n"/>
    </row>
    <row r="601" ht="79" customHeight="1">
      <c r="A601" s="34" t="inlineStr">
        <is>
          <t>R30-v1</t>
        </is>
      </c>
      <c r="B601" s="34" t="inlineStr">
        <is>
          <t>SCH-01-030</t>
        </is>
      </c>
      <c r="C601" s="34" t="inlineStr">
        <is>
          <t>New</t>
        </is>
      </c>
      <c r="D601" s="34" t="inlineStr">
        <is>
          <t>Record first supplied in this revision</t>
        </is>
      </c>
      <c r="E601" s="39" t="inlineStr"/>
      <c r="F601" s="100" t="inlineStr">
        <is>
          <t>10 EVIDENCE &amp; DECISIONS</t>
        </is>
      </c>
      <c r="G601" s="41" t="n"/>
    </row>
    <row r="602" ht="79" customHeight="1">
      <c r="A602" s="34" t="inlineStr">
        <is>
          <t>R31-v1</t>
        </is>
      </c>
      <c r="B602" s="34" t="inlineStr">
        <is>
          <t>SCH-01-031</t>
        </is>
      </c>
      <c r="C602" s="34" t="inlineStr">
        <is>
          <t>New</t>
        </is>
      </c>
      <c r="D602" s="34" t="inlineStr">
        <is>
          <t>Record first supplied in this revision</t>
        </is>
      </c>
      <c r="E602" s="39" t="inlineStr"/>
      <c r="F602" s="100" t="inlineStr">
        <is>
          <t>10 EVIDENCE &amp; DECISIONS</t>
        </is>
      </c>
      <c r="G602" s="41" t="n"/>
    </row>
    <row r="603" ht="79" customHeight="1">
      <c r="A603" s="34" t="inlineStr">
        <is>
          <t>R32-v1</t>
        </is>
      </c>
      <c r="B603" s="34" t="inlineStr">
        <is>
          <t>SCH-01-032</t>
        </is>
      </c>
      <c r="C603" s="34" t="inlineStr">
        <is>
          <t>New</t>
        </is>
      </c>
      <c r="D603" s="34" t="inlineStr">
        <is>
          <t>Record first supplied in this revision</t>
        </is>
      </c>
      <c r="E603" s="39" t="inlineStr"/>
      <c r="F603" s="100" t="inlineStr">
        <is>
          <t>10 EVIDENCE &amp; DECISIONS</t>
        </is>
      </c>
      <c r="G603" s="41" t="n"/>
    </row>
    <row r="604" ht="79" customHeight="1">
      <c r="A604" s="34" t="inlineStr">
        <is>
          <t>R33-v1</t>
        </is>
      </c>
      <c r="B604" s="34" t="inlineStr">
        <is>
          <t>SCH-01-033</t>
        </is>
      </c>
      <c r="C604" s="34" t="inlineStr">
        <is>
          <t>New</t>
        </is>
      </c>
      <c r="D604" s="34" t="inlineStr">
        <is>
          <t>Record first supplied in this revision</t>
        </is>
      </c>
      <c r="E604" s="39" t="inlineStr"/>
      <c r="F604" s="100" t="inlineStr">
        <is>
          <t>10 EVIDENCE &amp; DECISIONS</t>
        </is>
      </c>
      <c r="G604" s="41" t="n"/>
    </row>
    <row r="605" ht="79" customHeight="1">
      <c r="A605" s="34" t="inlineStr">
        <is>
          <t>R34-v1</t>
        </is>
      </c>
      <c r="B605" s="34" t="inlineStr">
        <is>
          <t>SCH-01-034</t>
        </is>
      </c>
      <c r="C605" s="34" t="inlineStr">
        <is>
          <t>New</t>
        </is>
      </c>
      <c r="D605" s="34" t="inlineStr">
        <is>
          <t>Record first supplied in this revision</t>
        </is>
      </c>
      <c r="E605" s="39" t="inlineStr"/>
      <c r="F605" s="100" t="inlineStr">
        <is>
          <t>10 EVIDENCE &amp; DECISIONS</t>
        </is>
      </c>
      <c r="G605" s="41" t="n"/>
    </row>
    <row r="606" ht="79" customHeight="1">
      <c r="A606" s="34" t="inlineStr">
        <is>
          <t>R35-v1</t>
        </is>
      </c>
      <c r="B606" s="34" t="inlineStr">
        <is>
          <t>SCH-01-035</t>
        </is>
      </c>
      <c r="C606" s="34" t="inlineStr">
        <is>
          <t>New</t>
        </is>
      </c>
      <c r="D606" s="34" t="inlineStr">
        <is>
          <t>Record first supplied in this revision</t>
        </is>
      </c>
      <c r="E606" s="39" t="inlineStr"/>
      <c r="F606" s="100" t="inlineStr">
        <is>
          <t>10 EVIDENCE &amp; DECISIONS</t>
        </is>
      </c>
      <c r="G606" s="41" t="n"/>
    </row>
    <row r="607" ht="79" customHeight="1">
      <c r="A607" s="34" t="inlineStr">
        <is>
          <t>R36-v1</t>
        </is>
      </c>
      <c r="B607" s="34" t="inlineStr">
        <is>
          <t>SCH-01-036</t>
        </is>
      </c>
      <c r="C607" s="34" t="inlineStr">
        <is>
          <t>New</t>
        </is>
      </c>
      <c r="D607" s="34" t="inlineStr">
        <is>
          <t>Record first supplied in this revision</t>
        </is>
      </c>
      <c r="E607" s="39" t="inlineStr"/>
      <c r="F607" s="100" t="inlineStr">
        <is>
          <t>10 EVIDENCE &amp; DECISIONS</t>
        </is>
      </c>
      <c r="G607" s="41" t="n"/>
    </row>
    <row r="608" ht="79" customHeight="1">
      <c r="A608" s="34" t="inlineStr">
        <is>
          <t>R37-v1</t>
        </is>
      </c>
      <c r="B608" s="34" t="inlineStr">
        <is>
          <t>SCH-01-037</t>
        </is>
      </c>
      <c r="C608" s="34" t="inlineStr">
        <is>
          <t>New</t>
        </is>
      </c>
      <c r="D608" s="34" t="inlineStr">
        <is>
          <t>Record first supplied in this revision</t>
        </is>
      </c>
      <c r="E608" s="39" t="inlineStr"/>
      <c r="F608" s="100" t="inlineStr">
        <is>
          <t>10 EVIDENCE &amp; DECISIONS</t>
        </is>
      </c>
      <c r="G608" s="41" t="n"/>
    </row>
    <row r="609" ht="79" customHeight="1">
      <c r="A609" s="34" t="inlineStr">
        <is>
          <t>R38-v1</t>
        </is>
      </c>
      <c r="B609" s="34" t="inlineStr">
        <is>
          <t>SCH-01-038</t>
        </is>
      </c>
      <c r="C609" s="34" t="inlineStr">
        <is>
          <t>New</t>
        </is>
      </c>
      <c r="D609" s="34" t="inlineStr">
        <is>
          <t>Record first supplied in this revision</t>
        </is>
      </c>
      <c r="E609" s="39" t="inlineStr"/>
      <c r="F609" s="100" t="inlineStr">
        <is>
          <t>10 EVIDENCE &amp; DECISIONS</t>
        </is>
      </c>
      <c r="G609" s="41" t="n"/>
    </row>
    <row r="610" ht="79" customHeight="1">
      <c r="A610" s="34" t="inlineStr">
        <is>
          <t>R39-v1</t>
        </is>
      </c>
      <c r="B610" s="34" t="inlineStr">
        <is>
          <t>SCH-01-039</t>
        </is>
      </c>
      <c r="C610" s="34" t="inlineStr">
        <is>
          <t>New</t>
        </is>
      </c>
      <c r="D610" s="34" t="inlineStr">
        <is>
          <t>Record first supplied in this revision</t>
        </is>
      </c>
      <c r="E610" s="39" t="inlineStr"/>
      <c r="F610" s="100" t="inlineStr">
        <is>
          <t>10 EVIDENCE &amp; DECISIONS</t>
        </is>
      </c>
      <c r="G610" s="41" t="n"/>
    </row>
    <row r="611" ht="79" customHeight="1">
      <c r="A611" s="34" t="inlineStr">
        <is>
          <t>R40-v1</t>
        </is>
      </c>
      <c r="B611" s="34" t="inlineStr">
        <is>
          <t>SCH-01-040</t>
        </is>
      </c>
      <c r="C611" s="34" t="inlineStr">
        <is>
          <t>New</t>
        </is>
      </c>
      <c r="D611" s="34" t="inlineStr">
        <is>
          <t>Record first supplied in this revision</t>
        </is>
      </c>
      <c r="E611" s="39" t="inlineStr"/>
      <c r="F611" s="100" t="inlineStr">
        <is>
          <t>10 EVIDENCE &amp; DECISIONS</t>
        </is>
      </c>
      <c r="G611" s="41" t="n"/>
    </row>
    <row r="612" ht="79" customHeight="1">
      <c r="A612" s="34" t="inlineStr">
        <is>
          <t>R41-v1</t>
        </is>
      </c>
      <c r="B612" s="34" t="inlineStr">
        <is>
          <t>SCH-01-041</t>
        </is>
      </c>
      <c r="C612" s="34" t="inlineStr">
        <is>
          <t>New</t>
        </is>
      </c>
      <c r="D612" s="34" t="inlineStr">
        <is>
          <t>Record first supplied in this revision</t>
        </is>
      </c>
      <c r="E612" s="39" t="inlineStr"/>
      <c r="F612" s="100" t="inlineStr">
        <is>
          <t>10 EVIDENCE &amp; DECISIONS</t>
        </is>
      </c>
      <c r="G612" s="41" t="n"/>
    </row>
    <row r="613" ht="79" customHeight="1">
      <c r="A613" s="34" t="inlineStr">
        <is>
          <t>R42-v1</t>
        </is>
      </c>
      <c r="B613" s="34" t="inlineStr">
        <is>
          <t>SCH-01-042</t>
        </is>
      </c>
      <c r="C613" s="34" t="inlineStr">
        <is>
          <t>New</t>
        </is>
      </c>
      <c r="D613" s="34" t="inlineStr">
        <is>
          <t>Record first supplied in this revision</t>
        </is>
      </c>
      <c r="E613" s="39" t="inlineStr"/>
      <c r="F613" s="100" t="inlineStr">
        <is>
          <t>10 EVIDENCE &amp; DECISIONS</t>
        </is>
      </c>
      <c r="G613" s="41" t="n"/>
    </row>
    <row r="614" ht="79" customHeight="1">
      <c r="A614" s="34" t="inlineStr">
        <is>
          <t>R43-v1</t>
        </is>
      </c>
      <c r="B614" s="34" t="inlineStr">
        <is>
          <t>SCH-01-043</t>
        </is>
      </c>
      <c r="C614" s="34" t="inlineStr">
        <is>
          <t>New</t>
        </is>
      </c>
      <c r="D614" s="34" t="inlineStr">
        <is>
          <t>Record first supplied in this revision</t>
        </is>
      </c>
      <c r="E614" s="39" t="inlineStr"/>
      <c r="F614" s="100" t="inlineStr">
        <is>
          <t>10 EVIDENCE &amp; DECISIONS</t>
        </is>
      </c>
      <c r="G614" s="41" t="n"/>
    </row>
    <row r="615" ht="79" customHeight="1">
      <c r="A615" s="34" t="inlineStr">
        <is>
          <t>R44-v1</t>
        </is>
      </c>
      <c r="B615" s="34" t="inlineStr">
        <is>
          <t>SCH-01-044</t>
        </is>
      </c>
      <c r="C615" s="34" t="inlineStr">
        <is>
          <t>New</t>
        </is>
      </c>
      <c r="D615" s="34" t="inlineStr">
        <is>
          <t>Record first supplied in this revision</t>
        </is>
      </c>
      <c r="E615" s="39" t="inlineStr"/>
      <c r="F615" s="100" t="inlineStr">
        <is>
          <t>10 EVIDENCE &amp; DECISIONS</t>
        </is>
      </c>
      <c r="G615" s="41" t="n"/>
    </row>
    <row r="616" ht="79" customHeight="1">
      <c r="A616" s="34" t="inlineStr">
        <is>
          <t>R45-v1</t>
        </is>
      </c>
      <c r="B616" s="34" t="inlineStr">
        <is>
          <t>SCH-01-045</t>
        </is>
      </c>
      <c r="C616" s="34" t="inlineStr">
        <is>
          <t>New</t>
        </is>
      </c>
      <c r="D616" s="34" t="inlineStr">
        <is>
          <t>Record first supplied in this revision</t>
        </is>
      </c>
      <c r="E616" s="39" t="inlineStr"/>
      <c r="F616" s="100" t="inlineStr">
        <is>
          <t>10 EVIDENCE &amp; DECISIONS</t>
        </is>
      </c>
      <c r="G616" s="41" t="n"/>
    </row>
    <row r="617" ht="79" customHeight="1">
      <c r="A617" s="34" t="inlineStr">
        <is>
          <t>R46-v1</t>
        </is>
      </c>
      <c r="B617" s="34" t="inlineStr">
        <is>
          <t>SCH-01-046</t>
        </is>
      </c>
      <c r="C617" s="34" t="inlineStr">
        <is>
          <t>New</t>
        </is>
      </c>
      <c r="D617" s="34" t="inlineStr">
        <is>
          <t>Record first supplied in this revision</t>
        </is>
      </c>
      <c r="E617" s="39" t="inlineStr"/>
      <c r="F617" s="100" t="inlineStr">
        <is>
          <t>10 EVIDENCE &amp; DECISIONS</t>
        </is>
      </c>
      <c r="G617" s="41" t="n"/>
    </row>
    <row r="618" ht="79" customHeight="1">
      <c r="A618" s="34" t="inlineStr">
        <is>
          <t>R47-v1</t>
        </is>
      </c>
      <c r="B618" s="34" t="inlineStr">
        <is>
          <t>SCH-01-047</t>
        </is>
      </c>
      <c r="C618" s="34" t="inlineStr">
        <is>
          <t>New</t>
        </is>
      </c>
      <c r="D618" s="34" t="inlineStr">
        <is>
          <t>Record first supplied in this revision</t>
        </is>
      </c>
      <c r="E618" s="39" t="inlineStr"/>
      <c r="F618" s="100" t="inlineStr">
        <is>
          <t>10 EVIDENCE &amp; DECISIONS</t>
        </is>
      </c>
      <c r="G618" s="41" t="n"/>
    </row>
    <row r="619" ht="79" customHeight="1">
      <c r="A619" s="34" t="inlineStr">
        <is>
          <t>R48-v1</t>
        </is>
      </c>
      <c r="B619" s="34" t="inlineStr">
        <is>
          <t>SCH-01-048</t>
        </is>
      </c>
      <c r="C619" s="34" t="inlineStr">
        <is>
          <t>New</t>
        </is>
      </c>
      <c r="D619" s="34" t="inlineStr">
        <is>
          <t>Record first supplied in this revision</t>
        </is>
      </c>
      <c r="E619" s="39" t="inlineStr"/>
      <c r="F619" s="100" t="inlineStr">
        <is>
          <t>10 EVIDENCE &amp; DECISIONS</t>
        </is>
      </c>
      <c r="G619" s="41" t="n"/>
    </row>
    <row r="620" ht="79" customHeight="1">
      <c r="A620" s="34" t="inlineStr">
        <is>
          <t>R49-v1</t>
        </is>
      </c>
      <c r="B620" s="34" t="inlineStr">
        <is>
          <t>SCH-01-049</t>
        </is>
      </c>
      <c r="C620" s="34" t="inlineStr">
        <is>
          <t>New</t>
        </is>
      </c>
      <c r="D620" s="34" t="inlineStr">
        <is>
          <t>Record first supplied in this revision</t>
        </is>
      </c>
      <c r="E620" s="39" t="inlineStr"/>
      <c r="F620" s="100" t="inlineStr">
        <is>
          <t>10 EVIDENCE &amp; DECISIONS</t>
        </is>
      </c>
      <c r="G620" s="41" t="n"/>
    </row>
    <row r="621" ht="79" customHeight="1">
      <c r="A621" s="34" t="inlineStr">
        <is>
          <t>R50-v1</t>
        </is>
      </c>
      <c r="B621" s="34" t="inlineStr">
        <is>
          <t>SCH-01-050</t>
        </is>
      </c>
      <c r="C621" s="34" t="inlineStr">
        <is>
          <t>New</t>
        </is>
      </c>
      <c r="D621" s="34" t="inlineStr">
        <is>
          <t>Record first supplied in this revision</t>
        </is>
      </c>
      <c r="E621" s="39" t="inlineStr"/>
      <c r="F621" s="100" t="inlineStr">
        <is>
          <t>10 EVIDENCE &amp; DECISIONS</t>
        </is>
      </c>
      <c r="G621" s="41" t="n"/>
    </row>
    <row r="622" ht="79" customHeight="1">
      <c r="A622" s="34" t="inlineStr">
        <is>
          <t>R51-v1</t>
        </is>
      </c>
      <c r="B622" s="34" t="inlineStr">
        <is>
          <t>SCH-01-051</t>
        </is>
      </c>
      <c r="C622" s="34" t="inlineStr">
        <is>
          <t>New</t>
        </is>
      </c>
      <c r="D622" s="34" t="inlineStr">
        <is>
          <t>Record first supplied in this revision</t>
        </is>
      </c>
      <c r="E622" s="39" t="inlineStr"/>
      <c r="F622" s="100" t="inlineStr">
        <is>
          <t>10 EVIDENCE &amp; DECISIONS</t>
        </is>
      </c>
      <c r="G622" s="41" t="n"/>
    </row>
    <row r="623" ht="79" customHeight="1">
      <c r="A623" s="34" t="inlineStr">
        <is>
          <t>R52-v1</t>
        </is>
      </c>
      <c r="B623" s="34" t="inlineStr">
        <is>
          <t>SCH-01-052</t>
        </is>
      </c>
      <c r="C623" s="34" t="inlineStr">
        <is>
          <t>New</t>
        </is>
      </c>
      <c r="D623" s="34" t="inlineStr">
        <is>
          <t>Record first supplied in this revision</t>
        </is>
      </c>
      <c r="E623" s="39" t="inlineStr"/>
      <c r="F623" s="100" t="inlineStr">
        <is>
          <t>10 EVIDENCE &amp; DECISIONS</t>
        </is>
      </c>
      <c r="G623" s="41" t="n"/>
    </row>
    <row r="624" ht="79" customHeight="1">
      <c r="A624" s="34" t="inlineStr">
        <is>
          <t>R53-v1</t>
        </is>
      </c>
      <c r="B624" s="34" t="inlineStr">
        <is>
          <t>SCH-01-053</t>
        </is>
      </c>
      <c r="C624" s="34" t="inlineStr">
        <is>
          <t>New</t>
        </is>
      </c>
      <c r="D624" s="34" t="inlineStr">
        <is>
          <t>Record first supplied in this revision</t>
        </is>
      </c>
      <c r="E624" s="39" t="inlineStr"/>
      <c r="F624" s="100" t="inlineStr">
        <is>
          <t>10 EVIDENCE &amp; DECISIONS</t>
        </is>
      </c>
      <c r="G624" s="41" t="n"/>
    </row>
    <row r="625" ht="79" customHeight="1">
      <c r="A625" s="34" t="inlineStr">
        <is>
          <t>R54-v1</t>
        </is>
      </c>
      <c r="B625" s="34" t="inlineStr">
        <is>
          <t>SCH-01-054</t>
        </is>
      </c>
      <c r="C625" s="34" t="inlineStr">
        <is>
          <t>New</t>
        </is>
      </c>
      <c r="D625" s="34" t="inlineStr">
        <is>
          <t>Record first supplied in this revision</t>
        </is>
      </c>
      <c r="E625" s="39" t="inlineStr"/>
      <c r="F625" s="100" t="inlineStr">
        <is>
          <t>10 EVIDENCE &amp; DECISIONS</t>
        </is>
      </c>
      <c r="G625" s="41" t="n"/>
    </row>
    <row r="626" ht="79" customHeight="1">
      <c r="A626" s="34" t="inlineStr">
        <is>
          <t>R55-v1</t>
        </is>
      </c>
      <c r="B626" s="34" t="inlineStr">
        <is>
          <t>SCH-01-055</t>
        </is>
      </c>
      <c r="C626" s="34" t="inlineStr">
        <is>
          <t>New</t>
        </is>
      </c>
      <c r="D626" s="34" t="inlineStr">
        <is>
          <t>Record first supplied in this revision</t>
        </is>
      </c>
      <c r="E626" s="39" t="inlineStr"/>
      <c r="F626" s="100" t="inlineStr">
        <is>
          <t>10 EVIDENCE &amp; DECISIONS</t>
        </is>
      </c>
      <c r="G626" s="41" t="n"/>
    </row>
    <row r="627" ht="79" customHeight="1">
      <c r="A627" s="34" t="inlineStr">
        <is>
          <t>R56-v1</t>
        </is>
      </c>
      <c r="B627" s="34" t="inlineStr">
        <is>
          <t>SCH-01-056</t>
        </is>
      </c>
      <c r="C627" s="34" t="inlineStr">
        <is>
          <t>New</t>
        </is>
      </c>
      <c r="D627" s="34" t="inlineStr">
        <is>
          <t>Record first supplied in this revision</t>
        </is>
      </c>
      <c r="E627" s="39" t="inlineStr"/>
      <c r="F627" s="100" t="inlineStr">
        <is>
          <t>10 EVIDENCE &amp; DECISIONS</t>
        </is>
      </c>
      <c r="G627" s="41" t="n"/>
    </row>
    <row r="628" ht="79" customHeight="1">
      <c r="A628" s="34" t="inlineStr">
        <is>
          <t>R57-v1</t>
        </is>
      </c>
      <c r="B628" s="34" t="inlineStr">
        <is>
          <t>SCH-01-057</t>
        </is>
      </c>
      <c r="C628" s="34" t="inlineStr">
        <is>
          <t>New</t>
        </is>
      </c>
      <c r="D628" s="34" t="inlineStr">
        <is>
          <t>Record first supplied in this revision</t>
        </is>
      </c>
      <c r="E628" s="39" t="inlineStr"/>
      <c r="F628" s="100" t="inlineStr">
        <is>
          <t>10 EVIDENCE &amp; DECISIONS</t>
        </is>
      </c>
      <c r="G628" s="41" t="n"/>
    </row>
    <row r="629" ht="79" customHeight="1">
      <c r="A629" s="34" t="inlineStr">
        <is>
          <t>R58-v1</t>
        </is>
      </c>
      <c r="B629" s="34" t="inlineStr">
        <is>
          <t>SCH-01-058</t>
        </is>
      </c>
      <c r="C629" s="34" t="inlineStr">
        <is>
          <t>New</t>
        </is>
      </c>
      <c r="D629" s="34" t="inlineStr">
        <is>
          <t>Record first supplied in this revision</t>
        </is>
      </c>
      <c r="E629" s="39" t="inlineStr"/>
      <c r="F629" s="100" t="inlineStr">
        <is>
          <t>10 EVIDENCE &amp; DECISIONS</t>
        </is>
      </c>
      <c r="G629" s="41" t="n"/>
    </row>
    <row r="630" ht="79" customHeight="1">
      <c r="A630" s="34" t="inlineStr">
        <is>
          <t>R59-v1</t>
        </is>
      </c>
      <c r="B630" s="34" t="inlineStr">
        <is>
          <t>SCH-01-059</t>
        </is>
      </c>
      <c r="C630" s="34" t="inlineStr">
        <is>
          <t>New</t>
        </is>
      </c>
      <c r="D630" s="34" t="inlineStr">
        <is>
          <t>Record first supplied in this revision</t>
        </is>
      </c>
      <c r="E630" s="39" t="inlineStr"/>
      <c r="F630" s="100" t="inlineStr">
        <is>
          <t>10 EVIDENCE &amp; DECISIONS</t>
        </is>
      </c>
      <c r="G630" s="41" t="n"/>
    </row>
    <row r="631" ht="79" customHeight="1">
      <c r="A631" s="34" t="inlineStr">
        <is>
          <t>R60-v1</t>
        </is>
      </c>
      <c r="B631" s="34" t="inlineStr">
        <is>
          <t>SCH-01-060</t>
        </is>
      </c>
      <c r="C631" s="34" t="inlineStr">
        <is>
          <t>New</t>
        </is>
      </c>
      <c r="D631" s="34" t="inlineStr">
        <is>
          <t>Record first supplied in this revision</t>
        </is>
      </c>
      <c r="E631" s="39" t="inlineStr"/>
      <c r="F631" s="100" t="inlineStr">
        <is>
          <t>10 EVIDENCE &amp; DECISIONS</t>
        </is>
      </c>
      <c r="G631" s="41" t="n"/>
    </row>
    <row r="632" ht="79" customHeight="1">
      <c r="A632" s="34" t="inlineStr">
        <is>
          <t>R61-v1</t>
        </is>
      </c>
      <c r="B632" s="34" t="inlineStr">
        <is>
          <t>SCH-01-061</t>
        </is>
      </c>
      <c r="C632" s="34" t="inlineStr">
        <is>
          <t>New</t>
        </is>
      </c>
      <c r="D632" s="34" t="inlineStr">
        <is>
          <t>Record first supplied in this revision</t>
        </is>
      </c>
      <c r="E632" s="39" t="inlineStr"/>
      <c r="F632" s="100" t="inlineStr">
        <is>
          <t>10 EVIDENCE &amp; DECISIONS</t>
        </is>
      </c>
      <c r="G632" s="41" t="n"/>
    </row>
    <row r="633" ht="79" customHeight="1">
      <c r="A633" s="34" t="inlineStr">
        <is>
          <t>R62-v1</t>
        </is>
      </c>
      <c r="B633" s="34" t="inlineStr">
        <is>
          <t>SCH-01-062</t>
        </is>
      </c>
      <c r="C633" s="34" t="inlineStr">
        <is>
          <t>New</t>
        </is>
      </c>
      <c r="D633" s="34" t="inlineStr">
        <is>
          <t>Record first supplied in this revision</t>
        </is>
      </c>
      <c r="E633" s="39" t="inlineStr"/>
      <c r="F633" s="100" t="inlineStr">
        <is>
          <t>10 EVIDENCE &amp; DECISIONS</t>
        </is>
      </c>
      <c r="G633" s="41" t="n"/>
    </row>
    <row r="634" ht="79" customHeight="1">
      <c r="A634" s="34" t="inlineStr">
        <is>
          <t>R63-v1</t>
        </is>
      </c>
      <c r="B634" s="34" t="inlineStr">
        <is>
          <t>SCH-01-063</t>
        </is>
      </c>
      <c r="C634" s="34" t="inlineStr">
        <is>
          <t>New</t>
        </is>
      </c>
      <c r="D634" s="34" t="inlineStr">
        <is>
          <t>Record first supplied in this revision</t>
        </is>
      </c>
      <c r="E634" s="39" t="inlineStr"/>
      <c r="F634" s="100" t="inlineStr">
        <is>
          <t>10 EVIDENCE &amp; DECISIONS</t>
        </is>
      </c>
      <c r="G634" s="41" t="n"/>
    </row>
    <row r="635" ht="79" customHeight="1">
      <c r="A635" s="34" t="inlineStr">
        <is>
          <t>R64-v1</t>
        </is>
      </c>
      <c r="B635" s="34" t="inlineStr">
        <is>
          <t>SCH-01-064</t>
        </is>
      </c>
      <c r="C635" s="34" t="inlineStr">
        <is>
          <t>New</t>
        </is>
      </c>
      <c r="D635" s="34" t="inlineStr">
        <is>
          <t>Record first supplied in this revision</t>
        </is>
      </c>
      <c r="E635" s="39" t="inlineStr"/>
      <c r="F635" s="100" t="inlineStr">
        <is>
          <t>10 EVIDENCE &amp; DECISIONS</t>
        </is>
      </c>
      <c r="G635" s="41" t="n"/>
    </row>
    <row r="636" ht="79" customHeight="1">
      <c r="A636" s="34" t="inlineStr">
        <is>
          <t>R65-v1</t>
        </is>
      </c>
      <c r="B636" s="34" t="inlineStr">
        <is>
          <t>SCH-01-065</t>
        </is>
      </c>
      <c r="C636" s="34" t="inlineStr">
        <is>
          <t>New</t>
        </is>
      </c>
      <c r="D636" s="34" t="inlineStr">
        <is>
          <t>Record first supplied in this revision</t>
        </is>
      </c>
      <c r="E636" s="39" t="inlineStr"/>
      <c r="F636" s="100" t="inlineStr">
        <is>
          <t>10 EVIDENCE &amp; DECISIONS</t>
        </is>
      </c>
      <c r="G636" s="41" t="n"/>
    </row>
    <row r="637" ht="79" customHeight="1">
      <c r="A637" s="34" t="inlineStr">
        <is>
          <t>R66-v1</t>
        </is>
      </c>
      <c r="B637" s="34" t="inlineStr">
        <is>
          <t>SCH-01-066</t>
        </is>
      </c>
      <c r="C637" s="34" t="inlineStr">
        <is>
          <t>New</t>
        </is>
      </c>
      <c r="D637" s="34" t="inlineStr">
        <is>
          <t>Record first supplied in this revision</t>
        </is>
      </c>
      <c r="E637" s="39" t="inlineStr"/>
      <c r="F637" s="100" t="inlineStr">
        <is>
          <t>10 EVIDENCE &amp; DECISIONS</t>
        </is>
      </c>
      <c r="G637" s="41" t="n"/>
    </row>
    <row r="638" ht="79" customHeight="1">
      <c r="A638" s="34" t="inlineStr">
        <is>
          <t>R67-v1</t>
        </is>
      </c>
      <c r="B638" s="34" t="inlineStr">
        <is>
          <t>SCH-01-067</t>
        </is>
      </c>
      <c r="C638" s="34" t="inlineStr">
        <is>
          <t>New</t>
        </is>
      </c>
      <c r="D638" s="34" t="inlineStr">
        <is>
          <t>Record first supplied in this revision</t>
        </is>
      </c>
      <c r="E638" s="39" t="inlineStr"/>
      <c r="F638" s="100" t="inlineStr">
        <is>
          <t>10 EVIDENCE &amp; DECISIONS</t>
        </is>
      </c>
      <c r="G638" s="41" t="n"/>
    </row>
    <row r="639" ht="79" customHeight="1">
      <c r="A639" s="34" t="inlineStr">
        <is>
          <t>R68-v1</t>
        </is>
      </c>
      <c r="B639" s="34" t="inlineStr">
        <is>
          <t>SCH-01-068</t>
        </is>
      </c>
      <c r="C639" s="34" t="inlineStr">
        <is>
          <t>New</t>
        </is>
      </c>
      <c r="D639" s="34" t="inlineStr">
        <is>
          <t>Record first supplied in this revision</t>
        </is>
      </c>
      <c r="E639" s="39" t="inlineStr"/>
      <c r="F639" s="100" t="inlineStr">
        <is>
          <t>10 EVIDENCE &amp; DECISIONS</t>
        </is>
      </c>
      <c r="G639" s="41" t="n"/>
    </row>
    <row r="640" ht="79" customHeight="1">
      <c r="A640" s="34" t="inlineStr">
        <is>
          <t>R69-v1</t>
        </is>
      </c>
      <c r="B640" s="34" t="inlineStr">
        <is>
          <t>SCH-01-069</t>
        </is>
      </c>
      <c r="C640" s="34" t="inlineStr">
        <is>
          <t>New</t>
        </is>
      </c>
      <c r="D640" s="34" t="inlineStr">
        <is>
          <t>Record first supplied in this revision</t>
        </is>
      </c>
      <c r="E640" s="39" t="inlineStr"/>
      <c r="F640" s="100" t="inlineStr">
        <is>
          <t>10 EVIDENCE &amp; DECISIONS</t>
        </is>
      </c>
      <c r="G640" s="41" t="n"/>
    </row>
    <row r="641" ht="79" customHeight="1">
      <c r="A641" s="34" t="inlineStr">
        <is>
          <t>R70-v1</t>
        </is>
      </c>
      <c r="B641" s="34" t="inlineStr">
        <is>
          <t>SCH-01-070</t>
        </is>
      </c>
      <c r="C641" s="34" t="inlineStr">
        <is>
          <t>New</t>
        </is>
      </c>
      <c r="D641" s="34" t="inlineStr">
        <is>
          <t>Record first supplied in this revision</t>
        </is>
      </c>
      <c r="E641" s="39" t="inlineStr"/>
      <c r="F641" s="100" t="inlineStr">
        <is>
          <t>10 EVIDENCE &amp; DECISIONS</t>
        </is>
      </c>
      <c r="G641" s="41" t="n"/>
    </row>
    <row r="642" ht="79" customHeight="1">
      <c r="A642" s="34" t="inlineStr">
        <is>
          <t>R71-v1</t>
        </is>
      </c>
      <c r="B642" s="34" t="inlineStr">
        <is>
          <t>SCH-01-071</t>
        </is>
      </c>
      <c r="C642" s="34" t="inlineStr">
        <is>
          <t>New</t>
        </is>
      </c>
      <c r="D642" s="34" t="inlineStr">
        <is>
          <t>Record first supplied in this revision</t>
        </is>
      </c>
      <c r="E642" s="39" t="inlineStr"/>
      <c r="F642" s="100" t="inlineStr">
        <is>
          <t>10 EVIDENCE &amp; DECISIONS</t>
        </is>
      </c>
      <c r="G642" s="41" t="n"/>
    </row>
    <row r="643" ht="79" customHeight="1">
      <c r="A643" s="34" t="inlineStr">
        <is>
          <t>R72-v1</t>
        </is>
      </c>
      <c r="B643" s="34" t="inlineStr">
        <is>
          <t>SCH-01-072</t>
        </is>
      </c>
      <c r="C643" s="34" t="inlineStr">
        <is>
          <t>New</t>
        </is>
      </c>
      <c r="D643" s="34" t="inlineStr">
        <is>
          <t>Record first supplied in this revision</t>
        </is>
      </c>
      <c r="E643" s="39" t="inlineStr"/>
      <c r="F643" s="100" t="inlineStr">
        <is>
          <t>10 EVIDENCE &amp; DECISIONS</t>
        </is>
      </c>
      <c r="G643" s="41" t="n"/>
    </row>
    <row r="644" ht="79" customHeight="1">
      <c r="A644" s="34" t="inlineStr">
        <is>
          <t>R73-v1</t>
        </is>
      </c>
      <c r="B644" s="34" t="inlineStr">
        <is>
          <t>SCH-01-073</t>
        </is>
      </c>
      <c r="C644" s="34" t="inlineStr">
        <is>
          <t>New</t>
        </is>
      </c>
      <c r="D644" s="34" t="inlineStr">
        <is>
          <t>Record first supplied in this revision</t>
        </is>
      </c>
      <c r="E644" s="39" t="inlineStr"/>
      <c r="F644" s="100" t="inlineStr">
        <is>
          <t>10 EVIDENCE &amp; DECISIONS</t>
        </is>
      </c>
      <c r="G644" s="41" t="n"/>
    </row>
    <row r="645" ht="79" customHeight="1">
      <c r="A645" s="34" t="inlineStr">
        <is>
          <t>R74-v1</t>
        </is>
      </c>
      <c r="B645" s="34" t="inlineStr">
        <is>
          <t>SCH-01-074</t>
        </is>
      </c>
      <c r="C645" s="34" t="inlineStr">
        <is>
          <t>New</t>
        </is>
      </c>
      <c r="D645" s="34" t="inlineStr">
        <is>
          <t>Record first supplied in this revision</t>
        </is>
      </c>
      <c r="E645" s="39" t="inlineStr"/>
      <c r="F645" s="100" t="inlineStr">
        <is>
          <t>10 EVIDENCE &amp; DECISIONS</t>
        </is>
      </c>
      <c r="G645" s="41" t="n"/>
    </row>
    <row r="646" ht="79" customHeight="1">
      <c r="A646" s="34" t="inlineStr">
        <is>
          <t>R75-v1</t>
        </is>
      </c>
      <c r="B646" s="34" t="inlineStr">
        <is>
          <t>SCH-01-075</t>
        </is>
      </c>
      <c r="C646" s="34" t="inlineStr">
        <is>
          <t>New</t>
        </is>
      </c>
      <c r="D646" s="34" t="inlineStr">
        <is>
          <t>Record first supplied in this revision</t>
        </is>
      </c>
      <c r="E646" s="39" t="inlineStr"/>
      <c r="F646" s="100" t="inlineStr">
        <is>
          <t>10 EVIDENCE &amp; DECISIONS</t>
        </is>
      </c>
      <c r="G646" s="41" t="n"/>
    </row>
    <row r="647" ht="79" customHeight="1">
      <c r="A647" s="34" t="inlineStr">
        <is>
          <t>R76-v1</t>
        </is>
      </c>
      <c r="B647" s="34" t="inlineStr">
        <is>
          <t>SCH-01-076</t>
        </is>
      </c>
      <c r="C647" s="34" t="inlineStr">
        <is>
          <t>New</t>
        </is>
      </c>
      <c r="D647" s="34" t="inlineStr">
        <is>
          <t>Record first supplied in this revision</t>
        </is>
      </c>
      <c r="E647" s="39" t="inlineStr"/>
      <c r="F647" s="100" t="inlineStr">
        <is>
          <t>10 EVIDENCE &amp; DECISIONS</t>
        </is>
      </c>
      <c r="G647" s="41" t="n"/>
    </row>
    <row r="648" ht="79" customHeight="1">
      <c r="A648" s="34" t="inlineStr">
        <is>
          <t>R77-v1</t>
        </is>
      </c>
      <c r="B648" s="34" t="inlineStr">
        <is>
          <t>SCH-01-077</t>
        </is>
      </c>
      <c r="C648" s="34" t="inlineStr">
        <is>
          <t>New</t>
        </is>
      </c>
      <c r="D648" s="34" t="inlineStr">
        <is>
          <t>Record first supplied in this revision</t>
        </is>
      </c>
      <c r="E648" s="39" t="inlineStr"/>
      <c r="F648" s="100" t="inlineStr">
        <is>
          <t>10 EVIDENCE &amp; DECISIONS</t>
        </is>
      </c>
      <c r="G648" s="41" t="n"/>
    </row>
    <row r="649" ht="79" customHeight="1">
      <c r="A649" s="34" t="inlineStr">
        <is>
          <t>R78-v1</t>
        </is>
      </c>
      <c r="B649" s="34" t="inlineStr">
        <is>
          <t>SCH-01-078</t>
        </is>
      </c>
      <c r="C649" s="34" t="inlineStr">
        <is>
          <t>New</t>
        </is>
      </c>
      <c r="D649" s="34" t="inlineStr">
        <is>
          <t>Record first supplied in this revision</t>
        </is>
      </c>
      <c r="E649" s="39" t="inlineStr"/>
      <c r="F649" s="100" t="inlineStr">
        <is>
          <t>10 EVIDENCE &amp; DECISIONS</t>
        </is>
      </c>
      <c r="G649" s="41" t="n"/>
    </row>
    <row r="650" ht="79" customHeight="1">
      <c r="A650" s="34" t="inlineStr">
        <is>
          <t>R79-v1</t>
        </is>
      </c>
      <c r="B650" s="34" t="inlineStr">
        <is>
          <t>SCH-01-079</t>
        </is>
      </c>
      <c r="C650" s="34" t="inlineStr">
        <is>
          <t>New</t>
        </is>
      </c>
      <c r="D650" s="34" t="inlineStr">
        <is>
          <t>Record first supplied in this revision</t>
        </is>
      </c>
      <c r="E650" s="39" t="inlineStr"/>
      <c r="F650" s="100" t="inlineStr">
        <is>
          <t>10 EVIDENCE &amp; DECISIONS</t>
        </is>
      </c>
      <c r="G650" s="41" t="n"/>
    </row>
    <row r="651" ht="79" customHeight="1">
      <c r="A651" s="34" t="inlineStr">
        <is>
          <t>R80-v1</t>
        </is>
      </c>
      <c r="B651" s="34" t="inlineStr">
        <is>
          <t>SCH-01-080</t>
        </is>
      </c>
      <c r="C651" s="34" t="inlineStr">
        <is>
          <t>New</t>
        </is>
      </c>
      <c r="D651" s="34" t="inlineStr">
        <is>
          <t>Record first supplied in this revision</t>
        </is>
      </c>
      <c r="E651" s="39" t="inlineStr"/>
      <c r="F651" s="100" t="inlineStr">
        <is>
          <t>10 EVIDENCE &amp; DECISIONS</t>
        </is>
      </c>
      <c r="G651" s="41" t="n"/>
    </row>
    <row r="652" ht="79" customHeight="1">
      <c r="A652" s="34" t="inlineStr">
        <is>
          <t>R81-v1</t>
        </is>
      </c>
      <c r="B652" s="34" t="inlineStr">
        <is>
          <t>SCH-01-081</t>
        </is>
      </c>
      <c r="C652" s="34" t="inlineStr">
        <is>
          <t>New</t>
        </is>
      </c>
      <c r="D652" s="34" t="inlineStr">
        <is>
          <t>Record first supplied in this revision</t>
        </is>
      </c>
      <c r="E652" s="39" t="inlineStr"/>
      <c r="F652" s="100" t="inlineStr">
        <is>
          <t>10 EVIDENCE &amp; DECISIONS</t>
        </is>
      </c>
      <c r="G652" s="41" t="n"/>
    </row>
    <row r="653" ht="79" customHeight="1">
      <c r="A653" s="34" t="inlineStr">
        <is>
          <t>R82-v1</t>
        </is>
      </c>
      <c r="B653" s="34" t="inlineStr">
        <is>
          <t>SCH-01-082</t>
        </is>
      </c>
      <c r="C653" s="34" t="inlineStr">
        <is>
          <t>New</t>
        </is>
      </c>
      <c r="D653" s="34" t="inlineStr">
        <is>
          <t>Record first supplied in this revision</t>
        </is>
      </c>
      <c r="E653" s="39" t="inlineStr"/>
      <c r="F653" s="100" t="inlineStr">
        <is>
          <t>10 EVIDENCE &amp; DECISIONS</t>
        </is>
      </c>
      <c r="G653" s="41" t="n"/>
    </row>
    <row r="654" ht="79" customHeight="1">
      <c r="A654" s="34" t="inlineStr">
        <is>
          <t>R83-v1</t>
        </is>
      </c>
      <c r="B654" s="34" t="inlineStr">
        <is>
          <t>SCH-01-083</t>
        </is>
      </c>
      <c r="C654" s="34" t="inlineStr">
        <is>
          <t>New</t>
        </is>
      </c>
      <c r="D654" s="34" t="inlineStr">
        <is>
          <t>Record first supplied in this revision</t>
        </is>
      </c>
      <c r="E654" s="39" t="inlineStr"/>
      <c r="F654" s="100" t="inlineStr">
        <is>
          <t>10 EVIDENCE &amp; DECISIONS</t>
        </is>
      </c>
      <c r="G654" s="41" t="n"/>
    </row>
    <row r="655" ht="79" customHeight="1">
      <c r="A655" s="34" t="inlineStr">
        <is>
          <t>R84-v1</t>
        </is>
      </c>
      <c r="B655" s="34" t="inlineStr">
        <is>
          <t>SCH-01-084</t>
        </is>
      </c>
      <c r="C655" s="34" t="inlineStr">
        <is>
          <t>New</t>
        </is>
      </c>
      <c r="D655" s="34" t="inlineStr">
        <is>
          <t>Record first supplied in this revision</t>
        </is>
      </c>
      <c r="E655" s="39" t="inlineStr"/>
      <c r="F655" s="100" t="inlineStr">
        <is>
          <t>10 EVIDENCE &amp; DECISIONS</t>
        </is>
      </c>
      <c r="G655" s="41" t="n"/>
    </row>
    <row r="656" ht="79" customHeight="1">
      <c r="A656" s="34" t="inlineStr">
        <is>
          <t>R85-v1</t>
        </is>
      </c>
      <c r="B656" s="34" t="inlineStr">
        <is>
          <t>SCH-01-085</t>
        </is>
      </c>
      <c r="C656" s="34" t="inlineStr">
        <is>
          <t>New</t>
        </is>
      </c>
      <c r="D656" s="34" t="inlineStr">
        <is>
          <t>Record first supplied in this revision</t>
        </is>
      </c>
      <c r="E656" s="39" t="inlineStr"/>
      <c r="F656" s="100" t="inlineStr">
        <is>
          <t>10 EVIDENCE &amp; DECISIONS</t>
        </is>
      </c>
      <c r="G656" s="41" t="n"/>
    </row>
    <row r="657" ht="79" customHeight="1">
      <c r="A657" s="34" t="inlineStr">
        <is>
          <t>R86-v1</t>
        </is>
      </c>
      <c r="B657" s="34" t="inlineStr">
        <is>
          <t>SCH-01-086</t>
        </is>
      </c>
      <c r="C657" s="34" t="inlineStr">
        <is>
          <t>New</t>
        </is>
      </c>
      <c r="D657" s="34" t="inlineStr">
        <is>
          <t>Record first supplied in this revision</t>
        </is>
      </c>
      <c r="E657" s="39" t="inlineStr"/>
      <c r="F657" s="100" t="inlineStr">
        <is>
          <t>10 EVIDENCE &amp; DECISIONS</t>
        </is>
      </c>
      <c r="G657" s="41" t="n"/>
    </row>
    <row r="658" ht="79" customHeight="1">
      <c r="A658" s="34" t="inlineStr">
        <is>
          <t>R87-v1</t>
        </is>
      </c>
      <c r="B658" s="34" t="inlineStr">
        <is>
          <t>SCH-01-087</t>
        </is>
      </c>
      <c r="C658" s="34" t="inlineStr">
        <is>
          <t>New</t>
        </is>
      </c>
      <c r="D658" s="34" t="inlineStr">
        <is>
          <t>Record first supplied in this revision</t>
        </is>
      </c>
      <c r="E658" s="39" t="inlineStr"/>
      <c r="F658" s="100" t="inlineStr">
        <is>
          <t>10 EVIDENCE &amp; DECISIONS</t>
        </is>
      </c>
      <c r="G658" s="41" t="n"/>
    </row>
    <row r="659" ht="79" customHeight="1">
      <c r="A659" s="34" t="inlineStr">
        <is>
          <t>R88-v1</t>
        </is>
      </c>
      <c r="B659" s="34" t="inlineStr">
        <is>
          <t>SCH-01-088</t>
        </is>
      </c>
      <c r="C659" s="34" t="inlineStr">
        <is>
          <t>New</t>
        </is>
      </c>
      <c r="D659" s="34" t="inlineStr">
        <is>
          <t>Record first supplied in this revision</t>
        </is>
      </c>
      <c r="E659" s="39" t="inlineStr"/>
      <c r="F659" s="100" t="inlineStr">
        <is>
          <t>10 EVIDENCE &amp; DECISIONS</t>
        </is>
      </c>
      <c r="G659" s="41" t="n"/>
    </row>
    <row r="660" ht="79" customHeight="1">
      <c r="A660" s="34" t="inlineStr">
        <is>
          <t>R89-v1</t>
        </is>
      </c>
      <c r="B660" s="34" t="inlineStr">
        <is>
          <t>SCH-01-089</t>
        </is>
      </c>
      <c r="C660" s="34" t="inlineStr">
        <is>
          <t>New</t>
        </is>
      </c>
      <c r="D660" s="34" t="inlineStr">
        <is>
          <t>Record first supplied in this revision</t>
        </is>
      </c>
      <c r="E660" s="39" t="inlineStr"/>
      <c r="F660" s="100" t="inlineStr">
        <is>
          <t>10 EVIDENCE &amp; DECISIONS</t>
        </is>
      </c>
      <c r="G660" s="41" t="n"/>
    </row>
    <row r="661" ht="79" customHeight="1">
      <c r="A661" s="34" t="inlineStr">
        <is>
          <t>R90-v1</t>
        </is>
      </c>
      <c r="B661" s="34" t="inlineStr">
        <is>
          <t>SCH-01-090</t>
        </is>
      </c>
      <c r="C661" s="34" t="inlineStr">
        <is>
          <t>New</t>
        </is>
      </c>
      <c r="D661" s="34" t="inlineStr">
        <is>
          <t>Record first supplied in this revision</t>
        </is>
      </c>
      <c r="E661" s="39" t="inlineStr"/>
      <c r="F661" s="100" t="inlineStr">
        <is>
          <t>10 EVIDENCE &amp; DECISIONS</t>
        </is>
      </c>
      <c r="G661" s="41" t="n"/>
    </row>
    <row r="662" ht="79" customHeight="1">
      <c r="A662" s="34" t="inlineStr">
        <is>
          <t>R91-v1</t>
        </is>
      </c>
      <c r="B662" s="34" t="inlineStr">
        <is>
          <t>SCH-01-091</t>
        </is>
      </c>
      <c r="C662" s="34" t="inlineStr">
        <is>
          <t>New</t>
        </is>
      </c>
      <c r="D662" s="34" t="inlineStr">
        <is>
          <t>Record first supplied in this revision</t>
        </is>
      </c>
      <c r="E662" s="39" t="inlineStr"/>
      <c r="F662" s="100" t="inlineStr">
        <is>
          <t>10 EVIDENCE &amp; DECISIONS</t>
        </is>
      </c>
      <c r="G662" s="41" t="n"/>
    </row>
    <row r="663" ht="79" customHeight="1">
      <c r="A663" s="34" t="inlineStr">
        <is>
          <t>R92-v1</t>
        </is>
      </c>
      <c r="B663" s="34" t="inlineStr">
        <is>
          <t>SCH-01-092</t>
        </is>
      </c>
      <c r="C663" s="34" t="inlineStr">
        <is>
          <t>New</t>
        </is>
      </c>
      <c r="D663" s="34" t="inlineStr">
        <is>
          <t>Record first supplied in this revision</t>
        </is>
      </c>
      <c r="E663" s="39" t="inlineStr"/>
      <c r="F663" s="100" t="inlineStr">
        <is>
          <t>10 EVIDENCE &amp; DECISIONS</t>
        </is>
      </c>
      <c r="G663" s="41" t="n"/>
    </row>
    <row r="664" ht="79" customHeight="1">
      <c r="A664" s="34" t="inlineStr">
        <is>
          <t>R93-v1</t>
        </is>
      </c>
      <c r="B664" s="34" t="inlineStr">
        <is>
          <t>SCH-01-093</t>
        </is>
      </c>
      <c r="C664" s="34" t="inlineStr">
        <is>
          <t>New</t>
        </is>
      </c>
      <c r="D664" s="34" t="inlineStr">
        <is>
          <t>Record first supplied in this revision</t>
        </is>
      </c>
      <c r="E664" s="39" t="inlineStr"/>
      <c r="F664" s="100" t="inlineStr">
        <is>
          <t>10 EVIDENCE &amp; DECISIONS</t>
        </is>
      </c>
      <c r="G664" s="41" t="n"/>
    </row>
    <row r="665" ht="79" customHeight="1">
      <c r="A665" s="34" t="inlineStr">
        <is>
          <t>R94-v1</t>
        </is>
      </c>
      <c r="B665" s="34" t="inlineStr">
        <is>
          <t>SCH-01-094</t>
        </is>
      </c>
      <c r="C665" s="34" t="inlineStr">
        <is>
          <t>New</t>
        </is>
      </c>
      <c r="D665" s="34" t="inlineStr">
        <is>
          <t>Record first supplied in this revision</t>
        </is>
      </c>
      <c r="E665" s="39" t="inlineStr"/>
      <c r="F665" s="100" t="inlineStr">
        <is>
          <t>10 EVIDENCE &amp; DECISIONS</t>
        </is>
      </c>
      <c r="G665" s="41" t="n"/>
    </row>
    <row r="666" ht="79" customHeight="1">
      <c r="A666" s="34" t="inlineStr">
        <is>
          <t>R95-v1</t>
        </is>
      </c>
      <c r="B666" s="34" t="inlineStr">
        <is>
          <t>SCH-01-095</t>
        </is>
      </c>
      <c r="C666" s="34" t="inlineStr">
        <is>
          <t>New</t>
        </is>
      </c>
      <c r="D666" s="34" t="inlineStr">
        <is>
          <t>Record first supplied in this revision</t>
        </is>
      </c>
      <c r="E666" s="39" t="inlineStr"/>
      <c r="F666" s="100" t="inlineStr">
        <is>
          <t>10 EVIDENCE &amp; DECISIONS</t>
        </is>
      </c>
      <c r="G666" s="41" t="n"/>
    </row>
    <row r="667" ht="79" customHeight="1">
      <c r="A667" s="34" t="inlineStr">
        <is>
          <t>R96-v1</t>
        </is>
      </c>
      <c r="B667" s="34" t="inlineStr">
        <is>
          <t>SCH-01-096</t>
        </is>
      </c>
      <c r="C667" s="34" t="inlineStr">
        <is>
          <t>New</t>
        </is>
      </c>
      <c r="D667" s="34" t="inlineStr">
        <is>
          <t>Record first supplied in this revision</t>
        </is>
      </c>
      <c r="E667" s="39" t="inlineStr"/>
      <c r="F667" s="100" t="inlineStr">
        <is>
          <t>10 EVIDENCE &amp; DECISIONS</t>
        </is>
      </c>
      <c r="G667" s="41" t="n"/>
    </row>
    <row r="668" ht="79" customHeight="1">
      <c r="A668" s="34" t="inlineStr">
        <is>
          <t>R97-v1</t>
        </is>
      </c>
      <c r="B668" s="34" t="inlineStr">
        <is>
          <t>SCH-01-097</t>
        </is>
      </c>
      <c r="C668" s="34" t="inlineStr">
        <is>
          <t>New</t>
        </is>
      </c>
      <c r="D668" s="34" t="inlineStr">
        <is>
          <t>Record first supplied in this revision</t>
        </is>
      </c>
      <c r="E668" s="39" t="inlineStr"/>
      <c r="F668" s="100" t="inlineStr">
        <is>
          <t>10 EVIDENCE &amp; DECISIONS</t>
        </is>
      </c>
      <c r="G668" s="41" t="n"/>
    </row>
    <row r="669" ht="79" customHeight="1">
      <c r="A669" s="34" t="inlineStr">
        <is>
          <t>R98-v1</t>
        </is>
      </c>
      <c r="B669" s="34" t="inlineStr">
        <is>
          <t>SCH-01-098</t>
        </is>
      </c>
      <c r="C669" s="34" t="inlineStr">
        <is>
          <t>New</t>
        </is>
      </c>
      <c r="D669" s="34" t="inlineStr">
        <is>
          <t>Record first supplied in this revision</t>
        </is>
      </c>
      <c r="E669" s="39" t="inlineStr"/>
      <c r="F669" s="100" t="inlineStr">
        <is>
          <t>10 EVIDENCE &amp; DECISIONS</t>
        </is>
      </c>
      <c r="G669" s="41" t="n"/>
    </row>
    <row r="670" ht="79" customHeight="1">
      <c r="A670" s="34" t="inlineStr">
        <is>
          <t>R99-v1</t>
        </is>
      </c>
      <c r="B670" s="34" t="inlineStr">
        <is>
          <t>SCH-01-099</t>
        </is>
      </c>
      <c r="C670" s="34" t="inlineStr">
        <is>
          <t>New</t>
        </is>
      </c>
      <c r="D670" s="34" t="inlineStr">
        <is>
          <t>Record first supplied in this revision</t>
        </is>
      </c>
      <c r="E670" s="39" t="inlineStr"/>
      <c r="F670" s="100" t="inlineStr">
        <is>
          <t>10 EVIDENCE &amp; DECISIONS</t>
        </is>
      </c>
      <c r="G670" s="41" t="n"/>
    </row>
    <row r="671" ht="79" customHeight="1">
      <c r="A671" s="34" t="inlineStr">
        <is>
          <t>R100-v1</t>
        </is>
      </c>
      <c r="B671" s="34" t="inlineStr">
        <is>
          <t>SCH-01-100</t>
        </is>
      </c>
      <c r="C671" s="34" t="inlineStr">
        <is>
          <t>New</t>
        </is>
      </c>
      <c r="D671" s="34" t="inlineStr">
        <is>
          <t>Record first supplied in this revision</t>
        </is>
      </c>
      <c r="E671" s="39" t="inlineStr"/>
      <c r="F671" s="100" t="inlineStr">
        <is>
          <t>10 EVIDENCE &amp; DECISIONS</t>
        </is>
      </c>
      <c r="G671" s="41" t="n"/>
    </row>
    <row r="672" ht="79" customHeight="1">
      <c r="A672" s="34" t="inlineStr">
        <is>
          <t>R101-v1</t>
        </is>
      </c>
      <c r="B672" s="34" t="inlineStr">
        <is>
          <t>SCH-01-101</t>
        </is>
      </c>
      <c r="C672" s="34" t="inlineStr">
        <is>
          <t>New</t>
        </is>
      </c>
      <c r="D672" s="34" t="inlineStr">
        <is>
          <t>Record first supplied in this revision</t>
        </is>
      </c>
      <c r="E672" s="39" t="inlineStr"/>
      <c r="F672" s="100" t="inlineStr">
        <is>
          <t>10 EVIDENCE &amp; DECISIONS</t>
        </is>
      </c>
      <c r="G672" s="41" t="n"/>
    </row>
    <row r="673" ht="79" customHeight="1">
      <c r="A673" s="34" t="inlineStr">
        <is>
          <t>R102-v1</t>
        </is>
      </c>
      <c r="B673" s="34" t="inlineStr">
        <is>
          <t>SCH-01-102</t>
        </is>
      </c>
      <c r="C673" s="34" t="inlineStr">
        <is>
          <t>New</t>
        </is>
      </c>
      <c r="D673" s="34" t="inlineStr">
        <is>
          <t>Record first supplied in this revision</t>
        </is>
      </c>
      <c r="E673" s="39" t="inlineStr"/>
      <c r="F673" s="100" t="inlineStr">
        <is>
          <t>10 EVIDENCE &amp; DECISIONS</t>
        </is>
      </c>
      <c r="G673" s="41" t="n"/>
    </row>
    <row r="674" ht="79" customHeight="1">
      <c r="A674" s="34" t="inlineStr">
        <is>
          <t>R103-v1</t>
        </is>
      </c>
      <c r="B674" s="34" t="inlineStr">
        <is>
          <t>SCH-01-103</t>
        </is>
      </c>
      <c r="C674" s="34" t="inlineStr">
        <is>
          <t>New</t>
        </is>
      </c>
      <c r="D674" s="34" t="inlineStr">
        <is>
          <t>Record first supplied in this revision</t>
        </is>
      </c>
      <c r="E674" s="39" t="inlineStr"/>
      <c r="F674" s="100" t="inlineStr">
        <is>
          <t>10 EVIDENCE &amp; DECISIONS</t>
        </is>
      </c>
      <c r="G674" s="41" t="n"/>
    </row>
    <row r="675" ht="79" customHeight="1">
      <c r="A675" s="34" t="inlineStr">
        <is>
          <t>R104-v1</t>
        </is>
      </c>
      <c r="B675" s="34" t="inlineStr">
        <is>
          <t>SCH-01-104</t>
        </is>
      </c>
      <c r="C675" s="34" t="inlineStr">
        <is>
          <t>New</t>
        </is>
      </c>
      <c r="D675" s="34" t="inlineStr">
        <is>
          <t>Record first supplied in this revision</t>
        </is>
      </c>
      <c r="E675" s="39" t="inlineStr"/>
      <c r="F675" s="100" t="inlineStr">
        <is>
          <t>10 EVIDENCE &amp; DECISIONS</t>
        </is>
      </c>
      <c r="G675" s="41" t="n"/>
    </row>
    <row r="676" ht="79" customHeight="1">
      <c r="A676" s="34" t="inlineStr">
        <is>
          <t>R105-v1</t>
        </is>
      </c>
      <c r="B676" s="34" t="inlineStr">
        <is>
          <t>SCH-01-105</t>
        </is>
      </c>
      <c r="C676" s="34" t="inlineStr">
        <is>
          <t>New</t>
        </is>
      </c>
      <c r="D676" s="34" t="inlineStr">
        <is>
          <t>Record first supplied in this revision</t>
        </is>
      </c>
      <c r="E676" s="39" t="inlineStr"/>
      <c r="F676" s="100" t="inlineStr">
        <is>
          <t>10 EVIDENCE &amp; DECISIONS</t>
        </is>
      </c>
      <c r="G676" s="41" t="n"/>
    </row>
    <row r="677" ht="79" customHeight="1">
      <c r="A677" s="34" t="inlineStr">
        <is>
          <t>R106-v1</t>
        </is>
      </c>
      <c r="B677" s="34" t="inlineStr">
        <is>
          <t>SCH-01-106</t>
        </is>
      </c>
      <c r="C677" s="34" t="inlineStr">
        <is>
          <t>New</t>
        </is>
      </c>
      <c r="D677" s="34" t="inlineStr">
        <is>
          <t>Record first supplied in this revision</t>
        </is>
      </c>
      <c r="E677" s="39" t="inlineStr"/>
      <c r="F677" s="100" t="inlineStr">
        <is>
          <t>10 EVIDENCE &amp; DECISIONS</t>
        </is>
      </c>
      <c r="G677" s="41" t="n"/>
    </row>
    <row r="678" ht="79" customHeight="1">
      <c r="A678" s="34" t="inlineStr">
        <is>
          <t>R107-v1</t>
        </is>
      </c>
      <c r="B678" s="34" t="inlineStr">
        <is>
          <t>SCH-01-107</t>
        </is>
      </c>
      <c r="C678" s="34" t="inlineStr">
        <is>
          <t>New</t>
        </is>
      </c>
      <c r="D678" s="34" t="inlineStr">
        <is>
          <t>Record first supplied in this revision</t>
        </is>
      </c>
      <c r="E678" s="39" t="inlineStr"/>
      <c r="F678" s="100" t="inlineStr">
        <is>
          <t>10 EVIDENCE &amp; DECISIONS</t>
        </is>
      </c>
      <c r="G678" s="41" t="n"/>
    </row>
    <row r="679" ht="79" customHeight="1">
      <c r="A679" s="34" t="inlineStr">
        <is>
          <t>R108-v1</t>
        </is>
      </c>
      <c r="B679" s="34" t="inlineStr">
        <is>
          <t>SCH-01-108</t>
        </is>
      </c>
      <c r="C679" s="34" t="inlineStr">
        <is>
          <t>New</t>
        </is>
      </c>
      <c r="D679" s="34" t="inlineStr">
        <is>
          <t>Record first supplied in this revision</t>
        </is>
      </c>
      <c r="E679" s="39" t="inlineStr"/>
      <c r="F679" s="100" t="inlineStr">
        <is>
          <t>10 EVIDENCE &amp; DECISIONS</t>
        </is>
      </c>
      <c r="G679" s="41" t="n"/>
    </row>
    <row r="680" ht="79" customHeight="1">
      <c r="A680" s="34" t="inlineStr">
        <is>
          <t>R109-v1</t>
        </is>
      </c>
      <c r="B680" s="34" t="inlineStr">
        <is>
          <t>SCH-01-109</t>
        </is>
      </c>
      <c r="C680" s="34" t="inlineStr">
        <is>
          <t>New</t>
        </is>
      </c>
      <c r="D680" s="34" t="inlineStr">
        <is>
          <t>Record first supplied in this revision</t>
        </is>
      </c>
      <c r="E680" s="39" t="inlineStr"/>
      <c r="F680" s="100" t="inlineStr">
        <is>
          <t>10 EVIDENCE &amp; DECISIONS</t>
        </is>
      </c>
      <c r="G680" s="41" t="n"/>
    </row>
    <row r="681" ht="79" customHeight="1">
      <c r="A681" s="34" t="inlineStr">
        <is>
          <t>R110-v1</t>
        </is>
      </c>
      <c r="B681" s="34" t="inlineStr">
        <is>
          <t>SCH-01-110</t>
        </is>
      </c>
      <c r="C681" s="34" t="inlineStr">
        <is>
          <t>New</t>
        </is>
      </c>
      <c r="D681" s="34" t="inlineStr">
        <is>
          <t>Record first supplied in this revision</t>
        </is>
      </c>
      <c r="E681" s="39" t="inlineStr"/>
      <c r="F681" s="100" t="inlineStr">
        <is>
          <t>10 EVIDENCE &amp; DECISIONS</t>
        </is>
      </c>
      <c r="G681" s="41" t="n"/>
    </row>
    <row r="682" ht="79" customHeight="1">
      <c r="A682" s="34" t="inlineStr">
        <is>
          <t>R111-v1</t>
        </is>
      </c>
      <c r="B682" s="34" t="inlineStr">
        <is>
          <t>SCH-01-111</t>
        </is>
      </c>
      <c r="C682" s="34" t="inlineStr">
        <is>
          <t>New</t>
        </is>
      </c>
      <c r="D682" s="34" t="inlineStr">
        <is>
          <t>Record first supplied in this revision</t>
        </is>
      </c>
      <c r="E682" s="39" t="inlineStr"/>
      <c r="F682" s="100" t="inlineStr">
        <is>
          <t>10 EVIDENCE &amp; DECISIONS</t>
        </is>
      </c>
      <c r="G682" s="41" t="n"/>
    </row>
    <row r="683" ht="79" customHeight="1">
      <c r="A683" s="34" t="inlineStr">
        <is>
          <t>R112-v1</t>
        </is>
      </c>
      <c r="B683" s="34" t="inlineStr">
        <is>
          <t>SCH-01-112</t>
        </is>
      </c>
      <c r="C683" s="34" t="inlineStr">
        <is>
          <t>New</t>
        </is>
      </c>
      <c r="D683" s="34" t="inlineStr">
        <is>
          <t>Record first supplied in this revision</t>
        </is>
      </c>
      <c r="E683" s="39" t="inlineStr"/>
      <c r="F683" s="100" t="inlineStr">
        <is>
          <t>10 EVIDENCE &amp; DECISIONS</t>
        </is>
      </c>
      <c r="G683" s="41" t="n"/>
    </row>
    <row r="684" ht="79" customHeight="1">
      <c r="A684" s="34" t="inlineStr">
        <is>
          <t>R113-v1</t>
        </is>
      </c>
      <c r="B684" s="34" t="inlineStr">
        <is>
          <t>SCH-01-113</t>
        </is>
      </c>
      <c r="C684" s="34" t="inlineStr">
        <is>
          <t>New</t>
        </is>
      </c>
      <c r="D684" s="34" t="inlineStr">
        <is>
          <t>Record first supplied in this revision</t>
        </is>
      </c>
      <c r="E684" s="39" t="inlineStr"/>
      <c r="F684" s="100" t="inlineStr">
        <is>
          <t>10 EVIDENCE &amp; DECISIONS</t>
        </is>
      </c>
      <c r="G684" s="41" t="n"/>
    </row>
    <row r="685" ht="79" customHeight="1">
      <c r="A685" s="34" t="inlineStr">
        <is>
          <t>R114-v1</t>
        </is>
      </c>
      <c r="B685" s="34" t="inlineStr">
        <is>
          <t>SCH-01-114</t>
        </is>
      </c>
      <c r="C685" s="34" t="inlineStr">
        <is>
          <t>New</t>
        </is>
      </c>
      <c r="D685" s="34" t="inlineStr">
        <is>
          <t>Record first supplied in this revision</t>
        </is>
      </c>
      <c r="E685" s="39" t="inlineStr"/>
      <c r="F685" s="100" t="inlineStr">
        <is>
          <t>10 EVIDENCE &amp; DECISIONS</t>
        </is>
      </c>
      <c r="G685" s="41" t="n"/>
    </row>
    <row r="686" ht="79" customHeight="1">
      <c r="A686" s="34" t="inlineStr">
        <is>
          <t>R115-v1</t>
        </is>
      </c>
      <c r="B686" s="34" t="inlineStr">
        <is>
          <t>SCH-01-115</t>
        </is>
      </c>
      <c r="C686" s="34" t="inlineStr">
        <is>
          <t>New</t>
        </is>
      </c>
      <c r="D686" s="34" t="inlineStr">
        <is>
          <t>Record first supplied in this revision</t>
        </is>
      </c>
      <c r="E686" s="39" t="inlineStr"/>
      <c r="F686" s="100" t="inlineStr">
        <is>
          <t>10 EVIDENCE &amp; DECISIONS</t>
        </is>
      </c>
      <c r="G686" s="41" t="n"/>
    </row>
    <row r="687" ht="79" customHeight="1">
      <c r="A687" s="34" t="inlineStr">
        <is>
          <t>R116-v1</t>
        </is>
      </c>
      <c r="B687" s="34" t="inlineStr">
        <is>
          <t>SCH-01-116</t>
        </is>
      </c>
      <c r="C687" s="34" t="inlineStr">
        <is>
          <t>New</t>
        </is>
      </c>
      <c r="D687" s="34" t="inlineStr">
        <is>
          <t>Record first supplied in this revision</t>
        </is>
      </c>
      <c r="E687" s="39" t="inlineStr"/>
      <c r="F687" s="100" t="inlineStr">
        <is>
          <t>10 EVIDENCE &amp; DECISIONS</t>
        </is>
      </c>
      <c r="G687" s="41" t="n"/>
    </row>
    <row r="688" ht="79" customHeight="1">
      <c r="A688" s="34" t="inlineStr">
        <is>
          <t>R117-v1</t>
        </is>
      </c>
      <c r="B688" s="34" t="inlineStr">
        <is>
          <t>SCH-01-117</t>
        </is>
      </c>
      <c r="C688" s="34" t="inlineStr">
        <is>
          <t>New</t>
        </is>
      </c>
      <c r="D688" s="34" t="inlineStr">
        <is>
          <t>Record first supplied in this revision</t>
        </is>
      </c>
      <c r="E688" s="39" t="inlineStr"/>
      <c r="F688" s="100" t="inlineStr">
        <is>
          <t>10 EVIDENCE &amp; DECISIONS</t>
        </is>
      </c>
      <c r="G688" s="41" t="n"/>
    </row>
    <row r="689" ht="79" customHeight="1">
      <c r="A689" s="34" t="inlineStr">
        <is>
          <t>R118-v1</t>
        </is>
      </c>
      <c r="B689" s="34" t="inlineStr">
        <is>
          <t>SCH-01-118</t>
        </is>
      </c>
      <c r="C689" s="34" t="inlineStr">
        <is>
          <t>New</t>
        </is>
      </c>
      <c r="D689" s="34" t="inlineStr">
        <is>
          <t>Record first supplied in this revision</t>
        </is>
      </c>
      <c r="E689" s="39" t="inlineStr"/>
      <c r="F689" s="100" t="inlineStr">
        <is>
          <t>10 EVIDENCE &amp; DECISIONS</t>
        </is>
      </c>
      <c r="G689" s="41" t="n"/>
    </row>
    <row r="690" ht="79" customHeight="1">
      <c r="A690" s="34" t="inlineStr">
        <is>
          <t>R119-v1</t>
        </is>
      </c>
      <c r="B690" s="34" t="inlineStr">
        <is>
          <t>SCH-01-119</t>
        </is>
      </c>
      <c r="C690" s="34" t="inlineStr">
        <is>
          <t>New</t>
        </is>
      </c>
      <c r="D690" s="34" t="inlineStr">
        <is>
          <t>Record first supplied in this revision</t>
        </is>
      </c>
      <c r="E690" s="39" t="inlineStr"/>
      <c r="F690" s="100" t="inlineStr">
        <is>
          <t>10 EVIDENCE &amp; DECISIONS</t>
        </is>
      </c>
      <c r="G690" s="41" t="n"/>
    </row>
    <row r="691" ht="79" customHeight="1">
      <c r="A691" s="34" t="inlineStr">
        <is>
          <t>R120-v1</t>
        </is>
      </c>
      <c r="B691" s="34" t="inlineStr">
        <is>
          <t>SCH-01-120</t>
        </is>
      </c>
      <c r="C691" s="34" t="inlineStr">
        <is>
          <t>New</t>
        </is>
      </c>
      <c r="D691" s="34" t="inlineStr">
        <is>
          <t>Record first supplied in this revision</t>
        </is>
      </c>
      <c r="E691" s="39" t="inlineStr"/>
      <c r="F691" s="100" t="inlineStr">
        <is>
          <t>10 EVIDENCE &amp; DECISIONS</t>
        </is>
      </c>
      <c r="G691" s="41" t="n"/>
    </row>
    <row r="692" ht="79" customHeight="1">
      <c r="A692" s="34" t="inlineStr">
        <is>
          <t>R121-v1</t>
        </is>
      </c>
      <c r="B692" s="34" t="inlineStr">
        <is>
          <t>SCH-01-121</t>
        </is>
      </c>
      <c r="C692" s="34" t="inlineStr">
        <is>
          <t>New</t>
        </is>
      </c>
      <c r="D692" s="34" t="inlineStr">
        <is>
          <t>Record first supplied in this revision</t>
        </is>
      </c>
      <c r="E692" s="39" t="inlineStr"/>
      <c r="F692" s="100" t="inlineStr">
        <is>
          <t>10 EVIDENCE &amp; DECISIONS</t>
        </is>
      </c>
      <c r="G692" s="41" t="n"/>
    </row>
    <row r="693" ht="79" customHeight="1">
      <c r="A693" s="34" t="inlineStr">
        <is>
          <t>R122-v1</t>
        </is>
      </c>
      <c r="B693" s="34" t="inlineStr">
        <is>
          <t>SCH-01-122</t>
        </is>
      </c>
      <c r="C693" s="34" t="inlineStr">
        <is>
          <t>New</t>
        </is>
      </c>
      <c r="D693" s="34" t="inlineStr">
        <is>
          <t>Record first supplied in this revision</t>
        </is>
      </c>
      <c r="E693" s="39" t="inlineStr"/>
      <c r="F693" s="100" t="inlineStr">
        <is>
          <t>10 EVIDENCE &amp; DECISIONS</t>
        </is>
      </c>
      <c r="G693" s="41" t="n"/>
    </row>
    <row r="694" ht="79" customHeight="1">
      <c r="A694" s="34" t="inlineStr">
        <is>
          <t>R123-v1</t>
        </is>
      </c>
      <c r="B694" s="34" t="inlineStr">
        <is>
          <t>SCH-01-123</t>
        </is>
      </c>
      <c r="C694" s="34" t="inlineStr">
        <is>
          <t>New</t>
        </is>
      </c>
      <c r="D694" s="34" t="inlineStr">
        <is>
          <t>Record first supplied in this revision</t>
        </is>
      </c>
      <c r="E694" s="39" t="inlineStr"/>
      <c r="F694" s="100" t="inlineStr">
        <is>
          <t>10 EVIDENCE &amp; DECISIONS</t>
        </is>
      </c>
      <c r="G694" s="41" t="n"/>
    </row>
    <row r="695" ht="79" customHeight="1">
      <c r="A695" s="34" t="inlineStr">
        <is>
          <t>R124-v1</t>
        </is>
      </c>
      <c r="B695" s="34" t="inlineStr">
        <is>
          <t>SCH-01-124</t>
        </is>
      </c>
      <c r="C695" s="34" t="inlineStr">
        <is>
          <t>New</t>
        </is>
      </c>
      <c r="D695" s="34" t="inlineStr">
        <is>
          <t>Record first supplied in this revision</t>
        </is>
      </c>
      <c r="E695" s="39" t="inlineStr"/>
      <c r="F695" s="100" t="inlineStr">
        <is>
          <t>10 EVIDENCE &amp; DECISIONS</t>
        </is>
      </c>
      <c r="G695" s="41" t="n"/>
    </row>
    <row r="696" ht="79" customHeight="1">
      <c r="A696" s="34" t="inlineStr">
        <is>
          <t>R125-v1</t>
        </is>
      </c>
      <c r="B696" s="34" t="inlineStr">
        <is>
          <t>SCH-01-125</t>
        </is>
      </c>
      <c r="C696" s="34" t="inlineStr">
        <is>
          <t>New</t>
        </is>
      </c>
      <c r="D696" s="34" t="inlineStr">
        <is>
          <t>Record first supplied in this revision</t>
        </is>
      </c>
      <c r="E696" s="39" t="inlineStr"/>
      <c r="F696" s="100" t="inlineStr">
        <is>
          <t>10 EVIDENCE &amp; DECISIONS</t>
        </is>
      </c>
      <c r="G696" s="41" t="n"/>
    </row>
    <row r="697" ht="79" customHeight="1">
      <c r="A697" s="34" t="inlineStr">
        <is>
          <t>R126-v1</t>
        </is>
      </c>
      <c r="B697" s="34" t="inlineStr">
        <is>
          <t>SCH-01-126</t>
        </is>
      </c>
      <c r="C697" s="34" t="inlineStr">
        <is>
          <t>New</t>
        </is>
      </c>
      <c r="D697" s="34" t="inlineStr">
        <is>
          <t>Record first supplied in this revision</t>
        </is>
      </c>
      <c r="E697" s="39" t="inlineStr"/>
      <c r="F697" s="100" t="inlineStr">
        <is>
          <t>10 EVIDENCE &amp; DECISIONS</t>
        </is>
      </c>
      <c r="G697" s="41" t="n"/>
    </row>
    <row r="698" ht="79" customHeight="1">
      <c r="A698" s="34" t="inlineStr">
        <is>
          <t>R127-v1</t>
        </is>
      </c>
      <c r="B698" s="34" t="inlineStr">
        <is>
          <t>SCH-01-127</t>
        </is>
      </c>
      <c r="C698" s="34" t="inlineStr">
        <is>
          <t>New</t>
        </is>
      </c>
      <c r="D698" s="34" t="inlineStr">
        <is>
          <t>Record first supplied in this revision</t>
        </is>
      </c>
      <c r="E698" s="39" t="inlineStr"/>
      <c r="F698" s="100" t="inlineStr">
        <is>
          <t>10 EVIDENCE &amp; DECISIONS</t>
        </is>
      </c>
      <c r="G698" s="41" t="n"/>
    </row>
    <row r="699" ht="79" customHeight="1">
      <c r="A699" s="34" t="inlineStr">
        <is>
          <t>R128-v1</t>
        </is>
      </c>
      <c r="B699" s="34" t="inlineStr">
        <is>
          <t>SCH-01-128</t>
        </is>
      </c>
      <c r="C699" s="34" t="inlineStr">
        <is>
          <t>New</t>
        </is>
      </c>
      <c r="D699" s="34" t="inlineStr">
        <is>
          <t>Record first supplied in this revision</t>
        </is>
      </c>
      <c r="E699" s="39" t="inlineStr"/>
      <c r="F699" s="100" t="inlineStr">
        <is>
          <t>10 EVIDENCE &amp; DECISIONS</t>
        </is>
      </c>
      <c r="G699" s="41" t="n"/>
    </row>
    <row r="700" ht="79" customHeight="1">
      <c r="A700" s="34" t="inlineStr">
        <is>
          <t>R129-v1</t>
        </is>
      </c>
      <c r="B700" s="34" t="inlineStr">
        <is>
          <t>SCH-01-129</t>
        </is>
      </c>
      <c r="C700" s="34" t="inlineStr">
        <is>
          <t>New</t>
        </is>
      </c>
      <c r="D700" s="34" t="inlineStr">
        <is>
          <t>Record first supplied in this revision</t>
        </is>
      </c>
      <c r="E700" s="39" t="inlineStr"/>
      <c r="F700" s="100" t="inlineStr">
        <is>
          <t>10 EVIDENCE &amp; DECISIONS</t>
        </is>
      </c>
      <c r="G700" s="41" t="n"/>
    </row>
    <row r="701" ht="79" customHeight="1">
      <c r="A701" s="34" t="inlineStr">
        <is>
          <t>R130-v1</t>
        </is>
      </c>
      <c r="B701" s="34" t="inlineStr">
        <is>
          <t>SCH-01-130</t>
        </is>
      </c>
      <c r="C701" s="34" t="inlineStr">
        <is>
          <t>New</t>
        </is>
      </c>
      <c r="D701" s="34" t="inlineStr">
        <is>
          <t>Record first supplied in this revision</t>
        </is>
      </c>
      <c r="E701" s="39" t="inlineStr"/>
      <c r="F701" s="100" t="inlineStr">
        <is>
          <t>10 EVIDENCE &amp; DECISIONS</t>
        </is>
      </c>
      <c r="G701" s="41" t="n"/>
    </row>
    <row r="702" ht="79" customHeight="1">
      <c r="A702" s="34" t="inlineStr">
        <is>
          <t>R131-v1</t>
        </is>
      </c>
      <c r="B702" s="34" t="inlineStr">
        <is>
          <t>SCH-01-131</t>
        </is>
      </c>
      <c r="C702" s="34" t="inlineStr">
        <is>
          <t>New</t>
        </is>
      </c>
      <c r="D702" s="34" t="inlineStr">
        <is>
          <t>Record first supplied in this revision</t>
        </is>
      </c>
      <c r="E702" s="39" t="inlineStr"/>
      <c r="F702" s="100" t="inlineStr">
        <is>
          <t>10 EVIDENCE &amp; DECISIONS</t>
        </is>
      </c>
      <c r="G702" s="41" t="n"/>
    </row>
    <row r="703" ht="79" customHeight="1">
      <c r="A703" s="34" t="inlineStr">
        <is>
          <t>R132-v1</t>
        </is>
      </c>
      <c r="B703" s="34" t="inlineStr">
        <is>
          <t>SCH-01-132</t>
        </is>
      </c>
      <c r="C703" s="34" t="inlineStr">
        <is>
          <t>New</t>
        </is>
      </c>
      <c r="D703" s="34" t="inlineStr">
        <is>
          <t>Record first supplied in this revision</t>
        </is>
      </c>
      <c r="E703" s="39" t="inlineStr"/>
      <c r="F703" s="100" t="inlineStr">
        <is>
          <t>10 EVIDENCE &amp; DECISIONS</t>
        </is>
      </c>
      <c r="G703" s="41" t="n"/>
    </row>
    <row r="704" ht="79" customHeight="1">
      <c r="A704" s="34" t="inlineStr">
        <is>
          <t>R133-v1</t>
        </is>
      </c>
      <c r="B704" s="34" t="inlineStr">
        <is>
          <t>SCH-01-133</t>
        </is>
      </c>
      <c r="C704" s="34" t="inlineStr">
        <is>
          <t>New</t>
        </is>
      </c>
      <c r="D704" s="34" t="inlineStr">
        <is>
          <t>Record first supplied in this revision</t>
        </is>
      </c>
      <c r="E704" s="39" t="inlineStr"/>
      <c r="F704" s="100" t="inlineStr">
        <is>
          <t>10 EVIDENCE &amp; DECISIONS</t>
        </is>
      </c>
      <c r="G704" s="41" t="n"/>
    </row>
    <row r="705" ht="79" customHeight="1">
      <c r="A705" s="34" t="inlineStr">
        <is>
          <t>R134-v1</t>
        </is>
      </c>
      <c r="B705" s="34" t="inlineStr">
        <is>
          <t>SCH-01-134</t>
        </is>
      </c>
      <c r="C705" s="34" t="inlineStr">
        <is>
          <t>New</t>
        </is>
      </c>
      <c r="D705" s="34" t="inlineStr">
        <is>
          <t>Record first supplied in this revision</t>
        </is>
      </c>
      <c r="E705" s="39" t="inlineStr"/>
      <c r="F705" s="100" t="inlineStr">
        <is>
          <t>10 EVIDENCE &amp; DECISIONS</t>
        </is>
      </c>
      <c r="G705" s="41" t="n"/>
    </row>
    <row r="706" ht="79" customHeight="1">
      <c r="A706" s="34" t="inlineStr">
        <is>
          <t>R135-v1</t>
        </is>
      </c>
      <c r="B706" s="34" t="inlineStr">
        <is>
          <t>SCH-01-135</t>
        </is>
      </c>
      <c r="C706" s="34" t="inlineStr">
        <is>
          <t>New</t>
        </is>
      </c>
      <c r="D706" s="34" t="inlineStr">
        <is>
          <t>Record first supplied in this revision</t>
        </is>
      </c>
      <c r="E706" s="39" t="inlineStr"/>
      <c r="F706" s="100" t="inlineStr">
        <is>
          <t>10 EVIDENCE &amp; DECISIONS</t>
        </is>
      </c>
      <c r="G706" s="41" t="n"/>
    </row>
    <row r="707" ht="79" customHeight="1">
      <c r="A707" s="34" t="inlineStr">
        <is>
          <t>R136-v1</t>
        </is>
      </c>
      <c r="B707" s="34" t="inlineStr">
        <is>
          <t>SCH-01-136</t>
        </is>
      </c>
      <c r="C707" s="34" t="inlineStr">
        <is>
          <t>New</t>
        </is>
      </c>
      <c r="D707" s="34" t="inlineStr">
        <is>
          <t>Record first supplied in this revision</t>
        </is>
      </c>
      <c r="E707" s="39" t="inlineStr"/>
      <c r="F707" s="100" t="inlineStr">
        <is>
          <t>10 EVIDENCE &amp; DECISIONS</t>
        </is>
      </c>
      <c r="G707" s="41" t="n"/>
    </row>
    <row r="708" ht="79" customHeight="1">
      <c r="A708" s="34" t="inlineStr">
        <is>
          <t>R137-v1</t>
        </is>
      </c>
      <c r="B708" s="34" t="inlineStr">
        <is>
          <t>SCH-01-137</t>
        </is>
      </c>
      <c r="C708" s="34" t="inlineStr">
        <is>
          <t>New</t>
        </is>
      </c>
      <c r="D708" s="34" t="inlineStr">
        <is>
          <t>Record first supplied in this revision</t>
        </is>
      </c>
      <c r="E708" s="39" t="inlineStr"/>
      <c r="F708" s="100" t="inlineStr">
        <is>
          <t>10 EVIDENCE &amp; DECISIONS</t>
        </is>
      </c>
      <c r="G708" s="41" t="n"/>
    </row>
    <row r="709" ht="79" customHeight="1">
      <c r="A709" s="34" t="inlineStr">
        <is>
          <t>R138-v1</t>
        </is>
      </c>
      <c r="B709" s="34" t="inlineStr">
        <is>
          <t>SCH-01-138</t>
        </is>
      </c>
      <c r="C709" s="34" t="inlineStr">
        <is>
          <t>New</t>
        </is>
      </c>
      <c r="D709" s="34" t="inlineStr">
        <is>
          <t>Record first supplied in this revision</t>
        </is>
      </c>
      <c r="E709" s="39" t="inlineStr"/>
      <c r="F709" s="100" t="inlineStr">
        <is>
          <t>10 EVIDENCE &amp; DECISIONS</t>
        </is>
      </c>
      <c r="G709" s="41" t="n"/>
    </row>
    <row r="710" ht="79" customHeight="1">
      <c r="A710" s="34" t="inlineStr">
        <is>
          <t>R139-v1</t>
        </is>
      </c>
      <c r="B710" s="34" t="inlineStr">
        <is>
          <t>SCH-01-139</t>
        </is>
      </c>
      <c r="C710" s="34" t="inlineStr">
        <is>
          <t>New</t>
        </is>
      </c>
      <c r="D710" s="34" t="inlineStr">
        <is>
          <t>Record first supplied in this revision</t>
        </is>
      </c>
      <c r="E710" s="39" t="inlineStr"/>
      <c r="F710" s="100" t="inlineStr">
        <is>
          <t>10 EVIDENCE &amp; DECISIONS</t>
        </is>
      </c>
      <c r="G710" s="41" t="n"/>
    </row>
    <row r="711" ht="79" customHeight="1">
      <c r="A711" s="34" t="inlineStr">
        <is>
          <t>R140-v1</t>
        </is>
      </c>
      <c r="B711" s="34" t="inlineStr">
        <is>
          <t>SCH-01-140</t>
        </is>
      </c>
      <c r="C711" s="34" t="inlineStr">
        <is>
          <t>New</t>
        </is>
      </c>
      <c r="D711" s="34" t="inlineStr">
        <is>
          <t>Record first supplied in this revision</t>
        </is>
      </c>
      <c r="E711" s="39" t="inlineStr"/>
      <c r="F711" s="100" t="inlineStr">
        <is>
          <t>10 EVIDENCE &amp; DECISIONS</t>
        </is>
      </c>
      <c r="G711" s="41" t="n"/>
    </row>
    <row r="712" ht="79" customHeight="1">
      <c r="A712" s="34" t="inlineStr">
        <is>
          <t>R141-v1</t>
        </is>
      </c>
      <c r="B712" s="34" t="inlineStr">
        <is>
          <t>SCH-01-141</t>
        </is>
      </c>
      <c r="C712" s="34" t="inlineStr">
        <is>
          <t>New</t>
        </is>
      </c>
      <c r="D712" s="34" t="inlineStr">
        <is>
          <t>Record first supplied in this revision</t>
        </is>
      </c>
      <c r="E712" s="39" t="inlineStr"/>
      <c r="F712" s="100" t="inlineStr">
        <is>
          <t>10 EVIDENCE &amp; DECISIONS</t>
        </is>
      </c>
      <c r="G712" s="41" t="n"/>
    </row>
    <row r="713" ht="79" customHeight="1">
      <c r="A713" s="34" t="inlineStr">
        <is>
          <t>R142-v1</t>
        </is>
      </c>
      <c r="B713" s="34" t="inlineStr">
        <is>
          <t>SCH-01-142</t>
        </is>
      </c>
      <c r="C713" s="34" t="inlineStr">
        <is>
          <t>New</t>
        </is>
      </c>
      <c r="D713" s="34" t="inlineStr">
        <is>
          <t>Record first supplied in this revision</t>
        </is>
      </c>
      <c r="E713" s="39" t="inlineStr"/>
      <c r="F713" s="100" t="inlineStr">
        <is>
          <t>10 EVIDENCE &amp; DECISIONS</t>
        </is>
      </c>
      <c r="G713" s="41" t="n"/>
    </row>
    <row r="714" ht="79" customHeight="1">
      <c r="A714" s="34" t="inlineStr">
        <is>
          <t>R143-v1</t>
        </is>
      </c>
      <c r="B714" s="34" t="inlineStr">
        <is>
          <t>SCH-01-143</t>
        </is>
      </c>
      <c r="C714" s="34" t="inlineStr">
        <is>
          <t>New</t>
        </is>
      </c>
      <c r="D714" s="34" t="inlineStr">
        <is>
          <t>Record first supplied in this revision</t>
        </is>
      </c>
      <c r="E714" s="39" t="inlineStr"/>
      <c r="F714" s="100" t="inlineStr">
        <is>
          <t>10 EVIDENCE &amp; DECISIONS</t>
        </is>
      </c>
      <c r="G714" s="41" t="n"/>
    </row>
    <row r="715" ht="79" customHeight="1">
      <c r="A715" s="34" t="inlineStr">
        <is>
          <t>R144-v1</t>
        </is>
      </c>
      <c r="B715" s="34" t="inlineStr">
        <is>
          <t>SCH-01-144</t>
        </is>
      </c>
      <c r="C715" s="34" t="inlineStr">
        <is>
          <t>New</t>
        </is>
      </c>
      <c r="D715" s="34" t="inlineStr">
        <is>
          <t>Record first supplied in this revision</t>
        </is>
      </c>
      <c r="E715" s="39" t="inlineStr"/>
      <c r="F715" s="100" t="inlineStr">
        <is>
          <t>10 EVIDENCE &amp; DECISIONS</t>
        </is>
      </c>
      <c r="G715" s="41" t="n"/>
    </row>
    <row r="716" ht="79" customHeight="1">
      <c r="A716" s="34" t="inlineStr">
        <is>
          <t>R145-v1</t>
        </is>
      </c>
      <c r="B716" s="34" t="inlineStr">
        <is>
          <t>SCH-01-145</t>
        </is>
      </c>
      <c r="C716" s="34" t="inlineStr">
        <is>
          <t>New</t>
        </is>
      </c>
      <c r="D716" s="34" t="inlineStr">
        <is>
          <t>Record first supplied in this revision</t>
        </is>
      </c>
      <c r="E716" s="39" t="inlineStr"/>
      <c r="F716" s="100" t="inlineStr">
        <is>
          <t>10 EVIDENCE &amp; DECISIONS</t>
        </is>
      </c>
      <c r="G716" s="41" t="n"/>
    </row>
    <row r="717" ht="79" customHeight="1">
      <c r="A717" s="34" t="inlineStr">
        <is>
          <t>R146-v1</t>
        </is>
      </c>
      <c r="B717" s="34" t="inlineStr">
        <is>
          <t>SCH-01-146</t>
        </is>
      </c>
      <c r="C717" s="34" t="inlineStr">
        <is>
          <t>New</t>
        </is>
      </c>
      <c r="D717" s="34" t="inlineStr">
        <is>
          <t>Record first supplied in this revision</t>
        </is>
      </c>
      <c r="E717" s="39" t="inlineStr"/>
      <c r="F717" s="100" t="inlineStr">
        <is>
          <t>10 EVIDENCE &amp; DECISIONS</t>
        </is>
      </c>
      <c r="G717" s="41" t="n"/>
    </row>
    <row r="718" ht="79" customHeight="1">
      <c r="A718" s="34" t="inlineStr">
        <is>
          <t>R147-v1</t>
        </is>
      </c>
      <c r="B718" s="34" t="inlineStr">
        <is>
          <t>SCH-01-147</t>
        </is>
      </c>
      <c r="C718" s="34" t="inlineStr">
        <is>
          <t>New</t>
        </is>
      </c>
      <c r="D718" s="34" t="inlineStr">
        <is>
          <t>Record first supplied in this revision</t>
        </is>
      </c>
      <c r="E718" s="39" t="inlineStr"/>
      <c r="F718" s="100" t="inlineStr">
        <is>
          <t>10 EVIDENCE &amp; DECISIONS</t>
        </is>
      </c>
      <c r="G718" s="41" t="n"/>
    </row>
    <row r="719" ht="79" customHeight="1">
      <c r="A719" s="34" t="inlineStr">
        <is>
          <t>R148-v1</t>
        </is>
      </c>
      <c r="B719" s="34" t="inlineStr">
        <is>
          <t>SCH-01-148</t>
        </is>
      </c>
      <c r="C719" s="34" t="inlineStr">
        <is>
          <t>New</t>
        </is>
      </c>
      <c r="D719" s="34" t="inlineStr">
        <is>
          <t>Record first supplied in this revision</t>
        </is>
      </c>
      <c r="E719" s="39" t="inlineStr"/>
      <c r="F719" s="100" t="inlineStr">
        <is>
          <t>10 EVIDENCE &amp; DECISIONS</t>
        </is>
      </c>
      <c r="G719" s="41" t="n"/>
    </row>
    <row r="720" ht="79" customHeight="1">
      <c r="A720" s="34" t="inlineStr">
        <is>
          <t>R149-v1</t>
        </is>
      </c>
      <c r="B720" s="34" t="inlineStr">
        <is>
          <t>SCH-01-149</t>
        </is>
      </c>
      <c r="C720" s="34" t="inlineStr">
        <is>
          <t>New</t>
        </is>
      </c>
      <c r="D720" s="34" t="inlineStr">
        <is>
          <t>Record first supplied in this revision</t>
        </is>
      </c>
      <c r="E720" s="39" t="inlineStr"/>
      <c r="F720" s="100" t="inlineStr">
        <is>
          <t>10 EVIDENCE &amp; DECISIONS</t>
        </is>
      </c>
      <c r="G720" s="41" t="n"/>
    </row>
    <row r="721" ht="79" customHeight="1">
      <c r="A721" s="34" t="inlineStr">
        <is>
          <t>R150-v1</t>
        </is>
      </c>
      <c r="B721" s="34" t="inlineStr">
        <is>
          <t>SCH-01-150</t>
        </is>
      </c>
      <c r="C721" s="34" t="inlineStr">
        <is>
          <t>New</t>
        </is>
      </c>
      <c r="D721" s="34" t="inlineStr">
        <is>
          <t>Record first supplied in this revision</t>
        </is>
      </c>
      <c r="E721" s="39" t="inlineStr"/>
      <c r="F721" s="100" t="inlineStr">
        <is>
          <t>10 EVIDENCE &amp; DECISIONS</t>
        </is>
      </c>
      <c r="G721" s="41" t="n"/>
    </row>
    <row r="722" ht="79" customHeight="1">
      <c r="A722" s="34" t="inlineStr">
        <is>
          <t>R151-v1</t>
        </is>
      </c>
      <c r="B722" s="34" t="inlineStr">
        <is>
          <t>SCH-01-151</t>
        </is>
      </c>
      <c r="C722" s="34" t="inlineStr">
        <is>
          <t>New</t>
        </is>
      </c>
      <c r="D722" s="34" t="inlineStr">
        <is>
          <t>Record first supplied in this revision</t>
        </is>
      </c>
      <c r="E722" s="39" t="inlineStr"/>
      <c r="F722" s="100" t="inlineStr">
        <is>
          <t>10 EVIDENCE &amp; DECISIONS</t>
        </is>
      </c>
      <c r="G722" s="41" t="n"/>
    </row>
    <row r="723" ht="79" customHeight="1">
      <c r="A723" s="34" t="inlineStr">
        <is>
          <t>R152-v1</t>
        </is>
      </c>
      <c r="B723" s="34" t="inlineStr">
        <is>
          <t>SCH-01-152</t>
        </is>
      </c>
      <c r="C723" s="34" t="inlineStr">
        <is>
          <t>New</t>
        </is>
      </c>
      <c r="D723" s="34" t="inlineStr">
        <is>
          <t>Record first supplied in this revision</t>
        </is>
      </c>
      <c r="E723" s="39" t="inlineStr"/>
      <c r="F723" s="100" t="inlineStr">
        <is>
          <t>10 EVIDENCE &amp; DECISIONS</t>
        </is>
      </c>
      <c r="G723" s="41" t="n"/>
    </row>
    <row r="724" ht="79" customHeight="1">
      <c r="A724" s="34" t="inlineStr">
        <is>
          <t>R153-v1</t>
        </is>
      </c>
      <c r="B724" s="34" t="inlineStr">
        <is>
          <t>SCH-01-153</t>
        </is>
      </c>
      <c r="C724" s="34" t="inlineStr">
        <is>
          <t>New</t>
        </is>
      </c>
      <c r="D724" s="34" t="inlineStr">
        <is>
          <t>Record first supplied in this revision</t>
        </is>
      </c>
      <c r="E724" s="39" t="inlineStr"/>
      <c r="F724" s="100" t="inlineStr">
        <is>
          <t>10 EVIDENCE &amp; DECISIONS</t>
        </is>
      </c>
      <c r="G724" s="41" t="n"/>
    </row>
    <row r="725" ht="79" customHeight="1">
      <c r="A725" s="34" t="inlineStr">
        <is>
          <t>R154-v1</t>
        </is>
      </c>
      <c r="B725" s="34" t="inlineStr">
        <is>
          <t>SCH-01-154</t>
        </is>
      </c>
      <c r="C725" s="34" t="inlineStr">
        <is>
          <t>New</t>
        </is>
      </c>
      <c r="D725" s="34" t="inlineStr">
        <is>
          <t>Record first supplied in this revision</t>
        </is>
      </c>
      <c r="E725" s="39" t="inlineStr"/>
      <c r="F725" s="100" t="inlineStr">
        <is>
          <t>10 EVIDENCE &amp; DECISIONS</t>
        </is>
      </c>
      <c r="G725" s="41" t="n"/>
    </row>
    <row r="726" ht="79" customHeight="1">
      <c r="A726" s="34" t="inlineStr">
        <is>
          <t>R155-v1</t>
        </is>
      </c>
      <c r="B726" s="34" t="inlineStr">
        <is>
          <t>SCH-01-155</t>
        </is>
      </c>
      <c r="C726" s="34" t="inlineStr">
        <is>
          <t>New</t>
        </is>
      </c>
      <c r="D726" s="34" t="inlineStr">
        <is>
          <t>Record first supplied in this revision</t>
        </is>
      </c>
      <c r="E726" s="39" t="inlineStr"/>
      <c r="F726" s="100" t="inlineStr">
        <is>
          <t>10 EVIDENCE &amp; DECISIONS</t>
        </is>
      </c>
      <c r="G726" s="41" t="n"/>
    </row>
    <row r="727" ht="79" customHeight="1">
      <c r="A727" s="34" t="inlineStr">
        <is>
          <t>R156-v1</t>
        </is>
      </c>
      <c r="B727" s="34" t="inlineStr">
        <is>
          <t>SCH-01-156</t>
        </is>
      </c>
      <c r="C727" s="34" t="inlineStr">
        <is>
          <t>New</t>
        </is>
      </c>
      <c r="D727" s="34" t="inlineStr">
        <is>
          <t>Record first supplied in this revision</t>
        </is>
      </c>
      <c r="E727" s="39" t="inlineStr"/>
      <c r="F727" s="100" t="inlineStr">
        <is>
          <t>10 EVIDENCE &amp; DECISIONS</t>
        </is>
      </c>
      <c r="G727" s="41" t="n"/>
    </row>
    <row r="728" ht="79" customHeight="1">
      <c r="A728" s="34" t="inlineStr">
        <is>
          <t>R157-v1</t>
        </is>
      </c>
      <c r="B728" s="34" t="inlineStr">
        <is>
          <t>SCH-01-157</t>
        </is>
      </c>
      <c r="C728" s="34" t="inlineStr">
        <is>
          <t>New</t>
        </is>
      </c>
      <c r="D728" s="34" t="inlineStr">
        <is>
          <t>Record first supplied in this revision</t>
        </is>
      </c>
      <c r="E728" s="39" t="inlineStr"/>
      <c r="F728" s="100" t="inlineStr">
        <is>
          <t>10 EVIDENCE &amp; DECISIONS</t>
        </is>
      </c>
      <c r="G728" s="41" t="n"/>
    </row>
    <row r="729" ht="79" customHeight="1">
      <c r="A729" s="34" t="inlineStr">
        <is>
          <t>R158-v1</t>
        </is>
      </c>
      <c r="B729" s="34" t="inlineStr">
        <is>
          <t>SCH-01-158</t>
        </is>
      </c>
      <c r="C729" s="34" t="inlineStr">
        <is>
          <t>New</t>
        </is>
      </c>
      <c r="D729" s="34" t="inlineStr">
        <is>
          <t>Record first supplied in this revision</t>
        </is>
      </c>
      <c r="E729" s="39" t="inlineStr"/>
      <c r="F729" s="100" t="inlineStr">
        <is>
          <t>10 EVIDENCE &amp; DECISIONS</t>
        </is>
      </c>
      <c r="G729" s="41" t="n"/>
    </row>
    <row r="730" ht="79" customHeight="1">
      <c r="A730" s="34" t="inlineStr">
        <is>
          <t>R159-v1</t>
        </is>
      </c>
      <c r="B730" s="34" t="inlineStr">
        <is>
          <t>SCH-01-159</t>
        </is>
      </c>
      <c r="C730" s="34" t="inlineStr">
        <is>
          <t>New</t>
        </is>
      </c>
      <c r="D730" s="34" t="inlineStr">
        <is>
          <t>Record first supplied in this revision</t>
        </is>
      </c>
      <c r="E730" s="39" t="inlineStr"/>
      <c r="F730" s="100" t="inlineStr">
        <is>
          <t>10 EVIDENCE &amp; DECISIONS</t>
        </is>
      </c>
      <c r="G730" s="41" t="n"/>
    </row>
    <row r="731" ht="79" customHeight="1">
      <c r="A731" s="34" t="inlineStr">
        <is>
          <t>R160-v1</t>
        </is>
      </c>
      <c r="B731" s="34" t="inlineStr">
        <is>
          <t>SCH-01-160</t>
        </is>
      </c>
      <c r="C731" s="34" t="inlineStr">
        <is>
          <t>New</t>
        </is>
      </c>
      <c r="D731" s="34" t="inlineStr">
        <is>
          <t>Record first supplied in this revision</t>
        </is>
      </c>
      <c r="E731" s="39" t="inlineStr"/>
      <c r="F731" s="100" t="inlineStr">
        <is>
          <t>10 EVIDENCE &amp; DECISIONS</t>
        </is>
      </c>
      <c r="G731" s="41" t="n"/>
    </row>
    <row r="732" ht="79" customHeight="1">
      <c r="A732" s="34" t="inlineStr">
        <is>
          <t>R161-v1</t>
        </is>
      </c>
      <c r="B732" s="34" t="inlineStr">
        <is>
          <t>SCH-01-161</t>
        </is>
      </c>
      <c r="C732" s="34" t="inlineStr">
        <is>
          <t>New</t>
        </is>
      </c>
      <c r="D732" s="34" t="inlineStr">
        <is>
          <t>Record first supplied in this revision</t>
        </is>
      </c>
      <c r="E732" s="39" t="inlineStr"/>
      <c r="F732" s="100" t="inlineStr">
        <is>
          <t>10 EVIDENCE &amp; DECISIONS</t>
        </is>
      </c>
      <c r="G732" s="41" t="n"/>
    </row>
    <row r="733" ht="79" customHeight="1">
      <c r="A733" s="34" t="inlineStr">
        <is>
          <t>R162-v1</t>
        </is>
      </c>
      <c r="B733" s="34" t="inlineStr">
        <is>
          <t>SCH-01-162</t>
        </is>
      </c>
      <c r="C733" s="34" t="inlineStr">
        <is>
          <t>New</t>
        </is>
      </c>
      <c r="D733" s="34" t="inlineStr">
        <is>
          <t>Record first supplied in this revision</t>
        </is>
      </c>
      <c r="E733" s="39" t="inlineStr"/>
      <c r="F733" s="100" t="inlineStr">
        <is>
          <t>10 EVIDENCE &amp; DECISIONS</t>
        </is>
      </c>
      <c r="G733" s="41" t="n"/>
    </row>
    <row r="734" ht="79" customHeight="1">
      <c r="A734" s="34" t="inlineStr">
        <is>
          <t>R163-v1</t>
        </is>
      </c>
      <c r="B734" s="34" t="inlineStr">
        <is>
          <t>SCH-01-163</t>
        </is>
      </c>
      <c r="C734" s="34" t="inlineStr">
        <is>
          <t>New</t>
        </is>
      </c>
      <c r="D734" s="34" t="inlineStr">
        <is>
          <t>Record first supplied in this revision</t>
        </is>
      </c>
      <c r="E734" s="39" t="inlineStr"/>
      <c r="F734" s="100" t="inlineStr">
        <is>
          <t>10 EVIDENCE &amp; DECISIONS</t>
        </is>
      </c>
      <c r="G734" s="41" t="n"/>
    </row>
    <row r="735" ht="79" customHeight="1">
      <c r="A735" s="34" t="inlineStr">
        <is>
          <t>R164-v1</t>
        </is>
      </c>
      <c r="B735" s="34" t="inlineStr">
        <is>
          <t>SCH-01-164</t>
        </is>
      </c>
      <c r="C735" s="34" t="inlineStr">
        <is>
          <t>New</t>
        </is>
      </c>
      <c r="D735" s="34" t="inlineStr">
        <is>
          <t>Record first supplied in this revision</t>
        </is>
      </c>
      <c r="E735" s="39" t="inlineStr"/>
      <c r="F735" s="100" t="inlineStr">
        <is>
          <t>10 EVIDENCE &amp; DECISIONS</t>
        </is>
      </c>
      <c r="G735" s="41" t="n"/>
    </row>
    <row r="736" ht="79" customHeight="1">
      <c r="A736" s="34" t="inlineStr">
        <is>
          <t>R165-v1</t>
        </is>
      </c>
      <c r="B736" s="34" t="inlineStr">
        <is>
          <t>SCH-01-165</t>
        </is>
      </c>
      <c r="C736" s="34" t="inlineStr">
        <is>
          <t>New</t>
        </is>
      </c>
      <c r="D736" s="34" t="inlineStr">
        <is>
          <t>Record first supplied in this revision</t>
        </is>
      </c>
      <c r="E736" s="39" t="inlineStr"/>
      <c r="F736" s="100" t="inlineStr">
        <is>
          <t>10 EVIDENCE &amp; DECISIONS</t>
        </is>
      </c>
      <c r="G736" s="41" t="n"/>
    </row>
    <row r="737" ht="79" customHeight="1">
      <c r="A737" s="34" t="inlineStr">
        <is>
          <t>R166-v1</t>
        </is>
      </c>
      <c r="B737" s="34" t="inlineStr">
        <is>
          <t>SCH-01-166</t>
        </is>
      </c>
      <c r="C737" s="34" t="inlineStr">
        <is>
          <t>New</t>
        </is>
      </c>
      <c r="D737" s="34" t="inlineStr">
        <is>
          <t>Record first supplied in this revision</t>
        </is>
      </c>
      <c r="E737" s="39" t="inlineStr"/>
      <c r="F737" s="100" t="inlineStr">
        <is>
          <t>10 EVIDENCE &amp; DECISIONS</t>
        </is>
      </c>
      <c r="G737" s="41" t="n"/>
    </row>
    <row r="738" ht="79" customHeight="1">
      <c r="A738" s="34" t="inlineStr">
        <is>
          <t>R167-v1</t>
        </is>
      </c>
      <c r="B738" s="34" t="inlineStr">
        <is>
          <t>SCH-01-167</t>
        </is>
      </c>
      <c r="C738" s="34" t="inlineStr">
        <is>
          <t>New</t>
        </is>
      </c>
      <c r="D738" s="34" t="inlineStr">
        <is>
          <t>Record first supplied in this revision</t>
        </is>
      </c>
      <c r="E738" s="39" t="inlineStr"/>
      <c r="F738" s="100" t="inlineStr">
        <is>
          <t>10 EVIDENCE &amp; DECISIONS</t>
        </is>
      </c>
      <c r="G738" s="41" t="n"/>
    </row>
    <row r="739" ht="79" customHeight="1">
      <c r="A739" s="34" t="inlineStr">
        <is>
          <t>R168-v1</t>
        </is>
      </c>
      <c r="B739" s="34" t="inlineStr">
        <is>
          <t>SCH-01-168</t>
        </is>
      </c>
      <c r="C739" s="34" t="inlineStr">
        <is>
          <t>New</t>
        </is>
      </c>
      <c r="D739" s="34" t="inlineStr">
        <is>
          <t>Record first supplied in this revision</t>
        </is>
      </c>
      <c r="E739" s="39" t="inlineStr"/>
      <c r="F739" s="100" t="inlineStr">
        <is>
          <t>10 EVIDENCE &amp; DECISIONS</t>
        </is>
      </c>
      <c r="G739" s="41" t="n"/>
    </row>
    <row r="740" ht="79" customHeight="1">
      <c r="A740" s="34" t="inlineStr">
        <is>
          <t>R169-v1</t>
        </is>
      </c>
      <c r="B740" s="34" t="inlineStr">
        <is>
          <t>SCH-01-169</t>
        </is>
      </c>
      <c r="C740" s="34" t="inlineStr">
        <is>
          <t>New</t>
        </is>
      </c>
      <c r="D740" s="34" t="inlineStr">
        <is>
          <t>Record first supplied in this revision</t>
        </is>
      </c>
      <c r="E740" s="39" t="inlineStr"/>
      <c r="F740" s="100" t="inlineStr">
        <is>
          <t>10 EVIDENCE &amp; DECISIONS</t>
        </is>
      </c>
      <c r="G740" s="41" t="n"/>
    </row>
    <row r="741" ht="79" customHeight="1">
      <c r="A741" s="34" t="inlineStr">
        <is>
          <t>R170-v1</t>
        </is>
      </c>
      <c r="B741" s="34" t="inlineStr">
        <is>
          <t>SCH-01-170</t>
        </is>
      </c>
      <c r="C741" s="34" t="inlineStr">
        <is>
          <t>New</t>
        </is>
      </c>
      <c r="D741" s="34" t="inlineStr">
        <is>
          <t>Record first supplied in this revision</t>
        </is>
      </c>
      <c r="E741" s="39" t="inlineStr"/>
      <c r="F741" s="100" t="inlineStr">
        <is>
          <t>10 EVIDENCE &amp; DECISIONS</t>
        </is>
      </c>
      <c r="G741" s="41" t="n"/>
    </row>
    <row r="742" ht="79" customHeight="1">
      <c r="A742" s="34" t="inlineStr">
        <is>
          <t>R171-v1</t>
        </is>
      </c>
      <c r="B742" s="34" t="inlineStr">
        <is>
          <t>SCH-01-171</t>
        </is>
      </c>
      <c r="C742" s="34" t="inlineStr">
        <is>
          <t>New</t>
        </is>
      </c>
      <c r="D742" s="34" t="inlineStr">
        <is>
          <t>Record first supplied in this revision</t>
        </is>
      </c>
      <c r="E742" s="39" t="inlineStr"/>
      <c r="F742" s="100" t="inlineStr">
        <is>
          <t>10 EVIDENCE &amp; DECISIONS</t>
        </is>
      </c>
      <c r="G742" s="41" t="n"/>
    </row>
    <row r="743" ht="79" customHeight="1">
      <c r="A743" s="34" t="inlineStr">
        <is>
          <t>R172-v1</t>
        </is>
      </c>
      <c r="B743" s="34" t="inlineStr">
        <is>
          <t>SCH-01-172</t>
        </is>
      </c>
      <c r="C743" s="34" t="inlineStr">
        <is>
          <t>New</t>
        </is>
      </c>
      <c r="D743" s="34" t="inlineStr">
        <is>
          <t>Record first supplied in this revision</t>
        </is>
      </c>
      <c r="E743" s="39" t="inlineStr"/>
      <c r="F743" s="100" t="inlineStr">
        <is>
          <t>10 EVIDENCE &amp; DECISIONS</t>
        </is>
      </c>
      <c r="G743" s="41" t="n"/>
    </row>
    <row r="744" ht="79" customHeight="1">
      <c r="A744" s="34" t="inlineStr">
        <is>
          <t>R173-v1</t>
        </is>
      </c>
      <c r="B744" s="34" t="inlineStr">
        <is>
          <t>SCH-01-173</t>
        </is>
      </c>
      <c r="C744" s="34" t="inlineStr">
        <is>
          <t>New</t>
        </is>
      </c>
      <c r="D744" s="34" t="inlineStr">
        <is>
          <t>Record first supplied in this revision</t>
        </is>
      </c>
      <c r="E744" s="39" t="inlineStr"/>
      <c r="F744" s="100" t="inlineStr">
        <is>
          <t>10 EVIDENCE &amp; DECISIONS</t>
        </is>
      </c>
      <c r="G744" s="41" t="n"/>
    </row>
    <row r="745" ht="79" customHeight="1">
      <c r="A745" s="34" t="inlineStr">
        <is>
          <t>R174-v1</t>
        </is>
      </c>
      <c r="B745" s="34" t="inlineStr">
        <is>
          <t>SCH-01-174</t>
        </is>
      </c>
      <c r="C745" s="34" t="inlineStr">
        <is>
          <t>New</t>
        </is>
      </c>
      <c r="D745" s="34" t="inlineStr">
        <is>
          <t>Record first supplied in this revision</t>
        </is>
      </c>
      <c r="E745" s="39" t="inlineStr"/>
      <c r="F745" s="100" t="inlineStr">
        <is>
          <t>10 EVIDENCE &amp; DECISIONS</t>
        </is>
      </c>
      <c r="G745" s="41" t="n"/>
    </row>
    <row r="746" ht="79" customHeight="1">
      <c r="A746" s="34" t="inlineStr">
        <is>
          <t>R175-v1</t>
        </is>
      </c>
      <c r="B746" s="34" t="inlineStr">
        <is>
          <t>SCH-01-175</t>
        </is>
      </c>
      <c r="C746" s="34" t="inlineStr">
        <is>
          <t>New</t>
        </is>
      </c>
      <c r="D746" s="34" t="inlineStr">
        <is>
          <t>Record first supplied in this revision</t>
        </is>
      </c>
      <c r="E746" s="39" t="inlineStr"/>
      <c r="F746" s="100" t="inlineStr">
        <is>
          <t>10 EVIDENCE &amp; DECISIONS</t>
        </is>
      </c>
      <c r="G746" s="41" t="n"/>
    </row>
    <row r="747" ht="79" customHeight="1">
      <c r="A747" s="34" t="inlineStr">
        <is>
          <t>R176-v1</t>
        </is>
      </c>
      <c r="B747" s="34" t="inlineStr">
        <is>
          <t>SCH-01-176</t>
        </is>
      </c>
      <c r="C747" s="34" t="inlineStr">
        <is>
          <t>New</t>
        </is>
      </c>
      <c r="D747" s="34" t="inlineStr">
        <is>
          <t>Record first supplied in this revision</t>
        </is>
      </c>
      <c r="E747" s="39" t="inlineStr"/>
      <c r="F747" s="100" t="inlineStr">
        <is>
          <t>10 EVIDENCE &amp; DECISIONS</t>
        </is>
      </c>
      <c r="G747" s="41" t="n"/>
    </row>
    <row r="748" ht="79" customHeight="1">
      <c r="A748" s="34" t="inlineStr">
        <is>
          <t>R177-v1</t>
        </is>
      </c>
      <c r="B748" s="34" t="inlineStr">
        <is>
          <t>SCH-01-177</t>
        </is>
      </c>
      <c r="C748" s="34" t="inlineStr">
        <is>
          <t>New</t>
        </is>
      </c>
      <c r="D748" s="34" t="inlineStr">
        <is>
          <t>Record first supplied in this revision</t>
        </is>
      </c>
      <c r="E748" s="39" t="inlineStr"/>
      <c r="F748" s="100" t="inlineStr">
        <is>
          <t>10 EVIDENCE &amp; DECISIONS</t>
        </is>
      </c>
      <c r="G748" s="41" t="n"/>
    </row>
    <row r="749" ht="79" customHeight="1">
      <c r="A749" s="34" t="inlineStr">
        <is>
          <t>R178-v1</t>
        </is>
      </c>
      <c r="B749" s="34" t="inlineStr">
        <is>
          <t>SCH-01-178</t>
        </is>
      </c>
      <c r="C749" s="34" t="inlineStr">
        <is>
          <t>New</t>
        </is>
      </c>
      <c r="D749" s="34" t="inlineStr">
        <is>
          <t>Record first supplied in this revision</t>
        </is>
      </c>
      <c r="E749" s="39" t="inlineStr"/>
      <c r="F749" s="100" t="inlineStr">
        <is>
          <t>10 EVIDENCE &amp; DECISIONS</t>
        </is>
      </c>
      <c r="G749" s="41" t="n"/>
    </row>
    <row r="750" ht="79" customHeight="1">
      <c r="A750" s="34" t="inlineStr">
        <is>
          <t>R179-v1</t>
        </is>
      </c>
      <c r="B750" s="34" t="inlineStr">
        <is>
          <t>SCH-01-179</t>
        </is>
      </c>
      <c r="C750" s="34" t="inlineStr">
        <is>
          <t>New</t>
        </is>
      </c>
      <c r="D750" s="34" t="inlineStr">
        <is>
          <t>Record first supplied in this revision</t>
        </is>
      </c>
      <c r="E750" s="39" t="inlineStr"/>
      <c r="F750" s="100" t="inlineStr">
        <is>
          <t>10 EVIDENCE &amp; DECISIONS</t>
        </is>
      </c>
      <c r="G750" s="41" t="n"/>
    </row>
    <row r="751" ht="79" customHeight="1">
      <c r="A751" s="34" t="inlineStr">
        <is>
          <t>R180-v1</t>
        </is>
      </c>
      <c r="B751" s="34" t="inlineStr">
        <is>
          <t>SCH-01-180</t>
        </is>
      </c>
      <c r="C751" s="34" t="inlineStr">
        <is>
          <t>New</t>
        </is>
      </c>
      <c r="D751" s="34" t="inlineStr">
        <is>
          <t>Record first supplied in this revision</t>
        </is>
      </c>
      <c r="E751" s="39" t="inlineStr"/>
      <c r="F751" s="100" t="inlineStr">
        <is>
          <t>10 EVIDENCE &amp; DECISIONS</t>
        </is>
      </c>
      <c r="G751" s="41" t="n"/>
    </row>
    <row r="752" ht="79" customHeight="1">
      <c r="A752" s="34" t="inlineStr">
        <is>
          <t>R181-v1</t>
        </is>
      </c>
      <c r="B752" s="34" t="inlineStr">
        <is>
          <t>SCH-02-001</t>
        </is>
      </c>
      <c r="C752" s="34" t="inlineStr">
        <is>
          <t>New</t>
        </is>
      </c>
      <c r="D752" s="34" t="inlineStr">
        <is>
          <t>Record first supplied in this revision</t>
        </is>
      </c>
      <c r="E752" s="39" t="inlineStr"/>
      <c r="F752" s="100" t="inlineStr">
        <is>
          <t>10 EVIDENCE &amp; DECISIONS</t>
        </is>
      </c>
      <c r="G752" s="41" t="n"/>
    </row>
    <row r="753" ht="79" customHeight="1">
      <c r="A753" s="34" t="inlineStr">
        <is>
          <t>R182-v1</t>
        </is>
      </c>
      <c r="B753" s="34" t="inlineStr">
        <is>
          <t>SCH-02-002</t>
        </is>
      </c>
      <c r="C753" s="34" t="inlineStr">
        <is>
          <t>New</t>
        </is>
      </c>
      <c r="D753" s="34" t="inlineStr">
        <is>
          <t>Record first supplied in this revision</t>
        </is>
      </c>
      <c r="E753" s="39" t="inlineStr"/>
      <c r="F753" s="100" t="inlineStr">
        <is>
          <t>10 EVIDENCE &amp; DECISIONS</t>
        </is>
      </c>
      <c r="G753" s="41" t="n"/>
    </row>
    <row r="754" ht="79" customHeight="1">
      <c r="A754" s="34" t="inlineStr">
        <is>
          <t>R183-v2</t>
        </is>
      </c>
      <c r="B754" s="34" t="inlineStr">
        <is>
          <t>SCH-02-003</t>
        </is>
      </c>
      <c r="C754" s="34" t="inlineStr">
        <is>
          <t>New</t>
        </is>
      </c>
      <c r="D754" s="34" t="inlineStr">
        <is>
          <t>Record first supplied in this revision</t>
        </is>
      </c>
      <c r="E754" s="34" t="inlineStr">
        <is>
          <t>Maya Chen, Owner Project Controls</t>
        </is>
      </c>
      <c r="F754" s="100" t="inlineStr">
        <is>
          <t>10 EVIDENCE &amp; DECISIONS</t>
        </is>
      </c>
      <c r="G754" s="41" t="n"/>
    </row>
    <row r="755" ht="79" customHeight="1">
      <c r="A755" s="34" t="inlineStr">
        <is>
          <t>R184-v1</t>
        </is>
      </c>
      <c r="B755" s="34" t="inlineStr">
        <is>
          <t>SCH-02-004</t>
        </is>
      </c>
      <c r="C755" s="34" t="inlineStr">
        <is>
          <t>New</t>
        </is>
      </c>
      <c r="D755" s="34" t="inlineStr">
        <is>
          <t>Record first supplied in this revision</t>
        </is>
      </c>
      <c r="E755" s="39" t="inlineStr"/>
      <c r="F755" s="100" t="inlineStr">
        <is>
          <t>10 EVIDENCE &amp; DECISIONS</t>
        </is>
      </c>
      <c r="G755" s="41" t="n"/>
    </row>
    <row r="756" ht="79" customHeight="1">
      <c r="A756" s="34" t="inlineStr">
        <is>
          <t>R185-v1</t>
        </is>
      </c>
      <c r="B756" s="34" t="inlineStr">
        <is>
          <t>SCH-02-005</t>
        </is>
      </c>
      <c r="C756" s="34" t="inlineStr">
        <is>
          <t>New</t>
        </is>
      </c>
      <c r="D756" s="34" t="inlineStr">
        <is>
          <t>Record first supplied in this revision</t>
        </is>
      </c>
      <c r="E756" s="39" t="inlineStr"/>
      <c r="F756" s="100" t="inlineStr">
        <is>
          <t>10 EVIDENCE &amp; DECISIONS</t>
        </is>
      </c>
      <c r="G756" s="41" t="n"/>
    </row>
    <row r="757" ht="79" customHeight="1">
      <c r="A757" s="34" t="inlineStr">
        <is>
          <t>R186-v1</t>
        </is>
      </c>
      <c r="B757" s="34" t="inlineStr">
        <is>
          <t>SCH-02-006</t>
        </is>
      </c>
      <c r="C757" s="34" t="inlineStr">
        <is>
          <t>New</t>
        </is>
      </c>
      <c r="D757" s="34" t="inlineStr">
        <is>
          <t>Record first supplied in this revision</t>
        </is>
      </c>
      <c r="E757" s="39" t="inlineStr"/>
      <c r="F757" s="100" t="inlineStr">
        <is>
          <t>10 EVIDENCE &amp; DECISIONS</t>
        </is>
      </c>
      <c r="G757" s="41" t="n"/>
    </row>
    <row r="758" ht="79" customHeight="1">
      <c r="A758" s="34" t="inlineStr">
        <is>
          <t>R187-v1</t>
        </is>
      </c>
      <c r="B758" s="34" t="inlineStr">
        <is>
          <t>SCH-02-007</t>
        </is>
      </c>
      <c r="C758" s="34" t="inlineStr">
        <is>
          <t>New</t>
        </is>
      </c>
      <c r="D758" s="34" t="inlineStr">
        <is>
          <t>Record first supplied in this revision</t>
        </is>
      </c>
      <c r="E758" s="39" t="inlineStr"/>
      <c r="F758" s="100" t="inlineStr">
        <is>
          <t>10 EVIDENCE &amp; DECISIONS</t>
        </is>
      </c>
      <c r="G758" s="41" t="n"/>
    </row>
    <row r="759" ht="79" customHeight="1">
      <c r="A759" s="34" t="inlineStr">
        <is>
          <t>R188-v1</t>
        </is>
      </c>
      <c r="B759" s="34" t="inlineStr">
        <is>
          <t>SCH-02-008</t>
        </is>
      </c>
      <c r="C759" s="34" t="inlineStr">
        <is>
          <t>New</t>
        </is>
      </c>
      <c r="D759" s="34" t="inlineStr">
        <is>
          <t>Record first supplied in this revision</t>
        </is>
      </c>
      <c r="E759" s="39" t="inlineStr"/>
      <c r="F759" s="100" t="inlineStr">
        <is>
          <t>10 EVIDENCE &amp; DECISIONS</t>
        </is>
      </c>
      <c r="G759" s="41" t="n"/>
    </row>
    <row r="760" ht="79" customHeight="1">
      <c r="A760" s="34" t="inlineStr">
        <is>
          <t>R189-v1</t>
        </is>
      </c>
      <c r="B760" s="34" t="inlineStr">
        <is>
          <t>SCH-02-009</t>
        </is>
      </c>
      <c r="C760" s="34" t="inlineStr">
        <is>
          <t>New</t>
        </is>
      </c>
      <c r="D760" s="34" t="inlineStr">
        <is>
          <t>Record first supplied in this revision</t>
        </is>
      </c>
      <c r="E760" s="39" t="inlineStr"/>
      <c r="F760" s="100" t="inlineStr">
        <is>
          <t>10 EVIDENCE &amp; DECISIONS</t>
        </is>
      </c>
      <c r="G760" s="41" t="n"/>
    </row>
    <row r="761" ht="79" customHeight="1">
      <c r="A761" s="34" t="inlineStr">
        <is>
          <t>R190-v1</t>
        </is>
      </c>
      <c r="B761" s="34" t="inlineStr">
        <is>
          <t>SCH-02-010</t>
        </is>
      </c>
      <c r="C761" s="34" t="inlineStr">
        <is>
          <t>New</t>
        </is>
      </c>
      <c r="D761" s="34" t="inlineStr">
        <is>
          <t>Record first supplied in this revision</t>
        </is>
      </c>
      <c r="E761" s="39" t="inlineStr"/>
      <c r="F761" s="100" t="inlineStr">
        <is>
          <t>10 EVIDENCE &amp; DECISIONS</t>
        </is>
      </c>
      <c r="G761" s="41" t="n"/>
    </row>
    <row r="762" ht="79" customHeight="1">
      <c r="A762" s="34" t="inlineStr">
        <is>
          <t>R191-v1</t>
        </is>
      </c>
      <c r="B762" s="34" t="inlineStr">
        <is>
          <t>SCH-02-011</t>
        </is>
      </c>
      <c r="C762" s="34" t="inlineStr">
        <is>
          <t>New</t>
        </is>
      </c>
      <c r="D762" s="34" t="inlineStr">
        <is>
          <t>Record first supplied in this revision</t>
        </is>
      </c>
      <c r="E762" s="39" t="inlineStr"/>
      <c r="F762" s="100" t="inlineStr">
        <is>
          <t>10 EVIDENCE &amp; DECISIONS</t>
        </is>
      </c>
      <c r="G762" s="41" t="n"/>
    </row>
    <row r="763" ht="79" customHeight="1">
      <c r="A763" s="34" t="inlineStr">
        <is>
          <t>R192-v1</t>
        </is>
      </c>
      <c r="B763" s="34" t="inlineStr">
        <is>
          <t>SCH-02-012</t>
        </is>
      </c>
      <c r="C763" s="34" t="inlineStr">
        <is>
          <t>New</t>
        </is>
      </c>
      <c r="D763" s="34" t="inlineStr">
        <is>
          <t>Record first supplied in this revision</t>
        </is>
      </c>
      <c r="E763" s="39" t="inlineStr"/>
      <c r="F763" s="100" t="inlineStr">
        <is>
          <t>10 EVIDENCE &amp; DECISIONS</t>
        </is>
      </c>
      <c r="G763" s="41" t="n"/>
    </row>
    <row r="764" ht="79" customHeight="1">
      <c r="A764" s="34" t="inlineStr">
        <is>
          <t>R193-v1</t>
        </is>
      </c>
      <c r="B764" s="34" t="inlineStr">
        <is>
          <t>SCH-02-013</t>
        </is>
      </c>
      <c r="C764" s="34" t="inlineStr">
        <is>
          <t>New</t>
        </is>
      </c>
      <c r="D764" s="34" t="inlineStr">
        <is>
          <t>Record first supplied in this revision</t>
        </is>
      </c>
      <c r="E764" s="39" t="inlineStr"/>
      <c r="F764" s="100" t="inlineStr">
        <is>
          <t>10 EVIDENCE &amp; DECISIONS</t>
        </is>
      </c>
      <c r="G764" s="41" t="n"/>
    </row>
    <row r="765" ht="79" customHeight="1">
      <c r="A765" s="34" t="inlineStr">
        <is>
          <t>R194-v1</t>
        </is>
      </c>
      <c r="B765" s="34" t="inlineStr">
        <is>
          <t>SCH-02-014</t>
        </is>
      </c>
      <c r="C765" s="34" t="inlineStr">
        <is>
          <t>New</t>
        </is>
      </c>
      <c r="D765" s="34" t="inlineStr">
        <is>
          <t>Record first supplied in this revision</t>
        </is>
      </c>
      <c r="E765" s="39" t="inlineStr"/>
      <c r="F765" s="100" t="inlineStr">
        <is>
          <t>10 EVIDENCE &amp; DECISIONS</t>
        </is>
      </c>
      <c r="G765" s="41" t="n"/>
    </row>
    <row r="766" ht="79" customHeight="1">
      <c r="A766" s="34" t="inlineStr">
        <is>
          <t>R195-v1</t>
        </is>
      </c>
      <c r="B766" s="34" t="inlineStr">
        <is>
          <t>SCH-02-015</t>
        </is>
      </c>
      <c r="C766" s="34" t="inlineStr">
        <is>
          <t>New</t>
        </is>
      </c>
      <c r="D766" s="34" t="inlineStr">
        <is>
          <t>Record first supplied in this revision</t>
        </is>
      </c>
      <c r="E766" s="39" t="inlineStr"/>
      <c r="F766" s="100" t="inlineStr">
        <is>
          <t>10 EVIDENCE &amp; DECISIONS</t>
        </is>
      </c>
      <c r="G766" s="41" t="n"/>
    </row>
    <row r="767" ht="79" customHeight="1">
      <c r="A767" s="34" t="inlineStr">
        <is>
          <t>R196-v1</t>
        </is>
      </c>
      <c r="B767" s="34" t="inlineStr">
        <is>
          <t>SCH-02-016</t>
        </is>
      </c>
      <c r="C767" s="34" t="inlineStr">
        <is>
          <t>New</t>
        </is>
      </c>
      <c r="D767" s="34" t="inlineStr">
        <is>
          <t>Record first supplied in this revision</t>
        </is>
      </c>
      <c r="E767" s="39" t="inlineStr"/>
      <c r="F767" s="100" t="inlineStr">
        <is>
          <t>10 EVIDENCE &amp; DECISIONS</t>
        </is>
      </c>
      <c r="G767" s="41" t="n"/>
    </row>
    <row r="768" ht="79" customHeight="1">
      <c r="A768" s="34" t="inlineStr">
        <is>
          <t>R197-v1</t>
        </is>
      </c>
      <c r="B768" s="34" t="inlineStr">
        <is>
          <t>SCH-02-017</t>
        </is>
      </c>
      <c r="C768" s="34" t="inlineStr">
        <is>
          <t>New</t>
        </is>
      </c>
      <c r="D768" s="34" t="inlineStr">
        <is>
          <t>Record first supplied in this revision</t>
        </is>
      </c>
      <c r="E768" s="39" t="inlineStr"/>
      <c r="F768" s="100" t="inlineStr">
        <is>
          <t>10 EVIDENCE &amp; DECISIONS</t>
        </is>
      </c>
      <c r="G768" s="41" t="n"/>
    </row>
    <row r="769" ht="79" customHeight="1">
      <c r="A769" s="34" t="inlineStr">
        <is>
          <t>R198-v1</t>
        </is>
      </c>
      <c r="B769" s="34" t="inlineStr">
        <is>
          <t>SCH-02-018</t>
        </is>
      </c>
      <c r="C769" s="34" t="inlineStr">
        <is>
          <t>New</t>
        </is>
      </c>
      <c r="D769" s="34" t="inlineStr">
        <is>
          <t>Record first supplied in this revision</t>
        </is>
      </c>
      <c r="E769" s="39" t="inlineStr"/>
      <c r="F769" s="100" t="inlineStr">
        <is>
          <t>10 EVIDENCE &amp; DECISIONS</t>
        </is>
      </c>
      <c r="G769" s="41" t="n"/>
    </row>
    <row r="770" ht="79" customHeight="1">
      <c r="A770" s="34" t="inlineStr">
        <is>
          <t>R199-v1</t>
        </is>
      </c>
      <c r="B770" s="34" t="inlineStr">
        <is>
          <t>SCH-02-019</t>
        </is>
      </c>
      <c r="C770" s="34" t="inlineStr">
        <is>
          <t>New</t>
        </is>
      </c>
      <c r="D770" s="34" t="inlineStr">
        <is>
          <t>Record first supplied in this revision</t>
        </is>
      </c>
      <c r="E770" s="39" t="inlineStr"/>
      <c r="F770" s="100" t="inlineStr">
        <is>
          <t>10 EVIDENCE &amp; DECISIONS</t>
        </is>
      </c>
      <c r="G770" s="41" t="n"/>
    </row>
    <row r="771" ht="79" customHeight="1">
      <c r="A771" s="34" t="inlineStr">
        <is>
          <t>R200-v1</t>
        </is>
      </c>
      <c r="B771" s="34" t="inlineStr">
        <is>
          <t>SCH-02-020</t>
        </is>
      </c>
      <c r="C771" s="34" t="inlineStr">
        <is>
          <t>New</t>
        </is>
      </c>
      <c r="D771" s="34" t="inlineStr">
        <is>
          <t>Record first supplied in this revision</t>
        </is>
      </c>
      <c r="E771" s="39" t="inlineStr"/>
      <c r="F771" s="100" t="inlineStr">
        <is>
          <t>10 EVIDENCE &amp; DECISIONS</t>
        </is>
      </c>
      <c r="G771" s="41" t="n"/>
    </row>
    <row r="772" ht="79" customHeight="1">
      <c r="A772" s="34" t="inlineStr">
        <is>
          <t>R201-v1</t>
        </is>
      </c>
      <c r="B772" s="34" t="inlineStr">
        <is>
          <t>SCH-02-021</t>
        </is>
      </c>
      <c r="C772" s="34" t="inlineStr">
        <is>
          <t>New</t>
        </is>
      </c>
      <c r="D772" s="34" t="inlineStr">
        <is>
          <t>Record first supplied in this revision</t>
        </is>
      </c>
      <c r="E772" s="39" t="inlineStr"/>
      <c r="F772" s="100" t="inlineStr">
        <is>
          <t>10 EVIDENCE &amp; DECISIONS</t>
        </is>
      </c>
      <c r="G772" s="41" t="n"/>
    </row>
    <row r="773" ht="79" customHeight="1">
      <c r="A773" s="34" t="inlineStr">
        <is>
          <t>R202-v1</t>
        </is>
      </c>
      <c r="B773" s="34" t="inlineStr">
        <is>
          <t>SCH-02-022</t>
        </is>
      </c>
      <c r="C773" s="34" t="inlineStr">
        <is>
          <t>New</t>
        </is>
      </c>
      <c r="D773" s="34" t="inlineStr">
        <is>
          <t>Record first supplied in this revision</t>
        </is>
      </c>
      <c r="E773" s="39" t="inlineStr"/>
      <c r="F773" s="100" t="inlineStr">
        <is>
          <t>10 EVIDENCE &amp; DECISIONS</t>
        </is>
      </c>
      <c r="G773" s="41" t="n"/>
    </row>
    <row r="774" ht="79" customHeight="1">
      <c r="A774" s="34" t="inlineStr">
        <is>
          <t>R203-v1</t>
        </is>
      </c>
      <c r="B774" s="34" t="inlineStr">
        <is>
          <t>SCH-02-023</t>
        </is>
      </c>
      <c r="C774" s="34" t="inlineStr">
        <is>
          <t>New</t>
        </is>
      </c>
      <c r="D774" s="34" t="inlineStr">
        <is>
          <t>Record first supplied in this revision</t>
        </is>
      </c>
      <c r="E774" s="39" t="inlineStr"/>
      <c r="F774" s="100" t="inlineStr">
        <is>
          <t>10 EVIDENCE &amp; DECISIONS</t>
        </is>
      </c>
      <c r="G774" s="41" t="n"/>
    </row>
    <row r="775" ht="79" customHeight="1">
      <c r="A775" s="34" t="inlineStr">
        <is>
          <t>R204-v1</t>
        </is>
      </c>
      <c r="B775" s="34" t="inlineStr">
        <is>
          <t>SCH-02-024</t>
        </is>
      </c>
      <c r="C775" s="34" t="inlineStr">
        <is>
          <t>New</t>
        </is>
      </c>
      <c r="D775" s="34" t="inlineStr">
        <is>
          <t>Record first supplied in this revision</t>
        </is>
      </c>
      <c r="E775" s="39" t="inlineStr"/>
      <c r="F775" s="100" t="inlineStr">
        <is>
          <t>10 EVIDENCE &amp; DECISIONS</t>
        </is>
      </c>
      <c r="G775" s="41" t="n"/>
    </row>
    <row r="776" ht="79" customHeight="1">
      <c r="A776" s="34" t="inlineStr">
        <is>
          <t>R205-v1</t>
        </is>
      </c>
      <c r="B776" s="34" t="inlineStr">
        <is>
          <t>SCH-02-025</t>
        </is>
      </c>
      <c r="C776" s="34" t="inlineStr">
        <is>
          <t>New</t>
        </is>
      </c>
      <c r="D776" s="34" t="inlineStr">
        <is>
          <t>Record first supplied in this revision</t>
        </is>
      </c>
      <c r="E776" s="39" t="inlineStr"/>
      <c r="F776" s="100" t="inlineStr">
        <is>
          <t>10 EVIDENCE &amp; DECISIONS</t>
        </is>
      </c>
      <c r="G776" s="41" t="n"/>
    </row>
    <row r="777" ht="79" customHeight="1">
      <c r="A777" s="34" t="inlineStr">
        <is>
          <t>R206-v1</t>
        </is>
      </c>
      <c r="B777" s="34" t="inlineStr">
        <is>
          <t>SCH-02-026</t>
        </is>
      </c>
      <c r="C777" s="34" t="inlineStr">
        <is>
          <t>New</t>
        </is>
      </c>
      <c r="D777" s="34" t="inlineStr">
        <is>
          <t>Record first supplied in this revision</t>
        </is>
      </c>
      <c r="E777" s="39" t="inlineStr"/>
      <c r="F777" s="100" t="inlineStr">
        <is>
          <t>10 EVIDENCE &amp; DECISIONS</t>
        </is>
      </c>
      <c r="G777" s="41" t="n"/>
    </row>
    <row r="778" ht="79" customHeight="1">
      <c r="A778" s="34" t="inlineStr">
        <is>
          <t>R207-v1</t>
        </is>
      </c>
      <c r="B778" s="34" t="inlineStr">
        <is>
          <t>SCH-02-027</t>
        </is>
      </c>
      <c r="C778" s="34" t="inlineStr">
        <is>
          <t>New</t>
        </is>
      </c>
      <c r="D778" s="34" t="inlineStr">
        <is>
          <t>Record first supplied in this revision</t>
        </is>
      </c>
      <c r="E778" s="39" t="inlineStr"/>
      <c r="F778" s="100" t="inlineStr">
        <is>
          <t>10 EVIDENCE &amp; DECISIONS</t>
        </is>
      </c>
      <c r="G778" s="41" t="n"/>
    </row>
    <row r="779" ht="79" customHeight="1">
      <c r="A779" s="34" t="inlineStr">
        <is>
          <t>R208-v1</t>
        </is>
      </c>
      <c r="B779" s="34" t="inlineStr">
        <is>
          <t>SCH-02-028</t>
        </is>
      </c>
      <c r="C779" s="34" t="inlineStr">
        <is>
          <t>New</t>
        </is>
      </c>
      <c r="D779" s="34" t="inlineStr">
        <is>
          <t>Record first supplied in this revision</t>
        </is>
      </c>
      <c r="E779" s="39" t="inlineStr"/>
      <c r="F779" s="100" t="inlineStr">
        <is>
          <t>10 EVIDENCE &amp; DECISIONS</t>
        </is>
      </c>
      <c r="G779" s="41" t="n"/>
    </row>
    <row r="780" ht="79" customHeight="1">
      <c r="A780" s="34" t="inlineStr">
        <is>
          <t>R209-v1</t>
        </is>
      </c>
      <c r="B780" s="34" t="inlineStr">
        <is>
          <t>SCH-02-029</t>
        </is>
      </c>
      <c r="C780" s="34" t="inlineStr">
        <is>
          <t>New</t>
        </is>
      </c>
      <c r="D780" s="34" t="inlineStr">
        <is>
          <t>Record first supplied in this revision</t>
        </is>
      </c>
      <c r="E780" s="39" t="inlineStr"/>
      <c r="F780" s="100" t="inlineStr">
        <is>
          <t>10 EVIDENCE &amp; DECISIONS</t>
        </is>
      </c>
      <c r="G780" s="41" t="n"/>
    </row>
    <row r="781" ht="79" customHeight="1">
      <c r="A781" s="34" t="inlineStr">
        <is>
          <t>R210-v1</t>
        </is>
      </c>
      <c r="B781" s="34" t="inlineStr">
        <is>
          <t>SCH-02-030</t>
        </is>
      </c>
      <c r="C781" s="34" t="inlineStr">
        <is>
          <t>New</t>
        </is>
      </c>
      <c r="D781" s="34" t="inlineStr">
        <is>
          <t>Record first supplied in this revision</t>
        </is>
      </c>
      <c r="E781" s="39" t="inlineStr"/>
      <c r="F781" s="100" t="inlineStr">
        <is>
          <t>10 EVIDENCE &amp; DECISIONS</t>
        </is>
      </c>
      <c r="G781" s="41" t="n"/>
    </row>
    <row r="782" ht="79" customHeight="1">
      <c r="A782" s="34" t="inlineStr">
        <is>
          <t>R211-v1</t>
        </is>
      </c>
      <c r="B782" s="34" t="inlineStr">
        <is>
          <t>SCH-02-031</t>
        </is>
      </c>
      <c r="C782" s="34" t="inlineStr">
        <is>
          <t>New</t>
        </is>
      </c>
      <c r="D782" s="34" t="inlineStr">
        <is>
          <t>Record first supplied in this revision</t>
        </is>
      </c>
      <c r="E782" s="39" t="inlineStr"/>
      <c r="F782" s="100" t="inlineStr">
        <is>
          <t>10 EVIDENCE &amp; DECISIONS</t>
        </is>
      </c>
      <c r="G782" s="41" t="n"/>
    </row>
    <row r="783" ht="79" customHeight="1">
      <c r="A783" s="34" t="inlineStr">
        <is>
          <t>R212-v1</t>
        </is>
      </c>
      <c r="B783" s="34" t="inlineStr">
        <is>
          <t>SCH-02-032</t>
        </is>
      </c>
      <c r="C783" s="34" t="inlineStr">
        <is>
          <t>New</t>
        </is>
      </c>
      <c r="D783" s="34" t="inlineStr">
        <is>
          <t>Record first supplied in this revision</t>
        </is>
      </c>
      <c r="E783" s="39" t="inlineStr"/>
      <c r="F783" s="100" t="inlineStr">
        <is>
          <t>10 EVIDENCE &amp; DECISIONS</t>
        </is>
      </c>
      <c r="G783" s="41" t="n"/>
    </row>
    <row r="784" ht="79" customHeight="1">
      <c r="A784" s="34" t="inlineStr">
        <is>
          <t>R213-v1</t>
        </is>
      </c>
      <c r="B784" s="34" t="inlineStr">
        <is>
          <t>SCH-02-033</t>
        </is>
      </c>
      <c r="C784" s="34" t="inlineStr">
        <is>
          <t>New</t>
        </is>
      </c>
      <c r="D784" s="34" t="inlineStr">
        <is>
          <t>Record first supplied in this revision</t>
        </is>
      </c>
      <c r="E784" s="39" t="inlineStr"/>
      <c r="F784" s="100" t="inlineStr">
        <is>
          <t>10 EVIDENCE &amp; DECISIONS</t>
        </is>
      </c>
      <c r="G784" s="41" t="n"/>
    </row>
    <row r="785" ht="79" customHeight="1">
      <c r="A785" s="34" t="inlineStr">
        <is>
          <t>R214-v1</t>
        </is>
      </c>
      <c r="B785" s="34" t="inlineStr">
        <is>
          <t>SCH-02-034</t>
        </is>
      </c>
      <c r="C785" s="34" t="inlineStr">
        <is>
          <t>New</t>
        </is>
      </c>
      <c r="D785" s="34" t="inlineStr">
        <is>
          <t>Record first supplied in this revision</t>
        </is>
      </c>
      <c r="E785" s="39" t="inlineStr"/>
      <c r="F785" s="100" t="inlineStr">
        <is>
          <t>10 EVIDENCE &amp; DECISIONS</t>
        </is>
      </c>
      <c r="G785" s="41" t="n"/>
    </row>
    <row r="786" ht="79" customHeight="1">
      <c r="A786" s="34" t="inlineStr">
        <is>
          <t>R215-v1</t>
        </is>
      </c>
      <c r="B786" s="34" t="inlineStr">
        <is>
          <t>SCH-02-035</t>
        </is>
      </c>
      <c r="C786" s="34" t="inlineStr">
        <is>
          <t>New</t>
        </is>
      </c>
      <c r="D786" s="34" t="inlineStr">
        <is>
          <t>Record first supplied in this revision</t>
        </is>
      </c>
      <c r="E786" s="39" t="inlineStr"/>
      <c r="F786" s="100" t="inlineStr">
        <is>
          <t>10 EVIDENCE &amp; DECISIONS</t>
        </is>
      </c>
      <c r="G786" s="41" t="n"/>
    </row>
    <row r="787" ht="79" customHeight="1">
      <c r="A787" s="34" t="inlineStr">
        <is>
          <t>R216-v1</t>
        </is>
      </c>
      <c r="B787" s="34" t="inlineStr">
        <is>
          <t>SCH-02-036</t>
        </is>
      </c>
      <c r="C787" s="34" t="inlineStr">
        <is>
          <t>New</t>
        </is>
      </c>
      <c r="D787" s="34" t="inlineStr">
        <is>
          <t>Record first supplied in this revision</t>
        </is>
      </c>
      <c r="E787" s="39" t="inlineStr"/>
      <c r="F787" s="100" t="inlineStr">
        <is>
          <t>10 EVIDENCE &amp; DECISIONS</t>
        </is>
      </c>
      <c r="G787" s="41" t="n"/>
    </row>
    <row r="788" ht="79" customHeight="1">
      <c r="A788" s="34" t="inlineStr">
        <is>
          <t>R217-v1</t>
        </is>
      </c>
      <c r="B788" s="34" t="inlineStr">
        <is>
          <t>SCH-02-037</t>
        </is>
      </c>
      <c r="C788" s="34" t="inlineStr">
        <is>
          <t>New</t>
        </is>
      </c>
      <c r="D788" s="34" t="inlineStr">
        <is>
          <t>Record first supplied in this revision</t>
        </is>
      </c>
      <c r="E788" s="39" t="inlineStr"/>
      <c r="F788" s="100" t="inlineStr">
        <is>
          <t>10 EVIDENCE &amp; DECISIONS</t>
        </is>
      </c>
      <c r="G788" s="41" t="n"/>
    </row>
    <row r="789" ht="79" customHeight="1">
      <c r="A789" s="34" t="inlineStr">
        <is>
          <t>R218-v1</t>
        </is>
      </c>
      <c r="B789" s="34" t="inlineStr">
        <is>
          <t>SCH-02-038</t>
        </is>
      </c>
      <c r="C789" s="34" t="inlineStr">
        <is>
          <t>New</t>
        </is>
      </c>
      <c r="D789" s="34" t="inlineStr">
        <is>
          <t>Record first supplied in this revision</t>
        </is>
      </c>
      <c r="E789" s="39" t="inlineStr"/>
      <c r="F789" s="100" t="inlineStr">
        <is>
          <t>10 EVIDENCE &amp; DECISIONS</t>
        </is>
      </c>
      <c r="G789" s="41" t="n"/>
    </row>
    <row r="790" ht="79" customHeight="1">
      <c r="A790" s="34" t="inlineStr">
        <is>
          <t>R219-v1</t>
        </is>
      </c>
      <c r="B790" s="34" t="inlineStr">
        <is>
          <t>SCH-02-039</t>
        </is>
      </c>
      <c r="C790" s="34" t="inlineStr">
        <is>
          <t>New</t>
        </is>
      </c>
      <c r="D790" s="34" t="inlineStr">
        <is>
          <t>Record first supplied in this revision</t>
        </is>
      </c>
      <c r="E790" s="39" t="inlineStr"/>
      <c r="F790" s="100" t="inlineStr">
        <is>
          <t>10 EVIDENCE &amp; DECISIONS</t>
        </is>
      </c>
      <c r="G790" s="41" t="n"/>
    </row>
    <row r="791" ht="79" customHeight="1">
      <c r="A791" s="34" t="inlineStr">
        <is>
          <t>R220-v1</t>
        </is>
      </c>
      <c r="B791" s="34" t="inlineStr">
        <is>
          <t>SCH-02-040</t>
        </is>
      </c>
      <c r="C791" s="34" t="inlineStr">
        <is>
          <t>New</t>
        </is>
      </c>
      <c r="D791" s="34" t="inlineStr">
        <is>
          <t>Record first supplied in this revision</t>
        </is>
      </c>
      <c r="E791" s="39" t="inlineStr"/>
      <c r="F791" s="100" t="inlineStr">
        <is>
          <t>10 EVIDENCE &amp; DECISIONS</t>
        </is>
      </c>
      <c r="G791" s="41" t="n"/>
    </row>
    <row r="792" ht="79" customHeight="1">
      <c r="A792" s="34" t="inlineStr">
        <is>
          <t>R221-v1</t>
        </is>
      </c>
      <c r="B792" s="34" t="inlineStr">
        <is>
          <t>SCH-02-041</t>
        </is>
      </c>
      <c r="C792" s="34" t="inlineStr">
        <is>
          <t>New</t>
        </is>
      </c>
      <c r="D792" s="34" t="inlineStr">
        <is>
          <t>Record first supplied in this revision</t>
        </is>
      </c>
      <c r="E792" s="39" t="inlineStr"/>
      <c r="F792" s="100" t="inlineStr">
        <is>
          <t>10 EVIDENCE &amp; DECISIONS</t>
        </is>
      </c>
      <c r="G792" s="41" t="n"/>
    </row>
    <row r="793" ht="79" customHeight="1">
      <c r="A793" s="34" t="inlineStr">
        <is>
          <t>R222-v1</t>
        </is>
      </c>
      <c r="B793" s="34" t="inlineStr">
        <is>
          <t>SCH-02-042</t>
        </is>
      </c>
      <c r="C793" s="34" t="inlineStr">
        <is>
          <t>New</t>
        </is>
      </c>
      <c r="D793" s="34" t="inlineStr">
        <is>
          <t>Record first supplied in this revision</t>
        </is>
      </c>
      <c r="E793" s="39" t="inlineStr"/>
      <c r="F793" s="100" t="inlineStr">
        <is>
          <t>10 EVIDENCE &amp; DECISIONS</t>
        </is>
      </c>
      <c r="G793" s="41" t="n"/>
    </row>
    <row r="794" ht="79" customHeight="1">
      <c r="A794" s="34" t="inlineStr">
        <is>
          <t>R223-v1</t>
        </is>
      </c>
      <c r="B794" s="34" t="inlineStr">
        <is>
          <t>SCH-02-043</t>
        </is>
      </c>
      <c r="C794" s="34" t="inlineStr">
        <is>
          <t>New</t>
        </is>
      </c>
      <c r="D794" s="34" t="inlineStr">
        <is>
          <t>Record first supplied in this revision</t>
        </is>
      </c>
      <c r="E794" s="39" t="inlineStr"/>
      <c r="F794" s="100" t="inlineStr">
        <is>
          <t>10 EVIDENCE &amp; DECISIONS</t>
        </is>
      </c>
      <c r="G794" s="41" t="n"/>
    </row>
    <row r="795" ht="79" customHeight="1">
      <c r="A795" s="34" t="inlineStr">
        <is>
          <t>R224-v1</t>
        </is>
      </c>
      <c r="B795" s="34" t="inlineStr">
        <is>
          <t>SCH-02-044</t>
        </is>
      </c>
      <c r="C795" s="34" t="inlineStr">
        <is>
          <t>New</t>
        </is>
      </c>
      <c r="D795" s="34" t="inlineStr">
        <is>
          <t>Record first supplied in this revision</t>
        </is>
      </c>
      <c r="E795" s="39" t="inlineStr"/>
      <c r="F795" s="100" t="inlineStr">
        <is>
          <t>10 EVIDENCE &amp; DECISIONS</t>
        </is>
      </c>
      <c r="G795" s="41" t="n"/>
    </row>
    <row r="796" ht="79" customHeight="1">
      <c r="A796" s="34" t="inlineStr">
        <is>
          <t>R225-v1</t>
        </is>
      </c>
      <c r="B796" s="34" t="inlineStr">
        <is>
          <t>SCH-02-045</t>
        </is>
      </c>
      <c r="C796" s="34" t="inlineStr">
        <is>
          <t>New</t>
        </is>
      </c>
      <c r="D796" s="34" t="inlineStr">
        <is>
          <t>Record first supplied in this revision</t>
        </is>
      </c>
      <c r="E796" s="39" t="inlineStr"/>
      <c r="F796" s="100" t="inlineStr">
        <is>
          <t>10 EVIDENCE &amp; DECISIONS</t>
        </is>
      </c>
      <c r="G796" s="41" t="n"/>
    </row>
    <row r="797" ht="79" customHeight="1">
      <c r="A797" s="34" t="inlineStr">
        <is>
          <t>R226-v1</t>
        </is>
      </c>
      <c r="B797" s="34" t="inlineStr">
        <is>
          <t>SCH-02-046</t>
        </is>
      </c>
      <c r="C797" s="34" t="inlineStr">
        <is>
          <t>New</t>
        </is>
      </c>
      <c r="D797" s="34" t="inlineStr">
        <is>
          <t>Record first supplied in this revision</t>
        </is>
      </c>
      <c r="E797" s="39" t="inlineStr"/>
      <c r="F797" s="100" t="inlineStr">
        <is>
          <t>10 EVIDENCE &amp; DECISIONS</t>
        </is>
      </c>
      <c r="G797" s="41" t="n"/>
    </row>
    <row r="798" ht="79" customHeight="1">
      <c r="A798" s="34" t="inlineStr">
        <is>
          <t>R227-v1</t>
        </is>
      </c>
      <c r="B798" s="34" t="inlineStr">
        <is>
          <t>SCH-02-047</t>
        </is>
      </c>
      <c r="C798" s="34" t="inlineStr">
        <is>
          <t>New</t>
        </is>
      </c>
      <c r="D798" s="34" t="inlineStr">
        <is>
          <t>Record first supplied in this revision</t>
        </is>
      </c>
      <c r="E798" s="39" t="inlineStr"/>
      <c r="F798" s="100" t="inlineStr">
        <is>
          <t>10 EVIDENCE &amp; DECISIONS</t>
        </is>
      </c>
      <c r="G798" s="41" t="n"/>
    </row>
    <row r="799" ht="79" customHeight="1">
      <c r="A799" s="34" t="inlineStr">
        <is>
          <t>R228-v1</t>
        </is>
      </c>
      <c r="B799" s="34" t="inlineStr">
        <is>
          <t>SCH-02-048</t>
        </is>
      </c>
      <c r="C799" s="34" t="inlineStr">
        <is>
          <t>New</t>
        </is>
      </c>
      <c r="D799" s="34" t="inlineStr">
        <is>
          <t>Record first supplied in this revision</t>
        </is>
      </c>
      <c r="E799" s="39" t="inlineStr"/>
      <c r="F799" s="100" t="inlineStr">
        <is>
          <t>10 EVIDENCE &amp; DECISIONS</t>
        </is>
      </c>
      <c r="G799" s="41" t="n"/>
    </row>
    <row r="800" ht="79" customHeight="1">
      <c r="A800" s="34" t="inlineStr">
        <is>
          <t>R229-v1</t>
        </is>
      </c>
      <c r="B800" s="34" t="inlineStr">
        <is>
          <t>SCH-02-049</t>
        </is>
      </c>
      <c r="C800" s="34" t="inlineStr">
        <is>
          <t>New</t>
        </is>
      </c>
      <c r="D800" s="34" t="inlineStr">
        <is>
          <t>Record first supplied in this revision</t>
        </is>
      </c>
      <c r="E800" s="39" t="inlineStr"/>
      <c r="F800" s="100" t="inlineStr">
        <is>
          <t>10 EVIDENCE &amp; DECISIONS</t>
        </is>
      </c>
      <c r="G800" s="41" t="n"/>
    </row>
    <row r="801" ht="79" customHeight="1">
      <c r="A801" s="34" t="inlineStr">
        <is>
          <t>R230-v1</t>
        </is>
      </c>
      <c r="B801" s="34" t="inlineStr">
        <is>
          <t>SCH-02-050</t>
        </is>
      </c>
      <c r="C801" s="34" t="inlineStr">
        <is>
          <t>New</t>
        </is>
      </c>
      <c r="D801" s="34" t="inlineStr">
        <is>
          <t>Record first supplied in this revision</t>
        </is>
      </c>
      <c r="E801" s="39" t="inlineStr"/>
      <c r="F801" s="100" t="inlineStr">
        <is>
          <t>10 EVIDENCE &amp; DECISIONS</t>
        </is>
      </c>
      <c r="G801" s="41" t="n"/>
    </row>
    <row r="802" ht="79" customHeight="1">
      <c r="A802" s="34" t="inlineStr">
        <is>
          <t>R231-v1</t>
        </is>
      </c>
      <c r="B802" s="34" t="inlineStr">
        <is>
          <t>SCH-02-051</t>
        </is>
      </c>
      <c r="C802" s="34" t="inlineStr">
        <is>
          <t>New</t>
        </is>
      </c>
      <c r="D802" s="34" t="inlineStr">
        <is>
          <t>Record first supplied in this revision</t>
        </is>
      </c>
      <c r="E802" s="39" t="inlineStr"/>
      <c r="F802" s="100" t="inlineStr">
        <is>
          <t>10 EVIDENCE &amp; DECISIONS</t>
        </is>
      </c>
      <c r="G802" s="41" t="n"/>
    </row>
    <row r="803" ht="79" customHeight="1">
      <c r="A803" s="34" t="inlineStr">
        <is>
          <t>R232-v1</t>
        </is>
      </c>
      <c r="B803" s="34" t="inlineStr">
        <is>
          <t>SCH-02-052</t>
        </is>
      </c>
      <c r="C803" s="34" t="inlineStr">
        <is>
          <t>New</t>
        </is>
      </c>
      <c r="D803" s="34" t="inlineStr">
        <is>
          <t>Record first supplied in this revision</t>
        </is>
      </c>
      <c r="E803" s="39" t="inlineStr"/>
      <c r="F803" s="100" t="inlineStr">
        <is>
          <t>10 EVIDENCE &amp; DECISIONS</t>
        </is>
      </c>
      <c r="G803" s="41" t="n"/>
    </row>
    <row r="804" ht="79" customHeight="1">
      <c r="A804" s="34" t="inlineStr">
        <is>
          <t>R233-v1</t>
        </is>
      </c>
      <c r="B804" s="34" t="inlineStr">
        <is>
          <t>SCH-02-053</t>
        </is>
      </c>
      <c r="C804" s="34" t="inlineStr">
        <is>
          <t>New</t>
        </is>
      </c>
      <c r="D804" s="34" t="inlineStr">
        <is>
          <t>Record first supplied in this revision</t>
        </is>
      </c>
      <c r="E804" s="39" t="inlineStr"/>
      <c r="F804" s="100" t="inlineStr">
        <is>
          <t>10 EVIDENCE &amp; DECISIONS</t>
        </is>
      </c>
      <c r="G804" s="41" t="n"/>
    </row>
    <row r="805" ht="79" customHeight="1">
      <c r="A805" s="34" t="inlineStr">
        <is>
          <t>R234-v1</t>
        </is>
      </c>
      <c r="B805" s="34" t="inlineStr">
        <is>
          <t>SCH-02-054</t>
        </is>
      </c>
      <c r="C805" s="34" t="inlineStr">
        <is>
          <t>New</t>
        </is>
      </c>
      <c r="D805" s="34" t="inlineStr">
        <is>
          <t>Record first supplied in this revision</t>
        </is>
      </c>
      <c r="E805" s="39" t="inlineStr"/>
      <c r="F805" s="100" t="inlineStr">
        <is>
          <t>10 EVIDENCE &amp; DECISIONS</t>
        </is>
      </c>
      <c r="G805" s="41" t="n"/>
    </row>
    <row r="806" ht="79" customHeight="1">
      <c r="A806" s="34" t="inlineStr">
        <is>
          <t>R235-v1</t>
        </is>
      </c>
      <c r="B806" s="34" t="inlineStr">
        <is>
          <t>SCH-02-055</t>
        </is>
      </c>
      <c r="C806" s="34" t="inlineStr">
        <is>
          <t>New</t>
        </is>
      </c>
      <c r="D806" s="34" t="inlineStr">
        <is>
          <t>Record first supplied in this revision</t>
        </is>
      </c>
      <c r="E806" s="39" t="inlineStr"/>
      <c r="F806" s="100" t="inlineStr">
        <is>
          <t>10 EVIDENCE &amp; DECISIONS</t>
        </is>
      </c>
      <c r="G806" s="41" t="n"/>
    </row>
    <row r="807" ht="79" customHeight="1">
      <c r="A807" s="34" t="inlineStr">
        <is>
          <t>R236-v1</t>
        </is>
      </c>
      <c r="B807" s="34" t="inlineStr">
        <is>
          <t>SCH-02-056</t>
        </is>
      </c>
      <c r="C807" s="34" t="inlineStr">
        <is>
          <t>New</t>
        </is>
      </c>
      <c r="D807" s="34" t="inlineStr">
        <is>
          <t>Record first supplied in this revision</t>
        </is>
      </c>
      <c r="E807" s="39" t="inlineStr"/>
      <c r="F807" s="100" t="inlineStr">
        <is>
          <t>10 EVIDENCE &amp; DECISIONS</t>
        </is>
      </c>
      <c r="G807" s="41" t="n"/>
    </row>
    <row r="808" ht="79" customHeight="1">
      <c r="A808" s="34" t="inlineStr">
        <is>
          <t>R237-v1</t>
        </is>
      </c>
      <c r="B808" s="34" t="inlineStr">
        <is>
          <t>SCH-02-057</t>
        </is>
      </c>
      <c r="C808" s="34" t="inlineStr">
        <is>
          <t>New</t>
        </is>
      </c>
      <c r="D808" s="34" t="inlineStr">
        <is>
          <t>Record first supplied in this revision</t>
        </is>
      </c>
      <c r="E808" s="39" t="inlineStr"/>
      <c r="F808" s="100" t="inlineStr">
        <is>
          <t>10 EVIDENCE &amp; DECISIONS</t>
        </is>
      </c>
      <c r="G808" s="41" t="n"/>
    </row>
    <row r="809" ht="79" customHeight="1">
      <c r="A809" s="34" t="inlineStr">
        <is>
          <t>R238-v1</t>
        </is>
      </c>
      <c r="B809" s="34" t="inlineStr">
        <is>
          <t>SCH-02-058</t>
        </is>
      </c>
      <c r="C809" s="34" t="inlineStr">
        <is>
          <t>New</t>
        </is>
      </c>
      <c r="D809" s="34" t="inlineStr">
        <is>
          <t>Record first supplied in this revision</t>
        </is>
      </c>
      <c r="E809" s="39" t="inlineStr"/>
      <c r="F809" s="100" t="inlineStr">
        <is>
          <t>10 EVIDENCE &amp; DECISIONS</t>
        </is>
      </c>
      <c r="G809" s="41" t="n"/>
    </row>
    <row r="810" ht="79" customHeight="1">
      <c r="A810" s="34" t="inlineStr">
        <is>
          <t>R239-v1</t>
        </is>
      </c>
      <c r="B810" s="34" t="inlineStr">
        <is>
          <t>SCH-02-059</t>
        </is>
      </c>
      <c r="C810" s="34" t="inlineStr">
        <is>
          <t>New</t>
        </is>
      </c>
      <c r="D810" s="34" t="inlineStr">
        <is>
          <t>Record first supplied in this revision</t>
        </is>
      </c>
      <c r="E810" s="39" t="inlineStr"/>
      <c r="F810" s="100" t="inlineStr">
        <is>
          <t>10 EVIDENCE &amp; DECISIONS</t>
        </is>
      </c>
      <c r="G810" s="41" t="n"/>
    </row>
    <row r="811" ht="79" customHeight="1">
      <c r="A811" s="34" t="inlineStr">
        <is>
          <t>R240-v1</t>
        </is>
      </c>
      <c r="B811" s="34" t="inlineStr">
        <is>
          <t>SCH-02-060</t>
        </is>
      </c>
      <c r="C811" s="34" t="inlineStr">
        <is>
          <t>New</t>
        </is>
      </c>
      <c r="D811" s="34" t="inlineStr">
        <is>
          <t>Record first supplied in this revision</t>
        </is>
      </c>
      <c r="E811" s="39" t="inlineStr"/>
      <c r="F811" s="100" t="inlineStr">
        <is>
          <t>10 EVIDENCE &amp; DECISIONS</t>
        </is>
      </c>
      <c r="G811" s="41" t="n"/>
    </row>
    <row r="812" ht="79" customHeight="1">
      <c r="A812" s="34" t="inlineStr">
        <is>
          <t>R241-v1</t>
        </is>
      </c>
      <c r="B812" s="34" t="inlineStr">
        <is>
          <t>SCH-02-061</t>
        </is>
      </c>
      <c r="C812" s="34" t="inlineStr">
        <is>
          <t>New</t>
        </is>
      </c>
      <c r="D812" s="34" t="inlineStr">
        <is>
          <t>Record first supplied in this revision</t>
        </is>
      </c>
      <c r="E812" s="39" t="inlineStr"/>
      <c r="F812" s="100" t="inlineStr">
        <is>
          <t>10 EVIDENCE &amp; DECISIONS</t>
        </is>
      </c>
      <c r="G812" s="41" t="n"/>
    </row>
    <row r="813" ht="79" customHeight="1">
      <c r="A813" s="34" t="inlineStr">
        <is>
          <t>R242-v1</t>
        </is>
      </c>
      <c r="B813" s="34" t="inlineStr">
        <is>
          <t>SCH-02-062</t>
        </is>
      </c>
      <c r="C813" s="34" t="inlineStr">
        <is>
          <t>New</t>
        </is>
      </c>
      <c r="D813" s="34" t="inlineStr">
        <is>
          <t>Record first supplied in this revision</t>
        </is>
      </c>
      <c r="E813" s="39" t="inlineStr"/>
      <c r="F813" s="100" t="inlineStr">
        <is>
          <t>10 EVIDENCE &amp; DECISIONS</t>
        </is>
      </c>
      <c r="G813" s="41" t="n"/>
    </row>
    <row r="814" ht="79" customHeight="1">
      <c r="A814" s="34" t="inlineStr">
        <is>
          <t>R243-v1</t>
        </is>
      </c>
      <c r="B814" s="34" t="inlineStr">
        <is>
          <t>SCH-02-063</t>
        </is>
      </c>
      <c r="C814" s="34" t="inlineStr">
        <is>
          <t>New</t>
        </is>
      </c>
      <c r="D814" s="34" t="inlineStr">
        <is>
          <t>Record first supplied in this revision</t>
        </is>
      </c>
      <c r="E814" s="39" t="inlineStr"/>
      <c r="F814" s="100" t="inlineStr">
        <is>
          <t>10 EVIDENCE &amp; DECISIONS</t>
        </is>
      </c>
      <c r="G814" s="41" t="n"/>
    </row>
    <row r="815" ht="79" customHeight="1">
      <c r="A815" s="34" t="inlineStr">
        <is>
          <t>R244-v1</t>
        </is>
      </c>
      <c r="B815" s="34" t="inlineStr">
        <is>
          <t>SCH-02-064</t>
        </is>
      </c>
      <c r="C815" s="34" t="inlineStr">
        <is>
          <t>New</t>
        </is>
      </c>
      <c r="D815" s="34" t="inlineStr">
        <is>
          <t>Record first supplied in this revision</t>
        </is>
      </c>
      <c r="E815" s="39" t="inlineStr"/>
      <c r="F815" s="100" t="inlineStr">
        <is>
          <t>10 EVIDENCE &amp; DECISIONS</t>
        </is>
      </c>
      <c r="G815" s="41" t="n"/>
    </row>
    <row r="816" ht="79" customHeight="1">
      <c r="A816" s="34" t="inlineStr">
        <is>
          <t>R245-v1</t>
        </is>
      </c>
      <c r="B816" s="34" t="inlineStr">
        <is>
          <t>SCH-02-065</t>
        </is>
      </c>
      <c r="C816" s="34" t="inlineStr">
        <is>
          <t>New</t>
        </is>
      </c>
      <c r="D816" s="34" t="inlineStr">
        <is>
          <t>Record first supplied in this revision</t>
        </is>
      </c>
      <c r="E816" s="39" t="inlineStr"/>
      <c r="F816" s="100" t="inlineStr">
        <is>
          <t>10 EVIDENCE &amp; DECISIONS</t>
        </is>
      </c>
      <c r="G816" s="41" t="n"/>
    </row>
    <row r="817" ht="79" customHeight="1">
      <c r="A817" s="34" t="inlineStr">
        <is>
          <t>R246-v1</t>
        </is>
      </c>
      <c r="B817" s="34" t="inlineStr">
        <is>
          <t>SCH-02-066</t>
        </is>
      </c>
      <c r="C817" s="34" t="inlineStr">
        <is>
          <t>New</t>
        </is>
      </c>
      <c r="D817" s="34" t="inlineStr">
        <is>
          <t>Record first supplied in this revision</t>
        </is>
      </c>
      <c r="E817" s="39" t="inlineStr"/>
      <c r="F817" s="100" t="inlineStr">
        <is>
          <t>10 EVIDENCE &amp; DECISIONS</t>
        </is>
      </c>
      <c r="G817" s="41" t="n"/>
    </row>
    <row r="818" ht="79" customHeight="1">
      <c r="A818" s="34" t="inlineStr">
        <is>
          <t>R247-v1</t>
        </is>
      </c>
      <c r="B818" s="34" t="inlineStr">
        <is>
          <t>SCH-02-067</t>
        </is>
      </c>
      <c r="C818" s="34" t="inlineStr">
        <is>
          <t>New</t>
        </is>
      </c>
      <c r="D818" s="34" t="inlineStr">
        <is>
          <t>Record first supplied in this revision</t>
        </is>
      </c>
      <c r="E818" s="39" t="inlineStr"/>
      <c r="F818" s="100" t="inlineStr">
        <is>
          <t>10 EVIDENCE &amp; DECISIONS</t>
        </is>
      </c>
      <c r="G818" s="41" t="n"/>
    </row>
    <row r="819" ht="79" customHeight="1">
      <c r="A819" s="34" t="inlineStr">
        <is>
          <t>R248-v1</t>
        </is>
      </c>
      <c r="B819" s="34" t="inlineStr">
        <is>
          <t>SCH-02-068</t>
        </is>
      </c>
      <c r="C819" s="34" t="inlineStr">
        <is>
          <t>New</t>
        </is>
      </c>
      <c r="D819" s="34" t="inlineStr">
        <is>
          <t>Record first supplied in this revision</t>
        </is>
      </c>
      <c r="E819" s="39" t="inlineStr"/>
      <c r="F819" s="100" t="inlineStr">
        <is>
          <t>10 EVIDENCE &amp; DECISIONS</t>
        </is>
      </c>
      <c r="G819" s="41" t="n"/>
    </row>
    <row r="820" ht="79" customHeight="1">
      <c r="A820" s="34" t="inlineStr">
        <is>
          <t>R249-v1</t>
        </is>
      </c>
      <c r="B820" s="34" t="inlineStr">
        <is>
          <t>SCH-02-069</t>
        </is>
      </c>
      <c r="C820" s="34" t="inlineStr">
        <is>
          <t>New</t>
        </is>
      </c>
      <c r="D820" s="34" t="inlineStr">
        <is>
          <t>Record first supplied in this revision</t>
        </is>
      </c>
      <c r="E820" s="39" t="inlineStr"/>
      <c r="F820" s="100" t="inlineStr">
        <is>
          <t>10 EVIDENCE &amp; DECISIONS</t>
        </is>
      </c>
      <c r="G820" s="41" t="n"/>
    </row>
    <row r="821" ht="79" customHeight="1">
      <c r="A821" s="34" t="inlineStr">
        <is>
          <t>R250-v1</t>
        </is>
      </c>
      <c r="B821" s="34" t="inlineStr">
        <is>
          <t>SCH-02-070</t>
        </is>
      </c>
      <c r="C821" s="34" t="inlineStr">
        <is>
          <t>New</t>
        </is>
      </c>
      <c r="D821" s="34" t="inlineStr">
        <is>
          <t>Record first supplied in this revision</t>
        </is>
      </c>
      <c r="E821" s="39" t="inlineStr"/>
      <c r="F821" s="100" t="inlineStr">
        <is>
          <t>10 EVIDENCE &amp; DECISIONS</t>
        </is>
      </c>
      <c r="G821" s="41" t="n"/>
    </row>
    <row r="822" ht="79" customHeight="1">
      <c r="A822" s="34" t="inlineStr">
        <is>
          <t>R251-v1</t>
        </is>
      </c>
      <c r="B822" s="34" t="inlineStr">
        <is>
          <t>SCH-02-071</t>
        </is>
      </c>
      <c r="C822" s="34" t="inlineStr">
        <is>
          <t>New</t>
        </is>
      </c>
      <c r="D822" s="34" t="inlineStr">
        <is>
          <t>Record first supplied in this revision</t>
        </is>
      </c>
      <c r="E822" s="39" t="inlineStr"/>
      <c r="F822" s="100" t="inlineStr">
        <is>
          <t>10 EVIDENCE &amp; DECISIONS</t>
        </is>
      </c>
      <c r="G822" s="41" t="n"/>
    </row>
    <row r="823" ht="79" customHeight="1">
      <c r="A823" s="34" t="inlineStr">
        <is>
          <t>R252-v1</t>
        </is>
      </c>
      <c r="B823" s="34" t="inlineStr">
        <is>
          <t>SCH-02-072</t>
        </is>
      </c>
      <c r="C823" s="34" t="inlineStr">
        <is>
          <t>New</t>
        </is>
      </c>
      <c r="D823" s="34" t="inlineStr">
        <is>
          <t>Record first supplied in this revision</t>
        </is>
      </c>
      <c r="E823" s="39" t="inlineStr"/>
      <c r="F823" s="100" t="inlineStr">
        <is>
          <t>10 EVIDENCE &amp; DECISIONS</t>
        </is>
      </c>
      <c r="G823" s="41" t="n"/>
    </row>
    <row r="824" ht="79" customHeight="1">
      <c r="A824" s="34" t="inlineStr">
        <is>
          <t>R253-v1</t>
        </is>
      </c>
      <c r="B824" s="34" t="inlineStr">
        <is>
          <t>SCH-02-073</t>
        </is>
      </c>
      <c r="C824" s="34" t="inlineStr">
        <is>
          <t>New</t>
        </is>
      </c>
      <c r="D824" s="34" t="inlineStr">
        <is>
          <t>Record first supplied in this revision</t>
        </is>
      </c>
      <c r="E824" s="39" t="inlineStr"/>
      <c r="F824" s="100" t="inlineStr">
        <is>
          <t>10 EVIDENCE &amp; DECISIONS</t>
        </is>
      </c>
      <c r="G824" s="41" t="n"/>
    </row>
    <row r="825" ht="79" customHeight="1">
      <c r="A825" s="34" t="inlineStr">
        <is>
          <t>R254-v1</t>
        </is>
      </c>
      <c r="B825" s="34" t="inlineStr">
        <is>
          <t>SCH-02-074</t>
        </is>
      </c>
      <c r="C825" s="34" t="inlineStr">
        <is>
          <t>New</t>
        </is>
      </c>
      <c r="D825" s="34" t="inlineStr">
        <is>
          <t>Record first supplied in this revision</t>
        </is>
      </c>
      <c r="E825" s="39" t="inlineStr"/>
      <c r="F825" s="100" t="inlineStr">
        <is>
          <t>10 EVIDENCE &amp; DECISIONS</t>
        </is>
      </c>
      <c r="G825" s="41" t="n"/>
    </row>
    <row r="826" ht="79" customHeight="1">
      <c r="A826" s="34" t="inlineStr">
        <is>
          <t>R255-v1</t>
        </is>
      </c>
      <c r="B826" s="34" t="inlineStr">
        <is>
          <t>SCH-02-075</t>
        </is>
      </c>
      <c r="C826" s="34" t="inlineStr">
        <is>
          <t>New</t>
        </is>
      </c>
      <c r="D826" s="34" t="inlineStr">
        <is>
          <t>Record first supplied in this revision</t>
        </is>
      </c>
      <c r="E826" s="39" t="inlineStr"/>
      <c r="F826" s="100" t="inlineStr">
        <is>
          <t>10 EVIDENCE &amp; DECISIONS</t>
        </is>
      </c>
      <c r="G826" s="41" t="n"/>
    </row>
    <row r="827" ht="79" customHeight="1">
      <c r="A827" s="34" t="inlineStr">
        <is>
          <t>R256-v1</t>
        </is>
      </c>
      <c r="B827" s="34" t="inlineStr">
        <is>
          <t>SCH-02-076</t>
        </is>
      </c>
      <c r="C827" s="34" t="inlineStr">
        <is>
          <t>New</t>
        </is>
      </c>
      <c r="D827" s="34" t="inlineStr">
        <is>
          <t>Record first supplied in this revision</t>
        </is>
      </c>
      <c r="E827" s="39" t="inlineStr"/>
      <c r="F827" s="100" t="inlineStr">
        <is>
          <t>10 EVIDENCE &amp; DECISIONS</t>
        </is>
      </c>
      <c r="G827" s="41" t="n"/>
    </row>
    <row r="828" ht="79" customHeight="1">
      <c r="A828" s="34" t="inlineStr">
        <is>
          <t>R257-v1</t>
        </is>
      </c>
      <c r="B828" s="34" t="inlineStr">
        <is>
          <t>SCH-02-077</t>
        </is>
      </c>
      <c r="C828" s="34" t="inlineStr">
        <is>
          <t>New</t>
        </is>
      </c>
      <c r="D828" s="34" t="inlineStr">
        <is>
          <t>Record first supplied in this revision</t>
        </is>
      </c>
      <c r="E828" s="39" t="inlineStr"/>
      <c r="F828" s="100" t="inlineStr">
        <is>
          <t>10 EVIDENCE &amp; DECISIONS</t>
        </is>
      </c>
      <c r="G828" s="41" t="n"/>
    </row>
    <row r="829" ht="79" customHeight="1">
      <c r="A829" s="34" t="inlineStr">
        <is>
          <t>R258-v1</t>
        </is>
      </c>
      <c r="B829" s="34" t="inlineStr">
        <is>
          <t>SCH-02-078</t>
        </is>
      </c>
      <c r="C829" s="34" t="inlineStr">
        <is>
          <t>New</t>
        </is>
      </c>
      <c r="D829" s="34" t="inlineStr">
        <is>
          <t>Record first supplied in this revision</t>
        </is>
      </c>
      <c r="E829" s="39" t="inlineStr"/>
      <c r="F829" s="100" t="inlineStr">
        <is>
          <t>10 EVIDENCE &amp; DECISIONS</t>
        </is>
      </c>
      <c r="G829" s="41" t="n"/>
    </row>
    <row r="830" ht="79" customHeight="1">
      <c r="A830" s="34" t="inlineStr">
        <is>
          <t>R259-v1</t>
        </is>
      </c>
      <c r="B830" s="34" t="inlineStr">
        <is>
          <t>SCH-02-079</t>
        </is>
      </c>
      <c r="C830" s="34" t="inlineStr">
        <is>
          <t>New</t>
        </is>
      </c>
      <c r="D830" s="34" t="inlineStr">
        <is>
          <t>Record first supplied in this revision</t>
        </is>
      </c>
      <c r="E830" s="39" t="inlineStr"/>
      <c r="F830" s="100" t="inlineStr">
        <is>
          <t>10 EVIDENCE &amp; DECISIONS</t>
        </is>
      </c>
      <c r="G830" s="41" t="n"/>
    </row>
    <row r="831" ht="79" customHeight="1">
      <c r="A831" s="34" t="inlineStr">
        <is>
          <t>R260-v1</t>
        </is>
      </c>
      <c r="B831" s="34" t="inlineStr">
        <is>
          <t>SCH-02-080</t>
        </is>
      </c>
      <c r="C831" s="34" t="inlineStr">
        <is>
          <t>New</t>
        </is>
      </c>
      <c r="D831" s="34" t="inlineStr">
        <is>
          <t>Record first supplied in this revision</t>
        </is>
      </c>
      <c r="E831" s="39" t="inlineStr"/>
      <c r="F831" s="100" t="inlineStr">
        <is>
          <t>10 EVIDENCE &amp; DECISIONS</t>
        </is>
      </c>
      <c r="G831" s="41" t="n"/>
    </row>
    <row r="832" ht="79" customHeight="1">
      <c r="A832" s="34" t="inlineStr">
        <is>
          <t>R261-v1</t>
        </is>
      </c>
      <c r="B832" s="34" t="inlineStr">
        <is>
          <t>SCH-02-081</t>
        </is>
      </c>
      <c r="C832" s="34" t="inlineStr">
        <is>
          <t>New</t>
        </is>
      </c>
      <c r="D832" s="34" t="inlineStr">
        <is>
          <t>Record first supplied in this revision</t>
        </is>
      </c>
      <c r="E832" s="39" t="inlineStr"/>
      <c r="F832" s="100" t="inlineStr">
        <is>
          <t>10 EVIDENCE &amp; DECISIONS</t>
        </is>
      </c>
      <c r="G832" s="41" t="n"/>
    </row>
    <row r="833" ht="79" customHeight="1">
      <c r="A833" s="34" t="inlineStr">
        <is>
          <t>R262-v1</t>
        </is>
      </c>
      <c r="B833" s="34" t="inlineStr">
        <is>
          <t>SCH-02-082</t>
        </is>
      </c>
      <c r="C833" s="34" t="inlineStr">
        <is>
          <t>New</t>
        </is>
      </c>
      <c r="D833" s="34" t="inlineStr">
        <is>
          <t>Record first supplied in this revision</t>
        </is>
      </c>
      <c r="E833" s="39" t="inlineStr"/>
      <c r="F833" s="100" t="inlineStr">
        <is>
          <t>10 EVIDENCE &amp; DECISIONS</t>
        </is>
      </c>
      <c r="G833" s="41" t="n"/>
    </row>
    <row r="834" ht="79" customHeight="1">
      <c r="A834" s="34" t="inlineStr">
        <is>
          <t>R263-v1</t>
        </is>
      </c>
      <c r="B834" s="34" t="inlineStr">
        <is>
          <t>SCH-02-083</t>
        </is>
      </c>
      <c r="C834" s="34" t="inlineStr">
        <is>
          <t>New</t>
        </is>
      </c>
      <c r="D834" s="34" t="inlineStr">
        <is>
          <t>Record first supplied in this revision</t>
        </is>
      </c>
      <c r="E834" s="39" t="inlineStr"/>
      <c r="F834" s="100" t="inlineStr">
        <is>
          <t>10 EVIDENCE &amp; DECISIONS</t>
        </is>
      </c>
      <c r="G834" s="41" t="n"/>
    </row>
    <row r="835" ht="79" customHeight="1">
      <c r="A835" s="34" t="inlineStr">
        <is>
          <t>R264-v1</t>
        </is>
      </c>
      <c r="B835" s="34" t="inlineStr">
        <is>
          <t>SCH-02-084</t>
        </is>
      </c>
      <c r="C835" s="34" t="inlineStr">
        <is>
          <t>New</t>
        </is>
      </c>
      <c r="D835" s="34" t="inlineStr">
        <is>
          <t>Record first supplied in this revision</t>
        </is>
      </c>
      <c r="E835" s="39" t="inlineStr"/>
      <c r="F835" s="100" t="inlineStr">
        <is>
          <t>10 EVIDENCE &amp; DECISIONS</t>
        </is>
      </c>
      <c r="G835" s="41" t="n"/>
    </row>
    <row r="836" ht="79" customHeight="1">
      <c r="A836" s="34" t="inlineStr">
        <is>
          <t>R265-v1</t>
        </is>
      </c>
      <c r="B836" s="34" t="inlineStr">
        <is>
          <t>SCH-02-085</t>
        </is>
      </c>
      <c r="C836" s="34" t="inlineStr">
        <is>
          <t>New</t>
        </is>
      </c>
      <c r="D836" s="34" t="inlineStr">
        <is>
          <t>Record first supplied in this revision</t>
        </is>
      </c>
      <c r="E836" s="39" t="inlineStr"/>
      <c r="F836" s="100" t="inlineStr">
        <is>
          <t>10 EVIDENCE &amp; DECISIONS</t>
        </is>
      </c>
      <c r="G836" s="41" t="n"/>
    </row>
    <row r="837" ht="79" customHeight="1">
      <c r="A837" s="34" t="inlineStr">
        <is>
          <t>R266-v1</t>
        </is>
      </c>
      <c r="B837" s="34" t="inlineStr">
        <is>
          <t>SCH-02-086</t>
        </is>
      </c>
      <c r="C837" s="34" t="inlineStr">
        <is>
          <t>New</t>
        </is>
      </c>
      <c r="D837" s="34" t="inlineStr">
        <is>
          <t>Record first supplied in this revision</t>
        </is>
      </c>
      <c r="E837" s="39" t="inlineStr"/>
      <c r="F837" s="100" t="inlineStr">
        <is>
          <t>10 EVIDENCE &amp; DECISIONS</t>
        </is>
      </c>
      <c r="G837" s="41" t="n"/>
    </row>
    <row r="838" ht="79" customHeight="1">
      <c r="A838" s="34" t="inlineStr">
        <is>
          <t>R267-v1</t>
        </is>
      </c>
      <c r="B838" s="34" t="inlineStr">
        <is>
          <t>SCH-02-087</t>
        </is>
      </c>
      <c r="C838" s="34" t="inlineStr">
        <is>
          <t>New</t>
        </is>
      </c>
      <c r="D838" s="34" t="inlineStr">
        <is>
          <t>Record first supplied in this revision</t>
        </is>
      </c>
      <c r="E838" s="39" t="inlineStr"/>
      <c r="F838" s="100" t="inlineStr">
        <is>
          <t>10 EVIDENCE &amp; DECISIONS</t>
        </is>
      </c>
      <c r="G838" s="41" t="n"/>
    </row>
    <row r="839" ht="79" customHeight="1">
      <c r="A839" s="34" t="inlineStr">
        <is>
          <t>R268-v1</t>
        </is>
      </c>
      <c r="B839" s="34" t="inlineStr">
        <is>
          <t>SCH-02-088</t>
        </is>
      </c>
      <c r="C839" s="34" t="inlineStr">
        <is>
          <t>New</t>
        </is>
      </c>
      <c r="D839" s="34" t="inlineStr">
        <is>
          <t>Record first supplied in this revision</t>
        </is>
      </c>
      <c r="E839" s="39" t="inlineStr"/>
      <c r="F839" s="100" t="inlineStr">
        <is>
          <t>10 EVIDENCE &amp; DECISIONS</t>
        </is>
      </c>
      <c r="G839" s="41" t="n"/>
    </row>
    <row r="840" ht="79" customHeight="1">
      <c r="A840" s="34" t="inlineStr">
        <is>
          <t>R269-v1</t>
        </is>
      </c>
      <c r="B840" s="34" t="inlineStr">
        <is>
          <t>SCH-02-089</t>
        </is>
      </c>
      <c r="C840" s="34" t="inlineStr">
        <is>
          <t>New</t>
        </is>
      </c>
      <c r="D840" s="34" t="inlineStr">
        <is>
          <t>Record first supplied in this revision</t>
        </is>
      </c>
      <c r="E840" s="39" t="inlineStr"/>
      <c r="F840" s="100" t="inlineStr">
        <is>
          <t>10 EVIDENCE &amp; DECISIONS</t>
        </is>
      </c>
      <c r="G840" s="41" t="n"/>
    </row>
    <row r="841" ht="79" customHeight="1">
      <c r="A841" s="34" t="inlineStr">
        <is>
          <t>R270-v1</t>
        </is>
      </c>
      <c r="B841" s="34" t="inlineStr">
        <is>
          <t>SCH-02-090</t>
        </is>
      </c>
      <c r="C841" s="34" t="inlineStr">
        <is>
          <t>New</t>
        </is>
      </c>
      <c r="D841" s="34" t="inlineStr">
        <is>
          <t>Record first supplied in this revision</t>
        </is>
      </c>
      <c r="E841" s="39" t="inlineStr"/>
      <c r="F841" s="100" t="inlineStr">
        <is>
          <t>10 EVIDENCE &amp; DECISIONS</t>
        </is>
      </c>
      <c r="G841" s="41" t="n"/>
    </row>
    <row r="842" ht="79" customHeight="1">
      <c r="A842" s="34" t="inlineStr">
        <is>
          <t>R271-v1</t>
        </is>
      </c>
      <c r="B842" s="34" t="inlineStr">
        <is>
          <t>SCH-02-091</t>
        </is>
      </c>
      <c r="C842" s="34" t="inlineStr">
        <is>
          <t>New</t>
        </is>
      </c>
      <c r="D842" s="34" t="inlineStr">
        <is>
          <t>Record first supplied in this revision</t>
        </is>
      </c>
      <c r="E842" s="39" t="inlineStr"/>
      <c r="F842" s="100" t="inlineStr">
        <is>
          <t>10 EVIDENCE &amp; DECISIONS</t>
        </is>
      </c>
      <c r="G842" s="41" t="n"/>
    </row>
    <row r="843" ht="79" customHeight="1">
      <c r="A843" s="34" t="inlineStr">
        <is>
          <t>R272-v1</t>
        </is>
      </c>
      <c r="B843" s="34" t="inlineStr">
        <is>
          <t>SCH-02-092</t>
        </is>
      </c>
      <c r="C843" s="34" t="inlineStr">
        <is>
          <t>New</t>
        </is>
      </c>
      <c r="D843" s="34" t="inlineStr">
        <is>
          <t>Record first supplied in this revision</t>
        </is>
      </c>
      <c r="E843" s="39" t="inlineStr"/>
      <c r="F843" s="100" t="inlineStr">
        <is>
          <t>10 EVIDENCE &amp; DECISIONS</t>
        </is>
      </c>
      <c r="G843" s="41" t="n"/>
    </row>
    <row r="844" ht="79" customHeight="1">
      <c r="A844" s="34" t="inlineStr">
        <is>
          <t>R273-v1</t>
        </is>
      </c>
      <c r="B844" s="34" t="inlineStr">
        <is>
          <t>SCH-02-093</t>
        </is>
      </c>
      <c r="C844" s="34" t="inlineStr">
        <is>
          <t>New</t>
        </is>
      </c>
      <c r="D844" s="34" t="inlineStr">
        <is>
          <t>Record first supplied in this revision</t>
        </is>
      </c>
      <c r="E844" s="39" t="inlineStr"/>
      <c r="F844" s="100" t="inlineStr">
        <is>
          <t>10 EVIDENCE &amp; DECISIONS</t>
        </is>
      </c>
      <c r="G844" s="41" t="n"/>
    </row>
    <row r="845" ht="79" customHeight="1">
      <c r="A845" s="34" t="inlineStr">
        <is>
          <t>R274-v1</t>
        </is>
      </c>
      <c r="B845" s="34" t="inlineStr">
        <is>
          <t>SCH-02-094</t>
        </is>
      </c>
      <c r="C845" s="34" t="inlineStr">
        <is>
          <t>New</t>
        </is>
      </c>
      <c r="D845" s="34" t="inlineStr">
        <is>
          <t>Record first supplied in this revision</t>
        </is>
      </c>
      <c r="E845" s="39" t="inlineStr"/>
      <c r="F845" s="100" t="inlineStr">
        <is>
          <t>10 EVIDENCE &amp; DECISIONS</t>
        </is>
      </c>
      <c r="G845" s="41" t="n"/>
    </row>
    <row r="846" ht="79" customHeight="1">
      <c r="A846" s="34" t="inlineStr">
        <is>
          <t>R275-v1</t>
        </is>
      </c>
      <c r="B846" s="34" t="inlineStr">
        <is>
          <t>SCH-02-095</t>
        </is>
      </c>
      <c r="C846" s="34" t="inlineStr">
        <is>
          <t>New</t>
        </is>
      </c>
      <c r="D846" s="34" t="inlineStr">
        <is>
          <t>Record first supplied in this revision</t>
        </is>
      </c>
      <c r="E846" s="39" t="inlineStr"/>
      <c r="F846" s="100" t="inlineStr">
        <is>
          <t>10 EVIDENCE &amp; DECISIONS</t>
        </is>
      </c>
      <c r="G846" s="41" t="n"/>
    </row>
    <row r="847" ht="79" customHeight="1">
      <c r="A847" s="34" t="inlineStr">
        <is>
          <t>R276-v1</t>
        </is>
      </c>
      <c r="B847" s="34" t="inlineStr">
        <is>
          <t>SCH-02-096</t>
        </is>
      </c>
      <c r="C847" s="34" t="inlineStr">
        <is>
          <t>New</t>
        </is>
      </c>
      <c r="D847" s="34" t="inlineStr">
        <is>
          <t>Record first supplied in this revision</t>
        </is>
      </c>
      <c r="E847" s="39" t="inlineStr"/>
      <c r="F847" s="100" t="inlineStr">
        <is>
          <t>10 EVIDENCE &amp; DECISIONS</t>
        </is>
      </c>
      <c r="G847" s="41" t="n"/>
    </row>
    <row r="848" ht="79" customHeight="1">
      <c r="A848" s="34" t="inlineStr">
        <is>
          <t>R277-v1</t>
        </is>
      </c>
      <c r="B848" s="34" t="inlineStr">
        <is>
          <t>SCH-02-097</t>
        </is>
      </c>
      <c r="C848" s="34" t="inlineStr">
        <is>
          <t>New</t>
        </is>
      </c>
      <c r="D848" s="34" t="inlineStr">
        <is>
          <t>Record first supplied in this revision</t>
        </is>
      </c>
      <c r="E848" s="39" t="inlineStr"/>
      <c r="F848" s="100" t="inlineStr">
        <is>
          <t>10 EVIDENCE &amp; DECISIONS</t>
        </is>
      </c>
      <c r="G848" s="41" t="n"/>
    </row>
    <row r="849" ht="79" customHeight="1">
      <c r="A849" s="34" t="inlineStr">
        <is>
          <t>R278-v1</t>
        </is>
      </c>
      <c r="B849" s="34" t="inlineStr">
        <is>
          <t>SCH-02-098</t>
        </is>
      </c>
      <c r="C849" s="34" t="inlineStr">
        <is>
          <t>New</t>
        </is>
      </c>
      <c r="D849" s="34" t="inlineStr">
        <is>
          <t>Record first supplied in this revision</t>
        </is>
      </c>
      <c r="E849" s="39" t="inlineStr"/>
      <c r="F849" s="100" t="inlineStr">
        <is>
          <t>10 EVIDENCE &amp; DECISIONS</t>
        </is>
      </c>
      <c r="G849" s="41" t="n"/>
    </row>
    <row r="850" ht="79" customHeight="1">
      <c r="A850" s="34" t="inlineStr">
        <is>
          <t>R279-v1</t>
        </is>
      </c>
      <c r="B850" s="34" t="inlineStr">
        <is>
          <t>SCH-02-099</t>
        </is>
      </c>
      <c r="C850" s="34" t="inlineStr">
        <is>
          <t>New</t>
        </is>
      </c>
      <c r="D850" s="34" t="inlineStr">
        <is>
          <t>Record first supplied in this revision</t>
        </is>
      </c>
      <c r="E850" s="39" t="inlineStr"/>
      <c r="F850" s="100" t="inlineStr">
        <is>
          <t>10 EVIDENCE &amp; DECISIONS</t>
        </is>
      </c>
      <c r="G850" s="41" t="n"/>
    </row>
    <row r="851" ht="79" customHeight="1">
      <c r="A851" s="34" t="inlineStr">
        <is>
          <t>R280-v1</t>
        </is>
      </c>
      <c r="B851" s="34" t="inlineStr">
        <is>
          <t>SCH-02-100</t>
        </is>
      </c>
      <c r="C851" s="34" t="inlineStr">
        <is>
          <t>New</t>
        </is>
      </c>
      <c r="D851" s="34" t="inlineStr">
        <is>
          <t>Record first supplied in this revision</t>
        </is>
      </c>
      <c r="E851" s="39" t="inlineStr"/>
      <c r="F851" s="100" t="inlineStr">
        <is>
          <t>10 EVIDENCE &amp; DECISIONS</t>
        </is>
      </c>
      <c r="G851" s="41" t="n"/>
    </row>
    <row r="852" ht="79" customHeight="1">
      <c r="A852" s="34" t="inlineStr">
        <is>
          <t>R281-v1</t>
        </is>
      </c>
      <c r="B852" s="34" t="inlineStr">
        <is>
          <t>SCH-02-101</t>
        </is>
      </c>
      <c r="C852" s="34" t="inlineStr">
        <is>
          <t>New</t>
        </is>
      </c>
      <c r="D852" s="34" t="inlineStr">
        <is>
          <t>Record first supplied in this revision</t>
        </is>
      </c>
      <c r="E852" s="39" t="inlineStr"/>
      <c r="F852" s="100" t="inlineStr">
        <is>
          <t>10 EVIDENCE &amp; DECISIONS</t>
        </is>
      </c>
      <c r="G852" s="41" t="n"/>
    </row>
    <row r="853" ht="79" customHeight="1">
      <c r="A853" s="34" t="inlineStr">
        <is>
          <t>R282-v1</t>
        </is>
      </c>
      <c r="B853" s="34" t="inlineStr">
        <is>
          <t>SCH-02-102</t>
        </is>
      </c>
      <c r="C853" s="34" t="inlineStr">
        <is>
          <t>New</t>
        </is>
      </c>
      <c r="D853" s="34" t="inlineStr">
        <is>
          <t>Record first supplied in this revision</t>
        </is>
      </c>
      <c r="E853" s="39" t="inlineStr"/>
      <c r="F853" s="100" t="inlineStr">
        <is>
          <t>10 EVIDENCE &amp; DECISIONS</t>
        </is>
      </c>
      <c r="G853" s="41" t="n"/>
    </row>
    <row r="854" ht="79" customHeight="1">
      <c r="A854" s="34" t="inlineStr">
        <is>
          <t>R283-v1</t>
        </is>
      </c>
      <c r="B854" s="34" t="inlineStr">
        <is>
          <t>SCH-02-103</t>
        </is>
      </c>
      <c r="C854" s="34" t="inlineStr">
        <is>
          <t>New</t>
        </is>
      </c>
      <c r="D854" s="34" t="inlineStr">
        <is>
          <t>Record first supplied in this revision</t>
        </is>
      </c>
      <c r="E854" s="39" t="inlineStr"/>
      <c r="F854" s="100" t="inlineStr">
        <is>
          <t>10 EVIDENCE &amp; DECISIONS</t>
        </is>
      </c>
      <c r="G854" s="41" t="n"/>
    </row>
    <row r="855" ht="79" customHeight="1">
      <c r="A855" s="34" t="inlineStr">
        <is>
          <t>R284-v1</t>
        </is>
      </c>
      <c r="B855" s="34" t="inlineStr">
        <is>
          <t>SCH-02-104</t>
        </is>
      </c>
      <c r="C855" s="34" t="inlineStr">
        <is>
          <t>New</t>
        </is>
      </c>
      <c r="D855" s="34" t="inlineStr">
        <is>
          <t>Record first supplied in this revision</t>
        </is>
      </c>
      <c r="E855" s="39" t="inlineStr"/>
      <c r="F855" s="100" t="inlineStr">
        <is>
          <t>10 EVIDENCE &amp; DECISIONS</t>
        </is>
      </c>
      <c r="G855" s="41" t="n"/>
    </row>
    <row r="856" ht="79" customHeight="1">
      <c r="A856" s="34" t="inlineStr">
        <is>
          <t>R285-v1</t>
        </is>
      </c>
      <c r="B856" s="34" t="inlineStr">
        <is>
          <t>SCH-02-105</t>
        </is>
      </c>
      <c r="C856" s="34" t="inlineStr">
        <is>
          <t>New</t>
        </is>
      </c>
      <c r="D856" s="34" t="inlineStr">
        <is>
          <t>Record first supplied in this revision</t>
        </is>
      </c>
      <c r="E856" s="39" t="inlineStr"/>
      <c r="F856" s="100" t="inlineStr">
        <is>
          <t>10 EVIDENCE &amp; DECISIONS</t>
        </is>
      </c>
      <c r="G856" s="41" t="n"/>
    </row>
    <row r="857" ht="79" customHeight="1">
      <c r="A857" s="34" t="inlineStr">
        <is>
          <t>R286-v1</t>
        </is>
      </c>
      <c r="B857" s="34" t="inlineStr">
        <is>
          <t>SCH-02-106</t>
        </is>
      </c>
      <c r="C857" s="34" t="inlineStr">
        <is>
          <t>New</t>
        </is>
      </c>
      <c r="D857" s="34" t="inlineStr">
        <is>
          <t>Record first supplied in this revision</t>
        </is>
      </c>
      <c r="E857" s="39" t="inlineStr"/>
      <c r="F857" s="100" t="inlineStr">
        <is>
          <t>10 EVIDENCE &amp; DECISIONS</t>
        </is>
      </c>
      <c r="G857" s="41" t="n"/>
    </row>
    <row r="858" ht="79" customHeight="1">
      <c r="A858" s="34" t="inlineStr">
        <is>
          <t>R287-v1</t>
        </is>
      </c>
      <c r="B858" s="34" t="inlineStr">
        <is>
          <t>SCH-02-107</t>
        </is>
      </c>
      <c r="C858" s="34" t="inlineStr">
        <is>
          <t>New</t>
        </is>
      </c>
      <c r="D858" s="34" t="inlineStr">
        <is>
          <t>Record first supplied in this revision</t>
        </is>
      </c>
      <c r="E858" s="39" t="inlineStr"/>
      <c r="F858" s="100" t="inlineStr">
        <is>
          <t>10 EVIDENCE &amp; DECISIONS</t>
        </is>
      </c>
      <c r="G858" s="41" t="n"/>
    </row>
    <row r="859" ht="79" customHeight="1">
      <c r="A859" s="34" t="inlineStr">
        <is>
          <t>R288-v1</t>
        </is>
      </c>
      <c r="B859" s="34" t="inlineStr">
        <is>
          <t>SCH-02-108</t>
        </is>
      </c>
      <c r="C859" s="34" t="inlineStr">
        <is>
          <t>New</t>
        </is>
      </c>
      <c r="D859" s="34" t="inlineStr">
        <is>
          <t>Record first supplied in this revision</t>
        </is>
      </c>
      <c r="E859" s="39" t="inlineStr"/>
      <c r="F859" s="100" t="inlineStr">
        <is>
          <t>10 EVIDENCE &amp; DECISIONS</t>
        </is>
      </c>
      <c r="G859" s="41" t="n"/>
    </row>
    <row r="860" ht="79" customHeight="1">
      <c r="A860" s="34" t="inlineStr">
        <is>
          <t>R289-v1</t>
        </is>
      </c>
      <c r="B860" s="34" t="inlineStr">
        <is>
          <t>SCH-02-109</t>
        </is>
      </c>
      <c r="C860" s="34" t="inlineStr">
        <is>
          <t>New</t>
        </is>
      </c>
      <c r="D860" s="34" t="inlineStr">
        <is>
          <t>Record first supplied in this revision</t>
        </is>
      </c>
      <c r="E860" s="39" t="inlineStr"/>
      <c r="F860" s="100" t="inlineStr">
        <is>
          <t>10 EVIDENCE &amp; DECISIONS</t>
        </is>
      </c>
      <c r="G860" s="41" t="n"/>
    </row>
    <row r="861" ht="79" customHeight="1">
      <c r="A861" s="34" t="inlineStr">
        <is>
          <t>R290-v1</t>
        </is>
      </c>
      <c r="B861" s="34" t="inlineStr">
        <is>
          <t>SCH-02-110</t>
        </is>
      </c>
      <c r="C861" s="34" t="inlineStr">
        <is>
          <t>New</t>
        </is>
      </c>
      <c r="D861" s="34" t="inlineStr">
        <is>
          <t>Record first supplied in this revision</t>
        </is>
      </c>
      <c r="E861" s="39" t="inlineStr"/>
      <c r="F861" s="100" t="inlineStr">
        <is>
          <t>10 EVIDENCE &amp; DECISIONS</t>
        </is>
      </c>
      <c r="G861" s="41" t="n"/>
    </row>
    <row r="862" ht="79" customHeight="1">
      <c r="A862" s="34" t="inlineStr">
        <is>
          <t>R291-v1</t>
        </is>
      </c>
      <c r="B862" s="34" t="inlineStr">
        <is>
          <t>SCH-02-111</t>
        </is>
      </c>
      <c r="C862" s="34" t="inlineStr">
        <is>
          <t>New</t>
        </is>
      </c>
      <c r="D862" s="34" t="inlineStr">
        <is>
          <t>Record first supplied in this revision</t>
        </is>
      </c>
      <c r="E862" s="39" t="inlineStr"/>
      <c r="F862" s="100" t="inlineStr">
        <is>
          <t>10 EVIDENCE &amp; DECISIONS</t>
        </is>
      </c>
      <c r="G862" s="41" t="n"/>
    </row>
    <row r="863" ht="79" customHeight="1">
      <c r="A863" s="34" t="inlineStr">
        <is>
          <t>R292-v1</t>
        </is>
      </c>
      <c r="B863" s="34" t="inlineStr">
        <is>
          <t>SCH-02-112</t>
        </is>
      </c>
      <c r="C863" s="34" t="inlineStr">
        <is>
          <t>New</t>
        </is>
      </c>
      <c r="D863" s="34" t="inlineStr">
        <is>
          <t>Record first supplied in this revision</t>
        </is>
      </c>
      <c r="E863" s="39" t="inlineStr"/>
      <c r="F863" s="100" t="inlineStr">
        <is>
          <t>10 EVIDENCE &amp; DECISIONS</t>
        </is>
      </c>
      <c r="G863" s="41" t="n"/>
    </row>
    <row r="864" ht="79" customHeight="1">
      <c r="A864" s="34" t="inlineStr">
        <is>
          <t>R293-v1</t>
        </is>
      </c>
      <c r="B864" s="34" t="inlineStr">
        <is>
          <t>SCH-02-113</t>
        </is>
      </c>
      <c r="C864" s="34" t="inlineStr">
        <is>
          <t>New</t>
        </is>
      </c>
      <c r="D864" s="34" t="inlineStr">
        <is>
          <t>Record first supplied in this revision</t>
        </is>
      </c>
      <c r="E864" s="39" t="inlineStr"/>
      <c r="F864" s="100" t="inlineStr">
        <is>
          <t>10 EVIDENCE &amp; DECISIONS</t>
        </is>
      </c>
      <c r="G864" s="41" t="n"/>
    </row>
    <row r="865" ht="79" customHeight="1">
      <c r="A865" s="34" t="inlineStr">
        <is>
          <t>R294-v1</t>
        </is>
      </c>
      <c r="B865" s="34" t="inlineStr">
        <is>
          <t>SCH-02-114</t>
        </is>
      </c>
      <c r="C865" s="34" t="inlineStr">
        <is>
          <t>New</t>
        </is>
      </c>
      <c r="D865" s="34" t="inlineStr">
        <is>
          <t>Record first supplied in this revision</t>
        </is>
      </c>
      <c r="E865" s="39" t="inlineStr"/>
      <c r="F865" s="100" t="inlineStr">
        <is>
          <t>10 EVIDENCE &amp; DECISIONS</t>
        </is>
      </c>
      <c r="G865" s="41" t="n"/>
    </row>
    <row r="866" ht="79" customHeight="1">
      <c r="A866" s="34" t="inlineStr">
        <is>
          <t>R295-v1</t>
        </is>
      </c>
      <c r="B866" s="34" t="inlineStr">
        <is>
          <t>SCH-02-115</t>
        </is>
      </c>
      <c r="C866" s="34" t="inlineStr">
        <is>
          <t>New</t>
        </is>
      </c>
      <c r="D866" s="34" t="inlineStr">
        <is>
          <t>Record first supplied in this revision</t>
        </is>
      </c>
      <c r="E866" s="39" t="inlineStr"/>
      <c r="F866" s="100" t="inlineStr">
        <is>
          <t>10 EVIDENCE &amp; DECISIONS</t>
        </is>
      </c>
      <c r="G866" s="41" t="n"/>
    </row>
    <row r="867" ht="79" customHeight="1">
      <c r="A867" s="34" t="inlineStr">
        <is>
          <t>R296-v1</t>
        </is>
      </c>
      <c r="B867" s="34" t="inlineStr">
        <is>
          <t>SCH-02-116</t>
        </is>
      </c>
      <c r="C867" s="34" t="inlineStr">
        <is>
          <t>New</t>
        </is>
      </c>
      <c r="D867" s="34" t="inlineStr">
        <is>
          <t>Record first supplied in this revision</t>
        </is>
      </c>
      <c r="E867" s="39" t="inlineStr"/>
      <c r="F867" s="100" t="inlineStr">
        <is>
          <t>10 EVIDENCE &amp; DECISIONS</t>
        </is>
      </c>
      <c r="G867" s="41" t="n"/>
    </row>
    <row r="868" ht="79" customHeight="1">
      <c r="A868" s="34" t="inlineStr">
        <is>
          <t>R297-v1</t>
        </is>
      </c>
      <c r="B868" s="34" t="inlineStr">
        <is>
          <t>SCH-02-117</t>
        </is>
      </c>
      <c r="C868" s="34" t="inlineStr">
        <is>
          <t>New</t>
        </is>
      </c>
      <c r="D868" s="34" t="inlineStr">
        <is>
          <t>Record first supplied in this revision</t>
        </is>
      </c>
      <c r="E868" s="39" t="inlineStr"/>
      <c r="F868" s="100" t="inlineStr">
        <is>
          <t>10 EVIDENCE &amp; DECISIONS</t>
        </is>
      </c>
      <c r="G868" s="41" t="n"/>
    </row>
    <row r="869" ht="79" customHeight="1">
      <c r="A869" s="34" t="inlineStr">
        <is>
          <t>R298-v1</t>
        </is>
      </c>
      <c r="B869" s="34" t="inlineStr">
        <is>
          <t>SCH-02-118</t>
        </is>
      </c>
      <c r="C869" s="34" t="inlineStr">
        <is>
          <t>New</t>
        </is>
      </c>
      <c r="D869" s="34" t="inlineStr">
        <is>
          <t>Record first supplied in this revision</t>
        </is>
      </c>
      <c r="E869" s="39" t="inlineStr"/>
      <c r="F869" s="100" t="inlineStr">
        <is>
          <t>10 EVIDENCE &amp; DECISIONS</t>
        </is>
      </c>
      <c r="G869" s="41" t="n"/>
    </row>
    <row r="870" ht="79" customHeight="1">
      <c r="A870" s="34" t="inlineStr">
        <is>
          <t>R299-v1</t>
        </is>
      </c>
      <c r="B870" s="34" t="inlineStr">
        <is>
          <t>SCH-02-119</t>
        </is>
      </c>
      <c r="C870" s="34" t="inlineStr">
        <is>
          <t>New</t>
        </is>
      </c>
      <c r="D870" s="34" t="inlineStr">
        <is>
          <t>Record first supplied in this revision</t>
        </is>
      </c>
      <c r="E870" s="39" t="inlineStr"/>
      <c r="F870" s="100" t="inlineStr">
        <is>
          <t>10 EVIDENCE &amp; DECISIONS</t>
        </is>
      </c>
      <c r="G870" s="41" t="n"/>
    </row>
    <row r="871" ht="79" customHeight="1">
      <c r="A871" s="34" t="inlineStr">
        <is>
          <t>R300-v1</t>
        </is>
      </c>
      <c r="B871" s="34" t="inlineStr">
        <is>
          <t>SCH-02-120</t>
        </is>
      </c>
      <c r="C871" s="34" t="inlineStr">
        <is>
          <t>New</t>
        </is>
      </c>
      <c r="D871" s="34" t="inlineStr">
        <is>
          <t>Record first supplied in this revision</t>
        </is>
      </c>
      <c r="E871" s="39" t="inlineStr"/>
      <c r="F871" s="100" t="inlineStr">
        <is>
          <t>10 EVIDENCE &amp; DECISIONS</t>
        </is>
      </c>
      <c r="G871" s="41" t="n"/>
    </row>
    <row r="872" ht="79" customHeight="1">
      <c r="A872" s="34" t="inlineStr">
        <is>
          <t>R301-v1</t>
        </is>
      </c>
      <c r="B872" s="34" t="inlineStr">
        <is>
          <t>SCH-02-121</t>
        </is>
      </c>
      <c r="C872" s="34" t="inlineStr">
        <is>
          <t>New</t>
        </is>
      </c>
      <c r="D872" s="34" t="inlineStr">
        <is>
          <t>Record first supplied in this revision</t>
        </is>
      </c>
      <c r="E872" s="39" t="inlineStr"/>
      <c r="F872" s="100" t="inlineStr">
        <is>
          <t>10 EVIDENCE &amp; DECISIONS</t>
        </is>
      </c>
      <c r="G872" s="41" t="n"/>
    </row>
    <row r="873" ht="79" customHeight="1">
      <c r="A873" s="34" t="inlineStr">
        <is>
          <t>R302-v1</t>
        </is>
      </c>
      <c r="B873" s="34" t="inlineStr">
        <is>
          <t>SCH-02-122</t>
        </is>
      </c>
      <c r="C873" s="34" t="inlineStr">
        <is>
          <t>New</t>
        </is>
      </c>
      <c r="D873" s="34" t="inlineStr">
        <is>
          <t>Record first supplied in this revision</t>
        </is>
      </c>
      <c r="E873" s="39" t="inlineStr"/>
      <c r="F873" s="100" t="inlineStr">
        <is>
          <t>10 EVIDENCE &amp; DECISIONS</t>
        </is>
      </c>
      <c r="G873" s="41" t="n"/>
    </row>
    <row r="874" ht="79" customHeight="1">
      <c r="A874" s="34" t="inlineStr">
        <is>
          <t>R303-v1</t>
        </is>
      </c>
      <c r="B874" s="34" t="inlineStr">
        <is>
          <t>SCH-02-123</t>
        </is>
      </c>
      <c r="C874" s="34" t="inlineStr">
        <is>
          <t>New</t>
        </is>
      </c>
      <c r="D874" s="34" t="inlineStr">
        <is>
          <t>Record first supplied in this revision</t>
        </is>
      </c>
      <c r="E874" s="39" t="inlineStr"/>
      <c r="F874" s="100" t="inlineStr">
        <is>
          <t>10 EVIDENCE &amp; DECISIONS</t>
        </is>
      </c>
      <c r="G874" s="41" t="n"/>
    </row>
    <row r="875" ht="79" customHeight="1">
      <c r="A875" s="34" t="inlineStr">
        <is>
          <t>R304-v1</t>
        </is>
      </c>
      <c r="B875" s="34" t="inlineStr">
        <is>
          <t>SCH-02-124</t>
        </is>
      </c>
      <c r="C875" s="34" t="inlineStr">
        <is>
          <t>New</t>
        </is>
      </c>
      <c r="D875" s="34" t="inlineStr">
        <is>
          <t>Record first supplied in this revision</t>
        </is>
      </c>
      <c r="E875" s="39" t="inlineStr"/>
      <c r="F875" s="100" t="inlineStr">
        <is>
          <t>10 EVIDENCE &amp; DECISIONS</t>
        </is>
      </c>
      <c r="G875" s="41" t="n"/>
    </row>
    <row r="876" ht="79" customHeight="1">
      <c r="A876" s="34" t="inlineStr">
        <is>
          <t>R305-v1</t>
        </is>
      </c>
      <c r="B876" s="34" t="inlineStr">
        <is>
          <t>SCH-02-125</t>
        </is>
      </c>
      <c r="C876" s="34" t="inlineStr">
        <is>
          <t>New</t>
        </is>
      </c>
      <c r="D876" s="34" t="inlineStr">
        <is>
          <t>Record first supplied in this revision</t>
        </is>
      </c>
      <c r="E876" s="39" t="inlineStr"/>
      <c r="F876" s="100" t="inlineStr">
        <is>
          <t>10 EVIDENCE &amp; DECISIONS</t>
        </is>
      </c>
      <c r="G876" s="41" t="n"/>
    </row>
    <row r="877" ht="79" customHeight="1">
      <c r="A877" s="34" t="inlineStr">
        <is>
          <t>R306-v1</t>
        </is>
      </c>
      <c r="B877" s="34" t="inlineStr">
        <is>
          <t>SCH-02-126</t>
        </is>
      </c>
      <c r="C877" s="34" t="inlineStr">
        <is>
          <t>New</t>
        </is>
      </c>
      <c r="D877" s="34" t="inlineStr">
        <is>
          <t>Record first supplied in this revision</t>
        </is>
      </c>
      <c r="E877" s="39" t="inlineStr"/>
      <c r="F877" s="100" t="inlineStr">
        <is>
          <t>10 EVIDENCE &amp; DECISIONS</t>
        </is>
      </c>
      <c r="G877" s="41" t="n"/>
    </row>
    <row r="878" ht="79" customHeight="1">
      <c r="A878" s="34" t="inlineStr">
        <is>
          <t>R307-v1</t>
        </is>
      </c>
      <c r="B878" s="34" t="inlineStr">
        <is>
          <t>SCH-02-127</t>
        </is>
      </c>
      <c r="C878" s="34" t="inlineStr">
        <is>
          <t>New</t>
        </is>
      </c>
      <c r="D878" s="34" t="inlineStr">
        <is>
          <t>Record first supplied in this revision</t>
        </is>
      </c>
      <c r="E878" s="39" t="inlineStr"/>
      <c r="F878" s="100" t="inlineStr">
        <is>
          <t>10 EVIDENCE &amp; DECISIONS</t>
        </is>
      </c>
      <c r="G878" s="41" t="n"/>
    </row>
    <row r="879" ht="79" customHeight="1">
      <c r="A879" s="34" t="inlineStr">
        <is>
          <t>R308-v1</t>
        </is>
      </c>
      <c r="B879" s="34" t="inlineStr">
        <is>
          <t>SCH-02-128</t>
        </is>
      </c>
      <c r="C879" s="34" t="inlineStr">
        <is>
          <t>New</t>
        </is>
      </c>
      <c r="D879" s="34" t="inlineStr">
        <is>
          <t>Record first supplied in this revision</t>
        </is>
      </c>
      <c r="E879" s="39" t="inlineStr"/>
      <c r="F879" s="100" t="inlineStr">
        <is>
          <t>10 EVIDENCE &amp; DECISIONS</t>
        </is>
      </c>
      <c r="G879" s="41" t="n"/>
    </row>
    <row r="880" ht="79" customHeight="1">
      <c r="A880" s="34" t="inlineStr">
        <is>
          <t>R309-v1</t>
        </is>
      </c>
      <c r="B880" s="34" t="inlineStr">
        <is>
          <t>SCH-02-129</t>
        </is>
      </c>
      <c r="C880" s="34" t="inlineStr">
        <is>
          <t>New</t>
        </is>
      </c>
      <c r="D880" s="34" t="inlineStr">
        <is>
          <t>Record first supplied in this revision</t>
        </is>
      </c>
      <c r="E880" s="39" t="inlineStr"/>
      <c r="F880" s="100" t="inlineStr">
        <is>
          <t>10 EVIDENCE &amp; DECISIONS</t>
        </is>
      </c>
      <c r="G880" s="41" t="n"/>
    </row>
    <row r="881" ht="79" customHeight="1">
      <c r="A881" s="34" t="inlineStr">
        <is>
          <t>R310-v1</t>
        </is>
      </c>
      <c r="B881" s="34" t="inlineStr">
        <is>
          <t>SCH-02-130</t>
        </is>
      </c>
      <c r="C881" s="34" t="inlineStr">
        <is>
          <t>New</t>
        </is>
      </c>
      <c r="D881" s="34" t="inlineStr">
        <is>
          <t>Record first supplied in this revision</t>
        </is>
      </c>
      <c r="E881" s="39" t="inlineStr"/>
      <c r="F881" s="100" t="inlineStr">
        <is>
          <t>10 EVIDENCE &amp; DECISIONS</t>
        </is>
      </c>
      <c r="G881" s="41" t="n"/>
    </row>
    <row r="882" ht="79" customHeight="1">
      <c r="A882" s="34" t="inlineStr">
        <is>
          <t>R311-v1</t>
        </is>
      </c>
      <c r="B882" s="34" t="inlineStr">
        <is>
          <t>SCH-02-131</t>
        </is>
      </c>
      <c r="C882" s="34" t="inlineStr">
        <is>
          <t>New</t>
        </is>
      </c>
      <c r="D882" s="34" t="inlineStr">
        <is>
          <t>Record first supplied in this revision</t>
        </is>
      </c>
      <c r="E882" s="39" t="inlineStr"/>
      <c r="F882" s="100" t="inlineStr">
        <is>
          <t>10 EVIDENCE &amp; DECISIONS</t>
        </is>
      </c>
      <c r="G882" s="41" t="n"/>
    </row>
    <row r="883" ht="79" customHeight="1">
      <c r="A883" s="34" t="inlineStr">
        <is>
          <t>R312-v1</t>
        </is>
      </c>
      <c r="B883" s="34" t="inlineStr">
        <is>
          <t>SCH-02-132</t>
        </is>
      </c>
      <c r="C883" s="34" t="inlineStr">
        <is>
          <t>New</t>
        </is>
      </c>
      <c r="D883" s="34" t="inlineStr">
        <is>
          <t>Record first supplied in this revision</t>
        </is>
      </c>
      <c r="E883" s="39" t="inlineStr"/>
      <c r="F883" s="100" t="inlineStr">
        <is>
          <t>10 EVIDENCE &amp; DECISIONS</t>
        </is>
      </c>
      <c r="G883" s="41" t="n"/>
    </row>
    <row r="884" ht="79" customHeight="1">
      <c r="A884" s="34" t="inlineStr">
        <is>
          <t>R313-v1</t>
        </is>
      </c>
      <c r="B884" s="34" t="inlineStr">
        <is>
          <t>SCH-02-133</t>
        </is>
      </c>
      <c r="C884" s="34" t="inlineStr">
        <is>
          <t>New</t>
        </is>
      </c>
      <c r="D884" s="34" t="inlineStr">
        <is>
          <t>Record first supplied in this revision</t>
        </is>
      </c>
      <c r="E884" s="39" t="inlineStr"/>
      <c r="F884" s="100" t="inlineStr">
        <is>
          <t>10 EVIDENCE &amp; DECISIONS</t>
        </is>
      </c>
      <c r="G884" s="41" t="n"/>
    </row>
    <row r="885" ht="79" customHeight="1">
      <c r="A885" s="34" t="inlineStr">
        <is>
          <t>R314-v1</t>
        </is>
      </c>
      <c r="B885" s="34" t="inlineStr">
        <is>
          <t>SCH-02-134</t>
        </is>
      </c>
      <c r="C885" s="34" t="inlineStr">
        <is>
          <t>New</t>
        </is>
      </c>
      <c r="D885" s="34" t="inlineStr">
        <is>
          <t>Record first supplied in this revision</t>
        </is>
      </c>
      <c r="E885" s="39" t="inlineStr"/>
      <c r="F885" s="100" t="inlineStr">
        <is>
          <t>10 EVIDENCE &amp; DECISIONS</t>
        </is>
      </c>
      <c r="G885" s="41" t="n"/>
    </row>
    <row r="886" ht="79" customHeight="1">
      <c r="A886" s="34" t="inlineStr">
        <is>
          <t>R315-v1</t>
        </is>
      </c>
      <c r="B886" s="34" t="inlineStr">
        <is>
          <t>SCH-02-135</t>
        </is>
      </c>
      <c r="C886" s="34" t="inlineStr">
        <is>
          <t>New</t>
        </is>
      </c>
      <c r="D886" s="34" t="inlineStr">
        <is>
          <t>Record first supplied in this revision</t>
        </is>
      </c>
      <c r="E886" s="39" t="inlineStr"/>
      <c r="F886" s="100" t="inlineStr">
        <is>
          <t>10 EVIDENCE &amp; DECISIONS</t>
        </is>
      </c>
      <c r="G886" s="41" t="n"/>
    </row>
    <row r="887" ht="79" customHeight="1">
      <c r="A887" s="34" t="inlineStr">
        <is>
          <t>R316-v1</t>
        </is>
      </c>
      <c r="B887" s="34" t="inlineStr">
        <is>
          <t>SCH-02-136</t>
        </is>
      </c>
      <c r="C887" s="34" t="inlineStr">
        <is>
          <t>New</t>
        </is>
      </c>
      <c r="D887" s="34" t="inlineStr">
        <is>
          <t>Record first supplied in this revision</t>
        </is>
      </c>
      <c r="E887" s="39" t="inlineStr"/>
      <c r="F887" s="100" t="inlineStr">
        <is>
          <t>10 EVIDENCE &amp; DECISIONS</t>
        </is>
      </c>
      <c r="G887" s="41" t="n"/>
    </row>
    <row r="888" ht="79" customHeight="1">
      <c r="A888" s="34" t="inlineStr">
        <is>
          <t>R317-v1</t>
        </is>
      </c>
      <c r="B888" s="34" t="inlineStr">
        <is>
          <t>SCH-02-137</t>
        </is>
      </c>
      <c r="C888" s="34" t="inlineStr">
        <is>
          <t>New</t>
        </is>
      </c>
      <c r="D888" s="34" t="inlineStr">
        <is>
          <t>Record first supplied in this revision</t>
        </is>
      </c>
      <c r="E888" s="39" t="inlineStr"/>
      <c r="F888" s="100" t="inlineStr">
        <is>
          <t>10 EVIDENCE &amp; DECISIONS</t>
        </is>
      </c>
      <c r="G888" s="41" t="n"/>
    </row>
    <row r="889" ht="79" customHeight="1">
      <c r="A889" s="34" t="inlineStr">
        <is>
          <t>R318-v1</t>
        </is>
      </c>
      <c r="B889" s="34" t="inlineStr">
        <is>
          <t>SCH-02-138</t>
        </is>
      </c>
      <c r="C889" s="34" t="inlineStr">
        <is>
          <t>New</t>
        </is>
      </c>
      <c r="D889" s="34" t="inlineStr">
        <is>
          <t>Record first supplied in this revision</t>
        </is>
      </c>
      <c r="E889" s="39" t="inlineStr"/>
      <c r="F889" s="100" t="inlineStr">
        <is>
          <t>10 EVIDENCE &amp; DECISIONS</t>
        </is>
      </c>
      <c r="G889" s="41" t="n"/>
    </row>
    <row r="890" ht="79" customHeight="1">
      <c r="A890" s="34" t="inlineStr">
        <is>
          <t>R319-v1</t>
        </is>
      </c>
      <c r="B890" s="34" t="inlineStr">
        <is>
          <t>SCH-02-139</t>
        </is>
      </c>
      <c r="C890" s="34" t="inlineStr">
        <is>
          <t>New</t>
        </is>
      </c>
      <c r="D890" s="34" t="inlineStr">
        <is>
          <t>Record first supplied in this revision</t>
        </is>
      </c>
      <c r="E890" s="39" t="inlineStr"/>
      <c r="F890" s="100" t="inlineStr">
        <is>
          <t>10 EVIDENCE &amp; DECISIONS</t>
        </is>
      </c>
      <c r="G890" s="41" t="n"/>
    </row>
    <row r="891" ht="79" customHeight="1">
      <c r="A891" s="34" t="inlineStr">
        <is>
          <t>R320-v1</t>
        </is>
      </c>
      <c r="B891" s="34" t="inlineStr">
        <is>
          <t>SCH-02-140</t>
        </is>
      </c>
      <c r="C891" s="34" t="inlineStr">
        <is>
          <t>New</t>
        </is>
      </c>
      <c r="D891" s="34" t="inlineStr">
        <is>
          <t>Record first supplied in this revision</t>
        </is>
      </c>
      <c r="E891" s="39" t="inlineStr"/>
      <c r="F891" s="100" t="inlineStr">
        <is>
          <t>10 EVIDENCE &amp; DECISIONS</t>
        </is>
      </c>
      <c r="G891" s="41" t="n"/>
    </row>
    <row r="892" ht="79" customHeight="1">
      <c r="A892" s="34" t="inlineStr">
        <is>
          <t>R321-v1</t>
        </is>
      </c>
      <c r="B892" s="34" t="inlineStr">
        <is>
          <t>SCH-02-141</t>
        </is>
      </c>
      <c r="C892" s="34" t="inlineStr">
        <is>
          <t>New</t>
        </is>
      </c>
      <c r="D892" s="34" t="inlineStr">
        <is>
          <t>Record first supplied in this revision</t>
        </is>
      </c>
      <c r="E892" s="39" t="inlineStr"/>
      <c r="F892" s="100" t="inlineStr">
        <is>
          <t>10 EVIDENCE &amp; DECISIONS</t>
        </is>
      </c>
      <c r="G892" s="41" t="n"/>
    </row>
    <row r="893" ht="79" customHeight="1">
      <c r="A893" s="34" t="inlineStr">
        <is>
          <t>R322-v1</t>
        </is>
      </c>
      <c r="B893" s="34" t="inlineStr">
        <is>
          <t>SCH-02-142</t>
        </is>
      </c>
      <c r="C893" s="34" t="inlineStr">
        <is>
          <t>New</t>
        </is>
      </c>
      <c r="D893" s="34" t="inlineStr">
        <is>
          <t>Record first supplied in this revision</t>
        </is>
      </c>
      <c r="E893" s="39" t="inlineStr"/>
      <c r="F893" s="100" t="inlineStr">
        <is>
          <t>10 EVIDENCE &amp; DECISIONS</t>
        </is>
      </c>
      <c r="G893" s="41" t="n"/>
    </row>
    <row r="894" ht="79" customHeight="1">
      <c r="A894" s="34" t="inlineStr">
        <is>
          <t>R323-v1</t>
        </is>
      </c>
      <c r="B894" s="34" t="inlineStr">
        <is>
          <t>SCH-02-143</t>
        </is>
      </c>
      <c r="C894" s="34" t="inlineStr">
        <is>
          <t>New</t>
        </is>
      </c>
      <c r="D894" s="34" t="inlineStr">
        <is>
          <t>Record first supplied in this revision</t>
        </is>
      </c>
      <c r="E894" s="39" t="inlineStr"/>
      <c r="F894" s="100" t="inlineStr">
        <is>
          <t>10 EVIDENCE &amp; DECISIONS</t>
        </is>
      </c>
      <c r="G894" s="41" t="n"/>
    </row>
    <row r="895" ht="79" customHeight="1">
      <c r="A895" s="34" t="inlineStr">
        <is>
          <t>R324-v1</t>
        </is>
      </c>
      <c r="B895" s="34" t="inlineStr">
        <is>
          <t>SCH-02-144</t>
        </is>
      </c>
      <c r="C895" s="34" t="inlineStr">
        <is>
          <t>New</t>
        </is>
      </c>
      <c r="D895" s="34" t="inlineStr">
        <is>
          <t>Record first supplied in this revision</t>
        </is>
      </c>
      <c r="E895" s="39" t="inlineStr"/>
      <c r="F895" s="100" t="inlineStr">
        <is>
          <t>10 EVIDENCE &amp; DECISIONS</t>
        </is>
      </c>
      <c r="G895" s="41" t="n"/>
    </row>
    <row r="896" ht="79" customHeight="1">
      <c r="A896" s="34" t="inlineStr">
        <is>
          <t>R325-v1</t>
        </is>
      </c>
      <c r="B896" s="34" t="inlineStr">
        <is>
          <t>SCH-02-145</t>
        </is>
      </c>
      <c r="C896" s="34" t="inlineStr">
        <is>
          <t>New</t>
        </is>
      </c>
      <c r="D896" s="34" t="inlineStr">
        <is>
          <t>Record first supplied in this revision</t>
        </is>
      </c>
      <c r="E896" s="39" t="inlineStr"/>
      <c r="F896" s="100" t="inlineStr">
        <is>
          <t>10 EVIDENCE &amp; DECISIONS</t>
        </is>
      </c>
      <c r="G896" s="41" t="n"/>
    </row>
    <row r="897" ht="79" customHeight="1">
      <c r="A897" s="34" t="inlineStr">
        <is>
          <t>R326-v1</t>
        </is>
      </c>
      <c r="B897" s="34" t="inlineStr">
        <is>
          <t>SCH-02-146</t>
        </is>
      </c>
      <c r="C897" s="34" t="inlineStr">
        <is>
          <t>New</t>
        </is>
      </c>
      <c r="D897" s="34" t="inlineStr">
        <is>
          <t>Record first supplied in this revision</t>
        </is>
      </c>
      <c r="E897" s="39" t="inlineStr"/>
      <c r="F897" s="100" t="inlineStr">
        <is>
          <t>10 EVIDENCE &amp; DECISIONS</t>
        </is>
      </c>
      <c r="G897" s="41" t="n"/>
    </row>
    <row r="898" ht="79" customHeight="1">
      <c r="A898" s="34" t="inlineStr">
        <is>
          <t>R327-v1</t>
        </is>
      </c>
      <c r="B898" s="34" t="inlineStr">
        <is>
          <t>SCH-02-147</t>
        </is>
      </c>
      <c r="C898" s="34" t="inlineStr">
        <is>
          <t>New</t>
        </is>
      </c>
      <c r="D898" s="34" t="inlineStr">
        <is>
          <t>Record first supplied in this revision</t>
        </is>
      </c>
      <c r="E898" s="39" t="inlineStr"/>
      <c r="F898" s="100" t="inlineStr">
        <is>
          <t>10 EVIDENCE &amp; DECISIONS</t>
        </is>
      </c>
      <c r="G898" s="41" t="n"/>
    </row>
    <row r="899" ht="79" customHeight="1">
      <c r="A899" s="34" t="inlineStr">
        <is>
          <t>R328-v1</t>
        </is>
      </c>
      <c r="B899" s="34" t="inlineStr">
        <is>
          <t>SCH-02-148</t>
        </is>
      </c>
      <c r="C899" s="34" t="inlineStr">
        <is>
          <t>New</t>
        </is>
      </c>
      <c r="D899" s="34" t="inlineStr">
        <is>
          <t>Record first supplied in this revision</t>
        </is>
      </c>
      <c r="E899" s="39" t="inlineStr"/>
      <c r="F899" s="100" t="inlineStr">
        <is>
          <t>10 EVIDENCE &amp; DECISIONS</t>
        </is>
      </c>
      <c r="G899" s="41" t="n"/>
    </row>
    <row r="900" ht="79" customHeight="1">
      <c r="A900" s="34" t="inlineStr">
        <is>
          <t>R329-v1</t>
        </is>
      </c>
      <c r="B900" s="34" t="inlineStr">
        <is>
          <t>SCH-02-149</t>
        </is>
      </c>
      <c r="C900" s="34" t="inlineStr">
        <is>
          <t>New</t>
        </is>
      </c>
      <c r="D900" s="34" t="inlineStr">
        <is>
          <t>Record first supplied in this revision</t>
        </is>
      </c>
      <c r="E900" s="39" t="inlineStr"/>
      <c r="F900" s="100" t="inlineStr">
        <is>
          <t>10 EVIDENCE &amp; DECISIONS</t>
        </is>
      </c>
      <c r="G900" s="41" t="n"/>
    </row>
    <row r="901" ht="79" customHeight="1">
      <c r="A901" s="34" t="inlineStr">
        <is>
          <t>R330-v1</t>
        </is>
      </c>
      <c r="B901" s="34" t="inlineStr">
        <is>
          <t>SCH-02-150</t>
        </is>
      </c>
      <c r="C901" s="34" t="inlineStr">
        <is>
          <t>New</t>
        </is>
      </c>
      <c r="D901" s="34" t="inlineStr">
        <is>
          <t>Record first supplied in this revision</t>
        </is>
      </c>
      <c r="E901" s="39" t="inlineStr"/>
      <c r="F901" s="100" t="inlineStr">
        <is>
          <t>10 EVIDENCE &amp; DECISIONS</t>
        </is>
      </c>
      <c r="G901" s="41" t="n"/>
    </row>
    <row r="902" ht="79" customHeight="1">
      <c r="A902" s="34" t="inlineStr">
        <is>
          <t>R331-v1</t>
        </is>
      </c>
      <c r="B902" s="34" t="inlineStr">
        <is>
          <t>SCH-02-151</t>
        </is>
      </c>
      <c r="C902" s="34" t="inlineStr">
        <is>
          <t>New</t>
        </is>
      </c>
      <c r="D902" s="34" t="inlineStr">
        <is>
          <t>Record first supplied in this revision</t>
        </is>
      </c>
      <c r="E902" s="39" t="inlineStr"/>
      <c r="F902" s="100" t="inlineStr">
        <is>
          <t>10 EVIDENCE &amp; DECISIONS</t>
        </is>
      </c>
      <c r="G902" s="41" t="n"/>
    </row>
    <row r="903" ht="79" customHeight="1">
      <c r="A903" s="34" t="inlineStr">
        <is>
          <t>R332-v1</t>
        </is>
      </c>
      <c r="B903" s="34" t="inlineStr">
        <is>
          <t>SCH-02-152</t>
        </is>
      </c>
      <c r="C903" s="34" t="inlineStr">
        <is>
          <t>New</t>
        </is>
      </c>
      <c r="D903" s="34" t="inlineStr">
        <is>
          <t>Record first supplied in this revision</t>
        </is>
      </c>
      <c r="E903" s="39" t="inlineStr"/>
      <c r="F903" s="100" t="inlineStr">
        <is>
          <t>10 EVIDENCE &amp; DECISIONS</t>
        </is>
      </c>
      <c r="G903" s="41" t="n"/>
    </row>
    <row r="904" ht="79" customHeight="1">
      <c r="A904" s="34" t="inlineStr">
        <is>
          <t>R333-v1</t>
        </is>
      </c>
      <c r="B904" s="34" t="inlineStr">
        <is>
          <t>SCH-02-153</t>
        </is>
      </c>
      <c r="C904" s="34" t="inlineStr">
        <is>
          <t>New</t>
        </is>
      </c>
      <c r="D904" s="34" t="inlineStr">
        <is>
          <t>Record first supplied in this revision</t>
        </is>
      </c>
      <c r="E904" s="39" t="inlineStr"/>
      <c r="F904" s="100" t="inlineStr">
        <is>
          <t>10 EVIDENCE &amp; DECISIONS</t>
        </is>
      </c>
      <c r="G904" s="41" t="n"/>
    </row>
    <row r="905" ht="79" customHeight="1">
      <c r="A905" s="34" t="inlineStr">
        <is>
          <t>R334-v1</t>
        </is>
      </c>
      <c r="B905" s="34" t="inlineStr">
        <is>
          <t>SCH-02-154</t>
        </is>
      </c>
      <c r="C905" s="34" t="inlineStr">
        <is>
          <t>New</t>
        </is>
      </c>
      <c r="D905" s="34" t="inlineStr">
        <is>
          <t>Record first supplied in this revision</t>
        </is>
      </c>
      <c r="E905" s="39" t="inlineStr"/>
      <c r="F905" s="100" t="inlineStr">
        <is>
          <t>10 EVIDENCE &amp; DECISIONS</t>
        </is>
      </c>
      <c r="G905" s="41" t="n"/>
    </row>
    <row r="906" ht="79" customHeight="1">
      <c r="A906" s="34" t="inlineStr">
        <is>
          <t>R335-v1</t>
        </is>
      </c>
      <c r="B906" s="34" t="inlineStr">
        <is>
          <t>SCH-02-155</t>
        </is>
      </c>
      <c r="C906" s="34" t="inlineStr">
        <is>
          <t>New</t>
        </is>
      </c>
      <c r="D906" s="34" t="inlineStr">
        <is>
          <t>Record first supplied in this revision</t>
        </is>
      </c>
      <c r="E906" s="39" t="inlineStr"/>
      <c r="F906" s="100" t="inlineStr">
        <is>
          <t>10 EVIDENCE &amp; DECISIONS</t>
        </is>
      </c>
      <c r="G906" s="41" t="n"/>
    </row>
    <row r="907" ht="79" customHeight="1">
      <c r="A907" s="34" t="inlineStr">
        <is>
          <t>R336-v1</t>
        </is>
      </c>
      <c r="B907" s="34" t="inlineStr">
        <is>
          <t>SCH-02-156</t>
        </is>
      </c>
      <c r="C907" s="34" t="inlineStr">
        <is>
          <t>New</t>
        </is>
      </c>
      <c r="D907" s="34" t="inlineStr">
        <is>
          <t>Record first supplied in this revision</t>
        </is>
      </c>
      <c r="E907" s="39" t="inlineStr"/>
      <c r="F907" s="100" t="inlineStr">
        <is>
          <t>10 EVIDENCE &amp; DECISIONS</t>
        </is>
      </c>
      <c r="G907" s="41" t="n"/>
    </row>
    <row r="908" ht="79" customHeight="1">
      <c r="A908" s="34" t="inlineStr">
        <is>
          <t>R337-v1</t>
        </is>
      </c>
      <c r="B908" s="34" t="inlineStr">
        <is>
          <t>SCH-02-157</t>
        </is>
      </c>
      <c r="C908" s="34" t="inlineStr">
        <is>
          <t>New</t>
        </is>
      </c>
      <c r="D908" s="34" t="inlineStr">
        <is>
          <t>Record first supplied in this revision</t>
        </is>
      </c>
      <c r="E908" s="39" t="inlineStr"/>
      <c r="F908" s="100" t="inlineStr">
        <is>
          <t>10 EVIDENCE &amp; DECISIONS</t>
        </is>
      </c>
      <c r="G908" s="41" t="n"/>
    </row>
    <row r="909" ht="79" customHeight="1">
      <c r="A909" s="34" t="inlineStr">
        <is>
          <t>R338-v1</t>
        </is>
      </c>
      <c r="B909" s="34" t="inlineStr">
        <is>
          <t>SCH-02-158</t>
        </is>
      </c>
      <c r="C909" s="34" t="inlineStr">
        <is>
          <t>New</t>
        </is>
      </c>
      <c r="D909" s="34" t="inlineStr">
        <is>
          <t>Record first supplied in this revision</t>
        </is>
      </c>
      <c r="E909" s="39" t="inlineStr"/>
      <c r="F909" s="100" t="inlineStr">
        <is>
          <t>10 EVIDENCE &amp; DECISIONS</t>
        </is>
      </c>
      <c r="G909" s="41" t="n"/>
    </row>
    <row r="910" ht="79" customHeight="1">
      <c r="A910" s="34" t="inlineStr">
        <is>
          <t>R339-v1</t>
        </is>
      </c>
      <c r="B910" s="34" t="inlineStr">
        <is>
          <t>SCH-02-159</t>
        </is>
      </c>
      <c r="C910" s="34" t="inlineStr">
        <is>
          <t>New</t>
        </is>
      </c>
      <c r="D910" s="34" t="inlineStr">
        <is>
          <t>Record first supplied in this revision</t>
        </is>
      </c>
      <c r="E910" s="39" t="inlineStr"/>
      <c r="F910" s="100" t="inlineStr">
        <is>
          <t>10 EVIDENCE &amp; DECISIONS</t>
        </is>
      </c>
      <c r="G910" s="41" t="n"/>
    </row>
    <row r="911" ht="79" customHeight="1">
      <c r="A911" s="34" t="inlineStr">
        <is>
          <t>R340-v1</t>
        </is>
      </c>
      <c r="B911" s="34" t="inlineStr">
        <is>
          <t>SCH-02-160</t>
        </is>
      </c>
      <c r="C911" s="34" t="inlineStr">
        <is>
          <t>New</t>
        </is>
      </c>
      <c r="D911" s="34" t="inlineStr">
        <is>
          <t>Record first supplied in this revision</t>
        </is>
      </c>
      <c r="E911" s="39" t="inlineStr"/>
      <c r="F911" s="100" t="inlineStr">
        <is>
          <t>10 EVIDENCE &amp; DECISIONS</t>
        </is>
      </c>
      <c r="G911" s="41" t="n"/>
    </row>
    <row r="912" ht="79" customHeight="1">
      <c r="A912" s="34" t="inlineStr">
        <is>
          <t>R341-v1</t>
        </is>
      </c>
      <c r="B912" s="34" t="inlineStr">
        <is>
          <t>SCH-02-161</t>
        </is>
      </c>
      <c r="C912" s="34" t="inlineStr">
        <is>
          <t>New</t>
        </is>
      </c>
      <c r="D912" s="34" t="inlineStr">
        <is>
          <t>Record first supplied in this revision</t>
        </is>
      </c>
      <c r="E912" s="39" t="inlineStr"/>
      <c r="F912" s="100" t="inlineStr">
        <is>
          <t>10 EVIDENCE &amp; DECISIONS</t>
        </is>
      </c>
      <c r="G912" s="41" t="n"/>
    </row>
    <row r="913" ht="79" customHeight="1">
      <c r="A913" s="34" t="inlineStr">
        <is>
          <t>R342-v1</t>
        </is>
      </c>
      <c r="B913" s="34" t="inlineStr">
        <is>
          <t>SCH-02-162</t>
        </is>
      </c>
      <c r="C913" s="34" t="inlineStr">
        <is>
          <t>New</t>
        </is>
      </c>
      <c r="D913" s="34" t="inlineStr">
        <is>
          <t>Record first supplied in this revision</t>
        </is>
      </c>
      <c r="E913" s="39" t="inlineStr"/>
      <c r="F913" s="100" t="inlineStr">
        <is>
          <t>10 EVIDENCE &amp; DECISIONS</t>
        </is>
      </c>
      <c r="G913" s="41" t="n"/>
    </row>
    <row r="914" ht="79" customHeight="1">
      <c r="A914" s="34" t="inlineStr">
        <is>
          <t>R343-v1</t>
        </is>
      </c>
      <c r="B914" s="34" t="inlineStr">
        <is>
          <t>SCH-02-163</t>
        </is>
      </c>
      <c r="C914" s="34" t="inlineStr">
        <is>
          <t>New</t>
        </is>
      </c>
      <c r="D914" s="34" t="inlineStr">
        <is>
          <t>Record first supplied in this revision</t>
        </is>
      </c>
      <c r="E914" s="39" t="inlineStr"/>
      <c r="F914" s="100" t="inlineStr">
        <is>
          <t>10 EVIDENCE &amp; DECISIONS</t>
        </is>
      </c>
      <c r="G914" s="41" t="n"/>
    </row>
    <row r="915" ht="79" customHeight="1">
      <c r="A915" s="34" t="inlineStr">
        <is>
          <t>R344-v1</t>
        </is>
      </c>
      <c r="B915" s="34" t="inlineStr">
        <is>
          <t>SCH-02-164</t>
        </is>
      </c>
      <c r="C915" s="34" t="inlineStr">
        <is>
          <t>New</t>
        </is>
      </c>
      <c r="D915" s="34" t="inlineStr">
        <is>
          <t>Record first supplied in this revision</t>
        </is>
      </c>
      <c r="E915" s="39" t="inlineStr"/>
      <c r="F915" s="100" t="inlineStr">
        <is>
          <t>10 EVIDENCE &amp; DECISIONS</t>
        </is>
      </c>
      <c r="G915" s="41" t="n"/>
    </row>
    <row r="916" ht="79" customHeight="1">
      <c r="A916" s="34" t="inlineStr">
        <is>
          <t>R345-v1</t>
        </is>
      </c>
      <c r="B916" s="34" t="inlineStr">
        <is>
          <t>SCH-02-165</t>
        </is>
      </c>
      <c r="C916" s="34" t="inlineStr">
        <is>
          <t>New</t>
        </is>
      </c>
      <c r="D916" s="34" t="inlineStr">
        <is>
          <t>Record first supplied in this revision</t>
        </is>
      </c>
      <c r="E916" s="39" t="inlineStr"/>
      <c r="F916" s="100" t="inlineStr">
        <is>
          <t>10 EVIDENCE &amp; DECISIONS</t>
        </is>
      </c>
      <c r="G916" s="41" t="n"/>
    </row>
    <row r="917" ht="79" customHeight="1">
      <c r="A917" s="34" t="inlineStr">
        <is>
          <t>R346-v1</t>
        </is>
      </c>
      <c r="B917" s="34" t="inlineStr">
        <is>
          <t>SCH-02-166</t>
        </is>
      </c>
      <c r="C917" s="34" t="inlineStr">
        <is>
          <t>New</t>
        </is>
      </c>
      <c r="D917" s="34" t="inlineStr">
        <is>
          <t>Record first supplied in this revision</t>
        </is>
      </c>
      <c r="E917" s="39" t="inlineStr"/>
      <c r="F917" s="100" t="inlineStr">
        <is>
          <t>10 EVIDENCE &amp; DECISIONS</t>
        </is>
      </c>
      <c r="G917" s="41" t="n"/>
    </row>
    <row r="918" ht="79" customHeight="1">
      <c r="A918" s="34" t="inlineStr">
        <is>
          <t>R347-v1</t>
        </is>
      </c>
      <c r="B918" s="34" t="inlineStr">
        <is>
          <t>SCH-02-167</t>
        </is>
      </c>
      <c r="C918" s="34" t="inlineStr">
        <is>
          <t>New</t>
        </is>
      </c>
      <c r="D918" s="34" t="inlineStr">
        <is>
          <t>Record first supplied in this revision</t>
        </is>
      </c>
      <c r="E918" s="39" t="inlineStr"/>
      <c r="F918" s="100" t="inlineStr">
        <is>
          <t>10 EVIDENCE &amp; DECISIONS</t>
        </is>
      </c>
      <c r="G918" s="41" t="n"/>
    </row>
    <row r="919" ht="79" customHeight="1">
      <c r="A919" s="34" t="inlineStr">
        <is>
          <t>R348-v1</t>
        </is>
      </c>
      <c r="B919" s="34" t="inlineStr">
        <is>
          <t>SCH-02-168</t>
        </is>
      </c>
      <c r="C919" s="34" t="inlineStr">
        <is>
          <t>New</t>
        </is>
      </c>
      <c r="D919" s="34" t="inlineStr">
        <is>
          <t>Record first supplied in this revision</t>
        </is>
      </c>
      <c r="E919" s="39" t="inlineStr"/>
      <c r="F919" s="100" t="inlineStr">
        <is>
          <t>10 EVIDENCE &amp; DECISIONS</t>
        </is>
      </c>
      <c r="G919" s="41" t="n"/>
    </row>
    <row r="920" ht="79" customHeight="1">
      <c r="A920" s="34" t="inlineStr">
        <is>
          <t>R349-v1</t>
        </is>
      </c>
      <c r="B920" s="34" t="inlineStr">
        <is>
          <t>SCH-02-169</t>
        </is>
      </c>
      <c r="C920" s="34" t="inlineStr">
        <is>
          <t>New</t>
        </is>
      </c>
      <c r="D920" s="34" t="inlineStr">
        <is>
          <t>Record first supplied in this revision</t>
        </is>
      </c>
      <c r="E920" s="39" t="inlineStr"/>
      <c r="F920" s="100" t="inlineStr">
        <is>
          <t>10 EVIDENCE &amp; DECISIONS</t>
        </is>
      </c>
      <c r="G920" s="41" t="n"/>
    </row>
    <row r="921" ht="79" customHeight="1">
      <c r="A921" s="34" t="inlineStr">
        <is>
          <t>R350-v1</t>
        </is>
      </c>
      <c r="B921" s="34" t="inlineStr">
        <is>
          <t>SCH-02-170</t>
        </is>
      </c>
      <c r="C921" s="34" t="inlineStr">
        <is>
          <t>New</t>
        </is>
      </c>
      <c r="D921" s="34" t="inlineStr">
        <is>
          <t>Record first supplied in this revision</t>
        </is>
      </c>
      <c r="E921" s="39" t="inlineStr"/>
      <c r="F921" s="100" t="inlineStr">
        <is>
          <t>10 EVIDENCE &amp; DECISIONS</t>
        </is>
      </c>
      <c r="G921" s="41" t="n"/>
    </row>
    <row r="922" ht="79" customHeight="1">
      <c r="A922" s="34" t="inlineStr">
        <is>
          <t>R351-v1</t>
        </is>
      </c>
      <c r="B922" s="34" t="inlineStr">
        <is>
          <t>SCH-02-171</t>
        </is>
      </c>
      <c r="C922" s="34" t="inlineStr">
        <is>
          <t>New</t>
        </is>
      </c>
      <c r="D922" s="34" t="inlineStr">
        <is>
          <t>Record first supplied in this revision</t>
        </is>
      </c>
      <c r="E922" s="39" t="inlineStr"/>
      <c r="F922" s="100" t="inlineStr">
        <is>
          <t>10 EVIDENCE &amp; DECISIONS</t>
        </is>
      </c>
      <c r="G922" s="41" t="n"/>
    </row>
    <row r="923" ht="79" customHeight="1">
      <c r="A923" s="34" t="inlineStr">
        <is>
          <t>R352-v1</t>
        </is>
      </c>
      <c r="B923" s="34" t="inlineStr">
        <is>
          <t>SCH-02-172</t>
        </is>
      </c>
      <c r="C923" s="34" t="inlineStr">
        <is>
          <t>New</t>
        </is>
      </c>
      <c r="D923" s="34" t="inlineStr">
        <is>
          <t>Record first supplied in this revision</t>
        </is>
      </c>
      <c r="E923" s="39" t="inlineStr"/>
      <c r="F923" s="100" t="inlineStr">
        <is>
          <t>10 EVIDENCE &amp; DECISIONS</t>
        </is>
      </c>
      <c r="G923" s="41" t="n"/>
    </row>
    <row r="924" ht="79" customHeight="1">
      <c r="A924" s="34" t="inlineStr">
        <is>
          <t>R353-v1</t>
        </is>
      </c>
      <c r="B924" s="34" t="inlineStr">
        <is>
          <t>SCH-02-173</t>
        </is>
      </c>
      <c r="C924" s="34" t="inlineStr">
        <is>
          <t>New</t>
        </is>
      </c>
      <c r="D924" s="34" t="inlineStr">
        <is>
          <t>Record first supplied in this revision</t>
        </is>
      </c>
      <c r="E924" s="39" t="inlineStr"/>
      <c r="F924" s="100" t="inlineStr">
        <is>
          <t>10 EVIDENCE &amp; DECISIONS</t>
        </is>
      </c>
      <c r="G924" s="41" t="n"/>
    </row>
    <row r="925" ht="79" customHeight="1">
      <c r="A925" s="34" t="inlineStr">
        <is>
          <t>R354-v1</t>
        </is>
      </c>
      <c r="B925" s="34" t="inlineStr">
        <is>
          <t>SCH-02-174</t>
        </is>
      </c>
      <c r="C925" s="34" t="inlineStr">
        <is>
          <t>New</t>
        </is>
      </c>
      <c r="D925" s="34" t="inlineStr">
        <is>
          <t>Record first supplied in this revision</t>
        </is>
      </c>
      <c r="E925" s="39" t="inlineStr"/>
      <c r="F925" s="100" t="inlineStr">
        <is>
          <t>10 EVIDENCE &amp; DECISIONS</t>
        </is>
      </c>
      <c r="G925" s="41" t="n"/>
    </row>
    <row r="926" ht="79" customHeight="1">
      <c r="A926" s="34" t="inlineStr">
        <is>
          <t>R355-v1</t>
        </is>
      </c>
      <c r="B926" s="34" t="inlineStr">
        <is>
          <t>SCH-02-175</t>
        </is>
      </c>
      <c r="C926" s="34" t="inlineStr">
        <is>
          <t>New</t>
        </is>
      </c>
      <c r="D926" s="34" t="inlineStr">
        <is>
          <t>Record first supplied in this revision</t>
        </is>
      </c>
      <c r="E926" s="39" t="inlineStr"/>
      <c r="F926" s="100" t="inlineStr">
        <is>
          <t>10 EVIDENCE &amp; DECISIONS</t>
        </is>
      </c>
      <c r="G926" s="41" t="n"/>
    </row>
    <row r="927" ht="79" customHeight="1">
      <c r="A927" s="34" t="inlineStr">
        <is>
          <t>R356-v1</t>
        </is>
      </c>
      <c r="B927" s="34" t="inlineStr">
        <is>
          <t>SCH-02-176</t>
        </is>
      </c>
      <c r="C927" s="34" t="inlineStr">
        <is>
          <t>New</t>
        </is>
      </c>
      <c r="D927" s="34" t="inlineStr">
        <is>
          <t>Record first supplied in this revision</t>
        </is>
      </c>
      <c r="E927" s="39" t="inlineStr"/>
      <c r="F927" s="100" t="inlineStr">
        <is>
          <t>10 EVIDENCE &amp; DECISIONS</t>
        </is>
      </c>
      <c r="G927" s="41" t="n"/>
    </row>
    <row r="928" ht="79" customHeight="1">
      <c r="A928" s="34" t="inlineStr">
        <is>
          <t>R357-v1</t>
        </is>
      </c>
      <c r="B928" s="34" t="inlineStr">
        <is>
          <t>SCH-02-177</t>
        </is>
      </c>
      <c r="C928" s="34" t="inlineStr">
        <is>
          <t>New</t>
        </is>
      </c>
      <c r="D928" s="34" t="inlineStr">
        <is>
          <t>Record first supplied in this revision</t>
        </is>
      </c>
      <c r="E928" s="39" t="inlineStr"/>
      <c r="F928" s="100" t="inlineStr">
        <is>
          <t>10 EVIDENCE &amp; DECISIONS</t>
        </is>
      </c>
      <c r="G928" s="41" t="n"/>
    </row>
    <row r="929" ht="79" customHeight="1">
      <c r="A929" s="34" t="inlineStr">
        <is>
          <t>R358-v1</t>
        </is>
      </c>
      <c r="B929" s="34" t="inlineStr">
        <is>
          <t>SCH-02-178</t>
        </is>
      </c>
      <c r="C929" s="34" t="inlineStr">
        <is>
          <t>New</t>
        </is>
      </c>
      <c r="D929" s="34" t="inlineStr">
        <is>
          <t>Record first supplied in this revision</t>
        </is>
      </c>
      <c r="E929" s="39" t="inlineStr"/>
      <c r="F929" s="100" t="inlineStr">
        <is>
          <t>10 EVIDENCE &amp; DECISIONS</t>
        </is>
      </c>
      <c r="G929" s="41" t="n"/>
    </row>
    <row r="930" ht="79" customHeight="1">
      <c r="A930" s="34" t="inlineStr">
        <is>
          <t>R359-v1</t>
        </is>
      </c>
      <c r="B930" s="34" t="inlineStr">
        <is>
          <t>SCH-02-179</t>
        </is>
      </c>
      <c r="C930" s="34" t="inlineStr">
        <is>
          <t>New</t>
        </is>
      </c>
      <c r="D930" s="34" t="inlineStr">
        <is>
          <t>Record first supplied in this revision</t>
        </is>
      </c>
      <c r="E930" s="39" t="inlineStr"/>
      <c r="F930" s="100" t="inlineStr">
        <is>
          <t>10 EVIDENCE &amp; DECISIONS</t>
        </is>
      </c>
      <c r="G930" s="41" t="n"/>
    </row>
    <row r="931" ht="79" customHeight="1">
      <c r="A931" s="34" t="inlineStr">
        <is>
          <t>R360-v1</t>
        </is>
      </c>
      <c r="B931" s="34" t="inlineStr">
        <is>
          <t>SCH-02-180</t>
        </is>
      </c>
      <c r="C931" s="34" t="inlineStr">
        <is>
          <t>New</t>
        </is>
      </c>
      <c r="D931" s="34" t="inlineStr">
        <is>
          <t>Record first supplied in this revision</t>
        </is>
      </c>
      <c r="E931" s="39" t="inlineStr"/>
      <c r="F931" s="100" t="inlineStr">
        <is>
          <t>10 EVIDENCE &amp; DECISIONS</t>
        </is>
      </c>
      <c r="G931" s="41" t="n"/>
    </row>
    <row r="932" ht="79" customHeight="1">
      <c r="A932" s="34" t="inlineStr">
        <is>
          <t>R361-v1</t>
        </is>
      </c>
      <c r="B932" s="34" t="inlineStr">
        <is>
          <t>SCH-03-001</t>
        </is>
      </c>
      <c r="C932" s="34" t="inlineStr">
        <is>
          <t>New</t>
        </is>
      </c>
      <c r="D932" s="34" t="inlineStr">
        <is>
          <t>Record first supplied in this revision</t>
        </is>
      </c>
      <c r="E932" s="39" t="inlineStr"/>
      <c r="F932" s="100" t="inlineStr">
        <is>
          <t>10 EVIDENCE &amp; DECISIONS</t>
        </is>
      </c>
      <c r="G932" s="41" t="n"/>
    </row>
    <row r="933" ht="79" customHeight="1">
      <c r="A933" s="34" t="inlineStr">
        <is>
          <t>R362-v1</t>
        </is>
      </c>
      <c r="B933" s="34" t="inlineStr">
        <is>
          <t>SCH-03-002</t>
        </is>
      </c>
      <c r="C933" s="34" t="inlineStr">
        <is>
          <t>New</t>
        </is>
      </c>
      <c r="D933" s="34" t="inlineStr">
        <is>
          <t>Record first supplied in this revision</t>
        </is>
      </c>
      <c r="E933" s="39" t="inlineStr"/>
      <c r="F933" s="100" t="inlineStr">
        <is>
          <t>10 EVIDENCE &amp; DECISIONS</t>
        </is>
      </c>
      <c r="G933" s="41" t="n"/>
    </row>
    <row r="934" ht="79" customHeight="1">
      <c r="A934" s="34" t="inlineStr">
        <is>
          <t>R363-v1</t>
        </is>
      </c>
      <c r="B934" s="34" t="inlineStr">
        <is>
          <t>SCH-03-003</t>
        </is>
      </c>
      <c r="C934" s="34" t="inlineStr">
        <is>
          <t>New</t>
        </is>
      </c>
      <c r="D934" s="34" t="inlineStr">
        <is>
          <t>Record first supplied in this revision</t>
        </is>
      </c>
      <c r="E934" s="39" t="inlineStr"/>
      <c r="F934" s="100" t="inlineStr">
        <is>
          <t>10 EVIDENCE &amp; DECISIONS</t>
        </is>
      </c>
      <c r="G934" s="41" t="n"/>
    </row>
    <row r="935" ht="79" customHeight="1">
      <c r="A935" s="34" t="inlineStr">
        <is>
          <t>R364-v1</t>
        </is>
      </c>
      <c r="B935" s="34" t="inlineStr">
        <is>
          <t>SCH-03-004</t>
        </is>
      </c>
      <c r="C935" s="34" t="inlineStr">
        <is>
          <t>New</t>
        </is>
      </c>
      <c r="D935" s="34" t="inlineStr">
        <is>
          <t>Record first supplied in this revision</t>
        </is>
      </c>
      <c r="E935" s="39" t="inlineStr"/>
      <c r="F935" s="100" t="inlineStr">
        <is>
          <t>10 EVIDENCE &amp; DECISIONS</t>
        </is>
      </c>
      <c r="G935" s="41" t="n"/>
    </row>
    <row r="936" ht="79" customHeight="1">
      <c r="A936" s="34" t="inlineStr">
        <is>
          <t>R365-v1</t>
        </is>
      </c>
      <c r="B936" s="34" t="inlineStr">
        <is>
          <t>SCH-03-005</t>
        </is>
      </c>
      <c r="C936" s="34" t="inlineStr">
        <is>
          <t>New</t>
        </is>
      </c>
      <c r="D936" s="34" t="inlineStr">
        <is>
          <t>Record first supplied in this revision</t>
        </is>
      </c>
      <c r="E936" s="39" t="inlineStr"/>
      <c r="F936" s="100" t="inlineStr">
        <is>
          <t>10 EVIDENCE &amp; DECISIONS</t>
        </is>
      </c>
      <c r="G936" s="41" t="n"/>
    </row>
    <row r="937" ht="79" customHeight="1">
      <c r="A937" s="34" t="inlineStr">
        <is>
          <t>R366-v1</t>
        </is>
      </c>
      <c r="B937" s="34" t="inlineStr">
        <is>
          <t>SCH-03-006</t>
        </is>
      </c>
      <c r="C937" s="34" t="inlineStr">
        <is>
          <t>New</t>
        </is>
      </c>
      <c r="D937" s="34" t="inlineStr">
        <is>
          <t>Record first supplied in this revision</t>
        </is>
      </c>
      <c r="E937" s="39" t="inlineStr"/>
      <c r="F937" s="100" t="inlineStr">
        <is>
          <t>10 EVIDENCE &amp; DECISIONS</t>
        </is>
      </c>
      <c r="G937" s="41" t="n"/>
    </row>
    <row r="938" ht="79" customHeight="1">
      <c r="A938" s="34" t="inlineStr">
        <is>
          <t>R367-v1</t>
        </is>
      </c>
      <c r="B938" s="34" t="inlineStr">
        <is>
          <t>SCH-03-007</t>
        </is>
      </c>
      <c r="C938" s="34" t="inlineStr">
        <is>
          <t>New</t>
        </is>
      </c>
      <c r="D938" s="34" t="inlineStr">
        <is>
          <t>Record first supplied in this revision</t>
        </is>
      </c>
      <c r="E938" s="39" t="inlineStr"/>
      <c r="F938" s="100" t="inlineStr">
        <is>
          <t>10 EVIDENCE &amp; DECISIONS</t>
        </is>
      </c>
      <c r="G938" s="41" t="n"/>
    </row>
    <row r="939" ht="79" customHeight="1">
      <c r="A939" s="34" t="inlineStr">
        <is>
          <t>R368-v1</t>
        </is>
      </c>
      <c r="B939" s="34" t="inlineStr">
        <is>
          <t>SCH-03-008</t>
        </is>
      </c>
      <c r="C939" s="34" t="inlineStr">
        <is>
          <t>New</t>
        </is>
      </c>
      <c r="D939" s="34" t="inlineStr">
        <is>
          <t>Record first supplied in this revision</t>
        </is>
      </c>
      <c r="E939" s="39" t="inlineStr"/>
      <c r="F939" s="100" t="inlineStr">
        <is>
          <t>10 EVIDENCE &amp; DECISIONS</t>
        </is>
      </c>
      <c r="G939" s="41" t="n"/>
    </row>
    <row r="940" ht="79" customHeight="1">
      <c r="A940" s="34" t="inlineStr">
        <is>
          <t>R369-v1</t>
        </is>
      </c>
      <c r="B940" s="34" t="inlineStr">
        <is>
          <t>SCH-03-009</t>
        </is>
      </c>
      <c r="C940" s="34" t="inlineStr">
        <is>
          <t>New</t>
        </is>
      </c>
      <c r="D940" s="34" t="inlineStr">
        <is>
          <t>Record first supplied in this revision</t>
        </is>
      </c>
      <c r="E940" s="39" t="inlineStr"/>
      <c r="F940" s="100" t="inlineStr">
        <is>
          <t>10 EVIDENCE &amp; DECISIONS</t>
        </is>
      </c>
      <c r="G940" s="41" t="n"/>
    </row>
    <row r="941" ht="79" customHeight="1">
      <c r="A941" s="34" t="inlineStr">
        <is>
          <t>R370-v1</t>
        </is>
      </c>
      <c r="B941" s="34" t="inlineStr">
        <is>
          <t>SCH-03-010</t>
        </is>
      </c>
      <c r="C941" s="34" t="inlineStr">
        <is>
          <t>New</t>
        </is>
      </c>
      <c r="D941" s="34" t="inlineStr">
        <is>
          <t>Record first supplied in this revision</t>
        </is>
      </c>
      <c r="E941" s="39" t="inlineStr"/>
      <c r="F941" s="100" t="inlineStr">
        <is>
          <t>10 EVIDENCE &amp; DECISIONS</t>
        </is>
      </c>
      <c r="G941" s="41" t="n"/>
    </row>
    <row r="942" ht="79" customHeight="1">
      <c r="A942" s="34" t="inlineStr">
        <is>
          <t>R371-v1</t>
        </is>
      </c>
      <c r="B942" s="34" t="inlineStr">
        <is>
          <t>SCH-03-011</t>
        </is>
      </c>
      <c r="C942" s="34" t="inlineStr">
        <is>
          <t>New</t>
        </is>
      </c>
      <c r="D942" s="34" t="inlineStr">
        <is>
          <t>Record first supplied in this revision</t>
        </is>
      </c>
      <c r="E942" s="39" t="inlineStr"/>
      <c r="F942" s="100" t="inlineStr">
        <is>
          <t>10 EVIDENCE &amp; DECISIONS</t>
        </is>
      </c>
      <c r="G942" s="41" t="n"/>
    </row>
    <row r="943" ht="79" customHeight="1">
      <c r="A943" s="34" t="inlineStr">
        <is>
          <t>R372-v1</t>
        </is>
      </c>
      <c r="B943" s="34" t="inlineStr">
        <is>
          <t>SCH-03-012</t>
        </is>
      </c>
      <c r="C943" s="34" t="inlineStr">
        <is>
          <t>New</t>
        </is>
      </c>
      <c r="D943" s="34" t="inlineStr">
        <is>
          <t>Record first supplied in this revision</t>
        </is>
      </c>
      <c r="E943" s="39" t="inlineStr"/>
      <c r="F943" s="100" t="inlineStr">
        <is>
          <t>10 EVIDENCE &amp; DECISIONS</t>
        </is>
      </c>
      <c r="G943" s="41" t="n"/>
    </row>
    <row r="944" ht="79" customHeight="1">
      <c r="A944" s="34" t="inlineStr">
        <is>
          <t>R373-v1</t>
        </is>
      </c>
      <c r="B944" s="34" t="inlineStr">
        <is>
          <t>SCH-03-013</t>
        </is>
      </c>
      <c r="C944" s="34" t="inlineStr">
        <is>
          <t>New</t>
        </is>
      </c>
      <c r="D944" s="34" t="inlineStr">
        <is>
          <t>Record first supplied in this revision</t>
        </is>
      </c>
      <c r="E944" s="39" t="inlineStr"/>
      <c r="F944" s="100" t="inlineStr">
        <is>
          <t>10 EVIDENCE &amp; DECISIONS</t>
        </is>
      </c>
      <c r="G944" s="41" t="n"/>
    </row>
    <row r="945" ht="79" customHeight="1">
      <c r="A945" s="34" t="inlineStr">
        <is>
          <t>R374-v1</t>
        </is>
      </c>
      <c r="B945" s="34" t="inlineStr">
        <is>
          <t>SCH-03-014</t>
        </is>
      </c>
      <c r="C945" s="34" t="inlineStr">
        <is>
          <t>New</t>
        </is>
      </c>
      <c r="D945" s="34" t="inlineStr">
        <is>
          <t>Record first supplied in this revision</t>
        </is>
      </c>
      <c r="E945" s="39" t="inlineStr"/>
      <c r="F945" s="100" t="inlineStr">
        <is>
          <t>10 EVIDENCE &amp; DECISIONS</t>
        </is>
      </c>
      <c r="G945" s="41" t="n"/>
    </row>
    <row r="946" ht="79" customHeight="1">
      <c r="A946" s="34" t="inlineStr">
        <is>
          <t>R375-v1</t>
        </is>
      </c>
      <c r="B946" s="34" t="inlineStr">
        <is>
          <t>SCH-03-015</t>
        </is>
      </c>
      <c r="C946" s="34" t="inlineStr">
        <is>
          <t>New</t>
        </is>
      </c>
      <c r="D946" s="34" t="inlineStr">
        <is>
          <t>Record first supplied in this revision</t>
        </is>
      </c>
      <c r="E946" s="39" t="inlineStr"/>
      <c r="F946" s="100" t="inlineStr">
        <is>
          <t>10 EVIDENCE &amp; DECISIONS</t>
        </is>
      </c>
      <c r="G946" s="41" t="n"/>
    </row>
    <row r="947" ht="79" customHeight="1">
      <c r="A947" s="34" t="inlineStr">
        <is>
          <t>R376-v1</t>
        </is>
      </c>
      <c r="B947" s="34" t="inlineStr">
        <is>
          <t>SCH-03-016</t>
        </is>
      </c>
      <c r="C947" s="34" t="inlineStr">
        <is>
          <t>New</t>
        </is>
      </c>
      <c r="D947" s="34" t="inlineStr">
        <is>
          <t>Record first supplied in this revision</t>
        </is>
      </c>
      <c r="E947" s="39" t="inlineStr"/>
      <c r="F947" s="100" t="inlineStr">
        <is>
          <t>10 EVIDENCE &amp; DECISIONS</t>
        </is>
      </c>
      <c r="G947" s="41" t="n"/>
    </row>
    <row r="948" ht="79" customHeight="1">
      <c r="A948" s="34" t="inlineStr">
        <is>
          <t>R377-v1</t>
        </is>
      </c>
      <c r="B948" s="34" t="inlineStr">
        <is>
          <t>SCH-03-017</t>
        </is>
      </c>
      <c r="C948" s="34" t="inlineStr">
        <is>
          <t>New</t>
        </is>
      </c>
      <c r="D948" s="34" t="inlineStr">
        <is>
          <t>Record first supplied in this revision</t>
        </is>
      </c>
      <c r="E948" s="39" t="inlineStr"/>
      <c r="F948" s="100" t="inlineStr">
        <is>
          <t>10 EVIDENCE &amp; DECISIONS</t>
        </is>
      </c>
      <c r="G948" s="41" t="n"/>
    </row>
    <row r="949" ht="79" customHeight="1">
      <c r="A949" s="34" t="inlineStr">
        <is>
          <t>R378-v1</t>
        </is>
      </c>
      <c r="B949" s="34" t="inlineStr">
        <is>
          <t>SCH-03-018</t>
        </is>
      </c>
      <c r="C949" s="34" t="inlineStr">
        <is>
          <t>New</t>
        </is>
      </c>
      <c r="D949" s="34" t="inlineStr">
        <is>
          <t>Record first supplied in this revision</t>
        </is>
      </c>
      <c r="E949" s="39" t="inlineStr"/>
      <c r="F949" s="100" t="inlineStr">
        <is>
          <t>10 EVIDENCE &amp; DECISIONS</t>
        </is>
      </c>
      <c r="G949" s="41" t="n"/>
    </row>
    <row r="950" ht="79" customHeight="1">
      <c r="A950" s="34" t="inlineStr">
        <is>
          <t>R379-v1</t>
        </is>
      </c>
      <c r="B950" s="34" t="inlineStr">
        <is>
          <t>SCH-03-019</t>
        </is>
      </c>
      <c r="C950" s="34" t="inlineStr">
        <is>
          <t>New</t>
        </is>
      </c>
      <c r="D950" s="34" t="inlineStr">
        <is>
          <t>Record first supplied in this revision</t>
        </is>
      </c>
      <c r="E950" s="39" t="inlineStr"/>
      <c r="F950" s="100" t="inlineStr">
        <is>
          <t>10 EVIDENCE &amp; DECISIONS</t>
        </is>
      </c>
      <c r="G950" s="41" t="n"/>
    </row>
    <row r="951" ht="79" customHeight="1">
      <c r="A951" s="34" t="inlineStr">
        <is>
          <t>R380-v1</t>
        </is>
      </c>
      <c r="B951" s="34" t="inlineStr">
        <is>
          <t>SCH-03-020</t>
        </is>
      </c>
      <c r="C951" s="34" t="inlineStr">
        <is>
          <t>New</t>
        </is>
      </c>
      <c r="D951" s="34" t="inlineStr">
        <is>
          <t>Record first supplied in this revision</t>
        </is>
      </c>
      <c r="E951" s="39" t="inlineStr"/>
      <c r="F951" s="100" t="inlineStr">
        <is>
          <t>10 EVIDENCE &amp; DECISIONS</t>
        </is>
      </c>
      <c r="G951" s="41" t="n"/>
    </row>
    <row r="952" ht="79" customHeight="1">
      <c r="A952" s="34" t="inlineStr">
        <is>
          <t>R381-v1</t>
        </is>
      </c>
      <c r="B952" s="34" t="inlineStr">
        <is>
          <t>SCH-03-021</t>
        </is>
      </c>
      <c r="C952" s="34" t="inlineStr">
        <is>
          <t>New</t>
        </is>
      </c>
      <c r="D952" s="34" t="inlineStr">
        <is>
          <t>Record first supplied in this revision</t>
        </is>
      </c>
      <c r="E952" s="39" t="inlineStr"/>
      <c r="F952" s="100" t="inlineStr">
        <is>
          <t>10 EVIDENCE &amp; DECISIONS</t>
        </is>
      </c>
      <c r="G952" s="41" t="n"/>
    </row>
    <row r="953" ht="79" customHeight="1">
      <c r="A953" s="34" t="inlineStr">
        <is>
          <t>R382-v1</t>
        </is>
      </c>
      <c r="B953" s="34" t="inlineStr">
        <is>
          <t>SCH-03-022</t>
        </is>
      </c>
      <c r="C953" s="34" t="inlineStr">
        <is>
          <t>New</t>
        </is>
      </c>
      <c r="D953" s="34" t="inlineStr">
        <is>
          <t>Record first supplied in this revision</t>
        </is>
      </c>
      <c r="E953" s="39" t="inlineStr"/>
      <c r="F953" s="100" t="inlineStr">
        <is>
          <t>10 EVIDENCE &amp; DECISIONS</t>
        </is>
      </c>
      <c r="G953" s="41" t="n"/>
    </row>
    <row r="954" ht="79" customHeight="1">
      <c r="A954" s="34" t="inlineStr">
        <is>
          <t>R383-v1</t>
        </is>
      </c>
      <c r="B954" s="34" t="inlineStr">
        <is>
          <t>SCH-03-023</t>
        </is>
      </c>
      <c r="C954" s="34" t="inlineStr">
        <is>
          <t>New</t>
        </is>
      </c>
      <c r="D954" s="34" t="inlineStr">
        <is>
          <t>Record first supplied in this revision</t>
        </is>
      </c>
      <c r="E954" s="39" t="inlineStr"/>
      <c r="F954" s="100" t="inlineStr">
        <is>
          <t>10 EVIDENCE &amp; DECISIONS</t>
        </is>
      </c>
      <c r="G954" s="41" t="n"/>
    </row>
    <row r="955" ht="79" customHeight="1">
      <c r="A955" s="34" t="inlineStr">
        <is>
          <t>R384-v1</t>
        </is>
      </c>
      <c r="B955" s="34" t="inlineStr">
        <is>
          <t>SCH-03-024</t>
        </is>
      </c>
      <c r="C955" s="34" t="inlineStr">
        <is>
          <t>New</t>
        </is>
      </c>
      <c r="D955" s="34" t="inlineStr">
        <is>
          <t>Record first supplied in this revision</t>
        </is>
      </c>
      <c r="E955" s="39" t="inlineStr"/>
      <c r="F955" s="100" t="inlineStr">
        <is>
          <t>10 EVIDENCE &amp; DECISIONS</t>
        </is>
      </c>
      <c r="G955" s="41" t="n"/>
    </row>
    <row r="956" ht="79" customHeight="1">
      <c r="A956" s="34" t="inlineStr">
        <is>
          <t>R385-v1</t>
        </is>
      </c>
      <c r="B956" s="34" t="inlineStr">
        <is>
          <t>SCH-03-025</t>
        </is>
      </c>
      <c r="C956" s="34" t="inlineStr">
        <is>
          <t>New</t>
        </is>
      </c>
      <c r="D956" s="34" t="inlineStr">
        <is>
          <t>Record first supplied in this revision</t>
        </is>
      </c>
      <c r="E956" s="39" t="inlineStr"/>
      <c r="F956" s="100" t="inlineStr">
        <is>
          <t>10 EVIDENCE &amp; DECISIONS</t>
        </is>
      </c>
      <c r="G956" s="41" t="n"/>
    </row>
    <row r="957" ht="79" customHeight="1">
      <c r="A957" s="34" t="inlineStr">
        <is>
          <t>R386-v1</t>
        </is>
      </c>
      <c r="B957" s="34" t="inlineStr">
        <is>
          <t>SCH-03-026</t>
        </is>
      </c>
      <c r="C957" s="34" t="inlineStr">
        <is>
          <t>New</t>
        </is>
      </c>
      <c r="D957" s="34" t="inlineStr">
        <is>
          <t>Record first supplied in this revision</t>
        </is>
      </c>
      <c r="E957" s="39" t="inlineStr"/>
      <c r="F957" s="100" t="inlineStr">
        <is>
          <t>10 EVIDENCE &amp; DECISIONS</t>
        </is>
      </c>
      <c r="G957" s="41" t="n"/>
    </row>
    <row r="958" ht="79" customHeight="1">
      <c r="A958" s="34" t="inlineStr">
        <is>
          <t>R387-v1</t>
        </is>
      </c>
      <c r="B958" s="34" t="inlineStr">
        <is>
          <t>SCH-03-027</t>
        </is>
      </c>
      <c r="C958" s="34" t="inlineStr">
        <is>
          <t>New</t>
        </is>
      </c>
      <c r="D958" s="34" t="inlineStr">
        <is>
          <t>Record first supplied in this revision</t>
        </is>
      </c>
      <c r="E958" s="39" t="inlineStr"/>
      <c r="F958" s="100" t="inlineStr">
        <is>
          <t>10 EVIDENCE &amp; DECISIONS</t>
        </is>
      </c>
      <c r="G958" s="41" t="n"/>
    </row>
    <row r="959" ht="79" customHeight="1">
      <c r="A959" s="34" t="inlineStr">
        <is>
          <t>R388-v1</t>
        </is>
      </c>
      <c r="B959" s="34" t="inlineStr">
        <is>
          <t>SCH-03-028</t>
        </is>
      </c>
      <c r="C959" s="34" t="inlineStr">
        <is>
          <t>New</t>
        </is>
      </c>
      <c r="D959" s="34" t="inlineStr">
        <is>
          <t>Record first supplied in this revision</t>
        </is>
      </c>
      <c r="E959" s="39" t="inlineStr"/>
      <c r="F959" s="100" t="inlineStr">
        <is>
          <t>10 EVIDENCE &amp; DECISIONS</t>
        </is>
      </c>
      <c r="G959" s="41" t="n"/>
    </row>
    <row r="960" ht="79" customHeight="1">
      <c r="A960" s="34" t="inlineStr">
        <is>
          <t>R389-v1</t>
        </is>
      </c>
      <c r="B960" s="34" t="inlineStr">
        <is>
          <t>SCH-03-029</t>
        </is>
      </c>
      <c r="C960" s="34" t="inlineStr">
        <is>
          <t>New</t>
        </is>
      </c>
      <c r="D960" s="34" t="inlineStr">
        <is>
          <t>Record first supplied in this revision</t>
        </is>
      </c>
      <c r="E960" s="39" t="inlineStr"/>
      <c r="F960" s="100" t="inlineStr">
        <is>
          <t>10 EVIDENCE &amp; DECISIONS</t>
        </is>
      </c>
      <c r="G960" s="41" t="n"/>
    </row>
    <row r="961" ht="79" customHeight="1">
      <c r="A961" s="34" t="inlineStr">
        <is>
          <t>R390-v1</t>
        </is>
      </c>
      <c r="B961" s="34" t="inlineStr">
        <is>
          <t>SCH-03-030</t>
        </is>
      </c>
      <c r="C961" s="34" t="inlineStr">
        <is>
          <t>New</t>
        </is>
      </c>
      <c r="D961" s="34" t="inlineStr">
        <is>
          <t>Record first supplied in this revision</t>
        </is>
      </c>
      <c r="E961" s="39" t="inlineStr"/>
      <c r="F961" s="100" t="inlineStr">
        <is>
          <t>10 EVIDENCE &amp; DECISIONS</t>
        </is>
      </c>
      <c r="G961" s="41" t="n"/>
    </row>
    <row r="962" ht="79" customHeight="1">
      <c r="A962" s="34" t="inlineStr">
        <is>
          <t>R391-v1</t>
        </is>
      </c>
      <c r="B962" s="34" t="inlineStr">
        <is>
          <t>SCH-03-031</t>
        </is>
      </c>
      <c r="C962" s="34" t="inlineStr">
        <is>
          <t>New</t>
        </is>
      </c>
      <c r="D962" s="34" t="inlineStr">
        <is>
          <t>Record first supplied in this revision</t>
        </is>
      </c>
      <c r="E962" s="39" t="inlineStr"/>
      <c r="F962" s="100" t="inlineStr">
        <is>
          <t>10 EVIDENCE &amp; DECISIONS</t>
        </is>
      </c>
      <c r="G962" s="41" t="n"/>
    </row>
    <row r="963" ht="79" customHeight="1">
      <c r="A963" s="34" t="inlineStr">
        <is>
          <t>R392-v1</t>
        </is>
      </c>
      <c r="B963" s="34" t="inlineStr">
        <is>
          <t>SCH-03-032</t>
        </is>
      </c>
      <c r="C963" s="34" t="inlineStr">
        <is>
          <t>New</t>
        </is>
      </c>
      <c r="D963" s="34" t="inlineStr">
        <is>
          <t>Record first supplied in this revision</t>
        </is>
      </c>
      <c r="E963" s="39" t="inlineStr"/>
      <c r="F963" s="100" t="inlineStr">
        <is>
          <t>10 EVIDENCE &amp; DECISIONS</t>
        </is>
      </c>
      <c r="G963" s="41" t="n"/>
    </row>
    <row r="964" ht="79" customHeight="1">
      <c r="A964" s="34" t="inlineStr">
        <is>
          <t>R393-v1</t>
        </is>
      </c>
      <c r="B964" s="34" t="inlineStr">
        <is>
          <t>SCH-03-033</t>
        </is>
      </c>
      <c r="C964" s="34" t="inlineStr">
        <is>
          <t>New</t>
        </is>
      </c>
      <c r="D964" s="34" t="inlineStr">
        <is>
          <t>Record first supplied in this revision</t>
        </is>
      </c>
      <c r="E964" s="39" t="inlineStr"/>
      <c r="F964" s="100" t="inlineStr">
        <is>
          <t>10 EVIDENCE &amp; DECISIONS</t>
        </is>
      </c>
      <c r="G964" s="41" t="n"/>
    </row>
    <row r="965" ht="79" customHeight="1">
      <c r="A965" s="34" t="inlineStr">
        <is>
          <t>R394-v1</t>
        </is>
      </c>
      <c r="B965" s="34" t="inlineStr">
        <is>
          <t>SCH-03-034</t>
        </is>
      </c>
      <c r="C965" s="34" t="inlineStr">
        <is>
          <t>New</t>
        </is>
      </c>
      <c r="D965" s="34" t="inlineStr">
        <is>
          <t>Record first supplied in this revision</t>
        </is>
      </c>
      <c r="E965" s="39" t="inlineStr"/>
      <c r="F965" s="100" t="inlineStr">
        <is>
          <t>10 EVIDENCE &amp; DECISIONS</t>
        </is>
      </c>
      <c r="G965" s="41" t="n"/>
    </row>
    <row r="966" ht="79" customHeight="1">
      <c r="A966" s="34" t="inlineStr">
        <is>
          <t>R395-v1</t>
        </is>
      </c>
      <c r="B966" s="34" t="inlineStr">
        <is>
          <t>SCH-03-035</t>
        </is>
      </c>
      <c r="C966" s="34" t="inlineStr">
        <is>
          <t>New</t>
        </is>
      </c>
      <c r="D966" s="34" t="inlineStr">
        <is>
          <t>Record first supplied in this revision</t>
        </is>
      </c>
      <c r="E966" s="39" t="inlineStr"/>
      <c r="F966" s="100" t="inlineStr">
        <is>
          <t>10 EVIDENCE &amp; DECISIONS</t>
        </is>
      </c>
      <c r="G966" s="41" t="n"/>
    </row>
    <row r="967" ht="79" customHeight="1">
      <c r="A967" s="34" t="inlineStr">
        <is>
          <t>R396-v1</t>
        </is>
      </c>
      <c r="B967" s="34" t="inlineStr">
        <is>
          <t>SCH-03-036</t>
        </is>
      </c>
      <c r="C967" s="34" t="inlineStr">
        <is>
          <t>New</t>
        </is>
      </c>
      <c r="D967" s="34" t="inlineStr">
        <is>
          <t>Record first supplied in this revision</t>
        </is>
      </c>
      <c r="E967" s="39" t="inlineStr"/>
      <c r="F967" s="100" t="inlineStr">
        <is>
          <t>10 EVIDENCE &amp; DECISIONS</t>
        </is>
      </c>
      <c r="G967" s="41" t="n"/>
    </row>
    <row r="968" ht="79" customHeight="1">
      <c r="A968" s="34" t="inlineStr">
        <is>
          <t>R397-v1</t>
        </is>
      </c>
      <c r="B968" s="34" t="inlineStr">
        <is>
          <t>SCH-03-037</t>
        </is>
      </c>
      <c r="C968" s="34" t="inlineStr">
        <is>
          <t>New</t>
        </is>
      </c>
      <c r="D968" s="34" t="inlineStr">
        <is>
          <t>Record first supplied in this revision</t>
        </is>
      </c>
      <c r="E968" s="39" t="inlineStr"/>
      <c r="F968" s="100" t="inlineStr">
        <is>
          <t>10 EVIDENCE &amp; DECISIONS</t>
        </is>
      </c>
      <c r="G968" s="41" t="n"/>
    </row>
    <row r="969" ht="79" customHeight="1">
      <c r="A969" s="34" t="inlineStr">
        <is>
          <t>R398-v1</t>
        </is>
      </c>
      <c r="B969" s="34" t="inlineStr">
        <is>
          <t>SCH-03-038</t>
        </is>
      </c>
      <c r="C969" s="34" t="inlineStr">
        <is>
          <t>New</t>
        </is>
      </c>
      <c r="D969" s="34" t="inlineStr">
        <is>
          <t>Record first supplied in this revision</t>
        </is>
      </c>
      <c r="E969" s="39" t="inlineStr"/>
      <c r="F969" s="100" t="inlineStr">
        <is>
          <t>10 EVIDENCE &amp; DECISIONS</t>
        </is>
      </c>
      <c r="G969" s="41" t="n"/>
    </row>
    <row r="970" ht="79" customHeight="1">
      <c r="A970" s="34" t="inlineStr">
        <is>
          <t>R399-v1</t>
        </is>
      </c>
      <c r="B970" s="34" t="inlineStr">
        <is>
          <t>SCH-03-039</t>
        </is>
      </c>
      <c r="C970" s="34" t="inlineStr">
        <is>
          <t>New</t>
        </is>
      </c>
      <c r="D970" s="34" t="inlineStr">
        <is>
          <t>Record first supplied in this revision</t>
        </is>
      </c>
      <c r="E970" s="39" t="inlineStr"/>
      <c r="F970" s="100" t="inlineStr">
        <is>
          <t>10 EVIDENCE &amp; DECISIONS</t>
        </is>
      </c>
      <c r="G970" s="41" t="n"/>
    </row>
    <row r="971" ht="79" customHeight="1">
      <c r="A971" s="34" t="inlineStr">
        <is>
          <t>R400-v1</t>
        </is>
      </c>
      <c r="B971" s="34" t="inlineStr">
        <is>
          <t>SCH-03-040</t>
        </is>
      </c>
      <c r="C971" s="34" t="inlineStr">
        <is>
          <t>New</t>
        </is>
      </c>
      <c r="D971" s="34" t="inlineStr">
        <is>
          <t>Record first supplied in this revision</t>
        </is>
      </c>
      <c r="E971" s="39" t="inlineStr"/>
      <c r="F971" s="100" t="inlineStr">
        <is>
          <t>10 EVIDENCE &amp; DECISIONS</t>
        </is>
      </c>
      <c r="G971" s="41" t="n"/>
    </row>
    <row r="972" ht="79" customHeight="1">
      <c r="A972" s="34" t="inlineStr">
        <is>
          <t>R401-v1</t>
        </is>
      </c>
      <c r="B972" s="34" t="inlineStr">
        <is>
          <t>SCH-03-041</t>
        </is>
      </c>
      <c r="C972" s="34" t="inlineStr">
        <is>
          <t>New</t>
        </is>
      </c>
      <c r="D972" s="34" t="inlineStr">
        <is>
          <t>Record first supplied in this revision</t>
        </is>
      </c>
      <c r="E972" s="39" t="inlineStr"/>
      <c r="F972" s="100" t="inlineStr">
        <is>
          <t>10 EVIDENCE &amp; DECISIONS</t>
        </is>
      </c>
      <c r="G972" s="41" t="n"/>
    </row>
    <row r="973" ht="79" customHeight="1">
      <c r="A973" s="34" t="inlineStr">
        <is>
          <t>R402-v1</t>
        </is>
      </c>
      <c r="B973" s="34" t="inlineStr">
        <is>
          <t>SCH-03-042</t>
        </is>
      </c>
      <c r="C973" s="34" t="inlineStr">
        <is>
          <t>New</t>
        </is>
      </c>
      <c r="D973" s="34" t="inlineStr">
        <is>
          <t>Record first supplied in this revision</t>
        </is>
      </c>
      <c r="E973" s="39" t="inlineStr"/>
      <c r="F973" s="100" t="inlineStr">
        <is>
          <t>10 EVIDENCE &amp; DECISIONS</t>
        </is>
      </c>
      <c r="G973" s="41" t="n"/>
    </row>
    <row r="974" ht="79" customHeight="1">
      <c r="A974" s="34" t="inlineStr">
        <is>
          <t>R403-v1</t>
        </is>
      </c>
      <c r="B974" s="34" t="inlineStr">
        <is>
          <t>SCH-03-043</t>
        </is>
      </c>
      <c r="C974" s="34" t="inlineStr">
        <is>
          <t>New</t>
        </is>
      </c>
      <c r="D974" s="34" t="inlineStr">
        <is>
          <t>Record first supplied in this revision</t>
        </is>
      </c>
      <c r="E974" s="39" t="inlineStr"/>
      <c r="F974" s="100" t="inlineStr">
        <is>
          <t>10 EVIDENCE &amp; DECISIONS</t>
        </is>
      </c>
      <c r="G974" s="41" t="n"/>
    </row>
    <row r="975" ht="79" customHeight="1">
      <c r="A975" s="34" t="inlineStr">
        <is>
          <t>R404-v1</t>
        </is>
      </c>
      <c r="B975" s="34" t="inlineStr">
        <is>
          <t>SCH-03-044</t>
        </is>
      </c>
      <c r="C975" s="34" t="inlineStr">
        <is>
          <t>New</t>
        </is>
      </c>
      <c r="D975" s="34" t="inlineStr">
        <is>
          <t>Record first supplied in this revision</t>
        </is>
      </c>
      <c r="E975" s="39" t="inlineStr"/>
      <c r="F975" s="100" t="inlineStr">
        <is>
          <t>10 EVIDENCE &amp; DECISIONS</t>
        </is>
      </c>
      <c r="G975" s="41" t="n"/>
    </row>
    <row r="976" ht="79" customHeight="1">
      <c r="A976" s="34" t="inlineStr">
        <is>
          <t>R405-v1</t>
        </is>
      </c>
      <c r="B976" s="34" t="inlineStr">
        <is>
          <t>SCH-03-045</t>
        </is>
      </c>
      <c r="C976" s="34" t="inlineStr">
        <is>
          <t>New</t>
        </is>
      </c>
      <c r="D976" s="34" t="inlineStr">
        <is>
          <t>Record first supplied in this revision</t>
        </is>
      </c>
      <c r="E976" s="39" t="inlineStr"/>
      <c r="F976" s="100" t="inlineStr">
        <is>
          <t>10 EVIDENCE &amp; DECISIONS</t>
        </is>
      </c>
      <c r="G976" s="41" t="n"/>
    </row>
    <row r="977" ht="79" customHeight="1">
      <c r="A977" s="34" t="inlineStr">
        <is>
          <t>R406-v1</t>
        </is>
      </c>
      <c r="B977" s="34" t="inlineStr">
        <is>
          <t>SCH-03-046</t>
        </is>
      </c>
      <c r="C977" s="34" t="inlineStr">
        <is>
          <t>New</t>
        </is>
      </c>
      <c r="D977" s="34" t="inlineStr">
        <is>
          <t>Record first supplied in this revision</t>
        </is>
      </c>
      <c r="E977" s="39" t="inlineStr"/>
      <c r="F977" s="100" t="inlineStr">
        <is>
          <t>10 EVIDENCE &amp; DECISIONS</t>
        </is>
      </c>
      <c r="G977" s="41" t="n"/>
    </row>
    <row r="978" ht="79" customHeight="1">
      <c r="A978" s="34" t="inlineStr">
        <is>
          <t>R407-v1</t>
        </is>
      </c>
      <c r="B978" s="34" t="inlineStr">
        <is>
          <t>SCH-03-047</t>
        </is>
      </c>
      <c r="C978" s="34" t="inlineStr">
        <is>
          <t>New</t>
        </is>
      </c>
      <c r="D978" s="34" t="inlineStr">
        <is>
          <t>Record first supplied in this revision</t>
        </is>
      </c>
      <c r="E978" s="39" t="inlineStr"/>
      <c r="F978" s="100" t="inlineStr">
        <is>
          <t>10 EVIDENCE &amp; DECISIONS</t>
        </is>
      </c>
      <c r="G978" s="41" t="n"/>
    </row>
    <row r="979" ht="79" customHeight="1">
      <c r="A979" s="34" t="inlineStr">
        <is>
          <t>R408-v1</t>
        </is>
      </c>
      <c r="B979" s="34" t="inlineStr">
        <is>
          <t>SCH-03-048</t>
        </is>
      </c>
      <c r="C979" s="34" t="inlineStr">
        <is>
          <t>New</t>
        </is>
      </c>
      <c r="D979" s="34" t="inlineStr">
        <is>
          <t>Record first supplied in this revision</t>
        </is>
      </c>
      <c r="E979" s="39" t="inlineStr"/>
      <c r="F979" s="100" t="inlineStr">
        <is>
          <t>10 EVIDENCE &amp; DECISIONS</t>
        </is>
      </c>
      <c r="G979" s="41" t="n"/>
    </row>
    <row r="980" ht="79" customHeight="1">
      <c r="A980" s="34" t="inlineStr">
        <is>
          <t>R409-v1</t>
        </is>
      </c>
      <c r="B980" s="34" t="inlineStr">
        <is>
          <t>SCH-03-049</t>
        </is>
      </c>
      <c r="C980" s="34" t="inlineStr">
        <is>
          <t>New</t>
        </is>
      </c>
      <c r="D980" s="34" t="inlineStr">
        <is>
          <t>Record first supplied in this revision</t>
        </is>
      </c>
      <c r="E980" s="39" t="inlineStr"/>
      <c r="F980" s="100" t="inlineStr">
        <is>
          <t>10 EVIDENCE &amp; DECISIONS</t>
        </is>
      </c>
      <c r="G980" s="41" t="n"/>
    </row>
    <row r="981" ht="79" customHeight="1">
      <c r="A981" s="34" t="inlineStr">
        <is>
          <t>R410-v1</t>
        </is>
      </c>
      <c r="B981" s="34" t="inlineStr">
        <is>
          <t>SCH-03-050</t>
        </is>
      </c>
      <c r="C981" s="34" t="inlineStr">
        <is>
          <t>New</t>
        </is>
      </c>
      <c r="D981" s="34" t="inlineStr">
        <is>
          <t>Record first supplied in this revision</t>
        </is>
      </c>
      <c r="E981" s="39" t="inlineStr"/>
      <c r="F981" s="100" t="inlineStr">
        <is>
          <t>10 EVIDENCE &amp; DECISIONS</t>
        </is>
      </c>
      <c r="G981" s="41" t="n"/>
    </row>
    <row r="982" ht="79" customHeight="1">
      <c r="A982" s="34" t="inlineStr">
        <is>
          <t>R411-v1</t>
        </is>
      </c>
      <c r="B982" s="34" t="inlineStr">
        <is>
          <t>SCH-03-051</t>
        </is>
      </c>
      <c r="C982" s="34" t="inlineStr">
        <is>
          <t>New</t>
        </is>
      </c>
      <c r="D982" s="34" t="inlineStr">
        <is>
          <t>Record first supplied in this revision</t>
        </is>
      </c>
      <c r="E982" s="39" t="inlineStr"/>
      <c r="F982" s="100" t="inlineStr">
        <is>
          <t>10 EVIDENCE &amp; DECISIONS</t>
        </is>
      </c>
      <c r="G982" s="41" t="n"/>
    </row>
    <row r="983" ht="79" customHeight="1">
      <c r="A983" s="34" t="inlineStr">
        <is>
          <t>R412-v1</t>
        </is>
      </c>
      <c r="B983" s="34" t="inlineStr">
        <is>
          <t>SCH-03-052</t>
        </is>
      </c>
      <c r="C983" s="34" t="inlineStr">
        <is>
          <t>New</t>
        </is>
      </c>
      <c r="D983" s="34" t="inlineStr">
        <is>
          <t>Record first supplied in this revision</t>
        </is>
      </c>
      <c r="E983" s="39" t="inlineStr"/>
      <c r="F983" s="100" t="inlineStr">
        <is>
          <t>10 EVIDENCE &amp; DECISIONS</t>
        </is>
      </c>
      <c r="G983" s="41" t="n"/>
    </row>
    <row r="984" ht="79" customHeight="1">
      <c r="A984" s="34" t="inlineStr">
        <is>
          <t>R413-v1</t>
        </is>
      </c>
      <c r="B984" s="34" t="inlineStr">
        <is>
          <t>SCH-03-053</t>
        </is>
      </c>
      <c r="C984" s="34" t="inlineStr">
        <is>
          <t>New</t>
        </is>
      </c>
      <c r="D984" s="34" t="inlineStr">
        <is>
          <t>Record first supplied in this revision</t>
        </is>
      </c>
      <c r="E984" s="39" t="inlineStr"/>
      <c r="F984" s="100" t="inlineStr">
        <is>
          <t>10 EVIDENCE &amp; DECISIONS</t>
        </is>
      </c>
      <c r="G984" s="41" t="n"/>
    </row>
    <row r="985" ht="79" customHeight="1">
      <c r="A985" s="34" t="inlineStr">
        <is>
          <t>R414-v1</t>
        </is>
      </c>
      <c r="B985" s="34" t="inlineStr">
        <is>
          <t>SCH-03-054</t>
        </is>
      </c>
      <c r="C985" s="34" t="inlineStr">
        <is>
          <t>New</t>
        </is>
      </c>
      <c r="D985" s="34" t="inlineStr">
        <is>
          <t>Record first supplied in this revision</t>
        </is>
      </c>
      <c r="E985" s="39" t="inlineStr"/>
      <c r="F985" s="100" t="inlineStr">
        <is>
          <t>10 EVIDENCE &amp; DECISIONS</t>
        </is>
      </c>
      <c r="G985" s="41" t="n"/>
    </row>
    <row r="986" ht="79" customHeight="1">
      <c r="A986" s="34" t="inlineStr">
        <is>
          <t>R415-v1</t>
        </is>
      </c>
      <c r="B986" s="34" t="inlineStr">
        <is>
          <t>SCH-03-055</t>
        </is>
      </c>
      <c r="C986" s="34" t="inlineStr">
        <is>
          <t>New</t>
        </is>
      </c>
      <c r="D986" s="34" t="inlineStr">
        <is>
          <t>Record first supplied in this revision</t>
        </is>
      </c>
      <c r="E986" s="39" t="inlineStr"/>
      <c r="F986" s="100" t="inlineStr">
        <is>
          <t>10 EVIDENCE &amp; DECISIONS</t>
        </is>
      </c>
      <c r="G986" s="41" t="n"/>
    </row>
    <row r="987" ht="79" customHeight="1">
      <c r="A987" s="34" t="inlineStr">
        <is>
          <t>R416-v1</t>
        </is>
      </c>
      <c r="B987" s="34" t="inlineStr">
        <is>
          <t>SCH-03-056</t>
        </is>
      </c>
      <c r="C987" s="34" t="inlineStr">
        <is>
          <t>New</t>
        </is>
      </c>
      <c r="D987" s="34" t="inlineStr">
        <is>
          <t>Record first supplied in this revision</t>
        </is>
      </c>
      <c r="E987" s="39" t="inlineStr"/>
      <c r="F987" s="100" t="inlineStr">
        <is>
          <t>10 EVIDENCE &amp; DECISIONS</t>
        </is>
      </c>
      <c r="G987" s="41" t="n"/>
    </row>
    <row r="988" ht="79" customHeight="1">
      <c r="A988" s="34" t="inlineStr">
        <is>
          <t>R417-v1</t>
        </is>
      </c>
      <c r="B988" s="34" t="inlineStr">
        <is>
          <t>SCH-03-057</t>
        </is>
      </c>
      <c r="C988" s="34" t="inlineStr">
        <is>
          <t>New</t>
        </is>
      </c>
      <c r="D988" s="34" t="inlineStr">
        <is>
          <t>Record first supplied in this revision</t>
        </is>
      </c>
      <c r="E988" s="39" t="inlineStr"/>
      <c r="F988" s="100" t="inlineStr">
        <is>
          <t>10 EVIDENCE &amp; DECISIONS</t>
        </is>
      </c>
      <c r="G988" s="41" t="n"/>
    </row>
    <row r="989" ht="79" customHeight="1">
      <c r="A989" s="34" t="inlineStr">
        <is>
          <t>R418-v1</t>
        </is>
      </c>
      <c r="B989" s="34" t="inlineStr">
        <is>
          <t>SCH-03-058</t>
        </is>
      </c>
      <c r="C989" s="34" t="inlineStr">
        <is>
          <t>New</t>
        </is>
      </c>
      <c r="D989" s="34" t="inlineStr">
        <is>
          <t>Record first supplied in this revision</t>
        </is>
      </c>
      <c r="E989" s="39" t="inlineStr"/>
      <c r="F989" s="100" t="inlineStr">
        <is>
          <t>10 EVIDENCE &amp; DECISIONS</t>
        </is>
      </c>
      <c r="G989" s="41" t="n"/>
    </row>
    <row r="990" ht="79" customHeight="1">
      <c r="A990" s="34" t="inlineStr">
        <is>
          <t>R419-v1</t>
        </is>
      </c>
      <c r="B990" s="34" t="inlineStr">
        <is>
          <t>SCH-03-059</t>
        </is>
      </c>
      <c r="C990" s="34" t="inlineStr">
        <is>
          <t>New</t>
        </is>
      </c>
      <c r="D990" s="34" t="inlineStr">
        <is>
          <t>Record first supplied in this revision</t>
        </is>
      </c>
      <c r="E990" s="39" t="inlineStr"/>
      <c r="F990" s="100" t="inlineStr">
        <is>
          <t>10 EVIDENCE &amp; DECISIONS</t>
        </is>
      </c>
      <c r="G990" s="41" t="n"/>
    </row>
    <row r="991" ht="79" customHeight="1">
      <c r="A991" s="34" t="inlineStr">
        <is>
          <t>R420-v1</t>
        </is>
      </c>
      <c r="B991" s="34" t="inlineStr">
        <is>
          <t>SCH-03-060</t>
        </is>
      </c>
      <c r="C991" s="34" t="inlineStr">
        <is>
          <t>New</t>
        </is>
      </c>
      <c r="D991" s="34" t="inlineStr">
        <is>
          <t>Record first supplied in this revision</t>
        </is>
      </c>
      <c r="E991" s="39" t="inlineStr"/>
      <c r="F991" s="100" t="inlineStr">
        <is>
          <t>10 EVIDENCE &amp; DECISIONS</t>
        </is>
      </c>
      <c r="G991" s="41" t="n"/>
    </row>
    <row r="992" ht="79" customHeight="1">
      <c r="A992" s="34" t="inlineStr">
        <is>
          <t>R421-v1</t>
        </is>
      </c>
      <c r="B992" s="34" t="inlineStr">
        <is>
          <t>SCH-03-061</t>
        </is>
      </c>
      <c r="C992" s="34" t="inlineStr">
        <is>
          <t>New</t>
        </is>
      </c>
      <c r="D992" s="34" t="inlineStr">
        <is>
          <t>Record first supplied in this revision</t>
        </is>
      </c>
      <c r="E992" s="39" t="inlineStr"/>
      <c r="F992" s="100" t="inlineStr">
        <is>
          <t>10 EVIDENCE &amp; DECISIONS</t>
        </is>
      </c>
      <c r="G992" s="41" t="n"/>
    </row>
    <row r="993" ht="79" customHeight="1">
      <c r="A993" s="34" t="inlineStr">
        <is>
          <t>R422-v1</t>
        </is>
      </c>
      <c r="B993" s="34" t="inlineStr">
        <is>
          <t>SCH-03-062</t>
        </is>
      </c>
      <c r="C993" s="34" t="inlineStr">
        <is>
          <t>New</t>
        </is>
      </c>
      <c r="D993" s="34" t="inlineStr">
        <is>
          <t>Record first supplied in this revision</t>
        </is>
      </c>
      <c r="E993" s="39" t="inlineStr"/>
      <c r="F993" s="100" t="inlineStr">
        <is>
          <t>10 EVIDENCE &amp; DECISIONS</t>
        </is>
      </c>
      <c r="G993" s="41" t="n"/>
    </row>
    <row r="994" ht="79" customHeight="1">
      <c r="A994" s="34" t="inlineStr">
        <is>
          <t>R423-v1</t>
        </is>
      </c>
      <c r="B994" s="34" t="inlineStr">
        <is>
          <t>SCH-03-063</t>
        </is>
      </c>
      <c r="C994" s="34" t="inlineStr">
        <is>
          <t>New</t>
        </is>
      </c>
      <c r="D994" s="34" t="inlineStr">
        <is>
          <t>Record first supplied in this revision</t>
        </is>
      </c>
      <c r="E994" s="39" t="inlineStr"/>
      <c r="F994" s="100" t="inlineStr">
        <is>
          <t>10 EVIDENCE &amp; DECISIONS</t>
        </is>
      </c>
      <c r="G994" s="41" t="n"/>
    </row>
    <row r="995" ht="79" customHeight="1">
      <c r="A995" s="34" t="inlineStr">
        <is>
          <t>R424-v1</t>
        </is>
      </c>
      <c r="B995" s="34" t="inlineStr">
        <is>
          <t>SCH-03-064</t>
        </is>
      </c>
      <c r="C995" s="34" t="inlineStr">
        <is>
          <t>New</t>
        </is>
      </c>
      <c r="D995" s="34" t="inlineStr">
        <is>
          <t>Record first supplied in this revision</t>
        </is>
      </c>
      <c r="E995" s="39" t="inlineStr"/>
      <c r="F995" s="100" t="inlineStr">
        <is>
          <t>10 EVIDENCE &amp; DECISIONS</t>
        </is>
      </c>
      <c r="G995" s="41" t="n"/>
    </row>
    <row r="996" ht="79" customHeight="1">
      <c r="A996" s="34" t="inlineStr">
        <is>
          <t>R425-v1</t>
        </is>
      </c>
      <c r="B996" s="34" t="inlineStr">
        <is>
          <t>SCH-03-065</t>
        </is>
      </c>
      <c r="C996" s="34" t="inlineStr">
        <is>
          <t>New</t>
        </is>
      </c>
      <c r="D996" s="34" t="inlineStr">
        <is>
          <t>Record first supplied in this revision</t>
        </is>
      </c>
      <c r="E996" s="39" t="inlineStr"/>
      <c r="F996" s="100" t="inlineStr">
        <is>
          <t>10 EVIDENCE &amp; DECISIONS</t>
        </is>
      </c>
      <c r="G996" s="41" t="n"/>
    </row>
    <row r="997" ht="79" customHeight="1">
      <c r="A997" s="34" t="inlineStr">
        <is>
          <t>R426-v1</t>
        </is>
      </c>
      <c r="B997" s="34" t="inlineStr">
        <is>
          <t>SCH-03-066</t>
        </is>
      </c>
      <c r="C997" s="34" t="inlineStr">
        <is>
          <t>New</t>
        </is>
      </c>
      <c r="D997" s="34" t="inlineStr">
        <is>
          <t>Record first supplied in this revision</t>
        </is>
      </c>
      <c r="E997" s="39" t="inlineStr"/>
      <c r="F997" s="100" t="inlineStr">
        <is>
          <t>10 EVIDENCE &amp; DECISIONS</t>
        </is>
      </c>
      <c r="G997" s="41" t="n"/>
    </row>
    <row r="998" ht="79" customHeight="1">
      <c r="A998" s="34" t="inlineStr">
        <is>
          <t>R427-v1</t>
        </is>
      </c>
      <c r="B998" s="34" t="inlineStr">
        <is>
          <t>SCH-03-067</t>
        </is>
      </c>
      <c r="C998" s="34" t="inlineStr">
        <is>
          <t>New</t>
        </is>
      </c>
      <c r="D998" s="34" t="inlineStr">
        <is>
          <t>Record first supplied in this revision</t>
        </is>
      </c>
      <c r="E998" s="39" t="inlineStr"/>
      <c r="F998" s="100" t="inlineStr">
        <is>
          <t>10 EVIDENCE &amp; DECISIONS</t>
        </is>
      </c>
      <c r="G998" s="41" t="n"/>
    </row>
    <row r="999" ht="79" customHeight="1">
      <c r="A999" s="34" t="inlineStr">
        <is>
          <t>R428-v1</t>
        </is>
      </c>
      <c r="B999" s="34" t="inlineStr">
        <is>
          <t>SCH-03-068</t>
        </is>
      </c>
      <c r="C999" s="34" t="inlineStr">
        <is>
          <t>New</t>
        </is>
      </c>
      <c r="D999" s="34" t="inlineStr">
        <is>
          <t>Record first supplied in this revision</t>
        </is>
      </c>
      <c r="E999" s="39" t="inlineStr"/>
      <c r="F999" s="100" t="inlineStr">
        <is>
          <t>10 EVIDENCE &amp; DECISIONS</t>
        </is>
      </c>
      <c r="G999" s="41" t="n"/>
    </row>
    <row r="1000" ht="79" customHeight="1">
      <c r="A1000" s="34" t="inlineStr">
        <is>
          <t>R429-v1</t>
        </is>
      </c>
      <c r="B1000" s="34" t="inlineStr">
        <is>
          <t>SCH-03-069</t>
        </is>
      </c>
      <c r="C1000" s="34" t="inlineStr">
        <is>
          <t>New</t>
        </is>
      </c>
      <c r="D1000" s="34" t="inlineStr">
        <is>
          <t>Record first supplied in this revision</t>
        </is>
      </c>
      <c r="E1000" s="39" t="inlineStr"/>
      <c r="F1000" s="100" t="inlineStr">
        <is>
          <t>10 EVIDENCE &amp; DECISIONS</t>
        </is>
      </c>
      <c r="G1000" s="41" t="n"/>
    </row>
    <row r="1001" ht="79" customHeight="1">
      <c r="A1001" s="34" t="inlineStr">
        <is>
          <t>R430-v1</t>
        </is>
      </c>
      <c r="B1001" s="34" t="inlineStr">
        <is>
          <t>SCH-03-070</t>
        </is>
      </c>
      <c r="C1001" s="34" t="inlineStr">
        <is>
          <t>New</t>
        </is>
      </c>
      <c r="D1001" s="34" t="inlineStr">
        <is>
          <t>Record first supplied in this revision</t>
        </is>
      </c>
      <c r="E1001" s="39" t="inlineStr"/>
      <c r="F1001" s="100" t="inlineStr">
        <is>
          <t>10 EVIDENCE &amp; DECISIONS</t>
        </is>
      </c>
      <c r="G1001" s="41" t="n"/>
    </row>
    <row r="1002" ht="79" customHeight="1">
      <c r="A1002" s="34" t="inlineStr">
        <is>
          <t>R431-v1</t>
        </is>
      </c>
      <c r="B1002" s="34" t="inlineStr">
        <is>
          <t>SCH-03-071</t>
        </is>
      </c>
      <c r="C1002" s="34" t="inlineStr">
        <is>
          <t>New</t>
        </is>
      </c>
      <c r="D1002" s="34" t="inlineStr">
        <is>
          <t>Record first supplied in this revision</t>
        </is>
      </c>
      <c r="E1002" s="39" t="inlineStr"/>
      <c r="F1002" s="100" t="inlineStr">
        <is>
          <t>10 EVIDENCE &amp; DECISIONS</t>
        </is>
      </c>
      <c r="G1002" s="41" t="n"/>
    </row>
    <row r="1003" ht="79" customHeight="1">
      <c r="A1003" s="34" t="inlineStr">
        <is>
          <t>R432-v1</t>
        </is>
      </c>
      <c r="B1003" s="34" t="inlineStr">
        <is>
          <t>SCH-03-072</t>
        </is>
      </c>
      <c r="C1003" s="34" t="inlineStr">
        <is>
          <t>New</t>
        </is>
      </c>
      <c r="D1003" s="34" t="inlineStr">
        <is>
          <t>Record first supplied in this revision</t>
        </is>
      </c>
      <c r="E1003" s="39" t="inlineStr"/>
      <c r="F1003" s="100" t="inlineStr">
        <is>
          <t>10 EVIDENCE &amp; DECISIONS</t>
        </is>
      </c>
      <c r="G1003" s="41" t="n"/>
    </row>
    <row r="1004" ht="79" customHeight="1">
      <c r="A1004" s="34" t="inlineStr">
        <is>
          <t>R433-v1</t>
        </is>
      </c>
      <c r="B1004" s="34" t="inlineStr">
        <is>
          <t>SCH-03-073</t>
        </is>
      </c>
      <c r="C1004" s="34" t="inlineStr">
        <is>
          <t>New</t>
        </is>
      </c>
      <c r="D1004" s="34" t="inlineStr">
        <is>
          <t>Record first supplied in this revision</t>
        </is>
      </c>
      <c r="E1004" s="39" t="inlineStr"/>
      <c r="F1004" s="100" t="inlineStr">
        <is>
          <t>10 EVIDENCE &amp; DECISIONS</t>
        </is>
      </c>
      <c r="G1004" s="41" t="n"/>
    </row>
    <row r="1005" ht="79" customHeight="1">
      <c r="A1005" s="34" t="inlineStr">
        <is>
          <t>R434-v1</t>
        </is>
      </c>
      <c r="B1005" s="34" t="inlineStr">
        <is>
          <t>SCH-03-074</t>
        </is>
      </c>
      <c r="C1005" s="34" t="inlineStr">
        <is>
          <t>New</t>
        </is>
      </c>
      <c r="D1005" s="34" t="inlineStr">
        <is>
          <t>Record first supplied in this revision</t>
        </is>
      </c>
      <c r="E1005" s="39" t="inlineStr"/>
      <c r="F1005" s="100" t="inlineStr">
        <is>
          <t>10 EVIDENCE &amp; DECISIONS</t>
        </is>
      </c>
      <c r="G1005" s="41" t="n"/>
    </row>
    <row r="1006" ht="79" customHeight="1">
      <c r="A1006" s="34" t="inlineStr">
        <is>
          <t>R435-v1</t>
        </is>
      </c>
      <c r="B1006" s="34" t="inlineStr">
        <is>
          <t>SCH-03-075</t>
        </is>
      </c>
      <c r="C1006" s="34" t="inlineStr">
        <is>
          <t>New</t>
        </is>
      </c>
      <c r="D1006" s="34" t="inlineStr">
        <is>
          <t>Record first supplied in this revision</t>
        </is>
      </c>
      <c r="E1006" s="39" t="inlineStr"/>
      <c r="F1006" s="100" t="inlineStr">
        <is>
          <t>10 EVIDENCE &amp; DECISIONS</t>
        </is>
      </c>
      <c r="G1006" s="41" t="n"/>
    </row>
    <row r="1007" ht="79" customHeight="1">
      <c r="A1007" s="34" t="inlineStr">
        <is>
          <t>R436-v1</t>
        </is>
      </c>
      <c r="B1007" s="34" t="inlineStr">
        <is>
          <t>SCH-03-076</t>
        </is>
      </c>
      <c r="C1007" s="34" t="inlineStr">
        <is>
          <t>New</t>
        </is>
      </c>
      <c r="D1007" s="34" t="inlineStr">
        <is>
          <t>Record first supplied in this revision</t>
        </is>
      </c>
      <c r="E1007" s="39" t="inlineStr"/>
      <c r="F1007" s="100" t="inlineStr">
        <is>
          <t>10 EVIDENCE &amp; DECISIONS</t>
        </is>
      </c>
      <c r="G1007" s="41" t="n"/>
    </row>
    <row r="1008" ht="79" customHeight="1">
      <c r="A1008" s="34" t="inlineStr">
        <is>
          <t>R437-v1</t>
        </is>
      </c>
      <c r="B1008" s="34" t="inlineStr">
        <is>
          <t>SCH-03-077</t>
        </is>
      </c>
      <c r="C1008" s="34" t="inlineStr">
        <is>
          <t>New</t>
        </is>
      </c>
      <c r="D1008" s="34" t="inlineStr">
        <is>
          <t>Record first supplied in this revision</t>
        </is>
      </c>
      <c r="E1008" s="39" t="inlineStr"/>
      <c r="F1008" s="100" t="inlineStr">
        <is>
          <t>10 EVIDENCE &amp; DECISIONS</t>
        </is>
      </c>
      <c r="G1008" s="41" t="n"/>
    </row>
    <row r="1009" ht="79" customHeight="1">
      <c r="A1009" s="34" t="inlineStr">
        <is>
          <t>R438-v1</t>
        </is>
      </c>
      <c r="B1009" s="34" t="inlineStr">
        <is>
          <t>SCH-03-078</t>
        </is>
      </c>
      <c r="C1009" s="34" t="inlineStr">
        <is>
          <t>New</t>
        </is>
      </c>
      <c r="D1009" s="34" t="inlineStr">
        <is>
          <t>Record first supplied in this revision</t>
        </is>
      </c>
      <c r="E1009" s="39" t="inlineStr"/>
      <c r="F1009" s="100" t="inlineStr">
        <is>
          <t>10 EVIDENCE &amp; DECISIONS</t>
        </is>
      </c>
      <c r="G1009" s="41" t="n"/>
    </row>
    <row r="1010" ht="79" customHeight="1">
      <c r="A1010" s="34" t="inlineStr">
        <is>
          <t>R439-v1</t>
        </is>
      </c>
      <c r="B1010" s="34" t="inlineStr">
        <is>
          <t>SCH-03-079</t>
        </is>
      </c>
      <c r="C1010" s="34" t="inlineStr">
        <is>
          <t>New</t>
        </is>
      </c>
      <c r="D1010" s="34" t="inlineStr">
        <is>
          <t>Record first supplied in this revision</t>
        </is>
      </c>
      <c r="E1010" s="39" t="inlineStr"/>
      <c r="F1010" s="100" t="inlineStr">
        <is>
          <t>10 EVIDENCE &amp; DECISIONS</t>
        </is>
      </c>
      <c r="G1010" s="41" t="n"/>
    </row>
    <row r="1011" ht="79" customHeight="1">
      <c r="A1011" s="34" t="inlineStr">
        <is>
          <t>R440-v1</t>
        </is>
      </c>
      <c r="B1011" s="34" t="inlineStr">
        <is>
          <t>SCH-03-080</t>
        </is>
      </c>
      <c r="C1011" s="34" t="inlineStr">
        <is>
          <t>New</t>
        </is>
      </c>
      <c r="D1011" s="34" t="inlineStr">
        <is>
          <t>Record first supplied in this revision</t>
        </is>
      </c>
      <c r="E1011" s="39" t="inlineStr"/>
      <c r="F1011" s="100" t="inlineStr">
        <is>
          <t>10 EVIDENCE &amp; DECISIONS</t>
        </is>
      </c>
      <c r="G1011" s="41" t="n"/>
    </row>
    <row r="1012" ht="79" customHeight="1">
      <c r="A1012" s="34" t="inlineStr">
        <is>
          <t>R441-v1</t>
        </is>
      </c>
      <c r="B1012" s="34" t="inlineStr">
        <is>
          <t>SCH-03-081</t>
        </is>
      </c>
      <c r="C1012" s="34" t="inlineStr">
        <is>
          <t>New</t>
        </is>
      </c>
      <c r="D1012" s="34" t="inlineStr">
        <is>
          <t>Record first supplied in this revision</t>
        </is>
      </c>
      <c r="E1012" s="39" t="inlineStr"/>
      <c r="F1012" s="100" t="inlineStr">
        <is>
          <t>10 EVIDENCE &amp; DECISIONS</t>
        </is>
      </c>
      <c r="G1012" s="41" t="n"/>
    </row>
    <row r="1013" ht="79" customHeight="1">
      <c r="A1013" s="34" t="inlineStr">
        <is>
          <t>R442-v1</t>
        </is>
      </c>
      <c r="B1013" s="34" t="inlineStr">
        <is>
          <t>SCH-03-082</t>
        </is>
      </c>
      <c r="C1013" s="34" t="inlineStr">
        <is>
          <t>New</t>
        </is>
      </c>
      <c r="D1013" s="34" t="inlineStr">
        <is>
          <t>Record first supplied in this revision</t>
        </is>
      </c>
      <c r="E1013" s="39" t="inlineStr"/>
      <c r="F1013" s="100" t="inlineStr">
        <is>
          <t>10 EVIDENCE &amp; DECISIONS</t>
        </is>
      </c>
      <c r="G1013" s="41" t="n"/>
    </row>
    <row r="1014" ht="79" customHeight="1">
      <c r="A1014" s="34" t="inlineStr">
        <is>
          <t>R443-v1</t>
        </is>
      </c>
      <c r="B1014" s="34" t="inlineStr">
        <is>
          <t>SCH-03-083</t>
        </is>
      </c>
      <c r="C1014" s="34" t="inlineStr">
        <is>
          <t>New</t>
        </is>
      </c>
      <c r="D1014" s="34" t="inlineStr">
        <is>
          <t>Record first supplied in this revision</t>
        </is>
      </c>
      <c r="E1014" s="39" t="inlineStr"/>
      <c r="F1014" s="100" t="inlineStr">
        <is>
          <t>10 EVIDENCE &amp; DECISIONS</t>
        </is>
      </c>
      <c r="G1014" s="41" t="n"/>
    </row>
    <row r="1015" ht="79" customHeight="1">
      <c r="A1015" s="34" t="inlineStr">
        <is>
          <t>R444-v1</t>
        </is>
      </c>
      <c r="B1015" s="34" t="inlineStr">
        <is>
          <t>SCH-03-084</t>
        </is>
      </c>
      <c r="C1015" s="34" t="inlineStr">
        <is>
          <t>New</t>
        </is>
      </c>
      <c r="D1015" s="34" t="inlineStr">
        <is>
          <t>Record first supplied in this revision</t>
        </is>
      </c>
      <c r="E1015" s="39" t="inlineStr"/>
      <c r="F1015" s="100" t="inlineStr">
        <is>
          <t>10 EVIDENCE &amp; DECISIONS</t>
        </is>
      </c>
      <c r="G1015" s="41" t="n"/>
    </row>
    <row r="1016" ht="79" customHeight="1">
      <c r="A1016" s="34" t="inlineStr">
        <is>
          <t>R445-v1</t>
        </is>
      </c>
      <c r="B1016" s="34" t="inlineStr">
        <is>
          <t>SCH-03-085</t>
        </is>
      </c>
      <c r="C1016" s="34" t="inlineStr">
        <is>
          <t>New</t>
        </is>
      </c>
      <c r="D1016" s="34" t="inlineStr">
        <is>
          <t>Record first supplied in this revision</t>
        </is>
      </c>
      <c r="E1016" s="39" t="inlineStr"/>
      <c r="F1016" s="100" t="inlineStr">
        <is>
          <t>10 EVIDENCE &amp; DECISIONS</t>
        </is>
      </c>
      <c r="G1016" s="41" t="n"/>
    </row>
    <row r="1017" ht="79" customHeight="1">
      <c r="A1017" s="34" t="inlineStr">
        <is>
          <t>R446-v1</t>
        </is>
      </c>
      <c r="B1017" s="34" t="inlineStr">
        <is>
          <t>SCH-03-086</t>
        </is>
      </c>
      <c r="C1017" s="34" t="inlineStr">
        <is>
          <t>New</t>
        </is>
      </c>
      <c r="D1017" s="34" t="inlineStr">
        <is>
          <t>Record first supplied in this revision</t>
        </is>
      </c>
      <c r="E1017" s="39" t="inlineStr"/>
      <c r="F1017" s="100" t="inlineStr">
        <is>
          <t>10 EVIDENCE &amp; DECISIONS</t>
        </is>
      </c>
      <c r="G1017" s="41" t="n"/>
    </row>
    <row r="1018" ht="79" customHeight="1">
      <c r="A1018" s="34" t="inlineStr">
        <is>
          <t>R447-v1</t>
        </is>
      </c>
      <c r="B1018" s="34" t="inlineStr">
        <is>
          <t>SCH-03-087</t>
        </is>
      </c>
      <c r="C1018" s="34" t="inlineStr">
        <is>
          <t>New</t>
        </is>
      </c>
      <c r="D1018" s="34" t="inlineStr">
        <is>
          <t>Record first supplied in this revision</t>
        </is>
      </c>
      <c r="E1018" s="39" t="inlineStr"/>
      <c r="F1018" s="100" t="inlineStr">
        <is>
          <t>10 EVIDENCE &amp; DECISIONS</t>
        </is>
      </c>
      <c r="G1018" s="41" t="n"/>
    </row>
    <row r="1019" ht="79" customHeight="1">
      <c r="A1019" s="34" t="inlineStr">
        <is>
          <t>R448-v1</t>
        </is>
      </c>
      <c r="B1019" s="34" t="inlineStr">
        <is>
          <t>SCH-03-088</t>
        </is>
      </c>
      <c r="C1019" s="34" t="inlineStr">
        <is>
          <t>New</t>
        </is>
      </c>
      <c r="D1019" s="34" t="inlineStr">
        <is>
          <t>Record first supplied in this revision</t>
        </is>
      </c>
      <c r="E1019" s="39" t="inlineStr"/>
      <c r="F1019" s="100" t="inlineStr">
        <is>
          <t>10 EVIDENCE &amp; DECISIONS</t>
        </is>
      </c>
      <c r="G1019" s="41" t="n"/>
    </row>
    <row r="1020" ht="79" customHeight="1">
      <c r="A1020" s="34" t="inlineStr">
        <is>
          <t>R449-v1</t>
        </is>
      </c>
      <c r="B1020" s="34" t="inlineStr">
        <is>
          <t>SCH-03-089</t>
        </is>
      </c>
      <c r="C1020" s="34" t="inlineStr">
        <is>
          <t>New</t>
        </is>
      </c>
      <c r="D1020" s="34" t="inlineStr">
        <is>
          <t>Record first supplied in this revision</t>
        </is>
      </c>
      <c r="E1020" s="39" t="inlineStr"/>
      <c r="F1020" s="100" t="inlineStr">
        <is>
          <t>10 EVIDENCE &amp; DECISIONS</t>
        </is>
      </c>
      <c r="G1020" s="41" t="n"/>
    </row>
    <row r="1021" ht="79" customHeight="1">
      <c r="A1021" s="34" t="inlineStr">
        <is>
          <t>R450-v1</t>
        </is>
      </c>
      <c r="B1021" s="34" t="inlineStr">
        <is>
          <t>SCH-03-090</t>
        </is>
      </c>
      <c r="C1021" s="34" t="inlineStr">
        <is>
          <t>New</t>
        </is>
      </c>
      <c r="D1021" s="34" t="inlineStr">
        <is>
          <t>Record first supplied in this revision</t>
        </is>
      </c>
      <c r="E1021" s="39" t="inlineStr"/>
      <c r="F1021" s="100" t="inlineStr">
        <is>
          <t>10 EVIDENCE &amp; DECISIONS</t>
        </is>
      </c>
      <c r="G1021" s="41" t="n"/>
    </row>
    <row r="1022" ht="79" customHeight="1">
      <c r="A1022" s="34" t="inlineStr">
        <is>
          <t>R451-v1</t>
        </is>
      </c>
      <c r="B1022" s="34" t="inlineStr">
        <is>
          <t>SCH-03-091</t>
        </is>
      </c>
      <c r="C1022" s="34" t="inlineStr">
        <is>
          <t>New</t>
        </is>
      </c>
      <c r="D1022" s="34" t="inlineStr">
        <is>
          <t>Record first supplied in this revision</t>
        </is>
      </c>
      <c r="E1022" s="39" t="inlineStr"/>
      <c r="F1022" s="100" t="inlineStr">
        <is>
          <t>10 EVIDENCE &amp; DECISIONS</t>
        </is>
      </c>
      <c r="G1022" s="41" t="n"/>
    </row>
    <row r="1023" ht="79" customHeight="1">
      <c r="A1023" s="34" t="inlineStr">
        <is>
          <t>R452-v1</t>
        </is>
      </c>
      <c r="B1023" s="34" t="inlineStr">
        <is>
          <t>SCH-03-092</t>
        </is>
      </c>
      <c r="C1023" s="34" t="inlineStr">
        <is>
          <t>New</t>
        </is>
      </c>
      <c r="D1023" s="34" t="inlineStr">
        <is>
          <t>Record first supplied in this revision</t>
        </is>
      </c>
      <c r="E1023" s="39" t="inlineStr"/>
      <c r="F1023" s="100" t="inlineStr">
        <is>
          <t>10 EVIDENCE &amp; DECISIONS</t>
        </is>
      </c>
      <c r="G1023" s="41" t="n"/>
    </row>
    <row r="1024" ht="79" customHeight="1">
      <c r="A1024" s="34" t="inlineStr">
        <is>
          <t>R453-v1</t>
        </is>
      </c>
      <c r="B1024" s="34" t="inlineStr">
        <is>
          <t>SCH-03-093</t>
        </is>
      </c>
      <c r="C1024" s="34" t="inlineStr">
        <is>
          <t>New</t>
        </is>
      </c>
      <c r="D1024" s="34" t="inlineStr">
        <is>
          <t>Record first supplied in this revision</t>
        </is>
      </c>
      <c r="E1024" s="39" t="inlineStr"/>
      <c r="F1024" s="100" t="inlineStr">
        <is>
          <t>10 EVIDENCE &amp; DECISIONS</t>
        </is>
      </c>
      <c r="G1024" s="41" t="n"/>
    </row>
    <row r="1025" ht="79" customHeight="1">
      <c r="A1025" s="34" t="inlineStr">
        <is>
          <t>R454-v1</t>
        </is>
      </c>
      <c r="B1025" s="34" t="inlineStr">
        <is>
          <t>SCH-03-094</t>
        </is>
      </c>
      <c r="C1025" s="34" t="inlineStr">
        <is>
          <t>New</t>
        </is>
      </c>
      <c r="D1025" s="34" t="inlineStr">
        <is>
          <t>Record first supplied in this revision</t>
        </is>
      </c>
      <c r="E1025" s="39" t="inlineStr"/>
      <c r="F1025" s="100" t="inlineStr">
        <is>
          <t>10 EVIDENCE &amp; DECISIONS</t>
        </is>
      </c>
      <c r="G1025" s="41" t="n"/>
    </row>
    <row r="1026" ht="79" customHeight="1">
      <c r="A1026" s="34" t="inlineStr">
        <is>
          <t>R455-v1</t>
        </is>
      </c>
      <c r="B1026" s="34" t="inlineStr">
        <is>
          <t>SCH-03-095</t>
        </is>
      </c>
      <c r="C1026" s="34" t="inlineStr">
        <is>
          <t>New</t>
        </is>
      </c>
      <c r="D1026" s="34" t="inlineStr">
        <is>
          <t>Record first supplied in this revision</t>
        </is>
      </c>
      <c r="E1026" s="39" t="inlineStr"/>
      <c r="F1026" s="100" t="inlineStr">
        <is>
          <t>10 EVIDENCE &amp; DECISIONS</t>
        </is>
      </c>
      <c r="G1026" s="41" t="n"/>
    </row>
    <row r="1027" ht="79" customHeight="1">
      <c r="A1027" s="34" t="inlineStr">
        <is>
          <t>R456-v1</t>
        </is>
      </c>
      <c r="B1027" s="34" t="inlineStr">
        <is>
          <t>SCH-03-096</t>
        </is>
      </c>
      <c r="C1027" s="34" t="inlineStr">
        <is>
          <t>New</t>
        </is>
      </c>
      <c r="D1027" s="34" t="inlineStr">
        <is>
          <t>Record first supplied in this revision</t>
        </is>
      </c>
      <c r="E1027" s="39" t="inlineStr"/>
      <c r="F1027" s="100" t="inlineStr">
        <is>
          <t>10 EVIDENCE &amp; DECISIONS</t>
        </is>
      </c>
      <c r="G1027" s="41" t="n"/>
    </row>
    <row r="1028" ht="79" customHeight="1">
      <c r="A1028" s="34" t="inlineStr">
        <is>
          <t>R457-v1</t>
        </is>
      </c>
      <c r="B1028" s="34" t="inlineStr">
        <is>
          <t>SCH-03-097</t>
        </is>
      </c>
      <c r="C1028" s="34" t="inlineStr">
        <is>
          <t>New</t>
        </is>
      </c>
      <c r="D1028" s="34" t="inlineStr">
        <is>
          <t>Record first supplied in this revision</t>
        </is>
      </c>
      <c r="E1028" s="39" t="inlineStr"/>
      <c r="F1028" s="100" t="inlineStr">
        <is>
          <t>10 EVIDENCE &amp; DECISIONS</t>
        </is>
      </c>
      <c r="G1028" s="41" t="n"/>
    </row>
    <row r="1029" ht="79" customHeight="1">
      <c r="A1029" s="34" t="inlineStr">
        <is>
          <t>R458-v1</t>
        </is>
      </c>
      <c r="B1029" s="34" t="inlineStr">
        <is>
          <t>SCH-03-098</t>
        </is>
      </c>
      <c r="C1029" s="34" t="inlineStr">
        <is>
          <t>New</t>
        </is>
      </c>
      <c r="D1029" s="34" t="inlineStr">
        <is>
          <t>Record first supplied in this revision</t>
        </is>
      </c>
      <c r="E1029" s="39" t="inlineStr"/>
      <c r="F1029" s="100" t="inlineStr">
        <is>
          <t>10 EVIDENCE &amp; DECISIONS</t>
        </is>
      </c>
      <c r="G1029" s="41" t="n"/>
    </row>
    <row r="1030" ht="79" customHeight="1">
      <c r="A1030" s="34" t="inlineStr">
        <is>
          <t>R459-v1</t>
        </is>
      </c>
      <c r="B1030" s="34" t="inlineStr">
        <is>
          <t>SCH-03-099</t>
        </is>
      </c>
      <c r="C1030" s="34" t="inlineStr">
        <is>
          <t>New</t>
        </is>
      </c>
      <c r="D1030" s="34" t="inlineStr">
        <is>
          <t>Record first supplied in this revision</t>
        </is>
      </c>
      <c r="E1030" s="39" t="inlineStr"/>
      <c r="F1030" s="100" t="inlineStr">
        <is>
          <t>10 EVIDENCE &amp; DECISIONS</t>
        </is>
      </c>
      <c r="G1030" s="41" t="n"/>
    </row>
    <row r="1031" ht="79" customHeight="1">
      <c r="A1031" s="34" t="inlineStr">
        <is>
          <t>R460-v1</t>
        </is>
      </c>
      <c r="B1031" s="34" t="inlineStr">
        <is>
          <t>SCH-03-100</t>
        </is>
      </c>
      <c r="C1031" s="34" t="inlineStr">
        <is>
          <t>New</t>
        </is>
      </c>
      <c r="D1031" s="34" t="inlineStr">
        <is>
          <t>Record first supplied in this revision</t>
        </is>
      </c>
      <c r="E1031" s="39" t="inlineStr"/>
      <c r="F1031" s="100" t="inlineStr">
        <is>
          <t>10 EVIDENCE &amp; DECISIONS</t>
        </is>
      </c>
      <c r="G1031" s="41" t="n"/>
    </row>
    <row r="1032" ht="79" customHeight="1">
      <c r="A1032" s="34" t="inlineStr">
        <is>
          <t>R461-v1</t>
        </is>
      </c>
      <c r="B1032" s="34" t="inlineStr">
        <is>
          <t>SCH-03-101</t>
        </is>
      </c>
      <c r="C1032" s="34" t="inlineStr">
        <is>
          <t>New</t>
        </is>
      </c>
      <c r="D1032" s="34" t="inlineStr">
        <is>
          <t>Record first supplied in this revision</t>
        </is>
      </c>
      <c r="E1032" s="39" t="inlineStr"/>
      <c r="F1032" s="100" t="inlineStr">
        <is>
          <t>10 EVIDENCE &amp; DECISIONS</t>
        </is>
      </c>
      <c r="G1032" s="41" t="n"/>
    </row>
    <row r="1033" ht="79" customHeight="1">
      <c r="A1033" s="34" t="inlineStr">
        <is>
          <t>R462-v1</t>
        </is>
      </c>
      <c r="B1033" s="34" t="inlineStr">
        <is>
          <t>SCH-03-102</t>
        </is>
      </c>
      <c r="C1033" s="34" t="inlineStr">
        <is>
          <t>New</t>
        </is>
      </c>
      <c r="D1033" s="34" t="inlineStr">
        <is>
          <t>Record first supplied in this revision</t>
        </is>
      </c>
      <c r="E1033" s="39" t="inlineStr"/>
      <c r="F1033" s="100" t="inlineStr">
        <is>
          <t>10 EVIDENCE &amp; DECISIONS</t>
        </is>
      </c>
      <c r="G1033" s="41" t="n"/>
    </row>
    <row r="1034" ht="79" customHeight="1">
      <c r="A1034" s="34" t="inlineStr">
        <is>
          <t>R463-v1</t>
        </is>
      </c>
      <c r="B1034" s="34" t="inlineStr">
        <is>
          <t>SCH-03-103</t>
        </is>
      </c>
      <c r="C1034" s="34" t="inlineStr">
        <is>
          <t>New</t>
        </is>
      </c>
      <c r="D1034" s="34" t="inlineStr">
        <is>
          <t>Record first supplied in this revision</t>
        </is>
      </c>
      <c r="E1034" s="39" t="inlineStr"/>
      <c r="F1034" s="100" t="inlineStr">
        <is>
          <t>10 EVIDENCE &amp; DECISIONS</t>
        </is>
      </c>
      <c r="G1034" s="41" t="n"/>
    </row>
    <row r="1035" ht="79" customHeight="1">
      <c r="A1035" s="34" t="inlineStr">
        <is>
          <t>R464-v1</t>
        </is>
      </c>
      <c r="B1035" s="34" t="inlineStr">
        <is>
          <t>SCH-03-104</t>
        </is>
      </c>
      <c r="C1035" s="34" t="inlineStr">
        <is>
          <t>New</t>
        </is>
      </c>
      <c r="D1035" s="34" t="inlineStr">
        <is>
          <t>Record first supplied in this revision</t>
        </is>
      </c>
      <c r="E1035" s="39" t="inlineStr"/>
      <c r="F1035" s="100" t="inlineStr">
        <is>
          <t>10 EVIDENCE &amp; DECISIONS</t>
        </is>
      </c>
      <c r="G1035" s="41" t="n"/>
    </row>
    <row r="1036" ht="79" customHeight="1">
      <c r="A1036" s="34" t="inlineStr">
        <is>
          <t>R465-v1</t>
        </is>
      </c>
      <c r="B1036" s="34" t="inlineStr">
        <is>
          <t>SCH-03-105</t>
        </is>
      </c>
      <c r="C1036" s="34" t="inlineStr">
        <is>
          <t>New</t>
        </is>
      </c>
      <c r="D1036" s="34" t="inlineStr">
        <is>
          <t>Record first supplied in this revision</t>
        </is>
      </c>
      <c r="E1036" s="39" t="inlineStr"/>
      <c r="F1036" s="100" t="inlineStr">
        <is>
          <t>10 EVIDENCE &amp; DECISIONS</t>
        </is>
      </c>
      <c r="G1036" s="41" t="n"/>
    </row>
    <row r="1037" ht="79" customHeight="1">
      <c r="A1037" s="34" t="inlineStr">
        <is>
          <t>R466-v1</t>
        </is>
      </c>
      <c r="B1037" s="34" t="inlineStr">
        <is>
          <t>SCH-03-106</t>
        </is>
      </c>
      <c r="C1037" s="34" t="inlineStr">
        <is>
          <t>New</t>
        </is>
      </c>
      <c r="D1037" s="34" t="inlineStr">
        <is>
          <t>Record first supplied in this revision</t>
        </is>
      </c>
      <c r="E1037" s="39" t="inlineStr"/>
      <c r="F1037" s="100" t="inlineStr">
        <is>
          <t>10 EVIDENCE &amp; DECISIONS</t>
        </is>
      </c>
      <c r="G1037" s="41" t="n"/>
    </row>
    <row r="1038" ht="79" customHeight="1">
      <c r="A1038" s="34" t="inlineStr">
        <is>
          <t>R467-v1</t>
        </is>
      </c>
      <c r="B1038" s="34" t="inlineStr">
        <is>
          <t>SCH-03-107</t>
        </is>
      </c>
      <c r="C1038" s="34" t="inlineStr">
        <is>
          <t>New</t>
        </is>
      </c>
      <c r="D1038" s="34" t="inlineStr">
        <is>
          <t>Record first supplied in this revision</t>
        </is>
      </c>
      <c r="E1038" s="39" t="inlineStr"/>
      <c r="F1038" s="100" t="inlineStr">
        <is>
          <t>10 EVIDENCE &amp; DECISIONS</t>
        </is>
      </c>
      <c r="G1038" s="41" t="n"/>
    </row>
    <row r="1039" ht="79" customHeight="1">
      <c r="A1039" s="34" t="inlineStr">
        <is>
          <t>R468-v1</t>
        </is>
      </c>
      <c r="B1039" s="34" t="inlineStr">
        <is>
          <t>SCH-03-108</t>
        </is>
      </c>
      <c r="C1039" s="34" t="inlineStr">
        <is>
          <t>New</t>
        </is>
      </c>
      <c r="D1039" s="34" t="inlineStr">
        <is>
          <t>Record first supplied in this revision</t>
        </is>
      </c>
      <c r="E1039" s="39" t="inlineStr"/>
      <c r="F1039" s="100" t="inlineStr">
        <is>
          <t>10 EVIDENCE &amp; DECISIONS</t>
        </is>
      </c>
      <c r="G1039" s="41" t="n"/>
    </row>
    <row r="1040" ht="79" customHeight="1">
      <c r="A1040" s="34" t="inlineStr">
        <is>
          <t>R469-v1</t>
        </is>
      </c>
      <c r="B1040" s="34" t="inlineStr">
        <is>
          <t>SCH-03-109</t>
        </is>
      </c>
      <c r="C1040" s="34" t="inlineStr">
        <is>
          <t>New</t>
        </is>
      </c>
      <c r="D1040" s="34" t="inlineStr">
        <is>
          <t>Record first supplied in this revision</t>
        </is>
      </c>
      <c r="E1040" s="39" t="inlineStr"/>
      <c r="F1040" s="100" t="inlineStr">
        <is>
          <t>10 EVIDENCE &amp; DECISIONS</t>
        </is>
      </c>
      <c r="G1040" s="41" t="n"/>
    </row>
    <row r="1041" ht="79" customHeight="1">
      <c r="A1041" s="34" t="inlineStr">
        <is>
          <t>R470-v1</t>
        </is>
      </c>
      <c r="B1041" s="34" t="inlineStr">
        <is>
          <t>SCH-03-110</t>
        </is>
      </c>
      <c r="C1041" s="34" t="inlineStr">
        <is>
          <t>New</t>
        </is>
      </c>
      <c r="D1041" s="34" t="inlineStr">
        <is>
          <t>Record first supplied in this revision</t>
        </is>
      </c>
      <c r="E1041" s="39" t="inlineStr"/>
      <c r="F1041" s="100" t="inlineStr">
        <is>
          <t>10 EVIDENCE &amp; DECISIONS</t>
        </is>
      </c>
      <c r="G1041" s="41" t="n"/>
    </row>
    <row r="1042" ht="79" customHeight="1">
      <c r="A1042" s="34" t="inlineStr">
        <is>
          <t>R471-v1</t>
        </is>
      </c>
      <c r="B1042" s="34" t="inlineStr">
        <is>
          <t>SCH-03-111</t>
        </is>
      </c>
      <c r="C1042" s="34" t="inlineStr">
        <is>
          <t>New</t>
        </is>
      </c>
      <c r="D1042" s="34" t="inlineStr">
        <is>
          <t>Record first supplied in this revision</t>
        </is>
      </c>
      <c r="E1042" s="39" t="inlineStr"/>
      <c r="F1042" s="100" t="inlineStr">
        <is>
          <t>10 EVIDENCE &amp; DECISIONS</t>
        </is>
      </c>
      <c r="G1042" s="41" t="n"/>
    </row>
    <row r="1043" ht="79" customHeight="1">
      <c r="A1043" s="34" t="inlineStr">
        <is>
          <t>R472-v1</t>
        </is>
      </c>
      <c r="B1043" s="34" t="inlineStr">
        <is>
          <t>SCH-03-112</t>
        </is>
      </c>
      <c r="C1043" s="34" t="inlineStr">
        <is>
          <t>New</t>
        </is>
      </c>
      <c r="D1043" s="34" t="inlineStr">
        <is>
          <t>Record first supplied in this revision</t>
        </is>
      </c>
      <c r="E1043" s="39" t="inlineStr"/>
      <c r="F1043" s="100" t="inlineStr">
        <is>
          <t>10 EVIDENCE &amp; DECISIONS</t>
        </is>
      </c>
      <c r="G1043" s="41" t="n"/>
    </row>
    <row r="1044" ht="79" customHeight="1">
      <c r="A1044" s="34" t="inlineStr">
        <is>
          <t>R473-v1</t>
        </is>
      </c>
      <c r="B1044" s="34" t="inlineStr">
        <is>
          <t>SCH-03-113</t>
        </is>
      </c>
      <c r="C1044" s="34" t="inlineStr">
        <is>
          <t>New</t>
        </is>
      </c>
      <c r="D1044" s="34" t="inlineStr">
        <is>
          <t>Record first supplied in this revision</t>
        </is>
      </c>
      <c r="E1044" s="39" t="inlineStr"/>
      <c r="F1044" s="100" t="inlineStr">
        <is>
          <t>10 EVIDENCE &amp; DECISIONS</t>
        </is>
      </c>
      <c r="G1044" s="41" t="n"/>
    </row>
    <row r="1045" ht="79" customHeight="1">
      <c r="A1045" s="34" t="inlineStr">
        <is>
          <t>R474-v1</t>
        </is>
      </c>
      <c r="B1045" s="34" t="inlineStr">
        <is>
          <t>SCH-03-114</t>
        </is>
      </c>
      <c r="C1045" s="34" t="inlineStr">
        <is>
          <t>New</t>
        </is>
      </c>
      <c r="D1045" s="34" t="inlineStr">
        <is>
          <t>Record first supplied in this revision</t>
        </is>
      </c>
      <c r="E1045" s="39" t="inlineStr"/>
      <c r="F1045" s="100" t="inlineStr">
        <is>
          <t>10 EVIDENCE &amp; DECISIONS</t>
        </is>
      </c>
      <c r="G1045" s="41" t="n"/>
    </row>
    <row r="1046" ht="79" customHeight="1">
      <c r="A1046" s="34" t="inlineStr">
        <is>
          <t>R475-v1</t>
        </is>
      </c>
      <c r="B1046" s="34" t="inlineStr">
        <is>
          <t>SCH-03-115</t>
        </is>
      </c>
      <c r="C1046" s="34" t="inlineStr">
        <is>
          <t>New</t>
        </is>
      </c>
      <c r="D1046" s="34" t="inlineStr">
        <is>
          <t>Record first supplied in this revision</t>
        </is>
      </c>
      <c r="E1046" s="39" t="inlineStr"/>
      <c r="F1046" s="100" t="inlineStr">
        <is>
          <t>10 EVIDENCE &amp; DECISIONS</t>
        </is>
      </c>
      <c r="G1046" s="41" t="n"/>
    </row>
    <row r="1047" ht="79" customHeight="1">
      <c r="A1047" s="34" t="inlineStr">
        <is>
          <t>R476-v1</t>
        </is>
      </c>
      <c r="B1047" s="34" t="inlineStr">
        <is>
          <t>SCH-03-116</t>
        </is>
      </c>
      <c r="C1047" s="34" t="inlineStr">
        <is>
          <t>New</t>
        </is>
      </c>
      <c r="D1047" s="34" t="inlineStr">
        <is>
          <t>Record first supplied in this revision</t>
        </is>
      </c>
      <c r="E1047" s="39" t="inlineStr"/>
      <c r="F1047" s="100" t="inlineStr">
        <is>
          <t>10 EVIDENCE &amp; DECISIONS</t>
        </is>
      </c>
      <c r="G1047" s="41" t="n"/>
    </row>
    <row r="1048" ht="79" customHeight="1">
      <c r="A1048" s="34" t="inlineStr">
        <is>
          <t>R477-v1</t>
        </is>
      </c>
      <c r="B1048" s="34" t="inlineStr">
        <is>
          <t>SCH-03-117</t>
        </is>
      </c>
      <c r="C1048" s="34" t="inlineStr">
        <is>
          <t>New</t>
        </is>
      </c>
      <c r="D1048" s="34" t="inlineStr">
        <is>
          <t>Record first supplied in this revision</t>
        </is>
      </c>
      <c r="E1048" s="39" t="inlineStr"/>
      <c r="F1048" s="100" t="inlineStr">
        <is>
          <t>10 EVIDENCE &amp; DECISIONS</t>
        </is>
      </c>
      <c r="G1048" s="41" t="n"/>
    </row>
    <row r="1049" ht="79" customHeight="1">
      <c r="A1049" s="34" t="inlineStr">
        <is>
          <t>R478-v1</t>
        </is>
      </c>
      <c r="B1049" s="34" t="inlineStr">
        <is>
          <t>SCH-03-118</t>
        </is>
      </c>
      <c r="C1049" s="34" t="inlineStr">
        <is>
          <t>New</t>
        </is>
      </c>
      <c r="D1049" s="34" t="inlineStr">
        <is>
          <t>Record first supplied in this revision</t>
        </is>
      </c>
      <c r="E1049" s="39" t="inlineStr"/>
      <c r="F1049" s="100" t="inlineStr">
        <is>
          <t>10 EVIDENCE &amp; DECISIONS</t>
        </is>
      </c>
      <c r="G1049" s="41" t="n"/>
    </row>
    <row r="1050" ht="79" customHeight="1">
      <c r="A1050" s="34" t="inlineStr">
        <is>
          <t>R479-v1</t>
        </is>
      </c>
      <c r="B1050" s="34" t="inlineStr">
        <is>
          <t>SCH-03-119</t>
        </is>
      </c>
      <c r="C1050" s="34" t="inlineStr">
        <is>
          <t>New</t>
        </is>
      </c>
      <c r="D1050" s="34" t="inlineStr">
        <is>
          <t>Record first supplied in this revision</t>
        </is>
      </c>
      <c r="E1050" s="39" t="inlineStr"/>
      <c r="F1050" s="100" t="inlineStr">
        <is>
          <t>10 EVIDENCE &amp; DECISIONS</t>
        </is>
      </c>
      <c r="G1050" s="41" t="n"/>
    </row>
    <row r="1051" ht="79" customHeight="1">
      <c r="A1051" s="34" t="inlineStr">
        <is>
          <t>R480-v1</t>
        </is>
      </c>
      <c r="B1051" s="34" t="inlineStr">
        <is>
          <t>SCH-03-120</t>
        </is>
      </c>
      <c r="C1051" s="34" t="inlineStr">
        <is>
          <t>New</t>
        </is>
      </c>
      <c r="D1051" s="34" t="inlineStr">
        <is>
          <t>Record first supplied in this revision</t>
        </is>
      </c>
      <c r="E1051" s="39" t="inlineStr"/>
      <c r="F1051" s="100" t="inlineStr">
        <is>
          <t>10 EVIDENCE &amp; DECISIONS</t>
        </is>
      </c>
      <c r="G1051" s="41" t="n"/>
    </row>
    <row r="1052" ht="79" customHeight="1">
      <c r="A1052" s="34" t="inlineStr">
        <is>
          <t>R481-v1</t>
        </is>
      </c>
      <c r="B1052" s="34" t="inlineStr">
        <is>
          <t>SCH-03-121</t>
        </is>
      </c>
      <c r="C1052" s="34" t="inlineStr">
        <is>
          <t>New</t>
        </is>
      </c>
      <c r="D1052" s="34" t="inlineStr">
        <is>
          <t>Record first supplied in this revision</t>
        </is>
      </c>
      <c r="E1052" s="39" t="inlineStr"/>
      <c r="F1052" s="100" t="inlineStr">
        <is>
          <t>10 EVIDENCE &amp; DECISIONS</t>
        </is>
      </c>
      <c r="G1052" s="41" t="n"/>
    </row>
    <row r="1053" ht="79" customHeight="1">
      <c r="A1053" s="34" t="inlineStr">
        <is>
          <t>R482-v1</t>
        </is>
      </c>
      <c r="B1053" s="34" t="inlineStr">
        <is>
          <t>SCH-03-122</t>
        </is>
      </c>
      <c r="C1053" s="34" t="inlineStr">
        <is>
          <t>New</t>
        </is>
      </c>
      <c r="D1053" s="34" t="inlineStr">
        <is>
          <t>Record first supplied in this revision</t>
        </is>
      </c>
      <c r="E1053" s="39" t="inlineStr"/>
      <c r="F1053" s="100" t="inlineStr">
        <is>
          <t>10 EVIDENCE &amp; DECISIONS</t>
        </is>
      </c>
      <c r="G1053" s="41" t="n"/>
    </row>
    <row r="1054" ht="79" customHeight="1">
      <c r="A1054" s="34" t="inlineStr">
        <is>
          <t>R483-v1</t>
        </is>
      </c>
      <c r="B1054" s="34" t="inlineStr">
        <is>
          <t>SCH-03-123</t>
        </is>
      </c>
      <c r="C1054" s="34" t="inlineStr">
        <is>
          <t>New</t>
        </is>
      </c>
      <c r="D1054" s="34" t="inlineStr">
        <is>
          <t>Record first supplied in this revision</t>
        </is>
      </c>
      <c r="E1054" s="39" t="inlineStr"/>
      <c r="F1054" s="100" t="inlineStr">
        <is>
          <t>10 EVIDENCE &amp; DECISIONS</t>
        </is>
      </c>
      <c r="G1054" s="41" t="n"/>
    </row>
    <row r="1055" ht="79" customHeight="1">
      <c r="A1055" s="34" t="inlineStr">
        <is>
          <t>R484-v1</t>
        </is>
      </c>
      <c r="B1055" s="34" t="inlineStr">
        <is>
          <t>SCH-03-124</t>
        </is>
      </c>
      <c r="C1055" s="34" t="inlineStr">
        <is>
          <t>New</t>
        </is>
      </c>
      <c r="D1055" s="34" t="inlineStr">
        <is>
          <t>Record first supplied in this revision</t>
        </is>
      </c>
      <c r="E1055" s="39" t="inlineStr"/>
      <c r="F1055" s="100" t="inlineStr">
        <is>
          <t>10 EVIDENCE &amp; DECISIONS</t>
        </is>
      </c>
      <c r="G1055" s="41" t="n"/>
    </row>
    <row r="1056" ht="79" customHeight="1">
      <c r="A1056" s="34" t="inlineStr">
        <is>
          <t>R485-v1</t>
        </is>
      </c>
      <c r="B1056" s="34" t="inlineStr">
        <is>
          <t>SCH-03-125</t>
        </is>
      </c>
      <c r="C1056" s="34" t="inlineStr">
        <is>
          <t>New</t>
        </is>
      </c>
      <c r="D1056" s="34" t="inlineStr">
        <is>
          <t>Record first supplied in this revision</t>
        </is>
      </c>
      <c r="E1056" s="39" t="inlineStr"/>
      <c r="F1056" s="100" t="inlineStr">
        <is>
          <t>10 EVIDENCE &amp; DECISIONS</t>
        </is>
      </c>
      <c r="G1056" s="41" t="n"/>
    </row>
    <row r="1057" ht="79" customHeight="1">
      <c r="A1057" s="34" t="inlineStr">
        <is>
          <t>R486-v1</t>
        </is>
      </c>
      <c r="B1057" s="34" t="inlineStr">
        <is>
          <t>SCH-03-126</t>
        </is>
      </c>
      <c r="C1057" s="34" t="inlineStr">
        <is>
          <t>New</t>
        </is>
      </c>
      <c r="D1057" s="34" t="inlineStr">
        <is>
          <t>Record first supplied in this revision</t>
        </is>
      </c>
      <c r="E1057" s="39" t="inlineStr"/>
      <c r="F1057" s="100" t="inlineStr">
        <is>
          <t>10 EVIDENCE &amp; DECISIONS</t>
        </is>
      </c>
      <c r="G1057" s="41" t="n"/>
    </row>
    <row r="1058" ht="79" customHeight="1">
      <c r="A1058" s="34" t="inlineStr">
        <is>
          <t>R487-v1</t>
        </is>
      </c>
      <c r="B1058" s="34" t="inlineStr">
        <is>
          <t>SCH-03-127</t>
        </is>
      </c>
      <c r="C1058" s="34" t="inlineStr">
        <is>
          <t>New</t>
        </is>
      </c>
      <c r="D1058" s="34" t="inlineStr">
        <is>
          <t>Record first supplied in this revision</t>
        </is>
      </c>
      <c r="E1058" s="39" t="inlineStr"/>
      <c r="F1058" s="100" t="inlineStr">
        <is>
          <t>10 EVIDENCE &amp; DECISIONS</t>
        </is>
      </c>
      <c r="G1058" s="41" t="n"/>
    </row>
    <row r="1059" ht="79" customHeight="1">
      <c r="A1059" s="34" t="inlineStr">
        <is>
          <t>R488-v1</t>
        </is>
      </c>
      <c r="B1059" s="34" t="inlineStr">
        <is>
          <t>SCH-03-128</t>
        </is>
      </c>
      <c r="C1059" s="34" t="inlineStr">
        <is>
          <t>New</t>
        </is>
      </c>
      <c r="D1059" s="34" t="inlineStr">
        <is>
          <t>Record first supplied in this revision</t>
        </is>
      </c>
      <c r="E1059" s="39" t="inlineStr"/>
      <c r="F1059" s="100" t="inlineStr">
        <is>
          <t>10 EVIDENCE &amp; DECISIONS</t>
        </is>
      </c>
      <c r="G1059" s="41" t="n"/>
    </row>
    <row r="1060" ht="79" customHeight="1">
      <c r="A1060" s="34" t="inlineStr">
        <is>
          <t>R489-v1</t>
        </is>
      </c>
      <c r="B1060" s="34" t="inlineStr">
        <is>
          <t>SCH-03-129</t>
        </is>
      </c>
      <c r="C1060" s="34" t="inlineStr">
        <is>
          <t>New</t>
        </is>
      </c>
      <c r="D1060" s="34" t="inlineStr">
        <is>
          <t>Record first supplied in this revision</t>
        </is>
      </c>
      <c r="E1060" s="39" t="inlineStr"/>
      <c r="F1060" s="100" t="inlineStr">
        <is>
          <t>10 EVIDENCE &amp; DECISIONS</t>
        </is>
      </c>
      <c r="G1060" s="41" t="n"/>
    </row>
    <row r="1061" ht="79" customHeight="1">
      <c r="A1061" s="34" t="inlineStr">
        <is>
          <t>R490-v1</t>
        </is>
      </c>
      <c r="B1061" s="34" t="inlineStr">
        <is>
          <t>SCH-03-130</t>
        </is>
      </c>
      <c r="C1061" s="34" t="inlineStr">
        <is>
          <t>New</t>
        </is>
      </c>
      <c r="D1061" s="34" t="inlineStr">
        <is>
          <t>Record first supplied in this revision</t>
        </is>
      </c>
      <c r="E1061" s="39" t="inlineStr"/>
      <c r="F1061" s="100" t="inlineStr">
        <is>
          <t>10 EVIDENCE &amp; DECISIONS</t>
        </is>
      </c>
      <c r="G1061" s="41" t="n"/>
    </row>
    <row r="1062" ht="79" customHeight="1">
      <c r="A1062" s="34" t="inlineStr">
        <is>
          <t>R491-v1</t>
        </is>
      </c>
      <c r="B1062" s="34" t="inlineStr">
        <is>
          <t>SCH-03-131</t>
        </is>
      </c>
      <c r="C1062" s="34" t="inlineStr">
        <is>
          <t>New</t>
        </is>
      </c>
      <c r="D1062" s="34" t="inlineStr">
        <is>
          <t>Record first supplied in this revision</t>
        </is>
      </c>
      <c r="E1062" s="39" t="inlineStr"/>
      <c r="F1062" s="100" t="inlineStr">
        <is>
          <t>10 EVIDENCE &amp; DECISIONS</t>
        </is>
      </c>
      <c r="G1062" s="41" t="n"/>
    </row>
    <row r="1063" ht="79" customHeight="1">
      <c r="A1063" s="34" t="inlineStr">
        <is>
          <t>R492-v1</t>
        </is>
      </c>
      <c r="B1063" s="34" t="inlineStr">
        <is>
          <t>SCH-03-132</t>
        </is>
      </c>
      <c r="C1063" s="34" t="inlineStr">
        <is>
          <t>New</t>
        </is>
      </c>
      <c r="D1063" s="34" t="inlineStr">
        <is>
          <t>Record first supplied in this revision</t>
        </is>
      </c>
      <c r="E1063" s="39" t="inlineStr"/>
      <c r="F1063" s="100" t="inlineStr">
        <is>
          <t>10 EVIDENCE &amp; DECISIONS</t>
        </is>
      </c>
      <c r="G1063" s="41" t="n"/>
    </row>
    <row r="1064" ht="79" customHeight="1">
      <c r="A1064" s="34" t="inlineStr">
        <is>
          <t>R493-v1</t>
        </is>
      </c>
      <c r="B1064" s="34" t="inlineStr">
        <is>
          <t>SCH-03-133</t>
        </is>
      </c>
      <c r="C1064" s="34" t="inlineStr">
        <is>
          <t>New</t>
        </is>
      </c>
      <c r="D1064" s="34" t="inlineStr">
        <is>
          <t>Record first supplied in this revision</t>
        </is>
      </c>
      <c r="E1064" s="39" t="inlineStr"/>
      <c r="F1064" s="100" t="inlineStr">
        <is>
          <t>10 EVIDENCE &amp; DECISIONS</t>
        </is>
      </c>
      <c r="G1064" s="41" t="n"/>
    </row>
    <row r="1065" ht="79" customHeight="1">
      <c r="A1065" s="34" t="inlineStr">
        <is>
          <t>R494-v1</t>
        </is>
      </c>
      <c r="B1065" s="34" t="inlineStr">
        <is>
          <t>SCH-03-134</t>
        </is>
      </c>
      <c r="C1065" s="34" t="inlineStr">
        <is>
          <t>New</t>
        </is>
      </c>
      <c r="D1065" s="34" t="inlineStr">
        <is>
          <t>Record first supplied in this revision</t>
        </is>
      </c>
      <c r="E1065" s="39" t="inlineStr"/>
      <c r="F1065" s="100" t="inlineStr">
        <is>
          <t>10 EVIDENCE &amp; DECISIONS</t>
        </is>
      </c>
      <c r="G1065" s="41" t="n"/>
    </row>
    <row r="1066" ht="79" customHeight="1">
      <c r="A1066" s="34" t="inlineStr">
        <is>
          <t>R495-v1</t>
        </is>
      </c>
      <c r="B1066" s="34" t="inlineStr">
        <is>
          <t>SCH-03-135</t>
        </is>
      </c>
      <c r="C1066" s="34" t="inlineStr">
        <is>
          <t>New</t>
        </is>
      </c>
      <c r="D1066" s="34" t="inlineStr">
        <is>
          <t>Record first supplied in this revision</t>
        </is>
      </c>
      <c r="E1066" s="39" t="inlineStr"/>
      <c r="F1066" s="100" t="inlineStr">
        <is>
          <t>10 EVIDENCE &amp; DECISIONS</t>
        </is>
      </c>
      <c r="G1066" s="41" t="n"/>
    </row>
    <row r="1067" ht="79" customHeight="1">
      <c r="A1067" s="34" t="inlineStr">
        <is>
          <t>R496-v1</t>
        </is>
      </c>
      <c r="B1067" s="34" t="inlineStr">
        <is>
          <t>SCH-03-136</t>
        </is>
      </c>
      <c r="C1067" s="34" t="inlineStr">
        <is>
          <t>New</t>
        </is>
      </c>
      <c r="D1067" s="34" t="inlineStr">
        <is>
          <t>Record first supplied in this revision</t>
        </is>
      </c>
      <c r="E1067" s="39" t="inlineStr"/>
      <c r="F1067" s="100" t="inlineStr">
        <is>
          <t>10 EVIDENCE &amp; DECISIONS</t>
        </is>
      </c>
      <c r="G1067" s="41" t="n"/>
    </row>
    <row r="1068" ht="79" customHeight="1">
      <c r="A1068" s="34" t="inlineStr">
        <is>
          <t>R497-v1</t>
        </is>
      </c>
      <c r="B1068" s="34" t="inlineStr">
        <is>
          <t>SCH-03-137</t>
        </is>
      </c>
      <c r="C1068" s="34" t="inlineStr">
        <is>
          <t>New</t>
        </is>
      </c>
      <c r="D1068" s="34" t="inlineStr">
        <is>
          <t>Record first supplied in this revision</t>
        </is>
      </c>
      <c r="E1068" s="39" t="inlineStr"/>
      <c r="F1068" s="100" t="inlineStr">
        <is>
          <t>10 EVIDENCE &amp; DECISIONS</t>
        </is>
      </c>
      <c r="G1068" s="41" t="n"/>
    </row>
    <row r="1069" ht="79" customHeight="1">
      <c r="A1069" s="34" t="inlineStr">
        <is>
          <t>R498-v1</t>
        </is>
      </c>
      <c r="B1069" s="34" t="inlineStr">
        <is>
          <t>SCH-03-138</t>
        </is>
      </c>
      <c r="C1069" s="34" t="inlineStr">
        <is>
          <t>New</t>
        </is>
      </c>
      <c r="D1069" s="34" t="inlineStr">
        <is>
          <t>Record first supplied in this revision</t>
        </is>
      </c>
      <c r="E1069" s="39" t="inlineStr"/>
      <c r="F1069" s="100" t="inlineStr">
        <is>
          <t>10 EVIDENCE &amp; DECISIONS</t>
        </is>
      </c>
      <c r="G1069" s="41" t="n"/>
    </row>
    <row r="1070" ht="79" customHeight="1">
      <c r="A1070" s="34" t="inlineStr">
        <is>
          <t>R499-v1</t>
        </is>
      </c>
      <c r="B1070" s="34" t="inlineStr">
        <is>
          <t>SCH-03-139</t>
        </is>
      </c>
      <c r="C1070" s="34" t="inlineStr">
        <is>
          <t>New</t>
        </is>
      </c>
      <c r="D1070" s="34" t="inlineStr">
        <is>
          <t>Record first supplied in this revision</t>
        </is>
      </c>
      <c r="E1070" s="39" t="inlineStr"/>
      <c r="F1070" s="100" t="inlineStr">
        <is>
          <t>10 EVIDENCE &amp; DECISIONS</t>
        </is>
      </c>
      <c r="G1070" s="41" t="n"/>
    </row>
    <row r="1071" ht="79" customHeight="1">
      <c r="A1071" s="34" t="inlineStr">
        <is>
          <t>R500-v1</t>
        </is>
      </c>
      <c r="B1071" s="34" t="inlineStr">
        <is>
          <t>SCH-03-140</t>
        </is>
      </c>
      <c r="C1071" s="34" t="inlineStr">
        <is>
          <t>New</t>
        </is>
      </c>
      <c r="D1071" s="34" t="inlineStr">
        <is>
          <t>Record first supplied in this revision</t>
        </is>
      </c>
      <c r="E1071" s="39" t="inlineStr"/>
      <c r="F1071" s="100" t="inlineStr">
        <is>
          <t>10 EVIDENCE &amp; DECISIONS</t>
        </is>
      </c>
      <c r="G1071" s="41" t="n"/>
    </row>
    <row r="1072" ht="79" customHeight="1">
      <c r="A1072" s="34" t="inlineStr">
        <is>
          <t>R501-v1</t>
        </is>
      </c>
      <c r="B1072" s="34" t="inlineStr">
        <is>
          <t>SCH-03-141</t>
        </is>
      </c>
      <c r="C1072" s="34" t="inlineStr">
        <is>
          <t>New</t>
        </is>
      </c>
      <c r="D1072" s="34" t="inlineStr">
        <is>
          <t>Record first supplied in this revision</t>
        </is>
      </c>
      <c r="E1072" s="39" t="inlineStr"/>
      <c r="F1072" s="100" t="inlineStr">
        <is>
          <t>10 EVIDENCE &amp; DECISIONS</t>
        </is>
      </c>
      <c r="G1072" s="41" t="n"/>
    </row>
    <row r="1073" ht="79" customHeight="1">
      <c r="A1073" s="34" t="inlineStr">
        <is>
          <t>R502-v1</t>
        </is>
      </c>
      <c r="B1073" s="34" t="inlineStr">
        <is>
          <t>SCH-03-142</t>
        </is>
      </c>
      <c r="C1073" s="34" t="inlineStr">
        <is>
          <t>New</t>
        </is>
      </c>
      <c r="D1073" s="34" t="inlineStr">
        <is>
          <t>Record first supplied in this revision</t>
        </is>
      </c>
      <c r="E1073" s="39" t="inlineStr"/>
      <c r="F1073" s="100" t="inlineStr">
        <is>
          <t>10 EVIDENCE &amp; DECISIONS</t>
        </is>
      </c>
      <c r="G1073" s="41" t="n"/>
    </row>
    <row r="1074" ht="79" customHeight="1">
      <c r="A1074" s="34" t="inlineStr">
        <is>
          <t>R503-v1</t>
        </is>
      </c>
      <c r="B1074" s="34" t="inlineStr">
        <is>
          <t>SCH-03-143</t>
        </is>
      </c>
      <c r="C1074" s="34" t="inlineStr">
        <is>
          <t>New</t>
        </is>
      </c>
      <c r="D1074" s="34" t="inlineStr">
        <is>
          <t>Record first supplied in this revision</t>
        </is>
      </c>
      <c r="E1074" s="39" t="inlineStr"/>
      <c r="F1074" s="100" t="inlineStr">
        <is>
          <t>10 EVIDENCE &amp; DECISIONS</t>
        </is>
      </c>
      <c r="G1074" s="41" t="n"/>
    </row>
    <row r="1075" ht="79" customHeight="1">
      <c r="A1075" s="34" t="inlineStr">
        <is>
          <t>R504-v1</t>
        </is>
      </c>
      <c r="B1075" s="34" t="inlineStr">
        <is>
          <t>SCH-03-144</t>
        </is>
      </c>
      <c r="C1075" s="34" t="inlineStr">
        <is>
          <t>New</t>
        </is>
      </c>
      <c r="D1075" s="34" t="inlineStr">
        <is>
          <t>Record first supplied in this revision</t>
        </is>
      </c>
      <c r="E1075" s="39" t="inlineStr"/>
      <c r="F1075" s="100" t="inlineStr">
        <is>
          <t>10 EVIDENCE &amp; DECISIONS</t>
        </is>
      </c>
      <c r="G1075" s="41" t="n"/>
    </row>
    <row r="1076" ht="79" customHeight="1">
      <c r="A1076" s="34" t="inlineStr">
        <is>
          <t>R505-v1</t>
        </is>
      </c>
      <c r="B1076" s="34" t="inlineStr">
        <is>
          <t>SCH-03-145</t>
        </is>
      </c>
      <c r="C1076" s="34" t="inlineStr">
        <is>
          <t>New</t>
        </is>
      </c>
      <c r="D1076" s="34" t="inlineStr">
        <is>
          <t>Record first supplied in this revision</t>
        </is>
      </c>
      <c r="E1076" s="39" t="inlineStr"/>
      <c r="F1076" s="100" t="inlineStr">
        <is>
          <t>10 EVIDENCE &amp; DECISIONS</t>
        </is>
      </c>
      <c r="G1076" s="41" t="n"/>
    </row>
    <row r="1077" ht="79" customHeight="1">
      <c r="A1077" s="34" t="inlineStr">
        <is>
          <t>R506-v1</t>
        </is>
      </c>
      <c r="B1077" s="34" t="inlineStr">
        <is>
          <t>SCH-03-146</t>
        </is>
      </c>
      <c r="C1077" s="34" t="inlineStr">
        <is>
          <t>New</t>
        </is>
      </c>
      <c r="D1077" s="34" t="inlineStr">
        <is>
          <t>Record first supplied in this revision</t>
        </is>
      </c>
      <c r="E1077" s="39" t="inlineStr"/>
      <c r="F1077" s="100" t="inlineStr">
        <is>
          <t>10 EVIDENCE &amp; DECISIONS</t>
        </is>
      </c>
      <c r="G1077" s="41" t="n"/>
    </row>
    <row r="1078" ht="79" customHeight="1">
      <c r="A1078" s="34" t="inlineStr">
        <is>
          <t>R507-v1</t>
        </is>
      </c>
      <c r="B1078" s="34" t="inlineStr">
        <is>
          <t>SCH-03-147</t>
        </is>
      </c>
      <c r="C1078" s="34" t="inlineStr">
        <is>
          <t>New</t>
        </is>
      </c>
      <c r="D1078" s="34" t="inlineStr">
        <is>
          <t>Record first supplied in this revision</t>
        </is>
      </c>
      <c r="E1078" s="39" t="inlineStr"/>
      <c r="F1078" s="100" t="inlineStr">
        <is>
          <t>10 EVIDENCE &amp; DECISIONS</t>
        </is>
      </c>
      <c r="G1078" s="41" t="n"/>
    </row>
    <row r="1079" ht="79" customHeight="1">
      <c r="A1079" s="34" t="inlineStr">
        <is>
          <t>R508-v1</t>
        </is>
      </c>
      <c r="B1079" s="34" t="inlineStr">
        <is>
          <t>SCH-03-148</t>
        </is>
      </c>
      <c r="C1079" s="34" t="inlineStr">
        <is>
          <t>New</t>
        </is>
      </c>
      <c r="D1079" s="34" t="inlineStr">
        <is>
          <t>Record first supplied in this revision</t>
        </is>
      </c>
      <c r="E1079" s="39" t="inlineStr"/>
      <c r="F1079" s="100" t="inlineStr">
        <is>
          <t>10 EVIDENCE &amp; DECISIONS</t>
        </is>
      </c>
      <c r="G1079" s="41" t="n"/>
    </row>
    <row r="1080" ht="79" customHeight="1">
      <c r="A1080" s="34" t="inlineStr">
        <is>
          <t>R509-v1</t>
        </is>
      </c>
      <c r="B1080" s="34" t="inlineStr">
        <is>
          <t>SCH-03-149</t>
        </is>
      </c>
      <c r="C1080" s="34" t="inlineStr">
        <is>
          <t>New</t>
        </is>
      </c>
      <c r="D1080" s="34" t="inlineStr">
        <is>
          <t>Record first supplied in this revision</t>
        </is>
      </c>
      <c r="E1080" s="39" t="inlineStr"/>
      <c r="F1080" s="100" t="inlineStr">
        <is>
          <t>10 EVIDENCE &amp; DECISIONS</t>
        </is>
      </c>
      <c r="G1080" s="41" t="n"/>
    </row>
    <row r="1081" ht="79" customHeight="1">
      <c r="A1081" s="34" t="inlineStr">
        <is>
          <t>R510-v1</t>
        </is>
      </c>
      <c r="B1081" s="34" t="inlineStr">
        <is>
          <t>SCH-03-150</t>
        </is>
      </c>
      <c r="C1081" s="34" t="inlineStr">
        <is>
          <t>New</t>
        </is>
      </c>
      <c r="D1081" s="34" t="inlineStr">
        <is>
          <t>Record first supplied in this revision</t>
        </is>
      </c>
      <c r="E1081" s="39" t="inlineStr"/>
      <c r="F1081" s="100" t="inlineStr">
        <is>
          <t>10 EVIDENCE &amp; DECISIONS</t>
        </is>
      </c>
      <c r="G1081" s="41" t="n"/>
    </row>
    <row r="1082" ht="79" customHeight="1">
      <c r="A1082" s="34" t="inlineStr">
        <is>
          <t>R511-v1</t>
        </is>
      </c>
      <c r="B1082" s="34" t="inlineStr">
        <is>
          <t>SCH-03-151</t>
        </is>
      </c>
      <c r="C1082" s="34" t="inlineStr">
        <is>
          <t>New</t>
        </is>
      </c>
      <c r="D1082" s="34" t="inlineStr">
        <is>
          <t>Record first supplied in this revision</t>
        </is>
      </c>
      <c r="E1082" s="39" t="inlineStr"/>
      <c r="F1082" s="100" t="inlineStr">
        <is>
          <t>10 EVIDENCE &amp; DECISIONS</t>
        </is>
      </c>
      <c r="G1082" s="41" t="n"/>
    </row>
    <row r="1083" ht="79" customHeight="1">
      <c r="A1083" s="34" t="inlineStr">
        <is>
          <t>R512-v1</t>
        </is>
      </c>
      <c r="B1083" s="34" t="inlineStr">
        <is>
          <t>SCH-03-152</t>
        </is>
      </c>
      <c r="C1083" s="34" t="inlineStr">
        <is>
          <t>New</t>
        </is>
      </c>
      <c r="D1083" s="34" t="inlineStr">
        <is>
          <t>Record first supplied in this revision</t>
        </is>
      </c>
      <c r="E1083" s="39" t="inlineStr"/>
      <c r="F1083" s="100" t="inlineStr">
        <is>
          <t>10 EVIDENCE &amp; DECISIONS</t>
        </is>
      </c>
      <c r="G1083" s="41" t="n"/>
    </row>
    <row r="1084" ht="79" customHeight="1">
      <c r="A1084" s="34" t="inlineStr">
        <is>
          <t>R513-v1</t>
        </is>
      </c>
      <c r="B1084" s="34" t="inlineStr">
        <is>
          <t>SCH-03-153</t>
        </is>
      </c>
      <c r="C1084" s="34" t="inlineStr">
        <is>
          <t>New</t>
        </is>
      </c>
      <c r="D1084" s="34" t="inlineStr">
        <is>
          <t>Record first supplied in this revision</t>
        </is>
      </c>
      <c r="E1084" s="39" t="inlineStr"/>
      <c r="F1084" s="100" t="inlineStr">
        <is>
          <t>10 EVIDENCE &amp; DECISIONS</t>
        </is>
      </c>
      <c r="G1084" s="41" t="n"/>
    </row>
    <row r="1085" ht="79" customHeight="1">
      <c r="A1085" s="34" t="inlineStr">
        <is>
          <t>R514-v1</t>
        </is>
      </c>
      <c r="B1085" s="34" t="inlineStr">
        <is>
          <t>SCH-03-154</t>
        </is>
      </c>
      <c r="C1085" s="34" t="inlineStr">
        <is>
          <t>New</t>
        </is>
      </c>
      <c r="D1085" s="34" t="inlineStr">
        <is>
          <t>Record first supplied in this revision</t>
        </is>
      </c>
      <c r="E1085" s="39" t="inlineStr"/>
      <c r="F1085" s="100" t="inlineStr">
        <is>
          <t>10 EVIDENCE &amp; DECISIONS</t>
        </is>
      </c>
      <c r="G1085" s="41" t="n"/>
    </row>
    <row r="1086" ht="79" customHeight="1">
      <c r="A1086" s="34" t="inlineStr">
        <is>
          <t>R515-v1</t>
        </is>
      </c>
      <c r="B1086" s="34" t="inlineStr">
        <is>
          <t>SCH-03-155</t>
        </is>
      </c>
      <c r="C1086" s="34" t="inlineStr">
        <is>
          <t>New</t>
        </is>
      </c>
      <c r="D1086" s="34" t="inlineStr">
        <is>
          <t>Record first supplied in this revision</t>
        </is>
      </c>
      <c r="E1086" s="39" t="inlineStr"/>
      <c r="F1086" s="100" t="inlineStr">
        <is>
          <t>10 EVIDENCE &amp; DECISIONS</t>
        </is>
      </c>
      <c r="G1086" s="41" t="n"/>
    </row>
    <row r="1087" ht="79" customHeight="1">
      <c r="A1087" s="34" t="inlineStr">
        <is>
          <t>R516-v1</t>
        </is>
      </c>
      <c r="B1087" s="34" t="inlineStr">
        <is>
          <t>SCH-03-156</t>
        </is>
      </c>
      <c r="C1087" s="34" t="inlineStr">
        <is>
          <t>New</t>
        </is>
      </c>
      <c r="D1087" s="34" t="inlineStr">
        <is>
          <t>Record first supplied in this revision</t>
        </is>
      </c>
      <c r="E1087" s="39" t="inlineStr"/>
      <c r="F1087" s="100" t="inlineStr">
        <is>
          <t>10 EVIDENCE &amp; DECISIONS</t>
        </is>
      </c>
      <c r="G1087" s="41" t="n"/>
    </row>
    <row r="1088" ht="79" customHeight="1">
      <c r="A1088" s="34" t="inlineStr">
        <is>
          <t>R517-v1</t>
        </is>
      </c>
      <c r="B1088" s="34" t="inlineStr">
        <is>
          <t>SCH-03-157</t>
        </is>
      </c>
      <c r="C1088" s="34" t="inlineStr">
        <is>
          <t>New</t>
        </is>
      </c>
      <c r="D1088" s="34" t="inlineStr">
        <is>
          <t>Record first supplied in this revision</t>
        </is>
      </c>
      <c r="E1088" s="39" t="inlineStr"/>
      <c r="F1088" s="100" t="inlineStr">
        <is>
          <t>10 EVIDENCE &amp; DECISIONS</t>
        </is>
      </c>
      <c r="G1088" s="41" t="n"/>
    </row>
    <row r="1089" ht="79" customHeight="1">
      <c r="A1089" s="34" t="inlineStr">
        <is>
          <t>R518-v1</t>
        </is>
      </c>
      <c r="B1089" s="34" t="inlineStr">
        <is>
          <t>SCH-03-158</t>
        </is>
      </c>
      <c r="C1089" s="34" t="inlineStr">
        <is>
          <t>New</t>
        </is>
      </c>
      <c r="D1089" s="34" t="inlineStr">
        <is>
          <t>Record first supplied in this revision</t>
        </is>
      </c>
      <c r="E1089" s="39" t="inlineStr"/>
      <c r="F1089" s="100" t="inlineStr">
        <is>
          <t>10 EVIDENCE &amp; DECISIONS</t>
        </is>
      </c>
      <c r="G1089" s="41" t="n"/>
    </row>
    <row r="1090" ht="79" customHeight="1">
      <c r="A1090" s="34" t="inlineStr">
        <is>
          <t>R519-v1</t>
        </is>
      </c>
      <c r="B1090" s="34" t="inlineStr">
        <is>
          <t>SCH-03-159</t>
        </is>
      </c>
      <c r="C1090" s="34" t="inlineStr">
        <is>
          <t>New</t>
        </is>
      </c>
      <c r="D1090" s="34" t="inlineStr">
        <is>
          <t>Record first supplied in this revision</t>
        </is>
      </c>
      <c r="E1090" s="39" t="inlineStr"/>
      <c r="F1090" s="100" t="inlineStr">
        <is>
          <t>10 EVIDENCE &amp; DECISIONS</t>
        </is>
      </c>
      <c r="G1090" s="41" t="n"/>
    </row>
    <row r="1091" ht="79" customHeight="1">
      <c r="A1091" s="34" t="inlineStr">
        <is>
          <t>R520-v1</t>
        </is>
      </c>
      <c r="B1091" s="34" t="inlineStr">
        <is>
          <t>SCH-03-160</t>
        </is>
      </c>
      <c r="C1091" s="34" t="inlineStr">
        <is>
          <t>New</t>
        </is>
      </c>
      <c r="D1091" s="34" t="inlineStr">
        <is>
          <t>Record first supplied in this revision</t>
        </is>
      </c>
      <c r="E1091" s="39" t="inlineStr"/>
      <c r="F1091" s="100" t="inlineStr">
        <is>
          <t>10 EVIDENCE &amp; DECISIONS</t>
        </is>
      </c>
      <c r="G1091" s="41" t="n"/>
    </row>
    <row r="1092" ht="79" customHeight="1">
      <c r="A1092" s="34" t="inlineStr">
        <is>
          <t>R521-v1</t>
        </is>
      </c>
      <c r="B1092" s="34" t="inlineStr">
        <is>
          <t>SCH-03-161</t>
        </is>
      </c>
      <c r="C1092" s="34" t="inlineStr">
        <is>
          <t>New</t>
        </is>
      </c>
      <c r="D1092" s="34" t="inlineStr">
        <is>
          <t>Record first supplied in this revision</t>
        </is>
      </c>
      <c r="E1092" s="39" t="inlineStr"/>
      <c r="F1092" s="100" t="inlineStr">
        <is>
          <t>10 EVIDENCE &amp; DECISIONS</t>
        </is>
      </c>
      <c r="G1092" s="41" t="n"/>
    </row>
    <row r="1093" ht="79" customHeight="1">
      <c r="A1093" s="34" t="inlineStr">
        <is>
          <t>R522-v1</t>
        </is>
      </c>
      <c r="B1093" s="34" t="inlineStr">
        <is>
          <t>SCH-03-162</t>
        </is>
      </c>
      <c r="C1093" s="34" t="inlineStr">
        <is>
          <t>New</t>
        </is>
      </c>
      <c r="D1093" s="34" t="inlineStr">
        <is>
          <t>Record first supplied in this revision</t>
        </is>
      </c>
      <c r="E1093" s="39" t="inlineStr"/>
      <c r="F1093" s="100" t="inlineStr">
        <is>
          <t>10 EVIDENCE &amp; DECISIONS</t>
        </is>
      </c>
      <c r="G1093" s="41" t="n"/>
    </row>
    <row r="1094" ht="79" customHeight="1">
      <c r="A1094" s="34" t="inlineStr">
        <is>
          <t>R523-v1</t>
        </is>
      </c>
      <c r="B1094" s="34" t="inlineStr">
        <is>
          <t>SCH-03-163</t>
        </is>
      </c>
      <c r="C1094" s="34" t="inlineStr">
        <is>
          <t>New</t>
        </is>
      </c>
      <c r="D1094" s="34" t="inlineStr">
        <is>
          <t>Record first supplied in this revision</t>
        </is>
      </c>
      <c r="E1094" s="39" t="inlineStr"/>
      <c r="F1094" s="100" t="inlineStr">
        <is>
          <t>10 EVIDENCE &amp; DECISIONS</t>
        </is>
      </c>
      <c r="G1094" s="41" t="n"/>
    </row>
    <row r="1095" ht="79" customHeight="1">
      <c r="A1095" s="34" t="inlineStr">
        <is>
          <t>R524-v1</t>
        </is>
      </c>
      <c r="B1095" s="34" t="inlineStr">
        <is>
          <t>SCH-03-164</t>
        </is>
      </c>
      <c r="C1095" s="34" t="inlineStr">
        <is>
          <t>New</t>
        </is>
      </c>
      <c r="D1095" s="34" t="inlineStr">
        <is>
          <t>Record first supplied in this revision</t>
        </is>
      </c>
      <c r="E1095" s="39" t="inlineStr"/>
      <c r="F1095" s="100" t="inlineStr">
        <is>
          <t>10 EVIDENCE &amp; DECISIONS</t>
        </is>
      </c>
      <c r="G1095" s="41" t="n"/>
    </row>
    <row r="1096" ht="79" customHeight="1">
      <c r="A1096" s="34" t="inlineStr">
        <is>
          <t>R525-v1</t>
        </is>
      </c>
      <c r="B1096" s="34" t="inlineStr">
        <is>
          <t>SCH-03-165</t>
        </is>
      </c>
      <c r="C1096" s="34" t="inlineStr">
        <is>
          <t>New</t>
        </is>
      </c>
      <c r="D1096" s="34" t="inlineStr">
        <is>
          <t>Record first supplied in this revision</t>
        </is>
      </c>
      <c r="E1096" s="39" t="inlineStr"/>
      <c r="F1096" s="100" t="inlineStr">
        <is>
          <t>10 EVIDENCE &amp; DECISIONS</t>
        </is>
      </c>
      <c r="G1096" s="41" t="n"/>
    </row>
    <row r="1097" ht="79" customHeight="1">
      <c r="A1097" s="34" t="inlineStr">
        <is>
          <t>R526-v1</t>
        </is>
      </c>
      <c r="B1097" s="34" t="inlineStr">
        <is>
          <t>SCH-03-166</t>
        </is>
      </c>
      <c r="C1097" s="34" t="inlineStr">
        <is>
          <t>New</t>
        </is>
      </c>
      <c r="D1097" s="34" t="inlineStr">
        <is>
          <t>Record first supplied in this revision</t>
        </is>
      </c>
      <c r="E1097" s="39" t="inlineStr"/>
      <c r="F1097" s="100" t="inlineStr">
        <is>
          <t>10 EVIDENCE &amp; DECISIONS</t>
        </is>
      </c>
      <c r="G1097" s="41" t="n"/>
    </row>
    <row r="1098" ht="79" customHeight="1">
      <c r="A1098" s="34" t="inlineStr">
        <is>
          <t>R527-v1</t>
        </is>
      </c>
      <c r="B1098" s="34" t="inlineStr">
        <is>
          <t>SCH-03-167</t>
        </is>
      </c>
      <c r="C1098" s="34" t="inlineStr">
        <is>
          <t>New</t>
        </is>
      </c>
      <c r="D1098" s="34" t="inlineStr">
        <is>
          <t>Record first supplied in this revision</t>
        </is>
      </c>
      <c r="E1098" s="39" t="inlineStr"/>
      <c r="F1098" s="100" t="inlineStr">
        <is>
          <t>10 EVIDENCE &amp; DECISIONS</t>
        </is>
      </c>
      <c r="G1098" s="41" t="n"/>
    </row>
    <row r="1099" ht="79" customHeight="1">
      <c r="A1099" s="34" t="inlineStr">
        <is>
          <t>R528-v1</t>
        </is>
      </c>
      <c r="B1099" s="34" t="inlineStr">
        <is>
          <t>SCH-03-168</t>
        </is>
      </c>
      <c r="C1099" s="34" t="inlineStr">
        <is>
          <t>New</t>
        </is>
      </c>
      <c r="D1099" s="34" t="inlineStr">
        <is>
          <t>Record first supplied in this revision</t>
        </is>
      </c>
      <c r="E1099" s="39" t="inlineStr"/>
      <c r="F1099" s="100" t="inlineStr">
        <is>
          <t>10 EVIDENCE &amp; DECISIONS</t>
        </is>
      </c>
      <c r="G1099" s="41" t="n"/>
    </row>
    <row r="1100" ht="79" customHeight="1">
      <c r="A1100" s="34" t="inlineStr">
        <is>
          <t>R529-v1</t>
        </is>
      </c>
      <c r="B1100" s="34" t="inlineStr">
        <is>
          <t>SCH-03-169</t>
        </is>
      </c>
      <c r="C1100" s="34" t="inlineStr">
        <is>
          <t>New</t>
        </is>
      </c>
      <c r="D1100" s="34" t="inlineStr">
        <is>
          <t>Record first supplied in this revision</t>
        </is>
      </c>
      <c r="E1100" s="39" t="inlineStr"/>
      <c r="F1100" s="100" t="inlineStr">
        <is>
          <t>10 EVIDENCE &amp; DECISIONS</t>
        </is>
      </c>
      <c r="G1100" s="41" t="n"/>
    </row>
    <row r="1101" ht="79" customHeight="1">
      <c r="A1101" s="34" t="inlineStr">
        <is>
          <t>R530-v1</t>
        </is>
      </c>
      <c r="B1101" s="34" t="inlineStr">
        <is>
          <t>SCH-03-170</t>
        </is>
      </c>
      <c r="C1101" s="34" t="inlineStr">
        <is>
          <t>New</t>
        </is>
      </c>
      <c r="D1101" s="34" t="inlineStr">
        <is>
          <t>Record first supplied in this revision</t>
        </is>
      </c>
      <c r="E1101" s="39" t="inlineStr"/>
      <c r="F1101" s="100" t="inlineStr">
        <is>
          <t>10 EVIDENCE &amp; DECISIONS</t>
        </is>
      </c>
      <c r="G1101" s="41" t="n"/>
    </row>
    <row r="1102" ht="79" customHeight="1">
      <c r="A1102" s="34" t="inlineStr">
        <is>
          <t>R531-v1</t>
        </is>
      </c>
      <c r="B1102" s="34" t="inlineStr">
        <is>
          <t>SCH-03-171</t>
        </is>
      </c>
      <c r="C1102" s="34" t="inlineStr">
        <is>
          <t>New</t>
        </is>
      </c>
      <c r="D1102" s="34" t="inlineStr">
        <is>
          <t>Record first supplied in this revision</t>
        </is>
      </c>
      <c r="E1102" s="39" t="inlineStr"/>
      <c r="F1102" s="100" t="inlineStr">
        <is>
          <t>10 EVIDENCE &amp; DECISIONS</t>
        </is>
      </c>
      <c r="G1102" s="41" t="n"/>
    </row>
    <row r="1103" ht="79" customHeight="1">
      <c r="A1103" s="34" t="inlineStr">
        <is>
          <t>R532-v1</t>
        </is>
      </c>
      <c r="B1103" s="34" t="inlineStr">
        <is>
          <t>SCH-03-172</t>
        </is>
      </c>
      <c r="C1103" s="34" t="inlineStr">
        <is>
          <t>New</t>
        </is>
      </c>
      <c r="D1103" s="34" t="inlineStr">
        <is>
          <t>Record first supplied in this revision</t>
        </is>
      </c>
      <c r="E1103" s="39" t="inlineStr"/>
      <c r="F1103" s="100" t="inlineStr">
        <is>
          <t>10 EVIDENCE &amp; DECISIONS</t>
        </is>
      </c>
      <c r="G1103" s="41" t="n"/>
    </row>
    <row r="1104" ht="79" customHeight="1">
      <c r="A1104" s="34" t="inlineStr">
        <is>
          <t>R533-v1</t>
        </is>
      </c>
      <c r="B1104" s="34" t="inlineStr">
        <is>
          <t>SCH-03-173</t>
        </is>
      </c>
      <c r="C1104" s="34" t="inlineStr">
        <is>
          <t>New</t>
        </is>
      </c>
      <c r="D1104" s="34" t="inlineStr">
        <is>
          <t>Record first supplied in this revision</t>
        </is>
      </c>
      <c r="E1104" s="39" t="inlineStr"/>
      <c r="F1104" s="100" t="inlineStr">
        <is>
          <t>10 EVIDENCE &amp; DECISIONS</t>
        </is>
      </c>
      <c r="G1104" s="41" t="n"/>
    </row>
    <row r="1105" ht="79" customHeight="1">
      <c r="A1105" s="34" t="inlineStr">
        <is>
          <t>R534-v1</t>
        </is>
      </c>
      <c r="B1105" s="34" t="inlineStr">
        <is>
          <t>SCH-03-174</t>
        </is>
      </c>
      <c r="C1105" s="34" t="inlineStr">
        <is>
          <t>New</t>
        </is>
      </c>
      <c r="D1105" s="34" t="inlineStr">
        <is>
          <t>Record first supplied in this revision</t>
        </is>
      </c>
      <c r="E1105" s="39" t="inlineStr"/>
      <c r="F1105" s="100" t="inlineStr">
        <is>
          <t>10 EVIDENCE &amp; DECISIONS</t>
        </is>
      </c>
      <c r="G1105" s="41" t="n"/>
    </row>
    <row r="1106" ht="79" customHeight="1">
      <c r="A1106" s="34" t="inlineStr">
        <is>
          <t>R535-v1</t>
        </is>
      </c>
      <c r="B1106" s="34" t="inlineStr">
        <is>
          <t>SCH-03-175</t>
        </is>
      </c>
      <c r="C1106" s="34" t="inlineStr">
        <is>
          <t>New</t>
        </is>
      </c>
      <c r="D1106" s="34" t="inlineStr">
        <is>
          <t>Record first supplied in this revision</t>
        </is>
      </c>
      <c r="E1106" s="39" t="inlineStr"/>
      <c r="F1106" s="100" t="inlineStr">
        <is>
          <t>10 EVIDENCE &amp; DECISIONS</t>
        </is>
      </c>
      <c r="G1106" s="41" t="n"/>
    </row>
    <row r="1107" ht="79" customHeight="1">
      <c r="A1107" s="34" t="inlineStr">
        <is>
          <t>R536-v1</t>
        </is>
      </c>
      <c r="B1107" s="34" t="inlineStr">
        <is>
          <t>SCH-03-176</t>
        </is>
      </c>
      <c r="C1107" s="34" t="inlineStr">
        <is>
          <t>New</t>
        </is>
      </c>
      <c r="D1107" s="34" t="inlineStr">
        <is>
          <t>Record first supplied in this revision</t>
        </is>
      </c>
      <c r="E1107" s="39" t="inlineStr"/>
      <c r="F1107" s="100" t="inlineStr">
        <is>
          <t>10 EVIDENCE &amp; DECISIONS</t>
        </is>
      </c>
      <c r="G1107" s="41" t="n"/>
    </row>
    <row r="1108" ht="79" customHeight="1">
      <c r="A1108" s="34" t="inlineStr">
        <is>
          <t>R537-v1</t>
        </is>
      </c>
      <c r="B1108" s="34" t="inlineStr">
        <is>
          <t>SCH-03-177</t>
        </is>
      </c>
      <c r="C1108" s="34" t="inlineStr">
        <is>
          <t>New</t>
        </is>
      </c>
      <c r="D1108" s="34" t="inlineStr">
        <is>
          <t>Record first supplied in this revision</t>
        </is>
      </c>
      <c r="E1108" s="39" t="inlineStr"/>
      <c r="F1108" s="100" t="inlineStr">
        <is>
          <t>10 EVIDENCE &amp; DECISIONS</t>
        </is>
      </c>
      <c r="G1108" s="41" t="n"/>
    </row>
    <row r="1109" ht="79" customHeight="1">
      <c r="A1109" s="34" t="inlineStr">
        <is>
          <t>R538-v1</t>
        </is>
      </c>
      <c r="B1109" s="34" t="inlineStr">
        <is>
          <t>SCH-03-178</t>
        </is>
      </c>
      <c r="C1109" s="34" t="inlineStr">
        <is>
          <t>New</t>
        </is>
      </c>
      <c r="D1109" s="34" t="inlineStr">
        <is>
          <t>Record first supplied in this revision</t>
        </is>
      </c>
      <c r="E1109" s="39" t="inlineStr"/>
      <c r="F1109" s="100" t="inlineStr">
        <is>
          <t>10 EVIDENCE &amp; DECISIONS</t>
        </is>
      </c>
      <c r="G1109" s="41" t="n"/>
    </row>
    <row r="1110" ht="79" customHeight="1">
      <c r="A1110" s="34" t="inlineStr">
        <is>
          <t>R539-v1</t>
        </is>
      </c>
      <c r="B1110" s="34" t="inlineStr">
        <is>
          <t>SCH-03-179</t>
        </is>
      </c>
      <c r="C1110" s="34" t="inlineStr">
        <is>
          <t>New</t>
        </is>
      </c>
      <c r="D1110" s="34" t="inlineStr">
        <is>
          <t>Record first supplied in this revision</t>
        </is>
      </c>
      <c r="E1110" s="39" t="inlineStr"/>
      <c r="F1110" s="100" t="inlineStr">
        <is>
          <t>10 EVIDENCE &amp; DECISIONS</t>
        </is>
      </c>
      <c r="G1110" s="41" t="n"/>
    </row>
    <row r="1111" ht="79" customHeight="1">
      <c r="A1111" s="34" t="inlineStr">
        <is>
          <t>R540-v1</t>
        </is>
      </c>
      <c r="B1111" s="34" t="inlineStr">
        <is>
          <t>SCH-03-180</t>
        </is>
      </c>
      <c r="C1111" s="34" t="inlineStr">
        <is>
          <t>New</t>
        </is>
      </c>
      <c r="D1111" s="34" t="inlineStr">
        <is>
          <t>Record first supplied in this revision</t>
        </is>
      </c>
      <c r="E1111" s="39" t="inlineStr"/>
      <c r="F1111" s="100" t="inlineStr">
        <is>
          <t>10 EVIDENCE &amp; DECISIONS</t>
        </is>
      </c>
      <c r="G1111" s="41" t="n"/>
    </row>
    <row r="1112" ht="79" customHeight="1">
      <c r="A1112" s="34" t="inlineStr">
        <is>
          <t>R541-v1</t>
        </is>
      </c>
      <c r="B1112" s="34" t="inlineStr">
        <is>
          <t>SCH-04-001</t>
        </is>
      </c>
      <c r="C1112" s="34" t="inlineStr">
        <is>
          <t>New</t>
        </is>
      </c>
      <c r="D1112" s="34" t="inlineStr">
        <is>
          <t>Record first supplied in this revision</t>
        </is>
      </c>
      <c r="E1112" s="39" t="inlineStr"/>
      <c r="F1112" s="100" t="inlineStr">
        <is>
          <t>10 EVIDENCE &amp; DECISIONS</t>
        </is>
      </c>
      <c r="G1112" s="41" t="n"/>
    </row>
    <row r="1113" ht="79" customHeight="1">
      <c r="A1113" s="34" t="inlineStr">
        <is>
          <t>R542-v1</t>
        </is>
      </c>
      <c r="B1113" s="34" t="inlineStr">
        <is>
          <t>SCH-04-002</t>
        </is>
      </c>
      <c r="C1113" s="34" t="inlineStr">
        <is>
          <t>New</t>
        </is>
      </c>
      <c r="D1113" s="34" t="inlineStr">
        <is>
          <t>Record first supplied in this revision</t>
        </is>
      </c>
      <c r="E1113" s="39" t="inlineStr"/>
      <c r="F1113" s="100" t="inlineStr">
        <is>
          <t>10 EVIDENCE &amp; DECISIONS</t>
        </is>
      </c>
      <c r="G1113" s="41" t="n"/>
    </row>
    <row r="1114" ht="79" customHeight="1">
      <c r="A1114" s="34" t="inlineStr">
        <is>
          <t>R543-v2</t>
        </is>
      </c>
      <c r="B1114" s="34" t="inlineStr">
        <is>
          <t>SCH-04-003</t>
        </is>
      </c>
      <c r="C1114" s="34" t="inlineStr">
        <is>
          <t>New</t>
        </is>
      </c>
      <c r="D1114" s="34" t="inlineStr">
        <is>
          <t>Record first supplied in this revision</t>
        </is>
      </c>
      <c r="E1114" s="34" t="inlineStr">
        <is>
          <t>Maya Chen, Owner Project Controls</t>
        </is>
      </c>
      <c r="F1114" s="100" t="inlineStr">
        <is>
          <t>10 EVIDENCE &amp; DECISIONS</t>
        </is>
      </c>
      <c r="G1114" s="41" t="n"/>
    </row>
    <row r="1115" ht="79" customHeight="1">
      <c r="A1115" s="34" t="inlineStr">
        <is>
          <t>R544-v1</t>
        </is>
      </c>
      <c r="B1115" s="34" t="inlineStr">
        <is>
          <t>SCH-04-004</t>
        </is>
      </c>
      <c r="C1115" s="34" t="inlineStr">
        <is>
          <t>New</t>
        </is>
      </c>
      <c r="D1115" s="34" t="inlineStr">
        <is>
          <t>Record first supplied in this revision</t>
        </is>
      </c>
      <c r="E1115" s="39" t="inlineStr"/>
      <c r="F1115" s="100" t="inlineStr">
        <is>
          <t>10 EVIDENCE &amp; DECISIONS</t>
        </is>
      </c>
      <c r="G1115" s="41" t="n"/>
    </row>
    <row r="1116" ht="79" customHeight="1">
      <c r="A1116" s="34" t="inlineStr">
        <is>
          <t>R545-v1</t>
        </is>
      </c>
      <c r="B1116" s="34" t="inlineStr">
        <is>
          <t>SCH-04-005</t>
        </is>
      </c>
      <c r="C1116" s="34" t="inlineStr">
        <is>
          <t>New</t>
        </is>
      </c>
      <c r="D1116" s="34" t="inlineStr">
        <is>
          <t>Record first supplied in this revision</t>
        </is>
      </c>
      <c r="E1116" s="39" t="inlineStr"/>
      <c r="F1116" s="100" t="inlineStr">
        <is>
          <t>10 EVIDENCE &amp; DECISIONS</t>
        </is>
      </c>
      <c r="G1116" s="41" t="n"/>
    </row>
    <row r="1117" ht="79" customHeight="1">
      <c r="A1117" s="34" t="inlineStr">
        <is>
          <t>R546-v1</t>
        </is>
      </c>
      <c r="B1117" s="34" t="inlineStr">
        <is>
          <t>SCH-04-006</t>
        </is>
      </c>
      <c r="C1117" s="34" t="inlineStr">
        <is>
          <t>New</t>
        </is>
      </c>
      <c r="D1117" s="34" t="inlineStr">
        <is>
          <t>Record first supplied in this revision</t>
        </is>
      </c>
      <c r="E1117" s="39" t="inlineStr"/>
      <c r="F1117" s="100" t="inlineStr">
        <is>
          <t>10 EVIDENCE &amp; DECISIONS</t>
        </is>
      </c>
      <c r="G1117" s="41" t="n"/>
    </row>
    <row r="1118" ht="79" customHeight="1">
      <c r="A1118" s="34" t="inlineStr">
        <is>
          <t>R547-v1</t>
        </is>
      </c>
      <c r="B1118" s="34" t="inlineStr">
        <is>
          <t>SCH-04-007</t>
        </is>
      </c>
      <c r="C1118" s="34" t="inlineStr">
        <is>
          <t>New</t>
        </is>
      </c>
      <c r="D1118" s="34" t="inlineStr">
        <is>
          <t>Record first supplied in this revision</t>
        </is>
      </c>
      <c r="E1118" s="39" t="inlineStr"/>
      <c r="F1118" s="100" t="inlineStr">
        <is>
          <t>10 EVIDENCE &amp; DECISIONS</t>
        </is>
      </c>
      <c r="G1118" s="41" t="n"/>
    </row>
    <row r="1119" ht="79" customHeight="1">
      <c r="A1119" s="34" t="inlineStr">
        <is>
          <t>R548-v1</t>
        </is>
      </c>
      <c r="B1119" s="34" t="inlineStr">
        <is>
          <t>SCH-04-008</t>
        </is>
      </c>
      <c r="C1119" s="34" t="inlineStr">
        <is>
          <t>New</t>
        </is>
      </c>
      <c r="D1119" s="34" t="inlineStr">
        <is>
          <t>Record first supplied in this revision</t>
        </is>
      </c>
      <c r="E1119" s="39" t="inlineStr"/>
      <c r="F1119" s="100" t="inlineStr">
        <is>
          <t>10 EVIDENCE &amp; DECISIONS</t>
        </is>
      </c>
      <c r="G1119" s="41" t="n"/>
    </row>
    <row r="1120" ht="79" customHeight="1">
      <c r="A1120" s="34" t="inlineStr">
        <is>
          <t>R549-v1</t>
        </is>
      </c>
      <c r="B1120" s="34" t="inlineStr">
        <is>
          <t>SCH-04-009</t>
        </is>
      </c>
      <c r="C1120" s="34" t="inlineStr">
        <is>
          <t>New</t>
        </is>
      </c>
      <c r="D1120" s="34" t="inlineStr">
        <is>
          <t>Record first supplied in this revision</t>
        </is>
      </c>
      <c r="E1120" s="39" t="inlineStr"/>
      <c r="F1120" s="100" t="inlineStr">
        <is>
          <t>10 EVIDENCE &amp; DECISIONS</t>
        </is>
      </c>
      <c r="G1120" s="41" t="n"/>
    </row>
    <row r="1121" ht="79" customHeight="1">
      <c r="A1121" s="34" t="inlineStr">
        <is>
          <t>R550-v1</t>
        </is>
      </c>
      <c r="B1121" s="34" t="inlineStr">
        <is>
          <t>SCH-04-010</t>
        </is>
      </c>
      <c r="C1121" s="34" t="inlineStr">
        <is>
          <t>New</t>
        </is>
      </c>
      <c r="D1121" s="34" t="inlineStr">
        <is>
          <t>Record first supplied in this revision</t>
        </is>
      </c>
      <c r="E1121" s="39" t="inlineStr"/>
      <c r="F1121" s="100" t="inlineStr">
        <is>
          <t>10 EVIDENCE &amp; DECISIONS</t>
        </is>
      </c>
      <c r="G1121" s="41" t="n"/>
    </row>
    <row r="1122" ht="79" customHeight="1">
      <c r="A1122" s="34" t="inlineStr">
        <is>
          <t>R551-v1</t>
        </is>
      </c>
      <c r="B1122" s="34" t="inlineStr">
        <is>
          <t>SCH-04-011</t>
        </is>
      </c>
      <c r="C1122" s="34" t="inlineStr">
        <is>
          <t>New</t>
        </is>
      </c>
      <c r="D1122" s="34" t="inlineStr">
        <is>
          <t>Record first supplied in this revision</t>
        </is>
      </c>
      <c r="E1122" s="39" t="inlineStr"/>
      <c r="F1122" s="100" t="inlineStr">
        <is>
          <t>10 EVIDENCE &amp; DECISIONS</t>
        </is>
      </c>
      <c r="G1122" s="41" t="n"/>
    </row>
    <row r="1123" ht="79" customHeight="1">
      <c r="A1123" s="34" t="inlineStr">
        <is>
          <t>R552-v1</t>
        </is>
      </c>
      <c r="B1123" s="34" t="inlineStr">
        <is>
          <t>SCH-04-012</t>
        </is>
      </c>
      <c r="C1123" s="34" t="inlineStr">
        <is>
          <t>New</t>
        </is>
      </c>
      <c r="D1123" s="34" t="inlineStr">
        <is>
          <t>Record first supplied in this revision</t>
        </is>
      </c>
      <c r="E1123" s="39" t="inlineStr"/>
      <c r="F1123" s="100" t="inlineStr">
        <is>
          <t>10 EVIDENCE &amp; DECISIONS</t>
        </is>
      </c>
      <c r="G1123" s="41" t="n"/>
    </row>
    <row r="1124" ht="79" customHeight="1">
      <c r="A1124" s="34" t="inlineStr">
        <is>
          <t>R553-v1</t>
        </is>
      </c>
      <c r="B1124" s="34" t="inlineStr">
        <is>
          <t>SCH-04-013</t>
        </is>
      </c>
      <c r="C1124" s="34" t="inlineStr">
        <is>
          <t>New</t>
        </is>
      </c>
      <c r="D1124" s="34" t="inlineStr">
        <is>
          <t>Record first supplied in this revision</t>
        </is>
      </c>
      <c r="E1124" s="39" t="inlineStr"/>
      <c r="F1124" s="100" t="inlineStr">
        <is>
          <t>10 EVIDENCE &amp; DECISIONS</t>
        </is>
      </c>
      <c r="G1124" s="41" t="n"/>
    </row>
    <row r="1125" ht="79" customHeight="1">
      <c r="A1125" s="34" t="inlineStr">
        <is>
          <t>R554-v1</t>
        </is>
      </c>
      <c r="B1125" s="34" t="inlineStr">
        <is>
          <t>SCH-04-014</t>
        </is>
      </c>
      <c r="C1125" s="34" t="inlineStr">
        <is>
          <t>New</t>
        </is>
      </c>
      <c r="D1125" s="34" t="inlineStr">
        <is>
          <t>Record first supplied in this revision</t>
        </is>
      </c>
      <c r="E1125" s="39" t="inlineStr"/>
      <c r="F1125" s="100" t="inlineStr">
        <is>
          <t>10 EVIDENCE &amp; DECISIONS</t>
        </is>
      </c>
      <c r="G1125" s="41" t="n"/>
    </row>
    <row r="1126" ht="79" customHeight="1">
      <c r="A1126" s="34" t="inlineStr">
        <is>
          <t>R555-v1</t>
        </is>
      </c>
      <c r="B1126" s="34" t="inlineStr">
        <is>
          <t>SCH-04-015</t>
        </is>
      </c>
      <c r="C1126" s="34" t="inlineStr">
        <is>
          <t>New</t>
        </is>
      </c>
      <c r="D1126" s="34" t="inlineStr">
        <is>
          <t>Record first supplied in this revision</t>
        </is>
      </c>
      <c r="E1126" s="39" t="inlineStr"/>
      <c r="F1126" s="100" t="inlineStr">
        <is>
          <t>10 EVIDENCE &amp; DECISIONS</t>
        </is>
      </c>
      <c r="G1126" s="41" t="n"/>
    </row>
    <row r="1127" ht="79" customHeight="1">
      <c r="A1127" s="34" t="inlineStr">
        <is>
          <t>R556-v1</t>
        </is>
      </c>
      <c r="B1127" s="34" t="inlineStr">
        <is>
          <t>SCH-04-016</t>
        </is>
      </c>
      <c r="C1127" s="34" t="inlineStr">
        <is>
          <t>New</t>
        </is>
      </c>
      <c r="D1127" s="34" t="inlineStr">
        <is>
          <t>Record first supplied in this revision</t>
        </is>
      </c>
      <c r="E1127" s="39" t="inlineStr"/>
      <c r="F1127" s="100" t="inlineStr">
        <is>
          <t>10 EVIDENCE &amp; DECISIONS</t>
        </is>
      </c>
      <c r="G1127" s="41" t="n"/>
    </row>
    <row r="1128" ht="79" customHeight="1">
      <c r="A1128" s="34" t="inlineStr">
        <is>
          <t>R557-v1</t>
        </is>
      </c>
      <c r="B1128" s="34" t="inlineStr">
        <is>
          <t>SCH-04-017</t>
        </is>
      </c>
      <c r="C1128" s="34" t="inlineStr">
        <is>
          <t>New</t>
        </is>
      </c>
      <c r="D1128" s="34" t="inlineStr">
        <is>
          <t>Record first supplied in this revision</t>
        </is>
      </c>
      <c r="E1128" s="39" t="inlineStr"/>
      <c r="F1128" s="100" t="inlineStr">
        <is>
          <t>10 EVIDENCE &amp; DECISIONS</t>
        </is>
      </c>
      <c r="G1128" s="41" t="n"/>
    </row>
    <row r="1129" ht="79" customHeight="1">
      <c r="A1129" s="34" t="inlineStr">
        <is>
          <t>R558-v1</t>
        </is>
      </c>
      <c r="B1129" s="34" t="inlineStr">
        <is>
          <t>SCH-04-018</t>
        </is>
      </c>
      <c r="C1129" s="34" t="inlineStr">
        <is>
          <t>New</t>
        </is>
      </c>
      <c r="D1129" s="34" t="inlineStr">
        <is>
          <t>Record first supplied in this revision</t>
        </is>
      </c>
      <c r="E1129" s="39" t="inlineStr"/>
      <c r="F1129" s="100" t="inlineStr">
        <is>
          <t>10 EVIDENCE &amp; DECISIONS</t>
        </is>
      </c>
      <c r="G1129" s="41" t="n"/>
    </row>
    <row r="1130" ht="79" customHeight="1">
      <c r="A1130" s="34" t="inlineStr">
        <is>
          <t>R559-v1</t>
        </is>
      </c>
      <c r="B1130" s="34" t="inlineStr">
        <is>
          <t>SCH-04-019</t>
        </is>
      </c>
      <c r="C1130" s="34" t="inlineStr">
        <is>
          <t>New</t>
        </is>
      </c>
      <c r="D1130" s="34" t="inlineStr">
        <is>
          <t>Record first supplied in this revision</t>
        </is>
      </c>
      <c r="E1130" s="39" t="inlineStr"/>
      <c r="F1130" s="100" t="inlineStr">
        <is>
          <t>10 EVIDENCE &amp; DECISIONS</t>
        </is>
      </c>
      <c r="G1130" s="41" t="n"/>
    </row>
    <row r="1131" ht="79" customHeight="1">
      <c r="A1131" s="34" t="inlineStr">
        <is>
          <t>R560-v1</t>
        </is>
      </c>
      <c r="B1131" s="34" t="inlineStr">
        <is>
          <t>SCH-04-020</t>
        </is>
      </c>
      <c r="C1131" s="34" t="inlineStr">
        <is>
          <t>New</t>
        </is>
      </c>
      <c r="D1131" s="34" t="inlineStr">
        <is>
          <t>Record first supplied in this revision</t>
        </is>
      </c>
      <c r="E1131" s="39" t="inlineStr"/>
      <c r="F1131" s="100" t="inlineStr">
        <is>
          <t>10 EVIDENCE &amp; DECISIONS</t>
        </is>
      </c>
      <c r="G1131" s="41" t="n"/>
    </row>
    <row r="1132" ht="79" customHeight="1">
      <c r="A1132" s="34" t="inlineStr">
        <is>
          <t>R561-v1</t>
        </is>
      </c>
      <c r="B1132" s="34" t="inlineStr">
        <is>
          <t>SCH-04-021</t>
        </is>
      </c>
      <c r="C1132" s="34" t="inlineStr">
        <is>
          <t>New</t>
        </is>
      </c>
      <c r="D1132" s="34" t="inlineStr">
        <is>
          <t>Record first supplied in this revision</t>
        </is>
      </c>
      <c r="E1132" s="39" t="inlineStr"/>
      <c r="F1132" s="100" t="inlineStr">
        <is>
          <t>10 EVIDENCE &amp; DECISIONS</t>
        </is>
      </c>
      <c r="G1132" s="41" t="n"/>
    </row>
    <row r="1133" ht="79" customHeight="1">
      <c r="A1133" s="34" t="inlineStr">
        <is>
          <t>R562-v1</t>
        </is>
      </c>
      <c r="B1133" s="34" t="inlineStr">
        <is>
          <t>SCH-04-022</t>
        </is>
      </c>
      <c r="C1133" s="34" t="inlineStr">
        <is>
          <t>New</t>
        </is>
      </c>
      <c r="D1133" s="34" t="inlineStr">
        <is>
          <t>Record first supplied in this revision</t>
        </is>
      </c>
      <c r="E1133" s="39" t="inlineStr"/>
      <c r="F1133" s="100" t="inlineStr">
        <is>
          <t>10 EVIDENCE &amp; DECISIONS</t>
        </is>
      </c>
      <c r="G1133" s="41" t="n"/>
    </row>
    <row r="1134" ht="79" customHeight="1">
      <c r="A1134" s="34" t="inlineStr">
        <is>
          <t>R563-v1</t>
        </is>
      </c>
      <c r="B1134" s="34" t="inlineStr">
        <is>
          <t>SCH-04-023</t>
        </is>
      </c>
      <c r="C1134" s="34" t="inlineStr">
        <is>
          <t>New</t>
        </is>
      </c>
      <c r="D1134" s="34" t="inlineStr">
        <is>
          <t>Record first supplied in this revision</t>
        </is>
      </c>
      <c r="E1134" s="39" t="inlineStr"/>
      <c r="F1134" s="100" t="inlineStr">
        <is>
          <t>10 EVIDENCE &amp; DECISIONS</t>
        </is>
      </c>
      <c r="G1134" s="41" t="n"/>
    </row>
    <row r="1135" ht="79" customHeight="1">
      <c r="A1135" s="34" t="inlineStr">
        <is>
          <t>R564-v1</t>
        </is>
      </c>
      <c r="B1135" s="34" t="inlineStr">
        <is>
          <t>SCH-04-024</t>
        </is>
      </c>
      <c r="C1135" s="34" t="inlineStr">
        <is>
          <t>New</t>
        </is>
      </c>
      <c r="D1135" s="34" t="inlineStr">
        <is>
          <t>Record first supplied in this revision</t>
        </is>
      </c>
      <c r="E1135" s="39" t="inlineStr"/>
      <c r="F1135" s="100" t="inlineStr">
        <is>
          <t>10 EVIDENCE &amp; DECISIONS</t>
        </is>
      </c>
      <c r="G1135" s="41" t="n"/>
    </row>
    <row r="1136" ht="79" customHeight="1">
      <c r="A1136" s="34" t="inlineStr">
        <is>
          <t>R565-v1</t>
        </is>
      </c>
      <c r="B1136" s="34" t="inlineStr">
        <is>
          <t>SCH-04-025</t>
        </is>
      </c>
      <c r="C1136" s="34" t="inlineStr">
        <is>
          <t>New</t>
        </is>
      </c>
      <c r="D1136" s="34" t="inlineStr">
        <is>
          <t>Record first supplied in this revision</t>
        </is>
      </c>
      <c r="E1136" s="39" t="inlineStr"/>
      <c r="F1136" s="100" t="inlineStr">
        <is>
          <t>10 EVIDENCE &amp; DECISIONS</t>
        </is>
      </c>
      <c r="G1136" s="41" t="n"/>
    </row>
    <row r="1137" ht="79" customHeight="1">
      <c r="A1137" s="34" t="inlineStr">
        <is>
          <t>R566-v1</t>
        </is>
      </c>
      <c r="B1137" s="34" t="inlineStr">
        <is>
          <t>SCH-04-026</t>
        </is>
      </c>
      <c r="C1137" s="34" t="inlineStr">
        <is>
          <t>New</t>
        </is>
      </c>
      <c r="D1137" s="34" t="inlineStr">
        <is>
          <t>Record first supplied in this revision</t>
        </is>
      </c>
      <c r="E1137" s="39" t="inlineStr"/>
      <c r="F1137" s="100" t="inlineStr">
        <is>
          <t>10 EVIDENCE &amp; DECISIONS</t>
        </is>
      </c>
      <c r="G1137" s="41" t="n"/>
    </row>
    <row r="1138" ht="79" customHeight="1">
      <c r="A1138" s="34" t="inlineStr">
        <is>
          <t>R567-v1</t>
        </is>
      </c>
      <c r="B1138" s="34" t="inlineStr">
        <is>
          <t>SCH-04-027</t>
        </is>
      </c>
      <c r="C1138" s="34" t="inlineStr">
        <is>
          <t>New</t>
        </is>
      </c>
      <c r="D1138" s="34" t="inlineStr">
        <is>
          <t>Record first supplied in this revision</t>
        </is>
      </c>
      <c r="E1138" s="39" t="inlineStr"/>
      <c r="F1138" s="100" t="inlineStr">
        <is>
          <t>10 EVIDENCE &amp; DECISIONS</t>
        </is>
      </c>
      <c r="G1138" s="41" t="n"/>
    </row>
    <row r="1139" ht="79" customHeight="1">
      <c r="A1139" s="34" t="inlineStr">
        <is>
          <t>R568-v1</t>
        </is>
      </c>
      <c r="B1139" s="34" t="inlineStr">
        <is>
          <t>SCH-04-028</t>
        </is>
      </c>
      <c r="C1139" s="34" t="inlineStr">
        <is>
          <t>New</t>
        </is>
      </c>
      <c r="D1139" s="34" t="inlineStr">
        <is>
          <t>Record first supplied in this revision</t>
        </is>
      </c>
      <c r="E1139" s="39" t="inlineStr"/>
      <c r="F1139" s="100" t="inlineStr">
        <is>
          <t>10 EVIDENCE &amp; DECISIONS</t>
        </is>
      </c>
      <c r="G1139" s="41" t="n"/>
    </row>
    <row r="1140" ht="79" customHeight="1">
      <c r="A1140" s="34" t="inlineStr">
        <is>
          <t>R569-v1</t>
        </is>
      </c>
      <c r="B1140" s="34" t="inlineStr">
        <is>
          <t>SCH-04-029</t>
        </is>
      </c>
      <c r="C1140" s="34" t="inlineStr">
        <is>
          <t>New</t>
        </is>
      </c>
      <c r="D1140" s="34" t="inlineStr">
        <is>
          <t>Record first supplied in this revision</t>
        </is>
      </c>
      <c r="E1140" s="39" t="inlineStr"/>
      <c r="F1140" s="100" t="inlineStr">
        <is>
          <t>10 EVIDENCE &amp; DECISIONS</t>
        </is>
      </c>
      <c r="G1140" s="41" t="n"/>
    </row>
    <row r="1141" ht="79" customHeight="1">
      <c r="A1141" s="34" t="inlineStr">
        <is>
          <t>R570-v1</t>
        </is>
      </c>
      <c r="B1141" s="34" t="inlineStr">
        <is>
          <t>SCH-04-030</t>
        </is>
      </c>
      <c r="C1141" s="34" t="inlineStr">
        <is>
          <t>New</t>
        </is>
      </c>
      <c r="D1141" s="34" t="inlineStr">
        <is>
          <t>Record first supplied in this revision</t>
        </is>
      </c>
      <c r="E1141" s="39" t="inlineStr"/>
      <c r="F1141" s="100" t="inlineStr">
        <is>
          <t>10 EVIDENCE &amp; DECISIONS</t>
        </is>
      </c>
      <c r="G1141" s="41" t="n"/>
    </row>
    <row r="1142" ht="79" customHeight="1">
      <c r="A1142" s="34" t="inlineStr">
        <is>
          <t>R571-v1</t>
        </is>
      </c>
      <c r="B1142" s="34" t="inlineStr">
        <is>
          <t>SCH-04-031</t>
        </is>
      </c>
      <c r="C1142" s="34" t="inlineStr">
        <is>
          <t>New</t>
        </is>
      </c>
      <c r="D1142" s="34" t="inlineStr">
        <is>
          <t>Record first supplied in this revision</t>
        </is>
      </c>
      <c r="E1142" s="39" t="inlineStr"/>
      <c r="F1142" s="100" t="inlineStr">
        <is>
          <t>10 EVIDENCE &amp; DECISIONS</t>
        </is>
      </c>
      <c r="G1142" s="41" t="n"/>
    </row>
    <row r="1143" ht="79" customHeight="1">
      <c r="A1143" s="34" t="inlineStr">
        <is>
          <t>R572-v1</t>
        </is>
      </c>
      <c r="B1143" s="34" t="inlineStr">
        <is>
          <t>SCH-04-032</t>
        </is>
      </c>
      <c r="C1143" s="34" t="inlineStr">
        <is>
          <t>New</t>
        </is>
      </c>
      <c r="D1143" s="34" t="inlineStr">
        <is>
          <t>Record first supplied in this revision</t>
        </is>
      </c>
      <c r="E1143" s="39" t="inlineStr"/>
      <c r="F1143" s="100" t="inlineStr">
        <is>
          <t>10 EVIDENCE &amp; DECISIONS</t>
        </is>
      </c>
      <c r="G1143" s="41" t="n"/>
    </row>
    <row r="1144" ht="79" customHeight="1">
      <c r="A1144" s="34" t="inlineStr">
        <is>
          <t>R573-v1</t>
        </is>
      </c>
      <c r="B1144" s="34" t="inlineStr">
        <is>
          <t>SCH-04-033</t>
        </is>
      </c>
      <c r="C1144" s="34" t="inlineStr">
        <is>
          <t>New</t>
        </is>
      </c>
      <c r="D1144" s="34" t="inlineStr">
        <is>
          <t>Record first supplied in this revision</t>
        </is>
      </c>
      <c r="E1144" s="39" t="inlineStr"/>
      <c r="F1144" s="100" t="inlineStr">
        <is>
          <t>10 EVIDENCE &amp; DECISIONS</t>
        </is>
      </c>
      <c r="G1144" s="41" t="n"/>
    </row>
    <row r="1145" ht="79" customHeight="1">
      <c r="A1145" s="34" t="inlineStr">
        <is>
          <t>R574-v1</t>
        </is>
      </c>
      <c r="B1145" s="34" t="inlineStr">
        <is>
          <t>SCH-04-034</t>
        </is>
      </c>
      <c r="C1145" s="34" t="inlineStr">
        <is>
          <t>New</t>
        </is>
      </c>
      <c r="D1145" s="34" t="inlineStr">
        <is>
          <t>Record first supplied in this revision</t>
        </is>
      </c>
      <c r="E1145" s="39" t="inlineStr"/>
      <c r="F1145" s="100" t="inlineStr">
        <is>
          <t>10 EVIDENCE &amp; DECISIONS</t>
        </is>
      </c>
      <c r="G1145" s="41" t="n"/>
    </row>
    <row r="1146" ht="79" customHeight="1">
      <c r="A1146" s="34" t="inlineStr">
        <is>
          <t>R575-v1</t>
        </is>
      </c>
      <c r="B1146" s="34" t="inlineStr">
        <is>
          <t>SCH-04-035</t>
        </is>
      </c>
      <c r="C1146" s="34" t="inlineStr">
        <is>
          <t>New</t>
        </is>
      </c>
      <c r="D1146" s="34" t="inlineStr">
        <is>
          <t>Record first supplied in this revision</t>
        </is>
      </c>
      <c r="E1146" s="39" t="inlineStr"/>
      <c r="F1146" s="100" t="inlineStr">
        <is>
          <t>10 EVIDENCE &amp; DECISIONS</t>
        </is>
      </c>
      <c r="G1146" s="41" t="n"/>
    </row>
    <row r="1147" ht="79" customHeight="1">
      <c r="A1147" s="34" t="inlineStr">
        <is>
          <t>R576-v1</t>
        </is>
      </c>
      <c r="B1147" s="34" t="inlineStr">
        <is>
          <t>SCH-04-036</t>
        </is>
      </c>
      <c r="C1147" s="34" t="inlineStr">
        <is>
          <t>New</t>
        </is>
      </c>
      <c r="D1147" s="34" t="inlineStr">
        <is>
          <t>Record first supplied in this revision</t>
        </is>
      </c>
      <c r="E1147" s="39" t="inlineStr"/>
      <c r="F1147" s="100" t="inlineStr">
        <is>
          <t>10 EVIDENCE &amp; DECISIONS</t>
        </is>
      </c>
      <c r="G1147" s="41" t="n"/>
    </row>
    <row r="1148" ht="79" customHeight="1">
      <c r="A1148" s="34" t="inlineStr">
        <is>
          <t>R577-v1</t>
        </is>
      </c>
      <c r="B1148" s="34" t="inlineStr">
        <is>
          <t>SCH-04-037</t>
        </is>
      </c>
      <c r="C1148" s="34" t="inlineStr">
        <is>
          <t>New</t>
        </is>
      </c>
      <c r="D1148" s="34" t="inlineStr">
        <is>
          <t>Record first supplied in this revision</t>
        </is>
      </c>
      <c r="E1148" s="39" t="inlineStr"/>
      <c r="F1148" s="100" t="inlineStr">
        <is>
          <t>10 EVIDENCE &amp; DECISIONS</t>
        </is>
      </c>
      <c r="G1148" s="41" t="n"/>
    </row>
    <row r="1149" ht="79" customHeight="1">
      <c r="A1149" s="34" t="inlineStr">
        <is>
          <t>R578-v1</t>
        </is>
      </c>
      <c r="B1149" s="34" t="inlineStr">
        <is>
          <t>SCH-04-038</t>
        </is>
      </c>
      <c r="C1149" s="34" t="inlineStr">
        <is>
          <t>New</t>
        </is>
      </c>
      <c r="D1149" s="34" t="inlineStr">
        <is>
          <t>Record first supplied in this revision</t>
        </is>
      </c>
      <c r="E1149" s="39" t="inlineStr"/>
      <c r="F1149" s="100" t="inlineStr">
        <is>
          <t>10 EVIDENCE &amp; DECISIONS</t>
        </is>
      </c>
      <c r="G1149" s="41" t="n"/>
    </row>
    <row r="1150" ht="79" customHeight="1">
      <c r="A1150" s="34" t="inlineStr">
        <is>
          <t>R579-v1</t>
        </is>
      </c>
      <c r="B1150" s="34" t="inlineStr">
        <is>
          <t>SCH-04-039</t>
        </is>
      </c>
      <c r="C1150" s="34" t="inlineStr">
        <is>
          <t>New</t>
        </is>
      </c>
      <c r="D1150" s="34" t="inlineStr">
        <is>
          <t>Record first supplied in this revision</t>
        </is>
      </c>
      <c r="E1150" s="39" t="inlineStr"/>
      <c r="F1150" s="100" t="inlineStr">
        <is>
          <t>10 EVIDENCE &amp; DECISIONS</t>
        </is>
      </c>
      <c r="G1150" s="41" t="n"/>
    </row>
    <row r="1151" ht="79" customHeight="1">
      <c r="A1151" s="34" t="inlineStr">
        <is>
          <t>R580-v1</t>
        </is>
      </c>
      <c r="B1151" s="34" t="inlineStr">
        <is>
          <t>SCH-04-040</t>
        </is>
      </c>
      <c r="C1151" s="34" t="inlineStr">
        <is>
          <t>New</t>
        </is>
      </c>
      <c r="D1151" s="34" t="inlineStr">
        <is>
          <t>Record first supplied in this revision</t>
        </is>
      </c>
      <c r="E1151" s="39" t="inlineStr"/>
      <c r="F1151" s="100" t="inlineStr">
        <is>
          <t>10 EVIDENCE &amp; DECISIONS</t>
        </is>
      </c>
      <c r="G1151" s="41" t="n"/>
    </row>
    <row r="1152" ht="79" customHeight="1">
      <c r="A1152" s="34" t="inlineStr">
        <is>
          <t>R581-v1</t>
        </is>
      </c>
      <c r="B1152" s="34" t="inlineStr">
        <is>
          <t>SCH-04-041</t>
        </is>
      </c>
      <c r="C1152" s="34" t="inlineStr">
        <is>
          <t>New</t>
        </is>
      </c>
      <c r="D1152" s="34" t="inlineStr">
        <is>
          <t>Record first supplied in this revision</t>
        </is>
      </c>
      <c r="E1152" s="39" t="inlineStr"/>
      <c r="F1152" s="100" t="inlineStr">
        <is>
          <t>10 EVIDENCE &amp; DECISIONS</t>
        </is>
      </c>
      <c r="G1152" s="41" t="n"/>
    </row>
    <row r="1153" ht="79" customHeight="1">
      <c r="A1153" s="34" t="inlineStr">
        <is>
          <t>R582-v1</t>
        </is>
      </c>
      <c r="B1153" s="34" t="inlineStr">
        <is>
          <t>SCH-04-042</t>
        </is>
      </c>
      <c r="C1153" s="34" t="inlineStr">
        <is>
          <t>New</t>
        </is>
      </c>
      <c r="D1153" s="34" t="inlineStr">
        <is>
          <t>Record first supplied in this revision</t>
        </is>
      </c>
      <c r="E1153" s="39" t="inlineStr"/>
      <c r="F1153" s="100" t="inlineStr">
        <is>
          <t>10 EVIDENCE &amp; DECISIONS</t>
        </is>
      </c>
      <c r="G1153" s="41" t="n"/>
    </row>
    <row r="1154" ht="79" customHeight="1">
      <c r="A1154" s="34" t="inlineStr">
        <is>
          <t>R583-v1</t>
        </is>
      </c>
      <c r="B1154" s="34" t="inlineStr">
        <is>
          <t>SCH-04-043</t>
        </is>
      </c>
      <c r="C1154" s="34" t="inlineStr">
        <is>
          <t>New</t>
        </is>
      </c>
      <c r="D1154" s="34" t="inlineStr">
        <is>
          <t>Record first supplied in this revision</t>
        </is>
      </c>
      <c r="E1154" s="39" t="inlineStr"/>
      <c r="F1154" s="100" t="inlineStr">
        <is>
          <t>10 EVIDENCE &amp; DECISIONS</t>
        </is>
      </c>
      <c r="G1154" s="41" t="n"/>
    </row>
    <row r="1155" ht="79" customHeight="1">
      <c r="A1155" s="34" t="inlineStr">
        <is>
          <t>R584-v1</t>
        </is>
      </c>
      <c r="B1155" s="34" t="inlineStr">
        <is>
          <t>SCH-04-044</t>
        </is>
      </c>
      <c r="C1155" s="34" t="inlineStr">
        <is>
          <t>New</t>
        </is>
      </c>
      <c r="D1155" s="34" t="inlineStr">
        <is>
          <t>Record first supplied in this revision</t>
        </is>
      </c>
      <c r="E1155" s="39" t="inlineStr"/>
      <c r="F1155" s="100" t="inlineStr">
        <is>
          <t>10 EVIDENCE &amp; DECISIONS</t>
        </is>
      </c>
      <c r="G1155" s="41" t="n"/>
    </row>
    <row r="1156" ht="79" customHeight="1">
      <c r="A1156" s="34" t="inlineStr">
        <is>
          <t>R585-v1</t>
        </is>
      </c>
      <c r="B1156" s="34" t="inlineStr">
        <is>
          <t>SCH-04-045</t>
        </is>
      </c>
      <c r="C1156" s="34" t="inlineStr">
        <is>
          <t>New</t>
        </is>
      </c>
      <c r="D1156" s="34" t="inlineStr">
        <is>
          <t>Record first supplied in this revision</t>
        </is>
      </c>
      <c r="E1156" s="39" t="inlineStr"/>
      <c r="F1156" s="100" t="inlineStr">
        <is>
          <t>10 EVIDENCE &amp; DECISIONS</t>
        </is>
      </c>
      <c r="G1156" s="41" t="n"/>
    </row>
    <row r="1157" ht="79" customHeight="1">
      <c r="A1157" s="34" t="inlineStr">
        <is>
          <t>R586-v1</t>
        </is>
      </c>
      <c r="B1157" s="34" t="inlineStr">
        <is>
          <t>SCH-04-046</t>
        </is>
      </c>
      <c r="C1157" s="34" t="inlineStr">
        <is>
          <t>New</t>
        </is>
      </c>
      <c r="D1157" s="34" t="inlineStr">
        <is>
          <t>Record first supplied in this revision</t>
        </is>
      </c>
      <c r="E1157" s="39" t="inlineStr"/>
      <c r="F1157" s="100" t="inlineStr">
        <is>
          <t>10 EVIDENCE &amp; DECISIONS</t>
        </is>
      </c>
      <c r="G1157" s="41" t="n"/>
    </row>
    <row r="1158" ht="79" customHeight="1">
      <c r="A1158" s="34" t="inlineStr">
        <is>
          <t>R587-v1</t>
        </is>
      </c>
      <c r="B1158" s="34" t="inlineStr">
        <is>
          <t>SCH-04-047</t>
        </is>
      </c>
      <c r="C1158" s="34" t="inlineStr">
        <is>
          <t>New</t>
        </is>
      </c>
      <c r="D1158" s="34" t="inlineStr">
        <is>
          <t>Record first supplied in this revision</t>
        </is>
      </c>
      <c r="E1158" s="39" t="inlineStr"/>
      <c r="F1158" s="100" t="inlineStr">
        <is>
          <t>10 EVIDENCE &amp; DECISIONS</t>
        </is>
      </c>
      <c r="G1158" s="41" t="n"/>
    </row>
    <row r="1159" ht="79" customHeight="1">
      <c r="A1159" s="34" t="inlineStr">
        <is>
          <t>R588-v1</t>
        </is>
      </c>
      <c r="B1159" s="34" t="inlineStr">
        <is>
          <t>SCH-04-048</t>
        </is>
      </c>
      <c r="C1159" s="34" t="inlineStr">
        <is>
          <t>New</t>
        </is>
      </c>
      <c r="D1159" s="34" t="inlineStr">
        <is>
          <t>Record first supplied in this revision</t>
        </is>
      </c>
      <c r="E1159" s="39" t="inlineStr"/>
      <c r="F1159" s="100" t="inlineStr">
        <is>
          <t>10 EVIDENCE &amp; DECISIONS</t>
        </is>
      </c>
      <c r="G1159" s="41" t="n"/>
    </row>
    <row r="1160" ht="79" customHeight="1">
      <c r="A1160" s="34" t="inlineStr">
        <is>
          <t>R589-v1</t>
        </is>
      </c>
      <c r="B1160" s="34" t="inlineStr">
        <is>
          <t>SCH-04-049</t>
        </is>
      </c>
      <c r="C1160" s="34" t="inlineStr">
        <is>
          <t>New</t>
        </is>
      </c>
      <c r="D1160" s="34" t="inlineStr">
        <is>
          <t>Record first supplied in this revision</t>
        </is>
      </c>
      <c r="E1160" s="39" t="inlineStr"/>
      <c r="F1160" s="100" t="inlineStr">
        <is>
          <t>10 EVIDENCE &amp; DECISIONS</t>
        </is>
      </c>
      <c r="G1160" s="41" t="n"/>
    </row>
    <row r="1161" ht="79" customHeight="1">
      <c r="A1161" s="34" t="inlineStr">
        <is>
          <t>R590-v1</t>
        </is>
      </c>
      <c r="B1161" s="34" t="inlineStr">
        <is>
          <t>SCH-04-050</t>
        </is>
      </c>
      <c r="C1161" s="34" t="inlineStr">
        <is>
          <t>New</t>
        </is>
      </c>
      <c r="D1161" s="34" t="inlineStr">
        <is>
          <t>Record first supplied in this revision</t>
        </is>
      </c>
      <c r="E1161" s="39" t="inlineStr"/>
      <c r="F1161" s="100" t="inlineStr">
        <is>
          <t>10 EVIDENCE &amp; DECISIONS</t>
        </is>
      </c>
      <c r="G1161" s="41" t="n"/>
    </row>
    <row r="1162" ht="79" customHeight="1">
      <c r="A1162" s="34" t="inlineStr">
        <is>
          <t>R591-v1</t>
        </is>
      </c>
      <c r="B1162" s="34" t="inlineStr">
        <is>
          <t>SCH-04-051</t>
        </is>
      </c>
      <c r="C1162" s="34" t="inlineStr">
        <is>
          <t>New</t>
        </is>
      </c>
      <c r="D1162" s="34" t="inlineStr">
        <is>
          <t>Record first supplied in this revision</t>
        </is>
      </c>
      <c r="E1162" s="39" t="inlineStr"/>
      <c r="F1162" s="100" t="inlineStr">
        <is>
          <t>10 EVIDENCE &amp; DECISIONS</t>
        </is>
      </c>
      <c r="G1162" s="41" t="n"/>
    </row>
    <row r="1163" ht="79" customHeight="1">
      <c r="A1163" s="34" t="inlineStr">
        <is>
          <t>R592-v1</t>
        </is>
      </c>
      <c r="B1163" s="34" t="inlineStr">
        <is>
          <t>SCH-04-052</t>
        </is>
      </c>
      <c r="C1163" s="34" t="inlineStr">
        <is>
          <t>New</t>
        </is>
      </c>
      <c r="D1163" s="34" t="inlineStr">
        <is>
          <t>Record first supplied in this revision</t>
        </is>
      </c>
      <c r="E1163" s="39" t="inlineStr"/>
      <c r="F1163" s="100" t="inlineStr">
        <is>
          <t>10 EVIDENCE &amp; DECISIONS</t>
        </is>
      </c>
      <c r="G1163" s="41" t="n"/>
    </row>
    <row r="1164" ht="79" customHeight="1">
      <c r="A1164" s="34" t="inlineStr">
        <is>
          <t>R593-v1</t>
        </is>
      </c>
      <c r="B1164" s="34" t="inlineStr">
        <is>
          <t>SCH-04-053</t>
        </is>
      </c>
      <c r="C1164" s="34" t="inlineStr">
        <is>
          <t>New</t>
        </is>
      </c>
      <c r="D1164" s="34" t="inlineStr">
        <is>
          <t>Record first supplied in this revision</t>
        </is>
      </c>
      <c r="E1164" s="39" t="inlineStr"/>
      <c r="F1164" s="100" t="inlineStr">
        <is>
          <t>10 EVIDENCE &amp; DECISIONS</t>
        </is>
      </c>
      <c r="G1164" s="41" t="n"/>
    </row>
    <row r="1165" ht="79" customHeight="1">
      <c r="A1165" s="34" t="inlineStr">
        <is>
          <t>R594-v1</t>
        </is>
      </c>
      <c r="B1165" s="34" t="inlineStr">
        <is>
          <t>SCH-04-054</t>
        </is>
      </c>
      <c r="C1165" s="34" t="inlineStr">
        <is>
          <t>New</t>
        </is>
      </c>
      <c r="D1165" s="34" t="inlineStr">
        <is>
          <t>Record first supplied in this revision</t>
        </is>
      </c>
      <c r="E1165" s="39" t="inlineStr"/>
      <c r="F1165" s="100" t="inlineStr">
        <is>
          <t>10 EVIDENCE &amp; DECISIONS</t>
        </is>
      </c>
      <c r="G1165" s="41" t="n"/>
    </row>
    <row r="1166" ht="79" customHeight="1">
      <c r="A1166" s="34" t="inlineStr">
        <is>
          <t>R595-v1</t>
        </is>
      </c>
      <c r="B1166" s="34" t="inlineStr">
        <is>
          <t>SCH-04-055</t>
        </is>
      </c>
      <c r="C1166" s="34" t="inlineStr">
        <is>
          <t>New</t>
        </is>
      </c>
      <c r="D1166" s="34" t="inlineStr">
        <is>
          <t>Record first supplied in this revision</t>
        </is>
      </c>
      <c r="E1166" s="39" t="inlineStr"/>
      <c r="F1166" s="100" t="inlineStr">
        <is>
          <t>10 EVIDENCE &amp; DECISIONS</t>
        </is>
      </c>
      <c r="G1166" s="41" t="n"/>
    </row>
    <row r="1167" ht="79" customHeight="1">
      <c r="A1167" s="34" t="inlineStr">
        <is>
          <t>R596-v1</t>
        </is>
      </c>
      <c r="B1167" s="34" t="inlineStr">
        <is>
          <t>SCH-04-056</t>
        </is>
      </c>
      <c r="C1167" s="34" t="inlineStr">
        <is>
          <t>New</t>
        </is>
      </c>
      <c r="D1167" s="34" t="inlineStr">
        <is>
          <t>Record first supplied in this revision</t>
        </is>
      </c>
      <c r="E1167" s="39" t="inlineStr"/>
      <c r="F1167" s="100" t="inlineStr">
        <is>
          <t>10 EVIDENCE &amp; DECISIONS</t>
        </is>
      </c>
      <c r="G1167" s="41" t="n"/>
    </row>
    <row r="1168" ht="79" customHeight="1">
      <c r="A1168" s="34" t="inlineStr">
        <is>
          <t>R597-v1</t>
        </is>
      </c>
      <c r="B1168" s="34" t="inlineStr">
        <is>
          <t>SCH-04-057</t>
        </is>
      </c>
      <c r="C1168" s="34" t="inlineStr">
        <is>
          <t>New</t>
        </is>
      </c>
      <c r="D1168" s="34" t="inlineStr">
        <is>
          <t>Record first supplied in this revision</t>
        </is>
      </c>
      <c r="E1168" s="39" t="inlineStr"/>
      <c r="F1168" s="100" t="inlineStr">
        <is>
          <t>10 EVIDENCE &amp; DECISIONS</t>
        </is>
      </c>
      <c r="G1168" s="41" t="n"/>
    </row>
    <row r="1169" ht="79" customHeight="1">
      <c r="A1169" s="34" t="inlineStr">
        <is>
          <t>R598-v1</t>
        </is>
      </c>
      <c r="B1169" s="34" t="inlineStr">
        <is>
          <t>SCH-04-058</t>
        </is>
      </c>
      <c r="C1169" s="34" t="inlineStr">
        <is>
          <t>New</t>
        </is>
      </c>
      <c r="D1169" s="34" t="inlineStr">
        <is>
          <t>Record first supplied in this revision</t>
        </is>
      </c>
      <c r="E1169" s="39" t="inlineStr"/>
      <c r="F1169" s="100" t="inlineStr">
        <is>
          <t>10 EVIDENCE &amp; DECISIONS</t>
        </is>
      </c>
      <c r="G1169" s="41" t="n"/>
    </row>
    <row r="1170" ht="79" customHeight="1">
      <c r="A1170" s="34" t="inlineStr">
        <is>
          <t>R599-v1</t>
        </is>
      </c>
      <c r="B1170" s="34" t="inlineStr">
        <is>
          <t>SCH-04-059</t>
        </is>
      </c>
      <c r="C1170" s="34" t="inlineStr">
        <is>
          <t>New</t>
        </is>
      </c>
      <c r="D1170" s="34" t="inlineStr">
        <is>
          <t>Record first supplied in this revision</t>
        </is>
      </c>
      <c r="E1170" s="39" t="inlineStr"/>
      <c r="F1170" s="100" t="inlineStr">
        <is>
          <t>10 EVIDENCE &amp; DECISIONS</t>
        </is>
      </c>
      <c r="G1170" s="41" t="n"/>
    </row>
    <row r="1171" ht="79" customHeight="1">
      <c r="A1171" s="34" t="inlineStr">
        <is>
          <t>R600-v1</t>
        </is>
      </c>
      <c r="B1171" s="34" t="inlineStr">
        <is>
          <t>SCH-04-060</t>
        </is>
      </c>
      <c r="C1171" s="34" t="inlineStr">
        <is>
          <t>New</t>
        </is>
      </c>
      <c r="D1171" s="34" t="inlineStr">
        <is>
          <t>Record first supplied in this revision</t>
        </is>
      </c>
      <c r="E1171" s="39" t="inlineStr"/>
      <c r="F1171" s="100" t="inlineStr">
        <is>
          <t>10 EVIDENCE &amp; DECISIONS</t>
        </is>
      </c>
      <c r="G1171" s="41" t="n"/>
    </row>
    <row r="1172" ht="79" customHeight="1">
      <c r="A1172" s="34" t="inlineStr">
        <is>
          <t>R601-v1</t>
        </is>
      </c>
      <c r="B1172" s="34" t="inlineStr">
        <is>
          <t>SCH-04-061</t>
        </is>
      </c>
      <c r="C1172" s="34" t="inlineStr">
        <is>
          <t>New</t>
        </is>
      </c>
      <c r="D1172" s="34" t="inlineStr">
        <is>
          <t>Record first supplied in this revision</t>
        </is>
      </c>
      <c r="E1172" s="39" t="inlineStr"/>
      <c r="F1172" s="100" t="inlineStr">
        <is>
          <t>10 EVIDENCE &amp; DECISIONS</t>
        </is>
      </c>
      <c r="G1172" s="41" t="n"/>
    </row>
    <row r="1173" ht="79" customHeight="1">
      <c r="A1173" s="34" t="inlineStr">
        <is>
          <t>R602-v1</t>
        </is>
      </c>
      <c r="B1173" s="34" t="inlineStr">
        <is>
          <t>SCH-04-062</t>
        </is>
      </c>
      <c r="C1173" s="34" t="inlineStr">
        <is>
          <t>New</t>
        </is>
      </c>
      <c r="D1173" s="34" t="inlineStr">
        <is>
          <t>Record first supplied in this revision</t>
        </is>
      </c>
      <c r="E1173" s="39" t="inlineStr"/>
      <c r="F1173" s="100" t="inlineStr">
        <is>
          <t>10 EVIDENCE &amp; DECISIONS</t>
        </is>
      </c>
      <c r="G1173" s="41" t="n"/>
    </row>
    <row r="1174" ht="79" customHeight="1">
      <c r="A1174" s="34" t="inlineStr">
        <is>
          <t>R603-v1</t>
        </is>
      </c>
      <c r="B1174" s="34" t="inlineStr">
        <is>
          <t>SCH-04-063</t>
        </is>
      </c>
      <c r="C1174" s="34" t="inlineStr">
        <is>
          <t>New</t>
        </is>
      </c>
      <c r="D1174" s="34" t="inlineStr">
        <is>
          <t>Record first supplied in this revision</t>
        </is>
      </c>
      <c r="E1174" s="39" t="inlineStr"/>
      <c r="F1174" s="100" t="inlineStr">
        <is>
          <t>10 EVIDENCE &amp; DECISIONS</t>
        </is>
      </c>
      <c r="G1174" s="41" t="n"/>
    </row>
    <row r="1175" ht="79" customHeight="1">
      <c r="A1175" s="34" t="inlineStr">
        <is>
          <t>R604-v1</t>
        </is>
      </c>
      <c r="B1175" s="34" t="inlineStr">
        <is>
          <t>SCH-04-064</t>
        </is>
      </c>
      <c r="C1175" s="34" t="inlineStr">
        <is>
          <t>New</t>
        </is>
      </c>
      <c r="D1175" s="34" t="inlineStr">
        <is>
          <t>Record first supplied in this revision</t>
        </is>
      </c>
      <c r="E1175" s="39" t="inlineStr"/>
      <c r="F1175" s="100" t="inlineStr">
        <is>
          <t>10 EVIDENCE &amp; DECISIONS</t>
        </is>
      </c>
      <c r="G1175" s="41" t="n"/>
    </row>
    <row r="1176" ht="79" customHeight="1">
      <c r="A1176" s="34" t="inlineStr">
        <is>
          <t>R605-v1</t>
        </is>
      </c>
      <c r="B1176" s="34" t="inlineStr">
        <is>
          <t>SCH-04-065</t>
        </is>
      </c>
      <c r="C1176" s="34" t="inlineStr">
        <is>
          <t>New</t>
        </is>
      </c>
      <c r="D1176" s="34" t="inlineStr">
        <is>
          <t>Record first supplied in this revision</t>
        </is>
      </c>
      <c r="E1176" s="39" t="inlineStr"/>
      <c r="F1176" s="100" t="inlineStr">
        <is>
          <t>10 EVIDENCE &amp; DECISIONS</t>
        </is>
      </c>
      <c r="G1176" s="41" t="n"/>
    </row>
    <row r="1177" ht="79" customHeight="1">
      <c r="A1177" s="34" t="inlineStr">
        <is>
          <t>R606-v1</t>
        </is>
      </c>
      <c r="B1177" s="34" t="inlineStr">
        <is>
          <t>SCH-04-066</t>
        </is>
      </c>
      <c r="C1177" s="34" t="inlineStr">
        <is>
          <t>New</t>
        </is>
      </c>
      <c r="D1177" s="34" t="inlineStr">
        <is>
          <t>Record first supplied in this revision</t>
        </is>
      </c>
      <c r="E1177" s="39" t="inlineStr"/>
      <c r="F1177" s="100" t="inlineStr">
        <is>
          <t>10 EVIDENCE &amp; DECISIONS</t>
        </is>
      </c>
      <c r="G1177" s="41" t="n"/>
    </row>
    <row r="1178" ht="79" customHeight="1">
      <c r="A1178" s="34" t="inlineStr">
        <is>
          <t>R607-v1</t>
        </is>
      </c>
      <c r="B1178" s="34" t="inlineStr">
        <is>
          <t>SCH-04-067</t>
        </is>
      </c>
      <c r="C1178" s="34" t="inlineStr">
        <is>
          <t>New</t>
        </is>
      </c>
      <c r="D1178" s="34" t="inlineStr">
        <is>
          <t>Record first supplied in this revision</t>
        </is>
      </c>
      <c r="E1178" s="39" t="inlineStr"/>
      <c r="F1178" s="100" t="inlineStr">
        <is>
          <t>10 EVIDENCE &amp; DECISIONS</t>
        </is>
      </c>
      <c r="G1178" s="41" t="n"/>
    </row>
    <row r="1179" ht="79" customHeight="1">
      <c r="A1179" s="34" t="inlineStr">
        <is>
          <t>R608-v1</t>
        </is>
      </c>
      <c r="B1179" s="34" t="inlineStr">
        <is>
          <t>SCH-04-068</t>
        </is>
      </c>
      <c r="C1179" s="34" t="inlineStr">
        <is>
          <t>New</t>
        </is>
      </c>
      <c r="D1179" s="34" t="inlineStr">
        <is>
          <t>Record first supplied in this revision</t>
        </is>
      </c>
      <c r="E1179" s="39" t="inlineStr"/>
      <c r="F1179" s="100" t="inlineStr">
        <is>
          <t>10 EVIDENCE &amp; DECISIONS</t>
        </is>
      </c>
      <c r="G1179" s="41" t="n"/>
    </row>
    <row r="1180" ht="79" customHeight="1">
      <c r="A1180" s="34" t="inlineStr">
        <is>
          <t>R609-v1</t>
        </is>
      </c>
      <c r="B1180" s="34" t="inlineStr">
        <is>
          <t>SCH-04-069</t>
        </is>
      </c>
      <c r="C1180" s="34" t="inlineStr">
        <is>
          <t>New</t>
        </is>
      </c>
      <c r="D1180" s="34" t="inlineStr">
        <is>
          <t>Record first supplied in this revision</t>
        </is>
      </c>
      <c r="E1180" s="39" t="inlineStr"/>
      <c r="F1180" s="100" t="inlineStr">
        <is>
          <t>10 EVIDENCE &amp; DECISIONS</t>
        </is>
      </c>
      <c r="G1180" s="41" t="n"/>
    </row>
    <row r="1181" ht="79" customHeight="1">
      <c r="A1181" s="34" t="inlineStr">
        <is>
          <t>R610-v1</t>
        </is>
      </c>
      <c r="B1181" s="34" t="inlineStr">
        <is>
          <t>SCH-04-070</t>
        </is>
      </c>
      <c r="C1181" s="34" t="inlineStr">
        <is>
          <t>New</t>
        </is>
      </c>
      <c r="D1181" s="34" t="inlineStr">
        <is>
          <t>Record first supplied in this revision</t>
        </is>
      </c>
      <c r="E1181" s="39" t="inlineStr"/>
      <c r="F1181" s="100" t="inlineStr">
        <is>
          <t>10 EVIDENCE &amp; DECISIONS</t>
        </is>
      </c>
      <c r="G1181" s="41" t="n"/>
    </row>
    <row r="1182" ht="79" customHeight="1">
      <c r="A1182" s="34" t="inlineStr">
        <is>
          <t>R611-v1</t>
        </is>
      </c>
      <c r="B1182" s="34" t="inlineStr">
        <is>
          <t>SCH-04-071</t>
        </is>
      </c>
      <c r="C1182" s="34" t="inlineStr">
        <is>
          <t>New</t>
        </is>
      </c>
      <c r="D1182" s="34" t="inlineStr">
        <is>
          <t>Record first supplied in this revision</t>
        </is>
      </c>
      <c r="E1182" s="39" t="inlineStr"/>
      <c r="F1182" s="100" t="inlineStr">
        <is>
          <t>10 EVIDENCE &amp; DECISIONS</t>
        </is>
      </c>
      <c r="G1182" s="41" t="n"/>
    </row>
    <row r="1183" ht="79" customHeight="1">
      <c r="A1183" s="34" t="inlineStr">
        <is>
          <t>R612-v1</t>
        </is>
      </c>
      <c r="B1183" s="34" t="inlineStr">
        <is>
          <t>SCH-04-072</t>
        </is>
      </c>
      <c r="C1183" s="34" t="inlineStr">
        <is>
          <t>New</t>
        </is>
      </c>
      <c r="D1183" s="34" t="inlineStr">
        <is>
          <t>Record first supplied in this revision</t>
        </is>
      </c>
      <c r="E1183" s="39" t="inlineStr"/>
      <c r="F1183" s="100" t="inlineStr">
        <is>
          <t>10 EVIDENCE &amp; DECISIONS</t>
        </is>
      </c>
      <c r="G1183" s="41" t="n"/>
    </row>
    <row r="1184" ht="79" customHeight="1">
      <c r="A1184" s="34" t="inlineStr">
        <is>
          <t>R613-v1</t>
        </is>
      </c>
      <c r="B1184" s="34" t="inlineStr">
        <is>
          <t>SCH-04-073</t>
        </is>
      </c>
      <c r="C1184" s="34" t="inlineStr">
        <is>
          <t>New</t>
        </is>
      </c>
      <c r="D1184" s="34" t="inlineStr">
        <is>
          <t>Record first supplied in this revision</t>
        </is>
      </c>
      <c r="E1184" s="39" t="inlineStr"/>
      <c r="F1184" s="100" t="inlineStr">
        <is>
          <t>10 EVIDENCE &amp; DECISIONS</t>
        </is>
      </c>
      <c r="G1184" s="41" t="n"/>
    </row>
    <row r="1185" ht="79" customHeight="1">
      <c r="A1185" s="34" t="inlineStr">
        <is>
          <t>R614-v1</t>
        </is>
      </c>
      <c r="B1185" s="34" t="inlineStr">
        <is>
          <t>SCH-04-074</t>
        </is>
      </c>
      <c r="C1185" s="34" t="inlineStr">
        <is>
          <t>New</t>
        </is>
      </c>
      <c r="D1185" s="34" t="inlineStr">
        <is>
          <t>Record first supplied in this revision</t>
        </is>
      </c>
      <c r="E1185" s="39" t="inlineStr"/>
      <c r="F1185" s="100" t="inlineStr">
        <is>
          <t>10 EVIDENCE &amp; DECISIONS</t>
        </is>
      </c>
      <c r="G1185" s="41" t="n"/>
    </row>
    <row r="1186" ht="79" customHeight="1">
      <c r="A1186" s="34" t="inlineStr">
        <is>
          <t>R615-v1</t>
        </is>
      </c>
      <c r="B1186" s="34" t="inlineStr">
        <is>
          <t>SCH-04-075</t>
        </is>
      </c>
      <c r="C1186" s="34" t="inlineStr">
        <is>
          <t>New</t>
        </is>
      </c>
      <c r="D1186" s="34" t="inlineStr">
        <is>
          <t>Record first supplied in this revision</t>
        </is>
      </c>
      <c r="E1186" s="39" t="inlineStr"/>
      <c r="F1186" s="100" t="inlineStr">
        <is>
          <t>10 EVIDENCE &amp; DECISIONS</t>
        </is>
      </c>
      <c r="G1186" s="41" t="n"/>
    </row>
    <row r="1187" ht="79" customHeight="1">
      <c r="A1187" s="34" t="inlineStr">
        <is>
          <t>R616-v1</t>
        </is>
      </c>
      <c r="B1187" s="34" t="inlineStr">
        <is>
          <t>SCH-04-076</t>
        </is>
      </c>
      <c r="C1187" s="34" t="inlineStr">
        <is>
          <t>New</t>
        </is>
      </c>
      <c r="D1187" s="34" t="inlineStr">
        <is>
          <t>Record first supplied in this revision</t>
        </is>
      </c>
      <c r="E1187" s="39" t="inlineStr"/>
      <c r="F1187" s="100" t="inlineStr">
        <is>
          <t>10 EVIDENCE &amp; DECISIONS</t>
        </is>
      </c>
      <c r="G1187" s="41" t="n"/>
    </row>
    <row r="1188" ht="79" customHeight="1">
      <c r="A1188" s="34" t="inlineStr">
        <is>
          <t>R617-v1</t>
        </is>
      </c>
      <c r="B1188" s="34" t="inlineStr">
        <is>
          <t>SCH-04-077</t>
        </is>
      </c>
      <c r="C1188" s="34" t="inlineStr">
        <is>
          <t>New</t>
        </is>
      </c>
      <c r="D1188" s="34" t="inlineStr">
        <is>
          <t>Record first supplied in this revision</t>
        </is>
      </c>
      <c r="E1188" s="39" t="inlineStr"/>
      <c r="F1188" s="100" t="inlineStr">
        <is>
          <t>10 EVIDENCE &amp; DECISIONS</t>
        </is>
      </c>
      <c r="G1188" s="41" t="n"/>
    </row>
    <row r="1189" ht="79" customHeight="1">
      <c r="A1189" s="34" t="inlineStr">
        <is>
          <t>R618-v1</t>
        </is>
      </c>
      <c r="B1189" s="34" t="inlineStr">
        <is>
          <t>SCH-04-078</t>
        </is>
      </c>
      <c r="C1189" s="34" t="inlineStr">
        <is>
          <t>New</t>
        </is>
      </c>
      <c r="D1189" s="34" t="inlineStr">
        <is>
          <t>Record first supplied in this revision</t>
        </is>
      </c>
      <c r="E1189" s="39" t="inlineStr"/>
      <c r="F1189" s="100" t="inlineStr">
        <is>
          <t>10 EVIDENCE &amp; DECISIONS</t>
        </is>
      </c>
      <c r="G1189" s="41" t="n"/>
    </row>
    <row r="1190" ht="79" customHeight="1">
      <c r="A1190" s="34" t="inlineStr">
        <is>
          <t>R619-v1</t>
        </is>
      </c>
      <c r="B1190" s="34" t="inlineStr">
        <is>
          <t>SCH-04-079</t>
        </is>
      </c>
      <c r="C1190" s="34" t="inlineStr">
        <is>
          <t>New</t>
        </is>
      </c>
      <c r="D1190" s="34" t="inlineStr">
        <is>
          <t>Record first supplied in this revision</t>
        </is>
      </c>
      <c r="E1190" s="39" t="inlineStr"/>
      <c r="F1190" s="100" t="inlineStr">
        <is>
          <t>10 EVIDENCE &amp; DECISIONS</t>
        </is>
      </c>
      <c r="G1190" s="41" t="n"/>
    </row>
    <row r="1191" ht="79" customHeight="1">
      <c r="A1191" s="34" t="inlineStr">
        <is>
          <t>R620-v1</t>
        </is>
      </c>
      <c r="B1191" s="34" t="inlineStr">
        <is>
          <t>SCH-04-080</t>
        </is>
      </c>
      <c r="C1191" s="34" t="inlineStr">
        <is>
          <t>New</t>
        </is>
      </c>
      <c r="D1191" s="34" t="inlineStr">
        <is>
          <t>Record first supplied in this revision</t>
        </is>
      </c>
      <c r="E1191" s="39" t="inlineStr"/>
      <c r="F1191" s="100" t="inlineStr">
        <is>
          <t>10 EVIDENCE &amp; DECISIONS</t>
        </is>
      </c>
      <c r="G1191" s="41" t="n"/>
    </row>
    <row r="1192" ht="79" customHeight="1">
      <c r="A1192" s="34" t="inlineStr">
        <is>
          <t>R621-v1</t>
        </is>
      </c>
      <c r="B1192" s="34" t="inlineStr">
        <is>
          <t>SCH-04-081</t>
        </is>
      </c>
      <c r="C1192" s="34" t="inlineStr">
        <is>
          <t>New</t>
        </is>
      </c>
      <c r="D1192" s="34" t="inlineStr">
        <is>
          <t>Record first supplied in this revision</t>
        </is>
      </c>
      <c r="E1192" s="39" t="inlineStr"/>
      <c r="F1192" s="100" t="inlineStr">
        <is>
          <t>10 EVIDENCE &amp; DECISIONS</t>
        </is>
      </c>
      <c r="G1192" s="41" t="n"/>
    </row>
    <row r="1193" ht="79" customHeight="1">
      <c r="A1193" s="34" t="inlineStr">
        <is>
          <t>R622-v1</t>
        </is>
      </c>
      <c r="B1193" s="34" t="inlineStr">
        <is>
          <t>SCH-04-082</t>
        </is>
      </c>
      <c r="C1193" s="34" t="inlineStr">
        <is>
          <t>New</t>
        </is>
      </c>
      <c r="D1193" s="34" t="inlineStr">
        <is>
          <t>Record first supplied in this revision</t>
        </is>
      </c>
      <c r="E1193" s="39" t="inlineStr"/>
      <c r="F1193" s="100" t="inlineStr">
        <is>
          <t>10 EVIDENCE &amp; DECISIONS</t>
        </is>
      </c>
      <c r="G1193" s="41" t="n"/>
    </row>
    <row r="1194" ht="79" customHeight="1">
      <c r="A1194" s="34" t="inlineStr">
        <is>
          <t>R623-v1</t>
        </is>
      </c>
      <c r="B1194" s="34" t="inlineStr">
        <is>
          <t>SCH-04-083</t>
        </is>
      </c>
      <c r="C1194" s="34" t="inlineStr">
        <is>
          <t>New</t>
        </is>
      </c>
      <c r="D1194" s="34" t="inlineStr">
        <is>
          <t>Record first supplied in this revision</t>
        </is>
      </c>
      <c r="E1194" s="39" t="inlineStr"/>
      <c r="F1194" s="100" t="inlineStr">
        <is>
          <t>10 EVIDENCE &amp; DECISIONS</t>
        </is>
      </c>
      <c r="G1194" s="41" t="n"/>
    </row>
    <row r="1195" ht="79" customHeight="1">
      <c r="A1195" s="34" t="inlineStr">
        <is>
          <t>R624-v1</t>
        </is>
      </c>
      <c r="B1195" s="34" t="inlineStr">
        <is>
          <t>SCH-04-084</t>
        </is>
      </c>
      <c r="C1195" s="34" t="inlineStr">
        <is>
          <t>New</t>
        </is>
      </c>
      <c r="D1195" s="34" t="inlineStr">
        <is>
          <t>Record first supplied in this revision</t>
        </is>
      </c>
      <c r="E1195" s="39" t="inlineStr"/>
      <c r="F1195" s="100" t="inlineStr">
        <is>
          <t>10 EVIDENCE &amp; DECISIONS</t>
        </is>
      </c>
      <c r="G1195" s="41" t="n"/>
    </row>
    <row r="1196" ht="79" customHeight="1">
      <c r="A1196" s="34" t="inlineStr">
        <is>
          <t>R625-v1</t>
        </is>
      </c>
      <c r="B1196" s="34" t="inlineStr">
        <is>
          <t>SCH-04-085</t>
        </is>
      </c>
      <c r="C1196" s="34" t="inlineStr">
        <is>
          <t>New</t>
        </is>
      </c>
      <c r="D1196" s="34" t="inlineStr">
        <is>
          <t>Record first supplied in this revision</t>
        </is>
      </c>
      <c r="E1196" s="39" t="inlineStr"/>
      <c r="F1196" s="100" t="inlineStr">
        <is>
          <t>10 EVIDENCE &amp; DECISIONS</t>
        </is>
      </c>
      <c r="G1196" s="41" t="n"/>
    </row>
    <row r="1197" ht="79" customHeight="1">
      <c r="A1197" s="34" t="inlineStr">
        <is>
          <t>R626-v1</t>
        </is>
      </c>
      <c r="B1197" s="34" t="inlineStr">
        <is>
          <t>SCH-04-086</t>
        </is>
      </c>
      <c r="C1197" s="34" t="inlineStr">
        <is>
          <t>New</t>
        </is>
      </c>
      <c r="D1197" s="34" t="inlineStr">
        <is>
          <t>Record first supplied in this revision</t>
        </is>
      </c>
      <c r="E1197" s="39" t="inlineStr"/>
      <c r="F1197" s="100" t="inlineStr">
        <is>
          <t>10 EVIDENCE &amp; DECISIONS</t>
        </is>
      </c>
      <c r="G1197" s="41" t="n"/>
    </row>
    <row r="1198" ht="79" customHeight="1">
      <c r="A1198" s="34" t="inlineStr">
        <is>
          <t>R627-v1</t>
        </is>
      </c>
      <c r="B1198" s="34" t="inlineStr">
        <is>
          <t>SCH-04-087</t>
        </is>
      </c>
      <c r="C1198" s="34" t="inlineStr">
        <is>
          <t>New</t>
        </is>
      </c>
      <c r="D1198" s="34" t="inlineStr">
        <is>
          <t>Record first supplied in this revision</t>
        </is>
      </c>
      <c r="E1198" s="39" t="inlineStr"/>
      <c r="F1198" s="100" t="inlineStr">
        <is>
          <t>10 EVIDENCE &amp; DECISIONS</t>
        </is>
      </c>
      <c r="G1198" s="41" t="n"/>
    </row>
    <row r="1199" ht="79" customHeight="1">
      <c r="A1199" s="34" t="inlineStr">
        <is>
          <t>R628-v1</t>
        </is>
      </c>
      <c r="B1199" s="34" t="inlineStr">
        <is>
          <t>SCH-04-088</t>
        </is>
      </c>
      <c r="C1199" s="34" t="inlineStr">
        <is>
          <t>New</t>
        </is>
      </c>
      <c r="D1199" s="34" t="inlineStr">
        <is>
          <t>Record first supplied in this revision</t>
        </is>
      </c>
      <c r="E1199" s="39" t="inlineStr"/>
      <c r="F1199" s="100" t="inlineStr">
        <is>
          <t>10 EVIDENCE &amp; DECISIONS</t>
        </is>
      </c>
      <c r="G1199" s="41" t="n"/>
    </row>
    <row r="1200" ht="79" customHeight="1">
      <c r="A1200" s="34" t="inlineStr">
        <is>
          <t>R629-v1</t>
        </is>
      </c>
      <c r="B1200" s="34" t="inlineStr">
        <is>
          <t>SCH-04-089</t>
        </is>
      </c>
      <c r="C1200" s="34" t="inlineStr">
        <is>
          <t>New</t>
        </is>
      </c>
      <c r="D1200" s="34" t="inlineStr">
        <is>
          <t>Record first supplied in this revision</t>
        </is>
      </c>
      <c r="E1200" s="39" t="inlineStr"/>
      <c r="F1200" s="100" t="inlineStr">
        <is>
          <t>10 EVIDENCE &amp; DECISIONS</t>
        </is>
      </c>
      <c r="G1200" s="41" t="n"/>
    </row>
    <row r="1201" ht="79" customHeight="1">
      <c r="A1201" s="34" t="inlineStr">
        <is>
          <t>R630-v1</t>
        </is>
      </c>
      <c r="B1201" s="34" t="inlineStr">
        <is>
          <t>SCH-04-090</t>
        </is>
      </c>
      <c r="C1201" s="34" t="inlineStr">
        <is>
          <t>New</t>
        </is>
      </c>
      <c r="D1201" s="34" t="inlineStr">
        <is>
          <t>Record first supplied in this revision</t>
        </is>
      </c>
      <c r="E1201" s="39" t="inlineStr"/>
      <c r="F1201" s="100" t="inlineStr">
        <is>
          <t>10 EVIDENCE &amp; DECISIONS</t>
        </is>
      </c>
      <c r="G1201" s="41" t="n"/>
    </row>
    <row r="1202" ht="79" customHeight="1">
      <c r="A1202" s="34" t="inlineStr">
        <is>
          <t>R631-v1</t>
        </is>
      </c>
      <c r="B1202" s="34" t="inlineStr">
        <is>
          <t>SCH-04-091</t>
        </is>
      </c>
      <c r="C1202" s="34" t="inlineStr">
        <is>
          <t>New</t>
        </is>
      </c>
      <c r="D1202" s="34" t="inlineStr">
        <is>
          <t>Record first supplied in this revision</t>
        </is>
      </c>
      <c r="E1202" s="39" t="inlineStr"/>
      <c r="F1202" s="100" t="inlineStr">
        <is>
          <t>10 EVIDENCE &amp; DECISIONS</t>
        </is>
      </c>
      <c r="G1202" s="41" t="n"/>
    </row>
    <row r="1203" ht="79" customHeight="1">
      <c r="A1203" s="34" t="inlineStr">
        <is>
          <t>R632-v1</t>
        </is>
      </c>
      <c r="B1203" s="34" t="inlineStr">
        <is>
          <t>SCH-04-092</t>
        </is>
      </c>
      <c r="C1203" s="34" t="inlineStr">
        <is>
          <t>New</t>
        </is>
      </c>
      <c r="D1203" s="34" t="inlineStr">
        <is>
          <t>Record first supplied in this revision</t>
        </is>
      </c>
      <c r="E1203" s="39" t="inlineStr"/>
      <c r="F1203" s="100" t="inlineStr">
        <is>
          <t>10 EVIDENCE &amp; DECISIONS</t>
        </is>
      </c>
      <c r="G1203" s="41" t="n"/>
    </row>
    <row r="1204" ht="79" customHeight="1">
      <c r="A1204" s="34" t="inlineStr">
        <is>
          <t>R633-v1</t>
        </is>
      </c>
      <c r="B1204" s="34" t="inlineStr">
        <is>
          <t>SCH-04-093</t>
        </is>
      </c>
      <c r="C1204" s="34" t="inlineStr">
        <is>
          <t>New</t>
        </is>
      </c>
      <c r="D1204" s="34" t="inlineStr">
        <is>
          <t>Record first supplied in this revision</t>
        </is>
      </c>
      <c r="E1204" s="39" t="inlineStr"/>
      <c r="F1204" s="100" t="inlineStr">
        <is>
          <t>10 EVIDENCE &amp; DECISIONS</t>
        </is>
      </c>
      <c r="G1204" s="41" t="n"/>
    </row>
    <row r="1205" ht="79" customHeight="1">
      <c r="A1205" s="34" t="inlineStr">
        <is>
          <t>R634-v1</t>
        </is>
      </c>
      <c r="B1205" s="34" t="inlineStr">
        <is>
          <t>SCH-04-094</t>
        </is>
      </c>
      <c r="C1205" s="34" t="inlineStr">
        <is>
          <t>New</t>
        </is>
      </c>
      <c r="D1205" s="34" t="inlineStr">
        <is>
          <t>Record first supplied in this revision</t>
        </is>
      </c>
      <c r="E1205" s="39" t="inlineStr"/>
      <c r="F1205" s="100" t="inlineStr">
        <is>
          <t>10 EVIDENCE &amp; DECISIONS</t>
        </is>
      </c>
      <c r="G1205" s="41" t="n"/>
    </row>
    <row r="1206" ht="79" customHeight="1">
      <c r="A1206" s="34" t="inlineStr">
        <is>
          <t>R635-v1</t>
        </is>
      </c>
      <c r="B1206" s="34" t="inlineStr">
        <is>
          <t>SCH-04-095</t>
        </is>
      </c>
      <c r="C1206" s="34" t="inlineStr">
        <is>
          <t>New</t>
        </is>
      </c>
      <c r="D1206" s="34" t="inlineStr">
        <is>
          <t>Record first supplied in this revision</t>
        </is>
      </c>
      <c r="E1206" s="39" t="inlineStr"/>
      <c r="F1206" s="100" t="inlineStr">
        <is>
          <t>10 EVIDENCE &amp; DECISIONS</t>
        </is>
      </c>
      <c r="G1206" s="41" t="n"/>
    </row>
    <row r="1207" ht="79" customHeight="1">
      <c r="A1207" s="34" t="inlineStr">
        <is>
          <t>R636-v1</t>
        </is>
      </c>
      <c r="B1207" s="34" t="inlineStr">
        <is>
          <t>SCH-04-096</t>
        </is>
      </c>
      <c r="C1207" s="34" t="inlineStr">
        <is>
          <t>New</t>
        </is>
      </c>
      <c r="D1207" s="34" t="inlineStr">
        <is>
          <t>Record first supplied in this revision</t>
        </is>
      </c>
      <c r="E1207" s="39" t="inlineStr"/>
      <c r="F1207" s="100" t="inlineStr">
        <is>
          <t>10 EVIDENCE &amp; DECISIONS</t>
        </is>
      </c>
      <c r="G1207" s="41" t="n"/>
    </row>
    <row r="1208" ht="79" customHeight="1">
      <c r="A1208" s="34" t="inlineStr">
        <is>
          <t>R637-v1</t>
        </is>
      </c>
      <c r="B1208" s="34" t="inlineStr">
        <is>
          <t>SCH-04-097</t>
        </is>
      </c>
      <c r="C1208" s="34" t="inlineStr">
        <is>
          <t>New</t>
        </is>
      </c>
      <c r="D1208" s="34" t="inlineStr">
        <is>
          <t>Record first supplied in this revision</t>
        </is>
      </c>
      <c r="E1208" s="39" t="inlineStr"/>
      <c r="F1208" s="100" t="inlineStr">
        <is>
          <t>10 EVIDENCE &amp; DECISIONS</t>
        </is>
      </c>
      <c r="G1208" s="41" t="n"/>
    </row>
    <row r="1209" ht="79" customHeight="1">
      <c r="A1209" s="34" t="inlineStr">
        <is>
          <t>R638-v1</t>
        </is>
      </c>
      <c r="B1209" s="34" t="inlineStr">
        <is>
          <t>SCH-04-098</t>
        </is>
      </c>
      <c r="C1209" s="34" t="inlineStr">
        <is>
          <t>New</t>
        </is>
      </c>
      <c r="D1209" s="34" t="inlineStr">
        <is>
          <t>Record first supplied in this revision</t>
        </is>
      </c>
      <c r="E1209" s="39" t="inlineStr"/>
      <c r="F1209" s="100" t="inlineStr">
        <is>
          <t>10 EVIDENCE &amp; DECISIONS</t>
        </is>
      </c>
      <c r="G1209" s="41" t="n"/>
    </row>
    <row r="1210" ht="79" customHeight="1">
      <c r="A1210" s="34" t="inlineStr">
        <is>
          <t>R639-v1</t>
        </is>
      </c>
      <c r="B1210" s="34" t="inlineStr">
        <is>
          <t>SCH-04-099</t>
        </is>
      </c>
      <c r="C1210" s="34" t="inlineStr">
        <is>
          <t>New</t>
        </is>
      </c>
      <c r="D1210" s="34" t="inlineStr">
        <is>
          <t>Record first supplied in this revision</t>
        </is>
      </c>
      <c r="E1210" s="39" t="inlineStr"/>
      <c r="F1210" s="100" t="inlineStr">
        <is>
          <t>10 EVIDENCE &amp; DECISIONS</t>
        </is>
      </c>
      <c r="G1210" s="41" t="n"/>
    </row>
    <row r="1211" ht="79" customHeight="1">
      <c r="A1211" s="34" t="inlineStr">
        <is>
          <t>R640-v1</t>
        </is>
      </c>
      <c r="B1211" s="34" t="inlineStr">
        <is>
          <t>SCH-04-100</t>
        </is>
      </c>
      <c r="C1211" s="34" t="inlineStr">
        <is>
          <t>New</t>
        </is>
      </c>
      <c r="D1211" s="34" t="inlineStr">
        <is>
          <t>Record first supplied in this revision</t>
        </is>
      </c>
      <c r="E1211" s="39" t="inlineStr"/>
      <c r="F1211" s="100" t="inlineStr">
        <is>
          <t>10 EVIDENCE &amp; DECISIONS</t>
        </is>
      </c>
      <c r="G1211" s="41" t="n"/>
    </row>
    <row r="1212" ht="79" customHeight="1">
      <c r="A1212" s="34" t="inlineStr">
        <is>
          <t>R641-v1</t>
        </is>
      </c>
      <c r="B1212" s="34" t="inlineStr">
        <is>
          <t>SCH-04-101</t>
        </is>
      </c>
      <c r="C1212" s="34" t="inlineStr">
        <is>
          <t>New</t>
        </is>
      </c>
      <c r="D1212" s="34" t="inlineStr">
        <is>
          <t>Record first supplied in this revision</t>
        </is>
      </c>
      <c r="E1212" s="39" t="inlineStr"/>
      <c r="F1212" s="100" t="inlineStr">
        <is>
          <t>10 EVIDENCE &amp; DECISIONS</t>
        </is>
      </c>
      <c r="G1212" s="41" t="n"/>
    </row>
    <row r="1213" ht="79" customHeight="1">
      <c r="A1213" s="34" t="inlineStr">
        <is>
          <t>R642-v1</t>
        </is>
      </c>
      <c r="B1213" s="34" t="inlineStr">
        <is>
          <t>SCH-04-102</t>
        </is>
      </c>
      <c r="C1213" s="34" t="inlineStr">
        <is>
          <t>New</t>
        </is>
      </c>
      <c r="D1213" s="34" t="inlineStr">
        <is>
          <t>Record first supplied in this revision</t>
        </is>
      </c>
      <c r="E1213" s="39" t="inlineStr"/>
      <c r="F1213" s="100" t="inlineStr">
        <is>
          <t>10 EVIDENCE &amp; DECISIONS</t>
        </is>
      </c>
      <c r="G1213" s="41" t="n"/>
    </row>
    <row r="1214" ht="79" customHeight="1">
      <c r="A1214" s="34" t="inlineStr">
        <is>
          <t>R643-v1</t>
        </is>
      </c>
      <c r="B1214" s="34" t="inlineStr">
        <is>
          <t>SCH-04-103</t>
        </is>
      </c>
      <c r="C1214" s="34" t="inlineStr">
        <is>
          <t>New</t>
        </is>
      </c>
      <c r="D1214" s="34" t="inlineStr">
        <is>
          <t>Record first supplied in this revision</t>
        </is>
      </c>
      <c r="E1214" s="39" t="inlineStr"/>
      <c r="F1214" s="100" t="inlineStr">
        <is>
          <t>10 EVIDENCE &amp; DECISIONS</t>
        </is>
      </c>
      <c r="G1214" s="41" t="n"/>
    </row>
    <row r="1215" ht="79" customHeight="1">
      <c r="A1215" s="34" t="inlineStr">
        <is>
          <t>R644-v1</t>
        </is>
      </c>
      <c r="B1215" s="34" t="inlineStr">
        <is>
          <t>SCH-04-104</t>
        </is>
      </c>
      <c r="C1215" s="34" t="inlineStr">
        <is>
          <t>New</t>
        </is>
      </c>
      <c r="D1215" s="34" t="inlineStr">
        <is>
          <t>Record first supplied in this revision</t>
        </is>
      </c>
      <c r="E1215" s="39" t="inlineStr"/>
      <c r="F1215" s="100" t="inlineStr">
        <is>
          <t>10 EVIDENCE &amp; DECISIONS</t>
        </is>
      </c>
      <c r="G1215" s="41" t="n"/>
    </row>
    <row r="1216" ht="79" customHeight="1">
      <c r="A1216" s="34" t="inlineStr">
        <is>
          <t>R645-v1</t>
        </is>
      </c>
      <c r="B1216" s="34" t="inlineStr">
        <is>
          <t>SCH-04-105</t>
        </is>
      </c>
      <c r="C1216" s="34" t="inlineStr">
        <is>
          <t>New</t>
        </is>
      </c>
      <c r="D1216" s="34" t="inlineStr">
        <is>
          <t>Record first supplied in this revision</t>
        </is>
      </c>
      <c r="E1216" s="39" t="inlineStr"/>
      <c r="F1216" s="100" t="inlineStr">
        <is>
          <t>10 EVIDENCE &amp; DECISIONS</t>
        </is>
      </c>
      <c r="G1216" s="41" t="n"/>
    </row>
    <row r="1217" ht="79" customHeight="1">
      <c r="A1217" s="34" t="inlineStr">
        <is>
          <t>R646-v1</t>
        </is>
      </c>
      <c r="B1217" s="34" t="inlineStr">
        <is>
          <t>SCH-04-106</t>
        </is>
      </c>
      <c r="C1217" s="34" t="inlineStr">
        <is>
          <t>New</t>
        </is>
      </c>
      <c r="D1217" s="34" t="inlineStr">
        <is>
          <t>Record first supplied in this revision</t>
        </is>
      </c>
      <c r="E1217" s="39" t="inlineStr"/>
      <c r="F1217" s="100" t="inlineStr">
        <is>
          <t>10 EVIDENCE &amp; DECISIONS</t>
        </is>
      </c>
      <c r="G1217" s="41" t="n"/>
    </row>
    <row r="1218" ht="79" customHeight="1">
      <c r="A1218" s="34" t="inlineStr">
        <is>
          <t>R647-v1</t>
        </is>
      </c>
      <c r="B1218" s="34" t="inlineStr">
        <is>
          <t>SCH-04-107</t>
        </is>
      </c>
      <c r="C1218" s="34" t="inlineStr">
        <is>
          <t>New</t>
        </is>
      </c>
      <c r="D1218" s="34" t="inlineStr">
        <is>
          <t>Record first supplied in this revision</t>
        </is>
      </c>
      <c r="E1218" s="39" t="inlineStr"/>
      <c r="F1218" s="100" t="inlineStr">
        <is>
          <t>10 EVIDENCE &amp; DECISIONS</t>
        </is>
      </c>
      <c r="G1218" s="41" t="n"/>
    </row>
    <row r="1219" ht="79" customHeight="1">
      <c r="A1219" s="34" t="inlineStr">
        <is>
          <t>R648-v1</t>
        </is>
      </c>
      <c r="B1219" s="34" t="inlineStr">
        <is>
          <t>SCH-04-108</t>
        </is>
      </c>
      <c r="C1219" s="34" t="inlineStr">
        <is>
          <t>New</t>
        </is>
      </c>
      <c r="D1219" s="34" t="inlineStr">
        <is>
          <t>Record first supplied in this revision</t>
        </is>
      </c>
      <c r="E1219" s="39" t="inlineStr"/>
      <c r="F1219" s="100" t="inlineStr">
        <is>
          <t>10 EVIDENCE &amp; DECISIONS</t>
        </is>
      </c>
      <c r="G1219" s="41" t="n"/>
    </row>
    <row r="1220" ht="79" customHeight="1">
      <c r="A1220" s="34" t="inlineStr">
        <is>
          <t>R649-v1</t>
        </is>
      </c>
      <c r="B1220" s="34" t="inlineStr">
        <is>
          <t>SCH-04-109</t>
        </is>
      </c>
      <c r="C1220" s="34" t="inlineStr">
        <is>
          <t>New</t>
        </is>
      </c>
      <c r="D1220" s="34" t="inlineStr">
        <is>
          <t>Record first supplied in this revision</t>
        </is>
      </c>
      <c r="E1220" s="39" t="inlineStr"/>
      <c r="F1220" s="100" t="inlineStr">
        <is>
          <t>10 EVIDENCE &amp; DECISIONS</t>
        </is>
      </c>
      <c r="G1220" s="41" t="n"/>
    </row>
    <row r="1221" ht="79" customHeight="1">
      <c r="A1221" s="34" t="inlineStr">
        <is>
          <t>R650-v1</t>
        </is>
      </c>
      <c r="B1221" s="34" t="inlineStr">
        <is>
          <t>SCH-04-110</t>
        </is>
      </c>
      <c r="C1221" s="34" t="inlineStr">
        <is>
          <t>New</t>
        </is>
      </c>
      <c r="D1221" s="34" t="inlineStr">
        <is>
          <t>Record first supplied in this revision</t>
        </is>
      </c>
      <c r="E1221" s="39" t="inlineStr"/>
      <c r="F1221" s="100" t="inlineStr">
        <is>
          <t>10 EVIDENCE &amp; DECISIONS</t>
        </is>
      </c>
      <c r="G1221" s="41" t="n"/>
    </row>
    <row r="1222" ht="79" customHeight="1">
      <c r="A1222" s="34" t="inlineStr">
        <is>
          <t>R651-v1</t>
        </is>
      </c>
      <c r="B1222" s="34" t="inlineStr">
        <is>
          <t>SCH-04-111</t>
        </is>
      </c>
      <c r="C1222" s="34" t="inlineStr">
        <is>
          <t>New</t>
        </is>
      </c>
      <c r="D1222" s="34" t="inlineStr">
        <is>
          <t>Record first supplied in this revision</t>
        </is>
      </c>
      <c r="E1222" s="39" t="inlineStr"/>
      <c r="F1222" s="100" t="inlineStr">
        <is>
          <t>10 EVIDENCE &amp; DECISIONS</t>
        </is>
      </c>
      <c r="G1222" s="41" t="n"/>
    </row>
    <row r="1223" ht="79" customHeight="1">
      <c r="A1223" s="34" t="inlineStr">
        <is>
          <t>R652-v1</t>
        </is>
      </c>
      <c r="B1223" s="34" t="inlineStr">
        <is>
          <t>SCH-04-112</t>
        </is>
      </c>
      <c r="C1223" s="34" t="inlineStr">
        <is>
          <t>New</t>
        </is>
      </c>
      <c r="D1223" s="34" t="inlineStr">
        <is>
          <t>Record first supplied in this revision</t>
        </is>
      </c>
      <c r="E1223" s="39" t="inlineStr"/>
      <c r="F1223" s="100" t="inlineStr">
        <is>
          <t>10 EVIDENCE &amp; DECISIONS</t>
        </is>
      </c>
      <c r="G1223" s="41" t="n"/>
    </row>
    <row r="1224" ht="79" customHeight="1">
      <c r="A1224" s="34" t="inlineStr">
        <is>
          <t>R653-v1</t>
        </is>
      </c>
      <c r="B1224" s="34" t="inlineStr">
        <is>
          <t>SCH-04-113</t>
        </is>
      </c>
      <c r="C1224" s="34" t="inlineStr">
        <is>
          <t>New</t>
        </is>
      </c>
      <c r="D1224" s="34" t="inlineStr">
        <is>
          <t>Record first supplied in this revision</t>
        </is>
      </c>
      <c r="E1224" s="39" t="inlineStr"/>
      <c r="F1224" s="100" t="inlineStr">
        <is>
          <t>10 EVIDENCE &amp; DECISIONS</t>
        </is>
      </c>
      <c r="G1224" s="41" t="n"/>
    </row>
    <row r="1225" ht="79" customHeight="1">
      <c r="A1225" s="34" t="inlineStr">
        <is>
          <t>R654-v1</t>
        </is>
      </c>
      <c r="B1225" s="34" t="inlineStr">
        <is>
          <t>SCH-04-114</t>
        </is>
      </c>
      <c r="C1225" s="34" t="inlineStr">
        <is>
          <t>New</t>
        </is>
      </c>
      <c r="D1225" s="34" t="inlineStr">
        <is>
          <t>Record first supplied in this revision</t>
        </is>
      </c>
      <c r="E1225" s="39" t="inlineStr"/>
      <c r="F1225" s="100" t="inlineStr">
        <is>
          <t>10 EVIDENCE &amp; DECISIONS</t>
        </is>
      </c>
      <c r="G1225" s="41" t="n"/>
    </row>
    <row r="1226" ht="79" customHeight="1">
      <c r="A1226" s="34" t="inlineStr">
        <is>
          <t>R655-v1</t>
        </is>
      </c>
      <c r="B1226" s="34" t="inlineStr">
        <is>
          <t>SCH-04-115</t>
        </is>
      </c>
      <c r="C1226" s="34" t="inlineStr">
        <is>
          <t>New</t>
        </is>
      </c>
      <c r="D1226" s="34" t="inlineStr">
        <is>
          <t>Record first supplied in this revision</t>
        </is>
      </c>
      <c r="E1226" s="39" t="inlineStr"/>
      <c r="F1226" s="100" t="inlineStr">
        <is>
          <t>10 EVIDENCE &amp; DECISIONS</t>
        </is>
      </c>
      <c r="G1226" s="41" t="n"/>
    </row>
    <row r="1227" ht="79" customHeight="1">
      <c r="A1227" s="34" t="inlineStr">
        <is>
          <t>R656-v1</t>
        </is>
      </c>
      <c r="B1227" s="34" t="inlineStr">
        <is>
          <t>SCH-04-116</t>
        </is>
      </c>
      <c r="C1227" s="34" t="inlineStr">
        <is>
          <t>New</t>
        </is>
      </c>
      <c r="D1227" s="34" t="inlineStr">
        <is>
          <t>Record first supplied in this revision</t>
        </is>
      </c>
      <c r="E1227" s="39" t="inlineStr"/>
      <c r="F1227" s="100" t="inlineStr">
        <is>
          <t>10 EVIDENCE &amp; DECISIONS</t>
        </is>
      </c>
      <c r="G1227" s="41" t="n"/>
    </row>
    <row r="1228" ht="79" customHeight="1">
      <c r="A1228" s="34" t="inlineStr">
        <is>
          <t>R657-v1</t>
        </is>
      </c>
      <c r="B1228" s="34" t="inlineStr">
        <is>
          <t>SCH-04-117</t>
        </is>
      </c>
      <c r="C1228" s="34" t="inlineStr">
        <is>
          <t>New</t>
        </is>
      </c>
      <c r="D1228" s="34" t="inlineStr">
        <is>
          <t>Record first supplied in this revision</t>
        </is>
      </c>
      <c r="E1228" s="39" t="inlineStr"/>
      <c r="F1228" s="100" t="inlineStr">
        <is>
          <t>10 EVIDENCE &amp; DECISIONS</t>
        </is>
      </c>
      <c r="G1228" s="41" t="n"/>
    </row>
    <row r="1229" ht="79" customHeight="1">
      <c r="A1229" s="34" t="inlineStr">
        <is>
          <t>R658-v1</t>
        </is>
      </c>
      <c r="B1229" s="34" t="inlineStr">
        <is>
          <t>SCH-04-118</t>
        </is>
      </c>
      <c r="C1229" s="34" t="inlineStr">
        <is>
          <t>New</t>
        </is>
      </c>
      <c r="D1229" s="34" t="inlineStr">
        <is>
          <t>Record first supplied in this revision</t>
        </is>
      </c>
      <c r="E1229" s="39" t="inlineStr"/>
      <c r="F1229" s="100" t="inlineStr">
        <is>
          <t>10 EVIDENCE &amp; DECISIONS</t>
        </is>
      </c>
      <c r="G1229" s="41" t="n"/>
    </row>
    <row r="1230" ht="79" customHeight="1">
      <c r="A1230" s="34" t="inlineStr">
        <is>
          <t>R659-v1</t>
        </is>
      </c>
      <c r="B1230" s="34" t="inlineStr">
        <is>
          <t>SCH-04-119</t>
        </is>
      </c>
      <c r="C1230" s="34" t="inlineStr">
        <is>
          <t>New</t>
        </is>
      </c>
      <c r="D1230" s="34" t="inlineStr">
        <is>
          <t>Record first supplied in this revision</t>
        </is>
      </c>
      <c r="E1230" s="39" t="inlineStr"/>
      <c r="F1230" s="100" t="inlineStr">
        <is>
          <t>10 EVIDENCE &amp; DECISIONS</t>
        </is>
      </c>
      <c r="G1230" s="41" t="n"/>
    </row>
    <row r="1231" ht="79" customHeight="1">
      <c r="A1231" s="34" t="inlineStr">
        <is>
          <t>R660-v1</t>
        </is>
      </c>
      <c r="B1231" s="34" t="inlineStr">
        <is>
          <t>SCH-04-120</t>
        </is>
      </c>
      <c r="C1231" s="34" t="inlineStr">
        <is>
          <t>New</t>
        </is>
      </c>
      <c r="D1231" s="34" t="inlineStr">
        <is>
          <t>Record first supplied in this revision</t>
        </is>
      </c>
      <c r="E1231" s="39" t="inlineStr"/>
      <c r="F1231" s="100" t="inlineStr">
        <is>
          <t>10 EVIDENCE &amp; DECISIONS</t>
        </is>
      </c>
      <c r="G1231" s="41" t="n"/>
    </row>
    <row r="1232" ht="79" customHeight="1">
      <c r="A1232" s="34" t="inlineStr">
        <is>
          <t>R661-v1</t>
        </is>
      </c>
      <c r="B1232" s="34" t="inlineStr">
        <is>
          <t>SCH-04-121</t>
        </is>
      </c>
      <c r="C1232" s="34" t="inlineStr">
        <is>
          <t>New</t>
        </is>
      </c>
      <c r="D1232" s="34" t="inlineStr">
        <is>
          <t>Record first supplied in this revision</t>
        </is>
      </c>
      <c r="E1232" s="39" t="inlineStr"/>
      <c r="F1232" s="100" t="inlineStr">
        <is>
          <t>10 EVIDENCE &amp; DECISIONS</t>
        </is>
      </c>
      <c r="G1232" s="41" t="n"/>
    </row>
    <row r="1233" ht="79" customHeight="1">
      <c r="A1233" s="34" t="inlineStr">
        <is>
          <t>R662-v1</t>
        </is>
      </c>
      <c r="B1233" s="34" t="inlineStr">
        <is>
          <t>SCH-04-122</t>
        </is>
      </c>
      <c r="C1233" s="34" t="inlineStr">
        <is>
          <t>New</t>
        </is>
      </c>
      <c r="D1233" s="34" t="inlineStr">
        <is>
          <t>Record first supplied in this revision</t>
        </is>
      </c>
      <c r="E1233" s="39" t="inlineStr"/>
      <c r="F1233" s="100" t="inlineStr">
        <is>
          <t>10 EVIDENCE &amp; DECISIONS</t>
        </is>
      </c>
      <c r="G1233" s="41" t="n"/>
    </row>
    <row r="1234" ht="79" customHeight="1">
      <c r="A1234" s="34" t="inlineStr">
        <is>
          <t>R663-v1</t>
        </is>
      </c>
      <c r="B1234" s="34" t="inlineStr">
        <is>
          <t>SCH-04-123</t>
        </is>
      </c>
      <c r="C1234" s="34" t="inlineStr">
        <is>
          <t>New</t>
        </is>
      </c>
      <c r="D1234" s="34" t="inlineStr">
        <is>
          <t>Record first supplied in this revision</t>
        </is>
      </c>
      <c r="E1234" s="39" t="inlineStr"/>
      <c r="F1234" s="100" t="inlineStr">
        <is>
          <t>10 EVIDENCE &amp; DECISIONS</t>
        </is>
      </c>
      <c r="G1234" s="41" t="n"/>
    </row>
    <row r="1235" ht="79" customHeight="1">
      <c r="A1235" s="34" t="inlineStr">
        <is>
          <t>R664-v1</t>
        </is>
      </c>
      <c r="B1235" s="34" t="inlineStr">
        <is>
          <t>SCH-04-124</t>
        </is>
      </c>
      <c r="C1235" s="34" t="inlineStr">
        <is>
          <t>New</t>
        </is>
      </c>
      <c r="D1235" s="34" t="inlineStr">
        <is>
          <t>Record first supplied in this revision</t>
        </is>
      </c>
      <c r="E1235" s="39" t="inlineStr"/>
      <c r="F1235" s="100" t="inlineStr">
        <is>
          <t>10 EVIDENCE &amp; DECISIONS</t>
        </is>
      </c>
      <c r="G1235" s="41" t="n"/>
    </row>
    <row r="1236" ht="79" customHeight="1">
      <c r="A1236" s="34" t="inlineStr">
        <is>
          <t>R665-v1</t>
        </is>
      </c>
      <c r="B1236" s="34" t="inlineStr">
        <is>
          <t>SCH-04-125</t>
        </is>
      </c>
      <c r="C1236" s="34" t="inlineStr">
        <is>
          <t>New</t>
        </is>
      </c>
      <c r="D1236" s="34" t="inlineStr">
        <is>
          <t>Record first supplied in this revision</t>
        </is>
      </c>
      <c r="E1236" s="39" t="inlineStr"/>
      <c r="F1236" s="100" t="inlineStr">
        <is>
          <t>10 EVIDENCE &amp; DECISIONS</t>
        </is>
      </c>
      <c r="G1236" s="41" t="n"/>
    </row>
    <row r="1237" ht="79" customHeight="1">
      <c r="A1237" s="34" t="inlineStr">
        <is>
          <t>R666-v1</t>
        </is>
      </c>
      <c r="B1237" s="34" t="inlineStr">
        <is>
          <t>SCH-04-126</t>
        </is>
      </c>
      <c r="C1237" s="34" t="inlineStr">
        <is>
          <t>New</t>
        </is>
      </c>
      <c r="D1237" s="34" t="inlineStr">
        <is>
          <t>Record first supplied in this revision</t>
        </is>
      </c>
      <c r="E1237" s="39" t="inlineStr"/>
      <c r="F1237" s="100" t="inlineStr">
        <is>
          <t>10 EVIDENCE &amp; DECISIONS</t>
        </is>
      </c>
      <c r="G1237" s="41" t="n"/>
    </row>
    <row r="1238" ht="79" customHeight="1">
      <c r="A1238" s="34" t="inlineStr">
        <is>
          <t>R667-v1</t>
        </is>
      </c>
      <c r="B1238" s="34" t="inlineStr">
        <is>
          <t>SCH-04-127</t>
        </is>
      </c>
      <c r="C1238" s="34" t="inlineStr">
        <is>
          <t>New</t>
        </is>
      </c>
      <c r="D1238" s="34" t="inlineStr">
        <is>
          <t>Record first supplied in this revision</t>
        </is>
      </c>
      <c r="E1238" s="39" t="inlineStr"/>
      <c r="F1238" s="100" t="inlineStr">
        <is>
          <t>10 EVIDENCE &amp; DECISIONS</t>
        </is>
      </c>
      <c r="G1238" s="41" t="n"/>
    </row>
    <row r="1239" ht="79" customHeight="1">
      <c r="A1239" s="34" t="inlineStr">
        <is>
          <t>R668-v1</t>
        </is>
      </c>
      <c r="B1239" s="34" t="inlineStr">
        <is>
          <t>SCH-04-128</t>
        </is>
      </c>
      <c r="C1239" s="34" t="inlineStr">
        <is>
          <t>New</t>
        </is>
      </c>
      <c r="D1239" s="34" t="inlineStr">
        <is>
          <t>Record first supplied in this revision</t>
        </is>
      </c>
      <c r="E1239" s="39" t="inlineStr"/>
      <c r="F1239" s="100" t="inlineStr">
        <is>
          <t>10 EVIDENCE &amp; DECISIONS</t>
        </is>
      </c>
      <c r="G1239" s="41" t="n"/>
    </row>
    <row r="1240" ht="79" customHeight="1">
      <c r="A1240" s="34" t="inlineStr">
        <is>
          <t>R669-v1</t>
        </is>
      </c>
      <c r="B1240" s="34" t="inlineStr">
        <is>
          <t>SCH-04-129</t>
        </is>
      </c>
      <c r="C1240" s="34" t="inlineStr">
        <is>
          <t>New</t>
        </is>
      </c>
      <c r="D1240" s="34" t="inlineStr">
        <is>
          <t>Record first supplied in this revision</t>
        </is>
      </c>
      <c r="E1240" s="39" t="inlineStr"/>
      <c r="F1240" s="100" t="inlineStr">
        <is>
          <t>10 EVIDENCE &amp; DECISIONS</t>
        </is>
      </c>
      <c r="G1240" s="41" t="n"/>
    </row>
    <row r="1241" ht="79" customHeight="1">
      <c r="A1241" s="34" t="inlineStr">
        <is>
          <t>R670-v1</t>
        </is>
      </c>
      <c r="B1241" s="34" t="inlineStr">
        <is>
          <t>SCH-04-130</t>
        </is>
      </c>
      <c r="C1241" s="34" t="inlineStr">
        <is>
          <t>New</t>
        </is>
      </c>
      <c r="D1241" s="34" t="inlineStr">
        <is>
          <t>Record first supplied in this revision</t>
        </is>
      </c>
      <c r="E1241" s="39" t="inlineStr"/>
      <c r="F1241" s="100" t="inlineStr">
        <is>
          <t>10 EVIDENCE &amp; DECISIONS</t>
        </is>
      </c>
      <c r="G1241" s="41" t="n"/>
    </row>
    <row r="1242" ht="79" customHeight="1">
      <c r="A1242" s="34" t="inlineStr">
        <is>
          <t>R671-v1</t>
        </is>
      </c>
      <c r="B1242" s="34" t="inlineStr">
        <is>
          <t>SCH-04-131</t>
        </is>
      </c>
      <c r="C1242" s="34" t="inlineStr">
        <is>
          <t>New</t>
        </is>
      </c>
      <c r="D1242" s="34" t="inlineStr">
        <is>
          <t>Record first supplied in this revision</t>
        </is>
      </c>
      <c r="E1242" s="39" t="inlineStr"/>
      <c r="F1242" s="100" t="inlineStr">
        <is>
          <t>10 EVIDENCE &amp; DECISIONS</t>
        </is>
      </c>
      <c r="G1242" s="41" t="n"/>
    </row>
    <row r="1243" ht="79" customHeight="1">
      <c r="A1243" s="34" t="inlineStr">
        <is>
          <t>R672-v1</t>
        </is>
      </c>
      <c r="B1243" s="34" t="inlineStr">
        <is>
          <t>SCH-04-132</t>
        </is>
      </c>
      <c r="C1243" s="34" t="inlineStr">
        <is>
          <t>New</t>
        </is>
      </c>
      <c r="D1243" s="34" t="inlineStr">
        <is>
          <t>Record first supplied in this revision</t>
        </is>
      </c>
      <c r="E1243" s="39" t="inlineStr"/>
      <c r="F1243" s="100" t="inlineStr">
        <is>
          <t>10 EVIDENCE &amp; DECISIONS</t>
        </is>
      </c>
      <c r="G1243" s="41" t="n"/>
    </row>
    <row r="1244" ht="79" customHeight="1">
      <c r="A1244" s="34" t="inlineStr">
        <is>
          <t>R673-v1</t>
        </is>
      </c>
      <c r="B1244" s="34" t="inlineStr">
        <is>
          <t>SCH-04-133</t>
        </is>
      </c>
      <c r="C1244" s="34" t="inlineStr">
        <is>
          <t>New</t>
        </is>
      </c>
      <c r="D1244" s="34" t="inlineStr">
        <is>
          <t>Record first supplied in this revision</t>
        </is>
      </c>
      <c r="E1244" s="39" t="inlineStr"/>
      <c r="F1244" s="100" t="inlineStr">
        <is>
          <t>10 EVIDENCE &amp; DECISIONS</t>
        </is>
      </c>
      <c r="G1244" s="41" t="n"/>
    </row>
    <row r="1245" ht="79" customHeight="1">
      <c r="A1245" s="34" t="inlineStr">
        <is>
          <t>R674-v1</t>
        </is>
      </c>
      <c r="B1245" s="34" t="inlineStr">
        <is>
          <t>SCH-04-134</t>
        </is>
      </c>
      <c r="C1245" s="34" t="inlineStr">
        <is>
          <t>New</t>
        </is>
      </c>
      <c r="D1245" s="34" t="inlineStr">
        <is>
          <t>Record first supplied in this revision</t>
        </is>
      </c>
      <c r="E1245" s="39" t="inlineStr"/>
      <c r="F1245" s="100" t="inlineStr">
        <is>
          <t>10 EVIDENCE &amp; DECISIONS</t>
        </is>
      </c>
      <c r="G1245" s="41" t="n"/>
    </row>
    <row r="1246" ht="79" customHeight="1">
      <c r="A1246" s="34" t="inlineStr">
        <is>
          <t>R675-v1</t>
        </is>
      </c>
      <c r="B1246" s="34" t="inlineStr">
        <is>
          <t>SCH-04-135</t>
        </is>
      </c>
      <c r="C1246" s="34" t="inlineStr">
        <is>
          <t>New</t>
        </is>
      </c>
      <c r="D1246" s="34" t="inlineStr">
        <is>
          <t>Record first supplied in this revision</t>
        </is>
      </c>
      <c r="E1246" s="39" t="inlineStr"/>
      <c r="F1246" s="100" t="inlineStr">
        <is>
          <t>10 EVIDENCE &amp; DECISIONS</t>
        </is>
      </c>
      <c r="G1246" s="41" t="n"/>
    </row>
    <row r="1247" ht="79" customHeight="1">
      <c r="A1247" s="34" t="inlineStr">
        <is>
          <t>R676-v1</t>
        </is>
      </c>
      <c r="B1247" s="34" t="inlineStr">
        <is>
          <t>SCH-04-136</t>
        </is>
      </c>
      <c r="C1247" s="34" t="inlineStr">
        <is>
          <t>New</t>
        </is>
      </c>
      <c r="D1247" s="34" t="inlineStr">
        <is>
          <t>Record first supplied in this revision</t>
        </is>
      </c>
      <c r="E1247" s="39" t="inlineStr"/>
      <c r="F1247" s="100" t="inlineStr">
        <is>
          <t>10 EVIDENCE &amp; DECISIONS</t>
        </is>
      </c>
      <c r="G1247" s="41" t="n"/>
    </row>
    <row r="1248" ht="79" customHeight="1">
      <c r="A1248" s="34" t="inlineStr">
        <is>
          <t>R677-v1</t>
        </is>
      </c>
      <c r="B1248" s="34" t="inlineStr">
        <is>
          <t>SCH-04-137</t>
        </is>
      </c>
      <c r="C1248" s="34" t="inlineStr">
        <is>
          <t>New</t>
        </is>
      </c>
      <c r="D1248" s="34" t="inlineStr">
        <is>
          <t>Record first supplied in this revision</t>
        </is>
      </c>
      <c r="E1248" s="39" t="inlineStr"/>
      <c r="F1248" s="100" t="inlineStr">
        <is>
          <t>10 EVIDENCE &amp; DECISIONS</t>
        </is>
      </c>
      <c r="G1248" s="41" t="n"/>
    </row>
    <row r="1249" ht="79" customHeight="1">
      <c r="A1249" s="34" t="inlineStr">
        <is>
          <t>R678-v1</t>
        </is>
      </c>
      <c r="B1249" s="34" t="inlineStr">
        <is>
          <t>SCH-04-138</t>
        </is>
      </c>
      <c r="C1249" s="34" t="inlineStr">
        <is>
          <t>New</t>
        </is>
      </c>
      <c r="D1249" s="34" t="inlineStr">
        <is>
          <t>Record first supplied in this revision</t>
        </is>
      </c>
      <c r="E1249" s="39" t="inlineStr"/>
      <c r="F1249" s="100" t="inlineStr">
        <is>
          <t>10 EVIDENCE &amp; DECISIONS</t>
        </is>
      </c>
      <c r="G1249" s="41" t="n"/>
    </row>
    <row r="1250" ht="79" customHeight="1">
      <c r="A1250" s="34" t="inlineStr">
        <is>
          <t>R679-v1</t>
        </is>
      </c>
      <c r="B1250" s="34" t="inlineStr">
        <is>
          <t>SCH-04-139</t>
        </is>
      </c>
      <c r="C1250" s="34" t="inlineStr">
        <is>
          <t>New</t>
        </is>
      </c>
      <c r="D1250" s="34" t="inlineStr">
        <is>
          <t>Record first supplied in this revision</t>
        </is>
      </c>
      <c r="E1250" s="39" t="inlineStr"/>
      <c r="F1250" s="100" t="inlineStr">
        <is>
          <t>10 EVIDENCE &amp; DECISIONS</t>
        </is>
      </c>
      <c r="G1250" s="41" t="n"/>
    </row>
    <row r="1251" ht="79" customHeight="1">
      <c r="A1251" s="34" t="inlineStr">
        <is>
          <t>R680-v1</t>
        </is>
      </c>
      <c r="B1251" s="34" t="inlineStr">
        <is>
          <t>SCH-04-140</t>
        </is>
      </c>
      <c r="C1251" s="34" t="inlineStr">
        <is>
          <t>New</t>
        </is>
      </c>
      <c r="D1251" s="34" t="inlineStr">
        <is>
          <t>Record first supplied in this revision</t>
        </is>
      </c>
      <c r="E1251" s="39" t="inlineStr"/>
      <c r="F1251" s="100" t="inlineStr">
        <is>
          <t>10 EVIDENCE &amp; DECISIONS</t>
        </is>
      </c>
      <c r="G1251" s="41" t="n"/>
    </row>
    <row r="1252" ht="79" customHeight="1">
      <c r="A1252" s="34" t="inlineStr">
        <is>
          <t>R681-v1</t>
        </is>
      </c>
      <c r="B1252" s="34" t="inlineStr">
        <is>
          <t>SCH-04-141</t>
        </is>
      </c>
      <c r="C1252" s="34" t="inlineStr">
        <is>
          <t>New</t>
        </is>
      </c>
      <c r="D1252" s="34" t="inlineStr">
        <is>
          <t>Record first supplied in this revision</t>
        </is>
      </c>
      <c r="E1252" s="39" t="inlineStr"/>
      <c r="F1252" s="100" t="inlineStr">
        <is>
          <t>10 EVIDENCE &amp; DECISIONS</t>
        </is>
      </c>
      <c r="G1252" s="41" t="n"/>
    </row>
    <row r="1253" ht="79" customHeight="1">
      <c r="A1253" s="34" t="inlineStr">
        <is>
          <t>R682-v1</t>
        </is>
      </c>
      <c r="B1253" s="34" t="inlineStr">
        <is>
          <t>SCH-04-142</t>
        </is>
      </c>
      <c r="C1253" s="34" t="inlineStr">
        <is>
          <t>New</t>
        </is>
      </c>
      <c r="D1253" s="34" t="inlineStr">
        <is>
          <t>Record first supplied in this revision</t>
        </is>
      </c>
      <c r="E1253" s="39" t="inlineStr"/>
      <c r="F1253" s="100" t="inlineStr">
        <is>
          <t>10 EVIDENCE &amp; DECISIONS</t>
        </is>
      </c>
      <c r="G1253" s="41" t="n"/>
    </row>
    <row r="1254" ht="79" customHeight="1">
      <c r="A1254" s="34" t="inlineStr">
        <is>
          <t>R683-v1</t>
        </is>
      </c>
      <c r="B1254" s="34" t="inlineStr">
        <is>
          <t>SCH-04-143</t>
        </is>
      </c>
      <c r="C1254" s="34" t="inlineStr">
        <is>
          <t>New</t>
        </is>
      </c>
      <c r="D1254" s="34" t="inlineStr">
        <is>
          <t>Record first supplied in this revision</t>
        </is>
      </c>
      <c r="E1254" s="39" t="inlineStr"/>
      <c r="F1254" s="100" t="inlineStr">
        <is>
          <t>10 EVIDENCE &amp; DECISIONS</t>
        </is>
      </c>
      <c r="G1254" s="41" t="n"/>
    </row>
    <row r="1255" ht="79" customHeight="1">
      <c r="A1255" s="34" t="inlineStr">
        <is>
          <t>R684-v1</t>
        </is>
      </c>
      <c r="B1255" s="34" t="inlineStr">
        <is>
          <t>SCH-04-144</t>
        </is>
      </c>
      <c r="C1255" s="34" t="inlineStr">
        <is>
          <t>New</t>
        </is>
      </c>
      <c r="D1255" s="34" t="inlineStr">
        <is>
          <t>Record first supplied in this revision</t>
        </is>
      </c>
      <c r="E1255" s="39" t="inlineStr"/>
      <c r="F1255" s="100" t="inlineStr">
        <is>
          <t>10 EVIDENCE &amp; DECISIONS</t>
        </is>
      </c>
      <c r="G1255" s="41" t="n"/>
    </row>
    <row r="1256" ht="79" customHeight="1">
      <c r="A1256" s="34" t="inlineStr">
        <is>
          <t>R685-v1</t>
        </is>
      </c>
      <c r="B1256" s="34" t="inlineStr">
        <is>
          <t>SCH-04-145</t>
        </is>
      </c>
      <c r="C1256" s="34" t="inlineStr">
        <is>
          <t>New</t>
        </is>
      </c>
      <c r="D1256" s="34" t="inlineStr">
        <is>
          <t>Record first supplied in this revision</t>
        </is>
      </c>
      <c r="E1256" s="39" t="inlineStr"/>
      <c r="F1256" s="100" t="inlineStr">
        <is>
          <t>10 EVIDENCE &amp; DECISIONS</t>
        </is>
      </c>
      <c r="G1256" s="41" t="n"/>
    </row>
    <row r="1257" ht="79" customHeight="1">
      <c r="A1257" s="34" t="inlineStr">
        <is>
          <t>R686-v1</t>
        </is>
      </c>
      <c r="B1257" s="34" t="inlineStr">
        <is>
          <t>SCH-04-146</t>
        </is>
      </c>
      <c r="C1257" s="34" t="inlineStr">
        <is>
          <t>New</t>
        </is>
      </c>
      <c r="D1257" s="34" t="inlineStr">
        <is>
          <t>Record first supplied in this revision</t>
        </is>
      </c>
      <c r="E1257" s="39" t="inlineStr"/>
      <c r="F1257" s="100" t="inlineStr">
        <is>
          <t>10 EVIDENCE &amp; DECISIONS</t>
        </is>
      </c>
      <c r="G1257" s="41" t="n"/>
    </row>
    <row r="1258" ht="79" customHeight="1">
      <c r="A1258" s="34" t="inlineStr">
        <is>
          <t>R687-v1</t>
        </is>
      </c>
      <c r="B1258" s="34" t="inlineStr">
        <is>
          <t>SCH-04-147</t>
        </is>
      </c>
      <c r="C1258" s="34" t="inlineStr">
        <is>
          <t>New</t>
        </is>
      </c>
      <c r="D1258" s="34" t="inlineStr">
        <is>
          <t>Record first supplied in this revision</t>
        </is>
      </c>
      <c r="E1258" s="39" t="inlineStr"/>
      <c r="F1258" s="100" t="inlineStr">
        <is>
          <t>10 EVIDENCE &amp; DECISIONS</t>
        </is>
      </c>
      <c r="G1258" s="41" t="n"/>
    </row>
    <row r="1259" ht="79" customHeight="1">
      <c r="A1259" s="34" t="inlineStr">
        <is>
          <t>R688-v1</t>
        </is>
      </c>
      <c r="B1259" s="34" t="inlineStr">
        <is>
          <t>SCH-04-148</t>
        </is>
      </c>
      <c r="C1259" s="34" t="inlineStr">
        <is>
          <t>New</t>
        </is>
      </c>
      <c r="D1259" s="34" t="inlineStr">
        <is>
          <t>Record first supplied in this revision</t>
        </is>
      </c>
      <c r="E1259" s="39" t="inlineStr"/>
      <c r="F1259" s="100" t="inlineStr">
        <is>
          <t>10 EVIDENCE &amp; DECISIONS</t>
        </is>
      </c>
      <c r="G1259" s="41" t="n"/>
    </row>
    <row r="1260" ht="79" customHeight="1">
      <c r="A1260" s="34" t="inlineStr">
        <is>
          <t>R689-v1</t>
        </is>
      </c>
      <c r="B1260" s="34" t="inlineStr">
        <is>
          <t>SCH-04-149</t>
        </is>
      </c>
      <c r="C1260" s="34" t="inlineStr">
        <is>
          <t>New</t>
        </is>
      </c>
      <c r="D1260" s="34" t="inlineStr">
        <is>
          <t>Record first supplied in this revision</t>
        </is>
      </c>
      <c r="E1260" s="39" t="inlineStr"/>
      <c r="F1260" s="100" t="inlineStr">
        <is>
          <t>10 EVIDENCE &amp; DECISIONS</t>
        </is>
      </c>
      <c r="G1260" s="41" t="n"/>
    </row>
    <row r="1261" ht="79" customHeight="1">
      <c r="A1261" s="34" t="inlineStr">
        <is>
          <t>R690-v1</t>
        </is>
      </c>
      <c r="B1261" s="34" t="inlineStr">
        <is>
          <t>SCH-04-150</t>
        </is>
      </c>
      <c r="C1261" s="34" t="inlineStr">
        <is>
          <t>New</t>
        </is>
      </c>
      <c r="D1261" s="34" t="inlineStr">
        <is>
          <t>Record first supplied in this revision</t>
        </is>
      </c>
      <c r="E1261" s="39" t="inlineStr"/>
      <c r="F1261" s="100" t="inlineStr">
        <is>
          <t>10 EVIDENCE &amp; DECISIONS</t>
        </is>
      </c>
      <c r="G1261" s="41" t="n"/>
    </row>
    <row r="1262" ht="79" customHeight="1">
      <c r="A1262" s="34" t="inlineStr">
        <is>
          <t>R691-v1</t>
        </is>
      </c>
      <c r="B1262" s="34" t="inlineStr">
        <is>
          <t>SCH-04-151</t>
        </is>
      </c>
      <c r="C1262" s="34" t="inlineStr">
        <is>
          <t>New</t>
        </is>
      </c>
      <c r="D1262" s="34" t="inlineStr">
        <is>
          <t>Record first supplied in this revision</t>
        </is>
      </c>
      <c r="E1262" s="39" t="inlineStr"/>
      <c r="F1262" s="100" t="inlineStr">
        <is>
          <t>10 EVIDENCE &amp; DECISIONS</t>
        </is>
      </c>
      <c r="G1262" s="41" t="n"/>
    </row>
    <row r="1263" ht="79" customHeight="1">
      <c r="A1263" s="34" t="inlineStr">
        <is>
          <t>R692-v1</t>
        </is>
      </c>
      <c r="B1263" s="34" t="inlineStr">
        <is>
          <t>SCH-04-152</t>
        </is>
      </c>
      <c r="C1263" s="34" t="inlineStr">
        <is>
          <t>New</t>
        </is>
      </c>
      <c r="D1263" s="34" t="inlineStr">
        <is>
          <t>Record first supplied in this revision</t>
        </is>
      </c>
      <c r="E1263" s="39" t="inlineStr"/>
      <c r="F1263" s="100" t="inlineStr">
        <is>
          <t>10 EVIDENCE &amp; DECISIONS</t>
        </is>
      </c>
      <c r="G1263" s="41" t="n"/>
    </row>
    <row r="1264" ht="79" customHeight="1">
      <c r="A1264" s="34" t="inlineStr">
        <is>
          <t>R693-v1</t>
        </is>
      </c>
      <c r="B1264" s="34" t="inlineStr">
        <is>
          <t>SCH-04-153</t>
        </is>
      </c>
      <c r="C1264" s="34" t="inlineStr">
        <is>
          <t>New</t>
        </is>
      </c>
      <c r="D1264" s="34" t="inlineStr">
        <is>
          <t>Record first supplied in this revision</t>
        </is>
      </c>
      <c r="E1264" s="39" t="inlineStr"/>
      <c r="F1264" s="100" t="inlineStr">
        <is>
          <t>10 EVIDENCE &amp; DECISIONS</t>
        </is>
      </c>
      <c r="G1264" s="41" t="n"/>
    </row>
    <row r="1265" ht="79" customHeight="1">
      <c r="A1265" s="34" t="inlineStr">
        <is>
          <t>R694-v1</t>
        </is>
      </c>
      <c r="B1265" s="34" t="inlineStr">
        <is>
          <t>SCH-04-154</t>
        </is>
      </c>
      <c r="C1265" s="34" t="inlineStr">
        <is>
          <t>New</t>
        </is>
      </c>
      <c r="D1265" s="34" t="inlineStr">
        <is>
          <t>Record first supplied in this revision</t>
        </is>
      </c>
      <c r="E1265" s="39" t="inlineStr"/>
      <c r="F1265" s="100" t="inlineStr">
        <is>
          <t>10 EVIDENCE &amp; DECISIONS</t>
        </is>
      </c>
      <c r="G1265" s="41" t="n"/>
    </row>
    <row r="1266" ht="79" customHeight="1">
      <c r="A1266" s="34" t="inlineStr">
        <is>
          <t>R695-v1</t>
        </is>
      </c>
      <c r="B1266" s="34" t="inlineStr">
        <is>
          <t>SCH-04-155</t>
        </is>
      </c>
      <c r="C1266" s="34" t="inlineStr">
        <is>
          <t>New</t>
        </is>
      </c>
      <c r="D1266" s="34" t="inlineStr">
        <is>
          <t>Record first supplied in this revision</t>
        </is>
      </c>
      <c r="E1266" s="39" t="inlineStr"/>
      <c r="F1266" s="100" t="inlineStr">
        <is>
          <t>10 EVIDENCE &amp; DECISIONS</t>
        </is>
      </c>
      <c r="G1266" s="41" t="n"/>
    </row>
    <row r="1267" ht="79" customHeight="1">
      <c r="A1267" s="34" t="inlineStr">
        <is>
          <t>R696-v1</t>
        </is>
      </c>
      <c r="B1267" s="34" t="inlineStr">
        <is>
          <t>SCH-04-156</t>
        </is>
      </c>
      <c r="C1267" s="34" t="inlineStr">
        <is>
          <t>New</t>
        </is>
      </c>
      <c r="D1267" s="34" t="inlineStr">
        <is>
          <t>Record first supplied in this revision</t>
        </is>
      </c>
      <c r="E1267" s="39" t="inlineStr"/>
      <c r="F1267" s="100" t="inlineStr">
        <is>
          <t>10 EVIDENCE &amp; DECISIONS</t>
        </is>
      </c>
      <c r="G1267" s="41" t="n"/>
    </row>
    <row r="1268" ht="79" customHeight="1">
      <c r="A1268" s="34" t="inlineStr">
        <is>
          <t>R697-v1</t>
        </is>
      </c>
      <c r="B1268" s="34" t="inlineStr">
        <is>
          <t>SCH-04-157</t>
        </is>
      </c>
      <c r="C1268" s="34" t="inlineStr">
        <is>
          <t>New</t>
        </is>
      </c>
      <c r="D1268" s="34" t="inlineStr">
        <is>
          <t>Record first supplied in this revision</t>
        </is>
      </c>
      <c r="E1268" s="39" t="inlineStr"/>
      <c r="F1268" s="100" t="inlineStr">
        <is>
          <t>10 EVIDENCE &amp; DECISIONS</t>
        </is>
      </c>
      <c r="G1268" s="41" t="n"/>
    </row>
    <row r="1269" ht="79" customHeight="1">
      <c r="A1269" s="34" t="inlineStr">
        <is>
          <t>R698-v1</t>
        </is>
      </c>
      <c r="B1269" s="34" t="inlineStr">
        <is>
          <t>SCH-04-158</t>
        </is>
      </c>
      <c r="C1269" s="34" t="inlineStr">
        <is>
          <t>New</t>
        </is>
      </c>
      <c r="D1269" s="34" t="inlineStr">
        <is>
          <t>Record first supplied in this revision</t>
        </is>
      </c>
      <c r="E1269" s="39" t="inlineStr"/>
      <c r="F1269" s="100" t="inlineStr">
        <is>
          <t>10 EVIDENCE &amp; DECISIONS</t>
        </is>
      </c>
      <c r="G1269" s="41" t="n"/>
    </row>
    <row r="1270" ht="79" customHeight="1">
      <c r="A1270" s="34" t="inlineStr">
        <is>
          <t>R699-v1</t>
        </is>
      </c>
      <c r="B1270" s="34" t="inlineStr">
        <is>
          <t>SCH-04-159</t>
        </is>
      </c>
      <c r="C1270" s="34" t="inlineStr">
        <is>
          <t>New</t>
        </is>
      </c>
      <c r="D1270" s="34" t="inlineStr">
        <is>
          <t>Record first supplied in this revision</t>
        </is>
      </c>
      <c r="E1270" s="39" t="inlineStr"/>
      <c r="F1270" s="100" t="inlineStr">
        <is>
          <t>10 EVIDENCE &amp; DECISIONS</t>
        </is>
      </c>
      <c r="G1270" s="41" t="n"/>
    </row>
    <row r="1271" ht="79" customHeight="1">
      <c r="A1271" s="34" t="inlineStr">
        <is>
          <t>R700-v1</t>
        </is>
      </c>
      <c r="B1271" s="34" t="inlineStr">
        <is>
          <t>SCH-04-160</t>
        </is>
      </c>
      <c r="C1271" s="34" t="inlineStr">
        <is>
          <t>New</t>
        </is>
      </c>
      <c r="D1271" s="34" t="inlineStr">
        <is>
          <t>Record first supplied in this revision</t>
        </is>
      </c>
      <c r="E1271" s="39" t="inlineStr"/>
      <c r="F1271" s="100" t="inlineStr">
        <is>
          <t>10 EVIDENCE &amp; DECISIONS</t>
        </is>
      </c>
      <c r="G1271" s="41" t="n"/>
    </row>
    <row r="1272" ht="79" customHeight="1">
      <c r="A1272" s="34" t="inlineStr">
        <is>
          <t>R701-v1</t>
        </is>
      </c>
      <c r="B1272" s="34" t="inlineStr">
        <is>
          <t>SCH-04-161</t>
        </is>
      </c>
      <c r="C1272" s="34" t="inlineStr">
        <is>
          <t>New</t>
        </is>
      </c>
      <c r="D1272" s="34" t="inlineStr">
        <is>
          <t>Record first supplied in this revision</t>
        </is>
      </c>
      <c r="E1272" s="39" t="inlineStr"/>
      <c r="F1272" s="100" t="inlineStr">
        <is>
          <t>10 EVIDENCE &amp; DECISIONS</t>
        </is>
      </c>
      <c r="G1272" s="41" t="n"/>
    </row>
    <row r="1273" ht="79" customHeight="1">
      <c r="A1273" s="34" t="inlineStr">
        <is>
          <t>R702-v1</t>
        </is>
      </c>
      <c r="B1273" s="34" t="inlineStr">
        <is>
          <t>SCH-04-162</t>
        </is>
      </c>
      <c r="C1273" s="34" t="inlineStr">
        <is>
          <t>New</t>
        </is>
      </c>
      <c r="D1273" s="34" t="inlineStr">
        <is>
          <t>Record first supplied in this revision</t>
        </is>
      </c>
      <c r="E1273" s="39" t="inlineStr"/>
      <c r="F1273" s="100" t="inlineStr">
        <is>
          <t>10 EVIDENCE &amp; DECISIONS</t>
        </is>
      </c>
      <c r="G1273" s="41" t="n"/>
    </row>
    <row r="1274" ht="79" customHeight="1">
      <c r="A1274" s="34" t="inlineStr">
        <is>
          <t>R703-v1</t>
        </is>
      </c>
      <c r="B1274" s="34" t="inlineStr">
        <is>
          <t>SCH-04-163</t>
        </is>
      </c>
      <c r="C1274" s="34" t="inlineStr">
        <is>
          <t>New</t>
        </is>
      </c>
      <c r="D1274" s="34" t="inlineStr">
        <is>
          <t>Record first supplied in this revision</t>
        </is>
      </c>
      <c r="E1274" s="39" t="inlineStr"/>
      <c r="F1274" s="100" t="inlineStr">
        <is>
          <t>10 EVIDENCE &amp; DECISIONS</t>
        </is>
      </c>
      <c r="G1274" s="41" t="n"/>
    </row>
    <row r="1275" ht="79" customHeight="1">
      <c r="A1275" s="34" t="inlineStr">
        <is>
          <t>R704-v1</t>
        </is>
      </c>
      <c r="B1275" s="34" t="inlineStr">
        <is>
          <t>SCH-04-164</t>
        </is>
      </c>
      <c r="C1275" s="34" t="inlineStr">
        <is>
          <t>New</t>
        </is>
      </c>
      <c r="D1275" s="34" t="inlineStr">
        <is>
          <t>Record first supplied in this revision</t>
        </is>
      </c>
      <c r="E1275" s="39" t="inlineStr"/>
      <c r="F1275" s="100" t="inlineStr">
        <is>
          <t>10 EVIDENCE &amp; DECISIONS</t>
        </is>
      </c>
      <c r="G1275" s="41" t="n"/>
    </row>
    <row r="1276" ht="79" customHeight="1">
      <c r="A1276" s="34" t="inlineStr">
        <is>
          <t>R705-v1</t>
        </is>
      </c>
      <c r="B1276" s="34" t="inlineStr">
        <is>
          <t>SCH-04-165</t>
        </is>
      </c>
      <c r="C1276" s="34" t="inlineStr">
        <is>
          <t>New</t>
        </is>
      </c>
      <c r="D1276" s="34" t="inlineStr">
        <is>
          <t>Record first supplied in this revision</t>
        </is>
      </c>
      <c r="E1276" s="39" t="inlineStr"/>
      <c r="F1276" s="100" t="inlineStr">
        <is>
          <t>10 EVIDENCE &amp; DECISIONS</t>
        </is>
      </c>
      <c r="G1276" s="41" t="n"/>
    </row>
    <row r="1277" ht="79" customHeight="1">
      <c r="A1277" s="34" t="inlineStr">
        <is>
          <t>R706-v1</t>
        </is>
      </c>
      <c r="B1277" s="34" t="inlineStr">
        <is>
          <t>SCH-04-166</t>
        </is>
      </c>
      <c r="C1277" s="34" t="inlineStr">
        <is>
          <t>New</t>
        </is>
      </c>
      <c r="D1277" s="34" t="inlineStr">
        <is>
          <t>Record first supplied in this revision</t>
        </is>
      </c>
      <c r="E1277" s="39" t="inlineStr"/>
      <c r="F1277" s="100" t="inlineStr">
        <is>
          <t>10 EVIDENCE &amp; DECISIONS</t>
        </is>
      </c>
      <c r="G1277" s="41" t="n"/>
    </row>
    <row r="1278" ht="79" customHeight="1">
      <c r="A1278" s="34" t="inlineStr">
        <is>
          <t>R707-v1</t>
        </is>
      </c>
      <c r="B1278" s="34" t="inlineStr">
        <is>
          <t>SCH-04-167</t>
        </is>
      </c>
      <c r="C1278" s="34" t="inlineStr">
        <is>
          <t>New</t>
        </is>
      </c>
      <c r="D1278" s="34" t="inlineStr">
        <is>
          <t>Record first supplied in this revision</t>
        </is>
      </c>
      <c r="E1278" s="39" t="inlineStr"/>
      <c r="F1278" s="100" t="inlineStr">
        <is>
          <t>10 EVIDENCE &amp; DECISIONS</t>
        </is>
      </c>
      <c r="G1278" s="41" t="n"/>
    </row>
    <row r="1279" ht="79" customHeight="1">
      <c r="A1279" s="34" t="inlineStr">
        <is>
          <t>R708-v1</t>
        </is>
      </c>
      <c r="B1279" s="34" t="inlineStr">
        <is>
          <t>SCH-04-168</t>
        </is>
      </c>
      <c r="C1279" s="34" t="inlineStr">
        <is>
          <t>New</t>
        </is>
      </c>
      <c r="D1279" s="34" t="inlineStr">
        <is>
          <t>Record first supplied in this revision</t>
        </is>
      </c>
      <c r="E1279" s="39" t="inlineStr"/>
      <c r="F1279" s="100" t="inlineStr">
        <is>
          <t>10 EVIDENCE &amp; DECISIONS</t>
        </is>
      </c>
      <c r="G1279" s="41" t="n"/>
    </row>
    <row r="1280" ht="79" customHeight="1">
      <c r="A1280" s="34" t="inlineStr">
        <is>
          <t>R709-v1</t>
        </is>
      </c>
      <c r="B1280" s="34" t="inlineStr">
        <is>
          <t>SCH-04-169</t>
        </is>
      </c>
      <c r="C1280" s="34" t="inlineStr">
        <is>
          <t>New</t>
        </is>
      </c>
      <c r="D1280" s="34" t="inlineStr">
        <is>
          <t>Record first supplied in this revision</t>
        </is>
      </c>
      <c r="E1280" s="39" t="inlineStr"/>
      <c r="F1280" s="100" t="inlineStr">
        <is>
          <t>10 EVIDENCE &amp; DECISIONS</t>
        </is>
      </c>
      <c r="G1280" s="41" t="n"/>
    </row>
    <row r="1281" ht="79" customHeight="1">
      <c r="A1281" s="34" t="inlineStr">
        <is>
          <t>R710-v1</t>
        </is>
      </c>
      <c r="B1281" s="34" t="inlineStr">
        <is>
          <t>SCH-04-170</t>
        </is>
      </c>
      <c r="C1281" s="34" t="inlineStr">
        <is>
          <t>New</t>
        </is>
      </c>
      <c r="D1281" s="34" t="inlineStr">
        <is>
          <t>Record first supplied in this revision</t>
        </is>
      </c>
      <c r="E1281" s="39" t="inlineStr"/>
      <c r="F1281" s="100" t="inlineStr">
        <is>
          <t>10 EVIDENCE &amp; DECISIONS</t>
        </is>
      </c>
      <c r="G1281" s="41" t="n"/>
    </row>
    <row r="1282" ht="79" customHeight="1">
      <c r="A1282" s="34" t="inlineStr">
        <is>
          <t>R711-v1</t>
        </is>
      </c>
      <c r="B1282" s="34" t="inlineStr">
        <is>
          <t>SCH-04-171</t>
        </is>
      </c>
      <c r="C1282" s="34" t="inlineStr">
        <is>
          <t>New</t>
        </is>
      </c>
      <c r="D1282" s="34" t="inlineStr">
        <is>
          <t>Record first supplied in this revision</t>
        </is>
      </c>
      <c r="E1282" s="39" t="inlineStr"/>
      <c r="F1282" s="100" t="inlineStr">
        <is>
          <t>10 EVIDENCE &amp; DECISIONS</t>
        </is>
      </c>
      <c r="G1282" s="41" t="n"/>
    </row>
    <row r="1283" ht="79" customHeight="1">
      <c r="A1283" s="34" t="inlineStr">
        <is>
          <t>R712-v1</t>
        </is>
      </c>
      <c r="B1283" s="34" t="inlineStr">
        <is>
          <t>SCH-04-172</t>
        </is>
      </c>
      <c r="C1283" s="34" t="inlineStr">
        <is>
          <t>New</t>
        </is>
      </c>
      <c r="D1283" s="34" t="inlineStr">
        <is>
          <t>Record first supplied in this revision</t>
        </is>
      </c>
      <c r="E1283" s="39" t="inlineStr"/>
      <c r="F1283" s="100" t="inlineStr">
        <is>
          <t>10 EVIDENCE &amp; DECISIONS</t>
        </is>
      </c>
      <c r="G1283" s="41" t="n"/>
    </row>
    <row r="1284" ht="79" customHeight="1">
      <c r="A1284" s="34" t="inlineStr">
        <is>
          <t>R713-v1</t>
        </is>
      </c>
      <c r="B1284" s="34" t="inlineStr">
        <is>
          <t>SCH-04-173</t>
        </is>
      </c>
      <c r="C1284" s="34" t="inlineStr">
        <is>
          <t>New</t>
        </is>
      </c>
      <c r="D1284" s="34" t="inlineStr">
        <is>
          <t>Record first supplied in this revision</t>
        </is>
      </c>
      <c r="E1284" s="39" t="inlineStr"/>
      <c r="F1284" s="100" t="inlineStr">
        <is>
          <t>10 EVIDENCE &amp; DECISIONS</t>
        </is>
      </c>
      <c r="G1284" s="41" t="n"/>
    </row>
    <row r="1285" ht="79" customHeight="1">
      <c r="A1285" s="34" t="inlineStr">
        <is>
          <t>R714-v1</t>
        </is>
      </c>
      <c r="B1285" s="34" t="inlineStr">
        <is>
          <t>SCH-04-174</t>
        </is>
      </c>
      <c r="C1285" s="34" t="inlineStr">
        <is>
          <t>New</t>
        </is>
      </c>
      <c r="D1285" s="34" t="inlineStr">
        <is>
          <t>Record first supplied in this revision</t>
        </is>
      </c>
      <c r="E1285" s="39" t="inlineStr"/>
      <c r="F1285" s="100" t="inlineStr">
        <is>
          <t>10 EVIDENCE &amp; DECISIONS</t>
        </is>
      </c>
      <c r="G1285" s="41" t="n"/>
    </row>
    <row r="1286" ht="79" customHeight="1">
      <c r="A1286" s="34" t="inlineStr">
        <is>
          <t>R715-v1</t>
        </is>
      </c>
      <c r="B1286" s="34" t="inlineStr">
        <is>
          <t>SCH-04-175</t>
        </is>
      </c>
      <c r="C1286" s="34" t="inlineStr">
        <is>
          <t>New</t>
        </is>
      </c>
      <c r="D1286" s="34" t="inlineStr">
        <is>
          <t>Record first supplied in this revision</t>
        </is>
      </c>
      <c r="E1286" s="39" t="inlineStr"/>
      <c r="F1286" s="100" t="inlineStr">
        <is>
          <t>10 EVIDENCE &amp; DECISIONS</t>
        </is>
      </c>
      <c r="G1286" s="41" t="n"/>
    </row>
    <row r="1287" ht="79" customHeight="1">
      <c r="A1287" s="34" t="inlineStr">
        <is>
          <t>R716-v1</t>
        </is>
      </c>
      <c r="B1287" s="34" t="inlineStr">
        <is>
          <t>SCH-04-176</t>
        </is>
      </c>
      <c r="C1287" s="34" t="inlineStr">
        <is>
          <t>New</t>
        </is>
      </c>
      <c r="D1287" s="34" t="inlineStr">
        <is>
          <t>Record first supplied in this revision</t>
        </is>
      </c>
      <c r="E1287" s="39" t="inlineStr"/>
      <c r="F1287" s="100" t="inlineStr">
        <is>
          <t>10 EVIDENCE &amp; DECISIONS</t>
        </is>
      </c>
      <c r="G1287" s="41" t="n"/>
    </row>
    <row r="1288" ht="79" customHeight="1">
      <c r="A1288" s="34" t="inlineStr">
        <is>
          <t>R717-v1</t>
        </is>
      </c>
      <c r="B1288" s="34" t="inlineStr">
        <is>
          <t>SCH-04-177</t>
        </is>
      </c>
      <c r="C1288" s="34" t="inlineStr">
        <is>
          <t>New</t>
        </is>
      </c>
      <c r="D1288" s="34" t="inlineStr">
        <is>
          <t>Record first supplied in this revision</t>
        </is>
      </c>
      <c r="E1288" s="39" t="inlineStr"/>
      <c r="F1288" s="100" t="inlineStr">
        <is>
          <t>10 EVIDENCE &amp; DECISIONS</t>
        </is>
      </c>
      <c r="G1288" s="41" t="n"/>
    </row>
    <row r="1289" ht="79" customHeight="1">
      <c r="A1289" s="34" t="inlineStr">
        <is>
          <t>R718-v1</t>
        </is>
      </c>
      <c r="B1289" s="34" t="inlineStr">
        <is>
          <t>SCH-04-178</t>
        </is>
      </c>
      <c r="C1289" s="34" t="inlineStr">
        <is>
          <t>New</t>
        </is>
      </c>
      <c r="D1289" s="34" t="inlineStr">
        <is>
          <t>Record first supplied in this revision</t>
        </is>
      </c>
      <c r="E1289" s="39" t="inlineStr"/>
      <c r="F1289" s="100" t="inlineStr">
        <is>
          <t>10 EVIDENCE &amp; DECISIONS</t>
        </is>
      </c>
      <c r="G1289" s="41" t="n"/>
    </row>
    <row r="1290" ht="79" customHeight="1">
      <c r="A1290" s="34" t="inlineStr">
        <is>
          <t>R719-v1</t>
        </is>
      </c>
      <c r="B1290" s="34" t="inlineStr">
        <is>
          <t>SCH-04-179</t>
        </is>
      </c>
      <c r="C1290" s="34" t="inlineStr">
        <is>
          <t>New</t>
        </is>
      </c>
      <c r="D1290" s="34" t="inlineStr">
        <is>
          <t>Record first supplied in this revision</t>
        </is>
      </c>
      <c r="E1290" s="39" t="inlineStr"/>
      <c r="F1290" s="100" t="inlineStr">
        <is>
          <t>10 EVIDENCE &amp; DECISIONS</t>
        </is>
      </c>
      <c r="G1290" s="41" t="n"/>
    </row>
    <row r="1291" ht="79" customHeight="1">
      <c r="A1291" s="34" t="inlineStr">
        <is>
          <t>R720-v1</t>
        </is>
      </c>
      <c r="B1291" s="34" t="inlineStr">
        <is>
          <t>SCH-04-180</t>
        </is>
      </c>
      <c r="C1291" s="34" t="inlineStr">
        <is>
          <t>New</t>
        </is>
      </c>
      <c r="D1291" s="34" t="inlineStr">
        <is>
          <t>Record first supplied in this revision</t>
        </is>
      </c>
      <c r="E1291" s="39" t="inlineStr"/>
      <c r="F1291" s="100" t="inlineStr">
        <is>
          <t>10 EVIDENCE &amp; DECISIONS</t>
        </is>
      </c>
      <c r="G1291" s="41" t="n"/>
    </row>
    <row r="1292" ht="79" customHeight="1">
      <c r="A1292" s="34" t="inlineStr">
        <is>
          <t>R721-v1</t>
        </is>
      </c>
      <c r="B1292" s="34" t="inlineStr">
        <is>
          <t>SCH-05-001</t>
        </is>
      </c>
      <c r="C1292" s="34" t="inlineStr">
        <is>
          <t>New</t>
        </is>
      </c>
      <c r="D1292" s="34" t="inlineStr">
        <is>
          <t>Record first supplied in this revision</t>
        </is>
      </c>
      <c r="E1292" s="39" t="inlineStr"/>
      <c r="F1292" s="100" t="inlineStr">
        <is>
          <t>10 EVIDENCE &amp; DECISIONS</t>
        </is>
      </c>
      <c r="G1292" s="41" t="n"/>
    </row>
    <row r="1293" ht="79" customHeight="1">
      <c r="A1293" s="34" t="inlineStr">
        <is>
          <t>R722-v1</t>
        </is>
      </c>
      <c r="B1293" s="34" t="inlineStr">
        <is>
          <t>SCH-05-002</t>
        </is>
      </c>
      <c r="C1293" s="34" t="inlineStr">
        <is>
          <t>New</t>
        </is>
      </c>
      <c r="D1293" s="34" t="inlineStr">
        <is>
          <t>Record first supplied in this revision</t>
        </is>
      </c>
      <c r="E1293" s="39" t="inlineStr"/>
      <c r="F1293" s="100" t="inlineStr">
        <is>
          <t>10 EVIDENCE &amp; DECISIONS</t>
        </is>
      </c>
      <c r="G1293" s="41" t="n"/>
    </row>
    <row r="1294" ht="79" customHeight="1">
      <c r="A1294" s="34" t="inlineStr">
        <is>
          <t>R723-v1</t>
        </is>
      </c>
      <c r="B1294" s="34" t="inlineStr">
        <is>
          <t>SCH-05-003</t>
        </is>
      </c>
      <c r="C1294" s="34" t="inlineStr">
        <is>
          <t>New</t>
        </is>
      </c>
      <c r="D1294" s="34" t="inlineStr">
        <is>
          <t>Record first supplied in this revision</t>
        </is>
      </c>
      <c r="E1294" s="39" t="inlineStr"/>
      <c r="F1294" s="100" t="inlineStr">
        <is>
          <t>10 EVIDENCE &amp; DECISIONS</t>
        </is>
      </c>
      <c r="G1294" s="41" t="n"/>
    </row>
    <row r="1295" ht="79" customHeight="1">
      <c r="A1295" s="34" t="inlineStr">
        <is>
          <t>R724-v1</t>
        </is>
      </c>
      <c r="B1295" s="34" t="inlineStr">
        <is>
          <t>SCH-05-004</t>
        </is>
      </c>
      <c r="C1295" s="34" t="inlineStr">
        <is>
          <t>New</t>
        </is>
      </c>
      <c r="D1295" s="34" t="inlineStr">
        <is>
          <t>Record first supplied in this revision</t>
        </is>
      </c>
      <c r="E1295" s="39" t="inlineStr"/>
      <c r="F1295" s="100" t="inlineStr">
        <is>
          <t>10 EVIDENCE &amp; DECISIONS</t>
        </is>
      </c>
      <c r="G1295" s="41" t="n"/>
    </row>
    <row r="1296" ht="79" customHeight="1">
      <c r="A1296" s="34" t="inlineStr">
        <is>
          <t>R725-v1</t>
        </is>
      </c>
      <c r="B1296" s="34" t="inlineStr">
        <is>
          <t>SCH-05-005</t>
        </is>
      </c>
      <c r="C1296" s="34" t="inlineStr">
        <is>
          <t>New</t>
        </is>
      </c>
      <c r="D1296" s="34" t="inlineStr">
        <is>
          <t>Record first supplied in this revision</t>
        </is>
      </c>
      <c r="E1296" s="39" t="inlineStr"/>
      <c r="F1296" s="100" t="inlineStr">
        <is>
          <t>10 EVIDENCE &amp; DECISIONS</t>
        </is>
      </c>
      <c r="G1296" s="41" t="n"/>
    </row>
    <row r="1297" ht="79" customHeight="1">
      <c r="A1297" s="34" t="inlineStr">
        <is>
          <t>R726-v1</t>
        </is>
      </c>
      <c r="B1297" s="34" t="inlineStr">
        <is>
          <t>SCH-05-006</t>
        </is>
      </c>
      <c r="C1297" s="34" t="inlineStr">
        <is>
          <t>New</t>
        </is>
      </c>
      <c r="D1297" s="34" t="inlineStr">
        <is>
          <t>Record first supplied in this revision</t>
        </is>
      </c>
      <c r="E1297" s="39" t="inlineStr"/>
      <c r="F1297" s="100" t="inlineStr">
        <is>
          <t>10 EVIDENCE &amp; DECISIONS</t>
        </is>
      </c>
      <c r="G1297" s="41" t="n"/>
    </row>
    <row r="1298" ht="79" customHeight="1">
      <c r="A1298" s="34" t="inlineStr">
        <is>
          <t>R727-v1</t>
        </is>
      </c>
      <c r="B1298" s="34" t="inlineStr">
        <is>
          <t>SCH-05-007</t>
        </is>
      </c>
      <c r="C1298" s="34" t="inlineStr">
        <is>
          <t>New</t>
        </is>
      </c>
      <c r="D1298" s="34" t="inlineStr">
        <is>
          <t>Record first supplied in this revision</t>
        </is>
      </c>
      <c r="E1298" s="39" t="inlineStr"/>
      <c r="F1298" s="100" t="inlineStr">
        <is>
          <t>10 EVIDENCE &amp; DECISIONS</t>
        </is>
      </c>
      <c r="G1298" s="41" t="n"/>
    </row>
    <row r="1299" ht="79" customHeight="1">
      <c r="A1299" s="34" t="inlineStr">
        <is>
          <t>R728-v1</t>
        </is>
      </c>
      <c r="B1299" s="34" t="inlineStr">
        <is>
          <t>SCH-05-008</t>
        </is>
      </c>
      <c r="C1299" s="34" t="inlineStr">
        <is>
          <t>New</t>
        </is>
      </c>
      <c r="D1299" s="34" t="inlineStr">
        <is>
          <t>Record first supplied in this revision</t>
        </is>
      </c>
      <c r="E1299" s="39" t="inlineStr"/>
      <c r="F1299" s="100" t="inlineStr">
        <is>
          <t>10 EVIDENCE &amp; DECISIONS</t>
        </is>
      </c>
      <c r="G1299" s="41" t="n"/>
    </row>
    <row r="1300" ht="79" customHeight="1">
      <c r="A1300" s="34" t="inlineStr">
        <is>
          <t>R729-v1</t>
        </is>
      </c>
      <c r="B1300" s="34" t="inlineStr">
        <is>
          <t>SCH-05-009</t>
        </is>
      </c>
      <c r="C1300" s="34" t="inlineStr">
        <is>
          <t>New</t>
        </is>
      </c>
      <c r="D1300" s="34" t="inlineStr">
        <is>
          <t>Record first supplied in this revision</t>
        </is>
      </c>
      <c r="E1300" s="39" t="inlineStr"/>
      <c r="F1300" s="100" t="inlineStr">
        <is>
          <t>10 EVIDENCE &amp; DECISIONS</t>
        </is>
      </c>
      <c r="G1300" s="41" t="n"/>
    </row>
    <row r="1301" ht="79" customHeight="1">
      <c r="A1301" s="34" t="inlineStr">
        <is>
          <t>R730-v1</t>
        </is>
      </c>
      <c r="B1301" s="34" t="inlineStr">
        <is>
          <t>SCH-05-010</t>
        </is>
      </c>
      <c r="C1301" s="34" t="inlineStr">
        <is>
          <t>New</t>
        </is>
      </c>
      <c r="D1301" s="34" t="inlineStr">
        <is>
          <t>Record first supplied in this revision</t>
        </is>
      </c>
      <c r="E1301" s="39" t="inlineStr"/>
      <c r="F1301" s="100" t="inlineStr">
        <is>
          <t>10 EVIDENCE &amp; DECISIONS</t>
        </is>
      </c>
      <c r="G1301" s="41" t="n"/>
    </row>
    <row r="1302" ht="79" customHeight="1">
      <c r="A1302" s="34" t="inlineStr">
        <is>
          <t>R731-v1</t>
        </is>
      </c>
      <c r="B1302" s="34" t="inlineStr">
        <is>
          <t>SCH-05-011</t>
        </is>
      </c>
      <c r="C1302" s="34" t="inlineStr">
        <is>
          <t>New</t>
        </is>
      </c>
      <c r="D1302" s="34" t="inlineStr">
        <is>
          <t>Record first supplied in this revision</t>
        </is>
      </c>
      <c r="E1302" s="39" t="inlineStr"/>
      <c r="F1302" s="100" t="inlineStr">
        <is>
          <t>10 EVIDENCE &amp; DECISIONS</t>
        </is>
      </c>
      <c r="G1302" s="41" t="n"/>
    </row>
    <row r="1303" ht="79" customHeight="1">
      <c r="A1303" s="34" t="inlineStr">
        <is>
          <t>R732-v1</t>
        </is>
      </c>
      <c r="B1303" s="34" t="inlineStr">
        <is>
          <t>SCH-05-012</t>
        </is>
      </c>
      <c r="C1303" s="34" t="inlineStr">
        <is>
          <t>New</t>
        </is>
      </c>
      <c r="D1303" s="34" t="inlineStr">
        <is>
          <t>Record first supplied in this revision</t>
        </is>
      </c>
      <c r="E1303" s="39" t="inlineStr"/>
      <c r="F1303" s="100" t="inlineStr">
        <is>
          <t>10 EVIDENCE &amp; DECISIONS</t>
        </is>
      </c>
      <c r="G1303" s="41" t="n"/>
    </row>
    <row r="1304" ht="79" customHeight="1">
      <c r="A1304" s="34" t="inlineStr">
        <is>
          <t>R733-v1</t>
        </is>
      </c>
      <c r="B1304" s="34" t="inlineStr">
        <is>
          <t>SCH-05-013</t>
        </is>
      </c>
      <c r="C1304" s="34" t="inlineStr">
        <is>
          <t>New</t>
        </is>
      </c>
      <c r="D1304" s="34" t="inlineStr">
        <is>
          <t>Record first supplied in this revision</t>
        </is>
      </c>
      <c r="E1304" s="39" t="inlineStr"/>
      <c r="F1304" s="100" t="inlineStr">
        <is>
          <t>10 EVIDENCE &amp; DECISIONS</t>
        </is>
      </c>
      <c r="G1304" s="41" t="n"/>
    </row>
    <row r="1305" ht="79" customHeight="1">
      <c r="A1305" s="34" t="inlineStr">
        <is>
          <t>R734-v1</t>
        </is>
      </c>
      <c r="B1305" s="34" t="inlineStr">
        <is>
          <t>SCH-05-014</t>
        </is>
      </c>
      <c r="C1305" s="34" t="inlineStr">
        <is>
          <t>New</t>
        </is>
      </c>
      <c r="D1305" s="34" t="inlineStr">
        <is>
          <t>Record first supplied in this revision</t>
        </is>
      </c>
      <c r="E1305" s="39" t="inlineStr"/>
      <c r="F1305" s="100" t="inlineStr">
        <is>
          <t>10 EVIDENCE &amp; DECISIONS</t>
        </is>
      </c>
      <c r="G1305" s="41" t="n"/>
    </row>
    <row r="1306" ht="79" customHeight="1">
      <c r="A1306" s="34" t="inlineStr">
        <is>
          <t>R735-v1</t>
        </is>
      </c>
      <c r="B1306" s="34" t="inlineStr">
        <is>
          <t>SCH-05-015</t>
        </is>
      </c>
      <c r="C1306" s="34" t="inlineStr">
        <is>
          <t>New</t>
        </is>
      </c>
      <c r="D1306" s="34" t="inlineStr">
        <is>
          <t>Record first supplied in this revision</t>
        </is>
      </c>
      <c r="E1306" s="39" t="inlineStr"/>
      <c r="F1306" s="100" t="inlineStr">
        <is>
          <t>10 EVIDENCE &amp; DECISIONS</t>
        </is>
      </c>
      <c r="G1306" s="41" t="n"/>
    </row>
    <row r="1307" ht="79" customHeight="1">
      <c r="A1307" s="34" t="inlineStr">
        <is>
          <t>R736-v1</t>
        </is>
      </c>
      <c r="B1307" s="34" t="inlineStr">
        <is>
          <t>SCH-05-016</t>
        </is>
      </c>
      <c r="C1307" s="34" t="inlineStr">
        <is>
          <t>New</t>
        </is>
      </c>
      <c r="D1307" s="34" t="inlineStr">
        <is>
          <t>Record first supplied in this revision</t>
        </is>
      </c>
      <c r="E1307" s="39" t="inlineStr"/>
      <c r="F1307" s="100" t="inlineStr">
        <is>
          <t>10 EVIDENCE &amp; DECISIONS</t>
        </is>
      </c>
      <c r="G1307" s="41" t="n"/>
    </row>
    <row r="1308" ht="79" customHeight="1">
      <c r="A1308" s="34" t="inlineStr">
        <is>
          <t>R737-v1</t>
        </is>
      </c>
      <c r="B1308" s="34" t="inlineStr">
        <is>
          <t>SCH-05-017</t>
        </is>
      </c>
      <c r="C1308" s="34" t="inlineStr">
        <is>
          <t>New</t>
        </is>
      </c>
      <c r="D1308" s="34" t="inlineStr">
        <is>
          <t>Record first supplied in this revision</t>
        </is>
      </c>
      <c r="E1308" s="39" t="inlineStr"/>
      <c r="F1308" s="100" t="inlineStr">
        <is>
          <t>10 EVIDENCE &amp; DECISIONS</t>
        </is>
      </c>
      <c r="G1308" s="41" t="n"/>
    </row>
    <row r="1309" ht="79" customHeight="1">
      <c r="A1309" s="34" t="inlineStr">
        <is>
          <t>R738-v1</t>
        </is>
      </c>
      <c r="B1309" s="34" t="inlineStr">
        <is>
          <t>SCH-05-018</t>
        </is>
      </c>
      <c r="C1309" s="34" t="inlineStr">
        <is>
          <t>New</t>
        </is>
      </c>
      <c r="D1309" s="34" t="inlineStr">
        <is>
          <t>Record first supplied in this revision</t>
        </is>
      </c>
      <c r="E1309" s="39" t="inlineStr"/>
      <c r="F1309" s="100" t="inlineStr">
        <is>
          <t>10 EVIDENCE &amp; DECISIONS</t>
        </is>
      </c>
      <c r="G1309" s="41" t="n"/>
    </row>
    <row r="1310" ht="79" customHeight="1">
      <c r="A1310" s="34" t="inlineStr">
        <is>
          <t>R739-v1</t>
        </is>
      </c>
      <c r="B1310" s="34" t="inlineStr">
        <is>
          <t>SCH-05-019</t>
        </is>
      </c>
      <c r="C1310" s="34" t="inlineStr">
        <is>
          <t>New</t>
        </is>
      </c>
      <c r="D1310" s="34" t="inlineStr">
        <is>
          <t>Record first supplied in this revision</t>
        </is>
      </c>
      <c r="E1310" s="39" t="inlineStr"/>
      <c r="F1310" s="100" t="inlineStr">
        <is>
          <t>10 EVIDENCE &amp; DECISIONS</t>
        </is>
      </c>
      <c r="G1310" s="41" t="n"/>
    </row>
    <row r="1311" ht="79" customHeight="1">
      <c r="A1311" s="34" t="inlineStr">
        <is>
          <t>R740-v1</t>
        </is>
      </c>
      <c r="B1311" s="34" t="inlineStr">
        <is>
          <t>SCH-05-020</t>
        </is>
      </c>
      <c r="C1311" s="34" t="inlineStr">
        <is>
          <t>New</t>
        </is>
      </c>
      <c r="D1311" s="34" t="inlineStr">
        <is>
          <t>Record first supplied in this revision</t>
        </is>
      </c>
      <c r="E1311" s="39" t="inlineStr"/>
      <c r="F1311" s="100" t="inlineStr">
        <is>
          <t>10 EVIDENCE &amp; DECISIONS</t>
        </is>
      </c>
      <c r="G1311" s="41" t="n"/>
    </row>
    <row r="1312" ht="79" customHeight="1">
      <c r="A1312" s="34" t="inlineStr">
        <is>
          <t>R741-v1</t>
        </is>
      </c>
      <c r="B1312" s="34" t="inlineStr">
        <is>
          <t>SCH-05-021</t>
        </is>
      </c>
      <c r="C1312" s="34" t="inlineStr">
        <is>
          <t>New</t>
        </is>
      </c>
      <c r="D1312" s="34" t="inlineStr">
        <is>
          <t>Record first supplied in this revision</t>
        </is>
      </c>
      <c r="E1312" s="39" t="inlineStr"/>
      <c r="F1312" s="100" t="inlineStr">
        <is>
          <t>10 EVIDENCE &amp; DECISIONS</t>
        </is>
      </c>
      <c r="G1312" s="41" t="n"/>
    </row>
    <row r="1313" ht="79" customHeight="1">
      <c r="A1313" s="34" t="inlineStr">
        <is>
          <t>R742-v1</t>
        </is>
      </c>
      <c r="B1313" s="34" t="inlineStr">
        <is>
          <t>SCH-05-022</t>
        </is>
      </c>
      <c r="C1313" s="34" t="inlineStr">
        <is>
          <t>New</t>
        </is>
      </c>
      <c r="D1313" s="34" t="inlineStr">
        <is>
          <t>Record first supplied in this revision</t>
        </is>
      </c>
      <c r="E1313" s="39" t="inlineStr"/>
      <c r="F1313" s="100" t="inlineStr">
        <is>
          <t>10 EVIDENCE &amp; DECISIONS</t>
        </is>
      </c>
      <c r="G1313" s="41" t="n"/>
    </row>
    <row r="1314" ht="79" customHeight="1">
      <c r="A1314" s="34" t="inlineStr">
        <is>
          <t>R743-v1</t>
        </is>
      </c>
      <c r="B1314" s="34" t="inlineStr">
        <is>
          <t>SCH-05-023</t>
        </is>
      </c>
      <c r="C1314" s="34" t="inlineStr">
        <is>
          <t>New</t>
        </is>
      </c>
      <c r="D1314" s="34" t="inlineStr">
        <is>
          <t>Record first supplied in this revision</t>
        </is>
      </c>
      <c r="E1314" s="39" t="inlineStr"/>
      <c r="F1314" s="100" t="inlineStr">
        <is>
          <t>10 EVIDENCE &amp; DECISIONS</t>
        </is>
      </c>
      <c r="G1314" s="41" t="n"/>
    </row>
    <row r="1315" ht="79" customHeight="1">
      <c r="A1315" s="34" t="inlineStr">
        <is>
          <t>R744-v1</t>
        </is>
      </c>
      <c r="B1315" s="34" t="inlineStr">
        <is>
          <t>SCH-05-024</t>
        </is>
      </c>
      <c r="C1315" s="34" t="inlineStr">
        <is>
          <t>New</t>
        </is>
      </c>
      <c r="D1315" s="34" t="inlineStr">
        <is>
          <t>Record first supplied in this revision</t>
        </is>
      </c>
      <c r="E1315" s="39" t="inlineStr"/>
      <c r="F1315" s="100" t="inlineStr">
        <is>
          <t>10 EVIDENCE &amp; DECISIONS</t>
        </is>
      </c>
      <c r="G1315" s="41" t="n"/>
    </row>
    <row r="1316" ht="79" customHeight="1">
      <c r="A1316" s="34" t="inlineStr">
        <is>
          <t>R745-v1</t>
        </is>
      </c>
      <c r="B1316" s="34" t="inlineStr">
        <is>
          <t>SCH-05-025</t>
        </is>
      </c>
      <c r="C1316" s="34" t="inlineStr">
        <is>
          <t>New</t>
        </is>
      </c>
      <c r="D1316" s="34" t="inlineStr">
        <is>
          <t>Record first supplied in this revision</t>
        </is>
      </c>
      <c r="E1316" s="39" t="inlineStr"/>
      <c r="F1316" s="100" t="inlineStr">
        <is>
          <t>10 EVIDENCE &amp; DECISIONS</t>
        </is>
      </c>
      <c r="G1316" s="41" t="n"/>
    </row>
    <row r="1317" ht="79" customHeight="1">
      <c r="A1317" s="34" t="inlineStr">
        <is>
          <t>R746-v1</t>
        </is>
      </c>
      <c r="B1317" s="34" t="inlineStr">
        <is>
          <t>SCH-05-026</t>
        </is>
      </c>
      <c r="C1317" s="34" t="inlineStr">
        <is>
          <t>New</t>
        </is>
      </c>
      <c r="D1317" s="34" t="inlineStr">
        <is>
          <t>Record first supplied in this revision</t>
        </is>
      </c>
      <c r="E1317" s="39" t="inlineStr"/>
      <c r="F1317" s="100" t="inlineStr">
        <is>
          <t>10 EVIDENCE &amp; DECISIONS</t>
        </is>
      </c>
      <c r="G1317" s="41" t="n"/>
    </row>
    <row r="1318" ht="79" customHeight="1">
      <c r="A1318" s="34" t="inlineStr">
        <is>
          <t>R747-v1</t>
        </is>
      </c>
      <c r="B1318" s="34" t="inlineStr">
        <is>
          <t>SCH-05-027</t>
        </is>
      </c>
      <c r="C1318" s="34" t="inlineStr">
        <is>
          <t>New</t>
        </is>
      </c>
      <c r="D1318" s="34" t="inlineStr">
        <is>
          <t>Record first supplied in this revision</t>
        </is>
      </c>
      <c r="E1318" s="39" t="inlineStr"/>
      <c r="F1318" s="100" t="inlineStr">
        <is>
          <t>10 EVIDENCE &amp; DECISIONS</t>
        </is>
      </c>
      <c r="G1318" s="41" t="n"/>
    </row>
    <row r="1319" ht="79" customHeight="1">
      <c r="A1319" s="34" t="inlineStr">
        <is>
          <t>R748-v1</t>
        </is>
      </c>
      <c r="B1319" s="34" t="inlineStr">
        <is>
          <t>SCH-05-028</t>
        </is>
      </c>
      <c r="C1319" s="34" t="inlineStr">
        <is>
          <t>New</t>
        </is>
      </c>
      <c r="D1319" s="34" t="inlineStr">
        <is>
          <t>Record first supplied in this revision</t>
        </is>
      </c>
      <c r="E1319" s="39" t="inlineStr"/>
      <c r="F1319" s="100" t="inlineStr">
        <is>
          <t>10 EVIDENCE &amp; DECISIONS</t>
        </is>
      </c>
      <c r="G1319" s="41" t="n"/>
    </row>
    <row r="1320" ht="79" customHeight="1">
      <c r="A1320" s="34" t="inlineStr">
        <is>
          <t>R749-v1</t>
        </is>
      </c>
      <c r="B1320" s="34" t="inlineStr">
        <is>
          <t>SCH-05-029</t>
        </is>
      </c>
      <c r="C1320" s="34" t="inlineStr">
        <is>
          <t>New</t>
        </is>
      </c>
      <c r="D1320" s="34" t="inlineStr">
        <is>
          <t>Record first supplied in this revision</t>
        </is>
      </c>
      <c r="E1320" s="39" t="inlineStr"/>
      <c r="F1320" s="100" t="inlineStr">
        <is>
          <t>10 EVIDENCE &amp; DECISIONS</t>
        </is>
      </c>
      <c r="G1320" s="41" t="n"/>
    </row>
    <row r="1321" ht="79" customHeight="1">
      <c r="A1321" s="34" t="inlineStr">
        <is>
          <t>R750-v1</t>
        </is>
      </c>
      <c r="B1321" s="34" t="inlineStr">
        <is>
          <t>SCH-05-030</t>
        </is>
      </c>
      <c r="C1321" s="34" t="inlineStr">
        <is>
          <t>New</t>
        </is>
      </c>
      <c r="D1321" s="34" t="inlineStr">
        <is>
          <t>Record first supplied in this revision</t>
        </is>
      </c>
      <c r="E1321" s="39" t="inlineStr"/>
      <c r="F1321" s="100" t="inlineStr">
        <is>
          <t>10 EVIDENCE &amp; DECISIONS</t>
        </is>
      </c>
      <c r="G1321" s="41" t="n"/>
    </row>
    <row r="1322" ht="79" customHeight="1">
      <c r="A1322" s="34" t="inlineStr">
        <is>
          <t>R751-v1</t>
        </is>
      </c>
      <c r="B1322" s="34" t="inlineStr">
        <is>
          <t>SCH-05-031</t>
        </is>
      </c>
      <c r="C1322" s="34" t="inlineStr">
        <is>
          <t>New</t>
        </is>
      </c>
      <c r="D1322" s="34" t="inlineStr">
        <is>
          <t>Record first supplied in this revision</t>
        </is>
      </c>
      <c r="E1322" s="39" t="inlineStr"/>
      <c r="F1322" s="100" t="inlineStr">
        <is>
          <t>10 EVIDENCE &amp; DECISIONS</t>
        </is>
      </c>
      <c r="G1322" s="41" t="n"/>
    </row>
    <row r="1323" ht="79" customHeight="1">
      <c r="A1323" s="34" t="inlineStr">
        <is>
          <t>R752-v1</t>
        </is>
      </c>
      <c r="B1323" s="34" t="inlineStr">
        <is>
          <t>SCH-05-032</t>
        </is>
      </c>
      <c r="C1323" s="34" t="inlineStr">
        <is>
          <t>New</t>
        </is>
      </c>
      <c r="D1323" s="34" t="inlineStr">
        <is>
          <t>Record first supplied in this revision</t>
        </is>
      </c>
      <c r="E1323" s="39" t="inlineStr"/>
      <c r="F1323" s="100" t="inlineStr">
        <is>
          <t>10 EVIDENCE &amp; DECISIONS</t>
        </is>
      </c>
      <c r="G1323" s="41" t="n"/>
    </row>
    <row r="1324" ht="79" customHeight="1">
      <c r="A1324" s="34" t="inlineStr">
        <is>
          <t>R753-v1</t>
        </is>
      </c>
      <c r="B1324" s="34" t="inlineStr">
        <is>
          <t>SCH-05-033</t>
        </is>
      </c>
      <c r="C1324" s="34" t="inlineStr">
        <is>
          <t>New</t>
        </is>
      </c>
      <c r="D1324" s="34" t="inlineStr">
        <is>
          <t>Record first supplied in this revision</t>
        </is>
      </c>
      <c r="E1324" s="39" t="inlineStr"/>
      <c r="F1324" s="100" t="inlineStr">
        <is>
          <t>10 EVIDENCE &amp; DECISIONS</t>
        </is>
      </c>
      <c r="G1324" s="41" t="n"/>
    </row>
    <row r="1325" ht="79" customHeight="1">
      <c r="A1325" s="34" t="inlineStr">
        <is>
          <t>R754-v1</t>
        </is>
      </c>
      <c r="B1325" s="34" t="inlineStr">
        <is>
          <t>SCH-05-034</t>
        </is>
      </c>
      <c r="C1325" s="34" t="inlineStr">
        <is>
          <t>New</t>
        </is>
      </c>
      <c r="D1325" s="34" t="inlineStr">
        <is>
          <t>Record first supplied in this revision</t>
        </is>
      </c>
      <c r="E1325" s="39" t="inlineStr"/>
      <c r="F1325" s="100" t="inlineStr">
        <is>
          <t>10 EVIDENCE &amp; DECISIONS</t>
        </is>
      </c>
      <c r="G1325" s="41" t="n"/>
    </row>
    <row r="1326" ht="79" customHeight="1">
      <c r="A1326" s="34" t="inlineStr">
        <is>
          <t>R755-v1</t>
        </is>
      </c>
      <c r="B1326" s="34" t="inlineStr">
        <is>
          <t>SCH-05-035</t>
        </is>
      </c>
      <c r="C1326" s="34" t="inlineStr">
        <is>
          <t>New</t>
        </is>
      </c>
      <c r="D1326" s="34" t="inlineStr">
        <is>
          <t>Record first supplied in this revision</t>
        </is>
      </c>
      <c r="E1326" s="39" t="inlineStr"/>
      <c r="F1326" s="100" t="inlineStr">
        <is>
          <t>10 EVIDENCE &amp; DECISIONS</t>
        </is>
      </c>
      <c r="G1326" s="41" t="n"/>
    </row>
    <row r="1327" ht="79" customHeight="1">
      <c r="A1327" s="34" t="inlineStr">
        <is>
          <t>R756-v1</t>
        </is>
      </c>
      <c r="B1327" s="34" t="inlineStr">
        <is>
          <t>SCH-05-036</t>
        </is>
      </c>
      <c r="C1327" s="34" t="inlineStr">
        <is>
          <t>New</t>
        </is>
      </c>
      <c r="D1327" s="34" t="inlineStr">
        <is>
          <t>Record first supplied in this revision</t>
        </is>
      </c>
      <c r="E1327" s="39" t="inlineStr"/>
      <c r="F1327" s="100" t="inlineStr">
        <is>
          <t>10 EVIDENCE &amp; DECISIONS</t>
        </is>
      </c>
      <c r="G1327" s="41" t="n"/>
    </row>
    <row r="1328" ht="79" customHeight="1">
      <c r="A1328" s="34" t="inlineStr">
        <is>
          <t>R757-v1</t>
        </is>
      </c>
      <c r="B1328" s="34" t="inlineStr">
        <is>
          <t>SCH-05-037</t>
        </is>
      </c>
      <c r="C1328" s="34" t="inlineStr">
        <is>
          <t>New</t>
        </is>
      </c>
      <c r="D1328" s="34" t="inlineStr">
        <is>
          <t>Record first supplied in this revision</t>
        </is>
      </c>
      <c r="E1328" s="39" t="inlineStr"/>
      <c r="F1328" s="100" t="inlineStr">
        <is>
          <t>10 EVIDENCE &amp; DECISIONS</t>
        </is>
      </c>
      <c r="G1328" s="41" t="n"/>
    </row>
    <row r="1329" ht="79" customHeight="1">
      <c r="A1329" s="34" t="inlineStr">
        <is>
          <t>R758-v1</t>
        </is>
      </c>
      <c r="B1329" s="34" t="inlineStr">
        <is>
          <t>SCH-05-038</t>
        </is>
      </c>
      <c r="C1329" s="34" t="inlineStr">
        <is>
          <t>New</t>
        </is>
      </c>
      <c r="D1329" s="34" t="inlineStr">
        <is>
          <t>Record first supplied in this revision</t>
        </is>
      </c>
      <c r="E1329" s="39" t="inlineStr"/>
      <c r="F1329" s="100" t="inlineStr">
        <is>
          <t>10 EVIDENCE &amp; DECISIONS</t>
        </is>
      </c>
      <c r="G1329" s="41" t="n"/>
    </row>
    <row r="1330" ht="79" customHeight="1">
      <c r="A1330" s="34" t="inlineStr">
        <is>
          <t>R759-v1</t>
        </is>
      </c>
      <c r="B1330" s="34" t="inlineStr">
        <is>
          <t>SCH-05-039</t>
        </is>
      </c>
      <c r="C1330" s="34" t="inlineStr">
        <is>
          <t>New</t>
        </is>
      </c>
      <c r="D1330" s="34" t="inlineStr">
        <is>
          <t>Record first supplied in this revision</t>
        </is>
      </c>
      <c r="E1330" s="39" t="inlineStr"/>
      <c r="F1330" s="100" t="inlineStr">
        <is>
          <t>10 EVIDENCE &amp; DECISIONS</t>
        </is>
      </c>
      <c r="G1330" s="41" t="n"/>
    </row>
    <row r="1331" ht="79" customHeight="1">
      <c r="A1331" s="34" t="inlineStr">
        <is>
          <t>R760-v1</t>
        </is>
      </c>
      <c r="B1331" s="34" t="inlineStr">
        <is>
          <t>SCH-05-040</t>
        </is>
      </c>
      <c r="C1331" s="34" t="inlineStr">
        <is>
          <t>New</t>
        </is>
      </c>
      <c r="D1331" s="34" t="inlineStr">
        <is>
          <t>Record first supplied in this revision</t>
        </is>
      </c>
      <c r="E1331" s="39" t="inlineStr"/>
      <c r="F1331" s="100" t="inlineStr">
        <is>
          <t>10 EVIDENCE &amp; DECISIONS</t>
        </is>
      </c>
      <c r="G1331" s="41" t="n"/>
    </row>
    <row r="1332" ht="79" customHeight="1">
      <c r="A1332" s="34" t="inlineStr">
        <is>
          <t>R761-v1</t>
        </is>
      </c>
      <c r="B1332" s="34" t="inlineStr">
        <is>
          <t>SCH-05-041</t>
        </is>
      </c>
      <c r="C1332" s="34" t="inlineStr">
        <is>
          <t>New</t>
        </is>
      </c>
      <c r="D1332" s="34" t="inlineStr">
        <is>
          <t>Record first supplied in this revision</t>
        </is>
      </c>
      <c r="E1332" s="39" t="inlineStr"/>
      <c r="F1332" s="100" t="inlineStr">
        <is>
          <t>10 EVIDENCE &amp; DECISIONS</t>
        </is>
      </c>
      <c r="G1332" s="41" t="n"/>
    </row>
    <row r="1333" ht="79" customHeight="1">
      <c r="A1333" s="34" t="inlineStr">
        <is>
          <t>R762-v1</t>
        </is>
      </c>
      <c r="B1333" s="34" t="inlineStr">
        <is>
          <t>SCH-05-042</t>
        </is>
      </c>
      <c r="C1333" s="34" t="inlineStr">
        <is>
          <t>New</t>
        </is>
      </c>
      <c r="D1333" s="34" t="inlineStr">
        <is>
          <t>Record first supplied in this revision</t>
        </is>
      </c>
      <c r="E1333" s="39" t="inlineStr"/>
      <c r="F1333" s="100" t="inlineStr">
        <is>
          <t>10 EVIDENCE &amp; DECISIONS</t>
        </is>
      </c>
      <c r="G1333" s="41" t="n"/>
    </row>
    <row r="1334" ht="79" customHeight="1">
      <c r="A1334" s="34" t="inlineStr">
        <is>
          <t>R763-v1</t>
        </is>
      </c>
      <c r="B1334" s="34" t="inlineStr">
        <is>
          <t>SCH-05-043</t>
        </is>
      </c>
      <c r="C1334" s="34" t="inlineStr">
        <is>
          <t>New</t>
        </is>
      </c>
      <c r="D1334" s="34" t="inlineStr">
        <is>
          <t>Record first supplied in this revision</t>
        </is>
      </c>
      <c r="E1334" s="39" t="inlineStr"/>
      <c r="F1334" s="100" t="inlineStr">
        <is>
          <t>10 EVIDENCE &amp; DECISIONS</t>
        </is>
      </c>
      <c r="G1334" s="41" t="n"/>
    </row>
    <row r="1335" ht="79" customHeight="1">
      <c r="A1335" s="34" t="inlineStr">
        <is>
          <t>R764-v1</t>
        </is>
      </c>
      <c r="B1335" s="34" t="inlineStr">
        <is>
          <t>SCH-05-044</t>
        </is>
      </c>
      <c r="C1335" s="34" t="inlineStr">
        <is>
          <t>New</t>
        </is>
      </c>
      <c r="D1335" s="34" t="inlineStr">
        <is>
          <t>Record first supplied in this revision</t>
        </is>
      </c>
      <c r="E1335" s="39" t="inlineStr"/>
      <c r="F1335" s="100" t="inlineStr">
        <is>
          <t>10 EVIDENCE &amp; DECISIONS</t>
        </is>
      </c>
      <c r="G1335" s="41" t="n"/>
    </row>
    <row r="1336" ht="79" customHeight="1">
      <c r="A1336" s="34" t="inlineStr">
        <is>
          <t>R765-v1</t>
        </is>
      </c>
      <c r="B1336" s="34" t="inlineStr">
        <is>
          <t>SCH-05-045</t>
        </is>
      </c>
      <c r="C1336" s="34" t="inlineStr">
        <is>
          <t>New</t>
        </is>
      </c>
      <c r="D1336" s="34" t="inlineStr">
        <is>
          <t>Record first supplied in this revision</t>
        </is>
      </c>
      <c r="E1336" s="39" t="inlineStr"/>
      <c r="F1336" s="100" t="inlineStr">
        <is>
          <t>10 EVIDENCE &amp; DECISIONS</t>
        </is>
      </c>
      <c r="G1336" s="41" t="n"/>
    </row>
    <row r="1337" ht="79" customHeight="1">
      <c r="A1337" s="34" t="inlineStr">
        <is>
          <t>R766-v1</t>
        </is>
      </c>
      <c r="B1337" s="34" t="inlineStr">
        <is>
          <t>SCH-05-046</t>
        </is>
      </c>
      <c r="C1337" s="34" t="inlineStr">
        <is>
          <t>New</t>
        </is>
      </c>
      <c r="D1337" s="34" t="inlineStr">
        <is>
          <t>Record first supplied in this revision</t>
        </is>
      </c>
      <c r="E1337" s="39" t="inlineStr"/>
      <c r="F1337" s="100" t="inlineStr">
        <is>
          <t>10 EVIDENCE &amp; DECISIONS</t>
        </is>
      </c>
      <c r="G1337" s="41" t="n"/>
    </row>
    <row r="1338" ht="79" customHeight="1">
      <c r="A1338" s="34" t="inlineStr">
        <is>
          <t>R767-v1</t>
        </is>
      </c>
      <c r="B1338" s="34" t="inlineStr">
        <is>
          <t>SCH-05-047</t>
        </is>
      </c>
      <c r="C1338" s="34" t="inlineStr">
        <is>
          <t>New</t>
        </is>
      </c>
      <c r="D1338" s="34" t="inlineStr">
        <is>
          <t>Record first supplied in this revision</t>
        </is>
      </c>
      <c r="E1338" s="39" t="inlineStr"/>
      <c r="F1338" s="100" t="inlineStr">
        <is>
          <t>10 EVIDENCE &amp; DECISIONS</t>
        </is>
      </c>
      <c r="G1338" s="41" t="n"/>
    </row>
    <row r="1339" ht="79" customHeight="1">
      <c r="A1339" s="34" t="inlineStr">
        <is>
          <t>R768-v1</t>
        </is>
      </c>
      <c r="B1339" s="34" t="inlineStr">
        <is>
          <t>SCH-05-048</t>
        </is>
      </c>
      <c r="C1339" s="34" t="inlineStr">
        <is>
          <t>New</t>
        </is>
      </c>
      <c r="D1339" s="34" t="inlineStr">
        <is>
          <t>Record first supplied in this revision</t>
        </is>
      </c>
      <c r="E1339" s="39" t="inlineStr"/>
      <c r="F1339" s="100" t="inlineStr">
        <is>
          <t>10 EVIDENCE &amp; DECISIONS</t>
        </is>
      </c>
      <c r="G1339" s="41" t="n"/>
    </row>
    <row r="1340" ht="79" customHeight="1">
      <c r="A1340" s="34" t="inlineStr">
        <is>
          <t>R769-v1</t>
        </is>
      </c>
      <c r="B1340" s="34" t="inlineStr">
        <is>
          <t>SCH-05-049</t>
        </is>
      </c>
      <c r="C1340" s="34" t="inlineStr">
        <is>
          <t>New</t>
        </is>
      </c>
      <c r="D1340" s="34" t="inlineStr">
        <is>
          <t>Record first supplied in this revision</t>
        </is>
      </c>
      <c r="E1340" s="39" t="inlineStr"/>
      <c r="F1340" s="100" t="inlineStr">
        <is>
          <t>10 EVIDENCE &amp; DECISIONS</t>
        </is>
      </c>
      <c r="G1340" s="41" t="n"/>
    </row>
    <row r="1341" ht="79" customHeight="1">
      <c r="A1341" s="34" t="inlineStr">
        <is>
          <t>R770-v1</t>
        </is>
      </c>
      <c r="B1341" s="34" t="inlineStr">
        <is>
          <t>SCH-05-050</t>
        </is>
      </c>
      <c r="C1341" s="34" t="inlineStr">
        <is>
          <t>New</t>
        </is>
      </c>
      <c r="D1341" s="34" t="inlineStr">
        <is>
          <t>Record first supplied in this revision</t>
        </is>
      </c>
      <c r="E1341" s="39" t="inlineStr"/>
      <c r="F1341" s="100" t="inlineStr">
        <is>
          <t>10 EVIDENCE &amp; DECISIONS</t>
        </is>
      </c>
      <c r="G1341" s="41" t="n"/>
    </row>
    <row r="1342" ht="79" customHeight="1">
      <c r="A1342" s="34" t="inlineStr">
        <is>
          <t>R771-v1</t>
        </is>
      </c>
      <c r="B1342" s="34" t="inlineStr">
        <is>
          <t>SCH-05-051</t>
        </is>
      </c>
      <c r="C1342" s="34" t="inlineStr">
        <is>
          <t>New</t>
        </is>
      </c>
      <c r="D1342" s="34" t="inlineStr">
        <is>
          <t>Record first supplied in this revision</t>
        </is>
      </c>
      <c r="E1342" s="39" t="inlineStr"/>
      <c r="F1342" s="100" t="inlineStr">
        <is>
          <t>10 EVIDENCE &amp; DECISIONS</t>
        </is>
      </c>
      <c r="G1342" s="41" t="n"/>
    </row>
    <row r="1343" ht="79" customHeight="1">
      <c r="A1343" s="34" t="inlineStr">
        <is>
          <t>R772-v1</t>
        </is>
      </c>
      <c r="B1343" s="34" t="inlineStr">
        <is>
          <t>SCH-05-052</t>
        </is>
      </c>
      <c r="C1343" s="34" t="inlineStr">
        <is>
          <t>New</t>
        </is>
      </c>
      <c r="D1343" s="34" t="inlineStr">
        <is>
          <t>Record first supplied in this revision</t>
        </is>
      </c>
      <c r="E1343" s="39" t="inlineStr"/>
      <c r="F1343" s="100" t="inlineStr">
        <is>
          <t>10 EVIDENCE &amp; DECISIONS</t>
        </is>
      </c>
      <c r="G1343" s="41" t="n"/>
    </row>
    <row r="1344" ht="79" customHeight="1">
      <c r="A1344" s="34" t="inlineStr">
        <is>
          <t>R773-v1</t>
        </is>
      </c>
      <c r="B1344" s="34" t="inlineStr">
        <is>
          <t>SCH-05-053</t>
        </is>
      </c>
      <c r="C1344" s="34" t="inlineStr">
        <is>
          <t>New</t>
        </is>
      </c>
      <c r="D1344" s="34" t="inlineStr">
        <is>
          <t>Record first supplied in this revision</t>
        </is>
      </c>
      <c r="E1344" s="39" t="inlineStr"/>
      <c r="F1344" s="100" t="inlineStr">
        <is>
          <t>10 EVIDENCE &amp; DECISIONS</t>
        </is>
      </c>
      <c r="G1344" s="41" t="n"/>
    </row>
    <row r="1345" ht="79" customHeight="1">
      <c r="A1345" s="34" t="inlineStr">
        <is>
          <t>R774-v1</t>
        </is>
      </c>
      <c r="B1345" s="34" t="inlineStr">
        <is>
          <t>SCH-05-054</t>
        </is>
      </c>
      <c r="C1345" s="34" t="inlineStr">
        <is>
          <t>New</t>
        </is>
      </c>
      <c r="D1345" s="34" t="inlineStr">
        <is>
          <t>Record first supplied in this revision</t>
        </is>
      </c>
      <c r="E1345" s="39" t="inlineStr"/>
      <c r="F1345" s="100" t="inlineStr">
        <is>
          <t>10 EVIDENCE &amp; DECISIONS</t>
        </is>
      </c>
      <c r="G1345" s="41" t="n"/>
    </row>
    <row r="1346" ht="79" customHeight="1">
      <c r="A1346" s="34" t="inlineStr">
        <is>
          <t>R775-v1</t>
        </is>
      </c>
      <c r="B1346" s="34" t="inlineStr">
        <is>
          <t>SCH-05-055</t>
        </is>
      </c>
      <c r="C1346" s="34" t="inlineStr">
        <is>
          <t>New</t>
        </is>
      </c>
      <c r="D1346" s="34" t="inlineStr">
        <is>
          <t>Record first supplied in this revision</t>
        </is>
      </c>
      <c r="E1346" s="39" t="inlineStr"/>
      <c r="F1346" s="100" t="inlineStr">
        <is>
          <t>10 EVIDENCE &amp; DECISIONS</t>
        </is>
      </c>
      <c r="G1346" s="41" t="n"/>
    </row>
    <row r="1347" ht="79" customHeight="1">
      <c r="A1347" s="34" t="inlineStr">
        <is>
          <t>R776-v1</t>
        </is>
      </c>
      <c r="B1347" s="34" t="inlineStr">
        <is>
          <t>SCH-05-056</t>
        </is>
      </c>
      <c r="C1347" s="34" t="inlineStr">
        <is>
          <t>New</t>
        </is>
      </c>
      <c r="D1347" s="34" t="inlineStr">
        <is>
          <t>Record first supplied in this revision</t>
        </is>
      </c>
      <c r="E1347" s="39" t="inlineStr"/>
      <c r="F1347" s="100" t="inlineStr">
        <is>
          <t>10 EVIDENCE &amp; DECISIONS</t>
        </is>
      </c>
      <c r="G1347" s="41" t="n"/>
    </row>
    <row r="1348" ht="79" customHeight="1">
      <c r="A1348" s="34" t="inlineStr">
        <is>
          <t>R777-v1</t>
        </is>
      </c>
      <c r="B1348" s="34" t="inlineStr">
        <is>
          <t>SCH-05-057</t>
        </is>
      </c>
      <c r="C1348" s="34" t="inlineStr">
        <is>
          <t>New</t>
        </is>
      </c>
      <c r="D1348" s="34" t="inlineStr">
        <is>
          <t>Record first supplied in this revision</t>
        </is>
      </c>
      <c r="E1348" s="39" t="inlineStr"/>
      <c r="F1348" s="100" t="inlineStr">
        <is>
          <t>10 EVIDENCE &amp; DECISIONS</t>
        </is>
      </c>
      <c r="G1348" s="41" t="n"/>
    </row>
    <row r="1349" ht="79" customHeight="1">
      <c r="A1349" s="34" t="inlineStr">
        <is>
          <t>R778-v1</t>
        </is>
      </c>
      <c r="B1349" s="34" t="inlineStr">
        <is>
          <t>SCH-05-058</t>
        </is>
      </c>
      <c r="C1349" s="34" t="inlineStr">
        <is>
          <t>New</t>
        </is>
      </c>
      <c r="D1349" s="34" t="inlineStr">
        <is>
          <t>Record first supplied in this revision</t>
        </is>
      </c>
      <c r="E1349" s="39" t="inlineStr"/>
      <c r="F1349" s="100" t="inlineStr">
        <is>
          <t>10 EVIDENCE &amp; DECISIONS</t>
        </is>
      </c>
      <c r="G1349" s="41" t="n"/>
    </row>
    <row r="1350" ht="79" customHeight="1">
      <c r="A1350" s="34" t="inlineStr">
        <is>
          <t>R779-v1</t>
        </is>
      </c>
      <c r="B1350" s="34" t="inlineStr">
        <is>
          <t>SCH-05-059</t>
        </is>
      </c>
      <c r="C1350" s="34" t="inlineStr">
        <is>
          <t>New</t>
        </is>
      </c>
      <c r="D1350" s="34" t="inlineStr">
        <is>
          <t>Record first supplied in this revision</t>
        </is>
      </c>
      <c r="E1350" s="39" t="inlineStr"/>
      <c r="F1350" s="100" t="inlineStr">
        <is>
          <t>10 EVIDENCE &amp; DECISIONS</t>
        </is>
      </c>
      <c r="G1350" s="41" t="n"/>
    </row>
    <row r="1351" ht="79" customHeight="1">
      <c r="A1351" s="34" t="inlineStr">
        <is>
          <t>R780-v1</t>
        </is>
      </c>
      <c r="B1351" s="34" t="inlineStr">
        <is>
          <t>SCH-05-060</t>
        </is>
      </c>
      <c r="C1351" s="34" t="inlineStr">
        <is>
          <t>New</t>
        </is>
      </c>
      <c r="D1351" s="34" t="inlineStr">
        <is>
          <t>Record first supplied in this revision</t>
        </is>
      </c>
      <c r="E1351" s="39" t="inlineStr"/>
      <c r="F1351" s="100" t="inlineStr">
        <is>
          <t>10 EVIDENCE &amp; DECISIONS</t>
        </is>
      </c>
      <c r="G1351" s="41" t="n"/>
    </row>
    <row r="1352" ht="79" customHeight="1">
      <c r="A1352" s="34" t="inlineStr">
        <is>
          <t>R781-v1</t>
        </is>
      </c>
      <c r="B1352" s="34" t="inlineStr">
        <is>
          <t>SCH-05-061</t>
        </is>
      </c>
      <c r="C1352" s="34" t="inlineStr">
        <is>
          <t>New</t>
        </is>
      </c>
      <c r="D1352" s="34" t="inlineStr">
        <is>
          <t>Record first supplied in this revision</t>
        </is>
      </c>
      <c r="E1352" s="39" t="inlineStr"/>
      <c r="F1352" s="100" t="inlineStr">
        <is>
          <t>10 EVIDENCE &amp; DECISIONS</t>
        </is>
      </c>
      <c r="G1352" s="41" t="n"/>
    </row>
    <row r="1353" ht="79" customHeight="1">
      <c r="A1353" s="34" t="inlineStr">
        <is>
          <t>R782-v1</t>
        </is>
      </c>
      <c r="B1353" s="34" t="inlineStr">
        <is>
          <t>SCH-05-062</t>
        </is>
      </c>
      <c r="C1353" s="34" t="inlineStr">
        <is>
          <t>New</t>
        </is>
      </c>
      <c r="D1353" s="34" t="inlineStr">
        <is>
          <t>Record first supplied in this revision</t>
        </is>
      </c>
      <c r="E1353" s="39" t="inlineStr"/>
      <c r="F1353" s="100" t="inlineStr">
        <is>
          <t>10 EVIDENCE &amp; DECISIONS</t>
        </is>
      </c>
      <c r="G1353" s="41" t="n"/>
    </row>
    <row r="1354" ht="79" customHeight="1">
      <c r="A1354" s="34" t="inlineStr">
        <is>
          <t>R783-v1</t>
        </is>
      </c>
      <c r="B1354" s="34" t="inlineStr">
        <is>
          <t>SCH-05-063</t>
        </is>
      </c>
      <c r="C1354" s="34" t="inlineStr">
        <is>
          <t>New</t>
        </is>
      </c>
      <c r="D1354" s="34" t="inlineStr">
        <is>
          <t>Record first supplied in this revision</t>
        </is>
      </c>
      <c r="E1354" s="39" t="inlineStr"/>
      <c r="F1354" s="100" t="inlineStr">
        <is>
          <t>10 EVIDENCE &amp; DECISIONS</t>
        </is>
      </c>
      <c r="G1354" s="41" t="n"/>
    </row>
    <row r="1355" ht="79" customHeight="1">
      <c r="A1355" s="34" t="inlineStr">
        <is>
          <t>R784-v1</t>
        </is>
      </c>
      <c r="B1355" s="34" t="inlineStr">
        <is>
          <t>SCH-05-064</t>
        </is>
      </c>
      <c r="C1355" s="34" t="inlineStr">
        <is>
          <t>New</t>
        </is>
      </c>
      <c r="D1355" s="34" t="inlineStr">
        <is>
          <t>Record first supplied in this revision</t>
        </is>
      </c>
      <c r="E1355" s="39" t="inlineStr"/>
      <c r="F1355" s="100" t="inlineStr">
        <is>
          <t>10 EVIDENCE &amp; DECISIONS</t>
        </is>
      </c>
      <c r="G1355" s="41" t="n"/>
    </row>
    <row r="1356" ht="79" customHeight="1">
      <c r="A1356" s="34" t="inlineStr">
        <is>
          <t>R785-v1</t>
        </is>
      </c>
      <c r="B1356" s="34" t="inlineStr">
        <is>
          <t>SCH-05-065</t>
        </is>
      </c>
      <c r="C1356" s="34" t="inlineStr">
        <is>
          <t>New</t>
        </is>
      </c>
      <c r="D1356" s="34" t="inlineStr">
        <is>
          <t>Record first supplied in this revision</t>
        </is>
      </c>
      <c r="E1356" s="39" t="inlineStr"/>
      <c r="F1356" s="100" t="inlineStr">
        <is>
          <t>10 EVIDENCE &amp; DECISIONS</t>
        </is>
      </c>
      <c r="G1356" s="41" t="n"/>
    </row>
    <row r="1357" ht="79" customHeight="1">
      <c r="A1357" s="34" t="inlineStr">
        <is>
          <t>R786-v1</t>
        </is>
      </c>
      <c r="B1357" s="34" t="inlineStr">
        <is>
          <t>SCH-05-066</t>
        </is>
      </c>
      <c r="C1357" s="34" t="inlineStr">
        <is>
          <t>New</t>
        </is>
      </c>
      <c r="D1357" s="34" t="inlineStr">
        <is>
          <t>Record first supplied in this revision</t>
        </is>
      </c>
      <c r="E1357" s="39" t="inlineStr"/>
      <c r="F1357" s="100" t="inlineStr">
        <is>
          <t>10 EVIDENCE &amp; DECISIONS</t>
        </is>
      </c>
      <c r="G1357" s="41" t="n"/>
    </row>
    <row r="1358" ht="79" customHeight="1">
      <c r="A1358" s="34" t="inlineStr">
        <is>
          <t>R787-v1</t>
        </is>
      </c>
      <c r="B1358" s="34" t="inlineStr">
        <is>
          <t>SCH-05-067</t>
        </is>
      </c>
      <c r="C1358" s="34" t="inlineStr">
        <is>
          <t>New</t>
        </is>
      </c>
      <c r="D1358" s="34" t="inlineStr">
        <is>
          <t>Record first supplied in this revision</t>
        </is>
      </c>
      <c r="E1358" s="39" t="inlineStr"/>
      <c r="F1358" s="100" t="inlineStr">
        <is>
          <t>10 EVIDENCE &amp; DECISIONS</t>
        </is>
      </c>
      <c r="G1358" s="41" t="n"/>
    </row>
    <row r="1359" ht="79" customHeight="1">
      <c r="A1359" s="34" t="inlineStr">
        <is>
          <t>R788-v1</t>
        </is>
      </c>
      <c r="B1359" s="34" t="inlineStr">
        <is>
          <t>SCH-05-068</t>
        </is>
      </c>
      <c r="C1359" s="34" t="inlineStr">
        <is>
          <t>New</t>
        </is>
      </c>
      <c r="D1359" s="34" t="inlineStr">
        <is>
          <t>Record first supplied in this revision</t>
        </is>
      </c>
      <c r="E1359" s="39" t="inlineStr"/>
      <c r="F1359" s="100" t="inlineStr">
        <is>
          <t>10 EVIDENCE &amp; DECISIONS</t>
        </is>
      </c>
      <c r="G1359" s="41" t="n"/>
    </row>
    <row r="1360" ht="79" customHeight="1">
      <c r="A1360" s="34" t="inlineStr">
        <is>
          <t>R789-v1</t>
        </is>
      </c>
      <c r="B1360" s="34" t="inlineStr">
        <is>
          <t>SCH-05-069</t>
        </is>
      </c>
      <c r="C1360" s="34" t="inlineStr">
        <is>
          <t>New</t>
        </is>
      </c>
      <c r="D1360" s="34" t="inlineStr">
        <is>
          <t>Record first supplied in this revision</t>
        </is>
      </c>
      <c r="E1360" s="39" t="inlineStr"/>
      <c r="F1360" s="100" t="inlineStr">
        <is>
          <t>10 EVIDENCE &amp; DECISIONS</t>
        </is>
      </c>
      <c r="G1360" s="41" t="n"/>
    </row>
    <row r="1361" ht="79" customHeight="1">
      <c r="A1361" s="34" t="inlineStr">
        <is>
          <t>R790-v1</t>
        </is>
      </c>
      <c r="B1361" s="34" t="inlineStr">
        <is>
          <t>SCH-05-070</t>
        </is>
      </c>
      <c r="C1361" s="34" t="inlineStr">
        <is>
          <t>New</t>
        </is>
      </c>
      <c r="D1361" s="34" t="inlineStr">
        <is>
          <t>Record first supplied in this revision</t>
        </is>
      </c>
      <c r="E1361" s="39" t="inlineStr"/>
      <c r="F1361" s="100" t="inlineStr">
        <is>
          <t>10 EVIDENCE &amp; DECISIONS</t>
        </is>
      </c>
      <c r="G1361" s="41" t="n"/>
    </row>
    <row r="1362" ht="79" customHeight="1">
      <c r="A1362" s="34" t="inlineStr">
        <is>
          <t>R791-v1</t>
        </is>
      </c>
      <c r="B1362" s="34" t="inlineStr">
        <is>
          <t>SCH-05-071</t>
        </is>
      </c>
      <c r="C1362" s="34" t="inlineStr">
        <is>
          <t>New</t>
        </is>
      </c>
      <c r="D1362" s="34" t="inlineStr">
        <is>
          <t>Record first supplied in this revision</t>
        </is>
      </c>
      <c r="E1362" s="39" t="inlineStr"/>
      <c r="F1362" s="100" t="inlineStr">
        <is>
          <t>10 EVIDENCE &amp; DECISIONS</t>
        </is>
      </c>
      <c r="G1362" s="41" t="n"/>
    </row>
    <row r="1363" ht="79" customHeight="1">
      <c r="A1363" s="34" t="inlineStr">
        <is>
          <t>R792-v1</t>
        </is>
      </c>
      <c r="B1363" s="34" t="inlineStr">
        <is>
          <t>SCH-05-072</t>
        </is>
      </c>
      <c r="C1363" s="34" t="inlineStr">
        <is>
          <t>New</t>
        </is>
      </c>
      <c r="D1363" s="34" t="inlineStr">
        <is>
          <t>Record first supplied in this revision</t>
        </is>
      </c>
      <c r="E1363" s="39" t="inlineStr"/>
      <c r="F1363" s="100" t="inlineStr">
        <is>
          <t>10 EVIDENCE &amp; DECISIONS</t>
        </is>
      </c>
      <c r="G1363" s="41" t="n"/>
    </row>
    <row r="1364" ht="79" customHeight="1">
      <c r="A1364" s="34" t="inlineStr">
        <is>
          <t>R793-v1</t>
        </is>
      </c>
      <c r="B1364" s="34" t="inlineStr">
        <is>
          <t>SCH-05-073</t>
        </is>
      </c>
      <c r="C1364" s="34" t="inlineStr">
        <is>
          <t>New</t>
        </is>
      </c>
      <c r="D1364" s="34" t="inlineStr">
        <is>
          <t>Record first supplied in this revision</t>
        </is>
      </c>
      <c r="E1364" s="39" t="inlineStr"/>
      <c r="F1364" s="100" t="inlineStr">
        <is>
          <t>10 EVIDENCE &amp; DECISIONS</t>
        </is>
      </c>
      <c r="G1364" s="41" t="n"/>
    </row>
    <row r="1365" ht="79" customHeight="1">
      <c r="A1365" s="34" t="inlineStr">
        <is>
          <t>R794-v1</t>
        </is>
      </c>
      <c r="B1365" s="34" t="inlineStr">
        <is>
          <t>SCH-05-074</t>
        </is>
      </c>
      <c r="C1365" s="34" t="inlineStr">
        <is>
          <t>New</t>
        </is>
      </c>
      <c r="D1365" s="34" t="inlineStr">
        <is>
          <t>Record first supplied in this revision</t>
        </is>
      </c>
      <c r="E1365" s="39" t="inlineStr"/>
      <c r="F1365" s="100" t="inlineStr">
        <is>
          <t>10 EVIDENCE &amp; DECISIONS</t>
        </is>
      </c>
      <c r="G1365" s="41" t="n"/>
    </row>
    <row r="1366" ht="79" customHeight="1">
      <c r="A1366" s="34" t="inlineStr">
        <is>
          <t>R795-v1</t>
        </is>
      </c>
      <c r="B1366" s="34" t="inlineStr">
        <is>
          <t>SCH-05-075</t>
        </is>
      </c>
      <c r="C1366" s="34" t="inlineStr">
        <is>
          <t>New</t>
        </is>
      </c>
      <c r="D1366" s="34" t="inlineStr">
        <is>
          <t>Record first supplied in this revision</t>
        </is>
      </c>
      <c r="E1366" s="39" t="inlineStr"/>
      <c r="F1366" s="100" t="inlineStr">
        <is>
          <t>10 EVIDENCE &amp; DECISIONS</t>
        </is>
      </c>
      <c r="G1366" s="41" t="n"/>
    </row>
    <row r="1367" ht="79" customHeight="1">
      <c r="A1367" s="34" t="inlineStr">
        <is>
          <t>R796-v1</t>
        </is>
      </c>
      <c r="B1367" s="34" t="inlineStr">
        <is>
          <t>SCH-05-076</t>
        </is>
      </c>
      <c r="C1367" s="34" t="inlineStr">
        <is>
          <t>New</t>
        </is>
      </c>
      <c r="D1367" s="34" t="inlineStr">
        <is>
          <t>Record first supplied in this revision</t>
        </is>
      </c>
      <c r="E1367" s="39" t="inlineStr"/>
      <c r="F1367" s="100" t="inlineStr">
        <is>
          <t>10 EVIDENCE &amp; DECISIONS</t>
        </is>
      </c>
      <c r="G1367" s="41" t="n"/>
    </row>
    <row r="1368" ht="79" customHeight="1">
      <c r="A1368" s="34" t="inlineStr">
        <is>
          <t>R797-v1</t>
        </is>
      </c>
      <c r="B1368" s="34" t="inlineStr">
        <is>
          <t>SCH-05-077</t>
        </is>
      </c>
      <c r="C1368" s="34" t="inlineStr">
        <is>
          <t>New</t>
        </is>
      </c>
      <c r="D1368" s="34" t="inlineStr">
        <is>
          <t>Record first supplied in this revision</t>
        </is>
      </c>
      <c r="E1368" s="39" t="inlineStr"/>
      <c r="F1368" s="100" t="inlineStr">
        <is>
          <t>10 EVIDENCE &amp; DECISIONS</t>
        </is>
      </c>
      <c r="G1368" s="41" t="n"/>
    </row>
    <row r="1369" ht="79" customHeight="1">
      <c r="A1369" s="34" t="inlineStr">
        <is>
          <t>R798-v1</t>
        </is>
      </c>
      <c r="B1369" s="34" t="inlineStr">
        <is>
          <t>SCH-05-078</t>
        </is>
      </c>
      <c r="C1369" s="34" t="inlineStr">
        <is>
          <t>New</t>
        </is>
      </c>
      <c r="D1369" s="34" t="inlineStr">
        <is>
          <t>Record first supplied in this revision</t>
        </is>
      </c>
      <c r="E1369" s="39" t="inlineStr"/>
      <c r="F1369" s="100" t="inlineStr">
        <is>
          <t>10 EVIDENCE &amp; DECISIONS</t>
        </is>
      </c>
      <c r="G1369" s="41" t="n"/>
    </row>
    <row r="1370" ht="79" customHeight="1">
      <c r="A1370" s="34" t="inlineStr">
        <is>
          <t>R799-v1</t>
        </is>
      </c>
      <c r="B1370" s="34" t="inlineStr">
        <is>
          <t>SCH-05-079</t>
        </is>
      </c>
      <c r="C1370" s="34" t="inlineStr">
        <is>
          <t>New</t>
        </is>
      </c>
      <c r="D1370" s="34" t="inlineStr">
        <is>
          <t>Record first supplied in this revision</t>
        </is>
      </c>
      <c r="E1370" s="39" t="inlineStr"/>
      <c r="F1370" s="100" t="inlineStr">
        <is>
          <t>10 EVIDENCE &amp; DECISIONS</t>
        </is>
      </c>
      <c r="G1370" s="41" t="n"/>
    </row>
    <row r="1371" ht="79" customHeight="1">
      <c r="A1371" s="34" t="inlineStr">
        <is>
          <t>R800-v1</t>
        </is>
      </c>
      <c r="B1371" s="34" t="inlineStr">
        <is>
          <t>SCH-05-080</t>
        </is>
      </c>
      <c r="C1371" s="34" t="inlineStr">
        <is>
          <t>New</t>
        </is>
      </c>
      <c r="D1371" s="34" t="inlineStr">
        <is>
          <t>Record first supplied in this revision</t>
        </is>
      </c>
      <c r="E1371" s="39" t="inlineStr"/>
      <c r="F1371" s="100" t="inlineStr">
        <is>
          <t>10 EVIDENCE &amp; DECISIONS</t>
        </is>
      </c>
      <c r="G1371" s="41" t="n"/>
    </row>
    <row r="1372" ht="79" customHeight="1">
      <c r="A1372" s="34" t="inlineStr">
        <is>
          <t>R801-v1</t>
        </is>
      </c>
      <c r="B1372" s="34" t="inlineStr">
        <is>
          <t>SCH-05-081</t>
        </is>
      </c>
      <c r="C1372" s="34" t="inlineStr">
        <is>
          <t>New</t>
        </is>
      </c>
      <c r="D1372" s="34" t="inlineStr">
        <is>
          <t>Record first supplied in this revision</t>
        </is>
      </c>
      <c r="E1372" s="39" t="inlineStr"/>
      <c r="F1372" s="100" t="inlineStr">
        <is>
          <t>10 EVIDENCE &amp; DECISIONS</t>
        </is>
      </c>
      <c r="G1372" s="41" t="n"/>
    </row>
    <row r="1373" ht="79" customHeight="1">
      <c r="A1373" s="34" t="inlineStr">
        <is>
          <t>R802-v1</t>
        </is>
      </c>
      <c r="B1373" s="34" t="inlineStr">
        <is>
          <t>SCH-05-082</t>
        </is>
      </c>
      <c r="C1373" s="34" t="inlineStr">
        <is>
          <t>New</t>
        </is>
      </c>
      <c r="D1373" s="34" t="inlineStr">
        <is>
          <t>Record first supplied in this revision</t>
        </is>
      </c>
      <c r="E1373" s="39" t="inlineStr"/>
      <c r="F1373" s="100" t="inlineStr">
        <is>
          <t>10 EVIDENCE &amp; DECISIONS</t>
        </is>
      </c>
      <c r="G1373" s="41" t="n"/>
    </row>
    <row r="1374" ht="79" customHeight="1">
      <c r="A1374" s="34" t="inlineStr">
        <is>
          <t>R803-v1</t>
        </is>
      </c>
      <c r="B1374" s="34" t="inlineStr">
        <is>
          <t>SCH-05-083</t>
        </is>
      </c>
      <c r="C1374" s="34" t="inlineStr">
        <is>
          <t>New</t>
        </is>
      </c>
      <c r="D1374" s="34" t="inlineStr">
        <is>
          <t>Record first supplied in this revision</t>
        </is>
      </c>
      <c r="E1374" s="39" t="inlineStr"/>
      <c r="F1374" s="100" t="inlineStr">
        <is>
          <t>10 EVIDENCE &amp; DECISIONS</t>
        </is>
      </c>
      <c r="G1374" s="41" t="n"/>
    </row>
    <row r="1375" ht="79" customHeight="1">
      <c r="A1375" s="34" t="inlineStr">
        <is>
          <t>R804-v1</t>
        </is>
      </c>
      <c r="B1375" s="34" t="inlineStr">
        <is>
          <t>SCH-05-084</t>
        </is>
      </c>
      <c r="C1375" s="34" t="inlineStr">
        <is>
          <t>New</t>
        </is>
      </c>
      <c r="D1375" s="34" t="inlineStr">
        <is>
          <t>Record first supplied in this revision</t>
        </is>
      </c>
      <c r="E1375" s="39" t="inlineStr"/>
      <c r="F1375" s="100" t="inlineStr">
        <is>
          <t>10 EVIDENCE &amp; DECISIONS</t>
        </is>
      </c>
      <c r="G1375" s="41" t="n"/>
    </row>
    <row r="1376" ht="79" customHeight="1">
      <c r="A1376" s="34" t="inlineStr">
        <is>
          <t>R805-v1</t>
        </is>
      </c>
      <c r="B1376" s="34" t="inlineStr">
        <is>
          <t>SCH-05-085</t>
        </is>
      </c>
      <c r="C1376" s="34" t="inlineStr">
        <is>
          <t>New</t>
        </is>
      </c>
      <c r="D1376" s="34" t="inlineStr">
        <is>
          <t>Record first supplied in this revision</t>
        </is>
      </c>
      <c r="E1376" s="39" t="inlineStr"/>
      <c r="F1376" s="100" t="inlineStr">
        <is>
          <t>10 EVIDENCE &amp; DECISIONS</t>
        </is>
      </c>
      <c r="G1376" s="41" t="n"/>
    </row>
    <row r="1377" ht="79" customHeight="1">
      <c r="A1377" s="34" t="inlineStr">
        <is>
          <t>R806-v1</t>
        </is>
      </c>
      <c r="B1377" s="34" t="inlineStr">
        <is>
          <t>SCH-05-086</t>
        </is>
      </c>
      <c r="C1377" s="34" t="inlineStr">
        <is>
          <t>New</t>
        </is>
      </c>
      <c r="D1377" s="34" t="inlineStr">
        <is>
          <t>Record first supplied in this revision</t>
        </is>
      </c>
      <c r="E1377" s="39" t="inlineStr"/>
      <c r="F1377" s="100" t="inlineStr">
        <is>
          <t>10 EVIDENCE &amp; DECISIONS</t>
        </is>
      </c>
      <c r="G1377" s="41" t="n"/>
    </row>
    <row r="1378" ht="79" customHeight="1">
      <c r="A1378" s="34" t="inlineStr">
        <is>
          <t>R807-v1</t>
        </is>
      </c>
      <c r="B1378" s="34" t="inlineStr">
        <is>
          <t>SCH-05-087</t>
        </is>
      </c>
      <c r="C1378" s="34" t="inlineStr">
        <is>
          <t>New</t>
        </is>
      </c>
      <c r="D1378" s="34" t="inlineStr">
        <is>
          <t>Record first supplied in this revision</t>
        </is>
      </c>
      <c r="E1378" s="39" t="inlineStr"/>
      <c r="F1378" s="100" t="inlineStr">
        <is>
          <t>10 EVIDENCE &amp; DECISIONS</t>
        </is>
      </c>
      <c r="G1378" s="41" t="n"/>
    </row>
    <row r="1379" ht="79" customHeight="1">
      <c r="A1379" s="34" t="inlineStr">
        <is>
          <t>R808-v1</t>
        </is>
      </c>
      <c r="B1379" s="34" t="inlineStr">
        <is>
          <t>SCH-05-088</t>
        </is>
      </c>
      <c r="C1379" s="34" t="inlineStr">
        <is>
          <t>New</t>
        </is>
      </c>
      <c r="D1379" s="34" t="inlineStr">
        <is>
          <t>Record first supplied in this revision</t>
        </is>
      </c>
      <c r="E1379" s="39" t="inlineStr"/>
      <c r="F1379" s="100" t="inlineStr">
        <is>
          <t>10 EVIDENCE &amp; DECISIONS</t>
        </is>
      </c>
      <c r="G1379" s="41" t="n"/>
    </row>
    <row r="1380" ht="79" customHeight="1">
      <c r="A1380" s="34" t="inlineStr">
        <is>
          <t>R809-v1</t>
        </is>
      </c>
      <c r="B1380" s="34" t="inlineStr">
        <is>
          <t>SCH-05-089</t>
        </is>
      </c>
      <c r="C1380" s="34" t="inlineStr">
        <is>
          <t>New</t>
        </is>
      </c>
      <c r="D1380" s="34" t="inlineStr">
        <is>
          <t>Record first supplied in this revision</t>
        </is>
      </c>
      <c r="E1380" s="39" t="inlineStr"/>
      <c r="F1380" s="100" t="inlineStr">
        <is>
          <t>10 EVIDENCE &amp; DECISIONS</t>
        </is>
      </c>
      <c r="G1380" s="41" t="n"/>
    </row>
    <row r="1381" ht="79" customHeight="1">
      <c r="A1381" s="34" t="inlineStr">
        <is>
          <t>R810-v1</t>
        </is>
      </c>
      <c r="B1381" s="34" t="inlineStr">
        <is>
          <t>SCH-05-090</t>
        </is>
      </c>
      <c r="C1381" s="34" t="inlineStr">
        <is>
          <t>New</t>
        </is>
      </c>
      <c r="D1381" s="34" t="inlineStr">
        <is>
          <t>Record first supplied in this revision</t>
        </is>
      </c>
      <c r="E1381" s="39" t="inlineStr"/>
      <c r="F1381" s="100" t="inlineStr">
        <is>
          <t>10 EVIDENCE &amp; DECISIONS</t>
        </is>
      </c>
      <c r="G1381" s="41" t="n"/>
    </row>
    <row r="1382" ht="79" customHeight="1">
      <c r="A1382" s="34" t="inlineStr">
        <is>
          <t>R811-v1</t>
        </is>
      </c>
      <c r="B1382" s="34" t="inlineStr">
        <is>
          <t>SCH-05-091</t>
        </is>
      </c>
      <c r="C1382" s="34" t="inlineStr">
        <is>
          <t>New</t>
        </is>
      </c>
      <c r="D1382" s="34" t="inlineStr">
        <is>
          <t>Record first supplied in this revision</t>
        </is>
      </c>
      <c r="E1382" s="39" t="inlineStr"/>
      <c r="F1382" s="100" t="inlineStr">
        <is>
          <t>10 EVIDENCE &amp; DECISIONS</t>
        </is>
      </c>
      <c r="G1382" s="41" t="n"/>
    </row>
    <row r="1383" ht="79" customHeight="1">
      <c r="A1383" s="34" t="inlineStr">
        <is>
          <t>R812-v1</t>
        </is>
      </c>
      <c r="B1383" s="34" t="inlineStr">
        <is>
          <t>SCH-05-092</t>
        </is>
      </c>
      <c r="C1383" s="34" t="inlineStr">
        <is>
          <t>New</t>
        </is>
      </c>
      <c r="D1383" s="34" t="inlineStr">
        <is>
          <t>Record first supplied in this revision</t>
        </is>
      </c>
      <c r="E1383" s="39" t="inlineStr"/>
      <c r="F1383" s="100" t="inlineStr">
        <is>
          <t>10 EVIDENCE &amp; DECISIONS</t>
        </is>
      </c>
      <c r="G1383" s="41" t="n"/>
    </row>
    <row r="1384" ht="79" customHeight="1">
      <c r="A1384" s="34" t="inlineStr">
        <is>
          <t>R813-v1</t>
        </is>
      </c>
      <c r="B1384" s="34" t="inlineStr">
        <is>
          <t>SCH-05-093</t>
        </is>
      </c>
      <c r="C1384" s="34" t="inlineStr">
        <is>
          <t>New</t>
        </is>
      </c>
      <c r="D1384" s="34" t="inlineStr">
        <is>
          <t>Record first supplied in this revision</t>
        </is>
      </c>
      <c r="E1384" s="39" t="inlineStr"/>
      <c r="F1384" s="100" t="inlineStr">
        <is>
          <t>10 EVIDENCE &amp; DECISIONS</t>
        </is>
      </c>
      <c r="G1384" s="41" t="n"/>
    </row>
    <row r="1385" ht="79" customHeight="1">
      <c r="A1385" s="34" t="inlineStr">
        <is>
          <t>R814-v1</t>
        </is>
      </c>
      <c r="B1385" s="34" t="inlineStr">
        <is>
          <t>SCH-05-094</t>
        </is>
      </c>
      <c r="C1385" s="34" t="inlineStr">
        <is>
          <t>New</t>
        </is>
      </c>
      <c r="D1385" s="34" t="inlineStr">
        <is>
          <t>Record first supplied in this revision</t>
        </is>
      </c>
      <c r="E1385" s="39" t="inlineStr"/>
      <c r="F1385" s="100" t="inlineStr">
        <is>
          <t>10 EVIDENCE &amp; DECISIONS</t>
        </is>
      </c>
      <c r="G1385" s="41" t="n"/>
    </row>
    <row r="1386" ht="79" customHeight="1">
      <c r="A1386" s="34" t="inlineStr">
        <is>
          <t>R815-v1</t>
        </is>
      </c>
      <c r="B1386" s="34" t="inlineStr">
        <is>
          <t>SCH-05-095</t>
        </is>
      </c>
      <c r="C1386" s="34" t="inlineStr">
        <is>
          <t>New</t>
        </is>
      </c>
      <c r="D1386" s="34" t="inlineStr">
        <is>
          <t>Record first supplied in this revision</t>
        </is>
      </c>
      <c r="E1386" s="39" t="inlineStr"/>
      <c r="F1386" s="100" t="inlineStr">
        <is>
          <t>10 EVIDENCE &amp; DECISIONS</t>
        </is>
      </c>
      <c r="G1386" s="41" t="n"/>
    </row>
    <row r="1387" ht="79" customHeight="1">
      <c r="A1387" s="34" t="inlineStr">
        <is>
          <t>R816-v1</t>
        </is>
      </c>
      <c r="B1387" s="34" t="inlineStr">
        <is>
          <t>SCH-05-096</t>
        </is>
      </c>
      <c r="C1387" s="34" t="inlineStr">
        <is>
          <t>New</t>
        </is>
      </c>
      <c r="D1387" s="34" t="inlineStr">
        <is>
          <t>Record first supplied in this revision</t>
        </is>
      </c>
      <c r="E1387" s="39" t="inlineStr"/>
      <c r="F1387" s="100" t="inlineStr">
        <is>
          <t>10 EVIDENCE &amp; DECISIONS</t>
        </is>
      </c>
      <c r="G1387" s="41" t="n"/>
    </row>
    <row r="1388" ht="79" customHeight="1">
      <c r="A1388" s="34" t="inlineStr">
        <is>
          <t>R817-v1</t>
        </is>
      </c>
      <c r="B1388" s="34" t="inlineStr">
        <is>
          <t>SCH-05-097</t>
        </is>
      </c>
      <c r="C1388" s="34" t="inlineStr">
        <is>
          <t>New</t>
        </is>
      </c>
      <c r="D1388" s="34" t="inlineStr">
        <is>
          <t>Record first supplied in this revision</t>
        </is>
      </c>
      <c r="E1388" s="39" t="inlineStr"/>
      <c r="F1388" s="100" t="inlineStr">
        <is>
          <t>10 EVIDENCE &amp; DECISIONS</t>
        </is>
      </c>
      <c r="G1388" s="41" t="n"/>
    </row>
    <row r="1389" ht="79" customHeight="1">
      <c r="A1389" s="34" t="inlineStr">
        <is>
          <t>R818-v1</t>
        </is>
      </c>
      <c r="B1389" s="34" t="inlineStr">
        <is>
          <t>SCH-05-098</t>
        </is>
      </c>
      <c r="C1389" s="34" t="inlineStr">
        <is>
          <t>New</t>
        </is>
      </c>
      <c r="D1389" s="34" t="inlineStr">
        <is>
          <t>Record first supplied in this revision</t>
        </is>
      </c>
      <c r="E1389" s="39" t="inlineStr"/>
      <c r="F1389" s="100" t="inlineStr">
        <is>
          <t>10 EVIDENCE &amp; DECISIONS</t>
        </is>
      </c>
      <c r="G1389" s="41" t="n"/>
    </row>
    <row r="1390" ht="79" customHeight="1">
      <c r="A1390" s="34" t="inlineStr">
        <is>
          <t>R819-v1</t>
        </is>
      </c>
      <c r="B1390" s="34" t="inlineStr">
        <is>
          <t>SCH-05-099</t>
        </is>
      </c>
      <c r="C1390" s="34" t="inlineStr">
        <is>
          <t>New</t>
        </is>
      </c>
      <c r="D1390" s="34" t="inlineStr">
        <is>
          <t>Record first supplied in this revision</t>
        </is>
      </c>
      <c r="E1390" s="39" t="inlineStr"/>
      <c r="F1390" s="100" t="inlineStr">
        <is>
          <t>10 EVIDENCE &amp; DECISIONS</t>
        </is>
      </c>
      <c r="G1390" s="41" t="n"/>
    </row>
    <row r="1391" ht="79" customHeight="1">
      <c r="A1391" s="34" t="inlineStr">
        <is>
          <t>R820-v1</t>
        </is>
      </c>
      <c r="B1391" s="34" t="inlineStr">
        <is>
          <t>SCH-05-100</t>
        </is>
      </c>
      <c r="C1391" s="34" t="inlineStr">
        <is>
          <t>New</t>
        </is>
      </c>
      <c r="D1391" s="34" t="inlineStr">
        <is>
          <t>Record first supplied in this revision</t>
        </is>
      </c>
      <c r="E1391" s="39" t="inlineStr"/>
      <c r="F1391" s="100" t="inlineStr">
        <is>
          <t>10 EVIDENCE &amp; DECISIONS</t>
        </is>
      </c>
      <c r="G1391" s="41" t="n"/>
    </row>
    <row r="1392" ht="79" customHeight="1">
      <c r="A1392" s="34" t="inlineStr">
        <is>
          <t>R821-v1</t>
        </is>
      </c>
      <c r="B1392" s="34" t="inlineStr">
        <is>
          <t>SCH-05-101</t>
        </is>
      </c>
      <c r="C1392" s="34" t="inlineStr">
        <is>
          <t>New</t>
        </is>
      </c>
      <c r="D1392" s="34" t="inlineStr">
        <is>
          <t>Record first supplied in this revision</t>
        </is>
      </c>
      <c r="E1392" s="39" t="inlineStr"/>
      <c r="F1392" s="100" t="inlineStr">
        <is>
          <t>10 EVIDENCE &amp; DECISIONS</t>
        </is>
      </c>
      <c r="G1392" s="41" t="n"/>
    </row>
    <row r="1393" ht="79" customHeight="1">
      <c r="A1393" s="34" t="inlineStr">
        <is>
          <t>R822-v1</t>
        </is>
      </c>
      <c r="B1393" s="34" t="inlineStr">
        <is>
          <t>SCH-05-102</t>
        </is>
      </c>
      <c r="C1393" s="34" t="inlineStr">
        <is>
          <t>New</t>
        </is>
      </c>
      <c r="D1393" s="34" t="inlineStr">
        <is>
          <t>Record first supplied in this revision</t>
        </is>
      </c>
      <c r="E1393" s="39" t="inlineStr"/>
      <c r="F1393" s="100" t="inlineStr">
        <is>
          <t>10 EVIDENCE &amp; DECISIONS</t>
        </is>
      </c>
      <c r="G1393" s="41" t="n"/>
    </row>
    <row r="1394" ht="79" customHeight="1">
      <c r="A1394" s="34" t="inlineStr">
        <is>
          <t>R823-v1</t>
        </is>
      </c>
      <c r="B1394" s="34" t="inlineStr">
        <is>
          <t>SCH-05-103</t>
        </is>
      </c>
      <c r="C1394" s="34" t="inlineStr">
        <is>
          <t>New</t>
        </is>
      </c>
      <c r="D1394" s="34" t="inlineStr">
        <is>
          <t>Record first supplied in this revision</t>
        </is>
      </c>
      <c r="E1394" s="39" t="inlineStr"/>
      <c r="F1394" s="100" t="inlineStr">
        <is>
          <t>10 EVIDENCE &amp; DECISIONS</t>
        </is>
      </c>
      <c r="G1394" s="41" t="n"/>
    </row>
    <row r="1395" ht="79" customHeight="1">
      <c r="A1395" s="34" t="inlineStr">
        <is>
          <t>R824-v1</t>
        </is>
      </c>
      <c r="B1395" s="34" t="inlineStr">
        <is>
          <t>SCH-05-104</t>
        </is>
      </c>
      <c r="C1395" s="34" t="inlineStr">
        <is>
          <t>New</t>
        </is>
      </c>
      <c r="D1395" s="34" t="inlineStr">
        <is>
          <t>Record first supplied in this revision</t>
        </is>
      </c>
      <c r="E1395" s="39" t="inlineStr"/>
      <c r="F1395" s="100" t="inlineStr">
        <is>
          <t>10 EVIDENCE &amp; DECISIONS</t>
        </is>
      </c>
      <c r="G1395" s="41" t="n"/>
    </row>
    <row r="1396" ht="79" customHeight="1">
      <c r="A1396" s="34" t="inlineStr">
        <is>
          <t>R825-v1</t>
        </is>
      </c>
      <c r="B1396" s="34" t="inlineStr">
        <is>
          <t>SCH-05-105</t>
        </is>
      </c>
      <c r="C1396" s="34" t="inlineStr">
        <is>
          <t>New</t>
        </is>
      </c>
      <c r="D1396" s="34" t="inlineStr">
        <is>
          <t>Record first supplied in this revision</t>
        </is>
      </c>
      <c r="E1396" s="39" t="inlineStr"/>
      <c r="F1396" s="100" t="inlineStr">
        <is>
          <t>10 EVIDENCE &amp; DECISIONS</t>
        </is>
      </c>
      <c r="G1396" s="41" t="n"/>
    </row>
    <row r="1397" ht="79" customHeight="1">
      <c r="A1397" s="34" t="inlineStr">
        <is>
          <t>R826-v1</t>
        </is>
      </c>
      <c r="B1397" s="34" t="inlineStr">
        <is>
          <t>SCH-05-106</t>
        </is>
      </c>
      <c r="C1397" s="34" t="inlineStr">
        <is>
          <t>New</t>
        </is>
      </c>
      <c r="D1397" s="34" t="inlineStr">
        <is>
          <t>Record first supplied in this revision</t>
        </is>
      </c>
      <c r="E1397" s="39" t="inlineStr"/>
      <c r="F1397" s="100" t="inlineStr">
        <is>
          <t>10 EVIDENCE &amp; DECISIONS</t>
        </is>
      </c>
      <c r="G1397" s="41" t="n"/>
    </row>
    <row r="1398" ht="79" customHeight="1">
      <c r="A1398" s="34" t="inlineStr">
        <is>
          <t>R827-v1</t>
        </is>
      </c>
      <c r="B1398" s="34" t="inlineStr">
        <is>
          <t>SCH-05-107</t>
        </is>
      </c>
      <c r="C1398" s="34" t="inlineStr">
        <is>
          <t>New</t>
        </is>
      </c>
      <c r="D1398" s="34" t="inlineStr">
        <is>
          <t>Record first supplied in this revision</t>
        </is>
      </c>
      <c r="E1398" s="39" t="inlineStr"/>
      <c r="F1398" s="100" t="inlineStr">
        <is>
          <t>10 EVIDENCE &amp; DECISIONS</t>
        </is>
      </c>
      <c r="G1398" s="41" t="n"/>
    </row>
    <row r="1399" ht="79" customHeight="1">
      <c r="A1399" s="34" t="inlineStr">
        <is>
          <t>R828-v1</t>
        </is>
      </c>
      <c r="B1399" s="34" t="inlineStr">
        <is>
          <t>SCH-05-108</t>
        </is>
      </c>
      <c r="C1399" s="34" t="inlineStr">
        <is>
          <t>New</t>
        </is>
      </c>
      <c r="D1399" s="34" t="inlineStr">
        <is>
          <t>Record first supplied in this revision</t>
        </is>
      </c>
      <c r="E1399" s="39" t="inlineStr"/>
      <c r="F1399" s="100" t="inlineStr">
        <is>
          <t>10 EVIDENCE &amp; DECISIONS</t>
        </is>
      </c>
      <c r="G1399" s="41" t="n"/>
    </row>
    <row r="1400" ht="79" customHeight="1">
      <c r="A1400" s="34" t="inlineStr">
        <is>
          <t>R829-v1</t>
        </is>
      </c>
      <c r="B1400" s="34" t="inlineStr">
        <is>
          <t>SCH-05-109</t>
        </is>
      </c>
      <c r="C1400" s="34" t="inlineStr">
        <is>
          <t>New</t>
        </is>
      </c>
      <c r="D1400" s="34" t="inlineStr">
        <is>
          <t>Record first supplied in this revision</t>
        </is>
      </c>
      <c r="E1400" s="39" t="inlineStr"/>
      <c r="F1400" s="100" t="inlineStr">
        <is>
          <t>10 EVIDENCE &amp; DECISIONS</t>
        </is>
      </c>
      <c r="G1400" s="41" t="n"/>
    </row>
    <row r="1401" ht="79" customHeight="1">
      <c r="A1401" s="34" t="inlineStr">
        <is>
          <t>R830-v1</t>
        </is>
      </c>
      <c r="B1401" s="34" t="inlineStr">
        <is>
          <t>SCH-05-110</t>
        </is>
      </c>
      <c r="C1401" s="34" t="inlineStr">
        <is>
          <t>New</t>
        </is>
      </c>
      <c r="D1401" s="34" t="inlineStr">
        <is>
          <t>Record first supplied in this revision</t>
        </is>
      </c>
      <c r="E1401" s="39" t="inlineStr"/>
      <c r="F1401" s="100" t="inlineStr">
        <is>
          <t>10 EVIDENCE &amp; DECISIONS</t>
        </is>
      </c>
      <c r="G1401" s="41" t="n"/>
    </row>
    <row r="1402" ht="79" customHeight="1">
      <c r="A1402" s="34" t="inlineStr">
        <is>
          <t>R831-v1</t>
        </is>
      </c>
      <c r="B1402" s="34" t="inlineStr">
        <is>
          <t>SCH-05-111</t>
        </is>
      </c>
      <c r="C1402" s="34" t="inlineStr">
        <is>
          <t>New</t>
        </is>
      </c>
      <c r="D1402" s="34" t="inlineStr">
        <is>
          <t>Record first supplied in this revision</t>
        </is>
      </c>
      <c r="E1402" s="39" t="inlineStr"/>
      <c r="F1402" s="100" t="inlineStr">
        <is>
          <t>10 EVIDENCE &amp; DECISIONS</t>
        </is>
      </c>
      <c r="G1402" s="41" t="n"/>
    </row>
    <row r="1403" ht="79" customHeight="1">
      <c r="A1403" s="34" t="inlineStr">
        <is>
          <t>R832-v1</t>
        </is>
      </c>
      <c r="B1403" s="34" t="inlineStr">
        <is>
          <t>SCH-05-112</t>
        </is>
      </c>
      <c r="C1403" s="34" t="inlineStr">
        <is>
          <t>New</t>
        </is>
      </c>
      <c r="D1403" s="34" t="inlineStr">
        <is>
          <t>Record first supplied in this revision</t>
        </is>
      </c>
      <c r="E1403" s="39" t="inlineStr"/>
      <c r="F1403" s="100" t="inlineStr">
        <is>
          <t>10 EVIDENCE &amp; DECISIONS</t>
        </is>
      </c>
      <c r="G1403" s="41" t="n"/>
    </row>
    <row r="1404" ht="79" customHeight="1">
      <c r="A1404" s="34" t="inlineStr">
        <is>
          <t>R833-v1</t>
        </is>
      </c>
      <c r="B1404" s="34" t="inlineStr">
        <is>
          <t>SCH-05-113</t>
        </is>
      </c>
      <c r="C1404" s="34" t="inlineStr">
        <is>
          <t>New</t>
        </is>
      </c>
      <c r="D1404" s="34" t="inlineStr">
        <is>
          <t>Record first supplied in this revision</t>
        </is>
      </c>
      <c r="E1404" s="39" t="inlineStr"/>
      <c r="F1404" s="100" t="inlineStr">
        <is>
          <t>10 EVIDENCE &amp; DECISIONS</t>
        </is>
      </c>
      <c r="G1404" s="41" t="n"/>
    </row>
    <row r="1405" ht="79" customHeight="1">
      <c r="A1405" s="34" t="inlineStr">
        <is>
          <t>R834-v1</t>
        </is>
      </c>
      <c r="B1405" s="34" t="inlineStr">
        <is>
          <t>SCH-05-114</t>
        </is>
      </c>
      <c r="C1405" s="34" t="inlineStr">
        <is>
          <t>New</t>
        </is>
      </c>
      <c r="D1405" s="34" t="inlineStr">
        <is>
          <t>Record first supplied in this revision</t>
        </is>
      </c>
      <c r="E1405" s="39" t="inlineStr"/>
      <c r="F1405" s="100" t="inlineStr">
        <is>
          <t>10 EVIDENCE &amp; DECISIONS</t>
        </is>
      </c>
      <c r="G1405" s="41" t="n"/>
    </row>
    <row r="1406" ht="79" customHeight="1">
      <c r="A1406" s="34" t="inlineStr">
        <is>
          <t>R835-v1</t>
        </is>
      </c>
      <c r="B1406" s="34" t="inlineStr">
        <is>
          <t>SCH-05-115</t>
        </is>
      </c>
      <c r="C1406" s="34" t="inlineStr">
        <is>
          <t>New</t>
        </is>
      </c>
      <c r="D1406" s="34" t="inlineStr">
        <is>
          <t>Record first supplied in this revision</t>
        </is>
      </c>
      <c r="E1406" s="39" t="inlineStr"/>
      <c r="F1406" s="100" t="inlineStr">
        <is>
          <t>10 EVIDENCE &amp; DECISIONS</t>
        </is>
      </c>
      <c r="G1406" s="41" t="n"/>
    </row>
    <row r="1407" ht="79" customHeight="1">
      <c r="A1407" s="34" t="inlineStr">
        <is>
          <t>R836-v1</t>
        </is>
      </c>
      <c r="B1407" s="34" t="inlineStr">
        <is>
          <t>SCH-05-116</t>
        </is>
      </c>
      <c r="C1407" s="34" t="inlineStr">
        <is>
          <t>New</t>
        </is>
      </c>
      <c r="D1407" s="34" t="inlineStr">
        <is>
          <t>Record first supplied in this revision</t>
        </is>
      </c>
      <c r="E1407" s="39" t="inlineStr"/>
      <c r="F1407" s="100" t="inlineStr">
        <is>
          <t>10 EVIDENCE &amp; DECISIONS</t>
        </is>
      </c>
      <c r="G1407" s="41" t="n"/>
    </row>
    <row r="1408" ht="79" customHeight="1">
      <c r="A1408" s="34" t="inlineStr">
        <is>
          <t>R837-v1</t>
        </is>
      </c>
      <c r="B1408" s="34" t="inlineStr">
        <is>
          <t>SCH-05-117</t>
        </is>
      </c>
      <c r="C1408" s="34" t="inlineStr">
        <is>
          <t>New</t>
        </is>
      </c>
      <c r="D1408" s="34" t="inlineStr">
        <is>
          <t>Record first supplied in this revision</t>
        </is>
      </c>
      <c r="E1408" s="39" t="inlineStr"/>
      <c r="F1408" s="100" t="inlineStr">
        <is>
          <t>10 EVIDENCE &amp; DECISIONS</t>
        </is>
      </c>
      <c r="G1408" s="41" t="n"/>
    </row>
    <row r="1409" ht="79" customHeight="1">
      <c r="A1409" s="34" t="inlineStr">
        <is>
          <t>R838-v1</t>
        </is>
      </c>
      <c r="B1409" s="34" t="inlineStr">
        <is>
          <t>SCH-05-118</t>
        </is>
      </c>
      <c r="C1409" s="34" t="inlineStr">
        <is>
          <t>New</t>
        </is>
      </c>
      <c r="D1409" s="34" t="inlineStr">
        <is>
          <t>Record first supplied in this revision</t>
        </is>
      </c>
      <c r="E1409" s="39" t="inlineStr"/>
      <c r="F1409" s="100" t="inlineStr">
        <is>
          <t>10 EVIDENCE &amp; DECISIONS</t>
        </is>
      </c>
      <c r="G1409" s="41" t="n"/>
    </row>
    <row r="1410" ht="79" customHeight="1">
      <c r="A1410" s="34" t="inlineStr">
        <is>
          <t>R839-v1</t>
        </is>
      </c>
      <c r="B1410" s="34" t="inlineStr">
        <is>
          <t>SCH-05-119</t>
        </is>
      </c>
      <c r="C1410" s="34" t="inlineStr">
        <is>
          <t>New</t>
        </is>
      </c>
      <c r="D1410" s="34" t="inlineStr">
        <is>
          <t>Record first supplied in this revision</t>
        </is>
      </c>
      <c r="E1410" s="39" t="inlineStr"/>
      <c r="F1410" s="100" t="inlineStr">
        <is>
          <t>10 EVIDENCE &amp; DECISIONS</t>
        </is>
      </c>
      <c r="G1410" s="41" t="n"/>
    </row>
    <row r="1411" ht="79" customHeight="1">
      <c r="A1411" s="34" t="inlineStr">
        <is>
          <t>R840-v1</t>
        </is>
      </c>
      <c r="B1411" s="34" t="inlineStr">
        <is>
          <t>SCH-05-120</t>
        </is>
      </c>
      <c r="C1411" s="34" t="inlineStr">
        <is>
          <t>New</t>
        </is>
      </c>
      <c r="D1411" s="34" t="inlineStr">
        <is>
          <t>Record first supplied in this revision</t>
        </is>
      </c>
      <c r="E1411" s="39" t="inlineStr"/>
      <c r="F1411" s="100" t="inlineStr">
        <is>
          <t>10 EVIDENCE &amp; DECISIONS</t>
        </is>
      </c>
      <c r="G1411" s="41" t="n"/>
    </row>
    <row r="1412" ht="79" customHeight="1">
      <c r="A1412" s="34" t="inlineStr">
        <is>
          <t>R841-v1</t>
        </is>
      </c>
      <c r="B1412" s="34" t="inlineStr">
        <is>
          <t>SCH-05-121</t>
        </is>
      </c>
      <c r="C1412" s="34" t="inlineStr">
        <is>
          <t>New</t>
        </is>
      </c>
      <c r="D1412" s="34" t="inlineStr">
        <is>
          <t>Record first supplied in this revision</t>
        </is>
      </c>
      <c r="E1412" s="39" t="inlineStr"/>
      <c r="F1412" s="100" t="inlineStr">
        <is>
          <t>10 EVIDENCE &amp; DECISIONS</t>
        </is>
      </c>
      <c r="G1412" s="41" t="n"/>
    </row>
    <row r="1413" ht="79" customHeight="1">
      <c r="A1413" s="34" t="inlineStr">
        <is>
          <t>R842-v1</t>
        </is>
      </c>
      <c r="B1413" s="34" t="inlineStr">
        <is>
          <t>SCH-05-122</t>
        </is>
      </c>
      <c r="C1413" s="34" t="inlineStr">
        <is>
          <t>New</t>
        </is>
      </c>
      <c r="D1413" s="34" t="inlineStr">
        <is>
          <t>Record first supplied in this revision</t>
        </is>
      </c>
      <c r="E1413" s="39" t="inlineStr"/>
      <c r="F1413" s="100" t="inlineStr">
        <is>
          <t>10 EVIDENCE &amp; DECISIONS</t>
        </is>
      </c>
      <c r="G1413" s="41" t="n"/>
    </row>
    <row r="1414" ht="79" customHeight="1">
      <c r="A1414" s="34" t="inlineStr">
        <is>
          <t>R843-v1</t>
        </is>
      </c>
      <c r="B1414" s="34" t="inlineStr">
        <is>
          <t>SCH-05-123</t>
        </is>
      </c>
      <c r="C1414" s="34" t="inlineStr">
        <is>
          <t>New</t>
        </is>
      </c>
      <c r="D1414" s="34" t="inlineStr">
        <is>
          <t>Record first supplied in this revision</t>
        </is>
      </c>
      <c r="E1414" s="39" t="inlineStr"/>
      <c r="F1414" s="100" t="inlineStr">
        <is>
          <t>10 EVIDENCE &amp; DECISIONS</t>
        </is>
      </c>
      <c r="G1414" s="41" t="n"/>
    </row>
    <row r="1415" ht="79" customHeight="1">
      <c r="A1415" s="34" t="inlineStr">
        <is>
          <t>R844-v1</t>
        </is>
      </c>
      <c r="B1415" s="34" t="inlineStr">
        <is>
          <t>SCH-05-124</t>
        </is>
      </c>
      <c r="C1415" s="34" t="inlineStr">
        <is>
          <t>New</t>
        </is>
      </c>
      <c r="D1415" s="34" t="inlineStr">
        <is>
          <t>Record first supplied in this revision</t>
        </is>
      </c>
      <c r="E1415" s="39" t="inlineStr"/>
      <c r="F1415" s="100" t="inlineStr">
        <is>
          <t>10 EVIDENCE &amp; DECISIONS</t>
        </is>
      </c>
      <c r="G1415" s="41" t="n"/>
    </row>
    <row r="1416" ht="79" customHeight="1">
      <c r="A1416" s="34" t="inlineStr">
        <is>
          <t>R845-v1</t>
        </is>
      </c>
      <c r="B1416" s="34" t="inlineStr">
        <is>
          <t>SCH-05-125</t>
        </is>
      </c>
      <c r="C1416" s="34" t="inlineStr">
        <is>
          <t>New</t>
        </is>
      </c>
      <c r="D1416" s="34" t="inlineStr">
        <is>
          <t>Record first supplied in this revision</t>
        </is>
      </c>
      <c r="E1416" s="39" t="inlineStr"/>
      <c r="F1416" s="100" t="inlineStr">
        <is>
          <t>10 EVIDENCE &amp; DECISIONS</t>
        </is>
      </c>
      <c r="G1416" s="41" t="n"/>
    </row>
    <row r="1417" ht="79" customHeight="1">
      <c r="A1417" s="34" t="inlineStr">
        <is>
          <t>R846-v1</t>
        </is>
      </c>
      <c r="B1417" s="34" t="inlineStr">
        <is>
          <t>SCH-05-126</t>
        </is>
      </c>
      <c r="C1417" s="34" t="inlineStr">
        <is>
          <t>New</t>
        </is>
      </c>
      <c r="D1417" s="34" t="inlineStr">
        <is>
          <t>Record first supplied in this revision</t>
        </is>
      </c>
      <c r="E1417" s="39" t="inlineStr"/>
      <c r="F1417" s="100" t="inlineStr">
        <is>
          <t>10 EVIDENCE &amp; DECISIONS</t>
        </is>
      </c>
      <c r="G1417" s="41" t="n"/>
    </row>
    <row r="1418" ht="79" customHeight="1">
      <c r="A1418" s="34" t="inlineStr">
        <is>
          <t>R847-v1</t>
        </is>
      </c>
      <c r="B1418" s="34" t="inlineStr">
        <is>
          <t>SCH-05-127</t>
        </is>
      </c>
      <c r="C1418" s="34" t="inlineStr">
        <is>
          <t>New</t>
        </is>
      </c>
      <c r="D1418" s="34" t="inlineStr">
        <is>
          <t>Record first supplied in this revision</t>
        </is>
      </c>
      <c r="E1418" s="39" t="inlineStr"/>
      <c r="F1418" s="100" t="inlineStr">
        <is>
          <t>10 EVIDENCE &amp; DECISIONS</t>
        </is>
      </c>
      <c r="G1418" s="41" t="n"/>
    </row>
    <row r="1419" ht="79" customHeight="1">
      <c r="A1419" s="34" t="inlineStr">
        <is>
          <t>R848-v1</t>
        </is>
      </c>
      <c r="B1419" s="34" t="inlineStr">
        <is>
          <t>SCH-05-128</t>
        </is>
      </c>
      <c r="C1419" s="34" t="inlineStr">
        <is>
          <t>New</t>
        </is>
      </c>
      <c r="D1419" s="34" t="inlineStr">
        <is>
          <t>Record first supplied in this revision</t>
        </is>
      </c>
      <c r="E1419" s="39" t="inlineStr"/>
      <c r="F1419" s="100" t="inlineStr">
        <is>
          <t>10 EVIDENCE &amp; DECISIONS</t>
        </is>
      </c>
      <c r="G1419" s="41" t="n"/>
    </row>
    <row r="1420" ht="79" customHeight="1">
      <c r="A1420" s="34" t="inlineStr">
        <is>
          <t>R849-v1</t>
        </is>
      </c>
      <c r="B1420" s="34" t="inlineStr">
        <is>
          <t>SCH-05-129</t>
        </is>
      </c>
      <c r="C1420" s="34" t="inlineStr">
        <is>
          <t>New</t>
        </is>
      </c>
      <c r="D1420" s="34" t="inlineStr">
        <is>
          <t>Record first supplied in this revision</t>
        </is>
      </c>
      <c r="E1420" s="39" t="inlineStr"/>
      <c r="F1420" s="100" t="inlineStr">
        <is>
          <t>10 EVIDENCE &amp; DECISIONS</t>
        </is>
      </c>
      <c r="G1420" s="41" t="n"/>
    </row>
    <row r="1421" ht="79" customHeight="1">
      <c r="A1421" s="34" t="inlineStr">
        <is>
          <t>R850-v1</t>
        </is>
      </c>
      <c r="B1421" s="34" t="inlineStr">
        <is>
          <t>SCH-05-130</t>
        </is>
      </c>
      <c r="C1421" s="34" t="inlineStr">
        <is>
          <t>New</t>
        </is>
      </c>
      <c r="D1421" s="34" t="inlineStr">
        <is>
          <t>Record first supplied in this revision</t>
        </is>
      </c>
      <c r="E1421" s="39" t="inlineStr"/>
      <c r="F1421" s="100" t="inlineStr">
        <is>
          <t>10 EVIDENCE &amp; DECISIONS</t>
        </is>
      </c>
      <c r="G1421" s="41" t="n"/>
    </row>
    <row r="1422" ht="79" customHeight="1">
      <c r="A1422" s="34" t="inlineStr">
        <is>
          <t>R851-v1</t>
        </is>
      </c>
      <c r="B1422" s="34" t="inlineStr">
        <is>
          <t>SCH-05-131</t>
        </is>
      </c>
      <c r="C1422" s="34" t="inlineStr">
        <is>
          <t>New</t>
        </is>
      </c>
      <c r="D1422" s="34" t="inlineStr">
        <is>
          <t>Record first supplied in this revision</t>
        </is>
      </c>
      <c r="E1422" s="39" t="inlineStr"/>
      <c r="F1422" s="100" t="inlineStr">
        <is>
          <t>10 EVIDENCE &amp; DECISIONS</t>
        </is>
      </c>
      <c r="G1422" s="41" t="n"/>
    </row>
    <row r="1423" ht="79" customHeight="1">
      <c r="A1423" s="34" t="inlineStr">
        <is>
          <t>R852-v1</t>
        </is>
      </c>
      <c r="B1423" s="34" t="inlineStr">
        <is>
          <t>SCH-05-132</t>
        </is>
      </c>
      <c r="C1423" s="34" t="inlineStr">
        <is>
          <t>New</t>
        </is>
      </c>
      <c r="D1423" s="34" t="inlineStr">
        <is>
          <t>Record first supplied in this revision</t>
        </is>
      </c>
      <c r="E1423" s="39" t="inlineStr"/>
      <c r="F1423" s="100" t="inlineStr">
        <is>
          <t>10 EVIDENCE &amp; DECISIONS</t>
        </is>
      </c>
      <c r="G1423" s="41" t="n"/>
    </row>
    <row r="1424" ht="79" customHeight="1">
      <c r="A1424" s="34" t="inlineStr">
        <is>
          <t>R853-v1</t>
        </is>
      </c>
      <c r="B1424" s="34" t="inlineStr">
        <is>
          <t>SCH-05-133</t>
        </is>
      </c>
      <c r="C1424" s="34" t="inlineStr">
        <is>
          <t>New</t>
        </is>
      </c>
      <c r="D1424" s="34" t="inlineStr">
        <is>
          <t>Record first supplied in this revision</t>
        </is>
      </c>
      <c r="E1424" s="39" t="inlineStr"/>
      <c r="F1424" s="100" t="inlineStr">
        <is>
          <t>10 EVIDENCE &amp; DECISIONS</t>
        </is>
      </c>
      <c r="G1424" s="41" t="n"/>
    </row>
    <row r="1425" ht="79" customHeight="1">
      <c r="A1425" s="34" t="inlineStr">
        <is>
          <t>R854-v1</t>
        </is>
      </c>
      <c r="B1425" s="34" t="inlineStr">
        <is>
          <t>SCH-05-134</t>
        </is>
      </c>
      <c r="C1425" s="34" t="inlineStr">
        <is>
          <t>New</t>
        </is>
      </c>
      <c r="D1425" s="34" t="inlineStr">
        <is>
          <t>Record first supplied in this revision</t>
        </is>
      </c>
      <c r="E1425" s="39" t="inlineStr"/>
      <c r="F1425" s="100" t="inlineStr">
        <is>
          <t>10 EVIDENCE &amp; DECISIONS</t>
        </is>
      </c>
      <c r="G1425" s="41" t="n"/>
    </row>
    <row r="1426" ht="79" customHeight="1">
      <c r="A1426" s="34" t="inlineStr">
        <is>
          <t>R855-v1</t>
        </is>
      </c>
      <c r="B1426" s="34" t="inlineStr">
        <is>
          <t>SCH-05-135</t>
        </is>
      </c>
      <c r="C1426" s="34" t="inlineStr">
        <is>
          <t>New</t>
        </is>
      </c>
      <c r="D1426" s="34" t="inlineStr">
        <is>
          <t>Record first supplied in this revision</t>
        </is>
      </c>
      <c r="E1426" s="39" t="inlineStr"/>
      <c r="F1426" s="100" t="inlineStr">
        <is>
          <t>10 EVIDENCE &amp; DECISIONS</t>
        </is>
      </c>
      <c r="G1426" s="41" t="n"/>
    </row>
    <row r="1427" ht="79" customHeight="1">
      <c r="A1427" s="34" t="inlineStr">
        <is>
          <t>R856-v1</t>
        </is>
      </c>
      <c r="B1427" s="34" t="inlineStr">
        <is>
          <t>SCH-05-136</t>
        </is>
      </c>
      <c r="C1427" s="34" t="inlineStr">
        <is>
          <t>New</t>
        </is>
      </c>
      <c r="D1427" s="34" t="inlineStr">
        <is>
          <t>Record first supplied in this revision</t>
        </is>
      </c>
      <c r="E1427" s="39" t="inlineStr"/>
      <c r="F1427" s="100" t="inlineStr">
        <is>
          <t>10 EVIDENCE &amp; DECISIONS</t>
        </is>
      </c>
      <c r="G1427" s="41" t="n"/>
    </row>
    <row r="1428" ht="79" customHeight="1">
      <c r="A1428" s="34" t="inlineStr">
        <is>
          <t>R857-v1</t>
        </is>
      </c>
      <c r="B1428" s="34" t="inlineStr">
        <is>
          <t>SCH-05-137</t>
        </is>
      </c>
      <c r="C1428" s="34" t="inlineStr">
        <is>
          <t>New</t>
        </is>
      </c>
      <c r="D1428" s="34" t="inlineStr">
        <is>
          <t>Record first supplied in this revision</t>
        </is>
      </c>
      <c r="E1428" s="39" t="inlineStr"/>
      <c r="F1428" s="100" t="inlineStr">
        <is>
          <t>10 EVIDENCE &amp; DECISIONS</t>
        </is>
      </c>
      <c r="G1428" s="41" t="n"/>
    </row>
    <row r="1429" ht="79" customHeight="1">
      <c r="A1429" s="34" t="inlineStr">
        <is>
          <t>R858-v1</t>
        </is>
      </c>
      <c r="B1429" s="34" t="inlineStr">
        <is>
          <t>SCH-05-138</t>
        </is>
      </c>
      <c r="C1429" s="34" t="inlineStr">
        <is>
          <t>New</t>
        </is>
      </c>
      <c r="D1429" s="34" t="inlineStr">
        <is>
          <t>Record first supplied in this revision</t>
        </is>
      </c>
      <c r="E1429" s="39" t="inlineStr"/>
      <c r="F1429" s="100" t="inlineStr">
        <is>
          <t>10 EVIDENCE &amp; DECISIONS</t>
        </is>
      </c>
      <c r="G1429" s="41" t="n"/>
    </row>
    <row r="1430" ht="79" customHeight="1">
      <c r="A1430" s="34" t="inlineStr">
        <is>
          <t>R859-v1</t>
        </is>
      </c>
      <c r="B1430" s="34" t="inlineStr">
        <is>
          <t>SCH-05-139</t>
        </is>
      </c>
      <c r="C1430" s="34" t="inlineStr">
        <is>
          <t>New</t>
        </is>
      </c>
      <c r="D1430" s="34" t="inlineStr">
        <is>
          <t>Record first supplied in this revision</t>
        </is>
      </c>
      <c r="E1430" s="39" t="inlineStr"/>
      <c r="F1430" s="100" t="inlineStr">
        <is>
          <t>10 EVIDENCE &amp; DECISIONS</t>
        </is>
      </c>
      <c r="G1430" s="41" t="n"/>
    </row>
    <row r="1431" ht="79" customHeight="1">
      <c r="A1431" s="34" t="inlineStr">
        <is>
          <t>R860-v1</t>
        </is>
      </c>
      <c r="B1431" s="34" t="inlineStr">
        <is>
          <t>SCH-05-140</t>
        </is>
      </c>
      <c r="C1431" s="34" t="inlineStr">
        <is>
          <t>New</t>
        </is>
      </c>
      <c r="D1431" s="34" t="inlineStr">
        <is>
          <t>Record first supplied in this revision</t>
        </is>
      </c>
      <c r="E1431" s="39" t="inlineStr"/>
      <c r="F1431" s="100" t="inlineStr">
        <is>
          <t>10 EVIDENCE &amp; DECISIONS</t>
        </is>
      </c>
      <c r="G1431" s="41" t="n"/>
    </row>
    <row r="1432" ht="79" customHeight="1">
      <c r="A1432" s="34" t="inlineStr">
        <is>
          <t>R861-v1</t>
        </is>
      </c>
      <c r="B1432" s="34" t="inlineStr">
        <is>
          <t>SCH-05-141</t>
        </is>
      </c>
      <c r="C1432" s="34" t="inlineStr">
        <is>
          <t>New</t>
        </is>
      </c>
      <c r="D1432" s="34" t="inlineStr">
        <is>
          <t>Record first supplied in this revision</t>
        </is>
      </c>
      <c r="E1432" s="39" t="inlineStr"/>
      <c r="F1432" s="100" t="inlineStr">
        <is>
          <t>10 EVIDENCE &amp; DECISIONS</t>
        </is>
      </c>
      <c r="G1432" s="41" t="n"/>
    </row>
    <row r="1433" ht="79" customHeight="1">
      <c r="A1433" s="34" t="inlineStr">
        <is>
          <t>R862-v1</t>
        </is>
      </c>
      <c r="B1433" s="34" t="inlineStr">
        <is>
          <t>SCH-05-142</t>
        </is>
      </c>
      <c r="C1433" s="34" t="inlineStr">
        <is>
          <t>New</t>
        </is>
      </c>
      <c r="D1433" s="34" t="inlineStr">
        <is>
          <t>Record first supplied in this revision</t>
        </is>
      </c>
      <c r="E1433" s="39" t="inlineStr"/>
      <c r="F1433" s="100" t="inlineStr">
        <is>
          <t>10 EVIDENCE &amp; DECISIONS</t>
        </is>
      </c>
      <c r="G1433" s="41" t="n"/>
    </row>
    <row r="1434" ht="79" customHeight="1">
      <c r="A1434" s="34" t="inlineStr">
        <is>
          <t>R863-v1</t>
        </is>
      </c>
      <c r="B1434" s="34" t="inlineStr">
        <is>
          <t>SCH-05-143</t>
        </is>
      </c>
      <c r="C1434" s="34" t="inlineStr">
        <is>
          <t>New</t>
        </is>
      </c>
      <c r="D1434" s="34" t="inlineStr">
        <is>
          <t>Record first supplied in this revision</t>
        </is>
      </c>
      <c r="E1434" s="39" t="inlineStr"/>
      <c r="F1434" s="100" t="inlineStr">
        <is>
          <t>10 EVIDENCE &amp; DECISIONS</t>
        </is>
      </c>
      <c r="G1434" s="41" t="n"/>
    </row>
    <row r="1435" ht="79" customHeight="1">
      <c r="A1435" s="34" t="inlineStr">
        <is>
          <t>R864-v1</t>
        </is>
      </c>
      <c r="B1435" s="34" t="inlineStr">
        <is>
          <t>SCH-05-144</t>
        </is>
      </c>
      <c r="C1435" s="34" t="inlineStr">
        <is>
          <t>New</t>
        </is>
      </c>
      <c r="D1435" s="34" t="inlineStr">
        <is>
          <t>Record first supplied in this revision</t>
        </is>
      </c>
      <c r="E1435" s="39" t="inlineStr"/>
      <c r="F1435" s="100" t="inlineStr">
        <is>
          <t>10 EVIDENCE &amp; DECISIONS</t>
        </is>
      </c>
      <c r="G1435" s="41" t="n"/>
    </row>
    <row r="1436" ht="79" customHeight="1">
      <c r="A1436" s="34" t="inlineStr">
        <is>
          <t>R865-v1</t>
        </is>
      </c>
      <c r="B1436" s="34" t="inlineStr">
        <is>
          <t>SCH-05-145</t>
        </is>
      </c>
      <c r="C1436" s="34" t="inlineStr">
        <is>
          <t>New</t>
        </is>
      </c>
      <c r="D1436" s="34" t="inlineStr">
        <is>
          <t>Record first supplied in this revision</t>
        </is>
      </c>
      <c r="E1436" s="39" t="inlineStr"/>
      <c r="F1436" s="100" t="inlineStr">
        <is>
          <t>10 EVIDENCE &amp; DECISIONS</t>
        </is>
      </c>
      <c r="G1436" s="41" t="n"/>
    </row>
    <row r="1437" ht="79" customHeight="1">
      <c r="A1437" s="34" t="inlineStr">
        <is>
          <t>R866-v1</t>
        </is>
      </c>
      <c r="B1437" s="34" t="inlineStr">
        <is>
          <t>SCH-05-146</t>
        </is>
      </c>
      <c r="C1437" s="34" t="inlineStr">
        <is>
          <t>New</t>
        </is>
      </c>
      <c r="D1437" s="34" t="inlineStr">
        <is>
          <t>Record first supplied in this revision</t>
        </is>
      </c>
      <c r="E1437" s="39" t="inlineStr"/>
      <c r="F1437" s="100" t="inlineStr">
        <is>
          <t>10 EVIDENCE &amp; DECISIONS</t>
        </is>
      </c>
      <c r="G1437" s="41" t="n"/>
    </row>
    <row r="1438" ht="79" customHeight="1">
      <c r="A1438" s="34" t="inlineStr">
        <is>
          <t>R867-v1</t>
        </is>
      </c>
      <c r="B1438" s="34" t="inlineStr">
        <is>
          <t>SCH-05-147</t>
        </is>
      </c>
      <c r="C1438" s="34" t="inlineStr">
        <is>
          <t>New</t>
        </is>
      </c>
      <c r="D1438" s="34" t="inlineStr">
        <is>
          <t>Record first supplied in this revision</t>
        </is>
      </c>
      <c r="E1438" s="39" t="inlineStr"/>
      <c r="F1438" s="100" t="inlineStr">
        <is>
          <t>10 EVIDENCE &amp; DECISIONS</t>
        </is>
      </c>
      <c r="G1438" s="41" t="n"/>
    </row>
    <row r="1439" ht="79" customHeight="1">
      <c r="A1439" s="34" t="inlineStr">
        <is>
          <t>R868-v1</t>
        </is>
      </c>
      <c r="B1439" s="34" t="inlineStr">
        <is>
          <t>SCH-05-148</t>
        </is>
      </c>
      <c r="C1439" s="34" t="inlineStr">
        <is>
          <t>New</t>
        </is>
      </c>
      <c r="D1439" s="34" t="inlineStr">
        <is>
          <t>Record first supplied in this revision</t>
        </is>
      </c>
      <c r="E1439" s="39" t="inlineStr"/>
      <c r="F1439" s="100" t="inlineStr">
        <is>
          <t>10 EVIDENCE &amp; DECISIONS</t>
        </is>
      </c>
      <c r="G1439" s="41" t="n"/>
    </row>
    <row r="1440" ht="79" customHeight="1">
      <c r="A1440" s="34" t="inlineStr">
        <is>
          <t>R869-v1</t>
        </is>
      </c>
      <c r="B1440" s="34" t="inlineStr">
        <is>
          <t>SCH-05-149</t>
        </is>
      </c>
      <c r="C1440" s="34" t="inlineStr">
        <is>
          <t>New</t>
        </is>
      </c>
      <c r="D1440" s="34" t="inlineStr">
        <is>
          <t>Record first supplied in this revision</t>
        </is>
      </c>
      <c r="E1440" s="39" t="inlineStr"/>
      <c r="F1440" s="100" t="inlineStr">
        <is>
          <t>10 EVIDENCE &amp; DECISIONS</t>
        </is>
      </c>
      <c r="G1440" s="41" t="n"/>
    </row>
    <row r="1441" ht="79" customHeight="1">
      <c r="A1441" s="34" t="inlineStr">
        <is>
          <t>R870-v1</t>
        </is>
      </c>
      <c r="B1441" s="34" t="inlineStr">
        <is>
          <t>SCH-05-150</t>
        </is>
      </c>
      <c r="C1441" s="34" t="inlineStr">
        <is>
          <t>New</t>
        </is>
      </c>
      <c r="D1441" s="34" t="inlineStr">
        <is>
          <t>Record first supplied in this revision</t>
        </is>
      </c>
      <c r="E1441" s="39" t="inlineStr"/>
      <c r="F1441" s="100" t="inlineStr">
        <is>
          <t>10 EVIDENCE &amp; DECISIONS</t>
        </is>
      </c>
      <c r="G1441" s="41" t="n"/>
    </row>
    <row r="1442" ht="79" customHeight="1">
      <c r="A1442" s="34" t="inlineStr">
        <is>
          <t>R871-v1</t>
        </is>
      </c>
      <c r="B1442" s="34" t="inlineStr">
        <is>
          <t>SCH-05-151</t>
        </is>
      </c>
      <c r="C1442" s="34" t="inlineStr">
        <is>
          <t>New</t>
        </is>
      </c>
      <c r="D1442" s="34" t="inlineStr">
        <is>
          <t>Record first supplied in this revision</t>
        </is>
      </c>
      <c r="E1442" s="39" t="inlineStr"/>
      <c r="F1442" s="100" t="inlineStr">
        <is>
          <t>10 EVIDENCE &amp; DECISIONS</t>
        </is>
      </c>
      <c r="G1442" s="41" t="n"/>
    </row>
    <row r="1443" ht="79" customHeight="1">
      <c r="A1443" s="34" t="inlineStr">
        <is>
          <t>R872-v1</t>
        </is>
      </c>
      <c r="B1443" s="34" t="inlineStr">
        <is>
          <t>SCH-05-152</t>
        </is>
      </c>
      <c r="C1443" s="34" t="inlineStr">
        <is>
          <t>New</t>
        </is>
      </c>
      <c r="D1443" s="34" t="inlineStr">
        <is>
          <t>Record first supplied in this revision</t>
        </is>
      </c>
      <c r="E1443" s="39" t="inlineStr"/>
      <c r="F1443" s="100" t="inlineStr">
        <is>
          <t>10 EVIDENCE &amp; DECISIONS</t>
        </is>
      </c>
      <c r="G1443" s="41" t="n"/>
    </row>
    <row r="1444" ht="79" customHeight="1">
      <c r="A1444" s="34" t="inlineStr">
        <is>
          <t>R873-v1</t>
        </is>
      </c>
      <c r="B1444" s="34" t="inlineStr">
        <is>
          <t>SCH-05-153</t>
        </is>
      </c>
      <c r="C1444" s="34" t="inlineStr">
        <is>
          <t>New</t>
        </is>
      </c>
      <c r="D1444" s="34" t="inlineStr">
        <is>
          <t>Record first supplied in this revision</t>
        </is>
      </c>
      <c r="E1444" s="39" t="inlineStr"/>
      <c r="F1444" s="100" t="inlineStr">
        <is>
          <t>10 EVIDENCE &amp; DECISIONS</t>
        </is>
      </c>
      <c r="G1444" s="41" t="n"/>
    </row>
    <row r="1445" ht="79" customHeight="1">
      <c r="A1445" s="34" t="inlineStr">
        <is>
          <t>R874-v1</t>
        </is>
      </c>
      <c r="B1445" s="34" t="inlineStr">
        <is>
          <t>SCH-05-154</t>
        </is>
      </c>
      <c r="C1445" s="34" t="inlineStr">
        <is>
          <t>New</t>
        </is>
      </c>
      <c r="D1445" s="34" t="inlineStr">
        <is>
          <t>Record first supplied in this revision</t>
        </is>
      </c>
      <c r="E1445" s="39" t="inlineStr"/>
      <c r="F1445" s="100" t="inlineStr">
        <is>
          <t>10 EVIDENCE &amp; DECISIONS</t>
        </is>
      </c>
      <c r="G1445" s="41" t="n"/>
    </row>
    <row r="1446" ht="79" customHeight="1">
      <c r="A1446" s="34" t="inlineStr">
        <is>
          <t>R875-v1</t>
        </is>
      </c>
      <c r="B1446" s="34" t="inlineStr">
        <is>
          <t>SCH-05-155</t>
        </is>
      </c>
      <c r="C1446" s="34" t="inlineStr">
        <is>
          <t>New</t>
        </is>
      </c>
      <c r="D1446" s="34" t="inlineStr">
        <is>
          <t>Record first supplied in this revision</t>
        </is>
      </c>
      <c r="E1446" s="39" t="inlineStr"/>
      <c r="F1446" s="100" t="inlineStr">
        <is>
          <t>10 EVIDENCE &amp; DECISIONS</t>
        </is>
      </c>
      <c r="G1446" s="41" t="n"/>
    </row>
    <row r="1447" ht="79" customHeight="1">
      <c r="A1447" s="34" t="inlineStr">
        <is>
          <t>R876-v1</t>
        </is>
      </c>
      <c r="B1447" s="34" t="inlineStr">
        <is>
          <t>SCH-05-156</t>
        </is>
      </c>
      <c r="C1447" s="34" t="inlineStr">
        <is>
          <t>New</t>
        </is>
      </c>
      <c r="D1447" s="34" t="inlineStr">
        <is>
          <t>Record first supplied in this revision</t>
        </is>
      </c>
      <c r="E1447" s="39" t="inlineStr"/>
      <c r="F1447" s="100" t="inlineStr">
        <is>
          <t>10 EVIDENCE &amp; DECISIONS</t>
        </is>
      </c>
      <c r="G1447" s="41" t="n"/>
    </row>
    <row r="1448" ht="79" customHeight="1">
      <c r="A1448" s="34" t="inlineStr">
        <is>
          <t>R877-v1</t>
        </is>
      </c>
      <c r="B1448" s="34" t="inlineStr">
        <is>
          <t>SCH-05-157</t>
        </is>
      </c>
      <c r="C1448" s="34" t="inlineStr">
        <is>
          <t>New</t>
        </is>
      </c>
      <c r="D1448" s="34" t="inlineStr">
        <is>
          <t>Record first supplied in this revision</t>
        </is>
      </c>
      <c r="E1448" s="39" t="inlineStr"/>
      <c r="F1448" s="100" t="inlineStr">
        <is>
          <t>10 EVIDENCE &amp; DECISIONS</t>
        </is>
      </c>
      <c r="G1448" s="41" t="n"/>
    </row>
    <row r="1449" ht="79" customHeight="1">
      <c r="A1449" s="34" t="inlineStr">
        <is>
          <t>R878-v1</t>
        </is>
      </c>
      <c r="B1449" s="34" t="inlineStr">
        <is>
          <t>SCH-05-158</t>
        </is>
      </c>
      <c r="C1449" s="34" t="inlineStr">
        <is>
          <t>New</t>
        </is>
      </c>
      <c r="D1449" s="34" t="inlineStr">
        <is>
          <t>Record first supplied in this revision</t>
        </is>
      </c>
      <c r="E1449" s="39" t="inlineStr"/>
      <c r="F1449" s="100" t="inlineStr">
        <is>
          <t>10 EVIDENCE &amp; DECISIONS</t>
        </is>
      </c>
      <c r="G1449" s="41" t="n"/>
    </row>
    <row r="1450" ht="79" customHeight="1">
      <c r="A1450" s="34" t="inlineStr">
        <is>
          <t>R879-v1</t>
        </is>
      </c>
      <c r="B1450" s="34" t="inlineStr">
        <is>
          <t>SCH-05-159</t>
        </is>
      </c>
      <c r="C1450" s="34" t="inlineStr">
        <is>
          <t>New</t>
        </is>
      </c>
      <c r="D1450" s="34" t="inlineStr">
        <is>
          <t>Record first supplied in this revision</t>
        </is>
      </c>
      <c r="E1450" s="39" t="inlineStr"/>
      <c r="F1450" s="100" t="inlineStr">
        <is>
          <t>10 EVIDENCE &amp; DECISIONS</t>
        </is>
      </c>
      <c r="G1450" s="41" t="n"/>
    </row>
    <row r="1451" ht="79" customHeight="1">
      <c r="A1451" s="34" t="inlineStr">
        <is>
          <t>R880-v1</t>
        </is>
      </c>
      <c r="B1451" s="34" t="inlineStr">
        <is>
          <t>SCH-05-160</t>
        </is>
      </c>
      <c r="C1451" s="34" t="inlineStr">
        <is>
          <t>New</t>
        </is>
      </c>
      <c r="D1451" s="34" t="inlineStr">
        <is>
          <t>Record first supplied in this revision</t>
        </is>
      </c>
      <c r="E1451" s="39" t="inlineStr"/>
      <c r="F1451" s="100" t="inlineStr">
        <is>
          <t>10 EVIDENCE &amp; DECISIONS</t>
        </is>
      </c>
      <c r="G1451" s="41" t="n"/>
    </row>
    <row r="1452" ht="79" customHeight="1">
      <c r="A1452" s="34" t="inlineStr">
        <is>
          <t>R881-v1</t>
        </is>
      </c>
      <c r="B1452" s="34" t="inlineStr">
        <is>
          <t>SCH-05-161</t>
        </is>
      </c>
      <c r="C1452" s="34" t="inlineStr">
        <is>
          <t>New</t>
        </is>
      </c>
      <c r="D1452" s="34" t="inlineStr">
        <is>
          <t>Record first supplied in this revision</t>
        </is>
      </c>
      <c r="E1452" s="39" t="inlineStr"/>
      <c r="F1452" s="100" t="inlineStr">
        <is>
          <t>10 EVIDENCE &amp; DECISIONS</t>
        </is>
      </c>
      <c r="G1452" s="41" t="n"/>
    </row>
    <row r="1453" ht="79" customHeight="1">
      <c r="A1453" s="34" t="inlineStr">
        <is>
          <t>R882-v1</t>
        </is>
      </c>
      <c r="B1453" s="34" t="inlineStr">
        <is>
          <t>SCH-05-162</t>
        </is>
      </c>
      <c r="C1453" s="34" t="inlineStr">
        <is>
          <t>New</t>
        </is>
      </c>
      <c r="D1453" s="34" t="inlineStr">
        <is>
          <t>Record first supplied in this revision</t>
        </is>
      </c>
      <c r="E1453" s="39" t="inlineStr"/>
      <c r="F1453" s="100" t="inlineStr">
        <is>
          <t>10 EVIDENCE &amp; DECISIONS</t>
        </is>
      </c>
      <c r="G1453" s="41" t="n"/>
    </row>
    <row r="1454" ht="79" customHeight="1">
      <c r="A1454" s="34" t="inlineStr">
        <is>
          <t>R883-v1</t>
        </is>
      </c>
      <c r="B1454" s="34" t="inlineStr">
        <is>
          <t>SCH-05-163</t>
        </is>
      </c>
      <c r="C1454" s="34" t="inlineStr">
        <is>
          <t>New</t>
        </is>
      </c>
      <c r="D1454" s="34" t="inlineStr">
        <is>
          <t>Record first supplied in this revision</t>
        </is>
      </c>
      <c r="E1454" s="39" t="inlineStr"/>
      <c r="F1454" s="100" t="inlineStr">
        <is>
          <t>10 EVIDENCE &amp; DECISIONS</t>
        </is>
      </c>
      <c r="G1454" s="41" t="n"/>
    </row>
    <row r="1455" ht="79" customHeight="1">
      <c r="A1455" s="34" t="inlineStr">
        <is>
          <t>R884-v1</t>
        </is>
      </c>
      <c r="B1455" s="34" t="inlineStr">
        <is>
          <t>SCH-05-164</t>
        </is>
      </c>
      <c r="C1455" s="34" t="inlineStr">
        <is>
          <t>New</t>
        </is>
      </c>
      <c r="D1455" s="34" t="inlineStr">
        <is>
          <t>Record first supplied in this revision</t>
        </is>
      </c>
      <c r="E1455" s="39" t="inlineStr"/>
      <c r="F1455" s="100" t="inlineStr">
        <is>
          <t>10 EVIDENCE &amp; DECISIONS</t>
        </is>
      </c>
      <c r="G1455" s="41" t="n"/>
    </row>
    <row r="1456" ht="79" customHeight="1">
      <c r="A1456" s="34" t="inlineStr">
        <is>
          <t>R885-v1</t>
        </is>
      </c>
      <c r="B1456" s="34" t="inlineStr">
        <is>
          <t>SCH-05-165</t>
        </is>
      </c>
      <c r="C1456" s="34" t="inlineStr">
        <is>
          <t>New</t>
        </is>
      </c>
      <c r="D1456" s="34" t="inlineStr">
        <is>
          <t>Record first supplied in this revision</t>
        </is>
      </c>
      <c r="E1456" s="39" t="inlineStr"/>
      <c r="F1456" s="100" t="inlineStr">
        <is>
          <t>10 EVIDENCE &amp; DECISIONS</t>
        </is>
      </c>
      <c r="G1456" s="41" t="n"/>
    </row>
    <row r="1457" ht="79" customHeight="1">
      <c r="A1457" s="34" t="inlineStr">
        <is>
          <t>R886-v1</t>
        </is>
      </c>
      <c r="B1457" s="34" t="inlineStr">
        <is>
          <t>SCH-05-166</t>
        </is>
      </c>
      <c r="C1457" s="34" t="inlineStr">
        <is>
          <t>New</t>
        </is>
      </c>
      <c r="D1457" s="34" t="inlineStr">
        <is>
          <t>Record first supplied in this revision</t>
        </is>
      </c>
      <c r="E1457" s="39" t="inlineStr"/>
      <c r="F1457" s="100" t="inlineStr">
        <is>
          <t>10 EVIDENCE &amp; DECISIONS</t>
        </is>
      </c>
      <c r="G1457" s="41" t="n"/>
    </row>
    <row r="1458" ht="79" customHeight="1">
      <c r="A1458" s="34" t="inlineStr">
        <is>
          <t>R887-v1</t>
        </is>
      </c>
      <c r="B1458" s="34" t="inlineStr">
        <is>
          <t>SCH-05-167</t>
        </is>
      </c>
      <c r="C1458" s="34" t="inlineStr">
        <is>
          <t>New</t>
        </is>
      </c>
      <c r="D1458" s="34" t="inlineStr">
        <is>
          <t>Record first supplied in this revision</t>
        </is>
      </c>
      <c r="E1458" s="39" t="inlineStr"/>
      <c r="F1458" s="100" t="inlineStr">
        <is>
          <t>10 EVIDENCE &amp; DECISIONS</t>
        </is>
      </c>
      <c r="G1458" s="41" t="n"/>
    </row>
    <row r="1459" ht="79" customHeight="1">
      <c r="A1459" s="34" t="inlineStr">
        <is>
          <t>R888-v1</t>
        </is>
      </c>
      <c r="B1459" s="34" t="inlineStr">
        <is>
          <t>SCH-05-168</t>
        </is>
      </c>
      <c r="C1459" s="34" t="inlineStr">
        <is>
          <t>New</t>
        </is>
      </c>
      <c r="D1459" s="34" t="inlineStr">
        <is>
          <t>Record first supplied in this revision</t>
        </is>
      </c>
      <c r="E1459" s="39" t="inlineStr"/>
      <c r="F1459" s="100" t="inlineStr">
        <is>
          <t>10 EVIDENCE &amp; DECISIONS</t>
        </is>
      </c>
      <c r="G1459" s="41" t="n"/>
    </row>
    <row r="1460" ht="79" customHeight="1">
      <c r="A1460" s="34" t="inlineStr">
        <is>
          <t>R889-v1</t>
        </is>
      </c>
      <c r="B1460" s="34" t="inlineStr">
        <is>
          <t>SCH-05-169</t>
        </is>
      </c>
      <c r="C1460" s="34" t="inlineStr">
        <is>
          <t>New</t>
        </is>
      </c>
      <c r="D1460" s="34" t="inlineStr">
        <is>
          <t>Record first supplied in this revision</t>
        </is>
      </c>
      <c r="E1460" s="39" t="inlineStr"/>
      <c r="F1460" s="100" t="inlineStr">
        <is>
          <t>10 EVIDENCE &amp; DECISIONS</t>
        </is>
      </c>
      <c r="G1460" s="41" t="n"/>
    </row>
    <row r="1461" ht="79" customHeight="1">
      <c r="A1461" s="34" t="inlineStr">
        <is>
          <t>R890-v1</t>
        </is>
      </c>
      <c r="B1461" s="34" t="inlineStr">
        <is>
          <t>SCH-05-170</t>
        </is>
      </c>
      <c r="C1461" s="34" t="inlineStr">
        <is>
          <t>New</t>
        </is>
      </c>
      <c r="D1461" s="34" t="inlineStr">
        <is>
          <t>Record first supplied in this revision</t>
        </is>
      </c>
      <c r="E1461" s="39" t="inlineStr"/>
      <c r="F1461" s="100" t="inlineStr">
        <is>
          <t>10 EVIDENCE &amp; DECISIONS</t>
        </is>
      </c>
      <c r="G1461" s="41" t="n"/>
    </row>
    <row r="1462" ht="79" customHeight="1">
      <c r="A1462" s="34" t="inlineStr">
        <is>
          <t>R891-v1</t>
        </is>
      </c>
      <c r="B1462" s="34" t="inlineStr">
        <is>
          <t>SCH-05-171</t>
        </is>
      </c>
      <c r="C1462" s="34" t="inlineStr">
        <is>
          <t>New</t>
        </is>
      </c>
      <c r="D1462" s="34" t="inlineStr">
        <is>
          <t>Record first supplied in this revision</t>
        </is>
      </c>
      <c r="E1462" s="39" t="inlineStr"/>
      <c r="F1462" s="100" t="inlineStr">
        <is>
          <t>10 EVIDENCE &amp; DECISIONS</t>
        </is>
      </c>
      <c r="G1462" s="41" t="n"/>
    </row>
    <row r="1463" ht="79" customHeight="1">
      <c r="A1463" s="34" t="inlineStr">
        <is>
          <t>R892-v1</t>
        </is>
      </c>
      <c r="B1463" s="34" t="inlineStr">
        <is>
          <t>SCH-05-172</t>
        </is>
      </c>
      <c r="C1463" s="34" t="inlineStr">
        <is>
          <t>New</t>
        </is>
      </c>
      <c r="D1463" s="34" t="inlineStr">
        <is>
          <t>Record first supplied in this revision</t>
        </is>
      </c>
      <c r="E1463" s="39" t="inlineStr"/>
      <c r="F1463" s="100" t="inlineStr">
        <is>
          <t>10 EVIDENCE &amp; DECISIONS</t>
        </is>
      </c>
      <c r="G1463" s="41" t="n"/>
    </row>
    <row r="1464" ht="79" customHeight="1">
      <c r="A1464" s="34" t="inlineStr">
        <is>
          <t>R893-v1</t>
        </is>
      </c>
      <c r="B1464" s="34" t="inlineStr">
        <is>
          <t>SCH-05-173</t>
        </is>
      </c>
      <c r="C1464" s="34" t="inlineStr">
        <is>
          <t>New</t>
        </is>
      </c>
      <c r="D1464" s="34" t="inlineStr">
        <is>
          <t>Record first supplied in this revision</t>
        </is>
      </c>
      <c r="E1464" s="39" t="inlineStr"/>
      <c r="F1464" s="100" t="inlineStr">
        <is>
          <t>10 EVIDENCE &amp; DECISIONS</t>
        </is>
      </c>
      <c r="G1464" s="41" t="n"/>
    </row>
    <row r="1465" ht="79" customHeight="1">
      <c r="A1465" s="34" t="inlineStr">
        <is>
          <t>R894-v1</t>
        </is>
      </c>
      <c r="B1465" s="34" t="inlineStr">
        <is>
          <t>SCH-05-174</t>
        </is>
      </c>
      <c r="C1465" s="34" t="inlineStr">
        <is>
          <t>New</t>
        </is>
      </c>
      <c r="D1465" s="34" t="inlineStr">
        <is>
          <t>Record first supplied in this revision</t>
        </is>
      </c>
      <c r="E1465" s="39" t="inlineStr"/>
      <c r="F1465" s="100" t="inlineStr">
        <is>
          <t>10 EVIDENCE &amp; DECISIONS</t>
        </is>
      </c>
      <c r="G1465" s="41" t="n"/>
    </row>
    <row r="1466" ht="79" customHeight="1">
      <c r="A1466" s="34" t="inlineStr">
        <is>
          <t>R895-v1</t>
        </is>
      </c>
      <c r="B1466" s="34" t="inlineStr">
        <is>
          <t>SCH-05-175</t>
        </is>
      </c>
      <c r="C1466" s="34" t="inlineStr">
        <is>
          <t>New</t>
        </is>
      </c>
      <c r="D1466" s="34" t="inlineStr">
        <is>
          <t>Record first supplied in this revision</t>
        </is>
      </c>
      <c r="E1466" s="39" t="inlineStr"/>
      <c r="F1466" s="100" t="inlineStr">
        <is>
          <t>10 EVIDENCE &amp; DECISIONS</t>
        </is>
      </c>
      <c r="G1466" s="41" t="n"/>
    </row>
    <row r="1467" ht="79" customHeight="1">
      <c r="A1467" s="34" t="inlineStr">
        <is>
          <t>R896-v1</t>
        </is>
      </c>
      <c r="B1467" s="34" t="inlineStr">
        <is>
          <t>SCH-05-176</t>
        </is>
      </c>
      <c r="C1467" s="34" t="inlineStr">
        <is>
          <t>New</t>
        </is>
      </c>
      <c r="D1467" s="34" t="inlineStr">
        <is>
          <t>Record first supplied in this revision</t>
        </is>
      </c>
      <c r="E1467" s="39" t="inlineStr"/>
      <c r="F1467" s="100" t="inlineStr">
        <is>
          <t>10 EVIDENCE &amp; DECISIONS</t>
        </is>
      </c>
      <c r="G1467" s="41" t="n"/>
    </row>
    <row r="1468" ht="79" customHeight="1">
      <c r="A1468" s="34" t="inlineStr">
        <is>
          <t>R897-v1</t>
        </is>
      </c>
      <c r="B1468" s="34" t="inlineStr">
        <is>
          <t>SCH-05-177</t>
        </is>
      </c>
      <c r="C1468" s="34" t="inlineStr">
        <is>
          <t>New</t>
        </is>
      </c>
      <c r="D1468" s="34" t="inlineStr">
        <is>
          <t>Record first supplied in this revision</t>
        </is>
      </c>
      <c r="E1468" s="39" t="inlineStr"/>
      <c r="F1468" s="100" t="inlineStr">
        <is>
          <t>10 EVIDENCE &amp; DECISIONS</t>
        </is>
      </c>
      <c r="G1468" s="41" t="n"/>
    </row>
    <row r="1469" ht="79" customHeight="1">
      <c r="A1469" s="34" t="inlineStr">
        <is>
          <t>R898-v1</t>
        </is>
      </c>
      <c r="B1469" s="34" t="inlineStr">
        <is>
          <t>SCH-05-178</t>
        </is>
      </c>
      <c r="C1469" s="34" t="inlineStr">
        <is>
          <t>New</t>
        </is>
      </c>
      <c r="D1469" s="34" t="inlineStr">
        <is>
          <t>Record first supplied in this revision</t>
        </is>
      </c>
      <c r="E1469" s="39" t="inlineStr"/>
      <c r="F1469" s="100" t="inlineStr">
        <is>
          <t>10 EVIDENCE &amp; DECISIONS</t>
        </is>
      </c>
      <c r="G1469" s="41" t="n"/>
    </row>
    <row r="1470" ht="79" customHeight="1">
      <c r="A1470" s="34" t="inlineStr">
        <is>
          <t>R899-v1</t>
        </is>
      </c>
      <c r="B1470" s="34" t="inlineStr">
        <is>
          <t>SCH-05-179</t>
        </is>
      </c>
      <c r="C1470" s="34" t="inlineStr">
        <is>
          <t>New</t>
        </is>
      </c>
      <c r="D1470" s="34" t="inlineStr">
        <is>
          <t>Record first supplied in this revision</t>
        </is>
      </c>
      <c r="E1470" s="39" t="inlineStr"/>
      <c r="F1470" s="100" t="inlineStr">
        <is>
          <t>10 EVIDENCE &amp; DECISIONS</t>
        </is>
      </c>
      <c r="G1470" s="41" t="n"/>
    </row>
    <row r="1471" ht="79" customHeight="1">
      <c r="A1471" s="34" t="inlineStr">
        <is>
          <t>R900-v1</t>
        </is>
      </c>
      <c r="B1471" s="34" t="inlineStr">
        <is>
          <t>SCH-05-180</t>
        </is>
      </c>
      <c r="C1471" s="34" t="inlineStr">
        <is>
          <t>New</t>
        </is>
      </c>
      <c r="D1471" s="34" t="inlineStr">
        <is>
          <t>Record first supplied in this revision</t>
        </is>
      </c>
      <c r="E1471" s="39" t="inlineStr"/>
      <c r="F1471" s="100" t="inlineStr">
        <is>
          <t>10 EVIDENCE &amp; DECISIONS</t>
        </is>
      </c>
      <c r="G1471" s="41" t="n"/>
    </row>
    <row r="1472" ht="79" customHeight="1">
      <c r="A1472" s="34" t="inlineStr">
        <is>
          <t>R901-v2</t>
        </is>
      </c>
      <c r="B1472" s="34" t="inlineStr">
        <is>
          <t>SCH-06-001</t>
        </is>
      </c>
      <c r="C1472" s="34" t="inlineStr">
        <is>
          <t>New</t>
        </is>
      </c>
      <c r="D1472" s="34" t="inlineStr">
        <is>
          <t>Record first supplied in this revision</t>
        </is>
      </c>
      <c r="E1472" s="34" t="inlineStr">
        <is>
          <t>Maya Chen, Owner Project Controls</t>
        </is>
      </c>
      <c r="F1472" s="100" t="inlineStr">
        <is>
          <t>10 EVIDENCE &amp; DECISIONS</t>
        </is>
      </c>
      <c r="G1472" s="41" t="n"/>
    </row>
    <row r="1473" ht="79" customHeight="1">
      <c r="A1473" s="34" t="inlineStr">
        <is>
          <t>R902-v2</t>
        </is>
      </c>
      <c r="B1473" s="34" t="inlineStr">
        <is>
          <t>SCH-06-002</t>
        </is>
      </c>
      <c r="C1473" s="34" t="inlineStr">
        <is>
          <t>New</t>
        </is>
      </c>
      <c r="D1473" s="34" t="inlineStr">
        <is>
          <t>Record first supplied in this revision</t>
        </is>
      </c>
      <c r="E1473" s="34" t="inlineStr">
        <is>
          <t>Maya Chen, Owner Project Controls</t>
        </is>
      </c>
      <c r="F1473" s="100" t="inlineStr">
        <is>
          <t>10 EVIDENCE &amp; DECISIONS</t>
        </is>
      </c>
      <c r="G1473" s="41" t="n"/>
    </row>
    <row r="1474" ht="79" customHeight="1">
      <c r="A1474" s="34" t="inlineStr">
        <is>
          <t>R903-v2</t>
        </is>
      </c>
      <c r="B1474" s="34" t="inlineStr">
        <is>
          <t>SCH-06-003</t>
        </is>
      </c>
      <c r="C1474" s="34" t="inlineStr">
        <is>
          <t>New</t>
        </is>
      </c>
      <c r="D1474" s="34" t="inlineStr">
        <is>
          <t>Record first supplied in this revision</t>
        </is>
      </c>
      <c r="E1474" s="34" t="inlineStr">
        <is>
          <t>Maya Chen, Owner Project Controls</t>
        </is>
      </c>
      <c r="F1474" s="100" t="inlineStr">
        <is>
          <t>10 EVIDENCE &amp; DECISIONS</t>
        </is>
      </c>
      <c r="G1474" s="41" t="n"/>
    </row>
    <row r="1475" ht="79" customHeight="1">
      <c r="A1475" s="34" t="inlineStr">
        <is>
          <t>R904-v2</t>
        </is>
      </c>
      <c r="B1475" s="34" t="inlineStr">
        <is>
          <t>SCH-06-004</t>
        </is>
      </c>
      <c r="C1475" s="34" t="inlineStr">
        <is>
          <t>New</t>
        </is>
      </c>
      <c r="D1475" s="34" t="inlineStr">
        <is>
          <t>Record first supplied in this revision</t>
        </is>
      </c>
      <c r="E1475" s="34" t="inlineStr">
        <is>
          <t>Maya Chen, Owner Project Controls</t>
        </is>
      </c>
      <c r="F1475" s="100" t="inlineStr">
        <is>
          <t>10 EVIDENCE &amp; DECISIONS</t>
        </is>
      </c>
      <c r="G1475" s="41" t="n"/>
    </row>
    <row r="1476" ht="79" customHeight="1">
      <c r="A1476" s="34" t="inlineStr">
        <is>
          <t>R905-v2</t>
        </is>
      </c>
      <c r="B1476" s="34" t="inlineStr">
        <is>
          <t>SCH-06-005</t>
        </is>
      </c>
      <c r="C1476" s="34" t="inlineStr">
        <is>
          <t>New</t>
        </is>
      </c>
      <c r="D1476" s="34" t="inlineStr">
        <is>
          <t>Record first supplied in this revision</t>
        </is>
      </c>
      <c r="E1476" s="34" t="inlineStr">
        <is>
          <t>Maya Chen, Owner Project Controls</t>
        </is>
      </c>
      <c r="F1476" s="100" t="inlineStr">
        <is>
          <t>10 EVIDENCE &amp; DECISIONS</t>
        </is>
      </c>
      <c r="G1476" s="41" t="n"/>
    </row>
    <row r="1477" ht="79" customHeight="1">
      <c r="A1477" s="34" t="inlineStr">
        <is>
          <t>R906-v2</t>
        </is>
      </c>
      <c r="B1477" s="34" t="inlineStr">
        <is>
          <t>SCH-06-006</t>
        </is>
      </c>
      <c r="C1477" s="34" t="inlineStr">
        <is>
          <t>New</t>
        </is>
      </c>
      <c r="D1477" s="34" t="inlineStr">
        <is>
          <t>Record first supplied in this revision</t>
        </is>
      </c>
      <c r="E1477" s="34" t="inlineStr">
        <is>
          <t>Maya Chen, Owner Project Controls</t>
        </is>
      </c>
      <c r="F1477" s="100" t="inlineStr">
        <is>
          <t>10 EVIDENCE &amp; DECISIONS</t>
        </is>
      </c>
      <c r="G1477" s="41" t="n"/>
    </row>
    <row r="1478" ht="79" customHeight="1">
      <c r="A1478" s="34" t="inlineStr">
        <is>
          <t>R907-v2</t>
        </is>
      </c>
      <c r="B1478" s="34" t="inlineStr">
        <is>
          <t>SCH-06-007</t>
        </is>
      </c>
      <c r="C1478" s="34" t="inlineStr">
        <is>
          <t>New</t>
        </is>
      </c>
      <c r="D1478" s="34" t="inlineStr">
        <is>
          <t>Record first supplied in this revision</t>
        </is>
      </c>
      <c r="E1478" s="34" t="inlineStr">
        <is>
          <t>Maya Chen, Owner Project Controls</t>
        </is>
      </c>
      <c r="F1478" s="100" t="inlineStr">
        <is>
          <t>10 EVIDENCE &amp; DECISIONS</t>
        </is>
      </c>
      <c r="G1478" s="41" t="n"/>
    </row>
    <row r="1479" ht="79" customHeight="1">
      <c r="A1479" s="34" t="inlineStr">
        <is>
          <t>R908-v2</t>
        </is>
      </c>
      <c r="B1479" s="34" t="inlineStr">
        <is>
          <t>SCH-06-008</t>
        </is>
      </c>
      <c r="C1479" s="34" t="inlineStr">
        <is>
          <t>New</t>
        </is>
      </c>
      <c r="D1479" s="34" t="inlineStr">
        <is>
          <t>Record first supplied in this revision</t>
        </is>
      </c>
      <c r="E1479" s="34" t="inlineStr">
        <is>
          <t>Maya Chen, Owner Project Controls</t>
        </is>
      </c>
      <c r="F1479" s="100" t="inlineStr">
        <is>
          <t>10 EVIDENCE &amp; DECISIONS</t>
        </is>
      </c>
      <c r="G1479" s="41" t="n"/>
    </row>
    <row r="1480" ht="79" customHeight="1">
      <c r="A1480" s="34" t="inlineStr">
        <is>
          <t>R909-v2</t>
        </is>
      </c>
      <c r="B1480" s="34" t="inlineStr">
        <is>
          <t>SCH-06-009</t>
        </is>
      </c>
      <c r="C1480" s="34" t="inlineStr">
        <is>
          <t>New</t>
        </is>
      </c>
      <c r="D1480" s="34" t="inlineStr">
        <is>
          <t>Record first supplied in this revision</t>
        </is>
      </c>
      <c r="E1480" s="34" t="inlineStr">
        <is>
          <t>Maya Chen, Owner Project Controls</t>
        </is>
      </c>
      <c r="F1480" s="100" t="inlineStr">
        <is>
          <t>10 EVIDENCE &amp; DECISIONS</t>
        </is>
      </c>
      <c r="G1480" s="41" t="n"/>
    </row>
    <row r="1481" ht="79" customHeight="1">
      <c r="A1481" s="34" t="inlineStr">
        <is>
          <t>R910-v2</t>
        </is>
      </c>
      <c r="B1481" s="34" t="inlineStr">
        <is>
          <t>SCH-06-010</t>
        </is>
      </c>
      <c r="C1481" s="34" t="inlineStr">
        <is>
          <t>New</t>
        </is>
      </c>
      <c r="D1481" s="34" t="inlineStr">
        <is>
          <t>Record first supplied in this revision</t>
        </is>
      </c>
      <c r="E1481" s="34" t="inlineStr">
        <is>
          <t>Maya Chen, Owner Project Controls</t>
        </is>
      </c>
      <c r="F1481" s="100" t="inlineStr">
        <is>
          <t>10 EVIDENCE &amp; DECISIONS</t>
        </is>
      </c>
      <c r="G1481" s="41" t="n"/>
    </row>
    <row r="1482" ht="79" customHeight="1">
      <c r="A1482" s="34" t="inlineStr">
        <is>
          <t>R911-v2</t>
        </is>
      </c>
      <c r="B1482" s="34" t="inlineStr">
        <is>
          <t>SCH-06-011</t>
        </is>
      </c>
      <c r="C1482" s="34" t="inlineStr">
        <is>
          <t>New</t>
        </is>
      </c>
      <c r="D1482" s="34" t="inlineStr">
        <is>
          <t>Record first supplied in this revision</t>
        </is>
      </c>
      <c r="E1482" s="34" t="inlineStr">
        <is>
          <t>Maya Chen, Owner Project Controls</t>
        </is>
      </c>
      <c r="F1482" s="100" t="inlineStr">
        <is>
          <t>10 EVIDENCE &amp; DECISIONS</t>
        </is>
      </c>
      <c r="G1482" s="41" t="n"/>
    </row>
    <row r="1483" ht="79" customHeight="1">
      <c r="A1483" s="34" t="inlineStr">
        <is>
          <t>R912-v2</t>
        </is>
      </c>
      <c r="B1483" s="34" t="inlineStr">
        <is>
          <t>SCH-06-012</t>
        </is>
      </c>
      <c r="C1483" s="34" t="inlineStr">
        <is>
          <t>New</t>
        </is>
      </c>
      <c r="D1483" s="34" t="inlineStr">
        <is>
          <t>Record first supplied in this revision</t>
        </is>
      </c>
      <c r="E1483" s="34" t="inlineStr">
        <is>
          <t>Maya Chen, Owner Project Controls</t>
        </is>
      </c>
      <c r="F1483" s="100" t="inlineStr">
        <is>
          <t>10 EVIDENCE &amp; DECISIONS</t>
        </is>
      </c>
      <c r="G1483" s="41" t="n"/>
    </row>
    <row r="1484" ht="79" customHeight="1">
      <c r="A1484" s="34" t="inlineStr">
        <is>
          <t>R913-v2</t>
        </is>
      </c>
      <c r="B1484" s="34" t="inlineStr">
        <is>
          <t>SCH-06-013</t>
        </is>
      </c>
      <c r="C1484" s="34" t="inlineStr">
        <is>
          <t>New</t>
        </is>
      </c>
      <c r="D1484" s="34" t="inlineStr">
        <is>
          <t>Record first supplied in this revision</t>
        </is>
      </c>
      <c r="E1484" s="34" t="inlineStr">
        <is>
          <t>Maya Chen, Owner Project Controls</t>
        </is>
      </c>
      <c r="F1484" s="100" t="inlineStr">
        <is>
          <t>10 EVIDENCE &amp; DECISIONS</t>
        </is>
      </c>
      <c r="G1484" s="41" t="n"/>
    </row>
    <row r="1485" ht="79" customHeight="1">
      <c r="A1485" s="34" t="inlineStr">
        <is>
          <t>R914-v2</t>
        </is>
      </c>
      <c r="B1485" s="34" t="inlineStr">
        <is>
          <t>SCH-06-014</t>
        </is>
      </c>
      <c r="C1485" s="34" t="inlineStr">
        <is>
          <t>New</t>
        </is>
      </c>
      <c r="D1485" s="34" t="inlineStr">
        <is>
          <t>Record first supplied in this revision</t>
        </is>
      </c>
      <c r="E1485" s="34" t="inlineStr">
        <is>
          <t>Maya Chen, Owner Project Controls</t>
        </is>
      </c>
      <c r="F1485" s="100" t="inlineStr">
        <is>
          <t>10 EVIDENCE &amp; DECISIONS</t>
        </is>
      </c>
      <c r="G1485" s="41" t="n"/>
    </row>
    <row r="1486" ht="79" customHeight="1">
      <c r="A1486" s="34" t="inlineStr">
        <is>
          <t>R915-v2</t>
        </is>
      </c>
      <c r="B1486" s="34" t="inlineStr">
        <is>
          <t>SCH-06-015</t>
        </is>
      </c>
      <c r="C1486" s="34" t="inlineStr">
        <is>
          <t>New</t>
        </is>
      </c>
      <c r="D1486" s="34" t="inlineStr">
        <is>
          <t>Record first supplied in this revision</t>
        </is>
      </c>
      <c r="E1486" s="34" t="inlineStr">
        <is>
          <t>Maya Chen, Owner Project Controls</t>
        </is>
      </c>
      <c r="F1486" s="100" t="inlineStr">
        <is>
          <t>10 EVIDENCE &amp; DECISIONS</t>
        </is>
      </c>
      <c r="G1486" s="41" t="n"/>
    </row>
    <row r="1487" ht="79" customHeight="1">
      <c r="A1487" s="34" t="inlineStr">
        <is>
          <t>R916-v2</t>
        </is>
      </c>
      <c r="B1487" s="34" t="inlineStr">
        <is>
          <t>SCH-06-016</t>
        </is>
      </c>
      <c r="C1487" s="34" t="inlineStr">
        <is>
          <t>New</t>
        </is>
      </c>
      <c r="D1487" s="34" t="inlineStr">
        <is>
          <t>Record first supplied in this revision</t>
        </is>
      </c>
      <c r="E1487" s="34" t="inlineStr">
        <is>
          <t>Maya Chen, Owner Project Controls</t>
        </is>
      </c>
      <c r="F1487" s="100" t="inlineStr">
        <is>
          <t>10 EVIDENCE &amp; DECISIONS</t>
        </is>
      </c>
      <c r="G1487" s="41" t="n"/>
    </row>
    <row r="1488" ht="79" customHeight="1">
      <c r="A1488" s="34" t="inlineStr">
        <is>
          <t>R917-v2</t>
        </is>
      </c>
      <c r="B1488" s="34" t="inlineStr">
        <is>
          <t>SCH-06-017</t>
        </is>
      </c>
      <c r="C1488" s="34" t="inlineStr">
        <is>
          <t>New</t>
        </is>
      </c>
      <c r="D1488" s="34" t="inlineStr">
        <is>
          <t>Record first supplied in this revision</t>
        </is>
      </c>
      <c r="E1488" s="34" t="inlineStr">
        <is>
          <t>Maya Chen, Owner Project Controls</t>
        </is>
      </c>
      <c r="F1488" s="100" t="inlineStr">
        <is>
          <t>10 EVIDENCE &amp; DECISIONS</t>
        </is>
      </c>
      <c r="G1488" s="41" t="n"/>
    </row>
    <row r="1489" ht="79" customHeight="1">
      <c r="A1489" s="34" t="inlineStr">
        <is>
          <t>R918-v2</t>
        </is>
      </c>
      <c r="B1489" s="34" t="inlineStr">
        <is>
          <t>SCH-06-018</t>
        </is>
      </c>
      <c r="C1489" s="34" t="inlineStr">
        <is>
          <t>New</t>
        </is>
      </c>
      <c r="D1489" s="34" t="inlineStr">
        <is>
          <t>Record first supplied in this revision</t>
        </is>
      </c>
      <c r="E1489" s="34" t="inlineStr">
        <is>
          <t>Maya Chen, Owner Project Controls</t>
        </is>
      </c>
      <c r="F1489" s="100" t="inlineStr">
        <is>
          <t>10 EVIDENCE &amp; DECISIONS</t>
        </is>
      </c>
      <c r="G1489" s="41" t="n"/>
    </row>
    <row r="1490" ht="79" customHeight="1">
      <c r="A1490" s="34" t="inlineStr">
        <is>
          <t>R919-v2</t>
        </is>
      </c>
      <c r="B1490" s="34" t="inlineStr">
        <is>
          <t>SCH-06-019</t>
        </is>
      </c>
      <c r="C1490" s="34" t="inlineStr">
        <is>
          <t>New</t>
        </is>
      </c>
      <c r="D1490" s="34" t="inlineStr">
        <is>
          <t>Record first supplied in this revision</t>
        </is>
      </c>
      <c r="E1490" s="34" t="inlineStr">
        <is>
          <t>Maya Chen, Owner Project Controls</t>
        </is>
      </c>
      <c r="F1490" s="100" t="inlineStr">
        <is>
          <t>10 EVIDENCE &amp; DECISIONS</t>
        </is>
      </c>
      <c r="G1490" s="41" t="n"/>
    </row>
    <row r="1491" ht="79" customHeight="1">
      <c r="A1491" s="34" t="inlineStr">
        <is>
          <t>R920-v2</t>
        </is>
      </c>
      <c r="B1491" s="34" t="inlineStr">
        <is>
          <t>SCH-06-020</t>
        </is>
      </c>
      <c r="C1491" s="34" t="inlineStr">
        <is>
          <t>New</t>
        </is>
      </c>
      <c r="D1491" s="34" t="inlineStr">
        <is>
          <t>Record first supplied in this revision</t>
        </is>
      </c>
      <c r="E1491" s="34" t="inlineStr">
        <is>
          <t>Maya Chen, Owner Project Controls</t>
        </is>
      </c>
      <c r="F1491" s="100" t="inlineStr">
        <is>
          <t>10 EVIDENCE &amp; DECISIONS</t>
        </is>
      </c>
      <c r="G1491" s="41" t="n"/>
    </row>
    <row r="1492" ht="79" customHeight="1">
      <c r="A1492" s="34" t="inlineStr">
        <is>
          <t>R921-v2</t>
        </is>
      </c>
      <c r="B1492" s="34" t="inlineStr">
        <is>
          <t>SCH-06-021</t>
        </is>
      </c>
      <c r="C1492" s="34" t="inlineStr">
        <is>
          <t>New</t>
        </is>
      </c>
      <c r="D1492" s="34" t="inlineStr">
        <is>
          <t>Record first supplied in this revision</t>
        </is>
      </c>
      <c r="E1492" s="34" t="inlineStr">
        <is>
          <t>Maya Chen, Owner Project Controls</t>
        </is>
      </c>
      <c r="F1492" s="100" t="inlineStr">
        <is>
          <t>10 EVIDENCE &amp; DECISIONS</t>
        </is>
      </c>
      <c r="G1492" s="41" t="n"/>
    </row>
    <row r="1493" ht="79" customHeight="1">
      <c r="A1493" s="34" t="inlineStr">
        <is>
          <t>R922-v2</t>
        </is>
      </c>
      <c r="B1493" s="34" t="inlineStr">
        <is>
          <t>SCH-06-022</t>
        </is>
      </c>
      <c r="C1493" s="34" t="inlineStr">
        <is>
          <t>New</t>
        </is>
      </c>
      <c r="D1493" s="34" t="inlineStr">
        <is>
          <t>Record first supplied in this revision</t>
        </is>
      </c>
      <c r="E1493" s="34" t="inlineStr">
        <is>
          <t>Maya Chen, Owner Project Controls</t>
        </is>
      </c>
      <c r="F1493" s="100" t="inlineStr">
        <is>
          <t>10 EVIDENCE &amp; DECISIONS</t>
        </is>
      </c>
      <c r="G1493" s="41" t="n"/>
    </row>
    <row r="1494" ht="79" customHeight="1">
      <c r="A1494" s="34" t="inlineStr">
        <is>
          <t>R923-v2</t>
        </is>
      </c>
      <c r="B1494" s="34" t="inlineStr">
        <is>
          <t>SCH-06-023</t>
        </is>
      </c>
      <c r="C1494" s="34" t="inlineStr">
        <is>
          <t>New</t>
        </is>
      </c>
      <c r="D1494" s="34" t="inlineStr">
        <is>
          <t>Record first supplied in this revision</t>
        </is>
      </c>
      <c r="E1494" s="34" t="inlineStr">
        <is>
          <t>Maya Chen, Owner Project Controls</t>
        </is>
      </c>
      <c r="F1494" s="100" t="inlineStr">
        <is>
          <t>10 EVIDENCE &amp; DECISIONS</t>
        </is>
      </c>
      <c r="G1494" s="41" t="n"/>
    </row>
    <row r="1495" ht="79" customHeight="1">
      <c r="A1495" s="34" t="inlineStr">
        <is>
          <t>R924-v2</t>
        </is>
      </c>
      <c r="B1495" s="34" t="inlineStr">
        <is>
          <t>SCH-06-024</t>
        </is>
      </c>
      <c r="C1495" s="34" t="inlineStr">
        <is>
          <t>New</t>
        </is>
      </c>
      <c r="D1495" s="34" t="inlineStr">
        <is>
          <t>Record first supplied in this revision</t>
        </is>
      </c>
      <c r="E1495" s="34" t="inlineStr">
        <is>
          <t>Maya Chen, Owner Project Controls</t>
        </is>
      </c>
      <c r="F1495" s="100" t="inlineStr">
        <is>
          <t>10 EVIDENCE &amp; DECISIONS</t>
        </is>
      </c>
      <c r="G1495" s="41" t="n"/>
    </row>
    <row r="1496" ht="79" customHeight="1">
      <c r="A1496" s="34" t="inlineStr">
        <is>
          <t>R925-v2</t>
        </is>
      </c>
      <c r="B1496" s="34" t="inlineStr">
        <is>
          <t>SCH-06-025</t>
        </is>
      </c>
      <c r="C1496" s="34" t="inlineStr">
        <is>
          <t>New</t>
        </is>
      </c>
      <c r="D1496" s="34" t="inlineStr">
        <is>
          <t>Record first supplied in this revision</t>
        </is>
      </c>
      <c r="E1496" s="34" t="inlineStr">
        <is>
          <t>Maya Chen, Owner Project Controls</t>
        </is>
      </c>
      <c r="F1496" s="100" t="inlineStr">
        <is>
          <t>10 EVIDENCE &amp; DECISIONS</t>
        </is>
      </c>
      <c r="G1496" s="41" t="n"/>
    </row>
    <row r="1497" ht="79" customHeight="1">
      <c r="A1497" s="34" t="inlineStr">
        <is>
          <t>R926-v2</t>
        </is>
      </c>
      <c r="B1497" s="34" t="inlineStr">
        <is>
          <t>SCH-06-026</t>
        </is>
      </c>
      <c r="C1497" s="34" t="inlineStr">
        <is>
          <t>New</t>
        </is>
      </c>
      <c r="D1497" s="34" t="inlineStr">
        <is>
          <t>Record first supplied in this revision</t>
        </is>
      </c>
      <c r="E1497" s="34" t="inlineStr">
        <is>
          <t>Maya Chen, Owner Project Controls</t>
        </is>
      </c>
      <c r="F1497" s="100" t="inlineStr">
        <is>
          <t>10 EVIDENCE &amp; DECISIONS</t>
        </is>
      </c>
      <c r="G1497" s="41" t="n"/>
    </row>
    <row r="1498" ht="79" customHeight="1">
      <c r="A1498" s="34" t="inlineStr">
        <is>
          <t>R927-v2</t>
        </is>
      </c>
      <c r="B1498" s="34" t="inlineStr">
        <is>
          <t>SCH-06-027</t>
        </is>
      </c>
      <c r="C1498" s="34" t="inlineStr">
        <is>
          <t>New</t>
        </is>
      </c>
      <c r="D1498" s="34" t="inlineStr">
        <is>
          <t>Record first supplied in this revision</t>
        </is>
      </c>
      <c r="E1498" s="34" t="inlineStr">
        <is>
          <t>Maya Chen, Owner Project Controls</t>
        </is>
      </c>
      <c r="F1498" s="100" t="inlineStr">
        <is>
          <t>10 EVIDENCE &amp; DECISIONS</t>
        </is>
      </c>
      <c r="G1498" s="41" t="n"/>
    </row>
    <row r="1499" ht="79" customHeight="1">
      <c r="A1499" s="34" t="inlineStr">
        <is>
          <t>R928-v2</t>
        </is>
      </c>
      <c r="B1499" s="34" t="inlineStr">
        <is>
          <t>SCH-06-028</t>
        </is>
      </c>
      <c r="C1499" s="34" t="inlineStr">
        <is>
          <t>New</t>
        </is>
      </c>
      <c r="D1499" s="34" t="inlineStr">
        <is>
          <t>Record first supplied in this revision</t>
        </is>
      </c>
      <c r="E1499" s="34" t="inlineStr">
        <is>
          <t>Maya Chen, Owner Project Controls</t>
        </is>
      </c>
      <c r="F1499" s="100" t="inlineStr">
        <is>
          <t>10 EVIDENCE &amp; DECISIONS</t>
        </is>
      </c>
      <c r="G1499" s="41" t="n"/>
    </row>
    <row r="1500" ht="79" customHeight="1">
      <c r="A1500" s="34" t="inlineStr">
        <is>
          <t>R929-v2</t>
        </is>
      </c>
      <c r="B1500" s="34" t="inlineStr">
        <is>
          <t>SCH-06-029</t>
        </is>
      </c>
      <c r="C1500" s="34" t="inlineStr">
        <is>
          <t>New</t>
        </is>
      </c>
      <c r="D1500" s="34" t="inlineStr">
        <is>
          <t>Record first supplied in this revision</t>
        </is>
      </c>
      <c r="E1500" s="34" t="inlineStr">
        <is>
          <t>Maya Chen, Owner Project Controls</t>
        </is>
      </c>
      <c r="F1500" s="100" t="inlineStr">
        <is>
          <t>10 EVIDENCE &amp; DECISIONS</t>
        </is>
      </c>
      <c r="G1500" s="41" t="n"/>
    </row>
    <row r="1501" ht="79" customHeight="1">
      <c r="A1501" s="34" t="inlineStr">
        <is>
          <t>R930-v2</t>
        </is>
      </c>
      <c r="B1501" s="34" t="inlineStr">
        <is>
          <t>SCH-06-030</t>
        </is>
      </c>
      <c r="C1501" s="34" t="inlineStr">
        <is>
          <t>New</t>
        </is>
      </c>
      <c r="D1501" s="34" t="inlineStr">
        <is>
          <t>Record first supplied in this revision</t>
        </is>
      </c>
      <c r="E1501" s="34" t="inlineStr">
        <is>
          <t>Maya Chen, Owner Project Controls</t>
        </is>
      </c>
      <c r="F1501" s="100" t="inlineStr">
        <is>
          <t>10 EVIDENCE &amp; DECISIONS</t>
        </is>
      </c>
      <c r="G1501" s="41" t="n"/>
    </row>
    <row r="1502" ht="79" customHeight="1">
      <c r="A1502" s="34" t="inlineStr">
        <is>
          <t>R931-v2</t>
        </is>
      </c>
      <c r="B1502" s="34" t="inlineStr">
        <is>
          <t>SCH-06-031</t>
        </is>
      </c>
      <c r="C1502" s="34" t="inlineStr">
        <is>
          <t>New</t>
        </is>
      </c>
      <c r="D1502" s="34" t="inlineStr">
        <is>
          <t>Record first supplied in this revision</t>
        </is>
      </c>
      <c r="E1502" s="34" t="inlineStr">
        <is>
          <t>Maya Chen, Owner Project Controls</t>
        </is>
      </c>
      <c r="F1502" s="100" t="inlineStr">
        <is>
          <t>10 EVIDENCE &amp; DECISIONS</t>
        </is>
      </c>
      <c r="G1502" s="41" t="n"/>
    </row>
    <row r="1503" ht="79" customHeight="1">
      <c r="A1503" s="34" t="inlineStr">
        <is>
          <t>R932-v2</t>
        </is>
      </c>
      <c r="B1503" s="34" t="inlineStr">
        <is>
          <t>SCH-06-032</t>
        </is>
      </c>
      <c r="C1503" s="34" t="inlineStr">
        <is>
          <t>New</t>
        </is>
      </c>
      <c r="D1503" s="34" t="inlineStr">
        <is>
          <t>Record first supplied in this revision</t>
        </is>
      </c>
      <c r="E1503" s="34" t="inlineStr">
        <is>
          <t>Maya Chen, Owner Project Controls</t>
        </is>
      </c>
      <c r="F1503" s="100" t="inlineStr">
        <is>
          <t>10 EVIDENCE &amp; DECISIONS</t>
        </is>
      </c>
      <c r="G1503" s="41" t="n"/>
    </row>
    <row r="1504" ht="79" customHeight="1">
      <c r="A1504" s="34" t="inlineStr">
        <is>
          <t>R933-v2</t>
        </is>
      </c>
      <c r="B1504" s="34" t="inlineStr">
        <is>
          <t>SCH-06-033</t>
        </is>
      </c>
      <c r="C1504" s="34" t="inlineStr">
        <is>
          <t>New</t>
        </is>
      </c>
      <c r="D1504" s="34" t="inlineStr">
        <is>
          <t>Record first supplied in this revision</t>
        </is>
      </c>
      <c r="E1504" s="34" t="inlineStr">
        <is>
          <t>Maya Chen, Owner Project Controls</t>
        </is>
      </c>
      <c r="F1504" s="100" t="inlineStr">
        <is>
          <t>10 EVIDENCE &amp; DECISIONS</t>
        </is>
      </c>
      <c r="G1504" s="41" t="n"/>
    </row>
    <row r="1505" ht="79" customHeight="1">
      <c r="A1505" s="34" t="inlineStr">
        <is>
          <t>R934-v2</t>
        </is>
      </c>
      <c r="B1505" s="34" t="inlineStr">
        <is>
          <t>SCH-06-034</t>
        </is>
      </c>
      <c r="C1505" s="34" t="inlineStr">
        <is>
          <t>New</t>
        </is>
      </c>
      <c r="D1505" s="34" t="inlineStr">
        <is>
          <t>Record first supplied in this revision</t>
        </is>
      </c>
      <c r="E1505" s="34" t="inlineStr">
        <is>
          <t>Maya Chen, Owner Project Controls</t>
        </is>
      </c>
      <c r="F1505" s="100" t="inlineStr">
        <is>
          <t>10 EVIDENCE &amp; DECISIONS</t>
        </is>
      </c>
      <c r="G1505" s="41" t="n"/>
    </row>
    <row r="1506" ht="79" customHeight="1">
      <c r="A1506" s="34" t="inlineStr">
        <is>
          <t>R935-v2</t>
        </is>
      </c>
      <c r="B1506" s="34" t="inlineStr">
        <is>
          <t>SCH-06-035</t>
        </is>
      </c>
      <c r="C1506" s="34" t="inlineStr">
        <is>
          <t>New</t>
        </is>
      </c>
      <c r="D1506" s="34" t="inlineStr">
        <is>
          <t>Record first supplied in this revision</t>
        </is>
      </c>
      <c r="E1506" s="34" t="inlineStr">
        <is>
          <t>Maya Chen, Owner Project Controls</t>
        </is>
      </c>
      <c r="F1506" s="100" t="inlineStr">
        <is>
          <t>10 EVIDENCE &amp; DECISIONS</t>
        </is>
      </c>
      <c r="G1506" s="41" t="n"/>
    </row>
    <row r="1507" ht="79" customHeight="1">
      <c r="A1507" s="34" t="inlineStr">
        <is>
          <t>R936-v2</t>
        </is>
      </c>
      <c r="B1507" s="34" t="inlineStr">
        <is>
          <t>SCH-06-036</t>
        </is>
      </c>
      <c r="C1507" s="34" t="inlineStr">
        <is>
          <t>New</t>
        </is>
      </c>
      <c r="D1507" s="34" t="inlineStr">
        <is>
          <t>Record first supplied in this revision</t>
        </is>
      </c>
      <c r="E1507" s="34" t="inlineStr">
        <is>
          <t>Maya Chen, Owner Project Controls</t>
        </is>
      </c>
      <c r="F1507" s="100" t="inlineStr">
        <is>
          <t>10 EVIDENCE &amp; DECISIONS</t>
        </is>
      </c>
      <c r="G1507" s="41" t="n"/>
    </row>
    <row r="1508" ht="79" customHeight="1">
      <c r="A1508" s="34" t="inlineStr">
        <is>
          <t>R937-v2</t>
        </is>
      </c>
      <c r="B1508" s="34" t="inlineStr">
        <is>
          <t>SCH-06-037</t>
        </is>
      </c>
      <c r="C1508" s="34" t="inlineStr">
        <is>
          <t>New</t>
        </is>
      </c>
      <c r="D1508" s="34" t="inlineStr">
        <is>
          <t>Record first supplied in this revision</t>
        </is>
      </c>
      <c r="E1508" s="34" t="inlineStr">
        <is>
          <t>Maya Chen, Owner Project Controls</t>
        </is>
      </c>
      <c r="F1508" s="100" t="inlineStr">
        <is>
          <t>10 EVIDENCE &amp; DECISIONS</t>
        </is>
      </c>
      <c r="G1508" s="41" t="n"/>
    </row>
    <row r="1509" ht="79" customHeight="1">
      <c r="A1509" s="34" t="inlineStr">
        <is>
          <t>R938-v2</t>
        </is>
      </c>
      <c r="B1509" s="34" t="inlineStr">
        <is>
          <t>SCH-06-038</t>
        </is>
      </c>
      <c r="C1509" s="34" t="inlineStr">
        <is>
          <t>New</t>
        </is>
      </c>
      <c r="D1509" s="34" t="inlineStr">
        <is>
          <t>Record first supplied in this revision</t>
        </is>
      </c>
      <c r="E1509" s="34" t="inlineStr">
        <is>
          <t>Maya Chen, Owner Project Controls</t>
        </is>
      </c>
      <c r="F1509" s="100" t="inlineStr">
        <is>
          <t>10 EVIDENCE &amp; DECISIONS</t>
        </is>
      </c>
      <c r="G1509" s="41" t="n"/>
    </row>
    <row r="1510" ht="79" customHeight="1">
      <c r="A1510" s="34" t="inlineStr">
        <is>
          <t>R939-v2</t>
        </is>
      </c>
      <c r="B1510" s="34" t="inlineStr">
        <is>
          <t>SCH-06-039</t>
        </is>
      </c>
      <c r="C1510" s="34" t="inlineStr">
        <is>
          <t>New</t>
        </is>
      </c>
      <c r="D1510" s="34" t="inlineStr">
        <is>
          <t>Record first supplied in this revision</t>
        </is>
      </c>
      <c r="E1510" s="34" t="inlineStr">
        <is>
          <t>Maya Chen, Owner Project Controls</t>
        </is>
      </c>
      <c r="F1510" s="100" t="inlineStr">
        <is>
          <t>10 EVIDENCE &amp; DECISIONS</t>
        </is>
      </c>
      <c r="G1510" s="41" t="n"/>
    </row>
    <row r="1511" ht="79" customHeight="1">
      <c r="A1511" s="34" t="inlineStr">
        <is>
          <t>R940-v2</t>
        </is>
      </c>
      <c r="B1511" s="34" t="inlineStr">
        <is>
          <t>SCH-06-040</t>
        </is>
      </c>
      <c r="C1511" s="34" t="inlineStr">
        <is>
          <t>New</t>
        </is>
      </c>
      <c r="D1511" s="34" t="inlineStr">
        <is>
          <t>Record first supplied in this revision</t>
        </is>
      </c>
      <c r="E1511" s="34" t="inlineStr">
        <is>
          <t>Maya Chen, Owner Project Controls</t>
        </is>
      </c>
      <c r="F1511" s="100" t="inlineStr">
        <is>
          <t>10 EVIDENCE &amp; DECISIONS</t>
        </is>
      </c>
      <c r="G1511" s="41" t="n"/>
    </row>
    <row r="1512" ht="79" customHeight="1">
      <c r="A1512" s="34" t="inlineStr">
        <is>
          <t>R941-v2</t>
        </is>
      </c>
      <c r="B1512" s="34" t="inlineStr">
        <is>
          <t>SCH-06-041</t>
        </is>
      </c>
      <c r="C1512" s="34" t="inlineStr">
        <is>
          <t>New</t>
        </is>
      </c>
      <c r="D1512" s="34" t="inlineStr">
        <is>
          <t>Record first supplied in this revision</t>
        </is>
      </c>
      <c r="E1512" s="34" t="inlineStr">
        <is>
          <t>Maya Chen, Owner Project Controls</t>
        </is>
      </c>
      <c r="F1512" s="100" t="inlineStr">
        <is>
          <t>10 EVIDENCE &amp; DECISIONS</t>
        </is>
      </c>
      <c r="G1512" s="41" t="n"/>
    </row>
    <row r="1513" ht="79" customHeight="1">
      <c r="A1513" s="34" t="inlineStr">
        <is>
          <t>R942-v2</t>
        </is>
      </c>
      <c r="B1513" s="34" t="inlineStr">
        <is>
          <t>SCH-06-042</t>
        </is>
      </c>
      <c r="C1513" s="34" t="inlineStr">
        <is>
          <t>New</t>
        </is>
      </c>
      <c r="D1513" s="34" t="inlineStr">
        <is>
          <t>Record first supplied in this revision</t>
        </is>
      </c>
      <c r="E1513" s="34" t="inlineStr">
        <is>
          <t>Maya Chen, Owner Project Controls</t>
        </is>
      </c>
      <c r="F1513" s="100" t="inlineStr">
        <is>
          <t>10 EVIDENCE &amp; DECISIONS</t>
        </is>
      </c>
      <c r="G1513" s="41" t="n"/>
    </row>
    <row r="1514" ht="79" customHeight="1">
      <c r="A1514" s="34" t="inlineStr">
        <is>
          <t>R943-v2</t>
        </is>
      </c>
      <c r="B1514" s="34" t="inlineStr">
        <is>
          <t>SCH-06-043</t>
        </is>
      </c>
      <c r="C1514" s="34" t="inlineStr">
        <is>
          <t>New</t>
        </is>
      </c>
      <c r="D1514" s="34" t="inlineStr">
        <is>
          <t>Record first supplied in this revision</t>
        </is>
      </c>
      <c r="E1514" s="34" t="inlineStr">
        <is>
          <t>Maya Chen, Owner Project Controls</t>
        </is>
      </c>
      <c r="F1514" s="100" t="inlineStr">
        <is>
          <t>10 EVIDENCE &amp; DECISIONS</t>
        </is>
      </c>
      <c r="G1514" s="41" t="n"/>
    </row>
    <row r="1515" ht="79" customHeight="1">
      <c r="A1515" s="34" t="inlineStr">
        <is>
          <t>R944-v2</t>
        </is>
      </c>
      <c r="B1515" s="34" t="inlineStr">
        <is>
          <t>SCH-06-044</t>
        </is>
      </c>
      <c r="C1515" s="34" t="inlineStr">
        <is>
          <t>New</t>
        </is>
      </c>
      <c r="D1515" s="34" t="inlineStr">
        <is>
          <t>Record first supplied in this revision</t>
        </is>
      </c>
      <c r="E1515" s="34" t="inlineStr">
        <is>
          <t>Maya Chen, Owner Project Controls</t>
        </is>
      </c>
      <c r="F1515" s="100" t="inlineStr">
        <is>
          <t>10 EVIDENCE &amp; DECISIONS</t>
        </is>
      </c>
      <c r="G1515" s="41" t="n"/>
    </row>
    <row r="1516" ht="79" customHeight="1">
      <c r="A1516" s="34" t="inlineStr">
        <is>
          <t>R945-v2</t>
        </is>
      </c>
      <c r="B1516" s="34" t="inlineStr">
        <is>
          <t>SCH-06-045</t>
        </is>
      </c>
      <c r="C1516" s="34" t="inlineStr">
        <is>
          <t>New</t>
        </is>
      </c>
      <c r="D1516" s="34" t="inlineStr">
        <is>
          <t>Record first supplied in this revision</t>
        </is>
      </c>
      <c r="E1516" s="34" t="inlineStr">
        <is>
          <t>Maya Chen, Owner Project Controls</t>
        </is>
      </c>
      <c r="F1516" s="100" t="inlineStr">
        <is>
          <t>10 EVIDENCE &amp; DECISIONS</t>
        </is>
      </c>
      <c r="G1516" s="41" t="n"/>
    </row>
    <row r="1517" ht="79" customHeight="1">
      <c r="A1517" s="34" t="inlineStr">
        <is>
          <t>R946-v2</t>
        </is>
      </c>
      <c r="B1517" s="34" t="inlineStr">
        <is>
          <t>SCH-06-046</t>
        </is>
      </c>
      <c r="C1517" s="34" t="inlineStr">
        <is>
          <t>New</t>
        </is>
      </c>
      <c r="D1517" s="34" t="inlineStr">
        <is>
          <t>Record first supplied in this revision</t>
        </is>
      </c>
      <c r="E1517" s="34" t="inlineStr">
        <is>
          <t>Maya Chen, Owner Project Controls</t>
        </is>
      </c>
      <c r="F1517" s="100" t="inlineStr">
        <is>
          <t>10 EVIDENCE &amp; DECISIONS</t>
        </is>
      </c>
      <c r="G1517" s="41" t="n"/>
    </row>
    <row r="1518" ht="79" customHeight="1">
      <c r="A1518" s="34" t="inlineStr">
        <is>
          <t>R947-v2</t>
        </is>
      </c>
      <c r="B1518" s="34" t="inlineStr">
        <is>
          <t>SCH-06-047</t>
        </is>
      </c>
      <c r="C1518" s="34" t="inlineStr">
        <is>
          <t>New</t>
        </is>
      </c>
      <c r="D1518" s="34" t="inlineStr">
        <is>
          <t>Record first supplied in this revision</t>
        </is>
      </c>
      <c r="E1518" s="34" t="inlineStr">
        <is>
          <t>Maya Chen, Owner Project Controls</t>
        </is>
      </c>
      <c r="F1518" s="100" t="inlineStr">
        <is>
          <t>10 EVIDENCE &amp; DECISIONS</t>
        </is>
      </c>
      <c r="G1518" s="41" t="n"/>
    </row>
    <row r="1519" ht="79" customHeight="1">
      <c r="A1519" s="34" t="inlineStr">
        <is>
          <t>R948-v2</t>
        </is>
      </c>
      <c r="B1519" s="34" t="inlineStr">
        <is>
          <t>SCH-06-048</t>
        </is>
      </c>
      <c r="C1519" s="34" t="inlineStr">
        <is>
          <t>New</t>
        </is>
      </c>
      <c r="D1519" s="34" t="inlineStr">
        <is>
          <t>Record first supplied in this revision</t>
        </is>
      </c>
      <c r="E1519" s="34" t="inlineStr">
        <is>
          <t>Maya Chen, Owner Project Controls</t>
        </is>
      </c>
      <c r="F1519" s="100" t="inlineStr">
        <is>
          <t>10 EVIDENCE &amp; DECISIONS</t>
        </is>
      </c>
      <c r="G1519" s="41" t="n"/>
    </row>
    <row r="1520" ht="79" customHeight="1">
      <c r="A1520" s="34" t="inlineStr">
        <is>
          <t>R949-v2</t>
        </is>
      </c>
      <c r="B1520" s="34" t="inlineStr">
        <is>
          <t>SCH-06-049</t>
        </is>
      </c>
      <c r="C1520" s="34" t="inlineStr">
        <is>
          <t>New</t>
        </is>
      </c>
      <c r="D1520" s="34" t="inlineStr">
        <is>
          <t>Record first supplied in this revision</t>
        </is>
      </c>
      <c r="E1520" s="34" t="inlineStr">
        <is>
          <t>Maya Chen, Owner Project Controls</t>
        </is>
      </c>
      <c r="F1520" s="100" t="inlineStr">
        <is>
          <t>10 EVIDENCE &amp; DECISIONS</t>
        </is>
      </c>
      <c r="G1520" s="41" t="n"/>
    </row>
    <row r="1521" ht="79" customHeight="1">
      <c r="A1521" s="34" t="inlineStr">
        <is>
          <t>R950-v2</t>
        </is>
      </c>
      <c r="B1521" s="34" t="inlineStr">
        <is>
          <t>SCH-06-050</t>
        </is>
      </c>
      <c r="C1521" s="34" t="inlineStr">
        <is>
          <t>New</t>
        </is>
      </c>
      <c r="D1521" s="34" t="inlineStr">
        <is>
          <t>Record first supplied in this revision</t>
        </is>
      </c>
      <c r="E1521" s="34" t="inlineStr">
        <is>
          <t>Maya Chen, Owner Project Controls</t>
        </is>
      </c>
      <c r="F1521" s="100" t="inlineStr">
        <is>
          <t>10 EVIDENCE &amp; DECISIONS</t>
        </is>
      </c>
      <c r="G1521" s="41" t="n"/>
    </row>
    <row r="1522" ht="79" customHeight="1">
      <c r="A1522" s="34" t="inlineStr">
        <is>
          <t>R951-v2</t>
        </is>
      </c>
      <c r="B1522" s="34" t="inlineStr">
        <is>
          <t>SCH-06-051</t>
        </is>
      </c>
      <c r="C1522" s="34" t="inlineStr">
        <is>
          <t>New</t>
        </is>
      </c>
      <c r="D1522" s="34" t="inlineStr">
        <is>
          <t>Record first supplied in this revision</t>
        </is>
      </c>
      <c r="E1522" s="34" t="inlineStr">
        <is>
          <t>Maya Chen, Owner Project Controls</t>
        </is>
      </c>
      <c r="F1522" s="100" t="inlineStr">
        <is>
          <t>10 EVIDENCE &amp; DECISIONS</t>
        </is>
      </c>
      <c r="G1522" s="41" t="n"/>
    </row>
    <row r="1523" ht="79" customHeight="1">
      <c r="A1523" s="34" t="inlineStr">
        <is>
          <t>R952-v2</t>
        </is>
      </c>
      <c r="B1523" s="34" t="inlineStr">
        <is>
          <t>SCH-06-052</t>
        </is>
      </c>
      <c r="C1523" s="34" t="inlineStr">
        <is>
          <t>New</t>
        </is>
      </c>
      <c r="D1523" s="34" t="inlineStr">
        <is>
          <t>Record first supplied in this revision</t>
        </is>
      </c>
      <c r="E1523" s="34" t="inlineStr">
        <is>
          <t>Maya Chen, Owner Project Controls</t>
        </is>
      </c>
      <c r="F1523" s="100" t="inlineStr">
        <is>
          <t>10 EVIDENCE &amp; DECISIONS</t>
        </is>
      </c>
      <c r="G1523" s="41" t="n"/>
    </row>
    <row r="1524" ht="79" customHeight="1">
      <c r="A1524" s="34" t="inlineStr">
        <is>
          <t>R953-v2</t>
        </is>
      </c>
      <c r="B1524" s="34" t="inlineStr">
        <is>
          <t>SCH-06-053</t>
        </is>
      </c>
      <c r="C1524" s="34" t="inlineStr">
        <is>
          <t>New</t>
        </is>
      </c>
      <c r="D1524" s="34" t="inlineStr">
        <is>
          <t>Record first supplied in this revision</t>
        </is>
      </c>
      <c r="E1524" s="34" t="inlineStr">
        <is>
          <t>Maya Chen, Owner Project Controls</t>
        </is>
      </c>
      <c r="F1524" s="100" t="inlineStr">
        <is>
          <t>10 EVIDENCE &amp; DECISIONS</t>
        </is>
      </c>
      <c r="G1524" s="41" t="n"/>
    </row>
    <row r="1525" ht="79" customHeight="1">
      <c r="A1525" s="34" t="inlineStr">
        <is>
          <t>R954-v2</t>
        </is>
      </c>
      <c r="B1525" s="34" t="inlineStr">
        <is>
          <t>SCH-06-054</t>
        </is>
      </c>
      <c r="C1525" s="34" t="inlineStr">
        <is>
          <t>New</t>
        </is>
      </c>
      <c r="D1525" s="34" t="inlineStr">
        <is>
          <t>Record first supplied in this revision</t>
        </is>
      </c>
      <c r="E1525" s="34" t="inlineStr">
        <is>
          <t>Maya Chen, Owner Project Controls</t>
        </is>
      </c>
      <c r="F1525" s="100" t="inlineStr">
        <is>
          <t>10 EVIDENCE &amp; DECISIONS</t>
        </is>
      </c>
      <c r="G1525" s="41" t="n"/>
    </row>
    <row r="1526" ht="79" customHeight="1">
      <c r="A1526" s="34" t="inlineStr">
        <is>
          <t>R955-v2</t>
        </is>
      </c>
      <c r="B1526" s="34" t="inlineStr">
        <is>
          <t>SCH-06-055</t>
        </is>
      </c>
      <c r="C1526" s="34" t="inlineStr">
        <is>
          <t>New</t>
        </is>
      </c>
      <c r="D1526" s="34" t="inlineStr">
        <is>
          <t>Record first supplied in this revision</t>
        </is>
      </c>
      <c r="E1526" s="34" t="inlineStr">
        <is>
          <t>Maya Chen, Owner Project Controls</t>
        </is>
      </c>
      <c r="F1526" s="100" t="inlineStr">
        <is>
          <t>10 EVIDENCE &amp; DECISIONS</t>
        </is>
      </c>
      <c r="G1526" s="41" t="n"/>
    </row>
    <row r="1527" ht="79" customHeight="1">
      <c r="A1527" s="34" t="inlineStr">
        <is>
          <t>R956-v2</t>
        </is>
      </c>
      <c r="B1527" s="34" t="inlineStr">
        <is>
          <t>SCH-06-056</t>
        </is>
      </c>
      <c r="C1527" s="34" t="inlineStr">
        <is>
          <t>New</t>
        </is>
      </c>
      <c r="D1527" s="34" t="inlineStr">
        <is>
          <t>Record first supplied in this revision</t>
        </is>
      </c>
      <c r="E1527" s="34" t="inlineStr">
        <is>
          <t>Maya Chen, Owner Project Controls</t>
        </is>
      </c>
      <c r="F1527" s="100" t="inlineStr">
        <is>
          <t>10 EVIDENCE &amp; DECISIONS</t>
        </is>
      </c>
      <c r="G1527" s="41" t="n"/>
    </row>
    <row r="1528" ht="79" customHeight="1">
      <c r="A1528" s="34" t="inlineStr">
        <is>
          <t>R957-v2</t>
        </is>
      </c>
      <c r="B1528" s="34" t="inlineStr">
        <is>
          <t>SCH-06-057</t>
        </is>
      </c>
      <c r="C1528" s="34" t="inlineStr">
        <is>
          <t>New</t>
        </is>
      </c>
      <c r="D1528" s="34" t="inlineStr">
        <is>
          <t>Record first supplied in this revision</t>
        </is>
      </c>
      <c r="E1528" s="34" t="inlineStr">
        <is>
          <t>Maya Chen, Owner Project Controls</t>
        </is>
      </c>
      <c r="F1528" s="100" t="inlineStr">
        <is>
          <t>10 EVIDENCE &amp; DECISIONS</t>
        </is>
      </c>
      <c r="G1528" s="41" t="n"/>
    </row>
    <row r="1529" ht="79" customHeight="1">
      <c r="A1529" s="34" t="inlineStr">
        <is>
          <t>R958-v2</t>
        </is>
      </c>
      <c r="B1529" s="34" t="inlineStr">
        <is>
          <t>SCH-06-058</t>
        </is>
      </c>
      <c r="C1529" s="34" t="inlineStr">
        <is>
          <t>New</t>
        </is>
      </c>
      <c r="D1529" s="34" t="inlineStr">
        <is>
          <t>Record first supplied in this revision</t>
        </is>
      </c>
      <c r="E1529" s="34" t="inlineStr">
        <is>
          <t>Maya Chen, Owner Project Controls</t>
        </is>
      </c>
      <c r="F1529" s="100" t="inlineStr">
        <is>
          <t>10 EVIDENCE &amp; DECISIONS</t>
        </is>
      </c>
      <c r="G1529" s="41" t="n"/>
    </row>
    <row r="1530" ht="79" customHeight="1">
      <c r="A1530" s="34" t="inlineStr">
        <is>
          <t>R959-v2</t>
        </is>
      </c>
      <c r="B1530" s="34" t="inlineStr">
        <is>
          <t>SCH-06-059</t>
        </is>
      </c>
      <c r="C1530" s="34" t="inlineStr">
        <is>
          <t>New</t>
        </is>
      </c>
      <c r="D1530" s="34" t="inlineStr">
        <is>
          <t>Record first supplied in this revision</t>
        </is>
      </c>
      <c r="E1530" s="34" t="inlineStr">
        <is>
          <t>Maya Chen, Owner Project Controls</t>
        </is>
      </c>
      <c r="F1530" s="100" t="inlineStr">
        <is>
          <t>10 EVIDENCE &amp; DECISIONS</t>
        </is>
      </c>
      <c r="G1530" s="41" t="n"/>
    </row>
    <row r="1531" ht="79" customHeight="1">
      <c r="A1531" s="34" t="inlineStr">
        <is>
          <t>R960-v2</t>
        </is>
      </c>
      <c r="B1531" s="34" t="inlineStr">
        <is>
          <t>SCH-06-060</t>
        </is>
      </c>
      <c r="C1531" s="34" t="inlineStr">
        <is>
          <t>New</t>
        </is>
      </c>
      <c r="D1531" s="34" t="inlineStr">
        <is>
          <t>Record first supplied in this revision</t>
        </is>
      </c>
      <c r="E1531" s="34" t="inlineStr">
        <is>
          <t>Maya Chen, Owner Project Controls</t>
        </is>
      </c>
      <c r="F1531" s="100" t="inlineStr">
        <is>
          <t>10 EVIDENCE &amp; DECISIONS</t>
        </is>
      </c>
      <c r="G1531" s="41" t="n"/>
    </row>
    <row r="1532" ht="79" customHeight="1">
      <c r="A1532" s="34" t="inlineStr">
        <is>
          <t>R961-v2</t>
        </is>
      </c>
      <c r="B1532" s="34" t="inlineStr">
        <is>
          <t>SCH-06-061</t>
        </is>
      </c>
      <c r="C1532" s="34" t="inlineStr">
        <is>
          <t>New</t>
        </is>
      </c>
      <c r="D1532" s="34" t="inlineStr">
        <is>
          <t>Record first supplied in this revision</t>
        </is>
      </c>
      <c r="E1532" s="34" t="inlineStr">
        <is>
          <t>Maya Chen, Owner Project Controls</t>
        </is>
      </c>
      <c r="F1532" s="100" t="inlineStr">
        <is>
          <t>10 EVIDENCE &amp; DECISIONS</t>
        </is>
      </c>
      <c r="G1532" s="41" t="n"/>
    </row>
    <row r="1533" ht="79" customHeight="1">
      <c r="A1533" s="34" t="inlineStr">
        <is>
          <t>R962-v2</t>
        </is>
      </c>
      <c r="B1533" s="34" t="inlineStr">
        <is>
          <t>SCH-06-062</t>
        </is>
      </c>
      <c r="C1533" s="34" t="inlineStr">
        <is>
          <t>New</t>
        </is>
      </c>
      <c r="D1533" s="34" t="inlineStr">
        <is>
          <t>Record first supplied in this revision</t>
        </is>
      </c>
      <c r="E1533" s="34" t="inlineStr">
        <is>
          <t>Maya Chen, Owner Project Controls</t>
        </is>
      </c>
      <c r="F1533" s="100" t="inlineStr">
        <is>
          <t>10 EVIDENCE &amp; DECISIONS</t>
        </is>
      </c>
      <c r="G1533" s="41" t="n"/>
    </row>
    <row r="1534" ht="79" customHeight="1">
      <c r="A1534" s="34" t="inlineStr">
        <is>
          <t>R963-v2</t>
        </is>
      </c>
      <c r="B1534" s="34" t="inlineStr">
        <is>
          <t>SCH-06-063</t>
        </is>
      </c>
      <c r="C1534" s="34" t="inlineStr">
        <is>
          <t>New</t>
        </is>
      </c>
      <c r="D1534" s="34" t="inlineStr">
        <is>
          <t>Record first supplied in this revision</t>
        </is>
      </c>
      <c r="E1534" s="34" t="inlineStr">
        <is>
          <t>Maya Chen, Owner Project Controls</t>
        </is>
      </c>
      <c r="F1534" s="100" t="inlineStr">
        <is>
          <t>10 EVIDENCE &amp; DECISIONS</t>
        </is>
      </c>
      <c r="G1534" s="41" t="n"/>
    </row>
    <row r="1535" ht="79" customHeight="1">
      <c r="A1535" s="34" t="inlineStr">
        <is>
          <t>R964-v2</t>
        </is>
      </c>
      <c r="B1535" s="34" t="inlineStr">
        <is>
          <t>SCH-06-064</t>
        </is>
      </c>
      <c r="C1535" s="34" t="inlineStr">
        <is>
          <t>New</t>
        </is>
      </c>
      <c r="D1535" s="34" t="inlineStr">
        <is>
          <t>Record first supplied in this revision</t>
        </is>
      </c>
      <c r="E1535" s="34" t="inlineStr">
        <is>
          <t>Maya Chen, Owner Project Controls</t>
        </is>
      </c>
      <c r="F1535" s="100" t="inlineStr">
        <is>
          <t>10 EVIDENCE &amp; DECISIONS</t>
        </is>
      </c>
      <c r="G1535" s="41" t="n"/>
    </row>
    <row r="1536" ht="79" customHeight="1">
      <c r="A1536" s="34" t="inlineStr">
        <is>
          <t>R965-v2</t>
        </is>
      </c>
      <c r="B1536" s="34" t="inlineStr">
        <is>
          <t>SCH-06-065</t>
        </is>
      </c>
      <c r="C1536" s="34" t="inlineStr">
        <is>
          <t>New</t>
        </is>
      </c>
      <c r="D1536" s="34" t="inlineStr">
        <is>
          <t>Record first supplied in this revision</t>
        </is>
      </c>
      <c r="E1536" s="34" t="inlineStr">
        <is>
          <t>Maya Chen, Owner Project Controls</t>
        </is>
      </c>
      <c r="F1536" s="100" t="inlineStr">
        <is>
          <t>10 EVIDENCE &amp; DECISIONS</t>
        </is>
      </c>
      <c r="G1536" s="41" t="n"/>
    </row>
    <row r="1537" ht="79" customHeight="1">
      <c r="A1537" s="34" t="inlineStr">
        <is>
          <t>R966-v2</t>
        </is>
      </c>
      <c r="B1537" s="34" t="inlineStr">
        <is>
          <t>SCH-06-066</t>
        </is>
      </c>
      <c r="C1537" s="34" t="inlineStr">
        <is>
          <t>New</t>
        </is>
      </c>
      <c r="D1537" s="34" t="inlineStr">
        <is>
          <t>Record first supplied in this revision</t>
        </is>
      </c>
      <c r="E1537" s="34" t="inlineStr">
        <is>
          <t>Maya Chen, Owner Project Controls</t>
        </is>
      </c>
      <c r="F1537" s="100" t="inlineStr">
        <is>
          <t>10 EVIDENCE &amp; DECISIONS</t>
        </is>
      </c>
      <c r="G1537" s="41" t="n"/>
    </row>
    <row r="1538" ht="79" customHeight="1">
      <c r="A1538" s="34" t="inlineStr">
        <is>
          <t>R967-v2</t>
        </is>
      </c>
      <c r="B1538" s="34" t="inlineStr">
        <is>
          <t>SCH-06-067</t>
        </is>
      </c>
      <c r="C1538" s="34" t="inlineStr">
        <is>
          <t>New</t>
        </is>
      </c>
      <c r="D1538" s="34" t="inlineStr">
        <is>
          <t>Record first supplied in this revision</t>
        </is>
      </c>
      <c r="E1538" s="34" t="inlineStr">
        <is>
          <t>Maya Chen, Owner Project Controls</t>
        </is>
      </c>
      <c r="F1538" s="100" t="inlineStr">
        <is>
          <t>10 EVIDENCE &amp; DECISIONS</t>
        </is>
      </c>
      <c r="G1538" s="41" t="n"/>
    </row>
    <row r="1539" ht="79" customHeight="1">
      <c r="A1539" s="34" t="inlineStr">
        <is>
          <t>R968-v2</t>
        </is>
      </c>
      <c r="B1539" s="34" t="inlineStr">
        <is>
          <t>SCH-06-068</t>
        </is>
      </c>
      <c r="C1539" s="34" t="inlineStr">
        <is>
          <t>New</t>
        </is>
      </c>
      <c r="D1539" s="34" t="inlineStr">
        <is>
          <t>Record first supplied in this revision</t>
        </is>
      </c>
      <c r="E1539" s="34" t="inlineStr">
        <is>
          <t>Maya Chen, Owner Project Controls</t>
        </is>
      </c>
      <c r="F1539" s="100" t="inlineStr">
        <is>
          <t>10 EVIDENCE &amp; DECISIONS</t>
        </is>
      </c>
      <c r="G1539" s="41" t="n"/>
    </row>
    <row r="1540" ht="79" customHeight="1">
      <c r="A1540" s="34" t="inlineStr">
        <is>
          <t>R969-v2</t>
        </is>
      </c>
      <c r="B1540" s="34" t="inlineStr">
        <is>
          <t>SCH-06-069</t>
        </is>
      </c>
      <c r="C1540" s="34" t="inlineStr">
        <is>
          <t>New</t>
        </is>
      </c>
      <c r="D1540" s="34" t="inlineStr">
        <is>
          <t>Record first supplied in this revision</t>
        </is>
      </c>
      <c r="E1540" s="34" t="inlineStr">
        <is>
          <t>Maya Chen, Owner Project Controls</t>
        </is>
      </c>
      <c r="F1540" s="100" t="inlineStr">
        <is>
          <t>10 EVIDENCE &amp; DECISIONS</t>
        </is>
      </c>
      <c r="G1540" s="41" t="n"/>
    </row>
    <row r="1541" ht="79" customHeight="1">
      <c r="A1541" s="34" t="inlineStr">
        <is>
          <t>R970-v2</t>
        </is>
      </c>
      <c r="B1541" s="34" t="inlineStr">
        <is>
          <t>SCH-06-070</t>
        </is>
      </c>
      <c r="C1541" s="34" t="inlineStr">
        <is>
          <t>New</t>
        </is>
      </c>
      <c r="D1541" s="34" t="inlineStr">
        <is>
          <t>Record first supplied in this revision</t>
        </is>
      </c>
      <c r="E1541" s="34" t="inlineStr">
        <is>
          <t>Maya Chen, Owner Project Controls</t>
        </is>
      </c>
      <c r="F1541" s="100" t="inlineStr">
        <is>
          <t>10 EVIDENCE &amp; DECISIONS</t>
        </is>
      </c>
      <c r="G1541" s="41" t="n"/>
    </row>
    <row r="1542" ht="79" customHeight="1">
      <c r="A1542" s="34" t="inlineStr">
        <is>
          <t>R971-v2</t>
        </is>
      </c>
      <c r="B1542" s="34" t="inlineStr">
        <is>
          <t>SCH-06-071</t>
        </is>
      </c>
      <c r="C1542" s="34" t="inlineStr">
        <is>
          <t>New</t>
        </is>
      </c>
      <c r="D1542" s="34" t="inlineStr">
        <is>
          <t>Record first supplied in this revision</t>
        </is>
      </c>
      <c r="E1542" s="34" t="inlineStr">
        <is>
          <t>Maya Chen, Owner Project Controls</t>
        </is>
      </c>
      <c r="F1542" s="100" t="inlineStr">
        <is>
          <t>10 EVIDENCE &amp; DECISIONS</t>
        </is>
      </c>
      <c r="G1542" s="41" t="n"/>
    </row>
    <row r="1543" ht="79" customHeight="1">
      <c r="A1543" s="34" t="inlineStr">
        <is>
          <t>R972-v2</t>
        </is>
      </c>
      <c r="B1543" s="34" t="inlineStr">
        <is>
          <t>SCH-06-072</t>
        </is>
      </c>
      <c r="C1543" s="34" t="inlineStr">
        <is>
          <t>New</t>
        </is>
      </c>
      <c r="D1543" s="34" t="inlineStr">
        <is>
          <t>Record first supplied in this revision</t>
        </is>
      </c>
      <c r="E1543" s="34" t="inlineStr">
        <is>
          <t>Maya Chen, Owner Project Controls</t>
        </is>
      </c>
      <c r="F1543" s="100" t="inlineStr">
        <is>
          <t>10 EVIDENCE &amp; DECISIONS</t>
        </is>
      </c>
      <c r="G1543" s="41" t="n"/>
    </row>
    <row r="1544" ht="79" customHeight="1">
      <c r="A1544" s="34" t="inlineStr">
        <is>
          <t>R973-v2</t>
        </is>
      </c>
      <c r="B1544" s="34" t="inlineStr">
        <is>
          <t>SCH-06-073</t>
        </is>
      </c>
      <c r="C1544" s="34" t="inlineStr">
        <is>
          <t>New</t>
        </is>
      </c>
      <c r="D1544" s="34" t="inlineStr">
        <is>
          <t>Record first supplied in this revision</t>
        </is>
      </c>
      <c r="E1544" s="34" t="inlineStr">
        <is>
          <t>Maya Chen, Owner Project Controls</t>
        </is>
      </c>
      <c r="F1544" s="100" t="inlineStr">
        <is>
          <t>10 EVIDENCE &amp; DECISIONS</t>
        </is>
      </c>
      <c r="G1544" s="41" t="n"/>
    </row>
    <row r="1545" ht="79" customHeight="1">
      <c r="A1545" s="34" t="inlineStr">
        <is>
          <t>R974-v2</t>
        </is>
      </c>
      <c r="B1545" s="34" t="inlineStr">
        <is>
          <t>SCH-06-074</t>
        </is>
      </c>
      <c r="C1545" s="34" t="inlineStr">
        <is>
          <t>New</t>
        </is>
      </c>
      <c r="D1545" s="34" t="inlineStr">
        <is>
          <t>Record first supplied in this revision</t>
        </is>
      </c>
      <c r="E1545" s="34" t="inlineStr">
        <is>
          <t>Maya Chen, Owner Project Controls</t>
        </is>
      </c>
      <c r="F1545" s="100" t="inlineStr">
        <is>
          <t>10 EVIDENCE &amp; DECISIONS</t>
        </is>
      </c>
      <c r="G1545" s="41" t="n"/>
    </row>
    <row r="1546" ht="79" customHeight="1">
      <c r="A1546" s="34" t="inlineStr">
        <is>
          <t>R975-v2</t>
        </is>
      </c>
      <c r="B1546" s="34" t="inlineStr">
        <is>
          <t>SCH-06-075</t>
        </is>
      </c>
      <c r="C1546" s="34" t="inlineStr">
        <is>
          <t>New</t>
        </is>
      </c>
      <c r="D1546" s="34" t="inlineStr">
        <is>
          <t>Record first supplied in this revision</t>
        </is>
      </c>
      <c r="E1546" s="34" t="inlineStr">
        <is>
          <t>Maya Chen, Owner Project Controls</t>
        </is>
      </c>
      <c r="F1546" s="100" t="inlineStr">
        <is>
          <t>10 EVIDENCE &amp; DECISIONS</t>
        </is>
      </c>
      <c r="G1546" s="41" t="n"/>
    </row>
    <row r="1547" ht="79" customHeight="1">
      <c r="A1547" s="34" t="inlineStr">
        <is>
          <t>R976-v2</t>
        </is>
      </c>
      <c r="B1547" s="34" t="inlineStr">
        <is>
          <t>SCH-06-076</t>
        </is>
      </c>
      <c r="C1547" s="34" t="inlineStr">
        <is>
          <t>New</t>
        </is>
      </c>
      <c r="D1547" s="34" t="inlineStr">
        <is>
          <t>Record first supplied in this revision</t>
        </is>
      </c>
      <c r="E1547" s="34" t="inlineStr">
        <is>
          <t>Maya Chen, Owner Project Controls</t>
        </is>
      </c>
      <c r="F1547" s="100" t="inlineStr">
        <is>
          <t>10 EVIDENCE &amp; DECISIONS</t>
        </is>
      </c>
      <c r="G1547" s="41" t="n"/>
    </row>
    <row r="1548" ht="79" customHeight="1">
      <c r="A1548" s="34" t="inlineStr">
        <is>
          <t>R977-v2</t>
        </is>
      </c>
      <c r="B1548" s="34" t="inlineStr">
        <is>
          <t>SCH-06-077</t>
        </is>
      </c>
      <c r="C1548" s="34" t="inlineStr">
        <is>
          <t>New</t>
        </is>
      </c>
      <c r="D1548" s="34" t="inlineStr">
        <is>
          <t>Record first supplied in this revision</t>
        </is>
      </c>
      <c r="E1548" s="34" t="inlineStr">
        <is>
          <t>Maya Chen, Owner Project Controls</t>
        </is>
      </c>
      <c r="F1548" s="100" t="inlineStr">
        <is>
          <t>10 EVIDENCE &amp; DECISIONS</t>
        </is>
      </c>
      <c r="G1548" s="41" t="n"/>
    </row>
    <row r="1549" ht="79" customHeight="1">
      <c r="A1549" s="34" t="inlineStr">
        <is>
          <t>R978-v2</t>
        </is>
      </c>
      <c r="B1549" s="34" t="inlineStr">
        <is>
          <t>SCH-06-078</t>
        </is>
      </c>
      <c r="C1549" s="34" t="inlineStr">
        <is>
          <t>New</t>
        </is>
      </c>
      <c r="D1549" s="34" t="inlineStr">
        <is>
          <t>Record first supplied in this revision</t>
        </is>
      </c>
      <c r="E1549" s="34" t="inlineStr">
        <is>
          <t>Maya Chen, Owner Project Controls</t>
        </is>
      </c>
      <c r="F1549" s="100" t="inlineStr">
        <is>
          <t>10 EVIDENCE &amp; DECISIONS</t>
        </is>
      </c>
      <c r="G1549" s="41" t="n"/>
    </row>
    <row r="1550" ht="79" customHeight="1">
      <c r="A1550" s="34" t="inlineStr">
        <is>
          <t>R979-v2</t>
        </is>
      </c>
      <c r="B1550" s="34" t="inlineStr">
        <is>
          <t>SCH-06-079</t>
        </is>
      </c>
      <c r="C1550" s="34" t="inlineStr">
        <is>
          <t>New</t>
        </is>
      </c>
      <c r="D1550" s="34" t="inlineStr">
        <is>
          <t>Record first supplied in this revision</t>
        </is>
      </c>
      <c r="E1550" s="34" t="inlineStr">
        <is>
          <t>Maya Chen, Owner Project Controls</t>
        </is>
      </c>
      <c r="F1550" s="100" t="inlineStr">
        <is>
          <t>10 EVIDENCE &amp; DECISIONS</t>
        </is>
      </c>
      <c r="G1550" s="41" t="n"/>
    </row>
    <row r="1551" ht="79" customHeight="1">
      <c r="A1551" s="34" t="inlineStr">
        <is>
          <t>R980-v2</t>
        </is>
      </c>
      <c r="B1551" s="34" t="inlineStr">
        <is>
          <t>SCH-06-080</t>
        </is>
      </c>
      <c r="C1551" s="34" t="inlineStr">
        <is>
          <t>New</t>
        </is>
      </c>
      <c r="D1551" s="34" t="inlineStr">
        <is>
          <t>Record first supplied in this revision</t>
        </is>
      </c>
      <c r="E1551" s="34" t="inlineStr">
        <is>
          <t>Maya Chen, Owner Project Controls</t>
        </is>
      </c>
      <c r="F1551" s="100" t="inlineStr">
        <is>
          <t>10 EVIDENCE &amp; DECISIONS</t>
        </is>
      </c>
      <c r="G1551" s="41" t="n"/>
    </row>
    <row r="1552" ht="79" customHeight="1">
      <c r="A1552" s="34" t="inlineStr">
        <is>
          <t>R981-v2</t>
        </is>
      </c>
      <c r="B1552" s="34" t="inlineStr">
        <is>
          <t>SCH-06-081</t>
        </is>
      </c>
      <c r="C1552" s="34" t="inlineStr">
        <is>
          <t>New</t>
        </is>
      </c>
      <c r="D1552" s="34" t="inlineStr">
        <is>
          <t>Record first supplied in this revision</t>
        </is>
      </c>
      <c r="E1552" s="34" t="inlineStr">
        <is>
          <t>Maya Chen, Owner Project Controls</t>
        </is>
      </c>
      <c r="F1552" s="100" t="inlineStr">
        <is>
          <t>10 EVIDENCE &amp; DECISIONS</t>
        </is>
      </c>
      <c r="G1552" s="41" t="n"/>
    </row>
    <row r="1553" ht="79" customHeight="1">
      <c r="A1553" s="34" t="inlineStr">
        <is>
          <t>R982-v2</t>
        </is>
      </c>
      <c r="B1553" s="34" t="inlineStr">
        <is>
          <t>SCH-06-082</t>
        </is>
      </c>
      <c r="C1553" s="34" t="inlineStr">
        <is>
          <t>New</t>
        </is>
      </c>
      <c r="D1553" s="34" t="inlineStr">
        <is>
          <t>Record first supplied in this revision</t>
        </is>
      </c>
      <c r="E1553" s="34" t="inlineStr">
        <is>
          <t>Maya Chen, Owner Project Controls</t>
        </is>
      </c>
      <c r="F1553" s="100" t="inlineStr">
        <is>
          <t>10 EVIDENCE &amp; DECISIONS</t>
        </is>
      </c>
      <c r="G1553" s="41" t="n"/>
    </row>
    <row r="1554" ht="79" customHeight="1">
      <c r="A1554" s="34" t="inlineStr">
        <is>
          <t>R983-v2</t>
        </is>
      </c>
      <c r="B1554" s="34" t="inlineStr">
        <is>
          <t>SCH-06-083</t>
        </is>
      </c>
      <c r="C1554" s="34" t="inlineStr">
        <is>
          <t>New</t>
        </is>
      </c>
      <c r="D1554" s="34" t="inlineStr">
        <is>
          <t>Record first supplied in this revision</t>
        </is>
      </c>
      <c r="E1554" s="34" t="inlineStr">
        <is>
          <t>Maya Chen, Owner Project Controls</t>
        </is>
      </c>
      <c r="F1554" s="100" t="inlineStr">
        <is>
          <t>10 EVIDENCE &amp; DECISIONS</t>
        </is>
      </c>
      <c r="G1554" s="41" t="n"/>
    </row>
    <row r="1555" ht="79" customHeight="1">
      <c r="A1555" s="34" t="inlineStr">
        <is>
          <t>R984-v2</t>
        </is>
      </c>
      <c r="B1555" s="34" t="inlineStr">
        <is>
          <t>SCH-06-084</t>
        </is>
      </c>
      <c r="C1555" s="34" t="inlineStr">
        <is>
          <t>New</t>
        </is>
      </c>
      <c r="D1555" s="34" t="inlineStr">
        <is>
          <t>Record first supplied in this revision</t>
        </is>
      </c>
      <c r="E1555" s="34" t="inlineStr">
        <is>
          <t>Maya Chen, Owner Project Controls</t>
        </is>
      </c>
      <c r="F1555" s="100" t="inlineStr">
        <is>
          <t>10 EVIDENCE &amp; DECISIONS</t>
        </is>
      </c>
      <c r="G1555" s="41" t="n"/>
    </row>
    <row r="1556" ht="79" customHeight="1">
      <c r="A1556" s="34" t="inlineStr">
        <is>
          <t>R985-v2</t>
        </is>
      </c>
      <c r="B1556" s="34" t="inlineStr">
        <is>
          <t>SCH-06-085</t>
        </is>
      </c>
      <c r="C1556" s="34" t="inlineStr">
        <is>
          <t>New</t>
        </is>
      </c>
      <c r="D1556" s="34" t="inlineStr">
        <is>
          <t>Record first supplied in this revision</t>
        </is>
      </c>
      <c r="E1556" s="34" t="inlineStr">
        <is>
          <t>Maya Chen, Owner Project Controls</t>
        </is>
      </c>
      <c r="F1556" s="100" t="inlineStr">
        <is>
          <t>10 EVIDENCE &amp; DECISIONS</t>
        </is>
      </c>
      <c r="G1556" s="41" t="n"/>
    </row>
    <row r="1557" ht="79" customHeight="1">
      <c r="A1557" s="34" t="inlineStr">
        <is>
          <t>R986-v2</t>
        </is>
      </c>
      <c r="B1557" s="34" t="inlineStr">
        <is>
          <t>SCH-06-086</t>
        </is>
      </c>
      <c r="C1557" s="34" t="inlineStr">
        <is>
          <t>New</t>
        </is>
      </c>
      <c r="D1557" s="34" t="inlineStr">
        <is>
          <t>Record first supplied in this revision</t>
        </is>
      </c>
      <c r="E1557" s="34" t="inlineStr">
        <is>
          <t>Maya Chen, Owner Project Controls</t>
        </is>
      </c>
      <c r="F1557" s="100" t="inlineStr">
        <is>
          <t>10 EVIDENCE &amp; DECISIONS</t>
        </is>
      </c>
      <c r="G1557" s="41" t="n"/>
    </row>
    <row r="1558" ht="79" customHeight="1">
      <c r="A1558" s="34" t="inlineStr">
        <is>
          <t>R987-v2</t>
        </is>
      </c>
      <c r="B1558" s="34" t="inlineStr">
        <is>
          <t>SCH-06-087</t>
        </is>
      </c>
      <c r="C1558" s="34" t="inlineStr">
        <is>
          <t>New</t>
        </is>
      </c>
      <c r="D1558" s="34" t="inlineStr">
        <is>
          <t>Record first supplied in this revision</t>
        </is>
      </c>
      <c r="E1558" s="34" t="inlineStr">
        <is>
          <t>Maya Chen, Owner Project Controls</t>
        </is>
      </c>
      <c r="F1558" s="100" t="inlineStr">
        <is>
          <t>10 EVIDENCE &amp; DECISIONS</t>
        </is>
      </c>
      <c r="G1558" s="41" t="n"/>
    </row>
    <row r="1559" ht="79" customHeight="1">
      <c r="A1559" s="34" t="inlineStr">
        <is>
          <t>R988-v2</t>
        </is>
      </c>
      <c r="B1559" s="34" t="inlineStr">
        <is>
          <t>SCH-06-088</t>
        </is>
      </c>
      <c r="C1559" s="34" t="inlineStr">
        <is>
          <t>New</t>
        </is>
      </c>
      <c r="D1559" s="34" t="inlineStr">
        <is>
          <t>Record first supplied in this revision</t>
        </is>
      </c>
      <c r="E1559" s="34" t="inlineStr">
        <is>
          <t>Maya Chen, Owner Project Controls</t>
        </is>
      </c>
      <c r="F1559" s="100" t="inlineStr">
        <is>
          <t>10 EVIDENCE &amp; DECISIONS</t>
        </is>
      </c>
      <c r="G1559" s="41" t="n"/>
    </row>
    <row r="1560" ht="79" customHeight="1">
      <c r="A1560" s="34" t="inlineStr">
        <is>
          <t>R989-v2</t>
        </is>
      </c>
      <c r="B1560" s="34" t="inlineStr">
        <is>
          <t>SCH-06-089</t>
        </is>
      </c>
      <c r="C1560" s="34" t="inlineStr">
        <is>
          <t>New</t>
        </is>
      </c>
      <c r="D1560" s="34" t="inlineStr">
        <is>
          <t>Record first supplied in this revision</t>
        </is>
      </c>
      <c r="E1560" s="34" t="inlineStr">
        <is>
          <t>Maya Chen, Owner Project Controls</t>
        </is>
      </c>
      <c r="F1560" s="100" t="inlineStr">
        <is>
          <t>10 EVIDENCE &amp; DECISIONS</t>
        </is>
      </c>
      <c r="G1560" s="41" t="n"/>
    </row>
    <row r="1561" ht="79" customHeight="1">
      <c r="A1561" s="34" t="inlineStr">
        <is>
          <t>R990-v2</t>
        </is>
      </c>
      <c r="B1561" s="34" t="inlineStr">
        <is>
          <t>SCH-06-090</t>
        </is>
      </c>
      <c r="C1561" s="34" t="inlineStr">
        <is>
          <t>New</t>
        </is>
      </c>
      <c r="D1561" s="34" t="inlineStr">
        <is>
          <t>Record first supplied in this revision</t>
        </is>
      </c>
      <c r="E1561" s="34" t="inlineStr">
        <is>
          <t>Maya Chen, Owner Project Controls</t>
        </is>
      </c>
      <c r="F1561" s="100" t="inlineStr">
        <is>
          <t>10 EVIDENCE &amp; DECISIONS</t>
        </is>
      </c>
      <c r="G1561" s="41" t="n"/>
    </row>
    <row r="1562" ht="79" customHeight="1">
      <c r="A1562" s="34" t="inlineStr">
        <is>
          <t>R991-v2</t>
        </is>
      </c>
      <c r="B1562" s="34" t="inlineStr">
        <is>
          <t>SCH-06-091</t>
        </is>
      </c>
      <c r="C1562" s="34" t="inlineStr">
        <is>
          <t>New</t>
        </is>
      </c>
      <c r="D1562" s="34" t="inlineStr">
        <is>
          <t>Record first supplied in this revision</t>
        </is>
      </c>
      <c r="E1562" s="34" t="inlineStr">
        <is>
          <t>Maya Chen, Owner Project Controls</t>
        </is>
      </c>
      <c r="F1562" s="100" t="inlineStr">
        <is>
          <t>10 EVIDENCE &amp; DECISIONS</t>
        </is>
      </c>
      <c r="G1562" s="41" t="n"/>
    </row>
    <row r="1563" ht="79" customHeight="1">
      <c r="A1563" s="34" t="inlineStr">
        <is>
          <t>R992-v2</t>
        </is>
      </c>
      <c r="B1563" s="34" t="inlineStr">
        <is>
          <t>SCH-06-092</t>
        </is>
      </c>
      <c r="C1563" s="34" t="inlineStr">
        <is>
          <t>New</t>
        </is>
      </c>
      <c r="D1563" s="34" t="inlineStr">
        <is>
          <t>Record first supplied in this revision</t>
        </is>
      </c>
      <c r="E1563" s="34" t="inlineStr">
        <is>
          <t>Maya Chen, Owner Project Controls</t>
        </is>
      </c>
      <c r="F1563" s="100" t="inlineStr">
        <is>
          <t>10 EVIDENCE &amp; DECISIONS</t>
        </is>
      </c>
      <c r="G1563" s="41" t="n"/>
    </row>
    <row r="1564" ht="79" customHeight="1">
      <c r="A1564" s="34" t="inlineStr">
        <is>
          <t>R993-v2</t>
        </is>
      </c>
      <c r="B1564" s="34" t="inlineStr">
        <is>
          <t>SCH-06-093</t>
        </is>
      </c>
      <c r="C1564" s="34" t="inlineStr">
        <is>
          <t>New</t>
        </is>
      </c>
      <c r="D1564" s="34" t="inlineStr">
        <is>
          <t>Record first supplied in this revision</t>
        </is>
      </c>
      <c r="E1564" s="34" t="inlineStr">
        <is>
          <t>Maya Chen, Owner Project Controls</t>
        </is>
      </c>
      <c r="F1564" s="100" t="inlineStr">
        <is>
          <t>10 EVIDENCE &amp; DECISIONS</t>
        </is>
      </c>
      <c r="G1564" s="41" t="n"/>
    </row>
    <row r="1565" ht="79" customHeight="1">
      <c r="A1565" s="34" t="inlineStr">
        <is>
          <t>R994-v2</t>
        </is>
      </c>
      <c r="B1565" s="34" t="inlineStr">
        <is>
          <t>SCH-06-094</t>
        </is>
      </c>
      <c r="C1565" s="34" t="inlineStr">
        <is>
          <t>New</t>
        </is>
      </c>
      <c r="D1565" s="34" t="inlineStr">
        <is>
          <t>Record first supplied in this revision</t>
        </is>
      </c>
      <c r="E1565" s="34" t="inlineStr">
        <is>
          <t>Maya Chen, Owner Project Controls</t>
        </is>
      </c>
      <c r="F1565" s="100" t="inlineStr">
        <is>
          <t>10 EVIDENCE &amp; DECISIONS</t>
        </is>
      </c>
      <c r="G1565" s="41" t="n"/>
    </row>
    <row r="1566" ht="79" customHeight="1">
      <c r="A1566" s="34" t="inlineStr">
        <is>
          <t>R995-v2</t>
        </is>
      </c>
      <c r="B1566" s="34" t="inlineStr">
        <is>
          <t>SCH-06-095</t>
        </is>
      </c>
      <c r="C1566" s="34" t="inlineStr">
        <is>
          <t>New</t>
        </is>
      </c>
      <c r="D1566" s="34" t="inlineStr">
        <is>
          <t>Record first supplied in this revision</t>
        </is>
      </c>
      <c r="E1566" s="34" t="inlineStr">
        <is>
          <t>Maya Chen, Owner Project Controls</t>
        </is>
      </c>
      <c r="F1566" s="100" t="inlineStr">
        <is>
          <t>10 EVIDENCE &amp; DECISIONS</t>
        </is>
      </c>
      <c r="G1566" s="41" t="n"/>
    </row>
    <row r="1567" ht="79" customHeight="1">
      <c r="A1567" s="34" t="inlineStr">
        <is>
          <t>R996-v2</t>
        </is>
      </c>
      <c r="B1567" s="34" t="inlineStr">
        <is>
          <t>SCH-06-096</t>
        </is>
      </c>
      <c r="C1567" s="34" t="inlineStr">
        <is>
          <t>New</t>
        </is>
      </c>
      <c r="D1567" s="34" t="inlineStr">
        <is>
          <t>Record first supplied in this revision</t>
        </is>
      </c>
      <c r="E1567" s="34" t="inlineStr">
        <is>
          <t>Maya Chen, Owner Project Controls</t>
        </is>
      </c>
      <c r="F1567" s="100" t="inlineStr">
        <is>
          <t>10 EVIDENCE &amp; DECISIONS</t>
        </is>
      </c>
      <c r="G1567" s="41" t="n"/>
    </row>
    <row r="1568" ht="79" customHeight="1">
      <c r="A1568" s="34" t="inlineStr">
        <is>
          <t>R997-v2</t>
        </is>
      </c>
      <c r="B1568" s="34" t="inlineStr">
        <is>
          <t>SCH-06-097</t>
        </is>
      </c>
      <c r="C1568" s="34" t="inlineStr">
        <is>
          <t>New</t>
        </is>
      </c>
      <c r="D1568" s="34" t="inlineStr">
        <is>
          <t>Record first supplied in this revision</t>
        </is>
      </c>
      <c r="E1568" s="34" t="inlineStr">
        <is>
          <t>Maya Chen, Owner Project Controls</t>
        </is>
      </c>
      <c r="F1568" s="100" t="inlineStr">
        <is>
          <t>10 EVIDENCE &amp; DECISIONS</t>
        </is>
      </c>
      <c r="G1568" s="41" t="n"/>
    </row>
    <row r="1569" ht="79" customHeight="1">
      <c r="A1569" s="34" t="inlineStr">
        <is>
          <t>R998-v2</t>
        </is>
      </c>
      <c r="B1569" s="34" t="inlineStr">
        <is>
          <t>SCH-06-098</t>
        </is>
      </c>
      <c r="C1569" s="34" t="inlineStr">
        <is>
          <t>New</t>
        </is>
      </c>
      <c r="D1569" s="34" t="inlineStr">
        <is>
          <t>Record first supplied in this revision</t>
        </is>
      </c>
      <c r="E1569" s="34" t="inlineStr">
        <is>
          <t>Maya Chen, Owner Project Controls</t>
        </is>
      </c>
      <c r="F1569" s="100" t="inlineStr">
        <is>
          <t>10 EVIDENCE &amp; DECISIONS</t>
        </is>
      </c>
      <c r="G1569" s="41" t="n"/>
    </row>
    <row r="1570" ht="79" customHeight="1">
      <c r="A1570" s="34" t="inlineStr">
        <is>
          <t>R999-v2</t>
        </is>
      </c>
      <c r="B1570" s="34" t="inlineStr">
        <is>
          <t>SCH-06-099</t>
        </is>
      </c>
      <c r="C1570" s="34" t="inlineStr">
        <is>
          <t>New</t>
        </is>
      </c>
      <c r="D1570" s="34" t="inlineStr">
        <is>
          <t>Record first supplied in this revision</t>
        </is>
      </c>
      <c r="E1570" s="34" t="inlineStr">
        <is>
          <t>Maya Chen, Owner Project Controls</t>
        </is>
      </c>
      <c r="F1570" s="100" t="inlineStr">
        <is>
          <t>10 EVIDENCE &amp; DECISIONS</t>
        </is>
      </c>
      <c r="G1570" s="41" t="n"/>
    </row>
    <row r="1571" ht="79" customHeight="1">
      <c r="A1571" s="34" t="inlineStr">
        <is>
          <t>R1000-v2</t>
        </is>
      </c>
      <c r="B1571" s="34" t="inlineStr">
        <is>
          <t>SCH-06-100</t>
        </is>
      </c>
      <c r="C1571" s="34" t="inlineStr">
        <is>
          <t>New</t>
        </is>
      </c>
      <c r="D1571" s="34" t="inlineStr">
        <is>
          <t>Record first supplied in this revision</t>
        </is>
      </c>
      <c r="E1571" s="34" t="inlineStr">
        <is>
          <t>Maya Chen, Owner Project Controls</t>
        </is>
      </c>
      <c r="F1571" s="100" t="inlineStr">
        <is>
          <t>10 EVIDENCE &amp; DECISIONS</t>
        </is>
      </c>
      <c r="G1571" s="41" t="n"/>
    </row>
    <row r="1572" ht="79" customHeight="1">
      <c r="A1572" s="34" t="inlineStr">
        <is>
          <t>R1001-v2</t>
        </is>
      </c>
      <c r="B1572" s="34" t="inlineStr">
        <is>
          <t>SCH-06-101</t>
        </is>
      </c>
      <c r="C1572" s="34" t="inlineStr">
        <is>
          <t>New</t>
        </is>
      </c>
      <c r="D1572" s="34" t="inlineStr">
        <is>
          <t>Record first supplied in this revision</t>
        </is>
      </c>
      <c r="E1572" s="34" t="inlineStr">
        <is>
          <t>Maya Chen, Owner Project Controls</t>
        </is>
      </c>
      <c r="F1572" s="100" t="inlineStr">
        <is>
          <t>10 EVIDENCE &amp; DECISIONS</t>
        </is>
      </c>
      <c r="G1572" s="41" t="n"/>
    </row>
    <row r="1573" ht="79" customHeight="1">
      <c r="A1573" s="34" t="inlineStr">
        <is>
          <t>R1002-v2</t>
        </is>
      </c>
      <c r="B1573" s="34" t="inlineStr">
        <is>
          <t>SCH-06-102</t>
        </is>
      </c>
      <c r="C1573" s="34" t="inlineStr">
        <is>
          <t>New</t>
        </is>
      </c>
      <c r="D1573" s="34" t="inlineStr">
        <is>
          <t>Record first supplied in this revision</t>
        </is>
      </c>
      <c r="E1573" s="34" t="inlineStr">
        <is>
          <t>Maya Chen, Owner Project Controls</t>
        </is>
      </c>
      <c r="F1573" s="100" t="inlineStr">
        <is>
          <t>10 EVIDENCE &amp; DECISIONS</t>
        </is>
      </c>
      <c r="G1573" s="41" t="n"/>
    </row>
    <row r="1574" ht="79" customHeight="1">
      <c r="A1574" s="34" t="inlineStr">
        <is>
          <t>R1003-v2</t>
        </is>
      </c>
      <c r="B1574" s="34" t="inlineStr">
        <is>
          <t>SCH-06-103</t>
        </is>
      </c>
      <c r="C1574" s="34" t="inlineStr">
        <is>
          <t>New</t>
        </is>
      </c>
      <c r="D1574" s="34" t="inlineStr">
        <is>
          <t>Record first supplied in this revision</t>
        </is>
      </c>
      <c r="E1574" s="34" t="inlineStr">
        <is>
          <t>Maya Chen, Owner Project Controls</t>
        </is>
      </c>
      <c r="F1574" s="100" t="inlineStr">
        <is>
          <t>10 EVIDENCE &amp; DECISIONS</t>
        </is>
      </c>
      <c r="G1574" s="41" t="n"/>
    </row>
    <row r="1575" ht="79" customHeight="1">
      <c r="A1575" s="34" t="inlineStr">
        <is>
          <t>R1004-v2</t>
        </is>
      </c>
      <c r="B1575" s="34" t="inlineStr">
        <is>
          <t>SCH-06-104</t>
        </is>
      </c>
      <c r="C1575" s="34" t="inlineStr">
        <is>
          <t>New</t>
        </is>
      </c>
      <c r="D1575" s="34" t="inlineStr">
        <is>
          <t>Record first supplied in this revision</t>
        </is>
      </c>
      <c r="E1575" s="34" t="inlineStr">
        <is>
          <t>Maya Chen, Owner Project Controls</t>
        </is>
      </c>
      <c r="F1575" s="100" t="inlineStr">
        <is>
          <t>10 EVIDENCE &amp; DECISIONS</t>
        </is>
      </c>
      <c r="G1575" s="41" t="n"/>
    </row>
    <row r="1576" ht="79" customHeight="1">
      <c r="A1576" s="34" t="inlineStr">
        <is>
          <t>R1005-v2</t>
        </is>
      </c>
      <c r="B1576" s="34" t="inlineStr">
        <is>
          <t>SCH-06-105</t>
        </is>
      </c>
      <c r="C1576" s="34" t="inlineStr">
        <is>
          <t>New</t>
        </is>
      </c>
      <c r="D1576" s="34" t="inlineStr">
        <is>
          <t>Record first supplied in this revision</t>
        </is>
      </c>
      <c r="E1576" s="34" t="inlineStr">
        <is>
          <t>Maya Chen, Owner Project Controls</t>
        </is>
      </c>
      <c r="F1576" s="100" t="inlineStr">
        <is>
          <t>10 EVIDENCE &amp; DECISIONS</t>
        </is>
      </c>
      <c r="G1576" s="41" t="n"/>
    </row>
    <row r="1577" ht="79" customHeight="1">
      <c r="A1577" s="34" t="inlineStr">
        <is>
          <t>R1006-v2</t>
        </is>
      </c>
      <c r="B1577" s="34" t="inlineStr">
        <is>
          <t>SCH-06-106</t>
        </is>
      </c>
      <c r="C1577" s="34" t="inlineStr">
        <is>
          <t>New</t>
        </is>
      </c>
      <c r="D1577" s="34" t="inlineStr">
        <is>
          <t>Record first supplied in this revision</t>
        </is>
      </c>
      <c r="E1577" s="34" t="inlineStr">
        <is>
          <t>Maya Chen, Owner Project Controls</t>
        </is>
      </c>
      <c r="F1577" s="100" t="inlineStr">
        <is>
          <t>10 EVIDENCE &amp; DECISIONS</t>
        </is>
      </c>
      <c r="G1577" s="41" t="n"/>
    </row>
    <row r="1578" ht="79" customHeight="1">
      <c r="A1578" s="34" t="inlineStr">
        <is>
          <t>R1007-v2</t>
        </is>
      </c>
      <c r="B1578" s="34" t="inlineStr">
        <is>
          <t>SCH-06-107</t>
        </is>
      </c>
      <c r="C1578" s="34" t="inlineStr">
        <is>
          <t>New</t>
        </is>
      </c>
      <c r="D1578" s="34" t="inlineStr">
        <is>
          <t>Record first supplied in this revision</t>
        </is>
      </c>
      <c r="E1578" s="34" t="inlineStr">
        <is>
          <t>Maya Chen, Owner Project Controls</t>
        </is>
      </c>
      <c r="F1578" s="100" t="inlineStr">
        <is>
          <t>10 EVIDENCE &amp; DECISIONS</t>
        </is>
      </c>
      <c r="G1578" s="41" t="n"/>
    </row>
    <row r="1579" ht="79" customHeight="1">
      <c r="A1579" s="34" t="inlineStr">
        <is>
          <t>R1008-v2</t>
        </is>
      </c>
      <c r="B1579" s="34" t="inlineStr">
        <is>
          <t>SCH-06-108</t>
        </is>
      </c>
      <c r="C1579" s="34" t="inlineStr">
        <is>
          <t>New</t>
        </is>
      </c>
      <c r="D1579" s="34" t="inlineStr">
        <is>
          <t>Record first supplied in this revision</t>
        </is>
      </c>
      <c r="E1579" s="34" t="inlineStr">
        <is>
          <t>Maya Chen, Owner Project Controls</t>
        </is>
      </c>
      <c r="F1579" s="100" t="inlineStr">
        <is>
          <t>10 EVIDENCE &amp; DECISIONS</t>
        </is>
      </c>
      <c r="G1579" s="41" t="n"/>
    </row>
    <row r="1580" ht="79" customHeight="1">
      <c r="A1580" s="34" t="inlineStr">
        <is>
          <t>R1009-v2</t>
        </is>
      </c>
      <c r="B1580" s="34" t="inlineStr">
        <is>
          <t>SCH-06-109</t>
        </is>
      </c>
      <c r="C1580" s="34" t="inlineStr">
        <is>
          <t>New</t>
        </is>
      </c>
      <c r="D1580" s="34" t="inlineStr">
        <is>
          <t>Record first supplied in this revision</t>
        </is>
      </c>
      <c r="E1580" s="34" t="inlineStr">
        <is>
          <t>Maya Chen, Owner Project Controls</t>
        </is>
      </c>
      <c r="F1580" s="100" t="inlineStr">
        <is>
          <t>10 EVIDENCE &amp; DECISIONS</t>
        </is>
      </c>
      <c r="G1580" s="41" t="n"/>
    </row>
    <row r="1581" ht="79" customHeight="1">
      <c r="A1581" s="34" t="inlineStr">
        <is>
          <t>R1010-v2</t>
        </is>
      </c>
      <c r="B1581" s="34" t="inlineStr">
        <is>
          <t>SCH-06-110</t>
        </is>
      </c>
      <c r="C1581" s="34" t="inlineStr">
        <is>
          <t>New</t>
        </is>
      </c>
      <c r="D1581" s="34" t="inlineStr">
        <is>
          <t>Record first supplied in this revision</t>
        </is>
      </c>
      <c r="E1581" s="34" t="inlineStr">
        <is>
          <t>Maya Chen, Owner Project Controls</t>
        </is>
      </c>
      <c r="F1581" s="100" t="inlineStr">
        <is>
          <t>10 EVIDENCE &amp; DECISIONS</t>
        </is>
      </c>
      <c r="G1581" s="41" t="n"/>
    </row>
    <row r="1582" ht="79" customHeight="1">
      <c r="A1582" s="34" t="inlineStr">
        <is>
          <t>R1011-v2</t>
        </is>
      </c>
      <c r="B1582" s="34" t="inlineStr">
        <is>
          <t>SCH-06-111</t>
        </is>
      </c>
      <c r="C1582" s="34" t="inlineStr">
        <is>
          <t>New</t>
        </is>
      </c>
      <c r="D1582" s="34" t="inlineStr">
        <is>
          <t>Record first supplied in this revision</t>
        </is>
      </c>
      <c r="E1582" s="34" t="inlineStr">
        <is>
          <t>Maya Chen, Owner Project Controls</t>
        </is>
      </c>
      <c r="F1582" s="100" t="inlineStr">
        <is>
          <t>10 EVIDENCE &amp; DECISIONS</t>
        </is>
      </c>
      <c r="G1582" s="41" t="n"/>
    </row>
    <row r="1583" ht="79" customHeight="1">
      <c r="A1583" s="34" t="inlineStr">
        <is>
          <t>R1012-v2</t>
        </is>
      </c>
      <c r="B1583" s="34" t="inlineStr">
        <is>
          <t>SCH-06-112</t>
        </is>
      </c>
      <c r="C1583" s="34" t="inlineStr">
        <is>
          <t>New</t>
        </is>
      </c>
      <c r="D1583" s="34" t="inlineStr">
        <is>
          <t>Record first supplied in this revision</t>
        </is>
      </c>
      <c r="E1583" s="34" t="inlineStr">
        <is>
          <t>Maya Chen, Owner Project Controls</t>
        </is>
      </c>
      <c r="F1583" s="100" t="inlineStr">
        <is>
          <t>10 EVIDENCE &amp; DECISIONS</t>
        </is>
      </c>
      <c r="G1583" s="41" t="n"/>
    </row>
    <row r="1584" ht="79" customHeight="1">
      <c r="A1584" s="34" t="inlineStr">
        <is>
          <t>R1013-v2</t>
        </is>
      </c>
      <c r="B1584" s="34" t="inlineStr">
        <is>
          <t>SCH-06-113</t>
        </is>
      </c>
      <c r="C1584" s="34" t="inlineStr">
        <is>
          <t>New</t>
        </is>
      </c>
      <c r="D1584" s="34" t="inlineStr">
        <is>
          <t>Record first supplied in this revision</t>
        </is>
      </c>
      <c r="E1584" s="34" t="inlineStr">
        <is>
          <t>Maya Chen, Owner Project Controls</t>
        </is>
      </c>
      <c r="F1584" s="100" t="inlineStr">
        <is>
          <t>10 EVIDENCE &amp; DECISIONS</t>
        </is>
      </c>
      <c r="G1584" s="41" t="n"/>
    </row>
    <row r="1585" ht="79" customHeight="1">
      <c r="A1585" s="34" t="inlineStr">
        <is>
          <t>R1014-v2</t>
        </is>
      </c>
      <c r="B1585" s="34" t="inlineStr">
        <is>
          <t>SCH-06-114</t>
        </is>
      </c>
      <c r="C1585" s="34" t="inlineStr">
        <is>
          <t>New</t>
        </is>
      </c>
      <c r="D1585" s="34" t="inlineStr">
        <is>
          <t>Record first supplied in this revision</t>
        </is>
      </c>
      <c r="E1585" s="34" t="inlineStr">
        <is>
          <t>Maya Chen, Owner Project Controls</t>
        </is>
      </c>
      <c r="F1585" s="100" t="inlineStr">
        <is>
          <t>10 EVIDENCE &amp; DECISIONS</t>
        </is>
      </c>
      <c r="G1585" s="41" t="n"/>
    </row>
    <row r="1586" ht="79" customHeight="1">
      <c r="A1586" s="34" t="inlineStr">
        <is>
          <t>R1015-v2</t>
        </is>
      </c>
      <c r="B1586" s="34" t="inlineStr">
        <is>
          <t>SCH-06-115</t>
        </is>
      </c>
      <c r="C1586" s="34" t="inlineStr">
        <is>
          <t>New</t>
        </is>
      </c>
      <c r="D1586" s="34" t="inlineStr">
        <is>
          <t>Record first supplied in this revision</t>
        </is>
      </c>
      <c r="E1586" s="34" t="inlineStr">
        <is>
          <t>Maya Chen, Owner Project Controls</t>
        </is>
      </c>
      <c r="F1586" s="100" t="inlineStr">
        <is>
          <t>10 EVIDENCE &amp; DECISIONS</t>
        </is>
      </c>
      <c r="G1586" s="41" t="n"/>
    </row>
    <row r="1587" ht="79" customHeight="1">
      <c r="A1587" s="34" t="inlineStr">
        <is>
          <t>R1016-v2</t>
        </is>
      </c>
      <c r="B1587" s="34" t="inlineStr">
        <is>
          <t>SCH-06-116</t>
        </is>
      </c>
      <c r="C1587" s="34" t="inlineStr">
        <is>
          <t>New</t>
        </is>
      </c>
      <c r="D1587" s="34" t="inlineStr">
        <is>
          <t>Record first supplied in this revision</t>
        </is>
      </c>
      <c r="E1587" s="34" t="inlineStr">
        <is>
          <t>Maya Chen, Owner Project Controls</t>
        </is>
      </c>
      <c r="F1587" s="100" t="inlineStr">
        <is>
          <t>10 EVIDENCE &amp; DECISIONS</t>
        </is>
      </c>
      <c r="G1587" s="41" t="n"/>
    </row>
    <row r="1588" ht="79" customHeight="1">
      <c r="A1588" s="34" t="inlineStr">
        <is>
          <t>R1017-v2</t>
        </is>
      </c>
      <c r="B1588" s="34" t="inlineStr">
        <is>
          <t>SCH-06-117</t>
        </is>
      </c>
      <c r="C1588" s="34" t="inlineStr">
        <is>
          <t>New</t>
        </is>
      </c>
      <c r="D1588" s="34" t="inlineStr">
        <is>
          <t>Record first supplied in this revision</t>
        </is>
      </c>
      <c r="E1588" s="34" t="inlineStr">
        <is>
          <t>Maya Chen, Owner Project Controls</t>
        </is>
      </c>
      <c r="F1588" s="100" t="inlineStr">
        <is>
          <t>10 EVIDENCE &amp; DECISIONS</t>
        </is>
      </c>
      <c r="G1588" s="41" t="n"/>
    </row>
    <row r="1589" ht="79" customHeight="1">
      <c r="A1589" s="34" t="inlineStr">
        <is>
          <t>R1018-v2</t>
        </is>
      </c>
      <c r="B1589" s="34" t="inlineStr">
        <is>
          <t>SCH-06-118</t>
        </is>
      </c>
      <c r="C1589" s="34" t="inlineStr">
        <is>
          <t>New</t>
        </is>
      </c>
      <c r="D1589" s="34" t="inlineStr">
        <is>
          <t>Record first supplied in this revision</t>
        </is>
      </c>
      <c r="E1589" s="34" t="inlineStr">
        <is>
          <t>Maya Chen, Owner Project Controls</t>
        </is>
      </c>
      <c r="F1589" s="100" t="inlineStr">
        <is>
          <t>10 EVIDENCE &amp; DECISIONS</t>
        </is>
      </c>
      <c r="G1589" s="41" t="n"/>
    </row>
    <row r="1590" ht="79" customHeight="1">
      <c r="A1590" s="34" t="inlineStr">
        <is>
          <t>R1019-v2</t>
        </is>
      </c>
      <c r="B1590" s="34" t="inlineStr">
        <is>
          <t>SCH-06-119</t>
        </is>
      </c>
      <c r="C1590" s="34" t="inlineStr">
        <is>
          <t>New</t>
        </is>
      </c>
      <c r="D1590" s="34" t="inlineStr">
        <is>
          <t>Record first supplied in this revision</t>
        </is>
      </c>
      <c r="E1590" s="34" t="inlineStr">
        <is>
          <t>Maya Chen, Owner Project Controls</t>
        </is>
      </c>
      <c r="F1590" s="100" t="inlineStr">
        <is>
          <t>10 EVIDENCE &amp; DECISIONS</t>
        </is>
      </c>
      <c r="G1590" s="41" t="n"/>
    </row>
    <row r="1591" ht="79" customHeight="1">
      <c r="A1591" s="34" t="inlineStr">
        <is>
          <t>R1020-v2</t>
        </is>
      </c>
      <c r="B1591" s="34" t="inlineStr">
        <is>
          <t>SCH-06-120</t>
        </is>
      </c>
      <c r="C1591" s="34" t="inlineStr">
        <is>
          <t>New</t>
        </is>
      </c>
      <c r="D1591" s="34" t="inlineStr">
        <is>
          <t>Record first supplied in this revision</t>
        </is>
      </c>
      <c r="E1591" s="34" t="inlineStr">
        <is>
          <t>Maya Chen, Owner Project Controls</t>
        </is>
      </c>
      <c r="F1591" s="100" t="inlineStr">
        <is>
          <t>10 EVIDENCE &amp; DECISIONS</t>
        </is>
      </c>
      <c r="G1591" s="41" t="n"/>
    </row>
    <row r="1592" ht="79" customHeight="1">
      <c r="A1592" s="34" t="inlineStr">
        <is>
          <t>R1021-v2</t>
        </is>
      </c>
      <c r="B1592" s="34" t="inlineStr">
        <is>
          <t>SCH-06-121</t>
        </is>
      </c>
      <c r="C1592" s="34" t="inlineStr">
        <is>
          <t>New</t>
        </is>
      </c>
      <c r="D1592" s="34" t="inlineStr">
        <is>
          <t>Record first supplied in this revision</t>
        </is>
      </c>
      <c r="E1592" s="34" t="inlineStr">
        <is>
          <t>Maya Chen, Owner Project Controls</t>
        </is>
      </c>
      <c r="F1592" s="100" t="inlineStr">
        <is>
          <t>10 EVIDENCE &amp; DECISIONS</t>
        </is>
      </c>
      <c r="G1592" s="41" t="n"/>
    </row>
    <row r="1593" ht="79" customHeight="1">
      <c r="A1593" s="34" t="inlineStr">
        <is>
          <t>R1022-v2</t>
        </is>
      </c>
      <c r="B1593" s="34" t="inlineStr">
        <is>
          <t>SCH-06-122</t>
        </is>
      </c>
      <c r="C1593" s="34" t="inlineStr">
        <is>
          <t>New</t>
        </is>
      </c>
      <c r="D1593" s="34" t="inlineStr">
        <is>
          <t>Record first supplied in this revision</t>
        </is>
      </c>
      <c r="E1593" s="34" t="inlineStr">
        <is>
          <t>Maya Chen, Owner Project Controls</t>
        </is>
      </c>
      <c r="F1593" s="100" t="inlineStr">
        <is>
          <t>10 EVIDENCE &amp; DECISIONS</t>
        </is>
      </c>
      <c r="G1593" s="41" t="n"/>
    </row>
    <row r="1594" ht="79" customHeight="1">
      <c r="A1594" s="34" t="inlineStr">
        <is>
          <t>R1023-v2</t>
        </is>
      </c>
      <c r="B1594" s="34" t="inlineStr">
        <is>
          <t>SCH-06-123</t>
        </is>
      </c>
      <c r="C1594" s="34" t="inlineStr">
        <is>
          <t>New</t>
        </is>
      </c>
      <c r="D1594" s="34" t="inlineStr">
        <is>
          <t>Record first supplied in this revision</t>
        </is>
      </c>
      <c r="E1594" s="34" t="inlineStr">
        <is>
          <t>Maya Chen, Owner Project Controls</t>
        </is>
      </c>
      <c r="F1594" s="100" t="inlineStr">
        <is>
          <t>10 EVIDENCE &amp; DECISIONS</t>
        </is>
      </c>
      <c r="G1594" s="41" t="n"/>
    </row>
    <row r="1595" ht="79" customHeight="1">
      <c r="A1595" s="34" t="inlineStr">
        <is>
          <t>R1024-v2</t>
        </is>
      </c>
      <c r="B1595" s="34" t="inlineStr">
        <is>
          <t>SCH-06-124</t>
        </is>
      </c>
      <c r="C1595" s="34" t="inlineStr">
        <is>
          <t>New</t>
        </is>
      </c>
      <c r="D1595" s="34" t="inlineStr">
        <is>
          <t>Record first supplied in this revision</t>
        </is>
      </c>
      <c r="E1595" s="34" t="inlineStr">
        <is>
          <t>Maya Chen, Owner Project Controls</t>
        </is>
      </c>
      <c r="F1595" s="100" t="inlineStr">
        <is>
          <t>10 EVIDENCE &amp; DECISIONS</t>
        </is>
      </c>
      <c r="G1595" s="41" t="n"/>
    </row>
    <row r="1596" ht="79" customHeight="1">
      <c r="A1596" s="34" t="inlineStr">
        <is>
          <t>R1025-v2</t>
        </is>
      </c>
      <c r="B1596" s="34" t="inlineStr">
        <is>
          <t>SCH-06-125</t>
        </is>
      </c>
      <c r="C1596" s="34" t="inlineStr">
        <is>
          <t>New</t>
        </is>
      </c>
      <c r="D1596" s="34" t="inlineStr">
        <is>
          <t>Record first supplied in this revision</t>
        </is>
      </c>
      <c r="E1596" s="34" t="inlineStr">
        <is>
          <t>Maya Chen, Owner Project Controls</t>
        </is>
      </c>
      <c r="F1596" s="100" t="inlineStr">
        <is>
          <t>10 EVIDENCE &amp; DECISIONS</t>
        </is>
      </c>
      <c r="G1596" s="41" t="n"/>
    </row>
    <row r="1597" ht="79" customHeight="1">
      <c r="A1597" s="34" t="inlineStr">
        <is>
          <t>R1026-v2</t>
        </is>
      </c>
      <c r="B1597" s="34" t="inlineStr">
        <is>
          <t>SCH-06-126</t>
        </is>
      </c>
      <c r="C1597" s="34" t="inlineStr">
        <is>
          <t>New</t>
        </is>
      </c>
      <c r="D1597" s="34" t="inlineStr">
        <is>
          <t>Record first supplied in this revision</t>
        </is>
      </c>
      <c r="E1597" s="34" t="inlineStr">
        <is>
          <t>Maya Chen, Owner Project Controls</t>
        </is>
      </c>
      <c r="F1597" s="100" t="inlineStr">
        <is>
          <t>10 EVIDENCE &amp; DECISIONS</t>
        </is>
      </c>
      <c r="G1597" s="41" t="n"/>
    </row>
    <row r="1598" ht="79" customHeight="1">
      <c r="A1598" s="34" t="inlineStr">
        <is>
          <t>R1027-v2</t>
        </is>
      </c>
      <c r="B1598" s="34" t="inlineStr">
        <is>
          <t>SCH-06-127</t>
        </is>
      </c>
      <c r="C1598" s="34" t="inlineStr">
        <is>
          <t>New</t>
        </is>
      </c>
      <c r="D1598" s="34" t="inlineStr">
        <is>
          <t>Record first supplied in this revision</t>
        </is>
      </c>
      <c r="E1598" s="34" t="inlineStr">
        <is>
          <t>Maya Chen, Owner Project Controls</t>
        </is>
      </c>
      <c r="F1598" s="100" t="inlineStr">
        <is>
          <t>10 EVIDENCE &amp; DECISIONS</t>
        </is>
      </c>
      <c r="G1598" s="41" t="n"/>
    </row>
    <row r="1599" ht="79" customHeight="1">
      <c r="A1599" s="34" t="inlineStr">
        <is>
          <t>R1028-v2</t>
        </is>
      </c>
      <c r="B1599" s="34" t="inlineStr">
        <is>
          <t>SCH-06-128</t>
        </is>
      </c>
      <c r="C1599" s="34" t="inlineStr">
        <is>
          <t>New</t>
        </is>
      </c>
      <c r="D1599" s="34" t="inlineStr">
        <is>
          <t>Record first supplied in this revision</t>
        </is>
      </c>
      <c r="E1599" s="34" t="inlineStr">
        <is>
          <t>Maya Chen, Owner Project Controls</t>
        </is>
      </c>
      <c r="F1599" s="100" t="inlineStr">
        <is>
          <t>10 EVIDENCE &amp; DECISIONS</t>
        </is>
      </c>
      <c r="G1599" s="41" t="n"/>
    </row>
    <row r="1600" ht="79" customHeight="1">
      <c r="A1600" s="34" t="inlineStr">
        <is>
          <t>R1029-v2</t>
        </is>
      </c>
      <c r="B1600" s="34" t="inlineStr">
        <is>
          <t>SCH-06-129</t>
        </is>
      </c>
      <c r="C1600" s="34" t="inlineStr">
        <is>
          <t>New</t>
        </is>
      </c>
      <c r="D1600" s="34" t="inlineStr">
        <is>
          <t>Record first supplied in this revision</t>
        </is>
      </c>
      <c r="E1600" s="34" t="inlineStr">
        <is>
          <t>Maya Chen, Owner Project Controls</t>
        </is>
      </c>
      <c r="F1600" s="100" t="inlineStr">
        <is>
          <t>10 EVIDENCE &amp; DECISIONS</t>
        </is>
      </c>
      <c r="G1600" s="41" t="n"/>
    </row>
    <row r="1601" ht="79" customHeight="1">
      <c r="A1601" s="34" t="inlineStr">
        <is>
          <t>R1030-v2</t>
        </is>
      </c>
      <c r="B1601" s="34" t="inlineStr">
        <is>
          <t>SCH-06-130</t>
        </is>
      </c>
      <c r="C1601" s="34" t="inlineStr">
        <is>
          <t>New</t>
        </is>
      </c>
      <c r="D1601" s="34" t="inlineStr">
        <is>
          <t>Record first supplied in this revision</t>
        </is>
      </c>
      <c r="E1601" s="34" t="inlineStr">
        <is>
          <t>Maya Chen, Owner Project Controls</t>
        </is>
      </c>
      <c r="F1601" s="100" t="inlineStr">
        <is>
          <t>10 EVIDENCE &amp; DECISIONS</t>
        </is>
      </c>
      <c r="G1601" s="41" t="n"/>
    </row>
    <row r="1602" ht="79" customHeight="1">
      <c r="A1602" s="34" t="inlineStr">
        <is>
          <t>R1031-v2</t>
        </is>
      </c>
      <c r="B1602" s="34" t="inlineStr">
        <is>
          <t>SCH-06-131</t>
        </is>
      </c>
      <c r="C1602" s="34" t="inlineStr">
        <is>
          <t>New</t>
        </is>
      </c>
      <c r="D1602" s="34" t="inlineStr">
        <is>
          <t>Record first supplied in this revision</t>
        </is>
      </c>
      <c r="E1602" s="34" t="inlineStr">
        <is>
          <t>Maya Chen, Owner Project Controls</t>
        </is>
      </c>
      <c r="F1602" s="100" t="inlineStr">
        <is>
          <t>10 EVIDENCE &amp; DECISIONS</t>
        </is>
      </c>
      <c r="G1602" s="41" t="n"/>
    </row>
    <row r="1603" ht="79" customHeight="1">
      <c r="A1603" s="34" t="inlineStr">
        <is>
          <t>R1032-v2</t>
        </is>
      </c>
      <c r="B1603" s="34" t="inlineStr">
        <is>
          <t>SCH-06-132</t>
        </is>
      </c>
      <c r="C1603" s="34" t="inlineStr">
        <is>
          <t>New</t>
        </is>
      </c>
      <c r="D1603" s="34" t="inlineStr">
        <is>
          <t>Record first supplied in this revision</t>
        </is>
      </c>
      <c r="E1603" s="34" t="inlineStr">
        <is>
          <t>Maya Chen, Owner Project Controls</t>
        </is>
      </c>
      <c r="F1603" s="100" t="inlineStr">
        <is>
          <t>10 EVIDENCE &amp; DECISIONS</t>
        </is>
      </c>
      <c r="G1603" s="41" t="n"/>
    </row>
    <row r="1604" ht="79" customHeight="1">
      <c r="A1604" s="34" t="inlineStr">
        <is>
          <t>R1033-v2</t>
        </is>
      </c>
      <c r="B1604" s="34" t="inlineStr">
        <is>
          <t>SCH-06-133</t>
        </is>
      </c>
      <c r="C1604" s="34" t="inlineStr">
        <is>
          <t>New</t>
        </is>
      </c>
      <c r="D1604" s="34" t="inlineStr">
        <is>
          <t>Record first supplied in this revision</t>
        </is>
      </c>
      <c r="E1604" s="34" t="inlineStr">
        <is>
          <t>Maya Chen, Owner Project Controls</t>
        </is>
      </c>
      <c r="F1604" s="100" t="inlineStr">
        <is>
          <t>10 EVIDENCE &amp; DECISIONS</t>
        </is>
      </c>
      <c r="G1604" s="41" t="n"/>
    </row>
    <row r="1605" ht="79" customHeight="1">
      <c r="A1605" s="34" t="inlineStr">
        <is>
          <t>R1034-v2</t>
        </is>
      </c>
      <c r="B1605" s="34" t="inlineStr">
        <is>
          <t>SCH-06-134</t>
        </is>
      </c>
      <c r="C1605" s="34" t="inlineStr">
        <is>
          <t>New</t>
        </is>
      </c>
      <c r="D1605" s="34" t="inlineStr">
        <is>
          <t>Record first supplied in this revision</t>
        </is>
      </c>
      <c r="E1605" s="34" t="inlineStr">
        <is>
          <t>Maya Chen, Owner Project Controls</t>
        </is>
      </c>
      <c r="F1605" s="100" t="inlineStr">
        <is>
          <t>10 EVIDENCE &amp; DECISIONS</t>
        </is>
      </c>
      <c r="G1605" s="41" t="n"/>
    </row>
    <row r="1606" ht="79" customHeight="1">
      <c r="A1606" s="34" t="inlineStr">
        <is>
          <t>R1035-v2</t>
        </is>
      </c>
      <c r="B1606" s="34" t="inlineStr">
        <is>
          <t>SCH-06-135</t>
        </is>
      </c>
      <c r="C1606" s="34" t="inlineStr">
        <is>
          <t>New</t>
        </is>
      </c>
      <c r="D1606" s="34" t="inlineStr">
        <is>
          <t>Record first supplied in this revision</t>
        </is>
      </c>
      <c r="E1606" s="34" t="inlineStr">
        <is>
          <t>Maya Chen, Owner Project Controls</t>
        </is>
      </c>
      <c r="F1606" s="100" t="inlineStr">
        <is>
          <t>10 EVIDENCE &amp; DECISIONS</t>
        </is>
      </c>
      <c r="G1606" s="41" t="n"/>
    </row>
    <row r="1607" ht="79" customHeight="1">
      <c r="A1607" s="34" t="inlineStr">
        <is>
          <t>R1036-v2</t>
        </is>
      </c>
      <c r="B1607" s="34" t="inlineStr">
        <is>
          <t>SCH-06-136</t>
        </is>
      </c>
      <c r="C1607" s="34" t="inlineStr">
        <is>
          <t>New</t>
        </is>
      </c>
      <c r="D1607" s="34" t="inlineStr">
        <is>
          <t>Record first supplied in this revision</t>
        </is>
      </c>
      <c r="E1607" s="34" t="inlineStr">
        <is>
          <t>Maya Chen, Owner Project Controls</t>
        </is>
      </c>
      <c r="F1607" s="100" t="inlineStr">
        <is>
          <t>10 EVIDENCE &amp; DECISIONS</t>
        </is>
      </c>
      <c r="G1607" s="41" t="n"/>
    </row>
    <row r="1608" ht="79" customHeight="1">
      <c r="A1608" s="34" t="inlineStr">
        <is>
          <t>R1037-v2</t>
        </is>
      </c>
      <c r="B1608" s="34" t="inlineStr">
        <is>
          <t>SCH-06-137</t>
        </is>
      </c>
      <c r="C1608" s="34" t="inlineStr">
        <is>
          <t>New</t>
        </is>
      </c>
      <c r="D1608" s="34" t="inlineStr">
        <is>
          <t>Record first supplied in this revision</t>
        </is>
      </c>
      <c r="E1608" s="34" t="inlineStr">
        <is>
          <t>Maya Chen, Owner Project Controls</t>
        </is>
      </c>
      <c r="F1608" s="100" t="inlineStr">
        <is>
          <t>10 EVIDENCE &amp; DECISIONS</t>
        </is>
      </c>
      <c r="G1608" s="41" t="n"/>
    </row>
    <row r="1609" ht="79" customHeight="1">
      <c r="A1609" s="34" t="inlineStr">
        <is>
          <t>R1038-v2</t>
        </is>
      </c>
      <c r="B1609" s="34" t="inlineStr">
        <is>
          <t>SCH-06-138</t>
        </is>
      </c>
      <c r="C1609" s="34" t="inlineStr">
        <is>
          <t>New</t>
        </is>
      </c>
      <c r="D1609" s="34" t="inlineStr">
        <is>
          <t>Record first supplied in this revision</t>
        </is>
      </c>
      <c r="E1609" s="34" t="inlineStr">
        <is>
          <t>Maya Chen, Owner Project Controls</t>
        </is>
      </c>
      <c r="F1609" s="100" t="inlineStr">
        <is>
          <t>10 EVIDENCE &amp; DECISIONS</t>
        </is>
      </c>
      <c r="G1609" s="41" t="n"/>
    </row>
    <row r="1610" ht="79" customHeight="1">
      <c r="A1610" s="34" t="inlineStr">
        <is>
          <t>R1039-v2</t>
        </is>
      </c>
      <c r="B1610" s="34" t="inlineStr">
        <is>
          <t>SCH-06-139</t>
        </is>
      </c>
      <c r="C1610" s="34" t="inlineStr">
        <is>
          <t>New</t>
        </is>
      </c>
      <c r="D1610" s="34" t="inlineStr">
        <is>
          <t>Record first supplied in this revision</t>
        </is>
      </c>
      <c r="E1610" s="34" t="inlineStr">
        <is>
          <t>Maya Chen, Owner Project Controls</t>
        </is>
      </c>
      <c r="F1610" s="100" t="inlineStr">
        <is>
          <t>10 EVIDENCE &amp; DECISIONS</t>
        </is>
      </c>
      <c r="G1610" s="41" t="n"/>
    </row>
    <row r="1611" ht="79" customHeight="1">
      <c r="A1611" s="34" t="inlineStr">
        <is>
          <t>R1040-v2</t>
        </is>
      </c>
      <c r="B1611" s="34" t="inlineStr">
        <is>
          <t>SCH-06-140</t>
        </is>
      </c>
      <c r="C1611" s="34" t="inlineStr">
        <is>
          <t>New</t>
        </is>
      </c>
      <c r="D1611" s="34" t="inlineStr">
        <is>
          <t>Record first supplied in this revision</t>
        </is>
      </c>
      <c r="E1611" s="34" t="inlineStr">
        <is>
          <t>Maya Chen, Owner Project Controls</t>
        </is>
      </c>
      <c r="F1611" s="100" t="inlineStr">
        <is>
          <t>10 EVIDENCE &amp; DECISIONS</t>
        </is>
      </c>
      <c r="G1611" s="41" t="n"/>
    </row>
    <row r="1612" ht="79" customHeight="1">
      <c r="A1612" s="34" t="inlineStr">
        <is>
          <t>R1041-v2</t>
        </is>
      </c>
      <c r="B1612" s="34" t="inlineStr">
        <is>
          <t>SCH-06-141</t>
        </is>
      </c>
      <c r="C1612" s="34" t="inlineStr">
        <is>
          <t>New</t>
        </is>
      </c>
      <c r="D1612" s="34" t="inlineStr">
        <is>
          <t>Record first supplied in this revision</t>
        </is>
      </c>
      <c r="E1612" s="34" t="inlineStr">
        <is>
          <t>Maya Chen, Owner Project Controls</t>
        </is>
      </c>
      <c r="F1612" s="100" t="inlineStr">
        <is>
          <t>10 EVIDENCE &amp; DECISIONS</t>
        </is>
      </c>
      <c r="G1612" s="41" t="n"/>
    </row>
    <row r="1613" ht="79" customHeight="1">
      <c r="A1613" s="34" t="inlineStr">
        <is>
          <t>R1042-v2</t>
        </is>
      </c>
      <c r="B1613" s="34" t="inlineStr">
        <is>
          <t>SCH-06-142</t>
        </is>
      </c>
      <c r="C1613" s="34" t="inlineStr">
        <is>
          <t>New</t>
        </is>
      </c>
      <c r="D1613" s="34" t="inlineStr">
        <is>
          <t>Record first supplied in this revision</t>
        </is>
      </c>
      <c r="E1613" s="34" t="inlineStr">
        <is>
          <t>Maya Chen, Owner Project Controls</t>
        </is>
      </c>
      <c r="F1613" s="100" t="inlineStr">
        <is>
          <t>10 EVIDENCE &amp; DECISIONS</t>
        </is>
      </c>
      <c r="G1613" s="41" t="n"/>
    </row>
    <row r="1614" ht="79" customHeight="1">
      <c r="A1614" s="34" t="inlineStr">
        <is>
          <t>R1043-v2</t>
        </is>
      </c>
      <c r="B1614" s="34" t="inlineStr">
        <is>
          <t>SCH-06-143</t>
        </is>
      </c>
      <c r="C1614" s="34" t="inlineStr">
        <is>
          <t>New</t>
        </is>
      </c>
      <c r="D1614" s="34" t="inlineStr">
        <is>
          <t>Record first supplied in this revision</t>
        </is>
      </c>
      <c r="E1614" s="34" t="inlineStr">
        <is>
          <t>Maya Chen, Owner Project Controls</t>
        </is>
      </c>
      <c r="F1614" s="100" t="inlineStr">
        <is>
          <t>10 EVIDENCE &amp; DECISIONS</t>
        </is>
      </c>
      <c r="G1614" s="41" t="n"/>
    </row>
    <row r="1615" ht="79" customHeight="1">
      <c r="A1615" s="34" t="inlineStr">
        <is>
          <t>R1044-v2</t>
        </is>
      </c>
      <c r="B1615" s="34" t="inlineStr">
        <is>
          <t>SCH-06-144</t>
        </is>
      </c>
      <c r="C1615" s="34" t="inlineStr">
        <is>
          <t>New</t>
        </is>
      </c>
      <c r="D1615" s="34" t="inlineStr">
        <is>
          <t>Record first supplied in this revision</t>
        </is>
      </c>
      <c r="E1615" s="34" t="inlineStr">
        <is>
          <t>Maya Chen, Owner Project Controls</t>
        </is>
      </c>
      <c r="F1615" s="100" t="inlineStr">
        <is>
          <t>10 EVIDENCE &amp; DECISIONS</t>
        </is>
      </c>
      <c r="G1615" s="41" t="n"/>
    </row>
    <row r="1616" ht="79" customHeight="1">
      <c r="A1616" s="34" t="inlineStr">
        <is>
          <t>R1045-v2</t>
        </is>
      </c>
      <c r="B1616" s="34" t="inlineStr">
        <is>
          <t>SCH-06-145</t>
        </is>
      </c>
      <c r="C1616" s="34" t="inlineStr">
        <is>
          <t>New</t>
        </is>
      </c>
      <c r="D1616" s="34" t="inlineStr">
        <is>
          <t>Record first supplied in this revision</t>
        </is>
      </c>
      <c r="E1616" s="34" t="inlineStr">
        <is>
          <t>Maya Chen, Owner Project Controls</t>
        </is>
      </c>
      <c r="F1616" s="100" t="inlineStr">
        <is>
          <t>10 EVIDENCE &amp; DECISIONS</t>
        </is>
      </c>
      <c r="G1616" s="41" t="n"/>
    </row>
    <row r="1617" ht="79" customHeight="1">
      <c r="A1617" s="34" t="inlineStr">
        <is>
          <t>R1046-v2</t>
        </is>
      </c>
      <c r="B1617" s="34" t="inlineStr">
        <is>
          <t>SCH-06-146</t>
        </is>
      </c>
      <c r="C1617" s="34" t="inlineStr">
        <is>
          <t>New</t>
        </is>
      </c>
      <c r="D1617" s="34" t="inlineStr">
        <is>
          <t>Record first supplied in this revision</t>
        </is>
      </c>
      <c r="E1617" s="34" t="inlineStr">
        <is>
          <t>Maya Chen, Owner Project Controls</t>
        </is>
      </c>
      <c r="F1617" s="100" t="inlineStr">
        <is>
          <t>10 EVIDENCE &amp; DECISIONS</t>
        </is>
      </c>
      <c r="G1617" s="41" t="n"/>
    </row>
    <row r="1618" ht="79" customHeight="1">
      <c r="A1618" s="34" t="inlineStr">
        <is>
          <t>R1047-v2</t>
        </is>
      </c>
      <c r="B1618" s="34" t="inlineStr">
        <is>
          <t>SCH-06-147</t>
        </is>
      </c>
      <c r="C1618" s="34" t="inlineStr">
        <is>
          <t>New</t>
        </is>
      </c>
      <c r="D1618" s="34" t="inlineStr">
        <is>
          <t>Record first supplied in this revision</t>
        </is>
      </c>
      <c r="E1618" s="34" t="inlineStr">
        <is>
          <t>Maya Chen, Owner Project Controls</t>
        </is>
      </c>
      <c r="F1618" s="100" t="inlineStr">
        <is>
          <t>10 EVIDENCE &amp; DECISIONS</t>
        </is>
      </c>
      <c r="G1618" s="41" t="n"/>
    </row>
    <row r="1619" ht="79" customHeight="1">
      <c r="A1619" s="34" t="inlineStr">
        <is>
          <t>R1048-v2</t>
        </is>
      </c>
      <c r="B1619" s="34" t="inlineStr">
        <is>
          <t>SCH-06-148</t>
        </is>
      </c>
      <c r="C1619" s="34" t="inlineStr">
        <is>
          <t>New</t>
        </is>
      </c>
      <c r="D1619" s="34" t="inlineStr">
        <is>
          <t>Record first supplied in this revision</t>
        </is>
      </c>
      <c r="E1619" s="34" t="inlineStr">
        <is>
          <t>Maya Chen, Owner Project Controls</t>
        </is>
      </c>
      <c r="F1619" s="100" t="inlineStr">
        <is>
          <t>10 EVIDENCE &amp; DECISIONS</t>
        </is>
      </c>
      <c r="G1619" s="41" t="n"/>
    </row>
    <row r="1620" ht="79" customHeight="1">
      <c r="A1620" s="34" t="inlineStr">
        <is>
          <t>R1049-v2</t>
        </is>
      </c>
      <c r="B1620" s="34" t="inlineStr">
        <is>
          <t>SCH-06-149</t>
        </is>
      </c>
      <c r="C1620" s="34" t="inlineStr">
        <is>
          <t>New</t>
        </is>
      </c>
      <c r="D1620" s="34" t="inlineStr">
        <is>
          <t>Record first supplied in this revision</t>
        </is>
      </c>
      <c r="E1620" s="34" t="inlineStr">
        <is>
          <t>Maya Chen, Owner Project Controls</t>
        </is>
      </c>
      <c r="F1620" s="100" t="inlineStr">
        <is>
          <t>10 EVIDENCE &amp; DECISIONS</t>
        </is>
      </c>
      <c r="G1620" s="41" t="n"/>
    </row>
    <row r="1621" ht="79" customHeight="1">
      <c r="A1621" s="34" t="inlineStr">
        <is>
          <t>R1050-v2</t>
        </is>
      </c>
      <c r="B1621" s="34" t="inlineStr">
        <is>
          <t>SCH-06-150</t>
        </is>
      </c>
      <c r="C1621" s="34" t="inlineStr">
        <is>
          <t>New</t>
        </is>
      </c>
      <c r="D1621" s="34" t="inlineStr">
        <is>
          <t>Record first supplied in this revision</t>
        </is>
      </c>
      <c r="E1621" s="34" t="inlineStr">
        <is>
          <t>Maya Chen, Owner Project Controls</t>
        </is>
      </c>
      <c r="F1621" s="100" t="inlineStr">
        <is>
          <t>10 EVIDENCE &amp; DECISIONS</t>
        </is>
      </c>
      <c r="G1621" s="41" t="n"/>
    </row>
    <row r="1622" ht="79" customHeight="1">
      <c r="A1622" s="34" t="inlineStr">
        <is>
          <t>R1051-v2</t>
        </is>
      </c>
      <c r="B1622" s="34" t="inlineStr">
        <is>
          <t>SCH-06-151</t>
        </is>
      </c>
      <c r="C1622" s="34" t="inlineStr">
        <is>
          <t>New</t>
        </is>
      </c>
      <c r="D1622" s="34" t="inlineStr">
        <is>
          <t>Record first supplied in this revision</t>
        </is>
      </c>
      <c r="E1622" s="34" t="inlineStr">
        <is>
          <t>Maya Chen, Owner Project Controls</t>
        </is>
      </c>
      <c r="F1622" s="100" t="inlineStr">
        <is>
          <t>10 EVIDENCE &amp; DECISIONS</t>
        </is>
      </c>
      <c r="G1622" s="41" t="n"/>
    </row>
    <row r="1623" ht="79" customHeight="1">
      <c r="A1623" s="34" t="inlineStr">
        <is>
          <t>R1052-v2</t>
        </is>
      </c>
      <c r="B1623" s="34" t="inlineStr">
        <is>
          <t>SCH-06-152</t>
        </is>
      </c>
      <c r="C1623" s="34" t="inlineStr">
        <is>
          <t>New</t>
        </is>
      </c>
      <c r="D1623" s="34" t="inlineStr">
        <is>
          <t>Record first supplied in this revision</t>
        </is>
      </c>
      <c r="E1623" s="34" t="inlineStr">
        <is>
          <t>Maya Chen, Owner Project Controls</t>
        </is>
      </c>
      <c r="F1623" s="100" t="inlineStr">
        <is>
          <t>10 EVIDENCE &amp; DECISIONS</t>
        </is>
      </c>
      <c r="G1623" s="41" t="n"/>
    </row>
    <row r="1624" ht="79" customHeight="1">
      <c r="A1624" s="34" t="inlineStr">
        <is>
          <t>R1053-v2</t>
        </is>
      </c>
      <c r="B1624" s="34" t="inlineStr">
        <is>
          <t>SCH-06-153</t>
        </is>
      </c>
      <c r="C1624" s="34" t="inlineStr">
        <is>
          <t>New</t>
        </is>
      </c>
      <c r="D1624" s="34" t="inlineStr">
        <is>
          <t>Record first supplied in this revision</t>
        </is>
      </c>
      <c r="E1624" s="34" t="inlineStr">
        <is>
          <t>Maya Chen, Owner Project Controls</t>
        </is>
      </c>
      <c r="F1624" s="100" t="inlineStr">
        <is>
          <t>10 EVIDENCE &amp; DECISIONS</t>
        </is>
      </c>
      <c r="G1624" s="41" t="n"/>
    </row>
    <row r="1625" ht="79" customHeight="1">
      <c r="A1625" s="34" t="inlineStr">
        <is>
          <t>R1054-v2</t>
        </is>
      </c>
      <c r="B1625" s="34" t="inlineStr">
        <is>
          <t>SCH-06-154</t>
        </is>
      </c>
      <c r="C1625" s="34" t="inlineStr">
        <is>
          <t>New</t>
        </is>
      </c>
      <c r="D1625" s="34" t="inlineStr">
        <is>
          <t>Record first supplied in this revision</t>
        </is>
      </c>
      <c r="E1625" s="34" t="inlineStr">
        <is>
          <t>Maya Chen, Owner Project Controls</t>
        </is>
      </c>
      <c r="F1625" s="100" t="inlineStr">
        <is>
          <t>10 EVIDENCE &amp; DECISIONS</t>
        </is>
      </c>
      <c r="G1625" s="41" t="n"/>
    </row>
    <row r="1626" ht="79" customHeight="1">
      <c r="A1626" s="34" t="inlineStr">
        <is>
          <t>R1055-v2</t>
        </is>
      </c>
      <c r="B1626" s="34" t="inlineStr">
        <is>
          <t>SCH-06-155</t>
        </is>
      </c>
      <c r="C1626" s="34" t="inlineStr">
        <is>
          <t>New</t>
        </is>
      </c>
      <c r="D1626" s="34" t="inlineStr">
        <is>
          <t>Record first supplied in this revision</t>
        </is>
      </c>
      <c r="E1626" s="34" t="inlineStr">
        <is>
          <t>Maya Chen, Owner Project Controls</t>
        </is>
      </c>
      <c r="F1626" s="100" t="inlineStr">
        <is>
          <t>10 EVIDENCE &amp; DECISIONS</t>
        </is>
      </c>
      <c r="G1626" s="41" t="n"/>
    </row>
    <row r="1627" ht="79" customHeight="1">
      <c r="A1627" s="34" t="inlineStr">
        <is>
          <t>R1056-v2</t>
        </is>
      </c>
      <c r="B1627" s="34" t="inlineStr">
        <is>
          <t>SCH-06-156</t>
        </is>
      </c>
      <c r="C1627" s="34" t="inlineStr">
        <is>
          <t>New</t>
        </is>
      </c>
      <c r="D1627" s="34" t="inlineStr">
        <is>
          <t>Record first supplied in this revision</t>
        </is>
      </c>
      <c r="E1627" s="34" t="inlineStr">
        <is>
          <t>Maya Chen, Owner Project Controls</t>
        </is>
      </c>
      <c r="F1627" s="100" t="inlineStr">
        <is>
          <t>10 EVIDENCE &amp; DECISIONS</t>
        </is>
      </c>
      <c r="G1627" s="41" t="n"/>
    </row>
    <row r="1628" ht="79" customHeight="1">
      <c r="A1628" s="34" t="inlineStr">
        <is>
          <t>R1057-v2</t>
        </is>
      </c>
      <c r="B1628" s="34" t="inlineStr">
        <is>
          <t>SCH-06-157</t>
        </is>
      </c>
      <c r="C1628" s="34" t="inlineStr">
        <is>
          <t>New</t>
        </is>
      </c>
      <c r="D1628" s="34" t="inlineStr">
        <is>
          <t>Record first supplied in this revision</t>
        </is>
      </c>
      <c r="E1628" s="34" t="inlineStr">
        <is>
          <t>Maya Chen, Owner Project Controls</t>
        </is>
      </c>
      <c r="F1628" s="100" t="inlineStr">
        <is>
          <t>10 EVIDENCE &amp; DECISIONS</t>
        </is>
      </c>
      <c r="G1628" s="41" t="n"/>
    </row>
    <row r="1629" ht="79" customHeight="1">
      <c r="A1629" s="34" t="inlineStr">
        <is>
          <t>R1058-v2</t>
        </is>
      </c>
      <c r="B1629" s="34" t="inlineStr">
        <is>
          <t>SCH-06-158</t>
        </is>
      </c>
      <c r="C1629" s="34" t="inlineStr">
        <is>
          <t>New</t>
        </is>
      </c>
      <c r="D1629" s="34" t="inlineStr">
        <is>
          <t>Record first supplied in this revision</t>
        </is>
      </c>
      <c r="E1629" s="34" t="inlineStr">
        <is>
          <t>Maya Chen, Owner Project Controls</t>
        </is>
      </c>
      <c r="F1629" s="100" t="inlineStr">
        <is>
          <t>10 EVIDENCE &amp; DECISIONS</t>
        </is>
      </c>
      <c r="G1629" s="41" t="n"/>
    </row>
    <row r="1630" ht="79" customHeight="1">
      <c r="A1630" s="34" t="inlineStr">
        <is>
          <t>R1059-v2</t>
        </is>
      </c>
      <c r="B1630" s="34" t="inlineStr">
        <is>
          <t>SCH-06-159</t>
        </is>
      </c>
      <c r="C1630" s="34" t="inlineStr">
        <is>
          <t>New</t>
        </is>
      </c>
      <c r="D1630" s="34" t="inlineStr">
        <is>
          <t>Record first supplied in this revision</t>
        </is>
      </c>
      <c r="E1630" s="34" t="inlineStr">
        <is>
          <t>Maya Chen, Owner Project Controls</t>
        </is>
      </c>
      <c r="F1630" s="100" t="inlineStr">
        <is>
          <t>10 EVIDENCE &amp; DECISIONS</t>
        </is>
      </c>
      <c r="G1630" s="41" t="n"/>
    </row>
    <row r="1631" ht="79" customHeight="1">
      <c r="A1631" s="34" t="inlineStr">
        <is>
          <t>R1060-v2</t>
        </is>
      </c>
      <c r="B1631" s="34" t="inlineStr">
        <is>
          <t>SCH-06-160</t>
        </is>
      </c>
      <c r="C1631" s="34" t="inlineStr">
        <is>
          <t>New</t>
        </is>
      </c>
      <c r="D1631" s="34" t="inlineStr">
        <is>
          <t>Record first supplied in this revision</t>
        </is>
      </c>
      <c r="E1631" s="34" t="inlineStr">
        <is>
          <t>Maya Chen, Owner Project Controls</t>
        </is>
      </c>
      <c r="F1631" s="100" t="inlineStr">
        <is>
          <t>10 EVIDENCE &amp; DECISIONS</t>
        </is>
      </c>
      <c r="G1631" s="41" t="n"/>
    </row>
    <row r="1632" ht="79" customHeight="1">
      <c r="A1632" s="34" t="inlineStr">
        <is>
          <t>R1061-v2</t>
        </is>
      </c>
      <c r="B1632" s="34" t="inlineStr">
        <is>
          <t>SCH-06-161</t>
        </is>
      </c>
      <c r="C1632" s="34" t="inlineStr">
        <is>
          <t>New</t>
        </is>
      </c>
      <c r="D1632" s="34" t="inlineStr">
        <is>
          <t>Record first supplied in this revision</t>
        </is>
      </c>
      <c r="E1632" s="34" t="inlineStr">
        <is>
          <t>Maya Chen, Owner Project Controls</t>
        </is>
      </c>
      <c r="F1632" s="100" t="inlineStr">
        <is>
          <t>10 EVIDENCE &amp; DECISIONS</t>
        </is>
      </c>
      <c r="G1632" s="41" t="n"/>
    </row>
    <row r="1633" ht="79" customHeight="1">
      <c r="A1633" s="34" t="inlineStr">
        <is>
          <t>R1062-v2</t>
        </is>
      </c>
      <c r="B1633" s="34" t="inlineStr">
        <is>
          <t>SCH-06-162</t>
        </is>
      </c>
      <c r="C1633" s="34" t="inlineStr">
        <is>
          <t>New</t>
        </is>
      </c>
      <c r="D1633" s="34" t="inlineStr">
        <is>
          <t>Record first supplied in this revision</t>
        </is>
      </c>
      <c r="E1633" s="34" t="inlineStr">
        <is>
          <t>Maya Chen, Owner Project Controls</t>
        </is>
      </c>
      <c r="F1633" s="100" t="inlineStr">
        <is>
          <t>10 EVIDENCE &amp; DECISIONS</t>
        </is>
      </c>
      <c r="G1633" s="41" t="n"/>
    </row>
    <row r="1634" ht="79" customHeight="1">
      <c r="A1634" s="34" t="inlineStr">
        <is>
          <t>R1063-v2</t>
        </is>
      </c>
      <c r="B1634" s="34" t="inlineStr">
        <is>
          <t>SCH-06-163</t>
        </is>
      </c>
      <c r="C1634" s="34" t="inlineStr">
        <is>
          <t>New</t>
        </is>
      </c>
      <c r="D1634" s="34" t="inlineStr">
        <is>
          <t>Record first supplied in this revision</t>
        </is>
      </c>
      <c r="E1634" s="34" t="inlineStr">
        <is>
          <t>Maya Chen, Owner Project Controls</t>
        </is>
      </c>
      <c r="F1634" s="100" t="inlineStr">
        <is>
          <t>10 EVIDENCE &amp; DECISIONS</t>
        </is>
      </c>
      <c r="G1634" s="41" t="n"/>
    </row>
    <row r="1635" ht="79" customHeight="1">
      <c r="A1635" s="34" t="inlineStr">
        <is>
          <t>R1064-v2</t>
        </is>
      </c>
      <c r="B1635" s="34" t="inlineStr">
        <is>
          <t>SCH-06-164</t>
        </is>
      </c>
      <c r="C1635" s="34" t="inlineStr">
        <is>
          <t>New</t>
        </is>
      </c>
      <c r="D1635" s="34" t="inlineStr">
        <is>
          <t>Record first supplied in this revision</t>
        </is>
      </c>
      <c r="E1635" s="34" t="inlineStr">
        <is>
          <t>Maya Chen, Owner Project Controls</t>
        </is>
      </c>
      <c r="F1635" s="100" t="inlineStr">
        <is>
          <t>10 EVIDENCE &amp; DECISIONS</t>
        </is>
      </c>
      <c r="G1635" s="41" t="n"/>
    </row>
    <row r="1636" ht="79" customHeight="1">
      <c r="A1636" s="34" t="inlineStr">
        <is>
          <t>R1065-v2</t>
        </is>
      </c>
      <c r="B1636" s="34" t="inlineStr">
        <is>
          <t>SCH-06-165</t>
        </is>
      </c>
      <c r="C1636" s="34" t="inlineStr">
        <is>
          <t>New</t>
        </is>
      </c>
      <c r="D1636" s="34" t="inlineStr">
        <is>
          <t>Record first supplied in this revision</t>
        </is>
      </c>
      <c r="E1636" s="34" t="inlineStr">
        <is>
          <t>Maya Chen, Owner Project Controls</t>
        </is>
      </c>
      <c r="F1636" s="100" t="inlineStr">
        <is>
          <t>10 EVIDENCE &amp; DECISIONS</t>
        </is>
      </c>
      <c r="G1636" s="41" t="n"/>
    </row>
    <row r="1637" ht="79" customHeight="1">
      <c r="A1637" s="34" t="inlineStr">
        <is>
          <t>R1066-v2</t>
        </is>
      </c>
      <c r="B1637" s="34" t="inlineStr">
        <is>
          <t>SCH-06-166</t>
        </is>
      </c>
      <c r="C1637" s="34" t="inlineStr">
        <is>
          <t>New</t>
        </is>
      </c>
      <c r="D1637" s="34" t="inlineStr">
        <is>
          <t>Record first supplied in this revision</t>
        </is>
      </c>
      <c r="E1637" s="34" t="inlineStr">
        <is>
          <t>Maya Chen, Owner Project Controls</t>
        </is>
      </c>
      <c r="F1637" s="100" t="inlineStr">
        <is>
          <t>10 EVIDENCE &amp; DECISIONS</t>
        </is>
      </c>
      <c r="G1637" s="41" t="n"/>
    </row>
    <row r="1638" ht="79" customHeight="1">
      <c r="A1638" s="34" t="inlineStr">
        <is>
          <t>R1067-v2</t>
        </is>
      </c>
      <c r="B1638" s="34" t="inlineStr">
        <is>
          <t>SCH-06-167</t>
        </is>
      </c>
      <c r="C1638" s="34" t="inlineStr">
        <is>
          <t>New</t>
        </is>
      </c>
      <c r="D1638" s="34" t="inlineStr">
        <is>
          <t>Record first supplied in this revision</t>
        </is>
      </c>
      <c r="E1638" s="34" t="inlineStr">
        <is>
          <t>Maya Chen, Owner Project Controls</t>
        </is>
      </c>
      <c r="F1638" s="100" t="inlineStr">
        <is>
          <t>10 EVIDENCE &amp; DECISIONS</t>
        </is>
      </c>
      <c r="G1638" s="41" t="n"/>
    </row>
    <row r="1639" ht="79" customHeight="1">
      <c r="A1639" s="34" t="inlineStr">
        <is>
          <t>R1068-v2</t>
        </is>
      </c>
      <c r="B1639" s="34" t="inlineStr">
        <is>
          <t>SCH-06-168</t>
        </is>
      </c>
      <c r="C1639" s="34" t="inlineStr">
        <is>
          <t>New</t>
        </is>
      </c>
      <c r="D1639" s="34" t="inlineStr">
        <is>
          <t>Record first supplied in this revision</t>
        </is>
      </c>
      <c r="E1639" s="34" t="inlineStr">
        <is>
          <t>Maya Chen, Owner Project Controls</t>
        </is>
      </c>
      <c r="F1639" s="100" t="inlineStr">
        <is>
          <t>10 EVIDENCE &amp; DECISIONS</t>
        </is>
      </c>
      <c r="G1639" s="41" t="n"/>
    </row>
    <row r="1640" ht="79" customHeight="1">
      <c r="A1640" s="34" t="inlineStr">
        <is>
          <t>R1069-v2</t>
        </is>
      </c>
      <c r="B1640" s="34" t="inlineStr">
        <is>
          <t>SCH-06-169</t>
        </is>
      </c>
      <c r="C1640" s="34" t="inlineStr">
        <is>
          <t>New</t>
        </is>
      </c>
      <c r="D1640" s="34" t="inlineStr">
        <is>
          <t>Record first supplied in this revision</t>
        </is>
      </c>
      <c r="E1640" s="34" t="inlineStr">
        <is>
          <t>Maya Chen, Owner Project Controls</t>
        </is>
      </c>
      <c r="F1640" s="100" t="inlineStr">
        <is>
          <t>10 EVIDENCE &amp; DECISIONS</t>
        </is>
      </c>
      <c r="G1640" s="41" t="n"/>
    </row>
    <row r="1641" ht="79" customHeight="1">
      <c r="A1641" s="34" t="inlineStr">
        <is>
          <t>R1070-v2</t>
        </is>
      </c>
      <c r="B1641" s="34" t="inlineStr">
        <is>
          <t>SCH-06-170</t>
        </is>
      </c>
      <c r="C1641" s="34" t="inlineStr">
        <is>
          <t>New</t>
        </is>
      </c>
      <c r="D1641" s="34" t="inlineStr">
        <is>
          <t>Record first supplied in this revision</t>
        </is>
      </c>
      <c r="E1641" s="34" t="inlineStr">
        <is>
          <t>Maya Chen, Owner Project Controls</t>
        </is>
      </c>
      <c r="F1641" s="100" t="inlineStr">
        <is>
          <t>10 EVIDENCE &amp; DECISIONS</t>
        </is>
      </c>
      <c r="G1641" s="41" t="n"/>
    </row>
    <row r="1642" ht="79" customHeight="1">
      <c r="A1642" s="34" t="inlineStr">
        <is>
          <t>R1071-v2</t>
        </is>
      </c>
      <c r="B1642" s="34" t="inlineStr">
        <is>
          <t>SCH-06-171</t>
        </is>
      </c>
      <c r="C1642" s="34" t="inlineStr">
        <is>
          <t>New</t>
        </is>
      </c>
      <c r="D1642" s="34" t="inlineStr">
        <is>
          <t>Record first supplied in this revision</t>
        </is>
      </c>
      <c r="E1642" s="34" t="inlineStr">
        <is>
          <t>Maya Chen, Owner Project Controls</t>
        </is>
      </c>
      <c r="F1642" s="100" t="inlineStr">
        <is>
          <t>10 EVIDENCE &amp; DECISIONS</t>
        </is>
      </c>
      <c r="G1642" s="41" t="n"/>
    </row>
    <row r="1643" ht="79" customHeight="1">
      <c r="A1643" s="34" t="inlineStr">
        <is>
          <t>R1072-v2</t>
        </is>
      </c>
      <c r="B1643" s="34" t="inlineStr">
        <is>
          <t>SCH-06-172</t>
        </is>
      </c>
      <c r="C1643" s="34" t="inlineStr">
        <is>
          <t>New</t>
        </is>
      </c>
      <c r="D1643" s="34" t="inlineStr">
        <is>
          <t>Record first supplied in this revision</t>
        </is>
      </c>
      <c r="E1643" s="34" t="inlineStr">
        <is>
          <t>Maya Chen, Owner Project Controls</t>
        </is>
      </c>
      <c r="F1643" s="100" t="inlineStr">
        <is>
          <t>10 EVIDENCE &amp; DECISIONS</t>
        </is>
      </c>
      <c r="G1643" s="41" t="n"/>
    </row>
    <row r="1644" ht="79" customHeight="1">
      <c r="A1644" s="34" t="inlineStr">
        <is>
          <t>R1073-v2</t>
        </is>
      </c>
      <c r="B1644" s="34" t="inlineStr">
        <is>
          <t>SCH-06-173</t>
        </is>
      </c>
      <c r="C1644" s="34" t="inlineStr">
        <is>
          <t>New</t>
        </is>
      </c>
      <c r="D1644" s="34" t="inlineStr">
        <is>
          <t>Record first supplied in this revision</t>
        </is>
      </c>
      <c r="E1644" s="34" t="inlineStr">
        <is>
          <t>Maya Chen, Owner Project Controls</t>
        </is>
      </c>
      <c r="F1644" s="100" t="inlineStr">
        <is>
          <t>10 EVIDENCE &amp; DECISIONS</t>
        </is>
      </c>
      <c r="G1644" s="41" t="n"/>
    </row>
    <row r="1645" ht="79" customHeight="1">
      <c r="A1645" s="34" t="inlineStr">
        <is>
          <t>R1074-v2</t>
        </is>
      </c>
      <c r="B1645" s="34" t="inlineStr">
        <is>
          <t>SCH-06-174</t>
        </is>
      </c>
      <c r="C1645" s="34" t="inlineStr">
        <is>
          <t>New</t>
        </is>
      </c>
      <c r="D1645" s="34" t="inlineStr">
        <is>
          <t>Record first supplied in this revision</t>
        </is>
      </c>
      <c r="E1645" s="34" t="inlineStr">
        <is>
          <t>Maya Chen, Owner Project Controls</t>
        </is>
      </c>
      <c r="F1645" s="100" t="inlineStr">
        <is>
          <t>10 EVIDENCE &amp; DECISIONS</t>
        </is>
      </c>
      <c r="G1645" s="41" t="n"/>
    </row>
    <row r="1646" ht="79" customHeight="1">
      <c r="A1646" s="34" t="inlineStr">
        <is>
          <t>R1075-v2</t>
        </is>
      </c>
      <c r="B1646" s="34" t="inlineStr">
        <is>
          <t>SCH-06-175</t>
        </is>
      </c>
      <c r="C1646" s="34" t="inlineStr">
        <is>
          <t>New</t>
        </is>
      </c>
      <c r="D1646" s="34" t="inlineStr">
        <is>
          <t>Record first supplied in this revision</t>
        </is>
      </c>
      <c r="E1646" s="34" t="inlineStr">
        <is>
          <t>Maya Chen, Owner Project Controls</t>
        </is>
      </c>
      <c r="F1646" s="100" t="inlineStr">
        <is>
          <t>10 EVIDENCE &amp; DECISIONS</t>
        </is>
      </c>
      <c r="G1646" s="41" t="n"/>
    </row>
    <row r="1647" ht="79" customHeight="1">
      <c r="A1647" s="34" t="inlineStr">
        <is>
          <t>R1076-v2</t>
        </is>
      </c>
      <c r="B1647" s="34" t="inlineStr">
        <is>
          <t>SCH-06-176</t>
        </is>
      </c>
      <c r="C1647" s="34" t="inlineStr">
        <is>
          <t>New</t>
        </is>
      </c>
      <c r="D1647" s="34" t="inlineStr">
        <is>
          <t>Record first supplied in this revision</t>
        </is>
      </c>
      <c r="E1647" s="34" t="inlineStr">
        <is>
          <t>Maya Chen, Owner Project Controls</t>
        </is>
      </c>
      <c r="F1647" s="100" t="inlineStr">
        <is>
          <t>10 EVIDENCE &amp; DECISIONS</t>
        </is>
      </c>
      <c r="G1647" s="41" t="n"/>
    </row>
    <row r="1648" ht="79" customHeight="1">
      <c r="A1648" s="34" t="inlineStr">
        <is>
          <t>R1077-v2</t>
        </is>
      </c>
      <c r="B1648" s="34" t="inlineStr">
        <is>
          <t>SCH-06-177</t>
        </is>
      </c>
      <c r="C1648" s="34" t="inlineStr">
        <is>
          <t>New</t>
        </is>
      </c>
      <c r="D1648" s="34" t="inlineStr">
        <is>
          <t>Record first supplied in this revision</t>
        </is>
      </c>
      <c r="E1648" s="34" t="inlineStr">
        <is>
          <t>Maya Chen, Owner Project Controls</t>
        </is>
      </c>
      <c r="F1648" s="100" t="inlineStr">
        <is>
          <t>10 EVIDENCE &amp; DECISIONS</t>
        </is>
      </c>
      <c r="G1648" s="41" t="n"/>
    </row>
    <row r="1649" ht="79" customHeight="1">
      <c r="A1649" s="34" t="inlineStr">
        <is>
          <t>R1078-v2</t>
        </is>
      </c>
      <c r="B1649" s="34" t="inlineStr">
        <is>
          <t>SCH-06-178</t>
        </is>
      </c>
      <c r="C1649" s="34" t="inlineStr">
        <is>
          <t>New</t>
        </is>
      </c>
      <c r="D1649" s="34" t="inlineStr">
        <is>
          <t>Record first supplied in this revision</t>
        </is>
      </c>
      <c r="E1649" s="34" t="inlineStr">
        <is>
          <t>Maya Chen, Owner Project Controls</t>
        </is>
      </c>
      <c r="F1649" s="100" t="inlineStr">
        <is>
          <t>10 EVIDENCE &amp; DECISIONS</t>
        </is>
      </c>
      <c r="G1649" s="41" t="n"/>
    </row>
    <row r="1650" ht="79" customHeight="1">
      <c r="A1650" s="34" t="inlineStr">
        <is>
          <t>R1079-v2</t>
        </is>
      </c>
      <c r="B1650" s="34" t="inlineStr">
        <is>
          <t>SCH-06-179</t>
        </is>
      </c>
      <c r="C1650" s="34" t="inlineStr">
        <is>
          <t>New</t>
        </is>
      </c>
      <c r="D1650" s="34" t="inlineStr">
        <is>
          <t>Record first supplied in this revision</t>
        </is>
      </c>
      <c r="E1650" s="34" t="inlineStr">
        <is>
          <t>Maya Chen, Owner Project Controls</t>
        </is>
      </c>
      <c r="F1650" s="100" t="inlineStr">
        <is>
          <t>10 EVIDENCE &amp; DECISIONS</t>
        </is>
      </c>
      <c r="G1650" s="41" t="n"/>
    </row>
    <row r="1651" ht="79" customHeight="1">
      <c r="A1651" s="34" t="inlineStr">
        <is>
          <t>R1080-v2</t>
        </is>
      </c>
      <c r="B1651" s="34" t="inlineStr">
        <is>
          <t>SCH-06-180</t>
        </is>
      </c>
      <c r="C1651" s="34" t="inlineStr">
        <is>
          <t>New</t>
        </is>
      </c>
      <c r="D1651" s="34" t="inlineStr">
        <is>
          <t>Record first supplied in this revision</t>
        </is>
      </c>
      <c r="E1651" s="34" t="inlineStr">
        <is>
          <t>Maya Chen, Owner Project Controls</t>
        </is>
      </c>
      <c r="F1651" s="100" t="inlineStr">
        <is>
          <t>10 EVIDENCE &amp; DECISIONS</t>
        </is>
      </c>
      <c r="G1651" s="41" t="n"/>
    </row>
    <row r="1652" ht="79" customHeight="1">
      <c r="A1652" s="34" t="inlineStr">
        <is>
          <t>R1081-v2</t>
        </is>
      </c>
      <c r="B1652" s="34" t="inlineStr">
        <is>
          <t>SCH-90-901</t>
        </is>
      </c>
      <c r="C1652" s="34" t="inlineStr">
        <is>
          <t>New</t>
        </is>
      </c>
      <c r="D1652" s="34" t="inlineStr">
        <is>
          <t>Record first supplied in this revision</t>
        </is>
      </c>
      <c r="E1652" s="34" t="inlineStr">
        <is>
          <t>Maya Chen, Owner Project Controls</t>
        </is>
      </c>
      <c r="F1652" s="100" t="inlineStr">
        <is>
          <t>10 EVIDENCE &amp; DECISIONS</t>
        </is>
      </c>
      <c r="G1652" s="41" t="n"/>
    </row>
    <row r="1653" ht="79" customHeight="1">
      <c r="A1653" s="34" t="inlineStr">
        <is>
          <t>R1082-v2</t>
        </is>
      </c>
      <c r="B1653" s="34" t="inlineStr">
        <is>
          <t>SCH-90-902</t>
        </is>
      </c>
      <c r="C1653" s="34" t="inlineStr">
        <is>
          <t>New</t>
        </is>
      </c>
      <c r="D1653" s="34" t="inlineStr">
        <is>
          <t>Record first supplied in this revision</t>
        </is>
      </c>
      <c r="E1653" s="34" t="inlineStr">
        <is>
          <t>Maya Chen, Owner Project Controls</t>
        </is>
      </c>
      <c r="F1653" s="100" t="inlineStr">
        <is>
          <t>10 EVIDENCE &amp; DECISIONS</t>
        </is>
      </c>
      <c r="G1653" s="41" t="n"/>
    </row>
    <row r="1655" ht="82" customHeight="1">
      <c r="A1655" s="33" t="inlineStr">
        <is>
          <t>Each source keeps every revision it was supplied with. A revision is CURRENT while it is in force, SUPERSEDED once a later revision of the same reporting period replaces it, and HISTORICAL once a later reporting period closes its period. A new revision never remaps the project: relationships whose evidence did not change are carried forward with their original basis and approver; only those whose evidence changed come back for a decision.</t>
        </is>
      </c>
    </row>
    <row r="1656" ht="82" customHeight="1"/>
    <row r="1657" ht="82" customHeight="1"/>
  </sheetData>
  <autoFilter ref="A18:P22"/>
  <mergeCells count="1625">
    <mergeCell ref="F1532:G1532"/>
    <mergeCell ref="F473:G473"/>
    <mergeCell ref="F681:G681"/>
    <mergeCell ref="F929:G929"/>
    <mergeCell ref="F174:G174"/>
    <mergeCell ref="F1227:G1227"/>
    <mergeCell ref="F168:G168"/>
    <mergeCell ref="F472:G472"/>
    <mergeCell ref="F466:G466"/>
    <mergeCell ref="F1438:G1438"/>
    <mergeCell ref="F683:G683"/>
    <mergeCell ref="F1527:G1527"/>
    <mergeCell ref="F497:G497"/>
    <mergeCell ref="F983:G983"/>
    <mergeCell ref="F70:G70"/>
    <mergeCell ref="F1585:G1585"/>
    <mergeCell ref="F1128:G1128"/>
    <mergeCell ref="F96:G96"/>
    <mergeCell ref="F71:G71"/>
    <mergeCell ref="F1122:G1122"/>
    <mergeCell ref="F823:G823"/>
    <mergeCell ref="F1130:G1130"/>
    <mergeCell ref="F98:G98"/>
    <mergeCell ref="F1428:G1428"/>
    <mergeCell ref="F396:G396"/>
    <mergeCell ref="F1580:G1580"/>
    <mergeCell ref="F825:G825"/>
    <mergeCell ref="F1159:G1159"/>
    <mergeCell ref="F1457:G1457"/>
    <mergeCell ref="F398:G398"/>
    <mergeCell ref="F696:G696"/>
    <mergeCell ref="F1125:G1125"/>
    <mergeCell ref="F238:G238"/>
    <mergeCell ref="F1484:G1484"/>
    <mergeCell ref="F1598:G1598"/>
    <mergeCell ref="F843:G843"/>
    <mergeCell ref="F126:G126"/>
    <mergeCell ref="F1185:G1185"/>
    <mergeCell ref="F1179:G1179"/>
    <mergeCell ref="F109:G109"/>
    <mergeCell ref="F1299:G1299"/>
    <mergeCell ref="F240:G240"/>
    <mergeCell ref="F538:G538"/>
    <mergeCell ref="F1187:G1187"/>
    <mergeCell ref="F1510:G1510"/>
    <mergeCell ref="F1143:G1143"/>
    <mergeCell ref="F1485:G1485"/>
    <mergeCell ref="F111:G111"/>
    <mergeCell ref="F724:G724"/>
    <mergeCell ref="F409:G409"/>
    <mergeCell ref="F1599:G1599"/>
    <mergeCell ref="F838:G838"/>
    <mergeCell ref="F1624:G1624"/>
    <mergeCell ref="F869:G869"/>
    <mergeCell ref="F266:G266"/>
    <mergeCell ref="F442:G442"/>
    <mergeCell ref="F564:G564"/>
    <mergeCell ref="F898:G898"/>
    <mergeCell ref="F1169:G1169"/>
    <mergeCell ref="F137:G137"/>
    <mergeCell ref="F864:G864"/>
    <mergeCell ref="F925:G925"/>
    <mergeCell ref="F900:G900"/>
    <mergeCell ref="F1223:G1223"/>
    <mergeCell ref="F164:G164"/>
    <mergeCell ref="F139:G139"/>
    <mergeCell ref="F1198:G1198"/>
    <mergeCell ref="F1652:G1652"/>
    <mergeCell ref="F1225:G1225"/>
    <mergeCell ref="F470:G470"/>
    <mergeCell ref="F1523:G1523"/>
    <mergeCell ref="F768:G768"/>
    <mergeCell ref="F920:G920"/>
    <mergeCell ref="F1525:G1525"/>
    <mergeCell ref="F1554:G1554"/>
    <mergeCell ref="F495:G495"/>
    <mergeCell ref="F1249:G1249"/>
    <mergeCell ref="F795:G795"/>
    <mergeCell ref="F953:G953"/>
    <mergeCell ref="F1251:G1251"/>
    <mergeCell ref="F496:G496"/>
    <mergeCell ref="F1549:G1549"/>
    <mergeCell ref="F490:G490"/>
    <mergeCell ref="F69:G69"/>
    <mergeCell ref="F367:G367"/>
    <mergeCell ref="F498:G498"/>
    <mergeCell ref="F183:G183"/>
    <mergeCell ref="F796:G796"/>
    <mergeCell ref="F1551:G1551"/>
    <mergeCell ref="F193:G193"/>
    <mergeCell ref="F527:G527"/>
    <mergeCell ref="F666:G666"/>
    <mergeCell ref="F964:G964"/>
    <mergeCell ref="F209:G209"/>
    <mergeCell ref="F1393:G1393"/>
    <mergeCell ref="F1270:G1270"/>
    <mergeCell ref="F966:G966"/>
    <mergeCell ref="F211:G211"/>
    <mergeCell ref="F1264:G1264"/>
    <mergeCell ref="F509:G509"/>
    <mergeCell ref="F1183:G1183"/>
    <mergeCell ref="F1475:G1475"/>
    <mergeCell ref="F82:G82"/>
    <mergeCell ref="F1595:G1595"/>
    <mergeCell ref="F206:G206"/>
    <mergeCell ref="F1597:G1597"/>
    <mergeCell ref="F865:G865"/>
    <mergeCell ref="F560:G560"/>
    <mergeCell ref="F1622:G1622"/>
    <mergeCell ref="F894:G894"/>
    <mergeCell ref="F1165:G1165"/>
    <mergeCell ref="F133:G133"/>
    <mergeCell ref="F562:G562"/>
    <mergeCell ref="F860:G860"/>
    <mergeCell ref="F896:G896"/>
    <mergeCell ref="F1167:G1167"/>
    <mergeCell ref="F1194:G1194"/>
    <mergeCell ref="F135:G135"/>
    <mergeCell ref="F433:G433"/>
    <mergeCell ref="F1325:G1325"/>
    <mergeCell ref="F1623:G1623"/>
    <mergeCell ref="F591:G591"/>
    <mergeCell ref="F224:G224"/>
    <mergeCell ref="F862:G862"/>
    <mergeCell ref="F1617:G1617"/>
    <mergeCell ref="F1196:G1196"/>
    <mergeCell ref="F1318:G1318"/>
    <mergeCell ref="F1494:G1494"/>
    <mergeCell ref="F435:G435"/>
    <mergeCell ref="F891:G891"/>
    <mergeCell ref="F1162:G1162"/>
    <mergeCell ref="F1036:G1036"/>
    <mergeCell ref="F275:G275"/>
    <mergeCell ref="F609:G609"/>
    <mergeCell ref="F1247:G1247"/>
    <mergeCell ref="F146:G146"/>
    <mergeCell ref="F1038:G1038"/>
    <mergeCell ref="F1336:G1336"/>
    <mergeCell ref="F277:G277"/>
    <mergeCell ref="F304:G304"/>
    <mergeCell ref="F575:G575"/>
    <mergeCell ref="F733:G733"/>
    <mergeCell ref="F909:G909"/>
    <mergeCell ref="F276:G276"/>
    <mergeCell ref="F1031:G1031"/>
    <mergeCell ref="F1547:G1547"/>
    <mergeCell ref="F1338:G1338"/>
    <mergeCell ref="F306:G306"/>
    <mergeCell ref="F577:G577"/>
    <mergeCell ref="F1636:G1636"/>
    <mergeCell ref="F604:G604"/>
    <mergeCell ref="F1033:G1033"/>
    <mergeCell ref="F635:G635"/>
    <mergeCell ref="F1333:G1333"/>
    <mergeCell ref="F303:G303"/>
    <mergeCell ref="F601:G601"/>
    <mergeCell ref="F935:G935"/>
    <mergeCell ref="F1389:G1389"/>
    <mergeCell ref="F288:G288"/>
    <mergeCell ref="F962:G962"/>
    <mergeCell ref="F207:G207"/>
    <mergeCell ref="F937:G937"/>
    <mergeCell ref="F1260:G1260"/>
    <mergeCell ref="F1558:G1558"/>
    <mergeCell ref="F1262:G1262"/>
    <mergeCell ref="F507:G507"/>
    <mergeCell ref="F1560:G1560"/>
    <mergeCell ref="F1261:G1261"/>
    <mergeCell ref="F202:G202"/>
    <mergeCell ref="F675:G675"/>
    <mergeCell ref="F1288:G1288"/>
    <mergeCell ref="F973:G973"/>
    <mergeCell ref="F1402:G1402"/>
    <mergeCell ref="F981:G981"/>
    <mergeCell ref="F264:G264"/>
    <mergeCell ref="F975:G975"/>
    <mergeCell ref="F220:G220"/>
    <mergeCell ref="F518:G518"/>
    <mergeCell ref="F991:G991"/>
    <mergeCell ref="F676:G676"/>
    <mergeCell ref="F1105:G1105"/>
    <mergeCell ref="F1403:G1403"/>
    <mergeCell ref="F222:G222"/>
    <mergeCell ref="F520:G520"/>
    <mergeCell ref="F976:G976"/>
    <mergeCell ref="F703:G703"/>
    <mergeCell ref="F1007:G1007"/>
    <mergeCell ref="F1001:G1001"/>
    <mergeCell ref="F246:G246"/>
    <mergeCell ref="F1430:G1430"/>
    <mergeCell ref="F1307:G1307"/>
    <mergeCell ref="F248:G248"/>
    <mergeCell ref="F302:G302"/>
    <mergeCell ref="F600:G600"/>
    <mergeCell ref="F1029:G1029"/>
    <mergeCell ref="F243:G243"/>
    <mergeCell ref="F1634:G1634"/>
    <mergeCell ref="F1329:G1329"/>
    <mergeCell ref="F1060:G1060"/>
    <mergeCell ref="F931:G931"/>
    <mergeCell ref="F747:G747"/>
    <mergeCell ref="F1360:G1360"/>
    <mergeCell ref="F328:G328"/>
    <mergeCell ref="F626:G626"/>
    <mergeCell ref="F933:G933"/>
    <mergeCell ref="F1055:G1055"/>
    <mergeCell ref="F1231:G1231"/>
    <mergeCell ref="F172:G172"/>
    <mergeCell ref="F1345:G1345"/>
    <mergeCell ref="F628:G628"/>
    <mergeCell ref="F1233:G1233"/>
    <mergeCell ref="F1355:G1355"/>
    <mergeCell ref="F928:G928"/>
    <mergeCell ref="F173:G173"/>
    <mergeCell ref="F287:G287"/>
    <mergeCell ref="F773:G773"/>
    <mergeCell ref="F1073:G1073"/>
    <mergeCell ref="F318:G318"/>
    <mergeCell ref="F312:G312"/>
    <mergeCell ref="F610:G610"/>
    <mergeCell ref="F646:G646"/>
    <mergeCell ref="F944:G944"/>
    <mergeCell ref="F1075:G1075"/>
    <mergeCell ref="F43:G43"/>
    <mergeCell ref="F347:G347"/>
    <mergeCell ref="F618:G618"/>
    <mergeCell ref="F341:G341"/>
    <mergeCell ref="F1373:G1373"/>
    <mergeCell ref="F770:G770"/>
    <mergeCell ref="F1068:G1068"/>
    <mergeCell ref="F313:G313"/>
    <mergeCell ref="F349:G349"/>
    <mergeCell ref="F641:G641"/>
    <mergeCell ref="F1070:G1070"/>
    <mergeCell ref="F1401:G1401"/>
    <mergeCell ref="F788:G788"/>
    <mergeCell ref="F33:G33"/>
    <mergeCell ref="F489:G489"/>
    <mergeCell ref="F999:G999"/>
    <mergeCell ref="F1303:G1303"/>
    <mergeCell ref="F781:G781"/>
    <mergeCell ref="F1297:G1297"/>
    <mergeCell ref="F62:G62"/>
    <mergeCell ref="F700:G700"/>
    <mergeCell ref="F998:G998"/>
    <mergeCell ref="F789:G789"/>
    <mergeCell ref="F273:G273"/>
    <mergeCell ref="F1000:G1000"/>
    <mergeCell ref="F239:G239"/>
    <mergeCell ref="F573:G573"/>
    <mergeCell ref="F1300:G1300"/>
    <mergeCell ref="F1141:G1141"/>
    <mergeCell ref="F1445:G1445"/>
    <mergeCell ref="F413:G413"/>
    <mergeCell ref="F1439:G1439"/>
    <mergeCell ref="F842:G842"/>
    <mergeCell ref="F1018:G1018"/>
    <mergeCell ref="F1140:G1140"/>
    <mergeCell ref="F1316:G1316"/>
    <mergeCell ref="F1176:G1176"/>
    <mergeCell ref="F1474:G1474"/>
    <mergeCell ref="F1170:G1170"/>
    <mergeCell ref="F415:G415"/>
    <mergeCell ref="F1468:G1468"/>
    <mergeCell ref="F713:G713"/>
    <mergeCell ref="F1011:G1011"/>
    <mergeCell ref="F110:G110"/>
    <mergeCell ref="F1440:G1440"/>
    <mergeCell ref="F1476:G1476"/>
    <mergeCell ref="F715:G715"/>
    <mergeCell ref="F1013:G1013"/>
    <mergeCell ref="F1171:G1171"/>
    <mergeCell ref="F141:G141"/>
    <mergeCell ref="F439:G439"/>
    <mergeCell ref="F1471:G1471"/>
    <mergeCell ref="F441:G441"/>
    <mergeCell ref="F739:G739"/>
    <mergeCell ref="F731:G731"/>
    <mergeCell ref="F1160:G1160"/>
    <mergeCell ref="F766:G766"/>
    <mergeCell ref="F741:G741"/>
    <mergeCell ref="F1458:G1458"/>
    <mergeCell ref="F1064:G1064"/>
    <mergeCell ref="F1039:G1039"/>
    <mergeCell ref="F643:G643"/>
    <mergeCell ref="F314:G314"/>
    <mergeCell ref="F1153:G1153"/>
    <mergeCell ref="F1066:G1066"/>
    <mergeCell ref="F1370:G1370"/>
    <mergeCell ref="F1555:G1555"/>
    <mergeCell ref="F1240:G1240"/>
    <mergeCell ref="F58:G58"/>
    <mergeCell ref="F52:G52"/>
    <mergeCell ref="F665:G665"/>
    <mergeCell ref="F350:G350"/>
    <mergeCell ref="F1540:G1540"/>
    <mergeCell ref="F481:G481"/>
    <mergeCell ref="F785:G785"/>
    <mergeCell ref="F779:G779"/>
    <mergeCell ref="F60:G60"/>
    <mergeCell ref="F358:G358"/>
    <mergeCell ref="F352:G352"/>
    <mergeCell ref="F656:G656"/>
    <mergeCell ref="F1427:G1427"/>
    <mergeCell ref="F53:G53"/>
    <mergeCell ref="F482:G482"/>
    <mergeCell ref="F84:G84"/>
    <mergeCell ref="F1110:G1110"/>
    <mergeCell ref="F1268:G1268"/>
    <mergeCell ref="F1566:G1566"/>
    <mergeCell ref="F86:G86"/>
    <mergeCell ref="F80:G80"/>
    <mergeCell ref="F384:G384"/>
    <mergeCell ref="F378:G378"/>
    <mergeCell ref="F1568:G1568"/>
    <mergeCell ref="F813:G813"/>
    <mergeCell ref="F807:G807"/>
    <mergeCell ref="F1111:G1111"/>
    <mergeCell ref="F79:G79"/>
    <mergeCell ref="F386:G386"/>
    <mergeCell ref="F684:G684"/>
    <mergeCell ref="F982:G982"/>
    <mergeCell ref="F1436:G1436"/>
    <mergeCell ref="F81:G81"/>
    <mergeCell ref="F1472:G1472"/>
    <mergeCell ref="F381:G381"/>
    <mergeCell ref="F226:G226"/>
    <mergeCell ref="F1467:G1467"/>
    <mergeCell ref="F437:G437"/>
    <mergeCell ref="F526:G526"/>
    <mergeCell ref="F1579:G1579"/>
    <mergeCell ref="F63:G63"/>
    <mergeCell ref="F1498:G1498"/>
    <mergeCell ref="F99:G99"/>
    <mergeCell ref="F737:G737"/>
    <mergeCell ref="F397:G397"/>
    <mergeCell ref="F528:G528"/>
    <mergeCell ref="F851:G851"/>
    <mergeCell ref="F826:G826"/>
    <mergeCell ref="F1149:G1149"/>
    <mergeCell ref="F310:G310"/>
    <mergeCell ref="F1124:G1124"/>
    <mergeCell ref="F1500:G1500"/>
    <mergeCell ref="F1483:G1483"/>
    <mergeCell ref="F1037:G1037"/>
    <mergeCell ref="F1195:G1195"/>
    <mergeCell ref="F1151:G1151"/>
    <mergeCell ref="F1493:G1493"/>
    <mergeCell ref="F94:G94"/>
    <mergeCell ref="F1451:G1451"/>
    <mergeCell ref="F1182:G1182"/>
    <mergeCell ref="F150:G150"/>
    <mergeCell ref="F877:G877"/>
    <mergeCell ref="F1053:G1053"/>
    <mergeCell ref="F1211:G1211"/>
    <mergeCell ref="F152:G152"/>
    <mergeCell ref="F1482:G1482"/>
    <mergeCell ref="F450:G450"/>
    <mergeCell ref="F748:G748"/>
    <mergeCell ref="F1640:G1640"/>
    <mergeCell ref="F906:G906"/>
    <mergeCell ref="F539:G539"/>
    <mergeCell ref="F1177:G1177"/>
    <mergeCell ref="F1213:G1213"/>
    <mergeCell ref="F1511:G1511"/>
    <mergeCell ref="F452:G452"/>
    <mergeCell ref="F750:G750"/>
    <mergeCell ref="F908:G908"/>
    <mergeCell ref="F1206:G1206"/>
    <mergeCell ref="F147:G147"/>
    <mergeCell ref="F451:G451"/>
    <mergeCell ref="F1477:G1477"/>
    <mergeCell ref="F1513:G1513"/>
    <mergeCell ref="F1208:G1208"/>
    <mergeCell ref="F163:G163"/>
    <mergeCell ref="F1353:G1353"/>
    <mergeCell ref="F837:G837"/>
    <mergeCell ref="F592:G592"/>
    <mergeCell ref="F890:G890"/>
    <mergeCell ref="F1266:G1266"/>
    <mergeCell ref="F926:G926"/>
    <mergeCell ref="F1564:G1564"/>
    <mergeCell ref="F1224:G1224"/>
    <mergeCell ref="F165:G165"/>
    <mergeCell ref="F1653:G1653"/>
    <mergeCell ref="F1137:G1137"/>
    <mergeCell ref="F892:G892"/>
    <mergeCell ref="F919:G919"/>
    <mergeCell ref="F811:G811"/>
    <mergeCell ref="F1226:G1226"/>
    <mergeCell ref="F1109:G1109"/>
    <mergeCell ref="F832:G832"/>
    <mergeCell ref="F77:G77"/>
    <mergeCell ref="F1407:G1407"/>
    <mergeCell ref="F166:G166"/>
    <mergeCell ref="F1138:G1138"/>
    <mergeCell ref="F377:G377"/>
    <mergeCell ref="F191:G191"/>
    <mergeCell ref="F1277:G1277"/>
    <mergeCell ref="F522:G522"/>
    <mergeCell ref="F1575:G1575"/>
    <mergeCell ref="F59:G59"/>
    <mergeCell ref="F95:G95"/>
    <mergeCell ref="F393:G393"/>
    <mergeCell ref="F1279:G1279"/>
    <mergeCell ref="F524:G524"/>
    <mergeCell ref="F1583:G1583"/>
    <mergeCell ref="F1577:G1577"/>
    <mergeCell ref="F822:G822"/>
    <mergeCell ref="F97:G97"/>
    <mergeCell ref="F219:G219"/>
    <mergeCell ref="F395:G395"/>
    <mergeCell ref="F693:G693"/>
    <mergeCell ref="F553:G553"/>
    <mergeCell ref="F824:G824"/>
    <mergeCell ref="F90:G90"/>
    <mergeCell ref="F1280:G1280"/>
    <mergeCell ref="F1578:G1578"/>
    <mergeCell ref="F519:G519"/>
    <mergeCell ref="F853:G853"/>
    <mergeCell ref="F1305:G1305"/>
    <mergeCell ref="F1603:G1603"/>
    <mergeCell ref="F878:G878"/>
    <mergeCell ref="F123:G123"/>
    <mergeCell ref="F237:G237"/>
    <mergeCell ref="F579:G579"/>
    <mergeCell ref="F1605:G1605"/>
    <mergeCell ref="F535:G535"/>
    <mergeCell ref="F116:G116"/>
    <mergeCell ref="F423:G423"/>
    <mergeCell ref="F108:G108"/>
    <mergeCell ref="F1298:G1298"/>
    <mergeCell ref="F537:G537"/>
    <mergeCell ref="F1202:G1202"/>
    <mergeCell ref="F143:G143"/>
    <mergeCell ref="F118:G118"/>
    <mergeCell ref="F1204:G1204"/>
    <mergeCell ref="F263:G263"/>
    <mergeCell ref="F134:G134"/>
    <mergeCell ref="F563:G563"/>
    <mergeCell ref="F1351:G1351"/>
    <mergeCell ref="F1649:G1649"/>
    <mergeCell ref="F932:G932"/>
    <mergeCell ref="F565:G565"/>
    <mergeCell ref="F617:G617"/>
    <mergeCell ref="F915:G915"/>
    <mergeCell ref="F1186:G1186"/>
    <mergeCell ref="F1222:G1222"/>
    <mergeCell ref="F1344:G1344"/>
    <mergeCell ref="F1651:G1651"/>
    <mergeCell ref="F917:G917"/>
    <mergeCell ref="F162:G162"/>
    <mergeCell ref="F1346:G1346"/>
    <mergeCell ref="F1522:G1522"/>
    <mergeCell ref="F1217:G1217"/>
    <mergeCell ref="F948:G948"/>
    <mergeCell ref="F1248:G1248"/>
    <mergeCell ref="F189:G189"/>
    <mergeCell ref="F487:G487"/>
    <mergeCell ref="F645:G645"/>
    <mergeCell ref="F943:G943"/>
    <mergeCell ref="F66:G66"/>
    <mergeCell ref="F188:G188"/>
    <mergeCell ref="F1250:G1250"/>
    <mergeCell ref="F1548:G1548"/>
    <mergeCell ref="F951:G951"/>
    <mergeCell ref="F945:G945"/>
    <mergeCell ref="F190:G190"/>
    <mergeCell ref="F1243:G1243"/>
    <mergeCell ref="F488:G488"/>
    <mergeCell ref="F602:G602"/>
    <mergeCell ref="F61:G61"/>
    <mergeCell ref="F1576:G1576"/>
    <mergeCell ref="F961:G961"/>
    <mergeCell ref="F1390:G1390"/>
    <mergeCell ref="F963:G963"/>
    <mergeCell ref="F208:G208"/>
    <mergeCell ref="F1601:G1601"/>
    <mergeCell ref="F664:G664"/>
    <mergeCell ref="F360:G360"/>
    <mergeCell ref="F658:G658"/>
    <mergeCell ref="F956:G956"/>
    <mergeCell ref="F201:G201"/>
    <mergeCell ref="F875:G875"/>
    <mergeCell ref="F114:G114"/>
    <mergeCell ref="F1602:G1602"/>
    <mergeCell ref="F228:G228"/>
    <mergeCell ref="F203:G203"/>
    <mergeCell ref="F1175:G1175"/>
    <mergeCell ref="F1289:G1289"/>
    <mergeCell ref="F259:G259"/>
    <mergeCell ref="F1103:G1103"/>
    <mergeCell ref="F1320:G1320"/>
    <mergeCell ref="F261:G261"/>
    <mergeCell ref="F559:G559"/>
    <mergeCell ref="F1015:G1015"/>
    <mergeCell ref="F254:G254"/>
    <mergeCell ref="F290:G290"/>
    <mergeCell ref="F561:G561"/>
    <mergeCell ref="F1620:G1620"/>
    <mergeCell ref="F588:G588"/>
    <mergeCell ref="F859:G859"/>
    <mergeCell ref="F1017:G1017"/>
    <mergeCell ref="F1193:G1193"/>
    <mergeCell ref="F256:G256"/>
    <mergeCell ref="F1315:G1315"/>
    <mergeCell ref="F590:G590"/>
    <mergeCell ref="F888:G888"/>
    <mergeCell ref="F127:G127"/>
    <mergeCell ref="F1317:G1317"/>
    <mergeCell ref="F285:G285"/>
    <mergeCell ref="F1615:G1615"/>
    <mergeCell ref="F1188:G1188"/>
    <mergeCell ref="F272:G272"/>
    <mergeCell ref="F1157:G1157"/>
    <mergeCell ref="F274:G274"/>
    <mergeCell ref="F1491:G1491"/>
    <mergeCell ref="F432:G432"/>
    <mergeCell ref="F730:G730"/>
    <mergeCell ref="F1335:G1335"/>
    <mergeCell ref="F941:G941"/>
    <mergeCell ref="F186:G186"/>
    <mergeCell ref="F1239:G1239"/>
    <mergeCell ref="F732:G732"/>
    <mergeCell ref="F1030:G1030"/>
    <mergeCell ref="F1328:G1328"/>
    <mergeCell ref="F269:G269"/>
    <mergeCell ref="F603:G603"/>
    <mergeCell ref="F486:G486"/>
    <mergeCell ref="F1241:G1241"/>
    <mergeCell ref="F300:G300"/>
    <mergeCell ref="F1386:G1386"/>
    <mergeCell ref="F329:G329"/>
    <mergeCell ref="F1388:G1388"/>
    <mergeCell ref="F356:G356"/>
    <mergeCell ref="F654:G654"/>
    <mergeCell ref="F952:G952"/>
    <mergeCell ref="F1083:G1083"/>
    <mergeCell ref="F1381:G1381"/>
    <mergeCell ref="F1417:G1417"/>
    <mergeCell ref="F662:G662"/>
    <mergeCell ref="F960:G960"/>
    <mergeCell ref="F954:G954"/>
    <mergeCell ref="F199:G199"/>
    <mergeCell ref="F1112:G1112"/>
    <mergeCell ref="F1383:G1383"/>
    <mergeCell ref="F655:G655"/>
    <mergeCell ref="F657:G657"/>
    <mergeCell ref="F1101:G1101"/>
    <mergeCell ref="F1443:G1443"/>
    <mergeCell ref="F1399:G1399"/>
    <mergeCell ref="F682:G682"/>
    <mergeCell ref="F980:G980"/>
    <mergeCell ref="F1409:G1409"/>
    <mergeCell ref="F1094:G1094"/>
    <mergeCell ref="F375:G375"/>
    <mergeCell ref="F1311:G1311"/>
    <mergeCell ref="F804:G804"/>
    <mergeCell ref="F1102:G1102"/>
    <mergeCell ref="F368:G368"/>
    <mergeCell ref="F1313:G1313"/>
    <mergeCell ref="F1611:G1611"/>
    <mergeCell ref="F1613:G1613"/>
    <mergeCell ref="F401:G401"/>
    <mergeCell ref="F726:G726"/>
    <mergeCell ref="F701:G701"/>
    <mergeCell ref="F728:G728"/>
    <mergeCell ref="F1026:G1026"/>
    <mergeCell ref="F271:G271"/>
    <mergeCell ref="F1324:G1324"/>
    <mergeCell ref="F1028:G1028"/>
    <mergeCell ref="F1326:G1326"/>
    <mergeCell ref="F752:G752"/>
    <mergeCell ref="F298:G298"/>
    <mergeCell ref="F325:G325"/>
    <mergeCell ref="F754:G754"/>
    <mergeCell ref="F1052:G1052"/>
    <mergeCell ref="F414:G414"/>
    <mergeCell ref="F291:G291"/>
    <mergeCell ref="F327:G327"/>
    <mergeCell ref="F625:G625"/>
    <mergeCell ref="F416:G416"/>
    <mergeCell ref="F1054:G1054"/>
    <mergeCell ref="F1352:G1352"/>
    <mergeCell ref="F749:G749"/>
    <mergeCell ref="F1354:G1354"/>
    <mergeCell ref="F1408:G1408"/>
    <mergeCell ref="F467:G467"/>
    <mergeCell ref="F40:G40"/>
    <mergeCell ref="F1528:G1528"/>
    <mergeCell ref="F469:G469"/>
    <mergeCell ref="F767:G767"/>
    <mergeCell ref="F1065:G1065"/>
    <mergeCell ref="F340:G340"/>
    <mergeCell ref="F462:G462"/>
    <mergeCell ref="F978:G978"/>
    <mergeCell ref="F1434:G1434"/>
    <mergeCell ref="F41:G41"/>
    <mergeCell ref="F35:G35"/>
    <mergeCell ref="F1100:G1100"/>
    <mergeCell ref="F1398:G1398"/>
    <mergeCell ref="F366:G366"/>
    <mergeCell ref="F1423:G1423"/>
    <mergeCell ref="F480:G480"/>
    <mergeCell ref="F1154:G1154"/>
    <mergeCell ref="F1425:G1425"/>
    <mergeCell ref="F1452:G1452"/>
    <mergeCell ref="F1207:G1207"/>
    <mergeCell ref="F697:G697"/>
    <mergeCell ref="F234:G234"/>
    <mergeCell ref="F1126:G1126"/>
    <mergeCell ref="F1541:G1541"/>
    <mergeCell ref="F1120:G1120"/>
    <mergeCell ref="F1424:G1424"/>
    <mergeCell ref="F1418:G1418"/>
    <mergeCell ref="F392:G392"/>
    <mergeCell ref="F1454:G1454"/>
    <mergeCell ref="F699:G699"/>
    <mergeCell ref="F997:G997"/>
    <mergeCell ref="F1295:G1295"/>
    <mergeCell ref="F236:G236"/>
    <mergeCell ref="F1426:G1426"/>
    <mergeCell ref="F1453:G1453"/>
    <mergeCell ref="F394:G394"/>
    <mergeCell ref="F1121:G1121"/>
    <mergeCell ref="F1455:G1455"/>
    <mergeCell ref="F694:G694"/>
    <mergeCell ref="F1594:G1594"/>
    <mergeCell ref="F839:G839"/>
    <mergeCell ref="F105:G105"/>
    <mergeCell ref="F412:G412"/>
    <mergeCell ref="F534:G534"/>
    <mergeCell ref="F710:G710"/>
    <mergeCell ref="F1596:G1596"/>
    <mergeCell ref="F841:G841"/>
    <mergeCell ref="F868:G868"/>
    <mergeCell ref="F1139:G1139"/>
    <mergeCell ref="F107:G107"/>
    <mergeCell ref="F1437:G1437"/>
    <mergeCell ref="F405:G405"/>
    <mergeCell ref="F536:G536"/>
    <mergeCell ref="F1589:G1589"/>
    <mergeCell ref="F712:G712"/>
    <mergeCell ref="F834:G834"/>
    <mergeCell ref="F870:G870"/>
    <mergeCell ref="F1168:G1168"/>
    <mergeCell ref="F407:G407"/>
    <mergeCell ref="F836:G836"/>
    <mergeCell ref="F438:G438"/>
    <mergeCell ref="F1524:G1524"/>
    <mergeCell ref="F465:G465"/>
    <mergeCell ref="F763:G763"/>
    <mergeCell ref="F738:G738"/>
    <mergeCell ref="F1061:G1061"/>
    <mergeCell ref="F852:G852"/>
    <mergeCell ref="F765:G765"/>
    <mergeCell ref="F1063:G1063"/>
    <mergeCell ref="F1361:G1361"/>
    <mergeCell ref="F1221:G1221"/>
    <mergeCell ref="F1519:G1519"/>
    <mergeCell ref="F39:G39"/>
    <mergeCell ref="F337:G337"/>
    <mergeCell ref="F1521:G1521"/>
    <mergeCell ref="F64:G64"/>
    <mergeCell ref="F178:G178"/>
    <mergeCell ref="F476:G476"/>
    <mergeCell ref="F1545:G1545"/>
    <mergeCell ref="F364:G364"/>
    <mergeCell ref="F1537:G1537"/>
    <mergeCell ref="F478:G478"/>
    <mergeCell ref="F776:G776"/>
    <mergeCell ref="F1232:G1232"/>
    <mergeCell ref="F786:G786"/>
    <mergeCell ref="F1539:G1539"/>
    <mergeCell ref="F50:G50"/>
    <mergeCell ref="F181:G181"/>
    <mergeCell ref="F479:G479"/>
    <mergeCell ref="F777:G777"/>
    <mergeCell ref="F504:G504"/>
    <mergeCell ref="F802:G802"/>
    <mergeCell ref="F1565:G1565"/>
    <mergeCell ref="F506:G506"/>
    <mergeCell ref="F810:G810"/>
    <mergeCell ref="F49:G49"/>
    <mergeCell ref="F505:G505"/>
    <mergeCell ref="F499:G499"/>
    <mergeCell ref="F1592:G1592"/>
    <mergeCell ref="F78:G78"/>
    <mergeCell ref="F376:G376"/>
    <mergeCell ref="F830:G830"/>
    <mergeCell ref="F805:G805"/>
    <mergeCell ref="F1164:G1164"/>
    <mergeCell ref="F1158:G1158"/>
    <mergeCell ref="F1166:G1166"/>
    <mergeCell ref="F1464:G1464"/>
    <mergeCell ref="F861:G861"/>
    <mergeCell ref="F1278:G1278"/>
    <mergeCell ref="F129:G129"/>
    <mergeCell ref="F1191:G1191"/>
    <mergeCell ref="F1489:G1489"/>
    <mergeCell ref="F856:G856"/>
    <mergeCell ref="F550:G550"/>
    <mergeCell ref="F1190:G1190"/>
    <mergeCell ref="F131:G131"/>
    <mergeCell ref="F429:G429"/>
    <mergeCell ref="F736:G736"/>
    <mergeCell ref="F543:G543"/>
    <mergeCell ref="F850:G850"/>
    <mergeCell ref="F1192:G1192"/>
    <mergeCell ref="F1148:G1148"/>
    <mergeCell ref="F431:G431"/>
    <mergeCell ref="F1490:G1490"/>
    <mergeCell ref="F1621:G1621"/>
    <mergeCell ref="F887:G887"/>
    <mergeCell ref="F1492:G1492"/>
    <mergeCell ref="F576:G576"/>
    <mergeCell ref="F447:G447"/>
    <mergeCell ref="F605:G605"/>
    <mergeCell ref="F876:G876"/>
    <mergeCell ref="F1631:G1631"/>
    <mergeCell ref="F1174:G1174"/>
    <mergeCell ref="F142:G142"/>
    <mergeCell ref="F1332:G1332"/>
    <mergeCell ref="F1508:G1508"/>
    <mergeCell ref="F449:G449"/>
    <mergeCell ref="F571:G571"/>
    <mergeCell ref="F607:G607"/>
    <mergeCell ref="F1543:G1543"/>
    <mergeCell ref="F905:G905"/>
    <mergeCell ref="F1203:G1203"/>
    <mergeCell ref="F144:G144"/>
    <mergeCell ref="F1334:G1334"/>
    <mergeCell ref="F1632:G1632"/>
    <mergeCell ref="F871:G871"/>
    <mergeCell ref="F907:G907"/>
    <mergeCell ref="F1205:G1205"/>
    <mergeCell ref="F1503:G1503"/>
    <mergeCell ref="F589:G589"/>
    <mergeCell ref="F1561:G1561"/>
    <mergeCell ref="F806:G806"/>
    <mergeCell ref="F284:G284"/>
    <mergeCell ref="F958:G958"/>
    <mergeCell ref="F1650:G1650"/>
    <mergeCell ref="F1256:G1256"/>
    <mergeCell ref="F501:G501"/>
    <mergeCell ref="F1563:G1563"/>
    <mergeCell ref="F292:G292"/>
    <mergeCell ref="F286:G286"/>
    <mergeCell ref="F74:G74"/>
    <mergeCell ref="F584:G584"/>
    <mergeCell ref="F372:G372"/>
    <mergeCell ref="F1258:G1258"/>
    <mergeCell ref="F503:G503"/>
    <mergeCell ref="F1562:G1562"/>
    <mergeCell ref="F1556:G1556"/>
    <mergeCell ref="F801:G801"/>
    <mergeCell ref="F76:G76"/>
    <mergeCell ref="F374:G374"/>
    <mergeCell ref="F803:G803"/>
    <mergeCell ref="F1274:G1274"/>
    <mergeCell ref="F1574:G1574"/>
    <mergeCell ref="F819:G819"/>
    <mergeCell ref="F673:G673"/>
    <mergeCell ref="F977:G977"/>
    <mergeCell ref="F971:G971"/>
    <mergeCell ref="F216:G216"/>
    <mergeCell ref="F1269:G1269"/>
    <mergeCell ref="F514:G514"/>
    <mergeCell ref="F1400:G1400"/>
    <mergeCell ref="F87:G87"/>
    <mergeCell ref="F979:G979"/>
    <mergeCell ref="F218:G218"/>
    <mergeCell ref="F1271:G1271"/>
    <mergeCell ref="F516:G516"/>
    <mergeCell ref="F814:G814"/>
    <mergeCell ref="F972:G972"/>
    <mergeCell ref="F1488:G1488"/>
    <mergeCell ref="F89:G89"/>
    <mergeCell ref="F974:G974"/>
    <mergeCell ref="F1416:G1416"/>
    <mergeCell ref="F242:G242"/>
    <mergeCell ref="F244:G244"/>
    <mergeCell ref="F567:G567"/>
    <mergeCell ref="F542:G542"/>
    <mergeCell ref="F901:G901"/>
    <mergeCell ref="F1199:G1199"/>
    <mergeCell ref="F115:G115"/>
    <mergeCell ref="F1330:G1330"/>
    <mergeCell ref="F1628:G1628"/>
    <mergeCell ref="F544:G544"/>
    <mergeCell ref="F229:G229"/>
    <mergeCell ref="F867:G867"/>
    <mergeCell ref="F903:G903"/>
    <mergeCell ref="F1201:G1201"/>
    <mergeCell ref="F1499:G1499"/>
    <mergeCell ref="F1630:G1630"/>
    <mergeCell ref="F598:G598"/>
    <mergeCell ref="F1501:G1501"/>
    <mergeCell ref="F255:G255"/>
    <mergeCell ref="F316:G316"/>
    <mergeCell ref="F1646:G1646"/>
    <mergeCell ref="F614:G614"/>
    <mergeCell ref="F745:G745"/>
    <mergeCell ref="F1358:G1358"/>
    <mergeCell ref="F1043:G1043"/>
    <mergeCell ref="F1341:G1341"/>
    <mergeCell ref="F624:G624"/>
    <mergeCell ref="F282:G282"/>
    <mergeCell ref="F580:G580"/>
    <mergeCell ref="F616:G616"/>
    <mergeCell ref="F1229:G1229"/>
    <mergeCell ref="F914:G914"/>
    <mergeCell ref="F159:G159"/>
    <mergeCell ref="F1045:G1045"/>
    <mergeCell ref="F1343:G1343"/>
    <mergeCell ref="F1641:G1641"/>
    <mergeCell ref="F582:G582"/>
    <mergeCell ref="F924:G924"/>
    <mergeCell ref="F916:G916"/>
    <mergeCell ref="F1214:G1214"/>
    <mergeCell ref="F184:G184"/>
    <mergeCell ref="F1643:G1643"/>
    <mergeCell ref="F613:G613"/>
    <mergeCell ref="F911:G911"/>
    <mergeCell ref="F1069:G1069"/>
    <mergeCell ref="F1245:G1245"/>
    <mergeCell ref="F642:G642"/>
    <mergeCell ref="F940:G940"/>
    <mergeCell ref="F179:G179"/>
    <mergeCell ref="F1071:G1071"/>
    <mergeCell ref="F1369:G1369"/>
    <mergeCell ref="F608:G608"/>
    <mergeCell ref="F644:G644"/>
    <mergeCell ref="F942:G942"/>
    <mergeCell ref="F187:G187"/>
    <mergeCell ref="F485:G485"/>
    <mergeCell ref="F1371:G1371"/>
    <mergeCell ref="F339:G339"/>
    <mergeCell ref="F637:G637"/>
    <mergeCell ref="F326:G326"/>
    <mergeCell ref="F970:G970"/>
    <mergeCell ref="F355:G355"/>
    <mergeCell ref="F784:G784"/>
    <mergeCell ref="F1082:G1082"/>
    <mergeCell ref="F357:G357"/>
    <mergeCell ref="F1084:G1084"/>
    <mergeCell ref="F627:G627"/>
    <mergeCell ref="F688:G688"/>
    <mergeCell ref="F1301:G1301"/>
    <mergeCell ref="F986:G986"/>
    <mergeCell ref="F540:G540"/>
    <mergeCell ref="F1593:G1593"/>
    <mergeCell ref="F1415:G1415"/>
    <mergeCell ref="F874:G874"/>
    <mergeCell ref="F996:G996"/>
    <mergeCell ref="F988:G988"/>
    <mergeCell ref="F1286:G1286"/>
    <mergeCell ref="F569:G569"/>
    <mergeCell ref="F1296:G1296"/>
    <mergeCell ref="F556:G556"/>
    <mergeCell ref="F714:G714"/>
    <mergeCell ref="F251:G251"/>
    <mergeCell ref="F1441:G1441"/>
    <mergeCell ref="F42:G42"/>
    <mergeCell ref="F1014:G1014"/>
    <mergeCell ref="F1008:G1008"/>
    <mergeCell ref="F253:G253"/>
    <mergeCell ref="B5:D5"/>
    <mergeCell ref="F551:G551"/>
    <mergeCell ref="F411:G411"/>
    <mergeCell ref="F709:G709"/>
    <mergeCell ref="F1016:G1016"/>
    <mergeCell ref="F1314:G1314"/>
    <mergeCell ref="F1612:G1612"/>
    <mergeCell ref="F711:G711"/>
    <mergeCell ref="F1009:G1009"/>
    <mergeCell ref="F1067:G1067"/>
    <mergeCell ref="F727:G727"/>
    <mergeCell ref="F1365:G1365"/>
    <mergeCell ref="F1156:G1156"/>
    <mergeCell ref="F124:G124"/>
    <mergeCell ref="F640:G640"/>
    <mergeCell ref="F422:G422"/>
    <mergeCell ref="F938:G938"/>
    <mergeCell ref="F729:G729"/>
    <mergeCell ref="F1367:G1367"/>
    <mergeCell ref="F335:G335"/>
    <mergeCell ref="F1027:G1027"/>
    <mergeCell ref="F633:G633"/>
    <mergeCell ref="F1456:G1456"/>
    <mergeCell ref="F424:G424"/>
    <mergeCell ref="F1062:G1062"/>
    <mergeCell ref="F722:G722"/>
    <mergeCell ref="F1238:G1238"/>
    <mergeCell ref="F1396:G1396"/>
    <mergeCell ref="F939:G939"/>
    <mergeCell ref="F780:G780"/>
    <mergeCell ref="F1078:G1078"/>
    <mergeCell ref="F353:G353"/>
    <mergeCell ref="F651:G651"/>
    <mergeCell ref="F782:G782"/>
    <mergeCell ref="F1080:G1080"/>
    <mergeCell ref="F1378:G1378"/>
    <mergeCell ref="F1536:G1536"/>
    <mergeCell ref="F653:G653"/>
    <mergeCell ref="F354:G354"/>
    <mergeCell ref="F1380:G1380"/>
    <mergeCell ref="F348:G348"/>
    <mergeCell ref="F652:G652"/>
    <mergeCell ref="F1538:G1538"/>
    <mergeCell ref="F1081:G1081"/>
    <mergeCell ref="F1292:G1292"/>
    <mergeCell ref="F648:G648"/>
    <mergeCell ref="F51:G51"/>
    <mergeCell ref="F1106:G1106"/>
    <mergeCell ref="F679:G679"/>
    <mergeCell ref="F1108:G1108"/>
    <mergeCell ref="F793:G793"/>
    <mergeCell ref="F38:G38"/>
    <mergeCell ref="F380:G380"/>
    <mergeCell ref="F1406:G1406"/>
    <mergeCell ref="F382:G382"/>
    <mergeCell ref="F67:G67"/>
    <mergeCell ref="F338:G338"/>
    <mergeCell ref="F680:G680"/>
    <mergeCell ref="F674:G674"/>
    <mergeCell ref="F794:G794"/>
    <mergeCell ref="F707:G707"/>
    <mergeCell ref="F1005:G1005"/>
    <mergeCell ref="F821:G821"/>
    <mergeCell ref="F698:G698"/>
    <mergeCell ref="F1152:G1152"/>
    <mergeCell ref="F418:G418"/>
    <mergeCell ref="F1480:G1480"/>
    <mergeCell ref="F122:G122"/>
    <mergeCell ref="F420:G420"/>
    <mergeCell ref="F718:G718"/>
    <mergeCell ref="F1481:G1481"/>
    <mergeCell ref="F720:G720"/>
    <mergeCell ref="F293:G293"/>
    <mergeCell ref="F1020:G1020"/>
    <mergeCell ref="F751:G751"/>
    <mergeCell ref="F148:G148"/>
    <mergeCell ref="F446:G446"/>
    <mergeCell ref="F1051:G1051"/>
    <mergeCell ref="F1349:G1349"/>
    <mergeCell ref="F1209:G1209"/>
    <mergeCell ref="F1507:G1507"/>
    <mergeCell ref="F448:G448"/>
    <mergeCell ref="F746:G746"/>
    <mergeCell ref="F319:G319"/>
    <mergeCell ref="F1509:G1509"/>
    <mergeCell ref="F1046:G1046"/>
    <mergeCell ref="F464:G464"/>
    <mergeCell ref="F1104:G1104"/>
    <mergeCell ref="F764:G764"/>
    <mergeCell ref="F922:G922"/>
    <mergeCell ref="F167:G167"/>
    <mergeCell ref="F1220:G1220"/>
    <mergeCell ref="F161:G161"/>
    <mergeCell ref="F459:G459"/>
    <mergeCell ref="F1133:G1133"/>
    <mergeCell ref="F1404:G1404"/>
    <mergeCell ref="F1520:G1520"/>
    <mergeCell ref="F461:G461"/>
    <mergeCell ref="F1099:G1099"/>
    <mergeCell ref="F678:G678"/>
    <mergeCell ref="F792:G792"/>
    <mergeCell ref="F1090:G1090"/>
    <mergeCell ref="F390:G390"/>
    <mergeCell ref="F1123:G1123"/>
    <mergeCell ref="F91:G91"/>
    <mergeCell ref="F1117:G1117"/>
    <mergeCell ref="F389:G389"/>
    <mergeCell ref="F1275:G1275"/>
    <mergeCell ref="F1573:G1573"/>
    <mergeCell ref="F180:G180"/>
    <mergeCell ref="F818:G818"/>
    <mergeCell ref="F93:G93"/>
    <mergeCell ref="F391:G391"/>
    <mergeCell ref="F385:G385"/>
    <mergeCell ref="F689:G689"/>
    <mergeCell ref="F1581:G1581"/>
    <mergeCell ref="F820:G820"/>
    <mergeCell ref="F1118:G1118"/>
    <mergeCell ref="F515:G515"/>
    <mergeCell ref="F691:G691"/>
    <mergeCell ref="F989:G989"/>
    <mergeCell ref="F849:G849"/>
    <mergeCell ref="F1147:G1147"/>
    <mergeCell ref="F1591:G1591"/>
    <mergeCell ref="F532:G532"/>
    <mergeCell ref="F233:G233"/>
    <mergeCell ref="F531:G531"/>
    <mergeCell ref="F444:G444"/>
    <mergeCell ref="F1136:G1136"/>
    <mergeCell ref="F104:G104"/>
    <mergeCell ref="F742:G742"/>
    <mergeCell ref="F1294:G1294"/>
    <mergeCell ref="F235:G235"/>
    <mergeCell ref="F533:G533"/>
    <mergeCell ref="F1586:G1586"/>
    <mergeCell ref="F831:G831"/>
    <mergeCell ref="F1505:G1505"/>
    <mergeCell ref="F106:G106"/>
    <mergeCell ref="F744:G744"/>
    <mergeCell ref="F404:G404"/>
    <mergeCell ref="F1042:G1042"/>
    <mergeCell ref="F833:G833"/>
    <mergeCell ref="F130:G130"/>
    <mergeCell ref="F157:G157"/>
    <mergeCell ref="F132:G132"/>
    <mergeCell ref="F1487:G1487"/>
    <mergeCell ref="F455:G455"/>
    <mergeCell ref="F430:G430"/>
    <mergeCell ref="F1645:G1645"/>
    <mergeCell ref="F1218:G1218"/>
    <mergeCell ref="F463:G463"/>
    <mergeCell ref="F1516:G1516"/>
    <mergeCell ref="F457:G457"/>
    <mergeCell ref="F755:G755"/>
    <mergeCell ref="F1647:G1647"/>
    <mergeCell ref="F913:G913"/>
    <mergeCell ref="F1518:G1518"/>
    <mergeCell ref="F757:G757"/>
    <mergeCell ref="F458:G458"/>
    <mergeCell ref="F1642:G1642"/>
    <mergeCell ref="F631:G631"/>
    <mergeCell ref="F902:G902"/>
    <mergeCell ref="F185:G185"/>
    <mergeCell ref="F1244:G1244"/>
    <mergeCell ref="F483:G483"/>
    <mergeCell ref="F597:G597"/>
    <mergeCell ref="F56:G56"/>
    <mergeCell ref="F1246:G1246"/>
    <mergeCell ref="F176:G176"/>
    <mergeCell ref="F1544:G1544"/>
    <mergeCell ref="F170:G170"/>
    <mergeCell ref="F783:G783"/>
    <mergeCell ref="F468:G468"/>
    <mergeCell ref="F897:G897"/>
    <mergeCell ref="F1571:G1571"/>
    <mergeCell ref="F816:G816"/>
    <mergeCell ref="F1546:G1546"/>
    <mergeCell ref="F1114:G1114"/>
    <mergeCell ref="F1529:G1529"/>
    <mergeCell ref="F57:G57"/>
    <mergeCell ref="F171:G171"/>
    <mergeCell ref="F1116:G1116"/>
    <mergeCell ref="F1414:G1414"/>
    <mergeCell ref="F1145:G1145"/>
    <mergeCell ref="F923:G923"/>
    <mergeCell ref="F959:G959"/>
    <mergeCell ref="F204:G204"/>
    <mergeCell ref="F1257:G1257"/>
    <mergeCell ref="F198:G198"/>
    <mergeCell ref="F75:G75"/>
    <mergeCell ref="F231:G231"/>
    <mergeCell ref="F1284:G1284"/>
    <mergeCell ref="F529:G529"/>
    <mergeCell ref="F1259:G1259"/>
    <mergeCell ref="F1582:G1582"/>
    <mergeCell ref="F827:G827"/>
    <mergeCell ref="F863:G863"/>
    <mergeCell ref="F1590:G1590"/>
    <mergeCell ref="F1584:G1584"/>
    <mergeCell ref="F829:G829"/>
    <mergeCell ref="F1127:G1127"/>
    <mergeCell ref="F1285:G1285"/>
    <mergeCell ref="F858:G858"/>
    <mergeCell ref="F1287:G1287"/>
    <mergeCell ref="F257:G257"/>
    <mergeCell ref="F672:G672"/>
    <mergeCell ref="F555:G555"/>
    <mergeCell ref="F889:G889"/>
    <mergeCell ref="F128:G128"/>
    <mergeCell ref="F426:G426"/>
    <mergeCell ref="F1312:G1312"/>
    <mergeCell ref="F557:G557"/>
    <mergeCell ref="F1616:G1616"/>
    <mergeCell ref="F1610:G1610"/>
    <mergeCell ref="F217:G217"/>
    <mergeCell ref="F855:G855"/>
    <mergeCell ref="F1189:G1189"/>
    <mergeCell ref="F252:G252"/>
    <mergeCell ref="F428:G428"/>
    <mergeCell ref="F1618:G1618"/>
    <mergeCell ref="F586:G586"/>
    <mergeCell ref="F857:G857"/>
    <mergeCell ref="F884:G884"/>
    <mergeCell ref="F1155:G1155"/>
    <mergeCell ref="F840:G840"/>
    <mergeCell ref="F552:G552"/>
    <mergeCell ref="F886:G886"/>
    <mergeCell ref="F1184:G1184"/>
    <mergeCell ref="F873:G873"/>
    <mergeCell ref="F270:G270"/>
    <mergeCell ref="F568:G568"/>
    <mergeCell ref="F1242:G1242"/>
    <mergeCell ref="F1356:G1356"/>
    <mergeCell ref="F1331:G1331"/>
    <mergeCell ref="F1629:G1629"/>
    <mergeCell ref="F299:G299"/>
    <mergeCell ref="F570:G570"/>
    <mergeCell ref="F904:G904"/>
    <mergeCell ref="F1542:G1542"/>
    <mergeCell ref="F265:G265"/>
    <mergeCell ref="F599:G599"/>
    <mergeCell ref="F1237:G1237"/>
    <mergeCell ref="F55:G55"/>
    <mergeCell ref="F169:G169"/>
    <mergeCell ref="F899:G899"/>
    <mergeCell ref="F1382:G1382"/>
    <mergeCell ref="F955:G955"/>
    <mergeCell ref="F200:G200"/>
    <mergeCell ref="F1253:G1253"/>
    <mergeCell ref="F1384:G1384"/>
    <mergeCell ref="F1044:G1044"/>
    <mergeCell ref="F957:G957"/>
    <mergeCell ref="F1377:G1377"/>
    <mergeCell ref="F500:G500"/>
    <mergeCell ref="F1255:G1255"/>
    <mergeCell ref="F1553:G1553"/>
    <mergeCell ref="F494:G494"/>
    <mergeCell ref="F798:G798"/>
    <mergeCell ref="F37:G37"/>
    <mergeCell ref="F950:G950"/>
    <mergeCell ref="F195:G195"/>
    <mergeCell ref="F1379:G1379"/>
    <mergeCell ref="F197:G197"/>
    <mergeCell ref="F68:G68"/>
    <mergeCell ref="F1097:G1097"/>
    <mergeCell ref="F1395:G1395"/>
    <mergeCell ref="F670:G670"/>
    <mergeCell ref="F968:G968"/>
    <mergeCell ref="F213:G213"/>
    <mergeCell ref="F1397:G1397"/>
    <mergeCell ref="F1614:G1614"/>
    <mergeCell ref="F1092:G1092"/>
    <mergeCell ref="F215:G215"/>
    <mergeCell ref="F880:G880"/>
    <mergeCell ref="F513:G513"/>
    <mergeCell ref="F373:G373"/>
    <mergeCell ref="F671:G671"/>
    <mergeCell ref="F969:G969"/>
    <mergeCell ref="F882:G882"/>
    <mergeCell ref="F1392:G1392"/>
    <mergeCell ref="F1180:G1180"/>
    <mergeCell ref="F1609:G1609"/>
    <mergeCell ref="F210:G210"/>
    <mergeCell ref="F994:G994"/>
    <mergeCell ref="F241:G241"/>
    <mergeCell ref="F1327:G1327"/>
    <mergeCell ref="F1625:G1625"/>
    <mergeCell ref="F566:G566"/>
    <mergeCell ref="F1022:G1022"/>
    <mergeCell ref="F1627:G1627"/>
    <mergeCell ref="F595:G595"/>
    <mergeCell ref="F866:G866"/>
    <mergeCell ref="F893:G893"/>
    <mergeCell ref="F138:G138"/>
    <mergeCell ref="F1024:G1024"/>
    <mergeCell ref="F1322:G1322"/>
    <mergeCell ref="F895:G895"/>
    <mergeCell ref="F1040:G1040"/>
    <mergeCell ref="F323:G323"/>
    <mergeCell ref="F279:G279"/>
    <mergeCell ref="F621:G621"/>
    <mergeCell ref="F1050:G1050"/>
    <mergeCell ref="F735:G735"/>
    <mergeCell ref="F1340:G1340"/>
    <mergeCell ref="F281:G281"/>
    <mergeCell ref="F623:G623"/>
    <mergeCell ref="F1462:G1462"/>
    <mergeCell ref="F921:G921"/>
    <mergeCell ref="F1375:G1375"/>
    <mergeCell ref="F1350:G1350"/>
    <mergeCell ref="F1035:G1035"/>
    <mergeCell ref="F1648:G1648"/>
    <mergeCell ref="F280:G280"/>
    <mergeCell ref="F1342:G1342"/>
    <mergeCell ref="F309:G309"/>
    <mergeCell ref="F305:G305"/>
    <mergeCell ref="F639:G639"/>
    <mergeCell ref="F36:G36"/>
    <mergeCell ref="F307:G307"/>
    <mergeCell ref="F1366:G1366"/>
    <mergeCell ref="F334:G334"/>
    <mergeCell ref="F342:G342"/>
    <mergeCell ref="F1368:G1368"/>
    <mergeCell ref="F336:G336"/>
    <mergeCell ref="F634:G634"/>
    <mergeCell ref="F308:G308"/>
    <mergeCell ref="F606:G606"/>
    <mergeCell ref="F1422:G1422"/>
    <mergeCell ref="F661:G661"/>
    <mergeCell ref="F965:G965"/>
    <mergeCell ref="F669:G669"/>
    <mergeCell ref="F967:G967"/>
    <mergeCell ref="F1265:G1265"/>
    <mergeCell ref="F992:G992"/>
    <mergeCell ref="F1290:G1290"/>
    <mergeCell ref="F1421:G1421"/>
    <mergeCell ref="F1420:G1420"/>
    <mergeCell ref="F1450:G1450"/>
    <mergeCell ref="F1412:G1412"/>
    <mergeCell ref="F695:G695"/>
    <mergeCell ref="F993:G993"/>
    <mergeCell ref="F1291:G1291"/>
    <mergeCell ref="F232:G232"/>
    <mergeCell ref="F987:G987"/>
    <mergeCell ref="F1107:G1107"/>
    <mergeCell ref="F268:G268"/>
    <mergeCell ref="F995:G995"/>
    <mergeCell ref="F1293:G1293"/>
    <mergeCell ref="F690:G690"/>
    <mergeCell ref="F1134:G1134"/>
    <mergeCell ref="F1432:G1432"/>
    <mergeCell ref="F835:G835"/>
    <mergeCell ref="F250:G250"/>
    <mergeCell ref="F1163:G1163"/>
    <mergeCell ref="F408:G408"/>
    <mergeCell ref="F706:G706"/>
    <mergeCell ref="F1135:G1135"/>
    <mergeCell ref="F1433:G1433"/>
    <mergeCell ref="F103:G103"/>
    <mergeCell ref="F619:G619"/>
    <mergeCell ref="F1129:G1129"/>
    <mergeCell ref="F1469:G1469"/>
    <mergeCell ref="F410:G410"/>
    <mergeCell ref="F1463:G1463"/>
    <mergeCell ref="F708:G708"/>
    <mergeCell ref="F1006:G1006"/>
    <mergeCell ref="F1435:G1435"/>
    <mergeCell ref="F403:G403"/>
    <mergeCell ref="F1362:G1362"/>
    <mergeCell ref="F121:G121"/>
    <mergeCell ref="F759:G759"/>
    <mergeCell ref="F1057:G1057"/>
    <mergeCell ref="F848:G848"/>
    <mergeCell ref="F1364:G1364"/>
    <mergeCell ref="F332:G332"/>
    <mergeCell ref="F630:G630"/>
    <mergeCell ref="F761:G761"/>
    <mergeCell ref="F421:G421"/>
    <mergeCell ref="F1059:G1059"/>
    <mergeCell ref="F632:G632"/>
    <mergeCell ref="F930:G930"/>
    <mergeCell ref="F175:G175"/>
    <mergeCell ref="F1359:G1359"/>
    <mergeCell ref="F1517:G1517"/>
    <mergeCell ref="F1077:G1077"/>
    <mergeCell ref="F322:G322"/>
    <mergeCell ref="F45:G45"/>
    <mergeCell ref="F1235:G1235"/>
    <mergeCell ref="F1533:G1533"/>
    <mergeCell ref="F474:G474"/>
    <mergeCell ref="F772:G772"/>
    <mergeCell ref="F1446:G1446"/>
    <mergeCell ref="F1079:G1079"/>
    <mergeCell ref="F1228:G1228"/>
    <mergeCell ref="F47:G47"/>
    <mergeCell ref="F351:G351"/>
    <mergeCell ref="F345:G345"/>
    <mergeCell ref="F1535:G1535"/>
    <mergeCell ref="F774:G774"/>
    <mergeCell ref="F46:G46"/>
    <mergeCell ref="F317:G317"/>
    <mergeCell ref="F1072:G1072"/>
    <mergeCell ref="F1230:G1230"/>
    <mergeCell ref="F48:G48"/>
    <mergeCell ref="F346:G346"/>
    <mergeCell ref="F477:G477"/>
    <mergeCell ref="F1530:G1530"/>
    <mergeCell ref="F775:G775"/>
    <mergeCell ref="F73:G73"/>
    <mergeCell ref="F371:G371"/>
    <mergeCell ref="F502:G502"/>
    <mergeCell ref="F800:G800"/>
    <mergeCell ref="F1098:G1098"/>
    <mergeCell ref="F379:G379"/>
    <mergeCell ref="F702:G702"/>
    <mergeCell ref="F1588:G1588"/>
    <mergeCell ref="F493:G493"/>
    <mergeCell ref="F1131:G1131"/>
    <mergeCell ref="F1465:G1465"/>
    <mergeCell ref="F406:G406"/>
    <mergeCell ref="F1459:G1459"/>
    <mergeCell ref="F704:G704"/>
    <mergeCell ref="F1002:G1002"/>
    <mergeCell ref="F1431:G1431"/>
    <mergeCell ref="F399:G399"/>
    <mergeCell ref="F1004:G1004"/>
    <mergeCell ref="F1302:G1302"/>
    <mergeCell ref="F1460:G1460"/>
    <mergeCell ref="F117:G117"/>
    <mergeCell ref="F92:G92"/>
    <mergeCell ref="F546:G546"/>
    <mergeCell ref="F844:G844"/>
    <mergeCell ref="F1178:G1178"/>
    <mergeCell ref="F119:G119"/>
    <mergeCell ref="F1449:G1449"/>
    <mergeCell ref="F417:G417"/>
    <mergeCell ref="F1607:G1607"/>
    <mergeCell ref="F846:G846"/>
    <mergeCell ref="F1144:G1144"/>
    <mergeCell ref="F427:G427"/>
    <mergeCell ref="F1486:G1486"/>
    <mergeCell ref="F112:G112"/>
    <mergeCell ref="F1600:G1600"/>
    <mergeCell ref="F1478:G1478"/>
    <mergeCell ref="F419:G419"/>
    <mergeCell ref="F541:G541"/>
    <mergeCell ref="F717:G717"/>
    <mergeCell ref="F1146:G1146"/>
    <mergeCell ref="F1173:G1173"/>
    <mergeCell ref="F1444:G1444"/>
    <mergeCell ref="F719:G719"/>
    <mergeCell ref="F572:G572"/>
    <mergeCell ref="F1473:G1473"/>
    <mergeCell ref="F145:G145"/>
    <mergeCell ref="F443:G443"/>
    <mergeCell ref="A1655:A1657"/>
    <mergeCell ref="F872:G872"/>
    <mergeCell ref="F1200:G1200"/>
    <mergeCell ref="F445:G445"/>
    <mergeCell ref="F1504:G1504"/>
    <mergeCell ref="F743:G743"/>
    <mergeCell ref="F1172:G1172"/>
    <mergeCell ref="F140:G140"/>
    <mergeCell ref="F1470:G1470"/>
    <mergeCell ref="F1531:G1531"/>
    <mergeCell ref="F1506:G1506"/>
    <mergeCell ref="F440:G440"/>
    <mergeCell ref="F1526:G1526"/>
    <mergeCell ref="F771:G771"/>
    <mergeCell ref="F344:G344"/>
    <mergeCell ref="F585:G585"/>
    <mergeCell ref="F1557:G1557"/>
    <mergeCell ref="F158:G158"/>
    <mergeCell ref="F587:G587"/>
    <mergeCell ref="F885:G885"/>
    <mergeCell ref="F369:G369"/>
    <mergeCell ref="F667:G667"/>
    <mergeCell ref="F1559:G1559"/>
    <mergeCell ref="F1219:G1219"/>
    <mergeCell ref="F160:G160"/>
    <mergeCell ref="F1096:G1096"/>
    <mergeCell ref="F1254:G1254"/>
    <mergeCell ref="F1552:G1552"/>
    <mergeCell ref="F797:G797"/>
    <mergeCell ref="F153:G153"/>
    <mergeCell ref="F491:G491"/>
    <mergeCell ref="F72:G72"/>
    <mergeCell ref="F370:G370"/>
    <mergeCell ref="F799:G799"/>
    <mergeCell ref="F484:G484"/>
    <mergeCell ref="F88:G88"/>
    <mergeCell ref="F359:G359"/>
    <mergeCell ref="F1272:G1272"/>
    <mergeCell ref="F517:G517"/>
    <mergeCell ref="F1570:G1570"/>
    <mergeCell ref="F511:G511"/>
    <mergeCell ref="F809:G809"/>
    <mergeCell ref="F54:G54"/>
    <mergeCell ref="F212:G212"/>
    <mergeCell ref="F388:G388"/>
    <mergeCell ref="F510:G510"/>
    <mergeCell ref="F1572:G1572"/>
    <mergeCell ref="F817:G817"/>
    <mergeCell ref="F1115:G1115"/>
    <mergeCell ref="F83:G83"/>
    <mergeCell ref="F1273:G1273"/>
    <mergeCell ref="F214:G214"/>
    <mergeCell ref="F1267:G1267"/>
    <mergeCell ref="F512:G512"/>
    <mergeCell ref="F548:G548"/>
    <mergeCell ref="F85:G85"/>
    <mergeCell ref="F383:G383"/>
    <mergeCell ref="F1567:G1567"/>
    <mergeCell ref="F812:G812"/>
    <mergeCell ref="F985:G985"/>
    <mergeCell ref="F230:G230"/>
    <mergeCell ref="F530:G530"/>
    <mergeCell ref="F136:G136"/>
    <mergeCell ref="F1466:G1466"/>
    <mergeCell ref="F1502:G1502"/>
    <mergeCell ref="F1496:G1496"/>
    <mergeCell ref="F225:G225"/>
    <mergeCell ref="F1197:G1197"/>
    <mergeCell ref="F1495:G1495"/>
    <mergeCell ref="F436:G436"/>
    <mergeCell ref="F1626:G1626"/>
    <mergeCell ref="F227:G227"/>
    <mergeCell ref="F525:G525"/>
    <mergeCell ref="F1497:G1497"/>
    <mergeCell ref="F283:G283"/>
    <mergeCell ref="F581:G581"/>
    <mergeCell ref="F154:G154"/>
    <mergeCell ref="F881:G881"/>
    <mergeCell ref="F1215:G1215"/>
    <mergeCell ref="F156:G156"/>
    <mergeCell ref="F454:G454"/>
    <mergeCell ref="F1644:G1644"/>
    <mergeCell ref="F612:G612"/>
    <mergeCell ref="F1638:G1638"/>
    <mergeCell ref="F910:G910"/>
    <mergeCell ref="F1181:G1181"/>
    <mergeCell ref="F155:G155"/>
    <mergeCell ref="F1041:G1041"/>
    <mergeCell ref="F149:G149"/>
    <mergeCell ref="F1339:G1339"/>
    <mergeCell ref="F1515:G1515"/>
    <mergeCell ref="F1637:G1637"/>
    <mergeCell ref="F912:G912"/>
    <mergeCell ref="F1550:G1550"/>
    <mergeCell ref="F1210:G1210"/>
    <mergeCell ref="F151:G151"/>
    <mergeCell ref="F1639:G1639"/>
    <mergeCell ref="F1212:G1212"/>
    <mergeCell ref="F1095:G1095"/>
    <mergeCell ref="F182:G182"/>
    <mergeCell ref="F296:G296"/>
    <mergeCell ref="F638:G638"/>
    <mergeCell ref="F936:G936"/>
    <mergeCell ref="F1357:G1357"/>
    <mergeCell ref="F596:G596"/>
    <mergeCell ref="F1236:G1236"/>
    <mergeCell ref="F177:G177"/>
    <mergeCell ref="F297:G297"/>
    <mergeCell ref="F1263:G1263"/>
    <mergeCell ref="F508:G508"/>
    <mergeCell ref="F1569:G1569"/>
    <mergeCell ref="F808:G808"/>
    <mergeCell ref="F622:G622"/>
    <mergeCell ref="F1410:G1410"/>
    <mergeCell ref="F1281:G1281"/>
    <mergeCell ref="F221:G221"/>
    <mergeCell ref="F196:G196"/>
    <mergeCell ref="F1283:G1283"/>
    <mergeCell ref="F1405:G1405"/>
    <mergeCell ref="F984:G984"/>
    <mergeCell ref="F1282:G1282"/>
    <mergeCell ref="F223:G223"/>
    <mergeCell ref="F1276:G1276"/>
    <mergeCell ref="F521:G521"/>
    <mergeCell ref="F523:G523"/>
    <mergeCell ref="B6:D6"/>
    <mergeCell ref="F125:G125"/>
    <mergeCell ref="F247:G247"/>
    <mergeCell ref="F1309:G1309"/>
    <mergeCell ref="F554:G554"/>
    <mergeCell ref="F1010:G1010"/>
    <mergeCell ref="F249:G249"/>
    <mergeCell ref="F547:G547"/>
    <mergeCell ref="F583:G583"/>
    <mergeCell ref="F854:G854"/>
    <mergeCell ref="F120:G120"/>
    <mergeCell ref="F1012:G1012"/>
    <mergeCell ref="F1310:G1310"/>
    <mergeCell ref="F1633:G1633"/>
    <mergeCell ref="F278:G278"/>
    <mergeCell ref="F549:G549"/>
    <mergeCell ref="F1304:G1304"/>
    <mergeCell ref="F1608:G1608"/>
    <mergeCell ref="F883:G883"/>
    <mergeCell ref="F1337:G1337"/>
    <mergeCell ref="F1635:G1635"/>
    <mergeCell ref="F578:G578"/>
    <mergeCell ref="F267:G267"/>
    <mergeCell ref="F723:G723"/>
    <mergeCell ref="F636:G636"/>
    <mergeCell ref="F934:G934"/>
    <mergeCell ref="F725:G725"/>
    <mergeCell ref="F1363:G1363"/>
    <mergeCell ref="F1048:G1048"/>
    <mergeCell ref="F1023:G1023"/>
    <mergeCell ref="F262:G262"/>
    <mergeCell ref="F1234:G1234"/>
    <mergeCell ref="F1025:G1025"/>
    <mergeCell ref="F1348:G1348"/>
    <mergeCell ref="F593:G593"/>
    <mergeCell ref="F1323:G1323"/>
    <mergeCell ref="F1534:G1534"/>
    <mergeCell ref="F647:G647"/>
    <mergeCell ref="F918:G918"/>
    <mergeCell ref="F778:G778"/>
    <mergeCell ref="F1076:G1076"/>
    <mergeCell ref="F1252:G1252"/>
    <mergeCell ref="F1374:G1374"/>
    <mergeCell ref="F649:G649"/>
    <mergeCell ref="F947:G947"/>
    <mergeCell ref="F192:G192"/>
    <mergeCell ref="F1376:G1376"/>
    <mergeCell ref="F949:G949"/>
    <mergeCell ref="F194:G194"/>
    <mergeCell ref="F492:G492"/>
    <mergeCell ref="F650:G650"/>
    <mergeCell ref="F333:G333"/>
    <mergeCell ref="F1394:G1394"/>
    <mergeCell ref="F362:G362"/>
    <mergeCell ref="F245:G245"/>
    <mergeCell ref="F660:G660"/>
    <mergeCell ref="F791:G791"/>
    <mergeCell ref="F1089:G1089"/>
    <mergeCell ref="F1387:G1387"/>
    <mergeCell ref="F668:G668"/>
    <mergeCell ref="F1306:G1306"/>
    <mergeCell ref="F1604:G1604"/>
    <mergeCell ref="F545:G545"/>
    <mergeCell ref="F205:G205"/>
    <mergeCell ref="F65:G65"/>
    <mergeCell ref="F1091:G1091"/>
    <mergeCell ref="F363:G363"/>
    <mergeCell ref="F879:G879"/>
    <mergeCell ref="F1308:G1308"/>
    <mergeCell ref="F1606:G1606"/>
    <mergeCell ref="F574:G574"/>
    <mergeCell ref="F845:G845"/>
    <mergeCell ref="F365:G365"/>
    <mergeCell ref="F1003:G1003"/>
    <mergeCell ref="F663:G663"/>
    <mergeCell ref="F721:G721"/>
    <mergeCell ref="F1019:G1019"/>
    <mergeCell ref="F258:G258"/>
    <mergeCell ref="F294:G294"/>
    <mergeCell ref="F1021:G1021"/>
    <mergeCell ref="F1319:G1319"/>
    <mergeCell ref="F260:G260"/>
    <mergeCell ref="F558:G558"/>
    <mergeCell ref="F594:G594"/>
    <mergeCell ref="F716:G716"/>
    <mergeCell ref="F1321:G1321"/>
    <mergeCell ref="F289:G289"/>
    <mergeCell ref="F1619:G1619"/>
    <mergeCell ref="F1479:G1479"/>
    <mergeCell ref="F320:G320"/>
    <mergeCell ref="F434:G434"/>
    <mergeCell ref="F1047:G1047"/>
    <mergeCell ref="F1161:G1161"/>
    <mergeCell ref="F620:G620"/>
    <mergeCell ref="F1074:G1074"/>
    <mergeCell ref="F1049:G1049"/>
    <mergeCell ref="F734:G734"/>
    <mergeCell ref="F321:G321"/>
    <mergeCell ref="F1347:G1347"/>
    <mergeCell ref="F1032:G1032"/>
    <mergeCell ref="F315:G315"/>
    <mergeCell ref="F1372:G1372"/>
    <mergeCell ref="F1461:G1461"/>
    <mergeCell ref="F1034:G1034"/>
    <mergeCell ref="F615:G615"/>
    <mergeCell ref="F460:G460"/>
    <mergeCell ref="F946:G946"/>
    <mergeCell ref="F760:G760"/>
    <mergeCell ref="F787:G787"/>
    <mergeCell ref="F762:G762"/>
    <mergeCell ref="F1085:G1085"/>
    <mergeCell ref="F34:G34"/>
    <mergeCell ref="F1093:G1093"/>
    <mergeCell ref="F1087:G1087"/>
    <mergeCell ref="F1391:G1391"/>
    <mergeCell ref="F1429:G1429"/>
    <mergeCell ref="F1385:G1385"/>
    <mergeCell ref="F1086:G1086"/>
    <mergeCell ref="F361:G361"/>
    <mergeCell ref="F659:G659"/>
    <mergeCell ref="F790:G790"/>
    <mergeCell ref="F1088:G1088"/>
    <mergeCell ref="F815:G815"/>
    <mergeCell ref="F1119:G1119"/>
    <mergeCell ref="F475:G475"/>
    <mergeCell ref="F1113:G1113"/>
    <mergeCell ref="F1411:G1411"/>
    <mergeCell ref="F1447:G1447"/>
    <mergeCell ref="F692:G692"/>
    <mergeCell ref="F686:G686"/>
    <mergeCell ref="F990:G990"/>
    <mergeCell ref="F1419:G1419"/>
    <mergeCell ref="F1142:G1142"/>
    <mergeCell ref="F387:G387"/>
    <mergeCell ref="F1413:G1413"/>
    <mergeCell ref="F343:G343"/>
    <mergeCell ref="F685:G685"/>
    <mergeCell ref="F677:G677"/>
    <mergeCell ref="F1150:G1150"/>
    <mergeCell ref="F1448:G1448"/>
    <mergeCell ref="F1442:G1442"/>
    <mergeCell ref="F687:G687"/>
    <mergeCell ref="F1587:G1587"/>
    <mergeCell ref="F101:G101"/>
    <mergeCell ref="F828:G828"/>
    <mergeCell ref="F1132:G1132"/>
    <mergeCell ref="F100:G100"/>
    <mergeCell ref="F705:G705"/>
    <mergeCell ref="F311:G311"/>
    <mergeCell ref="F102:G102"/>
    <mergeCell ref="F740:G740"/>
    <mergeCell ref="F425:G425"/>
    <mergeCell ref="F400:G400"/>
    <mergeCell ref="F611:G611"/>
    <mergeCell ref="F402:G402"/>
    <mergeCell ref="F756:G756"/>
    <mergeCell ref="F758:G758"/>
    <mergeCell ref="F1056:G1056"/>
    <mergeCell ref="F301:G301"/>
    <mergeCell ref="F295:G295"/>
    <mergeCell ref="F847:G847"/>
    <mergeCell ref="F1512:G1512"/>
    <mergeCell ref="F331:G331"/>
    <mergeCell ref="F453:G453"/>
    <mergeCell ref="F629:G629"/>
    <mergeCell ref="F113:G113"/>
    <mergeCell ref="F32:G32"/>
    <mergeCell ref="F1058:G1058"/>
    <mergeCell ref="F330:G330"/>
    <mergeCell ref="F324:G324"/>
    <mergeCell ref="F1216:G1216"/>
    <mergeCell ref="F1514:G1514"/>
    <mergeCell ref="F753:G753"/>
    <mergeCell ref="F456:G456"/>
    <mergeCell ref="F471:G471"/>
    <mergeCell ref="F769:G769"/>
    <mergeCell ref="F927:G927"/>
    <mergeCell ref="F44:G44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F32" r:id="rId9"/>
    <hyperlink xmlns:r="http://schemas.openxmlformats.org/officeDocument/2006/relationships" ref="F33" r:id="rId10"/>
    <hyperlink xmlns:r="http://schemas.openxmlformats.org/officeDocument/2006/relationships" ref="F34" r:id="rId11"/>
    <hyperlink xmlns:r="http://schemas.openxmlformats.org/officeDocument/2006/relationships" ref="F35" r:id="rId12"/>
    <hyperlink xmlns:r="http://schemas.openxmlformats.org/officeDocument/2006/relationships" ref="F36" r:id="rId13"/>
    <hyperlink xmlns:r="http://schemas.openxmlformats.org/officeDocument/2006/relationships" ref="F37" r:id="rId14"/>
    <hyperlink xmlns:r="http://schemas.openxmlformats.org/officeDocument/2006/relationships" ref="F38" r:id="rId15"/>
    <hyperlink xmlns:r="http://schemas.openxmlformats.org/officeDocument/2006/relationships" ref="F39" r:id="rId16"/>
    <hyperlink xmlns:r="http://schemas.openxmlformats.org/officeDocument/2006/relationships" ref="F40" r:id="rId17"/>
    <hyperlink xmlns:r="http://schemas.openxmlformats.org/officeDocument/2006/relationships" ref="F41" r:id="rId18"/>
    <hyperlink xmlns:r="http://schemas.openxmlformats.org/officeDocument/2006/relationships" ref="F42" r:id="rId19"/>
    <hyperlink xmlns:r="http://schemas.openxmlformats.org/officeDocument/2006/relationships" ref="F43" r:id="rId20"/>
    <hyperlink xmlns:r="http://schemas.openxmlformats.org/officeDocument/2006/relationships" ref="F44" r:id="rId21"/>
    <hyperlink xmlns:r="http://schemas.openxmlformats.org/officeDocument/2006/relationships" ref="F45" r:id="rId22"/>
    <hyperlink xmlns:r="http://schemas.openxmlformats.org/officeDocument/2006/relationships" ref="F46" r:id="rId23"/>
    <hyperlink xmlns:r="http://schemas.openxmlformats.org/officeDocument/2006/relationships" ref="F47" r:id="rId24"/>
    <hyperlink xmlns:r="http://schemas.openxmlformats.org/officeDocument/2006/relationships" ref="F48" r:id="rId25"/>
    <hyperlink xmlns:r="http://schemas.openxmlformats.org/officeDocument/2006/relationships" ref="F49" r:id="rId26"/>
    <hyperlink xmlns:r="http://schemas.openxmlformats.org/officeDocument/2006/relationships" ref="F50" r:id="rId27"/>
    <hyperlink xmlns:r="http://schemas.openxmlformats.org/officeDocument/2006/relationships" ref="F51" r:id="rId28"/>
    <hyperlink xmlns:r="http://schemas.openxmlformats.org/officeDocument/2006/relationships" ref="F52" r:id="rId29"/>
    <hyperlink xmlns:r="http://schemas.openxmlformats.org/officeDocument/2006/relationships" ref="F53" r:id="rId30"/>
    <hyperlink xmlns:r="http://schemas.openxmlformats.org/officeDocument/2006/relationships" ref="F54" r:id="rId31"/>
    <hyperlink xmlns:r="http://schemas.openxmlformats.org/officeDocument/2006/relationships" ref="F55" r:id="rId32"/>
    <hyperlink xmlns:r="http://schemas.openxmlformats.org/officeDocument/2006/relationships" ref="F56" r:id="rId33"/>
    <hyperlink xmlns:r="http://schemas.openxmlformats.org/officeDocument/2006/relationships" ref="F57" r:id="rId34"/>
    <hyperlink xmlns:r="http://schemas.openxmlformats.org/officeDocument/2006/relationships" ref="F58" r:id="rId35"/>
    <hyperlink xmlns:r="http://schemas.openxmlformats.org/officeDocument/2006/relationships" ref="F59" r:id="rId36"/>
    <hyperlink xmlns:r="http://schemas.openxmlformats.org/officeDocument/2006/relationships" ref="F60" r:id="rId37"/>
    <hyperlink xmlns:r="http://schemas.openxmlformats.org/officeDocument/2006/relationships" ref="F61" r:id="rId38"/>
    <hyperlink xmlns:r="http://schemas.openxmlformats.org/officeDocument/2006/relationships" ref="F62" r:id="rId39"/>
    <hyperlink xmlns:r="http://schemas.openxmlformats.org/officeDocument/2006/relationships" ref="F63" r:id="rId40"/>
    <hyperlink xmlns:r="http://schemas.openxmlformats.org/officeDocument/2006/relationships" ref="F64" r:id="rId41"/>
    <hyperlink xmlns:r="http://schemas.openxmlformats.org/officeDocument/2006/relationships" ref="F65" r:id="rId42"/>
    <hyperlink xmlns:r="http://schemas.openxmlformats.org/officeDocument/2006/relationships" ref="F66" r:id="rId43"/>
    <hyperlink xmlns:r="http://schemas.openxmlformats.org/officeDocument/2006/relationships" ref="F67" r:id="rId44"/>
    <hyperlink xmlns:r="http://schemas.openxmlformats.org/officeDocument/2006/relationships" ref="F68" r:id="rId45"/>
    <hyperlink xmlns:r="http://schemas.openxmlformats.org/officeDocument/2006/relationships" ref="F69" r:id="rId46"/>
    <hyperlink xmlns:r="http://schemas.openxmlformats.org/officeDocument/2006/relationships" ref="F70" r:id="rId47"/>
    <hyperlink xmlns:r="http://schemas.openxmlformats.org/officeDocument/2006/relationships" ref="F71" r:id="rId48"/>
    <hyperlink xmlns:r="http://schemas.openxmlformats.org/officeDocument/2006/relationships" ref="F72" r:id="rId49"/>
    <hyperlink xmlns:r="http://schemas.openxmlformats.org/officeDocument/2006/relationships" ref="F73" r:id="rId50"/>
    <hyperlink xmlns:r="http://schemas.openxmlformats.org/officeDocument/2006/relationships" ref="F74" r:id="rId51"/>
    <hyperlink xmlns:r="http://schemas.openxmlformats.org/officeDocument/2006/relationships" ref="F75" r:id="rId52"/>
    <hyperlink xmlns:r="http://schemas.openxmlformats.org/officeDocument/2006/relationships" ref="F76" r:id="rId53"/>
    <hyperlink xmlns:r="http://schemas.openxmlformats.org/officeDocument/2006/relationships" ref="F77" r:id="rId54"/>
    <hyperlink xmlns:r="http://schemas.openxmlformats.org/officeDocument/2006/relationships" ref="F78" r:id="rId55"/>
    <hyperlink xmlns:r="http://schemas.openxmlformats.org/officeDocument/2006/relationships" ref="F79" r:id="rId56"/>
    <hyperlink xmlns:r="http://schemas.openxmlformats.org/officeDocument/2006/relationships" ref="F80" r:id="rId57"/>
    <hyperlink xmlns:r="http://schemas.openxmlformats.org/officeDocument/2006/relationships" ref="F81" r:id="rId58"/>
    <hyperlink xmlns:r="http://schemas.openxmlformats.org/officeDocument/2006/relationships" ref="F82" r:id="rId59"/>
    <hyperlink xmlns:r="http://schemas.openxmlformats.org/officeDocument/2006/relationships" ref="F83" r:id="rId60"/>
    <hyperlink xmlns:r="http://schemas.openxmlformats.org/officeDocument/2006/relationships" ref="F84" r:id="rId61"/>
    <hyperlink xmlns:r="http://schemas.openxmlformats.org/officeDocument/2006/relationships" ref="F85" r:id="rId62"/>
    <hyperlink xmlns:r="http://schemas.openxmlformats.org/officeDocument/2006/relationships" ref="F86" r:id="rId63"/>
    <hyperlink xmlns:r="http://schemas.openxmlformats.org/officeDocument/2006/relationships" ref="F87" r:id="rId64"/>
    <hyperlink xmlns:r="http://schemas.openxmlformats.org/officeDocument/2006/relationships" ref="F88" r:id="rId65"/>
    <hyperlink xmlns:r="http://schemas.openxmlformats.org/officeDocument/2006/relationships" ref="F89" r:id="rId66"/>
    <hyperlink xmlns:r="http://schemas.openxmlformats.org/officeDocument/2006/relationships" ref="F90" r:id="rId67"/>
    <hyperlink xmlns:r="http://schemas.openxmlformats.org/officeDocument/2006/relationships" ref="F91" r:id="rId68"/>
    <hyperlink xmlns:r="http://schemas.openxmlformats.org/officeDocument/2006/relationships" ref="F92" r:id="rId69"/>
    <hyperlink xmlns:r="http://schemas.openxmlformats.org/officeDocument/2006/relationships" ref="F93" r:id="rId70"/>
    <hyperlink xmlns:r="http://schemas.openxmlformats.org/officeDocument/2006/relationships" ref="F94" r:id="rId71"/>
    <hyperlink xmlns:r="http://schemas.openxmlformats.org/officeDocument/2006/relationships" ref="F95" r:id="rId72"/>
    <hyperlink xmlns:r="http://schemas.openxmlformats.org/officeDocument/2006/relationships" ref="F96" r:id="rId73"/>
    <hyperlink xmlns:r="http://schemas.openxmlformats.org/officeDocument/2006/relationships" ref="F97" r:id="rId74"/>
    <hyperlink xmlns:r="http://schemas.openxmlformats.org/officeDocument/2006/relationships" ref="F98" r:id="rId75"/>
    <hyperlink xmlns:r="http://schemas.openxmlformats.org/officeDocument/2006/relationships" ref="F99" r:id="rId76"/>
    <hyperlink xmlns:r="http://schemas.openxmlformats.org/officeDocument/2006/relationships" ref="F100" r:id="rId77"/>
    <hyperlink xmlns:r="http://schemas.openxmlformats.org/officeDocument/2006/relationships" ref="F101" r:id="rId78"/>
    <hyperlink xmlns:r="http://schemas.openxmlformats.org/officeDocument/2006/relationships" ref="F102" r:id="rId79"/>
    <hyperlink xmlns:r="http://schemas.openxmlformats.org/officeDocument/2006/relationships" ref="F103" r:id="rId80"/>
    <hyperlink xmlns:r="http://schemas.openxmlformats.org/officeDocument/2006/relationships" ref="F104" r:id="rId81"/>
    <hyperlink xmlns:r="http://schemas.openxmlformats.org/officeDocument/2006/relationships" ref="F105" r:id="rId82"/>
    <hyperlink xmlns:r="http://schemas.openxmlformats.org/officeDocument/2006/relationships" ref="F106" r:id="rId83"/>
    <hyperlink xmlns:r="http://schemas.openxmlformats.org/officeDocument/2006/relationships" ref="F107" r:id="rId84"/>
    <hyperlink xmlns:r="http://schemas.openxmlformats.org/officeDocument/2006/relationships" ref="F108" r:id="rId85"/>
    <hyperlink xmlns:r="http://schemas.openxmlformats.org/officeDocument/2006/relationships" ref="F109" r:id="rId86"/>
    <hyperlink xmlns:r="http://schemas.openxmlformats.org/officeDocument/2006/relationships" ref="F110" r:id="rId87"/>
    <hyperlink xmlns:r="http://schemas.openxmlformats.org/officeDocument/2006/relationships" ref="F111" r:id="rId88"/>
    <hyperlink xmlns:r="http://schemas.openxmlformats.org/officeDocument/2006/relationships" ref="F112" r:id="rId89"/>
    <hyperlink xmlns:r="http://schemas.openxmlformats.org/officeDocument/2006/relationships" ref="F113" r:id="rId90"/>
    <hyperlink xmlns:r="http://schemas.openxmlformats.org/officeDocument/2006/relationships" ref="F114" r:id="rId91"/>
    <hyperlink xmlns:r="http://schemas.openxmlformats.org/officeDocument/2006/relationships" ref="F115" r:id="rId92"/>
    <hyperlink xmlns:r="http://schemas.openxmlformats.org/officeDocument/2006/relationships" ref="F116" r:id="rId93"/>
    <hyperlink xmlns:r="http://schemas.openxmlformats.org/officeDocument/2006/relationships" ref="F117" r:id="rId94"/>
    <hyperlink xmlns:r="http://schemas.openxmlformats.org/officeDocument/2006/relationships" ref="F118" r:id="rId95"/>
    <hyperlink xmlns:r="http://schemas.openxmlformats.org/officeDocument/2006/relationships" ref="F119" r:id="rId96"/>
    <hyperlink xmlns:r="http://schemas.openxmlformats.org/officeDocument/2006/relationships" ref="F120" r:id="rId97"/>
    <hyperlink xmlns:r="http://schemas.openxmlformats.org/officeDocument/2006/relationships" ref="F121" r:id="rId98"/>
    <hyperlink xmlns:r="http://schemas.openxmlformats.org/officeDocument/2006/relationships" ref="F122" r:id="rId99"/>
    <hyperlink xmlns:r="http://schemas.openxmlformats.org/officeDocument/2006/relationships" ref="F123" r:id="rId100"/>
    <hyperlink xmlns:r="http://schemas.openxmlformats.org/officeDocument/2006/relationships" ref="F124" r:id="rId101"/>
    <hyperlink xmlns:r="http://schemas.openxmlformats.org/officeDocument/2006/relationships" ref="F125" r:id="rId102"/>
    <hyperlink xmlns:r="http://schemas.openxmlformats.org/officeDocument/2006/relationships" ref="F126" r:id="rId103"/>
    <hyperlink xmlns:r="http://schemas.openxmlformats.org/officeDocument/2006/relationships" ref="F127" r:id="rId104"/>
    <hyperlink xmlns:r="http://schemas.openxmlformats.org/officeDocument/2006/relationships" ref="F128" r:id="rId105"/>
    <hyperlink xmlns:r="http://schemas.openxmlformats.org/officeDocument/2006/relationships" ref="F129" r:id="rId106"/>
    <hyperlink xmlns:r="http://schemas.openxmlformats.org/officeDocument/2006/relationships" ref="F130" r:id="rId107"/>
    <hyperlink xmlns:r="http://schemas.openxmlformats.org/officeDocument/2006/relationships" ref="F131" r:id="rId108"/>
    <hyperlink xmlns:r="http://schemas.openxmlformats.org/officeDocument/2006/relationships" ref="F132" r:id="rId109"/>
    <hyperlink xmlns:r="http://schemas.openxmlformats.org/officeDocument/2006/relationships" ref="F133" r:id="rId110"/>
    <hyperlink xmlns:r="http://schemas.openxmlformats.org/officeDocument/2006/relationships" ref="F134" r:id="rId111"/>
    <hyperlink xmlns:r="http://schemas.openxmlformats.org/officeDocument/2006/relationships" ref="F135" r:id="rId112"/>
    <hyperlink xmlns:r="http://schemas.openxmlformats.org/officeDocument/2006/relationships" ref="F136" r:id="rId113"/>
    <hyperlink xmlns:r="http://schemas.openxmlformats.org/officeDocument/2006/relationships" ref="F137" r:id="rId114"/>
    <hyperlink xmlns:r="http://schemas.openxmlformats.org/officeDocument/2006/relationships" ref="F138" r:id="rId115"/>
    <hyperlink xmlns:r="http://schemas.openxmlformats.org/officeDocument/2006/relationships" ref="F139" r:id="rId116"/>
    <hyperlink xmlns:r="http://schemas.openxmlformats.org/officeDocument/2006/relationships" ref="F140" r:id="rId117"/>
    <hyperlink xmlns:r="http://schemas.openxmlformats.org/officeDocument/2006/relationships" ref="F141" r:id="rId118"/>
    <hyperlink xmlns:r="http://schemas.openxmlformats.org/officeDocument/2006/relationships" ref="F142" r:id="rId119"/>
    <hyperlink xmlns:r="http://schemas.openxmlformats.org/officeDocument/2006/relationships" ref="F143" r:id="rId120"/>
    <hyperlink xmlns:r="http://schemas.openxmlformats.org/officeDocument/2006/relationships" ref="F144" r:id="rId121"/>
    <hyperlink xmlns:r="http://schemas.openxmlformats.org/officeDocument/2006/relationships" ref="F145" r:id="rId122"/>
    <hyperlink xmlns:r="http://schemas.openxmlformats.org/officeDocument/2006/relationships" ref="F146" r:id="rId123"/>
    <hyperlink xmlns:r="http://schemas.openxmlformats.org/officeDocument/2006/relationships" ref="F147" r:id="rId124"/>
    <hyperlink xmlns:r="http://schemas.openxmlformats.org/officeDocument/2006/relationships" ref="F148" r:id="rId125"/>
    <hyperlink xmlns:r="http://schemas.openxmlformats.org/officeDocument/2006/relationships" ref="F149" r:id="rId126"/>
    <hyperlink xmlns:r="http://schemas.openxmlformats.org/officeDocument/2006/relationships" ref="F150" r:id="rId127"/>
    <hyperlink xmlns:r="http://schemas.openxmlformats.org/officeDocument/2006/relationships" ref="F151" r:id="rId128"/>
    <hyperlink xmlns:r="http://schemas.openxmlformats.org/officeDocument/2006/relationships" ref="F152" r:id="rId129"/>
    <hyperlink xmlns:r="http://schemas.openxmlformats.org/officeDocument/2006/relationships" ref="F153" r:id="rId130"/>
    <hyperlink xmlns:r="http://schemas.openxmlformats.org/officeDocument/2006/relationships" ref="F154" r:id="rId131"/>
    <hyperlink xmlns:r="http://schemas.openxmlformats.org/officeDocument/2006/relationships" ref="F155" r:id="rId132"/>
    <hyperlink xmlns:r="http://schemas.openxmlformats.org/officeDocument/2006/relationships" ref="F156" r:id="rId133"/>
    <hyperlink xmlns:r="http://schemas.openxmlformats.org/officeDocument/2006/relationships" ref="F157" r:id="rId134"/>
    <hyperlink xmlns:r="http://schemas.openxmlformats.org/officeDocument/2006/relationships" ref="F158" r:id="rId135"/>
    <hyperlink xmlns:r="http://schemas.openxmlformats.org/officeDocument/2006/relationships" ref="F159" r:id="rId136"/>
    <hyperlink xmlns:r="http://schemas.openxmlformats.org/officeDocument/2006/relationships" ref="F160" r:id="rId137"/>
    <hyperlink xmlns:r="http://schemas.openxmlformats.org/officeDocument/2006/relationships" ref="F161" r:id="rId138"/>
    <hyperlink xmlns:r="http://schemas.openxmlformats.org/officeDocument/2006/relationships" ref="F162" r:id="rId139"/>
    <hyperlink xmlns:r="http://schemas.openxmlformats.org/officeDocument/2006/relationships" ref="F163" r:id="rId140"/>
    <hyperlink xmlns:r="http://schemas.openxmlformats.org/officeDocument/2006/relationships" ref="F164" r:id="rId141"/>
    <hyperlink xmlns:r="http://schemas.openxmlformats.org/officeDocument/2006/relationships" ref="F165" r:id="rId142"/>
    <hyperlink xmlns:r="http://schemas.openxmlformats.org/officeDocument/2006/relationships" ref="F166" r:id="rId143"/>
    <hyperlink xmlns:r="http://schemas.openxmlformats.org/officeDocument/2006/relationships" ref="F167" r:id="rId144"/>
    <hyperlink xmlns:r="http://schemas.openxmlformats.org/officeDocument/2006/relationships" ref="F168" r:id="rId145"/>
    <hyperlink xmlns:r="http://schemas.openxmlformats.org/officeDocument/2006/relationships" ref="F169" r:id="rId146"/>
    <hyperlink xmlns:r="http://schemas.openxmlformats.org/officeDocument/2006/relationships" ref="F170" r:id="rId147"/>
    <hyperlink xmlns:r="http://schemas.openxmlformats.org/officeDocument/2006/relationships" ref="F171" r:id="rId148"/>
    <hyperlink xmlns:r="http://schemas.openxmlformats.org/officeDocument/2006/relationships" ref="F172" r:id="rId149"/>
    <hyperlink xmlns:r="http://schemas.openxmlformats.org/officeDocument/2006/relationships" ref="F173" r:id="rId150"/>
    <hyperlink xmlns:r="http://schemas.openxmlformats.org/officeDocument/2006/relationships" ref="F174" r:id="rId151"/>
    <hyperlink xmlns:r="http://schemas.openxmlformats.org/officeDocument/2006/relationships" ref="F175" r:id="rId152"/>
    <hyperlink xmlns:r="http://schemas.openxmlformats.org/officeDocument/2006/relationships" ref="F176" r:id="rId153"/>
    <hyperlink xmlns:r="http://schemas.openxmlformats.org/officeDocument/2006/relationships" ref="F177" r:id="rId154"/>
    <hyperlink xmlns:r="http://schemas.openxmlformats.org/officeDocument/2006/relationships" ref="F178" r:id="rId155"/>
    <hyperlink xmlns:r="http://schemas.openxmlformats.org/officeDocument/2006/relationships" ref="F179" r:id="rId156"/>
    <hyperlink xmlns:r="http://schemas.openxmlformats.org/officeDocument/2006/relationships" ref="F180" r:id="rId157"/>
    <hyperlink xmlns:r="http://schemas.openxmlformats.org/officeDocument/2006/relationships" ref="F181" r:id="rId158"/>
    <hyperlink xmlns:r="http://schemas.openxmlformats.org/officeDocument/2006/relationships" ref="F182" r:id="rId159"/>
    <hyperlink xmlns:r="http://schemas.openxmlformats.org/officeDocument/2006/relationships" ref="F183" r:id="rId160"/>
    <hyperlink xmlns:r="http://schemas.openxmlformats.org/officeDocument/2006/relationships" ref="F184" r:id="rId161"/>
    <hyperlink xmlns:r="http://schemas.openxmlformats.org/officeDocument/2006/relationships" ref="F185" r:id="rId162"/>
    <hyperlink xmlns:r="http://schemas.openxmlformats.org/officeDocument/2006/relationships" ref="F186" r:id="rId163"/>
    <hyperlink xmlns:r="http://schemas.openxmlformats.org/officeDocument/2006/relationships" ref="F187" r:id="rId164"/>
    <hyperlink xmlns:r="http://schemas.openxmlformats.org/officeDocument/2006/relationships" ref="F188" r:id="rId165"/>
    <hyperlink xmlns:r="http://schemas.openxmlformats.org/officeDocument/2006/relationships" ref="F189" r:id="rId166"/>
    <hyperlink xmlns:r="http://schemas.openxmlformats.org/officeDocument/2006/relationships" ref="F190" r:id="rId167"/>
    <hyperlink xmlns:r="http://schemas.openxmlformats.org/officeDocument/2006/relationships" ref="F191" r:id="rId168"/>
    <hyperlink xmlns:r="http://schemas.openxmlformats.org/officeDocument/2006/relationships" ref="F192" r:id="rId169"/>
    <hyperlink xmlns:r="http://schemas.openxmlformats.org/officeDocument/2006/relationships" ref="F193" r:id="rId170"/>
    <hyperlink xmlns:r="http://schemas.openxmlformats.org/officeDocument/2006/relationships" ref="F194" r:id="rId171"/>
    <hyperlink xmlns:r="http://schemas.openxmlformats.org/officeDocument/2006/relationships" ref="F195" r:id="rId172"/>
    <hyperlink xmlns:r="http://schemas.openxmlformats.org/officeDocument/2006/relationships" ref="F196" r:id="rId173"/>
    <hyperlink xmlns:r="http://schemas.openxmlformats.org/officeDocument/2006/relationships" ref="F197" r:id="rId174"/>
    <hyperlink xmlns:r="http://schemas.openxmlformats.org/officeDocument/2006/relationships" ref="F198" r:id="rId175"/>
    <hyperlink xmlns:r="http://schemas.openxmlformats.org/officeDocument/2006/relationships" ref="F199" r:id="rId176"/>
    <hyperlink xmlns:r="http://schemas.openxmlformats.org/officeDocument/2006/relationships" ref="F200" r:id="rId177"/>
    <hyperlink xmlns:r="http://schemas.openxmlformats.org/officeDocument/2006/relationships" ref="F201" r:id="rId178"/>
    <hyperlink xmlns:r="http://schemas.openxmlformats.org/officeDocument/2006/relationships" ref="F202" r:id="rId179"/>
    <hyperlink xmlns:r="http://schemas.openxmlformats.org/officeDocument/2006/relationships" ref="F203" r:id="rId180"/>
    <hyperlink xmlns:r="http://schemas.openxmlformats.org/officeDocument/2006/relationships" ref="F204" r:id="rId181"/>
    <hyperlink xmlns:r="http://schemas.openxmlformats.org/officeDocument/2006/relationships" ref="F205" r:id="rId182"/>
    <hyperlink xmlns:r="http://schemas.openxmlformats.org/officeDocument/2006/relationships" ref="F206" r:id="rId183"/>
    <hyperlink xmlns:r="http://schemas.openxmlformats.org/officeDocument/2006/relationships" ref="F207" r:id="rId184"/>
    <hyperlink xmlns:r="http://schemas.openxmlformats.org/officeDocument/2006/relationships" ref="F208" r:id="rId185"/>
    <hyperlink xmlns:r="http://schemas.openxmlformats.org/officeDocument/2006/relationships" ref="F209" r:id="rId186"/>
    <hyperlink xmlns:r="http://schemas.openxmlformats.org/officeDocument/2006/relationships" ref="F210" r:id="rId187"/>
    <hyperlink xmlns:r="http://schemas.openxmlformats.org/officeDocument/2006/relationships" ref="F211" r:id="rId188"/>
    <hyperlink xmlns:r="http://schemas.openxmlformats.org/officeDocument/2006/relationships" ref="F212" r:id="rId189"/>
    <hyperlink xmlns:r="http://schemas.openxmlformats.org/officeDocument/2006/relationships" ref="F213" r:id="rId190"/>
    <hyperlink xmlns:r="http://schemas.openxmlformats.org/officeDocument/2006/relationships" ref="F214" r:id="rId191"/>
    <hyperlink xmlns:r="http://schemas.openxmlformats.org/officeDocument/2006/relationships" ref="F215" r:id="rId192"/>
    <hyperlink xmlns:r="http://schemas.openxmlformats.org/officeDocument/2006/relationships" ref="F216" r:id="rId193"/>
    <hyperlink xmlns:r="http://schemas.openxmlformats.org/officeDocument/2006/relationships" ref="F217" r:id="rId194"/>
    <hyperlink xmlns:r="http://schemas.openxmlformats.org/officeDocument/2006/relationships" ref="F218" r:id="rId195"/>
    <hyperlink xmlns:r="http://schemas.openxmlformats.org/officeDocument/2006/relationships" ref="F219" r:id="rId196"/>
    <hyperlink xmlns:r="http://schemas.openxmlformats.org/officeDocument/2006/relationships" ref="F220" r:id="rId197"/>
    <hyperlink xmlns:r="http://schemas.openxmlformats.org/officeDocument/2006/relationships" ref="F221" r:id="rId198"/>
    <hyperlink xmlns:r="http://schemas.openxmlformats.org/officeDocument/2006/relationships" ref="F222" r:id="rId199"/>
    <hyperlink xmlns:r="http://schemas.openxmlformats.org/officeDocument/2006/relationships" ref="F223" r:id="rId200"/>
    <hyperlink xmlns:r="http://schemas.openxmlformats.org/officeDocument/2006/relationships" ref="F224" r:id="rId201"/>
    <hyperlink xmlns:r="http://schemas.openxmlformats.org/officeDocument/2006/relationships" ref="F225" r:id="rId202"/>
    <hyperlink xmlns:r="http://schemas.openxmlformats.org/officeDocument/2006/relationships" ref="F226" r:id="rId203"/>
    <hyperlink xmlns:r="http://schemas.openxmlformats.org/officeDocument/2006/relationships" ref="F227" r:id="rId204"/>
    <hyperlink xmlns:r="http://schemas.openxmlformats.org/officeDocument/2006/relationships" ref="F228" r:id="rId205"/>
    <hyperlink xmlns:r="http://schemas.openxmlformats.org/officeDocument/2006/relationships" ref="F229" r:id="rId206"/>
    <hyperlink xmlns:r="http://schemas.openxmlformats.org/officeDocument/2006/relationships" ref="F230" r:id="rId207"/>
    <hyperlink xmlns:r="http://schemas.openxmlformats.org/officeDocument/2006/relationships" ref="F231" r:id="rId208"/>
    <hyperlink xmlns:r="http://schemas.openxmlformats.org/officeDocument/2006/relationships" ref="F232" r:id="rId209"/>
    <hyperlink xmlns:r="http://schemas.openxmlformats.org/officeDocument/2006/relationships" ref="F233" r:id="rId210"/>
    <hyperlink xmlns:r="http://schemas.openxmlformats.org/officeDocument/2006/relationships" ref="F234" r:id="rId211"/>
    <hyperlink xmlns:r="http://schemas.openxmlformats.org/officeDocument/2006/relationships" ref="F235" r:id="rId212"/>
    <hyperlink xmlns:r="http://schemas.openxmlformats.org/officeDocument/2006/relationships" ref="F236" r:id="rId213"/>
    <hyperlink xmlns:r="http://schemas.openxmlformats.org/officeDocument/2006/relationships" ref="F237" r:id="rId214"/>
    <hyperlink xmlns:r="http://schemas.openxmlformats.org/officeDocument/2006/relationships" ref="F238" r:id="rId215"/>
    <hyperlink xmlns:r="http://schemas.openxmlformats.org/officeDocument/2006/relationships" ref="F239" r:id="rId216"/>
    <hyperlink xmlns:r="http://schemas.openxmlformats.org/officeDocument/2006/relationships" ref="F240" r:id="rId217"/>
    <hyperlink xmlns:r="http://schemas.openxmlformats.org/officeDocument/2006/relationships" ref="F241" r:id="rId218"/>
    <hyperlink xmlns:r="http://schemas.openxmlformats.org/officeDocument/2006/relationships" ref="F242" r:id="rId219"/>
    <hyperlink xmlns:r="http://schemas.openxmlformats.org/officeDocument/2006/relationships" ref="F243" r:id="rId220"/>
    <hyperlink xmlns:r="http://schemas.openxmlformats.org/officeDocument/2006/relationships" ref="F244" r:id="rId221"/>
    <hyperlink xmlns:r="http://schemas.openxmlformats.org/officeDocument/2006/relationships" ref="F245" r:id="rId222"/>
    <hyperlink xmlns:r="http://schemas.openxmlformats.org/officeDocument/2006/relationships" ref="F246" r:id="rId223"/>
    <hyperlink xmlns:r="http://schemas.openxmlformats.org/officeDocument/2006/relationships" ref="F247" r:id="rId224"/>
    <hyperlink xmlns:r="http://schemas.openxmlformats.org/officeDocument/2006/relationships" ref="F248" r:id="rId225"/>
    <hyperlink xmlns:r="http://schemas.openxmlformats.org/officeDocument/2006/relationships" ref="F249" r:id="rId226"/>
    <hyperlink xmlns:r="http://schemas.openxmlformats.org/officeDocument/2006/relationships" ref="F250" r:id="rId227"/>
    <hyperlink xmlns:r="http://schemas.openxmlformats.org/officeDocument/2006/relationships" ref="F251" r:id="rId228"/>
    <hyperlink xmlns:r="http://schemas.openxmlformats.org/officeDocument/2006/relationships" ref="F252" r:id="rId229"/>
    <hyperlink xmlns:r="http://schemas.openxmlformats.org/officeDocument/2006/relationships" ref="F253" r:id="rId230"/>
    <hyperlink xmlns:r="http://schemas.openxmlformats.org/officeDocument/2006/relationships" ref="F254" r:id="rId231"/>
    <hyperlink xmlns:r="http://schemas.openxmlformats.org/officeDocument/2006/relationships" ref="F255" r:id="rId232"/>
    <hyperlink xmlns:r="http://schemas.openxmlformats.org/officeDocument/2006/relationships" ref="F256" r:id="rId233"/>
    <hyperlink xmlns:r="http://schemas.openxmlformats.org/officeDocument/2006/relationships" ref="F257" r:id="rId234"/>
    <hyperlink xmlns:r="http://schemas.openxmlformats.org/officeDocument/2006/relationships" ref="F258" r:id="rId235"/>
    <hyperlink xmlns:r="http://schemas.openxmlformats.org/officeDocument/2006/relationships" ref="F259" r:id="rId236"/>
    <hyperlink xmlns:r="http://schemas.openxmlformats.org/officeDocument/2006/relationships" ref="F260" r:id="rId237"/>
    <hyperlink xmlns:r="http://schemas.openxmlformats.org/officeDocument/2006/relationships" ref="F261" r:id="rId238"/>
    <hyperlink xmlns:r="http://schemas.openxmlformats.org/officeDocument/2006/relationships" ref="F262" r:id="rId239"/>
    <hyperlink xmlns:r="http://schemas.openxmlformats.org/officeDocument/2006/relationships" ref="F263" r:id="rId240"/>
    <hyperlink xmlns:r="http://schemas.openxmlformats.org/officeDocument/2006/relationships" ref="F264" r:id="rId241"/>
    <hyperlink xmlns:r="http://schemas.openxmlformats.org/officeDocument/2006/relationships" ref="F265" r:id="rId242"/>
    <hyperlink xmlns:r="http://schemas.openxmlformats.org/officeDocument/2006/relationships" ref="F266" r:id="rId243"/>
    <hyperlink xmlns:r="http://schemas.openxmlformats.org/officeDocument/2006/relationships" ref="F267" r:id="rId244"/>
    <hyperlink xmlns:r="http://schemas.openxmlformats.org/officeDocument/2006/relationships" ref="F268" r:id="rId245"/>
    <hyperlink xmlns:r="http://schemas.openxmlformats.org/officeDocument/2006/relationships" ref="F269" r:id="rId246"/>
    <hyperlink xmlns:r="http://schemas.openxmlformats.org/officeDocument/2006/relationships" ref="F270" r:id="rId247"/>
    <hyperlink xmlns:r="http://schemas.openxmlformats.org/officeDocument/2006/relationships" ref="F271" r:id="rId248"/>
    <hyperlink xmlns:r="http://schemas.openxmlformats.org/officeDocument/2006/relationships" ref="F272" r:id="rId249"/>
    <hyperlink xmlns:r="http://schemas.openxmlformats.org/officeDocument/2006/relationships" ref="F273" r:id="rId250"/>
    <hyperlink xmlns:r="http://schemas.openxmlformats.org/officeDocument/2006/relationships" ref="F274" r:id="rId251"/>
    <hyperlink xmlns:r="http://schemas.openxmlformats.org/officeDocument/2006/relationships" ref="F275" r:id="rId252"/>
    <hyperlink xmlns:r="http://schemas.openxmlformats.org/officeDocument/2006/relationships" ref="F276" r:id="rId253"/>
    <hyperlink xmlns:r="http://schemas.openxmlformats.org/officeDocument/2006/relationships" ref="F277" r:id="rId254"/>
    <hyperlink xmlns:r="http://schemas.openxmlformats.org/officeDocument/2006/relationships" ref="F278" r:id="rId255"/>
    <hyperlink xmlns:r="http://schemas.openxmlformats.org/officeDocument/2006/relationships" ref="F279" r:id="rId256"/>
    <hyperlink xmlns:r="http://schemas.openxmlformats.org/officeDocument/2006/relationships" ref="F280" r:id="rId257"/>
    <hyperlink xmlns:r="http://schemas.openxmlformats.org/officeDocument/2006/relationships" ref="F281" r:id="rId258"/>
    <hyperlink xmlns:r="http://schemas.openxmlformats.org/officeDocument/2006/relationships" ref="F282" r:id="rId259"/>
    <hyperlink xmlns:r="http://schemas.openxmlformats.org/officeDocument/2006/relationships" ref="F283" r:id="rId260"/>
    <hyperlink xmlns:r="http://schemas.openxmlformats.org/officeDocument/2006/relationships" ref="F284" r:id="rId261"/>
    <hyperlink xmlns:r="http://schemas.openxmlformats.org/officeDocument/2006/relationships" ref="F285" r:id="rId262"/>
    <hyperlink xmlns:r="http://schemas.openxmlformats.org/officeDocument/2006/relationships" ref="F286" r:id="rId263"/>
    <hyperlink xmlns:r="http://schemas.openxmlformats.org/officeDocument/2006/relationships" ref="F287" r:id="rId264"/>
    <hyperlink xmlns:r="http://schemas.openxmlformats.org/officeDocument/2006/relationships" ref="F288" r:id="rId265"/>
    <hyperlink xmlns:r="http://schemas.openxmlformats.org/officeDocument/2006/relationships" ref="F289" r:id="rId266"/>
    <hyperlink xmlns:r="http://schemas.openxmlformats.org/officeDocument/2006/relationships" ref="F290" r:id="rId267"/>
    <hyperlink xmlns:r="http://schemas.openxmlformats.org/officeDocument/2006/relationships" ref="F291" r:id="rId268"/>
    <hyperlink xmlns:r="http://schemas.openxmlformats.org/officeDocument/2006/relationships" ref="F292" r:id="rId269"/>
    <hyperlink xmlns:r="http://schemas.openxmlformats.org/officeDocument/2006/relationships" ref="F293" r:id="rId270"/>
    <hyperlink xmlns:r="http://schemas.openxmlformats.org/officeDocument/2006/relationships" ref="F294" r:id="rId271"/>
    <hyperlink xmlns:r="http://schemas.openxmlformats.org/officeDocument/2006/relationships" ref="F295" r:id="rId272"/>
    <hyperlink xmlns:r="http://schemas.openxmlformats.org/officeDocument/2006/relationships" ref="F296" r:id="rId273"/>
    <hyperlink xmlns:r="http://schemas.openxmlformats.org/officeDocument/2006/relationships" ref="F297" r:id="rId274"/>
    <hyperlink xmlns:r="http://schemas.openxmlformats.org/officeDocument/2006/relationships" ref="F298" r:id="rId275"/>
    <hyperlink xmlns:r="http://schemas.openxmlformats.org/officeDocument/2006/relationships" ref="F299" r:id="rId276"/>
    <hyperlink xmlns:r="http://schemas.openxmlformats.org/officeDocument/2006/relationships" ref="F300" r:id="rId277"/>
    <hyperlink xmlns:r="http://schemas.openxmlformats.org/officeDocument/2006/relationships" ref="F301" r:id="rId278"/>
    <hyperlink xmlns:r="http://schemas.openxmlformats.org/officeDocument/2006/relationships" ref="F302" r:id="rId279"/>
    <hyperlink xmlns:r="http://schemas.openxmlformats.org/officeDocument/2006/relationships" ref="F303" r:id="rId280"/>
    <hyperlink xmlns:r="http://schemas.openxmlformats.org/officeDocument/2006/relationships" ref="F304" r:id="rId281"/>
    <hyperlink xmlns:r="http://schemas.openxmlformats.org/officeDocument/2006/relationships" ref="F305" r:id="rId282"/>
    <hyperlink xmlns:r="http://schemas.openxmlformats.org/officeDocument/2006/relationships" ref="F306" r:id="rId283"/>
    <hyperlink xmlns:r="http://schemas.openxmlformats.org/officeDocument/2006/relationships" ref="F307" r:id="rId284"/>
    <hyperlink xmlns:r="http://schemas.openxmlformats.org/officeDocument/2006/relationships" ref="F308" r:id="rId285"/>
    <hyperlink xmlns:r="http://schemas.openxmlformats.org/officeDocument/2006/relationships" ref="F309" r:id="rId286"/>
    <hyperlink xmlns:r="http://schemas.openxmlformats.org/officeDocument/2006/relationships" ref="F310" r:id="rId287"/>
    <hyperlink xmlns:r="http://schemas.openxmlformats.org/officeDocument/2006/relationships" ref="F311" r:id="rId288"/>
    <hyperlink xmlns:r="http://schemas.openxmlformats.org/officeDocument/2006/relationships" ref="F312" r:id="rId289"/>
    <hyperlink xmlns:r="http://schemas.openxmlformats.org/officeDocument/2006/relationships" ref="F313" r:id="rId290"/>
    <hyperlink xmlns:r="http://schemas.openxmlformats.org/officeDocument/2006/relationships" ref="F314" r:id="rId291"/>
    <hyperlink xmlns:r="http://schemas.openxmlformats.org/officeDocument/2006/relationships" ref="F315" r:id="rId292"/>
    <hyperlink xmlns:r="http://schemas.openxmlformats.org/officeDocument/2006/relationships" ref="F316" r:id="rId293"/>
    <hyperlink xmlns:r="http://schemas.openxmlformats.org/officeDocument/2006/relationships" ref="F317" r:id="rId294"/>
    <hyperlink xmlns:r="http://schemas.openxmlformats.org/officeDocument/2006/relationships" ref="F318" r:id="rId295"/>
    <hyperlink xmlns:r="http://schemas.openxmlformats.org/officeDocument/2006/relationships" ref="F319" r:id="rId296"/>
    <hyperlink xmlns:r="http://schemas.openxmlformats.org/officeDocument/2006/relationships" ref="F320" r:id="rId297"/>
    <hyperlink xmlns:r="http://schemas.openxmlformats.org/officeDocument/2006/relationships" ref="F321" r:id="rId298"/>
    <hyperlink xmlns:r="http://schemas.openxmlformats.org/officeDocument/2006/relationships" ref="F322" r:id="rId299"/>
    <hyperlink xmlns:r="http://schemas.openxmlformats.org/officeDocument/2006/relationships" ref="F323" r:id="rId300"/>
    <hyperlink xmlns:r="http://schemas.openxmlformats.org/officeDocument/2006/relationships" ref="F324" r:id="rId301"/>
    <hyperlink xmlns:r="http://schemas.openxmlformats.org/officeDocument/2006/relationships" ref="F325" r:id="rId302"/>
    <hyperlink xmlns:r="http://schemas.openxmlformats.org/officeDocument/2006/relationships" ref="F326" r:id="rId303"/>
    <hyperlink xmlns:r="http://schemas.openxmlformats.org/officeDocument/2006/relationships" ref="F327" r:id="rId304"/>
    <hyperlink xmlns:r="http://schemas.openxmlformats.org/officeDocument/2006/relationships" ref="F328" r:id="rId305"/>
    <hyperlink xmlns:r="http://schemas.openxmlformats.org/officeDocument/2006/relationships" ref="F329" r:id="rId306"/>
    <hyperlink xmlns:r="http://schemas.openxmlformats.org/officeDocument/2006/relationships" ref="F330" r:id="rId307"/>
    <hyperlink xmlns:r="http://schemas.openxmlformats.org/officeDocument/2006/relationships" ref="F331" r:id="rId308"/>
    <hyperlink xmlns:r="http://schemas.openxmlformats.org/officeDocument/2006/relationships" ref="F332" r:id="rId309"/>
    <hyperlink xmlns:r="http://schemas.openxmlformats.org/officeDocument/2006/relationships" ref="F333" r:id="rId310"/>
    <hyperlink xmlns:r="http://schemas.openxmlformats.org/officeDocument/2006/relationships" ref="F334" r:id="rId311"/>
    <hyperlink xmlns:r="http://schemas.openxmlformats.org/officeDocument/2006/relationships" ref="F335" r:id="rId312"/>
    <hyperlink xmlns:r="http://schemas.openxmlformats.org/officeDocument/2006/relationships" ref="F336" r:id="rId313"/>
    <hyperlink xmlns:r="http://schemas.openxmlformats.org/officeDocument/2006/relationships" ref="F337" r:id="rId314"/>
    <hyperlink xmlns:r="http://schemas.openxmlformats.org/officeDocument/2006/relationships" ref="F338" r:id="rId315"/>
    <hyperlink xmlns:r="http://schemas.openxmlformats.org/officeDocument/2006/relationships" ref="F339" r:id="rId316"/>
    <hyperlink xmlns:r="http://schemas.openxmlformats.org/officeDocument/2006/relationships" ref="F340" r:id="rId317"/>
    <hyperlink xmlns:r="http://schemas.openxmlformats.org/officeDocument/2006/relationships" ref="F341" r:id="rId318"/>
    <hyperlink xmlns:r="http://schemas.openxmlformats.org/officeDocument/2006/relationships" ref="F342" r:id="rId319"/>
    <hyperlink xmlns:r="http://schemas.openxmlformats.org/officeDocument/2006/relationships" ref="F343" r:id="rId320"/>
    <hyperlink xmlns:r="http://schemas.openxmlformats.org/officeDocument/2006/relationships" ref="F344" r:id="rId321"/>
    <hyperlink xmlns:r="http://schemas.openxmlformats.org/officeDocument/2006/relationships" ref="F345" r:id="rId322"/>
    <hyperlink xmlns:r="http://schemas.openxmlformats.org/officeDocument/2006/relationships" ref="F346" r:id="rId323"/>
    <hyperlink xmlns:r="http://schemas.openxmlformats.org/officeDocument/2006/relationships" ref="F347" r:id="rId324"/>
    <hyperlink xmlns:r="http://schemas.openxmlformats.org/officeDocument/2006/relationships" ref="F348" r:id="rId325"/>
    <hyperlink xmlns:r="http://schemas.openxmlformats.org/officeDocument/2006/relationships" ref="F349" r:id="rId326"/>
    <hyperlink xmlns:r="http://schemas.openxmlformats.org/officeDocument/2006/relationships" ref="F350" r:id="rId327"/>
    <hyperlink xmlns:r="http://schemas.openxmlformats.org/officeDocument/2006/relationships" ref="F351" r:id="rId328"/>
    <hyperlink xmlns:r="http://schemas.openxmlformats.org/officeDocument/2006/relationships" ref="F352" r:id="rId329"/>
    <hyperlink xmlns:r="http://schemas.openxmlformats.org/officeDocument/2006/relationships" ref="F353" r:id="rId330"/>
    <hyperlink xmlns:r="http://schemas.openxmlformats.org/officeDocument/2006/relationships" ref="F354" r:id="rId331"/>
    <hyperlink xmlns:r="http://schemas.openxmlformats.org/officeDocument/2006/relationships" ref="F355" r:id="rId332"/>
    <hyperlink xmlns:r="http://schemas.openxmlformats.org/officeDocument/2006/relationships" ref="F356" r:id="rId333"/>
    <hyperlink xmlns:r="http://schemas.openxmlformats.org/officeDocument/2006/relationships" ref="F357" r:id="rId334"/>
    <hyperlink xmlns:r="http://schemas.openxmlformats.org/officeDocument/2006/relationships" ref="F358" r:id="rId335"/>
    <hyperlink xmlns:r="http://schemas.openxmlformats.org/officeDocument/2006/relationships" ref="F359" r:id="rId336"/>
    <hyperlink xmlns:r="http://schemas.openxmlformats.org/officeDocument/2006/relationships" ref="F360" r:id="rId337"/>
    <hyperlink xmlns:r="http://schemas.openxmlformats.org/officeDocument/2006/relationships" ref="F361" r:id="rId338"/>
    <hyperlink xmlns:r="http://schemas.openxmlformats.org/officeDocument/2006/relationships" ref="F362" r:id="rId339"/>
    <hyperlink xmlns:r="http://schemas.openxmlformats.org/officeDocument/2006/relationships" ref="F363" r:id="rId340"/>
    <hyperlink xmlns:r="http://schemas.openxmlformats.org/officeDocument/2006/relationships" ref="F364" r:id="rId341"/>
    <hyperlink xmlns:r="http://schemas.openxmlformats.org/officeDocument/2006/relationships" ref="F365" r:id="rId342"/>
    <hyperlink xmlns:r="http://schemas.openxmlformats.org/officeDocument/2006/relationships" ref="F366" r:id="rId343"/>
    <hyperlink xmlns:r="http://schemas.openxmlformats.org/officeDocument/2006/relationships" ref="F367" r:id="rId344"/>
    <hyperlink xmlns:r="http://schemas.openxmlformats.org/officeDocument/2006/relationships" ref="F368" r:id="rId345"/>
    <hyperlink xmlns:r="http://schemas.openxmlformats.org/officeDocument/2006/relationships" ref="F369" r:id="rId346"/>
    <hyperlink xmlns:r="http://schemas.openxmlformats.org/officeDocument/2006/relationships" ref="F370" r:id="rId347"/>
    <hyperlink xmlns:r="http://schemas.openxmlformats.org/officeDocument/2006/relationships" ref="F371" r:id="rId348"/>
    <hyperlink xmlns:r="http://schemas.openxmlformats.org/officeDocument/2006/relationships" ref="F372" r:id="rId349"/>
    <hyperlink xmlns:r="http://schemas.openxmlformats.org/officeDocument/2006/relationships" ref="F373" r:id="rId350"/>
    <hyperlink xmlns:r="http://schemas.openxmlformats.org/officeDocument/2006/relationships" ref="F374" r:id="rId351"/>
    <hyperlink xmlns:r="http://schemas.openxmlformats.org/officeDocument/2006/relationships" ref="F375" r:id="rId352"/>
    <hyperlink xmlns:r="http://schemas.openxmlformats.org/officeDocument/2006/relationships" ref="F376" r:id="rId353"/>
    <hyperlink xmlns:r="http://schemas.openxmlformats.org/officeDocument/2006/relationships" ref="F377" r:id="rId354"/>
    <hyperlink xmlns:r="http://schemas.openxmlformats.org/officeDocument/2006/relationships" ref="F378" r:id="rId355"/>
    <hyperlink xmlns:r="http://schemas.openxmlformats.org/officeDocument/2006/relationships" ref="F379" r:id="rId356"/>
    <hyperlink xmlns:r="http://schemas.openxmlformats.org/officeDocument/2006/relationships" ref="F380" r:id="rId357"/>
    <hyperlink xmlns:r="http://schemas.openxmlformats.org/officeDocument/2006/relationships" ref="F381" r:id="rId358"/>
    <hyperlink xmlns:r="http://schemas.openxmlformats.org/officeDocument/2006/relationships" ref="F382" r:id="rId359"/>
    <hyperlink xmlns:r="http://schemas.openxmlformats.org/officeDocument/2006/relationships" ref="F383" r:id="rId360"/>
    <hyperlink xmlns:r="http://schemas.openxmlformats.org/officeDocument/2006/relationships" ref="F384" r:id="rId361"/>
    <hyperlink xmlns:r="http://schemas.openxmlformats.org/officeDocument/2006/relationships" ref="F385" r:id="rId362"/>
    <hyperlink xmlns:r="http://schemas.openxmlformats.org/officeDocument/2006/relationships" ref="F386" r:id="rId363"/>
    <hyperlink xmlns:r="http://schemas.openxmlformats.org/officeDocument/2006/relationships" ref="F387" r:id="rId364"/>
    <hyperlink xmlns:r="http://schemas.openxmlformats.org/officeDocument/2006/relationships" ref="F388" r:id="rId365"/>
    <hyperlink xmlns:r="http://schemas.openxmlformats.org/officeDocument/2006/relationships" ref="F389" r:id="rId366"/>
    <hyperlink xmlns:r="http://schemas.openxmlformats.org/officeDocument/2006/relationships" ref="F390" r:id="rId367"/>
    <hyperlink xmlns:r="http://schemas.openxmlformats.org/officeDocument/2006/relationships" ref="F391" r:id="rId368"/>
    <hyperlink xmlns:r="http://schemas.openxmlformats.org/officeDocument/2006/relationships" ref="F392" r:id="rId369"/>
    <hyperlink xmlns:r="http://schemas.openxmlformats.org/officeDocument/2006/relationships" ref="F393" r:id="rId370"/>
    <hyperlink xmlns:r="http://schemas.openxmlformats.org/officeDocument/2006/relationships" ref="F394" r:id="rId371"/>
    <hyperlink xmlns:r="http://schemas.openxmlformats.org/officeDocument/2006/relationships" ref="F395" r:id="rId372"/>
    <hyperlink xmlns:r="http://schemas.openxmlformats.org/officeDocument/2006/relationships" ref="F396" r:id="rId373"/>
    <hyperlink xmlns:r="http://schemas.openxmlformats.org/officeDocument/2006/relationships" ref="F397" r:id="rId374"/>
    <hyperlink xmlns:r="http://schemas.openxmlformats.org/officeDocument/2006/relationships" ref="F398" r:id="rId375"/>
    <hyperlink xmlns:r="http://schemas.openxmlformats.org/officeDocument/2006/relationships" ref="F399" r:id="rId376"/>
    <hyperlink xmlns:r="http://schemas.openxmlformats.org/officeDocument/2006/relationships" ref="F400" r:id="rId377"/>
    <hyperlink xmlns:r="http://schemas.openxmlformats.org/officeDocument/2006/relationships" ref="F401" r:id="rId378"/>
    <hyperlink xmlns:r="http://schemas.openxmlformats.org/officeDocument/2006/relationships" ref="F402" r:id="rId379"/>
    <hyperlink xmlns:r="http://schemas.openxmlformats.org/officeDocument/2006/relationships" ref="F403" r:id="rId380"/>
    <hyperlink xmlns:r="http://schemas.openxmlformats.org/officeDocument/2006/relationships" ref="F404" r:id="rId381"/>
    <hyperlink xmlns:r="http://schemas.openxmlformats.org/officeDocument/2006/relationships" ref="F405" r:id="rId382"/>
    <hyperlink xmlns:r="http://schemas.openxmlformats.org/officeDocument/2006/relationships" ref="F406" r:id="rId383"/>
    <hyperlink xmlns:r="http://schemas.openxmlformats.org/officeDocument/2006/relationships" ref="F407" r:id="rId384"/>
    <hyperlink xmlns:r="http://schemas.openxmlformats.org/officeDocument/2006/relationships" ref="F408" r:id="rId385"/>
    <hyperlink xmlns:r="http://schemas.openxmlformats.org/officeDocument/2006/relationships" ref="F409" r:id="rId386"/>
    <hyperlink xmlns:r="http://schemas.openxmlformats.org/officeDocument/2006/relationships" ref="F410" r:id="rId387"/>
    <hyperlink xmlns:r="http://schemas.openxmlformats.org/officeDocument/2006/relationships" ref="F411" r:id="rId388"/>
    <hyperlink xmlns:r="http://schemas.openxmlformats.org/officeDocument/2006/relationships" ref="F412" r:id="rId389"/>
    <hyperlink xmlns:r="http://schemas.openxmlformats.org/officeDocument/2006/relationships" ref="F413" r:id="rId390"/>
    <hyperlink xmlns:r="http://schemas.openxmlformats.org/officeDocument/2006/relationships" ref="F414" r:id="rId391"/>
    <hyperlink xmlns:r="http://schemas.openxmlformats.org/officeDocument/2006/relationships" ref="F415" r:id="rId392"/>
    <hyperlink xmlns:r="http://schemas.openxmlformats.org/officeDocument/2006/relationships" ref="F416" r:id="rId393"/>
    <hyperlink xmlns:r="http://schemas.openxmlformats.org/officeDocument/2006/relationships" ref="F417" r:id="rId394"/>
    <hyperlink xmlns:r="http://schemas.openxmlformats.org/officeDocument/2006/relationships" ref="F418" r:id="rId395"/>
    <hyperlink xmlns:r="http://schemas.openxmlformats.org/officeDocument/2006/relationships" ref="F419" r:id="rId396"/>
    <hyperlink xmlns:r="http://schemas.openxmlformats.org/officeDocument/2006/relationships" ref="F420" r:id="rId397"/>
    <hyperlink xmlns:r="http://schemas.openxmlformats.org/officeDocument/2006/relationships" ref="F421" r:id="rId398"/>
    <hyperlink xmlns:r="http://schemas.openxmlformats.org/officeDocument/2006/relationships" ref="F422" r:id="rId399"/>
    <hyperlink xmlns:r="http://schemas.openxmlformats.org/officeDocument/2006/relationships" ref="F423" r:id="rId400"/>
    <hyperlink xmlns:r="http://schemas.openxmlformats.org/officeDocument/2006/relationships" ref="F424" r:id="rId401"/>
    <hyperlink xmlns:r="http://schemas.openxmlformats.org/officeDocument/2006/relationships" ref="F425" r:id="rId402"/>
    <hyperlink xmlns:r="http://schemas.openxmlformats.org/officeDocument/2006/relationships" ref="F426" r:id="rId403"/>
    <hyperlink xmlns:r="http://schemas.openxmlformats.org/officeDocument/2006/relationships" ref="F427" r:id="rId404"/>
    <hyperlink xmlns:r="http://schemas.openxmlformats.org/officeDocument/2006/relationships" ref="F428" r:id="rId405"/>
    <hyperlink xmlns:r="http://schemas.openxmlformats.org/officeDocument/2006/relationships" ref="F429" r:id="rId406"/>
    <hyperlink xmlns:r="http://schemas.openxmlformats.org/officeDocument/2006/relationships" ref="F430" r:id="rId407"/>
    <hyperlink xmlns:r="http://schemas.openxmlformats.org/officeDocument/2006/relationships" ref="F431" r:id="rId408"/>
    <hyperlink xmlns:r="http://schemas.openxmlformats.org/officeDocument/2006/relationships" ref="F432" r:id="rId409"/>
    <hyperlink xmlns:r="http://schemas.openxmlformats.org/officeDocument/2006/relationships" ref="F433" r:id="rId410"/>
    <hyperlink xmlns:r="http://schemas.openxmlformats.org/officeDocument/2006/relationships" ref="F434" r:id="rId411"/>
    <hyperlink xmlns:r="http://schemas.openxmlformats.org/officeDocument/2006/relationships" ref="F435" r:id="rId412"/>
    <hyperlink xmlns:r="http://schemas.openxmlformats.org/officeDocument/2006/relationships" ref="F436" r:id="rId413"/>
    <hyperlink xmlns:r="http://schemas.openxmlformats.org/officeDocument/2006/relationships" ref="F437" r:id="rId414"/>
    <hyperlink xmlns:r="http://schemas.openxmlformats.org/officeDocument/2006/relationships" ref="F438" r:id="rId415"/>
    <hyperlink xmlns:r="http://schemas.openxmlformats.org/officeDocument/2006/relationships" ref="F439" r:id="rId416"/>
    <hyperlink xmlns:r="http://schemas.openxmlformats.org/officeDocument/2006/relationships" ref="F440" r:id="rId417"/>
    <hyperlink xmlns:r="http://schemas.openxmlformats.org/officeDocument/2006/relationships" ref="F441" r:id="rId418"/>
    <hyperlink xmlns:r="http://schemas.openxmlformats.org/officeDocument/2006/relationships" ref="F442" r:id="rId419"/>
    <hyperlink xmlns:r="http://schemas.openxmlformats.org/officeDocument/2006/relationships" ref="F443" r:id="rId420"/>
    <hyperlink xmlns:r="http://schemas.openxmlformats.org/officeDocument/2006/relationships" ref="F444" r:id="rId421"/>
    <hyperlink xmlns:r="http://schemas.openxmlformats.org/officeDocument/2006/relationships" ref="F445" r:id="rId422"/>
    <hyperlink xmlns:r="http://schemas.openxmlformats.org/officeDocument/2006/relationships" ref="F446" r:id="rId423"/>
    <hyperlink xmlns:r="http://schemas.openxmlformats.org/officeDocument/2006/relationships" ref="F447" r:id="rId424"/>
    <hyperlink xmlns:r="http://schemas.openxmlformats.org/officeDocument/2006/relationships" ref="F448" r:id="rId425"/>
    <hyperlink xmlns:r="http://schemas.openxmlformats.org/officeDocument/2006/relationships" ref="F449" r:id="rId426"/>
    <hyperlink xmlns:r="http://schemas.openxmlformats.org/officeDocument/2006/relationships" ref="F450" r:id="rId427"/>
    <hyperlink xmlns:r="http://schemas.openxmlformats.org/officeDocument/2006/relationships" ref="F451" r:id="rId428"/>
    <hyperlink xmlns:r="http://schemas.openxmlformats.org/officeDocument/2006/relationships" ref="F452" r:id="rId429"/>
    <hyperlink xmlns:r="http://schemas.openxmlformats.org/officeDocument/2006/relationships" ref="F453" r:id="rId430"/>
    <hyperlink xmlns:r="http://schemas.openxmlformats.org/officeDocument/2006/relationships" ref="F454" r:id="rId431"/>
    <hyperlink xmlns:r="http://schemas.openxmlformats.org/officeDocument/2006/relationships" ref="F455" r:id="rId432"/>
    <hyperlink xmlns:r="http://schemas.openxmlformats.org/officeDocument/2006/relationships" ref="F456" r:id="rId433"/>
    <hyperlink xmlns:r="http://schemas.openxmlformats.org/officeDocument/2006/relationships" ref="F457" r:id="rId434"/>
    <hyperlink xmlns:r="http://schemas.openxmlformats.org/officeDocument/2006/relationships" ref="F458" r:id="rId435"/>
    <hyperlink xmlns:r="http://schemas.openxmlformats.org/officeDocument/2006/relationships" ref="F459" r:id="rId436"/>
    <hyperlink xmlns:r="http://schemas.openxmlformats.org/officeDocument/2006/relationships" ref="F460" r:id="rId437"/>
    <hyperlink xmlns:r="http://schemas.openxmlformats.org/officeDocument/2006/relationships" ref="F461" r:id="rId438"/>
    <hyperlink xmlns:r="http://schemas.openxmlformats.org/officeDocument/2006/relationships" ref="F462" r:id="rId439"/>
    <hyperlink xmlns:r="http://schemas.openxmlformats.org/officeDocument/2006/relationships" ref="F463" r:id="rId440"/>
    <hyperlink xmlns:r="http://schemas.openxmlformats.org/officeDocument/2006/relationships" ref="F464" r:id="rId441"/>
    <hyperlink xmlns:r="http://schemas.openxmlformats.org/officeDocument/2006/relationships" ref="F465" r:id="rId442"/>
    <hyperlink xmlns:r="http://schemas.openxmlformats.org/officeDocument/2006/relationships" ref="F466" r:id="rId443"/>
    <hyperlink xmlns:r="http://schemas.openxmlformats.org/officeDocument/2006/relationships" ref="F467" r:id="rId444"/>
    <hyperlink xmlns:r="http://schemas.openxmlformats.org/officeDocument/2006/relationships" ref="F468" r:id="rId445"/>
    <hyperlink xmlns:r="http://schemas.openxmlformats.org/officeDocument/2006/relationships" ref="F469" r:id="rId446"/>
    <hyperlink xmlns:r="http://schemas.openxmlformats.org/officeDocument/2006/relationships" ref="F470" r:id="rId447"/>
    <hyperlink xmlns:r="http://schemas.openxmlformats.org/officeDocument/2006/relationships" ref="F471" r:id="rId448"/>
    <hyperlink xmlns:r="http://schemas.openxmlformats.org/officeDocument/2006/relationships" ref="F472" r:id="rId449"/>
    <hyperlink xmlns:r="http://schemas.openxmlformats.org/officeDocument/2006/relationships" ref="F473" r:id="rId450"/>
    <hyperlink xmlns:r="http://schemas.openxmlformats.org/officeDocument/2006/relationships" ref="F474" r:id="rId451"/>
    <hyperlink xmlns:r="http://schemas.openxmlformats.org/officeDocument/2006/relationships" ref="F475" r:id="rId452"/>
    <hyperlink xmlns:r="http://schemas.openxmlformats.org/officeDocument/2006/relationships" ref="F476" r:id="rId453"/>
    <hyperlink xmlns:r="http://schemas.openxmlformats.org/officeDocument/2006/relationships" ref="F477" r:id="rId454"/>
    <hyperlink xmlns:r="http://schemas.openxmlformats.org/officeDocument/2006/relationships" ref="F478" r:id="rId455"/>
    <hyperlink xmlns:r="http://schemas.openxmlformats.org/officeDocument/2006/relationships" ref="F479" r:id="rId456"/>
    <hyperlink xmlns:r="http://schemas.openxmlformats.org/officeDocument/2006/relationships" ref="F480" r:id="rId457"/>
    <hyperlink xmlns:r="http://schemas.openxmlformats.org/officeDocument/2006/relationships" ref="F481" r:id="rId458"/>
    <hyperlink xmlns:r="http://schemas.openxmlformats.org/officeDocument/2006/relationships" ref="F482" r:id="rId459"/>
    <hyperlink xmlns:r="http://schemas.openxmlformats.org/officeDocument/2006/relationships" ref="F483" r:id="rId460"/>
    <hyperlink xmlns:r="http://schemas.openxmlformats.org/officeDocument/2006/relationships" ref="F484" r:id="rId461"/>
    <hyperlink xmlns:r="http://schemas.openxmlformats.org/officeDocument/2006/relationships" ref="F485" r:id="rId462"/>
    <hyperlink xmlns:r="http://schemas.openxmlformats.org/officeDocument/2006/relationships" ref="F486" r:id="rId463"/>
    <hyperlink xmlns:r="http://schemas.openxmlformats.org/officeDocument/2006/relationships" ref="F487" r:id="rId464"/>
    <hyperlink xmlns:r="http://schemas.openxmlformats.org/officeDocument/2006/relationships" ref="F488" r:id="rId465"/>
    <hyperlink xmlns:r="http://schemas.openxmlformats.org/officeDocument/2006/relationships" ref="F489" r:id="rId466"/>
    <hyperlink xmlns:r="http://schemas.openxmlformats.org/officeDocument/2006/relationships" ref="F490" r:id="rId467"/>
    <hyperlink xmlns:r="http://schemas.openxmlformats.org/officeDocument/2006/relationships" ref="F491" r:id="rId468"/>
    <hyperlink xmlns:r="http://schemas.openxmlformats.org/officeDocument/2006/relationships" ref="F492" r:id="rId469"/>
    <hyperlink xmlns:r="http://schemas.openxmlformats.org/officeDocument/2006/relationships" ref="F493" r:id="rId470"/>
    <hyperlink xmlns:r="http://schemas.openxmlformats.org/officeDocument/2006/relationships" ref="F494" r:id="rId471"/>
    <hyperlink xmlns:r="http://schemas.openxmlformats.org/officeDocument/2006/relationships" ref="F495" r:id="rId472"/>
    <hyperlink xmlns:r="http://schemas.openxmlformats.org/officeDocument/2006/relationships" ref="F496" r:id="rId473"/>
    <hyperlink xmlns:r="http://schemas.openxmlformats.org/officeDocument/2006/relationships" ref="F497" r:id="rId474"/>
    <hyperlink xmlns:r="http://schemas.openxmlformats.org/officeDocument/2006/relationships" ref="F498" r:id="rId475"/>
    <hyperlink xmlns:r="http://schemas.openxmlformats.org/officeDocument/2006/relationships" ref="F499" r:id="rId476"/>
    <hyperlink xmlns:r="http://schemas.openxmlformats.org/officeDocument/2006/relationships" ref="F500" r:id="rId477"/>
    <hyperlink xmlns:r="http://schemas.openxmlformats.org/officeDocument/2006/relationships" ref="F501" r:id="rId478"/>
    <hyperlink xmlns:r="http://schemas.openxmlformats.org/officeDocument/2006/relationships" ref="F502" r:id="rId479"/>
    <hyperlink xmlns:r="http://schemas.openxmlformats.org/officeDocument/2006/relationships" ref="F503" r:id="rId480"/>
    <hyperlink xmlns:r="http://schemas.openxmlformats.org/officeDocument/2006/relationships" ref="F504" r:id="rId481"/>
    <hyperlink xmlns:r="http://schemas.openxmlformats.org/officeDocument/2006/relationships" ref="F505" r:id="rId482"/>
    <hyperlink xmlns:r="http://schemas.openxmlformats.org/officeDocument/2006/relationships" ref="F506" r:id="rId483"/>
    <hyperlink xmlns:r="http://schemas.openxmlformats.org/officeDocument/2006/relationships" ref="F507" r:id="rId484"/>
    <hyperlink xmlns:r="http://schemas.openxmlformats.org/officeDocument/2006/relationships" ref="F508" r:id="rId485"/>
    <hyperlink xmlns:r="http://schemas.openxmlformats.org/officeDocument/2006/relationships" ref="F509" r:id="rId486"/>
    <hyperlink xmlns:r="http://schemas.openxmlformats.org/officeDocument/2006/relationships" ref="F510" r:id="rId487"/>
    <hyperlink xmlns:r="http://schemas.openxmlformats.org/officeDocument/2006/relationships" ref="F511" r:id="rId488"/>
    <hyperlink xmlns:r="http://schemas.openxmlformats.org/officeDocument/2006/relationships" ref="F512" r:id="rId489"/>
    <hyperlink xmlns:r="http://schemas.openxmlformats.org/officeDocument/2006/relationships" ref="F513" r:id="rId490"/>
    <hyperlink xmlns:r="http://schemas.openxmlformats.org/officeDocument/2006/relationships" ref="F514" r:id="rId491"/>
    <hyperlink xmlns:r="http://schemas.openxmlformats.org/officeDocument/2006/relationships" ref="F515" r:id="rId492"/>
    <hyperlink xmlns:r="http://schemas.openxmlformats.org/officeDocument/2006/relationships" ref="F516" r:id="rId493"/>
    <hyperlink xmlns:r="http://schemas.openxmlformats.org/officeDocument/2006/relationships" ref="F517" r:id="rId494"/>
    <hyperlink xmlns:r="http://schemas.openxmlformats.org/officeDocument/2006/relationships" ref="F518" r:id="rId495"/>
    <hyperlink xmlns:r="http://schemas.openxmlformats.org/officeDocument/2006/relationships" ref="F519" r:id="rId496"/>
    <hyperlink xmlns:r="http://schemas.openxmlformats.org/officeDocument/2006/relationships" ref="F520" r:id="rId497"/>
    <hyperlink xmlns:r="http://schemas.openxmlformats.org/officeDocument/2006/relationships" ref="F521" r:id="rId498"/>
    <hyperlink xmlns:r="http://schemas.openxmlformats.org/officeDocument/2006/relationships" ref="F522" r:id="rId499"/>
    <hyperlink xmlns:r="http://schemas.openxmlformats.org/officeDocument/2006/relationships" ref="F523" r:id="rId500"/>
    <hyperlink xmlns:r="http://schemas.openxmlformats.org/officeDocument/2006/relationships" ref="F524" r:id="rId501"/>
    <hyperlink xmlns:r="http://schemas.openxmlformats.org/officeDocument/2006/relationships" ref="F525" r:id="rId502"/>
    <hyperlink xmlns:r="http://schemas.openxmlformats.org/officeDocument/2006/relationships" ref="F526" r:id="rId503"/>
    <hyperlink xmlns:r="http://schemas.openxmlformats.org/officeDocument/2006/relationships" ref="F527" r:id="rId504"/>
    <hyperlink xmlns:r="http://schemas.openxmlformats.org/officeDocument/2006/relationships" ref="F528" r:id="rId505"/>
    <hyperlink xmlns:r="http://schemas.openxmlformats.org/officeDocument/2006/relationships" ref="F529" r:id="rId506"/>
    <hyperlink xmlns:r="http://schemas.openxmlformats.org/officeDocument/2006/relationships" ref="F530" r:id="rId507"/>
    <hyperlink xmlns:r="http://schemas.openxmlformats.org/officeDocument/2006/relationships" ref="F531" r:id="rId508"/>
    <hyperlink xmlns:r="http://schemas.openxmlformats.org/officeDocument/2006/relationships" ref="F532" r:id="rId509"/>
    <hyperlink xmlns:r="http://schemas.openxmlformats.org/officeDocument/2006/relationships" ref="F533" r:id="rId510"/>
    <hyperlink xmlns:r="http://schemas.openxmlformats.org/officeDocument/2006/relationships" ref="F534" r:id="rId511"/>
    <hyperlink xmlns:r="http://schemas.openxmlformats.org/officeDocument/2006/relationships" ref="F535" r:id="rId512"/>
    <hyperlink xmlns:r="http://schemas.openxmlformats.org/officeDocument/2006/relationships" ref="F536" r:id="rId513"/>
    <hyperlink xmlns:r="http://schemas.openxmlformats.org/officeDocument/2006/relationships" ref="F537" r:id="rId514"/>
    <hyperlink xmlns:r="http://schemas.openxmlformats.org/officeDocument/2006/relationships" ref="F538" r:id="rId515"/>
    <hyperlink xmlns:r="http://schemas.openxmlformats.org/officeDocument/2006/relationships" ref="F539" r:id="rId516"/>
    <hyperlink xmlns:r="http://schemas.openxmlformats.org/officeDocument/2006/relationships" ref="F540" r:id="rId517"/>
    <hyperlink xmlns:r="http://schemas.openxmlformats.org/officeDocument/2006/relationships" ref="F541" r:id="rId518"/>
    <hyperlink xmlns:r="http://schemas.openxmlformats.org/officeDocument/2006/relationships" ref="F542" r:id="rId519"/>
    <hyperlink xmlns:r="http://schemas.openxmlformats.org/officeDocument/2006/relationships" ref="F543" r:id="rId520"/>
    <hyperlink xmlns:r="http://schemas.openxmlformats.org/officeDocument/2006/relationships" ref="F544" r:id="rId521"/>
    <hyperlink xmlns:r="http://schemas.openxmlformats.org/officeDocument/2006/relationships" ref="F545" r:id="rId522"/>
    <hyperlink xmlns:r="http://schemas.openxmlformats.org/officeDocument/2006/relationships" ref="F546" r:id="rId523"/>
    <hyperlink xmlns:r="http://schemas.openxmlformats.org/officeDocument/2006/relationships" ref="F547" r:id="rId524"/>
    <hyperlink xmlns:r="http://schemas.openxmlformats.org/officeDocument/2006/relationships" ref="F548" r:id="rId525"/>
    <hyperlink xmlns:r="http://schemas.openxmlformats.org/officeDocument/2006/relationships" ref="F549" r:id="rId526"/>
    <hyperlink xmlns:r="http://schemas.openxmlformats.org/officeDocument/2006/relationships" ref="F550" r:id="rId527"/>
    <hyperlink xmlns:r="http://schemas.openxmlformats.org/officeDocument/2006/relationships" ref="F551" r:id="rId528"/>
    <hyperlink xmlns:r="http://schemas.openxmlformats.org/officeDocument/2006/relationships" ref="F552" r:id="rId529"/>
    <hyperlink xmlns:r="http://schemas.openxmlformats.org/officeDocument/2006/relationships" ref="F553" r:id="rId530"/>
    <hyperlink xmlns:r="http://schemas.openxmlformats.org/officeDocument/2006/relationships" ref="F554" r:id="rId531"/>
    <hyperlink xmlns:r="http://schemas.openxmlformats.org/officeDocument/2006/relationships" ref="F555" r:id="rId532"/>
    <hyperlink xmlns:r="http://schemas.openxmlformats.org/officeDocument/2006/relationships" ref="F556" r:id="rId533"/>
    <hyperlink xmlns:r="http://schemas.openxmlformats.org/officeDocument/2006/relationships" ref="F557" r:id="rId534"/>
    <hyperlink xmlns:r="http://schemas.openxmlformats.org/officeDocument/2006/relationships" ref="F558" r:id="rId535"/>
    <hyperlink xmlns:r="http://schemas.openxmlformats.org/officeDocument/2006/relationships" ref="F559" r:id="rId536"/>
    <hyperlink xmlns:r="http://schemas.openxmlformats.org/officeDocument/2006/relationships" ref="F560" r:id="rId537"/>
    <hyperlink xmlns:r="http://schemas.openxmlformats.org/officeDocument/2006/relationships" ref="F561" r:id="rId538"/>
    <hyperlink xmlns:r="http://schemas.openxmlformats.org/officeDocument/2006/relationships" ref="F562" r:id="rId539"/>
    <hyperlink xmlns:r="http://schemas.openxmlformats.org/officeDocument/2006/relationships" ref="F563" r:id="rId540"/>
    <hyperlink xmlns:r="http://schemas.openxmlformats.org/officeDocument/2006/relationships" ref="F564" r:id="rId541"/>
    <hyperlink xmlns:r="http://schemas.openxmlformats.org/officeDocument/2006/relationships" ref="F565" r:id="rId542"/>
    <hyperlink xmlns:r="http://schemas.openxmlformats.org/officeDocument/2006/relationships" ref="F566" r:id="rId543"/>
    <hyperlink xmlns:r="http://schemas.openxmlformats.org/officeDocument/2006/relationships" ref="F567" r:id="rId544"/>
    <hyperlink xmlns:r="http://schemas.openxmlformats.org/officeDocument/2006/relationships" ref="F568" r:id="rId545"/>
    <hyperlink xmlns:r="http://schemas.openxmlformats.org/officeDocument/2006/relationships" ref="F569" r:id="rId546"/>
    <hyperlink xmlns:r="http://schemas.openxmlformats.org/officeDocument/2006/relationships" ref="F570" r:id="rId547"/>
    <hyperlink xmlns:r="http://schemas.openxmlformats.org/officeDocument/2006/relationships" ref="F571" r:id="rId548"/>
    <hyperlink xmlns:r="http://schemas.openxmlformats.org/officeDocument/2006/relationships" ref="F572" r:id="rId549"/>
    <hyperlink xmlns:r="http://schemas.openxmlformats.org/officeDocument/2006/relationships" ref="F573" r:id="rId550"/>
    <hyperlink xmlns:r="http://schemas.openxmlformats.org/officeDocument/2006/relationships" ref="F574" r:id="rId551"/>
    <hyperlink xmlns:r="http://schemas.openxmlformats.org/officeDocument/2006/relationships" ref="F575" r:id="rId552"/>
    <hyperlink xmlns:r="http://schemas.openxmlformats.org/officeDocument/2006/relationships" ref="F576" r:id="rId553"/>
    <hyperlink xmlns:r="http://schemas.openxmlformats.org/officeDocument/2006/relationships" ref="F577" r:id="rId554"/>
    <hyperlink xmlns:r="http://schemas.openxmlformats.org/officeDocument/2006/relationships" ref="F578" r:id="rId555"/>
    <hyperlink xmlns:r="http://schemas.openxmlformats.org/officeDocument/2006/relationships" ref="F579" r:id="rId556"/>
    <hyperlink xmlns:r="http://schemas.openxmlformats.org/officeDocument/2006/relationships" ref="F580" r:id="rId557"/>
    <hyperlink xmlns:r="http://schemas.openxmlformats.org/officeDocument/2006/relationships" ref="F581" r:id="rId558"/>
    <hyperlink xmlns:r="http://schemas.openxmlformats.org/officeDocument/2006/relationships" ref="F582" r:id="rId559"/>
    <hyperlink xmlns:r="http://schemas.openxmlformats.org/officeDocument/2006/relationships" ref="F583" r:id="rId560"/>
    <hyperlink xmlns:r="http://schemas.openxmlformats.org/officeDocument/2006/relationships" ref="F584" r:id="rId561"/>
    <hyperlink xmlns:r="http://schemas.openxmlformats.org/officeDocument/2006/relationships" ref="F585" r:id="rId562"/>
    <hyperlink xmlns:r="http://schemas.openxmlformats.org/officeDocument/2006/relationships" ref="F586" r:id="rId563"/>
    <hyperlink xmlns:r="http://schemas.openxmlformats.org/officeDocument/2006/relationships" ref="F587" r:id="rId564"/>
    <hyperlink xmlns:r="http://schemas.openxmlformats.org/officeDocument/2006/relationships" ref="F588" r:id="rId565"/>
    <hyperlink xmlns:r="http://schemas.openxmlformats.org/officeDocument/2006/relationships" ref="F589" r:id="rId566"/>
    <hyperlink xmlns:r="http://schemas.openxmlformats.org/officeDocument/2006/relationships" ref="F590" r:id="rId567"/>
    <hyperlink xmlns:r="http://schemas.openxmlformats.org/officeDocument/2006/relationships" ref="F591" r:id="rId568"/>
    <hyperlink xmlns:r="http://schemas.openxmlformats.org/officeDocument/2006/relationships" ref="F592" r:id="rId569"/>
    <hyperlink xmlns:r="http://schemas.openxmlformats.org/officeDocument/2006/relationships" ref="F593" r:id="rId570"/>
    <hyperlink xmlns:r="http://schemas.openxmlformats.org/officeDocument/2006/relationships" ref="F594" r:id="rId571"/>
    <hyperlink xmlns:r="http://schemas.openxmlformats.org/officeDocument/2006/relationships" ref="F595" r:id="rId572"/>
    <hyperlink xmlns:r="http://schemas.openxmlformats.org/officeDocument/2006/relationships" ref="F596" r:id="rId573"/>
    <hyperlink xmlns:r="http://schemas.openxmlformats.org/officeDocument/2006/relationships" ref="F597" r:id="rId574"/>
    <hyperlink xmlns:r="http://schemas.openxmlformats.org/officeDocument/2006/relationships" ref="F598" r:id="rId575"/>
    <hyperlink xmlns:r="http://schemas.openxmlformats.org/officeDocument/2006/relationships" ref="F599" r:id="rId576"/>
    <hyperlink xmlns:r="http://schemas.openxmlformats.org/officeDocument/2006/relationships" ref="F600" r:id="rId577"/>
    <hyperlink xmlns:r="http://schemas.openxmlformats.org/officeDocument/2006/relationships" ref="F601" r:id="rId578"/>
    <hyperlink xmlns:r="http://schemas.openxmlformats.org/officeDocument/2006/relationships" ref="F602" r:id="rId579"/>
    <hyperlink xmlns:r="http://schemas.openxmlformats.org/officeDocument/2006/relationships" ref="F603" r:id="rId580"/>
    <hyperlink xmlns:r="http://schemas.openxmlformats.org/officeDocument/2006/relationships" ref="F604" r:id="rId581"/>
    <hyperlink xmlns:r="http://schemas.openxmlformats.org/officeDocument/2006/relationships" ref="F605" r:id="rId582"/>
    <hyperlink xmlns:r="http://schemas.openxmlformats.org/officeDocument/2006/relationships" ref="F606" r:id="rId583"/>
    <hyperlink xmlns:r="http://schemas.openxmlformats.org/officeDocument/2006/relationships" ref="F607" r:id="rId584"/>
    <hyperlink xmlns:r="http://schemas.openxmlformats.org/officeDocument/2006/relationships" ref="F608" r:id="rId585"/>
    <hyperlink xmlns:r="http://schemas.openxmlformats.org/officeDocument/2006/relationships" ref="F609" r:id="rId586"/>
    <hyperlink xmlns:r="http://schemas.openxmlformats.org/officeDocument/2006/relationships" ref="F610" r:id="rId587"/>
    <hyperlink xmlns:r="http://schemas.openxmlformats.org/officeDocument/2006/relationships" ref="F611" r:id="rId588"/>
    <hyperlink xmlns:r="http://schemas.openxmlformats.org/officeDocument/2006/relationships" ref="F612" r:id="rId589"/>
    <hyperlink xmlns:r="http://schemas.openxmlformats.org/officeDocument/2006/relationships" ref="F613" r:id="rId590"/>
    <hyperlink xmlns:r="http://schemas.openxmlformats.org/officeDocument/2006/relationships" ref="F614" r:id="rId591"/>
    <hyperlink xmlns:r="http://schemas.openxmlformats.org/officeDocument/2006/relationships" ref="F615" r:id="rId592"/>
    <hyperlink xmlns:r="http://schemas.openxmlformats.org/officeDocument/2006/relationships" ref="F616" r:id="rId593"/>
    <hyperlink xmlns:r="http://schemas.openxmlformats.org/officeDocument/2006/relationships" ref="F617" r:id="rId594"/>
    <hyperlink xmlns:r="http://schemas.openxmlformats.org/officeDocument/2006/relationships" ref="F618" r:id="rId595"/>
    <hyperlink xmlns:r="http://schemas.openxmlformats.org/officeDocument/2006/relationships" ref="F619" r:id="rId596"/>
    <hyperlink xmlns:r="http://schemas.openxmlformats.org/officeDocument/2006/relationships" ref="F620" r:id="rId597"/>
    <hyperlink xmlns:r="http://schemas.openxmlformats.org/officeDocument/2006/relationships" ref="F621" r:id="rId598"/>
    <hyperlink xmlns:r="http://schemas.openxmlformats.org/officeDocument/2006/relationships" ref="F622" r:id="rId599"/>
    <hyperlink xmlns:r="http://schemas.openxmlformats.org/officeDocument/2006/relationships" ref="F623" r:id="rId600"/>
    <hyperlink xmlns:r="http://schemas.openxmlformats.org/officeDocument/2006/relationships" ref="F624" r:id="rId601"/>
    <hyperlink xmlns:r="http://schemas.openxmlformats.org/officeDocument/2006/relationships" ref="F625" r:id="rId602"/>
    <hyperlink xmlns:r="http://schemas.openxmlformats.org/officeDocument/2006/relationships" ref="F626" r:id="rId603"/>
    <hyperlink xmlns:r="http://schemas.openxmlformats.org/officeDocument/2006/relationships" ref="F627" r:id="rId604"/>
    <hyperlink xmlns:r="http://schemas.openxmlformats.org/officeDocument/2006/relationships" ref="F628" r:id="rId605"/>
    <hyperlink xmlns:r="http://schemas.openxmlformats.org/officeDocument/2006/relationships" ref="F629" r:id="rId606"/>
    <hyperlink xmlns:r="http://schemas.openxmlformats.org/officeDocument/2006/relationships" ref="F630" r:id="rId607"/>
    <hyperlink xmlns:r="http://schemas.openxmlformats.org/officeDocument/2006/relationships" ref="F631" r:id="rId608"/>
    <hyperlink xmlns:r="http://schemas.openxmlformats.org/officeDocument/2006/relationships" ref="F632" r:id="rId609"/>
    <hyperlink xmlns:r="http://schemas.openxmlformats.org/officeDocument/2006/relationships" ref="F633" r:id="rId610"/>
    <hyperlink xmlns:r="http://schemas.openxmlformats.org/officeDocument/2006/relationships" ref="F634" r:id="rId611"/>
    <hyperlink xmlns:r="http://schemas.openxmlformats.org/officeDocument/2006/relationships" ref="F635" r:id="rId612"/>
    <hyperlink xmlns:r="http://schemas.openxmlformats.org/officeDocument/2006/relationships" ref="F636" r:id="rId613"/>
    <hyperlink xmlns:r="http://schemas.openxmlformats.org/officeDocument/2006/relationships" ref="F637" r:id="rId614"/>
    <hyperlink xmlns:r="http://schemas.openxmlformats.org/officeDocument/2006/relationships" ref="F638" r:id="rId615"/>
    <hyperlink xmlns:r="http://schemas.openxmlformats.org/officeDocument/2006/relationships" ref="F639" r:id="rId616"/>
    <hyperlink xmlns:r="http://schemas.openxmlformats.org/officeDocument/2006/relationships" ref="F640" r:id="rId617"/>
    <hyperlink xmlns:r="http://schemas.openxmlformats.org/officeDocument/2006/relationships" ref="F641" r:id="rId618"/>
    <hyperlink xmlns:r="http://schemas.openxmlformats.org/officeDocument/2006/relationships" ref="F642" r:id="rId619"/>
    <hyperlink xmlns:r="http://schemas.openxmlformats.org/officeDocument/2006/relationships" ref="F643" r:id="rId620"/>
    <hyperlink xmlns:r="http://schemas.openxmlformats.org/officeDocument/2006/relationships" ref="F644" r:id="rId621"/>
    <hyperlink xmlns:r="http://schemas.openxmlformats.org/officeDocument/2006/relationships" ref="F645" r:id="rId622"/>
    <hyperlink xmlns:r="http://schemas.openxmlformats.org/officeDocument/2006/relationships" ref="F646" r:id="rId623"/>
    <hyperlink xmlns:r="http://schemas.openxmlformats.org/officeDocument/2006/relationships" ref="F647" r:id="rId624"/>
    <hyperlink xmlns:r="http://schemas.openxmlformats.org/officeDocument/2006/relationships" ref="F648" r:id="rId625"/>
    <hyperlink xmlns:r="http://schemas.openxmlformats.org/officeDocument/2006/relationships" ref="F649" r:id="rId626"/>
    <hyperlink xmlns:r="http://schemas.openxmlformats.org/officeDocument/2006/relationships" ref="F650" r:id="rId627"/>
    <hyperlink xmlns:r="http://schemas.openxmlformats.org/officeDocument/2006/relationships" ref="F651" r:id="rId628"/>
    <hyperlink xmlns:r="http://schemas.openxmlformats.org/officeDocument/2006/relationships" ref="F652" r:id="rId629"/>
    <hyperlink xmlns:r="http://schemas.openxmlformats.org/officeDocument/2006/relationships" ref="F653" r:id="rId630"/>
    <hyperlink xmlns:r="http://schemas.openxmlformats.org/officeDocument/2006/relationships" ref="F654" r:id="rId631"/>
    <hyperlink xmlns:r="http://schemas.openxmlformats.org/officeDocument/2006/relationships" ref="F655" r:id="rId632"/>
    <hyperlink xmlns:r="http://schemas.openxmlformats.org/officeDocument/2006/relationships" ref="F656" r:id="rId633"/>
    <hyperlink xmlns:r="http://schemas.openxmlformats.org/officeDocument/2006/relationships" ref="F657" r:id="rId634"/>
    <hyperlink xmlns:r="http://schemas.openxmlformats.org/officeDocument/2006/relationships" ref="F658" r:id="rId635"/>
    <hyperlink xmlns:r="http://schemas.openxmlformats.org/officeDocument/2006/relationships" ref="F659" r:id="rId636"/>
    <hyperlink xmlns:r="http://schemas.openxmlformats.org/officeDocument/2006/relationships" ref="F660" r:id="rId637"/>
    <hyperlink xmlns:r="http://schemas.openxmlformats.org/officeDocument/2006/relationships" ref="F661" r:id="rId638"/>
    <hyperlink xmlns:r="http://schemas.openxmlformats.org/officeDocument/2006/relationships" ref="F662" r:id="rId639"/>
    <hyperlink xmlns:r="http://schemas.openxmlformats.org/officeDocument/2006/relationships" ref="F663" r:id="rId640"/>
    <hyperlink xmlns:r="http://schemas.openxmlformats.org/officeDocument/2006/relationships" ref="F664" r:id="rId641"/>
    <hyperlink xmlns:r="http://schemas.openxmlformats.org/officeDocument/2006/relationships" ref="F665" r:id="rId642"/>
    <hyperlink xmlns:r="http://schemas.openxmlformats.org/officeDocument/2006/relationships" ref="F666" r:id="rId643"/>
    <hyperlink xmlns:r="http://schemas.openxmlformats.org/officeDocument/2006/relationships" ref="F667" r:id="rId644"/>
    <hyperlink xmlns:r="http://schemas.openxmlformats.org/officeDocument/2006/relationships" ref="F668" r:id="rId645"/>
    <hyperlink xmlns:r="http://schemas.openxmlformats.org/officeDocument/2006/relationships" ref="F669" r:id="rId646"/>
    <hyperlink xmlns:r="http://schemas.openxmlformats.org/officeDocument/2006/relationships" ref="F670" r:id="rId647"/>
    <hyperlink xmlns:r="http://schemas.openxmlformats.org/officeDocument/2006/relationships" ref="F671" r:id="rId648"/>
    <hyperlink xmlns:r="http://schemas.openxmlformats.org/officeDocument/2006/relationships" ref="F672" r:id="rId649"/>
    <hyperlink xmlns:r="http://schemas.openxmlformats.org/officeDocument/2006/relationships" ref="F673" r:id="rId650"/>
    <hyperlink xmlns:r="http://schemas.openxmlformats.org/officeDocument/2006/relationships" ref="F674" r:id="rId651"/>
    <hyperlink xmlns:r="http://schemas.openxmlformats.org/officeDocument/2006/relationships" ref="F675" r:id="rId652"/>
    <hyperlink xmlns:r="http://schemas.openxmlformats.org/officeDocument/2006/relationships" ref="F676" r:id="rId653"/>
    <hyperlink xmlns:r="http://schemas.openxmlformats.org/officeDocument/2006/relationships" ref="F677" r:id="rId654"/>
    <hyperlink xmlns:r="http://schemas.openxmlformats.org/officeDocument/2006/relationships" ref="F678" r:id="rId655"/>
    <hyperlink xmlns:r="http://schemas.openxmlformats.org/officeDocument/2006/relationships" ref="F679" r:id="rId656"/>
    <hyperlink xmlns:r="http://schemas.openxmlformats.org/officeDocument/2006/relationships" ref="F680" r:id="rId657"/>
    <hyperlink xmlns:r="http://schemas.openxmlformats.org/officeDocument/2006/relationships" ref="F681" r:id="rId658"/>
    <hyperlink xmlns:r="http://schemas.openxmlformats.org/officeDocument/2006/relationships" ref="F682" r:id="rId659"/>
    <hyperlink xmlns:r="http://schemas.openxmlformats.org/officeDocument/2006/relationships" ref="F683" r:id="rId660"/>
    <hyperlink xmlns:r="http://schemas.openxmlformats.org/officeDocument/2006/relationships" ref="F684" r:id="rId661"/>
    <hyperlink xmlns:r="http://schemas.openxmlformats.org/officeDocument/2006/relationships" ref="F685" r:id="rId662"/>
    <hyperlink xmlns:r="http://schemas.openxmlformats.org/officeDocument/2006/relationships" ref="F686" r:id="rId663"/>
    <hyperlink xmlns:r="http://schemas.openxmlformats.org/officeDocument/2006/relationships" ref="F687" r:id="rId664"/>
    <hyperlink xmlns:r="http://schemas.openxmlformats.org/officeDocument/2006/relationships" ref="F688" r:id="rId665"/>
    <hyperlink xmlns:r="http://schemas.openxmlformats.org/officeDocument/2006/relationships" ref="F689" r:id="rId666"/>
    <hyperlink xmlns:r="http://schemas.openxmlformats.org/officeDocument/2006/relationships" ref="F690" r:id="rId667"/>
    <hyperlink xmlns:r="http://schemas.openxmlformats.org/officeDocument/2006/relationships" ref="F691" r:id="rId668"/>
    <hyperlink xmlns:r="http://schemas.openxmlformats.org/officeDocument/2006/relationships" ref="F692" r:id="rId669"/>
    <hyperlink xmlns:r="http://schemas.openxmlformats.org/officeDocument/2006/relationships" ref="F693" r:id="rId670"/>
    <hyperlink xmlns:r="http://schemas.openxmlformats.org/officeDocument/2006/relationships" ref="F694" r:id="rId671"/>
    <hyperlink xmlns:r="http://schemas.openxmlformats.org/officeDocument/2006/relationships" ref="F695" r:id="rId672"/>
    <hyperlink xmlns:r="http://schemas.openxmlformats.org/officeDocument/2006/relationships" ref="F696" r:id="rId673"/>
    <hyperlink xmlns:r="http://schemas.openxmlformats.org/officeDocument/2006/relationships" ref="F697" r:id="rId674"/>
    <hyperlink xmlns:r="http://schemas.openxmlformats.org/officeDocument/2006/relationships" ref="F698" r:id="rId675"/>
    <hyperlink xmlns:r="http://schemas.openxmlformats.org/officeDocument/2006/relationships" ref="F699" r:id="rId676"/>
    <hyperlink xmlns:r="http://schemas.openxmlformats.org/officeDocument/2006/relationships" ref="F700" r:id="rId677"/>
    <hyperlink xmlns:r="http://schemas.openxmlformats.org/officeDocument/2006/relationships" ref="F701" r:id="rId678"/>
    <hyperlink xmlns:r="http://schemas.openxmlformats.org/officeDocument/2006/relationships" ref="F702" r:id="rId679"/>
    <hyperlink xmlns:r="http://schemas.openxmlformats.org/officeDocument/2006/relationships" ref="F703" r:id="rId680"/>
    <hyperlink xmlns:r="http://schemas.openxmlformats.org/officeDocument/2006/relationships" ref="F704" r:id="rId681"/>
    <hyperlink xmlns:r="http://schemas.openxmlformats.org/officeDocument/2006/relationships" ref="F705" r:id="rId682"/>
    <hyperlink xmlns:r="http://schemas.openxmlformats.org/officeDocument/2006/relationships" ref="F706" r:id="rId683"/>
    <hyperlink xmlns:r="http://schemas.openxmlformats.org/officeDocument/2006/relationships" ref="F707" r:id="rId684"/>
    <hyperlink xmlns:r="http://schemas.openxmlformats.org/officeDocument/2006/relationships" ref="F708" r:id="rId685"/>
    <hyperlink xmlns:r="http://schemas.openxmlformats.org/officeDocument/2006/relationships" ref="F709" r:id="rId686"/>
    <hyperlink xmlns:r="http://schemas.openxmlformats.org/officeDocument/2006/relationships" ref="F710" r:id="rId687"/>
    <hyperlink xmlns:r="http://schemas.openxmlformats.org/officeDocument/2006/relationships" ref="F711" r:id="rId688"/>
    <hyperlink xmlns:r="http://schemas.openxmlformats.org/officeDocument/2006/relationships" ref="F712" r:id="rId689"/>
    <hyperlink xmlns:r="http://schemas.openxmlformats.org/officeDocument/2006/relationships" ref="F713" r:id="rId690"/>
    <hyperlink xmlns:r="http://schemas.openxmlformats.org/officeDocument/2006/relationships" ref="F714" r:id="rId691"/>
    <hyperlink xmlns:r="http://schemas.openxmlformats.org/officeDocument/2006/relationships" ref="F715" r:id="rId692"/>
    <hyperlink xmlns:r="http://schemas.openxmlformats.org/officeDocument/2006/relationships" ref="F716" r:id="rId693"/>
    <hyperlink xmlns:r="http://schemas.openxmlformats.org/officeDocument/2006/relationships" ref="F717" r:id="rId694"/>
    <hyperlink xmlns:r="http://schemas.openxmlformats.org/officeDocument/2006/relationships" ref="F718" r:id="rId695"/>
    <hyperlink xmlns:r="http://schemas.openxmlformats.org/officeDocument/2006/relationships" ref="F719" r:id="rId696"/>
    <hyperlink xmlns:r="http://schemas.openxmlformats.org/officeDocument/2006/relationships" ref="F720" r:id="rId697"/>
    <hyperlink xmlns:r="http://schemas.openxmlformats.org/officeDocument/2006/relationships" ref="F721" r:id="rId698"/>
    <hyperlink xmlns:r="http://schemas.openxmlformats.org/officeDocument/2006/relationships" ref="F722" r:id="rId699"/>
    <hyperlink xmlns:r="http://schemas.openxmlformats.org/officeDocument/2006/relationships" ref="F723" r:id="rId700"/>
    <hyperlink xmlns:r="http://schemas.openxmlformats.org/officeDocument/2006/relationships" ref="F724" r:id="rId701"/>
    <hyperlink xmlns:r="http://schemas.openxmlformats.org/officeDocument/2006/relationships" ref="F725" r:id="rId702"/>
    <hyperlink xmlns:r="http://schemas.openxmlformats.org/officeDocument/2006/relationships" ref="F726" r:id="rId703"/>
    <hyperlink xmlns:r="http://schemas.openxmlformats.org/officeDocument/2006/relationships" ref="F727" r:id="rId704"/>
    <hyperlink xmlns:r="http://schemas.openxmlformats.org/officeDocument/2006/relationships" ref="F728" r:id="rId705"/>
    <hyperlink xmlns:r="http://schemas.openxmlformats.org/officeDocument/2006/relationships" ref="F729" r:id="rId706"/>
    <hyperlink xmlns:r="http://schemas.openxmlformats.org/officeDocument/2006/relationships" ref="F730" r:id="rId707"/>
    <hyperlink xmlns:r="http://schemas.openxmlformats.org/officeDocument/2006/relationships" ref="F731" r:id="rId708"/>
    <hyperlink xmlns:r="http://schemas.openxmlformats.org/officeDocument/2006/relationships" ref="F732" r:id="rId709"/>
    <hyperlink xmlns:r="http://schemas.openxmlformats.org/officeDocument/2006/relationships" ref="F733" r:id="rId710"/>
    <hyperlink xmlns:r="http://schemas.openxmlformats.org/officeDocument/2006/relationships" ref="F734" r:id="rId711"/>
    <hyperlink xmlns:r="http://schemas.openxmlformats.org/officeDocument/2006/relationships" ref="F735" r:id="rId712"/>
    <hyperlink xmlns:r="http://schemas.openxmlformats.org/officeDocument/2006/relationships" ref="F736" r:id="rId713"/>
    <hyperlink xmlns:r="http://schemas.openxmlformats.org/officeDocument/2006/relationships" ref="F737" r:id="rId714"/>
    <hyperlink xmlns:r="http://schemas.openxmlformats.org/officeDocument/2006/relationships" ref="F738" r:id="rId715"/>
    <hyperlink xmlns:r="http://schemas.openxmlformats.org/officeDocument/2006/relationships" ref="F739" r:id="rId716"/>
    <hyperlink xmlns:r="http://schemas.openxmlformats.org/officeDocument/2006/relationships" ref="F740" r:id="rId717"/>
    <hyperlink xmlns:r="http://schemas.openxmlformats.org/officeDocument/2006/relationships" ref="F741" r:id="rId718"/>
    <hyperlink xmlns:r="http://schemas.openxmlformats.org/officeDocument/2006/relationships" ref="F742" r:id="rId719"/>
    <hyperlink xmlns:r="http://schemas.openxmlformats.org/officeDocument/2006/relationships" ref="F743" r:id="rId720"/>
    <hyperlink xmlns:r="http://schemas.openxmlformats.org/officeDocument/2006/relationships" ref="F744" r:id="rId721"/>
    <hyperlink xmlns:r="http://schemas.openxmlformats.org/officeDocument/2006/relationships" ref="F745" r:id="rId722"/>
    <hyperlink xmlns:r="http://schemas.openxmlformats.org/officeDocument/2006/relationships" ref="F746" r:id="rId723"/>
    <hyperlink xmlns:r="http://schemas.openxmlformats.org/officeDocument/2006/relationships" ref="F747" r:id="rId724"/>
    <hyperlink xmlns:r="http://schemas.openxmlformats.org/officeDocument/2006/relationships" ref="F748" r:id="rId725"/>
    <hyperlink xmlns:r="http://schemas.openxmlformats.org/officeDocument/2006/relationships" ref="F749" r:id="rId726"/>
    <hyperlink xmlns:r="http://schemas.openxmlformats.org/officeDocument/2006/relationships" ref="F750" r:id="rId727"/>
    <hyperlink xmlns:r="http://schemas.openxmlformats.org/officeDocument/2006/relationships" ref="F751" r:id="rId728"/>
    <hyperlink xmlns:r="http://schemas.openxmlformats.org/officeDocument/2006/relationships" ref="F752" r:id="rId729"/>
    <hyperlink xmlns:r="http://schemas.openxmlformats.org/officeDocument/2006/relationships" ref="F753" r:id="rId730"/>
    <hyperlink xmlns:r="http://schemas.openxmlformats.org/officeDocument/2006/relationships" ref="F754" r:id="rId731"/>
    <hyperlink xmlns:r="http://schemas.openxmlformats.org/officeDocument/2006/relationships" ref="F755" r:id="rId732"/>
    <hyperlink xmlns:r="http://schemas.openxmlformats.org/officeDocument/2006/relationships" ref="F756" r:id="rId733"/>
    <hyperlink xmlns:r="http://schemas.openxmlformats.org/officeDocument/2006/relationships" ref="F757" r:id="rId734"/>
    <hyperlink xmlns:r="http://schemas.openxmlformats.org/officeDocument/2006/relationships" ref="F758" r:id="rId735"/>
    <hyperlink xmlns:r="http://schemas.openxmlformats.org/officeDocument/2006/relationships" ref="F759" r:id="rId736"/>
    <hyperlink xmlns:r="http://schemas.openxmlformats.org/officeDocument/2006/relationships" ref="F760" r:id="rId737"/>
    <hyperlink xmlns:r="http://schemas.openxmlformats.org/officeDocument/2006/relationships" ref="F761" r:id="rId738"/>
    <hyperlink xmlns:r="http://schemas.openxmlformats.org/officeDocument/2006/relationships" ref="F762" r:id="rId739"/>
    <hyperlink xmlns:r="http://schemas.openxmlformats.org/officeDocument/2006/relationships" ref="F763" r:id="rId740"/>
    <hyperlink xmlns:r="http://schemas.openxmlformats.org/officeDocument/2006/relationships" ref="F764" r:id="rId741"/>
    <hyperlink xmlns:r="http://schemas.openxmlformats.org/officeDocument/2006/relationships" ref="F765" r:id="rId742"/>
    <hyperlink xmlns:r="http://schemas.openxmlformats.org/officeDocument/2006/relationships" ref="F766" r:id="rId743"/>
    <hyperlink xmlns:r="http://schemas.openxmlformats.org/officeDocument/2006/relationships" ref="F767" r:id="rId744"/>
    <hyperlink xmlns:r="http://schemas.openxmlformats.org/officeDocument/2006/relationships" ref="F768" r:id="rId745"/>
    <hyperlink xmlns:r="http://schemas.openxmlformats.org/officeDocument/2006/relationships" ref="F769" r:id="rId746"/>
    <hyperlink xmlns:r="http://schemas.openxmlformats.org/officeDocument/2006/relationships" ref="F770" r:id="rId747"/>
    <hyperlink xmlns:r="http://schemas.openxmlformats.org/officeDocument/2006/relationships" ref="F771" r:id="rId748"/>
    <hyperlink xmlns:r="http://schemas.openxmlformats.org/officeDocument/2006/relationships" ref="F772" r:id="rId749"/>
    <hyperlink xmlns:r="http://schemas.openxmlformats.org/officeDocument/2006/relationships" ref="F773" r:id="rId750"/>
    <hyperlink xmlns:r="http://schemas.openxmlformats.org/officeDocument/2006/relationships" ref="F774" r:id="rId751"/>
    <hyperlink xmlns:r="http://schemas.openxmlformats.org/officeDocument/2006/relationships" ref="F775" r:id="rId752"/>
    <hyperlink xmlns:r="http://schemas.openxmlformats.org/officeDocument/2006/relationships" ref="F776" r:id="rId753"/>
    <hyperlink xmlns:r="http://schemas.openxmlformats.org/officeDocument/2006/relationships" ref="F777" r:id="rId754"/>
    <hyperlink xmlns:r="http://schemas.openxmlformats.org/officeDocument/2006/relationships" ref="F778" r:id="rId755"/>
    <hyperlink xmlns:r="http://schemas.openxmlformats.org/officeDocument/2006/relationships" ref="F779" r:id="rId756"/>
    <hyperlink xmlns:r="http://schemas.openxmlformats.org/officeDocument/2006/relationships" ref="F780" r:id="rId757"/>
    <hyperlink xmlns:r="http://schemas.openxmlformats.org/officeDocument/2006/relationships" ref="F781" r:id="rId758"/>
    <hyperlink xmlns:r="http://schemas.openxmlformats.org/officeDocument/2006/relationships" ref="F782" r:id="rId759"/>
    <hyperlink xmlns:r="http://schemas.openxmlformats.org/officeDocument/2006/relationships" ref="F783" r:id="rId760"/>
    <hyperlink xmlns:r="http://schemas.openxmlformats.org/officeDocument/2006/relationships" ref="F784" r:id="rId761"/>
    <hyperlink xmlns:r="http://schemas.openxmlformats.org/officeDocument/2006/relationships" ref="F785" r:id="rId762"/>
    <hyperlink xmlns:r="http://schemas.openxmlformats.org/officeDocument/2006/relationships" ref="F786" r:id="rId763"/>
    <hyperlink xmlns:r="http://schemas.openxmlformats.org/officeDocument/2006/relationships" ref="F787" r:id="rId764"/>
    <hyperlink xmlns:r="http://schemas.openxmlformats.org/officeDocument/2006/relationships" ref="F788" r:id="rId765"/>
    <hyperlink xmlns:r="http://schemas.openxmlformats.org/officeDocument/2006/relationships" ref="F789" r:id="rId766"/>
    <hyperlink xmlns:r="http://schemas.openxmlformats.org/officeDocument/2006/relationships" ref="F790" r:id="rId767"/>
    <hyperlink xmlns:r="http://schemas.openxmlformats.org/officeDocument/2006/relationships" ref="F791" r:id="rId768"/>
    <hyperlink xmlns:r="http://schemas.openxmlformats.org/officeDocument/2006/relationships" ref="F792" r:id="rId769"/>
    <hyperlink xmlns:r="http://schemas.openxmlformats.org/officeDocument/2006/relationships" ref="F793" r:id="rId770"/>
    <hyperlink xmlns:r="http://schemas.openxmlformats.org/officeDocument/2006/relationships" ref="F794" r:id="rId771"/>
    <hyperlink xmlns:r="http://schemas.openxmlformats.org/officeDocument/2006/relationships" ref="F795" r:id="rId772"/>
    <hyperlink xmlns:r="http://schemas.openxmlformats.org/officeDocument/2006/relationships" ref="F796" r:id="rId773"/>
    <hyperlink xmlns:r="http://schemas.openxmlformats.org/officeDocument/2006/relationships" ref="F797" r:id="rId774"/>
    <hyperlink xmlns:r="http://schemas.openxmlformats.org/officeDocument/2006/relationships" ref="F798" r:id="rId775"/>
    <hyperlink xmlns:r="http://schemas.openxmlformats.org/officeDocument/2006/relationships" ref="F799" r:id="rId776"/>
    <hyperlink xmlns:r="http://schemas.openxmlformats.org/officeDocument/2006/relationships" ref="F800" r:id="rId777"/>
    <hyperlink xmlns:r="http://schemas.openxmlformats.org/officeDocument/2006/relationships" ref="F801" r:id="rId778"/>
    <hyperlink xmlns:r="http://schemas.openxmlformats.org/officeDocument/2006/relationships" ref="F802" r:id="rId779"/>
    <hyperlink xmlns:r="http://schemas.openxmlformats.org/officeDocument/2006/relationships" ref="F803" r:id="rId780"/>
    <hyperlink xmlns:r="http://schemas.openxmlformats.org/officeDocument/2006/relationships" ref="F804" r:id="rId781"/>
    <hyperlink xmlns:r="http://schemas.openxmlformats.org/officeDocument/2006/relationships" ref="F805" r:id="rId782"/>
    <hyperlink xmlns:r="http://schemas.openxmlformats.org/officeDocument/2006/relationships" ref="F806" r:id="rId783"/>
    <hyperlink xmlns:r="http://schemas.openxmlformats.org/officeDocument/2006/relationships" ref="F807" r:id="rId784"/>
    <hyperlink xmlns:r="http://schemas.openxmlformats.org/officeDocument/2006/relationships" ref="F808" r:id="rId785"/>
    <hyperlink xmlns:r="http://schemas.openxmlformats.org/officeDocument/2006/relationships" ref="F809" r:id="rId786"/>
    <hyperlink xmlns:r="http://schemas.openxmlformats.org/officeDocument/2006/relationships" ref="F810" r:id="rId787"/>
    <hyperlink xmlns:r="http://schemas.openxmlformats.org/officeDocument/2006/relationships" ref="F811" r:id="rId788"/>
    <hyperlink xmlns:r="http://schemas.openxmlformats.org/officeDocument/2006/relationships" ref="F812" r:id="rId789"/>
    <hyperlink xmlns:r="http://schemas.openxmlformats.org/officeDocument/2006/relationships" ref="F813" r:id="rId790"/>
    <hyperlink xmlns:r="http://schemas.openxmlformats.org/officeDocument/2006/relationships" ref="F814" r:id="rId791"/>
    <hyperlink xmlns:r="http://schemas.openxmlformats.org/officeDocument/2006/relationships" ref="F815" r:id="rId792"/>
    <hyperlink xmlns:r="http://schemas.openxmlformats.org/officeDocument/2006/relationships" ref="F816" r:id="rId793"/>
    <hyperlink xmlns:r="http://schemas.openxmlformats.org/officeDocument/2006/relationships" ref="F817" r:id="rId794"/>
    <hyperlink xmlns:r="http://schemas.openxmlformats.org/officeDocument/2006/relationships" ref="F818" r:id="rId795"/>
    <hyperlink xmlns:r="http://schemas.openxmlformats.org/officeDocument/2006/relationships" ref="F819" r:id="rId796"/>
    <hyperlink xmlns:r="http://schemas.openxmlformats.org/officeDocument/2006/relationships" ref="F820" r:id="rId797"/>
    <hyperlink xmlns:r="http://schemas.openxmlformats.org/officeDocument/2006/relationships" ref="F821" r:id="rId798"/>
    <hyperlink xmlns:r="http://schemas.openxmlformats.org/officeDocument/2006/relationships" ref="F822" r:id="rId799"/>
    <hyperlink xmlns:r="http://schemas.openxmlformats.org/officeDocument/2006/relationships" ref="F823" r:id="rId800"/>
    <hyperlink xmlns:r="http://schemas.openxmlformats.org/officeDocument/2006/relationships" ref="F824" r:id="rId801"/>
    <hyperlink xmlns:r="http://schemas.openxmlformats.org/officeDocument/2006/relationships" ref="F825" r:id="rId802"/>
    <hyperlink xmlns:r="http://schemas.openxmlformats.org/officeDocument/2006/relationships" ref="F826" r:id="rId803"/>
    <hyperlink xmlns:r="http://schemas.openxmlformats.org/officeDocument/2006/relationships" ref="F827" r:id="rId804"/>
    <hyperlink xmlns:r="http://schemas.openxmlformats.org/officeDocument/2006/relationships" ref="F828" r:id="rId805"/>
    <hyperlink xmlns:r="http://schemas.openxmlformats.org/officeDocument/2006/relationships" ref="F829" r:id="rId806"/>
    <hyperlink xmlns:r="http://schemas.openxmlformats.org/officeDocument/2006/relationships" ref="F830" r:id="rId807"/>
    <hyperlink xmlns:r="http://schemas.openxmlformats.org/officeDocument/2006/relationships" ref="F831" r:id="rId808"/>
    <hyperlink xmlns:r="http://schemas.openxmlformats.org/officeDocument/2006/relationships" ref="F832" r:id="rId809"/>
    <hyperlink xmlns:r="http://schemas.openxmlformats.org/officeDocument/2006/relationships" ref="F833" r:id="rId810"/>
    <hyperlink xmlns:r="http://schemas.openxmlformats.org/officeDocument/2006/relationships" ref="F834" r:id="rId811"/>
    <hyperlink xmlns:r="http://schemas.openxmlformats.org/officeDocument/2006/relationships" ref="F835" r:id="rId812"/>
    <hyperlink xmlns:r="http://schemas.openxmlformats.org/officeDocument/2006/relationships" ref="F836" r:id="rId813"/>
    <hyperlink xmlns:r="http://schemas.openxmlformats.org/officeDocument/2006/relationships" ref="F837" r:id="rId814"/>
    <hyperlink xmlns:r="http://schemas.openxmlformats.org/officeDocument/2006/relationships" ref="F838" r:id="rId815"/>
    <hyperlink xmlns:r="http://schemas.openxmlformats.org/officeDocument/2006/relationships" ref="F839" r:id="rId816"/>
    <hyperlink xmlns:r="http://schemas.openxmlformats.org/officeDocument/2006/relationships" ref="F840" r:id="rId817"/>
    <hyperlink xmlns:r="http://schemas.openxmlformats.org/officeDocument/2006/relationships" ref="F841" r:id="rId818"/>
    <hyperlink xmlns:r="http://schemas.openxmlformats.org/officeDocument/2006/relationships" ref="F842" r:id="rId819"/>
    <hyperlink xmlns:r="http://schemas.openxmlformats.org/officeDocument/2006/relationships" ref="F843" r:id="rId820"/>
    <hyperlink xmlns:r="http://schemas.openxmlformats.org/officeDocument/2006/relationships" ref="F844" r:id="rId821"/>
    <hyperlink xmlns:r="http://schemas.openxmlformats.org/officeDocument/2006/relationships" ref="F845" r:id="rId822"/>
    <hyperlink xmlns:r="http://schemas.openxmlformats.org/officeDocument/2006/relationships" ref="F846" r:id="rId823"/>
    <hyperlink xmlns:r="http://schemas.openxmlformats.org/officeDocument/2006/relationships" ref="F847" r:id="rId824"/>
    <hyperlink xmlns:r="http://schemas.openxmlformats.org/officeDocument/2006/relationships" ref="F848" r:id="rId825"/>
    <hyperlink xmlns:r="http://schemas.openxmlformats.org/officeDocument/2006/relationships" ref="F849" r:id="rId826"/>
    <hyperlink xmlns:r="http://schemas.openxmlformats.org/officeDocument/2006/relationships" ref="F850" r:id="rId827"/>
    <hyperlink xmlns:r="http://schemas.openxmlformats.org/officeDocument/2006/relationships" ref="F851" r:id="rId828"/>
    <hyperlink xmlns:r="http://schemas.openxmlformats.org/officeDocument/2006/relationships" ref="F852" r:id="rId829"/>
    <hyperlink xmlns:r="http://schemas.openxmlformats.org/officeDocument/2006/relationships" ref="F853" r:id="rId830"/>
    <hyperlink xmlns:r="http://schemas.openxmlformats.org/officeDocument/2006/relationships" ref="F854" r:id="rId831"/>
    <hyperlink xmlns:r="http://schemas.openxmlformats.org/officeDocument/2006/relationships" ref="F855" r:id="rId832"/>
    <hyperlink xmlns:r="http://schemas.openxmlformats.org/officeDocument/2006/relationships" ref="F856" r:id="rId833"/>
    <hyperlink xmlns:r="http://schemas.openxmlformats.org/officeDocument/2006/relationships" ref="F857" r:id="rId834"/>
    <hyperlink xmlns:r="http://schemas.openxmlformats.org/officeDocument/2006/relationships" ref="F858" r:id="rId835"/>
    <hyperlink xmlns:r="http://schemas.openxmlformats.org/officeDocument/2006/relationships" ref="F859" r:id="rId836"/>
    <hyperlink xmlns:r="http://schemas.openxmlformats.org/officeDocument/2006/relationships" ref="F860" r:id="rId837"/>
    <hyperlink xmlns:r="http://schemas.openxmlformats.org/officeDocument/2006/relationships" ref="F861" r:id="rId838"/>
    <hyperlink xmlns:r="http://schemas.openxmlformats.org/officeDocument/2006/relationships" ref="F862" r:id="rId839"/>
    <hyperlink xmlns:r="http://schemas.openxmlformats.org/officeDocument/2006/relationships" ref="F863" r:id="rId840"/>
    <hyperlink xmlns:r="http://schemas.openxmlformats.org/officeDocument/2006/relationships" ref="F864" r:id="rId841"/>
    <hyperlink xmlns:r="http://schemas.openxmlformats.org/officeDocument/2006/relationships" ref="F865" r:id="rId842"/>
    <hyperlink xmlns:r="http://schemas.openxmlformats.org/officeDocument/2006/relationships" ref="F866" r:id="rId843"/>
    <hyperlink xmlns:r="http://schemas.openxmlformats.org/officeDocument/2006/relationships" ref="F867" r:id="rId844"/>
    <hyperlink xmlns:r="http://schemas.openxmlformats.org/officeDocument/2006/relationships" ref="F868" r:id="rId845"/>
    <hyperlink xmlns:r="http://schemas.openxmlformats.org/officeDocument/2006/relationships" ref="F869" r:id="rId846"/>
    <hyperlink xmlns:r="http://schemas.openxmlformats.org/officeDocument/2006/relationships" ref="F870" r:id="rId847"/>
    <hyperlink xmlns:r="http://schemas.openxmlformats.org/officeDocument/2006/relationships" ref="F871" r:id="rId848"/>
    <hyperlink xmlns:r="http://schemas.openxmlformats.org/officeDocument/2006/relationships" ref="F872" r:id="rId849"/>
    <hyperlink xmlns:r="http://schemas.openxmlformats.org/officeDocument/2006/relationships" ref="F873" r:id="rId850"/>
    <hyperlink xmlns:r="http://schemas.openxmlformats.org/officeDocument/2006/relationships" ref="F874" r:id="rId851"/>
    <hyperlink xmlns:r="http://schemas.openxmlformats.org/officeDocument/2006/relationships" ref="F875" r:id="rId852"/>
    <hyperlink xmlns:r="http://schemas.openxmlformats.org/officeDocument/2006/relationships" ref="F876" r:id="rId853"/>
    <hyperlink xmlns:r="http://schemas.openxmlformats.org/officeDocument/2006/relationships" ref="F877" r:id="rId854"/>
    <hyperlink xmlns:r="http://schemas.openxmlformats.org/officeDocument/2006/relationships" ref="F878" r:id="rId855"/>
    <hyperlink xmlns:r="http://schemas.openxmlformats.org/officeDocument/2006/relationships" ref="F879" r:id="rId856"/>
    <hyperlink xmlns:r="http://schemas.openxmlformats.org/officeDocument/2006/relationships" ref="F880" r:id="rId857"/>
    <hyperlink xmlns:r="http://schemas.openxmlformats.org/officeDocument/2006/relationships" ref="F881" r:id="rId858"/>
    <hyperlink xmlns:r="http://schemas.openxmlformats.org/officeDocument/2006/relationships" ref="F882" r:id="rId859"/>
    <hyperlink xmlns:r="http://schemas.openxmlformats.org/officeDocument/2006/relationships" ref="F883" r:id="rId860"/>
    <hyperlink xmlns:r="http://schemas.openxmlformats.org/officeDocument/2006/relationships" ref="F884" r:id="rId861"/>
    <hyperlink xmlns:r="http://schemas.openxmlformats.org/officeDocument/2006/relationships" ref="F885" r:id="rId862"/>
    <hyperlink xmlns:r="http://schemas.openxmlformats.org/officeDocument/2006/relationships" ref="F886" r:id="rId863"/>
    <hyperlink xmlns:r="http://schemas.openxmlformats.org/officeDocument/2006/relationships" ref="F887" r:id="rId864"/>
    <hyperlink xmlns:r="http://schemas.openxmlformats.org/officeDocument/2006/relationships" ref="F888" r:id="rId865"/>
    <hyperlink xmlns:r="http://schemas.openxmlformats.org/officeDocument/2006/relationships" ref="F889" r:id="rId866"/>
    <hyperlink xmlns:r="http://schemas.openxmlformats.org/officeDocument/2006/relationships" ref="F890" r:id="rId867"/>
    <hyperlink xmlns:r="http://schemas.openxmlformats.org/officeDocument/2006/relationships" ref="F891" r:id="rId868"/>
    <hyperlink xmlns:r="http://schemas.openxmlformats.org/officeDocument/2006/relationships" ref="F892" r:id="rId869"/>
    <hyperlink xmlns:r="http://schemas.openxmlformats.org/officeDocument/2006/relationships" ref="F893" r:id="rId870"/>
    <hyperlink xmlns:r="http://schemas.openxmlformats.org/officeDocument/2006/relationships" ref="F894" r:id="rId871"/>
    <hyperlink xmlns:r="http://schemas.openxmlformats.org/officeDocument/2006/relationships" ref="F895" r:id="rId872"/>
    <hyperlink xmlns:r="http://schemas.openxmlformats.org/officeDocument/2006/relationships" ref="F896" r:id="rId873"/>
    <hyperlink xmlns:r="http://schemas.openxmlformats.org/officeDocument/2006/relationships" ref="F897" r:id="rId874"/>
    <hyperlink xmlns:r="http://schemas.openxmlformats.org/officeDocument/2006/relationships" ref="F898" r:id="rId875"/>
    <hyperlink xmlns:r="http://schemas.openxmlformats.org/officeDocument/2006/relationships" ref="F899" r:id="rId876"/>
    <hyperlink xmlns:r="http://schemas.openxmlformats.org/officeDocument/2006/relationships" ref="F900" r:id="rId877"/>
    <hyperlink xmlns:r="http://schemas.openxmlformats.org/officeDocument/2006/relationships" ref="F901" r:id="rId878"/>
    <hyperlink xmlns:r="http://schemas.openxmlformats.org/officeDocument/2006/relationships" ref="F902" r:id="rId879"/>
    <hyperlink xmlns:r="http://schemas.openxmlformats.org/officeDocument/2006/relationships" ref="F903" r:id="rId880"/>
    <hyperlink xmlns:r="http://schemas.openxmlformats.org/officeDocument/2006/relationships" ref="F904" r:id="rId881"/>
    <hyperlink xmlns:r="http://schemas.openxmlformats.org/officeDocument/2006/relationships" ref="F905" r:id="rId882"/>
    <hyperlink xmlns:r="http://schemas.openxmlformats.org/officeDocument/2006/relationships" ref="F906" r:id="rId883"/>
    <hyperlink xmlns:r="http://schemas.openxmlformats.org/officeDocument/2006/relationships" ref="F907" r:id="rId884"/>
    <hyperlink xmlns:r="http://schemas.openxmlformats.org/officeDocument/2006/relationships" ref="F908" r:id="rId885"/>
    <hyperlink xmlns:r="http://schemas.openxmlformats.org/officeDocument/2006/relationships" ref="F909" r:id="rId886"/>
    <hyperlink xmlns:r="http://schemas.openxmlformats.org/officeDocument/2006/relationships" ref="F910" r:id="rId887"/>
    <hyperlink xmlns:r="http://schemas.openxmlformats.org/officeDocument/2006/relationships" ref="F911" r:id="rId888"/>
    <hyperlink xmlns:r="http://schemas.openxmlformats.org/officeDocument/2006/relationships" ref="F912" r:id="rId889"/>
    <hyperlink xmlns:r="http://schemas.openxmlformats.org/officeDocument/2006/relationships" ref="F913" r:id="rId890"/>
    <hyperlink xmlns:r="http://schemas.openxmlformats.org/officeDocument/2006/relationships" ref="F914" r:id="rId891"/>
    <hyperlink xmlns:r="http://schemas.openxmlformats.org/officeDocument/2006/relationships" ref="F915" r:id="rId892"/>
    <hyperlink xmlns:r="http://schemas.openxmlformats.org/officeDocument/2006/relationships" ref="F916" r:id="rId893"/>
    <hyperlink xmlns:r="http://schemas.openxmlformats.org/officeDocument/2006/relationships" ref="F917" r:id="rId894"/>
    <hyperlink xmlns:r="http://schemas.openxmlformats.org/officeDocument/2006/relationships" ref="F918" r:id="rId895"/>
    <hyperlink xmlns:r="http://schemas.openxmlformats.org/officeDocument/2006/relationships" ref="F919" r:id="rId896"/>
    <hyperlink xmlns:r="http://schemas.openxmlformats.org/officeDocument/2006/relationships" ref="F920" r:id="rId897"/>
    <hyperlink xmlns:r="http://schemas.openxmlformats.org/officeDocument/2006/relationships" ref="F921" r:id="rId898"/>
    <hyperlink xmlns:r="http://schemas.openxmlformats.org/officeDocument/2006/relationships" ref="F922" r:id="rId899"/>
    <hyperlink xmlns:r="http://schemas.openxmlformats.org/officeDocument/2006/relationships" ref="F923" r:id="rId900"/>
    <hyperlink xmlns:r="http://schemas.openxmlformats.org/officeDocument/2006/relationships" ref="F924" r:id="rId901"/>
    <hyperlink xmlns:r="http://schemas.openxmlformats.org/officeDocument/2006/relationships" ref="F925" r:id="rId902"/>
    <hyperlink xmlns:r="http://schemas.openxmlformats.org/officeDocument/2006/relationships" ref="F926" r:id="rId903"/>
    <hyperlink xmlns:r="http://schemas.openxmlformats.org/officeDocument/2006/relationships" ref="F927" r:id="rId904"/>
    <hyperlink xmlns:r="http://schemas.openxmlformats.org/officeDocument/2006/relationships" ref="F928" r:id="rId905"/>
    <hyperlink xmlns:r="http://schemas.openxmlformats.org/officeDocument/2006/relationships" ref="F929" r:id="rId906"/>
    <hyperlink xmlns:r="http://schemas.openxmlformats.org/officeDocument/2006/relationships" ref="F930" r:id="rId907"/>
    <hyperlink xmlns:r="http://schemas.openxmlformats.org/officeDocument/2006/relationships" ref="F931" r:id="rId908"/>
    <hyperlink xmlns:r="http://schemas.openxmlformats.org/officeDocument/2006/relationships" ref="F932" r:id="rId909"/>
    <hyperlink xmlns:r="http://schemas.openxmlformats.org/officeDocument/2006/relationships" ref="F933" r:id="rId910"/>
    <hyperlink xmlns:r="http://schemas.openxmlformats.org/officeDocument/2006/relationships" ref="F934" r:id="rId911"/>
    <hyperlink xmlns:r="http://schemas.openxmlformats.org/officeDocument/2006/relationships" ref="F935" r:id="rId912"/>
    <hyperlink xmlns:r="http://schemas.openxmlformats.org/officeDocument/2006/relationships" ref="F936" r:id="rId913"/>
    <hyperlink xmlns:r="http://schemas.openxmlformats.org/officeDocument/2006/relationships" ref="F937" r:id="rId914"/>
    <hyperlink xmlns:r="http://schemas.openxmlformats.org/officeDocument/2006/relationships" ref="F938" r:id="rId915"/>
    <hyperlink xmlns:r="http://schemas.openxmlformats.org/officeDocument/2006/relationships" ref="F939" r:id="rId916"/>
    <hyperlink xmlns:r="http://schemas.openxmlformats.org/officeDocument/2006/relationships" ref="F940" r:id="rId917"/>
    <hyperlink xmlns:r="http://schemas.openxmlformats.org/officeDocument/2006/relationships" ref="F941" r:id="rId918"/>
    <hyperlink xmlns:r="http://schemas.openxmlformats.org/officeDocument/2006/relationships" ref="F942" r:id="rId919"/>
    <hyperlink xmlns:r="http://schemas.openxmlformats.org/officeDocument/2006/relationships" ref="F943" r:id="rId920"/>
    <hyperlink xmlns:r="http://schemas.openxmlformats.org/officeDocument/2006/relationships" ref="F944" r:id="rId921"/>
    <hyperlink xmlns:r="http://schemas.openxmlformats.org/officeDocument/2006/relationships" ref="F945" r:id="rId922"/>
    <hyperlink xmlns:r="http://schemas.openxmlformats.org/officeDocument/2006/relationships" ref="F946" r:id="rId923"/>
    <hyperlink xmlns:r="http://schemas.openxmlformats.org/officeDocument/2006/relationships" ref="F947" r:id="rId924"/>
    <hyperlink xmlns:r="http://schemas.openxmlformats.org/officeDocument/2006/relationships" ref="F948" r:id="rId925"/>
    <hyperlink xmlns:r="http://schemas.openxmlformats.org/officeDocument/2006/relationships" ref="F949" r:id="rId926"/>
    <hyperlink xmlns:r="http://schemas.openxmlformats.org/officeDocument/2006/relationships" ref="F950" r:id="rId927"/>
    <hyperlink xmlns:r="http://schemas.openxmlformats.org/officeDocument/2006/relationships" ref="F951" r:id="rId928"/>
    <hyperlink xmlns:r="http://schemas.openxmlformats.org/officeDocument/2006/relationships" ref="F952" r:id="rId929"/>
    <hyperlink xmlns:r="http://schemas.openxmlformats.org/officeDocument/2006/relationships" ref="F953" r:id="rId930"/>
    <hyperlink xmlns:r="http://schemas.openxmlformats.org/officeDocument/2006/relationships" ref="F954" r:id="rId931"/>
    <hyperlink xmlns:r="http://schemas.openxmlformats.org/officeDocument/2006/relationships" ref="F955" r:id="rId932"/>
    <hyperlink xmlns:r="http://schemas.openxmlformats.org/officeDocument/2006/relationships" ref="F956" r:id="rId933"/>
    <hyperlink xmlns:r="http://schemas.openxmlformats.org/officeDocument/2006/relationships" ref="F957" r:id="rId934"/>
    <hyperlink xmlns:r="http://schemas.openxmlformats.org/officeDocument/2006/relationships" ref="F958" r:id="rId935"/>
    <hyperlink xmlns:r="http://schemas.openxmlformats.org/officeDocument/2006/relationships" ref="F959" r:id="rId936"/>
    <hyperlink xmlns:r="http://schemas.openxmlformats.org/officeDocument/2006/relationships" ref="F960" r:id="rId937"/>
    <hyperlink xmlns:r="http://schemas.openxmlformats.org/officeDocument/2006/relationships" ref="F961" r:id="rId938"/>
    <hyperlink xmlns:r="http://schemas.openxmlformats.org/officeDocument/2006/relationships" ref="F962" r:id="rId939"/>
    <hyperlink xmlns:r="http://schemas.openxmlformats.org/officeDocument/2006/relationships" ref="F963" r:id="rId940"/>
    <hyperlink xmlns:r="http://schemas.openxmlformats.org/officeDocument/2006/relationships" ref="F964" r:id="rId941"/>
    <hyperlink xmlns:r="http://schemas.openxmlformats.org/officeDocument/2006/relationships" ref="F965" r:id="rId942"/>
    <hyperlink xmlns:r="http://schemas.openxmlformats.org/officeDocument/2006/relationships" ref="F966" r:id="rId943"/>
    <hyperlink xmlns:r="http://schemas.openxmlformats.org/officeDocument/2006/relationships" ref="F967" r:id="rId944"/>
    <hyperlink xmlns:r="http://schemas.openxmlformats.org/officeDocument/2006/relationships" ref="F968" r:id="rId945"/>
    <hyperlink xmlns:r="http://schemas.openxmlformats.org/officeDocument/2006/relationships" ref="F969" r:id="rId946"/>
    <hyperlink xmlns:r="http://schemas.openxmlformats.org/officeDocument/2006/relationships" ref="F970" r:id="rId947"/>
    <hyperlink xmlns:r="http://schemas.openxmlformats.org/officeDocument/2006/relationships" ref="F971" r:id="rId948"/>
    <hyperlink xmlns:r="http://schemas.openxmlformats.org/officeDocument/2006/relationships" ref="F972" r:id="rId949"/>
    <hyperlink xmlns:r="http://schemas.openxmlformats.org/officeDocument/2006/relationships" ref="F973" r:id="rId950"/>
    <hyperlink xmlns:r="http://schemas.openxmlformats.org/officeDocument/2006/relationships" ref="F974" r:id="rId951"/>
    <hyperlink xmlns:r="http://schemas.openxmlformats.org/officeDocument/2006/relationships" ref="F975" r:id="rId952"/>
    <hyperlink xmlns:r="http://schemas.openxmlformats.org/officeDocument/2006/relationships" ref="F976" r:id="rId953"/>
    <hyperlink xmlns:r="http://schemas.openxmlformats.org/officeDocument/2006/relationships" ref="F977" r:id="rId954"/>
    <hyperlink xmlns:r="http://schemas.openxmlformats.org/officeDocument/2006/relationships" ref="F978" r:id="rId955"/>
    <hyperlink xmlns:r="http://schemas.openxmlformats.org/officeDocument/2006/relationships" ref="F979" r:id="rId956"/>
    <hyperlink xmlns:r="http://schemas.openxmlformats.org/officeDocument/2006/relationships" ref="F980" r:id="rId957"/>
    <hyperlink xmlns:r="http://schemas.openxmlformats.org/officeDocument/2006/relationships" ref="F981" r:id="rId958"/>
    <hyperlink xmlns:r="http://schemas.openxmlformats.org/officeDocument/2006/relationships" ref="F982" r:id="rId959"/>
    <hyperlink xmlns:r="http://schemas.openxmlformats.org/officeDocument/2006/relationships" ref="F983" r:id="rId960"/>
    <hyperlink xmlns:r="http://schemas.openxmlformats.org/officeDocument/2006/relationships" ref="F984" r:id="rId961"/>
    <hyperlink xmlns:r="http://schemas.openxmlformats.org/officeDocument/2006/relationships" ref="F985" r:id="rId962"/>
    <hyperlink xmlns:r="http://schemas.openxmlformats.org/officeDocument/2006/relationships" ref="F986" r:id="rId963"/>
    <hyperlink xmlns:r="http://schemas.openxmlformats.org/officeDocument/2006/relationships" ref="F987" r:id="rId964"/>
    <hyperlink xmlns:r="http://schemas.openxmlformats.org/officeDocument/2006/relationships" ref="F988" r:id="rId965"/>
    <hyperlink xmlns:r="http://schemas.openxmlformats.org/officeDocument/2006/relationships" ref="F989" r:id="rId966"/>
    <hyperlink xmlns:r="http://schemas.openxmlformats.org/officeDocument/2006/relationships" ref="F990" r:id="rId967"/>
    <hyperlink xmlns:r="http://schemas.openxmlformats.org/officeDocument/2006/relationships" ref="F991" r:id="rId968"/>
    <hyperlink xmlns:r="http://schemas.openxmlformats.org/officeDocument/2006/relationships" ref="F992" r:id="rId969"/>
    <hyperlink xmlns:r="http://schemas.openxmlformats.org/officeDocument/2006/relationships" ref="F993" r:id="rId970"/>
    <hyperlink xmlns:r="http://schemas.openxmlformats.org/officeDocument/2006/relationships" ref="F994" r:id="rId971"/>
    <hyperlink xmlns:r="http://schemas.openxmlformats.org/officeDocument/2006/relationships" ref="F995" r:id="rId972"/>
    <hyperlink xmlns:r="http://schemas.openxmlformats.org/officeDocument/2006/relationships" ref="F996" r:id="rId973"/>
    <hyperlink xmlns:r="http://schemas.openxmlformats.org/officeDocument/2006/relationships" ref="F997" r:id="rId974"/>
    <hyperlink xmlns:r="http://schemas.openxmlformats.org/officeDocument/2006/relationships" ref="F998" r:id="rId975"/>
    <hyperlink xmlns:r="http://schemas.openxmlformats.org/officeDocument/2006/relationships" ref="F999" r:id="rId976"/>
    <hyperlink xmlns:r="http://schemas.openxmlformats.org/officeDocument/2006/relationships" ref="F1000" r:id="rId977"/>
    <hyperlink xmlns:r="http://schemas.openxmlformats.org/officeDocument/2006/relationships" ref="F1001" r:id="rId978"/>
    <hyperlink xmlns:r="http://schemas.openxmlformats.org/officeDocument/2006/relationships" ref="F1002" r:id="rId979"/>
    <hyperlink xmlns:r="http://schemas.openxmlformats.org/officeDocument/2006/relationships" ref="F1003" r:id="rId980"/>
    <hyperlink xmlns:r="http://schemas.openxmlformats.org/officeDocument/2006/relationships" ref="F1004" r:id="rId981"/>
    <hyperlink xmlns:r="http://schemas.openxmlformats.org/officeDocument/2006/relationships" ref="F1005" r:id="rId982"/>
    <hyperlink xmlns:r="http://schemas.openxmlformats.org/officeDocument/2006/relationships" ref="F1006" r:id="rId983"/>
    <hyperlink xmlns:r="http://schemas.openxmlformats.org/officeDocument/2006/relationships" ref="F1007" r:id="rId984"/>
    <hyperlink xmlns:r="http://schemas.openxmlformats.org/officeDocument/2006/relationships" ref="F1008" r:id="rId985"/>
    <hyperlink xmlns:r="http://schemas.openxmlformats.org/officeDocument/2006/relationships" ref="F1009" r:id="rId986"/>
    <hyperlink xmlns:r="http://schemas.openxmlformats.org/officeDocument/2006/relationships" ref="F1010" r:id="rId987"/>
    <hyperlink xmlns:r="http://schemas.openxmlformats.org/officeDocument/2006/relationships" ref="F1011" r:id="rId988"/>
    <hyperlink xmlns:r="http://schemas.openxmlformats.org/officeDocument/2006/relationships" ref="F1012" r:id="rId989"/>
    <hyperlink xmlns:r="http://schemas.openxmlformats.org/officeDocument/2006/relationships" ref="F1013" r:id="rId990"/>
    <hyperlink xmlns:r="http://schemas.openxmlformats.org/officeDocument/2006/relationships" ref="F1014" r:id="rId991"/>
    <hyperlink xmlns:r="http://schemas.openxmlformats.org/officeDocument/2006/relationships" ref="F1015" r:id="rId992"/>
    <hyperlink xmlns:r="http://schemas.openxmlformats.org/officeDocument/2006/relationships" ref="F1016" r:id="rId993"/>
    <hyperlink xmlns:r="http://schemas.openxmlformats.org/officeDocument/2006/relationships" ref="F1017" r:id="rId994"/>
    <hyperlink xmlns:r="http://schemas.openxmlformats.org/officeDocument/2006/relationships" ref="F1018" r:id="rId995"/>
    <hyperlink xmlns:r="http://schemas.openxmlformats.org/officeDocument/2006/relationships" ref="F1019" r:id="rId996"/>
    <hyperlink xmlns:r="http://schemas.openxmlformats.org/officeDocument/2006/relationships" ref="F1020" r:id="rId997"/>
    <hyperlink xmlns:r="http://schemas.openxmlformats.org/officeDocument/2006/relationships" ref="F1021" r:id="rId998"/>
    <hyperlink xmlns:r="http://schemas.openxmlformats.org/officeDocument/2006/relationships" ref="F1022" r:id="rId999"/>
    <hyperlink xmlns:r="http://schemas.openxmlformats.org/officeDocument/2006/relationships" ref="F1023" r:id="rId1000"/>
    <hyperlink xmlns:r="http://schemas.openxmlformats.org/officeDocument/2006/relationships" ref="F1024" r:id="rId1001"/>
    <hyperlink xmlns:r="http://schemas.openxmlformats.org/officeDocument/2006/relationships" ref="F1025" r:id="rId1002"/>
    <hyperlink xmlns:r="http://schemas.openxmlformats.org/officeDocument/2006/relationships" ref="F1026" r:id="rId1003"/>
    <hyperlink xmlns:r="http://schemas.openxmlformats.org/officeDocument/2006/relationships" ref="F1027" r:id="rId1004"/>
    <hyperlink xmlns:r="http://schemas.openxmlformats.org/officeDocument/2006/relationships" ref="F1028" r:id="rId1005"/>
    <hyperlink xmlns:r="http://schemas.openxmlformats.org/officeDocument/2006/relationships" ref="F1029" r:id="rId1006"/>
    <hyperlink xmlns:r="http://schemas.openxmlformats.org/officeDocument/2006/relationships" ref="F1030" r:id="rId1007"/>
    <hyperlink xmlns:r="http://schemas.openxmlformats.org/officeDocument/2006/relationships" ref="F1031" r:id="rId1008"/>
    <hyperlink xmlns:r="http://schemas.openxmlformats.org/officeDocument/2006/relationships" ref="F1032" r:id="rId1009"/>
    <hyperlink xmlns:r="http://schemas.openxmlformats.org/officeDocument/2006/relationships" ref="F1033" r:id="rId1010"/>
    <hyperlink xmlns:r="http://schemas.openxmlformats.org/officeDocument/2006/relationships" ref="F1034" r:id="rId1011"/>
    <hyperlink xmlns:r="http://schemas.openxmlformats.org/officeDocument/2006/relationships" ref="F1035" r:id="rId1012"/>
    <hyperlink xmlns:r="http://schemas.openxmlformats.org/officeDocument/2006/relationships" ref="F1036" r:id="rId1013"/>
    <hyperlink xmlns:r="http://schemas.openxmlformats.org/officeDocument/2006/relationships" ref="F1037" r:id="rId1014"/>
    <hyperlink xmlns:r="http://schemas.openxmlformats.org/officeDocument/2006/relationships" ref="F1038" r:id="rId1015"/>
    <hyperlink xmlns:r="http://schemas.openxmlformats.org/officeDocument/2006/relationships" ref="F1039" r:id="rId1016"/>
    <hyperlink xmlns:r="http://schemas.openxmlformats.org/officeDocument/2006/relationships" ref="F1040" r:id="rId1017"/>
    <hyperlink xmlns:r="http://schemas.openxmlformats.org/officeDocument/2006/relationships" ref="F1041" r:id="rId1018"/>
    <hyperlink xmlns:r="http://schemas.openxmlformats.org/officeDocument/2006/relationships" ref="F1042" r:id="rId1019"/>
    <hyperlink xmlns:r="http://schemas.openxmlformats.org/officeDocument/2006/relationships" ref="F1043" r:id="rId1020"/>
    <hyperlink xmlns:r="http://schemas.openxmlformats.org/officeDocument/2006/relationships" ref="F1044" r:id="rId1021"/>
    <hyperlink xmlns:r="http://schemas.openxmlformats.org/officeDocument/2006/relationships" ref="F1045" r:id="rId1022"/>
    <hyperlink xmlns:r="http://schemas.openxmlformats.org/officeDocument/2006/relationships" ref="F1046" r:id="rId1023"/>
    <hyperlink xmlns:r="http://schemas.openxmlformats.org/officeDocument/2006/relationships" ref="F1047" r:id="rId1024"/>
    <hyperlink xmlns:r="http://schemas.openxmlformats.org/officeDocument/2006/relationships" ref="F1048" r:id="rId1025"/>
    <hyperlink xmlns:r="http://schemas.openxmlformats.org/officeDocument/2006/relationships" ref="F1049" r:id="rId1026"/>
    <hyperlink xmlns:r="http://schemas.openxmlformats.org/officeDocument/2006/relationships" ref="F1050" r:id="rId1027"/>
    <hyperlink xmlns:r="http://schemas.openxmlformats.org/officeDocument/2006/relationships" ref="F1051" r:id="rId1028"/>
    <hyperlink xmlns:r="http://schemas.openxmlformats.org/officeDocument/2006/relationships" ref="F1052" r:id="rId1029"/>
    <hyperlink xmlns:r="http://schemas.openxmlformats.org/officeDocument/2006/relationships" ref="F1053" r:id="rId1030"/>
    <hyperlink xmlns:r="http://schemas.openxmlformats.org/officeDocument/2006/relationships" ref="F1054" r:id="rId1031"/>
    <hyperlink xmlns:r="http://schemas.openxmlformats.org/officeDocument/2006/relationships" ref="F1055" r:id="rId1032"/>
    <hyperlink xmlns:r="http://schemas.openxmlformats.org/officeDocument/2006/relationships" ref="F1056" r:id="rId1033"/>
    <hyperlink xmlns:r="http://schemas.openxmlformats.org/officeDocument/2006/relationships" ref="F1057" r:id="rId1034"/>
    <hyperlink xmlns:r="http://schemas.openxmlformats.org/officeDocument/2006/relationships" ref="F1058" r:id="rId1035"/>
    <hyperlink xmlns:r="http://schemas.openxmlformats.org/officeDocument/2006/relationships" ref="F1059" r:id="rId1036"/>
    <hyperlink xmlns:r="http://schemas.openxmlformats.org/officeDocument/2006/relationships" ref="F1060" r:id="rId1037"/>
    <hyperlink xmlns:r="http://schemas.openxmlformats.org/officeDocument/2006/relationships" ref="F1061" r:id="rId1038"/>
    <hyperlink xmlns:r="http://schemas.openxmlformats.org/officeDocument/2006/relationships" ref="F1062" r:id="rId1039"/>
    <hyperlink xmlns:r="http://schemas.openxmlformats.org/officeDocument/2006/relationships" ref="F1063" r:id="rId1040"/>
    <hyperlink xmlns:r="http://schemas.openxmlformats.org/officeDocument/2006/relationships" ref="F1064" r:id="rId1041"/>
    <hyperlink xmlns:r="http://schemas.openxmlformats.org/officeDocument/2006/relationships" ref="F1065" r:id="rId1042"/>
    <hyperlink xmlns:r="http://schemas.openxmlformats.org/officeDocument/2006/relationships" ref="F1066" r:id="rId1043"/>
    <hyperlink xmlns:r="http://schemas.openxmlformats.org/officeDocument/2006/relationships" ref="F1067" r:id="rId1044"/>
    <hyperlink xmlns:r="http://schemas.openxmlformats.org/officeDocument/2006/relationships" ref="F1068" r:id="rId1045"/>
    <hyperlink xmlns:r="http://schemas.openxmlformats.org/officeDocument/2006/relationships" ref="F1069" r:id="rId1046"/>
    <hyperlink xmlns:r="http://schemas.openxmlformats.org/officeDocument/2006/relationships" ref="F1070" r:id="rId1047"/>
    <hyperlink xmlns:r="http://schemas.openxmlformats.org/officeDocument/2006/relationships" ref="F1071" r:id="rId1048"/>
    <hyperlink xmlns:r="http://schemas.openxmlformats.org/officeDocument/2006/relationships" ref="F1072" r:id="rId1049"/>
    <hyperlink xmlns:r="http://schemas.openxmlformats.org/officeDocument/2006/relationships" ref="F1073" r:id="rId1050"/>
    <hyperlink xmlns:r="http://schemas.openxmlformats.org/officeDocument/2006/relationships" ref="F1074" r:id="rId1051"/>
    <hyperlink xmlns:r="http://schemas.openxmlformats.org/officeDocument/2006/relationships" ref="F1075" r:id="rId1052"/>
    <hyperlink xmlns:r="http://schemas.openxmlformats.org/officeDocument/2006/relationships" ref="F1076" r:id="rId1053"/>
    <hyperlink xmlns:r="http://schemas.openxmlformats.org/officeDocument/2006/relationships" ref="F1077" r:id="rId1054"/>
    <hyperlink xmlns:r="http://schemas.openxmlformats.org/officeDocument/2006/relationships" ref="F1078" r:id="rId1055"/>
    <hyperlink xmlns:r="http://schemas.openxmlformats.org/officeDocument/2006/relationships" ref="F1079" r:id="rId1056"/>
    <hyperlink xmlns:r="http://schemas.openxmlformats.org/officeDocument/2006/relationships" ref="F1080" r:id="rId1057"/>
    <hyperlink xmlns:r="http://schemas.openxmlformats.org/officeDocument/2006/relationships" ref="F1081" r:id="rId1058"/>
    <hyperlink xmlns:r="http://schemas.openxmlformats.org/officeDocument/2006/relationships" ref="F1082" r:id="rId1059"/>
    <hyperlink xmlns:r="http://schemas.openxmlformats.org/officeDocument/2006/relationships" ref="F1083" r:id="rId1060"/>
    <hyperlink xmlns:r="http://schemas.openxmlformats.org/officeDocument/2006/relationships" ref="F1084" r:id="rId1061"/>
    <hyperlink xmlns:r="http://schemas.openxmlformats.org/officeDocument/2006/relationships" ref="F1085" r:id="rId1062"/>
    <hyperlink xmlns:r="http://schemas.openxmlformats.org/officeDocument/2006/relationships" ref="F1086" r:id="rId1063"/>
    <hyperlink xmlns:r="http://schemas.openxmlformats.org/officeDocument/2006/relationships" ref="F1087" r:id="rId1064"/>
    <hyperlink xmlns:r="http://schemas.openxmlformats.org/officeDocument/2006/relationships" ref="F1088" r:id="rId1065"/>
    <hyperlink xmlns:r="http://schemas.openxmlformats.org/officeDocument/2006/relationships" ref="F1089" r:id="rId1066"/>
    <hyperlink xmlns:r="http://schemas.openxmlformats.org/officeDocument/2006/relationships" ref="F1090" r:id="rId1067"/>
    <hyperlink xmlns:r="http://schemas.openxmlformats.org/officeDocument/2006/relationships" ref="F1091" r:id="rId1068"/>
    <hyperlink xmlns:r="http://schemas.openxmlformats.org/officeDocument/2006/relationships" ref="F1092" r:id="rId1069"/>
    <hyperlink xmlns:r="http://schemas.openxmlformats.org/officeDocument/2006/relationships" ref="F1093" r:id="rId1070"/>
    <hyperlink xmlns:r="http://schemas.openxmlformats.org/officeDocument/2006/relationships" ref="F1094" r:id="rId1071"/>
    <hyperlink xmlns:r="http://schemas.openxmlformats.org/officeDocument/2006/relationships" ref="F1095" r:id="rId1072"/>
    <hyperlink xmlns:r="http://schemas.openxmlformats.org/officeDocument/2006/relationships" ref="F1096" r:id="rId1073"/>
    <hyperlink xmlns:r="http://schemas.openxmlformats.org/officeDocument/2006/relationships" ref="F1097" r:id="rId1074"/>
    <hyperlink xmlns:r="http://schemas.openxmlformats.org/officeDocument/2006/relationships" ref="F1098" r:id="rId1075"/>
    <hyperlink xmlns:r="http://schemas.openxmlformats.org/officeDocument/2006/relationships" ref="F1099" r:id="rId1076"/>
    <hyperlink xmlns:r="http://schemas.openxmlformats.org/officeDocument/2006/relationships" ref="F1100" r:id="rId1077"/>
    <hyperlink xmlns:r="http://schemas.openxmlformats.org/officeDocument/2006/relationships" ref="F1101" r:id="rId1078"/>
    <hyperlink xmlns:r="http://schemas.openxmlformats.org/officeDocument/2006/relationships" ref="F1102" r:id="rId1079"/>
    <hyperlink xmlns:r="http://schemas.openxmlformats.org/officeDocument/2006/relationships" ref="F1103" r:id="rId1080"/>
    <hyperlink xmlns:r="http://schemas.openxmlformats.org/officeDocument/2006/relationships" ref="F1104" r:id="rId1081"/>
    <hyperlink xmlns:r="http://schemas.openxmlformats.org/officeDocument/2006/relationships" ref="F1105" r:id="rId1082"/>
    <hyperlink xmlns:r="http://schemas.openxmlformats.org/officeDocument/2006/relationships" ref="F1106" r:id="rId1083"/>
    <hyperlink xmlns:r="http://schemas.openxmlformats.org/officeDocument/2006/relationships" ref="F1107" r:id="rId1084"/>
    <hyperlink xmlns:r="http://schemas.openxmlformats.org/officeDocument/2006/relationships" ref="F1108" r:id="rId1085"/>
    <hyperlink xmlns:r="http://schemas.openxmlformats.org/officeDocument/2006/relationships" ref="F1109" r:id="rId1086"/>
    <hyperlink xmlns:r="http://schemas.openxmlformats.org/officeDocument/2006/relationships" ref="F1110" r:id="rId1087"/>
    <hyperlink xmlns:r="http://schemas.openxmlformats.org/officeDocument/2006/relationships" ref="F1111" r:id="rId1088"/>
    <hyperlink xmlns:r="http://schemas.openxmlformats.org/officeDocument/2006/relationships" ref="F1112" r:id="rId1089"/>
    <hyperlink xmlns:r="http://schemas.openxmlformats.org/officeDocument/2006/relationships" ref="F1113" r:id="rId1090"/>
    <hyperlink xmlns:r="http://schemas.openxmlformats.org/officeDocument/2006/relationships" ref="F1114" r:id="rId1091"/>
    <hyperlink xmlns:r="http://schemas.openxmlformats.org/officeDocument/2006/relationships" ref="F1115" r:id="rId1092"/>
    <hyperlink xmlns:r="http://schemas.openxmlformats.org/officeDocument/2006/relationships" ref="F1116" r:id="rId1093"/>
    <hyperlink xmlns:r="http://schemas.openxmlformats.org/officeDocument/2006/relationships" ref="F1117" r:id="rId1094"/>
    <hyperlink xmlns:r="http://schemas.openxmlformats.org/officeDocument/2006/relationships" ref="F1118" r:id="rId1095"/>
    <hyperlink xmlns:r="http://schemas.openxmlformats.org/officeDocument/2006/relationships" ref="F1119" r:id="rId1096"/>
    <hyperlink xmlns:r="http://schemas.openxmlformats.org/officeDocument/2006/relationships" ref="F1120" r:id="rId1097"/>
    <hyperlink xmlns:r="http://schemas.openxmlformats.org/officeDocument/2006/relationships" ref="F1121" r:id="rId1098"/>
    <hyperlink xmlns:r="http://schemas.openxmlformats.org/officeDocument/2006/relationships" ref="F1122" r:id="rId1099"/>
    <hyperlink xmlns:r="http://schemas.openxmlformats.org/officeDocument/2006/relationships" ref="F1123" r:id="rId1100"/>
    <hyperlink xmlns:r="http://schemas.openxmlformats.org/officeDocument/2006/relationships" ref="F1124" r:id="rId1101"/>
    <hyperlink xmlns:r="http://schemas.openxmlformats.org/officeDocument/2006/relationships" ref="F1125" r:id="rId1102"/>
    <hyperlink xmlns:r="http://schemas.openxmlformats.org/officeDocument/2006/relationships" ref="F1126" r:id="rId1103"/>
    <hyperlink xmlns:r="http://schemas.openxmlformats.org/officeDocument/2006/relationships" ref="F1127" r:id="rId1104"/>
    <hyperlink xmlns:r="http://schemas.openxmlformats.org/officeDocument/2006/relationships" ref="F1128" r:id="rId1105"/>
    <hyperlink xmlns:r="http://schemas.openxmlformats.org/officeDocument/2006/relationships" ref="F1129" r:id="rId1106"/>
    <hyperlink xmlns:r="http://schemas.openxmlformats.org/officeDocument/2006/relationships" ref="F1130" r:id="rId1107"/>
    <hyperlink xmlns:r="http://schemas.openxmlformats.org/officeDocument/2006/relationships" ref="F1131" r:id="rId1108"/>
    <hyperlink xmlns:r="http://schemas.openxmlformats.org/officeDocument/2006/relationships" ref="F1132" r:id="rId1109"/>
    <hyperlink xmlns:r="http://schemas.openxmlformats.org/officeDocument/2006/relationships" ref="F1133" r:id="rId1110"/>
    <hyperlink xmlns:r="http://schemas.openxmlformats.org/officeDocument/2006/relationships" ref="F1134" r:id="rId1111"/>
    <hyperlink xmlns:r="http://schemas.openxmlformats.org/officeDocument/2006/relationships" ref="F1135" r:id="rId1112"/>
    <hyperlink xmlns:r="http://schemas.openxmlformats.org/officeDocument/2006/relationships" ref="F1136" r:id="rId1113"/>
    <hyperlink xmlns:r="http://schemas.openxmlformats.org/officeDocument/2006/relationships" ref="F1137" r:id="rId1114"/>
    <hyperlink xmlns:r="http://schemas.openxmlformats.org/officeDocument/2006/relationships" ref="F1138" r:id="rId1115"/>
    <hyperlink xmlns:r="http://schemas.openxmlformats.org/officeDocument/2006/relationships" ref="F1139" r:id="rId1116"/>
    <hyperlink xmlns:r="http://schemas.openxmlformats.org/officeDocument/2006/relationships" ref="F1140" r:id="rId1117"/>
    <hyperlink xmlns:r="http://schemas.openxmlformats.org/officeDocument/2006/relationships" ref="F1141" r:id="rId1118"/>
    <hyperlink xmlns:r="http://schemas.openxmlformats.org/officeDocument/2006/relationships" ref="F1142" r:id="rId1119"/>
    <hyperlink xmlns:r="http://schemas.openxmlformats.org/officeDocument/2006/relationships" ref="F1143" r:id="rId1120"/>
    <hyperlink xmlns:r="http://schemas.openxmlformats.org/officeDocument/2006/relationships" ref="F1144" r:id="rId1121"/>
    <hyperlink xmlns:r="http://schemas.openxmlformats.org/officeDocument/2006/relationships" ref="F1145" r:id="rId1122"/>
    <hyperlink xmlns:r="http://schemas.openxmlformats.org/officeDocument/2006/relationships" ref="F1146" r:id="rId1123"/>
    <hyperlink xmlns:r="http://schemas.openxmlformats.org/officeDocument/2006/relationships" ref="F1147" r:id="rId1124"/>
    <hyperlink xmlns:r="http://schemas.openxmlformats.org/officeDocument/2006/relationships" ref="F1148" r:id="rId1125"/>
    <hyperlink xmlns:r="http://schemas.openxmlformats.org/officeDocument/2006/relationships" ref="F1149" r:id="rId1126"/>
    <hyperlink xmlns:r="http://schemas.openxmlformats.org/officeDocument/2006/relationships" ref="F1150" r:id="rId1127"/>
    <hyperlink xmlns:r="http://schemas.openxmlformats.org/officeDocument/2006/relationships" ref="F1151" r:id="rId1128"/>
    <hyperlink xmlns:r="http://schemas.openxmlformats.org/officeDocument/2006/relationships" ref="F1152" r:id="rId1129"/>
    <hyperlink xmlns:r="http://schemas.openxmlformats.org/officeDocument/2006/relationships" ref="F1153" r:id="rId1130"/>
    <hyperlink xmlns:r="http://schemas.openxmlformats.org/officeDocument/2006/relationships" ref="F1154" r:id="rId1131"/>
    <hyperlink xmlns:r="http://schemas.openxmlformats.org/officeDocument/2006/relationships" ref="F1155" r:id="rId1132"/>
    <hyperlink xmlns:r="http://schemas.openxmlformats.org/officeDocument/2006/relationships" ref="F1156" r:id="rId1133"/>
    <hyperlink xmlns:r="http://schemas.openxmlformats.org/officeDocument/2006/relationships" ref="F1157" r:id="rId1134"/>
    <hyperlink xmlns:r="http://schemas.openxmlformats.org/officeDocument/2006/relationships" ref="F1158" r:id="rId1135"/>
    <hyperlink xmlns:r="http://schemas.openxmlformats.org/officeDocument/2006/relationships" ref="F1159" r:id="rId1136"/>
    <hyperlink xmlns:r="http://schemas.openxmlformats.org/officeDocument/2006/relationships" ref="F1160" r:id="rId1137"/>
    <hyperlink xmlns:r="http://schemas.openxmlformats.org/officeDocument/2006/relationships" ref="F1161" r:id="rId1138"/>
    <hyperlink xmlns:r="http://schemas.openxmlformats.org/officeDocument/2006/relationships" ref="F1162" r:id="rId1139"/>
    <hyperlink xmlns:r="http://schemas.openxmlformats.org/officeDocument/2006/relationships" ref="F1163" r:id="rId1140"/>
    <hyperlink xmlns:r="http://schemas.openxmlformats.org/officeDocument/2006/relationships" ref="F1164" r:id="rId1141"/>
    <hyperlink xmlns:r="http://schemas.openxmlformats.org/officeDocument/2006/relationships" ref="F1165" r:id="rId1142"/>
    <hyperlink xmlns:r="http://schemas.openxmlformats.org/officeDocument/2006/relationships" ref="F1166" r:id="rId1143"/>
    <hyperlink xmlns:r="http://schemas.openxmlformats.org/officeDocument/2006/relationships" ref="F1167" r:id="rId1144"/>
    <hyperlink xmlns:r="http://schemas.openxmlformats.org/officeDocument/2006/relationships" ref="F1168" r:id="rId1145"/>
    <hyperlink xmlns:r="http://schemas.openxmlformats.org/officeDocument/2006/relationships" ref="F1169" r:id="rId1146"/>
    <hyperlink xmlns:r="http://schemas.openxmlformats.org/officeDocument/2006/relationships" ref="F1170" r:id="rId1147"/>
    <hyperlink xmlns:r="http://schemas.openxmlformats.org/officeDocument/2006/relationships" ref="F1171" r:id="rId1148"/>
    <hyperlink xmlns:r="http://schemas.openxmlformats.org/officeDocument/2006/relationships" ref="F1172" r:id="rId1149"/>
    <hyperlink xmlns:r="http://schemas.openxmlformats.org/officeDocument/2006/relationships" ref="F1173" r:id="rId1150"/>
    <hyperlink xmlns:r="http://schemas.openxmlformats.org/officeDocument/2006/relationships" ref="F1174" r:id="rId1151"/>
    <hyperlink xmlns:r="http://schemas.openxmlformats.org/officeDocument/2006/relationships" ref="F1175" r:id="rId1152"/>
    <hyperlink xmlns:r="http://schemas.openxmlformats.org/officeDocument/2006/relationships" ref="F1176" r:id="rId1153"/>
    <hyperlink xmlns:r="http://schemas.openxmlformats.org/officeDocument/2006/relationships" ref="F1177" r:id="rId1154"/>
    <hyperlink xmlns:r="http://schemas.openxmlformats.org/officeDocument/2006/relationships" ref="F1178" r:id="rId1155"/>
    <hyperlink xmlns:r="http://schemas.openxmlformats.org/officeDocument/2006/relationships" ref="F1179" r:id="rId1156"/>
    <hyperlink xmlns:r="http://schemas.openxmlformats.org/officeDocument/2006/relationships" ref="F1180" r:id="rId1157"/>
    <hyperlink xmlns:r="http://schemas.openxmlformats.org/officeDocument/2006/relationships" ref="F1181" r:id="rId1158"/>
    <hyperlink xmlns:r="http://schemas.openxmlformats.org/officeDocument/2006/relationships" ref="F1182" r:id="rId1159"/>
    <hyperlink xmlns:r="http://schemas.openxmlformats.org/officeDocument/2006/relationships" ref="F1183" r:id="rId1160"/>
    <hyperlink xmlns:r="http://schemas.openxmlformats.org/officeDocument/2006/relationships" ref="F1184" r:id="rId1161"/>
    <hyperlink xmlns:r="http://schemas.openxmlformats.org/officeDocument/2006/relationships" ref="F1185" r:id="rId1162"/>
    <hyperlink xmlns:r="http://schemas.openxmlformats.org/officeDocument/2006/relationships" ref="F1186" r:id="rId1163"/>
    <hyperlink xmlns:r="http://schemas.openxmlformats.org/officeDocument/2006/relationships" ref="F1187" r:id="rId1164"/>
    <hyperlink xmlns:r="http://schemas.openxmlformats.org/officeDocument/2006/relationships" ref="F1188" r:id="rId1165"/>
    <hyperlink xmlns:r="http://schemas.openxmlformats.org/officeDocument/2006/relationships" ref="F1189" r:id="rId1166"/>
    <hyperlink xmlns:r="http://schemas.openxmlformats.org/officeDocument/2006/relationships" ref="F1190" r:id="rId1167"/>
    <hyperlink xmlns:r="http://schemas.openxmlformats.org/officeDocument/2006/relationships" ref="F1191" r:id="rId1168"/>
    <hyperlink xmlns:r="http://schemas.openxmlformats.org/officeDocument/2006/relationships" ref="F1192" r:id="rId1169"/>
    <hyperlink xmlns:r="http://schemas.openxmlformats.org/officeDocument/2006/relationships" ref="F1193" r:id="rId1170"/>
    <hyperlink xmlns:r="http://schemas.openxmlformats.org/officeDocument/2006/relationships" ref="F1194" r:id="rId1171"/>
    <hyperlink xmlns:r="http://schemas.openxmlformats.org/officeDocument/2006/relationships" ref="F1195" r:id="rId1172"/>
    <hyperlink xmlns:r="http://schemas.openxmlformats.org/officeDocument/2006/relationships" ref="F1196" r:id="rId1173"/>
    <hyperlink xmlns:r="http://schemas.openxmlformats.org/officeDocument/2006/relationships" ref="F1197" r:id="rId1174"/>
    <hyperlink xmlns:r="http://schemas.openxmlformats.org/officeDocument/2006/relationships" ref="F1198" r:id="rId1175"/>
    <hyperlink xmlns:r="http://schemas.openxmlformats.org/officeDocument/2006/relationships" ref="F1199" r:id="rId1176"/>
    <hyperlink xmlns:r="http://schemas.openxmlformats.org/officeDocument/2006/relationships" ref="F1200" r:id="rId1177"/>
    <hyperlink xmlns:r="http://schemas.openxmlformats.org/officeDocument/2006/relationships" ref="F1201" r:id="rId1178"/>
    <hyperlink xmlns:r="http://schemas.openxmlformats.org/officeDocument/2006/relationships" ref="F1202" r:id="rId1179"/>
    <hyperlink xmlns:r="http://schemas.openxmlformats.org/officeDocument/2006/relationships" ref="F1203" r:id="rId1180"/>
    <hyperlink xmlns:r="http://schemas.openxmlformats.org/officeDocument/2006/relationships" ref="F1204" r:id="rId1181"/>
    <hyperlink xmlns:r="http://schemas.openxmlformats.org/officeDocument/2006/relationships" ref="F1205" r:id="rId1182"/>
    <hyperlink xmlns:r="http://schemas.openxmlformats.org/officeDocument/2006/relationships" ref="F1206" r:id="rId1183"/>
    <hyperlink xmlns:r="http://schemas.openxmlformats.org/officeDocument/2006/relationships" ref="F1207" r:id="rId1184"/>
    <hyperlink xmlns:r="http://schemas.openxmlformats.org/officeDocument/2006/relationships" ref="F1208" r:id="rId1185"/>
    <hyperlink xmlns:r="http://schemas.openxmlformats.org/officeDocument/2006/relationships" ref="F1209" r:id="rId1186"/>
    <hyperlink xmlns:r="http://schemas.openxmlformats.org/officeDocument/2006/relationships" ref="F1210" r:id="rId1187"/>
    <hyperlink xmlns:r="http://schemas.openxmlformats.org/officeDocument/2006/relationships" ref="F1211" r:id="rId1188"/>
    <hyperlink xmlns:r="http://schemas.openxmlformats.org/officeDocument/2006/relationships" ref="F1212" r:id="rId1189"/>
    <hyperlink xmlns:r="http://schemas.openxmlformats.org/officeDocument/2006/relationships" ref="F1213" r:id="rId1190"/>
    <hyperlink xmlns:r="http://schemas.openxmlformats.org/officeDocument/2006/relationships" ref="F1214" r:id="rId1191"/>
    <hyperlink xmlns:r="http://schemas.openxmlformats.org/officeDocument/2006/relationships" ref="F1215" r:id="rId1192"/>
    <hyperlink xmlns:r="http://schemas.openxmlformats.org/officeDocument/2006/relationships" ref="F1216" r:id="rId1193"/>
    <hyperlink xmlns:r="http://schemas.openxmlformats.org/officeDocument/2006/relationships" ref="F1217" r:id="rId1194"/>
    <hyperlink xmlns:r="http://schemas.openxmlformats.org/officeDocument/2006/relationships" ref="F1218" r:id="rId1195"/>
    <hyperlink xmlns:r="http://schemas.openxmlformats.org/officeDocument/2006/relationships" ref="F1219" r:id="rId1196"/>
    <hyperlink xmlns:r="http://schemas.openxmlformats.org/officeDocument/2006/relationships" ref="F1220" r:id="rId1197"/>
    <hyperlink xmlns:r="http://schemas.openxmlformats.org/officeDocument/2006/relationships" ref="F1221" r:id="rId1198"/>
    <hyperlink xmlns:r="http://schemas.openxmlformats.org/officeDocument/2006/relationships" ref="F1222" r:id="rId1199"/>
    <hyperlink xmlns:r="http://schemas.openxmlformats.org/officeDocument/2006/relationships" ref="F1223" r:id="rId1200"/>
    <hyperlink xmlns:r="http://schemas.openxmlformats.org/officeDocument/2006/relationships" ref="F1224" r:id="rId1201"/>
    <hyperlink xmlns:r="http://schemas.openxmlformats.org/officeDocument/2006/relationships" ref="F1225" r:id="rId1202"/>
    <hyperlink xmlns:r="http://schemas.openxmlformats.org/officeDocument/2006/relationships" ref="F1226" r:id="rId1203"/>
    <hyperlink xmlns:r="http://schemas.openxmlformats.org/officeDocument/2006/relationships" ref="F1227" r:id="rId1204"/>
    <hyperlink xmlns:r="http://schemas.openxmlformats.org/officeDocument/2006/relationships" ref="F1228" r:id="rId1205"/>
    <hyperlink xmlns:r="http://schemas.openxmlformats.org/officeDocument/2006/relationships" ref="F1229" r:id="rId1206"/>
    <hyperlink xmlns:r="http://schemas.openxmlformats.org/officeDocument/2006/relationships" ref="F1230" r:id="rId1207"/>
    <hyperlink xmlns:r="http://schemas.openxmlformats.org/officeDocument/2006/relationships" ref="F1231" r:id="rId1208"/>
    <hyperlink xmlns:r="http://schemas.openxmlformats.org/officeDocument/2006/relationships" ref="F1232" r:id="rId1209"/>
    <hyperlink xmlns:r="http://schemas.openxmlformats.org/officeDocument/2006/relationships" ref="F1233" r:id="rId1210"/>
    <hyperlink xmlns:r="http://schemas.openxmlformats.org/officeDocument/2006/relationships" ref="F1234" r:id="rId1211"/>
    <hyperlink xmlns:r="http://schemas.openxmlformats.org/officeDocument/2006/relationships" ref="F1235" r:id="rId1212"/>
    <hyperlink xmlns:r="http://schemas.openxmlformats.org/officeDocument/2006/relationships" ref="F1236" r:id="rId1213"/>
    <hyperlink xmlns:r="http://schemas.openxmlformats.org/officeDocument/2006/relationships" ref="F1237" r:id="rId1214"/>
    <hyperlink xmlns:r="http://schemas.openxmlformats.org/officeDocument/2006/relationships" ref="F1238" r:id="rId1215"/>
    <hyperlink xmlns:r="http://schemas.openxmlformats.org/officeDocument/2006/relationships" ref="F1239" r:id="rId1216"/>
    <hyperlink xmlns:r="http://schemas.openxmlformats.org/officeDocument/2006/relationships" ref="F1240" r:id="rId1217"/>
    <hyperlink xmlns:r="http://schemas.openxmlformats.org/officeDocument/2006/relationships" ref="F1241" r:id="rId1218"/>
    <hyperlink xmlns:r="http://schemas.openxmlformats.org/officeDocument/2006/relationships" ref="F1242" r:id="rId1219"/>
    <hyperlink xmlns:r="http://schemas.openxmlformats.org/officeDocument/2006/relationships" ref="F1243" r:id="rId1220"/>
    <hyperlink xmlns:r="http://schemas.openxmlformats.org/officeDocument/2006/relationships" ref="F1244" r:id="rId1221"/>
    <hyperlink xmlns:r="http://schemas.openxmlformats.org/officeDocument/2006/relationships" ref="F1245" r:id="rId1222"/>
    <hyperlink xmlns:r="http://schemas.openxmlformats.org/officeDocument/2006/relationships" ref="F1246" r:id="rId1223"/>
    <hyperlink xmlns:r="http://schemas.openxmlformats.org/officeDocument/2006/relationships" ref="F1247" r:id="rId1224"/>
    <hyperlink xmlns:r="http://schemas.openxmlformats.org/officeDocument/2006/relationships" ref="F1248" r:id="rId1225"/>
    <hyperlink xmlns:r="http://schemas.openxmlformats.org/officeDocument/2006/relationships" ref="F1249" r:id="rId1226"/>
    <hyperlink xmlns:r="http://schemas.openxmlformats.org/officeDocument/2006/relationships" ref="F1250" r:id="rId1227"/>
    <hyperlink xmlns:r="http://schemas.openxmlformats.org/officeDocument/2006/relationships" ref="F1251" r:id="rId1228"/>
    <hyperlink xmlns:r="http://schemas.openxmlformats.org/officeDocument/2006/relationships" ref="F1252" r:id="rId1229"/>
    <hyperlink xmlns:r="http://schemas.openxmlformats.org/officeDocument/2006/relationships" ref="F1253" r:id="rId1230"/>
    <hyperlink xmlns:r="http://schemas.openxmlformats.org/officeDocument/2006/relationships" ref="F1254" r:id="rId1231"/>
    <hyperlink xmlns:r="http://schemas.openxmlformats.org/officeDocument/2006/relationships" ref="F1255" r:id="rId1232"/>
    <hyperlink xmlns:r="http://schemas.openxmlformats.org/officeDocument/2006/relationships" ref="F1256" r:id="rId1233"/>
    <hyperlink xmlns:r="http://schemas.openxmlformats.org/officeDocument/2006/relationships" ref="F1257" r:id="rId1234"/>
    <hyperlink xmlns:r="http://schemas.openxmlformats.org/officeDocument/2006/relationships" ref="F1258" r:id="rId1235"/>
    <hyperlink xmlns:r="http://schemas.openxmlformats.org/officeDocument/2006/relationships" ref="F1259" r:id="rId1236"/>
    <hyperlink xmlns:r="http://schemas.openxmlformats.org/officeDocument/2006/relationships" ref="F1260" r:id="rId1237"/>
    <hyperlink xmlns:r="http://schemas.openxmlformats.org/officeDocument/2006/relationships" ref="F1261" r:id="rId1238"/>
    <hyperlink xmlns:r="http://schemas.openxmlformats.org/officeDocument/2006/relationships" ref="F1262" r:id="rId1239"/>
    <hyperlink xmlns:r="http://schemas.openxmlformats.org/officeDocument/2006/relationships" ref="F1263" r:id="rId1240"/>
    <hyperlink xmlns:r="http://schemas.openxmlformats.org/officeDocument/2006/relationships" ref="F1264" r:id="rId1241"/>
    <hyperlink xmlns:r="http://schemas.openxmlformats.org/officeDocument/2006/relationships" ref="F1265" r:id="rId1242"/>
    <hyperlink xmlns:r="http://schemas.openxmlformats.org/officeDocument/2006/relationships" ref="F1266" r:id="rId1243"/>
    <hyperlink xmlns:r="http://schemas.openxmlformats.org/officeDocument/2006/relationships" ref="F1267" r:id="rId1244"/>
    <hyperlink xmlns:r="http://schemas.openxmlformats.org/officeDocument/2006/relationships" ref="F1268" r:id="rId1245"/>
    <hyperlink xmlns:r="http://schemas.openxmlformats.org/officeDocument/2006/relationships" ref="F1269" r:id="rId1246"/>
    <hyperlink xmlns:r="http://schemas.openxmlformats.org/officeDocument/2006/relationships" ref="F1270" r:id="rId1247"/>
    <hyperlink xmlns:r="http://schemas.openxmlformats.org/officeDocument/2006/relationships" ref="F1271" r:id="rId1248"/>
    <hyperlink xmlns:r="http://schemas.openxmlformats.org/officeDocument/2006/relationships" ref="F1272" r:id="rId1249"/>
    <hyperlink xmlns:r="http://schemas.openxmlformats.org/officeDocument/2006/relationships" ref="F1273" r:id="rId1250"/>
    <hyperlink xmlns:r="http://schemas.openxmlformats.org/officeDocument/2006/relationships" ref="F1274" r:id="rId1251"/>
    <hyperlink xmlns:r="http://schemas.openxmlformats.org/officeDocument/2006/relationships" ref="F1275" r:id="rId1252"/>
    <hyperlink xmlns:r="http://schemas.openxmlformats.org/officeDocument/2006/relationships" ref="F1276" r:id="rId1253"/>
    <hyperlink xmlns:r="http://schemas.openxmlformats.org/officeDocument/2006/relationships" ref="F1277" r:id="rId1254"/>
    <hyperlink xmlns:r="http://schemas.openxmlformats.org/officeDocument/2006/relationships" ref="F1278" r:id="rId1255"/>
    <hyperlink xmlns:r="http://schemas.openxmlformats.org/officeDocument/2006/relationships" ref="F1279" r:id="rId1256"/>
    <hyperlink xmlns:r="http://schemas.openxmlformats.org/officeDocument/2006/relationships" ref="F1280" r:id="rId1257"/>
    <hyperlink xmlns:r="http://schemas.openxmlformats.org/officeDocument/2006/relationships" ref="F1281" r:id="rId1258"/>
    <hyperlink xmlns:r="http://schemas.openxmlformats.org/officeDocument/2006/relationships" ref="F1282" r:id="rId1259"/>
    <hyperlink xmlns:r="http://schemas.openxmlformats.org/officeDocument/2006/relationships" ref="F1283" r:id="rId1260"/>
    <hyperlink xmlns:r="http://schemas.openxmlformats.org/officeDocument/2006/relationships" ref="F1284" r:id="rId1261"/>
    <hyperlink xmlns:r="http://schemas.openxmlformats.org/officeDocument/2006/relationships" ref="F1285" r:id="rId1262"/>
    <hyperlink xmlns:r="http://schemas.openxmlformats.org/officeDocument/2006/relationships" ref="F1286" r:id="rId1263"/>
    <hyperlink xmlns:r="http://schemas.openxmlformats.org/officeDocument/2006/relationships" ref="F1287" r:id="rId1264"/>
    <hyperlink xmlns:r="http://schemas.openxmlformats.org/officeDocument/2006/relationships" ref="F1288" r:id="rId1265"/>
    <hyperlink xmlns:r="http://schemas.openxmlformats.org/officeDocument/2006/relationships" ref="F1289" r:id="rId1266"/>
    <hyperlink xmlns:r="http://schemas.openxmlformats.org/officeDocument/2006/relationships" ref="F1290" r:id="rId1267"/>
    <hyperlink xmlns:r="http://schemas.openxmlformats.org/officeDocument/2006/relationships" ref="F1291" r:id="rId1268"/>
    <hyperlink xmlns:r="http://schemas.openxmlformats.org/officeDocument/2006/relationships" ref="F1292" r:id="rId1269"/>
    <hyperlink xmlns:r="http://schemas.openxmlformats.org/officeDocument/2006/relationships" ref="F1293" r:id="rId1270"/>
    <hyperlink xmlns:r="http://schemas.openxmlformats.org/officeDocument/2006/relationships" ref="F1294" r:id="rId1271"/>
    <hyperlink xmlns:r="http://schemas.openxmlformats.org/officeDocument/2006/relationships" ref="F1295" r:id="rId1272"/>
    <hyperlink xmlns:r="http://schemas.openxmlformats.org/officeDocument/2006/relationships" ref="F1296" r:id="rId1273"/>
    <hyperlink xmlns:r="http://schemas.openxmlformats.org/officeDocument/2006/relationships" ref="F1297" r:id="rId1274"/>
    <hyperlink xmlns:r="http://schemas.openxmlformats.org/officeDocument/2006/relationships" ref="F1298" r:id="rId1275"/>
    <hyperlink xmlns:r="http://schemas.openxmlformats.org/officeDocument/2006/relationships" ref="F1299" r:id="rId1276"/>
    <hyperlink xmlns:r="http://schemas.openxmlformats.org/officeDocument/2006/relationships" ref="F1300" r:id="rId1277"/>
    <hyperlink xmlns:r="http://schemas.openxmlformats.org/officeDocument/2006/relationships" ref="F1301" r:id="rId1278"/>
    <hyperlink xmlns:r="http://schemas.openxmlformats.org/officeDocument/2006/relationships" ref="F1302" r:id="rId1279"/>
    <hyperlink xmlns:r="http://schemas.openxmlformats.org/officeDocument/2006/relationships" ref="F1303" r:id="rId1280"/>
    <hyperlink xmlns:r="http://schemas.openxmlformats.org/officeDocument/2006/relationships" ref="F1304" r:id="rId1281"/>
    <hyperlink xmlns:r="http://schemas.openxmlformats.org/officeDocument/2006/relationships" ref="F1305" r:id="rId1282"/>
    <hyperlink xmlns:r="http://schemas.openxmlformats.org/officeDocument/2006/relationships" ref="F1306" r:id="rId1283"/>
    <hyperlink xmlns:r="http://schemas.openxmlformats.org/officeDocument/2006/relationships" ref="F1307" r:id="rId1284"/>
    <hyperlink xmlns:r="http://schemas.openxmlformats.org/officeDocument/2006/relationships" ref="F1308" r:id="rId1285"/>
    <hyperlink xmlns:r="http://schemas.openxmlformats.org/officeDocument/2006/relationships" ref="F1309" r:id="rId1286"/>
    <hyperlink xmlns:r="http://schemas.openxmlformats.org/officeDocument/2006/relationships" ref="F1310" r:id="rId1287"/>
    <hyperlink xmlns:r="http://schemas.openxmlformats.org/officeDocument/2006/relationships" ref="F1311" r:id="rId1288"/>
    <hyperlink xmlns:r="http://schemas.openxmlformats.org/officeDocument/2006/relationships" ref="F1312" r:id="rId1289"/>
    <hyperlink xmlns:r="http://schemas.openxmlformats.org/officeDocument/2006/relationships" ref="F1313" r:id="rId1290"/>
    <hyperlink xmlns:r="http://schemas.openxmlformats.org/officeDocument/2006/relationships" ref="F1314" r:id="rId1291"/>
    <hyperlink xmlns:r="http://schemas.openxmlformats.org/officeDocument/2006/relationships" ref="F1315" r:id="rId1292"/>
    <hyperlink xmlns:r="http://schemas.openxmlformats.org/officeDocument/2006/relationships" ref="F1316" r:id="rId1293"/>
    <hyperlink xmlns:r="http://schemas.openxmlformats.org/officeDocument/2006/relationships" ref="F1317" r:id="rId1294"/>
    <hyperlink xmlns:r="http://schemas.openxmlformats.org/officeDocument/2006/relationships" ref="F1318" r:id="rId1295"/>
    <hyperlink xmlns:r="http://schemas.openxmlformats.org/officeDocument/2006/relationships" ref="F1319" r:id="rId1296"/>
    <hyperlink xmlns:r="http://schemas.openxmlformats.org/officeDocument/2006/relationships" ref="F1320" r:id="rId1297"/>
    <hyperlink xmlns:r="http://schemas.openxmlformats.org/officeDocument/2006/relationships" ref="F1321" r:id="rId1298"/>
    <hyperlink xmlns:r="http://schemas.openxmlformats.org/officeDocument/2006/relationships" ref="F1322" r:id="rId1299"/>
    <hyperlink xmlns:r="http://schemas.openxmlformats.org/officeDocument/2006/relationships" ref="F1323" r:id="rId1300"/>
    <hyperlink xmlns:r="http://schemas.openxmlformats.org/officeDocument/2006/relationships" ref="F1324" r:id="rId1301"/>
    <hyperlink xmlns:r="http://schemas.openxmlformats.org/officeDocument/2006/relationships" ref="F1325" r:id="rId1302"/>
    <hyperlink xmlns:r="http://schemas.openxmlformats.org/officeDocument/2006/relationships" ref="F1326" r:id="rId1303"/>
    <hyperlink xmlns:r="http://schemas.openxmlformats.org/officeDocument/2006/relationships" ref="F1327" r:id="rId1304"/>
    <hyperlink xmlns:r="http://schemas.openxmlformats.org/officeDocument/2006/relationships" ref="F1328" r:id="rId1305"/>
    <hyperlink xmlns:r="http://schemas.openxmlformats.org/officeDocument/2006/relationships" ref="F1329" r:id="rId1306"/>
    <hyperlink xmlns:r="http://schemas.openxmlformats.org/officeDocument/2006/relationships" ref="F1330" r:id="rId1307"/>
    <hyperlink xmlns:r="http://schemas.openxmlformats.org/officeDocument/2006/relationships" ref="F1331" r:id="rId1308"/>
    <hyperlink xmlns:r="http://schemas.openxmlformats.org/officeDocument/2006/relationships" ref="F1332" r:id="rId1309"/>
    <hyperlink xmlns:r="http://schemas.openxmlformats.org/officeDocument/2006/relationships" ref="F1333" r:id="rId1310"/>
    <hyperlink xmlns:r="http://schemas.openxmlformats.org/officeDocument/2006/relationships" ref="F1334" r:id="rId1311"/>
    <hyperlink xmlns:r="http://schemas.openxmlformats.org/officeDocument/2006/relationships" ref="F1335" r:id="rId1312"/>
    <hyperlink xmlns:r="http://schemas.openxmlformats.org/officeDocument/2006/relationships" ref="F1336" r:id="rId1313"/>
    <hyperlink xmlns:r="http://schemas.openxmlformats.org/officeDocument/2006/relationships" ref="F1337" r:id="rId1314"/>
    <hyperlink xmlns:r="http://schemas.openxmlformats.org/officeDocument/2006/relationships" ref="F1338" r:id="rId1315"/>
    <hyperlink xmlns:r="http://schemas.openxmlformats.org/officeDocument/2006/relationships" ref="F1339" r:id="rId1316"/>
    <hyperlink xmlns:r="http://schemas.openxmlformats.org/officeDocument/2006/relationships" ref="F1340" r:id="rId1317"/>
    <hyperlink xmlns:r="http://schemas.openxmlformats.org/officeDocument/2006/relationships" ref="F1341" r:id="rId1318"/>
    <hyperlink xmlns:r="http://schemas.openxmlformats.org/officeDocument/2006/relationships" ref="F1342" r:id="rId1319"/>
    <hyperlink xmlns:r="http://schemas.openxmlformats.org/officeDocument/2006/relationships" ref="F1343" r:id="rId1320"/>
    <hyperlink xmlns:r="http://schemas.openxmlformats.org/officeDocument/2006/relationships" ref="F1344" r:id="rId1321"/>
    <hyperlink xmlns:r="http://schemas.openxmlformats.org/officeDocument/2006/relationships" ref="F1345" r:id="rId1322"/>
    <hyperlink xmlns:r="http://schemas.openxmlformats.org/officeDocument/2006/relationships" ref="F1346" r:id="rId1323"/>
    <hyperlink xmlns:r="http://schemas.openxmlformats.org/officeDocument/2006/relationships" ref="F1347" r:id="rId1324"/>
    <hyperlink xmlns:r="http://schemas.openxmlformats.org/officeDocument/2006/relationships" ref="F1348" r:id="rId1325"/>
    <hyperlink xmlns:r="http://schemas.openxmlformats.org/officeDocument/2006/relationships" ref="F1349" r:id="rId1326"/>
    <hyperlink xmlns:r="http://schemas.openxmlformats.org/officeDocument/2006/relationships" ref="F1350" r:id="rId1327"/>
    <hyperlink xmlns:r="http://schemas.openxmlformats.org/officeDocument/2006/relationships" ref="F1351" r:id="rId1328"/>
    <hyperlink xmlns:r="http://schemas.openxmlformats.org/officeDocument/2006/relationships" ref="F1352" r:id="rId1329"/>
    <hyperlink xmlns:r="http://schemas.openxmlformats.org/officeDocument/2006/relationships" ref="F1353" r:id="rId1330"/>
    <hyperlink xmlns:r="http://schemas.openxmlformats.org/officeDocument/2006/relationships" ref="F1354" r:id="rId1331"/>
    <hyperlink xmlns:r="http://schemas.openxmlformats.org/officeDocument/2006/relationships" ref="F1355" r:id="rId1332"/>
    <hyperlink xmlns:r="http://schemas.openxmlformats.org/officeDocument/2006/relationships" ref="F1356" r:id="rId1333"/>
    <hyperlink xmlns:r="http://schemas.openxmlformats.org/officeDocument/2006/relationships" ref="F1357" r:id="rId1334"/>
    <hyperlink xmlns:r="http://schemas.openxmlformats.org/officeDocument/2006/relationships" ref="F1358" r:id="rId1335"/>
    <hyperlink xmlns:r="http://schemas.openxmlformats.org/officeDocument/2006/relationships" ref="F1359" r:id="rId1336"/>
    <hyperlink xmlns:r="http://schemas.openxmlformats.org/officeDocument/2006/relationships" ref="F1360" r:id="rId1337"/>
    <hyperlink xmlns:r="http://schemas.openxmlformats.org/officeDocument/2006/relationships" ref="F1361" r:id="rId1338"/>
    <hyperlink xmlns:r="http://schemas.openxmlformats.org/officeDocument/2006/relationships" ref="F1362" r:id="rId1339"/>
    <hyperlink xmlns:r="http://schemas.openxmlformats.org/officeDocument/2006/relationships" ref="F1363" r:id="rId1340"/>
    <hyperlink xmlns:r="http://schemas.openxmlformats.org/officeDocument/2006/relationships" ref="F1364" r:id="rId1341"/>
    <hyperlink xmlns:r="http://schemas.openxmlformats.org/officeDocument/2006/relationships" ref="F1365" r:id="rId1342"/>
    <hyperlink xmlns:r="http://schemas.openxmlformats.org/officeDocument/2006/relationships" ref="F1366" r:id="rId1343"/>
    <hyperlink xmlns:r="http://schemas.openxmlformats.org/officeDocument/2006/relationships" ref="F1367" r:id="rId1344"/>
    <hyperlink xmlns:r="http://schemas.openxmlformats.org/officeDocument/2006/relationships" ref="F1368" r:id="rId1345"/>
    <hyperlink xmlns:r="http://schemas.openxmlformats.org/officeDocument/2006/relationships" ref="F1369" r:id="rId1346"/>
    <hyperlink xmlns:r="http://schemas.openxmlformats.org/officeDocument/2006/relationships" ref="F1370" r:id="rId1347"/>
    <hyperlink xmlns:r="http://schemas.openxmlformats.org/officeDocument/2006/relationships" ref="F1371" r:id="rId1348"/>
    <hyperlink xmlns:r="http://schemas.openxmlformats.org/officeDocument/2006/relationships" ref="F1372" r:id="rId1349"/>
    <hyperlink xmlns:r="http://schemas.openxmlformats.org/officeDocument/2006/relationships" ref="F1373" r:id="rId1350"/>
    <hyperlink xmlns:r="http://schemas.openxmlformats.org/officeDocument/2006/relationships" ref="F1374" r:id="rId1351"/>
    <hyperlink xmlns:r="http://schemas.openxmlformats.org/officeDocument/2006/relationships" ref="F1375" r:id="rId1352"/>
    <hyperlink xmlns:r="http://schemas.openxmlformats.org/officeDocument/2006/relationships" ref="F1376" r:id="rId1353"/>
    <hyperlink xmlns:r="http://schemas.openxmlformats.org/officeDocument/2006/relationships" ref="F1377" r:id="rId1354"/>
    <hyperlink xmlns:r="http://schemas.openxmlformats.org/officeDocument/2006/relationships" ref="F1378" r:id="rId1355"/>
    <hyperlink xmlns:r="http://schemas.openxmlformats.org/officeDocument/2006/relationships" ref="F1379" r:id="rId1356"/>
    <hyperlink xmlns:r="http://schemas.openxmlformats.org/officeDocument/2006/relationships" ref="F1380" r:id="rId1357"/>
    <hyperlink xmlns:r="http://schemas.openxmlformats.org/officeDocument/2006/relationships" ref="F1381" r:id="rId1358"/>
    <hyperlink xmlns:r="http://schemas.openxmlformats.org/officeDocument/2006/relationships" ref="F1382" r:id="rId1359"/>
    <hyperlink xmlns:r="http://schemas.openxmlformats.org/officeDocument/2006/relationships" ref="F1383" r:id="rId1360"/>
    <hyperlink xmlns:r="http://schemas.openxmlformats.org/officeDocument/2006/relationships" ref="F1384" r:id="rId1361"/>
    <hyperlink xmlns:r="http://schemas.openxmlformats.org/officeDocument/2006/relationships" ref="F1385" r:id="rId1362"/>
    <hyperlink xmlns:r="http://schemas.openxmlformats.org/officeDocument/2006/relationships" ref="F1386" r:id="rId1363"/>
    <hyperlink xmlns:r="http://schemas.openxmlformats.org/officeDocument/2006/relationships" ref="F1387" r:id="rId1364"/>
    <hyperlink xmlns:r="http://schemas.openxmlformats.org/officeDocument/2006/relationships" ref="F1388" r:id="rId1365"/>
    <hyperlink xmlns:r="http://schemas.openxmlformats.org/officeDocument/2006/relationships" ref="F1389" r:id="rId1366"/>
    <hyperlink xmlns:r="http://schemas.openxmlformats.org/officeDocument/2006/relationships" ref="F1390" r:id="rId1367"/>
    <hyperlink xmlns:r="http://schemas.openxmlformats.org/officeDocument/2006/relationships" ref="F1391" r:id="rId1368"/>
    <hyperlink xmlns:r="http://schemas.openxmlformats.org/officeDocument/2006/relationships" ref="F1392" r:id="rId1369"/>
    <hyperlink xmlns:r="http://schemas.openxmlformats.org/officeDocument/2006/relationships" ref="F1393" r:id="rId1370"/>
    <hyperlink xmlns:r="http://schemas.openxmlformats.org/officeDocument/2006/relationships" ref="F1394" r:id="rId1371"/>
    <hyperlink xmlns:r="http://schemas.openxmlformats.org/officeDocument/2006/relationships" ref="F1395" r:id="rId1372"/>
    <hyperlink xmlns:r="http://schemas.openxmlformats.org/officeDocument/2006/relationships" ref="F1396" r:id="rId1373"/>
    <hyperlink xmlns:r="http://schemas.openxmlformats.org/officeDocument/2006/relationships" ref="F1397" r:id="rId1374"/>
    <hyperlink xmlns:r="http://schemas.openxmlformats.org/officeDocument/2006/relationships" ref="F1398" r:id="rId1375"/>
    <hyperlink xmlns:r="http://schemas.openxmlformats.org/officeDocument/2006/relationships" ref="F1399" r:id="rId1376"/>
    <hyperlink xmlns:r="http://schemas.openxmlformats.org/officeDocument/2006/relationships" ref="F1400" r:id="rId1377"/>
    <hyperlink xmlns:r="http://schemas.openxmlformats.org/officeDocument/2006/relationships" ref="F1401" r:id="rId1378"/>
    <hyperlink xmlns:r="http://schemas.openxmlformats.org/officeDocument/2006/relationships" ref="F1402" r:id="rId1379"/>
    <hyperlink xmlns:r="http://schemas.openxmlformats.org/officeDocument/2006/relationships" ref="F1403" r:id="rId1380"/>
    <hyperlink xmlns:r="http://schemas.openxmlformats.org/officeDocument/2006/relationships" ref="F1404" r:id="rId1381"/>
    <hyperlink xmlns:r="http://schemas.openxmlformats.org/officeDocument/2006/relationships" ref="F1405" r:id="rId1382"/>
    <hyperlink xmlns:r="http://schemas.openxmlformats.org/officeDocument/2006/relationships" ref="F1406" r:id="rId1383"/>
    <hyperlink xmlns:r="http://schemas.openxmlformats.org/officeDocument/2006/relationships" ref="F1407" r:id="rId1384"/>
    <hyperlink xmlns:r="http://schemas.openxmlformats.org/officeDocument/2006/relationships" ref="F1408" r:id="rId1385"/>
    <hyperlink xmlns:r="http://schemas.openxmlformats.org/officeDocument/2006/relationships" ref="F1409" r:id="rId1386"/>
    <hyperlink xmlns:r="http://schemas.openxmlformats.org/officeDocument/2006/relationships" ref="F1410" r:id="rId1387"/>
    <hyperlink xmlns:r="http://schemas.openxmlformats.org/officeDocument/2006/relationships" ref="F1411" r:id="rId1388"/>
    <hyperlink xmlns:r="http://schemas.openxmlformats.org/officeDocument/2006/relationships" ref="F1412" r:id="rId1389"/>
    <hyperlink xmlns:r="http://schemas.openxmlformats.org/officeDocument/2006/relationships" ref="F1413" r:id="rId1390"/>
    <hyperlink xmlns:r="http://schemas.openxmlformats.org/officeDocument/2006/relationships" ref="F1414" r:id="rId1391"/>
    <hyperlink xmlns:r="http://schemas.openxmlformats.org/officeDocument/2006/relationships" ref="F1415" r:id="rId1392"/>
    <hyperlink xmlns:r="http://schemas.openxmlformats.org/officeDocument/2006/relationships" ref="F1416" r:id="rId1393"/>
    <hyperlink xmlns:r="http://schemas.openxmlformats.org/officeDocument/2006/relationships" ref="F1417" r:id="rId1394"/>
    <hyperlink xmlns:r="http://schemas.openxmlformats.org/officeDocument/2006/relationships" ref="F1418" r:id="rId1395"/>
    <hyperlink xmlns:r="http://schemas.openxmlformats.org/officeDocument/2006/relationships" ref="F1419" r:id="rId1396"/>
    <hyperlink xmlns:r="http://schemas.openxmlformats.org/officeDocument/2006/relationships" ref="F1420" r:id="rId1397"/>
    <hyperlink xmlns:r="http://schemas.openxmlformats.org/officeDocument/2006/relationships" ref="F1421" r:id="rId1398"/>
    <hyperlink xmlns:r="http://schemas.openxmlformats.org/officeDocument/2006/relationships" ref="F1422" r:id="rId1399"/>
    <hyperlink xmlns:r="http://schemas.openxmlformats.org/officeDocument/2006/relationships" ref="F1423" r:id="rId1400"/>
    <hyperlink xmlns:r="http://schemas.openxmlformats.org/officeDocument/2006/relationships" ref="F1424" r:id="rId1401"/>
    <hyperlink xmlns:r="http://schemas.openxmlformats.org/officeDocument/2006/relationships" ref="F1425" r:id="rId1402"/>
    <hyperlink xmlns:r="http://schemas.openxmlformats.org/officeDocument/2006/relationships" ref="F1426" r:id="rId1403"/>
    <hyperlink xmlns:r="http://schemas.openxmlformats.org/officeDocument/2006/relationships" ref="F1427" r:id="rId1404"/>
    <hyperlink xmlns:r="http://schemas.openxmlformats.org/officeDocument/2006/relationships" ref="F1428" r:id="rId1405"/>
    <hyperlink xmlns:r="http://schemas.openxmlformats.org/officeDocument/2006/relationships" ref="F1429" r:id="rId1406"/>
    <hyperlink xmlns:r="http://schemas.openxmlformats.org/officeDocument/2006/relationships" ref="F1430" r:id="rId1407"/>
    <hyperlink xmlns:r="http://schemas.openxmlformats.org/officeDocument/2006/relationships" ref="F1431" r:id="rId1408"/>
    <hyperlink xmlns:r="http://schemas.openxmlformats.org/officeDocument/2006/relationships" ref="F1432" r:id="rId1409"/>
    <hyperlink xmlns:r="http://schemas.openxmlformats.org/officeDocument/2006/relationships" ref="F1433" r:id="rId1410"/>
    <hyperlink xmlns:r="http://schemas.openxmlformats.org/officeDocument/2006/relationships" ref="F1434" r:id="rId1411"/>
    <hyperlink xmlns:r="http://schemas.openxmlformats.org/officeDocument/2006/relationships" ref="F1435" r:id="rId1412"/>
    <hyperlink xmlns:r="http://schemas.openxmlformats.org/officeDocument/2006/relationships" ref="F1436" r:id="rId1413"/>
    <hyperlink xmlns:r="http://schemas.openxmlformats.org/officeDocument/2006/relationships" ref="F1437" r:id="rId1414"/>
    <hyperlink xmlns:r="http://schemas.openxmlformats.org/officeDocument/2006/relationships" ref="F1438" r:id="rId1415"/>
    <hyperlink xmlns:r="http://schemas.openxmlformats.org/officeDocument/2006/relationships" ref="F1439" r:id="rId1416"/>
    <hyperlink xmlns:r="http://schemas.openxmlformats.org/officeDocument/2006/relationships" ref="F1440" r:id="rId1417"/>
    <hyperlink xmlns:r="http://schemas.openxmlformats.org/officeDocument/2006/relationships" ref="F1441" r:id="rId1418"/>
    <hyperlink xmlns:r="http://schemas.openxmlformats.org/officeDocument/2006/relationships" ref="F1442" r:id="rId1419"/>
    <hyperlink xmlns:r="http://schemas.openxmlformats.org/officeDocument/2006/relationships" ref="F1443" r:id="rId1420"/>
    <hyperlink xmlns:r="http://schemas.openxmlformats.org/officeDocument/2006/relationships" ref="F1444" r:id="rId1421"/>
    <hyperlink xmlns:r="http://schemas.openxmlformats.org/officeDocument/2006/relationships" ref="F1445" r:id="rId1422"/>
    <hyperlink xmlns:r="http://schemas.openxmlformats.org/officeDocument/2006/relationships" ref="F1446" r:id="rId1423"/>
    <hyperlink xmlns:r="http://schemas.openxmlformats.org/officeDocument/2006/relationships" ref="F1447" r:id="rId1424"/>
    <hyperlink xmlns:r="http://schemas.openxmlformats.org/officeDocument/2006/relationships" ref="F1448" r:id="rId1425"/>
    <hyperlink xmlns:r="http://schemas.openxmlformats.org/officeDocument/2006/relationships" ref="F1449" r:id="rId1426"/>
    <hyperlink xmlns:r="http://schemas.openxmlformats.org/officeDocument/2006/relationships" ref="F1450" r:id="rId1427"/>
    <hyperlink xmlns:r="http://schemas.openxmlformats.org/officeDocument/2006/relationships" ref="F1451" r:id="rId1428"/>
    <hyperlink xmlns:r="http://schemas.openxmlformats.org/officeDocument/2006/relationships" ref="F1452" r:id="rId1429"/>
    <hyperlink xmlns:r="http://schemas.openxmlformats.org/officeDocument/2006/relationships" ref="F1453" r:id="rId1430"/>
    <hyperlink xmlns:r="http://schemas.openxmlformats.org/officeDocument/2006/relationships" ref="F1454" r:id="rId1431"/>
    <hyperlink xmlns:r="http://schemas.openxmlformats.org/officeDocument/2006/relationships" ref="F1455" r:id="rId1432"/>
    <hyperlink xmlns:r="http://schemas.openxmlformats.org/officeDocument/2006/relationships" ref="F1456" r:id="rId1433"/>
    <hyperlink xmlns:r="http://schemas.openxmlformats.org/officeDocument/2006/relationships" ref="F1457" r:id="rId1434"/>
    <hyperlink xmlns:r="http://schemas.openxmlformats.org/officeDocument/2006/relationships" ref="F1458" r:id="rId1435"/>
    <hyperlink xmlns:r="http://schemas.openxmlformats.org/officeDocument/2006/relationships" ref="F1459" r:id="rId1436"/>
    <hyperlink xmlns:r="http://schemas.openxmlformats.org/officeDocument/2006/relationships" ref="F1460" r:id="rId1437"/>
    <hyperlink xmlns:r="http://schemas.openxmlformats.org/officeDocument/2006/relationships" ref="F1461" r:id="rId1438"/>
    <hyperlink xmlns:r="http://schemas.openxmlformats.org/officeDocument/2006/relationships" ref="F1462" r:id="rId1439"/>
    <hyperlink xmlns:r="http://schemas.openxmlformats.org/officeDocument/2006/relationships" ref="F1463" r:id="rId1440"/>
    <hyperlink xmlns:r="http://schemas.openxmlformats.org/officeDocument/2006/relationships" ref="F1464" r:id="rId1441"/>
    <hyperlink xmlns:r="http://schemas.openxmlformats.org/officeDocument/2006/relationships" ref="F1465" r:id="rId1442"/>
    <hyperlink xmlns:r="http://schemas.openxmlformats.org/officeDocument/2006/relationships" ref="F1466" r:id="rId1443"/>
    <hyperlink xmlns:r="http://schemas.openxmlformats.org/officeDocument/2006/relationships" ref="F1467" r:id="rId1444"/>
    <hyperlink xmlns:r="http://schemas.openxmlformats.org/officeDocument/2006/relationships" ref="F1468" r:id="rId1445"/>
    <hyperlink xmlns:r="http://schemas.openxmlformats.org/officeDocument/2006/relationships" ref="F1469" r:id="rId1446"/>
    <hyperlink xmlns:r="http://schemas.openxmlformats.org/officeDocument/2006/relationships" ref="F1470" r:id="rId1447"/>
    <hyperlink xmlns:r="http://schemas.openxmlformats.org/officeDocument/2006/relationships" ref="F1471" r:id="rId1448"/>
    <hyperlink xmlns:r="http://schemas.openxmlformats.org/officeDocument/2006/relationships" ref="F1472" r:id="rId1449"/>
    <hyperlink xmlns:r="http://schemas.openxmlformats.org/officeDocument/2006/relationships" ref="F1473" r:id="rId1450"/>
    <hyperlink xmlns:r="http://schemas.openxmlformats.org/officeDocument/2006/relationships" ref="F1474" r:id="rId1451"/>
    <hyperlink xmlns:r="http://schemas.openxmlformats.org/officeDocument/2006/relationships" ref="F1475" r:id="rId1452"/>
    <hyperlink xmlns:r="http://schemas.openxmlformats.org/officeDocument/2006/relationships" ref="F1476" r:id="rId1453"/>
    <hyperlink xmlns:r="http://schemas.openxmlformats.org/officeDocument/2006/relationships" ref="F1477" r:id="rId1454"/>
    <hyperlink xmlns:r="http://schemas.openxmlformats.org/officeDocument/2006/relationships" ref="F1478" r:id="rId1455"/>
    <hyperlink xmlns:r="http://schemas.openxmlformats.org/officeDocument/2006/relationships" ref="F1479" r:id="rId1456"/>
    <hyperlink xmlns:r="http://schemas.openxmlformats.org/officeDocument/2006/relationships" ref="F1480" r:id="rId1457"/>
    <hyperlink xmlns:r="http://schemas.openxmlformats.org/officeDocument/2006/relationships" ref="F1481" r:id="rId1458"/>
    <hyperlink xmlns:r="http://schemas.openxmlformats.org/officeDocument/2006/relationships" ref="F1482" r:id="rId1459"/>
    <hyperlink xmlns:r="http://schemas.openxmlformats.org/officeDocument/2006/relationships" ref="F1483" r:id="rId1460"/>
    <hyperlink xmlns:r="http://schemas.openxmlformats.org/officeDocument/2006/relationships" ref="F1484" r:id="rId1461"/>
    <hyperlink xmlns:r="http://schemas.openxmlformats.org/officeDocument/2006/relationships" ref="F1485" r:id="rId1462"/>
    <hyperlink xmlns:r="http://schemas.openxmlformats.org/officeDocument/2006/relationships" ref="F1486" r:id="rId1463"/>
    <hyperlink xmlns:r="http://schemas.openxmlformats.org/officeDocument/2006/relationships" ref="F1487" r:id="rId1464"/>
    <hyperlink xmlns:r="http://schemas.openxmlformats.org/officeDocument/2006/relationships" ref="F1488" r:id="rId1465"/>
    <hyperlink xmlns:r="http://schemas.openxmlformats.org/officeDocument/2006/relationships" ref="F1489" r:id="rId1466"/>
    <hyperlink xmlns:r="http://schemas.openxmlformats.org/officeDocument/2006/relationships" ref="F1490" r:id="rId1467"/>
    <hyperlink xmlns:r="http://schemas.openxmlformats.org/officeDocument/2006/relationships" ref="F1491" r:id="rId1468"/>
    <hyperlink xmlns:r="http://schemas.openxmlformats.org/officeDocument/2006/relationships" ref="F1492" r:id="rId1469"/>
    <hyperlink xmlns:r="http://schemas.openxmlformats.org/officeDocument/2006/relationships" ref="F1493" r:id="rId1470"/>
    <hyperlink xmlns:r="http://schemas.openxmlformats.org/officeDocument/2006/relationships" ref="F1494" r:id="rId1471"/>
    <hyperlink xmlns:r="http://schemas.openxmlformats.org/officeDocument/2006/relationships" ref="F1495" r:id="rId1472"/>
    <hyperlink xmlns:r="http://schemas.openxmlformats.org/officeDocument/2006/relationships" ref="F1496" r:id="rId1473"/>
    <hyperlink xmlns:r="http://schemas.openxmlformats.org/officeDocument/2006/relationships" ref="F1497" r:id="rId1474"/>
    <hyperlink xmlns:r="http://schemas.openxmlformats.org/officeDocument/2006/relationships" ref="F1498" r:id="rId1475"/>
    <hyperlink xmlns:r="http://schemas.openxmlformats.org/officeDocument/2006/relationships" ref="F1499" r:id="rId1476"/>
    <hyperlink xmlns:r="http://schemas.openxmlformats.org/officeDocument/2006/relationships" ref="F1500" r:id="rId1477"/>
    <hyperlink xmlns:r="http://schemas.openxmlformats.org/officeDocument/2006/relationships" ref="F1501" r:id="rId1478"/>
    <hyperlink xmlns:r="http://schemas.openxmlformats.org/officeDocument/2006/relationships" ref="F1502" r:id="rId1479"/>
    <hyperlink xmlns:r="http://schemas.openxmlformats.org/officeDocument/2006/relationships" ref="F1503" r:id="rId1480"/>
    <hyperlink xmlns:r="http://schemas.openxmlformats.org/officeDocument/2006/relationships" ref="F1504" r:id="rId1481"/>
    <hyperlink xmlns:r="http://schemas.openxmlformats.org/officeDocument/2006/relationships" ref="F1505" r:id="rId1482"/>
    <hyperlink xmlns:r="http://schemas.openxmlformats.org/officeDocument/2006/relationships" ref="F1506" r:id="rId1483"/>
    <hyperlink xmlns:r="http://schemas.openxmlformats.org/officeDocument/2006/relationships" ref="F1507" r:id="rId1484"/>
    <hyperlink xmlns:r="http://schemas.openxmlformats.org/officeDocument/2006/relationships" ref="F1508" r:id="rId1485"/>
    <hyperlink xmlns:r="http://schemas.openxmlformats.org/officeDocument/2006/relationships" ref="F1509" r:id="rId1486"/>
    <hyperlink xmlns:r="http://schemas.openxmlformats.org/officeDocument/2006/relationships" ref="F1510" r:id="rId1487"/>
    <hyperlink xmlns:r="http://schemas.openxmlformats.org/officeDocument/2006/relationships" ref="F1511" r:id="rId1488"/>
    <hyperlink xmlns:r="http://schemas.openxmlformats.org/officeDocument/2006/relationships" ref="F1512" r:id="rId1489"/>
    <hyperlink xmlns:r="http://schemas.openxmlformats.org/officeDocument/2006/relationships" ref="F1513" r:id="rId1490"/>
    <hyperlink xmlns:r="http://schemas.openxmlformats.org/officeDocument/2006/relationships" ref="F1514" r:id="rId1491"/>
    <hyperlink xmlns:r="http://schemas.openxmlformats.org/officeDocument/2006/relationships" ref="F1515" r:id="rId1492"/>
    <hyperlink xmlns:r="http://schemas.openxmlformats.org/officeDocument/2006/relationships" ref="F1516" r:id="rId1493"/>
    <hyperlink xmlns:r="http://schemas.openxmlformats.org/officeDocument/2006/relationships" ref="F1517" r:id="rId1494"/>
    <hyperlink xmlns:r="http://schemas.openxmlformats.org/officeDocument/2006/relationships" ref="F1518" r:id="rId1495"/>
    <hyperlink xmlns:r="http://schemas.openxmlformats.org/officeDocument/2006/relationships" ref="F1519" r:id="rId1496"/>
    <hyperlink xmlns:r="http://schemas.openxmlformats.org/officeDocument/2006/relationships" ref="F1520" r:id="rId1497"/>
    <hyperlink xmlns:r="http://schemas.openxmlformats.org/officeDocument/2006/relationships" ref="F1521" r:id="rId1498"/>
    <hyperlink xmlns:r="http://schemas.openxmlformats.org/officeDocument/2006/relationships" ref="F1522" r:id="rId1499"/>
    <hyperlink xmlns:r="http://schemas.openxmlformats.org/officeDocument/2006/relationships" ref="F1523" r:id="rId1500"/>
    <hyperlink xmlns:r="http://schemas.openxmlformats.org/officeDocument/2006/relationships" ref="F1524" r:id="rId1501"/>
    <hyperlink xmlns:r="http://schemas.openxmlformats.org/officeDocument/2006/relationships" ref="F1525" r:id="rId1502"/>
    <hyperlink xmlns:r="http://schemas.openxmlformats.org/officeDocument/2006/relationships" ref="F1526" r:id="rId1503"/>
    <hyperlink xmlns:r="http://schemas.openxmlformats.org/officeDocument/2006/relationships" ref="F1527" r:id="rId1504"/>
    <hyperlink xmlns:r="http://schemas.openxmlformats.org/officeDocument/2006/relationships" ref="F1528" r:id="rId1505"/>
    <hyperlink xmlns:r="http://schemas.openxmlformats.org/officeDocument/2006/relationships" ref="F1529" r:id="rId1506"/>
    <hyperlink xmlns:r="http://schemas.openxmlformats.org/officeDocument/2006/relationships" ref="F1530" r:id="rId1507"/>
    <hyperlink xmlns:r="http://schemas.openxmlformats.org/officeDocument/2006/relationships" ref="F1531" r:id="rId1508"/>
    <hyperlink xmlns:r="http://schemas.openxmlformats.org/officeDocument/2006/relationships" ref="F1532" r:id="rId1509"/>
    <hyperlink xmlns:r="http://schemas.openxmlformats.org/officeDocument/2006/relationships" ref="F1533" r:id="rId1510"/>
    <hyperlink xmlns:r="http://schemas.openxmlformats.org/officeDocument/2006/relationships" ref="F1534" r:id="rId1511"/>
    <hyperlink xmlns:r="http://schemas.openxmlformats.org/officeDocument/2006/relationships" ref="F1535" r:id="rId1512"/>
    <hyperlink xmlns:r="http://schemas.openxmlformats.org/officeDocument/2006/relationships" ref="F1536" r:id="rId1513"/>
    <hyperlink xmlns:r="http://schemas.openxmlformats.org/officeDocument/2006/relationships" ref="F1537" r:id="rId1514"/>
    <hyperlink xmlns:r="http://schemas.openxmlformats.org/officeDocument/2006/relationships" ref="F1538" r:id="rId1515"/>
    <hyperlink xmlns:r="http://schemas.openxmlformats.org/officeDocument/2006/relationships" ref="F1539" r:id="rId1516"/>
    <hyperlink xmlns:r="http://schemas.openxmlformats.org/officeDocument/2006/relationships" ref="F1540" r:id="rId1517"/>
    <hyperlink xmlns:r="http://schemas.openxmlformats.org/officeDocument/2006/relationships" ref="F1541" r:id="rId1518"/>
    <hyperlink xmlns:r="http://schemas.openxmlformats.org/officeDocument/2006/relationships" ref="F1542" r:id="rId1519"/>
    <hyperlink xmlns:r="http://schemas.openxmlformats.org/officeDocument/2006/relationships" ref="F1543" r:id="rId1520"/>
    <hyperlink xmlns:r="http://schemas.openxmlformats.org/officeDocument/2006/relationships" ref="F1544" r:id="rId1521"/>
    <hyperlink xmlns:r="http://schemas.openxmlformats.org/officeDocument/2006/relationships" ref="F1545" r:id="rId1522"/>
    <hyperlink xmlns:r="http://schemas.openxmlformats.org/officeDocument/2006/relationships" ref="F1546" r:id="rId1523"/>
    <hyperlink xmlns:r="http://schemas.openxmlformats.org/officeDocument/2006/relationships" ref="F1547" r:id="rId1524"/>
    <hyperlink xmlns:r="http://schemas.openxmlformats.org/officeDocument/2006/relationships" ref="F1548" r:id="rId1525"/>
    <hyperlink xmlns:r="http://schemas.openxmlformats.org/officeDocument/2006/relationships" ref="F1549" r:id="rId1526"/>
    <hyperlink xmlns:r="http://schemas.openxmlformats.org/officeDocument/2006/relationships" ref="F1550" r:id="rId1527"/>
    <hyperlink xmlns:r="http://schemas.openxmlformats.org/officeDocument/2006/relationships" ref="F1551" r:id="rId1528"/>
    <hyperlink xmlns:r="http://schemas.openxmlformats.org/officeDocument/2006/relationships" ref="F1552" r:id="rId1529"/>
    <hyperlink xmlns:r="http://schemas.openxmlformats.org/officeDocument/2006/relationships" ref="F1553" r:id="rId1530"/>
    <hyperlink xmlns:r="http://schemas.openxmlformats.org/officeDocument/2006/relationships" ref="F1554" r:id="rId1531"/>
    <hyperlink xmlns:r="http://schemas.openxmlformats.org/officeDocument/2006/relationships" ref="F1555" r:id="rId1532"/>
    <hyperlink xmlns:r="http://schemas.openxmlformats.org/officeDocument/2006/relationships" ref="F1556" r:id="rId1533"/>
    <hyperlink xmlns:r="http://schemas.openxmlformats.org/officeDocument/2006/relationships" ref="F1557" r:id="rId1534"/>
    <hyperlink xmlns:r="http://schemas.openxmlformats.org/officeDocument/2006/relationships" ref="F1558" r:id="rId1535"/>
    <hyperlink xmlns:r="http://schemas.openxmlformats.org/officeDocument/2006/relationships" ref="F1559" r:id="rId1536"/>
    <hyperlink xmlns:r="http://schemas.openxmlformats.org/officeDocument/2006/relationships" ref="F1560" r:id="rId1537"/>
    <hyperlink xmlns:r="http://schemas.openxmlformats.org/officeDocument/2006/relationships" ref="F1561" r:id="rId1538"/>
    <hyperlink xmlns:r="http://schemas.openxmlformats.org/officeDocument/2006/relationships" ref="F1562" r:id="rId1539"/>
    <hyperlink xmlns:r="http://schemas.openxmlformats.org/officeDocument/2006/relationships" ref="F1563" r:id="rId1540"/>
    <hyperlink xmlns:r="http://schemas.openxmlformats.org/officeDocument/2006/relationships" ref="F1564" r:id="rId1541"/>
    <hyperlink xmlns:r="http://schemas.openxmlformats.org/officeDocument/2006/relationships" ref="F1565" r:id="rId1542"/>
    <hyperlink xmlns:r="http://schemas.openxmlformats.org/officeDocument/2006/relationships" ref="F1566" r:id="rId1543"/>
    <hyperlink xmlns:r="http://schemas.openxmlformats.org/officeDocument/2006/relationships" ref="F1567" r:id="rId1544"/>
    <hyperlink xmlns:r="http://schemas.openxmlformats.org/officeDocument/2006/relationships" ref="F1568" r:id="rId1545"/>
    <hyperlink xmlns:r="http://schemas.openxmlformats.org/officeDocument/2006/relationships" ref="F1569" r:id="rId1546"/>
    <hyperlink xmlns:r="http://schemas.openxmlformats.org/officeDocument/2006/relationships" ref="F1570" r:id="rId1547"/>
    <hyperlink xmlns:r="http://schemas.openxmlformats.org/officeDocument/2006/relationships" ref="F1571" r:id="rId1548"/>
    <hyperlink xmlns:r="http://schemas.openxmlformats.org/officeDocument/2006/relationships" ref="F1572" r:id="rId1549"/>
    <hyperlink xmlns:r="http://schemas.openxmlformats.org/officeDocument/2006/relationships" ref="F1573" r:id="rId1550"/>
    <hyperlink xmlns:r="http://schemas.openxmlformats.org/officeDocument/2006/relationships" ref="F1574" r:id="rId1551"/>
    <hyperlink xmlns:r="http://schemas.openxmlformats.org/officeDocument/2006/relationships" ref="F1575" r:id="rId1552"/>
    <hyperlink xmlns:r="http://schemas.openxmlformats.org/officeDocument/2006/relationships" ref="F1576" r:id="rId1553"/>
    <hyperlink xmlns:r="http://schemas.openxmlformats.org/officeDocument/2006/relationships" ref="F1577" r:id="rId1554"/>
    <hyperlink xmlns:r="http://schemas.openxmlformats.org/officeDocument/2006/relationships" ref="F1578" r:id="rId1555"/>
    <hyperlink xmlns:r="http://schemas.openxmlformats.org/officeDocument/2006/relationships" ref="F1579" r:id="rId1556"/>
    <hyperlink xmlns:r="http://schemas.openxmlformats.org/officeDocument/2006/relationships" ref="F1580" r:id="rId1557"/>
    <hyperlink xmlns:r="http://schemas.openxmlformats.org/officeDocument/2006/relationships" ref="F1581" r:id="rId1558"/>
    <hyperlink xmlns:r="http://schemas.openxmlformats.org/officeDocument/2006/relationships" ref="F1582" r:id="rId1559"/>
    <hyperlink xmlns:r="http://schemas.openxmlformats.org/officeDocument/2006/relationships" ref="F1583" r:id="rId1560"/>
    <hyperlink xmlns:r="http://schemas.openxmlformats.org/officeDocument/2006/relationships" ref="F1584" r:id="rId1561"/>
    <hyperlink xmlns:r="http://schemas.openxmlformats.org/officeDocument/2006/relationships" ref="F1585" r:id="rId1562"/>
    <hyperlink xmlns:r="http://schemas.openxmlformats.org/officeDocument/2006/relationships" ref="F1586" r:id="rId1563"/>
    <hyperlink xmlns:r="http://schemas.openxmlformats.org/officeDocument/2006/relationships" ref="F1587" r:id="rId1564"/>
    <hyperlink xmlns:r="http://schemas.openxmlformats.org/officeDocument/2006/relationships" ref="F1588" r:id="rId1565"/>
    <hyperlink xmlns:r="http://schemas.openxmlformats.org/officeDocument/2006/relationships" ref="F1589" r:id="rId1566"/>
    <hyperlink xmlns:r="http://schemas.openxmlformats.org/officeDocument/2006/relationships" ref="F1590" r:id="rId1567"/>
    <hyperlink xmlns:r="http://schemas.openxmlformats.org/officeDocument/2006/relationships" ref="F1591" r:id="rId1568"/>
    <hyperlink xmlns:r="http://schemas.openxmlformats.org/officeDocument/2006/relationships" ref="F1592" r:id="rId1569"/>
    <hyperlink xmlns:r="http://schemas.openxmlformats.org/officeDocument/2006/relationships" ref="F1593" r:id="rId1570"/>
    <hyperlink xmlns:r="http://schemas.openxmlformats.org/officeDocument/2006/relationships" ref="F1594" r:id="rId1571"/>
    <hyperlink xmlns:r="http://schemas.openxmlformats.org/officeDocument/2006/relationships" ref="F1595" r:id="rId1572"/>
    <hyperlink xmlns:r="http://schemas.openxmlformats.org/officeDocument/2006/relationships" ref="F1596" r:id="rId1573"/>
    <hyperlink xmlns:r="http://schemas.openxmlformats.org/officeDocument/2006/relationships" ref="F1597" r:id="rId1574"/>
    <hyperlink xmlns:r="http://schemas.openxmlformats.org/officeDocument/2006/relationships" ref="F1598" r:id="rId1575"/>
    <hyperlink xmlns:r="http://schemas.openxmlformats.org/officeDocument/2006/relationships" ref="F1599" r:id="rId1576"/>
    <hyperlink xmlns:r="http://schemas.openxmlformats.org/officeDocument/2006/relationships" ref="F1600" r:id="rId1577"/>
    <hyperlink xmlns:r="http://schemas.openxmlformats.org/officeDocument/2006/relationships" ref="F1601" r:id="rId1578"/>
    <hyperlink xmlns:r="http://schemas.openxmlformats.org/officeDocument/2006/relationships" ref="F1602" r:id="rId1579"/>
    <hyperlink xmlns:r="http://schemas.openxmlformats.org/officeDocument/2006/relationships" ref="F1603" r:id="rId1580"/>
    <hyperlink xmlns:r="http://schemas.openxmlformats.org/officeDocument/2006/relationships" ref="F1604" r:id="rId1581"/>
    <hyperlink xmlns:r="http://schemas.openxmlformats.org/officeDocument/2006/relationships" ref="F1605" r:id="rId1582"/>
    <hyperlink xmlns:r="http://schemas.openxmlformats.org/officeDocument/2006/relationships" ref="F1606" r:id="rId1583"/>
    <hyperlink xmlns:r="http://schemas.openxmlformats.org/officeDocument/2006/relationships" ref="F1607" r:id="rId1584"/>
    <hyperlink xmlns:r="http://schemas.openxmlformats.org/officeDocument/2006/relationships" ref="F1608" r:id="rId1585"/>
    <hyperlink xmlns:r="http://schemas.openxmlformats.org/officeDocument/2006/relationships" ref="F1609" r:id="rId1586"/>
    <hyperlink xmlns:r="http://schemas.openxmlformats.org/officeDocument/2006/relationships" ref="F1610" r:id="rId1587"/>
    <hyperlink xmlns:r="http://schemas.openxmlformats.org/officeDocument/2006/relationships" ref="F1611" r:id="rId1588"/>
    <hyperlink xmlns:r="http://schemas.openxmlformats.org/officeDocument/2006/relationships" ref="F1612" r:id="rId1589"/>
    <hyperlink xmlns:r="http://schemas.openxmlformats.org/officeDocument/2006/relationships" ref="F1613" r:id="rId1590"/>
    <hyperlink xmlns:r="http://schemas.openxmlformats.org/officeDocument/2006/relationships" ref="F1614" r:id="rId1591"/>
    <hyperlink xmlns:r="http://schemas.openxmlformats.org/officeDocument/2006/relationships" ref="F1615" r:id="rId1592"/>
    <hyperlink xmlns:r="http://schemas.openxmlformats.org/officeDocument/2006/relationships" ref="F1616" r:id="rId1593"/>
    <hyperlink xmlns:r="http://schemas.openxmlformats.org/officeDocument/2006/relationships" ref="F1617" r:id="rId1594"/>
    <hyperlink xmlns:r="http://schemas.openxmlformats.org/officeDocument/2006/relationships" ref="F1618" r:id="rId1595"/>
    <hyperlink xmlns:r="http://schemas.openxmlformats.org/officeDocument/2006/relationships" ref="F1619" r:id="rId1596"/>
    <hyperlink xmlns:r="http://schemas.openxmlformats.org/officeDocument/2006/relationships" ref="F1620" r:id="rId1597"/>
    <hyperlink xmlns:r="http://schemas.openxmlformats.org/officeDocument/2006/relationships" ref="F1621" r:id="rId1598"/>
    <hyperlink xmlns:r="http://schemas.openxmlformats.org/officeDocument/2006/relationships" ref="F1622" r:id="rId1599"/>
    <hyperlink xmlns:r="http://schemas.openxmlformats.org/officeDocument/2006/relationships" ref="F1623" r:id="rId1600"/>
    <hyperlink xmlns:r="http://schemas.openxmlformats.org/officeDocument/2006/relationships" ref="F1624" r:id="rId1601"/>
    <hyperlink xmlns:r="http://schemas.openxmlformats.org/officeDocument/2006/relationships" ref="F1625" r:id="rId1602"/>
    <hyperlink xmlns:r="http://schemas.openxmlformats.org/officeDocument/2006/relationships" ref="F1626" r:id="rId1603"/>
    <hyperlink xmlns:r="http://schemas.openxmlformats.org/officeDocument/2006/relationships" ref="F1627" r:id="rId1604"/>
    <hyperlink xmlns:r="http://schemas.openxmlformats.org/officeDocument/2006/relationships" ref="F1628" r:id="rId1605"/>
    <hyperlink xmlns:r="http://schemas.openxmlformats.org/officeDocument/2006/relationships" ref="F1629" r:id="rId1606"/>
    <hyperlink xmlns:r="http://schemas.openxmlformats.org/officeDocument/2006/relationships" ref="F1630" r:id="rId1607"/>
    <hyperlink xmlns:r="http://schemas.openxmlformats.org/officeDocument/2006/relationships" ref="F1631" r:id="rId1608"/>
    <hyperlink xmlns:r="http://schemas.openxmlformats.org/officeDocument/2006/relationships" ref="F1632" r:id="rId1609"/>
    <hyperlink xmlns:r="http://schemas.openxmlformats.org/officeDocument/2006/relationships" ref="F1633" r:id="rId1610"/>
    <hyperlink xmlns:r="http://schemas.openxmlformats.org/officeDocument/2006/relationships" ref="F1634" r:id="rId1611"/>
    <hyperlink xmlns:r="http://schemas.openxmlformats.org/officeDocument/2006/relationships" ref="F1635" r:id="rId1612"/>
    <hyperlink xmlns:r="http://schemas.openxmlformats.org/officeDocument/2006/relationships" ref="F1636" r:id="rId1613"/>
    <hyperlink xmlns:r="http://schemas.openxmlformats.org/officeDocument/2006/relationships" ref="F1637" r:id="rId1614"/>
    <hyperlink xmlns:r="http://schemas.openxmlformats.org/officeDocument/2006/relationships" ref="F1638" r:id="rId1615"/>
    <hyperlink xmlns:r="http://schemas.openxmlformats.org/officeDocument/2006/relationships" ref="F1639" r:id="rId1616"/>
    <hyperlink xmlns:r="http://schemas.openxmlformats.org/officeDocument/2006/relationships" ref="F1640" r:id="rId1617"/>
    <hyperlink xmlns:r="http://schemas.openxmlformats.org/officeDocument/2006/relationships" ref="F1641" r:id="rId1618"/>
    <hyperlink xmlns:r="http://schemas.openxmlformats.org/officeDocument/2006/relationships" ref="F1642" r:id="rId1619"/>
    <hyperlink xmlns:r="http://schemas.openxmlformats.org/officeDocument/2006/relationships" ref="F1643" r:id="rId1620"/>
    <hyperlink xmlns:r="http://schemas.openxmlformats.org/officeDocument/2006/relationships" ref="F1644" r:id="rId1621"/>
    <hyperlink xmlns:r="http://schemas.openxmlformats.org/officeDocument/2006/relationships" ref="F1645" r:id="rId1622"/>
    <hyperlink xmlns:r="http://schemas.openxmlformats.org/officeDocument/2006/relationships" ref="F1646" r:id="rId1623"/>
    <hyperlink xmlns:r="http://schemas.openxmlformats.org/officeDocument/2006/relationships" ref="F1647" r:id="rId1624"/>
    <hyperlink xmlns:r="http://schemas.openxmlformats.org/officeDocument/2006/relationships" ref="F1648" r:id="rId1625"/>
    <hyperlink xmlns:r="http://schemas.openxmlformats.org/officeDocument/2006/relationships" ref="F1649" r:id="rId1626"/>
    <hyperlink xmlns:r="http://schemas.openxmlformats.org/officeDocument/2006/relationships" ref="F1650" r:id="rId1627"/>
    <hyperlink xmlns:r="http://schemas.openxmlformats.org/officeDocument/2006/relationships" ref="F1651" r:id="rId1628"/>
    <hyperlink xmlns:r="http://schemas.openxmlformats.org/officeDocument/2006/relationships" ref="F1652" r:id="rId1629"/>
    <hyperlink xmlns:r="http://schemas.openxmlformats.org/officeDocument/2006/relationships" ref="F1653" r:id="rId1630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J93"/>
  <sheetViews>
    <sheetView showGridLines="0" tabSelected="0" topLeftCell="A1" zoomScale="100" zoomScaleNormal="10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46" customWidth="1" min="3" max="3"/>
    <col width="22" customWidth="1" min="4" max="4"/>
    <col width="2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</cols>
  <sheetData>
    <row r="1" ht="195" customHeight="1">
      <c r="A1" s="88" t="inlineStr">
        <is>
          <t>WBS HIERARCHY</t>
        </is>
      </c>
    </row>
    <row r="2" ht="169" customHeight="1">
      <c r="A2" s="89" t="inlineStr">
        <is>
          <t>The approved WBS as a scope hierarchy. Use the outline buttons (1, 2, 3 ...) at the left to collapse or expand levels; counts recalculate from MASTER DATA.</t>
        </is>
      </c>
    </row>
    <row r="3" ht="34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4" ht="109" customHeight="1">
      <c r="A4" s="87" t="inlineStr">
        <is>
          <t>Advanced scope tree / relationship ROW counts → primary relationship coverage/status view</t>
        </is>
      </c>
    </row>
    <row r="5" ht="453" customHeight="1">
      <c r="A5" s="33" t="inlineStr">
        <is>
          <t>Counts are relationship ROWS in MASTER DATA: one row per record-to-WBS target. A relationship split across several WBS targets has one row per target; NO_WBS / NEW_SCOPE / UNSURE rows carry the outcome in the WBS Code column; retired rows (Relationship State RETIRED) are included, as in MASTER DATA -- filter Relationship State to exclude them. Branch = this element and every element beneath it.</t>
        </is>
      </c>
    </row>
    <row r="6" ht="49" customHeight="1">
      <c r="A6" s="91" t="inlineStr">
        <is>
          <t>Level</t>
        </is>
      </c>
      <c r="B6" s="91" t="inlineStr">
        <is>
          <t>WBS</t>
        </is>
      </c>
      <c r="C6" s="91" t="inlineStr">
        <is>
          <t>Hierarchy</t>
        </is>
      </c>
      <c r="D6" s="91" t="inlineStr">
        <is>
          <t>L1</t>
        </is>
      </c>
      <c r="E6" s="91" t="inlineStr">
        <is>
          <t>L2</t>
        </is>
      </c>
      <c r="F6" s="91" t="inlineStr">
        <is>
          <t>L3</t>
        </is>
      </c>
      <c r="G6" s="91" t="inlineStr">
        <is>
          <t>L4</t>
        </is>
      </c>
      <c r="H6" s="91" t="inlineStr">
        <is>
          <t>Direct relationship rows</t>
        </is>
      </c>
      <c r="I6" s="91" t="inlineStr">
        <is>
          <t>Branch relationship rows</t>
        </is>
      </c>
      <c r="J6" s="91" t="inlineStr">
        <is>
          <t>Crosswalk</t>
        </is>
      </c>
    </row>
    <row r="7" ht="79" customHeight="1">
      <c r="A7" s="66" t="n">
        <v>1</v>
      </c>
      <c r="B7" s="102" t="inlineStr">
        <is>
          <t>1</t>
        </is>
      </c>
      <c r="C7" s="102" t="inlineStr">
        <is>
          <t>1 HarbourLink Urban Transit Expansion</t>
        </is>
      </c>
      <c r="D7" s="102" t="inlineStr">
        <is>
          <t>1 HarbourLink Urban Transit Expansion</t>
        </is>
      </c>
      <c r="H7" s="22">
        <f>COUNTIF('MASTER DATA'!$A$2:$A$1624,"=1")</f>
        <v/>
      </c>
      <c r="I7" s="28">
        <f>SUM(H7:H85)</f>
        <v/>
      </c>
      <c r="J7" s="87" t="inlineStr">
        <is>
          <t>08 CROSSWALK</t>
        </is>
      </c>
    </row>
    <row r="8" outlineLevel="1" ht="79" customHeight="1">
      <c r="A8" s="95" t="n">
        <v>2</v>
      </c>
      <c r="B8" s="34" t="inlineStr">
        <is>
          <t>1.1</t>
        </is>
      </c>
      <c r="C8" s="34" t="inlineStr">
        <is>
          <t>├─ 1.1 Guideway and Civil</t>
        </is>
      </c>
      <c r="E8" s="34" t="inlineStr">
        <is>
          <t>1.1 Guideway and Civil</t>
        </is>
      </c>
      <c r="H8" s="22">
        <f>COUNTIF('MASTER DATA'!$A$2:$A$1624,"=1.1")</f>
        <v/>
      </c>
      <c r="I8" s="22">
        <f>SUM(H8:H20)</f>
        <v/>
      </c>
      <c r="J8" s="87" t="inlineStr">
        <is>
          <t>08 CROSSWALK</t>
        </is>
      </c>
    </row>
    <row r="9" outlineLevel="2" ht="79" customHeight="1">
      <c r="A9" s="95" t="n">
        <v>3</v>
      </c>
      <c r="B9" s="34" t="inlineStr">
        <is>
          <t>1.1.1</t>
        </is>
      </c>
      <c r="C9" s="34" t="inlineStr">
        <is>
          <t>│  ├─ 1.1.1 Guideway and Civil - Guideway Structures</t>
        </is>
      </c>
      <c r="F9" s="34" t="inlineStr">
        <is>
          <t>1.1.1 Guideway and Civil - Guideway Structures</t>
        </is>
      </c>
      <c r="H9" s="22">
        <f>COUNTIF('MASTER DATA'!$A$2:$A$1624,"=1.1.1")</f>
        <v/>
      </c>
      <c r="I9" s="22">
        <f>SUM(H9:H11)</f>
        <v/>
      </c>
      <c r="J9" s="87" t="inlineStr">
        <is>
          <t>08 CROSSWALK</t>
        </is>
      </c>
    </row>
    <row r="10" outlineLevel="3" ht="79" customHeight="1">
      <c r="A10" s="95" t="n">
        <v>4</v>
      </c>
      <c r="B10" s="34" t="inlineStr">
        <is>
          <t>1.1.1.1</t>
        </is>
      </c>
      <c r="C10" s="34" t="inlineStr">
        <is>
          <t>│  │  ├─ 1.1.1.1 Guideway Structures - East Segment</t>
        </is>
      </c>
      <c r="G10" s="34" t="inlineStr">
        <is>
          <t>1.1.1.1 Guideway Structures - East Segment</t>
        </is>
      </c>
      <c r="H10" s="22">
        <f>COUNTIF('MASTER DATA'!$A$2:$A$1624,"=1.1.1.1")</f>
        <v/>
      </c>
      <c r="I10" s="22">
        <f>SUM(H10:H10)</f>
        <v/>
      </c>
      <c r="J10" s="89" t="inlineStr">
        <is>
          <t>No relationships</t>
        </is>
      </c>
    </row>
    <row r="11" outlineLevel="3" ht="79" customHeight="1">
      <c r="A11" s="95" t="n">
        <v>4</v>
      </c>
      <c r="B11" s="34" t="inlineStr">
        <is>
          <t>1.1.1.2</t>
        </is>
      </c>
      <c r="C11" s="34" t="inlineStr">
        <is>
          <t>│  │  └─ 1.1.1.2 Guideway Structures - West Segment</t>
        </is>
      </c>
      <c r="G11" s="34" t="inlineStr">
        <is>
          <t>1.1.1.2 Guideway Structures - West Segment</t>
        </is>
      </c>
      <c r="H11" s="22">
        <f>COUNTIF('MASTER DATA'!$A$2:$A$1624,"=1.1.1.2")</f>
        <v/>
      </c>
      <c r="I11" s="22">
        <f>SUM(H11:H11)</f>
        <v/>
      </c>
      <c r="J11" s="89" t="inlineStr">
        <is>
          <t>No relationships</t>
        </is>
      </c>
    </row>
    <row r="12" outlineLevel="2" ht="79" customHeight="1">
      <c r="A12" s="95" t="n">
        <v>3</v>
      </c>
      <c r="B12" s="34" t="inlineStr">
        <is>
          <t>1.1.2</t>
        </is>
      </c>
      <c r="C12" s="34" t="inlineStr">
        <is>
          <t>│  ├─ 1.1.2 Guideway and Civil - Utility &amp; Roadworks</t>
        </is>
      </c>
      <c r="F12" s="34" t="inlineStr">
        <is>
          <t>1.1.2 Guideway and Civil - Utility &amp; Roadworks</t>
        </is>
      </c>
      <c r="H12" s="22">
        <f>COUNTIF('MASTER DATA'!$A$2:$A$1624,"=1.1.2")</f>
        <v/>
      </c>
      <c r="I12" s="22">
        <f>SUM(H12:H14)</f>
        <v/>
      </c>
      <c r="J12" s="87" t="inlineStr">
        <is>
          <t>08 CROSSWALK</t>
        </is>
      </c>
    </row>
    <row r="13" outlineLevel="3" ht="79" customHeight="1">
      <c r="A13" s="95" t="n">
        <v>4</v>
      </c>
      <c r="B13" s="34" t="inlineStr">
        <is>
          <t>1.1.2.1</t>
        </is>
      </c>
      <c r="C13" s="34" t="inlineStr">
        <is>
          <t>│  │  ├─ 1.1.2.1 Utility &amp; Roadworks - East Segment</t>
        </is>
      </c>
      <c r="G13" s="34" t="inlineStr">
        <is>
          <t>1.1.2.1 Utility &amp; Roadworks - East Segment</t>
        </is>
      </c>
      <c r="H13" s="22">
        <f>COUNTIF('MASTER DATA'!$A$2:$A$1624,"=1.1.2.1")</f>
        <v/>
      </c>
      <c r="I13" s="22">
        <f>SUM(H13:H13)</f>
        <v/>
      </c>
      <c r="J13" s="89" t="inlineStr">
        <is>
          <t>No relationships</t>
        </is>
      </c>
    </row>
    <row r="14" outlineLevel="3" ht="79" customHeight="1">
      <c r="A14" s="95" t="n">
        <v>4</v>
      </c>
      <c r="B14" s="34" t="inlineStr">
        <is>
          <t>1.1.2.2</t>
        </is>
      </c>
      <c r="C14" s="34" t="inlineStr">
        <is>
          <t>│  │  └─ 1.1.2.2 Utility &amp; Roadworks - West Segment</t>
        </is>
      </c>
      <c r="G14" s="34" t="inlineStr">
        <is>
          <t>1.1.2.2 Utility &amp; Roadworks - West Segment</t>
        </is>
      </c>
      <c r="H14" s="22">
        <f>COUNTIF('MASTER DATA'!$A$2:$A$1624,"=1.1.2.2")</f>
        <v/>
      </c>
      <c r="I14" s="22">
        <f>SUM(H14:H14)</f>
        <v/>
      </c>
      <c r="J14" s="89" t="inlineStr">
        <is>
          <t>No relationships</t>
        </is>
      </c>
    </row>
    <row r="15" outlineLevel="2" ht="79" customHeight="1">
      <c r="A15" s="95" t="n">
        <v>3</v>
      </c>
      <c r="B15" s="34" t="inlineStr">
        <is>
          <t>1.1.3</t>
        </is>
      </c>
      <c r="C15" s="34" t="inlineStr">
        <is>
          <t>│  ├─ 1.1.3 Guideway and Civil - Track Support Works</t>
        </is>
      </c>
      <c r="F15" s="34" t="inlineStr">
        <is>
          <t>1.1.3 Guideway and Civil - Track Support Works</t>
        </is>
      </c>
      <c r="H15" s="22">
        <f>COUNTIF('MASTER DATA'!$A$2:$A$1624,"=1.1.3")</f>
        <v/>
      </c>
      <c r="I15" s="22">
        <f>SUM(H15:H17)</f>
        <v/>
      </c>
      <c r="J15" s="89" t="inlineStr">
        <is>
          <t>No relationships</t>
        </is>
      </c>
    </row>
    <row r="16" outlineLevel="3" ht="79" customHeight="1">
      <c r="A16" s="95" t="n">
        <v>4</v>
      </c>
      <c r="B16" s="34" t="inlineStr">
        <is>
          <t>1.1.3.1</t>
        </is>
      </c>
      <c r="C16" s="34" t="inlineStr">
        <is>
          <t>│  │  ├─ 1.1.3.1 Track Support Works - East Segment</t>
        </is>
      </c>
      <c r="G16" s="34" t="inlineStr">
        <is>
          <t>1.1.3.1 Track Support Works - East Segment</t>
        </is>
      </c>
      <c r="H16" s="22">
        <f>COUNTIF('MASTER DATA'!$A$2:$A$1624,"=1.1.3.1")</f>
        <v/>
      </c>
      <c r="I16" s="22">
        <f>SUM(H16:H16)</f>
        <v/>
      </c>
      <c r="J16" s="89" t="inlineStr">
        <is>
          <t>No relationships</t>
        </is>
      </c>
    </row>
    <row r="17" outlineLevel="3" ht="79" customHeight="1">
      <c r="A17" s="95" t="n">
        <v>4</v>
      </c>
      <c r="B17" s="34" t="inlineStr">
        <is>
          <t>1.1.3.2</t>
        </is>
      </c>
      <c r="C17" s="34" t="inlineStr">
        <is>
          <t>│  │  └─ 1.1.3.2 Track Support Works - West Segment</t>
        </is>
      </c>
      <c r="G17" s="34" t="inlineStr">
        <is>
          <t>1.1.3.2 Track Support Works - West Segment</t>
        </is>
      </c>
      <c r="H17" s="22">
        <f>COUNTIF('MASTER DATA'!$A$2:$A$1624,"=1.1.3.2")</f>
        <v/>
      </c>
      <c r="I17" s="22">
        <f>SUM(H17:H17)</f>
        <v/>
      </c>
      <c r="J17" s="89" t="inlineStr">
        <is>
          <t>No relationships</t>
        </is>
      </c>
    </row>
    <row r="18" outlineLevel="2" ht="79" customHeight="1">
      <c r="A18" s="95" t="n">
        <v>3</v>
      </c>
      <c r="B18" s="34" t="inlineStr">
        <is>
          <t>1.1.4</t>
        </is>
      </c>
      <c r="C18" s="34" t="inlineStr">
        <is>
          <t>│  └─ 1.1.4 Guideway and Civil - Civil Interfaces</t>
        </is>
      </c>
      <c r="F18" s="34" t="inlineStr">
        <is>
          <t>1.1.4 Guideway and Civil - Civil Interfaces</t>
        </is>
      </c>
      <c r="H18" s="22">
        <f>COUNTIF('MASTER DATA'!$A$2:$A$1624,"=1.1.4")</f>
        <v/>
      </c>
      <c r="I18" s="22">
        <f>SUM(H18:H20)</f>
        <v/>
      </c>
      <c r="J18" s="89" t="inlineStr">
        <is>
          <t>No relationships</t>
        </is>
      </c>
    </row>
    <row r="19" outlineLevel="3" ht="79" customHeight="1">
      <c r="A19" s="95" t="n">
        <v>4</v>
      </c>
      <c r="B19" s="34" t="inlineStr">
        <is>
          <t>1.1.4.1</t>
        </is>
      </c>
      <c r="C19" s="34" t="inlineStr">
        <is>
          <t>│     ├─ 1.1.4.1 Civil Interfaces - East Segment</t>
        </is>
      </c>
      <c r="G19" s="34" t="inlineStr">
        <is>
          <t>1.1.4.1 Civil Interfaces - East Segment</t>
        </is>
      </c>
      <c r="H19" s="22">
        <f>COUNTIF('MASTER DATA'!$A$2:$A$1624,"=1.1.4.1")</f>
        <v/>
      </c>
      <c r="I19" s="22">
        <f>SUM(H19:H19)</f>
        <v/>
      </c>
      <c r="J19" s="89" t="inlineStr">
        <is>
          <t>No relationships</t>
        </is>
      </c>
    </row>
    <row r="20" outlineLevel="3" ht="79" customHeight="1">
      <c r="A20" s="95" t="n">
        <v>4</v>
      </c>
      <c r="B20" s="34" t="inlineStr">
        <is>
          <t>1.1.4.2</t>
        </is>
      </c>
      <c r="C20" s="34" t="inlineStr">
        <is>
          <t>│     └─ 1.1.4.2 Civil Interfaces - West Segment</t>
        </is>
      </c>
      <c r="G20" s="34" t="inlineStr">
        <is>
          <t>1.1.4.2 Civil Interfaces - West Segment</t>
        </is>
      </c>
      <c r="H20" s="22">
        <f>COUNTIF('MASTER DATA'!$A$2:$A$1624,"=1.1.4.2")</f>
        <v/>
      </c>
      <c r="I20" s="22">
        <f>SUM(H20:H20)</f>
        <v/>
      </c>
      <c r="J20" s="89" t="inlineStr">
        <is>
          <t>No relationships</t>
        </is>
      </c>
    </row>
    <row r="21" outlineLevel="1" ht="79" customHeight="1">
      <c r="A21" s="95" t="n">
        <v>2</v>
      </c>
      <c r="B21" s="34" t="inlineStr">
        <is>
          <t>1.2</t>
        </is>
      </c>
      <c r="C21" s="34" t="inlineStr">
        <is>
          <t>├─ 1.2 Stations</t>
        </is>
      </c>
      <c r="E21" s="34" t="inlineStr">
        <is>
          <t>1.2 Stations</t>
        </is>
      </c>
      <c r="H21" s="22">
        <f>COUNTIF('MASTER DATA'!$A$2:$A$1624,"=1.2")</f>
        <v/>
      </c>
      <c r="I21" s="22">
        <f>SUM(H21:H33)</f>
        <v/>
      </c>
      <c r="J21" s="87" t="inlineStr">
        <is>
          <t>08 CROSSWALK</t>
        </is>
      </c>
    </row>
    <row r="22" outlineLevel="2" ht="79" customHeight="1">
      <c r="A22" s="95" t="n">
        <v>3</v>
      </c>
      <c r="B22" s="34" t="inlineStr">
        <is>
          <t>1.2.1</t>
        </is>
      </c>
      <c r="C22" s="34" t="inlineStr">
        <is>
          <t>│  ├─ 1.2.1 Stations - Station Structures</t>
        </is>
      </c>
      <c r="F22" s="34" t="inlineStr">
        <is>
          <t>1.2.1 Stations - Station Structures</t>
        </is>
      </c>
      <c r="H22" s="22">
        <f>COUNTIF('MASTER DATA'!$A$2:$A$1624,"=1.2.1")</f>
        <v/>
      </c>
      <c r="I22" s="22">
        <f>SUM(H22:H24)</f>
        <v/>
      </c>
      <c r="J22" s="87" t="inlineStr">
        <is>
          <t>08 CROSSWALK</t>
        </is>
      </c>
    </row>
    <row r="23" outlineLevel="3" ht="79" customHeight="1">
      <c r="A23" s="95" t="n">
        <v>4</v>
      </c>
      <c r="B23" s="34" t="inlineStr">
        <is>
          <t>1.2.1.1</t>
        </is>
      </c>
      <c r="C23" s="34" t="inlineStr">
        <is>
          <t>│  │  ├─ 1.2.1.1 Station Structures - Concourse &amp; Entries</t>
        </is>
      </c>
      <c r="G23" s="34" t="inlineStr">
        <is>
          <t>1.2.1.1 Station Structures - Concourse &amp; Entries</t>
        </is>
      </c>
      <c r="H23" s="22">
        <f>COUNTIF('MASTER DATA'!$A$2:$A$1624,"=1.2.1.1")</f>
        <v/>
      </c>
      <c r="I23" s="22">
        <f>SUM(H23:H23)</f>
        <v/>
      </c>
      <c r="J23" s="89" t="inlineStr">
        <is>
          <t>No relationships</t>
        </is>
      </c>
    </row>
    <row r="24" outlineLevel="3" ht="79" customHeight="1">
      <c r="A24" s="95" t="n">
        <v>4</v>
      </c>
      <c r="B24" s="34" t="inlineStr">
        <is>
          <t>1.2.1.2</t>
        </is>
      </c>
      <c r="C24" s="34" t="inlineStr">
        <is>
          <t>│  │  └─ 1.2.1.2 Station Structures - Platforms &amp; Back-of-House</t>
        </is>
      </c>
      <c r="G24" s="34" t="inlineStr">
        <is>
          <t>1.2.1.2 Station Structures - Platforms &amp; Back-of-House</t>
        </is>
      </c>
      <c r="H24" s="22">
        <f>COUNTIF('MASTER DATA'!$A$2:$A$1624,"=1.2.1.2")</f>
        <v/>
      </c>
      <c r="I24" s="22">
        <f>SUM(H24:H24)</f>
        <v/>
      </c>
      <c r="J24" s="89" t="inlineStr">
        <is>
          <t>No relationships</t>
        </is>
      </c>
    </row>
    <row r="25" outlineLevel="2" ht="79" customHeight="1">
      <c r="A25" s="95" t="n">
        <v>3</v>
      </c>
      <c r="B25" s="34" t="inlineStr">
        <is>
          <t>1.2.2</t>
        </is>
      </c>
      <c r="C25" s="34" t="inlineStr">
        <is>
          <t>│  ├─ 1.2.2 Stations - Architectural Fit-Out</t>
        </is>
      </c>
      <c r="F25" s="34" t="inlineStr">
        <is>
          <t>1.2.2 Stations - Architectural Fit-Out</t>
        </is>
      </c>
      <c r="H25" s="22">
        <f>COUNTIF('MASTER DATA'!$A$2:$A$1624,"=1.2.2")</f>
        <v/>
      </c>
      <c r="I25" s="22">
        <f>SUM(H25:H27)</f>
        <v/>
      </c>
      <c r="J25" s="87" t="inlineStr">
        <is>
          <t>08 CROSSWALK</t>
        </is>
      </c>
    </row>
    <row r="26" outlineLevel="3" ht="79" customHeight="1">
      <c r="A26" s="95" t="n">
        <v>4</v>
      </c>
      <c r="B26" s="34" t="inlineStr">
        <is>
          <t>1.2.2.1</t>
        </is>
      </c>
      <c r="C26" s="34" t="inlineStr">
        <is>
          <t>│  │  ├─ 1.2.2.1 Architectural Fit-Out - Concourse &amp; Entries</t>
        </is>
      </c>
      <c r="G26" s="34" t="inlineStr">
        <is>
          <t>1.2.2.1 Architectural Fit-Out - Concourse &amp; Entries</t>
        </is>
      </c>
      <c r="H26" s="22">
        <f>COUNTIF('MASTER DATA'!$A$2:$A$1624,"=1.2.2.1")</f>
        <v/>
      </c>
      <c r="I26" s="22">
        <f>SUM(H26:H26)</f>
        <v/>
      </c>
      <c r="J26" s="89" t="inlineStr">
        <is>
          <t>No relationships</t>
        </is>
      </c>
    </row>
    <row r="27" outlineLevel="3" ht="79" customHeight="1">
      <c r="A27" s="95" t="n">
        <v>4</v>
      </c>
      <c r="B27" s="34" t="inlineStr">
        <is>
          <t>1.2.2.2</t>
        </is>
      </c>
      <c r="C27" s="34" t="inlineStr">
        <is>
          <t>│  │  └─ 1.2.2.2 Architectural Fit-Out - Platforms &amp; Back-of-House</t>
        </is>
      </c>
      <c r="G27" s="34" t="inlineStr">
        <is>
          <t>1.2.2.2 Architectural Fit-Out - Platforms &amp; Back-of-House</t>
        </is>
      </c>
      <c r="H27" s="22">
        <f>COUNTIF('MASTER DATA'!$A$2:$A$1624,"=1.2.2.2")</f>
        <v/>
      </c>
      <c r="I27" s="22">
        <f>SUM(H27:H27)</f>
        <v/>
      </c>
      <c r="J27" s="89" t="inlineStr">
        <is>
          <t>No relationships</t>
        </is>
      </c>
    </row>
    <row r="28" outlineLevel="2" ht="79" customHeight="1">
      <c r="A28" s="95" t="n">
        <v>3</v>
      </c>
      <c r="B28" s="34" t="inlineStr">
        <is>
          <t>1.2.3</t>
        </is>
      </c>
      <c r="C28" s="34" t="inlineStr">
        <is>
          <t>│  ├─ 1.2.3 Stations - Station Building Services</t>
        </is>
      </c>
      <c r="F28" s="34" t="inlineStr">
        <is>
          <t>1.2.3 Stations - Station Building Services</t>
        </is>
      </c>
      <c r="H28" s="22">
        <f>COUNTIF('MASTER DATA'!$A$2:$A$1624,"=1.2.3")</f>
        <v/>
      </c>
      <c r="I28" s="22">
        <f>SUM(H28:H30)</f>
        <v/>
      </c>
      <c r="J28" s="89" t="inlineStr">
        <is>
          <t>No relationships</t>
        </is>
      </c>
    </row>
    <row r="29" outlineLevel="3" ht="79" customHeight="1">
      <c r="A29" s="95" t="n">
        <v>4</v>
      </c>
      <c r="B29" s="34" t="inlineStr">
        <is>
          <t>1.2.3.1</t>
        </is>
      </c>
      <c r="C29" s="34" t="inlineStr">
        <is>
          <t>│  │  ├─ 1.2.3.1 Station Building Services - Concourse &amp; Entries</t>
        </is>
      </c>
      <c r="G29" s="34" t="inlineStr">
        <is>
          <t>1.2.3.1 Station Building Services - Concourse &amp; Entries</t>
        </is>
      </c>
      <c r="H29" s="22">
        <f>COUNTIF('MASTER DATA'!$A$2:$A$1624,"=1.2.3.1")</f>
        <v/>
      </c>
      <c r="I29" s="22">
        <f>SUM(H29:H29)</f>
        <v/>
      </c>
      <c r="J29" s="89" t="inlineStr">
        <is>
          <t>No relationships</t>
        </is>
      </c>
    </row>
    <row r="30" outlineLevel="3" ht="79" customHeight="1">
      <c r="A30" s="95" t="n">
        <v>4</v>
      </c>
      <c r="B30" s="34" t="inlineStr">
        <is>
          <t>1.2.3.2</t>
        </is>
      </c>
      <c r="C30" s="34" t="inlineStr">
        <is>
          <t>│  │  └─ 1.2.3.2 Station Building Services - Platforms &amp; Back-of-House</t>
        </is>
      </c>
      <c r="G30" s="34" t="inlineStr">
        <is>
          <t>1.2.3.2 Station Building Services - Platforms &amp; Back-of-House</t>
        </is>
      </c>
      <c r="H30" s="22">
        <f>COUNTIF('MASTER DATA'!$A$2:$A$1624,"=1.2.3.2")</f>
        <v/>
      </c>
      <c r="I30" s="22">
        <f>SUM(H30:H30)</f>
        <v/>
      </c>
      <c r="J30" s="89" t="inlineStr">
        <is>
          <t>No relationships</t>
        </is>
      </c>
    </row>
    <row r="31" outlineLevel="2" ht="79" customHeight="1">
      <c r="A31" s="95" t="n">
        <v>3</v>
      </c>
      <c r="B31" s="34" t="inlineStr">
        <is>
          <t>1.2.4</t>
        </is>
      </c>
      <c r="C31" s="34" t="inlineStr">
        <is>
          <t>│  └─ 1.2.4 Stations - Public Realm</t>
        </is>
      </c>
      <c r="F31" s="34" t="inlineStr">
        <is>
          <t>1.2.4 Stations - Public Realm</t>
        </is>
      </c>
      <c r="H31" s="22">
        <f>COUNTIF('MASTER DATA'!$A$2:$A$1624,"=1.2.4")</f>
        <v/>
      </c>
      <c r="I31" s="22">
        <f>SUM(H31:H33)</f>
        <v/>
      </c>
      <c r="J31" s="89" t="inlineStr">
        <is>
          <t>No relationships</t>
        </is>
      </c>
    </row>
    <row r="32" outlineLevel="3" ht="79" customHeight="1">
      <c r="A32" s="95" t="n">
        <v>4</v>
      </c>
      <c r="B32" s="34" t="inlineStr">
        <is>
          <t>1.2.4.1</t>
        </is>
      </c>
      <c r="C32" s="34" t="inlineStr">
        <is>
          <t>│     ├─ 1.2.4.1 Public Realm - Concourse &amp; Entries</t>
        </is>
      </c>
      <c r="G32" s="34" t="inlineStr">
        <is>
          <t>1.2.4.1 Public Realm - Concourse &amp; Entries</t>
        </is>
      </c>
      <c r="H32" s="22">
        <f>COUNTIF('MASTER DATA'!$A$2:$A$1624,"=1.2.4.1")</f>
        <v/>
      </c>
      <c r="I32" s="22">
        <f>SUM(H32:H32)</f>
        <v/>
      </c>
      <c r="J32" s="89" t="inlineStr">
        <is>
          <t>No relationships</t>
        </is>
      </c>
    </row>
    <row r="33" outlineLevel="3" ht="79" customHeight="1">
      <c r="A33" s="95" t="n">
        <v>4</v>
      </c>
      <c r="B33" s="34" t="inlineStr">
        <is>
          <t>1.2.4.2</t>
        </is>
      </c>
      <c r="C33" s="34" t="inlineStr">
        <is>
          <t>│     └─ 1.2.4.2 Public Realm - Platforms &amp; Back-of-House</t>
        </is>
      </c>
      <c r="G33" s="34" t="inlineStr">
        <is>
          <t>1.2.4.2 Public Realm - Platforms &amp; Back-of-House</t>
        </is>
      </c>
      <c r="H33" s="22">
        <f>COUNTIF('MASTER DATA'!$A$2:$A$1624,"=1.2.4.2")</f>
        <v/>
      </c>
      <c r="I33" s="22">
        <f>SUM(H33:H33)</f>
        <v/>
      </c>
      <c r="J33" s="89" t="inlineStr">
        <is>
          <t>No relationships</t>
        </is>
      </c>
    </row>
    <row r="34" outlineLevel="1" ht="79" customHeight="1">
      <c r="A34" s="95" t="n">
        <v>2</v>
      </c>
      <c r="B34" s="34" t="inlineStr">
        <is>
          <t>1.3</t>
        </is>
      </c>
      <c r="C34" s="34" t="inlineStr">
        <is>
          <t>├─ 1.3 Systems</t>
        </is>
      </c>
      <c r="E34" s="34" t="inlineStr">
        <is>
          <t>1.3 Systems</t>
        </is>
      </c>
      <c r="H34" s="22">
        <f>COUNTIF('MASTER DATA'!$A$2:$A$1624,"=1.3")</f>
        <v/>
      </c>
      <c r="I34" s="22">
        <f>SUM(H34:H46)</f>
        <v/>
      </c>
      <c r="J34" s="87" t="inlineStr">
        <is>
          <t>08 CROSSWALK</t>
        </is>
      </c>
    </row>
    <row r="35" outlineLevel="2" ht="79" customHeight="1">
      <c r="A35" s="95" t="n">
        <v>3</v>
      </c>
      <c r="B35" s="34" t="inlineStr">
        <is>
          <t>1.3.1</t>
        </is>
      </c>
      <c r="C35" s="34" t="inlineStr">
        <is>
          <t>│  ├─ 1.3.1 Systems - Traction Power</t>
        </is>
      </c>
      <c r="F35" s="34" t="inlineStr">
        <is>
          <t>1.3.1 Systems - Traction Power</t>
        </is>
      </c>
      <c r="H35" s="22">
        <f>COUNTIF('MASTER DATA'!$A$2:$A$1624,"=1.3.1")</f>
        <v/>
      </c>
      <c r="I35" s="22">
        <f>SUM(H35:H37)</f>
        <v/>
      </c>
      <c r="J35" s="87" t="inlineStr">
        <is>
          <t>08 CROSSWALK</t>
        </is>
      </c>
    </row>
    <row r="36" outlineLevel="3" ht="79" customHeight="1">
      <c r="A36" s="95" t="n">
        <v>4</v>
      </c>
      <c r="B36" s="34" t="inlineStr">
        <is>
          <t>1.3.1.1</t>
        </is>
      </c>
      <c r="C36" s="34" t="inlineStr">
        <is>
          <t>│  │  ├─ 1.3.1.1 Traction Power - Wayside</t>
        </is>
      </c>
      <c r="G36" s="34" t="inlineStr">
        <is>
          <t>1.3.1.1 Traction Power - Wayside</t>
        </is>
      </c>
      <c r="H36" s="22">
        <f>COUNTIF('MASTER DATA'!$A$2:$A$1624,"=1.3.1.1")</f>
        <v/>
      </c>
      <c r="I36" s="22">
        <f>SUM(H36:H36)</f>
        <v/>
      </c>
      <c r="J36" s="89" t="inlineStr">
        <is>
          <t>No relationships</t>
        </is>
      </c>
    </row>
    <row r="37" outlineLevel="3" ht="79" customHeight="1">
      <c r="A37" s="95" t="n">
        <v>4</v>
      </c>
      <c r="B37" s="34" t="inlineStr">
        <is>
          <t>1.3.1.2</t>
        </is>
      </c>
      <c r="C37" s="34" t="inlineStr">
        <is>
          <t>│  │  └─ 1.3.1.2 Traction Power - Control Centre &amp; Stations</t>
        </is>
      </c>
      <c r="G37" s="34" t="inlineStr">
        <is>
          <t>1.3.1.2 Traction Power - Control Centre &amp; Stations</t>
        </is>
      </c>
      <c r="H37" s="22">
        <f>COUNTIF('MASTER DATA'!$A$2:$A$1624,"=1.3.1.2")</f>
        <v/>
      </c>
      <c r="I37" s="22">
        <f>SUM(H37:H37)</f>
        <v/>
      </c>
      <c r="J37" s="89" t="inlineStr">
        <is>
          <t>No relationships</t>
        </is>
      </c>
    </row>
    <row r="38" outlineLevel="2" ht="79" customHeight="1">
      <c r="A38" s="95" t="n">
        <v>3</v>
      </c>
      <c r="B38" s="34" t="inlineStr">
        <is>
          <t>1.3.2</t>
        </is>
      </c>
      <c r="C38" s="34" t="inlineStr">
        <is>
          <t>│  ├─ 1.3.2 Systems - Signalling &amp; Train Control</t>
        </is>
      </c>
      <c r="F38" s="34" t="inlineStr">
        <is>
          <t>1.3.2 Systems - Signalling &amp; Train Control</t>
        </is>
      </c>
      <c r="H38" s="22">
        <f>COUNTIF('MASTER DATA'!$A$2:$A$1624,"=1.3.2")</f>
        <v/>
      </c>
      <c r="I38" s="22">
        <f>SUM(H38:H40)</f>
        <v/>
      </c>
      <c r="J38" s="87" t="inlineStr">
        <is>
          <t>08 CROSSWALK</t>
        </is>
      </c>
    </row>
    <row r="39" outlineLevel="3" ht="79" customHeight="1">
      <c r="A39" s="95" t="n">
        <v>4</v>
      </c>
      <c r="B39" s="34" t="inlineStr">
        <is>
          <t>1.3.2.1</t>
        </is>
      </c>
      <c r="C39" s="34" t="inlineStr">
        <is>
          <t>│  │  ├─ 1.3.2.1 Signalling &amp; Train Control - Wayside</t>
        </is>
      </c>
      <c r="G39" s="34" t="inlineStr">
        <is>
          <t>1.3.2.1 Signalling &amp; Train Control - Wayside</t>
        </is>
      </c>
      <c r="H39" s="22">
        <f>COUNTIF('MASTER DATA'!$A$2:$A$1624,"=1.3.2.1")</f>
        <v/>
      </c>
      <c r="I39" s="22">
        <f>SUM(H39:H39)</f>
        <v/>
      </c>
      <c r="J39" s="89" t="inlineStr">
        <is>
          <t>No relationships</t>
        </is>
      </c>
    </row>
    <row r="40" outlineLevel="3" ht="79" customHeight="1">
      <c r="A40" s="95" t="n">
        <v>4</v>
      </c>
      <c r="B40" s="34" t="inlineStr">
        <is>
          <t>1.3.2.2</t>
        </is>
      </c>
      <c r="C40" s="34" t="inlineStr">
        <is>
          <t>│  │  └─ 1.3.2.2 Signalling &amp; Train Control - Control Centre &amp; Stations</t>
        </is>
      </c>
      <c r="G40" s="34" t="inlineStr">
        <is>
          <t>1.3.2.2 Signalling &amp; Train Control - Control Centre &amp; Stations</t>
        </is>
      </c>
      <c r="H40" s="22">
        <f>COUNTIF('MASTER DATA'!$A$2:$A$1624,"=1.3.2.2")</f>
        <v/>
      </c>
      <c r="I40" s="22">
        <f>SUM(H40:H40)</f>
        <v/>
      </c>
      <c r="J40" s="89" t="inlineStr">
        <is>
          <t>No relationships</t>
        </is>
      </c>
    </row>
    <row r="41" outlineLevel="2" ht="79" customHeight="1">
      <c r="A41" s="95" t="n">
        <v>3</v>
      </c>
      <c r="B41" s="34" t="inlineStr">
        <is>
          <t>1.3.3</t>
        </is>
      </c>
      <c r="C41" s="34" t="inlineStr">
        <is>
          <t>│  ├─ 1.3.3 Systems - Communications</t>
        </is>
      </c>
      <c r="F41" s="34" t="inlineStr">
        <is>
          <t>1.3.3 Systems - Communications</t>
        </is>
      </c>
      <c r="H41" s="22">
        <f>COUNTIF('MASTER DATA'!$A$2:$A$1624,"=1.3.3")</f>
        <v/>
      </c>
      <c r="I41" s="22">
        <f>SUM(H41:H43)</f>
        <v/>
      </c>
      <c r="J41" s="89" t="inlineStr">
        <is>
          <t>No relationships</t>
        </is>
      </c>
    </row>
    <row r="42" outlineLevel="3" ht="79" customHeight="1">
      <c r="A42" s="95" t="n">
        <v>4</v>
      </c>
      <c r="B42" s="34" t="inlineStr">
        <is>
          <t>1.3.3.1</t>
        </is>
      </c>
      <c r="C42" s="34" t="inlineStr">
        <is>
          <t>│  │  ├─ 1.3.3.1 Communications - Wayside</t>
        </is>
      </c>
      <c r="G42" s="34" t="inlineStr">
        <is>
          <t>1.3.3.1 Communications - Wayside</t>
        </is>
      </c>
      <c r="H42" s="22">
        <f>COUNTIF('MASTER DATA'!$A$2:$A$1624,"=1.3.3.1")</f>
        <v/>
      </c>
      <c r="I42" s="22">
        <f>SUM(H42:H42)</f>
        <v/>
      </c>
      <c r="J42" s="89" t="inlineStr">
        <is>
          <t>No relationships</t>
        </is>
      </c>
    </row>
    <row r="43" outlineLevel="3" ht="79" customHeight="1">
      <c r="A43" s="95" t="n">
        <v>4</v>
      </c>
      <c r="B43" s="34" t="inlineStr">
        <is>
          <t>1.3.3.2</t>
        </is>
      </c>
      <c r="C43" s="34" t="inlineStr">
        <is>
          <t>│  │  └─ 1.3.3.2 Communications - Control Centre &amp; Stations</t>
        </is>
      </c>
      <c r="G43" s="34" t="inlineStr">
        <is>
          <t>1.3.3.2 Communications - Control Centre &amp; Stations</t>
        </is>
      </c>
      <c r="H43" s="22">
        <f>COUNTIF('MASTER DATA'!$A$2:$A$1624,"=1.3.3.2")</f>
        <v/>
      </c>
      <c r="I43" s="22">
        <f>SUM(H43:H43)</f>
        <v/>
      </c>
      <c r="J43" s="89" t="inlineStr">
        <is>
          <t>No relationships</t>
        </is>
      </c>
    </row>
    <row r="44" outlineLevel="2" ht="79" customHeight="1">
      <c r="A44" s="95" t="n">
        <v>3</v>
      </c>
      <c r="B44" s="34" t="inlineStr">
        <is>
          <t>1.3.4</t>
        </is>
      </c>
      <c r="C44" s="34" t="inlineStr">
        <is>
          <t>│  └─ 1.3.4 Systems - Systems Integration</t>
        </is>
      </c>
      <c r="F44" s="34" t="inlineStr">
        <is>
          <t>1.3.4 Systems - Systems Integration</t>
        </is>
      </c>
      <c r="H44" s="22">
        <f>COUNTIF('MASTER DATA'!$A$2:$A$1624,"=1.3.4")</f>
        <v/>
      </c>
      <c r="I44" s="22">
        <f>SUM(H44:H46)</f>
        <v/>
      </c>
      <c r="J44" s="89" t="inlineStr">
        <is>
          <t>No relationships</t>
        </is>
      </c>
    </row>
    <row r="45" outlineLevel="3" ht="79" customHeight="1">
      <c r="A45" s="95" t="n">
        <v>4</v>
      </c>
      <c r="B45" s="34" t="inlineStr">
        <is>
          <t>1.3.4.1</t>
        </is>
      </c>
      <c r="C45" s="34" t="inlineStr">
        <is>
          <t>│     ├─ 1.3.4.1 Systems Integration - Wayside</t>
        </is>
      </c>
      <c r="G45" s="34" t="inlineStr">
        <is>
          <t>1.3.4.1 Systems Integration - Wayside</t>
        </is>
      </c>
      <c r="H45" s="22">
        <f>COUNTIF('MASTER DATA'!$A$2:$A$1624,"=1.3.4.1")</f>
        <v/>
      </c>
      <c r="I45" s="22">
        <f>SUM(H45:H45)</f>
        <v/>
      </c>
      <c r="J45" s="89" t="inlineStr">
        <is>
          <t>No relationships</t>
        </is>
      </c>
    </row>
    <row r="46" outlineLevel="3" ht="79" customHeight="1">
      <c r="A46" s="95" t="n">
        <v>4</v>
      </c>
      <c r="B46" s="34" t="inlineStr">
        <is>
          <t>1.3.4.2</t>
        </is>
      </c>
      <c r="C46" s="34" t="inlineStr">
        <is>
          <t>│     └─ 1.3.4.2 Systems Integration - Control Centre &amp; Stations</t>
        </is>
      </c>
      <c r="G46" s="34" t="inlineStr">
        <is>
          <t>1.3.4.2 Systems Integration - Control Centre &amp; Stations</t>
        </is>
      </c>
      <c r="H46" s="22">
        <f>COUNTIF('MASTER DATA'!$A$2:$A$1624,"=1.3.4.2")</f>
        <v/>
      </c>
      <c r="I46" s="22">
        <f>SUM(H46:H46)</f>
        <v/>
      </c>
      <c r="J46" s="89" t="inlineStr">
        <is>
          <t>No relationships</t>
        </is>
      </c>
    </row>
    <row r="47" outlineLevel="1" ht="79" customHeight="1">
      <c r="A47" s="95" t="n">
        <v>2</v>
      </c>
      <c r="B47" s="34" t="inlineStr">
        <is>
          <t>1.4</t>
        </is>
      </c>
      <c r="C47" s="34" t="inlineStr">
        <is>
          <t>├─ 1.4 Vehicles and Depot</t>
        </is>
      </c>
      <c r="E47" s="34" t="inlineStr">
        <is>
          <t>1.4 Vehicles and Depot</t>
        </is>
      </c>
      <c r="H47" s="22">
        <f>COUNTIF('MASTER DATA'!$A$2:$A$1624,"=1.4")</f>
        <v/>
      </c>
      <c r="I47" s="22">
        <f>SUM(H47:H59)</f>
        <v/>
      </c>
      <c r="J47" s="87" t="inlineStr">
        <is>
          <t>08 CROSSWALK</t>
        </is>
      </c>
    </row>
    <row r="48" outlineLevel="2" ht="79" customHeight="1">
      <c r="A48" s="95" t="n">
        <v>3</v>
      </c>
      <c r="B48" s="34" t="inlineStr">
        <is>
          <t>1.4.1</t>
        </is>
      </c>
      <c r="C48" s="34" t="inlineStr">
        <is>
          <t>│  ├─ 1.4.1 Vehicles and Depot - Fleet Supply</t>
        </is>
      </c>
      <c r="F48" s="34" t="inlineStr">
        <is>
          <t>1.4.1 Vehicles and Depot - Fleet Supply</t>
        </is>
      </c>
      <c r="H48" s="22">
        <f>COUNTIF('MASTER DATA'!$A$2:$A$1624,"=1.4.1")</f>
        <v/>
      </c>
      <c r="I48" s="22">
        <f>SUM(H48:H50)</f>
        <v/>
      </c>
      <c r="J48" s="87" t="inlineStr">
        <is>
          <t>08 CROSSWALK</t>
        </is>
      </c>
    </row>
    <row r="49" outlineLevel="3" ht="79" customHeight="1">
      <c r="A49" s="95" t="n">
        <v>4</v>
      </c>
      <c r="B49" s="34" t="inlineStr">
        <is>
          <t>1.4.1.1</t>
        </is>
      </c>
      <c r="C49" s="34" t="inlineStr">
        <is>
          <t>│  │  ├─ 1.4.1.1 Fleet Supply - Maintenance Facility</t>
        </is>
      </c>
      <c r="G49" s="34" t="inlineStr">
        <is>
          <t>1.4.1.1 Fleet Supply - Maintenance Facility</t>
        </is>
      </c>
      <c r="H49" s="22">
        <f>COUNTIF('MASTER DATA'!$A$2:$A$1624,"=1.4.1.1")</f>
        <v/>
      </c>
      <c r="I49" s="22">
        <f>SUM(H49:H49)</f>
        <v/>
      </c>
      <c r="J49" s="89" t="inlineStr">
        <is>
          <t>No relationships</t>
        </is>
      </c>
    </row>
    <row r="50" outlineLevel="3" ht="79" customHeight="1">
      <c r="A50" s="95" t="n">
        <v>4</v>
      </c>
      <c r="B50" s="34" t="inlineStr">
        <is>
          <t>1.4.1.2</t>
        </is>
      </c>
      <c r="C50" s="34" t="inlineStr">
        <is>
          <t>│  │  └─ 1.4.1.2 Fleet Supply - Storage &amp; Commissioning Yard</t>
        </is>
      </c>
      <c r="G50" s="34" t="inlineStr">
        <is>
          <t>1.4.1.2 Fleet Supply - Storage &amp; Commissioning Yard</t>
        </is>
      </c>
      <c r="H50" s="22">
        <f>COUNTIF('MASTER DATA'!$A$2:$A$1624,"=1.4.1.2")</f>
        <v/>
      </c>
      <c r="I50" s="22">
        <f>SUM(H50:H50)</f>
        <v/>
      </c>
      <c r="J50" s="89" t="inlineStr">
        <is>
          <t>No relationships</t>
        </is>
      </c>
    </row>
    <row r="51" outlineLevel="2" ht="79" customHeight="1">
      <c r="A51" s="95" t="n">
        <v>3</v>
      </c>
      <c r="B51" s="34" t="inlineStr">
        <is>
          <t>1.4.2</t>
        </is>
      </c>
      <c r="C51" s="34" t="inlineStr">
        <is>
          <t>│  ├─ 1.4.2 Vehicles and Depot - Depot Buildings</t>
        </is>
      </c>
      <c r="F51" s="34" t="inlineStr">
        <is>
          <t>1.4.2 Vehicles and Depot - Depot Buildings</t>
        </is>
      </c>
      <c r="H51" s="22">
        <f>COUNTIF('MASTER DATA'!$A$2:$A$1624,"=1.4.2")</f>
        <v/>
      </c>
      <c r="I51" s="22">
        <f>SUM(H51:H53)</f>
        <v/>
      </c>
      <c r="J51" s="87" t="inlineStr">
        <is>
          <t>08 CROSSWALK</t>
        </is>
      </c>
    </row>
    <row r="52" outlineLevel="3" ht="79" customHeight="1">
      <c r="A52" s="95" t="n">
        <v>4</v>
      </c>
      <c r="B52" s="34" t="inlineStr">
        <is>
          <t>1.4.2.1</t>
        </is>
      </c>
      <c r="C52" s="34" t="inlineStr">
        <is>
          <t>│  │  ├─ 1.4.2.1 Depot Buildings - Maintenance Facility</t>
        </is>
      </c>
      <c r="G52" s="34" t="inlineStr">
        <is>
          <t>1.4.2.1 Depot Buildings - Maintenance Facility</t>
        </is>
      </c>
      <c r="H52" s="22">
        <f>COUNTIF('MASTER DATA'!$A$2:$A$1624,"=1.4.2.1")</f>
        <v/>
      </c>
      <c r="I52" s="22">
        <f>SUM(H52:H52)</f>
        <v/>
      </c>
      <c r="J52" s="89" t="inlineStr">
        <is>
          <t>No relationships</t>
        </is>
      </c>
    </row>
    <row r="53" outlineLevel="3" ht="79" customHeight="1">
      <c r="A53" s="95" t="n">
        <v>4</v>
      </c>
      <c r="B53" s="34" t="inlineStr">
        <is>
          <t>1.4.2.2</t>
        </is>
      </c>
      <c r="C53" s="34" t="inlineStr">
        <is>
          <t>│  │  └─ 1.4.2.2 Depot Buildings - Storage &amp; Commissioning Yard</t>
        </is>
      </c>
      <c r="G53" s="34" t="inlineStr">
        <is>
          <t>1.4.2.2 Depot Buildings - Storage &amp; Commissioning Yard</t>
        </is>
      </c>
      <c r="H53" s="22">
        <f>COUNTIF('MASTER DATA'!$A$2:$A$1624,"=1.4.2.2")</f>
        <v/>
      </c>
      <c r="I53" s="22">
        <f>SUM(H53:H53)</f>
        <v/>
      </c>
      <c r="J53" s="89" t="inlineStr">
        <is>
          <t>No relationships</t>
        </is>
      </c>
    </row>
    <row r="54" outlineLevel="2" ht="79" customHeight="1">
      <c r="A54" s="95" t="n">
        <v>3</v>
      </c>
      <c r="B54" s="34" t="inlineStr">
        <is>
          <t>1.4.3</t>
        </is>
      </c>
      <c r="C54" s="34" t="inlineStr">
        <is>
          <t>│  ├─ 1.4.3 Vehicles and Depot - Workshop Equipment</t>
        </is>
      </c>
      <c r="F54" s="34" t="inlineStr">
        <is>
          <t>1.4.3 Vehicles and Depot - Workshop Equipment</t>
        </is>
      </c>
      <c r="H54" s="22">
        <f>COUNTIF('MASTER DATA'!$A$2:$A$1624,"=1.4.3")</f>
        <v/>
      </c>
      <c r="I54" s="22">
        <f>SUM(H54:H56)</f>
        <v/>
      </c>
      <c r="J54" s="89" t="inlineStr">
        <is>
          <t>No relationships</t>
        </is>
      </c>
    </row>
    <row r="55" outlineLevel="3" ht="79" customHeight="1">
      <c r="A55" s="95" t="n">
        <v>4</v>
      </c>
      <c r="B55" s="34" t="inlineStr">
        <is>
          <t>1.4.3.1</t>
        </is>
      </c>
      <c r="C55" s="34" t="inlineStr">
        <is>
          <t>│  │  ├─ 1.4.3.1 Workshop Equipment - Maintenance Facility</t>
        </is>
      </c>
      <c r="G55" s="34" t="inlineStr">
        <is>
          <t>1.4.3.1 Workshop Equipment - Maintenance Facility</t>
        </is>
      </c>
      <c r="H55" s="22">
        <f>COUNTIF('MASTER DATA'!$A$2:$A$1624,"=1.4.3.1")</f>
        <v/>
      </c>
      <c r="I55" s="22">
        <f>SUM(H55:H55)</f>
        <v/>
      </c>
      <c r="J55" s="89" t="inlineStr">
        <is>
          <t>No relationships</t>
        </is>
      </c>
    </row>
    <row r="56" outlineLevel="3" ht="79" customHeight="1">
      <c r="A56" s="95" t="n">
        <v>4</v>
      </c>
      <c r="B56" s="34" t="inlineStr">
        <is>
          <t>1.4.3.2</t>
        </is>
      </c>
      <c r="C56" s="34" t="inlineStr">
        <is>
          <t>│  │  └─ 1.4.3.2 Workshop Equipment - Storage &amp; Commissioning Yard</t>
        </is>
      </c>
      <c r="G56" s="34" t="inlineStr">
        <is>
          <t>1.4.3.2 Workshop Equipment - Storage &amp; Commissioning Yard</t>
        </is>
      </c>
      <c r="H56" s="22">
        <f>COUNTIF('MASTER DATA'!$A$2:$A$1624,"=1.4.3.2")</f>
        <v/>
      </c>
      <c r="I56" s="22">
        <f>SUM(H56:H56)</f>
        <v/>
      </c>
      <c r="J56" s="89" t="inlineStr">
        <is>
          <t>No relationships</t>
        </is>
      </c>
    </row>
    <row r="57" outlineLevel="2" ht="79" customHeight="1">
      <c r="A57" s="95" t="n">
        <v>3</v>
      </c>
      <c r="B57" s="34" t="inlineStr">
        <is>
          <t>1.4.4</t>
        </is>
      </c>
      <c r="C57" s="34" t="inlineStr">
        <is>
          <t>│  └─ 1.4.4 Vehicles and Depot - Vehicle Integration</t>
        </is>
      </c>
      <c r="F57" s="34" t="inlineStr">
        <is>
          <t>1.4.4 Vehicles and Depot - Vehicle Integration</t>
        </is>
      </c>
      <c r="H57" s="22">
        <f>COUNTIF('MASTER DATA'!$A$2:$A$1624,"=1.4.4")</f>
        <v/>
      </c>
      <c r="I57" s="22">
        <f>SUM(H57:H59)</f>
        <v/>
      </c>
      <c r="J57" s="89" t="inlineStr">
        <is>
          <t>No relationships</t>
        </is>
      </c>
    </row>
    <row r="58" outlineLevel="3" ht="79" customHeight="1">
      <c r="A58" s="95" t="n">
        <v>4</v>
      </c>
      <c r="B58" s="34" t="inlineStr">
        <is>
          <t>1.4.4.1</t>
        </is>
      </c>
      <c r="C58" s="34" t="inlineStr">
        <is>
          <t>│     ├─ 1.4.4.1 Vehicle Integration - Maintenance Facility</t>
        </is>
      </c>
      <c r="G58" s="34" t="inlineStr">
        <is>
          <t>1.4.4.1 Vehicle Integration - Maintenance Facility</t>
        </is>
      </c>
      <c r="H58" s="22">
        <f>COUNTIF('MASTER DATA'!$A$2:$A$1624,"=1.4.4.1")</f>
        <v/>
      </c>
      <c r="I58" s="22">
        <f>SUM(H58:H58)</f>
        <v/>
      </c>
      <c r="J58" s="89" t="inlineStr">
        <is>
          <t>No relationships</t>
        </is>
      </c>
    </row>
    <row r="59" outlineLevel="3" ht="79" customHeight="1">
      <c r="A59" s="95" t="n">
        <v>4</v>
      </c>
      <c r="B59" s="34" t="inlineStr">
        <is>
          <t>1.4.4.2</t>
        </is>
      </c>
      <c r="C59" s="34" t="inlineStr">
        <is>
          <t>│     └─ 1.4.4.2 Vehicle Integration - Storage &amp; Commissioning Yard</t>
        </is>
      </c>
      <c r="G59" s="34" t="inlineStr">
        <is>
          <t>1.4.4.2 Vehicle Integration - Storage &amp; Commissioning Yard</t>
        </is>
      </c>
      <c r="H59" s="22">
        <f>COUNTIF('MASTER DATA'!$A$2:$A$1624,"=1.4.4.2")</f>
        <v/>
      </c>
      <c r="I59" s="22">
        <f>SUM(H59:H59)</f>
        <v/>
      </c>
      <c r="J59" s="89" t="inlineStr">
        <is>
          <t>No relationships</t>
        </is>
      </c>
    </row>
    <row r="60" outlineLevel="1" ht="79" customHeight="1">
      <c r="A60" s="95" t="n">
        <v>2</v>
      </c>
      <c r="B60" s="34" t="inlineStr">
        <is>
          <t>1.5</t>
        </is>
      </c>
      <c r="C60" s="34" t="inlineStr">
        <is>
          <t>├─ 1.5 Testing and Commissioning</t>
        </is>
      </c>
      <c r="E60" s="34" t="inlineStr">
        <is>
          <t>1.5 Testing and Commissioning</t>
        </is>
      </c>
      <c r="H60" s="22">
        <f>COUNTIF('MASTER DATA'!$A$2:$A$1624,"=1.5")</f>
        <v/>
      </c>
      <c r="I60" s="22">
        <f>SUM(H60:H72)</f>
        <v/>
      </c>
      <c r="J60" s="87" t="inlineStr">
        <is>
          <t>08 CROSSWALK</t>
        </is>
      </c>
    </row>
    <row r="61" outlineLevel="2" ht="79" customHeight="1">
      <c r="A61" s="95" t="n">
        <v>3</v>
      </c>
      <c r="B61" s="34" t="inlineStr">
        <is>
          <t>1.5.1</t>
        </is>
      </c>
      <c r="C61" s="34" t="inlineStr">
        <is>
          <t>│  ├─ 1.5.1 Testing and Commissioning - Test Readiness</t>
        </is>
      </c>
      <c r="F61" s="34" t="inlineStr">
        <is>
          <t>1.5.1 Testing and Commissioning - Test Readiness</t>
        </is>
      </c>
      <c r="H61" s="22">
        <f>COUNTIF('MASTER DATA'!$A$2:$A$1624,"=1.5.1")</f>
        <v/>
      </c>
      <c r="I61" s="22">
        <f>SUM(H61:H63)</f>
        <v/>
      </c>
      <c r="J61" s="87" t="inlineStr">
        <is>
          <t>08 CROSSWALK</t>
        </is>
      </c>
    </row>
    <row r="62" outlineLevel="3" ht="79" customHeight="1">
      <c r="A62" s="95" t="n">
        <v>4</v>
      </c>
      <c r="B62" s="34" t="inlineStr">
        <is>
          <t>1.5.1.1</t>
        </is>
      </c>
      <c r="C62" s="34" t="inlineStr">
        <is>
          <t>│  │  ├─ 1.5.1.1 Test Readiness - Mainline</t>
        </is>
      </c>
      <c r="G62" s="34" t="inlineStr">
        <is>
          <t>1.5.1.1 Test Readiness - Mainline</t>
        </is>
      </c>
      <c r="H62" s="22">
        <f>COUNTIF('MASTER DATA'!$A$2:$A$1624,"=1.5.1.1")</f>
        <v/>
      </c>
      <c r="I62" s="22">
        <f>SUM(H62:H62)</f>
        <v/>
      </c>
      <c r="J62" s="89" t="inlineStr">
        <is>
          <t>No relationships</t>
        </is>
      </c>
    </row>
    <row r="63" outlineLevel="3" ht="79" customHeight="1">
      <c r="A63" s="95" t="n">
        <v>4</v>
      </c>
      <c r="B63" s="34" t="inlineStr">
        <is>
          <t>1.5.1.2</t>
        </is>
      </c>
      <c r="C63" s="34" t="inlineStr">
        <is>
          <t>│  │  └─ 1.5.1.2 Test Readiness - Depot &amp; Stations</t>
        </is>
      </c>
      <c r="G63" s="34" t="inlineStr">
        <is>
          <t>1.5.1.2 Test Readiness - Depot &amp; Stations</t>
        </is>
      </c>
      <c r="H63" s="22">
        <f>COUNTIF('MASTER DATA'!$A$2:$A$1624,"=1.5.1.2")</f>
        <v/>
      </c>
      <c r="I63" s="22">
        <f>SUM(H63:H63)</f>
        <v/>
      </c>
      <c r="J63" s="89" t="inlineStr">
        <is>
          <t>No relationships</t>
        </is>
      </c>
    </row>
    <row r="64" outlineLevel="2" ht="79" customHeight="1">
      <c r="A64" s="95" t="n">
        <v>3</v>
      </c>
      <c r="B64" s="34" t="inlineStr">
        <is>
          <t>1.5.2</t>
        </is>
      </c>
      <c r="C64" s="34" t="inlineStr">
        <is>
          <t>│  ├─ 1.5.2 Testing and Commissioning - Dynamic Testing</t>
        </is>
      </c>
      <c r="F64" s="34" t="inlineStr">
        <is>
          <t>1.5.2 Testing and Commissioning - Dynamic Testing</t>
        </is>
      </c>
      <c r="H64" s="22">
        <f>COUNTIF('MASTER DATA'!$A$2:$A$1624,"=1.5.2")</f>
        <v/>
      </c>
      <c r="I64" s="22">
        <f>SUM(H64:H66)</f>
        <v/>
      </c>
      <c r="J64" s="87" t="inlineStr">
        <is>
          <t>08 CROSSWALK</t>
        </is>
      </c>
    </row>
    <row r="65" outlineLevel="3" ht="79" customHeight="1">
      <c r="A65" s="95" t="n">
        <v>4</v>
      </c>
      <c r="B65" s="34" t="inlineStr">
        <is>
          <t>1.5.2.1</t>
        </is>
      </c>
      <c r="C65" s="34" t="inlineStr">
        <is>
          <t>│  │  ├─ 1.5.2.1 Dynamic Testing - Mainline</t>
        </is>
      </c>
      <c r="G65" s="34" t="inlineStr">
        <is>
          <t>1.5.2.1 Dynamic Testing - Mainline</t>
        </is>
      </c>
      <c r="H65" s="22">
        <f>COUNTIF('MASTER DATA'!$A$2:$A$1624,"=1.5.2.1")</f>
        <v/>
      </c>
      <c r="I65" s="22">
        <f>SUM(H65:H65)</f>
        <v/>
      </c>
      <c r="J65" s="89" t="inlineStr">
        <is>
          <t>No relationships</t>
        </is>
      </c>
    </row>
    <row r="66" outlineLevel="3" ht="79" customHeight="1">
      <c r="A66" s="95" t="n">
        <v>4</v>
      </c>
      <c r="B66" s="34" t="inlineStr">
        <is>
          <t>1.5.2.2</t>
        </is>
      </c>
      <c r="C66" s="34" t="inlineStr">
        <is>
          <t>│  │  └─ 1.5.2.2 Dynamic Testing - Depot &amp; Stations</t>
        </is>
      </c>
      <c r="G66" s="34" t="inlineStr">
        <is>
          <t>1.5.2.2 Dynamic Testing - Depot &amp; Stations</t>
        </is>
      </c>
      <c r="H66" s="22">
        <f>COUNTIF('MASTER DATA'!$A$2:$A$1624,"=1.5.2.2")</f>
        <v/>
      </c>
      <c r="I66" s="22">
        <f>SUM(H66:H66)</f>
        <v/>
      </c>
      <c r="J66" s="89" t="inlineStr">
        <is>
          <t>No relationships</t>
        </is>
      </c>
    </row>
    <row r="67" outlineLevel="2" ht="79" customHeight="1">
      <c r="A67" s="95" t="n">
        <v>3</v>
      </c>
      <c r="B67" s="34" t="inlineStr">
        <is>
          <t>1.5.3</t>
        </is>
      </c>
      <c r="C67" s="34" t="inlineStr">
        <is>
          <t>│  ├─ 1.5.3 Testing and Commissioning - Safety Certification</t>
        </is>
      </c>
      <c r="F67" s="34" t="inlineStr">
        <is>
          <t>1.5.3 Testing and Commissioning - Safety Certification</t>
        </is>
      </c>
      <c r="H67" s="22">
        <f>COUNTIF('MASTER DATA'!$A$2:$A$1624,"=1.5.3")</f>
        <v/>
      </c>
      <c r="I67" s="22">
        <f>SUM(H67:H69)</f>
        <v/>
      </c>
      <c r="J67" s="89" t="inlineStr">
        <is>
          <t>No relationships</t>
        </is>
      </c>
    </row>
    <row r="68" outlineLevel="3" ht="79" customHeight="1">
      <c r="A68" s="95" t="n">
        <v>4</v>
      </c>
      <c r="B68" s="34" t="inlineStr">
        <is>
          <t>1.5.3.1</t>
        </is>
      </c>
      <c r="C68" s="34" t="inlineStr">
        <is>
          <t>│  │  ├─ 1.5.3.1 Safety Certification - Mainline</t>
        </is>
      </c>
      <c r="G68" s="34" t="inlineStr">
        <is>
          <t>1.5.3.1 Safety Certification - Mainline</t>
        </is>
      </c>
      <c r="H68" s="22">
        <f>COUNTIF('MASTER DATA'!$A$2:$A$1624,"=1.5.3.1")</f>
        <v/>
      </c>
      <c r="I68" s="22">
        <f>SUM(H68:H68)</f>
        <v/>
      </c>
      <c r="J68" s="89" t="inlineStr">
        <is>
          <t>No relationships</t>
        </is>
      </c>
    </row>
    <row r="69" outlineLevel="3" ht="79" customHeight="1">
      <c r="A69" s="95" t="n">
        <v>4</v>
      </c>
      <c r="B69" s="34" t="inlineStr">
        <is>
          <t>1.5.3.2</t>
        </is>
      </c>
      <c r="C69" s="34" t="inlineStr">
        <is>
          <t>│  │  └─ 1.5.3.2 Safety Certification - Depot &amp; Stations</t>
        </is>
      </c>
      <c r="G69" s="34" t="inlineStr">
        <is>
          <t>1.5.3.2 Safety Certification - Depot &amp; Stations</t>
        </is>
      </c>
      <c r="H69" s="22">
        <f>COUNTIF('MASTER DATA'!$A$2:$A$1624,"=1.5.3.2")</f>
        <v/>
      </c>
      <c r="I69" s="22">
        <f>SUM(H69:H69)</f>
        <v/>
      </c>
      <c r="J69" s="89" t="inlineStr">
        <is>
          <t>No relationships</t>
        </is>
      </c>
    </row>
    <row r="70" outlineLevel="2" ht="79" customHeight="1">
      <c r="A70" s="95" t="n">
        <v>3</v>
      </c>
      <c r="B70" s="34" t="inlineStr">
        <is>
          <t>1.5.4</t>
        </is>
      </c>
      <c r="C70" s="34" t="inlineStr">
        <is>
          <t>│  └─ 1.5.4 Testing and Commissioning - Service Readiness</t>
        </is>
      </c>
      <c r="F70" s="34" t="inlineStr">
        <is>
          <t>1.5.4 Testing and Commissioning - Service Readiness</t>
        </is>
      </c>
      <c r="H70" s="22">
        <f>COUNTIF('MASTER DATA'!$A$2:$A$1624,"=1.5.4")</f>
        <v/>
      </c>
      <c r="I70" s="22">
        <f>SUM(H70:H72)</f>
        <v/>
      </c>
      <c r="J70" s="89" t="inlineStr">
        <is>
          <t>No relationships</t>
        </is>
      </c>
    </row>
    <row r="71" outlineLevel="3" ht="79" customHeight="1">
      <c r="A71" s="95" t="n">
        <v>4</v>
      </c>
      <c r="B71" s="34" t="inlineStr">
        <is>
          <t>1.5.4.1</t>
        </is>
      </c>
      <c r="C71" s="34" t="inlineStr">
        <is>
          <t>│     ├─ 1.5.4.1 Service Readiness - Mainline</t>
        </is>
      </c>
      <c r="G71" s="34" t="inlineStr">
        <is>
          <t>1.5.4.1 Service Readiness - Mainline</t>
        </is>
      </c>
      <c r="H71" s="22">
        <f>COUNTIF('MASTER DATA'!$A$2:$A$1624,"=1.5.4.1")</f>
        <v/>
      </c>
      <c r="I71" s="22">
        <f>SUM(H71:H71)</f>
        <v/>
      </c>
      <c r="J71" s="89" t="inlineStr">
        <is>
          <t>No relationships</t>
        </is>
      </c>
    </row>
    <row r="72" outlineLevel="3" ht="79" customHeight="1">
      <c r="A72" s="95" t="n">
        <v>4</v>
      </c>
      <c r="B72" s="34" t="inlineStr">
        <is>
          <t>1.5.4.2</t>
        </is>
      </c>
      <c r="C72" s="34" t="inlineStr">
        <is>
          <t>│     └─ 1.5.4.2 Service Readiness - Depot &amp; Stations</t>
        </is>
      </c>
      <c r="G72" s="34" t="inlineStr">
        <is>
          <t>1.5.4.2 Service Readiness - Depot &amp; Stations</t>
        </is>
      </c>
      <c r="H72" s="22">
        <f>COUNTIF('MASTER DATA'!$A$2:$A$1624,"=1.5.4.2")</f>
        <v/>
      </c>
      <c r="I72" s="22">
        <f>SUM(H72:H72)</f>
        <v/>
      </c>
      <c r="J72" s="89" t="inlineStr">
        <is>
          <t>No relationships</t>
        </is>
      </c>
    </row>
    <row r="73" outlineLevel="1" ht="79" customHeight="1">
      <c r="A73" s="95" t="n">
        <v>2</v>
      </c>
      <c r="B73" s="34" t="inlineStr">
        <is>
          <t>1.6</t>
        </is>
      </c>
      <c r="C73" s="34" t="inlineStr">
        <is>
          <t>└─ 1.6 Program Management</t>
        </is>
      </c>
      <c r="E73" s="34" t="inlineStr">
        <is>
          <t>1.6 Program Management</t>
        </is>
      </c>
      <c r="H73" s="22">
        <f>COUNTIF('MASTER DATA'!$A$2:$A$1624,"=1.6")</f>
        <v/>
      </c>
      <c r="I73" s="22">
        <f>SUM(H73:H85)</f>
        <v/>
      </c>
      <c r="J73" s="87" t="inlineStr">
        <is>
          <t>08 CROSSWALK</t>
        </is>
      </c>
    </row>
    <row r="74" outlineLevel="2" ht="79" customHeight="1">
      <c r="A74" s="95" t="n">
        <v>3</v>
      </c>
      <c r="B74" s="34" t="inlineStr">
        <is>
          <t>1.6.1</t>
        </is>
      </c>
      <c r="C74" s="34" t="inlineStr">
        <is>
          <t xml:space="preserve">   ├─ 1.6.1 Program Management - Program Controls</t>
        </is>
      </c>
      <c r="F74" s="34" t="inlineStr">
        <is>
          <t>1.6.1 Program Management - Program Controls</t>
        </is>
      </c>
      <c r="H74" s="22">
        <f>COUNTIF('MASTER DATA'!$A$2:$A$1624,"=1.6.1")</f>
        <v/>
      </c>
      <c r="I74" s="22">
        <f>SUM(H74:H76)</f>
        <v/>
      </c>
      <c r="J74" s="87" t="inlineStr">
        <is>
          <t>08 CROSSWALK</t>
        </is>
      </c>
    </row>
    <row r="75" outlineLevel="3" ht="79" customHeight="1">
      <c r="A75" s="95" t="n">
        <v>4</v>
      </c>
      <c r="B75" s="34" t="inlineStr">
        <is>
          <t>1.6.1.1</t>
        </is>
      </c>
      <c r="C75" s="34" t="inlineStr">
        <is>
          <t xml:space="preserve">   │  ├─ 1.6.1.1 Program Controls - Owner Team</t>
        </is>
      </c>
      <c r="G75" s="34" t="inlineStr">
        <is>
          <t>1.6.1.1 Program Controls - Owner Team</t>
        </is>
      </c>
      <c r="H75" s="22">
        <f>COUNTIF('MASTER DATA'!$A$2:$A$1624,"=1.6.1.1")</f>
        <v/>
      </c>
      <c r="I75" s="22">
        <f>SUM(H75:H75)</f>
        <v/>
      </c>
      <c r="J75" s="89" t="inlineStr">
        <is>
          <t>No relationships</t>
        </is>
      </c>
    </row>
    <row r="76" outlineLevel="3" ht="79" customHeight="1">
      <c r="A76" s="95" t="n">
        <v>4</v>
      </c>
      <c r="B76" s="34" t="inlineStr">
        <is>
          <t>1.6.1.2</t>
        </is>
      </c>
      <c r="C76" s="34" t="inlineStr">
        <is>
          <t xml:space="preserve">   │  └─ 1.6.1.2 Program Controls - Delivery Partners</t>
        </is>
      </c>
      <c r="G76" s="34" t="inlineStr">
        <is>
          <t>1.6.1.2 Program Controls - Delivery Partners</t>
        </is>
      </c>
      <c r="H76" s="22">
        <f>COUNTIF('MASTER DATA'!$A$2:$A$1624,"=1.6.1.2")</f>
        <v/>
      </c>
      <c r="I76" s="22">
        <f>SUM(H76:H76)</f>
        <v/>
      </c>
      <c r="J76" s="89" t="inlineStr">
        <is>
          <t>No relationships</t>
        </is>
      </c>
    </row>
    <row r="77" outlineLevel="2" ht="79" customHeight="1">
      <c r="A77" s="95" t="n">
        <v>3</v>
      </c>
      <c r="B77" s="34" t="inlineStr">
        <is>
          <t>1.6.2</t>
        </is>
      </c>
      <c r="C77" s="34" t="inlineStr">
        <is>
          <t xml:space="preserve">   ├─ 1.6.2 Program Management - Commercial &amp; Procurement</t>
        </is>
      </c>
      <c r="F77" s="34" t="inlineStr">
        <is>
          <t>1.6.2 Program Management - Commercial &amp; Procurement</t>
        </is>
      </c>
      <c r="H77" s="22">
        <f>COUNTIF('MASTER DATA'!$A$2:$A$1624,"=1.6.2")</f>
        <v/>
      </c>
      <c r="I77" s="22">
        <f>SUM(H77:H79)</f>
        <v/>
      </c>
      <c r="J77" s="87" t="inlineStr">
        <is>
          <t>08 CROSSWALK</t>
        </is>
      </c>
    </row>
    <row r="78" outlineLevel="3" ht="79" customHeight="1">
      <c r="A78" s="95" t="n">
        <v>4</v>
      </c>
      <c r="B78" s="34" t="inlineStr">
        <is>
          <t>1.6.2.1</t>
        </is>
      </c>
      <c r="C78" s="34" t="inlineStr">
        <is>
          <t xml:space="preserve">   │  ├─ 1.6.2.1 Commercial &amp; Procurement - Owner Team</t>
        </is>
      </c>
      <c r="G78" s="34" t="inlineStr">
        <is>
          <t>1.6.2.1 Commercial &amp; Procurement - Owner Team</t>
        </is>
      </c>
      <c r="H78" s="22">
        <f>COUNTIF('MASTER DATA'!$A$2:$A$1624,"=1.6.2.1")</f>
        <v/>
      </c>
      <c r="I78" s="22">
        <f>SUM(H78:H78)</f>
        <v/>
      </c>
      <c r="J78" s="89" t="inlineStr">
        <is>
          <t>No relationships</t>
        </is>
      </c>
    </row>
    <row r="79" outlineLevel="3" ht="79" customHeight="1">
      <c r="A79" s="95" t="n">
        <v>4</v>
      </c>
      <c r="B79" s="34" t="inlineStr">
        <is>
          <t>1.6.2.2</t>
        </is>
      </c>
      <c r="C79" s="34" t="inlineStr">
        <is>
          <t xml:space="preserve">   │  └─ 1.6.2.2 Commercial &amp; Procurement - Delivery Partners</t>
        </is>
      </c>
      <c r="G79" s="34" t="inlineStr">
        <is>
          <t>1.6.2.2 Commercial &amp; Procurement - Delivery Partners</t>
        </is>
      </c>
      <c r="H79" s="22">
        <f>COUNTIF('MASTER DATA'!$A$2:$A$1624,"=1.6.2.2")</f>
        <v/>
      </c>
      <c r="I79" s="22">
        <f>SUM(H79:H79)</f>
        <v/>
      </c>
      <c r="J79" s="89" t="inlineStr">
        <is>
          <t>No relationships</t>
        </is>
      </c>
    </row>
    <row r="80" outlineLevel="2" ht="79" customHeight="1">
      <c r="A80" s="95" t="n">
        <v>3</v>
      </c>
      <c r="B80" s="34" t="inlineStr">
        <is>
          <t>1.6.3</t>
        </is>
      </c>
      <c r="C80" s="34" t="inlineStr">
        <is>
          <t xml:space="preserve">   ├─ 1.6.3 Program Management - Stakeholder &amp; Permits</t>
        </is>
      </c>
      <c r="F80" s="34" t="inlineStr">
        <is>
          <t>1.6.3 Program Management - Stakeholder &amp; Permits</t>
        </is>
      </c>
      <c r="H80" s="22">
        <f>COUNTIF('MASTER DATA'!$A$2:$A$1624,"=1.6.3")</f>
        <v/>
      </c>
      <c r="I80" s="22">
        <f>SUM(H80:H82)</f>
        <v/>
      </c>
      <c r="J80" s="89" t="inlineStr">
        <is>
          <t>No relationships</t>
        </is>
      </c>
    </row>
    <row r="81" outlineLevel="3" ht="79" customHeight="1">
      <c r="A81" s="95" t="n">
        <v>4</v>
      </c>
      <c r="B81" s="34" t="inlineStr">
        <is>
          <t>1.6.3.1</t>
        </is>
      </c>
      <c r="C81" s="34" t="inlineStr">
        <is>
          <t xml:space="preserve">   │  ├─ 1.6.3.1 Stakeholder &amp; Permits - Owner Team</t>
        </is>
      </c>
      <c r="G81" s="34" t="inlineStr">
        <is>
          <t>1.6.3.1 Stakeholder &amp; Permits - Owner Team</t>
        </is>
      </c>
      <c r="H81" s="22">
        <f>COUNTIF('MASTER DATA'!$A$2:$A$1624,"=1.6.3.1")</f>
        <v/>
      </c>
      <c r="I81" s="22">
        <f>SUM(H81:H81)</f>
        <v/>
      </c>
      <c r="J81" s="89" t="inlineStr">
        <is>
          <t>No relationships</t>
        </is>
      </c>
    </row>
    <row r="82" outlineLevel="3" ht="79" customHeight="1">
      <c r="A82" s="95" t="n">
        <v>4</v>
      </c>
      <c r="B82" s="34" t="inlineStr">
        <is>
          <t>1.6.3.2</t>
        </is>
      </c>
      <c r="C82" s="34" t="inlineStr">
        <is>
          <t xml:space="preserve">   │  └─ 1.6.3.2 Stakeholder &amp; Permits - Delivery Partners</t>
        </is>
      </c>
      <c r="G82" s="34" t="inlineStr">
        <is>
          <t>1.6.3.2 Stakeholder &amp; Permits - Delivery Partners</t>
        </is>
      </c>
      <c r="H82" s="22">
        <f>COUNTIF('MASTER DATA'!$A$2:$A$1624,"=1.6.3.2")</f>
        <v/>
      </c>
      <c r="I82" s="22">
        <f>SUM(H82:H82)</f>
        <v/>
      </c>
      <c r="J82" s="89" t="inlineStr">
        <is>
          <t>No relationships</t>
        </is>
      </c>
    </row>
    <row r="83" outlineLevel="2" ht="79" customHeight="1">
      <c r="A83" s="95" t="n">
        <v>3</v>
      </c>
      <c r="B83" s="34" t="inlineStr">
        <is>
          <t>1.6.4</t>
        </is>
      </c>
      <c r="C83" s="34" t="inlineStr">
        <is>
          <t xml:space="preserve">   └─ 1.6.4 Program Management - Delivery Integration</t>
        </is>
      </c>
      <c r="F83" s="34" t="inlineStr">
        <is>
          <t>1.6.4 Program Management - Delivery Integration</t>
        </is>
      </c>
      <c r="H83" s="22">
        <f>COUNTIF('MASTER DATA'!$A$2:$A$1624,"=1.6.4")</f>
        <v/>
      </c>
      <c r="I83" s="22">
        <f>SUM(H83:H85)</f>
        <v/>
      </c>
      <c r="J83" s="89" t="inlineStr">
        <is>
          <t>No relationships</t>
        </is>
      </c>
    </row>
    <row r="84" outlineLevel="3" ht="79" customHeight="1">
      <c r="A84" s="95" t="n">
        <v>4</v>
      </c>
      <c r="B84" s="34" t="inlineStr">
        <is>
          <t>1.6.4.1</t>
        </is>
      </c>
      <c r="C84" s="34" t="inlineStr">
        <is>
          <t xml:space="preserve">      ├─ 1.6.4.1 Delivery Integration - Owner Team</t>
        </is>
      </c>
      <c r="G84" s="34" t="inlineStr">
        <is>
          <t>1.6.4.1 Delivery Integration - Owner Team</t>
        </is>
      </c>
      <c r="H84" s="22">
        <f>COUNTIF('MASTER DATA'!$A$2:$A$1624,"=1.6.4.1")</f>
        <v/>
      </c>
      <c r="I84" s="22">
        <f>SUM(H84:H84)</f>
        <v/>
      </c>
      <c r="J84" s="89" t="inlineStr">
        <is>
          <t>No relationships</t>
        </is>
      </c>
    </row>
    <row r="85" outlineLevel="3" ht="79" customHeight="1">
      <c r="A85" s="95" t="n">
        <v>4</v>
      </c>
      <c r="B85" s="34" t="inlineStr">
        <is>
          <t>1.6.4.2</t>
        </is>
      </c>
      <c r="C85" s="34" t="inlineStr">
        <is>
          <t xml:space="preserve">      └─ 1.6.4.2 Delivery Integration - Delivery Partners</t>
        </is>
      </c>
      <c r="G85" s="34" t="inlineStr">
        <is>
          <t>1.6.4.2 Delivery Integration - Delivery Partners</t>
        </is>
      </c>
      <c r="H85" s="22">
        <f>COUNTIF('MASTER DATA'!$A$2:$A$1624,"=1.6.4.2")</f>
        <v/>
      </c>
      <c r="I85" s="22">
        <f>SUM(H85:H85)</f>
        <v/>
      </c>
      <c r="J85" s="89" t="inlineStr">
        <is>
          <t>No relationships</t>
        </is>
      </c>
    </row>
    <row r="87" ht="94" customHeight="1">
      <c r="A87" s="110" t="inlineStr">
        <is>
          <t>Not attached to an element of this WBS (unresolved outcome or retired)</t>
        </is>
      </c>
      <c r="B87" s="41" t="n"/>
    </row>
    <row r="88" ht="79" customHeight="1">
      <c r="B88" s="34" t="inlineStr">
        <is>
          <t>NEW_SCOPE</t>
        </is>
      </c>
      <c r="H88" s="22">
        <f>COUNTIF('MASTER DATA'!$A$2:$A$1624,"=NEW_SCOPE")</f>
        <v/>
      </c>
    </row>
    <row r="89" ht="79" customHeight="1">
      <c r="B89" s="34" t="inlineStr">
        <is>
          <t>NO_WBS</t>
        </is>
      </c>
      <c r="H89" s="22">
        <f>COUNTIF('MASTER DATA'!$A$2:$A$1624,"=NO_WBS")</f>
        <v/>
      </c>
    </row>
    <row r="90" ht="79" customHeight="1">
      <c r="B90" s="34" t="inlineStr">
        <is>
          <t>UNSURE</t>
        </is>
      </c>
      <c r="H90" s="22">
        <f>COUNTIF('MASTER DATA'!$A$2:$A$1624,"=UNSURE")</f>
        <v/>
      </c>
    </row>
    <row r="92" ht="154" customHeight="1">
      <c r="A92" s="102" t="inlineStr">
        <is>
          <t>Total relationship rows (MASTER DATA)</t>
        </is>
      </c>
      <c r="H92" s="28">
        <f>COUNTA('MASTER DATA'!$O$2:$O$1624)</f>
        <v/>
      </c>
    </row>
    <row r="93" ht="139" customHeight="1">
      <c r="A93" s="111" t="inlineStr">
        <is>
          <t>Check: elements + not attached = total</t>
        </is>
      </c>
      <c r="H93" s="89">
        <f>IF(SUM(H7:H85)+SUM(H88:H90)=COUNTA('MASTER DATA'!$O$2:$O$1624),"reconciled","DOES NOT RECONCILE")</f>
        <v/>
      </c>
    </row>
  </sheetData>
  <autoFilter ref="A6:J85"/>
  <mergeCells count="4">
    <mergeCell ref="A4:B4"/>
    <mergeCell ref="A2:B2"/>
    <mergeCell ref="A87:B87"/>
    <mergeCell ref="A5:B5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A4" r:id="rId9"/>
    <hyperlink xmlns:r="http://schemas.openxmlformats.org/officeDocument/2006/relationships" ref="J7" r:id="rId10"/>
    <hyperlink xmlns:r="http://schemas.openxmlformats.org/officeDocument/2006/relationships" ref="J8" r:id="rId11"/>
    <hyperlink xmlns:r="http://schemas.openxmlformats.org/officeDocument/2006/relationships" ref="J9" r:id="rId12"/>
    <hyperlink xmlns:r="http://schemas.openxmlformats.org/officeDocument/2006/relationships" ref="J12" r:id="rId13"/>
    <hyperlink xmlns:r="http://schemas.openxmlformats.org/officeDocument/2006/relationships" ref="J21" r:id="rId14"/>
    <hyperlink xmlns:r="http://schemas.openxmlformats.org/officeDocument/2006/relationships" ref="J22" r:id="rId15"/>
    <hyperlink xmlns:r="http://schemas.openxmlformats.org/officeDocument/2006/relationships" ref="J25" r:id="rId16"/>
    <hyperlink xmlns:r="http://schemas.openxmlformats.org/officeDocument/2006/relationships" ref="J34" r:id="rId17"/>
    <hyperlink xmlns:r="http://schemas.openxmlformats.org/officeDocument/2006/relationships" ref="J35" r:id="rId18"/>
    <hyperlink xmlns:r="http://schemas.openxmlformats.org/officeDocument/2006/relationships" ref="J38" r:id="rId19"/>
    <hyperlink xmlns:r="http://schemas.openxmlformats.org/officeDocument/2006/relationships" ref="J47" r:id="rId20"/>
    <hyperlink xmlns:r="http://schemas.openxmlformats.org/officeDocument/2006/relationships" ref="J48" r:id="rId21"/>
    <hyperlink xmlns:r="http://schemas.openxmlformats.org/officeDocument/2006/relationships" ref="J51" r:id="rId22"/>
    <hyperlink xmlns:r="http://schemas.openxmlformats.org/officeDocument/2006/relationships" ref="J60" r:id="rId23"/>
    <hyperlink xmlns:r="http://schemas.openxmlformats.org/officeDocument/2006/relationships" ref="J61" r:id="rId24"/>
    <hyperlink xmlns:r="http://schemas.openxmlformats.org/officeDocument/2006/relationships" ref="J64" r:id="rId25"/>
    <hyperlink xmlns:r="http://schemas.openxmlformats.org/officeDocument/2006/relationships" ref="J73" r:id="rId26"/>
    <hyperlink xmlns:r="http://schemas.openxmlformats.org/officeDocument/2006/relationships" ref="J74" r:id="rId27"/>
    <hyperlink xmlns:r="http://schemas.openxmlformats.org/officeDocument/2006/relationships" ref="J77" r:id="rId28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H37"/>
  <sheetViews>
    <sheetView showGridLines="0" tabSelected="0" topLeftCell="A1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88" t="inlineStr">
        <is>
          <t>ANALYSIS</t>
        </is>
      </c>
    </row>
    <row r="2" ht="64" customHeight="1">
      <c r="A2" s="89" t="inlineStr">
        <is>
          <t>Governed dimensions cross-tabulated from MASTER DATA. Native Excel formulas: they recalculate from the record-level rows and check themselves against the total.</t>
        </is>
      </c>
    </row>
    <row r="3" ht="19" customHeight="1">
      <c r="A3" s="90" t="inlineStr">
        <is>
          <t>Executive</t>
        </is>
      </c>
      <c r="B3" s="90" t="inlineStr">
        <is>
          <t>Issues</t>
        </is>
      </c>
      <c r="C3" s="90" t="inlineStr">
        <is>
          <t>Integration</t>
        </is>
      </c>
      <c r="D3" s="90" t="inlineStr">
        <is>
          <t>Project</t>
        </is>
      </c>
      <c r="E3" s="90" t="inlineStr">
        <is>
          <t>Changes</t>
        </is>
      </c>
      <c r="F3" s="90" t="inlineStr">
        <is>
          <t>Crosswalk</t>
        </is>
      </c>
      <c r="G3" s="90" t="inlineStr">
        <is>
          <t>Evidence</t>
        </is>
      </c>
      <c r="H3" s="90" t="inlineStr">
        <is>
          <t>Sources</t>
        </is>
      </c>
    </row>
    <row r="5" ht="139" customHeight="1">
      <c r="A5" s="33" t="inlineStr">
        <is>
          <t>Counts are relationship ROWS in MASTER DATA: one row per record-to-WBS target. A relationship split across several WBS targets has one row per target; NO_WBS / NEW_SCOPE / UNSURE rows carry the outcome in the WBS Code column; retired rows (Relationship State RETIRED) are included, as in MASTER DATA -- filter Relationship State to exclude them.</t>
        </is>
      </c>
    </row>
    <row r="7" ht="34" customHeight="1">
      <c r="A7" s="28" t="inlineStr">
        <is>
          <t>Relationship state × basis of authority</t>
        </is>
      </c>
    </row>
    <row r="8" ht="79" customHeight="1">
      <c r="A8" s="33" t="inlineStr">
        <is>
          <t>Who or what established each relationship row: professional decision, carried-forward decision, source assignment, approved project rule, or WBS↔LINK (not individually reviewed).</t>
        </is>
      </c>
    </row>
    <row r="9" ht="79" customHeight="1">
      <c r="A9" s="91" t="inlineStr">
        <is>
          <t>Relationship State</t>
        </is>
      </c>
      <c r="B9" s="91" t="inlineStr">
        <is>
          <t>Professional decision</t>
        </is>
      </c>
      <c r="C9" s="91" t="inlineStr">
        <is>
          <t>Source assignment -- not individually reviewed</t>
        </is>
      </c>
      <c r="D9" s="91" t="inlineStr">
        <is>
          <t>Total</t>
        </is>
      </c>
      <c r="E9" s="91" t="inlineStr">
        <is>
          <t>Inspect</t>
        </is>
      </c>
    </row>
    <row r="10" ht="169" customHeight="1">
      <c r="A10" s="102" t="inlineStr">
        <is>
          <t>APPROVED</t>
        </is>
      </c>
      <c r="B10" s="22">
        <f>COUNTIFS('MASTER DATA'!$G$2:$G$1624,"=APPROVED",'MASTER DATA'!$I$2:$I$1624,"=Professional decision")</f>
        <v/>
      </c>
      <c r="C10" s="22">
        <f>COUNTIFS('MASTER DATA'!$G$2:$G$1624,"=APPROVED",'MASTER DATA'!$I$2:$I$1624,"=Source assignment -- not individually reviewed")</f>
        <v/>
      </c>
      <c r="D10" s="28">
        <f>SUM(B10:C10)</f>
        <v/>
      </c>
      <c r="E10" s="87" t="inlineStr">
        <is>
          <t>08 CROSSWALK</t>
        </is>
      </c>
    </row>
    <row r="11" ht="34" customHeight="1">
      <c r="A11" s="102" t="inlineStr">
        <is>
          <t>Total</t>
        </is>
      </c>
      <c r="B11" s="28">
        <f>SUM(B10:B10)</f>
        <v/>
      </c>
      <c r="C11" s="28">
        <f>SUM(C10:C10)</f>
        <v/>
      </c>
      <c r="D11" s="28">
        <f>SUM(D10:D10)</f>
        <v/>
      </c>
    </row>
    <row r="12" ht="109" customHeight="1">
      <c r="A12" s="111" t="inlineStr">
        <is>
          <t>Check: total equals MASTER DATA rows</t>
        </is>
      </c>
      <c r="B12" s="89">
        <f>IF(D11=COUNTA('MASTER DATA'!$O$2:$O$1624),"reconciled","DOES NOT RECONCILE")</f>
        <v/>
      </c>
    </row>
    <row r="14" ht="34" customHeight="1">
      <c r="A14" s="28" t="inlineStr">
        <is>
          <t>Reporting period · revision × change since the previous approved version</t>
        </is>
      </c>
    </row>
    <row r="15" ht="64" customHeight="1">
      <c r="A15" s="33" t="inlineStr">
        <is>
          <t>Which source revision each relationship row rests on, and whether it was carried forward, revalidated, decided again, new or retired.</t>
        </is>
      </c>
    </row>
    <row r="16" ht="42" customHeight="1">
      <c r="A16" s="91" t="inlineStr">
        <is>
          <t>Source Document · Reporting Period · Revision</t>
        </is>
      </c>
      <c r="B16" s="91" t="inlineStr">
        <is>
          <t>New</t>
        </is>
      </c>
      <c r="C16" s="91" t="inlineStr">
        <is>
          <t>Total</t>
        </is>
      </c>
      <c r="D16" s="91" t="inlineStr">
        <is>
          <t>Inspect</t>
        </is>
      </c>
    </row>
    <row r="17" ht="229" customHeight="1">
      <c r="A17" s="102" t="inlineStr">
        <is>
          <t>Commercial Package Register · Initial · Rev 0</t>
        </is>
      </c>
      <c r="B17" s="22">
        <f>COUNTIFS('MASTER DATA'!$C$2:$C$1624,"=Commercial Package Register",'MASTER DATA'!$M$2:$M$1624,"=Initial",'MASTER DATA'!$N$2:$N$1624,"=Rev 0",'MASTER DATA'!$H$2:$H$1624,"=New")</f>
        <v/>
      </c>
      <c r="C17" s="28">
        <f>SUM(B17:B17)</f>
        <v/>
      </c>
      <c r="D17" s="87" t="inlineStr">
        <is>
          <t>08 CROSSWALK</t>
        </is>
      </c>
    </row>
    <row r="18" ht="229" customHeight="1">
      <c r="A18" s="102" t="inlineStr">
        <is>
          <t>Contractor Programme · Initial · Rev 0</t>
        </is>
      </c>
      <c r="B18" s="22">
        <f>COUNTIFS('MASTER DATA'!$C$2:$C$1624,"=Contractor Programme",'MASTER DATA'!$M$2:$M$1624,"=Initial",'MASTER DATA'!$N$2:$N$1624,"=Rev 0",'MASTER DATA'!$H$2:$H$1624,"=New")</f>
        <v/>
      </c>
      <c r="C18" s="28">
        <f>SUM(B18:B18)</f>
        <v/>
      </c>
      <c r="D18" s="87" t="inlineStr">
        <is>
          <t>08 CROSSWALK</t>
        </is>
      </c>
    </row>
    <row r="19" ht="244" customHeight="1">
      <c r="A19" s="102" t="inlineStr">
        <is>
          <t>Cost &amp; Forecast Control Accounts · Initial · Rev 0</t>
        </is>
      </c>
      <c r="B19" s="22">
        <f>COUNTIFS('MASTER DATA'!$C$2:$C$1624,"=Cost &amp; Forecast Control Accounts",'MASTER DATA'!$M$2:$M$1624,"=Initial",'MASTER DATA'!$N$2:$N$1624,"=Rev 0",'MASTER DATA'!$H$2:$H$1624,"=New")</f>
        <v/>
      </c>
      <c r="C19" s="28">
        <f>SUM(B19:B19)</f>
        <v/>
      </c>
      <c r="D19" s="87" t="inlineStr">
        <is>
          <t>08 CROSSWALK</t>
        </is>
      </c>
    </row>
    <row r="20" ht="34" customHeight="1">
      <c r="A20" s="102" t="inlineStr">
        <is>
          <t>Total</t>
        </is>
      </c>
      <c r="B20" s="28">
        <f>SUM(B17:B19)</f>
        <v/>
      </c>
      <c r="C20" s="28">
        <f>SUM(C17:C19)</f>
        <v/>
      </c>
    </row>
    <row r="21" ht="109" customHeight="1">
      <c r="A21" s="111" t="inlineStr">
        <is>
          <t>Check: total equals MASTER DATA rows</t>
        </is>
      </c>
      <c r="B21" s="89">
        <f>IF(C20=COUNTA('MASTER DATA'!$O$2:$O$1624),"reconciled","DOES NOT RECONCILE")</f>
        <v/>
      </c>
    </row>
    <row r="23" ht="34" customHeight="1">
      <c r="A23" s="28" t="inlineStr">
        <is>
          <t>Relationship type × relationship state</t>
        </is>
      </c>
    </row>
    <row r="24" ht="49" customHeight="1">
      <c r="A24" s="33" t="inlineStr">
        <is>
          <t>Includes unresolved outcomes (NO_WBS, NEW_SCOPE, UNSURE) as their own types: uncertainty is counted, never hidden.</t>
        </is>
      </c>
    </row>
    <row r="25" ht="42" customHeight="1">
      <c r="A25" s="91" t="inlineStr">
        <is>
          <t>Relationship Type</t>
        </is>
      </c>
      <c r="B25" s="91" t="inlineStr">
        <is>
          <t>APPROVED</t>
        </is>
      </c>
      <c r="C25" s="91" t="inlineStr">
        <is>
          <t>Total</t>
        </is>
      </c>
      <c r="D25" s="91" t="inlineStr">
        <is>
          <t>Inspect</t>
        </is>
      </c>
    </row>
    <row r="26" ht="124" customHeight="1">
      <c r="A26" s="102" t="inlineStr">
        <is>
          <t>NEW_SCOPE</t>
        </is>
      </c>
      <c r="B26" s="22">
        <f>COUNTIFS('MASTER DATA'!$F$2:$F$1624,"=NEW_SCOPE",'MASTER DATA'!$G$2:$G$1624,"=APPROVED")</f>
        <v/>
      </c>
      <c r="C26" s="28">
        <f>SUM(B26:B26)</f>
        <v/>
      </c>
      <c r="D26" s="87" t="inlineStr">
        <is>
          <t>08 CROSSWALK</t>
        </is>
      </c>
    </row>
    <row r="27" ht="124" customHeight="1">
      <c r="A27" s="102" t="inlineStr">
        <is>
          <t>NO_WBS</t>
        </is>
      </c>
      <c r="B27" s="22">
        <f>COUNTIFS('MASTER DATA'!$F$2:$F$1624,"=NO_WBS",'MASTER DATA'!$G$2:$G$1624,"=APPROVED")</f>
        <v/>
      </c>
      <c r="C27" s="28">
        <f>SUM(B27:B27)</f>
        <v/>
      </c>
      <c r="D27" s="87" t="inlineStr">
        <is>
          <t>08 CROSSWALK</t>
        </is>
      </c>
    </row>
    <row r="28" ht="124" customHeight="1">
      <c r="A28" s="102" t="inlineStr">
        <is>
          <t>ONE_TO_MANY</t>
        </is>
      </c>
      <c r="B28" s="22">
        <f>COUNTIFS('MASTER DATA'!$F$2:$F$1624,"=ONE_TO_MANY",'MASTER DATA'!$G$2:$G$1624,"=APPROVED")</f>
        <v/>
      </c>
      <c r="C28" s="28">
        <f>SUM(B28:B28)</f>
        <v/>
      </c>
      <c r="D28" s="87" t="inlineStr">
        <is>
          <t>08 CROSSWALK</t>
        </is>
      </c>
    </row>
    <row r="29" ht="124" customHeight="1">
      <c r="A29" s="102" t="inlineStr">
        <is>
          <t>ONE_TO_ONE</t>
        </is>
      </c>
      <c r="B29" s="22">
        <f>COUNTIFS('MASTER DATA'!$F$2:$F$1624,"=ONE_TO_ONE",'MASTER DATA'!$G$2:$G$1624,"=APPROVED")</f>
        <v/>
      </c>
      <c r="C29" s="28">
        <f>SUM(B29:B29)</f>
        <v/>
      </c>
      <c r="D29" s="87" t="inlineStr">
        <is>
          <t>08 CROSSWALK</t>
        </is>
      </c>
    </row>
    <row r="30" ht="124" customHeight="1">
      <c r="A30" s="102" t="inlineStr">
        <is>
          <t>UNSURE</t>
        </is>
      </c>
      <c r="B30" s="22">
        <f>COUNTIFS('MASTER DATA'!$F$2:$F$1624,"=UNSURE",'MASTER DATA'!$G$2:$G$1624,"=APPROVED")</f>
        <v/>
      </c>
      <c r="C30" s="28">
        <f>SUM(B30:B30)</f>
        <v/>
      </c>
      <c r="D30" s="87" t="inlineStr">
        <is>
          <t>08 CROSSWALK</t>
        </is>
      </c>
    </row>
    <row r="31" ht="34" customHeight="1">
      <c r="A31" s="102" t="inlineStr">
        <is>
          <t>Total</t>
        </is>
      </c>
      <c r="B31" s="28">
        <f>SUM(B26:B30)</f>
        <v/>
      </c>
      <c r="C31" s="28">
        <f>SUM(C26:C30)</f>
        <v/>
      </c>
    </row>
    <row r="32" ht="109" customHeight="1">
      <c r="A32" s="111" t="inlineStr">
        <is>
          <t>Check: total equals MASTER DATA rows</t>
        </is>
      </c>
      <c r="B32" s="89">
        <f>IF(C31=COUNTA('MASTER DATA'!$O$2:$O$1624),"reconciled","DOES NOT RECONCILE")</f>
        <v/>
      </c>
    </row>
    <row r="34" ht="54" customHeight="1">
      <c r="A34" s="33" t="inlineStr">
        <is>
          <t>About PivotTables and slicers: this workbook does not contain generated PivotTables or slicers. The library WBS↔LINK writes workbooks with cannot author a PivotTable cache or slicer reliably, and a simulated or fragile PivotTable would misrepresent the governed data. The tables above are native Excel formula cross-tabs that recalculate from MASTER DATA. To build your own PivotTable: Insert &gt; PivotTable, Table/Range = WBSLINK_GOVERNED_RECORDS (every MASTER DATA column, one row per record-to-WBS relationship row).</t>
        </is>
      </c>
    </row>
    <row r="35" ht="54" customHeight="1"/>
    <row r="36" ht="54" customHeight="1"/>
    <row r="37" ht="54" customHeight="1"/>
  </sheetData>
  <mergeCells count="1">
    <mergeCell ref="A34:A37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E10" r:id="rId9"/>
    <hyperlink xmlns:r="http://schemas.openxmlformats.org/officeDocument/2006/relationships" ref="D17" r:id="rId10"/>
    <hyperlink xmlns:r="http://schemas.openxmlformats.org/officeDocument/2006/relationships" ref="D18" r:id="rId11"/>
    <hyperlink xmlns:r="http://schemas.openxmlformats.org/officeDocument/2006/relationships" ref="D19" r:id="rId12"/>
    <hyperlink xmlns:r="http://schemas.openxmlformats.org/officeDocument/2006/relationships" ref="D26" r:id="rId13"/>
    <hyperlink xmlns:r="http://schemas.openxmlformats.org/officeDocument/2006/relationships" ref="D27" r:id="rId14"/>
    <hyperlink xmlns:r="http://schemas.openxmlformats.org/officeDocument/2006/relationships" ref="D28" r:id="rId15"/>
    <hyperlink xmlns:r="http://schemas.openxmlformats.org/officeDocument/2006/relationships" ref="D29" r:id="rId16"/>
    <hyperlink xmlns:r="http://schemas.openxmlformats.org/officeDocument/2006/relationships" ref="D30" r:id="rId17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W1624"/>
  <sheetViews>
    <sheetView showGridLines="0" tabSelected="0" zoomScale="100"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8" customWidth="1" min="5" max="5"/>
    <col width="18" customWidth="1" min="6" max="6"/>
    <col width="18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8" customWidth="1" min="17" max="17"/>
    <col width="18" customWidth="1" min="18" max="18"/>
    <col width="18" customWidth="1" min="19" max="19"/>
    <col width="18" customWidth="1" min="20" max="20"/>
    <col width="18" customWidth="1" min="21" max="21"/>
    <col width="34" customWidth="1" min="22" max="22"/>
    <col width="48" customWidth="1" min="23" max="23"/>
  </cols>
  <sheetData>
    <row r="1" ht="49" customHeight="1">
      <c r="A1" s="91" t="inlineStr">
        <is>
          <t>WBS Code</t>
        </is>
      </c>
      <c r="B1" s="91" t="inlineStr">
        <is>
          <t>WBS Name</t>
        </is>
      </c>
      <c r="C1" s="91" t="inlineStr">
        <is>
          <t>Source Document</t>
        </is>
      </c>
      <c r="D1" s="91" t="inlineStr">
        <is>
          <t>Source Record ID</t>
        </is>
      </c>
      <c r="E1" s="91" t="inlineStr">
        <is>
          <t>Description</t>
        </is>
      </c>
      <c r="F1" s="91" t="inlineStr">
        <is>
          <t>Relationship Type</t>
        </is>
      </c>
      <c r="G1" s="91" t="inlineStr">
        <is>
          <t>Relationship State</t>
        </is>
      </c>
      <c r="H1" s="91" t="inlineStr">
        <is>
          <t>Change vs Previous Version</t>
        </is>
      </c>
      <c r="I1" s="91" t="inlineStr">
        <is>
          <t>Basis</t>
        </is>
      </c>
      <c r="J1" s="91" t="inlineStr">
        <is>
          <t>Decided By</t>
        </is>
      </c>
      <c r="K1" s="91" t="inlineStr">
        <is>
          <t>Proposed By</t>
        </is>
      </c>
      <c r="L1" s="91" t="inlineStr">
        <is>
          <t>Allocation</t>
        </is>
      </c>
      <c r="M1" s="91" t="inlineStr">
        <is>
          <t>Reporting Period</t>
        </is>
      </c>
      <c r="N1" s="91" t="inlineStr">
        <is>
          <t>Revision</t>
        </is>
      </c>
      <c r="O1" s="91" t="inlineStr">
        <is>
          <t>Relationship ID</t>
        </is>
      </c>
      <c r="P1" s="91" t="inlineStr">
        <is>
          <t>Target Status</t>
        </is>
      </c>
      <c r="Q1" s="91" t="inlineStr">
        <is>
          <t>Evidence Note</t>
        </is>
      </c>
      <c r="R1" s="91" t="inlineStr">
        <is>
          <t>Recommended WBS (not approved)</t>
        </is>
      </c>
      <c r="S1" s="91" t="inlineStr">
        <is>
          <t>Ancestor Status</t>
        </is>
      </c>
      <c r="T1" s="91" t="inlineStr">
        <is>
          <t>Decision Scope</t>
        </is>
      </c>
      <c r="U1" s="91" t="inlineStr">
        <is>
          <t>Reopen Reason</t>
        </is>
      </c>
      <c r="V1" s="91" t="inlineStr">
        <is>
          <t>Source Assertion</t>
        </is>
      </c>
      <c r="W1" s="91" t="inlineStr">
        <is>
          <t>Contrary Source Evidence</t>
        </is>
      </c>
    </row>
    <row r="2" ht="79" customHeight="1">
      <c r="A2" s="34" t="inlineStr">
        <is>
          <t>1.1</t>
        </is>
      </c>
      <c r="B2" s="34" t="inlineStr">
        <is>
          <t>Guideway and Civil</t>
        </is>
      </c>
      <c r="C2" s="34" t="inlineStr">
        <is>
          <t>Commercial Package Register</t>
        </is>
      </c>
      <c r="D2" s="34" t="inlineStr">
        <is>
          <t>PKG-001</t>
        </is>
      </c>
      <c r="E2" s="34" t="inlineStr">
        <is>
          <t>Guideway Civil Works</t>
        </is>
      </c>
      <c r="F2" s="34" t="inlineStr">
        <is>
          <t>ONE_TO_MANY</t>
        </is>
      </c>
      <c r="G2" s="34" t="inlineStr">
        <is>
          <t>APPROVED</t>
        </is>
      </c>
      <c r="H2" s="34" t="inlineStr">
        <is>
          <t>New</t>
        </is>
      </c>
      <c r="I2" s="34" t="inlineStr">
        <is>
          <t>Professional decision</t>
        </is>
      </c>
      <c r="J2" s="34" t="inlineStr">
        <is>
          <t>Maya Chen, Owner Project Controls</t>
        </is>
      </c>
      <c r="K2" s="34" t="inlineStr">
        <is>
          <t>Professional</t>
        </is>
      </c>
      <c r="L2" s="34" t="inlineStr">
        <is>
          <t>Split -- basis to be confirmed</t>
        </is>
      </c>
      <c r="M2" s="34" t="inlineStr">
        <is>
          <t>Initial</t>
        </is>
      </c>
      <c r="N2" s="34" t="inlineStr">
        <is>
          <t>Rev 0</t>
        </is>
      </c>
      <c r="O2" s="34" t="inlineStr">
        <is>
          <t>R1563-v2</t>
        </is>
      </c>
      <c r="P2" s="39" t="inlineStr"/>
      <c r="Q2" s="14" t="inlineStr"/>
      <c r="R2" s="39" t="inlineStr"/>
      <c r="S2" s="39" t="inlineStr"/>
      <c r="T2" s="34" t="inlineStr">
        <is>
          <t>Individual</t>
        </is>
      </c>
      <c r="U2" s="39" t="inlineStr"/>
      <c r="V2" s="34" t="inlineStr">
        <is>
          <t>Package Code = PK-101; WBS Code = 1.1;1.2</t>
        </is>
      </c>
      <c r="W2" s="34" t="inlineStr">
        <is>
          <t>Source states 'WBS Code' = '1.1;1.2' -- names no element of this WBS -- professional reason (Maya Chen, Owner Project Controls): Source package register explicitly states both Owner-WBS branches.</t>
        </is>
      </c>
    </row>
    <row r="3" ht="49" customHeight="1">
      <c r="A3" s="34" t="inlineStr">
        <is>
          <t>1.1</t>
        </is>
      </c>
      <c r="B3" s="34" t="inlineStr">
        <is>
          <t>Guideway and Civil</t>
        </is>
      </c>
      <c r="C3" s="34" t="inlineStr">
        <is>
          <t>Commercial Package Register</t>
        </is>
      </c>
      <c r="D3" s="34" t="inlineStr">
        <is>
          <t>PKG-002</t>
        </is>
      </c>
      <c r="E3" s="34" t="inlineStr">
        <is>
          <t>Utility Relocations</t>
        </is>
      </c>
      <c r="F3" s="34" t="inlineStr">
        <is>
          <t>ONE_TO_ONE</t>
        </is>
      </c>
      <c r="G3" s="34" t="inlineStr">
        <is>
          <t>APPROVED</t>
        </is>
      </c>
      <c r="H3" s="34" t="inlineStr">
        <is>
          <t>New</t>
        </is>
      </c>
      <c r="I3" s="34" t="inlineStr">
        <is>
          <t>Source assignment -- not individually reviewed</t>
        </is>
      </c>
      <c r="J3" s="39" t="inlineStr"/>
      <c r="K3" s="34" t="inlineStr">
        <is>
          <t>Source assignment</t>
        </is>
      </c>
      <c r="L3" s="39" t="inlineStr"/>
      <c r="M3" s="34" t="inlineStr">
        <is>
          <t>Initial</t>
        </is>
      </c>
      <c r="N3" s="34" t="inlineStr">
        <is>
          <t>Rev 0</t>
        </is>
      </c>
      <c r="O3" s="34" t="inlineStr">
        <is>
          <t>R1564-v1</t>
        </is>
      </c>
      <c r="P3" s="39" t="inlineStr"/>
      <c r="Q3" s="14" t="inlineStr"/>
      <c r="R3" s="39" t="inlineStr"/>
      <c r="S3" s="39" t="inlineStr"/>
      <c r="T3" s="39" t="inlineStr"/>
      <c r="U3" s="39" t="inlineStr"/>
      <c r="V3" s="34" t="inlineStr">
        <is>
          <t>Package Code = PK-102; WBS Code = 1.1</t>
        </is>
      </c>
      <c r="W3" s="14" t="inlineStr"/>
    </row>
    <row r="4" ht="49" customHeight="1">
      <c r="A4" s="34" t="inlineStr">
        <is>
          <t>1.1</t>
        </is>
      </c>
      <c r="B4" s="34" t="inlineStr">
        <is>
          <t>Guideway and Civil</t>
        </is>
      </c>
      <c r="C4" s="34" t="inlineStr">
        <is>
          <t>Commercial Package Register</t>
        </is>
      </c>
      <c r="D4" s="34" t="inlineStr">
        <is>
          <t>PKG-003</t>
        </is>
      </c>
      <c r="E4" s="34" t="inlineStr">
        <is>
          <t>Road &amp; Drainage</t>
        </is>
      </c>
      <c r="F4" s="34" t="inlineStr">
        <is>
          <t>ONE_TO_ONE</t>
        </is>
      </c>
      <c r="G4" s="34" t="inlineStr">
        <is>
          <t>APPROVED</t>
        </is>
      </c>
      <c r="H4" s="34" t="inlineStr">
        <is>
          <t>New</t>
        </is>
      </c>
      <c r="I4" s="34" t="inlineStr">
        <is>
          <t>Source assignment -- not individually reviewed</t>
        </is>
      </c>
      <c r="J4" s="39" t="inlineStr"/>
      <c r="K4" s="34" t="inlineStr">
        <is>
          <t>Source assignment</t>
        </is>
      </c>
      <c r="L4" s="39" t="inlineStr"/>
      <c r="M4" s="34" t="inlineStr">
        <is>
          <t>Initial</t>
        </is>
      </c>
      <c r="N4" s="34" t="inlineStr">
        <is>
          <t>Rev 0</t>
        </is>
      </c>
      <c r="O4" s="34" t="inlineStr">
        <is>
          <t>R1565-v1</t>
        </is>
      </c>
      <c r="P4" s="39" t="inlineStr"/>
      <c r="Q4" s="14" t="inlineStr"/>
      <c r="R4" s="39" t="inlineStr"/>
      <c r="S4" s="39" t="inlineStr"/>
      <c r="T4" s="39" t="inlineStr"/>
      <c r="U4" s="39" t="inlineStr"/>
      <c r="V4" s="34" t="inlineStr">
        <is>
          <t>Package Code = PK-103; WBS Code = 1.1</t>
        </is>
      </c>
      <c r="W4" s="14" t="inlineStr"/>
    </row>
    <row r="5" ht="49" customHeight="1">
      <c r="A5" s="34" t="inlineStr">
        <is>
          <t>1.1</t>
        </is>
      </c>
      <c r="B5" s="34" t="inlineStr">
        <is>
          <t>Guideway and Civil</t>
        </is>
      </c>
      <c r="C5" s="34" t="inlineStr">
        <is>
          <t>Commercial Package Register</t>
        </is>
      </c>
      <c r="D5" s="34" t="inlineStr">
        <is>
          <t>PKG-004</t>
        </is>
      </c>
      <c r="E5" s="34" t="inlineStr">
        <is>
          <t>Track Support Works</t>
        </is>
      </c>
      <c r="F5" s="34" t="inlineStr">
        <is>
          <t>ONE_TO_ONE</t>
        </is>
      </c>
      <c r="G5" s="34" t="inlineStr">
        <is>
          <t>APPROVED</t>
        </is>
      </c>
      <c r="H5" s="34" t="inlineStr">
        <is>
          <t>New</t>
        </is>
      </c>
      <c r="I5" s="34" t="inlineStr">
        <is>
          <t>Source assignment -- not individually reviewed</t>
        </is>
      </c>
      <c r="J5" s="39" t="inlineStr"/>
      <c r="K5" s="34" t="inlineStr">
        <is>
          <t>Source assignment</t>
        </is>
      </c>
      <c r="L5" s="39" t="inlineStr"/>
      <c r="M5" s="34" t="inlineStr">
        <is>
          <t>Initial</t>
        </is>
      </c>
      <c r="N5" s="34" t="inlineStr">
        <is>
          <t>Rev 0</t>
        </is>
      </c>
      <c r="O5" s="34" t="inlineStr">
        <is>
          <t>R1566-v1</t>
        </is>
      </c>
      <c r="P5" s="39" t="inlineStr"/>
      <c r="Q5" s="14" t="inlineStr"/>
      <c r="R5" s="39" t="inlineStr"/>
      <c r="S5" s="39" t="inlineStr"/>
      <c r="T5" s="39" t="inlineStr"/>
      <c r="U5" s="39" t="inlineStr"/>
      <c r="V5" s="34" t="inlineStr">
        <is>
          <t>Package Code = PK-104; WBS Code = 1.1</t>
        </is>
      </c>
      <c r="W5" s="14" t="inlineStr"/>
    </row>
    <row r="6" ht="49" customHeight="1">
      <c r="A6" s="34" t="inlineStr">
        <is>
          <t>1.1</t>
        </is>
      </c>
      <c r="B6" s="34" t="inlineStr">
        <is>
          <t>Guideway and Civil</t>
        </is>
      </c>
      <c r="C6" s="34" t="inlineStr">
        <is>
          <t>Commercial Package Register</t>
        </is>
      </c>
      <c r="D6" s="34" t="inlineStr">
        <is>
          <t>PKG-005</t>
        </is>
      </c>
      <c r="E6" s="34" t="inlineStr">
        <is>
          <t>Guideway Civil Works - Lot 2</t>
        </is>
      </c>
      <c r="F6" s="34" t="inlineStr">
        <is>
          <t>ONE_TO_ONE</t>
        </is>
      </c>
      <c r="G6" s="34" t="inlineStr">
        <is>
          <t>APPROVED</t>
        </is>
      </c>
      <c r="H6" s="34" t="inlineStr">
        <is>
          <t>New</t>
        </is>
      </c>
      <c r="I6" s="34" t="inlineStr">
        <is>
          <t>Source assignment -- not individually reviewed</t>
        </is>
      </c>
      <c r="J6" s="39" t="inlineStr"/>
      <c r="K6" s="34" t="inlineStr">
        <is>
          <t>Source assignment</t>
        </is>
      </c>
      <c r="L6" s="39" t="inlineStr"/>
      <c r="M6" s="34" t="inlineStr">
        <is>
          <t>Initial</t>
        </is>
      </c>
      <c r="N6" s="34" t="inlineStr">
        <is>
          <t>Rev 0</t>
        </is>
      </c>
      <c r="O6" s="34" t="inlineStr">
        <is>
          <t>R1567-v1</t>
        </is>
      </c>
      <c r="P6" s="39" t="inlineStr"/>
      <c r="Q6" s="14" t="inlineStr"/>
      <c r="R6" s="39" t="inlineStr"/>
      <c r="S6" s="39" t="inlineStr"/>
      <c r="T6" s="39" t="inlineStr"/>
      <c r="U6" s="39" t="inlineStr"/>
      <c r="V6" s="34" t="inlineStr">
        <is>
          <t>Package Code = PK-105; WBS Code = 1.1</t>
        </is>
      </c>
      <c r="W6" s="14" t="inlineStr"/>
    </row>
    <row r="7" ht="49" customHeight="1">
      <c r="A7" s="34" t="inlineStr">
        <is>
          <t>1.1</t>
        </is>
      </c>
      <c r="B7" s="34" t="inlineStr">
        <is>
          <t>Guideway and Civil</t>
        </is>
      </c>
      <c r="C7" s="34" t="inlineStr">
        <is>
          <t>Commercial Package Register</t>
        </is>
      </c>
      <c r="D7" s="34" t="inlineStr">
        <is>
          <t>PKG-006</t>
        </is>
      </c>
      <c r="E7" s="34" t="inlineStr">
        <is>
          <t>Utility Relocations - Lot 2</t>
        </is>
      </c>
      <c r="F7" s="34" t="inlineStr">
        <is>
          <t>ONE_TO_ONE</t>
        </is>
      </c>
      <c r="G7" s="34" t="inlineStr">
        <is>
          <t>APPROVED</t>
        </is>
      </c>
      <c r="H7" s="34" t="inlineStr">
        <is>
          <t>New</t>
        </is>
      </c>
      <c r="I7" s="34" t="inlineStr">
        <is>
          <t>Source assignment -- not individually reviewed</t>
        </is>
      </c>
      <c r="J7" s="39" t="inlineStr"/>
      <c r="K7" s="34" t="inlineStr">
        <is>
          <t>Source assignment</t>
        </is>
      </c>
      <c r="L7" s="39" t="inlineStr"/>
      <c r="M7" s="34" t="inlineStr">
        <is>
          <t>Initial</t>
        </is>
      </c>
      <c r="N7" s="34" t="inlineStr">
        <is>
          <t>Rev 0</t>
        </is>
      </c>
      <c r="O7" s="34" t="inlineStr">
        <is>
          <t>R1568-v1</t>
        </is>
      </c>
      <c r="P7" s="39" t="inlineStr"/>
      <c r="Q7" s="14" t="inlineStr"/>
      <c r="R7" s="39" t="inlineStr"/>
      <c r="S7" s="39" t="inlineStr"/>
      <c r="T7" s="39" t="inlineStr"/>
      <c r="U7" s="39" t="inlineStr"/>
      <c r="V7" s="34" t="inlineStr">
        <is>
          <t>Package Code = PK-106; WBS Code = 1.1</t>
        </is>
      </c>
      <c r="W7" s="14" t="inlineStr"/>
    </row>
    <row r="8" ht="49" customHeight="1">
      <c r="A8" s="34" t="inlineStr">
        <is>
          <t>1.1</t>
        </is>
      </c>
      <c r="B8" s="34" t="inlineStr">
        <is>
          <t>Guideway and Civil</t>
        </is>
      </c>
      <c r="C8" s="34" t="inlineStr">
        <is>
          <t>Commercial Package Register</t>
        </is>
      </c>
      <c r="D8" s="34" t="inlineStr">
        <is>
          <t>PKG-007</t>
        </is>
      </c>
      <c r="E8" s="34" t="inlineStr">
        <is>
          <t>Road &amp; Drainage - Lot 2</t>
        </is>
      </c>
      <c r="F8" s="34" t="inlineStr">
        <is>
          <t>ONE_TO_ONE</t>
        </is>
      </c>
      <c r="G8" s="34" t="inlineStr">
        <is>
          <t>APPROVED</t>
        </is>
      </c>
      <c r="H8" s="34" t="inlineStr">
        <is>
          <t>New</t>
        </is>
      </c>
      <c r="I8" s="34" t="inlineStr">
        <is>
          <t>Source assignment -- not individually reviewed</t>
        </is>
      </c>
      <c r="J8" s="39" t="inlineStr"/>
      <c r="K8" s="34" t="inlineStr">
        <is>
          <t>Source assignment</t>
        </is>
      </c>
      <c r="L8" s="39" t="inlineStr"/>
      <c r="M8" s="34" t="inlineStr">
        <is>
          <t>Initial</t>
        </is>
      </c>
      <c r="N8" s="34" t="inlineStr">
        <is>
          <t>Rev 0</t>
        </is>
      </c>
      <c r="O8" s="34" t="inlineStr">
        <is>
          <t>R1569-v1</t>
        </is>
      </c>
      <c r="P8" s="39" t="inlineStr"/>
      <c r="Q8" s="14" t="inlineStr"/>
      <c r="R8" s="39" t="inlineStr"/>
      <c r="S8" s="39" t="inlineStr"/>
      <c r="T8" s="39" t="inlineStr"/>
      <c r="U8" s="39" t="inlineStr"/>
      <c r="V8" s="34" t="inlineStr">
        <is>
          <t>Package Code = PK-107; WBS Code = 1.1</t>
        </is>
      </c>
      <c r="W8" s="14" t="inlineStr"/>
    </row>
    <row r="9" ht="49" customHeight="1">
      <c r="A9" s="34" t="inlineStr">
        <is>
          <t>1.1</t>
        </is>
      </c>
      <c r="B9" s="34" t="inlineStr">
        <is>
          <t>Guideway and Civil</t>
        </is>
      </c>
      <c r="C9" s="34" t="inlineStr">
        <is>
          <t>Commercial Package Register</t>
        </is>
      </c>
      <c r="D9" s="34" t="inlineStr">
        <is>
          <t>PKG-008</t>
        </is>
      </c>
      <c r="E9" s="34" t="inlineStr">
        <is>
          <t>Track Support Works - Lot 2</t>
        </is>
      </c>
      <c r="F9" s="34" t="inlineStr">
        <is>
          <t>ONE_TO_ONE</t>
        </is>
      </c>
      <c r="G9" s="34" t="inlineStr">
        <is>
          <t>APPROVED</t>
        </is>
      </c>
      <c r="H9" s="34" t="inlineStr">
        <is>
          <t>New</t>
        </is>
      </c>
      <c r="I9" s="34" t="inlineStr">
        <is>
          <t>Source assignment -- not individually reviewed</t>
        </is>
      </c>
      <c r="J9" s="39" t="inlineStr"/>
      <c r="K9" s="34" t="inlineStr">
        <is>
          <t>Source assignment</t>
        </is>
      </c>
      <c r="L9" s="39" t="inlineStr"/>
      <c r="M9" s="34" t="inlineStr">
        <is>
          <t>Initial</t>
        </is>
      </c>
      <c r="N9" s="34" t="inlineStr">
        <is>
          <t>Rev 0</t>
        </is>
      </c>
      <c r="O9" s="34" t="inlineStr">
        <is>
          <t>R1570-v1</t>
        </is>
      </c>
      <c r="P9" s="39" t="inlineStr"/>
      <c r="Q9" s="14" t="inlineStr"/>
      <c r="R9" s="39" t="inlineStr"/>
      <c r="S9" s="39" t="inlineStr"/>
      <c r="T9" s="39" t="inlineStr"/>
      <c r="U9" s="39" t="inlineStr"/>
      <c r="V9" s="34" t="inlineStr">
        <is>
          <t>Package Code = PK-108; WBS Code = 1.1</t>
        </is>
      </c>
      <c r="W9" s="14" t="inlineStr"/>
    </row>
    <row r="10" ht="49" customHeight="1">
      <c r="A10" s="34" t="inlineStr">
        <is>
          <t>1.1</t>
        </is>
      </c>
      <c r="B10" s="34" t="inlineStr">
        <is>
          <t>Guideway and Civil</t>
        </is>
      </c>
      <c r="C10" s="34" t="inlineStr">
        <is>
          <t>Commercial Package Register</t>
        </is>
      </c>
      <c r="D10" s="34" t="inlineStr">
        <is>
          <t>PKG-009</t>
        </is>
      </c>
      <c r="E10" s="34" t="inlineStr">
        <is>
          <t>Guideway Civil Works - Lot 3</t>
        </is>
      </c>
      <c r="F10" s="34" t="inlineStr">
        <is>
          <t>ONE_TO_ONE</t>
        </is>
      </c>
      <c r="G10" s="34" t="inlineStr">
        <is>
          <t>APPROVED</t>
        </is>
      </c>
      <c r="H10" s="34" t="inlineStr">
        <is>
          <t>New</t>
        </is>
      </c>
      <c r="I10" s="34" t="inlineStr">
        <is>
          <t>Source assignment -- not individually reviewed</t>
        </is>
      </c>
      <c r="J10" s="39" t="inlineStr"/>
      <c r="K10" s="34" t="inlineStr">
        <is>
          <t>Source assignment</t>
        </is>
      </c>
      <c r="L10" s="39" t="inlineStr"/>
      <c r="M10" s="34" t="inlineStr">
        <is>
          <t>Initial</t>
        </is>
      </c>
      <c r="N10" s="34" t="inlineStr">
        <is>
          <t>Rev 0</t>
        </is>
      </c>
      <c r="O10" s="34" t="inlineStr">
        <is>
          <t>R1571-v1</t>
        </is>
      </c>
      <c r="P10" s="39" t="inlineStr"/>
      <c r="Q10" s="14" t="inlineStr"/>
      <c r="R10" s="39" t="inlineStr"/>
      <c r="S10" s="39" t="inlineStr"/>
      <c r="T10" s="39" t="inlineStr"/>
      <c r="U10" s="39" t="inlineStr"/>
      <c r="V10" s="34" t="inlineStr">
        <is>
          <t>Package Code = PK-109; WBS Code = 1.1</t>
        </is>
      </c>
      <c r="W10" s="14" t="inlineStr"/>
    </row>
    <row r="11" ht="49" customHeight="1">
      <c r="A11" s="34" t="inlineStr">
        <is>
          <t>1.1</t>
        </is>
      </c>
      <c r="B11" s="34" t="inlineStr">
        <is>
          <t>Guideway and Civil</t>
        </is>
      </c>
      <c r="C11" s="34" t="inlineStr">
        <is>
          <t>Commercial Package Register</t>
        </is>
      </c>
      <c r="D11" s="34" t="inlineStr">
        <is>
          <t>PKG-010</t>
        </is>
      </c>
      <c r="E11" s="34" t="inlineStr">
        <is>
          <t>Utility Relocations - Lot 3</t>
        </is>
      </c>
      <c r="F11" s="34" t="inlineStr">
        <is>
          <t>ONE_TO_ONE</t>
        </is>
      </c>
      <c r="G11" s="34" t="inlineStr">
        <is>
          <t>APPROVED</t>
        </is>
      </c>
      <c r="H11" s="34" t="inlineStr">
        <is>
          <t>New</t>
        </is>
      </c>
      <c r="I11" s="34" t="inlineStr">
        <is>
          <t>Source assignment -- not individually reviewed</t>
        </is>
      </c>
      <c r="J11" s="39" t="inlineStr"/>
      <c r="K11" s="34" t="inlineStr">
        <is>
          <t>Source assignment</t>
        </is>
      </c>
      <c r="L11" s="39" t="inlineStr"/>
      <c r="M11" s="34" t="inlineStr">
        <is>
          <t>Initial</t>
        </is>
      </c>
      <c r="N11" s="34" t="inlineStr">
        <is>
          <t>Rev 0</t>
        </is>
      </c>
      <c r="O11" s="34" t="inlineStr">
        <is>
          <t>R1572-v1</t>
        </is>
      </c>
      <c r="P11" s="39" t="inlineStr"/>
      <c r="Q11" s="14" t="inlineStr"/>
      <c r="R11" s="39" t="inlineStr"/>
      <c r="S11" s="39" t="inlineStr"/>
      <c r="T11" s="39" t="inlineStr"/>
      <c r="U11" s="39" t="inlineStr"/>
      <c r="V11" s="34" t="inlineStr">
        <is>
          <t>Package Code = PK-110; WBS Code = 1.1</t>
        </is>
      </c>
      <c r="W11" s="14" t="inlineStr"/>
    </row>
    <row r="12" ht="64" customHeight="1">
      <c r="A12" s="34" t="inlineStr">
        <is>
          <t>1.1.1</t>
        </is>
      </c>
      <c r="B12" s="34" t="inlineStr">
        <is>
          <t>Guideway and Civil - Guideway Structures</t>
        </is>
      </c>
      <c r="C12" s="34" t="inlineStr">
        <is>
          <t>Contractor Programme</t>
        </is>
      </c>
      <c r="D12" s="34" t="inlineStr">
        <is>
          <t>SCH-01-001</t>
        </is>
      </c>
      <c r="E12" s="34" t="inlineStr">
        <is>
          <t>West approach: track-slab survey - installation</t>
        </is>
      </c>
      <c r="F12" s="34" t="inlineStr">
        <is>
          <t>ONE_TO_ONE</t>
        </is>
      </c>
      <c r="G12" s="34" t="inlineStr">
        <is>
          <t>APPROVED</t>
        </is>
      </c>
      <c r="H12" s="34" t="inlineStr">
        <is>
          <t>New</t>
        </is>
      </c>
      <c r="I12" s="34" t="inlineStr">
        <is>
          <t>Source assignment -- not individually reviewed</t>
        </is>
      </c>
      <c r="J12" s="39" t="inlineStr"/>
      <c r="K12" s="34" t="inlineStr">
        <is>
          <t>Source assignment</t>
        </is>
      </c>
      <c r="L12" s="39" t="inlineStr"/>
      <c r="M12" s="34" t="inlineStr">
        <is>
          <t>Initial</t>
        </is>
      </c>
      <c r="N12" s="34" t="inlineStr">
        <is>
          <t>Rev 0</t>
        </is>
      </c>
      <c r="O12" s="34" t="inlineStr">
        <is>
          <t>R1-v1</t>
        </is>
      </c>
      <c r="P12" s="39" t="inlineStr"/>
      <c r="Q12" s="14" t="inlineStr"/>
      <c r="R12" s="39" t="inlineStr"/>
      <c r="S12" s="39" t="inlineStr"/>
      <c r="T12" s="39" t="inlineStr"/>
      <c r="U12" s="39" t="inlineStr"/>
      <c r="V12" s="34" t="inlineStr">
        <is>
          <t>WBS Code = 1.1.1</t>
        </is>
      </c>
      <c r="W12" s="14" t="inlineStr"/>
    </row>
    <row r="13" ht="64" customHeight="1">
      <c r="A13" s="34" t="inlineStr">
        <is>
          <t>1.1.1</t>
        </is>
      </c>
      <c r="B13" s="34" t="inlineStr">
        <is>
          <t>Guideway and Civil - Guideway Structures</t>
        </is>
      </c>
      <c r="C13" s="34" t="inlineStr">
        <is>
          <t>Contractor Programme</t>
        </is>
      </c>
      <c r="D13" s="34" t="inlineStr">
        <is>
          <t>SCH-01-002</t>
        </is>
      </c>
      <c r="E13" s="34" t="inlineStr">
        <is>
          <t>Depot lead: temporary traffic staging - inspection</t>
        </is>
      </c>
      <c r="F13" s="34" t="inlineStr">
        <is>
          <t>ONE_TO_ONE</t>
        </is>
      </c>
      <c r="G13" s="34" t="inlineStr">
        <is>
          <t>APPROVED</t>
        </is>
      </c>
      <c r="H13" s="34" t="inlineStr">
        <is>
          <t>New</t>
        </is>
      </c>
      <c r="I13" s="34" t="inlineStr">
        <is>
          <t>Source assignment -- not individually reviewed</t>
        </is>
      </c>
      <c r="J13" s="39" t="inlineStr"/>
      <c r="K13" s="34" t="inlineStr">
        <is>
          <t>Source assignment</t>
        </is>
      </c>
      <c r="L13" s="39" t="inlineStr"/>
      <c r="M13" s="34" t="inlineStr">
        <is>
          <t>Initial</t>
        </is>
      </c>
      <c r="N13" s="34" t="inlineStr">
        <is>
          <t>Rev 0</t>
        </is>
      </c>
      <c r="O13" s="34" t="inlineStr">
        <is>
          <t>R2-v1</t>
        </is>
      </c>
      <c r="P13" s="39" t="inlineStr"/>
      <c r="Q13" s="14" t="inlineStr"/>
      <c r="R13" s="39" t="inlineStr"/>
      <c r="S13" s="39" t="inlineStr"/>
      <c r="T13" s="39" t="inlineStr"/>
      <c r="U13" s="39" t="inlineStr"/>
      <c r="V13" s="34" t="inlineStr">
        <is>
          <t>WBS Code = 1.1.1</t>
        </is>
      </c>
      <c r="W13" s="14" t="inlineStr"/>
    </row>
    <row r="14" ht="64" customHeight="1">
      <c r="A14" s="34" t="inlineStr">
        <is>
          <t>1.1.1</t>
        </is>
      </c>
      <c r="B14" s="34" t="inlineStr">
        <is>
          <t>Guideway and Civil - Guideway Structures</t>
        </is>
      </c>
      <c r="C14" s="34" t="inlineStr">
        <is>
          <t>Contractor Programme</t>
        </is>
      </c>
      <c r="D14" s="34" t="inlineStr">
        <is>
          <t>SCH-01-004</t>
        </is>
      </c>
      <c r="E14" s="34" t="inlineStr">
        <is>
          <t>River crossing: road restoration - release</t>
        </is>
      </c>
      <c r="F14" s="34" t="inlineStr">
        <is>
          <t>ONE_TO_ONE</t>
        </is>
      </c>
      <c r="G14" s="34" t="inlineStr">
        <is>
          <t>APPROVED</t>
        </is>
      </c>
      <c r="H14" s="34" t="inlineStr">
        <is>
          <t>New</t>
        </is>
      </c>
      <c r="I14" s="34" t="inlineStr">
        <is>
          <t>Source assignment -- not individually reviewed</t>
        </is>
      </c>
      <c r="J14" s="39" t="inlineStr"/>
      <c r="K14" s="34" t="inlineStr">
        <is>
          <t>Source assignment</t>
        </is>
      </c>
      <c r="L14" s="39" t="inlineStr"/>
      <c r="M14" s="34" t="inlineStr">
        <is>
          <t>Initial</t>
        </is>
      </c>
      <c r="N14" s="34" t="inlineStr">
        <is>
          <t>Rev 0</t>
        </is>
      </c>
      <c r="O14" s="34" t="inlineStr">
        <is>
          <t>R4-v1</t>
        </is>
      </c>
      <c r="P14" s="39" t="inlineStr"/>
      <c r="Q14" s="14" t="inlineStr"/>
      <c r="R14" s="39" t="inlineStr"/>
      <c r="S14" s="39" t="inlineStr"/>
      <c r="T14" s="39" t="inlineStr"/>
      <c r="U14" s="39" t="inlineStr"/>
      <c r="V14" s="34" t="inlineStr">
        <is>
          <t>WBS Code = 1.1.1</t>
        </is>
      </c>
      <c r="W14" s="14" t="inlineStr"/>
    </row>
    <row r="15" ht="64" customHeight="1">
      <c r="A15" s="34" t="inlineStr">
        <is>
          <t>1.1.1</t>
        </is>
      </c>
      <c r="B15" s="34" t="inlineStr">
        <is>
          <t>Guideway and Civil - Guideway Structures</t>
        </is>
      </c>
      <c r="C15" s="34" t="inlineStr">
        <is>
          <t>Contractor Programme</t>
        </is>
      </c>
      <c r="D15" s="34" t="inlineStr">
        <is>
          <t>SCH-01-005</t>
        </is>
      </c>
      <c r="E15" s="34" t="inlineStr">
        <is>
          <t>Central guideway: drilled-shaft installation - field start</t>
        </is>
      </c>
      <c r="F15" s="34" t="inlineStr">
        <is>
          <t>ONE_TO_ONE</t>
        </is>
      </c>
      <c r="G15" s="34" t="inlineStr">
        <is>
          <t>APPROVED</t>
        </is>
      </c>
      <c r="H15" s="34" t="inlineStr">
        <is>
          <t>New</t>
        </is>
      </c>
      <c r="I15" s="34" t="inlineStr">
        <is>
          <t>Source assignment -- not individually reviewed</t>
        </is>
      </c>
      <c r="J15" s="39" t="inlineStr"/>
      <c r="K15" s="34" t="inlineStr">
        <is>
          <t>Source assignment</t>
        </is>
      </c>
      <c r="L15" s="39" t="inlineStr"/>
      <c r="M15" s="34" t="inlineStr">
        <is>
          <t>Initial</t>
        </is>
      </c>
      <c r="N15" s="34" t="inlineStr">
        <is>
          <t>Rev 0</t>
        </is>
      </c>
      <c r="O15" s="34" t="inlineStr">
        <is>
          <t>R5-v1</t>
        </is>
      </c>
      <c r="P15" s="39" t="inlineStr"/>
      <c r="Q15" s="14" t="inlineStr"/>
      <c r="R15" s="39" t="inlineStr"/>
      <c r="S15" s="39" t="inlineStr"/>
      <c r="T15" s="39" t="inlineStr"/>
      <c r="U15" s="39" t="inlineStr"/>
      <c r="V15" s="34" t="inlineStr">
        <is>
          <t>WBS Code = 1.1.1</t>
        </is>
      </c>
      <c r="W15" s="14" t="inlineStr"/>
    </row>
    <row r="16" ht="64" customHeight="1">
      <c r="A16" s="34" t="inlineStr">
        <is>
          <t>1.1.1</t>
        </is>
      </c>
      <c r="B16" s="34" t="inlineStr">
        <is>
          <t>Guideway and Civil - Guideway Structures</t>
        </is>
      </c>
      <c r="C16" s="34" t="inlineStr">
        <is>
          <t>Contractor Programme</t>
        </is>
      </c>
      <c r="D16" s="34" t="inlineStr">
        <is>
          <t>SCH-01-007</t>
        </is>
      </c>
      <c r="E16" s="34" t="inlineStr">
        <is>
          <t>Depot lead: drainage tie-in - inspection</t>
        </is>
      </c>
      <c r="F16" s="34" t="inlineStr">
        <is>
          <t>ONE_TO_ONE</t>
        </is>
      </c>
      <c r="G16" s="34" t="inlineStr">
        <is>
          <t>APPROVED</t>
        </is>
      </c>
      <c r="H16" s="34" t="inlineStr">
        <is>
          <t>New</t>
        </is>
      </c>
      <c r="I16" s="34" t="inlineStr">
        <is>
          <t>Source assignment -- not individually reviewed</t>
        </is>
      </c>
      <c r="J16" s="39" t="inlineStr"/>
      <c r="K16" s="34" t="inlineStr">
        <is>
          <t>Source assignment</t>
        </is>
      </c>
      <c r="L16" s="39" t="inlineStr"/>
      <c r="M16" s="34" t="inlineStr">
        <is>
          <t>Initial</t>
        </is>
      </c>
      <c r="N16" s="34" t="inlineStr">
        <is>
          <t>Rev 0</t>
        </is>
      </c>
      <c r="O16" s="34" t="inlineStr">
        <is>
          <t>R7-v1</t>
        </is>
      </c>
      <c r="P16" s="39" t="inlineStr"/>
      <c r="Q16" s="14" t="inlineStr"/>
      <c r="R16" s="39" t="inlineStr"/>
      <c r="S16" s="39" t="inlineStr"/>
      <c r="T16" s="39" t="inlineStr"/>
      <c r="U16" s="39" t="inlineStr"/>
      <c r="V16" s="34" t="inlineStr">
        <is>
          <t>WBS Code = 1.1.1</t>
        </is>
      </c>
      <c r="W16" s="14" t="inlineStr"/>
    </row>
    <row r="17" ht="64" customHeight="1">
      <c r="A17" s="34" t="inlineStr">
        <is>
          <t>1.1.1</t>
        </is>
      </c>
      <c r="B17" s="34" t="inlineStr">
        <is>
          <t>Guideway and Civil - Guideway Structures</t>
        </is>
      </c>
      <c r="C17" s="34" t="inlineStr">
        <is>
          <t>Contractor Programme</t>
        </is>
      </c>
      <c r="D17" s="34" t="inlineStr">
        <is>
          <t>SCH-01-008</t>
        </is>
      </c>
      <c r="E17" s="34" t="inlineStr">
        <is>
          <t>East portal: utility relocation - turnover</t>
        </is>
      </c>
      <c r="F17" s="34" t="inlineStr">
        <is>
          <t>ONE_TO_ONE</t>
        </is>
      </c>
      <c r="G17" s="34" t="inlineStr">
        <is>
          <t>APPROVED</t>
        </is>
      </c>
      <c r="H17" s="34" t="inlineStr">
        <is>
          <t>New</t>
        </is>
      </c>
      <c r="I17" s="34" t="inlineStr">
        <is>
          <t>Source assignment -- not individually reviewed</t>
        </is>
      </c>
      <c r="J17" s="39" t="inlineStr"/>
      <c r="K17" s="34" t="inlineStr">
        <is>
          <t>Source assignment</t>
        </is>
      </c>
      <c r="L17" s="39" t="inlineStr"/>
      <c r="M17" s="34" t="inlineStr">
        <is>
          <t>Initial</t>
        </is>
      </c>
      <c r="N17" s="34" t="inlineStr">
        <is>
          <t>Rev 0</t>
        </is>
      </c>
      <c r="O17" s="34" t="inlineStr">
        <is>
          <t>R8-v1</t>
        </is>
      </c>
      <c r="P17" s="39" t="inlineStr"/>
      <c r="Q17" s="14" t="inlineStr"/>
      <c r="R17" s="39" t="inlineStr"/>
      <c r="S17" s="39" t="inlineStr"/>
      <c r="T17" s="39" t="inlineStr"/>
      <c r="U17" s="39" t="inlineStr"/>
      <c r="V17" s="34" t="inlineStr">
        <is>
          <t>WBS Code = 1.1.1</t>
        </is>
      </c>
      <c r="W17" s="14" t="inlineStr"/>
    </row>
    <row r="18" ht="64" customHeight="1">
      <c r="A18" s="34" t="inlineStr">
        <is>
          <t>1.1.1</t>
        </is>
      </c>
      <c r="B18" s="34" t="inlineStr">
        <is>
          <t>Guideway and Civil - Guideway Structures</t>
        </is>
      </c>
      <c r="C18" s="34" t="inlineStr">
        <is>
          <t>Contractor Programme</t>
        </is>
      </c>
      <c r="D18" s="34" t="inlineStr">
        <is>
          <t>SCH-01-010</t>
        </is>
      </c>
      <c r="E18" s="34" t="inlineStr">
        <is>
          <t>Central guideway: temporary traffic staging - field start</t>
        </is>
      </c>
      <c r="F18" s="34" t="inlineStr">
        <is>
          <t>ONE_TO_ONE</t>
        </is>
      </c>
      <c r="G18" s="34" t="inlineStr">
        <is>
          <t>APPROVED</t>
        </is>
      </c>
      <c r="H18" s="34" t="inlineStr">
        <is>
          <t>New</t>
        </is>
      </c>
      <c r="I18" s="34" t="inlineStr">
        <is>
          <t>Source assignment -- not individually reviewed</t>
        </is>
      </c>
      <c r="J18" s="39" t="inlineStr"/>
      <c r="K18" s="34" t="inlineStr">
        <is>
          <t>Source assignment</t>
        </is>
      </c>
      <c r="L18" s="39" t="inlineStr"/>
      <c r="M18" s="34" t="inlineStr">
        <is>
          <t>Initial</t>
        </is>
      </c>
      <c r="N18" s="34" t="inlineStr">
        <is>
          <t>Rev 0</t>
        </is>
      </c>
      <c r="O18" s="34" t="inlineStr">
        <is>
          <t>R10-v1</t>
        </is>
      </c>
      <c r="P18" s="39" t="inlineStr"/>
      <c r="Q18" s="14" t="inlineStr"/>
      <c r="R18" s="39" t="inlineStr"/>
      <c r="S18" s="39" t="inlineStr"/>
      <c r="T18" s="39" t="inlineStr"/>
      <c r="U18" s="39" t="inlineStr"/>
      <c r="V18" s="34" t="inlineStr">
        <is>
          <t>WBS Code = 1.1.1</t>
        </is>
      </c>
      <c r="W18" s="14" t="inlineStr"/>
    </row>
    <row r="19" ht="64" customHeight="1">
      <c r="A19" s="34" t="inlineStr">
        <is>
          <t>1.1.1</t>
        </is>
      </c>
      <c r="B19" s="34" t="inlineStr">
        <is>
          <t>Guideway and Civil - Guideway Structures</t>
        </is>
      </c>
      <c r="C19" s="34" t="inlineStr">
        <is>
          <t>Contractor Programme</t>
        </is>
      </c>
      <c r="D19" s="34" t="inlineStr">
        <is>
          <t>SCH-01-011</t>
        </is>
      </c>
      <c r="E19" s="34" t="inlineStr">
        <is>
          <t>West approach: guideway pier reinforcement - installation</t>
        </is>
      </c>
      <c r="F19" s="34" t="inlineStr">
        <is>
          <t>ONE_TO_ONE</t>
        </is>
      </c>
      <c r="G19" s="34" t="inlineStr">
        <is>
          <t>APPROVED</t>
        </is>
      </c>
      <c r="H19" s="34" t="inlineStr">
        <is>
          <t>New</t>
        </is>
      </c>
      <c r="I19" s="34" t="inlineStr">
        <is>
          <t>Source assignment -- not individually reviewed</t>
        </is>
      </c>
      <c r="J19" s="39" t="inlineStr"/>
      <c r="K19" s="34" t="inlineStr">
        <is>
          <t>Source assignment</t>
        </is>
      </c>
      <c r="L19" s="39" t="inlineStr"/>
      <c r="M19" s="34" t="inlineStr">
        <is>
          <t>Initial</t>
        </is>
      </c>
      <c r="N19" s="34" t="inlineStr">
        <is>
          <t>Rev 0</t>
        </is>
      </c>
      <c r="O19" s="34" t="inlineStr">
        <is>
          <t>R11-v1</t>
        </is>
      </c>
      <c r="P19" s="39" t="inlineStr"/>
      <c r="Q19" s="14" t="inlineStr"/>
      <c r="R19" s="39" t="inlineStr"/>
      <c r="S19" s="39" t="inlineStr"/>
      <c r="T19" s="39" t="inlineStr"/>
      <c r="U19" s="39" t="inlineStr"/>
      <c r="V19" s="34" t="inlineStr">
        <is>
          <t>WBS Code = 1.1.1</t>
        </is>
      </c>
      <c r="W19" s="14" t="inlineStr"/>
    </row>
    <row r="20" ht="64" customHeight="1">
      <c r="A20" s="34" t="inlineStr">
        <is>
          <t>1.1.1</t>
        </is>
      </c>
      <c r="B20" s="34" t="inlineStr">
        <is>
          <t>Guideway and Civil - Guideway Structures</t>
        </is>
      </c>
      <c r="C20" s="34" t="inlineStr">
        <is>
          <t>Contractor Programme</t>
        </is>
      </c>
      <c r="D20" s="34" t="inlineStr">
        <is>
          <t>SCH-01-013</t>
        </is>
      </c>
      <c r="E20" s="34" t="inlineStr">
        <is>
          <t>East portal: drilled-shaft installation - turnover</t>
        </is>
      </c>
      <c r="F20" s="34" t="inlineStr">
        <is>
          <t>ONE_TO_ONE</t>
        </is>
      </c>
      <c r="G20" s="34" t="inlineStr">
        <is>
          <t>APPROVED</t>
        </is>
      </c>
      <c r="H20" s="34" t="inlineStr">
        <is>
          <t>New</t>
        </is>
      </c>
      <c r="I20" s="34" t="inlineStr">
        <is>
          <t>Source assignment -- not individually reviewed</t>
        </is>
      </c>
      <c r="J20" s="39" t="inlineStr"/>
      <c r="K20" s="34" t="inlineStr">
        <is>
          <t>Source assignment</t>
        </is>
      </c>
      <c r="L20" s="39" t="inlineStr"/>
      <c r="M20" s="34" t="inlineStr">
        <is>
          <t>Initial</t>
        </is>
      </c>
      <c r="N20" s="34" t="inlineStr">
        <is>
          <t>Rev 0</t>
        </is>
      </c>
      <c r="O20" s="34" t="inlineStr">
        <is>
          <t>R13-v1</t>
        </is>
      </c>
      <c r="P20" s="39" t="inlineStr"/>
      <c r="Q20" s="14" t="inlineStr"/>
      <c r="R20" s="39" t="inlineStr"/>
      <c r="S20" s="39" t="inlineStr"/>
      <c r="T20" s="39" t="inlineStr"/>
      <c r="U20" s="39" t="inlineStr"/>
      <c r="V20" s="34" t="inlineStr">
        <is>
          <t>WBS Code = 1.1.1</t>
        </is>
      </c>
      <c r="W20" s="14" t="inlineStr"/>
    </row>
    <row r="21" ht="64" customHeight="1">
      <c r="A21" s="34" t="inlineStr">
        <is>
          <t>1.1.1</t>
        </is>
      </c>
      <c r="B21" s="34" t="inlineStr">
        <is>
          <t>Guideway and Civil - Guideway Structures</t>
        </is>
      </c>
      <c r="C21" s="34" t="inlineStr">
        <is>
          <t>Contractor Programme</t>
        </is>
      </c>
      <c r="D21" s="34" t="inlineStr">
        <is>
          <t>SCH-01-014</t>
        </is>
      </c>
      <c r="E21" s="34" t="inlineStr">
        <is>
          <t>River crossing: retaining-wall excavation - release</t>
        </is>
      </c>
      <c r="F21" s="34" t="inlineStr">
        <is>
          <t>ONE_TO_ONE</t>
        </is>
      </c>
      <c r="G21" s="34" t="inlineStr">
        <is>
          <t>APPROVED</t>
        </is>
      </c>
      <c r="H21" s="34" t="inlineStr">
        <is>
          <t>New</t>
        </is>
      </c>
      <c r="I21" s="34" t="inlineStr">
        <is>
          <t>Source assignment -- not individually reviewed</t>
        </is>
      </c>
      <c r="J21" s="39" t="inlineStr"/>
      <c r="K21" s="34" t="inlineStr">
        <is>
          <t>Source assignment</t>
        </is>
      </c>
      <c r="L21" s="39" t="inlineStr"/>
      <c r="M21" s="34" t="inlineStr">
        <is>
          <t>Initial</t>
        </is>
      </c>
      <c r="N21" s="34" t="inlineStr">
        <is>
          <t>Rev 0</t>
        </is>
      </c>
      <c r="O21" s="34" t="inlineStr">
        <is>
          <t>R14-v1</t>
        </is>
      </c>
      <c r="P21" s="39" t="inlineStr"/>
      <c r="Q21" s="14" t="inlineStr"/>
      <c r="R21" s="39" t="inlineStr"/>
      <c r="S21" s="39" t="inlineStr"/>
      <c r="T21" s="39" t="inlineStr"/>
      <c r="U21" s="39" t="inlineStr"/>
      <c r="V21" s="34" t="inlineStr">
        <is>
          <t>WBS Code = 1.1.1</t>
        </is>
      </c>
      <c r="W21" s="14" t="inlineStr"/>
    </row>
    <row r="22" ht="64" customHeight="1">
      <c r="A22" s="34" t="inlineStr">
        <is>
          <t>1.1.1</t>
        </is>
      </c>
      <c r="B22" s="34" t="inlineStr">
        <is>
          <t>Guideway and Civil - Guideway Structures</t>
        </is>
      </c>
      <c r="C22" s="34" t="inlineStr">
        <is>
          <t>Contractor Programme</t>
        </is>
      </c>
      <c r="D22" s="34" t="inlineStr">
        <is>
          <t>SCH-01-016</t>
        </is>
      </c>
      <c r="E22" s="34" t="inlineStr">
        <is>
          <t>West approach: utility relocation - installation</t>
        </is>
      </c>
      <c r="F22" s="34" t="inlineStr">
        <is>
          <t>ONE_TO_ONE</t>
        </is>
      </c>
      <c r="G22" s="34" t="inlineStr">
        <is>
          <t>APPROVED</t>
        </is>
      </c>
      <c r="H22" s="34" t="inlineStr">
        <is>
          <t>New</t>
        </is>
      </c>
      <c r="I22" s="34" t="inlineStr">
        <is>
          <t>Source assignment -- not individually reviewed</t>
        </is>
      </c>
      <c r="J22" s="39" t="inlineStr"/>
      <c r="K22" s="34" t="inlineStr">
        <is>
          <t>Source assignment</t>
        </is>
      </c>
      <c r="L22" s="39" t="inlineStr"/>
      <c r="M22" s="34" t="inlineStr">
        <is>
          <t>Initial</t>
        </is>
      </c>
      <c r="N22" s="34" t="inlineStr">
        <is>
          <t>Rev 0</t>
        </is>
      </c>
      <c r="O22" s="34" t="inlineStr">
        <is>
          <t>R16-v1</t>
        </is>
      </c>
      <c r="P22" s="39" t="inlineStr"/>
      <c r="Q22" s="14" t="inlineStr"/>
      <c r="R22" s="39" t="inlineStr"/>
      <c r="S22" s="39" t="inlineStr"/>
      <c r="T22" s="39" t="inlineStr"/>
      <c r="U22" s="39" t="inlineStr"/>
      <c r="V22" s="34" t="inlineStr">
        <is>
          <t>WBS Code = 1.1.1</t>
        </is>
      </c>
      <c r="W22" s="14" t="inlineStr"/>
    </row>
    <row r="23" ht="64" customHeight="1">
      <c r="A23" s="34" t="inlineStr">
        <is>
          <t>1.1.1</t>
        </is>
      </c>
      <c r="B23" s="34" t="inlineStr">
        <is>
          <t>Guideway and Civil - Guideway Structures</t>
        </is>
      </c>
      <c r="C23" s="34" t="inlineStr">
        <is>
          <t>Contractor Programme</t>
        </is>
      </c>
      <c r="D23" s="34" t="inlineStr">
        <is>
          <t>SCH-01-017</t>
        </is>
      </c>
      <c r="E23" s="34" t="inlineStr">
        <is>
          <t>Depot lead: track-slab survey - inspection</t>
        </is>
      </c>
      <c r="F23" s="34" t="inlineStr">
        <is>
          <t>ONE_TO_ONE</t>
        </is>
      </c>
      <c r="G23" s="34" t="inlineStr">
        <is>
          <t>APPROVED</t>
        </is>
      </c>
      <c r="H23" s="34" t="inlineStr">
        <is>
          <t>New</t>
        </is>
      </c>
      <c r="I23" s="34" t="inlineStr">
        <is>
          <t>Source assignment -- not individually reviewed</t>
        </is>
      </c>
      <c r="J23" s="39" t="inlineStr"/>
      <c r="K23" s="34" t="inlineStr">
        <is>
          <t>Source assignment</t>
        </is>
      </c>
      <c r="L23" s="39" t="inlineStr"/>
      <c r="M23" s="34" t="inlineStr">
        <is>
          <t>Initial</t>
        </is>
      </c>
      <c r="N23" s="34" t="inlineStr">
        <is>
          <t>Rev 0</t>
        </is>
      </c>
      <c r="O23" s="34" t="inlineStr">
        <is>
          <t>R17-v1</t>
        </is>
      </c>
      <c r="P23" s="39" t="inlineStr"/>
      <c r="Q23" s="14" t="inlineStr"/>
      <c r="R23" s="39" t="inlineStr"/>
      <c r="S23" s="39" t="inlineStr"/>
      <c r="T23" s="39" t="inlineStr"/>
      <c r="U23" s="39" t="inlineStr"/>
      <c r="V23" s="34" t="inlineStr">
        <is>
          <t>WBS Code = 1.1.1</t>
        </is>
      </c>
      <c r="W23" s="14" t="inlineStr"/>
    </row>
    <row r="24" ht="64" customHeight="1">
      <c r="A24" s="34" t="inlineStr">
        <is>
          <t>1.1.1</t>
        </is>
      </c>
      <c r="B24" s="34" t="inlineStr">
        <is>
          <t>Guideway and Civil - Guideway Structures</t>
        </is>
      </c>
      <c r="C24" s="34" t="inlineStr">
        <is>
          <t>Contractor Programme</t>
        </is>
      </c>
      <c r="D24" s="34" t="inlineStr">
        <is>
          <t>SCH-01-019</t>
        </is>
      </c>
      <c r="E24" s="34" t="inlineStr">
        <is>
          <t>River crossing: guideway pier reinforcement - release</t>
        </is>
      </c>
      <c r="F24" s="34" t="inlineStr">
        <is>
          <t>ONE_TO_ONE</t>
        </is>
      </c>
      <c r="G24" s="34" t="inlineStr">
        <is>
          <t>APPROVED</t>
        </is>
      </c>
      <c r="H24" s="34" t="inlineStr">
        <is>
          <t>New</t>
        </is>
      </c>
      <c r="I24" s="34" t="inlineStr">
        <is>
          <t>Source assignment -- not individually reviewed</t>
        </is>
      </c>
      <c r="J24" s="39" t="inlineStr"/>
      <c r="K24" s="34" t="inlineStr">
        <is>
          <t>Source assignment</t>
        </is>
      </c>
      <c r="L24" s="39" t="inlineStr"/>
      <c r="M24" s="34" t="inlineStr">
        <is>
          <t>Initial</t>
        </is>
      </c>
      <c r="N24" s="34" t="inlineStr">
        <is>
          <t>Rev 0</t>
        </is>
      </c>
      <c r="O24" s="34" t="inlineStr">
        <is>
          <t>R19-v1</t>
        </is>
      </c>
      <c r="P24" s="39" t="inlineStr"/>
      <c r="Q24" s="14" t="inlineStr"/>
      <c r="R24" s="39" t="inlineStr"/>
      <c r="S24" s="39" t="inlineStr"/>
      <c r="T24" s="39" t="inlineStr"/>
      <c r="U24" s="39" t="inlineStr"/>
      <c r="V24" s="34" t="inlineStr">
        <is>
          <t>WBS Code = 1.1.1</t>
        </is>
      </c>
      <c r="W24" s="14" t="inlineStr"/>
    </row>
    <row r="25" ht="64" customHeight="1">
      <c r="A25" s="34" t="inlineStr">
        <is>
          <t>1.1.1</t>
        </is>
      </c>
      <c r="B25" s="34" t="inlineStr">
        <is>
          <t>Guideway and Civil - Guideway Structures</t>
        </is>
      </c>
      <c r="C25" s="34" t="inlineStr">
        <is>
          <t>Contractor Programme</t>
        </is>
      </c>
      <c r="D25" s="34" t="inlineStr">
        <is>
          <t>SCH-01-020</t>
        </is>
      </c>
      <c r="E25" s="34" t="inlineStr">
        <is>
          <t>Central guideway: road restoration - field start</t>
        </is>
      </c>
      <c r="F25" s="34" t="inlineStr">
        <is>
          <t>ONE_TO_ONE</t>
        </is>
      </c>
      <c r="G25" s="34" t="inlineStr">
        <is>
          <t>APPROVED</t>
        </is>
      </c>
      <c r="H25" s="34" t="inlineStr">
        <is>
          <t>New</t>
        </is>
      </c>
      <c r="I25" s="34" t="inlineStr">
        <is>
          <t>Source assignment -- not individually reviewed</t>
        </is>
      </c>
      <c r="J25" s="39" t="inlineStr"/>
      <c r="K25" s="34" t="inlineStr">
        <is>
          <t>Source assignment</t>
        </is>
      </c>
      <c r="L25" s="39" t="inlineStr"/>
      <c r="M25" s="34" t="inlineStr">
        <is>
          <t>Initial</t>
        </is>
      </c>
      <c r="N25" s="34" t="inlineStr">
        <is>
          <t>Rev 0</t>
        </is>
      </c>
      <c r="O25" s="34" t="inlineStr">
        <is>
          <t>R20-v1</t>
        </is>
      </c>
      <c r="P25" s="39" t="inlineStr"/>
      <c r="Q25" s="14" t="inlineStr"/>
      <c r="R25" s="39" t="inlineStr"/>
      <c r="S25" s="39" t="inlineStr"/>
      <c r="T25" s="39" t="inlineStr"/>
      <c r="U25" s="39" t="inlineStr"/>
      <c r="V25" s="34" t="inlineStr">
        <is>
          <t>WBS Code = 1.1.1</t>
        </is>
      </c>
      <c r="W25" s="14" t="inlineStr"/>
    </row>
    <row r="26" ht="64" customHeight="1">
      <c r="A26" s="34" t="inlineStr">
        <is>
          <t>1.1.1</t>
        </is>
      </c>
      <c r="B26" s="34" t="inlineStr">
        <is>
          <t>Guideway and Civil - Guideway Structures</t>
        </is>
      </c>
      <c r="C26" s="34" t="inlineStr">
        <is>
          <t>Contractor Programme</t>
        </is>
      </c>
      <c r="D26" s="34" t="inlineStr">
        <is>
          <t>SCH-01-022</t>
        </is>
      </c>
      <c r="E26" s="34" t="inlineStr">
        <is>
          <t>Depot lead: retaining-wall excavation - inspection</t>
        </is>
      </c>
      <c r="F26" s="34" t="inlineStr">
        <is>
          <t>ONE_TO_ONE</t>
        </is>
      </c>
      <c r="G26" s="34" t="inlineStr">
        <is>
          <t>APPROVED</t>
        </is>
      </c>
      <c r="H26" s="34" t="inlineStr">
        <is>
          <t>New</t>
        </is>
      </c>
      <c r="I26" s="34" t="inlineStr">
        <is>
          <t>Source assignment -- not individually reviewed</t>
        </is>
      </c>
      <c r="J26" s="39" t="inlineStr"/>
      <c r="K26" s="34" t="inlineStr">
        <is>
          <t>Source assignment</t>
        </is>
      </c>
      <c r="L26" s="39" t="inlineStr"/>
      <c r="M26" s="34" t="inlineStr">
        <is>
          <t>Initial</t>
        </is>
      </c>
      <c r="N26" s="34" t="inlineStr">
        <is>
          <t>Rev 0</t>
        </is>
      </c>
      <c r="O26" s="34" t="inlineStr">
        <is>
          <t>R22-v1</t>
        </is>
      </c>
      <c r="P26" s="39" t="inlineStr"/>
      <c r="Q26" s="14" t="inlineStr"/>
      <c r="R26" s="39" t="inlineStr"/>
      <c r="S26" s="39" t="inlineStr"/>
      <c r="T26" s="39" t="inlineStr"/>
      <c r="U26" s="39" t="inlineStr"/>
      <c r="V26" s="34" t="inlineStr">
        <is>
          <t>WBS Code = 1.1.1</t>
        </is>
      </c>
      <c r="W26" s="14" t="inlineStr"/>
    </row>
    <row r="27" ht="64" customHeight="1">
      <c r="A27" s="34" t="inlineStr">
        <is>
          <t>1.1.1</t>
        </is>
      </c>
      <c r="B27" s="34" t="inlineStr">
        <is>
          <t>Guideway and Civil - Guideway Structures</t>
        </is>
      </c>
      <c r="C27" s="34" t="inlineStr">
        <is>
          <t>Contractor Programme</t>
        </is>
      </c>
      <c r="D27" s="34" t="inlineStr">
        <is>
          <t>SCH-01-023</t>
        </is>
      </c>
      <c r="E27" s="34" t="inlineStr">
        <is>
          <t>East portal: drainage tie-in - turnover</t>
        </is>
      </c>
      <c r="F27" s="34" t="inlineStr">
        <is>
          <t>ONE_TO_ONE</t>
        </is>
      </c>
      <c r="G27" s="34" t="inlineStr">
        <is>
          <t>APPROVED</t>
        </is>
      </c>
      <c r="H27" s="34" t="inlineStr">
        <is>
          <t>New</t>
        </is>
      </c>
      <c r="I27" s="34" t="inlineStr">
        <is>
          <t>Source assignment -- not individually reviewed</t>
        </is>
      </c>
      <c r="J27" s="39" t="inlineStr"/>
      <c r="K27" s="34" t="inlineStr">
        <is>
          <t>Source assignment</t>
        </is>
      </c>
      <c r="L27" s="39" t="inlineStr"/>
      <c r="M27" s="34" t="inlineStr">
        <is>
          <t>Initial</t>
        </is>
      </c>
      <c r="N27" s="34" t="inlineStr">
        <is>
          <t>Rev 0</t>
        </is>
      </c>
      <c r="O27" s="34" t="inlineStr">
        <is>
          <t>R23-v1</t>
        </is>
      </c>
      <c r="P27" s="39" t="inlineStr"/>
      <c r="Q27" s="14" t="inlineStr"/>
      <c r="R27" s="39" t="inlineStr"/>
      <c r="S27" s="39" t="inlineStr"/>
      <c r="T27" s="39" t="inlineStr"/>
      <c r="U27" s="39" t="inlineStr"/>
      <c r="V27" s="34" t="inlineStr">
        <is>
          <t>WBS Code = 1.1.1</t>
        </is>
      </c>
      <c r="W27" s="14" t="inlineStr"/>
    </row>
    <row r="28" ht="64" customHeight="1">
      <c r="A28" s="34" t="inlineStr">
        <is>
          <t>1.1.1</t>
        </is>
      </c>
      <c r="B28" s="34" t="inlineStr">
        <is>
          <t>Guideway and Civil - Guideway Structures</t>
        </is>
      </c>
      <c r="C28" s="34" t="inlineStr">
        <is>
          <t>Contractor Programme</t>
        </is>
      </c>
      <c r="D28" s="34" t="inlineStr">
        <is>
          <t>SCH-01-025</t>
        </is>
      </c>
      <c r="E28" s="34" t="inlineStr">
        <is>
          <t>Central guideway: track-slab survey - field start</t>
        </is>
      </c>
      <c r="F28" s="34" t="inlineStr">
        <is>
          <t>ONE_TO_ONE</t>
        </is>
      </c>
      <c r="G28" s="34" t="inlineStr">
        <is>
          <t>APPROVED</t>
        </is>
      </c>
      <c r="H28" s="34" t="inlineStr">
        <is>
          <t>New</t>
        </is>
      </c>
      <c r="I28" s="34" t="inlineStr">
        <is>
          <t>Source assignment -- not individually reviewed</t>
        </is>
      </c>
      <c r="J28" s="39" t="inlineStr"/>
      <c r="K28" s="34" t="inlineStr">
        <is>
          <t>Source assignment</t>
        </is>
      </c>
      <c r="L28" s="39" t="inlineStr"/>
      <c r="M28" s="34" t="inlineStr">
        <is>
          <t>Initial</t>
        </is>
      </c>
      <c r="N28" s="34" t="inlineStr">
        <is>
          <t>Rev 0</t>
        </is>
      </c>
      <c r="O28" s="34" t="inlineStr">
        <is>
          <t>R25-v1</t>
        </is>
      </c>
      <c r="P28" s="39" t="inlineStr"/>
      <c r="Q28" s="14" t="inlineStr"/>
      <c r="R28" s="39" t="inlineStr"/>
      <c r="S28" s="39" t="inlineStr"/>
      <c r="T28" s="39" t="inlineStr"/>
      <c r="U28" s="39" t="inlineStr"/>
      <c r="V28" s="34" t="inlineStr">
        <is>
          <t>WBS Code = 1.1.1</t>
        </is>
      </c>
      <c r="W28" s="14" t="inlineStr"/>
    </row>
    <row r="29" ht="64" customHeight="1">
      <c r="A29" s="34" t="inlineStr">
        <is>
          <t>1.1.1</t>
        </is>
      </c>
      <c r="B29" s="34" t="inlineStr">
        <is>
          <t>Guideway and Civil - Guideway Structures</t>
        </is>
      </c>
      <c r="C29" s="34" t="inlineStr">
        <is>
          <t>Contractor Programme</t>
        </is>
      </c>
      <c r="D29" s="34" t="inlineStr">
        <is>
          <t>SCH-01-026</t>
        </is>
      </c>
      <c r="E29" s="34" t="inlineStr">
        <is>
          <t>West approach: temporary traffic staging - installation</t>
        </is>
      </c>
      <c r="F29" s="34" t="inlineStr">
        <is>
          <t>ONE_TO_ONE</t>
        </is>
      </c>
      <c r="G29" s="34" t="inlineStr">
        <is>
          <t>APPROVED</t>
        </is>
      </c>
      <c r="H29" s="34" t="inlineStr">
        <is>
          <t>New</t>
        </is>
      </c>
      <c r="I29" s="34" t="inlineStr">
        <is>
          <t>Source assignment -- not individually reviewed</t>
        </is>
      </c>
      <c r="J29" s="39" t="inlineStr"/>
      <c r="K29" s="34" t="inlineStr">
        <is>
          <t>Source assignment</t>
        </is>
      </c>
      <c r="L29" s="39" t="inlineStr"/>
      <c r="M29" s="34" t="inlineStr">
        <is>
          <t>Initial</t>
        </is>
      </c>
      <c r="N29" s="34" t="inlineStr">
        <is>
          <t>Rev 0</t>
        </is>
      </c>
      <c r="O29" s="34" t="inlineStr">
        <is>
          <t>R26-v1</t>
        </is>
      </c>
      <c r="P29" s="39" t="inlineStr"/>
      <c r="Q29" s="14" t="inlineStr"/>
      <c r="R29" s="39" t="inlineStr"/>
      <c r="S29" s="39" t="inlineStr"/>
      <c r="T29" s="39" t="inlineStr"/>
      <c r="U29" s="39" t="inlineStr"/>
      <c r="V29" s="34" t="inlineStr">
        <is>
          <t>WBS Code = 1.1.1</t>
        </is>
      </c>
      <c r="W29" s="14" t="inlineStr"/>
    </row>
    <row r="30" ht="64" customHeight="1">
      <c r="A30" s="34" t="inlineStr">
        <is>
          <t>1.1.1</t>
        </is>
      </c>
      <c r="B30" s="34" t="inlineStr">
        <is>
          <t>Guideway and Civil - Guideway Structures</t>
        </is>
      </c>
      <c r="C30" s="34" t="inlineStr">
        <is>
          <t>Contractor Programme</t>
        </is>
      </c>
      <c r="D30" s="34" t="inlineStr">
        <is>
          <t>SCH-01-028</t>
        </is>
      </c>
      <c r="E30" s="34" t="inlineStr">
        <is>
          <t>East portal: road restoration - turnover</t>
        </is>
      </c>
      <c r="F30" s="34" t="inlineStr">
        <is>
          <t>ONE_TO_ONE</t>
        </is>
      </c>
      <c r="G30" s="34" t="inlineStr">
        <is>
          <t>APPROVED</t>
        </is>
      </c>
      <c r="H30" s="34" t="inlineStr">
        <is>
          <t>New</t>
        </is>
      </c>
      <c r="I30" s="34" t="inlineStr">
        <is>
          <t>Source assignment -- not individually reviewed</t>
        </is>
      </c>
      <c r="J30" s="39" t="inlineStr"/>
      <c r="K30" s="34" t="inlineStr">
        <is>
          <t>Source assignment</t>
        </is>
      </c>
      <c r="L30" s="39" t="inlineStr"/>
      <c r="M30" s="34" t="inlineStr">
        <is>
          <t>Initial</t>
        </is>
      </c>
      <c r="N30" s="34" t="inlineStr">
        <is>
          <t>Rev 0</t>
        </is>
      </c>
      <c r="O30" s="34" t="inlineStr">
        <is>
          <t>R28-v1</t>
        </is>
      </c>
      <c r="P30" s="39" t="inlineStr"/>
      <c r="Q30" s="14" t="inlineStr"/>
      <c r="R30" s="39" t="inlineStr"/>
      <c r="S30" s="39" t="inlineStr"/>
      <c r="T30" s="39" t="inlineStr"/>
      <c r="U30" s="39" t="inlineStr"/>
      <c r="V30" s="34" t="inlineStr">
        <is>
          <t>WBS Code = 1.1.1</t>
        </is>
      </c>
      <c r="W30" s="14" t="inlineStr"/>
    </row>
    <row r="31" ht="64" customHeight="1">
      <c r="A31" s="34" t="inlineStr">
        <is>
          <t>1.1.1</t>
        </is>
      </c>
      <c r="B31" s="34" t="inlineStr">
        <is>
          <t>Guideway and Civil - Guideway Structures</t>
        </is>
      </c>
      <c r="C31" s="34" t="inlineStr">
        <is>
          <t>Contractor Programme</t>
        </is>
      </c>
      <c r="D31" s="34" t="inlineStr">
        <is>
          <t>SCH-01-029</t>
        </is>
      </c>
      <c r="E31" s="34" t="inlineStr">
        <is>
          <t>River crossing: drilled-shaft installation - release</t>
        </is>
      </c>
      <c r="F31" s="34" t="inlineStr">
        <is>
          <t>ONE_TO_ONE</t>
        </is>
      </c>
      <c r="G31" s="34" t="inlineStr">
        <is>
          <t>APPROVED</t>
        </is>
      </c>
      <c r="H31" s="34" t="inlineStr">
        <is>
          <t>New</t>
        </is>
      </c>
      <c r="I31" s="34" t="inlineStr">
        <is>
          <t>Source assignment -- not individually reviewed</t>
        </is>
      </c>
      <c r="J31" s="39" t="inlineStr"/>
      <c r="K31" s="34" t="inlineStr">
        <is>
          <t>Source assignment</t>
        </is>
      </c>
      <c r="L31" s="39" t="inlineStr"/>
      <c r="M31" s="34" t="inlineStr">
        <is>
          <t>Initial</t>
        </is>
      </c>
      <c r="N31" s="34" t="inlineStr">
        <is>
          <t>Rev 0</t>
        </is>
      </c>
      <c r="O31" s="34" t="inlineStr">
        <is>
          <t>R29-v1</t>
        </is>
      </c>
      <c r="P31" s="39" t="inlineStr"/>
      <c r="Q31" s="14" t="inlineStr"/>
      <c r="R31" s="39" t="inlineStr"/>
      <c r="S31" s="39" t="inlineStr"/>
      <c r="T31" s="39" t="inlineStr"/>
      <c r="U31" s="39" t="inlineStr"/>
      <c r="V31" s="34" t="inlineStr">
        <is>
          <t>WBS Code = 1.1.1</t>
        </is>
      </c>
      <c r="W31" s="14" t="inlineStr"/>
    </row>
    <row r="32" ht="64" customHeight="1">
      <c r="A32" s="34" t="inlineStr">
        <is>
          <t>1.1.1</t>
        </is>
      </c>
      <c r="B32" s="34" t="inlineStr">
        <is>
          <t>Guideway and Civil - Guideway Structures</t>
        </is>
      </c>
      <c r="C32" s="34" t="inlineStr">
        <is>
          <t>Contractor Programme</t>
        </is>
      </c>
      <c r="D32" s="34" t="inlineStr">
        <is>
          <t>SCH-01-031</t>
        </is>
      </c>
      <c r="E32" s="34" t="inlineStr">
        <is>
          <t>West approach: drainage tie-in - installation</t>
        </is>
      </c>
      <c r="F32" s="34" t="inlineStr">
        <is>
          <t>ONE_TO_ONE</t>
        </is>
      </c>
      <c r="G32" s="34" t="inlineStr">
        <is>
          <t>APPROVED</t>
        </is>
      </c>
      <c r="H32" s="34" t="inlineStr">
        <is>
          <t>New</t>
        </is>
      </c>
      <c r="I32" s="34" t="inlineStr">
        <is>
          <t>Source assignment -- not individually reviewed</t>
        </is>
      </c>
      <c r="J32" s="39" t="inlineStr"/>
      <c r="K32" s="34" t="inlineStr">
        <is>
          <t>Source assignment</t>
        </is>
      </c>
      <c r="L32" s="39" t="inlineStr"/>
      <c r="M32" s="34" t="inlineStr">
        <is>
          <t>Initial</t>
        </is>
      </c>
      <c r="N32" s="34" t="inlineStr">
        <is>
          <t>Rev 0</t>
        </is>
      </c>
      <c r="O32" s="34" t="inlineStr">
        <is>
          <t>R31-v1</t>
        </is>
      </c>
      <c r="P32" s="39" t="inlineStr"/>
      <c r="Q32" s="14" t="inlineStr"/>
      <c r="R32" s="39" t="inlineStr"/>
      <c r="S32" s="39" t="inlineStr"/>
      <c r="T32" s="39" t="inlineStr"/>
      <c r="U32" s="39" t="inlineStr"/>
      <c r="V32" s="34" t="inlineStr">
        <is>
          <t>WBS Code = 1.1.1</t>
        </is>
      </c>
      <c r="W32" s="14" t="inlineStr"/>
    </row>
    <row r="33" ht="64" customHeight="1">
      <c r="A33" s="34" t="inlineStr">
        <is>
          <t>1.1.1</t>
        </is>
      </c>
      <c r="B33" s="34" t="inlineStr">
        <is>
          <t>Guideway and Civil - Guideway Structures</t>
        </is>
      </c>
      <c r="C33" s="34" t="inlineStr">
        <is>
          <t>Contractor Programme</t>
        </is>
      </c>
      <c r="D33" s="34" t="inlineStr">
        <is>
          <t>SCH-01-032</t>
        </is>
      </c>
      <c r="E33" s="34" t="inlineStr">
        <is>
          <t>Depot lead: utility relocation - inspection</t>
        </is>
      </c>
      <c r="F33" s="34" t="inlineStr">
        <is>
          <t>ONE_TO_ONE</t>
        </is>
      </c>
      <c r="G33" s="34" t="inlineStr">
        <is>
          <t>APPROVED</t>
        </is>
      </c>
      <c r="H33" s="34" t="inlineStr">
        <is>
          <t>New</t>
        </is>
      </c>
      <c r="I33" s="34" t="inlineStr">
        <is>
          <t>Source assignment -- not individually reviewed</t>
        </is>
      </c>
      <c r="J33" s="39" t="inlineStr"/>
      <c r="K33" s="34" t="inlineStr">
        <is>
          <t>Source assignment</t>
        </is>
      </c>
      <c r="L33" s="39" t="inlineStr"/>
      <c r="M33" s="34" t="inlineStr">
        <is>
          <t>Initial</t>
        </is>
      </c>
      <c r="N33" s="34" t="inlineStr">
        <is>
          <t>Rev 0</t>
        </is>
      </c>
      <c r="O33" s="34" t="inlineStr">
        <is>
          <t>R32-v1</t>
        </is>
      </c>
      <c r="P33" s="39" t="inlineStr"/>
      <c r="Q33" s="14" t="inlineStr"/>
      <c r="R33" s="39" t="inlineStr"/>
      <c r="S33" s="39" t="inlineStr"/>
      <c r="T33" s="39" t="inlineStr"/>
      <c r="U33" s="39" t="inlineStr"/>
      <c r="V33" s="34" t="inlineStr">
        <is>
          <t>WBS Code = 1.1.1</t>
        </is>
      </c>
      <c r="W33" s="14" t="inlineStr"/>
    </row>
    <row r="34" ht="64" customHeight="1">
      <c r="A34" s="34" t="inlineStr">
        <is>
          <t>1.1.1</t>
        </is>
      </c>
      <c r="B34" s="34" t="inlineStr">
        <is>
          <t>Guideway and Civil - Guideway Structures</t>
        </is>
      </c>
      <c r="C34" s="34" t="inlineStr">
        <is>
          <t>Contractor Programme</t>
        </is>
      </c>
      <c r="D34" s="34" t="inlineStr">
        <is>
          <t>SCH-01-034</t>
        </is>
      </c>
      <c r="E34" s="34" t="inlineStr">
        <is>
          <t>River crossing: temporary traffic staging - release</t>
        </is>
      </c>
      <c r="F34" s="34" t="inlineStr">
        <is>
          <t>ONE_TO_ONE</t>
        </is>
      </c>
      <c r="G34" s="34" t="inlineStr">
        <is>
          <t>APPROVED</t>
        </is>
      </c>
      <c r="H34" s="34" t="inlineStr">
        <is>
          <t>New</t>
        </is>
      </c>
      <c r="I34" s="34" t="inlineStr">
        <is>
          <t>Source assignment -- not individually reviewed</t>
        </is>
      </c>
      <c r="J34" s="39" t="inlineStr"/>
      <c r="K34" s="34" t="inlineStr">
        <is>
          <t>Source assignment</t>
        </is>
      </c>
      <c r="L34" s="39" t="inlineStr"/>
      <c r="M34" s="34" t="inlineStr">
        <is>
          <t>Initial</t>
        </is>
      </c>
      <c r="N34" s="34" t="inlineStr">
        <is>
          <t>Rev 0</t>
        </is>
      </c>
      <c r="O34" s="34" t="inlineStr">
        <is>
          <t>R34-v1</t>
        </is>
      </c>
      <c r="P34" s="39" t="inlineStr"/>
      <c r="Q34" s="14" t="inlineStr"/>
      <c r="R34" s="39" t="inlineStr"/>
      <c r="S34" s="39" t="inlineStr"/>
      <c r="T34" s="39" t="inlineStr"/>
      <c r="U34" s="39" t="inlineStr"/>
      <c r="V34" s="34" t="inlineStr">
        <is>
          <t>WBS Code = 1.1.1</t>
        </is>
      </c>
      <c r="W34" s="14" t="inlineStr"/>
    </row>
    <row r="35" ht="64" customHeight="1">
      <c r="A35" s="34" t="inlineStr">
        <is>
          <t>1.1.1</t>
        </is>
      </c>
      <c r="B35" s="34" t="inlineStr">
        <is>
          <t>Guideway and Civil - Guideway Structures</t>
        </is>
      </c>
      <c r="C35" s="34" t="inlineStr">
        <is>
          <t>Contractor Programme</t>
        </is>
      </c>
      <c r="D35" s="34" t="inlineStr">
        <is>
          <t>SCH-01-035</t>
        </is>
      </c>
      <c r="E35" s="34" t="inlineStr">
        <is>
          <t>Central guideway: guideway pier reinforcement - field start</t>
        </is>
      </c>
      <c r="F35" s="34" t="inlineStr">
        <is>
          <t>ONE_TO_ONE</t>
        </is>
      </c>
      <c r="G35" s="34" t="inlineStr">
        <is>
          <t>APPROVED</t>
        </is>
      </c>
      <c r="H35" s="34" t="inlineStr">
        <is>
          <t>New</t>
        </is>
      </c>
      <c r="I35" s="34" t="inlineStr">
        <is>
          <t>Source assignment -- not individually reviewed</t>
        </is>
      </c>
      <c r="J35" s="39" t="inlineStr"/>
      <c r="K35" s="34" t="inlineStr">
        <is>
          <t>Source assignment</t>
        </is>
      </c>
      <c r="L35" s="39" t="inlineStr"/>
      <c r="M35" s="34" t="inlineStr">
        <is>
          <t>Initial</t>
        </is>
      </c>
      <c r="N35" s="34" t="inlineStr">
        <is>
          <t>Rev 0</t>
        </is>
      </c>
      <c r="O35" s="34" t="inlineStr">
        <is>
          <t>R35-v1</t>
        </is>
      </c>
      <c r="P35" s="39" t="inlineStr"/>
      <c r="Q35" s="14" t="inlineStr"/>
      <c r="R35" s="39" t="inlineStr"/>
      <c r="S35" s="39" t="inlineStr"/>
      <c r="T35" s="39" t="inlineStr"/>
      <c r="U35" s="39" t="inlineStr"/>
      <c r="V35" s="34" t="inlineStr">
        <is>
          <t>WBS Code = 1.1.1</t>
        </is>
      </c>
      <c r="W35" s="14" t="inlineStr"/>
    </row>
    <row r="36" ht="64" customHeight="1">
      <c r="A36" s="34" t="inlineStr">
        <is>
          <t>1.1.1</t>
        </is>
      </c>
      <c r="B36" s="34" t="inlineStr">
        <is>
          <t>Guideway and Civil - Guideway Structures</t>
        </is>
      </c>
      <c r="C36" s="34" t="inlineStr">
        <is>
          <t>Contractor Programme</t>
        </is>
      </c>
      <c r="D36" s="34" t="inlineStr">
        <is>
          <t>SCH-01-037</t>
        </is>
      </c>
      <c r="E36" s="34" t="inlineStr">
        <is>
          <t>Depot lead: drilled-shaft installation - inspection</t>
        </is>
      </c>
      <c r="F36" s="34" t="inlineStr">
        <is>
          <t>ONE_TO_ONE</t>
        </is>
      </c>
      <c r="G36" s="34" t="inlineStr">
        <is>
          <t>APPROVED</t>
        </is>
      </c>
      <c r="H36" s="34" t="inlineStr">
        <is>
          <t>New</t>
        </is>
      </c>
      <c r="I36" s="34" t="inlineStr">
        <is>
          <t>Source assignment -- not individually reviewed</t>
        </is>
      </c>
      <c r="J36" s="39" t="inlineStr"/>
      <c r="K36" s="34" t="inlineStr">
        <is>
          <t>Source assignment</t>
        </is>
      </c>
      <c r="L36" s="39" t="inlineStr"/>
      <c r="M36" s="34" t="inlineStr">
        <is>
          <t>Initial</t>
        </is>
      </c>
      <c r="N36" s="34" t="inlineStr">
        <is>
          <t>Rev 0</t>
        </is>
      </c>
      <c r="O36" s="34" t="inlineStr">
        <is>
          <t>R37-v1</t>
        </is>
      </c>
      <c r="P36" s="39" t="inlineStr"/>
      <c r="Q36" s="14" t="inlineStr"/>
      <c r="R36" s="39" t="inlineStr"/>
      <c r="S36" s="39" t="inlineStr"/>
      <c r="T36" s="39" t="inlineStr"/>
      <c r="U36" s="39" t="inlineStr"/>
      <c r="V36" s="34" t="inlineStr">
        <is>
          <t>WBS Code = 1.1.1</t>
        </is>
      </c>
      <c r="W36" s="14" t="inlineStr"/>
    </row>
    <row r="37" ht="64" customHeight="1">
      <c r="A37" s="34" t="inlineStr">
        <is>
          <t>1.1.1</t>
        </is>
      </c>
      <c r="B37" s="34" t="inlineStr">
        <is>
          <t>Guideway and Civil - Guideway Structures</t>
        </is>
      </c>
      <c r="C37" s="34" t="inlineStr">
        <is>
          <t>Contractor Programme</t>
        </is>
      </c>
      <c r="D37" s="34" t="inlineStr">
        <is>
          <t>SCH-01-038</t>
        </is>
      </c>
      <c r="E37" s="34" t="inlineStr">
        <is>
          <t>East portal: retaining-wall excavation - turnover</t>
        </is>
      </c>
      <c r="F37" s="34" t="inlineStr">
        <is>
          <t>ONE_TO_ONE</t>
        </is>
      </c>
      <c r="G37" s="34" t="inlineStr">
        <is>
          <t>APPROVED</t>
        </is>
      </c>
      <c r="H37" s="34" t="inlineStr">
        <is>
          <t>New</t>
        </is>
      </c>
      <c r="I37" s="34" t="inlineStr">
        <is>
          <t>Source assignment -- not individually reviewed</t>
        </is>
      </c>
      <c r="J37" s="39" t="inlineStr"/>
      <c r="K37" s="34" t="inlineStr">
        <is>
          <t>Source assignment</t>
        </is>
      </c>
      <c r="L37" s="39" t="inlineStr"/>
      <c r="M37" s="34" t="inlineStr">
        <is>
          <t>Initial</t>
        </is>
      </c>
      <c r="N37" s="34" t="inlineStr">
        <is>
          <t>Rev 0</t>
        </is>
      </c>
      <c r="O37" s="34" t="inlineStr">
        <is>
          <t>R38-v1</t>
        </is>
      </c>
      <c r="P37" s="39" t="inlineStr"/>
      <c r="Q37" s="14" t="inlineStr"/>
      <c r="R37" s="39" t="inlineStr"/>
      <c r="S37" s="39" t="inlineStr"/>
      <c r="T37" s="39" t="inlineStr"/>
      <c r="U37" s="39" t="inlineStr"/>
      <c r="V37" s="34" t="inlineStr">
        <is>
          <t>WBS Code = 1.1.1</t>
        </is>
      </c>
      <c r="W37" s="14" t="inlineStr"/>
    </row>
    <row r="38" ht="64" customHeight="1">
      <c r="A38" s="34" t="inlineStr">
        <is>
          <t>1.1.1</t>
        </is>
      </c>
      <c r="B38" s="34" t="inlineStr">
        <is>
          <t>Guideway and Civil - Guideway Structures</t>
        </is>
      </c>
      <c r="C38" s="34" t="inlineStr">
        <is>
          <t>Contractor Programme</t>
        </is>
      </c>
      <c r="D38" s="34" t="inlineStr">
        <is>
          <t>SCH-01-040</t>
        </is>
      </c>
      <c r="E38" s="34" t="inlineStr">
        <is>
          <t>Central guideway: utility relocation - field start</t>
        </is>
      </c>
      <c r="F38" s="34" t="inlineStr">
        <is>
          <t>ONE_TO_ONE</t>
        </is>
      </c>
      <c r="G38" s="34" t="inlineStr">
        <is>
          <t>APPROVED</t>
        </is>
      </c>
      <c r="H38" s="34" t="inlineStr">
        <is>
          <t>New</t>
        </is>
      </c>
      <c r="I38" s="34" t="inlineStr">
        <is>
          <t>Source assignment -- not individually reviewed</t>
        </is>
      </c>
      <c r="J38" s="39" t="inlineStr"/>
      <c r="K38" s="34" t="inlineStr">
        <is>
          <t>Source assignment</t>
        </is>
      </c>
      <c r="L38" s="39" t="inlineStr"/>
      <c r="M38" s="34" t="inlineStr">
        <is>
          <t>Initial</t>
        </is>
      </c>
      <c r="N38" s="34" t="inlineStr">
        <is>
          <t>Rev 0</t>
        </is>
      </c>
      <c r="O38" s="34" t="inlineStr">
        <is>
          <t>R40-v1</t>
        </is>
      </c>
      <c r="P38" s="39" t="inlineStr"/>
      <c r="Q38" s="14" t="inlineStr"/>
      <c r="R38" s="39" t="inlineStr"/>
      <c r="S38" s="39" t="inlineStr"/>
      <c r="T38" s="39" t="inlineStr"/>
      <c r="U38" s="39" t="inlineStr"/>
      <c r="V38" s="34" t="inlineStr">
        <is>
          <t>WBS Code = 1.1.1</t>
        </is>
      </c>
      <c r="W38" s="14" t="inlineStr"/>
    </row>
    <row r="39" ht="64" customHeight="1">
      <c r="A39" s="34" t="inlineStr">
        <is>
          <t>1.1.1</t>
        </is>
      </c>
      <c r="B39" s="34" t="inlineStr">
        <is>
          <t>Guideway and Civil - Guideway Structures</t>
        </is>
      </c>
      <c r="C39" s="34" t="inlineStr">
        <is>
          <t>Contractor Programme</t>
        </is>
      </c>
      <c r="D39" s="34" t="inlineStr">
        <is>
          <t>SCH-01-041</t>
        </is>
      </c>
      <c r="E39" s="34" t="inlineStr">
        <is>
          <t>West approach: track-slab survey - installation</t>
        </is>
      </c>
      <c r="F39" s="34" t="inlineStr">
        <is>
          <t>ONE_TO_ONE</t>
        </is>
      </c>
      <c r="G39" s="34" t="inlineStr">
        <is>
          <t>APPROVED</t>
        </is>
      </c>
      <c r="H39" s="34" t="inlineStr">
        <is>
          <t>New</t>
        </is>
      </c>
      <c r="I39" s="34" t="inlineStr">
        <is>
          <t>Source assignment -- not individually reviewed</t>
        </is>
      </c>
      <c r="J39" s="39" t="inlineStr"/>
      <c r="K39" s="34" t="inlineStr">
        <is>
          <t>Source assignment</t>
        </is>
      </c>
      <c r="L39" s="39" t="inlineStr"/>
      <c r="M39" s="34" t="inlineStr">
        <is>
          <t>Initial</t>
        </is>
      </c>
      <c r="N39" s="34" t="inlineStr">
        <is>
          <t>Rev 0</t>
        </is>
      </c>
      <c r="O39" s="34" t="inlineStr">
        <is>
          <t>R41-v1</t>
        </is>
      </c>
      <c r="P39" s="39" t="inlineStr"/>
      <c r="Q39" s="14" t="inlineStr"/>
      <c r="R39" s="39" t="inlineStr"/>
      <c r="S39" s="39" t="inlineStr"/>
      <c r="T39" s="39" t="inlineStr"/>
      <c r="U39" s="39" t="inlineStr"/>
      <c r="V39" s="34" t="inlineStr">
        <is>
          <t>WBS Code = 1.1.1</t>
        </is>
      </c>
      <c r="W39" s="14" t="inlineStr"/>
    </row>
    <row r="40" ht="64" customHeight="1">
      <c r="A40" s="34" t="inlineStr">
        <is>
          <t>1.1.1</t>
        </is>
      </c>
      <c r="B40" s="34" t="inlineStr">
        <is>
          <t>Guideway and Civil - Guideway Structures</t>
        </is>
      </c>
      <c r="C40" s="34" t="inlineStr">
        <is>
          <t>Contractor Programme</t>
        </is>
      </c>
      <c r="D40" s="34" t="inlineStr">
        <is>
          <t>SCH-01-043</t>
        </is>
      </c>
      <c r="E40" s="34" t="inlineStr">
        <is>
          <t>East portal: guideway pier reinforcement - turnover</t>
        </is>
      </c>
      <c r="F40" s="34" t="inlineStr">
        <is>
          <t>ONE_TO_ONE</t>
        </is>
      </c>
      <c r="G40" s="34" t="inlineStr">
        <is>
          <t>APPROVED</t>
        </is>
      </c>
      <c r="H40" s="34" t="inlineStr">
        <is>
          <t>New</t>
        </is>
      </c>
      <c r="I40" s="34" t="inlineStr">
        <is>
          <t>Source assignment -- not individually reviewed</t>
        </is>
      </c>
      <c r="J40" s="39" t="inlineStr"/>
      <c r="K40" s="34" t="inlineStr">
        <is>
          <t>Source assignment</t>
        </is>
      </c>
      <c r="L40" s="39" t="inlineStr"/>
      <c r="M40" s="34" t="inlineStr">
        <is>
          <t>Initial</t>
        </is>
      </c>
      <c r="N40" s="34" t="inlineStr">
        <is>
          <t>Rev 0</t>
        </is>
      </c>
      <c r="O40" s="34" t="inlineStr">
        <is>
          <t>R43-v1</t>
        </is>
      </c>
      <c r="P40" s="39" t="inlineStr"/>
      <c r="Q40" s="14" t="inlineStr"/>
      <c r="R40" s="39" t="inlineStr"/>
      <c r="S40" s="39" t="inlineStr"/>
      <c r="T40" s="39" t="inlineStr"/>
      <c r="U40" s="39" t="inlineStr"/>
      <c r="V40" s="34" t="inlineStr">
        <is>
          <t>WBS Code = 1.1.1</t>
        </is>
      </c>
      <c r="W40" s="14" t="inlineStr"/>
    </row>
    <row r="41" ht="64" customHeight="1">
      <c r="A41" s="34" t="inlineStr">
        <is>
          <t>1.1.1</t>
        </is>
      </c>
      <c r="B41" s="34" t="inlineStr">
        <is>
          <t>Guideway and Civil - Guideway Structures</t>
        </is>
      </c>
      <c r="C41" s="34" t="inlineStr">
        <is>
          <t>Contractor Programme</t>
        </is>
      </c>
      <c r="D41" s="34" t="inlineStr">
        <is>
          <t>SCH-01-044</t>
        </is>
      </c>
      <c r="E41" s="34" t="inlineStr">
        <is>
          <t>River crossing: road restoration - release</t>
        </is>
      </c>
      <c r="F41" s="34" t="inlineStr">
        <is>
          <t>ONE_TO_ONE</t>
        </is>
      </c>
      <c r="G41" s="34" t="inlineStr">
        <is>
          <t>APPROVED</t>
        </is>
      </c>
      <c r="H41" s="34" t="inlineStr">
        <is>
          <t>New</t>
        </is>
      </c>
      <c r="I41" s="34" t="inlineStr">
        <is>
          <t>Source assignment -- not individually reviewed</t>
        </is>
      </c>
      <c r="J41" s="39" t="inlineStr"/>
      <c r="K41" s="34" t="inlineStr">
        <is>
          <t>Source assignment</t>
        </is>
      </c>
      <c r="L41" s="39" t="inlineStr"/>
      <c r="M41" s="34" t="inlineStr">
        <is>
          <t>Initial</t>
        </is>
      </c>
      <c r="N41" s="34" t="inlineStr">
        <is>
          <t>Rev 0</t>
        </is>
      </c>
      <c r="O41" s="34" t="inlineStr">
        <is>
          <t>R44-v1</t>
        </is>
      </c>
      <c r="P41" s="39" t="inlineStr"/>
      <c r="Q41" s="14" t="inlineStr"/>
      <c r="R41" s="39" t="inlineStr"/>
      <c r="S41" s="39" t="inlineStr"/>
      <c r="T41" s="39" t="inlineStr"/>
      <c r="U41" s="39" t="inlineStr"/>
      <c r="V41" s="34" t="inlineStr">
        <is>
          <t>WBS Code = 1.1.1</t>
        </is>
      </c>
      <c r="W41" s="14" t="inlineStr"/>
    </row>
    <row r="42" ht="64" customHeight="1">
      <c r="A42" s="34" t="inlineStr">
        <is>
          <t>1.1.1</t>
        </is>
      </c>
      <c r="B42" s="34" t="inlineStr">
        <is>
          <t>Guideway and Civil - Guideway Structures</t>
        </is>
      </c>
      <c r="C42" s="34" t="inlineStr">
        <is>
          <t>Contractor Programme</t>
        </is>
      </c>
      <c r="D42" s="34" t="inlineStr">
        <is>
          <t>SCH-01-046</t>
        </is>
      </c>
      <c r="E42" s="34" t="inlineStr">
        <is>
          <t>West approach: retaining-wall excavation - installation</t>
        </is>
      </c>
      <c r="F42" s="34" t="inlineStr">
        <is>
          <t>ONE_TO_ONE</t>
        </is>
      </c>
      <c r="G42" s="34" t="inlineStr">
        <is>
          <t>APPROVED</t>
        </is>
      </c>
      <c r="H42" s="34" t="inlineStr">
        <is>
          <t>New</t>
        </is>
      </c>
      <c r="I42" s="34" t="inlineStr">
        <is>
          <t>Source assignment -- not individually reviewed</t>
        </is>
      </c>
      <c r="J42" s="39" t="inlineStr"/>
      <c r="K42" s="34" t="inlineStr">
        <is>
          <t>Source assignment</t>
        </is>
      </c>
      <c r="L42" s="39" t="inlineStr"/>
      <c r="M42" s="34" t="inlineStr">
        <is>
          <t>Initial</t>
        </is>
      </c>
      <c r="N42" s="34" t="inlineStr">
        <is>
          <t>Rev 0</t>
        </is>
      </c>
      <c r="O42" s="34" t="inlineStr">
        <is>
          <t>R46-v1</t>
        </is>
      </c>
      <c r="P42" s="39" t="inlineStr"/>
      <c r="Q42" s="14" t="inlineStr"/>
      <c r="R42" s="39" t="inlineStr"/>
      <c r="S42" s="39" t="inlineStr"/>
      <c r="T42" s="39" t="inlineStr"/>
      <c r="U42" s="39" t="inlineStr"/>
      <c r="V42" s="34" t="inlineStr">
        <is>
          <t>WBS Code = 1.1.1</t>
        </is>
      </c>
      <c r="W42" s="14" t="inlineStr"/>
    </row>
    <row r="43" ht="64" customHeight="1">
      <c r="A43" s="34" t="inlineStr">
        <is>
          <t>1.1.1</t>
        </is>
      </c>
      <c r="B43" s="34" t="inlineStr">
        <is>
          <t>Guideway and Civil - Guideway Structures</t>
        </is>
      </c>
      <c r="C43" s="34" t="inlineStr">
        <is>
          <t>Contractor Programme</t>
        </is>
      </c>
      <c r="D43" s="34" t="inlineStr">
        <is>
          <t>SCH-01-047</t>
        </is>
      </c>
      <c r="E43" s="34" t="inlineStr">
        <is>
          <t>Depot lead: drainage tie-in - inspection</t>
        </is>
      </c>
      <c r="F43" s="34" t="inlineStr">
        <is>
          <t>ONE_TO_ONE</t>
        </is>
      </c>
      <c r="G43" s="34" t="inlineStr">
        <is>
          <t>APPROVED</t>
        </is>
      </c>
      <c r="H43" s="34" t="inlineStr">
        <is>
          <t>New</t>
        </is>
      </c>
      <c r="I43" s="34" t="inlineStr">
        <is>
          <t>Source assignment -- not individually reviewed</t>
        </is>
      </c>
      <c r="J43" s="39" t="inlineStr"/>
      <c r="K43" s="34" t="inlineStr">
        <is>
          <t>Source assignment</t>
        </is>
      </c>
      <c r="L43" s="39" t="inlineStr"/>
      <c r="M43" s="34" t="inlineStr">
        <is>
          <t>Initial</t>
        </is>
      </c>
      <c r="N43" s="34" t="inlineStr">
        <is>
          <t>Rev 0</t>
        </is>
      </c>
      <c r="O43" s="34" t="inlineStr">
        <is>
          <t>R47-v1</t>
        </is>
      </c>
      <c r="P43" s="39" t="inlineStr"/>
      <c r="Q43" s="14" t="inlineStr"/>
      <c r="R43" s="39" t="inlineStr"/>
      <c r="S43" s="39" t="inlineStr"/>
      <c r="T43" s="39" t="inlineStr"/>
      <c r="U43" s="39" t="inlineStr"/>
      <c r="V43" s="34" t="inlineStr">
        <is>
          <t>WBS Code = 1.1.1</t>
        </is>
      </c>
      <c r="W43" s="14" t="inlineStr"/>
    </row>
    <row r="44" ht="64" customHeight="1">
      <c r="A44" s="34" t="inlineStr">
        <is>
          <t>1.1.1</t>
        </is>
      </c>
      <c r="B44" s="34" t="inlineStr">
        <is>
          <t>Guideway and Civil - Guideway Structures</t>
        </is>
      </c>
      <c r="C44" s="34" t="inlineStr">
        <is>
          <t>Contractor Programme</t>
        </is>
      </c>
      <c r="D44" s="34" t="inlineStr">
        <is>
          <t>SCH-01-049</t>
        </is>
      </c>
      <c r="E44" s="34" t="inlineStr">
        <is>
          <t>River crossing: track-slab survey - release</t>
        </is>
      </c>
      <c r="F44" s="34" t="inlineStr">
        <is>
          <t>ONE_TO_ONE</t>
        </is>
      </c>
      <c r="G44" s="34" t="inlineStr">
        <is>
          <t>APPROVED</t>
        </is>
      </c>
      <c r="H44" s="34" t="inlineStr">
        <is>
          <t>New</t>
        </is>
      </c>
      <c r="I44" s="34" t="inlineStr">
        <is>
          <t>Source assignment -- not individually reviewed</t>
        </is>
      </c>
      <c r="J44" s="39" t="inlineStr"/>
      <c r="K44" s="34" t="inlineStr">
        <is>
          <t>Source assignment</t>
        </is>
      </c>
      <c r="L44" s="39" t="inlineStr"/>
      <c r="M44" s="34" t="inlineStr">
        <is>
          <t>Initial</t>
        </is>
      </c>
      <c r="N44" s="34" t="inlineStr">
        <is>
          <t>Rev 0</t>
        </is>
      </c>
      <c r="O44" s="34" t="inlineStr">
        <is>
          <t>R49-v1</t>
        </is>
      </c>
      <c r="P44" s="39" t="inlineStr"/>
      <c r="Q44" s="14" t="inlineStr"/>
      <c r="R44" s="39" t="inlineStr"/>
      <c r="S44" s="39" t="inlineStr"/>
      <c r="T44" s="39" t="inlineStr"/>
      <c r="U44" s="39" t="inlineStr"/>
      <c r="V44" s="34" t="inlineStr">
        <is>
          <t>WBS Code = 1.1.1</t>
        </is>
      </c>
      <c r="W44" s="14" t="inlineStr"/>
    </row>
    <row r="45" ht="64" customHeight="1">
      <c r="A45" s="34" t="inlineStr">
        <is>
          <t>1.1.1</t>
        </is>
      </c>
      <c r="B45" s="34" t="inlineStr">
        <is>
          <t>Guideway and Civil - Guideway Structures</t>
        </is>
      </c>
      <c r="C45" s="34" t="inlineStr">
        <is>
          <t>Contractor Programme</t>
        </is>
      </c>
      <c r="D45" s="34" t="inlineStr">
        <is>
          <t>SCH-01-050</t>
        </is>
      </c>
      <c r="E45" s="34" t="inlineStr">
        <is>
          <t>Central guideway: temporary traffic staging - field start</t>
        </is>
      </c>
      <c r="F45" s="34" t="inlineStr">
        <is>
          <t>ONE_TO_ONE</t>
        </is>
      </c>
      <c r="G45" s="34" t="inlineStr">
        <is>
          <t>APPROVED</t>
        </is>
      </c>
      <c r="H45" s="34" t="inlineStr">
        <is>
          <t>New</t>
        </is>
      </c>
      <c r="I45" s="34" t="inlineStr">
        <is>
          <t>Source assignment -- not individually reviewed</t>
        </is>
      </c>
      <c r="J45" s="39" t="inlineStr"/>
      <c r="K45" s="34" t="inlineStr">
        <is>
          <t>Source assignment</t>
        </is>
      </c>
      <c r="L45" s="39" t="inlineStr"/>
      <c r="M45" s="34" t="inlineStr">
        <is>
          <t>Initial</t>
        </is>
      </c>
      <c r="N45" s="34" t="inlineStr">
        <is>
          <t>Rev 0</t>
        </is>
      </c>
      <c r="O45" s="34" t="inlineStr">
        <is>
          <t>R50-v1</t>
        </is>
      </c>
      <c r="P45" s="39" t="inlineStr"/>
      <c r="Q45" s="14" t="inlineStr"/>
      <c r="R45" s="39" t="inlineStr"/>
      <c r="S45" s="39" t="inlineStr"/>
      <c r="T45" s="39" t="inlineStr"/>
      <c r="U45" s="39" t="inlineStr"/>
      <c r="V45" s="34" t="inlineStr">
        <is>
          <t>WBS Code = 1.1.1</t>
        </is>
      </c>
      <c r="W45" s="14" t="inlineStr"/>
    </row>
    <row r="46" ht="64" customHeight="1">
      <c r="A46" s="34" t="inlineStr">
        <is>
          <t>1.1.1</t>
        </is>
      </c>
      <c r="B46" s="34" t="inlineStr">
        <is>
          <t>Guideway and Civil - Guideway Structures</t>
        </is>
      </c>
      <c r="C46" s="34" t="inlineStr">
        <is>
          <t>Contractor Programme</t>
        </is>
      </c>
      <c r="D46" s="34" t="inlineStr">
        <is>
          <t>SCH-01-052</t>
        </is>
      </c>
      <c r="E46" s="34" t="inlineStr">
        <is>
          <t>Depot lead: road restoration - inspection</t>
        </is>
      </c>
      <c r="F46" s="34" t="inlineStr">
        <is>
          <t>ONE_TO_ONE</t>
        </is>
      </c>
      <c r="G46" s="34" t="inlineStr">
        <is>
          <t>APPROVED</t>
        </is>
      </c>
      <c r="H46" s="34" t="inlineStr">
        <is>
          <t>New</t>
        </is>
      </c>
      <c r="I46" s="34" t="inlineStr">
        <is>
          <t>Source assignment -- not individually reviewed</t>
        </is>
      </c>
      <c r="J46" s="39" t="inlineStr"/>
      <c r="K46" s="34" t="inlineStr">
        <is>
          <t>Source assignment</t>
        </is>
      </c>
      <c r="L46" s="39" t="inlineStr"/>
      <c r="M46" s="34" t="inlineStr">
        <is>
          <t>Initial</t>
        </is>
      </c>
      <c r="N46" s="34" t="inlineStr">
        <is>
          <t>Rev 0</t>
        </is>
      </c>
      <c r="O46" s="34" t="inlineStr">
        <is>
          <t>R52-v1</t>
        </is>
      </c>
      <c r="P46" s="39" t="inlineStr"/>
      <c r="Q46" s="14" t="inlineStr"/>
      <c r="R46" s="39" t="inlineStr"/>
      <c r="S46" s="39" t="inlineStr"/>
      <c r="T46" s="39" t="inlineStr"/>
      <c r="U46" s="39" t="inlineStr"/>
      <c r="V46" s="34" t="inlineStr">
        <is>
          <t>WBS Code = 1.1.1</t>
        </is>
      </c>
      <c r="W46" s="14" t="inlineStr"/>
    </row>
    <row r="47" ht="64" customHeight="1">
      <c r="A47" s="34" t="inlineStr">
        <is>
          <t>1.1.1</t>
        </is>
      </c>
      <c r="B47" s="34" t="inlineStr">
        <is>
          <t>Guideway and Civil - Guideway Structures</t>
        </is>
      </c>
      <c r="C47" s="34" t="inlineStr">
        <is>
          <t>Contractor Programme</t>
        </is>
      </c>
      <c r="D47" s="34" t="inlineStr">
        <is>
          <t>SCH-01-053</t>
        </is>
      </c>
      <c r="E47" s="34" t="inlineStr">
        <is>
          <t>East portal: drilled-shaft installation - turnover</t>
        </is>
      </c>
      <c r="F47" s="34" t="inlineStr">
        <is>
          <t>ONE_TO_ONE</t>
        </is>
      </c>
      <c r="G47" s="34" t="inlineStr">
        <is>
          <t>APPROVED</t>
        </is>
      </c>
      <c r="H47" s="34" t="inlineStr">
        <is>
          <t>New</t>
        </is>
      </c>
      <c r="I47" s="34" t="inlineStr">
        <is>
          <t>Source assignment -- not individually reviewed</t>
        </is>
      </c>
      <c r="J47" s="39" t="inlineStr"/>
      <c r="K47" s="34" t="inlineStr">
        <is>
          <t>Source assignment</t>
        </is>
      </c>
      <c r="L47" s="39" t="inlineStr"/>
      <c r="M47" s="34" t="inlineStr">
        <is>
          <t>Initial</t>
        </is>
      </c>
      <c r="N47" s="34" t="inlineStr">
        <is>
          <t>Rev 0</t>
        </is>
      </c>
      <c r="O47" s="34" t="inlineStr">
        <is>
          <t>R53-v1</t>
        </is>
      </c>
      <c r="P47" s="39" t="inlineStr"/>
      <c r="Q47" s="14" t="inlineStr"/>
      <c r="R47" s="39" t="inlineStr"/>
      <c r="S47" s="39" t="inlineStr"/>
      <c r="T47" s="39" t="inlineStr"/>
      <c r="U47" s="39" t="inlineStr"/>
      <c r="V47" s="34" t="inlineStr">
        <is>
          <t>WBS Code = 1.1.1</t>
        </is>
      </c>
      <c r="W47" s="14" t="inlineStr"/>
    </row>
    <row r="48" ht="64" customHeight="1">
      <c r="A48" s="34" t="inlineStr">
        <is>
          <t>1.1.1</t>
        </is>
      </c>
      <c r="B48" s="34" t="inlineStr">
        <is>
          <t>Guideway and Civil - Guideway Structures</t>
        </is>
      </c>
      <c r="C48" s="34" t="inlineStr">
        <is>
          <t>Contractor Programme</t>
        </is>
      </c>
      <c r="D48" s="34" t="inlineStr">
        <is>
          <t>SCH-01-055</t>
        </is>
      </c>
      <c r="E48" s="34" t="inlineStr">
        <is>
          <t>Central guideway: drainage tie-in - field start</t>
        </is>
      </c>
      <c r="F48" s="34" t="inlineStr">
        <is>
          <t>ONE_TO_ONE</t>
        </is>
      </c>
      <c r="G48" s="34" t="inlineStr">
        <is>
          <t>APPROVED</t>
        </is>
      </c>
      <c r="H48" s="34" t="inlineStr">
        <is>
          <t>New</t>
        </is>
      </c>
      <c r="I48" s="34" t="inlineStr">
        <is>
          <t>Source assignment -- not individually reviewed</t>
        </is>
      </c>
      <c r="J48" s="39" t="inlineStr"/>
      <c r="K48" s="34" t="inlineStr">
        <is>
          <t>Source assignment</t>
        </is>
      </c>
      <c r="L48" s="39" t="inlineStr"/>
      <c r="M48" s="34" t="inlineStr">
        <is>
          <t>Initial</t>
        </is>
      </c>
      <c r="N48" s="34" t="inlineStr">
        <is>
          <t>Rev 0</t>
        </is>
      </c>
      <c r="O48" s="34" t="inlineStr">
        <is>
          <t>R55-v1</t>
        </is>
      </c>
      <c r="P48" s="39" t="inlineStr"/>
      <c r="Q48" s="14" t="inlineStr"/>
      <c r="R48" s="39" t="inlineStr"/>
      <c r="S48" s="39" t="inlineStr"/>
      <c r="T48" s="39" t="inlineStr"/>
      <c r="U48" s="39" t="inlineStr"/>
      <c r="V48" s="34" t="inlineStr">
        <is>
          <t>WBS Code = 1.1.1</t>
        </is>
      </c>
      <c r="W48" s="14" t="inlineStr"/>
    </row>
    <row r="49" ht="64" customHeight="1">
      <c r="A49" s="34" t="inlineStr">
        <is>
          <t>1.1.1</t>
        </is>
      </c>
      <c r="B49" s="34" t="inlineStr">
        <is>
          <t>Guideway and Civil - Guideway Structures</t>
        </is>
      </c>
      <c r="C49" s="34" t="inlineStr">
        <is>
          <t>Contractor Programme</t>
        </is>
      </c>
      <c r="D49" s="34" t="inlineStr">
        <is>
          <t>SCH-01-056</t>
        </is>
      </c>
      <c r="E49" s="34" t="inlineStr">
        <is>
          <t>West approach: utility relocation - installation</t>
        </is>
      </c>
      <c r="F49" s="34" t="inlineStr">
        <is>
          <t>ONE_TO_ONE</t>
        </is>
      </c>
      <c r="G49" s="34" t="inlineStr">
        <is>
          <t>APPROVED</t>
        </is>
      </c>
      <c r="H49" s="34" t="inlineStr">
        <is>
          <t>New</t>
        </is>
      </c>
      <c r="I49" s="34" t="inlineStr">
        <is>
          <t>Source assignment -- not individually reviewed</t>
        </is>
      </c>
      <c r="J49" s="39" t="inlineStr"/>
      <c r="K49" s="34" t="inlineStr">
        <is>
          <t>Source assignment</t>
        </is>
      </c>
      <c r="L49" s="39" t="inlineStr"/>
      <c r="M49" s="34" t="inlineStr">
        <is>
          <t>Initial</t>
        </is>
      </c>
      <c r="N49" s="34" t="inlineStr">
        <is>
          <t>Rev 0</t>
        </is>
      </c>
      <c r="O49" s="34" t="inlineStr">
        <is>
          <t>R56-v1</t>
        </is>
      </c>
      <c r="P49" s="39" t="inlineStr"/>
      <c r="Q49" s="14" t="inlineStr"/>
      <c r="R49" s="39" t="inlineStr"/>
      <c r="S49" s="39" t="inlineStr"/>
      <c r="T49" s="39" t="inlineStr"/>
      <c r="U49" s="39" t="inlineStr"/>
      <c r="V49" s="34" t="inlineStr">
        <is>
          <t>WBS Code = 1.1.1</t>
        </is>
      </c>
      <c r="W49" s="14" t="inlineStr"/>
    </row>
    <row r="50" ht="64" customHeight="1">
      <c r="A50" s="34" t="inlineStr">
        <is>
          <t>1.1.1</t>
        </is>
      </c>
      <c r="B50" s="34" t="inlineStr">
        <is>
          <t>Guideway and Civil - Guideway Structures</t>
        </is>
      </c>
      <c r="C50" s="34" t="inlineStr">
        <is>
          <t>Contractor Programme</t>
        </is>
      </c>
      <c r="D50" s="34" t="inlineStr">
        <is>
          <t>SCH-01-058</t>
        </is>
      </c>
      <c r="E50" s="34" t="inlineStr">
        <is>
          <t>East portal: temporary traffic staging - turnover</t>
        </is>
      </c>
      <c r="F50" s="34" t="inlineStr">
        <is>
          <t>ONE_TO_ONE</t>
        </is>
      </c>
      <c r="G50" s="34" t="inlineStr">
        <is>
          <t>APPROVED</t>
        </is>
      </c>
      <c r="H50" s="34" t="inlineStr">
        <is>
          <t>New</t>
        </is>
      </c>
      <c r="I50" s="34" t="inlineStr">
        <is>
          <t>Source assignment -- not individually reviewed</t>
        </is>
      </c>
      <c r="J50" s="39" t="inlineStr"/>
      <c r="K50" s="34" t="inlineStr">
        <is>
          <t>Source assignment</t>
        </is>
      </c>
      <c r="L50" s="39" t="inlineStr"/>
      <c r="M50" s="34" t="inlineStr">
        <is>
          <t>Initial</t>
        </is>
      </c>
      <c r="N50" s="34" t="inlineStr">
        <is>
          <t>Rev 0</t>
        </is>
      </c>
      <c r="O50" s="34" t="inlineStr">
        <is>
          <t>R58-v1</t>
        </is>
      </c>
      <c r="P50" s="39" t="inlineStr"/>
      <c r="Q50" s="14" t="inlineStr"/>
      <c r="R50" s="39" t="inlineStr"/>
      <c r="S50" s="39" t="inlineStr"/>
      <c r="T50" s="39" t="inlineStr"/>
      <c r="U50" s="39" t="inlineStr"/>
      <c r="V50" s="34" t="inlineStr">
        <is>
          <t>WBS Code = 1.1.1</t>
        </is>
      </c>
      <c r="W50" s="14" t="inlineStr"/>
    </row>
    <row r="51" ht="64" customHeight="1">
      <c r="A51" s="34" t="inlineStr">
        <is>
          <t>1.1.1</t>
        </is>
      </c>
      <c r="B51" s="34" t="inlineStr">
        <is>
          <t>Guideway and Civil - Guideway Structures</t>
        </is>
      </c>
      <c r="C51" s="34" t="inlineStr">
        <is>
          <t>Contractor Programme</t>
        </is>
      </c>
      <c r="D51" s="34" t="inlineStr">
        <is>
          <t>SCH-01-059</t>
        </is>
      </c>
      <c r="E51" s="34" t="inlineStr">
        <is>
          <t>River crossing: guideway pier reinforcement - release</t>
        </is>
      </c>
      <c r="F51" s="34" t="inlineStr">
        <is>
          <t>ONE_TO_ONE</t>
        </is>
      </c>
      <c r="G51" s="34" t="inlineStr">
        <is>
          <t>APPROVED</t>
        </is>
      </c>
      <c r="H51" s="34" t="inlineStr">
        <is>
          <t>New</t>
        </is>
      </c>
      <c r="I51" s="34" t="inlineStr">
        <is>
          <t>Source assignment -- not individually reviewed</t>
        </is>
      </c>
      <c r="J51" s="39" t="inlineStr"/>
      <c r="K51" s="34" t="inlineStr">
        <is>
          <t>Source assignment</t>
        </is>
      </c>
      <c r="L51" s="39" t="inlineStr"/>
      <c r="M51" s="34" t="inlineStr">
        <is>
          <t>Initial</t>
        </is>
      </c>
      <c r="N51" s="34" t="inlineStr">
        <is>
          <t>Rev 0</t>
        </is>
      </c>
      <c r="O51" s="34" t="inlineStr">
        <is>
          <t>R59-v1</t>
        </is>
      </c>
      <c r="P51" s="39" t="inlineStr"/>
      <c r="Q51" s="14" t="inlineStr"/>
      <c r="R51" s="39" t="inlineStr"/>
      <c r="S51" s="39" t="inlineStr"/>
      <c r="T51" s="39" t="inlineStr"/>
      <c r="U51" s="39" t="inlineStr"/>
      <c r="V51" s="34" t="inlineStr">
        <is>
          <t>WBS Code = 1.1.1</t>
        </is>
      </c>
      <c r="W51" s="14" t="inlineStr"/>
    </row>
    <row r="52" ht="64" customHeight="1">
      <c r="A52" s="34" t="inlineStr">
        <is>
          <t>1.1.1</t>
        </is>
      </c>
      <c r="B52" s="34" t="inlineStr">
        <is>
          <t>Guideway and Civil - Guideway Structures</t>
        </is>
      </c>
      <c r="C52" s="34" t="inlineStr">
        <is>
          <t>Contractor Programme</t>
        </is>
      </c>
      <c r="D52" s="34" t="inlineStr">
        <is>
          <t>SCH-01-061</t>
        </is>
      </c>
      <c r="E52" s="34" t="inlineStr">
        <is>
          <t>West approach: drilled-shaft installation - installation</t>
        </is>
      </c>
      <c r="F52" s="34" t="inlineStr">
        <is>
          <t>ONE_TO_ONE</t>
        </is>
      </c>
      <c r="G52" s="34" t="inlineStr">
        <is>
          <t>APPROVED</t>
        </is>
      </c>
      <c r="H52" s="34" t="inlineStr">
        <is>
          <t>New</t>
        </is>
      </c>
      <c r="I52" s="34" t="inlineStr">
        <is>
          <t>Source assignment -- not individually reviewed</t>
        </is>
      </c>
      <c r="J52" s="39" t="inlineStr"/>
      <c r="K52" s="34" t="inlineStr">
        <is>
          <t>Source assignment</t>
        </is>
      </c>
      <c r="L52" s="39" t="inlineStr"/>
      <c r="M52" s="34" t="inlineStr">
        <is>
          <t>Initial</t>
        </is>
      </c>
      <c r="N52" s="34" t="inlineStr">
        <is>
          <t>Rev 0</t>
        </is>
      </c>
      <c r="O52" s="34" t="inlineStr">
        <is>
          <t>R61-v1</t>
        </is>
      </c>
      <c r="P52" s="39" t="inlineStr"/>
      <c r="Q52" s="14" t="inlineStr"/>
      <c r="R52" s="39" t="inlineStr"/>
      <c r="S52" s="39" t="inlineStr"/>
      <c r="T52" s="39" t="inlineStr"/>
      <c r="U52" s="39" t="inlineStr"/>
      <c r="V52" s="34" t="inlineStr">
        <is>
          <t>WBS Code = 1.1.1</t>
        </is>
      </c>
      <c r="W52" s="14" t="inlineStr"/>
    </row>
    <row r="53" ht="64" customHeight="1">
      <c r="A53" s="34" t="inlineStr">
        <is>
          <t>1.1.1</t>
        </is>
      </c>
      <c r="B53" s="34" t="inlineStr">
        <is>
          <t>Guideway and Civil - Guideway Structures</t>
        </is>
      </c>
      <c r="C53" s="34" t="inlineStr">
        <is>
          <t>Contractor Programme</t>
        </is>
      </c>
      <c r="D53" s="34" t="inlineStr">
        <is>
          <t>SCH-01-062</t>
        </is>
      </c>
      <c r="E53" s="34" t="inlineStr">
        <is>
          <t>Depot lead: retaining-wall excavation - inspection</t>
        </is>
      </c>
      <c r="F53" s="34" t="inlineStr">
        <is>
          <t>ONE_TO_ONE</t>
        </is>
      </c>
      <c r="G53" s="34" t="inlineStr">
        <is>
          <t>APPROVED</t>
        </is>
      </c>
      <c r="H53" s="34" t="inlineStr">
        <is>
          <t>New</t>
        </is>
      </c>
      <c r="I53" s="34" t="inlineStr">
        <is>
          <t>Source assignment -- not individually reviewed</t>
        </is>
      </c>
      <c r="J53" s="39" t="inlineStr"/>
      <c r="K53" s="34" t="inlineStr">
        <is>
          <t>Source assignment</t>
        </is>
      </c>
      <c r="L53" s="39" t="inlineStr"/>
      <c r="M53" s="34" t="inlineStr">
        <is>
          <t>Initial</t>
        </is>
      </c>
      <c r="N53" s="34" t="inlineStr">
        <is>
          <t>Rev 0</t>
        </is>
      </c>
      <c r="O53" s="34" t="inlineStr">
        <is>
          <t>R62-v1</t>
        </is>
      </c>
      <c r="P53" s="39" t="inlineStr"/>
      <c r="Q53" s="14" t="inlineStr"/>
      <c r="R53" s="39" t="inlineStr"/>
      <c r="S53" s="39" t="inlineStr"/>
      <c r="T53" s="39" t="inlineStr"/>
      <c r="U53" s="39" t="inlineStr"/>
      <c r="V53" s="34" t="inlineStr">
        <is>
          <t>WBS Code = 1.1.1</t>
        </is>
      </c>
      <c r="W53" s="14" t="inlineStr"/>
    </row>
    <row r="54" ht="64" customHeight="1">
      <c r="A54" s="34" t="inlineStr">
        <is>
          <t>1.1.1</t>
        </is>
      </c>
      <c r="B54" s="34" t="inlineStr">
        <is>
          <t>Guideway and Civil - Guideway Structures</t>
        </is>
      </c>
      <c r="C54" s="34" t="inlineStr">
        <is>
          <t>Contractor Programme</t>
        </is>
      </c>
      <c r="D54" s="34" t="inlineStr">
        <is>
          <t>SCH-01-064</t>
        </is>
      </c>
      <c r="E54" s="34" t="inlineStr">
        <is>
          <t>River crossing: utility relocation - release</t>
        </is>
      </c>
      <c r="F54" s="34" t="inlineStr">
        <is>
          <t>ONE_TO_ONE</t>
        </is>
      </c>
      <c r="G54" s="34" t="inlineStr">
        <is>
          <t>APPROVED</t>
        </is>
      </c>
      <c r="H54" s="34" t="inlineStr">
        <is>
          <t>New</t>
        </is>
      </c>
      <c r="I54" s="34" t="inlineStr">
        <is>
          <t>Source assignment -- not individually reviewed</t>
        </is>
      </c>
      <c r="J54" s="39" t="inlineStr"/>
      <c r="K54" s="34" t="inlineStr">
        <is>
          <t>Source assignment</t>
        </is>
      </c>
      <c r="L54" s="39" t="inlineStr"/>
      <c r="M54" s="34" t="inlineStr">
        <is>
          <t>Initial</t>
        </is>
      </c>
      <c r="N54" s="34" t="inlineStr">
        <is>
          <t>Rev 0</t>
        </is>
      </c>
      <c r="O54" s="34" t="inlineStr">
        <is>
          <t>R64-v1</t>
        </is>
      </c>
      <c r="P54" s="39" t="inlineStr"/>
      <c r="Q54" s="14" t="inlineStr"/>
      <c r="R54" s="39" t="inlineStr"/>
      <c r="S54" s="39" t="inlineStr"/>
      <c r="T54" s="39" t="inlineStr"/>
      <c r="U54" s="39" t="inlineStr"/>
      <c r="V54" s="34" t="inlineStr">
        <is>
          <t>WBS Code = 1.1.1</t>
        </is>
      </c>
      <c r="W54" s="14" t="inlineStr"/>
    </row>
    <row r="55" ht="64" customHeight="1">
      <c r="A55" s="34" t="inlineStr">
        <is>
          <t>1.1.1</t>
        </is>
      </c>
      <c r="B55" s="34" t="inlineStr">
        <is>
          <t>Guideway and Civil - Guideway Structures</t>
        </is>
      </c>
      <c r="C55" s="34" t="inlineStr">
        <is>
          <t>Contractor Programme</t>
        </is>
      </c>
      <c r="D55" s="34" t="inlineStr">
        <is>
          <t>SCH-01-065</t>
        </is>
      </c>
      <c r="E55" s="34" t="inlineStr">
        <is>
          <t>Central guideway: track-slab survey - field start</t>
        </is>
      </c>
      <c r="F55" s="34" t="inlineStr">
        <is>
          <t>ONE_TO_ONE</t>
        </is>
      </c>
      <c r="G55" s="34" t="inlineStr">
        <is>
          <t>APPROVED</t>
        </is>
      </c>
      <c r="H55" s="34" t="inlineStr">
        <is>
          <t>New</t>
        </is>
      </c>
      <c r="I55" s="34" t="inlineStr">
        <is>
          <t>Source assignment -- not individually reviewed</t>
        </is>
      </c>
      <c r="J55" s="39" t="inlineStr"/>
      <c r="K55" s="34" t="inlineStr">
        <is>
          <t>Source assignment</t>
        </is>
      </c>
      <c r="L55" s="39" t="inlineStr"/>
      <c r="M55" s="34" t="inlineStr">
        <is>
          <t>Initial</t>
        </is>
      </c>
      <c r="N55" s="34" t="inlineStr">
        <is>
          <t>Rev 0</t>
        </is>
      </c>
      <c r="O55" s="34" t="inlineStr">
        <is>
          <t>R65-v1</t>
        </is>
      </c>
      <c r="P55" s="39" t="inlineStr"/>
      <c r="Q55" s="14" t="inlineStr"/>
      <c r="R55" s="39" t="inlineStr"/>
      <c r="S55" s="39" t="inlineStr"/>
      <c r="T55" s="39" t="inlineStr"/>
      <c r="U55" s="39" t="inlineStr"/>
      <c r="V55" s="34" t="inlineStr">
        <is>
          <t>WBS Code = 1.1.1</t>
        </is>
      </c>
      <c r="W55" s="14" t="inlineStr"/>
    </row>
    <row r="56" ht="64" customHeight="1">
      <c r="A56" s="34" t="inlineStr">
        <is>
          <t>1.1.1</t>
        </is>
      </c>
      <c r="B56" s="34" t="inlineStr">
        <is>
          <t>Guideway and Civil - Guideway Structures</t>
        </is>
      </c>
      <c r="C56" s="34" t="inlineStr">
        <is>
          <t>Contractor Programme</t>
        </is>
      </c>
      <c r="D56" s="34" t="inlineStr">
        <is>
          <t>SCH-01-067</t>
        </is>
      </c>
      <c r="E56" s="34" t="inlineStr">
        <is>
          <t>Depot lead: guideway pier reinforcement - inspection</t>
        </is>
      </c>
      <c r="F56" s="34" t="inlineStr">
        <is>
          <t>ONE_TO_ONE</t>
        </is>
      </c>
      <c r="G56" s="34" t="inlineStr">
        <is>
          <t>APPROVED</t>
        </is>
      </c>
      <c r="H56" s="34" t="inlineStr">
        <is>
          <t>New</t>
        </is>
      </c>
      <c r="I56" s="34" t="inlineStr">
        <is>
          <t>Source assignment -- not individually reviewed</t>
        </is>
      </c>
      <c r="J56" s="39" t="inlineStr"/>
      <c r="K56" s="34" t="inlineStr">
        <is>
          <t>Source assignment</t>
        </is>
      </c>
      <c r="L56" s="39" t="inlineStr"/>
      <c r="M56" s="34" t="inlineStr">
        <is>
          <t>Initial</t>
        </is>
      </c>
      <c r="N56" s="34" t="inlineStr">
        <is>
          <t>Rev 0</t>
        </is>
      </c>
      <c r="O56" s="34" t="inlineStr">
        <is>
          <t>R67-v1</t>
        </is>
      </c>
      <c r="P56" s="39" t="inlineStr"/>
      <c r="Q56" s="14" t="inlineStr"/>
      <c r="R56" s="39" t="inlineStr"/>
      <c r="S56" s="39" t="inlineStr"/>
      <c r="T56" s="39" t="inlineStr"/>
      <c r="U56" s="39" t="inlineStr"/>
      <c r="V56" s="34" t="inlineStr">
        <is>
          <t>WBS Code = 1.1.1</t>
        </is>
      </c>
      <c r="W56" s="14" t="inlineStr"/>
    </row>
    <row r="57" ht="64" customHeight="1">
      <c r="A57" s="34" t="inlineStr">
        <is>
          <t>1.1.1</t>
        </is>
      </c>
      <c r="B57" s="34" t="inlineStr">
        <is>
          <t>Guideway and Civil - Guideway Structures</t>
        </is>
      </c>
      <c r="C57" s="34" t="inlineStr">
        <is>
          <t>Contractor Programme</t>
        </is>
      </c>
      <c r="D57" s="34" t="inlineStr">
        <is>
          <t>SCH-01-068</t>
        </is>
      </c>
      <c r="E57" s="34" t="inlineStr">
        <is>
          <t>East portal: road restoration - turnover</t>
        </is>
      </c>
      <c r="F57" s="34" t="inlineStr">
        <is>
          <t>ONE_TO_ONE</t>
        </is>
      </c>
      <c r="G57" s="34" t="inlineStr">
        <is>
          <t>APPROVED</t>
        </is>
      </c>
      <c r="H57" s="34" t="inlineStr">
        <is>
          <t>New</t>
        </is>
      </c>
      <c r="I57" s="34" t="inlineStr">
        <is>
          <t>Source assignment -- not individually reviewed</t>
        </is>
      </c>
      <c r="J57" s="39" t="inlineStr"/>
      <c r="K57" s="34" t="inlineStr">
        <is>
          <t>Source assignment</t>
        </is>
      </c>
      <c r="L57" s="39" t="inlineStr"/>
      <c r="M57" s="34" t="inlineStr">
        <is>
          <t>Initial</t>
        </is>
      </c>
      <c r="N57" s="34" t="inlineStr">
        <is>
          <t>Rev 0</t>
        </is>
      </c>
      <c r="O57" s="34" t="inlineStr">
        <is>
          <t>R68-v1</t>
        </is>
      </c>
      <c r="P57" s="39" t="inlineStr"/>
      <c r="Q57" s="14" t="inlineStr"/>
      <c r="R57" s="39" t="inlineStr"/>
      <c r="S57" s="39" t="inlineStr"/>
      <c r="T57" s="39" t="inlineStr"/>
      <c r="U57" s="39" t="inlineStr"/>
      <c r="V57" s="34" t="inlineStr">
        <is>
          <t>WBS Code = 1.1.1</t>
        </is>
      </c>
      <c r="W57" s="14" t="inlineStr"/>
    </row>
    <row r="58" ht="64" customHeight="1">
      <c r="A58" s="34" t="inlineStr">
        <is>
          <t>1.1.1</t>
        </is>
      </c>
      <c r="B58" s="34" t="inlineStr">
        <is>
          <t>Guideway and Civil - Guideway Structures</t>
        </is>
      </c>
      <c r="C58" s="34" t="inlineStr">
        <is>
          <t>Contractor Programme</t>
        </is>
      </c>
      <c r="D58" s="34" t="inlineStr">
        <is>
          <t>SCH-01-070</t>
        </is>
      </c>
      <c r="E58" s="34" t="inlineStr">
        <is>
          <t>Central guideway: retaining-wall excavation - field start</t>
        </is>
      </c>
      <c r="F58" s="34" t="inlineStr">
        <is>
          <t>ONE_TO_ONE</t>
        </is>
      </c>
      <c r="G58" s="34" t="inlineStr">
        <is>
          <t>APPROVED</t>
        </is>
      </c>
      <c r="H58" s="34" t="inlineStr">
        <is>
          <t>New</t>
        </is>
      </c>
      <c r="I58" s="34" t="inlineStr">
        <is>
          <t>Source assignment -- not individually reviewed</t>
        </is>
      </c>
      <c r="J58" s="39" t="inlineStr"/>
      <c r="K58" s="34" t="inlineStr">
        <is>
          <t>Source assignment</t>
        </is>
      </c>
      <c r="L58" s="39" t="inlineStr"/>
      <c r="M58" s="34" t="inlineStr">
        <is>
          <t>Initial</t>
        </is>
      </c>
      <c r="N58" s="34" t="inlineStr">
        <is>
          <t>Rev 0</t>
        </is>
      </c>
      <c r="O58" s="34" t="inlineStr">
        <is>
          <t>R70-v1</t>
        </is>
      </c>
      <c r="P58" s="39" t="inlineStr"/>
      <c r="Q58" s="14" t="inlineStr"/>
      <c r="R58" s="39" t="inlineStr"/>
      <c r="S58" s="39" t="inlineStr"/>
      <c r="T58" s="39" t="inlineStr"/>
      <c r="U58" s="39" t="inlineStr"/>
      <c r="V58" s="34" t="inlineStr">
        <is>
          <t>WBS Code = 1.1.1</t>
        </is>
      </c>
      <c r="W58" s="14" t="inlineStr"/>
    </row>
    <row r="59" ht="64" customHeight="1">
      <c r="A59" s="34" t="inlineStr">
        <is>
          <t>1.1.1</t>
        </is>
      </c>
      <c r="B59" s="34" t="inlineStr">
        <is>
          <t>Guideway and Civil - Guideway Structures</t>
        </is>
      </c>
      <c r="C59" s="34" t="inlineStr">
        <is>
          <t>Contractor Programme</t>
        </is>
      </c>
      <c r="D59" s="34" t="inlineStr">
        <is>
          <t>SCH-01-071</t>
        </is>
      </c>
      <c r="E59" s="34" t="inlineStr">
        <is>
          <t>West approach: drainage tie-in - installation</t>
        </is>
      </c>
      <c r="F59" s="34" t="inlineStr">
        <is>
          <t>ONE_TO_ONE</t>
        </is>
      </c>
      <c r="G59" s="34" t="inlineStr">
        <is>
          <t>APPROVED</t>
        </is>
      </c>
      <c r="H59" s="34" t="inlineStr">
        <is>
          <t>New</t>
        </is>
      </c>
      <c r="I59" s="34" t="inlineStr">
        <is>
          <t>Source assignment -- not individually reviewed</t>
        </is>
      </c>
      <c r="J59" s="39" t="inlineStr"/>
      <c r="K59" s="34" t="inlineStr">
        <is>
          <t>Source assignment</t>
        </is>
      </c>
      <c r="L59" s="39" t="inlineStr"/>
      <c r="M59" s="34" t="inlineStr">
        <is>
          <t>Initial</t>
        </is>
      </c>
      <c r="N59" s="34" t="inlineStr">
        <is>
          <t>Rev 0</t>
        </is>
      </c>
      <c r="O59" s="34" t="inlineStr">
        <is>
          <t>R71-v1</t>
        </is>
      </c>
      <c r="P59" s="39" t="inlineStr"/>
      <c r="Q59" s="14" t="inlineStr"/>
      <c r="R59" s="39" t="inlineStr"/>
      <c r="S59" s="39" t="inlineStr"/>
      <c r="T59" s="39" t="inlineStr"/>
      <c r="U59" s="39" t="inlineStr"/>
      <c r="V59" s="34" t="inlineStr">
        <is>
          <t>WBS Code = 1.1.1</t>
        </is>
      </c>
      <c r="W59" s="14" t="inlineStr"/>
    </row>
    <row r="60" ht="64" customHeight="1">
      <c r="A60" s="34" t="inlineStr">
        <is>
          <t>1.1.1</t>
        </is>
      </c>
      <c r="B60" s="34" t="inlineStr">
        <is>
          <t>Guideway and Civil - Guideway Structures</t>
        </is>
      </c>
      <c r="C60" s="34" t="inlineStr">
        <is>
          <t>Contractor Programme</t>
        </is>
      </c>
      <c r="D60" s="34" t="inlineStr">
        <is>
          <t>SCH-01-073</t>
        </is>
      </c>
      <c r="E60" s="34" t="inlineStr">
        <is>
          <t>East portal: track-slab survey - turnover</t>
        </is>
      </c>
      <c r="F60" s="34" t="inlineStr">
        <is>
          <t>ONE_TO_ONE</t>
        </is>
      </c>
      <c r="G60" s="34" t="inlineStr">
        <is>
          <t>APPROVED</t>
        </is>
      </c>
      <c r="H60" s="34" t="inlineStr">
        <is>
          <t>New</t>
        </is>
      </c>
      <c r="I60" s="34" t="inlineStr">
        <is>
          <t>Source assignment -- not individually reviewed</t>
        </is>
      </c>
      <c r="J60" s="39" t="inlineStr"/>
      <c r="K60" s="34" t="inlineStr">
        <is>
          <t>Source assignment</t>
        </is>
      </c>
      <c r="L60" s="39" t="inlineStr"/>
      <c r="M60" s="34" t="inlineStr">
        <is>
          <t>Initial</t>
        </is>
      </c>
      <c r="N60" s="34" t="inlineStr">
        <is>
          <t>Rev 0</t>
        </is>
      </c>
      <c r="O60" s="34" t="inlineStr">
        <is>
          <t>R73-v1</t>
        </is>
      </c>
      <c r="P60" s="39" t="inlineStr"/>
      <c r="Q60" s="14" t="inlineStr"/>
      <c r="R60" s="39" t="inlineStr"/>
      <c r="S60" s="39" t="inlineStr"/>
      <c r="T60" s="39" t="inlineStr"/>
      <c r="U60" s="39" t="inlineStr"/>
      <c r="V60" s="34" t="inlineStr">
        <is>
          <t>WBS Code = 1.1.1</t>
        </is>
      </c>
      <c r="W60" s="14" t="inlineStr"/>
    </row>
    <row r="61" ht="64" customHeight="1">
      <c r="A61" s="34" t="inlineStr">
        <is>
          <t>1.1.1</t>
        </is>
      </c>
      <c r="B61" s="34" t="inlineStr">
        <is>
          <t>Guideway and Civil - Guideway Structures</t>
        </is>
      </c>
      <c r="C61" s="34" t="inlineStr">
        <is>
          <t>Contractor Programme</t>
        </is>
      </c>
      <c r="D61" s="34" t="inlineStr">
        <is>
          <t>SCH-01-074</t>
        </is>
      </c>
      <c r="E61" s="34" t="inlineStr">
        <is>
          <t>River crossing: temporary traffic staging - release</t>
        </is>
      </c>
      <c r="F61" s="34" t="inlineStr">
        <is>
          <t>ONE_TO_ONE</t>
        </is>
      </c>
      <c r="G61" s="34" t="inlineStr">
        <is>
          <t>APPROVED</t>
        </is>
      </c>
      <c r="H61" s="34" t="inlineStr">
        <is>
          <t>New</t>
        </is>
      </c>
      <c r="I61" s="34" t="inlineStr">
        <is>
          <t>Source assignment -- not individually reviewed</t>
        </is>
      </c>
      <c r="J61" s="39" t="inlineStr"/>
      <c r="K61" s="34" t="inlineStr">
        <is>
          <t>Source assignment</t>
        </is>
      </c>
      <c r="L61" s="39" t="inlineStr"/>
      <c r="M61" s="34" t="inlineStr">
        <is>
          <t>Initial</t>
        </is>
      </c>
      <c r="N61" s="34" t="inlineStr">
        <is>
          <t>Rev 0</t>
        </is>
      </c>
      <c r="O61" s="34" t="inlineStr">
        <is>
          <t>R74-v1</t>
        </is>
      </c>
      <c r="P61" s="39" t="inlineStr"/>
      <c r="Q61" s="14" t="inlineStr"/>
      <c r="R61" s="39" t="inlineStr"/>
      <c r="S61" s="39" t="inlineStr"/>
      <c r="T61" s="39" t="inlineStr"/>
      <c r="U61" s="39" t="inlineStr"/>
      <c r="V61" s="34" t="inlineStr">
        <is>
          <t>WBS Code = 1.1.1</t>
        </is>
      </c>
      <c r="W61" s="14" t="inlineStr"/>
    </row>
    <row r="62" ht="64" customHeight="1">
      <c r="A62" s="34" t="inlineStr">
        <is>
          <t>1.1.1</t>
        </is>
      </c>
      <c r="B62" s="34" t="inlineStr">
        <is>
          <t>Guideway and Civil - Guideway Structures</t>
        </is>
      </c>
      <c r="C62" s="34" t="inlineStr">
        <is>
          <t>Contractor Programme</t>
        </is>
      </c>
      <c r="D62" s="34" t="inlineStr">
        <is>
          <t>SCH-01-076</t>
        </is>
      </c>
      <c r="E62" s="34" t="inlineStr">
        <is>
          <t>West approach: road restoration - installation</t>
        </is>
      </c>
      <c r="F62" s="34" t="inlineStr">
        <is>
          <t>ONE_TO_ONE</t>
        </is>
      </c>
      <c r="G62" s="34" t="inlineStr">
        <is>
          <t>APPROVED</t>
        </is>
      </c>
      <c r="H62" s="34" t="inlineStr">
        <is>
          <t>New</t>
        </is>
      </c>
      <c r="I62" s="34" t="inlineStr">
        <is>
          <t>Source assignment -- not individually reviewed</t>
        </is>
      </c>
      <c r="J62" s="39" t="inlineStr"/>
      <c r="K62" s="34" t="inlineStr">
        <is>
          <t>Source assignment</t>
        </is>
      </c>
      <c r="L62" s="39" t="inlineStr"/>
      <c r="M62" s="34" t="inlineStr">
        <is>
          <t>Initial</t>
        </is>
      </c>
      <c r="N62" s="34" t="inlineStr">
        <is>
          <t>Rev 0</t>
        </is>
      </c>
      <c r="O62" s="34" t="inlineStr">
        <is>
          <t>R76-v1</t>
        </is>
      </c>
      <c r="P62" s="39" t="inlineStr"/>
      <c r="Q62" s="14" t="inlineStr"/>
      <c r="R62" s="39" t="inlineStr"/>
      <c r="S62" s="39" t="inlineStr"/>
      <c r="T62" s="39" t="inlineStr"/>
      <c r="U62" s="39" t="inlineStr"/>
      <c r="V62" s="34" t="inlineStr">
        <is>
          <t>WBS Code = 1.1.1</t>
        </is>
      </c>
      <c r="W62" s="14" t="inlineStr"/>
    </row>
    <row r="63" ht="64" customHeight="1">
      <c r="A63" s="34" t="inlineStr">
        <is>
          <t>1.1.1</t>
        </is>
      </c>
      <c r="B63" s="34" t="inlineStr">
        <is>
          <t>Guideway and Civil - Guideway Structures</t>
        </is>
      </c>
      <c r="C63" s="34" t="inlineStr">
        <is>
          <t>Contractor Programme</t>
        </is>
      </c>
      <c r="D63" s="34" t="inlineStr">
        <is>
          <t>SCH-01-077</t>
        </is>
      </c>
      <c r="E63" s="34" t="inlineStr">
        <is>
          <t>Depot lead: drilled-shaft installation - inspection</t>
        </is>
      </c>
      <c r="F63" s="34" t="inlineStr">
        <is>
          <t>ONE_TO_ONE</t>
        </is>
      </c>
      <c r="G63" s="34" t="inlineStr">
        <is>
          <t>APPROVED</t>
        </is>
      </c>
      <c r="H63" s="34" t="inlineStr">
        <is>
          <t>New</t>
        </is>
      </c>
      <c r="I63" s="34" t="inlineStr">
        <is>
          <t>Source assignment -- not individually reviewed</t>
        </is>
      </c>
      <c r="J63" s="39" t="inlineStr"/>
      <c r="K63" s="34" t="inlineStr">
        <is>
          <t>Source assignment</t>
        </is>
      </c>
      <c r="L63" s="39" t="inlineStr"/>
      <c r="M63" s="34" t="inlineStr">
        <is>
          <t>Initial</t>
        </is>
      </c>
      <c r="N63" s="34" t="inlineStr">
        <is>
          <t>Rev 0</t>
        </is>
      </c>
      <c r="O63" s="34" t="inlineStr">
        <is>
          <t>R77-v1</t>
        </is>
      </c>
      <c r="P63" s="39" t="inlineStr"/>
      <c r="Q63" s="14" t="inlineStr"/>
      <c r="R63" s="39" t="inlineStr"/>
      <c r="S63" s="39" t="inlineStr"/>
      <c r="T63" s="39" t="inlineStr"/>
      <c r="U63" s="39" t="inlineStr"/>
      <c r="V63" s="34" t="inlineStr">
        <is>
          <t>WBS Code = 1.1.1</t>
        </is>
      </c>
      <c r="W63" s="14" t="inlineStr"/>
    </row>
    <row r="64" ht="64" customHeight="1">
      <c r="A64" s="34" t="inlineStr">
        <is>
          <t>1.1.1</t>
        </is>
      </c>
      <c r="B64" s="34" t="inlineStr">
        <is>
          <t>Guideway and Civil - Guideway Structures</t>
        </is>
      </c>
      <c r="C64" s="34" t="inlineStr">
        <is>
          <t>Contractor Programme</t>
        </is>
      </c>
      <c r="D64" s="34" t="inlineStr">
        <is>
          <t>SCH-01-079</t>
        </is>
      </c>
      <c r="E64" s="34" t="inlineStr">
        <is>
          <t>River crossing: drainage tie-in - release</t>
        </is>
      </c>
      <c r="F64" s="34" t="inlineStr">
        <is>
          <t>ONE_TO_ONE</t>
        </is>
      </c>
      <c r="G64" s="34" t="inlineStr">
        <is>
          <t>APPROVED</t>
        </is>
      </c>
      <c r="H64" s="34" t="inlineStr">
        <is>
          <t>New</t>
        </is>
      </c>
      <c r="I64" s="34" t="inlineStr">
        <is>
          <t>Source assignment -- not individually reviewed</t>
        </is>
      </c>
      <c r="J64" s="39" t="inlineStr"/>
      <c r="K64" s="34" t="inlineStr">
        <is>
          <t>Source assignment</t>
        </is>
      </c>
      <c r="L64" s="39" t="inlineStr"/>
      <c r="M64" s="34" t="inlineStr">
        <is>
          <t>Initial</t>
        </is>
      </c>
      <c r="N64" s="34" t="inlineStr">
        <is>
          <t>Rev 0</t>
        </is>
      </c>
      <c r="O64" s="34" t="inlineStr">
        <is>
          <t>R79-v1</t>
        </is>
      </c>
      <c r="P64" s="39" t="inlineStr"/>
      <c r="Q64" s="14" t="inlineStr"/>
      <c r="R64" s="39" t="inlineStr"/>
      <c r="S64" s="39" t="inlineStr"/>
      <c r="T64" s="39" t="inlineStr"/>
      <c r="U64" s="39" t="inlineStr"/>
      <c r="V64" s="34" t="inlineStr">
        <is>
          <t>WBS Code = 1.1.1</t>
        </is>
      </c>
      <c r="W64" s="14" t="inlineStr"/>
    </row>
    <row r="65" ht="64" customHeight="1">
      <c r="A65" s="34" t="inlineStr">
        <is>
          <t>1.1.1</t>
        </is>
      </c>
      <c r="B65" s="34" t="inlineStr">
        <is>
          <t>Guideway and Civil - Guideway Structures</t>
        </is>
      </c>
      <c r="C65" s="34" t="inlineStr">
        <is>
          <t>Contractor Programme</t>
        </is>
      </c>
      <c r="D65" s="34" t="inlineStr">
        <is>
          <t>SCH-01-080</t>
        </is>
      </c>
      <c r="E65" s="34" t="inlineStr">
        <is>
          <t>Central guideway: utility relocation - field start</t>
        </is>
      </c>
      <c r="F65" s="34" t="inlineStr">
        <is>
          <t>ONE_TO_ONE</t>
        </is>
      </c>
      <c r="G65" s="34" t="inlineStr">
        <is>
          <t>APPROVED</t>
        </is>
      </c>
      <c r="H65" s="34" t="inlineStr">
        <is>
          <t>New</t>
        </is>
      </c>
      <c r="I65" s="34" t="inlineStr">
        <is>
          <t>Source assignment -- not individually reviewed</t>
        </is>
      </c>
      <c r="J65" s="39" t="inlineStr"/>
      <c r="K65" s="34" t="inlineStr">
        <is>
          <t>Source assignment</t>
        </is>
      </c>
      <c r="L65" s="39" t="inlineStr"/>
      <c r="M65" s="34" t="inlineStr">
        <is>
          <t>Initial</t>
        </is>
      </c>
      <c r="N65" s="34" t="inlineStr">
        <is>
          <t>Rev 0</t>
        </is>
      </c>
      <c r="O65" s="34" t="inlineStr">
        <is>
          <t>R80-v1</t>
        </is>
      </c>
      <c r="P65" s="39" t="inlineStr"/>
      <c r="Q65" s="14" t="inlineStr"/>
      <c r="R65" s="39" t="inlineStr"/>
      <c r="S65" s="39" t="inlineStr"/>
      <c r="T65" s="39" t="inlineStr"/>
      <c r="U65" s="39" t="inlineStr"/>
      <c r="V65" s="34" t="inlineStr">
        <is>
          <t>WBS Code = 1.1.1</t>
        </is>
      </c>
      <c r="W65" s="14" t="inlineStr"/>
    </row>
    <row r="66" ht="64" customHeight="1">
      <c r="A66" s="34" t="inlineStr">
        <is>
          <t>1.1.1</t>
        </is>
      </c>
      <c r="B66" s="34" t="inlineStr">
        <is>
          <t>Guideway and Civil - Guideway Structures</t>
        </is>
      </c>
      <c r="C66" s="34" t="inlineStr">
        <is>
          <t>Contractor Programme</t>
        </is>
      </c>
      <c r="D66" s="34" t="inlineStr">
        <is>
          <t>SCH-01-082</t>
        </is>
      </c>
      <c r="E66" s="34" t="inlineStr">
        <is>
          <t>Depot lead: temporary traffic staging - inspection</t>
        </is>
      </c>
      <c r="F66" s="34" t="inlineStr">
        <is>
          <t>ONE_TO_ONE</t>
        </is>
      </c>
      <c r="G66" s="34" t="inlineStr">
        <is>
          <t>APPROVED</t>
        </is>
      </c>
      <c r="H66" s="34" t="inlineStr">
        <is>
          <t>New</t>
        </is>
      </c>
      <c r="I66" s="34" t="inlineStr">
        <is>
          <t>Source assignment -- not individually reviewed</t>
        </is>
      </c>
      <c r="J66" s="39" t="inlineStr"/>
      <c r="K66" s="34" t="inlineStr">
        <is>
          <t>Source assignment</t>
        </is>
      </c>
      <c r="L66" s="39" t="inlineStr"/>
      <c r="M66" s="34" t="inlineStr">
        <is>
          <t>Initial</t>
        </is>
      </c>
      <c r="N66" s="34" t="inlineStr">
        <is>
          <t>Rev 0</t>
        </is>
      </c>
      <c r="O66" s="34" t="inlineStr">
        <is>
          <t>R82-v1</t>
        </is>
      </c>
      <c r="P66" s="39" t="inlineStr"/>
      <c r="Q66" s="14" t="inlineStr"/>
      <c r="R66" s="39" t="inlineStr"/>
      <c r="S66" s="39" t="inlineStr"/>
      <c r="T66" s="39" t="inlineStr"/>
      <c r="U66" s="39" t="inlineStr"/>
      <c r="V66" s="34" t="inlineStr">
        <is>
          <t>WBS Code = 1.1.1</t>
        </is>
      </c>
      <c r="W66" s="14" t="inlineStr"/>
    </row>
    <row r="67" ht="64" customHeight="1">
      <c r="A67" s="34" t="inlineStr">
        <is>
          <t>1.1.1</t>
        </is>
      </c>
      <c r="B67" s="34" t="inlineStr">
        <is>
          <t>Guideway and Civil - Guideway Structures</t>
        </is>
      </c>
      <c r="C67" s="34" t="inlineStr">
        <is>
          <t>Contractor Programme</t>
        </is>
      </c>
      <c r="D67" s="34" t="inlineStr">
        <is>
          <t>SCH-01-083</t>
        </is>
      </c>
      <c r="E67" s="34" t="inlineStr">
        <is>
          <t>East portal: guideway pier reinforcement - turnover</t>
        </is>
      </c>
      <c r="F67" s="34" t="inlineStr">
        <is>
          <t>ONE_TO_ONE</t>
        </is>
      </c>
      <c r="G67" s="34" t="inlineStr">
        <is>
          <t>APPROVED</t>
        </is>
      </c>
      <c r="H67" s="34" t="inlineStr">
        <is>
          <t>New</t>
        </is>
      </c>
      <c r="I67" s="34" t="inlineStr">
        <is>
          <t>Source assignment -- not individually reviewed</t>
        </is>
      </c>
      <c r="J67" s="39" t="inlineStr"/>
      <c r="K67" s="34" t="inlineStr">
        <is>
          <t>Source assignment</t>
        </is>
      </c>
      <c r="L67" s="39" t="inlineStr"/>
      <c r="M67" s="34" t="inlineStr">
        <is>
          <t>Initial</t>
        </is>
      </c>
      <c r="N67" s="34" t="inlineStr">
        <is>
          <t>Rev 0</t>
        </is>
      </c>
      <c r="O67" s="34" t="inlineStr">
        <is>
          <t>R83-v1</t>
        </is>
      </c>
      <c r="P67" s="39" t="inlineStr"/>
      <c r="Q67" s="14" t="inlineStr"/>
      <c r="R67" s="39" t="inlineStr"/>
      <c r="S67" s="39" t="inlineStr"/>
      <c r="T67" s="39" t="inlineStr"/>
      <c r="U67" s="39" t="inlineStr"/>
      <c r="V67" s="34" t="inlineStr">
        <is>
          <t>WBS Code = 1.1.1</t>
        </is>
      </c>
      <c r="W67" s="14" t="inlineStr"/>
    </row>
    <row r="68" ht="64" customHeight="1">
      <c r="A68" s="34" t="inlineStr">
        <is>
          <t>1.1.1</t>
        </is>
      </c>
      <c r="B68" s="34" t="inlineStr">
        <is>
          <t>Guideway and Civil - Guideway Structures</t>
        </is>
      </c>
      <c r="C68" s="34" t="inlineStr">
        <is>
          <t>Contractor Programme</t>
        </is>
      </c>
      <c r="D68" s="34" t="inlineStr">
        <is>
          <t>SCH-01-085</t>
        </is>
      </c>
      <c r="E68" s="34" t="inlineStr">
        <is>
          <t>Central guideway: drilled-shaft installation - field start</t>
        </is>
      </c>
      <c r="F68" s="34" t="inlineStr">
        <is>
          <t>ONE_TO_ONE</t>
        </is>
      </c>
      <c r="G68" s="34" t="inlineStr">
        <is>
          <t>APPROVED</t>
        </is>
      </c>
      <c r="H68" s="34" t="inlineStr">
        <is>
          <t>New</t>
        </is>
      </c>
      <c r="I68" s="34" t="inlineStr">
        <is>
          <t>Source assignment -- not individually reviewed</t>
        </is>
      </c>
      <c r="J68" s="39" t="inlineStr"/>
      <c r="K68" s="34" t="inlineStr">
        <is>
          <t>Source assignment</t>
        </is>
      </c>
      <c r="L68" s="39" t="inlineStr"/>
      <c r="M68" s="34" t="inlineStr">
        <is>
          <t>Initial</t>
        </is>
      </c>
      <c r="N68" s="34" t="inlineStr">
        <is>
          <t>Rev 0</t>
        </is>
      </c>
      <c r="O68" s="34" t="inlineStr">
        <is>
          <t>R85-v1</t>
        </is>
      </c>
      <c r="P68" s="39" t="inlineStr"/>
      <c r="Q68" s="14" t="inlineStr"/>
      <c r="R68" s="39" t="inlineStr"/>
      <c r="S68" s="39" t="inlineStr"/>
      <c r="T68" s="39" t="inlineStr"/>
      <c r="U68" s="39" t="inlineStr"/>
      <c r="V68" s="34" t="inlineStr">
        <is>
          <t>WBS Code = 1.1.1</t>
        </is>
      </c>
      <c r="W68" s="14" t="inlineStr"/>
    </row>
    <row r="69" ht="64" customHeight="1">
      <c r="A69" s="34" t="inlineStr">
        <is>
          <t>1.1.1</t>
        </is>
      </c>
      <c r="B69" s="34" t="inlineStr">
        <is>
          <t>Guideway and Civil - Guideway Structures</t>
        </is>
      </c>
      <c r="C69" s="34" t="inlineStr">
        <is>
          <t>Contractor Programme</t>
        </is>
      </c>
      <c r="D69" s="34" t="inlineStr">
        <is>
          <t>SCH-01-086</t>
        </is>
      </c>
      <c r="E69" s="34" t="inlineStr">
        <is>
          <t>West approach: retaining-wall excavation - installation</t>
        </is>
      </c>
      <c r="F69" s="34" t="inlineStr">
        <is>
          <t>ONE_TO_ONE</t>
        </is>
      </c>
      <c r="G69" s="34" t="inlineStr">
        <is>
          <t>APPROVED</t>
        </is>
      </c>
      <c r="H69" s="34" t="inlineStr">
        <is>
          <t>New</t>
        </is>
      </c>
      <c r="I69" s="34" t="inlineStr">
        <is>
          <t>Source assignment -- not individually reviewed</t>
        </is>
      </c>
      <c r="J69" s="39" t="inlineStr"/>
      <c r="K69" s="34" t="inlineStr">
        <is>
          <t>Source assignment</t>
        </is>
      </c>
      <c r="L69" s="39" t="inlineStr"/>
      <c r="M69" s="34" t="inlineStr">
        <is>
          <t>Initial</t>
        </is>
      </c>
      <c r="N69" s="34" t="inlineStr">
        <is>
          <t>Rev 0</t>
        </is>
      </c>
      <c r="O69" s="34" t="inlineStr">
        <is>
          <t>R86-v1</t>
        </is>
      </c>
      <c r="P69" s="39" t="inlineStr"/>
      <c r="Q69" s="14" t="inlineStr"/>
      <c r="R69" s="39" t="inlineStr"/>
      <c r="S69" s="39" t="inlineStr"/>
      <c r="T69" s="39" t="inlineStr"/>
      <c r="U69" s="39" t="inlineStr"/>
      <c r="V69" s="34" t="inlineStr">
        <is>
          <t>WBS Code = 1.1.1</t>
        </is>
      </c>
      <c r="W69" s="14" t="inlineStr"/>
    </row>
    <row r="70" ht="64" customHeight="1">
      <c r="A70" s="34" t="inlineStr">
        <is>
          <t>1.1.1</t>
        </is>
      </c>
      <c r="B70" s="34" t="inlineStr">
        <is>
          <t>Guideway and Civil - Guideway Structures</t>
        </is>
      </c>
      <c r="C70" s="34" t="inlineStr">
        <is>
          <t>Contractor Programme</t>
        </is>
      </c>
      <c r="D70" s="34" t="inlineStr">
        <is>
          <t>SCH-01-088</t>
        </is>
      </c>
      <c r="E70" s="34" t="inlineStr">
        <is>
          <t>East portal: utility relocation - turnover</t>
        </is>
      </c>
      <c r="F70" s="34" t="inlineStr">
        <is>
          <t>ONE_TO_ONE</t>
        </is>
      </c>
      <c r="G70" s="34" t="inlineStr">
        <is>
          <t>APPROVED</t>
        </is>
      </c>
      <c r="H70" s="34" t="inlineStr">
        <is>
          <t>New</t>
        </is>
      </c>
      <c r="I70" s="34" t="inlineStr">
        <is>
          <t>Source assignment -- not individually reviewed</t>
        </is>
      </c>
      <c r="J70" s="39" t="inlineStr"/>
      <c r="K70" s="34" t="inlineStr">
        <is>
          <t>Source assignment</t>
        </is>
      </c>
      <c r="L70" s="39" t="inlineStr"/>
      <c r="M70" s="34" t="inlineStr">
        <is>
          <t>Initial</t>
        </is>
      </c>
      <c r="N70" s="34" t="inlineStr">
        <is>
          <t>Rev 0</t>
        </is>
      </c>
      <c r="O70" s="34" t="inlineStr">
        <is>
          <t>R88-v1</t>
        </is>
      </c>
      <c r="P70" s="39" t="inlineStr"/>
      <c r="Q70" s="14" t="inlineStr"/>
      <c r="R70" s="39" t="inlineStr"/>
      <c r="S70" s="39" t="inlineStr"/>
      <c r="T70" s="39" t="inlineStr"/>
      <c r="U70" s="39" t="inlineStr"/>
      <c r="V70" s="34" t="inlineStr">
        <is>
          <t>WBS Code = 1.1.1</t>
        </is>
      </c>
      <c r="W70" s="14" t="inlineStr"/>
    </row>
    <row r="71" ht="64" customHeight="1">
      <c r="A71" s="34" t="inlineStr">
        <is>
          <t>1.1.1</t>
        </is>
      </c>
      <c r="B71" s="34" t="inlineStr">
        <is>
          <t>Guideway and Civil - Guideway Structures</t>
        </is>
      </c>
      <c r="C71" s="34" t="inlineStr">
        <is>
          <t>Contractor Programme</t>
        </is>
      </c>
      <c r="D71" s="34" t="inlineStr">
        <is>
          <t>SCH-01-089</t>
        </is>
      </c>
      <c r="E71" s="34" t="inlineStr">
        <is>
          <t>River crossing: track-slab survey - release</t>
        </is>
      </c>
      <c r="F71" s="34" t="inlineStr">
        <is>
          <t>ONE_TO_ONE</t>
        </is>
      </c>
      <c r="G71" s="34" t="inlineStr">
        <is>
          <t>APPROVED</t>
        </is>
      </c>
      <c r="H71" s="34" t="inlineStr">
        <is>
          <t>New</t>
        </is>
      </c>
      <c r="I71" s="34" t="inlineStr">
        <is>
          <t>Source assignment -- not individually reviewed</t>
        </is>
      </c>
      <c r="J71" s="39" t="inlineStr"/>
      <c r="K71" s="34" t="inlineStr">
        <is>
          <t>Source assignment</t>
        </is>
      </c>
      <c r="L71" s="39" t="inlineStr"/>
      <c r="M71" s="34" t="inlineStr">
        <is>
          <t>Initial</t>
        </is>
      </c>
      <c r="N71" s="34" t="inlineStr">
        <is>
          <t>Rev 0</t>
        </is>
      </c>
      <c r="O71" s="34" t="inlineStr">
        <is>
          <t>R89-v1</t>
        </is>
      </c>
      <c r="P71" s="39" t="inlineStr"/>
      <c r="Q71" s="14" t="inlineStr"/>
      <c r="R71" s="39" t="inlineStr"/>
      <c r="S71" s="39" t="inlineStr"/>
      <c r="T71" s="39" t="inlineStr"/>
      <c r="U71" s="39" t="inlineStr"/>
      <c r="V71" s="34" t="inlineStr">
        <is>
          <t>WBS Code = 1.1.1</t>
        </is>
      </c>
      <c r="W71" s="14" t="inlineStr"/>
    </row>
    <row r="72" ht="64" customHeight="1">
      <c r="A72" s="34" t="inlineStr">
        <is>
          <t>1.1.1</t>
        </is>
      </c>
      <c r="B72" s="34" t="inlineStr">
        <is>
          <t>Guideway and Civil - Guideway Structures</t>
        </is>
      </c>
      <c r="C72" s="34" t="inlineStr">
        <is>
          <t>Contractor Programme</t>
        </is>
      </c>
      <c r="D72" s="34" t="inlineStr">
        <is>
          <t>SCH-01-091</t>
        </is>
      </c>
      <c r="E72" s="34" t="inlineStr">
        <is>
          <t>West approach: guideway pier reinforcement - installation</t>
        </is>
      </c>
      <c r="F72" s="34" t="inlineStr">
        <is>
          <t>ONE_TO_ONE</t>
        </is>
      </c>
      <c r="G72" s="34" t="inlineStr">
        <is>
          <t>APPROVED</t>
        </is>
      </c>
      <c r="H72" s="34" t="inlineStr">
        <is>
          <t>New</t>
        </is>
      </c>
      <c r="I72" s="34" t="inlineStr">
        <is>
          <t>Source assignment -- not individually reviewed</t>
        </is>
      </c>
      <c r="J72" s="39" t="inlineStr"/>
      <c r="K72" s="34" t="inlineStr">
        <is>
          <t>Source assignment</t>
        </is>
      </c>
      <c r="L72" s="39" t="inlineStr"/>
      <c r="M72" s="34" t="inlineStr">
        <is>
          <t>Initial</t>
        </is>
      </c>
      <c r="N72" s="34" t="inlineStr">
        <is>
          <t>Rev 0</t>
        </is>
      </c>
      <c r="O72" s="34" t="inlineStr">
        <is>
          <t>R91-v1</t>
        </is>
      </c>
      <c r="P72" s="39" t="inlineStr"/>
      <c r="Q72" s="14" t="inlineStr"/>
      <c r="R72" s="39" t="inlineStr"/>
      <c r="S72" s="39" t="inlineStr"/>
      <c r="T72" s="39" t="inlineStr"/>
      <c r="U72" s="39" t="inlineStr"/>
      <c r="V72" s="34" t="inlineStr">
        <is>
          <t>WBS Code = 1.1.1</t>
        </is>
      </c>
      <c r="W72" s="14" t="inlineStr"/>
    </row>
    <row r="73" ht="64" customHeight="1">
      <c r="A73" s="34" t="inlineStr">
        <is>
          <t>1.1.1</t>
        </is>
      </c>
      <c r="B73" s="34" t="inlineStr">
        <is>
          <t>Guideway and Civil - Guideway Structures</t>
        </is>
      </c>
      <c r="C73" s="34" t="inlineStr">
        <is>
          <t>Contractor Programme</t>
        </is>
      </c>
      <c r="D73" s="34" t="inlineStr">
        <is>
          <t>SCH-01-092</t>
        </is>
      </c>
      <c r="E73" s="34" t="inlineStr">
        <is>
          <t>Depot lead: road restoration - inspection</t>
        </is>
      </c>
      <c r="F73" s="34" t="inlineStr">
        <is>
          <t>ONE_TO_ONE</t>
        </is>
      </c>
      <c r="G73" s="34" t="inlineStr">
        <is>
          <t>APPROVED</t>
        </is>
      </c>
      <c r="H73" s="34" t="inlineStr">
        <is>
          <t>New</t>
        </is>
      </c>
      <c r="I73" s="34" t="inlineStr">
        <is>
          <t>Source assignment -- not individually reviewed</t>
        </is>
      </c>
      <c r="J73" s="39" t="inlineStr"/>
      <c r="K73" s="34" t="inlineStr">
        <is>
          <t>Source assignment</t>
        </is>
      </c>
      <c r="L73" s="39" t="inlineStr"/>
      <c r="M73" s="34" t="inlineStr">
        <is>
          <t>Initial</t>
        </is>
      </c>
      <c r="N73" s="34" t="inlineStr">
        <is>
          <t>Rev 0</t>
        </is>
      </c>
      <c r="O73" s="34" t="inlineStr">
        <is>
          <t>R92-v1</t>
        </is>
      </c>
      <c r="P73" s="39" t="inlineStr"/>
      <c r="Q73" s="14" t="inlineStr"/>
      <c r="R73" s="39" t="inlineStr"/>
      <c r="S73" s="39" t="inlineStr"/>
      <c r="T73" s="39" t="inlineStr"/>
      <c r="U73" s="39" t="inlineStr"/>
      <c r="V73" s="34" t="inlineStr">
        <is>
          <t>WBS Code = 1.1.1</t>
        </is>
      </c>
      <c r="W73" s="14" t="inlineStr"/>
    </row>
    <row r="74" ht="64" customHeight="1">
      <c r="A74" s="34" t="inlineStr">
        <is>
          <t>1.1.1</t>
        </is>
      </c>
      <c r="B74" s="34" t="inlineStr">
        <is>
          <t>Guideway and Civil - Guideway Structures</t>
        </is>
      </c>
      <c r="C74" s="34" t="inlineStr">
        <is>
          <t>Contractor Programme</t>
        </is>
      </c>
      <c r="D74" s="34" t="inlineStr">
        <is>
          <t>SCH-01-094</t>
        </is>
      </c>
      <c r="E74" s="34" t="inlineStr">
        <is>
          <t>River crossing: retaining-wall excavation - release</t>
        </is>
      </c>
      <c r="F74" s="34" t="inlineStr">
        <is>
          <t>ONE_TO_ONE</t>
        </is>
      </c>
      <c r="G74" s="34" t="inlineStr">
        <is>
          <t>APPROVED</t>
        </is>
      </c>
      <c r="H74" s="34" t="inlineStr">
        <is>
          <t>New</t>
        </is>
      </c>
      <c r="I74" s="34" t="inlineStr">
        <is>
          <t>Source assignment -- not individually reviewed</t>
        </is>
      </c>
      <c r="J74" s="39" t="inlineStr"/>
      <c r="K74" s="34" t="inlineStr">
        <is>
          <t>Source assignment</t>
        </is>
      </c>
      <c r="L74" s="39" t="inlineStr"/>
      <c r="M74" s="34" t="inlineStr">
        <is>
          <t>Initial</t>
        </is>
      </c>
      <c r="N74" s="34" t="inlineStr">
        <is>
          <t>Rev 0</t>
        </is>
      </c>
      <c r="O74" s="34" t="inlineStr">
        <is>
          <t>R94-v1</t>
        </is>
      </c>
      <c r="P74" s="39" t="inlineStr"/>
      <c r="Q74" s="14" t="inlineStr"/>
      <c r="R74" s="39" t="inlineStr"/>
      <c r="S74" s="39" t="inlineStr"/>
      <c r="T74" s="39" t="inlineStr"/>
      <c r="U74" s="39" t="inlineStr"/>
      <c r="V74" s="34" t="inlineStr">
        <is>
          <t>WBS Code = 1.1.1</t>
        </is>
      </c>
      <c r="W74" s="14" t="inlineStr"/>
    </row>
    <row r="75" ht="64" customHeight="1">
      <c r="A75" s="34" t="inlineStr">
        <is>
          <t>1.1.1</t>
        </is>
      </c>
      <c r="B75" s="34" t="inlineStr">
        <is>
          <t>Guideway and Civil - Guideway Structures</t>
        </is>
      </c>
      <c r="C75" s="34" t="inlineStr">
        <is>
          <t>Contractor Programme</t>
        </is>
      </c>
      <c r="D75" s="34" t="inlineStr">
        <is>
          <t>SCH-01-095</t>
        </is>
      </c>
      <c r="E75" s="34" t="inlineStr">
        <is>
          <t>Central guideway: drainage tie-in - field start</t>
        </is>
      </c>
      <c r="F75" s="34" t="inlineStr">
        <is>
          <t>ONE_TO_ONE</t>
        </is>
      </c>
      <c r="G75" s="34" t="inlineStr">
        <is>
          <t>APPROVED</t>
        </is>
      </c>
      <c r="H75" s="34" t="inlineStr">
        <is>
          <t>New</t>
        </is>
      </c>
      <c r="I75" s="34" t="inlineStr">
        <is>
          <t>Source assignment -- not individually reviewed</t>
        </is>
      </c>
      <c r="J75" s="39" t="inlineStr"/>
      <c r="K75" s="34" t="inlineStr">
        <is>
          <t>Source assignment</t>
        </is>
      </c>
      <c r="L75" s="39" t="inlineStr"/>
      <c r="M75" s="34" t="inlineStr">
        <is>
          <t>Initial</t>
        </is>
      </c>
      <c r="N75" s="34" t="inlineStr">
        <is>
          <t>Rev 0</t>
        </is>
      </c>
      <c r="O75" s="34" t="inlineStr">
        <is>
          <t>R95-v1</t>
        </is>
      </c>
      <c r="P75" s="39" t="inlineStr"/>
      <c r="Q75" s="14" t="inlineStr"/>
      <c r="R75" s="39" t="inlineStr"/>
      <c r="S75" s="39" t="inlineStr"/>
      <c r="T75" s="39" t="inlineStr"/>
      <c r="U75" s="39" t="inlineStr"/>
      <c r="V75" s="34" t="inlineStr">
        <is>
          <t>WBS Code = 1.1.1</t>
        </is>
      </c>
      <c r="W75" s="14" t="inlineStr"/>
    </row>
    <row r="76" ht="64" customHeight="1">
      <c r="A76" s="34" t="inlineStr">
        <is>
          <t>1.1.1</t>
        </is>
      </c>
      <c r="B76" s="34" t="inlineStr">
        <is>
          <t>Guideway and Civil - Guideway Structures</t>
        </is>
      </c>
      <c r="C76" s="34" t="inlineStr">
        <is>
          <t>Contractor Programme</t>
        </is>
      </c>
      <c r="D76" s="34" t="inlineStr">
        <is>
          <t>SCH-01-097</t>
        </is>
      </c>
      <c r="E76" s="34" t="inlineStr">
        <is>
          <t>Depot lead: track-slab survey - inspection</t>
        </is>
      </c>
      <c r="F76" s="34" t="inlineStr">
        <is>
          <t>ONE_TO_ONE</t>
        </is>
      </c>
      <c r="G76" s="34" t="inlineStr">
        <is>
          <t>APPROVED</t>
        </is>
      </c>
      <c r="H76" s="34" t="inlineStr">
        <is>
          <t>New</t>
        </is>
      </c>
      <c r="I76" s="34" t="inlineStr">
        <is>
          <t>Source assignment -- not individually reviewed</t>
        </is>
      </c>
      <c r="J76" s="39" t="inlineStr"/>
      <c r="K76" s="34" t="inlineStr">
        <is>
          <t>Source assignment</t>
        </is>
      </c>
      <c r="L76" s="39" t="inlineStr"/>
      <c r="M76" s="34" t="inlineStr">
        <is>
          <t>Initial</t>
        </is>
      </c>
      <c r="N76" s="34" t="inlineStr">
        <is>
          <t>Rev 0</t>
        </is>
      </c>
      <c r="O76" s="34" t="inlineStr">
        <is>
          <t>R97-v1</t>
        </is>
      </c>
      <c r="P76" s="39" t="inlineStr"/>
      <c r="Q76" s="14" t="inlineStr"/>
      <c r="R76" s="39" t="inlineStr"/>
      <c r="S76" s="39" t="inlineStr"/>
      <c r="T76" s="39" t="inlineStr"/>
      <c r="U76" s="39" t="inlineStr"/>
      <c r="V76" s="34" t="inlineStr">
        <is>
          <t>WBS Code = 1.1.1</t>
        </is>
      </c>
      <c r="W76" s="14" t="inlineStr"/>
    </row>
    <row r="77" ht="64" customHeight="1">
      <c r="A77" s="34" t="inlineStr">
        <is>
          <t>1.1.1</t>
        </is>
      </c>
      <c r="B77" s="34" t="inlineStr">
        <is>
          <t>Guideway and Civil - Guideway Structures</t>
        </is>
      </c>
      <c r="C77" s="34" t="inlineStr">
        <is>
          <t>Contractor Programme</t>
        </is>
      </c>
      <c r="D77" s="34" t="inlineStr">
        <is>
          <t>SCH-01-098</t>
        </is>
      </c>
      <c r="E77" s="34" t="inlineStr">
        <is>
          <t>East portal: temporary traffic staging - turnover</t>
        </is>
      </c>
      <c r="F77" s="34" t="inlineStr">
        <is>
          <t>ONE_TO_ONE</t>
        </is>
      </c>
      <c r="G77" s="34" t="inlineStr">
        <is>
          <t>APPROVED</t>
        </is>
      </c>
      <c r="H77" s="34" t="inlineStr">
        <is>
          <t>New</t>
        </is>
      </c>
      <c r="I77" s="34" t="inlineStr">
        <is>
          <t>Source assignment -- not individually reviewed</t>
        </is>
      </c>
      <c r="J77" s="39" t="inlineStr"/>
      <c r="K77" s="34" t="inlineStr">
        <is>
          <t>Source assignment</t>
        </is>
      </c>
      <c r="L77" s="39" t="inlineStr"/>
      <c r="M77" s="34" t="inlineStr">
        <is>
          <t>Initial</t>
        </is>
      </c>
      <c r="N77" s="34" t="inlineStr">
        <is>
          <t>Rev 0</t>
        </is>
      </c>
      <c r="O77" s="34" t="inlineStr">
        <is>
          <t>R98-v1</t>
        </is>
      </c>
      <c r="P77" s="39" t="inlineStr"/>
      <c r="Q77" s="14" t="inlineStr"/>
      <c r="R77" s="39" t="inlineStr"/>
      <c r="S77" s="39" t="inlineStr"/>
      <c r="T77" s="39" t="inlineStr"/>
      <c r="U77" s="39" t="inlineStr"/>
      <c r="V77" s="34" t="inlineStr">
        <is>
          <t>WBS Code = 1.1.1</t>
        </is>
      </c>
      <c r="W77" s="14" t="inlineStr"/>
    </row>
    <row r="78" ht="64" customHeight="1">
      <c r="A78" s="34" t="inlineStr">
        <is>
          <t>1.1.1</t>
        </is>
      </c>
      <c r="B78" s="34" t="inlineStr">
        <is>
          <t>Guideway and Civil - Guideway Structures</t>
        </is>
      </c>
      <c r="C78" s="34" t="inlineStr">
        <is>
          <t>Contractor Programme</t>
        </is>
      </c>
      <c r="D78" s="34" t="inlineStr">
        <is>
          <t>SCH-01-100</t>
        </is>
      </c>
      <c r="E78" s="34" t="inlineStr">
        <is>
          <t>Central guideway: road restoration - field start</t>
        </is>
      </c>
      <c r="F78" s="34" t="inlineStr">
        <is>
          <t>ONE_TO_ONE</t>
        </is>
      </c>
      <c r="G78" s="34" t="inlineStr">
        <is>
          <t>APPROVED</t>
        </is>
      </c>
      <c r="H78" s="34" t="inlineStr">
        <is>
          <t>New</t>
        </is>
      </c>
      <c r="I78" s="34" t="inlineStr">
        <is>
          <t>Source assignment -- not individually reviewed</t>
        </is>
      </c>
      <c r="J78" s="39" t="inlineStr"/>
      <c r="K78" s="34" t="inlineStr">
        <is>
          <t>Source assignment</t>
        </is>
      </c>
      <c r="L78" s="39" t="inlineStr"/>
      <c r="M78" s="34" t="inlineStr">
        <is>
          <t>Initial</t>
        </is>
      </c>
      <c r="N78" s="34" t="inlineStr">
        <is>
          <t>Rev 0</t>
        </is>
      </c>
      <c r="O78" s="34" t="inlineStr">
        <is>
          <t>R100-v1</t>
        </is>
      </c>
      <c r="P78" s="39" t="inlineStr"/>
      <c r="Q78" s="14" t="inlineStr"/>
      <c r="R78" s="39" t="inlineStr"/>
      <c r="S78" s="39" t="inlineStr"/>
      <c r="T78" s="39" t="inlineStr"/>
      <c r="U78" s="39" t="inlineStr"/>
      <c r="V78" s="34" t="inlineStr">
        <is>
          <t>WBS Code = 1.1.1</t>
        </is>
      </c>
      <c r="W78" s="14" t="inlineStr"/>
    </row>
    <row r="79" ht="64" customHeight="1">
      <c r="A79" s="34" t="inlineStr">
        <is>
          <t>1.1.1</t>
        </is>
      </c>
      <c r="B79" s="34" t="inlineStr">
        <is>
          <t>Guideway and Civil - Guideway Structures</t>
        </is>
      </c>
      <c r="C79" s="34" t="inlineStr">
        <is>
          <t>Contractor Programme</t>
        </is>
      </c>
      <c r="D79" s="34" t="inlineStr">
        <is>
          <t>SCH-01-101</t>
        </is>
      </c>
      <c r="E79" s="34" t="inlineStr">
        <is>
          <t>West approach: drilled-shaft installation - installation</t>
        </is>
      </c>
      <c r="F79" s="34" t="inlineStr">
        <is>
          <t>ONE_TO_ONE</t>
        </is>
      </c>
      <c r="G79" s="34" t="inlineStr">
        <is>
          <t>APPROVED</t>
        </is>
      </c>
      <c r="H79" s="34" t="inlineStr">
        <is>
          <t>New</t>
        </is>
      </c>
      <c r="I79" s="34" t="inlineStr">
        <is>
          <t>Source assignment -- not individually reviewed</t>
        </is>
      </c>
      <c r="J79" s="39" t="inlineStr"/>
      <c r="K79" s="34" t="inlineStr">
        <is>
          <t>Source assignment</t>
        </is>
      </c>
      <c r="L79" s="39" t="inlineStr"/>
      <c r="M79" s="34" t="inlineStr">
        <is>
          <t>Initial</t>
        </is>
      </c>
      <c r="N79" s="34" t="inlineStr">
        <is>
          <t>Rev 0</t>
        </is>
      </c>
      <c r="O79" s="34" t="inlineStr">
        <is>
          <t>R101-v1</t>
        </is>
      </c>
      <c r="P79" s="39" t="inlineStr"/>
      <c r="Q79" s="14" t="inlineStr"/>
      <c r="R79" s="39" t="inlineStr"/>
      <c r="S79" s="39" t="inlineStr"/>
      <c r="T79" s="39" t="inlineStr"/>
      <c r="U79" s="39" t="inlineStr"/>
      <c r="V79" s="34" t="inlineStr">
        <is>
          <t>WBS Code = 1.1.1</t>
        </is>
      </c>
      <c r="W79" s="14" t="inlineStr"/>
    </row>
    <row r="80" ht="64" customHeight="1">
      <c r="A80" s="34" t="inlineStr">
        <is>
          <t>1.1.1</t>
        </is>
      </c>
      <c r="B80" s="34" t="inlineStr">
        <is>
          <t>Guideway and Civil - Guideway Structures</t>
        </is>
      </c>
      <c r="C80" s="34" t="inlineStr">
        <is>
          <t>Contractor Programme</t>
        </is>
      </c>
      <c r="D80" s="34" t="inlineStr">
        <is>
          <t>SCH-01-103</t>
        </is>
      </c>
      <c r="E80" s="34" t="inlineStr">
        <is>
          <t>East portal: drainage tie-in - turnover</t>
        </is>
      </c>
      <c r="F80" s="34" t="inlineStr">
        <is>
          <t>ONE_TO_ONE</t>
        </is>
      </c>
      <c r="G80" s="34" t="inlineStr">
        <is>
          <t>APPROVED</t>
        </is>
      </c>
      <c r="H80" s="34" t="inlineStr">
        <is>
          <t>New</t>
        </is>
      </c>
      <c r="I80" s="34" t="inlineStr">
        <is>
          <t>Source assignment -- not individually reviewed</t>
        </is>
      </c>
      <c r="J80" s="39" t="inlineStr"/>
      <c r="K80" s="34" t="inlineStr">
        <is>
          <t>Source assignment</t>
        </is>
      </c>
      <c r="L80" s="39" t="inlineStr"/>
      <c r="M80" s="34" t="inlineStr">
        <is>
          <t>Initial</t>
        </is>
      </c>
      <c r="N80" s="34" t="inlineStr">
        <is>
          <t>Rev 0</t>
        </is>
      </c>
      <c r="O80" s="34" t="inlineStr">
        <is>
          <t>R103-v1</t>
        </is>
      </c>
      <c r="P80" s="39" t="inlineStr"/>
      <c r="Q80" s="14" t="inlineStr"/>
      <c r="R80" s="39" t="inlineStr"/>
      <c r="S80" s="39" t="inlineStr"/>
      <c r="T80" s="39" t="inlineStr"/>
      <c r="U80" s="39" t="inlineStr"/>
      <c r="V80" s="34" t="inlineStr">
        <is>
          <t>WBS Code = 1.1.1</t>
        </is>
      </c>
      <c r="W80" s="14" t="inlineStr"/>
    </row>
    <row r="81" ht="64" customHeight="1">
      <c r="A81" s="34" t="inlineStr">
        <is>
          <t>1.1.1</t>
        </is>
      </c>
      <c r="B81" s="34" t="inlineStr">
        <is>
          <t>Guideway and Civil - Guideway Structures</t>
        </is>
      </c>
      <c r="C81" s="34" t="inlineStr">
        <is>
          <t>Contractor Programme</t>
        </is>
      </c>
      <c r="D81" s="34" t="inlineStr">
        <is>
          <t>SCH-01-104</t>
        </is>
      </c>
      <c r="E81" s="34" t="inlineStr">
        <is>
          <t>River crossing: utility relocation - release</t>
        </is>
      </c>
      <c r="F81" s="34" t="inlineStr">
        <is>
          <t>ONE_TO_ONE</t>
        </is>
      </c>
      <c r="G81" s="34" t="inlineStr">
        <is>
          <t>APPROVED</t>
        </is>
      </c>
      <c r="H81" s="34" t="inlineStr">
        <is>
          <t>New</t>
        </is>
      </c>
      <c r="I81" s="34" t="inlineStr">
        <is>
          <t>Source assignment -- not individually reviewed</t>
        </is>
      </c>
      <c r="J81" s="39" t="inlineStr"/>
      <c r="K81" s="34" t="inlineStr">
        <is>
          <t>Source assignment</t>
        </is>
      </c>
      <c r="L81" s="39" t="inlineStr"/>
      <c r="M81" s="34" t="inlineStr">
        <is>
          <t>Initial</t>
        </is>
      </c>
      <c r="N81" s="34" t="inlineStr">
        <is>
          <t>Rev 0</t>
        </is>
      </c>
      <c r="O81" s="34" t="inlineStr">
        <is>
          <t>R104-v1</t>
        </is>
      </c>
      <c r="P81" s="39" t="inlineStr"/>
      <c r="Q81" s="14" t="inlineStr"/>
      <c r="R81" s="39" t="inlineStr"/>
      <c r="S81" s="39" t="inlineStr"/>
      <c r="T81" s="39" t="inlineStr"/>
      <c r="U81" s="39" t="inlineStr"/>
      <c r="V81" s="34" t="inlineStr">
        <is>
          <t>WBS Code = 1.1.1</t>
        </is>
      </c>
      <c r="W81" s="14" t="inlineStr"/>
    </row>
    <row r="82" ht="64" customHeight="1">
      <c r="A82" s="34" t="inlineStr">
        <is>
          <t>1.1.1</t>
        </is>
      </c>
      <c r="B82" s="34" t="inlineStr">
        <is>
          <t>Guideway and Civil - Guideway Structures</t>
        </is>
      </c>
      <c r="C82" s="34" t="inlineStr">
        <is>
          <t>Contractor Programme</t>
        </is>
      </c>
      <c r="D82" s="34" t="inlineStr">
        <is>
          <t>SCH-01-106</t>
        </is>
      </c>
      <c r="E82" s="34" t="inlineStr">
        <is>
          <t>West approach: temporary traffic staging - installation</t>
        </is>
      </c>
      <c r="F82" s="34" t="inlineStr">
        <is>
          <t>ONE_TO_ONE</t>
        </is>
      </c>
      <c r="G82" s="34" t="inlineStr">
        <is>
          <t>APPROVED</t>
        </is>
      </c>
      <c r="H82" s="34" t="inlineStr">
        <is>
          <t>New</t>
        </is>
      </c>
      <c r="I82" s="34" t="inlineStr">
        <is>
          <t>Source assignment -- not individually reviewed</t>
        </is>
      </c>
      <c r="J82" s="39" t="inlineStr"/>
      <c r="K82" s="34" t="inlineStr">
        <is>
          <t>Source assignment</t>
        </is>
      </c>
      <c r="L82" s="39" t="inlineStr"/>
      <c r="M82" s="34" t="inlineStr">
        <is>
          <t>Initial</t>
        </is>
      </c>
      <c r="N82" s="34" t="inlineStr">
        <is>
          <t>Rev 0</t>
        </is>
      </c>
      <c r="O82" s="34" t="inlineStr">
        <is>
          <t>R106-v1</t>
        </is>
      </c>
      <c r="P82" s="39" t="inlineStr"/>
      <c r="Q82" s="14" t="inlineStr"/>
      <c r="R82" s="39" t="inlineStr"/>
      <c r="S82" s="39" t="inlineStr"/>
      <c r="T82" s="39" t="inlineStr"/>
      <c r="U82" s="39" t="inlineStr"/>
      <c r="V82" s="34" t="inlineStr">
        <is>
          <t>WBS Code = 1.1.1</t>
        </is>
      </c>
      <c r="W82" s="14" t="inlineStr"/>
    </row>
    <row r="83" ht="64" customHeight="1">
      <c r="A83" s="34" t="inlineStr">
        <is>
          <t>1.1.1</t>
        </is>
      </c>
      <c r="B83" s="34" t="inlineStr">
        <is>
          <t>Guideway and Civil - Guideway Structures</t>
        </is>
      </c>
      <c r="C83" s="34" t="inlineStr">
        <is>
          <t>Contractor Programme</t>
        </is>
      </c>
      <c r="D83" s="34" t="inlineStr">
        <is>
          <t>SCH-01-107</t>
        </is>
      </c>
      <c r="E83" s="34" t="inlineStr">
        <is>
          <t>Depot lead: guideway pier reinforcement - inspection</t>
        </is>
      </c>
      <c r="F83" s="34" t="inlineStr">
        <is>
          <t>ONE_TO_ONE</t>
        </is>
      </c>
      <c r="G83" s="34" t="inlineStr">
        <is>
          <t>APPROVED</t>
        </is>
      </c>
      <c r="H83" s="34" t="inlineStr">
        <is>
          <t>New</t>
        </is>
      </c>
      <c r="I83" s="34" t="inlineStr">
        <is>
          <t>Source assignment -- not individually reviewed</t>
        </is>
      </c>
      <c r="J83" s="39" t="inlineStr"/>
      <c r="K83" s="34" t="inlineStr">
        <is>
          <t>Source assignment</t>
        </is>
      </c>
      <c r="L83" s="39" t="inlineStr"/>
      <c r="M83" s="34" t="inlineStr">
        <is>
          <t>Initial</t>
        </is>
      </c>
      <c r="N83" s="34" t="inlineStr">
        <is>
          <t>Rev 0</t>
        </is>
      </c>
      <c r="O83" s="34" t="inlineStr">
        <is>
          <t>R107-v1</t>
        </is>
      </c>
      <c r="P83" s="39" t="inlineStr"/>
      <c r="Q83" s="14" t="inlineStr"/>
      <c r="R83" s="39" t="inlineStr"/>
      <c r="S83" s="39" t="inlineStr"/>
      <c r="T83" s="39" t="inlineStr"/>
      <c r="U83" s="39" t="inlineStr"/>
      <c r="V83" s="34" t="inlineStr">
        <is>
          <t>WBS Code = 1.1.1</t>
        </is>
      </c>
      <c r="W83" s="14" t="inlineStr"/>
    </row>
    <row r="84" ht="64" customHeight="1">
      <c r="A84" s="34" t="inlineStr">
        <is>
          <t>1.1.1</t>
        </is>
      </c>
      <c r="B84" s="34" t="inlineStr">
        <is>
          <t>Guideway and Civil - Guideway Structures</t>
        </is>
      </c>
      <c r="C84" s="34" t="inlineStr">
        <is>
          <t>Contractor Programme</t>
        </is>
      </c>
      <c r="D84" s="34" t="inlineStr">
        <is>
          <t>SCH-01-109</t>
        </is>
      </c>
      <c r="E84" s="34" t="inlineStr">
        <is>
          <t>River crossing: drilled-shaft installation - release</t>
        </is>
      </c>
      <c r="F84" s="34" t="inlineStr">
        <is>
          <t>ONE_TO_ONE</t>
        </is>
      </c>
      <c r="G84" s="34" t="inlineStr">
        <is>
          <t>APPROVED</t>
        </is>
      </c>
      <c r="H84" s="34" t="inlineStr">
        <is>
          <t>New</t>
        </is>
      </c>
      <c r="I84" s="34" t="inlineStr">
        <is>
          <t>Source assignment -- not individually reviewed</t>
        </is>
      </c>
      <c r="J84" s="39" t="inlineStr"/>
      <c r="K84" s="34" t="inlineStr">
        <is>
          <t>Source assignment</t>
        </is>
      </c>
      <c r="L84" s="39" t="inlineStr"/>
      <c r="M84" s="34" t="inlineStr">
        <is>
          <t>Initial</t>
        </is>
      </c>
      <c r="N84" s="34" t="inlineStr">
        <is>
          <t>Rev 0</t>
        </is>
      </c>
      <c r="O84" s="34" t="inlineStr">
        <is>
          <t>R109-v1</t>
        </is>
      </c>
      <c r="P84" s="39" t="inlineStr"/>
      <c r="Q84" s="14" t="inlineStr"/>
      <c r="R84" s="39" t="inlineStr"/>
      <c r="S84" s="39" t="inlineStr"/>
      <c r="T84" s="39" t="inlineStr"/>
      <c r="U84" s="39" t="inlineStr"/>
      <c r="V84" s="34" t="inlineStr">
        <is>
          <t>WBS Code = 1.1.1</t>
        </is>
      </c>
      <c r="W84" s="14" t="inlineStr"/>
    </row>
    <row r="85" ht="64" customHeight="1">
      <c r="A85" s="34" t="inlineStr">
        <is>
          <t>1.1.1</t>
        </is>
      </c>
      <c r="B85" s="34" t="inlineStr">
        <is>
          <t>Guideway and Civil - Guideway Structures</t>
        </is>
      </c>
      <c r="C85" s="34" t="inlineStr">
        <is>
          <t>Contractor Programme</t>
        </is>
      </c>
      <c r="D85" s="34" t="inlineStr">
        <is>
          <t>SCH-01-110</t>
        </is>
      </c>
      <c r="E85" s="34" t="inlineStr">
        <is>
          <t>Central guideway: retaining-wall excavation - field start</t>
        </is>
      </c>
      <c r="F85" s="34" t="inlineStr">
        <is>
          <t>ONE_TO_ONE</t>
        </is>
      </c>
      <c r="G85" s="34" t="inlineStr">
        <is>
          <t>APPROVED</t>
        </is>
      </c>
      <c r="H85" s="34" t="inlineStr">
        <is>
          <t>New</t>
        </is>
      </c>
      <c r="I85" s="34" t="inlineStr">
        <is>
          <t>Source assignment -- not individually reviewed</t>
        </is>
      </c>
      <c r="J85" s="39" t="inlineStr"/>
      <c r="K85" s="34" t="inlineStr">
        <is>
          <t>Source assignment</t>
        </is>
      </c>
      <c r="L85" s="39" t="inlineStr"/>
      <c r="M85" s="34" t="inlineStr">
        <is>
          <t>Initial</t>
        </is>
      </c>
      <c r="N85" s="34" t="inlineStr">
        <is>
          <t>Rev 0</t>
        </is>
      </c>
      <c r="O85" s="34" t="inlineStr">
        <is>
          <t>R110-v1</t>
        </is>
      </c>
      <c r="P85" s="39" t="inlineStr"/>
      <c r="Q85" s="14" t="inlineStr"/>
      <c r="R85" s="39" t="inlineStr"/>
      <c r="S85" s="39" t="inlineStr"/>
      <c r="T85" s="39" t="inlineStr"/>
      <c r="U85" s="39" t="inlineStr"/>
      <c r="V85" s="34" t="inlineStr">
        <is>
          <t>WBS Code = 1.1.1</t>
        </is>
      </c>
      <c r="W85" s="14" t="inlineStr"/>
    </row>
    <row r="86" ht="64" customHeight="1">
      <c r="A86" s="34" t="inlineStr">
        <is>
          <t>1.1.1</t>
        </is>
      </c>
      <c r="B86" s="34" t="inlineStr">
        <is>
          <t>Guideway and Civil - Guideway Structures</t>
        </is>
      </c>
      <c r="C86" s="34" t="inlineStr">
        <is>
          <t>Contractor Programme</t>
        </is>
      </c>
      <c r="D86" s="34" t="inlineStr">
        <is>
          <t>SCH-01-112</t>
        </is>
      </c>
      <c r="E86" s="34" t="inlineStr">
        <is>
          <t>Depot lead: utility relocation - inspection</t>
        </is>
      </c>
      <c r="F86" s="34" t="inlineStr">
        <is>
          <t>ONE_TO_ONE</t>
        </is>
      </c>
      <c r="G86" s="34" t="inlineStr">
        <is>
          <t>APPROVED</t>
        </is>
      </c>
      <c r="H86" s="34" t="inlineStr">
        <is>
          <t>New</t>
        </is>
      </c>
      <c r="I86" s="34" t="inlineStr">
        <is>
          <t>Source assignment -- not individually reviewed</t>
        </is>
      </c>
      <c r="J86" s="39" t="inlineStr"/>
      <c r="K86" s="34" t="inlineStr">
        <is>
          <t>Source assignment</t>
        </is>
      </c>
      <c r="L86" s="39" t="inlineStr"/>
      <c r="M86" s="34" t="inlineStr">
        <is>
          <t>Initial</t>
        </is>
      </c>
      <c r="N86" s="34" t="inlineStr">
        <is>
          <t>Rev 0</t>
        </is>
      </c>
      <c r="O86" s="34" t="inlineStr">
        <is>
          <t>R112-v1</t>
        </is>
      </c>
      <c r="P86" s="39" t="inlineStr"/>
      <c r="Q86" s="14" t="inlineStr"/>
      <c r="R86" s="39" t="inlineStr"/>
      <c r="S86" s="39" t="inlineStr"/>
      <c r="T86" s="39" t="inlineStr"/>
      <c r="U86" s="39" t="inlineStr"/>
      <c r="V86" s="34" t="inlineStr">
        <is>
          <t>WBS Code = 1.1.1</t>
        </is>
      </c>
      <c r="W86" s="14" t="inlineStr"/>
    </row>
    <row r="87" ht="64" customHeight="1">
      <c r="A87" s="34" t="inlineStr">
        <is>
          <t>1.1.1</t>
        </is>
      </c>
      <c r="B87" s="34" t="inlineStr">
        <is>
          <t>Guideway and Civil - Guideway Structures</t>
        </is>
      </c>
      <c r="C87" s="34" t="inlineStr">
        <is>
          <t>Contractor Programme</t>
        </is>
      </c>
      <c r="D87" s="34" t="inlineStr">
        <is>
          <t>SCH-01-113</t>
        </is>
      </c>
      <c r="E87" s="34" t="inlineStr">
        <is>
          <t>East portal: track-slab survey - turnover</t>
        </is>
      </c>
      <c r="F87" s="34" t="inlineStr">
        <is>
          <t>ONE_TO_ONE</t>
        </is>
      </c>
      <c r="G87" s="34" t="inlineStr">
        <is>
          <t>APPROVED</t>
        </is>
      </c>
      <c r="H87" s="34" t="inlineStr">
        <is>
          <t>New</t>
        </is>
      </c>
      <c r="I87" s="34" t="inlineStr">
        <is>
          <t>Source assignment -- not individually reviewed</t>
        </is>
      </c>
      <c r="J87" s="39" t="inlineStr"/>
      <c r="K87" s="34" t="inlineStr">
        <is>
          <t>Source assignment</t>
        </is>
      </c>
      <c r="L87" s="39" t="inlineStr"/>
      <c r="M87" s="34" t="inlineStr">
        <is>
          <t>Initial</t>
        </is>
      </c>
      <c r="N87" s="34" t="inlineStr">
        <is>
          <t>Rev 0</t>
        </is>
      </c>
      <c r="O87" s="34" t="inlineStr">
        <is>
          <t>R113-v1</t>
        </is>
      </c>
      <c r="P87" s="39" t="inlineStr"/>
      <c r="Q87" s="14" t="inlineStr"/>
      <c r="R87" s="39" t="inlineStr"/>
      <c r="S87" s="39" t="inlineStr"/>
      <c r="T87" s="39" t="inlineStr"/>
      <c r="U87" s="39" t="inlineStr"/>
      <c r="V87" s="34" t="inlineStr">
        <is>
          <t>WBS Code = 1.1.1</t>
        </is>
      </c>
      <c r="W87" s="14" t="inlineStr"/>
    </row>
    <row r="88" ht="64" customHeight="1">
      <c r="A88" s="34" t="inlineStr">
        <is>
          <t>1.1.1</t>
        </is>
      </c>
      <c r="B88" s="34" t="inlineStr">
        <is>
          <t>Guideway and Civil - Guideway Structures</t>
        </is>
      </c>
      <c r="C88" s="34" t="inlineStr">
        <is>
          <t>Contractor Programme</t>
        </is>
      </c>
      <c r="D88" s="34" t="inlineStr">
        <is>
          <t>SCH-01-115</t>
        </is>
      </c>
      <c r="E88" s="34" t="inlineStr">
        <is>
          <t>Central guideway: guideway pier reinforcement - field start</t>
        </is>
      </c>
      <c r="F88" s="34" t="inlineStr">
        <is>
          <t>ONE_TO_ONE</t>
        </is>
      </c>
      <c r="G88" s="34" t="inlineStr">
        <is>
          <t>APPROVED</t>
        </is>
      </c>
      <c r="H88" s="34" t="inlineStr">
        <is>
          <t>New</t>
        </is>
      </c>
      <c r="I88" s="34" t="inlineStr">
        <is>
          <t>Source assignment -- not individually reviewed</t>
        </is>
      </c>
      <c r="J88" s="39" t="inlineStr"/>
      <c r="K88" s="34" t="inlineStr">
        <is>
          <t>Source assignment</t>
        </is>
      </c>
      <c r="L88" s="39" t="inlineStr"/>
      <c r="M88" s="34" t="inlineStr">
        <is>
          <t>Initial</t>
        </is>
      </c>
      <c r="N88" s="34" t="inlineStr">
        <is>
          <t>Rev 0</t>
        </is>
      </c>
      <c r="O88" s="34" t="inlineStr">
        <is>
          <t>R115-v1</t>
        </is>
      </c>
      <c r="P88" s="39" t="inlineStr"/>
      <c r="Q88" s="14" t="inlineStr"/>
      <c r="R88" s="39" t="inlineStr"/>
      <c r="S88" s="39" t="inlineStr"/>
      <c r="T88" s="39" t="inlineStr"/>
      <c r="U88" s="39" t="inlineStr"/>
      <c r="V88" s="34" t="inlineStr">
        <is>
          <t>WBS Code = 1.1.1</t>
        </is>
      </c>
      <c r="W88" s="14" t="inlineStr"/>
    </row>
    <row r="89" ht="64" customHeight="1">
      <c r="A89" s="34" t="inlineStr">
        <is>
          <t>1.1.1</t>
        </is>
      </c>
      <c r="B89" s="34" t="inlineStr">
        <is>
          <t>Guideway and Civil - Guideway Structures</t>
        </is>
      </c>
      <c r="C89" s="34" t="inlineStr">
        <is>
          <t>Contractor Programme</t>
        </is>
      </c>
      <c r="D89" s="34" t="inlineStr">
        <is>
          <t>SCH-01-116</t>
        </is>
      </c>
      <c r="E89" s="34" t="inlineStr">
        <is>
          <t>West approach: road restoration - installation</t>
        </is>
      </c>
      <c r="F89" s="34" t="inlineStr">
        <is>
          <t>ONE_TO_ONE</t>
        </is>
      </c>
      <c r="G89" s="34" t="inlineStr">
        <is>
          <t>APPROVED</t>
        </is>
      </c>
      <c r="H89" s="34" t="inlineStr">
        <is>
          <t>New</t>
        </is>
      </c>
      <c r="I89" s="34" t="inlineStr">
        <is>
          <t>Source assignment -- not individually reviewed</t>
        </is>
      </c>
      <c r="J89" s="39" t="inlineStr"/>
      <c r="K89" s="34" t="inlineStr">
        <is>
          <t>Source assignment</t>
        </is>
      </c>
      <c r="L89" s="39" t="inlineStr"/>
      <c r="M89" s="34" t="inlineStr">
        <is>
          <t>Initial</t>
        </is>
      </c>
      <c r="N89" s="34" t="inlineStr">
        <is>
          <t>Rev 0</t>
        </is>
      </c>
      <c r="O89" s="34" t="inlineStr">
        <is>
          <t>R116-v1</t>
        </is>
      </c>
      <c r="P89" s="39" t="inlineStr"/>
      <c r="Q89" s="14" t="inlineStr"/>
      <c r="R89" s="39" t="inlineStr"/>
      <c r="S89" s="39" t="inlineStr"/>
      <c r="T89" s="39" t="inlineStr"/>
      <c r="U89" s="39" t="inlineStr"/>
      <c r="V89" s="34" t="inlineStr">
        <is>
          <t>WBS Code = 1.1.1</t>
        </is>
      </c>
      <c r="W89" s="14" t="inlineStr"/>
    </row>
    <row r="90" ht="64" customHeight="1">
      <c r="A90" s="34" t="inlineStr">
        <is>
          <t>1.1.1</t>
        </is>
      </c>
      <c r="B90" s="34" t="inlineStr">
        <is>
          <t>Guideway and Civil - Guideway Structures</t>
        </is>
      </c>
      <c r="C90" s="34" t="inlineStr">
        <is>
          <t>Contractor Programme</t>
        </is>
      </c>
      <c r="D90" s="34" t="inlineStr">
        <is>
          <t>SCH-01-118</t>
        </is>
      </c>
      <c r="E90" s="34" t="inlineStr">
        <is>
          <t>East portal: retaining-wall excavation - turnover</t>
        </is>
      </c>
      <c r="F90" s="34" t="inlineStr">
        <is>
          <t>ONE_TO_ONE</t>
        </is>
      </c>
      <c r="G90" s="34" t="inlineStr">
        <is>
          <t>APPROVED</t>
        </is>
      </c>
      <c r="H90" s="34" t="inlineStr">
        <is>
          <t>New</t>
        </is>
      </c>
      <c r="I90" s="34" t="inlineStr">
        <is>
          <t>Source assignment -- not individually reviewed</t>
        </is>
      </c>
      <c r="J90" s="39" t="inlineStr"/>
      <c r="K90" s="34" t="inlineStr">
        <is>
          <t>Source assignment</t>
        </is>
      </c>
      <c r="L90" s="39" t="inlineStr"/>
      <c r="M90" s="34" t="inlineStr">
        <is>
          <t>Initial</t>
        </is>
      </c>
      <c r="N90" s="34" t="inlineStr">
        <is>
          <t>Rev 0</t>
        </is>
      </c>
      <c r="O90" s="34" t="inlineStr">
        <is>
          <t>R118-v1</t>
        </is>
      </c>
      <c r="P90" s="39" t="inlineStr"/>
      <c r="Q90" s="14" t="inlineStr"/>
      <c r="R90" s="39" t="inlineStr"/>
      <c r="S90" s="39" t="inlineStr"/>
      <c r="T90" s="39" t="inlineStr"/>
      <c r="U90" s="39" t="inlineStr"/>
      <c r="V90" s="34" t="inlineStr">
        <is>
          <t>WBS Code = 1.1.1</t>
        </is>
      </c>
      <c r="W90" s="14" t="inlineStr"/>
    </row>
    <row r="91" ht="64" customHeight="1">
      <c r="A91" s="34" t="inlineStr">
        <is>
          <t>1.1.1</t>
        </is>
      </c>
      <c r="B91" s="34" t="inlineStr">
        <is>
          <t>Guideway and Civil - Guideway Structures</t>
        </is>
      </c>
      <c r="C91" s="34" t="inlineStr">
        <is>
          <t>Contractor Programme</t>
        </is>
      </c>
      <c r="D91" s="34" t="inlineStr">
        <is>
          <t>SCH-01-119</t>
        </is>
      </c>
      <c r="E91" s="34" t="inlineStr">
        <is>
          <t>River crossing: drainage tie-in - release</t>
        </is>
      </c>
      <c r="F91" s="34" t="inlineStr">
        <is>
          <t>ONE_TO_ONE</t>
        </is>
      </c>
      <c r="G91" s="34" t="inlineStr">
        <is>
          <t>APPROVED</t>
        </is>
      </c>
      <c r="H91" s="34" t="inlineStr">
        <is>
          <t>New</t>
        </is>
      </c>
      <c r="I91" s="34" t="inlineStr">
        <is>
          <t>Source assignment -- not individually reviewed</t>
        </is>
      </c>
      <c r="J91" s="39" t="inlineStr"/>
      <c r="K91" s="34" t="inlineStr">
        <is>
          <t>Source assignment</t>
        </is>
      </c>
      <c r="L91" s="39" t="inlineStr"/>
      <c r="M91" s="34" t="inlineStr">
        <is>
          <t>Initial</t>
        </is>
      </c>
      <c r="N91" s="34" t="inlineStr">
        <is>
          <t>Rev 0</t>
        </is>
      </c>
      <c r="O91" s="34" t="inlineStr">
        <is>
          <t>R119-v1</t>
        </is>
      </c>
      <c r="P91" s="39" t="inlineStr"/>
      <c r="Q91" s="14" t="inlineStr"/>
      <c r="R91" s="39" t="inlineStr"/>
      <c r="S91" s="39" t="inlineStr"/>
      <c r="T91" s="39" t="inlineStr"/>
      <c r="U91" s="39" t="inlineStr"/>
      <c r="V91" s="34" t="inlineStr">
        <is>
          <t>WBS Code = 1.1.1</t>
        </is>
      </c>
      <c r="W91" s="14" t="inlineStr"/>
    </row>
    <row r="92" ht="64" customHeight="1">
      <c r="A92" s="34" t="inlineStr">
        <is>
          <t>1.1.1</t>
        </is>
      </c>
      <c r="B92" s="34" t="inlineStr">
        <is>
          <t>Guideway and Civil - Guideway Structures</t>
        </is>
      </c>
      <c r="C92" s="34" t="inlineStr">
        <is>
          <t>Contractor Programme</t>
        </is>
      </c>
      <c r="D92" s="34" t="inlineStr">
        <is>
          <t>SCH-01-121</t>
        </is>
      </c>
      <c r="E92" s="34" t="inlineStr">
        <is>
          <t>West approach: track-slab survey - installation</t>
        </is>
      </c>
      <c r="F92" s="34" t="inlineStr">
        <is>
          <t>ONE_TO_ONE</t>
        </is>
      </c>
      <c r="G92" s="34" t="inlineStr">
        <is>
          <t>APPROVED</t>
        </is>
      </c>
      <c r="H92" s="34" t="inlineStr">
        <is>
          <t>New</t>
        </is>
      </c>
      <c r="I92" s="34" t="inlineStr">
        <is>
          <t>Source assignment -- not individually reviewed</t>
        </is>
      </c>
      <c r="J92" s="39" t="inlineStr"/>
      <c r="K92" s="34" t="inlineStr">
        <is>
          <t>Source assignment</t>
        </is>
      </c>
      <c r="L92" s="39" t="inlineStr"/>
      <c r="M92" s="34" t="inlineStr">
        <is>
          <t>Initial</t>
        </is>
      </c>
      <c r="N92" s="34" t="inlineStr">
        <is>
          <t>Rev 0</t>
        </is>
      </c>
      <c r="O92" s="34" t="inlineStr">
        <is>
          <t>R121-v1</t>
        </is>
      </c>
      <c r="P92" s="39" t="inlineStr"/>
      <c r="Q92" s="14" t="inlineStr"/>
      <c r="R92" s="39" t="inlineStr"/>
      <c r="S92" s="39" t="inlineStr"/>
      <c r="T92" s="39" t="inlineStr"/>
      <c r="U92" s="39" t="inlineStr"/>
      <c r="V92" s="34" t="inlineStr">
        <is>
          <t>WBS Code = 1.1.1</t>
        </is>
      </c>
      <c r="W92" s="14" t="inlineStr"/>
    </row>
    <row r="93" ht="64" customHeight="1">
      <c r="A93" s="34" t="inlineStr">
        <is>
          <t>1.1.1</t>
        </is>
      </c>
      <c r="B93" s="34" t="inlineStr">
        <is>
          <t>Guideway and Civil - Guideway Structures</t>
        </is>
      </c>
      <c r="C93" s="34" t="inlineStr">
        <is>
          <t>Contractor Programme</t>
        </is>
      </c>
      <c r="D93" s="34" t="inlineStr">
        <is>
          <t>SCH-01-122</t>
        </is>
      </c>
      <c r="E93" s="34" t="inlineStr">
        <is>
          <t>Depot lead: temporary traffic staging - inspection</t>
        </is>
      </c>
      <c r="F93" s="34" t="inlineStr">
        <is>
          <t>ONE_TO_ONE</t>
        </is>
      </c>
      <c r="G93" s="34" t="inlineStr">
        <is>
          <t>APPROVED</t>
        </is>
      </c>
      <c r="H93" s="34" t="inlineStr">
        <is>
          <t>New</t>
        </is>
      </c>
      <c r="I93" s="34" t="inlineStr">
        <is>
          <t>Source assignment -- not individually reviewed</t>
        </is>
      </c>
      <c r="J93" s="39" t="inlineStr"/>
      <c r="K93" s="34" t="inlineStr">
        <is>
          <t>Source assignment</t>
        </is>
      </c>
      <c r="L93" s="39" t="inlineStr"/>
      <c r="M93" s="34" t="inlineStr">
        <is>
          <t>Initial</t>
        </is>
      </c>
      <c r="N93" s="34" t="inlineStr">
        <is>
          <t>Rev 0</t>
        </is>
      </c>
      <c r="O93" s="34" t="inlineStr">
        <is>
          <t>R122-v1</t>
        </is>
      </c>
      <c r="P93" s="39" t="inlineStr"/>
      <c r="Q93" s="14" t="inlineStr"/>
      <c r="R93" s="39" t="inlineStr"/>
      <c r="S93" s="39" t="inlineStr"/>
      <c r="T93" s="39" t="inlineStr"/>
      <c r="U93" s="39" t="inlineStr"/>
      <c r="V93" s="34" t="inlineStr">
        <is>
          <t>WBS Code = 1.1.1</t>
        </is>
      </c>
      <c r="W93" s="14" t="inlineStr"/>
    </row>
    <row r="94" ht="64" customHeight="1">
      <c r="A94" s="34" t="inlineStr">
        <is>
          <t>1.1.1</t>
        </is>
      </c>
      <c r="B94" s="34" t="inlineStr">
        <is>
          <t>Guideway and Civil - Guideway Structures</t>
        </is>
      </c>
      <c r="C94" s="34" t="inlineStr">
        <is>
          <t>Contractor Programme</t>
        </is>
      </c>
      <c r="D94" s="34" t="inlineStr">
        <is>
          <t>SCH-01-124</t>
        </is>
      </c>
      <c r="E94" s="34" t="inlineStr">
        <is>
          <t>River crossing: road restoration - release</t>
        </is>
      </c>
      <c r="F94" s="34" t="inlineStr">
        <is>
          <t>ONE_TO_ONE</t>
        </is>
      </c>
      <c r="G94" s="34" t="inlineStr">
        <is>
          <t>APPROVED</t>
        </is>
      </c>
      <c r="H94" s="34" t="inlineStr">
        <is>
          <t>New</t>
        </is>
      </c>
      <c r="I94" s="34" t="inlineStr">
        <is>
          <t>Source assignment -- not individually reviewed</t>
        </is>
      </c>
      <c r="J94" s="39" t="inlineStr"/>
      <c r="K94" s="34" t="inlineStr">
        <is>
          <t>Source assignment</t>
        </is>
      </c>
      <c r="L94" s="39" t="inlineStr"/>
      <c r="M94" s="34" t="inlineStr">
        <is>
          <t>Initial</t>
        </is>
      </c>
      <c r="N94" s="34" t="inlineStr">
        <is>
          <t>Rev 0</t>
        </is>
      </c>
      <c r="O94" s="34" t="inlineStr">
        <is>
          <t>R124-v1</t>
        </is>
      </c>
      <c r="P94" s="39" t="inlineStr"/>
      <c r="Q94" s="14" t="inlineStr"/>
      <c r="R94" s="39" t="inlineStr"/>
      <c r="S94" s="39" t="inlineStr"/>
      <c r="T94" s="39" t="inlineStr"/>
      <c r="U94" s="39" t="inlineStr"/>
      <c r="V94" s="34" t="inlineStr">
        <is>
          <t>WBS Code = 1.1.1</t>
        </is>
      </c>
      <c r="W94" s="14" t="inlineStr"/>
    </row>
    <row r="95" ht="64" customHeight="1">
      <c r="A95" s="34" t="inlineStr">
        <is>
          <t>1.1.1</t>
        </is>
      </c>
      <c r="B95" s="34" t="inlineStr">
        <is>
          <t>Guideway and Civil - Guideway Structures</t>
        </is>
      </c>
      <c r="C95" s="34" t="inlineStr">
        <is>
          <t>Contractor Programme</t>
        </is>
      </c>
      <c r="D95" s="34" t="inlineStr">
        <is>
          <t>SCH-01-125</t>
        </is>
      </c>
      <c r="E95" s="34" t="inlineStr">
        <is>
          <t>Central guideway: drilled-shaft installation - field start</t>
        </is>
      </c>
      <c r="F95" s="34" t="inlineStr">
        <is>
          <t>ONE_TO_ONE</t>
        </is>
      </c>
      <c r="G95" s="34" t="inlineStr">
        <is>
          <t>APPROVED</t>
        </is>
      </c>
      <c r="H95" s="34" t="inlineStr">
        <is>
          <t>New</t>
        </is>
      </c>
      <c r="I95" s="34" t="inlineStr">
        <is>
          <t>Source assignment -- not individually reviewed</t>
        </is>
      </c>
      <c r="J95" s="39" t="inlineStr"/>
      <c r="K95" s="34" t="inlineStr">
        <is>
          <t>Source assignment</t>
        </is>
      </c>
      <c r="L95" s="39" t="inlineStr"/>
      <c r="M95" s="34" t="inlineStr">
        <is>
          <t>Initial</t>
        </is>
      </c>
      <c r="N95" s="34" t="inlineStr">
        <is>
          <t>Rev 0</t>
        </is>
      </c>
      <c r="O95" s="34" t="inlineStr">
        <is>
          <t>R125-v1</t>
        </is>
      </c>
      <c r="P95" s="39" t="inlineStr"/>
      <c r="Q95" s="14" t="inlineStr"/>
      <c r="R95" s="39" t="inlineStr"/>
      <c r="S95" s="39" t="inlineStr"/>
      <c r="T95" s="39" t="inlineStr"/>
      <c r="U95" s="39" t="inlineStr"/>
      <c r="V95" s="34" t="inlineStr">
        <is>
          <t>WBS Code = 1.1.1</t>
        </is>
      </c>
      <c r="W95" s="14" t="inlineStr"/>
    </row>
    <row r="96" ht="64" customHeight="1">
      <c r="A96" s="34" t="inlineStr">
        <is>
          <t>1.1.1</t>
        </is>
      </c>
      <c r="B96" s="34" t="inlineStr">
        <is>
          <t>Guideway and Civil - Guideway Structures</t>
        </is>
      </c>
      <c r="C96" s="34" t="inlineStr">
        <is>
          <t>Contractor Programme</t>
        </is>
      </c>
      <c r="D96" s="34" t="inlineStr">
        <is>
          <t>SCH-01-127</t>
        </is>
      </c>
      <c r="E96" s="34" t="inlineStr">
        <is>
          <t>Depot lead: drainage tie-in - inspection</t>
        </is>
      </c>
      <c r="F96" s="34" t="inlineStr">
        <is>
          <t>ONE_TO_ONE</t>
        </is>
      </c>
      <c r="G96" s="34" t="inlineStr">
        <is>
          <t>APPROVED</t>
        </is>
      </c>
      <c r="H96" s="34" t="inlineStr">
        <is>
          <t>New</t>
        </is>
      </c>
      <c r="I96" s="34" t="inlineStr">
        <is>
          <t>Source assignment -- not individually reviewed</t>
        </is>
      </c>
      <c r="J96" s="39" t="inlineStr"/>
      <c r="K96" s="34" t="inlineStr">
        <is>
          <t>Source assignment</t>
        </is>
      </c>
      <c r="L96" s="39" t="inlineStr"/>
      <c r="M96" s="34" t="inlineStr">
        <is>
          <t>Initial</t>
        </is>
      </c>
      <c r="N96" s="34" t="inlineStr">
        <is>
          <t>Rev 0</t>
        </is>
      </c>
      <c r="O96" s="34" t="inlineStr">
        <is>
          <t>R127-v1</t>
        </is>
      </c>
      <c r="P96" s="39" t="inlineStr"/>
      <c r="Q96" s="14" t="inlineStr"/>
      <c r="R96" s="39" t="inlineStr"/>
      <c r="S96" s="39" t="inlineStr"/>
      <c r="T96" s="39" t="inlineStr"/>
      <c r="U96" s="39" t="inlineStr"/>
      <c r="V96" s="34" t="inlineStr">
        <is>
          <t>WBS Code = 1.1.1</t>
        </is>
      </c>
      <c r="W96" s="14" t="inlineStr"/>
    </row>
    <row r="97" ht="64" customHeight="1">
      <c r="A97" s="34" t="inlineStr">
        <is>
          <t>1.1.1</t>
        </is>
      </c>
      <c r="B97" s="34" t="inlineStr">
        <is>
          <t>Guideway and Civil - Guideway Structures</t>
        </is>
      </c>
      <c r="C97" s="34" t="inlineStr">
        <is>
          <t>Contractor Programme</t>
        </is>
      </c>
      <c r="D97" s="34" t="inlineStr">
        <is>
          <t>SCH-01-128</t>
        </is>
      </c>
      <c r="E97" s="34" t="inlineStr">
        <is>
          <t>East portal: utility relocation - turnover</t>
        </is>
      </c>
      <c r="F97" s="34" t="inlineStr">
        <is>
          <t>ONE_TO_ONE</t>
        </is>
      </c>
      <c r="G97" s="34" t="inlineStr">
        <is>
          <t>APPROVED</t>
        </is>
      </c>
      <c r="H97" s="34" t="inlineStr">
        <is>
          <t>New</t>
        </is>
      </c>
      <c r="I97" s="34" t="inlineStr">
        <is>
          <t>Source assignment -- not individually reviewed</t>
        </is>
      </c>
      <c r="J97" s="39" t="inlineStr"/>
      <c r="K97" s="34" t="inlineStr">
        <is>
          <t>Source assignment</t>
        </is>
      </c>
      <c r="L97" s="39" t="inlineStr"/>
      <c r="M97" s="34" t="inlineStr">
        <is>
          <t>Initial</t>
        </is>
      </c>
      <c r="N97" s="34" t="inlineStr">
        <is>
          <t>Rev 0</t>
        </is>
      </c>
      <c r="O97" s="34" t="inlineStr">
        <is>
          <t>R128-v1</t>
        </is>
      </c>
      <c r="P97" s="39" t="inlineStr"/>
      <c r="Q97" s="14" t="inlineStr"/>
      <c r="R97" s="39" t="inlineStr"/>
      <c r="S97" s="39" t="inlineStr"/>
      <c r="T97" s="39" t="inlineStr"/>
      <c r="U97" s="39" t="inlineStr"/>
      <c r="V97" s="34" t="inlineStr">
        <is>
          <t>WBS Code = 1.1.1</t>
        </is>
      </c>
      <c r="W97" s="14" t="inlineStr"/>
    </row>
    <row r="98" ht="64" customHeight="1">
      <c r="A98" s="34" t="inlineStr">
        <is>
          <t>1.1.1</t>
        </is>
      </c>
      <c r="B98" s="34" t="inlineStr">
        <is>
          <t>Guideway and Civil - Guideway Structures</t>
        </is>
      </c>
      <c r="C98" s="34" t="inlineStr">
        <is>
          <t>Contractor Programme</t>
        </is>
      </c>
      <c r="D98" s="34" t="inlineStr">
        <is>
          <t>SCH-01-130</t>
        </is>
      </c>
      <c r="E98" s="34" t="inlineStr">
        <is>
          <t>Central guideway: temporary traffic staging - field start</t>
        </is>
      </c>
      <c r="F98" s="34" t="inlineStr">
        <is>
          <t>ONE_TO_ONE</t>
        </is>
      </c>
      <c r="G98" s="34" t="inlineStr">
        <is>
          <t>APPROVED</t>
        </is>
      </c>
      <c r="H98" s="34" t="inlineStr">
        <is>
          <t>New</t>
        </is>
      </c>
      <c r="I98" s="34" t="inlineStr">
        <is>
          <t>Source assignment -- not individually reviewed</t>
        </is>
      </c>
      <c r="J98" s="39" t="inlineStr"/>
      <c r="K98" s="34" t="inlineStr">
        <is>
          <t>Source assignment</t>
        </is>
      </c>
      <c r="L98" s="39" t="inlineStr"/>
      <c r="M98" s="34" t="inlineStr">
        <is>
          <t>Initial</t>
        </is>
      </c>
      <c r="N98" s="34" t="inlineStr">
        <is>
          <t>Rev 0</t>
        </is>
      </c>
      <c r="O98" s="34" t="inlineStr">
        <is>
          <t>R130-v1</t>
        </is>
      </c>
      <c r="P98" s="39" t="inlineStr"/>
      <c r="Q98" s="14" t="inlineStr"/>
      <c r="R98" s="39" t="inlineStr"/>
      <c r="S98" s="39" t="inlineStr"/>
      <c r="T98" s="39" t="inlineStr"/>
      <c r="U98" s="39" t="inlineStr"/>
      <c r="V98" s="34" t="inlineStr">
        <is>
          <t>WBS Code = 1.1.1</t>
        </is>
      </c>
      <c r="W98" s="14" t="inlineStr"/>
    </row>
    <row r="99" ht="64" customHeight="1">
      <c r="A99" s="34" t="inlineStr">
        <is>
          <t>1.1.1</t>
        </is>
      </c>
      <c r="B99" s="34" t="inlineStr">
        <is>
          <t>Guideway and Civil - Guideway Structures</t>
        </is>
      </c>
      <c r="C99" s="34" t="inlineStr">
        <is>
          <t>Contractor Programme</t>
        </is>
      </c>
      <c r="D99" s="34" t="inlineStr">
        <is>
          <t>SCH-01-131</t>
        </is>
      </c>
      <c r="E99" s="34" t="inlineStr">
        <is>
          <t>West approach: guideway pier reinforcement - installation</t>
        </is>
      </c>
      <c r="F99" s="34" t="inlineStr">
        <is>
          <t>ONE_TO_ONE</t>
        </is>
      </c>
      <c r="G99" s="34" t="inlineStr">
        <is>
          <t>APPROVED</t>
        </is>
      </c>
      <c r="H99" s="34" t="inlineStr">
        <is>
          <t>New</t>
        </is>
      </c>
      <c r="I99" s="34" t="inlineStr">
        <is>
          <t>Source assignment -- not individually reviewed</t>
        </is>
      </c>
      <c r="J99" s="39" t="inlineStr"/>
      <c r="K99" s="34" t="inlineStr">
        <is>
          <t>Source assignment</t>
        </is>
      </c>
      <c r="L99" s="39" t="inlineStr"/>
      <c r="M99" s="34" t="inlineStr">
        <is>
          <t>Initial</t>
        </is>
      </c>
      <c r="N99" s="34" t="inlineStr">
        <is>
          <t>Rev 0</t>
        </is>
      </c>
      <c r="O99" s="34" t="inlineStr">
        <is>
          <t>R131-v1</t>
        </is>
      </c>
      <c r="P99" s="39" t="inlineStr"/>
      <c r="Q99" s="14" t="inlineStr"/>
      <c r="R99" s="39" t="inlineStr"/>
      <c r="S99" s="39" t="inlineStr"/>
      <c r="T99" s="39" t="inlineStr"/>
      <c r="U99" s="39" t="inlineStr"/>
      <c r="V99" s="34" t="inlineStr">
        <is>
          <t>WBS Code = 1.1.1</t>
        </is>
      </c>
      <c r="W99" s="14" t="inlineStr"/>
    </row>
    <row r="100" ht="64" customHeight="1">
      <c r="A100" s="34" t="inlineStr">
        <is>
          <t>1.1.1</t>
        </is>
      </c>
      <c r="B100" s="34" t="inlineStr">
        <is>
          <t>Guideway and Civil - Guideway Structures</t>
        </is>
      </c>
      <c r="C100" s="34" t="inlineStr">
        <is>
          <t>Contractor Programme</t>
        </is>
      </c>
      <c r="D100" s="34" t="inlineStr">
        <is>
          <t>SCH-01-133</t>
        </is>
      </c>
      <c r="E100" s="34" t="inlineStr">
        <is>
          <t>East portal: drilled-shaft installation - turnover</t>
        </is>
      </c>
      <c r="F100" s="34" t="inlineStr">
        <is>
          <t>ONE_TO_ONE</t>
        </is>
      </c>
      <c r="G100" s="34" t="inlineStr">
        <is>
          <t>APPROVED</t>
        </is>
      </c>
      <c r="H100" s="34" t="inlineStr">
        <is>
          <t>New</t>
        </is>
      </c>
      <c r="I100" s="34" t="inlineStr">
        <is>
          <t>Source assignment -- not individually reviewed</t>
        </is>
      </c>
      <c r="J100" s="39" t="inlineStr"/>
      <c r="K100" s="34" t="inlineStr">
        <is>
          <t>Source assignment</t>
        </is>
      </c>
      <c r="L100" s="39" t="inlineStr"/>
      <c r="M100" s="34" t="inlineStr">
        <is>
          <t>Initial</t>
        </is>
      </c>
      <c r="N100" s="34" t="inlineStr">
        <is>
          <t>Rev 0</t>
        </is>
      </c>
      <c r="O100" s="34" t="inlineStr">
        <is>
          <t>R133-v1</t>
        </is>
      </c>
      <c r="P100" s="39" t="inlineStr"/>
      <c r="Q100" s="14" t="inlineStr"/>
      <c r="R100" s="39" t="inlineStr"/>
      <c r="S100" s="39" t="inlineStr"/>
      <c r="T100" s="39" t="inlineStr"/>
      <c r="U100" s="39" t="inlineStr"/>
      <c r="V100" s="34" t="inlineStr">
        <is>
          <t>WBS Code = 1.1.1</t>
        </is>
      </c>
      <c r="W100" s="14" t="inlineStr"/>
    </row>
    <row r="101" ht="64" customHeight="1">
      <c r="A101" s="34" t="inlineStr">
        <is>
          <t>1.1.1</t>
        </is>
      </c>
      <c r="B101" s="34" t="inlineStr">
        <is>
          <t>Guideway and Civil - Guideway Structures</t>
        </is>
      </c>
      <c r="C101" s="34" t="inlineStr">
        <is>
          <t>Contractor Programme</t>
        </is>
      </c>
      <c r="D101" s="34" t="inlineStr">
        <is>
          <t>SCH-01-134</t>
        </is>
      </c>
      <c r="E101" s="34" t="inlineStr">
        <is>
          <t>River crossing: retaining-wall excavation - release</t>
        </is>
      </c>
      <c r="F101" s="34" t="inlineStr">
        <is>
          <t>ONE_TO_ONE</t>
        </is>
      </c>
      <c r="G101" s="34" t="inlineStr">
        <is>
          <t>APPROVED</t>
        </is>
      </c>
      <c r="H101" s="34" t="inlineStr">
        <is>
          <t>New</t>
        </is>
      </c>
      <c r="I101" s="34" t="inlineStr">
        <is>
          <t>Source assignment -- not individually reviewed</t>
        </is>
      </c>
      <c r="J101" s="39" t="inlineStr"/>
      <c r="K101" s="34" t="inlineStr">
        <is>
          <t>Source assignment</t>
        </is>
      </c>
      <c r="L101" s="39" t="inlineStr"/>
      <c r="M101" s="34" t="inlineStr">
        <is>
          <t>Initial</t>
        </is>
      </c>
      <c r="N101" s="34" t="inlineStr">
        <is>
          <t>Rev 0</t>
        </is>
      </c>
      <c r="O101" s="34" t="inlineStr">
        <is>
          <t>R134-v1</t>
        </is>
      </c>
      <c r="P101" s="39" t="inlineStr"/>
      <c r="Q101" s="14" t="inlineStr"/>
      <c r="R101" s="39" t="inlineStr"/>
      <c r="S101" s="39" t="inlineStr"/>
      <c r="T101" s="39" t="inlineStr"/>
      <c r="U101" s="39" t="inlineStr"/>
      <c r="V101" s="34" t="inlineStr">
        <is>
          <t>WBS Code = 1.1.1</t>
        </is>
      </c>
      <c r="W101" s="14" t="inlineStr"/>
    </row>
    <row r="102" ht="64" customHeight="1">
      <c r="A102" s="34" t="inlineStr">
        <is>
          <t>1.1.1</t>
        </is>
      </c>
      <c r="B102" s="34" t="inlineStr">
        <is>
          <t>Guideway and Civil - Guideway Structures</t>
        </is>
      </c>
      <c r="C102" s="34" t="inlineStr">
        <is>
          <t>Contractor Programme</t>
        </is>
      </c>
      <c r="D102" s="34" t="inlineStr">
        <is>
          <t>SCH-01-136</t>
        </is>
      </c>
      <c r="E102" s="34" t="inlineStr">
        <is>
          <t>West approach: utility relocation - installation</t>
        </is>
      </c>
      <c r="F102" s="34" t="inlineStr">
        <is>
          <t>ONE_TO_ONE</t>
        </is>
      </c>
      <c r="G102" s="34" t="inlineStr">
        <is>
          <t>APPROVED</t>
        </is>
      </c>
      <c r="H102" s="34" t="inlineStr">
        <is>
          <t>New</t>
        </is>
      </c>
      <c r="I102" s="34" t="inlineStr">
        <is>
          <t>Source assignment -- not individually reviewed</t>
        </is>
      </c>
      <c r="J102" s="39" t="inlineStr"/>
      <c r="K102" s="34" t="inlineStr">
        <is>
          <t>Source assignment</t>
        </is>
      </c>
      <c r="L102" s="39" t="inlineStr"/>
      <c r="M102" s="34" t="inlineStr">
        <is>
          <t>Initial</t>
        </is>
      </c>
      <c r="N102" s="34" t="inlineStr">
        <is>
          <t>Rev 0</t>
        </is>
      </c>
      <c r="O102" s="34" t="inlineStr">
        <is>
          <t>R136-v1</t>
        </is>
      </c>
      <c r="P102" s="39" t="inlineStr"/>
      <c r="Q102" s="14" t="inlineStr"/>
      <c r="R102" s="39" t="inlineStr"/>
      <c r="S102" s="39" t="inlineStr"/>
      <c r="T102" s="39" t="inlineStr"/>
      <c r="U102" s="39" t="inlineStr"/>
      <c r="V102" s="34" t="inlineStr">
        <is>
          <t>WBS Code = 1.1.1</t>
        </is>
      </c>
      <c r="W102" s="14" t="inlineStr"/>
    </row>
    <row r="103" ht="64" customHeight="1">
      <c r="A103" s="34" t="inlineStr">
        <is>
          <t>1.1.1</t>
        </is>
      </c>
      <c r="B103" s="34" t="inlineStr">
        <is>
          <t>Guideway and Civil - Guideway Structures</t>
        </is>
      </c>
      <c r="C103" s="34" t="inlineStr">
        <is>
          <t>Contractor Programme</t>
        </is>
      </c>
      <c r="D103" s="34" t="inlineStr">
        <is>
          <t>SCH-01-137</t>
        </is>
      </c>
      <c r="E103" s="34" t="inlineStr">
        <is>
          <t>Depot lead: track-slab survey - inspection</t>
        </is>
      </c>
      <c r="F103" s="34" t="inlineStr">
        <is>
          <t>ONE_TO_ONE</t>
        </is>
      </c>
      <c r="G103" s="34" t="inlineStr">
        <is>
          <t>APPROVED</t>
        </is>
      </c>
      <c r="H103" s="34" t="inlineStr">
        <is>
          <t>New</t>
        </is>
      </c>
      <c r="I103" s="34" t="inlineStr">
        <is>
          <t>Source assignment -- not individually reviewed</t>
        </is>
      </c>
      <c r="J103" s="39" t="inlineStr"/>
      <c r="K103" s="34" t="inlineStr">
        <is>
          <t>Source assignment</t>
        </is>
      </c>
      <c r="L103" s="39" t="inlineStr"/>
      <c r="M103" s="34" t="inlineStr">
        <is>
          <t>Initial</t>
        </is>
      </c>
      <c r="N103" s="34" t="inlineStr">
        <is>
          <t>Rev 0</t>
        </is>
      </c>
      <c r="O103" s="34" t="inlineStr">
        <is>
          <t>R137-v1</t>
        </is>
      </c>
      <c r="P103" s="39" t="inlineStr"/>
      <c r="Q103" s="14" t="inlineStr"/>
      <c r="R103" s="39" t="inlineStr"/>
      <c r="S103" s="39" t="inlineStr"/>
      <c r="T103" s="39" t="inlineStr"/>
      <c r="U103" s="39" t="inlineStr"/>
      <c r="V103" s="34" t="inlineStr">
        <is>
          <t>WBS Code = 1.1.1</t>
        </is>
      </c>
      <c r="W103" s="14" t="inlineStr"/>
    </row>
    <row r="104" ht="64" customHeight="1">
      <c r="A104" s="34" t="inlineStr">
        <is>
          <t>1.1.1</t>
        </is>
      </c>
      <c r="B104" s="34" t="inlineStr">
        <is>
          <t>Guideway and Civil - Guideway Structures</t>
        </is>
      </c>
      <c r="C104" s="34" t="inlineStr">
        <is>
          <t>Contractor Programme</t>
        </is>
      </c>
      <c r="D104" s="34" t="inlineStr">
        <is>
          <t>SCH-01-139</t>
        </is>
      </c>
      <c r="E104" s="34" t="inlineStr">
        <is>
          <t>River crossing: guideway pier reinforcement - release</t>
        </is>
      </c>
      <c r="F104" s="34" t="inlineStr">
        <is>
          <t>ONE_TO_ONE</t>
        </is>
      </c>
      <c r="G104" s="34" t="inlineStr">
        <is>
          <t>APPROVED</t>
        </is>
      </c>
      <c r="H104" s="34" t="inlineStr">
        <is>
          <t>New</t>
        </is>
      </c>
      <c r="I104" s="34" t="inlineStr">
        <is>
          <t>Source assignment -- not individually reviewed</t>
        </is>
      </c>
      <c r="J104" s="39" t="inlineStr"/>
      <c r="K104" s="34" t="inlineStr">
        <is>
          <t>Source assignment</t>
        </is>
      </c>
      <c r="L104" s="39" t="inlineStr"/>
      <c r="M104" s="34" t="inlineStr">
        <is>
          <t>Initial</t>
        </is>
      </c>
      <c r="N104" s="34" t="inlineStr">
        <is>
          <t>Rev 0</t>
        </is>
      </c>
      <c r="O104" s="34" t="inlineStr">
        <is>
          <t>R139-v1</t>
        </is>
      </c>
      <c r="P104" s="39" t="inlineStr"/>
      <c r="Q104" s="14" t="inlineStr"/>
      <c r="R104" s="39" t="inlineStr"/>
      <c r="S104" s="39" t="inlineStr"/>
      <c r="T104" s="39" t="inlineStr"/>
      <c r="U104" s="39" t="inlineStr"/>
      <c r="V104" s="34" t="inlineStr">
        <is>
          <t>WBS Code = 1.1.1</t>
        </is>
      </c>
      <c r="W104" s="14" t="inlineStr"/>
    </row>
    <row r="105" ht="64" customHeight="1">
      <c r="A105" s="34" t="inlineStr">
        <is>
          <t>1.1.1</t>
        </is>
      </c>
      <c r="B105" s="34" t="inlineStr">
        <is>
          <t>Guideway and Civil - Guideway Structures</t>
        </is>
      </c>
      <c r="C105" s="34" t="inlineStr">
        <is>
          <t>Contractor Programme</t>
        </is>
      </c>
      <c r="D105" s="34" t="inlineStr">
        <is>
          <t>SCH-01-140</t>
        </is>
      </c>
      <c r="E105" s="34" t="inlineStr">
        <is>
          <t>Central guideway: road restoration - field start</t>
        </is>
      </c>
      <c r="F105" s="34" t="inlineStr">
        <is>
          <t>ONE_TO_ONE</t>
        </is>
      </c>
      <c r="G105" s="34" t="inlineStr">
        <is>
          <t>APPROVED</t>
        </is>
      </c>
      <c r="H105" s="34" t="inlineStr">
        <is>
          <t>New</t>
        </is>
      </c>
      <c r="I105" s="34" t="inlineStr">
        <is>
          <t>Source assignment -- not individually reviewed</t>
        </is>
      </c>
      <c r="J105" s="39" t="inlineStr"/>
      <c r="K105" s="34" t="inlineStr">
        <is>
          <t>Source assignment</t>
        </is>
      </c>
      <c r="L105" s="39" t="inlineStr"/>
      <c r="M105" s="34" t="inlineStr">
        <is>
          <t>Initial</t>
        </is>
      </c>
      <c r="N105" s="34" t="inlineStr">
        <is>
          <t>Rev 0</t>
        </is>
      </c>
      <c r="O105" s="34" t="inlineStr">
        <is>
          <t>R140-v1</t>
        </is>
      </c>
      <c r="P105" s="39" t="inlineStr"/>
      <c r="Q105" s="14" t="inlineStr"/>
      <c r="R105" s="39" t="inlineStr"/>
      <c r="S105" s="39" t="inlineStr"/>
      <c r="T105" s="39" t="inlineStr"/>
      <c r="U105" s="39" t="inlineStr"/>
      <c r="V105" s="34" t="inlineStr">
        <is>
          <t>WBS Code = 1.1.1</t>
        </is>
      </c>
      <c r="W105" s="14" t="inlineStr"/>
    </row>
    <row r="106" ht="64" customHeight="1">
      <c r="A106" s="34" t="inlineStr">
        <is>
          <t>1.1.1</t>
        </is>
      </c>
      <c r="B106" s="34" t="inlineStr">
        <is>
          <t>Guideway and Civil - Guideway Structures</t>
        </is>
      </c>
      <c r="C106" s="34" t="inlineStr">
        <is>
          <t>Contractor Programme</t>
        </is>
      </c>
      <c r="D106" s="34" t="inlineStr">
        <is>
          <t>SCH-01-142</t>
        </is>
      </c>
      <c r="E106" s="34" t="inlineStr">
        <is>
          <t>Depot lead: retaining-wall excavation - inspection</t>
        </is>
      </c>
      <c r="F106" s="34" t="inlineStr">
        <is>
          <t>ONE_TO_ONE</t>
        </is>
      </c>
      <c r="G106" s="34" t="inlineStr">
        <is>
          <t>APPROVED</t>
        </is>
      </c>
      <c r="H106" s="34" t="inlineStr">
        <is>
          <t>New</t>
        </is>
      </c>
      <c r="I106" s="34" t="inlineStr">
        <is>
          <t>Source assignment -- not individually reviewed</t>
        </is>
      </c>
      <c r="J106" s="39" t="inlineStr"/>
      <c r="K106" s="34" t="inlineStr">
        <is>
          <t>Source assignment</t>
        </is>
      </c>
      <c r="L106" s="39" t="inlineStr"/>
      <c r="M106" s="34" t="inlineStr">
        <is>
          <t>Initial</t>
        </is>
      </c>
      <c r="N106" s="34" t="inlineStr">
        <is>
          <t>Rev 0</t>
        </is>
      </c>
      <c r="O106" s="34" t="inlineStr">
        <is>
          <t>R142-v1</t>
        </is>
      </c>
      <c r="P106" s="39" t="inlineStr"/>
      <c r="Q106" s="14" t="inlineStr"/>
      <c r="R106" s="39" t="inlineStr"/>
      <c r="S106" s="39" t="inlineStr"/>
      <c r="T106" s="39" t="inlineStr"/>
      <c r="U106" s="39" t="inlineStr"/>
      <c r="V106" s="34" t="inlineStr">
        <is>
          <t>WBS Code = 1.1.1</t>
        </is>
      </c>
      <c r="W106" s="14" t="inlineStr"/>
    </row>
    <row r="107" ht="64" customHeight="1">
      <c r="A107" s="34" t="inlineStr">
        <is>
          <t>1.1.1</t>
        </is>
      </c>
      <c r="B107" s="34" t="inlineStr">
        <is>
          <t>Guideway and Civil - Guideway Structures</t>
        </is>
      </c>
      <c r="C107" s="34" t="inlineStr">
        <is>
          <t>Contractor Programme</t>
        </is>
      </c>
      <c r="D107" s="34" t="inlineStr">
        <is>
          <t>SCH-01-143</t>
        </is>
      </c>
      <c r="E107" s="34" t="inlineStr">
        <is>
          <t>East portal: drainage tie-in - turnover</t>
        </is>
      </c>
      <c r="F107" s="34" t="inlineStr">
        <is>
          <t>ONE_TO_ONE</t>
        </is>
      </c>
      <c r="G107" s="34" t="inlineStr">
        <is>
          <t>APPROVED</t>
        </is>
      </c>
      <c r="H107" s="34" t="inlineStr">
        <is>
          <t>New</t>
        </is>
      </c>
      <c r="I107" s="34" t="inlineStr">
        <is>
          <t>Source assignment -- not individually reviewed</t>
        </is>
      </c>
      <c r="J107" s="39" t="inlineStr"/>
      <c r="K107" s="34" t="inlineStr">
        <is>
          <t>Source assignment</t>
        </is>
      </c>
      <c r="L107" s="39" t="inlineStr"/>
      <c r="M107" s="34" t="inlineStr">
        <is>
          <t>Initial</t>
        </is>
      </c>
      <c r="N107" s="34" t="inlineStr">
        <is>
          <t>Rev 0</t>
        </is>
      </c>
      <c r="O107" s="34" t="inlineStr">
        <is>
          <t>R143-v1</t>
        </is>
      </c>
      <c r="P107" s="39" t="inlineStr"/>
      <c r="Q107" s="14" t="inlineStr"/>
      <c r="R107" s="39" t="inlineStr"/>
      <c r="S107" s="39" t="inlineStr"/>
      <c r="T107" s="39" t="inlineStr"/>
      <c r="U107" s="39" t="inlineStr"/>
      <c r="V107" s="34" t="inlineStr">
        <is>
          <t>WBS Code = 1.1.1</t>
        </is>
      </c>
      <c r="W107" s="14" t="inlineStr"/>
    </row>
    <row r="108" ht="64" customHeight="1">
      <c r="A108" s="34" t="inlineStr">
        <is>
          <t>1.1.1</t>
        </is>
      </c>
      <c r="B108" s="34" t="inlineStr">
        <is>
          <t>Guideway and Civil - Guideway Structures</t>
        </is>
      </c>
      <c r="C108" s="34" t="inlineStr">
        <is>
          <t>Contractor Programme</t>
        </is>
      </c>
      <c r="D108" s="34" t="inlineStr">
        <is>
          <t>SCH-01-145</t>
        </is>
      </c>
      <c r="E108" s="34" t="inlineStr">
        <is>
          <t>Central guideway: track-slab survey - field start</t>
        </is>
      </c>
      <c r="F108" s="34" t="inlineStr">
        <is>
          <t>ONE_TO_ONE</t>
        </is>
      </c>
      <c r="G108" s="34" t="inlineStr">
        <is>
          <t>APPROVED</t>
        </is>
      </c>
      <c r="H108" s="34" t="inlineStr">
        <is>
          <t>New</t>
        </is>
      </c>
      <c r="I108" s="34" t="inlineStr">
        <is>
          <t>Source assignment -- not individually reviewed</t>
        </is>
      </c>
      <c r="J108" s="39" t="inlineStr"/>
      <c r="K108" s="34" t="inlineStr">
        <is>
          <t>Source assignment</t>
        </is>
      </c>
      <c r="L108" s="39" t="inlineStr"/>
      <c r="M108" s="34" t="inlineStr">
        <is>
          <t>Initial</t>
        </is>
      </c>
      <c r="N108" s="34" t="inlineStr">
        <is>
          <t>Rev 0</t>
        </is>
      </c>
      <c r="O108" s="34" t="inlineStr">
        <is>
          <t>R145-v1</t>
        </is>
      </c>
      <c r="P108" s="39" t="inlineStr"/>
      <c r="Q108" s="14" t="inlineStr"/>
      <c r="R108" s="39" t="inlineStr"/>
      <c r="S108" s="39" t="inlineStr"/>
      <c r="T108" s="39" t="inlineStr"/>
      <c r="U108" s="39" t="inlineStr"/>
      <c r="V108" s="34" t="inlineStr">
        <is>
          <t>WBS Code = 1.1.1</t>
        </is>
      </c>
      <c r="W108" s="14" t="inlineStr"/>
    </row>
    <row r="109" ht="64" customHeight="1">
      <c r="A109" s="34" t="inlineStr">
        <is>
          <t>1.1.1</t>
        </is>
      </c>
      <c r="B109" s="34" t="inlineStr">
        <is>
          <t>Guideway and Civil - Guideway Structures</t>
        </is>
      </c>
      <c r="C109" s="34" t="inlineStr">
        <is>
          <t>Contractor Programme</t>
        </is>
      </c>
      <c r="D109" s="34" t="inlineStr">
        <is>
          <t>SCH-01-146</t>
        </is>
      </c>
      <c r="E109" s="34" t="inlineStr">
        <is>
          <t>West approach: temporary traffic staging - installation</t>
        </is>
      </c>
      <c r="F109" s="34" t="inlineStr">
        <is>
          <t>ONE_TO_ONE</t>
        </is>
      </c>
      <c r="G109" s="34" t="inlineStr">
        <is>
          <t>APPROVED</t>
        </is>
      </c>
      <c r="H109" s="34" t="inlineStr">
        <is>
          <t>New</t>
        </is>
      </c>
      <c r="I109" s="34" t="inlineStr">
        <is>
          <t>Source assignment -- not individually reviewed</t>
        </is>
      </c>
      <c r="J109" s="39" t="inlineStr"/>
      <c r="K109" s="34" t="inlineStr">
        <is>
          <t>Source assignment</t>
        </is>
      </c>
      <c r="L109" s="39" t="inlineStr"/>
      <c r="M109" s="34" t="inlineStr">
        <is>
          <t>Initial</t>
        </is>
      </c>
      <c r="N109" s="34" t="inlineStr">
        <is>
          <t>Rev 0</t>
        </is>
      </c>
      <c r="O109" s="34" t="inlineStr">
        <is>
          <t>R146-v1</t>
        </is>
      </c>
      <c r="P109" s="39" t="inlineStr"/>
      <c r="Q109" s="14" t="inlineStr"/>
      <c r="R109" s="39" t="inlineStr"/>
      <c r="S109" s="39" t="inlineStr"/>
      <c r="T109" s="39" t="inlineStr"/>
      <c r="U109" s="39" t="inlineStr"/>
      <c r="V109" s="34" t="inlineStr">
        <is>
          <t>WBS Code = 1.1.1</t>
        </is>
      </c>
      <c r="W109" s="14" t="inlineStr"/>
    </row>
    <row r="110" ht="64" customHeight="1">
      <c r="A110" s="34" t="inlineStr">
        <is>
          <t>1.1.1</t>
        </is>
      </c>
      <c r="B110" s="34" t="inlineStr">
        <is>
          <t>Guideway and Civil - Guideway Structures</t>
        </is>
      </c>
      <c r="C110" s="34" t="inlineStr">
        <is>
          <t>Contractor Programme</t>
        </is>
      </c>
      <c r="D110" s="34" t="inlineStr">
        <is>
          <t>SCH-01-148</t>
        </is>
      </c>
      <c r="E110" s="34" t="inlineStr">
        <is>
          <t>East portal: road restoration - turnover</t>
        </is>
      </c>
      <c r="F110" s="34" t="inlineStr">
        <is>
          <t>ONE_TO_ONE</t>
        </is>
      </c>
      <c r="G110" s="34" t="inlineStr">
        <is>
          <t>APPROVED</t>
        </is>
      </c>
      <c r="H110" s="34" t="inlineStr">
        <is>
          <t>New</t>
        </is>
      </c>
      <c r="I110" s="34" t="inlineStr">
        <is>
          <t>Source assignment -- not individually reviewed</t>
        </is>
      </c>
      <c r="J110" s="39" t="inlineStr"/>
      <c r="K110" s="34" t="inlineStr">
        <is>
          <t>Source assignment</t>
        </is>
      </c>
      <c r="L110" s="39" t="inlineStr"/>
      <c r="M110" s="34" t="inlineStr">
        <is>
          <t>Initial</t>
        </is>
      </c>
      <c r="N110" s="34" t="inlineStr">
        <is>
          <t>Rev 0</t>
        </is>
      </c>
      <c r="O110" s="34" t="inlineStr">
        <is>
          <t>R148-v1</t>
        </is>
      </c>
      <c r="P110" s="39" t="inlineStr"/>
      <c r="Q110" s="14" t="inlineStr"/>
      <c r="R110" s="39" t="inlineStr"/>
      <c r="S110" s="39" t="inlineStr"/>
      <c r="T110" s="39" t="inlineStr"/>
      <c r="U110" s="39" t="inlineStr"/>
      <c r="V110" s="34" t="inlineStr">
        <is>
          <t>WBS Code = 1.1.1</t>
        </is>
      </c>
      <c r="W110" s="14" t="inlineStr"/>
    </row>
    <row r="111" ht="64" customHeight="1">
      <c r="A111" s="34" t="inlineStr">
        <is>
          <t>1.1.1</t>
        </is>
      </c>
      <c r="B111" s="34" t="inlineStr">
        <is>
          <t>Guideway and Civil - Guideway Structures</t>
        </is>
      </c>
      <c r="C111" s="34" t="inlineStr">
        <is>
          <t>Contractor Programme</t>
        </is>
      </c>
      <c r="D111" s="34" t="inlineStr">
        <is>
          <t>SCH-01-149</t>
        </is>
      </c>
      <c r="E111" s="34" t="inlineStr">
        <is>
          <t>River crossing: drilled-shaft installation - release</t>
        </is>
      </c>
      <c r="F111" s="34" t="inlineStr">
        <is>
          <t>ONE_TO_ONE</t>
        </is>
      </c>
      <c r="G111" s="34" t="inlineStr">
        <is>
          <t>APPROVED</t>
        </is>
      </c>
      <c r="H111" s="34" t="inlineStr">
        <is>
          <t>New</t>
        </is>
      </c>
      <c r="I111" s="34" t="inlineStr">
        <is>
          <t>Source assignment -- not individually reviewed</t>
        </is>
      </c>
      <c r="J111" s="39" t="inlineStr"/>
      <c r="K111" s="34" t="inlineStr">
        <is>
          <t>Source assignment</t>
        </is>
      </c>
      <c r="L111" s="39" t="inlineStr"/>
      <c r="M111" s="34" t="inlineStr">
        <is>
          <t>Initial</t>
        </is>
      </c>
      <c r="N111" s="34" t="inlineStr">
        <is>
          <t>Rev 0</t>
        </is>
      </c>
      <c r="O111" s="34" t="inlineStr">
        <is>
          <t>R149-v1</t>
        </is>
      </c>
      <c r="P111" s="39" t="inlineStr"/>
      <c r="Q111" s="14" t="inlineStr"/>
      <c r="R111" s="39" t="inlineStr"/>
      <c r="S111" s="39" t="inlineStr"/>
      <c r="T111" s="39" t="inlineStr"/>
      <c r="U111" s="39" t="inlineStr"/>
      <c r="V111" s="34" t="inlineStr">
        <is>
          <t>WBS Code = 1.1.1</t>
        </is>
      </c>
      <c r="W111" s="14" t="inlineStr"/>
    </row>
    <row r="112" ht="64" customHeight="1">
      <c r="A112" s="34" t="inlineStr">
        <is>
          <t>1.1.1</t>
        </is>
      </c>
      <c r="B112" s="34" t="inlineStr">
        <is>
          <t>Guideway and Civil - Guideway Structures</t>
        </is>
      </c>
      <c r="C112" s="34" t="inlineStr">
        <is>
          <t>Contractor Programme</t>
        </is>
      </c>
      <c r="D112" s="34" t="inlineStr">
        <is>
          <t>SCH-01-151</t>
        </is>
      </c>
      <c r="E112" s="34" t="inlineStr">
        <is>
          <t>West approach: drainage tie-in - installation</t>
        </is>
      </c>
      <c r="F112" s="34" t="inlineStr">
        <is>
          <t>ONE_TO_ONE</t>
        </is>
      </c>
      <c r="G112" s="34" t="inlineStr">
        <is>
          <t>APPROVED</t>
        </is>
      </c>
      <c r="H112" s="34" t="inlineStr">
        <is>
          <t>New</t>
        </is>
      </c>
      <c r="I112" s="34" t="inlineStr">
        <is>
          <t>Source assignment -- not individually reviewed</t>
        </is>
      </c>
      <c r="J112" s="39" t="inlineStr"/>
      <c r="K112" s="34" t="inlineStr">
        <is>
          <t>Source assignment</t>
        </is>
      </c>
      <c r="L112" s="39" t="inlineStr"/>
      <c r="M112" s="34" t="inlineStr">
        <is>
          <t>Initial</t>
        </is>
      </c>
      <c r="N112" s="34" t="inlineStr">
        <is>
          <t>Rev 0</t>
        </is>
      </c>
      <c r="O112" s="34" t="inlineStr">
        <is>
          <t>R151-v1</t>
        </is>
      </c>
      <c r="P112" s="39" t="inlineStr"/>
      <c r="Q112" s="14" t="inlineStr"/>
      <c r="R112" s="39" t="inlineStr"/>
      <c r="S112" s="39" t="inlineStr"/>
      <c r="T112" s="39" t="inlineStr"/>
      <c r="U112" s="39" t="inlineStr"/>
      <c r="V112" s="34" t="inlineStr">
        <is>
          <t>WBS Code = 1.1.1</t>
        </is>
      </c>
      <c r="W112" s="14" t="inlineStr"/>
    </row>
    <row r="113" ht="64" customHeight="1">
      <c r="A113" s="34" t="inlineStr">
        <is>
          <t>1.1.1</t>
        </is>
      </c>
      <c r="B113" s="34" t="inlineStr">
        <is>
          <t>Guideway and Civil - Guideway Structures</t>
        </is>
      </c>
      <c r="C113" s="34" t="inlineStr">
        <is>
          <t>Contractor Programme</t>
        </is>
      </c>
      <c r="D113" s="34" t="inlineStr">
        <is>
          <t>SCH-01-152</t>
        </is>
      </c>
      <c r="E113" s="34" t="inlineStr">
        <is>
          <t>Depot lead: utility relocation - inspection</t>
        </is>
      </c>
      <c r="F113" s="34" t="inlineStr">
        <is>
          <t>ONE_TO_ONE</t>
        </is>
      </c>
      <c r="G113" s="34" t="inlineStr">
        <is>
          <t>APPROVED</t>
        </is>
      </c>
      <c r="H113" s="34" t="inlineStr">
        <is>
          <t>New</t>
        </is>
      </c>
      <c r="I113" s="34" t="inlineStr">
        <is>
          <t>Source assignment -- not individually reviewed</t>
        </is>
      </c>
      <c r="J113" s="39" t="inlineStr"/>
      <c r="K113" s="34" t="inlineStr">
        <is>
          <t>Source assignment</t>
        </is>
      </c>
      <c r="L113" s="39" t="inlineStr"/>
      <c r="M113" s="34" t="inlineStr">
        <is>
          <t>Initial</t>
        </is>
      </c>
      <c r="N113" s="34" t="inlineStr">
        <is>
          <t>Rev 0</t>
        </is>
      </c>
      <c r="O113" s="34" t="inlineStr">
        <is>
          <t>R152-v1</t>
        </is>
      </c>
      <c r="P113" s="39" t="inlineStr"/>
      <c r="Q113" s="14" t="inlineStr"/>
      <c r="R113" s="39" t="inlineStr"/>
      <c r="S113" s="39" t="inlineStr"/>
      <c r="T113" s="39" t="inlineStr"/>
      <c r="U113" s="39" t="inlineStr"/>
      <c r="V113" s="34" t="inlineStr">
        <is>
          <t>WBS Code = 1.1.1</t>
        </is>
      </c>
      <c r="W113" s="14" t="inlineStr"/>
    </row>
    <row r="114" ht="64" customHeight="1">
      <c r="A114" s="34" t="inlineStr">
        <is>
          <t>1.1.1</t>
        </is>
      </c>
      <c r="B114" s="34" t="inlineStr">
        <is>
          <t>Guideway and Civil - Guideway Structures</t>
        </is>
      </c>
      <c r="C114" s="34" t="inlineStr">
        <is>
          <t>Contractor Programme</t>
        </is>
      </c>
      <c r="D114" s="34" t="inlineStr">
        <is>
          <t>SCH-01-154</t>
        </is>
      </c>
      <c r="E114" s="34" t="inlineStr">
        <is>
          <t>River crossing: temporary traffic staging - release</t>
        </is>
      </c>
      <c r="F114" s="34" t="inlineStr">
        <is>
          <t>ONE_TO_ONE</t>
        </is>
      </c>
      <c r="G114" s="34" t="inlineStr">
        <is>
          <t>APPROVED</t>
        </is>
      </c>
      <c r="H114" s="34" t="inlineStr">
        <is>
          <t>New</t>
        </is>
      </c>
      <c r="I114" s="34" t="inlineStr">
        <is>
          <t>Source assignment -- not individually reviewed</t>
        </is>
      </c>
      <c r="J114" s="39" t="inlineStr"/>
      <c r="K114" s="34" t="inlineStr">
        <is>
          <t>Source assignment</t>
        </is>
      </c>
      <c r="L114" s="39" t="inlineStr"/>
      <c r="M114" s="34" t="inlineStr">
        <is>
          <t>Initial</t>
        </is>
      </c>
      <c r="N114" s="34" t="inlineStr">
        <is>
          <t>Rev 0</t>
        </is>
      </c>
      <c r="O114" s="34" t="inlineStr">
        <is>
          <t>R154-v1</t>
        </is>
      </c>
      <c r="P114" s="39" t="inlineStr"/>
      <c r="Q114" s="14" t="inlineStr"/>
      <c r="R114" s="39" t="inlineStr"/>
      <c r="S114" s="39" t="inlineStr"/>
      <c r="T114" s="39" t="inlineStr"/>
      <c r="U114" s="39" t="inlineStr"/>
      <c r="V114" s="34" t="inlineStr">
        <is>
          <t>WBS Code = 1.1.1</t>
        </is>
      </c>
      <c r="W114" s="14" t="inlineStr"/>
    </row>
    <row r="115" ht="64" customHeight="1">
      <c r="A115" s="34" t="inlineStr">
        <is>
          <t>1.1.1</t>
        </is>
      </c>
      <c r="B115" s="34" t="inlineStr">
        <is>
          <t>Guideway and Civil - Guideway Structures</t>
        </is>
      </c>
      <c r="C115" s="34" t="inlineStr">
        <is>
          <t>Contractor Programme</t>
        </is>
      </c>
      <c r="D115" s="34" t="inlineStr">
        <is>
          <t>SCH-01-155</t>
        </is>
      </c>
      <c r="E115" s="34" t="inlineStr">
        <is>
          <t>Central guideway: guideway pier reinforcement - field start</t>
        </is>
      </c>
      <c r="F115" s="34" t="inlineStr">
        <is>
          <t>ONE_TO_ONE</t>
        </is>
      </c>
      <c r="G115" s="34" t="inlineStr">
        <is>
          <t>APPROVED</t>
        </is>
      </c>
      <c r="H115" s="34" t="inlineStr">
        <is>
          <t>New</t>
        </is>
      </c>
      <c r="I115" s="34" t="inlineStr">
        <is>
          <t>Source assignment -- not individually reviewed</t>
        </is>
      </c>
      <c r="J115" s="39" t="inlineStr"/>
      <c r="K115" s="34" t="inlineStr">
        <is>
          <t>Source assignment</t>
        </is>
      </c>
      <c r="L115" s="39" t="inlineStr"/>
      <c r="M115" s="34" t="inlineStr">
        <is>
          <t>Initial</t>
        </is>
      </c>
      <c r="N115" s="34" t="inlineStr">
        <is>
          <t>Rev 0</t>
        </is>
      </c>
      <c r="O115" s="34" t="inlineStr">
        <is>
          <t>R155-v1</t>
        </is>
      </c>
      <c r="P115" s="39" t="inlineStr"/>
      <c r="Q115" s="14" t="inlineStr"/>
      <c r="R115" s="39" t="inlineStr"/>
      <c r="S115" s="39" t="inlineStr"/>
      <c r="T115" s="39" t="inlineStr"/>
      <c r="U115" s="39" t="inlineStr"/>
      <c r="V115" s="34" t="inlineStr">
        <is>
          <t>WBS Code = 1.1.1</t>
        </is>
      </c>
      <c r="W115" s="14" t="inlineStr"/>
    </row>
    <row r="116" ht="64" customHeight="1">
      <c r="A116" s="34" t="inlineStr">
        <is>
          <t>1.1.1</t>
        </is>
      </c>
      <c r="B116" s="34" t="inlineStr">
        <is>
          <t>Guideway and Civil - Guideway Structures</t>
        </is>
      </c>
      <c r="C116" s="34" t="inlineStr">
        <is>
          <t>Contractor Programme</t>
        </is>
      </c>
      <c r="D116" s="34" t="inlineStr">
        <is>
          <t>SCH-01-157</t>
        </is>
      </c>
      <c r="E116" s="34" t="inlineStr">
        <is>
          <t>Depot lead: drilled-shaft installation - inspection</t>
        </is>
      </c>
      <c r="F116" s="34" t="inlineStr">
        <is>
          <t>ONE_TO_ONE</t>
        </is>
      </c>
      <c r="G116" s="34" t="inlineStr">
        <is>
          <t>APPROVED</t>
        </is>
      </c>
      <c r="H116" s="34" t="inlineStr">
        <is>
          <t>New</t>
        </is>
      </c>
      <c r="I116" s="34" t="inlineStr">
        <is>
          <t>Source assignment -- not individually reviewed</t>
        </is>
      </c>
      <c r="J116" s="39" t="inlineStr"/>
      <c r="K116" s="34" t="inlineStr">
        <is>
          <t>Source assignment</t>
        </is>
      </c>
      <c r="L116" s="39" t="inlineStr"/>
      <c r="M116" s="34" t="inlineStr">
        <is>
          <t>Initial</t>
        </is>
      </c>
      <c r="N116" s="34" t="inlineStr">
        <is>
          <t>Rev 0</t>
        </is>
      </c>
      <c r="O116" s="34" t="inlineStr">
        <is>
          <t>R157-v1</t>
        </is>
      </c>
      <c r="P116" s="39" t="inlineStr"/>
      <c r="Q116" s="14" t="inlineStr"/>
      <c r="R116" s="39" t="inlineStr"/>
      <c r="S116" s="39" t="inlineStr"/>
      <c r="T116" s="39" t="inlineStr"/>
      <c r="U116" s="39" t="inlineStr"/>
      <c r="V116" s="34" t="inlineStr">
        <is>
          <t>WBS Code = 1.1.1</t>
        </is>
      </c>
      <c r="W116" s="14" t="inlineStr"/>
    </row>
    <row r="117" ht="64" customHeight="1">
      <c r="A117" s="34" t="inlineStr">
        <is>
          <t>1.1.1</t>
        </is>
      </c>
      <c r="B117" s="34" t="inlineStr">
        <is>
          <t>Guideway and Civil - Guideway Structures</t>
        </is>
      </c>
      <c r="C117" s="34" t="inlineStr">
        <is>
          <t>Contractor Programme</t>
        </is>
      </c>
      <c r="D117" s="34" t="inlineStr">
        <is>
          <t>SCH-01-158</t>
        </is>
      </c>
      <c r="E117" s="34" t="inlineStr">
        <is>
          <t>East portal: retaining-wall excavation - turnover</t>
        </is>
      </c>
      <c r="F117" s="34" t="inlineStr">
        <is>
          <t>ONE_TO_ONE</t>
        </is>
      </c>
      <c r="G117" s="34" t="inlineStr">
        <is>
          <t>APPROVED</t>
        </is>
      </c>
      <c r="H117" s="34" t="inlineStr">
        <is>
          <t>New</t>
        </is>
      </c>
      <c r="I117" s="34" t="inlineStr">
        <is>
          <t>Source assignment -- not individually reviewed</t>
        </is>
      </c>
      <c r="J117" s="39" t="inlineStr"/>
      <c r="K117" s="34" t="inlineStr">
        <is>
          <t>Source assignment</t>
        </is>
      </c>
      <c r="L117" s="39" t="inlineStr"/>
      <c r="M117" s="34" t="inlineStr">
        <is>
          <t>Initial</t>
        </is>
      </c>
      <c r="N117" s="34" t="inlineStr">
        <is>
          <t>Rev 0</t>
        </is>
      </c>
      <c r="O117" s="34" t="inlineStr">
        <is>
          <t>R158-v1</t>
        </is>
      </c>
      <c r="P117" s="39" t="inlineStr"/>
      <c r="Q117" s="14" t="inlineStr"/>
      <c r="R117" s="39" t="inlineStr"/>
      <c r="S117" s="39" t="inlineStr"/>
      <c r="T117" s="39" t="inlineStr"/>
      <c r="U117" s="39" t="inlineStr"/>
      <c r="V117" s="34" t="inlineStr">
        <is>
          <t>WBS Code = 1.1.1</t>
        </is>
      </c>
      <c r="W117" s="14" t="inlineStr"/>
    </row>
    <row r="118" ht="64" customHeight="1">
      <c r="A118" s="34" t="inlineStr">
        <is>
          <t>1.1.1</t>
        </is>
      </c>
      <c r="B118" s="34" t="inlineStr">
        <is>
          <t>Guideway and Civil - Guideway Structures</t>
        </is>
      </c>
      <c r="C118" s="34" t="inlineStr">
        <is>
          <t>Contractor Programme</t>
        </is>
      </c>
      <c r="D118" s="34" t="inlineStr">
        <is>
          <t>SCH-01-160</t>
        </is>
      </c>
      <c r="E118" s="34" t="inlineStr">
        <is>
          <t>Central guideway: utility relocation - field start</t>
        </is>
      </c>
      <c r="F118" s="34" t="inlineStr">
        <is>
          <t>ONE_TO_ONE</t>
        </is>
      </c>
      <c r="G118" s="34" t="inlineStr">
        <is>
          <t>APPROVED</t>
        </is>
      </c>
      <c r="H118" s="34" t="inlineStr">
        <is>
          <t>New</t>
        </is>
      </c>
      <c r="I118" s="34" t="inlineStr">
        <is>
          <t>Source assignment -- not individually reviewed</t>
        </is>
      </c>
      <c r="J118" s="39" t="inlineStr"/>
      <c r="K118" s="34" t="inlineStr">
        <is>
          <t>Source assignment</t>
        </is>
      </c>
      <c r="L118" s="39" t="inlineStr"/>
      <c r="M118" s="34" t="inlineStr">
        <is>
          <t>Initial</t>
        </is>
      </c>
      <c r="N118" s="34" t="inlineStr">
        <is>
          <t>Rev 0</t>
        </is>
      </c>
      <c r="O118" s="34" t="inlineStr">
        <is>
          <t>R160-v1</t>
        </is>
      </c>
      <c r="P118" s="39" t="inlineStr"/>
      <c r="Q118" s="14" t="inlineStr"/>
      <c r="R118" s="39" t="inlineStr"/>
      <c r="S118" s="39" t="inlineStr"/>
      <c r="T118" s="39" t="inlineStr"/>
      <c r="U118" s="39" t="inlineStr"/>
      <c r="V118" s="34" t="inlineStr">
        <is>
          <t>WBS Code = 1.1.1</t>
        </is>
      </c>
      <c r="W118" s="14" t="inlineStr"/>
    </row>
    <row r="119" ht="64" customHeight="1">
      <c r="A119" s="34" t="inlineStr">
        <is>
          <t>1.1.1</t>
        </is>
      </c>
      <c r="B119" s="34" t="inlineStr">
        <is>
          <t>Guideway and Civil - Guideway Structures</t>
        </is>
      </c>
      <c r="C119" s="34" t="inlineStr">
        <is>
          <t>Contractor Programme</t>
        </is>
      </c>
      <c r="D119" s="34" t="inlineStr">
        <is>
          <t>SCH-01-161</t>
        </is>
      </c>
      <c r="E119" s="34" t="inlineStr">
        <is>
          <t>West approach: track-slab survey - installation</t>
        </is>
      </c>
      <c r="F119" s="34" t="inlineStr">
        <is>
          <t>ONE_TO_ONE</t>
        </is>
      </c>
      <c r="G119" s="34" t="inlineStr">
        <is>
          <t>APPROVED</t>
        </is>
      </c>
      <c r="H119" s="34" t="inlineStr">
        <is>
          <t>New</t>
        </is>
      </c>
      <c r="I119" s="34" t="inlineStr">
        <is>
          <t>Source assignment -- not individually reviewed</t>
        </is>
      </c>
      <c r="J119" s="39" t="inlineStr"/>
      <c r="K119" s="34" t="inlineStr">
        <is>
          <t>Source assignment</t>
        </is>
      </c>
      <c r="L119" s="39" t="inlineStr"/>
      <c r="M119" s="34" t="inlineStr">
        <is>
          <t>Initial</t>
        </is>
      </c>
      <c r="N119" s="34" t="inlineStr">
        <is>
          <t>Rev 0</t>
        </is>
      </c>
      <c r="O119" s="34" t="inlineStr">
        <is>
          <t>R161-v1</t>
        </is>
      </c>
      <c r="P119" s="39" t="inlineStr"/>
      <c r="Q119" s="14" t="inlineStr"/>
      <c r="R119" s="39" t="inlineStr"/>
      <c r="S119" s="39" t="inlineStr"/>
      <c r="T119" s="39" t="inlineStr"/>
      <c r="U119" s="39" t="inlineStr"/>
      <c r="V119" s="34" t="inlineStr">
        <is>
          <t>WBS Code = 1.1.1</t>
        </is>
      </c>
      <c r="W119" s="14" t="inlineStr"/>
    </row>
    <row r="120" ht="64" customHeight="1">
      <c r="A120" s="34" t="inlineStr">
        <is>
          <t>1.1.1</t>
        </is>
      </c>
      <c r="B120" s="34" t="inlineStr">
        <is>
          <t>Guideway and Civil - Guideway Structures</t>
        </is>
      </c>
      <c r="C120" s="34" t="inlineStr">
        <is>
          <t>Contractor Programme</t>
        </is>
      </c>
      <c r="D120" s="34" t="inlineStr">
        <is>
          <t>SCH-01-163</t>
        </is>
      </c>
      <c r="E120" s="34" t="inlineStr">
        <is>
          <t>East portal: guideway pier reinforcement - turnover</t>
        </is>
      </c>
      <c r="F120" s="34" t="inlineStr">
        <is>
          <t>ONE_TO_ONE</t>
        </is>
      </c>
      <c r="G120" s="34" t="inlineStr">
        <is>
          <t>APPROVED</t>
        </is>
      </c>
      <c r="H120" s="34" t="inlineStr">
        <is>
          <t>New</t>
        </is>
      </c>
      <c r="I120" s="34" t="inlineStr">
        <is>
          <t>Source assignment -- not individually reviewed</t>
        </is>
      </c>
      <c r="J120" s="39" t="inlineStr"/>
      <c r="K120" s="34" t="inlineStr">
        <is>
          <t>Source assignment</t>
        </is>
      </c>
      <c r="L120" s="39" t="inlineStr"/>
      <c r="M120" s="34" t="inlineStr">
        <is>
          <t>Initial</t>
        </is>
      </c>
      <c r="N120" s="34" t="inlineStr">
        <is>
          <t>Rev 0</t>
        </is>
      </c>
      <c r="O120" s="34" t="inlineStr">
        <is>
          <t>R163-v1</t>
        </is>
      </c>
      <c r="P120" s="39" t="inlineStr"/>
      <c r="Q120" s="14" t="inlineStr"/>
      <c r="R120" s="39" t="inlineStr"/>
      <c r="S120" s="39" t="inlineStr"/>
      <c r="T120" s="39" t="inlineStr"/>
      <c r="U120" s="39" t="inlineStr"/>
      <c r="V120" s="34" t="inlineStr">
        <is>
          <t>WBS Code = 1.1.1</t>
        </is>
      </c>
      <c r="W120" s="14" t="inlineStr"/>
    </row>
    <row r="121" ht="64" customHeight="1">
      <c r="A121" s="34" t="inlineStr">
        <is>
          <t>1.1.1</t>
        </is>
      </c>
      <c r="B121" s="34" t="inlineStr">
        <is>
          <t>Guideway and Civil - Guideway Structures</t>
        </is>
      </c>
      <c r="C121" s="34" t="inlineStr">
        <is>
          <t>Contractor Programme</t>
        </is>
      </c>
      <c r="D121" s="34" t="inlineStr">
        <is>
          <t>SCH-01-164</t>
        </is>
      </c>
      <c r="E121" s="34" t="inlineStr">
        <is>
          <t>River crossing: road restoration - release</t>
        </is>
      </c>
      <c r="F121" s="34" t="inlineStr">
        <is>
          <t>ONE_TO_ONE</t>
        </is>
      </c>
      <c r="G121" s="34" t="inlineStr">
        <is>
          <t>APPROVED</t>
        </is>
      </c>
      <c r="H121" s="34" t="inlineStr">
        <is>
          <t>New</t>
        </is>
      </c>
      <c r="I121" s="34" t="inlineStr">
        <is>
          <t>Source assignment -- not individually reviewed</t>
        </is>
      </c>
      <c r="J121" s="39" t="inlineStr"/>
      <c r="K121" s="34" t="inlineStr">
        <is>
          <t>Source assignment</t>
        </is>
      </c>
      <c r="L121" s="39" t="inlineStr"/>
      <c r="M121" s="34" t="inlineStr">
        <is>
          <t>Initial</t>
        </is>
      </c>
      <c r="N121" s="34" t="inlineStr">
        <is>
          <t>Rev 0</t>
        </is>
      </c>
      <c r="O121" s="34" t="inlineStr">
        <is>
          <t>R164-v1</t>
        </is>
      </c>
      <c r="P121" s="39" t="inlineStr"/>
      <c r="Q121" s="14" t="inlineStr"/>
      <c r="R121" s="39" t="inlineStr"/>
      <c r="S121" s="39" t="inlineStr"/>
      <c r="T121" s="39" t="inlineStr"/>
      <c r="U121" s="39" t="inlineStr"/>
      <c r="V121" s="34" t="inlineStr">
        <is>
          <t>WBS Code = 1.1.1</t>
        </is>
      </c>
      <c r="W121" s="14" t="inlineStr"/>
    </row>
    <row r="122" ht="64" customHeight="1">
      <c r="A122" s="34" t="inlineStr">
        <is>
          <t>1.1.1</t>
        </is>
      </c>
      <c r="B122" s="34" t="inlineStr">
        <is>
          <t>Guideway and Civil - Guideway Structures</t>
        </is>
      </c>
      <c r="C122" s="34" t="inlineStr">
        <is>
          <t>Contractor Programme</t>
        </is>
      </c>
      <c r="D122" s="34" t="inlineStr">
        <is>
          <t>SCH-01-166</t>
        </is>
      </c>
      <c r="E122" s="34" t="inlineStr">
        <is>
          <t>West approach: retaining-wall excavation - installation</t>
        </is>
      </c>
      <c r="F122" s="34" t="inlineStr">
        <is>
          <t>ONE_TO_ONE</t>
        </is>
      </c>
      <c r="G122" s="34" t="inlineStr">
        <is>
          <t>APPROVED</t>
        </is>
      </c>
      <c r="H122" s="34" t="inlineStr">
        <is>
          <t>New</t>
        </is>
      </c>
      <c r="I122" s="34" t="inlineStr">
        <is>
          <t>Source assignment -- not individually reviewed</t>
        </is>
      </c>
      <c r="J122" s="39" t="inlineStr"/>
      <c r="K122" s="34" t="inlineStr">
        <is>
          <t>Source assignment</t>
        </is>
      </c>
      <c r="L122" s="39" t="inlineStr"/>
      <c r="M122" s="34" t="inlineStr">
        <is>
          <t>Initial</t>
        </is>
      </c>
      <c r="N122" s="34" t="inlineStr">
        <is>
          <t>Rev 0</t>
        </is>
      </c>
      <c r="O122" s="34" t="inlineStr">
        <is>
          <t>R166-v1</t>
        </is>
      </c>
      <c r="P122" s="39" t="inlineStr"/>
      <c r="Q122" s="14" t="inlineStr"/>
      <c r="R122" s="39" t="inlineStr"/>
      <c r="S122" s="39" t="inlineStr"/>
      <c r="T122" s="39" t="inlineStr"/>
      <c r="U122" s="39" t="inlineStr"/>
      <c r="V122" s="34" t="inlineStr">
        <is>
          <t>WBS Code = 1.1.1</t>
        </is>
      </c>
      <c r="W122" s="14" t="inlineStr"/>
    </row>
    <row r="123" ht="64" customHeight="1">
      <c r="A123" s="34" t="inlineStr">
        <is>
          <t>1.1.1</t>
        </is>
      </c>
      <c r="B123" s="34" t="inlineStr">
        <is>
          <t>Guideway and Civil - Guideway Structures</t>
        </is>
      </c>
      <c r="C123" s="34" t="inlineStr">
        <is>
          <t>Contractor Programme</t>
        </is>
      </c>
      <c r="D123" s="34" t="inlineStr">
        <is>
          <t>SCH-01-167</t>
        </is>
      </c>
      <c r="E123" s="34" t="inlineStr">
        <is>
          <t>Depot lead: drainage tie-in - inspection</t>
        </is>
      </c>
      <c r="F123" s="34" t="inlineStr">
        <is>
          <t>ONE_TO_ONE</t>
        </is>
      </c>
      <c r="G123" s="34" t="inlineStr">
        <is>
          <t>APPROVED</t>
        </is>
      </c>
      <c r="H123" s="34" t="inlineStr">
        <is>
          <t>New</t>
        </is>
      </c>
      <c r="I123" s="34" t="inlineStr">
        <is>
          <t>Source assignment -- not individually reviewed</t>
        </is>
      </c>
      <c r="J123" s="39" t="inlineStr"/>
      <c r="K123" s="34" t="inlineStr">
        <is>
          <t>Source assignment</t>
        </is>
      </c>
      <c r="L123" s="39" t="inlineStr"/>
      <c r="M123" s="34" t="inlineStr">
        <is>
          <t>Initial</t>
        </is>
      </c>
      <c r="N123" s="34" t="inlineStr">
        <is>
          <t>Rev 0</t>
        </is>
      </c>
      <c r="O123" s="34" t="inlineStr">
        <is>
          <t>R167-v1</t>
        </is>
      </c>
      <c r="P123" s="39" t="inlineStr"/>
      <c r="Q123" s="14" t="inlineStr"/>
      <c r="R123" s="39" t="inlineStr"/>
      <c r="S123" s="39" t="inlineStr"/>
      <c r="T123" s="39" t="inlineStr"/>
      <c r="U123" s="39" t="inlineStr"/>
      <c r="V123" s="34" t="inlineStr">
        <is>
          <t>WBS Code = 1.1.1</t>
        </is>
      </c>
      <c r="W123" s="14" t="inlineStr"/>
    </row>
    <row r="124" ht="64" customHeight="1">
      <c r="A124" s="34" t="inlineStr">
        <is>
          <t>1.1.1</t>
        </is>
      </c>
      <c r="B124" s="34" t="inlineStr">
        <is>
          <t>Guideway and Civil - Guideway Structures</t>
        </is>
      </c>
      <c r="C124" s="34" t="inlineStr">
        <is>
          <t>Contractor Programme</t>
        </is>
      </c>
      <c r="D124" s="34" t="inlineStr">
        <is>
          <t>SCH-01-169</t>
        </is>
      </c>
      <c r="E124" s="34" t="inlineStr">
        <is>
          <t>River crossing: track-slab survey - release</t>
        </is>
      </c>
      <c r="F124" s="34" t="inlineStr">
        <is>
          <t>ONE_TO_ONE</t>
        </is>
      </c>
      <c r="G124" s="34" t="inlineStr">
        <is>
          <t>APPROVED</t>
        </is>
      </c>
      <c r="H124" s="34" t="inlineStr">
        <is>
          <t>New</t>
        </is>
      </c>
      <c r="I124" s="34" t="inlineStr">
        <is>
          <t>Source assignment -- not individually reviewed</t>
        </is>
      </c>
      <c r="J124" s="39" t="inlineStr"/>
      <c r="K124" s="34" t="inlineStr">
        <is>
          <t>Source assignment</t>
        </is>
      </c>
      <c r="L124" s="39" t="inlineStr"/>
      <c r="M124" s="34" t="inlineStr">
        <is>
          <t>Initial</t>
        </is>
      </c>
      <c r="N124" s="34" t="inlineStr">
        <is>
          <t>Rev 0</t>
        </is>
      </c>
      <c r="O124" s="34" t="inlineStr">
        <is>
          <t>R169-v1</t>
        </is>
      </c>
      <c r="P124" s="39" t="inlineStr"/>
      <c r="Q124" s="14" t="inlineStr"/>
      <c r="R124" s="39" t="inlineStr"/>
      <c r="S124" s="39" t="inlineStr"/>
      <c r="T124" s="39" t="inlineStr"/>
      <c r="U124" s="39" t="inlineStr"/>
      <c r="V124" s="34" t="inlineStr">
        <is>
          <t>WBS Code = 1.1.1</t>
        </is>
      </c>
      <c r="W124" s="14" t="inlineStr"/>
    </row>
    <row r="125" ht="64" customHeight="1">
      <c r="A125" s="34" t="inlineStr">
        <is>
          <t>1.1.1</t>
        </is>
      </c>
      <c r="B125" s="34" t="inlineStr">
        <is>
          <t>Guideway and Civil - Guideway Structures</t>
        </is>
      </c>
      <c r="C125" s="34" t="inlineStr">
        <is>
          <t>Contractor Programme</t>
        </is>
      </c>
      <c r="D125" s="34" t="inlineStr">
        <is>
          <t>SCH-01-170</t>
        </is>
      </c>
      <c r="E125" s="34" t="inlineStr">
        <is>
          <t>Central guideway: temporary traffic staging - field start</t>
        </is>
      </c>
      <c r="F125" s="34" t="inlineStr">
        <is>
          <t>ONE_TO_ONE</t>
        </is>
      </c>
      <c r="G125" s="34" t="inlineStr">
        <is>
          <t>APPROVED</t>
        </is>
      </c>
      <c r="H125" s="34" t="inlineStr">
        <is>
          <t>New</t>
        </is>
      </c>
      <c r="I125" s="34" t="inlineStr">
        <is>
          <t>Source assignment -- not individually reviewed</t>
        </is>
      </c>
      <c r="J125" s="39" t="inlineStr"/>
      <c r="K125" s="34" t="inlineStr">
        <is>
          <t>Source assignment</t>
        </is>
      </c>
      <c r="L125" s="39" t="inlineStr"/>
      <c r="M125" s="34" t="inlineStr">
        <is>
          <t>Initial</t>
        </is>
      </c>
      <c r="N125" s="34" t="inlineStr">
        <is>
          <t>Rev 0</t>
        </is>
      </c>
      <c r="O125" s="34" t="inlineStr">
        <is>
          <t>R170-v1</t>
        </is>
      </c>
      <c r="P125" s="39" t="inlineStr"/>
      <c r="Q125" s="14" t="inlineStr"/>
      <c r="R125" s="39" t="inlineStr"/>
      <c r="S125" s="39" t="inlineStr"/>
      <c r="T125" s="39" t="inlineStr"/>
      <c r="U125" s="39" t="inlineStr"/>
      <c r="V125" s="34" t="inlineStr">
        <is>
          <t>WBS Code = 1.1.1</t>
        </is>
      </c>
      <c r="W125" s="14" t="inlineStr"/>
    </row>
    <row r="126" ht="64" customHeight="1">
      <c r="A126" s="34" t="inlineStr">
        <is>
          <t>1.1.1</t>
        </is>
      </c>
      <c r="B126" s="34" t="inlineStr">
        <is>
          <t>Guideway and Civil - Guideway Structures</t>
        </is>
      </c>
      <c r="C126" s="34" t="inlineStr">
        <is>
          <t>Contractor Programme</t>
        </is>
      </c>
      <c r="D126" s="34" t="inlineStr">
        <is>
          <t>SCH-01-172</t>
        </is>
      </c>
      <c r="E126" s="34" t="inlineStr">
        <is>
          <t>Depot lead: road restoration - inspection</t>
        </is>
      </c>
      <c r="F126" s="34" t="inlineStr">
        <is>
          <t>ONE_TO_ONE</t>
        </is>
      </c>
      <c r="G126" s="34" t="inlineStr">
        <is>
          <t>APPROVED</t>
        </is>
      </c>
      <c r="H126" s="34" t="inlineStr">
        <is>
          <t>New</t>
        </is>
      </c>
      <c r="I126" s="34" t="inlineStr">
        <is>
          <t>Source assignment -- not individually reviewed</t>
        </is>
      </c>
      <c r="J126" s="39" t="inlineStr"/>
      <c r="K126" s="34" t="inlineStr">
        <is>
          <t>Source assignment</t>
        </is>
      </c>
      <c r="L126" s="39" t="inlineStr"/>
      <c r="M126" s="34" t="inlineStr">
        <is>
          <t>Initial</t>
        </is>
      </c>
      <c r="N126" s="34" t="inlineStr">
        <is>
          <t>Rev 0</t>
        </is>
      </c>
      <c r="O126" s="34" t="inlineStr">
        <is>
          <t>R172-v1</t>
        </is>
      </c>
      <c r="P126" s="39" t="inlineStr"/>
      <c r="Q126" s="14" t="inlineStr"/>
      <c r="R126" s="39" t="inlineStr"/>
      <c r="S126" s="39" t="inlineStr"/>
      <c r="T126" s="39" t="inlineStr"/>
      <c r="U126" s="39" t="inlineStr"/>
      <c r="V126" s="34" t="inlineStr">
        <is>
          <t>WBS Code = 1.1.1</t>
        </is>
      </c>
      <c r="W126" s="14" t="inlineStr"/>
    </row>
    <row r="127" ht="64" customHeight="1">
      <c r="A127" s="34" t="inlineStr">
        <is>
          <t>1.1.1</t>
        </is>
      </c>
      <c r="B127" s="34" t="inlineStr">
        <is>
          <t>Guideway and Civil - Guideway Structures</t>
        </is>
      </c>
      <c r="C127" s="34" t="inlineStr">
        <is>
          <t>Contractor Programme</t>
        </is>
      </c>
      <c r="D127" s="34" t="inlineStr">
        <is>
          <t>SCH-01-173</t>
        </is>
      </c>
      <c r="E127" s="34" t="inlineStr">
        <is>
          <t>East portal: drilled-shaft installation - turnover</t>
        </is>
      </c>
      <c r="F127" s="34" t="inlineStr">
        <is>
          <t>ONE_TO_ONE</t>
        </is>
      </c>
      <c r="G127" s="34" t="inlineStr">
        <is>
          <t>APPROVED</t>
        </is>
      </c>
      <c r="H127" s="34" t="inlineStr">
        <is>
          <t>New</t>
        </is>
      </c>
      <c r="I127" s="34" t="inlineStr">
        <is>
          <t>Source assignment -- not individually reviewed</t>
        </is>
      </c>
      <c r="J127" s="39" t="inlineStr"/>
      <c r="K127" s="34" t="inlineStr">
        <is>
          <t>Source assignment</t>
        </is>
      </c>
      <c r="L127" s="39" t="inlineStr"/>
      <c r="M127" s="34" t="inlineStr">
        <is>
          <t>Initial</t>
        </is>
      </c>
      <c r="N127" s="34" t="inlineStr">
        <is>
          <t>Rev 0</t>
        </is>
      </c>
      <c r="O127" s="34" t="inlineStr">
        <is>
          <t>R173-v1</t>
        </is>
      </c>
      <c r="P127" s="39" t="inlineStr"/>
      <c r="Q127" s="14" t="inlineStr"/>
      <c r="R127" s="39" t="inlineStr"/>
      <c r="S127" s="39" t="inlineStr"/>
      <c r="T127" s="39" t="inlineStr"/>
      <c r="U127" s="39" t="inlineStr"/>
      <c r="V127" s="34" t="inlineStr">
        <is>
          <t>WBS Code = 1.1.1</t>
        </is>
      </c>
      <c r="W127" s="14" t="inlineStr"/>
    </row>
    <row r="128" ht="64" customHeight="1">
      <c r="A128" s="34" t="inlineStr">
        <is>
          <t>1.1.1</t>
        </is>
      </c>
      <c r="B128" s="34" t="inlineStr">
        <is>
          <t>Guideway and Civil - Guideway Structures</t>
        </is>
      </c>
      <c r="C128" s="34" t="inlineStr">
        <is>
          <t>Contractor Programme</t>
        </is>
      </c>
      <c r="D128" s="34" t="inlineStr">
        <is>
          <t>SCH-01-175</t>
        </is>
      </c>
      <c r="E128" s="34" t="inlineStr">
        <is>
          <t>Central guideway: drainage tie-in - field start</t>
        </is>
      </c>
      <c r="F128" s="34" t="inlineStr">
        <is>
          <t>ONE_TO_ONE</t>
        </is>
      </c>
      <c r="G128" s="34" t="inlineStr">
        <is>
          <t>APPROVED</t>
        </is>
      </c>
      <c r="H128" s="34" t="inlineStr">
        <is>
          <t>New</t>
        </is>
      </c>
      <c r="I128" s="34" t="inlineStr">
        <is>
          <t>Source assignment -- not individually reviewed</t>
        </is>
      </c>
      <c r="J128" s="39" t="inlineStr"/>
      <c r="K128" s="34" t="inlineStr">
        <is>
          <t>Source assignment</t>
        </is>
      </c>
      <c r="L128" s="39" t="inlineStr"/>
      <c r="M128" s="34" t="inlineStr">
        <is>
          <t>Initial</t>
        </is>
      </c>
      <c r="N128" s="34" t="inlineStr">
        <is>
          <t>Rev 0</t>
        </is>
      </c>
      <c r="O128" s="34" t="inlineStr">
        <is>
          <t>R175-v1</t>
        </is>
      </c>
      <c r="P128" s="39" t="inlineStr"/>
      <c r="Q128" s="14" t="inlineStr"/>
      <c r="R128" s="39" t="inlineStr"/>
      <c r="S128" s="39" t="inlineStr"/>
      <c r="T128" s="39" t="inlineStr"/>
      <c r="U128" s="39" t="inlineStr"/>
      <c r="V128" s="34" t="inlineStr">
        <is>
          <t>WBS Code = 1.1.1</t>
        </is>
      </c>
      <c r="W128" s="14" t="inlineStr"/>
    </row>
    <row r="129" ht="64" customHeight="1">
      <c r="A129" s="34" t="inlineStr">
        <is>
          <t>1.1.1</t>
        </is>
      </c>
      <c r="B129" s="34" t="inlineStr">
        <is>
          <t>Guideway and Civil - Guideway Structures</t>
        </is>
      </c>
      <c r="C129" s="34" t="inlineStr">
        <is>
          <t>Contractor Programme</t>
        </is>
      </c>
      <c r="D129" s="34" t="inlineStr">
        <is>
          <t>SCH-01-176</t>
        </is>
      </c>
      <c r="E129" s="34" t="inlineStr">
        <is>
          <t>West approach: utility relocation - installation</t>
        </is>
      </c>
      <c r="F129" s="34" t="inlineStr">
        <is>
          <t>ONE_TO_ONE</t>
        </is>
      </c>
      <c r="G129" s="34" t="inlineStr">
        <is>
          <t>APPROVED</t>
        </is>
      </c>
      <c r="H129" s="34" t="inlineStr">
        <is>
          <t>New</t>
        </is>
      </c>
      <c r="I129" s="34" t="inlineStr">
        <is>
          <t>Source assignment -- not individually reviewed</t>
        </is>
      </c>
      <c r="J129" s="39" t="inlineStr"/>
      <c r="K129" s="34" t="inlineStr">
        <is>
          <t>Source assignment</t>
        </is>
      </c>
      <c r="L129" s="39" t="inlineStr"/>
      <c r="M129" s="34" t="inlineStr">
        <is>
          <t>Initial</t>
        </is>
      </c>
      <c r="N129" s="34" t="inlineStr">
        <is>
          <t>Rev 0</t>
        </is>
      </c>
      <c r="O129" s="34" t="inlineStr">
        <is>
          <t>R176-v1</t>
        </is>
      </c>
      <c r="P129" s="39" t="inlineStr"/>
      <c r="Q129" s="14" t="inlineStr"/>
      <c r="R129" s="39" t="inlineStr"/>
      <c r="S129" s="39" t="inlineStr"/>
      <c r="T129" s="39" t="inlineStr"/>
      <c r="U129" s="39" t="inlineStr"/>
      <c r="V129" s="34" t="inlineStr">
        <is>
          <t>WBS Code = 1.1.1</t>
        </is>
      </c>
      <c r="W129" s="14" t="inlineStr"/>
    </row>
    <row r="130" ht="64" customHeight="1">
      <c r="A130" s="34" t="inlineStr">
        <is>
          <t>1.1.1</t>
        </is>
      </c>
      <c r="B130" s="34" t="inlineStr">
        <is>
          <t>Guideway and Civil - Guideway Structures</t>
        </is>
      </c>
      <c r="C130" s="34" t="inlineStr">
        <is>
          <t>Contractor Programme</t>
        </is>
      </c>
      <c r="D130" s="34" t="inlineStr">
        <is>
          <t>SCH-01-178</t>
        </is>
      </c>
      <c r="E130" s="34" t="inlineStr">
        <is>
          <t>East portal: temporary traffic staging - turnover</t>
        </is>
      </c>
      <c r="F130" s="34" t="inlineStr">
        <is>
          <t>ONE_TO_ONE</t>
        </is>
      </c>
      <c r="G130" s="34" t="inlineStr">
        <is>
          <t>APPROVED</t>
        </is>
      </c>
      <c r="H130" s="34" t="inlineStr">
        <is>
          <t>New</t>
        </is>
      </c>
      <c r="I130" s="34" t="inlineStr">
        <is>
          <t>Source assignment -- not individually reviewed</t>
        </is>
      </c>
      <c r="J130" s="39" t="inlineStr"/>
      <c r="K130" s="34" t="inlineStr">
        <is>
          <t>Source assignment</t>
        </is>
      </c>
      <c r="L130" s="39" t="inlineStr"/>
      <c r="M130" s="34" t="inlineStr">
        <is>
          <t>Initial</t>
        </is>
      </c>
      <c r="N130" s="34" t="inlineStr">
        <is>
          <t>Rev 0</t>
        </is>
      </c>
      <c r="O130" s="34" t="inlineStr">
        <is>
          <t>R178-v1</t>
        </is>
      </c>
      <c r="P130" s="39" t="inlineStr"/>
      <c r="Q130" s="14" t="inlineStr"/>
      <c r="R130" s="39" t="inlineStr"/>
      <c r="S130" s="39" t="inlineStr"/>
      <c r="T130" s="39" t="inlineStr"/>
      <c r="U130" s="39" t="inlineStr"/>
      <c r="V130" s="34" t="inlineStr">
        <is>
          <t>WBS Code = 1.1.1</t>
        </is>
      </c>
      <c r="W130" s="14" t="inlineStr"/>
    </row>
    <row r="131" ht="64" customHeight="1">
      <c r="A131" s="34" t="inlineStr">
        <is>
          <t>1.1.1</t>
        </is>
      </c>
      <c r="B131" s="34" t="inlineStr">
        <is>
          <t>Guideway and Civil - Guideway Structures</t>
        </is>
      </c>
      <c r="C131" s="34" t="inlineStr">
        <is>
          <t>Contractor Programme</t>
        </is>
      </c>
      <c r="D131" s="34" t="inlineStr">
        <is>
          <t>SCH-01-179</t>
        </is>
      </c>
      <c r="E131" s="34" t="inlineStr">
        <is>
          <t>River crossing: guideway pier reinforcement - release</t>
        </is>
      </c>
      <c r="F131" s="34" t="inlineStr">
        <is>
          <t>ONE_TO_ONE</t>
        </is>
      </c>
      <c r="G131" s="34" t="inlineStr">
        <is>
          <t>APPROVED</t>
        </is>
      </c>
      <c r="H131" s="34" t="inlineStr">
        <is>
          <t>New</t>
        </is>
      </c>
      <c r="I131" s="34" t="inlineStr">
        <is>
          <t>Source assignment -- not individually reviewed</t>
        </is>
      </c>
      <c r="J131" s="39" t="inlineStr"/>
      <c r="K131" s="34" t="inlineStr">
        <is>
          <t>Source assignment</t>
        </is>
      </c>
      <c r="L131" s="39" t="inlineStr"/>
      <c r="M131" s="34" t="inlineStr">
        <is>
          <t>Initial</t>
        </is>
      </c>
      <c r="N131" s="34" t="inlineStr">
        <is>
          <t>Rev 0</t>
        </is>
      </c>
      <c r="O131" s="34" t="inlineStr">
        <is>
          <t>R179-v1</t>
        </is>
      </c>
      <c r="P131" s="39" t="inlineStr"/>
      <c r="Q131" s="14" t="inlineStr"/>
      <c r="R131" s="39" t="inlineStr"/>
      <c r="S131" s="39" t="inlineStr"/>
      <c r="T131" s="39" t="inlineStr"/>
      <c r="U131" s="39" t="inlineStr"/>
      <c r="V131" s="34" t="inlineStr">
        <is>
          <t>WBS Code = 1.1.1</t>
        </is>
      </c>
      <c r="W131" s="14" t="inlineStr"/>
    </row>
    <row r="132" ht="64" customHeight="1">
      <c r="A132" s="34" t="inlineStr">
        <is>
          <t>1.1.1</t>
        </is>
      </c>
      <c r="B132" s="34" t="inlineStr">
        <is>
          <t>Guideway and Civil - Guideway Structures</t>
        </is>
      </c>
      <c r="C132" s="34" t="inlineStr">
        <is>
          <t>Cost &amp; Forecast Control Accounts</t>
        </is>
      </c>
      <c r="D132" s="34" t="inlineStr">
        <is>
          <t>CST-01-001</t>
        </is>
      </c>
      <c r="E132" s="34" t="inlineStr">
        <is>
          <t>Guideway and Civil - roadworks - professional services</t>
        </is>
      </c>
      <c r="F132" s="34" t="inlineStr">
        <is>
          <t>ONE_TO_ONE</t>
        </is>
      </c>
      <c r="G132" s="34" t="inlineStr">
        <is>
          <t>APPROVED</t>
        </is>
      </c>
      <c r="H132" s="34" t="inlineStr">
        <is>
          <t>New</t>
        </is>
      </c>
      <c r="I132" s="34" t="inlineStr">
        <is>
          <t>Source assignment -- not individually reviewed</t>
        </is>
      </c>
      <c r="J132" s="39" t="inlineStr"/>
      <c r="K132" s="34" t="inlineStr">
        <is>
          <t>Source assignment</t>
        </is>
      </c>
      <c r="L132" s="39" t="inlineStr"/>
      <c r="M132" s="34" t="inlineStr">
        <is>
          <t>Initial</t>
        </is>
      </c>
      <c r="N132" s="34" t="inlineStr">
        <is>
          <t>Rev 0</t>
        </is>
      </c>
      <c r="O132" s="34" t="inlineStr">
        <is>
          <t>R1083-v1</t>
        </is>
      </c>
      <c r="P132" s="39" t="inlineStr"/>
      <c r="Q132" s="14" t="inlineStr"/>
      <c r="R132" s="39" t="inlineStr"/>
      <c r="S132" s="39" t="inlineStr"/>
      <c r="T132" s="39" t="inlineStr"/>
      <c r="U132" s="39" t="inlineStr"/>
      <c r="V132" s="34" t="inlineStr">
        <is>
          <t>Cost Account = CA-1001; WBS Code = 1.1.1</t>
        </is>
      </c>
      <c r="W132" s="14" t="inlineStr"/>
    </row>
    <row r="133" ht="64" customHeight="1">
      <c r="A133" s="34" t="inlineStr">
        <is>
          <t>1.1.1</t>
        </is>
      </c>
      <c r="B133" s="34" t="inlineStr">
        <is>
          <t>Guideway and Civil - Guideway Structures</t>
        </is>
      </c>
      <c r="C133" s="34" t="inlineStr">
        <is>
          <t>Cost &amp; Forecast Control Accounts</t>
        </is>
      </c>
      <c r="D133" s="34" t="inlineStr">
        <is>
          <t>CST-01-003</t>
        </is>
      </c>
      <c r="E133" s="34" t="inlineStr">
        <is>
          <t>Guideway and Civil - concrete structures - closeout</t>
        </is>
      </c>
      <c r="F133" s="34" t="inlineStr">
        <is>
          <t>ONE_TO_ONE</t>
        </is>
      </c>
      <c r="G133" s="34" t="inlineStr">
        <is>
          <t>APPROVED</t>
        </is>
      </c>
      <c r="H133" s="34" t="inlineStr">
        <is>
          <t>New</t>
        </is>
      </c>
      <c r="I133" s="34" t="inlineStr">
        <is>
          <t>Source assignment -- not individually reviewed</t>
        </is>
      </c>
      <c r="J133" s="39" t="inlineStr"/>
      <c r="K133" s="34" t="inlineStr">
        <is>
          <t>Source assignment</t>
        </is>
      </c>
      <c r="L133" s="39" t="inlineStr"/>
      <c r="M133" s="34" t="inlineStr">
        <is>
          <t>Initial</t>
        </is>
      </c>
      <c r="N133" s="34" t="inlineStr">
        <is>
          <t>Rev 0</t>
        </is>
      </c>
      <c r="O133" s="34" t="inlineStr">
        <is>
          <t>R1085-v1</t>
        </is>
      </c>
      <c r="P133" s="39" t="inlineStr"/>
      <c r="Q133" s="14" t="inlineStr"/>
      <c r="R133" s="39" t="inlineStr"/>
      <c r="S133" s="39" t="inlineStr"/>
      <c r="T133" s="39" t="inlineStr"/>
      <c r="U133" s="39" t="inlineStr"/>
      <c r="V133" s="34" t="inlineStr">
        <is>
          <t>Cost Account = CA-1003; WBS Code = 1.1.1</t>
        </is>
      </c>
      <c r="W133" s="14" t="inlineStr"/>
    </row>
    <row r="134" ht="64" customHeight="1">
      <c r="A134" s="34" t="inlineStr">
        <is>
          <t>1.1.1</t>
        </is>
      </c>
      <c r="B134" s="34" t="inlineStr">
        <is>
          <t>Guideway and Civil - Guideway Structures</t>
        </is>
      </c>
      <c r="C134" s="34" t="inlineStr">
        <is>
          <t>Cost &amp; Forecast Control Accounts</t>
        </is>
      </c>
      <c r="D134" s="34" t="inlineStr">
        <is>
          <t>CST-01-005</t>
        </is>
      </c>
      <c r="E134" s="34" t="inlineStr">
        <is>
          <t>Guideway and Civil - temporary works - supply and install</t>
        </is>
      </c>
      <c r="F134" s="34" t="inlineStr">
        <is>
          <t>ONE_TO_ONE</t>
        </is>
      </c>
      <c r="G134" s="34" t="inlineStr">
        <is>
          <t>APPROVED</t>
        </is>
      </c>
      <c r="H134" s="34" t="inlineStr">
        <is>
          <t>New</t>
        </is>
      </c>
      <c r="I134" s="34" t="inlineStr">
        <is>
          <t>Source assignment -- not individually reviewed</t>
        </is>
      </c>
      <c r="J134" s="39" t="inlineStr"/>
      <c r="K134" s="34" t="inlineStr">
        <is>
          <t>Source assignment</t>
        </is>
      </c>
      <c r="L134" s="39" t="inlineStr"/>
      <c r="M134" s="34" t="inlineStr">
        <is>
          <t>Initial</t>
        </is>
      </c>
      <c r="N134" s="34" t="inlineStr">
        <is>
          <t>Rev 0</t>
        </is>
      </c>
      <c r="O134" s="34" t="inlineStr">
        <is>
          <t>R1087-v1</t>
        </is>
      </c>
      <c r="P134" s="39" t="inlineStr"/>
      <c r="Q134" s="14" t="inlineStr"/>
      <c r="R134" s="39" t="inlineStr"/>
      <c r="S134" s="39" t="inlineStr"/>
      <c r="T134" s="39" t="inlineStr"/>
      <c r="U134" s="39" t="inlineStr"/>
      <c r="V134" s="34" t="inlineStr">
        <is>
          <t>Cost Account = CA-1005; WBS Code = 1.1.1</t>
        </is>
      </c>
      <c r="W134" s="14" t="inlineStr"/>
    </row>
    <row r="135" ht="64" customHeight="1">
      <c r="A135" s="34" t="inlineStr">
        <is>
          <t>1.1.1</t>
        </is>
      </c>
      <c r="B135" s="34" t="inlineStr">
        <is>
          <t>Guideway and Civil - Guideway Structures</t>
        </is>
      </c>
      <c r="C135" s="34" t="inlineStr">
        <is>
          <t>Cost &amp; Forecast Control Accounts</t>
        </is>
      </c>
      <c r="D135" s="34" t="inlineStr">
        <is>
          <t>CST-01-007</t>
        </is>
      </c>
      <c r="E135" s="34" t="inlineStr">
        <is>
          <t>Guideway and Civil - roadworks - allowance</t>
        </is>
      </c>
      <c r="F135" s="34" t="inlineStr">
        <is>
          <t>ONE_TO_ONE</t>
        </is>
      </c>
      <c r="G135" s="34" t="inlineStr">
        <is>
          <t>APPROVED</t>
        </is>
      </c>
      <c r="H135" s="34" t="inlineStr">
        <is>
          <t>New</t>
        </is>
      </c>
      <c r="I135" s="34" t="inlineStr">
        <is>
          <t>Source assignment -- not individually reviewed</t>
        </is>
      </c>
      <c r="J135" s="39" t="inlineStr"/>
      <c r="K135" s="34" t="inlineStr">
        <is>
          <t>Source assignment</t>
        </is>
      </c>
      <c r="L135" s="39" t="inlineStr"/>
      <c r="M135" s="34" t="inlineStr">
        <is>
          <t>Initial</t>
        </is>
      </c>
      <c r="N135" s="34" t="inlineStr">
        <is>
          <t>Rev 0</t>
        </is>
      </c>
      <c r="O135" s="34" t="inlineStr">
        <is>
          <t>R1089-v1</t>
        </is>
      </c>
      <c r="P135" s="39" t="inlineStr"/>
      <c r="Q135" s="14" t="inlineStr"/>
      <c r="R135" s="39" t="inlineStr"/>
      <c r="S135" s="39" t="inlineStr"/>
      <c r="T135" s="39" t="inlineStr"/>
      <c r="U135" s="39" t="inlineStr"/>
      <c r="V135" s="34" t="inlineStr">
        <is>
          <t>Cost Account = CA-1007; WBS Code = 1.1.1</t>
        </is>
      </c>
      <c r="W135" s="14" t="inlineStr"/>
    </row>
    <row r="136" ht="64" customHeight="1">
      <c r="A136" s="34" t="inlineStr">
        <is>
          <t>1.1.1</t>
        </is>
      </c>
      <c r="B136" s="34" t="inlineStr">
        <is>
          <t>Guideway and Civil - Guideway Structures</t>
        </is>
      </c>
      <c r="C136" s="34" t="inlineStr">
        <is>
          <t>Cost &amp; Forecast Control Accounts</t>
        </is>
      </c>
      <c r="D136" s="34" t="inlineStr">
        <is>
          <t>CST-01-009</t>
        </is>
      </c>
      <c r="E136" s="34" t="inlineStr">
        <is>
          <t>Guideway and Civil - concrete structures - field package</t>
        </is>
      </c>
      <c r="F136" s="34" t="inlineStr">
        <is>
          <t>ONE_TO_ONE</t>
        </is>
      </c>
      <c r="G136" s="34" t="inlineStr">
        <is>
          <t>APPROVED</t>
        </is>
      </c>
      <c r="H136" s="34" t="inlineStr">
        <is>
          <t>New</t>
        </is>
      </c>
      <c r="I136" s="34" t="inlineStr">
        <is>
          <t>Source assignment -- not individually reviewed</t>
        </is>
      </c>
      <c r="J136" s="39" t="inlineStr"/>
      <c r="K136" s="34" t="inlineStr">
        <is>
          <t>Source assignment</t>
        </is>
      </c>
      <c r="L136" s="39" t="inlineStr"/>
      <c r="M136" s="34" t="inlineStr">
        <is>
          <t>Initial</t>
        </is>
      </c>
      <c r="N136" s="34" t="inlineStr">
        <is>
          <t>Rev 0</t>
        </is>
      </c>
      <c r="O136" s="34" t="inlineStr">
        <is>
          <t>R1091-v1</t>
        </is>
      </c>
      <c r="P136" s="39" t="inlineStr"/>
      <c r="Q136" s="14" t="inlineStr"/>
      <c r="R136" s="39" t="inlineStr"/>
      <c r="S136" s="39" t="inlineStr"/>
      <c r="T136" s="39" t="inlineStr"/>
      <c r="U136" s="39" t="inlineStr"/>
      <c r="V136" s="34" t="inlineStr">
        <is>
          <t>Cost Account = CA-1009; WBS Code = 1.1.1</t>
        </is>
      </c>
      <c r="W136" s="14" t="inlineStr"/>
    </row>
    <row r="137" ht="64" customHeight="1">
      <c r="A137" s="34" t="inlineStr">
        <is>
          <t>1.1.1</t>
        </is>
      </c>
      <c r="B137" s="34" t="inlineStr">
        <is>
          <t>Guideway and Civil - Guideway Structures</t>
        </is>
      </c>
      <c r="C137" s="34" t="inlineStr">
        <is>
          <t>Cost &amp; Forecast Control Accounts</t>
        </is>
      </c>
      <c r="D137" s="34" t="inlineStr">
        <is>
          <t>CST-01-011</t>
        </is>
      </c>
      <c r="E137" s="34" t="inlineStr">
        <is>
          <t>Guideway and Civil - temporary works - professional services</t>
        </is>
      </c>
      <c r="F137" s="34" t="inlineStr">
        <is>
          <t>ONE_TO_ONE</t>
        </is>
      </c>
      <c r="G137" s="34" t="inlineStr">
        <is>
          <t>APPROVED</t>
        </is>
      </c>
      <c r="H137" s="34" t="inlineStr">
        <is>
          <t>New</t>
        </is>
      </c>
      <c r="I137" s="34" t="inlineStr">
        <is>
          <t>Source assignment -- not individually reviewed</t>
        </is>
      </c>
      <c r="J137" s="39" t="inlineStr"/>
      <c r="K137" s="34" t="inlineStr">
        <is>
          <t>Source assignment</t>
        </is>
      </c>
      <c r="L137" s="39" t="inlineStr"/>
      <c r="M137" s="34" t="inlineStr">
        <is>
          <t>Initial</t>
        </is>
      </c>
      <c r="N137" s="34" t="inlineStr">
        <is>
          <t>Rev 0</t>
        </is>
      </c>
      <c r="O137" s="34" t="inlineStr">
        <is>
          <t>R1093-v1</t>
        </is>
      </c>
      <c r="P137" s="39" t="inlineStr"/>
      <c r="Q137" s="14" t="inlineStr"/>
      <c r="R137" s="39" t="inlineStr"/>
      <c r="S137" s="39" t="inlineStr"/>
      <c r="T137" s="39" t="inlineStr"/>
      <c r="U137" s="39" t="inlineStr"/>
      <c r="V137" s="34" t="inlineStr">
        <is>
          <t>Cost Account = CA-1011; WBS Code = 1.1.1</t>
        </is>
      </c>
      <c r="W137" s="14" t="inlineStr"/>
    </row>
    <row r="138" ht="64" customHeight="1">
      <c r="A138" s="34" t="inlineStr">
        <is>
          <t>1.1.1</t>
        </is>
      </c>
      <c r="B138" s="34" t="inlineStr">
        <is>
          <t>Guideway and Civil - Guideway Structures</t>
        </is>
      </c>
      <c r="C138" s="34" t="inlineStr">
        <is>
          <t>Cost &amp; Forecast Control Accounts</t>
        </is>
      </c>
      <c r="D138" s="34" t="inlineStr">
        <is>
          <t>CST-01-013</t>
        </is>
      </c>
      <c r="E138" s="34" t="inlineStr">
        <is>
          <t>Guideway and Civil - roadworks - closeout</t>
        </is>
      </c>
      <c r="F138" s="34" t="inlineStr">
        <is>
          <t>ONE_TO_ONE</t>
        </is>
      </c>
      <c r="G138" s="34" t="inlineStr">
        <is>
          <t>APPROVED</t>
        </is>
      </c>
      <c r="H138" s="34" t="inlineStr">
        <is>
          <t>New</t>
        </is>
      </c>
      <c r="I138" s="34" t="inlineStr">
        <is>
          <t>Source assignment -- not individually reviewed</t>
        </is>
      </c>
      <c r="J138" s="39" t="inlineStr"/>
      <c r="K138" s="34" t="inlineStr">
        <is>
          <t>Source assignment</t>
        </is>
      </c>
      <c r="L138" s="39" t="inlineStr"/>
      <c r="M138" s="34" t="inlineStr">
        <is>
          <t>Initial</t>
        </is>
      </c>
      <c r="N138" s="34" t="inlineStr">
        <is>
          <t>Rev 0</t>
        </is>
      </c>
      <c r="O138" s="34" t="inlineStr">
        <is>
          <t>R1095-v1</t>
        </is>
      </c>
      <c r="P138" s="39" t="inlineStr"/>
      <c r="Q138" s="14" t="inlineStr"/>
      <c r="R138" s="39" t="inlineStr"/>
      <c r="S138" s="39" t="inlineStr"/>
      <c r="T138" s="39" t="inlineStr"/>
      <c r="U138" s="39" t="inlineStr"/>
      <c r="V138" s="34" t="inlineStr">
        <is>
          <t>Cost Account = CA-1013; WBS Code = 1.1.1</t>
        </is>
      </c>
      <c r="W138" s="14" t="inlineStr"/>
    </row>
    <row r="139" ht="64" customHeight="1">
      <c r="A139" s="34" t="inlineStr">
        <is>
          <t>1.1.1</t>
        </is>
      </c>
      <c r="B139" s="34" t="inlineStr">
        <is>
          <t>Guideway and Civil - Guideway Structures</t>
        </is>
      </c>
      <c r="C139" s="34" t="inlineStr">
        <is>
          <t>Cost &amp; Forecast Control Accounts</t>
        </is>
      </c>
      <c r="D139" s="34" t="inlineStr">
        <is>
          <t>CST-01-015</t>
        </is>
      </c>
      <c r="E139" s="34" t="inlineStr">
        <is>
          <t>Guideway and Civil - concrete structures - supply and install</t>
        </is>
      </c>
      <c r="F139" s="34" t="inlineStr">
        <is>
          <t>ONE_TO_ONE</t>
        </is>
      </c>
      <c r="G139" s="34" t="inlineStr">
        <is>
          <t>APPROVED</t>
        </is>
      </c>
      <c r="H139" s="34" t="inlineStr">
        <is>
          <t>New</t>
        </is>
      </c>
      <c r="I139" s="34" t="inlineStr">
        <is>
          <t>Source assignment -- not individually reviewed</t>
        </is>
      </c>
      <c r="J139" s="39" t="inlineStr"/>
      <c r="K139" s="34" t="inlineStr">
        <is>
          <t>Source assignment</t>
        </is>
      </c>
      <c r="L139" s="39" t="inlineStr"/>
      <c r="M139" s="34" t="inlineStr">
        <is>
          <t>Initial</t>
        </is>
      </c>
      <c r="N139" s="34" t="inlineStr">
        <is>
          <t>Rev 0</t>
        </is>
      </c>
      <c r="O139" s="34" t="inlineStr">
        <is>
          <t>R1097-v1</t>
        </is>
      </c>
      <c r="P139" s="39" t="inlineStr"/>
      <c r="Q139" s="14" t="inlineStr"/>
      <c r="R139" s="39" t="inlineStr"/>
      <c r="S139" s="39" t="inlineStr"/>
      <c r="T139" s="39" t="inlineStr"/>
      <c r="U139" s="39" t="inlineStr"/>
      <c r="V139" s="34" t="inlineStr">
        <is>
          <t>Cost Account = CA-1015; WBS Code = 1.1.1</t>
        </is>
      </c>
      <c r="W139" s="14" t="inlineStr"/>
    </row>
    <row r="140" ht="64" customHeight="1">
      <c r="A140" s="34" t="inlineStr">
        <is>
          <t>1.1.1</t>
        </is>
      </c>
      <c r="B140" s="34" t="inlineStr">
        <is>
          <t>Guideway and Civil - Guideway Structures</t>
        </is>
      </c>
      <c r="C140" s="34" t="inlineStr">
        <is>
          <t>Cost &amp; Forecast Control Accounts</t>
        </is>
      </c>
      <c r="D140" s="34" t="inlineStr">
        <is>
          <t>CST-01-017</t>
        </is>
      </c>
      <c r="E140" s="34" t="inlineStr">
        <is>
          <t>Guideway and Civil - temporary works - allowance</t>
        </is>
      </c>
      <c r="F140" s="34" t="inlineStr">
        <is>
          <t>ONE_TO_ONE</t>
        </is>
      </c>
      <c r="G140" s="34" t="inlineStr">
        <is>
          <t>APPROVED</t>
        </is>
      </c>
      <c r="H140" s="34" t="inlineStr">
        <is>
          <t>New</t>
        </is>
      </c>
      <c r="I140" s="34" t="inlineStr">
        <is>
          <t>Source assignment -- not individually reviewed</t>
        </is>
      </c>
      <c r="J140" s="39" t="inlineStr"/>
      <c r="K140" s="34" t="inlineStr">
        <is>
          <t>Source assignment</t>
        </is>
      </c>
      <c r="L140" s="39" t="inlineStr"/>
      <c r="M140" s="34" t="inlineStr">
        <is>
          <t>Initial</t>
        </is>
      </c>
      <c r="N140" s="34" t="inlineStr">
        <is>
          <t>Rev 0</t>
        </is>
      </c>
      <c r="O140" s="34" t="inlineStr">
        <is>
          <t>R1099-v1</t>
        </is>
      </c>
      <c r="P140" s="39" t="inlineStr"/>
      <c r="Q140" s="14" t="inlineStr"/>
      <c r="R140" s="39" t="inlineStr"/>
      <c r="S140" s="39" t="inlineStr"/>
      <c r="T140" s="39" t="inlineStr"/>
      <c r="U140" s="39" t="inlineStr"/>
      <c r="V140" s="34" t="inlineStr">
        <is>
          <t>Cost Account = CA-1017; WBS Code = 1.1.1</t>
        </is>
      </c>
      <c r="W140" s="14" t="inlineStr"/>
    </row>
    <row r="141" ht="64" customHeight="1">
      <c r="A141" s="34" t="inlineStr">
        <is>
          <t>1.1.1</t>
        </is>
      </c>
      <c r="B141" s="34" t="inlineStr">
        <is>
          <t>Guideway and Civil - Guideway Structures</t>
        </is>
      </c>
      <c r="C141" s="34" t="inlineStr">
        <is>
          <t>Cost &amp; Forecast Control Accounts</t>
        </is>
      </c>
      <c r="D141" s="34" t="inlineStr">
        <is>
          <t>CST-01-019</t>
        </is>
      </c>
      <c r="E141" s="34" t="inlineStr">
        <is>
          <t>Guideway and Civil - roadworks - field package</t>
        </is>
      </c>
      <c r="F141" s="34" t="inlineStr">
        <is>
          <t>ONE_TO_ONE</t>
        </is>
      </c>
      <c r="G141" s="34" t="inlineStr">
        <is>
          <t>APPROVED</t>
        </is>
      </c>
      <c r="H141" s="34" t="inlineStr">
        <is>
          <t>New</t>
        </is>
      </c>
      <c r="I141" s="34" t="inlineStr">
        <is>
          <t>Source assignment -- not individually reviewed</t>
        </is>
      </c>
      <c r="J141" s="39" t="inlineStr"/>
      <c r="K141" s="34" t="inlineStr">
        <is>
          <t>Source assignment</t>
        </is>
      </c>
      <c r="L141" s="39" t="inlineStr"/>
      <c r="M141" s="34" t="inlineStr">
        <is>
          <t>Initial</t>
        </is>
      </c>
      <c r="N141" s="34" t="inlineStr">
        <is>
          <t>Rev 0</t>
        </is>
      </c>
      <c r="O141" s="34" t="inlineStr">
        <is>
          <t>R1101-v1</t>
        </is>
      </c>
      <c r="P141" s="39" t="inlineStr"/>
      <c r="Q141" s="14" t="inlineStr"/>
      <c r="R141" s="39" t="inlineStr"/>
      <c r="S141" s="39" t="inlineStr"/>
      <c r="T141" s="39" t="inlineStr"/>
      <c r="U141" s="39" t="inlineStr"/>
      <c r="V141" s="34" t="inlineStr">
        <is>
          <t>Cost Account = CA-1019; WBS Code = 1.1.1</t>
        </is>
      </c>
      <c r="W141" s="14" t="inlineStr"/>
    </row>
    <row r="142" ht="64" customHeight="1">
      <c r="A142" s="34" t="inlineStr">
        <is>
          <t>1.1.1</t>
        </is>
      </c>
      <c r="B142" s="34" t="inlineStr">
        <is>
          <t>Guideway and Civil - Guideway Structures</t>
        </is>
      </c>
      <c r="C142" s="34" t="inlineStr">
        <is>
          <t>Cost &amp; Forecast Control Accounts</t>
        </is>
      </c>
      <c r="D142" s="34" t="inlineStr">
        <is>
          <t>CST-01-021</t>
        </is>
      </c>
      <c r="E142" s="34" t="inlineStr">
        <is>
          <t>Guideway and Civil - concrete structures - professional services</t>
        </is>
      </c>
      <c r="F142" s="34" t="inlineStr">
        <is>
          <t>ONE_TO_ONE</t>
        </is>
      </c>
      <c r="G142" s="34" t="inlineStr">
        <is>
          <t>APPROVED</t>
        </is>
      </c>
      <c r="H142" s="34" t="inlineStr">
        <is>
          <t>New</t>
        </is>
      </c>
      <c r="I142" s="34" t="inlineStr">
        <is>
          <t>Source assignment -- not individually reviewed</t>
        </is>
      </c>
      <c r="J142" s="39" t="inlineStr"/>
      <c r="K142" s="34" t="inlineStr">
        <is>
          <t>Source assignment</t>
        </is>
      </c>
      <c r="L142" s="39" t="inlineStr"/>
      <c r="M142" s="34" t="inlineStr">
        <is>
          <t>Initial</t>
        </is>
      </c>
      <c r="N142" s="34" t="inlineStr">
        <is>
          <t>Rev 0</t>
        </is>
      </c>
      <c r="O142" s="34" t="inlineStr">
        <is>
          <t>R1103-v1</t>
        </is>
      </c>
      <c r="P142" s="39" t="inlineStr"/>
      <c r="Q142" s="14" t="inlineStr"/>
      <c r="R142" s="39" t="inlineStr"/>
      <c r="S142" s="39" t="inlineStr"/>
      <c r="T142" s="39" t="inlineStr"/>
      <c r="U142" s="39" t="inlineStr"/>
      <c r="V142" s="34" t="inlineStr">
        <is>
          <t>Cost Account = CA-1021; WBS Code = 1.1.1</t>
        </is>
      </c>
      <c r="W142" s="14" t="inlineStr"/>
    </row>
    <row r="143" ht="64" customHeight="1">
      <c r="A143" s="34" t="inlineStr">
        <is>
          <t>1.1.1</t>
        </is>
      </c>
      <c r="B143" s="34" t="inlineStr">
        <is>
          <t>Guideway and Civil - Guideway Structures</t>
        </is>
      </c>
      <c r="C143" s="34" t="inlineStr">
        <is>
          <t>Cost &amp; Forecast Control Accounts</t>
        </is>
      </c>
      <c r="D143" s="34" t="inlineStr">
        <is>
          <t>CST-01-023</t>
        </is>
      </c>
      <c r="E143" s="34" t="inlineStr">
        <is>
          <t>Guideway and Civil - temporary works - closeout</t>
        </is>
      </c>
      <c r="F143" s="34" t="inlineStr">
        <is>
          <t>ONE_TO_ONE</t>
        </is>
      </c>
      <c r="G143" s="34" t="inlineStr">
        <is>
          <t>APPROVED</t>
        </is>
      </c>
      <c r="H143" s="34" t="inlineStr">
        <is>
          <t>New</t>
        </is>
      </c>
      <c r="I143" s="34" t="inlineStr">
        <is>
          <t>Source assignment -- not individually reviewed</t>
        </is>
      </c>
      <c r="J143" s="39" t="inlineStr"/>
      <c r="K143" s="34" t="inlineStr">
        <is>
          <t>Source assignment</t>
        </is>
      </c>
      <c r="L143" s="39" t="inlineStr"/>
      <c r="M143" s="34" t="inlineStr">
        <is>
          <t>Initial</t>
        </is>
      </c>
      <c r="N143" s="34" t="inlineStr">
        <is>
          <t>Rev 0</t>
        </is>
      </c>
      <c r="O143" s="34" t="inlineStr">
        <is>
          <t>R1105-v1</t>
        </is>
      </c>
      <c r="P143" s="39" t="inlineStr"/>
      <c r="Q143" s="14" t="inlineStr"/>
      <c r="R143" s="39" t="inlineStr"/>
      <c r="S143" s="39" t="inlineStr"/>
      <c r="T143" s="39" t="inlineStr"/>
      <c r="U143" s="39" t="inlineStr"/>
      <c r="V143" s="34" t="inlineStr">
        <is>
          <t>Cost Account = CA-1023; WBS Code = 1.1.1</t>
        </is>
      </c>
      <c r="W143" s="14" t="inlineStr"/>
    </row>
    <row r="144" ht="64" customHeight="1">
      <c r="A144" s="34" t="inlineStr">
        <is>
          <t>1.1.1</t>
        </is>
      </c>
      <c r="B144" s="34" t="inlineStr">
        <is>
          <t>Guideway and Civil - Guideway Structures</t>
        </is>
      </c>
      <c r="C144" s="34" t="inlineStr">
        <is>
          <t>Cost &amp; Forecast Control Accounts</t>
        </is>
      </c>
      <c r="D144" s="34" t="inlineStr">
        <is>
          <t>CST-01-025</t>
        </is>
      </c>
      <c r="E144" s="34" t="inlineStr">
        <is>
          <t>Guideway and Civil - roadworks - supply and install</t>
        </is>
      </c>
      <c r="F144" s="34" t="inlineStr">
        <is>
          <t>ONE_TO_ONE</t>
        </is>
      </c>
      <c r="G144" s="34" t="inlineStr">
        <is>
          <t>APPROVED</t>
        </is>
      </c>
      <c r="H144" s="34" t="inlineStr">
        <is>
          <t>New</t>
        </is>
      </c>
      <c r="I144" s="34" t="inlineStr">
        <is>
          <t>Source assignment -- not individually reviewed</t>
        </is>
      </c>
      <c r="J144" s="39" t="inlineStr"/>
      <c r="K144" s="34" t="inlineStr">
        <is>
          <t>Source assignment</t>
        </is>
      </c>
      <c r="L144" s="39" t="inlineStr"/>
      <c r="M144" s="34" t="inlineStr">
        <is>
          <t>Initial</t>
        </is>
      </c>
      <c r="N144" s="34" t="inlineStr">
        <is>
          <t>Rev 0</t>
        </is>
      </c>
      <c r="O144" s="34" t="inlineStr">
        <is>
          <t>R1107-v1</t>
        </is>
      </c>
      <c r="P144" s="39" t="inlineStr"/>
      <c r="Q144" s="14" t="inlineStr"/>
      <c r="R144" s="39" t="inlineStr"/>
      <c r="S144" s="39" t="inlineStr"/>
      <c r="T144" s="39" t="inlineStr"/>
      <c r="U144" s="39" t="inlineStr"/>
      <c r="V144" s="34" t="inlineStr">
        <is>
          <t>Cost Account = CA-1025; WBS Code = 1.1.1</t>
        </is>
      </c>
      <c r="W144" s="14" t="inlineStr"/>
    </row>
    <row r="145" ht="64" customHeight="1">
      <c r="A145" s="34" t="inlineStr">
        <is>
          <t>1.1.1</t>
        </is>
      </c>
      <c r="B145" s="34" t="inlineStr">
        <is>
          <t>Guideway and Civil - Guideway Structures</t>
        </is>
      </c>
      <c r="C145" s="34" t="inlineStr">
        <is>
          <t>Cost &amp; Forecast Control Accounts</t>
        </is>
      </c>
      <c r="D145" s="34" t="inlineStr">
        <is>
          <t>CST-01-027</t>
        </is>
      </c>
      <c r="E145" s="34" t="inlineStr">
        <is>
          <t>Guideway and Civil - concrete structures - allowance</t>
        </is>
      </c>
      <c r="F145" s="34" t="inlineStr">
        <is>
          <t>ONE_TO_ONE</t>
        </is>
      </c>
      <c r="G145" s="34" t="inlineStr">
        <is>
          <t>APPROVED</t>
        </is>
      </c>
      <c r="H145" s="34" t="inlineStr">
        <is>
          <t>New</t>
        </is>
      </c>
      <c r="I145" s="34" t="inlineStr">
        <is>
          <t>Source assignment -- not individually reviewed</t>
        </is>
      </c>
      <c r="J145" s="39" t="inlineStr"/>
      <c r="K145" s="34" t="inlineStr">
        <is>
          <t>Source assignment</t>
        </is>
      </c>
      <c r="L145" s="39" t="inlineStr"/>
      <c r="M145" s="34" t="inlineStr">
        <is>
          <t>Initial</t>
        </is>
      </c>
      <c r="N145" s="34" t="inlineStr">
        <is>
          <t>Rev 0</t>
        </is>
      </c>
      <c r="O145" s="34" t="inlineStr">
        <is>
          <t>R1109-v1</t>
        </is>
      </c>
      <c r="P145" s="39" t="inlineStr"/>
      <c r="Q145" s="14" t="inlineStr"/>
      <c r="R145" s="39" t="inlineStr"/>
      <c r="S145" s="39" t="inlineStr"/>
      <c r="T145" s="39" t="inlineStr"/>
      <c r="U145" s="39" t="inlineStr"/>
      <c r="V145" s="34" t="inlineStr">
        <is>
          <t>Cost Account = CA-1027; WBS Code = 1.1.1</t>
        </is>
      </c>
      <c r="W145" s="14" t="inlineStr"/>
    </row>
    <row r="146" ht="64" customHeight="1">
      <c r="A146" s="34" t="inlineStr">
        <is>
          <t>1.1.1</t>
        </is>
      </c>
      <c r="B146" s="34" t="inlineStr">
        <is>
          <t>Guideway and Civil - Guideway Structures</t>
        </is>
      </c>
      <c r="C146" s="34" t="inlineStr">
        <is>
          <t>Cost &amp; Forecast Control Accounts</t>
        </is>
      </c>
      <c r="D146" s="34" t="inlineStr">
        <is>
          <t>CST-01-029</t>
        </is>
      </c>
      <c r="E146" s="34" t="inlineStr">
        <is>
          <t>Guideway and Civil - temporary works - field package</t>
        </is>
      </c>
      <c r="F146" s="34" t="inlineStr">
        <is>
          <t>ONE_TO_ONE</t>
        </is>
      </c>
      <c r="G146" s="34" t="inlineStr">
        <is>
          <t>APPROVED</t>
        </is>
      </c>
      <c r="H146" s="34" t="inlineStr">
        <is>
          <t>New</t>
        </is>
      </c>
      <c r="I146" s="34" t="inlineStr">
        <is>
          <t>Source assignment -- not individually reviewed</t>
        </is>
      </c>
      <c r="J146" s="39" t="inlineStr"/>
      <c r="K146" s="34" t="inlineStr">
        <is>
          <t>Source assignment</t>
        </is>
      </c>
      <c r="L146" s="39" t="inlineStr"/>
      <c r="M146" s="34" t="inlineStr">
        <is>
          <t>Initial</t>
        </is>
      </c>
      <c r="N146" s="34" t="inlineStr">
        <is>
          <t>Rev 0</t>
        </is>
      </c>
      <c r="O146" s="34" t="inlineStr">
        <is>
          <t>R1111-v1</t>
        </is>
      </c>
      <c r="P146" s="39" t="inlineStr"/>
      <c r="Q146" s="14" t="inlineStr"/>
      <c r="R146" s="39" t="inlineStr"/>
      <c r="S146" s="39" t="inlineStr"/>
      <c r="T146" s="39" t="inlineStr"/>
      <c r="U146" s="39" t="inlineStr"/>
      <c r="V146" s="34" t="inlineStr">
        <is>
          <t>Cost Account = CA-1029; WBS Code = 1.1.1</t>
        </is>
      </c>
      <c r="W146" s="14" t="inlineStr"/>
    </row>
    <row r="147" ht="64" customHeight="1">
      <c r="A147" s="34" t="inlineStr">
        <is>
          <t>1.1.1</t>
        </is>
      </c>
      <c r="B147" s="34" t="inlineStr">
        <is>
          <t>Guideway and Civil - Guideway Structures</t>
        </is>
      </c>
      <c r="C147" s="34" t="inlineStr">
        <is>
          <t>Cost &amp; Forecast Control Accounts</t>
        </is>
      </c>
      <c r="D147" s="34" t="inlineStr">
        <is>
          <t>CST-01-031</t>
        </is>
      </c>
      <c r="E147" s="34" t="inlineStr">
        <is>
          <t>Guideway and Civil - roadworks - professional services</t>
        </is>
      </c>
      <c r="F147" s="34" t="inlineStr">
        <is>
          <t>ONE_TO_ONE</t>
        </is>
      </c>
      <c r="G147" s="34" t="inlineStr">
        <is>
          <t>APPROVED</t>
        </is>
      </c>
      <c r="H147" s="34" t="inlineStr">
        <is>
          <t>New</t>
        </is>
      </c>
      <c r="I147" s="34" t="inlineStr">
        <is>
          <t>Source assignment -- not individually reviewed</t>
        </is>
      </c>
      <c r="J147" s="39" t="inlineStr"/>
      <c r="K147" s="34" t="inlineStr">
        <is>
          <t>Source assignment</t>
        </is>
      </c>
      <c r="L147" s="39" t="inlineStr"/>
      <c r="M147" s="34" t="inlineStr">
        <is>
          <t>Initial</t>
        </is>
      </c>
      <c r="N147" s="34" t="inlineStr">
        <is>
          <t>Rev 0</t>
        </is>
      </c>
      <c r="O147" s="34" t="inlineStr">
        <is>
          <t>R1113-v1</t>
        </is>
      </c>
      <c r="P147" s="39" t="inlineStr"/>
      <c r="Q147" s="14" t="inlineStr"/>
      <c r="R147" s="39" t="inlineStr"/>
      <c r="S147" s="39" t="inlineStr"/>
      <c r="T147" s="39" t="inlineStr"/>
      <c r="U147" s="39" t="inlineStr"/>
      <c r="V147" s="34" t="inlineStr">
        <is>
          <t>Cost Account = CA-1031; WBS Code = 1.1.1</t>
        </is>
      </c>
      <c r="W147" s="14" t="inlineStr"/>
    </row>
    <row r="148" ht="64" customHeight="1">
      <c r="A148" s="34" t="inlineStr">
        <is>
          <t>1.1.1</t>
        </is>
      </c>
      <c r="B148" s="34" t="inlineStr">
        <is>
          <t>Guideway and Civil - Guideway Structures</t>
        </is>
      </c>
      <c r="C148" s="34" t="inlineStr">
        <is>
          <t>Cost &amp; Forecast Control Accounts</t>
        </is>
      </c>
      <c r="D148" s="34" t="inlineStr">
        <is>
          <t>CST-01-033</t>
        </is>
      </c>
      <c r="E148" s="34" t="inlineStr">
        <is>
          <t>Guideway and Civil - concrete structures - closeout</t>
        </is>
      </c>
      <c r="F148" s="34" t="inlineStr">
        <is>
          <t>ONE_TO_ONE</t>
        </is>
      </c>
      <c r="G148" s="34" t="inlineStr">
        <is>
          <t>APPROVED</t>
        </is>
      </c>
      <c r="H148" s="34" t="inlineStr">
        <is>
          <t>New</t>
        </is>
      </c>
      <c r="I148" s="34" t="inlineStr">
        <is>
          <t>Source assignment -- not individually reviewed</t>
        </is>
      </c>
      <c r="J148" s="39" t="inlineStr"/>
      <c r="K148" s="34" t="inlineStr">
        <is>
          <t>Source assignment</t>
        </is>
      </c>
      <c r="L148" s="39" t="inlineStr"/>
      <c r="M148" s="34" t="inlineStr">
        <is>
          <t>Initial</t>
        </is>
      </c>
      <c r="N148" s="34" t="inlineStr">
        <is>
          <t>Rev 0</t>
        </is>
      </c>
      <c r="O148" s="34" t="inlineStr">
        <is>
          <t>R1115-v1</t>
        </is>
      </c>
      <c r="P148" s="39" t="inlineStr"/>
      <c r="Q148" s="14" t="inlineStr"/>
      <c r="R148" s="39" t="inlineStr"/>
      <c r="S148" s="39" t="inlineStr"/>
      <c r="T148" s="39" t="inlineStr"/>
      <c r="U148" s="39" t="inlineStr"/>
      <c r="V148" s="34" t="inlineStr">
        <is>
          <t>Cost Account = CA-1033; WBS Code = 1.1.1</t>
        </is>
      </c>
      <c r="W148" s="14" t="inlineStr"/>
    </row>
    <row r="149" ht="64" customHeight="1">
      <c r="A149" s="34" t="inlineStr">
        <is>
          <t>1.1.1</t>
        </is>
      </c>
      <c r="B149" s="34" t="inlineStr">
        <is>
          <t>Guideway and Civil - Guideway Structures</t>
        </is>
      </c>
      <c r="C149" s="34" t="inlineStr">
        <is>
          <t>Cost &amp; Forecast Control Accounts</t>
        </is>
      </c>
      <c r="D149" s="34" t="inlineStr">
        <is>
          <t>CST-01-035</t>
        </is>
      </c>
      <c r="E149" s="34" t="inlineStr">
        <is>
          <t>Guideway and Civil - temporary works - supply and install</t>
        </is>
      </c>
      <c r="F149" s="34" t="inlineStr">
        <is>
          <t>ONE_TO_ONE</t>
        </is>
      </c>
      <c r="G149" s="34" t="inlineStr">
        <is>
          <t>APPROVED</t>
        </is>
      </c>
      <c r="H149" s="34" t="inlineStr">
        <is>
          <t>New</t>
        </is>
      </c>
      <c r="I149" s="34" t="inlineStr">
        <is>
          <t>Source assignment -- not individually reviewed</t>
        </is>
      </c>
      <c r="J149" s="39" t="inlineStr"/>
      <c r="K149" s="34" t="inlineStr">
        <is>
          <t>Source assignment</t>
        </is>
      </c>
      <c r="L149" s="39" t="inlineStr"/>
      <c r="M149" s="34" t="inlineStr">
        <is>
          <t>Initial</t>
        </is>
      </c>
      <c r="N149" s="34" t="inlineStr">
        <is>
          <t>Rev 0</t>
        </is>
      </c>
      <c r="O149" s="34" t="inlineStr">
        <is>
          <t>R1117-v1</t>
        </is>
      </c>
      <c r="P149" s="39" t="inlineStr"/>
      <c r="Q149" s="14" t="inlineStr"/>
      <c r="R149" s="39" t="inlineStr"/>
      <c r="S149" s="39" t="inlineStr"/>
      <c r="T149" s="39" t="inlineStr"/>
      <c r="U149" s="39" t="inlineStr"/>
      <c r="V149" s="34" t="inlineStr">
        <is>
          <t>Cost Account = CA-1035; WBS Code = 1.1.1</t>
        </is>
      </c>
      <c r="W149" s="14" t="inlineStr"/>
    </row>
    <row r="150" ht="64" customHeight="1">
      <c r="A150" s="34" t="inlineStr">
        <is>
          <t>1.1.1</t>
        </is>
      </c>
      <c r="B150" s="34" t="inlineStr">
        <is>
          <t>Guideway and Civil - Guideway Structures</t>
        </is>
      </c>
      <c r="C150" s="34" t="inlineStr">
        <is>
          <t>Cost &amp; Forecast Control Accounts</t>
        </is>
      </c>
      <c r="D150" s="34" t="inlineStr">
        <is>
          <t>CST-01-037</t>
        </is>
      </c>
      <c r="E150" s="34" t="inlineStr">
        <is>
          <t>Guideway and Civil - roadworks - allowance</t>
        </is>
      </c>
      <c r="F150" s="34" t="inlineStr">
        <is>
          <t>ONE_TO_ONE</t>
        </is>
      </c>
      <c r="G150" s="34" t="inlineStr">
        <is>
          <t>APPROVED</t>
        </is>
      </c>
      <c r="H150" s="34" t="inlineStr">
        <is>
          <t>New</t>
        </is>
      </c>
      <c r="I150" s="34" t="inlineStr">
        <is>
          <t>Source assignment -- not individually reviewed</t>
        </is>
      </c>
      <c r="J150" s="39" t="inlineStr"/>
      <c r="K150" s="34" t="inlineStr">
        <is>
          <t>Source assignment</t>
        </is>
      </c>
      <c r="L150" s="39" t="inlineStr"/>
      <c r="M150" s="34" t="inlineStr">
        <is>
          <t>Initial</t>
        </is>
      </c>
      <c r="N150" s="34" t="inlineStr">
        <is>
          <t>Rev 0</t>
        </is>
      </c>
      <c r="O150" s="34" t="inlineStr">
        <is>
          <t>R1119-v1</t>
        </is>
      </c>
      <c r="P150" s="39" t="inlineStr"/>
      <c r="Q150" s="14" t="inlineStr"/>
      <c r="R150" s="39" t="inlineStr"/>
      <c r="S150" s="39" t="inlineStr"/>
      <c r="T150" s="39" t="inlineStr"/>
      <c r="U150" s="39" t="inlineStr"/>
      <c r="V150" s="34" t="inlineStr">
        <is>
          <t>Cost Account = CA-1037; WBS Code = 1.1.1</t>
        </is>
      </c>
      <c r="W150" s="14" t="inlineStr"/>
    </row>
    <row r="151" ht="64" customHeight="1">
      <c r="A151" s="34" t="inlineStr">
        <is>
          <t>1.1.1</t>
        </is>
      </c>
      <c r="B151" s="34" t="inlineStr">
        <is>
          <t>Guideway and Civil - Guideway Structures</t>
        </is>
      </c>
      <c r="C151" s="34" t="inlineStr">
        <is>
          <t>Cost &amp; Forecast Control Accounts</t>
        </is>
      </c>
      <c r="D151" s="34" t="inlineStr">
        <is>
          <t>CST-01-039</t>
        </is>
      </c>
      <c r="E151" s="34" t="inlineStr">
        <is>
          <t>Guideway and Civil - concrete structures - field package</t>
        </is>
      </c>
      <c r="F151" s="34" t="inlineStr">
        <is>
          <t>ONE_TO_ONE</t>
        </is>
      </c>
      <c r="G151" s="34" t="inlineStr">
        <is>
          <t>APPROVED</t>
        </is>
      </c>
      <c r="H151" s="34" t="inlineStr">
        <is>
          <t>New</t>
        </is>
      </c>
      <c r="I151" s="34" t="inlineStr">
        <is>
          <t>Source assignment -- not individually reviewed</t>
        </is>
      </c>
      <c r="J151" s="39" t="inlineStr"/>
      <c r="K151" s="34" t="inlineStr">
        <is>
          <t>Source assignment</t>
        </is>
      </c>
      <c r="L151" s="39" t="inlineStr"/>
      <c r="M151" s="34" t="inlineStr">
        <is>
          <t>Initial</t>
        </is>
      </c>
      <c r="N151" s="34" t="inlineStr">
        <is>
          <t>Rev 0</t>
        </is>
      </c>
      <c r="O151" s="34" t="inlineStr">
        <is>
          <t>R1121-v1</t>
        </is>
      </c>
      <c r="P151" s="39" t="inlineStr"/>
      <c r="Q151" s="14" t="inlineStr"/>
      <c r="R151" s="39" t="inlineStr"/>
      <c r="S151" s="39" t="inlineStr"/>
      <c r="T151" s="39" t="inlineStr"/>
      <c r="U151" s="39" t="inlineStr"/>
      <c r="V151" s="34" t="inlineStr">
        <is>
          <t>Cost Account = CA-1039; WBS Code = 1.1.1</t>
        </is>
      </c>
      <c r="W151" s="14" t="inlineStr"/>
    </row>
    <row r="152" ht="64" customHeight="1">
      <c r="A152" s="34" t="inlineStr">
        <is>
          <t>1.1.1</t>
        </is>
      </c>
      <c r="B152" s="34" t="inlineStr">
        <is>
          <t>Guideway and Civil - Guideway Structures</t>
        </is>
      </c>
      <c r="C152" s="34" t="inlineStr">
        <is>
          <t>Cost &amp; Forecast Control Accounts</t>
        </is>
      </c>
      <c r="D152" s="34" t="inlineStr">
        <is>
          <t>CST-01-041</t>
        </is>
      </c>
      <c r="E152" s="34" t="inlineStr">
        <is>
          <t>Guideway and Civil - temporary works - professional services</t>
        </is>
      </c>
      <c r="F152" s="34" t="inlineStr">
        <is>
          <t>ONE_TO_ONE</t>
        </is>
      </c>
      <c r="G152" s="34" t="inlineStr">
        <is>
          <t>APPROVED</t>
        </is>
      </c>
      <c r="H152" s="34" t="inlineStr">
        <is>
          <t>New</t>
        </is>
      </c>
      <c r="I152" s="34" t="inlineStr">
        <is>
          <t>Source assignment -- not individually reviewed</t>
        </is>
      </c>
      <c r="J152" s="39" t="inlineStr"/>
      <c r="K152" s="34" t="inlineStr">
        <is>
          <t>Source assignment</t>
        </is>
      </c>
      <c r="L152" s="39" t="inlineStr"/>
      <c r="M152" s="34" t="inlineStr">
        <is>
          <t>Initial</t>
        </is>
      </c>
      <c r="N152" s="34" t="inlineStr">
        <is>
          <t>Rev 0</t>
        </is>
      </c>
      <c r="O152" s="34" t="inlineStr">
        <is>
          <t>R1123-v1</t>
        </is>
      </c>
      <c r="P152" s="39" t="inlineStr"/>
      <c r="Q152" s="14" t="inlineStr"/>
      <c r="R152" s="39" t="inlineStr"/>
      <c r="S152" s="39" t="inlineStr"/>
      <c r="T152" s="39" t="inlineStr"/>
      <c r="U152" s="39" t="inlineStr"/>
      <c r="V152" s="34" t="inlineStr">
        <is>
          <t>Cost Account = CA-1041; WBS Code = 1.1.1</t>
        </is>
      </c>
      <c r="W152" s="14" t="inlineStr"/>
    </row>
    <row r="153" ht="64" customHeight="1">
      <c r="A153" s="34" t="inlineStr">
        <is>
          <t>1.1.1</t>
        </is>
      </c>
      <c r="B153" s="34" t="inlineStr">
        <is>
          <t>Guideway and Civil - Guideway Structures</t>
        </is>
      </c>
      <c r="C153" s="34" t="inlineStr">
        <is>
          <t>Cost &amp; Forecast Control Accounts</t>
        </is>
      </c>
      <c r="D153" s="34" t="inlineStr">
        <is>
          <t>CST-01-043</t>
        </is>
      </c>
      <c r="E153" s="34" t="inlineStr">
        <is>
          <t>Guideway and Civil - roadworks - closeout</t>
        </is>
      </c>
      <c r="F153" s="34" t="inlineStr">
        <is>
          <t>ONE_TO_ONE</t>
        </is>
      </c>
      <c r="G153" s="34" t="inlineStr">
        <is>
          <t>APPROVED</t>
        </is>
      </c>
      <c r="H153" s="34" t="inlineStr">
        <is>
          <t>New</t>
        </is>
      </c>
      <c r="I153" s="34" t="inlineStr">
        <is>
          <t>Source assignment -- not individually reviewed</t>
        </is>
      </c>
      <c r="J153" s="39" t="inlineStr"/>
      <c r="K153" s="34" t="inlineStr">
        <is>
          <t>Source assignment</t>
        </is>
      </c>
      <c r="L153" s="39" t="inlineStr"/>
      <c r="M153" s="34" t="inlineStr">
        <is>
          <t>Initial</t>
        </is>
      </c>
      <c r="N153" s="34" t="inlineStr">
        <is>
          <t>Rev 0</t>
        </is>
      </c>
      <c r="O153" s="34" t="inlineStr">
        <is>
          <t>R1125-v1</t>
        </is>
      </c>
      <c r="P153" s="39" t="inlineStr"/>
      <c r="Q153" s="14" t="inlineStr"/>
      <c r="R153" s="39" t="inlineStr"/>
      <c r="S153" s="39" t="inlineStr"/>
      <c r="T153" s="39" t="inlineStr"/>
      <c r="U153" s="39" t="inlineStr"/>
      <c r="V153" s="34" t="inlineStr">
        <is>
          <t>Cost Account = CA-1043; WBS Code = 1.1.1</t>
        </is>
      </c>
      <c r="W153" s="14" t="inlineStr"/>
    </row>
    <row r="154" ht="64" customHeight="1">
      <c r="A154" s="34" t="inlineStr">
        <is>
          <t>1.1.1</t>
        </is>
      </c>
      <c r="B154" s="34" t="inlineStr">
        <is>
          <t>Guideway and Civil - Guideway Structures</t>
        </is>
      </c>
      <c r="C154" s="34" t="inlineStr">
        <is>
          <t>Cost &amp; Forecast Control Accounts</t>
        </is>
      </c>
      <c r="D154" s="34" t="inlineStr">
        <is>
          <t>CST-01-045</t>
        </is>
      </c>
      <c r="E154" s="34" t="inlineStr">
        <is>
          <t>Guideway and Civil - concrete structures - supply and install</t>
        </is>
      </c>
      <c r="F154" s="34" t="inlineStr">
        <is>
          <t>ONE_TO_ONE</t>
        </is>
      </c>
      <c r="G154" s="34" t="inlineStr">
        <is>
          <t>APPROVED</t>
        </is>
      </c>
      <c r="H154" s="34" t="inlineStr">
        <is>
          <t>New</t>
        </is>
      </c>
      <c r="I154" s="34" t="inlineStr">
        <is>
          <t>Source assignment -- not individually reviewed</t>
        </is>
      </c>
      <c r="J154" s="39" t="inlineStr"/>
      <c r="K154" s="34" t="inlineStr">
        <is>
          <t>Source assignment</t>
        </is>
      </c>
      <c r="L154" s="39" t="inlineStr"/>
      <c r="M154" s="34" t="inlineStr">
        <is>
          <t>Initial</t>
        </is>
      </c>
      <c r="N154" s="34" t="inlineStr">
        <is>
          <t>Rev 0</t>
        </is>
      </c>
      <c r="O154" s="34" t="inlineStr">
        <is>
          <t>R1127-v1</t>
        </is>
      </c>
      <c r="P154" s="39" t="inlineStr"/>
      <c r="Q154" s="14" t="inlineStr"/>
      <c r="R154" s="39" t="inlineStr"/>
      <c r="S154" s="39" t="inlineStr"/>
      <c r="T154" s="39" t="inlineStr"/>
      <c r="U154" s="39" t="inlineStr"/>
      <c r="V154" s="34" t="inlineStr">
        <is>
          <t>Cost Account = CA-1045; WBS Code = 1.1.1</t>
        </is>
      </c>
      <c r="W154" s="14" t="inlineStr"/>
    </row>
    <row r="155" ht="64" customHeight="1">
      <c r="A155" s="34" t="inlineStr">
        <is>
          <t>1.1.1</t>
        </is>
      </c>
      <c r="B155" s="34" t="inlineStr">
        <is>
          <t>Guideway and Civil - Guideway Structures</t>
        </is>
      </c>
      <c r="C155" s="34" t="inlineStr">
        <is>
          <t>Cost &amp; Forecast Control Accounts</t>
        </is>
      </c>
      <c r="D155" s="34" t="inlineStr">
        <is>
          <t>CST-01-047</t>
        </is>
      </c>
      <c r="E155" s="34" t="inlineStr">
        <is>
          <t>Guideway and Civil - temporary works - allowance</t>
        </is>
      </c>
      <c r="F155" s="34" t="inlineStr">
        <is>
          <t>ONE_TO_ONE</t>
        </is>
      </c>
      <c r="G155" s="34" t="inlineStr">
        <is>
          <t>APPROVED</t>
        </is>
      </c>
      <c r="H155" s="34" t="inlineStr">
        <is>
          <t>New</t>
        </is>
      </c>
      <c r="I155" s="34" t="inlineStr">
        <is>
          <t>Source assignment -- not individually reviewed</t>
        </is>
      </c>
      <c r="J155" s="39" t="inlineStr"/>
      <c r="K155" s="34" t="inlineStr">
        <is>
          <t>Source assignment</t>
        </is>
      </c>
      <c r="L155" s="39" t="inlineStr"/>
      <c r="M155" s="34" t="inlineStr">
        <is>
          <t>Initial</t>
        </is>
      </c>
      <c r="N155" s="34" t="inlineStr">
        <is>
          <t>Rev 0</t>
        </is>
      </c>
      <c r="O155" s="34" t="inlineStr">
        <is>
          <t>R1129-v1</t>
        </is>
      </c>
      <c r="P155" s="39" t="inlineStr"/>
      <c r="Q155" s="14" t="inlineStr"/>
      <c r="R155" s="39" t="inlineStr"/>
      <c r="S155" s="39" t="inlineStr"/>
      <c r="T155" s="39" t="inlineStr"/>
      <c r="U155" s="39" t="inlineStr"/>
      <c r="V155" s="34" t="inlineStr">
        <is>
          <t>Cost Account = CA-1047; WBS Code = 1.1.1</t>
        </is>
      </c>
      <c r="W155" s="14" t="inlineStr"/>
    </row>
    <row r="156" ht="64" customHeight="1">
      <c r="A156" s="34" t="inlineStr">
        <is>
          <t>1.1.1</t>
        </is>
      </c>
      <c r="B156" s="34" t="inlineStr">
        <is>
          <t>Guideway and Civil - Guideway Structures</t>
        </is>
      </c>
      <c r="C156" s="34" t="inlineStr">
        <is>
          <t>Cost &amp; Forecast Control Accounts</t>
        </is>
      </c>
      <c r="D156" s="34" t="inlineStr">
        <is>
          <t>CST-01-049</t>
        </is>
      </c>
      <c r="E156" s="34" t="inlineStr">
        <is>
          <t>Guideway and Civil - roadworks - field package</t>
        </is>
      </c>
      <c r="F156" s="34" t="inlineStr">
        <is>
          <t>ONE_TO_ONE</t>
        </is>
      </c>
      <c r="G156" s="34" t="inlineStr">
        <is>
          <t>APPROVED</t>
        </is>
      </c>
      <c r="H156" s="34" t="inlineStr">
        <is>
          <t>New</t>
        </is>
      </c>
      <c r="I156" s="34" t="inlineStr">
        <is>
          <t>Source assignment -- not individually reviewed</t>
        </is>
      </c>
      <c r="J156" s="39" t="inlineStr"/>
      <c r="K156" s="34" t="inlineStr">
        <is>
          <t>Source assignment</t>
        </is>
      </c>
      <c r="L156" s="39" t="inlineStr"/>
      <c r="M156" s="34" t="inlineStr">
        <is>
          <t>Initial</t>
        </is>
      </c>
      <c r="N156" s="34" t="inlineStr">
        <is>
          <t>Rev 0</t>
        </is>
      </c>
      <c r="O156" s="34" t="inlineStr">
        <is>
          <t>R1131-v1</t>
        </is>
      </c>
      <c r="P156" s="39" t="inlineStr"/>
      <c r="Q156" s="14" t="inlineStr"/>
      <c r="R156" s="39" t="inlineStr"/>
      <c r="S156" s="39" t="inlineStr"/>
      <c r="T156" s="39" t="inlineStr"/>
      <c r="U156" s="39" t="inlineStr"/>
      <c r="V156" s="34" t="inlineStr">
        <is>
          <t>Cost Account = CA-1049; WBS Code = 1.1.1</t>
        </is>
      </c>
      <c r="W156" s="14" t="inlineStr"/>
    </row>
    <row r="157" ht="64" customHeight="1">
      <c r="A157" s="34" t="inlineStr">
        <is>
          <t>1.1.1</t>
        </is>
      </c>
      <c r="B157" s="34" t="inlineStr">
        <is>
          <t>Guideway and Civil - Guideway Structures</t>
        </is>
      </c>
      <c r="C157" s="34" t="inlineStr">
        <is>
          <t>Cost &amp; Forecast Control Accounts</t>
        </is>
      </c>
      <c r="D157" s="34" t="inlineStr">
        <is>
          <t>CST-01-051</t>
        </is>
      </c>
      <c r="E157" s="34" t="inlineStr">
        <is>
          <t>Guideway and Civil - concrete structures - professional services</t>
        </is>
      </c>
      <c r="F157" s="34" t="inlineStr">
        <is>
          <t>ONE_TO_ONE</t>
        </is>
      </c>
      <c r="G157" s="34" t="inlineStr">
        <is>
          <t>APPROVED</t>
        </is>
      </c>
      <c r="H157" s="34" t="inlineStr">
        <is>
          <t>New</t>
        </is>
      </c>
      <c r="I157" s="34" t="inlineStr">
        <is>
          <t>Source assignment -- not individually reviewed</t>
        </is>
      </c>
      <c r="J157" s="39" t="inlineStr"/>
      <c r="K157" s="34" t="inlineStr">
        <is>
          <t>Source assignment</t>
        </is>
      </c>
      <c r="L157" s="39" t="inlineStr"/>
      <c r="M157" s="34" t="inlineStr">
        <is>
          <t>Initial</t>
        </is>
      </c>
      <c r="N157" s="34" t="inlineStr">
        <is>
          <t>Rev 0</t>
        </is>
      </c>
      <c r="O157" s="34" t="inlineStr">
        <is>
          <t>R1133-v1</t>
        </is>
      </c>
      <c r="P157" s="39" t="inlineStr"/>
      <c r="Q157" s="14" t="inlineStr"/>
      <c r="R157" s="39" t="inlineStr"/>
      <c r="S157" s="39" t="inlineStr"/>
      <c r="T157" s="39" t="inlineStr"/>
      <c r="U157" s="39" t="inlineStr"/>
      <c r="V157" s="34" t="inlineStr">
        <is>
          <t>Cost Account = CA-1051; WBS Code = 1.1.1</t>
        </is>
      </c>
      <c r="W157" s="14" t="inlineStr"/>
    </row>
    <row r="158" ht="64" customHeight="1">
      <c r="A158" s="34" t="inlineStr">
        <is>
          <t>1.1.1</t>
        </is>
      </c>
      <c r="B158" s="34" t="inlineStr">
        <is>
          <t>Guideway and Civil - Guideway Structures</t>
        </is>
      </c>
      <c r="C158" s="34" t="inlineStr">
        <is>
          <t>Cost &amp; Forecast Control Accounts</t>
        </is>
      </c>
      <c r="D158" s="34" t="inlineStr">
        <is>
          <t>CST-01-053</t>
        </is>
      </c>
      <c r="E158" s="34" t="inlineStr">
        <is>
          <t>Guideway and Civil - temporary works - closeout</t>
        </is>
      </c>
      <c r="F158" s="34" t="inlineStr">
        <is>
          <t>ONE_TO_ONE</t>
        </is>
      </c>
      <c r="G158" s="34" t="inlineStr">
        <is>
          <t>APPROVED</t>
        </is>
      </c>
      <c r="H158" s="34" t="inlineStr">
        <is>
          <t>New</t>
        </is>
      </c>
      <c r="I158" s="34" t="inlineStr">
        <is>
          <t>Source assignment -- not individually reviewed</t>
        </is>
      </c>
      <c r="J158" s="39" t="inlineStr"/>
      <c r="K158" s="34" t="inlineStr">
        <is>
          <t>Source assignment</t>
        </is>
      </c>
      <c r="L158" s="39" t="inlineStr"/>
      <c r="M158" s="34" t="inlineStr">
        <is>
          <t>Initial</t>
        </is>
      </c>
      <c r="N158" s="34" t="inlineStr">
        <is>
          <t>Rev 0</t>
        </is>
      </c>
      <c r="O158" s="34" t="inlineStr">
        <is>
          <t>R1135-v1</t>
        </is>
      </c>
      <c r="P158" s="39" t="inlineStr"/>
      <c r="Q158" s="14" t="inlineStr"/>
      <c r="R158" s="39" t="inlineStr"/>
      <c r="S158" s="39" t="inlineStr"/>
      <c r="T158" s="39" t="inlineStr"/>
      <c r="U158" s="39" t="inlineStr"/>
      <c r="V158" s="34" t="inlineStr">
        <is>
          <t>Cost Account = CA-1053; WBS Code = 1.1.1</t>
        </is>
      </c>
      <c r="W158" s="14" t="inlineStr"/>
    </row>
    <row r="159" ht="64" customHeight="1">
      <c r="A159" s="34" t="inlineStr">
        <is>
          <t>1.1.1</t>
        </is>
      </c>
      <c r="B159" s="34" t="inlineStr">
        <is>
          <t>Guideway and Civil - Guideway Structures</t>
        </is>
      </c>
      <c r="C159" s="34" t="inlineStr">
        <is>
          <t>Cost &amp; Forecast Control Accounts</t>
        </is>
      </c>
      <c r="D159" s="34" t="inlineStr">
        <is>
          <t>CST-01-055</t>
        </is>
      </c>
      <c r="E159" s="34" t="inlineStr">
        <is>
          <t>Guideway and Civil - roadworks - supply and install</t>
        </is>
      </c>
      <c r="F159" s="34" t="inlineStr">
        <is>
          <t>ONE_TO_ONE</t>
        </is>
      </c>
      <c r="G159" s="34" t="inlineStr">
        <is>
          <t>APPROVED</t>
        </is>
      </c>
      <c r="H159" s="34" t="inlineStr">
        <is>
          <t>New</t>
        </is>
      </c>
      <c r="I159" s="34" t="inlineStr">
        <is>
          <t>Source assignment -- not individually reviewed</t>
        </is>
      </c>
      <c r="J159" s="39" t="inlineStr"/>
      <c r="K159" s="34" t="inlineStr">
        <is>
          <t>Source assignment</t>
        </is>
      </c>
      <c r="L159" s="39" t="inlineStr"/>
      <c r="M159" s="34" t="inlineStr">
        <is>
          <t>Initial</t>
        </is>
      </c>
      <c r="N159" s="34" t="inlineStr">
        <is>
          <t>Rev 0</t>
        </is>
      </c>
      <c r="O159" s="34" t="inlineStr">
        <is>
          <t>R1137-v1</t>
        </is>
      </c>
      <c r="P159" s="39" t="inlineStr"/>
      <c r="Q159" s="14" t="inlineStr"/>
      <c r="R159" s="39" t="inlineStr"/>
      <c r="S159" s="39" t="inlineStr"/>
      <c r="T159" s="39" t="inlineStr"/>
      <c r="U159" s="39" t="inlineStr"/>
      <c r="V159" s="34" t="inlineStr">
        <is>
          <t>Cost Account = CA-1055; WBS Code = 1.1.1</t>
        </is>
      </c>
      <c r="W159" s="14" t="inlineStr"/>
    </row>
    <row r="160" ht="64" customHeight="1">
      <c r="A160" s="34" t="inlineStr">
        <is>
          <t>1.1.1</t>
        </is>
      </c>
      <c r="B160" s="34" t="inlineStr">
        <is>
          <t>Guideway and Civil - Guideway Structures</t>
        </is>
      </c>
      <c r="C160" s="34" t="inlineStr">
        <is>
          <t>Cost &amp; Forecast Control Accounts</t>
        </is>
      </c>
      <c r="D160" s="34" t="inlineStr">
        <is>
          <t>CST-01-057</t>
        </is>
      </c>
      <c r="E160" s="34" t="inlineStr">
        <is>
          <t>Guideway and Civil - concrete structures - allowance</t>
        </is>
      </c>
      <c r="F160" s="34" t="inlineStr">
        <is>
          <t>ONE_TO_ONE</t>
        </is>
      </c>
      <c r="G160" s="34" t="inlineStr">
        <is>
          <t>APPROVED</t>
        </is>
      </c>
      <c r="H160" s="34" t="inlineStr">
        <is>
          <t>New</t>
        </is>
      </c>
      <c r="I160" s="34" t="inlineStr">
        <is>
          <t>Source assignment -- not individually reviewed</t>
        </is>
      </c>
      <c r="J160" s="39" t="inlineStr"/>
      <c r="K160" s="34" t="inlineStr">
        <is>
          <t>Source assignment</t>
        </is>
      </c>
      <c r="L160" s="39" t="inlineStr"/>
      <c r="M160" s="34" t="inlineStr">
        <is>
          <t>Initial</t>
        </is>
      </c>
      <c r="N160" s="34" t="inlineStr">
        <is>
          <t>Rev 0</t>
        </is>
      </c>
      <c r="O160" s="34" t="inlineStr">
        <is>
          <t>R1139-v1</t>
        </is>
      </c>
      <c r="P160" s="39" t="inlineStr"/>
      <c r="Q160" s="14" t="inlineStr"/>
      <c r="R160" s="39" t="inlineStr"/>
      <c r="S160" s="39" t="inlineStr"/>
      <c r="T160" s="39" t="inlineStr"/>
      <c r="U160" s="39" t="inlineStr"/>
      <c r="V160" s="34" t="inlineStr">
        <is>
          <t>Cost Account = CA-1057; WBS Code = 1.1.1</t>
        </is>
      </c>
      <c r="W160" s="14" t="inlineStr"/>
    </row>
    <row r="161" ht="64" customHeight="1">
      <c r="A161" s="34" t="inlineStr">
        <is>
          <t>1.1.1</t>
        </is>
      </c>
      <c r="B161" s="34" t="inlineStr">
        <is>
          <t>Guideway and Civil - Guideway Structures</t>
        </is>
      </c>
      <c r="C161" s="34" t="inlineStr">
        <is>
          <t>Cost &amp; Forecast Control Accounts</t>
        </is>
      </c>
      <c r="D161" s="34" t="inlineStr">
        <is>
          <t>CST-01-059</t>
        </is>
      </c>
      <c r="E161" s="34" t="inlineStr">
        <is>
          <t>Guideway and Civil - temporary works - field package</t>
        </is>
      </c>
      <c r="F161" s="34" t="inlineStr">
        <is>
          <t>ONE_TO_ONE</t>
        </is>
      </c>
      <c r="G161" s="34" t="inlineStr">
        <is>
          <t>APPROVED</t>
        </is>
      </c>
      <c r="H161" s="34" t="inlineStr">
        <is>
          <t>New</t>
        </is>
      </c>
      <c r="I161" s="34" t="inlineStr">
        <is>
          <t>Source assignment -- not individually reviewed</t>
        </is>
      </c>
      <c r="J161" s="39" t="inlineStr"/>
      <c r="K161" s="34" t="inlineStr">
        <is>
          <t>Source assignment</t>
        </is>
      </c>
      <c r="L161" s="39" t="inlineStr"/>
      <c r="M161" s="34" t="inlineStr">
        <is>
          <t>Initial</t>
        </is>
      </c>
      <c r="N161" s="34" t="inlineStr">
        <is>
          <t>Rev 0</t>
        </is>
      </c>
      <c r="O161" s="34" t="inlineStr">
        <is>
          <t>R1141-v1</t>
        </is>
      </c>
      <c r="P161" s="39" t="inlineStr"/>
      <c r="Q161" s="14" t="inlineStr"/>
      <c r="R161" s="39" t="inlineStr"/>
      <c r="S161" s="39" t="inlineStr"/>
      <c r="T161" s="39" t="inlineStr"/>
      <c r="U161" s="39" t="inlineStr"/>
      <c r="V161" s="34" t="inlineStr">
        <is>
          <t>Cost Account = CA-1059; WBS Code = 1.1.1</t>
        </is>
      </c>
      <c r="W161" s="14" t="inlineStr"/>
    </row>
    <row r="162" ht="64" customHeight="1">
      <c r="A162" s="34" t="inlineStr">
        <is>
          <t>1.1.1</t>
        </is>
      </c>
      <c r="B162" s="34" t="inlineStr">
        <is>
          <t>Guideway and Civil - Guideway Structures</t>
        </is>
      </c>
      <c r="C162" s="34" t="inlineStr">
        <is>
          <t>Cost &amp; Forecast Control Accounts</t>
        </is>
      </c>
      <c r="D162" s="34" t="inlineStr">
        <is>
          <t>CST-01-061</t>
        </is>
      </c>
      <c r="E162" s="34" t="inlineStr">
        <is>
          <t>Guideway and Civil - roadworks - professional services</t>
        </is>
      </c>
      <c r="F162" s="34" t="inlineStr">
        <is>
          <t>ONE_TO_ONE</t>
        </is>
      </c>
      <c r="G162" s="34" t="inlineStr">
        <is>
          <t>APPROVED</t>
        </is>
      </c>
      <c r="H162" s="34" t="inlineStr">
        <is>
          <t>New</t>
        </is>
      </c>
      <c r="I162" s="34" t="inlineStr">
        <is>
          <t>Source assignment -- not individually reviewed</t>
        </is>
      </c>
      <c r="J162" s="39" t="inlineStr"/>
      <c r="K162" s="34" t="inlineStr">
        <is>
          <t>Source assignment</t>
        </is>
      </c>
      <c r="L162" s="39" t="inlineStr"/>
      <c r="M162" s="34" t="inlineStr">
        <is>
          <t>Initial</t>
        </is>
      </c>
      <c r="N162" s="34" t="inlineStr">
        <is>
          <t>Rev 0</t>
        </is>
      </c>
      <c r="O162" s="34" t="inlineStr">
        <is>
          <t>R1143-v1</t>
        </is>
      </c>
      <c r="P162" s="39" t="inlineStr"/>
      <c r="Q162" s="14" t="inlineStr"/>
      <c r="R162" s="39" t="inlineStr"/>
      <c r="S162" s="39" t="inlineStr"/>
      <c r="T162" s="39" t="inlineStr"/>
      <c r="U162" s="39" t="inlineStr"/>
      <c r="V162" s="34" t="inlineStr">
        <is>
          <t>Cost Account = CA-1061; WBS Code = 1.1.1</t>
        </is>
      </c>
      <c r="W162" s="14" t="inlineStr"/>
    </row>
    <row r="163" ht="64" customHeight="1">
      <c r="A163" s="34" t="inlineStr">
        <is>
          <t>1.1.1</t>
        </is>
      </c>
      <c r="B163" s="34" t="inlineStr">
        <is>
          <t>Guideway and Civil - Guideway Structures</t>
        </is>
      </c>
      <c r="C163" s="34" t="inlineStr">
        <is>
          <t>Cost &amp; Forecast Control Accounts</t>
        </is>
      </c>
      <c r="D163" s="34" t="inlineStr">
        <is>
          <t>CST-01-063</t>
        </is>
      </c>
      <c r="E163" s="34" t="inlineStr">
        <is>
          <t>Guideway and Civil - concrete structures - closeout</t>
        </is>
      </c>
      <c r="F163" s="34" t="inlineStr">
        <is>
          <t>ONE_TO_ONE</t>
        </is>
      </c>
      <c r="G163" s="34" t="inlineStr">
        <is>
          <t>APPROVED</t>
        </is>
      </c>
      <c r="H163" s="34" t="inlineStr">
        <is>
          <t>New</t>
        </is>
      </c>
      <c r="I163" s="34" t="inlineStr">
        <is>
          <t>Source assignment -- not individually reviewed</t>
        </is>
      </c>
      <c r="J163" s="39" t="inlineStr"/>
      <c r="K163" s="34" t="inlineStr">
        <is>
          <t>Source assignment</t>
        </is>
      </c>
      <c r="L163" s="39" t="inlineStr"/>
      <c r="M163" s="34" t="inlineStr">
        <is>
          <t>Initial</t>
        </is>
      </c>
      <c r="N163" s="34" t="inlineStr">
        <is>
          <t>Rev 0</t>
        </is>
      </c>
      <c r="O163" s="34" t="inlineStr">
        <is>
          <t>R1145-v1</t>
        </is>
      </c>
      <c r="P163" s="39" t="inlineStr"/>
      <c r="Q163" s="14" t="inlineStr"/>
      <c r="R163" s="39" t="inlineStr"/>
      <c r="S163" s="39" t="inlineStr"/>
      <c r="T163" s="39" t="inlineStr"/>
      <c r="U163" s="39" t="inlineStr"/>
      <c r="V163" s="34" t="inlineStr">
        <is>
          <t>Cost Account = CA-1063; WBS Code = 1.1.1</t>
        </is>
      </c>
      <c r="W163" s="14" t="inlineStr"/>
    </row>
    <row r="164" ht="64" customHeight="1">
      <c r="A164" s="34" t="inlineStr">
        <is>
          <t>1.1.1</t>
        </is>
      </c>
      <c r="B164" s="34" t="inlineStr">
        <is>
          <t>Guideway and Civil - Guideway Structures</t>
        </is>
      </c>
      <c r="C164" s="34" t="inlineStr">
        <is>
          <t>Cost &amp; Forecast Control Accounts</t>
        </is>
      </c>
      <c r="D164" s="34" t="inlineStr">
        <is>
          <t>CST-01-065</t>
        </is>
      </c>
      <c r="E164" s="34" t="inlineStr">
        <is>
          <t>Guideway and Civil - temporary works - supply and install</t>
        </is>
      </c>
      <c r="F164" s="34" t="inlineStr">
        <is>
          <t>ONE_TO_ONE</t>
        </is>
      </c>
      <c r="G164" s="34" t="inlineStr">
        <is>
          <t>APPROVED</t>
        </is>
      </c>
      <c r="H164" s="34" t="inlineStr">
        <is>
          <t>New</t>
        </is>
      </c>
      <c r="I164" s="34" t="inlineStr">
        <is>
          <t>Source assignment -- not individually reviewed</t>
        </is>
      </c>
      <c r="J164" s="39" t="inlineStr"/>
      <c r="K164" s="34" t="inlineStr">
        <is>
          <t>Source assignment</t>
        </is>
      </c>
      <c r="L164" s="39" t="inlineStr"/>
      <c r="M164" s="34" t="inlineStr">
        <is>
          <t>Initial</t>
        </is>
      </c>
      <c r="N164" s="34" t="inlineStr">
        <is>
          <t>Rev 0</t>
        </is>
      </c>
      <c r="O164" s="34" t="inlineStr">
        <is>
          <t>R1147-v1</t>
        </is>
      </c>
      <c r="P164" s="39" t="inlineStr"/>
      <c r="Q164" s="14" t="inlineStr"/>
      <c r="R164" s="39" t="inlineStr"/>
      <c r="S164" s="39" t="inlineStr"/>
      <c r="T164" s="39" t="inlineStr"/>
      <c r="U164" s="39" t="inlineStr"/>
      <c r="V164" s="34" t="inlineStr">
        <is>
          <t>Cost Account = CA-1065; WBS Code = 1.1.1</t>
        </is>
      </c>
      <c r="W164" s="14" t="inlineStr"/>
    </row>
    <row r="165" ht="64" customHeight="1">
      <c r="A165" s="34" t="inlineStr">
        <is>
          <t>1.1.1</t>
        </is>
      </c>
      <c r="B165" s="34" t="inlineStr">
        <is>
          <t>Guideway and Civil - Guideway Structures</t>
        </is>
      </c>
      <c r="C165" s="34" t="inlineStr">
        <is>
          <t>Cost &amp; Forecast Control Accounts</t>
        </is>
      </c>
      <c r="D165" s="34" t="inlineStr">
        <is>
          <t>CST-01-067</t>
        </is>
      </c>
      <c r="E165" s="34" t="inlineStr">
        <is>
          <t>Guideway and Civil - roadworks - allowance</t>
        </is>
      </c>
      <c r="F165" s="34" t="inlineStr">
        <is>
          <t>ONE_TO_ONE</t>
        </is>
      </c>
      <c r="G165" s="34" t="inlineStr">
        <is>
          <t>APPROVED</t>
        </is>
      </c>
      <c r="H165" s="34" t="inlineStr">
        <is>
          <t>New</t>
        </is>
      </c>
      <c r="I165" s="34" t="inlineStr">
        <is>
          <t>Source assignment -- not individually reviewed</t>
        </is>
      </c>
      <c r="J165" s="39" t="inlineStr"/>
      <c r="K165" s="34" t="inlineStr">
        <is>
          <t>Source assignment</t>
        </is>
      </c>
      <c r="L165" s="39" t="inlineStr"/>
      <c r="M165" s="34" t="inlineStr">
        <is>
          <t>Initial</t>
        </is>
      </c>
      <c r="N165" s="34" t="inlineStr">
        <is>
          <t>Rev 0</t>
        </is>
      </c>
      <c r="O165" s="34" t="inlineStr">
        <is>
          <t>R1149-v1</t>
        </is>
      </c>
      <c r="P165" s="39" t="inlineStr"/>
      <c r="Q165" s="14" t="inlineStr"/>
      <c r="R165" s="39" t="inlineStr"/>
      <c r="S165" s="39" t="inlineStr"/>
      <c r="T165" s="39" t="inlineStr"/>
      <c r="U165" s="39" t="inlineStr"/>
      <c r="V165" s="34" t="inlineStr">
        <is>
          <t>Cost Account = CA-1067; WBS Code = 1.1.1</t>
        </is>
      </c>
      <c r="W165" s="14" t="inlineStr"/>
    </row>
    <row r="166" ht="64" customHeight="1">
      <c r="A166" s="34" t="inlineStr">
        <is>
          <t>1.1.1</t>
        </is>
      </c>
      <c r="B166" s="34" t="inlineStr">
        <is>
          <t>Guideway and Civil - Guideway Structures</t>
        </is>
      </c>
      <c r="C166" s="34" t="inlineStr">
        <is>
          <t>Cost &amp; Forecast Control Accounts</t>
        </is>
      </c>
      <c r="D166" s="34" t="inlineStr">
        <is>
          <t>CST-01-069</t>
        </is>
      </c>
      <c r="E166" s="34" t="inlineStr">
        <is>
          <t>Guideway and Civil - concrete structures - field package</t>
        </is>
      </c>
      <c r="F166" s="34" t="inlineStr">
        <is>
          <t>ONE_TO_ONE</t>
        </is>
      </c>
      <c r="G166" s="34" t="inlineStr">
        <is>
          <t>APPROVED</t>
        </is>
      </c>
      <c r="H166" s="34" t="inlineStr">
        <is>
          <t>New</t>
        </is>
      </c>
      <c r="I166" s="34" t="inlineStr">
        <is>
          <t>Source assignment -- not individually reviewed</t>
        </is>
      </c>
      <c r="J166" s="39" t="inlineStr"/>
      <c r="K166" s="34" t="inlineStr">
        <is>
          <t>Source assignment</t>
        </is>
      </c>
      <c r="L166" s="39" t="inlineStr"/>
      <c r="M166" s="34" t="inlineStr">
        <is>
          <t>Initial</t>
        </is>
      </c>
      <c r="N166" s="34" t="inlineStr">
        <is>
          <t>Rev 0</t>
        </is>
      </c>
      <c r="O166" s="34" t="inlineStr">
        <is>
          <t>R1151-v1</t>
        </is>
      </c>
      <c r="P166" s="39" t="inlineStr"/>
      <c r="Q166" s="14" t="inlineStr"/>
      <c r="R166" s="39" t="inlineStr"/>
      <c r="S166" s="39" t="inlineStr"/>
      <c r="T166" s="39" t="inlineStr"/>
      <c r="U166" s="39" t="inlineStr"/>
      <c r="V166" s="34" t="inlineStr">
        <is>
          <t>Cost Account = CA-1069; WBS Code = 1.1.1</t>
        </is>
      </c>
      <c r="W166" s="14" t="inlineStr"/>
    </row>
    <row r="167" ht="64" customHeight="1">
      <c r="A167" s="34" t="inlineStr">
        <is>
          <t>1.1.1</t>
        </is>
      </c>
      <c r="B167" s="34" t="inlineStr">
        <is>
          <t>Guideway and Civil - Guideway Structures</t>
        </is>
      </c>
      <c r="C167" s="34" t="inlineStr">
        <is>
          <t>Cost &amp; Forecast Control Accounts</t>
        </is>
      </c>
      <c r="D167" s="34" t="inlineStr">
        <is>
          <t>CST-01-071</t>
        </is>
      </c>
      <c r="E167" s="34" t="inlineStr">
        <is>
          <t>Guideway and Civil - temporary works - professional services</t>
        </is>
      </c>
      <c r="F167" s="34" t="inlineStr">
        <is>
          <t>ONE_TO_ONE</t>
        </is>
      </c>
      <c r="G167" s="34" t="inlineStr">
        <is>
          <t>APPROVED</t>
        </is>
      </c>
      <c r="H167" s="34" t="inlineStr">
        <is>
          <t>New</t>
        </is>
      </c>
      <c r="I167" s="34" t="inlineStr">
        <is>
          <t>Source assignment -- not individually reviewed</t>
        </is>
      </c>
      <c r="J167" s="39" t="inlineStr"/>
      <c r="K167" s="34" t="inlineStr">
        <is>
          <t>Source assignment</t>
        </is>
      </c>
      <c r="L167" s="39" t="inlineStr"/>
      <c r="M167" s="34" t="inlineStr">
        <is>
          <t>Initial</t>
        </is>
      </c>
      <c r="N167" s="34" t="inlineStr">
        <is>
          <t>Rev 0</t>
        </is>
      </c>
      <c r="O167" s="34" t="inlineStr">
        <is>
          <t>R1153-v1</t>
        </is>
      </c>
      <c r="P167" s="39" t="inlineStr"/>
      <c r="Q167" s="14" t="inlineStr"/>
      <c r="R167" s="39" t="inlineStr"/>
      <c r="S167" s="39" t="inlineStr"/>
      <c r="T167" s="39" t="inlineStr"/>
      <c r="U167" s="39" t="inlineStr"/>
      <c r="V167" s="34" t="inlineStr">
        <is>
          <t>Cost Account = CA-1071; WBS Code = 1.1.1</t>
        </is>
      </c>
      <c r="W167" s="14" t="inlineStr"/>
    </row>
    <row r="168" ht="64" customHeight="1">
      <c r="A168" s="34" t="inlineStr">
        <is>
          <t>1.1.1</t>
        </is>
      </c>
      <c r="B168" s="34" t="inlineStr">
        <is>
          <t>Guideway and Civil - Guideway Structures</t>
        </is>
      </c>
      <c r="C168" s="34" t="inlineStr">
        <is>
          <t>Cost &amp; Forecast Control Accounts</t>
        </is>
      </c>
      <c r="D168" s="34" t="inlineStr">
        <is>
          <t>CST-01-073</t>
        </is>
      </c>
      <c r="E168" s="34" t="inlineStr">
        <is>
          <t>Guideway and Civil - roadworks - closeout</t>
        </is>
      </c>
      <c r="F168" s="34" t="inlineStr">
        <is>
          <t>ONE_TO_ONE</t>
        </is>
      </c>
      <c r="G168" s="34" t="inlineStr">
        <is>
          <t>APPROVED</t>
        </is>
      </c>
      <c r="H168" s="34" t="inlineStr">
        <is>
          <t>New</t>
        </is>
      </c>
      <c r="I168" s="34" t="inlineStr">
        <is>
          <t>Source assignment -- not individually reviewed</t>
        </is>
      </c>
      <c r="J168" s="39" t="inlineStr"/>
      <c r="K168" s="34" t="inlineStr">
        <is>
          <t>Source assignment</t>
        </is>
      </c>
      <c r="L168" s="39" t="inlineStr"/>
      <c r="M168" s="34" t="inlineStr">
        <is>
          <t>Initial</t>
        </is>
      </c>
      <c r="N168" s="34" t="inlineStr">
        <is>
          <t>Rev 0</t>
        </is>
      </c>
      <c r="O168" s="34" t="inlineStr">
        <is>
          <t>R1155-v1</t>
        </is>
      </c>
      <c r="P168" s="39" t="inlineStr"/>
      <c r="Q168" s="14" t="inlineStr"/>
      <c r="R168" s="39" t="inlineStr"/>
      <c r="S168" s="39" t="inlineStr"/>
      <c r="T168" s="39" t="inlineStr"/>
      <c r="U168" s="39" t="inlineStr"/>
      <c r="V168" s="34" t="inlineStr">
        <is>
          <t>Cost Account = CA-1073; WBS Code = 1.1.1</t>
        </is>
      </c>
      <c r="W168" s="14" t="inlineStr"/>
    </row>
    <row r="169" ht="64" customHeight="1">
      <c r="A169" s="34" t="inlineStr">
        <is>
          <t>1.1.1</t>
        </is>
      </c>
      <c r="B169" s="34" t="inlineStr">
        <is>
          <t>Guideway and Civil - Guideway Structures</t>
        </is>
      </c>
      <c r="C169" s="34" t="inlineStr">
        <is>
          <t>Cost &amp; Forecast Control Accounts</t>
        </is>
      </c>
      <c r="D169" s="34" t="inlineStr">
        <is>
          <t>CST-01-075</t>
        </is>
      </c>
      <c r="E169" s="34" t="inlineStr">
        <is>
          <t>Guideway and Civil - concrete structures - supply and install</t>
        </is>
      </c>
      <c r="F169" s="34" t="inlineStr">
        <is>
          <t>ONE_TO_ONE</t>
        </is>
      </c>
      <c r="G169" s="34" t="inlineStr">
        <is>
          <t>APPROVED</t>
        </is>
      </c>
      <c r="H169" s="34" t="inlineStr">
        <is>
          <t>New</t>
        </is>
      </c>
      <c r="I169" s="34" t="inlineStr">
        <is>
          <t>Source assignment -- not individually reviewed</t>
        </is>
      </c>
      <c r="J169" s="39" t="inlineStr"/>
      <c r="K169" s="34" t="inlineStr">
        <is>
          <t>Source assignment</t>
        </is>
      </c>
      <c r="L169" s="39" t="inlineStr"/>
      <c r="M169" s="34" t="inlineStr">
        <is>
          <t>Initial</t>
        </is>
      </c>
      <c r="N169" s="34" t="inlineStr">
        <is>
          <t>Rev 0</t>
        </is>
      </c>
      <c r="O169" s="34" t="inlineStr">
        <is>
          <t>R1157-v1</t>
        </is>
      </c>
      <c r="P169" s="39" t="inlineStr"/>
      <c r="Q169" s="14" t="inlineStr"/>
      <c r="R169" s="39" t="inlineStr"/>
      <c r="S169" s="39" t="inlineStr"/>
      <c r="T169" s="39" t="inlineStr"/>
      <c r="U169" s="39" t="inlineStr"/>
      <c r="V169" s="34" t="inlineStr">
        <is>
          <t>Cost Account = CA-1075; WBS Code = 1.1.1</t>
        </is>
      </c>
      <c r="W169" s="14" t="inlineStr"/>
    </row>
    <row r="170" ht="64" customHeight="1">
      <c r="A170" s="34" t="inlineStr">
        <is>
          <t>1.1.1</t>
        </is>
      </c>
      <c r="B170" s="34" t="inlineStr">
        <is>
          <t>Guideway and Civil - Guideway Structures</t>
        </is>
      </c>
      <c r="C170" s="34" t="inlineStr">
        <is>
          <t>Cost &amp; Forecast Control Accounts</t>
        </is>
      </c>
      <c r="D170" s="34" t="inlineStr">
        <is>
          <t>CST-01-077</t>
        </is>
      </c>
      <c r="E170" s="34" t="inlineStr">
        <is>
          <t>Guideway and Civil - temporary works - allowance</t>
        </is>
      </c>
      <c r="F170" s="34" t="inlineStr">
        <is>
          <t>ONE_TO_ONE</t>
        </is>
      </c>
      <c r="G170" s="34" t="inlineStr">
        <is>
          <t>APPROVED</t>
        </is>
      </c>
      <c r="H170" s="34" t="inlineStr">
        <is>
          <t>New</t>
        </is>
      </c>
      <c r="I170" s="34" t="inlineStr">
        <is>
          <t>Source assignment -- not individually reviewed</t>
        </is>
      </c>
      <c r="J170" s="39" t="inlineStr"/>
      <c r="K170" s="34" t="inlineStr">
        <is>
          <t>Source assignment</t>
        </is>
      </c>
      <c r="L170" s="39" t="inlineStr"/>
      <c r="M170" s="34" t="inlineStr">
        <is>
          <t>Initial</t>
        </is>
      </c>
      <c r="N170" s="34" t="inlineStr">
        <is>
          <t>Rev 0</t>
        </is>
      </c>
      <c r="O170" s="34" t="inlineStr">
        <is>
          <t>R1159-v1</t>
        </is>
      </c>
      <c r="P170" s="39" t="inlineStr"/>
      <c r="Q170" s="14" t="inlineStr"/>
      <c r="R170" s="39" t="inlineStr"/>
      <c r="S170" s="39" t="inlineStr"/>
      <c r="T170" s="39" t="inlineStr"/>
      <c r="U170" s="39" t="inlineStr"/>
      <c r="V170" s="34" t="inlineStr">
        <is>
          <t>Cost Account = CA-1077; WBS Code = 1.1.1</t>
        </is>
      </c>
      <c r="W170" s="14" t="inlineStr"/>
    </row>
    <row r="171" ht="64" customHeight="1">
      <c r="A171" s="34" t="inlineStr">
        <is>
          <t>1.1.1</t>
        </is>
      </c>
      <c r="B171" s="34" t="inlineStr">
        <is>
          <t>Guideway and Civil - Guideway Structures</t>
        </is>
      </c>
      <c r="C171" s="34" t="inlineStr">
        <is>
          <t>Cost &amp; Forecast Control Accounts</t>
        </is>
      </c>
      <c r="D171" s="34" t="inlineStr">
        <is>
          <t>CST-01-079</t>
        </is>
      </c>
      <c r="E171" s="34" t="inlineStr">
        <is>
          <t>Guideway and Civil - roadworks - field package</t>
        </is>
      </c>
      <c r="F171" s="34" t="inlineStr">
        <is>
          <t>ONE_TO_ONE</t>
        </is>
      </c>
      <c r="G171" s="34" t="inlineStr">
        <is>
          <t>APPROVED</t>
        </is>
      </c>
      <c r="H171" s="34" t="inlineStr">
        <is>
          <t>New</t>
        </is>
      </c>
      <c r="I171" s="34" t="inlineStr">
        <is>
          <t>Source assignment -- not individually reviewed</t>
        </is>
      </c>
      <c r="J171" s="39" t="inlineStr"/>
      <c r="K171" s="34" t="inlineStr">
        <is>
          <t>Source assignment</t>
        </is>
      </c>
      <c r="L171" s="39" t="inlineStr"/>
      <c r="M171" s="34" t="inlineStr">
        <is>
          <t>Initial</t>
        </is>
      </c>
      <c r="N171" s="34" t="inlineStr">
        <is>
          <t>Rev 0</t>
        </is>
      </c>
      <c r="O171" s="34" t="inlineStr">
        <is>
          <t>R1161-v1</t>
        </is>
      </c>
      <c r="P171" s="39" t="inlineStr"/>
      <c r="Q171" s="14" t="inlineStr"/>
      <c r="R171" s="39" t="inlineStr"/>
      <c r="S171" s="39" t="inlineStr"/>
      <c r="T171" s="39" t="inlineStr"/>
      <c r="U171" s="39" t="inlineStr"/>
      <c r="V171" s="34" t="inlineStr">
        <is>
          <t>Cost Account = CA-1079; WBS Code = 1.1.1</t>
        </is>
      </c>
      <c r="W171" s="14" t="inlineStr"/>
    </row>
    <row r="172" ht="49" customHeight="1">
      <c r="A172" s="34" t="inlineStr">
        <is>
          <t>1.1.2</t>
        </is>
      </c>
      <c r="B172" s="34" t="inlineStr">
        <is>
          <t>Guideway and Civil - Utility &amp; Roadworks</t>
        </is>
      </c>
      <c r="C172" s="34" t="inlineStr">
        <is>
          <t>Contractor Programme</t>
        </is>
      </c>
      <c r="D172" s="34" t="inlineStr">
        <is>
          <t>SCH-01-003</t>
        </is>
      </c>
      <c r="E172" s="34" t="inlineStr">
        <is>
          <t>Interface works near guideway and civil boundary</t>
        </is>
      </c>
      <c r="F172" s="34" t="inlineStr">
        <is>
          <t>ONE_TO_ONE</t>
        </is>
      </c>
      <c r="G172" s="34" t="inlineStr">
        <is>
          <t>APPROVED</t>
        </is>
      </c>
      <c r="H172" s="34" t="inlineStr">
        <is>
          <t>New</t>
        </is>
      </c>
      <c r="I172" s="34" t="inlineStr">
        <is>
          <t>Source assignment -- not individually reviewed</t>
        </is>
      </c>
      <c r="J172" s="39" t="inlineStr"/>
      <c r="K172" s="34" t="inlineStr">
        <is>
          <t>Source assignment</t>
        </is>
      </c>
      <c r="L172" s="39" t="inlineStr"/>
      <c r="M172" s="34" t="inlineStr">
        <is>
          <t>Initial</t>
        </is>
      </c>
      <c r="N172" s="34" t="inlineStr">
        <is>
          <t>Rev 0</t>
        </is>
      </c>
      <c r="O172" s="34" t="inlineStr">
        <is>
          <t>R3-v1</t>
        </is>
      </c>
      <c r="P172" s="39" t="inlineStr"/>
      <c r="Q172" s="14" t="inlineStr"/>
      <c r="R172" s="39" t="inlineStr"/>
      <c r="S172" s="39" t="inlineStr"/>
      <c r="T172" s="39" t="inlineStr"/>
      <c r="U172" s="39" t="inlineStr"/>
      <c r="V172" s="34" t="inlineStr">
        <is>
          <t>WBS Code = 1.1.2</t>
        </is>
      </c>
      <c r="W172" s="14" t="inlineStr"/>
    </row>
    <row r="173" ht="49" customHeight="1">
      <c r="A173" s="34" t="inlineStr">
        <is>
          <t>1.1.2</t>
        </is>
      </c>
      <c r="B173" s="34" t="inlineStr">
        <is>
          <t>Guideway and Civil - Utility &amp; Roadworks</t>
        </is>
      </c>
      <c r="C173" s="34" t="inlineStr">
        <is>
          <t>Contractor Programme</t>
        </is>
      </c>
      <c r="D173" s="34" t="inlineStr">
        <is>
          <t>SCH-01-006</t>
        </is>
      </c>
      <c r="E173" s="34" t="inlineStr">
        <is>
          <t>West approach: retaining-wall excavation - installation</t>
        </is>
      </c>
      <c r="F173" s="34" t="inlineStr">
        <is>
          <t>ONE_TO_ONE</t>
        </is>
      </c>
      <c r="G173" s="34" t="inlineStr">
        <is>
          <t>APPROVED</t>
        </is>
      </c>
      <c r="H173" s="34" t="inlineStr">
        <is>
          <t>New</t>
        </is>
      </c>
      <c r="I173" s="34" t="inlineStr">
        <is>
          <t>Source assignment -- not individually reviewed</t>
        </is>
      </c>
      <c r="J173" s="39" t="inlineStr"/>
      <c r="K173" s="34" t="inlineStr">
        <is>
          <t>Source assignment</t>
        </is>
      </c>
      <c r="L173" s="39" t="inlineStr"/>
      <c r="M173" s="34" t="inlineStr">
        <is>
          <t>Initial</t>
        </is>
      </c>
      <c r="N173" s="34" t="inlineStr">
        <is>
          <t>Rev 0</t>
        </is>
      </c>
      <c r="O173" s="34" t="inlineStr">
        <is>
          <t>R6-v1</t>
        </is>
      </c>
      <c r="P173" s="39" t="inlineStr"/>
      <c r="Q173" s="14" t="inlineStr"/>
      <c r="R173" s="39" t="inlineStr"/>
      <c r="S173" s="39" t="inlineStr"/>
      <c r="T173" s="39" t="inlineStr"/>
      <c r="U173" s="39" t="inlineStr"/>
      <c r="V173" s="34" t="inlineStr">
        <is>
          <t>WBS Code = 1.1.2</t>
        </is>
      </c>
      <c r="W173" s="14" t="inlineStr"/>
    </row>
    <row r="174" ht="49" customHeight="1">
      <c r="A174" s="34" t="inlineStr">
        <is>
          <t>1.1.2</t>
        </is>
      </c>
      <c r="B174" s="34" t="inlineStr">
        <is>
          <t>Guideway and Civil - Utility &amp; Roadworks</t>
        </is>
      </c>
      <c r="C174" s="34" t="inlineStr">
        <is>
          <t>Contractor Programme</t>
        </is>
      </c>
      <c r="D174" s="34" t="inlineStr">
        <is>
          <t>SCH-01-009</t>
        </is>
      </c>
      <c r="E174" s="34" t="inlineStr">
        <is>
          <t>River crossing: track-slab survey - release</t>
        </is>
      </c>
      <c r="F174" s="34" t="inlineStr">
        <is>
          <t>ONE_TO_ONE</t>
        </is>
      </c>
      <c r="G174" s="34" t="inlineStr">
        <is>
          <t>APPROVED</t>
        </is>
      </c>
      <c r="H174" s="34" t="inlineStr">
        <is>
          <t>New</t>
        </is>
      </c>
      <c r="I174" s="34" t="inlineStr">
        <is>
          <t>Source assignment -- not individually reviewed</t>
        </is>
      </c>
      <c r="J174" s="39" t="inlineStr"/>
      <c r="K174" s="34" t="inlineStr">
        <is>
          <t>Source assignment</t>
        </is>
      </c>
      <c r="L174" s="39" t="inlineStr"/>
      <c r="M174" s="34" t="inlineStr">
        <is>
          <t>Initial</t>
        </is>
      </c>
      <c r="N174" s="34" t="inlineStr">
        <is>
          <t>Rev 0</t>
        </is>
      </c>
      <c r="O174" s="34" t="inlineStr">
        <is>
          <t>R9-v1</t>
        </is>
      </c>
      <c r="P174" s="39" t="inlineStr"/>
      <c r="Q174" s="14" t="inlineStr"/>
      <c r="R174" s="39" t="inlineStr"/>
      <c r="S174" s="39" t="inlineStr"/>
      <c r="T174" s="39" t="inlineStr"/>
      <c r="U174" s="39" t="inlineStr"/>
      <c r="V174" s="34" t="inlineStr">
        <is>
          <t>WBS Code = 1.1.2</t>
        </is>
      </c>
      <c r="W174" s="14" t="inlineStr"/>
    </row>
    <row r="175" ht="49" customHeight="1">
      <c r="A175" s="34" t="inlineStr">
        <is>
          <t>1.1.2</t>
        </is>
      </c>
      <c r="B175" s="34" t="inlineStr">
        <is>
          <t>Guideway and Civil - Utility &amp; Roadworks</t>
        </is>
      </c>
      <c r="C175" s="34" t="inlineStr">
        <is>
          <t>Contractor Programme</t>
        </is>
      </c>
      <c r="D175" s="34" t="inlineStr">
        <is>
          <t>SCH-01-012</t>
        </is>
      </c>
      <c r="E175" s="34" t="inlineStr">
        <is>
          <t>Depot lead: road restoration - inspection</t>
        </is>
      </c>
      <c r="F175" s="34" t="inlineStr">
        <is>
          <t>ONE_TO_ONE</t>
        </is>
      </c>
      <c r="G175" s="34" t="inlineStr">
        <is>
          <t>APPROVED</t>
        </is>
      </c>
      <c r="H175" s="34" t="inlineStr">
        <is>
          <t>New</t>
        </is>
      </c>
      <c r="I175" s="34" t="inlineStr">
        <is>
          <t>Source assignment -- not individually reviewed</t>
        </is>
      </c>
      <c r="J175" s="39" t="inlineStr"/>
      <c r="K175" s="34" t="inlineStr">
        <is>
          <t>Source assignment</t>
        </is>
      </c>
      <c r="L175" s="39" t="inlineStr"/>
      <c r="M175" s="34" t="inlineStr">
        <is>
          <t>Initial</t>
        </is>
      </c>
      <c r="N175" s="34" t="inlineStr">
        <is>
          <t>Rev 0</t>
        </is>
      </c>
      <c r="O175" s="34" t="inlineStr">
        <is>
          <t>R12-v1</t>
        </is>
      </c>
      <c r="P175" s="39" t="inlineStr"/>
      <c r="Q175" s="14" t="inlineStr"/>
      <c r="R175" s="39" t="inlineStr"/>
      <c r="S175" s="39" t="inlineStr"/>
      <c r="T175" s="39" t="inlineStr"/>
      <c r="U175" s="39" t="inlineStr"/>
      <c r="V175" s="34" t="inlineStr">
        <is>
          <t>WBS Code = 1.1.2</t>
        </is>
      </c>
      <c r="W175" s="14" t="inlineStr"/>
    </row>
    <row r="176" ht="49" customHeight="1">
      <c r="A176" s="34" t="inlineStr">
        <is>
          <t>1.1.2</t>
        </is>
      </c>
      <c r="B176" s="34" t="inlineStr">
        <is>
          <t>Guideway and Civil - Utility &amp; Roadworks</t>
        </is>
      </c>
      <c r="C176" s="34" t="inlineStr">
        <is>
          <t>Contractor Programme</t>
        </is>
      </c>
      <c r="D176" s="34" t="inlineStr">
        <is>
          <t>SCH-01-015</t>
        </is>
      </c>
      <c r="E176" s="34" t="inlineStr">
        <is>
          <t>Central guideway: drainage tie-in - field start</t>
        </is>
      </c>
      <c r="F176" s="34" t="inlineStr">
        <is>
          <t>ONE_TO_ONE</t>
        </is>
      </c>
      <c r="G176" s="34" t="inlineStr">
        <is>
          <t>APPROVED</t>
        </is>
      </c>
      <c r="H176" s="34" t="inlineStr">
        <is>
          <t>New</t>
        </is>
      </c>
      <c r="I176" s="34" t="inlineStr">
        <is>
          <t>Source assignment -- not individually reviewed</t>
        </is>
      </c>
      <c r="J176" s="39" t="inlineStr"/>
      <c r="K176" s="34" t="inlineStr">
        <is>
          <t>Source assignment</t>
        </is>
      </c>
      <c r="L176" s="39" t="inlineStr"/>
      <c r="M176" s="34" t="inlineStr">
        <is>
          <t>Initial</t>
        </is>
      </c>
      <c r="N176" s="34" t="inlineStr">
        <is>
          <t>Rev 0</t>
        </is>
      </c>
      <c r="O176" s="34" t="inlineStr">
        <is>
          <t>R15-v1</t>
        </is>
      </c>
      <c r="P176" s="39" t="inlineStr"/>
      <c r="Q176" s="14" t="inlineStr"/>
      <c r="R176" s="39" t="inlineStr"/>
      <c r="S176" s="39" t="inlineStr"/>
      <c r="T176" s="39" t="inlineStr"/>
      <c r="U176" s="39" t="inlineStr"/>
      <c r="V176" s="34" t="inlineStr">
        <is>
          <t>WBS Code = 1.1.2</t>
        </is>
      </c>
      <c r="W176" s="14" t="inlineStr"/>
    </row>
    <row r="177" ht="49" customHeight="1">
      <c r="A177" s="34" t="inlineStr">
        <is>
          <t>1.1.2</t>
        </is>
      </c>
      <c r="B177" s="34" t="inlineStr">
        <is>
          <t>Guideway and Civil - Utility &amp; Roadworks</t>
        </is>
      </c>
      <c r="C177" s="34" t="inlineStr">
        <is>
          <t>Contractor Programme</t>
        </is>
      </c>
      <c r="D177" s="34" t="inlineStr">
        <is>
          <t>SCH-01-018</t>
        </is>
      </c>
      <c r="E177" s="34" t="inlineStr">
        <is>
          <t>East portal: temporary traffic staging - turnover</t>
        </is>
      </c>
      <c r="F177" s="34" t="inlineStr">
        <is>
          <t>ONE_TO_ONE</t>
        </is>
      </c>
      <c r="G177" s="34" t="inlineStr">
        <is>
          <t>APPROVED</t>
        </is>
      </c>
      <c r="H177" s="34" t="inlineStr">
        <is>
          <t>New</t>
        </is>
      </c>
      <c r="I177" s="34" t="inlineStr">
        <is>
          <t>Source assignment -- not individually reviewed</t>
        </is>
      </c>
      <c r="J177" s="39" t="inlineStr"/>
      <c r="K177" s="34" t="inlineStr">
        <is>
          <t>Source assignment</t>
        </is>
      </c>
      <c r="L177" s="39" t="inlineStr"/>
      <c r="M177" s="34" t="inlineStr">
        <is>
          <t>Initial</t>
        </is>
      </c>
      <c r="N177" s="34" t="inlineStr">
        <is>
          <t>Rev 0</t>
        </is>
      </c>
      <c r="O177" s="34" t="inlineStr">
        <is>
          <t>R18-v1</t>
        </is>
      </c>
      <c r="P177" s="39" t="inlineStr"/>
      <c r="Q177" s="14" t="inlineStr"/>
      <c r="R177" s="39" t="inlineStr"/>
      <c r="S177" s="39" t="inlineStr"/>
      <c r="T177" s="39" t="inlineStr"/>
      <c r="U177" s="39" t="inlineStr"/>
      <c r="V177" s="34" t="inlineStr">
        <is>
          <t>WBS Code = 1.1.2</t>
        </is>
      </c>
      <c r="W177" s="14" t="inlineStr"/>
    </row>
    <row r="178" ht="49" customHeight="1">
      <c r="A178" s="34" t="inlineStr">
        <is>
          <t>1.1.2</t>
        </is>
      </c>
      <c r="B178" s="34" t="inlineStr">
        <is>
          <t>Guideway and Civil - Utility &amp; Roadworks</t>
        </is>
      </c>
      <c r="C178" s="34" t="inlineStr">
        <is>
          <t>Contractor Programme</t>
        </is>
      </c>
      <c r="D178" s="34" t="inlineStr">
        <is>
          <t>SCH-01-021</t>
        </is>
      </c>
      <c r="E178" s="34" t="inlineStr">
        <is>
          <t>West approach: drilled-shaft installation - installation</t>
        </is>
      </c>
      <c r="F178" s="34" t="inlineStr">
        <is>
          <t>ONE_TO_ONE</t>
        </is>
      </c>
      <c r="G178" s="34" t="inlineStr">
        <is>
          <t>APPROVED</t>
        </is>
      </c>
      <c r="H178" s="34" t="inlineStr">
        <is>
          <t>New</t>
        </is>
      </c>
      <c r="I178" s="34" t="inlineStr">
        <is>
          <t>Source assignment -- not individually reviewed</t>
        </is>
      </c>
      <c r="J178" s="39" t="inlineStr"/>
      <c r="K178" s="34" t="inlineStr">
        <is>
          <t>Source assignment</t>
        </is>
      </c>
      <c r="L178" s="39" t="inlineStr"/>
      <c r="M178" s="34" t="inlineStr">
        <is>
          <t>Initial</t>
        </is>
      </c>
      <c r="N178" s="34" t="inlineStr">
        <is>
          <t>Rev 0</t>
        </is>
      </c>
      <c r="O178" s="34" t="inlineStr">
        <is>
          <t>R21-v1</t>
        </is>
      </c>
      <c r="P178" s="39" t="inlineStr"/>
      <c r="Q178" s="14" t="inlineStr"/>
      <c r="R178" s="39" t="inlineStr"/>
      <c r="S178" s="39" t="inlineStr"/>
      <c r="T178" s="39" t="inlineStr"/>
      <c r="U178" s="39" t="inlineStr"/>
      <c r="V178" s="34" t="inlineStr">
        <is>
          <t>WBS Code = 1.1.2</t>
        </is>
      </c>
      <c r="W178" s="14" t="inlineStr"/>
    </row>
    <row r="179" ht="49" customHeight="1">
      <c r="A179" s="34" t="inlineStr">
        <is>
          <t>1.1.2</t>
        </is>
      </c>
      <c r="B179" s="34" t="inlineStr">
        <is>
          <t>Guideway and Civil - Utility &amp; Roadworks</t>
        </is>
      </c>
      <c r="C179" s="34" t="inlineStr">
        <is>
          <t>Contractor Programme</t>
        </is>
      </c>
      <c r="D179" s="34" t="inlineStr">
        <is>
          <t>SCH-01-024</t>
        </is>
      </c>
      <c r="E179" s="34" t="inlineStr">
        <is>
          <t>River crossing: utility relocation - release</t>
        </is>
      </c>
      <c r="F179" s="34" t="inlineStr">
        <is>
          <t>ONE_TO_ONE</t>
        </is>
      </c>
      <c r="G179" s="34" t="inlineStr">
        <is>
          <t>APPROVED</t>
        </is>
      </c>
      <c r="H179" s="34" t="inlineStr">
        <is>
          <t>New</t>
        </is>
      </c>
      <c r="I179" s="34" t="inlineStr">
        <is>
          <t>Source assignment -- not individually reviewed</t>
        </is>
      </c>
      <c r="J179" s="39" t="inlineStr"/>
      <c r="K179" s="34" t="inlineStr">
        <is>
          <t>Source assignment</t>
        </is>
      </c>
      <c r="L179" s="39" t="inlineStr"/>
      <c r="M179" s="34" t="inlineStr">
        <is>
          <t>Initial</t>
        </is>
      </c>
      <c r="N179" s="34" t="inlineStr">
        <is>
          <t>Rev 0</t>
        </is>
      </c>
      <c r="O179" s="34" t="inlineStr">
        <is>
          <t>R24-v1</t>
        </is>
      </c>
      <c r="P179" s="39" t="inlineStr"/>
      <c r="Q179" s="14" t="inlineStr"/>
      <c r="R179" s="39" t="inlineStr"/>
      <c r="S179" s="39" t="inlineStr"/>
      <c r="T179" s="39" t="inlineStr"/>
      <c r="U179" s="39" t="inlineStr"/>
      <c r="V179" s="34" t="inlineStr">
        <is>
          <t>WBS Code = 1.1.2</t>
        </is>
      </c>
      <c r="W179" s="14" t="inlineStr"/>
    </row>
    <row r="180" ht="49" customHeight="1">
      <c r="A180" s="34" t="inlineStr">
        <is>
          <t>1.1.2</t>
        </is>
      </c>
      <c r="B180" s="34" t="inlineStr">
        <is>
          <t>Guideway and Civil - Utility &amp; Roadworks</t>
        </is>
      </c>
      <c r="C180" s="34" t="inlineStr">
        <is>
          <t>Contractor Programme</t>
        </is>
      </c>
      <c r="D180" s="34" t="inlineStr">
        <is>
          <t>SCH-01-027</t>
        </is>
      </c>
      <c r="E180" s="34" t="inlineStr">
        <is>
          <t>Depot lead: guideway pier reinforcement - inspection</t>
        </is>
      </c>
      <c r="F180" s="34" t="inlineStr">
        <is>
          <t>ONE_TO_ONE</t>
        </is>
      </c>
      <c r="G180" s="34" t="inlineStr">
        <is>
          <t>APPROVED</t>
        </is>
      </c>
      <c r="H180" s="34" t="inlineStr">
        <is>
          <t>New</t>
        </is>
      </c>
      <c r="I180" s="34" t="inlineStr">
        <is>
          <t>Source assignment -- not individually reviewed</t>
        </is>
      </c>
      <c r="J180" s="39" t="inlineStr"/>
      <c r="K180" s="34" t="inlineStr">
        <is>
          <t>Source assignment</t>
        </is>
      </c>
      <c r="L180" s="39" t="inlineStr"/>
      <c r="M180" s="34" t="inlineStr">
        <is>
          <t>Initial</t>
        </is>
      </c>
      <c r="N180" s="34" t="inlineStr">
        <is>
          <t>Rev 0</t>
        </is>
      </c>
      <c r="O180" s="34" t="inlineStr">
        <is>
          <t>R27-v1</t>
        </is>
      </c>
      <c r="P180" s="39" t="inlineStr"/>
      <c r="Q180" s="14" t="inlineStr"/>
      <c r="R180" s="39" t="inlineStr"/>
      <c r="S180" s="39" t="inlineStr"/>
      <c r="T180" s="39" t="inlineStr"/>
      <c r="U180" s="39" t="inlineStr"/>
      <c r="V180" s="34" t="inlineStr">
        <is>
          <t>WBS Code = 1.1.2</t>
        </is>
      </c>
      <c r="W180" s="14" t="inlineStr"/>
    </row>
    <row r="181" ht="49" customHeight="1">
      <c r="A181" s="34" t="inlineStr">
        <is>
          <t>1.1.2</t>
        </is>
      </c>
      <c r="B181" s="34" t="inlineStr">
        <is>
          <t>Guideway and Civil - Utility &amp; Roadworks</t>
        </is>
      </c>
      <c r="C181" s="34" t="inlineStr">
        <is>
          <t>Contractor Programme</t>
        </is>
      </c>
      <c r="D181" s="34" t="inlineStr">
        <is>
          <t>SCH-01-030</t>
        </is>
      </c>
      <c r="E181" s="34" t="inlineStr">
        <is>
          <t>Central guideway: retaining-wall excavation - field start</t>
        </is>
      </c>
      <c r="F181" s="34" t="inlineStr">
        <is>
          <t>ONE_TO_ONE</t>
        </is>
      </c>
      <c r="G181" s="34" t="inlineStr">
        <is>
          <t>APPROVED</t>
        </is>
      </c>
      <c r="H181" s="34" t="inlineStr">
        <is>
          <t>New</t>
        </is>
      </c>
      <c r="I181" s="34" t="inlineStr">
        <is>
          <t>Source assignment -- not individually reviewed</t>
        </is>
      </c>
      <c r="J181" s="39" t="inlineStr"/>
      <c r="K181" s="34" t="inlineStr">
        <is>
          <t>Source assignment</t>
        </is>
      </c>
      <c r="L181" s="39" t="inlineStr"/>
      <c r="M181" s="34" t="inlineStr">
        <is>
          <t>Initial</t>
        </is>
      </c>
      <c r="N181" s="34" t="inlineStr">
        <is>
          <t>Rev 0</t>
        </is>
      </c>
      <c r="O181" s="34" t="inlineStr">
        <is>
          <t>R30-v1</t>
        </is>
      </c>
      <c r="P181" s="39" t="inlineStr"/>
      <c r="Q181" s="14" t="inlineStr"/>
      <c r="R181" s="39" t="inlineStr"/>
      <c r="S181" s="39" t="inlineStr"/>
      <c r="T181" s="39" t="inlineStr"/>
      <c r="U181" s="39" t="inlineStr"/>
      <c r="V181" s="34" t="inlineStr">
        <is>
          <t>WBS Code = 1.1.2</t>
        </is>
      </c>
      <c r="W181" s="14" t="inlineStr"/>
    </row>
    <row r="182" ht="49" customHeight="1">
      <c r="A182" s="34" t="inlineStr">
        <is>
          <t>1.1.2</t>
        </is>
      </c>
      <c r="B182" s="34" t="inlineStr">
        <is>
          <t>Guideway and Civil - Utility &amp; Roadworks</t>
        </is>
      </c>
      <c r="C182" s="34" t="inlineStr">
        <is>
          <t>Contractor Programme</t>
        </is>
      </c>
      <c r="D182" s="34" t="inlineStr">
        <is>
          <t>SCH-01-033</t>
        </is>
      </c>
      <c r="E182" s="34" t="inlineStr">
        <is>
          <t>East portal: track-slab survey - turnover</t>
        </is>
      </c>
      <c r="F182" s="34" t="inlineStr">
        <is>
          <t>ONE_TO_ONE</t>
        </is>
      </c>
      <c r="G182" s="34" t="inlineStr">
        <is>
          <t>APPROVED</t>
        </is>
      </c>
      <c r="H182" s="34" t="inlineStr">
        <is>
          <t>New</t>
        </is>
      </c>
      <c r="I182" s="34" t="inlineStr">
        <is>
          <t>Source assignment -- not individually reviewed</t>
        </is>
      </c>
      <c r="J182" s="39" t="inlineStr"/>
      <c r="K182" s="34" t="inlineStr">
        <is>
          <t>Source assignment</t>
        </is>
      </c>
      <c r="L182" s="39" t="inlineStr"/>
      <c r="M182" s="34" t="inlineStr">
        <is>
          <t>Initial</t>
        </is>
      </c>
      <c r="N182" s="34" t="inlineStr">
        <is>
          <t>Rev 0</t>
        </is>
      </c>
      <c r="O182" s="34" t="inlineStr">
        <is>
          <t>R33-v1</t>
        </is>
      </c>
      <c r="P182" s="39" t="inlineStr"/>
      <c r="Q182" s="14" t="inlineStr"/>
      <c r="R182" s="39" t="inlineStr"/>
      <c r="S182" s="39" t="inlineStr"/>
      <c r="T182" s="39" t="inlineStr"/>
      <c r="U182" s="39" t="inlineStr"/>
      <c r="V182" s="34" t="inlineStr">
        <is>
          <t>WBS Code = 1.1.2</t>
        </is>
      </c>
      <c r="W182" s="14" t="inlineStr"/>
    </row>
    <row r="183" ht="49" customHeight="1">
      <c r="A183" s="34" t="inlineStr">
        <is>
          <t>1.1.2</t>
        </is>
      </c>
      <c r="B183" s="34" t="inlineStr">
        <is>
          <t>Guideway and Civil - Utility &amp; Roadworks</t>
        </is>
      </c>
      <c r="C183" s="34" t="inlineStr">
        <is>
          <t>Contractor Programme</t>
        </is>
      </c>
      <c r="D183" s="34" t="inlineStr">
        <is>
          <t>SCH-01-036</t>
        </is>
      </c>
      <c r="E183" s="34" t="inlineStr">
        <is>
          <t>West approach: road restoration - installation</t>
        </is>
      </c>
      <c r="F183" s="34" t="inlineStr">
        <is>
          <t>ONE_TO_ONE</t>
        </is>
      </c>
      <c r="G183" s="34" t="inlineStr">
        <is>
          <t>APPROVED</t>
        </is>
      </c>
      <c r="H183" s="34" t="inlineStr">
        <is>
          <t>New</t>
        </is>
      </c>
      <c r="I183" s="34" t="inlineStr">
        <is>
          <t>Source assignment -- not individually reviewed</t>
        </is>
      </c>
      <c r="J183" s="39" t="inlineStr"/>
      <c r="K183" s="34" t="inlineStr">
        <is>
          <t>Source assignment</t>
        </is>
      </c>
      <c r="L183" s="39" t="inlineStr"/>
      <c r="M183" s="34" t="inlineStr">
        <is>
          <t>Initial</t>
        </is>
      </c>
      <c r="N183" s="34" t="inlineStr">
        <is>
          <t>Rev 0</t>
        </is>
      </c>
      <c r="O183" s="34" t="inlineStr">
        <is>
          <t>R36-v1</t>
        </is>
      </c>
      <c r="P183" s="39" t="inlineStr"/>
      <c r="Q183" s="14" t="inlineStr"/>
      <c r="R183" s="39" t="inlineStr"/>
      <c r="S183" s="39" t="inlineStr"/>
      <c r="T183" s="39" t="inlineStr"/>
      <c r="U183" s="39" t="inlineStr"/>
      <c r="V183" s="34" t="inlineStr">
        <is>
          <t>WBS Code = 1.1.2</t>
        </is>
      </c>
      <c r="W183" s="14" t="inlineStr"/>
    </row>
    <row r="184" ht="49" customHeight="1">
      <c r="A184" s="34" t="inlineStr">
        <is>
          <t>1.1.2</t>
        </is>
      </c>
      <c r="B184" s="34" t="inlineStr">
        <is>
          <t>Guideway and Civil - Utility &amp; Roadworks</t>
        </is>
      </c>
      <c r="C184" s="34" t="inlineStr">
        <is>
          <t>Contractor Programme</t>
        </is>
      </c>
      <c r="D184" s="34" t="inlineStr">
        <is>
          <t>SCH-01-039</t>
        </is>
      </c>
      <c r="E184" s="34" t="inlineStr">
        <is>
          <t>River crossing: drainage tie-in - release</t>
        </is>
      </c>
      <c r="F184" s="34" t="inlineStr">
        <is>
          <t>ONE_TO_ONE</t>
        </is>
      </c>
      <c r="G184" s="34" t="inlineStr">
        <is>
          <t>APPROVED</t>
        </is>
      </c>
      <c r="H184" s="34" t="inlineStr">
        <is>
          <t>New</t>
        </is>
      </c>
      <c r="I184" s="34" t="inlineStr">
        <is>
          <t>Source assignment -- not individually reviewed</t>
        </is>
      </c>
      <c r="J184" s="39" t="inlineStr"/>
      <c r="K184" s="34" t="inlineStr">
        <is>
          <t>Source assignment</t>
        </is>
      </c>
      <c r="L184" s="39" t="inlineStr"/>
      <c r="M184" s="34" t="inlineStr">
        <is>
          <t>Initial</t>
        </is>
      </c>
      <c r="N184" s="34" t="inlineStr">
        <is>
          <t>Rev 0</t>
        </is>
      </c>
      <c r="O184" s="34" t="inlineStr">
        <is>
          <t>R39-v1</t>
        </is>
      </c>
      <c r="P184" s="39" t="inlineStr"/>
      <c r="Q184" s="14" t="inlineStr"/>
      <c r="R184" s="39" t="inlineStr"/>
      <c r="S184" s="39" t="inlineStr"/>
      <c r="T184" s="39" t="inlineStr"/>
      <c r="U184" s="39" t="inlineStr"/>
      <c r="V184" s="34" t="inlineStr">
        <is>
          <t>WBS Code = 1.1.2</t>
        </is>
      </c>
      <c r="W184" s="14" t="inlineStr"/>
    </row>
    <row r="185" ht="49" customHeight="1">
      <c r="A185" s="34" t="inlineStr">
        <is>
          <t>1.1.2</t>
        </is>
      </c>
      <c r="B185" s="34" t="inlineStr">
        <is>
          <t>Guideway and Civil - Utility &amp; Roadworks</t>
        </is>
      </c>
      <c r="C185" s="34" t="inlineStr">
        <is>
          <t>Contractor Programme</t>
        </is>
      </c>
      <c r="D185" s="34" t="inlineStr">
        <is>
          <t>SCH-01-042</t>
        </is>
      </c>
      <c r="E185" s="34" t="inlineStr">
        <is>
          <t>Depot lead: temporary traffic staging - inspection</t>
        </is>
      </c>
      <c r="F185" s="34" t="inlineStr">
        <is>
          <t>ONE_TO_ONE</t>
        </is>
      </c>
      <c r="G185" s="34" t="inlineStr">
        <is>
          <t>APPROVED</t>
        </is>
      </c>
      <c r="H185" s="34" t="inlineStr">
        <is>
          <t>New</t>
        </is>
      </c>
      <c r="I185" s="34" t="inlineStr">
        <is>
          <t>Source assignment -- not individually reviewed</t>
        </is>
      </c>
      <c r="J185" s="39" t="inlineStr"/>
      <c r="K185" s="34" t="inlineStr">
        <is>
          <t>Source assignment</t>
        </is>
      </c>
      <c r="L185" s="39" t="inlineStr"/>
      <c r="M185" s="34" t="inlineStr">
        <is>
          <t>Initial</t>
        </is>
      </c>
      <c r="N185" s="34" t="inlineStr">
        <is>
          <t>Rev 0</t>
        </is>
      </c>
      <c r="O185" s="34" t="inlineStr">
        <is>
          <t>R42-v1</t>
        </is>
      </c>
      <c r="P185" s="39" t="inlineStr"/>
      <c r="Q185" s="14" t="inlineStr"/>
      <c r="R185" s="39" t="inlineStr"/>
      <c r="S185" s="39" t="inlineStr"/>
      <c r="T185" s="39" t="inlineStr"/>
      <c r="U185" s="39" t="inlineStr"/>
      <c r="V185" s="34" t="inlineStr">
        <is>
          <t>WBS Code = 1.1.2</t>
        </is>
      </c>
      <c r="W185" s="14" t="inlineStr"/>
    </row>
    <row r="186" ht="49" customHeight="1">
      <c r="A186" s="34" t="inlineStr">
        <is>
          <t>1.1.2</t>
        </is>
      </c>
      <c r="B186" s="34" t="inlineStr">
        <is>
          <t>Guideway and Civil - Utility &amp; Roadworks</t>
        </is>
      </c>
      <c r="C186" s="34" t="inlineStr">
        <is>
          <t>Contractor Programme</t>
        </is>
      </c>
      <c r="D186" s="34" t="inlineStr">
        <is>
          <t>SCH-01-045</t>
        </is>
      </c>
      <c r="E186" s="34" t="inlineStr">
        <is>
          <t>Central guideway: drilled-shaft installation - field start</t>
        </is>
      </c>
      <c r="F186" s="34" t="inlineStr">
        <is>
          <t>ONE_TO_ONE</t>
        </is>
      </c>
      <c r="G186" s="34" t="inlineStr">
        <is>
          <t>APPROVED</t>
        </is>
      </c>
      <c r="H186" s="34" t="inlineStr">
        <is>
          <t>New</t>
        </is>
      </c>
      <c r="I186" s="34" t="inlineStr">
        <is>
          <t>Source assignment -- not individually reviewed</t>
        </is>
      </c>
      <c r="J186" s="39" t="inlineStr"/>
      <c r="K186" s="34" t="inlineStr">
        <is>
          <t>Source assignment</t>
        </is>
      </c>
      <c r="L186" s="39" t="inlineStr"/>
      <c r="M186" s="34" t="inlineStr">
        <is>
          <t>Initial</t>
        </is>
      </c>
      <c r="N186" s="34" t="inlineStr">
        <is>
          <t>Rev 0</t>
        </is>
      </c>
      <c r="O186" s="34" t="inlineStr">
        <is>
          <t>R45-v1</t>
        </is>
      </c>
      <c r="P186" s="39" t="inlineStr"/>
      <c r="Q186" s="14" t="inlineStr"/>
      <c r="R186" s="39" t="inlineStr"/>
      <c r="S186" s="39" t="inlineStr"/>
      <c r="T186" s="39" t="inlineStr"/>
      <c r="U186" s="39" t="inlineStr"/>
      <c r="V186" s="34" t="inlineStr">
        <is>
          <t>WBS Code = 1.1.2</t>
        </is>
      </c>
      <c r="W186" s="14" t="inlineStr"/>
    </row>
    <row r="187" ht="49" customHeight="1">
      <c r="A187" s="34" t="inlineStr">
        <is>
          <t>1.1.2</t>
        </is>
      </c>
      <c r="B187" s="34" t="inlineStr">
        <is>
          <t>Guideway and Civil - Utility &amp; Roadworks</t>
        </is>
      </c>
      <c r="C187" s="34" t="inlineStr">
        <is>
          <t>Contractor Programme</t>
        </is>
      </c>
      <c r="D187" s="34" t="inlineStr">
        <is>
          <t>SCH-01-048</t>
        </is>
      </c>
      <c r="E187" s="34" t="inlineStr">
        <is>
          <t>East portal: utility relocation - turnover</t>
        </is>
      </c>
      <c r="F187" s="34" t="inlineStr">
        <is>
          <t>ONE_TO_ONE</t>
        </is>
      </c>
      <c r="G187" s="34" t="inlineStr">
        <is>
          <t>APPROVED</t>
        </is>
      </c>
      <c r="H187" s="34" t="inlineStr">
        <is>
          <t>New</t>
        </is>
      </c>
      <c r="I187" s="34" t="inlineStr">
        <is>
          <t>Source assignment -- not individually reviewed</t>
        </is>
      </c>
      <c r="J187" s="39" t="inlineStr"/>
      <c r="K187" s="34" t="inlineStr">
        <is>
          <t>Source assignment</t>
        </is>
      </c>
      <c r="L187" s="39" t="inlineStr"/>
      <c r="M187" s="34" t="inlineStr">
        <is>
          <t>Initial</t>
        </is>
      </c>
      <c r="N187" s="34" t="inlineStr">
        <is>
          <t>Rev 0</t>
        </is>
      </c>
      <c r="O187" s="34" t="inlineStr">
        <is>
          <t>R48-v1</t>
        </is>
      </c>
      <c r="P187" s="39" t="inlineStr"/>
      <c r="Q187" s="14" t="inlineStr"/>
      <c r="R187" s="39" t="inlineStr"/>
      <c r="S187" s="39" t="inlineStr"/>
      <c r="T187" s="39" t="inlineStr"/>
      <c r="U187" s="39" t="inlineStr"/>
      <c r="V187" s="34" t="inlineStr">
        <is>
          <t>WBS Code = 1.1.2</t>
        </is>
      </c>
      <c r="W187" s="14" t="inlineStr"/>
    </row>
    <row r="188" ht="49" customHeight="1">
      <c r="A188" s="34" t="inlineStr">
        <is>
          <t>1.1.2</t>
        </is>
      </c>
      <c r="B188" s="34" t="inlineStr">
        <is>
          <t>Guideway and Civil - Utility &amp; Roadworks</t>
        </is>
      </c>
      <c r="C188" s="34" t="inlineStr">
        <is>
          <t>Contractor Programme</t>
        </is>
      </c>
      <c r="D188" s="34" t="inlineStr">
        <is>
          <t>SCH-01-051</t>
        </is>
      </c>
      <c r="E188" s="34" t="inlineStr">
        <is>
          <t>West approach: guideway pier reinforcement - installation</t>
        </is>
      </c>
      <c r="F188" s="34" t="inlineStr">
        <is>
          <t>ONE_TO_ONE</t>
        </is>
      </c>
      <c r="G188" s="34" t="inlineStr">
        <is>
          <t>APPROVED</t>
        </is>
      </c>
      <c r="H188" s="34" t="inlineStr">
        <is>
          <t>New</t>
        </is>
      </c>
      <c r="I188" s="34" t="inlineStr">
        <is>
          <t>Source assignment -- not individually reviewed</t>
        </is>
      </c>
      <c r="J188" s="39" t="inlineStr"/>
      <c r="K188" s="34" t="inlineStr">
        <is>
          <t>Source assignment</t>
        </is>
      </c>
      <c r="L188" s="39" t="inlineStr"/>
      <c r="M188" s="34" t="inlineStr">
        <is>
          <t>Initial</t>
        </is>
      </c>
      <c r="N188" s="34" t="inlineStr">
        <is>
          <t>Rev 0</t>
        </is>
      </c>
      <c r="O188" s="34" t="inlineStr">
        <is>
          <t>R51-v1</t>
        </is>
      </c>
      <c r="P188" s="39" t="inlineStr"/>
      <c r="Q188" s="14" t="inlineStr"/>
      <c r="R188" s="39" t="inlineStr"/>
      <c r="S188" s="39" t="inlineStr"/>
      <c r="T188" s="39" t="inlineStr"/>
      <c r="U188" s="39" t="inlineStr"/>
      <c r="V188" s="34" t="inlineStr">
        <is>
          <t>WBS Code = 1.1.2</t>
        </is>
      </c>
      <c r="W188" s="14" t="inlineStr"/>
    </row>
    <row r="189" ht="49" customHeight="1">
      <c r="A189" s="34" t="inlineStr">
        <is>
          <t>1.1.2</t>
        </is>
      </c>
      <c r="B189" s="34" t="inlineStr">
        <is>
          <t>Guideway and Civil - Utility &amp; Roadworks</t>
        </is>
      </c>
      <c r="C189" s="34" t="inlineStr">
        <is>
          <t>Contractor Programme</t>
        </is>
      </c>
      <c r="D189" s="34" t="inlineStr">
        <is>
          <t>SCH-01-054</t>
        </is>
      </c>
      <c r="E189" s="34" t="inlineStr">
        <is>
          <t>River crossing: retaining-wall excavation - release</t>
        </is>
      </c>
      <c r="F189" s="34" t="inlineStr">
        <is>
          <t>ONE_TO_ONE</t>
        </is>
      </c>
      <c r="G189" s="34" t="inlineStr">
        <is>
          <t>APPROVED</t>
        </is>
      </c>
      <c r="H189" s="34" t="inlineStr">
        <is>
          <t>New</t>
        </is>
      </c>
      <c r="I189" s="34" t="inlineStr">
        <is>
          <t>Source assignment -- not individually reviewed</t>
        </is>
      </c>
      <c r="J189" s="39" t="inlineStr"/>
      <c r="K189" s="34" t="inlineStr">
        <is>
          <t>Source assignment</t>
        </is>
      </c>
      <c r="L189" s="39" t="inlineStr"/>
      <c r="M189" s="34" t="inlineStr">
        <is>
          <t>Initial</t>
        </is>
      </c>
      <c r="N189" s="34" t="inlineStr">
        <is>
          <t>Rev 0</t>
        </is>
      </c>
      <c r="O189" s="34" t="inlineStr">
        <is>
          <t>R54-v1</t>
        </is>
      </c>
      <c r="P189" s="39" t="inlineStr"/>
      <c r="Q189" s="14" t="inlineStr"/>
      <c r="R189" s="39" t="inlineStr"/>
      <c r="S189" s="39" t="inlineStr"/>
      <c r="T189" s="39" t="inlineStr"/>
      <c r="U189" s="39" t="inlineStr"/>
      <c r="V189" s="34" t="inlineStr">
        <is>
          <t>WBS Code = 1.1.2</t>
        </is>
      </c>
      <c r="W189" s="14" t="inlineStr"/>
    </row>
    <row r="190" ht="49" customHeight="1">
      <c r="A190" s="34" t="inlineStr">
        <is>
          <t>1.1.2</t>
        </is>
      </c>
      <c r="B190" s="34" t="inlineStr">
        <is>
          <t>Guideway and Civil - Utility &amp; Roadworks</t>
        </is>
      </c>
      <c r="C190" s="34" t="inlineStr">
        <is>
          <t>Contractor Programme</t>
        </is>
      </c>
      <c r="D190" s="34" t="inlineStr">
        <is>
          <t>SCH-01-057</t>
        </is>
      </c>
      <c r="E190" s="34" t="inlineStr">
        <is>
          <t>Depot lead: track-slab survey - inspection</t>
        </is>
      </c>
      <c r="F190" s="34" t="inlineStr">
        <is>
          <t>ONE_TO_ONE</t>
        </is>
      </c>
      <c r="G190" s="34" t="inlineStr">
        <is>
          <t>APPROVED</t>
        </is>
      </c>
      <c r="H190" s="34" t="inlineStr">
        <is>
          <t>New</t>
        </is>
      </c>
      <c r="I190" s="34" t="inlineStr">
        <is>
          <t>Source assignment -- not individually reviewed</t>
        </is>
      </c>
      <c r="J190" s="39" t="inlineStr"/>
      <c r="K190" s="34" t="inlineStr">
        <is>
          <t>Source assignment</t>
        </is>
      </c>
      <c r="L190" s="39" t="inlineStr"/>
      <c r="M190" s="34" t="inlineStr">
        <is>
          <t>Initial</t>
        </is>
      </c>
      <c r="N190" s="34" t="inlineStr">
        <is>
          <t>Rev 0</t>
        </is>
      </c>
      <c r="O190" s="34" t="inlineStr">
        <is>
          <t>R57-v1</t>
        </is>
      </c>
      <c r="P190" s="39" t="inlineStr"/>
      <c r="Q190" s="14" t="inlineStr"/>
      <c r="R190" s="39" t="inlineStr"/>
      <c r="S190" s="39" t="inlineStr"/>
      <c r="T190" s="39" t="inlineStr"/>
      <c r="U190" s="39" t="inlineStr"/>
      <c r="V190" s="34" t="inlineStr">
        <is>
          <t>WBS Code = 1.1.2</t>
        </is>
      </c>
      <c r="W190" s="14" t="inlineStr"/>
    </row>
    <row r="191" ht="49" customHeight="1">
      <c r="A191" s="34" t="inlineStr">
        <is>
          <t>1.1.2</t>
        </is>
      </c>
      <c r="B191" s="34" t="inlineStr">
        <is>
          <t>Guideway and Civil - Utility &amp; Roadworks</t>
        </is>
      </c>
      <c r="C191" s="34" t="inlineStr">
        <is>
          <t>Contractor Programme</t>
        </is>
      </c>
      <c r="D191" s="34" t="inlineStr">
        <is>
          <t>SCH-01-060</t>
        </is>
      </c>
      <c r="E191" s="34" t="inlineStr">
        <is>
          <t>Central guideway: road restoration - field start</t>
        </is>
      </c>
      <c r="F191" s="34" t="inlineStr">
        <is>
          <t>ONE_TO_ONE</t>
        </is>
      </c>
      <c r="G191" s="34" t="inlineStr">
        <is>
          <t>APPROVED</t>
        </is>
      </c>
      <c r="H191" s="34" t="inlineStr">
        <is>
          <t>New</t>
        </is>
      </c>
      <c r="I191" s="34" t="inlineStr">
        <is>
          <t>Source assignment -- not individually reviewed</t>
        </is>
      </c>
      <c r="J191" s="39" t="inlineStr"/>
      <c r="K191" s="34" t="inlineStr">
        <is>
          <t>Source assignment</t>
        </is>
      </c>
      <c r="L191" s="39" t="inlineStr"/>
      <c r="M191" s="34" t="inlineStr">
        <is>
          <t>Initial</t>
        </is>
      </c>
      <c r="N191" s="34" t="inlineStr">
        <is>
          <t>Rev 0</t>
        </is>
      </c>
      <c r="O191" s="34" t="inlineStr">
        <is>
          <t>R60-v1</t>
        </is>
      </c>
      <c r="P191" s="39" t="inlineStr"/>
      <c r="Q191" s="14" t="inlineStr"/>
      <c r="R191" s="39" t="inlineStr"/>
      <c r="S191" s="39" t="inlineStr"/>
      <c r="T191" s="39" t="inlineStr"/>
      <c r="U191" s="39" t="inlineStr"/>
      <c r="V191" s="34" t="inlineStr">
        <is>
          <t>WBS Code = 1.1.2</t>
        </is>
      </c>
      <c r="W191" s="14" t="inlineStr"/>
    </row>
    <row r="192" ht="49" customHeight="1">
      <c r="A192" s="34" t="inlineStr">
        <is>
          <t>1.1.2</t>
        </is>
      </c>
      <c r="B192" s="34" t="inlineStr">
        <is>
          <t>Guideway and Civil - Utility &amp; Roadworks</t>
        </is>
      </c>
      <c r="C192" s="34" t="inlineStr">
        <is>
          <t>Contractor Programme</t>
        </is>
      </c>
      <c r="D192" s="34" t="inlineStr">
        <is>
          <t>SCH-01-063</t>
        </is>
      </c>
      <c r="E192" s="34" t="inlineStr">
        <is>
          <t>East portal: drainage tie-in - turnover</t>
        </is>
      </c>
      <c r="F192" s="34" t="inlineStr">
        <is>
          <t>ONE_TO_ONE</t>
        </is>
      </c>
      <c r="G192" s="34" t="inlineStr">
        <is>
          <t>APPROVED</t>
        </is>
      </c>
      <c r="H192" s="34" t="inlineStr">
        <is>
          <t>New</t>
        </is>
      </c>
      <c r="I192" s="34" t="inlineStr">
        <is>
          <t>Source assignment -- not individually reviewed</t>
        </is>
      </c>
      <c r="J192" s="39" t="inlineStr"/>
      <c r="K192" s="34" t="inlineStr">
        <is>
          <t>Source assignment</t>
        </is>
      </c>
      <c r="L192" s="39" t="inlineStr"/>
      <c r="M192" s="34" t="inlineStr">
        <is>
          <t>Initial</t>
        </is>
      </c>
      <c r="N192" s="34" t="inlineStr">
        <is>
          <t>Rev 0</t>
        </is>
      </c>
      <c r="O192" s="34" t="inlineStr">
        <is>
          <t>R63-v1</t>
        </is>
      </c>
      <c r="P192" s="39" t="inlineStr"/>
      <c r="Q192" s="14" t="inlineStr"/>
      <c r="R192" s="39" t="inlineStr"/>
      <c r="S192" s="39" t="inlineStr"/>
      <c r="T192" s="39" t="inlineStr"/>
      <c r="U192" s="39" t="inlineStr"/>
      <c r="V192" s="34" t="inlineStr">
        <is>
          <t>WBS Code = 1.1.2</t>
        </is>
      </c>
      <c r="W192" s="14" t="inlineStr"/>
    </row>
    <row r="193" ht="49" customHeight="1">
      <c r="A193" s="34" t="inlineStr">
        <is>
          <t>1.1.2</t>
        </is>
      </c>
      <c r="B193" s="34" t="inlineStr">
        <is>
          <t>Guideway and Civil - Utility &amp; Roadworks</t>
        </is>
      </c>
      <c r="C193" s="34" t="inlineStr">
        <is>
          <t>Contractor Programme</t>
        </is>
      </c>
      <c r="D193" s="34" t="inlineStr">
        <is>
          <t>SCH-01-066</t>
        </is>
      </c>
      <c r="E193" s="34" t="inlineStr">
        <is>
          <t>West approach: temporary traffic staging - installation</t>
        </is>
      </c>
      <c r="F193" s="34" t="inlineStr">
        <is>
          <t>ONE_TO_ONE</t>
        </is>
      </c>
      <c r="G193" s="34" t="inlineStr">
        <is>
          <t>APPROVED</t>
        </is>
      </c>
      <c r="H193" s="34" t="inlineStr">
        <is>
          <t>New</t>
        </is>
      </c>
      <c r="I193" s="34" t="inlineStr">
        <is>
          <t>Source assignment -- not individually reviewed</t>
        </is>
      </c>
      <c r="J193" s="39" t="inlineStr"/>
      <c r="K193" s="34" t="inlineStr">
        <is>
          <t>Source assignment</t>
        </is>
      </c>
      <c r="L193" s="39" t="inlineStr"/>
      <c r="M193" s="34" t="inlineStr">
        <is>
          <t>Initial</t>
        </is>
      </c>
      <c r="N193" s="34" t="inlineStr">
        <is>
          <t>Rev 0</t>
        </is>
      </c>
      <c r="O193" s="34" t="inlineStr">
        <is>
          <t>R66-v1</t>
        </is>
      </c>
      <c r="P193" s="39" t="inlineStr"/>
      <c r="Q193" s="14" t="inlineStr"/>
      <c r="R193" s="39" t="inlineStr"/>
      <c r="S193" s="39" t="inlineStr"/>
      <c r="T193" s="39" t="inlineStr"/>
      <c r="U193" s="39" t="inlineStr"/>
      <c r="V193" s="34" t="inlineStr">
        <is>
          <t>WBS Code = 1.1.2</t>
        </is>
      </c>
      <c r="W193" s="14" t="inlineStr"/>
    </row>
    <row r="194" ht="49" customHeight="1">
      <c r="A194" s="34" t="inlineStr">
        <is>
          <t>1.1.2</t>
        </is>
      </c>
      <c r="B194" s="34" t="inlineStr">
        <is>
          <t>Guideway and Civil - Utility &amp; Roadworks</t>
        </is>
      </c>
      <c r="C194" s="34" t="inlineStr">
        <is>
          <t>Contractor Programme</t>
        </is>
      </c>
      <c r="D194" s="34" t="inlineStr">
        <is>
          <t>SCH-01-069</t>
        </is>
      </c>
      <c r="E194" s="34" t="inlineStr">
        <is>
          <t>River crossing: drilled-shaft installation - release</t>
        </is>
      </c>
      <c r="F194" s="34" t="inlineStr">
        <is>
          <t>ONE_TO_ONE</t>
        </is>
      </c>
      <c r="G194" s="34" t="inlineStr">
        <is>
          <t>APPROVED</t>
        </is>
      </c>
      <c r="H194" s="34" t="inlineStr">
        <is>
          <t>New</t>
        </is>
      </c>
      <c r="I194" s="34" t="inlineStr">
        <is>
          <t>Source assignment -- not individually reviewed</t>
        </is>
      </c>
      <c r="J194" s="39" t="inlineStr"/>
      <c r="K194" s="34" t="inlineStr">
        <is>
          <t>Source assignment</t>
        </is>
      </c>
      <c r="L194" s="39" t="inlineStr"/>
      <c r="M194" s="34" t="inlineStr">
        <is>
          <t>Initial</t>
        </is>
      </c>
      <c r="N194" s="34" t="inlineStr">
        <is>
          <t>Rev 0</t>
        </is>
      </c>
      <c r="O194" s="34" t="inlineStr">
        <is>
          <t>R69-v1</t>
        </is>
      </c>
      <c r="P194" s="39" t="inlineStr"/>
      <c r="Q194" s="14" t="inlineStr"/>
      <c r="R194" s="39" t="inlineStr"/>
      <c r="S194" s="39" t="inlineStr"/>
      <c r="T194" s="39" t="inlineStr"/>
      <c r="U194" s="39" t="inlineStr"/>
      <c r="V194" s="34" t="inlineStr">
        <is>
          <t>WBS Code = 1.1.2</t>
        </is>
      </c>
      <c r="W194" s="14" t="inlineStr"/>
    </row>
    <row r="195" ht="49" customHeight="1">
      <c r="A195" s="34" t="inlineStr">
        <is>
          <t>1.1.2</t>
        </is>
      </c>
      <c r="B195" s="34" t="inlineStr">
        <is>
          <t>Guideway and Civil - Utility &amp; Roadworks</t>
        </is>
      </c>
      <c r="C195" s="34" t="inlineStr">
        <is>
          <t>Contractor Programme</t>
        </is>
      </c>
      <c r="D195" s="34" t="inlineStr">
        <is>
          <t>SCH-01-072</t>
        </is>
      </c>
      <c r="E195" s="34" t="inlineStr">
        <is>
          <t>Depot lead: utility relocation - inspection</t>
        </is>
      </c>
      <c r="F195" s="34" t="inlineStr">
        <is>
          <t>ONE_TO_ONE</t>
        </is>
      </c>
      <c r="G195" s="34" t="inlineStr">
        <is>
          <t>APPROVED</t>
        </is>
      </c>
      <c r="H195" s="34" t="inlineStr">
        <is>
          <t>New</t>
        </is>
      </c>
      <c r="I195" s="34" t="inlineStr">
        <is>
          <t>Source assignment -- not individually reviewed</t>
        </is>
      </c>
      <c r="J195" s="39" t="inlineStr"/>
      <c r="K195" s="34" t="inlineStr">
        <is>
          <t>Source assignment</t>
        </is>
      </c>
      <c r="L195" s="39" t="inlineStr"/>
      <c r="M195" s="34" t="inlineStr">
        <is>
          <t>Initial</t>
        </is>
      </c>
      <c r="N195" s="34" t="inlineStr">
        <is>
          <t>Rev 0</t>
        </is>
      </c>
      <c r="O195" s="34" t="inlineStr">
        <is>
          <t>R72-v1</t>
        </is>
      </c>
      <c r="P195" s="39" t="inlineStr"/>
      <c r="Q195" s="14" t="inlineStr"/>
      <c r="R195" s="39" t="inlineStr"/>
      <c r="S195" s="39" t="inlineStr"/>
      <c r="T195" s="39" t="inlineStr"/>
      <c r="U195" s="39" t="inlineStr"/>
      <c r="V195" s="34" t="inlineStr">
        <is>
          <t>WBS Code = 1.1.2</t>
        </is>
      </c>
      <c r="W195" s="14" t="inlineStr"/>
    </row>
    <row r="196" ht="49" customHeight="1">
      <c r="A196" s="34" t="inlineStr">
        <is>
          <t>1.1.2</t>
        </is>
      </c>
      <c r="B196" s="34" t="inlineStr">
        <is>
          <t>Guideway and Civil - Utility &amp; Roadworks</t>
        </is>
      </c>
      <c r="C196" s="34" t="inlineStr">
        <is>
          <t>Contractor Programme</t>
        </is>
      </c>
      <c r="D196" s="34" t="inlineStr">
        <is>
          <t>SCH-01-075</t>
        </is>
      </c>
      <c r="E196" s="34" t="inlineStr">
        <is>
          <t>Central guideway: guideway pier reinforcement - field start</t>
        </is>
      </c>
      <c r="F196" s="34" t="inlineStr">
        <is>
          <t>ONE_TO_ONE</t>
        </is>
      </c>
      <c r="G196" s="34" t="inlineStr">
        <is>
          <t>APPROVED</t>
        </is>
      </c>
      <c r="H196" s="34" t="inlineStr">
        <is>
          <t>New</t>
        </is>
      </c>
      <c r="I196" s="34" t="inlineStr">
        <is>
          <t>Source assignment -- not individually reviewed</t>
        </is>
      </c>
      <c r="J196" s="39" t="inlineStr"/>
      <c r="K196" s="34" t="inlineStr">
        <is>
          <t>Source assignment</t>
        </is>
      </c>
      <c r="L196" s="39" t="inlineStr"/>
      <c r="M196" s="34" t="inlineStr">
        <is>
          <t>Initial</t>
        </is>
      </c>
      <c r="N196" s="34" t="inlineStr">
        <is>
          <t>Rev 0</t>
        </is>
      </c>
      <c r="O196" s="34" t="inlineStr">
        <is>
          <t>R75-v1</t>
        </is>
      </c>
      <c r="P196" s="39" t="inlineStr"/>
      <c r="Q196" s="14" t="inlineStr"/>
      <c r="R196" s="39" t="inlineStr"/>
      <c r="S196" s="39" t="inlineStr"/>
      <c r="T196" s="39" t="inlineStr"/>
      <c r="U196" s="39" t="inlineStr"/>
      <c r="V196" s="34" t="inlineStr">
        <is>
          <t>WBS Code = 1.1.2</t>
        </is>
      </c>
      <c r="W196" s="14" t="inlineStr"/>
    </row>
    <row r="197" ht="49" customHeight="1">
      <c r="A197" s="34" t="inlineStr">
        <is>
          <t>1.1.2</t>
        </is>
      </c>
      <c r="B197" s="34" t="inlineStr">
        <is>
          <t>Guideway and Civil - Utility &amp; Roadworks</t>
        </is>
      </c>
      <c r="C197" s="34" t="inlineStr">
        <is>
          <t>Contractor Programme</t>
        </is>
      </c>
      <c r="D197" s="34" t="inlineStr">
        <is>
          <t>SCH-01-078</t>
        </is>
      </c>
      <c r="E197" s="34" t="inlineStr">
        <is>
          <t>East portal: retaining-wall excavation - turnover</t>
        </is>
      </c>
      <c r="F197" s="34" t="inlineStr">
        <is>
          <t>ONE_TO_ONE</t>
        </is>
      </c>
      <c r="G197" s="34" t="inlineStr">
        <is>
          <t>APPROVED</t>
        </is>
      </c>
      <c r="H197" s="34" t="inlineStr">
        <is>
          <t>New</t>
        </is>
      </c>
      <c r="I197" s="34" t="inlineStr">
        <is>
          <t>Source assignment -- not individually reviewed</t>
        </is>
      </c>
      <c r="J197" s="39" t="inlineStr"/>
      <c r="K197" s="34" t="inlineStr">
        <is>
          <t>Source assignment</t>
        </is>
      </c>
      <c r="L197" s="39" t="inlineStr"/>
      <c r="M197" s="34" t="inlineStr">
        <is>
          <t>Initial</t>
        </is>
      </c>
      <c r="N197" s="34" t="inlineStr">
        <is>
          <t>Rev 0</t>
        </is>
      </c>
      <c r="O197" s="34" t="inlineStr">
        <is>
          <t>R78-v1</t>
        </is>
      </c>
      <c r="P197" s="39" t="inlineStr"/>
      <c r="Q197" s="14" t="inlineStr"/>
      <c r="R197" s="39" t="inlineStr"/>
      <c r="S197" s="39" t="inlineStr"/>
      <c r="T197" s="39" t="inlineStr"/>
      <c r="U197" s="39" t="inlineStr"/>
      <c r="V197" s="34" t="inlineStr">
        <is>
          <t>WBS Code = 1.1.2</t>
        </is>
      </c>
      <c r="W197" s="14" t="inlineStr"/>
    </row>
    <row r="198" ht="49" customHeight="1">
      <c r="A198" s="34" t="inlineStr">
        <is>
          <t>1.1.2</t>
        </is>
      </c>
      <c r="B198" s="34" t="inlineStr">
        <is>
          <t>Guideway and Civil - Utility &amp; Roadworks</t>
        </is>
      </c>
      <c r="C198" s="34" t="inlineStr">
        <is>
          <t>Contractor Programme</t>
        </is>
      </c>
      <c r="D198" s="34" t="inlineStr">
        <is>
          <t>SCH-01-081</t>
        </is>
      </c>
      <c r="E198" s="34" t="inlineStr">
        <is>
          <t>West approach: track-slab survey - installation</t>
        </is>
      </c>
      <c r="F198" s="34" t="inlineStr">
        <is>
          <t>ONE_TO_ONE</t>
        </is>
      </c>
      <c r="G198" s="34" t="inlineStr">
        <is>
          <t>APPROVED</t>
        </is>
      </c>
      <c r="H198" s="34" t="inlineStr">
        <is>
          <t>New</t>
        </is>
      </c>
      <c r="I198" s="34" t="inlineStr">
        <is>
          <t>Source assignment -- not individually reviewed</t>
        </is>
      </c>
      <c r="J198" s="39" t="inlineStr"/>
      <c r="K198" s="34" t="inlineStr">
        <is>
          <t>Source assignment</t>
        </is>
      </c>
      <c r="L198" s="39" t="inlineStr"/>
      <c r="M198" s="34" t="inlineStr">
        <is>
          <t>Initial</t>
        </is>
      </c>
      <c r="N198" s="34" t="inlineStr">
        <is>
          <t>Rev 0</t>
        </is>
      </c>
      <c r="O198" s="34" t="inlineStr">
        <is>
          <t>R81-v1</t>
        </is>
      </c>
      <c r="P198" s="39" t="inlineStr"/>
      <c r="Q198" s="14" t="inlineStr"/>
      <c r="R198" s="39" t="inlineStr"/>
      <c r="S198" s="39" t="inlineStr"/>
      <c r="T198" s="39" t="inlineStr"/>
      <c r="U198" s="39" t="inlineStr"/>
      <c r="V198" s="34" t="inlineStr">
        <is>
          <t>WBS Code = 1.1.2</t>
        </is>
      </c>
      <c r="W198" s="14" t="inlineStr"/>
    </row>
    <row r="199" ht="49" customHeight="1">
      <c r="A199" s="34" t="inlineStr">
        <is>
          <t>1.1.2</t>
        </is>
      </c>
      <c r="B199" s="34" t="inlineStr">
        <is>
          <t>Guideway and Civil - Utility &amp; Roadworks</t>
        </is>
      </c>
      <c r="C199" s="34" t="inlineStr">
        <is>
          <t>Contractor Programme</t>
        </is>
      </c>
      <c r="D199" s="34" t="inlineStr">
        <is>
          <t>SCH-01-084</t>
        </is>
      </c>
      <c r="E199" s="34" t="inlineStr">
        <is>
          <t>River crossing: road restoration - release</t>
        </is>
      </c>
      <c r="F199" s="34" t="inlineStr">
        <is>
          <t>ONE_TO_ONE</t>
        </is>
      </c>
      <c r="G199" s="34" t="inlineStr">
        <is>
          <t>APPROVED</t>
        </is>
      </c>
      <c r="H199" s="34" t="inlineStr">
        <is>
          <t>New</t>
        </is>
      </c>
      <c r="I199" s="34" t="inlineStr">
        <is>
          <t>Source assignment -- not individually reviewed</t>
        </is>
      </c>
      <c r="J199" s="39" t="inlineStr"/>
      <c r="K199" s="34" t="inlineStr">
        <is>
          <t>Source assignment</t>
        </is>
      </c>
      <c r="L199" s="39" t="inlineStr"/>
      <c r="M199" s="34" t="inlineStr">
        <is>
          <t>Initial</t>
        </is>
      </c>
      <c r="N199" s="34" t="inlineStr">
        <is>
          <t>Rev 0</t>
        </is>
      </c>
      <c r="O199" s="34" t="inlineStr">
        <is>
          <t>R84-v1</t>
        </is>
      </c>
      <c r="P199" s="39" t="inlineStr"/>
      <c r="Q199" s="14" t="inlineStr"/>
      <c r="R199" s="39" t="inlineStr"/>
      <c r="S199" s="39" t="inlineStr"/>
      <c r="T199" s="39" t="inlineStr"/>
      <c r="U199" s="39" t="inlineStr"/>
      <c r="V199" s="34" t="inlineStr">
        <is>
          <t>WBS Code = 1.1.2</t>
        </is>
      </c>
      <c r="W199" s="14" t="inlineStr"/>
    </row>
    <row r="200" ht="49" customHeight="1">
      <c r="A200" s="34" t="inlineStr">
        <is>
          <t>1.1.2</t>
        </is>
      </c>
      <c r="B200" s="34" t="inlineStr">
        <is>
          <t>Guideway and Civil - Utility &amp; Roadworks</t>
        </is>
      </c>
      <c r="C200" s="34" t="inlineStr">
        <is>
          <t>Contractor Programme</t>
        </is>
      </c>
      <c r="D200" s="34" t="inlineStr">
        <is>
          <t>SCH-01-087</t>
        </is>
      </c>
      <c r="E200" s="34" t="inlineStr">
        <is>
          <t>Depot lead: drainage tie-in - inspection</t>
        </is>
      </c>
      <c r="F200" s="34" t="inlineStr">
        <is>
          <t>ONE_TO_ONE</t>
        </is>
      </c>
      <c r="G200" s="34" t="inlineStr">
        <is>
          <t>APPROVED</t>
        </is>
      </c>
      <c r="H200" s="34" t="inlineStr">
        <is>
          <t>New</t>
        </is>
      </c>
      <c r="I200" s="34" t="inlineStr">
        <is>
          <t>Source assignment -- not individually reviewed</t>
        </is>
      </c>
      <c r="J200" s="39" t="inlineStr"/>
      <c r="K200" s="34" t="inlineStr">
        <is>
          <t>Source assignment</t>
        </is>
      </c>
      <c r="L200" s="39" t="inlineStr"/>
      <c r="M200" s="34" t="inlineStr">
        <is>
          <t>Initial</t>
        </is>
      </c>
      <c r="N200" s="34" t="inlineStr">
        <is>
          <t>Rev 0</t>
        </is>
      </c>
      <c r="O200" s="34" t="inlineStr">
        <is>
          <t>R87-v1</t>
        </is>
      </c>
      <c r="P200" s="39" t="inlineStr"/>
      <c r="Q200" s="14" t="inlineStr"/>
      <c r="R200" s="39" t="inlineStr"/>
      <c r="S200" s="39" t="inlineStr"/>
      <c r="T200" s="39" t="inlineStr"/>
      <c r="U200" s="39" t="inlineStr"/>
      <c r="V200" s="34" t="inlineStr">
        <is>
          <t>WBS Code = 1.1.2</t>
        </is>
      </c>
      <c r="W200" s="14" t="inlineStr"/>
    </row>
    <row r="201" ht="49" customHeight="1">
      <c r="A201" s="34" t="inlineStr">
        <is>
          <t>1.1.2</t>
        </is>
      </c>
      <c r="B201" s="34" t="inlineStr">
        <is>
          <t>Guideway and Civil - Utility &amp; Roadworks</t>
        </is>
      </c>
      <c r="C201" s="34" t="inlineStr">
        <is>
          <t>Contractor Programme</t>
        </is>
      </c>
      <c r="D201" s="34" t="inlineStr">
        <is>
          <t>SCH-01-090</t>
        </is>
      </c>
      <c r="E201" s="34" t="inlineStr">
        <is>
          <t>Central guideway: temporary traffic staging - field start</t>
        </is>
      </c>
      <c r="F201" s="34" t="inlineStr">
        <is>
          <t>ONE_TO_ONE</t>
        </is>
      </c>
      <c r="G201" s="34" t="inlineStr">
        <is>
          <t>APPROVED</t>
        </is>
      </c>
      <c r="H201" s="34" t="inlineStr">
        <is>
          <t>New</t>
        </is>
      </c>
      <c r="I201" s="34" t="inlineStr">
        <is>
          <t>Source assignment -- not individually reviewed</t>
        </is>
      </c>
      <c r="J201" s="39" t="inlineStr"/>
      <c r="K201" s="34" t="inlineStr">
        <is>
          <t>Source assignment</t>
        </is>
      </c>
      <c r="L201" s="39" t="inlineStr"/>
      <c r="M201" s="34" t="inlineStr">
        <is>
          <t>Initial</t>
        </is>
      </c>
      <c r="N201" s="34" t="inlineStr">
        <is>
          <t>Rev 0</t>
        </is>
      </c>
      <c r="O201" s="34" t="inlineStr">
        <is>
          <t>R90-v1</t>
        </is>
      </c>
      <c r="P201" s="39" t="inlineStr"/>
      <c r="Q201" s="14" t="inlineStr"/>
      <c r="R201" s="39" t="inlineStr"/>
      <c r="S201" s="39" t="inlineStr"/>
      <c r="T201" s="39" t="inlineStr"/>
      <c r="U201" s="39" t="inlineStr"/>
      <c r="V201" s="34" t="inlineStr">
        <is>
          <t>WBS Code = 1.1.2</t>
        </is>
      </c>
      <c r="W201" s="14" t="inlineStr"/>
    </row>
    <row r="202" ht="49" customHeight="1">
      <c r="A202" s="34" t="inlineStr">
        <is>
          <t>1.1.2</t>
        </is>
      </c>
      <c r="B202" s="34" t="inlineStr">
        <is>
          <t>Guideway and Civil - Utility &amp; Roadworks</t>
        </is>
      </c>
      <c r="C202" s="34" t="inlineStr">
        <is>
          <t>Contractor Programme</t>
        </is>
      </c>
      <c r="D202" s="34" t="inlineStr">
        <is>
          <t>SCH-01-093</t>
        </is>
      </c>
      <c r="E202" s="34" t="inlineStr">
        <is>
          <t>East portal: drilled-shaft installation - turnover</t>
        </is>
      </c>
      <c r="F202" s="34" t="inlineStr">
        <is>
          <t>ONE_TO_ONE</t>
        </is>
      </c>
      <c r="G202" s="34" t="inlineStr">
        <is>
          <t>APPROVED</t>
        </is>
      </c>
      <c r="H202" s="34" t="inlineStr">
        <is>
          <t>New</t>
        </is>
      </c>
      <c r="I202" s="34" t="inlineStr">
        <is>
          <t>Source assignment -- not individually reviewed</t>
        </is>
      </c>
      <c r="J202" s="39" t="inlineStr"/>
      <c r="K202" s="34" t="inlineStr">
        <is>
          <t>Source assignment</t>
        </is>
      </c>
      <c r="L202" s="39" t="inlineStr"/>
      <c r="M202" s="34" t="inlineStr">
        <is>
          <t>Initial</t>
        </is>
      </c>
      <c r="N202" s="34" t="inlineStr">
        <is>
          <t>Rev 0</t>
        </is>
      </c>
      <c r="O202" s="34" t="inlineStr">
        <is>
          <t>R93-v1</t>
        </is>
      </c>
      <c r="P202" s="39" t="inlineStr"/>
      <c r="Q202" s="14" t="inlineStr"/>
      <c r="R202" s="39" t="inlineStr"/>
      <c r="S202" s="39" t="inlineStr"/>
      <c r="T202" s="39" t="inlineStr"/>
      <c r="U202" s="39" t="inlineStr"/>
      <c r="V202" s="34" t="inlineStr">
        <is>
          <t>WBS Code = 1.1.2</t>
        </is>
      </c>
      <c r="W202" s="14" t="inlineStr"/>
    </row>
    <row r="203" ht="49" customHeight="1">
      <c r="A203" s="34" t="inlineStr">
        <is>
          <t>1.1.2</t>
        </is>
      </c>
      <c r="B203" s="34" t="inlineStr">
        <is>
          <t>Guideway and Civil - Utility &amp; Roadworks</t>
        </is>
      </c>
      <c r="C203" s="34" t="inlineStr">
        <is>
          <t>Contractor Programme</t>
        </is>
      </c>
      <c r="D203" s="34" t="inlineStr">
        <is>
          <t>SCH-01-096</t>
        </is>
      </c>
      <c r="E203" s="34" t="inlineStr">
        <is>
          <t>West approach: utility relocation - installation</t>
        </is>
      </c>
      <c r="F203" s="34" t="inlineStr">
        <is>
          <t>ONE_TO_ONE</t>
        </is>
      </c>
      <c r="G203" s="34" t="inlineStr">
        <is>
          <t>APPROVED</t>
        </is>
      </c>
      <c r="H203" s="34" t="inlineStr">
        <is>
          <t>New</t>
        </is>
      </c>
      <c r="I203" s="34" t="inlineStr">
        <is>
          <t>Source assignment -- not individually reviewed</t>
        </is>
      </c>
      <c r="J203" s="39" t="inlineStr"/>
      <c r="K203" s="34" t="inlineStr">
        <is>
          <t>Source assignment</t>
        </is>
      </c>
      <c r="L203" s="39" t="inlineStr"/>
      <c r="M203" s="34" t="inlineStr">
        <is>
          <t>Initial</t>
        </is>
      </c>
      <c r="N203" s="34" t="inlineStr">
        <is>
          <t>Rev 0</t>
        </is>
      </c>
      <c r="O203" s="34" t="inlineStr">
        <is>
          <t>R96-v1</t>
        </is>
      </c>
      <c r="P203" s="39" t="inlineStr"/>
      <c r="Q203" s="14" t="inlineStr"/>
      <c r="R203" s="39" t="inlineStr"/>
      <c r="S203" s="39" t="inlineStr"/>
      <c r="T203" s="39" t="inlineStr"/>
      <c r="U203" s="39" t="inlineStr"/>
      <c r="V203" s="34" t="inlineStr">
        <is>
          <t>WBS Code = 1.1.2</t>
        </is>
      </c>
      <c r="W203" s="14" t="inlineStr"/>
    </row>
    <row r="204" ht="49" customHeight="1">
      <c r="A204" s="34" t="inlineStr">
        <is>
          <t>1.1.2</t>
        </is>
      </c>
      <c r="B204" s="34" t="inlineStr">
        <is>
          <t>Guideway and Civil - Utility &amp; Roadworks</t>
        </is>
      </c>
      <c r="C204" s="34" t="inlineStr">
        <is>
          <t>Contractor Programme</t>
        </is>
      </c>
      <c r="D204" s="34" t="inlineStr">
        <is>
          <t>SCH-01-099</t>
        </is>
      </c>
      <c r="E204" s="34" t="inlineStr">
        <is>
          <t>River crossing: guideway pier reinforcement - release</t>
        </is>
      </c>
      <c r="F204" s="34" t="inlineStr">
        <is>
          <t>ONE_TO_ONE</t>
        </is>
      </c>
      <c r="G204" s="34" t="inlineStr">
        <is>
          <t>APPROVED</t>
        </is>
      </c>
      <c r="H204" s="34" t="inlineStr">
        <is>
          <t>New</t>
        </is>
      </c>
      <c r="I204" s="34" t="inlineStr">
        <is>
          <t>Source assignment -- not individually reviewed</t>
        </is>
      </c>
      <c r="J204" s="39" t="inlineStr"/>
      <c r="K204" s="34" t="inlineStr">
        <is>
          <t>Source assignment</t>
        </is>
      </c>
      <c r="L204" s="39" t="inlineStr"/>
      <c r="M204" s="34" t="inlineStr">
        <is>
          <t>Initial</t>
        </is>
      </c>
      <c r="N204" s="34" t="inlineStr">
        <is>
          <t>Rev 0</t>
        </is>
      </c>
      <c r="O204" s="34" t="inlineStr">
        <is>
          <t>R99-v1</t>
        </is>
      </c>
      <c r="P204" s="39" t="inlineStr"/>
      <c r="Q204" s="14" t="inlineStr"/>
      <c r="R204" s="39" t="inlineStr"/>
      <c r="S204" s="39" t="inlineStr"/>
      <c r="T204" s="39" t="inlineStr"/>
      <c r="U204" s="39" t="inlineStr"/>
      <c r="V204" s="34" t="inlineStr">
        <is>
          <t>WBS Code = 1.1.2</t>
        </is>
      </c>
      <c r="W204" s="14" t="inlineStr"/>
    </row>
    <row r="205" ht="49" customHeight="1">
      <c r="A205" s="34" t="inlineStr">
        <is>
          <t>1.1.2</t>
        </is>
      </c>
      <c r="B205" s="34" t="inlineStr">
        <is>
          <t>Guideway and Civil - Utility &amp; Roadworks</t>
        </is>
      </c>
      <c r="C205" s="34" t="inlineStr">
        <is>
          <t>Contractor Programme</t>
        </is>
      </c>
      <c r="D205" s="34" t="inlineStr">
        <is>
          <t>SCH-01-102</t>
        </is>
      </c>
      <c r="E205" s="34" t="inlineStr">
        <is>
          <t>Depot lead: retaining-wall excavation - inspection</t>
        </is>
      </c>
      <c r="F205" s="34" t="inlineStr">
        <is>
          <t>ONE_TO_ONE</t>
        </is>
      </c>
      <c r="G205" s="34" t="inlineStr">
        <is>
          <t>APPROVED</t>
        </is>
      </c>
      <c r="H205" s="34" t="inlineStr">
        <is>
          <t>New</t>
        </is>
      </c>
      <c r="I205" s="34" t="inlineStr">
        <is>
          <t>Source assignment -- not individually reviewed</t>
        </is>
      </c>
      <c r="J205" s="39" t="inlineStr"/>
      <c r="K205" s="34" t="inlineStr">
        <is>
          <t>Source assignment</t>
        </is>
      </c>
      <c r="L205" s="39" t="inlineStr"/>
      <c r="M205" s="34" t="inlineStr">
        <is>
          <t>Initial</t>
        </is>
      </c>
      <c r="N205" s="34" t="inlineStr">
        <is>
          <t>Rev 0</t>
        </is>
      </c>
      <c r="O205" s="34" t="inlineStr">
        <is>
          <t>R102-v1</t>
        </is>
      </c>
      <c r="P205" s="39" t="inlineStr"/>
      <c r="Q205" s="14" t="inlineStr"/>
      <c r="R205" s="39" t="inlineStr"/>
      <c r="S205" s="39" t="inlineStr"/>
      <c r="T205" s="39" t="inlineStr"/>
      <c r="U205" s="39" t="inlineStr"/>
      <c r="V205" s="34" t="inlineStr">
        <is>
          <t>WBS Code = 1.1.2</t>
        </is>
      </c>
      <c r="W205" s="14" t="inlineStr"/>
    </row>
    <row r="206" ht="49" customHeight="1">
      <c r="A206" s="34" t="inlineStr">
        <is>
          <t>1.1.2</t>
        </is>
      </c>
      <c r="B206" s="34" t="inlineStr">
        <is>
          <t>Guideway and Civil - Utility &amp; Roadworks</t>
        </is>
      </c>
      <c r="C206" s="34" t="inlineStr">
        <is>
          <t>Contractor Programme</t>
        </is>
      </c>
      <c r="D206" s="34" t="inlineStr">
        <is>
          <t>SCH-01-105</t>
        </is>
      </c>
      <c r="E206" s="34" t="inlineStr">
        <is>
          <t>Central guideway: track-slab survey - field start</t>
        </is>
      </c>
      <c r="F206" s="34" t="inlineStr">
        <is>
          <t>ONE_TO_ONE</t>
        </is>
      </c>
      <c r="G206" s="34" t="inlineStr">
        <is>
          <t>APPROVED</t>
        </is>
      </c>
      <c r="H206" s="34" t="inlineStr">
        <is>
          <t>New</t>
        </is>
      </c>
      <c r="I206" s="34" t="inlineStr">
        <is>
          <t>Source assignment -- not individually reviewed</t>
        </is>
      </c>
      <c r="J206" s="39" t="inlineStr"/>
      <c r="K206" s="34" t="inlineStr">
        <is>
          <t>Source assignment</t>
        </is>
      </c>
      <c r="L206" s="39" t="inlineStr"/>
      <c r="M206" s="34" t="inlineStr">
        <is>
          <t>Initial</t>
        </is>
      </c>
      <c r="N206" s="34" t="inlineStr">
        <is>
          <t>Rev 0</t>
        </is>
      </c>
      <c r="O206" s="34" t="inlineStr">
        <is>
          <t>R105-v1</t>
        </is>
      </c>
      <c r="P206" s="39" t="inlineStr"/>
      <c r="Q206" s="14" t="inlineStr"/>
      <c r="R206" s="39" t="inlineStr"/>
      <c r="S206" s="39" t="inlineStr"/>
      <c r="T206" s="39" t="inlineStr"/>
      <c r="U206" s="39" t="inlineStr"/>
      <c r="V206" s="34" t="inlineStr">
        <is>
          <t>WBS Code = 1.1.2</t>
        </is>
      </c>
      <c r="W206" s="14" t="inlineStr"/>
    </row>
    <row r="207" ht="49" customHeight="1">
      <c r="A207" s="34" t="inlineStr">
        <is>
          <t>1.1.2</t>
        </is>
      </c>
      <c r="B207" s="34" t="inlineStr">
        <is>
          <t>Guideway and Civil - Utility &amp; Roadworks</t>
        </is>
      </c>
      <c r="C207" s="34" t="inlineStr">
        <is>
          <t>Contractor Programme</t>
        </is>
      </c>
      <c r="D207" s="34" t="inlineStr">
        <is>
          <t>SCH-01-108</t>
        </is>
      </c>
      <c r="E207" s="34" t="inlineStr">
        <is>
          <t>East portal: road restoration - turnover</t>
        </is>
      </c>
      <c r="F207" s="34" t="inlineStr">
        <is>
          <t>ONE_TO_ONE</t>
        </is>
      </c>
      <c r="G207" s="34" t="inlineStr">
        <is>
          <t>APPROVED</t>
        </is>
      </c>
      <c r="H207" s="34" t="inlineStr">
        <is>
          <t>New</t>
        </is>
      </c>
      <c r="I207" s="34" t="inlineStr">
        <is>
          <t>Source assignment -- not individually reviewed</t>
        </is>
      </c>
      <c r="J207" s="39" t="inlineStr"/>
      <c r="K207" s="34" t="inlineStr">
        <is>
          <t>Source assignment</t>
        </is>
      </c>
      <c r="L207" s="39" t="inlineStr"/>
      <c r="M207" s="34" t="inlineStr">
        <is>
          <t>Initial</t>
        </is>
      </c>
      <c r="N207" s="34" t="inlineStr">
        <is>
          <t>Rev 0</t>
        </is>
      </c>
      <c r="O207" s="34" t="inlineStr">
        <is>
          <t>R108-v1</t>
        </is>
      </c>
      <c r="P207" s="39" t="inlineStr"/>
      <c r="Q207" s="14" t="inlineStr"/>
      <c r="R207" s="39" t="inlineStr"/>
      <c r="S207" s="39" t="inlineStr"/>
      <c r="T207" s="39" t="inlineStr"/>
      <c r="U207" s="39" t="inlineStr"/>
      <c r="V207" s="34" t="inlineStr">
        <is>
          <t>WBS Code = 1.1.2</t>
        </is>
      </c>
      <c r="W207" s="14" t="inlineStr"/>
    </row>
    <row r="208" ht="49" customHeight="1">
      <c r="A208" s="34" t="inlineStr">
        <is>
          <t>1.1.2</t>
        </is>
      </c>
      <c r="B208" s="34" t="inlineStr">
        <is>
          <t>Guideway and Civil - Utility &amp; Roadworks</t>
        </is>
      </c>
      <c r="C208" s="34" t="inlineStr">
        <is>
          <t>Contractor Programme</t>
        </is>
      </c>
      <c r="D208" s="34" t="inlineStr">
        <is>
          <t>SCH-01-111</t>
        </is>
      </c>
      <c r="E208" s="34" t="inlineStr">
        <is>
          <t>West approach: drainage tie-in - installation</t>
        </is>
      </c>
      <c r="F208" s="34" t="inlineStr">
        <is>
          <t>ONE_TO_ONE</t>
        </is>
      </c>
      <c r="G208" s="34" t="inlineStr">
        <is>
          <t>APPROVED</t>
        </is>
      </c>
      <c r="H208" s="34" t="inlineStr">
        <is>
          <t>New</t>
        </is>
      </c>
      <c r="I208" s="34" t="inlineStr">
        <is>
          <t>Source assignment -- not individually reviewed</t>
        </is>
      </c>
      <c r="J208" s="39" t="inlineStr"/>
      <c r="K208" s="34" t="inlineStr">
        <is>
          <t>Source assignment</t>
        </is>
      </c>
      <c r="L208" s="39" t="inlineStr"/>
      <c r="M208" s="34" t="inlineStr">
        <is>
          <t>Initial</t>
        </is>
      </c>
      <c r="N208" s="34" t="inlineStr">
        <is>
          <t>Rev 0</t>
        </is>
      </c>
      <c r="O208" s="34" t="inlineStr">
        <is>
          <t>R111-v1</t>
        </is>
      </c>
      <c r="P208" s="39" t="inlineStr"/>
      <c r="Q208" s="14" t="inlineStr"/>
      <c r="R208" s="39" t="inlineStr"/>
      <c r="S208" s="39" t="inlineStr"/>
      <c r="T208" s="39" t="inlineStr"/>
      <c r="U208" s="39" t="inlineStr"/>
      <c r="V208" s="34" t="inlineStr">
        <is>
          <t>WBS Code = 1.1.2</t>
        </is>
      </c>
      <c r="W208" s="14" t="inlineStr"/>
    </row>
    <row r="209" ht="49" customHeight="1">
      <c r="A209" s="34" t="inlineStr">
        <is>
          <t>1.1.2</t>
        </is>
      </c>
      <c r="B209" s="34" t="inlineStr">
        <is>
          <t>Guideway and Civil - Utility &amp; Roadworks</t>
        </is>
      </c>
      <c r="C209" s="34" t="inlineStr">
        <is>
          <t>Contractor Programme</t>
        </is>
      </c>
      <c r="D209" s="34" t="inlineStr">
        <is>
          <t>SCH-01-114</t>
        </is>
      </c>
      <c r="E209" s="34" t="inlineStr">
        <is>
          <t>River crossing: temporary traffic staging - release</t>
        </is>
      </c>
      <c r="F209" s="34" t="inlineStr">
        <is>
          <t>ONE_TO_ONE</t>
        </is>
      </c>
      <c r="G209" s="34" t="inlineStr">
        <is>
          <t>APPROVED</t>
        </is>
      </c>
      <c r="H209" s="34" t="inlineStr">
        <is>
          <t>New</t>
        </is>
      </c>
      <c r="I209" s="34" t="inlineStr">
        <is>
          <t>Source assignment -- not individually reviewed</t>
        </is>
      </c>
      <c r="J209" s="39" t="inlineStr"/>
      <c r="K209" s="34" t="inlineStr">
        <is>
          <t>Source assignment</t>
        </is>
      </c>
      <c r="L209" s="39" t="inlineStr"/>
      <c r="M209" s="34" t="inlineStr">
        <is>
          <t>Initial</t>
        </is>
      </c>
      <c r="N209" s="34" t="inlineStr">
        <is>
          <t>Rev 0</t>
        </is>
      </c>
      <c r="O209" s="34" t="inlineStr">
        <is>
          <t>R114-v1</t>
        </is>
      </c>
      <c r="P209" s="39" t="inlineStr"/>
      <c r="Q209" s="14" t="inlineStr"/>
      <c r="R209" s="39" t="inlineStr"/>
      <c r="S209" s="39" t="inlineStr"/>
      <c r="T209" s="39" t="inlineStr"/>
      <c r="U209" s="39" t="inlineStr"/>
      <c r="V209" s="34" t="inlineStr">
        <is>
          <t>WBS Code = 1.1.2</t>
        </is>
      </c>
      <c r="W209" s="14" t="inlineStr"/>
    </row>
    <row r="210" ht="49" customHeight="1">
      <c r="A210" s="34" t="inlineStr">
        <is>
          <t>1.1.2</t>
        </is>
      </c>
      <c r="B210" s="34" t="inlineStr">
        <is>
          <t>Guideway and Civil - Utility &amp; Roadworks</t>
        </is>
      </c>
      <c r="C210" s="34" t="inlineStr">
        <is>
          <t>Contractor Programme</t>
        </is>
      </c>
      <c r="D210" s="34" t="inlineStr">
        <is>
          <t>SCH-01-117</t>
        </is>
      </c>
      <c r="E210" s="34" t="inlineStr">
        <is>
          <t>Depot lead: drilled-shaft installation - inspection</t>
        </is>
      </c>
      <c r="F210" s="34" t="inlineStr">
        <is>
          <t>ONE_TO_ONE</t>
        </is>
      </c>
      <c r="G210" s="34" t="inlineStr">
        <is>
          <t>APPROVED</t>
        </is>
      </c>
      <c r="H210" s="34" t="inlineStr">
        <is>
          <t>New</t>
        </is>
      </c>
      <c r="I210" s="34" t="inlineStr">
        <is>
          <t>Source assignment -- not individually reviewed</t>
        </is>
      </c>
      <c r="J210" s="39" t="inlineStr"/>
      <c r="K210" s="34" t="inlineStr">
        <is>
          <t>Source assignment</t>
        </is>
      </c>
      <c r="L210" s="39" t="inlineStr"/>
      <c r="M210" s="34" t="inlineStr">
        <is>
          <t>Initial</t>
        </is>
      </c>
      <c r="N210" s="34" t="inlineStr">
        <is>
          <t>Rev 0</t>
        </is>
      </c>
      <c r="O210" s="34" t="inlineStr">
        <is>
          <t>R117-v1</t>
        </is>
      </c>
      <c r="P210" s="39" t="inlineStr"/>
      <c r="Q210" s="14" t="inlineStr"/>
      <c r="R210" s="39" t="inlineStr"/>
      <c r="S210" s="39" t="inlineStr"/>
      <c r="T210" s="39" t="inlineStr"/>
      <c r="U210" s="39" t="inlineStr"/>
      <c r="V210" s="34" t="inlineStr">
        <is>
          <t>WBS Code = 1.1.2</t>
        </is>
      </c>
      <c r="W210" s="14" t="inlineStr"/>
    </row>
    <row r="211" ht="49" customHeight="1">
      <c r="A211" s="34" t="inlineStr">
        <is>
          <t>1.1.2</t>
        </is>
      </c>
      <c r="B211" s="34" t="inlineStr">
        <is>
          <t>Guideway and Civil - Utility &amp; Roadworks</t>
        </is>
      </c>
      <c r="C211" s="34" t="inlineStr">
        <is>
          <t>Contractor Programme</t>
        </is>
      </c>
      <c r="D211" s="34" t="inlineStr">
        <is>
          <t>SCH-01-120</t>
        </is>
      </c>
      <c r="E211" s="34" t="inlineStr">
        <is>
          <t>Central guideway: utility relocation - field start</t>
        </is>
      </c>
      <c r="F211" s="34" t="inlineStr">
        <is>
          <t>ONE_TO_ONE</t>
        </is>
      </c>
      <c r="G211" s="34" t="inlineStr">
        <is>
          <t>APPROVED</t>
        </is>
      </c>
      <c r="H211" s="34" t="inlineStr">
        <is>
          <t>New</t>
        </is>
      </c>
      <c r="I211" s="34" t="inlineStr">
        <is>
          <t>Source assignment -- not individually reviewed</t>
        </is>
      </c>
      <c r="J211" s="39" t="inlineStr"/>
      <c r="K211" s="34" t="inlineStr">
        <is>
          <t>Source assignment</t>
        </is>
      </c>
      <c r="L211" s="39" t="inlineStr"/>
      <c r="M211" s="34" t="inlineStr">
        <is>
          <t>Initial</t>
        </is>
      </c>
      <c r="N211" s="34" t="inlineStr">
        <is>
          <t>Rev 0</t>
        </is>
      </c>
      <c r="O211" s="34" t="inlineStr">
        <is>
          <t>R120-v1</t>
        </is>
      </c>
      <c r="P211" s="39" t="inlineStr"/>
      <c r="Q211" s="14" t="inlineStr"/>
      <c r="R211" s="39" t="inlineStr"/>
      <c r="S211" s="39" t="inlineStr"/>
      <c r="T211" s="39" t="inlineStr"/>
      <c r="U211" s="39" t="inlineStr"/>
      <c r="V211" s="34" t="inlineStr">
        <is>
          <t>WBS Code = 1.1.2</t>
        </is>
      </c>
      <c r="W211" s="14" t="inlineStr"/>
    </row>
    <row r="212" ht="49" customHeight="1">
      <c r="A212" s="34" t="inlineStr">
        <is>
          <t>1.1.2</t>
        </is>
      </c>
      <c r="B212" s="34" t="inlineStr">
        <is>
          <t>Guideway and Civil - Utility &amp; Roadworks</t>
        </is>
      </c>
      <c r="C212" s="34" t="inlineStr">
        <is>
          <t>Contractor Programme</t>
        </is>
      </c>
      <c r="D212" s="34" t="inlineStr">
        <is>
          <t>SCH-01-123</t>
        </is>
      </c>
      <c r="E212" s="34" t="inlineStr">
        <is>
          <t>East portal: guideway pier reinforcement - turnover</t>
        </is>
      </c>
      <c r="F212" s="34" t="inlineStr">
        <is>
          <t>ONE_TO_ONE</t>
        </is>
      </c>
      <c r="G212" s="34" t="inlineStr">
        <is>
          <t>APPROVED</t>
        </is>
      </c>
      <c r="H212" s="34" t="inlineStr">
        <is>
          <t>New</t>
        </is>
      </c>
      <c r="I212" s="34" t="inlineStr">
        <is>
          <t>Source assignment -- not individually reviewed</t>
        </is>
      </c>
      <c r="J212" s="39" t="inlineStr"/>
      <c r="K212" s="34" t="inlineStr">
        <is>
          <t>Source assignment</t>
        </is>
      </c>
      <c r="L212" s="39" t="inlineStr"/>
      <c r="M212" s="34" t="inlineStr">
        <is>
          <t>Initial</t>
        </is>
      </c>
      <c r="N212" s="34" t="inlineStr">
        <is>
          <t>Rev 0</t>
        </is>
      </c>
      <c r="O212" s="34" t="inlineStr">
        <is>
          <t>R123-v1</t>
        </is>
      </c>
      <c r="P212" s="39" t="inlineStr"/>
      <c r="Q212" s="14" t="inlineStr"/>
      <c r="R212" s="39" t="inlineStr"/>
      <c r="S212" s="39" t="inlineStr"/>
      <c r="T212" s="39" t="inlineStr"/>
      <c r="U212" s="39" t="inlineStr"/>
      <c r="V212" s="34" t="inlineStr">
        <is>
          <t>WBS Code = 1.1.2</t>
        </is>
      </c>
      <c r="W212" s="14" t="inlineStr"/>
    </row>
    <row r="213" ht="49" customHeight="1">
      <c r="A213" s="34" t="inlineStr">
        <is>
          <t>1.1.2</t>
        </is>
      </c>
      <c r="B213" s="34" t="inlineStr">
        <is>
          <t>Guideway and Civil - Utility &amp; Roadworks</t>
        </is>
      </c>
      <c r="C213" s="34" t="inlineStr">
        <is>
          <t>Contractor Programme</t>
        </is>
      </c>
      <c r="D213" s="34" t="inlineStr">
        <is>
          <t>SCH-01-126</t>
        </is>
      </c>
      <c r="E213" s="34" t="inlineStr">
        <is>
          <t>West approach: retaining-wall excavation - installation</t>
        </is>
      </c>
      <c r="F213" s="34" t="inlineStr">
        <is>
          <t>ONE_TO_ONE</t>
        </is>
      </c>
      <c r="G213" s="34" t="inlineStr">
        <is>
          <t>APPROVED</t>
        </is>
      </c>
      <c r="H213" s="34" t="inlineStr">
        <is>
          <t>New</t>
        </is>
      </c>
      <c r="I213" s="34" t="inlineStr">
        <is>
          <t>Source assignment -- not individually reviewed</t>
        </is>
      </c>
      <c r="J213" s="39" t="inlineStr"/>
      <c r="K213" s="34" t="inlineStr">
        <is>
          <t>Source assignment</t>
        </is>
      </c>
      <c r="L213" s="39" t="inlineStr"/>
      <c r="M213" s="34" t="inlineStr">
        <is>
          <t>Initial</t>
        </is>
      </c>
      <c r="N213" s="34" t="inlineStr">
        <is>
          <t>Rev 0</t>
        </is>
      </c>
      <c r="O213" s="34" t="inlineStr">
        <is>
          <t>R126-v1</t>
        </is>
      </c>
      <c r="P213" s="39" t="inlineStr"/>
      <c r="Q213" s="14" t="inlineStr"/>
      <c r="R213" s="39" t="inlineStr"/>
      <c r="S213" s="39" t="inlineStr"/>
      <c r="T213" s="39" t="inlineStr"/>
      <c r="U213" s="39" t="inlineStr"/>
      <c r="V213" s="34" t="inlineStr">
        <is>
          <t>WBS Code = 1.1.2</t>
        </is>
      </c>
      <c r="W213" s="14" t="inlineStr"/>
    </row>
    <row r="214" ht="49" customHeight="1">
      <c r="A214" s="34" t="inlineStr">
        <is>
          <t>1.1.2</t>
        </is>
      </c>
      <c r="B214" s="34" t="inlineStr">
        <is>
          <t>Guideway and Civil - Utility &amp; Roadworks</t>
        </is>
      </c>
      <c r="C214" s="34" t="inlineStr">
        <is>
          <t>Contractor Programme</t>
        </is>
      </c>
      <c r="D214" s="34" t="inlineStr">
        <is>
          <t>SCH-01-129</t>
        </is>
      </c>
      <c r="E214" s="34" t="inlineStr">
        <is>
          <t>River crossing: track-slab survey - release</t>
        </is>
      </c>
      <c r="F214" s="34" t="inlineStr">
        <is>
          <t>ONE_TO_ONE</t>
        </is>
      </c>
      <c r="G214" s="34" t="inlineStr">
        <is>
          <t>APPROVED</t>
        </is>
      </c>
      <c r="H214" s="34" t="inlineStr">
        <is>
          <t>New</t>
        </is>
      </c>
      <c r="I214" s="34" t="inlineStr">
        <is>
          <t>Source assignment -- not individually reviewed</t>
        </is>
      </c>
      <c r="J214" s="39" t="inlineStr"/>
      <c r="K214" s="34" t="inlineStr">
        <is>
          <t>Source assignment</t>
        </is>
      </c>
      <c r="L214" s="39" t="inlineStr"/>
      <c r="M214" s="34" t="inlineStr">
        <is>
          <t>Initial</t>
        </is>
      </c>
      <c r="N214" s="34" t="inlineStr">
        <is>
          <t>Rev 0</t>
        </is>
      </c>
      <c r="O214" s="34" t="inlineStr">
        <is>
          <t>R129-v1</t>
        </is>
      </c>
      <c r="P214" s="39" t="inlineStr"/>
      <c r="Q214" s="14" t="inlineStr"/>
      <c r="R214" s="39" t="inlineStr"/>
      <c r="S214" s="39" t="inlineStr"/>
      <c r="T214" s="39" t="inlineStr"/>
      <c r="U214" s="39" t="inlineStr"/>
      <c r="V214" s="34" t="inlineStr">
        <is>
          <t>WBS Code = 1.1.2</t>
        </is>
      </c>
      <c r="W214" s="14" t="inlineStr"/>
    </row>
    <row r="215" ht="49" customHeight="1">
      <c r="A215" s="34" t="inlineStr">
        <is>
          <t>1.1.2</t>
        </is>
      </c>
      <c r="B215" s="34" t="inlineStr">
        <is>
          <t>Guideway and Civil - Utility &amp; Roadworks</t>
        </is>
      </c>
      <c r="C215" s="34" t="inlineStr">
        <is>
          <t>Contractor Programme</t>
        </is>
      </c>
      <c r="D215" s="34" t="inlineStr">
        <is>
          <t>SCH-01-132</t>
        </is>
      </c>
      <c r="E215" s="34" t="inlineStr">
        <is>
          <t>Depot lead: road restoration - inspection</t>
        </is>
      </c>
      <c r="F215" s="34" t="inlineStr">
        <is>
          <t>ONE_TO_ONE</t>
        </is>
      </c>
      <c r="G215" s="34" t="inlineStr">
        <is>
          <t>APPROVED</t>
        </is>
      </c>
      <c r="H215" s="34" t="inlineStr">
        <is>
          <t>New</t>
        </is>
      </c>
      <c r="I215" s="34" t="inlineStr">
        <is>
          <t>Source assignment -- not individually reviewed</t>
        </is>
      </c>
      <c r="J215" s="39" t="inlineStr"/>
      <c r="K215" s="34" t="inlineStr">
        <is>
          <t>Source assignment</t>
        </is>
      </c>
      <c r="L215" s="39" t="inlineStr"/>
      <c r="M215" s="34" t="inlineStr">
        <is>
          <t>Initial</t>
        </is>
      </c>
      <c r="N215" s="34" t="inlineStr">
        <is>
          <t>Rev 0</t>
        </is>
      </c>
      <c r="O215" s="34" t="inlineStr">
        <is>
          <t>R132-v1</t>
        </is>
      </c>
      <c r="P215" s="39" t="inlineStr"/>
      <c r="Q215" s="14" t="inlineStr"/>
      <c r="R215" s="39" t="inlineStr"/>
      <c r="S215" s="39" t="inlineStr"/>
      <c r="T215" s="39" t="inlineStr"/>
      <c r="U215" s="39" t="inlineStr"/>
      <c r="V215" s="34" t="inlineStr">
        <is>
          <t>WBS Code = 1.1.2</t>
        </is>
      </c>
      <c r="W215" s="14" t="inlineStr"/>
    </row>
    <row r="216" ht="49" customHeight="1">
      <c r="A216" s="34" t="inlineStr">
        <is>
          <t>1.1.2</t>
        </is>
      </c>
      <c r="B216" s="34" t="inlineStr">
        <is>
          <t>Guideway and Civil - Utility &amp; Roadworks</t>
        </is>
      </c>
      <c r="C216" s="34" t="inlineStr">
        <is>
          <t>Contractor Programme</t>
        </is>
      </c>
      <c r="D216" s="34" t="inlineStr">
        <is>
          <t>SCH-01-135</t>
        </is>
      </c>
      <c r="E216" s="34" t="inlineStr">
        <is>
          <t>Central guideway: drainage tie-in - field start</t>
        </is>
      </c>
      <c r="F216" s="34" t="inlineStr">
        <is>
          <t>ONE_TO_ONE</t>
        </is>
      </c>
      <c r="G216" s="34" t="inlineStr">
        <is>
          <t>APPROVED</t>
        </is>
      </c>
      <c r="H216" s="34" t="inlineStr">
        <is>
          <t>New</t>
        </is>
      </c>
      <c r="I216" s="34" t="inlineStr">
        <is>
          <t>Source assignment -- not individually reviewed</t>
        </is>
      </c>
      <c r="J216" s="39" t="inlineStr"/>
      <c r="K216" s="34" t="inlineStr">
        <is>
          <t>Source assignment</t>
        </is>
      </c>
      <c r="L216" s="39" t="inlineStr"/>
      <c r="M216" s="34" t="inlineStr">
        <is>
          <t>Initial</t>
        </is>
      </c>
      <c r="N216" s="34" t="inlineStr">
        <is>
          <t>Rev 0</t>
        </is>
      </c>
      <c r="O216" s="34" t="inlineStr">
        <is>
          <t>R135-v1</t>
        </is>
      </c>
      <c r="P216" s="39" t="inlineStr"/>
      <c r="Q216" s="14" t="inlineStr"/>
      <c r="R216" s="39" t="inlineStr"/>
      <c r="S216" s="39" t="inlineStr"/>
      <c r="T216" s="39" t="inlineStr"/>
      <c r="U216" s="39" t="inlineStr"/>
      <c r="V216" s="34" t="inlineStr">
        <is>
          <t>WBS Code = 1.1.2</t>
        </is>
      </c>
      <c r="W216" s="14" t="inlineStr"/>
    </row>
    <row r="217" ht="49" customHeight="1">
      <c r="A217" s="34" t="inlineStr">
        <is>
          <t>1.1.2</t>
        </is>
      </c>
      <c r="B217" s="34" t="inlineStr">
        <is>
          <t>Guideway and Civil - Utility &amp; Roadworks</t>
        </is>
      </c>
      <c r="C217" s="34" t="inlineStr">
        <is>
          <t>Contractor Programme</t>
        </is>
      </c>
      <c r="D217" s="34" t="inlineStr">
        <is>
          <t>SCH-01-138</t>
        </is>
      </c>
      <c r="E217" s="34" t="inlineStr">
        <is>
          <t>East portal: temporary traffic staging - turnover</t>
        </is>
      </c>
      <c r="F217" s="34" t="inlineStr">
        <is>
          <t>ONE_TO_ONE</t>
        </is>
      </c>
      <c r="G217" s="34" t="inlineStr">
        <is>
          <t>APPROVED</t>
        </is>
      </c>
      <c r="H217" s="34" t="inlineStr">
        <is>
          <t>New</t>
        </is>
      </c>
      <c r="I217" s="34" t="inlineStr">
        <is>
          <t>Source assignment -- not individually reviewed</t>
        </is>
      </c>
      <c r="J217" s="39" t="inlineStr"/>
      <c r="K217" s="34" t="inlineStr">
        <is>
          <t>Source assignment</t>
        </is>
      </c>
      <c r="L217" s="39" t="inlineStr"/>
      <c r="M217" s="34" t="inlineStr">
        <is>
          <t>Initial</t>
        </is>
      </c>
      <c r="N217" s="34" t="inlineStr">
        <is>
          <t>Rev 0</t>
        </is>
      </c>
      <c r="O217" s="34" t="inlineStr">
        <is>
          <t>R138-v1</t>
        </is>
      </c>
      <c r="P217" s="39" t="inlineStr"/>
      <c r="Q217" s="14" t="inlineStr"/>
      <c r="R217" s="39" t="inlineStr"/>
      <c r="S217" s="39" t="inlineStr"/>
      <c r="T217" s="39" t="inlineStr"/>
      <c r="U217" s="39" t="inlineStr"/>
      <c r="V217" s="34" t="inlineStr">
        <is>
          <t>WBS Code = 1.1.2</t>
        </is>
      </c>
      <c r="W217" s="14" t="inlineStr"/>
    </row>
    <row r="218" ht="49" customHeight="1">
      <c r="A218" s="34" t="inlineStr">
        <is>
          <t>1.1.2</t>
        </is>
      </c>
      <c r="B218" s="34" t="inlineStr">
        <is>
          <t>Guideway and Civil - Utility &amp; Roadworks</t>
        </is>
      </c>
      <c r="C218" s="34" t="inlineStr">
        <is>
          <t>Contractor Programme</t>
        </is>
      </c>
      <c r="D218" s="34" t="inlineStr">
        <is>
          <t>SCH-01-141</t>
        </is>
      </c>
      <c r="E218" s="34" t="inlineStr">
        <is>
          <t>West approach: drilled-shaft installation - installation</t>
        </is>
      </c>
      <c r="F218" s="34" t="inlineStr">
        <is>
          <t>ONE_TO_ONE</t>
        </is>
      </c>
      <c r="G218" s="34" t="inlineStr">
        <is>
          <t>APPROVED</t>
        </is>
      </c>
      <c r="H218" s="34" t="inlineStr">
        <is>
          <t>New</t>
        </is>
      </c>
      <c r="I218" s="34" t="inlineStr">
        <is>
          <t>Source assignment -- not individually reviewed</t>
        </is>
      </c>
      <c r="J218" s="39" t="inlineStr"/>
      <c r="K218" s="34" t="inlineStr">
        <is>
          <t>Source assignment</t>
        </is>
      </c>
      <c r="L218" s="39" t="inlineStr"/>
      <c r="M218" s="34" t="inlineStr">
        <is>
          <t>Initial</t>
        </is>
      </c>
      <c r="N218" s="34" t="inlineStr">
        <is>
          <t>Rev 0</t>
        </is>
      </c>
      <c r="O218" s="34" t="inlineStr">
        <is>
          <t>R141-v1</t>
        </is>
      </c>
      <c r="P218" s="39" t="inlineStr"/>
      <c r="Q218" s="14" t="inlineStr"/>
      <c r="R218" s="39" t="inlineStr"/>
      <c r="S218" s="39" t="inlineStr"/>
      <c r="T218" s="39" t="inlineStr"/>
      <c r="U218" s="39" t="inlineStr"/>
      <c r="V218" s="34" t="inlineStr">
        <is>
          <t>WBS Code = 1.1.2</t>
        </is>
      </c>
      <c r="W218" s="14" t="inlineStr"/>
    </row>
    <row r="219" ht="49" customHeight="1">
      <c r="A219" s="34" t="inlineStr">
        <is>
          <t>1.1.2</t>
        </is>
      </c>
      <c r="B219" s="34" t="inlineStr">
        <is>
          <t>Guideway and Civil - Utility &amp; Roadworks</t>
        </is>
      </c>
      <c r="C219" s="34" t="inlineStr">
        <is>
          <t>Contractor Programme</t>
        </is>
      </c>
      <c r="D219" s="34" t="inlineStr">
        <is>
          <t>SCH-01-144</t>
        </is>
      </c>
      <c r="E219" s="34" t="inlineStr">
        <is>
          <t>River crossing: utility relocation - release</t>
        </is>
      </c>
      <c r="F219" s="34" t="inlineStr">
        <is>
          <t>ONE_TO_ONE</t>
        </is>
      </c>
      <c r="G219" s="34" t="inlineStr">
        <is>
          <t>APPROVED</t>
        </is>
      </c>
      <c r="H219" s="34" t="inlineStr">
        <is>
          <t>New</t>
        </is>
      </c>
      <c r="I219" s="34" t="inlineStr">
        <is>
          <t>Source assignment -- not individually reviewed</t>
        </is>
      </c>
      <c r="J219" s="39" t="inlineStr"/>
      <c r="K219" s="34" t="inlineStr">
        <is>
          <t>Source assignment</t>
        </is>
      </c>
      <c r="L219" s="39" t="inlineStr"/>
      <c r="M219" s="34" t="inlineStr">
        <is>
          <t>Initial</t>
        </is>
      </c>
      <c r="N219" s="34" t="inlineStr">
        <is>
          <t>Rev 0</t>
        </is>
      </c>
      <c r="O219" s="34" t="inlineStr">
        <is>
          <t>R144-v1</t>
        </is>
      </c>
      <c r="P219" s="39" t="inlineStr"/>
      <c r="Q219" s="14" t="inlineStr"/>
      <c r="R219" s="39" t="inlineStr"/>
      <c r="S219" s="39" t="inlineStr"/>
      <c r="T219" s="39" t="inlineStr"/>
      <c r="U219" s="39" t="inlineStr"/>
      <c r="V219" s="34" t="inlineStr">
        <is>
          <t>WBS Code = 1.1.2</t>
        </is>
      </c>
      <c r="W219" s="14" t="inlineStr"/>
    </row>
    <row r="220" ht="49" customHeight="1">
      <c r="A220" s="34" t="inlineStr">
        <is>
          <t>1.1.2</t>
        </is>
      </c>
      <c r="B220" s="34" t="inlineStr">
        <is>
          <t>Guideway and Civil - Utility &amp; Roadworks</t>
        </is>
      </c>
      <c r="C220" s="34" t="inlineStr">
        <is>
          <t>Contractor Programme</t>
        </is>
      </c>
      <c r="D220" s="34" t="inlineStr">
        <is>
          <t>SCH-01-147</t>
        </is>
      </c>
      <c r="E220" s="34" t="inlineStr">
        <is>
          <t>Depot lead: guideway pier reinforcement - inspection</t>
        </is>
      </c>
      <c r="F220" s="34" t="inlineStr">
        <is>
          <t>ONE_TO_ONE</t>
        </is>
      </c>
      <c r="G220" s="34" t="inlineStr">
        <is>
          <t>APPROVED</t>
        </is>
      </c>
      <c r="H220" s="34" t="inlineStr">
        <is>
          <t>New</t>
        </is>
      </c>
      <c r="I220" s="34" t="inlineStr">
        <is>
          <t>Source assignment -- not individually reviewed</t>
        </is>
      </c>
      <c r="J220" s="39" t="inlineStr"/>
      <c r="K220" s="34" t="inlineStr">
        <is>
          <t>Source assignment</t>
        </is>
      </c>
      <c r="L220" s="39" t="inlineStr"/>
      <c r="M220" s="34" t="inlineStr">
        <is>
          <t>Initial</t>
        </is>
      </c>
      <c r="N220" s="34" t="inlineStr">
        <is>
          <t>Rev 0</t>
        </is>
      </c>
      <c r="O220" s="34" t="inlineStr">
        <is>
          <t>R147-v1</t>
        </is>
      </c>
      <c r="P220" s="39" t="inlineStr"/>
      <c r="Q220" s="14" t="inlineStr"/>
      <c r="R220" s="39" t="inlineStr"/>
      <c r="S220" s="39" t="inlineStr"/>
      <c r="T220" s="39" t="inlineStr"/>
      <c r="U220" s="39" t="inlineStr"/>
      <c r="V220" s="34" t="inlineStr">
        <is>
          <t>WBS Code = 1.1.2</t>
        </is>
      </c>
      <c r="W220" s="14" t="inlineStr"/>
    </row>
    <row r="221" ht="49" customHeight="1">
      <c r="A221" s="34" t="inlineStr">
        <is>
          <t>1.1.2</t>
        </is>
      </c>
      <c r="B221" s="34" t="inlineStr">
        <is>
          <t>Guideway and Civil - Utility &amp; Roadworks</t>
        </is>
      </c>
      <c r="C221" s="34" t="inlineStr">
        <is>
          <t>Contractor Programme</t>
        </is>
      </c>
      <c r="D221" s="34" t="inlineStr">
        <is>
          <t>SCH-01-150</t>
        </is>
      </c>
      <c r="E221" s="34" t="inlineStr">
        <is>
          <t>Central guideway: retaining-wall excavation - field start</t>
        </is>
      </c>
      <c r="F221" s="34" t="inlineStr">
        <is>
          <t>ONE_TO_ONE</t>
        </is>
      </c>
      <c r="G221" s="34" t="inlineStr">
        <is>
          <t>APPROVED</t>
        </is>
      </c>
      <c r="H221" s="34" t="inlineStr">
        <is>
          <t>New</t>
        </is>
      </c>
      <c r="I221" s="34" t="inlineStr">
        <is>
          <t>Source assignment -- not individually reviewed</t>
        </is>
      </c>
      <c r="J221" s="39" t="inlineStr"/>
      <c r="K221" s="34" t="inlineStr">
        <is>
          <t>Source assignment</t>
        </is>
      </c>
      <c r="L221" s="39" t="inlineStr"/>
      <c r="M221" s="34" t="inlineStr">
        <is>
          <t>Initial</t>
        </is>
      </c>
      <c r="N221" s="34" t="inlineStr">
        <is>
          <t>Rev 0</t>
        </is>
      </c>
      <c r="O221" s="34" t="inlineStr">
        <is>
          <t>R150-v1</t>
        </is>
      </c>
      <c r="P221" s="39" t="inlineStr"/>
      <c r="Q221" s="14" t="inlineStr"/>
      <c r="R221" s="39" t="inlineStr"/>
      <c r="S221" s="39" t="inlineStr"/>
      <c r="T221" s="39" t="inlineStr"/>
      <c r="U221" s="39" t="inlineStr"/>
      <c r="V221" s="34" t="inlineStr">
        <is>
          <t>WBS Code = 1.1.2</t>
        </is>
      </c>
      <c r="W221" s="14" t="inlineStr"/>
    </row>
    <row r="222" ht="49" customHeight="1">
      <c r="A222" s="34" t="inlineStr">
        <is>
          <t>1.1.2</t>
        </is>
      </c>
      <c r="B222" s="34" t="inlineStr">
        <is>
          <t>Guideway and Civil - Utility &amp; Roadworks</t>
        </is>
      </c>
      <c r="C222" s="34" t="inlineStr">
        <is>
          <t>Contractor Programme</t>
        </is>
      </c>
      <c r="D222" s="34" t="inlineStr">
        <is>
          <t>SCH-01-153</t>
        </is>
      </c>
      <c r="E222" s="34" t="inlineStr">
        <is>
          <t>East portal: track-slab survey - turnover</t>
        </is>
      </c>
      <c r="F222" s="34" t="inlineStr">
        <is>
          <t>ONE_TO_ONE</t>
        </is>
      </c>
      <c r="G222" s="34" t="inlineStr">
        <is>
          <t>APPROVED</t>
        </is>
      </c>
      <c r="H222" s="34" t="inlineStr">
        <is>
          <t>New</t>
        </is>
      </c>
      <c r="I222" s="34" t="inlineStr">
        <is>
          <t>Source assignment -- not individually reviewed</t>
        </is>
      </c>
      <c r="J222" s="39" t="inlineStr"/>
      <c r="K222" s="34" t="inlineStr">
        <is>
          <t>Source assignment</t>
        </is>
      </c>
      <c r="L222" s="39" t="inlineStr"/>
      <c r="M222" s="34" t="inlineStr">
        <is>
          <t>Initial</t>
        </is>
      </c>
      <c r="N222" s="34" t="inlineStr">
        <is>
          <t>Rev 0</t>
        </is>
      </c>
      <c r="O222" s="34" t="inlineStr">
        <is>
          <t>R153-v1</t>
        </is>
      </c>
      <c r="P222" s="39" t="inlineStr"/>
      <c r="Q222" s="14" t="inlineStr"/>
      <c r="R222" s="39" t="inlineStr"/>
      <c r="S222" s="39" t="inlineStr"/>
      <c r="T222" s="39" t="inlineStr"/>
      <c r="U222" s="39" t="inlineStr"/>
      <c r="V222" s="34" t="inlineStr">
        <is>
          <t>WBS Code = 1.1.2</t>
        </is>
      </c>
      <c r="W222" s="14" t="inlineStr"/>
    </row>
    <row r="223" ht="49" customHeight="1">
      <c r="A223" s="34" t="inlineStr">
        <is>
          <t>1.1.2</t>
        </is>
      </c>
      <c r="B223" s="34" t="inlineStr">
        <is>
          <t>Guideway and Civil - Utility &amp; Roadworks</t>
        </is>
      </c>
      <c r="C223" s="34" t="inlineStr">
        <is>
          <t>Contractor Programme</t>
        </is>
      </c>
      <c r="D223" s="34" t="inlineStr">
        <is>
          <t>SCH-01-156</t>
        </is>
      </c>
      <c r="E223" s="34" t="inlineStr">
        <is>
          <t>West approach: road restoration - installation</t>
        </is>
      </c>
      <c r="F223" s="34" t="inlineStr">
        <is>
          <t>ONE_TO_ONE</t>
        </is>
      </c>
      <c r="G223" s="34" t="inlineStr">
        <is>
          <t>APPROVED</t>
        </is>
      </c>
      <c r="H223" s="34" t="inlineStr">
        <is>
          <t>New</t>
        </is>
      </c>
      <c r="I223" s="34" t="inlineStr">
        <is>
          <t>Source assignment -- not individually reviewed</t>
        </is>
      </c>
      <c r="J223" s="39" t="inlineStr"/>
      <c r="K223" s="34" t="inlineStr">
        <is>
          <t>Source assignment</t>
        </is>
      </c>
      <c r="L223" s="39" t="inlineStr"/>
      <c r="M223" s="34" t="inlineStr">
        <is>
          <t>Initial</t>
        </is>
      </c>
      <c r="N223" s="34" t="inlineStr">
        <is>
          <t>Rev 0</t>
        </is>
      </c>
      <c r="O223" s="34" t="inlineStr">
        <is>
          <t>R156-v1</t>
        </is>
      </c>
      <c r="P223" s="39" t="inlineStr"/>
      <c r="Q223" s="14" t="inlineStr"/>
      <c r="R223" s="39" t="inlineStr"/>
      <c r="S223" s="39" t="inlineStr"/>
      <c r="T223" s="39" t="inlineStr"/>
      <c r="U223" s="39" t="inlineStr"/>
      <c r="V223" s="34" t="inlineStr">
        <is>
          <t>WBS Code = 1.1.2</t>
        </is>
      </c>
      <c r="W223" s="14" t="inlineStr"/>
    </row>
    <row r="224" ht="49" customHeight="1">
      <c r="A224" s="34" t="inlineStr">
        <is>
          <t>1.1.2</t>
        </is>
      </c>
      <c r="B224" s="34" t="inlineStr">
        <is>
          <t>Guideway and Civil - Utility &amp; Roadworks</t>
        </is>
      </c>
      <c r="C224" s="34" t="inlineStr">
        <is>
          <t>Contractor Programme</t>
        </is>
      </c>
      <c r="D224" s="34" t="inlineStr">
        <is>
          <t>SCH-01-159</t>
        </is>
      </c>
      <c r="E224" s="34" t="inlineStr">
        <is>
          <t>River crossing: drainage tie-in - release</t>
        </is>
      </c>
      <c r="F224" s="34" t="inlineStr">
        <is>
          <t>ONE_TO_ONE</t>
        </is>
      </c>
      <c r="G224" s="34" t="inlineStr">
        <is>
          <t>APPROVED</t>
        </is>
      </c>
      <c r="H224" s="34" t="inlineStr">
        <is>
          <t>New</t>
        </is>
      </c>
      <c r="I224" s="34" t="inlineStr">
        <is>
          <t>Source assignment -- not individually reviewed</t>
        </is>
      </c>
      <c r="J224" s="39" t="inlineStr"/>
      <c r="K224" s="34" t="inlineStr">
        <is>
          <t>Source assignment</t>
        </is>
      </c>
      <c r="L224" s="39" t="inlineStr"/>
      <c r="M224" s="34" t="inlineStr">
        <is>
          <t>Initial</t>
        </is>
      </c>
      <c r="N224" s="34" t="inlineStr">
        <is>
          <t>Rev 0</t>
        </is>
      </c>
      <c r="O224" s="34" t="inlineStr">
        <is>
          <t>R159-v1</t>
        </is>
      </c>
      <c r="P224" s="39" t="inlineStr"/>
      <c r="Q224" s="14" t="inlineStr"/>
      <c r="R224" s="39" t="inlineStr"/>
      <c r="S224" s="39" t="inlineStr"/>
      <c r="T224" s="39" t="inlineStr"/>
      <c r="U224" s="39" t="inlineStr"/>
      <c r="V224" s="34" t="inlineStr">
        <is>
          <t>WBS Code = 1.1.2</t>
        </is>
      </c>
      <c r="W224" s="14" t="inlineStr"/>
    </row>
    <row r="225" ht="49" customHeight="1">
      <c r="A225" s="34" t="inlineStr">
        <is>
          <t>1.1.2</t>
        </is>
      </c>
      <c r="B225" s="34" t="inlineStr">
        <is>
          <t>Guideway and Civil - Utility &amp; Roadworks</t>
        </is>
      </c>
      <c r="C225" s="34" t="inlineStr">
        <is>
          <t>Contractor Programme</t>
        </is>
      </c>
      <c r="D225" s="34" t="inlineStr">
        <is>
          <t>SCH-01-162</t>
        </is>
      </c>
      <c r="E225" s="34" t="inlineStr">
        <is>
          <t>Depot lead: temporary traffic staging - inspection</t>
        </is>
      </c>
      <c r="F225" s="34" t="inlineStr">
        <is>
          <t>ONE_TO_ONE</t>
        </is>
      </c>
      <c r="G225" s="34" t="inlineStr">
        <is>
          <t>APPROVED</t>
        </is>
      </c>
      <c r="H225" s="34" t="inlineStr">
        <is>
          <t>New</t>
        </is>
      </c>
      <c r="I225" s="34" t="inlineStr">
        <is>
          <t>Source assignment -- not individually reviewed</t>
        </is>
      </c>
      <c r="J225" s="39" t="inlineStr"/>
      <c r="K225" s="34" t="inlineStr">
        <is>
          <t>Source assignment</t>
        </is>
      </c>
      <c r="L225" s="39" t="inlineStr"/>
      <c r="M225" s="34" t="inlineStr">
        <is>
          <t>Initial</t>
        </is>
      </c>
      <c r="N225" s="34" t="inlineStr">
        <is>
          <t>Rev 0</t>
        </is>
      </c>
      <c r="O225" s="34" t="inlineStr">
        <is>
          <t>R162-v1</t>
        </is>
      </c>
      <c r="P225" s="39" t="inlineStr"/>
      <c r="Q225" s="14" t="inlineStr"/>
      <c r="R225" s="39" t="inlineStr"/>
      <c r="S225" s="39" t="inlineStr"/>
      <c r="T225" s="39" t="inlineStr"/>
      <c r="U225" s="39" t="inlineStr"/>
      <c r="V225" s="34" t="inlineStr">
        <is>
          <t>WBS Code = 1.1.2</t>
        </is>
      </c>
      <c r="W225" s="14" t="inlineStr"/>
    </row>
    <row r="226" ht="49" customHeight="1">
      <c r="A226" s="34" t="inlineStr">
        <is>
          <t>1.1.2</t>
        </is>
      </c>
      <c r="B226" s="34" t="inlineStr">
        <is>
          <t>Guideway and Civil - Utility &amp; Roadworks</t>
        </is>
      </c>
      <c r="C226" s="34" t="inlineStr">
        <is>
          <t>Contractor Programme</t>
        </is>
      </c>
      <c r="D226" s="34" t="inlineStr">
        <is>
          <t>SCH-01-165</t>
        </is>
      </c>
      <c r="E226" s="34" t="inlineStr">
        <is>
          <t>Central guideway: drilled-shaft installation - field start</t>
        </is>
      </c>
      <c r="F226" s="34" t="inlineStr">
        <is>
          <t>ONE_TO_ONE</t>
        </is>
      </c>
      <c r="G226" s="34" t="inlineStr">
        <is>
          <t>APPROVED</t>
        </is>
      </c>
      <c r="H226" s="34" t="inlineStr">
        <is>
          <t>New</t>
        </is>
      </c>
      <c r="I226" s="34" t="inlineStr">
        <is>
          <t>Source assignment -- not individually reviewed</t>
        </is>
      </c>
      <c r="J226" s="39" t="inlineStr"/>
      <c r="K226" s="34" t="inlineStr">
        <is>
          <t>Source assignment</t>
        </is>
      </c>
      <c r="L226" s="39" t="inlineStr"/>
      <c r="M226" s="34" t="inlineStr">
        <is>
          <t>Initial</t>
        </is>
      </c>
      <c r="N226" s="34" t="inlineStr">
        <is>
          <t>Rev 0</t>
        </is>
      </c>
      <c r="O226" s="34" t="inlineStr">
        <is>
          <t>R165-v1</t>
        </is>
      </c>
      <c r="P226" s="39" t="inlineStr"/>
      <c r="Q226" s="14" t="inlineStr"/>
      <c r="R226" s="39" t="inlineStr"/>
      <c r="S226" s="39" t="inlineStr"/>
      <c r="T226" s="39" t="inlineStr"/>
      <c r="U226" s="39" t="inlineStr"/>
      <c r="V226" s="34" t="inlineStr">
        <is>
          <t>WBS Code = 1.1.2</t>
        </is>
      </c>
      <c r="W226" s="14" t="inlineStr"/>
    </row>
    <row r="227" ht="49" customHeight="1">
      <c r="A227" s="34" t="inlineStr">
        <is>
          <t>1.1.2</t>
        </is>
      </c>
      <c r="B227" s="34" t="inlineStr">
        <is>
          <t>Guideway and Civil - Utility &amp; Roadworks</t>
        </is>
      </c>
      <c r="C227" s="34" t="inlineStr">
        <is>
          <t>Contractor Programme</t>
        </is>
      </c>
      <c r="D227" s="34" t="inlineStr">
        <is>
          <t>SCH-01-168</t>
        </is>
      </c>
      <c r="E227" s="34" t="inlineStr">
        <is>
          <t>East portal: utility relocation - turnover</t>
        </is>
      </c>
      <c r="F227" s="34" t="inlineStr">
        <is>
          <t>ONE_TO_ONE</t>
        </is>
      </c>
      <c r="G227" s="34" t="inlineStr">
        <is>
          <t>APPROVED</t>
        </is>
      </c>
      <c r="H227" s="34" t="inlineStr">
        <is>
          <t>New</t>
        </is>
      </c>
      <c r="I227" s="34" t="inlineStr">
        <is>
          <t>Source assignment -- not individually reviewed</t>
        </is>
      </c>
      <c r="J227" s="39" t="inlineStr"/>
      <c r="K227" s="34" t="inlineStr">
        <is>
          <t>Source assignment</t>
        </is>
      </c>
      <c r="L227" s="39" t="inlineStr"/>
      <c r="M227" s="34" t="inlineStr">
        <is>
          <t>Initial</t>
        </is>
      </c>
      <c r="N227" s="34" t="inlineStr">
        <is>
          <t>Rev 0</t>
        </is>
      </c>
      <c r="O227" s="34" t="inlineStr">
        <is>
          <t>R168-v1</t>
        </is>
      </c>
      <c r="P227" s="39" t="inlineStr"/>
      <c r="Q227" s="14" t="inlineStr"/>
      <c r="R227" s="39" t="inlineStr"/>
      <c r="S227" s="39" t="inlineStr"/>
      <c r="T227" s="39" t="inlineStr"/>
      <c r="U227" s="39" t="inlineStr"/>
      <c r="V227" s="34" t="inlineStr">
        <is>
          <t>WBS Code = 1.1.2</t>
        </is>
      </c>
      <c r="W227" s="14" t="inlineStr"/>
    </row>
    <row r="228" ht="49" customHeight="1">
      <c r="A228" s="34" t="inlineStr">
        <is>
          <t>1.1.2</t>
        </is>
      </c>
      <c r="B228" s="34" t="inlineStr">
        <is>
          <t>Guideway and Civil - Utility &amp; Roadworks</t>
        </is>
      </c>
      <c r="C228" s="34" t="inlineStr">
        <is>
          <t>Contractor Programme</t>
        </is>
      </c>
      <c r="D228" s="34" t="inlineStr">
        <is>
          <t>SCH-01-171</t>
        </is>
      </c>
      <c r="E228" s="34" t="inlineStr">
        <is>
          <t>West approach: guideway pier reinforcement - installation</t>
        </is>
      </c>
      <c r="F228" s="34" t="inlineStr">
        <is>
          <t>ONE_TO_ONE</t>
        </is>
      </c>
      <c r="G228" s="34" t="inlineStr">
        <is>
          <t>APPROVED</t>
        </is>
      </c>
      <c r="H228" s="34" t="inlineStr">
        <is>
          <t>New</t>
        </is>
      </c>
      <c r="I228" s="34" t="inlineStr">
        <is>
          <t>Source assignment -- not individually reviewed</t>
        </is>
      </c>
      <c r="J228" s="39" t="inlineStr"/>
      <c r="K228" s="34" t="inlineStr">
        <is>
          <t>Source assignment</t>
        </is>
      </c>
      <c r="L228" s="39" t="inlineStr"/>
      <c r="M228" s="34" t="inlineStr">
        <is>
          <t>Initial</t>
        </is>
      </c>
      <c r="N228" s="34" t="inlineStr">
        <is>
          <t>Rev 0</t>
        </is>
      </c>
      <c r="O228" s="34" t="inlineStr">
        <is>
          <t>R171-v1</t>
        </is>
      </c>
      <c r="P228" s="39" t="inlineStr"/>
      <c r="Q228" s="14" t="inlineStr"/>
      <c r="R228" s="39" t="inlineStr"/>
      <c r="S228" s="39" t="inlineStr"/>
      <c r="T228" s="39" t="inlineStr"/>
      <c r="U228" s="39" t="inlineStr"/>
      <c r="V228" s="34" t="inlineStr">
        <is>
          <t>WBS Code = 1.1.2</t>
        </is>
      </c>
      <c r="W228" s="14" t="inlineStr"/>
    </row>
    <row r="229" ht="49" customHeight="1">
      <c r="A229" s="34" t="inlineStr">
        <is>
          <t>1.1.2</t>
        </is>
      </c>
      <c r="B229" s="34" t="inlineStr">
        <is>
          <t>Guideway and Civil - Utility &amp; Roadworks</t>
        </is>
      </c>
      <c r="C229" s="34" t="inlineStr">
        <is>
          <t>Contractor Programme</t>
        </is>
      </c>
      <c r="D229" s="34" t="inlineStr">
        <is>
          <t>SCH-01-174</t>
        </is>
      </c>
      <c r="E229" s="34" t="inlineStr">
        <is>
          <t>River crossing: retaining-wall excavation - release</t>
        </is>
      </c>
      <c r="F229" s="34" t="inlineStr">
        <is>
          <t>ONE_TO_ONE</t>
        </is>
      </c>
      <c r="G229" s="34" t="inlineStr">
        <is>
          <t>APPROVED</t>
        </is>
      </c>
      <c r="H229" s="34" t="inlineStr">
        <is>
          <t>New</t>
        </is>
      </c>
      <c r="I229" s="34" t="inlineStr">
        <is>
          <t>Source assignment -- not individually reviewed</t>
        </is>
      </c>
      <c r="J229" s="39" t="inlineStr"/>
      <c r="K229" s="34" t="inlineStr">
        <is>
          <t>Source assignment</t>
        </is>
      </c>
      <c r="L229" s="39" t="inlineStr"/>
      <c r="M229" s="34" t="inlineStr">
        <is>
          <t>Initial</t>
        </is>
      </c>
      <c r="N229" s="34" t="inlineStr">
        <is>
          <t>Rev 0</t>
        </is>
      </c>
      <c r="O229" s="34" t="inlineStr">
        <is>
          <t>R174-v1</t>
        </is>
      </c>
      <c r="P229" s="39" t="inlineStr"/>
      <c r="Q229" s="14" t="inlineStr"/>
      <c r="R229" s="39" t="inlineStr"/>
      <c r="S229" s="39" t="inlineStr"/>
      <c r="T229" s="39" t="inlineStr"/>
      <c r="U229" s="39" t="inlineStr"/>
      <c r="V229" s="34" t="inlineStr">
        <is>
          <t>WBS Code = 1.1.2</t>
        </is>
      </c>
      <c r="W229" s="14" t="inlineStr"/>
    </row>
    <row r="230" ht="49" customHeight="1">
      <c r="A230" s="34" t="inlineStr">
        <is>
          <t>1.1.2</t>
        </is>
      </c>
      <c r="B230" s="34" t="inlineStr">
        <is>
          <t>Guideway and Civil - Utility &amp; Roadworks</t>
        </is>
      </c>
      <c r="C230" s="34" t="inlineStr">
        <is>
          <t>Contractor Programme</t>
        </is>
      </c>
      <c r="D230" s="34" t="inlineStr">
        <is>
          <t>SCH-01-177</t>
        </is>
      </c>
      <c r="E230" s="34" t="inlineStr">
        <is>
          <t>Depot lead: track-slab survey - inspection</t>
        </is>
      </c>
      <c r="F230" s="34" t="inlineStr">
        <is>
          <t>ONE_TO_ONE</t>
        </is>
      </c>
      <c r="G230" s="34" t="inlineStr">
        <is>
          <t>APPROVED</t>
        </is>
      </c>
      <c r="H230" s="34" t="inlineStr">
        <is>
          <t>New</t>
        </is>
      </c>
      <c r="I230" s="34" t="inlineStr">
        <is>
          <t>Source assignment -- not individually reviewed</t>
        </is>
      </c>
      <c r="J230" s="39" t="inlineStr"/>
      <c r="K230" s="34" t="inlineStr">
        <is>
          <t>Source assignment</t>
        </is>
      </c>
      <c r="L230" s="39" t="inlineStr"/>
      <c r="M230" s="34" t="inlineStr">
        <is>
          <t>Initial</t>
        </is>
      </c>
      <c r="N230" s="34" t="inlineStr">
        <is>
          <t>Rev 0</t>
        </is>
      </c>
      <c r="O230" s="34" t="inlineStr">
        <is>
          <t>R177-v1</t>
        </is>
      </c>
      <c r="P230" s="39" t="inlineStr"/>
      <c r="Q230" s="14" t="inlineStr"/>
      <c r="R230" s="39" t="inlineStr"/>
      <c r="S230" s="39" t="inlineStr"/>
      <c r="T230" s="39" t="inlineStr"/>
      <c r="U230" s="39" t="inlineStr"/>
      <c r="V230" s="34" t="inlineStr">
        <is>
          <t>WBS Code = 1.1.2</t>
        </is>
      </c>
      <c r="W230" s="14" t="inlineStr"/>
    </row>
    <row r="231" ht="49" customHeight="1">
      <c r="A231" s="34" t="inlineStr">
        <is>
          <t>1.1.2</t>
        </is>
      </c>
      <c r="B231" s="34" t="inlineStr">
        <is>
          <t>Guideway and Civil - Utility &amp; Roadworks</t>
        </is>
      </c>
      <c r="C231" s="34" t="inlineStr">
        <is>
          <t>Contractor Programme</t>
        </is>
      </c>
      <c r="D231" s="34" t="inlineStr">
        <is>
          <t>SCH-01-180</t>
        </is>
      </c>
      <c r="E231" s="34" t="inlineStr">
        <is>
          <t>Central guideway: road restoration - field start</t>
        </is>
      </c>
      <c r="F231" s="34" t="inlineStr">
        <is>
          <t>ONE_TO_ONE</t>
        </is>
      </c>
      <c r="G231" s="34" t="inlineStr">
        <is>
          <t>APPROVED</t>
        </is>
      </c>
      <c r="H231" s="34" t="inlineStr">
        <is>
          <t>New</t>
        </is>
      </c>
      <c r="I231" s="34" t="inlineStr">
        <is>
          <t>Source assignment -- not individually reviewed</t>
        </is>
      </c>
      <c r="J231" s="39" t="inlineStr"/>
      <c r="K231" s="34" t="inlineStr">
        <is>
          <t>Source assignment</t>
        </is>
      </c>
      <c r="L231" s="39" t="inlineStr"/>
      <c r="M231" s="34" t="inlineStr">
        <is>
          <t>Initial</t>
        </is>
      </c>
      <c r="N231" s="34" t="inlineStr">
        <is>
          <t>Rev 0</t>
        </is>
      </c>
      <c r="O231" s="34" t="inlineStr">
        <is>
          <t>R180-v1</t>
        </is>
      </c>
      <c r="P231" s="39" t="inlineStr"/>
      <c r="Q231" s="14" t="inlineStr"/>
      <c r="R231" s="39" t="inlineStr"/>
      <c r="S231" s="39" t="inlineStr"/>
      <c r="T231" s="39" t="inlineStr"/>
      <c r="U231" s="39" t="inlineStr"/>
      <c r="V231" s="34" t="inlineStr">
        <is>
          <t>WBS Code = 1.1.2</t>
        </is>
      </c>
      <c r="W231" s="14" t="inlineStr"/>
    </row>
    <row r="232" ht="49" customHeight="1">
      <c r="A232" s="34" t="inlineStr">
        <is>
          <t>1.1.2</t>
        </is>
      </c>
      <c r="B232" s="34" t="inlineStr">
        <is>
          <t>Guideway and Civil - Utility &amp; Roadworks</t>
        </is>
      </c>
      <c r="C232" s="34" t="inlineStr">
        <is>
          <t>Cost &amp; Forecast Control Accounts</t>
        </is>
      </c>
      <c r="D232" s="34" t="inlineStr">
        <is>
          <t>CST-01-002</t>
        </is>
      </c>
      <c r="E232" s="34" t="inlineStr">
        <is>
          <t>Guideway and Civil - temporary works - allowance</t>
        </is>
      </c>
      <c r="F232" s="34" t="inlineStr">
        <is>
          <t>ONE_TO_ONE</t>
        </is>
      </c>
      <c r="G232" s="34" t="inlineStr">
        <is>
          <t>APPROVED</t>
        </is>
      </c>
      <c r="H232" s="34" t="inlineStr">
        <is>
          <t>New</t>
        </is>
      </c>
      <c r="I232" s="34" t="inlineStr">
        <is>
          <t>Source assignment -- not individually reviewed</t>
        </is>
      </c>
      <c r="J232" s="39" t="inlineStr"/>
      <c r="K232" s="34" t="inlineStr">
        <is>
          <t>Source assignment</t>
        </is>
      </c>
      <c r="L232" s="39" t="inlineStr"/>
      <c r="M232" s="34" t="inlineStr">
        <is>
          <t>Initial</t>
        </is>
      </c>
      <c r="N232" s="34" t="inlineStr">
        <is>
          <t>Rev 0</t>
        </is>
      </c>
      <c r="O232" s="34" t="inlineStr">
        <is>
          <t>R1084-v1</t>
        </is>
      </c>
      <c r="P232" s="39" t="inlineStr"/>
      <c r="Q232" s="14" t="inlineStr"/>
      <c r="R232" s="39" t="inlineStr"/>
      <c r="S232" s="39" t="inlineStr"/>
      <c r="T232" s="39" t="inlineStr"/>
      <c r="U232" s="39" t="inlineStr"/>
      <c r="V232" s="34" t="inlineStr">
        <is>
          <t>Cost Account = CA-1002; WBS Code = 1.1.2</t>
        </is>
      </c>
      <c r="W232" s="14" t="inlineStr"/>
    </row>
    <row r="233" ht="49" customHeight="1">
      <c r="A233" s="34" t="inlineStr">
        <is>
          <t>1.1.2</t>
        </is>
      </c>
      <c r="B233" s="34" t="inlineStr">
        <is>
          <t>Guideway and Civil - Utility &amp; Roadworks</t>
        </is>
      </c>
      <c r="C233" s="34" t="inlineStr">
        <is>
          <t>Cost &amp; Forecast Control Accounts</t>
        </is>
      </c>
      <c r="D233" s="34" t="inlineStr">
        <is>
          <t>CST-01-004</t>
        </is>
      </c>
      <c r="E233" s="34" t="inlineStr">
        <is>
          <t>Guideway and Civil - roadworks - field package</t>
        </is>
      </c>
      <c r="F233" s="34" t="inlineStr">
        <is>
          <t>ONE_TO_ONE</t>
        </is>
      </c>
      <c r="G233" s="34" t="inlineStr">
        <is>
          <t>APPROVED</t>
        </is>
      </c>
      <c r="H233" s="34" t="inlineStr">
        <is>
          <t>New</t>
        </is>
      </c>
      <c r="I233" s="34" t="inlineStr">
        <is>
          <t>Source assignment -- not individually reviewed</t>
        </is>
      </c>
      <c r="J233" s="39" t="inlineStr"/>
      <c r="K233" s="34" t="inlineStr">
        <is>
          <t>Source assignment</t>
        </is>
      </c>
      <c r="L233" s="39" t="inlineStr"/>
      <c r="M233" s="34" t="inlineStr">
        <is>
          <t>Initial</t>
        </is>
      </c>
      <c r="N233" s="34" t="inlineStr">
        <is>
          <t>Rev 0</t>
        </is>
      </c>
      <c r="O233" s="34" t="inlineStr">
        <is>
          <t>R1086-v1</t>
        </is>
      </c>
      <c r="P233" s="39" t="inlineStr"/>
      <c r="Q233" s="14" t="inlineStr"/>
      <c r="R233" s="39" t="inlineStr"/>
      <c r="S233" s="39" t="inlineStr"/>
      <c r="T233" s="39" t="inlineStr"/>
      <c r="U233" s="39" t="inlineStr"/>
      <c r="V233" s="34" t="inlineStr">
        <is>
          <t>Cost Account = CA-1004; WBS Code = 1.1.2</t>
        </is>
      </c>
      <c r="W233" s="14" t="inlineStr"/>
    </row>
    <row r="234" ht="49" customHeight="1">
      <c r="A234" s="34" t="inlineStr">
        <is>
          <t>1.1.2</t>
        </is>
      </c>
      <c r="B234" s="34" t="inlineStr">
        <is>
          <t>Guideway and Civil - Utility &amp; Roadworks</t>
        </is>
      </c>
      <c r="C234" s="34" t="inlineStr">
        <is>
          <t>Cost &amp; Forecast Control Accounts</t>
        </is>
      </c>
      <c r="D234" s="34" t="inlineStr">
        <is>
          <t>CST-01-006</t>
        </is>
      </c>
      <c r="E234" s="34" t="inlineStr">
        <is>
          <t>Guideway and Civil - concrete structures - professional services</t>
        </is>
      </c>
      <c r="F234" s="34" t="inlineStr">
        <is>
          <t>ONE_TO_ONE</t>
        </is>
      </c>
      <c r="G234" s="34" t="inlineStr">
        <is>
          <t>APPROVED</t>
        </is>
      </c>
      <c r="H234" s="34" t="inlineStr">
        <is>
          <t>New</t>
        </is>
      </c>
      <c r="I234" s="34" t="inlineStr">
        <is>
          <t>Source assignment -- not individually reviewed</t>
        </is>
      </c>
      <c r="J234" s="39" t="inlineStr"/>
      <c r="K234" s="34" t="inlineStr">
        <is>
          <t>Source assignment</t>
        </is>
      </c>
      <c r="L234" s="39" t="inlineStr"/>
      <c r="M234" s="34" t="inlineStr">
        <is>
          <t>Initial</t>
        </is>
      </c>
      <c r="N234" s="34" t="inlineStr">
        <is>
          <t>Rev 0</t>
        </is>
      </c>
      <c r="O234" s="34" t="inlineStr">
        <is>
          <t>R1088-v1</t>
        </is>
      </c>
      <c r="P234" s="39" t="inlineStr"/>
      <c r="Q234" s="14" t="inlineStr"/>
      <c r="R234" s="39" t="inlineStr"/>
      <c r="S234" s="39" t="inlineStr"/>
      <c r="T234" s="39" t="inlineStr"/>
      <c r="U234" s="39" t="inlineStr"/>
      <c r="V234" s="34" t="inlineStr">
        <is>
          <t>Cost Account = CA-1006; WBS Code = 1.1.2</t>
        </is>
      </c>
      <c r="W234" s="14" t="inlineStr"/>
    </row>
    <row r="235" ht="49" customHeight="1">
      <c r="A235" s="34" t="inlineStr">
        <is>
          <t>1.1.2</t>
        </is>
      </c>
      <c r="B235" s="34" t="inlineStr">
        <is>
          <t>Guideway and Civil - Utility &amp; Roadworks</t>
        </is>
      </c>
      <c r="C235" s="34" t="inlineStr">
        <is>
          <t>Cost &amp; Forecast Control Accounts</t>
        </is>
      </c>
      <c r="D235" s="34" t="inlineStr">
        <is>
          <t>CST-01-008</t>
        </is>
      </c>
      <c r="E235" s="34" t="inlineStr">
        <is>
          <t>Guideway and Civil - temporary works - closeout</t>
        </is>
      </c>
      <c r="F235" s="34" t="inlineStr">
        <is>
          <t>ONE_TO_ONE</t>
        </is>
      </c>
      <c r="G235" s="34" t="inlineStr">
        <is>
          <t>APPROVED</t>
        </is>
      </c>
      <c r="H235" s="34" t="inlineStr">
        <is>
          <t>New</t>
        </is>
      </c>
      <c r="I235" s="34" t="inlineStr">
        <is>
          <t>Source assignment -- not individually reviewed</t>
        </is>
      </c>
      <c r="J235" s="39" t="inlineStr"/>
      <c r="K235" s="34" t="inlineStr">
        <is>
          <t>Source assignment</t>
        </is>
      </c>
      <c r="L235" s="39" t="inlineStr"/>
      <c r="M235" s="34" t="inlineStr">
        <is>
          <t>Initial</t>
        </is>
      </c>
      <c r="N235" s="34" t="inlineStr">
        <is>
          <t>Rev 0</t>
        </is>
      </c>
      <c r="O235" s="34" t="inlineStr">
        <is>
          <t>R1090-v1</t>
        </is>
      </c>
      <c r="P235" s="39" t="inlineStr"/>
      <c r="Q235" s="14" t="inlineStr"/>
      <c r="R235" s="39" t="inlineStr"/>
      <c r="S235" s="39" t="inlineStr"/>
      <c r="T235" s="39" t="inlineStr"/>
      <c r="U235" s="39" t="inlineStr"/>
      <c r="V235" s="34" t="inlineStr">
        <is>
          <t>Cost Account = CA-1008; WBS Code = 1.1.2</t>
        </is>
      </c>
      <c r="W235" s="14" t="inlineStr"/>
    </row>
    <row r="236" ht="49" customHeight="1">
      <c r="A236" s="34" t="inlineStr">
        <is>
          <t>1.1.2</t>
        </is>
      </c>
      <c r="B236" s="34" t="inlineStr">
        <is>
          <t>Guideway and Civil - Utility &amp; Roadworks</t>
        </is>
      </c>
      <c r="C236" s="34" t="inlineStr">
        <is>
          <t>Cost &amp; Forecast Control Accounts</t>
        </is>
      </c>
      <c r="D236" s="34" t="inlineStr">
        <is>
          <t>CST-01-010</t>
        </is>
      </c>
      <c r="E236" s="34" t="inlineStr">
        <is>
          <t>Guideway and Civil - roadworks - supply and install</t>
        </is>
      </c>
      <c r="F236" s="34" t="inlineStr">
        <is>
          <t>ONE_TO_ONE</t>
        </is>
      </c>
      <c r="G236" s="34" t="inlineStr">
        <is>
          <t>APPROVED</t>
        </is>
      </c>
      <c r="H236" s="34" t="inlineStr">
        <is>
          <t>New</t>
        </is>
      </c>
      <c r="I236" s="34" t="inlineStr">
        <is>
          <t>Source assignment -- not individually reviewed</t>
        </is>
      </c>
      <c r="J236" s="39" t="inlineStr"/>
      <c r="K236" s="34" t="inlineStr">
        <is>
          <t>Source assignment</t>
        </is>
      </c>
      <c r="L236" s="39" t="inlineStr"/>
      <c r="M236" s="34" t="inlineStr">
        <is>
          <t>Initial</t>
        </is>
      </c>
      <c r="N236" s="34" t="inlineStr">
        <is>
          <t>Rev 0</t>
        </is>
      </c>
      <c r="O236" s="34" t="inlineStr">
        <is>
          <t>R1092-v1</t>
        </is>
      </c>
      <c r="P236" s="39" t="inlineStr"/>
      <c r="Q236" s="14" t="inlineStr"/>
      <c r="R236" s="39" t="inlineStr"/>
      <c r="S236" s="39" t="inlineStr"/>
      <c r="T236" s="39" t="inlineStr"/>
      <c r="U236" s="39" t="inlineStr"/>
      <c r="V236" s="34" t="inlineStr">
        <is>
          <t>Cost Account = CA-1010; WBS Code = 1.1.2</t>
        </is>
      </c>
      <c r="W236" s="14" t="inlineStr"/>
    </row>
    <row r="237" ht="49" customHeight="1">
      <c r="A237" s="34" t="inlineStr">
        <is>
          <t>1.1.2</t>
        </is>
      </c>
      <c r="B237" s="34" t="inlineStr">
        <is>
          <t>Guideway and Civil - Utility &amp; Roadworks</t>
        </is>
      </c>
      <c r="C237" s="34" t="inlineStr">
        <is>
          <t>Cost &amp; Forecast Control Accounts</t>
        </is>
      </c>
      <c r="D237" s="34" t="inlineStr">
        <is>
          <t>CST-01-012</t>
        </is>
      </c>
      <c r="E237" s="34" t="inlineStr">
        <is>
          <t>Guideway and Civil - concrete structures - allowance</t>
        </is>
      </c>
      <c r="F237" s="34" t="inlineStr">
        <is>
          <t>ONE_TO_ONE</t>
        </is>
      </c>
      <c r="G237" s="34" t="inlineStr">
        <is>
          <t>APPROVED</t>
        </is>
      </c>
      <c r="H237" s="34" t="inlineStr">
        <is>
          <t>New</t>
        </is>
      </c>
      <c r="I237" s="34" t="inlineStr">
        <is>
          <t>Source assignment -- not individually reviewed</t>
        </is>
      </c>
      <c r="J237" s="39" t="inlineStr"/>
      <c r="K237" s="34" t="inlineStr">
        <is>
          <t>Source assignment</t>
        </is>
      </c>
      <c r="L237" s="39" t="inlineStr"/>
      <c r="M237" s="34" t="inlineStr">
        <is>
          <t>Initial</t>
        </is>
      </c>
      <c r="N237" s="34" t="inlineStr">
        <is>
          <t>Rev 0</t>
        </is>
      </c>
      <c r="O237" s="34" t="inlineStr">
        <is>
          <t>R1094-v1</t>
        </is>
      </c>
      <c r="P237" s="39" t="inlineStr"/>
      <c r="Q237" s="14" t="inlineStr"/>
      <c r="R237" s="39" t="inlineStr"/>
      <c r="S237" s="39" t="inlineStr"/>
      <c r="T237" s="39" t="inlineStr"/>
      <c r="U237" s="39" t="inlineStr"/>
      <c r="V237" s="34" t="inlineStr">
        <is>
          <t>Cost Account = CA-1012; WBS Code = 1.1.2</t>
        </is>
      </c>
      <c r="W237" s="14" t="inlineStr"/>
    </row>
    <row r="238" ht="49" customHeight="1">
      <c r="A238" s="34" t="inlineStr">
        <is>
          <t>1.1.2</t>
        </is>
      </c>
      <c r="B238" s="34" t="inlineStr">
        <is>
          <t>Guideway and Civil - Utility &amp; Roadworks</t>
        </is>
      </c>
      <c r="C238" s="34" t="inlineStr">
        <is>
          <t>Cost &amp; Forecast Control Accounts</t>
        </is>
      </c>
      <c r="D238" s="34" t="inlineStr">
        <is>
          <t>CST-01-014</t>
        </is>
      </c>
      <c r="E238" s="34" t="inlineStr">
        <is>
          <t>Guideway and Civil - temporary works - field package</t>
        </is>
      </c>
      <c r="F238" s="34" t="inlineStr">
        <is>
          <t>ONE_TO_ONE</t>
        </is>
      </c>
      <c r="G238" s="34" t="inlineStr">
        <is>
          <t>APPROVED</t>
        </is>
      </c>
      <c r="H238" s="34" t="inlineStr">
        <is>
          <t>New</t>
        </is>
      </c>
      <c r="I238" s="34" t="inlineStr">
        <is>
          <t>Source assignment -- not individually reviewed</t>
        </is>
      </c>
      <c r="J238" s="39" t="inlineStr"/>
      <c r="K238" s="34" t="inlineStr">
        <is>
          <t>Source assignment</t>
        </is>
      </c>
      <c r="L238" s="39" t="inlineStr"/>
      <c r="M238" s="34" t="inlineStr">
        <is>
          <t>Initial</t>
        </is>
      </c>
      <c r="N238" s="34" t="inlineStr">
        <is>
          <t>Rev 0</t>
        </is>
      </c>
      <c r="O238" s="34" t="inlineStr">
        <is>
          <t>R1096-v1</t>
        </is>
      </c>
      <c r="P238" s="39" t="inlineStr"/>
      <c r="Q238" s="14" t="inlineStr"/>
      <c r="R238" s="39" t="inlineStr"/>
      <c r="S238" s="39" t="inlineStr"/>
      <c r="T238" s="39" t="inlineStr"/>
      <c r="U238" s="39" t="inlineStr"/>
      <c r="V238" s="34" t="inlineStr">
        <is>
          <t>Cost Account = CA-1014; WBS Code = 1.1.2</t>
        </is>
      </c>
      <c r="W238" s="14" t="inlineStr"/>
    </row>
    <row r="239" ht="49" customHeight="1">
      <c r="A239" s="34" t="inlineStr">
        <is>
          <t>1.1.2</t>
        </is>
      </c>
      <c r="B239" s="34" t="inlineStr">
        <is>
          <t>Guideway and Civil - Utility &amp; Roadworks</t>
        </is>
      </c>
      <c r="C239" s="34" t="inlineStr">
        <is>
          <t>Cost &amp; Forecast Control Accounts</t>
        </is>
      </c>
      <c r="D239" s="34" t="inlineStr">
        <is>
          <t>CST-01-016</t>
        </is>
      </c>
      <c r="E239" s="34" t="inlineStr">
        <is>
          <t>Guideway and Civil - roadworks - professional services</t>
        </is>
      </c>
      <c r="F239" s="34" t="inlineStr">
        <is>
          <t>ONE_TO_ONE</t>
        </is>
      </c>
      <c r="G239" s="34" t="inlineStr">
        <is>
          <t>APPROVED</t>
        </is>
      </c>
      <c r="H239" s="34" t="inlineStr">
        <is>
          <t>New</t>
        </is>
      </c>
      <c r="I239" s="34" t="inlineStr">
        <is>
          <t>Source assignment -- not individually reviewed</t>
        </is>
      </c>
      <c r="J239" s="39" t="inlineStr"/>
      <c r="K239" s="34" t="inlineStr">
        <is>
          <t>Source assignment</t>
        </is>
      </c>
      <c r="L239" s="39" t="inlineStr"/>
      <c r="M239" s="34" t="inlineStr">
        <is>
          <t>Initial</t>
        </is>
      </c>
      <c r="N239" s="34" t="inlineStr">
        <is>
          <t>Rev 0</t>
        </is>
      </c>
      <c r="O239" s="34" t="inlineStr">
        <is>
          <t>R1098-v1</t>
        </is>
      </c>
      <c r="P239" s="39" t="inlineStr"/>
      <c r="Q239" s="14" t="inlineStr"/>
      <c r="R239" s="39" t="inlineStr"/>
      <c r="S239" s="39" t="inlineStr"/>
      <c r="T239" s="39" t="inlineStr"/>
      <c r="U239" s="39" t="inlineStr"/>
      <c r="V239" s="34" t="inlineStr">
        <is>
          <t>Cost Account = CA-1016; WBS Code = 1.1.2</t>
        </is>
      </c>
      <c r="W239" s="14" t="inlineStr"/>
    </row>
    <row r="240" ht="49" customHeight="1">
      <c r="A240" s="34" t="inlineStr">
        <is>
          <t>1.1.2</t>
        </is>
      </c>
      <c r="B240" s="34" t="inlineStr">
        <is>
          <t>Guideway and Civil - Utility &amp; Roadworks</t>
        </is>
      </c>
      <c r="C240" s="34" t="inlineStr">
        <is>
          <t>Cost &amp; Forecast Control Accounts</t>
        </is>
      </c>
      <c r="D240" s="34" t="inlineStr">
        <is>
          <t>CST-01-018</t>
        </is>
      </c>
      <c r="E240" s="34" t="inlineStr">
        <is>
          <t>Guideway and Civil - concrete structures - closeout</t>
        </is>
      </c>
      <c r="F240" s="34" t="inlineStr">
        <is>
          <t>ONE_TO_ONE</t>
        </is>
      </c>
      <c r="G240" s="34" t="inlineStr">
        <is>
          <t>APPROVED</t>
        </is>
      </c>
      <c r="H240" s="34" t="inlineStr">
        <is>
          <t>New</t>
        </is>
      </c>
      <c r="I240" s="34" t="inlineStr">
        <is>
          <t>Source assignment -- not individually reviewed</t>
        </is>
      </c>
      <c r="J240" s="39" t="inlineStr"/>
      <c r="K240" s="34" t="inlineStr">
        <is>
          <t>Source assignment</t>
        </is>
      </c>
      <c r="L240" s="39" t="inlineStr"/>
      <c r="M240" s="34" t="inlineStr">
        <is>
          <t>Initial</t>
        </is>
      </c>
      <c r="N240" s="34" t="inlineStr">
        <is>
          <t>Rev 0</t>
        </is>
      </c>
      <c r="O240" s="34" t="inlineStr">
        <is>
          <t>R1100-v1</t>
        </is>
      </c>
      <c r="P240" s="39" t="inlineStr"/>
      <c r="Q240" s="14" t="inlineStr"/>
      <c r="R240" s="39" t="inlineStr"/>
      <c r="S240" s="39" t="inlineStr"/>
      <c r="T240" s="39" t="inlineStr"/>
      <c r="U240" s="39" t="inlineStr"/>
      <c r="V240" s="34" t="inlineStr">
        <is>
          <t>Cost Account = CA-1018; WBS Code = 1.1.2</t>
        </is>
      </c>
      <c r="W240" s="14" t="inlineStr"/>
    </row>
    <row r="241" ht="49" customHeight="1">
      <c r="A241" s="34" t="inlineStr">
        <is>
          <t>1.1.2</t>
        </is>
      </c>
      <c r="B241" s="34" t="inlineStr">
        <is>
          <t>Guideway and Civil - Utility &amp; Roadworks</t>
        </is>
      </c>
      <c r="C241" s="34" t="inlineStr">
        <is>
          <t>Cost &amp; Forecast Control Accounts</t>
        </is>
      </c>
      <c r="D241" s="34" t="inlineStr">
        <is>
          <t>CST-01-020</t>
        </is>
      </c>
      <c r="E241" s="34" t="inlineStr">
        <is>
          <t>Guideway and Civil - temporary works - supply and install</t>
        </is>
      </c>
      <c r="F241" s="34" t="inlineStr">
        <is>
          <t>ONE_TO_ONE</t>
        </is>
      </c>
      <c r="G241" s="34" t="inlineStr">
        <is>
          <t>APPROVED</t>
        </is>
      </c>
      <c r="H241" s="34" t="inlineStr">
        <is>
          <t>New</t>
        </is>
      </c>
      <c r="I241" s="34" t="inlineStr">
        <is>
          <t>Source assignment -- not individually reviewed</t>
        </is>
      </c>
      <c r="J241" s="39" t="inlineStr"/>
      <c r="K241" s="34" t="inlineStr">
        <is>
          <t>Source assignment</t>
        </is>
      </c>
      <c r="L241" s="39" t="inlineStr"/>
      <c r="M241" s="34" t="inlineStr">
        <is>
          <t>Initial</t>
        </is>
      </c>
      <c r="N241" s="34" t="inlineStr">
        <is>
          <t>Rev 0</t>
        </is>
      </c>
      <c r="O241" s="34" t="inlineStr">
        <is>
          <t>R1102-v1</t>
        </is>
      </c>
      <c r="P241" s="39" t="inlineStr"/>
      <c r="Q241" s="14" t="inlineStr"/>
      <c r="R241" s="39" t="inlineStr"/>
      <c r="S241" s="39" t="inlineStr"/>
      <c r="T241" s="39" t="inlineStr"/>
      <c r="U241" s="39" t="inlineStr"/>
      <c r="V241" s="34" t="inlineStr">
        <is>
          <t>Cost Account = CA-1020; WBS Code = 1.1.2</t>
        </is>
      </c>
      <c r="W241" s="14" t="inlineStr"/>
    </row>
    <row r="242" ht="49" customHeight="1">
      <c r="A242" s="34" t="inlineStr">
        <is>
          <t>1.1.2</t>
        </is>
      </c>
      <c r="B242" s="34" t="inlineStr">
        <is>
          <t>Guideway and Civil - Utility &amp; Roadworks</t>
        </is>
      </c>
      <c r="C242" s="34" t="inlineStr">
        <is>
          <t>Cost &amp; Forecast Control Accounts</t>
        </is>
      </c>
      <c r="D242" s="34" t="inlineStr">
        <is>
          <t>CST-01-022</t>
        </is>
      </c>
      <c r="E242" s="34" t="inlineStr">
        <is>
          <t>Guideway and Civil - roadworks - allowance</t>
        </is>
      </c>
      <c r="F242" s="34" t="inlineStr">
        <is>
          <t>ONE_TO_ONE</t>
        </is>
      </c>
      <c r="G242" s="34" t="inlineStr">
        <is>
          <t>APPROVED</t>
        </is>
      </c>
      <c r="H242" s="34" t="inlineStr">
        <is>
          <t>New</t>
        </is>
      </c>
      <c r="I242" s="34" t="inlineStr">
        <is>
          <t>Source assignment -- not individually reviewed</t>
        </is>
      </c>
      <c r="J242" s="39" t="inlineStr"/>
      <c r="K242" s="34" t="inlineStr">
        <is>
          <t>Source assignment</t>
        </is>
      </c>
      <c r="L242" s="39" t="inlineStr"/>
      <c r="M242" s="34" t="inlineStr">
        <is>
          <t>Initial</t>
        </is>
      </c>
      <c r="N242" s="34" t="inlineStr">
        <is>
          <t>Rev 0</t>
        </is>
      </c>
      <c r="O242" s="34" t="inlineStr">
        <is>
          <t>R1104-v1</t>
        </is>
      </c>
      <c r="P242" s="39" t="inlineStr"/>
      <c r="Q242" s="14" t="inlineStr"/>
      <c r="R242" s="39" t="inlineStr"/>
      <c r="S242" s="39" t="inlineStr"/>
      <c r="T242" s="39" t="inlineStr"/>
      <c r="U242" s="39" t="inlineStr"/>
      <c r="V242" s="34" t="inlineStr">
        <is>
          <t>Cost Account = CA-1022; WBS Code = 1.1.2</t>
        </is>
      </c>
      <c r="W242" s="14" t="inlineStr"/>
    </row>
    <row r="243" ht="49" customHeight="1">
      <c r="A243" s="34" t="inlineStr">
        <is>
          <t>1.1.2</t>
        </is>
      </c>
      <c r="B243" s="34" t="inlineStr">
        <is>
          <t>Guideway and Civil - Utility &amp; Roadworks</t>
        </is>
      </c>
      <c r="C243" s="34" t="inlineStr">
        <is>
          <t>Cost &amp; Forecast Control Accounts</t>
        </is>
      </c>
      <c r="D243" s="34" t="inlineStr">
        <is>
          <t>CST-01-024</t>
        </is>
      </c>
      <c r="E243" s="34" t="inlineStr">
        <is>
          <t>Guideway and Civil - concrete structures - field package</t>
        </is>
      </c>
      <c r="F243" s="34" t="inlineStr">
        <is>
          <t>ONE_TO_ONE</t>
        </is>
      </c>
      <c r="G243" s="34" t="inlineStr">
        <is>
          <t>APPROVED</t>
        </is>
      </c>
      <c r="H243" s="34" t="inlineStr">
        <is>
          <t>New</t>
        </is>
      </c>
      <c r="I243" s="34" t="inlineStr">
        <is>
          <t>Source assignment -- not individually reviewed</t>
        </is>
      </c>
      <c r="J243" s="39" t="inlineStr"/>
      <c r="K243" s="34" t="inlineStr">
        <is>
          <t>Source assignment</t>
        </is>
      </c>
      <c r="L243" s="39" t="inlineStr"/>
      <c r="M243" s="34" t="inlineStr">
        <is>
          <t>Initial</t>
        </is>
      </c>
      <c r="N243" s="34" t="inlineStr">
        <is>
          <t>Rev 0</t>
        </is>
      </c>
      <c r="O243" s="34" t="inlineStr">
        <is>
          <t>R1106-v1</t>
        </is>
      </c>
      <c r="P243" s="39" t="inlineStr"/>
      <c r="Q243" s="14" t="inlineStr"/>
      <c r="R243" s="39" t="inlineStr"/>
      <c r="S243" s="39" t="inlineStr"/>
      <c r="T243" s="39" t="inlineStr"/>
      <c r="U243" s="39" t="inlineStr"/>
      <c r="V243" s="34" t="inlineStr">
        <is>
          <t>Cost Account = CA-1024; WBS Code = 1.1.2</t>
        </is>
      </c>
      <c r="W243" s="14" t="inlineStr"/>
    </row>
    <row r="244" ht="49" customHeight="1">
      <c r="A244" s="34" t="inlineStr">
        <is>
          <t>1.1.2</t>
        </is>
      </c>
      <c r="B244" s="34" t="inlineStr">
        <is>
          <t>Guideway and Civil - Utility &amp; Roadworks</t>
        </is>
      </c>
      <c r="C244" s="34" t="inlineStr">
        <is>
          <t>Cost &amp; Forecast Control Accounts</t>
        </is>
      </c>
      <c r="D244" s="34" t="inlineStr">
        <is>
          <t>CST-01-026</t>
        </is>
      </c>
      <c r="E244" s="34" t="inlineStr">
        <is>
          <t>Guideway and Civil - temporary works - professional services</t>
        </is>
      </c>
      <c r="F244" s="34" t="inlineStr">
        <is>
          <t>ONE_TO_ONE</t>
        </is>
      </c>
      <c r="G244" s="34" t="inlineStr">
        <is>
          <t>APPROVED</t>
        </is>
      </c>
      <c r="H244" s="34" t="inlineStr">
        <is>
          <t>New</t>
        </is>
      </c>
      <c r="I244" s="34" t="inlineStr">
        <is>
          <t>Source assignment -- not individually reviewed</t>
        </is>
      </c>
      <c r="J244" s="39" t="inlineStr"/>
      <c r="K244" s="34" t="inlineStr">
        <is>
          <t>Source assignment</t>
        </is>
      </c>
      <c r="L244" s="39" t="inlineStr"/>
      <c r="M244" s="34" t="inlineStr">
        <is>
          <t>Initial</t>
        </is>
      </c>
      <c r="N244" s="34" t="inlineStr">
        <is>
          <t>Rev 0</t>
        </is>
      </c>
      <c r="O244" s="34" t="inlineStr">
        <is>
          <t>R1108-v1</t>
        </is>
      </c>
      <c r="P244" s="39" t="inlineStr"/>
      <c r="Q244" s="14" t="inlineStr"/>
      <c r="R244" s="39" t="inlineStr"/>
      <c r="S244" s="39" t="inlineStr"/>
      <c r="T244" s="39" t="inlineStr"/>
      <c r="U244" s="39" t="inlineStr"/>
      <c r="V244" s="34" t="inlineStr">
        <is>
          <t>Cost Account = CA-1026; WBS Code = 1.1.2</t>
        </is>
      </c>
      <c r="W244" s="14" t="inlineStr"/>
    </row>
    <row r="245" ht="49" customHeight="1">
      <c r="A245" s="34" t="inlineStr">
        <is>
          <t>1.1.2</t>
        </is>
      </c>
      <c r="B245" s="34" t="inlineStr">
        <is>
          <t>Guideway and Civil - Utility &amp; Roadworks</t>
        </is>
      </c>
      <c r="C245" s="34" t="inlineStr">
        <is>
          <t>Cost &amp; Forecast Control Accounts</t>
        </is>
      </c>
      <c r="D245" s="34" t="inlineStr">
        <is>
          <t>CST-01-028</t>
        </is>
      </c>
      <c r="E245" s="34" t="inlineStr">
        <is>
          <t>Guideway and Civil - roadworks - closeout</t>
        </is>
      </c>
      <c r="F245" s="34" t="inlineStr">
        <is>
          <t>ONE_TO_ONE</t>
        </is>
      </c>
      <c r="G245" s="34" t="inlineStr">
        <is>
          <t>APPROVED</t>
        </is>
      </c>
      <c r="H245" s="34" t="inlineStr">
        <is>
          <t>New</t>
        </is>
      </c>
      <c r="I245" s="34" t="inlineStr">
        <is>
          <t>Source assignment -- not individually reviewed</t>
        </is>
      </c>
      <c r="J245" s="39" t="inlineStr"/>
      <c r="K245" s="34" t="inlineStr">
        <is>
          <t>Source assignment</t>
        </is>
      </c>
      <c r="L245" s="39" t="inlineStr"/>
      <c r="M245" s="34" t="inlineStr">
        <is>
          <t>Initial</t>
        </is>
      </c>
      <c r="N245" s="34" t="inlineStr">
        <is>
          <t>Rev 0</t>
        </is>
      </c>
      <c r="O245" s="34" t="inlineStr">
        <is>
          <t>R1110-v1</t>
        </is>
      </c>
      <c r="P245" s="39" t="inlineStr"/>
      <c r="Q245" s="14" t="inlineStr"/>
      <c r="R245" s="39" t="inlineStr"/>
      <c r="S245" s="39" t="inlineStr"/>
      <c r="T245" s="39" t="inlineStr"/>
      <c r="U245" s="39" t="inlineStr"/>
      <c r="V245" s="34" t="inlineStr">
        <is>
          <t>Cost Account = CA-1028; WBS Code = 1.1.2</t>
        </is>
      </c>
      <c r="W245" s="14" t="inlineStr"/>
    </row>
    <row r="246" ht="49" customHeight="1">
      <c r="A246" s="34" t="inlineStr">
        <is>
          <t>1.1.2</t>
        </is>
      </c>
      <c r="B246" s="34" t="inlineStr">
        <is>
          <t>Guideway and Civil - Utility &amp; Roadworks</t>
        </is>
      </c>
      <c r="C246" s="34" t="inlineStr">
        <is>
          <t>Cost &amp; Forecast Control Accounts</t>
        </is>
      </c>
      <c r="D246" s="34" t="inlineStr">
        <is>
          <t>CST-01-030</t>
        </is>
      </c>
      <c r="E246" s="34" t="inlineStr">
        <is>
          <t>Guideway and Civil - concrete structures - supply and install</t>
        </is>
      </c>
      <c r="F246" s="34" t="inlineStr">
        <is>
          <t>ONE_TO_ONE</t>
        </is>
      </c>
      <c r="G246" s="34" t="inlineStr">
        <is>
          <t>APPROVED</t>
        </is>
      </c>
      <c r="H246" s="34" t="inlineStr">
        <is>
          <t>New</t>
        </is>
      </c>
      <c r="I246" s="34" t="inlineStr">
        <is>
          <t>Source assignment -- not individually reviewed</t>
        </is>
      </c>
      <c r="J246" s="39" t="inlineStr"/>
      <c r="K246" s="34" t="inlineStr">
        <is>
          <t>Source assignment</t>
        </is>
      </c>
      <c r="L246" s="39" t="inlineStr"/>
      <c r="M246" s="34" t="inlineStr">
        <is>
          <t>Initial</t>
        </is>
      </c>
      <c r="N246" s="34" t="inlineStr">
        <is>
          <t>Rev 0</t>
        </is>
      </c>
      <c r="O246" s="34" t="inlineStr">
        <is>
          <t>R1112-v1</t>
        </is>
      </c>
      <c r="P246" s="39" t="inlineStr"/>
      <c r="Q246" s="14" t="inlineStr"/>
      <c r="R246" s="39" t="inlineStr"/>
      <c r="S246" s="39" t="inlineStr"/>
      <c r="T246" s="39" t="inlineStr"/>
      <c r="U246" s="39" t="inlineStr"/>
      <c r="V246" s="34" t="inlineStr">
        <is>
          <t>Cost Account = CA-1030; WBS Code = 1.1.2</t>
        </is>
      </c>
      <c r="W246" s="14" t="inlineStr"/>
    </row>
    <row r="247" ht="49" customHeight="1">
      <c r="A247" s="34" t="inlineStr">
        <is>
          <t>1.1.2</t>
        </is>
      </c>
      <c r="B247" s="34" t="inlineStr">
        <is>
          <t>Guideway and Civil - Utility &amp; Roadworks</t>
        </is>
      </c>
      <c r="C247" s="34" t="inlineStr">
        <is>
          <t>Cost &amp; Forecast Control Accounts</t>
        </is>
      </c>
      <c r="D247" s="34" t="inlineStr">
        <is>
          <t>CST-01-032</t>
        </is>
      </c>
      <c r="E247" s="34" t="inlineStr">
        <is>
          <t>Guideway and Civil - temporary works - allowance</t>
        </is>
      </c>
      <c r="F247" s="34" t="inlineStr">
        <is>
          <t>ONE_TO_ONE</t>
        </is>
      </c>
      <c r="G247" s="34" t="inlineStr">
        <is>
          <t>APPROVED</t>
        </is>
      </c>
      <c r="H247" s="34" t="inlineStr">
        <is>
          <t>New</t>
        </is>
      </c>
      <c r="I247" s="34" t="inlineStr">
        <is>
          <t>Source assignment -- not individually reviewed</t>
        </is>
      </c>
      <c r="J247" s="39" t="inlineStr"/>
      <c r="K247" s="34" t="inlineStr">
        <is>
          <t>Source assignment</t>
        </is>
      </c>
      <c r="L247" s="39" t="inlineStr"/>
      <c r="M247" s="34" t="inlineStr">
        <is>
          <t>Initial</t>
        </is>
      </c>
      <c r="N247" s="34" t="inlineStr">
        <is>
          <t>Rev 0</t>
        </is>
      </c>
      <c r="O247" s="34" t="inlineStr">
        <is>
          <t>R1114-v1</t>
        </is>
      </c>
      <c r="P247" s="39" t="inlineStr"/>
      <c r="Q247" s="14" t="inlineStr"/>
      <c r="R247" s="39" t="inlineStr"/>
      <c r="S247" s="39" t="inlineStr"/>
      <c r="T247" s="39" t="inlineStr"/>
      <c r="U247" s="39" t="inlineStr"/>
      <c r="V247" s="34" t="inlineStr">
        <is>
          <t>Cost Account = CA-1032; WBS Code = 1.1.2</t>
        </is>
      </c>
      <c r="W247" s="14" t="inlineStr"/>
    </row>
    <row r="248" ht="49" customHeight="1">
      <c r="A248" s="34" t="inlineStr">
        <is>
          <t>1.1.2</t>
        </is>
      </c>
      <c r="B248" s="34" t="inlineStr">
        <is>
          <t>Guideway and Civil - Utility &amp; Roadworks</t>
        </is>
      </c>
      <c r="C248" s="34" t="inlineStr">
        <is>
          <t>Cost &amp; Forecast Control Accounts</t>
        </is>
      </c>
      <c r="D248" s="34" t="inlineStr">
        <is>
          <t>CST-01-034</t>
        </is>
      </c>
      <c r="E248" s="34" t="inlineStr">
        <is>
          <t>Guideway and Civil - roadworks - field package</t>
        </is>
      </c>
      <c r="F248" s="34" t="inlineStr">
        <is>
          <t>ONE_TO_ONE</t>
        </is>
      </c>
      <c r="G248" s="34" t="inlineStr">
        <is>
          <t>APPROVED</t>
        </is>
      </c>
      <c r="H248" s="34" t="inlineStr">
        <is>
          <t>New</t>
        </is>
      </c>
      <c r="I248" s="34" t="inlineStr">
        <is>
          <t>Source assignment -- not individually reviewed</t>
        </is>
      </c>
      <c r="J248" s="39" t="inlineStr"/>
      <c r="K248" s="34" t="inlineStr">
        <is>
          <t>Source assignment</t>
        </is>
      </c>
      <c r="L248" s="39" t="inlineStr"/>
      <c r="M248" s="34" t="inlineStr">
        <is>
          <t>Initial</t>
        </is>
      </c>
      <c r="N248" s="34" t="inlineStr">
        <is>
          <t>Rev 0</t>
        </is>
      </c>
      <c r="O248" s="34" t="inlineStr">
        <is>
          <t>R1116-v1</t>
        </is>
      </c>
      <c r="P248" s="39" t="inlineStr"/>
      <c r="Q248" s="14" t="inlineStr"/>
      <c r="R248" s="39" t="inlineStr"/>
      <c r="S248" s="39" t="inlineStr"/>
      <c r="T248" s="39" t="inlineStr"/>
      <c r="U248" s="39" t="inlineStr"/>
      <c r="V248" s="34" t="inlineStr">
        <is>
          <t>Cost Account = CA-1034; WBS Code = 1.1.2</t>
        </is>
      </c>
      <c r="W248" s="14" t="inlineStr"/>
    </row>
    <row r="249" ht="49" customHeight="1">
      <c r="A249" s="34" t="inlineStr">
        <is>
          <t>1.1.2</t>
        </is>
      </c>
      <c r="B249" s="34" t="inlineStr">
        <is>
          <t>Guideway and Civil - Utility &amp; Roadworks</t>
        </is>
      </c>
      <c r="C249" s="34" t="inlineStr">
        <is>
          <t>Cost &amp; Forecast Control Accounts</t>
        </is>
      </c>
      <c r="D249" s="34" t="inlineStr">
        <is>
          <t>CST-01-036</t>
        </is>
      </c>
      <c r="E249" s="34" t="inlineStr">
        <is>
          <t>Guideway and Civil - concrete structures - professional services</t>
        </is>
      </c>
      <c r="F249" s="34" t="inlineStr">
        <is>
          <t>ONE_TO_ONE</t>
        </is>
      </c>
      <c r="G249" s="34" t="inlineStr">
        <is>
          <t>APPROVED</t>
        </is>
      </c>
      <c r="H249" s="34" t="inlineStr">
        <is>
          <t>New</t>
        </is>
      </c>
      <c r="I249" s="34" t="inlineStr">
        <is>
          <t>Source assignment -- not individually reviewed</t>
        </is>
      </c>
      <c r="J249" s="39" t="inlineStr"/>
      <c r="K249" s="34" t="inlineStr">
        <is>
          <t>Source assignment</t>
        </is>
      </c>
      <c r="L249" s="39" t="inlineStr"/>
      <c r="M249" s="34" t="inlineStr">
        <is>
          <t>Initial</t>
        </is>
      </c>
      <c r="N249" s="34" t="inlineStr">
        <is>
          <t>Rev 0</t>
        </is>
      </c>
      <c r="O249" s="34" t="inlineStr">
        <is>
          <t>R1118-v1</t>
        </is>
      </c>
      <c r="P249" s="39" t="inlineStr"/>
      <c r="Q249" s="14" t="inlineStr"/>
      <c r="R249" s="39" t="inlineStr"/>
      <c r="S249" s="39" t="inlineStr"/>
      <c r="T249" s="39" t="inlineStr"/>
      <c r="U249" s="39" t="inlineStr"/>
      <c r="V249" s="34" t="inlineStr">
        <is>
          <t>Cost Account = CA-1036; WBS Code = 1.1.2</t>
        </is>
      </c>
      <c r="W249" s="14" t="inlineStr"/>
    </row>
    <row r="250" ht="49" customHeight="1">
      <c r="A250" s="34" t="inlineStr">
        <is>
          <t>1.1.2</t>
        </is>
      </c>
      <c r="B250" s="34" t="inlineStr">
        <is>
          <t>Guideway and Civil - Utility &amp; Roadworks</t>
        </is>
      </c>
      <c r="C250" s="34" t="inlineStr">
        <is>
          <t>Cost &amp; Forecast Control Accounts</t>
        </is>
      </c>
      <c r="D250" s="34" t="inlineStr">
        <is>
          <t>CST-01-038</t>
        </is>
      </c>
      <c r="E250" s="34" t="inlineStr">
        <is>
          <t>Guideway and Civil - temporary works - closeout</t>
        </is>
      </c>
      <c r="F250" s="34" t="inlineStr">
        <is>
          <t>ONE_TO_ONE</t>
        </is>
      </c>
      <c r="G250" s="34" t="inlineStr">
        <is>
          <t>APPROVED</t>
        </is>
      </c>
      <c r="H250" s="34" t="inlineStr">
        <is>
          <t>New</t>
        </is>
      </c>
      <c r="I250" s="34" t="inlineStr">
        <is>
          <t>Source assignment -- not individually reviewed</t>
        </is>
      </c>
      <c r="J250" s="39" t="inlineStr"/>
      <c r="K250" s="34" t="inlineStr">
        <is>
          <t>Source assignment</t>
        </is>
      </c>
      <c r="L250" s="39" t="inlineStr"/>
      <c r="M250" s="34" t="inlineStr">
        <is>
          <t>Initial</t>
        </is>
      </c>
      <c r="N250" s="34" t="inlineStr">
        <is>
          <t>Rev 0</t>
        </is>
      </c>
      <c r="O250" s="34" t="inlineStr">
        <is>
          <t>R1120-v1</t>
        </is>
      </c>
      <c r="P250" s="39" t="inlineStr"/>
      <c r="Q250" s="14" t="inlineStr"/>
      <c r="R250" s="39" t="inlineStr"/>
      <c r="S250" s="39" t="inlineStr"/>
      <c r="T250" s="39" t="inlineStr"/>
      <c r="U250" s="39" t="inlineStr"/>
      <c r="V250" s="34" t="inlineStr">
        <is>
          <t>Cost Account = CA-1038; WBS Code = 1.1.2</t>
        </is>
      </c>
      <c r="W250" s="14" t="inlineStr"/>
    </row>
    <row r="251" ht="49" customHeight="1">
      <c r="A251" s="34" t="inlineStr">
        <is>
          <t>1.1.2</t>
        </is>
      </c>
      <c r="B251" s="34" t="inlineStr">
        <is>
          <t>Guideway and Civil - Utility &amp; Roadworks</t>
        </is>
      </c>
      <c r="C251" s="34" t="inlineStr">
        <is>
          <t>Cost &amp; Forecast Control Accounts</t>
        </is>
      </c>
      <c r="D251" s="34" t="inlineStr">
        <is>
          <t>CST-01-040</t>
        </is>
      </c>
      <c r="E251" s="34" t="inlineStr">
        <is>
          <t>Guideway and Civil - roadworks - supply and install</t>
        </is>
      </c>
      <c r="F251" s="34" t="inlineStr">
        <is>
          <t>ONE_TO_ONE</t>
        </is>
      </c>
      <c r="G251" s="34" t="inlineStr">
        <is>
          <t>APPROVED</t>
        </is>
      </c>
      <c r="H251" s="34" t="inlineStr">
        <is>
          <t>New</t>
        </is>
      </c>
      <c r="I251" s="34" t="inlineStr">
        <is>
          <t>Source assignment -- not individually reviewed</t>
        </is>
      </c>
      <c r="J251" s="39" t="inlineStr"/>
      <c r="K251" s="34" t="inlineStr">
        <is>
          <t>Source assignment</t>
        </is>
      </c>
      <c r="L251" s="39" t="inlineStr"/>
      <c r="M251" s="34" t="inlineStr">
        <is>
          <t>Initial</t>
        </is>
      </c>
      <c r="N251" s="34" t="inlineStr">
        <is>
          <t>Rev 0</t>
        </is>
      </c>
      <c r="O251" s="34" t="inlineStr">
        <is>
          <t>R1122-v1</t>
        </is>
      </c>
      <c r="P251" s="39" t="inlineStr"/>
      <c r="Q251" s="14" t="inlineStr"/>
      <c r="R251" s="39" t="inlineStr"/>
      <c r="S251" s="39" t="inlineStr"/>
      <c r="T251" s="39" t="inlineStr"/>
      <c r="U251" s="39" t="inlineStr"/>
      <c r="V251" s="34" t="inlineStr">
        <is>
          <t>Cost Account = CA-1040; WBS Code = 1.1.2</t>
        </is>
      </c>
      <c r="W251" s="14" t="inlineStr"/>
    </row>
    <row r="252" ht="49" customHeight="1">
      <c r="A252" s="34" t="inlineStr">
        <is>
          <t>1.1.2</t>
        </is>
      </c>
      <c r="B252" s="34" t="inlineStr">
        <is>
          <t>Guideway and Civil - Utility &amp; Roadworks</t>
        </is>
      </c>
      <c r="C252" s="34" t="inlineStr">
        <is>
          <t>Cost &amp; Forecast Control Accounts</t>
        </is>
      </c>
      <c r="D252" s="34" t="inlineStr">
        <is>
          <t>CST-01-042</t>
        </is>
      </c>
      <c r="E252" s="34" t="inlineStr">
        <is>
          <t>Guideway and Civil - concrete structures - allowance</t>
        </is>
      </c>
      <c r="F252" s="34" t="inlineStr">
        <is>
          <t>ONE_TO_ONE</t>
        </is>
      </c>
      <c r="G252" s="34" t="inlineStr">
        <is>
          <t>APPROVED</t>
        </is>
      </c>
      <c r="H252" s="34" t="inlineStr">
        <is>
          <t>New</t>
        </is>
      </c>
      <c r="I252" s="34" t="inlineStr">
        <is>
          <t>Source assignment -- not individually reviewed</t>
        </is>
      </c>
      <c r="J252" s="39" t="inlineStr"/>
      <c r="K252" s="34" t="inlineStr">
        <is>
          <t>Source assignment</t>
        </is>
      </c>
      <c r="L252" s="39" t="inlineStr"/>
      <c r="M252" s="34" t="inlineStr">
        <is>
          <t>Initial</t>
        </is>
      </c>
      <c r="N252" s="34" t="inlineStr">
        <is>
          <t>Rev 0</t>
        </is>
      </c>
      <c r="O252" s="34" t="inlineStr">
        <is>
          <t>R1124-v1</t>
        </is>
      </c>
      <c r="P252" s="39" t="inlineStr"/>
      <c r="Q252" s="14" t="inlineStr"/>
      <c r="R252" s="39" t="inlineStr"/>
      <c r="S252" s="39" t="inlineStr"/>
      <c r="T252" s="39" t="inlineStr"/>
      <c r="U252" s="39" t="inlineStr"/>
      <c r="V252" s="34" t="inlineStr">
        <is>
          <t>Cost Account = CA-1042; WBS Code = 1.1.2</t>
        </is>
      </c>
      <c r="W252" s="14" t="inlineStr"/>
    </row>
    <row r="253" ht="49" customHeight="1">
      <c r="A253" s="34" t="inlineStr">
        <is>
          <t>1.1.2</t>
        </is>
      </c>
      <c r="B253" s="34" t="inlineStr">
        <is>
          <t>Guideway and Civil - Utility &amp; Roadworks</t>
        </is>
      </c>
      <c r="C253" s="34" t="inlineStr">
        <is>
          <t>Cost &amp; Forecast Control Accounts</t>
        </is>
      </c>
      <c r="D253" s="34" t="inlineStr">
        <is>
          <t>CST-01-044</t>
        </is>
      </c>
      <c r="E253" s="34" t="inlineStr">
        <is>
          <t>Guideway and Civil - temporary works - field package</t>
        </is>
      </c>
      <c r="F253" s="34" t="inlineStr">
        <is>
          <t>ONE_TO_ONE</t>
        </is>
      </c>
      <c r="G253" s="34" t="inlineStr">
        <is>
          <t>APPROVED</t>
        </is>
      </c>
      <c r="H253" s="34" t="inlineStr">
        <is>
          <t>New</t>
        </is>
      </c>
      <c r="I253" s="34" t="inlineStr">
        <is>
          <t>Source assignment -- not individually reviewed</t>
        </is>
      </c>
      <c r="J253" s="39" t="inlineStr"/>
      <c r="K253" s="34" t="inlineStr">
        <is>
          <t>Source assignment</t>
        </is>
      </c>
      <c r="L253" s="39" t="inlineStr"/>
      <c r="M253" s="34" t="inlineStr">
        <is>
          <t>Initial</t>
        </is>
      </c>
      <c r="N253" s="34" t="inlineStr">
        <is>
          <t>Rev 0</t>
        </is>
      </c>
      <c r="O253" s="34" t="inlineStr">
        <is>
          <t>R1126-v1</t>
        </is>
      </c>
      <c r="P253" s="39" t="inlineStr"/>
      <c r="Q253" s="14" t="inlineStr"/>
      <c r="R253" s="39" t="inlineStr"/>
      <c r="S253" s="39" t="inlineStr"/>
      <c r="T253" s="39" t="inlineStr"/>
      <c r="U253" s="39" t="inlineStr"/>
      <c r="V253" s="34" t="inlineStr">
        <is>
          <t>Cost Account = CA-1044; WBS Code = 1.1.2</t>
        </is>
      </c>
      <c r="W253" s="14" t="inlineStr"/>
    </row>
    <row r="254" ht="49" customHeight="1">
      <c r="A254" s="34" t="inlineStr">
        <is>
          <t>1.1.2</t>
        </is>
      </c>
      <c r="B254" s="34" t="inlineStr">
        <is>
          <t>Guideway and Civil - Utility &amp; Roadworks</t>
        </is>
      </c>
      <c r="C254" s="34" t="inlineStr">
        <is>
          <t>Cost &amp; Forecast Control Accounts</t>
        </is>
      </c>
      <c r="D254" s="34" t="inlineStr">
        <is>
          <t>CST-01-046</t>
        </is>
      </c>
      <c r="E254" s="34" t="inlineStr">
        <is>
          <t>Guideway and Civil - roadworks - professional services</t>
        </is>
      </c>
      <c r="F254" s="34" t="inlineStr">
        <is>
          <t>ONE_TO_ONE</t>
        </is>
      </c>
      <c r="G254" s="34" t="inlineStr">
        <is>
          <t>APPROVED</t>
        </is>
      </c>
      <c r="H254" s="34" t="inlineStr">
        <is>
          <t>New</t>
        </is>
      </c>
      <c r="I254" s="34" t="inlineStr">
        <is>
          <t>Source assignment -- not individually reviewed</t>
        </is>
      </c>
      <c r="J254" s="39" t="inlineStr"/>
      <c r="K254" s="34" t="inlineStr">
        <is>
          <t>Source assignment</t>
        </is>
      </c>
      <c r="L254" s="39" t="inlineStr"/>
      <c r="M254" s="34" t="inlineStr">
        <is>
          <t>Initial</t>
        </is>
      </c>
      <c r="N254" s="34" t="inlineStr">
        <is>
          <t>Rev 0</t>
        </is>
      </c>
      <c r="O254" s="34" t="inlineStr">
        <is>
          <t>R1128-v1</t>
        </is>
      </c>
      <c r="P254" s="39" t="inlineStr"/>
      <c r="Q254" s="14" t="inlineStr"/>
      <c r="R254" s="39" t="inlineStr"/>
      <c r="S254" s="39" t="inlineStr"/>
      <c r="T254" s="39" t="inlineStr"/>
      <c r="U254" s="39" t="inlineStr"/>
      <c r="V254" s="34" t="inlineStr">
        <is>
          <t>Cost Account = CA-1046; WBS Code = 1.1.2</t>
        </is>
      </c>
      <c r="W254" s="14" t="inlineStr"/>
    </row>
    <row r="255" ht="49" customHeight="1">
      <c r="A255" s="34" t="inlineStr">
        <is>
          <t>1.1.2</t>
        </is>
      </c>
      <c r="B255" s="34" t="inlineStr">
        <is>
          <t>Guideway and Civil - Utility &amp; Roadworks</t>
        </is>
      </c>
      <c r="C255" s="34" t="inlineStr">
        <is>
          <t>Cost &amp; Forecast Control Accounts</t>
        </is>
      </c>
      <c r="D255" s="34" t="inlineStr">
        <is>
          <t>CST-01-048</t>
        </is>
      </c>
      <c r="E255" s="34" t="inlineStr">
        <is>
          <t>Guideway and Civil - concrete structures - closeout</t>
        </is>
      </c>
      <c r="F255" s="34" t="inlineStr">
        <is>
          <t>ONE_TO_ONE</t>
        </is>
      </c>
      <c r="G255" s="34" t="inlineStr">
        <is>
          <t>APPROVED</t>
        </is>
      </c>
      <c r="H255" s="34" t="inlineStr">
        <is>
          <t>New</t>
        </is>
      </c>
      <c r="I255" s="34" t="inlineStr">
        <is>
          <t>Source assignment -- not individually reviewed</t>
        </is>
      </c>
      <c r="J255" s="39" t="inlineStr"/>
      <c r="K255" s="34" t="inlineStr">
        <is>
          <t>Source assignment</t>
        </is>
      </c>
      <c r="L255" s="39" t="inlineStr"/>
      <c r="M255" s="34" t="inlineStr">
        <is>
          <t>Initial</t>
        </is>
      </c>
      <c r="N255" s="34" t="inlineStr">
        <is>
          <t>Rev 0</t>
        </is>
      </c>
      <c r="O255" s="34" t="inlineStr">
        <is>
          <t>R1130-v1</t>
        </is>
      </c>
      <c r="P255" s="39" t="inlineStr"/>
      <c r="Q255" s="14" t="inlineStr"/>
      <c r="R255" s="39" t="inlineStr"/>
      <c r="S255" s="39" t="inlineStr"/>
      <c r="T255" s="39" t="inlineStr"/>
      <c r="U255" s="39" t="inlineStr"/>
      <c r="V255" s="34" t="inlineStr">
        <is>
          <t>Cost Account = CA-1048; WBS Code = 1.1.2</t>
        </is>
      </c>
      <c r="W255" s="14" t="inlineStr"/>
    </row>
    <row r="256" ht="49" customHeight="1">
      <c r="A256" s="34" t="inlineStr">
        <is>
          <t>1.1.2</t>
        </is>
      </c>
      <c r="B256" s="34" t="inlineStr">
        <is>
          <t>Guideway and Civil - Utility &amp; Roadworks</t>
        </is>
      </c>
      <c r="C256" s="34" t="inlineStr">
        <is>
          <t>Cost &amp; Forecast Control Accounts</t>
        </is>
      </c>
      <c r="D256" s="34" t="inlineStr">
        <is>
          <t>CST-01-050</t>
        </is>
      </c>
      <c r="E256" s="34" t="inlineStr">
        <is>
          <t>Guideway and Civil - temporary works - supply and install</t>
        </is>
      </c>
      <c r="F256" s="34" t="inlineStr">
        <is>
          <t>ONE_TO_ONE</t>
        </is>
      </c>
      <c r="G256" s="34" t="inlineStr">
        <is>
          <t>APPROVED</t>
        </is>
      </c>
      <c r="H256" s="34" t="inlineStr">
        <is>
          <t>New</t>
        </is>
      </c>
      <c r="I256" s="34" t="inlineStr">
        <is>
          <t>Source assignment -- not individually reviewed</t>
        </is>
      </c>
      <c r="J256" s="39" t="inlineStr"/>
      <c r="K256" s="34" t="inlineStr">
        <is>
          <t>Source assignment</t>
        </is>
      </c>
      <c r="L256" s="39" t="inlineStr"/>
      <c r="M256" s="34" t="inlineStr">
        <is>
          <t>Initial</t>
        </is>
      </c>
      <c r="N256" s="34" t="inlineStr">
        <is>
          <t>Rev 0</t>
        </is>
      </c>
      <c r="O256" s="34" t="inlineStr">
        <is>
          <t>R1132-v1</t>
        </is>
      </c>
      <c r="P256" s="39" t="inlineStr"/>
      <c r="Q256" s="14" t="inlineStr"/>
      <c r="R256" s="39" t="inlineStr"/>
      <c r="S256" s="39" t="inlineStr"/>
      <c r="T256" s="39" t="inlineStr"/>
      <c r="U256" s="39" t="inlineStr"/>
      <c r="V256" s="34" t="inlineStr">
        <is>
          <t>Cost Account = CA-1050; WBS Code = 1.1.2</t>
        </is>
      </c>
      <c r="W256" s="14" t="inlineStr"/>
    </row>
    <row r="257" ht="49" customHeight="1">
      <c r="A257" s="34" t="inlineStr">
        <is>
          <t>1.1.2</t>
        </is>
      </c>
      <c r="B257" s="34" t="inlineStr">
        <is>
          <t>Guideway and Civil - Utility &amp; Roadworks</t>
        </is>
      </c>
      <c r="C257" s="34" t="inlineStr">
        <is>
          <t>Cost &amp; Forecast Control Accounts</t>
        </is>
      </c>
      <c r="D257" s="34" t="inlineStr">
        <is>
          <t>CST-01-052</t>
        </is>
      </c>
      <c r="E257" s="34" t="inlineStr">
        <is>
          <t>Guideway and Civil - roadworks - allowance</t>
        </is>
      </c>
      <c r="F257" s="34" t="inlineStr">
        <is>
          <t>ONE_TO_ONE</t>
        </is>
      </c>
      <c r="G257" s="34" t="inlineStr">
        <is>
          <t>APPROVED</t>
        </is>
      </c>
      <c r="H257" s="34" t="inlineStr">
        <is>
          <t>New</t>
        </is>
      </c>
      <c r="I257" s="34" t="inlineStr">
        <is>
          <t>Source assignment -- not individually reviewed</t>
        </is>
      </c>
      <c r="J257" s="39" t="inlineStr"/>
      <c r="K257" s="34" t="inlineStr">
        <is>
          <t>Source assignment</t>
        </is>
      </c>
      <c r="L257" s="39" t="inlineStr"/>
      <c r="M257" s="34" t="inlineStr">
        <is>
          <t>Initial</t>
        </is>
      </c>
      <c r="N257" s="34" t="inlineStr">
        <is>
          <t>Rev 0</t>
        </is>
      </c>
      <c r="O257" s="34" t="inlineStr">
        <is>
          <t>R1134-v1</t>
        </is>
      </c>
      <c r="P257" s="39" t="inlineStr"/>
      <c r="Q257" s="14" t="inlineStr"/>
      <c r="R257" s="39" t="inlineStr"/>
      <c r="S257" s="39" t="inlineStr"/>
      <c r="T257" s="39" t="inlineStr"/>
      <c r="U257" s="39" t="inlineStr"/>
      <c r="V257" s="34" t="inlineStr">
        <is>
          <t>Cost Account = CA-1052; WBS Code = 1.1.2</t>
        </is>
      </c>
      <c r="W257" s="14" t="inlineStr"/>
    </row>
    <row r="258" ht="49" customHeight="1">
      <c r="A258" s="34" t="inlineStr">
        <is>
          <t>1.1.2</t>
        </is>
      </c>
      <c r="B258" s="34" t="inlineStr">
        <is>
          <t>Guideway and Civil - Utility &amp; Roadworks</t>
        </is>
      </c>
      <c r="C258" s="34" t="inlineStr">
        <is>
          <t>Cost &amp; Forecast Control Accounts</t>
        </is>
      </c>
      <c r="D258" s="34" t="inlineStr">
        <is>
          <t>CST-01-054</t>
        </is>
      </c>
      <c r="E258" s="34" t="inlineStr">
        <is>
          <t>Guideway and Civil - concrete structures - field package</t>
        </is>
      </c>
      <c r="F258" s="34" t="inlineStr">
        <is>
          <t>ONE_TO_ONE</t>
        </is>
      </c>
      <c r="G258" s="34" t="inlineStr">
        <is>
          <t>APPROVED</t>
        </is>
      </c>
      <c r="H258" s="34" t="inlineStr">
        <is>
          <t>New</t>
        </is>
      </c>
      <c r="I258" s="34" t="inlineStr">
        <is>
          <t>Source assignment -- not individually reviewed</t>
        </is>
      </c>
      <c r="J258" s="39" t="inlineStr"/>
      <c r="K258" s="34" t="inlineStr">
        <is>
          <t>Source assignment</t>
        </is>
      </c>
      <c r="L258" s="39" t="inlineStr"/>
      <c r="M258" s="34" t="inlineStr">
        <is>
          <t>Initial</t>
        </is>
      </c>
      <c r="N258" s="34" t="inlineStr">
        <is>
          <t>Rev 0</t>
        </is>
      </c>
      <c r="O258" s="34" t="inlineStr">
        <is>
          <t>R1136-v1</t>
        </is>
      </c>
      <c r="P258" s="39" t="inlineStr"/>
      <c r="Q258" s="14" t="inlineStr"/>
      <c r="R258" s="39" t="inlineStr"/>
      <c r="S258" s="39" t="inlineStr"/>
      <c r="T258" s="39" t="inlineStr"/>
      <c r="U258" s="39" t="inlineStr"/>
      <c r="V258" s="34" t="inlineStr">
        <is>
          <t>Cost Account = CA-1054; WBS Code = 1.1.2</t>
        </is>
      </c>
      <c r="W258" s="14" t="inlineStr"/>
    </row>
    <row r="259" ht="49" customHeight="1">
      <c r="A259" s="34" t="inlineStr">
        <is>
          <t>1.1.2</t>
        </is>
      </c>
      <c r="B259" s="34" t="inlineStr">
        <is>
          <t>Guideway and Civil - Utility &amp; Roadworks</t>
        </is>
      </c>
      <c r="C259" s="34" t="inlineStr">
        <is>
          <t>Cost &amp; Forecast Control Accounts</t>
        </is>
      </c>
      <c r="D259" s="34" t="inlineStr">
        <is>
          <t>CST-01-056</t>
        </is>
      </c>
      <c r="E259" s="34" t="inlineStr">
        <is>
          <t>Guideway and Civil - temporary works - professional services</t>
        </is>
      </c>
      <c r="F259" s="34" t="inlineStr">
        <is>
          <t>ONE_TO_ONE</t>
        </is>
      </c>
      <c r="G259" s="34" t="inlineStr">
        <is>
          <t>APPROVED</t>
        </is>
      </c>
      <c r="H259" s="34" t="inlineStr">
        <is>
          <t>New</t>
        </is>
      </c>
      <c r="I259" s="34" t="inlineStr">
        <is>
          <t>Source assignment -- not individually reviewed</t>
        </is>
      </c>
      <c r="J259" s="39" t="inlineStr"/>
      <c r="K259" s="34" t="inlineStr">
        <is>
          <t>Source assignment</t>
        </is>
      </c>
      <c r="L259" s="39" t="inlineStr"/>
      <c r="M259" s="34" t="inlineStr">
        <is>
          <t>Initial</t>
        </is>
      </c>
      <c r="N259" s="34" t="inlineStr">
        <is>
          <t>Rev 0</t>
        </is>
      </c>
      <c r="O259" s="34" t="inlineStr">
        <is>
          <t>R1138-v1</t>
        </is>
      </c>
      <c r="P259" s="39" t="inlineStr"/>
      <c r="Q259" s="14" t="inlineStr"/>
      <c r="R259" s="39" t="inlineStr"/>
      <c r="S259" s="39" t="inlineStr"/>
      <c r="T259" s="39" t="inlineStr"/>
      <c r="U259" s="39" t="inlineStr"/>
      <c r="V259" s="34" t="inlineStr">
        <is>
          <t>Cost Account = CA-1056; WBS Code = 1.1.2</t>
        </is>
      </c>
      <c r="W259" s="14" t="inlineStr"/>
    </row>
    <row r="260" ht="49" customHeight="1">
      <c r="A260" s="34" t="inlineStr">
        <is>
          <t>1.1.2</t>
        </is>
      </c>
      <c r="B260" s="34" t="inlineStr">
        <is>
          <t>Guideway and Civil - Utility &amp; Roadworks</t>
        </is>
      </c>
      <c r="C260" s="34" t="inlineStr">
        <is>
          <t>Cost &amp; Forecast Control Accounts</t>
        </is>
      </c>
      <c r="D260" s="34" t="inlineStr">
        <is>
          <t>CST-01-058</t>
        </is>
      </c>
      <c r="E260" s="34" t="inlineStr">
        <is>
          <t>Guideway and Civil - roadworks - closeout</t>
        </is>
      </c>
      <c r="F260" s="34" t="inlineStr">
        <is>
          <t>ONE_TO_ONE</t>
        </is>
      </c>
      <c r="G260" s="34" t="inlineStr">
        <is>
          <t>APPROVED</t>
        </is>
      </c>
      <c r="H260" s="34" t="inlineStr">
        <is>
          <t>New</t>
        </is>
      </c>
      <c r="I260" s="34" t="inlineStr">
        <is>
          <t>Source assignment -- not individually reviewed</t>
        </is>
      </c>
      <c r="J260" s="39" t="inlineStr"/>
      <c r="K260" s="34" t="inlineStr">
        <is>
          <t>Source assignment</t>
        </is>
      </c>
      <c r="L260" s="39" t="inlineStr"/>
      <c r="M260" s="34" t="inlineStr">
        <is>
          <t>Initial</t>
        </is>
      </c>
      <c r="N260" s="34" t="inlineStr">
        <is>
          <t>Rev 0</t>
        </is>
      </c>
      <c r="O260" s="34" t="inlineStr">
        <is>
          <t>R1140-v1</t>
        </is>
      </c>
      <c r="P260" s="39" t="inlineStr"/>
      <c r="Q260" s="14" t="inlineStr"/>
      <c r="R260" s="39" t="inlineStr"/>
      <c r="S260" s="39" t="inlineStr"/>
      <c r="T260" s="39" t="inlineStr"/>
      <c r="U260" s="39" t="inlineStr"/>
      <c r="V260" s="34" t="inlineStr">
        <is>
          <t>Cost Account = CA-1058; WBS Code = 1.1.2</t>
        </is>
      </c>
      <c r="W260" s="14" t="inlineStr"/>
    </row>
    <row r="261" ht="49" customHeight="1">
      <c r="A261" s="34" t="inlineStr">
        <is>
          <t>1.1.2</t>
        </is>
      </c>
      <c r="B261" s="34" t="inlineStr">
        <is>
          <t>Guideway and Civil - Utility &amp; Roadworks</t>
        </is>
      </c>
      <c r="C261" s="34" t="inlineStr">
        <is>
          <t>Cost &amp; Forecast Control Accounts</t>
        </is>
      </c>
      <c r="D261" s="34" t="inlineStr">
        <is>
          <t>CST-01-060</t>
        </is>
      </c>
      <c r="E261" s="34" t="inlineStr">
        <is>
          <t>Guideway and Civil - concrete structures - supply and install</t>
        </is>
      </c>
      <c r="F261" s="34" t="inlineStr">
        <is>
          <t>ONE_TO_ONE</t>
        </is>
      </c>
      <c r="G261" s="34" t="inlineStr">
        <is>
          <t>APPROVED</t>
        </is>
      </c>
      <c r="H261" s="34" t="inlineStr">
        <is>
          <t>New</t>
        </is>
      </c>
      <c r="I261" s="34" t="inlineStr">
        <is>
          <t>Source assignment -- not individually reviewed</t>
        </is>
      </c>
      <c r="J261" s="39" t="inlineStr"/>
      <c r="K261" s="34" t="inlineStr">
        <is>
          <t>Source assignment</t>
        </is>
      </c>
      <c r="L261" s="39" t="inlineStr"/>
      <c r="M261" s="34" t="inlineStr">
        <is>
          <t>Initial</t>
        </is>
      </c>
      <c r="N261" s="34" t="inlineStr">
        <is>
          <t>Rev 0</t>
        </is>
      </c>
      <c r="O261" s="34" t="inlineStr">
        <is>
          <t>R1142-v1</t>
        </is>
      </c>
      <c r="P261" s="39" t="inlineStr"/>
      <c r="Q261" s="14" t="inlineStr"/>
      <c r="R261" s="39" t="inlineStr"/>
      <c r="S261" s="39" t="inlineStr"/>
      <c r="T261" s="39" t="inlineStr"/>
      <c r="U261" s="39" t="inlineStr"/>
      <c r="V261" s="34" t="inlineStr">
        <is>
          <t>Cost Account = CA-1060; WBS Code = 1.1.2</t>
        </is>
      </c>
      <c r="W261" s="14" t="inlineStr"/>
    </row>
    <row r="262" ht="49" customHeight="1">
      <c r="A262" s="34" t="inlineStr">
        <is>
          <t>1.1.2</t>
        </is>
      </c>
      <c r="B262" s="34" t="inlineStr">
        <is>
          <t>Guideway and Civil - Utility &amp; Roadworks</t>
        </is>
      </c>
      <c r="C262" s="34" t="inlineStr">
        <is>
          <t>Cost &amp; Forecast Control Accounts</t>
        </is>
      </c>
      <c r="D262" s="34" t="inlineStr">
        <is>
          <t>CST-01-062</t>
        </is>
      </c>
      <c r="E262" s="34" t="inlineStr">
        <is>
          <t>Guideway and Civil - temporary works - allowance</t>
        </is>
      </c>
      <c r="F262" s="34" t="inlineStr">
        <is>
          <t>ONE_TO_ONE</t>
        </is>
      </c>
      <c r="G262" s="34" t="inlineStr">
        <is>
          <t>APPROVED</t>
        </is>
      </c>
      <c r="H262" s="34" t="inlineStr">
        <is>
          <t>New</t>
        </is>
      </c>
      <c r="I262" s="34" t="inlineStr">
        <is>
          <t>Source assignment -- not individually reviewed</t>
        </is>
      </c>
      <c r="J262" s="39" t="inlineStr"/>
      <c r="K262" s="34" t="inlineStr">
        <is>
          <t>Source assignment</t>
        </is>
      </c>
      <c r="L262" s="39" t="inlineStr"/>
      <c r="M262" s="34" t="inlineStr">
        <is>
          <t>Initial</t>
        </is>
      </c>
      <c r="N262" s="34" t="inlineStr">
        <is>
          <t>Rev 0</t>
        </is>
      </c>
      <c r="O262" s="34" t="inlineStr">
        <is>
          <t>R1144-v1</t>
        </is>
      </c>
      <c r="P262" s="39" t="inlineStr"/>
      <c r="Q262" s="14" t="inlineStr"/>
      <c r="R262" s="39" t="inlineStr"/>
      <c r="S262" s="39" t="inlineStr"/>
      <c r="T262" s="39" t="inlineStr"/>
      <c r="U262" s="39" t="inlineStr"/>
      <c r="V262" s="34" t="inlineStr">
        <is>
          <t>Cost Account = CA-1062; WBS Code = 1.1.2</t>
        </is>
      </c>
      <c r="W262" s="14" t="inlineStr"/>
    </row>
    <row r="263" ht="49" customHeight="1">
      <c r="A263" s="34" t="inlineStr">
        <is>
          <t>1.1.2</t>
        </is>
      </c>
      <c r="B263" s="34" t="inlineStr">
        <is>
          <t>Guideway and Civil - Utility &amp; Roadworks</t>
        </is>
      </c>
      <c r="C263" s="34" t="inlineStr">
        <is>
          <t>Cost &amp; Forecast Control Accounts</t>
        </is>
      </c>
      <c r="D263" s="34" t="inlineStr">
        <is>
          <t>CST-01-064</t>
        </is>
      </c>
      <c r="E263" s="34" t="inlineStr">
        <is>
          <t>Guideway and Civil - roadworks - field package</t>
        </is>
      </c>
      <c r="F263" s="34" t="inlineStr">
        <is>
          <t>ONE_TO_ONE</t>
        </is>
      </c>
      <c r="G263" s="34" t="inlineStr">
        <is>
          <t>APPROVED</t>
        </is>
      </c>
      <c r="H263" s="34" t="inlineStr">
        <is>
          <t>New</t>
        </is>
      </c>
      <c r="I263" s="34" t="inlineStr">
        <is>
          <t>Source assignment -- not individually reviewed</t>
        </is>
      </c>
      <c r="J263" s="39" t="inlineStr"/>
      <c r="K263" s="34" t="inlineStr">
        <is>
          <t>Source assignment</t>
        </is>
      </c>
      <c r="L263" s="39" t="inlineStr"/>
      <c r="M263" s="34" t="inlineStr">
        <is>
          <t>Initial</t>
        </is>
      </c>
      <c r="N263" s="34" t="inlineStr">
        <is>
          <t>Rev 0</t>
        </is>
      </c>
      <c r="O263" s="34" t="inlineStr">
        <is>
          <t>R1146-v1</t>
        </is>
      </c>
      <c r="P263" s="39" t="inlineStr"/>
      <c r="Q263" s="14" t="inlineStr"/>
      <c r="R263" s="39" t="inlineStr"/>
      <c r="S263" s="39" t="inlineStr"/>
      <c r="T263" s="39" t="inlineStr"/>
      <c r="U263" s="39" t="inlineStr"/>
      <c r="V263" s="34" t="inlineStr">
        <is>
          <t>Cost Account = CA-1064; WBS Code = 1.1.2</t>
        </is>
      </c>
      <c r="W263" s="14" t="inlineStr"/>
    </row>
    <row r="264" ht="49" customHeight="1">
      <c r="A264" s="34" t="inlineStr">
        <is>
          <t>1.1.2</t>
        </is>
      </c>
      <c r="B264" s="34" t="inlineStr">
        <is>
          <t>Guideway and Civil - Utility &amp; Roadworks</t>
        </is>
      </c>
      <c r="C264" s="34" t="inlineStr">
        <is>
          <t>Cost &amp; Forecast Control Accounts</t>
        </is>
      </c>
      <c r="D264" s="34" t="inlineStr">
        <is>
          <t>CST-01-066</t>
        </is>
      </c>
      <c r="E264" s="34" t="inlineStr">
        <is>
          <t>Guideway and Civil - concrete structures - professional services</t>
        </is>
      </c>
      <c r="F264" s="34" t="inlineStr">
        <is>
          <t>ONE_TO_ONE</t>
        </is>
      </c>
      <c r="G264" s="34" t="inlineStr">
        <is>
          <t>APPROVED</t>
        </is>
      </c>
      <c r="H264" s="34" t="inlineStr">
        <is>
          <t>New</t>
        </is>
      </c>
      <c r="I264" s="34" t="inlineStr">
        <is>
          <t>Source assignment -- not individually reviewed</t>
        </is>
      </c>
      <c r="J264" s="39" t="inlineStr"/>
      <c r="K264" s="34" t="inlineStr">
        <is>
          <t>Source assignment</t>
        </is>
      </c>
      <c r="L264" s="39" t="inlineStr"/>
      <c r="M264" s="34" t="inlineStr">
        <is>
          <t>Initial</t>
        </is>
      </c>
      <c r="N264" s="34" t="inlineStr">
        <is>
          <t>Rev 0</t>
        </is>
      </c>
      <c r="O264" s="34" t="inlineStr">
        <is>
          <t>R1148-v1</t>
        </is>
      </c>
      <c r="P264" s="39" t="inlineStr"/>
      <c r="Q264" s="14" t="inlineStr"/>
      <c r="R264" s="39" t="inlineStr"/>
      <c r="S264" s="39" t="inlineStr"/>
      <c r="T264" s="39" t="inlineStr"/>
      <c r="U264" s="39" t="inlineStr"/>
      <c r="V264" s="34" t="inlineStr">
        <is>
          <t>Cost Account = CA-1066; WBS Code = 1.1.2</t>
        </is>
      </c>
      <c r="W264" s="14" t="inlineStr"/>
    </row>
    <row r="265" ht="49" customHeight="1">
      <c r="A265" s="34" t="inlineStr">
        <is>
          <t>1.1.2</t>
        </is>
      </c>
      <c r="B265" s="34" t="inlineStr">
        <is>
          <t>Guideway and Civil - Utility &amp; Roadworks</t>
        </is>
      </c>
      <c r="C265" s="34" t="inlineStr">
        <is>
          <t>Cost &amp; Forecast Control Accounts</t>
        </is>
      </c>
      <c r="D265" s="34" t="inlineStr">
        <is>
          <t>CST-01-068</t>
        </is>
      </c>
      <c r="E265" s="34" t="inlineStr">
        <is>
          <t>Guideway and Civil - temporary works - closeout</t>
        </is>
      </c>
      <c r="F265" s="34" t="inlineStr">
        <is>
          <t>ONE_TO_ONE</t>
        </is>
      </c>
      <c r="G265" s="34" t="inlineStr">
        <is>
          <t>APPROVED</t>
        </is>
      </c>
      <c r="H265" s="34" t="inlineStr">
        <is>
          <t>New</t>
        </is>
      </c>
      <c r="I265" s="34" t="inlineStr">
        <is>
          <t>Source assignment -- not individually reviewed</t>
        </is>
      </c>
      <c r="J265" s="39" t="inlineStr"/>
      <c r="K265" s="34" t="inlineStr">
        <is>
          <t>Source assignment</t>
        </is>
      </c>
      <c r="L265" s="39" t="inlineStr"/>
      <c r="M265" s="34" t="inlineStr">
        <is>
          <t>Initial</t>
        </is>
      </c>
      <c r="N265" s="34" t="inlineStr">
        <is>
          <t>Rev 0</t>
        </is>
      </c>
      <c r="O265" s="34" t="inlineStr">
        <is>
          <t>R1150-v1</t>
        </is>
      </c>
      <c r="P265" s="39" t="inlineStr"/>
      <c r="Q265" s="14" t="inlineStr"/>
      <c r="R265" s="39" t="inlineStr"/>
      <c r="S265" s="39" t="inlineStr"/>
      <c r="T265" s="39" t="inlineStr"/>
      <c r="U265" s="39" t="inlineStr"/>
      <c r="V265" s="34" t="inlineStr">
        <is>
          <t>Cost Account = CA-1068; WBS Code = 1.1.2</t>
        </is>
      </c>
      <c r="W265" s="14" t="inlineStr"/>
    </row>
    <row r="266" ht="49" customHeight="1">
      <c r="A266" s="34" t="inlineStr">
        <is>
          <t>1.1.2</t>
        </is>
      </c>
      <c r="B266" s="34" t="inlineStr">
        <is>
          <t>Guideway and Civil - Utility &amp; Roadworks</t>
        </is>
      </c>
      <c r="C266" s="34" t="inlineStr">
        <is>
          <t>Cost &amp; Forecast Control Accounts</t>
        </is>
      </c>
      <c r="D266" s="34" t="inlineStr">
        <is>
          <t>CST-01-070</t>
        </is>
      </c>
      <c r="E266" s="34" t="inlineStr">
        <is>
          <t>Guideway and Civil - roadworks - supply and install</t>
        </is>
      </c>
      <c r="F266" s="34" t="inlineStr">
        <is>
          <t>ONE_TO_ONE</t>
        </is>
      </c>
      <c r="G266" s="34" t="inlineStr">
        <is>
          <t>APPROVED</t>
        </is>
      </c>
      <c r="H266" s="34" t="inlineStr">
        <is>
          <t>New</t>
        </is>
      </c>
      <c r="I266" s="34" t="inlineStr">
        <is>
          <t>Source assignment -- not individually reviewed</t>
        </is>
      </c>
      <c r="J266" s="39" t="inlineStr"/>
      <c r="K266" s="34" t="inlineStr">
        <is>
          <t>Source assignment</t>
        </is>
      </c>
      <c r="L266" s="39" t="inlineStr"/>
      <c r="M266" s="34" t="inlineStr">
        <is>
          <t>Initial</t>
        </is>
      </c>
      <c r="N266" s="34" t="inlineStr">
        <is>
          <t>Rev 0</t>
        </is>
      </c>
      <c r="O266" s="34" t="inlineStr">
        <is>
          <t>R1152-v1</t>
        </is>
      </c>
      <c r="P266" s="39" t="inlineStr"/>
      <c r="Q266" s="14" t="inlineStr"/>
      <c r="R266" s="39" t="inlineStr"/>
      <c r="S266" s="39" t="inlineStr"/>
      <c r="T266" s="39" t="inlineStr"/>
      <c r="U266" s="39" t="inlineStr"/>
      <c r="V266" s="34" t="inlineStr">
        <is>
          <t>Cost Account = CA-1070; WBS Code = 1.1.2</t>
        </is>
      </c>
      <c r="W266" s="14" t="inlineStr"/>
    </row>
    <row r="267" ht="49" customHeight="1">
      <c r="A267" s="34" t="inlineStr">
        <is>
          <t>1.1.2</t>
        </is>
      </c>
      <c r="B267" s="34" t="inlineStr">
        <is>
          <t>Guideway and Civil - Utility &amp; Roadworks</t>
        </is>
      </c>
      <c r="C267" s="34" t="inlineStr">
        <is>
          <t>Cost &amp; Forecast Control Accounts</t>
        </is>
      </c>
      <c r="D267" s="34" t="inlineStr">
        <is>
          <t>CST-01-072</t>
        </is>
      </c>
      <c r="E267" s="34" t="inlineStr">
        <is>
          <t>Guideway and Civil - concrete structures - allowance</t>
        </is>
      </c>
      <c r="F267" s="34" t="inlineStr">
        <is>
          <t>ONE_TO_ONE</t>
        </is>
      </c>
      <c r="G267" s="34" t="inlineStr">
        <is>
          <t>APPROVED</t>
        </is>
      </c>
      <c r="H267" s="34" t="inlineStr">
        <is>
          <t>New</t>
        </is>
      </c>
      <c r="I267" s="34" t="inlineStr">
        <is>
          <t>Source assignment -- not individually reviewed</t>
        </is>
      </c>
      <c r="J267" s="39" t="inlineStr"/>
      <c r="K267" s="34" t="inlineStr">
        <is>
          <t>Source assignment</t>
        </is>
      </c>
      <c r="L267" s="39" t="inlineStr"/>
      <c r="M267" s="34" t="inlineStr">
        <is>
          <t>Initial</t>
        </is>
      </c>
      <c r="N267" s="34" t="inlineStr">
        <is>
          <t>Rev 0</t>
        </is>
      </c>
      <c r="O267" s="34" t="inlineStr">
        <is>
          <t>R1154-v1</t>
        </is>
      </c>
      <c r="P267" s="39" t="inlineStr"/>
      <c r="Q267" s="14" t="inlineStr"/>
      <c r="R267" s="39" t="inlineStr"/>
      <c r="S267" s="39" t="inlineStr"/>
      <c r="T267" s="39" t="inlineStr"/>
      <c r="U267" s="39" t="inlineStr"/>
      <c r="V267" s="34" t="inlineStr">
        <is>
          <t>Cost Account = CA-1072; WBS Code = 1.1.2</t>
        </is>
      </c>
      <c r="W267" s="14" t="inlineStr"/>
    </row>
    <row r="268" ht="49" customHeight="1">
      <c r="A268" s="34" t="inlineStr">
        <is>
          <t>1.1.2</t>
        </is>
      </c>
      <c r="B268" s="34" t="inlineStr">
        <is>
          <t>Guideway and Civil - Utility &amp; Roadworks</t>
        </is>
      </c>
      <c r="C268" s="34" t="inlineStr">
        <is>
          <t>Cost &amp; Forecast Control Accounts</t>
        </is>
      </c>
      <c r="D268" s="34" t="inlineStr">
        <is>
          <t>CST-01-074</t>
        </is>
      </c>
      <c r="E268" s="34" t="inlineStr">
        <is>
          <t>Guideway and Civil - temporary works - field package</t>
        </is>
      </c>
      <c r="F268" s="34" t="inlineStr">
        <is>
          <t>ONE_TO_ONE</t>
        </is>
      </c>
      <c r="G268" s="34" t="inlineStr">
        <is>
          <t>APPROVED</t>
        </is>
      </c>
      <c r="H268" s="34" t="inlineStr">
        <is>
          <t>New</t>
        </is>
      </c>
      <c r="I268" s="34" t="inlineStr">
        <is>
          <t>Source assignment -- not individually reviewed</t>
        </is>
      </c>
      <c r="J268" s="39" t="inlineStr"/>
      <c r="K268" s="34" t="inlineStr">
        <is>
          <t>Source assignment</t>
        </is>
      </c>
      <c r="L268" s="39" t="inlineStr"/>
      <c r="M268" s="34" t="inlineStr">
        <is>
          <t>Initial</t>
        </is>
      </c>
      <c r="N268" s="34" t="inlineStr">
        <is>
          <t>Rev 0</t>
        </is>
      </c>
      <c r="O268" s="34" t="inlineStr">
        <is>
          <t>R1156-v1</t>
        </is>
      </c>
      <c r="P268" s="39" t="inlineStr"/>
      <c r="Q268" s="14" t="inlineStr"/>
      <c r="R268" s="39" t="inlineStr"/>
      <c r="S268" s="39" t="inlineStr"/>
      <c r="T268" s="39" t="inlineStr"/>
      <c r="U268" s="39" t="inlineStr"/>
      <c r="V268" s="34" t="inlineStr">
        <is>
          <t>Cost Account = CA-1074; WBS Code = 1.1.2</t>
        </is>
      </c>
      <c r="W268" s="14" t="inlineStr"/>
    </row>
    <row r="269" ht="49" customHeight="1">
      <c r="A269" s="34" t="inlineStr">
        <is>
          <t>1.1.2</t>
        </is>
      </c>
      <c r="B269" s="34" t="inlineStr">
        <is>
          <t>Guideway and Civil - Utility &amp; Roadworks</t>
        </is>
      </c>
      <c r="C269" s="34" t="inlineStr">
        <is>
          <t>Cost &amp; Forecast Control Accounts</t>
        </is>
      </c>
      <c r="D269" s="34" t="inlineStr">
        <is>
          <t>CST-01-076</t>
        </is>
      </c>
      <c r="E269" s="34" t="inlineStr">
        <is>
          <t>Guideway and Civil - roadworks - professional services</t>
        </is>
      </c>
      <c r="F269" s="34" t="inlineStr">
        <is>
          <t>ONE_TO_ONE</t>
        </is>
      </c>
      <c r="G269" s="34" t="inlineStr">
        <is>
          <t>APPROVED</t>
        </is>
      </c>
      <c r="H269" s="34" t="inlineStr">
        <is>
          <t>New</t>
        </is>
      </c>
      <c r="I269" s="34" t="inlineStr">
        <is>
          <t>Source assignment -- not individually reviewed</t>
        </is>
      </c>
      <c r="J269" s="39" t="inlineStr"/>
      <c r="K269" s="34" t="inlineStr">
        <is>
          <t>Source assignment</t>
        </is>
      </c>
      <c r="L269" s="39" t="inlineStr"/>
      <c r="M269" s="34" t="inlineStr">
        <is>
          <t>Initial</t>
        </is>
      </c>
      <c r="N269" s="34" t="inlineStr">
        <is>
          <t>Rev 0</t>
        </is>
      </c>
      <c r="O269" s="34" t="inlineStr">
        <is>
          <t>R1158-v1</t>
        </is>
      </c>
      <c r="P269" s="39" t="inlineStr"/>
      <c r="Q269" s="14" t="inlineStr"/>
      <c r="R269" s="39" t="inlineStr"/>
      <c r="S269" s="39" t="inlineStr"/>
      <c r="T269" s="39" t="inlineStr"/>
      <c r="U269" s="39" t="inlineStr"/>
      <c r="V269" s="34" t="inlineStr">
        <is>
          <t>Cost Account = CA-1076; WBS Code = 1.1.2</t>
        </is>
      </c>
      <c r="W269" s="14" t="inlineStr"/>
    </row>
    <row r="270" ht="49" customHeight="1">
      <c r="A270" s="34" t="inlineStr">
        <is>
          <t>1.1.2</t>
        </is>
      </c>
      <c r="B270" s="34" t="inlineStr">
        <is>
          <t>Guideway and Civil - Utility &amp; Roadworks</t>
        </is>
      </c>
      <c r="C270" s="34" t="inlineStr">
        <is>
          <t>Cost &amp; Forecast Control Accounts</t>
        </is>
      </c>
      <c r="D270" s="34" t="inlineStr">
        <is>
          <t>CST-01-078</t>
        </is>
      </c>
      <c r="E270" s="34" t="inlineStr">
        <is>
          <t>Guideway and Civil - concrete structures - closeout</t>
        </is>
      </c>
      <c r="F270" s="34" t="inlineStr">
        <is>
          <t>ONE_TO_ONE</t>
        </is>
      </c>
      <c r="G270" s="34" t="inlineStr">
        <is>
          <t>APPROVED</t>
        </is>
      </c>
      <c r="H270" s="34" t="inlineStr">
        <is>
          <t>New</t>
        </is>
      </c>
      <c r="I270" s="34" t="inlineStr">
        <is>
          <t>Source assignment -- not individually reviewed</t>
        </is>
      </c>
      <c r="J270" s="39" t="inlineStr"/>
      <c r="K270" s="34" t="inlineStr">
        <is>
          <t>Source assignment</t>
        </is>
      </c>
      <c r="L270" s="39" t="inlineStr"/>
      <c r="M270" s="34" t="inlineStr">
        <is>
          <t>Initial</t>
        </is>
      </c>
      <c r="N270" s="34" t="inlineStr">
        <is>
          <t>Rev 0</t>
        </is>
      </c>
      <c r="O270" s="34" t="inlineStr">
        <is>
          <t>R1160-v1</t>
        </is>
      </c>
      <c r="P270" s="39" t="inlineStr"/>
      <c r="Q270" s="14" t="inlineStr"/>
      <c r="R270" s="39" t="inlineStr"/>
      <c r="S270" s="39" t="inlineStr"/>
      <c r="T270" s="39" t="inlineStr"/>
      <c r="U270" s="39" t="inlineStr"/>
      <c r="V270" s="34" t="inlineStr">
        <is>
          <t>Cost Account = CA-1078; WBS Code = 1.1.2</t>
        </is>
      </c>
      <c r="W270" s="14" t="inlineStr"/>
    </row>
    <row r="271" ht="49" customHeight="1">
      <c r="A271" s="34" t="inlineStr">
        <is>
          <t>1.1.2</t>
        </is>
      </c>
      <c r="B271" s="34" t="inlineStr">
        <is>
          <t>Guideway and Civil - Utility &amp; Roadworks</t>
        </is>
      </c>
      <c r="C271" s="34" t="inlineStr">
        <is>
          <t>Cost &amp; Forecast Control Accounts</t>
        </is>
      </c>
      <c r="D271" s="34" t="inlineStr">
        <is>
          <t>CST-01-080</t>
        </is>
      </c>
      <c r="E271" s="34" t="inlineStr">
        <is>
          <t>Guideway and Civil - temporary works - supply and install</t>
        </is>
      </c>
      <c r="F271" s="34" t="inlineStr">
        <is>
          <t>ONE_TO_ONE</t>
        </is>
      </c>
      <c r="G271" s="34" t="inlineStr">
        <is>
          <t>APPROVED</t>
        </is>
      </c>
      <c r="H271" s="34" t="inlineStr">
        <is>
          <t>New</t>
        </is>
      </c>
      <c r="I271" s="34" t="inlineStr">
        <is>
          <t>Source assignment -- not individually reviewed</t>
        </is>
      </c>
      <c r="J271" s="39" t="inlineStr"/>
      <c r="K271" s="34" t="inlineStr">
        <is>
          <t>Source assignment</t>
        </is>
      </c>
      <c r="L271" s="39" t="inlineStr"/>
      <c r="M271" s="34" t="inlineStr">
        <is>
          <t>Initial</t>
        </is>
      </c>
      <c r="N271" s="34" t="inlineStr">
        <is>
          <t>Rev 0</t>
        </is>
      </c>
      <c r="O271" s="34" t="inlineStr">
        <is>
          <t>R1162-v1</t>
        </is>
      </c>
      <c r="P271" s="39" t="inlineStr"/>
      <c r="Q271" s="14" t="inlineStr"/>
      <c r="R271" s="39" t="inlineStr"/>
      <c r="S271" s="39" t="inlineStr"/>
      <c r="T271" s="39" t="inlineStr"/>
      <c r="U271" s="39" t="inlineStr"/>
      <c r="V271" s="34" t="inlineStr">
        <is>
          <t>Cost Account = CA-1080; WBS Code = 1.1.2</t>
        </is>
      </c>
      <c r="W271" s="14" t="inlineStr"/>
    </row>
    <row r="272" ht="79" customHeight="1">
      <c r="A272" s="34" t="inlineStr">
        <is>
          <t>1.2</t>
        </is>
      </c>
      <c r="B272" s="34" t="inlineStr">
        <is>
          <t>Stations</t>
        </is>
      </c>
      <c r="C272" s="34" t="inlineStr">
        <is>
          <t>Commercial Package Register</t>
        </is>
      </c>
      <c r="D272" s="34" t="inlineStr">
        <is>
          <t>PKG-001</t>
        </is>
      </c>
      <c r="E272" s="34" t="inlineStr">
        <is>
          <t>Guideway Civil Works</t>
        </is>
      </c>
      <c r="F272" s="34" t="inlineStr">
        <is>
          <t>ONE_TO_MANY</t>
        </is>
      </c>
      <c r="G272" s="34" t="inlineStr">
        <is>
          <t>APPROVED</t>
        </is>
      </c>
      <c r="H272" s="34" t="inlineStr">
        <is>
          <t>New</t>
        </is>
      </c>
      <c r="I272" s="34" t="inlineStr">
        <is>
          <t>Professional decision</t>
        </is>
      </c>
      <c r="J272" s="34" t="inlineStr">
        <is>
          <t>Maya Chen, Owner Project Controls</t>
        </is>
      </c>
      <c r="K272" s="34" t="inlineStr">
        <is>
          <t>Professional</t>
        </is>
      </c>
      <c r="L272" s="34" t="inlineStr">
        <is>
          <t>Split -- basis to be confirmed</t>
        </is>
      </c>
      <c r="M272" s="34" t="inlineStr">
        <is>
          <t>Initial</t>
        </is>
      </c>
      <c r="N272" s="34" t="inlineStr">
        <is>
          <t>Rev 0</t>
        </is>
      </c>
      <c r="O272" s="34" t="inlineStr">
        <is>
          <t>R1563-v2</t>
        </is>
      </c>
      <c r="P272" s="39" t="inlineStr"/>
      <c r="Q272" s="14" t="inlineStr"/>
      <c r="R272" s="39" t="inlineStr"/>
      <c r="S272" s="39" t="inlineStr"/>
      <c r="T272" s="34" t="inlineStr">
        <is>
          <t>Individual</t>
        </is>
      </c>
      <c r="U272" s="39" t="inlineStr"/>
      <c r="V272" s="34" t="inlineStr">
        <is>
          <t>Package Code = PK-101; WBS Code = 1.1;1.2</t>
        </is>
      </c>
      <c r="W272" s="34" t="inlineStr">
        <is>
          <t>Source states 'WBS Code' = '1.1;1.2' -- names no element of this WBS -- professional reason (Maya Chen, Owner Project Controls): Source package register explicitly states both Owner-WBS branches.</t>
        </is>
      </c>
    </row>
    <row r="273" ht="49" customHeight="1">
      <c r="A273" s="34" t="inlineStr">
        <is>
          <t>1.2</t>
        </is>
      </c>
      <c r="B273" s="34" t="inlineStr">
        <is>
          <t>Stations</t>
        </is>
      </c>
      <c r="C273" s="34" t="inlineStr">
        <is>
          <t>Commercial Package Register</t>
        </is>
      </c>
      <c r="D273" s="34" t="inlineStr">
        <is>
          <t>PKG-011</t>
        </is>
      </c>
      <c r="E273" s="34" t="inlineStr">
        <is>
          <t>Station Structural Works</t>
        </is>
      </c>
      <c r="F273" s="34" t="inlineStr">
        <is>
          <t>ONE_TO_ONE</t>
        </is>
      </c>
      <c r="G273" s="34" t="inlineStr">
        <is>
          <t>APPROVED</t>
        </is>
      </c>
      <c r="H273" s="34" t="inlineStr">
        <is>
          <t>New</t>
        </is>
      </c>
      <c r="I273" s="34" t="inlineStr">
        <is>
          <t>Source assignment -- not individually reviewed</t>
        </is>
      </c>
      <c r="J273" s="39" t="inlineStr"/>
      <c r="K273" s="34" t="inlineStr">
        <is>
          <t>Source assignment</t>
        </is>
      </c>
      <c r="L273" s="39" t="inlineStr"/>
      <c r="M273" s="34" t="inlineStr">
        <is>
          <t>Initial</t>
        </is>
      </c>
      <c r="N273" s="34" t="inlineStr">
        <is>
          <t>Rev 0</t>
        </is>
      </c>
      <c r="O273" s="34" t="inlineStr">
        <is>
          <t>R1573-v1</t>
        </is>
      </c>
      <c r="P273" s="39" t="inlineStr"/>
      <c r="Q273" s="14" t="inlineStr"/>
      <c r="R273" s="39" t="inlineStr"/>
      <c r="S273" s="39" t="inlineStr"/>
      <c r="T273" s="39" t="inlineStr"/>
      <c r="U273" s="39" t="inlineStr"/>
      <c r="V273" s="34" t="inlineStr">
        <is>
          <t>Package Code = PK-201; WBS Code = 1.2</t>
        </is>
      </c>
      <c r="W273" s="14" t="inlineStr"/>
    </row>
    <row r="274" ht="49" customHeight="1">
      <c r="A274" s="34" t="inlineStr">
        <is>
          <t>1.2</t>
        </is>
      </c>
      <c r="B274" s="34" t="inlineStr">
        <is>
          <t>Stations</t>
        </is>
      </c>
      <c r="C274" s="34" t="inlineStr">
        <is>
          <t>Commercial Package Register</t>
        </is>
      </c>
      <c r="D274" s="34" t="inlineStr">
        <is>
          <t>PKG-012</t>
        </is>
      </c>
      <c r="E274" s="34" t="inlineStr">
        <is>
          <t>Station Fit-Out</t>
        </is>
      </c>
      <c r="F274" s="34" t="inlineStr">
        <is>
          <t>ONE_TO_ONE</t>
        </is>
      </c>
      <c r="G274" s="34" t="inlineStr">
        <is>
          <t>APPROVED</t>
        </is>
      </c>
      <c r="H274" s="34" t="inlineStr">
        <is>
          <t>New</t>
        </is>
      </c>
      <c r="I274" s="34" t="inlineStr">
        <is>
          <t>Source assignment -- not individually reviewed</t>
        </is>
      </c>
      <c r="J274" s="39" t="inlineStr"/>
      <c r="K274" s="34" t="inlineStr">
        <is>
          <t>Source assignment</t>
        </is>
      </c>
      <c r="L274" s="39" t="inlineStr"/>
      <c r="M274" s="34" t="inlineStr">
        <is>
          <t>Initial</t>
        </is>
      </c>
      <c r="N274" s="34" t="inlineStr">
        <is>
          <t>Rev 0</t>
        </is>
      </c>
      <c r="O274" s="34" t="inlineStr">
        <is>
          <t>R1574-v1</t>
        </is>
      </c>
      <c r="P274" s="39" t="inlineStr"/>
      <c r="Q274" s="14" t="inlineStr"/>
      <c r="R274" s="39" t="inlineStr"/>
      <c r="S274" s="39" t="inlineStr"/>
      <c r="T274" s="39" t="inlineStr"/>
      <c r="U274" s="39" t="inlineStr"/>
      <c r="V274" s="34" t="inlineStr">
        <is>
          <t>Package Code = PK-202; WBS Code = 1.2</t>
        </is>
      </c>
      <c r="W274" s="14" t="inlineStr"/>
    </row>
    <row r="275" ht="49" customHeight="1">
      <c r="A275" s="34" t="inlineStr">
        <is>
          <t>1.2</t>
        </is>
      </c>
      <c r="B275" s="34" t="inlineStr">
        <is>
          <t>Stations</t>
        </is>
      </c>
      <c r="C275" s="34" t="inlineStr">
        <is>
          <t>Commercial Package Register</t>
        </is>
      </c>
      <c r="D275" s="34" t="inlineStr">
        <is>
          <t>PKG-013</t>
        </is>
      </c>
      <c r="E275" s="34" t="inlineStr">
        <is>
          <t>Building Services</t>
        </is>
      </c>
      <c r="F275" s="34" t="inlineStr">
        <is>
          <t>ONE_TO_ONE</t>
        </is>
      </c>
      <c r="G275" s="34" t="inlineStr">
        <is>
          <t>APPROVED</t>
        </is>
      </c>
      <c r="H275" s="34" t="inlineStr">
        <is>
          <t>New</t>
        </is>
      </c>
      <c r="I275" s="34" t="inlineStr">
        <is>
          <t>Source assignment -- not individually reviewed</t>
        </is>
      </c>
      <c r="J275" s="39" t="inlineStr"/>
      <c r="K275" s="34" t="inlineStr">
        <is>
          <t>Source assignment</t>
        </is>
      </c>
      <c r="L275" s="39" t="inlineStr"/>
      <c r="M275" s="34" t="inlineStr">
        <is>
          <t>Initial</t>
        </is>
      </c>
      <c r="N275" s="34" t="inlineStr">
        <is>
          <t>Rev 0</t>
        </is>
      </c>
      <c r="O275" s="34" t="inlineStr">
        <is>
          <t>R1575-v1</t>
        </is>
      </c>
      <c r="P275" s="39" t="inlineStr"/>
      <c r="Q275" s="14" t="inlineStr"/>
      <c r="R275" s="39" t="inlineStr"/>
      <c r="S275" s="39" t="inlineStr"/>
      <c r="T275" s="39" t="inlineStr"/>
      <c r="U275" s="39" t="inlineStr"/>
      <c r="V275" s="34" t="inlineStr">
        <is>
          <t>Package Code = PK-203; WBS Code = 1.2</t>
        </is>
      </c>
      <c r="W275" s="14" t="inlineStr"/>
    </row>
    <row r="276" ht="49" customHeight="1">
      <c r="A276" s="34" t="inlineStr">
        <is>
          <t>1.2</t>
        </is>
      </c>
      <c r="B276" s="34" t="inlineStr">
        <is>
          <t>Stations</t>
        </is>
      </c>
      <c r="C276" s="34" t="inlineStr">
        <is>
          <t>Commercial Package Register</t>
        </is>
      </c>
      <c r="D276" s="34" t="inlineStr">
        <is>
          <t>PKG-014</t>
        </is>
      </c>
      <c r="E276" s="34" t="inlineStr">
        <is>
          <t>Public Realm</t>
        </is>
      </c>
      <c r="F276" s="34" t="inlineStr">
        <is>
          <t>ONE_TO_ONE</t>
        </is>
      </c>
      <c r="G276" s="34" t="inlineStr">
        <is>
          <t>APPROVED</t>
        </is>
      </c>
      <c r="H276" s="34" t="inlineStr">
        <is>
          <t>New</t>
        </is>
      </c>
      <c r="I276" s="34" t="inlineStr">
        <is>
          <t>Source assignment -- not individually reviewed</t>
        </is>
      </c>
      <c r="J276" s="39" t="inlineStr"/>
      <c r="K276" s="34" t="inlineStr">
        <is>
          <t>Source assignment</t>
        </is>
      </c>
      <c r="L276" s="39" t="inlineStr"/>
      <c r="M276" s="34" t="inlineStr">
        <is>
          <t>Initial</t>
        </is>
      </c>
      <c r="N276" s="34" t="inlineStr">
        <is>
          <t>Rev 0</t>
        </is>
      </c>
      <c r="O276" s="34" t="inlineStr">
        <is>
          <t>R1576-v1</t>
        </is>
      </c>
      <c r="P276" s="39" t="inlineStr"/>
      <c r="Q276" s="14" t="inlineStr"/>
      <c r="R276" s="39" t="inlineStr"/>
      <c r="S276" s="39" t="inlineStr"/>
      <c r="T276" s="39" t="inlineStr"/>
      <c r="U276" s="39" t="inlineStr"/>
      <c r="V276" s="34" t="inlineStr">
        <is>
          <t>Package Code = PK-204; WBS Code = 1.2</t>
        </is>
      </c>
      <c r="W276" s="14" t="inlineStr"/>
    </row>
    <row r="277" ht="49" customHeight="1">
      <c r="A277" s="34" t="inlineStr">
        <is>
          <t>1.2</t>
        </is>
      </c>
      <c r="B277" s="34" t="inlineStr">
        <is>
          <t>Stations</t>
        </is>
      </c>
      <c r="C277" s="34" t="inlineStr">
        <is>
          <t>Commercial Package Register</t>
        </is>
      </c>
      <c r="D277" s="34" t="inlineStr">
        <is>
          <t>PKG-015</t>
        </is>
      </c>
      <c r="E277" s="34" t="inlineStr">
        <is>
          <t>Station Structural Works - Lot 2</t>
        </is>
      </c>
      <c r="F277" s="34" t="inlineStr">
        <is>
          <t>ONE_TO_ONE</t>
        </is>
      </c>
      <c r="G277" s="34" t="inlineStr">
        <is>
          <t>APPROVED</t>
        </is>
      </c>
      <c r="H277" s="34" t="inlineStr">
        <is>
          <t>New</t>
        </is>
      </c>
      <c r="I277" s="34" t="inlineStr">
        <is>
          <t>Source assignment -- not individually reviewed</t>
        </is>
      </c>
      <c r="J277" s="39" t="inlineStr"/>
      <c r="K277" s="34" t="inlineStr">
        <is>
          <t>Source assignment</t>
        </is>
      </c>
      <c r="L277" s="39" t="inlineStr"/>
      <c r="M277" s="34" t="inlineStr">
        <is>
          <t>Initial</t>
        </is>
      </c>
      <c r="N277" s="34" t="inlineStr">
        <is>
          <t>Rev 0</t>
        </is>
      </c>
      <c r="O277" s="34" t="inlineStr">
        <is>
          <t>R1577-v1</t>
        </is>
      </c>
      <c r="P277" s="39" t="inlineStr"/>
      <c r="Q277" s="14" t="inlineStr"/>
      <c r="R277" s="39" t="inlineStr"/>
      <c r="S277" s="39" t="inlineStr"/>
      <c r="T277" s="39" t="inlineStr"/>
      <c r="U277" s="39" t="inlineStr"/>
      <c r="V277" s="34" t="inlineStr">
        <is>
          <t>Package Code = PK-205; WBS Code = 1.2</t>
        </is>
      </c>
      <c r="W277" s="14" t="inlineStr"/>
    </row>
    <row r="278" ht="49" customHeight="1">
      <c r="A278" s="34" t="inlineStr">
        <is>
          <t>1.2</t>
        </is>
      </c>
      <c r="B278" s="34" t="inlineStr">
        <is>
          <t>Stations</t>
        </is>
      </c>
      <c r="C278" s="34" t="inlineStr">
        <is>
          <t>Commercial Package Register</t>
        </is>
      </c>
      <c r="D278" s="34" t="inlineStr">
        <is>
          <t>PKG-016</t>
        </is>
      </c>
      <c r="E278" s="34" t="inlineStr">
        <is>
          <t>Station Fit-Out - Lot 2</t>
        </is>
      </c>
      <c r="F278" s="34" t="inlineStr">
        <is>
          <t>ONE_TO_ONE</t>
        </is>
      </c>
      <c r="G278" s="34" t="inlineStr">
        <is>
          <t>APPROVED</t>
        </is>
      </c>
      <c r="H278" s="34" t="inlineStr">
        <is>
          <t>New</t>
        </is>
      </c>
      <c r="I278" s="34" t="inlineStr">
        <is>
          <t>Source assignment -- not individually reviewed</t>
        </is>
      </c>
      <c r="J278" s="39" t="inlineStr"/>
      <c r="K278" s="34" t="inlineStr">
        <is>
          <t>Source assignment</t>
        </is>
      </c>
      <c r="L278" s="39" t="inlineStr"/>
      <c r="M278" s="34" t="inlineStr">
        <is>
          <t>Initial</t>
        </is>
      </c>
      <c r="N278" s="34" t="inlineStr">
        <is>
          <t>Rev 0</t>
        </is>
      </c>
      <c r="O278" s="34" t="inlineStr">
        <is>
          <t>R1578-v1</t>
        </is>
      </c>
      <c r="P278" s="39" t="inlineStr"/>
      <c r="Q278" s="14" t="inlineStr"/>
      <c r="R278" s="39" t="inlineStr"/>
      <c r="S278" s="39" t="inlineStr"/>
      <c r="T278" s="39" t="inlineStr"/>
      <c r="U278" s="39" t="inlineStr"/>
      <c r="V278" s="34" t="inlineStr">
        <is>
          <t>Package Code = PK-206; WBS Code = 1.2</t>
        </is>
      </c>
      <c r="W278" s="14" t="inlineStr"/>
    </row>
    <row r="279" ht="49" customHeight="1">
      <c r="A279" s="34" t="inlineStr">
        <is>
          <t>1.2</t>
        </is>
      </c>
      <c r="B279" s="34" t="inlineStr">
        <is>
          <t>Stations</t>
        </is>
      </c>
      <c r="C279" s="34" t="inlineStr">
        <is>
          <t>Commercial Package Register</t>
        </is>
      </c>
      <c r="D279" s="34" t="inlineStr">
        <is>
          <t>PKG-017</t>
        </is>
      </c>
      <c r="E279" s="34" t="inlineStr">
        <is>
          <t>Building Services - Lot 2</t>
        </is>
      </c>
      <c r="F279" s="34" t="inlineStr">
        <is>
          <t>ONE_TO_ONE</t>
        </is>
      </c>
      <c r="G279" s="34" t="inlineStr">
        <is>
          <t>APPROVED</t>
        </is>
      </c>
      <c r="H279" s="34" t="inlineStr">
        <is>
          <t>New</t>
        </is>
      </c>
      <c r="I279" s="34" t="inlineStr">
        <is>
          <t>Source assignment -- not individually reviewed</t>
        </is>
      </c>
      <c r="J279" s="39" t="inlineStr"/>
      <c r="K279" s="34" t="inlineStr">
        <is>
          <t>Source assignment</t>
        </is>
      </c>
      <c r="L279" s="39" t="inlineStr"/>
      <c r="M279" s="34" t="inlineStr">
        <is>
          <t>Initial</t>
        </is>
      </c>
      <c r="N279" s="34" t="inlineStr">
        <is>
          <t>Rev 0</t>
        </is>
      </c>
      <c r="O279" s="34" t="inlineStr">
        <is>
          <t>R1579-v1</t>
        </is>
      </c>
      <c r="P279" s="39" t="inlineStr"/>
      <c r="Q279" s="14" t="inlineStr"/>
      <c r="R279" s="39" t="inlineStr"/>
      <c r="S279" s="39" t="inlineStr"/>
      <c r="T279" s="39" t="inlineStr"/>
      <c r="U279" s="39" t="inlineStr"/>
      <c r="V279" s="34" t="inlineStr">
        <is>
          <t>Package Code = PK-207; WBS Code = 1.2</t>
        </is>
      </c>
      <c r="W279" s="14" t="inlineStr"/>
    </row>
    <row r="280" ht="49" customHeight="1">
      <c r="A280" s="34" t="inlineStr">
        <is>
          <t>1.2</t>
        </is>
      </c>
      <c r="B280" s="34" t="inlineStr">
        <is>
          <t>Stations</t>
        </is>
      </c>
      <c r="C280" s="34" t="inlineStr">
        <is>
          <t>Commercial Package Register</t>
        </is>
      </c>
      <c r="D280" s="34" t="inlineStr">
        <is>
          <t>PKG-018</t>
        </is>
      </c>
      <c r="E280" s="34" t="inlineStr">
        <is>
          <t>Public Realm - Lot 2</t>
        </is>
      </c>
      <c r="F280" s="34" t="inlineStr">
        <is>
          <t>ONE_TO_ONE</t>
        </is>
      </c>
      <c r="G280" s="34" t="inlineStr">
        <is>
          <t>APPROVED</t>
        </is>
      </c>
      <c r="H280" s="34" t="inlineStr">
        <is>
          <t>New</t>
        </is>
      </c>
      <c r="I280" s="34" t="inlineStr">
        <is>
          <t>Source assignment -- not individually reviewed</t>
        </is>
      </c>
      <c r="J280" s="39" t="inlineStr"/>
      <c r="K280" s="34" t="inlineStr">
        <is>
          <t>Source assignment</t>
        </is>
      </c>
      <c r="L280" s="39" t="inlineStr"/>
      <c r="M280" s="34" t="inlineStr">
        <is>
          <t>Initial</t>
        </is>
      </c>
      <c r="N280" s="34" t="inlineStr">
        <is>
          <t>Rev 0</t>
        </is>
      </c>
      <c r="O280" s="34" t="inlineStr">
        <is>
          <t>R1580-v1</t>
        </is>
      </c>
      <c r="P280" s="39" t="inlineStr"/>
      <c r="Q280" s="14" t="inlineStr"/>
      <c r="R280" s="39" t="inlineStr"/>
      <c r="S280" s="39" t="inlineStr"/>
      <c r="T280" s="39" t="inlineStr"/>
      <c r="U280" s="39" t="inlineStr"/>
      <c r="V280" s="34" t="inlineStr">
        <is>
          <t>Package Code = PK-208; WBS Code = 1.2</t>
        </is>
      </c>
      <c r="W280" s="14" t="inlineStr"/>
    </row>
    <row r="281" ht="49" customHeight="1">
      <c r="A281" s="34" t="inlineStr">
        <is>
          <t>1.2</t>
        </is>
      </c>
      <c r="B281" s="34" t="inlineStr">
        <is>
          <t>Stations</t>
        </is>
      </c>
      <c r="C281" s="34" t="inlineStr">
        <is>
          <t>Commercial Package Register</t>
        </is>
      </c>
      <c r="D281" s="34" t="inlineStr">
        <is>
          <t>PKG-019</t>
        </is>
      </c>
      <c r="E281" s="34" t="inlineStr">
        <is>
          <t>Station Structural Works - Lot 3</t>
        </is>
      </c>
      <c r="F281" s="34" t="inlineStr">
        <is>
          <t>ONE_TO_ONE</t>
        </is>
      </c>
      <c r="G281" s="34" t="inlineStr">
        <is>
          <t>APPROVED</t>
        </is>
      </c>
      <c r="H281" s="34" t="inlineStr">
        <is>
          <t>New</t>
        </is>
      </c>
      <c r="I281" s="34" t="inlineStr">
        <is>
          <t>Source assignment -- not individually reviewed</t>
        </is>
      </c>
      <c r="J281" s="39" t="inlineStr"/>
      <c r="K281" s="34" t="inlineStr">
        <is>
          <t>Source assignment</t>
        </is>
      </c>
      <c r="L281" s="39" t="inlineStr"/>
      <c r="M281" s="34" t="inlineStr">
        <is>
          <t>Initial</t>
        </is>
      </c>
      <c r="N281" s="34" t="inlineStr">
        <is>
          <t>Rev 0</t>
        </is>
      </c>
      <c r="O281" s="34" t="inlineStr">
        <is>
          <t>R1581-v1</t>
        </is>
      </c>
      <c r="P281" s="39" t="inlineStr"/>
      <c r="Q281" s="14" t="inlineStr"/>
      <c r="R281" s="39" t="inlineStr"/>
      <c r="S281" s="39" t="inlineStr"/>
      <c r="T281" s="39" t="inlineStr"/>
      <c r="U281" s="39" t="inlineStr"/>
      <c r="V281" s="34" t="inlineStr">
        <is>
          <t>Package Code = PK-209; WBS Code = 1.2</t>
        </is>
      </c>
      <c r="W281" s="14" t="inlineStr"/>
    </row>
    <row r="282" ht="49" customHeight="1">
      <c r="A282" s="34" t="inlineStr">
        <is>
          <t>1.2</t>
        </is>
      </c>
      <c r="B282" s="34" t="inlineStr">
        <is>
          <t>Stations</t>
        </is>
      </c>
      <c r="C282" s="34" t="inlineStr">
        <is>
          <t>Commercial Package Register</t>
        </is>
      </c>
      <c r="D282" s="34" t="inlineStr">
        <is>
          <t>PKG-020</t>
        </is>
      </c>
      <c r="E282" s="34" t="inlineStr">
        <is>
          <t>Station Fit-Out - Lot 3</t>
        </is>
      </c>
      <c r="F282" s="34" t="inlineStr">
        <is>
          <t>ONE_TO_ONE</t>
        </is>
      </c>
      <c r="G282" s="34" t="inlineStr">
        <is>
          <t>APPROVED</t>
        </is>
      </c>
      <c r="H282" s="34" t="inlineStr">
        <is>
          <t>New</t>
        </is>
      </c>
      <c r="I282" s="34" t="inlineStr">
        <is>
          <t>Source assignment -- not individually reviewed</t>
        </is>
      </c>
      <c r="J282" s="39" t="inlineStr"/>
      <c r="K282" s="34" t="inlineStr">
        <is>
          <t>Source assignment</t>
        </is>
      </c>
      <c r="L282" s="39" t="inlineStr"/>
      <c r="M282" s="34" t="inlineStr">
        <is>
          <t>Initial</t>
        </is>
      </c>
      <c r="N282" s="34" t="inlineStr">
        <is>
          <t>Rev 0</t>
        </is>
      </c>
      <c r="O282" s="34" t="inlineStr">
        <is>
          <t>R1582-v1</t>
        </is>
      </c>
      <c r="P282" s="39" t="inlineStr"/>
      <c r="Q282" s="14" t="inlineStr"/>
      <c r="R282" s="39" t="inlineStr"/>
      <c r="S282" s="39" t="inlineStr"/>
      <c r="T282" s="39" t="inlineStr"/>
      <c r="U282" s="39" t="inlineStr"/>
      <c r="V282" s="34" t="inlineStr">
        <is>
          <t>Package Code = PK-210; WBS Code = 1.2</t>
        </is>
      </c>
      <c r="W282" s="14" t="inlineStr"/>
    </row>
    <row r="283" ht="49" customHeight="1">
      <c r="A283" s="34" t="inlineStr">
        <is>
          <t>1.2.1</t>
        </is>
      </c>
      <c r="B283" s="34" t="inlineStr">
        <is>
          <t>Stations - Station Structures</t>
        </is>
      </c>
      <c r="C283" s="34" t="inlineStr">
        <is>
          <t>Contractor Programme</t>
        </is>
      </c>
      <c r="D283" s="34" t="inlineStr">
        <is>
          <t>SCH-02-001</t>
        </is>
      </c>
      <c r="E283" s="34" t="inlineStr">
        <is>
          <t>Harbour Station: vertical-transport installation - inspection</t>
        </is>
      </c>
      <c r="F283" s="34" t="inlineStr">
        <is>
          <t>ONE_TO_ONE</t>
        </is>
      </c>
      <c r="G283" s="34" t="inlineStr">
        <is>
          <t>APPROVED</t>
        </is>
      </c>
      <c r="H283" s="34" t="inlineStr">
        <is>
          <t>New</t>
        </is>
      </c>
      <c r="I283" s="34" t="inlineStr">
        <is>
          <t>Source assignment -- not individually reviewed</t>
        </is>
      </c>
      <c r="J283" s="39" t="inlineStr"/>
      <c r="K283" s="34" t="inlineStr">
        <is>
          <t>Source assignment</t>
        </is>
      </c>
      <c r="L283" s="39" t="inlineStr"/>
      <c r="M283" s="34" t="inlineStr">
        <is>
          <t>Initial</t>
        </is>
      </c>
      <c r="N283" s="34" t="inlineStr">
        <is>
          <t>Rev 0</t>
        </is>
      </c>
      <c r="O283" s="34" t="inlineStr">
        <is>
          <t>R181-v1</t>
        </is>
      </c>
      <c r="P283" s="39" t="inlineStr"/>
      <c r="Q283" s="14" t="inlineStr"/>
      <c r="R283" s="39" t="inlineStr"/>
      <c r="S283" s="39" t="inlineStr"/>
      <c r="T283" s="39" t="inlineStr"/>
      <c r="U283" s="39" t="inlineStr"/>
      <c r="V283" s="34" t="inlineStr">
        <is>
          <t>WBS Code = 1.2.1</t>
        </is>
      </c>
      <c r="W283" s="14" t="inlineStr"/>
    </row>
    <row r="284" ht="49" customHeight="1">
      <c r="A284" s="34" t="inlineStr">
        <is>
          <t>1.2.1</t>
        </is>
      </c>
      <c r="B284" s="34" t="inlineStr">
        <is>
          <t>Stations - Station Structures</t>
        </is>
      </c>
      <c r="C284" s="34" t="inlineStr">
        <is>
          <t>Contractor Programme</t>
        </is>
      </c>
      <c r="D284" s="34" t="inlineStr">
        <is>
          <t>SCH-02-002</t>
        </is>
      </c>
      <c r="E284" s="34" t="inlineStr">
        <is>
          <t>Market Station: platform edge installation - turnover</t>
        </is>
      </c>
      <c r="F284" s="34" t="inlineStr">
        <is>
          <t>ONE_TO_ONE</t>
        </is>
      </c>
      <c r="G284" s="34" t="inlineStr">
        <is>
          <t>APPROVED</t>
        </is>
      </c>
      <c r="H284" s="34" t="inlineStr">
        <is>
          <t>New</t>
        </is>
      </c>
      <c r="I284" s="34" t="inlineStr">
        <is>
          <t>Source assignment -- not individually reviewed</t>
        </is>
      </c>
      <c r="J284" s="39" t="inlineStr"/>
      <c r="K284" s="34" t="inlineStr">
        <is>
          <t>Source assignment</t>
        </is>
      </c>
      <c r="L284" s="39" t="inlineStr"/>
      <c r="M284" s="34" t="inlineStr">
        <is>
          <t>Initial</t>
        </is>
      </c>
      <c r="N284" s="34" t="inlineStr">
        <is>
          <t>Rev 0</t>
        </is>
      </c>
      <c r="O284" s="34" t="inlineStr">
        <is>
          <t>R182-v1</t>
        </is>
      </c>
      <c r="P284" s="39" t="inlineStr"/>
      <c r="Q284" s="14" t="inlineStr"/>
      <c r="R284" s="39" t="inlineStr"/>
      <c r="S284" s="39" t="inlineStr"/>
      <c r="T284" s="39" t="inlineStr"/>
      <c r="U284" s="39" t="inlineStr"/>
      <c r="V284" s="34" t="inlineStr">
        <is>
          <t>WBS Code = 1.2.1</t>
        </is>
      </c>
      <c r="W284" s="14" t="inlineStr"/>
    </row>
    <row r="285" ht="49" customHeight="1">
      <c r="A285" s="34" t="inlineStr">
        <is>
          <t>1.2.1</t>
        </is>
      </c>
      <c r="B285" s="34" t="inlineStr">
        <is>
          <t>Stations - Station Structures</t>
        </is>
      </c>
      <c r="C285" s="34" t="inlineStr">
        <is>
          <t>Contractor Programme</t>
        </is>
      </c>
      <c r="D285" s="34" t="inlineStr">
        <is>
          <t>SCH-02-004</t>
        </is>
      </c>
      <c r="E285" s="34" t="inlineStr">
        <is>
          <t>University Station: fire-life-safety cabling - field start</t>
        </is>
      </c>
      <c r="F285" s="34" t="inlineStr">
        <is>
          <t>ONE_TO_ONE</t>
        </is>
      </c>
      <c r="G285" s="34" t="inlineStr">
        <is>
          <t>APPROVED</t>
        </is>
      </c>
      <c r="H285" s="34" t="inlineStr">
        <is>
          <t>New</t>
        </is>
      </c>
      <c r="I285" s="34" t="inlineStr">
        <is>
          <t>Source assignment -- not individually reviewed</t>
        </is>
      </c>
      <c r="J285" s="39" t="inlineStr"/>
      <c r="K285" s="34" t="inlineStr">
        <is>
          <t>Source assignment</t>
        </is>
      </c>
      <c r="L285" s="39" t="inlineStr"/>
      <c r="M285" s="34" t="inlineStr">
        <is>
          <t>Initial</t>
        </is>
      </c>
      <c r="N285" s="34" t="inlineStr">
        <is>
          <t>Rev 0</t>
        </is>
      </c>
      <c r="O285" s="34" t="inlineStr">
        <is>
          <t>R184-v1</t>
        </is>
      </c>
      <c r="P285" s="39" t="inlineStr"/>
      <c r="Q285" s="14" t="inlineStr"/>
      <c r="R285" s="39" t="inlineStr"/>
      <c r="S285" s="39" t="inlineStr"/>
      <c r="T285" s="39" t="inlineStr"/>
      <c r="U285" s="39" t="inlineStr"/>
      <c r="V285" s="34" t="inlineStr">
        <is>
          <t>WBS Code = 1.2.1</t>
        </is>
      </c>
      <c r="W285" s="14" t="inlineStr"/>
    </row>
    <row r="286" ht="49" customHeight="1">
      <c r="A286" s="34" t="inlineStr">
        <is>
          <t>1.2.1</t>
        </is>
      </c>
      <c r="B286" s="34" t="inlineStr">
        <is>
          <t>Stations - Station Structures</t>
        </is>
      </c>
      <c r="C286" s="34" t="inlineStr">
        <is>
          <t>Contractor Programme</t>
        </is>
      </c>
      <c r="D286" s="34" t="inlineStr">
        <is>
          <t>SCH-02-005</t>
        </is>
      </c>
      <c r="E286" s="34" t="inlineStr">
        <is>
          <t>Harbour Station: systems room enabling works before communications fit-out</t>
        </is>
      </c>
      <c r="F286" s="34" t="inlineStr">
        <is>
          <t>ONE_TO_ONE</t>
        </is>
      </c>
      <c r="G286" s="34" t="inlineStr">
        <is>
          <t>APPROVED</t>
        </is>
      </c>
      <c r="H286" s="34" t="inlineStr">
        <is>
          <t>New</t>
        </is>
      </c>
      <c r="I286" s="34" t="inlineStr">
        <is>
          <t>Source assignment -- not individually reviewed</t>
        </is>
      </c>
      <c r="J286" s="39" t="inlineStr"/>
      <c r="K286" s="34" t="inlineStr">
        <is>
          <t>Source assignment</t>
        </is>
      </c>
      <c r="L286" s="39" t="inlineStr"/>
      <c r="M286" s="34" t="inlineStr">
        <is>
          <t>Initial</t>
        </is>
      </c>
      <c r="N286" s="34" t="inlineStr">
        <is>
          <t>Rev 0</t>
        </is>
      </c>
      <c r="O286" s="34" t="inlineStr">
        <is>
          <t>R185-v1</t>
        </is>
      </c>
      <c r="P286" s="39" t="inlineStr"/>
      <c r="Q286" s="14" t="inlineStr"/>
      <c r="R286" s="39" t="inlineStr"/>
      <c r="S286" s="39" t="inlineStr"/>
      <c r="T286" s="39" t="inlineStr"/>
      <c r="U286" s="39" t="inlineStr"/>
      <c r="V286" s="34" t="inlineStr">
        <is>
          <t>WBS Code = 1.2.1</t>
        </is>
      </c>
      <c r="W286" s="14" t="inlineStr"/>
    </row>
    <row r="287" ht="49" customHeight="1">
      <c r="A287" s="34" t="inlineStr">
        <is>
          <t>1.2.1</t>
        </is>
      </c>
      <c r="B287" s="34" t="inlineStr">
        <is>
          <t>Stations - Station Structures</t>
        </is>
      </c>
      <c r="C287" s="34" t="inlineStr">
        <is>
          <t>Contractor Programme</t>
        </is>
      </c>
      <c r="D287" s="34" t="inlineStr">
        <is>
          <t>SCH-02-007</t>
        </is>
      </c>
      <c r="E287" s="34" t="inlineStr">
        <is>
          <t>Market Station: public-realm paving - turnover</t>
        </is>
      </c>
      <c r="F287" s="34" t="inlineStr">
        <is>
          <t>ONE_TO_ONE</t>
        </is>
      </c>
      <c r="G287" s="34" t="inlineStr">
        <is>
          <t>APPROVED</t>
        </is>
      </c>
      <c r="H287" s="34" t="inlineStr">
        <is>
          <t>New</t>
        </is>
      </c>
      <c r="I287" s="34" t="inlineStr">
        <is>
          <t>Source assignment -- not individually reviewed</t>
        </is>
      </c>
      <c r="J287" s="39" t="inlineStr"/>
      <c r="K287" s="34" t="inlineStr">
        <is>
          <t>Source assignment</t>
        </is>
      </c>
      <c r="L287" s="39" t="inlineStr"/>
      <c r="M287" s="34" t="inlineStr">
        <is>
          <t>Initial</t>
        </is>
      </c>
      <c r="N287" s="34" t="inlineStr">
        <is>
          <t>Rev 0</t>
        </is>
      </c>
      <c r="O287" s="34" t="inlineStr">
        <is>
          <t>R187-v1</t>
        </is>
      </c>
      <c r="P287" s="39" t="inlineStr"/>
      <c r="Q287" s="14" t="inlineStr"/>
      <c r="R287" s="39" t="inlineStr"/>
      <c r="S287" s="39" t="inlineStr"/>
      <c r="T287" s="39" t="inlineStr"/>
      <c r="U287" s="39" t="inlineStr"/>
      <c r="V287" s="34" t="inlineStr">
        <is>
          <t>WBS Code = 1.2.1</t>
        </is>
      </c>
      <c r="W287" s="14" t="inlineStr"/>
    </row>
    <row r="288" ht="49" customHeight="1">
      <c r="A288" s="34" t="inlineStr">
        <is>
          <t>1.2.1</t>
        </is>
      </c>
      <c r="B288" s="34" t="inlineStr">
        <is>
          <t>Stations - Station Structures</t>
        </is>
      </c>
      <c r="C288" s="34" t="inlineStr">
        <is>
          <t>Contractor Programme</t>
        </is>
      </c>
      <c r="D288" s="34" t="inlineStr">
        <is>
          <t>SCH-02-008</t>
        </is>
      </c>
      <c r="E288" s="34" t="inlineStr">
        <is>
          <t>Civic Station: entrance steel erection - release</t>
        </is>
      </c>
      <c r="F288" s="34" t="inlineStr">
        <is>
          <t>ONE_TO_ONE</t>
        </is>
      </c>
      <c r="G288" s="34" t="inlineStr">
        <is>
          <t>APPROVED</t>
        </is>
      </c>
      <c r="H288" s="34" t="inlineStr">
        <is>
          <t>New</t>
        </is>
      </c>
      <c r="I288" s="34" t="inlineStr">
        <is>
          <t>Source assignment -- not individually reviewed</t>
        </is>
      </c>
      <c r="J288" s="39" t="inlineStr"/>
      <c r="K288" s="34" t="inlineStr">
        <is>
          <t>Source assignment</t>
        </is>
      </c>
      <c r="L288" s="39" t="inlineStr"/>
      <c r="M288" s="34" t="inlineStr">
        <is>
          <t>Initial</t>
        </is>
      </c>
      <c r="N288" s="34" t="inlineStr">
        <is>
          <t>Rev 0</t>
        </is>
      </c>
      <c r="O288" s="34" t="inlineStr">
        <is>
          <t>R188-v1</t>
        </is>
      </c>
      <c r="P288" s="39" t="inlineStr"/>
      <c r="Q288" s="14" t="inlineStr"/>
      <c r="R288" s="39" t="inlineStr"/>
      <c r="S288" s="39" t="inlineStr"/>
      <c r="T288" s="39" t="inlineStr"/>
      <c r="U288" s="39" t="inlineStr"/>
      <c r="V288" s="34" t="inlineStr">
        <is>
          <t>WBS Code = 1.2.1</t>
        </is>
      </c>
      <c r="W288" s="14" t="inlineStr"/>
    </row>
    <row r="289" ht="49" customHeight="1">
      <c r="A289" s="34" t="inlineStr">
        <is>
          <t>1.2.1</t>
        </is>
      </c>
      <c r="B289" s="34" t="inlineStr">
        <is>
          <t>Stations - Station Structures</t>
        </is>
      </c>
      <c r="C289" s="34" t="inlineStr">
        <is>
          <t>Contractor Programme</t>
        </is>
      </c>
      <c r="D289" s="34" t="inlineStr">
        <is>
          <t>SCH-02-010</t>
        </is>
      </c>
      <c r="E289" s="34" t="inlineStr">
        <is>
          <t>West Terminal: platform edge installation - installation</t>
        </is>
      </c>
      <c r="F289" s="34" t="inlineStr">
        <is>
          <t>ONE_TO_ONE</t>
        </is>
      </c>
      <c r="G289" s="34" t="inlineStr">
        <is>
          <t>APPROVED</t>
        </is>
      </c>
      <c r="H289" s="34" t="inlineStr">
        <is>
          <t>New</t>
        </is>
      </c>
      <c r="I289" s="34" t="inlineStr">
        <is>
          <t>Source assignment -- not individually reviewed</t>
        </is>
      </c>
      <c r="J289" s="39" t="inlineStr"/>
      <c r="K289" s="34" t="inlineStr">
        <is>
          <t>Source assignment</t>
        </is>
      </c>
      <c r="L289" s="39" t="inlineStr"/>
      <c r="M289" s="34" t="inlineStr">
        <is>
          <t>Initial</t>
        </is>
      </c>
      <c r="N289" s="34" t="inlineStr">
        <is>
          <t>Rev 0</t>
        </is>
      </c>
      <c r="O289" s="34" t="inlineStr">
        <is>
          <t>R190-v1</t>
        </is>
      </c>
      <c r="P289" s="39" t="inlineStr"/>
      <c r="Q289" s="14" t="inlineStr"/>
      <c r="R289" s="39" t="inlineStr"/>
      <c r="S289" s="39" t="inlineStr"/>
      <c r="T289" s="39" t="inlineStr"/>
      <c r="U289" s="39" t="inlineStr"/>
      <c r="V289" s="34" t="inlineStr">
        <is>
          <t>WBS Code = 1.2.1</t>
        </is>
      </c>
      <c r="W289" s="14" t="inlineStr"/>
    </row>
    <row r="290" ht="49" customHeight="1">
      <c r="A290" s="34" t="inlineStr">
        <is>
          <t>1.2.1</t>
        </is>
      </c>
      <c r="B290" s="34" t="inlineStr">
        <is>
          <t>Stations - Station Structures</t>
        </is>
      </c>
      <c r="C290" s="34" t="inlineStr">
        <is>
          <t>Contractor Programme</t>
        </is>
      </c>
      <c r="D290" s="34" t="inlineStr">
        <is>
          <t>SCH-02-011</t>
        </is>
      </c>
      <c r="E290" s="34" t="inlineStr">
        <is>
          <t>Harbour Station: architectural wall framing - inspection</t>
        </is>
      </c>
      <c r="F290" s="34" t="inlineStr">
        <is>
          <t>ONE_TO_ONE</t>
        </is>
      </c>
      <c r="G290" s="34" t="inlineStr">
        <is>
          <t>APPROVED</t>
        </is>
      </c>
      <c r="H290" s="34" t="inlineStr">
        <is>
          <t>New</t>
        </is>
      </c>
      <c r="I290" s="34" t="inlineStr">
        <is>
          <t>Source assignment -- not individually reviewed</t>
        </is>
      </c>
      <c r="J290" s="39" t="inlineStr"/>
      <c r="K290" s="34" t="inlineStr">
        <is>
          <t>Source assignment</t>
        </is>
      </c>
      <c r="L290" s="39" t="inlineStr"/>
      <c r="M290" s="34" t="inlineStr">
        <is>
          <t>Initial</t>
        </is>
      </c>
      <c r="N290" s="34" t="inlineStr">
        <is>
          <t>Rev 0</t>
        </is>
      </c>
      <c r="O290" s="34" t="inlineStr">
        <is>
          <t>R191-v1</t>
        </is>
      </c>
      <c r="P290" s="39" t="inlineStr"/>
      <c r="Q290" s="14" t="inlineStr"/>
      <c r="R290" s="39" t="inlineStr"/>
      <c r="S290" s="39" t="inlineStr"/>
      <c r="T290" s="39" t="inlineStr"/>
      <c r="U290" s="39" t="inlineStr"/>
      <c r="V290" s="34" t="inlineStr">
        <is>
          <t>WBS Code = 1.2.1</t>
        </is>
      </c>
      <c r="W290" s="14" t="inlineStr"/>
    </row>
    <row r="291" ht="49" customHeight="1">
      <c r="A291" s="34" t="inlineStr">
        <is>
          <t>1.2.1</t>
        </is>
      </c>
      <c r="B291" s="34" t="inlineStr">
        <is>
          <t>Stations - Station Structures</t>
        </is>
      </c>
      <c r="C291" s="34" t="inlineStr">
        <is>
          <t>Contractor Programme</t>
        </is>
      </c>
      <c r="D291" s="34" t="inlineStr">
        <is>
          <t>SCH-02-013</t>
        </is>
      </c>
      <c r="E291" s="34" t="inlineStr">
        <is>
          <t>Civic Station: concourse slab pour - release</t>
        </is>
      </c>
      <c r="F291" s="34" t="inlineStr">
        <is>
          <t>ONE_TO_ONE</t>
        </is>
      </c>
      <c r="G291" s="34" t="inlineStr">
        <is>
          <t>APPROVED</t>
        </is>
      </c>
      <c r="H291" s="34" t="inlineStr">
        <is>
          <t>New</t>
        </is>
      </c>
      <c r="I291" s="34" t="inlineStr">
        <is>
          <t>Source assignment -- not individually reviewed</t>
        </is>
      </c>
      <c r="J291" s="39" t="inlineStr"/>
      <c r="K291" s="34" t="inlineStr">
        <is>
          <t>Source assignment</t>
        </is>
      </c>
      <c r="L291" s="39" t="inlineStr"/>
      <c r="M291" s="34" t="inlineStr">
        <is>
          <t>Initial</t>
        </is>
      </c>
      <c r="N291" s="34" t="inlineStr">
        <is>
          <t>Rev 0</t>
        </is>
      </c>
      <c r="O291" s="34" t="inlineStr">
        <is>
          <t>R193-v1</t>
        </is>
      </c>
      <c r="P291" s="39" t="inlineStr"/>
      <c r="Q291" s="14" t="inlineStr"/>
      <c r="R291" s="39" t="inlineStr"/>
      <c r="S291" s="39" t="inlineStr"/>
      <c r="T291" s="39" t="inlineStr"/>
      <c r="U291" s="39" t="inlineStr"/>
      <c r="V291" s="34" t="inlineStr">
        <is>
          <t>WBS Code = 1.2.1</t>
        </is>
      </c>
      <c r="W291" s="14" t="inlineStr"/>
    </row>
    <row r="292" ht="49" customHeight="1">
      <c r="A292" s="34" t="inlineStr">
        <is>
          <t>1.2.1</t>
        </is>
      </c>
      <c r="B292" s="34" t="inlineStr">
        <is>
          <t>Stations - Station Structures</t>
        </is>
      </c>
      <c r="C292" s="34" t="inlineStr">
        <is>
          <t>Contractor Programme</t>
        </is>
      </c>
      <c r="D292" s="34" t="inlineStr">
        <is>
          <t>SCH-02-014</t>
        </is>
      </c>
      <c r="E292" s="34" t="inlineStr">
        <is>
          <t>University Station: station ventilation rough-in - field start</t>
        </is>
      </c>
      <c r="F292" s="34" t="inlineStr">
        <is>
          <t>ONE_TO_ONE</t>
        </is>
      </c>
      <c r="G292" s="34" t="inlineStr">
        <is>
          <t>APPROVED</t>
        </is>
      </c>
      <c r="H292" s="34" t="inlineStr">
        <is>
          <t>New</t>
        </is>
      </c>
      <c r="I292" s="34" t="inlineStr">
        <is>
          <t>Source assignment -- not individually reviewed</t>
        </is>
      </c>
      <c r="J292" s="39" t="inlineStr"/>
      <c r="K292" s="34" t="inlineStr">
        <is>
          <t>Source assignment</t>
        </is>
      </c>
      <c r="L292" s="39" t="inlineStr"/>
      <c r="M292" s="34" t="inlineStr">
        <is>
          <t>Initial</t>
        </is>
      </c>
      <c r="N292" s="34" t="inlineStr">
        <is>
          <t>Rev 0</t>
        </is>
      </c>
      <c r="O292" s="34" t="inlineStr">
        <is>
          <t>R194-v1</t>
        </is>
      </c>
      <c r="P292" s="39" t="inlineStr"/>
      <c r="Q292" s="14" t="inlineStr"/>
      <c r="R292" s="39" t="inlineStr"/>
      <c r="S292" s="39" t="inlineStr"/>
      <c r="T292" s="39" t="inlineStr"/>
      <c r="U292" s="39" t="inlineStr"/>
      <c r="V292" s="34" t="inlineStr">
        <is>
          <t>WBS Code = 1.2.1</t>
        </is>
      </c>
      <c r="W292" s="14" t="inlineStr"/>
    </row>
    <row r="293" ht="49" customHeight="1">
      <c r="A293" s="34" t="inlineStr">
        <is>
          <t>1.2.1</t>
        </is>
      </c>
      <c r="B293" s="34" t="inlineStr">
        <is>
          <t>Stations - Station Structures</t>
        </is>
      </c>
      <c r="C293" s="34" t="inlineStr">
        <is>
          <t>Contractor Programme</t>
        </is>
      </c>
      <c r="D293" s="34" t="inlineStr">
        <is>
          <t>SCH-02-016</t>
        </is>
      </c>
      <c r="E293" s="34" t="inlineStr">
        <is>
          <t>Harbour Station: entrance steel erection - inspection</t>
        </is>
      </c>
      <c r="F293" s="34" t="inlineStr">
        <is>
          <t>ONE_TO_ONE</t>
        </is>
      </c>
      <c r="G293" s="34" t="inlineStr">
        <is>
          <t>APPROVED</t>
        </is>
      </c>
      <c r="H293" s="34" t="inlineStr">
        <is>
          <t>New</t>
        </is>
      </c>
      <c r="I293" s="34" t="inlineStr">
        <is>
          <t>Source assignment -- not individually reviewed</t>
        </is>
      </c>
      <c r="J293" s="39" t="inlineStr"/>
      <c r="K293" s="34" t="inlineStr">
        <is>
          <t>Source assignment</t>
        </is>
      </c>
      <c r="L293" s="39" t="inlineStr"/>
      <c r="M293" s="34" t="inlineStr">
        <is>
          <t>Initial</t>
        </is>
      </c>
      <c r="N293" s="34" t="inlineStr">
        <is>
          <t>Rev 0</t>
        </is>
      </c>
      <c r="O293" s="34" t="inlineStr">
        <is>
          <t>R196-v1</t>
        </is>
      </c>
      <c r="P293" s="39" t="inlineStr"/>
      <c r="Q293" s="14" t="inlineStr"/>
      <c r="R293" s="39" t="inlineStr"/>
      <c r="S293" s="39" t="inlineStr"/>
      <c r="T293" s="39" t="inlineStr"/>
      <c r="U293" s="39" t="inlineStr"/>
      <c r="V293" s="34" t="inlineStr">
        <is>
          <t>WBS Code = 1.2.1</t>
        </is>
      </c>
      <c r="W293" s="14" t="inlineStr"/>
    </row>
    <row r="294" ht="49" customHeight="1">
      <c r="A294" s="34" t="inlineStr">
        <is>
          <t>1.2.1</t>
        </is>
      </c>
      <c r="B294" s="34" t="inlineStr">
        <is>
          <t>Stations - Station Structures</t>
        </is>
      </c>
      <c r="C294" s="34" t="inlineStr">
        <is>
          <t>Contractor Programme</t>
        </is>
      </c>
      <c r="D294" s="34" t="inlineStr">
        <is>
          <t>SCH-02-017</t>
        </is>
      </c>
      <c r="E294" s="34" t="inlineStr">
        <is>
          <t>Market Station: vertical-transport installation - turnover</t>
        </is>
      </c>
      <c r="F294" s="34" t="inlineStr">
        <is>
          <t>ONE_TO_ONE</t>
        </is>
      </c>
      <c r="G294" s="34" t="inlineStr">
        <is>
          <t>APPROVED</t>
        </is>
      </c>
      <c r="H294" s="34" t="inlineStr">
        <is>
          <t>New</t>
        </is>
      </c>
      <c r="I294" s="34" t="inlineStr">
        <is>
          <t>Source assignment -- not individually reviewed</t>
        </is>
      </c>
      <c r="J294" s="39" t="inlineStr"/>
      <c r="K294" s="34" t="inlineStr">
        <is>
          <t>Source assignment</t>
        </is>
      </c>
      <c r="L294" s="39" t="inlineStr"/>
      <c r="M294" s="34" t="inlineStr">
        <is>
          <t>Initial</t>
        </is>
      </c>
      <c r="N294" s="34" t="inlineStr">
        <is>
          <t>Rev 0</t>
        </is>
      </c>
      <c r="O294" s="34" t="inlineStr">
        <is>
          <t>R197-v1</t>
        </is>
      </c>
      <c r="P294" s="39" t="inlineStr"/>
      <c r="Q294" s="14" t="inlineStr"/>
      <c r="R294" s="39" t="inlineStr"/>
      <c r="S294" s="39" t="inlineStr"/>
      <c r="T294" s="39" t="inlineStr"/>
      <c r="U294" s="39" t="inlineStr"/>
      <c r="V294" s="34" t="inlineStr">
        <is>
          <t>WBS Code = 1.2.1</t>
        </is>
      </c>
      <c r="W294" s="14" t="inlineStr"/>
    </row>
    <row r="295" ht="49" customHeight="1">
      <c r="A295" s="34" t="inlineStr">
        <is>
          <t>1.2.1</t>
        </is>
      </c>
      <c r="B295" s="34" t="inlineStr">
        <is>
          <t>Stations - Station Structures</t>
        </is>
      </c>
      <c r="C295" s="34" t="inlineStr">
        <is>
          <t>Contractor Programme</t>
        </is>
      </c>
      <c r="D295" s="34" t="inlineStr">
        <is>
          <t>SCH-02-019</t>
        </is>
      </c>
      <c r="E295" s="34" t="inlineStr">
        <is>
          <t>University Station: architectural wall framing - field start</t>
        </is>
      </c>
      <c r="F295" s="34" t="inlineStr">
        <is>
          <t>ONE_TO_ONE</t>
        </is>
      </c>
      <c r="G295" s="34" t="inlineStr">
        <is>
          <t>APPROVED</t>
        </is>
      </c>
      <c r="H295" s="34" t="inlineStr">
        <is>
          <t>New</t>
        </is>
      </c>
      <c r="I295" s="34" t="inlineStr">
        <is>
          <t>Source assignment -- not individually reviewed</t>
        </is>
      </c>
      <c r="J295" s="39" t="inlineStr"/>
      <c r="K295" s="34" t="inlineStr">
        <is>
          <t>Source assignment</t>
        </is>
      </c>
      <c r="L295" s="39" t="inlineStr"/>
      <c r="M295" s="34" t="inlineStr">
        <is>
          <t>Initial</t>
        </is>
      </c>
      <c r="N295" s="34" t="inlineStr">
        <is>
          <t>Rev 0</t>
        </is>
      </c>
      <c r="O295" s="34" t="inlineStr">
        <is>
          <t>R199-v1</t>
        </is>
      </c>
      <c r="P295" s="39" t="inlineStr"/>
      <c r="Q295" s="14" t="inlineStr"/>
      <c r="R295" s="39" t="inlineStr"/>
      <c r="S295" s="39" t="inlineStr"/>
      <c r="T295" s="39" t="inlineStr"/>
      <c r="U295" s="39" t="inlineStr"/>
      <c r="V295" s="34" t="inlineStr">
        <is>
          <t>WBS Code = 1.2.1</t>
        </is>
      </c>
      <c r="W295" s="14" t="inlineStr"/>
    </row>
    <row r="296" ht="49" customHeight="1">
      <c r="A296" s="34" t="inlineStr">
        <is>
          <t>1.2.1</t>
        </is>
      </c>
      <c r="B296" s="34" t="inlineStr">
        <is>
          <t>Stations - Station Structures</t>
        </is>
      </c>
      <c r="C296" s="34" t="inlineStr">
        <is>
          <t>Contractor Programme</t>
        </is>
      </c>
      <c r="D296" s="34" t="inlineStr">
        <is>
          <t>SCH-02-020</t>
        </is>
      </c>
      <c r="E296" s="34" t="inlineStr">
        <is>
          <t>West Terminal: fire-life-safety cabling - installation</t>
        </is>
      </c>
      <c r="F296" s="34" t="inlineStr">
        <is>
          <t>ONE_TO_ONE</t>
        </is>
      </c>
      <c r="G296" s="34" t="inlineStr">
        <is>
          <t>APPROVED</t>
        </is>
      </c>
      <c r="H296" s="34" t="inlineStr">
        <is>
          <t>New</t>
        </is>
      </c>
      <c r="I296" s="34" t="inlineStr">
        <is>
          <t>Source assignment -- not individually reviewed</t>
        </is>
      </c>
      <c r="J296" s="39" t="inlineStr"/>
      <c r="K296" s="34" t="inlineStr">
        <is>
          <t>Source assignment</t>
        </is>
      </c>
      <c r="L296" s="39" t="inlineStr"/>
      <c r="M296" s="34" t="inlineStr">
        <is>
          <t>Initial</t>
        </is>
      </c>
      <c r="N296" s="34" t="inlineStr">
        <is>
          <t>Rev 0</t>
        </is>
      </c>
      <c r="O296" s="34" t="inlineStr">
        <is>
          <t>R200-v1</t>
        </is>
      </c>
      <c r="P296" s="39" t="inlineStr"/>
      <c r="Q296" s="14" t="inlineStr"/>
      <c r="R296" s="39" t="inlineStr"/>
      <c r="S296" s="39" t="inlineStr"/>
      <c r="T296" s="39" t="inlineStr"/>
      <c r="U296" s="39" t="inlineStr"/>
      <c r="V296" s="34" t="inlineStr">
        <is>
          <t>WBS Code = 1.2.1</t>
        </is>
      </c>
      <c r="W296" s="14" t="inlineStr"/>
    </row>
    <row r="297" ht="49" customHeight="1">
      <c r="A297" s="34" t="inlineStr">
        <is>
          <t>1.2.1</t>
        </is>
      </c>
      <c r="B297" s="34" t="inlineStr">
        <is>
          <t>Stations - Station Structures</t>
        </is>
      </c>
      <c r="C297" s="34" t="inlineStr">
        <is>
          <t>Contractor Programme</t>
        </is>
      </c>
      <c r="D297" s="34" t="inlineStr">
        <is>
          <t>SCH-02-022</t>
        </is>
      </c>
      <c r="E297" s="34" t="inlineStr">
        <is>
          <t>Market Station: station ventilation rough-in - turnover</t>
        </is>
      </c>
      <c r="F297" s="34" t="inlineStr">
        <is>
          <t>ONE_TO_ONE</t>
        </is>
      </c>
      <c r="G297" s="34" t="inlineStr">
        <is>
          <t>APPROVED</t>
        </is>
      </c>
      <c r="H297" s="34" t="inlineStr">
        <is>
          <t>New</t>
        </is>
      </c>
      <c r="I297" s="34" t="inlineStr">
        <is>
          <t>Source assignment -- not individually reviewed</t>
        </is>
      </c>
      <c r="J297" s="39" t="inlineStr"/>
      <c r="K297" s="34" t="inlineStr">
        <is>
          <t>Source assignment</t>
        </is>
      </c>
      <c r="L297" s="39" t="inlineStr"/>
      <c r="M297" s="34" t="inlineStr">
        <is>
          <t>Initial</t>
        </is>
      </c>
      <c r="N297" s="34" t="inlineStr">
        <is>
          <t>Rev 0</t>
        </is>
      </c>
      <c r="O297" s="34" t="inlineStr">
        <is>
          <t>R202-v1</t>
        </is>
      </c>
      <c r="P297" s="39" t="inlineStr"/>
      <c r="Q297" s="14" t="inlineStr"/>
      <c r="R297" s="39" t="inlineStr"/>
      <c r="S297" s="39" t="inlineStr"/>
      <c r="T297" s="39" t="inlineStr"/>
      <c r="U297" s="39" t="inlineStr"/>
      <c r="V297" s="34" t="inlineStr">
        <is>
          <t>WBS Code = 1.2.1</t>
        </is>
      </c>
      <c r="W297" s="14" t="inlineStr"/>
    </row>
    <row r="298" ht="49" customHeight="1">
      <c r="A298" s="34" t="inlineStr">
        <is>
          <t>1.2.1</t>
        </is>
      </c>
      <c r="B298" s="34" t="inlineStr">
        <is>
          <t>Stations - Station Structures</t>
        </is>
      </c>
      <c r="C298" s="34" t="inlineStr">
        <is>
          <t>Contractor Programme</t>
        </is>
      </c>
      <c r="D298" s="34" t="inlineStr">
        <is>
          <t>SCH-02-023</t>
        </is>
      </c>
      <c r="E298" s="34" t="inlineStr">
        <is>
          <t>Civic Station: public-realm paving - release</t>
        </is>
      </c>
      <c r="F298" s="34" t="inlineStr">
        <is>
          <t>ONE_TO_ONE</t>
        </is>
      </c>
      <c r="G298" s="34" t="inlineStr">
        <is>
          <t>APPROVED</t>
        </is>
      </c>
      <c r="H298" s="34" t="inlineStr">
        <is>
          <t>New</t>
        </is>
      </c>
      <c r="I298" s="34" t="inlineStr">
        <is>
          <t>Source assignment -- not individually reviewed</t>
        </is>
      </c>
      <c r="J298" s="39" t="inlineStr"/>
      <c r="K298" s="34" t="inlineStr">
        <is>
          <t>Source assignment</t>
        </is>
      </c>
      <c r="L298" s="39" t="inlineStr"/>
      <c r="M298" s="34" t="inlineStr">
        <is>
          <t>Initial</t>
        </is>
      </c>
      <c r="N298" s="34" t="inlineStr">
        <is>
          <t>Rev 0</t>
        </is>
      </c>
      <c r="O298" s="34" t="inlineStr">
        <is>
          <t>R203-v1</t>
        </is>
      </c>
      <c r="P298" s="39" t="inlineStr"/>
      <c r="Q298" s="14" t="inlineStr"/>
      <c r="R298" s="39" t="inlineStr"/>
      <c r="S298" s="39" t="inlineStr"/>
      <c r="T298" s="39" t="inlineStr"/>
      <c r="U298" s="39" t="inlineStr"/>
      <c r="V298" s="34" t="inlineStr">
        <is>
          <t>WBS Code = 1.2.1</t>
        </is>
      </c>
      <c r="W298" s="14" t="inlineStr"/>
    </row>
    <row r="299" ht="49" customHeight="1">
      <c r="A299" s="34" t="inlineStr">
        <is>
          <t>1.2.1</t>
        </is>
      </c>
      <c r="B299" s="34" t="inlineStr">
        <is>
          <t>Stations - Station Structures</t>
        </is>
      </c>
      <c r="C299" s="34" t="inlineStr">
        <is>
          <t>Contractor Programme</t>
        </is>
      </c>
      <c r="D299" s="34" t="inlineStr">
        <is>
          <t>SCH-02-025</t>
        </is>
      </c>
      <c r="E299" s="34" t="inlineStr">
        <is>
          <t>West Terminal: vertical-transport installation - installation</t>
        </is>
      </c>
      <c r="F299" s="34" t="inlineStr">
        <is>
          <t>ONE_TO_ONE</t>
        </is>
      </c>
      <c r="G299" s="34" t="inlineStr">
        <is>
          <t>APPROVED</t>
        </is>
      </c>
      <c r="H299" s="34" t="inlineStr">
        <is>
          <t>New</t>
        </is>
      </c>
      <c r="I299" s="34" t="inlineStr">
        <is>
          <t>Source assignment -- not individually reviewed</t>
        </is>
      </c>
      <c r="J299" s="39" t="inlineStr"/>
      <c r="K299" s="34" t="inlineStr">
        <is>
          <t>Source assignment</t>
        </is>
      </c>
      <c r="L299" s="39" t="inlineStr"/>
      <c r="M299" s="34" t="inlineStr">
        <is>
          <t>Initial</t>
        </is>
      </c>
      <c r="N299" s="34" t="inlineStr">
        <is>
          <t>Rev 0</t>
        </is>
      </c>
      <c r="O299" s="34" t="inlineStr">
        <is>
          <t>R205-v1</t>
        </is>
      </c>
      <c r="P299" s="39" t="inlineStr"/>
      <c r="Q299" s="14" t="inlineStr"/>
      <c r="R299" s="39" t="inlineStr"/>
      <c r="S299" s="39" t="inlineStr"/>
      <c r="T299" s="39" t="inlineStr"/>
      <c r="U299" s="39" t="inlineStr"/>
      <c r="V299" s="34" t="inlineStr">
        <is>
          <t>WBS Code = 1.2.1</t>
        </is>
      </c>
      <c r="W299" s="14" t="inlineStr"/>
    </row>
    <row r="300" ht="49" customHeight="1">
      <c r="A300" s="34" t="inlineStr">
        <is>
          <t>1.2.1</t>
        </is>
      </c>
      <c r="B300" s="34" t="inlineStr">
        <is>
          <t>Stations - Station Structures</t>
        </is>
      </c>
      <c r="C300" s="34" t="inlineStr">
        <is>
          <t>Contractor Programme</t>
        </is>
      </c>
      <c r="D300" s="34" t="inlineStr">
        <is>
          <t>SCH-02-026</t>
        </is>
      </c>
      <c r="E300" s="34" t="inlineStr">
        <is>
          <t>Harbour Station: platform edge installation - inspection</t>
        </is>
      </c>
      <c r="F300" s="34" t="inlineStr">
        <is>
          <t>ONE_TO_ONE</t>
        </is>
      </c>
      <c r="G300" s="34" t="inlineStr">
        <is>
          <t>APPROVED</t>
        </is>
      </c>
      <c r="H300" s="34" t="inlineStr">
        <is>
          <t>New</t>
        </is>
      </c>
      <c r="I300" s="34" t="inlineStr">
        <is>
          <t>Source assignment -- not individually reviewed</t>
        </is>
      </c>
      <c r="J300" s="39" t="inlineStr"/>
      <c r="K300" s="34" t="inlineStr">
        <is>
          <t>Source assignment</t>
        </is>
      </c>
      <c r="L300" s="39" t="inlineStr"/>
      <c r="M300" s="34" t="inlineStr">
        <is>
          <t>Initial</t>
        </is>
      </c>
      <c r="N300" s="34" t="inlineStr">
        <is>
          <t>Rev 0</t>
        </is>
      </c>
      <c r="O300" s="34" t="inlineStr">
        <is>
          <t>R206-v1</t>
        </is>
      </c>
      <c r="P300" s="39" t="inlineStr"/>
      <c r="Q300" s="14" t="inlineStr"/>
      <c r="R300" s="39" t="inlineStr"/>
      <c r="S300" s="39" t="inlineStr"/>
      <c r="T300" s="39" t="inlineStr"/>
      <c r="U300" s="39" t="inlineStr"/>
      <c r="V300" s="34" t="inlineStr">
        <is>
          <t>WBS Code = 1.2.1</t>
        </is>
      </c>
      <c r="W300" s="14" t="inlineStr"/>
    </row>
    <row r="301" ht="49" customHeight="1">
      <c r="A301" s="34" t="inlineStr">
        <is>
          <t>1.2.1</t>
        </is>
      </c>
      <c r="B301" s="34" t="inlineStr">
        <is>
          <t>Stations - Station Structures</t>
        </is>
      </c>
      <c r="C301" s="34" t="inlineStr">
        <is>
          <t>Contractor Programme</t>
        </is>
      </c>
      <c r="D301" s="34" t="inlineStr">
        <is>
          <t>SCH-02-028</t>
        </is>
      </c>
      <c r="E301" s="34" t="inlineStr">
        <is>
          <t>Civic Station: fire-life-safety cabling - release</t>
        </is>
      </c>
      <c r="F301" s="34" t="inlineStr">
        <is>
          <t>ONE_TO_ONE</t>
        </is>
      </c>
      <c r="G301" s="34" t="inlineStr">
        <is>
          <t>APPROVED</t>
        </is>
      </c>
      <c r="H301" s="34" t="inlineStr">
        <is>
          <t>New</t>
        </is>
      </c>
      <c r="I301" s="34" t="inlineStr">
        <is>
          <t>Source assignment -- not individually reviewed</t>
        </is>
      </c>
      <c r="J301" s="39" t="inlineStr"/>
      <c r="K301" s="34" t="inlineStr">
        <is>
          <t>Source assignment</t>
        </is>
      </c>
      <c r="L301" s="39" t="inlineStr"/>
      <c r="M301" s="34" t="inlineStr">
        <is>
          <t>Initial</t>
        </is>
      </c>
      <c r="N301" s="34" t="inlineStr">
        <is>
          <t>Rev 0</t>
        </is>
      </c>
      <c r="O301" s="34" t="inlineStr">
        <is>
          <t>R208-v1</t>
        </is>
      </c>
      <c r="P301" s="39" t="inlineStr"/>
      <c r="Q301" s="14" t="inlineStr"/>
      <c r="R301" s="39" t="inlineStr"/>
      <c r="S301" s="39" t="inlineStr"/>
      <c r="T301" s="39" t="inlineStr"/>
      <c r="U301" s="39" t="inlineStr"/>
      <c r="V301" s="34" t="inlineStr">
        <is>
          <t>WBS Code = 1.2.1</t>
        </is>
      </c>
      <c r="W301" s="14" t="inlineStr"/>
    </row>
    <row r="302" ht="49" customHeight="1">
      <c r="A302" s="34" t="inlineStr">
        <is>
          <t>1.2.1</t>
        </is>
      </c>
      <c r="B302" s="34" t="inlineStr">
        <is>
          <t>Stations - Station Structures</t>
        </is>
      </c>
      <c r="C302" s="34" t="inlineStr">
        <is>
          <t>Contractor Programme</t>
        </is>
      </c>
      <c r="D302" s="34" t="inlineStr">
        <is>
          <t>SCH-02-029</t>
        </is>
      </c>
      <c r="E302" s="34" t="inlineStr">
        <is>
          <t>University Station: concourse slab pour - field start</t>
        </is>
      </c>
      <c r="F302" s="34" t="inlineStr">
        <is>
          <t>ONE_TO_ONE</t>
        </is>
      </c>
      <c r="G302" s="34" t="inlineStr">
        <is>
          <t>APPROVED</t>
        </is>
      </c>
      <c r="H302" s="34" t="inlineStr">
        <is>
          <t>New</t>
        </is>
      </c>
      <c r="I302" s="34" t="inlineStr">
        <is>
          <t>Source assignment -- not individually reviewed</t>
        </is>
      </c>
      <c r="J302" s="39" t="inlineStr"/>
      <c r="K302" s="34" t="inlineStr">
        <is>
          <t>Source assignment</t>
        </is>
      </c>
      <c r="L302" s="39" t="inlineStr"/>
      <c r="M302" s="34" t="inlineStr">
        <is>
          <t>Initial</t>
        </is>
      </c>
      <c r="N302" s="34" t="inlineStr">
        <is>
          <t>Rev 0</t>
        </is>
      </c>
      <c r="O302" s="34" t="inlineStr">
        <is>
          <t>R209-v1</t>
        </is>
      </c>
      <c r="P302" s="39" t="inlineStr"/>
      <c r="Q302" s="14" t="inlineStr"/>
      <c r="R302" s="39" t="inlineStr"/>
      <c r="S302" s="39" t="inlineStr"/>
      <c r="T302" s="39" t="inlineStr"/>
      <c r="U302" s="39" t="inlineStr"/>
      <c r="V302" s="34" t="inlineStr">
        <is>
          <t>WBS Code = 1.2.1</t>
        </is>
      </c>
      <c r="W302" s="14" t="inlineStr"/>
    </row>
    <row r="303" ht="49" customHeight="1">
      <c r="A303" s="34" t="inlineStr">
        <is>
          <t>1.2.1</t>
        </is>
      </c>
      <c r="B303" s="34" t="inlineStr">
        <is>
          <t>Stations - Station Structures</t>
        </is>
      </c>
      <c r="C303" s="34" t="inlineStr">
        <is>
          <t>Contractor Programme</t>
        </is>
      </c>
      <c r="D303" s="34" t="inlineStr">
        <is>
          <t>SCH-02-031</t>
        </is>
      </c>
      <c r="E303" s="34" t="inlineStr">
        <is>
          <t>Harbour Station: public-realm paving - inspection</t>
        </is>
      </c>
      <c r="F303" s="34" t="inlineStr">
        <is>
          <t>ONE_TO_ONE</t>
        </is>
      </c>
      <c r="G303" s="34" t="inlineStr">
        <is>
          <t>APPROVED</t>
        </is>
      </c>
      <c r="H303" s="34" t="inlineStr">
        <is>
          <t>New</t>
        </is>
      </c>
      <c r="I303" s="34" t="inlineStr">
        <is>
          <t>Source assignment -- not individually reviewed</t>
        </is>
      </c>
      <c r="J303" s="39" t="inlineStr"/>
      <c r="K303" s="34" t="inlineStr">
        <is>
          <t>Source assignment</t>
        </is>
      </c>
      <c r="L303" s="39" t="inlineStr"/>
      <c r="M303" s="34" t="inlineStr">
        <is>
          <t>Initial</t>
        </is>
      </c>
      <c r="N303" s="34" t="inlineStr">
        <is>
          <t>Rev 0</t>
        </is>
      </c>
      <c r="O303" s="34" t="inlineStr">
        <is>
          <t>R211-v1</t>
        </is>
      </c>
      <c r="P303" s="39" t="inlineStr"/>
      <c r="Q303" s="14" t="inlineStr"/>
      <c r="R303" s="39" t="inlineStr"/>
      <c r="S303" s="39" t="inlineStr"/>
      <c r="T303" s="39" t="inlineStr"/>
      <c r="U303" s="39" t="inlineStr"/>
      <c r="V303" s="34" t="inlineStr">
        <is>
          <t>WBS Code = 1.2.1</t>
        </is>
      </c>
      <c r="W303" s="14" t="inlineStr"/>
    </row>
    <row r="304" ht="49" customHeight="1">
      <c r="A304" s="34" t="inlineStr">
        <is>
          <t>1.2.1</t>
        </is>
      </c>
      <c r="B304" s="34" t="inlineStr">
        <is>
          <t>Stations - Station Structures</t>
        </is>
      </c>
      <c r="C304" s="34" t="inlineStr">
        <is>
          <t>Contractor Programme</t>
        </is>
      </c>
      <c r="D304" s="34" t="inlineStr">
        <is>
          <t>SCH-02-032</t>
        </is>
      </c>
      <c r="E304" s="34" t="inlineStr">
        <is>
          <t>Market Station: entrance steel erection - turnover</t>
        </is>
      </c>
      <c r="F304" s="34" t="inlineStr">
        <is>
          <t>ONE_TO_ONE</t>
        </is>
      </c>
      <c r="G304" s="34" t="inlineStr">
        <is>
          <t>APPROVED</t>
        </is>
      </c>
      <c r="H304" s="34" t="inlineStr">
        <is>
          <t>New</t>
        </is>
      </c>
      <c r="I304" s="34" t="inlineStr">
        <is>
          <t>Source assignment -- not individually reviewed</t>
        </is>
      </c>
      <c r="J304" s="39" t="inlineStr"/>
      <c r="K304" s="34" t="inlineStr">
        <is>
          <t>Source assignment</t>
        </is>
      </c>
      <c r="L304" s="39" t="inlineStr"/>
      <c r="M304" s="34" t="inlineStr">
        <is>
          <t>Initial</t>
        </is>
      </c>
      <c r="N304" s="34" t="inlineStr">
        <is>
          <t>Rev 0</t>
        </is>
      </c>
      <c r="O304" s="34" t="inlineStr">
        <is>
          <t>R212-v1</t>
        </is>
      </c>
      <c r="P304" s="39" t="inlineStr"/>
      <c r="Q304" s="14" t="inlineStr"/>
      <c r="R304" s="39" t="inlineStr"/>
      <c r="S304" s="39" t="inlineStr"/>
      <c r="T304" s="39" t="inlineStr"/>
      <c r="U304" s="39" t="inlineStr"/>
      <c r="V304" s="34" t="inlineStr">
        <is>
          <t>WBS Code = 1.2.1</t>
        </is>
      </c>
      <c r="W304" s="14" t="inlineStr"/>
    </row>
    <row r="305" ht="49" customHeight="1">
      <c r="A305" s="34" t="inlineStr">
        <is>
          <t>1.2.1</t>
        </is>
      </c>
      <c r="B305" s="34" t="inlineStr">
        <is>
          <t>Stations - Station Structures</t>
        </is>
      </c>
      <c r="C305" s="34" t="inlineStr">
        <is>
          <t>Contractor Programme</t>
        </is>
      </c>
      <c r="D305" s="34" t="inlineStr">
        <is>
          <t>SCH-02-034</t>
        </is>
      </c>
      <c r="E305" s="34" t="inlineStr">
        <is>
          <t>University Station: platform edge installation - field start</t>
        </is>
      </c>
      <c r="F305" s="34" t="inlineStr">
        <is>
          <t>ONE_TO_ONE</t>
        </is>
      </c>
      <c r="G305" s="34" t="inlineStr">
        <is>
          <t>APPROVED</t>
        </is>
      </c>
      <c r="H305" s="34" t="inlineStr">
        <is>
          <t>New</t>
        </is>
      </c>
      <c r="I305" s="34" t="inlineStr">
        <is>
          <t>Source assignment -- not individually reviewed</t>
        </is>
      </c>
      <c r="J305" s="39" t="inlineStr"/>
      <c r="K305" s="34" t="inlineStr">
        <is>
          <t>Source assignment</t>
        </is>
      </c>
      <c r="L305" s="39" t="inlineStr"/>
      <c r="M305" s="34" t="inlineStr">
        <is>
          <t>Initial</t>
        </is>
      </c>
      <c r="N305" s="34" t="inlineStr">
        <is>
          <t>Rev 0</t>
        </is>
      </c>
      <c r="O305" s="34" t="inlineStr">
        <is>
          <t>R214-v1</t>
        </is>
      </c>
      <c r="P305" s="39" t="inlineStr"/>
      <c r="Q305" s="14" t="inlineStr"/>
      <c r="R305" s="39" t="inlineStr"/>
      <c r="S305" s="39" t="inlineStr"/>
      <c r="T305" s="39" t="inlineStr"/>
      <c r="U305" s="39" t="inlineStr"/>
      <c r="V305" s="34" t="inlineStr">
        <is>
          <t>WBS Code = 1.2.1</t>
        </is>
      </c>
      <c r="W305" s="14" t="inlineStr"/>
    </row>
    <row r="306" ht="49" customHeight="1">
      <c r="A306" s="34" t="inlineStr">
        <is>
          <t>1.2.1</t>
        </is>
      </c>
      <c r="B306" s="34" t="inlineStr">
        <is>
          <t>Stations - Station Structures</t>
        </is>
      </c>
      <c r="C306" s="34" t="inlineStr">
        <is>
          <t>Contractor Programme</t>
        </is>
      </c>
      <c r="D306" s="34" t="inlineStr">
        <is>
          <t>SCH-02-035</t>
        </is>
      </c>
      <c r="E306" s="34" t="inlineStr">
        <is>
          <t>West Terminal: architectural wall framing - installation</t>
        </is>
      </c>
      <c r="F306" s="34" t="inlineStr">
        <is>
          <t>ONE_TO_ONE</t>
        </is>
      </c>
      <c r="G306" s="34" t="inlineStr">
        <is>
          <t>APPROVED</t>
        </is>
      </c>
      <c r="H306" s="34" t="inlineStr">
        <is>
          <t>New</t>
        </is>
      </c>
      <c r="I306" s="34" t="inlineStr">
        <is>
          <t>Source assignment -- not individually reviewed</t>
        </is>
      </c>
      <c r="J306" s="39" t="inlineStr"/>
      <c r="K306" s="34" t="inlineStr">
        <is>
          <t>Source assignment</t>
        </is>
      </c>
      <c r="L306" s="39" t="inlineStr"/>
      <c r="M306" s="34" t="inlineStr">
        <is>
          <t>Initial</t>
        </is>
      </c>
      <c r="N306" s="34" t="inlineStr">
        <is>
          <t>Rev 0</t>
        </is>
      </c>
      <c r="O306" s="34" t="inlineStr">
        <is>
          <t>R215-v1</t>
        </is>
      </c>
      <c r="P306" s="39" t="inlineStr"/>
      <c r="Q306" s="14" t="inlineStr"/>
      <c r="R306" s="39" t="inlineStr"/>
      <c r="S306" s="39" t="inlineStr"/>
      <c r="T306" s="39" t="inlineStr"/>
      <c r="U306" s="39" t="inlineStr"/>
      <c r="V306" s="34" t="inlineStr">
        <is>
          <t>WBS Code = 1.2.1</t>
        </is>
      </c>
      <c r="W306" s="14" t="inlineStr"/>
    </row>
    <row r="307" ht="49" customHeight="1">
      <c r="A307" s="34" t="inlineStr">
        <is>
          <t>1.2.1</t>
        </is>
      </c>
      <c r="B307" s="34" t="inlineStr">
        <is>
          <t>Stations - Station Structures</t>
        </is>
      </c>
      <c r="C307" s="34" t="inlineStr">
        <is>
          <t>Contractor Programme</t>
        </is>
      </c>
      <c r="D307" s="34" t="inlineStr">
        <is>
          <t>SCH-02-037</t>
        </is>
      </c>
      <c r="E307" s="34" t="inlineStr">
        <is>
          <t>Market Station: concourse slab pour - turnover</t>
        </is>
      </c>
      <c r="F307" s="34" t="inlineStr">
        <is>
          <t>ONE_TO_ONE</t>
        </is>
      </c>
      <c r="G307" s="34" t="inlineStr">
        <is>
          <t>APPROVED</t>
        </is>
      </c>
      <c r="H307" s="34" t="inlineStr">
        <is>
          <t>New</t>
        </is>
      </c>
      <c r="I307" s="34" t="inlineStr">
        <is>
          <t>Source assignment -- not individually reviewed</t>
        </is>
      </c>
      <c r="J307" s="39" t="inlineStr"/>
      <c r="K307" s="34" t="inlineStr">
        <is>
          <t>Source assignment</t>
        </is>
      </c>
      <c r="L307" s="39" t="inlineStr"/>
      <c r="M307" s="34" t="inlineStr">
        <is>
          <t>Initial</t>
        </is>
      </c>
      <c r="N307" s="34" t="inlineStr">
        <is>
          <t>Rev 0</t>
        </is>
      </c>
      <c r="O307" s="34" t="inlineStr">
        <is>
          <t>R217-v1</t>
        </is>
      </c>
      <c r="P307" s="39" t="inlineStr"/>
      <c r="Q307" s="14" t="inlineStr"/>
      <c r="R307" s="39" t="inlineStr"/>
      <c r="S307" s="39" t="inlineStr"/>
      <c r="T307" s="39" t="inlineStr"/>
      <c r="U307" s="39" t="inlineStr"/>
      <c r="V307" s="34" t="inlineStr">
        <is>
          <t>WBS Code = 1.2.1</t>
        </is>
      </c>
      <c r="W307" s="14" t="inlineStr"/>
    </row>
    <row r="308" ht="49" customHeight="1">
      <c r="A308" s="34" t="inlineStr">
        <is>
          <t>1.2.1</t>
        </is>
      </c>
      <c r="B308" s="34" t="inlineStr">
        <is>
          <t>Stations - Station Structures</t>
        </is>
      </c>
      <c r="C308" s="34" t="inlineStr">
        <is>
          <t>Contractor Programme</t>
        </is>
      </c>
      <c r="D308" s="34" t="inlineStr">
        <is>
          <t>SCH-02-038</t>
        </is>
      </c>
      <c r="E308" s="34" t="inlineStr">
        <is>
          <t>Civic Station: station ventilation rough-in - release</t>
        </is>
      </c>
      <c r="F308" s="34" t="inlineStr">
        <is>
          <t>ONE_TO_ONE</t>
        </is>
      </c>
      <c r="G308" s="34" t="inlineStr">
        <is>
          <t>APPROVED</t>
        </is>
      </c>
      <c r="H308" s="34" t="inlineStr">
        <is>
          <t>New</t>
        </is>
      </c>
      <c r="I308" s="34" t="inlineStr">
        <is>
          <t>Source assignment -- not individually reviewed</t>
        </is>
      </c>
      <c r="J308" s="39" t="inlineStr"/>
      <c r="K308" s="34" t="inlineStr">
        <is>
          <t>Source assignment</t>
        </is>
      </c>
      <c r="L308" s="39" t="inlineStr"/>
      <c r="M308" s="34" t="inlineStr">
        <is>
          <t>Initial</t>
        </is>
      </c>
      <c r="N308" s="34" t="inlineStr">
        <is>
          <t>Rev 0</t>
        </is>
      </c>
      <c r="O308" s="34" t="inlineStr">
        <is>
          <t>R218-v1</t>
        </is>
      </c>
      <c r="P308" s="39" t="inlineStr"/>
      <c r="Q308" s="14" t="inlineStr"/>
      <c r="R308" s="39" t="inlineStr"/>
      <c r="S308" s="39" t="inlineStr"/>
      <c r="T308" s="39" t="inlineStr"/>
      <c r="U308" s="39" t="inlineStr"/>
      <c r="V308" s="34" t="inlineStr">
        <is>
          <t>WBS Code = 1.2.1</t>
        </is>
      </c>
      <c r="W308" s="14" t="inlineStr"/>
    </row>
    <row r="309" ht="49" customHeight="1">
      <c r="A309" s="34" t="inlineStr">
        <is>
          <t>1.2.1</t>
        </is>
      </c>
      <c r="B309" s="34" t="inlineStr">
        <is>
          <t>Stations - Station Structures</t>
        </is>
      </c>
      <c r="C309" s="34" t="inlineStr">
        <is>
          <t>Contractor Programme</t>
        </is>
      </c>
      <c r="D309" s="34" t="inlineStr">
        <is>
          <t>SCH-02-040</t>
        </is>
      </c>
      <c r="E309" s="34" t="inlineStr">
        <is>
          <t>West Terminal: entrance steel erection - installation</t>
        </is>
      </c>
      <c r="F309" s="34" t="inlineStr">
        <is>
          <t>ONE_TO_ONE</t>
        </is>
      </c>
      <c r="G309" s="34" t="inlineStr">
        <is>
          <t>APPROVED</t>
        </is>
      </c>
      <c r="H309" s="34" t="inlineStr">
        <is>
          <t>New</t>
        </is>
      </c>
      <c r="I309" s="34" t="inlineStr">
        <is>
          <t>Source assignment -- not individually reviewed</t>
        </is>
      </c>
      <c r="J309" s="39" t="inlineStr"/>
      <c r="K309" s="34" t="inlineStr">
        <is>
          <t>Source assignment</t>
        </is>
      </c>
      <c r="L309" s="39" t="inlineStr"/>
      <c r="M309" s="34" t="inlineStr">
        <is>
          <t>Initial</t>
        </is>
      </c>
      <c r="N309" s="34" t="inlineStr">
        <is>
          <t>Rev 0</t>
        </is>
      </c>
      <c r="O309" s="34" t="inlineStr">
        <is>
          <t>R220-v1</t>
        </is>
      </c>
      <c r="P309" s="39" t="inlineStr"/>
      <c r="Q309" s="14" t="inlineStr"/>
      <c r="R309" s="39" t="inlineStr"/>
      <c r="S309" s="39" t="inlineStr"/>
      <c r="T309" s="39" t="inlineStr"/>
      <c r="U309" s="39" t="inlineStr"/>
      <c r="V309" s="34" t="inlineStr">
        <is>
          <t>WBS Code = 1.2.1</t>
        </is>
      </c>
      <c r="W309" s="14" t="inlineStr"/>
    </row>
    <row r="310" ht="49" customHeight="1">
      <c r="A310" s="34" t="inlineStr">
        <is>
          <t>1.2.1</t>
        </is>
      </c>
      <c r="B310" s="34" t="inlineStr">
        <is>
          <t>Stations - Station Structures</t>
        </is>
      </c>
      <c r="C310" s="34" t="inlineStr">
        <is>
          <t>Contractor Programme</t>
        </is>
      </c>
      <c r="D310" s="34" t="inlineStr">
        <is>
          <t>SCH-02-041</t>
        </is>
      </c>
      <c r="E310" s="34" t="inlineStr">
        <is>
          <t>Harbour Station: vertical-transport installation - inspection</t>
        </is>
      </c>
      <c r="F310" s="34" t="inlineStr">
        <is>
          <t>ONE_TO_ONE</t>
        </is>
      </c>
      <c r="G310" s="34" t="inlineStr">
        <is>
          <t>APPROVED</t>
        </is>
      </c>
      <c r="H310" s="34" t="inlineStr">
        <is>
          <t>New</t>
        </is>
      </c>
      <c r="I310" s="34" t="inlineStr">
        <is>
          <t>Source assignment -- not individually reviewed</t>
        </is>
      </c>
      <c r="J310" s="39" t="inlineStr"/>
      <c r="K310" s="34" t="inlineStr">
        <is>
          <t>Source assignment</t>
        </is>
      </c>
      <c r="L310" s="39" t="inlineStr"/>
      <c r="M310" s="34" t="inlineStr">
        <is>
          <t>Initial</t>
        </is>
      </c>
      <c r="N310" s="34" t="inlineStr">
        <is>
          <t>Rev 0</t>
        </is>
      </c>
      <c r="O310" s="34" t="inlineStr">
        <is>
          <t>R221-v1</t>
        </is>
      </c>
      <c r="P310" s="39" t="inlineStr"/>
      <c r="Q310" s="14" t="inlineStr"/>
      <c r="R310" s="39" t="inlineStr"/>
      <c r="S310" s="39" t="inlineStr"/>
      <c r="T310" s="39" t="inlineStr"/>
      <c r="U310" s="39" t="inlineStr"/>
      <c r="V310" s="34" t="inlineStr">
        <is>
          <t>WBS Code = 1.2.1</t>
        </is>
      </c>
      <c r="W310" s="14" t="inlineStr"/>
    </row>
    <row r="311" ht="49" customHeight="1">
      <c r="A311" s="34" t="inlineStr">
        <is>
          <t>1.2.1</t>
        </is>
      </c>
      <c r="B311" s="34" t="inlineStr">
        <is>
          <t>Stations - Station Structures</t>
        </is>
      </c>
      <c r="C311" s="34" t="inlineStr">
        <is>
          <t>Contractor Programme</t>
        </is>
      </c>
      <c r="D311" s="34" t="inlineStr">
        <is>
          <t>SCH-02-043</t>
        </is>
      </c>
      <c r="E311" s="34" t="inlineStr">
        <is>
          <t>Civic Station: architectural wall framing - release</t>
        </is>
      </c>
      <c r="F311" s="34" t="inlineStr">
        <is>
          <t>ONE_TO_ONE</t>
        </is>
      </c>
      <c r="G311" s="34" t="inlineStr">
        <is>
          <t>APPROVED</t>
        </is>
      </c>
      <c r="H311" s="34" t="inlineStr">
        <is>
          <t>New</t>
        </is>
      </c>
      <c r="I311" s="34" t="inlineStr">
        <is>
          <t>Source assignment -- not individually reviewed</t>
        </is>
      </c>
      <c r="J311" s="39" t="inlineStr"/>
      <c r="K311" s="34" t="inlineStr">
        <is>
          <t>Source assignment</t>
        </is>
      </c>
      <c r="L311" s="39" t="inlineStr"/>
      <c r="M311" s="34" t="inlineStr">
        <is>
          <t>Initial</t>
        </is>
      </c>
      <c r="N311" s="34" t="inlineStr">
        <is>
          <t>Rev 0</t>
        </is>
      </c>
      <c r="O311" s="34" t="inlineStr">
        <is>
          <t>R223-v1</t>
        </is>
      </c>
      <c r="P311" s="39" t="inlineStr"/>
      <c r="Q311" s="14" t="inlineStr"/>
      <c r="R311" s="39" t="inlineStr"/>
      <c r="S311" s="39" t="inlineStr"/>
      <c r="T311" s="39" t="inlineStr"/>
      <c r="U311" s="39" t="inlineStr"/>
      <c r="V311" s="34" t="inlineStr">
        <is>
          <t>WBS Code = 1.2.1</t>
        </is>
      </c>
      <c r="W311" s="14" t="inlineStr"/>
    </row>
    <row r="312" ht="49" customHeight="1">
      <c r="A312" s="34" t="inlineStr">
        <is>
          <t>1.2.1</t>
        </is>
      </c>
      <c r="B312" s="34" t="inlineStr">
        <is>
          <t>Stations - Station Structures</t>
        </is>
      </c>
      <c r="C312" s="34" t="inlineStr">
        <is>
          <t>Contractor Programme</t>
        </is>
      </c>
      <c r="D312" s="34" t="inlineStr">
        <is>
          <t>SCH-02-044</t>
        </is>
      </c>
      <c r="E312" s="34" t="inlineStr">
        <is>
          <t>University Station: fire-life-safety cabling - field start</t>
        </is>
      </c>
      <c r="F312" s="34" t="inlineStr">
        <is>
          <t>ONE_TO_ONE</t>
        </is>
      </c>
      <c r="G312" s="34" t="inlineStr">
        <is>
          <t>APPROVED</t>
        </is>
      </c>
      <c r="H312" s="34" t="inlineStr">
        <is>
          <t>New</t>
        </is>
      </c>
      <c r="I312" s="34" t="inlineStr">
        <is>
          <t>Source assignment -- not individually reviewed</t>
        </is>
      </c>
      <c r="J312" s="39" t="inlineStr"/>
      <c r="K312" s="34" t="inlineStr">
        <is>
          <t>Source assignment</t>
        </is>
      </c>
      <c r="L312" s="39" t="inlineStr"/>
      <c r="M312" s="34" t="inlineStr">
        <is>
          <t>Initial</t>
        </is>
      </c>
      <c r="N312" s="34" t="inlineStr">
        <is>
          <t>Rev 0</t>
        </is>
      </c>
      <c r="O312" s="34" t="inlineStr">
        <is>
          <t>R224-v1</t>
        </is>
      </c>
      <c r="P312" s="39" t="inlineStr"/>
      <c r="Q312" s="14" t="inlineStr"/>
      <c r="R312" s="39" t="inlineStr"/>
      <c r="S312" s="39" t="inlineStr"/>
      <c r="T312" s="39" t="inlineStr"/>
      <c r="U312" s="39" t="inlineStr"/>
      <c r="V312" s="34" t="inlineStr">
        <is>
          <t>WBS Code = 1.2.1</t>
        </is>
      </c>
      <c r="W312" s="14" t="inlineStr"/>
    </row>
    <row r="313" ht="49" customHeight="1">
      <c r="A313" s="34" t="inlineStr">
        <is>
          <t>1.2.1</t>
        </is>
      </c>
      <c r="B313" s="34" t="inlineStr">
        <is>
          <t>Stations - Station Structures</t>
        </is>
      </c>
      <c r="C313" s="34" t="inlineStr">
        <is>
          <t>Contractor Programme</t>
        </is>
      </c>
      <c r="D313" s="34" t="inlineStr">
        <is>
          <t>SCH-02-046</t>
        </is>
      </c>
      <c r="E313" s="34" t="inlineStr">
        <is>
          <t>Harbour Station: station ventilation rough-in - inspection</t>
        </is>
      </c>
      <c r="F313" s="34" t="inlineStr">
        <is>
          <t>ONE_TO_ONE</t>
        </is>
      </c>
      <c r="G313" s="34" t="inlineStr">
        <is>
          <t>APPROVED</t>
        </is>
      </c>
      <c r="H313" s="34" t="inlineStr">
        <is>
          <t>New</t>
        </is>
      </c>
      <c r="I313" s="34" t="inlineStr">
        <is>
          <t>Source assignment -- not individually reviewed</t>
        </is>
      </c>
      <c r="J313" s="39" t="inlineStr"/>
      <c r="K313" s="34" t="inlineStr">
        <is>
          <t>Source assignment</t>
        </is>
      </c>
      <c r="L313" s="39" t="inlineStr"/>
      <c r="M313" s="34" t="inlineStr">
        <is>
          <t>Initial</t>
        </is>
      </c>
      <c r="N313" s="34" t="inlineStr">
        <is>
          <t>Rev 0</t>
        </is>
      </c>
      <c r="O313" s="34" t="inlineStr">
        <is>
          <t>R226-v1</t>
        </is>
      </c>
      <c r="P313" s="39" t="inlineStr"/>
      <c r="Q313" s="14" t="inlineStr"/>
      <c r="R313" s="39" t="inlineStr"/>
      <c r="S313" s="39" t="inlineStr"/>
      <c r="T313" s="39" t="inlineStr"/>
      <c r="U313" s="39" t="inlineStr"/>
      <c r="V313" s="34" t="inlineStr">
        <is>
          <t>WBS Code = 1.2.1</t>
        </is>
      </c>
      <c r="W313" s="14" t="inlineStr"/>
    </row>
    <row r="314" ht="49" customHeight="1">
      <c r="A314" s="34" t="inlineStr">
        <is>
          <t>1.2.1</t>
        </is>
      </c>
      <c r="B314" s="34" t="inlineStr">
        <is>
          <t>Stations - Station Structures</t>
        </is>
      </c>
      <c r="C314" s="34" t="inlineStr">
        <is>
          <t>Contractor Programme</t>
        </is>
      </c>
      <c r="D314" s="34" t="inlineStr">
        <is>
          <t>SCH-02-047</t>
        </is>
      </c>
      <c r="E314" s="34" t="inlineStr">
        <is>
          <t>Market Station: public-realm paving - turnover</t>
        </is>
      </c>
      <c r="F314" s="34" t="inlineStr">
        <is>
          <t>ONE_TO_ONE</t>
        </is>
      </c>
      <c r="G314" s="34" t="inlineStr">
        <is>
          <t>APPROVED</t>
        </is>
      </c>
      <c r="H314" s="34" t="inlineStr">
        <is>
          <t>New</t>
        </is>
      </c>
      <c r="I314" s="34" t="inlineStr">
        <is>
          <t>Source assignment -- not individually reviewed</t>
        </is>
      </c>
      <c r="J314" s="39" t="inlineStr"/>
      <c r="K314" s="34" t="inlineStr">
        <is>
          <t>Source assignment</t>
        </is>
      </c>
      <c r="L314" s="39" t="inlineStr"/>
      <c r="M314" s="34" t="inlineStr">
        <is>
          <t>Initial</t>
        </is>
      </c>
      <c r="N314" s="34" t="inlineStr">
        <is>
          <t>Rev 0</t>
        </is>
      </c>
      <c r="O314" s="34" t="inlineStr">
        <is>
          <t>R227-v1</t>
        </is>
      </c>
      <c r="P314" s="39" t="inlineStr"/>
      <c r="Q314" s="14" t="inlineStr"/>
      <c r="R314" s="39" t="inlineStr"/>
      <c r="S314" s="39" t="inlineStr"/>
      <c r="T314" s="39" t="inlineStr"/>
      <c r="U314" s="39" t="inlineStr"/>
      <c r="V314" s="34" t="inlineStr">
        <is>
          <t>WBS Code = 1.2.1</t>
        </is>
      </c>
      <c r="W314" s="14" t="inlineStr"/>
    </row>
    <row r="315" ht="49" customHeight="1">
      <c r="A315" s="34" t="inlineStr">
        <is>
          <t>1.2.1</t>
        </is>
      </c>
      <c r="B315" s="34" t="inlineStr">
        <is>
          <t>Stations - Station Structures</t>
        </is>
      </c>
      <c r="C315" s="34" t="inlineStr">
        <is>
          <t>Contractor Programme</t>
        </is>
      </c>
      <c r="D315" s="34" t="inlineStr">
        <is>
          <t>SCH-02-049</t>
        </is>
      </c>
      <c r="E315" s="34" t="inlineStr">
        <is>
          <t>University Station: vertical-transport installation - field start</t>
        </is>
      </c>
      <c r="F315" s="34" t="inlineStr">
        <is>
          <t>ONE_TO_ONE</t>
        </is>
      </c>
      <c r="G315" s="34" t="inlineStr">
        <is>
          <t>APPROVED</t>
        </is>
      </c>
      <c r="H315" s="34" t="inlineStr">
        <is>
          <t>New</t>
        </is>
      </c>
      <c r="I315" s="34" t="inlineStr">
        <is>
          <t>Source assignment -- not individually reviewed</t>
        </is>
      </c>
      <c r="J315" s="39" t="inlineStr"/>
      <c r="K315" s="34" t="inlineStr">
        <is>
          <t>Source assignment</t>
        </is>
      </c>
      <c r="L315" s="39" t="inlineStr"/>
      <c r="M315" s="34" t="inlineStr">
        <is>
          <t>Initial</t>
        </is>
      </c>
      <c r="N315" s="34" t="inlineStr">
        <is>
          <t>Rev 0</t>
        </is>
      </c>
      <c r="O315" s="34" t="inlineStr">
        <is>
          <t>R229-v1</t>
        </is>
      </c>
      <c r="P315" s="39" t="inlineStr"/>
      <c r="Q315" s="14" t="inlineStr"/>
      <c r="R315" s="39" t="inlineStr"/>
      <c r="S315" s="39" t="inlineStr"/>
      <c r="T315" s="39" t="inlineStr"/>
      <c r="U315" s="39" t="inlineStr"/>
      <c r="V315" s="34" t="inlineStr">
        <is>
          <t>WBS Code = 1.2.1</t>
        </is>
      </c>
      <c r="W315" s="14" t="inlineStr"/>
    </row>
    <row r="316" ht="49" customHeight="1">
      <c r="A316" s="34" t="inlineStr">
        <is>
          <t>1.2.1</t>
        </is>
      </c>
      <c r="B316" s="34" t="inlineStr">
        <is>
          <t>Stations - Station Structures</t>
        </is>
      </c>
      <c r="C316" s="34" t="inlineStr">
        <is>
          <t>Contractor Programme</t>
        </is>
      </c>
      <c r="D316" s="34" t="inlineStr">
        <is>
          <t>SCH-02-050</t>
        </is>
      </c>
      <c r="E316" s="34" t="inlineStr">
        <is>
          <t>West Terminal: platform edge installation - installation</t>
        </is>
      </c>
      <c r="F316" s="34" t="inlineStr">
        <is>
          <t>ONE_TO_ONE</t>
        </is>
      </c>
      <c r="G316" s="34" t="inlineStr">
        <is>
          <t>APPROVED</t>
        </is>
      </c>
      <c r="H316" s="34" t="inlineStr">
        <is>
          <t>New</t>
        </is>
      </c>
      <c r="I316" s="34" t="inlineStr">
        <is>
          <t>Source assignment -- not individually reviewed</t>
        </is>
      </c>
      <c r="J316" s="39" t="inlineStr"/>
      <c r="K316" s="34" t="inlineStr">
        <is>
          <t>Source assignment</t>
        </is>
      </c>
      <c r="L316" s="39" t="inlineStr"/>
      <c r="M316" s="34" t="inlineStr">
        <is>
          <t>Initial</t>
        </is>
      </c>
      <c r="N316" s="34" t="inlineStr">
        <is>
          <t>Rev 0</t>
        </is>
      </c>
      <c r="O316" s="34" t="inlineStr">
        <is>
          <t>R230-v1</t>
        </is>
      </c>
      <c r="P316" s="39" t="inlineStr"/>
      <c r="Q316" s="14" t="inlineStr"/>
      <c r="R316" s="39" t="inlineStr"/>
      <c r="S316" s="39" t="inlineStr"/>
      <c r="T316" s="39" t="inlineStr"/>
      <c r="U316" s="39" t="inlineStr"/>
      <c r="V316" s="34" t="inlineStr">
        <is>
          <t>WBS Code = 1.2.1</t>
        </is>
      </c>
      <c r="W316" s="14" t="inlineStr"/>
    </row>
    <row r="317" ht="49" customHeight="1">
      <c r="A317" s="34" t="inlineStr">
        <is>
          <t>1.2.1</t>
        </is>
      </c>
      <c r="B317" s="34" t="inlineStr">
        <is>
          <t>Stations - Station Structures</t>
        </is>
      </c>
      <c r="C317" s="34" t="inlineStr">
        <is>
          <t>Contractor Programme</t>
        </is>
      </c>
      <c r="D317" s="34" t="inlineStr">
        <is>
          <t>SCH-02-052</t>
        </is>
      </c>
      <c r="E317" s="34" t="inlineStr">
        <is>
          <t>Market Station: fire-life-safety cabling - turnover</t>
        </is>
      </c>
      <c r="F317" s="34" t="inlineStr">
        <is>
          <t>ONE_TO_ONE</t>
        </is>
      </c>
      <c r="G317" s="34" t="inlineStr">
        <is>
          <t>APPROVED</t>
        </is>
      </c>
      <c r="H317" s="34" t="inlineStr">
        <is>
          <t>New</t>
        </is>
      </c>
      <c r="I317" s="34" t="inlineStr">
        <is>
          <t>Source assignment -- not individually reviewed</t>
        </is>
      </c>
      <c r="J317" s="39" t="inlineStr"/>
      <c r="K317" s="34" t="inlineStr">
        <is>
          <t>Source assignment</t>
        </is>
      </c>
      <c r="L317" s="39" t="inlineStr"/>
      <c r="M317" s="34" t="inlineStr">
        <is>
          <t>Initial</t>
        </is>
      </c>
      <c r="N317" s="34" t="inlineStr">
        <is>
          <t>Rev 0</t>
        </is>
      </c>
      <c r="O317" s="34" t="inlineStr">
        <is>
          <t>R232-v1</t>
        </is>
      </c>
      <c r="P317" s="39" t="inlineStr"/>
      <c r="Q317" s="14" t="inlineStr"/>
      <c r="R317" s="39" t="inlineStr"/>
      <c r="S317" s="39" t="inlineStr"/>
      <c r="T317" s="39" t="inlineStr"/>
      <c r="U317" s="39" t="inlineStr"/>
      <c r="V317" s="34" t="inlineStr">
        <is>
          <t>WBS Code = 1.2.1</t>
        </is>
      </c>
      <c r="W317" s="14" t="inlineStr"/>
    </row>
    <row r="318" ht="49" customHeight="1">
      <c r="A318" s="34" t="inlineStr">
        <is>
          <t>1.2.1</t>
        </is>
      </c>
      <c r="B318" s="34" t="inlineStr">
        <is>
          <t>Stations - Station Structures</t>
        </is>
      </c>
      <c r="C318" s="34" t="inlineStr">
        <is>
          <t>Contractor Programme</t>
        </is>
      </c>
      <c r="D318" s="34" t="inlineStr">
        <is>
          <t>SCH-02-053</t>
        </is>
      </c>
      <c r="E318" s="34" t="inlineStr">
        <is>
          <t>Civic Station: concourse slab pour - release</t>
        </is>
      </c>
      <c r="F318" s="34" t="inlineStr">
        <is>
          <t>ONE_TO_ONE</t>
        </is>
      </c>
      <c r="G318" s="34" t="inlineStr">
        <is>
          <t>APPROVED</t>
        </is>
      </c>
      <c r="H318" s="34" t="inlineStr">
        <is>
          <t>New</t>
        </is>
      </c>
      <c r="I318" s="34" t="inlineStr">
        <is>
          <t>Source assignment -- not individually reviewed</t>
        </is>
      </c>
      <c r="J318" s="39" t="inlineStr"/>
      <c r="K318" s="34" t="inlineStr">
        <is>
          <t>Source assignment</t>
        </is>
      </c>
      <c r="L318" s="39" t="inlineStr"/>
      <c r="M318" s="34" t="inlineStr">
        <is>
          <t>Initial</t>
        </is>
      </c>
      <c r="N318" s="34" t="inlineStr">
        <is>
          <t>Rev 0</t>
        </is>
      </c>
      <c r="O318" s="34" t="inlineStr">
        <is>
          <t>R233-v1</t>
        </is>
      </c>
      <c r="P318" s="39" t="inlineStr"/>
      <c r="Q318" s="14" t="inlineStr"/>
      <c r="R318" s="39" t="inlineStr"/>
      <c r="S318" s="39" t="inlineStr"/>
      <c r="T318" s="39" t="inlineStr"/>
      <c r="U318" s="39" t="inlineStr"/>
      <c r="V318" s="34" t="inlineStr">
        <is>
          <t>WBS Code = 1.2.1</t>
        </is>
      </c>
      <c r="W318" s="14" t="inlineStr"/>
    </row>
    <row r="319" ht="49" customHeight="1">
      <c r="A319" s="34" t="inlineStr">
        <is>
          <t>1.2.1</t>
        </is>
      </c>
      <c r="B319" s="34" t="inlineStr">
        <is>
          <t>Stations - Station Structures</t>
        </is>
      </c>
      <c r="C319" s="34" t="inlineStr">
        <is>
          <t>Contractor Programme</t>
        </is>
      </c>
      <c r="D319" s="34" t="inlineStr">
        <is>
          <t>SCH-02-055</t>
        </is>
      </c>
      <c r="E319" s="34" t="inlineStr">
        <is>
          <t>West Terminal: public-realm paving - installation</t>
        </is>
      </c>
      <c r="F319" s="34" t="inlineStr">
        <is>
          <t>ONE_TO_ONE</t>
        </is>
      </c>
      <c r="G319" s="34" t="inlineStr">
        <is>
          <t>APPROVED</t>
        </is>
      </c>
      <c r="H319" s="34" t="inlineStr">
        <is>
          <t>New</t>
        </is>
      </c>
      <c r="I319" s="34" t="inlineStr">
        <is>
          <t>Source assignment -- not individually reviewed</t>
        </is>
      </c>
      <c r="J319" s="39" t="inlineStr"/>
      <c r="K319" s="34" t="inlineStr">
        <is>
          <t>Source assignment</t>
        </is>
      </c>
      <c r="L319" s="39" t="inlineStr"/>
      <c r="M319" s="34" t="inlineStr">
        <is>
          <t>Initial</t>
        </is>
      </c>
      <c r="N319" s="34" t="inlineStr">
        <is>
          <t>Rev 0</t>
        </is>
      </c>
      <c r="O319" s="34" t="inlineStr">
        <is>
          <t>R235-v1</t>
        </is>
      </c>
      <c r="P319" s="39" t="inlineStr"/>
      <c r="Q319" s="14" t="inlineStr"/>
      <c r="R319" s="39" t="inlineStr"/>
      <c r="S319" s="39" t="inlineStr"/>
      <c r="T319" s="39" t="inlineStr"/>
      <c r="U319" s="39" t="inlineStr"/>
      <c r="V319" s="34" t="inlineStr">
        <is>
          <t>WBS Code = 1.2.1</t>
        </is>
      </c>
      <c r="W319" s="14" t="inlineStr"/>
    </row>
    <row r="320" ht="49" customHeight="1">
      <c r="A320" s="34" t="inlineStr">
        <is>
          <t>1.2.1</t>
        </is>
      </c>
      <c r="B320" s="34" t="inlineStr">
        <is>
          <t>Stations - Station Structures</t>
        </is>
      </c>
      <c r="C320" s="34" t="inlineStr">
        <is>
          <t>Contractor Programme</t>
        </is>
      </c>
      <c r="D320" s="34" t="inlineStr">
        <is>
          <t>SCH-02-056</t>
        </is>
      </c>
      <c r="E320" s="34" t="inlineStr">
        <is>
          <t>Harbour Station: entrance steel erection - inspection</t>
        </is>
      </c>
      <c r="F320" s="34" t="inlineStr">
        <is>
          <t>ONE_TO_ONE</t>
        </is>
      </c>
      <c r="G320" s="34" t="inlineStr">
        <is>
          <t>APPROVED</t>
        </is>
      </c>
      <c r="H320" s="34" t="inlineStr">
        <is>
          <t>New</t>
        </is>
      </c>
      <c r="I320" s="34" t="inlineStr">
        <is>
          <t>Source assignment -- not individually reviewed</t>
        </is>
      </c>
      <c r="J320" s="39" t="inlineStr"/>
      <c r="K320" s="34" t="inlineStr">
        <is>
          <t>Source assignment</t>
        </is>
      </c>
      <c r="L320" s="39" t="inlineStr"/>
      <c r="M320" s="34" t="inlineStr">
        <is>
          <t>Initial</t>
        </is>
      </c>
      <c r="N320" s="34" t="inlineStr">
        <is>
          <t>Rev 0</t>
        </is>
      </c>
      <c r="O320" s="34" t="inlineStr">
        <is>
          <t>R236-v1</t>
        </is>
      </c>
      <c r="P320" s="39" t="inlineStr"/>
      <c r="Q320" s="14" t="inlineStr"/>
      <c r="R320" s="39" t="inlineStr"/>
      <c r="S320" s="39" t="inlineStr"/>
      <c r="T320" s="39" t="inlineStr"/>
      <c r="U320" s="39" t="inlineStr"/>
      <c r="V320" s="34" t="inlineStr">
        <is>
          <t>WBS Code = 1.2.1</t>
        </is>
      </c>
      <c r="W320" s="14" t="inlineStr"/>
    </row>
    <row r="321" ht="49" customHeight="1">
      <c r="A321" s="34" t="inlineStr">
        <is>
          <t>1.2.1</t>
        </is>
      </c>
      <c r="B321" s="34" t="inlineStr">
        <is>
          <t>Stations - Station Structures</t>
        </is>
      </c>
      <c r="C321" s="34" t="inlineStr">
        <is>
          <t>Contractor Programme</t>
        </is>
      </c>
      <c r="D321" s="34" t="inlineStr">
        <is>
          <t>SCH-02-058</t>
        </is>
      </c>
      <c r="E321" s="34" t="inlineStr">
        <is>
          <t>Civic Station: platform edge installation - release</t>
        </is>
      </c>
      <c r="F321" s="34" t="inlineStr">
        <is>
          <t>ONE_TO_ONE</t>
        </is>
      </c>
      <c r="G321" s="34" t="inlineStr">
        <is>
          <t>APPROVED</t>
        </is>
      </c>
      <c r="H321" s="34" t="inlineStr">
        <is>
          <t>New</t>
        </is>
      </c>
      <c r="I321" s="34" t="inlineStr">
        <is>
          <t>Source assignment -- not individually reviewed</t>
        </is>
      </c>
      <c r="J321" s="39" t="inlineStr"/>
      <c r="K321" s="34" t="inlineStr">
        <is>
          <t>Source assignment</t>
        </is>
      </c>
      <c r="L321" s="39" t="inlineStr"/>
      <c r="M321" s="34" t="inlineStr">
        <is>
          <t>Initial</t>
        </is>
      </c>
      <c r="N321" s="34" t="inlineStr">
        <is>
          <t>Rev 0</t>
        </is>
      </c>
      <c r="O321" s="34" t="inlineStr">
        <is>
          <t>R238-v1</t>
        </is>
      </c>
      <c r="P321" s="39" t="inlineStr"/>
      <c r="Q321" s="14" t="inlineStr"/>
      <c r="R321" s="39" t="inlineStr"/>
      <c r="S321" s="39" t="inlineStr"/>
      <c r="T321" s="39" t="inlineStr"/>
      <c r="U321" s="39" t="inlineStr"/>
      <c r="V321" s="34" t="inlineStr">
        <is>
          <t>WBS Code = 1.2.1</t>
        </is>
      </c>
      <c r="W321" s="14" t="inlineStr"/>
    </row>
    <row r="322" ht="49" customHeight="1">
      <c r="A322" s="34" t="inlineStr">
        <is>
          <t>1.2.1</t>
        </is>
      </c>
      <c r="B322" s="34" t="inlineStr">
        <is>
          <t>Stations - Station Structures</t>
        </is>
      </c>
      <c r="C322" s="34" t="inlineStr">
        <is>
          <t>Contractor Programme</t>
        </is>
      </c>
      <c r="D322" s="34" t="inlineStr">
        <is>
          <t>SCH-02-059</t>
        </is>
      </c>
      <c r="E322" s="34" t="inlineStr">
        <is>
          <t>University Station: architectural wall framing - field start</t>
        </is>
      </c>
      <c r="F322" s="34" t="inlineStr">
        <is>
          <t>ONE_TO_ONE</t>
        </is>
      </c>
      <c r="G322" s="34" t="inlineStr">
        <is>
          <t>APPROVED</t>
        </is>
      </c>
      <c r="H322" s="34" t="inlineStr">
        <is>
          <t>New</t>
        </is>
      </c>
      <c r="I322" s="34" t="inlineStr">
        <is>
          <t>Source assignment -- not individually reviewed</t>
        </is>
      </c>
      <c r="J322" s="39" t="inlineStr"/>
      <c r="K322" s="34" t="inlineStr">
        <is>
          <t>Source assignment</t>
        </is>
      </c>
      <c r="L322" s="39" t="inlineStr"/>
      <c r="M322" s="34" t="inlineStr">
        <is>
          <t>Initial</t>
        </is>
      </c>
      <c r="N322" s="34" t="inlineStr">
        <is>
          <t>Rev 0</t>
        </is>
      </c>
      <c r="O322" s="34" t="inlineStr">
        <is>
          <t>R239-v1</t>
        </is>
      </c>
      <c r="P322" s="39" t="inlineStr"/>
      <c r="Q322" s="14" t="inlineStr"/>
      <c r="R322" s="39" t="inlineStr"/>
      <c r="S322" s="39" t="inlineStr"/>
      <c r="T322" s="39" t="inlineStr"/>
      <c r="U322" s="39" t="inlineStr"/>
      <c r="V322" s="34" t="inlineStr">
        <is>
          <t>WBS Code = 1.2.1</t>
        </is>
      </c>
      <c r="W322" s="14" t="inlineStr"/>
    </row>
    <row r="323" ht="49" customHeight="1">
      <c r="A323" s="34" t="inlineStr">
        <is>
          <t>1.2.1</t>
        </is>
      </c>
      <c r="B323" s="34" t="inlineStr">
        <is>
          <t>Stations - Station Structures</t>
        </is>
      </c>
      <c r="C323" s="34" t="inlineStr">
        <is>
          <t>Contractor Programme</t>
        </is>
      </c>
      <c r="D323" s="34" t="inlineStr">
        <is>
          <t>SCH-02-061</t>
        </is>
      </c>
      <c r="E323" s="34" t="inlineStr">
        <is>
          <t>Harbour Station: concourse slab pour - inspection</t>
        </is>
      </c>
      <c r="F323" s="34" t="inlineStr">
        <is>
          <t>ONE_TO_ONE</t>
        </is>
      </c>
      <c r="G323" s="34" t="inlineStr">
        <is>
          <t>APPROVED</t>
        </is>
      </c>
      <c r="H323" s="34" t="inlineStr">
        <is>
          <t>New</t>
        </is>
      </c>
      <c r="I323" s="34" t="inlineStr">
        <is>
          <t>Source assignment -- not individually reviewed</t>
        </is>
      </c>
      <c r="J323" s="39" t="inlineStr"/>
      <c r="K323" s="34" t="inlineStr">
        <is>
          <t>Source assignment</t>
        </is>
      </c>
      <c r="L323" s="39" t="inlineStr"/>
      <c r="M323" s="34" t="inlineStr">
        <is>
          <t>Initial</t>
        </is>
      </c>
      <c r="N323" s="34" t="inlineStr">
        <is>
          <t>Rev 0</t>
        </is>
      </c>
      <c r="O323" s="34" t="inlineStr">
        <is>
          <t>R241-v1</t>
        </is>
      </c>
      <c r="P323" s="39" t="inlineStr"/>
      <c r="Q323" s="14" t="inlineStr"/>
      <c r="R323" s="39" t="inlineStr"/>
      <c r="S323" s="39" t="inlineStr"/>
      <c r="T323" s="39" t="inlineStr"/>
      <c r="U323" s="39" t="inlineStr"/>
      <c r="V323" s="34" t="inlineStr">
        <is>
          <t>WBS Code = 1.2.1</t>
        </is>
      </c>
      <c r="W323" s="14" t="inlineStr"/>
    </row>
    <row r="324" ht="49" customHeight="1">
      <c r="A324" s="34" t="inlineStr">
        <is>
          <t>1.2.1</t>
        </is>
      </c>
      <c r="B324" s="34" t="inlineStr">
        <is>
          <t>Stations - Station Structures</t>
        </is>
      </c>
      <c r="C324" s="34" t="inlineStr">
        <is>
          <t>Contractor Programme</t>
        </is>
      </c>
      <c r="D324" s="34" t="inlineStr">
        <is>
          <t>SCH-02-062</t>
        </is>
      </c>
      <c r="E324" s="34" t="inlineStr">
        <is>
          <t>Market Station: station ventilation rough-in - turnover</t>
        </is>
      </c>
      <c r="F324" s="34" t="inlineStr">
        <is>
          <t>ONE_TO_ONE</t>
        </is>
      </c>
      <c r="G324" s="34" t="inlineStr">
        <is>
          <t>APPROVED</t>
        </is>
      </c>
      <c r="H324" s="34" t="inlineStr">
        <is>
          <t>New</t>
        </is>
      </c>
      <c r="I324" s="34" t="inlineStr">
        <is>
          <t>Source assignment -- not individually reviewed</t>
        </is>
      </c>
      <c r="J324" s="39" t="inlineStr"/>
      <c r="K324" s="34" t="inlineStr">
        <is>
          <t>Source assignment</t>
        </is>
      </c>
      <c r="L324" s="39" t="inlineStr"/>
      <c r="M324" s="34" t="inlineStr">
        <is>
          <t>Initial</t>
        </is>
      </c>
      <c r="N324" s="34" t="inlineStr">
        <is>
          <t>Rev 0</t>
        </is>
      </c>
      <c r="O324" s="34" t="inlineStr">
        <is>
          <t>R242-v1</t>
        </is>
      </c>
      <c r="P324" s="39" t="inlineStr"/>
      <c r="Q324" s="14" t="inlineStr"/>
      <c r="R324" s="39" t="inlineStr"/>
      <c r="S324" s="39" t="inlineStr"/>
      <c r="T324" s="39" t="inlineStr"/>
      <c r="U324" s="39" t="inlineStr"/>
      <c r="V324" s="34" t="inlineStr">
        <is>
          <t>WBS Code = 1.2.1</t>
        </is>
      </c>
      <c r="W324" s="14" t="inlineStr"/>
    </row>
    <row r="325" ht="49" customHeight="1">
      <c r="A325" s="34" t="inlineStr">
        <is>
          <t>1.2.1</t>
        </is>
      </c>
      <c r="B325" s="34" t="inlineStr">
        <is>
          <t>Stations - Station Structures</t>
        </is>
      </c>
      <c r="C325" s="34" t="inlineStr">
        <is>
          <t>Contractor Programme</t>
        </is>
      </c>
      <c r="D325" s="34" t="inlineStr">
        <is>
          <t>SCH-02-064</t>
        </is>
      </c>
      <c r="E325" s="34" t="inlineStr">
        <is>
          <t>University Station: entrance steel erection - field start</t>
        </is>
      </c>
      <c r="F325" s="34" t="inlineStr">
        <is>
          <t>ONE_TO_ONE</t>
        </is>
      </c>
      <c r="G325" s="34" t="inlineStr">
        <is>
          <t>APPROVED</t>
        </is>
      </c>
      <c r="H325" s="34" t="inlineStr">
        <is>
          <t>New</t>
        </is>
      </c>
      <c r="I325" s="34" t="inlineStr">
        <is>
          <t>Source assignment -- not individually reviewed</t>
        </is>
      </c>
      <c r="J325" s="39" t="inlineStr"/>
      <c r="K325" s="34" t="inlineStr">
        <is>
          <t>Source assignment</t>
        </is>
      </c>
      <c r="L325" s="39" t="inlineStr"/>
      <c r="M325" s="34" t="inlineStr">
        <is>
          <t>Initial</t>
        </is>
      </c>
      <c r="N325" s="34" t="inlineStr">
        <is>
          <t>Rev 0</t>
        </is>
      </c>
      <c r="O325" s="34" t="inlineStr">
        <is>
          <t>R244-v1</t>
        </is>
      </c>
      <c r="P325" s="39" t="inlineStr"/>
      <c r="Q325" s="14" t="inlineStr"/>
      <c r="R325" s="39" t="inlineStr"/>
      <c r="S325" s="39" t="inlineStr"/>
      <c r="T325" s="39" t="inlineStr"/>
      <c r="U325" s="39" t="inlineStr"/>
      <c r="V325" s="34" t="inlineStr">
        <is>
          <t>WBS Code = 1.2.1</t>
        </is>
      </c>
      <c r="W325" s="14" t="inlineStr"/>
    </row>
    <row r="326" ht="49" customHeight="1">
      <c r="A326" s="34" t="inlineStr">
        <is>
          <t>1.2.1</t>
        </is>
      </c>
      <c r="B326" s="34" t="inlineStr">
        <is>
          <t>Stations - Station Structures</t>
        </is>
      </c>
      <c r="C326" s="34" t="inlineStr">
        <is>
          <t>Contractor Programme</t>
        </is>
      </c>
      <c r="D326" s="34" t="inlineStr">
        <is>
          <t>SCH-02-065</t>
        </is>
      </c>
      <c r="E326" s="34" t="inlineStr">
        <is>
          <t>West Terminal: vertical-transport installation - installation</t>
        </is>
      </c>
      <c r="F326" s="34" t="inlineStr">
        <is>
          <t>ONE_TO_ONE</t>
        </is>
      </c>
      <c r="G326" s="34" t="inlineStr">
        <is>
          <t>APPROVED</t>
        </is>
      </c>
      <c r="H326" s="34" t="inlineStr">
        <is>
          <t>New</t>
        </is>
      </c>
      <c r="I326" s="34" t="inlineStr">
        <is>
          <t>Source assignment -- not individually reviewed</t>
        </is>
      </c>
      <c r="J326" s="39" t="inlineStr"/>
      <c r="K326" s="34" t="inlineStr">
        <is>
          <t>Source assignment</t>
        </is>
      </c>
      <c r="L326" s="39" t="inlineStr"/>
      <c r="M326" s="34" t="inlineStr">
        <is>
          <t>Initial</t>
        </is>
      </c>
      <c r="N326" s="34" t="inlineStr">
        <is>
          <t>Rev 0</t>
        </is>
      </c>
      <c r="O326" s="34" t="inlineStr">
        <is>
          <t>R245-v1</t>
        </is>
      </c>
      <c r="P326" s="39" t="inlineStr"/>
      <c r="Q326" s="14" t="inlineStr"/>
      <c r="R326" s="39" t="inlineStr"/>
      <c r="S326" s="39" t="inlineStr"/>
      <c r="T326" s="39" t="inlineStr"/>
      <c r="U326" s="39" t="inlineStr"/>
      <c r="V326" s="34" t="inlineStr">
        <is>
          <t>WBS Code = 1.2.1</t>
        </is>
      </c>
      <c r="W326" s="14" t="inlineStr"/>
    </row>
    <row r="327" ht="49" customHeight="1">
      <c r="A327" s="34" t="inlineStr">
        <is>
          <t>1.2.1</t>
        </is>
      </c>
      <c r="B327" s="34" t="inlineStr">
        <is>
          <t>Stations - Station Structures</t>
        </is>
      </c>
      <c r="C327" s="34" t="inlineStr">
        <is>
          <t>Contractor Programme</t>
        </is>
      </c>
      <c r="D327" s="34" t="inlineStr">
        <is>
          <t>SCH-02-067</t>
        </is>
      </c>
      <c r="E327" s="34" t="inlineStr">
        <is>
          <t>Market Station: architectural wall framing - turnover</t>
        </is>
      </c>
      <c r="F327" s="34" t="inlineStr">
        <is>
          <t>ONE_TO_ONE</t>
        </is>
      </c>
      <c r="G327" s="34" t="inlineStr">
        <is>
          <t>APPROVED</t>
        </is>
      </c>
      <c r="H327" s="34" t="inlineStr">
        <is>
          <t>New</t>
        </is>
      </c>
      <c r="I327" s="34" t="inlineStr">
        <is>
          <t>Source assignment -- not individually reviewed</t>
        </is>
      </c>
      <c r="J327" s="39" t="inlineStr"/>
      <c r="K327" s="34" t="inlineStr">
        <is>
          <t>Source assignment</t>
        </is>
      </c>
      <c r="L327" s="39" t="inlineStr"/>
      <c r="M327" s="34" t="inlineStr">
        <is>
          <t>Initial</t>
        </is>
      </c>
      <c r="N327" s="34" t="inlineStr">
        <is>
          <t>Rev 0</t>
        </is>
      </c>
      <c r="O327" s="34" t="inlineStr">
        <is>
          <t>R247-v1</t>
        </is>
      </c>
      <c r="P327" s="39" t="inlineStr"/>
      <c r="Q327" s="14" t="inlineStr"/>
      <c r="R327" s="39" t="inlineStr"/>
      <c r="S327" s="39" t="inlineStr"/>
      <c r="T327" s="39" t="inlineStr"/>
      <c r="U327" s="39" t="inlineStr"/>
      <c r="V327" s="34" t="inlineStr">
        <is>
          <t>WBS Code = 1.2.1</t>
        </is>
      </c>
      <c r="W327" s="14" t="inlineStr"/>
    </row>
    <row r="328" ht="49" customHeight="1">
      <c r="A328" s="34" t="inlineStr">
        <is>
          <t>1.2.1</t>
        </is>
      </c>
      <c r="B328" s="34" t="inlineStr">
        <is>
          <t>Stations - Station Structures</t>
        </is>
      </c>
      <c r="C328" s="34" t="inlineStr">
        <is>
          <t>Contractor Programme</t>
        </is>
      </c>
      <c r="D328" s="34" t="inlineStr">
        <is>
          <t>SCH-02-068</t>
        </is>
      </c>
      <c r="E328" s="34" t="inlineStr">
        <is>
          <t>Civic Station: fire-life-safety cabling - release</t>
        </is>
      </c>
      <c r="F328" s="34" t="inlineStr">
        <is>
          <t>ONE_TO_ONE</t>
        </is>
      </c>
      <c r="G328" s="34" t="inlineStr">
        <is>
          <t>APPROVED</t>
        </is>
      </c>
      <c r="H328" s="34" t="inlineStr">
        <is>
          <t>New</t>
        </is>
      </c>
      <c r="I328" s="34" t="inlineStr">
        <is>
          <t>Source assignment -- not individually reviewed</t>
        </is>
      </c>
      <c r="J328" s="39" t="inlineStr"/>
      <c r="K328" s="34" t="inlineStr">
        <is>
          <t>Source assignment</t>
        </is>
      </c>
      <c r="L328" s="39" t="inlineStr"/>
      <c r="M328" s="34" t="inlineStr">
        <is>
          <t>Initial</t>
        </is>
      </c>
      <c r="N328" s="34" t="inlineStr">
        <is>
          <t>Rev 0</t>
        </is>
      </c>
      <c r="O328" s="34" t="inlineStr">
        <is>
          <t>R248-v1</t>
        </is>
      </c>
      <c r="P328" s="39" t="inlineStr"/>
      <c r="Q328" s="14" t="inlineStr"/>
      <c r="R328" s="39" t="inlineStr"/>
      <c r="S328" s="39" t="inlineStr"/>
      <c r="T328" s="39" t="inlineStr"/>
      <c r="U328" s="39" t="inlineStr"/>
      <c r="V328" s="34" t="inlineStr">
        <is>
          <t>WBS Code = 1.2.1</t>
        </is>
      </c>
      <c r="W328" s="14" t="inlineStr"/>
    </row>
    <row r="329" ht="49" customHeight="1">
      <c r="A329" s="34" t="inlineStr">
        <is>
          <t>1.2.1</t>
        </is>
      </c>
      <c r="B329" s="34" t="inlineStr">
        <is>
          <t>Stations - Station Structures</t>
        </is>
      </c>
      <c r="C329" s="34" t="inlineStr">
        <is>
          <t>Contractor Programme</t>
        </is>
      </c>
      <c r="D329" s="34" t="inlineStr">
        <is>
          <t>SCH-02-070</t>
        </is>
      </c>
      <c r="E329" s="34" t="inlineStr">
        <is>
          <t>West Terminal: station ventilation rough-in - installation</t>
        </is>
      </c>
      <c r="F329" s="34" t="inlineStr">
        <is>
          <t>ONE_TO_ONE</t>
        </is>
      </c>
      <c r="G329" s="34" t="inlineStr">
        <is>
          <t>APPROVED</t>
        </is>
      </c>
      <c r="H329" s="34" t="inlineStr">
        <is>
          <t>New</t>
        </is>
      </c>
      <c r="I329" s="34" t="inlineStr">
        <is>
          <t>Source assignment -- not individually reviewed</t>
        </is>
      </c>
      <c r="J329" s="39" t="inlineStr"/>
      <c r="K329" s="34" t="inlineStr">
        <is>
          <t>Source assignment</t>
        </is>
      </c>
      <c r="L329" s="39" t="inlineStr"/>
      <c r="M329" s="34" t="inlineStr">
        <is>
          <t>Initial</t>
        </is>
      </c>
      <c r="N329" s="34" t="inlineStr">
        <is>
          <t>Rev 0</t>
        </is>
      </c>
      <c r="O329" s="34" t="inlineStr">
        <is>
          <t>R250-v1</t>
        </is>
      </c>
      <c r="P329" s="39" t="inlineStr"/>
      <c r="Q329" s="14" t="inlineStr"/>
      <c r="R329" s="39" t="inlineStr"/>
      <c r="S329" s="39" t="inlineStr"/>
      <c r="T329" s="39" t="inlineStr"/>
      <c r="U329" s="39" t="inlineStr"/>
      <c r="V329" s="34" t="inlineStr">
        <is>
          <t>WBS Code = 1.2.1</t>
        </is>
      </c>
      <c r="W329" s="14" t="inlineStr"/>
    </row>
    <row r="330" ht="49" customHeight="1">
      <c r="A330" s="34" t="inlineStr">
        <is>
          <t>1.2.1</t>
        </is>
      </c>
      <c r="B330" s="34" t="inlineStr">
        <is>
          <t>Stations - Station Structures</t>
        </is>
      </c>
      <c r="C330" s="34" t="inlineStr">
        <is>
          <t>Contractor Programme</t>
        </is>
      </c>
      <c r="D330" s="34" t="inlineStr">
        <is>
          <t>SCH-02-071</t>
        </is>
      </c>
      <c r="E330" s="34" t="inlineStr">
        <is>
          <t>Harbour Station: public-realm paving - inspection</t>
        </is>
      </c>
      <c r="F330" s="34" t="inlineStr">
        <is>
          <t>ONE_TO_ONE</t>
        </is>
      </c>
      <c r="G330" s="34" t="inlineStr">
        <is>
          <t>APPROVED</t>
        </is>
      </c>
      <c r="H330" s="34" t="inlineStr">
        <is>
          <t>New</t>
        </is>
      </c>
      <c r="I330" s="34" t="inlineStr">
        <is>
          <t>Source assignment -- not individually reviewed</t>
        </is>
      </c>
      <c r="J330" s="39" t="inlineStr"/>
      <c r="K330" s="34" t="inlineStr">
        <is>
          <t>Source assignment</t>
        </is>
      </c>
      <c r="L330" s="39" t="inlineStr"/>
      <c r="M330" s="34" t="inlineStr">
        <is>
          <t>Initial</t>
        </is>
      </c>
      <c r="N330" s="34" t="inlineStr">
        <is>
          <t>Rev 0</t>
        </is>
      </c>
      <c r="O330" s="34" t="inlineStr">
        <is>
          <t>R251-v1</t>
        </is>
      </c>
      <c r="P330" s="39" t="inlineStr"/>
      <c r="Q330" s="14" t="inlineStr"/>
      <c r="R330" s="39" t="inlineStr"/>
      <c r="S330" s="39" t="inlineStr"/>
      <c r="T330" s="39" t="inlineStr"/>
      <c r="U330" s="39" t="inlineStr"/>
      <c r="V330" s="34" t="inlineStr">
        <is>
          <t>WBS Code = 1.2.1</t>
        </is>
      </c>
      <c r="W330" s="14" t="inlineStr"/>
    </row>
    <row r="331" ht="49" customHeight="1">
      <c r="A331" s="34" t="inlineStr">
        <is>
          <t>1.2.1</t>
        </is>
      </c>
      <c r="B331" s="34" t="inlineStr">
        <is>
          <t>Stations - Station Structures</t>
        </is>
      </c>
      <c r="C331" s="34" t="inlineStr">
        <is>
          <t>Contractor Programme</t>
        </is>
      </c>
      <c r="D331" s="34" t="inlineStr">
        <is>
          <t>SCH-02-073</t>
        </is>
      </c>
      <c r="E331" s="34" t="inlineStr">
        <is>
          <t>Civic Station: vertical-transport installation - release</t>
        </is>
      </c>
      <c r="F331" s="34" t="inlineStr">
        <is>
          <t>ONE_TO_ONE</t>
        </is>
      </c>
      <c r="G331" s="34" t="inlineStr">
        <is>
          <t>APPROVED</t>
        </is>
      </c>
      <c r="H331" s="34" t="inlineStr">
        <is>
          <t>New</t>
        </is>
      </c>
      <c r="I331" s="34" t="inlineStr">
        <is>
          <t>Source assignment -- not individually reviewed</t>
        </is>
      </c>
      <c r="J331" s="39" t="inlineStr"/>
      <c r="K331" s="34" t="inlineStr">
        <is>
          <t>Source assignment</t>
        </is>
      </c>
      <c r="L331" s="39" t="inlineStr"/>
      <c r="M331" s="34" t="inlineStr">
        <is>
          <t>Initial</t>
        </is>
      </c>
      <c r="N331" s="34" t="inlineStr">
        <is>
          <t>Rev 0</t>
        </is>
      </c>
      <c r="O331" s="34" t="inlineStr">
        <is>
          <t>R253-v1</t>
        </is>
      </c>
      <c r="P331" s="39" t="inlineStr"/>
      <c r="Q331" s="14" t="inlineStr"/>
      <c r="R331" s="39" t="inlineStr"/>
      <c r="S331" s="39" t="inlineStr"/>
      <c r="T331" s="39" t="inlineStr"/>
      <c r="U331" s="39" t="inlineStr"/>
      <c r="V331" s="34" t="inlineStr">
        <is>
          <t>WBS Code = 1.2.1</t>
        </is>
      </c>
      <c r="W331" s="14" t="inlineStr"/>
    </row>
    <row r="332" ht="49" customHeight="1">
      <c r="A332" s="34" t="inlineStr">
        <is>
          <t>1.2.1</t>
        </is>
      </c>
      <c r="B332" s="34" t="inlineStr">
        <is>
          <t>Stations - Station Structures</t>
        </is>
      </c>
      <c r="C332" s="34" t="inlineStr">
        <is>
          <t>Contractor Programme</t>
        </is>
      </c>
      <c r="D332" s="34" t="inlineStr">
        <is>
          <t>SCH-02-074</t>
        </is>
      </c>
      <c r="E332" s="34" t="inlineStr">
        <is>
          <t>University Station: platform edge installation - field start</t>
        </is>
      </c>
      <c r="F332" s="34" t="inlineStr">
        <is>
          <t>ONE_TO_ONE</t>
        </is>
      </c>
      <c r="G332" s="34" t="inlineStr">
        <is>
          <t>APPROVED</t>
        </is>
      </c>
      <c r="H332" s="34" t="inlineStr">
        <is>
          <t>New</t>
        </is>
      </c>
      <c r="I332" s="34" t="inlineStr">
        <is>
          <t>Source assignment -- not individually reviewed</t>
        </is>
      </c>
      <c r="J332" s="39" t="inlineStr"/>
      <c r="K332" s="34" t="inlineStr">
        <is>
          <t>Source assignment</t>
        </is>
      </c>
      <c r="L332" s="39" t="inlineStr"/>
      <c r="M332" s="34" t="inlineStr">
        <is>
          <t>Initial</t>
        </is>
      </c>
      <c r="N332" s="34" t="inlineStr">
        <is>
          <t>Rev 0</t>
        </is>
      </c>
      <c r="O332" s="34" t="inlineStr">
        <is>
          <t>R254-v1</t>
        </is>
      </c>
      <c r="P332" s="39" t="inlineStr"/>
      <c r="Q332" s="14" t="inlineStr"/>
      <c r="R332" s="39" t="inlineStr"/>
      <c r="S332" s="39" t="inlineStr"/>
      <c r="T332" s="39" t="inlineStr"/>
      <c r="U332" s="39" t="inlineStr"/>
      <c r="V332" s="34" t="inlineStr">
        <is>
          <t>WBS Code = 1.2.1</t>
        </is>
      </c>
      <c r="W332" s="14" t="inlineStr"/>
    </row>
    <row r="333" ht="49" customHeight="1">
      <c r="A333" s="34" t="inlineStr">
        <is>
          <t>1.2.1</t>
        </is>
      </c>
      <c r="B333" s="34" t="inlineStr">
        <is>
          <t>Stations - Station Structures</t>
        </is>
      </c>
      <c r="C333" s="34" t="inlineStr">
        <is>
          <t>Contractor Programme</t>
        </is>
      </c>
      <c r="D333" s="34" t="inlineStr">
        <is>
          <t>SCH-02-076</t>
        </is>
      </c>
      <c r="E333" s="34" t="inlineStr">
        <is>
          <t>Harbour Station: fire-life-safety cabling - inspection</t>
        </is>
      </c>
      <c r="F333" s="34" t="inlineStr">
        <is>
          <t>ONE_TO_ONE</t>
        </is>
      </c>
      <c r="G333" s="34" t="inlineStr">
        <is>
          <t>APPROVED</t>
        </is>
      </c>
      <c r="H333" s="34" t="inlineStr">
        <is>
          <t>New</t>
        </is>
      </c>
      <c r="I333" s="34" t="inlineStr">
        <is>
          <t>Source assignment -- not individually reviewed</t>
        </is>
      </c>
      <c r="J333" s="39" t="inlineStr"/>
      <c r="K333" s="34" t="inlineStr">
        <is>
          <t>Source assignment</t>
        </is>
      </c>
      <c r="L333" s="39" t="inlineStr"/>
      <c r="M333" s="34" t="inlineStr">
        <is>
          <t>Initial</t>
        </is>
      </c>
      <c r="N333" s="34" t="inlineStr">
        <is>
          <t>Rev 0</t>
        </is>
      </c>
      <c r="O333" s="34" t="inlineStr">
        <is>
          <t>R256-v1</t>
        </is>
      </c>
      <c r="P333" s="39" t="inlineStr"/>
      <c r="Q333" s="14" t="inlineStr"/>
      <c r="R333" s="39" t="inlineStr"/>
      <c r="S333" s="39" t="inlineStr"/>
      <c r="T333" s="39" t="inlineStr"/>
      <c r="U333" s="39" t="inlineStr"/>
      <c r="V333" s="34" t="inlineStr">
        <is>
          <t>WBS Code = 1.2.1</t>
        </is>
      </c>
      <c r="W333" s="14" t="inlineStr"/>
    </row>
    <row r="334" ht="49" customHeight="1">
      <c r="A334" s="34" t="inlineStr">
        <is>
          <t>1.2.1</t>
        </is>
      </c>
      <c r="B334" s="34" t="inlineStr">
        <is>
          <t>Stations - Station Structures</t>
        </is>
      </c>
      <c r="C334" s="34" t="inlineStr">
        <is>
          <t>Contractor Programme</t>
        </is>
      </c>
      <c r="D334" s="34" t="inlineStr">
        <is>
          <t>SCH-02-077</t>
        </is>
      </c>
      <c r="E334" s="34" t="inlineStr">
        <is>
          <t>Market Station: concourse slab pour - turnover</t>
        </is>
      </c>
      <c r="F334" s="34" t="inlineStr">
        <is>
          <t>ONE_TO_ONE</t>
        </is>
      </c>
      <c r="G334" s="34" t="inlineStr">
        <is>
          <t>APPROVED</t>
        </is>
      </c>
      <c r="H334" s="34" t="inlineStr">
        <is>
          <t>New</t>
        </is>
      </c>
      <c r="I334" s="34" t="inlineStr">
        <is>
          <t>Source assignment -- not individually reviewed</t>
        </is>
      </c>
      <c r="J334" s="39" t="inlineStr"/>
      <c r="K334" s="34" t="inlineStr">
        <is>
          <t>Source assignment</t>
        </is>
      </c>
      <c r="L334" s="39" t="inlineStr"/>
      <c r="M334" s="34" t="inlineStr">
        <is>
          <t>Initial</t>
        </is>
      </c>
      <c r="N334" s="34" t="inlineStr">
        <is>
          <t>Rev 0</t>
        </is>
      </c>
      <c r="O334" s="34" t="inlineStr">
        <is>
          <t>R257-v1</t>
        </is>
      </c>
      <c r="P334" s="39" t="inlineStr"/>
      <c r="Q334" s="14" t="inlineStr"/>
      <c r="R334" s="39" t="inlineStr"/>
      <c r="S334" s="39" t="inlineStr"/>
      <c r="T334" s="39" t="inlineStr"/>
      <c r="U334" s="39" t="inlineStr"/>
      <c r="V334" s="34" t="inlineStr">
        <is>
          <t>WBS Code = 1.2.1</t>
        </is>
      </c>
      <c r="W334" s="14" t="inlineStr"/>
    </row>
    <row r="335" ht="49" customHeight="1">
      <c r="A335" s="34" t="inlineStr">
        <is>
          <t>1.2.1</t>
        </is>
      </c>
      <c r="B335" s="34" t="inlineStr">
        <is>
          <t>Stations - Station Structures</t>
        </is>
      </c>
      <c r="C335" s="34" t="inlineStr">
        <is>
          <t>Contractor Programme</t>
        </is>
      </c>
      <c r="D335" s="34" t="inlineStr">
        <is>
          <t>SCH-02-079</t>
        </is>
      </c>
      <c r="E335" s="34" t="inlineStr">
        <is>
          <t>University Station: public-realm paving - field start</t>
        </is>
      </c>
      <c r="F335" s="34" t="inlineStr">
        <is>
          <t>ONE_TO_ONE</t>
        </is>
      </c>
      <c r="G335" s="34" t="inlineStr">
        <is>
          <t>APPROVED</t>
        </is>
      </c>
      <c r="H335" s="34" t="inlineStr">
        <is>
          <t>New</t>
        </is>
      </c>
      <c r="I335" s="34" t="inlineStr">
        <is>
          <t>Source assignment -- not individually reviewed</t>
        </is>
      </c>
      <c r="J335" s="39" t="inlineStr"/>
      <c r="K335" s="34" t="inlineStr">
        <is>
          <t>Source assignment</t>
        </is>
      </c>
      <c r="L335" s="39" t="inlineStr"/>
      <c r="M335" s="34" t="inlineStr">
        <is>
          <t>Initial</t>
        </is>
      </c>
      <c r="N335" s="34" t="inlineStr">
        <is>
          <t>Rev 0</t>
        </is>
      </c>
      <c r="O335" s="34" t="inlineStr">
        <is>
          <t>R259-v1</t>
        </is>
      </c>
      <c r="P335" s="39" t="inlineStr"/>
      <c r="Q335" s="14" t="inlineStr"/>
      <c r="R335" s="39" t="inlineStr"/>
      <c r="S335" s="39" t="inlineStr"/>
      <c r="T335" s="39" t="inlineStr"/>
      <c r="U335" s="39" t="inlineStr"/>
      <c r="V335" s="34" t="inlineStr">
        <is>
          <t>WBS Code = 1.2.1</t>
        </is>
      </c>
      <c r="W335" s="14" t="inlineStr"/>
    </row>
    <row r="336" ht="49" customHeight="1">
      <c r="A336" s="34" t="inlineStr">
        <is>
          <t>1.2.1</t>
        </is>
      </c>
      <c r="B336" s="34" t="inlineStr">
        <is>
          <t>Stations - Station Structures</t>
        </is>
      </c>
      <c r="C336" s="34" t="inlineStr">
        <is>
          <t>Contractor Programme</t>
        </is>
      </c>
      <c r="D336" s="34" t="inlineStr">
        <is>
          <t>SCH-02-080</t>
        </is>
      </c>
      <c r="E336" s="34" t="inlineStr">
        <is>
          <t>West Terminal: entrance steel erection - installation</t>
        </is>
      </c>
      <c r="F336" s="34" t="inlineStr">
        <is>
          <t>ONE_TO_ONE</t>
        </is>
      </c>
      <c r="G336" s="34" t="inlineStr">
        <is>
          <t>APPROVED</t>
        </is>
      </c>
      <c r="H336" s="34" t="inlineStr">
        <is>
          <t>New</t>
        </is>
      </c>
      <c r="I336" s="34" t="inlineStr">
        <is>
          <t>Source assignment -- not individually reviewed</t>
        </is>
      </c>
      <c r="J336" s="39" t="inlineStr"/>
      <c r="K336" s="34" t="inlineStr">
        <is>
          <t>Source assignment</t>
        </is>
      </c>
      <c r="L336" s="39" t="inlineStr"/>
      <c r="M336" s="34" t="inlineStr">
        <is>
          <t>Initial</t>
        </is>
      </c>
      <c r="N336" s="34" t="inlineStr">
        <is>
          <t>Rev 0</t>
        </is>
      </c>
      <c r="O336" s="34" t="inlineStr">
        <is>
          <t>R260-v1</t>
        </is>
      </c>
      <c r="P336" s="39" t="inlineStr"/>
      <c r="Q336" s="14" t="inlineStr"/>
      <c r="R336" s="39" t="inlineStr"/>
      <c r="S336" s="39" t="inlineStr"/>
      <c r="T336" s="39" t="inlineStr"/>
      <c r="U336" s="39" t="inlineStr"/>
      <c r="V336" s="34" t="inlineStr">
        <is>
          <t>WBS Code = 1.2.1</t>
        </is>
      </c>
      <c r="W336" s="14" t="inlineStr"/>
    </row>
    <row r="337" ht="49" customHeight="1">
      <c r="A337" s="34" t="inlineStr">
        <is>
          <t>1.2.1</t>
        </is>
      </c>
      <c r="B337" s="34" t="inlineStr">
        <is>
          <t>Stations - Station Structures</t>
        </is>
      </c>
      <c r="C337" s="34" t="inlineStr">
        <is>
          <t>Contractor Programme</t>
        </is>
      </c>
      <c r="D337" s="34" t="inlineStr">
        <is>
          <t>SCH-02-082</t>
        </is>
      </c>
      <c r="E337" s="34" t="inlineStr">
        <is>
          <t>Market Station: platform edge installation - turnover</t>
        </is>
      </c>
      <c r="F337" s="34" t="inlineStr">
        <is>
          <t>ONE_TO_ONE</t>
        </is>
      </c>
      <c r="G337" s="34" t="inlineStr">
        <is>
          <t>APPROVED</t>
        </is>
      </c>
      <c r="H337" s="34" t="inlineStr">
        <is>
          <t>New</t>
        </is>
      </c>
      <c r="I337" s="34" t="inlineStr">
        <is>
          <t>Source assignment -- not individually reviewed</t>
        </is>
      </c>
      <c r="J337" s="39" t="inlineStr"/>
      <c r="K337" s="34" t="inlineStr">
        <is>
          <t>Source assignment</t>
        </is>
      </c>
      <c r="L337" s="39" t="inlineStr"/>
      <c r="M337" s="34" t="inlineStr">
        <is>
          <t>Initial</t>
        </is>
      </c>
      <c r="N337" s="34" t="inlineStr">
        <is>
          <t>Rev 0</t>
        </is>
      </c>
      <c r="O337" s="34" t="inlineStr">
        <is>
          <t>R262-v1</t>
        </is>
      </c>
      <c r="P337" s="39" t="inlineStr"/>
      <c r="Q337" s="14" t="inlineStr"/>
      <c r="R337" s="39" t="inlineStr"/>
      <c r="S337" s="39" t="inlineStr"/>
      <c r="T337" s="39" t="inlineStr"/>
      <c r="U337" s="39" t="inlineStr"/>
      <c r="V337" s="34" t="inlineStr">
        <is>
          <t>WBS Code = 1.2.1</t>
        </is>
      </c>
      <c r="W337" s="14" t="inlineStr"/>
    </row>
    <row r="338" ht="49" customHeight="1">
      <c r="A338" s="34" t="inlineStr">
        <is>
          <t>1.2.1</t>
        </is>
      </c>
      <c r="B338" s="34" t="inlineStr">
        <is>
          <t>Stations - Station Structures</t>
        </is>
      </c>
      <c r="C338" s="34" t="inlineStr">
        <is>
          <t>Contractor Programme</t>
        </is>
      </c>
      <c r="D338" s="34" t="inlineStr">
        <is>
          <t>SCH-02-083</t>
        </is>
      </c>
      <c r="E338" s="34" t="inlineStr">
        <is>
          <t>Civic Station: architectural wall framing - release</t>
        </is>
      </c>
      <c r="F338" s="34" t="inlineStr">
        <is>
          <t>ONE_TO_ONE</t>
        </is>
      </c>
      <c r="G338" s="34" t="inlineStr">
        <is>
          <t>APPROVED</t>
        </is>
      </c>
      <c r="H338" s="34" t="inlineStr">
        <is>
          <t>New</t>
        </is>
      </c>
      <c r="I338" s="34" t="inlineStr">
        <is>
          <t>Source assignment -- not individually reviewed</t>
        </is>
      </c>
      <c r="J338" s="39" t="inlineStr"/>
      <c r="K338" s="34" t="inlineStr">
        <is>
          <t>Source assignment</t>
        </is>
      </c>
      <c r="L338" s="39" t="inlineStr"/>
      <c r="M338" s="34" t="inlineStr">
        <is>
          <t>Initial</t>
        </is>
      </c>
      <c r="N338" s="34" t="inlineStr">
        <is>
          <t>Rev 0</t>
        </is>
      </c>
      <c r="O338" s="34" t="inlineStr">
        <is>
          <t>R263-v1</t>
        </is>
      </c>
      <c r="P338" s="39" t="inlineStr"/>
      <c r="Q338" s="14" t="inlineStr"/>
      <c r="R338" s="39" t="inlineStr"/>
      <c r="S338" s="39" t="inlineStr"/>
      <c r="T338" s="39" t="inlineStr"/>
      <c r="U338" s="39" t="inlineStr"/>
      <c r="V338" s="34" t="inlineStr">
        <is>
          <t>WBS Code = 1.2.1</t>
        </is>
      </c>
      <c r="W338" s="14" t="inlineStr"/>
    </row>
    <row r="339" ht="49" customHeight="1">
      <c r="A339" s="34" t="inlineStr">
        <is>
          <t>1.2.1</t>
        </is>
      </c>
      <c r="B339" s="34" t="inlineStr">
        <is>
          <t>Stations - Station Structures</t>
        </is>
      </c>
      <c r="C339" s="34" t="inlineStr">
        <is>
          <t>Contractor Programme</t>
        </is>
      </c>
      <c r="D339" s="34" t="inlineStr">
        <is>
          <t>SCH-02-085</t>
        </is>
      </c>
      <c r="E339" s="34" t="inlineStr">
        <is>
          <t>West Terminal: concourse slab pour - installation</t>
        </is>
      </c>
      <c r="F339" s="34" t="inlineStr">
        <is>
          <t>ONE_TO_ONE</t>
        </is>
      </c>
      <c r="G339" s="34" t="inlineStr">
        <is>
          <t>APPROVED</t>
        </is>
      </c>
      <c r="H339" s="34" t="inlineStr">
        <is>
          <t>New</t>
        </is>
      </c>
      <c r="I339" s="34" t="inlineStr">
        <is>
          <t>Source assignment -- not individually reviewed</t>
        </is>
      </c>
      <c r="J339" s="39" t="inlineStr"/>
      <c r="K339" s="34" t="inlineStr">
        <is>
          <t>Source assignment</t>
        </is>
      </c>
      <c r="L339" s="39" t="inlineStr"/>
      <c r="M339" s="34" t="inlineStr">
        <is>
          <t>Initial</t>
        </is>
      </c>
      <c r="N339" s="34" t="inlineStr">
        <is>
          <t>Rev 0</t>
        </is>
      </c>
      <c r="O339" s="34" t="inlineStr">
        <is>
          <t>R265-v1</t>
        </is>
      </c>
      <c r="P339" s="39" t="inlineStr"/>
      <c r="Q339" s="14" t="inlineStr"/>
      <c r="R339" s="39" t="inlineStr"/>
      <c r="S339" s="39" t="inlineStr"/>
      <c r="T339" s="39" t="inlineStr"/>
      <c r="U339" s="39" t="inlineStr"/>
      <c r="V339" s="34" t="inlineStr">
        <is>
          <t>WBS Code = 1.2.1</t>
        </is>
      </c>
      <c r="W339" s="14" t="inlineStr"/>
    </row>
    <row r="340" ht="49" customHeight="1">
      <c r="A340" s="34" t="inlineStr">
        <is>
          <t>1.2.1</t>
        </is>
      </c>
      <c r="B340" s="34" t="inlineStr">
        <is>
          <t>Stations - Station Structures</t>
        </is>
      </c>
      <c r="C340" s="34" t="inlineStr">
        <is>
          <t>Contractor Programme</t>
        </is>
      </c>
      <c r="D340" s="34" t="inlineStr">
        <is>
          <t>SCH-02-086</t>
        </is>
      </c>
      <c r="E340" s="34" t="inlineStr">
        <is>
          <t>Harbour Station: station ventilation rough-in - inspection</t>
        </is>
      </c>
      <c r="F340" s="34" t="inlineStr">
        <is>
          <t>ONE_TO_ONE</t>
        </is>
      </c>
      <c r="G340" s="34" t="inlineStr">
        <is>
          <t>APPROVED</t>
        </is>
      </c>
      <c r="H340" s="34" t="inlineStr">
        <is>
          <t>New</t>
        </is>
      </c>
      <c r="I340" s="34" t="inlineStr">
        <is>
          <t>Source assignment -- not individually reviewed</t>
        </is>
      </c>
      <c r="J340" s="39" t="inlineStr"/>
      <c r="K340" s="34" t="inlineStr">
        <is>
          <t>Source assignment</t>
        </is>
      </c>
      <c r="L340" s="39" t="inlineStr"/>
      <c r="M340" s="34" t="inlineStr">
        <is>
          <t>Initial</t>
        </is>
      </c>
      <c r="N340" s="34" t="inlineStr">
        <is>
          <t>Rev 0</t>
        </is>
      </c>
      <c r="O340" s="34" t="inlineStr">
        <is>
          <t>R266-v1</t>
        </is>
      </c>
      <c r="P340" s="39" t="inlineStr"/>
      <c r="Q340" s="14" t="inlineStr"/>
      <c r="R340" s="39" t="inlineStr"/>
      <c r="S340" s="39" t="inlineStr"/>
      <c r="T340" s="39" t="inlineStr"/>
      <c r="U340" s="39" t="inlineStr"/>
      <c r="V340" s="34" t="inlineStr">
        <is>
          <t>WBS Code = 1.2.1</t>
        </is>
      </c>
      <c r="W340" s="14" t="inlineStr"/>
    </row>
    <row r="341" ht="49" customHeight="1">
      <c r="A341" s="34" t="inlineStr">
        <is>
          <t>1.2.1</t>
        </is>
      </c>
      <c r="B341" s="34" t="inlineStr">
        <is>
          <t>Stations - Station Structures</t>
        </is>
      </c>
      <c r="C341" s="34" t="inlineStr">
        <is>
          <t>Contractor Programme</t>
        </is>
      </c>
      <c r="D341" s="34" t="inlineStr">
        <is>
          <t>SCH-02-088</t>
        </is>
      </c>
      <c r="E341" s="34" t="inlineStr">
        <is>
          <t>Civic Station: entrance steel erection - release</t>
        </is>
      </c>
      <c r="F341" s="34" t="inlineStr">
        <is>
          <t>ONE_TO_ONE</t>
        </is>
      </c>
      <c r="G341" s="34" t="inlineStr">
        <is>
          <t>APPROVED</t>
        </is>
      </c>
      <c r="H341" s="34" t="inlineStr">
        <is>
          <t>New</t>
        </is>
      </c>
      <c r="I341" s="34" t="inlineStr">
        <is>
          <t>Source assignment -- not individually reviewed</t>
        </is>
      </c>
      <c r="J341" s="39" t="inlineStr"/>
      <c r="K341" s="34" t="inlineStr">
        <is>
          <t>Source assignment</t>
        </is>
      </c>
      <c r="L341" s="39" t="inlineStr"/>
      <c r="M341" s="34" t="inlineStr">
        <is>
          <t>Initial</t>
        </is>
      </c>
      <c r="N341" s="34" t="inlineStr">
        <is>
          <t>Rev 0</t>
        </is>
      </c>
      <c r="O341" s="34" t="inlineStr">
        <is>
          <t>R268-v1</t>
        </is>
      </c>
      <c r="P341" s="39" t="inlineStr"/>
      <c r="Q341" s="14" t="inlineStr"/>
      <c r="R341" s="39" t="inlineStr"/>
      <c r="S341" s="39" t="inlineStr"/>
      <c r="T341" s="39" t="inlineStr"/>
      <c r="U341" s="39" t="inlineStr"/>
      <c r="V341" s="34" t="inlineStr">
        <is>
          <t>WBS Code = 1.2.1</t>
        </is>
      </c>
      <c r="W341" s="14" t="inlineStr"/>
    </row>
    <row r="342" ht="49" customHeight="1">
      <c r="A342" s="34" t="inlineStr">
        <is>
          <t>1.2.1</t>
        </is>
      </c>
      <c r="B342" s="34" t="inlineStr">
        <is>
          <t>Stations - Station Structures</t>
        </is>
      </c>
      <c r="C342" s="34" t="inlineStr">
        <is>
          <t>Contractor Programme</t>
        </is>
      </c>
      <c r="D342" s="34" t="inlineStr">
        <is>
          <t>SCH-02-089</t>
        </is>
      </c>
      <c r="E342" s="34" t="inlineStr">
        <is>
          <t>University Station: vertical-transport installation - field start</t>
        </is>
      </c>
      <c r="F342" s="34" t="inlineStr">
        <is>
          <t>ONE_TO_ONE</t>
        </is>
      </c>
      <c r="G342" s="34" t="inlineStr">
        <is>
          <t>APPROVED</t>
        </is>
      </c>
      <c r="H342" s="34" t="inlineStr">
        <is>
          <t>New</t>
        </is>
      </c>
      <c r="I342" s="34" t="inlineStr">
        <is>
          <t>Source assignment -- not individually reviewed</t>
        </is>
      </c>
      <c r="J342" s="39" t="inlineStr"/>
      <c r="K342" s="34" t="inlineStr">
        <is>
          <t>Source assignment</t>
        </is>
      </c>
      <c r="L342" s="39" t="inlineStr"/>
      <c r="M342" s="34" t="inlineStr">
        <is>
          <t>Initial</t>
        </is>
      </c>
      <c r="N342" s="34" t="inlineStr">
        <is>
          <t>Rev 0</t>
        </is>
      </c>
      <c r="O342" s="34" t="inlineStr">
        <is>
          <t>R269-v1</t>
        </is>
      </c>
      <c r="P342" s="39" t="inlineStr"/>
      <c r="Q342" s="14" t="inlineStr"/>
      <c r="R342" s="39" t="inlineStr"/>
      <c r="S342" s="39" t="inlineStr"/>
      <c r="T342" s="39" t="inlineStr"/>
      <c r="U342" s="39" t="inlineStr"/>
      <c r="V342" s="34" t="inlineStr">
        <is>
          <t>WBS Code = 1.2.1</t>
        </is>
      </c>
      <c r="W342" s="14" t="inlineStr"/>
    </row>
    <row r="343" ht="49" customHeight="1">
      <c r="A343" s="34" t="inlineStr">
        <is>
          <t>1.2.1</t>
        </is>
      </c>
      <c r="B343" s="34" t="inlineStr">
        <is>
          <t>Stations - Station Structures</t>
        </is>
      </c>
      <c r="C343" s="34" t="inlineStr">
        <is>
          <t>Contractor Programme</t>
        </is>
      </c>
      <c r="D343" s="34" t="inlineStr">
        <is>
          <t>SCH-02-091</t>
        </is>
      </c>
      <c r="E343" s="34" t="inlineStr">
        <is>
          <t>Harbour Station: architectural wall framing - inspection</t>
        </is>
      </c>
      <c r="F343" s="34" t="inlineStr">
        <is>
          <t>ONE_TO_ONE</t>
        </is>
      </c>
      <c r="G343" s="34" t="inlineStr">
        <is>
          <t>APPROVED</t>
        </is>
      </c>
      <c r="H343" s="34" t="inlineStr">
        <is>
          <t>New</t>
        </is>
      </c>
      <c r="I343" s="34" t="inlineStr">
        <is>
          <t>Source assignment -- not individually reviewed</t>
        </is>
      </c>
      <c r="J343" s="39" t="inlineStr"/>
      <c r="K343" s="34" t="inlineStr">
        <is>
          <t>Source assignment</t>
        </is>
      </c>
      <c r="L343" s="39" t="inlineStr"/>
      <c r="M343" s="34" t="inlineStr">
        <is>
          <t>Initial</t>
        </is>
      </c>
      <c r="N343" s="34" t="inlineStr">
        <is>
          <t>Rev 0</t>
        </is>
      </c>
      <c r="O343" s="34" t="inlineStr">
        <is>
          <t>R271-v1</t>
        </is>
      </c>
      <c r="P343" s="39" t="inlineStr"/>
      <c r="Q343" s="14" t="inlineStr"/>
      <c r="R343" s="39" t="inlineStr"/>
      <c r="S343" s="39" t="inlineStr"/>
      <c r="T343" s="39" t="inlineStr"/>
      <c r="U343" s="39" t="inlineStr"/>
      <c r="V343" s="34" t="inlineStr">
        <is>
          <t>WBS Code = 1.2.1</t>
        </is>
      </c>
      <c r="W343" s="14" t="inlineStr"/>
    </row>
    <row r="344" ht="49" customHeight="1">
      <c r="A344" s="34" t="inlineStr">
        <is>
          <t>1.2.1</t>
        </is>
      </c>
      <c r="B344" s="34" t="inlineStr">
        <is>
          <t>Stations - Station Structures</t>
        </is>
      </c>
      <c r="C344" s="34" t="inlineStr">
        <is>
          <t>Contractor Programme</t>
        </is>
      </c>
      <c r="D344" s="34" t="inlineStr">
        <is>
          <t>SCH-02-092</t>
        </is>
      </c>
      <c r="E344" s="34" t="inlineStr">
        <is>
          <t>Market Station: fire-life-safety cabling - turnover</t>
        </is>
      </c>
      <c r="F344" s="34" t="inlineStr">
        <is>
          <t>ONE_TO_ONE</t>
        </is>
      </c>
      <c r="G344" s="34" t="inlineStr">
        <is>
          <t>APPROVED</t>
        </is>
      </c>
      <c r="H344" s="34" t="inlineStr">
        <is>
          <t>New</t>
        </is>
      </c>
      <c r="I344" s="34" t="inlineStr">
        <is>
          <t>Source assignment -- not individually reviewed</t>
        </is>
      </c>
      <c r="J344" s="39" t="inlineStr"/>
      <c r="K344" s="34" t="inlineStr">
        <is>
          <t>Source assignment</t>
        </is>
      </c>
      <c r="L344" s="39" t="inlineStr"/>
      <c r="M344" s="34" t="inlineStr">
        <is>
          <t>Initial</t>
        </is>
      </c>
      <c r="N344" s="34" t="inlineStr">
        <is>
          <t>Rev 0</t>
        </is>
      </c>
      <c r="O344" s="34" t="inlineStr">
        <is>
          <t>R272-v1</t>
        </is>
      </c>
      <c r="P344" s="39" t="inlineStr"/>
      <c r="Q344" s="14" t="inlineStr"/>
      <c r="R344" s="39" t="inlineStr"/>
      <c r="S344" s="39" t="inlineStr"/>
      <c r="T344" s="39" t="inlineStr"/>
      <c r="U344" s="39" t="inlineStr"/>
      <c r="V344" s="34" t="inlineStr">
        <is>
          <t>WBS Code = 1.2.1</t>
        </is>
      </c>
      <c r="W344" s="14" t="inlineStr"/>
    </row>
    <row r="345" ht="49" customHeight="1">
      <c r="A345" s="34" t="inlineStr">
        <is>
          <t>1.2.1</t>
        </is>
      </c>
      <c r="B345" s="34" t="inlineStr">
        <is>
          <t>Stations - Station Structures</t>
        </is>
      </c>
      <c r="C345" s="34" t="inlineStr">
        <is>
          <t>Contractor Programme</t>
        </is>
      </c>
      <c r="D345" s="34" t="inlineStr">
        <is>
          <t>SCH-02-094</t>
        </is>
      </c>
      <c r="E345" s="34" t="inlineStr">
        <is>
          <t>University Station: station ventilation rough-in - field start</t>
        </is>
      </c>
      <c r="F345" s="34" t="inlineStr">
        <is>
          <t>ONE_TO_ONE</t>
        </is>
      </c>
      <c r="G345" s="34" t="inlineStr">
        <is>
          <t>APPROVED</t>
        </is>
      </c>
      <c r="H345" s="34" t="inlineStr">
        <is>
          <t>New</t>
        </is>
      </c>
      <c r="I345" s="34" t="inlineStr">
        <is>
          <t>Source assignment -- not individually reviewed</t>
        </is>
      </c>
      <c r="J345" s="39" t="inlineStr"/>
      <c r="K345" s="34" t="inlineStr">
        <is>
          <t>Source assignment</t>
        </is>
      </c>
      <c r="L345" s="39" t="inlineStr"/>
      <c r="M345" s="34" t="inlineStr">
        <is>
          <t>Initial</t>
        </is>
      </c>
      <c r="N345" s="34" t="inlineStr">
        <is>
          <t>Rev 0</t>
        </is>
      </c>
      <c r="O345" s="34" t="inlineStr">
        <is>
          <t>R274-v1</t>
        </is>
      </c>
      <c r="P345" s="39" t="inlineStr"/>
      <c r="Q345" s="14" t="inlineStr"/>
      <c r="R345" s="39" t="inlineStr"/>
      <c r="S345" s="39" t="inlineStr"/>
      <c r="T345" s="39" t="inlineStr"/>
      <c r="U345" s="39" t="inlineStr"/>
      <c r="V345" s="34" t="inlineStr">
        <is>
          <t>WBS Code = 1.2.1</t>
        </is>
      </c>
      <c r="W345" s="14" t="inlineStr"/>
    </row>
    <row r="346" ht="49" customHeight="1">
      <c r="A346" s="34" t="inlineStr">
        <is>
          <t>1.2.1</t>
        </is>
      </c>
      <c r="B346" s="34" t="inlineStr">
        <is>
          <t>Stations - Station Structures</t>
        </is>
      </c>
      <c r="C346" s="34" t="inlineStr">
        <is>
          <t>Contractor Programme</t>
        </is>
      </c>
      <c r="D346" s="34" t="inlineStr">
        <is>
          <t>SCH-02-095</t>
        </is>
      </c>
      <c r="E346" s="34" t="inlineStr">
        <is>
          <t>West Terminal: public-realm paving - installation</t>
        </is>
      </c>
      <c r="F346" s="34" t="inlineStr">
        <is>
          <t>ONE_TO_ONE</t>
        </is>
      </c>
      <c r="G346" s="34" t="inlineStr">
        <is>
          <t>APPROVED</t>
        </is>
      </c>
      <c r="H346" s="34" t="inlineStr">
        <is>
          <t>New</t>
        </is>
      </c>
      <c r="I346" s="34" t="inlineStr">
        <is>
          <t>Source assignment -- not individually reviewed</t>
        </is>
      </c>
      <c r="J346" s="39" t="inlineStr"/>
      <c r="K346" s="34" t="inlineStr">
        <is>
          <t>Source assignment</t>
        </is>
      </c>
      <c r="L346" s="39" t="inlineStr"/>
      <c r="M346" s="34" t="inlineStr">
        <is>
          <t>Initial</t>
        </is>
      </c>
      <c r="N346" s="34" t="inlineStr">
        <is>
          <t>Rev 0</t>
        </is>
      </c>
      <c r="O346" s="34" t="inlineStr">
        <is>
          <t>R275-v1</t>
        </is>
      </c>
      <c r="P346" s="39" t="inlineStr"/>
      <c r="Q346" s="14" t="inlineStr"/>
      <c r="R346" s="39" t="inlineStr"/>
      <c r="S346" s="39" t="inlineStr"/>
      <c r="T346" s="39" t="inlineStr"/>
      <c r="U346" s="39" t="inlineStr"/>
      <c r="V346" s="34" t="inlineStr">
        <is>
          <t>WBS Code = 1.2.1</t>
        </is>
      </c>
      <c r="W346" s="14" t="inlineStr"/>
    </row>
    <row r="347" ht="49" customHeight="1">
      <c r="A347" s="34" t="inlineStr">
        <is>
          <t>1.2.1</t>
        </is>
      </c>
      <c r="B347" s="34" t="inlineStr">
        <is>
          <t>Stations - Station Structures</t>
        </is>
      </c>
      <c r="C347" s="34" t="inlineStr">
        <is>
          <t>Contractor Programme</t>
        </is>
      </c>
      <c r="D347" s="34" t="inlineStr">
        <is>
          <t>SCH-02-097</t>
        </is>
      </c>
      <c r="E347" s="34" t="inlineStr">
        <is>
          <t>Market Station: vertical-transport installation - turnover</t>
        </is>
      </c>
      <c r="F347" s="34" t="inlineStr">
        <is>
          <t>ONE_TO_ONE</t>
        </is>
      </c>
      <c r="G347" s="34" t="inlineStr">
        <is>
          <t>APPROVED</t>
        </is>
      </c>
      <c r="H347" s="34" t="inlineStr">
        <is>
          <t>New</t>
        </is>
      </c>
      <c r="I347" s="34" t="inlineStr">
        <is>
          <t>Source assignment -- not individually reviewed</t>
        </is>
      </c>
      <c r="J347" s="39" t="inlineStr"/>
      <c r="K347" s="34" t="inlineStr">
        <is>
          <t>Source assignment</t>
        </is>
      </c>
      <c r="L347" s="39" t="inlineStr"/>
      <c r="M347" s="34" t="inlineStr">
        <is>
          <t>Initial</t>
        </is>
      </c>
      <c r="N347" s="34" t="inlineStr">
        <is>
          <t>Rev 0</t>
        </is>
      </c>
      <c r="O347" s="34" t="inlineStr">
        <is>
          <t>R277-v1</t>
        </is>
      </c>
      <c r="P347" s="39" t="inlineStr"/>
      <c r="Q347" s="14" t="inlineStr"/>
      <c r="R347" s="39" t="inlineStr"/>
      <c r="S347" s="39" t="inlineStr"/>
      <c r="T347" s="39" t="inlineStr"/>
      <c r="U347" s="39" t="inlineStr"/>
      <c r="V347" s="34" t="inlineStr">
        <is>
          <t>WBS Code = 1.2.1</t>
        </is>
      </c>
      <c r="W347" s="14" t="inlineStr"/>
    </row>
    <row r="348" ht="49" customHeight="1">
      <c r="A348" s="34" t="inlineStr">
        <is>
          <t>1.2.1</t>
        </is>
      </c>
      <c r="B348" s="34" t="inlineStr">
        <is>
          <t>Stations - Station Structures</t>
        </is>
      </c>
      <c r="C348" s="34" t="inlineStr">
        <is>
          <t>Contractor Programme</t>
        </is>
      </c>
      <c r="D348" s="34" t="inlineStr">
        <is>
          <t>SCH-02-098</t>
        </is>
      </c>
      <c r="E348" s="34" t="inlineStr">
        <is>
          <t>Civic Station: platform edge installation - release</t>
        </is>
      </c>
      <c r="F348" s="34" t="inlineStr">
        <is>
          <t>ONE_TO_ONE</t>
        </is>
      </c>
      <c r="G348" s="34" t="inlineStr">
        <is>
          <t>APPROVED</t>
        </is>
      </c>
      <c r="H348" s="34" t="inlineStr">
        <is>
          <t>New</t>
        </is>
      </c>
      <c r="I348" s="34" t="inlineStr">
        <is>
          <t>Source assignment -- not individually reviewed</t>
        </is>
      </c>
      <c r="J348" s="39" t="inlineStr"/>
      <c r="K348" s="34" t="inlineStr">
        <is>
          <t>Source assignment</t>
        </is>
      </c>
      <c r="L348" s="39" t="inlineStr"/>
      <c r="M348" s="34" t="inlineStr">
        <is>
          <t>Initial</t>
        </is>
      </c>
      <c r="N348" s="34" t="inlineStr">
        <is>
          <t>Rev 0</t>
        </is>
      </c>
      <c r="O348" s="34" t="inlineStr">
        <is>
          <t>R278-v1</t>
        </is>
      </c>
      <c r="P348" s="39" t="inlineStr"/>
      <c r="Q348" s="14" t="inlineStr"/>
      <c r="R348" s="39" t="inlineStr"/>
      <c r="S348" s="39" t="inlineStr"/>
      <c r="T348" s="39" t="inlineStr"/>
      <c r="U348" s="39" t="inlineStr"/>
      <c r="V348" s="34" t="inlineStr">
        <is>
          <t>WBS Code = 1.2.1</t>
        </is>
      </c>
      <c r="W348" s="14" t="inlineStr"/>
    </row>
    <row r="349" ht="49" customHeight="1">
      <c r="A349" s="34" t="inlineStr">
        <is>
          <t>1.2.1</t>
        </is>
      </c>
      <c r="B349" s="34" t="inlineStr">
        <is>
          <t>Stations - Station Structures</t>
        </is>
      </c>
      <c r="C349" s="34" t="inlineStr">
        <is>
          <t>Contractor Programme</t>
        </is>
      </c>
      <c r="D349" s="34" t="inlineStr">
        <is>
          <t>SCH-02-100</t>
        </is>
      </c>
      <c r="E349" s="34" t="inlineStr">
        <is>
          <t>West Terminal: fire-life-safety cabling - installation</t>
        </is>
      </c>
      <c r="F349" s="34" t="inlineStr">
        <is>
          <t>ONE_TO_ONE</t>
        </is>
      </c>
      <c r="G349" s="34" t="inlineStr">
        <is>
          <t>APPROVED</t>
        </is>
      </c>
      <c r="H349" s="34" t="inlineStr">
        <is>
          <t>New</t>
        </is>
      </c>
      <c r="I349" s="34" t="inlineStr">
        <is>
          <t>Source assignment -- not individually reviewed</t>
        </is>
      </c>
      <c r="J349" s="39" t="inlineStr"/>
      <c r="K349" s="34" t="inlineStr">
        <is>
          <t>Source assignment</t>
        </is>
      </c>
      <c r="L349" s="39" t="inlineStr"/>
      <c r="M349" s="34" t="inlineStr">
        <is>
          <t>Initial</t>
        </is>
      </c>
      <c r="N349" s="34" t="inlineStr">
        <is>
          <t>Rev 0</t>
        </is>
      </c>
      <c r="O349" s="34" t="inlineStr">
        <is>
          <t>R280-v1</t>
        </is>
      </c>
      <c r="P349" s="39" t="inlineStr"/>
      <c r="Q349" s="14" t="inlineStr"/>
      <c r="R349" s="39" t="inlineStr"/>
      <c r="S349" s="39" t="inlineStr"/>
      <c r="T349" s="39" t="inlineStr"/>
      <c r="U349" s="39" t="inlineStr"/>
      <c r="V349" s="34" t="inlineStr">
        <is>
          <t>WBS Code = 1.2.1</t>
        </is>
      </c>
      <c r="W349" s="14" t="inlineStr"/>
    </row>
    <row r="350" ht="49" customHeight="1">
      <c r="A350" s="34" t="inlineStr">
        <is>
          <t>1.2.1</t>
        </is>
      </c>
      <c r="B350" s="34" t="inlineStr">
        <is>
          <t>Stations - Station Structures</t>
        </is>
      </c>
      <c r="C350" s="34" t="inlineStr">
        <is>
          <t>Contractor Programme</t>
        </is>
      </c>
      <c r="D350" s="34" t="inlineStr">
        <is>
          <t>SCH-02-101</t>
        </is>
      </c>
      <c r="E350" s="34" t="inlineStr">
        <is>
          <t>Harbour Station: concourse slab pour - inspection</t>
        </is>
      </c>
      <c r="F350" s="34" t="inlineStr">
        <is>
          <t>ONE_TO_ONE</t>
        </is>
      </c>
      <c r="G350" s="34" t="inlineStr">
        <is>
          <t>APPROVED</t>
        </is>
      </c>
      <c r="H350" s="34" t="inlineStr">
        <is>
          <t>New</t>
        </is>
      </c>
      <c r="I350" s="34" t="inlineStr">
        <is>
          <t>Source assignment -- not individually reviewed</t>
        </is>
      </c>
      <c r="J350" s="39" t="inlineStr"/>
      <c r="K350" s="34" t="inlineStr">
        <is>
          <t>Source assignment</t>
        </is>
      </c>
      <c r="L350" s="39" t="inlineStr"/>
      <c r="M350" s="34" t="inlineStr">
        <is>
          <t>Initial</t>
        </is>
      </c>
      <c r="N350" s="34" t="inlineStr">
        <is>
          <t>Rev 0</t>
        </is>
      </c>
      <c r="O350" s="34" t="inlineStr">
        <is>
          <t>R281-v1</t>
        </is>
      </c>
      <c r="P350" s="39" t="inlineStr"/>
      <c r="Q350" s="14" t="inlineStr"/>
      <c r="R350" s="39" t="inlineStr"/>
      <c r="S350" s="39" t="inlineStr"/>
      <c r="T350" s="39" t="inlineStr"/>
      <c r="U350" s="39" t="inlineStr"/>
      <c r="V350" s="34" t="inlineStr">
        <is>
          <t>WBS Code = 1.2.1</t>
        </is>
      </c>
      <c r="W350" s="14" t="inlineStr"/>
    </row>
    <row r="351" ht="49" customHeight="1">
      <c r="A351" s="34" t="inlineStr">
        <is>
          <t>1.2.1</t>
        </is>
      </c>
      <c r="B351" s="34" t="inlineStr">
        <is>
          <t>Stations - Station Structures</t>
        </is>
      </c>
      <c r="C351" s="34" t="inlineStr">
        <is>
          <t>Contractor Programme</t>
        </is>
      </c>
      <c r="D351" s="34" t="inlineStr">
        <is>
          <t>SCH-02-103</t>
        </is>
      </c>
      <c r="E351" s="34" t="inlineStr">
        <is>
          <t>Civic Station: public-realm paving - release</t>
        </is>
      </c>
      <c r="F351" s="34" t="inlineStr">
        <is>
          <t>ONE_TO_ONE</t>
        </is>
      </c>
      <c r="G351" s="34" t="inlineStr">
        <is>
          <t>APPROVED</t>
        </is>
      </c>
      <c r="H351" s="34" t="inlineStr">
        <is>
          <t>New</t>
        </is>
      </c>
      <c r="I351" s="34" t="inlineStr">
        <is>
          <t>Source assignment -- not individually reviewed</t>
        </is>
      </c>
      <c r="J351" s="39" t="inlineStr"/>
      <c r="K351" s="34" t="inlineStr">
        <is>
          <t>Source assignment</t>
        </is>
      </c>
      <c r="L351" s="39" t="inlineStr"/>
      <c r="M351" s="34" t="inlineStr">
        <is>
          <t>Initial</t>
        </is>
      </c>
      <c r="N351" s="34" t="inlineStr">
        <is>
          <t>Rev 0</t>
        </is>
      </c>
      <c r="O351" s="34" t="inlineStr">
        <is>
          <t>R283-v1</t>
        </is>
      </c>
      <c r="P351" s="39" t="inlineStr"/>
      <c r="Q351" s="14" t="inlineStr"/>
      <c r="R351" s="39" t="inlineStr"/>
      <c r="S351" s="39" t="inlineStr"/>
      <c r="T351" s="39" t="inlineStr"/>
      <c r="U351" s="39" t="inlineStr"/>
      <c r="V351" s="34" t="inlineStr">
        <is>
          <t>WBS Code = 1.2.1</t>
        </is>
      </c>
      <c r="W351" s="14" t="inlineStr"/>
    </row>
    <row r="352" ht="49" customHeight="1">
      <c r="A352" s="34" t="inlineStr">
        <is>
          <t>1.2.1</t>
        </is>
      </c>
      <c r="B352" s="34" t="inlineStr">
        <is>
          <t>Stations - Station Structures</t>
        </is>
      </c>
      <c r="C352" s="34" t="inlineStr">
        <is>
          <t>Contractor Programme</t>
        </is>
      </c>
      <c r="D352" s="34" t="inlineStr">
        <is>
          <t>SCH-02-104</t>
        </is>
      </c>
      <c r="E352" s="34" t="inlineStr">
        <is>
          <t>University Station: entrance steel erection - field start</t>
        </is>
      </c>
      <c r="F352" s="34" t="inlineStr">
        <is>
          <t>ONE_TO_ONE</t>
        </is>
      </c>
      <c r="G352" s="34" t="inlineStr">
        <is>
          <t>APPROVED</t>
        </is>
      </c>
      <c r="H352" s="34" t="inlineStr">
        <is>
          <t>New</t>
        </is>
      </c>
      <c r="I352" s="34" t="inlineStr">
        <is>
          <t>Source assignment -- not individually reviewed</t>
        </is>
      </c>
      <c r="J352" s="39" t="inlineStr"/>
      <c r="K352" s="34" t="inlineStr">
        <is>
          <t>Source assignment</t>
        </is>
      </c>
      <c r="L352" s="39" t="inlineStr"/>
      <c r="M352" s="34" t="inlineStr">
        <is>
          <t>Initial</t>
        </is>
      </c>
      <c r="N352" s="34" t="inlineStr">
        <is>
          <t>Rev 0</t>
        </is>
      </c>
      <c r="O352" s="34" t="inlineStr">
        <is>
          <t>R284-v1</t>
        </is>
      </c>
      <c r="P352" s="39" t="inlineStr"/>
      <c r="Q352" s="14" t="inlineStr"/>
      <c r="R352" s="39" t="inlineStr"/>
      <c r="S352" s="39" t="inlineStr"/>
      <c r="T352" s="39" t="inlineStr"/>
      <c r="U352" s="39" t="inlineStr"/>
      <c r="V352" s="34" t="inlineStr">
        <is>
          <t>WBS Code = 1.2.1</t>
        </is>
      </c>
      <c r="W352" s="14" t="inlineStr"/>
    </row>
    <row r="353" ht="49" customHeight="1">
      <c r="A353" s="34" t="inlineStr">
        <is>
          <t>1.2.1</t>
        </is>
      </c>
      <c r="B353" s="34" t="inlineStr">
        <is>
          <t>Stations - Station Structures</t>
        </is>
      </c>
      <c r="C353" s="34" t="inlineStr">
        <is>
          <t>Contractor Programme</t>
        </is>
      </c>
      <c r="D353" s="34" t="inlineStr">
        <is>
          <t>SCH-02-106</t>
        </is>
      </c>
      <c r="E353" s="34" t="inlineStr">
        <is>
          <t>Harbour Station: platform edge installation - inspection</t>
        </is>
      </c>
      <c r="F353" s="34" t="inlineStr">
        <is>
          <t>ONE_TO_ONE</t>
        </is>
      </c>
      <c r="G353" s="34" t="inlineStr">
        <is>
          <t>APPROVED</t>
        </is>
      </c>
      <c r="H353" s="34" t="inlineStr">
        <is>
          <t>New</t>
        </is>
      </c>
      <c r="I353" s="34" t="inlineStr">
        <is>
          <t>Source assignment -- not individually reviewed</t>
        </is>
      </c>
      <c r="J353" s="39" t="inlineStr"/>
      <c r="K353" s="34" t="inlineStr">
        <is>
          <t>Source assignment</t>
        </is>
      </c>
      <c r="L353" s="39" t="inlineStr"/>
      <c r="M353" s="34" t="inlineStr">
        <is>
          <t>Initial</t>
        </is>
      </c>
      <c r="N353" s="34" t="inlineStr">
        <is>
          <t>Rev 0</t>
        </is>
      </c>
      <c r="O353" s="34" t="inlineStr">
        <is>
          <t>R286-v1</t>
        </is>
      </c>
      <c r="P353" s="39" t="inlineStr"/>
      <c r="Q353" s="14" t="inlineStr"/>
      <c r="R353" s="39" t="inlineStr"/>
      <c r="S353" s="39" t="inlineStr"/>
      <c r="T353" s="39" t="inlineStr"/>
      <c r="U353" s="39" t="inlineStr"/>
      <c r="V353" s="34" t="inlineStr">
        <is>
          <t>WBS Code = 1.2.1</t>
        </is>
      </c>
      <c r="W353" s="14" t="inlineStr"/>
    </row>
    <row r="354" ht="49" customHeight="1">
      <c r="A354" s="34" t="inlineStr">
        <is>
          <t>1.2.1</t>
        </is>
      </c>
      <c r="B354" s="34" t="inlineStr">
        <is>
          <t>Stations - Station Structures</t>
        </is>
      </c>
      <c r="C354" s="34" t="inlineStr">
        <is>
          <t>Contractor Programme</t>
        </is>
      </c>
      <c r="D354" s="34" t="inlineStr">
        <is>
          <t>SCH-02-107</t>
        </is>
      </c>
      <c r="E354" s="34" t="inlineStr">
        <is>
          <t>Market Station: architectural wall framing - turnover</t>
        </is>
      </c>
      <c r="F354" s="34" t="inlineStr">
        <is>
          <t>ONE_TO_ONE</t>
        </is>
      </c>
      <c r="G354" s="34" t="inlineStr">
        <is>
          <t>APPROVED</t>
        </is>
      </c>
      <c r="H354" s="34" t="inlineStr">
        <is>
          <t>New</t>
        </is>
      </c>
      <c r="I354" s="34" t="inlineStr">
        <is>
          <t>Source assignment -- not individually reviewed</t>
        </is>
      </c>
      <c r="J354" s="39" t="inlineStr"/>
      <c r="K354" s="34" t="inlineStr">
        <is>
          <t>Source assignment</t>
        </is>
      </c>
      <c r="L354" s="39" t="inlineStr"/>
      <c r="M354" s="34" t="inlineStr">
        <is>
          <t>Initial</t>
        </is>
      </c>
      <c r="N354" s="34" t="inlineStr">
        <is>
          <t>Rev 0</t>
        </is>
      </c>
      <c r="O354" s="34" t="inlineStr">
        <is>
          <t>R287-v1</t>
        </is>
      </c>
      <c r="P354" s="39" t="inlineStr"/>
      <c r="Q354" s="14" t="inlineStr"/>
      <c r="R354" s="39" t="inlineStr"/>
      <c r="S354" s="39" t="inlineStr"/>
      <c r="T354" s="39" t="inlineStr"/>
      <c r="U354" s="39" t="inlineStr"/>
      <c r="V354" s="34" t="inlineStr">
        <is>
          <t>WBS Code = 1.2.1</t>
        </is>
      </c>
      <c r="W354" s="14" t="inlineStr"/>
    </row>
    <row r="355" ht="49" customHeight="1">
      <c r="A355" s="34" t="inlineStr">
        <is>
          <t>1.2.1</t>
        </is>
      </c>
      <c r="B355" s="34" t="inlineStr">
        <is>
          <t>Stations - Station Structures</t>
        </is>
      </c>
      <c r="C355" s="34" t="inlineStr">
        <is>
          <t>Contractor Programme</t>
        </is>
      </c>
      <c r="D355" s="34" t="inlineStr">
        <is>
          <t>SCH-02-109</t>
        </is>
      </c>
      <c r="E355" s="34" t="inlineStr">
        <is>
          <t>University Station: concourse slab pour - field start</t>
        </is>
      </c>
      <c r="F355" s="34" t="inlineStr">
        <is>
          <t>ONE_TO_ONE</t>
        </is>
      </c>
      <c r="G355" s="34" t="inlineStr">
        <is>
          <t>APPROVED</t>
        </is>
      </c>
      <c r="H355" s="34" t="inlineStr">
        <is>
          <t>New</t>
        </is>
      </c>
      <c r="I355" s="34" t="inlineStr">
        <is>
          <t>Source assignment -- not individually reviewed</t>
        </is>
      </c>
      <c r="J355" s="39" t="inlineStr"/>
      <c r="K355" s="34" t="inlineStr">
        <is>
          <t>Source assignment</t>
        </is>
      </c>
      <c r="L355" s="39" t="inlineStr"/>
      <c r="M355" s="34" t="inlineStr">
        <is>
          <t>Initial</t>
        </is>
      </c>
      <c r="N355" s="34" t="inlineStr">
        <is>
          <t>Rev 0</t>
        </is>
      </c>
      <c r="O355" s="34" t="inlineStr">
        <is>
          <t>R289-v1</t>
        </is>
      </c>
      <c r="P355" s="39" t="inlineStr"/>
      <c r="Q355" s="14" t="inlineStr"/>
      <c r="R355" s="39" t="inlineStr"/>
      <c r="S355" s="39" t="inlineStr"/>
      <c r="T355" s="39" t="inlineStr"/>
      <c r="U355" s="39" t="inlineStr"/>
      <c r="V355" s="34" t="inlineStr">
        <is>
          <t>WBS Code = 1.2.1</t>
        </is>
      </c>
      <c r="W355" s="14" t="inlineStr"/>
    </row>
    <row r="356" ht="49" customHeight="1">
      <c r="A356" s="34" t="inlineStr">
        <is>
          <t>1.2.1</t>
        </is>
      </c>
      <c r="B356" s="34" t="inlineStr">
        <is>
          <t>Stations - Station Structures</t>
        </is>
      </c>
      <c r="C356" s="34" t="inlineStr">
        <is>
          <t>Contractor Programme</t>
        </is>
      </c>
      <c r="D356" s="34" t="inlineStr">
        <is>
          <t>SCH-02-110</t>
        </is>
      </c>
      <c r="E356" s="34" t="inlineStr">
        <is>
          <t>West Terminal: station ventilation rough-in - installation</t>
        </is>
      </c>
      <c r="F356" s="34" t="inlineStr">
        <is>
          <t>ONE_TO_ONE</t>
        </is>
      </c>
      <c r="G356" s="34" t="inlineStr">
        <is>
          <t>APPROVED</t>
        </is>
      </c>
      <c r="H356" s="34" t="inlineStr">
        <is>
          <t>New</t>
        </is>
      </c>
      <c r="I356" s="34" t="inlineStr">
        <is>
          <t>Source assignment -- not individually reviewed</t>
        </is>
      </c>
      <c r="J356" s="39" t="inlineStr"/>
      <c r="K356" s="34" t="inlineStr">
        <is>
          <t>Source assignment</t>
        </is>
      </c>
      <c r="L356" s="39" t="inlineStr"/>
      <c r="M356" s="34" t="inlineStr">
        <is>
          <t>Initial</t>
        </is>
      </c>
      <c r="N356" s="34" t="inlineStr">
        <is>
          <t>Rev 0</t>
        </is>
      </c>
      <c r="O356" s="34" t="inlineStr">
        <is>
          <t>R290-v1</t>
        </is>
      </c>
      <c r="P356" s="39" t="inlineStr"/>
      <c r="Q356" s="14" t="inlineStr"/>
      <c r="R356" s="39" t="inlineStr"/>
      <c r="S356" s="39" t="inlineStr"/>
      <c r="T356" s="39" t="inlineStr"/>
      <c r="U356" s="39" t="inlineStr"/>
      <c r="V356" s="34" t="inlineStr">
        <is>
          <t>WBS Code = 1.2.1</t>
        </is>
      </c>
      <c r="W356" s="14" t="inlineStr"/>
    </row>
    <row r="357" ht="49" customHeight="1">
      <c r="A357" s="34" t="inlineStr">
        <is>
          <t>1.2.1</t>
        </is>
      </c>
      <c r="B357" s="34" t="inlineStr">
        <is>
          <t>Stations - Station Structures</t>
        </is>
      </c>
      <c r="C357" s="34" t="inlineStr">
        <is>
          <t>Contractor Programme</t>
        </is>
      </c>
      <c r="D357" s="34" t="inlineStr">
        <is>
          <t>SCH-02-112</t>
        </is>
      </c>
      <c r="E357" s="34" t="inlineStr">
        <is>
          <t>Market Station: entrance steel erection - turnover</t>
        </is>
      </c>
      <c r="F357" s="34" t="inlineStr">
        <is>
          <t>ONE_TO_ONE</t>
        </is>
      </c>
      <c r="G357" s="34" t="inlineStr">
        <is>
          <t>APPROVED</t>
        </is>
      </c>
      <c r="H357" s="34" t="inlineStr">
        <is>
          <t>New</t>
        </is>
      </c>
      <c r="I357" s="34" t="inlineStr">
        <is>
          <t>Source assignment -- not individually reviewed</t>
        </is>
      </c>
      <c r="J357" s="39" t="inlineStr"/>
      <c r="K357" s="34" t="inlineStr">
        <is>
          <t>Source assignment</t>
        </is>
      </c>
      <c r="L357" s="39" t="inlineStr"/>
      <c r="M357" s="34" t="inlineStr">
        <is>
          <t>Initial</t>
        </is>
      </c>
      <c r="N357" s="34" t="inlineStr">
        <is>
          <t>Rev 0</t>
        </is>
      </c>
      <c r="O357" s="34" t="inlineStr">
        <is>
          <t>R292-v1</t>
        </is>
      </c>
      <c r="P357" s="39" t="inlineStr"/>
      <c r="Q357" s="14" t="inlineStr"/>
      <c r="R357" s="39" t="inlineStr"/>
      <c r="S357" s="39" t="inlineStr"/>
      <c r="T357" s="39" t="inlineStr"/>
      <c r="U357" s="39" t="inlineStr"/>
      <c r="V357" s="34" t="inlineStr">
        <is>
          <t>WBS Code = 1.2.1</t>
        </is>
      </c>
      <c r="W357" s="14" t="inlineStr"/>
    </row>
    <row r="358" ht="49" customHeight="1">
      <c r="A358" s="34" t="inlineStr">
        <is>
          <t>1.2.1</t>
        </is>
      </c>
      <c r="B358" s="34" t="inlineStr">
        <is>
          <t>Stations - Station Structures</t>
        </is>
      </c>
      <c r="C358" s="34" t="inlineStr">
        <is>
          <t>Contractor Programme</t>
        </is>
      </c>
      <c r="D358" s="34" t="inlineStr">
        <is>
          <t>SCH-02-113</t>
        </is>
      </c>
      <c r="E358" s="34" t="inlineStr">
        <is>
          <t>Civic Station: vertical-transport installation - release</t>
        </is>
      </c>
      <c r="F358" s="34" t="inlineStr">
        <is>
          <t>ONE_TO_ONE</t>
        </is>
      </c>
      <c r="G358" s="34" t="inlineStr">
        <is>
          <t>APPROVED</t>
        </is>
      </c>
      <c r="H358" s="34" t="inlineStr">
        <is>
          <t>New</t>
        </is>
      </c>
      <c r="I358" s="34" t="inlineStr">
        <is>
          <t>Source assignment -- not individually reviewed</t>
        </is>
      </c>
      <c r="J358" s="39" t="inlineStr"/>
      <c r="K358" s="34" t="inlineStr">
        <is>
          <t>Source assignment</t>
        </is>
      </c>
      <c r="L358" s="39" t="inlineStr"/>
      <c r="M358" s="34" t="inlineStr">
        <is>
          <t>Initial</t>
        </is>
      </c>
      <c r="N358" s="34" t="inlineStr">
        <is>
          <t>Rev 0</t>
        </is>
      </c>
      <c r="O358" s="34" t="inlineStr">
        <is>
          <t>R293-v1</t>
        </is>
      </c>
      <c r="P358" s="39" t="inlineStr"/>
      <c r="Q358" s="14" t="inlineStr"/>
      <c r="R358" s="39" t="inlineStr"/>
      <c r="S358" s="39" t="inlineStr"/>
      <c r="T358" s="39" t="inlineStr"/>
      <c r="U358" s="39" t="inlineStr"/>
      <c r="V358" s="34" t="inlineStr">
        <is>
          <t>WBS Code = 1.2.1</t>
        </is>
      </c>
      <c r="W358" s="14" t="inlineStr"/>
    </row>
    <row r="359" ht="49" customHeight="1">
      <c r="A359" s="34" t="inlineStr">
        <is>
          <t>1.2.1</t>
        </is>
      </c>
      <c r="B359" s="34" t="inlineStr">
        <is>
          <t>Stations - Station Structures</t>
        </is>
      </c>
      <c r="C359" s="34" t="inlineStr">
        <is>
          <t>Contractor Programme</t>
        </is>
      </c>
      <c r="D359" s="34" t="inlineStr">
        <is>
          <t>SCH-02-115</t>
        </is>
      </c>
      <c r="E359" s="34" t="inlineStr">
        <is>
          <t>West Terminal: architectural wall framing - installation</t>
        </is>
      </c>
      <c r="F359" s="34" t="inlineStr">
        <is>
          <t>ONE_TO_ONE</t>
        </is>
      </c>
      <c r="G359" s="34" t="inlineStr">
        <is>
          <t>APPROVED</t>
        </is>
      </c>
      <c r="H359" s="34" t="inlineStr">
        <is>
          <t>New</t>
        </is>
      </c>
      <c r="I359" s="34" t="inlineStr">
        <is>
          <t>Source assignment -- not individually reviewed</t>
        </is>
      </c>
      <c r="J359" s="39" t="inlineStr"/>
      <c r="K359" s="34" t="inlineStr">
        <is>
          <t>Source assignment</t>
        </is>
      </c>
      <c r="L359" s="39" t="inlineStr"/>
      <c r="M359" s="34" t="inlineStr">
        <is>
          <t>Initial</t>
        </is>
      </c>
      <c r="N359" s="34" t="inlineStr">
        <is>
          <t>Rev 0</t>
        </is>
      </c>
      <c r="O359" s="34" t="inlineStr">
        <is>
          <t>R295-v1</t>
        </is>
      </c>
      <c r="P359" s="39" t="inlineStr"/>
      <c r="Q359" s="14" t="inlineStr"/>
      <c r="R359" s="39" t="inlineStr"/>
      <c r="S359" s="39" t="inlineStr"/>
      <c r="T359" s="39" t="inlineStr"/>
      <c r="U359" s="39" t="inlineStr"/>
      <c r="V359" s="34" t="inlineStr">
        <is>
          <t>WBS Code = 1.2.1</t>
        </is>
      </c>
      <c r="W359" s="14" t="inlineStr"/>
    </row>
    <row r="360" ht="49" customHeight="1">
      <c r="A360" s="34" t="inlineStr">
        <is>
          <t>1.2.1</t>
        </is>
      </c>
      <c r="B360" s="34" t="inlineStr">
        <is>
          <t>Stations - Station Structures</t>
        </is>
      </c>
      <c r="C360" s="34" t="inlineStr">
        <is>
          <t>Contractor Programme</t>
        </is>
      </c>
      <c r="D360" s="34" t="inlineStr">
        <is>
          <t>SCH-02-116</t>
        </is>
      </c>
      <c r="E360" s="34" t="inlineStr">
        <is>
          <t>Harbour Station: fire-life-safety cabling - inspection</t>
        </is>
      </c>
      <c r="F360" s="34" t="inlineStr">
        <is>
          <t>ONE_TO_ONE</t>
        </is>
      </c>
      <c r="G360" s="34" t="inlineStr">
        <is>
          <t>APPROVED</t>
        </is>
      </c>
      <c r="H360" s="34" t="inlineStr">
        <is>
          <t>New</t>
        </is>
      </c>
      <c r="I360" s="34" t="inlineStr">
        <is>
          <t>Source assignment -- not individually reviewed</t>
        </is>
      </c>
      <c r="J360" s="39" t="inlineStr"/>
      <c r="K360" s="34" t="inlineStr">
        <is>
          <t>Source assignment</t>
        </is>
      </c>
      <c r="L360" s="39" t="inlineStr"/>
      <c r="M360" s="34" t="inlineStr">
        <is>
          <t>Initial</t>
        </is>
      </c>
      <c r="N360" s="34" t="inlineStr">
        <is>
          <t>Rev 0</t>
        </is>
      </c>
      <c r="O360" s="34" t="inlineStr">
        <is>
          <t>R296-v1</t>
        </is>
      </c>
      <c r="P360" s="39" t="inlineStr"/>
      <c r="Q360" s="14" t="inlineStr"/>
      <c r="R360" s="39" t="inlineStr"/>
      <c r="S360" s="39" t="inlineStr"/>
      <c r="T360" s="39" t="inlineStr"/>
      <c r="U360" s="39" t="inlineStr"/>
      <c r="V360" s="34" t="inlineStr">
        <is>
          <t>WBS Code = 1.2.1</t>
        </is>
      </c>
      <c r="W360" s="14" t="inlineStr"/>
    </row>
    <row r="361" ht="49" customHeight="1">
      <c r="A361" s="34" t="inlineStr">
        <is>
          <t>1.2.1</t>
        </is>
      </c>
      <c r="B361" s="34" t="inlineStr">
        <is>
          <t>Stations - Station Structures</t>
        </is>
      </c>
      <c r="C361" s="34" t="inlineStr">
        <is>
          <t>Contractor Programme</t>
        </is>
      </c>
      <c r="D361" s="34" t="inlineStr">
        <is>
          <t>SCH-02-118</t>
        </is>
      </c>
      <c r="E361" s="34" t="inlineStr">
        <is>
          <t>Civic Station: station ventilation rough-in - release</t>
        </is>
      </c>
      <c r="F361" s="34" t="inlineStr">
        <is>
          <t>ONE_TO_ONE</t>
        </is>
      </c>
      <c r="G361" s="34" t="inlineStr">
        <is>
          <t>APPROVED</t>
        </is>
      </c>
      <c r="H361" s="34" t="inlineStr">
        <is>
          <t>New</t>
        </is>
      </c>
      <c r="I361" s="34" t="inlineStr">
        <is>
          <t>Source assignment -- not individually reviewed</t>
        </is>
      </c>
      <c r="J361" s="39" t="inlineStr"/>
      <c r="K361" s="34" t="inlineStr">
        <is>
          <t>Source assignment</t>
        </is>
      </c>
      <c r="L361" s="39" t="inlineStr"/>
      <c r="M361" s="34" t="inlineStr">
        <is>
          <t>Initial</t>
        </is>
      </c>
      <c r="N361" s="34" t="inlineStr">
        <is>
          <t>Rev 0</t>
        </is>
      </c>
      <c r="O361" s="34" t="inlineStr">
        <is>
          <t>R298-v1</t>
        </is>
      </c>
      <c r="P361" s="39" t="inlineStr"/>
      <c r="Q361" s="14" t="inlineStr"/>
      <c r="R361" s="39" t="inlineStr"/>
      <c r="S361" s="39" t="inlineStr"/>
      <c r="T361" s="39" t="inlineStr"/>
      <c r="U361" s="39" t="inlineStr"/>
      <c r="V361" s="34" t="inlineStr">
        <is>
          <t>WBS Code = 1.2.1</t>
        </is>
      </c>
      <c r="W361" s="14" t="inlineStr"/>
    </row>
    <row r="362" ht="49" customHeight="1">
      <c r="A362" s="34" t="inlineStr">
        <is>
          <t>1.2.1</t>
        </is>
      </c>
      <c r="B362" s="34" t="inlineStr">
        <is>
          <t>Stations - Station Structures</t>
        </is>
      </c>
      <c r="C362" s="34" t="inlineStr">
        <is>
          <t>Contractor Programme</t>
        </is>
      </c>
      <c r="D362" s="34" t="inlineStr">
        <is>
          <t>SCH-02-119</t>
        </is>
      </c>
      <c r="E362" s="34" t="inlineStr">
        <is>
          <t>University Station: public-realm paving - field start</t>
        </is>
      </c>
      <c r="F362" s="34" t="inlineStr">
        <is>
          <t>ONE_TO_ONE</t>
        </is>
      </c>
      <c r="G362" s="34" t="inlineStr">
        <is>
          <t>APPROVED</t>
        </is>
      </c>
      <c r="H362" s="34" t="inlineStr">
        <is>
          <t>New</t>
        </is>
      </c>
      <c r="I362" s="34" t="inlineStr">
        <is>
          <t>Source assignment -- not individually reviewed</t>
        </is>
      </c>
      <c r="J362" s="39" t="inlineStr"/>
      <c r="K362" s="34" t="inlineStr">
        <is>
          <t>Source assignment</t>
        </is>
      </c>
      <c r="L362" s="39" t="inlineStr"/>
      <c r="M362" s="34" t="inlineStr">
        <is>
          <t>Initial</t>
        </is>
      </c>
      <c r="N362" s="34" t="inlineStr">
        <is>
          <t>Rev 0</t>
        </is>
      </c>
      <c r="O362" s="34" t="inlineStr">
        <is>
          <t>R299-v1</t>
        </is>
      </c>
      <c r="P362" s="39" t="inlineStr"/>
      <c r="Q362" s="14" t="inlineStr"/>
      <c r="R362" s="39" t="inlineStr"/>
      <c r="S362" s="39" t="inlineStr"/>
      <c r="T362" s="39" t="inlineStr"/>
      <c r="U362" s="39" t="inlineStr"/>
      <c r="V362" s="34" t="inlineStr">
        <is>
          <t>WBS Code = 1.2.1</t>
        </is>
      </c>
      <c r="W362" s="14" t="inlineStr"/>
    </row>
    <row r="363" ht="49" customHeight="1">
      <c r="A363" s="34" t="inlineStr">
        <is>
          <t>1.2.1</t>
        </is>
      </c>
      <c r="B363" s="34" t="inlineStr">
        <is>
          <t>Stations - Station Structures</t>
        </is>
      </c>
      <c r="C363" s="34" t="inlineStr">
        <is>
          <t>Contractor Programme</t>
        </is>
      </c>
      <c r="D363" s="34" t="inlineStr">
        <is>
          <t>SCH-02-121</t>
        </is>
      </c>
      <c r="E363" s="34" t="inlineStr">
        <is>
          <t>Harbour Station: vertical-transport installation - inspection</t>
        </is>
      </c>
      <c r="F363" s="34" t="inlineStr">
        <is>
          <t>ONE_TO_ONE</t>
        </is>
      </c>
      <c r="G363" s="34" t="inlineStr">
        <is>
          <t>APPROVED</t>
        </is>
      </c>
      <c r="H363" s="34" t="inlineStr">
        <is>
          <t>New</t>
        </is>
      </c>
      <c r="I363" s="34" t="inlineStr">
        <is>
          <t>Source assignment -- not individually reviewed</t>
        </is>
      </c>
      <c r="J363" s="39" t="inlineStr"/>
      <c r="K363" s="34" t="inlineStr">
        <is>
          <t>Source assignment</t>
        </is>
      </c>
      <c r="L363" s="39" t="inlineStr"/>
      <c r="M363" s="34" t="inlineStr">
        <is>
          <t>Initial</t>
        </is>
      </c>
      <c r="N363" s="34" t="inlineStr">
        <is>
          <t>Rev 0</t>
        </is>
      </c>
      <c r="O363" s="34" t="inlineStr">
        <is>
          <t>R301-v1</t>
        </is>
      </c>
      <c r="P363" s="39" t="inlineStr"/>
      <c r="Q363" s="14" t="inlineStr"/>
      <c r="R363" s="39" t="inlineStr"/>
      <c r="S363" s="39" t="inlineStr"/>
      <c r="T363" s="39" t="inlineStr"/>
      <c r="U363" s="39" t="inlineStr"/>
      <c r="V363" s="34" t="inlineStr">
        <is>
          <t>WBS Code = 1.2.1</t>
        </is>
      </c>
      <c r="W363" s="14" t="inlineStr"/>
    </row>
    <row r="364" ht="49" customHeight="1">
      <c r="A364" s="34" t="inlineStr">
        <is>
          <t>1.2.1</t>
        </is>
      </c>
      <c r="B364" s="34" t="inlineStr">
        <is>
          <t>Stations - Station Structures</t>
        </is>
      </c>
      <c r="C364" s="34" t="inlineStr">
        <is>
          <t>Contractor Programme</t>
        </is>
      </c>
      <c r="D364" s="34" t="inlineStr">
        <is>
          <t>SCH-02-122</t>
        </is>
      </c>
      <c r="E364" s="34" t="inlineStr">
        <is>
          <t>Market Station: platform edge installation - turnover</t>
        </is>
      </c>
      <c r="F364" s="34" t="inlineStr">
        <is>
          <t>ONE_TO_ONE</t>
        </is>
      </c>
      <c r="G364" s="34" t="inlineStr">
        <is>
          <t>APPROVED</t>
        </is>
      </c>
      <c r="H364" s="34" t="inlineStr">
        <is>
          <t>New</t>
        </is>
      </c>
      <c r="I364" s="34" t="inlineStr">
        <is>
          <t>Source assignment -- not individually reviewed</t>
        </is>
      </c>
      <c r="J364" s="39" t="inlineStr"/>
      <c r="K364" s="34" t="inlineStr">
        <is>
          <t>Source assignment</t>
        </is>
      </c>
      <c r="L364" s="39" t="inlineStr"/>
      <c r="M364" s="34" t="inlineStr">
        <is>
          <t>Initial</t>
        </is>
      </c>
      <c r="N364" s="34" t="inlineStr">
        <is>
          <t>Rev 0</t>
        </is>
      </c>
      <c r="O364" s="34" t="inlineStr">
        <is>
          <t>R302-v1</t>
        </is>
      </c>
      <c r="P364" s="39" t="inlineStr"/>
      <c r="Q364" s="14" t="inlineStr"/>
      <c r="R364" s="39" t="inlineStr"/>
      <c r="S364" s="39" t="inlineStr"/>
      <c r="T364" s="39" t="inlineStr"/>
      <c r="U364" s="39" t="inlineStr"/>
      <c r="V364" s="34" t="inlineStr">
        <is>
          <t>WBS Code = 1.2.1</t>
        </is>
      </c>
      <c r="W364" s="14" t="inlineStr"/>
    </row>
    <row r="365" ht="49" customHeight="1">
      <c r="A365" s="34" t="inlineStr">
        <is>
          <t>1.2.1</t>
        </is>
      </c>
      <c r="B365" s="34" t="inlineStr">
        <is>
          <t>Stations - Station Structures</t>
        </is>
      </c>
      <c r="C365" s="34" t="inlineStr">
        <is>
          <t>Contractor Programme</t>
        </is>
      </c>
      <c r="D365" s="34" t="inlineStr">
        <is>
          <t>SCH-02-124</t>
        </is>
      </c>
      <c r="E365" s="34" t="inlineStr">
        <is>
          <t>University Station: fire-life-safety cabling - field start</t>
        </is>
      </c>
      <c r="F365" s="34" t="inlineStr">
        <is>
          <t>ONE_TO_ONE</t>
        </is>
      </c>
      <c r="G365" s="34" t="inlineStr">
        <is>
          <t>APPROVED</t>
        </is>
      </c>
      <c r="H365" s="34" t="inlineStr">
        <is>
          <t>New</t>
        </is>
      </c>
      <c r="I365" s="34" t="inlineStr">
        <is>
          <t>Source assignment -- not individually reviewed</t>
        </is>
      </c>
      <c r="J365" s="39" t="inlineStr"/>
      <c r="K365" s="34" t="inlineStr">
        <is>
          <t>Source assignment</t>
        </is>
      </c>
      <c r="L365" s="39" t="inlineStr"/>
      <c r="M365" s="34" t="inlineStr">
        <is>
          <t>Initial</t>
        </is>
      </c>
      <c r="N365" s="34" t="inlineStr">
        <is>
          <t>Rev 0</t>
        </is>
      </c>
      <c r="O365" s="34" t="inlineStr">
        <is>
          <t>R304-v1</t>
        </is>
      </c>
      <c r="P365" s="39" t="inlineStr"/>
      <c r="Q365" s="14" t="inlineStr"/>
      <c r="R365" s="39" t="inlineStr"/>
      <c r="S365" s="39" t="inlineStr"/>
      <c r="T365" s="39" t="inlineStr"/>
      <c r="U365" s="39" t="inlineStr"/>
      <c r="V365" s="34" t="inlineStr">
        <is>
          <t>WBS Code = 1.2.1</t>
        </is>
      </c>
      <c r="W365" s="14" t="inlineStr"/>
    </row>
    <row r="366" ht="49" customHeight="1">
      <c r="A366" s="34" t="inlineStr">
        <is>
          <t>1.2.1</t>
        </is>
      </c>
      <c r="B366" s="34" t="inlineStr">
        <is>
          <t>Stations - Station Structures</t>
        </is>
      </c>
      <c r="C366" s="34" t="inlineStr">
        <is>
          <t>Contractor Programme</t>
        </is>
      </c>
      <c r="D366" s="34" t="inlineStr">
        <is>
          <t>SCH-02-125</t>
        </is>
      </c>
      <c r="E366" s="34" t="inlineStr">
        <is>
          <t>West Terminal: concourse slab pour - installation</t>
        </is>
      </c>
      <c r="F366" s="34" t="inlineStr">
        <is>
          <t>ONE_TO_ONE</t>
        </is>
      </c>
      <c r="G366" s="34" t="inlineStr">
        <is>
          <t>APPROVED</t>
        </is>
      </c>
      <c r="H366" s="34" t="inlineStr">
        <is>
          <t>New</t>
        </is>
      </c>
      <c r="I366" s="34" t="inlineStr">
        <is>
          <t>Source assignment -- not individually reviewed</t>
        </is>
      </c>
      <c r="J366" s="39" t="inlineStr"/>
      <c r="K366" s="34" t="inlineStr">
        <is>
          <t>Source assignment</t>
        </is>
      </c>
      <c r="L366" s="39" t="inlineStr"/>
      <c r="M366" s="34" t="inlineStr">
        <is>
          <t>Initial</t>
        </is>
      </c>
      <c r="N366" s="34" t="inlineStr">
        <is>
          <t>Rev 0</t>
        </is>
      </c>
      <c r="O366" s="34" t="inlineStr">
        <is>
          <t>R305-v1</t>
        </is>
      </c>
      <c r="P366" s="39" t="inlineStr"/>
      <c r="Q366" s="14" t="inlineStr"/>
      <c r="R366" s="39" t="inlineStr"/>
      <c r="S366" s="39" t="inlineStr"/>
      <c r="T366" s="39" t="inlineStr"/>
      <c r="U366" s="39" t="inlineStr"/>
      <c r="V366" s="34" t="inlineStr">
        <is>
          <t>WBS Code = 1.2.1</t>
        </is>
      </c>
      <c r="W366" s="14" t="inlineStr"/>
    </row>
    <row r="367" ht="49" customHeight="1">
      <c r="A367" s="34" t="inlineStr">
        <is>
          <t>1.2.1</t>
        </is>
      </c>
      <c r="B367" s="34" t="inlineStr">
        <is>
          <t>Stations - Station Structures</t>
        </is>
      </c>
      <c r="C367" s="34" t="inlineStr">
        <is>
          <t>Contractor Programme</t>
        </is>
      </c>
      <c r="D367" s="34" t="inlineStr">
        <is>
          <t>SCH-02-127</t>
        </is>
      </c>
      <c r="E367" s="34" t="inlineStr">
        <is>
          <t>Market Station: public-realm paving - turnover</t>
        </is>
      </c>
      <c r="F367" s="34" t="inlineStr">
        <is>
          <t>ONE_TO_ONE</t>
        </is>
      </c>
      <c r="G367" s="34" t="inlineStr">
        <is>
          <t>APPROVED</t>
        </is>
      </c>
      <c r="H367" s="34" t="inlineStr">
        <is>
          <t>New</t>
        </is>
      </c>
      <c r="I367" s="34" t="inlineStr">
        <is>
          <t>Source assignment -- not individually reviewed</t>
        </is>
      </c>
      <c r="J367" s="39" t="inlineStr"/>
      <c r="K367" s="34" t="inlineStr">
        <is>
          <t>Source assignment</t>
        </is>
      </c>
      <c r="L367" s="39" t="inlineStr"/>
      <c r="M367" s="34" t="inlineStr">
        <is>
          <t>Initial</t>
        </is>
      </c>
      <c r="N367" s="34" t="inlineStr">
        <is>
          <t>Rev 0</t>
        </is>
      </c>
      <c r="O367" s="34" t="inlineStr">
        <is>
          <t>R307-v1</t>
        </is>
      </c>
      <c r="P367" s="39" t="inlineStr"/>
      <c r="Q367" s="14" t="inlineStr"/>
      <c r="R367" s="39" t="inlineStr"/>
      <c r="S367" s="39" t="inlineStr"/>
      <c r="T367" s="39" t="inlineStr"/>
      <c r="U367" s="39" t="inlineStr"/>
      <c r="V367" s="34" t="inlineStr">
        <is>
          <t>WBS Code = 1.2.1</t>
        </is>
      </c>
      <c r="W367" s="14" t="inlineStr"/>
    </row>
    <row r="368" ht="49" customHeight="1">
      <c r="A368" s="34" t="inlineStr">
        <is>
          <t>1.2.1</t>
        </is>
      </c>
      <c r="B368" s="34" t="inlineStr">
        <is>
          <t>Stations - Station Structures</t>
        </is>
      </c>
      <c r="C368" s="34" t="inlineStr">
        <is>
          <t>Contractor Programme</t>
        </is>
      </c>
      <c r="D368" s="34" t="inlineStr">
        <is>
          <t>SCH-02-128</t>
        </is>
      </c>
      <c r="E368" s="34" t="inlineStr">
        <is>
          <t>Civic Station: entrance steel erection - release</t>
        </is>
      </c>
      <c r="F368" s="34" t="inlineStr">
        <is>
          <t>ONE_TO_ONE</t>
        </is>
      </c>
      <c r="G368" s="34" t="inlineStr">
        <is>
          <t>APPROVED</t>
        </is>
      </c>
      <c r="H368" s="34" t="inlineStr">
        <is>
          <t>New</t>
        </is>
      </c>
      <c r="I368" s="34" t="inlineStr">
        <is>
          <t>Source assignment -- not individually reviewed</t>
        </is>
      </c>
      <c r="J368" s="39" t="inlineStr"/>
      <c r="K368" s="34" t="inlineStr">
        <is>
          <t>Source assignment</t>
        </is>
      </c>
      <c r="L368" s="39" t="inlineStr"/>
      <c r="M368" s="34" t="inlineStr">
        <is>
          <t>Initial</t>
        </is>
      </c>
      <c r="N368" s="34" t="inlineStr">
        <is>
          <t>Rev 0</t>
        </is>
      </c>
      <c r="O368" s="34" t="inlineStr">
        <is>
          <t>R308-v1</t>
        </is>
      </c>
      <c r="P368" s="39" t="inlineStr"/>
      <c r="Q368" s="14" t="inlineStr"/>
      <c r="R368" s="39" t="inlineStr"/>
      <c r="S368" s="39" t="inlineStr"/>
      <c r="T368" s="39" t="inlineStr"/>
      <c r="U368" s="39" t="inlineStr"/>
      <c r="V368" s="34" t="inlineStr">
        <is>
          <t>WBS Code = 1.2.1</t>
        </is>
      </c>
      <c r="W368" s="14" t="inlineStr"/>
    </row>
    <row r="369" ht="49" customHeight="1">
      <c r="A369" s="34" t="inlineStr">
        <is>
          <t>1.2.1</t>
        </is>
      </c>
      <c r="B369" s="34" t="inlineStr">
        <is>
          <t>Stations - Station Structures</t>
        </is>
      </c>
      <c r="C369" s="34" t="inlineStr">
        <is>
          <t>Contractor Programme</t>
        </is>
      </c>
      <c r="D369" s="34" t="inlineStr">
        <is>
          <t>SCH-02-130</t>
        </is>
      </c>
      <c r="E369" s="34" t="inlineStr">
        <is>
          <t>West Terminal: platform edge installation - installation</t>
        </is>
      </c>
      <c r="F369" s="34" t="inlineStr">
        <is>
          <t>ONE_TO_ONE</t>
        </is>
      </c>
      <c r="G369" s="34" t="inlineStr">
        <is>
          <t>APPROVED</t>
        </is>
      </c>
      <c r="H369" s="34" t="inlineStr">
        <is>
          <t>New</t>
        </is>
      </c>
      <c r="I369" s="34" t="inlineStr">
        <is>
          <t>Source assignment -- not individually reviewed</t>
        </is>
      </c>
      <c r="J369" s="39" t="inlineStr"/>
      <c r="K369" s="34" t="inlineStr">
        <is>
          <t>Source assignment</t>
        </is>
      </c>
      <c r="L369" s="39" t="inlineStr"/>
      <c r="M369" s="34" t="inlineStr">
        <is>
          <t>Initial</t>
        </is>
      </c>
      <c r="N369" s="34" t="inlineStr">
        <is>
          <t>Rev 0</t>
        </is>
      </c>
      <c r="O369" s="34" t="inlineStr">
        <is>
          <t>R310-v1</t>
        </is>
      </c>
      <c r="P369" s="39" t="inlineStr"/>
      <c r="Q369" s="14" t="inlineStr"/>
      <c r="R369" s="39" t="inlineStr"/>
      <c r="S369" s="39" t="inlineStr"/>
      <c r="T369" s="39" t="inlineStr"/>
      <c r="U369" s="39" t="inlineStr"/>
      <c r="V369" s="34" t="inlineStr">
        <is>
          <t>WBS Code = 1.2.1</t>
        </is>
      </c>
      <c r="W369" s="14" t="inlineStr"/>
    </row>
    <row r="370" ht="49" customHeight="1">
      <c r="A370" s="34" t="inlineStr">
        <is>
          <t>1.2.1</t>
        </is>
      </c>
      <c r="B370" s="34" t="inlineStr">
        <is>
          <t>Stations - Station Structures</t>
        </is>
      </c>
      <c r="C370" s="34" t="inlineStr">
        <is>
          <t>Contractor Programme</t>
        </is>
      </c>
      <c r="D370" s="34" t="inlineStr">
        <is>
          <t>SCH-02-131</t>
        </is>
      </c>
      <c r="E370" s="34" t="inlineStr">
        <is>
          <t>Harbour Station: architectural wall framing - inspection</t>
        </is>
      </c>
      <c r="F370" s="34" t="inlineStr">
        <is>
          <t>ONE_TO_ONE</t>
        </is>
      </c>
      <c r="G370" s="34" t="inlineStr">
        <is>
          <t>APPROVED</t>
        </is>
      </c>
      <c r="H370" s="34" t="inlineStr">
        <is>
          <t>New</t>
        </is>
      </c>
      <c r="I370" s="34" t="inlineStr">
        <is>
          <t>Source assignment -- not individually reviewed</t>
        </is>
      </c>
      <c r="J370" s="39" t="inlineStr"/>
      <c r="K370" s="34" t="inlineStr">
        <is>
          <t>Source assignment</t>
        </is>
      </c>
      <c r="L370" s="39" t="inlineStr"/>
      <c r="M370" s="34" t="inlineStr">
        <is>
          <t>Initial</t>
        </is>
      </c>
      <c r="N370" s="34" t="inlineStr">
        <is>
          <t>Rev 0</t>
        </is>
      </c>
      <c r="O370" s="34" t="inlineStr">
        <is>
          <t>R311-v1</t>
        </is>
      </c>
      <c r="P370" s="39" t="inlineStr"/>
      <c r="Q370" s="14" t="inlineStr"/>
      <c r="R370" s="39" t="inlineStr"/>
      <c r="S370" s="39" t="inlineStr"/>
      <c r="T370" s="39" t="inlineStr"/>
      <c r="U370" s="39" t="inlineStr"/>
      <c r="V370" s="34" t="inlineStr">
        <is>
          <t>WBS Code = 1.2.1</t>
        </is>
      </c>
      <c r="W370" s="14" t="inlineStr"/>
    </row>
    <row r="371" ht="49" customHeight="1">
      <c r="A371" s="34" t="inlineStr">
        <is>
          <t>1.2.1</t>
        </is>
      </c>
      <c r="B371" s="34" t="inlineStr">
        <is>
          <t>Stations - Station Structures</t>
        </is>
      </c>
      <c r="C371" s="34" t="inlineStr">
        <is>
          <t>Contractor Programme</t>
        </is>
      </c>
      <c r="D371" s="34" t="inlineStr">
        <is>
          <t>SCH-02-133</t>
        </is>
      </c>
      <c r="E371" s="34" t="inlineStr">
        <is>
          <t>Civic Station: concourse slab pour - release</t>
        </is>
      </c>
      <c r="F371" s="34" t="inlineStr">
        <is>
          <t>ONE_TO_ONE</t>
        </is>
      </c>
      <c r="G371" s="34" t="inlineStr">
        <is>
          <t>APPROVED</t>
        </is>
      </c>
      <c r="H371" s="34" t="inlineStr">
        <is>
          <t>New</t>
        </is>
      </c>
      <c r="I371" s="34" t="inlineStr">
        <is>
          <t>Source assignment -- not individually reviewed</t>
        </is>
      </c>
      <c r="J371" s="39" t="inlineStr"/>
      <c r="K371" s="34" t="inlineStr">
        <is>
          <t>Source assignment</t>
        </is>
      </c>
      <c r="L371" s="39" t="inlineStr"/>
      <c r="M371" s="34" t="inlineStr">
        <is>
          <t>Initial</t>
        </is>
      </c>
      <c r="N371" s="34" t="inlineStr">
        <is>
          <t>Rev 0</t>
        </is>
      </c>
      <c r="O371" s="34" t="inlineStr">
        <is>
          <t>R313-v1</t>
        </is>
      </c>
      <c r="P371" s="39" t="inlineStr"/>
      <c r="Q371" s="14" t="inlineStr"/>
      <c r="R371" s="39" t="inlineStr"/>
      <c r="S371" s="39" t="inlineStr"/>
      <c r="T371" s="39" t="inlineStr"/>
      <c r="U371" s="39" t="inlineStr"/>
      <c r="V371" s="34" t="inlineStr">
        <is>
          <t>WBS Code = 1.2.1</t>
        </is>
      </c>
      <c r="W371" s="14" t="inlineStr"/>
    </row>
    <row r="372" ht="49" customHeight="1">
      <c r="A372" s="34" t="inlineStr">
        <is>
          <t>1.2.1</t>
        </is>
      </c>
      <c r="B372" s="34" t="inlineStr">
        <is>
          <t>Stations - Station Structures</t>
        </is>
      </c>
      <c r="C372" s="34" t="inlineStr">
        <is>
          <t>Contractor Programme</t>
        </is>
      </c>
      <c r="D372" s="34" t="inlineStr">
        <is>
          <t>SCH-02-134</t>
        </is>
      </c>
      <c r="E372" s="34" t="inlineStr">
        <is>
          <t>University Station: station ventilation rough-in - field start</t>
        </is>
      </c>
      <c r="F372" s="34" t="inlineStr">
        <is>
          <t>ONE_TO_ONE</t>
        </is>
      </c>
      <c r="G372" s="34" t="inlineStr">
        <is>
          <t>APPROVED</t>
        </is>
      </c>
      <c r="H372" s="34" t="inlineStr">
        <is>
          <t>New</t>
        </is>
      </c>
      <c r="I372" s="34" t="inlineStr">
        <is>
          <t>Source assignment -- not individually reviewed</t>
        </is>
      </c>
      <c r="J372" s="39" t="inlineStr"/>
      <c r="K372" s="34" t="inlineStr">
        <is>
          <t>Source assignment</t>
        </is>
      </c>
      <c r="L372" s="39" t="inlineStr"/>
      <c r="M372" s="34" t="inlineStr">
        <is>
          <t>Initial</t>
        </is>
      </c>
      <c r="N372" s="34" t="inlineStr">
        <is>
          <t>Rev 0</t>
        </is>
      </c>
      <c r="O372" s="34" t="inlineStr">
        <is>
          <t>R314-v1</t>
        </is>
      </c>
      <c r="P372" s="39" t="inlineStr"/>
      <c r="Q372" s="14" t="inlineStr"/>
      <c r="R372" s="39" t="inlineStr"/>
      <c r="S372" s="39" t="inlineStr"/>
      <c r="T372" s="39" t="inlineStr"/>
      <c r="U372" s="39" t="inlineStr"/>
      <c r="V372" s="34" t="inlineStr">
        <is>
          <t>WBS Code = 1.2.1</t>
        </is>
      </c>
      <c r="W372" s="14" t="inlineStr"/>
    </row>
    <row r="373" ht="49" customHeight="1">
      <c r="A373" s="34" t="inlineStr">
        <is>
          <t>1.2.1</t>
        </is>
      </c>
      <c r="B373" s="34" t="inlineStr">
        <is>
          <t>Stations - Station Structures</t>
        </is>
      </c>
      <c r="C373" s="34" t="inlineStr">
        <is>
          <t>Contractor Programme</t>
        </is>
      </c>
      <c r="D373" s="34" t="inlineStr">
        <is>
          <t>SCH-02-136</t>
        </is>
      </c>
      <c r="E373" s="34" t="inlineStr">
        <is>
          <t>Harbour Station: entrance steel erection - inspection</t>
        </is>
      </c>
      <c r="F373" s="34" t="inlineStr">
        <is>
          <t>ONE_TO_ONE</t>
        </is>
      </c>
      <c r="G373" s="34" t="inlineStr">
        <is>
          <t>APPROVED</t>
        </is>
      </c>
      <c r="H373" s="34" t="inlineStr">
        <is>
          <t>New</t>
        </is>
      </c>
      <c r="I373" s="34" t="inlineStr">
        <is>
          <t>Source assignment -- not individually reviewed</t>
        </is>
      </c>
      <c r="J373" s="39" t="inlineStr"/>
      <c r="K373" s="34" t="inlineStr">
        <is>
          <t>Source assignment</t>
        </is>
      </c>
      <c r="L373" s="39" t="inlineStr"/>
      <c r="M373" s="34" t="inlineStr">
        <is>
          <t>Initial</t>
        </is>
      </c>
      <c r="N373" s="34" t="inlineStr">
        <is>
          <t>Rev 0</t>
        </is>
      </c>
      <c r="O373" s="34" t="inlineStr">
        <is>
          <t>R316-v1</t>
        </is>
      </c>
      <c r="P373" s="39" t="inlineStr"/>
      <c r="Q373" s="14" t="inlineStr"/>
      <c r="R373" s="39" t="inlineStr"/>
      <c r="S373" s="39" t="inlineStr"/>
      <c r="T373" s="39" t="inlineStr"/>
      <c r="U373" s="39" t="inlineStr"/>
      <c r="V373" s="34" t="inlineStr">
        <is>
          <t>WBS Code = 1.2.1</t>
        </is>
      </c>
      <c r="W373" s="14" t="inlineStr"/>
    </row>
    <row r="374" ht="49" customHeight="1">
      <c r="A374" s="34" t="inlineStr">
        <is>
          <t>1.2.1</t>
        </is>
      </c>
      <c r="B374" s="34" t="inlineStr">
        <is>
          <t>Stations - Station Structures</t>
        </is>
      </c>
      <c r="C374" s="34" t="inlineStr">
        <is>
          <t>Contractor Programme</t>
        </is>
      </c>
      <c r="D374" s="34" t="inlineStr">
        <is>
          <t>SCH-02-137</t>
        </is>
      </c>
      <c r="E374" s="34" t="inlineStr">
        <is>
          <t>Market Station: vertical-transport installation - turnover</t>
        </is>
      </c>
      <c r="F374" s="34" t="inlineStr">
        <is>
          <t>ONE_TO_ONE</t>
        </is>
      </c>
      <c r="G374" s="34" t="inlineStr">
        <is>
          <t>APPROVED</t>
        </is>
      </c>
      <c r="H374" s="34" t="inlineStr">
        <is>
          <t>New</t>
        </is>
      </c>
      <c r="I374" s="34" t="inlineStr">
        <is>
          <t>Source assignment -- not individually reviewed</t>
        </is>
      </c>
      <c r="J374" s="39" t="inlineStr"/>
      <c r="K374" s="34" t="inlineStr">
        <is>
          <t>Source assignment</t>
        </is>
      </c>
      <c r="L374" s="39" t="inlineStr"/>
      <c r="M374" s="34" t="inlineStr">
        <is>
          <t>Initial</t>
        </is>
      </c>
      <c r="N374" s="34" t="inlineStr">
        <is>
          <t>Rev 0</t>
        </is>
      </c>
      <c r="O374" s="34" t="inlineStr">
        <is>
          <t>R317-v1</t>
        </is>
      </c>
      <c r="P374" s="39" t="inlineStr"/>
      <c r="Q374" s="14" t="inlineStr"/>
      <c r="R374" s="39" t="inlineStr"/>
      <c r="S374" s="39" t="inlineStr"/>
      <c r="T374" s="39" t="inlineStr"/>
      <c r="U374" s="39" t="inlineStr"/>
      <c r="V374" s="34" t="inlineStr">
        <is>
          <t>WBS Code = 1.2.1</t>
        </is>
      </c>
      <c r="W374" s="14" t="inlineStr"/>
    </row>
    <row r="375" ht="49" customHeight="1">
      <c r="A375" s="34" t="inlineStr">
        <is>
          <t>1.2.1</t>
        </is>
      </c>
      <c r="B375" s="34" t="inlineStr">
        <is>
          <t>Stations - Station Structures</t>
        </is>
      </c>
      <c r="C375" s="34" t="inlineStr">
        <is>
          <t>Contractor Programme</t>
        </is>
      </c>
      <c r="D375" s="34" t="inlineStr">
        <is>
          <t>SCH-02-139</t>
        </is>
      </c>
      <c r="E375" s="34" t="inlineStr">
        <is>
          <t>University Station: architectural wall framing - field start</t>
        </is>
      </c>
      <c r="F375" s="34" t="inlineStr">
        <is>
          <t>ONE_TO_ONE</t>
        </is>
      </c>
      <c r="G375" s="34" t="inlineStr">
        <is>
          <t>APPROVED</t>
        </is>
      </c>
      <c r="H375" s="34" t="inlineStr">
        <is>
          <t>New</t>
        </is>
      </c>
      <c r="I375" s="34" t="inlineStr">
        <is>
          <t>Source assignment -- not individually reviewed</t>
        </is>
      </c>
      <c r="J375" s="39" t="inlineStr"/>
      <c r="K375" s="34" t="inlineStr">
        <is>
          <t>Source assignment</t>
        </is>
      </c>
      <c r="L375" s="39" t="inlineStr"/>
      <c r="M375" s="34" t="inlineStr">
        <is>
          <t>Initial</t>
        </is>
      </c>
      <c r="N375" s="34" t="inlineStr">
        <is>
          <t>Rev 0</t>
        </is>
      </c>
      <c r="O375" s="34" t="inlineStr">
        <is>
          <t>R319-v1</t>
        </is>
      </c>
      <c r="P375" s="39" t="inlineStr"/>
      <c r="Q375" s="14" t="inlineStr"/>
      <c r="R375" s="39" t="inlineStr"/>
      <c r="S375" s="39" t="inlineStr"/>
      <c r="T375" s="39" t="inlineStr"/>
      <c r="U375" s="39" t="inlineStr"/>
      <c r="V375" s="34" t="inlineStr">
        <is>
          <t>WBS Code = 1.2.1</t>
        </is>
      </c>
      <c r="W375" s="14" t="inlineStr"/>
    </row>
    <row r="376" ht="49" customHeight="1">
      <c r="A376" s="34" t="inlineStr">
        <is>
          <t>1.2.1</t>
        </is>
      </c>
      <c r="B376" s="34" t="inlineStr">
        <is>
          <t>Stations - Station Structures</t>
        </is>
      </c>
      <c r="C376" s="34" t="inlineStr">
        <is>
          <t>Contractor Programme</t>
        </is>
      </c>
      <c r="D376" s="34" t="inlineStr">
        <is>
          <t>SCH-02-140</t>
        </is>
      </c>
      <c r="E376" s="34" t="inlineStr">
        <is>
          <t>West Terminal: fire-life-safety cabling - installation</t>
        </is>
      </c>
      <c r="F376" s="34" t="inlineStr">
        <is>
          <t>ONE_TO_ONE</t>
        </is>
      </c>
      <c r="G376" s="34" t="inlineStr">
        <is>
          <t>APPROVED</t>
        </is>
      </c>
      <c r="H376" s="34" t="inlineStr">
        <is>
          <t>New</t>
        </is>
      </c>
      <c r="I376" s="34" t="inlineStr">
        <is>
          <t>Source assignment -- not individually reviewed</t>
        </is>
      </c>
      <c r="J376" s="39" t="inlineStr"/>
      <c r="K376" s="34" t="inlineStr">
        <is>
          <t>Source assignment</t>
        </is>
      </c>
      <c r="L376" s="39" t="inlineStr"/>
      <c r="M376" s="34" t="inlineStr">
        <is>
          <t>Initial</t>
        </is>
      </c>
      <c r="N376" s="34" t="inlineStr">
        <is>
          <t>Rev 0</t>
        </is>
      </c>
      <c r="O376" s="34" t="inlineStr">
        <is>
          <t>R320-v1</t>
        </is>
      </c>
      <c r="P376" s="39" t="inlineStr"/>
      <c r="Q376" s="14" t="inlineStr"/>
      <c r="R376" s="39" t="inlineStr"/>
      <c r="S376" s="39" t="inlineStr"/>
      <c r="T376" s="39" t="inlineStr"/>
      <c r="U376" s="39" t="inlineStr"/>
      <c r="V376" s="34" t="inlineStr">
        <is>
          <t>WBS Code = 1.2.1</t>
        </is>
      </c>
      <c r="W376" s="14" t="inlineStr"/>
    </row>
    <row r="377" ht="49" customHeight="1">
      <c r="A377" s="34" t="inlineStr">
        <is>
          <t>1.2.1</t>
        </is>
      </c>
      <c r="B377" s="34" t="inlineStr">
        <is>
          <t>Stations - Station Structures</t>
        </is>
      </c>
      <c r="C377" s="34" t="inlineStr">
        <is>
          <t>Contractor Programme</t>
        </is>
      </c>
      <c r="D377" s="34" t="inlineStr">
        <is>
          <t>SCH-02-142</t>
        </is>
      </c>
      <c r="E377" s="34" t="inlineStr">
        <is>
          <t>Market Station: station ventilation rough-in - turnover</t>
        </is>
      </c>
      <c r="F377" s="34" t="inlineStr">
        <is>
          <t>ONE_TO_ONE</t>
        </is>
      </c>
      <c r="G377" s="34" t="inlineStr">
        <is>
          <t>APPROVED</t>
        </is>
      </c>
      <c r="H377" s="34" t="inlineStr">
        <is>
          <t>New</t>
        </is>
      </c>
      <c r="I377" s="34" t="inlineStr">
        <is>
          <t>Source assignment -- not individually reviewed</t>
        </is>
      </c>
      <c r="J377" s="39" t="inlineStr"/>
      <c r="K377" s="34" t="inlineStr">
        <is>
          <t>Source assignment</t>
        </is>
      </c>
      <c r="L377" s="39" t="inlineStr"/>
      <c r="M377" s="34" t="inlineStr">
        <is>
          <t>Initial</t>
        </is>
      </c>
      <c r="N377" s="34" t="inlineStr">
        <is>
          <t>Rev 0</t>
        </is>
      </c>
      <c r="O377" s="34" t="inlineStr">
        <is>
          <t>R322-v1</t>
        </is>
      </c>
      <c r="P377" s="39" t="inlineStr"/>
      <c r="Q377" s="14" t="inlineStr"/>
      <c r="R377" s="39" t="inlineStr"/>
      <c r="S377" s="39" t="inlineStr"/>
      <c r="T377" s="39" t="inlineStr"/>
      <c r="U377" s="39" t="inlineStr"/>
      <c r="V377" s="34" t="inlineStr">
        <is>
          <t>WBS Code = 1.2.1</t>
        </is>
      </c>
      <c r="W377" s="14" t="inlineStr"/>
    </row>
    <row r="378" ht="49" customHeight="1">
      <c r="A378" s="34" t="inlineStr">
        <is>
          <t>1.2.1</t>
        </is>
      </c>
      <c r="B378" s="34" t="inlineStr">
        <is>
          <t>Stations - Station Structures</t>
        </is>
      </c>
      <c r="C378" s="34" t="inlineStr">
        <is>
          <t>Contractor Programme</t>
        </is>
      </c>
      <c r="D378" s="34" t="inlineStr">
        <is>
          <t>SCH-02-143</t>
        </is>
      </c>
      <c r="E378" s="34" t="inlineStr">
        <is>
          <t>Civic Station: public-realm paving - release</t>
        </is>
      </c>
      <c r="F378" s="34" t="inlineStr">
        <is>
          <t>ONE_TO_ONE</t>
        </is>
      </c>
      <c r="G378" s="34" t="inlineStr">
        <is>
          <t>APPROVED</t>
        </is>
      </c>
      <c r="H378" s="34" t="inlineStr">
        <is>
          <t>New</t>
        </is>
      </c>
      <c r="I378" s="34" t="inlineStr">
        <is>
          <t>Source assignment -- not individually reviewed</t>
        </is>
      </c>
      <c r="J378" s="39" t="inlineStr"/>
      <c r="K378" s="34" t="inlineStr">
        <is>
          <t>Source assignment</t>
        </is>
      </c>
      <c r="L378" s="39" t="inlineStr"/>
      <c r="M378" s="34" t="inlineStr">
        <is>
          <t>Initial</t>
        </is>
      </c>
      <c r="N378" s="34" t="inlineStr">
        <is>
          <t>Rev 0</t>
        </is>
      </c>
      <c r="O378" s="34" t="inlineStr">
        <is>
          <t>R323-v1</t>
        </is>
      </c>
      <c r="P378" s="39" t="inlineStr"/>
      <c r="Q378" s="14" t="inlineStr"/>
      <c r="R378" s="39" t="inlineStr"/>
      <c r="S378" s="39" t="inlineStr"/>
      <c r="T378" s="39" t="inlineStr"/>
      <c r="U378" s="39" t="inlineStr"/>
      <c r="V378" s="34" t="inlineStr">
        <is>
          <t>WBS Code = 1.2.1</t>
        </is>
      </c>
      <c r="W378" s="14" t="inlineStr"/>
    </row>
    <row r="379" ht="49" customHeight="1">
      <c r="A379" s="34" t="inlineStr">
        <is>
          <t>1.2.1</t>
        </is>
      </c>
      <c r="B379" s="34" t="inlineStr">
        <is>
          <t>Stations - Station Structures</t>
        </is>
      </c>
      <c r="C379" s="34" t="inlineStr">
        <is>
          <t>Contractor Programme</t>
        </is>
      </c>
      <c r="D379" s="34" t="inlineStr">
        <is>
          <t>SCH-02-145</t>
        </is>
      </c>
      <c r="E379" s="34" t="inlineStr">
        <is>
          <t>West Terminal: vertical-transport installation - installation</t>
        </is>
      </c>
      <c r="F379" s="34" t="inlineStr">
        <is>
          <t>ONE_TO_ONE</t>
        </is>
      </c>
      <c r="G379" s="34" t="inlineStr">
        <is>
          <t>APPROVED</t>
        </is>
      </c>
      <c r="H379" s="34" t="inlineStr">
        <is>
          <t>New</t>
        </is>
      </c>
      <c r="I379" s="34" t="inlineStr">
        <is>
          <t>Source assignment -- not individually reviewed</t>
        </is>
      </c>
      <c r="J379" s="39" t="inlineStr"/>
      <c r="K379" s="34" t="inlineStr">
        <is>
          <t>Source assignment</t>
        </is>
      </c>
      <c r="L379" s="39" t="inlineStr"/>
      <c r="M379" s="34" t="inlineStr">
        <is>
          <t>Initial</t>
        </is>
      </c>
      <c r="N379" s="34" t="inlineStr">
        <is>
          <t>Rev 0</t>
        </is>
      </c>
      <c r="O379" s="34" t="inlineStr">
        <is>
          <t>R325-v1</t>
        </is>
      </c>
      <c r="P379" s="39" t="inlineStr"/>
      <c r="Q379" s="14" t="inlineStr"/>
      <c r="R379" s="39" t="inlineStr"/>
      <c r="S379" s="39" t="inlineStr"/>
      <c r="T379" s="39" t="inlineStr"/>
      <c r="U379" s="39" t="inlineStr"/>
      <c r="V379" s="34" t="inlineStr">
        <is>
          <t>WBS Code = 1.2.1</t>
        </is>
      </c>
      <c r="W379" s="14" t="inlineStr"/>
    </row>
    <row r="380" ht="49" customHeight="1">
      <c r="A380" s="34" t="inlineStr">
        <is>
          <t>1.2.1</t>
        </is>
      </c>
      <c r="B380" s="34" t="inlineStr">
        <is>
          <t>Stations - Station Structures</t>
        </is>
      </c>
      <c r="C380" s="34" t="inlineStr">
        <is>
          <t>Contractor Programme</t>
        </is>
      </c>
      <c r="D380" s="34" t="inlineStr">
        <is>
          <t>SCH-02-146</t>
        </is>
      </c>
      <c r="E380" s="34" t="inlineStr">
        <is>
          <t>Harbour Station: platform edge installation - inspection</t>
        </is>
      </c>
      <c r="F380" s="34" t="inlineStr">
        <is>
          <t>ONE_TO_ONE</t>
        </is>
      </c>
      <c r="G380" s="34" t="inlineStr">
        <is>
          <t>APPROVED</t>
        </is>
      </c>
      <c r="H380" s="34" t="inlineStr">
        <is>
          <t>New</t>
        </is>
      </c>
      <c r="I380" s="34" t="inlineStr">
        <is>
          <t>Source assignment -- not individually reviewed</t>
        </is>
      </c>
      <c r="J380" s="39" t="inlineStr"/>
      <c r="K380" s="34" t="inlineStr">
        <is>
          <t>Source assignment</t>
        </is>
      </c>
      <c r="L380" s="39" t="inlineStr"/>
      <c r="M380" s="34" t="inlineStr">
        <is>
          <t>Initial</t>
        </is>
      </c>
      <c r="N380" s="34" t="inlineStr">
        <is>
          <t>Rev 0</t>
        </is>
      </c>
      <c r="O380" s="34" t="inlineStr">
        <is>
          <t>R326-v1</t>
        </is>
      </c>
      <c r="P380" s="39" t="inlineStr"/>
      <c r="Q380" s="14" t="inlineStr"/>
      <c r="R380" s="39" t="inlineStr"/>
      <c r="S380" s="39" t="inlineStr"/>
      <c r="T380" s="39" t="inlineStr"/>
      <c r="U380" s="39" t="inlineStr"/>
      <c r="V380" s="34" t="inlineStr">
        <is>
          <t>WBS Code = 1.2.1</t>
        </is>
      </c>
      <c r="W380" s="14" t="inlineStr"/>
    </row>
    <row r="381" ht="49" customHeight="1">
      <c r="A381" s="34" t="inlineStr">
        <is>
          <t>1.2.1</t>
        </is>
      </c>
      <c r="B381" s="34" t="inlineStr">
        <is>
          <t>Stations - Station Structures</t>
        </is>
      </c>
      <c r="C381" s="34" t="inlineStr">
        <is>
          <t>Contractor Programme</t>
        </is>
      </c>
      <c r="D381" s="34" t="inlineStr">
        <is>
          <t>SCH-02-148</t>
        </is>
      </c>
      <c r="E381" s="34" t="inlineStr">
        <is>
          <t>Civic Station: fire-life-safety cabling - release</t>
        </is>
      </c>
      <c r="F381" s="34" t="inlineStr">
        <is>
          <t>ONE_TO_ONE</t>
        </is>
      </c>
      <c r="G381" s="34" t="inlineStr">
        <is>
          <t>APPROVED</t>
        </is>
      </c>
      <c r="H381" s="34" t="inlineStr">
        <is>
          <t>New</t>
        </is>
      </c>
      <c r="I381" s="34" t="inlineStr">
        <is>
          <t>Source assignment -- not individually reviewed</t>
        </is>
      </c>
      <c r="J381" s="39" t="inlineStr"/>
      <c r="K381" s="34" t="inlineStr">
        <is>
          <t>Source assignment</t>
        </is>
      </c>
      <c r="L381" s="39" t="inlineStr"/>
      <c r="M381" s="34" t="inlineStr">
        <is>
          <t>Initial</t>
        </is>
      </c>
      <c r="N381" s="34" t="inlineStr">
        <is>
          <t>Rev 0</t>
        </is>
      </c>
      <c r="O381" s="34" t="inlineStr">
        <is>
          <t>R328-v1</t>
        </is>
      </c>
      <c r="P381" s="39" t="inlineStr"/>
      <c r="Q381" s="14" t="inlineStr"/>
      <c r="R381" s="39" t="inlineStr"/>
      <c r="S381" s="39" t="inlineStr"/>
      <c r="T381" s="39" t="inlineStr"/>
      <c r="U381" s="39" t="inlineStr"/>
      <c r="V381" s="34" t="inlineStr">
        <is>
          <t>WBS Code = 1.2.1</t>
        </is>
      </c>
      <c r="W381" s="14" t="inlineStr"/>
    </row>
    <row r="382" ht="49" customHeight="1">
      <c r="A382" s="34" t="inlineStr">
        <is>
          <t>1.2.1</t>
        </is>
      </c>
      <c r="B382" s="34" t="inlineStr">
        <is>
          <t>Stations - Station Structures</t>
        </is>
      </c>
      <c r="C382" s="34" t="inlineStr">
        <is>
          <t>Contractor Programme</t>
        </is>
      </c>
      <c r="D382" s="34" t="inlineStr">
        <is>
          <t>SCH-02-149</t>
        </is>
      </c>
      <c r="E382" s="34" t="inlineStr">
        <is>
          <t>University Station: concourse slab pour - field start</t>
        </is>
      </c>
      <c r="F382" s="34" t="inlineStr">
        <is>
          <t>ONE_TO_ONE</t>
        </is>
      </c>
      <c r="G382" s="34" t="inlineStr">
        <is>
          <t>APPROVED</t>
        </is>
      </c>
      <c r="H382" s="34" t="inlineStr">
        <is>
          <t>New</t>
        </is>
      </c>
      <c r="I382" s="34" t="inlineStr">
        <is>
          <t>Source assignment -- not individually reviewed</t>
        </is>
      </c>
      <c r="J382" s="39" t="inlineStr"/>
      <c r="K382" s="34" t="inlineStr">
        <is>
          <t>Source assignment</t>
        </is>
      </c>
      <c r="L382" s="39" t="inlineStr"/>
      <c r="M382" s="34" t="inlineStr">
        <is>
          <t>Initial</t>
        </is>
      </c>
      <c r="N382" s="34" t="inlineStr">
        <is>
          <t>Rev 0</t>
        </is>
      </c>
      <c r="O382" s="34" t="inlineStr">
        <is>
          <t>R329-v1</t>
        </is>
      </c>
      <c r="P382" s="39" t="inlineStr"/>
      <c r="Q382" s="14" t="inlineStr"/>
      <c r="R382" s="39" t="inlineStr"/>
      <c r="S382" s="39" t="inlineStr"/>
      <c r="T382" s="39" t="inlineStr"/>
      <c r="U382" s="39" t="inlineStr"/>
      <c r="V382" s="34" t="inlineStr">
        <is>
          <t>WBS Code = 1.2.1</t>
        </is>
      </c>
      <c r="W382" s="14" t="inlineStr"/>
    </row>
    <row r="383" ht="49" customHeight="1">
      <c r="A383" s="34" t="inlineStr">
        <is>
          <t>1.2.1</t>
        </is>
      </c>
      <c r="B383" s="34" t="inlineStr">
        <is>
          <t>Stations - Station Structures</t>
        </is>
      </c>
      <c r="C383" s="34" t="inlineStr">
        <is>
          <t>Contractor Programme</t>
        </is>
      </c>
      <c r="D383" s="34" t="inlineStr">
        <is>
          <t>SCH-02-151</t>
        </is>
      </c>
      <c r="E383" s="34" t="inlineStr">
        <is>
          <t>Harbour Station: public-realm paving - inspection</t>
        </is>
      </c>
      <c r="F383" s="34" t="inlineStr">
        <is>
          <t>ONE_TO_ONE</t>
        </is>
      </c>
      <c r="G383" s="34" t="inlineStr">
        <is>
          <t>APPROVED</t>
        </is>
      </c>
      <c r="H383" s="34" t="inlineStr">
        <is>
          <t>New</t>
        </is>
      </c>
      <c r="I383" s="34" t="inlineStr">
        <is>
          <t>Source assignment -- not individually reviewed</t>
        </is>
      </c>
      <c r="J383" s="39" t="inlineStr"/>
      <c r="K383" s="34" t="inlineStr">
        <is>
          <t>Source assignment</t>
        </is>
      </c>
      <c r="L383" s="39" t="inlineStr"/>
      <c r="M383" s="34" t="inlineStr">
        <is>
          <t>Initial</t>
        </is>
      </c>
      <c r="N383" s="34" t="inlineStr">
        <is>
          <t>Rev 0</t>
        </is>
      </c>
      <c r="O383" s="34" t="inlineStr">
        <is>
          <t>R331-v1</t>
        </is>
      </c>
      <c r="P383" s="39" t="inlineStr"/>
      <c r="Q383" s="14" t="inlineStr"/>
      <c r="R383" s="39" t="inlineStr"/>
      <c r="S383" s="39" t="inlineStr"/>
      <c r="T383" s="39" t="inlineStr"/>
      <c r="U383" s="39" t="inlineStr"/>
      <c r="V383" s="34" t="inlineStr">
        <is>
          <t>WBS Code = 1.2.1</t>
        </is>
      </c>
      <c r="W383" s="14" t="inlineStr"/>
    </row>
    <row r="384" ht="49" customHeight="1">
      <c r="A384" s="34" t="inlineStr">
        <is>
          <t>1.2.1</t>
        </is>
      </c>
      <c r="B384" s="34" t="inlineStr">
        <is>
          <t>Stations - Station Structures</t>
        </is>
      </c>
      <c r="C384" s="34" t="inlineStr">
        <is>
          <t>Contractor Programme</t>
        </is>
      </c>
      <c r="D384" s="34" t="inlineStr">
        <is>
          <t>SCH-02-152</t>
        </is>
      </c>
      <c r="E384" s="34" t="inlineStr">
        <is>
          <t>Market Station: entrance steel erection - turnover</t>
        </is>
      </c>
      <c r="F384" s="34" t="inlineStr">
        <is>
          <t>ONE_TO_ONE</t>
        </is>
      </c>
      <c r="G384" s="34" t="inlineStr">
        <is>
          <t>APPROVED</t>
        </is>
      </c>
      <c r="H384" s="34" t="inlineStr">
        <is>
          <t>New</t>
        </is>
      </c>
      <c r="I384" s="34" t="inlineStr">
        <is>
          <t>Source assignment -- not individually reviewed</t>
        </is>
      </c>
      <c r="J384" s="39" t="inlineStr"/>
      <c r="K384" s="34" t="inlineStr">
        <is>
          <t>Source assignment</t>
        </is>
      </c>
      <c r="L384" s="39" t="inlineStr"/>
      <c r="M384" s="34" t="inlineStr">
        <is>
          <t>Initial</t>
        </is>
      </c>
      <c r="N384" s="34" t="inlineStr">
        <is>
          <t>Rev 0</t>
        </is>
      </c>
      <c r="O384" s="34" t="inlineStr">
        <is>
          <t>R332-v1</t>
        </is>
      </c>
      <c r="P384" s="39" t="inlineStr"/>
      <c r="Q384" s="14" t="inlineStr"/>
      <c r="R384" s="39" t="inlineStr"/>
      <c r="S384" s="39" t="inlineStr"/>
      <c r="T384" s="39" t="inlineStr"/>
      <c r="U384" s="39" t="inlineStr"/>
      <c r="V384" s="34" t="inlineStr">
        <is>
          <t>WBS Code = 1.2.1</t>
        </is>
      </c>
      <c r="W384" s="14" t="inlineStr"/>
    </row>
    <row r="385" ht="49" customHeight="1">
      <c r="A385" s="34" t="inlineStr">
        <is>
          <t>1.2.1</t>
        </is>
      </c>
      <c r="B385" s="34" t="inlineStr">
        <is>
          <t>Stations - Station Structures</t>
        </is>
      </c>
      <c r="C385" s="34" t="inlineStr">
        <is>
          <t>Contractor Programme</t>
        </is>
      </c>
      <c r="D385" s="34" t="inlineStr">
        <is>
          <t>SCH-02-154</t>
        </is>
      </c>
      <c r="E385" s="34" t="inlineStr">
        <is>
          <t>University Station: platform edge installation - field start</t>
        </is>
      </c>
      <c r="F385" s="34" t="inlineStr">
        <is>
          <t>ONE_TO_ONE</t>
        </is>
      </c>
      <c r="G385" s="34" t="inlineStr">
        <is>
          <t>APPROVED</t>
        </is>
      </c>
      <c r="H385" s="34" t="inlineStr">
        <is>
          <t>New</t>
        </is>
      </c>
      <c r="I385" s="34" t="inlineStr">
        <is>
          <t>Source assignment -- not individually reviewed</t>
        </is>
      </c>
      <c r="J385" s="39" t="inlineStr"/>
      <c r="K385" s="34" t="inlineStr">
        <is>
          <t>Source assignment</t>
        </is>
      </c>
      <c r="L385" s="39" t="inlineStr"/>
      <c r="M385" s="34" t="inlineStr">
        <is>
          <t>Initial</t>
        </is>
      </c>
      <c r="N385" s="34" t="inlineStr">
        <is>
          <t>Rev 0</t>
        </is>
      </c>
      <c r="O385" s="34" t="inlineStr">
        <is>
          <t>R334-v1</t>
        </is>
      </c>
      <c r="P385" s="39" t="inlineStr"/>
      <c r="Q385" s="14" t="inlineStr"/>
      <c r="R385" s="39" t="inlineStr"/>
      <c r="S385" s="39" t="inlineStr"/>
      <c r="T385" s="39" t="inlineStr"/>
      <c r="U385" s="39" t="inlineStr"/>
      <c r="V385" s="34" t="inlineStr">
        <is>
          <t>WBS Code = 1.2.1</t>
        </is>
      </c>
      <c r="W385" s="14" t="inlineStr"/>
    </row>
    <row r="386" ht="49" customHeight="1">
      <c r="A386" s="34" t="inlineStr">
        <is>
          <t>1.2.1</t>
        </is>
      </c>
      <c r="B386" s="34" t="inlineStr">
        <is>
          <t>Stations - Station Structures</t>
        </is>
      </c>
      <c r="C386" s="34" t="inlineStr">
        <is>
          <t>Contractor Programme</t>
        </is>
      </c>
      <c r="D386" s="34" t="inlineStr">
        <is>
          <t>SCH-02-155</t>
        </is>
      </c>
      <c r="E386" s="34" t="inlineStr">
        <is>
          <t>West Terminal: architectural wall framing - installation</t>
        </is>
      </c>
      <c r="F386" s="34" t="inlineStr">
        <is>
          <t>ONE_TO_ONE</t>
        </is>
      </c>
      <c r="G386" s="34" t="inlineStr">
        <is>
          <t>APPROVED</t>
        </is>
      </c>
      <c r="H386" s="34" t="inlineStr">
        <is>
          <t>New</t>
        </is>
      </c>
      <c r="I386" s="34" t="inlineStr">
        <is>
          <t>Source assignment -- not individually reviewed</t>
        </is>
      </c>
      <c r="J386" s="39" t="inlineStr"/>
      <c r="K386" s="34" t="inlineStr">
        <is>
          <t>Source assignment</t>
        </is>
      </c>
      <c r="L386" s="39" t="inlineStr"/>
      <c r="M386" s="34" t="inlineStr">
        <is>
          <t>Initial</t>
        </is>
      </c>
      <c r="N386" s="34" t="inlineStr">
        <is>
          <t>Rev 0</t>
        </is>
      </c>
      <c r="O386" s="34" t="inlineStr">
        <is>
          <t>R335-v1</t>
        </is>
      </c>
      <c r="P386" s="39" t="inlineStr"/>
      <c r="Q386" s="14" t="inlineStr"/>
      <c r="R386" s="39" t="inlineStr"/>
      <c r="S386" s="39" t="inlineStr"/>
      <c r="T386" s="39" t="inlineStr"/>
      <c r="U386" s="39" t="inlineStr"/>
      <c r="V386" s="34" t="inlineStr">
        <is>
          <t>WBS Code = 1.2.1</t>
        </is>
      </c>
      <c r="W386" s="14" t="inlineStr"/>
    </row>
    <row r="387" ht="49" customHeight="1">
      <c r="A387" s="34" t="inlineStr">
        <is>
          <t>1.2.1</t>
        </is>
      </c>
      <c r="B387" s="34" t="inlineStr">
        <is>
          <t>Stations - Station Structures</t>
        </is>
      </c>
      <c r="C387" s="34" t="inlineStr">
        <is>
          <t>Contractor Programme</t>
        </is>
      </c>
      <c r="D387" s="34" t="inlineStr">
        <is>
          <t>SCH-02-157</t>
        </is>
      </c>
      <c r="E387" s="34" t="inlineStr">
        <is>
          <t>Market Station: concourse slab pour - turnover</t>
        </is>
      </c>
      <c r="F387" s="34" t="inlineStr">
        <is>
          <t>ONE_TO_ONE</t>
        </is>
      </c>
      <c r="G387" s="34" t="inlineStr">
        <is>
          <t>APPROVED</t>
        </is>
      </c>
      <c r="H387" s="34" t="inlineStr">
        <is>
          <t>New</t>
        </is>
      </c>
      <c r="I387" s="34" t="inlineStr">
        <is>
          <t>Source assignment -- not individually reviewed</t>
        </is>
      </c>
      <c r="J387" s="39" t="inlineStr"/>
      <c r="K387" s="34" t="inlineStr">
        <is>
          <t>Source assignment</t>
        </is>
      </c>
      <c r="L387" s="39" t="inlineStr"/>
      <c r="M387" s="34" t="inlineStr">
        <is>
          <t>Initial</t>
        </is>
      </c>
      <c r="N387" s="34" t="inlineStr">
        <is>
          <t>Rev 0</t>
        </is>
      </c>
      <c r="O387" s="34" t="inlineStr">
        <is>
          <t>R337-v1</t>
        </is>
      </c>
      <c r="P387" s="39" t="inlineStr"/>
      <c r="Q387" s="14" t="inlineStr"/>
      <c r="R387" s="39" t="inlineStr"/>
      <c r="S387" s="39" t="inlineStr"/>
      <c r="T387" s="39" t="inlineStr"/>
      <c r="U387" s="39" t="inlineStr"/>
      <c r="V387" s="34" t="inlineStr">
        <is>
          <t>WBS Code = 1.2.1</t>
        </is>
      </c>
      <c r="W387" s="14" t="inlineStr"/>
    </row>
    <row r="388" ht="49" customHeight="1">
      <c r="A388" s="34" t="inlineStr">
        <is>
          <t>1.2.1</t>
        </is>
      </c>
      <c r="B388" s="34" t="inlineStr">
        <is>
          <t>Stations - Station Structures</t>
        </is>
      </c>
      <c r="C388" s="34" t="inlineStr">
        <is>
          <t>Contractor Programme</t>
        </is>
      </c>
      <c r="D388" s="34" t="inlineStr">
        <is>
          <t>SCH-02-158</t>
        </is>
      </c>
      <c r="E388" s="34" t="inlineStr">
        <is>
          <t>Civic Station: station ventilation rough-in - release</t>
        </is>
      </c>
      <c r="F388" s="34" t="inlineStr">
        <is>
          <t>ONE_TO_ONE</t>
        </is>
      </c>
      <c r="G388" s="34" t="inlineStr">
        <is>
          <t>APPROVED</t>
        </is>
      </c>
      <c r="H388" s="34" t="inlineStr">
        <is>
          <t>New</t>
        </is>
      </c>
      <c r="I388" s="34" t="inlineStr">
        <is>
          <t>Source assignment -- not individually reviewed</t>
        </is>
      </c>
      <c r="J388" s="39" t="inlineStr"/>
      <c r="K388" s="34" t="inlineStr">
        <is>
          <t>Source assignment</t>
        </is>
      </c>
      <c r="L388" s="39" t="inlineStr"/>
      <c r="M388" s="34" t="inlineStr">
        <is>
          <t>Initial</t>
        </is>
      </c>
      <c r="N388" s="34" t="inlineStr">
        <is>
          <t>Rev 0</t>
        </is>
      </c>
      <c r="O388" s="34" t="inlineStr">
        <is>
          <t>R338-v1</t>
        </is>
      </c>
      <c r="P388" s="39" t="inlineStr"/>
      <c r="Q388" s="14" t="inlineStr"/>
      <c r="R388" s="39" t="inlineStr"/>
      <c r="S388" s="39" t="inlineStr"/>
      <c r="T388" s="39" t="inlineStr"/>
      <c r="U388" s="39" t="inlineStr"/>
      <c r="V388" s="34" t="inlineStr">
        <is>
          <t>WBS Code = 1.2.1</t>
        </is>
      </c>
      <c r="W388" s="14" t="inlineStr"/>
    </row>
    <row r="389" ht="49" customHeight="1">
      <c r="A389" s="34" t="inlineStr">
        <is>
          <t>1.2.1</t>
        </is>
      </c>
      <c r="B389" s="34" t="inlineStr">
        <is>
          <t>Stations - Station Structures</t>
        </is>
      </c>
      <c r="C389" s="34" t="inlineStr">
        <is>
          <t>Contractor Programme</t>
        </is>
      </c>
      <c r="D389" s="34" t="inlineStr">
        <is>
          <t>SCH-02-160</t>
        </is>
      </c>
      <c r="E389" s="34" t="inlineStr">
        <is>
          <t>West Terminal: entrance steel erection - installation</t>
        </is>
      </c>
      <c r="F389" s="34" t="inlineStr">
        <is>
          <t>ONE_TO_ONE</t>
        </is>
      </c>
      <c r="G389" s="34" t="inlineStr">
        <is>
          <t>APPROVED</t>
        </is>
      </c>
      <c r="H389" s="34" t="inlineStr">
        <is>
          <t>New</t>
        </is>
      </c>
      <c r="I389" s="34" t="inlineStr">
        <is>
          <t>Source assignment -- not individually reviewed</t>
        </is>
      </c>
      <c r="J389" s="39" t="inlineStr"/>
      <c r="K389" s="34" t="inlineStr">
        <is>
          <t>Source assignment</t>
        </is>
      </c>
      <c r="L389" s="39" t="inlineStr"/>
      <c r="M389" s="34" t="inlineStr">
        <is>
          <t>Initial</t>
        </is>
      </c>
      <c r="N389" s="34" t="inlineStr">
        <is>
          <t>Rev 0</t>
        </is>
      </c>
      <c r="O389" s="34" t="inlineStr">
        <is>
          <t>R340-v1</t>
        </is>
      </c>
      <c r="P389" s="39" t="inlineStr"/>
      <c r="Q389" s="14" t="inlineStr"/>
      <c r="R389" s="39" t="inlineStr"/>
      <c r="S389" s="39" t="inlineStr"/>
      <c r="T389" s="39" t="inlineStr"/>
      <c r="U389" s="39" t="inlineStr"/>
      <c r="V389" s="34" t="inlineStr">
        <is>
          <t>WBS Code = 1.2.1</t>
        </is>
      </c>
      <c r="W389" s="14" t="inlineStr"/>
    </row>
    <row r="390" ht="49" customHeight="1">
      <c r="A390" s="34" t="inlineStr">
        <is>
          <t>1.2.1</t>
        </is>
      </c>
      <c r="B390" s="34" t="inlineStr">
        <is>
          <t>Stations - Station Structures</t>
        </is>
      </c>
      <c r="C390" s="34" t="inlineStr">
        <is>
          <t>Contractor Programme</t>
        </is>
      </c>
      <c r="D390" s="34" t="inlineStr">
        <is>
          <t>SCH-02-161</t>
        </is>
      </c>
      <c r="E390" s="34" t="inlineStr">
        <is>
          <t>Harbour Station: vertical-transport installation - inspection</t>
        </is>
      </c>
      <c r="F390" s="34" t="inlineStr">
        <is>
          <t>ONE_TO_ONE</t>
        </is>
      </c>
      <c r="G390" s="34" t="inlineStr">
        <is>
          <t>APPROVED</t>
        </is>
      </c>
      <c r="H390" s="34" t="inlineStr">
        <is>
          <t>New</t>
        </is>
      </c>
      <c r="I390" s="34" t="inlineStr">
        <is>
          <t>Source assignment -- not individually reviewed</t>
        </is>
      </c>
      <c r="J390" s="39" t="inlineStr"/>
      <c r="K390" s="34" t="inlineStr">
        <is>
          <t>Source assignment</t>
        </is>
      </c>
      <c r="L390" s="39" t="inlineStr"/>
      <c r="M390" s="34" t="inlineStr">
        <is>
          <t>Initial</t>
        </is>
      </c>
      <c r="N390" s="34" t="inlineStr">
        <is>
          <t>Rev 0</t>
        </is>
      </c>
      <c r="O390" s="34" t="inlineStr">
        <is>
          <t>R341-v1</t>
        </is>
      </c>
      <c r="P390" s="39" t="inlineStr"/>
      <c r="Q390" s="14" t="inlineStr"/>
      <c r="R390" s="39" t="inlineStr"/>
      <c r="S390" s="39" t="inlineStr"/>
      <c r="T390" s="39" t="inlineStr"/>
      <c r="U390" s="39" t="inlineStr"/>
      <c r="V390" s="34" t="inlineStr">
        <is>
          <t>WBS Code = 1.2.1</t>
        </is>
      </c>
      <c r="W390" s="14" t="inlineStr"/>
    </row>
    <row r="391" ht="49" customHeight="1">
      <c r="A391" s="34" t="inlineStr">
        <is>
          <t>1.2.1</t>
        </is>
      </c>
      <c r="B391" s="34" t="inlineStr">
        <is>
          <t>Stations - Station Structures</t>
        </is>
      </c>
      <c r="C391" s="34" t="inlineStr">
        <is>
          <t>Contractor Programme</t>
        </is>
      </c>
      <c r="D391" s="34" t="inlineStr">
        <is>
          <t>SCH-02-163</t>
        </is>
      </c>
      <c r="E391" s="34" t="inlineStr">
        <is>
          <t>Civic Station: architectural wall framing - release</t>
        </is>
      </c>
      <c r="F391" s="34" t="inlineStr">
        <is>
          <t>ONE_TO_ONE</t>
        </is>
      </c>
      <c r="G391" s="34" t="inlineStr">
        <is>
          <t>APPROVED</t>
        </is>
      </c>
      <c r="H391" s="34" t="inlineStr">
        <is>
          <t>New</t>
        </is>
      </c>
      <c r="I391" s="34" t="inlineStr">
        <is>
          <t>Source assignment -- not individually reviewed</t>
        </is>
      </c>
      <c r="J391" s="39" t="inlineStr"/>
      <c r="K391" s="34" t="inlineStr">
        <is>
          <t>Source assignment</t>
        </is>
      </c>
      <c r="L391" s="39" t="inlineStr"/>
      <c r="M391" s="34" t="inlineStr">
        <is>
          <t>Initial</t>
        </is>
      </c>
      <c r="N391" s="34" t="inlineStr">
        <is>
          <t>Rev 0</t>
        </is>
      </c>
      <c r="O391" s="34" t="inlineStr">
        <is>
          <t>R343-v1</t>
        </is>
      </c>
      <c r="P391" s="39" t="inlineStr"/>
      <c r="Q391" s="14" t="inlineStr"/>
      <c r="R391" s="39" t="inlineStr"/>
      <c r="S391" s="39" t="inlineStr"/>
      <c r="T391" s="39" t="inlineStr"/>
      <c r="U391" s="39" t="inlineStr"/>
      <c r="V391" s="34" t="inlineStr">
        <is>
          <t>WBS Code = 1.2.1</t>
        </is>
      </c>
      <c r="W391" s="14" t="inlineStr"/>
    </row>
    <row r="392" ht="49" customHeight="1">
      <c r="A392" s="34" t="inlineStr">
        <is>
          <t>1.2.1</t>
        </is>
      </c>
      <c r="B392" s="34" t="inlineStr">
        <is>
          <t>Stations - Station Structures</t>
        </is>
      </c>
      <c r="C392" s="34" t="inlineStr">
        <is>
          <t>Contractor Programme</t>
        </is>
      </c>
      <c r="D392" s="34" t="inlineStr">
        <is>
          <t>SCH-02-164</t>
        </is>
      </c>
      <c r="E392" s="34" t="inlineStr">
        <is>
          <t>University Station: fire-life-safety cabling - field start</t>
        </is>
      </c>
      <c r="F392" s="34" t="inlineStr">
        <is>
          <t>ONE_TO_ONE</t>
        </is>
      </c>
      <c r="G392" s="34" t="inlineStr">
        <is>
          <t>APPROVED</t>
        </is>
      </c>
      <c r="H392" s="34" t="inlineStr">
        <is>
          <t>New</t>
        </is>
      </c>
      <c r="I392" s="34" t="inlineStr">
        <is>
          <t>Source assignment -- not individually reviewed</t>
        </is>
      </c>
      <c r="J392" s="39" t="inlineStr"/>
      <c r="K392" s="34" t="inlineStr">
        <is>
          <t>Source assignment</t>
        </is>
      </c>
      <c r="L392" s="39" t="inlineStr"/>
      <c r="M392" s="34" t="inlineStr">
        <is>
          <t>Initial</t>
        </is>
      </c>
      <c r="N392" s="34" t="inlineStr">
        <is>
          <t>Rev 0</t>
        </is>
      </c>
      <c r="O392" s="34" t="inlineStr">
        <is>
          <t>R344-v1</t>
        </is>
      </c>
      <c r="P392" s="39" t="inlineStr"/>
      <c r="Q392" s="14" t="inlineStr"/>
      <c r="R392" s="39" t="inlineStr"/>
      <c r="S392" s="39" t="inlineStr"/>
      <c r="T392" s="39" t="inlineStr"/>
      <c r="U392" s="39" t="inlineStr"/>
      <c r="V392" s="34" t="inlineStr">
        <is>
          <t>WBS Code = 1.2.1</t>
        </is>
      </c>
      <c r="W392" s="14" t="inlineStr"/>
    </row>
    <row r="393" ht="49" customHeight="1">
      <c r="A393" s="34" t="inlineStr">
        <is>
          <t>1.2.1</t>
        </is>
      </c>
      <c r="B393" s="34" t="inlineStr">
        <is>
          <t>Stations - Station Structures</t>
        </is>
      </c>
      <c r="C393" s="34" t="inlineStr">
        <is>
          <t>Contractor Programme</t>
        </is>
      </c>
      <c r="D393" s="34" t="inlineStr">
        <is>
          <t>SCH-02-166</t>
        </is>
      </c>
      <c r="E393" s="34" t="inlineStr">
        <is>
          <t>Harbour Station: station ventilation rough-in - inspection</t>
        </is>
      </c>
      <c r="F393" s="34" t="inlineStr">
        <is>
          <t>ONE_TO_ONE</t>
        </is>
      </c>
      <c r="G393" s="34" t="inlineStr">
        <is>
          <t>APPROVED</t>
        </is>
      </c>
      <c r="H393" s="34" t="inlineStr">
        <is>
          <t>New</t>
        </is>
      </c>
      <c r="I393" s="34" t="inlineStr">
        <is>
          <t>Source assignment -- not individually reviewed</t>
        </is>
      </c>
      <c r="J393" s="39" t="inlineStr"/>
      <c r="K393" s="34" t="inlineStr">
        <is>
          <t>Source assignment</t>
        </is>
      </c>
      <c r="L393" s="39" t="inlineStr"/>
      <c r="M393" s="34" t="inlineStr">
        <is>
          <t>Initial</t>
        </is>
      </c>
      <c r="N393" s="34" t="inlineStr">
        <is>
          <t>Rev 0</t>
        </is>
      </c>
      <c r="O393" s="34" t="inlineStr">
        <is>
          <t>R346-v1</t>
        </is>
      </c>
      <c r="P393" s="39" t="inlineStr"/>
      <c r="Q393" s="14" t="inlineStr"/>
      <c r="R393" s="39" t="inlineStr"/>
      <c r="S393" s="39" t="inlineStr"/>
      <c r="T393" s="39" t="inlineStr"/>
      <c r="U393" s="39" t="inlineStr"/>
      <c r="V393" s="34" t="inlineStr">
        <is>
          <t>WBS Code = 1.2.1</t>
        </is>
      </c>
      <c r="W393" s="14" t="inlineStr"/>
    </row>
    <row r="394" ht="49" customHeight="1">
      <c r="A394" s="34" t="inlineStr">
        <is>
          <t>1.2.1</t>
        </is>
      </c>
      <c r="B394" s="34" t="inlineStr">
        <is>
          <t>Stations - Station Structures</t>
        </is>
      </c>
      <c r="C394" s="34" t="inlineStr">
        <is>
          <t>Contractor Programme</t>
        </is>
      </c>
      <c r="D394" s="34" t="inlineStr">
        <is>
          <t>SCH-02-167</t>
        </is>
      </c>
      <c r="E394" s="34" t="inlineStr">
        <is>
          <t>Market Station: public-realm paving - turnover</t>
        </is>
      </c>
      <c r="F394" s="34" t="inlineStr">
        <is>
          <t>ONE_TO_ONE</t>
        </is>
      </c>
      <c r="G394" s="34" t="inlineStr">
        <is>
          <t>APPROVED</t>
        </is>
      </c>
      <c r="H394" s="34" t="inlineStr">
        <is>
          <t>New</t>
        </is>
      </c>
      <c r="I394" s="34" t="inlineStr">
        <is>
          <t>Source assignment -- not individually reviewed</t>
        </is>
      </c>
      <c r="J394" s="39" t="inlineStr"/>
      <c r="K394" s="34" t="inlineStr">
        <is>
          <t>Source assignment</t>
        </is>
      </c>
      <c r="L394" s="39" t="inlineStr"/>
      <c r="M394" s="34" t="inlineStr">
        <is>
          <t>Initial</t>
        </is>
      </c>
      <c r="N394" s="34" t="inlineStr">
        <is>
          <t>Rev 0</t>
        </is>
      </c>
      <c r="O394" s="34" t="inlineStr">
        <is>
          <t>R347-v1</t>
        </is>
      </c>
      <c r="P394" s="39" t="inlineStr"/>
      <c r="Q394" s="14" t="inlineStr"/>
      <c r="R394" s="39" t="inlineStr"/>
      <c r="S394" s="39" t="inlineStr"/>
      <c r="T394" s="39" t="inlineStr"/>
      <c r="U394" s="39" t="inlineStr"/>
      <c r="V394" s="34" t="inlineStr">
        <is>
          <t>WBS Code = 1.2.1</t>
        </is>
      </c>
      <c r="W394" s="14" t="inlineStr"/>
    </row>
    <row r="395" ht="49" customHeight="1">
      <c r="A395" s="34" t="inlineStr">
        <is>
          <t>1.2.1</t>
        </is>
      </c>
      <c r="B395" s="34" t="inlineStr">
        <is>
          <t>Stations - Station Structures</t>
        </is>
      </c>
      <c r="C395" s="34" t="inlineStr">
        <is>
          <t>Contractor Programme</t>
        </is>
      </c>
      <c r="D395" s="34" t="inlineStr">
        <is>
          <t>SCH-02-169</t>
        </is>
      </c>
      <c r="E395" s="34" t="inlineStr">
        <is>
          <t>University Station: vertical-transport installation - field start</t>
        </is>
      </c>
      <c r="F395" s="34" t="inlineStr">
        <is>
          <t>ONE_TO_ONE</t>
        </is>
      </c>
      <c r="G395" s="34" t="inlineStr">
        <is>
          <t>APPROVED</t>
        </is>
      </c>
      <c r="H395" s="34" t="inlineStr">
        <is>
          <t>New</t>
        </is>
      </c>
      <c r="I395" s="34" t="inlineStr">
        <is>
          <t>Source assignment -- not individually reviewed</t>
        </is>
      </c>
      <c r="J395" s="39" t="inlineStr"/>
      <c r="K395" s="34" t="inlineStr">
        <is>
          <t>Source assignment</t>
        </is>
      </c>
      <c r="L395" s="39" t="inlineStr"/>
      <c r="M395" s="34" t="inlineStr">
        <is>
          <t>Initial</t>
        </is>
      </c>
      <c r="N395" s="34" t="inlineStr">
        <is>
          <t>Rev 0</t>
        </is>
      </c>
      <c r="O395" s="34" t="inlineStr">
        <is>
          <t>R349-v1</t>
        </is>
      </c>
      <c r="P395" s="39" t="inlineStr"/>
      <c r="Q395" s="14" t="inlineStr"/>
      <c r="R395" s="39" t="inlineStr"/>
      <c r="S395" s="39" t="inlineStr"/>
      <c r="T395" s="39" t="inlineStr"/>
      <c r="U395" s="39" t="inlineStr"/>
      <c r="V395" s="34" t="inlineStr">
        <is>
          <t>WBS Code = 1.2.1</t>
        </is>
      </c>
      <c r="W395" s="14" t="inlineStr"/>
    </row>
    <row r="396" ht="49" customHeight="1">
      <c r="A396" s="34" t="inlineStr">
        <is>
          <t>1.2.1</t>
        </is>
      </c>
      <c r="B396" s="34" t="inlineStr">
        <is>
          <t>Stations - Station Structures</t>
        </is>
      </c>
      <c r="C396" s="34" t="inlineStr">
        <is>
          <t>Contractor Programme</t>
        </is>
      </c>
      <c r="D396" s="34" t="inlineStr">
        <is>
          <t>SCH-02-170</t>
        </is>
      </c>
      <c r="E396" s="34" t="inlineStr">
        <is>
          <t>West Terminal: platform edge installation - installation</t>
        </is>
      </c>
      <c r="F396" s="34" t="inlineStr">
        <is>
          <t>ONE_TO_ONE</t>
        </is>
      </c>
      <c r="G396" s="34" t="inlineStr">
        <is>
          <t>APPROVED</t>
        </is>
      </c>
      <c r="H396" s="34" t="inlineStr">
        <is>
          <t>New</t>
        </is>
      </c>
      <c r="I396" s="34" t="inlineStr">
        <is>
          <t>Source assignment -- not individually reviewed</t>
        </is>
      </c>
      <c r="J396" s="39" t="inlineStr"/>
      <c r="K396" s="34" t="inlineStr">
        <is>
          <t>Source assignment</t>
        </is>
      </c>
      <c r="L396" s="39" t="inlineStr"/>
      <c r="M396" s="34" t="inlineStr">
        <is>
          <t>Initial</t>
        </is>
      </c>
      <c r="N396" s="34" t="inlineStr">
        <is>
          <t>Rev 0</t>
        </is>
      </c>
      <c r="O396" s="34" t="inlineStr">
        <is>
          <t>R350-v1</t>
        </is>
      </c>
      <c r="P396" s="39" t="inlineStr"/>
      <c r="Q396" s="14" t="inlineStr"/>
      <c r="R396" s="39" t="inlineStr"/>
      <c r="S396" s="39" t="inlineStr"/>
      <c r="T396" s="39" t="inlineStr"/>
      <c r="U396" s="39" t="inlineStr"/>
      <c r="V396" s="34" t="inlineStr">
        <is>
          <t>WBS Code = 1.2.1</t>
        </is>
      </c>
      <c r="W396" s="14" t="inlineStr"/>
    </row>
    <row r="397" ht="49" customHeight="1">
      <c r="A397" s="34" t="inlineStr">
        <is>
          <t>1.2.1</t>
        </is>
      </c>
      <c r="B397" s="34" t="inlineStr">
        <is>
          <t>Stations - Station Structures</t>
        </is>
      </c>
      <c r="C397" s="34" t="inlineStr">
        <is>
          <t>Contractor Programme</t>
        </is>
      </c>
      <c r="D397" s="34" t="inlineStr">
        <is>
          <t>SCH-02-172</t>
        </is>
      </c>
      <c r="E397" s="34" t="inlineStr">
        <is>
          <t>Market Station: fire-life-safety cabling - turnover</t>
        </is>
      </c>
      <c r="F397" s="34" t="inlineStr">
        <is>
          <t>ONE_TO_ONE</t>
        </is>
      </c>
      <c r="G397" s="34" t="inlineStr">
        <is>
          <t>APPROVED</t>
        </is>
      </c>
      <c r="H397" s="34" t="inlineStr">
        <is>
          <t>New</t>
        </is>
      </c>
      <c r="I397" s="34" t="inlineStr">
        <is>
          <t>Source assignment -- not individually reviewed</t>
        </is>
      </c>
      <c r="J397" s="39" t="inlineStr"/>
      <c r="K397" s="34" t="inlineStr">
        <is>
          <t>Source assignment</t>
        </is>
      </c>
      <c r="L397" s="39" t="inlineStr"/>
      <c r="M397" s="34" t="inlineStr">
        <is>
          <t>Initial</t>
        </is>
      </c>
      <c r="N397" s="34" t="inlineStr">
        <is>
          <t>Rev 0</t>
        </is>
      </c>
      <c r="O397" s="34" t="inlineStr">
        <is>
          <t>R352-v1</t>
        </is>
      </c>
      <c r="P397" s="39" t="inlineStr"/>
      <c r="Q397" s="14" t="inlineStr"/>
      <c r="R397" s="39" t="inlineStr"/>
      <c r="S397" s="39" t="inlineStr"/>
      <c r="T397" s="39" t="inlineStr"/>
      <c r="U397" s="39" t="inlineStr"/>
      <c r="V397" s="34" t="inlineStr">
        <is>
          <t>WBS Code = 1.2.1</t>
        </is>
      </c>
      <c r="W397" s="14" t="inlineStr"/>
    </row>
    <row r="398" ht="49" customHeight="1">
      <c r="A398" s="34" t="inlineStr">
        <is>
          <t>1.2.1</t>
        </is>
      </c>
      <c r="B398" s="34" t="inlineStr">
        <is>
          <t>Stations - Station Structures</t>
        </is>
      </c>
      <c r="C398" s="34" t="inlineStr">
        <is>
          <t>Contractor Programme</t>
        </is>
      </c>
      <c r="D398" s="34" t="inlineStr">
        <is>
          <t>SCH-02-173</t>
        </is>
      </c>
      <c r="E398" s="34" t="inlineStr">
        <is>
          <t>Civic Station: concourse slab pour - release</t>
        </is>
      </c>
      <c r="F398" s="34" t="inlineStr">
        <is>
          <t>ONE_TO_ONE</t>
        </is>
      </c>
      <c r="G398" s="34" t="inlineStr">
        <is>
          <t>APPROVED</t>
        </is>
      </c>
      <c r="H398" s="34" t="inlineStr">
        <is>
          <t>New</t>
        </is>
      </c>
      <c r="I398" s="34" t="inlineStr">
        <is>
          <t>Source assignment -- not individually reviewed</t>
        </is>
      </c>
      <c r="J398" s="39" t="inlineStr"/>
      <c r="K398" s="34" t="inlineStr">
        <is>
          <t>Source assignment</t>
        </is>
      </c>
      <c r="L398" s="39" t="inlineStr"/>
      <c r="M398" s="34" t="inlineStr">
        <is>
          <t>Initial</t>
        </is>
      </c>
      <c r="N398" s="34" t="inlineStr">
        <is>
          <t>Rev 0</t>
        </is>
      </c>
      <c r="O398" s="34" t="inlineStr">
        <is>
          <t>R353-v1</t>
        </is>
      </c>
      <c r="P398" s="39" t="inlineStr"/>
      <c r="Q398" s="14" t="inlineStr"/>
      <c r="R398" s="39" t="inlineStr"/>
      <c r="S398" s="39" t="inlineStr"/>
      <c r="T398" s="39" t="inlineStr"/>
      <c r="U398" s="39" t="inlineStr"/>
      <c r="V398" s="34" t="inlineStr">
        <is>
          <t>WBS Code = 1.2.1</t>
        </is>
      </c>
      <c r="W398" s="14" t="inlineStr"/>
    </row>
    <row r="399" ht="49" customHeight="1">
      <c r="A399" s="34" t="inlineStr">
        <is>
          <t>1.2.1</t>
        </is>
      </c>
      <c r="B399" s="34" t="inlineStr">
        <is>
          <t>Stations - Station Structures</t>
        </is>
      </c>
      <c r="C399" s="34" t="inlineStr">
        <is>
          <t>Contractor Programme</t>
        </is>
      </c>
      <c r="D399" s="34" t="inlineStr">
        <is>
          <t>SCH-02-175</t>
        </is>
      </c>
      <c r="E399" s="34" t="inlineStr">
        <is>
          <t>West Terminal: public-realm paving - installation</t>
        </is>
      </c>
      <c r="F399" s="34" t="inlineStr">
        <is>
          <t>ONE_TO_ONE</t>
        </is>
      </c>
      <c r="G399" s="34" t="inlineStr">
        <is>
          <t>APPROVED</t>
        </is>
      </c>
      <c r="H399" s="34" t="inlineStr">
        <is>
          <t>New</t>
        </is>
      </c>
      <c r="I399" s="34" t="inlineStr">
        <is>
          <t>Source assignment -- not individually reviewed</t>
        </is>
      </c>
      <c r="J399" s="39" t="inlineStr"/>
      <c r="K399" s="34" t="inlineStr">
        <is>
          <t>Source assignment</t>
        </is>
      </c>
      <c r="L399" s="39" t="inlineStr"/>
      <c r="M399" s="34" t="inlineStr">
        <is>
          <t>Initial</t>
        </is>
      </c>
      <c r="N399" s="34" t="inlineStr">
        <is>
          <t>Rev 0</t>
        </is>
      </c>
      <c r="O399" s="34" t="inlineStr">
        <is>
          <t>R355-v1</t>
        </is>
      </c>
      <c r="P399" s="39" t="inlineStr"/>
      <c r="Q399" s="14" t="inlineStr"/>
      <c r="R399" s="39" t="inlineStr"/>
      <c r="S399" s="39" t="inlineStr"/>
      <c r="T399" s="39" t="inlineStr"/>
      <c r="U399" s="39" t="inlineStr"/>
      <c r="V399" s="34" t="inlineStr">
        <is>
          <t>WBS Code = 1.2.1</t>
        </is>
      </c>
      <c r="W399" s="14" t="inlineStr"/>
    </row>
    <row r="400" ht="49" customHeight="1">
      <c r="A400" s="34" t="inlineStr">
        <is>
          <t>1.2.1</t>
        </is>
      </c>
      <c r="B400" s="34" t="inlineStr">
        <is>
          <t>Stations - Station Structures</t>
        </is>
      </c>
      <c r="C400" s="34" t="inlineStr">
        <is>
          <t>Contractor Programme</t>
        </is>
      </c>
      <c r="D400" s="34" t="inlineStr">
        <is>
          <t>SCH-02-176</t>
        </is>
      </c>
      <c r="E400" s="34" t="inlineStr">
        <is>
          <t>Harbour Station: entrance steel erection - inspection</t>
        </is>
      </c>
      <c r="F400" s="34" t="inlineStr">
        <is>
          <t>ONE_TO_ONE</t>
        </is>
      </c>
      <c r="G400" s="34" t="inlineStr">
        <is>
          <t>APPROVED</t>
        </is>
      </c>
      <c r="H400" s="34" t="inlineStr">
        <is>
          <t>New</t>
        </is>
      </c>
      <c r="I400" s="34" t="inlineStr">
        <is>
          <t>Source assignment -- not individually reviewed</t>
        </is>
      </c>
      <c r="J400" s="39" t="inlineStr"/>
      <c r="K400" s="34" t="inlineStr">
        <is>
          <t>Source assignment</t>
        </is>
      </c>
      <c r="L400" s="39" t="inlineStr"/>
      <c r="M400" s="34" t="inlineStr">
        <is>
          <t>Initial</t>
        </is>
      </c>
      <c r="N400" s="34" t="inlineStr">
        <is>
          <t>Rev 0</t>
        </is>
      </c>
      <c r="O400" s="34" t="inlineStr">
        <is>
          <t>R356-v1</t>
        </is>
      </c>
      <c r="P400" s="39" t="inlineStr"/>
      <c r="Q400" s="14" t="inlineStr"/>
      <c r="R400" s="39" t="inlineStr"/>
      <c r="S400" s="39" t="inlineStr"/>
      <c r="T400" s="39" t="inlineStr"/>
      <c r="U400" s="39" t="inlineStr"/>
      <c r="V400" s="34" t="inlineStr">
        <is>
          <t>WBS Code = 1.2.1</t>
        </is>
      </c>
      <c r="W400" s="14" t="inlineStr"/>
    </row>
    <row r="401" ht="49" customHeight="1">
      <c r="A401" s="34" t="inlineStr">
        <is>
          <t>1.2.1</t>
        </is>
      </c>
      <c r="B401" s="34" t="inlineStr">
        <is>
          <t>Stations - Station Structures</t>
        </is>
      </c>
      <c r="C401" s="34" t="inlineStr">
        <is>
          <t>Contractor Programme</t>
        </is>
      </c>
      <c r="D401" s="34" t="inlineStr">
        <is>
          <t>SCH-02-178</t>
        </is>
      </c>
      <c r="E401" s="34" t="inlineStr">
        <is>
          <t>Civic Station: platform edge installation - release</t>
        </is>
      </c>
      <c r="F401" s="34" t="inlineStr">
        <is>
          <t>ONE_TO_ONE</t>
        </is>
      </c>
      <c r="G401" s="34" t="inlineStr">
        <is>
          <t>APPROVED</t>
        </is>
      </c>
      <c r="H401" s="34" t="inlineStr">
        <is>
          <t>New</t>
        </is>
      </c>
      <c r="I401" s="34" t="inlineStr">
        <is>
          <t>Source assignment -- not individually reviewed</t>
        </is>
      </c>
      <c r="J401" s="39" t="inlineStr"/>
      <c r="K401" s="34" t="inlineStr">
        <is>
          <t>Source assignment</t>
        </is>
      </c>
      <c r="L401" s="39" t="inlineStr"/>
      <c r="M401" s="34" t="inlineStr">
        <is>
          <t>Initial</t>
        </is>
      </c>
      <c r="N401" s="34" t="inlineStr">
        <is>
          <t>Rev 0</t>
        </is>
      </c>
      <c r="O401" s="34" t="inlineStr">
        <is>
          <t>R358-v1</t>
        </is>
      </c>
      <c r="P401" s="39" t="inlineStr"/>
      <c r="Q401" s="14" t="inlineStr"/>
      <c r="R401" s="39" t="inlineStr"/>
      <c r="S401" s="39" t="inlineStr"/>
      <c r="T401" s="39" t="inlineStr"/>
      <c r="U401" s="39" t="inlineStr"/>
      <c r="V401" s="34" t="inlineStr">
        <is>
          <t>WBS Code = 1.2.1</t>
        </is>
      </c>
      <c r="W401" s="14" t="inlineStr"/>
    </row>
    <row r="402" ht="49" customHeight="1">
      <c r="A402" s="34" t="inlineStr">
        <is>
          <t>1.2.1</t>
        </is>
      </c>
      <c r="B402" s="34" t="inlineStr">
        <is>
          <t>Stations - Station Structures</t>
        </is>
      </c>
      <c r="C402" s="34" t="inlineStr">
        <is>
          <t>Contractor Programme</t>
        </is>
      </c>
      <c r="D402" s="34" t="inlineStr">
        <is>
          <t>SCH-02-179</t>
        </is>
      </c>
      <c r="E402" s="34" t="inlineStr">
        <is>
          <t>University Station: architectural wall framing - field start</t>
        </is>
      </c>
      <c r="F402" s="34" t="inlineStr">
        <is>
          <t>ONE_TO_ONE</t>
        </is>
      </c>
      <c r="G402" s="34" t="inlineStr">
        <is>
          <t>APPROVED</t>
        </is>
      </c>
      <c r="H402" s="34" t="inlineStr">
        <is>
          <t>New</t>
        </is>
      </c>
      <c r="I402" s="34" t="inlineStr">
        <is>
          <t>Source assignment -- not individually reviewed</t>
        </is>
      </c>
      <c r="J402" s="39" t="inlineStr"/>
      <c r="K402" s="34" t="inlineStr">
        <is>
          <t>Source assignment</t>
        </is>
      </c>
      <c r="L402" s="39" t="inlineStr"/>
      <c r="M402" s="34" t="inlineStr">
        <is>
          <t>Initial</t>
        </is>
      </c>
      <c r="N402" s="34" t="inlineStr">
        <is>
          <t>Rev 0</t>
        </is>
      </c>
      <c r="O402" s="34" t="inlineStr">
        <is>
          <t>R359-v1</t>
        </is>
      </c>
      <c r="P402" s="39" t="inlineStr"/>
      <c r="Q402" s="14" t="inlineStr"/>
      <c r="R402" s="39" t="inlineStr"/>
      <c r="S402" s="39" t="inlineStr"/>
      <c r="T402" s="39" t="inlineStr"/>
      <c r="U402" s="39" t="inlineStr"/>
      <c r="V402" s="34" t="inlineStr">
        <is>
          <t>WBS Code = 1.2.1</t>
        </is>
      </c>
      <c r="W402" s="14" t="inlineStr"/>
    </row>
    <row r="403" ht="49" customHeight="1">
      <c r="A403" s="34" t="inlineStr">
        <is>
          <t>1.2.1</t>
        </is>
      </c>
      <c r="B403" s="34" t="inlineStr">
        <is>
          <t>Stations - Station Structures</t>
        </is>
      </c>
      <c r="C403" s="34" t="inlineStr">
        <is>
          <t>Cost &amp; Forecast Control Accounts</t>
        </is>
      </c>
      <c r="D403" s="34" t="inlineStr">
        <is>
          <t>CST-02-001</t>
        </is>
      </c>
      <c r="E403" s="34" t="inlineStr">
        <is>
          <t>Stations - public realm - allowance</t>
        </is>
      </c>
      <c r="F403" s="34" t="inlineStr">
        <is>
          <t>ONE_TO_ONE</t>
        </is>
      </c>
      <c r="G403" s="34" t="inlineStr">
        <is>
          <t>APPROVED</t>
        </is>
      </c>
      <c r="H403" s="34" t="inlineStr">
        <is>
          <t>New</t>
        </is>
      </c>
      <c r="I403" s="34" t="inlineStr">
        <is>
          <t>Source assignment -- not individually reviewed</t>
        </is>
      </c>
      <c r="J403" s="39" t="inlineStr"/>
      <c r="K403" s="34" t="inlineStr">
        <is>
          <t>Source assignment</t>
        </is>
      </c>
      <c r="L403" s="39" t="inlineStr"/>
      <c r="M403" s="34" t="inlineStr">
        <is>
          <t>Initial</t>
        </is>
      </c>
      <c r="N403" s="34" t="inlineStr">
        <is>
          <t>Rev 0</t>
        </is>
      </c>
      <c r="O403" s="34" t="inlineStr">
        <is>
          <t>R1163-v1</t>
        </is>
      </c>
      <c r="P403" s="39" t="inlineStr"/>
      <c r="Q403" s="14" t="inlineStr"/>
      <c r="R403" s="39" t="inlineStr"/>
      <c r="S403" s="39" t="inlineStr"/>
      <c r="T403" s="39" t="inlineStr"/>
      <c r="U403" s="39" t="inlineStr"/>
      <c r="V403" s="34" t="inlineStr">
        <is>
          <t>Cost Account = CA-2001; WBS Code = 1.2.1</t>
        </is>
      </c>
      <c r="W403" s="14" t="inlineStr"/>
    </row>
    <row r="404" ht="49" customHeight="1">
      <c r="A404" s="34" t="inlineStr">
        <is>
          <t>1.2.1</t>
        </is>
      </c>
      <c r="B404" s="34" t="inlineStr">
        <is>
          <t>Stations - Station Structures</t>
        </is>
      </c>
      <c r="C404" s="34" t="inlineStr">
        <is>
          <t>Cost &amp; Forecast Control Accounts</t>
        </is>
      </c>
      <c r="D404" s="34" t="inlineStr">
        <is>
          <t>CST-02-003</t>
        </is>
      </c>
      <c r="E404" s="34" t="inlineStr">
        <is>
          <t>Stations - building services - field package</t>
        </is>
      </c>
      <c r="F404" s="34" t="inlineStr">
        <is>
          <t>ONE_TO_ONE</t>
        </is>
      </c>
      <c r="G404" s="34" t="inlineStr">
        <is>
          <t>APPROVED</t>
        </is>
      </c>
      <c r="H404" s="34" t="inlineStr">
        <is>
          <t>New</t>
        </is>
      </c>
      <c r="I404" s="34" t="inlineStr">
        <is>
          <t>Source assignment -- not individually reviewed</t>
        </is>
      </c>
      <c r="J404" s="39" t="inlineStr"/>
      <c r="K404" s="34" t="inlineStr">
        <is>
          <t>Source assignment</t>
        </is>
      </c>
      <c r="L404" s="39" t="inlineStr"/>
      <c r="M404" s="34" t="inlineStr">
        <is>
          <t>Initial</t>
        </is>
      </c>
      <c r="N404" s="34" t="inlineStr">
        <is>
          <t>Rev 0</t>
        </is>
      </c>
      <c r="O404" s="34" t="inlineStr">
        <is>
          <t>R1165-v1</t>
        </is>
      </c>
      <c r="P404" s="39" t="inlineStr"/>
      <c r="Q404" s="14" t="inlineStr"/>
      <c r="R404" s="39" t="inlineStr"/>
      <c r="S404" s="39" t="inlineStr"/>
      <c r="T404" s="39" t="inlineStr"/>
      <c r="U404" s="39" t="inlineStr"/>
      <c r="V404" s="34" t="inlineStr">
        <is>
          <t>Cost Account = CA-2003; WBS Code = 1.2.1</t>
        </is>
      </c>
      <c r="W404" s="14" t="inlineStr"/>
    </row>
    <row r="405" ht="49" customHeight="1">
      <c r="A405" s="34" t="inlineStr">
        <is>
          <t>1.2.1</t>
        </is>
      </c>
      <c r="B405" s="34" t="inlineStr">
        <is>
          <t>Stations - Station Structures</t>
        </is>
      </c>
      <c r="C405" s="34" t="inlineStr">
        <is>
          <t>Cost &amp; Forecast Control Accounts</t>
        </is>
      </c>
      <c r="D405" s="34" t="inlineStr">
        <is>
          <t>CST-02-005</t>
        </is>
      </c>
      <c r="E405" s="34" t="inlineStr">
        <is>
          <t>Stations - station structure - professional services</t>
        </is>
      </c>
      <c r="F405" s="34" t="inlineStr">
        <is>
          <t>ONE_TO_ONE</t>
        </is>
      </c>
      <c r="G405" s="34" t="inlineStr">
        <is>
          <t>APPROVED</t>
        </is>
      </c>
      <c r="H405" s="34" t="inlineStr">
        <is>
          <t>New</t>
        </is>
      </c>
      <c r="I405" s="34" t="inlineStr">
        <is>
          <t>Source assignment -- not individually reviewed</t>
        </is>
      </c>
      <c r="J405" s="39" t="inlineStr"/>
      <c r="K405" s="34" t="inlineStr">
        <is>
          <t>Source assignment</t>
        </is>
      </c>
      <c r="L405" s="39" t="inlineStr"/>
      <c r="M405" s="34" t="inlineStr">
        <is>
          <t>Initial</t>
        </is>
      </c>
      <c r="N405" s="34" t="inlineStr">
        <is>
          <t>Rev 0</t>
        </is>
      </c>
      <c r="O405" s="34" t="inlineStr">
        <is>
          <t>R1167-v1</t>
        </is>
      </c>
      <c r="P405" s="39" t="inlineStr"/>
      <c r="Q405" s="14" t="inlineStr"/>
      <c r="R405" s="39" t="inlineStr"/>
      <c r="S405" s="39" t="inlineStr"/>
      <c r="T405" s="39" t="inlineStr"/>
      <c r="U405" s="39" t="inlineStr"/>
      <c r="V405" s="34" t="inlineStr">
        <is>
          <t>Cost Account = CA-2005; WBS Code = 1.2.1</t>
        </is>
      </c>
      <c r="W405" s="14" t="inlineStr"/>
    </row>
    <row r="406" ht="49" customHeight="1">
      <c r="A406" s="34" t="inlineStr">
        <is>
          <t>1.2.1</t>
        </is>
      </c>
      <c r="B406" s="34" t="inlineStr">
        <is>
          <t>Stations - Station Structures</t>
        </is>
      </c>
      <c r="C406" s="34" t="inlineStr">
        <is>
          <t>Cost &amp; Forecast Control Accounts</t>
        </is>
      </c>
      <c r="D406" s="34" t="inlineStr">
        <is>
          <t>CST-02-007</t>
        </is>
      </c>
      <c r="E406" s="34" t="inlineStr">
        <is>
          <t>Stations - public realm - closeout</t>
        </is>
      </c>
      <c r="F406" s="34" t="inlineStr">
        <is>
          <t>ONE_TO_ONE</t>
        </is>
      </c>
      <c r="G406" s="34" t="inlineStr">
        <is>
          <t>APPROVED</t>
        </is>
      </c>
      <c r="H406" s="34" t="inlineStr">
        <is>
          <t>New</t>
        </is>
      </c>
      <c r="I406" s="34" t="inlineStr">
        <is>
          <t>Source assignment -- not individually reviewed</t>
        </is>
      </c>
      <c r="J406" s="39" t="inlineStr"/>
      <c r="K406" s="34" t="inlineStr">
        <is>
          <t>Source assignment</t>
        </is>
      </c>
      <c r="L406" s="39" t="inlineStr"/>
      <c r="M406" s="34" t="inlineStr">
        <is>
          <t>Initial</t>
        </is>
      </c>
      <c r="N406" s="34" t="inlineStr">
        <is>
          <t>Rev 0</t>
        </is>
      </c>
      <c r="O406" s="34" t="inlineStr">
        <is>
          <t>R1169-v1</t>
        </is>
      </c>
      <c r="P406" s="39" t="inlineStr"/>
      <c r="Q406" s="14" t="inlineStr"/>
      <c r="R406" s="39" t="inlineStr"/>
      <c r="S406" s="39" t="inlineStr"/>
      <c r="T406" s="39" t="inlineStr"/>
      <c r="U406" s="39" t="inlineStr"/>
      <c r="V406" s="34" t="inlineStr">
        <is>
          <t>Cost Account = CA-2007; WBS Code = 1.2.1</t>
        </is>
      </c>
      <c r="W406" s="14" t="inlineStr"/>
    </row>
    <row r="407" ht="49" customHeight="1">
      <c r="A407" s="34" t="inlineStr">
        <is>
          <t>1.2.1</t>
        </is>
      </c>
      <c r="B407" s="34" t="inlineStr">
        <is>
          <t>Stations - Station Structures</t>
        </is>
      </c>
      <c r="C407" s="34" t="inlineStr">
        <is>
          <t>Cost &amp; Forecast Control Accounts</t>
        </is>
      </c>
      <c r="D407" s="34" t="inlineStr">
        <is>
          <t>CST-02-009</t>
        </is>
      </c>
      <c r="E407" s="34" t="inlineStr">
        <is>
          <t>Stations - building services - supply and install</t>
        </is>
      </c>
      <c r="F407" s="34" t="inlineStr">
        <is>
          <t>ONE_TO_ONE</t>
        </is>
      </c>
      <c r="G407" s="34" t="inlineStr">
        <is>
          <t>APPROVED</t>
        </is>
      </c>
      <c r="H407" s="34" t="inlineStr">
        <is>
          <t>New</t>
        </is>
      </c>
      <c r="I407" s="34" t="inlineStr">
        <is>
          <t>Source assignment -- not individually reviewed</t>
        </is>
      </c>
      <c r="J407" s="39" t="inlineStr"/>
      <c r="K407" s="34" t="inlineStr">
        <is>
          <t>Source assignment</t>
        </is>
      </c>
      <c r="L407" s="39" t="inlineStr"/>
      <c r="M407" s="34" t="inlineStr">
        <is>
          <t>Initial</t>
        </is>
      </c>
      <c r="N407" s="34" t="inlineStr">
        <is>
          <t>Rev 0</t>
        </is>
      </c>
      <c r="O407" s="34" t="inlineStr">
        <is>
          <t>R1171-v1</t>
        </is>
      </c>
      <c r="P407" s="39" t="inlineStr"/>
      <c r="Q407" s="14" t="inlineStr"/>
      <c r="R407" s="39" t="inlineStr"/>
      <c r="S407" s="39" t="inlineStr"/>
      <c r="T407" s="39" t="inlineStr"/>
      <c r="U407" s="39" t="inlineStr"/>
      <c r="V407" s="34" t="inlineStr">
        <is>
          <t>Cost Account = CA-2009; WBS Code = 1.2.1</t>
        </is>
      </c>
      <c r="W407" s="14" t="inlineStr"/>
    </row>
    <row r="408" ht="49" customHeight="1">
      <c r="A408" s="34" t="inlineStr">
        <is>
          <t>1.2.1</t>
        </is>
      </c>
      <c r="B408" s="34" t="inlineStr">
        <is>
          <t>Stations - Station Structures</t>
        </is>
      </c>
      <c r="C408" s="34" t="inlineStr">
        <is>
          <t>Cost &amp; Forecast Control Accounts</t>
        </is>
      </c>
      <c r="D408" s="34" t="inlineStr">
        <is>
          <t>CST-02-011</t>
        </is>
      </c>
      <c r="E408" s="34" t="inlineStr">
        <is>
          <t>Stations - station structure - allowance</t>
        </is>
      </c>
      <c r="F408" s="34" t="inlineStr">
        <is>
          <t>ONE_TO_ONE</t>
        </is>
      </c>
      <c r="G408" s="34" t="inlineStr">
        <is>
          <t>APPROVED</t>
        </is>
      </c>
      <c r="H408" s="34" t="inlineStr">
        <is>
          <t>New</t>
        </is>
      </c>
      <c r="I408" s="34" t="inlineStr">
        <is>
          <t>Source assignment -- not individually reviewed</t>
        </is>
      </c>
      <c r="J408" s="39" t="inlineStr"/>
      <c r="K408" s="34" t="inlineStr">
        <is>
          <t>Source assignment</t>
        </is>
      </c>
      <c r="L408" s="39" t="inlineStr"/>
      <c r="M408" s="34" t="inlineStr">
        <is>
          <t>Initial</t>
        </is>
      </c>
      <c r="N408" s="34" t="inlineStr">
        <is>
          <t>Rev 0</t>
        </is>
      </c>
      <c r="O408" s="34" t="inlineStr">
        <is>
          <t>R1173-v1</t>
        </is>
      </c>
      <c r="P408" s="39" t="inlineStr"/>
      <c r="Q408" s="14" t="inlineStr"/>
      <c r="R408" s="39" t="inlineStr"/>
      <c r="S408" s="39" t="inlineStr"/>
      <c r="T408" s="39" t="inlineStr"/>
      <c r="U408" s="39" t="inlineStr"/>
      <c r="V408" s="34" t="inlineStr">
        <is>
          <t>Cost Account = CA-2011; WBS Code = 1.2.1</t>
        </is>
      </c>
      <c r="W408" s="14" t="inlineStr"/>
    </row>
    <row r="409" ht="49" customHeight="1">
      <c r="A409" s="34" t="inlineStr">
        <is>
          <t>1.2.1</t>
        </is>
      </c>
      <c r="B409" s="34" t="inlineStr">
        <is>
          <t>Stations - Station Structures</t>
        </is>
      </c>
      <c r="C409" s="34" t="inlineStr">
        <is>
          <t>Cost &amp; Forecast Control Accounts</t>
        </is>
      </c>
      <c r="D409" s="34" t="inlineStr">
        <is>
          <t>CST-02-013</t>
        </is>
      </c>
      <c r="E409" s="34" t="inlineStr">
        <is>
          <t>Stations - public realm - field package</t>
        </is>
      </c>
      <c r="F409" s="34" t="inlineStr">
        <is>
          <t>ONE_TO_ONE</t>
        </is>
      </c>
      <c r="G409" s="34" t="inlineStr">
        <is>
          <t>APPROVED</t>
        </is>
      </c>
      <c r="H409" s="34" t="inlineStr">
        <is>
          <t>New</t>
        </is>
      </c>
      <c r="I409" s="34" t="inlineStr">
        <is>
          <t>Source assignment -- not individually reviewed</t>
        </is>
      </c>
      <c r="J409" s="39" t="inlineStr"/>
      <c r="K409" s="34" t="inlineStr">
        <is>
          <t>Source assignment</t>
        </is>
      </c>
      <c r="L409" s="39" t="inlineStr"/>
      <c r="M409" s="34" t="inlineStr">
        <is>
          <t>Initial</t>
        </is>
      </c>
      <c r="N409" s="34" t="inlineStr">
        <is>
          <t>Rev 0</t>
        </is>
      </c>
      <c r="O409" s="34" t="inlineStr">
        <is>
          <t>R1175-v1</t>
        </is>
      </c>
      <c r="P409" s="39" t="inlineStr"/>
      <c r="Q409" s="14" t="inlineStr"/>
      <c r="R409" s="39" t="inlineStr"/>
      <c r="S409" s="39" t="inlineStr"/>
      <c r="T409" s="39" t="inlineStr"/>
      <c r="U409" s="39" t="inlineStr"/>
      <c r="V409" s="34" t="inlineStr">
        <is>
          <t>Cost Account = CA-2013; WBS Code = 1.2.1</t>
        </is>
      </c>
      <c r="W409" s="14" t="inlineStr"/>
    </row>
    <row r="410" ht="49" customHeight="1">
      <c r="A410" s="34" t="inlineStr">
        <is>
          <t>1.2.1</t>
        </is>
      </c>
      <c r="B410" s="34" t="inlineStr">
        <is>
          <t>Stations - Station Structures</t>
        </is>
      </c>
      <c r="C410" s="34" t="inlineStr">
        <is>
          <t>Cost &amp; Forecast Control Accounts</t>
        </is>
      </c>
      <c r="D410" s="34" t="inlineStr">
        <is>
          <t>CST-02-015</t>
        </is>
      </c>
      <c r="E410" s="34" t="inlineStr">
        <is>
          <t>Stations - building services - professional services</t>
        </is>
      </c>
      <c r="F410" s="34" t="inlineStr">
        <is>
          <t>ONE_TO_ONE</t>
        </is>
      </c>
      <c r="G410" s="34" t="inlineStr">
        <is>
          <t>APPROVED</t>
        </is>
      </c>
      <c r="H410" s="34" t="inlineStr">
        <is>
          <t>New</t>
        </is>
      </c>
      <c r="I410" s="34" t="inlineStr">
        <is>
          <t>Source assignment -- not individually reviewed</t>
        </is>
      </c>
      <c r="J410" s="39" t="inlineStr"/>
      <c r="K410" s="34" t="inlineStr">
        <is>
          <t>Source assignment</t>
        </is>
      </c>
      <c r="L410" s="39" t="inlineStr"/>
      <c r="M410" s="34" t="inlineStr">
        <is>
          <t>Initial</t>
        </is>
      </c>
      <c r="N410" s="34" t="inlineStr">
        <is>
          <t>Rev 0</t>
        </is>
      </c>
      <c r="O410" s="34" t="inlineStr">
        <is>
          <t>R1177-v1</t>
        </is>
      </c>
      <c r="P410" s="39" t="inlineStr"/>
      <c r="Q410" s="14" t="inlineStr"/>
      <c r="R410" s="39" t="inlineStr"/>
      <c r="S410" s="39" t="inlineStr"/>
      <c r="T410" s="39" t="inlineStr"/>
      <c r="U410" s="39" t="inlineStr"/>
      <c r="V410" s="34" t="inlineStr">
        <is>
          <t>Cost Account = CA-2015; WBS Code = 1.2.1</t>
        </is>
      </c>
      <c r="W410" s="14" t="inlineStr"/>
    </row>
    <row r="411" ht="49" customHeight="1">
      <c r="A411" s="34" t="inlineStr">
        <is>
          <t>1.2.1</t>
        </is>
      </c>
      <c r="B411" s="34" t="inlineStr">
        <is>
          <t>Stations - Station Structures</t>
        </is>
      </c>
      <c r="C411" s="34" t="inlineStr">
        <is>
          <t>Cost &amp; Forecast Control Accounts</t>
        </is>
      </c>
      <c r="D411" s="34" t="inlineStr">
        <is>
          <t>CST-02-017</t>
        </is>
      </c>
      <c r="E411" s="34" t="inlineStr">
        <is>
          <t>Stations - station structure - closeout</t>
        </is>
      </c>
      <c r="F411" s="34" t="inlineStr">
        <is>
          <t>ONE_TO_ONE</t>
        </is>
      </c>
      <c r="G411" s="34" t="inlineStr">
        <is>
          <t>APPROVED</t>
        </is>
      </c>
      <c r="H411" s="34" t="inlineStr">
        <is>
          <t>New</t>
        </is>
      </c>
      <c r="I411" s="34" t="inlineStr">
        <is>
          <t>Source assignment -- not individually reviewed</t>
        </is>
      </c>
      <c r="J411" s="39" t="inlineStr"/>
      <c r="K411" s="34" t="inlineStr">
        <is>
          <t>Source assignment</t>
        </is>
      </c>
      <c r="L411" s="39" t="inlineStr"/>
      <c r="M411" s="34" t="inlineStr">
        <is>
          <t>Initial</t>
        </is>
      </c>
      <c r="N411" s="34" t="inlineStr">
        <is>
          <t>Rev 0</t>
        </is>
      </c>
      <c r="O411" s="34" t="inlineStr">
        <is>
          <t>R1179-v1</t>
        </is>
      </c>
      <c r="P411" s="39" t="inlineStr"/>
      <c r="Q411" s="14" t="inlineStr"/>
      <c r="R411" s="39" t="inlineStr"/>
      <c r="S411" s="39" t="inlineStr"/>
      <c r="T411" s="39" t="inlineStr"/>
      <c r="U411" s="39" t="inlineStr"/>
      <c r="V411" s="34" t="inlineStr">
        <is>
          <t>Cost Account = CA-2017; WBS Code = 1.2.1</t>
        </is>
      </c>
      <c r="W411" s="14" t="inlineStr"/>
    </row>
    <row r="412" ht="49" customHeight="1">
      <c r="A412" s="34" t="inlineStr">
        <is>
          <t>1.2.1</t>
        </is>
      </c>
      <c r="B412" s="34" t="inlineStr">
        <is>
          <t>Stations - Station Structures</t>
        </is>
      </c>
      <c r="C412" s="34" t="inlineStr">
        <is>
          <t>Cost &amp; Forecast Control Accounts</t>
        </is>
      </c>
      <c r="D412" s="34" t="inlineStr">
        <is>
          <t>CST-02-019</t>
        </is>
      </c>
      <c r="E412" s="34" t="inlineStr">
        <is>
          <t>Stations - public realm - supply and install</t>
        </is>
      </c>
      <c r="F412" s="34" t="inlineStr">
        <is>
          <t>ONE_TO_ONE</t>
        </is>
      </c>
      <c r="G412" s="34" t="inlineStr">
        <is>
          <t>APPROVED</t>
        </is>
      </c>
      <c r="H412" s="34" t="inlineStr">
        <is>
          <t>New</t>
        </is>
      </c>
      <c r="I412" s="34" t="inlineStr">
        <is>
          <t>Source assignment -- not individually reviewed</t>
        </is>
      </c>
      <c r="J412" s="39" t="inlineStr"/>
      <c r="K412" s="34" t="inlineStr">
        <is>
          <t>Source assignment</t>
        </is>
      </c>
      <c r="L412" s="39" t="inlineStr"/>
      <c r="M412" s="34" t="inlineStr">
        <is>
          <t>Initial</t>
        </is>
      </c>
      <c r="N412" s="34" t="inlineStr">
        <is>
          <t>Rev 0</t>
        </is>
      </c>
      <c r="O412" s="34" t="inlineStr">
        <is>
          <t>R1181-v1</t>
        </is>
      </c>
      <c r="P412" s="39" t="inlineStr"/>
      <c r="Q412" s="14" t="inlineStr"/>
      <c r="R412" s="39" t="inlineStr"/>
      <c r="S412" s="39" t="inlineStr"/>
      <c r="T412" s="39" t="inlineStr"/>
      <c r="U412" s="39" t="inlineStr"/>
      <c r="V412" s="34" t="inlineStr">
        <is>
          <t>Cost Account = CA-2019; WBS Code = 1.2.1</t>
        </is>
      </c>
      <c r="W412" s="14" t="inlineStr"/>
    </row>
    <row r="413" ht="49" customHeight="1">
      <c r="A413" s="34" t="inlineStr">
        <is>
          <t>1.2.1</t>
        </is>
      </c>
      <c r="B413" s="34" t="inlineStr">
        <is>
          <t>Stations - Station Structures</t>
        </is>
      </c>
      <c r="C413" s="34" t="inlineStr">
        <is>
          <t>Cost &amp; Forecast Control Accounts</t>
        </is>
      </c>
      <c r="D413" s="34" t="inlineStr">
        <is>
          <t>CST-02-021</t>
        </is>
      </c>
      <c r="E413" s="34" t="inlineStr">
        <is>
          <t>Stations - building services - allowance</t>
        </is>
      </c>
      <c r="F413" s="34" t="inlineStr">
        <is>
          <t>ONE_TO_ONE</t>
        </is>
      </c>
      <c r="G413" s="34" t="inlineStr">
        <is>
          <t>APPROVED</t>
        </is>
      </c>
      <c r="H413" s="34" t="inlineStr">
        <is>
          <t>New</t>
        </is>
      </c>
      <c r="I413" s="34" t="inlineStr">
        <is>
          <t>Source assignment -- not individually reviewed</t>
        </is>
      </c>
      <c r="J413" s="39" t="inlineStr"/>
      <c r="K413" s="34" t="inlineStr">
        <is>
          <t>Source assignment</t>
        </is>
      </c>
      <c r="L413" s="39" t="inlineStr"/>
      <c r="M413" s="34" t="inlineStr">
        <is>
          <t>Initial</t>
        </is>
      </c>
      <c r="N413" s="34" t="inlineStr">
        <is>
          <t>Rev 0</t>
        </is>
      </c>
      <c r="O413" s="34" t="inlineStr">
        <is>
          <t>R1183-v1</t>
        </is>
      </c>
      <c r="P413" s="39" t="inlineStr"/>
      <c r="Q413" s="14" t="inlineStr"/>
      <c r="R413" s="39" t="inlineStr"/>
      <c r="S413" s="39" t="inlineStr"/>
      <c r="T413" s="39" t="inlineStr"/>
      <c r="U413" s="39" t="inlineStr"/>
      <c r="V413" s="34" t="inlineStr">
        <is>
          <t>Cost Account = CA-2021; WBS Code = 1.2.1</t>
        </is>
      </c>
      <c r="W413" s="14" t="inlineStr"/>
    </row>
    <row r="414" ht="49" customHeight="1">
      <c r="A414" s="34" t="inlineStr">
        <is>
          <t>1.2.1</t>
        </is>
      </c>
      <c r="B414" s="34" t="inlineStr">
        <is>
          <t>Stations - Station Structures</t>
        </is>
      </c>
      <c r="C414" s="34" t="inlineStr">
        <is>
          <t>Cost &amp; Forecast Control Accounts</t>
        </is>
      </c>
      <c r="D414" s="34" t="inlineStr">
        <is>
          <t>CST-02-023</t>
        </is>
      </c>
      <c r="E414" s="34" t="inlineStr">
        <is>
          <t>Stations - station structure - field package</t>
        </is>
      </c>
      <c r="F414" s="34" t="inlineStr">
        <is>
          <t>ONE_TO_ONE</t>
        </is>
      </c>
      <c r="G414" s="34" t="inlineStr">
        <is>
          <t>APPROVED</t>
        </is>
      </c>
      <c r="H414" s="34" t="inlineStr">
        <is>
          <t>New</t>
        </is>
      </c>
      <c r="I414" s="34" t="inlineStr">
        <is>
          <t>Source assignment -- not individually reviewed</t>
        </is>
      </c>
      <c r="J414" s="39" t="inlineStr"/>
      <c r="K414" s="34" t="inlineStr">
        <is>
          <t>Source assignment</t>
        </is>
      </c>
      <c r="L414" s="39" t="inlineStr"/>
      <c r="M414" s="34" t="inlineStr">
        <is>
          <t>Initial</t>
        </is>
      </c>
      <c r="N414" s="34" t="inlineStr">
        <is>
          <t>Rev 0</t>
        </is>
      </c>
      <c r="O414" s="34" t="inlineStr">
        <is>
          <t>R1185-v1</t>
        </is>
      </c>
      <c r="P414" s="39" t="inlineStr"/>
      <c r="Q414" s="14" t="inlineStr"/>
      <c r="R414" s="39" t="inlineStr"/>
      <c r="S414" s="39" t="inlineStr"/>
      <c r="T414" s="39" t="inlineStr"/>
      <c r="U414" s="39" t="inlineStr"/>
      <c r="V414" s="34" t="inlineStr">
        <is>
          <t>Cost Account = CA-2023; WBS Code = 1.2.1</t>
        </is>
      </c>
      <c r="W414" s="14" t="inlineStr"/>
    </row>
    <row r="415" ht="49" customHeight="1">
      <c r="A415" s="34" t="inlineStr">
        <is>
          <t>1.2.1</t>
        </is>
      </c>
      <c r="B415" s="34" t="inlineStr">
        <is>
          <t>Stations - Station Structures</t>
        </is>
      </c>
      <c r="C415" s="34" t="inlineStr">
        <is>
          <t>Cost &amp; Forecast Control Accounts</t>
        </is>
      </c>
      <c r="D415" s="34" t="inlineStr">
        <is>
          <t>CST-02-025</t>
        </is>
      </c>
      <c r="E415" s="34" t="inlineStr">
        <is>
          <t>Stations - public realm - professional services</t>
        </is>
      </c>
      <c r="F415" s="34" t="inlineStr">
        <is>
          <t>ONE_TO_ONE</t>
        </is>
      </c>
      <c r="G415" s="34" t="inlineStr">
        <is>
          <t>APPROVED</t>
        </is>
      </c>
      <c r="H415" s="34" t="inlineStr">
        <is>
          <t>New</t>
        </is>
      </c>
      <c r="I415" s="34" t="inlineStr">
        <is>
          <t>Source assignment -- not individually reviewed</t>
        </is>
      </c>
      <c r="J415" s="39" t="inlineStr"/>
      <c r="K415" s="34" t="inlineStr">
        <is>
          <t>Source assignment</t>
        </is>
      </c>
      <c r="L415" s="39" t="inlineStr"/>
      <c r="M415" s="34" t="inlineStr">
        <is>
          <t>Initial</t>
        </is>
      </c>
      <c r="N415" s="34" t="inlineStr">
        <is>
          <t>Rev 0</t>
        </is>
      </c>
      <c r="O415" s="34" t="inlineStr">
        <is>
          <t>R1187-v1</t>
        </is>
      </c>
      <c r="P415" s="39" t="inlineStr"/>
      <c r="Q415" s="14" t="inlineStr"/>
      <c r="R415" s="39" t="inlineStr"/>
      <c r="S415" s="39" t="inlineStr"/>
      <c r="T415" s="39" t="inlineStr"/>
      <c r="U415" s="39" t="inlineStr"/>
      <c r="V415" s="34" t="inlineStr">
        <is>
          <t>Cost Account = CA-2025; WBS Code = 1.2.1</t>
        </is>
      </c>
      <c r="W415" s="14" t="inlineStr"/>
    </row>
    <row r="416" ht="49" customHeight="1">
      <c r="A416" s="34" t="inlineStr">
        <is>
          <t>1.2.1</t>
        </is>
      </c>
      <c r="B416" s="34" t="inlineStr">
        <is>
          <t>Stations - Station Structures</t>
        </is>
      </c>
      <c r="C416" s="34" t="inlineStr">
        <is>
          <t>Cost &amp; Forecast Control Accounts</t>
        </is>
      </c>
      <c r="D416" s="34" t="inlineStr">
        <is>
          <t>CST-02-027</t>
        </is>
      </c>
      <c r="E416" s="34" t="inlineStr">
        <is>
          <t>Stations - building services - closeout</t>
        </is>
      </c>
      <c r="F416" s="34" t="inlineStr">
        <is>
          <t>ONE_TO_ONE</t>
        </is>
      </c>
      <c r="G416" s="34" t="inlineStr">
        <is>
          <t>APPROVED</t>
        </is>
      </c>
      <c r="H416" s="34" t="inlineStr">
        <is>
          <t>New</t>
        </is>
      </c>
      <c r="I416" s="34" t="inlineStr">
        <is>
          <t>Source assignment -- not individually reviewed</t>
        </is>
      </c>
      <c r="J416" s="39" t="inlineStr"/>
      <c r="K416" s="34" t="inlineStr">
        <is>
          <t>Source assignment</t>
        </is>
      </c>
      <c r="L416" s="39" t="inlineStr"/>
      <c r="M416" s="34" t="inlineStr">
        <is>
          <t>Initial</t>
        </is>
      </c>
      <c r="N416" s="34" t="inlineStr">
        <is>
          <t>Rev 0</t>
        </is>
      </c>
      <c r="O416" s="34" t="inlineStr">
        <is>
          <t>R1189-v1</t>
        </is>
      </c>
      <c r="P416" s="39" t="inlineStr"/>
      <c r="Q416" s="14" t="inlineStr"/>
      <c r="R416" s="39" t="inlineStr"/>
      <c r="S416" s="39" t="inlineStr"/>
      <c r="T416" s="39" t="inlineStr"/>
      <c r="U416" s="39" t="inlineStr"/>
      <c r="V416" s="34" t="inlineStr">
        <is>
          <t>Cost Account = CA-2027; WBS Code = 1.2.1</t>
        </is>
      </c>
      <c r="W416" s="14" t="inlineStr"/>
    </row>
    <row r="417" ht="49" customHeight="1">
      <c r="A417" s="34" t="inlineStr">
        <is>
          <t>1.2.1</t>
        </is>
      </c>
      <c r="B417" s="34" t="inlineStr">
        <is>
          <t>Stations - Station Structures</t>
        </is>
      </c>
      <c r="C417" s="34" t="inlineStr">
        <is>
          <t>Cost &amp; Forecast Control Accounts</t>
        </is>
      </c>
      <c r="D417" s="34" t="inlineStr">
        <is>
          <t>CST-02-029</t>
        </is>
      </c>
      <c r="E417" s="34" t="inlineStr">
        <is>
          <t>Stations - station structure - supply and install</t>
        </is>
      </c>
      <c r="F417" s="34" t="inlineStr">
        <is>
          <t>ONE_TO_ONE</t>
        </is>
      </c>
      <c r="G417" s="34" t="inlineStr">
        <is>
          <t>APPROVED</t>
        </is>
      </c>
      <c r="H417" s="34" t="inlineStr">
        <is>
          <t>New</t>
        </is>
      </c>
      <c r="I417" s="34" t="inlineStr">
        <is>
          <t>Source assignment -- not individually reviewed</t>
        </is>
      </c>
      <c r="J417" s="39" t="inlineStr"/>
      <c r="K417" s="34" t="inlineStr">
        <is>
          <t>Source assignment</t>
        </is>
      </c>
      <c r="L417" s="39" t="inlineStr"/>
      <c r="M417" s="34" t="inlineStr">
        <is>
          <t>Initial</t>
        </is>
      </c>
      <c r="N417" s="34" t="inlineStr">
        <is>
          <t>Rev 0</t>
        </is>
      </c>
      <c r="O417" s="34" t="inlineStr">
        <is>
          <t>R1191-v1</t>
        </is>
      </c>
      <c r="P417" s="39" t="inlineStr"/>
      <c r="Q417" s="14" t="inlineStr"/>
      <c r="R417" s="39" t="inlineStr"/>
      <c r="S417" s="39" t="inlineStr"/>
      <c r="T417" s="39" t="inlineStr"/>
      <c r="U417" s="39" t="inlineStr"/>
      <c r="V417" s="34" t="inlineStr">
        <is>
          <t>Cost Account = CA-2029; WBS Code = 1.2.1</t>
        </is>
      </c>
      <c r="W417" s="14" t="inlineStr"/>
    </row>
    <row r="418" ht="49" customHeight="1">
      <c r="A418" s="34" t="inlineStr">
        <is>
          <t>1.2.1</t>
        </is>
      </c>
      <c r="B418" s="34" t="inlineStr">
        <is>
          <t>Stations - Station Structures</t>
        </is>
      </c>
      <c r="C418" s="34" t="inlineStr">
        <is>
          <t>Cost &amp; Forecast Control Accounts</t>
        </is>
      </c>
      <c r="D418" s="34" t="inlineStr">
        <is>
          <t>CST-02-031</t>
        </is>
      </c>
      <c r="E418" s="34" t="inlineStr">
        <is>
          <t>Stations - public realm - allowance</t>
        </is>
      </c>
      <c r="F418" s="34" t="inlineStr">
        <is>
          <t>ONE_TO_ONE</t>
        </is>
      </c>
      <c r="G418" s="34" t="inlineStr">
        <is>
          <t>APPROVED</t>
        </is>
      </c>
      <c r="H418" s="34" t="inlineStr">
        <is>
          <t>New</t>
        </is>
      </c>
      <c r="I418" s="34" t="inlineStr">
        <is>
          <t>Source assignment -- not individually reviewed</t>
        </is>
      </c>
      <c r="J418" s="39" t="inlineStr"/>
      <c r="K418" s="34" t="inlineStr">
        <is>
          <t>Source assignment</t>
        </is>
      </c>
      <c r="L418" s="39" t="inlineStr"/>
      <c r="M418" s="34" t="inlineStr">
        <is>
          <t>Initial</t>
        </is>
      </c>
      <c r="N418" s="34" t="inlineStr">
        <is>
          <t>Rev 0</t>
        </is>
      </c>
      <c r="O418" s="34" t="inlineStr">
        <is>
          <t>R1193-v1</t>
        </is>
      </c>
      <c r="P418" s="39" t="inlineStr"/>
      <c r="Q418" s="14" t="inlineStr"/>
      <c r="R418" s="39" t="inlineStr"/>
      <c r="S418" s="39" t="inlineStr"/>
      <c r="T418" s="39" t="inlineStr"/>
      <c r="U418" s="39" t="inlineStr"/>
      <c r="V418" s="34" t="inlineStr">
        <is>
          <t>Cost Account = CA-2031; WBS Code = 1.2.1</t>
        </is>
      </c>
      <c r="W418" s="14" t="inlineStr"/>
    </row>
    <row r="419" ht="49" customHeight="1">
      <c r="A419" s="34" t="inlineStr">
        <is>
          <t>1.2.1</t>
        </is>
      </c>
      <c r="B419" s="34" t="inlineStr">
        <is>
          <t>Stations - Station Structures</t>
        </is>
      </c>
      <c r="C419" s="34" t="inlineStr">
        <is>
          <t>Cost &amp; Forecast Control Accounts</t>
        </is>
      </c>
      <c r="D419" s="34" t="inlineStr">
        <is>
          <t>CST-02-033</t>
        </is>
      </c>
      <c r="E419" s="34" t="inlineStr">
        <is>
          <t>Stations - building services - field package</t>
        </is>
      </c>
      <c r="F419" s="34" t="inlineStr">
        <is>
          <t>ONE_TO_ONE</t>
        </is>
      </c>
      <c r="G419" s="34" t="inlineStr">
        <is>
          <t>APPROVED</t>
        </is>
      </c>
      <c r="H419" s="34" t="inlineStr">
        <is>
          <t>New</t>
        </is>
      </c>
      <c r="I419" s="34" t="inlineStr">
        <is>
          <t>Source assignment -- not individually reviewed</t>
        </is>
      </c>
      <c r="J419" s="39" t="inlineStr"/>
      <c r="K419" s="34" t="inlineStr">
        <is>
          <t>Source assignment</t>
        </is>
      </c>
      <c r="L419" s="39" t="inlineStr"/>
      <c r="M419" s="34" t="inlineStr">
        <is>
          <t>Initial</t>
        </is>
      </c>
      <c r="N419" s="34" t="inlineStr">
        <is>
          <t>Rev 0</t>
        </is>
      </c>
      <c r="O419" s="34" t="inlineStr">
        <is>
          <t>R1195-v1</t>
        </is>
      </c>
      <c r="P419" s="39" t="inlineStr"/>
      <c r="Q419" s="14" t="inlineStr"/>
      <c r="R419" s="39" t="inlineStr"/>
      <c r="S419" s="39" t="inlineStr"/>
      <c r="T419" s="39" t="inlineStr"/>
      <c r="U419" s="39" t="inlineStr"/>
      <c r="V419" s="34" t="inlineStr">
        <is>
          <t>Cost Account = CA-2033; WBS Code = 1.2.1</t>
        </is>
      </c>
      <c r="W419" s="14" t="inlineStr"/>
    </row>
    <row r="420" ht="49" customHeight="1">
      <c r="A420" s="34" t="inlineStr">
        <is>
          <t>1.2.1</t>
        </is>
      </c>
      <c r="B420" s="34" t="inlineStr">
        <is>
          <t>Stations - Station Structures</t>
        </is>
      </c>
      <c r="C420" s="34" t="inlineStr">
        <is>
          <t>Cost &amp; Forecast Control Accounts</t>
        </is>
      </c>
      <c r="D420" s="34" t="inlineStr">
        <is>
          <t>CST-02-035</t>
        </is>
      </c>
      <c r="E420" s="34" t="inlineStr">
        <is>
          <t>Stations - station structure - professional services</t>
        </is>
      </c>
      <c r="F420" s="34" t="inlineStr">
        <is>
          <t>ONE_TO_ONE</t>
        </is>
      </c>
      <c r="G420" s="34" t="inlineStr">
        <is>
          <t>APPROVED</t>
        </is>
      </c>
      <c r="H420" s="34" t="inlineStr">
        <is>
          <t>New</t>
        </is>
      </c>
      <c r="I420" s="34" t="inlineStr">
        <is>
          <t>Source assignment -- not individually reviewed</t>
        </is>
      </c>
      <c r="J420" s="39" t="inlineStr"/>
      <c r="K420" s="34" t="inlineStr">
        <is>
          <t>Source assignment</t>
        </is>
      </c>
      <c r="L420" s="39" t="inlineStr"/>
      <c r="M420" s="34" t="inlineStr">
        <is>
          <t>Initial</t>
        </is>
      </c>
      <c r="N420" s="34" t="inlineStr">
        <is>
          <t>Rev 0</t>
        </is>
      </c>
      <c r="O420" s="34" t="inlineStr">
        <is>
          <t>R1197-v1</t>
        </is>
      </c>
      <c r="P420" s="39" t="inlineStr"/>
      <c r="Q420" s="14" t="inlineStr"/>
      <c r="R420" s="39" t="inlineStr"/>
      <c r="S420" s="39" t="inlineStr"/>
      <c r="T420" s="39" t="inlineStr"/>
      <c r="U420" s="39" t="inlineStr"/>
      <c r="V420" s="34" t="inlineStr">
        <is>
          <t>Cost Account = CA-2035; WBS Code = 1.2.1</t>
        </is>
      </c>
      <c r="W420" s="14" t="inlineStr"/>
    </row>
    <row r="421" ht="49" customHeight="1">
      <c r="A421" s="34" t="inlineStr">
        <is>
          <t>1.2.1</t>
        </is>
      </c>
      <c r="B421" s="34" t="inlineStr">
        <is>
          <t>Stations - Station Structures</t>
        </is>
      </c>
      <c r="C421" s="34" t="inlineStr">
        <is>
          <t>Cost &amp; Forecast Control Accounts</t>
        </is>
      </c>
      <c r="D421" s="34" t="inlineStr">
        <is>
          <t>CST-02-037</t>
        </is>
      </c>
      <c r="E421" s="34" t="inlineStr">
        <is>
          <t>Stations - public realm - closeout</t>
        </is>
      </c>
      <c r="F421" s="34" t="inlineStr">
        <is>
          <t>ONE_TO_ONE</t>
        </is>
      </c>
      <c r="G421" s="34" t="inlineStr">
        <is>
          <t>APPROVED</t>
        </is>
      </c>
      <c r="H421" s="34" t="inlineStr">
        <is>
          <t>New</t>
        </is>
      </c>
      <c r="I421" s="34" t="inlineStr">
        <is>
          <t>Source assignment -- not individually reviewed</t>
        </is>
      </c>
      <c r="J421" s="39" t="inlineStr"/>
      <c r="K421" s="34" t="inlineStr">
        <is>
          <t>Source assignment</t>
        </is>
      </c>
      <c r="L421" s="39" t="inlineStr"/>
      <c r="M421" s="34" t="inlineStr">
        <is>
          <t>Initial</t>
        </is>
      </c>
      <c r="N421" s="34" t="inlineStr">
        <is>
          <t>Rev 0</t>
        </is>
      </c>
      <c r="O421" s="34" t="inlineStr">
        <is>
          <t>R1199-v1</t>
        </is>
      </c>
      <c r="P421" s="39" t="inlineStr"/>
      <c r="Q421" s="14" t="inlineStr"/>
      <c r="R421" s="39" t="inlineStr"/>
      <c r="S421" s="39" t="inlineStr"/>
      <c r="T421" s="39" t="inlineStr"/>
      <c r="U421" s="39" t="inlineStr"/>
      <c r="V421" s="34" t="inlineStr">
        <is>
          <t>Cost Account = CA-2037; WBS Code = 1.2.1</t>
        </is>
      </c>
      <c r="W421" s="14" t="inlineStr"/>
    </row>
    <row r="422" ht="49" customHeight="1">
      <c r="A422" s="34" t="inlineStr">
        <is>
          <t>1.2.1</t>
        </is>
      </c>
      <c r="B422" s="34" t="inlineStr">
        <is>
          <t>Stations - Station Structures</t>
        </is>
      </c>
      <c r="C422" s="34" t="inlineStr">
        <is>
          <t>Cost &amp; Forecast Control Accounts</t>
        </is>
      </c>
      <c r="D422" s="34" t="inlineStr">
        <is>
          <t>CST-02-039</t>
        </is>
      </c>
      <c r="E422" s="34" t="inlineStr">
        <is>
          <t>Stations - building services - supply and install</t>
        </is>
      </c>
      <c r="F422" s="34" t="inlineStr">
        <is>
          <t>ONE_TO_ONE</t>
        </is>
      </c>
      <c r="G422" s="34" t="inlineStr">
        <is>
          <t>APPROVED</t>
        </is>
      </c>
      <c r="H422" s="34" t="inlineStr">
        <is>
          <t>New</t>
        </is>
      </c>
      <c r="I422" s="34" t="inlineStr">
        <is>
          <t>Source assignment -- not individually reviewed</t>
        </is>
      </c>
      <c r="J422" s="39" t="inlineStr"/>
      <c r="K422" s="34" t="inlineStr">
        <is>
          <t>Source assignment</t>
        </is>
      </c>
      <c r="L422" s="39" t="inlineStr"/>
      <c r="M422" s="34" t="inlineStr">
        <is>
          <t>Initial</t>
        </is>
      </c>
      <c r="N422" s="34" t="inlineStr">
        <is>
          <t>Rev 0</t>
        </is>
      </c>
      <c r="O422" s="34" t="inlineStr">
        <is>
          <t>R1201-v1</t>
        </is>
      </c>
      <c r="P422" s="39" t="inlineStr"/>
      <c r="Q422" s="14" t="inlineStr"/>
      <c r="R422" s="39" t="inlineStr"/>
      <c r="S422" s="39" t="inlineStr"/>
      <c r="T422" s="39" t="inlineStr"/>
      <c r="U422" s="39" t="inlineStr"/>
      <c r="V422" s="34" t="inlineStr">
        <is>
          <t>Cost Account = CA-2039; WBS Code = 1.2.1</t>
        </is>
      </c>
      <c r="W422" s="14" t="inlineStr"/>
    </row>
    <row r="423" ht="49" customHeight="1">
      <c r="A423" s="34" t="inlineStr">
        <is>
          <t>1.2.1</t>
        </is>
      </c>
      <c r="B423" s="34" t="inlineStr">
        <is>
          <t>Stations - Station Structures</t>
        </is>
      </c>
      <c r="C423" s="34" t="inlineStr">
        <is>
          <t>Cost &amp; Forecast Control Accounts</t>
        </is>
      </c>
      <c r="D423" s="34" t="inlineStr">
        <is>
          <t>CST-02-041</t>
        </is>
      </c>
      <c r="E423" s="34" t="inlineStr">
        <is>
          <t>Stations - station structure - allowance</t>
        </is>
      </c>
      <c r="F423" s="34" t="inlineStr">
        <is>
          <t>ONE_TO_ONE</t>
        </is>
      </c>
      <c r="G423" s="34" t="inlineStr">
        <is>
          <t>APPROVED</t>
        </is>
      </c>
      <c r="H423" s="34" t="inlineStr">
        <is>
          <t>New</t>
        </is>
      </c>
      <c r="I423" s="34" t="inlineStr">
        <is>
          <t>Source assignment -- not individually reviewed</t>
        </is>
      </c>
      <c r="J423" s="39" t="inlineStr"/>
      <c r="K423" s="34" t="inlineStr">
        <is>
          <t>Source assignment</t>
        </is>
      </c>
      <c r="L423" s="39" t="inlineStr"/>
      <c r="M423" s="34" t="inlineStr">
        <is>
          <t>Initial</t>
        </is>
      </c>
      <c r="N423" s="34" t="inlineStr">
        <is>
          <t>Rev 0</t>
        </is>
      </c>
      <c r="O423" s="34" t="inlineStr">
        <is>
          <t>R1203-v1</t>
        </is>
      </c>
      <c r="P423" s="39" t="inlineStr"/>
      <c r="Q423" s="14" t="inlineStr"/>
      <c r="R423" s="39" t="inlineStr"/>
      <c r="S423" s="39" t="inlineStr"/>
      <c r="T423" s="39" t="inlineStr"/>
      <c r="U423" s="39" t="inlineStr"/>
      <c r="V423" s="34" t="inlineStr">
        <is>
          <t>Cost Account = CA-2041; WBS Code = 1.2.1</t>
        </is>
      </c>
      <c r="W423" s="14" t="inlineStr"/>
    </row>
    <row r="424" ht="49" customHeight="1">
      <c r="A424" s="34" t="inlineStr">
        <is>
          <t>1.2.1</t>
        </is>
      </c>
      <c r="B424" s="34" t="inlineStr">
        <is>
          <t>Stations - Station Structures</t>
        </is>
      </c>
      <c r="C424" s="34" t="inlineStr">
        <is>
          <t>Cost &amp; Forecast Control Accounts</t>
        </is>
      </c>
      <c r="D424" s="34" t="inlineStr">
        <is>
          <t>CST-02-043</t>
        </is>
      </c>
      <c r="E424" s="34" t="inlineStr">
        <is>
          <t>Stations - public realm - field package</t>
        </is>
      </c>
      <c r="F424" s="34" t="inlineStr">
        <is>
          <t>ONE_TO_ONE</t>
        </is>
      </c>
      <c r="G424" s="34" t="inlineStr">
        <is>
          <t>APPROVED</t>
        </is>
      </c>
      <c r="H424" s="34" t="inlineStr">
        <is>
          <t>New</t>
        </is>
      </c>
      <c r="I424" s="34" t="inlineStr">
        <is>
          <t>Source assignment -- not individually reviewed</t>
        </is>
      </c>
      <c r="J424" s="39" t="inlineStr"/>
      <c r="K424" s="34" t="inlineStr">
        <is>
          <t>Source assignment</t>
        </is>
      </c>
      <c r="L424" s="39" t="inlineStr"/>
      <c r="M424" s="34" t="inlineStr">
        <is>
          <t>Initial</t>
        </is>
      </c>
      <c r="N424" s="34" t="inlineStr">
        <is>
          <t>Rev 0</t>
        </is>
      </c>
      <c r="O424" s="34" t="inlineStr">
        <is>
          <t>R1205-v1</t>
        </is>
      </c>
      <c r="P424" s="39" t="inlineStr"/>
      <c r="Q424" s="14" t="inlineStr"/>
      <c r="R424" s="39" t="inlineStr"/>
      <c r="S424" s="39" t="inlineStr"/>
      <c r="T424" s="39" t="inlineStr"/>
      <c r="U424" s="39" t="inlineStr"/>
      <c r="V424" s="34" t="inlineStr">
        <is>
          <t>Cost Account = CA-2043; WBS Code = 1.2.1</t>
        </is>
      </c>
      <c r="W424" s="14" t="inlineStr"/>
    </row>
    <row r="425" ht="49" customHeight="1">
      <c r="A425" s="34" t="inlineStr">
        <is>
          <t>1.2.1</t>
        </is>
      </c>
      <c r="B425" s="34" t="inlineStr">
        <is>
          <t>Stations - Station Structures</t>
        </is>
      </c>
      <c r="C425" s="34" t="inlineStr">
        <is>
          <t>Cost &amp; Forecast Control Accounts</t>
        </is>
      </c>
      <c r="D425" s="34" t="inlineStr">
        <is>
          <t>CST-02-045</t>
        </is>
      </c>
      <c r="E425" s="34" t="inlineStr">
        <is>
          <t>Stations - building services - professional services</t>
        </is>
      </c>
      <c r="F425" s="34" t="inlineStr">
        <is>
          <t>ONE_TO_ONE</t>
        </is>
      </c>
      <c r="G425" s="34" t="inlineStr">
        <is>
          <t>APPROVED</t>
        </is>
      </c>
      <c r="H425" s="34" t="inlineStr">
        <is>
          <t>New</t>
        </is>
      </c>
      <c r="I425" s="34" t="inlineStr">
        <is>
          <t>Source assignment -- not individually reviewed</t>
        </is>
      </c>
      <c r="J425" s="39" t="inlineStr"/>
      <c r="K425" s="34" t="inlineStr">
        <is>
          <t>Source assignment</t>
        </is>
      </c>
      <c r="L425" s="39" t="inlineStr"/>
      <c r="M425" s="34" t="inlineStr">
        <is>
          <t>Initial</t>
        </is>
      </c>
      <c r="N425" s="34" t="inlineStr">
        <is>
          <t>Rev 0</t>
        </is>
      </c>
      <c r="O425" s="34" t="inlineStr">
        <is>
          <t>R1207-v1</t>
        </is>
      </c>
      <c r="P425" s="39" t="inlineStr"/>
      <c r="Q425" s="14" t="inlineStr"/>
      <c r="R425" s="39" t="inlineStr"/>
      <c r="S425" s="39" t="inlineStr"/>
      <c r="T425" s="39" t="inlineStr"/>
      <c r="U425" s="39" t="inlineStr"/>
      <c r="V425" s="34" t="inlineStr">
        <is>
          <t>Cost Account = CA-2045; WBS Code = 1.2.1</t>
        </is>
      </c>
      <c r="W425" s="14" t="inlineStr"/>
    </row>
    <row r="426" ht="49" customHeight="1">
      <c r="A426" s="34" t="inlineStr">
        <is>
          <t>1.2.1</t>
        </is>
      </c>
      <c r="B426" s="34" t="inlineStr">
        <is>
          <t>Stations - Station Structures</t>
        </is>
      </c>
      <c r="C426" s="34" t="inlineStr">
        <is>
          <t>Cost &amp; Forecast Control Accounts</t>
        </is>
      </c>
      <c r="D426" s="34" t="inlineStr">
        <is>
          <t>CST-02-047</t>
        </is>
      </c>
      <c r="E426" s="34" t="inlineStr">
        <is>
          <t>Stations - station structure - closeout</t>
        </is>
      </c>
      <c r="F426" s="34" t="inlineStr">
        <is>
          <t>ONE_TO_ONE</t>
        </is>
      </c>
      <c r="G426" s="34" t="inlineStr">
        <is>
          <t>APPROVED</t>
        </is>
      </c>
      <c r="H426" s="34" t="inlineStr">
        <is>
          <t>New</t>
        </is>
      </c>
      <c r="I426" s="34" t="inlineStr">
        <is>
          <t>Source assignment -- not individually reviewed</t>
        </is>
      </c>
      <c r="J426" s="39" t="inlineStr"/>
      <c r="K426" s="34" t="inlineStr">
        <is>
          <t>Source assignment</t>
        </is>
      </c>
      <c r="L426" s="39" t="inlineStr"/>
      <c r="M426" s="34" t="inlineStr">
        <is>
          <t>Initial</t>
        </is>
      </c>
      <c r="N426" s="34" t="inlineStr">
        <is>
          <t>Rev 0</t>
        </is>
      </c>
      <c r="O426" s="34" t="inlineStr">
        <is>
          <t>R1209-v1</t>
        </is>
      </c>
      <c r="P426" s="39" t="inlineStr"/>
      <c r="Q426" s="14" t="inlineStr"/>
      <c r="R426" s="39" t="inlineStr"/>
      <c r="S426" s="39" t="inlineStr"/>
      <c r="T426" s="39" t="inlineStr"/>
      <c r="U426" s="39" t="inlineStr"/>
      <c r="V426" s="34" t="inlineStr">
        <is>
          <t>Cost Account = CA-2047; WBS Code = 1.2.1</t>
        </is>
      </c>
      <c r="W426" s="14" t="inlineStr"/>
    </row>
    <row r="427" ht="49" customHeight="1">
      <c r="A427" s="34" t="inlineStr">
        <is>
          <t>1.2.1</t>
        </is>
      </c>
      <c r="B427" s="34" t="inlineStr">
        <is>
          <t>Stations - Station Structures</t>
        </is>
      </c>
      <c r="C427" s="34" t="inlineStr">
        <is>
          <t>Cost &amp; Forecast Control Accounts</t>
        </is>
      </c>
      <c r="D427" s="34" t="inlineStr">
        <is>
          <t>CST-02-049</t>
        </is>
      </c>
      <c r="E427" s="34" t="inlineStr">
        <is>
          <t>Stations - public realm - supply and install</t>
        </is>
      </c>
      <c r="F427" s="34" t="inlineStr">
        <is>
          <t>ONE_TO_ONE</t>
        </is>
      </c>
      <c r="G427" s="34" t="inlineStr">
        <is>
          <t>APPROVED</t>
        </is>
      </c>
      <c r="H427" s="34" t="inlineStr">
        <is>
          <t>New</t>
        </is>
      </c>
      <c r="I427" s="34" t="inlineStr">
        <is>
          <t>Source assignment -- not individually reviewed</t>
        </is>
      </c>
      <c r="J427" s="39" t="inlineStr"/>
      <c r="K427" s="34" t="inlineStr">
        <is>
          <t>Source assignment</t>
        </is>
      </c>
      <c r="L427" s="39" t="inlineStr"/>
      <c r="M427" s="34" t="inlineStr">
        <is>
          <t>Initial</t>
        </is>
      </c>
      <c r="N427" s="34" t="inlineStr">
        <is>
          <t>Rev 0</t>
        </is>
      </c>
      <c r="O427" s="34" t="inlineStr">
        <is>
          <t>R1211-v1</t>
        </is>
      </c>
      <c r="P427" s="39" t="inlineStr"/>
      <c r="Q427" s="14" t="inlineStr"/>
      <c r="R427" s="39" t="inlineStr"/>
      <c r="S427" s="39" t="inlineStr"/>
      <c r="T427" s="39" t="inlineStr"/>
      <c r="U427" s="39" t="inlineStr"/>
      <c r="V427" s="34" t="inlineStr">
        <is>
          <t>Cost Account = CA-2049; WBS Code = 1.2.1</t>
        </is>
      </c>
      <c r="W427" s="14" t="inlineStr"/>
    </row>
    <row r="428" ht="49" customHeight="1">
      <c r="A428" s="34" t="inlineStr">
        <is>
          <t>1.2.1</t>
        </is>
      </c>
      <c r="B428" s="34" t="inlineStr">
        <is>
          <t>Stations - Station Structures</t>
        </is>
      </c>
      <c r="C428" s="34" t="inlineStr">
        <is>
          <t>Cost &amp; Forecast Control Accounts</t>
        </is>
      </c>
      <c r="D428" s="34" t="inlineStr">
        <is>
          <t>CST-02-051</t>
        </is>
      </c>
      <c r="E428" s="34" t="inlineStr">
        <is>
          <t>Stations - building services - allowance</t>
        </is>
      </c>
      <c r="F428" s="34" t="inlineStr">
        <is>
          <t>ONE_TO_ONE</t>
        </is>
      </c>
      <c r="G428" s="34" t="inlineStr">
        <is>
          <t>APPROVED</t>
        </is>
      </c>
      <c r="H428" s="34" t="inlineStr">
        <is>
          <t>New</t>
        </is>
      </c>
      <c r="I428" s="34" t="inlineStr">
        <is>
          <t>Source assignment -- not individually reviewed</t>
        </is>
      </c>
      <c r="J428" s="39" t="inlineStr"/>
      <c r="K428" s="34" t="inlineStr">
        <is>
          <t>Source assignment</t>
        </is>
      </c>
      <c r="L428" s="39" t="inlineStr"/>
      <c r="M428" s="34" t="inlineStr">
        <is>
          <t>Initial</t>
        </is>
      </c>
      <c r="N428" s="34" t="inlineStr">
        <is>
          <t>Rev 0</t>
        </is>
      </c>
      <c r="O428" s="34" t="inlineStr">
        <is>
          <t>R1213-v1</t>
        </is>
      </c>
      <c r="P428" s="39" t="inlineStr"/>
      <c r="Q428" s="14" t="inlineStr"/>
      <c r="R428" s="39" t="inlineStr"/>
      <c r="S428" s="39" t="inlineStr"/>
      <c r="T428" s="39" t="inlineStr"/>
      <c r="U428" s="39" t="inlineStr"/>
      <c r="V428" s="34" t="inlineStr">
        <is>
          <t>Cost Account = CA-2051; WBS Code = 1.2.1</t>
        </is>
      </c>
      <c r="W428" s="14" t="inlineStr"/>
    </row>
    <row r="429" ht="49" customHeight="1">
      <c r="A429" s="34" t="inlineStr">
        <is>
          <t>1.2.1</t>
        </is>
      </c>
      <c r="B429" s="34" t="inlineStr">
        <is>
          <t>Stations - Station Structures</t>
        </is>
      </c>
      <c r="C429" s="34" t="inlineStr">
        <is>
          <t>Cost &amp; Forecast Control Accounts</t>
        </is>
      </c>
      <c r="D429" s="34" t="inlineStr">
        <is>
          <t>CST-02-053</t>
        </is>
      </c>
      <c r="E429" s="34" t="inlineStr">
        <is>
          <t>Stations - station structure - field package</t>
        </is>
      </c>
      <c r="F429" s="34" t="inlineStr">
        <is>
          <t>ONE_TO_ONE</t>
        </is>
      </c>
      <c r="G429" s="34" t="inlineStr">
        <is>
          <t>APPROVED</t>
        </is>
      </c>
      <c r="H429" s="34" t="inlineStr">
        <is>
          <t>New</t>
        </is>
      </c>
      <c r="I429" s="34" t="inlineStr">
        <is>
          <t>Source assignment -- not individually reviewed</t>
        </is>
      </c>
      <c r="J429" s="39" t="inlineStr"/>
      <c r="K429" s="34" t="inlineStr">
        <is>
          <t>Source assignment</t>
        </is>
      </c>
      <c r="L429" s="39" t="inlineStr"/>
      <c r="M429" s="34" t="inlineStr">
        <is>
          <t>Initial</t>
        </is>
      </c>
      <c r="N429" s="34" t="inlineStr">
        <is>
          <t>Rev 0</t>
        </is>
      </c>
      <c r="O429" s="34" t="inlineStr">
        <is>
          <t>R1215-v1</t>
        </is>
      </c>
      <c r="P429" s="39" t="inlineStr"/>
      <c r="Q429" s="14" t="inlineStr"/>
      <c r="R429" s="39" t="inlineStr"/>
      <c r="S429" s="39" t="inlineStr"/>
      <c r="T429" s="39" t="inlineStr"/>
      <c r="U429" s="39" t="inlineStr"/>
      <c r="V429" s="34" t="inlineStr">
        <is>
          <t>Cost Account = CA-2053; WBS Code = 1.2.1</t>
        </is>
      </c>
      <c r="W429" s="14" t="inlineStr"/>
    </row>
    <row r="430" ht="49" customHeight="1">
      <c r="A430" s="34" t="inlineStr">
        <is>
          <t>1.2.1</t>
        </is>
      </c>
      <c r="B430" s="34" t="inlineStr">
        <is>
          <t>Stations - Station Structures</t>
        </is>
      </c>
      <c r="C430" s="34" t="inlineStr">
        <is>
          <t>Cost &amp; Forecast Control Accounts</t>
        </is>
      </c>
      <c r="D430" s="34" t="inlineStr">
        <is>
          <t>CST-02-055</t>
        </is>
      </c>
      <c r="E430" s="34" t="inlineStr">
        <is>
          <t>Stations - public realm - professional services</t>
        </is>
      </c>
      <c r="F430" s="34" t="inlineStr">
        <is>
          <t>ONE_TO_ONE</t>
        </is>
      </c>
      <c r="G430" s="34" t="inlineStr">
        <is>
          <t>APPROVED</t>
        </is>
      </c>
      <c r="H430" s="34" t="inlineStr">
        <is>
          <t>New</t>
        </is>
      </c>
      <c r="I430" s="34" t="inlineStr">
        <is>
          <t>Source assignment -- not individually reviewed</t>
        </is>
      </c>
      <c r="J430" s="39" t="inlineStr"/>
      <c r="K430" s="34" t="inlineStr">
        <is>
          <t>Source assignment</t>
        </is>
      </c>
      <c r="L430" s="39" t="inlineStr"/>
      <c r="M430" s="34" t="inlineStr">
        <is>
          <t>Initial</t>
        </is>
      </c>
      <c r="N430" s="34" t="inlineStr">
        <is>
          <t>Rev 0</t>
        </is>
      </c>
      <c r="O430" s="34" t="inlineStr">
        <is>
          <t>R1217-v1</t>
        </is>
      </c>
      <c r="P430" s="39" t="inlineStr"/>
      <c r="Q430" s="14" t="inlineStr"/>
      <c r="R430" s="39" t="inlineStr"/>
      <c r="S430" s="39" t="inlineStr"/>
      <c r="T430" s="39" t="inlineStr"/>
      <c r="U430" s="39" t="inlineStr"/>
      <c r="V430" s="34" t="inlineStr">
        <is>
          <t>Cost Account = CA-2055; WBS Code = 1.2.1</t>
        </is>
      </c>
      <c r="W430" s="14" t="inlineStr"/>
    </row>
    <row r="431" ht="49" customHeight="1">
      <c r="A431" s="34" t="inlineStr">
        <is>
          <t>1.2.1</t>
        </is>
      </c>
      <c r="B431" s="34" t="inlineStr">
        <is>
          <t>Stations - Station Structures</t>
        </is>
      </c>
      <c r="C431" s="34" t="inlineStr">
        <is>
          <t>Cost &amp; Forecast Control Accounts</t>
        </is>
      </c>
      <c r="D431" s="34" t="inlineStr">
        <is>
          <t>CST-02-057</t>
        </is>
      </c>
      <c r="E431" s="34" t="inlineStr">
        <is>
          <t>Stations - building services - closeout</t>
        </is>
      </c>
      <c r="F431" s="34" t="inlineStr">
        <is>
          <t>ONE_TO_ONE</t>
        </is>
      </c>
      <c r="G431" s="34" t="inlineStr">
        <is>
          <t>APPROVED</t>
        </is>
      </c>
      <c r="H431" s="34" t="inlineStr">
        <is>
          <t>New</t>
        </is>
      </c>
      <c r="I431" s="34" t="inlineStr">
        <is>
          <t>Source assignment -- not individually reviewed</t>
        </is>
      </c>
      <c r="J431" s="39" t="inlineStr"/>
      <c r="K431" s="34" t="inlineStr">
        <is>
          <t>Source assignment</t>
        </is>
      </c>
      <c r="L431" s="39" t="inlineStr"/>
      <c r="M431" s="34" t="inlineStr">
        <is>
          <t>Initial</t>
        </is>
      </c>
      <c r="N431" s="34" t="inlineStr">
        <is>
          <t>Rev 0</t>
        </is>
      </c>
      <c r="O431" s="34" t="inlineStr">
        <is>
          <t>R1219-v1</t>
        </is>
      </c>
      <c r="P431" s="39" t="inlineStr"/>
      <c r="Q431" s="14" t="inlineStr"/>
      <c r="R431" s="39" t="inlineStr"/>
      <c r="S431" s="39" t="inlineStr"/>
      <c r="T431" s="39" t="inlineStr"/>
      <c r="U431" s="39" t="inlineStr"/>
      <c r="V431" s="34" t="inlineStr">
        <is>
          <t>Cost Account = CA-2057; WBS Code = 1.2.1</t>
        </is>
      </c>
      <c r="W431" s="14" t="inlineStr"/>
    </row>
    <row r="432" ht="49" customHeight="1">
      <c r="A432" s="34" t="inlineStr">
        <is>
          <t>1.2.1</t>
        </is>
      </c>
      <c r="B432" s="34" t="inlineStr">
        <is>
          <t>Stations - Station Structures</t>
        </is>
      </c>
      <c r="C432" s="34" t="inlineStr">
        <is>
          <t>Cost &amp; Forecast Control Accounts</t>
        </is>
      </c>
      <c r="D432" s="34" t="inlineStr">
        <is>
          <t>CST-02-059</t>
        </is>
      </c>
      <c r="E432" s="34" t="inlineStr">
        <is>
          <t>Stations - station structure - supply and install</t>
        </is>
      </c>
      <c r="F432" s="34" t="inlineStr">
        <is>
          <t>ONE_TO_ONE</t>
        </is>
      </c>
      <c r="G432" s="34" t="inlineStr">
        <is>
          <t>APPROVED</t>
        </is>
      </c>
      <c r="H432" s="34" t="inlineStr">
        <is>
          <t>New</t>
        </is>
      </c>
      <c r="I432" s="34" t="inlineStr">
        <is>
          <t>Source assignment -- not individually reviewed</t>
        </is>
      </c>
      <c r="J432" s="39" t="inlineStr"/>
      <c r="K432" s="34" t="inlineStr">
        <is>
          <t>Source assignment</t>
        </is>
      </c>
      <c r="L432" s="39" t="inlineStr"/>
      <c r="M432" s="34" t="inlineStr">
        <is>
          <t>Initial</t>
        </is>
      </c>
      <c r="N432" s="34" t="inlineStr">
        <is>
          <t>Rev 0</t>
        </is>
      </c>
      <c r="O432" s="34" t="inlineStr">
        <is>
          <t>R1221-v1</t>
        </is>
      </c>
      <c r="P432" s="39" t="inlineStr"/>
      <c r="Q432" s="14" t="inlineStr"/>
      <c r="R432" s="39" t="inlineStr"/>
      <c r="S432" s="39" t="inlineStr"/>
      <c r="T432" s="39" t="inlineStr"/>
      <c r="U432" s="39" t="inlineStr"/>
      <c r="V432" s="34" t="inlineStr">
        <is>
          <t>Cost Account = CA-2059; WBS Code = 1.2.1</t>
        </is>
      </c>
      <c r="W432" s="14" t="inlineStr"/>
    </row>
    <row r="433" ht="49" customHeight="1">
      <c r="A433" s="34" t="inlineStr">
        <is>
          <t>1.2.1</t>
        </is>
      </c>
      <c r="B433" s="34" t="inlineStr">
        <is>
          <t>Stations - Station Structures</t>
        </is>
      </c>
      <c r="C433" s="34" t="inlineStr">
        <is>
          <t>Cost &amp; Forecast Control Accounts</t>
        </is>
      </c>
      <c r="D433" s="34" t="inlineStr">
        <is>
          <t>CST-02-061</t>
        </is>
      </c>
      <c r="E433" s="34" t="inlineStr">
        <is>
          <t>Stations - public realm - allowance</t>
        </is>
      </c>
      <c r="F433" s="34" t="inlineStr">
        <is>
          <t>ONE_TO_ONE</t>
        </is>
      </c>
      <c r="G433" s="34" t="inlineStr">
        <is>
          <t>APPROVED</t>
        </is>
      </c>
      <c r="H433" s="34" t="inlineStr">
        <is>
          <t>New</t>
        </is>
      </c>
      <c r="I433" s="34" t="inlineStr">
        <is>
          <t>Source assignment -- not individually reviewed</t>
        </is>
      </c>
      <c r="J433" s="39" t="inlineStr"/>
      <c r="K433" s="34" t="inlineStr">
        <is>
          <t>Source assignment</t>
        </is>
      </c>
      <c r="L433" s="39" t="inlineStr"/>
      <c r="M433" s="34" t="inlineStr">
        <is>
          <t>Initial</t>
        </is>
      </c>
      <c r="N433" s="34" t="inlineStr">
        <is>
          <t>Rev 0</t>
        </is>
      </c>
      <c r="O433" s="34" t="inlineStr">
        <is>
          <t>R1223-v1</t>
        </is>
      </c>
      <c r="P433" s="39" t="inlineStr"/>
      <c r="Q433" s="14" t="inlineStr"/>
      <c r="R433" s="39" t="inlineStr"/>
      <c r="S433" s="39" t="inlineStr"/>
      <c r="T433" s="39" t="inlineStr"/>
      <c r="U433" s="39" t="inlineStr"/>
      <c r="V433" s="34" t="inlineStr">
        <is>
          <t>Cost Account = CA-2061; WBS Code = 1.2.1</t>
        </is>
      </c>
      <c r="W433" s="14" t="inlineStr"/>
    </row>
    <row r="434" ht="49" customHeight="1">
      <c r="A434" s="34" t="inlineStr">
        <is>
          <t>1.2.1</t>
        </is>
      </c>
      <c r="B434" s="34" t="inlineStr">
        <is>
          <t>Stations - Station Structures</t>
        </is>
      </c>
      <c r="C434" s="34" t="inlineStr">
        <is>
          <t>Cost &amp; Forecast Control Accounts</t>
        </is>
      </c>
      <c r="D434" s="34" t="inlineStr">
        <is>
          <t>CST-02-063</t>
        </is>
      </c>
      <c r="E434" s="34" t="inlineStr">
        <is>
          <t>Stations - building services - field package</t>
        </is>
      </c>
      <c r="F434" s="34" t="inlineStr">
        <is>
          <t>ONE_TO_ONE</t>
        </is>
      </c>
      <c r="G434" s="34" t="inlineStr">
        <is>
          <t>APPROVED</t>
        </is>
      </c>
      <c r="H434" s="34" t="inlineStr">
        <is>
          <t>New</t>
        </is>
      </c>
      <c r="I434" s="34" t="inlineStr">
        <is>
          <t>Source assignment -- not individually reviewed</t>
        </is>
      </c>
      <c r="J434" s="39" t="inlineStr"/>
      <c r="K434" s="34" t="inlineStr">
        <is>
          <t>Source assignment</t>
        </is>
      </c>
      <c r="L434" s="39" t="inlineStr"/>
      <c r="M434" s="34" t="inlineStr">
        <is>
          <t>Initial</t>
        </is>
      </c>
      <c r="N434" s="34" t="inlineStr">
        <is>
          <t>Rev 0</t>
        </is>
      </c>
      <c r="O434" s="34" t="inlineStr">
        <is>
          <t>R1225-v1</t>
        </is>
      </c>
      <c r="P434" s="39" t="inlineStr"/>
      <c r="Q434" s="14" t="inlineStr"/>
      <c r="R434" s="39" t="inlineStr"/>
      <c r="S434" s="39" t="inlineStr"/>
      <c r="T434" s="39" t="inlineStr"/>
      <c r="U434" s="39" t="inlineStr"/>
      <c r="V434" s="34" t="inlineStr">
        <is>
          <t>Cost Account = CA-2063; WBS Code = 1.2.1</t>
        </is>
      </c>
      <c r="W434" s="14" t="inlineStr"/>
    </row>
    <row r="435" ht="49" customHeight="1">
      <c r="A435" s="34" t="inlineStr">
        <is>
          <t>1.2.1</t>
        </is>
      </c>
      <c r="B435" s="34" t="inlineStr">
        <is>
          <t>Stations - Station Structures</t>
        </is>
      </c>
      <c r="C435" s="34" t="inlineStr">
        <is>
          <t>Cost &amp; Forecast Control Accounts</t>
        </is>
      </c>
      <c r="D435" s="34" t="inlineStr">
        <is>
          <t>CST-02-065</t>
        </is>
      </c>
      <c r="E435" s="34" t="inlineStr">
        <is>
          <t>Stations - station structure - professional services</t>
        </is>
      </c>
      <c r="F435" s="34" t="inlineStr">
        <is>
          <t>ONE_TO_ONE</t>
        </is>
      </c>
      <c r="G435" s="34" t="inlineStr">
        <is>
          <t>APPROVED</t>
        </is>
      </c>
      <c r="H435" s="34" t="inlineStr">
        <is>
          <t>New</t>
        </is>
      </c>
      <c r="I435" s="34" t="inlineStr">
        <is>
          <t>Source assignment -- not individually reviewed</t>
        </is>
      </c>
      <c r="J435" s="39" t="inlineStr"/>
      <c r="K435" s="34" t="inlineStr">
        <is>
          <t>Source assignment</t>
        </is>
      </c>
      <c r="L435" s="39" t="inlineStr"/>
      <c r="M435" s="34" t="inlineStr">
        <is>
          <t>Initial</t>
        </is>
      </c>
      <c r="N435" s="34" t="inlineStr">
        <is>
          <t>Rev 0</t>
        </is>
      </c>
      <c r="O435" s="34" t="inlineStr">
        <is>
          <t>R1227-v1</t>
        </is>
      </c>
      <c r="P435" s="39" t="inlineStr"/>
      <c r="Q435" s="14" t="inlineStr"/>
      <c r="R435" s="39" t="inlineStr"/>
      <c r="S435" s="39" t="inlineStr"/>
      <c r="T435" s="39" t="inlineStr"/>
      <c r="U435" s="39" t="inlineStr"/>
      <c r="V435" s="34" t="inlineStr">
        <is>
          <t>Cost Account = CA-2065; WBS Code = 1.2.1</t>
        </is>
      </c>
      <c r="W435" s="14" t="inlineStr"/>
    </row>
    <row r="436" ht="49" customHeight="1">
      <c r="A436" s="34" t="inlineStr">
        <is>
          <t>1.2.1</t>
        </is>
      </c>
      <c r="B436" s="34" t="inlineStr">
        <is>
          <t>Stations - Station Structures</t>
        </is>
      </c>
      <c r="C436" s="34" t="inlineStr">
        <is>
          <t>Cost &amp; Forecast Control Accounts</t>
        </is>
      </c>
      <c r="D436" s="34" t="inlineStr">
        <is>
          <t>CST-02-067</t>
        </is>
      </c>
      <c r="E436" s="34" t="inlineStr">
        <is>
          <t>Stations - public realm - closeout</t>
        </is>
      </c>
      <c r="F436" s="34" t="inlineStr">
        <is>
          <t>ONE_TO_ONE</t>
        </is>
      </c>
      <c r="G436" s="34" t="inlineStr">
        <is>
          <t>APPROVED</t>
        </is>
      </c>
      <c r="H436" s="34" t="inlineStr">
        <is>
          <t>New</t>
        </is>
      </c>
      <c r="I436" s="34" t="inlineStr">
        <is>
          <t>Source assignment -- not individually reviewed</t>
        </is>
      </c>
      <c r="J436" s="39" t="inlineStr"/>
      <c r="K436" s="34" t="inlineStr">
        <is>
          <t>Source assignment</t>
        </is>
      </c>
      <c r="L436" s="39" t="inlineStr"/>
      <c r="M436" s="34" t="inlineStr">
        <is>
          <t>Initial</t>
        </is>
      </c>
      <c r="N436" s="34" t="inlineStr">
        <is>
          <t>Rev 0</t>
        </is>
      </c>
      <c r="O436" s="34" t="inlineStr">
        <is>
          <t>R1229-v1</t>
        </is>
      </c>
      <c r="P436" s="39" t="inlineStr"/>
      <c r="Q436" s="14" t="inlineStr"/>
      <c r="R436" s="39" t="inlineStr"/>
      <c r="S436" s="39" t="inlineStr"/>
      <c r="T436" s="39" t="inlineStr"/>
      <c r="U436" s="39" t="inlineStr"/>
      <c r="V436" s="34" t="inlineStr">
        <is>
          <t>Cost Account = CA-2067; WBS Code = 1.2.1</t>
        </is>
      </c>
      <c r="W436" s="14" t="inlineStr"/>
    </row>
    <row r="437" ht="49" customHeight="1">
      <c r="A437" s="34" t="inlineStr">
        <is>
          <t>1.2.1</t>
        </is>
      </c>
      <c r="B437" s="34" t="inlineStr">
        <is>
          <t>Stations - Station Structures</t>
        </is>
      </c>
      <c r="C437" s="34" t="inlineStr">
        <is>
          <t>Cost &amp; Forecast Control Accounts</t>
        </is>
      </c>
      <c r="D437" s="34" t="inlineStr">
        <is>
          <t>CST-02-069</t>
        </is>
      </c>
      <c r="E437" s="34" t="inlineStr">
        <is>
          <t>Stations - building services - supply and install</t>
        </is>
      </c>
      <c r="F437" s="34" t="inlineStr">
        <is>
          <t>ONE_TO_ONE</t>
        </is>
      </c>
      <c r="G437" s="34" t="inlineStr">
        <is>
          <t>APPROVED</t>
        </is>
      </c>
      <c r="H437" s="34" t="inlineStr">
        <is>
          <t>New</t>
        </is>
      </c>
      <c r="I437" s="34" t="inlineStr">
        <is>
          <t>Source assignment -- not individually reviewed</t>
        </is>
      </c>
      <c r="J437" s="39" t="inlineStr"/>
      <c r="K437" s="34" t="inlineStr">
        <is>
          <t>Source assignment</t>
        </is>
      </c>
      <c r="L437" s="39" t="inlineStr"/>
      <c r="M437" s="34" t="inlineStr">
        <is>
          <t>Initial</t>
        </is>
      </c>
      <c r="N437" s="34" t="inlineStr">
        <is>
          <t>Rev 0</t>
        </is>
      </c>
      <c r="O437" s="34" t="inlineStr">
        <is>
          <t>R1231-v1</t>
        </is>
      </c>
      <c r="P437" s="39" t="inlineStr"/>
      <c r="Q437" s="14" t="inlineStr"/>
      <c r="R437" s="39" t="inlineStr"/>
      <c r="S437" s="39" t="inlineStr"/>
      <c r="T437" s="39" t="inlineStr"/>
      <c r="U437" s="39" t="inlineStr"/>
      <c r="V437" s="34" t="inlineStr">
        <is>
          <t>Cost Account = CA-2069; WBS Code = 1.2.1</t>
        </is>
      </c>
      <c r="W437" s="14" t="inlineStr"/>
    </row>
    <row r="438" ht="49" customHeight="1">
      <c r="A438" s="34" t="inlineStr">
        <is>
          <t>1.2.1</t>
        </is>
      </c>
      <c r="B438" s="34" t="inlineStr">
        <is>
          <t>Stations - Station Structures</t>
        </is>
      </c>
      <c r="C438" s="34" t="inlineStr">
        <is>
          <t>Cost &amp; Forecast Control Accounts</t>
        </is>
      </c>
      <c r="D438" s="34" t="inlineStr">
        <is>
          <t>CST-02-071</t>
        </is>
      </c>
      <c r="E438" s="34" t="inlineStr">
        <is>
          <t>Stations - station structure - allowance</t>
        </is>
      </c>
      <c r="F438" s="34" t="inlineStr">
        <is>
          <t>ONE_TO_ONE</t>
        </is>
      </c>
      <c r="G438" s="34" t="inlineStr">
        <is>
          <t>APPROVED</t>
        </is>
      </c>
      <c r="H438" s="34" t="inlineStr">
        <is>
          <t>New</t>
        </is>
      </c>
      <c r="I438" s="34" t="inlineStr">
        <is>
          <t>Source assignment -- not individually reviewed</t>
        </is>
      </c>
      <c r="J438" s="39" t="inlineStr"/>
      <c r="K438" s="34" t="inlineStr">
        <is>
          <t>Source assignment</t>
        </is>
      </c>
      <c r="L438" s="39" t="inlineStr"/>
      <c r="M438" s="34" t="inlineStr">
        <is>
          <t>Initial</t>
        </is>
      </c>
      <c r="N438" s="34" t="inlineStr">
        <is>
          <t>Rev 0</t>
        </is>
      </c>
      <c r="O438" s="34" t="inlineStr">
        <is>
          <t>R1233-v1</t>
        </is>
      </c>
      <c r="P438" s="39" t="inlineStr"/>
      <c r="Q438" s="14" t="inlineStr"/>
      <c r="R438" s="39" t="inlineStr"/>
      <c r="S438" s="39" t="inlineStr"/>
      <c r="T438" s="39" t="inlineStr"/>
      <c r="U438" s="39" t="inlineStr"/>
      <c r="V438" s="34" t="inlineStr">
        <is>
          <t>Cost Account = CA-2071; WBS Code = 1.2.1</t>
        </is>
      </c>
      <c r="W438" s="14" t="inlineStr"/>
    </row>
    <row r="439" ht="49" customHeight="1">
      <c r="A439" s="34" t="inlineStr">
        <is>
          <t>1.2.1</t>
        </is>
      </c>
      <c r="B439" s="34" t="inlineStr">
        <is>
          <t>Stations - Station Structures</t>
        </is>
      </c>
      <c r="C439" s="34" t="inlineStr">
        <is>
          <t>Cost &amp; Forecast Control Accounts</t>
        </is>
      </c>
      <c r="D439" s="34" t="inlineStr">
        <is>
          <t>CST-02-073</t>
        </is>
      </c>
      <c r="E439" s="34" t="inlineStr">
        <is>
          <t>Stations - public realm - field package</t>
        </is>
      </c>
      <c r="F439" s="34" t="inlineStr">
        <is>
          <t>ONE_TO_ONE</t>
        </is>
      </c>
      <c r="G439" s="34" t="inlineStr">
        <is>
          <t>APPROVED</t>
        </is>
      </c>
      <c r="H439" s="34" t="inlineStr">
        <is>
          <t>New</t>
        </is>
      </c>
      <c r="I439" s="34" t="inlineStr">
        <is>
          <t>Source assignment -- not individually reviewed</t>
        </is>
      </c>
      <c r="J439" s="39" t="inlineStr"/>
      <c r="K439" s="34" t="inlineStr">
        <is>
          <t>Source assignment</t>
        </is>
      </c>
      <c r="L439" s="39" t="inlineStr"/>
      <c r="M439" s="34" t="inlineStr">
        <is>
          <t>Initial</t>
        </is>
      </c>
      <c r="N439" s="34" t="inlineStr">
        <is>
          <t>Rev 0</t>
        </is>
      </c>
      <c r="O439" s="34" t="inlineStr">
        <is>
          <t>R1235-v1</t>
        </is>
      </c>
      <c r="P439" s="39" t="inlineStr"/>
      <c r="Q439" s="14" t="inlineStr"/>
      <c r="R439" s="39" t="inlineStr"/>
      <c r="S439" s="39" t="inlineStr"/>
      <c r="T439" s="39" t="inlineStr"/>
      <c r="U439" s="39" t="inlineStr"/>
      <c r="V439" s="34" t="inlineStr">
        <is>
          <t>Cost Account = CA-2073; WBS Code = 1.2.1</t>
        </is>
      </c>
      <c r="W439" s="14" t="inlineStr"/>
    </row>
    <row r="440" ht="49" customHeight="1">
      <c r="A440" s="34" t="inlineStr">
        <is>
          <t>1.2.1</t>
        </is>
      </c>
      <c r="B440" s="34" t="inlineStr">
        <is>
          <t>Stations - Station Structures</t>
        </is>
      </c>
      <c r="C440" s="34" t="inlineStr">
        <is>
          <t>Cost &amp; Forecast Control Accounts</t>
        </is>
      </c>
      <c r="D440" s="34" t="inlineStr">
        <is>
          <t>CST-02-075</t>
        </is>
      </c>
      <c r="E440" s="34" t="inlineStr">
        <is>
          <t>Stations - building services - professional services</t>
        </is>
      </c>
      <c r="F440" s="34" t="inlineStr">
        <is>
          <t>ONE_TO_ONE</t>
        </is>
      </c>
      <c r="G440" s="34" t="inlineStr">
        <is>
          <t>APPROVED</t>
        </is>
      </c>
      <c r="H440" s="34" t="inlineStr">
        <is>
          <t>New</t>
        </is>
      </c>
      <c r="I440" s="34" t="inlineStr">
        <is>
          <t>Source assignment -- not individually reviewed</t>
        </is>
      </c>
      <c r="J440" s="39" t="inlineStr"/>
      <c r="K440" s="34" t="inlineStr">
        <is>
          <t>Source assignment</t>
        </is>
      </c>
      <c r="L440" s="39" t="inlineStr"/>
      <c r="M440" s="34" t="inlineStr">
        <is>
          <t>Initial</t>
        </is>
      </c>
      <c r="N440" s="34" t="inlineStr">
        <is>
          <t>Rev 0</t>
        </is>
      </c>
      <c r="O440" s="34" t="inlineStr">
        <is>
          <t>R1237-v1</t>
        </is>
      </c>
      <c r="P440" s="39" t="inlineStr"/>
      <c r="Q440" s="14" t="inlineStr"/>
      <c r="R440" s="39" t="inlineStr"/>
      <c r="S440" s="39" t="inlineStr"/>
      <c r="T440" s="39" t="inlineStr"/>
      <c r="U440" s="39" t="inlineStr"/>
      <c r="V440" s="34" t="inlineStr">
        <is>
          <t>Cost Account = CA-2075; WBS Code = 1.2.1</t>
        </is>
      </c>
      <c r="W440" s="14" t="inlineStr"/>
    </row>
    <row r="441" ht="49" customHeight="1">
      <c r="A441" s="34" t="inlineStr">
        <is>
          <t>1.2.1</t>
        </is>
      </c>
      <c r="B441" s="34" t="inlineStr">
        <is>
          <t>Stations - Station Structures</t>
        </is>
      </c>
      <c r="C441" s="34" t="inlineStr">
        <is>
          <t>Cost &amp; Forecast Control Accounts</t>
        </is>
      </c>
      <c r="D441" s="34" t="inlineStr">
        <is>
          <t>CST-02-077</t>
        </is>
      </c>
      <c r="E441" s="34" t="inlineStr">
        <is>
          <t>Stations - station structure - closeout</t>
        </is>
      </c>
      <c r="F441" s="34" t="inlineStr">
        <is>
          <t>ONE_TO_ONE</t>
        </is>
      </c>
      <c r="G441" s="34" t="inlineStr">
        <is>
          <t>APPROVED</t>
        </is>
      </c>
      <c r="H441" s="34" t="inlineStr">
        <is>
          <t>New</t>
        </is>
      </c>
      <c r="I441" s="34" t="inlineStr">
        <is>
          <t>Source assignment -- not individually reviewed</t>
        </is>
      </c>
      <c r="J441" s="39" t="inlineStr"/>
      <c r="K441" s="34" t="inlineStr">
        <is>
          <t>Source assignment</t>
        </is>
      </c>
      <c r="L441" s="39" t="inlineStr"/>
      <c r="M441" s="34" t="inlineStr">
        <is>
          <t>Initial</t>
        </is>
      </c>
      <c r="N441" s="34" t="inlineStr">
        <is>
          <t>Rev 0</t>
        </is>
      </c>
      <c r="O441" s="34" t="inlineStr">
        <is>
          <t>R1239-v1</t>
        </is>
      </c>
      <c r="P441" s="39" t="inlineStr"/>
      <c r="Q441" s="14" t="inlineStr"/>
      <c r="R441" s="39" t="inlineStr"/>
      <c r="S441" s="39" t="inlineStr"/>
      <c r="T441" s="39" t="inlineStr"/>
      <c r="U441" s="39" t="inlineStr"/>
      <c r="V441" s="34" t="inlineStr">
        <is>
          <t>Cost Account = CA-2077; WBS Code = 1.2.1</t>
        </is>
      </c>
      <c r="W441" s="14" t="inlineStr"/>
    </row>
    <row r="442" ht="49" customHeight="1">
      <c r="A442" s="34" t="inlineStr">
        <is>
          <t>1.2.1</t>
        </is>
      </c>
      <c r="B442" s="34" t="inlineStr">
        <is>
          <t>Stations - Station Structures</t>
        </is>
      </c>
      <c r="C442" s="34" t="inlineStr">
        <is>
          <t>Cost &amp; Forecast Control Accounts</t>
        </is>
      </c>
      <c r="D442" s="34" t="inlineStr">
        <is>
          <t>CST-02-079</t>
        </is>
      </c>
      <c r="E442" s="34" t="inlineStr">
        <is>
          <t>Stations - public realm - supply and install</t>
        </is>
      </c>
      <c r="F442" s="34" t="inlineStr">
        <is>
          <t>ONE_TO_ONE</t>
        </is>
      </c>
      <c r="G442" s="34" t="inlineStr">
        <is>
          <t>APPROVED</t>
        </is>
      </c>
      <c r="H442" s="34" t="inlineStr">
        <is>
          <t>New</t>
        </is>
      </c>
      <c r="I442" s="34" t="inlineStr">
        <is>
          <t>Source assignment -- not individually reviewed</t>
        </is>
      </c>
      <c r="J442" s="39" t="inlineStr"/>
      <c r="K442" s="34" t="inlineStr">
        <is>
          <t>Source assignment</t>
        </is>
      </c>
      <c r="L442" s="39" t="inlineStr"/>
      <c r="M442" s="34" t="inlineStr">
        <is>
          <t>Initial</t>
        </is>
      </c>
      <c r="N442" s="34" t="inlineStr">
        <is>
          <t>Rev 0</t>
        </is>
      </c>
      <c r="O442" s="34" t="inlineStr">
        <is>
          <t>R1241-v1</t>
        </is>
      </c>
      <c r="P442" s="39" t="inlineStr"/>
      <c r="Q442" s="14" t="inlineStr"/>
      <c r="R442" s="39" t="inlineStr"/>
      <c r="S442" s="39" t="inlineStr"/>
      <c r="T442" s="39" t="inlineStr"/>
      <c r="U442" s="39" t="inlineStr"/>
      <c r="V442" s="34" t="inlineStr">
        <is>
          <t>Cost Account = CA-2079; WBS Code = 1.2.1</t>
        </is>
      </c>
      <c r="W442" s="14" t="inlineStr"/>
    </row>
    <row r="443" ht="49" customHeight="1">
      <c r="A443" s="34" t="inlineStr">
        <is>
          <t>1.2.2</t>
        </is>
      </c>
      <c r="B443" s="34" t="inlineStr">
        <is>
          <t>Stations - Architectural Fit-Out</t>
        </is>
      </c>
      <c r="C443" s="34" t="inlineStr">
        <is>
          <t>Contractor Programme</t>
        </is>
      </c>
      <c r="D443" s="34" t="inlineStr">
        <is>
          <t>SCH-02-006</t>
        </is>
      </c>
      <c r="E443" s="34" t="inlineStr">
        <is>
          <t>Harbour Station: station ventilation rough-in - inspection</t>
        </is>
      </c>
      <c r="F443" s="34" t="inlineStr">
        <is>
          <t>ONE_TO_ONE</t>
        </is>
      </c>
      <c r="G443" s="34" t="inlineStr">
        <is>
          <t>APPROVED</t>
        </is>
      </c>
      <c r="H443" s="34" t="inlineStr">
        <is>
          <t>New</t>
        </is>
      </c>
      <c r="I443" s="34" t="inlineStr">
        <is>
          <t>Source assignment -- not individually reviewed</t>
        </is>
      </c>
      <c r="J443" s="39" t="inlineStr"/>
      <c r="K443" s="34" t="inlineStr">
        <is>
          <t>Source assignment</t>
        </is>
      </c>
      <c r="L443" s="39" t="inlineStr"/>
      <c r="M443" s="34" t="inlineStr">
        <is>
          <t>Initial</t>
        </is>
      </c>
      <c r="N443" s="34" t="inlineStr">
        <is>
          <t>Rev 0</t>
        </is>
      </c>
      <c r="O443" s="34" t="inlineStr">
        <is>
          <t>R186-v1</t>
        </is>
      </c>
      <c r="P443" s="39" t="inlineStr"/>
      <c r="Q443" s="14" t="inlineStr"/>
      <c r="R443" s="39" t="inlineStr"/>
      <c r="S443" s="39" t="inlineStr"/>
      <c r="T443" s="39" t="inlineStr"/>
      <c r="U443" s="39" t="inlineStr"/>
      <c r="V443" s="34" t="inlineStr">
        <is>
          <t>WBS Code = 1.2.2</t>
        </is>
      </c>
      <c r="W443" s="14" t="inlineStr"/>
    </row>
    <row r="444" ht="49" customHeight="1">
      <c r="A444" s="34" t="inlineStr">
        <is>
          <t>1.2.2</t>
        </is>
      </c>
      <c r="B444" s="34" t="inlineStr">
        <is>
          <t>Stations - Architectural Fit-Out</t>
        </is>
      </c>
      <c r="C444" s="34" t="inlineStr">
        <is>
          <t>Contractor Programme</t>
        </is>
      </c>
      <c r="D444" s="34" t="inlineStr">
        <is>
          <t>SCH-02-009</t>
        </is>
      </c>
      <c r="E444" s="34" t="inlineStr">
        <is>
          <t>University Station: vertical-transport installation - field start</t>
        </is>
      </c>
      <c r="F444" s="34" t="inlineStr">
        <is>
          <t>ONE_TO_ONE</t>
        </is>
      </c>
      <c r="G444" s="34" t="inlineStr">
        <is>
          <t>APPROVED</t>
        </is>
      </c>
      <c r="H444" s="34" t="inlineStr">
        <is>
          <t>New</t>
        </is>
      </c>
      <c r="I444" s="34" t="inlineStr">
        <is>
          <t>Source assignment -- not individually reviewed</t>
        </is>
      </c>
      <c r="J444" s="39" t="inlineStr"/>
      <c r="K444" s="34" t="inlineStr">
        <is>
          <t>Source assignment</t>
        </is>
      </c>
      <c r="L444" s="39" t="inlineStr"/>
      <c r="M444" s="34" t="inlineStr">
        <is>
          <t>Initial</t>
        </is>
      </c>
      <c r="N444" s="34" t="inlineStr">
        <is>
          <t>Rev 0</t>
        </is>
      </c>
      <c r="O444" s="34" t="inlineStr">
        <is>
          <t>R189-v1</t>
        </is>
      </c>
      <c r="P444" s="39" t="inlineStr"/>
      <c r="Q444" s="14" t="inlineStr"/>
      <c r="R444" s="39" t="inlineStr"/>
      <c r="S444" s="39" t="inlineStr"/>
      <c r="T444" s="39" t="inlineStr"/>
      <c r="U444" s="39" t="inlineStr"/>
      <c r="V444" s="34" t="inlineStr">
        <is>
          <t>WBS Code = 1.2.2</t>
        </is>
      </c>
      <c r="W444" s="14" t="inlineStr"/>
    </row>
    <row r="445" ht="49" customHeight="1">
      <c r="A445" s="34" t="inlineStr">
        <is>
          <t>1.2.2</t>
        </is>
      </c>
      <c r="B445" s="34" t="inlineStr">
        <is>
          <t>Stations - Architectural Fit-Out</t>
        </is>
      </c>
      <c r="C445" s="34" t="inlineStr">
        <is>
          <t>Contractor Programme</t>
        </is>
      </c>
      <c r="D445" s="34" t="inlineStr">
        <is>
          <t>SCH-02-012</t>
        </is>
      </c>
      <c r="E445" s="34" t="inlineStr">
        <is>
          <t>Market Station: fire-life-safety cabling - turnover</t>
        </is>
      </c>
      <c r="F445" s="34" t="inlineStr">
        <is>
          <t>ONE_TO_ONE</t>
        </is>
      </c>
      <c r="G445" s="34" t="inlineStr">
        <is>
          <t>APPROVED</t>
        </is>
      </c>
      <c r="H445" s="34" t="inlineStr">
        <is>
          <t>New</t>
        </is>
      </c>
      <c r="I445" s="34" t="inlineStr">
        <is>
          <t>Source assignment -- not individually reviewed</t>
        </is>
      </c>
      <c r="J445" s="39" t="inlineStr"/>
      <c r="K445" s="34" t="inlineStr">
        <is>
          <t>Source assignment</t>
        </is>
      </c>
      <c r="L445" s="39" t="inlineStr"/>
      <c r="M445" s="34" t="inlineStr">
        <is>
          <t>Initial</t>
        </is>
      </c>
      <c r="N445" s="34" t="inlineStr">
        <is>
          <t>Rev 0</t>
        </is>
      </c>
      <c r="O445" s="34" t="inlineStr">
        <is>
          <t>R192-v1</t>
        </is>
      </c>
      <c r="P445" s="39" t="inlineStr"/>
      <c r="Q445" s="14" t="inlineStr"/>
      <c r="R445" s="39" t="inlineStr"/>
      <c r="S445" s="39" t="inlineStr"/>
      <c r="T445" s="39" t="inlineStr"/>
      <c r="U445" s="39" t="inlineStr"/>
      <c r="V445" s="34" t="inlineStr">
        <is>
          <t>WBS Code = 1.2.2</t>
        </is>
      </c>
      <c r="W445" s="14" t="inlineStr"/>
    </row>
    <row r="446" ht="49" customHeight="1">
      <c r="A446" s="34" t="inlineStr">
        <is>
          <t>1.2.2</t>
        </is>
      </c>
      <c r="B446" s="34" t="inlineStr">
        <is>
          <t>Stations - Architectural Fit-Out</t>
        </is>
      </c>
      <c r="C446" s="34" t="inlineStr">
        <is>
          <t>Contractor Programme</t>
        </is>
      </c>
      <c r="D446" s="34" t="inlineStr">
        <is>
          <t>SCH-02-015</t>
        </is>
      </c>
      <c r="E446" s="34" t="inlineStr">
        <is>
          <t>West Terminal: public-realm paving - installation</t>
        </is>
      </c>
      <c r="F446" s="34" t="inlineStr">
        <is>
          <t>ONE_TO_ONE</t>
        </is>
      </c>
      <c r="G446" s="34" t="inlineStr">
        <is>
          <t>APPROVED</t>
        </is>
      </c>
      <c r="H446" s="34" t="inlineStr">
        <is>
          <t>New</t>
        </is>
      </c>
      <c r="I446" s="34" t="inlineStr">
        <is>
          <t>Source assignment -- not individually reviewed</t>
        </is>
      </c>
      <c r="J446" s="39" t="inlineStr"/>
      <c r="K446" s="34" t="inlineStr">
        <is>
          <t>Source assignment</t>
        </is>
      </c>
      <c r="L446" s="39" t="inlineStr"/>
      <c r="M446" s="34" t="inlineStr">
        <is>
          <t>Initial</t>
        </is>
      </c>
      <c r="N446" s="34" t="inlineStr">
        <is>
          <t>Rev 0</t>
        </is>
      </c>
      <c r="O446" s="34" t="inlineStr">
        <is>
          <t>R195-v1</t>
        </is>
      </c>
      <c r="P446" s="39" t="inlineStr"/>
      <c r="Q446" s="14" t="inlineStr"/>
      <c r="R446" s="39" t="inlineStr"/>
      <c r="S446" s="39" t="inlineStr"/>
      <c r="T446" s="39" t="inlineStr"/>
      <c r="U446" s="39" t="inlineStr"/>
      <c r="V446" s="34" t="inlineStr">
        <is>
          <t>WBS Code = 1.2.2</t>
        </is>
      </c>
      <c r="W446" s="14" t="inlineStr"/>
    </row>
    <row r="447" ht="49" customHeight="1">
      <c r="A447" s="34" t="inlineStr">
        <is>
          <t>1.2.2</t>
        </is>
      </c>
      <c r="B447" s="34" t="inlineStr">
        <is>
          <t>Stations - Architectural Fit-Out</t>
        </is>
      </c>
      <c r="C447" s="34" t="inlineStr">
        <is>
          <t>Contractor Programme</t>
        </is>
      </c>
      <c r="D447" s="34" t="inlineStr">
        <is>
          <t>SCH-02-018</t>
        </is>
      </c>
      <c r="E447" s="34" t="inlineStr">
        <is>
          <t>Civic Station: platform edge installation - release</t>
        </is>
      </c>
      <c r="F447" s="34" t="inlineStr">
        <is>
          <t>ONE_TO_ONE</t>
        </is>
      </c>
      <c r="G447" s="34" t="inlineStr">
        <is>
          <t>APPROVED</t>
        </is>
      </c>
      <c r="H447" s="34" t="inlineStr">
        <is>
          <t>New</t>
        </is>
      </c>
      <c r="I447" s="34" t="inlineStr">
        <is>
          <t>Source assignment -- not individually reviewed</t>
        </is>
      </c>
      <c r="J447" s="39" t="inlineStr"/>
      <c r="K447" s="34" t="inlineStr">
        <is>
          <t>Source assignment</t>
        </is>
      </c>
      <c r="L447" s="39" t="inlineStr"/>
      <c r="M447" s="34" t="inlineStr">
        <is>
          <t>Initial</t>
        </is>
      </c>
      <c r="N447" s="34" t="inlineStr">
        <is>
          <t>Rev 0</t>
        </is>
      </c>
      <c r="O447" s="34" t="inlineStr">
        <is>
          <t>R198-v1</t>
        </is>
      </c>
      <c r="P447" s="39" t="inlineStr"/>
      <c r="Q447" s="14" t="inlineStr"/>
      <c r="R447" s="39" t="inlineStr"/>
      <c r="S447" s="39" t="inlineStr"/>
      <c r="T447" s="39" t="inlineStr"/>
      <c r="U447" s="39" t="inlineStr"/>
      <c r="V447" s="34" t="inlineStr">
        <is>
          <t>WBS Code = 1.2.2</t>
        </is>
      </c>
      <c r="W447" s="14" t="inlineStr"/>
    </row>
    <row r="448" ht="49" customHeight="1">
      <c r="A448" s="34" t="inlineStr">
        <is>
          <t>1.2.2</t>
        </is>
      </c>
      <c r="B448" s="34" t="inlineStr">
        <is>
          <t>Stations - Architectural Fit-Out</t>
        </is>
      </c>
      <c r="C448" s="34" t="inlineStr">
        <is>
          <t>Contractor Programme</t>
        </is>
      </c>
      <c r="D448" s="34" t="inlineStr">
        <is>
          <t>SCH-02-021</t>
        </is>
      </c>
      <c r="E448" s="34" t="inlineStr">
        <is>
          <t>Harbour Station: concourse slab pour - inspection</t>
        </is>
      </c>
      <c r="F448" s="34" t="inlineStr">
        <is>
          <t>ONE_TO_ONE</t>
        </is>
      </c>
      <c r="G448" s="34" t="inlineStr">
        <is>
          <t>APPROVED</t>
        </is>
      </c>
      <c r="H448" s="34" t="inlineStr">
        <is>
          <t>New</t>
        </is>
      </c>
      <c r="I448" s="34" t="inlineStr">
        <is>
          <t>Source assignment -- not individually reviewed</t>
        </is>
      </c>
      <c r="J448" s="39" t="inlineStr"/>
      <c r="K448" s="34" t="inlineStr">
        <is>
          <t>Source assignment</t>
        </is>
      </c>
      <c r="L448" s="39" t="inlineStr"/>
      <c r="M448" s="34" t="inlineStr">
        <is>
          <t>Initial</t>
        </is>
      </c>
      <c r="N448" s="34" t="inlineStr">
        <is>
          <t>Rev 0</t>
        </is>
      </c>
      <c r="O448" s="34" t="inlineStr">
        <is>
          <t>R201-v1</t>
        </is>
      </c>
      <c r="P448" s="39" t="inlineStr"/>
      <c r="Q448" s="14" t="inlineStr"/>
      <c r="R448" s="39" t="inlineStr"/>
      <c r="S448" s="39" t="inlineStr"/>
      <c r="T448" s="39" t="inlineStr"/>
      <c r="U448" s="39" t="inlineStr"/>
      <c r="V448" s="34" t="inlineStr">
        <is>
          <t>WBS Code = 1.2.2</t>
        </is>
      </c>
      <c r="W448" s="14" t="inlineStr"/>
    </row>
    <row r="449" ht="49" customHeight="1">
      <c r="A449" s="34" t="inlineStr">
        <is>
          <t>1.2.2</t>
        </is>
      </c>
      <c r="B449" s="34" t="inlineStr">
        <is>
          <t>Stations - Architectural Fit-Out</t>
        </is>
      </c>
      <c r="C449" s="34" t="inlineStr">
        <is>
          <t>Contractor Programme</t>
        </is>
      </c>
      <c r="D449" s="34" t="inlineStr">
        <is>
          <t>SCH-02-024</t>
        </is>
      </c>
      <c r="E449" s="34" t="inlineStr">
        <is>
          <t>University Station: entrance steel erection - field start</t>
        </is>
      </c>
      <c r="F449" s="34" t="inlineStr">
        <is>
          <t>ONE_TO_ONE</t>
        </is>
      </c>
      <c r="G449" s="34" t="inlineStr">
        <is>
          <t>APPROVED</t>
        </is>
      </c>
      <c r="H449" s="34" t="inlineStr">
        <is>
          <t>New</t>
        </is>
      </c>
      <c r="I449" s="34" t="inlineStr">
        <is>
          <t>Source assignment -- not individually reviewed</t>
        </is>
      </c>
      <c r="J449" s="39" t="inlineStr"/>
      <c r="K449" s="34" t="inlineStr">
        <is>
          <t>Source assignment</t>
        </is>
      </c>
      <c r="L449" s="39" t="inlineStr"/>
      <c r="M449" s="34" t="inlineStr">
        <is>
          <t>Initial</t>
        </is>
      </c>
      <c r="N449" s="34" t="inlineStr">
        <is>
          <t>Rev 0</t>
        </is>
      </c>
      <c r="O449" s="34" t="inlineStr">
        <is>
          <t>R204-v1</t>
        </is>
      </c>
      <c r="P449" s="39" t="inlineStr"/>
      <c r="Q449" s="14" t="inlineStr"/>
      <c r="R449" s="39" t="inlineStr"/>
      <c r="S449" s="39" t="inlineStr"/>
      <c r="T449" s="39" t="inlineStr"/>
      <c r="U449" s="39" t="inlineStr"/>
      <c r="V449" s="34" t="inlineStr">
        <is>
          <t>WBS Code = 1.2.2</t>
        </is>
      </c>
      <c r="W449" s="14" t="inlineStr"/>
    </row>
    <row r="450" ht="49" customHeight="1">
      <c r="A450" s="34" t="inlineStr">
        <is>
          <t>1.2.2</t>
        </is>
      </c>
      <c r="B450" s="34" t="inlineStr">
        <is>
          <t>Stations - Architectural Fit-Out</t>
        </is>
      </c>
      <c r="C450" s="34" t="inlineStr">
        <is>
          <t>Contractor Programme</t>
        </is>
      </c>
      <c r="D450" s="34" t="inlineStr">
        <is>
          <t>SCH-02-027</t>
        </is>
      </c>
      <c r="E450" s="34" t="inlineStr">
        <is>
          <t>Market Station: architectural wall framing - turnover</t>
        </is>
      </c>
      <c r="F450" s="34" t="inlineStr">
        <is>
          <t>ONE_TO_ONE</t>
        </is>
      </c>
      <c r="G450" s="34" t="inlineStr">
        <is>
          <t>APPROVED</t>
        </is>
      </c>
      <c r="H450" s="34" t="inlineStr">
        <is>
          <t>New</t>
        </is>
      </c>
      <c r="I450" s="34" t="inlineStr">
        <is>
          <t>Source assignment -- not individually reviewed</t>
        </is>
      </c>
      <c r="J450" s="39" t="inlineStr"/>
      <c r="K450" s="34" t="inlineStr">
        <is>
          <t>Source assignment</t>
        </is>
      </c>
      <c r="L450" s="39" t="inlineStr"/>
      <c r="M450" s="34" t="inlineStr">
        <is>
          <t>Initial</t>
        </is>
      </c>
      <c r="N450" s="34" t="inlineStr">
        <is>
          <t>Rev 0</t>
        </is>
      </c>
      <c r="O450" s="34" t="inlineStr">
        <is>
          <t>R207-v1</t>
        </is>
      </c>
      <c r="P450" s="39" t="inlineStr"/>
      <c r="Q450" s="14" t="inlineStr"/>
      <c r="R450" s="39" t="inlineStr"/>
      <c r="S450" s="39" t="inlineStr"/>
      <c r="T450" s="39" t="inlineStr"/>
      <c r="U450" s="39" t="inlineStr"/>
      <c r="V450" s="34" t="inlineStr">
        <is>
          <t>WBS Code = 1.2.2</t>
        </is>
      </c>
      <c r="W450" s="14" t="inlineStr"/>
    </row>
    <row r="451" ht="49" customHeight="1">
      <c r="A451" s="34" t="inlineStr">
        <is>
          <t>1.2.2</t>
        </is>
      </c>
      <c r="B451" s="34" t="inlineStr">
        <is>
          <t>Stations - Architectural Fit-Out</t>
        </is>
      </c>
      <c r="C451" s="34" t="inlineStr">
        <is>
          <t>Contractor Programme</t>
        </is>
      </c>
      <c r="D451" s="34" t="inlineStr">
        <is>
          <t>SCH-02-030</t>
        </is>
      </c>
      <c r="E451" s="34" t="inlineStr">
        <is>
          <t>West Terminal: station ventilation rough-in - installation</t>
        </is>
      </c>
      <c r="F451" s="34" t="inlineStr">
        <is>
          <t>ONE_TO_ONE</t>
        </is>
      </c>
      <c r="G451" s="34" t="inlineStr">
        <is>
          <t>APPROVED</t>
        </is>
      </c>
      <c r="H451" s="34" t="inlineStr">
        <is>
          <t>New</t>
        </is>
      </c>
      <c r="I451" s="34" t="inlineStr">
        <is>
          <t>Source assignment -- not individually reviewed</t>
        </is>
      </c>
      <c r="J451" s="39" t="inlineStr"/>
      <c r="K451" s="34" t="inlineStr">
        <is>
          <t>Source assignment</t>
        </is>
      </c>
      <c r="L451" s="39" t="inlineStr"/>
      <c r="M451" s="34" t="inlineStr">
        <is>
          <t>Initial</t>
        </is>
      </c>
      <c r="N451" s="34" t="inlineStr">
        <is>
          <t>Rev 0</t>
        </is>
      </c>
      <c r="O451" s="34" t="inlineStr">
        <is>
          <t>R210-v1</t>
        </is>
      </c>
      <c r="P451" s="39" t="inlineStr"/>
      <c r="Q451" s="14" t="inlineStr"/>
      <c r="R451" s="39" t="inlineStr"/>
      <c r="S451" s="39" t="inlineStr"/>
      <c r="T451" s="39" t="inlineStr"/>
      <c r="U451" s="39" t="inlineStr"/>
      <c r="V451" s="34" t="inlineStr">
        <is>
          <t>WBS Code = 1.2.2</t>
        </is>
      </c>
      <c r="W451" s="14" t="inlineStr"/>
    </row>
    <row r="452" ht="49" customHeight="1">
      <c r="A452" s="34" t="inlineStr">
        <is>
          <t>1.2.2</t>
        </is>
      </c>
      <c r="B452" s="34" t="inlineStr">
        <is>
          <t>Stations - Architectural Fit-Out</t>
        </is>
      </c>
      <c r="C452" s="34" t="inlineStr">
        <is>
          <t>Contractor Programme</t>
        </is>
      </c>
      <c r="D452" s="34" t="inlineStr">
        <is>
          <t>SCH-02-033</t>
        </is>
      </c>
      <c r="E452" s="34" t="inlineStr">
        <is>
          <t>Civic Station: vertical-transport installation - release</t>
        </is>
      </c>
      <c r="F452" s="34" t="inlineStr">
        <is>
          <t>ONE_TO_ONE</t>
        </is>
      </c>
      <c r="G452" s="34" t="inlineStr">
        <is>
          <t>APPROVED</t>
        </is>
      </c>
      <c r="H452" s="34" t="inlineStr">
        <is>
          <t>New</t>
        </is>
      </c>
      <c r="I452" s="34" t="inlineStr">
        <is>
          <t>Source assignment -- not individually reviewed</t>
        </is>
      </c>
      <c r="J452" s="39" t="inlineStr"/>
      <c r="K452" s="34" t="inlineStr">
        <is>
          <t>Source assignment</t>
        </is>
      </c>
      <c r="L452" s="39" t="inlineStr"/>
      <c r="M452" s="34" t="inlineStr">
        <is>
          <t>Initial</t>
        </is>
      </c>
      <c r="N452" s="34" t="inlineStr">
        <is>
          <t>Rev 0</t>
        </is>
      </c>
      <c r="O452" s="34" t="inlineStr">
        <is>
          <t>R213-v1</t>
        </is>
      </c>
      <c r="P452" s="39" t="inlineStr"/>
      <c r="Q452" s="14" t="inlineStr"/>
      <c r="R452" s="39" t="inlineStr"/>
      <c r="S452" s="39" t="inlineStr"/>
      <c r="T452" s="39" t="inlineStr"/>
      <c r="U452" s="39" t="inlineStr"/>
      <c r="V452" s="34" t="inlineStr">
        <is>
          <t>WBS Code = 1.2.2</t>
        </is>
      </c>
      <c r="W452" s="14" t="inlineStr"/>
    </row>
    <row r="453" ht="49" customHeight="1">
      <c r="A453" s="34" t="inlineStr">
        <is>
          <t>1.2.2</t>
        </is>
      </c>
      <c r="B453" s="34" t="inlineStr">
        <is>
          <t>Stations - Architectural Fit-Out</t>
        </is>
      </c>
      <c r="C453" s="34" t="inlineStr">
        <is>
          <t>Contractor Programme</t>
        </is>
      </c>
      <c r="D453" s="34" t="inlineStr">
        <is>
          <t>SCH-02-036</t>
        </is>
      </c>
      <c r="E453" s="34" t="inlineStr">
        <is>
          <t>Harbour Station: fire-life-safety cabling - inspection</t>
        </is>
      </c>
      <c r="F453" s="34" t="inlineStr">
        <is>
          <t>ONE_TO_ONE</t>
        </is>
      </c>
      <c r="G453" s="34" t="inlineStr">
        <is>
          <t>APPROVED</t>
        </is>
      </c>
      <c r="H453" s="34" t="inlineStr">
        <is>
          <t>New</t>
        </is>
      </c>
      <c r="I453" s="34" t="inlineStr">
        <is>
          <t>Source assignment -- not individually reviewed</t>
        </is>
      </c>
      <c r="J453" s="39" t="inlineStr"/>
      <c r="K453" s="34" t="inlineStr">
        <is>
          <t>Source assignment</t>
        </is>
      </c>
      <c r="L453" s="39" t="inlineStr"/>
      <c r="M453" s="34" t="inlineStr">
        <is>
          <t>Initial</t>
        </is>
      </c>
      <c r="N453" s="34" t="inlineStr">
        <is>
          <t>Rev 0</t>
        </is>
      </c>
      <c r="O453" s="34" t="inlineStr">
        <is>
          <t>R216-v1</t>
        </is>
      </c>
      <c r="P453" s="39" t="inlineStr"/>
      <c r="Q453" s="14" t="inlineStr"/>
      <c r="R453" s="39" t="inlineStr"/>
      <c r="S453" s="39" t="inlineStr"/>
      <c r="T453" s="39" t="inlineStr"/>
      <c r="U453" s="39" t="inlineStr"/>
      <c r="V453" s="34" t="inlineStr">
        <is>
          <t>WBS Code = 1.2.2</t>
        </is>
      </c>
      <c r="W453" s="14" t="inlineStr"/>
    </row>
    <row r="454" ht="49" customHeight="1">
      <c r="A454" s="34" t="inlineStr">
        <is>
          <t>1.2.2</t>
        </is>
      </c>
      <c r="B454" s="34" t="inlineStr">
        <is>
          <t>Stations - Architectural Fit-Out</t>
        </is>
      </c>
      <c r="C454" s="34" t="inlineStr">
        <is>
          <t>Contractor Programme</t>
        </is>
      </c>
      <c r="D454" s="34" t="inlineStr">
        <is>
          <t>SCH-02-039</t>
        </is>
      </c>
      <c r="E454" s="34" t="inlineStr">
        <is>
          <t>University Station: public-realm paving - field start</t>
        </is>
      </c>
      <c r="F454" s="34" t="inlineStr">
        <is>
          <t>ONE_TO_ONE</t>
        </is>
      </c>
      <c r="G454" s="34" t="inlineStr">
        <is>
          <t>APPROVED</t>
        </is>
      </c>
      <c r="H454" s="34" t="inlineStr">
        <is>
          <t>New</t>
        </is>
      </c>
      <c r="I454" s="34" t="inlineStr">
        <is>
          <t>Source assignment -- not individually reviewed</t>
        </is>
      </c>
      <c r="J454" s="39" t="inlineStr"/>
      <c r="K454" s="34" t="inlineStr">
        <is>
          <t>Source assignment</t>
        </is>
      </c>
      <c r="L454" s="39" t="inlineStr"/>
      <c r="M454" s="34" t="inlineStr">
        <is>
          <t>Initial</t>
        </is>
      </c>
      <c r="N454" s="34" t="inlineStr">
        <is>
          <t>Rev 0</t>
        </is>
      </c>
      <c r="O454" s="34" t="inlineStr">
        <is>
          <t>R219-v1</t>
        </is>
      </c>
      <c r="P454" s="39" t="inlineStr"/>
      <c r="Q454" s="14" t="inlineStr"/>
      <c r="R454" s="39" t="inlineStr"/>
      <c r="S454" s="39" t="inlineStr"/>
      <c r="T454" s="39" t="inlineStr"/>
      <c r="U454" s="39" t="inlineStr"/>
      <c r="V454" s="34" t="inlineStr">
        <is>
          <t>WBS Code = 1.2.2</t>
        </is>
      </c>
      <c r="W454" s="14" t="inlineStr"/>
    </row>
    <row r="455" ht="49" customHeight="1">
      <c r="A455" s="34" t="inlineStr">
        <is>
          <t>1.2.2</t>
        </is>
      </c>
      <c r="B455" s="34" t="inlineStr">
        <is>
          <t>Stations - Architectural Fit-Out</t>
        </is>
      </c>
      <c r="C455" s="34" t="inlineStr">
        <is>
          <t>Contractor Programme</t>
        </is>
      </c>
      <c r="D455" s="34" t="inlineStr">
        <is>
          <t>SCH-02-042</t>
        </is>
      </c>
      <c r="E455" s="34" t="inlineStr">
        <is>
          <t>Market Station: platform edge installation - turnover</t>
        </is>
      </c>
      <c r="F455" s="34" t="inlineStr">
        <is>
          <t>ONE_TO_ONE</t>
        </is>
      </c>
      <c r="G455" s="34" t="inlineStr">
        <is>
          <t>APPROVED</t>
        </is>
      </c>
      <c r="H455" s="34" t="inlineStr">
        <is>
          <t>New</t>
        </is>
      </c>
      <c r="I455" s="34" t="inlineStr">
        <is>
          <t>Source assignment -- not individually reviewed</t>
        </is>
      </c>
      <c r="J455" s="39" t="inlineStr"/>
      <c r="K455" s="34" t="inlineStr">
        <is>
          <t>Source assignment</t>
        </is>
      </c>
      <c r="L455" s="39" t="inlineStr"/>
      <c r="M455" s="34" t="inlineStr">
        <is>
          <t>Initial</t>
        </is>
      </c>
      <c r="N455" s="34" t="inlineStr">
        <is>
          <t>Rev 0</t>
        </is>
      </c>
      <c r="O455" s="34" t="inlineStr">
        <is>
          <t>R222-v1</t>
        </is>
      </c>
      <c r="P455" s="39" t="inlineStr"/>
      <c r="Q455" s="14" t="inlineStr"/>
      <c r="R455" s="39" t="inlineStr"/>
      <c r="S455" s="39" t="inlineStr"/>
      <c r="T455" s="39" t="inlineStr"/>
      <c r="U455" s="39" t="inlineStr"/>
      <c r="V455" s="34" t="inlineStr">
        <is>
          <t>WBS Code = 1.2.2</t>
        </is>
      </c>
      <c r="W455" s="14" t="inlineStr"/>
    </row>
    <row r="456" ht="49" customHeight="1">
      <c r="A456" s="34" t="inlineStr">
        <is>
          <t>1.2.2</t>
        </is>
      </c>
      <c r="B456" s="34" t="inlineStr">
        <is>
          <t>Stations - Architectural Fit-Out</t>
        </is>
      </c>
      <c r="C456" s="34" t="inlineStr">
        <is>
          <t>Contractor Programme</t>
        </is>
      </c>
      <c r="D456" s="34" t="inlineStr">
        <is>
          <t>SCH-02-045</t>
        </is>
      </c>
      <c r="E456" s="34" t="inlineStr">
        <is>
          <t>West Terminal: concourse slab pour - installation</t>
        </is>
      </c>
      <c r="F456" s="34" t="inlineStr">
        <is>
          <t>ONE_TO_ONE</t>
        </is>
      </c>
      <c r="G456" s="34" t="inlineStr">
        <is>
          <t>APPROVED</t>
        </is>
      </c>
      <c r="H456" s="34" t="inlineStr">
        <is>
          <t>New</t>
        </is>
      </c>
      <c r="I456" s="34" t="inlineStr">
        <is>
          <t>Source assignment -- not individually reviewed</t>
        </is>
      </c>
      <c r="J456" s="39" t="inlineStr"/>
      <c r="K456" s="34" t="inlineStr">
        <is>
          <t>Source assignment</t>
        </is>
      </c>
      <c r="L456" s="39" t="inlineStr"/>
      <c r="M456" s="34" t="inlineStr">
        <is>
          <t>Initial</t>
        </is>
      </c>
      <c r="N456" s="34" t="inlineStr">
        <is>
          <t>Rev 0</t>
        </is>
      </c>
      <c r="O456" s="34" t="inlineStr">
        <is>
          <t>R225-v1</t>
        </is>
      </c>
      <c r="P456" s="39" t="inlineStr"/>
      <c r="Q456" s="14" t="inlineStr"/>
      <c r="R456" s="39" t="inlineStr"/>
      <c r="S456" s="39" t="inlineStr"/>
      <c r="T456" s="39" t="inlineStr"/>
      <c r="U456" s="39" t="inlineStr"/>
      <c r="V456" s="34" t="inlineStr">
        <is>
          <t>WBS Code = 1.2.2</t>
        </is>
      </c>
      <c r="W456" s="14" t="inlineStr"/>
    </row>
    <row r="457" ht="49" customHeight="1">
      <c r="A457" s="34" t="inlineStr">
        <is>
          <t>1.2.2</t>
        </is>
      </c>
      <c r="B457" s="34" t="inlineStr">
        <is>
          <t>Stations - Architectural Fit-Out</t>
        </is>
      </c>
      <c r="C457" s="34" t="inlineStr">
        <is>
          <t>Contractor Programme</t>
        </is>
      </c>
      <c r="D457" s="34" t="inlineStr">
        <is>
          <t>SCH-02-048</t>
        </is>
      </c>
      <c r="E457" s="34" t="inlineStr">
        <is>
          <t>Civic Station: entrance steel erection - release</t>
        </is>
      </c>
      <c r="F457" s="34" t="inlineStr">
        <is>
          <t>ONE_TO_ONE</t>
        </is>
      </c>
      <c r="G457" s="34" t="inlineStr">
        <is>
          <t>APPROVED</t>
        </is>
      </c>
      <c r="H457" s="34" t="inlineStr">
        <is>
          <t>New</t>
        </is>
      </c>
      <c r="I457" s="34" t="inlineStr">
        <is>
          <t>Source assignment -- not individually reviewed</t>
        </is>
      </c>
      <c r="J457" s="39" t="inlineStr"/>
      <c r="K457" s="34" t="inlineStr">
        <is>
          <t>Source assignment</t>
        </is>
      </c>
      <c r="L457" s="39" t="inlineStr"/>
      <c r="M457" s="34" t="inlineStr">
        <is>
          <t>Initial</t>
        </is>
      </c>
      <c r="N457" s="34" t="inlineStr">
        <is>
          <t>Rev 0</t>
        </is>
      </c>
      <c r="O457" s="34" t="inlineStr">
        <is>
          <t>R228-v1</t>
        </is>
      </c>
      <c r="P457" s="39" t="inlineStr"/>
      <c r="Q457" s="14" t="inlineStr"/>
      <c r="R457" s="39" t="inlineStr"/>
      <c r="S457" s="39" t="inlineStr"/>
      <c r="T457" s="39" t="inlineStr"/>
      <c r="U457" s="39" t="inlineStr"/>
      <c r="V457" s="34" t="inlineStr">
        <is>
          <t>WBS Code = 1.2.2</t>
        </is>
      </c>
      <c r="W457" s="14" t="inlineStr"/>
    </row>
    <row r="458" ht="49" customHeight="1">
      <c r="A458" s="34" t="inlineStr">
        <is>
          <t>1.2.2</t>
        </is>
      </c>
      <c r="B458" s="34" t="inlineStr">
        <is>
          <t>Stations - Architectural Fit-Out</t>
        </is>
      </c>
      <c r="C458" s="34" t="inlineStr">
        <is>
          <t>Contractor Programme</t>
        </is>
      </c>
      <c r="D458" s="34" t="inlineStr">
        <is>
          <t>SCH-02-051</t>
        </is>
      </c>
      <c r="E458" s="34" t="inlineStr">
        <is>
          <t>Harbour Station: architectural wall framing - inspection</t>
        </is>
      </c>
      <c r="F458" s="34" t="inlineStr">
        <is>
          <t>ONE_TO_ONE</t>
        </is>
      </c>
      <c r="G458" s="34" t="inlineStr">
        <is>
          <t>APPROVED</t>
        </is>
      </c>
      <c r="H458" s="34" t="inlineStr">
        <is>
          <t>New</t>
        </is>
      </c>
      <c r="I458" s="34" t="inlineStr">
        <is>
          <t>Source assignment -- not individually reviewed</t>
        </is>
      </c>
      <c r="J458" s="39" t="inlineStr"/>
      <c r="K458" s="34" t="inlineStr">
        <is>
          <t>Source assignment</t>
        </is>
      </c>
      <c r="L458" s="39" t="inlineStr"/>
      <c r="M458" s="34" t="inlineStr">
        <is>
          <t>Initial</t>
        </is>
      </c>
      <c r="N458" s="34" t="inlineStr">
        <is>
          <t>Rev 0</t>
        </is>
      </c>
      <c r="O458" s="34" t="inlineStr">
        <is>
          <t>R231-v1</t>
        </is>
      </c>
      <c r="P458" s="39" t="inlineStr"/>
      <c r="Q458" s="14" t="inlineStr"/>
      <c r="R458" s="39" t="inlineStr"/>
      <c r="S458" s="39" t="inlineStr"/>
      <c r="T458" s="39" t="inlineStr"/>
      <c r="U458" s="39" t="inlineStr"/>
      <c r="V458" s="34" t="inlineStr">
        <is>
          <t>WBS Code = 1.2.2</t>
        </is>
      </c>
      <c r="W458" s="14" t="inlineStr"/>
    </row>
    <row r="459" ht="49" customHeight="1">
      <c r="A459" s="34" t="inlineStr">
        <is>
          <t>1.2.2</t>
        </is>
      </c>
      <c r="B459" s="34" t="inlineStr">
        <is>
          <t>Stations - Architectural Fit-Out</t>
        </is>
      </c>
      <c r="C459" s="34" t="inlineStr">
        <is>
          <t>Contractor Programme</t>
        </is>
      </c>
      <c r="D459" s="34" t="inlineStr">
        <is>
          <t>SCH-02-054</t>
        </is>
      </c>
      <c r="E459" s="34" t="inlineStr">
        <is>
          <t>University Station: station ventilation rough-in - field start</t>
        </is>
      </c>
      <c r="F459" s="34" t="inlineStr">
        <is>
          <t>ONE_TO_ONE</t>
        </is>
      </c>
      <c r="G459" s="34" t="inlineStr">
        <is>
          <t>APPROVED</t>
        </is>
      </c>
      <c r="H459" s="34" t="inlineStr">
        <is>
          <t>New</t>
        </is>
      </c>
      <c r="I459" s="34" t="inlineStr">
        <is>
          <t>Source assignment -- not individually reviewed</t>
        </is>
      </c>
      <c r="J459" s="39" t="inlineStr"/>
      <c r="K459" s="34" t="inlineStr">
        <is>
          <t>Source assignment</t>
        </is>
      </c>
      <c r="L459" s="39" t="inlineStr"/>
      <c r="M459" s="34" t="inlineStr">
        <is>
          <t>Initial</t>
        </is>
      </c>
      <c r="N459" s="34" t="inlineStr">
        <is>
          <t>Rev 0</t>
        </is>
      </c>
      <c r="O459" s="34" t="inlineStr">
        <is>
          <t>R234-v1</t>
        </is>
      </c>
      <c r="P459" s="39" t="inlineStr"/>
      <c r="Q459" s="14" t="inlineStr"/>
      <c r="R459" s="39" t="inlineStr"/>
      <c r="S459" s="39" t="inlineStr"/>
      <c r="T459" s="39" t="inlineStr"/>
      <c r="U459" s="39" t="inlineStr"/>
      <c r="V459" s="34" t="inlineStr">
        <is>
          <t>WBS Code = 1.2.2</t>
        </is>
      </c>
      <c r="W459" s="14" t="inlineStr"/>
    </row>
    <row r="460" ht="49" customHeight="1">
      <c r="A460" s="34" t="inlineStr">
        <is>
          <t>1.2.2</t>
        </is>
      </c>
      <c r="B460" s="34" t="inlineStr">
        <is>
          <t>Stations - Architectural Fit-Out</t>
        </is>
      </c>
      <c r="C460" s="34" t="inlineStr">
        <is>
          <t>Contractor Programme</t>
        </is>
      </c>
      <c r="D460" s="34" t="inlineStr">
        <is>
          <t>SCH-02-057</t>
        </is>
      </c>
      <c r="E460" s="34" t="inlineStr">
        <is>
          <t>Market Station: vertical-transport installation - turnover</t>
        </is>
      </c>
      <c r="F460" s="34" t="inlineStr">
        <is>
          <t>ONE_TO_ONE</t>
        </is>
      </c>
      <c r="G460" s="34" t="inlineStr">
        <is>
          <t>APPROVED</t>
        </is>
      </c>
      <c r="H460" s="34" t="inlineStr">
        <is>
          <t>New</t>
        </is>
      </c>
      <c r="I460" s="34" t="inlineStr">
        <is>
          <t>Source assignment -- not individually reviewed</t>
        </is>
      </c>
      <c r="J460" s="39" t="inlineStr"/>
      <c r="K460" s="34" t="inlineStr">
        <is>
          <t>Source assignment</t>
        </is>
      </c>
      <c r="L460" s="39" t="inlineStr"/>
      <c r="M460" s="34" t="inlineStr">
        <is>
          <t>Initial</t>
        </is>
      </c>
      <c r="N460" s="34" t="inlineStr">
        <is>
          <t>Rev 0</t>
        </is>
      </c>
      <c r="O460" s="34" t="inlineStr">
        <is>
          <t>R237-v1</t>
        </is>
      </c>
      <c r="P460" s="39" t="inlineStr"/>
      <c r="Q460" s="14" t="inlineStr"/>
      <c r="R460" s="39" t="inlineStr"/>
      <c r="S460" s="39" t="inlineStr"/>
      <c r="T460" s="39" t="inlineStr"/>
      <c r="U460" s="39" t="inlineStr"/>
      <c r="V460" s="34" t="inlineStr">
        <is>
          <t>WBS Code = 1.2.2</t>
        </is>
      </c>
      <c r="W460" s="14" t="inlineStr"/>
    </row>
    <row r="461" ht="49" customHeight="1">
      <c r="A461" s="34" t="inlineStr">
        <is>
          <t>1.2.2</t>
        </is>
      </c>
      <c r="B461" s="34" t="inlineStr">
        <is>
          <t>Stations - Architectural Fit-Out</t>
        </is>
      </c>
      <c r="C461" s="34" t="inlineStr">
        <is>
          <t>Contractor Programme</t>
        </is>
      </c>
      <c r="D461" s="34" t="inlineStr">
        <is>
          <t>SCH-02-060</t>
        </is>
      </c>
      <c r="E461" s="34" t="inlineStr">
        <is>
          <t>West Terminal: fire-life-safety cabling - installation</t>
        </is>
      </c>
      <c r="F461" s="34" t="inlineStr">
        <is>
          <t>ONE_TO_ONE</t>
        </is>
      </c>
      <c r="G461" s="34" t="inlineStr">
        <is>
          <t>APPROVED</t>
        </is>
      </c>
      <c r="H461" s="34" t="inlineStr">
        <is>
          <t>New</t>
        </is>
      </c>
      <c r="I461" s="34" t="inlineStr">
        <is>
          <t>Source assignment -- not individually reviewed</t>
        </is>
      </c>
      <c r="J461" s="39" t="inlineStr"/>
      <c r="K461" s="34" t="inlineStr">
        <is>
          <t>Source assignment</t>
        </is>
      </c>
      <c r="L461" s="39" t="inlineStr"/>
      <c r="M461" s="34" t="inlineStr">
        <is>
          <t>Initial</t>
        </is>
      </c>
      <c r="N461" s="34" t="inlineStr">
        <is>
          <t>Rev 0</t>
        </is>
      </c>
      <c r="O461" s="34" t="inlineStr">
        <is>
          <t>R240-v1</t>
        </is>
      </c>
      <c r="P461" s="39" t="inlineStr"/>
      <c r="Q461" s="14" t="inlineStr"/>
      <c r="R461" s="39" t="inlineStr"/>
      <c r="S461" s="39" t="inlineStr"/>
      <c r="T461" s="39" t="inlineStr"/>
      <c r="U461" s="39" t="inlineStr"/>
      <c r="V461" s="34" t="inlineStr">
        <is>
          <t>WBS Code = 1.2.2</t>
        </is>
      </c>
      <c r="W461" s="14" t="inlineStr"/>
    </row>
    <row r="462" ht="49" customHeight="1">
      <c r="A462" s="34" t="inlineStr">
        <is>
          <t>1.2.2</t>
        </is>
      </c>
      <c r="B462" s="34" t="inlineStr">
        <is>
          <t>Stations - Architectural Fit-Out</t>
        </is>
      </c>
      <c r="C462" s="34" t="inlineStr">
        <is>
          <t>Contractor Programme</t>
        </is>
      </c>
      <c r="D462" s="34" t="inlineStr">
        <is>
          <t>SCH-02-063</t>
        </is>
      </c>
      <c r="E462" s="34" t="inlineStr">
        <is>
          <t>Civic Station: public-realm paving - release</t>
        </is>
      </c>
      <c r="F462" s="34" t="inlineStr">
        <is>
          <t>ONE_TO_ONE</t>
        </is>
      </c>
      <c r="G462" s="34" t="inlineStr">
        <is>
          <t>APPROVED</t>
        </is>
      </c>
      <c r="H462" s="34" t="inlineStr">
        <is>
          <t>New</t>
        </is>
      </c>
      <c r="I462" s="34" t="inlineStr">
        <is>
          <t>Source assignment -- not individually reviewed</t>
        </is>
      </c>
      <c r="J462" s="39" t="inlineStr"/>
      <c r="K462" s="34" t="inlineStr">
        <is>
          <t>Source assignment</t>
        </is>
      </c>
      <c r="L462" s="39" t="inlineStr"/>
      <c r="M462" s="34" t="inlineStr">
        <is>
          <t>Initial</t>
        </is>
      </c>
      <c r="N462" s="34" t="inlineStr">
        <is>
          <t>Rev 0</t>
        </is>
      </c>
      <c r="O462" s="34" t="inlineStr">
        <is>
          <t>R243-v1</t>
        </is>
      </c>
      <c r="P462" s="39" t="inlineStr"/>
      <c r="Q462" s="14" t="inlineStr"/>
      <c r="R462" s="39" t="inlineStr"/>
      <c r="S462" s="39" t="inlineStr"/>
      <c r="T462" s="39" t="inlineStr"/>
      <c r="U462" s="39" t="inlineStr"/>
      <c r="V462" s="34" t="inlineStr">
        <is>
          <t>WBS Code = 1.2.2</t>
        </is>
      </c>
      <c r="W462" s="14" t="inlineStr"/>
    </row>
    <row r="463" ht="49" customHeight="1">
      <c r="A463" s="34" t="inlineStr">
        <is>
          <t>1.2.2</t>
        </is>
      </c>
      <c r="B463" s="34" t="inlineStr">
        <is>
          <t>Stations - Architectural Fit-Out</t>
        </is>
      </c>
      <c r="C463" s="34" t="inlineStr">
        <is>
          <t>Contractor Programme</t>
        </is>
      </c>
      <c r="D463" s="34" t="inlineStr">
        <is>
          <t>SCH-02-066</t>
        </is>
      </c>
      <c r="E463" s="34" t="inlineStr">
        <is>
          <t>Harbour Station: platform edge installation - inspection</t>
        </is>
      </c>
      <c r="F463" s="34" t="inlineStr">
        <is>
          <t>ONE_TO_ONE</t>
        </is>
      </c>
      <c r="G463" s="34" t="inlineStr">
        <is>
          <t>APPROVED</t>
        </is>
      </c>
      <c r="H463" s="34" t="inlineStr">
        <is>
          <t>New</t>
        </is>
      </c>
      <c r="I463" s="34" t="inlineStr">
        <is>
          <t>Source assignment -- not individually reviewed</t>
        </is>
      </c>
      <c r="J463" s="39" t="inlineStr"/>
      <c r="K463" s="34" t="inlineStr">
        <is>
          <t>Source assignment</t>
        </is>
      </c>
      <c r="L463" s="39" t="inlineStr"/>
      <c r="M463" s="34" t="inlineStr">
        <is>
          <t>Initial</t>
        </is>
      </c>
      <c r="N463" s="34" t="inlineStr">
        <is>
          <t>Rev 0</t>
        </is>
      </c>
      <c r="O463" s="34" t="inlineStr">
        <is>
          <t>R246-v1</t>
        </is>
      </c>
      <c r="P463" s="39" t="inlineStr"/>
      <c r="Q463" s="14" t="inlineStr"/>
      <c r="R463" s="39" t="inlineStr"/>
      <c r="S463" s="39" t="inlineStr"/>
      <c r="T463" s="39" t="inlineStr"/>
      <c r="U463" s="39" t="inlineStr"/>
      <c r="V463" s="34" t="inlineStr">
        <is>
          <t>WBS Code = 1.2.2</t>
        </is>
      </c>
      <c r="W463" s="14" t="inlineStr"/>
    </row>
    <row r="464" ht="49" customHeight="1">
      <c r="A464" s="34" t="inlineStr">
        <is>
          <t>1.2.2</t>
        </is>
      </c>
      <c r="B464" s="34" t="inlineStr">
        <is>
          <t>Stations - Architectural Fit-Out</t>
        </is>
      </c>
      <c r="C464" s="34" t="inlineStr">
        <is>
          <t>Contractor Programme</t>
        </is>
      </c>
      <c r="D464" s="34" t="inlineStr">
        <is>
          <t>SCH-02-069</t>
        </is>
      </c>
      <c r="E464" s="34" t="inlineStr">
        <is>
          <t>University Station: concourse slab pour - field start</t>
        </is>
      </c>
      <c r="F464" s="34" t="inlineStr">
        <is>
          <t>ONE_TO_ONE</t>
        </is>
      </c>
      <c r="G464" s="34" t="inlineStr">
        <is>
          <t>APPROVED</t>
        </is>
      </c>
      <c r="H464" s="34" t="inlineStr">
        <is>
          <t>New</t>
        </is>
      </c>
      <c r="I464" s="34" t="inlineStr">
        <is>
          <t>Source assignment -- not individually reviewed</t>
        </is>
      </c>
      <c r="J464" s="39" t="inlineStr"/>
      <c r="K464" s="34" t="inlineStr">
        <is>
          <t>Source assignment</t>
        </is>
      </c>
      <c r="L464" s="39" t="inlineStr"/>
      <c r="M464" s="34" t="inlineStr">
        <is>
          <t>Initial</t>
        </is>
      </c>
      <c r="N464" s="34" t="inlineStr">
        <is>
          <t>Rev 0</t>
        </is>
      </c>
      <c r="O464" s="34" t="inlineStr">
        <is>
          <t>R249-v1</t>
        </is>
      </c>
      <c r="P464" s="39" t="inlineStr"/>
      <c r="Q464" s="14" t="inlineStr"/>
      <c r="R464" s="39" t="inlineStr"/>
      <c r="S464" s="39" t="inlineStr"/>
      <c r="T464" s="39" t="inlineStr"/>
      <c r="U464" s="39" t="inlineStr"/>
      <c r="V464" s="34" t="inlineStr">
        <is>
          <t>WBS Code = 1.2.2</t>
        </is>
      </c>
      <c r="W464" s="14" t="inlineStr"/>
    </row>
    <row r="465" ht="49" customHeight="1">
      <c r="A465" s="34" t="inlineStr">
        <is>
          <t>1.2.2</t>
        </is>
      </c>
      <c r="B465" s="34" t="inlineStr">
        <is>
          <t>Stations - Architectural Fit-Out</t>
        </is>
      </c>
      <c r="C465" s="34" t="inlineStr">
        <is>
          <t>Contractor Programme</t>
        </is>
      </c>
      <c r="D465" s="34" t="inlineStr">
        <is>
          <t>SCH-02-072</t>
        </is>
      </c>
      <c r="E465" s="34" t="inlineStr">
        <is>
          <t>Market Station: entrance steel erection - turnover</t>
        </is>
      </c>
      <c r="F465" s="34" t="inlineStr">
        <is>
          <t>ONE_TO_ONE</t>
        </is>
      </c>
      <c r="G465" s="34" t="inlineStr">
        <is>
          <t>APPROVED</t>
        </is>
      </c>
      <c r="H465" s="34" t="inlineStr">
        <is>
          <t>New</t>
        </is>
      </c>
      <c r="I465" s="34" t="inlineStr">
        <is>
          <t>Source assignment -- not individually reviewed</t>
        </is>
      </c>
      <c r="J465" s="39" t="inlineStr"/>
      <c r="K465" s="34" t="inlineStr">
        <is>
          <t>Source assignment</t>
        </is>
      </c>
      <c r="L465" s="39" t="inlineStr"/>
      <c r="M465" s="34" t="inlineStr">
        <is>
          <t>Initial</t>
        </is>
      </c>
      <c r="N465" s="34" t="inlineStr">
        <is>
          <t>Rev 0</t>
        </is>
      </c>
      <c r="O465" s="34" t="inlineStr">
        <is>
          <t>R252-v1</t>
        </is>
      </c>
      <c r="P465" s="39" t="inlineStr"/>
      <c r="Q465" s="14" t="inlineStr"/>
      <c r="R465" s="39" t="inlineStr"/>
      <c r="S465" s="39" t="inlineStr"/>
      <c r="T465" s="39" t="inlineStr"/>
      <c r="U465" s="39" t="inlineStr"/>
      <c r="V465" s="34" t="inlineStr">
        <is>
          <t>WBS Code = 1.2.2</t>
        </is>
      </c>
      <c r="W465" s="14" t="inlineStr"/>
    </row>
    <row r="466" ht="49" customHeight="1">
      <c r="A466" s="34" t="inlineStr">
        <is>
          <t>1.2.2</t>
        </is>
      </c>
      <c r="B466" s="34" t="inlineStr">
        <is>
          <t>Stations - Architectural Fit-Out</t>
        </is>
      </c>
      <c r="C466" s="34" t="inlineStr">
        <is>
          <t>Contractor Programme</t>
        </is>
      </c>
      <c r="D466" s="34" t="inlineStr">
        <is>
          <t>SCH-02-075</t>
        </is>
      </c>
      <c r="E466" s="34" t="inlineStr">
        <is>
          <t>West Terminal: architectural wall framing - installation</t>
        </is>
      </c>
      <c r="F466" s="34" t="inlineStr">
        <is>
          <t>ONE_TO_ONE</t>
        </is>
      </c>
      <c r="G466" s="34" t="inlineStr">
        <is>
          <t>APPROVED</t>
        </is>
      </c>
      <c r="H466" s="34" t="inlineStr">
        <is>
          <t>New</t>
        </is>
      </c>
      <c r="I466" s="34" t="inlineStr">
        <is>
          <t>Source assignment -- not individually reviewed</t>
        </is>
      </c>
      <c r="J466" s="39" t="inlineStr"/>
      <c r="K466" s="34" t="inlineStr">
        <is>
          <t>Source assignment</t>
        </is>
      </c>
      <c r="L466" s="39" t="inlineStr"/>
      <c r="M466" s="34" t="inlineStr">
        <is>
          <t>Initial</t>
        </is>
      </c>
      <c r="N466" s="34" t="inlineStr">
        <is>
          <t>Rev 0</t>
        </is>
      </c>
      <c r="O466" s="34" t="inlineStr">
        <is>
          <t>R255-v1</t>
        </is>
      </c>
      <c r="P466" s="39" t="inlineStr"/>
      <c r="Q466" s="14" t="inlineStr"/>
      <c r="R466" s="39" t="inlineStr"/>
      <c r="S466" s="39" t="inlineStr"/>
      <c r="T466" s="39" t="inlineStr"/>
      <c r="U466" s="39" t="inlineStr"/>
      <c r="V466" s="34" t="inlineStr">
        <is>
          <t>WBS Code = 1.2.2</t>
        </is>
      </c>
      <c r="W466" s="14" t="inlineStr"/>
    </row>
    <row r="467" ht="49" customHeight="1">
      <c r="A467" s="34" t="inlineStr">
        <is>
          <t>1.2.2</t>
        </is>
      </c>
      <c r="B467" s="34" t="inlineStr">
        <is>
          <t>Stations - Architectural Fit-Out</t>
        </is>
      </c>
      <c r="C467" s="34" t="inlineStr">
        <is>
          <t>Contractor Programme</t>
        </is>
      </c>
      <c r="D467" s="34" t="inlineStr">
        <is>
          <t>SCH-02-078</t>
        </is>
      </c>
      <c r="E467" s="34" t="inlineStr">
        <is>
          <t>Civic Station: station ventilation rough-in - release</t>
        </is>
      </c>
      <c r="F467" s="34" t="inlineStr">
        <is>
          <t>ONE_TO_ONE</t>
        </is>
      </c>
      <c r="G467" s="34" t="inlineStr">
        <is>
          <t>APPROVED</t>
        </is>
      </c>
      <c r="H467" s="34" t="inlineStr">
        <is>
          <t>New</t>
        </is>
      </c>
      <c r="I467" s="34" t="inlineStr">
        <is>
          <t>Source assignment -- not individually reviewed</t>
        </is>
      </c>
      <c r="J467" s="39" t="inlineStr"/>
      <c r="K467" s="34" t="inlineStr">
        <is>
          <t>Source assignment</t>
        </is>
      </c>
      <c r="L467" s="39" t="inlineStr"/>
      <c r="M467" s="34" t="inlineStr">
        <is>
          <t>Initial</t>
        </is>
      </c>
      <c r="N467" s="34" t="inlineStr">
        <is>
          <t>Rev 0</t>
        </is>
      </c>
      <c r="O467" s="34" t="inlineStr">
        <is>
          <t>R258-v1</t>
        </is>
      </c>
      <c r="P467" s="39" t="inlineStr"/>
      <c r="Q467" s="14" t="inlineStr"/>
      <c r="R467" s="39" t="inlineStr"/>
      <c r="S467" s="39" t="inlineStr"/>
      <c r="T467" s="39" t="inlineStr"/>
      <c r="U467" s="39" t="inlineStr"/>
      <c r="V467" s="34" t="inlineStr">
        <is>
          <t>WBS Code = 1.2.2</t>
        </is>
      </c>
      <c r="W467" s="14" t="inlineStr"/>
    </row>
    <row r="468" ht="49" customHeight="1">
      <c r="A468" s="34" t="inlineStr">
        <is>
          <t>1.2.2</t>
        </is>
      </c>
      <c r="B468" s="34" t="inlineStr">
        <is>
          <t>Stations - Architectural Fit-Out</t>
        </is>
      </c>
      <c r="C468" s="34" t="inlineStr">
        <is>
          <t>Contractor Programme</t>
        </is>
      </c>
      <c r="D468" s="34" t="inlineStr">
        <is>
          <t>SCH-02-081</t>
        </is>
      </c>
      <c r="E468" s="34" t="inlineStr">
        <is>
          <t>Harbour Station: vertical-transport installation - inspection</t>
        </is>
      </c>
      <c r="F468" s="34" t="inlineStr">
        <is>
          <t>ONE_TO_ONE</t>
        </is>
      </c>
      <c r="G468" s="34" t="inlineStr">
        <is>
          <t>APPROVED</t>
        </is>
      </c>
      <c r="H468" s="34" t="inlineStr">
        <is>
          <t>New</t>
        </is>
      </c>
      <c r="I468" s="34" t="inlineStr">
        <is>
          <t>Source assignment -- not individually reviewed</t>
        </is>
      </c>
      <c r="J468" s="39" t="inlineStr"/>
      <c r="K468" s="34" t="inlineStr">
        <is>
          <t>Source assignment</t>
        </is>
      </c>
      <c r="L468" s="39" t="inlineStr"/>
      <c r="M468" s="34" t="inlineStr">
        <is>
          <t>Initial</t>
        </is>
      </c>
      <c r="N468" s="34" t="inlineStr">
        <is>
          <t>Rev 0</t>
        </is>
      </c>
      <c r="O468" s="34" t="inlineStr">
        <is>
          <t>R261-v1</t>
        </is>
      </c>
      <c r="P468" s="39" t="inlineStr"/>
      <c r="Q468" s="14" t="inlineStr"/>
      <c r="R468" s="39" t="inlineStr"/>
      <c r="S468" s="39" t="inlineStr"/>
      <c r="T468" s="39" t="inlineStr"/>
      <c r="U468" s="39" t="inlineStr"/>
      <c r="V468" s="34" t="inlineStr">
        <is>
          <t>WBS Code = 1.2.2</t>
        </is>
      </c>
      <c r="W468" s="14" t="inlineStr"/>
    </row>
    <row r="469" ht="49" customHeight="1">
      <c r="A469" s="34" t="inlineStr">
        <is>
          <t>1.2.2</t>
        </is>
      </c>
      <c r="B469" s="34" t="inlineStr">
        <is>
          <t>Stations - Architectural Fit-Out</t>
        </is>
      </c>
      <c r="C469" s="34" t="inlineStr">
        <is>
          <t>Contractor Programme</t>
        </is>
      </c>
      <c r="D469" s="34" t="inlineStr">
        <is>
          <t>SCH-02-084</t>
        </is>
      </c>
      <c r="E469" s="34" t="inlineStr">
        <is>
          <t>University Station: fire-life-safety cabling - field start</t>
        </is>
      </c>
      <c r="F469" s="34" t="inlineStr">
        <is>
          <t>ONE_TO_ONE</t>
        </is>
      </c>
      <c r="G469" s="34" t="inlineStr">
        <is>
          <t>APPROVED</t>
        </is>
      </c>
      <c r="H469" s="34" t="inlineStr">
        <is>
          <t>New</t>
        </is>
      </c>
      <c r="I469" s="34" t="inlineStr">
        <is>
          <t>Source assignment -- not individually reviewed</t>
        </is>
      </c>
      <c r="J469" s="39" t="inlineStr"/>
      <c r="K469" s="34" t="inlineStr">
        <is>
          <t>Source assignment</t>
        </is>
      </c>
      <c r="L469" s="39" t="inlineStr"/>
      <c r="M469" s="34" t="inlineStr">
        <is>
          <t>Initial</t>
        </is>
      </c>
      <c r="N469" s="34" t="inlineStr">
        <is>
          <t>Rev 0</t>
        </is>
      </c>
      <c r="O469" s="34" t="inlineStr">
        <is>
          <t>R264-v1</t>
        </is>
      </c>
      <c r="P469" s="39" t="inlineStr"/>
      <c r="Q469" s="14" t="inlineStr"/>
      <c r="R469" s="39" t="inlineStr"/>
      <c r="S469" s="39" t="inlineStr"/>
      <c r="T469" s="39" t="inlineStr"/>
      <c r="U469" s="39" t="inlineStr"/>
      <c r="V469" s="34" t="inlineStr">
        <is>
          <t>WBS Code = 1.2.2</t>
        </is>
      </c>
      <c r="W469" s="14" t="inlineStr"/>
    </row>
    <row r="470" ht="49" customHeight="1">
      <c r="A470" s="34" t="inlineStr">
        <is>
          <t>1.2.2</t>
        </is>
      </c>
      <c r="B470" s="34" t="inlineStr">
        <is>
          <t>Stations - Architectural Fit-Out</t>
        </is>
      </c>
      <c r="C470" s="34" t="inlineStr">
        <is>
          <t>Contractor Programme</t>
        </is>
      </c>
      <c r="D470" s="34" t="inlineStr">
        <is>
          <t>SCH-02-087</t>
        </is>
      </c>
      <c r="E470" s="34" t="inlineStr">
        <is>
          <t>Market Station: public-realm paving - turnover</t>
        </is>
      </c>
      <c r="F470" s="34" t="inlineStr">
        <is>
          <t>ONE_TO_ONE</t>
        </is>
      </c>
      <c r="G470" s="34" t="inlineStr">
        <is>
          <t>APPROVED</t>
        </is>
      </c>
      <c r="H470" s="34" t="inlineStr">
        <is>
          <t>New</t>
        </is>
      </c>
      <c r="I470" s="34" t="inlineStr">
        <is>
          <t>Source assignment -- not individually reviewed</t>
        </is>
      </c>
      <c r="J470" s="39" t="inlineStr"/>
      <c r="K470" s="34" t="inlineStr">
        <is>
          <t>Source assignment</t>
        </is>
      </c>
      <c r="L470" s="39" t="inlineStr"/>
      <c r="M470" s="34" t="inlineStr">
        <is>
          <t>Initial</t>
        </is>
      </c>
      <c r="N470" s="34" t="inlineStr">
        <is>
          <t>Rev 0</t>
        </is>
      </c>
      <c r="O470" s="34" t="inlineStr">
        <is>
          <t>R267-v1</t>
        </is>
      </c>
      <c r="P470" s="39" t="inlineStr"/>
      <c r="Q470" s="14" t="inlineStr"/>
      <c r="R470" s="39" t="inlineStr"/>
      <c r="S470" s="39" t="inlineStr"/>
      <c r="T470" s="39" t="inlineStr"/>
      <c r="U470" s="39" t="inlineStr"/>
      <c r="V470" s="34" t="inlineStr">
        <is>
          <t>WBS Code = 1.2.2</t>
        </is>
      </c>
      <c r="W470" s="14" t="inlineStr"/>
    </row>
    <row r="471" ht="49" customHeight="1">
      <c r="A471" s="34" t="inlineStr">
        <is>
          <t>1.2.2</t>
        </is>
      </c>
      <c r="B471" s="34" t="inlineStr">
        <is>
          <t>Stations - Architectural Fit-Out</t>
        </is>
      </c>
      <c r="C471" s="34" t="inlineStr">
        <is>
          <t>Contractor Programme</t>
        </is>
      </c>
      <c r="D471" s="34" t="inlineStr">
        <is>
          <t>SCH-02-090</t>
        </is>
      </c>
      <c r="E471" s="34" t="inlineStr">
        <is>
          <t>West Terminal: platform edge installation - installation</t>
        </is>
      </c>
      <c r="F471" s="34" t="inlineStr">
        <is>
          <t>ONE_TO_ONE</t>
        </is>
      </c>
      <c r="G471" s="34" t="inlineStr">
        <is>
          <t>APPROVED</t>
        </is>
      </c>
      <c r="H471" s="34" t="inlineStr">
        <is>
          <t>New</t>
        </is>
      </c>
      <c r="I471" s="34" t="inlineStr">
        <is>
          <t>Source assignment -- not individually reviewed</t>
        </is>
      </c>
      <c r="J471" s="39" t="inlineStr"/>
      <c r="K471" s="34" t="inlineStr">
        <is>
          <t>Source assignment</t>
        </is>
      </c>
      <c r="L471" s="39" t="inlineStr"/>
      <c r="M471" s="34" t="inlineStr">
        <is>
          <t>Initial</t>
        </is>
      </c>
      <c r="N471" s="34" t="inlineStr">
        <is>
          <t>Rev 0</t>
        </is>
      </c>
      <c r="O471" s="34" t="inlineStr">
        <is>
          <t>R270-v1</t>
        </is>
      </c>
      <c r="P471" s="39" t="inlineStr"/>
      <c r="Q471" s="14" t="inlineStr"/>
      <c r="R471" s="39" t="inlineStr"/>
      <c r="S471" s="39" t="inlineStr"/>
      <c r="T471" s="39" t="inlineStr"/>
      <c r="U471" s="39" t="inlineStr"/>
      <c r="V471" s="34" t="inlineStr">
        <is>
          <t>WBS Code = 1.2.2</t>
        </is>
      </c>
      <c r="W471" s="14" t="inlineStr"/>
    </row>
    <row r="472" ht="49" customHeight="1">
      <c r="A472" s="34" t="inlineStr">
        <is>
          <t>1.2.2</t>
        </is>
      </c>
      <c r="B472" s="34" t="inlineStr">
        <is>
          <t>Stations - Architectural Fit-Out</t>
        </is>
      </c>
      <c r="C472" s="34" t="inlineStr">
        <is>
          <t>Contractor Programme</t>
        </is>
      </c>
      <c r="D472" s="34" t="inlineStr">
        <is>
          <t>SCH-02-093</t>
        </is>
      </c>
      <c r="E472" s="34" t="inlineStr">
        <is>
          <t>Civic Station: concourse slab pour - release</t>
        </is>
      </c>
      <c r="F472" s="34" t="inlineStr">
        <is>
          <t>ONE_TO_ONE</t>
        </is>
      </c>
      <c r="G472" s="34" t="inlineStr">
        <is>
          <t>APPROVED</t>
        </is>
      </c>
      <c r="H472" s="34" t="inlineStr">
        <is>
          <t>New</t>
        </is>
      </c>
      <c r="I472" s="34" t="inlineStr">
        <is>
          <t>Source assignment -- not individually reviewed</t>
        </is>
      </c>
      <c r="J472" s="39" t="inlineStr"/>
      <c r="K472" s="34" t="inlineStr">
        <is>
          <t>Source assignment</t>
        </is>
      </c>
      <c r="L472" s="39" t="inlineStr"/>
      <c r="M472" s="34" t="inlineStr">
        <is>
          <t>Initial</t>
        </is>
      </c>
      <c r="N472" s="34" t="inlineStr">
        <is>
          <t>Rev 0</t>
        </is>
      </c>
      <c r="O472" s="34" t="inlineStr">
        <is>
          <t>R273-v1</t>
        </is>
      </c>
      <c r="P472" s="39" t="inlineStr"/>
      <c r="Q472" s="14" t="inlineStr"/>
      <c r="R472" s="39" t="inlineStr"/>
      <c r="S472" s="39" t="inlineStr"/>
      <c r="T472" s="39" t="inlineStr"/>
      <c r="U472" s="39" t="inlineStr"/>
      <c r="V472" s="34" t="inlineStr">
        <is>
          <t>WBS Code = 1.2.2</t>
        </is>
      </c>
      <c r="W472" s="14" t="inlineStr"/>
    </row>
    <row r="473" ht="49" customHeight="1">
      <c r="A473" s="34" t="inlineStr">
        <is>
          <t>1.2.2</t>
        </is>
      </c>
      <c r="B473" s="34" t="inlineStr">
        <is>
          <t>Stations - Architectural Fit-Out</t>
        </is>
      </c>
      <c r="C473" s="34" t="inlineStr">
        <is>
          <t>Contractor Programme</t>
        </is>
      </c>
      <c r="D473" s="34" t="inlineStr">
        <is>
          <t>SCH-02-096</t>
        </is>
      </c>
      <c r="E473" s="34" t="inlineStr">
        <is>
          <t>Harbour Station: entrance steel erection - inspection</t>
        </is>
      </c>
      <c r="F473" s="34" t="inlineStr">
        <is>
          <t>ONE_TO_ONE</t>
        </is>
      </c>
      <c r="G473" s="34" t="inlineStr">
        <is>
          <t>APPROVED</t>
        </is>
      </c>
      <c r="H473" s="34" t="inlineStr">
        <is>
          <t>New</t>
        </is>
      </c>
      <c r="I473" s="34" t="inlineStr">
        <is>
          <t>Source assignment -- not individually reviewed</t>
        </is>
      </c>
      <c r="J473" s="39" t="inlineStr"/>
      <c r="K473" s="34" t="inlineStr">
        <is>
          <t>Source assignment</t>
        </is>
      </c>
      <c r="L473" s="39" t="inlineStr"/>
      <c r="M473" s="34" t="inlineStr">
        <is>
          <t>Initial</t>
        </is>
      </c>
      <c r="N473" s="34" t="inlineStr">
        <is>
          <t>Rev 0</t>
        </is>
      </c>
      <c r="O473" s="34" t="inlineStr">
        <is>
          <t>R276-v1</t>
        </is>
      </c>
      <c r="P473" s="39" t="inlineStr"/>
      <c r="Q473" s="14" t="inlineStr"/>
      <c r="R473" s="39" t="inlineStr"/>
      <c r="S473" s="39" t="inlineStr"/>
      <c r="T473" s="39" t="inlineStr"/>
      <c r="U473" s="39" t="inlineStr"/>
      <c r="V473" s="34" t="inlineStr">
        <is>
          <t>WBS Code = 1.2.2</t>
        </is>
      </c>
      <c r="W473" s="14" t="inlineStr"/>
    </row>
    <row r="474" ht="49" customHeight="1">
      <c r="A474" s="34" t="inlineStr">
        <is>
          <t>1.2.2</t>
        </is>
      </c>
      <c r="B474" s="34" t="inlineStr">
        <is>
          <t>Stations - Architectural Fit-Out</t>
        </is>
      </c>
      <c r="C474" s="34" t="inlineStr">
        <is>
          <t>Contractor Programme</t>
        </is>
      </c>
      <c r="D474" s="34" t="inlineStr">
        <is>
          <t>SCH-02-099</t>
        </is>
      </c>
      <c r="E474" s="34" t="inlineStr">
        <is>
          <t>University Station: architectural wall framing - field start</t>
        </is>
      </c>
      <c r="F474" s="34" t="inlineStr">
        <is>
          <t>ONE_TO_ONE</t>
        </is>
      </c>
      <c r="G474" s="34" t="inlineStr">
        <is>
          <t>APPROVED</t>
        </is>
      </c>
      <c r="H474" s="34" t="inlineStr">
        <is>
          <t>New</t>
        </is>
      </c>
      <c r="I474" s="34" t="inlineStr">
        <is>
          <t>Source assignment -- not individually reviewed</t>
        </is>
      </c>
      <c r="J474" s="39" t="inlineStr"/>
      <c r="K474" s="34" t="inlineStr">
        <is>
          <t>Source assignment</t>
        </is>
      </c>
      <c r="L474" s="39" t="inlineStr"/>
      <c r="M474" s="34" t="inlineStr">
        <is>
          <t>Initial</t>
        </is>
      </c>
      <c r="N474" s="34" t="inlineStr">
        <is>
          <t>Rev 0</t>
        </is>
      </c>
      <c r="O474" s="34" t="inlineStr">
        <is>
          <t>R279-v1</t>
        </is>
      </c>
      <c r="P474" s="39" t="inlineStr"/>
      <c r="Q474" s="14" t="inlineStr"/>
      <c r="R474" s="39" t="inlineStr"/>
      <c r="S474" s="39" t="inlineStr"/>
      <c r="T474" s="39" t="inlineStr"/>
      <c r="U474" s="39" t="inlineStr"/>
      <c r="V474" s="34" t="inlineStr">
        <is>
          <t>WBS Code = 1.2.2</t>
        </is>
      </c>
      <c r="W474" s="14" t="inlineStr"/>
    </row>
    <row r="475" ht="49" customHeight="1">
      <c r="A475" s="34" t="inlineStr">
        <is>
          <t>1.2.2</t>
        </is>
      </c>
      <c r="B475" s="34" t="inlineStr">
        <is>
          <t>Stations - Architectural Fit-Out</t>
        </is>
      </c>
      <c r="C475" s="34" t="inlineStr">
        <is>
          <t>Contractor Programme</t>
        </is>
      </c>
      <c r="D475" s="34" t="inlineStr">
        <is>
          <t>SCH-02-102</t>
        </is>
      </c>
      <c r="E475" s="34" t="inlineStr">
        <is>
          <t>Market Station: station ventilation rough-in - turnover</t>
        </is>
      </c>
      <c r="F475" s="34" t="inlineStr">
        <is>
          <t>ONE_TO_ONE</t>
        </is>
      </c>
      <c r="G475" s="34" t="inlineStr">
        <is>
          <t>APPROVED</t>
        </is>
      </c>
      <c r="H475" s="34" t="inlineStr">
        <is>
          <t>New</t>
        </is>
      </c>
      <c r="I475" s="34" t="inlineStr">
        <is>
          <t>Source assignment -- not individually reviewed</t>
        </is>
      </c>
      <c r="J475" s="39" t="inlineStr"/>
      <c r="K475" s="34" t="inlineStr">
        <is>
          <t>Source assignment</t>
        </is>
      </c>
      <c r="L475" s="39" t="inlineStr"/>
      <c r="M475" s="34" t="inlineStr">
        <is>
          <t>Initial</t>
        </is>
      </c>
      <c r="N475" s="34" t="inlineStr">
        <is>
          <t>Rev 0</t>
        </is>
      </c>
      <c r="O475" s="34" t="inlineStr">
        <is>
          <t>R282-v1</t>
        </is>
      </c>
      <c r="P475" s="39" t="inlineStr"/>
      <c r="Q475" s="14" t="inlineStr"/>
      <c r="R475" s="39" t="inlineStr"/>
      <c r="S475" s="39" t="inlineStr"/>
      <c r="T475" s="39" t="inlineStr"/>
      <c r="U475" s="39" t="inlineStr"/>
      <c r="V475" s="34" t="inlineStr">
        <is>
          <t>WBS Code = 1.2.2</t>
        </is>
      </c>
      <c r="W475" s="14" t="inlineStr"/>
    </row>
    <row r="476" ht="49" customHeight="1">
      <c r="A476" s="34" t="inlineStr">
        <is>
          <t>1.2.2</t>
        </is>
      </c>
      <c r="B476" s="34" t="inlineStr">
        <is>
          <t>Stations - Architectural Fit-Out</t>
        </is>
      </c>
      <c r="C476" s="34" t="inlineStr">
        <is>
          <t>Contractor Programme</t>
        </is>
      </c>
      <c r="D476" s="34" t="inlineStr">
        <is>
          <t>SCH-02-105</t>
        </is>
      </c>
      <c r="E476" s="34" t="inlineStr">
        <is>
          <t>West Terminal: vertical-transport installation - installation</t>
        </is>
      </c>
      <c r="F476" s="34" t="inlineStr">
        <is>
          <t>ONE_TO_ONE</t>
        </is>
      </c>
      <c r="G476" s="34" t="inlineStr">
        <is>
          <t>APPROVED</t>
        </is>
      </c>
      <c r="H476" s="34" t="inlineStr">
        <is>
          <t>New</t>
        </is>
      </c>
      <c r="I476" s="34" t="inlineStr">
        <is>
          <t>Source assignment -- not individually reviewed</t>
        </is>
      </c>
      <c r="J476" s="39" t="inlineStr"/>
      <c r="K476" s="34" t="inlineStr">
        <is>
          <t>Source assignment</t>
        </is>
      </c>
      <c r="L476" s="39" t="inlineStr"/>
      <c r="M476" s="34" t="inlineStr">
        <is>
          <t>Initial</t>
        </is>
      </c>
      <c r="N476" s="34" t="inlineStr">
        <is>
          <t>Rev 0</t>
        </is>
      </c>
      <c r="O476" s="34" t="inlineStr">
        <is>
          <t>R285-v1</t>
        </is>
      </c>
      <c r="P476" s="39" t="inlineStr"/>
      <c r="Q476" s="14" t="inlineStr"/>
      <c r="R476" s="39" t="inlineStr"/>
      <c r="S476" s="39" t="inlineStr"/>
      <c r="T476" s="39" t="inlineStr"/>
      <c r="U476" s="39" t="inlineStr"/>
      <c r="V476" s="34" t="inlineStr">
        <is>
          <t>WBS Code = 1.2.2</t>
        </is>
      </c>
      <c r="W476" s="14" t="inlineStr"/>
    </row>
    <row r="477" ht="49" customHeight="1">
      <c r="A477" s="34" t="inlineStr">
        <is>
          <t>1.2.2</t>
        </is>
      </c>
      <c r="B477" s="34" t="inlineStr">
        <is>
          <t>Stations - Architectural Fit-Out</t>
        </is>
      </c>
      <c r="C477" s="34" t="inlineStr">
        <is>
          <t>Contractor Programme</t>
        </is>
      </c>
      <c r="D477" s="34" t="inlineStr">
        <is>
          <t>SCH-02-108</t>
        </is>
      </c>
      <c r="E477" s="34" t="inlineStr">
        <is>
          <t>Civic Station: fire-life-safety cabling - release</t>
        </is>
      </c>
      <c r="F477" s="34" t="inlineStr">
        <is>
          <t>ONE_TO_ONE</t>
        </is>
      </c>
      <c r="G477" s="34" t="inlineStr">
        <is>
          <t>APPROVED</t>
        </is>
      </c>
      <c r="H477" s="34" t="inlineStr">
        <is>
          <t>New</t>
        </is>
      </c>
      <c r="I477" s="34" t="inlineStr">
        <is>
          <t>Source assignment -- not individually reviewed</t>
        </is>
      </c>
      <c r="J477" s="39" t="inlineStr"/>
      <c r="K477" s="34" t="inlineStr">
        <is>
          <t>Source assignment</t>
        </is>
      </c>
      <c r="L477" s="39" t="inlineStr"/>
      <c r="M477" s="34" t="inlineStr">
        <is>
          <t>Initial</t>
        </is>
      </c>
      <c r="N477" s="34" t="inlineStr">
        <is>
          <t>Rev 0</t>
        </is>
      </c>
      <c r="O477" s="34" t="inlineStr">
        <is>
          <t>R288-v1</t>
        </is>
      </c>
      <c r="P477" s="39" t="inlineStr"/>
      <c r="Q477" s="14" t="inlineStr"/>
      <c r="R477" s="39" t="inlineStr"/>
      <c r="S477" s="39" t="inlineStr"/>
      <c r="T477" s="39" t="inlineStr"/>
      <c r="U477" s="39" t="inlineStr"/>
      <c r="V477" s="34" t="inlineStr">
        <is>
          <t>WBS Code = 1.2.2</t>
        </is>
      </c>
      <c r="W477" s="14" t="inlineStr"/>
    </row>
    <row r="478" ht="49" customHeight="1">
      <c r="A478" s="34" t="inlineStr">
        <is>
          <t>1.2.2</t>
        </is>
      </c>
      <c r="B478" s="34" t="inlineStr">
        <is>
          <t>Stations - Architectural Fit-Out</t>
        </is>
      </c>
      <c r="C478" s="34" t="inlineStr">
        <is>
          <t>Contractor Programme</t>
        </is>
      </c>
      <c r="D478" s="34" t="inlineStr">
        <is>
          <t>SCH-02-111</t>
        </is>
      </c>
      <c r="E478" s="34" t="inlineStr">
        <is>
          <t>Harbour Station: public-realm paving - inspection</t>
        </is>
      </c>
      <c r="F478" s="34" t="inlineStr">
        <is>
          <t>ONE_TO_ONE</t>
        </is>
      </c>
      <c r="G478" s="34" t="inlineStr">
        <is>
          <t>APPROVED</t>
        </is>
      </c>
      <c r="H478" s="34" t="inlineStr">
        <is>
          <t>New</t>
        </is>
      </c>
      <c r="I478" s="34" t="inlineStr">
        <is>
          <t>Source assignment -- not individually reviewed</t>
        </is>
      </c>
      <c r="J478" s="39" t="inlineStr"/>
      <c r="K478" s="34" t="inlineStr">
        <is>
          <t>Source assignment</t>
        </is>
      </c>
      <c r="L478" s="39" t="inlineStr"/>
      <c r="M478" s="34" t="inlineStr">
        <is>
          <t>Initial</t>
        </is>
      </c>
      <c r="N478" s="34" t="inlineStr">
        <is>
          <t>Rev 0</t>
        </is>
      </c>
      <c r="O478" s="34" t="inlineStr">
        <is>
          <t>R291-v1</t>
        </is>
      </c>
      <c r="P478" s="39" t="inlineStr"/>
      <c r="Q478" s="14" t="inlineStr"/>
      <c r="R478" s="39" t="inlineStr"/>
      <c r="S478" s="39" t="inlineStr"/>
      <c r="T478" s="39" t="inlineStr"/>
      <c r="U478" s="39" t="inlineStr"/>
      <c r="V478" s="34" t="inlineStr">
        <is>
          <t>WBS Code = 1.2.2</t>
        </is>
      </c>
      <c r="W478" s="14" t="inlineStr"/>
    </row>
    <row r="479" ht="49" customHeight="1">
      <c r="A479" s="34" t="inlineStr">
        <is>
          <t>1.2.2</t>
        </is>
      </c>
      <c r="B479" s="34" t="inlineStr">
        <is>
          <t>Stations - Architectural Fit-Out</t>
        </is>
      </c>
      <c r="C479" s="34" t="inlineStr">
        <is>
          <t>Contractor Programme</t>
        </is>
      </c>
      <c r="D479" s="34" t="inlineStr">
        <is>
          <t>SCH-02-114</t>
        </is>
      </c>
      <c r="E479" s="34" t="inlineStr">
        <is>
          <t>University Station: platform edge installation - field start</t>
        </is>
      </c>
      <c r="F479" s="34" t="inlineStr">
        <is>
          <t>ONE_TO_ONE</t>
        </is>
      </c>
      <c r="G479" s="34" t="inlineStr">
        <is>
          <t>APPROVED</t>
        </is>
      </c>
      <c r="H479" s="34" t="inlineStr">
        <is>
          <t>New</t>
        </is>
      </c>
      <c r="I479" s="34" t="inlineStr">
        <is>
          <t>Source assignment -- not individually reviewed</t>
        </is>
      </c>
      <c r="J479" s="39" t="inlineStr"/>
      <c r="K479" s="34" t="inlineStr">
        <is>
          <t>Source assignment</t>
        </is>
      </c>
      <c r="L479" s="39" t="inlineStr"/>
      <c r="M479" s="34" t="inlineStr">
        <is>
          <t>Initial</t>
        </is>
      </c>
      <c r="N479" s="34" t="inlineStr">
        <is>
          <t>Rev 0</t>
        </is>
      </c>
      <c r="O479" s="34" t="inlineStr">
        <is>
          <t>R294-v1</t>
        </is>
      </c>
      <c r="P479" s="39" t="inlineStr"/>
      <c r="Q479" s="14" t="inlineStr"/>
      <c r="R479" s="39" t="inlineStr"/>
      <c r="S479" s="39" t="inlineStr"/>
      <c r="T479" s="39" t="inlineStr"/>
      <c r="U479" s="39" t="inlineStr"/>
      <c r="V479" s="34" t="inlineStr">
        <is>
          <t>WBS Code = 1.2.2</t>
        </is>
      </c>
      <c r="W479" s="14" t="inlineStr"/>
    </row>
    <row r="480" ht="49" customHeight="1">
      <c r="A480" s="34" t="inlineStr">
        <is>
          <t>1.2.2</t>
        </is>
      </c>
      <c r="B480" s="34" t="inlineStr">
        <is>
          <t>Stations - Architectural Fit-Out</t>
        </is>
      </c>
      <c r="C480" s="34" t="inlineStr">
        <is>
          <t>Contractor Programme</t>
        </is>
      </c>
      <c r="D480" s="34" t="inlineStr">
        <is>
          <t>SCH-02-117</t>
        </is>
      </c>
      <c r="E480" s="34" t="inlineStr">
        <is>
          <t>Market Station: concourse slab pour - turnover</t>
        </is>
      </c>
      <c r="F480" s="34" t="inlineStr">
        <is>
          <t>ONE_TO_ONE</t>
        </is>
      </c>
      <c r="G480" s="34" t="inlineStr">
        <is>
          <t>APPROVED</t>
        </is>
      </c>
      <c r="H480" s="34" t="inlineStr">
        <is>
          <t>New</t>
        </is>
      </c>
      <c r="I480" s="34" t="inlineStr">
        <is>
          <t>Source assignment -- not individually reviewed</t>
        </is>
      </c>
      <c r="J480" s="39" t="inlineStr"/>
      <c r="K480" s="34" t="inlineStr">
        <is>
          <t>Source assignment</t>
        </is>
      </c>
      <c r="L480" s="39" t="inlineStr"/>
      <c r="M480" s="34" t="inlineStr">
        <is>
          <t>Initial</t>
        </is>
      </c>
      <c r="N480" s="34" t="inlineStr">
        <is>
          <t>Rev 0</t>
        </is>
      </c>
      <c r="O480" s="34" t="inlineStr">
        <is>
          <t>R297-v1</t>
        </is>
      </c>
      <c r="P480" s="39" t="inlineStr"/>
      <c r="Q480" s="14" t="inlineStr"/>
      <c r="R480" s="39" t="inlineStr"/>
      <c r="S480" s="39" t="inlineStr"/>
      <c r="T480" s="39" t="inlineStr"/>
      <c r="U480" s="39" t="inlineStr"/>
      <c r="V480" s="34" t="inlineStr">
        <is>
          <t>WBS Code = 1.2.2</t>
        </is>
      </c>
      <c r="W480" s="14" t="inlineStr"/>
    </row>
    <row r="481" ht="49" customHeight="1">
      <c r="A481" s="34" t="inlineStr">
        <is>
          <t>1.2.2</t>
        </is>
      </c>
      <c r="B481" s="34" t="inlineStr">
        <is>
          <t>Stations - Architectural Fit-Out</t>
        </is>
      </c>
      <c r="C481" s="34" t="inlineStr">
        <is>
          <t>Contractor Programme</t>
        </is>
      </c>
      <c r="D481" s="34" t="inlineStr">
        <is>
          <t>SCH-02-120</t>
        </is>
      </c>
      <c r="E481" s="34" t="inlineStr">
        <is>
          <t>West Terminal: entrance steel erection - installation</t>
        </is>
      </c>
      <c r="F481" s="34" t="inlineStr">
        <is>
          <t>ONE_TO_ONE</t>
        </is>
      </c>
      <c r="G481" s="34" t="inlineStr">
        <is>
          <t>APPROVED</t>
        </is>
      </c>
      <c r="H481" s="34" t="inlineStr">
        <is>
          <t>New</t>
        </is>
      </c>
      <c r="I481" s="34" t="inlineStr">
        <is>
          <t>Source assignment -- not individually reviewed</t>
        </is>
      </c>
      <c r="J481" s="39" t="inlineStr"/>
      <c r="K481" s="34" t="inlineStr">
        <is>
          <t>Source assignment</t>
        </is>
      </c>
      <c r="L481" s="39" t="inlineStr"/>
      <c r="M481" s="34" t="inlineStr">
        <is>
          <t>Initial</t>
        </is>
      </c>
      <c r="N481" s="34" t="inlineStr">
        <is>
          <t>Rev 0</t>
        </is>
      </c>
      <c r="O481" s="34" t="inlineStr">
        <is>
          <t>R300-v1</t>
        </is>
      </c>
      <c r="P481" s="39" t="inlineStr"/>
      <c r="Q481" s="14" t="inlineStr"/>
      <c r="R481" s="39" t="inlineStr"/>
      <c r="S481" s="39" t="inlineStr"/>
      <c r="T481" s="39" t="inlineStr"/>
      <c r="U481" s="39" t="inlineStr"/>
      <c r="V481" s="34" t="inlineStr">
        <is>
          <t>WBS Code = 1.2.2</t>
        </is>
      </c>
      <c r="W481" s="14" t="inlineStr"/>
    </row>
    <row r="482" ht="49" customHeight="1">
      <c r="A482" s="34" t="inlineStr">
        <is>
          <t>1.2.2</t>
        </is>
      </c>
      <c r="B482" s="34" t="inlineStr">
        <is>
          <t>Stations - Architectural Fit-Out</t>
        </is>
      </c>
      <c r="C482" s="34" t="inlineStr">
        <is>
          <t>Contractor Programme</t>
        </is>
      </c>
      <c r="D482" s="34" t="inlineStr">
        <is>
          <t>SCH-02-123</t>
        </is>
      </c>
      <c r="E482" s="34" t="inlineStr">
        <is>
          <t>Civic Station: architectural wall framing - release</t>
        </is>
      </c>
      <c r="F482" s="34" t="inlineStr">
        <is>
          <t>ONE_TO_ONE</t>
        </is>
      </c>
      <c r="G482" s="34" t="inlineStr">
        <is>
          <t>APPROVED</t>
        </is>
      </c>
      <c r="H482" s="34" t="inlineStr">
        <is>
          <t>New</t>
        </is>
      </c>
      <c r="I482" s="34" t="inlineStr">
        <is>
          <t>Source assignment -- not individually reviewed</t>
        </is>
      </c>
      <c r="J482" s="39" t="inlineStr"/>
      <c r="K482" s="34" t="inlineStr">
        <is>
          <t>Source assignment</t>
        </is>
      </c>
      <c r="L482" s="39" t="inlineStr"/>
      <c r="M482" s="34" t="inlineStr">
        <is>
          <t>Initial</t>
        </is>
      </c>
      <c r="N482" s="34" t="inlineStr">
        <is>
          <t>Rev 0</t>
        </is>
      </c>
      <c r="O482" s="34" t="inlineStr">
        <is>
          <t>R303-v1</t>
        </is>
      </c>
      <c r="P482" s="39" t="inlineStr"/>
      <c r="Q482" s="14" t="inlineStr"/>
      <c r="R482" s="39" t="inlineStr"/>
      <c r="S482" s="39" t="inlineStr"/>
      <c r="T482" s="39" t="inlineStr"/>
      <c r="U482" s="39" t="inlineStr"/>
      <c r="V482" s="34" t="inlineStr">
        <is>
          <t>WBS Code = 1.2.2</t>
        </is>
      </c>
      <c r="W482" s="14" t="inlineStr"/>
    </row>
    <row r="483" ht="49" customHeight="1">
      <c r="A483" s="34" t="inlineStr">
        <is>
          <t>1.2.2</t>
        </is>
      </c>
      <c r="B483" s="34" t="inlineStr">
        <is>
          <t>Stations - Architectural Fit-Out</t>
        </is>
      </c>
      <c r="C483" s="34" t="inlineStr">
        <is>
          <t>Contractor Programme</t>
        </is>
      </c>
      <c r="D483" s="34" t="inlineStr">
        <is>
          <t>SCH-02-126</t>
        </is>
      </c>
      <c r="E483" s="34" t="inlineStr">
        <is>
          <t>Harbour Station: station ventilation rough-in - inspection</t>
        </is>
      </c>
      <c r="F483" s="34" t="inlineStr">
        <is>
          <t>ONE_TO_ONE</t>
        </is>
      </c>
      <c r="G483" s="34" t="inlineStr">
        <is>
          <t>APPROVED</t>
        </is>
      </c>
      <c r="H483" s="34" t="inlineStr">
        <is>
          <t>New</t>
        </is>
      </c>
      <c r="I483" s="34" t="inlineStr">
        <is>
          <t>Source assignment -- not individually reviewed</t>
        </is>
      </c>
      <c r="J483" s="39" t="inlineStr"/>
      <c r="K483" s="34" t="inlineStr">
        <is>
          <t>Source assignment</t>
        </is>
      </c>
      <c r="L483" s="39" t="inlineStr"/>
      <c r="M483" s="34" t="inlineStr">
        <is>
          <t>Initial</t>
        </is>
      </c>
      <c r="N483" s="34" t="inlineStr">
        <is>
          <t>Rev 0</t>
        </is>
      </c>
      <c r="O483" s="34" t="inlineStr">
        <is>
          <t>R306-v1</t>
        </is>
      </c>
      <c r="P483" s="39" t="inlineStr"/>
      <c r="Q483" s="14" t="inlineStr"/>
      <c r="R483" s="39" t="inlineStr"/>
      <c r="S483" s="39" t="inlineStr"/>
      <c r="T483" s="39" t="inlineStr"/>
      <c r="U483" s="39" t="inlineStr"/>
      <c r="V483" s="34" t="inlineStr">
        <is>
          <t>WBS Code = 1.2.2</t>
        </is>
      </c>
      <c r="W483" s="14" t="inlineStr"/>
    </row>
    <row r="484" ht="49" customHeight="1">
      <c r="A484" s="34" t="inlineStr">
        <is>
          <t>1.2.2</t>
        </is>
      </c>
      <c r="B484" s="34" t="inlineStr">
        <is>
          <t>Stations - Architectural Fit-Out</t>
        </is>
      </c>
      <c r="C484" s="34" t="inlineStr">
        <is>
          <t>Contractor Programme</t>
        </is>
      </c>
      <c r="D484" s="34" t="inlineStr">
        <is>
          <t>SCH-02-129</t>
        </is>
      </c>
      <c r="E484" s="34" t="inlineStr">
        <is>
          <t>University Station: vertical-transport installation - field start</t>
        </is>
      </c>
      <c r="F484" s="34" t="inlineStr">
        <is>
          <t>ONE_TO_ONE</t>
        </is>
      </c>
      <c r="G484" s="34" t="inlineStr">
        <is>
          <t>APPROVED</t>
        </is>
      </c>
      <c r="H484" s="34" t="inlineStr">
        <is>
          <t>New</t>
        </is>
      </c>
      <c r="I484" s="34" t="inlineStr">
        <is>
          <t>Source assignment -- not individually reviewed</t>
        </is>
      </c>
      <c r="J484" s="39" t="inlineStr"/>
      <c r="K484" s="34" t="inlineStr">
        <is>
          <t>Source assignment</t>
        </is>
      </c>
      <c r="L484" s="39" t="inlineStr"/>
      <c r="M484" s="34" t="inlineStr">
        <is>
          <t>Initial</t>
        </is>
      </c>
      <c r="N484" s="34" t="inlineStr">
        <is>
          <t>Rev 0</t>
        </is>
      </c>
      <c r="O484" s="34" t="inlineStr">
        <is>
          <t>R309-v1</t>
        </is>
      </c>
      <c r="P484" s="39" t="inlineStr"/>
      <c r="Q484" s="14" t="inlineStr"/>
      <c r="R484" s="39" t="inlineStr"/>
      <c r="S484" s="39" t="inlineStr"/>
      <c r="T484" s="39" t="inlineStr"/>
      <c r="U484" s="39" t="inlineStr"/>
      <c r="V484" s="34" t="inlineStr">
        <is>
          <t>WBS Code = 1.2.2</t>
        </is>
      </c>
      <c r="W484" s="14" t="inlineStr"/>
    </row>
    <row r="485" ht="49" customHeight="1">
      <c r="A485" s="34" t="inlineStr">
        <is>
          <t>1.2.2</t>
        </is>
      </c>
      <c r="B485" s="34" t="inlineStr">
        <is>
          <t>Stations - Architectural Fit-Out</t>
        </is>
      </c>
      <c r="C485" s="34" t="inlineStr">
        <is>
          <t>Contractor Programme</t>
        </is>
      </c>
      <c r="D485" s="34" t="inlineStr">
        <is>
          <t>SCH-02-132</t>
        </is>
      </c>
      <c r="E485" s="34" t="inlineStr">
        <is>
          <t>Market Station: fire-life-safety cabling - turnover</t>
        </is>
      </c>
      <c r="F485" s="34" t="inlineStr">
        <is>
          <t>ONE_TO_ONE</t>
        </is>
      </c>
      <c r="G485" s="34" t="inlineStr">
        <is>
          <t>APPROVED</t>
        </is>
      </c>
      <c r="H485" s="34" t="inlineStr">
        <is>
          <t>New</t>
        </is>
      </c>
      <c r="I485" s="34" t="inlineStr">
        <is>
          <t>Source assignment -- not individually reviewed</t>
        </is>
      </c>
      <c r="J485" s="39" t="inlineStr"/>
      <c r="K485" s="34" t="inlineStr">
        <is>
          <t>Source assignment</t>
        </is>
      </c>
      <c r="L485" s="39" t="inlineStr"/>
      <c r="M485" s="34" t="inlineStr">
        <is>
          <t>Initial</t>
        </is>
      </c>
      <c r="N485" s="34" t="inlineStr">
        <is>
          <t>Rev 0</t>
        </is>
      </c>
      <c r="O485" s="34" t="inlineStr">
        <is>
          <t>R312-v1</t>
        </is>
      </c>
      <c r="P485" s="39" t="inlineStr"/>
      <c r="Q485" s="14" t="inlineStr"/>
      <c r="R485" s="39" t="inlineStr"/>
      <c r="S485" s="39" t="inlineStr"/>
      <c r="T485" s="39" t="inlineStr"/>
      <c r="U485" s="39" t="inlineStr"/>
      <c r="V485" s="34" t="inlineStr">
        <is>
          <t>WBS Code = 1.2.2</t>
        </is>
      </c>
      <c r="W485" s="14" t="inlineStr"/>
    </row>
    <row r="486" ht="49" customHeight="1">
      <c r="A486" s="34" t="inlineStr">
        <is>
          <t>1.2.2</t>
        </is>
      </c>
      <c r="B486" s="34" t="inlineStr">
        <is>
          <t>Stations - Architectural Fit-Out</t>
        </is>
      </c>
      <c r="C486" s="34" t="inlineStr">
        <is>
          <t>Contractor Programme</t>
        </is>
      </c>
      <c r="D486" s="34" t="inlineStr">
        <is>
          <t>SCH-02-135</t>
        </is>
      </c>
      <c r="E486" s="34" t="inlineStr">
        <is>
          <t>West Terminal: public-realm paving - installation</t>
        </is>
      </c>
      <c r="F486" s="34" t="inlineStr">
        <is>
          <t>ONE_TO_ONE</t>
        </is>
      </c>
      <c r="G486" s="34" t="inlineStr">
        <is>
          <t>APPROVED</t>
        </is>
      </c>
      <c r="H486" s="34" t="inlineStr">
        <is>
          <t>New</t>
        </is>
      </c>
      <c r="I486" s="34" t="inlineStr">
        <is>
          <t>Source assignment -- not individually reviewed</t>
        </is>
      </c>
      <c r="J486" s="39" t="inlineStr"/>
      <c r="K486" s="34" t="inlineStr">
        <is>
          <t>Source assignment</t>
        </is>
      </c>
      <c r="L486" s="39" t="inlineStr"/>
      <c r="M486" s="34" t="inlineStr">
        <is>
          <t>Initial</t>
        </is>
      </c>
      <c r="N486" s="34" t="inlineStr">
        <is>
          <t>Rev 0</t>
        </is>
      </c>
      <c r="O486" s="34" t="inlineStr">
        <is>
          <t>R315-v1</t>
        </is>
      </c>
      <c r="P486" s="39" t="inlineStr"/>
      <c r="Q486" s="14" t="inlineStr"/>
      <c r="R486" s="39" t="inlineStr"/>
      <c r="S486" s="39" t="inlineStr"/>
      <c r="T486" s="39" t="inlineStr"/>
      <c r="U486" s="39" t="inlineStr"/>
      <c r="V486" s="34" t="inlineStr">
        <is>
          <t>WBS Code = 1.2.2</t>
        </is>
      </c>
      <c r="W486" s="14" t="inlineStr"/>
    </row>
    <row r="487" ht="49" customHeight="1">
      <c r="A487" s="34" t="inlineStr">
        <is>
          <t>1.2.2</t>
        </is>
      </c>
      <c r="B487" s="34" t="inlineStr">
        <is>
          <t>Stations - Architectural Fit-Out</t>
        </is>
      </c>
      <c r="C487" s="34" t="inlineStr">
        <is>
          <t>Contractor Programme</t>
        </is>
      </c>
      <c r="D487" s="34" t="inlineStr">
        <is>
          <t>SCH-02-138</t>
        </is>
      </c>
      <c r="E487" s="34" t="inlineStr">
        <is>
          <t>Civic Station: platform edge installation - release</t>
        </is>
      </c>
      <c r="F487" s="34" t="inlineStr">
        <is>
          <t>ONE_TO_ONE</t>
        </is>
      </c>
      <c r="G487" s="34" t="inlineStr">
        <is>
          <t>APPROVED</t>
        </is>
      </c>
      <c r="H487" s="34" t="inlineStr">
        <is>
          <t>New</t>
        </is>
      </c>
      <c r="I487" s="34" t="inlineStr">
        <is>
          <t>Source assignment -- not individually reviewed</t>
        </is>
      </c>
      <c r="J487" s="39" t="inlineStr"/>
      <c r="K487" s="34" t="inlineStr">
        <is>
          <t>Source assignment</t>
        </is>
      </c>
      <c r="L487" s="39" t="inlineStr"/>
      <c r="M487" s="34" t="inlineStr">
        <is>
          <t>Initial</t>
        </is>
      </c>
      <c r="N487" s="34" t="inlineStr">
        <is>
          <t>Rev 0</t>
        </is>
      </c>
      <c r="O487" s="34" t="inlineStr">
        <is>
          <t>R318-v1</t>
        </is>
      </c>
      <c r="P487" s="39" t="inlineStr"/>
      <c r="Q487" s="14" t="inlineStr"/>
      <c r="R487" s="39" t="inlineStr"/>
      <c r="S487" s="39" t="inlineStr"/>
      <c r="T487" s="39" t="inlineStr"/>
      <c r="U487" s="39" t="inlineStr"/>
      <c r="V487" s="34" t="inlineStr">
        <is>
          <t>WBS Code = 1.2.2</t>
        </is>
      </c>
      <c r="W487" s="14" t="inlineStr"/>
    </row>
    <row r="488" ht="49" customHeight="1">
      <c r="A488" s="34" t="inlineStr">
        <is>
          <t>1.2.2</t>
        </is>
      </c>
      <c r="B488" s="34" t="inlineStr">
        <is>
          <t>Stations - Architectural Fit-Out</t>
        </is>
      </c>
      <c r="C488" s="34" t="inlineStr">
        <is>
          <t>Contractor Programme</t>
        </is>
      </c>
      <c r="D488" s="34" t="inlineStr">
        <is>
          <t>SCH-02-141</t>
        </is>
      </c>
      <c r="E488" s="34" t="inlineStr">
        <is>
          <t>Harbour Station: concourse slab pour - inspection</t>
        </is>
      </c>
      <c r="F488" s="34" t="inlineStr">
        <is>
          <t>ONE_TO_ONE</t>
        </is>
      </c>
      <c r="G488" s="34" t="inlineStr">
        <is>
          <t>APPROVED</t>
        </is>
      </c>
      <c r="H488" s="34" t="inlineStr">
        <is>
          <t>New</t>
        </is>
      </c>
      <c r="I488" s="34" t="inlineStr">
        <is>
          <t>Source assignment -- not individually reviewed</t>
        </is>
      </c>
      <c r="J488" s="39" t="inlineStr"/>
      <c r="K488" s="34" t="inlineStr">
        <is>
          <t>Source assignment</t>
        </is>
      </c>
      <c r="L488" s="39" t="inlineStr"/>
      <c r="M488" s="34" t="inlineStr">
        <is>
          <t>Initial</t>
        </is>
      </c>
      <c r="N488" s="34" t="inlineStr">
        <is>
          <t>Rev 0</t>
        </is>
      </c>
      <c r="O488" s="34" t="inlineStr">
        <is>
          <t>R321-v1</t>
        </is>
      </c>
      <c r="P488" s="39" t="inlineStr"/>
      <c r="Q488" s="14" t="inlineStr"/>
      <c r="R488" s="39" t="inlineStr"/>
      <c r="S488" s="39" t="inlineStr"/>
      <c r="T488" s="39" t="inlineStr"/>
      <c r="U488" s="39" t="inlineStr"/>
      <c r="V488" s="34" t="inlineStr">
        <is>
          <t>WBS Code = 1.2.2</t>
        </is>
      </c>
      <c r="W488" s="14" t="inlineStr"/>
    </row>
    <row r="489" ht="49" customHeight="1">
      <c r="A489" s="34" t="inlineStr">
        <is>
          <t>1.2.2</t>
        </is>
      </c>
      <c r="B489" s="34" t="inlineStr">
        <is>
          <t>Stations - Architectural Fit-Out</t>
        </is>
      </c>
      <c r="C489" s="34" t="inlineStr">
        <is>
          <t>Contractor Programme</t>
        </is>
      </c>
      <c r="D489" s="34" t="inlineStr">
        <is>
          <t>SCH-02-144</t>
        </is>
      </c>
      <c r="E489" s="34" t="inlineStr">
        <is>
          <t>University Station: entrance steel erection - field start</t>
        </is>
      </c>
      <c r="F489" s="34" t="inlineStr">
        <is>
          <t>ONE_TO_ONE</t>
        </is>
      </c>
      <c r="G489" s="34" t="inlineStr">
        <is>
          <t>APPROVED</t>
        </is>
      </c>
      <c r="H489" s="34" t="inlineStr">
        <is>
          <t>New</t>
        </is>
      </c>
      <c r="I489" s="34" t="inlineStr">
        <is>
          <t>Source assignment -- not individually reviewed</t>
        </is>
      </c>
      <c r="J489" s="39" t="inlineStr"/>
      <c r="K489" s="34" t="inlineStr">
        <is>
          <t>Source assignment</t>
        </is>
      </c>
      <c r="L489" s="39" t="inlineStr"/>
      <c r="M489" s="34" t="inlineStr">
        <is>
          <t>Initial</t>
        </is>
      </c>
      <c r="N489" s="34" t="inlineStr">
        <is>
          <t>Rev 0</t>
        </is>
      </c>
      <c r="O489" s="34" t="inlineStr">
        <is>
          <t>R324-v1</t>
        </is>
      </c>
      <c r="P489" s="39" t="inlineStr"/>
      <c r="Q489" s="14" t="inlineStr"/>
      <c r="R489" s="39" t="inlineStr"/>
      <c r="S489" s="39" t="inlineStr"/>
      <c r="T489" s="39" t="inlineStr"/>
      <c r="U489" s="39" t="inlineStr"/>
      <c r="V489" s="34" t="inlineStr">
        <is>
          <t>WBS Code = 1.2.2</t>
        </is>
      </c>
      <c r="W489" s="14" t="inlineStr"/>
    </row>
    <row r="490" ht="49" customHeight="1">
      <c r="A490" s="34" t="inlineStr">
        <is>
          <t>1.2.2</t>
        </is>
      </c>
      <c r="B490" s="34" t="inlineStr">
        <is>
          <t>Stations - Architectural Fit-Out</t>
        </is>
      </c>
      <c r="C490" s="34" t="inlineStr">
        <is>
          <t>Contractor Programme</t>
        </is>
      </c>
      <c r="D490" s="34" t="inlineStr">
        <is>
          <t>SCH-02-147</t>
        </is>
      </c>
      <c r="E490" s="34" t="inlineStr">
        <is>
          <t>Market Station: architectural wall framing - turnover</t>
        </is>
      </c>
      <c r="F490" s="34" t="inlineStr">
        <is>
          <t>ONE_TO_ONE</t>
        </is>
      </c>
      <c r="G490" s="34" t="inlineStr">
        <is>
          <t>APPROVED</t>
        </is>
      </c>
      <c r="H490" s="34" t="inlineStr">
        <is>
          <t>New</t>
        </is>
      </c>
      <c r="I490" s="34" t="inlineStr">
        <is>
          <t>Source assignment -- not individually reviewed</t>
        </is>
      </c>
      <c r="J490" s="39" t="inlineStr"/>
      <c r="K490" s="34" t="inlineStr">
        <is>
          <t>Source assignment</t>
        </is>
      </c>
      <c r="L490" s="39" t="inlineStr"/>
      <c r="M490" s="34" t="inlineStr">
        <is>
          <t>Initial</t>
        </is>
      </c>
      <c r="N490" s="34" t="inlineStr">
        <is>
          <t>Rev 0</t>
        </is>
      </c>
      <c r="O490" s="34" t="inlineStr">
        <is>
          <t>R327-v1</t>
        </is>
      </c>
      <c r="P490" s="39" t="inlineStr"/>
      <c r="Q490" s="14" t="inlineStr"/>
      <c r="R490" s="39" t="inlineStr"/>
      <c r="S490" s="39" t="inlineStr"/>
      <c r="T490" s="39" t="inlineStr"/>
      <c r="U490" s="39" t="inlineStr"/>
      <c r="V490" s="34" t="inlineStr">
        <is>
          <t>WBS Code = 1.2.2</t>
        </is>
      </c>
      <c r="W490" s="14" t="inlineStr"/>
    </row>
    <row r="491" ht="49" customHeight="1">
      <c r="A491" s="34" t="inlineStr">
        <is>
          <t>1.2.2</t>
        </is>
      </c>
      <c r="B491" s="34" t="inlineStr">
        <is>
          <t>Stations - Architectural Fit-Out</t>
        </is>
      </c>
      <c r="C491" s="34" t="inlineStr">
        <is>
          <t>Contractor Programme</t>
        </is>
      </c>
      <c r="D491" s="34" t="inlineStr">
        <is>
          <t>SCH-02-150</t>
        </is>
      </c>
      <c r="E491" s="34" t="inlineStr">
        <is>
          <t>West Terminal: station ventilation rough-in - installation</t>
        </is>
      </c>
      <c r="F491" s="34" t="inlineStr">
        <is>
          <t>ONE_TO_ONE</t>
        </is>
      </c>
      <c r="G491" s="34" t="inlineStr">
        <is>
          <t>APPROVED</t>
        </is>
      </c>
      <c r="H491" s="34" t="inlineStr">
        <is>
          <t>New</t>
        </is>
      </c>
      <c r="I491" s="34" t="inlineStr">
        <is>
          <t>Source assignment -- not individually reviewed</t>
        </is>
      </c>
      <c r="J491" s="39" t="inlineStr"/>
      <c r="K491" s="34" t="inlineStr">
        <is>
          <t>Source assignment</t>
        </is>
      </c>
      <c r="L491" s="39" t="inlineStr"/>
      <c r="M491" s="34" t="inlineStr">
        <is>
          <t>Initial</t>
        </is>
      </c>
      <c r="N491" s="34" t="inlineStr">
        <is>
          <t>Rev 0</t>
        </is>
      </c>
      <c r="O491" s="34" t="inlineStr">
        <is>
          <t>R330-v1</t>
        </is>
      </c>
      <c r="P491" s="39" t="inlineStr"/>
      <c r="Q491" s="14" t="inlineStr"/>
      <c r="R491" s="39" t="inlineStr"/>
      <c r="S491" s="39" t="inlineStr"/>
      <c r="T491" s="39" t="inlineStr"/>
      <c r="U491" s="39" t="inlineStr"/>
      <c r="V491" s="34" t="inlineStr">
        <is>
          <t>WBS Code = 1.2.2</t>
        </is>
      </c>
      <c r="W491" s="14" t="inlineStr"/>
    </row>
    <row r="492" ht="49" customHeight="1">
      <c r="A492" s="34" t="inlineStr">
        <is>
          <t>1.2.2</t>
        </is>
      </c>
      <c r="B492" s="34" t="inlineStr">
        <is>
          <t>Stations - Architectural Fit-Out</t>
        </is>
      </c>
      <c r="C492" s="34" t="inlineStr">
        <is>
          <t>Contractor Programme</t>
        </is>
      </c>
      <c r="D492" s="34" t="inlineStr">
        <is>
          <t>SCH-02-153</t>
        </is>
      </c>
      <c r="E492" s="34" t="inlineStr">
        <is>
          <t>Civic Station: vertical-transport installation - release</t>
        </is>
      </c>
      <c r="F492" s="34" t="inlineStr">
        <is>
          <t>ONE_TO_ONE</t>
        </is>
      </c>
      <c r="G492" s="34" t="inlineStr">
        <is>
          <t>APPROVED</t>
        </is>
      </c>
      <c r="H492" s="34" t="inlineStr">
        <is>
          <t>New</t>
        </is>
      </c>
      <c r="I492" s="34" t="inlineStr">
        <is>
          <t>Source assignment -- not individually reviewed</t>
        </is>
      </c>
      <c r="J492" s="39" t="inlineStr"/>
      <c r="K492" s="34" t="inlineStr">
        <is>
          <t>Source assignment</t>
        </is>
      </c>
      <c r="L492" s="39" t="inlineStr"/>
      <c r="M492" s="34" t="inlineStr">
        <is>
          <t>Initial</t>
        </is>
      </c>
      <c r="N492" s="34" t="inlineStr">
        <is>
          <t>Rev 0</t>
        </is>
      </c>
      <c r="O492" s="34" t="inlineStr">
        <is>
          <t>R333-v1</t>
        </is>
      </c>
      <c r="P492" s="39" t="inlineStr"/>
      <c r="Q492" s="14" t="inlineStr"/>
      <c r="R492" s="39" t="inlineStr"/>
      <c r="S492" s="39" t="inlineStr"/>
      <c r="T492" s="39" t="inlineStr"/>
      <c r="U492" s="39" t="inlineStr"/>
      <c r="V492" s="34" t="inlineStr">
        <is>
          <t>WBS Code = 1.2.2</t>
        </is>
      </c>
      <c r="W492" s="14" t="inlineStr"/>
    </row>
    <row r="493" ht="49" customHeight="1">
      <c r="A493" s="34" t="inlineStr">
        <is>
          <t>1.2.2</t>
        </is>
      </c>
      <c r="B493" s="34" t="inlineStr">
        <is>
          <t>Stations - Architectural Fit-Out</t>
        </is>
      </c>
      <c r="C493" s="34" t="inlineStr">
        <is>
          <t>Contractor Programme</t>
        </is>
      </c>
      <c r="D493" s="34" t="inlineStr">
        <is>
          <t>SCH-02-156</t>
        </is>
      </c>
      <c r="E493" s="34" t="inlineStr">
        <is>
          <t>Harbour Station: fire-life-safety cabling - inspection</t>
        </is>
      </c>
      <c r="F493" s="34" t="inlineStr">
        <is>
          <t>ONE_TO_ONE</t>
        </is>
      </c>
      <c r="G493" s="34" t="inlineStr">
        <is>
          <t>APPROVED</t>
        </is>
      </c>
      <c r="H493" s="34" t="inlineStr">
        <is>
          <t>New</t>
        </is>
      </c>
      <c r="I493" s="34" t="inlineStr">
        <is>
          <t>Source assignment -- not individually reviewed</t>
        </is>
      </c>
      <c r="J493" s="39" t="inlineStr"/>
      <c r="K493" s="34" t="inlineStr">
        <is>
          <t>Source assignment</t>
        </is>
      </c>
      <c r="L493" s="39" t="inlineStr"/>
      <c r="M493" s="34" t="inlineStr">
        <is>
          <t>Initial</t>
        </is>
      </c>
      <c r="N493" s="34" t="inlineStr">
        <is>
          <t>Rev 0</t>
        </is>
      </c>
      <c r="O493" s="34" t="inlineStr">
        <is>
          <t>R336-v1</t>
        </is>
      </c>
      <c r="P493" s="39" t="inlineStr"/>
      <c r="Q493" s="14" t="inlineStr"/>
      <c r="R493" s="39" t="inlineStr"/>
      <c r="S493" s="39" t="inlineStr"/>
      <c r="T493" s="39" t="inlineStr"/>
      <c r="U493" s="39" t="inlineStr"/>
      <c r="V493" s="34" t="inlineStr">
        <is>
          <t>WBS Code = 1.2.2</t>
        </is>
      </c>
      <c r="W493" s="14" t="inlineStr"/>
    </row>
    <row r="494" ht="49" customHeight="1">
      <c r="A494" s="34" t="inlineStr">
        <is>
          <t>1.2.2</t>
        </is>
      </c>
      <c r="B494" s="34" t="inlineStr">
        <is>
          <t>Stations - Architectural Fit-Out</t>
        </is>
      </c>
      <c r="C494" s="34" t="inlineStr">
        <is>
          <t>Contractor Programme</t>
        </is>
      </c>
      <c r="D494" s="34" t="inlineStr">
        <is>
          <t>SCH-02-159</t>
        </is>
      </c>
      <c r="E494" s="34" t="inlineStr">
        <is>
          <t>University Station: public-realm paving - field start</t>
        </is>
      </c>
      <c r="F494" s="34" t="inlineStr">
        <is>
          <t>ONE_TO_ONE</t>
        </is>
      </c>
      <c r="G494" s="34" t="inlineStr">
        <is>
          <t>APPROVED</t>
        </is>
      </c>
      <c r="H494" s="34" t="inlineStr">
        <is>
          <t>New</t>
        </is>
      </c>
      <c r="I494" s="34" t="inlineStr">
        <is>
          <t>Source assignment -- not individually reviewed</t>
        </is>
      </c>
      <c r="J494" s="39" t="inlineStr"/>
      <c r="K494" s="34" t="inlineStr">
        <is>
          <t>Source assignment</t>
        </is>
      </c>
      <c r="L494" s="39" t="inlineStr"/>
      <c r="M494" s="34" t="inlineStr">
        <is>
          <t>Initial</t>
        </is>
      </c>
      <c r="N494" s="34" t="inlineStr">
        <is>
          <t>Rev 0</t>
        </is>
      </c>
      <c r="O494" s="34" t="inlineStr">
        <is>
          <t>R339-v1</t>
        </is>
      </c>
      <c r="P494" s="39" t="inlineStr"/>
      <c r="Q494" s="14" t="inlineStr"/>
      <c r="R494" s="39" t="inlineStr"/>
      <c r="S494" s="39" t="inlineStr"/>
      <c r="T494" s="39" t="inlineStr"/>
      <c r="U494" s="39" t="inlineStr"/>
      <c r="V494" s="34" t="inlineStr">
        <is>
          <t>WBS Code = 1.2.2</t>
        </is>
      </c>
      <c r="W494" s="14" t="inlineStr"/>
    </row>
    <row r="495" ht="49" customHeight="1">
      <c r="A495" s="34" t="inlineStr">
        <is>
          <t>1.2.2</t>
        </is>
      </c>
      <c r="B495" s="34" t="inlineStr">
        <is>
          <t>Stations - Architectural Fit-Out</t>
        </is>
      </c>
      <c r="C495" s="34" t="inlineStr">
        <is>
          <t>Contractor Programme</t>
        </is>
      </c>
      <c r="D495" s="34" t="inlineStr">
        <is>
          <t>SCH-02-162</t>
        </is>
      </c>
      <c r="E495" s="34" t="inlineStr">
        <is>
          <t>Market Station: platform edge installation - turnover</t>
        </is>
      </c>
      <c r="F495" s="34" t="inlineStr">
        <is>
          <t>ONE_TO_ONE</t>
        </is>
      </c>
      <c r="G495" s="34" t="inlineStr">
        <is>
          <t>APPROVED</t>
        </is>
      </c>
      <c r="H495" s="34" t="inlineStr">
        <is>
          <t>New</t>
        </is>
      </c>
      <c r="I495" s="34" t="inlineStr">
        <is>
          <t>Source assignment -- not individually reviewed</t>
        </is>
      </c>
      <c r="J495" s="39" t="inlineStr"/>
      <c r="K495" s="34" t="inlineStr">
        <is>
          <t>Source assignment</t>
        </is>
      </c>
      <c r="L495" s="39" t="inlineStr"/>
      <c r="M495" s="34" t="inlineStr">
        <is>
          <t>Initial</t>
        </is>
      </c>
      <c r="N495" s="34" t="inlineStr">
        <is>
          <t>Rev 0</t>
        </is>
      </c>
      <c r="O495" s="34" t="inlineStr">
        <is>
          <t>R342-v1</t>
        </is>
      </c>
      <c r="P495" s="39" t="inlineStr"/>
      <c r="Q495" s="14" t="inlineStr"/>
      <c r="R495" s="39" t="inlineStr"/>
      <c r="S495" s="39" t="inlineStr"/>
      <c r="T495" s="39" t="inlineStr"/>
      <c r="U495" s="39" t="inlineStr"/>
      <c r="V495" s="34" t="inlineStr">
        <is>
          <t>WBS Code = 1.2.2</t>
        </is>
      </c>
      <c r="W495" s="14" t="inlineStr"/>
    </row>
    <row r="496" ht="49" customHeight="1">
      <c r="A496" s="34" t="inlineStr">
        <is>
          <t>1.2.2</t>
        </is>
      </c>
      <c r="B496" s="34" t="inlineStr">
        <is>
          <t>Stations - Architectural Fit-Out</t>
        </is>
      </c>
      <c r="C496" s="34" t="inlineStr">
        <is>
          <t>Contractor Programme</t>
        </is>
      </c>
      <c r="D496" s="34" t="inlineStr">
        <is>
          <t>SCH-02-165</t>
        </is>
      </c>
      <c r="E496" s="34" t="inlineStr">
        <is>
          <t>West Terminal: concourse slab pour - installation</t>
        </is>
      </c>
      <c r="F496" s="34" t="inlineStr">
        <is>
          <t>ONE_TO_ONE</t>
        </is>
      </c>
      <c r="G496" s="34" t="inlineStr">
        <is>
          <t>APPROVED</t>
        </is>
      </c>
      <c r="H496" s="34" t="inlineStr">
        <is>
          <t>New</t>
        </is>
      </c>
      <c r="I496" s="34" t="inlineStr">
        <is>
          <t>Source assignment -- not individually reviewed</t>
        </is>
      </c>
      <c r="J496" s="39" t="inlineStr"/>
      <c r="K496" s="34" t="inlineStr">
        <is>
          <t>Source assignment</t>
        </is>
      </c>
      <c r="L496" s="39" t="inlineStr"/>
      <c r="M496" s="34" t="inlineStr">
        <is>
          <t>Initial</t>
        </is>
      </c>
      <c r="N496" s="34" t="inlineStr">
        <is>
          <t>Rev 0</t>
        </is>
      </c>
      <c r="O496" s="34" t="inlineStr">
        <is>
          <t>R345-v1</t>
        </is>
      </c>
      <c r="P496" s="39" t="inlineStr"/>
      <c r="Q496" s="14" t="inlineStr"/>
      <c r="R496" s="39" t="inlineStr"/>
      <c r="S496" s="39" t="inlineStr"/>
      <c r="T496" s="39" t="inlineStr"/>
      <c r="U496" s="39" t="inlineStr"/>
      <c r="V496" s="34" t="inlineStr">
        <is>
          <t>WBS Code = 1.2.2</t>
        </is>
      </c>
      <c r="W496" s="14" t="inlineStr"/>
    </row>
    <row r="497" ht="49" customHeight="1">
      <c r="A497" s="34" t="inlineStr">
        <is>
          <t>1.2.2</t>
        </is>
      </c>
      <c r="B497" s="34" t="inlineStr">
        <is>
          <t>Stations - Architectural Fit-Out</t>
        </is>
      </c>
      <c r="C497" s="34" t="inlineStr">
        <is>
          <t>Contractor Programme</t>
        </is>
      </c>
      <c r="D497" s="34" t="inlineStr">
        <is>
          <t>SCH-02-168</t>
        </is>
      </c>
      <c r="E497" s="34" t="inlineStr">
        <is>
          <t>Civic Station: entrance steel erection - release</t>
        </is>
      </c>
      <c r="F497" s="34" t="inlineStr">
        <is>
          <t>ONE_TO_ONE</t>
        </is>
      </c>
      <c r="G497" s="34" t="inlineStr">
        <is>
          <t>APPROVED</t>
        </is>
      </c>
      <c r="H497" s="34" t="inlineStr">
        <is>
          <t>New</t>
        </is>
      </c>
      <c r="I497" s="34" t="inlineStr">
        <is>
          <t>Source assignment -- not individually reviewed</t>
        </is>
      </c>
      <c r="J497" s="39" t="inlineStr"/>
      <c r="K497" s="34" t="inlineStr">
        <is>
          <t>Source assignment</t>
        </is>
      </c>
      <c r="L497" s="39" t="inlineStr"/>
      <c r="M497" s="34" t="inlineStr">
        <is>
          <t>Initial</t>
        </is>
      </c>
      <c r="N497" s="34" t="inlineStr">
        <is>
          <t>Rev 0</t>
        </is>
      </c>
      <c r="O497" s="34" t="inlineStr">
        <is>
          <t>R348-v1</t>
        </is>
      </c>
      <c r="P497" s="39" t="inlineStr"/>
      <c r="Q497" s="14" t="inlineStr"/>
      <c r="R497" s="39" t="inlineStr"/>
      <c r="S497" s="39" t="inlineStr"/>
      <c r="T497" s="39" t="inlineStr"/>
      <c r="U497" s="39" t="inlineStr"/>
      <c r="V497" s="34" t="inlineStr">
        <is>
          <t>WBS Code = 1.2.2</t>
        </is>
      </c>
      <c r="W497" s="14" t="inlineStr"/>
    </row>
    <row r="498" ht="49" customHeight="1">
      <c r="A498" s="34" t="inlineStr">
        <is>
          <t>1.2.2</t>
        </is>
      </c>
      <c r="B498" s="34" t="inlineStr">
        <is>
          <t>Stations - Architectural Fit-Out</t>
        </is>
      </c>
      <c r="C498" s="34" t="inlineStr">
        <is>
          <t>Contractor Programme</t>
        </is>
      </c>
      <c r="D498" s="34" t="inlineStr">
        <is>
          <t>SCH-02-171</t>
        </is>
      </c>
      <c r="E498" s="34" t="inlineStr">
        <is>
          <t>Harbour Station: architectural wall framing - inspection</t>
        </is>
      </c>
      <c r="F498" s="34" t="inlineStr">
        <is>
          <t>ONE_TO_ONE</t>
        </is>
      </c>
      <c r="G498" s="34" t="inlineStr">
        <is>
          <t>APPROVED</t>
        </is>
      </c>
      <c r="H498" s="34" t="inlineStr">
        <is>
          <t>New</t>
        </is>
      </c>
      <c r="I498" s="34" t="inlineStr">
        <is>
          <t>Source assignment -- not individually reviewed</t>
        </is>
      </c>
      <c r="J498" s="39" t="inlineStr"/>
      <c r="K498" s="34" t="inlineStr">
        <is>
          <t>Source assignment</t>
        </is>
      </c>
      <c r="L498" s="39" t="inlineStr"/>
      <c r="M498" s="34" t="inlineStr">
        <is>
          <t>Initial</t>
        </is>
      </c>
      <c r="N498" s="34" t="inlineStr">
        <is>
          <t>Rev 0</t>
        </is>
      </c>
      <c r="O498" s="34" t="inlineStr">
        <is>
          <t>R351-v1</t>
        </is>
      </c>
      <c r="P498" s="39" t="inlineStr"/>
      <c r="Q498" s="14" t="inlineStr"/>
      <c r="R498" s="39" t="inlineStr"/>
      <c r="S498" s="39" t="inlineStr"/>
      <c r="T498" s="39" t="inlineStr"/>
      <c r="U498" s="39" t="inlineStr"/>
      <c r="V498" s="34" t="inlineStr">
        <is>
          <t>WBS Code = 1.2.2</t>
        </is>
      </c>
      <c r="W498" s="14" t="inlineStr"/>
    </row>
    <row r="499" ht="49" customHeight="1">
      <c r="A499" s="34" t="inlineStr">
        <is>
          <t>1.2.2</t>
        </is>
      </c>
      <c r="B499" s="34" t="inlineStr">
        <is>
          <t>Stations - Architectural Fit-Out</t>
        </is>
      </c>
      <c r="C499" s="34" t="inlineStr">
        <is>
          <t>Contractor Programme</t>
        </is>
      </c>
      <c r="D499" s="34" t="inlineStr">
        <is>
          <t>SCH-02-174</t>
        </is>
      </c>
      <c r="E499" s="34" t="inlineStr">
        <is>
          <t>University Station: station ventilation rough-in - field start</t>
        </is>
      </c>
      <c r="F499" s="34" t="inlineStr">
        <is>
          <t>ONE_TO_ONE</t>
        </is>
      </c>
      <c r="G499" s="34" t="inlineStr">
        <is>
          <t>APPROVED</t>
        </is>
      </c>
      <c r="H499" s="34" t="inlineStr">
        <is>
          <t>New</t>
        </is>
      </c>
      <c r="I499" s="34" t="inlineStr">
        <is>
          <t>Source assignment -- not individually reviewed</t>
        </is>
      </c>
      <c r="J499" s="39" t="inlineStr"/>
      <c r="K499" s="34" t="inlineStr">
        <is>
          <t>Source assignment</t>
        </is>
      </c>
      <c r="L499" s="39" t="inlineStr"/>
      <c r="M499" s="34" t="inlineStr">
        <is>
          <t>Initial</t>
        </is>
      </c>
      <c r="N499" s="34" t="inlineStr">
        <is>
          <t>Rev 0</t>
        </is>
      </c>
      <c r="O499" s="34" t="inlineStr">
        <is>
          <t>R354-v1</t>
        </is>
      </c>
      <c r="P499" s="39" t="inlineStr"/>
      <c r="Q499" s="14" t="inlineStr"/>
      <c r="R499" s="39" t="inlineStr"/>
      <c r="S499" s="39" t="inlineStr"/>
      <c r="T499" s="39" t="inlineStr"/>
      <c r="U499" s="39" t="inlineStr"/>
      <c r="V499" s="34" t="inlineStr">
        <is>
          <t>WBS Code = 1.2.2</t>
        </is>
      </c>
      <c r="W499" s="14" t="inlineStr"/>
    </row>
    <row r="500" ht="49" customHeight="1">
      <c r="A500" s="34" t="inlineStr">
        <is>
          <t>1.2.2</t>
        </is>
      </c>
      <c r="B500" s="34" t="inlineStr">
        <is>
          <t>Stations - Architectural Fit-Out</t>
        </is>
      </c>
      <c r="C500" s="34" t="inlineStr">
        <is>
          <t>Contractor Programme</t>
        </is>
      </c>
      <c r="D500" s="34" t="inlineStr">
        <is>
          <t>SCH-02-177</t>
        </is>
      </c>
      <c r="E500" s="34" t="inlineStr">
        <is>
          <t>Market Station: vertical-transport installation - turnover</t>
        </is>
      </c>
      <c r="F500" s="34" t="inlineStr">
        <is>
          <t>ONE_TO_ONE</t>
        </is>
      </c>
      <c r="G500" s="34" t="inlineStr">
        <is>
          <t>APPROVED</t>
        </is>
      </c>
      <c r="H500" s="34" t="inlineStr">
        <is>
          <t>New</t>
        </is>
      </c>
      <c r="I500" s="34" t="inlineStr">
        <is>
          <t>Source assignment -- not individually reviewed</t>
        </is>
      </c>
      <c r="J500" s="39" t="inlineStr"/>
      <c r="K500" s="34" t="inlineStr">
        <is>
          <t>Source assignment</t>
        </is>
      </c>
      <c r="L500" s="39" t="inlineStr"/>
      <c r="M500" s="34" t="inlineStr">
        <is>
          <t>Initial</t>
        </is>
      </c>
      <c r="N500" s="34" t="inlineStr">
        <is>
          <t>Rev 0</t>
        </is>
      </c>
      <c r="O500" s="34" t="inlineStr">
        <is>
          <t>R357-v1</t>
        </is>
      </c>
      <c r="P500" s="39" t="inlineStr"/>
      <c r="Q500" s="14" t="inlineStr"/>
      <c r="R500" s="39" t="inlineStr"/>
      <c r="S500" s="39" t="inlineStr"/>
      <c r="T500" s="39" t="inlineStr"/>
      <c r="U500" s="39" t="inlineStr"/>
      <c r="V500" s="34" t="inlineStr">
        <is>
          <t>WBS Code = 1.2.2</t>
        </is>
      </c>
      <c r="W500" s="14" t="inlineStr"/>
    </row>
    <row r="501" ht="49" customHeight="1">
      <c r="A501" s="34" t="inlineStr">
        <is>
          <t>1.2.2</t>
        </is>
      </c>
      <c r="B501" s="34" t="inlineStr">
        <is>
          <t>Stations - Architectural Fit-Out</t>
        </is>
      </c>
      <c r="C501" s="34" t="inlineStr">
        <is>
          <t>Contractor Programme</t>
        </is>
      </c>
      <c r="D501" s="34" t="inlineStr">
        <is>
          <t>SCH-02-180</t>
        </is>
      </c>
      <c r="E501" s="34" t="inlineStr">
        <is>
          <t>West Terminal: fire-life-safety cabling - installation</t>
        </is>
      </c>
      <c r="F501" s="34" t="inlineStr">
        <is>
          <t>ONE_TO_ONE</t>
        </is>
      </c>
      <c r="G501" s="34" t="inlineStr">
        <is>
          <t>APPROVED</t>
        </is>
      </c>
      <c r="H501" s="34" t="inlineStr">
        <is>
          <t>New</t>
        </is>
      </c>
      <c r="I501" s="34" t="inlineStr">
        <is>
          <t>Source assignment -- not individually reviewed</t>
        </is>
      </c>
      <c r="J501" s="39" t="inlineStr"/>
      <c r="K501" s="34" t="inlineStr">
        <is>
          <t>Source assignment</t>
        </is>
      </c>
      <c r="L501" s="39" t="inlineStr"/>
      <c r="M501" s="34" t="inlineStr">
        <is>
          <t>Initial</t>
        </is>
      </c>
      <c r="N501" s="34" t="inlineStr">
        <is>
          <t>Rev 0</t>
        </is>
      </c>
      <c r="O501" s="34" t="inlineStr">
        <is>
          <t>R360-v1</t>
        </is>
      </c>
      <c r="P501" s="39" t="inlineStr"/>
      <c r="Q501" s="14" t="inlineStr"/>
      <c r="R501" s="39" t="inlineStr"/>
      <c r="S501" s="39" t="inlineStr"/>
      <c r="T501" s="39" t="inlineStr"/>
      <c r="U501" s="39" t="inlineStr"/>
      <c r="V501" s="34" t="inlineStr">
        <is>
          <t>WBS Code = 1.2.2</t>
        </is>
      </c>
      <c r="W501" s="14" t="inlineStr"/>
    </row>
    <row r="502" ht="49" customHeight="1">
      <c r="A502" s="34" t="inlineStr">
        <is>
          <t>1.2.2</t>
        </is>
      </c>
      <c r="B502" s="34" t="inlineStr">
        <is>
          <t>Stations - Architectural Fit-Out</t>
        </is>
      </c>
      <c r="C502" s="34" t="inlineStr">
        <is>
          <t>Cost &amp; Forecast Control Accounts</t>
        </is>
      </c>
      <c r="D502" s="34" t="inlineStr">
        <is>
          <t>CST-02-002</t>
        </is>
      </c>
      <c r="E502" s="34" t="inlineStr">
        <is>
          <t>Stations - station structure - closeout</t>
        </is>
      </c>
      <c r="F502" s="34" t="inlineStr">
        <is>
          <t>ONE_TO_ONE</t>
        </is>
      </c>
      <c r="G502" s="34" t="inlineStr">
        <is>
          <t>APPROVED</t>
        </is>
      </c>
      <c r="H502" s="34" t="inlineStr">
        <is>
          <t>New</t>
        </is>
      </c>
      <c r="I502" s="34" t="inlineStr">
        <is>
          <t>Source assignment -- not individually reviewed</t>
        </is>
      </c>
      <c r="J502" s="39" t="inlineStr"/>
      <c r="K502" s="34" t="inlineStr">
        <is>
          <t>Source assignment</t>
        </is>
      </c>
      <c r="L502" s="39" t="inlineStr"/>
      <c r="M502" s="34" t="inlineStr">
        <is>
          <t>Initial</t>
        </is>
      </c>
      <c r="N502" s="34" t="inlineStr">
        <is>
          <t>Rev 0</t>
        </is>
      </c>
      <c r="O502" s="34" t="inlineStr">
        <is>
          <t>R1164-v1</t>
        </is>
      </c>
      <c r="P502" s="39" t="inlineStr"/>
      <c r="Q502" s="14" t="inlineStr"/>
      <c r="R502" s="39" t="inlineStr"/>
      <c r="S502" s="39" t="inlineStr"/>
      <c r="T502" s="39" t="inlineStr"/>
      <c r="U502" s="39" t="inlineStr"/>
      <c r="V502" s="34" t="inlineStr">
        <is>
          <t>Cost Account = CA-2002; WBS Code = 1.2.2</t>
        </is>
      </c>
      <c r="W502" s="14" t="inlineStr"/>
    </row>
    <row r="503" ht="49" customHeight="1">
      <c r="A503" s="34" t="inlineStr">
        <is>
          <t>1.2.2</t>
        </is>
      </c>
      <c r="B503" s="34" t="inlineStr">
        <is>
          <t>Stations - Architectural Fit-Out</t>
        </is>
      </c>
      <c r="C503" s="34" t="inlineStr">
        <is>
          <t>Cost &amp; Forecast Control Accounts</t>
        </is>
      </c>
      <c r="D503" s="34" t="inlineStr">
        <is>
          <t>CST-02-004</t>
        </is>
      </c>
      <c r="E503" s="34" t="inlineStr">
        <is>
          <t>Stations - public realm - supply and install</t>
        </is>
      </c>
      <c r="F503" s="34" t="inlineStr">
        <is>
          <t>ONE_TO_ONE</t>
        </is>
      </c>
      <c r="G503" s="34" t="inlineStr">
        <is>
          <t>APPROVED</t>
        </is>
      </c>
      <c r="H503" s="34" t="inlineStr">
        <is>
          <t>New</t>
        </is>
      </c>
      <c r="I503" s="34" t="inlineStr">
        <is>
          <t>Source assignment -- not individually reviewed</t>
        </is>
      </c>
      <c r="J503" s="39" t="inlineStr"/>
      <c r="K503" s="34" t="inlineStr">
        <is>
          <t>Source assignment</t>
        </is>
      </c>
      <c r="L503" s="39" t="inlineStr"/>
      <c r="M503" s="34" t="inlineStr">
        <is>
          <t>Initial</t>
        </is>
      </c>
      <c r="N503" s="34" t="inlineStr">
        <is>
          <t>Rev 0</t>
        </is>
      </c>
      <c r="O503" s="34" t="inlineStr">
        <is>
          <t>R1166-v1</t>
        </is>
      </c>
      <c r="P503" s="39" t="inlineStr"/>
      <c r="Q503" s="14" t="inlineStr"/>
      <c r="R503" s="39" t="inlineStr"/>
      <c r="S503" s="39" t="inlineStr"/>
      <c r="T503" s="39" t="inlineStr"/>
      <c r="U503" s="39" t="inlineStr"/>
      <c r="V503" s="34" t="inlineStr">
        <is>
          <t>Cost Account = CA-2004; WBS Code = 1.2.2</t>
        </is>
      </c>
      <c r="W503" s="14" t="inlineStr"/>
    </row>
    <row r="504" ht="49" customHeight="1">
      <c r="A504" s="34" t="inlineStr">
        <is>
          <t>1.2.2</t>
        </is>
      </c>
      <c r="B504" s="34" t="inlineStr">
        <is>
          <t>Stations - Architectural Fit-Out</t>
        </is>
      </c>
      <c r="C504" s="34" t="inlineStr">
        <is>
          <t>Cost &amp; Forecast Control Accounts</t>
        </is>
      </c>
      <c r="D504" s="34" t="inlineStr">
        <is>
          <t>CST-02-006</t>
        </is>
      </c>
      <c r="E504" s="34" t="inlineStr">
        <is>
          <t>Stations - building services - allowance</t>
        </is>
      </c>
      <c r="F504" s="34" t="inlineStr">
        <is>
          <t>ONE_TO_ONE</t>
        </is>
      </c>
      <c r="G504" s="34" t="inlineStr">
        <is>
          <t>APPROVED</t>
        </is>
      </c>
      <c r="H504" s="34" t="inlineStr">
        <is>
          <t>New</t>
        </is>
      </c>
      <c r="I504" s="34" t="inlineStr">
        <is>
          <t>Source assignment -- not individually reviewed</t>
        </is>
      </c>
      <c r="J504" s="39" t="inlineStr"/>
      <c r="K504" s="34" t="inlineStr">
        <is>
          <t>Source assignment</t>
        </is>
      </c>
      <c r="L504" s="39" t="inlineStr"/>
      <c r="M504" s="34" t="inlineStr">
        <is>
          <t>Initial</t>
        </is>
      </c>
      <c r="N504" s="34" t="inlineStr">
        <is>
          <t>Rev 0</t>
        </is>
      </c>
      <c r="O504" s="34" t="inlineStr">
        <is>
          <t>R1168-v1</t>
        </is>
      </c>
      <c r="P504" s="39" t="inlineStr"/>
      <c r="Q504" s="14" t="inlineStr"/>
      <c r="R504" s="39" t="inlineStr"/>
      <c r="S504" s="39" t="inlineStr"/>
      <c r="T504" s="39" t="inlineStr"/>
      <c r="U504" s="39" t="inlineStr"/>
      <c r="V504" s="34" t="inlineStr">
        <is>
          <t>Cost Account = CA-2006; WBS Code = 1.2.2</t>
        </is>
      </c>
      <c r="W504" s="14" t="inlineStr"/>
    </row>
    <row r="505" ht="49" customHeight="1">
      <c r="A505" s="34" t="inlineStr">
        <is>
          <t>1.2.2</t>
        </is>
      </c>
      <c r="B505" s="34" t="inlineStr">
        <is>
          <t>Stations - Architectural Fit-Out</t>
        </is>
      </c>
      <c r="C505" s="34" t="inlineStr">
        <is>
          <t>Cost &amp; Forecast Control Accounts</t>
        </is>
      </c>
      <c r="D505" s="34" t="inlineStr">
        <is>
          <t>CST-02-008</t>
        </is>
      </c>
      <c r="E505" s="34" t="inlineStr">
        <is>
          <t>Stations - station structure - field package</t>
        </is>
      </c>
      <c r="F505" s="34" t="inlineStr">
        <is>
          <t>ONE_TO_ONE</t>
        </is>
      </c>
      <c r="G505" s="34" t="inlineStr">
        <is>
          <t>APPROVED</t>
        </is>
      </c>
      <c r="H505" s="34" t="inlineStr">
        <is>
          <t>New</t>
        </is>
      </c>
      <c r="I505" s="34" t="inlineStr">
        <is>
          <t>Source assignment -- not individually reviewed</t>
        </is>
      </c>
      <c r="J505" s="39" t="inlineStr"/>
      <c r="K505" s="34" t="inlineStr">
        <is>
          <t>Source assignment</t>
        </is>
      </c>
      <c r="L505" s="39" t="inlineStr"/>
      <c r="M505" s="34" t="inlineStr">
        <is>
          <t>Initial</t>
        </is>
      </c>
      <c r="N505" s="34" t="inlineStr">
        <is>
          <t>Rev 0</t>
        </is>
      </c>
      <c r="O505" s="34" t="inlineStr">
        <is>
          <t>R1170-v1</t>
        </is>
      </c>
      <c r="P505" s="39" t="inlineStr"/>
      <c r="Q505" s="14" t="inlineStr"/>
      <c r="R505" s="39" t="inlineStr"/>
      <c r="S505" s="39" t="inlineStr"/>
      <c r="T505" s="39" t="inlineStr"/>
      <c r="U505" s="39" t="inlineStr"/>
      <c r="V505" s="34" t="inlineStr">
        <is>
          <t>Cost Account = CA-2008; WBS Code = 1.2.2</t>
        </is>
      </c>
      <c r="W505" s="14" t="inlineStr"/>
    </row>
    <row r="506" ht="49" customHeight="1">
      <c r="A506" s="34" t="inlineStr">
        <is>
          <t>1.2.2</t>
        </is>
      </c>
      <c r="B506" s="34" t="inlineStr">
        <is>
          <t>Stations - Architectural Fit-Out</t>
        </is>
      </c>
      <c r="C506" s="34" t="inlineStr">
        <is>
          <t>Cost &amp; Forecast Control Accounts</t>
        </is>
      </c>
      <c r="D506" s="34" t="inlineStr">
        <is>
          <t>CST-02-010</t>
        </is>
      </c>
      <c r="E506" s="34" t="inlineStr">
        <is>
          <t>Stations - public realm - professional services</t>
        </is>
      </c>
      <c r="F506" s="34" t="inlineStr">
        <is>
          <t>ONE_TO_ONE</t>
        </is>
      </c>
      <c r="G506" s="34" t="inlineStr">
        <is>
          <t>APPROVED</t>
        </is>
      </c>
      <c r="H506" s="34" t="inlineStr">
        <is>
          <t>New</t>
        </is>
      </c>
      <c r="I506" s="34" t="inlineStr">
        <is>
          <t>Source assignment -- not individually reviewed</t>
        </is>
      </c>
      <c r="J506" s="39" t="inlineStr"/>
      <c r="K506" s="34" t="inlineStr">
        <is>
          <t>Source assignment</t>
        </is>
      </c>
      <c r="L506" s="39" t="inlineStr"/>
      <c r="M506" s="34" t="inlineStr">
        <is>
          <t>Initial</t>
        </is>
      </c>
      <c r="N506" s="34" t="inlineStr">
        <is>
          <t>Rev 0</t>
        </is>
      </c>
      <c r="O506" s="34" t="inlineStr">
        <is>
          <t>R1172-v1</t>
        </is>
      </c>
      <c r="P506" s="39" t="inlineStr"/>
      <c r="Q506" s="14" t="inlineStr"/>
      <c r="R506" s="39" t="inlineStr"/>
      <c r="S506" s="39" t="inlineStr"/>
      <c r="T506" s="39" t="inlineStr"/>
      <c r="U506" s="39" t="inlineStr"/>
      <c r="V506" s="34" t="inlineStr">
        <is>
          <t>Cost Account = CA-2010; WBS Code = 1.2.2</t>
        </is>
      </c>
      <c r="W506" s="14" t="inlineStr"/>
    </row>
    <row r="507" ht="49" customHeight="1">
      <c r="A507" s="34" t="inlineStr">
        <is>
          <t>1.2.2</t>
        </is>
      </c>
      <c r="B507" s="34" t="inlineStr">
        <is>
          <t>Stations - Architectural Fit-Out</t>
        </is>
      </c>
      <c r="C507" s="34" t="inlineStr">
        <is>
          <t>Cost &amp; Forecast Control Accounts</t>
        </is>
      </c>
      <c r="D507" s="34" t="inlineStr">
        <is>
          <t>CST-02-012</t>
        </is>
      </c>
      <c r="E507" s="34" t="inlineStr">
        <is>
          <t>Stations - building services - closeout</t>
        </is>
      </c>
      <c r="F507" s="34" t="inlineStr">
        <is>
          <t>ONE_TO_ONE</t>
        </is>
      </c>
      <c r="G507" s="34" t="inlineStr">
        <is>
          <t>APPROVED</t>
        </is>
      </c>
      <c r="H507" s="34" t="inlineStr">
        <is>
          <t>New</t>
        </is>
      </c>
      <c r="I507" s="34" t="inlineStr">
        <is>
          <t>Source assignment -- not individually reviewed</t>
        </is>
      </c>
      <c r="J507" s="39" t="inlineStr"/>
      <c r="K507" s="34" t="inlineStr">
        <is>
          <t>Source assignment</t>
        </is>
      </c>
      <c r="L507" s="39" t="inlineStr"/>
      <c r="M507" s="34" t="inlineStr">
        <is>
          <t>Initial</t>
        </is>
      </c>
      <c r="N507" s="34" t="inlineStr">
        <is>
          <t>Rev 0</t>
        </is>
      </c>
      <c r="O507" s="34" t="inlineStr">
        <is>
          <t>R1174-v1</t>
        </is>
      </c>
      <c r="P507" s="39" t="inlineStr"/>
      <c r="Q507" s="14" t="inlineStr"/>
      <c r="R507" s="39" t="inlineStr"/>
      <c r="S507" s="39" t="inlineStr"/>
      <c r="T507" s="39" t="inlineStr"/>
      <c r="U507" s="39" t="inlineStr"/>
      <c r="V507" s="34" t="inlineStr">
        <is>
          <t>Cost Account = CA-2012; WBS Code = 1.2.2</t>
        </is>
      </c>
      <c r="W507" s="14" t="inlineStr"/>
    </row>
    <row r="508" ht="49" customHeight="1">
      <c r="A508" s="34" t="inlineStr">
        <is>
          <t>1.2.2</t>
        </is>
      </c>
      <c r="B508" s="34" t="inlineStr">
        <is>
          <t>Stations - Architectural Fit-Out</t>
        </is>
      </c>
      <c r="C508" s="34" t="inlineStr">
        <is>
          <t>Cost &amp; Forecast Control Accounts</t>
        </is>
      </c>
      <c r="D508" s="34" t="inlineStr">
        <is>
          <t>CST-02-014</t>
        </is>
      </c>
      <c r="E508" s="34" t="inlineStr">
        <is>
          <t>Stations - station structure - supply and install</t>
        </is>
      </c>
      <c r="F508" s="34" t="inlineStr">
        <is>
          <t>ONE_TO_ONE</t>
        </is>
      </c>
      <c r="G508" s="34" t="inlineStr">
        <is>
          <t>APPROVED</t>
        </is>
      </c>
      <c r="H508" s="34" t="inlineStr">
        <is>
          <t>New</t>
        </is>
      </c>
      <c r="I508" s="34" t="inlineStr">
        <is>
          <t>Source assignment -- not individually reviewed</t>
        </is>
      </c>
      <c r="J508" s="39" t="inlineStr"/>
      <c r="K508" s="34" t="inlineStr">
        <is>
          <t>Source assignment</t>
        </is>
      </c>
      <c r="L508" s="39" t="inlineStr"/>
      <c r="M508" s="34" t="inlineStr">
        <is>
          <t>Initial</t>
        </is>
      </c>
      <c r="N508" s="34" t="inlineStr">
        <is>
          <t>Rev 0</t>
        </is>
      </c>
      <c r="O508" s="34" t="inlineStr">
        <is>
          <t>R1176-v1</t>
        </is>
      </c>
      <c r="P508" s="39" t="inlineStr"/>
      <c r="Q508" s="14" t="inlineStr"/>
      <c r="R508" s="39" t="inlineStr"/>
      <c r="S508" s="39" t="inlineStr"/>
      <c r="T508" s="39" t="inlineStr"/>
      <c r="U508" s="39" t="inlineStr"/>
      <c r="V508" s="34" t="inlineStr">
        <is>
          <t>Cost Account = CA-2014; WBS Code = 1.2.2</t>
        </is>
      </c>
      <c r="W508" s="14" t="inlineStr"/>
    </row>
    <row r="509" ht="49" customHeight="1">
      <c r="A509" s="34" t="inlineStr">
        <is>
          <t>1.2.2</t>
        </is>
      </c>
      <c r="B509" s="34" t="inlineStr">
        <is>
          <t>Stations - Architectural Fit-Out</t>
        </is>
      </c>
      <c r="C509" s="34" t="inlineStr">
        <is>
          <t>Cost &amp; Forecast Control Accounts</t>
        </is>
      </c>
      <c r="D509" s="34" t="inlineStr">
        <is>
          <t>CST-02-016</t>
        </is>
      </c>
      <c r="E509" s="34" t="inlineStr">
        <is>
          <t>Stations - public realm - allowance</t>
        </is>
      </c>
      <c r="F509" s="34" t="inlineStr">
        <is>
          <t>ONE_TO_ONE</t>
        </is>
      </c>
      <c r="G509" s="34" t="inlineStr">
        <is>
          <t>APPROVED</t>
        </is>
      </c>
      <c r="H509" s="34" t="inlineStr">
        <is>
          <t>New</t>
        </is>
      </c>
      <c r="I509" s="34" t="inlineStr">
        <is>
          <t>Source assignment -- not individually reviewed</t>
        </is>
      </c>
      <c r="J509" s="39" t="inlineStr"/>
      <c r="K509" s="34" t="inlineStr">
        <is>
          <t>Source assignment</t>
        </is>
      </c>
      <c r="L509" s="39" t="inlineStr"/>
      <c r="M509" s="34" t="inlineStr">
        <is>
          <t>Initial</t>
        </is>
      </c>
      <c r="N509" s="34" t="inlineStr">
        <is>
          <t>Rev 0</t>
        </is>
      </c>
      <c r="O509" s="34" t="inlineStr">
        <is>
          <t>R1178-v1</t>
        </is>
      </c>
      <c r="P509" s="39" t="inlineStr"/>
      <c r="Q509" s="14" t="inlineStr"/>
      <c r="R509" s="39" t="inlineStr"/>
      <c r="S509" s="39" t="inlineStr"/>
      <c r="T509" s="39" t="inlineStr"/>
      <c r="U509" s="39" t="inlineStr"/>
      <c r="V509" s="34" t="inlineStr">
        <is>
          <t>Cost Account = CA-2016; WBS Code = 1.2.2</t>
        </is>
      </c>
      <c r="W509" s="14" t="inlineStr"/>
    </row>
    <row r="510" ht="49" customHeight="1">
      <c r="A510" s="34" t="inlineStr">
        <is>
          <t>1.2.2</t>
        </is>
      </c>
      <c r="B510" s="34" t="inlineStr">
        <is>
          <t>Stations - Architectural Fit-Out</t>
        </is>
      </c>
      <c r="C510" s="34" t="inlineStr">
        <is>
          <t>Cost &amp; Forecast Control Accounts</t>
        </is>
      </c>
      <c r="D510" s="34" t="inlineStr">
        <is>
          <t>CST-02-018</t>
        </is>
      </c>
      <c r="E510" s="34" t="inlineStr">
        <is>
          <t>Stations - building services - field package</t>
        </is>
      </c>
      <c r="F510" s="34" t="inlineStr">
        <is>
          <t>ONE_TO_ONE</t>
        </is>
      </c>
      <c r="G510" s="34" t="inlineStr">
        <is>
          <t>APPROVED</t>
        </is>
      </c>
      <c r="H510" s="34" t="inlineStr">
        <is>
          <t>New</t>
        </is>
      </c>
      <c r="I510" s="34" t="inlineStr">
        <is>
          <t>Source assignment -- not individually reviewed</t>
        </is>
      </c>
      <c r="J510" s="39" t="inlineStr"/>
      <c r="K510" s="34" t="inlineStr">
        <is>
          <t>Source assignment</t>
        </is>
      </c>
      <c r="L510" s="39" t="inlineStr"/>
      <c r="M510" s="34" t="inlineStr">
        <is>
          <t>Initial</t>
        </is>
      </c>
      <c r="N510" s="34" t="inlineStr">
        <is>
          <t>Rev 0</t>
        </is>
      </c>
      <c r="O510" s="34" t="inlineStr">
        <is>
          <t>R1180-v1</t>
        </is>
      </c>
      <c r="P510" s="39" t="inlineStr"/>
      <c r="Q510" s="14" t="inlineStr"/>
      <c r="R510" s="39" t="inlineStr"/>
      <c r="S510" s="39" t="inlineStr"/>
      <c r="T510" s="39" t="inlineStr"/>
      <c r="U510" s="39" t="inlineStr"/>
      <c r="V510" s="34" t="inlineStr">
        <is>
          <t>Cost Account = CA-2018; WBS Code = 1.2.2</t>
        </is>
      </c>
      <c r="W510" s="14" t="inlineStr"/>
    </row>
    <row r="511" ht="49" customHeight="1">
      <c r="A511" s="34" t="inlineStr">
        <is>
          <t>1.2.2</t>
        </is>
      </c>
      <c r="B511" s="34" t="inlineStr">
        <is>
          <t>Stations - Architectural Fit-Out</t>
        </is>
      </c>
      <c r="C511" s="34" t="inlineStr">
        <is>
          <t>Cost &amp; Forecast Control Accounts</t>
        </is>
      </c>
      <c r="D511" s="34" t="inlineStr">
        <is>
          <t>CST-02-020</t>
        </is>
      </c>
      <c r="E511" s="34" t="inlineStr">
        <is>
          <t>Stations - station structure - professional services</t>
        </is>
      </c>
      <c r="F511" s="34" t="inlineStr">
        <is>
          <t>ONE_TO_ONE</t>
        </is>
      </c>
      <c r="G511" s="34" t="inlineStr">
        <is>
          <t>APPROVED</t>
        </is>
      </c>
      <c r="H511" s="34" t="inlineStr">
        <is>
          <t>New</t>
        </is>
      </c>
      <c r="I511" s="34" t="inlineStr">
        <is>
          <t>Source assignment -- not individually reviewed</t>
        </is>
      </c>
      <c r="J511" s="39" t="inlineStr"/>
      <c r="K511" s="34" t="inlineStr">
        <is>
          <t>Source assignment</t>
        </is>
      </c>
      <c r="L511" s="39" t="inlineStr"/>
      <c r="M511" s="34" t="inlineStr">
        <is>
          <t>Initial</t>
        </is>
      </c>
      <c r="N511" s="34" t="inlineStr">
        <is>
          <t>Rev 0</t>
        </is>
      </c>
      <c r="O511" s="34" t="inlineStr">
        <is>
          <t>R1182-v1</t>
        </is>
      </c>
      <c r="P511" s="39" t="inlineStr"/>
      <c r="Q511" s="14" t="inlineStr"/>
      <c r="R511" s="39" t="inlineStr"/>
      <c r="S511" s="39" t="inlineStr"/>
      <c r="T511" s="39" t="inlineStr"/>
      <c r="U511" s="39" t="inlineStr"/>
      <c r="V511" s="34" t="inlineStr">
        <is>
          <t>Cost Account = CA-2020; WBS Code = 1.2.2</t>
        </is>
      </c>
      <c r="W511" s="14" t="inlineStr"/>
    </row>
    <row r="512" ht="49" customHeight="1">
      <c r="A512" s="34" t="inlineStr">
        <is>
          <t>1.2.2</t>
        </is>
      </c>
      <c r="B512" s="34" t="inlineStr">
        <is>
          <t>Stations - Architectural Fit-Out</t>
        </is>
      </c>
      <c r="C512" s="34" t="inlineStr">
        <is>
          <t>Cost &amp; Forecast Control Accounts</t>
        </is>
      </c>
      <c r="D512" s="34" t="inlineStr">
        <is>
          <t>CST-02-022</t>
        </is>
      </c>
      <c r="E512" s="34" t="inlineStr">
        <is>
          <t>Stations - public realm - closeout</t>
        </is>
      </c>
      <c r="F512" s="34" t="inlineStr">
        <is>
          <t>ONE_TO_ONE</t>
        </is>
      </c>
      <c r="G512" s="34" t="inlineStr">
        <is>
          <t>APPROVED</t>
        </is>
      </c>
      <c r="H512" s="34" t="inlineStr">
        <is>
          <t>New</t>
        </is>
      </c>
      <c r="I512" s="34" t="inlineStr">
        <is>
          <t>Source assignment -- not individually reviewed</t>
        </is>
      </c>
      <c r="J512" s="39" t="inlineStr"/>
      <c r="K512" s="34" t="inlineStr">
        <is>
          <t>Source assignment</t>
        </is>
      </c>
      <c r="L512" s="39" t="inlineStr"/>
      <c r="M512" s="34" t="inlineStr">
        <is>
          <t>Initial</t>
        </is>
      </c>
      <c r="N512" s="34" t="inlineStr">
        <is>
          <t>Rev 0</t>
        </is>
      </c>
      <c r="O512" s="34" t="inlineStr">
        <is>
          <t>R1184-v1</t>
        </is>
      </c>
      <c r="P512" s="39" t="inlineStr"/>
      <c r="Q512" s="14" t="inlineStr"/>
      <c r="R512" s="39" t="inlineStr"/>
      <c r="S512" s="39" t="inlineStr"/>
      <c r="T512" s="39" t="inlineStr"/>
      <c r="U512" s="39" t="inlineStr"/>
      <c r="V512" s="34" t="inlineStr">
        <is>
          <t>Cost Account = CA-2022; WBS Code = 1.2.2</t>
        </is>
      </c>
      <c r="W512" s="14" t="inlineStr"/>
    </row>
    <row r="513" ht="49" customHeight="1">
      <c r="A513" s="34" t="inlineStr">
        <is>
          <t>1.2.2</t>
        </is>
      </c>
      <c r="B513" s="34" t="inlineStr">
        <is>
          <t>Stations - Architectural Fit-Out</t>
        </is>
      </c>
      <c r="C513" s="34" t="inlineStr">
        <is>
          <t>Cost &amp; Forecast Control Accounts</t>
        </is>
      </c>
      <c r="D513" s="34" t="inlineStr">
        <is>
          <t>CST-02-024</t>
        </is>
      </c>
      <c r="E513" s="34" t="inlineStr">
        <is>
          <t>Stations - building services - supply and install</t>
        </is>
      </c>
      <c r="F513" s="34" t="inlineStr">
        <is>
          <t>ONE_TO_ONE</t>
        </is>
      </c>
      <c r="G513" s="34" t="inlineStr">
        <is>
          <t>APPROVED</t>
        </is>
      </c>
      <c r="H513" s="34" t="inlineStr">
        <is>
          <t>New</t>
        </is>
      </c>
      <c r="I513" s="34" t="inlineStr">
        <is>
          <t>Source assignment -- not individually reviewed</t>
        </is>
      </c>
      <c r="J513" s="39" t="inlineStr"/>
      <c r="K513" s="34" t="inlineStr">
        <is>
          <t>Source assignment</t>
        </is>
      </c>
      <c r="L513" s="39" t="inlineStr"/>
      <c r="M513" s="34" t="inlineStr">
        <is>
          <t>Initial</t>
        </is>
      </c>
      <c r="N513" s="34" t="inlineStr">
        <is>
          <t>Rev 0</t>
        </is>
      </c>
      <c r="O513" s="34" t="inlineStr">
        <is>
          <t>R1186-v1</t>
        </is>
      </c>
      <c r="P513" s="39" t="inlineStr"/>
      <c r="Q513" s="14" t="inlineStr"/>
      <c r="R513" s="39" t="inlineStr"/>
      <c r="S513" s="39" t="inlineStr"/>
      <c r="T513" s="39" t="inlineStr"/>
      <c r="U513" s="39" t="inlineStr"/>
      <c r="V513" s="34" t="inlineStr">
        <is>
          <t>Cost Account = CA-2024; WBS Code = 1.2.2</t>
        </is>
      </c>
      <c r="W513" s="14" t="inlineStr"/>
    </row>
    <row r="514" ht="49" customHeight="1">
      <c r="A514" s="34" t="inlineStr">
        <is>
          <t>1.2.2</t>
        </is>
      </c>
      <c r="B514" s="34" t="inlineStr">
        <is>
          <t>Stations - Architectural Fit-Out</t>
        </is>
      </c>
      <c r="C514" s="34" t="inlineStr">
        <is>
          <t>Cost &amp; Forecast Control Accounts</t>
        </is>
      </c>
      <c r="D514" s="34" t="inlineStr">
        <is>
          <t>CST-02-026</t>
        </is>
      </c>
      <c r="E514" s="34" t="inlineStr">
        <is>
          <t>Stations - station structure - allowance</t>
        </is>
      </c>
      <c r="F514" s="34" t="inlineStr">
        <is>
          <t>ONE_TO_ONE</t>
        </is>
      </c>
      <c r="G514" s="34" t="inlineStr">
        <is>
          <t>APPROVED</t>
        </is>
      </c>
      <c r="H514" s="34" t="inlineStr">
        <is>
          <t>New</t>
        </is>
      </c>
      <c r="I514" s="34" t="inlineStr">
        <is>
          <t>Source assignment -- not individually reviewed</t>
        </is>
      </c>
      <c r="J514" s="39" t="inlineStr"/>
      <c r="K514" s="34" t="inlineStr">
        <is>
          <t>Source assignment</t>
        </is>
      </c>
      <c r="L514" s="39" t="inlineStr"/>
      <c r="M514" s="34" t="inlineStr">
        <is>
          <t>Initial</t>
        </is>
      </c>
      <c r="N514" s="34" t="inlineStr">
        <is>
          <t>Rev 0</t>
        </is>
      </c>
      <c r="O514" s="34" t="inlineStr">
        <is>
          <t>R1188-v1</t>
        </is>
      </c>
      <c r="P514" s="39" t="inlineStr"/>
      <c r="Q514" s="14" t="inlineStr"/>
      <c r="R514" s="39" t="inlineStr"/>
      <c r="S514" s="39" t="inlineStr"/>
      <c r="T514" s="39" t="inlineStr"/>
      <c r="U514" s="39" t="inlineStr"/>
      <c r="V514" s="34" t="inlineStr">
        <is>
          <t>Cost Account = CA-2026; WBS Code = 1.2.2</t>
        </is>
      </c>
      <c r="W514" s="14" t="inlineStr"/>
    </row>
    <row r="515" ht="49" customHeight="1">
      <c r="A515" s="34" t="inlineStr">
        <is>
          <t>1.2.2</t>
        </is>
      </c>
      <c r="B515" s="34" t="inlineStr">
        <is>
          <t>Stations - Architectural Fit-Out</t>
        </is>
      </c>
      <c r="C515" s="34" t="inlineStr">
        <is>
          <t>Cost &amp; Forecast Control Accounts</t>
        </is>
      </c>
      <c r="D515" s="34" t="inlineStr">
        <is>
          <t>CST-02-028</t>
        </is>
      </c>
      <c r="E515" s="34" t="inlineStr">
        <is>
          <t>Stations - public realm - field package</t>
        </is>
      </c>
      <c r="F515" s="34" t="inlineStr">
        <is>
          <t>ONE_TO_ONE</t>
        </is>
      </c>
      <c r="G515" s="34" t="inlineStr">
        <is>
          <t>APPROVED</t>
        </is>
      </c>
      <c r="H515" s="34" t="inlineStr">
        <is>
          <t>New</t>
        </is>
      </c>
      <c r="I515" s="34" t="inlineStr">
        <is>
          <t>Source assignment -- not individually reviewed</t>
        </is>
      </c>
      <c r="J515" s="39" t="inlineStr"/>
      <c r="K515" s="34" t="inlineStr">
        <is>
          <t>Source assignment</t>
        </is>
      </c>
      <c r="L515" s="39" t="inlineStr"/>
      <c r="M515" s="34" t="inlineStr">
        <is>
          <t>Initial</t>
        </is>
      </c>
      <c r="N515" s="34" t="inlineStr">
        <is>
          <t>Rev 0</t>
        </is>
      </c>
      <c r="O515" s="34" t="inlineStr">
        <is>
          <t>R1190-v1</t>
        </is>
      </c>
      <c r="P515" s="39" t="inlineStr"/>
      <c r="Q515" s="14" t="inlineStr"/>
      <c r="R515" s="39" t="inlineStr"/>
      <c r="S515" s="39" t="inlineStr"/>
      <c r="T515" s="39" t="inlineStr"/>
      <c r="U515" s="39" t="inlineStr"/>
      <c r="V515" s="34" t="inlineStr">
        <is>
          <t>Cost Account = CA-2028; WBS Code = 1.2.2</t>
        </is>
      </c>
      <c r="W515" s="14" t="inlineStr"/>
    </row>
    <row r="516" ht="49" customHeight="1">
      <c r="A516" s="34" t="inlineStr">
        <is>
          <t>1.2.2</t>
        </is>
      </c>
      <c r="B516" s="34" t="inlineStr">
        <is>
          <t>Stations - Architectural Fit-Out</t>
        </is>
      </c>
      <c r="C516" s="34" t="inlineStr">
        <is>
          <t>Cost &amp; Forecast Control Accounts</t>
        </is>
      </c>
      <c r="D516" s="34" t="inlineStr">
        <is>
          <t>CST-02-030</t>
        </is>
      </c>
      <c r="E516" s="34" t="inlineStr">
        <is>
          <t>Stations - building services - professional services</t>
        </is>
      </c>
      <c r="F516" s="34" t="inlineStr">
        <is>
          <t>ONE_TO_ONE</t>
        </is>
      </c>
      <c r="G516" s="34" t="inlineStr">
        <is>
          <t>APPROVED</t>
        </is>
      </c>
      <c r="H516" s="34" t="inlineStr">
        <is>
          <t>New</t>
        </is>
      </c>
      <c r="I516" s="34" t="inlineStr">
        <is>
          <t>Source assignment -- not individually reviewed</t>
        </is>
      </c>
      <c r="J516" s="39" t="inlineStr"/>
      <c r="K516" s="34" t="inlineStr">
        <is>
          <t>Source assignment</t>
        </is>
      </c>
      <c r="L516" s="39" t="inlineStr"/>
      <c r="M516" s="34" t="inlineStr">
        <is>
          <t>Initial</t>
        </is>
      </c>
      <c r="N516" s="34" t="inlineStr">
        <is>
          <t>Rev 0</t>
        </is>
      </c>
      <c r="O516" s="34" t="inlineStr">
        <is>
          <t>R1192-v1</t>
        </is>
      </c>
      <c r="P516" s="39" t="inlineStr"/>
      <c r="Q516" s="14" t="inlineStr"/>
      <c r="R516" s="39" t="inlineStr"/>
      <c r="S516" s="39" t="inlineStr"/>
      <c r="T516" s="39" t="inlineStr"/>
      <c r="U516" s="39" t="inlineStr"/>
      <c r="V516" s="34" t="inlineStr">
        <is>
          <t>Cost Account = CA-2030; WBS Code = 1.2.2</t>
        </is>
      </c>
      <c r="W516" s="14" t="inlineStr"/>
    </row>
    <row r="517" ht="49" customHeight="1">
      <c r="A517" s="34" t="inlineStr">
        <is>
          <t>1.2.2</t>
        </is>
      </c>
      <c r="B517" s="34" t="inlineStr">
        <is>
          <t>Stations - Architectural Fit-Out</t>
        </is>
      </c>
      <c r="C517" s="34" t="inlineStr">
        <is>
          <t>Cost &amp; Forecast Control Accounts</t>
        </is>
      </c>
      <c r="D517" s="34" t="inlineStr">
        <is>
          <t>CST-02-032</t>
        </is>
      </c>
      <c r="E517" s="34" t="inlineStr">
        <is>
          <t>Stations - station structure - closeout</t>
        </is>
      </c>
      <c r="F517" s="34" t="inlineStr">
        <is>
          <t>ONE_TO_ONE</t>
        </is>
      </c>
      <c r="G517" s="34" t="inlineStr">
        <is>
          <t>APPROVED</t>
        </is>
      </c>
      <c r="H517" s="34" t="inlineStr">
        <is>
          <t>New</t>
        </is>
      </c>
      <c r="I517" s="34" t="inlineStr">
        <is>
          <t>Source assignment -- not individually reviewed</t>
        </is>
      </c>
      <c r="J517" s="39" t="inlineStr"/>
      <c r="K517" s="34" t="inlineStr">
        <is>
          <t>Source assignment</t>
        </is>
      </c>
      <c r="L517" s="39" t="inlineStr"/>
      <c r="M517" s="34" t="inlineStr">
        <is>
          <t>Initial</t>
        </is>
      </c>
      <c r="N517" s="34" t="inlineStr">
        <is>
          <t>Rev 0</t>
        </is>
      </c>
      <c r="O517" s="34" t="inlineStr">
        <is>
          <t>R1194-v1</t>
        </is>
      </c>
      <c r="P517" s="39" t="inlineStr"/>
      <c r="Q517" s="14" t="inlineStr"/>
      <c r="R517" s="39" t="inlineStr"/>
      <c r="S517" s="39" t="inlineStr"/>
      <c r="T517" s="39" t="inlineStr"/>
      <c r="U517" s="39" t="inlineStr"/>
      <c r="V517" s="34" t="inlineStr">
        <is>
          <t>Cost Account = CA-2032; WBS Code = 1.2.2</t>
        </is>
      </c>
      <c r="W517" s="14" t="inlineStr"/>
    </row>
    <row r="518" ht="49" customHeight="1">
      <c r="A518" s="34" t="inlineStr">
        <is>
          <t>1.2.2</t>
        </is>
      </c>
      <c r="B518" s="34" t="inlineStr">
        <is>
          <t>Stations - Architectural Fit-Out</t>
        </is>
      </c>
      <c r="C518" s="34" t="inlineStr">
        <is>
          <t>Cost &amp; Forecast Control Accounts</t>
        </is>
      </c>
      <c r="D518" s="34" t="inlineStr">
        <is>
          <t>CST-02-034</t>
        </is>
      </c>
      <c r="E518" s="34" t="inlineStr">
        <is>
          <t>Stations - public realm - supply and install</t>
        </is>
      </c>
      <c r="F518" s="34" t="inlineStr">
        <is>
          <t>ONE_TO_ONE</t>
        </is>
      </c>
      <c r="G518" s="34" t="inlineStr">
        <is>
          <t>APPROVED</t>
        </is>
      </c>
      <c r="H518" s="34" t="inlineStr">
        <is>
          <t>New</t>
        </is>
      </c>
      <c r="I518" s="34" t="inlineStr">
        <is>
          <t>Source assignment -- not individually reviewed</t>
        </is>
      </c>
      <c r="J518" s="39" t="inlineStr"/>
      <c r="K518" s="34" t="inlineStr">
        <is>
          <t>Source assignment</t>
        </is>
      </c>
      <c r="L518" s="39" t="inlineStr"/>
      <c r="M518" s="34" t="inlineStr">
        <is>
          <t>Initial</t>
        </is>
      </c>
      <c r="N518" s="34" t="inlineStr">
        <is>
          <t>Rev 0</t>
        </is>
      </c>
      <c r="O518" s="34" t="inlineStr">
        <is>
          <t>R1196-v1</t>
        </is>
      </c>
      <c r="P518" s="39" t="inlineStr"/>
      <c r="Q518" s="14" t="inlineStr"/>
      <c r="R518" s="39" t="inlineStr"/>
      <c r="S518" s="39" t="inlineStr"/>
      <c r="T518" s="39" t="inlineStr"/>
      <c r="U518" s="39" t="inlineStr"/>
      <c r="V518" s="34" t="inlineStr">
        <is>
          <t>Cost Account = CA-2034; WBS Code = 1.2.2</t>
        </is>
      </c>
      <c r="W518" s="14" t="inlineStr"/>
    </row>
    <row r="519" ht="49" customHeight="1">
      <c r="A519" s="34" t="inlineStr">
        <is>
          <t>1.2.2</t>
        </is>
      </c>
      <c r="B519" s="34" t="inlineStr">
        <is>
          <t>Stations - Architectural Fit-Out</t>
        </is>
      </c>
      <c r="C519" s="34" t="inlineStr">
        <is>
          <t>Cost &amp; Forecast Control Accounts</t>
        </is>
      </c>
      <c r="D519" s="34" t="inlineStr">
        <is>
          <t>CST-02-036</t>
        </is>
      </c>
      <c r="E519" s="34" t="inlineStr">
        <is>
          <t>Stations - building services - allowance</t>
        </is>
      </c>
      <c r="F519" s="34" t="inlineStr">
        <is>
          <t>ONE_TO_ONE</t>
        </is>
      </c>
      <c r="G519" s="34" t="inlineStr">
        <is>
          <t>APPROVED</t>
        </is>
      </c>
      <c r="H519" s="34" t="inlineStr">
        <is>
          <t>New</t>
        </is>
      </c>
      <c r="I519" s="34" t="inlineStr">
        <is>
          <t>Source assignment -- not individually reviewed</t>
        </is>
      </c>
      <c r="J519" s="39" t="inlineStr"/>
      <c r="K519" s="34" t="inlineStr">
        <is>
          <t>Source assignment</t>
        </is>
      </c>
      <c r="L519" s="39" t="inlineStr"/>
      <c r="M519" s="34" t="inlineStr">
        <is>
          <t>Initial</t>
        </is>
      </c>
      <c r="N519" s="34" t="inlineStr">
        <is>
          <t>Rev 0</t>
        </is>
      </c>
      <c r="O519" s="34" t="inlineStr">
        <is>
          <t>R1198-v1</t>
        </is>
      </c>
      <c r="P519" s="39" t="inlineStr"/>
      <c r="Q519" s="14" t="inlineStr"/>
      <c r="R519" s="39" t="inlineStr"/>
      <c r="S519" s="39" t="inlineStr"/>
      <c r="T519" s="39" t="inlineStr"/>
      <c r="U519" s="39" t="inlineStr"/>
      <c r="V519" s="34" t="inlineStr">
        <is>
          <t>Cost Account = CA-2036; WBS Code = 1.2.2</t>
        </is>
      </c>
      <c r="W519" s="14" t="inlineStr"/>
    </row>
    <row r="520" ht="49" customHeight="1">
      <c r="A520" s="34" t="inlineStr">
        <is>
          <t>1.2.2</t>
        </is>
      </c>
      <c r="B520" s="34" t="inlineStr">
        <is>
          <t>Stations - Architectural Fit-Out</t>
        </is>
      </c>
      <c r="C520" s="34" t="inlineStr">
        <is>
          <t>Cost &amp; Forecast Control Accounts</t>
        </is>
      </c>
      <c r="D520" s="34" t="inlineStr">
        <is>
          <t>CST-02-038</t>
        </is>
      </c>
      <c r="E520" s="34" t="inlineStr">
        <is>
          <t>Stations - station structure - field package</t>
        </is>
      </c>
      <c r="F520" s="34" t="inlineStr">
        <is>
          <t>ONE_TO_ONE</t>
        </is>
      </c>
      <c r="G520" s="34" t="inlineStr">
        <is>
          <t>APPROVED</t>
        </is>
      </c>
      <c r="H520" s="34" t="inlineStr">
        <is>
          <t>New</t>
        </is>
      </c>
      <c r="I520" s="34" t="inlineStr">
        <is>
          <t>Source assignment -- not individually reviewed</t>
        </is>
      </c>
      <c r="J520" s="39" t="inlineStr"/>
      <c r="K520" s="34" t="inlineStr">
        <is>
          <t>Source assignment</t>
        </is>
      </c>
      <c r="L520" s="39" t="inlineStr"/>
      <c r="M520" s="34" t="inlineStr">
        <is>
          <t>Initial</t>
        </is>
      </c>
      <c r="N520" s="34" t="inlineStr">
        <is>
          <t>Rev 0</t>
        </is>
      </c>
      <c r="O520" s="34" t="inlineStr">
        <is>
          <t>R1200-v1</t>
        </is>
      </c>
      <c r="P520" s="39" t="inlineStr"/>
      <c r="Q520" s="14" t="inlineStr"/>
      <c r="R520" s="39" t="inlineStr"/>
      <c r="S520" s="39" t="inlineStr"/>
      <c r="T520" s="39" t="inlineStr"/>
      <c r="U520" s="39" t="inlineStr"/>
      <c r="V520" s="34" t="inlineStr">
        <is>
          <t>Cost Account = CA-2038; WBS Code = 1.2.2</t>
        </is>
      </c>
      <c r="W520" s="14" t="inlineStr"/>
    </row>
    <row r="521" ht="49" customHeight="1">
      <c r="A521" s="34" t="inlineStr">
        <is>
          <t>1.2.2</t>
        </is>
      </c>
      <c r="B521" s="34" t="inlineStr">
        <is>
          <t>Stations - Architectural Fit-Out</t>
        </is>
      </c>
      <c r="C521" s="34" t="inlineStr">
        <is>
          <t>Cost &amp; Forecast Control Accounts</t>
        </is>
      </c>
      <c r="D521" s="34" t="inlineStr">
        <is>
          <t>CST-02-040</t>
        </is>
      </c>
      <c r="E521" s="34" t="inlineStr">
        <is>
          <t>Stations - public realm - professional services</t>
        </is>
      </c>
      <c r="F521" s="34" t="inlineStr">
        <is>
          <t>ONE_TO_ONE</t>
        </is>
      </c>
      <c r="G521" s="34" t="inlineStr">
        <is>
          <t>APPROVED</t>
        </is>
      </c>
      <c r="H521" s="34" t="inlineStr">
        <is>
          <t>New</t>
        </is>
      </c>
      <c r="I521" s="34" t="inlineStr">
        <is>
          <t>Source assignment -- not individually reviewed</t>
        </is>
      </c>
      <c r="J521" s="39" t="inlineStr"/>
      <c r="K521" s="34" t="inlineStr">
        <is>
          <t>Source assignment</t>
        </is>
      </c>
      <c r="L521" s="39" t="inlineStr"/>
      <c r="M521" s="34" t="inlineStr">
        <is>
          <t>Initial</t>
        </is>
      </c>
      <c r="N521" s="34" t="inlineStr">
        <is>
          <t>Rev 0</t>
        </is>
      </c>
      <c r="O521" s="34" t="inlineStr">
        <is>
          <t>R1202-v1</t>
        </is>
      </c>
      <c r="P521" s="39" t="inlineStr"/>
      <c r="Q521" s="14" t="inlineStr"/>
      <c r="R521" s="39" t="inlineStr"/>
      <c r="S521" s="39" t="inlineStr"/>
      <c r="T521" s="39" t="inlineStr"/>
      <c r="U521" s="39" t="inlineStr"/>
      <c r="V521" s="34" t="inlineStr">
        <is>
          <t>Cost Account = CA-2040; WBS Code = 1.2.2</t>
        </is>
      </c>
      <c r="W521" s="14" t="inlineStr"/>
    </row>
    <row r="522" ht="49" customHeight="1">
      <c r="A522" s="34" t="inlineStr">
        <is>
          <t>1.2.2</t>
        </is>
      </c>
      <c r="B522" s="34" t="inlineStr">
        <is>
          <t>Stations - Architectural Fit-Out</t>
        </is>
      </c>
      <c r="C522" s="34" t="inlineStr">
        <is>
          <t>Cost &amp; Forecast Control Accounts</t>
        </is>
      </c>
      <c r="D522" s="34" t="inlineStr">
        <is>
          <t>CST-02-042</t>
        </is>
      </c>
      <c r="E522" s="34" t="inlineStr">
        <is>
          <t>Stations - building services - closeout</t>
        </is>
      </c>
      <c r="F522" s="34" t="inlineStr">
        <is>
          <t>ONE_TO_ONE</t>
        </is>
      </c>
      <c r="G522" s="34" t="inlineStr">
        <is>
          <t>APPROVED</t>
        </is>
      </c>
      <c r="H522" s="34" t="inlineStr">
        <is>
          <t>New</t>
        </is>
      </c>
      <c r="I522" s="34" t="inlineStr">
        <is>
          <t>Source assignment -- not individually reviewed</t>
        </is>
      </c>
      <c r="J522" s="39" t="inlineStr"/>
      <c r="K522" s="34" t="inlineStr">
        <is>
          <t>Source assignment</t>
        </is>
      </c>
      <c r="L522" s="39" t="inlineStr"/>
      <c r="M522" s="34" t="inlineStr">
        <is>
          <t>Initial</t>
        </is>
      </c>
      <c r="N522" s="34" t="inlineStr">
        <is>
          <t>Rev 0</t>
        </is>
      </c>
      <c r="O522" s="34" t="inlineStr">
        <is>
          <t>R1204-v1</t>
        </is>
      </c>
      <c r="P522" s="39" t="inlineStr"/>
      <c r="Q522" s="14" t="inlineStr"/>
      <c r="R522" s="39" t="inlineStr"/>
      <c r="S522" s="39" t="inlineStr"/>
      <c r="T522" s="39" t="inlineStr"/>
      <c r="U522" s="39" t="inlineStr"/>
      <c r="V522" s="34" t="inlineStr">
        <is>
          <t>Cost Account = CA-2042; WBS Code = 1.2.2</t>
        </is>
      </c>
      <c r="W522" s="14" t="inlineStr"/>
    </row>
    <row r="523" ht="49" customHeight="1">
      <c r="A523" s="34" t="inlineStr">
        <is>
          <t>1.2.2</t>
        </is>
      </c>
      <c r="B523" s="34" t="inlineStr">
        <is>
          <t>Stations - Architectural Fit-Out</t>
        </is>
      </c>
      <c r="C523" s="34" t="inlineStr">
        <is>
          <t>Cost &amp; Forecast Control Accounts</t>
        </is>
      </c>
      <c r="D523" s="34" t="inlineStr">
        <is>
          <t>CST-02-044</t>
        </is>
      </c>
      <c r="E523" s="34" t="inlineStr">
        <is>
          <t>Stations - station structure - supply and install</t>
        </is>
      </c>
      <c r="F523" s="34" t="inlineStr">
        <is>
          <t>ONE_TO_ONE</t>
        </is>
      </c>
      <c r="G523" s="34" t="inlineStr">
        <is>
          <t>APPROVED</t>
        </is>
      </c>
      <c r="H523" s="34" t="inlineStr">
        <is>
          <t>New</t>
        </is>
      </c>
      <c r="I523" s="34" t="inlineStr">
        <is>
          <t>Source assignment -- not individually reviewed</t>
        </is>
      </c>
      <c r="J523" s="39" t="inlineStr"/>
      <c r="K523" s="34" t="inlineStr">
        <is>
          <t>Source assignment</t>
        </is>
      </c>
      <c r="L523" s="39" t="inlineStr"/>
      <c r="M523" s="34" t="inlineStr">
        <is>
          <t>Initial</t>
        </is>
      </c>
      <c r="N523" s="34" t="inlineStr">
        <is>
          <t>Rev 0</t>
        </is>
      </c>
      <c r="O523" s="34" t="inlineStr">
        <is>
          <t>R1206-v1</t>
        </is>
      </c>
      <c r="P523" s="39" t="inlineStr"/>
      <c r="Q523" s="14" t="inlineStr"/>
      <c r="R523" s="39" t="inlineStr"/>
      <c r="S523" s="39" t="inlineStr"/>
      <c r="T523" s="39" t="inlineStr"/>
      <c r="U523" s="39" t="inlineStr"/>
      <c r="V523" s="34" t="inlineStr">
        <is>
          <t>Cost Account = CA-2044; WBS Code = 1.2.2</t>
        </is>
      </c>
      <c r="W523" s="14" t="inlineStr"/>
    </row>
    <row r="524" ht="49" customHeight="1">
      <c r="A524" s="34" t="inlineStr">
        <is>
          <t>1.2.2</t>
        </is>
      </c>
      <c r="B524" s="34" t="inlineStr">
        <is>
          <t>Stations - Architectural Fit-Out</t>
        </is>
      </c>
      <c r="C524" s="34" t="inlineStr">
        <is>
          <t>Cost &amp; Forecast Control Accounts</t>
        </is>
      </c>
      <c r="D524" s="34" t="inlineStr">
        <is>
          <t>CST-02-046</t>
        </is>
      </c>
      <c r="E524" s="34" t="inlineStr">
        <is>
          <t>Stations - public realm - allowance</t>
        </is>
      </c>
      <c r="F524" s="34" t="inlineStr">
        <is>
          <t>ONE_TO_ONE</t>
        </is>
      </c>
      <c r="G524" s="34" t="inlineStr">
        <is>
          <t>APPROVED</t>
        </is>
      </c>
      <c r="H524" s="34" t="inlineStr">
        <is>
          <t>New</t>
        </is>
      </c>
      <c r="I524" s="34" t="inlineStr">
        <is>
          <t>Source assignment -- not individually reviewed</t>
        </is>
      </c>
      <c r="J524" s="39" t="inlineStr"/>
      <c r="K524" s="34" t="inlineStr">
        <is>
          <t>Source assignment</t>
        </is>
      </c>
      <c r="L524" s="39" t="inlineStr"/>
      <c r="M524" s="34" t="inlineStr">
        <is>
          <t>Initial</t>
        </is>
      </c>
      <c r="N524" s="34" t="inlineStr">
        <is>
          <t>Rev 0</t>
        </is>
      </c>
      <c r="O524" s="34" t="inlineStr">
        <is>
          <t>R1208-v1</t>
        </is>
      </c>
      <c r="P524" s="39" t="inlineStr"/>
      <c r="Q524" s="14" t="inlineStr"/>
      <c r="R524" s="39" t="inlineStr"/>
      <c r="S524" s="39" t="inlineStr"/>
      <c r="T524" s="39" t="inlineStr"/>
      <c r="U524" s="39" t="inlineStr"/>
      <c r="V524" s="34" t="inlineStr">
        <is>
          <t>Cost Account = CA-2046; WBS Code = 1.2.2</t>
        </is>
      </c>
      <c r="W524" s="14" t="inlineStr"/>
    </row>
    <row r="525" ht="49" customHeight="1">
      <c r="A525" s="34" t="inlineStr">
        <is>
          <t>1.2.2</t>
        </is>
      </c>
      <c r="B525" s="34" t="inlineStr">
        <is>
          <t>Stations - Architectural Fit-Out</t>
        </is>
      </c>
      <c r="C525" s="34" t="inlineStr">
        <is>
          <t>Cost &amp; Forecast Control Accounts</t>
        </is>
      </c>
      <c r="D525" s="34" t="inlineStr">
        <is>
          <t>CST-02-048</t>
        </is>
      </c>
      <c r="E525" s="34" t="inlineStr">
        <is>
          <t>Stations - building services - field package</t>
        </is>
      </c>
      <c r="F525" s="34" t="inlineStr">
        <is>
          <t>ONE_TO_ONE</t>
        </is>
      </c>
      <c r="G525" s="34" t="inlineStr">
        <is>
          <t>APPROVED</t>
        </is>
      </c>
      <c r="H525" s="34" t="inlineStr">
        <is>
          <t>New</t>
        </is>
      </c>
      <c r="I525" s="34" t="inlineStr">
        <is>
          <t>Source assignment -- not individually reviewed</t>
        </is>
      </c>
      <c r="J525" s="39" t="inlineStr"/>
      <c r="K525" s="34" t="inlineStr">
        <is>
          <t>Source assignment</t>
        </is>
      </c>
      <c r="L525" s="39" t="inlineStr"/>
      <c r="M525" s="34" t="inlineStr">
        <is>
          <t>Initial</t>
        </is>
      </c>
      <c r="N525" s="34" t="inlineStr">
        <is>
          <t>Rev 0</t>
        </is>
      </c>
      <c r="O525" s="34" t="inlineStr">
        <is>
          <t>R1210-v1</t>
        </is>
      </c>
      <c r="P525" s="39" t="inlineStr"/>
      <c r="Q525" s="14" t="inlineStr"/>
      <c r="R525" s="39" t="inlineStr"/>
      <c r="S525" s="39" t="inlineStr"/>
      <c r="T525" s="39" t="inlineStr"/>
      <c r="U525" s="39" t="inlineStr"/>
      <c r="V525" s="34" t="inlineStr">
        <is>
          <t>Cost Account = CA-2048; WBS Code = 1.2.2</t>
        </is>
      </c>
      <c r="W525" s="14" t="inlineStr"/>
    </row>
    <row r="526" ht="49" customHeight="1">
      <c r="A526" s="34" t="inlineStr">
        <is>
          <t>1.2.2</t>
        </is>
      </c>
      <c r="B526" s="34" t="inlineStr">
        <is>
          <t>Stations - Architectural Fit-Out</t>
        </is>
      </c>
      <c r="C526" s="34" t="inlineStr">
        <is>
          <t>Cost &amp; Forecast Control Accounts</t>
        </is>
      </c>
      <c r="D526" s="34" t="inlineStr">
        <is>
          <t>CST-02-050</t>
        </is>
      </c>
      <c r="E526" s="34" t="inlineStr">
        <is>
          <t>Stations - station structure - professional services</t>
        </is>
      </c>
      <c r="F526" s="34" t="inlineStr">
        <is>
          <t>ONE_TO_ONE</t>
        </is>
      </c>
      <c r="G526" s="34" t="inlineStr">
        <is>
          <t>APPROVED</t>
        </is>
      </c>
      <c r="H526" s="34" t="inlineStr">
        <is>
          <t>New</t>
        </is>
      </c>
      <c r="I526" s="34" t="inlineStr">
        <is>
          <t>Source assignment -- not individually reviewed</t>
        </is>
      </c>
      <c r="J526" s="39" t="inlineStr"/>
      <c r="K526" s="34" t="inlineStr">
        <is>
          <t>Source assignment</t>
        </is>
      </c>
      <c r="L526" s="39" t="inlineStr"/>
      <c r="M526" s="34" t="inlineStr">
        <is>
          <t>Initial</t>
        </is>
      </c>
      <c r="N526" s="34" t="inlineStr">
        <is>
          <t>Rev 0</t>
        </is>
      </c>
      <c r="O526" s="34" t="inlineStr">
        <is>
          <t>R1212-v1</t>
        </is>
      </c>
      <c r="P526" s="39" t="inlineStr"/>
      <c r="Q526" s="14" t="inlineStr"/>
      <c r="R526" s="39" t="inlineStr"/>
      <c r="S526" s="39" t="inlineStr"/>
      <c r="T526" s="39" t="inlineStr"/>
      <c r="U526" s="39" t="inlineStr"/>
      <c r="V526" s="34" t="inlineStr">
        <is>
          <t>Cost Account = CA-2050; WBS Code = 1.2.2</t>
        </is>
      </c>
      <c r="W526" s="14" t="inlineStr"/>
    </row>
    <row r="527" ht="49" customHeight="1">
      <c r="A527" s="34" t="inlineStr">
        <is>
          <t>1.2.2</t>
        </is>
      </c>
      <c r="B527" s="34" t="inlineStr">
        <is>
          <t>Stations - Architectural Fit-Out</t>
        </is>
      </c>
      <c r="C527" s="34" t="inlineStr">
        <is>
          <t>Cost &amp; Forecast Control Accounts</t>
        </is>
      </c>
      <c r="D527" s="34" t="inlineStr">
        <is>
          <t>CST-02-052</t>
        </is>
      </c>
      <c r="E527" s="34" t="inlineStr">
        <is>
          <t>Stations - public realm - closeout</t>
        </is>
      </c>
      <c r="F527" s="34" t="inlineStr">
        <is>
          <t>ONE_TO_ONE</t>
        </is>
      </c>
      <c r="G527" s="34" t="inlineStr">
        <is>
          <t>APPROVED</t>
        </is>
      </c>
      <c r="H527" s="34" t="inlineStr">
        <is>
          <t>New</t>
        </is>
      </c>
      <c r="I527" s="34" t="inlineStr">
        <is>
          <t>Source assignment -- not individually reviewed</t>
        </is>
      </c>
      <c r="J527" s="39" t="inlineStr"/>
      <c r="K527" s="34" t="inlineStr">
        <is>
          <t>Source assignment</t>
        </is>
      </c>
      <c r="L527" s="39" t="inlineStr"/>
      <c r="M527" s="34" t="inlineStr">
        <is>
          <t>Initial</t>
        </is>
      </c>
      <c r="N527" s="34" t="inlineStr">
        <is>
          <t>Rev 0</t>
        </is>
      </c>
      <c r="O527" s="34" t="inlineStr">
        <is>
          <t>R1214-v1</t>
        </is>
      </c>
      <c r="P527" s="39" t="inlineStr"/>
      <c r="Q527" s="14" t="inlineStr"/>
      <c r="R527" s="39" t="inlineStr"/>
      <c r="S527" s="39" t="inlineStr"/>
      <c r="T527" s="39" t="inlineStr"/>
      <c r="U527" s="39" t="inlineStr"/>
      <c r="V527" s="34" t="inlineStr">
        <is>
          <t>Cost Account = CA-2052; WBS Code = 1.2.2</t>
        </is>
      </c>
      <c r="W527" s="14" t="inlineStr"/>
    </row>
    <row r="528" ht="49" customHeight="1">
      <c r="A528" s="34" t="inlineStr">
        <is>
          <t>1.2.2</t>
        </is>
      </c>
      <c r="B528" s="34" t="inlineStr">
        <is>
          <t>Stations - Architectural Fit-Out</t>
        </is>
      </c>
      <c r="C528" s="34" t="inlineStr">
        <is>
          <t>Cost &amp; Forecast Control Accounts</t>
        </is>
      </c>
      <c r="D528" s="34" t="inlineStr">
        <is>
          <t>CST-02-054</t>
        </is>
      </c>
      <c r="E528" s="34" t="inlineStr">
        <is>
          <t>Stations - building services - supply and install</t>
        </is>
      </c>
      <c r="F528" s="34" t="inlineStr">
        <is>
          <t>ONE_TO_ONE</t>
        </is>
      </c>
      <c r="G528" s="34" t="inlineStr">
        <is>
          <t>APPROVED</t>
        </is>
      </c>
      <c r="H528" s="34" t="inlineStr">
        <is>
          <t>New</t>
        </is>
      </c>
      <c r="I528" s="34" t="inlineStr">
        <is>
          <t>Source assignment -- not individually reviewed</t>
        </is>
      </c>
      <c r="J528" s="39" t="inlineStr"/>
      <c r="K528" s="34" t="inlineStr">
        <is>
          <t>Source assignment</t>
        </is>
      </c>
      <c r="L528" s="39" t="inlineStr"/>
      <c r="M528" s="34" t="inlineStr">
        <is>
          <t>Initial</t>
        </is>
      </c>
      <c r="N528" s="34" t="inlineStr">
        <is>
          <t>Rev 0</t>
        </is>
      </c>
      <c r="O528" s="34" t="inlineStr">
        <is>
          <t>R1216-v1</t>
        </is>
      </c>
      <c r="P528" s="39" t="inlineStr"/>
      <c r="Q528" s="14" t="inlineStr"/>
      <c r="R528" s="39" t="inlineStr"/>
      <c r="S528" s="39" t="inlineStr"/>
      <c r="T528" s="39" t="inlineStr"/>
      <c r="U528" s="39" t="inlineStr"/>
      <c r="V528" s="34" t="inlineStr">
        <is>
          <t>Cost Account = CA-2054; WBS Code = 1.2.2</t>
        </is>
      </c>
      <c r="W528" s="14" t="inlineStr"/>
    </row>
    <row r="529" ht="49" customHeight="1">
      <c r="A529" s="34" t="inlineStr">
        <is>
          <t>1.2.2</t>
        </is>
      </c>
      <c r="B529" s="34" t="inlineStr">
        <is>
          <t>Stations - Architectural Fit-Out</t>
        </is>
      </c>
      <c r="C529" s="34" t="inlineStr">
        <is>
          <t>Cost &amp; Forecast Control Accounts</t>
        </is>
      </c>
      <c r="D529" s="34" t="inlineStr">
        <is>
          <t>CST-02-056</t>
        </is>
      </c>
      <c r="E529" s="34" t="inlineStr">
        <is>
          <t>Stations - station structure - allowance</t>
        </is>
      </c>
      <c r="F529" s="34" t="inlineStr">
        <is>
          <t>ONE_TO_ONE</t>
        </is>
      </c>
      <c r="G529" s="34" t="inlineStr">
        <is>
          <t>APPROVED</t>
        </is>
      </c>
      <c r="H529" s="34" t="inlineStr">
        <is>
          <t>New</t>
        </is>
      </c>
      <c r="I529" s="34" t="inlineStr">
        <is>
          <t>Source assignment -- not individually reviewed</t>
        </is>
      </c>
      <c r="J529" s="39" t="inlineStr"/>
      <c r="K529" s="34" t="inlineStr">
        <is>
          <t>Source assignment</t>
        </is>
      </c>
      <c r="L529" s="39" t="inlineStr"/>
      <c r="M529" s="34" t="inlineStr">
        <is>
          <t>Initial</t>
        </is>
      </c>
      <c r="N529" s="34" t="inlineStr">
        <is>
          <t>Rev 0</t>
        </is>
      </c>
      <c r="O529" s="34" t="inlineStr">
        <is>
          <t>R1218-v1</t>
        </is>
      </c>
      <c r="P529" s="39" t="inlineStr"/>
      <c r="Q529" s="14" t="inlineStr"/>
      <c r="R529" s="39" t="inlineStr"/>
      <c r="S529" s="39" t="inlineStr"/>
      <c r="T529" s="39" t="inlineStr"/>
      <c r="U529" s="39" t="inlineStr"/>
      <c r="V529" s="34" t="inlineStr">
        <is>
          <t>Cost Account = CA-2056; WBS Code = 1.2.2</t>
        </is>
      </c>
      <c r="W529" s="14" t="inlineStr"/>
    </row>
    <row r="530" ht="49" customHeight="1">
      <c r="A530" s="34" t="inlineStr">
        <is>
          <t>1.2.2</t>
        </is>
      </c>
      <c r="B530" s="34" t="inlineStr">
        <is>
          <t>Stations - Architectural Fit-Out</t>
        </is>
      </c>
      <c r="C530" s="34" t="inlineStr">
        <is>
          <t>Cost &amp; Forecast Control Accounts</t>
        </is>
      </c>
      <c r="D530" s="34" t="inlineStr">
        <is>
          <t>CST-02-058</t>
        </is>
      </c>
      <c r="E530" s="34" t="inlineStr">
        <is>
          <t>Stations - public realm - field package</t>
        </is>
      </c>
      <c r="F530" s="34" t="inlineStr">
        <is>
          <t>ONE_TO_ONE</t>
        </is>
      </c>
      <c r="G530" s="34" t="inlineStr">
        <is>
          <t>APPROVED</t>
        </is>
      </c>
      <c r="H530" s="34" t="inlineStr">
        <is>
          <t>New</t>
        </is>
      </c>
      <c r="I530" s="34" t="inlineStr">
        <is>
          <t>Source assignment -- not individually reviewed</t>
        </is>
      </c>
      <c r="J530" s="39" t="inlineStr"/>
      <c r="K530" s="34" t="inlineStr">
        <is>
          <t>Source assignment</t>
        </is>
      </c>
      <c r="L530" s="39" t="inlineStr"/>
      <c r="M530" s="34" t="inlineStr">
        <is>
          <t>Initial</t>
        </is>
      </c>
      <c r="N530" s="34" t="inlineStr">
        <is>
          <t>Rev 0</t>
        </is>
      </c>
      <c r="O530" s="34" t="inlineStr">
        <is>
          <t>R1220-v1</t>
        </is>
      </c>
      <c r="P530" s="39" t="inlineStr"/>
      <c r="Q530" s="14" t="inlineStr"/>
      <c r="R530" s="39" t="inlineStr"/>
      <c r="S530" s="39" t="inlineStr"/>
      <c r="T530" s="39" t="inlineStr"/>
      <c r="U530" s="39" t="inlineStr"/>
      <c r="V530" s="34" t="inlineStr">
        <is>
          <t>Cost Account = CA-2058; WBS Code = 1.2.2</t>
        </is>
      </c>
      <c r="W530" s="14" t="inlineStr"/>
    </row>
    <row r="531" ht="49" customHeight="1">
      <c r="A531" s="34" t="inlineStr">
        <is>
          <t>1.2.2</t>
        </is>
      </c>
      <c r="B531" s="34" t="inlineStr">
        <is>
          <t>Stations - Architectural Fit-Out</t>
        </is>
      </c>
      <c r="C531" s="34" t="inlineStr">
        <is>
          <t>Cost &amp; Forecast Control Accounts</t>
        </is>
      </c>
      <c r="D531" s="34" t="inlineStr">
        <is>
          <t>CST-02-060</t>
        </is>
      </c>
      <c r="E531" s="34" t="inlineStr">
        <is>
          <t>Stations - building services - professional services</t>
        </is>
      </c>
      <c r="F531" s="34" t="inlineStr">
        <is>
          <t>ONE_TO_ONE</t>
        </is>
      </c>
      <c r="G531" s="34" t="inlineStr">
        <is>
          <t>APPROVED</t>
        </is>
      </c>
      <c r="H531" s="34" t="inlineStr">
        <is>
          <t>New</t>
        </is>
      </c>
      <c r="I531" s="34" t="inlineStr">
        <is>
          <t>Source assignment -- not individually reviewed</t>
        </is>
      </c>
      <c r="J531" s="39" t="inlineStr"/>
      <c r="K531" s="34" t="inlineStr">
        <is>
          <t>Source assignment</t>
        </is>
      </c>
      <c r="L531" s="39" t="inlineStr"/>
      <c r="M531" s="34" t="inlineStr">
        <is>
          <t>Initial</t>
        </is>
      </c>
      <c r="N531" s="34" t="inlineStr">
        <is>
          <t>Rev 0</t>
        </is>
      </c>
      <c r="O531" s="34" t="inlineStr">
        <is>
          <t>R1222-v1</t>
        </is>
      </c>
      <c r="P531" s="39" t="inlineStr"/>
      <c r="Q531" s="14" t="inlineStr"/>
      <c r="R531" s="39" t="inlineStr"/>
      <c r="S531" s="39" t="inlineStr"/>
      <c r="T531" s="39" t="inlineStr"/>
      <c r="U531" s="39" t="inlineStr"/>
      <c r="V531" s="34" t="inlineStr">
        <is>
          <t>Cost Account = CA-2060; WBS Code = 1.2.2</t>
        </is>
      </c>
      <c r="W531" s="14" t="inlineStr"/>
    </row>
    <row r="532" ht="49" customHeight="1">
      <c r="A532" s="34" t="inlineStr">
        <is>
          <t>1.2.2</t>
        </is>
      </c>
      <c r="B532" s="34" t="inlineStr">
        <is>
          <t>Stations - Architectural Fit-Out</t>
        </is>
      </c>
      <c r="C532" s="34" t="inlineStr">
        <is>
          <t>Cost &amp; Forecast Control Accounts</t>
        </is>
      </c>
      <c r="D532" s="34" t="inlineStr">
        <is>
          <t>CST-02-062</t>
        </is>
      </c>
      <c r="E532" s="34" t="inlineStr">
        <is>
          <t>Stations - station structure - closeout</t>
        </is>
      </c>
      <c r="F532" s="34" t="inlineStr">
        <is>
          <t>ONE_TO_ONE</t>
        </is>
      </c>
      <c r="G532" s="34" t="inlineStr">
        <is>
          <t>APPROVED</t>
        </is>
      </c>
      <c r="H532" s="34" t="inlineStr">
        <is>
          <t>New</t>
        </is>
      </c>
      <c r="I532" s="34" t="inlineStr">
        <is>
          <t>Source assignment -- not individually reviewed</t>
        </is>
      </c>
      <c r="J532" s="39" t="inlineStr"/>
      <c r="K532" s="34" t="inlineStr">
        <is>
          <t>Source assignment</t>
        </is>
      </c>
      <c r="L532" s="39" t="inlineStr"/>
      <c r="M532" s="34" t="inlineStr">
        <is>
          <t>Initial</t>
        </is>
      </c>
      <c r="N532" s="34" t="inlineStr">
        <is>
          <t>Rev 0</t>
        </is>
      </c>
      <c r="O532" s="34" t="inlineStr">
        <is>
          <t>R1224-v1</t>
        </is>
      </c>
      <c r="P532" s="39" t="inlineStr"/>
      <c r="Q532" s="14" t="inlineStr"/>
      <c r="R532" s="39" t="inlineStr"/>
      <c r="S532" s="39" t="inlineStr"/>
      <c r="T532" s="39" t="inlineStr"/>
      <c r="U532" s="39" t="inlineStr"/>
      <c r="V532" s="34" t="inlineStr">
        <is>
          <t>Cost Account = CA-2062; WBS Code = 1.2.2</t>
        </is>
      </c>
      <c r="W532" s="14" t="inlineStr"/>
    </row>
    <row r="533" ht="49" customHeight="1">
      <c r="A533" s="34" t="inlineStr">
        <is>
          <t>1.2.2</t>
        </is>
      </c>
      <c r="B533" s="34" t="inlineStr">
        <is>
          <t>Stations - Architectural Fit-Out</t>
        </is>
      </c>
      <c r="C533" s="34" t="inlineStr">
        <is>
          <t>Cost &amp; Forecast Control Accounts</t>
        </is>
      </c>
      <c r="D533" s="34" t="inlineStr">
        <is>
          <t>CST-02-064</t>
        </is>
      </c>
      <c r="E533" s="34" t="inlineStr">
        <is>
          <t>Stations - public realm - supply and install</t>
        </is>
      </c>
      <c r="F533" s="34" t="inlineStr">
        <is>
          <t>ONE_TO_ONE</t>
        </is>
      </c>
      <c r="G533" s="34" t="inlineStr">
        <is>
          <t>APPROVED</t>
        </is>
      </c>
      <c r="H533" s="34" t="inlineStr">
        <is>
          <t>New</t>
        </is>
      </c>
      <c r="I533" s="34" t="inlineStr">
        <is>
          <t>Source assignment -- not individually reviewed</t>
        </is>
      </c>
      <c r="J533" s="39" t="inlineStr"/>
      <c r="K533" s="34" t="inlineStr">
        <is>
          <t>Source assignment</t>
        </is>
      </c>
      <c r="L533" s="39" t="inlineStr"/>
      <c r="M533" s="34" t="inlineStr">
        <is>
          <t>Initial</t>
        </is>
      </c>
      <c r="N533" s="34" t="inlineStr">
        <is>
          <t>Rev 0</t>
        </is>
      </c>
      <c r="O533" s="34" t="inlineStr">
        <is>
          <t>R1226-v1</t>
        </is>
      </c>
      <c r="P533" s="39" t="inlineStr"/>
      <c r="Q533" s="14" t="inlineStr"/>
      <c r="R533" s="39" t="inlineStr"/>
      <c r="S533" s="39" t="inlineStr"/>
      <c r="T533" s="39" t="inlineStr"/>
      <c r="U533" s="39" t="inlineStr"/>
      <c r="V533" s="34" t="inlineStr">
        <is>
          <t>Cost Account = CA-2064; WBS Code = 1.2.2</t>
        </is>
      </c>
      <c r="W533" s="14" t="inlineStr"/>
    </row>
    <row r="534" ht="49" customHeight="1">
      <c r="A534" s="34" t="inlineStr">
        <is>
          <t>1.2.2</t>
        </is>
      </c>
      <c r="B534" s="34" t="inlineStr">
        <is>
          <t>Stations - Architectural Fit-Out</t>
        </is>
      </c>
      <c r="C534" s="34" t="inlineStr">
        <is>
          <t>Cost &amp; Forecast Control Accounts</t>
        </is>
      </c>
      <c r="D534" s="34" t="inlineStr">
        <is>
          <t>CST-02-066</t>
        </is>
      </c>
      <c r="E534" s="34" t="inlineStr">
        <is>
          <t>Stations - building services - allowance</t>
        </is>
      </c>
      <c r="F534" s="34" t="inlineStr">
        <is>
          <t>ONE_TO_ONE</t>
        </is>
      </c>
      <c r="G534" s="34" t="inlineStr">
        <is>
          <t>APPROVED</t>
        </is>
      </c>
      <c r="H534" s="34" t="inlineStr">
        <is>
          <t>New</t>
        </is>
      </c>
      <c r="I534" s="34" t="inlineStr">
        <is>
          <t>Source assignment -- not individually reviewed</t>
        </is>
      </c>
      <c r="J534" s="39" t="inlineStr"/>
      <c r="K534" s="34" t="inlineStr">
        <is>
          <t>Source assignment</t>
        </is>
      </c>
      <c r="L534" s="39" t="inlineStr"/>
      <c r="M534" s="34" t="inlineStr">
        <is>
          <t>Initial</t>
        </is>
      </c>
      <c r="N534" s="34" t="inlineStr">
        <is>
          <t>Rev 0</t>
        </is>
      </c>
      <c r="O534" s="34" t="inlineStr">
        <is>
          <t>R1228-v1</t>
        </is>
      </c>
      <c r="P534" s="39" t="inlineStr"/>
      <c r="Q534" s="14" t="inlineStr"/>
      <c r="R534" s="39" t="inlineStr"/>
      <c r="S534" s="39" t="inlineStr"/>
      <c r="T534" s="39" t="inlineStr"/>
      <c r="U534" s="39" t="inlineStr"/>
      <c r="V534" s="34" t="inlineStr">
        <is>
          <t>Cost Account = CA-2066; WBS Code = 1.2.2</t>
        </is>
      </c>
      <c r="W534" s="14" t="inlineStr"/>
    </row>
    <row r="535" ht="49" customHeight="1">
      <c r="A535" s="34" t="inlineStr">
        <is>
          <t>1.2.2</t>
        </is>
      </c>
      <c r="B535" s="34" t="inlineStr">
        <is>
          <t>Stations - Architectural Fit-Out</t>
        </is>
      </c>
      <c r="C535" s="34" t="inlineStr">
        <is>
          <t>Cost &amp; Forecast Control Accounts</t>
        </is>
      </c>
      <c r="D535" s="34" t="inlineStr">
        <is>
          <t>CST-02-068</t>
        </is>
      </c>
      <c r="E535" s="34" t="inlineStr">
        <is>
          <t>Stations - station structure - field package</t>
        </is>
      </c>
      <c r="F535" s="34" t="inlineStr">
        <is>
          <t>ONE_TO_ONE</t>
        </is>
      </c>
      <c r="G535" s="34" t="inlineStr">
        <is>
          <t>APPROVED</t>
        </is>
      </c>
      <c r="H535" s="34" t="inlineStr">
        <is>
          <t>New</t>
        </is>
      </c>
      <c r="I535" s="34" t="inlineStr">
        <is>
          <t>Source assignment -- not individually reviewed</t>
        </is>
      </c>
      <c r="J535" s="39" t="inlineStr"/>
      <c r="K535" s="34" t="inlineStr">
        <is>
          <t>Source assignment</t>
        </is>
      </c>
      <c r="L535" s="39" t="inlineStr"/>
      <c r="M535" s="34" t="inlineStr">
        <is>
          <t>Initial</t>
        </is>
      </c>
      <c r="N535" s="34" t="inlineStr">
        <is>
          <t>Rev 0</t>
        </is>
      </c>
      <c r="O535" s="34" t="inlineStr">
        <is>
          <t>R1230-v1</t>
        </is>
      </c>
      <c r="P535" s="39" t="inlineStr"/>
      <c r="Q535" s="14" t="inlineStr"/>
      <c r="R535" s="39" t="inlineStr"/>
      <c r="S535" s="39" t="inlineStr"/>
      <c r="T535" s="39" t="inlineStr"/>
      <c r="U535" s="39" t="inlineStr"/>
      <c r="V535" s="34" t="inlineStr">
        <is>
          <t>Cost Account = CA-2068; WBS Code = 1.2.2</t>
        </is>
      </c>
      <c r="W535" s="14" t="inlineStr"/>
    </row>
    <row r="536" ht="49" customHeight="1">
      <c r="A536" s="34" t="inlineStr">
        <is>
          <t>1.2.2</t>
        </is>
      </c>
      <c r="B536" s="34" t="inlineStr">
        <is>
          <t>Stations - Architectural Fit-Out</t>
        </is>
      </c>
      <c r="C536" s="34" t="inlineStr">
        <is>
          <t>Cost &amp; Forecast Control Accounts</t>
        </is>
      </c>
      <c r="D536" s="34" t="inlineStr">
        <is>
          <t>CST-02-070</t>
        </is>
      </c>
      <c r="E536" s="34" t="inlineStr">
        <is>
          <t>Stations - public realm - professional services</t>
        </is>
      </c>
      <c r="F536" s="34" t="inlineStr">
        <is>
          <t>ONE_TO_ONE</t>
        </is>
      </c>
      <c r="G536" s="34" t="inlineStr">
        <is>
          <t>APPROVED</t>
        </is>
      </c>
      <c r="H536" s="34" t="inlineStr">
        <is>
          <t>New</t>
        </is>
      </c>
      <c r="I536" s="34" t="inlineStr">
        <is>
          <t>Source assignment -- not individually reviewed</t>
        </is>
      </c>
      <c r="J536" s="39" t="inlineStr"/>
      <c r="K536" s="34" t="inlineStr">
        <is>
          <t>Source assignment</t>
        </is>
      </c>
      <c r="L536" s="39" t="inlineStr"/>
      <c r="M536" s="34" t="inlineStr">
        <is>
          <t>Initial</t>
        </is>
      </c>
      <c r="N536" s="34" t="inlineStr">
        <is>
          <t>Rev 0</t>
        </is>
      </c>
      <c r="O536" s="34" t="inlineStr">
        <is>
          <t>R1232-v1</t>
        </is>
      </c>
      <c r="P536" s="39" t="inlineStr"/>
      <c r="Q536" s="14" t="inlineStr"/>
      <c r="R536" s="39" t="inlineStr"/>
      <c r="S536" s="39" t="inlineStr"/>
      <c r="T536" s="39" t="inlineStr"/>
      <c r="U536" s="39" t="inlineStr"/>
      <c r="V536" s="34" t="inlineStr">
        <is>
          <t>Cost Account = CA-2070; WBS Code = 1.2.2</t>
        </is>
      </c>
      <c r="W536" s="14" t="inlineStr"/>
    </row>
    <row r="537" ht="49" customHeight="1">
      <c r="A537" s="34" t="inlineStr">
        <is>
          <t>1.2.2</t>
        </is>
      </c>
      <c r="B537" s="34" t="inlineStr">
        <is>
          <t>Stations - Architectural Fit-Out</t>
        </is>
      </c>
      <c r="C537" s="34" t="inlineStr">
        <is>
          <t>Cost &amp; Forecast Control Accounts</t>
        </is>
      </c>
      <c r="D537" s="34" t="inlineStr">
        <is>
          <t>CST-02-072</t>
        </is>
      </c>
      <c r="E537" s="34" t="inlineStr">
        <is>
          <t>Stations - building services - closeout</t>
        </is>
      </c>
      <c r="F537" s="34" t="inlineStr">
        <is>
          <t>ONE_TO_ONE</t>
        </is>
      </c>
      <c r="G537" s="34" t="inlineStr">
        <is>
          <t>APPROVED</t>
        </is>
      </c>
      <c r="H537" s="34" t="inlineStr">
        <is>
          <t>New</t>
        </is>
      </c>
      <c r="I537" s="34" t="inlineStr">
        <is>
          <t>Source assignment -- not individually reviewed</t>
        </is>
      </c>
      <c r="J537" s="39" t="inlineStr"/>
      <c r="K537" s="34" t="inlineStr">
        <is>
          <t>Source assignment</t>
        </is>
      </c>
      <c r="L537" s="39" t="inlineStr"/>
      <c r="M537" s="34" t="inlineStr">
        <is>
          <t>Initial</t>
        </is>
      </c>
      <c r="N537" s="34" t="inlineStr">
        <is>
          <t>Rev 0</t>
        </is>
      </c>
      <c r="O537" s="34" t="inlineStr">
        <is>
          <t>R1234-v1</t>
        </is>
      </c>
      <c r="P537" s="39" t="inlineStr"/>
      <c r="Q537" s="14" t="inlineStr"/>
      <c r="R537" s="39" t="inlineStr"/>
      <c r="S537" s="39" t="inlineStr"/>
      <c r="T537" s="39" t="inlineStr"/>
      <c r="U537" s="39" t="inlineStr"/>
      <c r="V537" s="34" t="inlineStr">
        <is>
          <t>Cost Account = CA-2072; WBS Code = 1.2.2</t>
        </is>
      </c>
      <c r="W537" s="14" t="inlineStr"/>
    </row>
    <row r="538" ht="49" customHeight="1">
      <c r="A538" s="34" t="inlineStr">
        <is>
          <t>1.2.2</t>
        </is>
      </c>
      <c r="B538" s="34" t="inlineStr">
        <is>
          <t>Stations - Architectural Fit-Out</t>
        </is>
      </c>
      <c r="C538" s="34" t="inlineStr">
        <is>
          <t>Cost &amp; Forecast Control Accounts</t>
        </is>
      </c>
      <c r="D538" s="34" t="inlineStr">
        <is>
          <t>CST-02-074</t>
        </is>
      </c>
      <c r="E538" s="34" t="inlineStr">
        <is>
          <t>Stations - station structure - supply and install</t>
        </is>
      </c>
      <c r="F538" s="34" t="inlineStr">
        <is>
          <t>ONE_TO_ONE</t>
        </is>
      </c>
      <c r="G538" s="34" t="inlineStr">
        <is>
          <t>APPROVED</t>
        </is>
      </c>
      <c r="H538" s="34" t="inlineStr">
        <is>
          <t>New</t>
        </is>
      </c>
      <c r="I538" s="34" t="inlineStr">
        <is>
          <t>Source assignment -- not individually reviewed</t>
        </is>
      </c>
      <c r="J538" s="39" t="inlineStr"/>
      <c r="K538" s="34" t="inlineStr">
        <is>
          <t>Source assignment</t>
        </is>
      </c>
      <c r="L538" s="39" t="inlineStr"/>
      <c r="M538" s="34" t="inlineStr">
        <is>
          <t>Initial</t>
        </is>
      </c>
      <c r="N538" s="34" t="inlineStr">
        <is>
          <t>Rev 0</t>
        </is>
      </c>
      <c r="O538" s="34" t="inlineStr">
        <is>
          <t>R1236-v1</t>
        </is>
      </c>
      <c r="P538" s="39" t="inlineStr"/>
      <c r="Q538" s="14" t="inlineStr"/>
      <c r="R538" s="39" t="inlineStr"/>
      <c r="S538" s="39" t="inlineStr"/>
      <c r="T538" s="39" t="inlineStr"/>
      <c r="U538" s="39" t="inlineStr"/>
      <c r="V538" s="34" t="inlineStr">
        <is>
          <t>Cost Account = CA-2074; WBS Code = 1.2.2</t>
        </is>
      </c>
      <c r="W538" s="14" t="inlineStr"/>
    </row>
    <row r="539" ht="49" customHeight="1">
      <c r="A539" s="34" t="inlineStr">
        <is>
          <t>1.2.2</t>
        </is>
      </c>
      <c r="B539" s="34" t="inlineStr">
        <is>
          <t>Stations - Architectural Fit-Out</t>
        </is>
      </c>
      <c r="C539" s="34" t="inlineStr">
        <is>
          <t>Cost &amp; Forecast Control Accounts</t>
        </is>
      </c>
      <c r="D539" s="34" t="inlineStr">
        <is>
          <t>CST-02-076</t>
        </is>
      </c>
      <c r="E539" s="34" t="inlineStr">
        <is>
          <t>Stations - public realm - allowance</t>
        </is>
      </c>
      <c r="F539" s="34" t="inlineStr">
        <is>
          <t>ONE_TO_ONE</t>
        </is>
      </c>
      <c r="G539" s="34" t="inlineStr">
        <is>
          <t>APPROVED</t>
        </is>
      </c>
      <c r="H539" s="34" t="inlineStr">
        <is>
          <t>New</t>
        </is>
      </c>
      <c r="I539" s="34" t="inlineStr">
        <is>
          <t>Source assignment -- not individually reviewed</t>
        </is>
      </c>
      <c r="J539" s="39" t="inlineStr"/>
      <c r="K539" s="34" t="inlineStr">
        <is>
          <t>Source assignment</t>
        </is>
      </c>
      <c r="L539" s="39" t="inlineStr"/>
      <c r="M539" s="34" t="inlineStr">
        <is>
          <t>Initial</t>
        </is>
      </c>
      <c r="N539" s="34" t="inlineStr">
        <is>
          <t>Rev 0</t>
        </is>
      </c>
      <c r="O539" s="34" t="inlineStr">
        <is>
          <t>R1238-v1</t>
        </is>
      </c>
      <c r="P539" s="39" t="inlineStr"/>
      <c r="Q539" s="14" t="inlineStr"/>
      <c r="R539" s="39" t="inlineStr"/>
      <c r="S539" s="39" t="inlineStr"/>
      <c r="T539" s="39" t="inlineStr"/>
      <c r="U539" s="39" t="inlineStr"/>
      <c r="V539" s="34" t="inlineStr">
        <is>
          <t>Cost Account = CA-2076; WBS Code = 1.2.2</t>
        </is>
      </c>
      <c r="W539" s="14" t="inlineStr"/>
    </row>
    <row r="540" ht="49" customHeight="1">
      <c r="A540" s="34" t="inlineStr">
        <is>
          <t>1.2.2</t>
        </is>
      </c>
      <c r="B540" s="34" t="inlineStr">
        <is>
          <t>Stations - Architectural Fit-Out</t>
        </is>
      </c>
      <c r="C540" s="34" t="inlineStr">
        <is>
          <t>Cost &amp; Forecast Control Accounts</t>
        </is>
      </c>
      <c r="D540" s="34" t="inlineStr">
        <is>
          <t>CST-02-078</t>
        </is>
      </c>
      <c r="E540" s="34" t="inlineStr">
        <is>
          <t>Stations - building services - field package</t>
        </is>
      </c>
      <c r="F540" s="34" t="inlineStr">
        <is>
          <t>ONE_TO_ONE</t>
        </is>
      </c>
      <c r="G540" s="34" t="inlineStr">
        <is>
          <t>APPROVED</t>
        </is>
      </c>
      <c r="H540" s="34" t="inlineStr">
        <is>
          <t>New</t>
        </is>
      </c>
      <c r="I540" s="34" t="inlineStr">
        <is>
          <t>Source assignment -- not individually reviewed</t>
        </is>
      </c>
      <c r="J540" s="39" t="inlineStr"/>
      <c r="K540" s="34" t="inlineStr">
        <is>
          <t>Source assignment</t>
        </is>
      </c>
      <c r="L540" s="39" t="inlineStr"/>
      <c r="M540" s="34" t="inlineStr">
        <is>
          <t>Initial</t>
        </is>
      </c>
      <c r="N540" s="34" t="inlineStr">
        <is>
          <t>Rev 0</t>
        </is>
      </c>
      <c r="O540" s="34" t="inlineStr">
        <is>
          <t>R1240-v1</t>
        </is>
      </c>
      <c r="P540" s="39" t="inlineStr"/>
      <c r="Q540" s="14" t="inlineStr"/>
      <c r="R540" s="39" t="inlineStr"/>
      <c r="S540" s="39" t="inlineStr"/>
      <c r="T540" s="39" t="inlineStr"/>
      <c r="U540" s="39" t="inlineStr"/>
      <c r="V540" s="34" t="inlineStr">
        <is>
          <t>Cost Account = CA-2078; WBS Code = 1.2.2</t>
        </is>
      </c>
      <c r="W540" s="14" t="inlineStr"/>
    </row>
    <row r="541" ht="49" customHeight="1">
      <c r="A541" s="34" t="inlineStr">
        <is>
          <t>1.2.2</t>
        </is>
      </c>
      <c r="B541" s="34" t="inlineStr">
        <is>
          <t>Stations - Architectural Fit-Out</t>
        </is>
      </c>
      <c r="C541" s="34" t="inlineStr">
        <is>
          <t>Cost &amp; Forecast Control Accounts</t>
        </is>
      </c>
      <c r="D541" s="34" t="inlineStr">
        <is>
          <t>CST-02-080</t>
        </is>
      </c>
      <c r="E541" s="34" t="inlineStr">
        <is>
          <t>Stations - station structure - professional services</t>
        </is>
      </c>
      <c r="F541" s="34" t="inlineStr">
        <is>
          <t>ONE_TO_ONE</t>
        </is>
      </c>
      <c r="G541" s="34" t="inlineStr">
        <is>
          <t>APPROVED</t>
        </is>
      </c>
      <c r="H541" s="34" t="inlineStr">
        <is>
          <t>New</t>
        </is>
      </c>
      <c r="I541" s="34" t="inlineStr">
        <is>
          <t>Source assignment -- not individually reviewed</t>
        </is>
      </c>
      <c r="J541" s="39" t="inlineStr"/>
      <c r="K541" s="34" t="inlineStr">
        <is>
          <t>Source assignment</t>
        </is>
      </c>
      <c r="L541" s="39" t="inlineStr"/>
      <c r="M541" s="34" t="inlineStr">
        <is>
          <t>Initial</t>
        </is>
      </c>
      <c r="N541" s="34" t="inlineStr">
        <is>
          <t>Rev 0</t>
        </is>
      </c>
      <c r="O541" s="34" t="inlineStr">
        <is>
          <t>R1242-v1</t>
        </is>
      </c>
      <c r="P541" s="39" t="inlineStr"/>
      <c r="Q541" s="14" t="inlineStr"/>
      <c r="R541" s="39" t="inlineStr"/>
      <c r="S541" s="39" t="inlineStr"/>
      <c r="T541" s="39" t="inlineStr"/>
      <c r="U541" s="39" t="inlineStr"/>
      <c r="V541" s="34" t="inlineStr">
        <is>
          <t>Cost Account = CA-2080; WBS Code = 1.2.2</t>
        </is>
      </c>
      <c r="W541" s="14" t="inlineStr"/>
    </row>
    <row r="542" ht="49" customHeight="1">
      <c r="A542" s="34" t="inlineStr">
        <is>
          <t>1.3</t>
        </is>
      </c>
      <c r="B542" s="34" t="inlineStr">
        <is>
          <t>Systems</t>
        </is>
      </c>
      <c r="C542" s="34" t="inlineStr">
        <is>
          <t>Commercial Package Register</t>
        </is>
      </c>
      <c r="D542" s="34" t="inlineStr">
        <is>
          <t>PKG-021</t>
        </is>
      </c>
      <c r="E542" s="34" t="inlineStr">
        <is>
          <t>Traction Power</t>
        </is>
      </c>
      <c r="F542" s="34" t="inlineStr">
        <is>
          <t>ONE_TO_ONE</t>
        </is>
      </c>
      <c r="G542" s="34" t="inlineStr">
        <is>
          <t>APPROVED</t>
        </is>
      </c>
      <c r="H542" s="34" t="inlineStr">
        <is>
          <t>New</t>
        </is>
      </c>
      <c r="I542" s="34" t="inlineStr">
        <is>
          <t>Source assignment -- not individually reviewed</t>
        </is>
      </c>
      <c r="J542" s="39" t="inlineStr"/>
      <c r="K542" s="34" t="inlineStr">
        <is>
          <t>Source assignment</t>
        </is>
      </c>
      <c r="L542" s="39" t="inlineStr"/>
      <c r="M542" s="34" t="inlineStr">
        <is>
          <t>Initial</t>
        </is>
      </c>
      <c r="N542" s="34" t="inlineStr">
        <is>
          <t>Rev 0</t>
        </is>
      </c>
      <c r="O542" s="34" t="inlineStr">
        <is>
          <t>R1583-v1</t>
        </is>
      </c>
      <c r="P542" s="39" t="inlineStr"/>
      <c r="Q542" s="14" t="inlineStr"/>
      <c r="R542" s="39" t="inlineStr"/>
      <c r="S542" s="39" t="inlineStr"/>
      <c r="T542" s="39" t="inlineStr"/>
      <c r="U542" s="39" t="inlineStr"/>
      <c r="V542" s="34" t="inlineStr">
        <is>
          <t>Package Code = PK-301; WBS Code = 1.3</t>
        </is>
      </c>
      <c r="W542" s="14" t="inlineStr"/>
    </row>
    <row r="543" ht="49" customHeight="1">
      <c r="A543" s="34" t="inlineStr">
        <is>
          <t>1.3</t>
        </is>
      </c>
      <c r="B543" s="34" t="inlineStr">
        <is>
          <t>Systems</t>
        </is>
      </c>
      <c r="C543" s="34" t="inlineStr">
        <is>
          <t>Commercial Package Register</t>
        </is>
      </c>
      <c r="D543" s="34" t="inlineStr">
        <is>
          <t>PKG-022</t>
        </is>
      </c>
      <c r="E543" s="34" t="inlineStr">
        <is>
          <t>Signalling &amp; Train Control</t>
        </is>
      </c>
      <c r="F543" s="34" t="inlineStr">
        <is>
          <t>ONE_TO_ONE</t>
        </is>
      </c>
      <c r="G543" s="34" t="inlineStr">
        <is>
          <t>APPROVED</t>
        </is>
      </c>
      <c r="H543" s="34" t="inlineStr">
        <is>
          <t>New</t>
        </is>
      </c>
      <c r="I543" s="34" t="inlineStr">
        <is>
          <t>Source assignment -- not individually reviewed</t>
        </is>
      </c>
      <c r="J543" s="39" t="inlineStr"/>
      <c r="K543" s="34" t="inlineStr">
        <is>
          <t>Source assignment</t>
        </is>
      </c>
      <c r="L543" s="39" t="inlineStr"/>
      <c r="M543" s="34" t="inlineStr">
        <is>
          <t>Initial</t>
        </is>
      </c>
      <c r="N543" s="34" t="inlineStr">
        <is>
          <t>Rev 0</t>
        </is>
      </c>
      <c r="O543" s="34" t="inlineStr">
        <is>
          <t>R1584-v1</t>
        </is>
      </c>
      <c r="P543" s="39" t="inlineStr"/>
      <c r="Q543" s="14" t="inlineStr"/>
      <c r="R543" s="39" t="inlineStr"/>
      <c r="S543" s="39" t="inlineStr"/>
      <c r="T543" s="39" t="inlineStr"/>
      <c r="U543" s="39" t="inlineStr"/>
      <c r="V543" s="34" t="inlineStr">
        <is>
          <t>Package Code = PK-302; WBS Code = 1.3</t>
        </is>
      </c>
      <c r="W543" s="14" t="inlineStr"/>
    </row>
    <row r="544" ht="49" customHeight="1">
      <c r="A544" s="34" t="inlineStr">
        <is>
          <t>1.3</t>
        </is>
      </c>
      <c r="B544" s="34" t="inlineStr">
        <is>
          <t>Systems</t>
        </is>
      </c>
      <c r="C544" s="34" t="inlineStr">
        <is>
          <t>Commercial Package Register</t>
        </is>
      </c>
      <c r="D544" s="34" t="inlineStr">
        <is>
          <t>PKG-023</t>
        </is>
      </c>
      <c r="E544" s="34" t="inlineStr">
        <is>
          <t>Communications</t>
        </is>
      </c>
      <c r="F544" s="34" t="inlineStr">
        <is>
          <t>ONE_TO_ONE</t>
        </is>
      </c>
      <c r="G544" s="34" t="inlineStr">
        <is>
          <t>APPROVED</t>
        </is>
      </c>
      <c r="H544" s="34" t="inlineStr">
        <is>
          <t>New</t>
        </is>
      </c>
      <c r="I544" s="34" t="inlineStr">
        <is>
          <t>Source assignment -- not individually reviewed</t>
        </is>
      </c>
      <c r="J544" s="39" t="inlineStr"/>
      <c r="K544" s="34" t="inlineStr">
        <is>
          <t>Source assignment</t>
        </is>
      </c>
      <c r="L544" s="39" t="inlineStr"/>
      <c r="M544" s="34" t="inlineStr">
        <is>
          <t>Initial</t>
        </is>
      </c>
      <c r="N544" s="34" t="inlineStr">
        <is>
          <t>Rev 0</t>
        </is>
      </c>
      <c r="O544" s="34" t="inlineStr">
        <is>
          <t>R1585-v1</t>
        </is>
      </c>
      <c r="P544" s="39" t="inlineStr"/>
      <c r="Q544" s="14" t="inlineStr"/>
      <c r="R544" s="39" t="inlineStr"/>
      <c r="S544" s="39" t="inlineStr"/>
      <c r="T544" s="39" t="inlineStr"/>
      <c r="U544" s="39" t="inlineStr"/>
      <c r="V544" s="34" t="inlineStr">
        <is>
          <t>Package Code = PK-303; WBS Code = 1.3</t>
        </is>
      </c>
      <c r="W544" s="14" t="inlineStr"/>
    </row>
    <row r="545" ht="49" customHeight="1">
      <c r="A545" s="34" t="inlineStr">
        <is>
          <t>1.3</t>
        </is>
      </c>
      <c r="B545" s="34" t="inlineStr">
        <is>
          <t>Systems</t>
        </is>
      </c>
      <c r="C545" s="34" t="inlineStr">
        <is>
          <t>Commercial Package Register</t>
        </is>
      </c>
      <c r="D545" s="34" t="inlineStr">
        <is>
          <t>PKG-024</t>
        </is>
      </c>
      <c r="E545" s="34" t="inlineStr">
        <is>
          <t>Systems Integration</t>
        </is>
      </c>
      <c r="F545" s="34" t="inlineStr">
        <is>
          <t>ONE_TO_ONE</t>
        </is>
      </c>
      <c r="G545" s="34" t="inlineStr">
        <is>
          <t>APPROVED</t>
        </is>
      </c>
      <c r="H545" s="34" t="inlineStr">
        <is>
          <t>New</t>
        </is>
      </c>
      <c r="I545" s="34" t="inlineStr">
        <is>
          <t>Source assignment -- not individually reviewed</t>
        </is>
      </c>
      <c r="J545" s="39" t="inlineStr"/>
      <c r="K545" s="34" t="inlineStr">
        <is>
          <t>Source assignment</t>
        </is>
      </c>
      <c r="L545" s="39" t="inlineStr"/>
      <c r="M545" s="34" t="inlineStr">
        <is>
          <t>Initial</t>
        </is>
      </c>
      <c r="N545" s="34" t="inlineStr">
        <is>
          <t>Rev 0</t>
        </is>
      </c>
      <c r="O545" s="34" t="inlineStr">
        <is>
          <t>R1586-v1</t>
        </is>
      </c>
      <c r="P545" s="39" t="inlineStr"/>
      <c r="Q545" s="14" t="inlineStr"/>
      <c r="R545" s="39" t="inlineStr"/>
      <c r="S545" s="39" t="inlineStr"/>
      <c r="T545" s="39" t="inlineStr"/>
      <c r="U545" s="39" t="inlineStr"/>
      <c r="V545" s="34" t="inlineStr">
        <is>
          <t>Package Code = PK-304; WBS Code = 1.3</t>
        </is>
      </c>
      <c r="W545" s="14" t="inlineStr"/>
    </row>
    <row r="546" ht="49" customHeight="1">
      <c r="A546" s="34" t="inlineStr">
        <is>
          <t>1.3</t>
        </is>
      </c>
      <c r="B546" s="34" t="inlineStr">
        <is>
          <t>Systems</t>
        </is>
      </c>
      <c r="C546" s="34" t="inlineStr">
        <is>
          <t>Commercial Package Register</t>
        </is>
      </c>
      <c r="D546" s="34" t="inlineStr">
        <is>
          <t>PKG-025</t>
        </is>
      </c>
      <c r="E546" s="34" t="inlineStr">
        <is>
          <t>Traction Power - Lot 2</t>
        </is>
      </c>
      <c r="F546" s="34" t="inlineStr">
        <is>
          <t>ONE_TO_ONE</t>
        </is>
      </c>
      <c r="G546" s="34" t="inlineStr">
        <is>
          <t>APPROVED</t>
        </is>
      </c>
      <c r="H546" s="34" t="inlineStr">
        <is>
          <t>New</t>
        </is>
      </c>
      <c r="I546" s="34" t="inlineStr">
        <is>
          <t>Source assignment -- not individually reviewed</t>
        </is>
      </c>
      <c r="J546" s="39" t="inlineStr"/>
      <c r="K546" s="34" t="inlineStr">
        <is>
          <t>Source assignment</t>
        </is>
      </c>
      <c r="L546" s="39" t="inlineStr"/>
      <c r="M546" s="34" t="inlineStr">
        <is>
          <t>Initial</t>
        </is>
      </c>
      <c r="N546" s="34" t="inlineStr">
        <is>
          <t>Rev 0</t>
        </is>
      </c>
      <c r="O546" s="34" t="inlineStr">
        <is>
          <t>R1587-v1</t>
        </is>
      </c>
      <c r="P546" s="39" t="inlineStr"/>
      <c r="Q546" s="14" t="inlineStr"/>
      <c r="R546" s="39" t="inlineStr"/>
      <c r="S546" s="39" t="inlineStr"/>
      <c r="T546" s="39" t="inlineStr"/>
      <c r="U546" s="39" t="inlineStr"/>
      <c r="V546" s="34" t="inlineStr">
        <is>
          <t>Package Code = PK-305; WBS Code = 1.3</t>
        </is>
      </c>
      <c r="W546" s="14" t="inlineStr"/>
    </row>
    <row r="547" ht="49" customHeight="1">
      <c r="A547" s="34" t="inlineStr">
        <is>
          <t>1.3</t>
        </is>
      </c>
      <c r="B547" s="34" t="inlineStr">
        <is>
          <t>Systems</t>
        </is>
      </c>
      <c r="C547" s="34" t="inlineStr">
        <is>
          <t>Commercial Package Register</t>
        </is>
      </c>
      <c r="D547" s="34" t="inlineStr">
        <is>
          <t>PKG-026</t>
        </is>
      </c>
      <c r="E547" s="34" t="inlineStr">
        <is>
          <t>Signalling &amp; Train Control - Lot 2</t>
        </is>
      </c>
      <c r="F547" s="34" t="inlineStr">
        <is>
          <t>ONE_TO_ONE</t>
        </is>
      </c>
      <c r="G547" s="34" t="inlineStr">
        <is>
          <t>APPROVED</t>
        </is>
      </c>
      <c r="H547" s="34" t="inlineStr">
        <is>
          <t>New</t>
        </is>
      </c>
      <c r="I547" s="34" t="inlineStr">
        <is>
          <t>Source assignment -- not individually reviewed</t>
        </is>
      </c>
      <c r="J547" s="39" t="inlineStr"/>
      <c r="K547" s="34" t="inlineStr">
        <is>
          <t>Source assignment</t>
        </is>
      </c>
      <c r="L547" s="39" t="inlineStr"/>
      <c r="M547" s="34" t="inlineStr">
        <is>
          <t>Initial</t>
        </is>
      </c>
      <c r="N547" s="34" t="inlineStr">
        <is>
          <t>Rev 0</t>
        </is>
      </c>
      <c r="O547" s="34" t="inlineStr">
        <is>
          <t>R1588-v1</t>
        </is>
      </c>
      <c r="P547" s="39" t="inlineStr"/>
      <c r="Q547" s="14" t="inlineStr"/>
      <c r="R547" s="39" t="inlineStr"/>
      <c r="S547" s="39" t="inlineStr"/>
      <c r="T547" s="39" t="inlineStr"/>
      <c r="U547" s="39" t="inlineStr"/>
      <c r="V547" s="34" t="inlineStr">
        <is>
          <t>Package Code = PK-306; WBS Code = 1.3</t>
        </is>
      </c>
      <c r="W547" s="14" t="inlineStr"/>
    </row>
    <row r="548" ht="49" customHeight="1">
      <c r="A548" s="34" t="inlineStr">
        <is>
          <t>1.3</t>
        </is>
      </c>
      <c r="B548" s="34" t="inlineStr">
        <is>
          <t>Systems</t>
        </is>
      </c>
      <c r="C548" s="34" t="inlineStr">
        <is>
          <t>Commercial Package Register</t>
        </is>
      </c>
      <c r="D548" s="34" t="inlineStr">
        <is>
          <t>PKG-027</t>
        </is>
      </c>
      <c r="E548" s="34" t="inlineStr">
        <is>
          <t>Communications - Lot 2</t>
        </is>
      </c>
      <c r="F548" s="34" t="inlineStr">
        <is>
          <t>ONE_TO_ONE</t>
        </is>
      </c>
      <c r="G548" s="34" t="inlineStr">
        <is>
          <t>APPROVED</t>
        </is>
      </c>
      <c r="H548" s="34" t="inlineStr">
        <is>
          <t>New</t>
        </is>
      </c>
      <c r="I548" s="34" t="inlineStr">
        <is>
          <t>Source assignment -- not individually reviewed</t>
        </is>
      </c>
      <c r="J548" s="39" t="inlineStr"/>
      <c r="K548" s="34" t="inlineStr">
        <is>
          <t>Source assignment</t>
        </is>
      </c>
      <c r="L548" s="39" t="inlineStr"/>
      <c r="M548" s="34" t="inlineStr">
        <is>
          <t>Initial</t>
        </is>
      </c>
      <c r="N548" s="34" t="inlineStr">
        <is>
          <t>Rev 0</t>
        </is>
      </c>
      <c r="O548" s="34" t="inlineStr">
        <is>
          <t>R1589-v1</t>
        </is>
      </c>
      <c r="P548" s="39" t="inlineStr"/>
      <c r="Q548" s="14" t="inlineStr"/>
      <c r="R548" s="39" t="inlineStr"/>
      <c r="S548" s="39" t="inlineStr"/>
      <c r="T548" s="39" t="inlineStr"/>
      <c r="U548" s="39" t="inlineStr"/>
      <c r="V548" s="34" t="inlineStr">
        <is>
          <t>Package Code = PK-307; WBS Code = 1.3</t>
        </is>
      </c>
      <c r="W548" s="14" t="inlineStr"/>
    </row>
    <row r="549" ht="49" customHeight="1">
      <c r="A549" s="34" t="inlineStr">
        <is>
          <t>1.3</t>
        </is>
      </c>
      <c r="B549" s="34" t="inlineStr">
        <is>
          <t>Systems</t>
        </is>
      </c>
      <c r="C549" s="34" t="inlineStr">
        <is>
          <t>Commercial Package Register</t>
        </is>
      </c>
      <c r="D549" s="34" t="inlineStr">
        <is>
          <t>PKG-028</t>
        </is>
      </c>
      <c r="E549" s="34" t="inlineStr">
        <is>
          <t>Systems Integration - Lot 2</t>
        </is>
      </c>
      <c r="F549" s="34" t="inlineStr">
        <is>
          <t>ONE_TO_ONE</t>
        </is>
      </c>
      <c r="G549" s="34" t="inlineStr">
        <is>
          <t>APPROVED</t>
        </is>
      </c>
      <c r="H549" s="34" t="inlineStr">
        <is>
          <t>New</t>
        </is>
      </c>
      <c r="I549" s="34" t="inlineStr">
        <is>
          <t>Source assignment -- not individually reviewed</t>
        </is>
      </c>
      <c r="J549" s="39" t="inlineStr"/>
      <c r="K549" s="34" t="inlineStr">
        <is>
          <t>Source assignment</t>
        </is>
      </c>
      <c r="L549" s="39" t="inlineStr"/>
      <c r="M549" s="34" t="inlineStr">
        <is>
          <t>Initial</t>
        </is>
      </c>
      <c r="N549" s="34" t="inlineStr">
        <is>
          <t>Rev 0</t>
        </is>
      </c>
      <c r="O549" s="34" t="inlineStr">
        <is>
          <t>R1590-v1</t>
        </is>
      </c>
      <c r="P549" s="39" t="inlineStr"/>
      <c r="Q549" s="14" t="inlineStr"/>
      <c r="R549" s="39" t="inlineStr"/>
      <c r="S549" s="39" t="inlineStr"/>
      <c r="T549" s="39" t="inlineStr"/>
      <c r="U549" s="39" t="inlineStr"/>
      <c r="V549" s="34" t="inlineStr">
        <is>
          <t>Package Code = PK-308; WBS Code = 1.3</t>
        </is>
      </c>
      <c r="W549" s="14" t="inlineStr"/>
    </row>
    <row r="550" ht="49" customHeight="1">
      <c r="A550" s="34" t="inlineStr">
        <is>
          <t>1.3</t>
        </is>
      </c>
      <c r="B550" s="34" t="inlineStr">
        <is>
          <t>Systems</t>
        </is>
      </c>
      <c r="C550" s="34" t="inlineStr">
        <is>
          <t>Commercial Package Register</t>
        </is>
      </c>
      <c r="D550" s="34" t="inlineStr">
        <is>
          <t>PKG-029</t>
        </is>
      </c>
      <c r="E550" s="34" t="inlineStr">
        <is>
          <t>Traction Power - Lot 3</t>
        </is>
      </c>
      <c r="F550" s="34" t="inlineStr">
        <is>
          <t>ONE_TO_ONE</t>
        </is>
      </c>
      <c r="G550" s="34" t="inlineStr">
        <is>
          <t>APPROVED</t>
        </is>
      </c>
      <c r="H550" s="34" t="inlineStr">
        <is>
          <t>New</t>
        </is>
      </c>
      <c r="I550" s="34" t="inlineStr">
        <is>
          <t>Source assignment -- not individually reviewed</t>
        </is>
      </c>
      <c r="J550" s="39" t="inlineStr"/>
      <c r="K550" s="34" t="inlineStr">
        <is>
          <t>Source assignment</t>
        </is>
      </c>
      <c r="L550" s="39" t="inlineStr"/>
      <c r="M550" s="34" t="inlineStr">
        <is>
          <t>Initial</t>
        </is>
      </c>
      <c r="N550" s="34" t="inlineStr">
        <is>
          <t>Rev 0</t>
        </is>
      </c>
      <c r="O550" s="34" t="inlineStr">
        <is>
          <t>R1591-v1</t>
        </is>
      </c>
      <c r="P550" s="39" t="inlineStr"/>
      <c r="Q550" s="14" t="inlineStr"/>
      <c r="R550" s="39" t="inlineStr"/>
      <c r="S550" s="39" t="inlineStr"/>
      <c r="T550" s="39" t="inlineStr"/>
      <c r="U550" s="39" t="inlineStr"/>
      <c r="V550" s="34" t="inlineStr">
        <is>
          <t>Package Code = PK-309; WBS Code = 1.3</t>
        </is>
      </c>
      <c r="W550" s="14" t="inlineStr"/>
    </row>
    <row r="551" ht="49" customHeight="1">
      <c r="A551" s="34" t="inlineStr">
        <is>
          <t>1.3</t>
        </is>
      </c>
      <c r="B551" s="34" t="inlineStr">
        <is>
          <t>Systems</t>
        </is>
      </c>
      <c r="C551" s="34" t="inlineStr">
        <is>
          <t>Commercial Package Register</t>
        </is>
      </c>
      <c r="D551" s="34" t="inlineStr">
        <is>
          <t>PKG-030</t>
        </is>
      </c>
      <c r="E551" s="34" t="inlineStr">
        <is>
          <t>Signalling &amp; Train Control - Lot 3</t>
        </is>
      </c>
      <c r="F551" s="34" t="inlineStr">
        <is>
          <t>ONE_TO_ONE</t>
        </is>
      </c>
      <c r="G551" s="34" t="inlineStr">
        <is>
          <t>APPROVED</t>
        </is>
      </c>
      <c r="H551" s="34" t="inlineStr">
        <is>
          <t>New</t>
        </is>
      </c>
      <c r="I551" s="34" t="inlineStr">
        <is>
          <t>Source assignment -- not individually reviewed</t>
        </is>
      </c>
      <c r="J551" s="39" t="inlineStr"/>
      <c r="K551" s="34" t="inlineStr">
        <is>
          <t>Source assignment</t>
        </is>
      </c>
      <c r="L551" s="39" t="inlineStr"/>
      <c r="M551" s="34" t="inlineStr">
        <is>
          <t>Initial</t>
        </is>
      </c>
      <c r="N551" s="34" t="inlineStr">
        <is>
          <t>Rev 0</t>
        </is>
      </c>
      <c r="O551" s="34" t="inlineStr">
        <is>
          <t>R1592-v1</t>
        </is>
      </c>
      <c r="P551" s="39" t="inlineStr"/>
      <c r="Q551" s="14" t="inlineStr"/>
      <c r="R551" s="39" t="inlineStr"/>
      <c r="S551" s="39" t="inlineStr"/>
      <c r="T551" s="39" t="inlineStr"/>
      <c r="U551" s="39" t="inlineStr"/>
      <c r="V551" s="34" t="inlineStr">
        <is>
          <t>Package Code = PK-310; WBS Code = 1.3</t>
        </is>
      </c>
      <c r="W551" s="14" t="inlineStr"/>
    </row>
    <row r="552" ht="34" customHeight="1">
      <c r="A552" s="34" t="inlineStr">
        <is>
          <t>1.3.1</t>
        </is>
      </c>
      <c r="B552" s="34" t="inlineStr">
        <is>
          <t>Systems - Traction Power</t>
        </is>
      </c>
      <c r="C552" s="34" t="inlineStr">
        <is>
          <t>Contractor Programme</t>
        </is>
      </c>
      <c r="D552" s="34" t="inlineStr">
        <is>
          <t>SCH-03-001</t>
        </is>
      </c>
      <c r="E552" s="34" t="inlineStr">
        <is>
          <t>Harbour Station: wayside interface test - turnover</t>
        </is>
      </c>
      <c r="F552" s="34" t="inlineStr">
        <is>
          <t>ONE_TO_ONE</t>
        </is>
      </c>
      <c r="G552" s="34" t="inlineStr">
        <is>
          <t>APPROVED</t>
        </is>
      </c>
      <c r="H552" s="34" t="inlineStr">
        <is>
          <t>New</t>
        </is>
      </c>
      <c r="I552" s="34" t="inlineStr">
        <is>
          <t>Source assignment -- not individually reviewed</t>
        </is>
      </c>
      <c r="J552" s="39" t="inlineStr"/>
      <c r="K552" s="34" t="inlineStr">
        <is>
          <t>Source assignment</t>
        </is>
      </c>
      <c r="L552" s="39" t="inlineStr"/>
      <c r="M552" s="34" t="inlineStr">
        <is>
          <t>Initial</t>
        </is>
      </c>
      <c r="N552" s="34" t="inlineStr">
        <is>
          <t>Rev 0</t>
        </is>
      </c>
      <c r="O552" s="34" t="inlineStr">
        <is>
          <t>R361-v1</t>
        </is>
      </c>
      <c r="P552" s="39" t="inlineStr"/>
      <c r="Q552" s="14" t="inlineStr"/>
      <c r="R552" s="39" t="inlineStr"/>
      <c r="S552" s="39" t="inlineStr"/>
      <c r="T552" s="39" t="inlineStr"/>
      <c r="U552" s="39" t="inlineStr"/>
      <c r="V552" s="34" t="inlineStr">
        <is>
          <t>WBS Code = 1.3.1</t>
        </is>
      </c>
      <c r="W552" s="14" t="inlineStr"/>
    </row>
    <row r="553" ht="34" customHeight="1">
      <c r="A553" s="34" t="inlineStr">
        <is>
          <t>1.3.1</t>
        </is>
      </c>
      <c r="B553" s="34" t="inlineStr">
        <is>
          <t>Systems - Traction Power</t>
        </is>
      </c>
      <c r="C553" s="34" t="inlineStr">
        <is>
          <t>Contractor Programme</t>
        </is>
      </c>
      <c r="D553" s="34" t="inlineStr">
        <is>
          <t>SCH-03-002</t>
        </is>
      </c>
      <c r="E553" s="34" t="inlineStr">
        <is>
          <t>Control Centre: signal equipment installation - release</t>
        </is>
      </c>
      <c r="F553" s="34" t="inlineStr">
        <is>
          <t>ONE_TO_ONE</t>
        </is>
      </c>
      <c r="G553" s="34" t="inlineStr">
        <is>
          <t>APPROVED</t>
        </is>
      </c>
      <c r="H553" s="34" t="inlineStr">
        <is>
          <t>New</t>
        </is>
      </c>
      <c r="I553" s="34" t="inlineStr">
        <is>
          <t>Source assignment -- not individually reviewed</t>
        </is>
      </c>
      <c r="J553" s="39" t="inlineStr"/>
      <c r="K553" s="34" t="inlineStr">
        <is>
          <t>Source assignment</t>
        </is>
      </c>
      <c r="L553" s="39" t="inlineStr"/>
      <c r="M553" s="34" t="inlineStr">
        <is>
          <t>Initial</t>
        </is>
      </c>
      <c r="N553" s="34" t="inlineStr">
        <is>
          <t>Rev 0</t>
        </is>
      </c>
      <c r="O553" s="34" t="inlineStr">
        <is>
          <t>R362-v1</t>
        </is>
      </c>
      <c r="P553" s="39" t="inlineStr"/>
      <c r="Q553" s="14" t="inlineStr"/>
      <c r="R553" s="39" t="inlineStr"/>
      <c r="S553" s="39" t="inlineStr"/>
      <c r="T553" s="39" t="inlineStr"/>
      <c r="U553" s="39" t="inlineStr"/>
      <c r="V553" s="34" t="inlineStr">
        <is>
          <t>WBS Code = 1.3.1</t>
        </is>
      </c>
      <c r="W553" s="14" t="inlineStr"/>
    </row>
    <row r="554" ht="34" customHeight="1">
      <c r="A554" s="34" t="inlineStr">
        <is>
          <t>1.3.1</t>
        </is>
      </c>
      <c r="B554" s="34" t="inlineStr">
        <is>
          <t>Systems - Traction Power</t>
        </is>
      </c>
      <c r="C554" s="34" t="inlineStr">
        <is>
          <t>Contractor Programme</t>
        </is>
      </c>
      <c r="D554" s="34" t="inlineStr">
        <is>
          <t>SCH-03-004</t>
        </is>
      </c>
      <c r="E554" s="34" t="inlineStr">
        <is>
          <t>East substation: control-centre integration - installation</t>
        </is>
      </c>
      <c r="F554" s="34" t="inlineStr">
        <is>
          <t>ONE_TO_ONE</t>
        </is>
      </c>
      <c r="G554" s="34" t="inlineStr">
        <is>
          <t>APPROVED</t>
        </is>
      </c>
      <c r="H554" s="34" t="inlineStr">
        <is>
          <t>New</t>
        </is>
      </c>
      <c r="I554" s="34" t="inlineStr">
        <is>
          <t>Source assignment -- not individually reviewed</t>
        </is>
      </c>
      <c r="J554" s="39" t="inlineStr"/>
      <c r="K554" s="34" t="inlineStr">
        <is>
          <t>Source assignment</t>
        </is>
      </c>
      <c r="L554" s="39" t="inlineStr"/>
      <c r="M554" s="34" t="inlineStr">
        <is>
          <t>Initial</t>
        </is>
      </c>
      <c r="N554" s="34" t="inlineStr">
        <is>
          <t>Rev 0</t>
        </is>
      </c>
      <c r="O554" s="34" t="inlineStr">
        <is>
          <t>R364-v1</t>
        </is>
      </c>
      <c r="P554" s="39" t="inlineStr"/>
      <c r="Q554" s="14" t="inlineStr"/>
      <c r="R554" s="39" t="inlineStr"/>
      <c r="S554" s="39" t="inlineStr"/>
      <c r="T554" s="39" t="inlineStr"/>
      <c r="U554" s="39" t="inlineStr"/>
      <c r="V554" s="34" t="inlineStr">
        <is>
          <t>WBS Code = 1.3.1</t>
        </is>
      </c>
      <c r="W554" s="14" t="inlineStr"/>
    </row>
    <row r="555" ht="34" customHeight="1">
      <c r="A555" s="34" t="inlineStr">
        <is>
          <t>1.3.1</t>
        </is>
      </c>
      <c r="B555" s="34" t="inlineStr">
        <is>
          <t>Systems - Traction Power</t>
        </is>
      </c>
      <c r="C555" s="34" t="inlineStr">
        <is>
          <t>Contractor Programme</t>
        </is>
      </c>
      <c r="D555" s="34" t="inlineStr">
        <is>
          <t>SCH-03-005</t>
        </is>
      </c>
      <c r="E555" s="34" t="inlineStr">
        <is>
          <t>Central interlocking: fibre backbone termination - inspection</t>
        </is>
      </c>
      <c r="F555" s="34" t="inlineStr">
        <is>
          <t>ONE_TO_ONE</t>
        </is>
      </c>
      <c r="G555" s="34" t="inlineStr">
        <is>
          <t>APPROVED</t>
        </is>
      </c>
      <c r="H555" s="34" t="inlineStr">
        <is>
          <t>New</t>
        </is>
      </c>
      <c r="I555" s="34" t="inlineStr">
        <is>
          <t>Source assignment -- not individually reviewed</t>
        </is>
      </c>
      <c r="J555" s="39" t="inlineStr"/>
      <c r="K555" s="34" t="inlineStr">
        <is>
          <t>Source assignment</t>
        </is>
      </c>
      <c r="L555" s="39" t="inlineStr"/>
      <c r="M555" s="34" t="inlineStr">
        <is>
          <t>Initial</t>
        </is>
      </c>
      <c r="N555" s="34" t="inlineStr">
        <is>
          <t>Rev 0</t>
        </is>
      </c>
      <c r="O555" s="34" t="inlineStr">
        <is>
          <t>R365-v1</t>
        </is>
      </c>
      <c r="P555" s="39" t="inlineStr"/>
      <c r="Q555" s="14" t="inlineStr"/>
      <c r="R555" s="39" t="inlineStr"/>
      <c r="S555" s="39" t="inlineStr"/>
      <c r="T555" s="39" t="inlineStr"/>
      <c r="U555" s="39" t="inlineStr"/>
      <c r="V555" s="34" t="inlineStr">
        <is>
          <t>WBS Code = 1.3.1</t>
        </is>
      </c>
      <c r="W555" s="14" t="inlineStr"/>
    </row>
    <row r="556" ht="34" customHeight="1">
      <c r="A556" s="34" t="inlineStr">
        <is>
          <t>1.3.1</t>
        </is>
      </c>
      <c r="B556" s="34" t="inlineStr">
        <is>
          <t>Systems - Traction Power</t>
        </is>
      </c>
      <c r="C556" s="34" t="inlineStr">
        <is>
          <t>Contractor Programme</t>
        </is>
      </c>
      <c r="D556" s="34" t="inlineStr">
        <is>
          <t>SCH-03-007</t>
        </is>
      </c>
      <c r="E556" s="34" t="inlineStr">
        <is>
          <t>Control Centre: traction-power feeder pull - release</t>
        </is>
      </c>
      <c r="F556" s="34" t="inlineStr">
        <is>
          <t>ONE_TO_ONE</t>
        </is>
      </c>
      <c r="G556" s="34" t="inlineStr">
        <is>
          <t>APPROVED</t>
        </is>
      </c>
      <c r="H556" s="34" t="inlineStr">
        <is>
          <t>New</t>
        </is>
      </c>
      <c r="I556" s="34" t="inlineStr">
        <is>
          <t>Source assignment -- not individually reviewed</t>
        </is>
      </c>
      <c r="J556" s="39" t="inlineStr"/>
      <c r="K556" s="34" t="inlineStr">
        <is>
          <t>Source assignment</t>
        </is>
      </c>
      <c r="L556" s="39" t="inlineStr"/>
      <c r="M556" s="34" t="inlineStr">
        <is>
          <t>Initial</t>
        </is>
      </c>
      <c r="N556" s="34" t="inlineStr">
        <is>
          <t>Rev 0</t>
        </is>
      </c>
      <c r="O556" s="34" t="inlineStr">
        <is>
          <t>R367-v1</t>
        </is>
      </c>
      <c r="P556" s="39" t="inlineStr"/>
      <c r="Q556" s="14" t="inlineStr"/>
      <c r="R556" s="39" t="inlineStr"/>
      <c r="S556" s="39" t="inlineStr"/>
      <c r="T556" s="39" t="inlineStr"/>
      <c r="U556" s="39" t="inlineStr"/>
      <c r="V556" s="34" t="inlineStr">
        <is>
          <t>WBS Code = 1.3.1</t>
        </is>
      </c>
      <c r="W556" s="14" t="inlineStr"/>
    </row>
    <row r="557" ht="34" customHeight="1">
      <c r="A557" s="34" t="inlineStr">
        <is>
          <t>1.3.1</t>
        </is>
      </c>
      <c r="B557" s="34" t="inlineStr">
        <is>
          <t>Systems - Traction Power</t>
        </is>
      </c>
      <c r="C557" s="34" t="inlineStr">
        <is>
          <t>Contractor Programme</t>
        </is>
      </c>
      <c r="D557" s="34" t="inlineStr">
        <is>
          <t>SCH-03-008</t>
        </is>
      </c>
      <c r="E557" s="34" t="inlineStr">
        <is>
          <t>West wayside: train-control cabinet fit-out - field start</t>
        </is>
      </c>
      <c r="F557" s="34" t="inlineStr">
        <is>
          <t>ONE_TO_ONE</t>
        </is>
      </c>
      <c r="G557" s="34" t="inlineStr">
        <is>
          <t>APPROVED</t>
        </is>
      </c>
      <c r="H557" s="34" t="inlineStr">
        <is>
          <t>New</t>
        </is>
      </c>
      <c r="I557" s="34" t="inlineStr">
        <is>
          <t>Source assignment -- not individually reviewed</t>
        </is>
      </c>
      <c r="J557" s="39" t="inlineStr"/>
      <c r="K557" s="34" t="inlineStr">
        <is>
          <t>Source assignment</t>
        </is>
      </c>
      <c r="L557" s="39" t="inlineStr"/>
      <c r="M557" s="34" t="inlineStr">
        <is>
          <t>Initial</t>
        </is>
      </c>
      <c r="N557" s="34" t="inlineStr">
        <is>
          <t>Rev 0</t>
        </is>
      </c>
      <c r="O557" s="34" t="inlineStr">
        <is>
          <t>R368-v1</t>
        </is>
      </c>
      <c r="P557" s="39" t="inlineStr"/>
      <c r="Q557" s="14" t="inlineStr"/>
      <c r="R557" s="39" t="inlineStr"/>
      <c r="S557" s="39" t="inlineStr"/>
      <c r="T557" s="39" t="inlineStr"/>
      <c r="U557" s="39" t="inlineStr"/>
      <c r="V557" s="34" t="inlineStr">
        <is>
          <t>WBS Code = 1.3.1</t>
        </is>
      </c>
      <c r="W557" s="14" t="inlineStr"/>
    </row>
    <row r="558" ht="34" customHeight="1">
      <c r="A558" s="34" t="inlineStr">
        <is>
          <t>1.3.1</t>
        </is>
      </c>
      <c r="B558" s="34" t="inlineStr">
        <is>
          <t>Systems - Traction Power</t>
        </is>
      </c>
      <c r="C558" s="34" t="inlineStr">
        <is>
          <t>Contractor Programme</t>
        </is>
      </c>
      <c r="D558" s="34" t="inlineStr">
        <is>
          <t>SCH-03-010</t>
        </is>
      </c>
      <c r="E558" s="34" t="inlineStr">
        <is>
          <t>Central interlocking: signal equipment installation - inspection</t>
        </is>
      </c>
      <c r="F558" s="34" t="inlineStr">
        <is>
          <t>ONE_TO_ONE</t>
        </is>
      </c>
      <c r="G558" s="34" t="inlineStr">
        <is>
          <t>APPROVED</t>
        </is>
      </c>
      <c r="H558" s="34" t="inlineStr">
        <is>
          <t>New</t>
        </is>
      </c>
      <c r="I558" s="34" t="inlineStr">
        <is>
          <t>Source assignment -- not individually reviewed</t>
        </is>
      </c>
      <c r="J558" s="39" t="inlineStr"/>
      <c r="K558" s="34" t="inlineStr">
        <is>
          <t>Source assignment</t>
        </is>
      </c>
      <c r="L558" s="39" t="inlineStr"/>
      <c r="M558" s="34" t="inlineStr">
        <is>
          <t>Initial</t>
        </is>
      </c>
      <c r="N558" s="34" t="inlineStr">
        <is>
          <t>Rev 0</t>
        </is>
      </c>
      <c r="O558" s="34" t="inlineStr">
        <is>
          <t>R370-v1</t>
        </is>
      </c>
      <c r="P558" s="39" t="inlineStr"/>
      <c r="Q558" s="14" t="inlineStr"/>
      <c r="R558" s="39" t="inlineStr"/>
      <c r="S558" s="39" t="inlineStr"/>
      <c r="T558" s="39" t="inlineStr"/>
      <c r="U558" s="39" t="inlineStr"/>
      <c r="V558" s="34" t="inlineStr">
        <is>
          <t>WBS Code = 1.3.1</t>
        </is>
      </c>
      <c r="W558" s="14" t="inlineStr"/>
    </row>
    <row r="559" ht="34" customHeight="1">
      <c r="A559" s="34" t="inlineStr">
        <is>
          <t>1.3.1</t>
        </is>
      </c>
      <c r="B559" s="34" t="inlineStr">
        <is>
          <t>Systems - Traction Power</t>
        </is>
      </c>
      <c r="C559" s="34" t="inlineStr">
        <is>
          <t>Contractor Programme</t>
        </is>
      </c>
      <c r="D559" s="34" t="inlineStr">
        <is>
          <t>SCH-03-011</t>
        </is>
      </c>
      <c r="E559" s="34" t="inlineStr">
        <is>
          <t>Harbour Station: radio equipment installation - turnover</t>
        </is>
      </c>
      <c r="F559" s="34" t="inlineStr">
        <is>
          <t>ONE_TO_ONE</t>
        </is>
      </c>
      <c r="G559" s="34" t="inlineStr">
        <is>
          <t>APPROVED</t>
        </is>
      </c>
      <c r="H559" s="34" t="inlineStr">
        <is>
          <t>New</t>
        </is>
      </c>
      <c r="I559" s="34" t="inlineStr">
        <is>
          <t>Source assignment -- not individually reviewed</t>
        </is>
      </c>
      <c r="J559" s="39" t="inlineStr"/>
      <c r="K559" s="34" t="inlineStr">
        <is>
          <t>Source assignment</t>
        </is>
      </c>
      <c r="L559" s="39" t="inlineStr"/>
      <c r="M559" s="34" t="inlineStr">
        <is>
          <t>Initial</t>
        </is>
      </c>
      <c r="N559" s="34" t="inlineStr">
        <is>
          <t>Rev 0</t>
        </is>
      </c>
      <c r="O559" s="34" t="inlineStr">
        <is>
          <t>R371-v1</t>
        </is>
      </c>
      <c r="P559" s="39" t="inlineStr"/>
      <c r="Q559" s="14" t="inlineStr"/>
      <c r="R559" s="39" t="inlineStr"/>
      <c r="S559" s="39" t="inlineStr"/>
      <c r="T559" s="39" t="inlineStr"/>
      <c r="U559" s="39" t="inlineStr"/>
      <c r="V559" s="34" t="inlineStr">
        <is>
          <t>WBS Code = 1.3.1</t>
        </is>
      </c>
      <c r="W559" s="14" t="inlineStr"/>
    </row>
    <row r="560" ht="34" customHeight="1">
      <c r="A560" s="34" t="inlineStr">
        <is>
          <t>1.3.1</t>
        </is>
      </c>
      <c r="B560" s="34" t="inlineStr">
        <is>
          <t>Systems - Traction Power</t>
        </is>
      </c>
      <c r="C560" s="34" t="inlineStr">
        <is>
          <t>Contractor Programme</t>
        </is>
      </c>
      <c r="D560" s="34" t="inlineStr">
        <is>
          <t>SCH-03-013</t>
        </is>
      </c>
      <c r="E560" s="34" t="inlineStr">
        <is>
          <t>West wayside: fibre backbone termination - field start</t>
        </is>
      </c>
      <c r="F560" s="34" t="inlineStr">
        <is>
          <t>ONE_TO_ONE</t>
        </is>
      </c>
      <c r="G560" s="34" t="inlineStr">
        <is>
          <t>APPROVED</t>
        </is>
      </c>
      <c r="H560" s="34" t="inlineStr">
        <is>
          <t>New</t>
        </is>
      </c>
      <c r="I560" s="34" t="inlineStr">
        <is>
          <t>Source assignment -- not individually reviewed</t>
        </is>
      </c>
      <c r="J560" s="39" t="inlineStr"/>
      <c r="K560" s="34" t="inlineStr">
        <is>
          <t>Source assignment</t>
        </is>
      </c>
      <c r="L560" s="39" t="inlineStr"/>
      <c r="M560" s="34" t="inlineStr">
        <is>
          <t>Initial</t>
        </is>
      </c>
      <c r="N560" s="34" t="inlineStr">
        <is>
          <t>Rev 0</t>
        </is>
      </c>
      <c r="O560" s="34" t="inlineStr">
        <is>
          <t>R373-v1</t>
        </is>
      </c>
      <c r="P560" s="39" t="inlineStr"/>
      <c r="Q560" s="14" t="inlineStr"/>
      <c r="R560" s="39" t="inlineStr"/>
      <c r="S560" s="39" t="inlineStr"/>
      <c r="T560" s="39" t="inlineStr"/>
      <c r="U560" s="39" t="inlineStr"/>
      <c r="V560" s="34" t="inlineStr">
        <is>
          <t>WBS Code = 1.3.1</t>
        </is>
      </c>
      <c r="W560" s="14" t="inlineStr"/>
    </row>
    <row r="561" ht="34" customHeight="1">
      <c r="A561" s="34" t="inlineStr">
        <is>
          <t>1.3.1</t>
        </is>
      </c>
      <c r="B561" s="34" t="inlineStr">
        <is>
          <t>Systems - Traction Power</t>
        </is>
      </c>
      <c r="C561" s="34" t="inlineStr">
        <is>
          <t>Contractor Programme</t>
        </is>
      </c>
      <c r="D561" s="34" t="inlineStr">
        <is>
          <t>SCH-03-014</t>
        </is>
      </c>
      <c r="E561" s="34" t="inlineStr">
        <is>
          <t>East substation: SCADA point-to-point check - installation</t>
        </is>
      </c>
      <c r="F561" s="34" t="inlineStr">
        <is>
          <t>ONE_TO_ONE</t>
        </is>
      </c>
      <c r="G561" s="34" t="inlineStr">
        <is>
          <t>APPROVED</t>
        </is>
      </c>
      <c r="H561" s="34" t="inlineStr">
        <is>
          <t>New</t>
        </is>
      </c>
      <c r="I561" s="34" t="inlineStr">
        <is>
          <t>Source assignment -- not individually reviewed</t>
        </is>
      </c>
      <c r="J561" s="39" t="inlineStr"/>
      <c r="K561" s="34" t="inlineStr">
        <is>
          <t>Source assignment</t>
        </is>
      </c>
      <c r="L561" s="39" t="inlineStr"/>
      <c r="M561" s="34" t="inlineStr">
        <is>
          <t>Initial</t>
        </is>
      </c>
      <c r="N561" s="34" t="inlineStr">
        <is>
          <t>Rev 0</t>
        </is>
      </c>
      <c r="O561" s="34" t="inlineStr">
        <is>
          <t>R374-v1</t>
        </is>
      </c>
      <c r="P561" s="39" t="inlineStr"/>
      <c r="Q561" s="14" t="inlineStr"/>
      <c r="R561" s="39" t="inlineStr"/>
      <c r="S561" s="39" t="inlineStr"/>
      <c r="T561" s="39" t="inlineStr"/>
      <c r="U561" s="39" t="inlineStr"/>
      <c r="V561" s="34" t="inlineStr">
        <is>
          <t>WBS Code = 1.3.1</t>
        </is>
      </c>
      <c r="W561" s="14" t="inlineStr"/>
    </row>
    <row r="562" ht="34" customHeight="1">
      <c r="A562" s="34" t="inlineStr">
        <is>
          <t>1.3.1</t>
        </is>
      </c>
      <c r="B562" s="34" t="inlineStr">
        <is>
          <t>Systems - Traction Power</t>
        </is>
      </c>
      <c r="C562" s="34" t="inlineStr">
        <is>
          <t>Contractor Programme</t>
        </is>
      </c>
      <c r="D562" s="34" t="inlineStr">
        <is>
          <t>SCH-03-016</t>
        </is>
      </c>
      <c r="E562" s="34" t="inlineStr">
        <is>
          <t>Harbour Station: train-control cabinet fit-out - turnover</t>
        </is>
      </c>
      <c r="F562" s="34" t="inlineStr">
        <is>
          <t>ONE_TO_ONE</t>
        </is>
      </c>
      <c r="G562" s="34" t="inlineStr">
        <is>
          <t>APPROVED</t>
        </is>
      </c>
      <c r="H562" s="34" t="inlineStr">
        <is>
          <t>New</t>
        </is>
      </c>
      <c r="I562" s="34" t="inlineStr">
        <is>
          <t>Source assignment -- not individually reviewed</t>
        </is>
      </c>
      <c r="J562" s="39" t="inlineStr"/>
      <c r="K562" s="34" t="inlineStr">
        <is>
          <t>Source assignment</t>
        </is>
      </c>
      <c r="L562" s="39" t="inlineStr"/>
      <c r="M562" s="34" t="inlineStr">
        <is>
          <t>Initial</t>
        </is>
      </c>
      <c r="N562" s="34" t="inlineStr">
        <is>
          <t>Rev 0</t>
        </is>
      </c>
      <c r="O562" s="34" t="inlineStr">
        <is>
          <t>R376-v1</t>
        </is>
      </c>
      <c r="P562" s="39" t="inlineStr"/>
      <c r="Q562" s="14" t="inlineStr"/>
      <c r="R562" s="39" t="inlineStr"/>
      <c r="S562" s="39" t="inlineStr"/>
      <c r="T562" s="39" t="inlineStr"/>
      <c r="U562" s="39" t="inlineStr"/>
      <c r="V562" s="34" t="inlineStr">
        <is>
          <t>WBS Code = 1.3.1</t>
        </is>
      </c>
      <c r="W562" s="14" t="inlineStr"/>
    </row>
    <row r="563" ht="34" customHeight="1">
      <c r="A563" s="34" t="inlineStr">
        <is>
          <t>1.3.1</t>
        </is>
      </c>
      <c r="B563" s="34" t="inlineStr">
        <is>
          <t>Systems - Traction Power</t>
        </is>
      </c>
      <c r="C563" s="34" t="inlineStr">
        <is>
          <t>Contractor Programme</t>
        </is>
      </c>
      <c r="D563" s="34" t="inlineStr">
        <is>
          <t>SCH-03-017</t>
        </is>
      </c>
      <c r="E563" s="34" t="inlineStr">
        <is>
          <t>Control Centre: wayside interface test - release</t>
        </is>
      </c>
      <c r="F563" s="34" t="inlineStr">
        <is>
          <t>ONE_TO_ONE</t>
        </is>
      </c>
      <c r="G563" s="34" t="inlineStr">
        <is>
          <t>APPROVED</t>
        </is>
      </c>
      <c r="H563" s="34" t="inlineStr">
        <is>
          <t>New</t>
        </is>
      </c>
      <c r="I563" s="34" t="inlineStr">
        <is>
          <t>Source assignment -- not individually reviewed</t>
        </is>
      </c>
      <c r="J563" s="39" t="inlineStr"/>
      <c r="K563" s="34" t="inlineStr">
        <is>
          <t>Source assignment</t>
        </is>
      </c>
      <c r="L563" s="39" t="inlineStr"/>
      <c r="M563" s="34" t="inlineStr">
        <is>
          <t>Initial</t>
        </is>
      </c>
      <c r="N563" s="34" t="inlineStr">
        <is>
          <t>Rev 0</t>
        </is>
      </c>
      <c r="O563" s="34" t="inlineStr">
        <is>
          <t>R377-v1</t>
        </is>
      </c>
      <c r="P563" s="39" t="inlineStr"/>
      <c r="Q563" s="14" t="inlineStr"/>
      <c r="R563" s="39" t="inlineStr"/>
      <c r="S563" s="39" t="inlineStr"/>
      <c r="T563" s="39" t="inlineStr"/>
      <c r="U563" s="39" t="inlineStr"/>
      <c r="V563" s="34" t="inlineStr">
        <is>
          <t>WBS Code = 1.3.1</t>
        </is>
      </c>
      <c r="W563" s="14" t="inlineStr"/>
    </row>
    <row r="564" ht="34" customHeight="1">
      <c r="A564" s="34" t="inlineStr">
        <is>
          <t>1.3.1</t>
        </is>
      </c>
      <c r="B564" s="34" t="inlineStr">
        <is>
          <t>Systems - Traction Power</t>
        </is>
      </c>
      <c r="C564" s="34" t="inlineStr">
        <is>
          <t>Contractor Programme</t>
        </is>
      </c>
      <c r="D564" s="34" t="inlineStr">
        <is>
          <t>SCH-03-019</t>
        </is>
      </c>
      <c r="E564" s="34" t="inlineStr">
        <is>
          <t>East substation: radio equipment installation - installation</t>
        </is>
      </c>
      <c r="F564" s="34" t="inlineStr">
        <is>
          <t>ONE_TO_ONE</t>
        </is>
      </c>
      <c r="G564" s="34" t="inlineStr">
        <is>
          <t>APPROVED</t>
        </is>
      </c>
      <c r="H564" s="34" t="inlineStr">
        <is>
          <t>New</t>
        </is>
      </c>
      <c r="I564" s="34" t="inlineStr">
        <is>
          <t>Source assignment -- not individually reviewed</t>
        </is>
      </c>
      <c r="J564" s="39" t="inlineStr"/>
      <c r="K564" s="34" t="inlineStr">
        <is>
          <t>Source assignment</t>
        </is>
      </c>
      <c r="L564" s="39" t="inlineStr"/>
      <c r="M564" s="34" t="inlineStr">
        <is>
          <t>Initial</t>
        </is>
      </c>
      <c r="N564" s="34" t="inlineStr">
        <is>
          <t>Rev 0</t>
        </is>
      </c>
      <c r="O564" s="34" t="inlineStr">
        <is>
          <t>R379-v1</t>
        </is>
      </c>
      <c r="P564" s="39" t="inlineStr"/>
      <c r="Q564" s="14" t="inlineStr"/>
      <c r="R564" s="39" t="inlineStr"/>
      <c r="S564" s="39" t="inlineStr"/>
      <c r="T564" s="39" t="inlineStr"/>
      <c r="U564" s="39" t="inlineStr"/>
      <c r="V564" s="34" t="inlineStr">
        <is>
          <t>WBS Code = 1.3.1</t>
        </is>
      </c>
      <c r="W564" s="14" t="inlineStr"/>
    </row>
    <row r="565" ht="34" customHeight="1">
      <c r="A565" s="34" t="inlineStr">
        <is>
          <t>1.3.1</t>
        </is>
      </c>
      <c r="B565" s="34" t="inlineStr">
        <is>
          <t>Systems - Traction Power</t>
        </is>
      </c>
      <c r="C565" s="34" t="inlineStr">
        <is>
          <t>Contractor Programme</t>
        </is>
      </c>
      <c r="D565" s="34" t="inlineStr">
        <is>
          <t>SCH-03-020</t>
        </is>
      </c>
      <c r="E565" s="34" t="inlineStr">
        <is>
          <t>Central interlocking: control-centre integration - inspection</t>
        </is>
      </c>
      <c r="F565" s="34" t="inlineStr">
        <is>
          <t>ONE_TO_ONE</t>
        </is>
      </c>
      <c r="G565" s="34" t="inlineStr">
        <is>
          <t>APPROVED</t>
        </is>
      </c>
      <c r="H565" s="34" t="inlineStr">
        <is>
          <t>New</t>
        </is>
      </c>
      <c r="I565" s="34" t="inlineStr">
        <is>
          <t>Source assignment -- not individually reviewed</t>
        </is>
      </c>
      <c r="J565" s="39" t="inlineStr"/>
      <c r="K565" s="34" t="inlineStr">
        <is>
          <t>Source assignment</t>
        </is>
      </c>
      <c r="L565" s="39" t="inlineStr"/>
      <c r="M565" s="34" t="inlineStr">
        <is>
          <t>Initial</t>
        </is>
      </c>
      <c r="N565" s="34" t="inlineStr">
        <is>
          <t>Rev 0</t>
        </is>
      </c>
      <c r="O565" s="34" t="inlineStr">
        <is>
          <t>R380-v1</t>
        </is>
      </c>
      <c r="P565" s="39" t="inlineStr"/>
      <c r="Q565" s="14" t="inlineStr"/>
      <c r="R565" s="39" t="inlineStr"/>
      <c r="S565" s="39" t="inlineStr"/>
      <c r="T565" s="39" t="inlineStr"/>
      <c r="U565" s="39" t="inlineStr"/>
      <c r="V565" s="34" t="inlineStr">
        <is>
          <t>WBS Code = 1.3.1</t>
        </is>
      </c>
      <c r="W565" s="14" t="inlineStr"/>
    </row>
    <row r="566" ht="34" customHeight="1">
      <c r="A566" s="34" t="inlineStr">
        <is>
          <t>1.3.1</t>
        </is>
      </c>
      <c r="B566" s="34" t="inlineStr">
        <is>
          <t>Systems - Traction Power</t>
        </is>
      </c>
      <c r="C566" s="34" t="inlineStr">
        <is>
          <t>Contractor Programme</t>
        </is>
      </c>
      <c r="D566" s="34" t="inlineStr">
        <is>
          <t>SCH-03-022</t>
        </is>
      </c>
      <c r="E566" s="34" t="inlineStr">
        <is>
          <t>Control Centre: SCADA point-to-point check - release</t>
        </is>
      </c>
      <c r="F566" s="34" t="inlineStr">
        <is>
          <t>ONE_TO_ONE</t>
        </is>
      </c>
      <c r="G566" s="34" t="inlineStr">
        <is>
          <t>APPROVED</t>
        </is>
      </c>
      <c r="H566" s="34" t="inlineStr">
        <is>
          <t>New</t>
        </is>
      </c>
      <c r="I566" s="34" t="inlineStr">
        <is>
          <t>Source assignment -- not individually reviewed</t>
        </is>
      </c>
      <c r="J566" s="39" t="inlineStr"/>
      <c r="K566" s="34" t="inlineStr">
        <is>
          <t>Source assignment</t>
        </is>
      </c>
      <c r="L566" s="39" t="inlineStr"/>
      <c r="M566" s="34" t="inlineStr">
        <is>
          <t>Initial</t>
        </is>
      </c>
      <c r="N566" s="34" t="inlineStr">
        <is>
          <t>Rev 0</t>
        </is>
      </c>
      <c r="O566" s="34" t="inlineStr">
        <is>
          <t>R382-v1</t>
        </is>
      </c>
      <c r="P566" s="39" t="inlineStr"/>
      <c r="Q566" s="14" t="inlineStr"/>
      <c r="R566" s="39" t="inlineStr"/>
      <c r="S566" s="39" t="inlineStr"/>
      <c r="T566" s="39" t="inlineStr"/>
      <c r="U566" s="39" t="inlineStr"/>
      <c r="V566" s="34" t="inlineStr">
        <is>
          <t>WBS Code = 1.3.1</t>
        </is>
      </c>
      <c r="W566" s="14" t="inlineStr"/>
    </row>
    <row r="567" ht="34" customHeight="1">
      <c r="A567" s="34" t="inlineStr">
        <is>
          <t>1.3.1</t>
        </is>
      </c>
      <c r="B567" s="34" t="inlineStr">
        <is>
          <t>Systems - Traction Power</t>
        </is>
      </c>
      <c r="C567" s="34" t="inlineStr">
        <is>
          <t>Contractor Programme</t>
        </is>
      </c>
      <c r="D567" s="34" t="inlineStr">
        <is>
          <t>SCH-03-023</t>
        </is>
      </c>
      <c r="E567" s="34" t="inlineStr">
        <is>
          <t>West wayside: traction-power feeder pull - field start</t>
        </is>
      </c>
      <c r="F567" s="34" t="inlineStr">
        <is>
          <t>ONE_TO_ONE</t>
        </is>
      </c>
      <c r="G567" s="34" t="inlineStr">
        <is>
          <t>APPROVED</t>
        </is>
      </c>
      <c r="H567" s="34" t="inlineStr">
        <is>
          <t>New</t>
        </is>
      </c>
      <c r="I567" s="34" t="inlineStr">
        <is>
          <t>Source assignment -- not individually reviewed</t>
        </is>
      </c>
      <c r="J567" s="39" t="inlineStr"/>
      <c r="K567" s="34" t="inlineStr">
        <is>
          <t>Source assignment</t>
        </is>
      </c>
      <c r="L567" s="39" t="inlineStr"/>
      <c r="M567" s="34" t="inlineStr">
        <is>
          <t>Initial</t>
        </is>
      </c>
      <c r="N567" s="34" t="inlineStr">
        <is>
          <t>Rev 0</t>
        </is>
      </c>
      <c r="O567" s="34" t="inlineStr">
        <is>
          <t>R383-v1</t>
        </is>
      </c>
      <c r="P567" s="39" t="inlineStr"/>
      <c r="Q567" s="14" t="inlineStr"/>
      <c r="R567" s="39" t="inlineStr"/>
      <c r="S567" s="39" t="inlineStr"/>
      <c r="T567" s="39" t="inlineStr"/>
      <c r="U567" s="39" t="inlineStr"/>
      <c r="V567" s="34" t="inlineStr">
        <is>
          <t>WBS Code = 1.3.1</t>
        </is>
      </c>
      <c r="W567" s="14" t="inlineStr"/>
    </row>
    <row r="568" ht="34" customHeight="1">
      <c r="A568" s="34" t="inlineStr">
        <is>
          <t>1.3.1</t>
        </is>
      </c>
      <c r="B568" s="34" t="inlineStr">
        <is>
          <t>Systems - Traction Power</t>
        </is>
      </c>
      <c r="C568" s="34" t="inlineStr">
        <is>
          <t>Contractor Programme</t>
        </is>
      </c>
      <c r="D568" s="34" t="inlineStr">
        <is>
          <t>SCH-03-025</t>
        </is>
      </c>
      <c r="E568" s="34" t="inlineStr">
        <is>
          <t>Central interlocking: wayside interface test - inspection</t>
        </is>
      </c>
      <c r="F568" s="34" t="inlineStr">
        <is>
          <t>ONE_TO_ONE</t>
        </is>
      </c>
      <c r="G568" s="34" t="inlineStr">
        <is>
          <t>APPROVED</t>
        </is>
      </c>
      <c r="H568" s="34" t="inlineStr">
        <is>
          <t>New</t>
        </is>
      </c>
      <c r="I568" s="34" t="inlineStr">
        <is>
          <t>Source assignment -- not individually reviewed</t>
        </is>
      </c>
      <c r="J568" s="39" t="inlineStr"/>
      <c r="K568" s="34" t="inlineStr">
        <is>
          <t>Source assignment</t>
        </is>
      </c>
      <c r="L568" s="39" t="inlineStr"/>
      <c r="M568" s="34" t="inlineStr">
        <is>
          <t>Initial</t>
        </is>
      </c>
      <c r="N568" s="34" t="inlineStr">
        <is>
          <t>Rev 0</t>
        </is>
      </c>
      <c r="O568" s="34" t="inlineStr">
        <is>
          <t>R385-v1</t>
        </is>
      </c>
      <c r="P568" s="39" t="inlineStr"/>
      <c r="Q568" s="14" t="inlineStr"/>
      <c r="R568" s="39" t="inlineStr"/>
      <c r="S568" s="39" t="inlineStr"/>
      <c r="T568" s="39" t="inlineStr"/>
      <c r="U568" s="39" t="inlineStr"/>
      <c r="V568" s="34" t="inlineStr">
        <is>
          <t>WBS Code = 1.3.1</t>
        </is>
      </c>
      <c r="W568" s="14" t="inlineStr"/>
    </row>
    <row r="569" ht="34" customHeight="1">
      <c r="A569" s="34" t="inlineStr">
        <is>
          <t>1.3.1</t>
        </is>
      </c>
      <c r="B569" s="34" t="inlineStr">
        <is>
          <t>Systems - Traction Power</t>
        </is>
      </c>
      <c r="C569" s="34" t="inlineStr">
        <is>
          <t>Contractor Programme</t>
        </is>
      </c>
      <c r="D569" s="34" t="inlineStr">
        <is>
          <t>SCH-03-026</t>
        </is>
      </c>
      <c r="E569" s="34" t="inlineStr">
        <is>
          <t>Harbour Station: signal equipment installation - turnover</t>
        </is>
      </c>
      <c r="F569" s="34" t="inlineStr">
        <is>
          <t>ONE_TO_ONE</t>
        </is>
      </c>
      <c r="G569" s="34" t="inlineStr">
        <is>
          <t>APPROVED</t>
        </is>
      </c>
      <c r="H569" s="34" t="inlineStr">
        <is>
          <t>New</t>
        </is>
      </c>
      <c r="I569" s="34" t="inlineStr">
        <is>
          <t>Source assignment -- not individually reviewed</t>
        </is>
      </c>
      <c r="J569" s="39" t="inlineStr"/>
      <c r="K569" s="34" t="inlineStr">
        <is>
          <t>Source assignment</t>
        </is>
      </c>
      <c r="L569" s="39" t="inlineStr"/>
      <c r="M569" s="34" t="inlineStr">
        <is>
          <t>Initial</t>
        </is>
      </c>
      <c r="N569" s="34" t="inlineStr">
        <is>
          <t>Rev 0</t>
        </is>
      </c>
      <c r="O569" s="34" t="inlineStr">
        <is>
          <t>R386-v1</t>
        </is>
      </c>
      <c r="P569" s="39" t="inlineStr"/>
      <c r="Q569" s="14" t="inlineStr"/>
      <c r="R569" s="39" t="inlineStr"/>
      <c r="S569" s="39" t="inlineStr"/>
      <c r="T569" s="39" t="inlineStr"/>
      <c r="U569" s="39" t="inlineStr"/>
      <c r="V569" s="34" t="inlineStr">
        <is>
          <t>WBS Code = 1.3.1</t>
        </is>
      </c>
      <c r="W569" s="14" t="inlineStr"/>
    </row>
    <row r="570" ht="34" customHeight="1">
      <c r="A570" s="34" t="inlineStr">
        <is>
          <t>1.3.1</t>
        </is>
      </c>
      <c r="B570" s="34" t="inlineStr">
        <is>
          <t>Systems - Traction Power</t>
        </is>
      </c>
      <c r="C570" s="34" t="inlineStr">
        <is>
          <t>Contractor Programme</t>
        </is>
      </c>
      <c r="D570" s="34" t="inlineStr">
        <is>
          <t>SCH-03-028</t>
        </is>
      </c>
      <c r="E570" s="34" t="inlineStr">
        <is>
          <t>West wayside: control-centre integration - field start</t>
        </is>
      </c>
      <c r="F570" s="34" t="inlineStr">
        <is>
          <t>ONE_TO_ONE</t>
        </is>
      </c>
      <c r="G570" s="34" t="inlineStr">
        <is>
          <t>APPROVED</t>
        </is>
      </c>
      <c r="H570" s="34" t="inlineStr">
        <is>
          <t>New</t>
        </is>
      </c>
      <c r="I570" s="34" t="inlineStr">
        <is>
          <t>Source assignment -- not individually reviewed</t>
        </is>
      </c>
      <c r="J570" s="39" t="inlineStr"/>
      <c r="K570" s="34" t="inlineStr">
        <is>
          <t>Source assignment</t>
        </is>
      </c>
      <c r="L570" s="39" t="inlineStr"/>
      <c r="M570" s="34" t="inlineStr">
        <is>
          <t>Initial</t>
        </is>
      </c>
      <c r="N570" s="34" t="inlineStr">
        <is>
          <t>Rev 0</t>
        </is>
      </c>
      <c r="O570" s="34" t="inlineStr">
        <is>
          <t>R388-v1</t>
        </is>
      </c>
      <c r="P570" s="39" t="inlineStr"/>
      <c r="Q570" s="14" t="inlineStr"/>
      <c r="R570" s="39" t="inlineStr"/>
      <c r="S570" s="39" t="inlineStr"/>
      <c r="T570" s="39" t="inlineStr"/>
      <c r="U570" s="39" t="inlineStr"/>
      <c r="V570" s="34" t="inlineStr">
        <is>
          <t>WBS Code = 1.3.1</t>
        </is>
      </c>
      <c r="W570" s="14" t="inlineStr"/>
    </row>
    <row r="571" ht="34" customHeight="1">
      <c r="A571" s="34" t="inlineStr">
        <is>
          <t>1.3.1</t>
        </is>
      </c>
      <c r="B571" s="34" t="inlineStr">
        <is>
          <t>Systems - Traction Power</t>
        </is>
      </c>
      <c r="C571" s="34" t="inlineStr">
        <is>
          <t>Contractor Programme</t>
        </is>
      </c>
      <c r="D571" s="34" t="inlineStr">
        <is>
          <t>SCH-03-029</t>
        </is>
      </c>
      <c r="E571" s="34" t="inlineStr">
        <is>
          <t>East substation: fibre backbone termination - installation</t>
        </is>
      </c>
      <c r="F571" s="34" t="inlineStr">
        <is>
          <t>ONE_TO_ONE</t>
        </is>
      </c>
      <c r="G571" s="34" t="inlineStr">
        <is>
          <t>APPROVED</t>
        </is>
      </c>
      <c r="H571" s="34" t="inlineStr">
        <is>
          <t>New</t>
        </is>
      </c>
      <c r="I571" s="34" t="inlineStr">
        <is>
          <t>Source assignment -- not individually reviewed</t>
        </is>
      </c>
      <c r="J571" s="39" t="inlineStr"/>
      <c r="K571" s="34" t="inlineStr">
        <is>
          <t>Source assignment</t>
        </is>
      </c>
      <c r="L571" s="39" t="inlineStr"/>
      <c r="M571" s="34" t="inlineStr">
        <is>
          <t>Initial</t>
        </is>
      </c>
      <c r="N571" s="34" t="inlineStr">
        <is>
          <t>Rev 0</t>
        </is>
      </c>
      <c r="O571" s="34" t="inlineStr">
        <is>
          <t>R389-v1</t>
        </is>
      </c>
      <c r="P571" s="39" t="inlineStr"/>
      <c r="Q571" s="14" t="inlineStr"/>
      <c r="R571" s="39" t="inlineStr"/>
      <c r="S571" s="39" t="inlineStr"/>
      <c r="T571" s="39" t="inlineStr"/>
      <c r="U571" s="39" t="inlineStr"/>
      <c r="V571" s="34" t="inlineStr">
        <is>
          <t>WBS Code = 1.3.1</t>
        </is>
      </c>
      <c r="W571" s="14" t="inlineStr"/>
    </row>
    <row r="572" ht="34" customHeight="1">
      <c r="A572" s="34" t="inlineStr">
        <is>
          <t>1.3.1</t>
        </is>
      </c>
      <c r="B572" s="34" t="inlineStr">
        <is>
          <t>Systems - Traction Power</t>
        </is>
      </c>
      <c r="C572" s="34" t="inlineStr">
        <is>
          <t>Contractor Programme</t>
        </is>
      </c>
      <c r="D572" s="34" t="inlineStr">
        <is>
          <t>SCH-03-031</t>
        </is>
      </c>
      <c r="E572" s="34" t="inlineStr">
        <is>
          <t>Harbour Station: traction-power feeder pull - turnover</t>
        </is>
      </c>
      <c r="F572" s="34" t="inlineStr">
        <is>
          <t>ONE_TO_ONE</t>
        </is>
      </c>
      <c r="G572" s="34" t="inlineStr">
        <is>
          <t>APPROVED</t>
        </is>
      </c>
      <c r="H572" s="34" t="inlineStr">
        <is>
          <t>New</t>
        </is>
      </c>
      <c r="I572" s="34" t="inlineStr">
        <is>
          <t>Source assignment -- not individually reviewed</t>
        </is>
      </c>
      <c r="J572" s="39" t="inlineStr"/>
      <c r="K572" s="34" t="inlineStr">
        <is>
          <t>Source assignment</t>
        </is>
      </c>
      <c r="L572" s="39" t="inlineStr"/>
      <c r="M572" s="34" t="inlineStr">
        <is>
          <t>Initial</t>
        </is>
      </c>
      <c r="N572" s="34" t="inlineStr">
        <is>
          <t>Rev 0</t>
        </is>
      </c>
      <c r="O572" s="34" t="inlineStr">
        <is>
          <t>R391-v1</t>
        </is>
      </c>
      <c r="P572" s="39" t="inlineStr"/>
      <c r="Q572" s="14" t="inlineStr"/>
      <c r="R572" s="39" t="inlineStr"/>
      <c r="S572" s="39" t="inlineStr"/>
      <c r="T572" s="39" t="inlineStr"/>
      <c r="U572" s="39" t="inlineStr"/>
      <c r="V572" s="34" t="inlineStr">
        <is>
          <t>WBS Code = 1.3.1</t>
        </is>
      </c>
      <c r="W572" s="14" t="inlineStr"/>
    </row>
    <row r="573" ht="34" customHeight="1">
      <c r="A573" s="34" t="inlineStr">
        <is>
          <t>1.3.1</t>
        </is>
      </c>
      <c r="B573" s="34" t="inlineStr">
        <is>
          <t>Systems - Traction Power</t>
        </is>
      </c>
      <c r="C573" s="34" t="inlineStr">
        <is>
          <t>Contractor Programme</t>
        </is>
      </c>
      <c r="D573" s="34" t="inlineStr">
        <is>
          <t>SCH-03-032</t>
        </is>
      </c>
      <c r="E573" s="34" t="inlineStr">
        <is>
          <t>Control Centre: train-control cabinet fit-out - release</t>
        </is>
      </c>
      <c r="F573" s="34" t="inlineStr">
        <is>
          <t>ONE_TO_ONE</t>
        </is>
      </c>
      <c r="G573" s="34" t="inlineStr">
        <is>
          <t>APPROVED</t>
        </is>
      </c>
      <c r="H573" s="34" t="inlineStr">
        <is>
          <t>New</t>
        </is>
      </c>
      <c r="I573" s="34" t="inlineStr">
        <is>
          <t>Source assignment -- not individually reviewed</t>
        </is>
      </c>
      <c r="J573" s="39" t="inlineStr"/>
      <c r="K573" s="34" t="inlineStr">
        <is>
          <t>Source assignment</t>
        </is>
      </c>
      <c r="L573" s="39" t="inlineStr"/>
      <c r="M573" s="34" t="inlineStr">
        <is>
          <t>Initial</t>
        </is>
      </c>
      <c r="N573" s="34" t="inlineStr">
        <is>
          <t>Rev 0</t>
        </is>
      </c>
      <c r="O573" s="34" t="inlineStr">
        <is>
          <t>R392-v1</t>
        </is>
      </c>
      <c r="P573" s="39" t="inlineStr"/>
      <c r="Q573" s="14" t="inlineStr"/>
      <c r="R573" s="39" t="inlineStr"/>
      <c r="S573" s="39" t="inlineStr"/>
      <c r="T573" s="39" t="inlineStr"/>
      <c r="U573" s="39" t="inlineStr"/>
      <c r="V573" s="34" t="inlineStr">
        <is>
          <t>WBS Code = 1.3.1</t>
        </is>
      </c>
      <c r="W573" s="14" t="inlineStr"/>
    </row>
    <row r="574" ht="34" customHeight="1">
      <c r="A574" s="34" t="inlineStr">
        <is>
          <t>1.3.1</t>
        </is>
      </c>
      <c r="B574" s="34" t="inlineStr">
        <is>
          <t>Systems - Traction Power</t>
        </is>
      </c>
      <c r="C574" s="34" t="inlineStr">
        <is>
          <t>Contractor Programme</t>
        </is>
      </c>
      <c r="D574" s="34" t="inlineStr">
        <is>
          <t>SCH-03-034</t>
        </is>
      </c>
      <c r="E574" s="34" t="inlineStr">
        <is>
          <t>East substation: signal equipment installation - installation</t>
        </is>
      </c>
      <c r="F574" s="34" t="inlineStr">
        <is>
          <t>ONE_TO_ONE</t>
        </is>
      </c>
      <c r="G574" s="34" t="inlineStr">
        <is>
          <t>APPROVED</t>
        </is>
      </c>
      <c r="H574" s="34" t="inlineStr">
        <is>
          <t>New</t>
        </is>
      </c>
      <c r="I574" s="34" t="inlineStr">
        <is>
          <t>Source assignment -- not individually reviewed</t>
        </is>
      </c>
      <c r="J574" s="39" t="inlineStr"/>
      <c r="K574" s="34" t="inlineStr">
        <is>
          <t>Source assignment</t>
        </is>
      </c>
      <c r="L574" s="39" t="inlineStr"/>
      <c r="M574" s="34" t="inlineStr">
        <is>
          <t>Initial</t>
        </is>
      </c>
      <c r="N574" s="34" t="inlineStr">
        <is>
          <t>Rev 0</t>
        </is>
      </c>
      <c r="O574" s="34" t="inlineStr">
        <is>
          <t>R394-v1</t>
        </is>
      </c>
      <c r="P574" s="39" t="inlineStr"/>
      <c r="Q574" s="14" t="inlineStr"/>
      <c r="R574" s="39" t="inlineStr"/>
      <c r="S574" s="39" t="inlineStr"/>
      <c r="T574" s="39" t="inlineStr"/>
      <c r="U574" s="39" t="inlineStr"/>
      <c r="V574" s="34" t="inlineStr">
        <is>
          <t>WBS Code = 1.3.1</t>
        </is>
      </c>
      <c r="W574" s="14" t="inlineStr"/>
    </row>
    <row r="575" ht="34" customHeight="1">
      <c r="A575" s="34" t="inlineStr">
        <is>
          <t>1.3.1</t>
        </is>
      </c>
      <c r="B575" s="34" t="inlineStr">
        <is>
          <t>Systems - Traction Power</t>
        </is>
      </c>
      <c r="C575" s="34" t="inlineStr">
        <is>
          <t>Contractor Programme</t>
        </is>
      </c>
      <c r="D575" s="34" t="inlineStr">
        <is>
          <t>SCH-03-035</t>
        </is>
      </c>
      <c r="E575" s="34" t="inlineStr">
        <is>
          <t>Central interlocking: radio equipment installation - inspection</t>
        </is>
      </c>
      <c r="F575" s="34" t="inlineStr">
        <is>
          <t>ONE_TO_ONE</t>
        </is>
      </c>
      <c r="G575" s="34" t="inlineStr">
        <is>
          <t>APPROVED</t>
        </is>
      </c>
      <c r="H575" s="34" t="inlineStr">
        <is>
          <t>New</t>
        </is>
      </c>
      <c r="I575" s="34" t="inlineStr">
        <is>
          <t>Source assignment -- not individually reviewed</t>
        </is>
      </c>
      <c r="J575" s="39" t="inlineStr"/>
      <c r="K575" s="34" t="inlineStr">
        <is>
          <t>Source assignment</t>
        </is>
      </c>
      <c r="L575" s="39" t="inlineStr"/>
      <c r="M575" s="34" t="inlineStr">
        <is>
          <t>Initial</t>
        </is>
      </c>
      <c r="N575" s="34" t="inlineStr">
        <is>
          <t>Rev 0</t>
        </is>
      </c>
      <c r="O575" s="34" t="inlineStr">
        <is>
          <t>R395-v1</t>
        </is>
      </c>
      <c r="P575" s="39" t="inlineStr"/>
      <c r="Q575" s="14" t="inlineStr"/>
      <c r="R575" s="39" t="inlineStr"/>
      <c r="S575" s="39" t="inlineStr"/>
      <c r="T575" s="39" t="inlineStr"/>
      <c r="U575" s="39" t="inlineStr"/>
      <c r="V575" s="34" t="inlineStr">
        <is>
          <t>WBS Code = 1.3.1</t>
        </is>
      </c>
      <c r="W575" s="14" t="inlineStr"/>
    </row>
    <row r="576" ht="34" customHeight="1">
      <c r="A576" s="34" t="inlineStr">
        <is>
          <t>1.3.1</t>
        </is>
      </c>
      <c r="B576" s="34" t="inlineStr">
        <is>
          <t>Systems - Traction Power</t>
        </is>
      </c>
      <c r="C576" s="34" t="inlineStr">
        <is>
          <t>Contractor Programme</t>
        </is>
      </c>
      <c r="D576" s="34" t="inlineStr">
        <is>
          <t>SCH-03-037</t>
        </is>
      </c>
      <c r="E576" s="34" t="inlineStr">
        <is>
          <t>Control Centre: fibre backbone termination - release</t>
        </is>
      </c>
      <c r="F576" s="34" t="inlineStr">
        <is>
          <t>ONE_TO_ONE</t>
        </is>
      </c>
      <c r="G576" s="34" t="inlineStr">
        <is>
          <t>APPROVED</t>
        </is>
      </c>
      <c r="H576" s="34" t="inlineStr">
        <is>
          <t>New</t>
        </is>
      </c>
      <c r="I576" s="34" t="inlineStr">
        <is>
          <t>Source assignment -- not individually reviewed</t>
        </is>
      </c>
      <c r="J576" s="39" t="inlineStr"/>
      <c r="K576" s="34" t="inlineStr">
        <is>
          <t>Source assignment</t>
        </is>
      </c>
      <c r="L576" s="39" t="inlineStr"/>
      <c r="M576" s="34" t="inlineStr">
        <is>
          <t>Initial</t>
        </is>
      </c>
      <c r="N576" s="34" t="inlineStr">
        <is>
          <t>Rev 0</t>
        </is>
      </c>
      <c r="O576" s="34" t="inlineStr">
        <is>
          <t>R397-v1</t>
        </is>
      </c>
      <c r="P576" s="39" t="inlineStr"/>
      <c r="Q576" s="14" t="inlineStr"/>
      <c r="R576" s="39" t="inlineStr"/>
      <c r="S576" s="39" t="inlineStr"/>
      <c r="T576" s="39" t="inlineStr"/>
      <c r="U576" s="39" t="inlineStr"/>
      <c r="V576" s="34" t="inlineStr">
        <is>
          <t>WBS Code = 1.3.1</t>
        </is>
      </c>
      <c r="W576" s="14" t="inlineStr"/>
    </row>
    <row r="577" ht="34" customHeight="1">
      <c r="A577" s="34" t="inlineStr">
        <is>
          <t>1.3.1</t>
        </is>
      </c>
      <c r="B577" s="34" t="inlineStr">
        <is>
          <t>Systems - Traction Power</t>
        </is>
      </c>
      <c r="C577" s="34" t="inlineStr">
        <is>
          <t>Contractor Programme</t>
        </is>
      </c>
      <c r="D577" s="34" t="inlineStr">
        <is>
          <t>SCH-03-038</t>
        </is>
      </c>
      <c r="E577" s="34" t="inlineStr">
        <is>
          <t>West wayside: SCADA point-to-point check - field start</t>
        </is>
      </c>
      <c r="F577" s="34" t="inlineStr">
        <is>
          <t>ONE_TO_ONE</t>
        </is>
      </c>
      <c r="G577" s="34" t="inlineStr">
        <is>
          <t>APPROVED</t>
        </is>
      </c>
      <c r="H577" s="34" t="inlineStr">
        <is>
          <t>New</t>
        </is>
      </c>
      <c r="I577" s="34" t="inlineStr">
        <is>
          <t>Source assignment -- not individually reviewed</t>
        </is>
      </c>
      <c r="J577" s="39" t="inlineStr"/>
      <c r="K577" s="34" t="inlineStr">
        <is>
          <t>Source assignment</t>
        </is>
      </c>
      <c r="L577" s="39" t="inlineStr"/>
      <c r="M577" s="34" t="inlineStr">
        <is>
          <t>Initial</t>
        </is>
      </c>
      <c r="N577" s="34" t="inlineStr">
        <is>
          <t>Rev 0</t>
        </is>
      </c>
      <c r="O577" s="34" t="inlineStr">
        <is>
          <t>R398-v1</t>
        </is>
      </c>
      <c r="P577" s="39" t="inlineStr"/>
      <c r="Q577" s="14" t="inlineStr"/>
      <c r="R577" s="39" t="inlineStr"/>
      <c r="S577" s="39" t="inlineStr"/>
      <c r="T577" s="39" t="inlineStr"/>
      <c r="U577" s="39" t="inlineStr"/>
      <c r="V577" s="34" t="inlineStr">
        <is>
          <t>WBS Code = 1.3.1</t>
        </is>
      </c>
      <c r="W577" s="14" t="inlineStr"/>
    </row>
    <row r="578" ht="34" customHeight="1">
      <c r="A578" s="34" t="inlineStr">
        <is>
          <t>1.3.1</t>
        </is>
      </c>
      <c r="B578" s="34" t="inlineStr">
        <is>
          <t>Systems - Traction Power</t>
        </is>
      </c>
      <c r="C578" s="34" t="inlineStr">
        <is>
          <t>Contractor Programme</t>
        </is>
      </c>
      <c r="D578" s="34" t="inlineStr">
        <is>
          <t>SCH-03-040</t>
        </is>
      </c>
      <c r="E578" s="34" t="inlineStr">
        <is>
          <t>Central interlocking: train-control cabinet fit-out - inspection</t>
        </is>
      </c>
      <c r="F578" s="34" t="inlineStr">
        <is>
          <t>ONE_TO_ONE</t>
        </is>
      </c>
      <c r="G578" s="34" t="inlineStr">
        <is>
          <t>APPROVED</t>
        </is>
      </c>
      <c r="H578" s="34" t="inlineStr">
        <is>
          <t>New</t>
        </is>
      </c>
      <c r="I578" s="34" t="inlineStr">
        <is>
          <t>Source assignment -- not individually reviewed</t>
        </is>
      </c>
      <c r="J578" s="39" t="inlineStr"/>
      <c r="K578" s="34" t="inlineStr">
        <is>
          <t>Source assignment</t>
        </is>
      </c>
      <c r="L578" s="39" t="inlineStr"/>
      <c r="M578" s="34" t="inlineStr">
        <is>
          <t>Initial</t>
        </is>
      </c>
      <c r="N578" s="34" t="inlineStr">
        <is>
          <t>Rev 0</t>
        </is>
      </c>
      <c r="O578" s="34" t="inlineStr">
        <is>
          <t>R400-v1</t>
        </is>
      </c>
      <c r="P578" s="39" t="inlineStr"/>
      <c r="Q578" s="14" t="inlineStr"/>
      <c r="R578" s="39" t="inlineStr"/>
      <c r="S578" s="39" t="inlineStr"/>
      <c r="T578" s="39" t="inlineStr"/>
      <c r="U578" s="39" t="inlineStr"/>
      <c r="V578" s="34" t="inlineStr">
        <is>
          <t>WBS Code = 1.3.1</t>
        </is>
      </c>
      <c r="W578" s="14" t="inlineStr"/>
    </row>
    <row r="579" ht="34" customHeight="1">
      <c r="A579" s="34" t="inlineStr">
        <is>
          <t>1.3.1</t>
        </is>
      </c>
      <c r="B579" s="34" t="inlineStr">
        <is>
          <t>Systems - Traction Power</t>
        </is>
      </c>
      <c r="C579" s="34" t="inlineStr">
        <is>
          <t>Contractor Programme</t>
        </is>
      </c>
      <c r="D579" s="34" t="inlineStr">
        <is>
          <t>SCH-03-041</t>
        </is>
      </c>
      <c r="E579" s="34" t="inlineStr">
        <is>
          <t>Harbour Station: wayside interface test - turnover</t>
        </is>
      </c>
      <c r="F579" s="34" t="inlineStr">
        <is>
          <t>ONE_TO_ONE</t>
        </is>
      </c>
      <c r="G579" s="34" t="inlineStr">
        <is>
          <t>APPROVED</t>
        </is>
      </c>
      <c r="H579" s="34" t="inlineStr">
        <is>
          <t>New</t>
        </is>
      </c>
      <c r="I579" s="34" t="inlineStr">
        <is>
          <t>Source assignment -- not individually reviewed</t>
        </is>
      </c>
      <c r="J579" s="39" t="inlineStr"/>
      <c r="K579" s="34" t="inlineStr">
        <is>
          <t>Source assignment</t>
        </is>
      </c>
      <c r="L579" s="39" t="inlineStr"/>
      <c r="M579" s="34" t="inlineStr">
        <is>
          <t>Initial</t>
        </is>
      </c>
      <c r="N579" s="34" t="inlineStr">
        <is>
          <t>Rev 0</t>
        </is>
      </c>
      <c r="O579" s="34" t="inlineStr">
        <is>
          <t>R401-v1</t>
        </is>
      </c>
      <c r="P579" s="39" t="inlineStr"/>
      <c r="Q579" s="14" t="inlineStr"/>
      <c r="R579" s="39" t="inlineStr"/>
      <c r="S579" s="39" t="inlineStr"/>
      <c r="T579" s="39" t="inlineStr"/>
      <c r="U579" s="39" t="inlineStr"/>
      <c r="V579" s="34" t="inlineStr">
        <is>
          <t>WBS Code = 1.3.1</t>
        </is>
      </c>
      <c r="W579" s="14" t="inlineStr"/>
    </row>
    <row r="580" ht="34" customHeight="1">
      <c r="A580" s="34" t="inlineStr">
        <is>
          <t>1.3.1</t>
        </is>
      </c>
      <c r="B580" s="34" t="inlineStr">
        <is>
          <t>Systems - Traction Power</t>
        </is>
      </c>
      <c r="C580" s="34" t="inlineStr">
        <is>
          <t>Contractor Programme</t>
        </is>
      </c>
      <c r="D580" s="34" t="inlineStr">
        <is>
          <t>SCH-03-043</t>
        </is>
      </c>
      <c r="E580" s="34" t="inlineStr">
        <is>
          <t>West wayside: radio equipment installation - field start</t>
        </is>
      </c>
      <c r="F580" s="34" t="inlineStr">
        <is>
          <t>ONE_TO_ONE</t>
        </is>
      </c>
      <c r="G580" s="34" t="inlineStr">
        <is>
          <t>APPROVED</t>
        </is>
      </c>
      <c r="H580" s="34" t="inlineStr">
        <is>
          <t>New</t>
        </is>
      </c>
      <c r="I580" s="34" t="inlineStr">
        <is>
          <t>Source assignment -- not individually reviewed</t>
        </is>
      </c>
      <c r="J580" s="39" t="inlineStr"/>
      <c r="K580" s="34" t="inlineStr">
        <is>
          <t>Source assignment</t>
        </is>
      </c>
      <c r="L580" s="39" t="inlineStr"/>
      <c r="M580" s="34" t="inlineStr">
        <is>
          <t>Initial</t>
        </is>
      </c>
      <c r="N580" s="34" t="inlineStr">
        <is>
          <t>Rev 0</t>
        </is>
      </c>
      <c r="O580" s="34" t="inlineStr">
        <is>
          <t>R403-v1</t>
        </is>
      </c>
      <c r="P580" s="39" t="inlineStr"/>
      <c r="Q580" s="14" t="inlineStr"/>
      <c r="R580" s="39" t="inlineStr"/>
      <c r="S580" s="39" t="inlineStr"/>
      <c r="T580" s="39" t="inlineStr"/>
      <c r="U580" s="39" t="inlineStr"/>
      <c r="V580" s="34" t="inlineStr">
        <is>
          <t>WBS Code = 1.3.1</t>
        </is>
      </c>
      <c r="W580" s="14" t="inlineStr"/>
    </row>
    <row r="581" ht="34" customHeight="1">
      <c r="A581" s="34" t="inlineStr">
        <is>
          <t>1.3.1</t>
        </is>
      </c>
      <c r="B581" s="34" t="inlineStr">
        <is>
          <t>Systems - Traction Power</t>
        </is>
      </c>
      <c r="C581" s="34" t="inlineStr">
        <is>
          <t>Contractor Programme</t>
        </is>
      </c>
      <c r="D581" s="34" t="inlineStr">
        <is>
          <t>SCH-03-044</t>
        </is>
      </c>
      <c r="E581" s="34" t="inlineStr">
        <is>
          <t>East substation: control-centre integration - installation</t>
        </is>
      </c>
      <c r="F581" s="34" t="inlineStr">
        <is>
          <t>ONE_TO_ONE</t>
        </is>
      </c>
      <c r="G581" s="34" t="inlineStr">
        <is>
          <t>APPROVED</t>
        </is>
      </c>
      <c r="H581" s="34" t="inlineStr">
        <is>
          <t>New</t>
        </is>
      </c>
      <c r="I581" s="34" t="inlineStr">
        <is>
          <t>Source assignment -- not individually reviewed</t>
        </is>
      </c>
      <c r="J581" s="39" t="inlineStr"/>
      <c r="K581" s="34" t="inlineStr">
        <is>
          <t>Source assignment</t>
        </is>
      </c>
      <c r="L581" s="39" t="inlineStr"/>
      <c r="M581" s="34" t="inlineStr">
        <is>
          <t>Initial</t>
        </is>
      </c>
      <c r="N581" s="34" t="inlineStr">
        <is>
          <t>Rev 0</t>
        </is>
      </c>
      <c r="O581" s="34" t="inlineStr">
        <is>
          <t>R404-v1</t>
        </is>
      </c>
      <c r="P581" s="39" t="inlineStr"/>
      <c r="Q581" s="14" t="inlineStr"/>
      <c r="R581" s="39" t="inlineStr"/>
      <c r="S581" s="39" t="inlineStr"/>
      <c r="T581" s="39" t="inlineStr"/>
      <c r="U581" s="39" t="inlineStr"/>
      <c r="V581" s="34" t="inlineStr">
        <is>
          <t>WBS Code = 1.3.1</t>
        </is>
      </c>
      <c r="W581" s="14" t="inlineStr"/>
    </row>
    <row r="582" ht="34" customHeight="1">
      <c r="A582" s="34" t="inlineStr">
        <is>
          <t>1.3.1</t>
        </is>
      </c>
      <c r="B582" s="34" t="inlineStr">
        <is>
          <t>Systems - Traction Power</t>
        </is>
      </c>
      <c r="C582" s="34" t="inlineStr">
        <is>
          <t>Contractor Programme</t>
        </is>
      </c>
      <c r="D582" s="34" t="inlineStr">
        <is>
          <t>SCH-03-046</t>
        </is>
      </c>
      <c r="E582" s="34" t="inlineStr">
        <is>
          <t>Harbour Station: SCADA point-to-point check - turnover</t>
        </is>
      </c>
      <c r="F582" s="34" t="inlineStr">
        <is>
          <t>ONE_TO_ONE</t>
        </is>
      </c>
      <c r="G582" s="34" t="inlineStr">
        <is>
          <t>APPROVED</t>
        </is>
      </c>
      <c r="H582" s="34" t="inlineStr">
        <is>
          <t>New</t>
        </is>
      </c>
      <c r="I582" s="34" t="inlineStr">
        <is>
          <t>Source assignment -- not individually reviewed</t>
        </is>
      </c>
      <c r="J582" s="39" t="inlineStr"/>
      <c r="K582" s="34" t="inlineStr">
        <is>
          <t>Source assignment</t>
        </is>
      </c>
      <c r="L582" s="39" t="inlineStr"/>
      <c r="M582" s="34" t="inlineStr">
        <is>
          <t>Initial</t>
        </is>
      </c>
      <c r="N582" s="34" t="inlineStr">
        <is>
          <t>Rev 0</t>
        </is>
      </c>
      <c r="O582" s="34" t="inlineStr">
        <is>
          <t>R406-v1</t>
        </is>
      </c>
      <c r="P582" s="39" t="inlineStr"/>
      <c r="Q582" s="14" t="inlineStr"/>
      <c r="R582" s="39" t="inlineStr"/>
      <c r="S582" s="39" t="inlineStr"/>
      <c r="T582" s="39" t="inlineStr"/>
      <c r="U582" s="39" t="inlineStr"/>
      <c r="V582" s="34" t="inlineStr">
        <is>
          <t>WBS Code = 1.3.1</t>
        </is>
      </c>
      <c r="W582" s="14" t="inlineStr"/>
    </row>
    <row r="583" ht="34" customHeight="1">
      <c r="A583" s="34" t="inlineStr">
        <is>
          <t>1.3.1</t>
        </is>
      </c>
      <c r="B583" s="34" t="inlineStr">
        <is>
          <t>Systems - Traction Power</t>
        </is>
      </c>
      <c r="C583" s="34" t="inlineStr">
        <is>
          <t>Contractor Programme</t>
        </is>
      </c>
      <c r="D583" s="34" t="inlineStr">
        <is>
          <t>SCH-03-047</t>
        </is>
      </c>
      <c r="E583" s="34" t="inlineStr">
        <is>
          <t>Control Centre: traction-power feeder pull - release</t>
        </is>
      </c>
      <c r="F583" s="34" t="inlineStr">
        <is>
          <t>ONE_TO_ONE</t>
        </is>
      </c>
      <c r="G583" s="34" t="inlineStr">
        <is>
          <t>APPROVED</t>
        </is>
      </c>
      <c r="H583" s="34" t="inlineStr">
        <is>
          <t>New</t>
        </is>
      </c>
      <c r="I583" s="34" t="inlineStr">
        <is>
          <t>Source assignment -- not individually reviewed</t>
        </is>
      </c>
      <c r="J583" s="39" t="inlineStr"/>
      <c r="K583" s="34" t="inlineStr">
        <is>
          <t>Source assignment</t>
        </is>
      </c>
      <c r="L583" s="39" t="inlineStr"/>
      <c r="M583" s="34" t="inlineStr">
        <is>
          <t>Initial</t>
        </is>
      </c>
      <c r="N583" s="34" t="inlineStr">
        <is>
          <t>Rev 0</t>
        </is>
      </c>
      <c r="O583" s="34" t="inlineStr">
        <is>
          <t>R407-v1</t>
        </is>
      </c>
      <c r="P583" s="39" t="inlineStr"/>
      <c r="Q583" s="14" t="inlineStr"/>
      <c r="R583" s="39" t="inlineStr"/>
      <c r="S583" s="39" t="inlineStr"/>
      <c r="T583" s="39" t="inlineStr"/>
      <c r="U583" s="39" t="inlineStr"/>
      <c r="V583" s="34" t="inlineStr">
        <is>
          <t>WBS Code = 1.3.1</t>
        </is>
      </c>
      <c r="W583" s="14" t="inlineStr"/>
    </row>
    <row r="584" ht="34" customHeight="1">
      <c r="A584" s="34" t="inlineStr">
        <is>
          <t>1.3.1</t>
        </is>
      </c>
      <c r="B584" s="34" t="inlineStr">
        <is>
          <t>Systems - Traction Power</t>
        </is>
      </c>
      <c r="C584" s="34" t="inlineStr">
        <is>
          <t>Contractor Programme</t>
        </is>
      </c>
      <c r="D584" s="34" t="inlineStr">
        <is>
          <t>SCH-03-049</t>
        </is>
      </c>
      <c r="E584" s="34" t="inlineStr">
        <is>
          <t>East substation: wayside interface test - installation</t>
        </is>
      </c>
      <c r="F584" s="34" t="inlineStr">
        <is>
          <t>ONE_TO_ONE</t>
        </is>
      </c>
      <c r="G584" s="34" t="inlineStr">
        <is>
          <t>APPROVED</t>
        </is>
      </c>
      <c r="H584" s="34" t="inlineStr">
        <is>
          <t>New</t>
        </is>
      </c>
      <c r="I584" s="34" t="inlineStr">
        <is>
          <t>Source assignment -- not individually reviewed</t>
        </is>
      </c>
      <c r="J584" s="39" t="inlineStr"/>
      <c r="K584" s="34" t="inlineStr">
        <is>
          <t>Source assignment</t>
        </is>
      </c>
      <c r="L584" s="39" t="inlineStr"/>
      <c r="M584" s="34" t="inlineStr">
        <is>
          <t>Initial</t>
        </is>
      </c>
      <c r="N584" s="34" t="inlineStr">
        <is>
          <t>Rev 0</t>
        </is>
      </c>
      <c r="O584" s="34" t="inlineStr">
        <is>
          <t>R409-v1</t>
        </is>
      </c>
      <c r="P584" s="39" t="inlineStr"/>
      <c r="Q584" s="14" t="inlineStr"/>
      <c r="R584" s="39" t="inlineStr"/>
      <c r="S584" s="39" t="inlineStr"/>
      <c r="T584" s="39" t="inlineStr"/>
      <c r="U584" s="39" t="inlineStr"/>
      <c r="V584" s="34" t="inlineStr">
        <is>
          <t>WBS Code = 1.3.1</t>
        </is>
      </c>
      <c r="W584" s="14" t="inlineStr"/>
    </row>
    <row r="585" ht="34" customHeight="1">
      <c r="A585" s="34" t="inlineStr">
        <is>
          <t>1.3.1</t>
        </is>
      </c>
      <c r="B585" s="34" t="inlineStr">
        <is>
          <t>Systems - Traction Power</t>
        </is>
      </c>
      <c r="C585" s="34" t="inlineStr">
        <is>
          <t>Contractor Programme</t>
        </is>
      </c>
      <c r="D585" s="34" t="inlineStr">
        <is>
          <t>SCH-03-050</t>
        </is>
      </c>
      <c r="E585" s="34" t="inlineStr">
        <is>
          <t>Central interlocking: signal equipment installation - inspection</t>
        </is>
      </c>
      <c r="F585" s="34" t="inlineStr">
        <is>
          <t>ONE_TO_ONE</t>
        </is>
      </c>
      <c r="G585" s="34" t="inlineStr">
        <is>
          <t>APPROVED</t>
        </is>
      </c>
      <c r="H585" s="34" t="inlineStr">
        <is>
          <t>New</t>
        </is>
      </c>
      <c r="I585" s="34" t="inlineStr">
        <is>
          <t>Source assignment -- not individually reviewed</t>
        </is>
      </c>
      <c r="J585" s="39" t="inlineStr"/>
      <c r="K585" s="34" t="inlineStr">
        <is>
          <t>Source assignment</t>
        </is>
      </c>
      <c r="L585" s="39" t="inlineStr"/>
      <c r="M585" s="34" t="inlineStr">
        <is>
          <t>Initial</t>
        </is>
      </c>
      <c r="N585" s="34" t="inlineStr">
        <is>
          <t>Rev 0</t>
        </is>
      </c>
      <c r="O585" s="34" t="inlineStr">
        <is>
          <t>R410-v1</t>
        </is>
      </c>
      <c r="P585" s="39" t="inlineStr"/>
      <c r="Q585" s="14" t="inlineStr"/>
      <c r="R585" s="39" t="inlineStr"/>
      <c r="S585" s="39" t="inlineStr"/>
      <c r="T585" s="39" t="inlineStr"/>
      <c r="U585" s="39" t="inlineStr"/>
      <c r="V585" s="34" t="inlineStr">
        <is>
          <t>WBS Code = 1.3.1</t>
        </is>
      </c>
      <c r="W585" s="14" t="inlineStr"/>
    </row>
    <row r="586" ht="34" customHeight="1">
      <c r="A586" s="34" t="inlineStr">
        <is>
          <t>1.3.1</t>
        </is>
      </c>
      <c r="B586" s="34" t="inlineStr">
        <is>
          <t>Systems - Traction Power</t>
        </is>
      </c>
      <c r="C586" s="34" t="inlineStr">
        <is>
          <t>Contractor Programme</t>
        </is>
      </c>
      <c r="D586" s="34" t="inlineStr">
        <is>
          <t>SCH-03-052</t>
        </is>
      </c>
      <c r="E586" s="34" t="inlineStr">
        <is>
          <t>Control Centre: control-centre integration - release</t>
        </is>
      </c>
      <c r="F586" s="34" t="inlineStr">
        <is>
          <t>ONE_TO_ONE</t>
        </is>
      </c>
      <c r="G586" s="34" t="inlineStr">
        <is>
          <t>APPROVED</t>
        </is>
      </c>
      <c r="H586" s="34" t="inlineStr">
        <is>
          <t>New</t>
        </is>
      </c>
      <c r="I586" s="34" t="inlineStr">
        <is>
          <t>Source assignment -- not individually reviewed</t>
        </is>
      </c>
      <c r="J586" s="39" t="inlineStr"/>
      <c r="K586" s="34" t="inlineStr">
        <is>
          <t>Source assignment</t>
        </is>
      </c>
      <c r="L586" s="39" t="inlineStr"/>
      <c r="M586" s="34" t="inlineStr">
        <is>
          <t>Initial</t>
        </is>
      </c>
      <c r="N586" s="34" t="inlineStr">
        <is>
          <t>Rev 0</t>
        </is>
      </c>
      <c r="O586" s="34" t="inlineStr">
        <is>
          <t>R412-v1</t>
        </is>
      </c>
      <c r="P586" s="39" t="inlineStr"/>
      <c r="Q586" s="14" t="inlineStr"/>
      <c r="R586" s="39" t="inlineStr"/>
      <c r="S586" s="39" t="inlineStr"/>
      <c r="T586" s="39" t="inlineStr"/>
      <c r="U586" s="39" t="inlineStr"/>
      <c r="V586" s="34" t="inlineStr">
        <is>
          <t>WBS Code = 1.3.1</t>
        </is>
      </c>
      <c r="W586" s="14" t="inlineStr"/>
    </row>
    <row r="587" ht="34" customHeight="1">
      <c r="A587" s="34" t="inlineStr">
        <is>
          <t>1.3.1</t>
        </is>
      </c>
      <c r="B587" s="34" t="inlineStr">
        <is>
          <t>Systems - Traction Power</t>
        </is>
      </c>
      <c r="C587" s="34" t="inlineStr">
        <is>
          <t>Contractor Programme</t>
        </is>
      </c>
      <c r="D587" s="34" t="inlineStr">
        <is>
          <t>SCH-03-053</t>
        </is>
      </c>
      <c r="E587" s="34" t="inlineStr">
        <is>
          <t>West wayside: fibre backbone termination - field start</t>
        </is>
      </c>
      <c r="F587" s="34" t="inlineStr">
        <is>
          <t>ONE_TO_ONE</t>
        </is>
      </c>
      <c r="G587" s="34" t="inlineStr">
        <is>
          <t>APPROVED</t>
        </is>
      </c>
      <c r="H587" s="34" t="inlineStr">
        <is>
          <t>New</t>
        </is>
      </c>
      <c r="I587" s="34" t="inlineStr">
        <is>
          <t>Source assignment -- not individually reviewed</t>
        </is>
      </c>
      <c r="J587" s="39" t="inlineStr"/>
      <c r="K587" s="34" t="inlineStr">
        <is>
          <t>Source assignment</t>
        </is>
      </c>
      <c r="L587" s="39" t="inlineStr"/>
      <c r="M587" s="34" t="inlineStr">
        <is>
          <t>Initial</t>
        </is>
      </c>
      <c r="N587" s="34" t="inlineStr">
        <is>
          <t>Rev 0</t>
        </is>
      </c>
      <c r="O587" s="34" t="inlineStr">
        <is>
          <t>R413-v1</t>
        </is>
      </c>
      <c r="P587" s="39" t="inlineStr"/>
      <c r="Q587" s="14" t="inlineStr"/>
      <c r="R587" s="39" t="inlineStr"/>
      <c r="S587" s="39" t="inlineStr"/>
      <c r="T587" s="39" t="inlineStr"/>
      <c r="U587" s="39" t="inlineStr"/>
      <c r="V587" s="34" t="inlineStr">
        <is>
          <t>WBS Code = 1.3.1</t>
        </is>
      </c>
      <c r="W587" s="14" t="inlineStr"/>
    </row>
    <row r="588" ht="34" customHeight="1">
      <c r="A588" s="34" t="inlineStr">
        <is>
          <t>1.3.1</t>
        </is>
      </c>
      <c r="B588" s="34" t="inlineStr">
        <is>
          <t>Systems - Traction Power</t>
        </is>
      </c>
      <c r="C588" s="34" t="inlineStr">
        <is>
          <t>Contractor Programme</t>
        </is>
      </c>
      <c r="D588" s="34" t="inlineStr">
        <is>
          <t>SCH-03-055</t>
        </is>
      </c>
      <c r="E588" s="34" t="inlineStr">
        <is>
          <t>Central interlocking: traction-power feeder pull - inspection</t>
        </is>
      </c>
      <c r="F588" s="34" t="inlineStr">
        <is>
          <t>ONE_TO_ONE</t>
        </is>
      </c>
      <c r="G588" s="34" t="inlineStr">
        <is>
          <t>APPROVED</t>
        </is>
      </c>
      <c r="H588" s="34" t="inlineStr">
        <is>
          <t>New</t>
        </is>
      </c>
      <c r="I588" s="34" t="inlineStr">
        <is>
          <t>Source assignment -- not individually reviewed</t>
        </is>
      </c>
      <c r="J588" s="39" t="inlineStr"/>
      <c r="K588" s="34" t="inlineStr">
        <is>
          <t>Source assignment</t>
        </is>
      </c>
      <c r="L588" s="39" t="inlineStr"/>
      <c r="M588" s="34" t="inlineStr">
        <is>
          <t>Initial</t>
        </is>
      </c>
      <c r="N588" s="34" t="inlineStr">
        <is>
          <t>Rev 0</t>
        </is>
      </c>
      <c r="O588" s="34" t="inlineStr">
        <is>
          <t>R415-v1</t>
        </is>
      </c>
      <c r="P588" s="39" t="inlineStr"/>
      <c r="Q588" s="14" t="inlineStr"/>
      <c r="R588" s="39" t="inlineStr"/>
      <c r="S588" s="39" t="inlineStr"/>
      <c r="T588" s="39" t="inlineStr"/>
      <c r="U588" s="39" t="inlineStr"/>
      <c r="V588" s="34" t="inlineStr">
        <is>
          <t>WBS Code = 1.3.1</t>
        </is>
      </c>
      <c r="W588" s="14" t="inlineStr"/>
    </row>
    <row r="589" ht="34" customHeight="1">
      <c r="A589" s="34" t="inlineStr">
        <is>
          <t>1.3.1</t>
        </is>
      </c>
      <c r="B589" s="34" t="inlineStr">
        <is>
          <t>Systems - Traction Power</t>
        </is>
      </c>
      <c r="C589" s="34" t="inlineStr">
        <is>
          <t>Contractor Programme</t>
        </is>
      </c>
      <c r="D589" s="34" t="inlineStr">
        <is>
          <t>SCH-03-056</t>
        </is>
      </c>
      <c r="E589" s="34" t="inlineStr">
        <is>
          <t>Harbour Station: train-control cabinet fit-out - turnover</t>
        </is>
      </c>
      <c r="F589" s="34" t="inlineStr">
        <is>
          <t>ONE_TO_ONE</t>
        </is>
      </c>
      <c r="G589" s="34" t="inlineStr">
        <is>
          <t>APPROVED</t>
        </is>
      </c>
      <c r="H589" s="34" t="inlineStr">
        <is>
          <t>New</t>
        </is>
      </c>
      <c r="I589" s="34" t="inlineStr">
        <is>
          <t>Source assignment -- not individually reviewed</t>
        </is>
      </c>
      <c r="J589" s="39" t="inlineStr"/>
      <c r="K589" s="34" t="inlineStr">
        <is>
          <t>Source assignment</t>
        </is>
      </c>
      <c r="L589" s="39" t="inlineStr"/>
      <c r="M589" s="34" t="inlineStr">
        <is>
          <t>Initial</t>
        </is>
      </c>
      <c r="N589" s="34" t="inlineStr">
        <is>
          <t>Rev 0</t>
        </is>
      </c>
      <c r="O589" s="34" t="inlineStr">
        <is>
          <t>R416-v1</t>
        </is>
      </c>
      <c r="P589" s="39" t="inlineStr"/>
      <c r="Q589" s="14" t="inlineStr"/>
      <c r="R589" s="39" t="inlineStr"/>
      <c r="S589" s="39" t="inlineStr"/>
      <c r="T589" s="39" t="inlineStr"/>
      <c r="U589" s="39" t="inlineStr"/>
      <c r="V589" s="34" t="inlineStr">
        <is>
          <t>WBS Code = 1.3.1</t>
        </is>
      </c>
      <c r="W589" s="14" t="inlineStr"/>
    </row>
    <row r="590" ht="34" customHeight="1">
      <c r="A590" s="34" t="inlineStr">
        <is>
          <t>1.3.1</t>
        </is>
      </c>
      <c r="B590" s="34" t="inlineStr">
        <is>
          <t>Systems - Traction Power</t>
        </is>
      </c>
      <c r="C590" s="34" t="inlineStr">
        <is>
          <t>Contractor Programme</t>
        </is>
      </c>
      <c r="D590" s="34" t="inlineStr">
        <is>
          <t>SCH-03-058</t>
        </is>
      </c>
      <c r="E590" s="34" t="inlineStr">
        <is>
          <t>West wayside: signal equipment installation - field start</t>
        </is>
      </c>
      <c r="F590" s="34" t="inlineStr">
        <is>
          <t>ONE_TO_ONE</t>
        </is>
      </c>
      <c r="G590" s="34" t="inlineStr">
        <is>
          <t>APPROVED</t>
        </is>
      </c>
      <c r="H590" s="34" t="inlineStr">
        <is>
          <t>New</t>
        </is>
      </c>
      <c r="I590" s="34" t="inlineStr">
        <is>
          <t>Source assignment -- not individually reviewed</t>
        </is>
      </c>
      <c r="J590" s="39" t="inlineStr"/>
      <c r="K590" s="34" t="inlineStr">
        <is>
          <t>Source assignment</t>
        </is>
      </c>
      <c r="L590" s="39" t="inlineStr"/>
      <c r="M590" s="34" t="inlineStr">
        <is>
          <t>Initial</t>
        </is>
      </c>
      <c r="N590" s="34" t="inlineStr">
        <is>
          <t>Rev 0</t>
        </is>
      </c>
      <c r="O590" s="34" t="inlineStr">
        <is>
          <t>R418-v1</t>
        </is>
      </c>
      <c r="P590" s="39" t="inlineStr"/>
      <c r="Q590" s="14" t="inlineStr"/>
      <c r="R590" s="39" t="inlineStr"/>
      <c r="S590" s="39" t="inlineStr"/>
      <c r="T590" s="39" t="inlineStr"/>
      <c r="U590" s="39" t="inlineStr"/>
      <c r="V590" s="34" t="inlineStr">
        <is>
          <t>WBS Code = 1.3.1</t>
        </is>
      </c>
      <c r="W590" s="14" t="inlineStr"/>
    </row>
    <row r="591" ht="34" customHeight="1">
      <c r="A591" s="34" t="inlineStr">
        <is>
          <t>1.3.1</t>
        </is>
      </c>
      <c r="B591" s="34" t="inlineStr">
        <is>
          <t>Systems - Traction Power</t>
        </is>
      </c>
      <c r="C591" s="34" t="inlineStr">
        <is>
          <t>Contractor Programme</t>
        </is>
      </c>
      <c r="D591" s="34" t="inlineStr">
        <is>
          <t>SCH-03-059</t>
        </is>
      </c>
      <c r="E591" s="34" t="inlineStr">
        <is>
          <t>East substation: radio equipment installation - installation</t>
        </is>
      </c>
      <c r="F591" s="34" t="inlineStr">
        <is>
          <t>ONE_TO_ONE</t>
        </is>
      </c>
      <c r="G591" s="34" t="inlineStr">
        <is>
          <t>APPROVED</t>
        </is>
      </c>
      <c r="H591" s="34" t="inlineStr">
        <is>
          <t>New</t>
        </is>
      </c>
      <c r="I591" s="34" t="inlineStr">
        <is>
          <t>Source assignment -- not individually reviewed</t>
        </is>
      </c>
      <c r="J591" s="39" t="inlineStr"/>
      <c r="K591" s="34" t="inlineStr">
        <is>
          <t>Source assignment</t>
        </is>
      </c>
      <c r="L591" s="39" t="inlineStr"/>
      <c r="M591" s="34" t="inlineStr">
        <is>
          <t>Initial</t>
        </is>
      </c>
      <c r="N591" s="34" t="inlineStr">
        <is>
          <t>Rev 0</t>
        </is>
      </c>
      <c r="O591" s="34" t="inlineStr">
        <is>
          <t>R419-v1</t>
        </is>
      </c>
      <c r="P591" s="39" t="inlineStr"/>
      <c r="Q591" s="14" t="inlineStr"/>
      <c r="R591" s="39" t="inlineStr"/>
      <c r="S591" s="39" t="inlineStr"/>
      <c r="T591" s="39" t="inlineStr"/>
      <c r="U591" s="39" t="inlineStr"/>
      <c r="V591" s="34" t="inlineStr">
        <is>
          <t>WBS Code = 1.3.1</t>
        </is>
      </c>
      <c r="W591" s="14" t="inlineStr"/>
    </row>
    <row r="592" ht="34" customHeight="1">
      <c r="A592" s="34" t="inlineStr">
        <is>
          <t>1.3.1</t>
        </is>
      </c>
      <c r="B592" s="34" t="inlineStr">
        <is>
          <t>Systems - Traction Power</t>
        </is>
      </c>
      <c r="C592" s="34" t="inlineStr">
        <is>
          <t>Contractor Programme</t>
        </is>
      </c>
      <c r="D592" s="34" t="inlineStr">
        <is>
          <t>SCH-03-061</t>
        </is>
      </c>
      <c r="E592" s="34" t="inlineStr">
        <is>
          <t>Harbour Station: fibre backbone termination - turnover</t>
        </is>
      </c>
      <c r="F592" s="34" t="inlineStr">
        <is>
          <t>ONE_TO_ONE</t>
        </is>
      </c>
      <c r="G592" s="34" t="inlineStr">
        <is>
          <t>APPROVED</t>
        </is>
      </c>
      <c r="H592" s="34" t="inlineStr">
        <is>
          <t>New</t>
        </is>
      </c>
      <c r="I592" s="34" t="inlineStr">
        <is>
          <t>Source assignment -- not individually reviewed</t>
        </is>
      </c>
      <c r="J592" s="39" t="inlineStr"/>
      <c r="K592" s="34" t="inlineStr">
        <is>
          <t>Source assignment</t>
        </is>
      </c>
      <c r="L592" s="39" t="inlineStr"/>
      <c r="M592" s="34" t="inlineStr">
        <is>
          <t>Initial</t>
        </is>
      </c>
      <c r="N592" s="34" t="inlineStr">
        <is>
          <t>Rev 0</t>
        </is>
      </c>
      <c r="O592" s="34" t="inlineStr">
        <is>
          <t>R421-v1</t>
        </is>
      </c>
      <c r="P592" s="39" t="inlineStr"/>
      <c r="Q592" s="14" t="inlineStr"/>
      <c r="R592" s="39" t="inlineStr"/>
      <c r="S592" s="39" t="inlineStr"/>
      <c r="T592" s="39" t="inlineStr"/>
      <c r="U592" s="39" t="inlineStr"/>
      <c r="V592" s="34" t="inlineStr">
        <is>
          <t>WBS Code = 1.3.1</t>
        </is>
      </c>
      <c r="W592" s="14" t="inlineStr"/>
    </row>
    <row r="593" ht="34" customHeight="1">
      <c r="A593" s="34" t="inlineStr">
        <is>
          <t>1.3.1</t>
        </is>
      </c>
      <c r="B593" s="34" t="inlineStr">
        <is>
          <t>Systems - Traction Power</t>
        </is>
      </c>
      <c r="C593" s="34" t="inlineStr">
        <is>
          <t>Contractor Programme</t>
        </is>
      </c>
      <c r="D593" s="34" t="inlineStr">
        <is>
          <t>SCH-03-062</t>
        </is>
      </c>
      <c r="E593" s="34" t="inlineStr">
        <is>
          <t>Control Centre: SCADA point-to-point check - release</t>
        </is>
      </c>
      <c r="F593" s="34" t="inlineStr">
        <is>
          <t>ONE_TO_ONE</t>
        </is>
      </c>
      <c r="G593" s="34" t="inlineStr">
        <is>
          <t>APPROVED</t>
        </is>
      </c>
      <c r="H593" s="34" t="inlineStr">
        <is>
          <t>New</t>
        </is>
      </c>
      <c r="I593" s="34" t="inlineStr">
        <is>
          <t>Source assignment -- not individually reviewed</t>
        </is>
      </c>
      <c r="J593" s="39" t="inlineStr"/>
      <c r="K593" s="34" t="inlineStr">
        <is>
          <t>Source assignment</t>
        </is>
      </c>
      <c r="L593" s="39" t="inlineStr"/>
      <c r="M593" s="34" t="inlineStr">
        <is>
          <t>Initial</t>
        </is>
      </c>
      <c r="N593" s="34" t="inlineStr">
        <is>
          <t>Rev 0</t>
        </is>
      </c>
      <c r="O593" s="34" t="inlineStr">
        <is>
          <t>R422-v1</t>
        </is>
      </c>
      <c r="P593" s="39" t="inlineStr"/>
      <c r="Q593" s="14" t="inlineStr"/>
      <c r="R593" s="39" t="inlineStr"/>
      <c r="S593" s="39" t="inlineStr"/>
      <c r="T593" s="39" t="inlineStr"/>
      <c r="U593" s="39" t="inlineStr"/>
      <c r="V593" s="34" t="inlineStr">
        <is>
          <t>WBS Code = 1.3.1</t>
        </is>
      </c>
      <c r="W593" s="14" t="inlineStr"/>
    </row>
    <row r="594" ht="34" customHeight="1">
      <c r="A594" s="34" t="inlineStr">
        <is>
          <t>1.3.1</t>
        </is>
      </c>
      <c r="B594" s="34" t="inlineStr">
        <is>
          <t>Systems - Traction Power</t>
        </is>
      </c>
      <c r="C594" s="34" t="inlineStr">
        <is>
          <t>Contractor Programme</t>
        </is>
      </c>
      <c r="D594" s="34" t="inlineStr">
        <is>
          <t>SCH-03-064</t>
        </is>
      </c>
      <c r="E594" s="34" t="inlineStr">
        <is>
          <t>East substation: train-control cabinet fit-out - installation</t>
        </is>
      </c>
      <c r="F594" s="34" t="inlineStr">
        <is>
          <t>ONE_TO_ONE</t>
        </is>
      </c>
      <c r="G594" s="34" t="inlineStr">
        <is>
          <t>APPROVED</t>
        </is>
      </c>
      <c r="H594" s="34" t="inlineStr">
        <is>
          <t>New</t>
        </is>
      </c>
      <c r="I594" s="34" t="inlineStr">
        <is>
          <t>Source assignment -- not individually reviewed</t>
        </is>
      </c>
      <c r="J594" s="39" t="inlineStr"/>
      <c r="K594" s="34" t="inlineStr">
        <is>
          <t>Source assignment</t>
        </is>
      </c>
      <c r="L594" s="39" t="inlineStr"/>
      <c r="M594" s="34" t="inlineStr">
        <is>
          <t>Initial</t>
        </is>
      </c>
      <c r="N594" s="34" t="inlineStr">
        <is>
          <t>Rev 0</t>
        </is>
      </c>
      <c r="O594" s="34" t="inlineStr">
        <is>
          <t>R424-v1</t>
        </is>
      </c>
      <c r="P594" s="39" t="inlineStr"/>
      <c r="Q594" s="14" t="inlineStr"/>
      <c r="R594" s="39" t="inlineStr"/>
      <c r="S594" s="39" t="inlineStr"/>
      <c r="T594" s="39" t="inlineStr"/>
      <c r="U594" s="39" t="inlineStr"/>
      <c r="V594" s="34" t="inlineStr">
        <is>
          <t>WBS Code = 1.3.1</t>
        </is>
      </c>
      <c r="W594" s="14" t="inlineStr"/>
    </row>
    <row r="595" ht="34" customHeight="1">
      <c r="A595" s="34" t="inlineStr">
        <is>
          <t>1.3.1</t>
        </is>
      </c>
      <c r="B595" s="34" t="inlineStr">
        <is>
          <t>Systems - Traction Power</t>
        </is>
      </c>
      <c r="C595" s="34" t="inlineStr">
        <is>
          <t>Contractor Programme</t>
        </is>
      </c>
      <c r="D595" s="34" t="inlineStr">
        <is>
          <t>SCH-03-065</t>
        </is>
      </c>
      <c r="E595" s="34" t="inlineStr">
        <is>
          <t>Central interlocking: wayside interface test - inspection</t>
        </is>
      </c>
      <c r="F595" s="34" t="inlineStr">
        <is>
          <t>ONE_TO_ONE</t>
        </is>
      </c>
      <c r="G595" s="34" t="inlineStr">
        <is>
          <t>APPROVED</t>
        </is>
      </c>
      <c r="H595" s="34" t="inlineStr">
        <is>
          <t>New</t>
        </is>
      </c>
      <c r="I595" s="34" t="inlineStr">
        <is>
          <t>Source assignment -- not individually reviewed</t>
        </is>
      </c>
      <c r="J595" s="39" t="inlineStr"/>
      <c r="K595" s="34" t="inlineStr">
        <is>
          <t>Source assignment</t>
        </is>
      </c>
      <c r="L595" s="39" t="inlineStr"/>
      <c r="M595" s="34" t="inlineStr">
        <is>
          <t>Initial</t>
        </is>
      </c>
      <c r="N595" s="34" t="inlineStr">
        <is>
          <t>Rev 0</t>
        </is>
      </c>
      <c r="O595" s="34" t="inlineStr">
        <is>
          <t>R425-v1</t>
        </is>
      </c>
      <c r="P595" s="39" t="inlineStr"/>
      <c r="Q595" s="14" t="inlineStr"/>
      <c r="R595" s="39" t="inlineStr"/>
      <c r="S595" s="39" t="inlineStr"/>
      <c r="T595" s="39" t="inlineStr"/>
      <c r="U595" s="39" t="inlineStr"/>
      <c r="V595" s="34" t="inlineStr">
        <is>
          <t>WBS Code = 1.3.1</t>
        </is>
      </c>
      <c r="W595" s="14" t="inlineStr"/>
    </row>
    <row r="596" ht="34" customHeight="1">
      <c r="A596" s="34" t="inlineStr">
        <is>
          <t>1.3.1</t>
        </is>
      </c>
      <c r="B596" s="34" t="inlineStr">
        <is>
          <t>Systems - Traction Power</t>
        </is>
      </c>
      <c r="C596" s="34" t="inlineStr">
        <is>
          <t>Contractor Programme</t>
        </is>
      </c>
      <c r="D596" s="34" t="inlineStr">
        <is>
          <t>SCH-03-067</t>
        </is>
      </c>
      <c r="E596" s="34" t="inlineStr">
        <is>
          <t>Control Centre: radio equipment installation - release</t>
        </is>
      </c>
      <c r="F596" s="34" t="inlineStr">
        <is>
          <t>ONE_TO_ONE</t>
        </is>
      </c>
      <c r="G596" s="34" t="inlineStr">
        <is>
          <t>APPROVED</t>
        </is>
      </c>
      <c r="H596" s="34" t="inlineStr">
        <is>
          <t>New</t>
        </is>
      </c>
      <c r="I596" s="34" t="inlineStr">
        <is>
          <t>Source assignment -- not individually reviewed</t>
        </is>
      </c>
      <c r="J596" s="39" t="inlineStr"/>
      <c r="K596" s="34" t="inlineStr">
        <is>
          <t>Source assignment</t>
        </is>
      </c>
      <c r="L596" s="39" t="inlineStr"/>
      <c r="M596" s="34" t="inlineStr">
        <is>
          <t>Initial</t>
        </is>
      </c>
      <c r="N596" s="34" t="inlineStr">
        <is>
          <t>Rev 0</t>
        </is>
      </c>
      <c r="O596" s="34" t="inlineStr">
        <is>
          <t>R427-v1</t>
        </is>
      </c>
      <c r="P596" s="39" t="inlineStr"/>
      <c r="Q596" s="14" t="inlineStr"/>
      <c r="R596" s="39" t="inlineStr"/>
      <c r="S596" s="39" t="inlineStr"/>
      <c r="T596" s="39" t="inlineStr"/>
      <c r="U596" s="39" t="inlineStr"/>
      <c r="V596" s="34" t="inlineStr">
        <is>
          <t>WBS Code = 1.3.1</t>
        </is>
      </c>
      <c r="W596" s="14" t="inlineStr"/>
    </row>
    <row r="597" ht="34" customHeight="1">
      <c r="A597" s="34" t="inlineStr">
        <is>
          <t>1.3.1</t>
        </is>
      </c>
      <c r="B597" s="34" t="inlineStr">
        <is>
          <t>Systems - Traction Power</t>
        </is>
      </c>
      <c r="C597" s="34" t="inlineStr">
        <is>
          <t>Contractor Programme</t>
        </is>
      </c>
      <c r="D597" s="34" t="inlineStr">
        <is>
          <t>SCH-03-068</t>
        </is>
      </c>
      <c r="E597" s="34" t="inlineStr">
        <is>
          <t>West wayside: control-centre integration - field start</t>
        </is>
      </c>
      <c r="F597" s="34" t="inlineStr">
        <is>
          <t>ONE_TO_ONE</t>
        </is>
      </c>
      <c r="G597" s="34" t="inlineStr">
        <is>
          <t>APPROVED</t>
        </is>
      </c>
      <c r="H597" s="34" t="inlineStr">
        <is>
          <t>New</t>
        </is>
      </c>
      <c r="I597" s="34" t="inlineStr">
        <is>
          <t>Source assignment -- not individually reviewed</t>
        </is>
      </c>
      <c r="J597" s="39" t="inlineStr"/>
      <c r="K597" s="34" t="inlineStr">
        <is>
          <t>Source assignment</t>
        </is>
      </c>
      <c r="L597" s="39" t="inlineStr"/>
      <c r="M597" s="34" t="inlineStr">
        <is>
          <t>Initial</t>
        </is>
      </c>
      <c r="N597" s="34" t="inlineStr">
        <is>
          <t>Rev 0</t>
        </is>
      </c>
      <c r="O597" s="34" t="inlineStr">
        <is>
          <t>R428-v1</t>
        </is>
      </c>
      <c r="P597" s="39" t="inlineStr"/>
      <c r="Q597" s="14" t="inlineStr"/>
      <c r="R597" s="39" t="inlineStr"/>
      <c r="S597" s="39" t="inlineStr"/>
      <c r="T597" s="39" t="inlineStr"/>
      <c r="U597" s="39" t="inlineStr"/>
      <c r="V597" s="34" t="inlineStr">
        <is>
          <t>WBS Code = 1.3.1</t>
        </is>
      </c>
      <c r="W597" s="14" t="inlineStr"/>
    </row>
    <row r="598" ht="34" customHeight="1">
      <c r="A598" s="34" t="inlineStr">
        <is>
          <t>1.3.1</t>
        </is>
      </c>
      <c r="B598" s="34" t="inlineStr">
        <is>
          <t>Systems - Traction Power</t>
        </is>
      </c>
      <c r="C598" s="34" t="inlineStr">
        <is>
          <t>Contractor Programme</t>
        </is>
      </c>
      <c r="D598" s="34" t="inlineStr">
        <is>
          <t>SCH-03-070</t>
        </is>
      </c>
      <c r="E598" s="34" t="inlineStr">
        <is>
          <t>Central interlocking: SCADA point-to-point check - inspection</t>
        </is>
      </c>
      <c r="F598" s="34" t="inlineStr">
        <is>
          <t>ONE_TO_ONE</t>
        </is>
      </c>
      <c r="G598" s="34" t="inlineStr">
        <is>
          <t>APPROVED</t>
        </is>
      </c>
      <c r="H598" s="34" t="inlineStr">
        <is>
          <t>New</t>
        </is>
      </c>
      <c r="I598" s="34" t="inlineStr">
        <is>
          <t>Source assignment -- not individually reviewed</t>
        </is>
      </c>
      <c r="J598" s="39" t="inlineStr"/>
      <c r="K598" s="34" t="inlineStr">
        <is>
          <t>Source assignment</t>
        </is>
      </c>
      <c r="L598" s="39" t="inlineStr"/>
      <c r="M598" s="34" t="inlineStr">
        <is>
          <t>Initial</t>
        </is>
      </c>
      <c r="N598" s="34" t="inlineStr">
        <is>
          <t>Rev 0</t>
        </is>
      </c>
      <c r="O598" s="34" t="inlineStr">
        <is>
          <t>R430-v1</t>
        </is>
      </c>
      <c r="P598" s="39" t="inlineStr"/>
      <c r="Q598" s="14" t="inlineStr"/>
      <c r="R598" s="39" t="inlineStr"/>
      <c r="S598" s="39" t="inlineStr"/>
      <c r="T598" s="39" t="inlineStr"/>
      <c r="U598" s="39" t="inlineStr"/>
      <c r="V598" s="34" t="inlineStr">
        <is>
          <t>WBS Code = 1.3.1</t>
        </is>
      </c>
      <c r="W598" s="14" t="inlineStr"/>
    </row>
    <row r="599" ht="34" customHeight="1">
      <c r="A599" s="34" t="inlineStr">
        <is>
          <t>1.3.1</t>
        </is>
      </c>
      <c r="B599" s="34" t="inlineStr">
        <is>
          <t>Systems - Traction Power</t>
        </is>
      </c>
      <c r="C599" s="34" t="inlineStr">
        <is>
          <t>Contractor Programme</t>
        </is>
      </c>
      <c r="D599" s="34" t="inlineStr">
        <is>
          <t>SCH-03-071</t>
        </is>
      </c>
      <c r="E599" s="34" t="inlineStr">
        <is>
          <t>Harbour Station: traction-power feeder pull - turnover</t>
        </is>
      </c>
      <c r="F599" s="34" t="inlineStr">
        <is>
          <t>ONE_TO_ONE</t>
        </is>
      </c>
      <c r="G599" s="34" t="inlineStr">
        <is>
          <t>APPROVED</t>
        </is>
      </c>
      <c r="H599" s="34" t="inlineStr">
        <is>
          <t>New</t>
        </is>
      </c>
      <c r="I599" s="34" t="inlineStr">
        <is>
          <t>Source assignment -- not individually reviewed</t>
        </is>
      </c>
      <c r="J599" s="39" t="inlineStr"/>
      <c r="K599" s="34" t="inlineStr">
        <is>
          <t>Source assignment</t>
        </is>
      </c>
      <c r="L599" s="39" t="inlineStr"/>
      <c r="M599" s="34" t="inlineStr">
        <is>
          <t>Initial</t>
        </is>
      </c>
      <c r="N599" s="34" t="inlineStr">
        <is>
          <t>Rev 0</t>
        </is>
      </c>
      <c r="O599" s="34" t="inlineStr">
        <is>
          <t>R431-v1</t>
        </is>
      </c>
      <c r="P599" s="39" t="inlineStr"/>
      <c r="Q599" s="14" t="inlineStr"/>
      <c r="R599" s="39" t="inlineStr"/>
      <c r="S599" s="39" t="inlineStr"/>
      <c r="T599" s="39" t="inlineStr"/>
      <c r="U599" s="39" t="inlineStr"/>
      <c r="V599" s="34" t="inlineStr">
        <is>
          <t>WBS Code = 1.3.1</t>
        </is>
      </c>
      <c r="W599" s="14" t="inlineStr"/>
    </row>
    <row r="600" ht="34" customHeight="1">
      <c r="A600" s="34" t="inlineStr">
        <is>
          <t>1.3.1</t>
        </is>
      </c>
      <c r="B600" s="34" t="inlineStr">
        <is>
          <t>Systems - Traction Power</t>
        </is>
      </c>
      <c r="C600" s="34" t="inlineStr">
        <is>
          <t>Contractor Programme</t>
        </is>
      </c>
      <c r="D600" s="34" t="inlineStr">
        <is>
          <t>SCH-03-073</t>
        </is>
      </c>
      <c r="E600" s="34" t="inlineStr">
        <is>
          <t>West wayside: wayside interface test - field start</t>
        </is>
      </c>
      <c r="F600" s="34" t="inlineStr">
        <is>
          <t>ONE_TO_ONE</t>
        </is>
      </c>
      <c r="G600" s="34" t="inlineStr">
        <is>
          <t>APPROVED</t>
        </is>
      </c>
      <c r="H600" s="34" t="inlineStr">
        <is>
          <t>New</t>
        </is>
      </c>
      <c r="I600" s="34" t="inlineStr">
        <is>
          <t>Source assignment -- not individually reviewed</t>
        </is>
      </c>
      <c r="J600" s="39" t="inlineStr"/>
      <c r="K600" s="34" t="inlineStr">
        <is>
          <t>Source assignment</t>
        </is>
      </c>
      <c r="L600" s="39" t="inlineStr"/>
      <c r="M600" s="34" t="inlineStr">
        <is>
          <t>Initial</t>
        </is>
      </c>
      <c r="N600" s="34" t="inlineStr">
        <is>
          <t>Rev 0</t>
        </is>
      </c>
      <c r="O600" s="34" t="inlineStr">
        <is>
          <t>R433-v1</t>
        </is>
      </c>
      <c r="P600" s="39" t="inlineStr"/>
      <c r="Q600" s="14" t="inlineStr"/>
      <c r="R600" s="39" t="inlineStr"/>
      <c r="S600" s="39" t="inlineStr"/>
      <c r="T600" s="39" t="inlineStr"/>
      <c r="U600" s="39" t="inlineStr"/>
      <c r="V600" s="34" t="inlineStr">
        <is>
          <t>WBS Code = 1.3.1</t>
        </is>
      </c>
      <c r="W600" s="14" t="inlineStr"/>
    </row>
    <row r="601" ht="34" customHeight="1">
      <c r="A601" s="34" t="inlineStr">
        <is>
          <t>1.3.1</t>
        </is>
      </c>
      <c r="B601" s="34" t="inlineStr">
        <is>
          <t>Systems - Traction Power</t>
        </is>
      </c>
      <c r="C601" s="34" t="inlineStr">
        <is>
          <t>Contractor Programme</t>
        </is>
      </c>
      <c r="D601" s="34" t="inlineStr">
        <is>
          <t>SCH-03-074</t>
        </is>
      </c>
      <c r="E601" s="34" t="inlineStr">
        <is>
          <t>East substation: signal equipment installation - installation</t>
        </is>
      </c>
      <c r="F601" s="34" t="inlineStr">
        <is>
          <t>ONE_TO_ONE</t>
        </is>
      </c>
      <c r="G601" s="34" t="inlineStr">
        <is>
          <t>APPROVED</t>
        </is>
      </c>
      <c r="H601" s="34" t="inlineStr">
        <is>
          <t>New</t>
        </is>
      </c>
      <c r="I601" s="34" t="inlineStr">
        <is>
          <t>Source assignment -- not individually reviewed</t>
        </is>
      </c>
      <c r="J601" s="39" t="inlineStr"/>
      <c r="K601" s="34" t="inlineStr">
        <is>
          <t>Source assignment</t>
        </is>
      </c>
      <c r="L601" s="39" t="inlineStr"/>
      <c r="M601" s="34" t="inlineStr">
        <is>
          <t>Initial</t>
        </is>
      </c>
      <c r="N601" s="34" t="inlineStr">
        <is>
          <t>Rev 0</t>
        </is>
      </c>
      <c r="O601" s="34" t="inlineStr">
        <is>
          <t>R434-v1</t>
        </is>
      </c>
      <c r="P601" s="39" t="inlineStr"/>
      <c r="Q601" s="14" t="inlineStr"/>
      <c r="R601" s="39" t="inlineStr"/>
      <c r="S601" s="39" t="inlineStr"/>
      <c r="T601" s="39" t="inlineStr"/>
      <c r="U601" s="39" t="inlineStr"/>
      <c r="V601" s="34" t="inlineStr">
        <is>
          <t>WBS Code = 1.3.1</t>
        </is>
      </c>
      <c r="W601" s="14" t="inlineStr"/>
    </row>
    <row r="602" ht="34" customHeight="1">
      <c r="A602" s="34" t="inlineStr">
        <is>
          <t>1.3.1</t>
        </is>
      </c>
      <c r="B602" s="34" t="inlineStr">
        <is>
          <t>Systems - Traction Power</t>
        </is>
      </c>
      <c r="C602" s="34" t="inlineStr">
        <is>
          <t>Contractor Programme</t>
        </is>
      </c>
      <c r="D602" s="34" t="inlineStr">
        <is>
          <t>SCH-03-076</t>
        </is>
      </c>
      <c r="E602" s="34" t="inlineStr">
        <is>
          <t>Harbour Station: control-centre integration - turnover</t>
        </is>
      </c>
      <c r="F602" s="34" t="inlineStr">
        <is>
          <t>ONE_TO_ONE</t>
        </is>
      </c>
      <c r="G602" s="34" t="inlineStr">
        <is>
          <t>APPROVED</t>
        </is>
      </c>
      <c r="H602" s="34" t="inlineStr">
        <is>
          <t>New</t>
        </is>
      </c>
      <c r="I602" s="34" t="inlineStr">
        <is>
          <t>Source assignment -- not individually reviewed</t>
        </is>
      </c>
      <c r="J602" s="39" t="inlineStr"/>
      <c r="K602" s="34" t="inlineStr">
        <is>
          <t>Source assignment</t>
        </is>
      </c>
      <c r="L602" s="39" t="inlineStr"/>
      <c r="M602" s="34" t="inlineStr">
        <is>
          <t>Initial</t>
        </is>
      </c>
      <c r="N602" s="34" t="inlineStr">
        <is>
          <t>Rev 0</t>
        </is>
      </c>
      <c r="O602" s="34" t="inlineStr">
        <is>
          <t>R436-v1</t>
        </is>
      </c>
      <c r="P602" s="39" t="inlineStr"/>
      <c r="Q602" s="14" t="inlineStr"/>
      <c r="R602" s="39" t="inlineStr"/>
      <c r="S602" s="39" t="inlineStr"/>
      <c r="T602" s="39" t="inlineStr"/>
      <c r="U602" s="39" t="inlineStr"/>
      <c r="V602" s="34" t="inlineStr">
        <is>
          <t>WBS Code = 1.3.1</t>
        </is>
      </c>
      <c r="W602" s="14" t="inlineStr"/>
    </row>
    <row r="603" ht="34" customHeight="1">
      <c r="A603" s="34" t="inlineStr">
        <is>
          <t>1.3.1</t>
        </is>
      </c>
      <c r="B603" s="34" t="inlineStr">
        <is>
          <t>Systems - Traction Power</t>
        </is>
      </c>
      <c r="C603" s="34" t="inlineStr">
        <is>
          <t>Contractor Programme</t>
        </is>
      </c>
      <c r="D603" s="34" t="inlineStr">
        <is>
          <t>SCH-03-077</t>
        </is>
      </c>
      <c r="E603" s="34" t="inlineStr">
        <is>
          <t>Control Centre: fibre backbone termination - release</t>
        </is>
      </c>
      <c r="F603" s="34" t="inlineStr">
        <is>
          <t>ONE_TO_ONE</t>
        </is>
      </c>
      <c r="G603" s="34" t="inlineStr">
        <is>
          <t>APPROVED</t>
        </is>
      </c>
      <c r="H603" s="34" t="inlineStr">
        <is>
          <t>New</t>
        </is>
      </c>
      <c r="I603" s="34" t="inlineStr">
        <is>
          <t>Source assignment -- not individually reviewed</t>
        </is>
      </c>
      <c r="J603" s="39" t="inlineStr"/>
      <c r="K603" s="34" t="inlineStr">
        <is>
          <t>Source assignment</t>
        </is>
      </c>
      <c r="L603" s="39" t="inlineStr"/>
      <c r="M603" s="34" t="inlineStr">
        <is>
          <t>Initial</t>
        </is>
      </c>
      <c r="N603" s="34" t="inlineStr">
        <is>
          <t>Rev 0</t>
        </is>
      </c>
      <c r="O603" s="34" t="inlineStr">
        <is>
          <t>R437-v1</t>
        </is>
      </c>
      <c r="P603" s="39" t="inlineStr"/>
      <c r="Q603" s="14" t="inlineStr"/>
      <c r="R603" s="39" t="inlineStr"/>
      <c r="S603" s="39" t="inlineStr"/>
      <c r="T603" s="39" t="inlineStr"/>
      <c r="U603" s="39" t="inlineStr"/>
      <c r="V603" s="34" t="inlineStr">
        <is>
          <t>WBS Code = 1.3.1</t>
        </is>
      </c>
      <c r="W603" s="14" t="inlineStr"/>
    </row>
    <row r="604" ht="34" customHeight="1">
      <c r="A604" s="34" t="inlineStr">
        <is>
          <t>1.3.1</t>
        </is>
      </c>
      <c r="B604" s="34" t="inlineStr">
        <is>
          <t>Systems - Traction Power</t>
        </is>
      </c>
      <c r="C604" s="34" t="inlineStr">
        <is>
          <t>Contractor Programme</t>
        </is>
      </c>
      <c r="D604" s="34" t="inlineStr">
        <is>
          <t>SCH-03-079</t>
        </is>
      </c>
      <c r="E604" s="34" t="inlineStr">
        <is>
          <t>East substation: traction-power feeder pull - installation</t>
        </is>
      </c>
      <c r="F604" s="34" t="inlineStr">
        <is>
          <t>ONE_TO_ONE</t>
        </is>
      </c>
      <c r="G604" s="34" t="inlineStr">
        <is>
          <t>APPROVED</t>
        </is>
      </c>
      <c r="H604" s="34" t="inlineStr">
        <is>
          <t>New</t>
        </is>
      </c>
      <c r="I604" s="34" t="inlineStr">
        <is>
          <t>Source assignment -- not individually reviewed</t>
        </is>
      </c>
      <c r="J604" s="39" t="inlineStr"/>
      <c r="K604" s="34" t="inlineStr">
        <is>
          <t>Source assignment</t>
        </is>
      </c>
      <c r="L604" s="39" t="inlineStr"/>
      <c r="M604" s="34" t="inlineStr">
        <is>
          <t>Initial</t>
        </is>
      </c>
      <c r="N604" s="34" t="inlineStr">
        <is>
          <t>Rev 0</t>
        </is>
      </c>
      <c r="O604" s="34" t="inlineStr">
        <is>
          <t>R439-v1</t>
        </is>
      </c>
      <c r="P604" s="39" t="inlineStr"/>
      <c r="Q604" s="14" t="inlineStr"/>
      <c r="R604" s="39" t="inlineStr"/>
      <c r="S604" s="39" t="inlineStr"/>
      <c r="T604" s="39" t="inlineStr"/>
      <c r="U604" s="39" t="inlineStr"/>
      <c r="V604" s="34" t="inlineStr">
        <is>
          <t>WBS Code = 1.3.1</t>
        </is>
      </c>
      <c r="W604" s="14" t="inlineStr"/>
    </row>
    <row r="605" ht="34" customHeight="1">
      <c r="A605" s="34" t="inlineStr">
        <is>
          <t>1.3.1</t>
        </is>
      </c>
      <c r="B605" s="34" t="inlineStr">
        <is>
          <t>Systems - Traction Power</t>
        </is>
      </c>
      <c r="C605" s="34" t="inlineStr">
        <is>
          <t>Contractor Programme</t>
        </is>
      </c>
      <c r="D605" s="34" t="inlineStr">
        <is>
          <t>SCH-03-080</t>
        </is>
      </c>
      <c r="E605" s="34" t="inlineStr">
        <is>
          <t>Central interlocking: train-control cabinet fit-out - inspection</t>
        </is>
      </c>
      <c r="F605" s="34" t="inlineStr">
        <is>
          <t>ONE_TO_ONE</t>
        </is>
      </c>
      <c r="G605" s="34" t="inlineStr">
        <is>
          <t>APPROVED</t>
        </is>
      </c>
      <c r="H605" s="34" t="inlineStr">
        <is>
          <t>New</t>
        </is>
      </c>
      <c r="I605" s="34" t="inlineStr">
        <is>
          <t>Source assignment -- not individually reviewed</t>
        </is>
      </c>
      <c r="J605" s="39" t="inlineStr"/>
      <c r="K605" s="34" t="inlineStr">
        <is>
          <t>Source assignment</t>
        </is>
      </c>
      <c r="L605" s="39" t="inlineStr"/>
      <c r="M605" s="34" t="inlineStr">
        <is>
          <t>Initial</t>
        </is>
      </c>
      <c r="N605" s="34" t="inlineStr">
        <is>
          <t>Rev 0</t>
        </is>
      </c>
      <c r="O605" s="34" t="inlineStr">
        <is>
          <t>R440-v1</t>
        </is>
      </c>
      <c r="P605" s="39" t="inlineStr"/>
      <c r="Q605" s="14" t="inlineStr"/>
      <c r="R605" s="39" t="inlineStr"/>
      <c r="S605" s="39" t="inlineStr"/>
      <c r="T605" s="39" t="inlineStr"/>
      <c r="U605" s="39" t="inlineStr"/>
      <c r="V605" s="34" t="inlineStr">
        <is>
          <t>WBS Code = 1.3.1</t>
        </is>
      </c>
      <c r="W605" s="14" t="inlineStr"/>
    </row>
    <row r="606" ht="34" customHeight="1">
      <c r="A606" s="34" t="inlineStr">
        <is>
          <t>1.3.1</t>
        </is>
      </c>
      <c r="B606" s="34" t="inlineStr">
        <is>
          <t>Systems - Traction Power</t>
        </is>
      </c>
      <c r="C606" s="34" t="inlineStr">
        <is>
          <t>Contractor Programme</t>
        </is>
      </c>
      <c r="D606" s="34" t="inlineStr">
        <is>
          <t>SCH-03-082</t>
        </is>
      </c>
      <c r="E606" s="34" t="inlineStr">
        <is>
          <t>Control Centre: signal equipment installation - release</t>
        </is>
      </c>
      <c r="F606" s="34" t="inlineStr">
        <is>
          <t>ONE_TO_ONE</t>
        </is>
      </c>
      <c r="G606" s="34" t="inlineStr">
        <is>
          <t>APPROVED</t>
        </is>
      </c>
      <c r="H606" s="34" t="inlineStr">
        <is>
          <t>New</t>
        </is>
      </c>
      <c r="I606" s="34" t="inlineStr">
        <is>
          <t>Source assignment -- not individually reviewed</t>
        </is>
      </c>
      <c r="J606" s="39" t="inlineStr"/>
      <c r="K606" s="34" t="inlineStr">
        <is>
          <t>Source assignment</t>
        </is>
      </c>
      <c r="L606" s="39" t="inlineStr"/>
      <c r="M606" s="34" t="inlineStr">
        <is>
          <t>Initial</t>
        </is>
      </c>
      <c r="N606" s="34" t="inlineStr">
        <is>
          <t>Rev 0</t>
        </is>
      </c>
      <c r="O606" s="34" t="inlineStr">
        <is>
          <t>R442-v1</t>
        </is>
      </c>
      <c r="P606" s="39" t="inlineStr"/>
      <c r="Q606" s="14" t="inlineStr"/>
      <c r="R606" s="39" t="inlineStr"/>
      <c r="S606" s="39" t="inlineStr"/>
      <c r="T606" s="39" t="inlineStr"/>
      <c r="U606" s="39" t="inlineStr"/>
      <c r="V606" s="34" t="inlineStr">
        <is>
          <t>WBS Code = 1.3.1</t>
        </is>
      </c>
      <c r="W606" s="14" t="inlineStr"/>
    </row>
    <row r="607" ht="34" customHeight="1">
      <c r="A607" s="34" t="inlineStr">
        <is>
          <t>1.3.1</t>
        </is>
      </c>
      <c r="B607" s="34" t="inlineStr">
        <is>
          <t>Systems - Traction Power</t>
        </is>
      </c>
      <c r="C607" s="34" t="inlineStr">
        <is>
          <t>Contractor Programme</t>
        </is>
      </c>
      <c r="D607" s="34" t="inlineStr">
        <is>
          <t>SCH-03-083</t>
        </is>
      </c>
      <c r="E607" s="34" t="inlineStr">
        <is>
          <t>West wayside: radio equipment installation - field start</t>
        </is>
      </c>
      <c r="F607" s="34" t="inlineStr">
        <is>
          <t>ONE_TO_ONE</t>
        </is>
      </c>
      <c r="G607" s="34" t="inlineStr">
        <is>
          <t>APPROVED</t>
        </is>
      </c>
      <c r="H607" s="34" t="inlineStr">
        <is>
          <t>New</t>
        </is>
      </c>
      <c r="I607" s="34" t="inlineStr">
        <is>
          <t>Source assignment -- not individually reviewed</t>
        </is>
      </c>
      <c r="J607" s="39" t="inlineStr"/>
      <c r="K607" s="34" t="inlineStr">
        <is>
          <t>Source assignment</t>
        </is>
      </c>
      <c r="L607" s="39" t="inlineStr"/>
      <c r="M607" s="34" t="inlineStr">
        <is>
          <t>Initial</t>
        </is>
      </c>
      <c r="N607" s="34" t="inlineStr">
        <is>
          <t>Rev 0</t>
        </is>
      </c>
      <c r="O607" s="34" t="inlineStr">
        <is>
          <t>R443-v1</t>
        </is>
      </c>
      <c r="P607" s="39" t="inlineStr"/>
      <c r="Q607" s="14" t="inlineStr"/>
      <c r="R607" s="39" t="inlineStr"/>
      <c r="S607" s="39" t="inlineStr"/>
      <c r="T607" s="39" t="inlineStr"/>
      <c r="U607" s="39" t="inlineStr"/>
      <c r="V607" s="34" t="inlineStr">
        <is>
          <t>WBS Code = 1.3.1</t>
        </is>
      </c>
      <c r="W607" s="14" t="inlineStr"/>
    </row>
    <row r="608" ht="34" customHeight="1">
      <c r="A608" s="34" t="inlineStr">
        <is>
          <t>1.3.1</t>
        </is>
      </c>
      <c r="B608" s="34" t="inlineStr">
        <is>
          <t>Systems - Traction Power</t>
        </is>
      </c>
      <c r="C608" s="34" t="inlineStr">
        <is>
          <t>Contractor Programme</t>
        </is>
      </c>
      <c r="D608" s="34" t="inlineStr">
        <is>
          <t>SCH-03-085</t>
        </is>
      </c>
      <c r="E608" s="34" t="inlineStr">
        <is>
          <t>Central interlocking: fibre backbone termination - inspection</t>
        </is>
      </c>
      <c r="F608" s="34" t="inlineStr">
        <is>
          <t>ONE_TO_ONE</t>
        </is>
      </c>
      <c r="G608" s="34" t="inlineStr">
        <is>
          <t>APPROVED</t>
        </is>
      </c>
      <c r="H608" s="34" t="inlineStr">
        <is>
          <t>New</t>
        </is>
      </c>
      <c r="I608" s="34" t="inlineStr">
        <is>
          <t>Source assignment -- not individually reviewed</t>
        </is>
      </c>
      <c r="J608" s="39" t="inlineStr"/>
      <c r="K608" s="34" t="inlineStr">
        <is>
          <t>Source assignment</t>
        </is>
      </c>
      <c r="L608" s="39" t="inlineStr"/>
      <c r="M608" s="34" t="inlineStr">
        <is>
          <t>Initial</t>
        </is>
      </c>
      <c r="N608" s="34" t="inlineStr">
        <is>
          <t>Rev 0</t>
        </is>
      </c>
      <c r="O608" s="34" t="inlineStr">
        <is>
          <t>R445-v1</t>
        </is>
      </c>
      <c r="P608" s="39" t="inlineStr"/>
      <c r="Q608" s="14" t="inlineStr"/>
      <c r="R608" s="39" t="inlineStr"/>
      <c r="S608" s="39" t="inlineStr"/>
      <c r="T608" s="39" t="inlineStr"/>
      <c r="U608" s="39" t="inlineStr"/>
      <c r="V608" s="34" t="inlineStr">
        <is>
          <t>WBS Code = 1.3.1</t>
        </is>
      </c>
      <c r="W608" s="14" t="inlineStr"/>
    </row>
    <row r="609" ht="34" customHeight="1">
      <c r="A609" s="34" t="inlineStr">
        <is>
          <t>1.3.1</t>
        </is>
      </c>
      <c r="B609" s="34" t="inlineStr">
        <is>
          <t>Systems - Traction Power</t>
        </is>
      </c>
      <c r="C609" s="34" t="inlineStr">
        <is>
          <t>Contractor Programme</t>
        </is>
      </c>
      <c r="D609" s="34" t="inlineStr">
        <is>
          <t>SCH-03-086</t>
        </is>
      </c>
      <c r="E609" s="34" t="inlineStr">
        <is>
          <t>Harbour Station: SCADA point-to-point check - turnover</t>
        </is>
      </c>
      <c r="F609" s="34" t="inlineStr">
        <is>
          <t>ONE_TO_ONE</t>
        </is>
      </c>
      <c r="G609" s="34" t="inlineStr">
        <is>
          <t>APPROVED</t>
        </is>
      </c>
      <c r="H609" s="34" t="inlineStr">
        <is>
          <t>New</t>
        </is>
      </c>
      <c r="I609" s="34" t="inlineStr">
        <is>
          <t>Source assignment -- not individually reviewed</t>
        </is>
      </c>
      <c r="J609" s="39" t="inlineStr"/>
      <c r="K609" s="34" t="inlineStr">
        <is>
          <t>Source assignment</t>
        </is>
      </c>
      <c r="L609" s="39" t="inlineStr"/>
      <c r="M609" s="34" t="inlineStr">
        <is>
          <t>Initial</t>
        </is>
      </c>
      <c r="N609" s="34" t="inlineStr">
        <is>
          <t>Rev 0</t>
        </is>
      </c>
      <c r="O609" s="34" t="inlineStr">
        <is>
          <t>R446-v1</t>
        </is>
      </c>
      <c r="P609" s="39" t="inlineStr"/>
      <c r="Q609" s="14" t="inlineStr"/>
      <c r="R609" s="39" t="inlineStr"/>
      <c r="S609" s="39" t="inlineStr"/>
      <c r="T609" s="39" t="inlineStr"/>
      <c r="U609" s="39" t="inlineStr"/>
      <c r="V609" s="34" t="inlineStr">
        <is>
          <t>WBS Code = 1.3.1</t>
        </is>
      </c>
      <c r="W609" s="14" t="inlineStr"/>
    </row>
    <row r="610" ht="34" customHeight="1">
      <c r="A610" s="34" t="inlineStr">
        <is>
          <t>1.3.1</t>
        </is>
      </c>
      <c r="B610" s="34" t="inlineStr">
        <is>
          <t>Systems - Traction Power</t>
        </is>
      </c>
      <c r="C610" s="34" t="inlineStr">
        <is>
          <t>Contractor Programme</t>
        </is>
      </c>
      <c r="D610" s="34" t="inlineStr">
        <is>
          <t>SCH-03-088</t>
        </is>
      </c>
      <c r="E610" s="34" t="inlineStr">
        <is>
          <t>West wayside: train-control cabinet fit-out - field start</t>
        </is>
      </c>
      <c r="F610" s="34" t="inlineStr">
        <is>
          <t>ONE_TO_ONE</t>
        </is>
      </c>
      <c r="G610" s="34" t="inlineStr">
        <is>
          <t>APPROVED</t>
        </is>
      </c>
      <c r="H610" s="34" t="inlineStr">
        <is>
          <t>New</t>
        </is>
      </c>
      <c r="I610" s="34" t="inlineStr">
        <is>
          <t>Source assignment -- not individually reviewed</t>
        </is>
      </c>
      <c r="J610" s="39" t="inlineStr"/>
      <c r="K610" s="34" t="inlineStr">
        <is>
          <t>Source assignment</t>
        </is>
      </c>
      <c r="L610" s="39" t="inlineStr"/>
      <c r="M610" s="34" t="inlineStr">
        <is>
          <t>Initial</t>
        </is>
      </c>
      <c r="N610" s="34" t="inlineStr">
        <is>
          <t>Rev 0</t>
        </is>
      </c>
      <c r="O610" s="34" t="inlineStr">
        <is>
          <t>R448-v1</t>
        </is>
      </c>
      <c r="P610" s="39" t="inlineStr"/>
      <c r="Q610" s="14" t="inlineStr"/>
      <c r="R610" s="39" t="inlineStr"/>
      <c r="S610" s="39" t="inlineStr"/>
      <c r="T610" s="39" t="inlineStr"/>
      <c r="U610" s="39" t="inlineStr"/>
      <c r="V610" s="34" t="inlineStr">
        <is>
          <t>WBS Code = 1.3.1</t>
        </is>
      </c>
      <c r="W610" s="14" t="inlineStr"/>
    </row>
    <row r="611" ht="34" customHeight="1">
      <c r="A611" s="34" t="inlineStr">
        <is>
          <t>1.3.1</t>
        </is>
      </c>
      <c r="B611" s="34" t="inlineStr">
        <is>
          <t>Systems - Traction Power</t>
        </is>
      </c>
      <c r="C611" s="34" t="inlineStr">
        <is>
          <t>Contractor Programme</t>
        </is>
      </c>
      <c r="D611" s="34" t="inlineStr">
        <is>
          <t>SCH-03-089</t>
        </is>
      </c>
      <c r="E611" s="34" t="inlineStr">
        <is>
          <t>East substation: wayside interface test - installation</t>
        </is>
      </c>
      <c r="F611" s="34" t="inlineStr">
        <is>
          <t>ONE_TO_ONE</t>
        </is>
      </c>
      <c r="G611" s="34" t="inlineStr">
        <is>
          <t>APPROVED</t>
        </is>
      </c>
      <c r="H611" s="34" t="inlineStr">
        <is>
          <t>New</t>
        </is>
      </c>
      <c r="I611" s="34" t="inlineStr">
        <is>
          <t>Source assignment -- not individually reviewed</t>
        </is>
      </c>
      <c r="J611" s="39" t="inlineStr"/>
      <c r="K611" s="34" t="inlineStr">
        <is>
          <t>Source assignment</t>
        </is>
      </c>
      <c r="L611" s="39" t="inlineStr"/>
      <c r="M611" s="34" t="inlineStr">
        <is>
          <t>Initial</t>
        </is>
      </c>
      <c r="N611" s="34" t="inlineStr">
        <is>
          <t>Rev 0</t>
        </is>
      </c>
      <c r="O611" s="34" t="inlineStr">
        <is>
          <t>R449-v1</t>
        </is>
      </c>
      <c r="P611" s="39" t="inlineStr"/>
      <c r="Q611" s="14" t="inlineStr"/>
      <c r="R611" s="39" t="inlineStr"/>
      <c r="S611" s="39" t="inlineStr"/>
      <c r="T611" s="39" t="inlineStr"/>
      <c r="U611" s="39" t="inlineStr"/>
      <c r="V611" s="34" t="inlineStr">
        <is>
          <t>WBS Code = 1.3.1</t>
        </is>
      </c>
      <c r="W611" s="14" t="inlineStr"/>
    </row>
    <row r="612" ht="34" customHeight="1">
      <c r="A612" s="34" t="inlineStr">
        <is>
          <t>1.3.1</t>
        </is>
      </c>
      <c r="B612" s="34" t="inlineStr">
        <is>
          <t>Systems - Traction Power</t>
        </is>
      </c>
      <c r="C612" s="34" t="inlineStr">
        <is>
          <t>Contractor Programme</t>
        </is>
      </c>
      <c r="D612" s="34" t="inlineStr">
        <is>
          <t>SCH-03-091</t>
        </is>
      </c>
      <c r="E612" s="34" t="inlineStr">
        <is>
          <t>Harbour Station: radio equipment installation - turnover</t>
        </is>
      </c>
      <c r="F612" s="34" t="inlineStr">
        <is>
          <t>ONE_TO_ONE</t>
        </is>
      </c>
      <c r="G612" s="34" t="inlineStr">
        <is>
          <t>APPROVED</t>
        </is>
      </c>
      <c r="H612" s="34" t="inlineStr">
        <is>
          <t>New</t>
        </is>
      </c>
      <c r="I612" s="34" t="inlineStr">
        <is>
          <t>Source assignment -- not individually reviewed</t>
        </is>
      </c>
      <c r="J612" s="39" t="inlineStr"/>
      <c r="K612" s="34" t="inlineStr">
        <is>
          <t>Source assignment</t>
        </is>
      </c>
      <c r="L612" s="39" t="inlineStr"/>
      <c r="M612" s="34" t="inlineStr">
        <is>
          <t>Initial</t>
        </is>
      </c>
      <c r="N612" s="34" t="inlineStr">
        <is>
          <t>Rev 0</t>
        </is>
      </c>
      <c r="O612" s="34" t="inlineStr">
        <is>
          <t>R451-v1</t>
        </is>
      </c>
      <c r="P612" s="39" t="inlineStr"/>
      <c r="Q612" s="14" t="inlineStr"/>
      <c r="R612" s="39" t="inlineStr"/>
      <c r="S612" s="39" t="inlineStr"/>
      <c r="T612" s="39" t="inlineStr"/>
      <c r="U612" s="39" t="inlineStr"/>
      <c r="V612" s="34" t="inlineStr">
        <is>
          <t>WBS Code = 1.3.1</t>
        </is>
      </c>
      <c r="W612" s="14" t="inlineStr"/>
    </row>
    <row r="613" ht="34" customHeight="1">
      <c r="A613" s="34" t="inlineStr">
        <is>
          <t>1.3.1</t>
        </is>
      </c>
      <c r="B613" s="34" t="inlineStr">
        <is>
          <t>Systems - Traction Power</t>
        </is>
      </c>
      <c r="C613" s="34" t="inlineStr">
        <is>
          <t>Contractor Programme</t>
        </is>
      </c>
      <c r="D613" s="34" t="inlineStr">
        <is>
          <t>SCH-03-092</t>
        </is>
      </c>
      <c r="E613" s="34" t="inlineStr">
        <is>
          <t>Control Centre: control-centre integration - release</t>
        </is>
      </c>
      <c r="F613" s="34" t="inlineStr">
        <is>
          <t>ONE_TO_ONE</t>
        </is>
      </c>
      <c r="G613" s="34" t="inlineStr">
        <is>
          <t>APPROVED</t>
        </is>
      </c>
      <c r="H613" s="34" t="inlineStr">
        <is>
          <t>New</t>
        </is>
      </c>
      <c r="I613" s="34" t="inlineStr">
        <is>
          <t>Source assignment -- not individually reviewed</t>
        </is>
      </c>
      <c r="J613" s="39" t="inlineStr"/>
      <c r="K613" s="34" t="inlineStr">
        <is>
          <t>Source assignment</t>
        </is>
      </c>
      <c r="L613" s="39" t="inlineStr"/>
      <c r="M613" s="34" t="inlineStr">
        <is>
          <t>Initial</t>
        </is>
      </c>
      <c r="N613" s="34" t="inlineStr">
        <is>
          <t>Rev 0</t>
        </is>
      </c>
      <c r="O613" s="34" t="inlineStr">
        <is>
          <t>R452-v1</t>
        </is>
      </c>
      <c r="P613" s="39" t="inlineStr"/>
      <c r="Q613" s="14" t="inlineStr"/>
      <c r="R613" s="39" t="inlineStr"/>
      <c r="S613" s="39" t="inlineStr"/>
      <c r="T613" s="39" t="inlineStr"/>
      <c r="U613" s="39" t="inlineStr"/>
      <c r="V613" s="34" t="inlineStr">
        <is>
          <t>WBS Code = 1.3.1</t>
        </is>
      </c>
      <c r="W613" s="14" t="inlineStr"/>
    </row>
    <row r="614" ht="34" customHeight="1">
      <c r="A614" s="34" t="inlineStr">
        <is>
          <t>1.3.1</t>
        </is>
      </c>
      <c r="B614" s="34" t="inlineStr">
        <is>
          <t>Systems - Traction Power</t>
        </is>
      </c>
      <c r="C614" s="34" t="inlineStr">
        <is>
          <t>Contractor Programme</t>
        </is>
      </c>
      <c r="D614" s="34" t="inlineStr">
        <is>
          <t>SCH-03-094</t>
        </is>
      </c>
      <c r="E614" s="34" t="inlineStr">
        <is>
          <t>East substation: SCADA point-to-point check - installation</t>
        </is>
      </c>
      <c r="F614" s="34" t="inlineStr">
        <is>
          <t>ONE_TO_ONE</t>
        </is>
      </c>
      <c r="G614" s="34" t="inlineStr">
        <is>
          <t>APPROVED</t>
        </is>
      </c>
      <c r="H614" s="34" t="inlineStr">
        <is>
          <t>New</t>
        </is>
      </c>
      <c r="I614" s="34" t="inlineStr">
        <is>
          <t>Source assignment -- not individually reviewed</t>
        </is>
      </c>
      <c r="J614" s="39" t="inlineStr"/>
      <c r="K614" s="34" t="inlineStr">
        <is>
          <t>Source assignment</t>
        </is>
      </c>
      <c r="L614" s="39" t="inlineStr"/>
      <c r="M614" s="34" t="inlineStr">
        <is>
          <t>Initial</t>
        </is>
      </c>
      <c r="N614" s="34" t="inlineStr">
        <is>
          <t>Rev 0</t>
        </is>
      </c>
      <c r="O614" s="34" t="inlineStr">
        <is>
          <t>R454-v1</t>
        </is>
      </c>
      <c r="P614" s="39" t="inlineStr"/>
      <c r="Q614" s="14" t="inlineStr"/>
      <c r="R614" s="39" t="inlineStr"/>
      <c r="S614" s="39" t="inlineStr"/>
      <c r="T614" s="39" t="inlineStr"/>
      <c r="U614" s="39" t="inlineStr"/>
      <c r="V614" s="34" t="inlineStr">
        <is>
          <t>WBS Code = 1.3.1</t>
        </is>
      </c>
      <c r="W614" s="14" t="inlineStr"/>
    </row>
    <row r="615" ht="34" customHeight="1">
      <c r="A615" s="34" t="inlineStr">
        <is>
          <t>1.3.1</t>
        </is>
      </c>
      <c r="B615" s="34" t="inlineStr">
        <is>
          <t>Systems - Traction Power</t>
        </is>
      </c>
      <c r="C615" s="34" t="inlineStr">
        <is>
          <t>Contractor Programme</t>
        </is>
      </c>
      <c r="D615" s="34" t="inlineStr">
        <is>
          <t>SCH-03-095</t>
        </is>
      </c>
      <c r="E615" s="34" t="inlineStr">
        <is>
          <t>Central interlocking: traction-power feeder pull - inspection</t>
        </is>
      </c>
      <c r="F615" s="34" t="inlineStr">
        <is>
          <t>ONE_TO_ONE</t>
        </is>
      </c>
      <c r="G615" s="34" t="inlineStr">
        <is>
          <t>APPROVED</t>
        </is>
      </c>
      <c r="H615" s="34" t="inlineStr">
        <is>
          <t>New</t>
        </is>
      </c>
      <c r="I615" s="34" t="inlineStr">
        <is>
          <t>Source assignment -- not individually reviewed</t>
        </is>
      </c>
      <c r="J615" s="39" t="inlineStr"/>
      <c r="K615" s="34" t="inlineStr">
        <is>
          <t>Source assignment</t>
        </is>
      </c>
      <c r="L615" s="39" t="inlineStr"/>
      <c r="M615" s="34" t="inlineStr">
        <is>
          <t>Initial</t>
        </is>
      </c>
      <c r="N615" s="34" t="inlineStr">
        <is>
          <t>Rev 0</t>
        </is>
      </c>
      <c r="O615" s="34" t="inlineStr">
        <is>
          <t>R455-v1</t>
        </is>
      </c>
      <c r="P615" s="39" t="inlineStr"/>
      <c r="Q615" s="14" t="inlineStr"/>
      <c r="R615" s="39" t="inlineStr"/>
      <c r="S615" s="39" t="inlineStr"/>
      <c r="T615" s="39" t="inlineStr"/>
      <c r="U615" s="39" t="inlineStr"/>
      <c r="V615" s="34" t="inlineStr">
        <is>
          <t>WBS Code = 1.3.1</t>
        </is>
      </c>
      <c r="W615" s="14" t="inlineStr"/>
    </row>
    <row r="616" ht="34" customHeight="1">
      <c r="A616" s="34" t="inlineStr">
        <is>
          <t>1.3.1</t>
        </is>
      </c>
      <c r="B616" s="34" t="inlineStr">
        <is>
          <t>Systems - Traction Power</t>
        </is>
      </c>
      <c r="C616" s="34" t="inlineStr">
        <is>
          <t>Contractor Programme</t>
        </is>
      </c>
      <c r="D616" s="34" t="inlineStr">
        <is>
          <t>SCH-03-097</t>
        </is>
      </c>
      <c r="E616" s="34" t="inlineStr">
        <is>
          <t>Control Centre: wayside interface test - release</t>
        </is>
      </c>
      <c r="F616" s="34" t="inlineStr">
        <is>
          <t>ONE_TO_ONE</t>
        </is>
      </c>
      <c r="G616" s="34" t="inlineStr">
        <is>
          <t>APPROVED</t>
        </is>
      </c>
      <c r="H616" s="34" t="inlineStr">
        <is>
          <t>New</t>
        </is>
      </c>
      <c r="I616" s="34" t="inlineStr">
        <is>
          <t>Source assignment -- not individually reviewed</t>
        </is>
      </c>
      <c r="J616" s="39" t="inlineStr"/>
      <c r="K616" s="34" t="inlineStr">
        <is>
          <t>Source assignment</t>
        </is>
      </c>
      <c r="L616" s="39" t="inlineStr"/>
      <c r="M616" s="34" t="inlineStr">
        <is>
          <t>Initial</t>
        </is>
      </c>
      <c r="N616" s="34" t="inlineStr">
        <is>
          <t>Rev 0</t>
        </is>
      </c>
      <c r="O616" s="34" t="inlineStr">
        <is>
          <t>R457-v1</t>
        </is>
      </c>
      <c r="P616" s="39" t="inlineStr"/>
      <c r="Q616" s="14" t="inlineStr"/>
      <c r="R616" s="39" t="inlineStr"/>
      <c r="S616" s="39" t="inlineStr"/>
      <c r="T616" s="39" t="inlineStr"/>
      <c r="U616" s="39" t="inlineStr"/>
      <c r="V616" s="34" t="inlineStr">
        <is>
          <t>WBS Code = 1.3.1</t>
        </is>
      </c>
      <c r="W616" s="14" t="inlineStr"/>
    </row>
    <row r="617" ht="34" customHeight="1">
      <c r="A617" s="34" t="inlineStr">
        <is>
          <t>1.3.1</t>
        </is>
      </c>
      <c r="B617" s="34" t="inlineStr">
        <is>
          <t>Systems - Traction Power</t>
        </is>
      </c>
      <c r="C617" s="34" t="inlineStr">
        <is>
          <t>Contractor Programme</t>
        </is>
      </c>
      <c r="D617" s="34" t="inlineStr">
        <is>
          <t>SCH-03-098</t>
        </is>
      </c>
      <c r="E617" s="34" t="inlineStr">
        <is>
          <t>West wayside: signal equipment installation - field start</t>
        </is>
      </c>
      <c r="F617" s="34" t="inlineStr">
        <is>
          <t>ONE_TO_ONE</t>
        </is>
      </c>
      <c r="G617" s="34" t="inlineStr">
        <is>
          <t>APPROVED</t>
        </is>
      </c>
      <c r="H617" s="34" t="inlineStr">
        <is>
          <t>New</t>
        </is>
      </c>
      <c r="I617" s="34" t="inlineStr">
        <is>
          <t>Source assignment -- not individually reviewed</t>
        </is>
      </c>
      <c r="J617" s="39" t="inlineStr"/>
      <c r="K617" s="34" t="inlineStr">
        <is>
          <t>Source assignment</t>
        </is>
      </c>
      <c r="L617" s="39" t="inlineStr"/>
      <c r="M617" s="34" t="inlineStr">
        <is>
          <t>Initial</t>
        </is>
      </c>
      <c r="N617" s="34" t="inlineStr">
        <is>
          <t>Rev 0</t>
        </is>
      </c>
      <c r="O617" s="34" t="inlineStr">
        <is>
          <t>R458-v1</t>
        </is>
      </c>
      <c r="P617" s="39" t="inlineStr"/>
      <c r="Q617" s="14" t="inlineStr"/>
      <c r="R617" s="39" t="inlineStr"/>
      <c r="S617" s="39" t="inlineStr"/>
      <c r="T617" s="39" t="inlineStr"/>
      <c r="U617" s="39" t="inlineStr"/>
      <c r="V617" s="34" t="inlineStr">
        <is>
          <t>WBS Code = 1.3.1</t>
        </is>
      </c>
      <c r="W617" s="14" t="inlineStr"/>
    </row>
    <row r="618" ht="34" customHeight="1">
      <c r="A618" s="34" t="inlineStr">
        <is>
          <t>1.3.1</t>
        </is>
      </c>
      <c r="B618" s="34" t="inlineStr">
        <is>
          <t>Systems - Traction Power</t>
        </is>
      </c>
      <c r="C618" s="34" t="inlineStr">
        <is>
          <t>Contractor Programme</t>
        </is>
      </c>
      <c r="D618" s="34" t="inlineStr">
        <is>
          <t>SCH-03-100</t>
        </is>
      </c>
      <c r="E618" s="34" t="inlineStr">
        <is>
          <t>Central interlocking: control-centre integration - inspection</t>
        </is>
      </c>
      <c r="F618" s="34" t="inlineStr">
        <is>
          <t>ONE_TO_ONE</t>
        </is>
      </c>
      <c r="G618" s="34" t="inlineStr">
        <is>
          <t>APPROVED</t>
        </is>
      </c>
      <c r="H618" s="34" t="inlineStr">
        <is>
          <t>New</t>
        </is>
      </c>
      <c r="I618" s="34" t="inlineStr">
        <is>
          <t>Source assignment -- not individually reviewed</t>
        </is>
      </c>
      <c r="J618" s="39" t="inlineStr"/>
      <c r="K618" s="34" t="inlineStr">
        <is>
          <t>Source assignment</t>
        </is>
      </c>
      <c r="L618" s="39" t="inlineStr"/>
      <c r="M618" s="34" t="inlineStr">
        <is>
          <t>Initial</t>
        </is>
      </c>
      <c r="N618" s="34" t="inlineStr">
        <is>
          <t>Rev 0</t>
        </is>
      </c>
      <c r="O618" s="34" t="inlineStr">
        <is>
          <t>R460-v1</t>
        </is>
      </c>
      <c r="P618" s="39" t="inlineStr"/>
      <c r="Q618" s="14" t="inlineStr"/>
      <c r="R618" s="39" t="inlineStr"/>
      <c r="S618" s="39" t="inlineStr"/>
      <c r="T618" s="39" t="inlineStr"/>
      <c r="U618" s="39" t="inlineStr"/>
      <c r="V618" s="34" t="inlineStr">
        <is>
          <t>WBS Code = 1.3.1</t>
        </is>
      </c>
      <c r="W618" s="14" t="inlineStr"/>
    </row>
    <row r="619" ht="34" customHeight="1">
      <c r="A619" s="34" t="inlineStr">
        <is>
          <t>1.3.1</t>
        </is>
      </c>
      <c r="B619" s="34" t="inlineStr">
        <is>
          <t>Systems - Traction Power</t>
        </is>
      </c>
      <c r="C619" s="34" t="inlineStr">
        <is>
          <t>Contractor Programme</t>
        </is>
      </c>
      <c r="D619" s="34" t="inlineStr">
        <is>
          <t>SCH-03-101</t>
        </is>
      </c>
      <c r="E619" s="34" t="inlineStr">
        <is>
          <t>Harbour Station: fibre backbone termination - turnover</t>
        </is>
      </c>
      <c r="F619" s="34" t="inlineStr">
        <is>
          <t>ONE_TO_ONE</t>
        </is>
      </c>
      <c r="G619" s="34" t="inlineStr">
        <is>
          <t>APPROVED</t>
        </is>
      </c>
      <c r="H619" s="34" t="inlineStr">
        <is>
          <t>New</t>
        </is>
      </c>
      <c r="I619" s="34" t="inlineStr">
        <is>
          <t>Source assignment -- not individually reviewed</t>
        </is>
      </c>
      <c r="J619" s="39" t="inlineStr"/>
      <c r="K619" s="34" t="inlineStr">
        <is>
          <t>Source assignment</t>
        </is>
      </c>
      <c r="L619" s="39" t="inlineStr"/>
      <c r="M619" s="34" t="inlineStr">
        <is>
          <t>Initial</t>
        </is>
      </c>
      <c r="N619" s="34" t="inlineStr">
        <is>
          <t>Rev 0</t>
        </is>
      </c>
      <c r="O619" s="34" t="inlineStr">
        <is>
          <t>R461-v1</t>
        </is>
      </c>
      <c r="P619" s="39" t="inlineStr"/>
      <c r="Q619" s="14" t="inlineStr"/>
      <c r="R619" s="39" t="inlineStr"/>
      <c r="S619" s="39" t="inlineStr"/>
      <c r="T619" s="39" t="inlineStr"/>
      <c r="U619" s="39" t="inlineStr"/>
      <c r="V619" s="34" t="inlineStr">
        <is>
          <t>WBS Code = 1.3.1</t>
        </is>
      </c>
      <c r="W619" s="14" t="inlineStr"/>
    </row>
    <row r="620" ht="34" customHeight="1">
      <c r="A620" s="34" t="inlineStr">
        <is>
          <t>1.3.1</t>
        </is>
      </c>
      <c r="B620" s="34" t="inlineStr">
        <is>
          <t>Systems - Traction Power</t>
        </is>
      </c>
      <c r="C620" s="34" t="inlineStr">
        <is>
          <t>Contractor Programme</t>
        </is>
      </c>
      <c r="D620" s="34" t="inlineStr">
        <is>
          <t>SCH-03-103</t>
        </is>
      </c>
      <c r="E620" s="34" t="inlineStr">
        <is>
          <t>West wayside: traction-power feeder pull - field start</t>
        </is>
      </c>
      <c r="F620" s="34" t="inlineStr">
        <is>
          <t>ONE_TO_ONE</t>
        </is>
      </c>
      <c r="G620" s="34" t="inlineStr">
        <is>
          <t>APPROVED</t>
        </is>
      </c>
      <c r="H620" s="34" t="inlineStr">
        <is>
          <t>New</t>
        </is>
      </c>
      <c r="I620" s="34" t="inlineStr">
        <is>
          <t>Source assignment -- not individually reviewed</t>
        </is>
      </c>
      <c r="J620" s="39" t="inlineStr"/>
      <c r="K620" s="34" t="inlineStr">
        <is>
          <t>Source assignment</t>
        </is>
      </c>
      <c r="L620" s="39" t="inlineStr"/>
      <c r="M620" s="34" t="inlineStr">
        <is>
          <t>Initial</t>
        </is>
      </c>
      <c r="N620" s="34" t="inlineStr">
        <is>
          <t>Rev 0</t>
        </is>
      </c>
      <c r="O620" s="34" t="inlineStr">
        <is>
          <t>R463-v1</t>
        </is>
      </c>
      <c r="P620" s="39" t="inlineStr"/>
      <c r="Q620" s="14" t="inlineStr"/>
      <c r="R620" s="39" t="inlineStr"/>
      <c r="S620" s="39" t="inlineStr"/>
      <c r="T620" s="39" t="inlineStr"/>
      <c r="U620" s="39" t="inlineStr"/>
      <c r="V620" s="34" t="inlineStr">
        <is>
          <t>WBS Code = 1.3.1</t>
        </is>
      </c>
      <c r="W620" s="14" t="inlineStr"/>
    </row>
    <row r="621" ht="34" customHeight="1">
      <c r="A621" s="34" t="inlineStr">
        <is>
          <t>1.3.1</t>
        </is>
      </c>
      <c r="B621" s="34" t="inlineStr">
        <is>
          <t>Systems - Traction Power</t>
        </is>
      </c>
      <c r="C621" s="34" t="inlineStr">
        <is>
          <t>Contractor Programme</t>
        </is>
      </c>
      <c r="D621" s="34" t="inlineStr">
        <is>
          <t>SCH-03-104</t>
        </is>
      </c>
      <c r="E621" s="34" t="inlineStr">
        <is>
          <t>East substation: train-control cabinet fit-out - installation</t>
        </is>
      </c>
      <c r="F621" s="34" t="inlineStr">
        <is>
          <t>ONE_TO_ONE</t>
        </is>
      </c>
      <c r="G621" s="34" t="inlineStr">
        <is>
          <t>APPROVED</t>
        </is>
      </c>
      <c r="H621" s="34" t="inlineStr">
        <is>
          <t>New</t>
        </is>
      </c>
      <c r="I621" s="34" t="inlineStr">
        <is>
          <t>Source assignment -- not individually reviewed</t>
        </is>
      </c>
      <c r="J621" s="39" t="inlineStr"/>
      <c r="K621" s="34" t="inlineStr">
        <is>
          <t>Source assignment</t>
        </is>
      </c>
      <c r="L621" s="39" t="inlineStr"/>
      <c r="M621" s="34" t="inlineStr">
        <is>
          <t>Initial</t>
        </is>
      </c>
      <c r="N621" s="34" t="inlineStr">
        <is>
          <t>Rev 0</t>
        </is>
      </c>
      <c r="O621" s="34" t="inlineStr">
        <is>
          <t>R464-v1</t>
        </is>
      </c>
      <c r="P621" s="39" t="inlineStr"/>
      <c r="Q621" s="14" t="inlineStr"/>
      <c r="R621" s="39" t="inlineStr"/>
      <c r="S621" s="39" t="inlineStr"/>
      <c r="T621" s="39" t="inlineStr"/>
      <c r="U621" s="39" t="inlineStr"/>
      <c r="V621" s="34" t="inlineStr">
        <is>
          <t>WBS Code = 1.3.1</t>
        </is>
      </c>
      <c r="W621" s="14" t="inlineStr"/>
    </row>
    <row r="622" ht="34" customHeight="1">
      <c r="A622" s="34" t="inlineStr">
        <is>
          <t>1.3.1</t>
        </is>
      </c>
      <c r="B622" s="34" t="inlineStr">
        <is>
          <t>Systems - Traction Power</t>
        </is>
      </c>
      <c r="C622" s="34" t="inlineStr">
        <is>
          <t>Contractor Programme</t>
        </is>
      </c>
      <c r="D622" s="34" t="inlineStr">
        <is>
          <t>SCH-03-106</t>
        </is>
      </c>
      <c r="E622" s="34" t="inlineStr">
        <is>
          <t>Harbour Station: signal equipment installation - turnover</t>
        </is>
      </c>
      <c r="F622" s="34" t="inlineStr">
        <is>
          <t>ONE_TO_ONE</t>
        </is>
      </c>
      <c r="G622" s="34" t="inlineStr">
        <is>
          <t>APPROVED</t>
        </is>
      </c>
      <c r="H622" s="34" t="inlineStr">
        <is>
          <t>New</t>
        </is>
      </c>
      <c r="I622" s="34" t="inlineStr">
        <is>
          <t>Source assignment -- not individually reviewed</t>
        </is>
      </c>
      <c r="J622" s="39" t="inlineStr"/>
      <c r="K622" s="34" t="inlineStr">
        <is>
          <t>Source assignment</t>
        </is>
      </c>
      <c r="L622" s="39" t="inlineStr"/>
      <c r="M622" s="34" t="inlineStr">
        <is>
          <t>Initial</t>
        </is>
      </c>
      <c r="N622" s="34" t="inlineStr">
        <is>
          <t>Rev 0</t>
        </is>
      </c>
      <c r="O622" s="34" t="inlineStr">
        <is>
          <t>R466-v1</t>
        </is>
      </c>
      <c r="P622" s="39" t="inlineStr"/>
      <c r="Q622" s="14" t="inlineStr"/>
      <c r="R622" s="39" t="inlineStr"/>
      <c r="S622" s="39" t="inlineStr"/>
      <c r="T622" s="39" t="inlineStr"/>
      <c r="U622" s="39" t="inlineStr"/>
      <c r="V622" s="34" t="inlineStr">
        <is>
          <t>WBS Code = 1.3.1</t>
        </is>
      </c>
      <c r="W622" s="14" t="inlineStr"/>
    </row>
    <row r="623" ht="34" customHeight="1">
      <c r="A623" s="34" t="inlineStr">
        <is>
          <t>1.3.1</t>
        </is>
      </c>
      <c r="B623" s="34" t="inlineStr">
        <is>
          <t>Systems - Traction Power</t>
        </is>
      </c>
      <c r="C623" s="34" t="inlineStr">
        <is>
          <t>Contractor Programme</t>
        </is>
      </c>
      <c r="D623" s="34" t="inlineStr">
        <is>
          <t>SCH-03-107</t>
        </is>
      </c>
      <c r="E623" s="34" t="inlineStr">
        <is>
          <t>Control Centre: radio equipment installation - release</t>
        </is>
      </c>
      <c r="F623" s="34" t="inlineStr">
        <is>
          <t>ONE_TO_ONE</t>
        </is>
      </c>
      <c r="G623" s="34" t="inlineStr">
        <is>
          <t>APPROVED</t>
        </is>
      </c>
      <c r="H623" s="34" t="inlineStr">
        <is>
          <t>New</t>
        </is>
      </c>
      <c r="I623" s="34" t="inlineStr">
        <is>
          <t>Source assignment -- not individually reviewed</t>
        </is>
      </c>
      <c r="J623" s="39" t="inlineStr"/>
      <c r="K623" s="34" t="inlineStr">
        <is>
          <t>Source assignment</t>
        </is>
      </c>
      <c r="L623" s="39" t="inlineStr"/>
      <c r="M623" s="34" t="inlineStr">
        <is>
          <t>Initial</t>
        </is>
      </c>
      <c r="N623" s="34" t="inlineStr">
        <is>
          <t>Rev 0</t>
        </is>
      </c>
      <c r="O623" s="34" t="inlineStr">
        <is>
          <t>R467-v1</t>
        </is>
      </c>
      <c r="P623" s="39" t="inlineStr"/>
      <c r="Q623" s="14" t="inlineStr"/>
      <c r="R623" s="39" t="inlineStr"/>
      <c r="S623" s="39" t="inlineStr"/>
      <c r="T623" s="39" t="inlineStr"/>
      <c r="U623" s="39" t="inlineStr"/>
      <c r="V623" s="34" t="inlineStr">
        <is>
          <t>WBS Code = 1.3.1</t>
        </is>
      </c>
      <c r="W623" s="14" t="inlineStr"/>
    </row>
    <row r="624" ht="34" customHeight="1">
      <c r="A624" s="34" t="inlineStr">
        <is>
          <t>1.3.1</t>
        </is>
      </c>
      <c r="B624" s="34" t="inlineStr">
        <is>
          <t>Systems - Traction Power</t>
        </is>
      </c>
      <c r="C624" s="34" t="inlineStr">
        <is>
          <t>Contractor Programme</t>
        </is>
      </c>
      <c r="D624" s="34" t="inlineStr">
        <is>
          <t>SCH-03-109</t>
        </is>
      </c>
      <c r="E624" s="34" t="inlineStr">
        <is>
          <t>East substation: fibre backbone termination - installation</t>
        </is>
      </c>
      <c r="F624" s="34" t="inlineStr">
        <is>
          <t>ONE_TO_ONE</t>
        </is>
      </c>
      <c r="G624" s="34" t="inlineStr">
        <is>
          <t>APPROVED</t>
        </is>
      </c>
      <c r="H624" s="34" t="inlineStr">
        <is>
          <t>New</t>
        </is>
      </c>
      <c r="I624" s="34" t="inlineStr">
        <is>
          <t>Source assignment -- not individually reviewed</t>
        </is>
      </c>
      <c r="J624" s="39" t="inlineStr"/>
      <c r="K624" s="34" t="inlineStr">
        <is>
          <t>Source assignment</t>
        </is>
      </c>
      <c r="L624" s="39" t="inlineStr"/>
      <c r="M624" s="34" t="inlineStr">
        <is>
          <t>Initial</t>
        </is>
      </c>
      <c r="N624" s="34" t="inlineStr">
        <is>
          <t>Rev 0</t>
        </is>
      </c>
      <c r="O624" s="34" t="inlineStr">
        <is>
          <t>R469-v1</t>
        </is>
      </c>
      <c r="P624" s="39" t="inlineStr"/>
      <c r="Q624" s="14" t="inlineStr"/>
      <c r="R624" s="39" t="inlineStr"/>
      <c r="S624" s="39" t="inlineStr"/>
      <c r="T624" s="39" t="inlineStr"/>
      <c r="U624" s="39" t="inlineStr"/>
      <c r="V624" s="34" t="inlineStr">
        <is>
          <t>WBS Code = 1.3.1</t>
        </is>
      </c>
      <c r="W624" s="14" t="inlineStr"/>
    </row>
    <row r="625" ht="34" customHeight="1">
      <c r="A625" s="34" t="inlineStr">
        <is>
          <t>1.3.1</t>
        </is>
      </c>
      <c r="B625" s="34" t="inlineStr">
        <is>
          <t>Systems - Traction Power</t>
        </is>
      </c>
      <c r="C625" s="34" t="inlineStr">
        <is>
          <t>Contractor Programme</t>
        </is>
      </c>
      <c r="D625" s="34" t="inlineStr">
        <is>
          <t>SCH-03-110</t>
        </is>
      </c>
      <c r="E625" s="34" t="inlineStr">
        <is>
          <t>Central interlocking: SCADA point-to-point check - inspection</t>
        </is>
      </c>
      <c r="F625" s="34" t="inlineStr">
        <is>
          <t>ONE_TO_ONE</t>
        </is>
      </c>
      <c r="G625" s="34" t="inlineStr">
        <is>
          <t>APPROVED</t>
        </is>
      </c>
      <c r="H625" s="34" t="inlineStr">
        <is>
          <t>New</t>
        </is>
      </c>
      <c r="I625" s="34" t="inlineStr">
        <is>
          <t>Source assignment -- not individually reviewed</t>
        </is>
      </c>
      <c r="J625" s="39" t="inlineStr"/>
      <c r="K625" s="34" t="inlineStr">
        <is>
          <t>Source assignment</t>
        </is>
      </c>
      <c r="L625" s="39" t="inlineStr"/>
      <c r="M625" s="34" t="inlineStr">
        <is>
          <t>Initial</t>
        </is>
      </c>
      <c r="N625" s="34" t="inlineStr">
        <is>
          <t>Rev 0</t>
        </is>
      </c>
      <c r="O625" s="34" t="inlineStr">
        <is>
          <t>R470-v1</t>
        </is>
      </c>
      <c r="P625" s="39" t="inlineStr"/>
      <c r="Q625" s="14" t="inlineStr"/>
      <c r="R625" s="39" t="inlineStr"/>
      <c r="S625" s="39" t="inlineStr"/>
      <c r="T625" s="39" t="inlineStr"/>
      <c r="U625" s="39" t="inlineStr"/>
      <c r="V625" s="34" t="inlineStr">
        <is>
          <t>WBS Code = 1.3.1</t>
        </is>
      </c>
      <c r="W625" s="14" t="inlineStr"/>
    </row>
    <row r="626" ht="34" customHeight="1">
      <c r="A626" s="34" t="inlineStr">
        <is>
          <t>1.3.1</t>
        </is>
      </c>
      <c r="B626" s="34" t="inlineStr">
        <is>
          <t>Systems - Traction Power</t>
        </is>
      </c>
      <c r="C626" s="34" t="inlineStr">
        <is>
          <t>Contractor Programme</t>
        </is>
      </c>
      <c r="D626" s="34" t="inlineStr">
        <is>
          <t>SCH-03-112</t>
        </is>
      </c>
      <c r="E626" s="34" t="inlineStr">
        <is>
          <t>Control Centre: train-control cabinet fit-out - release</t>
        </is>
      </c>
      <c r="F626" s="34" t="inlineStr">
        <is>
          <t>ONE_TO_ONE</t>
        </is>
      </c>
      <c r="G626" s="34" t="inlineStr">
        <is>
          <t>APPROVED</t>
        </is>
      </c>
      <c r="H626" s="34" t="inlineStr">
        <is>
          <t>New</t>
        </is>
      </c>
      <c r="I626" s="34" t="inlineStr">
        <is>
          <t>Source assignment -- not individually reviewed</t>
        </is>
      </c>
      <c r="J626" s="39" t="inlineStr"/>
      <c r="K626" s="34" t="inlineStr">
        <is>
          <t>Source assignment</t>
        </is>
      </c>
      <c r="L626" s="39" t="inlineStr"/>
      <c r="M626" s="34" t="inlineStr">
        <is>
          <t>Initial</t>
        </is>
      </c>
      <c r="N626" s="34" t="inlineStr">
        <is>
          <t>Rev 0</t>
        </is>
      </c>
      <c r="O626" s="34" t="inlineStr">
        <is>
          <t>R472-v1</t>
        </is>
      </c>
      <c r="P626" s="39" t="inlineStr"/>
      <c r="Q626" s="14" t="inlineStr"/>
      <c r="R626" s="39" t="inlineStr"/>
      <c r="S626" s="39" t="inlineStr"/>
      <c r="T626" s="39" t="inlineStr"/>
      <c r="U626" s="39" t="inlineStr"/>
      <c r="V626" s="34" t="inlineStr">
        <is>
          <t>WBS Code = 1.3.1</t>
        </is>
      </c>
      <c r="W626" s="14" t="inlineStr"/>
    </row>
    <row r="627" ht="34" customHeight="1">
      <c r="A627" s="34" t="inlineStr">
        <is>
          <t>1.3.1</t>
        </is>
      </c>
      <c r="B627" s="34" t="inlineStr">
        <is>
          <t>Systems - Traction Power</t>
        </is>
      </c>
      <c r="C627" s="34" t="inlineStr">
        <is>
          <t>Contractor Programme</t>
        </is>
      </c>
      <c r="D627" s="34" t="inlineStr">
        <is>
          <t>SCH-03-113</t>
        </is>
      </c>
      <c r="E627" s="34" t="inlineStr">
        <is>
          <t>West wayside: wayside interface test - field start</t>
        </is>
      </c>
      <c r="F627" s="34" t="inlineStr">
        <is>
          <t>ONE_TO_ONE</t>
        </is>
      </c>
      <c r="G627" s="34" t="inlineStr">
        <is>
          <t>APPROVED</t>
        </is>
      </c>
      <c r="H627" s="34" t="inlineStr">
        <is>
          <t>New</t>
        </is>
      </c>
      <c r="I627" s="34" t="inlineStr">
        <is>
          <t>Source assignment -- not individually reviewed</t>
        </is>
      </c>
      <c r="J627" s="39" t="inlineStr"/>
      <c r="K627" s="34" t="inlineStr">
        <is>
          <t>Source assignment</t>
        </is>
      </c>
      <c r="L627" s="39" t="inlineStr"/>
      <c r="M627" s="34" t="inlineStr">
        <is>
          <t>Initial</t>
        </is>
      </c>
      <c r="N627" s="34" t="inlineStr">
        <is>
          <t>Rev 0</t>
        </is>
      </c>
      <c r="O627" s="34" t="inlineStr">
        <is>
          <t>R473-v1</t>
        </is>
      </c>
      <c r="P627" s="39" t="inlineStr"/>
      <c r="Q627" s="14" t="inlineStr"/>
      <c r="R627" s="39" t="inlineStr"/>
      <c r="S627" s="39" t="inlineStr"/>
      <c r="T627" s="39" t="inlineStr"/>
      <c r="U627" s="39" t="inlineStr"/>
      <c r="V627" s="34" t="inlineStr">
        <is>
          <t>WBS Code = 1.3.1</t>
        </is>
      </c>
      <c r="W627" s="14" t="inlineStr"/>
    </row>
    <row r="628" ht="34" customHeight="1">
      <c r="A628" s="34" t="inlineStr">
        <is>
          <t>1.3.1</t>
        </is>
      </c>
      <c r="B628" s="34" t="inlineStr">
        <is>
          <t>Systems - Traction Power</t>
        </is>
      </c>
      <c r="C628" s="34" t="inlineStr">
        <is>
          <t>Contractor Programme</t>
        </is>
      </c>
      <c r="D628" s="34" t="inlineStr">
        <is>
          <t>SCH-03-115</t>
        </is>
      </c>
      <c r="E628" s="34" t="inlineStr">
        <is>
          <t>Central interlocking: radio equipment installation - inspection</t>
        </is>
      </c>
      <c r="F628" s="34" t="inlineStr">
        <is>
          <t>ONE_TO_ONE</t>
        </is>
      </c>
      <c r="G628" s="34" t="inlineStr">
        <is>
          <t>APPROVED</t>
        </is>
      </c>
      <c r="H628" s="34" t="inlineStr">
        <is>
          <t>New</t>
        </is>
      </c>
      <c r="I628" s="34" t="inlineStr">
        <is>
          <t>Source assignment -- not individually reviewed</t>
        </is>
      </c>
      <c r="J628" s="39" t="inlineStr"/>
      <c r="K628" s="34" t="inlineStr">
        <is>
          <t>Source assignment</t>
        </is>
      </c>
      <c r="L628" s="39" t="inlineStr"/>
      <c r="M628" s="34" t="inlineStr">
        <is>
          <t>Initial</t>
        </is>
      </c>
      <c r="N628" s="34" t="inlineStr">
        <is>
          <t>Rev 0</t>
        </is>
      </c>
      <c r="O628" s="34" t="inlineStr">
        <is>
          <t>R475-v1</t>
        </is>
      </c>
      <c r="P628" s="39" t="inlineStr"/>
      <c r="Q628" s="14" t="inlineStr"/>
      <c r="R628" s="39" t="inlineStr"/>
      <c r="S628" s="39" t="inlineStr"/>
      <c r="T628" s="39" t="inlineStr"/>
      <c r="U628" s="39" t="inlineStr"/>
      <c r="V628" s="34" t="inlineStr">
        <is>
          <t>WBS Code = 1.3.1</t>
        </is>
      </c>
      <c r="W628" s="14" t="inlineStr"/>
    </row>
    <row r="629" ht="34" customHeight="1">
      <c r="A629" s="34" t="inlineStr">
        <is>
          <t>1.3.1</t>
        </is>
      </c>
      <c r="B629" s="34" t="inlineStr">
        <is>
          <t>Systems - Traction Power</t>
        </is>
      </c>
      <c r="C629" s="34" t="inlineStr">
        <is>
          <t>Contractor Programme</t>
        </is>
      </c>
      <c r="D629" s="34" t="inlineStr">
        <is>
          <t>SCH-03-116</t>
        </is>
      </c>
      <c r="E629" s="34" t="inlineStr">
        <is>
          <t>Harbour Station: control-centre integration - turnover</t>
        </is>
      </c>
      <c r="F629" s="34" t="inlineStr">
        <is>
          <t>ONE_TO_ONE</t>
        </is>
      </c>
      <c r="G629" s="34" t="inlineStr">
        <is>
          <t>APPROVED</t>
        </is>
      </c>
      <c r="H629" s="34" t="inlineStr">
        <is>
          <t>New</t>
        </is>
      </c>
      <c r="I629" s="34" t="inlineStr">
        <is>
          <t>Source assignment -- not individually reviewed</t>
        </is>
      </c>
      <c r="J629" s="39" t="inlineStr"/>
      <c r="K629" s="34" t="inlineStr">
        <is>
          <t>Source assignment</t>
        </is>
      </c>
      <c r="L629" s="39" t="inlineStr"/>
      <c r="M629" s="34" t="inlineStr">
        <is>
          <t>Initial</t>
        </is>
      </c>
      <c r="N629" s="34" t="inlineStr">
        <is>
          <t>Rev 0</t>
        </is>
      </c>
      <c r="O629" s="34" t="inlineStr">
        <is>
          <t>R476-v1</t>
        </is>
      </c>
      <c r="P629" s="39" t="inlineStr"/>
      <c r="Q629" s="14" t="inlineStr"/>
      <c r="R629" s="39" t="inlineStr"/>
      <c r="S629" s="39" t="inlineStr"/>
      <c r="T629" s="39" t="inlineStr"/>
      <c r="U629" s="39" t="inlineStr"/>
      <c r="V629" s="34" t="inlineStr">
        <is>
          <t>WBS Code = 1.3.1</t>
        </is>
      </c>
      <c r="W629" s="14" t="inlineStr"/>
    </row>
    <row r="630" ht="34" customHeight="1">
      <c r="A630" s="34" t="inlineStr">
        <is>
          <t>1.3.1</t>
        </is>
      </c>
      <c r="B630" s="34" t="inlineStr">
        <is>
          <t>Systems - Traction Power</t>
        </is>
      </c>
      <c r="C630" s="34" t="inlineStr">
        <is>
          <t>Contractor Programme</t>
        </is>
      </c>
      <c r="D630" s="34" t="inlineStr">
        <is>
          <t>SCH-03-118</t>
        </is>
      </c>
      <c r="E630" s="34" t="inlineStr">
        <is>
          <t>West wayside: SCADA point-to-point check - field start</t>
        </is>
      </c>
      <c r="F630" s="34" t="inlineStr">
        <is>
          <t>ONE_TO_ONE</t>
        </is>
      </c>
      <c r="G630" s="34" t="inlineStr">
        <is>
          <t>APPROVED</t>
        </is>
      </c>
      <c r="H630" s="34" t="inlineStr">
        <is>
          <t>New</t>
        </is>
      </c>
      <c r="I630" s="34" t="inlineStr">
        <is>
          <t>Source assignment -- not individually reviewed</t>
        </is>
      </c>
      <c r="J630" s="39" t="inlineStr"/>
      <c r="K630" s="34" t="inlineStr">
        <is>
          <t>Source assignment</t>
        </is>
      </c>
      <c r="L630" s="39" t="inlineStr"/>
      <c r="M630" s="34" t="inlineStr">
        <is>
          <t>Initial</t>
        </is>
      </c>
      <c r="N630" s="34" t="inlineStr">
        <is>
          <t>Rev 0</t>
        </is>
      </c>
      <c r="O630" s="34" t="inlineStr">
        <is>
          <t>R478-v1</t>
        </is>
      </c>
      <c r="P630" s="39" t="inlineStr"/>
      <c r="Q630" s="14" t="inlineStr"/>
      <c r="R630" s="39" t="inlineStr"/>
      <c r="S630" s="39" t="inlineStr"/>
      <c r="T630" s="39" t="inlineStr"/>
      <c r="U630" s="39" t="inlineStr"/>
      <c r="V630" s="34" t="inlineStr">
        <is>
          <t>WBS Code = 1.3.1</t>
        </is>
      </c>
      <c r="W630" s="14" t="inlineStr"/>
    </row>
    <row r="631" ht="34" customHeight="1">
      <c r="A631" s="34" t="inlineStr">
        <is>
          <t>1.3.1</t>
        </is>
      </c>
      <c r="B631" s="34" t="inlineStr">
        <is>
          <t>Systems - Traction Power</t>
        </is>
      </c>
      <c r="C631" s="34" t="inlineStr">
        <is>
          <t>Contractor Programme</t>
        </is>
      </c>
      <c r="D631" s="34" t="inlineStr">
        <is>
          <t>SCH-03-119</t>
        </is>
      </c>
      <c r="E631" s="34" t="inlineStr">
        <is>
          <t>East substation: traction-power feeder pull - installation</t>
        </is>
      </c>
      <c r="F631" s="34" t="inlineStr">
        <is>
          <t>ONE_TO_ONE</t>
        </is>
      </c>
      <c r="G631" s="34" t="inlineStr">
        <is>
          <t>APPROVED</t>
        </is>
      </c>
      <c r="H631" s="34" t="inlineStr">
        <is>
          <t>New</t>
        </is>
      </c>
      <c r="I631" s="34" t="inlineStr">
        <is>
          <t>Source assignment -- not individually reviewed</t>
        </is>
      </c>
      <c r="J631" s="39" t="inlineStr"/>
      <c r="K631" s="34" t="inlineStr">
        <is>
          <t>Source assignment</t>
        </is>
      </c>
      <c r="L631" s="39" t="inlineStr"/>
      <c r="M631" s="34" t="inlineStr">
        <is>
          <t>Initial</t>
        </is>
      </c>
      <c r="N631" s="34" t="inlineStr">
        <is>
          <t>Rev 0</t>
        </is>
      </c>
      <c r="O631" s="34" t="inlineStr">
        <is>
          <t>R479-v1</t>
        </is>
      </c>
      <c r="P631" s="39" t="inlineStr"/>
      <c r="Q631" s="14" t="inlineStr"/>
      <c r="R631" s="39" t="inlineStr"/>
      <c r="S631" s="39" t="inlineStr"/>
      <c r="T631" s="39" t="inlineStr"/>
      <c r="U631" s="39" t="inlineStr"/>
      <c r="V631" s="34" t="inlineStr">
        <is>
          <t>WBS Code = 1.3.1</t>
        </is>
      </c>
      <c r="W631" s="14" t="inlineStr"/>
    </row>
    <row r="632" ht="34" customHeight="1">
      <c r="A632" s="34" t="inlineStr">
        <is>
          <t>1.3.1</t>
        </is>
      </c>
      <c r="B632" s="34" t="inlineStr">
        <is>
          <t>Systems - Traction Power</t>
        </is>
      </c>
      <c r="C632" s="34" t="inlineStr">
        <is>
          <t>Contractor Programme</t>
        </is>
      </c>
      <c r="D632" s="34" t="inlineStr">
        <is>
          <t>SCH-03-121</t>
        </is>
      </c>
      <c r="E632" s="34" t="inlineStr">
        <is>
          <t>Harbour Station: wayside interface test - turnover</t>
        </is>
      </c>
      <c r="F632" s="34" t="inlineStr">
        <is>
          <t>ONE_TO_ONE</t>
        </is>
      </c>
      <c r="G632" s="34" t="inlineStr">
        <is>
          <t>APPROVED</t>
        </is>
      </c>
      <c r="H632" s="34" t="inlineStr">
        <is>
          <t>New</t>
        </is>
      </c>
      <c r="I632" s="34" t="inlineStr">
        <is>
          <t>Source assignment -- not individually reviewed</t>
        </is>
      </c>
      <c r="J632" s="39" t="inlineStr"/>
      <c r="K632" s="34" t="inlineStr">
        <is>
          <t>Source assignment</t>
        </is>
      </c>
      <c r="L632" s="39" t="inlineStr"/>
      <c r="M632" s="34" t="inlineStr">
        <is>
          <t>Initial</t>
        </is>
      </c>
      <c r="N632" s="34" t="inlineStr">
        <is>
          <t>Rev 0</t>
        </is>
      </c>
      <c r="O632" s="34" t="inlineStr">
        <is>
          <t>R481-v1</t>
        </is>
      </c>
      <c r="P632" s="39" t="inlineStr"/>
      <c r="Q632" s="14" t="inlineStr"/>
      <c r="R632" s="39" t="inlineStr"/>
      <c r="S632" s="39" t="inlineStr"/>
      <c r="T632" s="39" t="inlineStr"/>
      <c r="U632" s="39" t="inlineStr"/>
      <c r="V632" s="34" t="inlineStr">
        <is>
          <t>WBS Code = 1.3.1</t>
        </is>
      </c>
      <c r="W632" s="14" t="inlineStr"/>
    </row>
    <row r="633" ht="34" customHeight="1">
      <c r="A633" s="34" t="inlineStr">
        <is>
          <t>1.3.1</t>
        </is>
      </c>
      <c r="B633" s="34" t="inlineStr">
        <is>
          <t>Systems - Traction Power</t>
        </is>
      </c>
      <c r="C633" s="34" t="inlineStr">
        <is>
          <t>Contractor Programme</t>
        </is>
      </c>
      <c r="D633" s="34" t="inlineStr">
        <is>
          <t>SCH-03-122</t>
        </is>
      </c>
      <c r="E633" s="34" t="inlineStr">
        <is>
          <t>Control Centre: signal equipment installation - release</t>
        </is>
      </c>
      <c r="F633" s="34" t="inlineStr">
        <is>
          <t>ONE_TO_ONE</t>
        </is>
      </c>
      <c r="G633" s="34" t="inlineStr">
        <is>
          <t>APPROVED</t>
        </is>
      </c>
      <c r="H633" s="34" t="inlineStr">
        <is>
          <t>New</t>
        </is>
      </c>
      <c r="I633" s="34" t="inlineStr">
        <is>
          <t>Source assignment -- not individually reviewed</t>
        </is>
      </c>
      <c r="J633" s="39" t="inlineStr"/>
      <c r="K633" s="34" t="inlineStr">
        <is>
          <t>Source assignment</t>
        </is>
      </c>
      <c r="L633" s="39" t="inlineStr"/>
      <c r="M633" s="34" t="inlineStr">
        <is>
          <t>Initial</t>
        </is>
      </c>
      <c r="N633" s="34" t="inlineStr">
        <is>
          <t>Rev 0</t>
        </is>
      </c>
      <c r="O633" s="34" t="inlineStr">
        <is>
          <t>R482-v1</t>
        </is>
      </c>
      <c r="P633" s="39" t="inlineStr"/>
      <c r="Q633" s="14" t="inlineStr"/>
      <c r="R633" s="39" t="inlineStr"/>
      <c r="S633" s="39" t="inlineStr"/>
      <c r="T633" s="39" t="inlineStr"/>
      <c r="U633" s="39" t="inlineStr"/>
      <c r="V633" s="34" t="inlineStr">
        <is>
          <t>WBS Code = 1.3.1</t>
        </is>
      </c>
      <c r="W633" s="14" t="inlineStr"/>
    </row>
    <row r="634" ht="34" customHeight="1">
      <c r="A634" s="34" t="inlineStr">
        <is>
          <t>1.3.1</t>
        </is>
      </c>
      <c r="B634" s="34" t="inlineStr">
        <is>
          <t>Systems - Traction Power</t>
        </is>
      </c>
      <c r="C634" s="34" t="inlineStr">
        <is>
          <t>Contractor Programme</t>
        </is>
      </c>
      <c r="D634" s="34" t="inlineStr">
        <is>
          <t>SCH-03-124</t>
        </is>
      </c>
      <c r="E634" s="34" t="inlineStr">
        <is>
          <t>East substation: control-centre integration - installation</t>
        </is>
      </c>
      <c r="F634" s="34" t="inlineStr">
        <is>
          <t>ONE_TO_ONE</t>
        </is>
      </c>
      <c r="G634" s="34" t="inlineStr">
        <is>
          <t>APPROVED</t>
        </is>
      </c>
      <c r="H634" s="34" t="inlineStr">
        <is>
          <t>New</t>
        </is>
      </c>
      <c r="I634" s="34" t="inlineStr">
        <is>
          <t>Source assignment -- not individually reviewed</t>
        </is>
      </c>
      <c r="J634" s="39" t="inlineStr"/>
      <c r="K634" s="34" t="inlineStr">
        <is>
          <t>Source assignment</t>
        </is>
      </c>
      <c r="L634" s="39" t="inlineStr"/>
      <c r="M634" s="34" t="inlineStr">
        <is>
          <t>Initial</t>
        </is>
      </c>
      <c r="N634" s="34" t="inlineStr">
        <is>
          <t>Rev 0</t>
        </is>
      </c>
      <c r="O634" s="34" t="inlineStr">
        <is>
          <t>R484-v1</t>
        </is>
      </c>
      <c r="P634" s="39" t="inlineStr"/>
      <c r="Q634" s="14" t="inlineStr"/>
      <c r="R634" s="39" t="inlineStr"/>
      <c r="S634" s="39" t="inlineStr"/>
      <c r="T634" s="39" t="inlineStr"/>
      <c r="U634" s="39" t="inlineStr"/>
      <c r="V634" s="34" t="inlineStr">
        <is>
          <t>WBS Code = 1.3.1</t>
        </is>
      </c>
      <c r="W634" s="14" t="inlineStr"/>
    </row>
    <row r="635" ht="34" customHeight="1">
      <c r="A635" s="34" t="inlineStr">
        <is>
          <t>1.3.1</t>
        </is>
      </c>
      <c r="B635" s="34" t="inlineStr">
        <is>
          <t>Systems - Traction Power</t>
        </is>
      </c>
      <c r="C635" s="34" t="inlineStr">
        <is>
          <t>Contractor Programme</t>
        </is>
      </c>
      <c r="D635" s="34" t="inlineStr">
        <is>
          <t>SCH-03-125</t>
        </is>
      </c>
      <c r="E635" s="34" t="inlineStr">
        <is>
          <t>Central interlocking: fibre backbone termination - inspection</t>
        </is>
      </c>
      <c r="F635" s="34" t="inlineStr">
        <is>
          <t>ONE_TO_ONE</t>
        </is>
      </c>
      <c r="G635" s="34" t="inlineStr">
        <is>
          <t>APPROVED</t>
        </is>
      </c>
      <c r="H635" s="34" t="inlineStr">
        <is>
          <t>New</t>
        </is>
      </c>
      <c r="I635" s="34" t="inlineStr">
        <is>
          <t>Source assignment -- not individually reviewed</t>
        </is>
      </c>
      <c r="J635" s="39" t="inlineStr"/>
      <c r="K635" s="34" t="inlineStr">
        <is>
          <t>Source assignment</t>
        </is>
      </c>
      <c r="L635" s="39" t="inlineStr"/>
      <c r="M635" s="34" t="inlineStr">
        <is>
          <t>Initial</t>
        </is>
      </c>
      <c r="N635" s="34" t="inlineStr">
        <is>
          <t>Rev 0</t>
        </is>
      </c>
      <c r="O635" s="34" t="inlineStr">
        <is>
          <t>R485-v1</t>
        </is>
      </c>
      <c r="P635" s="39" t="inlineStr"/>
      <c r="Q635" s="14" t="inlineStr"/>
      <c r="R635" s="39" t="inlineStr"/>
      <c r="S635" s="39" t="inlineStr"/>
      <c r="T635" s="39" t="inlineStr"/>
      <c r="U635" s="39" t="inlineStr"/>
      <c r="V635" s="34" t="inlineStr">
        <is>
          <t>WBS Code = 1.3.1</t>
        </is>
      </c>
      <c r="W635" s="14" t="inlineStr"/>
    </row>
    <row r="636" ht="34" customHeight="1">
      <c r="A636" s="34" t="inlineStr">
        <is>
          <t>1.3.1</t>
        </is>
      </c>
      <c r="B636" s="34" t="inlineStr">
        <is>
          <t>Systems - Traction Power</t>
        </is>
      </c>
      <c r="C636" s="34" t="inlineStr">
        <is>
          <t>Contractor Programme</t>
        </is>
      </c>
      <c r="D636" s="34" t="inlineStr">
        <is>
          <t>SCH-03-127</t>
        </is>
      </c>
      <c r="E636" s="34" t="inlineStr">
        <is>
          <t>Control Centre: traction-power feeder pull - release</t>
        </is>
      </c>
      <c r="F636" s="34" t="inlineStr">
        <is>
          <t>ONE_TO_ONE</t>
        </is>
      </c>
      <c r="G636" s="34" t="inlineStr">
        <is>
          <t>APPROVED</t>
        </is>
      </c>
      <c r="H636" s="34" t="inlineStr">
        <is>
          <t>New</t>
        </is>
      </c>
      <c r="I636" s="34" t="inlineStr">
        <is>
          <t>Source assignment -- not individually reviewed</t>
        </is>
      </c>
      <c r="J636" s="39" t="inlineStr"/>
      <c r="K636" s="34" t="inlineStr">
        <is>
          <t>Source assignment</t>
        </is>
      </c>
      <c r="L636" s="39" t="inlineStr"/>
      <c r="M636" s="34" t="inlineStr">
        <is>
          <t>Initial</t>
        </is>
      </c>
      <c r="N636" s="34" t="inlineStr">
        <is>
          <t>Rev 0</t>
        </is>
      </c>
      <c r="O636" s="34" t="inlineStr">
        <is>
          <t>R487-v1</t>
        </is>
      </c>
      <c r="P636" s="39" t="inlineStr"/>
      <c r="Q636" s="14" t="inlineStr"/>
      <c r="R636" s="39" t="inlineStr"/>
      <c r="S636" s="39" t="inlineStr"/>
      <c r="T636" s="39" t="inlineStr"/>
      <c r="U636" s="39" t="inlineStr"/>
      <c r="V636" s="34" t="inlineStr">
        <is>
          <t>WBS Code = 1.3.1</t>
        </is>
      </c>
      <c r="W636" s="14" t="inlineStr"/>
    </row>
    <row r="637" ht="34" customHeight="1">
      <c r="A637" s="34" t="inlineStr">
        <is>
          <t>1.3.1</t>
        </is>
      </c>
      <c r="B637" s="34" t="inlineStr">
        <is>
          <t>Systems - Traction Power</t>
        </is>
      </c>
      <c r="C637" s="34" t="inlineStr">
        <is>
          <t>Contractor Programme</t>
        </is>
      </c>
      <c r="D637" s="34" t="inlineStr">
        <is>
          <t>SCH-03-128</t>
        </is>
      </c>
      <c r="E637" s="34" t="inlineStr">
        <is>
          <t>West wayside: train-control cabinet fit-out - field start</t>
        </is>
      </c>
      <c r="F637" s="34" t="inlineStr">
        <is>
          <t>ONE_TO_ONE</t>
        </is>
      </c>
      <c r="G637" s="34" t="inlineStr">
        <is>
          <t>APPROVED</t>
        </is>
      </c>
      <c r="H637" s="34" t="inlineStr">
        <is>
          <t>New</t>
        </is>
      </c>
      <c r="I637" s="34" t="inlineStr">
        <is>
          <t>Source assignment -- not individually reviewed</t>
        </is>
      </c>
      <c r="J637" s="39" t="inlineStr"/>
      <c r="K637" s="34" t="inlineStr">
        <is>
          <t>Source assignment</t>
        </is>
      </c>
      <c r="L637" s="39" t="inlineStr"/>
      <c r="M637" s="34" t="inlineStr">
        <is>
          <t>Initial</t>
        </is>
      </c>
      <c r="N637" s="34" t="inlineStr">
        <is>
          <t>Rev 0</t>
        </is>
      </c>
      <c r="O637" s="34" t="inlineStr">
        <is>
          <t>R488-v1</t>
        </is>
      </c>
      <c r="P637" s="39" t="inlineStr"/>
      <c r="Q637" s="14" t="inlineStr"/>
      <c r="R637" s="39" t="inlineStr"/>
      <c r="S637" s="39" t="inlineStr"/>
      <c r="T637" s="39" t="inlineStr"/>
      <c r="U637" s="39" t="inlineStr"/>
      <c r="V637" s="34" t="inlineStr">
        <is>
          <t>WBS Code = 1.3.1</t>
        </is>
      </c>
      <c r="W637" s="14" t="inlineStr"/>
    </row>
    <row r="638" ht="34" customHeight="1">
      <c r="A638" s="34" t="inlineStr">
        <is>
          <t>1.3.1</t>
        </is>
      </c>
      <c r="B638" s="34" t="inlineStr">
        <is>
          <t>Systems - Traction Power</t>
        </is>
      </c>
      <c r="C638" s="34" t="inlineStr">
        <is>
          <t>Contractor Programme</t>
        </is>
      </c>
      <c r="D638" s="34" t="inlineStr">
        <is>
          <t>SCH-03-130</t>
        </is>
      </c>
      <c r="E638" s="34" t="inlineStr">
        <is>
          <t>Central interlocking: signal equipment installation - inspection</t>
        </is>
      </c>
      <c r="F638" s="34" t="inlineStr">
        <is>
          <t>ONE_TO_ONE</t>
        </is>
      </c>
      <c r="G638" s="34" t="inlineStr">
        <is>
          <t>APPROVED</t>
        </is>
      </c>
      <c r="H638" s="34" t="inlineStr">
        <is>
          <t>New</t>
        </is>
      </c>
      <c r="I638" s="34" t="inlineStr">
        <is>
          <t>Source assignment -- not individually reviewed</t>
        </is>
      </c>
      <c r="J638" s="39" t="inlineStr"/>
      <c r="K638" s="34" t="inlineStr">
        <is>
          <t>Source assignment</t>
        </is>
      </c>
      <c r="L638" s="39" t="inlineStr"/>
      <c r="M638" s="34" t="inlineStr">
        <is>
          <t>Initial</t>
        </is>
      </c>
      <c r="N638" s="34" t="inlineStr">
        <is>
          <t>Rev 0</t>
        </is>
      </c>
      <c r="O638" s="34" t="inlineStr">
        <is>
          <t>R490-v1</t>
        </is>
      </c>
      <c r="P638" s="39" t="inlineStr"/>
      <c r="Q638" s="14" t="inlineStr"/>
      <c r="R638" s="39" t="inlineStr"/>
      <c r="S638" s="39" t="inlineStr"/>
      <c r="T638" s="39" t="inlineStr"/>
      <c r="U638" s="39" t="inlineStr"/>
      <c r="V638" s="34" t="inlineStr">
        <is>
          <t>WBS Code = 1.3.1</t>
        </is>
      </c>
      <c r="W638" s="14" t="inlineStr"/>
    </row>
    <row r="639" ht="34" customHeight="1">
      <c r="A639" s="34" t="inlineStr">
        <is>
          <t>1.3.1</t>
        </is>
      </c>
      <c r="B639" s="34" t="inlineStr">
        <is>
          <t>Systems - Traction Power</t>
        </is>
      </c>
      <c r="C639" s="34" t="inlineStr">
        <is>
          <t>Contractor Programme</t>
        </is>
      </c>
      <c r="D639" s="34" t="inlineStr">
        <is>
          <t>SCH-03-131</t>
        </is>
      </c>
      <c r="E639" s="34" t="inlineStr">
        <is>
          <t>Harbour Station: radio equipment installation - turnover</t>
        </is>
      </c>
      <c r="F639" s="34" t="inlineStr">
        <is>
          <t>ONE_TO_ONE</t>
        </is>
      </c>
      <c r="G639" s="34" t="inlineStr">
        <is>
          <t>APPROVED</t>
        </is>
      </c>
      <c r="H639" s="34" t="inlineStr">
        <is>
          <t>New</t>
        </is>
      </c>
      <c r="I639" s="34" t="inlineStr">
        <is>
          <t>Source assignment -- not individually reviewed</t>
        </is>
      </c>
      <c r="J639" s="39" t="inlineStr"/>
      <c r="K639" s="34" t="inlineStr">
        <is>
          <t>Source assignment</t>
        </is>
      </c>
      <c r="L639" s="39" t="inlineStr"/>
      <c r="M639" s="34" t="inlineStr">
        <is>
          <t>Initial</t>
        </is>
      </c>
      <c r="N639" s="34" t="inlineStr">
        <is>
          <t>Rev 0</t>
        </is>
      </c>
      <c r="O639" s="34" t="inlineStr">
        <is>
          <t>R491-v1</t>
        </is>
      </c>
      <c r="P639" s="39" t="inlineStr"/>
      <c r="Q639" s="14" t="inlineStr"/>
      <c r="R639" s="39" t="inlineStr"/>
      <c r="S639" s="39" t="inlineStr"/>
      <c r="T639" s="39" t="inlineStr"/>
      <c r="U639" s="39" t="inlineStr"/>
      <c r="V639" s="34" t="inlineStr">
        <is>
          <t>WBS Code = 1.3.1</t>
        </is>
      </c>
      <c r="W639" s="14" t="inlineStr"/>
    </row>
    <row r="640" ht="34" customHeight="1">
      <c r="A640" s="34" t="inlineStr">
        <is>
          <t>1.3.1</t>
        </is>
      </c>
      <c r="B640" s="34" t="inlineStr">
        <is>
          <t>Systems - Traction Power</t>
        </is>
      </c>
      <c r="C640" s="34" t="inlineStr">
        <is>
          <t>Contractor Programme</t>
        </is>
      </c>
      <c r="D640" s="34" t="inlineStr">
        <is>
          <t>SCH-03-133</t>
        </is>
      </c>
      <c r="E640" s="34" t="inlineStr">
        <is>
          <t>West wayside: fibre backbone termination - field start</t>
        </is>
      </c>
      <c r="F640" s="34" t="inlineStr">
        <is>
          <t>ONE_TO_ONE</t>
        </is>
      </c>
      <c r="G640" s="34" t="inlineStr">
        <is>
          <t>APPROVED</t>
        </is>
      </c>
      <c r="H640" s="34" t="inlineStr">
        <is>
          <t>New</t>
        </is>
      </c>
      <c r="I640" s="34" t="inlineStr">
        <is>
          <t>Source assignment -- not individually reviewed</t>
        </is>
      </c>
      <c r="J640" s="39" t="inlineStr"/>
      <c r="K640" s="34" t="inlineStr">
        <is>
          <t>Source assignment</t>
        </is>
      </c>
      <c r="L640" s="39" t="inlineStr"/>
      <c r="M640" s="34" t="inlineStr">
        <is>
          <t>Initial</t>
        </is>
      </c>
      <c r="N640" s="34" t="inlineStr">
        <is>
          <t>Rev 0</t>
        </is>
      </c>
      <c r="O640" s="34" t="inlineStr">
        <is>
          <t>R493-v1</t>
        </is>
      </c>
      <c r="P640" s="39" t="inlineStr"/>
      <c r="Q640" s="14" t="inlineStr"/>
      <c r="R640" s="39" t="inlineStr"/>
      <c r="S640" s="39" t="inlineStr"/>
      <c r="T640" s="39" t="inlineStr"/>
      <c r="U640" s="39" t="inlineStr"/>
      <c r="V640" s="34" t="inlineStr">
        <is>
          <t>WBS Code = 1.3.1</t>
        </is>
      </c>
      <c r="W640" s="14" t="inlineStr"/>
    </row>
    <row r="641" ht="34" customHeight="1">
      <c r="A641" s="34" t="inlineStr">
        <is>
          <t>1.3.1</t>
        </is>
      </c>
      <c r="B641" s="34" t="inlineStr">
        <is>
          <t>Systems - Traction Power</t>
        </is>
      </c>
      <c r="C641" s="34" t="inlineStr">
        <is>
          <t>Contractor Programme</t>
        </is>
      </c>
      <c r="D641" s="34" t="inlineStr">
        <is>
          <t>SCH-03-134</t>
        </is>
      </c>
      <c r="E641" s="34" t="inlineStr">
        <is>
          <t>East substation: SCADA point-to-point check - installation</t>
        </is>
      </c>
      <c r="F641" s="34" t="inlineStr">
        <is>
          <t>ONE_TO_ONE</t>
        </is>
      </c>
      <c r="G641" s="34" t="inlineStr">
        <is>
          <t>APPROVED</t>
        </is>
      </c>
      <c r="H641" s="34" t="inlineStr">
        <is>
          <t>New</t>
        </is>
      </c>
      <c r="I641" s="34" t="inlineStr">
        <is>
          <t>Source assignment -- not individually reviewed</t>
        </is>
      </c>
      <c r="J641" s="39" t="inlineStr"/>
      <c r="K641" s="34" t="inlineStr">
        <is>
          <t>Source assignment</t>
        </is>
      </c>
      <c r="L641" s="39" t="inlineStr"/>
      <c r="M641" s="34" t="inlineStr">
        <is>
          <t>Initial</t>
        </is>
      </c>
      <c r="N641" s="34" t="inlineStr">
        <is>
          <t>Rev 0</t>
        </is>
      </c>
      <c r="O641" s="34" t="inlineStr">
        <is>
          <t>R494-v1</t>
        </is>
      </c>
      <c r="P641" s="39" t="inlineStr"/>
      <c r="Q641" s="14" t="inlineStr"/>
      <c r="R641" s="39" t="inlineStr"/>
      <c r="S641" s="39" t="inlineStr"/>
      <c r="T641" s="39" t="inlineStr"/>
      <c r="U641" s="39" t="inlineStr"/>
      <c r="V641" s="34" t="inlineStr">
        <is>
          <t>WBS Code = 1.3.1</t>
        </is>
      </c>
      <c r="W641" s="14" t="inlineStr"/>
    </row>
    <row r="642" ht="34" customHeight="1">
      <c r="A642" s="34" t="inlineStr">
        <is>
          <t>1.3.1</t>
        </is>
      </c>
      <c r="B642" s="34" t="inlineStr">
        <is>
          <t>Systems - Traction Power</t>
        </is>
      </c>
      <c r="C642" s="34" t="inlineStr">
        <is>
          <t>Contractor Programme</t>
        </is>
      </c>
      <c r="D642" s="34" t="inlineStr">
        <is>
          <t>SCH-03-136</t>
        </is>
      </c>
      <c r="E642" s="34" t="inlineStr">
        <is>
          <t>Harbour Station: train-control cabinet fit-out - turnover</t>
        </is>
      </c>
      <c r="F642" s="34" t="inlineStr">
        <is>
          <t>ONE_TO_ONE</t>
        </is>
      </c>
      <c r="G642" s="34" t="inlineStr">
        <is>
          <t>APPROVED</t>
        </is>
      </c>
      <c r="H642" s="34" t="inlineStr">
        <is>
          <t>New</t>
        </is>
      </c>
      <c r="I642" s="34" t="inlineStr">
        <is>
          <t>Source assignment -- not individually reviewed</t>
        </is>
      </c>
      <c r="J642" s="39" t="inlineStr"/>
      <c r="K642" s="34" t="inlineStr">
        <is>
          <t>Source assignment</t>
        </is>
      </c>
      <c r="L642" s="39" t="inlineStr"/>
      <c r="M642" s="34" t="inlineStr">
        <is>
          <t>Initial</t>
        </is>
      </c>
      <c r="N642" s="34" t="inlineStr">
        <is>
          <t>Rev 0</t>
        </is>
      </c>
      <c r="O642" s="34" t="inlineStr">
        <is>
          <t>R496-v1</t>
        </is>
      </c>
      <c r="P642" s="39" t="inlineStr"/>
      <c r="Q642" s="14" t="inlineStr"/>
      <c r="R642" s="39" t="inlineStr"/>
      <c r="S642" s="39" t="inlineStr"/>
      <c r="T642" s="39" t="inlineStr"/>
      <c r="U642" s="39" t="inlineStr"/>
      <c r="V642" s="34" t="inlineStr">
        <is>
          <t>WBS Code = 1.3.1</t>
        </is>
      </c>
      <c r="W642" s="14" t="inlineStr"/>
    </row>
    <row r="643" ht="34" customHeight="1">
      <c r="A643" s="34" t="inlineStr">
        <is>
          <t>1.3.1</t>
        </is>
      </c>
      <c r="B643" s="34" t="inlineStr">
        <is>
          <t>Systems - Traction Power</t>
        </is>
      </c>
      <c r="C643" s="34" t="inlineStr">
        <is>
          <t>Contractor Programme</t>
        </is>
      </c>
      <c r="D643" s="34" t="inlineStr">
        <is>
          <t>SCH-03-137</t>
        </is>
      </c>
      <c r="E643" s="34" t="inlineStr">
        <is>
          <t>Control Centre: wayside interface test - release</t>
        </is>
      </c>
      <c r="F643" s="34" t="inlineStr">
        <is>
          <t>ONE_TO_ONE</t>
        </is>
      </c>
      <c r="G643" s="34" t="inlineStr">
        <is>
          <t>APPROVED</t>
        </is>
      </c>
      <c r="H643" s="34" t="inlineStr">
        <is>
          <t>New</t>
        </is>
      </c>
      <c r="I643" s="34" t="inlineStr">
        <is>
          <t>Source assignment -- not individually reviewed</t>
        </is>
      </c>
      <c r="J643" s="39" t="inlineStr"/>
      <c r="K643" s="34" t="inlineStr">
        <is>
          <t>Source assignment</t>
        </is>
      </c>
      <c r="L643" s="39" t="inlineStr"/>
      <c r="M643" s="34" t="inlineStr">
        <is>
          <t>Initial</t>
        </is>
      </c>
      <c r="N643" s="34" t="inlineStr">
        <is>
          <t>Rev 0</t>
        </is>
      </c>
      <c r="O643" s="34" t="inlineStr">
        <is>
          <t>R497-v1</t>
        </is>
      </c>
      <c r="P643" s="39" t="inlineStr"/>
      <c r="Q643" s="14" t="inlineStr"/>
      <c r="R643" s="39" t="inlineStr"/>
      <c r="S643" s="39" t="inlineStr"/>
      <c r="T643" s="39" t="inlineStr"/>
      <c r="U643" s="39" t="inlineStr"/>
      <c r="V643" s="34" t="inlineStr">
        <is>
          <t>WBS Code = 1.3.1</t>
        </is>
      </c>
      <c r="W643" s="14" t="inlineStr"/>
    </row>
    <row r="644" ht="34" customHeight="1">
      <c r="A644" s="34" t="inlineStr">
        <is>
          <t>1.3.1</t>
        </is>
      </c>
      <c r="B644" s="34" t="inlineStr">
        <is>
          <t>Systems - Traction Power</t>
        </is>
      </c>
      <c r="C644" s="34" t="inlineStr">
        <is>
          <t>Contractor Programme</t>
        </is>
      </c>
      <c r="D644" s="34" t="inlineStr">
        <is>
          <t>SCH-03-139</t>
        </is>
      </c>
      <c r="E644" s="34" t="inlineStr">
        <is>
          <t>East substation: radio equipment installation - installation</t>
        </is>
      </c>
      <c r="F644" s="34" t="inlineStr">
        <is>
          <t>ONE_TO_ONE</t>
        </is>
      </c>
      <c r="G644" s="34" t="inlineStr">
        <is>
          <t>APPROVED</t>
        </is>
      </c>
      <c r="H644" s="34" t="inlineStr">
        <is>
          <t>New</t>
        </is>
      </c>
      <c r="I644" s="34" t="inlineStr">
        <is>
          <t>Source assignment -- not individually reviewed</t>
        </is>
      </c>
      <c r="J644" s="39" t="inlineStr"/>
      <c r="K644" s="34" t="inlineStr">
        <is>
          <t>Source assignment</t>
        </is>
      </c>
      <c r="L644" s="39" t="inlineStr"/>
      <c r="M644" s="34" t="inlineStr">
        <is>
          <t>Initial</t>
        </is>
      </c>
      <c r="N644" s="34" t="inlineStr">
        <is>
          <t>Rev 0</t>
        </is>
      </c>
      <c r="O644" s="34" t="inlineStr">
        <is>
          <t>R499-v1</t>
        </is>
      </c>
      <c r="P644" s="39" t="inlineStr"/>
      <c r="Q644" s="14" t="inlineStr"/>
      <c r="R644" s="39" t="inlineStr"/>
      <c r="S644" s="39" t="inlineStr"/>
      <c r="T644" s="39" t="inlineStr"/>
      <c r="U644" s="39" t="inlineStr"/>
      <c r="V644" s="34" t="inlineStr">
        <is>
          <t>WBS Code = 1.3.1</t>
        </is>
      </c>
      <c r="W644" s="14" t="inlineStr"/>
    </row>
    <row r="645" ht="34" customHeight="1">
      <c r="A645" s="34" t="inlineStr">
        <is>
          <t>1.3.1</t>
        </is>
      </c>
      <c r="B645" s="34" t="inlineStr">
        <is>
          <t>Systems - Traction Power</t>
        </is>
      </c>
      <c r="C645" s="34" t="inlineStr">
        <is>
          <t>Contractor Programme</t>
        </is>
      </c>
      <c r="D645" s="34" t="inlineStr">
        <is>
          <t>SCH-03-140</t>
        </is>
      </c>
      <c r="E645" s="34" t="inlineStr">
        <is>
          <t>Central interlocking: control-centre integration - inspection</t>
        </is>
      </c>
      <c r="F645" s="34" t="inlineStr">
        <is>
          <t>ONE_TO_ONE</t>
        </is>
      </c>
      <c r="G645" s="34" t="inlineStr">
        <is>
          <t>APPROVED</t>
        </is>
      </c>
      <c r="H645" s="34" t="inlineStr">
        <is>
          <t>New</t>
        </is>
      </c>
      <c r="I645" s="34" t="inlineStr">
        <is>
          <t>Source assignment -- not individually reviewed</t>
        </is>
      </c>
      <c r="J645" s="39" t="inlineStr"/>
      <c r="K645" s="34" t="inlineStr">
        <is>
          <t>Source assignment</t>
        </is>
      </c>
      <c r="L645" s="39" t="inlineStr"/>
      <c r="M645" s="34" t="inlineStr">
        <is>
          <t>Initial</t>
        </is>
      </c>
      <c r="N645" s="34" t="inlineStr">
        <is>
          <t>Rev 0</t>
        </is>
      </c>
      <c r="O645" s="34" t="inlineStr">
        <is>
          <t>R500-v1</t>
        </is>
      </c>
      <c r="P645" s="39" t="inlineStr"/>
      <c r="Q645" s="14" t="inlineStr"/>
      <c r="R645" s="39" t="inlineStr"/>
      <c r="S645" s="39" t="inlineStr"/>
      <c r="T645" s="39" t="inlineStr"/>
      <c r="U645" s="39" t="inlineStr"/>
      <c r="V645" s="34" t="inlineStr">
        <is>
          <t>WBS Code = 1.3.1</t>
        </is>
      </c>
      <c r="W645" s="14" t="inlineStr"/>
    </row>
    <row r="646" ht="34" customHeight="1">
      <c r="A646" s="34" t="inlineStr">
        <is>
          <t>1.3.1</t>
        </is>
      </c>
      <c r="B646" s="34" t="inlineStr">
        <is>
          <t>Systems - Traction Power</t>
        </is>
      </c>
      <c r="C646" s="34" t="inlineStr">
        <is>
          <t>Contractor Programme</t>
        </is>
      </c>
      <c r="D646" s="34" t="inlineStr">
        <is>
          <t>SCH-03-142</t>
        </is>
      </c>
      <c r="E646" s="34" t="inlineStr">
        <is>
          <t>Control Centre: SCADA point-to-point check - release</t>
        </is>
      </c>
      <c r="F646" s="34" t="inlineStr">
        <is>
          <t>ONE_TO_ONE</t>
        </is>
      </c>
      <c r="G646" s="34" t="inlineStr">
        <is>
          <t>APPROVED</t>
        </is>
      </c>
      <c r="H646" s="34" t="inlineStr">
        <is>
          <t>New</t>
        </is>
      </c>
      <c r="I646" s="34" t="inlineStr">
        <is>
          <t>Source assignment -- not individually reviewed</t>
        </is>
      </c>
      <c r="J646" s="39" t="inlineStr"/>
      <c r="K646" s="34" t="inlineStr">
        <is>
          <t>Source assignment</t>
        </is>
      </c>
      <c r="L646" s="39" t="inlineStr"/>
      <c r="M646" s="34" t="inlineStr">
        <is>
          <t>Initial</t>
        </is>
      </c>
      <c r="N646" s="34" t="inlineStr">
        <is>
          <t>Rev 0</t>
        </is>
      </c>
      <c r="O646" s="34" t="inlineStr">
        <is>
          <t>R502-v1</t>
        </is>
      </c>
      <c r="P646" s="39" t="inlineStr"/>
      <c r="Q646" s="14" t="inlineStr"/>
      <c r="R646" s="39" t="inlineStr"/>
      <c r="S646" s="39" t="inlineStr"/>
      <c r="T646" s="39" t="inlineStr"/>
      <c r="U646" s="39" t="inlineStr"/>
      <c r="V646" s="34" t="inlineStr">
        <is>
          <t>WBS Code = 1.3.1</t>
        </is>
      </c>
      <c r="W646" s="14" t="inlineStr"/>
    </row>
    <row r="647" ht="34" customHeight="1">
      <c r="A647" s="34" t="inlineStr">
        <is>
          <t>1.3.1</t>
        </is>
      </c>
      <c r="B647" s="34" t="inlineStr">
        <is>
          <t>Systems - Traction Power</t>
        </is>
      </c>
      <c r="C647" s="34" t="inlineStr">
        <is>
          <t>Contractor Programme</t>
        </is>
      </c>
      <c r="D647" s="34" t="inlineStr">
        <is>
          <t>SCH-03-143</t>
        </is>
      </c>
      <c r="E647" s="34" t="inlineStr">
        <is>
          <t>West wayside: traction-power feeder pull - field start</t>
        </is>
      </c>
      <c r="F647" s="34" t="inlineStr">
        <is>
          <t>ONE_TO_ONE</t>
        </is>
      </c>
      <c r="G647" s="34" t="inlineStr">
        <is>
          <t>APPROVED</t>
        </is>
      </c>
      <c r="H647" s="34" t="inlineStr">
        <is>
          <t>New</t>
        </is>
      </c>
      <c r="I647" s="34" t="inlineStr">
        <is>
          <t>Source assignment -- not individually reviewed</t>
        </is>
      </c>
      <c r="J647" s="39" t="inlineStr"/>
      <c r="K647" s="34" t="inlineStr">
        <is>
          <t>Source assignment</t>
        </is>
      </c>
      <c r="L647" s="39" t="inlineStr"/>
      <c r="M647" s="34" t="inlineStr">
        <is>
          <t>Initial</t>
        </is>
      </c>
      <c r="N647" s="34" t="inlineStr">
        <is>
          <t>Rev 0</t>
        </is>
      </c>
      <c r="O647" s="34" t="inlineStr">
        <is>
          <t>R503-v1</t>
        </is>
      </c>
      <c r="P647" s="39" t="inlineStr"/>
      <c r="Q647" s="14" t="inlineStr"/>
      <c r="R647" s="39" t="inlineStr"/>
      <c r="S647" s="39" t="inlineStr"/>
      <c r="T647" s="39" t="inlineStr"/>
      <c r="U647" s="39" t="inlineStr"/>
      <c r="V647" s="34" t="inlineStr">
        <is>
          <t>WBS Code = 1.3.1</t>
        </is>
      </c>
      <c r="W647" s="14" t="inlineStr"/>
    </row>
    <row r="648" ht="34" customHeight="1">
      <c r="A648" s="34" t="inlineStr">
        <is>
          <t>1.3.1</t>
        </is>
      </c>
      <c r="B648" s="34" t="inlineStr">
        <is>
          <t>Systems - Traction Power</t>
        </is>
      </c>
      <c r="C648" s="34" t="inlineStr">
        <is>
          <t>Contractor Programme</t>
        </is>
      </c>
      <c r="D648" s="34" t="inlineStr">
        <is>
          <t>SCH-03-145</t>
        </is>
      </c>
      <c r="E648" s="34" t="inlineStr">
        <is>
          <t>Central interlocking: wayside interface test - inspection</t>
        </is>
      </c>
      <c r="F648" s="34" t="inlineStr">
        <is>
          <t>ONE_TO_ONE</t>
        </is>
      </c>
      <c r="G648" s="34" t="inlineStr">
        <is>
          <t>APPROVED</t>
        </is>
      </c>
      <c r="H648" s="34" t="inlineStr">
        <is>
          <t>New</t>
        </is>
      </c>
      <c r="I648" s="34" t="inlineStr">
        <is>
          <t>Source assignment -- not individually reviewed</t>
        </is>
      </c>
      <c r="J648" s="39" t="inlineStr"/>
      <c r="K648" s="34" t="inlineStr">
        <is>
          <t>Source assignment</t>
        </is>
      </c>
      <c r="L648" s="39" t="inlineStr"/>
      <c r="M648" s="34" t="inlineStr">
        <is>
          <t>Initial</t>
        </is>
      </c>
      <c r="N648" s="34" t="inlineStr">
        <is>
          <t>Rev 0</t>
        </is>
      </c>
      <c r="O648" s="34" t="inlineStr">
        <is>
          <t>R505-v1</t>
        </is>
      </c>
      <c r="P648" s="39" t="inlineStr"/>
      <c r="Q648" s="14" t="inlineStr"/>
      <c r="R648" s="39" t="inlineStr"/>
      <c r="S648" s="39" t="inlineStr"/>
      <c r="T648" s="39" t="inlineStr"/>
      <c r="U648" s="39" t="inlineStr"/>
      <c r="V648" s="34" t="inlineStr">
        <is>
          <t>WBS Code = 1.3.1</t>
        </is>
      </c>
      <c r="W648" s="14" t="inlineStr"/>
    </row>
    <row r="649" ht="34" customHeight="1">
      <c r="A649" s="34" t="inlineStr">
        <is>
          <t>1.3.1</t>
        </is>
      </c>
      <c r="B649" s="34" t="inlineStr">
        <is>
          <t>Systems - Traction Power</t>
        </is>
      </c>
      <c r="C649" s="34" t="inlineStr">
        <is>
          <t>Contractor Programme</t>
        </is>
      </c>
      <c r="D649" s="34" t="inlineStr">
        <is>
          <t>SCH-03-146</t>
        </is>
      </c>
      <c r="E649" s="34" t="inlineStr">
        <is>
          <t>Harbour Station: signal equipment installation - turnover</t>
        </is>
      </c>
      <c r="F649" s="34" t="inlineStr">
        <is>
          <t>ONE_TO_ONE</t>
        </is>
      </c>
      <c r="G649" s="34" t="inlineStr">
        <is>
          <t>APPROVED</t>
        </is>
      </c>
      <c r="H649" s="34" t="inlineStr">
        <is>
          <t>New</t>
        </is>
      </c>
      <c r="I649" s="34" t="inlineStr">
        <is>
          <t>Source assignment -- not individually reviewed</t>
        </is>
      </c>
      <c r="J649" s="39" t="inlineStr"/>
      <c r="K649" s="34" t="inlineStr">
        <is>
          <t>Source assignment</t>
        </is>
      </c>
      <c r="L649" s="39" t="inlineStr"/>
      <c r="M649" s="34" t="inlineStr">
        <is>
          <t>Initial</t>
        </is>
      </c>
      <c r="N649" s="34" t="inlineStr">
        <is>
          <t>Rev 0</t>
        </is>
      </c>
      <c r="O649" s="34" t="inlineStr">
        <is>
          <t>R506-v1</t>
        </is>
      </c>
      <c r="P649" s="39" t="inlineStr"/>
      <c r="Q649" s="14" t="inlineStr"/>
      <c r="R649" s="39" t="inlineStr"/>
      <c r="S649" s="39" t="inlineStr"/>
      <c r="T649" s="39" t="inlineStr"/>
      <c r="U649" s="39" t="inlineStr"/>
      <c r="V649" s="34" t="inlineStr">
        <is>
          <t>WBS Code = 1.3.1</t>
        </is>
      </c>
      <c r="W649" s="14" t="inlineStr"/>
    </row>
    <row r="650" ht="34" customHeight="1">
      <c r="A650" s="34" t="inlineStr">
        <is>
          <t>1.3.1</t>
        </is>
      </c>
      <c r="B650" s="34" t="inlineStr">
        <is>
          <t>Systems - Traction Power</t>
        </is>
      </c>
      <c r="C650" s="34" t="inlineStr">
        <is>
          <t>Contractor Programme</t>
        </is>
      </c>
      <c r="D650" s="34" t="inlineStr">
        <is>
          <t>SCH-03-148</t>
        </is>
      </c>
      <c r="E650" s="34" t="inlineStr">
        <is>
          <t>West wayside: control-centre integration - field start</t>
        </is>
      </c>
      <c r="F650" s="34" t="inlineStr">
        <is>
          <t>ONE_TO_ONE</t>
        </is>
      </c>
      <c r="G650" s="34" t="inlineStr">
        <is>
          <t>APPROVED</t>
        </is>
      </c>
      <c r="H650" s="34" t="inlineStr">
        <is>
          <t>New</t>
        </is>
      </c>
      <c r="I650" s="34" t="inlineStr">
        <is>
          <t>Source assignment -- not individually reviewed</t>
        </is>
      </c>
      <c r="J650" s="39" t="inlineStr"/>
      <c r="K650" s="34" t="inlineStr">
        <is>
          <t>Source assignment</t>
        </is>
      </c>
      <c r="L650" s="39" t="inlineStr"/>
      <c r="M650" s="34" t="inlineStr">
        <is>
          <t>Initial</t>
        </is>
      </c>
      <c r="N650" s="34" t="inlineStr">
        <is>
          <t>Rev 0</t>
        </is>
      </c>
      <c r="O650" s="34" t="inlineStr">
        <is>
          <t>R508-v1</t>
        </is>
      </c>
      <c r="P650" s="39" t="inlineStr"/>
      <c r="Q650" s="14" t="inlineStr"/>
      <c r="R650" s="39" t="inlineStr"/>
      <c r="S650" s="39" t="inlineStr"/>
      <c r="T650" s="39" t="inlineStr"/>
      <c r="U650" s="39" t="inlineStr"/>
      <c r="V650" s="34" t="inlineStr">
        <is>
          <t>WBS Code = 1.3.1</t>
        </is>
      </c>
      <c r="W650" s="14" t="inlineStr"/>
    </row>
    <row r="651" ht="34" customHeight="1">
      <c r="A651" s="34" t="inlineStr">
        <is>
          <t>1.3.1</t>
        </is>
      </c>
      <c r="B651" s="34" t="inlineStr">
        <is>
          <t>Systems - Traction Power</t>
        </is>
      </c>
      <c r="C651" s="34" t="inlineStr">
        <is>
          <t>Contractor Programme</t>
        </is>
      </c>
      <c r="D651" s="34" t="inlineStr">
        <is>
          <t>SCH-03-149</t>
        </is>
      </c>
      <c r="E651" s="34" t="inlineStr">
        <is>
          <t>East substation: fibre backbone termination - installation</t>
        </is>
      </c>
      <c r="F651" s="34" t="inlineStr">
        <is>
          <t>ONE_TO_ONE</t>
        </is>
      </c>
      <c r="G651" s="34" t="inlineStr">
        <is>
          <t>APPROVED</t>
        </is>
      </c>
      <c r="H651" s="34" t="inlineStr">
        <is>
          <t>New</t>
        </is>
      </c>
      <c r="I651" s="34" t="inlineStr">
        <is>
          <t>Source assignment -- not individually reviewed</t>
        </is>
      </c>
      <c r="J651" s="39" t="inlineStr"/>
      <c r="K651" s="34" t="inlineStr">
        <is>
          <t>Source assignment</t>
        </is>
      </c>
      <c r="L651" s="39" t="inlineStr"/>
      <c r="M651" s="34" t="inlineStr">
        <is>
          <t>Initial</t>
        </is>
      </c>
      <c r="N651" s="34" t="inlineStr">
        <is>
          <t>Rev 0</t>
        </is>
      </c>
      <c r="O651" s="34" t="inlineStr">
        <is>
          <t>R509-v1</t>
        </is>
      </c>
      <c r="P651" s="39" t="inlineStr"/>
      <c r="Q651" s="14" t="inlineStr"/>
      <c r="R651" s="39" t="inlineStr"/>
      <c r="S651" s="39" t="inlineStr"/>
      <c r="T651" s="39" t="inlineStr"/>
      <c r="U651" s="39" t="inlineStr"/>
      <c r="V651" s="34" t="inlineStr">
        <is>
          <t>WBS Code = 1.3.1</t>
        </is>
      </c>
      <c r="W651" s="14" t="inlineStr"/>
    </row>
    <row r="652" ht="34" customHeight="1">
      <c r="A652" s="34" t="inlineStr">
        <is>
          <t>1.3.1</t>
        </is>
      </c>
      <c r="B652" s="34" t="inlineStr">
        <is>
          <t>Systems - Traction Power</t>
        </is>
      </c>
      <c r="C652" s="34" t="inlineStr">
        <is>
          <t>Contractor Programme</t>
        </is>
      </c>
      <c r="D652" s="34" t="inlineStr">
        <is>
          <t>SCH-03-151</t>
        </is>
      </c>
      <c r="E652" s="34" t="inlineStr">
        <is>
          <t>Harbour Station: traction-power feeder pull - turnover</t>
        </is>
      </c>
      <c r="F652" s="34" t="inlineStr">
        <is>
          <t>ONE_TO_ONE</t>
        </is>
      </c>
      <c r="G652" s="34" t="inlineStr">
        <is>
          <t>APPROVED</t>
        </is>
      </c>
      <c r="H652" s="34" t="inlineStr">
        <is>
          <t>New</t>
        </is>
      </c>
      <c r="I652" s="34" t="inlineStr">
        <is>
          <t>Source assignment -- not individually reviewed</t>
        </is>
      </c>
      <c r="J652" s="39" t="inlineStr"/>
      <c r="K652" s="34" t="inlineStr">
        <is>
          <t>Source assignment</t>
        </is>
      </c>
      <c r="L652" s="39" t="inlineStr"/>
      <c r="M652" s="34" t="inlineStr">
        <is>
          <t>Initial</t>
        </is>
      </c>
      <c r="N652" s="34" t="inlineStr">
        <is>
          <t>Rev 0</t>
        </is>
      </c>
      <c r="O652" s="34" t="inlineStr">
        <is>
          <t>R511-v1</t>
        </is>
      </c>
      <c r="P652" s="39" t="inlineStr"/>
      <c r="Q652" s="14" t="inlineStr"/>
      <c r="R652" s="39" t="inlineStr"/>
      <c r="S652" s="39" t="inlineStr"/>
      <c r="T652" s="39" t="inlineStr"/>
      <c r="U652" s="39" t="inlineStr"/>
      <c r="V652" s="34" t="inlineStr">
        <is>
          <t>WBS Code = 1.3.1</t>
        </is>
      </c>
      <c r="W652" s="14" t="inlineStr"/>
    </row>
    <row r="653" ht="34" customHeight="1">
      <c r="A653" s="34" t="inlineStr">
        <is>
          <t>1.3.1</t>
        </is>
      </c>
      <c r="B653" s="34" t="inlineStr">
        <is>
          <t>Systems - Traction Power</t>
        </is>
      </c>
      <c r="C653" s="34" t="inlineStr">
        <is>
          <t>Contractor Programme</t>
        </is>
      </c>
      <c r="D653" s="34" t="inlineStr">
        <is>
          <t>SCH-03-152</t>
        </is>
      </c>
      <c r="E653" s="34" t="inlineStr">
        <is>
          <t>Control Centre: train-control cabinet fit-out - release</t>
        </is>
      </c>
      <c r="F653" s="34" t="inlineStr">
        <is>
          <t>ONE_TO_ONE</t>
        </is>
      </c>
      <c r="G653" s="34" t="inlineStr">
        <is>
          <t>APPROVED</t>
        </is>
      </c>
      <c r="H653" s="34" t="inlineStr">
        <is>
          <t>New</t>
        </is>
      </c>
      <c r="I653" s="34" t="inlineStr">
        <is>
          <t>Source assignment -- not individually reviewed</t>
        </is>
      </c>
      <c r="J653" s="39" t="inlineStr"/>
      <c r="K653" s="34" t="inlineStr">
        <is>
          <t>Source assignment</t>
        </is>
      </c>
      <c r="L653" s="39" t="inlineStr"/>
      <c r="M653" s="34" t="inlineStr">
        <is>
          <t>Initial</t>
        </is>
      </c>
      <c r="N653" s="34" t="inlineStr">
        <is>
          <t>Rev 0</t>
        </is>
      </c>
      <c r="O653" s="34" t="inlineStr">
        <is>
          <t>R512-v1</t>
        </is>
      </c>
      <c r="P653" s="39" t="inlineStr"/>
      <c r="Q653" s="14" t="inlineStr"/>
      <c r="R653" s="39" t="inlineStr"/>
      <c r="S653" s="39" t="inlineStr"/>
      <c r="T653" s="39" t="inlineStr"/>
      <c r="U653" s="39" t="inlineStr"/>
      <c r="V653" s="34" t="inlineStr">
        <is>
          <t>WBS Code = 1.3.1</t>
        </is>
      </c>
      <c r="W653" s="14" t="inlineStr"/>
    </row>
    <row r="654" ht="34" customHeight="1">
      <c r="A654" s="34" t="inlineStr">
        <is>
          <t>1.3.1</t>
        </is>
      </c>
      <c r="B654" s="34" t="inlineStr">
        <is>
          <t>Systems - Traction Power</t>
        </is>
      </c>
      <c r="C654" s="34" t="inlineStr">
        <is>
          <t>Contractor Programme</t>
        </is>
      </c>
      <c r="D654" s="34" t="inlineStr">
        <is>
          <t>SCH-03-154</t>
        </is>
      </c>
      <c r="E654" s="34" t="inlineStr">
        <is>
          <t>East substation: signal equipment installation - installation</t>
        </is>
      </c>
      <c r="F654" s="34" t="inlineStr">
        <is>
          <t>ONE_TO_ONE</t>
        </is>
      </c>
      <c r="G654" s="34" t="inlineStr">
        <is>
          <t>APPROVED</t>
        </is>
      </c>
      <c r="H654" s="34" t="inlineStr">
        <is>
          <t>New</t>
        </is>
      </c>
      <c r="I654" s="34" t="inlineStr">
        <is>
          <t>Source assignment -- not individually reviewed</t>
        </is>
      </c>
      <c r="J654" s="39" t="inlineStr"/>
      <c r="K654" s="34" t="inlineStr">
        <is>
          <t>Source assignment</t>
        </is>
      </c>
      <c r="L654" s="39" t="inlineStr"/>
      <c r="M654" s="34" t="inlineStr">
        <is>
          <t>Initial</t>
        </is>
      </c>
      <c r="N654" s="34" t="inlineStr">
        <is>
          <t>Rev 0</t>
        </is>
      </c>
      <c r="O654" s="34" t="inlineStr">
        <is>
          <t>R514-v1</t>
        </is>
      </c>
      <c r="P654" s="39" t="inlineStr"/>
      <c r="Q654" s="14" t="inlineStr"/>
      <c r="R654" s="39" t="inlineStr"/>
      <c r="S654" s="39" t="inlineStr"/>
      <c r="T654" s="39" t="inlineStr"/>
      <c r="U654" s="39" t="inlineStr"/>
      <c r="V654" s="34" t="inlineStr">
        <is>
          <t>WBS Code = 1.3.1</t>
        </is>
      </c>
      <c r="W654" s="14" t="inlineStr"/>
    </row>
    <row r="655" ht="34" customHeight="1">
      <c r="A655" s="34" t="inlineStr">
        <is>
          <t>1.3.1</t>
        </is>
      </c>
      <c r="B655" s="34" t="inlineStr">
        <is>
          <t>Systems - Traction Power</t>
        </is>
      </c>
      <c r="C655" s="34" t="inlineStr">
        <is>
          <t>Contractor Programme</t>
        </is>
      </c>
      <c r="D655" s="34" t="inlineStr">
        <is>
          <t>SCH-03-155</t>
        </is>
      </c>
      <c r="E655" s="34" t="inlineStr">
        <is>
          <t>Central interlocking: radio equipment installation - inspection</t>
        </is>
      </c>
      <c r="F655" s="34" t="inlineStr">
        <is>
          <t>ONE_TO_ONE</t>
        </is>
      </c>
      <c r="G655" s="34" t="inlineStr">
        <is>
          <t>APPROVED</t>
        </is>
      </c>
      <c r="H655" s="34" t="inlineStr">
        <is>
          <t>New</t>
        </is>
      </c>
      <c r="I655" s="34" t="inlineStr">
        <is>
          <t>Source assignment -- not individually reviewed</t>
        </is>
      </c>
      <c r="J655" s="39" t="inlineStr"/>
      <c r="K655" s="34" t="inlineStr">
        <is>
          <t>Source assignment</t>
        </is>
      </c>
      <c r="L655" s="39" t="inlineStr"/>
      <c r="M655" s="34" t="inlineStr">
        <is>
          <t>Initial</t>
        </is>
      </c>
      <c r="N655" s="34" t="inlineStr">
        <is>
          <t>Rev 0</t>
        </is>
      </c>
      <c r="O655" s="34" t="inlineStr">
        <is>
          <t>R515-v1</t>
        </is>
      </c>
      <c r="P655" s="39" t="inlineStr"/>
      <c r="Q655" s="14" t="inlineStr"/>
      <c r="R655" s="39" t="inlineStr"/>
      <c r="S655" s="39" t="inlineStr"/>
      <c r="T655" s="39" t="inlineStr"/>
      <c r="U655" s="39" t="inlineStr"/>
      <c r="V655" s="34" t="inlineStr">
        <is>
          <t>WBS Code = 1.3.1</t>
        </is>
      </c>
      <c r="W655" s="14" t="inlineStr"/>
    </row>
    <row r="656" ht="34" customHeight="1">
      <c r="A656" s="34" t="inlineStr">
        <is>
          <t>1.3.1</t>
        </is>
      </c>
      <c r="B656" s="34" t="inlineStr">
        <is>
          <t>Systems - Traction Power</t>
        </is>
      </c>
      <c r="C656" s="34" t="inlineStr">
        <is>
          <t>Contractor Programme</t>
        </is>
      </c>
      <c r="D656" s="34" t="inlineStr">
        <is>
          <t>SCH-03-157</t>
        </is>
      </c>
      <c r="E656" s="34" t="inlineStr">
        <is>
          <t>Control Centre: fibre backbone termination - release</t>
        </is>
      </c>
      <c r="F656" s="34" t="inlineStr">
        <is>
          <t>ONE_TO_ONE</t>
        </is>
      </c>
      <c r="G656" s="34" t="inlineStr">
        <is>
          <t>APPROVED</t>
        </is>
      </c>
      <c r="H656" s="34" t="inlineStr">
        <is>
          <t>New</t>
        </is>
      </c>
      <c r="I656" s="34" t="inlineStr">
        <is>
          <t>Source assignment -- not individually reviewed</t>
        </is>
      </c>
      <c r="J656" s="39" t="inlineStr"/>
      <c r="K656" s="34" t="inlineStr">
        <is>
          <t>Source assignment</t>
        </is>
      </c>
      <c r="L656" s="39" t="inlineStr"/>
      <c r="M656" s="34" t="inlineStr">
        <is>
          <t>Initial</t>
        </is>
      </c>
      <c r="N656" s="34" t="inlineStr">
        <is>
          <t>Rev 0</t>
        </is>
      </c>
      <c r="O656" s="34" t="inlineStr">
        <is>
          <t>R517-v1</t>
        </is>
      </c>
      <c r="P656" s="39" t="inlineStr"/>
      <c r="Q656" s="14" t="inlineStr"/>
      <c r="R656" s="39" t="inlineStr"/>
      <c r="S656" s="39" t="inlineStr"/>
      <c r="T656" s="39" t="inlineStr"/>
      <c r="U656" s="39" t="inlineStr"/>
      <c r="V656" s="34" t="inlineStr">
        <is>
          <t>WBS Code = 1.3.1</t>
        </is>
      </c>
      <c r="W656" s="14" t="inlineStr"/>
    </row>
    <row r="657" ht="34" customHeight="1">
      <c r="A657" s="34" t="inlineStr">
        <is>
          <t>1.3.1</t>
        </is>
      </c>
      <c r="B657" s="34" t="inlineStr">
        <is>
          <t>Systems - Traction Power</t>
        </is>
      </c>
      <c r="C657" s="34" t="inlineStr">
        <is>
          <t>Contractor Programme</t>
        </is>
      </c>
      <c r="D657" s="34" t="inlineStr">
        <is>
          <t>SCH-03-158</t>
        </is>
      </c>
      <c r="E657" s="34" t="inlineStr">
        <is>
          <t>West wayside: SCADA point-to-point check - field start</t>
        </is>
      </c>
      <c r="F657" s="34" t="inlineStr">
        <is>
          <t>ONE_TO_ONE</t>
        </is>
      </c>
      <c r="G657" s="34" t="inlineStr">
        <is>
          <t>APPROVED</t>
        </is>
      </c>
      <c r="H657" s="34" t="inlineStr">
        <is>
          <t>New</t>
        </is>
      </c>
      <c r="I657" s="34" t="inlineStr">
        <is>
          <t>Source assignment -- not individually reviewed</t>
        </is>
      </c>
      <c r="J657" s="39" t="inlineStr"/>
      <c r="K657" s="34" t="inlineStr">
        <is>
          <t>Source assignment</t>
        </is>
      </c>
      <c r="L657" s="39" t="inlineStr"/>
      <c r="M657" s="34" t="inlineStr">
        <is>
          <t>Initial</t>
        </is>
      </c>
      <c r="N657" s="34" t="inlineStr">
        <is>
          <t>Rev 0</t>
        </is>
      </c>
      <c r="O657" s="34" t="inlineStr">
        <is>
          <t>R518-v1</t>
        </is>
      </c>
      <c r="P657" s="39" t="inlineStr"/>
      <c r="Q657" s="14" t="inlineStr"/>
      <c r="R657" s="39" t="inlineStr"/>
      <c r="S657" s="39" t="inlineStr"/>
      <c r="T657" s="39" t="inlineStr"/>
      <c r="U657" s="39" t="inlineStr"/>
      <c r="V657" s="34" t="inlineStr">
        <is>
          <t>WBS Code = 1.3.1</t>
        </is>
      </c>
      <c r="W657" s="14" t="inlineStr"/>
    </row>
    <row r="658" ht="34" customHeight="1">
      <c r="A658" s="34" t="inlineStr">
        <is>
          <t>1.3.1</t>
        </is>
      </c>
      <c r="B658" s="34" t="inlineStr">
        <is>
          <t>Systems - Traction Power</t>
        </is>
      </c>
      <c r="C658" s="34" t="inlineStr">
        <is>
          <t>Contractor Programme</t>
        </is>
      </c>
      <c r="D658" s="34" t="inlineStr">
        <is>
          <t>SCH-03-160</t>
        </is>
      </c>
      <c r="E658" s="34" t="inlineStr">
        <is>
          <t>Central interlocking: train-control cabinet fit-out - inspection</t>
        </is>
      </c>
      <c r="F658" s="34" t="inlineStr">
        <is>
          <t>ONE_TO_ONE</t>
        </is>
      </c>
      <c r="G658" s="34" t="inlineStr">
        <is>
          <t>APPROVED</t>
        </is>
      </c>
      <c r="H658" s="34" t="inlineStr">
        <is>
          <t>New</t>
        </is>
      </c>
      <c r="I658" s="34" t="inlineStr">
        <is>
          <t>Source assignment -- not individually reviewed</t>
        </is>
      </c>
      <c r="J658" s="39" t="inlineStr"/>
      <c r="K658" s="34" t="inlineStr">
        <is>
          <t>Source assignment</t>
        </is>
      </c>
      <c r="L658" s="39" t="inlineStr"/>
      <c r="M658" s="34" t="inlineStr">
        <is>
          <t>Initial</t>
        </is>
      </c>
      <c r="N658" s="34" t="inlineStr">
        <is>
          <t>Rev 0</t>
        </is>
      </c>
      <c r="O658" s="34" t="inlineStr">
        <is>
          <t>R520-v1</t>
        </is>
      </c>
      <c r="P658" s="39" t="inlineStr"/>
      <c r="Q658" s="14" t="inlineStr"/>
      <c r="R658" s="39" t="inlineStr"/>
      <c r="S658" s="39" t="inlineStr"/>
      <c r="T658" s="39" t="inlineStr"/>
      <c r="U658" s="39" t="inlineStr"/>
      <c r="V658" s="34" t="inlineStr">
        <is>
          <t>WBS Code = 1.3.1</t>
        </is>
      </c>
      <c r="W658" s="14" t="inlineStr"/>
    </row>
    <row r="659" ht="34" customHeight="1">
      <c r="A659" s="34" t="inlineStr">
        <is>
          <t>1.3.1</t>
        </is>
      </c>
      <c r="B659" s="34" t="inlineStr">
        <is>
          <t>Systems - Traction Power</t>
        </is>
      </c>
      <c r="C659" s="34" t="inlineStr">
        <is>
          <t>Contractor Programme</t>
        </is>
      </c>
      <c r="D659" s="34" t="inlineStr">
        <is>
          <t>SCH-03-161</t>
        </is>
      </c>
      <c r="E659" s="34" t="inlineStr">
        <is>
          <t>Harbour Station: wayside interface test - turnover</t>
        </is>
      </c>
      <c r="F659" s="34" t="inlineStr">
        <is>
          <t>ONE_TO_ONE</t>
        </is>
      </c>
      <c r="G659" s="34" t="inlineStr">
        <is>
          <t>APPROVED</t>
        </is>
      </c>
      <c r="H659" s="34" t="inlineStr">
        <is>
          <t>New</t>
        </is>
      </c>
      <c r="I659" s="34" t="inlineStr">
        <is>
          <t>Source assignment -- not individually reviewed</t>
        </is>
      </c>
      <c r="J659" s="39" t="inlineStr"/>
      <c r="K659" s="34" t="inlineStr">
        <is>
          <t>Source assignment</t>
        </is>
      </c>
      <c r="L659" s="39" t="inlineStr"/>
      <c r="M659" s="34" t="inlineStr">
        <is>
          <t>Initial</t>
        </is>
      </c>
      <c r="N659" s="34" t="inlineStr">
        <is>
          <t>Rev 0</t>
        </is>
      </c>
      <c r="O659" s="34" t="inlineStr">
        <is>
          <t>R521-v1</t>
        </is>
      </c>
      <c r="P659" s="39" t="inlineStr"/>
      <c r="Q659" s="14" t="inlineStr"/>
      <c r="R659" s="39" t="inlineStr"/>
      <c r="S659" s="39" t="inlineStr"/>
      <c r="T659" s="39" t="inlineStr"/>
      <c r="U659" s="39" t="inlineStr"/>
      <c r="V659" s="34" t="inlineStr">
        <is>
          <t>WBS Code = 1.3.1</t>
        </is>
      </c>
      <c r="W659" s="14" t="inlineStr"/>
    </row>
    <row r="660" ht="34" customHeight="1">
      <c r="A660" s="34" t="inlineStr">
        <is>
          <t>1.3.1</t>
        </is>
      </c>
      <c r="B660" s="34" t="inlineStr">
        <is>
          <t>Systems - Traction Power</t>
        </is>
      </c>
      <c r="C660" s="34" t="inlineStr">
        <is>
          <t>Contractor Programme</t>
        </is>
      </c>
      <c r="D660" s="34" t="inlineStr">
        <is>
          <t>SCH-03-163</t>
        </is>
      </c>
      <c r="E660" s="34" t="inlineStr">
        <is>
          <t>West wayside: radio equipment installation - field start</t>
        </is>
      </c>
      <c r="F660" s="34" t="inlineStr">
        <is>
          <t>ONE_TO_ONE</t>
        </is>
      </c>
      <c r="G660" s="34" t="inlineStr">
        <is>
          <t>APPROVED</t>
        </is>
      </c>
      <c r="H660" s="34" t="inlineStr">
        <is>
          <t>New</t>
        </is>
      </c>
      <c r="I660" s="34" t="inlineStr">
        <is>
          <t>Source assignment -- not individually reviewed</t>
        </is>
      </c>
      <c r="J660" s="39" t="inlineStr"/>
      <c r="K660" s="34" t="inlineStr">
        <is>
          <t>Source assignment</t>
        </is>
      </c>
      <c r="L660" s="39" t="inlineStr"/>
      <c r="M660" s="34" t="inlineStr">
        <is>
          <t>Initial</t>
        </is>
      </c>
      <c r="N660" s="34" t="inlineStr">
        <is>
          <t>Rev 0</t>
        </is>
      </c>
      <c r="O660" s="34" t="inlineStr">
        <is>
          <t>R523-v1</t>
        </is>
      </c>
      <c r="P660" s="39" t="inlineStr"/>
      <c r="Q660" s="14" t="inlineStr"/>
      <c r="R660" s="39" t="inlineStr"/>
      <c r="S660" s="39" t="inlineStr"/>
      <c r="T660" s="39" t="inlineStr"/>
      <c r="U660" s="39" t="inlineStr"/>
      <c r="V660" s="34" t="inlineStr">
        <is>
          <t>WBS Code = 1.3.1</t>
        </is>
      </c>
      <c r="W660" s="14" t="inlineStr"/>
    </row>
    <row r="661" ht="34" customHeight="1">
      <c r="A661" s="34" t="inlineStr">
        <is>
          <t>1.3.1</t>
        </is>
      </c>
      <c r="B661" s="34" t="inlineStr">
        <is>
          <t>Systems - Traction Power</t>
        </is>
      </c>
      <c r="C661" s="34" t="inlineStr">
        <is>
          <t>Contractor Programme</t>
        </is>
      </c>
      <c r="D661" s="34" t="inlineStr">
        <is>
          <t>SCH-03-164</t>
        </is>
      </c>
      <c r="E661" s="34" t="inlineStr">
        <is>
          <t>East substation: control-centre integration - installation</t>
        </is>
      </c>
      <c r="F661" s="34" t="inlineStr">
        <is>
          <t>ONE_TO_ONE</t>
        </is>
      </c>
      <c r="G661" s="34" t="inlineStr">
        <is>
          <t>APPROVED</t>
        </is>
      </c>
      <c r="H661" s="34" t="inlineStr">
        <is>
          <t>New</t>
        </is>
      </c>
      <c r="I661" s="34" t="inlineStr">
        <is>
          <t>Source assignment -- not individually reviewed</t>
        </is>
      </c>
      <c r="J661" s="39" t="inlineStr"/>
      <c r="K661" s="34" t="inlineStr">
        <is>
          <t>Source assignment</t>
        </is>
      </c>
      <c r="L661" s="39" t="inlineStr"/>
      <c r="M661" s="34" t="inlineStr">
        <is>
          <t>Initial</t>
        </is>
      </c>
      <c r="N661" s="34" t="inlineStr">
        <is>
          <t>Rev 0</t>
        </is>
      </c>
      <c r="O661" s="34" t="inlineStr">
        <is>
          <t>R524-v1</t>
        </is>
      </c>
      <c r="P661" s="39" t="inlineStr"/>
      <c r="Q661" s="14" t="inlineStr"/>
      <c r="R661" s="39" t="inlineStr"/>
      <c r="S661" s="39" t="inlineStr"/>
      <c r="T661" s="39" t="inlineStr"/>
      <c r="U661" s="39" t="inlineStr"/>
      <c r="V661" s="34" t="inlineStr">
        <is>
          <t>WBS Code = 1.3.1</t>
        </is>
      </c>
      <c r="W661" s="14" t="inlineStr"/>
    </row>
    <row r="662" ht="34" customHeight="1">
      <c r="A662" s="34" t="inlineStr">
        <is>
          <t>1.3.1</t>
        </is>
      </c>
      <c r="B662" s="34" t="inlineStr">
        <is>
          <t>Systems - Traction Power</t>
        </is>
      </c>
      <c r="C662" s="34" t="inlineStr">
        <is>
          <t>Contractor Programme</t>
        </is>
      </c>
      <c r="D662" s="34" t="inlineStr">
        <is>
          <t>SCH-03-166</t>
        </is>
      </c>
      <c r="E662" s="34" t="inlineStr">
        <is>
          <t>Harbour Station: SCADA point-to-point check - turnover</t>
        </is>
      </c>
      <c r="F662" s="34" t="inlineStr">
        <is>
          <t>ONE_TO_ONE</t>
        </is>
      </c>
      <c r="G662" s="34" t="inlineStr">
        <is>
          <t>APPROVED</t>
        </is>
      </c>
      <c r="H662" s="34" t="inlineStr">
        <is>
          <t>New</t>
        </is>
      </c>
      <c r="I662" s="34" t="inlineStr">
        <is>
          <t>Source assignment -- not individually reviewed</t>
        </is>
      </c>
      <c r="J662" s="39" t="inlineStr"/>
      <c r="K662" s="34" t="inlineStr">
        <is>
          <t>Source assignment</t>
        </is>
      </c>
      <c r="L662" s="39" t="inlineStr"/>
      <c r="M662" s="34" t="inlineStr">
        <is>
          <t>Initial</t>
        </is>
      </c>
      <c r="N662" s="34" t="inlineStr">
        <is>
          <t>Rev 0</t>
        </is>
      </c>
      <c r="O662" s="34" t="inlineStr">
        <is>
          <t>R526-v1</t>
        </is>
      </c>
      <c r="P662" s="39" t="inlineStr"/>
      <c r="Q662" s="14" t="inlineStr"/>
      <c r="R662" s="39" t="inlineStr"/>
      <c r="S662" s="39" t="inlineStr"/>
      <c r="T662" s="39" t="inlineStr"/>
      <c r="U662" s="39" t="inlineStr"/>
      <c r="V662" s="34" t="inlineStr">
        <is>
          <t>WBS Code = 1.3.1</t>
        </is>
      </c>
      <c r="W662" s="14" t="inlineStr"/>
    </row>
    <row r="663" ht="34" customHeight="1">
      <c r="A663" s="34" t="inlineStr">
        <is>
          <t>1.3.1</t>
        </is>
      </c>
      <c r="B663" s="34" t="inlineStr">
        <is>
          <t>Systems - Traction Power</t>
        </is>
      </c>
      <c r="C663" s="34" t="inlineStr">
        <is>
          <t>Contractor Programme</t>
        </is>
      </c>
      <c r="D663" s="34" t="inlineStr">
        <is>
          <t>SCH-03-167</t>
        </is>
      </c>
      <c r="E663" s="34" t="inlineStr">
        <is>
          <t>Control Centre: traction-power feeder pull - release</t>
        </is>
      </c>
      <c r="F663" s="34" t="inlineStr">
        <is>
          <t>ONE_TO_ONE</t>
        </is>
      </c>
      <c r="G663" s="34" t="inlineStr">
        <is>
          <t>APPROVED</t>
        </is>
      </c>
      <c r="H663" s="34" t="inlineStr">
        <is>
          <t>New</t>
        </is>
      </c>
      <c r="I663" s="34" t="inlineStr">
        <is>
          <t>Source assignment -- not individually reviewed</t>
        </is>
      </c>
      <c r="J663" s="39" t="inlineStr"/>
      <c r="K663" s="34" t="inlineStr">
        <is>
          <t>Source assignment</t>
        </is>
      </c>
      <c r="L663" s="39" t="inlineStr"/>
      <c r="M663" s="34" t="inlineStr">
        <is>
          <t>Initial</t>
        </is>
      </c>
      <c r="N663" s="34" t="inlineStr">
        <is>
          <t>Rev 0</t>
        </is>
      </c>
      <c r="O663" s="34" t="inlineStr">
        <is>
          <t>R527-v1</t>
        </is>
      </c>
      <c r="P663" s="39" t="inlineStr"/>
      <c r="Q663" s="14" t="inlineStr"/>
      <c r="R663" s="39" t="inlineStr"/>
      <c r="S663" s="39" t="inlineStr"/>
      <c r="T663" s="39" t="inlineStr"/>
      <c r="U663" s="39" t="inlineStr"/>
      <c r="V663" s="34" t="inlineStr">
        <is>
          <t>WBS Code = 1.3.1</t>
        </is>
      </c>
      <c r="W663" s="14" t="inlineStr"/>
    </row>
    <row r="664" ht="34" customHeight="1">
      <c r="A664" s="34" t="inlineStr">
        <is>
          <t>1.3.1</t>
        </is>
      </c>
      <c r="B664" s="34" t="inlineStr">
        <is>
          <t>Systems - Traction Power</t>
        </is>
      </c>
      <c r="C664" s="34" t="inlineStr">
        <is>
          <t>Contractor Programme</t>
        </is>
      </c>
      <c r="D664" s="34" t="inlineStr">
        <is>
          <t>SCH-03-169</t>
        </is>
      </c>
      <c r="E664" s="34" t="inlineStr">
        <is>
          <t>East substation: wayside interface test - installation</t>
        </is>
      </c>
      <c r="F664" s="34" t="inlineStr">
        <is>
          <t>ONE_TO_ONE</t>
        </is>
      </c>
      <c r="G664" s="34" t="inlineStr">
        <is>
          <t>APPROVED</t>
        </is>
      </c>
      <c r="H664" s="34" t="inlineStr">
        <is>
          <t>New</t>
        </is>
      </c>
      <c r="I664" s="34" t="inlineStr">
        <is>
          <t>Source assignment -- not individually reviewed</t>
        </is>
      </c>
      <c r="J664" s="39" t="inlineStr"/>
      <c r="K664" s="34" t="inlineStr">
        <is>
          <t>Source assignment</t>
        </is>
      </c>
      <c r="L664" s="39" t="inlineStr"/>
      <c r="M664" s="34" t="inlineStr">
        <is>
          <t>Initial</t>
        </is>
      </c>
      <c r="N664" s="34" t="inlineStr">
        <is>
          <t>Rev 0</t>
        </is>
      </c>
      <c r="O664" s="34" t="inlineStr">
        <is>
          <t>R529-v1</t>
        </is>
      </c>
      <c r="P664" s="39" t="inlineStr"/>
      <c r="Q664" s="14" t="inlineStr"/>
      <c r="R664" s="39" t="inlineStr"/>
      <c r="S664" s="39" t="inlineStr"/>
      <c r="T664" s="39" t="inlineStr"/>
      <c r="U664" s="39" t="inlineStr"/>
      <c r="V664" s="34" t="inlineStr">
        <is>
          <t>WBS Code = 1.3.1</t>
        </is>
      </c>
      <c r="W664" s="14" t="inlineStr"/>
    </row>
    <row r="665" ht="34" customHeight="1">
      <c r="A665" s="34" t="inlineStr">
        <is>
          <t>1.3.1</t>
        </is>
      </c>
      <c r="B665" s="34" t="inlineStr">
        <is>
          <t>Systems - Traction Power</t>
        </is>
      </c>
      <c r="C665" s="34" t="inlineStr">
        <is>
          <t>Contractor Programme</t>
        </is>
      </c>
      <c r="D665" s="34" t="inlineStr">
        <is>
          <t>SCH-03-170</t>
        </is>
      </c>
      <c r="E665" s="34" t="inlineStr">
        <is>
          <t>Central interlocking: signal equipment installation - inspection</t>
        </is>
      </c>
      <c r="F665" s="34" t="inlineStr">
        <is>
          <t>ONE_TO_ONE</t>
        </is>
      </c>
      <c r="G665" s="34" t="inlineStr">
        <is>
          <t>APPROVED</t>
        </is>
      </c>
      <c r="H665" s="34" t="inlineStr">
        <is>
          <t>New</t>
        </is>
      </c>
      <c r="I665" s="34" t="inlineStr">
        <is>
          <t>Source assignment -- not individually reviewed</t>
        </is>
      </c>
      <c r="J665" s="39" t="inlineStr"/>
      <c r="K665" s="34" t="inlineStr">
        <is>
          <t>Source assignment</t>
        </is>
      </c>
      <c r="L665" s="39" t="inlineStr"/>
      <c r="M665" s="34" t="inlineStr">
        <is>
          <t>Initial</t>
        </is>
      </c>
      <c r="N665" s="34" t="inlineStr">
        <is>
          <t>Rev 0</t>
        </is>
      </c>
      <c r="O665" s="34" t="inlineStr">
        <is>
          <t>R530-v1</t>
        </is>
      </c>
      <c r="P665" s="39" t="inlineStr"/>
      <c r="Q665" s="14" t="inlineStr"/>
      <c r="R665" s="39" t="inlineStr"/>
      <c r="S665" s="39" t="inlineStr"/>
      <c r="T665" s="39" t="inlineStr"/>
      <c r="U665" s="39" t="inlineStr"/>
      <c r="V665" s="34" t="inlineStr">
        <is>
          <t>WBS Code = 1.3.1</t>
        </is>
      </c>
      <c r="W665" s="14" t="inlineStr"/>
    </row>
    <row r="666" ht="34" customHeight="1">
      <c r="A666" s="34" t="inlineStr">
        <is>
          <t>1.3.1</t>
        </is>
      </c>
      <c r="B666" s="34" t="inlineStr">
        <is>
          <t>Systems - Traction Power</t>
        </is>
      </c>
      <c r="C666" s="34" t="inlineStr">
        <is>
          <t>Contractor Programme</t>
        </is>
      </c>
      <c r="D666" s="34" t="inlineStr">
        <is>
          <t>SCH-03-172</t>
        </is>
      </c>
      <c r="E666" s="34" t="inlineStr">
        <is>
          <t>Control Centre: control-centre integration - release</t>
        </is>
      </c>
      <c r="F666" s="34" t="inlineStr">
        <is>
          <t>ONE_TO_ONE</t>
        </is>
      </c>
      <c r="G666" s="34" t="inlineStr">
        <is>
          <t>APPROVED</t>
        </is>
      </c>
      <c r="H666" s="34" t="inlineStr">
        <is>
          <t>New</t>
        </is>
      </c>
      <c r="I666" s="34" t="inlineStr">
        <is>
          <t>Source assignment -- not individually reviewed</t>
        </is>
      </c>
      <c r="J666" s="39" t="inlineStr"/>
      <c r="K666" s="34" t="inlineStr">
        <is>
          <t>Source assignment</t>
        </is>
      </c>
      <c r="L666" s="39" t="inlineStr"/>
      <c r="M666" s="34" t="inlineStr">
        <is>
          <t>Initial</t>
        </is>
      </c>
      <c r="N666" s="34" t="inlineStr">
        <is>
          <t>Rev 0</t>
        </is>
      </c>
      <c r="O666" s="34" t="inlineStr">
        <is>
          <t>R532-v1</t>
        </is>
      </c>
      <c r="P666" s="39" t="inlineStr"/>
      <c r="Q666" s="14" t="inlineStr"/>
      <c r="R666" s="39" t="inlineStr"/>
      <c r="S666" s="39" t="inlineStr"/>
      <c r="T666" s="39" t="inlineStr"/>
      <c r="U666" s="39" t="inlineStr"/>
      <c r="V666" s="34" t="inlineStr">
        <is>
          <t>WBS Code = 1.3.1</t>
        </is>
      </c>
      <c r="W666" s="14" t="inlineStr"/>
    </row>
    <row r="667" ht="34" customHeight="1">
      <c r="A667" s="34" t="inlineStr">
        <is>
          <t>1.3.1</t>
        </is>
      </c>
      <c r="B667" s="34" t="inlineStr">
        <is>
          <t>Systems - Traction Power</t>
        </is>
      </c>
      <c r="C667" s="34" t="inlineStr">
        <is>
          <t>Contractor Programme</t>
        </is>
      </c>
      <c r="D667" s="34" t="inlineStr">
        <is>
          <t>SCH-03-173</t>
        </is>
      </c>
      <c r="E667" s="34" t="inlineStr">
        <is>
          <t>West wayside: fibre backbone termination - field start</t>
        </is>
      </c>
      <c r="F667" s="34" t="inlineStr">
        <is>
          <t>ONE_TO_ONE</t>
        </is>
      </c>
      <c r="G667" s="34" t="inlineStr">
        <is>
          <t>APPROVED</t>
        </is>
      </c>
      <c r="H667" s="34" t="inlineStr">
        <is>
          <t>New</t>
        </is>
      </c>
      <c r="I667" s="34" t="inlineStr">
        <is>
          <t>Source assignment -- not individually reviewed</t>
        </is>
      </c>
      <c r="J667" s="39" t="inlineStr"/>
      <c r="K667" s="34" t="inlineStr">
        <is>
          <t>Source assignment</t>
        </is>
      </c>
      <c r="L667" s="39" t="inlineStr"/>
      <c r="M667" s="34" t="inlineStr">
        <is>
          <t>Initial</t>
        </is>
      </c>
      <c r="N667" s="34" t="inlineStr">
        <is>
          <t>Rev 0</t>
        </is>
      </c>
      <c r="O667" s="34" t="inlineStr">
        <is>
          <t>R533-v1</t>
        </is>
      </c>
      <c r="P667" s="39" t="inlineStr"/>
      <c r="Q667" s="14" t="inlineStr"/>
      <c r="R667" s="39" t="inlineStr"/>
      <c r="S667" s="39" t="inlineStr"/>
      <c r="T667" s="39" t="inlineStr"/>
      <c r="U667" s="39" t="inlineStr"/>
      <c r="V667" s="34" t="inlineStr">
        <is>
          <t>WBS Code = 1.3.1</t>
        </is>
      </c>
      <c r="W667" s="14" t="inlineStr"/>
    </row>
    <row r="668" ht="34" customHeight="1">
      <c r="A668" s="34" t="inlineStr">
        <is>
          <t>1.3.1</t>
        </is>
      </c>
      <c r="B668" s="34" t="inlineStr">
        <is>
          <t>Systems - Traction Power</t>
        </is>
      </c>
      <c r="C668" s="34" t="inlineStr">
        <is>
          <t>Contractor Programme</t>
        </is>
      </c>
      <c r="D668" s="34" t="inlineStr">
        <is>
          <t>SCH-03-175</t>
        </is>
      </c>
      <c r="E668" s="34" t="inlineStr">
        <is>
          <t>Central interlocking: traction-power feeder pull - inspection</t>
        </is>
      </c>
      <c r="F668" s="34" t="inlineStr">
        <is>
          <t>ONE_TO_ONE</t>
        </is>
      </c>
      <c r="G668" s="34" t="inlineStr">
        <is>
          <t>APPROVED</t>
        </is>
      </c>
      <c r="H668" s="34" t="inlineStr">
        <is>
          <t>New</t>
        </is>
      </c>
      <c r="I668" s="34" t="inlineStr">
        <is>
          <t>Source assignment -- not individually reviewed</t>
        </is>
      </c>
      <c r="J668" s="39" t="inlineStr"/>
      <c r="K668" s="34" t="inlineStr">
        <is>
          <t>Source assignment</t>
        </is>
      </c>
      <c r="L668" s="39" t="inlineStr"/>
      <c r="M668" s="34" t="inlineStr">
        <is>
          <t>Initial</t>
        </is>
      </c>
      <c r="N668" s="34" t="inlineStr">
        <is>
          <t>Rev 0</t>
        </is>
      </c>
      <c r="O668" s="34" t="inlineStr">
        <is>
          <t>R535-v1</t>
        </is>
      </c>
      <c r="P668" s="39" t="inlineStr"/>
      <c r="Q668" s="14" t="inlineStr"/>
      <c r="R668" s="39" t="inlineStr"/>
      <c r="S668" s="39" t="inlineStr"/>
      <c r="T668" s="39" t="inlineStr"/>
      <c r="U668" s="39" t="inlineStr"/>
      <c r="V668" s="34" t="inlineStr">
        <is>
          <t>WBS Code = 1.3.1</t>
        </is>
      </c>
      <c r="W668" s="14" t="inlineStr"/>
    </row>
    <row r="669" ht="34" customHeight="1">
      <c r="A669" s="34" t="inlineStr">
        <is>
          <t>1.3.1</t>
        </is>
      </c>
      <c r="B669" s="34" t="inlineStr">
        <is>
          <t>Systems - Traction Power</t>
        </is>
      </c>
      <c r="C669" s="34" t="inlineStr">
        <is>
          <t>Contractor Programme</t>
        </is>
      </c>
      <c r="D669" s="34" t="inlineStr">
        <is>
          <t>SCH-03-176</t>
        </is>
      </c>
      <c r="E669" s="34" t="inlineStr">
        <is>
          <t>Harbour Station: train-control cabinet fit-out - turnover</t>
        </is>
      </c>
      <c r="F669" s="34" t="inlineStr">
        <is>
          <t>ONE_TO_ONE</t>
        </is>
      </c>
      <c r="G669" s="34" t="inlineStr">
        <is>
          <t>APPROVED</t>
        </is>
      </c>
      <c r="H669" s="34" t="inlineStr">
        <is>
          <t>New</t>
        </is>
      </c>
      <c r="I669" s="34" t="inlineStr">
        <is>
          <t>Source assignment -- not individually reviewed</t>
        </is>
      </c>
      <c r="J669" s="39" t="inlineStr"/>
      <c r="K669" s="34" t="inlineStr">
        <is>
          <t>Source assignment</t>
        </is>
      </c>
      <c r="L669" s="39" t="inlineStr"/>
      <c r="M669" s="34" t="inlineStr">
        <is>
          <t>Initial</t>
        </is>
      </c>
      <c r="N669" s="34" t="inlineStr">
        <is>
          <t>Rev 0</t>
        </is>
      </c>
      <c r="O669" s="34" t="inlineStr">
        <is>
          <t>R536-v1</t>
        </is>
      </c>
      <c r="P669" s="39" t="inlineStr"/>
      <c r="Q669" s="14" t="inlineStr"/>
      <c r="R669" s="39" t="inlineStr"/>
      <c r="S669" s="39" t="inlineStr"/>
      <c r="T669" s="39" t="inlineStr"/>
      <c r="U669" s="39" t="inlineStr"/>
      <c r="V669" s="34" t="inlineStr">
        <is>
          <t>WBS Code = 1.3.1</t>
        </is>
      </c>
      <c r="W669" s="14" t="inlineStr"/>
    </row>
    <row r="670" ht="34" customHeight="1">
      <c r="A670" s="34" t="inlineStr">
        <is>
          <t>1.3.1</t>
        </is>
      </c>
      <c r="B670" s="34" t="inlineStr">
        <is>
          <t>Systems - Traction Power</t>
        </is>
      </c>
      <c r="C670" s="34" t="inlineStr">
        <is>
          <t>Contractor Programme</t>
        </is>
      </c>
      <c r="D670" s="34" t="inlineStr">
        <is>
          <t>SCH-03-178</t>
        </is>
      </c>
      <c r="E670" s="34" t="inlineStr">
        <is>
          <t>West wayside: signal equipment installation - field start</t>
        </is>
      </c>
      <c r="F670" s="34" t="inlineStr">
        <is>
          <t>ONE_TO_ONE</t>
        </is>
      </c>
      <c r="G670" s="34" t="inlineStr">
        <is>
          <t>APPROVED</t>
        </is>
      </c>
      <c r="H670" s="34" t="inlineStr">
        <is>
          <t>New</t>
        </is>
      </c>
      <c r="I670" s="34" t="inlineStr">
        <is>
          <t>Source assignment -- not individually reviewed</t>
        </is>
      </c>
      <c r="J670" s="39" t="inlineStr"/>
      <c r="K670" s="34" t="inlineStr">
        <is>
          <t>Source assignment</t>
        </is>
      </c>
      <c r="L670" s="39" t="inlineStr"/>
      <c r="M670" s="34" t="inlineStr">
        <is>
          <t>Initial</t>
        </is>
      </c>
      <c r="N670" s="34" t="inlineStr">
        <is>
          <t>Rev 0</t>
        </is>
      </c>
      <c r="O670" s="34" t="inlineStr">
        <is>
          <t>R538-v1</t>
        </is>
      </c>
      <c r="P670" s="39" t="inlineStr"/>
      <c r="Q670" s="14" t="inlineStr"/>
      <c r="R670" s="39" t="inlineStr"/>
      <c r="S670" s="39" t="inlineStr"/>
      <c r="T670" s="39" t="inlineStr"/>
      <c r="U670" s="39" t="inlineStr"/>
      <c r="V670" s="34" t="inlineStr">
        <is>
          <t>WBS Code = 1.3.1</t>
        </is>
      </c>
      <c r="W670" s="14" t="inlineStr"/>
    </row>
    <row r="671" ht="34" customHeight="1">
      <c r="A671" s="34" t="inlineStr">
        <is>
          <t>1.3.1</t>
        </is>
      </c>
      <c r="B671" s="34" t="inlineStr">
        <is>
          <t>Systems - Traction Power</t>
        </is>
      </c>
      <c r="C671" s="34" t="inlineStr">
        <is>
          <t>Contractor Programme</t>
        </is>
      </c>
      <c r="D671" s="34" t="inlineStr">
        <is>
          <t>SCH-03-179</t>
        </is>
      </c>
      <c r="E671" s="34" t="inlineStr">
        <is>
          <t>East substation: radio equipment installation - installation</t>
        </is>
      </c>
      <c r="F671" s="34" t="inlineStr">
        <is>
          <t>ONE_TO_ONE</t>
        </is>
      </c>
      <c r="G671" s="34" t="inlineStr">
        <is>
          <t>APPROVED</t>
        </is>
      </c>
      <c r="H671" s="34" t="inlineStr">
        <is>
          <t>New</t>
        </is>
      </c>
      <c r="I671" s="34" t="inlineStr">
        <is>
          <t>Source assignment -- not individually reviewed</t>
        </is>
      </c>
      <c r="J671" s="39" t="inlineStr"/>
      <c r="K671" s="34" t="inlineStr">
        <is>
          <t>Source assignment</t>
        </is>
      </c>
      <c r="L671" s="39" t="inlineStr"/>
      <c r="M671" s="34" t="inlineStr">
        <is>
          <t>Initial</t>
        </is>
      </c>
      <c r="N671" s="34" t="inlineStr">
        <is>
          <t>Rev 0</t>
        </is>
      </c>
      <c r="O671" s="34" t="inlineStr">
        <is>
          <t>R539-v1</t>
        </is>
      </c>
      <c r="P671" s="39" t="inlineStr"/>
      <c r="Q671" s="14" t="inlineStr"/>
      <c r="R671" s="39" t="inlineStr"/>
      <c r="S671" s="39" t="inlineStr"/>
      <c r="T671" s="39" t="inlineStr"/>
      <c r="U671" s="39" t="inlineStr"/>
      <c r="V671" s="34" t="inlineStr">
        <is>
          <t>WBS Code = 1.3.1</t>
        </is>
      </c>
      <c r="W671" s="14" t="inlineStr"/>
    </row>
    <row r="672" ht="49" customHeight="1">
      <c r="A672" s="34" t="inlineStr">
        <is>
          <t>1.3.1</t>
        </is>
      </c>
      <c r="B672" s="34" t="inlineStr">
        <is>
          <t>Systems - Traction Power</t>
        </is>
      </c>
      <c r="C672" s="34" t="inlineStr">
        <is>
          <t>Cost &amp; Forecast Control Accounts</t>
        </is>
      </c>
      <c r="D672" s="34" t="inlineStr">
        <is>
          <t>CST-03-001</t>
        </is>
      </c>
      <c r="E672" s="34" t="inlineStr">
        <is>
          <t>Systems - systems integration - closeout</t>
        </is>
      </c>
      <c r="F672" s="34" t="inlineStr">
        <is>
          <t>ONE_TO_ONE</t>
        </is>
      </c>
      <c r="G672" s="34" t="inlineStr">
        <is>
          <t>APPROVED</t>
        </is>
      </c>
      <c r="H672" s="34" t="inlineStr">
        <is>
          <t>New</t>
        </is>
      </c>
      <c r="I672" s="34" t="inlineStr">
        <is>
          <t>Source assignment -- not individually reviewed</t>
        </is>
      </c>
      <c r="J672" s="39" t="inlineStr"/>
      <c r="K672" s="34" t="inlineStr">
        <is>
          <t>Source assignment</t>
        </is>
      </c>
      <c r="L672" s="39" t="inlineStr"/>
      <c r="M672" s="34" t="inlineStr">
        <is>
          <t>Initial</t>
        </is>
      </c>
      <c r="N672" s="34" t="inlineStr">
        <is>
          <t>Rev 0</t>
        </is>
      </c>
      <c r="O672" s="34" t="inlineStr">
        <is>
          <t>R1243-v1</t>
        </is>
      </c>
      <c r="P672" s="39" t="inlineStr"/>
      <c r="Q672" s="14" t="inlineStr"/>
      <c r="R672" s="39" t="inlineStr"/>
      <c r="S672" s="39" t="inlineStr"/>
      <c r="T672" s="39" t="inlineStr"/>
      <c r="U672" s="39" t="inlineStr"/>
      <c r="V672" s="34" t="inlineStr">
        <is>
          <t>Cost Account = CA-3001; WBS Code = 1.3.1</t>
        </is>
      </c>
      <c r="W672" s="14" t="inlineStr"/>
    </row>
    <row r="673" ht="49" customHeight="1">
      <c r="A673" s="34" t="inlineStr">
        <is>
          <t>1.3.1</t>
        </is>
      </c>
      <c r="B673" s="34" t="inlineStr">
        <is>
          <t>Systems - Traction Power</t>
        </is>
      </c>
      <c r="C673" s="34" t="inlineStr">
        <is>
          <t>Cost &amp; Forecast Control Accounts</t>
        </is>
      </c>
      <c r="D673" s="34" t="inlineStr">
        <is>
          <t>CST-03-003</t>
        </is>
      </c>
      <c r="E673" s="34" t="inlineStr">
        <is>
          <t>Systems - train control - supply and install</t>
        </is>
      </c>
      <c r="F673" s="34" t="inlineStr">
        <is>
          <t>ONE_TO_ONE</t>
        </is>
      </c>
      <c r="G673" s="34" t="inlineStr">
        <is>
          <t>APPROVED</t>
        </is>
      </c>
      <c r="H673" s="34" t="inlineStr">
        <is>
          <t>New</t>
        </is>
      </c>
      <c r="I673" s="34" t="inlineStr">
        <is>
          <t>Source assignment -- not individually reviewed</t>
        </is>
      </c>
      <c r="J673" s="39" t="inlineStr"/>
      <c r="K673" s="34" t="inlineStr">
        <is>
          <t>Source assignment</t>
        </is>
      </c>
      <c r="L673" s="39" t="inlineStr"/>
      <c r="M673" s="34" t="inlineStr">
        <is>
          <t>Initial</t>
        </is>
      </c>
      <c r="N673" s="34" t="inlineStr">
        <is>
          <t>Rev 0</t>
        </is>
      </c>
      <c r="O673" s="34" t="inlineStr">
        <is>
          <t>R1245-v1</t>
        </is>
      </c>
      <c r="P673" s="39" t="inlineStr"/>
      <c r="Q673" s="14" t="inlineStr"/>
      <c r="R673" s="39" t="inlineStr"/>
      <c r="S673" s="39" t="inlineStr"/>
      <c r="T673" s="39" t="inlineStr"/>
      <c r="U673" s="39" t="inlineStr"/>
      <c r="V673" s="34" t="inlineStr">
        <is>
          <t>Cost Account = CA-3003; WBS Code = 1.3.1</t>
        </is>
      </c>
      <c r="W673" s="14" t="inlineStr"/>
    </row>
    <row r="674" ht="49" customHeight="1">
      <c r="A674" s="34" t="inlineStr">
        <is>
          <t>1.3.1</t>
        </is>
      </c>
      <c r="B674" s="34" t="inlineStr">
        <is>
          <t>Systems - Traction Power</t>
        </is>
      </c>
      <c r="C674" s="34" t="inlineStr">
        <is>
          <t>Cost &amp; Forecast Control Accounts</t>
        </is>
      </c>
      <c r="D674" s="34" t="inlineStr">
        <is>
          <t>CST-03-005</t>
        </is>
      </c>
      <c r="E674" s="34" t="inlineStr">
        <is>
          <t>Systems - signalling - allowance</t>
        </is>
      </c>
      <c r="F674" s="34" t="inlineStr">
        <is>
          <t>ONE_TO_ONE</t>
        </is>
      </c>
      <c r="G674" s="34" t="inlineStr">
        <is>
          <t>APPROVED</t>
        </is>
      </c>
      <c r="H674" s="34" t="inlineStr">
        <is>
          <t>New</t>
        </is>
      </c>
      <c r="I674" s="34" t="inlineStr">
        <is>
          <t>Source assignment -- not individually reviewed</t>
        </is>
      </c>
      <c r="J674" s="39" t="inlineStr"/>
      <c r="K674" s="34" t="inlineStr">
        <is>
          <t>Source assignment</t>
        </is>
      </c>
      <c r="L674" s="39" t="inlineStr"/>
      <c r="M674" s="34" t="inlineStr">
        <is>
          <t>Initial</t>
        </is>
      </c>
      <c r="N674" s="34" t="inlineStr">
        <is>
          <t>Rev 0</t>
        </is>
      </c>
      <c r="O674" s="34" t="inlineStr">
        <is>
          <t>R1247-v1</t>
        </is>
      </c>
      <c r="P674" s="39" t="inlineStr"/>
      <c r="Q674" s="14" t="inlineStr"/>
      <c r="R674" s="39" t="inlineStr"/>
      <c r="S674" s="39" t="inlineStr"/>
      <c r="T674" s="39" t="inlineStr"/>
      <c r="U674" s="39" t="inlineStr"/>
      <c r="V674" s="34" t="inlineStr">
        <is>
          <t>Cost Account = CA-3005; WBS Code = 1.3.1</t>
        </is>
      </c>
      <c r="W674" s="14" t="inlineStr"/>
    </row>
    <row r="675" ht="49" customHeight="1">
      <c r="A675" s="34" t="inlineStr">
        <is>
          <t>1.3.1</t>
        </is>
      </c>
      <c r="B675" s="34" t="inlineStr">
        <is>
          <t>Systems - Traction Power</t>
        </is>
      </c>
      <c r="C675" s="34" t="inlineStr">
        <is>
          <t>Cost &amp; Forecast Control Accounts</t>
        </is>
      </c>
      <c r="D675" s="34" t="inlineStr">
        <is>
          <t>CST-03-007</t>
        </is>
      </c>
      <c r="E675" s="34" t="inlineStr">
        <is>
          <t>Systems - systems integration - field package</t>
        </is>
      </c>
      <c r="F675" s="34" t="inlineStr">
        <is>
          <t>ONE_TO_ONE</t>
        </is>
      </c>
      <c r="G675" s="34" t="inlineStr">
        <is>
          <t>APPROVED</t>
        </is>
      </c>
      <c r="H675" s="34" t="inlineStr">
        <is>
          <t>New</t>
        </is>
      </c>
      <c r="I675" s="34" t="inlineStr">
        <is>
          <t>Source assignment -- not individually reviewed</t>
        </is>
      </c>
      <c r="J675" s="39" t="inlineStr"/>
      <c r="K675" s="34" t="inlineStr">
        <is>
          <t>Source assignment</t>
        </is>
      </c>
      <c r="L675" s="39" t="inlineStr"/>
      <c r="M675" s="34" t="inlineStr">
        <is>
          <t>Initial</t>
        </is>
      </c>
      <c r="N675" s="34" t="inlineStr">
        <is>
          <t>Rev 0</t>
        </is>
      </c>
      <c r="O675" s="34" t="inlineStr">
        <is>
          <t>R1249-v1</t>
        </is>
      </c>
      <c r="P675" s="39" t="inlineStr"/>
      <c r="Q675" s="14" t="inlineStr"/>
      <c r="R675" s="39" t="inlineStr"/>
      <c r="S675" s="39" t="inlineStr"/>
      <c r="T675" s="39" t="inlineStr"/>
      <c r="U675" s="39" t="inlineStr"/>
      <c r="V675" s="34" t="inlineStr">
        <is>
          <t>Cost Account = CA-3007; WBS Code = 1.3.1</t>
        </is>
      </c>
      <c r="W675" s="14" t="inlineStr"/>
    </row>
    <row r="676" ht="49" customHeight="1">
      <c r="A676" s="34" t="inlineStr">
        <is>
          <t>1.3.1</t>
        </is>
      </c>
      <c r="B676" s="34" t="inlineStr">
        <is>
          <t>Systems - Traction Power</t>
        </is>
      </c>
      <c r="C676" s="34" t="inlineStr">
        <is>
          <t>Cost &amp; Forecast Control Accounts</t>
        </is>
      </c>
      <c r="D676" s="34" t="inlineStr">
        <is>
          <t>CST-03-009</t>
        </is>
      </c>
      <c r="E676" s="34" t="inlineStr">
        <is>
          <t>Systems - train control - professional services</t>
        </is>
      </c>
      <c r="F676" s="34" t="inlineStr">
        <is>
          <t>ONE_TO_ONE</t>
        </is>
      </c>
      <c r="G676" s="34" t="inlineStr">
        <is>
          <t>APPROVED</t>
        </is>
      </c>
      <c r="H676" s="34" t="inlineStr">
        <is>
          <t>New</t>
        </is>
      </c>
      <c r="I676" s="34" t="inlineStr">
        <is>
          <t>Source assignment -- not individually reviewed</t>
        </is>
      </c>
      <c r="J676" s="39" t="inlineStr"/>
      <c r="K676" s="34" t="inlineStr">
        <is>
          <t>Source assignment</t>
        </is>
      </c>
      <c r="L676" s="39" t="inlineStr"/>
      <c r="M676" s="34" t="inlineStr">
        <is>
          <t>Initial</t>
        </is>
      </c>
      <c r="N676" s="34" t="inlineStr">
        <is>
          <t>Rev 0</t>
        </is>
      </c>
      <c r="O676" s="34" t="inlineStr">
        <is>
          <t>R1251-v1</t>
        </is>
      </c>
      <c r="P676" s="39" t="inlineStr"/>
      <c r="Q676" s="14" t="inlineStr"/>
      <c r="R676" s="39" t="inlineStr"/>
      <c r="S676" s="39" t="inlineStr"/>
      <c r="T676" s="39" t="inlineStr"/>
      <c r="U676" s="39" t="inlineStr"/>
      <c r="V676" s="34" t="inlineStr">
        <is>
          <t>Cost Account = CA-3009; WBS Code = 1.3.1</t>
        </is>
      </c>
      <c r="W676" s="14" t="inlineStr"/>
    </row>
    <row r="677" ht="49" customHeight="1">
      <c r="A677" s="34" t="inlineStr">
        <is>
          <t>1.3.1</t>
        </is>
      </c>
      <c r="B677" s="34" t="inlineStr">
        <is>
          <t>Systems - Traction Power</t>
        </is>
      </c>
      <c r="C677" s="34" t="inlineStr">
        <is>
          <t>Cost &amp; Forecast Control Accounts</t>
        </is>
      </c>
      <c r="D677" s="34" t="inlineStr">
        <is>
          <t>CST-03-011</t>
        </is>
      </c>
      <c r="E677" s="34" t="inlineStr">
        <is>
          <t>Systems - signalling - closeout</t>
        </is>
      </c>
      <c r="F677" s="34" t="inlineStr">
        <is>
          <t>ONE_TO_ONE</t>
        </is>
      </c>
      <c r="G677" s="34" t="inlineStr">
        <is>
          <t>APPROVED</t>
        </is>
      </c>
      <c r="H677" s="34" t="inlineStr">
        <is>
          <t>New</t>
        </is>
      </c>
      <c r="I677" s="34" t="inlineStr">
        <is>
          <t>Source assignment -- not individually reviewed</t>
        </is>
      </c>
      <c r="J677" s="39" t="inlineStr"/>
      <c r="K677" s="34" t="inlineStr">
        <is>
          <t>Source assignment</t>
        </is>
      </c>
      <c r="L677" s="39" t="inlineStr"/>
      <c r="M677" s="34" t="inlineStr">
        <is>
          <t>Initial</t>
        </is>
      </c>
      <c r="N677" s="34" t="inlineStr">
        <is>
          <t>Rev 0</t>
        </is>
      </c>
      <c r="O677" s="34" t="inlineStr">
        <is>
          <t>R1253-v1</t>
        </is>
      </c>
      <c r="P677" s="39" t="inlineStr"/>
      <c r="Q677" s="14" t="inlineStr"/>
      <c r="R677" s="39" t="inlineStr"/>
      <c r="S677" s="39" t="inlineStr"/>
      <c r="T677" s="39" t="inlineStr"/>
      <c r="U677" s="39" t="inlineStr"/>
      <c r="V677" s="34" t="inlineStr">
        <is>
          <t>Cost Account = CA-3011; WBS Code = 1.3.1</t>
        </is>
      </c>
      <c r="W677" s="14" t="inlineStr"/>
    </row>
    <row r="678" ht="49" customHeight="1">
      <c r="A678" s="34" t="inlineStr">
        <is>
          <t>1.3.1</t>
        </is>
      </c>
      <c r="B678" s="34" t="inlineStr">
        <is>
          <t>Systems - Traction Power</t>
        </is>
      </c>
      <c r="C678" s="34" t="inlineStr">
        <is>
          <t>Cost &amp; Forecast Control Accounts</t>
        </is>
      </c>
      <c r="D678" s="34" t="inlineStr">
        <is>
          <t>CST-03-013</t>
        </is>
      </c>
      <c r="E678" s="34" t="inlineStr">
        <is>
          <t>Systems - systems integration - supply and install</t>
        </is>
      </c>
      <c r="F678" s="34" t="inlineStr">
        <is>
          <t>ONE_TO_ONE</t>
        </is>
      </c>
      <c r="G678" s="34" t="inlineStr">
        <is>
          <t>APPROVED</t>
        </is>
      </c>
      <c r="H678" s="34" t="inlineStr">
        <is>
          <t>New</t>
        </is>
      </c>
      <c r="I678" s="34" t="inlineStr">
        <is>
          <t>Source assignment -- not individually reviewed</t>
        </is>
      </c>
      <c r="J678" s="39" t="inlineStr"/>
      <c r="K678" s="34" t="inlineStr">
        <is>
          <t>Source assignment</t>
        </is>
      </c>
      <c r="L678" s="39" t="inlineStr"/>
      <c r="M678" s="34" t="inlineStr">
        <is>
          <t>Initial</t>
        </is>
      </c>
      <c r="N678" s="34" t="inlineStr">
        <is>
          <t>Rev 0</t>
        </is>
      </c>
      <c r="O678" s="34" t="inlineStr">
        <is>
          <t>R1255-v1</t>
        </is>
      </c>
      <c r="P678" s="39" t="inlineStr"/>
      <c r="Q678" s="14" t="inlineStr"/>
      <c r="R678" s="39" t="inlineStr"/>
      <c r="S678" s="39" t="inlineStr"/>
      <c r="T678" s="39" t="inlineStr"/>
      <c r="U678" s="39" t="inlineStr"/>
      <c r="V678" s="34" t="inlineStr">
        <is>
          <t>Cost Account = CA-3013; WBS Code = 1.3.1</t>
        </is>
      </c>
      <c r="W678" s="14" t="inlineStr"/>
    </row>
    <row r="679" ht="49" customHeight="1">
      <c r="A679" s="34" t="inlineStr">
        <is>
          <t>1.3.1</t>
        </is>
      </c>
      <c r="B679" s="34" t="inlineStr">
        <is>
          <t>Systems - Traction Power</t>
        </is>
      </c>
      <c r="C679" s="34" t="inlineStr">
        <is>
          <t>Cost &amp; Forecast Control Accounts</t>
        </is>
      </c>
      <c r="D679" s="34" t="inlineStr">
        <is>
          <t>CST-03-015</t>
        </is>
      </c>
      <c r="E679" s="34" t="inlineStr">
        <is>
          <t>Systems - train control - allowance</t>
        </is>
      </c>
      <c r="F679" s="34" t="inlineStr">
        <is>
          <t>ONE_TO_ONE</t>
        </is>
      </c>
      <c r="G679" s="34" t="inlineStr">
        <is>
          <t>APPROVED</t>
        </is>
      </c>
      <c r="H679" s="34" t="inlineStr">
        <is>
          <t>New</t>
        </is>
      </c>
      <c r="I679" s="34" t="inlineStr">
        <is>
          <t>Source assignment -- not individually reviewed</t>
        </is>
      </c>
      <c r="J679" s="39" t="inlineStr"/>
      <c r="K679" s="34" t="inlineStr">
        <is>
          <t>Source assignment</t>
        </is>
      </c>
      <c r="L679" s="39" t="inlineStr"/>
      <c r="M679" s="34" t="inlineStr">
        <is>
          <t>Initial</t>
        </is>
      </c>
      <c r="N679" s="34" t="inlineStr">
        <is>
          <t>Rev 0</t>
        </is>
      </c>
      <c r="O679" s="34" t="inlineStr">
        <is>
          <t>R1257-v1</t>
        </is>
      </c>
      <c r="P679" s="39" t="inlineStr"/>
      <c r="Q679" s="14" t="inlineStr"/>
      <c r="R679" s="39" t="inlineStr"/>
      <c r="S679" s="39" t="inlineStr"/>
      <c r="T679" s="39" t="inlineStr"/>
      <c r="U679" s="39" t="inlineStr"/>
      <c r="V679" s="34" t="inlineStr">
        <is>
          <t>Cost Account = CA-3015; WBS Code = 1.3.1</t>
        </is>
      </c>
      <c r="W679" s="14" t="inlineStr"/>
    </row>
    <row r="680" ht="49" customHeight="1">
      <c r="A680" s="34" t="inlineStr">
        <is>
          <t>1.3.1</t>
        </is>
      </c>
      <c r="B680" s="34" t="inlineStr">
        <is>
          <t>Systems - Traction Power</t>
        </is>
      </c>
      <c r="C680" s="34" t="inlineStr">
        <is>
          <t>Cost &amp; Forecast Control Accounts</t>
        </is>
      </c>
      <c r="D680" s="34" t="inlineStr">
        <is>
          <t>CST-03-017</t>
        </is>
      </c>
      <c r="E680" s="34" t="inlineStr">
        <is>
          <t>Systems - signalling - field package</t>
        </is>
      </c>
      <c r="F680" s="34" t="inlineStr">
        <is>
          <t>ONE_TO_ONE</t>
        </is>
      </c>
      <c r="G680" s="34" t="inlineStr">
        <is>
          <t>APPROVED</t>
        </is>
      </c>
      <c r="H680" s="34" t="inlineStr">
        <is>
          <t>New</t>
        </is>
      </c>
      <c r="I680" s="34" t="inlineStr">
        <is>
          <t>Source assignment -- not individually reviewed</t>
        </is>
      </c>
      <c r="J680" s="39" t="inlineStr"/>
      <c r="K680" s="34" t="inlineStr">
        <is>
          <t>Source assignment</t>
        </is>
      </c>
      <c r="L680" s="39" t="inlineStr"/>
      <c r="M680" s="34" t="inlineStr">
        <is>
          <t>Initial</t>
        </is>
      </c>
      <c r="N680" s="34" t="inlineStr">
        <is>
          <t>Rev 0</t>
        </is>
      </c>
      <c r="O680" s="34" t="inlineStr">
        <is>
          <t>R1259-v1</t>
        </is>
      </c>
      <c r="P680" s="39" t="inlineStr"/>
      <c r="Q680" s="14" t="inlineStr"/>
      <c r="R680" s="39" t="inlineStr"/>
      <c r="S680" s="39" t="inlineStr"/>
      <c r="T680" s="39" t="inlineStr"/>
      <c r="U680" s="39" t="inlineStr"/>
      <c r="V680" s="34" t="inlineStr">
        <is>
          <t>Cost Account = CA-3017; WBS Code = 1.3.1</t>
        </is>
      </c>
      <c r="W680" s="14" t="inlineStr"/>
    </row>
    <row r="681" ht="49" customHeight="1">
      <c r="A681" s="34" t="inlineStr">
        <is>
          <t>1.3.1</t>
        </is>
      </c>
      <c r="B681" s="34" t="inlineStr">
        <is>
          <t>Systems - Traction Power</t>
        </is>
      </c>
      <c r="C681" s="34" t="inlineStr">
        <is>
          <t>Cost &amp; Forecast Control Accounts</t>
        </is>
      </c>
      <c r="D681" s="34" t="inlineStr">
        <is>
          <t>CST-03-019</t>
        </is>
      </c>
      <c r="E681" s="34" t="inlineStr">
        <is>
          <t>Systems - systems integration - professional services</t>
        </is>
      </c>
      <c r="F681" s="34" t="inlineStr">
        <is>
          <t>ONE_TO_ONE</t>
        </is>
      </c>
      <c r="G681" s="34" t="inlineStr">
        <is>
          <t>APPROVED</t>
        </is>
      </c>
      <c r="H681" s="34" t="inlineStr">
        <is>
          <t>New</t>
        </is>
      </c>
      <c r="I681" s="34" t="inlineStr">
        <is>
          <t>Source assignment -- not individually reviewed</t>
        </is>
      </c>
      <c r="J681" s="39" t="inlineStr"/>
      <c r="K681" s="34" t="inlineStr">
        <is>
          <t>Source assignment</t>
        </is>
      </c>
      <c r="L681" s="39" t="inlineStr"/>
      <c r="M681" s="34" t="inlineStr">
        <is>
          <t>Initial</t>
        </is>
      </c>
      <c r="N681" s="34" t="inlineStr">
        <is>
          <t>Rev 0</t>
        </is>
      </c>
      <c r="O681" s="34" t="inlineStr">
        <is>
          <t>R1261-v1</t>
        </is>
      </c>
      <c r="P681" s="39" t="inlineStr"/>
      <c r="Q681" s="14" t="inlineStr"/>
      <c r="R681" s="39" t="inlineStr"/>
      <c r="S681" s="39" t="inlineStr"/>
      <c r="T681" s="39" t="inlineStr"/>
      <c r="U681" s="39" t="inlineStr"/>
      <c r="V681" s="34" t="inlineStr">
        <is>
          <t>Cost Account = CA-3019; WBS Code = 1.3.1</t>
        </is>
      </c>
      <c r="W681" s="14" t="inlineStr"/>
    </row>
    <row r="682" ht="49" customHeight="1">
      <c r="A682" s="34" t="inlineStr">
        <is>
          <t>1.3.1</t>
        </is>
      </c>
      <c r="B682" s="34" t="inlineStr">
        <is>
          <t>Systems - Traction Power</t>
        </is>
      </c>
      <c r="C682" s="34" t="inlineStr">
        <is>
          <t>Cost &amp; Forecast Control Accounts</t>
        </is>
      </c>
      <c r="D682" s="34" t="inlineStr">
        <is>
          <t>CST-03-021</t>
        </is>
      </c>
      <c r="E682" s="34" t="inlineStr">
        <is>
          <t>Systems - train control - closeout</t>
        </is>
      </c>
      <c r="F682" s="34" t="inlineStr">
        <is>
          <t>ONE_TO_ONE</t>
        </is>
      </c>
      <c r="G682" s="34" t="inlineStr">
        <is>
          <t>APPROVED</t>
        </is>
      </c>
      <c r="H682" s="34" t="inlineStr">
        <is>
          <t>New</t>
        </is>
      </c>
      <c r="I682" s="34" t="inlineStr">
        <is>
          <t>Source assignment -- not individually reviewed</t>
        </is>
      </c>
      <c r="J682" s="39" t="inlineStr"/>
      <c r="K682" s="34" t="inlineStr">
        <is>
          <t>Source assignment</t>
        </is>
      </c>
      <c r="L682" s="39" t="inlineStr"/>
      <c r="M682" s="34" t="inlineStr">
        <is>
          <t>Initial</t>
        </is>
      </c>
      <c r="N682" s="34" t="inlineStr">
        <is>
          <t>Rev 0</t>
        </is>
      </c>
      <c r="O682" s="34" t="inlineStr">
        <is>
          <t>R1263-v1</t>
        </is>
      </c>
      <c r="P682" s="39" t="inlineStr"/>
      <c r="Q682" s="14" t="inlineStr"/>
      <c r="R682" s="39" t="inlineStr"/>
      <c r="S682" s="39" t="inlineStr"/>
      <c r="T682" s="39" t="inlineStr"/>
      <c r="U682" s="39" t="inlineStr"/>
      <c r="V682" s="34" t="inlineStr">
        <is>
          <t>Cost Account = CA-3021; WBS Code = 1.3.1</t>
        </is>
      </c>
      <c r="W682" s="14" t="inlineStr"/>
    </row>
    <row r="683" ht="49" customHeight="1">
      <c r="A683" s="34" t="inlineStr">
        <is>
          <t>1.3.1</t>
        </is>
      </c>
      <c r="B683" s="34" t="inlineStr">
        <is>
          <t>Systems - Traction Power</t>
        </is>
      </c>
      <c r="C683" s="34" t="inlineStr">
        <is>
          <t>Cost &amp; Forecast Control Accounts</t>
        </is>
      </c>
      <c r="D683" s="34" t="inlineStr">
        <is>
          <t>CST-03-023</t>
        </is>
      </c>
      <c r="E683" s="34" t="inlineStr">
        <is>
          <t>Systems - signalling - supply and install</t>
        </is>
      </c>
      <c r="F683" s="34" t="inlineStr">
        <is>
          <t>ONE_TO_ONE</t>
        </is>
      </c>
      <c r="G683" s="34" t="inlineStr">
        <is>
          <t>APPROVED</t>
        </is>
      </c>
      <c r="H683" s="34" t="inlineStr">
        <is>
          <t>New</t>
        </is>
      </c>
      <c r="I683" s="34" t="inlineStr">
        <is>
          <t>Source assignment -- not individually reviewed</t>
        </is>
      </c>
      <c r="J683" s="39" t="inlineStr"/>
      <c r="K683" s="34" t="inlineStr">
        <is>
          <t>Source assignment</t>
        </is>
      </c>
      <c r="L683" s="39" t="inlineStr"/>
      <c r="M683" s="34" t="inlineStr">
        <is>
          <t>Initial</t>
        </is>
      </c>
      <c r="N683" s="34" t="inlineStr">
        <is>
          <t>Rev 0</t>
        </is>
      </c>
      <c r="O683" s="34" t="inlineStr">
        <is>
          <t>R1265-v1</t>
        </is>
      </c>
      <c r="P683" s="39" t="inlineStr"/>
      <c r="Q683" s="14" t="inlineStr"/>
      <c r="R683" s="39" t="inlineStr"/>
      <c r="S683" s="39" t="inlineStr"/>
      <c r="T683" s="39" t="inlineStr"/>
      <c r="U683" s="39" t="inlineStr"/>
      <c r="V683" s="34" t="inlineStr">
        <is>
          <t>Cost Account = CA-3023; WBS Code = 1.3.1</t>
        </is>
      </c>
      <c r="W683" s="14" t="inlineStr"/>
    </row>
    <row r="684" ht="49" customHeight="1">
      <c r="A684" s="34" t="inlineStr">
        <is>
          <t>1.3.1</t>
        </is>
      </c>
      <c r="B684" s="34" t="inlineStr">
        <is>
          <t>Systems - Traction Power</t>
        </is>
      </c>
      <c r="C684" s="34" t="inlineStr">
        <is>
          <t>Cost &amp; Forecast Control Accounts</t>
        </is>
      </c>
      <c r="D684" s="34" t="inlineStr">
        <is>
          <t>CST-03-025</t>
        </is>
      </c>
      <c r="E684" s="34" t="inlineStr">
        <is>
          <t>Systems - systems integration - allowance</t>
        </is>
      </c>
      <c r="F684" s="34" t="inlineStr">
        <is>
          <t>ONE_TO_ONE</t>
        </is>
      </c>
      <c r="G684" s="34" t="inlineStr">
        <is>
          <t>APPROVED</t>
        </is>
      </c>
      <c r="H684" s="34" t="inlineStr">
        <is>
          <t>New</t>
        </is>
      </c>
      <c r="I684" s="34" t="inlineStr">
        <is>
          <t>Source assignment -- not individually reviewed</t>
        </is>
      </c>
      <c r="J684" s="39" t="inlineStr"/>
      <c r="K684" s="34" t="inlineStr">
        <is>
          <t>Source assignment</t>
        </is>
      </c>
      <c r="L684" s="39" t="inlineStr"/>
      <c r="M684" s="34" t="inlineStr">
        <is>
          <t>Initial</t>
        </is>
      </c>
      <c r="N684" s="34" t="inlineStr">
        <is>
          <t>Rev 0</t>
        </is>
      </c>
      <c r="O684" s="34" t="inlineStr">
        <is>
          <t>R1267-v1</t>
        </is>
      </c>
      <c r="P684" s="39" t="inlineStr"/>
      <c r="Q684" s="14" t="inlineStr"/>
      <c r="R684" s="39" t="inlineStr"/>
      <c r="S684" s="39" t="inlineStr"/>
      <c r="T684" s="39" t="inlineStr"/>
      <c r="U684" s="39" t="inlineStr"/>
      <c r="V684" s="34" t="inlineStr">
        <is>
          <t>Cost Account = CA-3025; WBS Code = 1.3.1</t>
        </is>
      </c>
      <c r="W684" s="14" t="inlineStr"/>
    </row>
    <row r="685" ht="49" customHeight="1">
      <c r="A685" s="34" t="inlineStr">
        <is>
          <t>1.3.1</t>
        </is>
      </c>
      <c r="B685" s="34" t="inlineStr">
        <is>
          <t>Systems - Traction Power</t>
        </is>
      </c>
      <c r="C685" s="34" t="inlineStr">
        <is>
          <t>Cost &amp; Forecast Control Accounts</t>
        </is>
      </c>
      <c r="D685" s="34" t="inlineStr">
        <is>
          <t>CST-03-027</t>
        </is>
      </c>
      <c r="E685" s="34" t="inlineStr">
        <is>
          <t>Systems - train control - field package</t>
        </is>
      </c>
      <c r="F685" s="34" t="inlineStr">
        <is>
          <t>ONE_TO_ONE</t>
        </is>
      </c>
      <c r="G685" s="34" t="inlineStr">
        <is>
          <t>APPROVED</t>
        </is>
      </c>
      <c r="H685" s="34" t="inlineStr">
        <is>
          <t>New</t>
        </is>
      </c>
      <c r="I685" s="34" t="inlineStr">
        <is>
          <t>Source assignment -- not individually reviewed</t>
        </is>
      </c>
      <c r="J685" s="39" t="inlineStr"/>
      <c r="K685" s="34" t="inlineStr">
        <is>
          <t>Source assignment</t>
        </is>
      </c>
      <c r="L685" s="39" t="inlineStr"/>
      <c r="M685" s="34" t="inlineStr">
        <is>
          <t>Initial</t>
        </is>
      </c>
      <c r="N685" s="34" t="inlineStr">
        <is>
          <t>Rev 0</t>
        </is>
      </c>
      <c r="O685" s="34" t="inlineStr">
        <is>
          <t>R1269-v1</t>
        </is>
      </c>
      <c r="P685" s="39" t="inlineStr"/>
      <c r="Q685" s="14" t="inlineStr"/>
      <c r="R685" s="39" t="inlineStr"/>
      <c r="S685" s="39" t="inlineStr"/>
      <c r="T685" s="39" t="inlineStr"/>
      <c r="U685" s="39" t="inlineStr"/>
      <c r="V685" s="34" t="inlineStr">
        <is>
          <t>Cost Account = CA-3027; WBS Code = 1.3.1</t>
        </is>
      </c>
      <c r="W685" s="14" t="inlineStr"/>
    </row>
    <row r="686" ht="49" customHeight="1">
      <c r="A686" s="34" t="inlineStr">
        <is>
          <t>1.3.1</t>
        </is>
      </c>
      <c r="B686" s="34" t="inlineStr">
        <is>
          <t>Systems - Traction Power</t>
        </is>
      </c>
      <c r="C686" s="34" t="inlineStr">
        <is>
          <t>Cost &amp; Forecast Control Accounts</t>
        </is>
      </c>
      <c r="D686" s="34" t="inlineStr">
        <is>
          <t>CST-03-029</t>
        </is>
      </c>
      <c r="E686" s="34" t="inlineStr">
        <is>
          <t>Systems - signalling - professional services</t>
        </is>
      </c>
      <c r="F686" s="34" t="inlineStr">
        <is>
          <t>ONE_TO_ONE</t>
        </is>
      </c>
      <c r="G686" s="34" t="inlineStr">
        <is>
          <t>APPROVED</t>
        </is>
      </c>
      <c r="H686" s="34" t="inlineStr">
        <is>
          <t>New</t>
        </is>
      </c>
      <c r="I686" s="34" t="inlineStr">
        <is>
          <t>Source assignment -- not individually reviewed</t>
        </is>
      </c>
      <c r="J686" s="39" t="inlineStr"/>
      <c r="K686" s="34" t="inlineStr">
        <is>
          <t>Source assignment</t>
        </is>
      </c>
      <c r="L686" s="39" t="inlineStr"/>
      <c r="M686" s="34" t="inlineStr">
        <is>
          <t>Initial</t>
        </is>
      </c>
      <c r="N686" s="34" t="inlineStr">
        <is>
          <t>Rev 0</t>
        </is>
      </c>
      <c r="O686" s="34" t="inlineStr">
        <is>
          <t>R1271-v1</t>
        </is>
      </c>
      <c r="P686" s="39" t="inlineStr"/>
      <c r="Q686" s="14" t="inlineStr"/>
      <c r="R686" s="39" t="inlineStr"/>
      <c r="S686" s="39" t="inlineStr"/>
      <c r="T686" s="39" t="inlineStr"/>
      <c r="U686" s="39" t="inlineStr"/>
      <c r="V686" s="34" t="inlineStr">
        <is>
          <t>Cost Account = CA-3029; WBS Code = 1.3.1</t>
        </is>
      </c>
      <c r="W686" s="14" t="inlineStr"/>
    </row>
    <row r="687" ht="49" customHeight="1">
      <c r="A687" s="34" t="inlineStr">
        <is>
          <t>1.3.1</t>
        </is>
      </c>
      <c r="B687" s="34" t="inlineStr">
        <is>
          <t>Systems - Traction Power</t>
        </is>
      </c>
      <c r="C687" s="34" t="inlineStr">
        <is>
          <t>Cost &amp; Forecast Control Accounts</t>
        </is>
      </c>
      <c r="D687" s="34" t="inlineStr">
        <is>
          <t>CST-03-031</t>
        </is>
      </c>
      <c r="E687" s="34" t="inlineStr">
        <is>
          <t>Systems - systems integration - closeout</t>
        </is>
      </c>
      <c r="F687" s="34" t="inlineStr">
        <is>
          <t>ONE_TO_ONE</t>
        </is>
      </c>
      <c r="G687" s="34" t="inlineStr">
        <is>
          <t>APPROVED</t>
        </is>
      </c>
      <c r="H687" s="34" t="inlineStr">
        <is>
          <t>New</t>
        </is>
      </c>
      <c r="I687" s="34" t="inlineStr">
        <is>
          <t>Source assignment -- not individually reviewed</t>
        </is>
      </c>
      <c r="J687" s="39" t="inlineStr"/>
      <c r="K687" s="34" t="inlineStr">
        <is>
          <t>Source assignment</t>
        </is>
      </c>
      <c r="L687" s="39" t="inlineStr"/>
      <c r="M687" s="34" t="inlineStr">
        <is>
          <t>Initial</t>
        </is>
      </c>
      <c r="N687" s="34" t="inlineStr">
        <is>
          <t>Rev 0</t>
        </is>
      </c>
      <c r="O687" s="34" t="inlineStr">
        <is>
          <t>R1273-v1</t>
        </is>
      </c>
      <c r="P687" s="39" t="inlineStr"/>
      <c r="Q687" s="14" t="inlineStr"/>
      <c r="R687" s="39" t="inlineStr"/>
      <c r="S687" s="39" t="inlineStr"/>
      <c r="T687" s="39" t="inlineStr"/>
      <c r="U687" s="39" t="inlineStr"/>
      <c r="V687" s="34" t="inlineStr">
        <is>
          <t>Cost Account = CA-3031; WBS Code = 1.3.1</t>
        </is>
      </c>
      <c r="W687" s="14" t="inlineStr"/>
    </row>
    <row r="688" ht="49" customHeight="1">
      <c r="A688" s="34" t="inlineStr">
        <is>
          <t>1.3.1</t>
        </is>
      </c>
      <c r="B688" s="34" t="inlineStr">
        <is>
          <t>Systems - Traction Power</t>
        </is>
      </c>
      <c r="C688" s="34" t="inlineStr">
        <is>
          <t>Cost &amp; Forecast Control Accounts</t>
        </is>
      </c>
      <c r="D688" s="34" t="inlineStr">
        <is>
          <t>CST-03-033</t>
        </is>
      </c>
      <c r="E688" s="34" t="inlineStr">
        <is>
          <t>Systems - train control - supply and install</t>
        </is>
      </c>
      <c r="F688" s="34" t="inlineStr">
        <is>
          <t>ONE_TO_ONE</t>
        </is>
      </c>
      <c r="G688" s="34" t="inlineStr">
        <is>
          <t>APPROVED</t>
        </is>
      </c>
      <c r="H688" s="34" t="inlineStr">
        <is>
          <t>New</t>
        </is>
      </c>
      <c r="I688" s="34" t="inlineStr">
        <is>
          <t>Source assignment -- not individually reviewed</t>
        </is>
      </c>
      <c r="J688" s="39" t="inlineStr"/>
      <c r="K688" s="34" t="inlineStr">
        <is>
          <t>Source assignment</t>
        </is>
      </c>
      <c r="L688" s="39" t="inlineStr"/>
      <c r="M688" s="34" t="inlineStr">
        <is>
          <t>Initial</t>
        </is>
      </c>
      <c r="N688" s="34" t="inlineStr">
        <is>
          <t>Rev 0</t>
        </is>
      </c>
      <c r="O688" s="34" t="inlineStr">
        <is>
          <t>R1275-v1</t>
        </is>
      </c>
      <c r="P688" s="39" t="inlineStr"/>
      <c r="Q688" s="14" t="inlineStr"/>
      <c r="R688" s="39" t="inlineStr"/>
      <c r="S688" s="39" t="inlineStr"/>
      <c r="T688" s="39" t="inlineStr"/>
      <c r="U688" s="39" t="inlineStr"/>
      <c r="V688" s="34" t="inlineStr">
        <is>
          <t>Cost Account = CA-3033; WBS Code = 1.3.1</t>
        </is>
      </c>
      <c r="W688" s="14" t="inlineStr"/>
    </row>
    <row r="689" ht="49" customHeight="1">
      <c r="A689" s="34" t="inlineStr">
        <is>
          <t>1.3.1</t>
        </is>
      </c>
      <c r="B689" s="34" t="inlineStr">
        <is>
          <t>Systems - Traction Power</t>
        </is>
      </c>
      <c r="C689" s="34" t="inlineStr">
        <is>
          <t>Cost &amp; Forecast Control Accounts</t>
        </is>
      </c>
      <c r="D689" s="34" t="inlineStr">
        <is>
          <t>CST-03-035</t>
        </is>
      </c>
      <c r="E689" s="34" t="inlineStr">
        <is>
          <t>Systems - signalling - allowance</t>
        </is>
      </c>
      <c r="F689" s="34" t="inlineStr">
        <is>
          <t>ONE_TO_ONE</t>
        </is>
      </c>
      <c r="G689" s="34" t="inlineStr">
        <is>
          <t>APPROVED</t>
        </is>
      </c>
      <c r="H689" s="34" t="inlineStr">
        <is>
          <t>New</t>
        </is>
      </c>
      <c r="I689" s="34" t="inlineStr">
        <is>
          <t>Source assignment -- not individually reviewed</t>
        </is>
      </c>
      <c r="J689" s="39" t="inlineStr"/>
      <c r="K689" s="34" t="inlineStr">
        <is>
          <t>Source assignment</t>
        </is>
      </c>
      <c r="L689" s="39" t="inlineStr"/>
      <c r="M689" s="34" t="inlineStr">
        <is>
          <t>Initial</t>
        </is>
      </c>
      <c r="N689" s="34" t="inlineStr">
        <is>
          <t>Rev 0</t>
        </is>
      </c>
      <c r="O689" s="34" t="inlineStr">
        <is>
          <t>R1277-v1</t>
        </is>
      </c>
      <c r="P689" s="39" t="inlineStr"/>
      <c r="Q689" s="14" t="inlineStr"/>
      <c r="R689" s="39" t="inlineStr"/>
      <c r="S689" s="39" t="inlineStr"/>
      <c r="T689" s="39" t="inlineStr"/>
      <c r="U689" s="39" t="inlineStr"/>
      <c r="V689" s="34" t="inlineStr">
        <is>
          <t>Cost Account = CA-3035; WBS Code = 1.3.1</t>
        </is>
      </c>
      <c r="W689" s="14" t="inlineStr"/>
    </row>
    <row r="690" ht="49" customHeight="1">
      <c r="A690" s="34" t="inlineStr">
        <is>
          <t>1.3.1</t>
        </is>
      </c>
      <c r="B690" s="34" t="inlineStr">
        <is>
          <t>Systems - Traction Power</t>
        </is>
      </c>
      <c r="C690" s="34" t="inlineStr">
        <is>
          <t>Cost &amp; Forecast Control Accounts</t>
        </is>
      </c>
      <c r="D690" s="34" t="inlineStr">
        <is>
          <t>CST-03-037</t>
        </is>
      </c>
      <c r="E690" s="34" t="inlineStr">
        <is>
          <t>Systems - systems integration - field package</t>
        </is>
      </c>
      <c r="F690" s="34" t="inlineStr">
        <is>
          <t>ONE_TO_ONE</t>
        </is>
      </c>
      <c r="G690" s="34" t="inlineStr">
        <is>
          <t>APPROVED</t>
        </is>
      </c>
      <c r="H690" s="34" t="inlineStr">
        <is>
          <t>New</t>
        </is>
      </c>
      <c r="I690" s="34" t="inlineStr">
        <is>
          <t>Source assignment -- not individually reviewed</t>
        </is>
      </c>
      <c r="J690" s="39" t="inlineStr"/>
      <c r="K690" s="34" t="inlineStr">
        <is>
          <t>Source assignment</t>
        </is>
      </c>
      <c r="L690" s="39" t="inlineStr"/>
      <c r="M690" s="34" t="inlineStr">
        <is>
          <t>Initial</t>
        </is>
      </c>
      <c r="N690" s="34" t="inlineStr">
        <is>
          <t>Rev 0</t>
        </is>
      </c>
      <c r="O690" s="34" t="inlineStr">
        <is>
          <t>R1279-v1</t>
        </is>
      </c>
      <c r="P690" s="39" t="inlineStr"/>
      <c r="Q690" s="14" t="inlineStr"/>
      <c r="R690" s="39" t="inlineStr"/>
      <c r="S690" s="39" t="inlineStr"/>
      <c r="T690" s="39" t="inlineStr"/>
      <c r="U690" s="39" t="inlineStr"/>
      <c r="V690" s="34" t="inlineStr">
        <is>
          <t>Cost Account = CA-3037; WBS Code = 1.3.1</t>
        </is>
      </c>
      <c r="W690" s="14" t="inlineStr"/>
    </row>
    <row r="691" ht="49" customHeight="1">
      <c r="A691" s="34" t="inlineStr">
        <is>
          <t>1.3.1</t>
        </is>
      </c>
      <c r="B691" s="34" t="inlineStr">
        <is>
          <t>Systems - Traction Power</t>
        </is>
      </c>
      <c r="C691" s="34" t="inlineStr">
        <is>
          <t>Cost &amp; Forecast Control Accounts</t>
        </is>
      </c>
      <c r="D691" s="34" t="inlineStr">
        <is>
          <t>CST-03-039</t>
        </is>
      </c>
      <c r="E691" s="34" t="inlineStr">
        <is>
          <t>Systems - train control - professional services</t>
        </is>
      </c>
      <c r="F691" s="34" t="inlineStr">
        <is>
          <t>ONE_TO_ONE</t>
        </is>
      </c>
      <c r="G691" s="34" t="inlineStr">
        <is>
          <t>APPROVED</t>
        </is>
      </c>
      <c r="H691" s="34" t="inlineStr">
        <is>
          <t>New</t>
        </is>
      </c>
      <c r="I691" s="34" t="inlineStr">
        <is>
          <t>Source assignment -- not individually reviewed</t>
        </is>
      </c>
      <c r="J691" s="39" t="inlineStr"/>
      <c r="K691" s="34" t="inlineStr">
        <is>
          <t>Source assignment</t>
        </is>
      </c>
      <c r="L691" s="39" t="inlineStr"/>
      <c r="M691" s="34" t="inlineStr">
        <is>
          <t>Initial</t>
        </is>
      </c>
      <c r="N691" s="34" t="inlineStr">
        <is>
          <t>Rev 0</t>
        </is>
      </c>
      <c r="O691" s="34" t="inlineStr">
        <is>
          <t>R1281-v1</t>
        </is>
      </c>
      <c r="P691" s="39" t="inlineStr"/>
      <c r="Q691" s="14" t="inlineStr"/>
      <c r="R691" s="39" t="inlineStr"/>
      <c r="S691" s="39" t="inlineStr"/>
      <c r="T691" s="39" t="inlineStr"/>
      <c r="U691" s="39" t="inlineStr"/>
      <c r="V691" s="34" t="inlineStr">
        <is>
          <t>Cost Account = CA-3039; WBS Code = 1.3.1</t>
        </is>
      </c>
      <c r="W691" s="14" t="inlineStr"/>
    </row>
    <row r="692" ht="49" customHeight="1">
      <c r="A692" s="34" t="inlineStr">
        <is>
          <t>1.3.1</t>
        </is>
      </c>
      <c r="B692" s="34" t="inlineStr">
        <is>
          <t>Systems - Traction Power</t>
        </is>
      </c>
      <c r="C692" s="34" t="inlineStr">
        <is>
          <t>Cost &amp; Forecast Control Accounts</t>
        </is>
      </c>
      <c r="D692" s="34" t="inlineStr">
        <is>
          <t>CST-03-041</t>
        </is>
      </c>
      <c r="E692" s="34" t="inlineStr">
        <is>
          <t>Systems - signalling - closeout</t>
        </is>
      </c>
      <c r="F692" s="34" t="inlineStr">
        <is>
          <t>ONE_TO_ONE</t>
        </is>
      </c>
      <c r="G692" s="34" t="inlineStr">
        <is>
          <t>APPROVED</t>
        </is>
      </c>
      <c r="H692" s="34" t="inlineStr">
        <is>
          <t>New</t>
        </is>
      </c>
      <c r="I692" s="34" t="inlineStr">
        <is>
          <t>Source assignment -- not individually reviewed</t>
        </is>
      </c>
      <c r="J692" s="39" t="inlineStr"/>
      <c r="K692" s="34" t="inlineStr">
        <is>
          <t>Source assignment</t>
        </is>
      </c>
      <c r="L692" s="39" t="inlineStr"/>
      <c r="M692" s="34" t="inlineStr">
        <is>
          <t>Initial</t>
        </is>
      </c>
      <c r="N692" s="34" t="inlineStr">
        <is>
          <t>Rev 0</t>
        </is>
      </c>
      <c r="O692" s="34" t="inlineStr">
        <is>
          <t>R1283-v1</t>
        </is>
      </c>
      <c r="P692" s="39" t="inlineStr"/>
      <c r="Q692" s="14" t="inlineStr"/>
      <c r="R692" s="39" t="inlineStr"/>
      <c r="S692" s="39" t="inlineStr"/>
      <c r="T692" s="39" t="inlineStr"/>
      <c r="U692" s="39" t="inlineStr"/>
      <c r="V692" s="34" t="inlineStr">
        <is>
          <t>Cost Account = CA-3041; WBS Code = 1.3.1</t>
        </is>
      </c>
      <c r="W692" s="14" t="inlineStr"/>
    </row>
    <row r="693" ht="49" customHeight="1">
      <c r="A693" s="34" t="inlineStr">
        <is>
          <t>1.3.1</t>
        </is>
      </c>
      <c r="B693" s="34" t="inlineStr">
        <is>
          <t>Systems - Traction Power</t>
        </is>
      </c>
      <c r="C693" s="34" t="inlineStr">
        <is>
          <t>Cost &amp; Forecast Control Accounts</t>
        </is>
      </c>
      <c r="D693" s="34" t="inlineStr">
        <is>
          <t>CST-03-043</t>
        </is>
      </c>
      <c r="E693" s="34" t="inlineStr">
        <is>
          <t>Systems - systems integration - supply and install</t>
        </is>
      </c>
      <c r="F693" s="34" t="inlineStr">
        <is>
          <t>ONE_TO_ONE</t>
        </is>
      </c>
      <c r="G693" s="34" t="inlineStr">
        <is>
          <t>APPROVED</t>
        </is>
      </c>
      <c r="H693" s="34" t="inlineStr">
        <is>
          <t>New</t>
        </is>
      </c>
      <c r="I693" s="34" t="inlineStr">
        <is>
          <t>Source assignment -- not individually reviewed</t>
        </is>
      </c>
      <c r="J693" s="39" t="inlineStr"/>
      <c r="K693" s="34" t="inlineStr">
        <is>
          <t>Source assignment</t>
        </is>
      </c>
      <c r="L693" s="39" t="inlineStr"/>
      <c r="M693" s="34" t="inlineStr">
        <is>
          <t>Initial</t>
        </is>
      </c>
      <c r="N693" s="34" t="inlineStr">
        <is>
          <t>Rev 0</t>
        </is>
      </c>
      <c r="O693" s="34" t="inlineStr">
        <is>
          <t>R1285-v1</t>
        </is>
      </c>
      <c r="P693" s="39" t="inlineStr"/>
      <c r="Q693" s="14" t="inlineStr"/>
      <c r="R693" s="39" t="inlineStr"/>
      <c r="S693" s="39" t="inlineStr"/>
      <c r="T693" s="39" t="inlineStr"/>
      <c r="U693" s="39" t="inlineStr"/>
      <c r="V693" s="34" t="inlineStr">
        <is>
          <t>Cost Account = CA-3043; WBS Code = 1.3.1</t>
        </is>
      </c>
      <c r="W693" s="14" t="inlineStr"/>
    </row>
    <row r="694" ht="49" customHeight="1">
      <c r="A694" s="34" t="inlineStr">
        <is>
          <t>1.3.1</t>
        </is>
      </c>
      <c r="B694" s="34" t="inlineStr">
        <is>
          <t>Systems - Traction Power</t>
        </is>
      </c>
      <c r="C694" s="34" t="inlineStr">
        <is>
          <t>Cost &amp; Forecast Control Accounts</t>
        </is>
      </c>
      <c r="D694" s="34" t="inlineStr">
        <is>
          <t>CST-03-045</t>
        </is>
      </c>
      <c r="E694" s="34" t="inlineStr">
        <is>
          <t>Systems - train control - allowance</t>
        </is>
      </c>
      <c r="F694" s="34" t="inlineStr">
        <is>
          <t>ONE_TO_ONE</t>
        </is>
      </c>
      <c r="G694" s="34" t="inlineStr">
        <is>
          <t>APPROVED</t>
        </is>
      </c>
      <c r="H694" s="34" t="inlineStr">
        <is>
          <t>New</t>
        </is>
      </c>
      <c r="I694" s="34" t="inlineStr">
        <is>
          <t>Source assignment -- not individually reviewed</t>
        </is>
      </c>
      <c r="J694" s="39" t="inlineStr"/>
      <c r="K694" s="34" t="inlineStr">
        <is>
          <t>Source assignment</t>
        </is>
      </c>
      <c r="L694" s="39" t="inlineStr"/>
      <c r="M694" s="34" t="inlineStr">
        <is>
          <t>Initial</t>
        </is>
      </c>
      <c r="N694" s="34" t="inlineStr">
        <is>
          <t>Rev 0</t>
        </is>
      </c>
      <c r="O694" s="34" t="inlineStr">
        <is>
          <t>R1287-v1</t>
        </is>
      </c>
      <c r="P694" s="39" t="inlineStr"/>
      <c r="Q694" s="14" t="inlineStr"/>
      <c r="R694" s="39" t="inlineStr"/>
      <c r="S694" s="39" t="inlineStr"/>
      <c r="T694" s="39" t="inlineStr"/>
      <c r="U694" s="39" t="inlineStr"/>
      <c r="V694" s="34" t="inlineStr">
        <is>
          <t>Cost Account = CA-3045; WBS Code = 1.3.1</t>
        </is>
      </c>
      <c r="W694" s="14" t="inlineStr"/>
    </row>
    <row r="695" ht="49" customHeight="1">
      <c r="A695" s="34" t="inlineStr">
        <is>
          <t>1.3.1</t>
        </is>
      </c>
      <c r="B695" s="34" t="inlineStr">
        <is>
          <t>Systems - Traction Power</t>
        </is>
      </c>
      <c r="C695" s="34" t="inlineStr">
        <is>
          <t>Cost &amp; Forecast Control Accounts</t>
        </is>
      </c>
      <c r="D695" s="34" t="inlineStr">
        <is>
          <t>CST-03-047</t>
        </is>
      </c>
      <c r="E695" s="34" t="inlineStr">
        <is>
          <t>Systems - signalling - field package</t>
        </is>
      </c>
      <c r="F695" s="34" t="inlineStr">
        <is>
          <t>ONE_TO_ONE</t>
        </is>
      </c>
      <c r="G695" s="34" t="inlineStr">
        <is>
          <t>APPROVED</t>
        </is>
      </c>
      <c r="H695" s="34" t="inlineStr">
        <is>
          <t>New</t>
        </is>
      </c>
      <c r="I695" s="34" t="inlineStr">
        <is>
          <t>Source assignment -- not individually reviewed</t>
        </is>
      </c>
      <c r="J695" s="39" t="inlineStr"/>
      <c r="K695" s="34" t="inlineStr">
        <is>
          <t>Source assignment</t>
        </is>
      </c>
      <c r="L695" s="39" t="inlineStr"/>
      <c r="M695" s="34" t="inlineStr">
        <is>
          <t>Initial</t>
        </is>
      </c>
      <c r="N695" s="34" t="inlineStr">
        <is>
          <t>Rev 0</t>
        </is>
      </c>
      <c r="O695" s="34" t="inlineStr">
        <is>
          <t>R1289-v1</t>
        </is>
      </c>
      <c r="P695" s="39" t="inlineStr"/>
      <c r="Q695" s="14" t="inlineStr"/>
      <c r="R695" s="39" t="inlineStr"/>
      <c r="S695" s="39" t="inlineStr"/>
      <c r="T695" s="39" t="inlineStr"/>
      <c r="U695" s="39" t="inlineStr"/>
      <c r="V695" s="34" t="inlineStr">
        <is>
          <t>Cost Account = CA-3047; WBS Code = 1.3.1</t>
        </is>
      </c>
      <c r="W695" s="14" t="inlineStr"/>
    </row>
    <row r="696" ht="49" customHeight="1">
      <c r="A696" s="34" t="inlineStr">
        <is>
          <t>1.3.1</t>
        </is>
      </c>
      <c r="B696" s="34" t="inlineStr">
        <is>
          <t>Systems - Traction Power</t>
        </is>
      </c>
      <c r="C696" s="34" t="inlineStr">
        <is>
          <t>Cost &amp; Forecast Control Accounts</t>
        </is>
      </c>
      <c r="D696" s="34" t="inlineStr">
        <is>
          <t>CST-03-049</t>
        </is>
      </c>
      <c r="E696" s="34" t="inlineStr">
        <is>
          <t>Systems - systems integration - professional services</t>
        </is>
      </c>
      <c r="F696" s="34" t="inlineStr">
        <is>
          <t>ONE_TO_ONE</t>
        </is>
      </c>
      <c r="G696" s="34" t="inlineStr">
        <is>
          <t>APPROVED</t>
        </is>
      </c>
      <c r="H696" s="34" t="inlineStr">
        <is>
          <t>New</t>
        </is>
      </c>
      <c r="I696" s="34" t="inlineStr">
        <is>
          <t>Source assignment -- not individually reviewed</t>
        </is>
      </c>
      <c r="J696" s="39" t="inlineStr"/>
      <c r="K696" s="34" t="inlineStr">
        <is>
          <t>Source assignment</t>
        </is>
      </c>
      <c r="L696" s="39" t="inlineStr"/>
      <c r="M696" s="34" t="inlineStr">
        <is>
          <t>Initial</t>
        </is>
      </c>
      <c r="N696" s="34" t="inlineStr">
        <is>
          <t>Rev 0</t>
        </is>
      </c>
      <c r="O696" s="34" t="inlineStr">
        <is>
          <t>R1291-v1</t>
        </is>
      </c>
      <c r="P696" s="39" t="inlineStr"/>
      <c r="Q696" s="14" t="inlineStr"/>
      <c r="R696" s="39" t="inlineStr"/>
      <c r="S696" s="39" t="inlineStr"/>
      <c r="T696" s="39" t="inlineStr"/>
      <c r="U696" s="39" t="inlineStr"/>
      <c r="V696" s="34" t="inlineStr">
        <is>
          <t>Cost Account = CA-3049; WBS Code = 1.3.1</t>
        </is>
      </c>
      <c r="W696" s="14" t="inlineStr"/>
    </row>
    <row r="697" ht="49" customHeight="1">
      <c r="A697" s="34" t="inlineStr">
        <is>
          <t>1.3.1</t>
        </is>
      </c>
      <c r="B697" s="34" t="inlineStr">
        <is>
          <t>Systems - Traction Power</t>
        </is>
      </c>
      <c r="C697" s="34" t="inlineStr">
        <is>
          <t>Cost &amp; Forecast Control Accounts</t>
        </is>
      </c>
      <c r="D697" s="34" t="inlineStr">
        <is>
          <t>CST-03-051</t>
        </is>
      </c>
      <c r="E697" s="34" t="inlineStr">
        <is>
          <t>Systems - train control - closeout</t>
        </is>
      </c>
      <c r="F697" s="34" t="inlineStr">
        <is>
          <t>ONE_TO_ONE</t>
        </is>
      </c>
      <c r="G697" s="34" t="inlineStr">
        <is>
          <t>APPROVED</t>
        </is>
      </c>
      <c r="H697" s="34" t="inlineStr">
        <is>
          <t>New</t>
        </is>
      </c>
      <c r="I697" s="34" t="inlineStr">
        <is>
          <t>Source assignment -- not individually reviewed</t>
        </is>
      </c>
      <c r="J697" s="39" t="inlineStr"/>
      <c r="K697" s="34" t="inlineStr">
        <is>
          <t>Source assignment</t>
        </is>
      </c>
      <c r="L697" s="39" t="inlineStr"/>
      <c r="M697" s="34" t="inlineStr">
        <is>
          <t>Initial</t>
        </is>
      </c>
      <c r="N697" s="34" t="inlineStr">
        <is>
          <t>Rev 0</t>
        </is>
      </c>
      <c r="O697" s="34" t="inlineStr">
        <is>
          <t>R1293-v1</t>
        </is>
      </c>
      <c r="P697" s="39" t="inlineStr"/>
      <c r="Q697" s="14" t="inlineStr"/>
      <c r="R697" s="39" t="inlineStr"/>
      <c r="S697" s="39" t="inlineStr"/>
      <c r="T697" s="39" t="inlineStr"/>
      <c r="U697" s="39" t="inlineStr"/>
      <c r="V697" s="34" t="inlineStr">
        <is>
          <t>Cost Account = CA-3051; WBS Code = 1.3.1</t>
        </is>
      </c>
      <c r="W697" s="14" t="inlineStr"/>
    </row>
    <row r="698" ht="49" customHeight="1">
      <c r="A698" s="34" t="inlineStr">
        <is>
          <t>1.3.1</t>
        </is>
      </c>
      <c r="B698" s="34" t="inlineStr">
        <is>
          <t>Systems - Traction Power</t>
        </is>
      </c>
      <c r="C698" s="34" t="inlineStr">
        <is>
          <t>Cost &amp; Forecast Control Accounts</t>
        </is>
      </c>
      <c r="D698" s="34" t="inlineStr">
        <is>
          <t>CST-03-053</t>
        </is>
      </c>
      <c r="E698" s="34" t="inlineStr">
        <is>
          <t>Systems - signalling - supply and install</t>
        </is>
      </c>
      <c r="F698" s="34" t="inlineStr">
        <is>
          <t>ONE_TO_ONE</t>
        </is>
      </c>
      <c r="G698" s="34" t="inlineStr">
        <is>
          <t>APPROVED</t>
        </is>
      </c>
      <c r="H698" s="34" t="inlineStr">
        <is>
          <t>New</t>
        </is>
      </c>
      <c r="I698" s="34" t="inlineStr">
        <is>
          <t>Source assignment -- not individually reviewed</t>
        </is>
      </c>
      <c r="J698" s="39" t="inlineStr"/>
      <c r="K698" s="34" t="inlineStr">
        <is>
          <t>Source assignment</t>
        </is>
      </c>
      <c r="L698" s="39" t="inlineStr"/>
      <c r="M698" s="34" t="inlineStr">
        <is>
          <t>Initial</t>
        </is>
      </c>
      <c r="N698" s="34" t="inlineStr">
        <is>
          <t>Rev 0</t>
        </is>
      </c>
      <c r="O698" s="34" t="inlineStr">
        <is>
          <t>R1295-v1</t>
        </is>
      </c>
      <c r="P698" s="39" t="inlineStr"/>
      <c r="Q698" s="14" t="inlineStr"/>
      <c r="R698" s="39" t="inlineStr"/>
      <c r="S698" s="39" t="inlineStr"/>
      <c r="T698" s="39" t="inlineStr"/>
      <c r="U698" s="39" t="inlineStr"/>
      <c r="V698" s="34" t="inlineStr">
        <is>
          <t>Cost Account = CA-3053; WBS Code = 1.3.1</t>
        </is>
      </c>
      <c r="W698" s="14" t="inlineStr"/>
    </row>
    <row r="699" ht="49" customHeight="1">
      <c r="A699" s="34" t="inlineStr">
        <is>
          <t>1.3.1</t>
        </is>
      </c>
      <c r="B699" s="34" t="inlineStr">
        <is>
          <t>Systems - Traction Power</t>
        </is>
      </c>
      <c r="C699" s="34" t="inlineStr">
        <is>
          <t>Cost &amp; Forecast Control Accounts</t>
        </is>
      </c>
      <c r="D699" s="34" t="inlineStr">
        <is>
          <t>CST-03-055</t>
        </is>
      </c>
      <c r="E699" s="34" t="inlineStr">
        <is>
          <t>Systems - systems integration - allowance</t>
        </is>
      </c>
      <c r="F699" s="34" t="inlineStr">
        <is>
          <t>ONE_TO_ONE</t>
        </is>
      </c>
      <c r="G699" s="34" t="inlineStr">
        <is>
          <t>APPROVED</t>
        </is>
      </c>
      <c r="H699" s="34" t="inlineStr">
        <is>
          <t>New</t>
        </is>
      </c>
      <c r="I699" s="34" t="inlineStr">
        <is>
          <t>Source assignment -- not individually reviewed</t>
        </is>
      </c>
      <c r="J699" s="39" t="inlineStr"/>
      <c r="K699" s="34" t="inlineStr">
        <is>
          <t>Source assignment</t>
        </is>
      </c>
      <c r="L699" s="39" t="inlineStr"/>
      <c r="M699" s="34" t="inlineStr">
        <is>
          <t>Initial</t>
        </is>
      </c>
      <c r="N699" s="34" t="inlineStr">
        <is>
          <t>Rev 0</t>
        </is>
      </c>
      <c r="O699" s="34" t="inlineStr">
        <is>
          <t>R1297-v1</t>
        </is>
      </c>
      <c r="P699" s="39" t="inlineStr"/>
      <c r="Q699" s="14" t="inlineStr"/>
      <c r="R699" s="39" t="inlineStr"/>
      <c r="S699" s="39" t="inlineStr"/>
      <c r="T699" s="39" t="inlineStr"/>
      <c r="U699" s="39" t="inlineStr"/>
      <c r="V699" s="34" t="inlineStr">
        <is>
          <t>Cost Account = CA-3055; WBS Code = 1.3.1</t>
        </is>
      </c>
      <c r="W699" s="14" t="inlineStr"/>
    </row>
    <row r="700" ht="49" customHeight="1">
      <c r="A700" s="34" t="inlineStr">
        <is>
          <t>1.3.1</t>
        </is>
      </c>
      <c r="B700" s="34" t="inlineStr">
        <is>
          <t>Systems - Traction Power</t>
        </is>
      </c>
      <c r="C700" s="34" t="inlineStr">
        <is>
          <t>Cost &amp; Forecast Control Accounts</t>
        </is>
      </c>
      <c r="D700" s="34" t="inlineStr">
        <is>
          <t>CST-03-057</t>
        </is>
      </c>
      <c r="E700" s="34" t="inlineStr">
        <is>
          <t>Systems - train control - field package</t>
        </is>
      </c>
      <c r="F700" s="34" t="inlineStr">
        <is>
          <t>ONE_TO_ONE</t>
        </is>
      </c>
      <c r="G700" s="34" t="inlineStr">
        <is>
          <t>APPROVED</t>
        </is>
      </c>
      <c r="H700" s="34" t="inlineStr">
        <is>
          <t>New</t>
        </is>
      </c>
      <c r="I700" s="34" t="inlineStr">
        <is>
          <t>Source assignment -- not individually reviewed</t>
        </is>
      </c>
      <c r="J700" s="39" t="inlineStr"/>
      <c r="K700" s="34" t="inlineStr">
        <is>
          <t>Source assignment</t>
        </is>
      </c>
      <c r="L700" s="39" t="inlineStr"/>
      <c r="M700" s="34" t="inlineStr">
        <is>
          <t>Initial</t>
        </is>
      </c>
      <c r="N700" s="34" t="inlineStr">
        <is>
          <t>Rev 0</t>
        </is>
      </c>
      <c r="O700" s="34" t="inlineStr">
        <is>
          <t>R1299-v1</t>
        </is>
      </c>
      <c r="P700" s="39" t="inlineStr"/>
      <c r="Q700" s="14" t="inlineStr"/>
      <c r="R700" s="39" t="inlineStr"/>
      <c r="S700" s="39" t="inlineStr"/>
      <c r="T700" s="39" t="inlineStr"/>
      <c r="U700" s="39" t="inlineStr"/>
      <c r="V700" s="34" t="inlineStr">
        <is>
          <t>Cost Account = CA-3057; WBS Code = 1.3.1</t>
        </is>
      </c>
      <c r="W700" s="14" t="inlineStr"/>
    </row>
    <row r="701" ht="49" customHeight="1">
      <c r="A701" s="34" t="inlineStr">
        <is>
          <t>1.3.1</t>
        </is>
      </c>
      <c r="B701" s="34" t="inlineStr">
        <is>
          <t>Systems - Traction Power</t>
        </is>
      </c>
      <c r="C701" s="34" t="inlineStr">
        <is>
          <t>Cost &amp; Forecast Control Accounts</t>
        </is>
      </c>
      <c r="D701" s="34" t="inlineStr">
        <is>
          <t>CST-03-059</t>
        </is>
      </c>
      <c r="E701" s="34" t="inlineStr">
        <is>
          <t>Systems - signalling - professional services</t>
        </is>
      </c>
      <c r="F701" s="34" t="inlineStr">
        <is>
          <t>ONE_TO_ONE</t>
        </is>
      </c>
      <c r="G701" s="34" t="inlineStr">
        <is>
          <t>APPROVED</t>
        </is>
      </c>
      <c r="H701" s="34" t="inlineStr">
        <is>
          <t>New</t>
        </is>
      </c>
      <c r="I701" s="34" t="inlineStr">
        <is>
          <t>Source assignment -- not individually reviewed</t>
        </is>
      </c>
      <c r="J701" s="39" t="inlineStr"/>
      <c r="K701" s="34" t="inlineStr">
        <is>
          <t>Source assignment</t>
        </is>
      </c>
      <c r="L701" s="39" t="inlineStr"/>
      <c r="M701" s="34" t="inlineStr">
        <is>
          <t>Initial</t>
        </is>
      </c>
      <c r="N701" s="34" t="inlineStr">
        <is>
          <t>Rev 0</t>
        </is>
      </c>
      <c r="O701" s="34" t="inlineStr">
        <is>
          <t>R1301-v1</t>
        </is>
      </c>
      <c r="P701" s="39" t="inlineStr"/>
      <c r="Q701" s="14" t="inlineStr"/>
      <c r="R701" s="39" t="inlineStr"/>
      <c r="S701" s="39" t="inlineStr"/>
      <c r="T701" s="39" t="inlineStr"/>
      <c r="U701" s="39" t="inlineStr"/>
      <c r="V701" s="34" t="inlineStr">
        <is>
          <t>Cost Account = CA-3059; WBS Code = 1.3.1</t>
        </is>
      </c>
      <c r="W701" s="14" t="inlineStr"/>
    </row>
    <row r="702" ht="49" customHeight="1">
      <c r="A702" s="34" t="inlineStr">
        <is>
          <t>1.3.1</t>
        </is>
      </c>
      <c r="B702" s="34" t="inlineStr">
        <is>
          <t>Systems - Traction Power</t>
        </is>
      </c>
      <c r="C702" s="34" t="inlineStr">
        <is>
          <t>Cost &amp; Forecast Control Accounts</t>
        </is>
      </c>
      <c r="D702" s="34" t="inlineStr">
        <is>
          <t>CST-03-061</t>
        </is>
      </c>
      <c r="E702" s="34" t="inlineStr">
        <is>
          <t>Systems - systems integration - closeout</t>
        </is>
      </c>
      <c r="F702" s="34" t="inlineStr">
        <is>
          <t>ONE_TO_ONE</t>
        </is>
      </c>
      <c r="G702" s="34" t="inlineStr">
        <is>
          <t>APPROVED</t>
        </is>
      </c>
      <c r="H702" s="34" t="inlineStr">
        <is>
          <t>New</t>
        </is>
      </c>
      <c r="I702" s="34" t="inlineStr">
        <is>
          <t>Source assignment -- not individually reviewed</t>
        </is>
      </c>
      <c r="J702" s="39" t="inlineStr"/>
      <c r="K702" s="34" t="inlineStr">
        <is>
          <t>Source assignment</t>
        </is>
      </c>
      <c r="L702" s="39" t="inlineStr"/>
      <c r="M702" s="34" t="inlineStr">
        <is>
          <t>Initial</t>
        </is>
      </c>
      <c r="N702" s="34" t="inlineStr">
        <is>
          <t>Rev 0</t>
        </is>
      </c>
      <c r="O702" s="34" t="inlineStr">
        <is>
          <t>R1303-v1</t>
        </is>
      </c>
      <c r="P702" s="39" t="inlineStr"/>
      <c r="Q702" s="14" t="inlineStr"/>
      <c r="R702" s="39" t="inlineStr"/>
      <c r="S702" s="39" t="inlineStr"/>
      <c r="T702" s="39" t="inlineStr"/>
      <c r="U702" s="39" t="inlineStr"/>
      <c r="V702" s="34" t="inlineStr">
        <is>
          <t>Cost Account = CA-3061; WBS Code = 1.3.1</t>
        </is>
      </c>
      <c r="W702" s="14" t="inlineStr"/>
    </row>
    <row r="703" ht="49" customHeight="1">
      <c r="A703" s="34" t="inlineStr">
        <is>
          <t>1.3.1</t>
        </is>
      </c>
      <c r="B703" s="34" t="inlineStr">
        <is>
          <t>Systems - Traction Power</t>
        </is>
      </c>
      <c r="C703" s="34" t="inlineStr">
        <is>
          <t>Cost &amp; Forecast Control Accounts</t>
        </is>
      </c>
      <c r="D703" s="34" t="inlineStr">
        <is>
          <t>CST-03-063</t>
        </is>
      </c>
      <c r="E703" s="34" t="inlineStr">
        <is>
          <t>Systems - train control - supply and install</t>
        </is>
      </c>
      <c r="F703" s="34" t="inlineStr">
        <is>
          <t>ONE_TO_ONE</t>
        </is>
      </c>
      <c r="G703" s="34" t="inlineStr">
        <is>
          <t>APPROVED</t>
        </is>
      </c>
      <c r="H703" s="34" t="inlineStr">
        <is>
          <t>New</t>
        </is>
      </c>
      <c r="I703" s="34" t="inlineStr">
        <is>
          <t>Source assignment -- not individually reviewed</t>
        </is>
      </c>
      <c r="J703" s="39" t="inlineStr"/>
      <c r="K703" s="34" t="inlineStr">
        <is>
          <t>Source assignment</t>
        </is>
      </c>
      <c r="L703" s="39" t="inlineStr"/>
      <c r="M703" s="34" t="inlineStr">
        <is>
          <t>Initial</t>
        </is>
      </c>
      <c r="N703" s="34" t="inlineStr">
        <is>
          <t>Rev 0</t>
        </is>
      </c>
      <c r="O703" s="34" t="inlineStr">
        <is>
          <t>R1305-v1</t>
        </is>
      </c>
      <c r="P703" s="39" t="inlineStr"/>
      <c r="Q703" s="14" t="inlineStr"/>
      <c r="R703" s="39" t="inlineStr"/>
      <c r="S703" s="39" t="inlineStr"/>
      <c r="T703" s="39" t="inlineStr"/>
      <c r="U703" s="39" t="inlineStr"/>
      <c r="V703" s="34" t="inlineStr">
        <is>
          <t>Cost Account = CA-3063; WBS Code = 1.3.1</t>
        </is>
      </c>
      <c r="W703" s="14" t="inlineStr"/>
    </row>
    <row r="704" ht="49" customHeight="1">
      <c r="A704" s="34" t="inlineStr">
        <is>
          <t>1.3.1</t>
        </is>
      </c>
      <c r="B704" s="34" t="inlineStr">
        <is>
          <t>Systems - Traction Power</t>
        </is>
      </c>
      <c r="C704" s="34" t="inlineStr">
        <is>
          <t>Cost &amp; Forecast Control Accounts</t>
        </is>
      </c>
      <c r="D704" s="34" t="inlineStr">
        <is>
          <t>CST-03-065</t>
        </is>
      </c>
      <c r="E704" s="34" t="inlineStr">
        <is>
          <t>Systems - signalling - allowance</t>
        </is>
      </c>
      <c r="F704" s="34" t="inlineStr">
        <is>
          <t>ONE_TO_ONE</t>
        </is>
      </c>
      <c r="G704" s="34" t="inlineStr">
        <is>
          <t>APPROVED</t>
        </is>
      </c>
      <c r="H704" s="34" t="inlineStr">
        <is>
          <t>New</t>
        </is>
      </c>
      <c r="I704" s="34" t="inlineStr">
        <is>
          <t>Source assignment -- not individually reviewed</t>
        </is>
      </c>
      <c r="J704" s="39" t="inlineStr"/>
      <c r="K704" s="34" t="inlineStr">
        <is>
          <t>Source assignment</t>
        </is>
      </c>
      <c r="L704" s="39" t="inlineStr"/>
      <c r="M704" s="34" t="inlineStr">
        <is>
          <t>Initial</t>
        </is>
      </c>
      <c r="N704" s="34" t="inlineStr">
        <is>
          <t>Rev 0</t>
        </is>
      </c>
      <c r="O704" s="34" t="inlineStr">
        <is>
          <t>R1307-v1</t>
        </is>
      </c>
      <c r="P704" s="39" t="inlineStr"/>
      <c r="Q704" s="14" t="inlineStr"/>
      <c r="R704" s="39" t="inlineStr"/>
      <c r="S704" s="39" t="inlineStr"/>
      <c r="T704" s="39" t="inlineStr"/>
      <c r="U704" s="39" t="inlineStr"/>
      <c r="V704" s="34" t="inlineStr">
        <is>
          <t>Cost Account = CA-3065; WBS Code = 1.3.1</t>
        </is>
      </c>
      <c r="W704" s="14" t="inlineStr"/>
    </row>
    <row r="705" ht="49" customHeight="1">
      <c r="A705" s="34" t="inlineStr">
        <is>
          <t>1.3.1</t>
        </is>
      </c>
      <c r="B705" s="34" t="inlineStr">
        <is>
          <t>Systems - Traction Power</t>
        </is>
      </c>
      <c r="C705" s="34" t="inlineStr">
        <is>
          <t>Cost &amp; Forecast Control Accounts</t>
        </is>
      </c>
      <c r="D705" s="34" t="inlineStr">
        <is>
          <t>CST-03-067</t>
        </is>
      </c>
      <c r="E705" s="34" t="inlineStr">
        <is>
          <t>Systems - systems integration - field package</t>
        </is>
      </c>
      <c r="F705" s="34" t="inlineStr">
        <is>
          <t>ONE_TO_ONE</t>
        </is>
      </c>
      <c r="G705" s="34" t="inlineStr">
        <is>
          <t>APPROVED</t>
        </is>
      </c>
      <c r="H705" s="34" t="inlineStr">
        <is>
          <t>New</t>
        </is>
      </c>
      <c r="I705" s="34" t="inlineStr">
        <is>
          <t>Source assignment -- not individually reviewed</t>
        </is>
      </c>
      <c r="J705" s="39" t="inlineStr"/>
      <c r="K705" s="34" t="inlineStr">
        <is>
          <t>Source assignment</t>
        </is>
      </c>
      <c r="L705" s="39" t="inlineStr"/>
      <c r="M705" s="34" t="inlineStr">
        <is>
          <t>Initial</t>
        </is>
      </c>
      <c r="N705" s="34" t="inlineStr">
        <is>
          <t>Rev 0</t>
        </is>
      </c>
      <c r="O705" s="34" t="inlineStr">
        <is>
          <t>R1309-v1</t>
        </is>
      </c>
      <c r="P705" s="39" t="inlineStr"/>
      <c r="Q705" s="14" t="inlineStr"/>
      <c r="R705" s="39" t="inlineStr"/>
      <c r="S705" s="39" t="inlineStr"/>
      <c r="T705" s="39" t="inlineStr"/>
      <c r="U705" s="39" t="inlineStr"/>
      <c r="V705" s="34" t="inlineStr">
        <is>
          <t>Cost Account = CA-3067; WBS Code = 1.3.1</t>
        </is>
      </c>
      <c r="W705" s="14" t="inlineStr"/>
    </row>
    <row r="706" ht="49" customHeight="1">
      <c r="A706" s="34" t="inlineStr">
        <is>
          <t>1.3.1</t>
        </is>
      </c>
      <c r="B706" s="34" t="inlineStr">
        <is>
          <t>Systems - Traction Power</t>
        </is>
      </c>
      <c r="C706" s="34" t="inlineStr">
        <is>
          <t>Cost &amp; Forecast Control Accounts</t>
        </is>
      </c>
      <c r="D706" s="34" t="inlineStr">
        <is>
          <t>CST-03-069</t>
        </is>
      </c>
      <c r="E706" s="34" t="inlineStr">
        <is>
          <t>Systems - train control - professional services</t>
        </is>
      </c>
      <c r="F706" s="34" t="inlineStr">
        <is>
          <t>ONE_TO_ONE</t>
        </is>
      </c>
      <c r="G706" s="34" t="inlineStr">
        <is>
          <t>APPROVED</t>
        </is>
      </c>
      <c r="H706" s="34" t="inlineStr">
        <is>
          <t>New</t>
        </is>
      </c>
      <c r="I706" s="34" t="inlineStr">
        <is>
          <t>Source assignment -- not individually reviewed</t>
        </is>
      </c>
      <c r="J706" s="39" t="inlineStr"/>
      <c r="K706" s="34" t="inlineStr">
        <is>
          <t>Source assignment</t>
        </is>
      </c>
      <c r="L706" s="39" t="inlineStr"/>
      <c r="M706" s="34" t="inlineStr">
        <is>
          <t>Initial</t>
        </is>
      </c>
      <c r="N706" s="34" t="inlineStr">
        <is>
          <t>Rev 0</t>
        </is>
      </c>
      <c r="O706" s="34" t="inlineStr">
        <is>
          <t>R1311-v1</t>
        </is>
      </c>
      <c r="P706" s="39" t="inlineStr"/>
      <c r="Q706" s="14" t="inlineStr"/>
      <c r="R706" s="39" t="inlineStr"/>
      <c r="S706" s="39" t="inlineStr"/>
      <c r="T706" s="39" t="inlineStr"/>
      <c r="U706" s="39" t="inlineStr"/>
      <c r="V706" s="34" t="inlineStr">
        <is>
          <t>Cost Account = CA-3069; WBS Code = 1.3.1</t>
        </is>
      </c>
      <c r="W706" s="14" t="inlineStr"/>
    </row>
    <row r="707" ht="49" customHeight="1">
      <c r="A707" s="34" t="inlineStr">
        <is>
          <t>1.3.1</t>
        </is>
      </c>
      <c r="B707" s="34" t="inlineStr">
        <is>
          <t>Systems - Traction Power</t>
        </is>
      </c>
      <c r="C707" s="34" t="inlineStr">
        <is>
          <t>Cost &amp; Forecast Control Accounts</t>
        </is>
      </c>
      <c r="D707" s="34" t="inlineStr">
        <is>
          <t>CST-03-071</t>
        </is>
      </c>
      <c r="E707" s="34" t="inlineStr">
        <is>
          <t>Systems - signalling - closeout</t>
        </is>
      </c>
      <c r="F707" s="34" t="inlineStr">
        <is>
          <t>ONE_TO_ONE</t>
        </is>
      </c>
      <c r="G707" s="34" t="inlineStr">
        <is>
          <t>APPROVED</t>
        </is>
      </c>
      <c r="H707" s="34" t="inlineStr">
        <is>
          <t>New</t>
        </is>
      </c>
      <c r="I707" s="34" t="inlineStr">
        <is>
          <t>Source assignment -- not individually reviewed</t>
        </is>
      </c>
      <c r="J707" s="39" t="inlineStr"/>
      <c r="K707" s="34" t="inlineStr">
        <is>
          <t>Source assignment</t>
        </is>
      </c>
      <c r="L707" s="39" t="inlineStr"/>
      <c r="M707" s="34" t="inlineStr">
        <is>
          <t>Initial</t>
        </is>
      </c>
      <c r="N707" s="34" t="inlineStr">
        <is>
          <t>Rev 0</t>
        </is>
      </c>
      <c r="O707" s="34" t="inlineStr">
        <is>
          <t>R1313-v1</t>
        </is>
      </c>
      <c r="P707" s="39" t="inlineStr"/>
      <c r="Q707" s="14" t="inlineStr"/>
      <c r="R707" s="39" t="inlineStr"/>
      <c r="S707" s="39" t="inlineStr"/>
      <c r="T707" s="39" t="inlineStr"/>
      <c r="U707" s="39" t="inlineStr"/>
      <c r="V707" s="34" t="inlineStr">
        <is>
          <t>Cost Account = CA-3071; WBS Code = 1.3.1</t>
        </is>
      </c>
      <c r="W707" s="14" t="inlineStr"/>
    </row>
    <row r="708" ht="49" customHeight="1">
      <c r="A708" s="34" t="inlineStr">
        <is>
          <t>1.3.1</t>
        </is>
      </c>
      <c r="B708" s="34" t="inlineStr">
        <is>
          <t>Systems - Traction Power</t>
        </is>
      </c>
      <c r="C708" s="34" t="inlineStr">
        <is>
          <t>Cost &amp; Forecast Control Accounts</t>
        </is>
      </c>
      <c r="D708" s="34" t="inlineStr">
        <is>
          <t>CST-03-073</t>
        </is>
      </c>
      <c r="E708" s="34" t="inlineStr">
        <is>
          <t>Systems - systems integration - supply and install</t>
        </is>
      </c>
      <c r="F708" s="34" t="inlineStr">
        <is>
          <t>ONE_TO_ONE</t>
        </is>
      </c>
      <c r="G708" s="34" t="inlineStr">
        <is>
          <t>APPROVED</t>
        </is>
      </c>
      <c r="H708" s="34" t="inlineStr">
        <is>
          <t>New</t>
        </is>
      </c>
      <c r="I708" s="34" t="inlineStr">
        <is>
          <t>Source assignment -- not individually reviewed</t>
        </is>
      </c>
      <c r="J708" s="39" t="inlineStr"/>
      <c r="K708" s="34" t="inlineStr">
        <is>
          <t>Source assignment</t>
        </is>
      </c>
      <c r="L708" s="39" t="inlineStr"/>
      <c r="M708" s="34" t="inlineStr">
        <is>
          <t>Initial</t>
        </is>
      </c>
      <c r="N708" s="34" t="inlineStr">
        <is>
          <t>Rev 0</t>
        </is>
      </c>
      <c r="O708" s="34" t="inlineStr">
        <is>
          <t>R1315-v1</t>
        </is>
      </c>
      <c r="P708" s="39" t="inlineStr"/>
      <c r="Q708" s="14" t="inlineStr"/>
      <c r="R708" s="39" t="inlineStr"/>
      <c r="S708" s="39" t="inlineStr"/>
      <c r="T708" s="39" t="inlineStr"/>
      <c r="U708" s="39" t="inlineStr"/>
      <c r="V708" s="34" t="inlineStr">
        <is>
          <t>Cost Account = CA-3073; WBS Code = 1.3.1</t>
        </is>
      </c>
      <c r="W708" s="14" t="inlineStr"/>
    </row>
    <row r="709" ht="49" customHeight="1">
      <c r="A709" s="34" t="inlineStr">
        <is>
          <t>1.3.1</t>
        </is>
      </c>
      <c r="B709" s="34" t="inlineStr">
        <is>
          <t>Systems - Traction Power</t>
        </is>
      </c>
      <c r="C709" s="34" t="inlineStr">
        <is>
          <t>Cost &amp; Forecast Control Accounts</t>
        </is>
      </c>
      <c r="D709" s="34" t="inlineStr">
        <is>
          <t>CST-03-075</t>
        </is>
      </c>
      <c r="E709" s="34" t="inlineStr">
        <is>
          <t>Systems - train control - allowance</t>
        </is>
      </c>
      <c r="F709" s="34" t="inlineStr">
        <is>
          <t>ONE_TO_ONE</t>
        </is>
      </c>
      <c r="G709" s="34" t="inlineStr">
        <is>
          <t>APPROVED</t>
        </is>
      </c>
      <c r="H709" s="34" t="inlineStr">
        <is>
          <t>New</t>
        </is>
      </c>
      <c r="I709" s="34" t="inlineStr">
        <is>
          <t>Source assignment -- not individually reviewed</t>
        </is>
      </c>
      <c r="J709" s="39" t="inlineStr"/>
      <c r="K709" s="34" t="inlineStr">
        <is>
          <t>Source assignment</t>
        </is>
      </c>
      <c r="L709" s="39" t="inlineStr"/>
      <c r="M709" s="34" t="inlineStr">
        <is>
          <t>Initial</t>
        </is>
      </c>
      <c r="N709" s="34" t="inlineStr">
        <is>
          <t>Rev 0</t>
        </is>
      </c>
      <c r="O709" s="34" t="inlineStr">
        <is>
          <t>R1317-v1</t>
        </is>
      </c>
      <c r="P709" s="39" t="inlineStr"/>
      <c r="Q709" s="14" t="inlineStr"/>
      <c r="R709" s="39" t="inlineStr"/>
      <c r="S709" s="39" t="inlineStr"/>
      <c r="T709" s="39" t="inlineStr"/>
      <c r="U709" s="39" t="inlineStr"/>
      <c r="V709" s="34" t="inlineStr">
        <is>
          <t>Cost Account = CA-3075; WBS Code = 1.3.1</t>
        </is>
      </c>
      <c r="W709" s="14" t="inlineStr"/>
    </row>
    <row r="710" ht="49" customHeight="1">
      <c r="A710" s="34" t="inlineStr">
        <is>
          <t>1.3.1</t>
        </is>
      </c>
      <c r="B710" s="34" t="inlineStr">
        <is>
          <t>Systems - Traction Power</t>
        </is>
      </c>
      <c r="C710" s="34" t="inlineStr">
        <is>
          <t>Cost &amp; Forecast Control Accounts</t>
        </is>
      </c>
      <c r="D710" s="34" t="inlineStr">
        <is>
          <t>CST-03-077</t>
        </is>
      </c>
      <c r="E710" s="34" t="inlineStr">
        <is>
          <t>Systems - signalling - field package</t>
        </is>
      </c>
      <c r="F710" s="34" t="inlineStr">
        <is>
          <t>ONE_TO_ONE</t>
        </is>
      </c>
      <c r="G710" s="34" t="inlineStr">
        <is>
          <t>APPROVED</t>
        </is>
      </c>
      <c r="H710" s="34" t="inlineStr">
        <is>
          <t>New</t>
        </is>
      </c>
      <c r="I710" s="34" t="inlineStr">
        <is>
          <t>Source assignment -- not individually reviewed</t>
        </is>
      </c>
      <c r="J710" s="39" t="inlineStr"/>
      <c r="K710" s="34" t="inlineStr">
        <is>
          <t>Source assignment</t>
        </is>
      </c>
      <c r="L710" s="39" t="inlineStr"/>
      <c r="M710" s="34" t="inlineStr">
        <is>
          <t>Initial</t>
        </is>
      </c>
      <c r="N710" s="34" t="inlineStr">
        <is>
          <t>Rev 0</t>
        </is>
      </c>
      <c r="O710" s="34" t="inlineStr">
        <is>
          <t>R1319-v1</t>
        </is>
      </c>
      <c r="P710" s="39" t="inlineStr"/>
      <c r="Q710" s="14" t="inlineStr"/>
      <c r="R710" s="39" t="inlineStr"/>
      <c r="S710" s="39" t="inlineStr"/>
      <c r="T710" s="39" t="inlineStr"/>
      <c r="U710" s="39" t="inlineStr"/>
      <c r="V710" s="34" t="inlineStr">
        <is>
          <t>Cost Account = CA-3077; WBS Code = 1.3.1</t>
        </is>
      </c>
      <c r="W710" s="14" t="inlineStr"/>
    </row>
    <row r="711" ht="49" customHeight="1">
      <c r="A711" s="34" t="inlineStr">
        <is>
          <t>1.3.1</t>
        </is>
      </c>
      <c r="B711" s="34" t="inlineStr">
        <is>
          <t>Systems - Traction Power</t>
        </is>
      </c>
      <c r="C711" s="34" t="inlineStr">
        <is>
          <t>Cost &amp; Forecast Control Accounts</t>
        </is>
      </c>
      <c r="D711" s="34" t="inlineStr">
        <is>
          <t>CST-03-079</t>
        </is>
      </c>
      <c r="E711" s="34" t="inlineStr">
        <is>
          <t>Systems - systems integration - professional services</t>
        </is>
      </c>
      <c r="F711" s="34" t="inlineStr">
        <is>
          <t>ONE_TO_ONE</t>
        </is>
      </c>
      <c r="G711" s="34" t="inlineStr">
        <is>
          <t>APPROVED</t>
        </is>
      </c>
      <c r="H711" s="34" t="inlineStr">
        <is>
          <t>New</t>
        </is>
      </c>
      <c r="I711" s="34" t="inlineStr">
        <is>
          <t>Source assignment -- not individually reviewed</t>
        </is>
      </c>
      <c r="J711" s="39" t="inlineStr"/>
      <c r="K711" s="34" t="inlineStr">
        <is>
          <t>Source assignment</t>
        </is>
      </c>
      <c r="L711" s="39" t="inlineStr"/>
      <c r="M711" s="34" t="inlineStr">
        <is>
          <t>Initial</t>
        </is>
      </c>
      <c r="N711" s="34" t="inlineStr">
        <is>
          <t>Rev 0</t>
        </is>
      </c>
      <c r="O711" s="34" t="inlineStr">
        <is>
          <t>R1321-v1</t>
        </is>
      </c>
      <c r="P711" s="39" t="inlineStr"/>
      <c r="Q711" s="14" t="inlineStr"/>
      <c r="R711" s="39" t="inlineStr"/>
      <c r="S711" s="39" t="inlineStr"/>
      <c r="T711" s="39" t="inlineStr"/>
      <c r="U711" s="39" t="inlineStr"/>
      <c r="V711" s="34" t="inlineStr">
        <is>
          <t>Cost Account = CA-3079; WBS Code = 1.3.1</t>
        </is>
      </c>
      <c r="W711" s="14" t="inlineStr"/>
    </row>
    <row r="712" ht="49" customHeight="1">
      <c r="A712" s="34" t="inlineStr">
        <is>
          <t>1.3.2</t>
        </is>
      </c>
      <c r="B712" s="34" t="inlineStr">
        <is>
          <t>Systems - Signalling &amp; Train Control</t>
        </is>
      </c>
      <c r="C712" s="34" t="inlineStr">
        <is>
          <t>Contractor Programme</t>
        </is>
      </c>
      <c r="D712" s="34" t="inlineStr">
        <is>
          <t>SCH-03-003</t>
        </is>
      </c>
      <c r="E712" s="34" t="inlineStr">
        <is>
          <t>Interface works near systems boundary</t>
        </is>
      </c>
      <c r="F712" s="34" t="inlineStr">
        <is>
          <t>ONE_TO_ONE</t>
        </is>
      </c>
      <c r="G712" s="34" t="inlineStr">
        <is>
          <t>APPROVED</t>
        </is>
      </c>
      <c r="H712" s="34" t="inlineStr">
        <is>
          <t>New</t>
        </is>
      </c>
      <c r="I712" s="34" t="inlineStr">
        <is>
          <t>Source assignment -- not individually reviewed</t>
        </is>
      </c>
      <c r="J712" s="39" t="inlineStr"/>
      <c r="K712" s="34" t="inlineStr">
        <is>
          <t>Source assignment</t>
        </is>
      </c>
      <c r="L712" s="39" t="inlineStr"/>
      <c r="M712" s="34" t="inlineStr">
        <is>
          <t>Initial</t>
        </is>
      </c>
      <c r="N712" s="34" t="inlineStr">
        <is>
          <t>Rev 0</t>
        </is>
      </c>
      <c r="O712" s="34" t="inlineStr">
        <is>
          <t>R363-v1</t>
        </is>
      </c>
      <c r="P712" s="39" t="inlineStr"/>
      <c r="Q712" s="14" t="inlineStr"/>
      <c r="R712" s="39" t="inlineStr"/>
      <c r="S712" s="39" t="inlineStr"/>
      <c r="T712" s="39" t="inlineStr"/>
      <c r="U712" s="39" t="inlineStr"/>
      <c r="V712" s="34" t="inlineStr">
        <is>
          <t>WBS Code = 1.3.2</t>
        </is>
      </c>
      <c r="W712" s="14" t="inlineStr"/>
    </row>
    <row r="713" ht="49" customHeight="1">
      <c r="A713" s="34" t="inlineStr">
        <is>
          <t>1.3.2</t>
        </is>
      </c>
      <c r="B713" s="34" t="inlineStr">
        <is>
          <t>Systems - Signalling &amp; Train Control</t>
        </is>
      </c>
      <c r="C713" s="34" t="inlineStr">
        <is>
          <t>Contractor Programme</t>
        </is>
      </c>
      <c r="D713" s="34" t="inlineStr">
        <is>
          <t>SCH-03-006</t>
        </is>
      </c>
      <c r="E713" s="34" t="inlineStr">
        <is>
          <t>Harbour Station: SCADA point-to-point check - turnover</t>
        </is>
      </c>
      <c r="F713" s="34" t="inlineStr">
        <is>
          <t>ONE_TO_ONE</t>
        </is>
      </c>
      <c r="G713" s="34" t="inlineStr">
        <is>
          <t>APPROVED</t>
        </is>
      </c>
      <c r="H713" s="34" t="inlineStr">
        <is>
          <t>New</t>
        </is>
      </c>
      <c r="I713" s="34" t="inlineStr">
        <is>
          <t>Source assignment -- not individually reviewed</t>
        </is>
      </c>
      <c r="J713" s="39" t="inlineStr"/>
      <c r="K713" s="34" t="inlineStr">
        <is>
          <t>Source assignment</t>
        </is>
      </c>
      <c r="L713" s="39" t="inlineStr"/>
      <c r="M713" s="34" t="inlineStr">
        <is>
          <t>Initial</t>
        </is>
      </c>
      <c r="N713" s="34" t="inlineStr">
        <is>
          <t>Rev 0</t>
        </is>
      </c>
      <c r="O713" s="34" t="inlineStr">
        <is>
          <t>R366-v1</t>
        </is>
      </c>
      <c r="P713" s="39" t="inlineStr"/>
      <c r="Q713" s="14" t="inlineStr"/>
      <c r="R713" s="39" t="inlineStr"/>
      <c r="S713" s="39" t="inlineStr"/>
      <c r="T713" s="39" t="inlineStr"/>
      <c r="U713" s="39" t="inlineStr"/>
      <c r="V713" s="34" t="inlineStr">
        <is>
          <t>WBS Code = 1.3.2</t>
        </is>
      </c>
      <c r="W713" s="14" t="inlineStr"/>
    </row>
    <row r="714" ht="49" customHeight="1">
      <c r="A714" s="34" t="inlineStr">
        <is>
          <t>1.3.2</t>
        </is>
      </c>
      <c r="B714" s="34" t="inlineStr">
        <is>
          <t>Systems - Signalling &amp; Train Control</t>
        </is>
      </c>
      <c r="C714" s="34" t="inlineStr">
        <is>
          <t>Contractor Programme</t>
        </is>
      </c>
      <c r="D714" s="34" t="inlineStr">
        <is>
          <t>SCH-03-009</t>
        </is>
      </c>
      <c r="E714" s="34" t="inlineStr">
        <is>
          <t>East substation: wayside interface test - installation</t>
        </is>
      </c>
      <c r="F714" s="34" t="inlineStr">
        <is>
          <t>ONE_TO_ONE</t>
        </is>
      </c>
      <c r="G714" s="34" t="inlineStr">
        <is>
          <t>APPROVED</t>
        </is>
      </c>
      <c r="H714" s="34" t="inlineStr">
        <is>
          <t>New</t>
        </is>
      </c>
      <c r="I714" s="34" t="inlineStr">
        <is>
          <t>Source assignment -- not individually reviewed</t>
        </is>
      </c>
      <c r="J714" s="39" t="inlineStr"/>
      <c r="K714" s="34" t="inlineStr">
        <is>
          <t>Source assignment</t>
        </is>
      </c>
      <c r="L714" s="39" t="inlineStr"/>
      <c r="M714" s="34" t="inlineStr">
        <is>
          <t>Initial</t>
        </is>
      </c>
      <c r="N714" s="34" t="inlineStr">
        <is>
          <t>Rev 0</t>
        </is>
      </c>
      <c r="O714" s="34" t="inlineStr">
        <is>
          <t>R369-v1</t>
        </is>
      </c>
      <c r="P714" s="39" t="inlineStr"/>
      <c r="Q714" s="14" t="inlineStr"/>
      <c r="R714" s="39" t="inlineStr"/>
      <c r="S714" s="39" t="inlineStr"/>
      <c r="T714" s="39" t="inlineStr"/>
      <c r="U714" s="39" t="inlineStr"/>
      <c r="V714" s="34" t="inlineStr">
        <is>
          <t>WBS Code = 1.3.2</t>
        </is>
      </c>
      <c r="W714" s="14" t="inlineStr"/>
    </row>
    <row r="715" ht="49" customHeight="1">
      <c r="A715" s="34" t="inlineStr">
        <is>
          <t>1.3.2</t>
        </is>
      </c>
      <c r="B715" s="34" t="inlineStr">
        <is>
          <t>Systems - Signalling &amp; Train Control</t>
        </is>
      </c>
      <c r="C715" s="34" t="inlineStr">
        <is>
          <t>Contractor Programme</t>
        </is>
      </c>
      <c r="D715" s="34" t="inlineStr">
        <is>
          <t>SCH-03-012</t>
        </is>
      </c>
      <c r="E715" s="34" t="inlineStr">
        <is>
          <t>Control Centre: control-centre integration - release</t>
        </is>
      </c>
      <c r="F715" s="34" t="inlineStr">
        <is>
          <t>ONE_TO_ONE</t>
        </is>
      </c>
      <c r="G715" s="34" t="inlineStr">
        <is>
          <t>APPROVED</t>
        </is>
      </c>
      <c r="H715" s="34" t="inlineStr">
        <is>
          <t>New</t>
        </is>
      </c>
      <c r="I715" s="34" t="inlineStr">
        <is>
          <t>Source assignment -- not individually reviewed</t>
        </is>
      </c>
      <c r="J715" s="39" t="inlineStr"/>
      <c r="K715" s="34" t="inlineStr">
        <is>
          <t>Source assignment</t>
        </is>
      </c>
      <c r="L715" s="39" t="inlineStr"/>
      <c r="M715" s="34" t="inlineStr">
        <is>
          <t>Initial</t>
        </is>
      </c>
      <c r="N715" s="34" t="inlineStr">
        <is>
          <t>Rev 0</t>
        </is>
      </c>
      <c r="O715" s="34" t="inlineStr">
        <is>
          <t>R372-v1</t>
        </is>
      </c>
      <c r="P715" s="39" t="inlineStr"/>
      <c r="Q715" s="14" t="inlineStr"/>
      <c r="R715" s="39" t="inlineStr"/>
      <c r="S715" s="39" t="inlineStr"/>
      <c r="T715" s="39" t="inlineStr"/>
      <c r="U715" s="39" t="inlineStr"/>
      <c r="V715" s="34" t="inlineStr">
        <is>
          <t>WBS Code = 1.3.2</t>
        </is>
      </c>
      <c r="W715" s="14" t="inlineStr"/>
    </row>
    <row r="716" ht="49" customHeight="1">
      <c r="A716" s="34" t="inlineStr">
        <is>
          <t>1.3.2</t>
        </is>
      </c>
      <c r="B716" s="34" t="inlineStr">
        <is>
          <t>Systems - Signalling &amp; Train Control</t>
        </is>
      </c>
      <c r="C716" s="34" t="inlineStr">
        <is>
          <t>Contractor Programme</t>
        </is>
      </c>
      <c r="D716" s="34" t="inlineStr">
        <is>
          <t>SCH-03-015</t>
        </is>
      </c>
      <c r="E716" s="34" t="inlineStr">
        <is>
          <t>Central interlocking: traction-power feeder pull - inspection</t>
        </is>
      </c>
      <c r="F716" s="34" t="inlineStr">
        <is>
          <t>ONE_TO_ONE</t>
        </is>
      </c>
      <c r="G716" s="34" t="inlineStr">
        <is>
          <t>APPROVED</t>
        </is>
      </c>
      <c r="H716" s="34" t="inlineStr">
        <is>
          <t>New</t>
        </is>
      </c>
      <c r="I716" s="34" t="inlineStr">
        <is>
          <t>Source assignment -- not individually reviewed</t>
        </is>
      </c>
      <c r="J716" s="39" t="inlineStr"/>
      <c r="K716" s="34" t="inlineStr">
        <is>
          <t>Source assignment</t>
        </is>
      </c>
      <c r="L716" s="39" t="inlineStr"/>
      <c r="M716" s="34" t="inlineStr">
        <is>
          <t>Initial</t>
        </is>
      </c>
      <c r="N716" s="34" t="inlineStr">
        <is>
          <t>Rev 0</t>
        </is>
      </c>
      <c r="O716" s="34" t="inlineStr">
        <is>
          <t>R375-v1</t>
        </is>
      </c>
      <c r="P716" s="39" t="inlineStr"/>
      <c r="Q716" s="14" t="inlineStr"/>
      <c r="R716" s="39" t="inlineStr"/>
      <c r="S716" s="39" t="inlineStr"/>
      <c r="T716" s="39" t="inlineStr"/>
      <c r="U716" s="39" t="inlineStr"/>
      <c r="V716" s="34" t="inlineStr">
        <is>
          <t>WBS Code = 1.3.2</t>
        </is>
      </c>
      <c r="W716" s="14" t="inlineStr"/>
    </row>
    <row r="717" ht="49" customHeight="1">
      <c r="A717" s="34" t="inlineStr">
        <is>
          <t>1.3.2</t>
        </is>
      </c>
      <c r="B717" s="34" t="inlineStr">
        <is>
          <t>Systems - Signalling &amp; Train Control</t>
        </is>
      </c>
      <c r="C717" s="34" t="inlineStr">
        <is>
          <t>Contractor Programme</t>
        </is>
      </c>
      <c r="D717" s="34" t="inlineStr">
        <is>
          <t>SCH-03-018</t>
        </is>
      </c>
      <c r="E717" s="34" t="inlineStr">
        <is>
          <t>West wayside: signal equipment installation - field start</t>
        </is>
      </c>
      <c r="F717" s="34" t="inlineStr">
        <is>
          <t>ONE_TO_ONE</t>
        </is>
      </c>
      <c r="G717" s="34" t="inlineStr">
        <is>
          <t>APPROVED</t>
        </is>
      </c>
      <c r="H717" s="34" t="inlineStr">
        <is>
          <t>New</t>
        </is>
      </c>
      <c r="I717" s="34" t="inlineStr">
        <is>
          <t>Source assignment -- not individually reviewed</t>
        </is>
      </c>
      <c r="J717" s="39" t="inlineStr"/>
      <c r="K717" s="34" t="inlineStr">
        <is>
          <t>Source assignment</t>
        </is>
      </c>
      <c r="L717" s="39" t="inlineStr"/>
      <c r="M717" s="34" t="inlineStr">
        <is>
          <t>Initial</t>
        </is>
      </c>
      <c r="N717" s="34" t="inlineStr">
        <is>
          <t>Rev 0</t>
        </is>
      </c>
      <c r="O717" s="34" t="inlineStr">
        <is>
          <t>R378-v1</t>
        </is>
      </c>
      <c r="P717" s="39" t="inlineStr"/>
      <c r="Q717" s="14" t="inlineStr"/>
      <c r="R717" s="39" t="inlineStr"/>
      <c r="S717" s="39" t="inlineStr"/>
      <c r="T717" s="39" t="inlineStr"/>
      <c r="U717" s="39" t="inlineStr"/>
      <c r="V717" s="34" t="inlineStr">
        <is>
          <t>WBS Code = 1.3.2</t>
        </is>
      </c>
      <c r="W717" s="14" t="inlineStr"/>
    </row>
    <row r="718" ht="49" customHeight="1">
      <c r="A718" s="34" t="inlineStr">
        <is>
          <t>1.3.2</t>
        </is>
      </c>
      <c r="B718" s="34" t="inlineStr">
        <is>
          <t>Systems - Signalling &amp; Train Control</t>
        </is>
      </c>
      <c r="C718" s="34" t="inlineStr">
        <is>
          <t>Contractor Programme</t>
        </is>
      </c>
      <c r="D718" s="34" t="inlineStr">
        <is>
          <t>SCH-03-021</t>
        </is>
      </c>
      <c r="E718" s="34" t="inlineStr">
        <is>
          <t>Harbour Station: fibre backbone termination - turnover</t>
        </is>
      </c>
      <c r="F718" s="34" t="inlineStr">
        <is>
          <t>ONE_TO_ONE</t>
        </is>
      </c>
      <c r="G718" s="34" t="inlineStr">
        <is>
          <t>APPROVED</t>
        </is>
      </c>
      <c r="H718" s="34" t="inlineStr">
        <is>
          <t>New</t>
        </is>
      </c>
      <c r="I718" s="34" t="inlineStr">
        <is>
          <t>Source assignment -- not individually reviewed</t>
        </is>
      </c>
      <c r="J718" s="39" t="inlineStr"/>
      <c r="K718" s="34" t="inlineStr">
        <is>
          <t>Source assignment</t>
        </is>
      </c>
      <c r="L718" s="39" t="inlineStr"/>
      <c r="M718" s="34" t="inlineStr">
        <is>
          <t>Initial</t>
        </is>
      </c>
      <c r="N718" s="34" t="inlineStr">
        <is>
          <t>Rev 0</t>
        </is>
      </c>
      <c r="O718" s="34" t="inlineStr">
        <is>
          <t>R381-v1</t>
        </is>
      </c>
      <c r="P718" s="39" t="inlineStr"/>
      <c r="Q718" s="14" t="inlineStr"/>
      <c r="R718" s="39" t="inlineStr"/>
      <c r="S718" s="39" t="inlineStr"/>
      <c r="T718" s="39" t="inlineStr"/>
      <c r="U718" s="39" t="inlineStr"/>
      <c r="V718" s="34" t="inlineStr">
        <is>
          <t>WBS Code = 1.3.2</t>
        </is>
      </c>
      <c r="W718" s="14" t="inlineStr"/>
    </row>
    <row r="719" ht="49" customHeight="1">
      <c r="A719" s="34" t="inlineStr">
        <is>
          <t>1.3.2</t>
        </is>
      </c>
      <c r="B719" s="34" t="inlineStr">
        <is>
          <t>Systems - Signalling &amp; Train Control</t>
        </is>
      </c>
      <c r="C719" s="34" t="inlineStr">
        <is>
          <t>Contractor Programme</t>
        </is>
      </c>
      <c r="D719" s="34" t="inlineStr">
        <is>
          <t>SCH-03-024</t>
        </is>
      </c>
      <c r="E719" s="34" t="inlineStr">
        <is>
          <t>East substation: train-control cabinet fit-out - installation</t>
        </is>
      </c>
      <c r="F719" s="34" t="inlineStr">
        <is>
          <t>ONE_TO_ONE</t>
        </is>
      </c>
      <c r="G719" s="34" t="inlineStr">
        <is>
          <t>APPROVED</t>
        </is>
      </c>
      <c r="H719" s="34" t="inlineStr">
        <is>
          <t>New</t>
        </is>
      </c>
      <c r="I719" s="34" t="inlineStr">
        <is>
          <t>Source assignment -- not individually reviewed</t>
        </is>
      </c>
      <c r="J719" s="39" t="inlineStr"/>
      <c r="K719" s="34" t="inlineStr">
        <is>
          <t>Source assignment</t>
        </is>
      </c>
      <c r="L719" s="39" t="inlineStr"/>
      <c r="M719" s="34" t="inlineStr">
        <is>
          <t>Initial</t>
        </is>
      </c>
      <c r="N719" s="34" t="inlineStr">
        <is>
          <t>Rev 0</t>
        </is>
      </c>
      <c r="O719" s="34" t="inlineStr">
        <is>
          <t>R384-v1</t>
        </is>
      </c>
      <c r="P719" s="39" t="inlineStr"/>
      <c r="Q719" s="14" t="inlineStr"/>
      <c r="R719" s="39" t="inlineStr"/>
      <c r="S719" s="39" t="inlineStr"/>
      <c r="T719" s="39" t="inlineStr"/>
      <c r="U719" s="39" t="inlineStr"/>
      <c r="V719" s="34" t="inlineStr">
        <is>
          <t>WBS Code = 1.3.2</t>
        </is>
      </c>
      <c r="W719" s="14" t="inlineStr"/>
    </row>
    <row r="720" ht="49" customHeight="1">
      <c r="A720" s="34" t="inlineStr">
        <is>
          <t>1.3.2</t>
        </is>
      </c>
      <c r="B720" s="34" t="inlineStr">
        <is>
          <t>Systems - Signalling &amp; Train Control</t>
        </is>
      </c>
      <c r="C720" s="34" t="inlineStr">
        <is>
          <t>Contractor Programme</t>
        </is>
      </c>
      <c r="D720" s="34" t="inlineStr">
        <is>
          <t>SCH-03-027</t>
        </is>
      </c>
      <c r="E720" s="34" t="inlineStr">
        <is>
          <t>Control Centre: radio equipment installation - release</t>
        </is>
      </c>
      <c r="F720" s="34" t="inlineStr">
        <is>
          <t>ONE_TO_ONE</t>
        </is>
      </c>
      <c r="G720" s="34" t="inlineStr">
        <is>
          <t>APPROVED</t>
        </is>
      </c>
      <c r="H720" s="34" t="inlineStr">
        <is>
          <t>New</t>
        </is>
      </c>
      <c r="I720" s="34" t="inlineStr">
        <is>
          <t>Source assignment -- not individually reviewed</t>
        </is>
      </c>
      <c r="J720" s="39" t="inlineStr"/>
      <c r="K720" s="34" t="inlineStr">
        <is>
          <t>Source assignment</t>
        </is>
      </c>
      <c r="L720" s="39" t="inlineStr"/>
      <c r="M720" s="34" t="inlineStr">
        <is>
          <t>Initial</t>
        </is>
      </c>
      <c r="N720" s="34" t="inlineStr">
        <is>
          <t>Rev 0</t>
        </is>
      </c>
      <c r="O720" s="34" t="inlineStr">
        <is>
          <t>R387-v1</t>
        </is>
      </c>
      <c r="P720" s="39" t="inlineStr"/>
      <c r="Q720" s="14" t="inlineStr"/>
      <c r="R720" s="39" t="inlineStr"/>
      <c r="S720" s="39" t="inlineStr"/>
      <c r="T720" s="39" t="inlineStr"/>
      <c r="U720" s="39" t="inlineStr"/>
      <c r="V720" s="34" t="inlineStr">
        <is>
          <t>WBS Code = 1.3.2</t>
        </is>
      </c>
      <c r="W720" s="14" t="inlineStr"/>
    </row>
    <row r="721" ht="49" customHeight="1">
      <c r="A721" s="34" t="inlineStr">
        <is>
          <t>1.3.2</t>
        </is>
      </c>
      <c r="B721" s="34" t="inlineStr">
        <is>
          <t>Systems - Signalling &amp; Train Control</t>
        </is>
      </c>
      <c r="C721" s="34" t="inlineStr">
        <is>
          <t>Contractor Programme</t>
        </is>
      </c>
      <c r="D721" s="34" t="inlineStr">
        <is>
          <t>SCH-03-030</t>
        </is>
      </c>
      <c r="E721" s="34" t="inlineStr">
        <is>
          <t>Central interlocking: SCADA point-to-point check - inspection</t>
        </is>
      </c>
      <c r="F721" s="34" t="inlineStr">
        <is>
          <t>ONE_TO_ONE</t>
        </is>
      </c>
      <c r="G721" s="34" t="inlineStr">
        <is>
          <t>APPROVED</t>
        </is>
      </c>
      <c r="H721" s="34" t="inlineStr">
        <is>
          <t>New</t>
        </is>
      </c>
      <c r="I721" s="34" t="inlineStr">
        <is>
          <t>Source assignment -- not individually reviewed</t>
        </is>
      </c>
      <c r="J721" s="39" t="inlineStr"/>
      <c r="K721" s="34" t="inlineStr">
        <is>
          <t>Source assignment</t>
        </is>
      </c>
      <c r="L721" s="39" t="inlineStr"/>
      <c r="M721" s="34" t="inlineStr">
        <is>
          <t>Initial</t>
        </is>
      </c>
      <c r="N721" s="34" t="inlineStr">
        <is>
          <t>Rev 0</t>
        </is>
      </c>
      <c r="O721" s="34" t="inlineStr">
        <is>
          <t>R390-v1</t>
        </is>
      </c>
      <c r="P721" s="39" t="inlineStr"/>
      <c r="Q721" s="14" t="inlineStr"/>
      <c r="R721" s="39" t="inlineStr"/>
      <c r="S721" s="39" t="inlineStr"/>
      <c r="T721" s="39" t="inlineStr"/>
      <c r="U721" s="39" t="inlineStr"/>
      <c r="V721" s="34" t="inlineStr">
        <is>
          <t>WBS Code = 1.3.2</t>
        </is>
      </c>
      <c r="W721" s="14" t="inlineStr"/>
    </row>
    <row r="722" ht="49" customHeight="1">
      <c r="A722" s="34" t="inlineStr">
        <is>
          <t>1.3.2</t>
        </is>
      </c>
      <c r="B722" s="34" t="inlineStr">
        <is>
          <t>Systems - Signalling &amp; Train Control</t>
        </is>
      </c>
      <c r="C722" s="34" t="inlineStr">
        <is>
          <t>Contractor Programme</t>
        </is>
      </c>
      <c r="D722" s="34" t="inlineStr">
        <is>
          <t>SCH-03-033</t>
        </is>
      </c>
      <c r="E722" s="34" t="inlineStr">
        <is>
          <t>West wayside: wayside interface test - field start</t>
        </is>
      </c>
      <c r="F722" s="34" t="inlineStr">
        <is>
          <t>ONE_TO_ONE</t>
        </is>
      </c>
      <c r="G722" s="34" t="inlineStr">
        <is>
          <t>APPROVED</t>
        </is>
      </c>
      <c r="H722" s="34" t="inlineStr">
        <is>
          <t>New</t>
        </is>
      </c>
      <c r="I722" s="34" t="inlineStr">
        <is>
          <t>Source assignment -- not individually reviewed</t>
        </is>
      </c>
      <c r="J722" s="39" t="inlineStr"/>
      <c r="K722" s="34" t="inlineStr">
        <is>
          <t>Source assignment</t>
        </is>
      </c>
      <c r="L722" s="39" t="inlineStr"/>
      <c r="M722" s="34" t="inlineStr">
        <is>
          <t>Initial</t>
        </is>
      </c>
      <c r="N722" s="34" t="inlineStr">
        <is>
          <t>Rev 0</t>
        </is>
      </c>
      <c r="O722" s="34" t="inlineStr">
        <is>
          <t>R393-v1</t>
        </is>
      </c>
      <c r="P722" s="39" t="inlineStr"/>
      <c r="Q722" s="14" t="inlineStr"/>
      <c r="R722" s="39" t="inlineStr"/>
      <c r="S722" s="39" t="inlineStr"/>
      <c r="T722" s="39" t="inlineStr"/>
      <c r="U722" s="39" t="inlineStr"/>
      <c r="V722" s="34" t="inlineStr">
        <is>
          <t>WBS Code = 1.3.2</t>
        </is>
      </c>
      <c r="W722" s="14" t="inlineStr"/>
    </row>
    <row r="723" ht="49" customHeight="1">
      <c r="A723" s="34" t="inlineStr">
        <is>
          <t>1.3.2</t>
        </is>
      </c>
      <c r="B723" s="34" t="inlineStr">
        <is>
          <t>Systems - Signalling &amp; Train Control</t>
        </is>
      </c>
      <c r="C723" s="34" t="inlineStr">
        <is>
          <t>Contractor Programme</t>
        </is>
      </c>
      <c r="D723" s="34" t="inlineStr">
        <is>
          <t>SCH-03-036</t>
        </is>
      </c>
      <c r="E723" s="34" t="inlineStr">
        <is>
          <t>Harbour Station: control-centre integration - turnover</t>
        </is>
      </c>
      <c r="F723" s="34" t="inlineStr">
        <is>
          <t>ONE_TO_ONE</t>
        </is>
      </c>
      <c r="G723" s="34" t="inlineStr">
        <is>
          <t>APPROVED</t>
        </is>
      </c>
      <c r="H723" s="34" t="inlineStr">
        <is>
          <t>New</t>
        </is>
      </c>
      <c r="I723" s="34" t="inlineStr">
        <is>
          <t>Source assignment -- not individually reviewed</t>
        </is>
      </c>
      <c r="J723" s="39" t="inlineStr"/>
      <c r="K723" s="34" t="inlineStr">
        <is>
          <t>Source assignment</t>
        </is>
      </c>
      <c r="L723" s="39" t="inlineStr"/>
      <c r="M723" s="34" t="inlineStr">
        <is>
          <t>Initial</t>
        </is>
      </c>
      <c r="N723" s="34" t="inlineStr">
        <is>
          <t>Rev 0</t>
        </is>
      </c>
      <c r="O723" s="34" t="inlineStr">
        <is>
          <t>R396-v1</t>
        </is>
      </c>
      <c r="P723" s="39" t="inlineStr"/>
      <c r="Q723" s="14" t="inlineStr"/>
      <c r="R723" s="39" t="inlineStr"/>
      <c r="S723" s="39" t="inlineStr"/>
      <c r="T723" s="39" t="inlineStr"/>
      <c r="U723" s="39" t="inlineStr"/>
      <c r="V723" s="34" t="inlineStr">
        <is>
          <t>WBS Code = 1.3.2</t>
        </is>
      </c>
      <c r="W723" s="14" t="inlineStr"/>
    </row>
    <row r="724" ht="49" customHeight="1">
      <c r="A724" s="34" t="inlineStr">
        <is>
          <t>1.3.2</t>
        </is>
      </c>
      <c r="B724" s="34" t="inlineStr">
        <is>
          <t>Systems - Signalling &amp; Train Control</t>
        </is>
      </c>
      <c r="C724" s="34" t="inlineStr">
        <is>
          <t>Contractor Programme</t>
        </is>
      </c>
      <c r="D724" s="34" t="inlineStr">
        <is>
          <t>SCH-03-039</t>
        </is>
      </c>
      <c r="E724" s="34" t="inlineStr">
        <is>
          <t>East substation: traction-power feeder pull - installation</t>
        </is>
      </c>
      <c r="F724" s="34" t="inlineStr">
        <is>
          <t>ONE_TO_ONE</t>
        </is>
      </c>
      <c r="G724" s="34" t="inlineStr">
        <is>
          <t>APPROVED</t>
        </is>
      </c>
      <c r="H724" s="34" t="inlineStr">
        <is>
          <t>New</t>
        </is>
      </c>
      <c r="I724" s="34" t="inlineStr">
        <is>
          <t>Source assignment -- not individually reviewed</t>
        </is>
      </c>
      <c r="J724" s="39" t="inlineStr"/>
      <c r="K724" s="34" t="inlineStr">
        <is>
          <t>Source assignment</t>
        </is>
      </c>
      <c r="L724" s="39" t="inlineStr"/>
      <c r="M724" s="34" t="inlineStr">
        <is>
          <t>Initial</t>
        </is>
      </c>
      <c r="N724" s="34" t="inlineStr">
        <is>
          <t>Rev 0</t>
        </is>
      </c>
      <c r="O724" s="34" t="inlineStr">
        <is>
          <t>R399-v1</t>
        </is>
      </c>
      <c r="P724" s="39" t="inlineStr"/>
      <c r="Q724" s="14" t="inlineStr"/>
      <c r="R724" s="39" t="inlineStr"/>
      <c r="S724" s="39" t="inlineStr"/>
      <c r="T724" s="39" t="inlineStr"/>
      <c r="U724" s="39" t="inlineStr"/>
      <c r="V724" s="34" t="inlineStr">
        <is>
          <t>WBS Code = 1.3.2</t>
        </is>
      </c>
      <c r="W724" s="14" t="inlineStr"/>
    </row>
    <row r="725" ht="49" customHeight="1">
      <c r="A725" s="34" t="inlineStr">
        <is>
          <t>1.3.2</t>
        </is>
      </c>
      <c r="B725" s="34" t="inlineStr">
        <is>
          <t>Systems - Signalling &amp; Train Control</t>
        </is>
      </c>
      <c r="C725" s="34" t="inlineStr">
        <is>
          <t>Contractor Programme</t>
        </is>
      </c>
      <c r="D725" s="34" t="inlineStr">
        <is>
          <t>SCH-03-042</t>
        </is>
      </c>
      <c r="E725" s="34" t="inlineStr">
        <is>
          <t>Control Centre: signal equipment installation - release</t>
        </is>
      </c>
      <c r="F725" s="34" t="inlineStr">
        <is>
          <t>ONE_TO_ONE</t>
        </is>
      </c>
      <c r="G725" s="34" t="inlineStr">
        <is>
          <t>APPROVED</t>
        </is>
      </c>
      <c r="H725" s="34" t="inlineStr">
        <is>
          <t>New</t>
        </is>
      </c>
      <c r="I725" s="34" t="inlineStr">
        <is>
          <t>Source assignment -- not individually reviewed</t>
        </is>
      </c>
      <c r="J725" s="39" t="inlineStr"/>
      <c r="K725" s="34" t="inlineStr">
        <is>
          <t>Source assignment</t>
        </is>
      </c>
      <c r="L725" s="39" t="inlineStr"/>
      <c r="M725" s="34" t="inlineStr">
        <is>
          <t>Initial</t>
        </is>
      </c>
      <c r="N725" s="34" t="inlineStr">
        <is>
          <t>Rev 0</t>
        </is>
      </c>
      <c r="O725" s="34" t="inlineStr">
        <is>
          <t>R402-v1</t>
        </is>
      </c>
      <c r="P725" s="39" t="inlineStr"/>
      <c r="Q725" s="14" t="inlineStr"/>
      <c r="R725" s="39" t="inlineStr"/>
      <c r="S725" s="39" t="inlineStr"/>
      <c r="T725" s="39" t="inlineStr"/>
      <c r="U725" s="39" t="inlineStr"/>
      <c r="V725" s="34" t="inlineStr">
        <is>
          <t>WBS Code = 1.3.2</t>
        </is>
      </c>
      <c r="W725" s="14" t="inlineStr"/>
    </row>
    <row r="726" ht="49" customHeight="1">
      <c r="A726" s="34" t="inlineStr">
        <is>
          <t>1.3.2</t>
        </is>
      </c>
      <c r="B726" s="34" t="inlineStr">
        <is>
          <t>Systems - Signalling &amp; Train Control</t>
        </is>
      </c>
      <c r="C726" s="34" t="inlineStr">
        <is>
          <t>Contractor Programme</t>
        </is>
      </c>
      <c r="D726" s="34" t="inlineStr">
        <is>
          <t>SCH-03-045</t>
        </is>
      </c>
      <c r="E726" s="34" t="inlineStr">
        <is>
          <t>Central interlocking: fibre backbone termination - inspection</t>
        </is>
      </c>
      <c r="F726" s="34" t="inlineStr">
        <is>
          <t>ONE_TO_ONE</t>
        </is>
      </c>
      <c r="G726" s="34" t="inlineStr">
        <is>
          <t>APPROVED</t>
        </is>
      </c>
      <c r="H726" s="34" t="inlineStr">
        <is>
          <t>New</t>
        </is>
      </c>
      <c r="I726" s="34" t="inlineStr">
        <is>
          <t>Source assignment -- not individually reviewed</t>
        </is>
      </c>
      <c r="J726" s="39" t="inlineStr"/>
      <c r="K726" s="34" t="inlineStr">
        <is>
          <t>Source assignment</t>
        </is>
      </c>
      <c r="L726" s="39" t="inlineStr"/>
      <c r="M726" s="34" t="inlineStr">
        <is>
          <t>Initial</t>
        </is>
      </c>
      <c r="N726" s="34" t="inlineStr">
        <is>
          <t>Rev 0</t>
        </is>
      </c>
      <c r="O726" s="34" t="inlineStr">
        <is>
          <t>R405-v1</t>
        </is>
      </c>
      <c r="P726" s="39" t="inlineStr"/>
      <c r="Q726" s="14" t="inlineStr"/>
      <c r="R726" s="39" t="inlineStr"/>
      <c r="S726" s="39" t="inlineStr"/>
      <c r="T726" s="39" t="inlineStr"/>
      <c r="U726" s="39" t="inlineStr"/>
      <c r="V726" s="34" t="inlineStr">
        <is>
          <t>WBS Code = 1.3.2</t>
        </is>
      </c>
      <c r="W726" s="14" t="inlineStr"/>
    </row>
    <row r="727" ht="49" customHeight="1">
      <c r="A727" s="34" t="inlineStr">
        <is>
          <t>1.3.2</t>
        </is>
      </c>
      <c r="B727" s="34" t="inlineStr">
        <is>
          <t>Systems - Signalling &amp; Train Control</t>
        </is>
      </c>
      <c r="C727" s="34" t="inlineStr">
        <is>
          <t>Contractor Programme</t>
        </is>
      </c>
      <c r="D727" s="34" t="inlineStr">
        <is>
          <t>SCH-03-048</t>
        </is>
      </c>
      <c r="E727" s="34" t="inlineStr">
        <is>
          <t>West wayside: train-control cabinet fit-out - field start</t>
        </is>
      </c>
      <c r="F727" s="34" t="inlineStr">
        <is>
          <t>ONE_TO_ONE</t>
        </is>
      </c>
      <c r="G727" s="34" t="inlineStr">
        <is>
          <t>APPROVED</t>
        </is>
      </c>
      <c r="H727" s="34" t="inlineStr">
        <is>
          <t>New</t>
        </is>
      </c>
      <c r="I727" s="34" t="inlineStr">
        <is>
          <t>Source assignment -- not individually reviewed</t>
        </is>
      </c>
      <c r="J727" s="39" t="inlineStr"/>
      <c r="K727" s="34" t="inlineStr">
        <is>
          <t>Source assignment</t>
        </is>
      </c>
      <c r="L727" s="39" t="inlineStr"/>
      <c r="M727" s="34" t="inlineStr">
        <is>
          <t>Initial</t>
        </is>
      </c>
      <c r="N727" s="34" t="inlineStr">
        <is>
          <t>Rev 0</t>
        </is>
      </c>
      <c r="O727" s="34" t="inlineStr">
        <is>
          <t>R408-v1</t>
        </is>
      </c>
      <c r="P727" s="39" t="inlineStr"/>
      <c r="Q727" s="14" t="inlineStr"/>
      <c r="R727" s="39" t="inlineStr"/>
      <c r="S727" s="39" t="inlineStr"/>
      <c r="T727" s="39" t="inlineStr"/>
      <c r="U727" s="39" t="inlineStr"/>
      <c r="V727" s="34" t="inlineStr">
        <is>
          <t>WBS Code = 1.3.2</t>
        </is>
      </c>
      <c r="W727" s="14" t="inlineStr"/>
    </row>
    <row r="728" ht="49" customHeight="1">
      <c r="A728" s="34" t="inlineStr">
        <is>
          <t>1.3.2</t>
        </is>
      </c>
      <c r="B728" s="34" t="inlineStr">
        <is>
          <t>Systems - Signalling &amp; Train Control</t>
        </is>
      </c>
      <c r="C728" s="34" t="inlineStr">
        <is>
          <t>Contractor Programme</t>
        </is>
      </c>
      <c r="D728" s="34" t="inlineStr">
        <is>
          <t>SCH-03-051</t>
        </is>
      </c>
      <c r="E728" s="34" t="inlineStr">
        <is>
          <t>Harbour Station: radio equipment installation - turnover</t>
        </is>
      </c>
      <c r="F728" s="34" t="inlineStr">
        <is>
          <t>ONE_TO_ONE</t>
        </is>
      </c>
      <c r="G728" s="34" t="inlineStr">
        <is>
          <t>APPROVED</t>
        </is>
      </c>
      <c r="H728" s="34" t="inlineStr">
        <is>
          <t>New</t>
        </is>
      </c>
      <c r="I728" s="34" t="inlineStr">
        <is>
          <t>Source assignment -- not individually reviewed</t>
        </is>
      </c>
      <c r="J728" s="39" t="inlineStr"/>
      <c r="K728" s="34" t="inlineStr">
        <is>
          <t>Source assignment</t>
        </is>
      </c>
      <c r="L728" s="39" t="inlineStr"/>
      <c r="M728" s="34" t="inlineStr">
        <is>
          <t>Initial</t>
        </is>
      </c>
      <c r="N728" s="34" t="inlineStr">
        <is>
          <t>Rev 0</t>
        </is>
      </c>
      <c r="O728" s="34" t="inlineStr">
        <is>
          <t>R411-v1</t>
        </is>
      </c>
      <c r="P728" s="39" t="inlineStr"/>
      <c r="Q728" s="14" t="inlineStr"/>
      <c r="R728" s="39" t="inlineStr"/>
      <c r="S728" s="39" t="inlineStr"/>
      <c r="T728" s="39" t="inlineStr"/>
      <c r="U728" s="39" t="inlineStr"/>
      <c r="V728" s="34" t="inlineStr">
        <is>
          <t>WBS Code = 1.3.2</t>
        </is>
      </c>
      <c r="W728" s="14" t="inlineStr"/>
    </row>
    <row r="729" ht="49" customHeight="1">
      <c r="A729" s="34" t="inlineStr">
        <is>
          <t>1.3.2</t>
        </is>
      </c>
      <c r="B729" s="34" t="inlineStr">
        <is>
          <t>Systems - Signalling &amp; Train Control</t>
        </is>
      </c>
      <c r="C729" s="34" t="inlineStr">
        <is>
          <t>Contractor Programme</t>
        </is>
      </c>
      <c r="D729" s="34" t="inlineStr">
        <is>
          <t>SCH-03-054</t>
        </is>
      </c>
      <c r="E729" s="34" t="inlineStr">
        <is>
          <t>East substation: SCADA point-to-point check - installation</t>
        </is>
      </c>
      <c r="F729" s="34" t="inlineStr">
        <is>
          <t>ONE_TO_ONE</t>
        </is>
      </c>
      <c r="G729" s="34" t="inlineStr">
        <is>
          <t>APPROVED</t>
        </is>
      </c>
      <c r="H729" s="34" t="inlineStr">
        <is>
          <t>New</t>
        </is>
      </c>
      <c r="I729" s="34" t="inlineStr">
        <is>
          <t>Source assignment -- not individually reviewed</t>
        </is>
      </c>
      <c r="J729" s="39" t="inlineStr"/>
      <c r="K729" s="34" t="inlineStr">
        <is>
          <t>Source assignment</t>
        </is>
      </c>
      <c r="L729" s="39" t="inlineStr"/>
      <c r="M729" s="34" t="inlineStr">
        <is>
          <t>Initial</t>
        </is>
      </c>
      <c r="N729" s="34" t="inlineStr">
        <is>
          <t>Rev 0</t>
        </is>
      </c>
      <c r="O729" s="34" t="inlineStr">
        <is>
          <t>R414-v1</t>
        </is>
      </c>
      <c r="P729" s="39" t="inlineStr"/>
      <c r="Q729" s="14" t="inlineStr"/>
      <c r="R729" s="39" t="inlineStr"/>
      <c r="S729" s="39" t="inlineStr"/>
      <c r="T729" s="39" t="inlineStr"/>
      <c r="U729" s="39" t="inlineStr"/>
      <c r="V729" s="34" t="inlineStr">
        <is>
          <t>WBS Code = 1.3.2</t>
        </is>
      </c>
      <c r="W729" s="14" t="inlineStr"/>
    </row>
    <row r="730" ht="49" customHeight="1">
      <c r="A730" s="34" t="inlineStr">
        <is>
          <t>1.3.2</t>
        </is>
      </c>
      <c r="B730" s="34" t="inlineStr">
        <is>
          <t>Systems - Signalling &amp; Train Control</t>
        </is>
      </c>
      <c r="C730" s="34" t="inlineStr">
        <is>
          <t>Contractor Programme</t>
        </is>
      </c>
      <c r="D730" s="34" t="inlineStr">
        <is>
          <t>SCH-03-057</t>
        </is>
      </c>
      <c r="E730" s="34" t="inlineStr">
        <is>
          <t>Control Centre: wayside interface test - release</t>
        </is>
      </c>
      <c r="F730" s="34" t="inlineStr">
        <is>
          <t>ONE_TO_ONE</t>
        </is>
      </c>
      <c r="G730" s="34" t="inlineStr">
        <is>
          <t>APPROVED</t>
        </is>
      </c>
      <c r="H730" s="34" t="inlineStr">
        <is>
          <t>New</t>
        </is>
      </c>
      <c r="I730" s="34" t="inlineStr">
        <is>
          <t>Source assignment -- not individually reviewed</t>
        </is>
      </c>
      <c r="J730" s="39" t="inlineStr"/>
      <c r="K730" s="34" t="inlineStr">
        <is>
          <t>Source assignment</t>
        </is>
      </c>
      <c r="L730" s="39" t="inlineStr"/>
      <c r="M730" s="34" t="inlineStr">
        <is>
          <t>Initial</t>
        </is>
      </c>
      <c r="N730" s="34" t="inlineStr">
        <is>
          <t>Rev 0</t>
        </is>
      </c>
      <c r="O730" s="34" t="inlineStr">
        <is>
          <t>R417-v1</t>
        </is>
      </c>
      <c r="P730" s="39" t="inlineStr"/>
      <c r="Q730" s="14" t="inlineStr"/>
      <c r="R730" s="39" t="inlineStr"/>
      <c r="S730" s="39" t="inlineStr"/>
      <c r="T730" s="39" t="inlineStr"/>
      <c r="U730" s="39" t="inlineStr"/>
      <c r="V730" s="34" t="inlineStr">
        <is>
          <t>WBS Code = 1.3.2</t>
        </is>
      </c>
      <c r="W730" s="14" t="inlineStr"/>
    </row>
    <row r="731" ht="49" customHeight="1">
      <c r="A731" s="34" t="inlineStr">
        <is>
          <t>1.3.2</t>
        </is>
      </c>
      <c r="B731" s="34" t="inlineStr">
        <is>
          <t>Systems - Signalling &amp; Train Control</t>
        </is>
      </c>
      <c r="C731" s="34" t="inlineStr">
        <is>
          <t>Contractor Programme</t>
        </is>
      </c>
      <c r="D731" s="34" t="inlineStr">
        <is>
          <t>SCH-03-060</t>
        </is>
      </c>
      <c r="E731" s="34" t="inlineStr">
        <is>
          <t>Central interlocking: control-centre integration - inspection</t>
        </is>
      </c>
      <c r="F731" s="34" t="inlineStr">
        <is>
          <t>ONE_TO_ONE</t>
        </is>
      </c>
      <c r="G731" s="34" t="inlineStr">
        <is>
          <t>APPROVED</t>
        </is>
      </c>
      <c r="H731" s="34" t="inlineStr">
        <is>
          <t>New</t>
        </is>
      </c>
      <c r="I731" s="34" t="inlineStr">
        <is>
          <t>Source assignment -- not individually reviewed</t>
        </is>
      </c>
      <c r="J731" s="39" t="inlineStr"/>
      <c r="K731" s="34" t="inlineStr">
        <is>
          <t>Source assignment</t>
        </is>
      </c>
      <c r="L731" s="39" t="inlineStr"/>
      <c r="M731" s="34" t="inlineStr">
        <is>
          <t>Initial</t>
        </is>
      </c>
      <c r="N731" s="34" t="inlineStr">
        <is>
          <t>Rev 0</t>
        </is>
      </c>
      <c r="O731" s="34" t="inlineStr">
        <is>
          <t>R420-v1</t>
        </is>
      </c>
      <c r="P731" s="39" t="inlineStr"/>
      <c r="Q731" s="14" t="inlineStr"/>
      <c r="R731" s="39" t="inlineStr"/>
      <c r="S731" s="39" t="inlineStr"/>
      <c r="T731" s="39" t="inlineStr"/>
      <c r="U731" s="39" t="inlineStr"/>
      <c r="V731" s="34" t="inlineStr">
        <is>
          <t>WBS Code = 1.3.2</t>
        </is>
      </c>
      <c r="W731" s="14" t="inlineStr"/>
    </row>
    <row r="732" ht="49" customHeight="1">
      <c r="A732" s="34" t="inlineStr">
        <is>
          <t>1.3.2</t>
        </is>
      </c>
      <c r="B732" s="34" t="inlineStr">
        <is>
          <t>Systems - Signalling &amp; Train Control</t>
        </is>
      </c>
      <c r="C732" s="34" t="inlineStr">
        <is>
          <t>Contractor Programme</t>
        </is>
      </c>
      <c r="D732" s="34" t="inlineStr">
        <is>
          <t>SCH-03-063</t>
        </is>
      </c>
      <c r="E732" s="34" t="inlineStr">
        <is>
          <t>West wayside: traction-power feeder pull - field start</t>
        </is>
      </c>
      <c r="F732" s="34" t="inlineStr">
        <is>
          <t>ONE_TO_ONE</t>
        </is>
      </c>
      <c r="G732" s="34" t="inlineStr">
        <is>
          <t>APPROVED</t>
        </is>
      </c>
      <c r="H732" s="34" t="inlineStr">
        <is>
          <t>New</t>
        </is>
      </c>
      <c r="I732" s="34" t="inlineStr">
        <is>
          <t>Source assignment -- not individually reviewed</t>
        </is>
      </c>
      <c r="J732" s="39" t="inlineStr"/>
      <c r="K732" s="34" t="inlineStr">
        <is>
          <t>Source assignment</t>
        </is>
      </c>
      <c r="L732" s="39" t="inlineStr"/>
      <c r="M732" s="34" t="inlineStr">
        <is>
          <t>Initial</t>
        </is>
      </c>
      <c r="N732" s="34" t="inlineStr">
        <is>
          <t>Rev 0</t>
        </is>
      </c>
      <c r="O732" s="34" t="inlineStr">
        <is>
          <t>R423-v1</t>
        </is>
      </c>
      <c r="P732" s="39" t="inlineStr"/>
      <c r="Q732" s="14" t="inlineStr"/>
      <c r="R732" s="39" t="inlineStr"/>
      <c r="S732" s="39" t="inlineStr"/>
      <c r="T732" s="39" t="inlineStr"/>
      <c r="U732" s="39" t="inlineStr"/>
      <c r="V732" s="34" t="inlineStr">
        <is>
          <t>WBS Code = 1.3.2</t>
        </is>
      </c>
      <c r="W732" s="14" t="inlineStr"/>
    </row>
    <row r="733" ht="49" customHeight="1">
      <c r="A733" s="34" t="inlineStr">
        <is>
          <t>1.3.2</t>
        </is>
      </c>
      <c r="B733" s="34" t="inlineStr">
        <is>
          <t>Systems - Signalling &amp; Train Control</t>
        </is>
      </c>
      <c r="C733" s="34" t="inlineStr">
        <is>
          <t>Contractor Programme</t>
        </is>
      </c>
      <c r="D733" s="34" t="inlineStr">
        <is>
          <t>SCH-03-066</t>
        </is>
      </c>
      <c r="E733" s="34" t="inlineStr">
        <is>
          <t>Harbour Station: signal equipment installation - turnover</t>
        </is>
      </c>
      <c r="F733" s="34" t="inlineStr">
        <is>
          <t>ONE_TO_ONE</t>
        </is>
      </c>
      <c r="G733" s="34" t="inlineStr">
        <is>
          <t>APPROVED</t>
        </is>
      </c>
      <c r="H733" s="34" t="inlineStr">
        <is>
          <t>New</t>
        </is>
      </c>
      <c r="I733" s="34" t="inlineStr">
        <is>
          <t>Source assignment -- not individually reviewed</t>
        </is>
      </c>
      <c r="J733" s="39" t="inlineStr"/>
      <c r="K733" s="34" t="inlineStr">
        <is>
          <t>Source assignment</t>
        </is>
      </c>
      <c r="L733" s="39" t="inlineStr"/>
      <c r="M733" s="34" t="inlineStr">
        <is>
          <t>Initial</t>
        </is>
      </c>
      <c r="N733" s="34" t="inlineStr">
        <is>
          <t>Rev 0</t>
        </is>
      </c>
      <c r="O733" s="34" t="inlineStr">
        <is>
          <t>R426-v1</t>
        </is>
      </c>
      <c r="P733" s="39" t="inlineStr"/>
      <c r="Q733" s="14" t="inlineStr"/>
      <c r="R733" s="39" t="inlineStr"/>
      <c r="S733" s="39" t="inlineStr"/>
      <c r="T733" s="39" t="inlineStr"/>
      <c r="U733" s="39" t="inlineStr"/>
      <c r="V733" s="34" t="inlineStr">
        <is>
          <t>WBS Code = 1.3.2</t>
        </is>
      </c>
      <c r="W733" s="14" t="inlineStr"/>
    </row>
    <row r="734" ht="49" customHeight="1">
      <c r="A734" s="34" t="inlineStr">
        <is>
          <t>1.3.2</t>
        </is>
      </c>
      <c r="B734" s="34" t="inlineStr">
        <is>
          <t>Systems - Signalling &amp; Train Control</t>
        </is>
      </c>
      <c r="C734" s="34" t="inlineStr">
        <is>
          <t>Contractor Programme</t>
        </is>
      </c>
      <c r="D734" s="34" t="inlineStr">
        <is>
          <t>SCH-03-069</t>
        </is>
      </c>
      <c r="E734" s="34" t="inlineStr">
        <is>
          <t>East substation: fibre backbone termination - installation</t>
        </is>
      </c>
      <c r="F734" s="34" t="inlineStr">
        <is>
          <t>ONE_TO_ONE</t>
        </is>
      </c>
      <c r="G734" s="34" t="inlineStr">
        <is>
          <t>APPROVED</t>
        </is>
      </c>
      <c r="H734" s="34" t="inlineStr">
        <is>
          <t>New</t>
        </is>
      </c>
      <c r="I734" s="34" t="inlineStr">
        <is>
          <t>Source assignment -- not individually reviewed</t>
        </is>
      </c>
      <c r="J734" s="39" t="inlineStr"/>
      <c r="K734" s="34" t="inlineStr">
        <is>
          <t>Source assignment</t>
        </is>
      </c>
      <c r="L734" s="39" t="inlineStr"/>
      <c r="M734" s="34" t="inlineStr">
        <is>
          <t>Initial</t>
        </is>
      </c>
      <c r="N734" s="34" t="inlineStr">
        <is>
          <t>Rev 0</t>
        </is>
      </c>
      <c r="O734" s="34" t="inlineStr">
        <is>
          <t>R429-v1</t>
        </is>
      </c>
      <c r="P734" s="39" t="inlineStr"/>
      <c r="Q734" s="14" t="inlineStr"/>
      <c r="R734" s="39" t="inlineStr"/>
      <c r="S734" s="39" t="inlineStr"/>
      <c r="T734" s="39" t="inlineStr"/>
      <c r="U734" s="39" t="inlineStr"/>
      <c r="V734" s="34" t="inlineStr">
        <is>
          <t>WBS Code = 1.3.2</t>
        </is>
      </c>
      <c r="W734" s="14" t="inlineStr"/>
    </row>
    <row r="735" ht="49" customHeight="1">
      <c r="A735" s="34" t="inlineStr">
        <is>
          <t>1.3.2</t>
        </is>
      </c>
      <c r="B735" s="34" t="inlineStr">
        <is>
          <t>Systems - Signalling &amp; Train Control</t>
        </is>
      </c>
      <c r="C735" s="34" t="inlineStr">
        <is>
          <t>Contractor Programme</t>
        </is>
      </c>
      <c r="D735" s="34" t="inlineStr">
        <is>
          <t>SCH-03-072</t>
        </is>
      </c>
      <c r="E735" s="34" t="inlineStr">
        <is>
          <t>Control Centre: train-control cabinet fit-out - release</t>
        </is>
      </c>
      <c r="F735" s="34" t="inlineStr">
        <is>
          <t>ONE_TO_ONE</t>
        </is>
      </c>
      <c r="G735" s="34" t="inlineStr">
        <is>
          <t>APPROVED</t>
        </is>
      </c>
      <c r="H735" s="34" t="inlineStr">
        <is>
          <t>New</t>
        </is>
      </c>
      <c r="I735" s="34" t="inlineStr">
        <is>
          <t>Source assignment -- not individually reviewed</t>
        </is>
      </c>
      <c r="J735" s="39" t="inlineStr"/>
      <c r="K735" s="34" t="inlineStr">
        <is>
          <t>Source assignment</t>
        </is>
      </c>
      <c r="L735" s="39" t="inlineStr"/>
      <c r="M735" s="34" t="inlineStr">
        <is>
          <t>Initial</t>
        </is>
      </c>
      <c r="N735" s="34" t="inlineStr">
        <is>
          <t>Rev 0</t>
        </is>
      </c>
      <c r="O735" s="34" t="inlineStr">
        <is>
          <t>R432-v1</t>
        </is>
      </c>
      <c r="P735" s="39" t="inlineStr"/>
      <c r="Q735" s="14" t="inlineStr"/>
      <c r="R735" s="39" t="inlineStr"/>
      <c r="S735" s="39" t="inlineStr"/>
      <c r="T735" s="39" t="inlineStr"/>
      <c r="U735" s="39" t="inlineStr"/>
      <c r="V735" s="34" t="inlineStr">
        <is>
          <t>WBS Code = 1.3.2</t>
        </is>
      </c>
      <c r="W735" s="14" t="inlineStr"/>
    </row>
    <row r="736" ht="49" customHeight="1">
      <c r="A736" s="34" t="inlineStr">
        <is>
          <t>1.3.2</t>
        </is>
      </c>
      <c r="B736" s="34" t="inlineStr">
        <is>
          <t>Systems - Signalling &amp; Train Control</t>
        </is>
      </c>
      <c r="C736" s="34" t="inlineStr">
        <is>
          <t>Contractor Programme</t>
        </is>
      </c>
      <c r="D736" s="34" t="inlineStr">
        <is>
          <t>SCH-03-075</t>
        </is>
      </c>
      <c r="E736" s="34" t="inlineStr">
        <is>
          <t>Central interlocking: radio equipment installation - inspection</t>
        </is>
      </c>
      <c r="F736" s="34" t="inlineStr">
        <is>
          <t>ONE_TO_ONE</t>
        </is>
      </c>
      <c r="G736" s="34" t="inlineStr">
        <is>
          <t>APPROVED</t>
        </is>
      </c>
      <c r="H736" s="34" t="inlineStr">
        <is>
          <t>New</t>
        </is>
      </c>
      <c r="I736" s="34" t="inlineStr">
        <is>
          <t>Source assignment -- not individually reviewed</t>
        </is>
      </c>
      <c r="J736" s="39" t="inlineStr"/>
      <c r="K736" s="34" t="inlineStr">
        <is>
          <t>Source assignment</t>
        </is>
      </c>
      <c r="L736" s="39" t="inlineStr"/>
      <c r="M736" s="34" t="inlineStr">
        <is>
          <t>Initial</t>
        </is>
      </c>
      <c r="N736" s="34" t="inlineStr">
        <is>
          <t>Rev 0</t>
        </is>
      </c>
      <c r="O736" s="34" t="inlineStr">
        <is>
          <t>R435-v1</t>
        </is>
      </c>
      <c r="P736" s="39" t="inlineStr"/>
      <c r="Q736" s="14" t="inlineStr"/>
      <c r="R736" s="39" t="inlineStr"/>
      <c r="S736" s="39" t="inlineStr"/>
      <c r="T736" s="39" t="inlineStr"/>
      <c r="U736" s="39" t="inlineStr"/>
      <c r="V736" s="34" t="inlineStr">
        <is>
          <t>WBS Code = 1.3.2</t>
        </is>
      </c>
      <c r="W736" s="14" t="inlineStr"/>
    </row>
    <row r="737" ht="49" customHeight="1">
      <c r="A737" s="34" t="inlineStr">
        <is>
          <t>1.3.2</t>
        </is>
      </c>
      <c r="B737" s="34" t="inlineStr">
        <is>
          <t>Systems - Signalling &amp; Train Control</t>
        </is>
      </c>
      <c r="C737" s="34" t="inlineStr">
        <is>
          <t>Contractor Programme</t>
        </is>
      </c>
      <c r="D737" s="34" t="inlineStr">
        <is>
          <t>SCH-03-078</t>
        </is>
      </c>
      <c r="E737" s="34" t="inlineStr">
        <is>
          <t>West wayside: SCADA point-to-point check - field start</t>
        </is>
      </c>
      <c r="F737" s="34" t="inlineStr">
        <is>
          <t>ONE_TO_ONE</t>
        </is>
      </c>
      <c r="G737" s="34" t="inlineStr">
        <is>
          <t>APPROVED</t>
        </is>
      </c>
      <c r="H737" s="34" t="inlineStr">
        <is>
          <t>New</t>
        </is>
      </c>
      <c r="I737" s="34" t="inlineStr">
        <is>
          <t>Source assignment -- not individually reviewed</t>
        </is>
      </c>
      <c r="J737" s="39" t="inlineStr"/>
      <c r="K737" s="34" t="inlineStr">
        <is>
          <t>Source assignment</t>
        </is>
      </c>
      <c r="L737" s="39" t="inlineStr"/>
      <c r="M737" s="34" t="inlineStr">
        <is>
          <t>Initial</t>
        </is>
      </c>
      <c r="N737" s="34" t="inlineStr">
        <is>
          <t>Rev 0</t>
        </is>
      </c>
      <c r="O737" s="34" t="inlineStr">
        <is>
          <t>R438-v1</t>
        </is>
      </c>
      <c r="P737" s="39" t="inlineStr"/>
      <c r="Q737" s="14" t="inlineStr"/>
      <c r="R737" s="39" t="inlineStr"/>
      <c r="S737" s="39" t="inlineStr"/>
      <c r="T737" s="39" t="inlineStr"/>
      <c r="U737" s="39" t="inlineStr"/>
      <c r="V737" s="34" t="inlineStr">
        <is>
          <t>WBS Code = 1.3.2</t>
        </is>
      </c>
      <c r="W737" s="14" t="inlineStr"/>
    </row>
    <row r="738" ht="49" customHeight="1">
      <c r="A738" s="34" t="inlineStr">
        <is>
          <t>1.3.2</t>
        </is>
      </c>
      <c r="B738" s="34" t="inlineStr">
        <is>
          <t>Systems - Signalling &amp; Train Control</t>
        </is>
      </c>
      <c r="C738" s="34" t="inlineStr">
        <is>
          <t>Contractor Programme</t>
        </is>
      </c>
      <c r="D738" s="34" t="inlineStr">
        <is>
          <t>SCH-03-081</t>
        </is>
      </c>
      <c r="E738" s="34" t="inlineStr">
        <is>
          <t>Harbour Station: wayside interface test - turnover</t>
        </is>
      </c>
      <c r="F738" s="34" t="inlineStr">
        <is>
          <t>ONE_TO_ONE</t>
        </is>
      </c>
      <c r="G738" s="34" t="inlineStr">
        <is>
          <t>APPROVED</t>
        </is>
      </c>
      <c r="H738" s="34" t="inlineStr">
        <is>
          <t>New</t>
        </is>
      </c>
      <c r="I738" s="34" t="inlineStr">
        <is>
          <t>Source assignment -- not individually reviewed</t>
        </is>
      </c>
      <c r="J738" s="39" t="inlineStr"/>
      <c r="K738" s="34" t="inlineStr">
        <is>
          <t>Source assignment</t>
        </is>
      </c>
      <c r="L738" s="39" t="inlineStr"/>
      <c r="M738" s="34" t="inlineStr">
        <is>
          <t>Initial</t>
        </is>
      </c>
      <c r="N738" s="34" t="inlineStr">
        <is>
          <t>Rev 0</t>
        </is>
      </c>
      <c r="O738" s="34" t="inlineStr">
        <is>
          <t>R441-v1</t>
        </is>
      </c>
      <c r="P738" s="39" t="inlineStr"/>
      <c r="Q738" s="14" t="inlineStr"/>
      <c r="R738" s="39" t="inlineStr"/>
      <c r="S738" s="39" t="inlineStr"/>
      <c r="T738" s="39" t="inlineStr"/>
      <c r="U738" s="39" t="inlineStr"/>
      <c r="V738" s="34" t="inlineStr">
        <is>
          <t>WBS Code = 1.3.2</t>
        </is>
      </c>
      <c r="W738" s="14" t="inlineStr"/>
    </row>
    <row r="739" ht="49" customHeight="1">
      <c r="A739" s="34" t="inlineStr">
        <is>
          <t>1.3.2</t>
        </is>
      </c>
      <c r="B739" s="34" t="inlineStr">
        <is>
          <t>Systems - Signalling &amp; Train Control</t>
        </is>
      </c>
      <c r="C739" s="34" t="inlineStr">
        <is>
          <t>Contractor Programme</t>
        </is>
      </c>
      <c r="D739" s="34" t="inlineStr">
        <is>
          <t>SCH-03-084</t>
        </is>
      </c>
      <c r="E739" s="34" t="inlineStr">
        <is>
          <t>East substation: control-centre integration - installation</t>
        </is>
      </c>
      <c r="F739" s="34" t="inlineStr">
        <is>
          <t>ONE_TO_ONE</t>
        </is>
      </c>
      <c r="G739" s="34" t="inlineStr">
        <is>
          <t>APPROVED</t>
        </is>
      </c>
      <c r="H739" s="34" t="inlineStr">
        <is>
          <t>New</t>
        </is>
      </c>
      <c r="I739" s="34" t="inlineStr">
        <is>
          <t>Source assignment -- not individually reviewed</t>
        </is>
      </c>
      <c r="J739" s="39" t="inlineStr"/>
      <c r="K739" s="34" t="inlineStr">
        <is>
          <t>Source assignment</t>
        </is>
      </c>
      <c r="L739" s="39" t="inlineStr"/>
      <c r="M739" s="34" t="inlineStr">
        <is>
          <t>Initial</t>
        </is>
      </c>
      <c r="N739" s="34" t="inlineStr">
        <is>
          <t>Rev 0</t>
        </is>
      </c>
      <c r="O739" s="34" t="inlineStr">
        <is>
          <t>R444-v1</t>
        </is>
      </c>
      <c r="P739" s="39" t="inlineStr"/>
      <c r="Q739" s="14" t="inlineStr"/>
      <c r="R739" s="39" t="inlineStr"/>
      <c r="S739" s="39" t="inlineStr"/>
      <c r="T739" s="39" t="inlineStr"/>
      <c r="U739" s="39" t="inlineStr"/>
      <c r="V739" s="34" t="inlineStr">
        <is>
          <t>WBS Code = 1.3.2</t>
        </is>
      </c>
      <c r="W739" s="14" t="inlineStr"/>
    </row>
    <row r="740" ht="49" customHeight="1">
      <c r="A740" s="34" t="inlineStr">
        <is>
          <t>1.3.2</t>
        </is>
      </c>
      <c r="B740" s="34" t="inlineStr">
        <is>
          <t>Systems - Signalling &amp; Train Control</t>
        </is>
      </c>
      <c r="C740" s="34" t="inlineStr">
        <is>
          <t>Contractor Programme</t>
        </is>
      </c>
      <c r="D740" s="34" t="inlineStr">
        <is>
          <t>SCH-03-087</t>
        </is>
      </c>
      <c r="E740" s="34" t="inlineStr">
        <is>
          <t>Control Centre: traction-power feeder pull - release</t>
        </is>
      </c>
      <c r="F740" s="34" t="inlineStr">
        <is>
          <t>ONE_TO_ONE</t>
        </is>
      </c>
      <c r="G740" s="34" t="inlineStr">
        <is>
          <t>APPROVED</t>
        </is>
      </c>
      <c r="H740" s="34" t="inlineStr">
        <is>
          <t>New</t>
        </is>
      </c>
      <c r="I740" s="34" t="inlineStr">
        <is>
          <t>Source assignment -- not individually reviewed</t>
        </is>
      </c>
      <c r="J740" s="39" t="inlineStr"/>
      <c r="K740" s="34" t="inlineStr">
        <is>
          <t>Source assignment</t>
        </is>
      </c>
      <c r="L740" s="39" t="inlineStr"/>
      <c r="M740" s="34" t="inlineStr">
        <is>
          <t>Initial</t>
        </is>
      </c>
      <c r="N740" s="34" t="inlineStr">
        <is>
          <t>Rev 0</t>
        </is>
      </c>
      <c r="O740" s="34" t="inlineStr">
        <is>
          <t>R447-v1</t>
        </is>
      </c>
      <c r="P740" s="39" t="inlineStr"/>
      <c r="Q740" s="14" t="inlineStr"/>
      <c r="R740" s="39" t="inlineStr"/>
      <c r="S740" s="39" t="inlineStr"/>
      <c r="T740" s="39" t="inlineStr"/>
      <c r="U740" s="39" t="inlineStr"/>
      <c r="V740" s="34" t="inlineStr">
        <is>
          <t>WBS Code = 1.3.2</t>
        </is>
      </c>
      <c r="W740" s="14" t="inlineStr"/>
    </row>
    <row r="741" ht="49" customHeight="1">
      <c r="A741" s="34" t="inlineStr">
        <is>
          <t>1.3.2</t>
        </is>
      </c>
      <c r="B741" s="34" t="inlineStr">
        <is>
          <t>Systems - Signalling &amp; Train Control</t>
        </is>
      </c>
      <c r="C741" s="34" t="inlineStr">
        <is>
          <t>Contractor Programme</t>
        </is>
      </c>
      <c r="D741" s="34" t="inlineStr">
        <is>
          <t>SCH-03-090</t>
        </is>
      </c>
      <c r="E741" s="34" t="inlineStr">
        <is>
          <t>Central interlocking: signal equipment installation - inspection</t>
        </is>
      </c>
      <c r="F741" s="34" t="inlineStr">
        <is>
          <t>ONE_TO_ONE</t>
        </is>
      </c>
      <c r="G741" s="34" t="inlineStr">
        <is>
          <t>APPROVED</t>
        </is>
      </c>
      <c r="H741" s="34" t="inlineStr">
        <is>
          <t>New</t>
        </is>
      </c>
      <c r="I741" s="34" t="inlineStr">
        <is>
          <t>Source assignment -- not individually reviewed</t>
        </is>
      </c>
      <c r="J741" s="39" t="inlineStr"/>
      <c r="K741" s="34" t="inlineStr">
        <is>
          <t>Source assignment</t>
        </is>
      </c>
      <c r="L741" s="39" t="inlineStr"/>
      <c r="M741" s="34" t="inlineStr">
        <is>
          <t>Initial</t>
        </is>
      </c>
      <c r="N741" s="34" t="inlineStr">
        <is>
          <t>Rev 0</t>
        </is>
      </c>
      <c r="O741" s="34" t="inlineStr">
        <is>
          <t>R450-v1</t>
        </is>
      </c>
      <c r="P741" s="39" t="inlineStr"/>
      <c r="Q741" s="14" t="inlineStr"/>
      <c r="R741" s="39" t="inlineStr"/>
      <c r="S741" s="39" t="inlineStr"/>
      <c r="T741" s="39" t="inlineStr"/>
      <c r="U741" s="39" t="inlineStr"/>
      <c r="V741" s="34" t="inlineStr">
        <is>
          <t>WBS Code = 1.3.2</t>
        </is>
      </c>
      <c r="W741" s="14" t="inlineStr"/>
    </row>
    <row r="742" ht="49" customHeight="1">
      <c r="A742" s="34" t="inlineStr">
        <is>
          <t>1.3.2</t>
        </is>
      </c>
      <c r="B742" s="34" t="inlineStr">
        <is>
          <t>Systems - Signalling &amp; Train Control</t>
        </is>
      </c>
      <c r="C742" s="34" t="inlineStr">
        <is>
          <t>Contractor Programme</t>
        </is>
      </c>
      <c r="D742" s="34" t="inlineStr">
        <is>
          <t>SCH-03-093</t>
        </is>
      </c>
      <c r="E742" s="34" t="inlineStr">
        <is>
          <t>West wayside: fibre backbone termination - field start</t>
        </is>
      </c>
      <c r="F742" s="34" t="inlineStr">
        <is>
          <t>ONE_TO_ONE</t>
        </is>
      </c>
      <c r="G742" s="34" t="inlineStr">
        <is>
          <t>APPROVED</t>
        </is>
      </c>
      <c r="H742" s="34" t="inlineStr">
        <is>
          <t>New</t>
        </is>
      </c>
      <c r="I742" s="34" t="inlineStr">
        <is>
          <t>Source assignment -- not individually reviewed</t>
        </is>
      </c>
      <c r="J742" s="39" t="inlineStr"/>
      <c r="K742" s="34" t="inlineStr">
        <is>
          <t>Source assignment</t>
        </is>
      </c>
      <c r="L742" s="39" t="inlineStr"/>
      <c r="M742" s="34" t="inlineStr">
        <is>
          <t>Initial</t>
        </is>
      </c>
      <c r="N742" s="34" t="inlineStr">
        <is>
          <t>Rev 0</t>
        </is>
      </c>
      <c r="O742" s="34" t="inlineStr">
        <is>
          <t>R453-v1</t>
        </is>
      </c>
      <c r="P742" s="39" t="inlineStr"/>
      <c r="Q742" s="14" t="inlineStr"/>
      <c r="R742" s="39" t="inlineStr"/>
      <c r="S742" s="39" t="inlineStr"/>
      <c r="T742" s="39" t="inlineStr"/>
      <c r="U742" s="39" t="inlineStr"/>
      <c r="V742" s="34" t="inlineStr">
        <is>
          <t>WBS Code = 1.3.2</t>
        </is>
      </c>
      <c r="W742" s="14" t="inlineStr"/>
    </row>
    <row r="743" ht="49" customHeight="1">
      <c r="A743" s="34" t="inlineStr">
        <is>
          <t>1.3.2</t>
        </is>
      </c>
      <c r="B743" s="34" t="inlineStr">
        <is>
          <t>Systems - Signalling &amp; Train Control</t>
        </is>
      </c>
      <c r="C743" s="34" t="inlineStr">
        <is>
          <t>Contractor Programme</t>
        </is>
      </c>
      <c r="D743" s="34" t="inlineStr">
        <is>
          <t>SCH-03-096</t>
        </is>
      </c>
      <c r="E743" s="34" t="inlineStr">
        <is>
          <t>Harbour Station: train-control cabinet fit-out - turnover</t>
        </is>
      </c>
      <c r="F743" s="34" t="inlineStr">
        <is>
          <t>ONE_TO_ONE</t>
        </is>
      </c>
      <c r="G743" s="34" t="inlineStr">
        <is>
          <t>APPROVED</t>
        </is>
      </c>
      <c r="H743" s="34" t="inlineStr">
        <is>
          <t>New</t>
        </is>
      </c>
      <c r="I743" s="34" t="inlineStr">
        <is>
          <t>Source assignment -- not individually reviewed</t>
        </is>
      </c>
      <c r="J743" s="39" t="inlineStr"/>
      <c r="K743" s="34" t="inlineStr">
        <is>
          <t>Source assignment</t>
        </is>
      </c>
      <c r="L743" s="39" t="inlineStr"/>
      <c r="M743" s="34" t="inlineStr">
        <is>
          <t>Initial</t>
        </is>
      </c>
      <c r="N743" s="34" t="inlineStr">
        <is>
          <t>Rev 0</t>
        </is>
      </c>
      <c r="O743" s="34" t="inlineStr">
        <is>
          <t>R456-v1</t>
        </is>
      </c>
      <c r="P743" s="39" t="inlineStr"/>
      <c r="Q743" s="14" t="inlineStr"/>
      <c r="R743" s="39" t="inlineStr"/>
      <c r="S743" s="39" t="inlineStr"/>
      <c r="T743" s="39" t="inlineStr"/>
      <c r="U743" s="39" t="inlineStr"/>
      <c r="V743" s="34" t="inlineStr">
        <is>
          <t>WBS Code = 1.3.2</t>
        </is>
      </c>
      <c r="W743" s="14" t="inlineStr"/>
    </row>
    <row r="744" ht="49" customHeight="1">
      <c r="A744" s="34" t="inlineStr">
        <is>
          <t>1.3.2</t>
        </is>
      </c>
      <c r="B744" s="34" t="inlineStr">
        <is>
          <t>Systems - Signalling &amp; Train Control</t>
        </is>
      </c>
      <c r="C744" s="34" t="inlineStr">
        <is>
          <t>Contractor Programme</t>
        </is>
      </c>
      <c r="D744" s="34" t="inlineStr">
        <is>
          <t>SCH-03-099</t>
        </is>
      </c>
      <c r="E744" s="34" t="inlineStr">
        <is>
          <t>East substation: radio equipment installation - installation</t>
        </is>
      </c>
      <c r="F744" s="34" t="inlineStr">
        <is>
          <t>ONE_TO_ONE</t>
        </is>
      </c>
      <c r="G744" s="34" t="inlineStr">
        <is>
          <t>APPROVED</t>
        </is>
      </c>
      <c r="H744" s="34" t="inlineStr">
        <is>
          <t>New</t>
        </is>
      </c>
      <c r="I744" s="34" t="inlineStr">
        <is>
          <t>Source assignment -- not individually reviewed</t>
        </is>
      </c>
      <c r="J744" s="39" t="inlineStr"/>
      <c r="K744" s="34" t="inlineStr">
        <is>
          <t>Source assignment</t>
        </is>
      </c>
      <c r="L744" s="39" t="inlineStr"/>
      <c r="M744" s="34" t="inlineStr">
        <is>
          <t>Initial</t>
        </is>
      </c>
      <c r="N744" s="34" t="inlineStr">
        <is>
          <t>Rev 0</t>
        </is>
      </c>
      <c r="O744" s="34" t="inlineStr">
        <is>
          <t>R459-v1</t>
        </is>
      </c>
      <c r="P744" s="39" t="inlineStr"/>
      <c r="Q744" s="14" t="inlineStr"/>
      <c r="R744" s="39" t="inlineStr"/>
      <c r="S744" s="39" t="inlineStr"/>
      <c r="T744" s="39" t="inlineStr"/>
      <c r="U744" s="39" t="inlineStr"/>
      <c r="V744" s="34" t="inlineStr">
        <is>
          <t>WBS Code = 1.3.2</t>
        </is>
      </c>
      <c r="W744" s="14" t="inlineStr"/>
    </row>
    <row r="745" ht="49" customHeight="1">
      <c r="A745" s="34" t="inlineStr">
        <is>
          <t>1.3.2</t>
        </is>
      </c>
      <c r="B745" s="34" t="inlineStr">
        <is>
          <t>Systems - Signalling &amp; Train Control</t>
        </is>
      </c>
      <c r="C745" s="34" t="inlineStr">
        <is>
          <t>Contractor Programme</t>
        </is>
      </c>
      <c r="D745" s="34" t="inlineStr">
        <is>
          <t>SCH-03-102</t>
        </is>
      </c>
      <c r="E745" s="34" t="inlineStr">
        <is>
          <t>Control Centre: SCADA point-to-point check - release</t>
        </is>
      </c>
      <c r="F745" s="34" t="inlineStr">
        <is>
          <t>ONE_TO_ONE</t>
        </is>
      </c>
      <c r="G745" s="34" t="inlineStr">
        <is>
          <t>APPROVED</t>
        </is>
      </c>
      <c r="H745" s="34" t="inlineStr">
        <is>
          <t>New</t>
        </is>
      </c>
      <c r="I745" s="34" t="inlineStr">
        <is>
          <t>Source assignment -- not individually reviewed</t>
        </is>
      </c>
      <c r="J745" s="39" t="inlineStr"/>
      <c r="K745" s="34" t="inlineStr">
        <is>
          <t>Source assignment</t>
        </is>
      </c>
      <c r="L745" s="39" t="inlineStr"/>
      <c r="M745" s="34" t="inlineStr">
        <is>
          <t>Initial</t>
        </is>
      </c>
      <c r="N745" s="34" t="inlineStr">
        <is>
          <t>Rev 0</t>
        </is>
      </c>
      <c r="O745" s="34" t="inlineStr">
        <is>
          <t>R462-v1</t>
        </is>
      </c>
      <c r="P745" s="39" t="inlineStr"/>
      <c r="Q745" s="14" t="inlineStr"/>
      <c r="R745" s="39" t="inlineStr"/>
      <c r="S745" s="39" t="inlineStr"/>
      <c r="T745" s="39" t="inlineStr"/>
      <c r="U745" s="39" t="inlineStr"/>
      <c r="V745" s="34" t="inlineStr">
        <is>
          <t>WBS Code = 1.3.2</t>
        </is>
      </c>
      <c r="W745" s="14" t="inlineStr"/>
    </row>
    <row r="746" ht="49" customHeight="1">
      <c r="A746" s="34" t="inlineStr">
        <is>
          <t>1.3.2</t>
        </is>
      </c>
      <c r="B746" s="34" t="inlineStr">
        <is>
          <t>Systems - Signalling &amp; Train Control</t>
        </is>
      </c>
      <c r="C746" s="34" t="inlineStr">
        <is>
          <t>Contractor Programme</t>
        </is>
      </c>
      <c r="D746" s="34" t="inlineStr">
        <is>
          <t>SCH-03-105</t>
        </is>
      </c>
      <c r="E746" s="34" t="inlineStr">
        <is>
          <t>Central interlocking: wayside interface test - inspection</t>
        </is>
      </c>
      <c r="F746" s="34" t="inlineStr">
        <is>
          <t>ONE_TO_ONE</t>
        </is>
      </c>
      <c r="G746" s="34" t="inlineStr">
        <is>
          <t>APPROVED</t>
        </is>
      </c>
      <c r="H746" s="34" t="inlineStr">
        <is>
          <t>New</t>
        </is>
      </c>
      <c r="I746" s="34" t="inlineStr">
        <is>
          <t>Source assignment -- not individually reviewed</t>
        </is>
      </c>
      <c r="J746" s="39" t="inlineStr"/>
      <c r="K746" s="34" t="inlineStr">
        <is>
          <t>Source assignment</t>
        </is>
      </c>
      <c r="L746" s="39" t="inlineStr"/>
      <c r="M746" s="34" t="inlineStr">
        <is>
          <t>Initial</t>
        </is>
      </c>
      <c r="N746" s="34" t="inlineStr">
        <is>
          <t>Rev 0</t>
        </is>
      </c>
      <c r="O746" s="34" t="inlineStr">
        <is>
          <t>R465-v1</t>
        </is>
      </c>
      <c r="P746" s="39" t="inlineStr"/>
      <c r="Q746" s="14" t="inlineStr"/>
      <c r="R746" s="39" t="inlineStr"/>
      <c r="S746" s="39" t="inlineStr"/>
      <c r="T746" s="39" t="inlineStr"/>
      <c r="U746" s="39" t="inlineStr"/>
      <c r="V746" s="34" t="inlineStr">
        <is>
          <t>WBS Code = 1.3.2</t>
        </is>
      </c>
      <c r="W746" s="14" t="inlineStr"/>
    </row>
    <row r="747" ht="49" customHeight="1">
      <c r="A747" s="34" t="inlineStr">
        <is>
          <t>1.3.2</t>
        </is>
      </c>
      <c r="B747" s="34" t="inlineStr">
        <is>
          <t>Systems - Signalling &amp; Train Control</t>
        </is>
      </c>
      <c r="C747" s="34" t="inlineStr">
        <is>
          <t>Contractor Programme</t>
        </is>
      </c>
      <c r="D747" s="34" t="inlineStr">
        <is>
          <t>SCH-03-108</t>
        </is>
      </c>
      <c r="E747" s="34" t="inlineStr">
        <is>
          <t>West wayside: control-centre integration - field start</t>
        </is>
      </c>
      <c r="F747" s="34" t="inlineStr">
        <is>
          <t>ONE_TO_ONE</t>
        </is>
      </c>
      <c r="G747" s="34" t="inlineStr">
        <is>
          <t>APPROVED</t>
        </is>
      </c>
      <c r="H747" s="34" t="inlineStr">
        <is>
          <t>New</t>
        </is>
      </c>
      <c r="I747" s="34" t="inlineStr">
        <is>
          <t>Source assignment -- not individually reviewed</t>
        </is>
      </c>
      <c r="J747" s="39" t="inlineStr"/>
      <c r="K747" s="34" t="inlineStr">
        <is>
          <t>Source assignment</t>
        </is>
      </c>
      <c r="L747" s="39" t="inlineStr"/>
      <c r="M747" s="34" t="inlineStr">
        <is>
          <t>Initial</t>
        </is>
      </c>
      <c r="N747" s="34" t="inlineStr">
        <is>
          <t>Rev 0</t>
        </is>
      </c>
      <c r="O747" s="34" t="inlineStr">
        <is>
          <t>R468-v1</t>
        </is>
      </c>
      <c r="P747" s="39" t="inlineStr"/>
      <c r="Q747" s="14" t="inlineStr"/>
      <c r="R747" s="39" t="inlineStr"/>
      <c r="S747" s="39" t="inlineStr"/>
      <c r="T747" s="39" t="inlineStr"/>
      <c r="U747" s="39" t="inlineStr"/>
      <c r="V747" s="34" t="inlineStr">
        <is>
          <t>WBS Code = 1.3.2</t>
        </is>
      </c>
      <c r="W747" s="14" t="inlineStr"/>
    </row>
    <row r="748" ht="49" customHeight="1">
      <c r="A748" s="34" t="inlineStr">
        <is>
          <t>1.3.2</t>
        </is>
      </c>
      <c r="B748" s="34" t="inlineStr">
        <is>
          <t>Systems - Signalling &amp; Train Control</t>
        </is>
      </c>
      <c r="C748" s="34" t="inlineStr">
        <is>
          <t>Contractor Programme</t>
        </is>
      </c>
      <c r="D748" s="34" t="inlineStr">
        <is>
          <t>SCH-03-111</t>
        </is>
      </c>
      <c r="E748" s="34" t="inlineStr">
        <is>
          <t>Harbour Station: traction-power feeder pull - turnover</t>
        </is>
      </c>
      <c r="F748" s="34" t="inlineStr">
        <is>
          <t>ONE_TO_ONE</t>
        </is>
      </c>
      <c r="G748" s="34" t="inlineStr">
        <is>
          <t>APPROVED</t>
        </is>
      </c>
      <c r="H748" s="34" t="inlineStr">
        <is>
          <t>New</t>
        </is>
      </c>
      <c r="I748" s="34" t="inlineStr">
        <is>
          <t>Source assignment -- not individually reviewed</t>
        </is>
      </c>
      <c r="J748" s="39" t="inlineStr"/>
      <c r="K748" s="34" t="inlineStr">
        <is>
          <t>Source assignment</t>
        </is>
      </c>
      <c r="L748" s="39" t="inlineStr"/>
      <c r="M748" s="34" t="inlineStr">
        <is>
          <t>Initial</t>
        </is>
      </c>
      <c r="N748" s="34" t="inlineStr">
        <is>
          <t>Rev 0</t>
        </is>
      </c>
      <c r="O748" s="34" t="inlineStr">
        <is>
          <t>R471-v1</t>
        </is>
      </c>
      <c r="P748" s="39" t="inlineStr"/>
      <c r="Q748" s="14" t="inlineStr"/>
      <c r="R748" s="39" t="inlineStr"/>
      <c r="S748" s="39" t="inlineStr"/>
      <c r="T748" s="39" t="inlineStr"/>
      <c r="U748" s="39" t="inlineStr"/>
      <c r="V748" s="34" t="inlineStr">
        <is>
          <t>WBS Code = 1.3.2</t>
        </is>
      </c>
      <c r="W748" s="14" t="inlineStr"/>
    </row>
    <row r="749" ht="49" customHeight="1">
      <c r="A749" s="34" t="inlineStr">
        <is>
          <t>1.3.2</t>
        </is>
      </c>
      <c r="B749" s="34" t="inlineStr">
        <is>
          <t>Systems - Signalling &amp; Train Control</t>
        </is>
      </c>
      <c r="C749" s="34" t="inlineStr">
        <is>
          <t>Contractor Programme</t>
        </is>
      </c>
      <c r="D749" s="34" t="inlineStr">
        <is>
          <t>SCH-03-114</t>
        </is>
      </c>
      <c r="E749" s="34" t="inlineStr">
        <is>
          <t>East substation: signal equipment installation - installation</t>
        </is>
      </c>
      <c r="F749" s="34" t="inlineStr">
        <is>
          <t>ONE_TO_ONE</t>
        </is>
      </c>
      <c r="G749" s="34" t="inlineStr">
        <is>
          <t>APPROVED</t>
        </is>
      </c>
      <c r="H749" s="34" t="inlineStr">
        <is>
          <t>New</t>
        </is>
      </c>
      <c r="I749" s="34" t="inlineStr">
        <is>
          <t>Source assignment -- not individually reviewed</t>
        </is>
      </c>
      <c r="J749" s="39" t="inlineStr"/>
      <c r="K749" s="34" t="inlineStr">
        <is>
          <t>Source assignment</t>
        </is>
      </c>
      <c r="L749" s="39" t="inlineStr"/>
      <c r="M749" s="34" t="inlineStr">
        <is>
          <t>Initial</t>
        </is>
      </c>
      <c r="N749" s="34" t="inlineStr">
        <is>
          <t>Rev 0</t>
        </is>
      </c>
      <c r="O749" s="34" t="inlineStr">
        <is>
          <t>R474-v1</t>
        </is>
      </c>
      <c r="P749" s="39" t="inlineStr"/>
      <c r="Q749" s="14" t="inlineStr"/>
      <c r="R749" s="39" t="inlineStr"/>
      <c r="S749" s="39" t="inlineStr"/>
      <c r="T749" s="39" t="inlineStr"/>
      <c r="U749" s="39" t="inlineStr"/>
      <c r="V749" s="34" t="inlineStr">
        <is>
          <t>WBS Code = 1.3.2</t>
        </is>
      </c>
      <c r="W749" s="14" t="inlineStr"/>
    </row>
    <row r="750" ht="49" customHeight="1">
      <c r="A750" s="34" t="inlineStr">
        <is>
          <t>1.3.2</t>
        </is>
      </c>
      <c r="B750" s="34" t="inlineStr">
        <is>
          <t>Systems - Signalling &amp; Train Control</t>
        </is>
      </c>
      <c r="C750" s="34" t="inlineStr">
        <is>
          <t>Contractor Programme</t>
        </is>
      </c>
      <c r="D750" s="34" t="inlineStr">
        <is>
          <t>SCH-03-117</t>
        </is>
      </c>
      <c r="E750" s="34" t="inlineStr">
        <is>
          <t>Control Centre: fibre backbone termination - release</t>
        </is>
      </c>
      <c r="F750" s="34" t="inlineStr">
        <is>
          <t>ONE_TO_ONE</t>
        </is>
      </c>
      <c r="G750" s="34" t="inlineStr">
        <is>
          <t>APPROVED</t>
        </is>
      </c>
      <c r="H750" s="34" t="inlineStr">
        <is>
          <t>New</t>
        </is>
      </c>
      <c r="I750" s="34" t="inlineStr">
        <is>
          <t>Source assignment -- not individually reviewed</t>
        </is>
      </c>
      <c r="J750" s="39" t="inlineStr"/>
      <c r="K750" s="34" t="inlineStr">
        <is>
          <t>Source assignment</t>
        </is>
      </c>
      <c r="L750" s="39" t="inlineStr"/>
      <c r="M750" s="34" t="inlineStr">
        <is>
          <t>Initial</t>
        </is>
      </c>
      <c r="N750" s="34" t="inlineStr">
        <is>
          <t>Rev 0</t>
        </is>
      </c>
      <c r="O750" s="34" t="inlineStr">
        <is>
          <t>R477-v1</t>
        </is>
      </c>
      <c r="P750" s="39" t="inlineStr"/>
      <c r="Q750" s="14" t="inlineStr"/>
      <c r="R750" s="39" t="inlineStr"/>
      <c r="S750" s="39" t="inlineStr"/>
      <c r="T750" s="39" t="inlineStr"/>
      <c r="U750" s="39" t="inlineStr"/>
      <c r="V750" s="34" t="inlineStr">
        <is>
          <t>WBS Code = 1.3.2</t>
        </is>
      </c>
      <c r="W750" s="14" t="inlineStr"/>
    </row>
    <row r="751" ht="49" customHeight="1">
      <c r="A751" s="34" t="inlineStr">
        <is>
          <t>1.3.2</t>
        </is>
      </c>
      <c r="B751" s="34" t="inlineStr">
        <is>
          <t>Systems - Signalling &amp; Train Control</t>
        </is>
      </c>
      <c r="C751" s="34" t="inlineStr">
        <is>
          <t>Contractor Programme</t>
        </is>
      </c>
      <c r="D751" s="34" t="inlineStr">
        <is>
          <t>SCH-03-120</t>
        </is>
      </c>
      <c r="E751" s="34" t="inlineStr">
        <is>
          <t>Central interlocking: train-control cabinet fit-out - inspection</t>
        </is>
      </c>
      <c r="F751" s="34" t="inlineStr">
        <is>
          <t>ONE_TO_ONE</t>
        </is>
      </c>
      <c r="G751" s="34" t="inlineStr">
        <is>
          <t>APPROVED</t>
        </is>
      </c>
      <c r="H751" s="34" t="inlineStr">
        <is>
          <t>New</t>
        </is>
      </c>
      <c r="I751" s="34" t="inlineStr">
        <is>
          <t>Source assignment -- not individually reviewed</t>
        </is>
      </c>
      <c r="J751" s="39" t="inlineStr"/>
      <c r="K751" s="34" t="inlineStr">
        <is>
          <t>Source assignment</t>
        </is>
      </c>
      <c r="L751" s="39" t="inlineStr"/>
      <c r="M751" s="34" t="inlineStr">
        <is>
          <t>Initial</t>
        </is>
      </c>
      <c r="N751" s="34" t="inlineStr">
        <is>
          <t>Rev 0</t>
        </is>
      </c>
      <c r="O751" s="34" t="inlineStr">
        <is>
          <t>R480-v1</t>
        </is>
      </c>
      <c r="P751" s="39" t="inlineStr"/>
      <c r="Q751" s="14" t="inlineStr"/>
      <c r="R751" s="39" t="inlineStr"/>
      <c r="S751" s="39" t="inlineStr"/>
      <c r="T751" s="39" t="inlineStr"/>
      <c r="U751" s="39" t="inlineStr"/>
      <c r="V751" s="34" t="inlineStr">
        <is>
          <t>WBS Code = 1.3.2</t>
        </is>
      </c>
      <c r="W751" s="14" t="inlineStr"/>
    </row>
    <row r="752" ht="49" customHeight="1">
      <c r="A752" s="34" t="inlineStr">
        <is>
          <t>1.3.2</t>
        </is>
      </c>
      <c r="B752" s="34" t="inlineStr">
        <is>
          <t>Systems - Signalling &amp; Train Control</t>
        </is>
      </c>
      <c r="C752" s="34" t="inlineStr">
        <is>
          <t>Contractor Programme</t>
        </is>
      </c>
      <c r="D752" s="34" t="inlineStr">
        <is>
          <t>SCH-03-123</t>
        </is>
      </c>
      <c r="E752" s="34" t="inlineStr">
        <is>
          <t>West wayside: radio equipment installation - field start</t>
        </is>
      </c>
      <c r="F752" s="34" t="inlineStr">
        <is>
          <t>ONE_TO_ONE</t>
        </is>
      </c>
      <c r="G752" s="34" t="inlineStr">
        <is>
          <t>APPROVED</t>
        </is>
      </c>
      <c r="H752" s="34" t="inlineStr">
        <is>
          <t>New</t>
        </is>
      </c>
      <c r="I752" s="34" t="inlineStr">
        <is>
          <t>Source assignment -- not individually reviewed</t>
        </is>
      </c>
      <c r="J752" s="39" t="inlineStr"/>
      <c r="K752" s="34" t="inlineStr">
        <is>
          <t>Source assignment</t>
        </is>
      </c>
      <c r="L752" s="39" t="inlineStr"/>
      <c r="M752" s="34" t="inlineStr">
        <is>
          <t>Initial</t>
        </is>
      </c>
      <c r="N752" s="34" t="inlineStr">
        <is>
          <t>Rev 0</t>
        </is>
      </c>
      <c r="O752" s="34" t="inlineStr">
        <is>
          <t>R483-v1</t>
        </is>
      </c>
      <c r="P752" s="39" t="inlineStr"/>
      <c r="Q752" s="14" t="inlineStr"/>
      <c r="R752" s="39" t="inlineStr"/>
      <c r="S752" s="39" t="inlineStr"/>
      <c r="T752" s="39" t="inlineStr"/>
      <c r="U752" s="39" t="inlineStr"/>
      <c r="V752" s="34" t="inlineStr">
        <is>
          <t>WBS Code = 1.3.2</t>
        </is>
      </c>
      <c r="W752" s="14" t="inlineStr"/>
    </row>
    <row r="753" ht="49" customHeight="1">
      <c r="A753" s="34" t="inlineStr">
        <is>
          <t>1.3.2</t>
        </is>
      </c>
      <c r="B753" s="34" t="inlineStr">
        <is>
          <t>Systems - Signalling &amp; Train Control</t>
        </is>
      </c>
      <c r="C753" s="34" t="inlineStr">
        <is>
          <t>Contractor Programme</t>
        </is>
      </c>
      <c r="D753" s="34" t="inlineStr">
        <is>
          <t>SCH-03-126</t>
        </is>
      </c>
      <c r="E753" s="34" t="inlineStr">
        <is>
          <t>Harbour Station: SCADA point-to-point check - turnover</t>
        </is>
      </c>
      <c r="F753" s="34" t="inlineStr">
        <is>
          <t>ONE_TO_ONE</t>
        </is>
      </c>
      <c r="G753" s="34" t="inlineStr">
        <is>
          <t>APPROVED</t>
        </is>
      </c>
      <c r="H753" s="34" t="inlineStr">
        <is>
          <t>New</t>
        </is>
      </c>
      <c r="I753" s="34" t="inlineStr">
        <is>
          <t>Source assignment -- not individually reviewed</t>
        </is>
      </c>
      <c r="J753" s="39" t="inlineStr"/>
      <c r="K753" s="34" t="inlineStr">
        <is>
          <t>Source assignment</t>
        </is>
      </c>
      <c r="L753" s="39" t="inlineStr"/>
      <c r="M753" s="34" t="inlineStr">
        <is>
          <t>Initial</t>
        </is>
      </c>
      <c r="N753" s="34" t="inlineStr">
        <is>
          <t>Rev 0</t>
        </is>
      </c>
      <c r="O753" s="34" t="inlineStr">
        <is>
          <t>R486-v1</t>
        </is>
      </c>
      <c r="P753" s="39" t="inlineStr"/>
      <c r="Q753" s="14" t="inlineStr"/>
      <c r="R753" s="39" t="inlineStr"/>
      <c r="S753" s="39" t="inlineStr"/>
      <c r="T753" s="39" t="inlineStr"/>
      <c r="U753" s="39" t="inlineStr"/>
      <c r="V753" s="34" t="inlineStr">
        <is>
          <t>WBS Code = 1.3.2</t>
        </is>
      </c>
      <c r="W753" s="14" t="inlineStr"/>
    </row>
    <row r="754" ht="49" customHeight="1">
      <c r="A754" s="34" t="inlineStr">
        <is>
          <t>1.3.2</t>
        </is>
      </c>
      <c r="B754" s="34" t="inlineStr">
        <is>
          <t>Systems - Signalling &amp; Train Control</t>
        </is>
      </c>
      <c r="C754" s="34" t="inlineStr">
        <is>
          <t>Contractor Programme</t>
        </is>
      </c>
      <c r="D754" s="34" t="inlineStr">
        <is>
          <t>SCH-03-129</t>
        </is>
      </c>
      <c r="E754" s="34" t="inlineStr">
        <is>
          <t>East substation: wayside interface test - installation</t>
        </is>
      </c>
      <c r="F754" s="34" t="inlineStr">
        <is>
          <t>ONE_TO_ONE</t>
        </is>
      </c>
      <c r="G754" s="34" t="inlineStr">
        <is>
          <t>APPROVED</t>
        </is>
      </c>
      <c r="H754" s="34" t="inlineStr">
        <is>
          <t>New</t>
        </is>
      </c>
      <c r="I754" s="34" t="inlineStr">
        <is>
          <t>Source assignment -- not individually reviewed</t>
        </is>
      </c>
      <c r="J754" s="39" t="inlineStr"/>
      <c r="K754" s="34" t="inlineStr">
        <is>
          <t>Source assignment</t>
        </is>
      </c>
      <c r="L754" s="39" t="inlineStr"/>
      <c r="M754" s="34" t="inlineStr">
        <is>
          <t>Initial</t>
        </is>
      </c>
      <c r="N754" s="34" t="inlineStr">
        <is>
          <t>Rev 0</t>
        </is>
      </c>
      <c r="O754" s="34" t="inlineStr">
        <is>
          <t>R489-v1</t>
        </is>
      </c>
      <c r="P754" s="39" t="inlineStr"/>
      <c r="Q754" s="14" t="inlineStr"/>
      <c r="R754" s="39" t="inlineStr"/>
      <c r="S754" s="39" t="inlineStr"/>
      <c r="T754" s="39" t="inlineStr"/>
      <c r="U754" s="39" t="inlineStr"/>
      <c r="V754" s="34" t="inlineStr">
        <is>
          <t>WBS Code = 1.3.2</t>
        </is>
      </c>
      <c r="W754" s="14" t="inlineStr"/>
    </row>
    <row r="755" ht="49" customHeight="1">
      <c r="A755" s="34" t="inlineStr">
        <is>
          <t>1.3.2</t>
        </is>
      </c>
      <c r="B755" s="34" t="inlineStr">
        <is>
          <t>Systems - Signalling &amp; Train Control</t>
        </is>
      </c>
      <c r="C755" s="34" t="inlineStr">
        <is>
          <t>Contractor Programme</t>
        </is>
      </c>
      <c r="D755" s="34" t="inlineStr">
        <is>
          <t>SCH-03-132</t>
        </is>
      </c>
      <c r="E755" s="34" t="inlineStr">
        <is>
          <t>Control Centre: control-centre integration - release</t>
        </is>
      </c>
      <c r="F755" s="34" t="inlineStr">
        <is>
          <t>ONE_TO_ONE</t>
        </is>
      </c>
      <c r="G755" s="34" t="inlineStr">
        <is>
          <t>APPROVED</t>
        </is>
      </c>
      <c r="H755" s="34" t="inlineStr">
        <is>
          <t>New</t>
        </is>
      </c>
      <c r="I755" s="34" t="inlineStr">
        <is>
          <t>Source assignment -- not individually reviewed</t>
        </is>
      </c>
      <c r="J755" s="39" t="inlineStr"/>
      <c r="K755" s="34" t="inlineStr">
        <is>
          <t>Source assignment</t>
        </is>
      </c>
      <c r="L755" s="39" t="inlineStr"/>
      <c r="M755" s="34" t="inlineStr">
        <is>
          <t>Initial</t>
        </is>
      </c>
      <c r="N755" s="34" t="inlineStr">
        <is>
          <t>Rev 0</t>
        </is>
      </c>
      <c r="O755" s="34" t="inlineStr">
        <is>
          <t>R492-v1</t>
        </is>
      </c>
      <c r="P755" s="39" t="inlineStr"/>
      <c r="Q755" s="14" t="inlineStr"/>
      <c r="R755" s="39" t="inlineStr"/>
      <c r="S755" s="39" t="inlineStr"/>
      <c r="T755" s="39" t="inlineStr"/>
      <c r="U755" s="39" t="inlineStr"/>
      <c r="V755" s="34" t="inlineStr">
        <is>
          <t>WBS Code = 1.3.2</t>
        </is>
      </c>
      <c r="W755" s="14" t="inlineStr"/>
    </row>
    <row r="756" ht="49" customHeight="1">
      <c r="A756" s="34" t="inlineStr">
        <is>
          <t>1.3.2</t>
        </is>
      </c>
      <c r="B756" s="34" t="inlineStr">
        <is>
          <t>Systems - Signalling &amp; Train Control</t>
        </is>
      </c>
      <c r="C756" s="34" t="inlineStr">
        <is>
          <t>Contractor Programme</t>
        </is>
      </c>
      <c r="D756" s="34" t="inlineStr">
        <is>
          <t>SCH-03-135</t>
        </is>
      </c>
      <c r="E756" s="34" t="inlineStr">
        <is>
          <t>Central interlocking: traction-power feeder pull - inspection</t>
        </is>
      </c>
      <c r="F756" s="34" t="inlineStr">
        <is>
          <t>ONE_TO_ONE</t>
        </is>
      </c>
      <c r="G756" s="34" t="inlineStr">
        <is>
          <t>APPROVED</t>
        </is>
      </c>
      <c r="H756" s="34" t="inlineStr">
        <is>
          <t>New</t>
        </is>
      </c>
      <c r="I756" s="34" t="inlineStr">
        <is>
          <t>Source assignment -- not individually reviewed</t>
        </is>
      </c>
      <c r="J756" s="39" t="inlineStr"/>
      <c r="K756" s="34" t="inlineStr">
        <is>
          <t>Source assignment</t>
        </is>
      </c>
      <c r="L756" s="39" t="inlineStr"/>
      <c r="M756" s="34" t="inlineStr">
        <is>
          <t>Initial</t>
        </is>
      </c>
      <c r="N756" s="34" t="inlineStr">
        <is>
          <t>Rev 0</t>
        </is>
      </c>
      <c r="O756" s="34" t="inlineStr">
        <is>
          <t>R495-v1</t>
        </is>
      </c>
      <c r="P756" s="39" t="inlineStr"/>
      <c r="Q756" s="14" t="inlineStr"/>
      <c r="R756" s="39" t="inlineStr"/>
      <c r="S756" s="39" t="inlineStr"/>
      <c r="T756" s="39" t="inlineStr"/>
      <c r="U756" s="39" t="inlineStr"/>
      <c r="V756" s="34" t="inlineStr">
        <is>
          <t>WBS Code = 1.3.2</t>
        </is>
      </c>
      <c r="W756" s="14" t="inlineStr"/>
    </row>
    <row r="757" ht="49" customHeight="1">
      <c r="A757" s="34" t="inlineStr">
        <is>
          <t>1.3.2</t>
        </is>
      </c>
      <c r="B757" s="34" t="inlineStr">
        <is>
          <t>Systems - Signalling &amp; Train Control</t>
        </is>
      </c>
      <c r="C757" s="34" t="inlineStr">
        <is>
          <t>Contractor Programme</t>
        </is>
      </c>
      <c r="D757" s="34" t="inlineStr">
        <is>
          <t>SCH-03-138</t>
        </is>
      </c>
      <c r="E757" s="34" t="inlineStr">
        <is>
          <t>West wayside: signal equipment installation - field start</t>
        </is>
      </c>
      <c r="F757" s="34" t="inlineStr">
        <is>
          <t>ONE_TO_ONE</t>
        </is>
      </c>
      <c r="G757" s="34" t="inlineStr">
        <is>
          <t>APPROVED</t>
        </is>
      </c>
      <c r="H757" s="34" t="inlineStr">
        <is>
          <t>New</t>
        </is>
      </c>
      <c r="I757" s="34" t="inlineStr">
        <is>
          <t>Source assignment -- not individually reviewed</t>
        </is>
      </c>
      <c r="J757" s="39" t="inlineStr"/>
      <c r="K757" s="34" t="inlineStr">
        <is>
          <t>Source assignment</t>
        </is>
      </c>
      <c r="L757" s="39" t="inlineStr"/>
      <c r="M757" s="34" t="inlineStr">
        <is>
          <t>Initial</t>
        </is>
      </c>
      <c r="N757" s="34" t="inlineStr">
        <is>
          <t>Rev 0</t>
        </is>
      </c>
      <c r="O757" s="34" t="inlineStr">
        <is>
          <t>R498-v1</t>
        </is>
      </c>
      <c r="P757" s="39" t="inlineStr"/>
      <c r="Q757" s="14" t="inlineStr"/>
      <c r="R757" s="39" t="inlineStr"/>
      <c r="S757" s="39" t="inlineStr"/>
      <c r="T757" s="39" t="inlineStr"/>
      <c r="U757" s="39" t="inlineStr"/>
      <c r="V757" s="34" t="inlineStr">
        <is>
          <t>WBS Code = 1.3.2</t>
        </is>
      </c>
      <c r="W757" s="14" t="inlineStr"/>
    </row>
    <row r="758" ht="49" customHeight="1">
      <c r="A758" s="34" t="inlineStr">
        <is>
          <t>1.3.2</t>
        </is>
      </c>
      <c r="B758" s="34" t="inlineStr">
        <is>
          <t>Systems - Signalling &amp; Train Control</t>
        </is>
      </c>
      <c r="C758" s="34" t="inlineStr">
        <is>
          <t>Contractor Programme</t>
        </is>
      </c>
      <c r="D758" s="34" t="inlineStr">
        <is>
          <t>SCH-03-141</t>
        </is>
      </c>
      <c r="E758" s="34" t="inlineStr">
        <is>
          <t>Harbour Station: fibre backbone termination - turnover</t>
        </is>
      </c>
      <c r="F758" s="34" t="inlineStr">
        <is>
          <t>ONE_TO_ONE</t>
        </is>
      </c>
      <c r="G758" s="34" t="inlineStr">
        <is>
          <t>APPROVED</t>
        </is>
      </c>
      <c r="H758" s="34" t="inlineStr">
        <is>
          <t>New</t>
        </is>
      </c>
      <c r="I758" s="34" t="inlineStr">
        <is>
          <t>Source assignment -- not individually reviewed</t>
        </is>
      </c>
      <c r="J758" s="39" t="inlineStr"/>
      <c r="K758" s="34" t="inlineStr">
        <is>
          <t>Source assignment</t>
        </is>
      </c>
      <c r="L758" s="39" t="inlineStr"/>
      <c r="M758" s="34" t="inlineStr">
        <is>
          <t>Initial</t>
        </is>
      </c>
      <c r="N758" s="34" t="inlineStr">
        <is>
          <t>Rev 0</t>
        </is>
      </c>
      <c r="O758" s="34" t="inlineStr">
        <is>
          <t>R501-v1</t>
        </is>
      </c>
      <c r="P758" s="39" t="inlineStr"/>
      <c r="Q758" s="14" t="inlineStr"/>
      <c r="R758" s="39" t="inlineStr"/>
      <c r="S758" s="39" t="inlineStr"/>
      <c r="T758" s="39" t="inlineStr"/>
      <c r="U758" s="39" t="inlineStr"/>
      <c r="V758" s="34" t="inlineStr">
        <is>
          <t>WBS Code = 1.3.2</t>
        </is>
      </c>
      <c r="W758" s="14" t="inlineStr"/>
    </row>
    <row r="759" ht="49" customHeight="1">
      <c r="A759" s="34" t="inlineStr">
        <is>
          <t>1.3.2</t>
        </is>
      </c>
      <c r="B759" s="34" t="inlineStr">
        <is>
          <t>Systems - Signalling &amp; Train Control</t>
        </is>
      </c>
      <c r="C759" s="34" t="inlineStr">
        <is>
          <t>Contractor Programme</t>
        </is>
      </c>
      <c r="D759" s="34" t="inlineStr">
        <is>
          <t>SCH-03-144</t>
        </is>
      </c>
      <c r="E759" s="34" t="inlineStr">
        <is>
          <t>East substation: train-control cabinet fit-out - installation</t>
        </is>
      </c>
      <c r="F759" s="34" t="inlineStr">
        <is>
          <t>ONE_TO_ONE</t>
        </is>
      </c>
      <c r="G759" s="34" t="inlineStr">
        <is>
          <t>APPROVED</t>
        </is>
      </c>
      <c r="H759" s="34" t="inlineStr">
        <is>
          <t>New</t>
        </is>
      </c>
      <c r="I759" s="34" t="inlineStr">
        <is>
          <t>Source assignment -- not individually reviewed</t>
        </is>
      </c>
      <c r="J759" s="39" t="inlineStr"/>
      <c r="K759" s="34" t="inlineStr">
        <is>
          <t>Source assignment</t>
        </is>
      </c>
      <c r="L759" s="39" t="inlineStr"/>
      <c r="M759" s="34" t="inlineStr">
        <is>
          <t>Initial</t>
        </is>
      </c>
      <c r="N759" s="34" t="inlineStr">
        <is>
          <t>Rev 0</t>
        </is>
      </c>
      <c r="O759" s="34" t="inlineStr">
        <is>
          <t>R504-v1</t>
        </is>
      </c>
      <c r="P759" s="39" t="inlineStr"/>
      <c r="Q759" s="14" t="inlineStr"/>
      <c r="R759" s="39" t="inlineStr"/>
      <c r="S759" s="39" t="inlineStr"/>
      <c r="T759" s="39" t="inlineStr"/>
      <c r="U759" s="39" t="inlineStr"/>
      <c r="V759" s="34" t="inlineStr">
        <is>
          <t>WBS Code = 1.3.2</t>
        </is>
      </c>
      <c r="W759" s="14" t="inlineStr"/>
    </row>
    <row r="760" ht="49" customHeight="1">
      <c r="A760" s="34" t="inlineStr">
        <is>
          <t>1.3.2</t>
        </is>
      </c>
      <c r="B760" s="34" t="inlineStr">
        <is>
          <t>Systems - Signalling &amp; Train Control</t>
        </is>
      </c>
      <c r="C760" s="34" t="inlineStr">
        <is>
          <t>Contractor Programme</t>
        </is>
      </c>
      <c r="D760" s="34" t="inlineStr">
        <is>
          <t>SCH-03-147</t>
        </is>
      </c>
      <c r="E760" s="34" t="inlineStr">
        <is>
          <t>Control Centre: radio equipment installation - release</t>
        </is>
      </c>
      <c r="F760" s="34" t="inlineStr">
        <is>
          <t>ONE_TO_ONE</t>
        </is>
      </c>
      <c r="G760" s="34" t="inlineStr">
        <is>
          <t>APPROVED</t>
        </is>
      </c>
      <c r="H760" s="34" t="inlineStr">
        <is>
          <t>New</t>
        </is>
      </c>
      <c r="I760" s="34" t="inlineStr">
        <is>
          <t>Source assignment -- not individually reviewed</t>
        </is>
      </c>
      <c r="J760" s="39" t="inlineStr"/>
      <c r="K760" s="34" t="inlineStr">
        <is>
          <t>Source assignment</t>
        </is>
      </c>
      <c r="L760" s="39" t="inlineStr"/>
      <c r="M760" s="34" t="inlineStr">
        <is>
          <t>Initial</t>
        </is>
      </c>
      <c r="N760" s="34" t="inlineStr">
        <is>
          <t>Rev 0</t>
        </is>
      </c>
      <c r="O760" s="34" t="inlineStr">
        <is>
          <t>R507-v1</t>
        </is>
      </c>
      <c r="P760" s="39" t="inlineStr"/>
      <c r="Q760" s="14" t="inlineStr"/>
      <c r="R760" s="39" t="inlineStr"/>
      <c r="S760" s="39" t="inlineStr"/>
      <c r="T760" s="39" t="inlineStr"/>
      <c r="U760" s="39" t="inlineStr"/>
      <c r="V760" s="34" t="inlineStr">
        <is>
          <t>WBS Code = 1.3.2</t>
        </is>
      </c>
      <c r="W760" s="14" t="inlineStr"/>
    </row>
    <row r="761" ht="49" customHeight="1">
      <c r="A761" s="34" t="inlineStr">
        <is>
          <t>1.3.2</t>
        </is>
      </c>
      <c r="B761" s="34" t="inlineStr">
        <is>
          <t>Systems - Signalling &amp; Train Control</t>
        </is>
      </c>
      <c r="C761" s="34" t="inlineStr">
        <is>
          <t>Contractor Programme</t>
        </is>
      </c>
      <c r="D761" s="34" t="inlineStr">
        <is>
          <t>SCH-03-150</t>
        </is>
      </c>
      <c r="E761" s="34" t="inlineStr">
        <is>
          <t>Central interlocking: SCADA point-to-point check - inspection</t>
        </is>
      </c>
      <c r="F761" s="34" t="inlineStr">
        <is>
          <t>ONE_TO_ONE</t>
        </is>
      </c>
      <c r="G761" s="34" t="inlineStr">
        <is>
          <t>APPROVED</t>
        </is>
      </c>
      <c r="H761" s="34" t="inlineStr">
        <is>
          <t>New</t>
        </is>
      </c>
      <c r="I761" s="34" t="inlineStr">
        <is>
          <t>Source assignment -- not individually reviewed</t>
        </is>
      </c>
      <c r="J761" s="39" t="inlineStr"/>
      <c r="K761" s="34" t="inlineStr">
        <is>
          <t>Source assignment</t>
        </is>
      </c>
      <c r="L761" s="39" t="inlineStr"/>
      <c r="M761" s="34" t="inlineStr">
        <is>
          <t>Initial</t>
        </is>
      </c>
      <c r="N761" s="34" t="inlineStr">
        <is>
          <t>Rev 0</t>
        </is>
      </c>
      <c r="O761" s="34" t="inlineStr">
        <is>
          <t>R510-v1</t>
        </is>
      </c>
      <c r="P761" s="39" t="inlineStr"/>
      <c r="Q761" s="14" t="inlineStr"/>
      <c r="R761" s="39" t="inlineStr"/>
      <c r="S761" s="39" t="inlineStr"/>
      <c r="T761" s="39" t="inlineStr"/>
      <c r="U761" s="39" t="inlineStr"/>
      <c r="V761" s="34" t="inlineStr">
        <is>
          <t>WBS Code = 1.3.2</t>
        </is>
      </c>
      <c r="W761" s="14" t="inlineStr"/>
    </row>
    <row r="762" ht="49" customHeight="1">
      <c r="A762" s="34" t="inlineStr">
        <is>
          <t>1.3.2</t>
        </is>
      </c>
      <c r="B762" s="34" t="inlineStr">
        <is>
          <t>Systems - Signalling &amp; Train Control</t>
        </is>
      </c>
      <c r="C762" s="34" t="inlineStr">
        <is>
          <t>Contractor Programme</t>
        </is>
      </c>
      <c r="D762" s="34" t="inlineStr">
        <is>
          <t>SCH-03-153</t>
        </is>
      </c>
      <c r="E762" s="34" t="inlineStr">
        <is>
          <t>West wayside: wayside interface test - field start</t>
        </is>
      </c>
      <c r="F762" s="34" t="inlineStr">
        <is>
          <t>ONE_TO_ONE</t>
        </is>
      </c>
      <c r="G762" s="34" t="inlineStr">
        <is>
          <t>APPROVED</t>
        </is>
      </c>
      <c r="H762" s="34" t="inlineStr">
        <is>
          <t>New</t>
        </is>
      </c>
      <c r="I762" s="34" t="inlineStr">
        <is>
          <t>Source assignment -- not individually reviewed</t>
        </is>
      </c>
      <c r="J762" s="39" t="inlineStr"/>
      <c r="K762" s="34" t="inlineStr">
        <is>
          <t>Source assignment</t>
        </is>
      </c>
      <c r="L762" s="39" t="inlineStr"/>
      <c r="M762" s="34" t="inlineStr">
        <is>
          <t>Initial</t>
        </is>
      </c>
      <c r="N762" s="34" t="inlineStr">
        <is>
          <t>Rev 0</t>
        </is>
      </c>
      <c r="O762" s="34" t="inlineStr">
        <is>
          <t>R513-v1</t>
        </is>
      </c>
      <c r="P762" s="39" t="inlineStr"/>
      <c r="Q762" s="14" t="inlineStr"/>
      <c r="R762" s="39" t="inlineStr"/>
      <c r="S762" s="39" t="inlineStr"/>
      <c r="T762" s="39" t="inlineStr"/>
      <c r="U762" s="39" t="inlineStr"/>
      <c r="V762" s="34" t="inlineStr">
        <is>
          <t>WBS Code = 1.3.2</t>
        </is>
      </c>
      <c r="W762" s="14" t="inlineStr"/>
    </row>
    <row r="763" ht="49" customHeight="1">
      <c r="A763" s="34" t="inlineStr">
        <is>
          <t>1.3.2</t>
        </is>
      </c>
      <c r="B763" s="34" t="inlineStr">
        <is>
          <t>Systems - Signalling &amp; Train Control</t>
        </is>
      </c>
      <c r="C763" s="34" t="inlineStr">
        <is>
          <t>Contractor Programme</t>
        </is>
      </c>
      <c r="D763" s="34" t="inlineStr">
        <is>
          <t>SCH-03-156</t>
        </is>
      </c>
      <c r="E763" s="34" t="inlineStr">
        <is>
          <t>Harbour Station: control-centre integration - turnover</t>
        </is>
      </c>
      <c r="F763" s="34" t="inlineStr">
        <is>
          <t>ONE_TO_ONE</t>
        </is>
      </c>
      <c r="G763" s="34" t="inlineStr">
        <is>
          <t>APPROVED</t>
        </is>
      </c>
      <c r="H763" s="34" t="inlineStr">
        <is>
          <t>New</t>
        </is>
      </c>
      <c r="I763" s="34" t="inlineStr">
        <is>
          <t>Source assignment -- not individually reviewed</t>
        </is>
      </c>
      <c r="J763" s="39" t="inlineStr"/>
      <c r="K763" s="34" t="inlineStr">
        <is>
          <t>Source assignment</t>
        </is>
      </c>
      <c r="L763" s="39" t="inlineStr"/>
      <c r="M763" s="34" t="inlineStr">
        <is>
          <t>Initial</t>
        </is>
      </c>
      <c r="N763" s="34" t="inlineStr">
        <is>
          <t>Rev 0</t>
        </is>
      </c>
      <c r="O763" s="34" t="inlineStr">
        <is>
          <t>R516-v1</t>
        </is>
      </c>
      <c r="P763" s="39" t="inlineStr"/>
      <c r="Q763" s="14" t="inlineStr"/>
      <c r="R763" s="39" t="inlineStr"/>
      <c r="S763" s="39" t="inlineStr"/>
      <c r="T763" s="39" t="inlineStr"/>
      <c r="U763" s="39" t="inlineStr"/>
      <c r="V763" s="34" t="inlineStr">
        <is>
          <t>WBS Code = 1.3.2</t>
        </is>
      </c>
      <c r="W763" s="14" t="inlineStr"/>
    </row>
    <row r="764" ht="49" customHeight="1">
      <c r="A764" s="34" t="inlineStr">
        <is>
          <t>1.3.2</t>
        </is>
      </c>
      <c r="B764" s="34" t="inlineStr">
        <is>
          <t>Systems - Signalling &amp; Train Control</t>
        </is>
      </c>
      <c r="C764" s="34" t="inlineStr">
        <is>
          <t>Contractor Programme</t>
        </is>
      </c>
      <c r="D764" s="34" t="inlineStr">
        <is>
          <t>SCH-03-159</t>
        </is>
      </c>
      <c r="E764" s="34" t="inlineStr">
        <is>
          <t>East substation: traction-power feeder pull - installation</t>
        </is>
      </c>
      <c r="F764" s="34" t="inlineStr">
        <is>
          <t>ONE_TO_ONE</t>
        </is>
      </c>
      <c r="G764" s="34" t="inlineStr">
        <is>
          <t>APPROVED</t>
        </is>
      </c>
      <c r="H764" s="34" t="inlineStr">
        <is>
          <t>New</t>
        </is>
      </c>
      <c r="I764" s="34" t="inlineStr">
        <is>
          <t>Source assignment -- not individually reviewed</t>
        </is>
      </c>
      <c r="J764" s="39" t="inlineStr"/>
      <c r="K764" s="34" t="inlineStr">
        <is>
          <t>Source assignment</t>
        </is>
      </c>
      <c r="L764" s="39" t="inlineStr"/>
      <c r="M764" s="34" t="inlineStr">
        <is>
          <t>Initial</t>
        </is>
      </c>
      <c r="N764" s="34" t="inlineStr">
        <is>
          <t>Rev 0</t>
        </is>
      </c>
      <c r="O764" s="34" t="inlineStr">
        <is>
          <t>R519-v1</t>
        </is>
      </c>
      <c r="P764" s="39" t="inlineStr"/>
      <c r="Q764" s="14" t="inlineStr"/>
      <c r="R764" s="39" t="inlineStr"/>
      <c r="S764" s="39" t="inlineStr"/>
      <c r="T764" s="39" t="inlineStr"/>
      <c r="U764" s="39" t="inlineStr"/>
      <c r="V764" s="34" t="inlineStr">
        <is>
          <t>WBS Code = 1.3.2</t>
        </is>
      </c>
      <c r="W764" s="14" t="inlineStr"/>
    </row>
    <row r="765" ht="49" customHeight="1">
      <c r="A765" s="34" t="inlineStr">
        <is>
          <t>1.3.2</t>
        </is>
      </c>
      <c r="B765" s="34" t="inlineStr">
        <is>
          <t>Systems - Signalling &amp; Train Control</t>
        </is>
      </c>
      <c r="C765" s="34" t="inlineStr">
        <is>
          <t>Contractor Programme</t>
        </is>
      </c>
      <c r="D765" s="34" t="inlineStr">
        <is>
          <t>SCH-03-162</t>
        </is>
      </c>
      <c r="E765" s="34" t="inlineStr">
        <is>
          <t>Control Centre: signal equipment installation - release</t>
        </is>
      </c>
      <c r="F765" s="34" t="inlineStr">
        <is>
          <t>ONE_TO_ONE</t>
        </is>
      </c>
      <c r="G765" s="34" t="inlineStr">
        <is>
          <t>APPROVED</t>
        </is>
      </c>
      <c r="H765" s="34" t="inlineStr">
        <is>
          <t>New</t>
        </is>
      </c>
      <c r="I765" s="34" t="inlineStr">
        <is>
          <t>Source assignment -- not individually reviewed</t>
        </is>
      </c>
      <c r="J765" s="39" t="inlineStr"/>
      <c r="K765" s="34" t="inlineStr">
        <is>
          <t>Source assignment</t>
        </is>
      </c>
      <c r="L765" s="39" t="inlineStr"/>
      <c r="M765" s="34" t="inlineStr">
        <is>
          <t>Initial</t>
        </is>
      </c>
      <c r="N765" s="34" t="inlineStr">
        <is>
          <t>Rev 0</t>
        </is>
      </c>
      <c r="O765" s="34" t="inlineStr">
        <is>
          <t>R522-v1</t>
        </is>
      </c>
      <c r="P765" s="39" t="inlineStr"/>
      <c r="Q765" s="14" t="inlineStr"/>
      <c r="R765" s="39" t="inlineStr"/>
      <c r="S765" s="39" t="inlineStr"/>
      <c r="T765" s="39" t="inlineStr"/>
      <c r="U765" s="39" t="inlineStr"/>
      <c r="V765" s="34" t="inlineStr">
        <is>
          <t>WBS Code = 1.3.2</t>
        </is>
      </c>
      <c r="W765" s="14" t="inlineStr"/>
    </row>
    <row r="766" ht="49" customHeight="1">
      <c r="A766" s="34" t="inlineStr">
        <is>
          <t>1.3.2</t>
        </is>
      </c>
      <c r="B766" s="34" t="inlineStr">
        <is>
          <t>Systems - Signalling &amp; Train Control</t>
        </is>
      </c>
      <c r="C766" s="34" t="inlineStr">
        <is>
          <t>Contractor Programme</t>
        </is>
      </c>
      <c r="D766" s="34" t="inlineStr">
        <is>
          <t>SCH-03-165</t>
        </is>
      </c>
      <c r="E766" s="34" t="inlineStr">
        <is>
          <t>Central interlocking: fibre backbone termination - inspection</t>
        </is>
      </c>
      <c r="F766" s="34" t="inlineStr">
        <is>
          <t>ONE_TO_ONE</t>
        </is>
      </c>
      <c r="G766" s="34" t="inlineStr">
        <is>
          <t>APPROVED</t>
        </is>
      </c>
      <c r="H766" s="34" t="inlineStr">
        <is>
          <t>New</t>
        </is>
      </c>
      <c r="I766" s="34" t="inlineStr">
        <is>
          <t>Source assignment -- not individually reviewed</t>
        </is>
      </c>
      <c r="J766" s="39" t="inlineStr"/>
      <c r="K766" s="34" t="inlineStr">
        <is>
          <t>Source assignment</t>
        </is>
      </c>
      <c r="L766" s="39" t="inlineStr"/>
      <c r="M766" s="34" t="inlineStr">
        <is>
          <t>Initial</t>
        </is>
      </c>
      <c r="N766" s="34" t="inlineStr">
        <is>
          <t>Rev 0</t>
        </is>
      </c>
      <c r="O766" s="34" t="inlineStr">
        <is>
          <t>R525-v1</t>
        </is>
      </c>
      <c r="P766" s="39" t="inlineStr"/>
      <c r="Q766" s="14" t="inlineStr"/>
      <c r="R766" s="39" t="inlineStr"/>
      <c r="S766" s="39" t="inlineStr"/>
      <c r="T766" s="39" t="inlineStr"/>
      <c r="U766" s="39" t="inlineStr"/>
      <c r="V766" s="34" t="inlineStr">
        <is>
          <t>WBS Code = 1.3.2</t>
        </is>
      </c>
      <c r="W766" s="14" t="inlineStr"/>
    </row>
    <row r="767" ht="49" customHeight="1">
      <c r="A767" s="34" t="inlineStr">
        <is>
          <t>1.3.2</t>
        </is>
      </c>
      <c r="B767" s="34" t="inlineStr">
        <is>
          <t>Systems - Signalling &amp; Train Control</t>
        </is>
      </c>
      <c r="C767" s="34" t="inlineStr">
        <is>
          <t>Contractor Programme</t>
        </is>
      </c>
      <c r="D767" s="34" t="inlineStr">
        <is>
          <t>SCH-03-168</t>
        </is>
      </c>
      <c r="E767" s="34" t="inlineStr">
        <is>
          <t>West wayside: train-control cabinet fit-out - field start</t>
        </is>
      </c>
      <c r="F767" s="34" t="inlineStr">
        <is>
          <t>ONE_TO_ONE</t>
        </is>
      </c>
      <c r="G767" s="34" t="inlineStr">
        <is>
          <t>APPROVED</t>
        </is>
      </c>
      <c r="H767" s="34" t="inlineStr">
        <is>
          <t>New</t>
        </is>
      </c>
      <c r="I767" s="34" t="inlineStr">
        <is>
          <t>Source assignment -- not individually reviewed</t>
        </is>
      </c>
      <c r="J767" s="39" t="inlineStr"/>
      <c r="K767" s="34" t="inlineStr">
        <is>
          <t>Source assignment</t>
        </is>
      </c>
      <c r="L767" s="39" t="inlineStr"/>
      <c r="M767" s="34" t="inlineStr">
        <is>
          <t>Initial</t>
        </is>
      </c>
      <c r="N767" s="34" t="inlineStr">
        <is>
          <t>Rev 0</t>
        </is>
      </c>
      <c r="O767" s="34" t="inlineStr">
        <is>
          <t>R528-v1</t>
        </is>
      </c>
      <c r="P767" s="39" t="inlineStr"/>
      <c r="Q767" s="14" t="inlineStr"/>
      <c r="R767" s="39" t="inlineStr"/>
      <c r="S767" s="39" t="inlineStr"/>
      <c r="T767" s="39" t="inlineStr"/>
      <c r="U767" s="39" t="inlineStr"/>
      <c r="V767" s="34" t="inlineStr">
        <is>
          <t>WBS Code = 1.3.2</t>
        </is>
      </c>
      <c r="W767" s="14" t="inlineStr"/>
    </row>
    <row r="768" ht="49" customHeight="1">
      <c r="A768" s="34" t="inlineStr">
        <is>
          <t>1.3.2</t>
        </is>
      </c>
      <c r="B768" s="34" t="inlineStr">
        <is>
          <t>Systems - Signalling &amp; Train Control</t>
        </is>
      </c>
      <c r="C768" s="34" t="inlineStr">
        <is>
          <t>Contractor Programme</t>
        </is>
      </c>
      <c r="D768" s="34" t="inlineStr">
        <is>
          <t>SCH-03-171</t>
        </is>
      </c>
      <c r="E768" s="34" t="inlineStr">
        <is>
          <t>Harbour Station: radio equipment installation - turnover</t>
        </is>
      </c>
      <c r="F768" s="34" t="inlineStr">
        <is>
          <t>ONE_TO_ONE</t>
        </is>
      </c>
      <c r="G768" s="34" t="inlineStr">
        <is>
          <t>APPROVED</t>
        </is>
      </c>
      <c r="H768" s="34" t="inlineStr">
        <is>
          <t>New</t>
        </is>
      </c>
      <c r="I768" s="34" t="inlineStr">
        <is>
          <t>Source assignment -- not individually reviewed</t>
        </is>
      </c>
      <c r="J768" s="39" t="inlineStr"/>
      <c r="K768" s="34" t="inlineStr">
        <is>
          <t>Source assignment</t>
        </is>
      </c>
      <c r="L768" s="39" t="inlineStr"/>
      <c r="M768" s="34" t="inlineStr">
        <is>
          <t>Initial</t>
        </is>
      </c>
      <c r="N768" s="34" t="inlineStr">
        <is>
          <t>Rev 0</t>
        </is>
      </c>
      <c r="O768" s="34" t="inlineStr">
        <is>
          <t>R531-v1</t>
        </is>
      </c>
      <c r="P768" s="39" t="inlineStr"/>
      <c r="Q768" s="14" t="inlineStr"/>
      <c r="R768" s="39" t="inlineStr"/>
      <c r="S768" s="39" t="inlineStr"/>
      <c r="T768" s="39" t="inlineStr"/>
      <c r="U768" s="39" t="inlineStr"/>
      <c r="V768" s="34" t="inlineStr">
        <is>
          <t>WBS Code = 1.3.2</t>
        </is>
      </c>
      <c r="W768" s="14" t="inlineStr"/>
    </row>
    <row r="769" ht="49" customHeight="1">
      <c r="A769" s="34" t="inlineStr">
        <is>
          <t>1.3.2</t>
        </is>
      </c>
      <c r="B769" s="34" t="inlineStr">
        <is>
          <t>Systems - Signalling &amp; Train Control</t>
        </is>
      </c>
      <c r="C769" s="34" t="inlineStr">
        <is>
          <t>Contractor Programme</t>
        </is>
      </c>
      <c r="D769" s="34" t="inlineStr">
        <is>
          <t>SCH-03-174</t>
        </is>
      </c>
      <c r="E769" s="34" t="inlineStr">
        <is>
          <t>East substation: SCADA point-to-point check - installation</t>
        </is>
      </c>
      <c r="F769" s="34" t="inlineStr">
        <is>
          <t>ONE_TO_ONE</t>
        </is>
      </c>
      <c r="G769" s="34" t="inlineStr">
        <is>
          <t>APPROVED</t>
        </is>
      </c>
      <c r="H769" s="34" t="inlineStr">
        <is>
          <t>New</t>
        </is>
      </c>
      <c r="I769" s="34" t="inlineStr">
        <is>
          <t>Source assignment -- not individually reviewed</t>
        </is>
      </c>
      <c r="J769" s="39" t="inlineStr"/>
      <c r="K769" s="34" t="inlineStr">
        <is>
          <t>Source assignment</t>
        </is>
      </c>
      <c r="L769" s="39" t="inlineStr"/>
      <c r="M769" s="34" t="inlineStr">
        <is>
          <t>Initial</t>
        </is>
      </c>
      <c r="N769" s="34" t="inlineStr">
        <is>
          <t>Rev 0</t>
        </is>
      </c>
      <c r="O769" s="34" t="inlineStr">
        <is>
          <t>R534-v1</t>
        </is>
      </c>
      <c r="P769" s="39" t="inlineStr"/>
      <c r="Q769" s="14" t="inlineStr"/>
      <c r="R769" s="39" t="inlineStr"/>
      <c r="S769" s="39" t="inlineStr"/>
      <c r="T769" s="39" t="inlineStr"/>
      <c r="U769" s="39" t="inlineStr"/>
      <c r="V769" s="34" t="inlineStr">
        <is>
          <t>WBS Code = 1.3.2</t>
        </is>
      </c>
      <c r="W769" s="14" t="inlineStr"/>
    </row>
    <row r="770" ht="49" customHeight="1">
      <c r="A770" s="34" t="inlineStr">
        <is>
          <t>1.3.2</t>
        </is>
      </c>
      <c r="B770" s="34" t="inlineStr">
        <is>
          <t>Systems - Signalling &amp; Train Control</t>
        </is>
      </c>
      <c r="C770" s="34" t="inlineStr">
        <is>
          <t>Contractor Programme</t>
        </is>
      </c>
      <c r="D770" s="34" t="inlineStr">
        <is>
          <t>SCH-03-177</t>
        </is>
      </c>
      <c r="E770" s="34" t="inlineStr">
        <is>
          <t>Control Centre: wayside interface test - release</t>
        </is>
      </c>
      <c r="F770" s="34" t="inlineStr">
        <is>
          <t>ONE_TO_ONE</t>
        </is>
      </c>
      <c r="G770" s="34" t="inlineStr">
        <is>
          <t>APPROVED</t>
        </is>
      </c>
      <c r="H770" s="34" t="inlineStr">
        <is>
          <t>New</t>
        </is>
      </c>
      <c r="I770" s="34" t="inlineStr">
        <is>
          <t>Source assignment -- not individually reviewed</t>
        </is>
      </c>
      <c r="J770" s="39" t="inlineStr"/>
      <c r="K770" s="34" t="inlineStr">
        <is>
          <t>Source assignment</t>
        </is>
      </c>
      <c r="L770" s="39" t="inlineStr"/>
      <c r="M770" s="34" t="inlineStr">
        <is>
          <t>Initial</t>
        </is>
      </c>
      <c r="N770" s="34" t="inlineStr">
        <is>
          <t>Rev 0</t>
        </is>
      </c>
      <c r="O770" s="34" t="inlineStr">
        <is>
          <t>R537-v1</t>
        </is>
      </c>
      <c r="P770" s="39" t="inlineStr"/>
      <c r="Q770" s="14" t="inlineStr"/>
      <c r="R770" s="39" t="inlineStr"/>
      <c r="S770" s="39" t="inlineStr"/>
      <c r="T770" s="39" t="inlineStr"/>
      <c r="U770" s="39" t="inlineStr"/>
      <c r="V770" s="34" t="inlineStr">
        <is>
          <t>WBS Code = 1.3.2</t>
        </is>
      </c>
      <c r="W770" s="14" t="inlineStr"/>
    </row>
    <row r="771" ht="49" customHeight="1">
      <c r="A771" s="34" t="inlineStr">
        <is>
          <t>1.3.2</t>
        </is>
      </c>
      <c r="B771" s="34" t="inlineStr">
        <is>
          <t>Systems - Signalling &amp; Train Control</t>
        </is>
      </c>
      <c r="C771" s="34" t="inlineStr">
        <is>
          <t>Contractor Programme</t>
        </is>
      </c>
      <c r="D771" s="34" t="inlineStr">
        <is>
          <t>SCH-03-180</t>
        </is>
      </c>
      <c r="E771" s="34" t="inlineStr">
        <is>
          <t>Central interlocking: control-centre integration - inspection</t>
        </is>
      </c>
      <c r="F771" s="34" t="inlineStr">
        <is>
          <t>ONE_TO_ONE</t>
        </is>
      </c>
      <c r="G771" s="34" t="inlineStr">
        <is>
          <t>APPROVED</t>
        </is>
      </c>
      <c r="H771" s="34" t="inlineStr">
        <is>
          <t>New</t>
        </is>
      </c>
      <c r="I771" s="34" t="inlineStr">
        <is>
          <t>Source assignment -- not individually reviewed</t>
        </is>
      </c>
      <c r="J771" s="39" t="inlineStr"/>
      <c r="K771" s="34" t="inlineStr">
        <is>
          <t>Source assignment</t>
        </is>
      </c>
      <c r="L771" s="39" t="inlineStr"/>
      <c r="M771" s="34" t="inlineStr">
        <is>
          <t>Initial</t>
        </is>
      </c>
      <c r="N771" s="34" t="inlineStr">
        <is>
          <t>Rev 0</t>
        </is>
      </c>
      <c r="O771" s="34" t="inlineStr">
        <is>
          <t>R540-v1</t>
        </is>
      </c>
      <c r="P771" s="39" t="inlineStr"/>
      <c r="Q771" s="14" t="inlineStr"/>
      <c r="R771" s="39" t="inlineStr"/>
      <c r="S771" s="39" t="inlineStr"/>
      <c r="T771" s="39" t="inlineStr"/>
      <c r="U771" s="39" t="inlineStr"/>
      <c r="V771" s="34" t="inlineStr">
        <is>
          <t>WBS Code = 1.3.2</t>
        </is>
      </c>
      <c r="W771" s="14" t="inlineStr"/>
    </row>
    <row r="772" ht="49" customHeight="1">
      <c r="A772" s="34" t="inlineStr">
        <is>
          <t>1.3.2</t>
        </is>
      </c>
      <c r="B772" s="34" t="inlineStr">
        <is>
          <t>Systems - Signalling &amp; Train Control</t>
        </is>
      </c>
      <c r="C772" s="34" t="inlineStr">
        <is>
          <t>Cost &amp; Forecast Control Accounts</t>
        </is>
      </c>
      <c r="D772" s="34" t="inlineStr">
        <is>
          <t>CST-03-002</t>
        </is>
      </c>
      <c r="E772" s="34" t="inlineStr">
        <is>
          <t>Systems - signalling - field package</t>
        </is>
      </c>
      <c r="F772" s="34" t="inlineStr">
        <is>
          <t>ONE_TO_ONE</t>
        </is>
      </c>
      <c r="G772" s="34" t="inlineStr">
        <is>
          <t>APPROVED</t>
        </is>
      </c>
      <c r="H772" s="34" t="inlineStr">
        <is>
          <t>New</t>
        </is>
      </c>
      <c r="I772" s="34" t="inlineStr">
        <is>
          <t>Source assignment -- not individually reviewed</t>
        </is>
      </c>
      <c r="J772" s="39" t="inlineStr"/>
      <c r="K772" s="34" t="inlineStr">
        <is>
          <t>Source assignment</t>
        </is>
      </c>
      <c r="L772" s="39" t="inlineStr"/>
      <c r="M772" s="34" t="inlineStr">
        <is>
          <t>Initial</t>
        </is>
      </c>
      <c r="N772" s="34" t="inlineStr">
        <is>
          <t>Rev 0</t>
        </is>
      </c>
      <c r="O772" s="34" t="inlineStr">
        <is>
          <t>R1244-v1</t>
        </is>
      </c>
      <c r="P772" s="39" t="inlineStr"/>
      <c r="Q772" s="14" t="inlineStr"/>
      <c r="R772" s="39" t="inlineStr"/>
      <c r="S772" s="39" t="inlineStr"/>
      <c r="T772" s="39" t="inlineStr"/>
      <c r="U772" s="39" t="inlineStr"/>
      <c r="V772" s="34" t="inlineStr">
        <is>
          <t>Cost Account = CA-3002; WBS Code = 1.3.2</t>
        </is>
      </c>
      <c r="W772" s="14" t="inlineStr"/>
    </row>
    <row r="773" ht="49" customHeight="1">
      <c r="A773" s="34" t="inlineStr">
        <is>
          <t>1.3.2</t>
        </is>
      </c>
      <c r="B773" s="34" t="inlineStr">
        <is>
          <t>Systems - Signalling &amp; Train Control</t>
        </is>
      </c>
      <c r="C773" s="34" t="inlineStr">
        <is>
          <t>Cost &amp; Forecast Control Accounts</t>
        </is>
      </c>
      <c r="D773" s="34" t="inlineStr">
        <is>
          <t>CST-03-006</t>
        </is>
      </c>
      <c r="E773" s="34" t="inlineStr">
        <is>
          <t>Systems - train control - closeout</t>
        </is>
      </c>
      <c r="F773" s="34" t="inlineStr">
        <is>
          <t>ONE_TO_ONE</t>
        </is>
      </c>
      <c r="G773" s="34" t="inlineStr">
        <is>
          <t>APPROVED</t>
        </is>
      </c>
      <c r="H773" s="34" t="inlineStr">
        <is>
          <t>New</t>
        </is>
      </c>
      <c r="I773" s="34" t="inlineStr">
        <is>
          <t>Source assignment -- not individually reviewed</t>
        </is>
      </c>
      <c r="J773" s="39" t="inlineStr"/>
      <c r="K773" s="34" t="inlineStr">
        <is>
          <t>Source assignment</t>
        </is>
      </c>
      <c r="L773" s="39" t="inlineStr"/>
      <c r="M773" s="34" t="inlineStr">
        <is>
          <t>Initial</t>
        </is>
      </c>
      <c r="N773" s="34" t="inlineStr">
        <is>
          <t>Rev 0</t>
        </is>
      </c>
      <c r="O773" s="34" t="inlineStr">
        <is>
          <t>R1248-v1</t>
        </is>
      </c>
      <c r="P773" s="39" t="inlineStr"/>
      <c r="Q773" s="14" t="inlineStr"/>
      <c r="R773" s="39" t="inlineStr"/>
      <c r="S773" s="39" t="inlineStr"/>
      <c r="T773" s="39" t="inlineStr"/>
      <c r="U773" s="39" t="inlineStr"/>
      <c r="V773" s="34" t="inlineStr">
        <is>
          <t>Cost Account = CA-3006; WBS Code = 1.3.2</t>
        </is>
      </c>
      <c r="W773" s="14" t="inlineStr"/>
    </row>
    <row r="774" ht="49" customHeight="1">
      <c r="A774" s="34" t="inlineStr">
        <is>
          <t>1.3.2</t>
        </is>
      </c>
      <c r="B774" s="34" t="inlineStr">
        <is>
          <t>Systems - Signalling &amp; Train Control</t>
        </is>
      </c>
      <c r="C774" s="34" t="inlineStr">
        <is>
          <t>Cost &amp; Forecast Control Accounts</t>
        </is>
      </c>
      <c r="D774" s="34" t="inlineStr">
        <is>
          <t>CST-03-008</t>
        </is>
      </c>
      <c r="E774" s="34" t="inlineStr">
        <is>
          <t>Systems - signalling - supply and install</t>
        </is>
      </c>
      <c r="F774" s="34" t="inlineStr">
        <is>
          <t>ONE_TO_ONE</t>
        </is>
      </c>
      <c r="G774" s="34" t="inlineStr">
        <is>
          <t>APPROVED</t>
        </is>
      </c>
      <c r="H774" s="34" t="inlineStr">
        <is>
          <t>New</t>
        </is>
      </c>
      <c r="I774" s="34" t="inlineStr">
        <is>
          <t>Source assignment -- not individually reviewed</t>
        </is>
      </c>
      <c r="J774" s="39" t="inlineStr"/>
      <c r="K774" s="34" t="inlineStr">
        <is>
          <t>Source assignment</t>
        </is>
      </c>
      <c r="L774" s="39" t="inlineStr"/>
      <c r="M774" s="34" t="inlineStr">
        <is>
          <t>Initial</t>
        </is>
      </c>
      <c r="N774" s="34" t="inlineStr">
        <is>
          <t>Rev 0</t>
        </is>
      </c>
      <c r="O774" s="34" t="inlineStr">
        <is>
          <t>R1250-v1</t>
        </is>
      </c>
      <c r="P774" s="39" t="inlineStr"/>
      <c r="Q774" s="14" t="inlineStr"/>
      <c r="R774" s="39" t="inlineStr"/>
      <c r="S774" s="39" t="inlineStr"/>
      <c r="T774" s="39" t="inlineStr"/>
      <c r="U774" s="39" t="inlineStr"/>
      <c r="V774" s="34" t="inlineStr">
        <is>
          <t>Cost Account = CA-3008; WBS Code = 1.3.2</t>
        </is>
      </c>
      <c r="W774" s="14" t="inlineStr"/>
    </row>
    <row r="775" ht="49" customHeight="1">
      <c r="A775" s="34" t="inlineStr">
        <is>
          <t>1.3.2</t>
        </is>
      </c>
      <c r="B775" s="34" t="inlineStr">
        <is>
          <t>Systems - Signalling &amp; Train Control</t>
        </is>
      </c>
      <c r="C775" s="34" t="inlineStr">
        <is>
          <t>Cost &amp; Forecast Control Accounts</t>
        </is>
      </c>
      <c r="D775" s="34" t="inlineStr">
        <is>
          <t>CST-03-010</t>
        </is>
      </c>
      <c r="E775" s="34" t="inlineStr">
        <is>
          <t>Systems - systems integration - allowance</t>
        </is>
      </c>
      <c r="F775" s="34" t="inlineStr">
        <is>
          <t>ONE_TO_ONE</t>
        </is>
      </c>
      <c r="G775" s="34" t="inlineStr">
        <is>
          <t>APPROVED</t>
        </is>
      </c>
      <c r="H775" s="34" t="inlineStr">
        <is>
          <t>New</t>
        </is>
      </c>
      <c r="I775" s="34" t="inlineStr">
        <is>
          <t>Source assignment -- not individually reviewed</t>
        </is>
      </c>
      <c r="J775" s="39" t="inlineStr"/>
      <c r="K775" s="34" t="inlineStr">
        <is>
          <t>Source assignment</t>
        </is>
      </c>
      <c r="L775" s="39" t="inlineStr"/>
      <c r="M775" s="34" t="inlineStr">
        <is>
          <t>Initial</t>
        </is>
      </c>
      <c r="N775" s="34" t="inlineStr">
        <is>
          <t>Rev 0</t>
        </is>
      </c>
      <c r="O775" s="34" t="inlineStr">
        <is>
          <t>R1252-v1</t>
        </is>
      </c>
      <c r="P775" s="39" t="inlineStr"/>
      <c r="Q775" s="14" t="inlineStr"/>
      <c r="R775" s="39" t="inlineStr"/>
      <c r="S775" s="39" t="inlineStr"/>
      <c r="T775" s="39" t="inlineStr"/>
      <c r="U775" s="39" t="inlineStr"/>
      <c r="V775" s="34" t="inlineStr">
        <is>
          <t>Cost Account = CA-3010; WBS Code = 1.3.2</t>
        </is>
      </c>
      <c r="W775" s="14" t="inlineStr"/>
    </row>
    <row r="776" ht="49" customHeight="1">
      <c r="A776" s="34" t="inlineStr">
        <is>
          <t>1.3.2</t>
        </is>
      </c>
      <c r="B776" s="34" t="inlineStr">
        <is>
          <t>Systems - Signalling &amp; Train Control</t>
        </is>
      </c>
      <c r="C776" s="34" t="inlineStr">
        <is>
          <t>Cost &amp; Forecast Control Accounts</t>
        </is>
      </c>
      <c r="D776" s="34" t="inlineStr">
        <is>
          <t>CST-03-012</t>
        </is>
      </c>
      <c r="E776" s="34" t="inlineStr">
        <is>
          <t>Systems - train control - field package</t>
        </is>
      </c>
      <c r="F776" s="34" t="inlineStr">
        <is>
          <t>ONE_TO_ONE</t>
        </is>
      </c>
      <c r="G776" s="34" t="inlineStr">
        <is>
          <t>APPROVED</t>
        </is>
      </c>
      <c r="H776" s="34" t="inlineStr">
        <is>
          <t>New</t>
        </is>
      </c>
      <c r="I776" s="34" t="inlineStr">
        <is>
          <t>Source assignment -- not individually reviewed</t>
        </is>
      </c>
      <c r="J776" s="39" t="inlineStr"/>
      <c r="K776" s="34" t="inlineStr">
        <is>
          <t>Source assignment</t>
        </is>
      </c>
      <c r="L776" s="39" t="inlineStr"/>
      <c r="M776" s="34" t="inlineStr">
        <is>
          <t>Initial</t>
        </is>
      </c>
      <c r="N776" s="34" t="inlineStr">
        <is>
          <t>Rev 0</t>
        </is>
      </c>
      <c r="O776" s="34" t="inlineStr">
        <is>
          <t>R1254-v1</t>
        </is>
      </c>
      <c r="P776" s="39" t="inlineStr"/>
      <c r="Q776" s="14" t="inlineStr"/>
      <c r="R776" s="39" t="inlineStr"/>
      <c r="S776" s="39" t="inlineStr"/>
      <c r="T776" s="39" t="inlineStr"/>
      <c r="U776" s="39" t="inlineStr"/>
      <c r="V776" s="34" t="inlineStr">
        <is>
          <t>Cost Account = CA-3012; WBS Code = 1.3.2</t>
        </is>
      </c>
      <c r="W776" s="14" t="inlineStr"/>
    </row>
    <row r="777" ht="49" customHeight="1">
      <c r="A777" s="34" t="inlineStr">
        <is>
          <t>1.3.2</t>
        </is>
      </c>
      <c r="B777" s="34" t="inlineStr">
        <is>
          <t>Systems - Signalling &amp; Train Control</t>
        </is>
      </c>
      <c r="C777" s="34" t="inlineStr">
        <is>
          <t>Cost &amp; Forecast Control Accounts</t>
        </is>
      </c>
      <c r="D777" s="34" t="inlineStr">
        <is>
          <t>CST-03-014</t>
        </is>
      </c>
      <c r="E777" s="34" t="inlineStr">
        <is>
          <t>Systems - signalling - professional services</t>
        </is>
      </c>
      <c r="F777" s="34" t="inlineStr">
        <is>
          <t>ONE_TO_ONE</t>
        </is>
      </c>
      <c r="G777" s="34" t="inlineStr">
        <is>
          <t>APPROVED</t>
        </is>
      </c>
      <c r="H777" s="34" t="inlineStr">
        <is>
          <t>New</t>
        </is>
      </c>
      <c r="I777" s="34" t="inlineStr">
        <is>
          <t>Source assignment -- not individually reviewed</t>
        </is>
      </c>
      <c r="J777" s="39" t="inlineStr"/>
      <c r="K777" s="34" t="inlineStr">
        <is>
          <t>Source assignment</t>
        </is>
      </c>
      <c r="L777" s="39" t="inlineStr"/>
      <c r="M777" s="34" t="inlineStr">
        <is>
          <t>Initial</t>
        </is>
      </c>
      <c r="N777" s="34" t="inlineStr">
        <is>
          <t>Rev 0</t>
        </is>
      </c>
      <c r="O777" s="34" t="inlineStr">
        <is>
          <t>R1256-v1</t>
        </is>
      </c>
      <c r="P777" s="39" t="inlineStr"/>
      <c r="Q777" s="14" t="inlineStr"/>
      <c r="R777" s="39" t="inlineStr"/>
      <c r="S777" s="39" t="inlineStr"/>
      <c r="T777" s="39" t="inlineStr"/>
      <c r="U777" s="39" t="inlineStr"/>
      <c r="V777" s="34" t="inlineStr">
        <is>
          <t>Cost Account = CA-3014; WBS Code = 1.3.2</t>
        </is>
      </c>
      <c r="W777" s="14" t="inlineStr"/>
    </row>
    <row r="778" ht="49" customHeight="1">
      <c r="A778" s="34" t="inlineStr">
        <is>
          <t>1.3.2</t>
        </is>
      </c>
      <c r="B778" s="34" t="inlineStr">
        <is>
          <t>Systems - Signalling &amp; Train Control</t>
        </is>
      </c>
      <c r="C778" s="34" t="inlineStr">
        <is>
          <t>Cost &amp; Forecast Control Accounts</t>
        </is>
      </c>
      <c r="D778" s="34" t="inlineStr">
        <is>
          <t>CST-03-016</t>
        </is>
      </c>
      <c r="E778" s="34" t="inlineStr">
        <is>
          <t>Systems - systems integration - closeout</t>
        </is>
      </c>
      <c r="F778" s="34" t="inlineStr">
        <is>
          <t>ONE_TO_ONE</t>
        </is>
      </c>
      <c r="G778" s="34" t="inlineStr">
        <is>
          <t>APPROVED</t>
        </is>
      </c>
      <c r="H778" s="34" t="inlineStr">
        <is>
          <t>New</t>
        </is>
      </c>
      <c r="I778" s="34" t="inlineStr">
        <is>
          <t>Source assignment -- not individually reviewed</t>
        </is>
      </c>
      <c r="J778" s="39" t="inlineStr"/>
      <c r="K778" s="34" t="inlineStr">
        <is>
          <t>Source assignment</t>
        </is>
      </c>
      <c r="L778" s="39" t="inlineStr"/>
      <c r="M778" s="34" t="inlineStr">
        <is>
          <t>Initial</t>
        </is>
      </c>
      <c r="N778" s="34" t="inlineStr">
        <is>
          <t>Rev 0</t>
        </is>
      </c>
      <c r="O778" s="34" t="inlineStr">
        <is>
          <t>R1258-v1</t>
        </is>
      </c>
      <c r="P778" s="39" t="inlineStr"/>
      <c r="Q778" s="14" t="inlineStr"/>
      <c r="R778" s="39" t="inlineStr"/>
      <c r="S778" s="39" t="inlineStr"/>
      <c r="T778" s="39" t="inlineStr"/>
      <c r="U778" s="39" t="inlineStr"/>
      <c r="V778" s="34" t="inlineStr">
        <is>
          <t>Cost Account = CA-3016; WBS Code = 1.3.2</t>
        </is>
      </c>
      <c r="W778" s="14" t="inlineStr"/>
    </row>
    <row r="779" ht="49" customHeight="1">
      <c r="A779" s="34" t="inlineStr">
        <is>
          <t>1.3.2</t>
        </is>
      </c>
      <c r="B779" s="34" t="inlineStr">
        <is>
          <t>Systems - Signalling &amp; Train Control</t>
        </is>
      </c>
      <c r="C779" s="34" t="inlineStr">
        <is>
          <t>Cost &amp; Forecast Control Accounts</t>
        </is>
      </c>
      <c r="D779" s="34" t="inlineStr">
        <is>
          <t>CST-03-018</t>
        </is>
      </c>
      <c r="E779" s="34" t="inlineStr">
        <is>
          <t>Systems - train control - supply and install</t>
        </is>
      </c>
      <c r="F779" s="34" t="inlineStr">
        <is>
          <t>ONE_TO_ONE</t>
        </is>
      </c>
      <c r="G779" s="34" t="inlineStr">
        <is>
          <t>APPROVED</t>
        </is>
      </c>
      <c r="H779" s="34" t="inlineStr">
        <is>
          <t>New</t>
        </is>
      </c>
      <c r="I779" s="34" t="inlineStr">
        <is>
          <t>Source assignment -- not individually reviewed</t>
        </is>
      </c>
      <c r="J779" s="39" t="inlineStr"/>
      <c r="K779" s="34" t="inlineStr">
        <is>
          <t>Source assignment</t>
        </is>
      </c>
      <c r="L779" s="39" t="inlineStr"/>
      <c r="M779" s="34" t="inlineStr">
        <is>
          <t>Initial</t>
        </is>
      </c>
      <c r="N779" s="34" t="inlineStr">
        <is>
          <t>Rev 0</t>
        </is>
      </c>
      <c r="O779" s="34" t="inlineStr">
        <is>
          <t>R1260-v1</t>
        </is>
      </c>
      <c r="P779" s="39" t="inlineStr"/>
      <c r="Q779" s="14" t="inlineStr"/>
      <c r="R779" s="39" t="inlineStr"/>
      <c r="S779" s="39" t="inlineStr"/>
      <c r="T779" s="39" t="inlineStr"/>
      <c r="U779" s="39" t="inlineStr"/>
      <c r="V779" s="34" t="inlineStr">
        <is>
          <t>Cost Account = CA-3018; WBS Code = 1.3.2</t>
        </is>
      </c>
      <c r="W779" s="14" t="inlineStr"/>
    </row>
    <row r="780" ht="49" customHeight="1">
      <c r="A780" s="34" t="inlineStr">
        <is>
          <t>1.3.2</t>
        </is>
      </c>
      <c r="B780" s="34" t="inlineStr">
        <is>
          <t>Systems - Signalling &amp; Train Control</t>
        </is>
      </c>
      <c r="C780" s="34" t="inlineStr">
        <is>
          <t>Cost &amp; Forecast Control Accounts</t>
        </is>
      </c>
      <c r="D780" s="34" t="inlineStr">
        <is>
          <t>CST-03-020</t>
        </is>
      </c>
      <c r="E780" s="34" t="inlineStr">
        <is>
          <t>Systems - signalling - allowance</t>
        </is>
      </c>
      <c r="F780" s="34" t="inlineStr">
        <is>
          <t>ONE_TO_ONE</t>
        </is>
      </c>
      <c r="G780" s="34" t="inlineStr">
        <is>
          <t>APPROVED</t>
        </is>
      </c>
      <c r="H780" s="34" t="inlineStr">
        <is>
          <t>New</t>
        </is>
      </c>
      <c r="I780" s="34" t="inlineStr">
        <is>
          <t>Source assignment -- not individually reviewed</t>
        </is>
      </c>
      <c r="J780" s="39" t="inlineStr"/>
      <c r="K780" s="34" t="inlineStr">
        <is>
          <t>Source assignment</t>
        </is>
      </c>
      <c r="L780" s="39" t="inlineStr"/>
      <c r="M780" s="34" t="inlineStr">
        <is>
          <t>Initial</t>
        </is>
      </c>
      <c r="N780" s="34" t="inlineStr">
        <is>
          <t>Rev 0</t>
        </is>
      </c>
      <c r="O780" s="34" t="inlineStr">
        <is>
          <t>R1262-v1</t>
        </is>
      </c>
      <c r="P780" s="39" t="inlineStr"/>
      <c r="Q780" s="14" t="inlineStr"/>
      <c r="R780" s="39" t="inlineStr"/>
      <c r="S780" s="39" t="inlineStr"/>
      <c r="T780" s="39" t="inlineStr"/>
      <c r="U780" s="39" t="inlineStr"/>
      <c r="V780" s="34" t="inlineStr">
        <is>
          <t>Cost Account = CA-3020; WBS Code = 1.3.2</t>
        </is>
      </c>
      <c r="W780" s="14" t="inlineStr"/>
    </row>
    <row r="781" ht="49" customHeight="1">
      <c r="A781" s="34" t="inlineStr">
        <is>
          <t>1.3.2</t>
        </is>
      </c>
      <c r="B781" s="34" t="inlineStr">
        <is>
          <t>Systems - Signalling &amp; Train Control</t>
        </is>
      </c>
      <c r="C781" s="34" t="inlineStr">
        <is>
          <t>Cost &amp; Forecast Control Accounts</t>
        </is>
      </c>
      <c r="D781" s="34" t="inlineStr">
        <is>
          <t>CST-03-022</t>
        </is>
      </c>
      <c r="E781" s="34" t="inlineStr">
        <is>
          <t>Systems - systems integration - field package</t>
        </is>
      </c>
      <c r="F781" s="34" t="inlineStr">
        <is>
          <t>ONE_TO_ONE</t>
        </is>
      </c>
      <c r="G781" s="34" t="inlineStr">
        <is>
          <t>APPROVED</t>
        </is>
      </c>
      <c r="H781" s="34" t="inlineStr">
        <is>
          <t>New</t>
        </is>
      </c>
      <c r="I781" s="34" t="inlineStr">
        <is>
          <t>Source assignment -- not individually reviewed</t>
        </is>
      </c>
      <c r="J781" s="39" t="inlineStr"/>
      <c r="K781" s="34" t="inlineStr">
        <is>
          <t>Source assignment</t>
        </is>
      </c>
      <c r="L781" s="39" t="inlineStr"/>
      <c r="M781" s="34" t="inlineStr">
        <is>
          <t>Initial</t>
        </is>
      </c>
      <c r="N781" s="34" t="inlineStr">
        <is>
          <t>Rev 0</t>
        </is>
      </c>
      <c r="O781" s="34" t="inlineStr">
        <is>
          <t>R1264-v1</t>
        </is>
      </c>
      <c r="P781" s="39" t="inlineStr"/>
      <c r="Q781" s="14" t="inlineStr"/>
      <c r="R781" s="39" t="inlineStr"/>
      <c r="S781" s="39" t="inlineStr"/>
      <c r="T781" s="39" t="inlineStr"/>
      <c r="U781" s="39" t="inlineStr"/>
      <c r="V781" s="34" t="inlineStr">
        <is>
          <t>Cost Account = CA-3022; WBS Code = 1.3.2</t>
        </is>
      </c>
      <c r="W781" s="14" t="inlineStr"/>
    </row>
    <row r="782" ht="49" customHeight="1">
      <c r="A782" s="34" t="inlineStr">
        <is>
          <t>1.3.2</t>
        </is>
      </c>
      <c r="B782" s="34" t="inlineStr">
        <is>
          <t>Systems - Signalling &amp; Train Control</t>
        </is>
      </c>
      <c r="C782" s="34" t="inlineStr">
        <is>
          <t>Cost &amp; Forecast Control Accounts</t>
        </is>
      </c>
      <c r="D782" s="34" t="inlineStr">
        <is>
          <t>CST-03-024</t>
        </is>
      </c>
      <c r="E782" s="34" t="inlineStr">
        <is>
          <t>Systems - train control - professional services</t>
        </is>
      </c>
      <c r="F782" s="34" t="inlineStr">
        <is>
          <t>ONE_TO_ONE</t>
        </is>
      </c>
      <c r="G782" s="34" t="inlineStr">
        <is>
          <t>APPROVED</t>
        </is>
      </c>
      <c r="H782" s="34" t="inlineStr">
        <is>
          <t>New</t>
        </is>
      </c>
      <c r="I782" s="34" t="inlineStr">
        <is>
          <t>Source assignment -- not individually reviewed</t>
        </is>
      </c>
      <c r="J782" s="39" t="inlineStr"/>
      <c r="K782" s="34" t="inlineStr">
        <is>
          <t>Source assignment</t>
        </is>
      </c>
      <c r="L782" s="39" t="inlineStr"/>
      <c r="M782" s="34" t="inlineStr">
        <is>
          <t>Initial</t>
        </is>
      </c>
      <c r="N782" s="34" t="inlineStr">
        <is>
          <t>Rev 0</t>
        </is>
      </c>
      <c r="O782" s="34" t="inlineStr">
        <is>
          <t>R1266-v1</t>
        </is>
      </c>
      <c r="P782" s="39" t="inlineStr"/>
      <c r="Q782" s="14" t="inlineStr"/>
      <c r="R782" s="39" t="inlineStr"/>
      <c r="S782" s="39" t="inlineStr"/>
      <c r="T782" s="39" t="inlineStr"/>
      <c r="U782" s="39" t="inlineStr"/>
      <c r="V782" s="34" t="inlineStr">
        <is>
          <t>Cost Account = CA-3024; WBS Code = 1.3.2</t>
        </is>
      </c>
      <c r="W782" s="14" t="inlineStr"/>
    </row>
    <row r="783" ht="49" customHeight="1">
      <c r="A783" s="34" t="inlineStr">
        <is>
          <t>1.3.2</t>
        </is>
      </c>
      <c r="B783" s="34" t="inlineStr">
        <is>
          <t>Systems - Signalling &amp; Train Control</t>
        </is>
      </c>
      <c r="C783" s="34" t="inlineStr">
        <is>
          <t>Cost &amp; Forecast Control Accounts</t>
        </is>
      </c>
      <c r="D783" s="34" t="inlineStr">
        <is>
          <t>CST-03-026</t>
        </is>
      </c>
      <c r="E783" s="34" t="inlineStr">
        <is>
          <t>Systems - signalling - closeout</t>
        </is>
      </c>
      <c r="F783" s="34" t="inlineStr">
        <is>
          <t>ONE_TO_ONE</t>
        </is>
      </c>
      <c r="G783" s="34" t="inlineStr">
        <is>
          <t>APPROVED</t>
        </is>
      </c>
      <c r="H783" s="34" t="inlineStr">
        <is>
          <t>New</t>
        </is>
      </c>
      <c r="I783" s="34" t="inlineStr">
        <is>
          <t>Source assignment -- not individually reviewed</t>
        </is>
      </c>
      <c r="J783" s="39" t="inlineStr"/>
      <c r="K783" s="34" t="inlineStr">
        <is>
          <t>Source assignment</t>
        </is>
      </c>
      <c r="L783" s="39" t="inlineStr"/>
      <c r="M783" s="34" t="inlineStr">
        <is>
          <t>Initial</t>
        </is>
      </c>
      <c r="N783" s="34" t="inlineStr">
        <is>
          <t>Rev 0</t>
        </is>
      </c>
      <c r="O783" s="34" t="inlineStr">
        <is>
          <t>R1268-v1</t>
        </is>
      </c>
      <c r="P783" s="39" t="inlineStr"/>
      <c r="Q783" s="14" t="inlineStr"/>
      <c r="R783" s="39" t="inlineStr"/>
      <c r="S783" s="39" t="inlineStr"/>
      <c r="T783" s="39" t="inlineStr"/>
      <c r="U783" s="39" t="inlineStr"/>
      <c r="V783" s="34" t="inlineStr">
        <is>
          <t>Cost Account = CA-3026; WBS Code = 1.3.2</t>
        </is>
      </c>
      <c r="W783" s="14" t="inlineStr"/>
    </row>
    <row r="784" ht="49" customHeight="1">
      <c r="A784" s="34" t="inlineStr">
        <is>
          <t>1.3.2</t>
        </is>
      </c>
      <c r="B784" s="34" t="inlineStr">
        <is>
          <t>Systems - Signalling &amp; Train Control</t>
        </is>
      </c>
      <c r="C784" s="34" t="inlineStr">
        <is>
          <t>Cost &amp; Forecast Control Accounts</t>
        </is>
      </c>
      <c r="D784" s="34" t="inlineStr">
        <is>
          <t>CST-03-028</t>
        </is>
      </c>
      <c r="E784" s="34" t="inlineStr">
        <is>
          <t>Systems - systems integration - supply and install</t>
        </is>
      </c>
      <c r="F784" s="34" t="inlineStr">
        <is>
          <t>ONE_TO_ONE</t>
        </is>
      </c>
      <c r="G784" s="34" t="inlineStr">
        <is>
          <t>APPROVED</t>
        </is>
      </c>
      <c r="H784" s="34" t="inlineStr">
        <is>
          <t>New</t>
        </is>
      </c>
      <c r="I784" s="34" t="inlineStr">
        <is>
          <t>Source assignment -- not individually reviewed</t>
        </is>
      </c>
      <c r="J784" s="39" t="inlineStr"/>
      <c r="K784" s="34" t="inlineStr">
        <is>
          <t>Source assignment</t>
        </is>
      </c>
      <c r="L784" s="39" t="inlineStr"/>
      <c r="M784" s="34" t="inlineStr">
        <is>
          <t>Initial</t>
        </is>
      </c>
      <c r="N784" s="34" t="inlineStr">
        <is>
          <t>Rev 0</t>
        </is>
      </c>
      <c r="O784" s="34" t="inlineStr">
        <is>
          <t>R1270-v1</t>
        </is>
      </c>
      <c r="P784" s="39" t="inlineStr"/>
      <c r="Q784" s="14" t="inlineStr"/>
      <c r="R784" s="39" t="inlineStr"/>
      <c r="S784" s="39" t="inlineStr"/>
      <c r="T784" s="39" t="inlineStr"/>
      <c r="U784" s="39" t="inlineStr"/>
      <c r="V784" s="34" t="inlineStr">
        <is>
          <t>Cost Account = CA-3028; WBS Code = 1.3.2</t>
        </is>
      </c>
      <c r="W784" s="14" t="inlineStr"/>
    </row>
    <row r="785" ht="49" customHeight="1">
      <c r="A785" s="34" t="inlineStr">
        <is>
          <t>1.3.2</t>
        </is>
      </c>
      <c r="B785" s="34" t="inlineStr">
        <is>
          <t>Systems - Signalling &amp; Train Control</t>
        </is>
      </c>
      <c r="C785" s="34" t="inlineStr">
        <is>
          <t>Cost &amp; Forecast Control Accounts</t>
        </is>
      </c>
      <c r="D785" s="34" t="inlineStr">
        <is>
          <t>CST-03-030</t>
        </is>
      </c>
      <c r="E785" s="34" t="inlineStr">
        <is>
          <t>Systems - train control - allowance</t>
        </is>
      </c>
      <c r="F785" s="34" t="inlineStr">
        <is>
          <t>ONE_TO_ONE</t>
        </is>
      </c>
      <c r="G785" s="34" t="inlineStr">
        <is>
          <t>APPROVED</t>
        </is>
      </c>
      <c r="H785" s="34" t="inlineStr">
        <is>
          <t>New</t>
        </is>
      </c>
      <c r="I785" s="34" t="inlineStr">
        <is>
          <t>Source assignment -- not individually reviewed</t>
        </is>
      </c>
      <c r="J785" s="39" t="inlineStr"/>
      <c r="K785" s="34" t="inlineStr">
        <is>
          <t>Source assignment</t>
        </is>
      </c>
      <c r="L785" s="39" t="inlineStr"/>
      <c r="M785" s="34" t="inlineStr">
        <is>
          <t>Initial</t>
        </is>
      </c>
      <c r="N785" s="34" t="inlineStr">
        <is>
          <t>Rev 0</t>
        </is>
      </c>
      <c r="O785" s="34" t="inlineStr">
        <is>
          <t>R1272-v1</t>
        </is>
      </c>
      <c r="P785" s="39" t="inlineStr"/>
      <c r="Q785" s="14" t="inlineStr"/>
      <c r="R785" s="39" t="inlineStr"/>
      <c r="S785" s="39" t="inlineStr"/>
      <c r="T785" s="39" t="inlineStr"/>
      <c r="U785" s="39" t="inlineStr"/>
      <c r="V785" s="34" t="inlineStr">
        <is>
          <t>Cost Account = CA-3030; WBS Code = 1.3.2</t>
        </is>
      </c>
      <c r="W785" s="14" t="inlineStr"/>
    </row>
    <row r="786" ht="49" customHeight="1">
      <c r="A786" s="34" t="inlineStr">
        <is>
          <t>1.3.2</t>
        </is>
      </c>
      <c r="B786" s="34" t="inlineStr">
        <is>
          <t>Systems - Signalling &amp; Train Control</t>
        </is>
      </c>
      <c r="C786" s="34" t="inlineStr">
        <is>
          <t>Cost &amp; Forecast Control Accounts</t>
        </is>
      </c>
      <c r="D786" s="34" t="inlineStr">
        <is>
          <t>CST-03-032</t>
        </is>
      </c>
      <c r="E786" s="34" t="inlineStr">
        <is>
          <t>Systems - signalling - field package</t>
        </is>
      </c>
      <c r="F786" s="34" t="inlineStr">
        <is>
          <t>ONE_TO_ONE</t>
        </is>
      </c>
      <c r="G786" s="34" t="inlineStr">
        <is>
          <t>APPROVED</t>
        </is>
      </c>
      <c r="H786" s="34" t="inlineStr">
        <is>
          <t>New</t>
        </is>
      </c>
      <c r="I786" s="34" t="inlineStr">
        <is>
          <t>Source assignment -- not individually reviewed</t>
        </is>
      </c>
      <c r="J786" s="39" t="inlineStr"/>
      <c r="K786" s="34" t="inlineStr">
        <is>
          <t>Source assignment</t>
        </is>
      </c>
      <c r="L786" s="39" t="inlineStr"/>
      <c r="M786" s="34" t="inlineStr">
        <is>
          <t>Initial</t>
        </is>
      </c>
      <c r="N786" s="34" t="inlineStr">
        <is>
          <t>Rev 0</t>
        </is>
      </c>
      <c r="O786" s="34" t="inlineStr">
        <is>
          <t>R1274-v1</t>
        </is>
      </c>
      <c r="P786" s="39" t="inlineStr"/>
      <c r="Q786" s="14" t="inlineStr"/>
      <c r="R786" s="39" t="inlineStr"/>
      <c r="S786" s="39" t="inlineStr"/>
      <c r="T786" s="39" t="inlineStr"/>
      <c r="U786" s="39" t="inlineStr"/>
      <c r="V786" s="34" t="inlineStr">
        <is>
          <t>Cost Account = CA-3032; WBS Code = 1.3.2</t>
        </is>
      </c>
      <c r="W786" s="14" t="inlineStr"/>
    </row>
    <row r="787" ht="49" customHeight="1">
      <c r="A787" s="34" t="inlineStr">
        <is>
          <t>1.3.2</t>
        </is>
      </c>
      <c r="B787" s="34" t="inlineStr">
        <is>
          <t>Systems - Signalling &amp; Train Control</t>
        </is>
      </c>
      <c r="C787" s="34" t="inlineStr">
        <is>
          <t>Cost &amp; Forecast Control Accounts</t>
        </is>
      </c>
      <c r="D787" s="34" t="inlineStr">
        <is>
          <t>CST-03-034</t>
        </is>
      </c>
      <c r="E787" s="34" t="inlineStr">
        <is>
          <t>Systems - systems integration - professional services</t>
        </is>
      </c>
      <c r="F787" s="34" t="inlineStr">
        <is>
          <t>ONE_TO_ONE</t>
        </is>
      </c>
      <c r="G787" s="34" t="inlineStr">
        <is>
          <t>APPROVED</t>
        </is>
      </c>
      <c r="H787" s="34" t="inlineStr">
        <is>
          <t>New</t>
        </is>
      </c>
      <c r="I787" s="34" t="inlineStr">
        <is>
          <t>Source assignment -- not individually reviewed</t>
        </is>
      </c>
      <c r="J787" s="39" t="inlineStr"/>
      <c r="K787" s="34" t="inlineStr">
        <is>
          <t>Source assignment</t>
        </is>
      </c>
      <c r="L787" s="39" t="inlineStr"/>
      <c r="M787" s="34" t="inlineStr">
        <is>
          <t>Initial</t>
        </is>
      </c>
      <c r="N787" s="34" t="inlineStr">
        <is>
          <t>Rev 0</t>
        </is>
      </c>
      <c r="O787" s="34" t="inlineStr">
        <is>
          <t>R1276-v1</t>
        </is>
      </c>
      <c r="P787" s="39" t="inlineStr"/>
      <c r="Q787" s="14" t="inlineStr"/>
      <c r="R787" s="39" t="inlineStr"/>
      <c r="S787" s="39" t="inlineStr"/>
      <c r="T787" s="39" t="inlineStr"/>
      <c r="U787" s="39" t="inlineStr"/>
      <c r="V787" s="34" t="inlineStr">
        <is>
          <t>Cost Account = CA-3034; WBS Code = 1.3.2</t>
        </is>
      </c>
      <c r="W787" s="14" t="inlineStr"/>
    </row>
    <row r="788" ht="49" customHeight="1">
      <c r="A788" s="34" t="inlineStr">
        <is>
          <t>1.3.2</t>
        </is>
      </c>
      <c r="B788" s="34" t="inlineStr">
        <is>
          <t>Systems - Signalling &amp; Train Control</t>
        </is>
      </c>
      <c r="C788" s="34" t="inlineStr">
        <is>
          <t>Cost &amp; Forecast Control Accounts</t>
        </is>
      </c>
      <c r="D788" s="34" t="inlineStr">
        <is>
          <t>CST-03-036</t>
        </is>
      </c>
      <c r="E788" s="34" t="inlineStr">
        <is>
          <t>Systems - train control - closeout</t>
        </is>
      </c>
      <c r="F788" s="34" t="inlineStr">
        <is>
          <t>ONE_TO_ONE</t>
        </is>
      </c>
      <c r="G788" s="34" t="inlineStr">
        <is>
          <t>APPROVED</t>
        </is>
      </c>
      <c r="H788" s="34" t="inlineStr">
        <is>
          <t>New</t>
        </is>
      </c>
      <c r="I788" s="34" t="inlineStr">
        <is>
          <t>Source assignment -- not individually reviewed</t>
        </is>
      </c>
      <c r="J788" s="39" t="inlineStr"/>
      <c r="K788" s="34" t="inlineStr">
        <is>
          <t>Source assignment</t>
        </is>
      </c>
      <c r="L788" s="39" t="inlineStr"/>
      <c r="M788" s="34" t="inlineStr">
        <is>
          <t>Initial</t>
        </is>
      </c>
      <c r="N788" s="34" t="inlineStr">
        <is>
          <t>Rev 0</t>
        </is>
      </c>
      <c r="O788" s="34" t="inlineStr">
        <is>
          <t>R1278-v1</t>
        </is>
      </c>
      <c r="P788" s="39" t="inlineStr"/>
      <c r="Q788" s="14" t="inlineStr"/>
      <c r="R788" s="39" t="inlineStr"/>
      <c r="S788" s="39" t="inlineStr"/>
      <c r="T788" s="39" t="inlineStr"/>
      <c r="U788" s="39" t="inlineStr"/>
      <c r="V788" s="34" t="inlineStr">
        <is>
          <t>Cost Account = CA-3036; WBS Code = 1.3.2</t>
        </is>
      </c>
      <c r="W788" s="14" t="inlineStr"/>
    </row>
    <row r="789" ht="49" customHeight="1">
      <c r="A789" s="34" t="inlineStr">
        <is>
          <t>1.3.2</t>
        </is>
      </c>
      <c r="B789" s="34" t="inlineStr">
        <is>
          <t>Systems - Signalling &amp; Train Control</t>
        </is>
      </c>
      <c r="C789" s="34" t="inlineStr">
        <is>
          <t>Cost &amp; Forecast Control Accounts</t>
        </is>
      </c>
      <c r="D789" s="34" t="inlineStr">
        <is>
          <t>CST-03-038</t>
        </is>
      </c>
      <c r="E789" s="34" t="inlineStr">
        <is>
          <t>Systems - signalling - supply and install</t>
        </is>
      </c>
      <c r="F789" s="34" t="inlineStr">
        <is>
          <t>ONE_TO_ONE</t>
        </is>
      </c>
      <c r="G789" s="34" t="inlineStr">
        <is>
          <t>APPROVED</t>
        </is>
      </c>
      <c r="H789" s="34" t="inlineStr">
        <is>
          <t>New</t>
        </is>
      </c>
      <c r="I789" s="34" t="inlineStr">
        <is>
          <t>Source assignment -- not individually reviewed</t>
        </is>
      </c>
      <c r="J789" s="39" t="inlineStr"/>
      <c r="K789" s="34" t="inlineStr">
        <is>
          <t>Source assignment</t>
        </is>
      </c>
      <c r="L789" s="39" t="inlineStr"/>
      <c r="M789" s="34" t="inlineStr">
        <is>
          <t>Initial</t>
        </is>
      </c>
      <c r="N789" s="34" t="inlineStr">
        <is>
          <t>Rev 0</t>
        </is>
      </c>
      <c r="O789" s="34" t="inlineStr">
        <is>
          <t>R1280-v1</t>
        </is>
      </c>
      <c r="P789" s="39" t="inlineStr"/>
      <c r="Q789" s="14" t="inlineStr"/>
      <c r="R789" s="39" t="inlineStr"/>
      <c r="S789" s="39" t="inlineStr"/>
      <c r="T789" s="39" t="inlineStr"/>
      <c r="U789" s="39" t="inlineStr"/>
      <c r="V789" s="34" t="inlineStr">
        <is>
          <t>Cost Account = CA-3038; WBS Code = 1.3.2</t>
        </is>
      </c>
      <c r="W789" s="14" t="inlineStr"/>
    </row>
    <row r="790" ht="49" customHeight="1">
      <c r="A790" s="34" t="inlineStr">
        <is>
          <t>1.3.2</t>
        </is>
      </c>
      <c r="B790" s="34" t="inlineStr">
        <is>
          <t>Systems - Signalling &amp; Train Control</t>
        </is>
      </c>
      <c r="C790" s="34" t="inlineStr">
        <is>
          <t>Cost &amp; Forecast Control Accounts</t>
        </is>
      </c>
      <c r="D790" s="34" t="inlineStr">
        <is>
          <t>CST-03-040</t>
        </is>
      </c>
      <c r="E790" s="34" t="inlineStr">
        <is>
          <t>Systems - systems integration - allowance</t>
        </is>
      </c>
      <c r="F790" s="34" t="inlineStr">
        <is>
          <t>ONE_TO_ONE</t>
        </is>
      </c>
      <c r="G790" s="34" t="inlineStr">
        <is>
          <t>APPROVED</t>
        </is>
      </c>
      <c r="H790" s="34" t="inlineStr">
        <is>
          <t>New</t>
        </is>
      </c>
      <c r="I790" s="34" t="inlineStr">
        <is>
          <t>Source assignment -- not individually reviewed</t>
        </is>
      </c>
      <c r="J790" s="39" t="inlineStr"/>
      <c r="K790" s="34" t="inlineStr">
        <is>
          <t>Source assignment</t>
        </is>
      </c>
      <c r="L790" s="39" t="inlineStr"/>
      <c r="M790" s="34" t="inlineStr">
        <is>
          <t>Initial</t>
        </is>
      </c>
      <c r="N790" s="34" t="inlineStr">
        <is>
          <t>Rev 0</t>
        </is>
      </c>
      <c r="O790" s="34" t="inlineStr">
        <is>
          <t>R1282-v1</t>
        </is>
      </c>
      <c r="P790" s="39" t="inlineStr"/>
      <c r="Q790" s="14" t="inlineStr"/>
      <c r="R790" s="39" t="inlineStr"/>
      <c r="S790" s="39" t="inlineStr"/>
      <c r="T790" s="39" t="inlineStr"/>
      <c r="U790" s="39" t="inlineStr"/>
      <c r="V790" s="34" t="inlineStr">
        <is>
          <t>Cost Account = CA-3040; WBS Code = 1.3.2</t>
        </is>
      </c>
      <c r="W790" s="14" t="inlineStr"/>
    </row>
    <row r="791" ht="49" customHeight="1">
      <c r="A791" s="34" t="inlineStr">
        <is>
          <t>1.3.2</t>
        </is>
      </c>
      <c r="B791" s="34" t="inlineStr">
        <is>
          <t>Systems - Signalling &amp; Train Control</t>
        </is>
      </c>
      <c r="C791" s="34" t="inlineStr">
        <is>
          <t>Cost &amp; Forecast Control Accounts</t>
        </is>
      </c>
      <c r="D791" s="34" t="inlineStr">
        <is>
          <t>CST-03-042</t>
        </is>
      </c>
      <c r="E791" s="34" t="inlineStr">
        <is>
          <t>Systems - train control - field package</t>
        </is>
      </c>
      <c r="F791" s="34" t="inlineStr">
        <is>
          <t>ONE_TO_ONE</t>
        </is>
      </c>
      <c r="G791" s="34" t="inlineStr">
        <is>
          <t>APPROVED</t>
        </is>
      </c>
      <c r="H791" s="34" t="inlineStr">
        <is>
          <t>New</t>
        </is>
      </c>
      <c r="I791" s="34" t="inlineStr">
        <is>
          <t>Source assignment -- not individually reviewed</t>
        </is>
      </c>
      <c r="J791" s="39" t="inlineStr"/>
      <c r="K791" s="34" t="inlineStr">
        <is>
          <t>Source assignment</t>
        </is>
      </c>
      <c r="L791" s="39" t="inlineStr"/>
      <c r="M791" s="34" t="inlineStr">
        <is>
          <t>Initial</t>
        </is>
      </c>
      <c r="N791" s="34" t="inlineStr">
        <is>
          <t>Rev 0</t>
        </is>
      </c>
      <c r="O791" s="34" t="inlineStr">
        <is>
          <t>R1284-v1</t>
        </is>
      </c>
      <c r="P791" s="39" t="inlineStr"/>
      <c r="Q791" s="14" t="inlineStr"/>
      <c r="R791" s="39" t="inlineStr"/>
      <c r="S791" s="39" t="inlineStr"/>
      <c r="T791" s="39" t="inlineStr"/>
      <c r="U791" s="39" t="inlineStr"/>
      <c r="V791" s="34" t="inlineStr">
        <is>
          <t>Cost Account = CA-3042; WBS Code = 1.3.2</t>
        </is>
      </c>
      <c r="W791" s="14" t="inlineStr"/>
    </row>
    <row r="792" ht="49" customHeight="1">
      <c r="A792" s="34" t="inlineStr">
        <is>
          <t>1.3.2</t>
        </is>
      </c>
      <c r="B792" s="34" t="inlineStr">
        <is>
          <t>Systems - Signalling &amp; Train Control</t>
        </is>
      </c>
      <c r="C792" s="34" t="inlineStr">
        <is>
          <t>Cost &amp; Forecast Control Accounts</t>
        </is>
      </c>
      <c r="D792" s="34" t="inlineStr">
        <is>
          <t>CST-03-044</t>
        </is>
      </c>
      <c r="E792" s="34" t="inlineStr">
        <is>
          <t>Systems - signalling - professional services</t>
        </is>
      </c>
      <c r="F792" s="34" t="inlineStr">
        <is>
          <t>ONE_TO_ONE</t>
        </is>
      </c>
      <c r="G792" s="34" t="inlineStr">
        <is>
          <t>APPROVED</t>
        </is>
      </c>
      <c r="H792" s="34" t="inlineStr">
        <is>
          <t>New</t>
        </is>
      </c>
      <c r="I792" s="34" t="inlineStr">
        <is>
          <t>Source assignment -- not individually reviewed</t>
        </is>
      </c>
      <c r="J792" s="39" t="inlineStr"/>
      <c r="K792" s="34" t="inlineStr">
        <is>
          <t>Source assignment</t>
        </is>
      </c>
      <c r="L792" s="39" t="inlineStr"/>
      <c r="M792" s="34" t="inlineStr">
        <is>
          <t>Initial</t>
        </is>
      </c>
      <c r="N792" s="34" t="inlineStr">
        <is>
          <t>Rev 0</t>
        </is>
      </c>
      <c r="O792" s="34" t="inlineStr">
        <is>
          <t>R1286-v1</t>
        </is>
      </c>
      <c r="P792" s="39" t="inlineStr"/>
      <c r="Q792" s="14" t="inlineStr"/>
      <c r="R792" s="39" t="inlineStr"/>
      <c r="S792" s="39" t="inlineStr"/>
      <c r="T792" s="39" t="inlineStr"/>
      <c r="U792" s="39" t="inlineStr"/>
      <c r="V792" s="34" t="inlineStr">
        <is>
          <t>Cost Account = CA-3044; WBS Code = 1.3.2</t>
        </is>
      </c>
      <c r="W792" s="14" t="inlineStr"/>
    </row>
    <row r="793" ht="49" customHeight="1">
      <c r="A793" s="34" t="inlineStr">
        <is>
          <t>1.3.2</t>
        </is>
      </c>
      <c r="B793" s="34" t="inlineStr">
        <is>
          <t>Systems - Signalling &amp; Train Control</t>
        </is>
      </c>
      <c r="C793" s="34" t="inlineStr">
        <is>
          <t>Cost &amp; Forecast Control Accounts</t>
        </is>
      </c>
      <c r="D793" s="34" t="inlineStr">
        <is>
          <t>CST-03-046</t>
        </is>
      </c>
      <c r="E793" s="34" t="inlineStr">
        <is>
          <t>Systems - systems integration - closeout</t>
        </is>
      </c>
      <c r="F793" s="34" t="inlineStr">
        <is>
          <t>ONE_TO_ONE</t>
        </is>
      </c>
      <c r="G793" s="34" t="inlineStr">
        <is>
          <t>APPROVED</t>
        </is>
      </c>
      <c r="H793" s="34" t="inlineStr">
        <is>
          <t>New</t>
        </is>
      </c>
      <c r="I793" s="34" t="inlineStr">
        <is>
          <t>Source assignment -- not individually reviewed</t>
        </is>
      </c>
      <c r="J793" s="39" t="inlineStr"/>
      <c r="K793" s="34" t="inlineStr">
        <is>
          <t>Source assignment</t>
        </is>
      </c>
      <c r="L793" s="39" t="inlineStr"/>
      <c r="M793" s="34" t="inlineStr">
        <is>
          <t>Initial</t>
        </is>
      </c>
      <c r="N793" s="34" t="inlineStr">
        <is>
          <t>Rev 0</t>
        </is>
      </c>
      <c r="O793" s="34" t="inlineStr">
        <is>
          <t>R1288-v1</t>
        </is>
      </c>
      <c r="P793" s="39" t="inlineStr"/>
      <c r="Q793" s="14" t="inlineStr"/>
      <c r="R793" s="39" t="inlineStr"/>
      <c r="S793" s="39" t="inlineStr"/>
      <c r="T793" s="39" t="inlineStr"/>
      <c r="U793" s="39" t="inlineStr"/>
      <c r="V793" s="34" t="inlineStr">
        <is>
          <t>Cost Account = CA-3046; WBS Code = 1.3.2</t>
        </is>
      </c>
      <c r="W793" s="14" t="inlineStr"/>
    </row>
    <row r="794" ht="49" customHeight="1">
      <c r="A794" s="34" t="inlineStr">
        <is>
          <t>1.3.2</t>
        </is>
      </c>
      <c r="B794" s="34" t="inlineStr">
        <is>
          <t>Systems - Signalling &amp; Train Control</t>
        </is>
      </c>
      <c r="C794" s="34" t="inlineStr">
        <is>
          <t>Cost &amp; Forecast Control Accounts</t>
        </is>
      </c>
      <c r="D794" s="34" t="inlineStr">
        <is>
          <t>CST-03-048</t>
        </is>
      </c>
      <c r="E794" s="34" t="inlineStr">
        <is>
          <t>Systems - train control - supply and install</t>
        </is>
      </c>
      <c r="F794" s="34" t="inlineStr">
        <is>
          <t>ONE_TO_ONE</t>
        </is>
      </c>
      <c r="G794" s="34" t="inlineStr">
        <is>
          <t>APPROVED</t>
        </is>
      </c>
      <c r="H794" s="34" t="inlineStr">
        <is>
          <t>New</t>
        </is>
      </c>
      <c r="I794" s="34" t="inlineStr">
        <is>
          <t>Source assignment -- not individually reviewed</t>
        </is>
      </c>
      <c r="J794" s="39" t="inlineStr"/>
      <c r="K794" s="34" t="inlineStr">
        <is>
          <t>Source assignment</t>
        </is>
      </c>
      <c r="L794" s="39" t="inlineStr"/>
      <c r="M794" s="34" t="inlineStr">
        <is>
          <t>Initial</t>
        </is>
      </c>
      <c r="N794" s="34" t="inlineStr">
        <is>
          <t>Rev 0</t>
        </is>
      </c>
      <c r="O794" s="34" t="inlineStr">
        <is>
          <t>R1290-v1</t>
        </is>
      </c>
      <c r="P794" s="39" t="inlineStr"/>
      <c r="Q794" s="14" t="inlineStr"/>
      <c r="R794" s="39" t="inlineStr"/>
      <c r="S794" s="39" t="inlineStr"/>
      <c r="T794" s="39" t="inlineStr"/>
      <c r="U794" s="39" t="inlineStr"/>
      <c r="V794" s="34" t="inlineStr">
        <is>
          <t>Cost Account = CA-3048; WBS Code = 1.3.2</t>
        </is>
      </c>
      <c r="W794" s="14" t="inlineStr"/>
    </row>
    <row r="795" ht="49" customHeight="1">
      <c r="A795" s="34" t="inlineStr">
        <is>
          <t>1.3.2</t>
        </is>
      </c>
      <c r="B795" s="34" t="inlineStr">
        <is>
          <t>Systems - Signalling &amp; Train Control</t>
        </is>
      </c>
      <c r="C795" s="34" t="inlineStr">
        <is>
          <t>Cost &amp; Forecast Control Accounts</t>
        </is>
      </c>
      <c r="D795" s="34" t="inlineStr">
        <is>
          <t>CST-03-050</t>
        </is>
      </c>
      <c r="E795" s="34" t="inlineStr">
        <is>
          <t>Systems - signalling - allowance</t>
        </is>
      </c>
      <c r="F795" s="34" t="inlineStr">
        <is>
          <t>ONE_TO_ONE</t>
        </is>
      </c>
      <c r="G795" s="34" t="inlineStr">
        <is>
          <t>APPROVED</t>
        </is>
      </c>
      <c r="H795" s="34" t="inlineStr">
        <is>
          <t>New</t>
        </is>
      </c>
      <c r="I795" s="34" t="inlineStr">
        <is>
          <t>Source assignment -- not individually reviewed</t>
        </is>
      </c>
      <c r="J795" s="39" t="inlineStr"/>
      <c r="K795" s="34" t="inlineStr">
        <is>
          <t>Source assignment</t>
        </is>
      </c>
      <c r="L795" s="39" t="inlineStr"/>
      <c r="M795" s="34" t="inlineStr">
        <is>
          <t>Initial</t>
        </is>
      </c>
      <c r="N795" s="34" t="inlineStr">
        <is>
          <t>Rev 0</t>
        </is>
      </c>
      <c r="O795" s="34" t="inlineStr">
        <is>
          <t>R1292-v1</t>
        </is>
      </c>
      <c r="P795" s="39" t="inlineStr"/>
      <c r="Q795" s="14" t="inlineStr"/>
      <c r="R795" s="39" t="inlineStr"/>
      <c r="S795" s="39" t="inlineStr"/>
      <c r="T795" s="39" t="inlineStr"/>
      <c r="U795" s="39" t="inlineStr"/>
      <c r="V795" s="34" t="inlineStr">
        <is>
          <t>Cost Account = CA-3050; WBS Code = 1.3.2</t>
        </is>
      </c>
      <c r="W795" s="14" t="inlineStr"/>
    </row>
    <row r="796" ht="49" customHeight="1">
      <c r="A796" s="34" t="inlineStr">
        <is>
          <t>1.3.2</t>
        </is>
      </c>
      <c r="B796" s="34" t="inlineStr">
        <is>
          <t>Systems - Signalling &amp; Train Control</t>
        </is>
      </c>
      <c r="C796" s="34" t="inlineStr">
        <is>
          <t>Cost &amp; Forecast Control Accounts</t>
        </is>
      </c>
      <c r="D796" s="34" t="inlineStr">
        <is>
          <t>CST-03-052</t>
        </is>
      </c>
      <c r="E796" s="34" t="inlineStr">
        <is>
          <t>Systems - systems integration - field package</t>
        </is>
      </c>
      <c r="F796" s="34" t="inlineStr">
        <is>
          <t>ONE_TO_ONE</t>
        </is>
      </c>
      <c r="G796" s="34" t="inlineStr">
        <is>
          <t>APPROVED</t>
        </is>
      </c>
      <c r="H796" s="34" t="inlineStr">
        <is>
          <t>New</t>
        </is>
      </c>
      <c r="I796" s="34" t="inlineStr">
        <is>
          <t>Source assignment -- not individually reviewed</t>
        </is>
      </c>
      <c r="J796" s="39" t="inlineStr"/>
      <c r="K796" s="34" t="inlineStr">
        <is>
          <t>Source assignment</t>
        </is>
      </c>
      <c r="L796" s="39" t="inlineStr"/>
      <c r="M796" s="34" t="inlineStr">
        <is>
          <t>Initial</t>
        </is>
      </c>
      <c r="N796" s="34" t="inlineStr">
        <is>
          <t>Rev 0</t>
        </is>
      </c>
      <c r="O796" s="34" t="inlineStr">
        <is>
          <t>R1294-v1</t>
        </is>
      </c>
      <c r="P796" s="39" t="inlineStr"/>
      <c r="Q796" s="14" t="inlineStr"/>
      <c r="R796" s="39" t="inlineStr"/>
      <c r="S796" s="39" t="inlineStr"/>
      <c r="T796" s="39" t="inlineStr"/>
      <c r="U796" s="39" t="inlineStr"/>
      <c r="V796" s="34" t="inlineStr">
        <is>
          <t>Cost Account = CA-3052; WBS Code = 1.3.2</t>
        </is>
      </c>
      <c r="W796" s="14" t="inlineStr"/>
    </row>
    <row r="797" ht="49" customHeight="1">
      <c r="A797" s="34" t="inlineStr">
        <is>
          <t>1.3.2</t>
        </is>
      </c>
      <c r="B797" s="34" t="inlineStr">
        <is>
          <t>Systems - Signalling &amp; Train Control</t>
        </is>
      </c>
      <c r="C797" s="34" t="inlineStr">
        <is>
          <t>Cost &amp; Forecast Control Accounts</t>
        </is>
      </c>
      <c r="D797" s="34" t="inlineStr">
        <is>
          <t>CST-03-054</t>
        </is>
      </c>
      <c r="E797" s="34" t="inlineStr">
        <is>
          <t>Systems - train control - professional services</t>
        </is>
      </c>
      <c r="F797" s="34" t="inlineStr">
        <is>
          <t>ONE_TO_ONE</t>
        </is>
      </c>
      <c r="G797" s="34" t="inlineStr">
        <is>
          <t>APPROVED</t>
        </is>
      </c>
      <c r="H797" s="34" t="inlineStr">
        <is>
          <t>New</t>
        </is>
      </c>
      <c r="I797" s="34" t="inlineStr">
        <is>
          <t>Source assignment -- not individually reviewed</t>
        </is>
      </c>
      <c r="J797" s="39" t="inlineStr"/>
      <c r="K797" s="34" t="inlineStr">
        <is>
          <t>Source assignment</t>
        </is>
      </c>
      <c r="L797" s="39" t="inlineStr"/>
      <c r="M797" s="34" t="inlineStr">
        <is>
          <t>Initial</t>
        </is>
      </c>
      <c r="N797" s="34" t="inlineStr">
        <is>
          <t>Rev 0</t>
        </is>
      </c>
      <c r="O797" s="34" t="inlineStr">
        <is>
          <t>R1296-v1</t>
        </is>
      </c>
      <c r="P797" s="39" t="inlineStr"/>
      <c r="Q797" s="14" t="inlineStr"/>
      <c r="R797" s="39" t="inlineStr"/>
      <c r="S797" s="39" t="inlineStr"/>
      <c r="T797" s="39" t="inlineStr"/>
      <c r="U797" s="39" t="inlineStr"/>
      <c r="V797" s="34" t="inlineStr">
        <is>
          <t>Cost Account = CA-3054; WBS Code = 1.3.2</t>
        </is>
      </c>
      <c r="W797" s="14" t="inlineStr"/>
    </row>
    <row r="798" ht="49" customHeight="1">
      <c r="A798" s="34" t="inlineStr">
        <is>
          <t>1.3.2</t>
        </is>
      </c>
      <c r="B798" s="34" t="inlineStr">
        <is>
          <t>Systems - Signalling &amp; Train Control</t>
        </is>
      </c>
      <c r="C798" s="34" t="inlineStr">
        <is>
          <t>Cost &amp; Forecast Control Accounts</t>
        </is>
      </c>
      <c r="D798" s="34" t="inlineStr">
        <is>
          <t>CST-03-056</t>
        </is>
      </c>
      <c r="E798" s="34" t="inlineStr">
        <is>
          <t>Systems - signalling - closeout</t>
        </is>
      </c>
      <c r="F798" s="34" t="inlineStr">
        <is>
          <t>ONE_TO_ONE</t>
        </is>
      </c>
      <c r="G798" s="34" t="inlineStr">
        <is>
          <t>APPROVED</t>
        </is>
      </c>
      <c r="H798" s="34" t="inlineStr">
        <is>
          <t>New</t>
        </is>
      </c>
      <c r="I798" s="34" t="inlineStr">
        <is>
          <t>Source assignment -- not individually reviewed</t>
        </is>
      </c>
      <c r="J798" s="39" t="inlineStr"/>
      <c r="K798" s="34" t="inlineStr">
        <is>
          <t>Source assignment</t>
        </is>
      </c>
      <c r="L798" s="39" t="inlineStr"/>
      <c r="M798" s="34" t="inlineStr">
        <is>
          <t>Initial</t>
        </is>
      </c>
      <c r="N798" s="34" t="inlineStr">
        <is>
          <t>Rev 0</t>
        </is>
      </c>
      <c r="O798" s="34" t="inlineStr">
        <is>
          <t>R1298-v1</t>
        </is>
      </c>
      <c r="P798" s="39" t="inlineStr"/>
      <c r="Q798" s="14" t="inlineStr"/>
      <c r="R798" s="39" t="inlineStr"/>
      <c r="S798" s="39" t="inlineStr"/>
      <c r="T798" s="39" t="inlineStr"/>
      <c r="U798" s="39" t="inlineStr"/>
      <c r="V798" s="34" t="inlineStr">
        <is>
          <t>Cost Account = CA-3056; WBS Code = 1.3.2</t>
        </is>
      </c>
      <c r="W798" s="14" t="inlineStr"/>
    </row>
    <row r="799" ht="49" customHeight="1">
      <c r="A799" s="34" t="inlineStr">
        <is>
          <t>1.3.2</t>
        </is>
      </c>
      <c r="B799" s="34" t="inlineStr">
        <is>
          <t>Systems - Signalling &amp; Train Control</t>
        </is>
      </c>
      <c r="C799" s="34" t="inlineStr">
        <is>
          <t>Cost &amp; Forecast Control Accounts</t>
        </is>
      </c>
      <c r="D799" s="34" t="inlineStr">
        <is>
          <t>CST-03-058</t>
        </is>
      </c>
      <c r="E799" s="34" t="inlineStr">
        <is>
          <t>Systems - systems integration - supply and install</t>
        </is>
      </c>
      <c r="F799" s="34" t="inlineStr">
        <is>
          <t>ONE_TO_ONE</t>
        </is>
      </c>
      <c r="G799" s="34" t="inlineStr">
        <is>
          <t>APPROVED</t>
        </is>
      </c>
      <c r="H799" s="34" t="inlineStr">
        <is>
          <t>New</t>
        </is>
      </c>
      <c r="I799" s="34" t="inlineStr">
        <is>
          <t>Source assignment -- not individually reviewed</t>
        </is>
      </c>
      <c r="J799" s="39" t="inlineStr"/>
      <c r="K799" s="34" t="inlineStr">
        <is>
          <t>Source assignment</t>
        </is>
      </c>
      <c r="L799" s="39" t="inlineStr"/>
      <c r="M799" s="34" t="inlineStr">
        <is>
          <t>Initial</t>
        </is>
      </c>
      <c r="N799" s="34" t="inlineStr">
        <is>
          <t>Rev 0</t>
        </is>
      </c>
      <c r="O799" s="34" t="inlineStr">
        <is>
          <t>R1300-v1</t>
        </is>
      </c>
      <c r="P799" s="39" t="inlineStr"/>
      <c r="Q799" s="14" t="inlineStr"/>
      <c r="R799" s="39" t="inlineStr"/>
      <c r="S799" s="39" t="inlineStr"/>
      <c r="T799" s="39" t="inlineStr"/>
      <c r="U799" s="39" t="inlineStr"/>
      <c r="V799" s="34" t="inlineStr">
        <is>
          <t>Cost Account = CA-3058; WBS Code = 1.3.2</t>
        </is>
      </c>
      <c r="W799" s="14" t="inlineStr"/>
    </row>
    <row r="800" ht="49" customHeight="1">
      <c r="A800" s="34" t="inlineStr">
        <is>
          <t>1.3.2</t>
        </is>
      </c>
      <c r="B800" s="34" t="inlineStr">
        <is>
          <t>Systems - Signalling &amp; Train Control</t>
        </is>
      </c>
      <c r="C800" s="34" t="inlineStr">
        <is>
          <t>Cost &amp; Forecast Control Accounts</t>
        </is>
      </c>
      <c r="D800" s="34" t="inlineStr">
        <is>
          <t>CST-03-060</t>
        </is>
      </c>
      <c r="E800" s="34" t="inlineStr">
        <is>
          <t>Systems - train control - allowance</t>
        </is>
      </c>
      <c r="F800" s="34" t="inlineStr">
        <is>
          <t>ONE_TO_ONE</t>
        </is>
      </c>
      <c r="G800" s="34" t="inlineStr">
        <is>
          <t>APPROVED</t>
        </is>
      </c>
      <c r="H800" s="34" t="inlineStr">
        <is>
          <t>New</t>
        </is>
      </c>
      <c r="I800" s="34" t="inlineStr">
        <is>
          <t>Source assignment -- not individually reviewed</t>
        </is>
      </c>
      <c r="J800" s="39" t="inlineStr"/>
      <c r="K800" s="34" t="inlineStr">
        <is>
          <t>Source assignment</t>
        </is>
      </c>
      <c r="L800" s="39" t="inlineStr"/>
      <c r="M800" s="34" t="inlineStr">
        <is>
          <t>Initial</t>
        </is>
      </c>
      <c r="N800" s="34" t="inlineStr">
        <is>
          <t>Rev 0</t>
        </is>
      </c>
      <c r="O800" s="34" t="inlineStr">
        <is>
          <t>R1302-v1</t>
        </is>
      </c>
      <c r="P800" s="39" t="inlineStr"/>
      <c r="Q800" s="14" t="inlineStr"/>
      <c r="R800" s="39" t="inlineStr"/>
      <c r="S800" s="39" t="inlineStr"/>
      <c r="T800" s="39" t="inlineStr"/>
      <c r="U800" s="39" t="inlineStr"/>
      <c r="V800" s="34" t="inlineStr">
        <is>
          <t>Cost Account = CA-3060; WBS Code = 1.3.2</t>
        </is>
      </c>
      <c r="W800" s="14" t="inlineStr"/>
    </row>
    <row r="801" ht="49" customHeight="1">
      <c r="A801" s="34" t="inlineStr">
        <is>
          <t>1.3.2</t>
        </is>
      </c>
      <c r="B801" s="34" t="inlineStr">
        <is>
          <t>Systems - Signalling &amp; Train Control</t>
        </is>
      </c>
      <c r="C801" s="34" t="inlineStr">
        <is>
          <t>Cost &amp; Forecast Control Accounts</t>
        </is>
      </c>
      <c r="D801" s="34" t="inlineStr">
        <is>
          <t>CST-03-062</t>
        </is>
      </c>
      <c r="E801" s="34" t="inlineStr">
        <is>
          <t>Systems - signalling - field package</t>
        </is>
      </c>
      <c r="F801" s="34" t="inlineStr">
        <is>
          <t>ONE_TO_ONE</t>
        </is>
      </c>
      <c r="G801" s="34" t="inlineStr">
        <is>
          <t>APPROVED</t>
        </is>
      </c>
      <c r="H801" s="34" t="inlineStr">
        <is>
          <t>New</t>
        </is>
      </c>
      <c r="I801" s="34" t="inlineStr">
        <is>
          <t>Source assignment -- not individually reviewed</t>
        </is>
      </c>
      <c r="J801" s="39" t="inlineStr"/>
      <c r="K801" s="34" t="inlineStr">
        <is>
          <t>Source assignment</t>
        </is>
      </c>
      <c r="L801" s="39" t="inlineStr"/>
      <c r="M801" s="34" t="inlineStr">
        <is>
          <t>Initial</t>
        </is>
      </c>
      <c r="N801" s="34" t="inlineStr">
        <is>
          <t>Rev 0</t>
        </is>
      </c>
      <c r="O801" s="34" t="inlineStr">
        <is>
          <t>R1304-v1</t>
        </is>
      </c>
      <c r="P801" s="39" t="inlineStr"/>
      <c r="Q801" s="14" t="inlineStr"/>
      <c r="R801" s="39" t="inlineStr"/>
      <c r="S801" s="39" t="inlineStr"/>
      <c r="T801" s="39" t="inlineStr"/>
      <c r="U801" s="39" t="inlineStr"/>
      <c r="V801" s="34" t="inlineStr">
        <is>
          <t>Cost Account = CA-3062; WBS Code = 1.3.2</t>
        </is>
      </c>
      <c r="W801" s="14" t="inlineStr"/>
    </row>
    <row r="802" ht="49" customHeight="1">
      <c r="A802" s="34" t="inlineStr">
        <is>
          <t>1.3.2</t>
        </is>
      </c>
      <c r="B802" s="34" t="inlineStr">
        <is>
          <t>Systems - Signalling &amp; Train Control</t>
        </is>
      </c>
      <c r="C802" s="34" t="inlineStr">
        <is>
          <t>Cost &amp; Forecast Control Accounts</t>
        </is>
      </c>
      <c r="D802" s="34" t="inlineStr">
        <is>
          <t>CST-03-064</t>
        </is>
      </c>
      <c r="E802" s="34" t="inlineStr">
        <is>
          <t>Systems - systems integration - professional services</t>
        </is>
      </c>
      <c r="F802" s="34" t="inlineStr">
        <is>
          <t>ONE_TO_ONE</t>
        </is>
      </c>
      <c r="G802" s="34" t="inlineStr">
        <is>
          <t>APPROVED</t>
        </is>
      </c>
      <c r="H802" s="34" t="inlineStr">
        <is>
          <t>New</t>
        </is>
      </c>
      <c r="I802" s="34" t="inlineStr">
        <is>
          <t>Source assignment -- not individually reviewed</t>
        </is>
      </c>
      <c r="J802" s="39" t="inlineStr"/>
      <c r="K802" s="34" t="inlineStr">
        <is>
          <t>Source assignment</t>
        </is>
      </c>
      <c r="L802" s="39" t="inlineStr"/>
      <c r="M802" s="34" t="inlineStr">
        <is>
          <t>Initial</t>
        </is>
      </c>
      <c r="N802" s="34" t="inlineStr">
        <is>
          <t>Rev 0</t>
        </is>
      </c>
      <c r="O802" s="34" t="inlineStr">
        <is>
          <t>R1306-v1</t>
        </is>
      </c>
      <c r="P802" s="39" t="inlineStr"/>
      <c r="Q802" s="14" t="inlineStr"/>
      <c r="R802" s="39" t="inlineStr"/>
      <c r="S802" s="39" t="inlineStr"/>
      <c r="T802" s="39" t="inlineStr"/>
      <c r="U802" s="39" t="inlineStr"/>
      <c r="V802" s="34" t="inlineStr">
        <is>
          <t>Cost Account = CA-3064; WBS Code = 1.3.2</t>
        </is>
      </c>
      <c r="W802" s="14" t="inlineStr"/>
    </row>
    <row r="803" ht="49" customHeight="1">
      <c r="A803" s="34" t="inlineStr">
        <is>
          <t>1.3.2</t>
        </is>
      </c>
      <c r="B803" s="34" t="inlineStr">
        <is>
          <t>Systems - Signalling &amp; Train Control</t>
        </is>
      </c>
      <c r="C803" s="34" t="inlineStr">
        <is>
          <t>Cost &amp; Forecast Control Accounts</t>
        </is>
      </c>
      <c r="D803" s="34" t="inlineStr">
        <is>
          <t>CST-03-066</t>
        </is>
      </c>
      <c r="E803" s="34" t="inlineStr">
        <is>
          <t>Systems - train control - closeout</t>
        </is>
      </c>
      <c r="F803" s="34" t="inlineStr">
        <is>
          <t>ONE_TO_ONE</t>
        </is>
      </c>
      <c r="G803" s="34" t="inlineStr">
        <is>
          <t>APPROVED</t>
        </is>
      </c>
      <c r="H803" s="34" t="inlineStr">
        <is>
          <t>New</t>
        </is>
      </c>
      <c r="I803" s="34" t="inlineStr">
        <is>
          <t>Source assignment -- not individually reviewed</t>
        </is>
      </c>
      <c r="J803" s="39" t="inlineStr"/>
      <c r="K803" s="34" t="inlineStr">
        <is>
          <t>Source assignment</t>
        </is>
      </c>
      <c r="L803" s="39" t="inlineStr"/>
      <c r="M803" s="34" t="inlineStr">
        <is>
          <t>Initial</t>
        </is>
      </c>
      <c r="N803" s="34" t="inlineStr">
        <is>
          <t>Rev 0</t>
        </is>
      </c>
      <c r="O803" s="34" t="inlineStr">
        <is>
          <t>R1308-v1</t>
        </is>
      </c>
      <c r="P803" s="39" t="inlineStr"/>
      <c r="Q803" s="14" t="inlineStr"/>
      <c r="R803" s="39" t="inlineStr"/>
      <c r="S803" s="39" t="inlineStr"/>
      <c r="T803" s="39" t="inlineStr"/>
      <c r="U803" s="39" t="inlineStr"/>
      <c r="V803" s="34" t="inlineStr">
        <is>
          <t>Cost Account = CA-3066; WBS Code = 1.3.2</t>
        </is>
      </c>
      <c r="W803" s="14" t="inlineStr"/>
    </row>
    <row r="804" ht="49" customHeight="1">
      <c r="A804" s="34" t="inlineStr">
        <is>
          <t>1.3.2</t>
        </is>
      </c>
      <c r="B804" s="34" t="inlineStr">
        <is>
          <t>Systems - Signalling &amp; Train Control</t>
        </is>
      </c>
      <c r="C804" s="34" t="inlineStr">
        <is>
          <t>Cost &amp; Forecast Control Accounts</t>
        </is>
      </c>
      <c r="D804" s="34" t="inlineStr">
        <is>
          <t>CST-03-068</t>
        </is>
      </c>
      <c r="E804" s="34" t="inlineStr">
        <is>
          <t>Systems - signalling - supply and install</t>
        </is>
      </c>
      <c r="F804" s="34" t="inlineStr">
        <is>
          <t>ONE_TO_ONE</t>
        </is>
      </c>
      <c r="G804" s="34" t="inlineStr">
        <is>
          <t>APPROVED</t>
        </is>
      </c>
      <c r="H804" s="34" t="inlineStr">
        <is>
          <t>New</t>
        </is>
      </c>
      <c r="I804" s="34" t="inlineStr">
        <is>
          <t>Source assignment -- not individually reviewed</t>
        </is>
      </c>
      <c r="J804" s="39" t="inlineStr"/>
      <c r="K804" s="34" t="inlineStr">
        <is>
          <t>Source assignment</t>
        </is>
      </c>
      <c r="L804" s="39" t="inlineStr"/>
      <c r="M804" s="34" t="inlineStr">
        <is>
          <t>Initial</t>
        </is>
      </c>
      <c r="N804" s="34" t="inlineStr">
        <is>
          <t>Rev 0</t>
        </is>
      </c>
      <c r="O804" s="34" t="inlineStr">
        <is>
          <t>R1310-v1</t>
        </is>
      </c>
      <c r="P804" s="39" t="inlineStr"/>
      <c r="Q804" s="14" t="inlineStr"/>
      <c r="R804" s="39" t="inlineStr"/>
      <c r="S804" s="39" t="inlineStr"/>
      <c r="T804" s="39" t="inlineStr"/>
      <c r="U804" s="39" t="inlineStr"/>
      <c r="V804" s="34" t="inlineStr">
        <is>
          <t>Cost Account = CA-3068; WBS Code = 1.3.2</t>
        </is>
      </c>
      <c r="W804" s="14" t="inlineStr"/>
    </row>
    <row r="805" ht="49" customHeight="1">
      <c r="A805" s="34" t="inlineStr">
        <is>
          <t>1.3.2</t>
        </is>
      </c>
      <c r="B805" s="34" t="inlineStr">
        <is>
          <t>Systems - Signalling &amp; Train Control</t>
        </is>
      </c>
      <c r="C805" s="34" t="inlineStr">
        <is>
          <t>Cost &amp; Forecast Control Accounts</t>
        </is>
      </c>
      <c r="D805" s="34" t="inlineStr">
        <is>
          <t>CST-03-070</t>
        </is>
      </c>
      <c r="E805" s="34" t="inlineStr">
        <is>
          <t>Systems - systems integration - allowance</t>
        </is>
      </c>
      <c r="F805" s="34" t="inlineStr">
        <is>
          <t>ONE_TO_ONE</t>
        </is>
      </c>
      <c r="G805" s="34" t="inlineStr">
        <is>
          <t>APPROVED</t>
        </is>
      </c>
      <c r="H805" s="34" t="inlineStr">
        <is>
          <t>New</t>
        </is>
      </c>
      <c r="I805" s="34" t="inlineStr">
        <is>
          <t>Source assignment -- not individually reviewed</t>
        </is>
      </c>
      <c r="J805" s="39" t="inlineStr"/>
      <c r="K805" s="34" t="inlineStr">
        <is>
          <t>Source assignment</t>
        </is>
      </c>
      <c r="L805" s="39" t="inlineStr"/>
      <c r="M805" s="34" t="inlineStr">
        <is>
          <t>Initial</t>
        </is>
      </c>
      <c r="N805" s="34" t="inlineStr">
        <is>
          <t>Rev 0</t>
        </is>
      </c>
      <c r="O805" s="34" t="inlineStr">
        <is>
          <t>R1312-v1</t>
        </is>
      </c>
      <c r="P805" s="39" t="inlineStr"/>
      <c r="Q805" s="14" t="inlineStr"/>
      <c r="R805" s="39" t="inlineStr"/>
      <c r="S805" s="39" t="inlineStr"/>
      <c r="T805" s="39" t="inlineStr"/>
      <c r="U805" s="39" t="inlineStr"/>
      <c r="V805" s="34" t="inlineStr">
        <is>
          <t>Cost Account = CA-3070; WBS Code = 1.3.2</t>
        </is>
      </c>
      <c r="W805" s="14" t="inlineStr"/>
    </row>
    <row r="806" ht="49" customHeight="1">
      <c r="A806" s="34" t="inlineStr">
        <is>
          <t>1.3.2</t>
        </is>
      </c>
      <c r="B806" s="34" t="inlineStr">
        <is>
          <t>Systems - Signalling &amp; Train Control</t>
        </is>
      </c>
      <c r="C806" s="34" t="inlineStr">
        <is>
          <t>Cost &amp; Forecast Control Accounts</t>
        </is>
      </c>
      <c r="D806" s="34" t="inlineStr">
        <is>
          <t>CST-03-072</t>
        </is>
      </c>
      <c r="E806" s="34" t="inlineStr">
        <is>
          <t>Systems - train control - field package</t>
        </is>
      </c>
      <c r="F806" s="34" t="inlineStr">
        <is>
          <t>ONE_TO_ONE</t>
        </is>
      </c>
      <c r="G806" s="34" t="inlineStr">
        <is>
          <t>APPROVED</t>
        </is>
      </c>
      <c r="H806" s="34" t="inlineStr">
        <is>
          <t>New</t>
        </is>
      </c>
      <c r="I806" s="34" t="inlineStr">
        <is>
          <t>Source assignment -- not individually reviewed</t>
        </is>
      </c>
      <c r="J806" s="39" t="inlineStr"/>
      <c r="K806" s="34" t="inlineStr">
        <is>
          <t>Source assignment</t>
        </is>
      </c>
      <c r="L806" s="39" t="inlineStr"/>
      <c r="M806" s="34" t="inlineStr">
        <is>
          <t>Initial</t>
        </is>
      </c>
      <c r="N806" s="34" t="inlineStr">
        <is>
          <t>Rev 0</t>
        </is>
      </c>
      <c r="O806" s="34" t="inlineStr">
        <is>
          <t>R1314-v1</t>
        </is>
      </c>
      <c r="P806" s="39" t="inlineStr"/>
      <c r="Q806" s="14" t="inlineStr"/>
      <c r="R806" s="39" t="inlineStr"/>
      <c r="S806" s="39" t="inlineStr"/>
      <c r="T806" s="39" t="inlineStr"/>
      <c r="U806" s="39" t="inlineStr"/>
      <c r="V806" s="34" t="inlineStr">
        <is>
          <t>Cost Account = CA-3072; WBS Code = 1.3.2</t>
        </is>
      </c>
      <c r="W806" s="14" t="inlineStr"/>
    </row>
    <row r="807" ht="49" customHeight="1">
      <c r="A807" s="34" t="inlineStr">
        <is>
          <t>1.3.2</t>
        </is>
      </c>
      <c r="B807" s="34" t="inlineStr">
        <is>
          <t>Systems - Signalling &amp; Train Control</t>
        </is>
      </c>
      <c r="C807" s="34" t="inlineStr">
        <is>
          <t>Cost &amp; Forecast Control Accounts</t>
        </is>
      </c>
      <c r="D807" s="34" t="inlineStr">
        <is>
          <t>CST-03-074</t>
        </is>
      </c>
      <c r="E807" s="34" t="inlineStr">
        <is>
          <t>Systems - signalling - professional services</t>
        </is>
      </c>
      <c r="F807" s="34" t="inlineStr">
        <is>
          <t>ONE_TO_ONE</t>
        </is>
      </c>
      <c r="G807" s="34" t="inlineStr">
        <is>
          <t>APPROVED</t>
        </is>
      </c>
      <c r="H807" s="34" t="inlineStr">
        <is>
          <t>New</t>
        </is>
      </c>
      <c r="I807" s="34" t="inlineStr">
        <is>
          <t>Source assignment -- not individually reviewed</t>
        </is>
      </c>
      <c r="J807" s="39" t="inlineStr"/>
      <c r="K807" s="34" t="inlineStr">
        <is>
          <t>Source assignment</t>
        </is>
      </c>
      <c r="L807" s="39" t="inlineStr"/>
      <c r="M807" s="34" t="inlineStr">
        <is>
          <t>Initial</t>
        </is>
      </c>
      <c r="N807" s="34" t="inlineStr">
        <is>
          <t>Rev 0</t>
        </is>
      </c>
      <c r="O807" s="34" t="inlineStr">
        <is>
          <t>R1316-v1</t>
        </is>
      </c>
      <c r="P807" s="39" t="inlineStr"/>
      <c r="Q807" s="14" t="inlineStr"/>
      <c r="R807" s="39" t="inlineStr"/>
      <c r="S807" s="39" t="inlineStr"/>
      <c r="T807" s="39" t="inlineStr"/>
      <c r="U807" s="39" t="inlineStr"/>
      <c r="V807" s="34" t="inlineStr">
        <is>
          <t>Cost Account = CA-3074; WBS Code = 1.3.2</t>
        </is>
      </c>
      <c r="W807" s="14" t="inlineStr"/>
    </row>
    <row r="808" ht="49" customHeight="1">
      <c r="A808" s="34" t="inlineStr">
        <is>
          <t>1.3.2</t>
        </is>
      </c>
      <c r="B808" s="34" t="inlineStr">
        <is>
          <t>Systems - Signalling &amp; Train Control</t>
        </is>
      </c>
      <c r="C808" s="34" t="inlineStr">
        <is>
          <t>Cost &amp; Forecast Control Accounts</t>
        </is>
      </c>
      <c r="D808" s="34" t="inlineStr">
        <is>
          <t>CST-03-076</t>
        </is>
      </c>
      <c r="E808" s="34" t="inlineStr">
        <is>
          <t>Systems - systems integration - closeout</t>
        </is>
      </c>
      <c r="F808" s="34" t="inlineStr">
        <is>
          <t>ONE_TO_ONE</t>
        </is>
      </c>
      <c r="G808" s="34" t="inlineStr">
        <is>
          <t>APPROVED</t>
        </is>
      </c>
      <c r="H808" s="34" t="inlineStr">
        <is>
          <t>New</t>
        </is>
      </c>
      <c r="I808" s="34" t="inlineStr">
        <is>
          <t>Source assignment -- not individually reviewed</t>
        </is>
      </c>
      <c r="J808" s="39" t="inlineStr"/>
      <c r="K808" s="34" t="inlineStr">
        <is>
          <t>Source assignment</t>
        </is>
      </c>
      <c r="L808" s="39" t="inlineStr"/>
      <c r="M808" s="34" t="inlineStr">
        <is>
          <t>Initial</t>
        </is>
      </c>
      <c r="N808" s="34" t="inlineStr">
        <is>
          <t>Rev 0</t>
        </is>
      </c>
      <c r="O808" s="34" t="inlineStr">
        <is>
          <t>R1318-v1</t>
        </is>
      </c>
      <c r="P808" s="39" t="inlineStr"/>
      <c r="Q808" s="14" t="inlineStr"/>
      <c r="R808" s="39" t="inlineStr"/>
      <c r="S808" s="39" t="inlineStr"/>
      <c r="T808" s="39" t="inlineStr"/>
      <c r="U808" s="39" t="inlineStr"/>
      <c r="V808" s="34" t="inlineStr">
        <is>
          <t>Cost Account = CA-3076; WBS Code = 1.3.2</t>
        </is>
      </c>
      <c r="W808" s="14" t="inlineStr"/>
    </row>
    <row r="809" ht="49" customHeight="1">
      <c r="A809" s="34" t="inlineStr">
        <is>
          <t>1.3.2</t>
        </is>
      </c>
      <c r="B809" s="34" t="inlineStr">
        <is>
          <t>Systems - Signalling &amp; Train Control</t>
        </is>
      </c>
      <c r="C809" s="34" t="inlineStr">
        <is>
          <t>Cost &amp; Forecast Control Accounts</t>
        </is>
      </c>
      <c r="D809" s="34" t="inlineStr">
        <is>
          <t>CST-03-078</t>
        </is>
      </c>
      <c r="E809" s="34" t="inlineStr">
        <is>
          <t>Systems - train control - supply and install</t>
        </is>
      </c>
      <c r="F809" s="34" t="inlineStr">
        <is>
          <t>ONE_TO_ONE</t>
        </is>
      </c>
      <c r="G809" s="34" t="inlineStr">
        <is>
          <t>APPROVED</t>
        </is>
      </c>
      <c r="H809" s="34" t="inlineStr">
        <is>
          <t>New</t>
        </is>
      </c>
      <c r="I809" s="34" t="inlineStr">
        <is>
          <t>Source assignment -- not individually reviewed</t>
        </is>
      </c>
      <c r="J809" s="39" t="inlineStr"/>
      <c r="K809" s="34" t="inlineStr">
        <is>
          <t>Source assignment</t>
        </is>
      </c>
      <c r="L809" s="39" t="inlineStr"/>
      <c r="M809" s="34" t="inlineStr">
        <is>
          <t>Initial</t>
        </is>
      </c>
      <c r="N809" s="34" t="inlineStr">
        <is>
          <t>Rev 0</t>
        </is>
      </c>
      <c r="O809" s="34" t="inlineStr">
        <is>
          <t>R1320-v1</t>
        </is>
      </c>
      <c r="P809" s="39" t="inlineStr"/>
      <c r="Q809" s="14" t="inlineStr"/>
      <c r="R809" s="39" t="inlineStr"/>
      <c r="S809" s="39" t="inlineStr"/>
      <c r="T809" s="39" t="inlineStr"/>
      <c r="U809" s="39" t="inlineStr"/>
      <c r="V809" s="34" t="inlineStr">
        <is>
          <t>Cost Account = CA-3078; WBS Code = 1.3.2</t>
        </is>
      </c>
      <c r="W809" s="14" t="inlineStr"/>
    </row>
    <row r="810" ht="49" customHeight="1">
      <c r="A810" s="34" t="inlineStr">
        <is>
          <t>1.3.2</t>
        </is>
      </c>
      <c r="B810" s="34" t="inlineStr">
        <is>
          <t>Systems - Signalling &amp; Train Control</t>
        </is>
      </c>
      <c r="C810" s="34" t="inlineStr">
        <is>
          <t>Cost &amp; Forecast Control Accounts</t>
        </is>
      </c>
      <c r="D810" s="34" t="inlineStr">
        <is>
          <t>CST-03-080</t>
        </is>
      </c>
      <c r="E810" s="34" t="inlineStr">
        <is>
          <t>Systems - signalling - allowance</t>
        </is>
      </c>
      <c r="F810" s="34" t="inlineStr">
        <is>
          <t>ONE_TO_ONE</t>
        </is>
      </c>
      <c r="G810" s="34" t="inlineStr">
        <is>
          <t>APPROVED</t>
        </is>
      </c>
      <c r="H810" s="34" t="inlineStr">
        <is>
          <t>New</t>
        </is>
      </c>
      <c r="I810" s="34" t="inlineStr">
        <is>
          <t>Source assignment -- not individually reviewed</t>
        </is>
      </c>
      <c r="J810" s="39" t="inlineStr"/>
      <c r="K810" s="34" t="inlineStr">
        <is>
          <t>Source assignment</t>
        </is>
      </c>
      <c r="L810" s="39" t="inlineStr"/>
      <c r="M810" s="34" t="inlineStr">
        <is>
          <t>Initial</t>
        </is>
      </c>
      <c r="N810" s="34" t="inlineStr">
        <is>
          <t>Rev 0</t>
        </is>
      </c>
      <c r="O810" s="34" t="inlineStr">
        <is>
          <t>R1322-v1</t>
        </is>
      </c>
      <c r="P810" s="39" t="inlineStr"/>
      <c r="Q810" s="14" t="inlineStr"/>
      <c r="R810" s="39" t="inlineStr"/>
      <c r="S810" s="39" t="inlineStr"/>
      <c r="T810" s="39" t="inlineStr"/>
      <c r="U810" s="39" t="inlineStr"/>
      <c r="V810" s="34" t="inlineStr">
        <is>
          <t>Cost Account = CA-3080; WBS Code = 1.3.2</t>
        </is>
      </c>
      <c r="W810" s="14" t="inlineStr"/>
    </row>
    <row r="811" ht="49" customHeight="1">
      <c r="A811" s="34" t="inlineStr">
        <is>
          <t>1.4</t>
        </is>
      </c>
      <c r="B811" s="34" t="inlineStr">
        <is>
          <t>Vehicles and Depot</t>
        </is>
      </c>
      <c r="C811" s="34" t="inlineStr">
        <is>
          <t>Commercial Package Register</t>
        </is>
      </c>
      <c r="D811" s="34" t="inlineStr">
        <is>
          <t>PKG-031</t>
        </is>
      </c>
      <c r="E811" s="34" t="inlineStr">
        <is>
          <t>Fleet Supply</t>
        </is>
      </c>
      <c r="F811" s="34" t="inlineStr">
        <is>
          <t>ONE_TO_ONE</t>
        </is>
      </c>
      <c r="G811" s="34" t="inlineStr">
        <is>
          <t>APPROVED</t>
        </is>
      </c>
      <c r="H811" s="34" t="inlineStr">
        <is>
          <t>New</t>
        </is>
      </c>
      <c r="I811" s="34" t="inlineStr">
        <is>
          <t>Source assignment -- not individually reviewed</t>
        </is>
      </c>
      <c r="J811" s="39" t="inlineStr"/>
      <c r="K811" s="34" t="inlineStr">
        <is>
          <t>Source assignment</t>
        </is>
      </c>
      <c r="L811" s="39" t="inlineStr"/>
      <c r="M811" s="34" t="inlineStr">
        <is>
          <t>Initial</t>
        </is>
      </c>
      <c r="N811" s="34" t="inlineStr">
        <is>
          <t>Rev 0</t>
        </is>
      </c>
      <c r="O811" s="34" t="inlineStr">
        <is>
          <t>R1593-v1</t>
        </is>
      </c>
      <c r="P811" s="39" t="inlineStr"/>
      <c r="Q811" s="14" t="inlineStr"/>
      <c r="R811" s="39" t="inlineStr"/>
      <c r="S811" s="39" t="inlineStr"/>
      <c r="T811" s="39" t="inlineStr"/>
      <c r="U811" s="39" t="inlineStr"/>
      <c r="V811" s="34" t="inlineStr">
        <is>
          <t>Package Code = PK-401; WBS Code = 1.4</t>
        </is>
      </c>
      <c r="W811" s="14" t="inlineStr"/>
    </row>
    <row r="812" ht="49" customHeight="1">
      <c r="A812" s="34" t="inlineStr">
        <is>
          <t>1.4</t>
        </is>
      </c>
      <c r="B812" s="34" t="inlineStr">
        <is>
          <t>Vehicles and Depot</t>
        </is>
      </c>
      <c r="C812" s="34" t="inlineStr">
        <is>
          <t>Commercial Package Register</t>
        </is>
      </c>
      <c r="D812" s="34" t="inlineStr">
        <is>
          <t>PKG-032</t>
        </is>
      </c>
      <c r="E812" s="34" t="inlineStr">
        <is>
          <t>Depot Buildings</t>
        </is>
      </c>
      <c r="F812" s="34" t="inlineStr">
        <is>
          <t>ONE_TO_ONE</t>
        </is>
      </c>
      <c r="G812" s="34" t="inlineStr">
        <is>
          <t>APPROVED</t>
        </is>
      </c>
      <c r="H812" s="34" t="inlineStr">
        <is>
          <t>New</t>
        </is>
      </c>
      <c r="I812" s="34" t="inlineStr">
        <is>
          <t>Source assignment -- not individually reviewed</t>
        </is>
      </c>
      <c r="J812" s="39" t="inlineStr"/>
      <c r="K812" s="34" t="inlineStr">
        <is>
          <t>Source assignment</t>
        </is>
      </c>
      <c r="L812" s="39" t="inlineStr"/>
      <c r="M812" s="34" t="inlineStr">
        <is>
          <t>Initial</t>
        </is>
      </c>
      <c r="N812" s="34" t="inlineStr">
        <is>
          <t>Rev 0</t>
        </is>
      </c>
      <c r="O812" s="34" t="inlineStr">
        <is>
          <t>R1594-v1</t>
        </is>
      </c>
      <c r="P812" s="39" t="inlineStr"/>
      <c r="Q812" s="14" t="inlineStr"/>
      <c r="R812" s="39" t="inlineStr"/>
      <c r="S812" s="39" t="inlineStr"/>
      <c r="T812" s="39" t="inlineStr"/>
      <c r="U812" s="39" t="inlineStr"/>
      <c r="V812" s="34" t="inlineStr">
        <is>
          <t>Package Code = PK-402; WBS Code = 1.4</t>
        </is>
      </c>
      <c r="W812" s="14" t="inlineStr"/>
    </row>
    <row r="813" ht="49" customHeight="1">
      <c r="A813" s="34" t="inlineStr">
        <is>
          <t>1.4</t>
        </is>
      </c>
      <c r="B813" s="34" t="inlineStr">
        <is>
          <t>Vehicles and Depot</t>
        </is>
      </c>
      <c r="C813" s="34" t="inlineStr">
        <is>
          <t>Commercial Package Register</t>
        </is>
      </c>
      <c r="D813" s="34" t="inlineStr">
        <is>
          <t>PKG-033</t>
        </is>
      </c>
      <c r="E813" s="34" t="inlineStr">
        <is>
          <t>Workshop Equipment</t>
        </is>
      </c>
      <c r="F813" s="34" t="inlineStr">
        <is>
          <t>ONE_TO_ONE</t>
        </is>
      </c>
      <c r="G813" s="34" t="inlineStr">
        <is>
          <t>APPROVED</t>
        </is>
      </c>
      <c r="H813" s="34" t="inlineStr">
        <is>
          <t>New</t>
        </is>
      </c>
      <c r="I813" s="34" t="inlineStr">
        <is>
          <t>Source assignment -- not individually reviewed</t>
        </is>
      </c>
      <c r="J813" s="39" t="inlineStr"/>
      <c r="K813" s="34" t="inlineStr">
        <is>
          <t>Source assignment</t>
        </is>
      </c>
      <c r="L813" s="39" t="inlineStr"/>
      <c r="M813" s="34" t="inlineStr">
        <is>
          <t>Initial</t>
        </is>
      </c>
      <c r="N813" s="34" t="inlineStr">
        <is>
          <t>Rev 0</t>
        </is>
      </c>
      <c r="O813" s="34" t="inlineStr">
        <is>
          <t>R1595-v1</t>
        </is>
      </c>
      <c r="P813" s="39" t="inlineStr"/>
      <c r="Q813" s="14" t="inlineStr"/>
      <c r="R813" s="39" t="inlineStr"/>
      <c r="S813" s="39" t="inlineStr"/>
      <c r="T813" s="39" t="inlineStr"/>
      <c r="U813" s="39" t="inlineStr"/>
      <c r="V813" s="34" t="inlineStr">
        <is>
          <t>Package Code = PK-403; WBS Code = 1.4</t>
        </is>
      </c>
      <c r="W813" s="14" t="inlineStr"/>
    </row>
    <row r="814" ht="49" customHeight="1">
      <c r="A814" s="34" t="inlineStr">
        <is>
          <t>1.4</t>
        </is>
      </c>
      <c r="B814" s="34" t="inlineStr">
        <is>
          <t>Vehicles and Depot</t>
        </is>
      </c>
      <c r="C814" s="34" t="inlineStr">
        <is>
          <t>Commercial Package Register</t>
        </is>
      </c>
      <c r="D814" s="34" t="inlineStr">
        <is>
          <t>PKG-034</t>
        </is>
      </c>
      <c r="E814" s="34" t="inlineStr">
        <is>
          <t>Vehicle Integration</t>
        </is>
      </c>
      <c r="F814" s="34" t="inlineStr">
        <is>
          <t>ONE_TO_ONE</t>
        </is>
      </c>
      <c r="G814" s="34" t="inlineStr">
        <is>
          <t>APPROVED</t>
        </is>
      </c>
      <c r="H814" s="34" t="inlineStr">
        <is>
          <t>New</t>
        </is>
      </c>
      <c r="I814" s="34" t="inlineStr">
        <is>
          <t>Source assignment -- not individually reviewed</t>
        </is>
      </c>
      <c r="J814" s="39" t="inlineStr"/>
      <c r="K814" s="34" t="inlineStr">
        <is>
          <t>Source assignment</t>
        </is>
      </c>
      <c r="L814" s="39" t="inlineStr"/>
      <c r="M814" s="34" t="inlineStr">
        <is>
          <t>Initial</t>
        </is>
      </c>
      <c r="N814" s="34" t="inlineStr">
        <is>
          <t>Rev 0</t>
        </is>
      </c>
      <c r="O814" s="34" t="inlineStr">
        <is>
          <t>R1596-v1</t>
        </is>
      </c>
      <c r="P814" s="39" t="inlineStr"/>
      <c r="Q814" s="14" t="inlineStr"/>
      <c r="R814" s="39" t="inlineStr"/>
      <c r="S814" s="39" t="inlineStr"/>
      <c r="T814" s="39" t="inlineStr"/>
      <c r="U814" s="39" t="inlineStr"/>
      <c r="V814" s="34" t="inlineStr">
        <is>
          <t>Package Code = PK-404; WBS Code = 1.4</t>
        </is>
      </c>
      <c r="W814" s="14" t="inlineStr"/>
    </row>
    <row r="815" ht="49" customHeight="1">
      <c r="A815" s="34" t="inlineStr">
        <is>
          <t>1.4</t>
        </is>
      </c>
      <c r="B815" s="34" t="inlineStr">
        <is>
          <t>Vehicles and Depot</t>
        </is>
      </c>
      <c r="C815" s="34" t="inlineStr">
        <is>
          <t>Commercial Package Register</t>
        </is>
      </c>
      <c r="D815" s="34" t="inlineStr">
        <is>
          <t>PKG-035</t>
        </is>
      </c>
      <c r="E815" s="34" t="inlineStr">
        <is>
          <t>Fleet Supply - Lot 2</t>
        </is>
      </c>
      <c r="F815" s="34" t="inlineStr">
        <is>
          <t>ONE_TO_ONE</t>
        </is>
      </c>
      <c r="G815" s="34" t="inlineStr">
        <is>
          <t>APPROVED</t>
        </is>
      </c>
      <c r="H815" s="34" t="inlineStr">
        <is>
          <t>New</t>
        </is>
      </c>
      <c r="I815" s="34" t="inlineStr">
        <is>
          <t>Source assignment -- not individually reviewed</t>
        </is>
      </c>
      <c r="J815" s="39" t="inlineStr"/>
      <c r="K815" s="34" t="inlineStr">
        <is>
          <t>Source assignment</t>
        </is>
      </c>
      <c r="L815" s="39" t="inlineStr"/>
      <c r="M815" s="34" t="inlineStr">
        <is>
          <t>Initial</t>
        </is>
      </c>
      <c r="N815" s="34" t="inlineStr">
        <is>
          <t>Rev 0</t>
        </is>
      </c>
      <c r="O815" s="34" t="inlineStr">
        <is>
          <t>R1597-v1</t>
        </is>
      </c>
      <c r="P815" s="39" t="inlineStr"/>
      <c r="Q815" s="14" t="inlineStr"/>
      <c r="R815" s="39" t="inlineStr"/>
      <c r="S815" s="39" t="inlineStr"/>
      <c r="T815" s="39" t="inlineStr"/>
      <c r="U815" s="39" t="inlineStr"/>
      <c r="V815" s="34" t="inlineStr">
        <is>
          <t>Package Code = PK-405; WBS Code = 1.4</t>
        </is>
      </c>
      <c r="W815" s="14" t="inlineStr"/>
    </row>
    <row r="816" ht="49" customHeight="1">
      <c r="A816" s="34" t="inlineStr">
        <is>
          <t>1.4</t>
        </is>
      </c>
      <c r="B816" s="34" t="inlineStr">
        <is>
          <t>Vehicles and Depot</t>
        </is>
      </c>
      <c r="C816" s="34" t="inlineStr">
        <is>
          <t>Commercial Package Register</t>
        </is>
      </c>
      <c r="D816" s="34" t="inlineStr">
        <is>
          <t>PKG-036</t>
        </is>
      </c>
      <c r="E816" s="34" t="inlineStr">
        <is>
          <t>Depot Buildings - Lot 2</t>
        </is>
      </c>
      <c r="F816" s="34" t="inlineStr">
        <is>
          <t>ONE_TO_ONE</t>
        </is>
      </c>
      <c r="G816" s="34" t="inlineStr">
        <is>
          <t>APPROVED</t>
        </is>
      </c>
      <c r="H816" s="34" t="inlineStr">
        <is>
          <t>New</t>
        </is>
      </c>
      <c r="I816" s="34" t="inlineStr">
        <is>
          <t>Source assignment -- not individually reviewed</t>
        </is>
      </c>
      <c r="J816" s="39" t="inlineStr"/>
      <c r="K816" s="34" t="inlineStr">
        <is>
          <t>Source assignment</t>
        </is>
      </c>
      <c r="L816" s="39" t="inlineStr"/>
      <c r="M816" s="34" t="inlineStr">
        <is>
          <t>Initial</t>
        </is>
      </c>
      <c r="N816" s="34" t="inlineStr">
        <is>
          <t>Rev 0</t>
        </is>
      </c>
      <c r="O816" s="34" t="inlineStr">
        <is>
          <t>R1598-v1</t>
        </is>
      </c>
      <c r="P816" s="39" t="inlineStr"/>
      <c r="Q816" s="14" t="inlineStr"/>
      <c r="R816" s="39" t="inlineStr"/>
      <c r="S816" s="39" t="inlineStr"/>
      <c r="T816" s="39" t="inlineStr"/>
      <c r="U816" s="39" t="inlineStr"/>
      <c r="V816" s="34" t="inlineStr">
        <is>
          <t>Package Code = PK-406; WBS Code = 1.4</t>
        </is>
      </c>
      <c r="W816" s="14" t="inlineStr"/>
    </row>
    <row r="817" ht="49" customHeight="1">
      <c r="A817" s="34" t="inlineStr">
        <is>
          <t>1.4</t>
        </is>
      </c>
      <c r="B817" s="34" t="inlineStr">
        <is>
          <t>Vehicles and Depot</t>
        </is>
      </c>
      <c r="C817" s="34" t="inlineStr">
        <is>
          <t>Commercial Package Register</t>
        </is>
      </c>
      <c r="D817" s="34" t="inlineStr">
        <is>
          <t>PKG-037</t>
        </is>
      </c>
      <c r="E817" s="34" t="inlineStr">
        <is>
          <t>Workshop Equipment - Lot 2</t>
        </is>
      </c>
      <c r="F817" s="34" t="inlineStr">
        <is>
          <t>ONE_TO_ONE</t>
        </is>
      </c>
      <c r="G817" s="34" t="inlineStr">
        <is>
          <t>APPROVED</t>
        </is>
      </c>
      <c r="H817" s="34" t="inlineStr">
        <is>
          <t>New</t>
        </is>
      </c>
      <c r="I817" s="34" t="inlineStr">
        <is>
          <t>Source assignment -- not individually reviewed</t>
        </is>
      </c>
      <c r="J817" s="39" t="inlineStr"/>
      <c r="K817" s="34" t="inlineStr">
        <is>
          <t>Source assignment</t>
        </is>
      </c>
      <c r="L817" s="39" t="inlineStr"/>
      <c r="M817" s="34" t="inlineStr">
        <is>
          <t>Initial</t>
        </is>
      </c>
      <c r="N817" s="34" t="inlineStr">
        <is>
          <t>Rev 0</t>
        </is>
      </c>
      <c r="O817" s="34" t="inlineStr">
        <is>
          <t>R1599-v1</t>
        </is>
      </c>
      <c r="P817" s="39" t="inlineStr"/>
      <c r="Q817" s="14" t="inlineStr"/>
      <c r="R817" s="39" t="inlineStr"/>
      <c r="S817" s="39" t="inlineStr"/>
      <c r="T817" s="39" t="inlineStr"/>
      <c r="U817" s="39" t="inlineStr"/>
      <c r="V817" s="34" t="inlineStr">
        <is>
          <t>Package Code = PK-407; WBS Code = 1.4</t>
        </is>
      </c>
      <c r="W817" s="14" t="inlineStr"/>
    </row>
    <row r="818" ht="49" customHeight="1">
      <c r="A818" s="34" t="inlineStr">
        <is>
          <t>1.4</t>
        </is>
      </c>
      <c r="B818" s="34" t="inlineStr">
        <is>
          <t>Vehicles and Depot</t>
        </is>
      </c>
      <c r="C818" s="34" t="inlineStr">
        <is>
          <t>Commercial Package Register</t>
        </is>
      </c>
      <c r="D818" s="34" t="inlineStr">
        <is>
          <t>PKG-038</t>
        </is>
      </c>
      <c r="E818" s="34" t="inlineStr">
        <is>
          <t>Vehicle Integration - Lot 2</t>
        </is>
      </c>
      <c r="F818" s="34" t="inlineStr">
        <is>
          <t>ONE_TO_ONE</t>
        </is>
      </c>
      <c r="G818" s="34" t="inlineStr">
        <is>
          <t>APPROVED</t>
        </is>
      </c>
      <c r="H818" s="34" t="inlineStr">
        <is>
          <t>New</t>
        </is>
      </c>
      <c r="I818" s="34" t="inlineStr">
        <is>
          <t>Source assignment -- not individually reviewed</t>
        </is>
      </c>
      <c r="J818" s="39" t="inlineStr"/>
      <c r="K818" s="34" t="inlineStr">
        <is>
          <t>Source assignment</t>
        </is>
      </c>
      <c r="L818" s="39" t="inlineStr"/>
      <c r="M818" s="34" t="inlineStr">
        <is>
          <t>Initial</t>
        </is>
      </c>
      <c r="N818" s="34" t="inlineStr">
        <is>
          <t>Rev 0</t>
        </is>
      </c>
      <c r="O818" s="34" t="inlineStr">
        <is>
          <t>R1600-v1</t>
        </is>
      </c>
      <c r="P818" s="39" t="inlineStr"/>
      <c r="Q818" s="14" t="inlineStr"/>
      <c r="R818" s="39" t="inlineStr"/>
      <c r="S818" s="39" t="inlineStr"/>
      <c r="T818" s="39" t="inlineStr"/>
      <c r="U818" s="39" t="inlineStr"/>
      <c r="V818" s="34" t="inlineStr">
        <is>
          <t>Package Code = PK-408; WBS Code = 1.4</t>
        </is>
      </c>
      <c r="W818" s="14" t="inlineStr"/>
    </row>
    <row r="819" ht="49" customHeight="1">
      <c r="A819" s="34" t="inlineStr">
        <is>
          <t>1.4</t>
        </is>
      </c>
      <c r="B819" s="34" t="inlineStr">
        <is>
          <t>Vehicles and Depot</t>
        </is>
      </c>
      <c r="C819" s="34" t="inlineStr">
        <is>
          <t>Commercial Package Register</t>
        </is>
      </c>
      <c r="D819" s="34" t="inlineStr">
        <is>
          <t>PKG-039</t>
        </is>
      </c>
      <c r="E819" s="34" t="inlineStr">
        <is>
          <t>Fleet Supply - Lot 3</t>
        </is>
      </c>
      <c r="F819" s="34" t="inlineStr">
        <is>
          <t>ONE_TO_ONE</t>
        </is>
      </c>
      <c r="G819" s="34" t="inlineStr">
        <is>
          <t>APPROVED</t>
        </is>
      </c>
      <c r="H819" s="34" t="inlineStr">
        <is>
          <t>New</t>
        </is>
      </c>
      <c r="I819" s="34" t="inlineStr">
        <is>
          <t>Source assignment -- not individually reviewed</t>
        </is>
      </c>
      <c r="J819" s="39" t="inlineStr"/>
      <c r="K819" s="34" t="inlineStr">
        <is>
          <t>Source assignment</t>
        </is>
      </c>
      <c r="L819" s="39" t="inlineStr"/>
      <c r="M819" s="34" t="inlineStr">
        <is>
          <t>Initial</t>
        </is>
      </c>
      <c r="N819" s="34" t="inlineStr">
        <is>
          <t>Rev 0</t>
        </is>
      </c>
      <c r="O819" s="34" t="inlineStr">
        <is>
          <t>R1601-v1</t>
        </is>
      </c>
      <c r="P819" s="39" t="inlineStr"/>
      <c r="Q819" s="14" t="inlineStr"/>
      <c r="R819" s="39" t="inlineStr"/>
      <c r="S819" s="39" t="inlineStr"/>
      <c r="T819" s="39" t="inlineStr"/>
      <c r="U819" s="39" t="inlineStr"/>
      <c r="V819" s="34" t="inlineStr">
        <is>
          <t>Package Code = PK-409; WBS Code = 1.4</t>
        </is>
      </c>
      <c r="W819" s="14" t="inlineStr"/>
    </row>
    <row r="820" ht="49" customHeight="1">
      <c r="A820" s="34" t="inlineStr">
        <is>
          <t>1.4</t>
        </is>
      </c>
      <c r="B820" s="34" t="inlineStr">
        <is>
          <t>Vehicles and Depot</t>
        </is>
      </c>
      <c r="C820" s="34" t="inlineStr">
        <is>
          <t>Commercial Package Register</t>
        </is>
      </c>
      <c r="D820" s="34" t="inlineStr">
        <is>
          <t>PKG-040</t>
        </is>
      </c>
      <c r="E820" s="34" t="inlineStr">
        <is>
          <t>Depot Buildings - Lot 3</t>
        </is>
      </c>
      <c r="F820" s="34" t="inlineStr">
        <is>
          <t>ONE_TO_ONE</t>
        </is>
      </c>
      <c r="G820" s="34" t="inlineStr">
        <is>
          <t>APPROVED</t>
        </is>
      </c>
      <c r="H820" s="34" t="inlineStr">
        <is>
          <t>New</t>
        </is>
      </c>
      <c r="I820" s="34" t="inlineStr">
        <is>
          <t>Source assignment -- not individually reviewed</t>
        </is>
      </c>
      <c r="J820" s="39" t="inlineStr"/>
      <c r="K820" s="34" t="inlineStr">
        <is>
          <t>Source assignment</t>
        </is>
      </c>
      <c r="L820" s="39" t="inlineStr"/>
      <c r="M820" s="34" t="inlineStr">
        <is>
          <t>Initial</t>
        </is>
      </c>
      <c r="N820" s="34" t="inlineStr">
        <is>
          <t>Rev 0</t>
        </is>
      </c>
      <c r="O820" s="34" t="inlineStr">
        <is>
          <t>R1602-v1</t>
        </is>
      </c>
      <c r="P820" s="39" t="inlineStr"/>
      <c r="Q820" s="14" t="inlineStr"/>
      <c r="R820" s="39" t="inlineStr"/>
      <c r="S820" s="39" t="inlineStr"/>
      <c r="T820" s="39" t="inlineStr"/>
      <c r="U820" s="39" t="inlineStr"/>
      <c r="V820" s="34" t="inlineStr">
        <is>
          <t>Package Code = PK-410; WBS Code = 1.4</t>
        </is>
      </c>
      <c r="W820" s="14" t="inlineStr"/>
    </row>
    <row r="821" ht="49" customHeight="1">
      <c r="A821" s="34" t="inlineStr">
        <is>
          <t>1.4.1</t>
        </is>
      </c>
      <c r="B821" s="34" t="inlineStr">
        <is>
          <t>Vehicles and Depot - Fleet Supply</t>
        </is>
      </c>
      <c r="C821" s="34" t="inlineStr">
        <is>
          <t>Contractor Programme</t>
        </is>
      </c>
      <c r="D821" s="34" t="inlineStr">
        <is>
          <t>SCH-04-001</t>
        </is>
      </c>
      <c r="E821" s="34" t="inlineStr">
        <is>
          <t>Test track: vehicle-to-depot interface check - release</t>
        </is>
      </c>
      <c r="F821" s="34" t="inlineStr">
        <is>
          <t>ONE_TO_ONE</t>
        </is>
      </c>
      <c r="G821" s="34" t="inlineStr">
        <is>
          <t>APPROVED</t>
        </is>
      </c>
      <c r="H821" s="34" t="inlineStr">
        <is>
          <t>New</t>
        </is>
      </c>
      <c r="I821" s="34" t="inlineStr">
        <is>
          <t>Source assignment -- not individually reviewed</t>
        </is>
      </c>
      <c r="J821" s="39" t="inlineStr"/>
      <c r="K821" s="34" t="inlineStr">
        <is>
          <t>Source assignment</t>
        </is>
      </c>
      <c r="L821" s="39" t="inlineStr"/>
      <c r="M821" s="34" t="inlineStr">
        <is>
          <t>Initial</t>
        </is>
      </c>
      <c r="N821" s="34" t="inlineStr">
        <is>
          <t>Rev 0</t>
        </is>
      </c>
      <c r="O821" s="34" t="inlineStr">
        <is>
          <t>R541-v1</t>
        </is>
      </c>
      <c r="P821" s="39" t="inlineStr"/>
      <c r="Q821" s="14" t="inlineStr"/>
      <c r="R821" s="39" t="inlineStr"/>
      <c r="S821" s="39" t="inlineStr"/>
      <c r="T821" s="39" t="inlineStr"/>
      <c r="U821" s="39" t="inlineStr"/>
      <c r="V821" s="34" t="inlineStr">
        <is>
          <t>WBS Code = 1.4.1</t>
        </is>
      </c>
      <c r="W821" s="14" t="inlineStr"/>
    </row>
    <row r="822" ht="49" customHeight="1">
      <c r="A822" s="34" t="inlineStr">
        <is>
          <t>1.4.1</t>
        </is>
      </c>
      <c r="B822" s="34" t="inlineStr">
        <is>
          <t>Vehicles and Depot - Fleet Supply</t>
        </is>
      </c>
      <c r="C822" s="34" t="inlineStr">
        <is>
          <t>Contractor Programme</t>
        </is>
      </c>
      <c r="D822" s="34" t="inlineStr">
        <is>
          <t>SCH-04-002</t>
        </is>
      </c>
      <c r="E822" s="34" t="inlineStr">
        <is>
          <t>Receiving track: wheel-lathe installation - field start</t>
        </is>
      </c>
      <c r="F822" s="34" t="inlineStr">
        <is>
          <t>ONE_TO_ONE</t>
        </is>
      </c>
      <c r="G822" s="34" t="inlineStr">
        <is>
          <t>APPROVED</t>
        </is>
      </c>
      <c r="H822" s="34" t="inlineStr">
        <is>
          <t>New</t>
        </is>
      </c>
      <c r="I822" s="34" t="inlineStr">
        <is>
          <t>Source assignment -- not individually reviewed</t>
        </is>
      </c>
      <c r="J822" s="39" t="inlineStr"/>
      <c r="K822" s="34" t="inlineStr">
        <is>
          <t>Source assignment</t>
        </is>
      </c>
      <c r="L822" s="39" t="inlineStr"/>
      <c r="M822" s="34" t="inlineStr">
        <is>
          <t>Initial</t>
        </is>
      </c>
      <c r="N822" s="34" t="inlineStr">
        <is>
          <t>Rev 0</t>
        </is>
      </c>
      <c r="O822" s="34" t="inlineStr">
        <is>
          <t>R542-v1</t>
        </is>
      </c>
      <c r="P822" s="39" t="inlineStr"/>
      <c r="Q822" s="14" t="inlineStr"/>
      <c r="R822" s="39" t="inlineStr"/>
      <c r="S822" s="39" t="inlineStr"/>
      <c r="T822" s="39" t="inlineStr"/>
      <c r="U822" s="39" t="inlineStr"/>
      <c r="V822" s="34" t="inlineStr">
        <is>
          <t>WBS Code = 1.4.1</t>
        </is>
      </c>
      <c r="W822" s="14" t="inlineStr"/>
    </row>
    <row r="823" ht="49" customHeight="1">
      <c r="A823" s="34" t="inlineStr">
        <is>
          <t>1.4.1</t>
        </is>
      </c>
      <c r="B823" s="34" t="inlineStr">
        <is>
          <t>Vehicles and Depot - Fleet Supply</t>
        </is>
      </c>
      <c r="C823" s="34" t="inlineStr">
        <is>
          <t>Contractor Programme</t>
        </is>
      </c>
      <c r="D823" s="34" t="inlineStr">
        <is>
          <t>SCH-04-004</t>
        </is>
      </c>
      <c r="E823" s="34" t="inlineStr">
        <is>
          <t>Storage yard: vehicle delivery inspection - inspection</t>
        </is>
      </c>
      <c r="F823" s="34" t="inlineStr">
        <is>
          <t>ONE_TO_ONE</t>
        </is>
      </c>
      <c r="G823" s="34" t="inlineStr">
        <is>
          <t>APPROVED</t>
        </is>
      </c>
      <c r="H823" s="34" t="inlineStr">
        <is>
          <t>New</t>
        </is>
      </c>
      <c r="I823" s="34" t="inlineStr">
        <is>
          <t>Source assignment -- not individually reviewed</t>
        </is>
      </c>
      <c r="J823" s="39" t="inlineStr"/>
      <c r="K823" s="34" t="inlineStr">
        <is>
          <t>Source assignment</t>
        </is>
      </c>
      <c r="L823" s="39" t="inlineStr"/>
      <c r="M823" s="34" t="inlineStr">
        <is>
          <t>Initial</t>
        </is>
      </c>
      <c r="N823" s="34" t="inlineStr">
        <is>
          <t>Rev 0</t>
        </is>
      </c>
      <c r="O823" s="34" t="inlineStr">
        <is>
          <t>R544-v1</t>
        </is>
      </c>
      <c r="P823" s="39" t="inlineStr"/>
      <c r="Q823" s="14" t="inlineStr"/>
      <c r="R823" s="39" t="inlineStr"/>
      <c r="S823" s="39" t="inlineStr"/>
      <c r="T823" s="39" t="inlineStr"/>
      <c r="U823" s="39" t="inlineStr"/>
      <c r="V823" s="34" t="inlineStr">
        <is>
          <t>WBS Code = 1.4.1</t>
        </is>
      </c>
      <c r="W823" s="14" t="inlineStr"/>
    </row>
    <row r="824" ht="49" customHeight="1">
      <c r="A824" s="34" t="inlineStr">
        <is>
          <t>1.4.1</t>
        </is>
      </c>
      <c r="B824" s="34" t="inlineStr">
        <is>
          <t>Vehicles and Depot - Fleet Supply</t>
        </is>
      </c>
      <c r="C824" s="34" t="inlineStr">
        <is>
          <t>Contractor Programme</t>
        </is>
      </c>
      <c r="D824" s="34" t="inlineStr">
        <is>
          <t>SCH-04-005</t>
        </is>
      </c>
      <c r="E824" s="34" t="inlineStr">
        <is>
          <t>Operations building: wash-plant commissioning - turnover</t>
        </is>
      </c>
      <c r="F824" s="34" t="inlineStr">
        <is>
          <t>ONE_TO_ONE</t>
        </is>
      </c>
      <c r="G824" s="34" t="inlineStr">
        <is>
          <t>APPROVED</t>
        </is>
      </c>
      <c r="H824" s="34" t="inlineStr">
        <is>
          <t>New</t>
        </is>
      </c>
      <c r="I824" s="34" t="inlineStr">
        <is>
          <t>Source assignment -- not individually reviewed</t>
        </is>
      </c>
      <c r="J824" s="39" t="inlineStr"/>
      <c r="K824" s="34" t="inlineStr">
        <is>
          <t>Source assignment</t>
        </is>
      </c>
      <c r="L824" s="39" t="inlineStr"/>
      <c r="M824" s="34" t="inlineStr">
        <is>
          <t>Initial</t>
        </is>
      </c>
      <c r="N824" s="34" t="inlineStr">
        <is>
          <t>Rev 0</t>
        </is>
      </c>
      <c r="O824" s="34" t="inlineStr">
        <is>
          <t>R545-v1</t>
        </is>
      </c>
      <c r="P824" s="39" t="inlineStr"/>
      <c r="Q824" s="14" t="inlineStr"/>
      <c r="R824" s="39" t="inlineStr"/>
      <c r="S824" s="39" t="inlineStr"/>
      <c r="T824" s="39" t="inlineStr"/>
      <c r="U824" s="39" t="inlineStr"/>
      <c r="V824" s="34" t="inlineStr">
        <is>
          <t>WBS Code = 1.4.1</t>
        </is>
      </c>
      <c r="W824" s="14" t="inlineStr"/>
    </row>
    <row r="825" ht="49" customHeight="1">
      <c r="A825" s="34" t="inlineStr">
        <is>
          <t>1.4.1</t>
        </is>
      </c>
      <c r="B825" s="34" t="inlineStr">
        <is>
          <t>Vehicles and Depot - Fleet Supply</t>
        </is>
      </c>
      <c r="C825" s="34" t="inlineStr">
        <is>
          <t>Contractor Programme</t>
        </is>
      </c>
      <c r="D825" s="34" t="inlineStr">
        <is>
          <t>SCH-04-007</t>
        </is>
      </c>
      <c r="E825" s="34" t="inlineStr">
        <is>
          <t>Receiving track: depot structural fit-out - field start</t>
        </is>
      </c>
      <c r="F825" s="34" t="inlineStr">
        <is>
          <t>ONE_TO_ONE</t>
        </is>
      </c>
      <c r="G825" s="34" t="inlineStr">
        <is>
          <t>APPROVED</t>
        </is>
      </c>
      <c r="H825" s="34" t="inlineStr">
        <is>
          <t>New</t>
        </is>
      </c>
      <c r="I825" s="34" t="inlineStr">
        <is>
          <t>Source assignment -- not individually reviewed</t>
        </is>
      </c>
      <c r="J825" s="39" t="inlineStr"/>
      <c r="K825" s="34" t="inlineStr">
        <is>
          <t>Source assignment</t>
        </is>
      </c>
      <c r="L825" s="39" t="inlineStr"/>
      <c r="M825" s="34" t="inlineStr">
        <is>
          <t>Initial</t>
        </is>
      </c>
      <c r="N825" s="34" t="inlineStr">
        <is>
          <t>Rev 0</t>
        </is>
      </c>
      <c r="O825" s="34" t="inlineStr">
        <is>
          <t>R547-v1</t>
        </is>
      </c>
      <c r="P825" s="39" t="inlineStr"/>
      <c r="Q825" s="14" t="inlineStr"/>
      <c r="R825" s="39" t="inlineStr"/>
      <c r="S825" s="39" t="inlineStr"/>
      <c r="T825" s="39" t="inlineStr"/>
      <c r="U825" s="39" t="inlineStr"/>
      <c r="V825" s="34" t="inlineStr">
        <is>
          <t>WBS Code = 1.4.1</t>
        </is>
      </c>
      <c r="W825" s="14" t="inlineStr"/>
    </row>
    <row r="826" ht="49" customHeight="1">
      <c r="A826" s="34" t="inlineStr">
        <is>
          <t>1.4.1</t>
        </is>
      </c>
      <c r="B826" s="34" t="inlineStr">
        <is>
          <t>Vehicles and Depot - Fleet Supply</t>
        </is>
      </c>
      <c r="C826" s="34" t="inlineStr">
        <is>
          <t>Contractor Programme</t>
        </is>
      </c>
      <c r="D826" s="34" t="inlineStr">
        <is>
          <t>SCH-04-008</t>
        </is>
      </c>
      <c r="E826" s="34" t="inlineStr">
        <is>
          <t>Maintenance shop: workshop crane installation - installation</t>
        </is>
      </c>
      <c r="F826" s="34" t="inlineStr">
        <is>
          <t>ONE_TO_ONE</t>
        </is>
      </c>
      <c r="G826" s="34" t="inlineStr">
        <is>
          <t>APPROVED</t>
        </is>
      </c>
      <c r="H826" s="34" t="inlineStr">
        <is>
          <t>New</t>
        </is>
      </c>
      <c r="I826" s="34" t="inlineStr">
        <is>
          <t>Source assignment -- not individually reviewed</t>
        </is>
      </c>
      <c r="J826" s="39" t="inlineStr"/>
      <c r="K826" s="34" t="inlineStr">
        <is>
          <t>Source assignment</t>
        </is>
      </c>
      <c r="L826" s="39" t="inlineStr"/>
      <c r="M826" s="34" t="inlineStr">
        <is>
          <t>Initial</t>
        </is>
      </c>
      <c r="N826" s="34" t="inlineStr">
        <is>
          <t>Rev 0</t>
        </is>
      </c>
      <c r="O826" s="34" t="inlineStr">
        <is>
          <t>R548-v1</t>
        </is>
      </c>
      <c r="P826" s="39" t="inlineStr"/>
      <c r="Q826" s="14" t="inlineStr"/>
      <c r="R826" s="39" t="inlineStr"/>
      <c r="S826" s="39" t="inlineStr"/>
      <c r="T826" s="39" t="inlineStr"/>
      <c r="U826" s="39" t="inlineStr"/>
      <c r="V826" s="34" t="inlineStr">
        <is>
          <t>WBS Code = 1.4.1</t>
        </is>
      </c>
      <c r="W826" s="14" t="inlineStr"/>
    </row>
    <row r="827" ht="49" customHeight="1">
      <c r="A827" s="34" t="inlineStr">
        <is>
          <t>1.4.1</t>
        </is>
      </c>
      <c r="B827" s="34" t="inlineStr">
        <is>
          <t>Vehicles and Depot - Fleet Supply</t>
        </is>
      </c>
      <c r="C827" s="34" t="inlineStr">
        <is>
          <t>Contractor Programme</t>
        </is>
      </c>
      <c r="D827" s="34" t="inlineStr">
        <is>
          <t>SCH-04-010</t>
        </is>
      </c>
      <c r="E827" s="34" t="inlineStr">
        <is>
          <t>Operations building: wheel-lathe installation - turnover</t>
        </is>
      </c>
      <c r="F827" s="34" t="inlineStr">
        <is>
          <t>ONE_TO_ONE</t>
        </is>
      </c>
      <c r="G827" s="34" t="inlineStr">
        <is>
          <t>APPROVED</t>
        </is>
      </c>
      <c r="H827" s="34" t="inlineStr">
        <is>
          <t>New</t>
        </is>
      </c>
      <c r="I827" s="34" t="inlineStr">
        <is>
          <t>Source assignment -- not individually reviewed</t>
        </is>
      </c>
      <c r="J827" s="39" t="inlineStr"/>
      <c r="K827" s="34" t="inlineStr">
        <is>
          <t>Source assignment</t>
        </is>
      </c>
      <c r="L827" s="39" t="inlineStr"/>
      <c r="M827" s="34" t="inlineStr">
        <is>
          <t>Initial</t>
        </is>
      </c>
      <c r="N827" s="34" t="inlineStr">
        <is>
          <t>Rev 0</t>
        </is>
      </c>
      <c r="O827" s="34" t="inlineStr">
        <is>
          <t>R550-v1</t>
        </is>
      </c>
      <c r="P827" s="39" t="inlineStr"/>
      <c r="Q827" s="14" t="inlineStr"/>
      <c r="R827" s="39" t="inlineStr"/>
      <c r="S827" s="39" t="inlineStr"/>
      <c r="T827" s="39" t="inlineStr"/>
      <c r="U827" s="39" t="inlineStr"/>
      <c r="V827" s="34" t="inlineStr">
        <is>
          <t>WBS Code = 1.4.1</t>
        </is>
      </c>
      <c r="W827" s="14" t="inlineStr"/>
    </row>
    <row r="828" ht="49" customHeight="1">
      <c r="A828" s="34" t="inlineStr">
        <is>
          <t>1.4.1</t>
        </is>
      </c>
      <c r="B828" s="34" t="inlineStr">
        <is>
          <t>Vehicles and Depot - Fleet Supply</t>
        </is>
      </c>
      <c r="C828" s="34" t="inlineStr">
        <is>
          <t>Contractor Programme</t>
        </is>
      </c>
      <c r="D828" s="34" t="inlineStr">
        <is>
          <t>SCH-04-011</t>
        </is>
      </c>
      <c r="E828" s="34" t="inlineStr">
        <is>
          <t>Test track: fleet software load - release</t>
        </is>
      </c>
      <c r="F828" s="34" t="inlineStr">
        <is>
          <t>ONE_TO_ONE</t>
        </is>
      </c>
      <c r="G828" s="34" t="inlineStr">
        <is>
          <t>APPROVED</t>
        </is>
      </c>
      <c r="H828" s="34" t="inlineStr">
        <is>
          <t>New</t>
        </is>
      </c>
      <c r="I828" s="34" t="inlineStr">
        <is>
          <t>Source assignment -- not individually reviewed</t>
        </is>
      </c>
      <c r="J828" s="39" t="inlineStr"/>
      <c r="K828" s="34" t="inlineStr">
        <is>
          <t>Source assignment</t>
        </is>
      </c>
      <c r="L828" s="39" t="inlineStr"/>
      <c r="M828" s="34" t="inlineStr">
        <is>
          <t>Initial</t>
        </is>
      </c>
      <c r="N828" s="34" t="inlineStr">
        <is>
          <t>Rev 0</t>
        </is>
      </c>
      <c r="O828" s="34" t="inlineStr">
        <is>
          <t>R551-v1</t>
        </is>
      </c>
      <c r="P828" s="39" t="inlineStr"/>
      <c r="Q828" s="14" t="inlineStr"/>
      <c r="R828" s="39" t="inlineStr"/>
      <c r="S828" s="39" t="inlineStr"/>
      <c r="T828" s="39" t="inlineStr"/>
      <c r="U828" s="39" t="inlineStr"/>
      <c r="V828" s="34" t="inlineStr">
        <is>
          <t>WBS Code = 1.4.1</t>
        </is>
      </c>
      <c r="W828" s="14" t="inlineStr"/>
    </row>
    <row r="829" ht="49" customHeight="1">
      <c r="A829" s="34" t="inlineStr">
        <is>
          <t>1.4.1</t>
        </is>
      </c>
      <c r="B829" s="34" t="inlineStr">
        <is>
          <t>Vehicles and Depot - Fleet Supply</t>
        </is>
      </c>
      <c r="C829" s="34" t="inlineStr">
        <is>
          <t>Contractor Programme</t>
        </is>
      </c>
      <c r="D829" s="34" t="inlineStr">
        <is>
          <t>SCH-04-013</t>
        </is>
      </c>
      <c r="E829" s="34" t="inlineStr">
        <is>
          <t>Maintenance shop: wash-plant commissioning - installation</t>
        </is>
      </c>
      <c r="F829" s="34" t="inlineStr">
        <is>
          <t>ONE_TO_ONE</t>
        </is>
      </c>
      <c r="G829" s="34" t="inlineStr">
        <is>
          <t>APPROVED</t>
        </is>
      </c>
      <c r="H829" s="34" t="inlineStr">
        <is>
          <t>New</t>
        </is>
      </c>
      <c r="I829" s="34" t="inlineStr">
        <is>
          <t>Source assignment -- not individually reviewed</t>
        </is>
      </c>
      <c r="J829" s="39" t="inlineStr"/>
      <c r="K829" s="34" t="inlineStr">
        <is>
          <t>Source assignment</t>
        </is>
      </c>
      <c r="L829" s="39" t="inlineStr"/>
      <c r="M829" s="34" t="inlineStr">
        <is>
          <t>Initial</t>
        </is>
      </c>
      <c r="N829" s="34" t="inlineStr">
        <is>
          <t>Rev 0</t>
        </is>
      </c>
      <c r="O829" s="34" t="inlineStr">
        <is>
          <t>R553-v1</t>
        </is>
      </c>
      <c r="P829" s="39" t="inlineStr"/>
      <c r="Q829" s="14" t="inlineStr"/>
      <c r="R829" s="39" t="inlineStr"/>
      <c r="S829" s="39" t="inlineStr"/>
      <c r="T829" s="39" t="inlineStr"/>
      <c r="U829" s="39" t="inlineStr"/>
      <c r="V829" s="34" t="inlineStr">
        <is>
          <t>WBS Code = 1.4.1</t>
        </is>
      </c>
      <c r="W829" s="14" t="inlineStr"/>
    </row>
    <row r="830" ht="49" customHeight="1">
      <c r="A830" s="34" t="inlineStr">
        <is>
          <t>1.4.1</t>
        </is>
      </c>
      <c r="B830" s="34" t="inlineStr">
        <is>
          <t>Vehicles and Depot - Fleet Supply</t>
        </is>
      </c>
      <c r="C830" s="34" t="inlineStr">
        <is>
          <t>Contractor Programme</t>
        </is>
      </c>
      <c r="D830" s="34" t="inlineStr">
        <is>
          <t>SCH-04-014</t>
        </is>
      </c>
      <c r="E830" s="34" t="inlineStr">
        <is>
          <t>Storage yard: maintenance-bay services - inspection</t>
        </is>
      </c>
      <c r="F830" s="34" t="inlineStr">
        <is>
          <t>ONE_TO_ONE</t>
        </is>
      </c>
      <c r="G830" s="34" t="inlineStr">
        <is>
          <t>APPROVED</t>
        </is>
      </c>
      <c r="H830" s="34" t="inlineStr">
        <is>
          <t>New</t>
        </is>
      </c>
      <c r="I830" s="34" t="inlineStr">
        <is>
          <t>Source assignment -- not individually reviewed</t>
        </is>
      </c>
      <c r="J830" s="39" t="inlineStr"/>
      <c r="K830" s="34" t="inlineStr">
        <is>
          <t>Source assignment</t>
        </is>
      </c>
      <c r="L830" s="39" t="inlineStr"/>
      <c r="M830" s="34" t="inlineStr">
        <is>
          <t>Initial</t>
        </is>
      </c>
      <c r="N830" s="34" t="inlineStr">
        <is>
          <t>Rev 0</t>
        </is>
      </c>
      <c r="O830" s="34" t="inlineStr">
        <is>
          <t>R554-v1</t>
        </is>
      </c>
      <c r="P830" s="39" t="inlineStr"/>
      <c r="Q830" s="14" t="inlineStr"/>
      <c r="R830" s="39" t="inlineStr"/>
      <c r="S830" s="39" t="inlineStr"/>
      <c r="T830" s="39" t="inlineStr"/>
      <c r="U830" s="39" t="inlineStr"/>
      <c r="V830" s="34" t="inlineStr">
        <is>
          <t>WBS Code = 1.4.1</t>
        </is>
      </c>
      <c r="W830" s="14" t="inlineStr"/>
    </row>
    <row r="831" ht="49" customHeight="1">
      <c r="A831" s="34" t="inlineStr">
        <is>
          <t>1.4.1</t>
        </is>
      </c>
      <c r="B831" s="34" t="inlineStr">
        <is>
          <t>Vehicles and Depot - Fleet Supply</t>
        </is>
      </c>
      <c r="C831" s="34" t="inlineStr">
        <is>
          <t>Contractor Programme</t>
        </is>
      </c>
      <c r="D831" s="34" t="inlineStr">
        <is>
          <t>SCH-04-016</t>
        </is>
      </c>
      <c r="E831" s="34" t="inlineStr">
        <is>
          <t>Test track: workshop crane installation - release</t>
        </is>
      </c>
      <c r="F831" s="34" t="inlineStr">
        <is>
          <t>ONE_TO_ONE</t>
        </is>
      </c>
      <c r="G831" s="34" t="inlineStr">
        <is>
          <t>APPROVED</t>
        </is>
      </c>
      <c r="H831" s="34" t="inlineStr">
        <is>
          <t>New</t>
        </is>
      </c>
      <c r="I831" s="34" t="inlineStr">
        <is>
          <t>Source assignment -- not individually reviewed</t>
        </is>
      </c>
      <c r="J831" s="39" t="inlineStr"/>
      <c r="K831" s="34" t="inlineStr">
        <is>
          <t>Source assignment</t>
        </is>
      </c>
      <c r="L831" s="39" t="inlineStr"/>
      <c r="M831" s="34" t="inlineStr">
        <is>
          <t>Initial</t>
        </is>
      </c>
      <c r="N831" s="34" t="inlineStr">
        <is>
          <t>Rev 0</t>
        </is>
      </c>
      <c r="O831" s="34" t="inlineStr">
        <is>
          <t>R556-v1</t>
        </is>
      </c>
      <c r="P831" s="39" t="inlineStr"/>
      <c r="Q831" s="14" t="inlineStr"/>
      <c r="R831" s="39" t="inlineStr"/>
      <c r="S831" s="39" t="inlineStr"/>
      <c r="T831" s="39" t="inlineStr"/>
      <c r="U831" s="39" t="inlineStr"/>
      <c r="V831" s="34" t="inlineStr">
        <is>
          <t>WBS Code = 1.4.1</t>
        </is>
      </c>
      <c r="W831" s="14" t="inlineStr"/>
    </row>
    <row r="832" ht="49" customHeight="1">
      <c r="A832" s="34" t="inlineStr">
        <is>
          <t>1.4.1</t>
        </is>
      </c>
      <c r="B832" s="34" t="inlineStr">
        <is>
          <t>Vehicles and Depot - Fleet Supply</t>
        </is>
      </c>
      <c r="C832" s="34" t="inlineStr">
        <is>
          <t>Contractor Programme</t>
        </is>
      </c>
      <c r="D832" s="34" t="inlineStr">
        <is>
          <t>SCH-04-017</t>
        </is>
      </c>
      <c r="E832" s="34" t="inlineStr">
        <is>
          <t>Receiving track: vehicle-to-depot interface check - field start</t>
        </is>
      </c>
      <c r="F832" s="34" t="inlineStr">
        <is>
          <t>ONE_TO_ONE</t>
        </is>
      </c>
      <c r="G832" s="34" t="inlineStr">
        <is>
          <t>APPROVED</t>
        </is>
      </c>
      <c r="H832" s="34" t="inlineStr">
        <is>
          <t>New</t>
        </is>
      </c>
      <c r="I832" s="34" t="inlineStr">
        <is>
          <t>Source assignment -- not individually reviewed</t>
        </is>
      </c>
      <c r="J832" s="39" t="inlineStr"/>
      <c r="K832" s="34" t="inlineStr">
        <is>
          <t>Source assignment</t>
        </is>
      </c>
      <c r="L832" s="39" t="inlineStr"/>
      <c r="M832" s="34" t="inlineStr">
        <is>
          <t>Initial</t>
        </is>
      </c>
      <c r="N832" s="34" t="inlineStr">
        <is>
          <t>Rev 0</t>
        </is>
      </c>
      <c r="O832" s="34" t="inlineStr">
        <is>
          <t>R557-v1</t>
        </is>
      </c>
      <c r="P832" s="39" t="inlineStr"/>
      <c r="Q832" s="14" t="inlineStr"/>
      <c r="R832" s="39" t="inlineStr"/>
      <c r="S832" s="39" t="inlineStr"/>
      <c r="T832" s="39" t="inlineStr"/>
      <c r="U832" s="39" t="inlineStr"/>
      <c r="V832" s="34" t="inlineStr">
        <is>
          <t>WBS Code = 1.4.1</t>
        </is>
      </c>
      <c r="W832" s="14" t="inlineStr"/>
    </row>
    <row r="833" ht="49" customHeight="1">
      <c r="A833" s="34" t="inlineStr">
        <is>
          <t>1.4.1</t>
        </is>
      </c>
      <c r="B833" s="34" t="inlineStr">
        <is>
          <t>Vehicles and Depot - Fleet Supply</t>
        </is>
      </c>
      <c r="C833" s="34" t="inlineStr">
        <is>
          <t>Contractor Programme</t>
        </is>
      </c>
      <c r="D833" s="34" t="inlineStr">
        <is>
          <t>SCH-04-019</t>
        </is>
      </c>
      <c r="E833" s="34" t="inlineStr">
        <is>
          <t>Storage yard: fleet software load - inspection</t>
        </is>
      </c>
      <c r="F833" s="34" t="inlineStr">
        <is>
          <t>ONE_TO_ONE</t>
        </is>
      </c>
      <c r="G833" s="34" t="inlineStr">
        <is>
          <t>APPROVED</t>
        </is>
      </c>
      <c r="H833" s="34" t="inlineStr">
        <is>
          <t>New</t>
        </is>
      </c>
      <c r="I833" s="34" t="inlineStr">
        <is>
          <t>Source assignment -- not individually reviewed</t>
        </is>
      </c>
      <c r="J833" s="39" t="inlineStr"/>
      <c r="K833" s="34" t="inlineStr">
        <is>
          <t>Source assignment</t>
        </is>
      </c>
      <c r="L833" s="39" t="inlineStr"/>
      <c r="M833" s="34" t="inlineStr">
        <is>
          <t>Initial</t>
        </is>
      </c>
      <c r="N833" s="34" t="inlineStr">
        <is>
          <t>Rev 0</t>
        </is>
      </c>
      <c r="O833" s="34" t="inlineStr">
        <is>
          <t>R559-v1</t>
        </is>
      </c>
      <c r="P833" s="39" t="inlineStr"/>
      <c r="Q833" s="14" t="inlineStr"/>
      <c r="R833" s="39" t="inlineStr"/>
      <c r="S833" s="39" t="inlineStr"/>
      <c r="T833" s="39" t="inlineStr"/>
      <c r="U833" s="39" t="inlineStr"/>
      <c r="V833" s="34" t="inlineStr">
        <is>
          <t>WBS Code = 1.4.1</t>
        </is>
      </c>
      <c r="W833" s="14" t="inlineStr"/>
    </row>
    <row r="834" ht="49" customHeight="1">
      <c r="A834" s="34" t="inlineStr">
        <is>
          <t>1.4.1</t>
        </is>
      </c>
      <c r="B834" s="34" t="inlineStr">
        <is>
          <t>Vehicles and Depot - Fleet Supply</t>
        </is>
      </c>
      <c r="C834" s="34" t="inlineStr">
        <is>
          <t>Contractor Programme</t>
        </is>
      </c>
      <c r="D834" s="34" t="inlineStr">
        <is>
          <t>SCH-04-020</t>
        </is>
      </c>
      <c r="E834" s="34" t="inlineStr">
        <is>
          <t>Operations building: vehicle delivery inspection - turnover</t>
        </is>
      </c>
      <c r="F834" s="34" t="inlineStr">
        <is>
          <t>ONE_TO_ONE</t>
        </is>
      </c>
      <c r="G834" s="34" t="inlineStr">
        <is>
          <t>APPROVED</t>
        </is>
      </c>
      <c r="H834" s="34" t="inlineStr">
        <is>
          <t>New</t>
        </is>
      </c>
      <c r="I834" s="34" t="inlineStr">
        <is>
          <t>Source assignment -- not individually reviewed</t>
        </is>
      </c>
      <c r="J834" s="39" t="inlineStr"/>
      <c r="K834" s="34" t="inlineStr">
        <is>
          <t>Source assignment</t>
        </is>
      </c>
      <c r="L834" s="39" t="inlineStr"/>
      <c r="M834" s="34" t="inlineStr">
        <is>
          <t>Initial</t>
        </is>
      </c>
      <c r="N834" s="34" t="inlineStr">
        <is>
          <t>Rev 0</t>
        </is>
      </c>
      <c r="O834" s="34" t="inlineStr">
        <is>
          <t>R560-v1</t>
        </is>
      </c>
      <c r="P834" s="39" t="inlineStr"/>
      <c r="Q834" s="14" t="inlineStr"/>
      <c r="R834" s="39" t="inlineStr"/>
      <c r="S834" s="39" t="inlineStr"/>
      <c r="T834" s="39" t="inlineStr"/>
      <c r="U834" s="39" t="inlineStr"/>
      <c r="V834" s="34" t="inlineStr">
        <is>
          <t>WBS Code = 1.4.1</t>
        </is>
      </c>
      <c r="W834" s="14" t="inlineStr"/>
    </row>
    <row r="835" ht="49" customHeight="1">
      <c r="A835" s="34" t="inlineStr">
        <is>
          <t>1.4.1</t>
        </is>
      </c>
      <c r="B835" s="34" t="inlineStr">
        <is>
          <t>Vehicles and Depot - Fleet Supply</t>
        </is>
      </c>
      <c r="C835" s="34" t="inlineStr">
        <is>
          <t>Contractor Programme</t>
        </is>
      </c>
      <c r="D835" s="34" t="inlineStr">
        <is>
          <t>SCH-04-022</t>
        </is>
      </c>
      <c r="E835" s="34" t="inlineStr">
        <is>
          <t>Receiving track: maintenance-bay services - field start</t>
        </is>
      </c>
      <c r="F835" s="34" t="inlineStr">
        <is>
          <t>ONE_TO_ONE</t>
        </is>
      </c>
      <c r="G835" s="34" t="inlineStr">
        <is>
          <t>APPROVED</t>
        </is>
      </c>
      <c r="H835" s="34" t="inlineStr">
        <is>
          <t>New</t>
        </is>
      </c>
      <c r="I835" s="34" t="inlineStr">
        <is>
          <t>Source assignment -- not individually reviewed</t>
        </is>
      </c>
      <c r="J835" s="39" t="inlineStr"/>
      <c r="K835" s="34" t="inlineStr">
        <is>
          <t>Source assignment</t>
        </is>
      </c>
      <c r="L835" s="39" t="inlineStr"/>
      <c r="M835" s="34" t="inlineStr">
        <is>
          <t>Initial</t>
        </is>
      </c>
      <c r="N835" s="34" t="inlineStr">
        <is>
          <t>Rev 0</t>
        </is>
      </c>
      <c r="O835" s="34" t="inlineStr">
        <is>
          <t>R562-v1</t>
        </is>
      </c>
      <c r="P835" s="39" t="inlineStr"/>
      <c r="Q835" s="14" t="inlineStr"/>
      <c r="R835" s="39" t="inlineStr"/>
      <c r="S835" s="39" t="inlineStr"/>
      <c r="T835" s="39" t="inlineStr"/>
      <c r="U835" s="39" t="inlineStr"/>
      <c r="V835" s="34" t="inlineStr">
        <is>
          <t>WBS Code = 1.4.1</t>
        </is>
      </c>
      <c r="W835" s="14" t="inlineStr"/>
    </row>
    <row r="836" ht="49" customHeight="1">
      <c r="A836" s="34" t="inlineStr">
        <is>
          <t>1.4.1</t>
        </is>
      </c>
      <c r="B836" s="34" t="inlineStr">
        <is>
          <t>Vehicles and Depot - Fleet Supply</t>
        </is>
      </c>
      <c r="C836" s="34" t="inlineStr">
        <is>
          <t>Contractor Programme</t>
        </is>
      </c>
      <c r="D836" s="34" t="inlineStr">
        <is>
          <t>SCH-04-023</t>
        </is>
      </c>
      <c r="E836" s="34" t="inlineStr">
        <is>
          <t>Maintenance shop: depot structural fit-out - installation</t>
        </is>
      </c>
      <c r="F836" s="34" t="inlineStr">
        <is>
          <t>ONE_TO_ONE</t>
        </is>
      </c>
      <c r="G836" s="34" t="inlineStr">
        <is>
          <t>APPROVED</t>
        </is>
      </c>
      <c r="H836" s="34" t="inlineStr">
        <is>
          <t>New</t>
        </is>
      </c>
      <c r="I836" s="34" t="inlineStr">
        <is>
          <t>Source assignment -- not individually reviewed</t>
        </is>
      </c>
      <c r="J836" s="39" t="inlineStr"/>
      <c r="K836" s="34" t="inlineStr">
        <is>
          <t>Source assignment</t>
        </is>
      </c>
      <c r="L836" s="39" t="inlineStr"/>
      <c r="M836" s="34" t="inlineStr">
        <is>
          <t>Initial</t>
        </is>
      </c>
      <c r="N836" s="34" t="inlineStr">
        <is>
          <t>Rev 0</t>
        </is>
      </c>
      <c r="O836" s="34" t="inlineStr">
        <is>
          <t>R563-v1</t>
        </is>
      </c>
      <c r="P836" s="39" t="inlineStr"/>
      <c r="Q836" s="14" t="inlineStr"/>
      <c r="R836" s="39" t="inlineStr"/>
      <c r="S836" s="39" t="inlineStr"/>
      <c r="T836" s="39" t="inlineStr"/>
      <c r="U836" s="39" t="inlineStr"/>
      <c r="V836" s="34" t="inlineStr">
        <is>
          <t>WBS Code = 1.4.1</t>
        </is>
      </c>
      <c r="W836" s="14" t="inlineStr"/>
    </row>
    <row r="837" ht="49" customHeight="1">
      <c r="A837" s="34" t="inlineStr">
        <is>
          <t>1.4.1</t>
        </is>
      </c>
      <c r="B837" s="34" t="inlineStr">
        <is>
          <t>Vehicles and Depot - Fleet Supply</t>
        </is>
      </c>
      <c r="C837" s="34" t="inlineStr">
        <is>
          <t>Contractor Programme</t>
        </is>
      </c>
      <c r="D837" s="34" t="inlineStr">
        <is>
          <t>SCH-04-025</t>
        </is>
      </c>
      <c r="E837" s="34" t="inlineStr">
        <is>
          <t>Operations building: vehicle-to-depot interface check - turnover</t>
        </is>
      </c>
      <c r="F837" s="34" t="inlineStr">
        <is>
          <t>ONE_TO_ONE</t>
        </is>
      </c>
      <c r="G837" s="34" t="inlineStr">
        <is>
          <t>APPROVED</t>
        </is>
      </c>
      <c r="H837" s="34" t="inlineStr">
        <is>
          <t>New</t>
        </is>
      </c>
      <c r="I837" s="34" t="inlineStr">
        <is>
          <t>Source assignment -- not individually reviewed</t>
        </is>
      </c>
      <c r="J837" s="39" t="inlineStr"/>
      <c r="K837" s="34" t="inlineStr">
        <is>
          <t>Source assignment</t>
        </is>
      </c>
      <c r="L837" s="39" t="inlineStr"/>
      <c r="M837" s="34" t="inlineStr">
        <is>
          <t>Initial</t>
        </is>
      </c>
      <c r="N837" s="34" t="inlineStr">
        <is>
          <t>Rev 0</t>
        </is>
      </c>
      <c r="O837" s="34" t="inlineStr">
        <is>
          <t>R565-v1</t>
        </is>
      </c>
      <c r="P837" s="39" t="inlineStr"/>
      <c r="Q837" s="14" t="inlineStr"/>
      <c r="R837" s="39" t="inlineStr"/>
      <c r="S837" s="39" t="inlineStr"/>
      <c r="T837" s="39" t="inlineStr"/>
      <c r="U837" s="39" t="inlineStr"/>
      <c r="V837" s="34" t="inlineStr">
        <is>
          <t>WBS Code = 1.4.1</t>
        </is>
      </c>
      <c r="W837" s="14" t="inlineStr"/>
    </row>
    <row r="838" ht="49" customHeight="1">
      <c r="A838" s="34" t="inlineStr">
        <is>
          <t>1.4.1</t>
        </is>
      </c>
      <c r="B838" s="34" t="inlineStr">
        <is>
          <t>Vehicles and Depot - Fleet Supply</t>
        </is>
      </c>
      <c r="C838" s="34" t="inlineStr">
        <is>
          <t>Contractor Programme</t>
        </is>
      </c>
      <c r="D838" s="34" t="inlineStr">
        <is>
          <t>SCH-04-026</t>
        </is>
      </c>
      <c r="E838" s="34" t="inlineStr">
        <is>
          <t>Test track: wheel-lathe installation - release</t>
        </is>
      </c>
      <c r="F838" s="34" t="inlineStr">
        <is>
          <t>ONE_TO_ONE</t>
        </is>
      </c>
      <c r="G838" s="34" t="inlineStr">
        <is>
          <t>APPROVED</t>
        </is>
      </c>
      <c r="H838" s="34" t="inlineStr">
        <is>
          <t>New</t>
        </is>
      </c>
      <c r="I838" s="34" t="inlineStr">
        <is>
          <t>Source assignment -- not individually reviewed</t>
        </is>
      </c>
      <c r="J838" s="39" t="inlineStr"/>
      <c r="K838" s="34" t="inlineStr">
        <is>
          <t>Source assignment</t>
        </is>
      </c>
      <c r="L838" s="39" t="inlineStr"/>
      <c r="M838" s="34" t="inlineStr">
        <is>
          <t>Initial</t>
        </is>
      </c>
      <c r="N838" s="34" t="inlineStr">
        <is>
          <t>Rev 0</t>
        </is>
      </c>
      <c r="O838" s="34" t="inlineStr">
        <is>
          <t>R566-v1</t>
        </is>
      </c>
      <c r="P838" s="39" t="inlineStr"/>
      <c r="Q838" s="14" t="inlineStr"/>
      <c r="R838" s="39" t="inlineStr"/>
      <c r="S838" s="39" t="inlineStr"/>
      <c r="T838" s="39" t="inlineStr"/>
      <c r="U838" s="39" t="inlineStr"/>
      <c r="V838" s="34" t="inlineStr">
        <is>
          <t>WBS Code = 1.4.1</t>
        </is>
      </c>
      <c r="W838" s="14" t="inlineStr"/>
    </row>
    <row r="839" ht="49" customHeight="1">
      <c r="A839" s="34" t="inlineStr">
        <is>
          <t>1.4.1</t>
        </is>
      </c>
      <c r="B839" s="34" t="inlineStr">
        <is>
          <t>Vehicles and Depot - Fleet Supply</t>
        </is>
      </c>
      <c r="C839" s="34" t="inlineStr">
        <is>
          <t>Contractor Programme</t>
        </is>
      </c>
      <c r="D839" s="34" t="inlineStr">
        <is>
          <t>SCH-04-028</t>
        </is>
      </c>
      <c r="E839" s="34" t="inlineStr">
        <is>
          <t>Maintenance shop: vehicle delivery inspection - installation</t>
        </is>
      </c>
      <c r="F839" s="34" t="inlineStr">
        <is>
          <t>ONE_TO_ONE</t>
        </is>
      </c>
      <c r="G839" s="34" t="inlineStr">
        <is>
          <t>APPROVED</t>
        </is>
      </c>
      <c r="H839" s="34" t="inlineStr">
        <is>
          <t>New</t>
        </is>
      </c>
      <c r="I839" s="34" t="inlineStr">
        <is>
          <t>Source assignment -- not individually reviewed</t>
        </is>
      </c>
      <c r="J839" s="39" t="inlineStr"/>
      <c r="K839" s="34" t="inlineStr">
        <is>
          <t>Source assignment</t>
        </is>
      </c>
      <c r="L839" s="39" t="inlineStr"/>
      <c r="M839" s="34" t="inlineStr">
        <is>
          <t>Initial</t>
        </is>
      </c>
      <c r="N839" s="34" t="inlineStr">
        <is>
          <t>Rev 0</t>
        </is>
      </c>
      <c r="O839" s="34" t="inlineStr">
        <is>
          <t>R568-v1</t>
        </is>
      </c>
      <c r="P839" s="39" t="inlineStr"/>
      <c r="Q839" s="14" t="inlineStr"/>
      <c r="R839" s="39" t="inlineStr"/>
      <c r="S839" s="39" t="inlineStr"/>
      <c r="T839" s="39" t="inlineStr"/>
      <c r="U839" s="39" t="inlineStr"/>
      <c r="V839" s="34" t="inlineStr">
        <is>
          <t>WBS Code = 1.4.1</t>
        </is>
      </c>
      <c r="W839" s="14" t="inlineStr"/>
    </row>
    <row r="840" ht="49" customHeight="1">
      <c r="A840" s="34" t="inlineStr">
        <is>
          <t>1.4.1</t>
        </is>
      </c>
      <c r="B840" s="34" t="inlineStr">
        <is>
          <t>Vehicles and Depot - Fleet Supply</t>
        </is>
      </c>
      <c r="C840" s="34" t="inlineStr">
        <is>
          <t>Contractor Programme</t>
        </is>
      </c>
      <c r="D840" s="34" t="inlineStr">
        <is>
          <t>SCH-04-029</t>
        </is>
      </c>
      <c r="E840" s="34" t="inlineStr">
        <is>
          <t>Storage yard: wash-plant commissioning - inspection</t>
        </is>
      </c>
      <c r="F840" s="34" t="inlineStr">
        <is>
          <t>ONE_TO_ONE</t>
        </is>
      </c>
      <c r="G840" s="34" t="inlineStr">
        <is>
          <t>APPROVED</t>
        </is>
      </c>
      <c r="H840" s="34" t="inlineStr">
        <is>
          <t>New</t>
        </is>
      </c>
      <c r="I840" s="34" t="inlineStr">
        <is>
          <t>Source assignment -- not individually reviewed</t>
        </is>
      </c>
      <c r="J840" s="39" t="inlineStr"/>
      <c r="K840" s="34" t="inlineStr">
        <is>
          <t>Source assignment</t>
        </is>
      </c>
      <c r="L840" s="39" t="inlineStr"/>
      <c r="M840" s="34" t="inlineStr">
        <is>
          <t>Initial</t>
        </is>
      </c>
      <c r="N840" s="34" t="inlineStr">
        <is>
          <t>Rev 0</t>
        </is>
      </c>
      <c r="O840" s="34" t="inlineStr">
        <is>
          <t>R569-v1</t>
        </is>
      </c>
      <c r="P840" s="39" t="inlineStr"/>
      <c r="Q840" s="14" t="inlineStr"/>
      <c r="R840" s="39" t="inlineStr"/>
      <c r="S840" s="39" t="inlineStr"/>
      <c r="T840" s="39" t="inlineStr"/>
      <c r="U840" s="39" t="inlineStr"/>
      <c r="V840" s="34" t="inlineStr">
        <is>
          <t>WBS Code = 1.4.1</t>
        </is>
      </c>
      <c r="W840" s="14" t="inlineStr"/>
    </row>
    <row r="841" ht="49" customHeight="1">
      <c r="A841" s="34" t="inlineStr">
        <is>
          <t>1.4.1</t>
        </is>
      </c>
      <c r="B841" s="34" t="inlineStr">
        <is>
          <t>Vehicles and Depot - Fleet Supply</t>
        </is>
      </c>
      <c r="C841" s="34" t="inlineStr">
        <is>
          <t>Contractor Programme</t>
        </is>
      </c>
      <c r="D841" s="34" t="inlineStr">
        <is>
          <t>SCH-04-031</t>
        </is>
      </c>
      <c r="E841" s="34" t="inlineStr">
        <is>
          <t>Test track: depot structural fit-out - release</t>
        </is>
      </c>
      <c r="F841" s="34" t="inlineStr">
        <is>
          <t>ONE_TO_ONE</t>
        </is>
      </c>
      <c r="G841" s="34" t="inlineStr">
        <is>
          <t>APPROVED</t>
        </is>
      </c>
      <c r="H841" s="34" t="inlineStr">
        <is>
          <t>New</t>
        </is>
      </c>
      <c r="I841" s="34" t="inlineStr">
        <is>
          <t>Source assignment -- not individually reviewed</t>
        </is>
      </c>
      <c r="J841" s="39" t="inlineStr"/>
      <c r="K841" s="34" t="inlineStr">
        <is>
          <t>Source assignment</t>
        </is>
      </c>
      <c r="L841" s="39" t="inlineStr"/>
      <c r="M841" s="34" t="inlineStr">
        <is>
          <t>Initial</t>
        </is>
      </c>
      <c r="N841" s="34" t="inlineStr">
        <is>
          <t>Rev 0</t>
        </is>
      </c>
      <c r="O841" s="34" t="inlineStr">
        <is>
          <t>R571-v1</t>
        </is>
      </c>
      <c r="P841" s="39" t="inlineStr"/>
      <c r="Q841" s="14" t="inlineStr"/>
      <c r="R841" s="39" t="inlineStr"/>
      <c r="S841" s="39" t="inlineStr"/>
      <c r="T841" s="39" t="inlineStr"/>
      <c r="U841" s="39" t="inlineStr"/>
      <c r="V841" s="34" t="inlineStr">
        <is>
          <t>WBS Code = 1.4.1</t>
        </is>
      </c>
      <c r="W841" s="14" t="inlineStr"/>
    </row>
    <row r="842" ht="49" customHeight="1">
      <c r="A842" s="34" t="inlineStr">
        <is>
          <t>1.4.1</t>
        </is>
      </c>
      <c r="B842" s="34" t="inlineStr">
        <is>
          <t>Vehicles and Depot - Fleet Supply</t>
        </is>
      </c>
      <c r="C842" s="34" t="inlineStr">
        <is>
          <t>Contractor Programme</t>
        </is>
      </c>
      <c r="D842" s="34" t="inlineStr">
        <is>
          <t>SCH-04-032</t>
        </is>
      </c>
      <c r="E842" s="34" t="inlineStr">
        <is>
          <t>Receiving track: workshop crane installation - field start</t>
        </is>
      </c>
      <c r="F842" s="34" t="inlineStr">
        <is>
          <t>ONE_TO_ONE</t>
        </is>
      </c>
      <c r="G842" s="34" t="inlineStr">
        <is>
          <t>APPROVED</t>
        </is>
      </c>
      <c r="H842" s="34" t="inlineStr">
        <is>
          <t>New</t>
        </is>
      </c>
      <c r="I842" s="34" t="inlineStr">
        <is>
          <t>Source assignment -- not individually reviewed</t>
        </is>
      </c>
      <c r="J842" s="39" t="inlineStr"/>
      <c r="K842" s="34" t="inlineStr">
        <is>
          <t>Source assignment</t>
        </is>
      </c>
      <c r="L842" s="39" t="inlineStr"/>
      <c r="M842" s="34" t="inlineStr">
        <is>
          <t>Initial</t>
        </is>
      </c>
      <c r="N842" s="34" t="inlineStr">
        <is>
          <t>Rev 0</t>
        </is>
      </c>
      <c r="O842" s="34" t="inlineStr">
        <is>
          <t>R572-v1</t>
        </is>
      </c>
      <c r="P842" s="39" t="inlineStr"/>
      <c r="Q842" s="14" t="inlineStr"/>
      <c r="R842" s="39" t="inlineStr"/>
      <c r="S842" s="39" t="inlineStr"/>
      <c r="T842" s="39" t="inlineStr"/>
      <c r="U842" s="39" t="inlineStr"/>
      <c r="V842" s="34" t="inlineStr">
        <is>
          <t>WBS Code = 1.4.1</t>
        </is>
      </c>
      <c r="W842" s="14" t="inlineStr"/>
    </row>
    <row r="843" ht="49" customHeight="1">
      <c r="A843" s="34" t="inlineStr">
        <is>
          <t>1.4.1</t>
        </is>
      </c>
      <c r="B843" s="34" t="inlineStr">
        <is>
          <t>Vehicles and Depot - Fleet Supply</t>
        </is>
      </c>
      <c r="C843" s="34" t="inlineStr">
        <is>
          <t>Contractor Programme</t>
        </is>
      </c>
      <c r="D843" s="34" t="inlineStr">
        <is>
          <t>SCH-04-034</t>
        </is>
      </c>
      <c r="E843" s="34" t="inlineStr">
        <is>
          <t>Storage yard: wheel-lathe installation - inspection</t>
        </is>
      </c>
      <c r="F843" s="34" t="inlineStr">
        <is>
          <t>ONE_TO_ONE</t>
        </is>
      </c>
      <c r="G843" s="34" t="inlineStr">
        <is>
          <t>APPROVED</t>
        </is>
      </c>
      <c r="H843" s="34" t="inlineStr">
        <is>
          <t>New</t>
        </is>
      </c>
      <c r="I843" s="34" t="inlineStr">
        <is>
          <t>Source assignment -- not individually reviewed</t>
        </is>
      </c>
      <c r="J843" s="39" t="inlineStr"/>
      <c r="K843" s="34" t="inlineStr">
        <is>
          <t>Source assignment</t>
        </is>
      </c>
      <c r="L843" s="39" t="inlineStr"/>
      <c r="M843" s="34" t="inlineStr">
        <is>
          <t>Initial</t>
        </is>
      </c>
      <c r="N843" s="34" t="inlineStr">
        <is>
          <t>Rev 0</t>
        </is>
      </c>
      <c r="O843" s="34" t="inlineStr">
        <is>
          <t>R574-v1</t>
        </is>
      </c>
      <c r="P843" s="39" t="inlineStr"/>
      <c r="Q843" s="14" t="inlineStr"/>
      <c r="R843" s="39" t="inlineStr"/>
      <c r="S843" s="39" t="inlineStr"/>
      <c r="T843" s="39" t="inlineStr"/>
      <c r="U843" s="39" t="inlineStr"/>
      <c r="V843" s="34" t="inlineStr">
        <is>
          <t>WBS Code = 1.4.1</t>
        </is>
      </c>
      <c r="W843" s="14" t="inlineStr"/>
    </row>
    <row r="844" ht="49" customHeight="1">
      <c r="A844" s="34" t="inlineStr">
        <is>
          <t>1.4.1</t>
        </is>
      </c>
      <c r="B844" s="34" t="inlineStr">
        <is>
          <t>Vehicles and Depot - Fleet Supply</t>
        </is>
      </c>
      <c r="C844" s="34" t="inlineStr">
        <is>
          <t>Contractor Programme</t>
        </is>
      </c>
      <c r="D844" s="34" t="inlineStr">
        <is>
          <t>SCH-04-035</t>
        </is>
      </c>
      <c r="E844" s="34" t="inlineStr">
        <is>
          <t>Operations building: fleet software load - turnover</t>
        </is>
      </c>
      <c r="F844" s="34" t="inlineStr">
        <is>
          <t>ONE_TO_ONE</t>
        </is>
      </c>
      <c r="G844" s="34" t="inlineStr">
        <is>
          <t>APPROVED</t>
        </is>
      </c>
      <c r="H844" s="34" t="inlineStr">
        <is>
          <t>New</t>
        </is>
      </c>
      <c r="I844" s="34" t="inlineStr">
        <is>
          <t>Source assignment -- not individually reviewed</t>
        </is>
      </c>
      <c r="J844" s="39" t="inlineStr"/>
      <c r="K844" s="34" t="inlineStr">
        <is>
          <t>Source assignment</t>
        </is>
      </c>
      <c r="L844" s="39" t="inlineStr"/>
      <c r="M844" s="34" t="inlineStr">
        <is>
          <t>Initial</t>
        </is>
      </c>
      <c r="N844" s="34" t="inlineStr">
        <is>
          <t>Rev 0</t>
        </is>
      </c>
      <c r="O844" s="34" t="inlineStr">
        <is>
          <t>R575-v1</t>
        </is>
      </c>
      <c r="P844" s="39" t="inlineStr"/>
      <c r="Q844" s="14" t="inlineStr"/>
      <c r="R844" s="39" t="inlineStr"/>
      <c r="S844" s="39" t="inlineStr"/>
      <c r="T844" s="39" t="inlineStr"/>
      <c r="U844" s="39" t="inlineStr"/>
      <c r="V844" s="34" t="inlineStr">
        <is>
          <t>WBS Code = 1.4.1</t>
        </is>
      </c>
      <c r="W844" s="14" t="inlineStr"/>
    </row>
    <row r="845" ht="49" customHeight="1">
      <c r="A845" s="34" t="inlineStr">
        <is>
          <t>1.4.1</t>
        </is>
      </c>
      <c r="B845" s="34" t="inlineStr">
        <is>
          <t>Vehicles and Depot - Fleet Supply</t>
        </is>
      </c>
      <c r="C845" s="34" t="inlineStr">
        <is>
          <t>Contractor Programme</t>
        </is>
      </c>
      <c r="D845" s="34" t="inlineStr">
        <is>
          <t>SCH-04-037</t>
        </is>
      </c>
      <c r="E845" s="34" t="inlineStr">
        <is>
          <t>Receiving track: wash-plant commissioning - field start</t>
        </is>
      </c>
      <c r="F845" s="34" t="inlineStr">
        <is>
          <t>ONE_TO_ONE</t>
        </is>
      </c>
      <c r="G845" s="34" t="inlineStr">
        <is>
          <t>APPROVED</t>
        </is>
      </c>
      <c r="H845" s="34" t="inlineStr">
        <is>
          <t>New</t>
        </is>
      </c>
      <c r="I845" s="34" t="inlineStr">
        <is>
          <t>Source assignment -- not individually reviewed</t>
        </is>
      </c>
      <c r="J845" s="39" t="inlineStr"/>
      <c r="K845" s="34" t="inlineStr">
        <is>
          <t>Source assignment</t>
        </is>
      </c>
      <c r="L845" s="39" t="inlineStr"/>
      <c r="M845" s="34" t="inlineStr">
        <is>
          <t>Initial</t>
        </is>
      </c>
      <c r="N845" s="34" t="inlineStr">
        <is>
          <t>Rev 0</t>
        </is>
      </c>
      <c r="O845" s="34" t="inlineStr">
        <is>
          <t>R577-v1</t>
        </is>
      </c>
      <c r="P845" s="39" t="inlineStr"/>
      <c r="Q845" s="14" t="inlineStr"/>
      <c r="R845" s="39" t="inlineStr"/>
      <c r="S845" s="39" t="inlineStr"/>
      <c r="T845" s="39" t="inlineStr"/>
      <c r="U845" s="39" t="inlineStr"/>
      <c r="V845" s="34" t="inlineStr">
        <is>
          <t>WBS Code = 1.4.1</t>
        </is>
      </c>
      <c r="W845" s="14" t="inlineStr"/>
    </row>
    <row r="846" ht="49" customHeight="1">
      <c r="A846" s="34" t="inlineStr">
        <is>
          <t>1.4.1</t>
        </is>
      </c>
      <c r="B846" s="34" t="inlineStr">
        <is>
          <t>Vehicles and Depot - Fleet Supply</t>
        </is>
      </c>
      <c r="C846" s="34" t="inlineStr">
        <is>
          <t>Contractor Programme</t>
        </is>
      </c>
      <c r="D846" s="34" t="inlineStr">
        <is>
          <t>SCH-04-038</t>
        </is>
      </c>
      <c r="E846" s="34" t="inlineStr">
        <is>
          <t>Maintenance shop: maintenance-bay services - installation</t>
        </is>
      </c>
      <c r="F846" s="34" t="inlineStr">
        <is>
          <t>ONE_TO_ONE</t>
        </is>
      </c>
      <c r="G846" s="34" t="inlineStr">
        <is>
          <t>APPROVED</t>
        </is>
      </c>
      <c r="H846" s="34" t="inlineStr">
        <is>
          <t>New</t>
        </is>
      </c>
      <c r="I846" s="34" t="inlineStr">
        <is>
          <t>Source assignment -- not individually reviewed</t>
        </is>
      </c>
      <c r="J846" s="39" t="inlineStr"/>
      <c r="K846" s="34" t="inlineStr">
        <is>
          <t>Source assignment</t>
        </is>
      </c>
      <c r="L846" s="39" t="inlineStr"/>
      <c r="M846" s="34" t="inlineStr">
        <is>
          <t>Initial</t>
        </is>
      </c>
      <c r="N846" s="34" t="inlineStr">
        <is>
          <t>Rev 0</t>
        </is>
      </c>
      <c r="O846" s="34" t="inlineStr">
        <is>
          <t>R578-v1</t>
        </is>
      </c>
      <c r="P846" s="39" t="inlineStr"/>
      <c r="Q846" s="14" t="inlineStr"/>
      <c r="R846" s="39" t="inlineStr"/>
      <c r="S846" s="39" t="inlineStr"/>
      <c r="T846" s="39" t="inlineStr"/>
      <c r="U846" s="39" t="inlineStr"/>
      <c r="V846" s="34" t="inlineStr">
        <is>
          <t>WBS Code = 1.4.1</t>
        </is>
      </c>
      <c r="W846" s="14" t="inlineStr"/>
    </row>
    <row r="847" ht="49" customHeight="1">
      <c r="A847" s="34" t="inlineStr">
        <is>
          <t>1.4.1</t>
        </is>
      </c>
      <c r="B847" s="34" t="inlineStr">
        <is>
          <t>Vehicles and Depot - Fleet Supply</t>
        </is>
      </c>
      <c r="C847" s="34" t="inlineStr">
        <is>
          <t>Contractor Programme</t>
        </is>
      </c>
      <c r="D847" s="34" t="inlineStr">
        <is>
          <t>SCH-04-040</t>
        </is>
      </c>
      <c r="E847" s="34" t="inlineStr">
        <is>
          <t>Operations building: workshop crane installation - turnover</t>
        </is>
      </c>
      <c r="F847" s="34" t="inlineStr">
        <is>
          <t>ONE_TO_ONE</t>
        </is>
      </c>
      <c r="G847" s="34" t="inlineStr">
        <is>
          <t>APPROVED</t>
        </is>
      </c>
      <c r="H847" s="34" t="inlineStr">
        <is>
          <t>New</t>
        </is>
      </c>
      <c r="I847" s="34" t="inlineStr">
        <is>
          <t>Source assignment -- not individually reviewed</t>
        </is>
      </c>
      <c r="J847" s="39" t="inlineStr"/>
      <c r="K847" s="34" t="inlineStr">
        <is>
          <t>Source assignment</t>
        </is>
      </c>
      <c r="L847" s="39" t="inlineStr"/>
      <c r="M847" s="34" t="inlineStr">
        <is>
          <t>Initial</t>
        </is>
      </c>
      <c r="N847" s="34" t="inlineStr">
        <is>
          <t>Rev 0</t>
        </is>
      </c>
      <c r="O847" s="34" t="inlineStr">
        <is>
          <t>R580-v1</t>
        </is>
      </c>
      <c r="P847" s="39" t="inlineStr"/>
      <c r="Q847" s="14" t="inlineStr"/>
      <c r="R847" s="39" t="inlineStr"/>
      <c r="S847" s="39" t="inlineStr"/>
      <c r="T847" s="39" t="inlineStr"/>
      <c r="U847" s="39" t="inlineStr"/>
      <c r="V847" s="34" t="inlineStr">
        <is>
          <t>WBS Code = 1.4.1</t>
        </is>
      </c>
      <c r="W847" s="14" t="inlineStr"/>
    </row>
    <row r="848" ht="49" customHeight="1">
      <c r="A848" s="34" t="inlineStr">
        <is>
          <t>1.4.1</t>
        </is>
      </c>
      <c r="B848" s="34" t="inlineStr">
        <is>
          <t>Vehicles and Depot - Fleet Supply</t>
        </is>
      </c>
      <c r="C848" s="34" t="inlineStr">
        <is>
          <t>Contractor Programme</t>
        </is>
      </c>
      <c r="D848" s="34" t="inlineStr">
        <is>
          <t>SCH-04-041</t>
        </is>
      </c>
      <c r="E848" s="34" t="inlineStr">
        <is>
          <t>Test track: vehicle-to-depot interface check - release</t>
        </is>
      </c>
      <c r="F848" s="34" t="inlineStr">
        <is>
          <t>ONE_TO_ONE</t>
        </is>
      </c>
      <c r="G848" s="34" t="inlineStr">
        <is>
          <t>APPROVED</t>
        </is>
      </c>
      <c r="H848" s="34" t="inlineStr">
        <is>
          <t>New</t>
        </is>
      </c>
      <c r="I848" s="34" t="inlineStr">
        <is>
          <t>Source assignment -- not individually reviewed</t>
        </is>
      </c>
      <c r="J848" s="39" t="inlineStr"/>
      <c r="K848" s="34" t="inlineStr">
        <is>
          <t>Source assignment</t>
        </is>
      </c>
      <c r="L848" s="39" t="inlineStr"/>
      <c r="M848" s="34" t="inlineStr">
        <is>
          <t>Initial</t>
        </is>
      </c>
      <c r="N848" s="34" t="inlineStr">
        <is>
          <t>Rev 0</t>
        </is>
      </c>
      <c r="O848" s="34" t="inlineStr">
        <is>
          <t>R581-v1</t>
        </is>
      </c>
      <c r="P848" s="39" t="inlineStr"/>
      <c r="Q848" s="14" t="inlineStr"/>
      <c r="R848" s="39" t="inlineStr"/>
      <c r="S848" s="39" t="inlineStr"/>
      <c r="T848" s="39" t="inlineStr"/>
      <c r="U848" s="39" t="inlineStr"/>
      <c r="V848" s="34" t="inlineStr">
        <is>
          <t>WBS Code = 1.4.1</t>
        </is>
      </c>
      <c r="W848" s="14" t="inlineStr"/>
    </row>
    <row r="849" ht="49" customHeight="1">
      <c r="A849" s="34" t="inlineStr">
        <is>
          <t>1.4.1</t>
        </is>
      </c>
      <c r="B849" s="34" t="inlineStr">
        <is>
          <t>Vehicles and Depot - Fleet Supply</t>
        </is>
      </c>
      <c r="C849" s="34" t="inlineStr">
        <is>
          <t>Contractor Programme</t>
        </is>
      </c>
      <c r="D849" s="34" t="inlineStr">
        <is>
          <t>SCH-04-043</t>
        </is>
      </c>
      <c r="E849" s="34" t="inlineStr">
        <is>
          <t>Maintenance shop: fleet software load - installation</t>
        </is>
      </c>
      <c r="F849" s="34" t="inlineStr">
        <is>
          <t>ONE_TO_ONE</t>
        </is>
      </c>
      <c r="G849" s="34" t="inlineStr">
        <is>
          <t>APPROVED</t>
        </is>
      </c>
      <c r="H849" s="34" t="inlineStr">
        <is>
          <t>New</t>
        </is>
      </c>
      <c r="I849" s="34" t="inlineStr">
        <is>
          <t>Source assignment -- not individually reviewed</t>
        </is>
      </c>
      <c r="J849" s="39" t="inlineStr"/>
      <c r="K849" s="34" t="inlineStr">
        <is>
          <t>Source assignment</t>
        </is>
      </c>
      <c r="L849" s="39" t="inlineStr"/>
      <c r="M849" s="34" t="inlineStr">
        <is>
          <t>Initial</t>
        </is>
      </c>
      <c r="N849" s="34" t="inlineStr">
        <is>
          <t>Rev 0</t>
        </is>
      </c>
      <c r="O849" s="34" t="inlineStr">
        <is>
          <t>R583-v1</t>
        </is>
      </c>
      <c r="P849" s="39" t="inlineStr"/>
      <c r="Q849" s="14" t="inlineStr"/>
      <c r="R849" s="39" t="inlineStr"/>
      <c r="S849" s="39" t="inlineStr"/>
      <c r="T849" s="39" t="inlineStr"/>
      <c r="U849" s="39" t="inlineStr"/>
      <c r="V849" s="34" t="inlineStr">
        <is>
          <t>WBS Code = 1.4.1</t>
        </is>
      </c>
      <c r="W849" s="14" t="inlineStr"/>
    </row>
    <row r="850" ht="49" customHeight="1">
      <c r="A850" s="34" t="inlineStr">
        <is>
          <t>1.4.1</t>
        </is>
      </c>
      <c r="B850" s="34" t="inlineStr">
        <is>
          <t>Vehicles and Depot - Fleet Supply</t>
        </is>
      </c>
      <c r="C850" s="34" t="inlineStr">
        <is>
          <t>Contractor Programme</t>
        </is>
      </c>
      <c r="D850" s="34" t="inlineStr">
        <is>
          <t>SCH-04-044</t>
        </is>
      </c>
      <c r="E850" s="34" t="inlineStr">
        <is>
          <t>Storage yard: vehicle delivery inspection - inspection</t>
        </is>
      </c>
      <c r="F850" s="34" t="inlineStr">
        <is>
          <t>ONE_TO_ONE</t>
        </is>
      </c>
      <c r="G850" s="34" t="inlineStr">
        <is>
          <t>APPROVED</t>
        </is>
      </c>
      <c r="H850" s="34" t="inlineStr">
        <is>
          <t>New</t>
        </is>
      </c>
      <c r="I850" s="34" t="inlineStr">
        <is>
          <t>Source assignment -- not individually reviewed</t>
        </is>
      </c>
      <c r="J850" s="39" t="inlineStr"/>
      <c r="K850" s="34" t="inlineStr">
        <is>
          <t>Source assignment</t>
        </is>
      </c>
      <c r="L850" s="39" t="inlineStr"/>
      <c r="M850" s="34" t="inlineStr">
        <is>
          <t>Initial</t>
        </is>
      </c>
      <c r="N850" s="34" t="inlineStr">
        <is>
          <t>Rev 0</t>
        </is>
      </c>
      <c r="O850" s="34" t="inlineStr">
        <is>
          <t>R584-v1</t>
        </is>
      </c>
      <c r="P850" s="39" t="inlineStr"/>
      <c r="Q850" s="14" t="inlineStr"/>
      <c r="R850" s="39" t="inlineStr"/>
      <c r="S850" s="39" t="inlineStr"/>
      <c r="T850" s="39" t="inlineStr"/>
      <c r="U850" s="39" t="inlineStr"/>
      <c r="V850" s="34" t="inlineStr">
        <is>
          <t>WBS Code = 1.4.1</t>
        </is>
      </c>
      <c r="W850" s="14" t="inlineStr"/>
    </row>
    <row r="851" ht="49" customHeight="1">
      <c r="A851" s="34" t="inlineStr">
        <is>
          <t>1.4.1</t>
        </is>
      </c>
      <c r="B851" s="34" t="inlineStr">
        <is>
          <t>Vehicles and Depot - Fleet Supply</t>
        </is>
      </c>
      <c r="C851" s="34" t="inlineStr">
        <is>
          <t>Contractor Programme</t>
        </is>
      </c>
      <c r="D851" s="34" t="inlineStr">
        <is>
          <t>SCH-04-046</t>
        </is>
      </c>
      <c r="E851" s="34" t="inlineStr">
        <is>
          <t>Test track: maintenance-bay services - release</t>
        </is>
      </c>
      <c r="F851" s="34" t="inlineStr">
        <is>
          <t>ONE_TO_ONE</t>
        </is>
      </c>
      <c r="G851" s="34" t="inlineStr">
        <is>
          <t>APPROVED</t>
        </is>
      </c>
      <c r="H851" s="34" t="inlineStr">
        <is>
          <t>New</t>
        </is>
      </c>
      <c r="I851" s="34" t="inlineStr">
        <is>
          <t>Source assignment -- not individually reviewed</t>
        </is>
      </c>
      <c r="J851" s="39" t="inlineStr"/>
      <c r="K851" s="34" t="inlineStr">
        <is>
          <t>Source assignment</t>
        </is>
      </c>
      <c r="L851" s="39" t="inlineStr"/>
      <c r="M851" s="34" t="inlineStr">
        <is>
          <t>Initial</t>
        </is>
      </c>
      <c r="N851" s="34" t="inlineStr">
        <is>
          <t>Rev 0</t>
        </is>
      </c>
      <c r="O851" s="34" t="inlineStr">
        <is>
          <t>R586-v1</t>
        </is>
      </c>
      <c r="P851" s="39" t="inlineStr"/>
      <c r="Q851" s="14" t="inlineStr"/>
      <c r="R851" s="39" t="inlineStr"/>
      <c r="S851" s="39" t="inlineStr"/>
      <c r="T851" s="39" t="inlineStr"/>
      <c r="U851" s="39" t="inlineStr"/>
      <c r="V851" s="34" t="inlineStr">
        <is>
          <t>WBS Code = 1.4.1</t>
        </is>
      </c>
      <c r="W851" s="14" t="inlineStr"/>
    </row>
    <row r="852" ht="49" customHeight="1">
      <c r="A852" s="34" t="inlineStr">
        <is>
          <t>1.4.1</t>
        </is>
      </c>
      <c r="B852" s="34" t="inlineStr">
        <is>
          <t>Vehicles and Depot - Fleet Supply</t>
        </is>
      </c>
      <c r="C852" s="34" t="inlineStr">
        <is>
          <t>Contractor Programme</t>
        </is>
      </c>
      <c r="D852" s="34" t="inlineStr">
        <is>
          <t>SCH-04-047</t>
        </is>
      </c>
      <c r="E852" s="34" t="inlineStr">
        <is>
          <t>Receiving track: depot structural fit-out - field start</t>
        </is>
      </c>
      <c r="F852" s="34" t="inlineStr">
        <is>
          <t>ONE_TO_ONE</t>
        </is>
      </c>
      <c r="G852" s="34" t="inlineStr">
        <is>
          <t>APPROVED</t>
        </is>
      </c>
      <c r="H852" s="34" t="inlineStr">
        <is>
          <t>New</t>
        </is>
      </c>
      <c r="I852" s="34" t="inlineStr">
        <is>
          <t>Source assignment -- not individually reviewed</t>
        </is>
      </c>
      <c r="J852" s="39" t="inlineStr"/>
      <c r="K852" s="34" t="inlineStr">
        <is>
          <t>Source assignment</t>
        </is>
      </c>
      <c r="L852" s="39" t="inlineStr"/>
      <c r="M852" s="34" t="inlineStr">
        <is>
          <t>Initial</t>
        </is>
      </c>
      <c r="N852" s="34" t="inlineStr">
        <is>
          <t>Rev 0</t>
        </is>
      </c>
      <c r="O852" s="34" t="inlineStr">
        <is>
          <t>R587-v1</t>
        </is>
      </c>
      <c r="P852" s="39" t="inlineStr"/>
      <c r="Q852" s="14" t="inlineStr"/>
      <c r="R852" s="39" t="inlineStr"/>
      <c r="S852" s="39" t="inlineStr"/>
      <c r="T852" s="39" t="inlineStr"/>
      <c r="U852" s="39" t="inlineStr"/>
      <c r="V852" s="34" t="inlineStr">
        <is>
          <t>WBS Code = 1.4.1</t>
        </is>
      </c>
      <c r="W852" s="14" t="inlineStr"/>
    </row>
    <row r="853" ht="49" customHeight="1">
      <c r="A853" s="34" t="inlineStr">
        <is>
          <t>1.4.1</t>
        </is>
      </c>
      <c r="B853" s="34" t="inlineStr">
        <is>
          <t>Vehicles and Depot - Fleet Supply</t>
        </is>
      </c>
      <c r="C853" s="34" t="inlineStr">
        <is>
          <t>Contractor Programme</t>
        </is>
      </c>
      <c r="D853" s="34" t="inlineStr">
        <is>
          <t>SCH-04-049</t>
        </is>
      </c>
      <c r="E853" s="34" t="inlineStr">
        <is>
          <t>Storage yard: vehicle-to-depot interface check - inspection</t>
        </is>
      </c>
      <c r="F853" s="34" t="inlineStr">
        <is>
          <t>ONE_TO_ONE</t>
        </is>
      </c>
      <c r="G853" s="34" t="inlineStr">
        <is>
          <t>APPROVED</t>
        </is>
      </c>
      <c r="H853" s="34" t="inlineStr">
        <is>
          <t>New</t>
        </is>
      </c>
      <c r="I853" s="34" t="inlineStr">
        <is>
          <t>Source assignment -- not individually reviewed</t>
        </is>
      </c>
      <c r="J853" s="39" t="inlineStr"/>
      <c r="K853" s="34" t="inlineStr">
        <is>
          <t>Source assignment</t>
        </is>
      </c>
      <c r="L853" s="39" t="inlineStr"/>
      <c r="M853" s="34" t="inlineStr">
        <is>
          <t>Initial</t>
        </is>
      </c>
      <c r="N853" s="34" t="inlineStr">
        <is>
          <t>Rev 0</t>
        </is>
      </c>
      <c r="O853" s="34" t="inlineStr">
        <is>
          <t>R589-v1</t>
        </is>
      </c>
      <c r="P853" s="39" t="inlineStr"/>
      <c r="Q853" s="14" t="inlineStr"/>
      <c r="R853" s="39" t="inlineStr"/>
      <c r="S853" s="39" t="inlineStr"/>
      <c r="T853" s="39" t="inlineStr"/>
      <c r="U853" s="39" t="inlineStr"/>
      <c r="V853" s="34" t="inlineStr">
        <is>
          <t>WBS Code = 1.4.1</t>
        </is>
      </c>
      <c r="W853" s="14" t="inlineStr"/>
    </row>
    <row r="854" ht="49" customHeight="1">
      <c r="A854" s="34" t="inlineStr">
        <is>
          <t>1.4.1</t>
        </is>
      </c>
      <c r="B854" s="34" t="inlineStr">
        <is>
          <t>Vehicles and Depot - Fleet Supply</t>
        </is>
      </c>
      <c r="C854" s="34" t="inlineStr">
        <is>
          <t>Contractor Programme</t>
        </is>
      </c>
      <c r="D854" s="34" t="inlineStr">
        <is>
          <t>SCH-04-050</t>
        </is>
      </c>
      <c r="E854" s="34" t="inlineStr">
        <is>
          <t>Operations building: wheel-lathe installation - turnover</t>
        </is>
      </c>
      <c r="F854" s="34" t="inlineStr">
        <is>
          <t>ONE_TO_ONE</t>
        </is>
      </c>
      <c r="G854" s="34" t="inlineStr">
        <is>
          <t>APPROVED</t>
        </is>
      </c>
      <c r="H854" s="34" t="inlineStr">
        <is>
          <t>New</t>
        </is>
      </c>
      <c r="I854" s="34" t="inlineStr">
        <is>
          <t>Source assignment -- not individually reviewed</t>
        </is>
      </c>
      <c r="J854" s="39" t="inlineStr"/>
      <c r="K854" s="34" t="inlineStr">
        <is>
          <t>Source assignment</t>
        </is>
      </c>
      <c r="L854" s="39" t="inlineStr"/>
      <c r="M854" s="34" t="inlineStr">
        <is>
          <t>Initial</t>
        </is>
      </c>
      <c r="N854" s="34" t="inlineStr">
        <is>
          <t>Rev 0</t>
        </is>
      </c>
      <c r="O854" s="34" t="inlineStr">
        <is>
          <t>R590-v1</t>
        </is>
      </c>
      <c r="P854" s="39" t="inlineStr"/>
      <c r="Q854" s="14" t="inlineStr"/>
      <c r="R854" s="39" t="inlineStr"/>
      <c r="S854" s="39" t="inlineStr"/>
      <c r="T854" s="39" t="inlineStr"/>
      <c r="U854" s="39" t="inlineStr"/>
      <c r="V854" s="34" t="inlineStr">
        <is>
          <t>WBS Code = 1.4.1</t>
        </is>
      </c>
      <c r="W854" s="14" t="inlineStr"/>
    </row>
    <row r="855" ht="49" customHeight="1">
      <c r="A855" s="34" t="inlineStr">
        <is>
          <t>1.4.1</t>
        </is>
      </c>
      <c r="B855" s="34" t="inlineStr">
        <is>
          <t>Vehicles and Depot - Fleet Supply</t>
        </is>
      </c>
      <c r="C855" s="34" t="inlineStr">
        <is>
          <t>Contractor Programme</t>
        </is>
      </c>
      <c r="D855" s="34" t="inlineStr">
        <is>
          <t>SCH-04-052</t>
        </is>
      </c>
      <c r="E855" s="34" t="inlineStr">
        <is>
          <t>Receiving track: vehicle delivery inspection - field start</t>
        </is>
      </c>
      <c r="F855" s="34" t="inlineStr">
        <is>
          <t>ONE_TO_ONE</t>
        </is>
      </c>
      <c r="G855" s="34" t="inlineStr">
        <is>
          <t>APPROVED</t>
        </is>
      </c>
      <c r="H855" s="34" t="inlineStr">
        <is>
          <t>New</t>
        </is>
      </c>
      <c r="I855" s="34" t="inlineStr">
        <is>
          <t>Source assignment -- not individually reviewed</t>
        </is>
      </c>
      <c r="J855" s="39" t="inlineStr"/>
      <c r="K855" s="34" t="inlineStr">
        <is>
          <t>Source assignment</t>
        </is>
      </c>
      <c r="L855" s="39" t="inlineStr"/>
      <c r="M855" s="34" t="inlineStr">
        <is>
          <t>Initial</t>
        </is>
      </c>
      <c r="N855" s="34" t="inlineStr">
        <is>
          <t>Rev 0</t>
        </is>
      </c>
      <c r="O855" s="34" t="inlineStr">
        <is>
          <t>R592-v1</t>
        </is>
      </c>
      <c r="P855" s="39" t="inlineStr"/>
      <c r="Q855" s="14" t="inlineStr"/>
      <c r="R855" s="39" t="inlineStr"/>
      <c r="S855" s="39" t="inlineStr"/>
      <c r="T855" s="39" t="inlineStr"/>
      <c r="U855" s="39" t="inlineStr"/>
      <c r="V855" s="34" t="inlineStr">
        <is>
          <t>WBS Code = 1.4.1</t>
        </is>
      </c>
      <c r="W855" s="14" t="inlineStr"/>
    </row>
    <row r="856" ht="49" customHeight="1">
      <c r="A856" s="34" t="inlineStr">
        <is>
          <t>1.4.1</t>
        </is>
      </c>
      <c r="B856" s="34" t="inlineStr">
        <is>
          <t>Vehicles and Depot - Fleet Supply</t>
        </is>
      </c>
      <c r="C856" s="34" t="inlineStr">
        <is>
          <t>Contractor Programme</t>
        </is>
      </c>
      <c r="D856" s="34" t="inlineStr">
        <is>
          <t>SCH-04-053</t>
        </is>
      </c>
      <c r="E856" s="34" t="inlineStr">
        <is>
          <t>Maintenance shop: wash-plant commissioning - installation</t>
        </is>
      </c>
      <c r="F856" s="34" t="inlineStr">
        <is>
          <t>ONE_TO_ONE</t>
        </is>
      </c>
      <c r="G856" s="34" t="inlineStr">
        <is>
          <t>APPROVED</t>
        </is>
      </c>
      <c r="H856" s="34" t="inlineStr">
        <is>
          <t>New</t>
        </is>
      </c>
      <c r="I856" s="34" t="inlineStr">
        <is>
          <t>Source assignment -- not individually reviewed</t>
        </is>
      </c>
      <c r="J856" s="39" t="inlineStr"/>
      <c r="K856" s="34" t="inlineStr">
        <is>
          <t>Source assignment</t>
        </is>
      </c>
      <c r="L856" s="39" t="inlineStr"/>
      <c r="M856" s="34" t="inlineStr">
        <is>
          <t>Initial</t>
        </is>
      </c>
      <c r="N856" s="34" t="inlineStr">
        <is>
          <t>Rev 0</t>
        </is>
      </c>
      <c r="O856" s="34" t="inlineStr">
        <is>
          <t>R593-v1</t>
        </is>
      </c>
      <c r="P856" s="39" t="inlineStr"/>
      <c r="Q856" s="14" t="inlineStr"/>
      <c r="R856" s="39" t="inlineStr"/>
      <c r="S856" s="39" t="inlineStr"/>
      <c r="T856" s="39" t="inlineStr"/>
      <c r="U856" s="39" t="inlineStr"/>
      <c r="V856" s="34" t="inlineStr">
        <is>
          <t>WBS Code = 1.4.1</t>
        </is>
      </c>
      <c r="W856" s="14" t="inlineStr"/>
    </row>
    <row r="857" ht="49" customHeight="1">
      <c r="A857" s="34" t="inlineStr">
        <is>
          <t>1.4.1</t>
        </is>
      </c>
      <c r="B857" s="34" t="inlineStr">
        <is>
          <t>Vehicles and Depot - Fleet Supply</t>
        </is>
      </c>
      <c r="C857" s="34" t="inlineStr">
        <is>
          <t>Contractor Programme</t>
        </is>
      </c>
      <c r="D857" s="34" t="inlineStr">
        <is>
          <t>SCH-04-055</t>
        </is>
      </c>
      <c r="E857" s="34" t="inlineStr">
        <is>
          <t>Operations building: depot structural fit-out - turnover</t>
        </is>
      </c>
      <c r="F857" s="34" t="inlineStr">
        <is>
          <t>ONE_TO_ONE</t>
        </is>
      </c>
      <c r="G857" s="34" t="inlineStr">
        <is>
          <t>APPROVED</t>
        </is>
      </c>
      <c r="H857" s="34" t="inlineStr">
        <is>
          <t>New</t>
        </is>
      </c>
      <c r="I857" s="34" t="inlineStr">
        <is>
          <t>Source assignment -- not individually reviewed</t>
        </is>
      </c>
      <c r="J857" s="39" t="inlineStr"/>
      <c r="K857" s="34" t="inlineStr">
        <is>
          <t>Source assignment</t>
        </is>
      </c>
      <c r="L857" s="39" t="inlineStr"/>
      <c r="M857" s="34" t="inlineStr">
        <is>
          <t>Initial</t>
        </is>
      </c>
      <c r="N857" s="34" t="inlineStr">
        <is>
          <t>Rev 0</t>
        </is>
      </c>
      <c r="O857" s="34" t="inlineStr">
        <is>
          <t>R595-v1</t>
        </is>
      </c>
      <c r="P857" s="39" t="inlineStr"/>
      <c r="Q857" s="14" t="inlineStr"/>
      <c r="R857" s="39" t="inlineStr"/>
      <c r="S857" s="39" t="inlineStr"/>
      <c r="T857" s="39" t="inlineStr"/>
      <c r="U857" s="39" t="inlineStr"/>
      <c r="V857" s="34" t="inlineStr">
        <is>
          <t>WBS Code = 1.4.1</t>
        </is>
      </c>
      <c r="W857" s="14" t="inlineStr"/>
    </row>
    <row r="858" ht="49" customHeight="1">
      <c r="A858" s="34" t="inlineStr">
        <is>
          <t>1.4.1</t>
        </is>
      </c>
      <c r="B858" s="34" t="inlineStr">
        <is>
          <t>Vehicles and Depot - Fleet Supply</t>
        </is>
      </c>
      <c r="C858" s="34" t="inlineStr">
        <is>
          <t>Contractor Programme</t>
        </is>
      </c>
      <c r="D858" s="34" t="inlineStr">
        <is>
          <t>SCH-04-056</t>
        </is>
      </c>
      <c r="E858" s="34" t="inlineStr">
        <is>
          <t>Test track: workshop crane installation - release</t>
        </is>
      </c>
      <c r="F858" s="34" t="inlineStr">
        <is>
          <t>ONE_TO_ONE</t>
        </is>
      </c>
      <c r="G858" s="34" t="inlineStr">
        <is>
          <t>APPROVED</t>
        </is>
      </c>
      <c r="H858" s="34" t="inlineStr">
        <is>
          <t>New</t>
        </is>
      </c>
      <c r="I858" s="34" t="inlineStr">
        <is>
          <t>Source assignment -- not individually reviewed</t>
        </is>
      </c>
      <c r="J858" s="39" t="inlineStr"/>
      <c r="K858" s="34" t="inlineStr">
        <is>
          <t>Source assignment</t>
        </is>
      </c>
      <c r="L858" s="39" t="inlineStr"/>
      <c r="M858" s="34" t="inlineStr">
        <is>
          <t>Initial</t>
        </is>
      </c>
      <c r="N858" s="34" t="inlineStr">
        <is>
          <t>Rev 0</t>
        </is>
      </c>
      <c r="O858" s="34" t="inlineStr">
        <is>
          <t>R596-v1</t>
        </is>
      </c>
      <c r="P858" s="39" t="inlineStr"/>
      <c r="Q858" s="14" t="inlineStr"/>
      <c r="R858" s="39" t="inlineStr"/>
      <c r="S858" s="39" t="inlineStr"/>
      <c r="T858" s="39" t="inlineStr"/>
      <c r="U858" s="39" t="inlineStr"/>
      <c r="V858" s="34" t="inlineStr">
        <is>
          <t>WBS Code = 1.4.1</t>
        </is>
      </c>
      <c r="W858" s="14" t="inlineStr"/>
    </row>
    <row r="859" ht="49" customHeight="1">
      <c r="A859" s="34" t="inlineStr">
        <is>
          <t>1.4.1</t>
        </is>
      </c>
      <c r="B859" s="34" t="inlineStr">
        <is>
          <t>Vehicles and Depot - Fleet Supply</t>
        </is>
      </c>
      <c r="C859" s="34" t="inlineStr">
        <is>
          <t>Contractor Programme</t>
        </is>
      </c>
      <c r="D859" s="34" t="inlineStr">
        <is>
          <t>SCH-04-058</t>
        </is>
      </c>
      <c r="E859" s="34" t="inlineStr">
        <is>
          <t>Maintenance shop: wheel-lathe installation - installation</t>
        </is>
      </c>
      <c r="F859" s="34" t="inlineStr">
        <is>
          <t>ONE_TO_ONE</t>
        </is>
      </c>
      <c r="G859" s="34" t="inlineStr">
        <is>
          <t>APPROVED</t>
        </is>
      </c>
      <c r="H859" s="34" t="inlineStr">
        <is>
          <t>New</t>
        </is>
      </c>
      <c r="I859" s="34" t="inlineStr">
        <is>
          <t>Source assignment -- not individually reviewed</t>
        </is>
      </c>
      <c r="J859" s="39" t="inlineStr"/>
      <c r="K859" s="34" t="inlineStr">
        <is>
          <t>Source assignment</t>
        </is>
      </c>
      <c r="L859" s="39" t="inlineStr"/>
      <c r="M859" s="34" t="inlineStr">
        <is>
          <t>Initial</t>
        </is>
      </c>
      <c r="N859" s="34" t="inlineStr">
        <is>
          <t>Rev 0</t>
        </is>
      </c>
      <c r="O859" s="34" t="inlineStr">
        <is>
          <t>R598-v1</t>
        </is>
      </c>
      <c r="P859" s="39" t="inlineStr"/>
      <c r="Q859" s="14" t="inlineStr"/>
      <c r="R859" s="39" t="inlineStr"/>
      <c r="S859" s="39" t="inlineStr"/>
      <c r="T859" s="39" t="inlineStr"/>
      <c r="U859" s="39" t="inlineStr"/>
      <c r="V859" s="34" t="inlineStr">
        <is>
          <t>WBS Code = 1.4.1</t>
        </is>
      </c>
      <c r="W859" s="14" t="inlineStr"/>
    </row>
    <row r="860" ht="49" customHeight="1">
      <c r="A860" s="34" t="inlineStr">
        <is>
          <t>1.4.1</t>
        </is>
      </c>
      <c r="B860" s="34" t="inlineStr">
        <is>
          <t>Vehicles and Depot - Fleet Supply</t>
        </is>
      </c>
      <c r="C860" s="34" t="inlineStr">
        <is>
          <t>Contractor Programme</t>
        </is>
      </c>
      <c r="D860" s="34" t="inlineStr">
        <is>
          <t>SCH-04-059</t>
        </is>
      </c>
      <c r="E860" s="34" t="inlineStr">
        <is>
          <t>Storage yard: fleet software load - inspection</t>
        </is>
      </c>
      <c r="F860" s="34" t="inlineStr">
        <is>
          <t>ONE_TO_ONE</t>
        </is>
      </c>
      <c r="G860" s="34" t="inlineStr">
        <is>
          <t>APPROVED</t>
        </is>
      </c>
      <c r="H860" s="34" t="inlineStr">
        <is>
          <t>New</t>
        </is>
      </c>
      <c r="I860" s="34" t="inlineStr">
        <is>
          <t>Source assignment -- not individually reviewed</t>
        </is>
      </c>
      <c r="J860" s="39" t="inlineStr"/>
      <c r="K860" s="34" t="inlineStr">
        <is>
          <t>Source assignment</t>
        </is>
      </c>
      <c r="L860" s="39" t="inlineStr"/>
      <c r="M860" s="34" t="inlineStr">
        <is>
          <t>Initial</t>
        </is>
      </c>
      <c r="N860" s="34" t="inlineStr">
        <is>
          <t>Rev 0</t>
        </is>
      </c>
      <c r="O860" s="34" t="inlineStr">
        <is>
          <t>R599-v1</t>
        </is>
      </c>
      <c r="P860" s="39" t="inlineStr"/>
      <c r="Q860" s="14" t="inlineStr"/>
      <c r="R860" s="39" t="inlineStr"/>
      <c r="S860" s="39" t="inlineStr"/>
      <c r="T860" s="39" t="inlineStr"/>
      <c r="U860" s="39" t="inlineStr"/>
      <c r="V860" s="34" t="inlineStr">
        <is>
          <t>WBS Code = 1.4.1</t>
        </is>
      </c>
      <c r="W860" s="14" t="inlineStr"/>
    </row>
    <row r="861" ht="49" customHeight="1">
      <c r="A861" s="34" t="inlineStr">
        <is>
          <t>1.4.1</t>
        </is>
      </c>
      <c r="B861" s="34" t="inlineStr">
        <is>
          <t>Vehicles and Depot - Fleet Supply</t>
        </is>
      </c>
      <c r="C861" s="34" t="inlineStr">
        <is>
          <t>Contractor Programme</t>
        </is>
      </c>
      <c r="D861" s="34" t="inlineStr">
        <is>
          <t>SCH-04-061</t>
        </is>
      </c>
      <c r="E861" s="34" t="inlineStr">
        <is>
          <t>Test track: wash-plant commissioning - release</t>
        </is>
      </c>
      <c r="F861" s="34" t="inlineStr">
        <is>
          <t>ONE_TO_ONE</t>
        </is>
      </c>
      <c r="G861" s="34" t="inlineStr">
        <is>
          <t>APPROVED</t>
        </is>
      </c>
      <c r="H861" s="34" t="inlineStr">
        <is>
          <t>New</t>
        </is>
      </c>
      <c r="I861" s="34" t="inlineStr">
        <is>
          <t>Source assignment -- not individually reviewed</t>
        </is>
      </c>
      <c r="J861" s="39" t="inlineStr"/>
      <c r="K861" s="34" t="inlineStr">
        <is>
          <t>Source assignment</t>
        </is>
      </c>
      <c r="L861" s="39" t="inlineStr"/>
      <c r="M861" s="34" t="inlineStr">
        <is>
          <t>Initial</t>
        </is>
      </c>
      <c r="N861" s="34" t="inlineStr">
        <is>
          <t>Rev 0</t>
        </is>
      </c>
      <c r="O861" s="34" t="inlineStr">
        <is>
          <t>R601-v1</t>
        </is>
      </c>
      <c r="P861" s="39" t="inlineStr"/>
      <c r="Q861" s="14" t="inlineStr"/>
      <c r="R861" s="39" t="inlineStr"/>
      <c r="S861" s="39" t="inlineStr"/>
      <c r="T861" s="39" t="inlineStr"/>
      <c r="U861" s="39" t="inlineStr"/>
      <c r="V861" s="34" t="inlineStr">
        <is>
          <t>WBS Code = 1.4.1</t>
        </is>
      </c>
      <c r="W861" s="14" t="inlineStr"/>
    </row>
    <row r="862" ht="49" customHeight="1">
      <c r="A862" s="34" t="inlineStr">
        <is>
          <t>1.4.1</t>
        </is>
      </c>
      <c r="B862" s="34" t="inlineStr">
        <is>
          <t>Vehicles and Depot - Fleet Supply</t>
        </is>
      </c>
      <c r="C862" s="34" t="inlineStr">
        <is>
          <t>Contractor Programme</t>
        </is>
      </c>
      <c r="D862" s="34" t="inlineStr">
        <is>
          <t>SCH-04-062</t>
        </is>
      </c>
      <c r="E862" s="34" t="inlineStr">
        <is>
          <t>Receiving track: maintenance-bay services - field start</t>
        </is>
      </c>
      <c r="F862" s="34" t="inlineStr">
        <is>
          <t>ONE_TO_ONE</t>
        </is>
      </c>
      <c r="G862" s="34" t="inlineStr">
        <is>
          <t>APPROVED</t>
        </is>
      </c>
      <c r="H862" s="34" t="inlineStr">
        <is>
          <t>New</t>
        </is>
      </c>
      <c r="I862" s="34" t="inlineStr">
        <is>
          <t>Source assignment -- not individually reviewed</t>
        </is>
      </c>
      <c r="J862" s="39" t="inlineStr"/>
      <c r="K862" s="34" t="inlineStr">
        <is>
          <t>Source assignment</t>
        </is>
      </c>
      <c r="L862" s="39" t="inlineStr"/>
      <c r="M862" s="34" t="inlineStr">
        <is>
          <t>Initial</t>
        </is>
      </c>
      <c r="N862" s="34" t="inlineStr">
        <is>
          <t>Rev 0</t>
        </is>
      </c>
      <c r="O862" s="34" t="inlineStr">
        <is>
          <t>R602-v1</t>
        </is>
      </c>
      <c r="P862" s="39" t="inlineStr"/>
      <c r="Q862" s="14" t="inlineStr"/>
      <c r="R862" s="39" t="inlineStr"/>
      <c r="S862" s="39" t="inlineStr"/>
      <c r="T862" s="39" t="inlineStr"/>
      <c r="U862" s="39" t="inlineStr"/>
      <c r="V862" s="34" t="inlineStr">
        <is>
          <t>WBS Code = 1.4.1</t>
        </is>
      </c>
      <c r="W862" s="14" t="inlineStr"/>
    </row>
    <row r="863" ht="49" customHeight="1">
      <c r="A863" s="34" t="inlineStr">
        <is>
          <t>1.4.1</t>
        </is>
      </c>
      <c r="B863" s="34" t="inlineStr">
        <is>
          <t>Vehicles and Depot - Fleet Supply</t>
        </is>
      </c>
      <c r="C863" s="34" t="inlineStr">
        <is>
          <t>Contractor Programme</t>
        </is>
      </c>
      <c r="D863" s="34" t="inlineStr">
        <is>
          <t>SCH-04-064</t>
        </is>
      </c>
      <c r="E863" s="34" t="inlineStr">
        <is>
          <t>Storage yard: workshop crane installation - inspection</t>
        </is>
      </c>
      <c r="F863" s="34" t="inlineStr">
        <is>
          <t>ONE_TO_ONE</t>
        </is>
      </c>
      <c r="G863" s="34" t="inlineStr">
        <is>
          <t>APPROVED</t>
        </is>
      </c>
      <c r="H863" s="34" t="inlineStr">
        <is>
          <t>New</t>
        </is>
      </c>
      <c r="I863" s="34" t="inlineStr">
        <is>
          <t>Source assignment -- not individually reviewed</t>
        </is>
      </c>
      <c r="J863" s="39" t="inlineStr"/>
      <c r="K863" s="34" t="inlineStr">
        <is>
          <t>Source assignment</t>
        </is>
      </c>
      <c r="L863" s="39" t="inlineStr"/>
      <c r="M863" s="34" t="inlineStr">
        <is>
          <t>Initial</t>
        </is>
      </c>
      <c r="N863" s="34" t="inlineStr">
        <is>
          <t>Rev 0</t>
        </is>
      </c>
      <c r="O863" s="34" t="inlineStr">
        <is>
          <t>R604-v1</t>
        </is>
      </c>
      <c r="P863" s="39" t="inlineStr"/>
      <c r="Q863" s="14" t="inlineStr"/>
      <c r="R863" s="39" t="inlineStr"/>
      <c r="S863" s="39" t="inlineStr"/>
      <c r="T863" s="39" t="inlineStr"/>
      <c r="U863" s="39" t="inlineStr"/>
      <c r="V863" s="34" t="inlineStr">
        <is>
          <t>WBS Code = 1.4.1</t>
        </is>
      </c>
      <c r="W863" s="14" t="inlineStr"/>
    </row>
    <row r="864" ht="49" customHeight="1">
      <c r="A864" s="34" t="inlineStr">
        <is>
          <t>1.4.1</t>
        </is>
      </c>
      <c r="B864" s="34" t="inlineStr">
        <is>
          <t>Vehicles and Depot - Fleet Supply</t>
        </is>
      </c>
      <c r="C864" s="34" t="inlineStr">
        <is>
          <t>Contractor Programme</t>
        </is>
      </c>
      <c r="D864" s="34" t="inlineStr">
        <is>
          <t>SCH-04-065</t>
        </is>
      </c>
      <c r="E864" s="34" t="inlineStr">
        <is>
          <t>Operations building: vehicle-to-depot interface check - turnover</t>
        </is>
      </c>
      <c r="F864" s="34" t="inlineStr">
        <is>
          <t>ONE_TO_ONE</t>
        </is>
      </c>
      <c r="G864" s="34" t="inlineStr">
        <is>
          <t>APPROVED</t>
        </is>
      </c>
      <c r="H864" s="34" t="inlineStr">
        <is>
          <t>New</t>
        </is>
      </c>
      <c r="I864" s="34" t="inlineStr">
        <is>
          <t>Source assignment -- not individually reviewed</t>
        </is>
      </c>
      <c r="J864" s="39" t="inlineStr"/>
      <c r="K864" s="34" t="inlineStr">
        <is>
          <t>Source assignment</t>
        </is>
      </c>
      <c r="L864" s="39" t="inlineStr"/>
      <c r="M864" s="34" t="inlineStr">
        <is>
          <t>Initial</t>
        </is>
      </c>
      <c r="N864" s="34" t="inlineStr">
        <is>
          <t>Rev 0</t>
        </is>
      </c>
      <c r="O864" s="34" t="inlineStr">
        <is>
          <t>R605-v1</t>
        </is>
      </c>
      <c r="P864" s="39" t="inlineStr"/>
      <c r="Q864" s="14" t="inlineStr"/>
      <c r="R864" s="39" t="inlineStr"/>
      <c r="S864" s="39" t="inlineStr"/>
      <c r="T864" s="39" t="inlineStr"/>
      <c r="U864" s="39" t="inlineStr"/>
      <c r="V864" s="34" t="inlineStr">
        <is>
          <t>WBS Code = 1.4.1</t>
        </is>
      </c>
      <c r="W864" s="14" t="inlineStr"/>
    </row>
    <row r="865" ht="49" customHeight="1">
      <c r="A865" s="34" t="inlineStr">
        <is>
          <t>1.4.1</t>
        </is>
      </c>
      <c r="B865" s="34" t="inlineStr">
        <is>
          <t>Vehicles and Depot - Fleet Supply</t>
        </is>
      </c>
      <c r="C865" s="34" t="inlineStr">
        <is>
          <t>Contractor Programme</t>
        </is>
      </c>
      <c r="D865" s="34" t="inlineStr">
        <is>
          <t>SCH-04-067</t>
        </is>
      </c>
      <c r="E865" s="34" t="inlineStr">
        <is>
          <t>Receiving track: fleet software load - field start</t>
        </is>
      </c>
      <c r="F865" s="34" t="inlineStr">
        <is>
          <t>ONE_TO_ONE</t>
        </is>
      </c>
      <c r="G865" s="34" t="inlineStr">
        <is>
          <t>APPROVED</t>
        </is>
      </c>
      <c r="H865" s="34" t="inlineStr">
        <is>
          <t>New</t>
        </is>
      </c>
      <c r="I865" s="34" t="inlineStr">
        <is>
          <t>Source assignment -- not individually reviewed</t>
        </is>
      </c>
      <c r="J865" s="39" t="inlineStr"/>
      <c r="K865" s="34" t="inlineStr">
        <is>
          <t>Source assignment</t>
        </is>
      </c>
      <c r="L865" s="39" t="inlineStr"/>
      <c r="M865" s="34" t="inlineStr">
        <is>
          <t>Initial</t>
        </is>
      </c>
      <c r="N865" s="34" t="inlineStr">
        <is>
          <t>Rev 0</t>
        </is>
      </c>
      <c r="O865" s="34" t="inlineStr">
        <is>
          <t>R607-v1</t>
        </is>
      </c>
      <c r="P865" s="39" t="inlineStr"/>
      <c r="Q865" s="14" t="inlineStr"/>
      <c r="R865" s="39" t="inlineStr"/>
      <c r="S865" s="39" t="inlineStr"/>
      <c r="T865" s="39" t="inlineStr"/>
      <c r="U865" s="39" t="inlineStr"/>
      <c r="V865" s="34" t="inlineStr">
        <is>
          <t>WBS Code = 1.4.1</t>
        </is>
      </c>
      <c r="W865" s="14" t="inlineStr"/>
    </row>
    <row r="866" ht="49" customHeight="1">
      <c r="A866" s="34" t="inlineStr">
        <is>
          <t>1.4.1</t>
        </is>
      </c>
      <c r="B866" s="34" t="inlineStr">
        <is>
          <t>Vehicles and Depot - Fleet Supply</t>
        </is>
      </c>
      <c r="C866" s="34" t="inlineStr">
        <is>
          <t>Contractor Programme</t>
        </is>
      </c>
      <c r="D866" s="34" t="inlineStr">
        <is>
          <t>SCH-04-068</t>
        </is>
      </c>
      <c r="E866" s="34" t="inlineStr">
        <is>
          <t>Maintenance shop: vehicle delivery inspection - installation</t>
        </is>
      </c>
      <c r="F866" s="34" t="inlineStr">
        <is>
          <t>ONE_TO_ONE</t>
        </is>
      </c>
      <c r="G866" s="34" t="inlineStr">
        <is>
          <t>APPROVED</t>
        </is>
      </c>
      <c r="H866" s="34" t="inlineStr">
        <is>
          <t>New</t>
        </is>
      </c>
      <c r="I866" s="34" t="inlineStr">
        <is>
          <t>Source assignment -- not individually reviewed</t>
        </is>
      </c>
      <c r="J866" s="39" t="inlineStr"/>
      <c r="K866" s="34" t="inlineStr">
        <is>
          <t>Source assignment</t>
        </is>
      </c>
      <c r="L866" s="39" t="inlineStr"/>
      <c r="M866" s="34" t="inlineStr">
        <is>
          <t>Initial</t>
        </is>
      </c>
      <c r="N866" s="34" t="inlineStr">
        <is>
          <t>Rev 0</t>
        </is>
      </c>
      <c r="O866" s="34" t="inlineStr">
        <is>
          <t>R608-v1</t>
        </is>
      </c>
      <c r="P866" s="39" t="inlineStr"/>
      <c r="Q866" s="14" t="inlineStr"/>
      <c r="R866" s="39" t="inlineStr"/>
      <c r="S866" s="39" t="inlineStr"/>
      <c r="T866" s="39" t="inlineStr"/>
      <c r="U866" s="39" t="inlineStr"/>
      <c r="V866" s="34" t="inlineStr">
        <is>
          <t>WBS Code = 1.4.1</t>
        </is>
      </c>
      <c r="W866" s="14" t="inlineStr"/>
    </row>
    <row r="867" ht="49" customHeight="1">
      <c r="A867" s="34" t="inlineStr">
        <is>
          <t>1.4.1</t>
        </is>
      </c>
      <c r="B867" s="34" t="inlineStr">
        <is>
          <t>Vehicles and Depot - Fleet Supply</t>
        </is>
      </c>
      <c r="C867" s="34" t="inlineStr">
        <is>
          <t>Contractor Programme</t>
        </is>
      </c>
      <c r="D867" s="34" t="inlineStr">
        <is>
          <t>SCH-04-070</t>
        </is>
      </c>
      <c r="E867" s="34" t="inlineStr">
        <is>
          <t>Operations building: maintenance-bay services - turnover</t>
        </is>
      </c>
      <c r="F867" s="34" t="inlineStr">
        <is>
          <t>ONE_TO_ONE</t>
        </is>
      </c>
      <c r="G867" s="34" t="inlineStr">
        <is>
          <t>APPROVED</t>
        </is>
      </c>
      <c r="H867" s="34" t="inlineStr">
        <is>
          <t>New</t>
        </is>
      </c>
      <c r="I867" s="34" t="inlineStr">
        <is>
          <t>Source assignment -- not individually reviewed</t>
        </is>
      </c>
      <c r="J867" s="39" t="inlineStr"/>
      <c r="K867" s="34" t="inlineStr">
        <is>
          <t>Source assignment</t>
        </is>
      </c>
      <c r="L867" s="39" t="inlineStr"/>
      <c r="M867" s="34" t="inlineStr">
        <is>
          <t>Initial</t>
        </is>
      </c>
      <c r="N867" s="34" t="inlineStr">
        <is>
          <t>Rev 0</t>
        </is>
      </c>
      <c r="O867" s="34" t="inlineStr">
        <is>
          <t>R610-v1</t>
        </is>
      </c>
      <c r="P867" s="39" t="inlineStr"/>
      <c r="Q867" s="14" t="inlineStr"/>
      <c r="R867" s="39" t="inlineStr"/>
      <c r="S867" s="39" t="inlineStr"/>
      <c r="T867" s="39" t="inlineStr"/>
      <c r="U867" s="39" t="inlineStr"/>
      <c r="V867" s="34" t="inlineStr">
        <is>
          <t>WBS Code = 1.4.1</t>
        </is>
      </c>
      <c r="W867" s="14" t="inlineStr"/>
    </row>
    <row r="868" ht="49" customHeight="1">
      <c r="A868" s="34" t="inlineStr">
        <is>
          <t>1.4.1</t>
        </is>
      </c>
      <c r="B868" s="34" t="inlineStr">
        <is>
          <t>Vehicles and Depot - Fleet Supply</t>
        </is>
      </c>
      <c r="C868" s="34" t="inlineStr">
        <is>
          <t>Contractor Programme</t>
        </is>
      </c>
      <c r="D868" s="34" t="inlineStr">
        <is>
          <t>SCH-04-071</t>
        </is>
      </c>
      <c r="E868" s="34" t="inlineStr">
        <is>
          <t>Test track: depot structural fit-out - release</t>
        </is>
      </c>
      <c r="F868" s="34" t="inlineStr">
        <is>
          <t>ONE_TO_ONE</t>
        </is>
      </c>
      <c r="G868" s="34" t="inlineStr">
        <is>
          <t>APPROVED</t>
        </is>
      </c>
      <c r="H868" s="34" t="inlineStr">
        <is>
          <t>New</t>
        </is>
      </c>
      <c r="I868" s="34" t="inlineStr">
        <is>
          <t>Source assignment -- not individually reviewed</t>
        </is>
      </c>
      <c r="J868" s="39" t="inlineStr"/>
      <c r="K868" s="34" t="inlineStr">
        <is>
          <t>Source assignment</t>
        </is>
      </c>
      <c r="L868" s="39" t="inlineStr"/>
      <c r="M868" s="34" t="inlineStr">
        <is>
          <t>Initial</t>
        </is>
      </c>
      <c r="N868" s="34" t="inlineStr">
        <is>
          <t>Rev 0</t>
        </is>
      </c>
      <c r="O868" s="34" t="inlineStr">
        <is>
          <t>R611-v1</t>
        </is>
      </c>
      <c r="P868" s="39" t="inlineStr"/>
      <c r="Q868" s="14" t="inlineStr"/>
      <c r="R868" s="39" t="inlineStr"/>
      <c r="S868" s="39" t="inlineStr"/>
      <c r="T868" s="39" t="inlineStr"/>
      <c r="U868" s="39" t="inlineStr"/>
      <c r="V868" s="34" t="inlineStr">
        <is>
          <t>WBS Code = 1.4.1</t>
        </is>
      </c>
      <c r="W868" s="14" t="inlineStr"/>
    </row>
    <row r="869" ht="49" customHeight="1">
      <c r="A869" s="34" t="inlineStr">
        <is>
          <t>1.4.1</t>
        </is>
      </c>
      <c r="B869" s="34" t="inlineStr">
        <is>
          <t>Vehicles and Depot - Fleet Supply</t>
        </is>
      </c>
      <c r="C869" s="34" t="inlineStr">
        <is>
          <t>Contractor Programme</t>
        </is>
      </c>
      <c r="D869" s="34" t="inlineStr">
        <is>
          <t>SCH-04-073</t>
        </is>
      </c>
      <c r="E869" s="34" t="inlineStr">
        <is>
          <t>Maintenance shop: vehicle-to-depot interface check - installation</t>
        </is>
      </c>
      <c r="F869" s="34" t="inlineStr">
        <is>
          <t>ONE_TO_ONE</t>
        </is>
      </c>
      <c r="G869" s="34" t="inlineStr">
        <is>
          <t>APPROVED</t>
        </is>
      </c>
      <c r="H869" s="34" t="inlineStr">
        <is>
          <t>New</t>
        </is>
      </c>
      <c r="I869" s="34" t="inlineStr">
        <is>
          <t>Source assignment -- not individually reviewed</t>
        </is>
      </c>
      <c r="J869" s="39" t="inlineStr"/>
      <c r="K869" s="34" t="inlineStr">
        <is>
          <t>Source assignment</t>
        </is>
      </c>
      <c r="L869" s="39" t="inlineStr"/>
      <c r="M869" s="34" t="inlineStr">
        <is>
          <t>Initial</t>
        </is>
      </c>
      <c r="N869" s="34" t="inlineStr">
        <is>
          <t>Rev 0</t>
        </is>
      </c>
      <c r="O869" s="34" t="inlineStr">
        <is>
          <t>R613-v1</t>
        </is>
      </c>
      <c r="P869" s="39" t="inlineStr"/>
      <c r="Q869" s="14" t="inlineStr"/>
      <c r="R869" s="39" t="inlineStr"/>
      <c r="S869" s="39" t="inlineStr"/>
      <c r="T869" s="39" t="inlineStr"/>
      <c r="U869" s="39" t="inlineStr"/>
      <c r="V869" s="34" t="inlineStr">
        <is>
          <t>WBS Code = 1.4.1</t>
        </is>
      </c>
      <c r="W869" s="14" t="inlineStr"/>
    </row>
    <row r="870" ht="49" customHeight="1">
      <c r="A870" s="34" t="inlineStr">
        <is>
          <t>1.4.1</t>
        </is>
      </c>
      <c r="B870" s="34" t="inlineStr">
        <is>
          <t>Vehicles and Depot - Fleet Supply</t>
        </is>
      </c>
      <c r="C870" s="34" t="inlineStr">
        <is>
          <t>Contractor Programme</t>
        </is>
      </c>
      <c r="D870" s="34" t="inlineStr">
        <is>
          <t>SCH-04-074</t>
        </is>
      </c>
      <c r="E870" s="34" t="inlineStr">
        <is>
          <t>Storage yard: wheel-lathe installation - inspection</t>
        </is>
      </c>
      <c r="F870" s="34" t="inlineStr">
        <is>
          <t>ONE_TO_ONE</t>
        </is>
      </c>
      <c r="G870" s="34" t="inlineStr">
        <is>
          <t>APPROVED</t>
        </is>
      </c>
      <c r="H870" s="34" t="inlineStr">
        <is>
          <t>New</t>
        </is>
      </c>
      <c r="I870" s="34" t="inlineStr">
        <is>
          <t>Source assignment -- not individually reviewed</t>
        </is>
      </c>
      <c r="J870" s="39" t="inlineStr"/>
      <c r="K870" s="34" t="inlineStr">
        <is>
          <t>Source assignment</t>
        </is>
      </c>
      <c r="L870" s="39" t="inlineStr"/>
      <c r="M870" s="34" t="inlineStr">
        <is>
          <t>Initial</t>
        </is>
      </c>
      <c r="N870" s="34" t="inlineStr">
        <is>
          <t>Rev 0</t>
        </is>
      </c>
      <c r="O870" s="34" t="inlineStr">
        <is>
          <t>R614-v1</t>
        </is>
      </c>
      <c r="P870" s="39" t="inlineStr"/>
      <c r="Q870" s="14" t="inlineStr"/>
      <c r="R870" s="39" t="inlineStr"/>
      <c r="S870" s="39" t="inlineStr"/>
      <c r="T870" s="39" t="inlineStr"/>
      <c r="U870" s="39" t="inlineStr"/>
      <c r="V870" s="34" t="inlineStr">
        <is>
          <t>WBS Code = 1.4.1</t>
        </is>
      </c>
      <c r="W870" s="14" t="inlineStr"/>
    </row>
    <row r="871" ht="49" customHeight="1">
      <c r="A871" s="34" t="inlineStr">
        <is>
          <t>1.4.1</t>
        </is>
      </c>
      <c r="B871" s="34" t="inlineStr">
        <is>
          <t>Vehicles and Depot - Fleet Supply</t>
        </is>
      </c>
      <c r="C871" s="34" t="inlineStr">
        <is>
          <t>Contractor Programme</t>
        </is>
      </c>
      <c r="D871" s="34" t="inlineStr">
        <is>
          <t>SCH-04-076</t>
        </is>
      </c>
      <c r="E871" s="34" t="inlineStr">
        <is>
          <t>Test track: vehicle delivery inspection - release</t>
        </is>
      </c>
      <c r="F871" s="34" t="inlineStr">
        <is>
          <t>ONE_TO_ONE</t>
        </is>
      </c>
      <c r="G871" s="34" t="inlineStr">
        <is>
          <t>APPROVED</t>
        </is>
      </c>
      <c r="H871" s="34" t="inlineStr">
        <is>
          <t>New</t>
        </is>
      </c>
      <c r="I871" s="34" t="inlineStr">
        <is>
          <t>Source assignment -- not individually reviewed</t>
        </is>
      </c>
      <c r="J871" s="39" t="inlineStr"/>
      <c r="K871" s="34" t="inlineStr">
        <is>
          <t>Source assignment</t>
        </is>
      </c>
      <c r="L871" s="39" t="inlineStr"/>
      <c r="M871" s="34" t="inlineStr">
        <is>
          <t>Initial</t>
        </is>
      </c>
      <c r="N871" s="34" t="inlineStr">
        <is>
          <t>Rev 0</t>
        </is>
      </c>
      <c r="O871" s="34" t="inlineStr">
        <is>
          <t>R616-v1</t>
        </is>
      </c>
      <c r="P871" s="39" t="inlineStr"/>
      <c r="Q871" s="14" t="inlineStr"/>
      <c r="R871" s="39" t="inlineStr"/>
      <c r="S871" s="39" t="inlineStr"/>
      <c r="T871" s="39" t="inlineStr"/>
      <c r="U871" s="39" t="inlineStr"/>
      <c r="V871" s="34" t="inlineStr">
        <is>
          <t>WBS Code = 1.4.1</t>
        </is>
      </c>
      <c r="W871" s="14" t="inlineStr"/>
    </row>
    <row r="872" ht="49" customHeight="1">
      <c r="A872" s="34" t="inlineStr">
        <is>
          <t>1.4.1</t>
        </is>
      </c>
      <c r="B872" s="34" t="inlineStr">
        <is>
          <t>Vehicles and Depot - Fleet Supply</t>
        </is>
      </c>
      <c r="C872" s="34" t="inlineStr">
        <is>
          <t>Contractor Programme</t>
        </is>
      </c>
      <c r="D872" s="34" t="inlineStr">
        <is>
          <t>SCH-04-077</t>
        </is>
      </c>
      <c r="E872" s="34" t="inlineStr">
        <is>
          <t>Receiving track: wash-plant commissioning - field start</t>
        </is>
      </c>
      <c r="F872" s="34" t="inlineStr">
        <is>
          <t>ONE_TO_ONE</t>
        </is>
      </c>
      <c r="G872" s="34" t="inlineStr">
        <is>
          <t>APPROVED</t>
        </is>
      </c>
      <c r="H872" s="34" t="inlineStr">
        <is>
          <t>New</t>
        </is>
      </c>
      <c r="I872" s="34" t="inlineStr">
        <is>
          <t>Source assignment -- not individually reviewed</t>
        </is>
      </c>
      <c r="J872" s="39" t="inlineStr"/>
      <c r="K872" s="34" t="inlineStr">
        <is>
          <t>Source assignment</t>
        </is>
      </c>
      <c r="L872" s="39" t="inlineStr"/>
      <c r="M872" s="34" t="inlineStr">
        <is>
          <t>Initial</t>
        </is>
      </c>
      <c r="N872" s="34" t="inlineStr">
        <is>
          <t>Rev 0</t>
        </is>
      </c>
      <c r="O872" s="34" t="inlineStr">
        <is>
          <t>R617-v1</t>
        </is>
      </c>
      <c r="P872" s="39" t="inlineStr"/>
      <c r="Q872" s="14" t="inlineStr"/>
      <c r="R872" s="39" t="inlineStr"/>
      <c r="S872" s="39" t="inlineStr"/>
      <c r="T872" s="39" t="inlineStr"/>
      <c r="U872" s="39" t="inlineStr"/>
      <c r="V872" s="34" t="inlineStr">
        <is>
          <t>WBS Code = 1.4.1</t>
        </is>
      </c>
      <c r="W872" s="14" t="inlineStr"/>
    </row>
    <row r="873" ht="49" customHeight="1">
      <c r="A873" s="34" t="inlineStr">
        <is>
          <t>1.4.1</t>
        </is>
      </c>
      <c r="B873" s="34" t="inlineStr">
        <is>
          <t>Vehicles and Depot - Fleet Supply</t>
        </is>
      </c>
      <c r="C873" s="34" t="inlineStr">
        <is>
          <t>Contractor Programme</t>
        </is>
      </c>
      <c r="D873" s="34" t="inlineStr">
        <is>
          <t>SCH-04-079</t>
        </is>
      </c>
      <c r="E873" s="34" t="inlineStr">
        <is>
          <t>Storage yard: depot structural fit-out - inspection</t>
        </is>
      </c>
      <c r="F873" s="34" t="inlineStr">
        <is>
          <t>ONE_TO_ONE</t>
        </is>
      </c>
      <c r="G873" s="34" t="inlineStr">
        <is>
          <t>APPROVED</t>
        </is>
      </c>
      <c r="H873" s="34" t="inlineStr">
        <is>
          <t>New</t>
        </is>
      </c>
      <c r="I873" s="34" t="inlineStr">
        <is>
          <t>Source assignment -- not individually reviewed</t>
        </is>
      </c>
      <c r="J873" s="39" t="inlineStr"/>
      <c r="K873" s="34" t="inlineStr">
        <is>
          <t>Source assignment</t>
        </is>
      </c>
      <c r="L873" s="39" t="inlineStr"/>
      <c r="M873" s="34" t="inlineStr">
        <is>
          <t>Initial</t>
        </is>
      </c>
      <c r="N873" s="34" t="inlineStr">
        <is>
          <t>Rev 0</t>
        </is>
      </c>
      <c r="O873" s="34" t="inlineStr">
        <is>
          <t>R619-v1</t>
        </is>
      </c>
      <c r="P873" s="39" t="inlineStr"/>
      <c r="Q873" s="14" t="inlineStr"/>
      <c r="R873" s="39" t="inlineStr"/>
      <c r="S873" s="39" t="inlineStr"/>
      <c r="T873" s="39" t="inlineStr"/>
      <c r="U873" s="39" t="inlineStr"/>
      <c r="V873" s="34" t="inlineStr">
        <is>
          <t>WBS Code = 1.4.1</t>
        </is>
      </c>
      <c r="W873" s="14" t="inlineStr"/>
    </row>
    <row r="874" ht="49" customHeight="1">
      <c r="A874" s="34" t="inlineStr">
        <is>
          <t>1.4.1</t>
        </is>
      </c>
      <c r="B874" s="34" t="inlineStr">
        <is>
          <t>Vehicles and Depot - Fleet Supply</t>
        </is>
      </c>
      <c r="C874" s="34" t="inlineStr">
        <is>
          <t>Contractor Programme</t>
        </is>
      </c>
      <c r="D874" s="34" t="inlineStr">
        <is>
          <t>SCH-04-080</t>
        </is>
      </c>
      <c r="E874" s="34" t="inlineStr">
        <is>
          <t>Operations building: workshop crane installation - turnover</t>
        </is>
      </c>
      <c r="F874" s="34" t="inlineStr">
        <is>
          <t>ONE_TO_ONE</t>
        </is>
      </c>
      <c r="G874" s="34" t="inlineStr">
        <is>
          <t>APPROVED</t>
        </is>
      </c>
      <c r="H874" s="34" t="inlineStr">
        <is>
          <t>New</t>
        </is>
      </c>
      <c r="I874" s="34" t="inlineStr">
        <is>
          <t>Source assignment -- not individually reviewed</t>
        </is>
      </c>
      <c r="J874" s="39" t="inlineStr"/>
      <c r="K874" s="34" t="inlineStr">
        <is>
          <t>Source assignment</t>
        </is>
      </c>
      <c r="L874" s="39" t="inlineStr"/>
      <c r="M874" s="34" t="inlineStr">
        <is>
          <t>Initial</t>
        </is>
      </c>
      <c r="N874" s="34" t="inlineStr">
        <is>
          <t>Rev 0</t>
        </is>
      </c>
      <c r="O874" s="34" t="inlineStr">
        <is>
          <t>R620-v1</t>
        </is>
      </c>
      <c r="P874" s="39" t="inlineStr"/>
      <c r="Q874" s="14" t="inlineStr"/>
      <c r="R874" s="39" t="inlineStr"/>
      <c r="S874" s="39" t="inlineStr"/>
      <c r="T874" s="39" t="inlineStr"/>
      <c r="U874" s="39" t="inlineStr"/>
      <c r="V874" s="34" t="inlineStr">
        <is>
          <t>WBS Code = 1.4.1</t>
        </is>
      </c>
      <c r="W874" s="14" t="inlineStr"/>
    </row>
    <row r="875" ht="49" customHeight="1">
      <c r="A875" s="34" t="inlineStr">
        <is>
          <t>1.4.1</t>
        </is>
      </c>
      <c r="B875" s="34" t="inlineStr">
        <is>
          <t>Vehicles and Depot - Fleet Supply</t>
        </is>
      </c>
      <c r="C875" s="34" t="inlineStr">
        <is>
          <t>Contractor Programme</t>
        </is>
      </c>
      <c r="D875" s="34" t="inlineStr">
        <is>
          <t>SCH-04-082</t>
        </is>
      </c>
      <c r="E875" s="34" t="inlineStr">
        <is>
          <t>Receiving track: wheel-lathe installation - field start</t>
        </is>
      </c>
      <c r="F875" s="34" t="inlineStr">
        <is>
          <t>ONE_TO_ONE</t>
        </is>
      </c>
      <c r="G875" s="34" t="inlineStr">
        <is>
          <t>APPROVED</t>
        </is>
      </c>
      <c r="H875" s="34" t="inlineStr">
        <is>
          <t>New</t>
        </is>
      </c>
      <c r="I875" s="34" t="inlineStr">
        <is>
          <t>Source assignment -- not individually reviewed</t>
        </is>
      </c>
      <c r="J875" s="39" t="inlineStr"/>
      <c r="K875" s="34" t="inlineStr">
        <is>
          <t>Source assignment</t>
        </is>
      </c>
      <c r="L875" s="39" t="inlineStr"/>
      <c r="M875" s="34" t="inlineStr">
        <is>
          <t>Initial</t>
        </is>
      </c>
      <c r="N875" s="34" t="inlineStr">
        <is>
          <t>Rev 0</t>
        </is>
      </c>
      <c r="O875" s="34" t="inlineStr">
        <is>
          <t>R622-v1</t>
        </is>
      </c>
      <c r="P875" s="39" t="inlineStr"/>
      <c r="Q875" s="14" t="inlineStr"/>
      <c r="R875" s="39" t="inlineStr"/>
      <c r="S875" s="39" t="inlineStr"/>
      <c r="T875" s="39" t="inlineStr"/>
      <c r="U875" s="39" t="inlineStr"/>
      <c r="V875" s="34" t="inlineStr">
        <is>
          <t>WBS Code = 1.4.1</t>
        </is>
      </c>
      <c r="W875" s="14" t="inlineStr"/>
    </row>
    <row r="876" ht="49" customHeight="1">
      <c r="A876" s="34" t="inlineStr">
        <is>
          <t>1.4.1</t>
        </is>
      </c>
      <c r="B876" s="34" t="inlineStr">
        <is>
          <t>Vehicles and Depot - Fleet Supply</t>
        </is>
      </c>
      <c r="C876" s="34" t="inlineStr">
        <is>
          <t>Contractor Programme</t>
        </is>
      </c>
      <c r="D876" s="34" t="inlineStr">
        <is>
          <t>SCH-04-083</t>
        </is>
      </c>
      <c r="E876" s="34" t="inlineStr">
        <is>
          <t>Maintenance shop: fleet software load - installation</t>
        </is>
      </c>
      <c r="F876" s="34" t="inlineStr">
        <is>
          <t>ONE_TO_ONE</t>
        </is>
      </c>
      <c r="G876" s="34" t="inlineStr">
        <is>
          <t>APPROVED</t>
        </is>
      </c>
      <c r="H876" s="34" t="inlineStr">
        <is>
          <t>New</t>
        </is>
      </c>
      <c r="I876" s="34" t="inlineStr">
        <is>
          <t>Source assignment -- not individually reviewed</t>
        </is>
      </c>
      <c r="J876" s="39" t="inlineStr"/>
      <c r="K876" s="34" t="inlineStr">
        <is>
          <t>Source assignment</t>
        </is>
      </c>
      <c r="L876" s="39" t="inlineStr"/>
      <c r="M876" s="34" t="inlineStr">
        <is>
          <t>Initial</t>
        </is>
      </c>
      <c r="N876" s="34" t="inlineStr">
        <is>
          <t>Rev 0</t>
        </is>
      </c>
      <c r="O876" s="34" t="inlineStr">
        <is>
          <t>R623-v1</t>
        </is>
      </c>
      <c r="P876" s="39" t="inlineStr"/>
      <c r="Q876" s="14" t="inlineStr"/>
      <c r="R876" s="39" t="inlineStr"/>
      <c r="S876" s="39" t="inlineStr"/>
      <c r="T876" s="39" t="inlineStr"/>
      <c r="U876" s="39" t="inlineStr"/>
      <c r="V876" s="34" t="inlineStr">
        <is>
          <t>WBS Code = 1.4.1</t>
        </is>
      </c>
      <c r="W876" s="14" t="inlineStr"/>
    </row>
    <row r="877" ht="49" customHeight="1">
      <c r="A877" s="34" t="inlineStr">
        <is>
          <t>1.4.1</t>
        </is>
      </c>
      <c r="B877" s="34" t="inlineStr">
        <is>
          <t>Vehicles and Depot - Fleet Supply</t>
        </is>
      </c>
      <c r="C877" s="34" t="inlineStr">
        <is>
          <t>Contractor Programme</t>
        </is>
      </c>
      <c r="D877" s="34" t="inlineStr">
        <is>
          <t>SCH-04-085</t>
        </is>
      </c>
      <c r="E877" s="34" t="inlineStr">
        <is>
          <t>Operations building: wash-plant commissioning - turnover</t>
        </is>
      </c>
      <c r="F877" s="34" t="inlineStr">
        <is>
          <t>ONE_TO_ONE</t>
        </is>
      </c>
      <c r="G877" s="34" t="inlineStr">
        <is>
          <t>APPROVED</t>
        </is>
      </c>
      <c r="H877" s="34" t="inlineStr">
        <is>
          <t>New</t>
        </is>
      </c>
      <c r="I877" s="34" t="inlineStr">
        <is>
          <t>Source assignment -- not individually reviewed</t>
        </is>
      </c>
      <c r="J877" s="39" t="inlineStr"/>
      <c r="K877" s="34" t="inlineStr">
        <is>
          <t>Source assignment</t>
        </is>
      </c>
      <c r="L877" s="39" t="inlineStr"/>
      <c r="M877" s="34" t="inlineStr">
        <is>
          <t>Initial</t>
        </is>
      </c>
      <c r="N877" s="34" t="inlineStr">
        <is>
          <t>Rev 0</t>
        </is>
      </c>
      <c r="O877" s="34" t="inlineStr">
        <is>
          <t>R625-v1</t>
        </is>
      </c>
      <c r="P877" s="39" t="inlineStr"/>
      <c r="Q877" s="14" t="inlineStr"/>
      <c r="R877" s="39" t="inlineStr"/>
      <c r="S877" s="39" t="inlineStr"/>
      <c r="T877" s="39" t="inlineStr"/>
      <c r="U877" s="39" t="inlineStr"/>
      <c r="V877" s="34" t="inlineStr">
        <is>
          <t>WBS Code = 1.4.1</t>
        </is>
      </c>
      <c r="W877" s="14" t="inlineStr"/>
    </row>
    <row r="878" ht="49" customHeight="1">
      <c r="A878" s="34" t="inlineStr">
        <is>
          <t>1.4.1</t>
        </is>
      </c>
      <c r="B878" s="34" t="inlineStr">
        <is>
          <t>Vehicles and Depot - Fleet Supply</t>
        </is>
      </c>
      <c r="C878" s="34" t="inlineStr">
        <is>
          <t>Contractor Programme</t>
        </is>
      </c>
      <c r="D878" s="34" t="inlineStr">
        <is>
          <t>SCH-04-086</t>
        </is>
      </c>
      <c r="E878" s="34" t="inlineStr">
        <is>
          <t>Test track: maintenance-bay services - release</t>
        </is>
      </c>
      <c r="F878" s="34" t="inlineStr">
        <is>
          <t>ONE_TO_ONE</t>
        </is>
      </c>
      <c r="G878" s="34" t="inlineStr">
        <is>
          <t>APPROVED</t>
        </is>
      </c>
      <c r="H878" s="34" t="inlineStr">
        <is>
          <t>New</t>
        </is>
      </c>
      <c r="I878" s="34" t="inlineStr">
        <is>
          <t>Source assignment -- not individually reviewed</t>
        </is>
      </c>
      <c r="J878" s="39" t="inlineStr"/>
      <c r="K878" s="34" t="inlineStr">
        <is>
          <t>Source assignment</t>
        </is>
      </c>
      <c r="L878" s="39" t="inlineStr"/>
      <c r="M878" s="34" t="inlineStr">
        <is>
          <t>Initial</t>
        </is>
      </c>
      <c r="N878" s="34" t="inlineStr">
        <is>
          <t>Rev 0</t>
        </is>
      </c>
      <c r="O878" s="34" t="inlineStr">
        <is>
          <t>R626-v1</t>
        </is>
      </c>
      <c r="P878" s="39" t="inlineStr"/>
      <c r="Q878" s="14" t="inlineStr"/>
      <c r="R878" s="39" t="inlineStr"/>
      <c r="S878" s="39" t="inlineStr"/>
      <c r="T878" s="39" t="inlineStr"/>
      <c r="U878" s="39" t="inlineStr"/>
      <c r="V878" s="34" t="inlineStr">
        <is>
          <t>WBS Code = 1.4.1</t>
        </is>
      </c>
      <c r="W878" s="14" t="inlineStr"/>
    </row>
    <row r="879" ht="49" customHeight="1">
      <c r="A879" s="34" t="inlineStr">
        <is>
          <t>1.4.1</t>
        </is>
      </c>
      <c r="B879" s="34" t="inlineStr">
        <is>
          <t>Vehicles and Depot - Fleet Supply</t>
        </is>
      </c>
      <c r="C879" s="34" t="inlineStr">
        <is>
          <t>Contractor Programme</t>
        </is>
      </c>
      <c r="D879" s="34" t="inlineStr">
        <is>
          <t>SCH-04-088</t>
        </is>
      </c>
      <c r="E879" s="34" t="inlineStr">
        <is>
          <t>Maintenance shop: workshop crane installation - installation</t>
        </is>
      </c>
      <c r="F879" s="34" t="inlineStr">
        <is>
          <t>ONE_TO_ONE</t>
        </is>
      </c>
      <c r="G879" s="34" t="inlineStr">
        <is>
          <t>APPROVED</t>
        </is>
      </c>
      <c r="H879" s="34" t="inlineStr">
        <is>
          <t>New</t>
        </is>
      </c>
      <c r="I879" s="34" t="inlineStr">
        <is>
          <t>Source assignment -- not individually reviewed</t>
        </is>
      </c>
      <c r="J879" s="39" t="inlineStr"/>
      <c r="K879" s="34" t="inlineStr">
        <is>
          <t>Source assignment</t>
        </is>
      </c>
      <c r="L879" s="39" t="inlineStr"/>
      <c r="M879" s="34" t="inlineStr">
        <is>
          <t>Initial</t>
        </is>
      </c>
      <c r="N879" s="34" t="inlineStr">
        <is>
          <t>Rev 0</t>
        </is>
      </c>
      <c r="O879" s="34" t="inlineStr">
        <is>
          <t>R628-v1</t>
        </is>
      </c>
      <c r="P879" s="39" t="inlineStr"/>
      <c r="Q879" s="14" t="inlineStr"/>
      <c r="R879" s="39" t="inlineStr"/>
      <c r="S879" s="39" t="inlineStr"/>
      <c r="T879" s="39" t="inlineStr"/>
      <c r="U879" s="39" t="inlineStr"/>
      <c r="V879" s="34" t="inlineStr">
        <is>
          <t>WBS Code = 1.4.1</t>
        </is>
      </c>
      <c r="W879" s="14" t="inlineStr"/>
    </row>
    <row r="880" ht="49" customHeight="1">
      <c r="A880" s="34" t="inlineStr">
        <is>
          <t>1.4.1</t>
        </is>
      </c>
      <c r="B880" s="34" t="inlineStr">
        <is>
          <t>Vehicles and Depot - Fleet Supply</t>
        </is>
      </c>
      <c r="C880" s="34" t="inlineStr">
        <is>
          <t>Contractor Programme</t>
        </is>
      </c>
      <c r="D880" s="34" t="inlineStr">
        <is>
          <t>SCH-04-089</t>
        </is>
      </c>
      <c r="E880" s="34" t="inlineStr">
        <is>
          <t>Storage yard: vehicle-to-depot interface check - inspection</t>
        </is>
      </c>
      <c r="F880" s="34" t="inlineStr">
        <is>
          <t>ONE_TO_ONE</t>
        </is>
      </c>
      <c r="G880" s="34" t="inlineStr">
        <is>
          <t>APPROVED</t>
        </is>
      </c>
      <c r="H880" s="34" t="inlineStr">
        <is>
          <t>New</t>
        </is>
      </c>
      <c r="I880" s="34" t="inlineStr">
        <is>
          <t>Source assignment -- not individually reviewed</t>
        </is>
      </c>
      <c r="J880" s="39" t="inlineStr"/>
      <c r="K880" s="34" t="inlineStr">
        <is>
          <t>Source assignment</t>
        </is>
      </c>
      <c r="L880" s="39" t="inlineStr"/>
      <c r="M880" s="34" t="inlineStr">
        <is>
          <t>Initial</t>
        </is>
      </c>
      <c r="N880" s="34" t="inlineStr">
        <is>
          <t>Rev 0</t>
        </is>
      </c>
      <c r="O880" s="34" t="inlineStr">
        <is>
          <t>R629-v1</t>
        </is>
      </c>
      <c r="P880" s="39" t="inlineStr"/>
      <c r="Q880" s="14" t="inlineStr"/>
      <c r="R880" s="39" t="inlineStr"/>
      <c r="S880" s="39" t="inlineStr"/>
      <c r="T880" s="39" t="inlineStr"/>
      <c r="U880" s="39" t="inlineStr"/>
      <c r="V880" s="34" t="inlineStr">
        <is>
          <t>WBS Code = 1.4.1</t>
        </is>
      </c>
      <c r="W880" s="14" t="inlineStr"/>
    </row>
    <row r="881" ht="49" customHeight="1">
      <c r="A881" s="34" t="inlineStr">
        <is>
          <t>1.4.1</t>
        </is>
      </c>
      <c r="B881" s="34" t="inlineStr">
        <is>
          <t>Vehicles and Depot - Fleet Supply</t>
        </is>
      </c>
      <c r="C881" s="34" t="inlineStr">
        <is>
          <t>Contractor Programme</t>
        </is>
      </c>
      <c r="D881" s="34" t="inlineStr">
        <is>
          <t>SCH-04-091</t>
        </is>
      </c>
      <c r="E881" s="34" t="inlineStr">
        <is>
          <t>Test track: fleet software load - release</t>
        </is>
      </c>
      <c r="F881" s="34" t="inlineStr">
        <is>
          <t>ONE_TO_ONE</t>
        </is>
      </c>
      <c r="G881" s="34" t="inlineStr">
        <is>
          <t>APPROVED</t>
        </is>
      </c>
      <c r="H881" s="34" t="inlineStr">
        <is>
          <t>New</t>
        </is>
      </c>
      <c r="I881" s="34" t="inlineStr">
        <is>
          <t>Source assignment -- not individually reviewed</t>
        </is>
      </c>
      <c r="J881" s="39" t="inlineStr"/>
      <c r="K881" s="34" t="inlineStr">
        <is>
          <t>Source assignment</t>
        </is>
      </c>
      <c r="L881" s="39" t="inlineStr"/>
      <c r="M881" s="34" t="inlineStr">
        <is>
          <t>Initial</t>
        </is>
      </c>
      <c r="N881" s="34" t="inlineStr">
        <is>
          <t>Rev 0</t>
        </is>
      </c>
      <c r="O881" s="34" t="inlineStr">
        <is>
          <t>R631-v1</t>
        </is>
      </c>
      <c r="P881" s="39" t="inlineStr"/>
      <c r="Q881" s="14" t="inlineStr"/>
      <c r="R881" s="39" t="inlineStr"/>
      <c r="S881" s="39" t="inlineStr"/>
      <c r="T881" s="39" t="inlineStr"/>
      <c r="U881" s="39" t="inlineStr"/>
      <c r="V881" s="34" t="inlineStr">
        <is>
          <t>WBS Code = 1.4.1</t>
        </is>
      </c>
      <c r="W881" s="14" t="inlineStr"/>
    </row>
    <row r="882" ht="49" customHeight="1">
      <c r="A882" s="34" t="inlineStr">
        <is>
          <t>1.4.1</t>
        </is>
      </c>
      <c r="B882" s="34" t="inlineStr">
        <is>
          <t>Vehicles and Depot - Fleet Supply</t>
        </is>
      </c>
      <c r="C882" s="34" t="inlineStr">
        <is>
          <t>Contractor Programme</t>
        </is>
      </c>
      <c r="D882" s="34" t="inlineStr">
        <is>
          <t>SCH-04-092</t>
        </is>
      </c>
      <c r="E882" s="34" t="inlineStr">
        <is>
          <t>Receiving track: vehicle delivery inspection - field start</t>
        </is>
      </c>
      <c r="F882" s="34" t="inlineStr">
        <is>
          <t>ONE_TO_ONE</t>
        </is>
      </c>
      <c r="G882" s="34" t="inlineStr">
        <is>
          <t>APPROVED</t>
        </is>
      </c>
      <c r="H882" s="34" t="inlineStr">
        <is>
          <t>New</t>
        </is>
      </c>
      <c r="I882" s="34" t="inlineStr">
        <is>
          <t>Source assignment -- not individually reviewed</t>
        </is>
      </c>
      <c r="J882" s="39" t="inlineStr"/>
      <c r="K882" s="34" t="inlineStr">
        <is>
          <t>Source assignment</t>
        </is>
      </c>
      <c r="L882" s="39" t="inlineStr"/>
      <c r="M882" s="34" t="inlineStr">
        <is>
          <t>Initial</t>
        </is>
      </c>
      <c r="N882" s="34" t="inlineStr">
        <is>
          <t>Rev 0</t>
        </is>
      </c>
      <c r="O882" s="34" t="inlineStr">
        <is>
          <t>R632-v1</t>
        </is>
      </c>
      <c r="P882" s="39" t="inlineStr"/>
      <c r="Q882" s="14" t="inlineStr"/>
      <c r="R882" s="39" t="inlineStr"/>
      <c r="S882" s="39" t="inlineStr"/>
      <c r="T882" s="39" t="inlineStr"/>
      <c r="U882" s="39" t="inlineStr"/>
      <c r="V882" s="34" t="inlineStr">
        <is>
          <t>WBS Code = 1.4.1</t>
        </is>
      </c>
      <c r="W882" s="14" t="inlineStr"/>
    </row>
    <row r="883" ht="49" customHeight="1">
      <c r="A883" s="34" t="inlineStr">
        <is>
          <t>1.4.1</t>
        </is>
      </c>
      <c r="B883" s="34" t="inlineStr">
        <is>
          <t>Vehicles and Depot - Fleet Supply</t>
        </is>
      </c>
      <c r="C883" s="34" t="inlineStr">
        <is>
          <t>Contractor Programme</t>
        </is>
      </c>
      <c r="D883" s="34" t="inlineStr">
        <is>
          <t>SCH-04-094</t>
        </is>
      </c>
      <c r="E883" s="34" t="inlineStr">
        <is>
          <t>Storage yard: maintenance-bay services - inspection</t>
        </is>
      </c>
      <c r="F883" s="34" t="inlineStr">
        <is>
          <t>ONE_TO_ONE</t>
        </is>
      </c>
      <c r="G883" s="34" t="inlineStr">
        <is>
          <t>APPROVED</t>
        </is>
      </c>
      <c r="H883" s="34" t="inlineStr">
        <is>
          <t>New</t>
        </is>
      </c>
      <c r="I883" s="34" t="inlineStr">
        <is>
          <t>Source assignment -- not individually reviewed</t>
        </is>
      </c>
      <c r="J883" s="39" t="inlineStr"/>
      <c r="K883" s="34" t="inlineStr">
        <is>
          <t>Source assignment</t>
        </is>
      </c>
      <c r="L883" s="39" t="inlineStr"/>
      <c r="M883" s="34" t="inlineStr">
        <is>
          <t>Initial</t>
        </is>
      </c>
      <c r="N883" s="34" t="inlineStr">
        <is>
          <t>Rev 0</t>
        </is>
      </c>
      <c r="O883" s="34" t="inlineStr">
        <is>
          <t>R634-v1</t>
        </is>
      </c>
      <c r="P883" s="39" t="inlineStr"/>
      <c r="Q883" s="14" t="inlineStr"/>
      <c r="R883" s="39" t="inlineStr"/>
      <c r="S883" s="39" t="inlineStr"/>
      <c r="T883" s="39" t="inlineStr"/>
      <c r="U883" s="39" t="inlineStr"/>
      <c r="V883" s="34" t="inlineStr">
        <is>
          <t>WBS Code = 1.4.1</t>
        </is>
      </c>
      <c r="W883" s="14" t="inlineStr"/>
    </row>
    <row r="884" ht="49" customHeight="1">
      <c r="A884" s="34" t="inlineStr">
        <is>
          <t>1.4.1</t>
        </is>
      </c>
      <c r="B884" s="34" t="inlineStr">
        <is>
          <t>Vehicles and Depot - Fleet Supply</t>
        </is>
      </c>
      <c r="C884" s="34" t="inlineStr">
        <is>
          <t>Contractor Programme</t>
        </is>
      </c>
      <c r="D884" s="34" t="inlineStr">
        <is>
          <t>SCH-04-095</t>
        </is>
      </c>
      <c r="E884" s="34" t="inlineStr">
        <is>
          <t>Operations building: depot structural fit-out - turnover</t>
        </is>
      </c>
      <c r="F884" s="34" t="inlineStr">
        <is>
          <t>ONE_TO_ONE</t>
        </is>
      </c>
      <c r="G884" s="34" t="inlineStr">
        <is>
          <t>APPROVED</t>
        </is>
      </c>
      <c r="H884" s="34" t="inlineStr">
        <is>
          <t>New</t>
        </is>
      </c>
      <c r="I884" s="34" t="inlineStr">
        <is>
          <t>Source assignment -- not individually reviewed</t>
        </is>
      </c>
      <c r="J884" s="39" t="inlineStr"/>
      <c r="K884" s="34" t="inlineStr">
        <is>
          <t>Source assignment</t>
        </is>
      </c>
      <c r="L884" s="39" t="inlineStr"/>
      <c r="M884" s="34" t="inlineStr">
        <is>
          <t>Initial</t>
        </is>
      </c>
      <c r="N884" s="34" t="inlineStr">
        <is>
          <t>Rev 0</t>
        </is>
      </c>
      <c r="O884" s="34" t="inlineStr">
        <is>
          <t>R635-v1</t>
        </is>
      </c>
      <c r="P884" s="39" t="inlineStr"/>
      <c r="Q884" s="14" t="inlineStr"/>
      <c r="R884" s="39" t="inlineStr"/>
      <c r="S884" s="39" t="inlineStr"/>
      <c r="T884" s="39" t="inlineStr"/>
      <c r="U884" s="39" t="inlineStr"/>
      <c r="V884" s="34" t="inlineStr">
        <is>
          <t>WBS Code = 1.4.1</t>
        </is>
      </c>
      <c r="W884" s="14" t="inlineStr"/>
    </row>
    <row r="885" ht="49" customHeight="1">
      <c r="A885" s="34" t="inlineStr">
        <is>
          <t>1.4.1</t>
        </is>
      </c>
      <c r="B885" s="34" t="inlineStr">
        <is>
          <t>Vehicles and Depot - Fleet Supply</t>
        </is>
      </c>
      <c r="C885" s="34" t="inlineStr">
        <is>
          <t>Contractor Programme</t>
        </is>
      </c>
      <c r="D885" s="34" t="inlineStr">
        <is>
          <t>SCH-04-097</t>
        </is>
      </c>
      <c r="E885" s="34" t="inlineStr">
        <is>
          <t>Receiving track: vehicle-to-depot interface check - field start</t>
        </is>
      </c>
      <c r="F885" s="34" t="inlineStr">
        <is>
          <t>ONE_TO_ONE</t>
        </is>
      </c>
      <c r="G885" s="34" t="inlineStr">
        <is>
          <t>APPROVED</t>
        </is>
      </c>
      <c r="H885" s="34" t="inlineStr">
        <is>
          <t>New</t>
        </is>
      </c>
      <c r="I885" s="34" t="inlineStr">
        <is>
          <t>Source assignment -- not individually reviewed</t>
        </is>
      </c>
      <c r="J885" s="39" t="inlineStr"/>
      <c r="K885" s="34" t="inlineStr">
        <is>
          <t>Source assignment</t>
        </is>
      </c>
      <c r="L885" s="39" t="inlineStr"/>
      <c r="M885" s="34" t="inlineStr">
        <is>
          <t>Initial</t>
        </is>
      </c>
      <c r="N885" s="34" t="inlineStr">
        <is>
          <t>Rev 0</t>
        </is>
      </c>
      <c r="O885" s="34" t="inlineStr">
        <is>
          <t>R637-v1</t>
        </is>
      </c>
      <c r="P885" s="39" t="inlineStr"/>
      <c r="Q885" s="14" t="inlineStr"/>
      <c r="R885" s="39" t="inlineStr"/>
      <c r="S885" s="39" t="inlineStr"/>
      <c r="T885" s="39" t="inlineStr"/>
      <c r="U885" s="39" t="inlineStr"/>
      <c r="V885" s="34" t="inlineStr">
        <is>
          <t>WBS Code = 1.4.1</t>
        </is>
      </c>
      <c r="W885" s="14" t="inlineStr"/>
    </row>
    <row r="886" ht="49" customHeight="1">
      <c r="A886" s="34" t="inlineStr">
        <is>
          <t>1.4.1</t>
        </is>
      </c>
      <c r="B886" s="34" t="inlineStr">
        <is>
          <t>Vehicles and Depot - Fleet Supply</t>
        </is>
      </c>
      <c r="C886" s="34" t="inlineStr">
        <is>
          <t>Contractor Programme</t>
        </is>
      </c>
      <c r="D886" s="34" t="inlineStr">
        <is>
          <t>SCH-04-098</t>
        </is>
      </c>
      <c r="E886" s="34" t="inlineStr">
        <is>
          <t>Maintenance shop: wheel-lathe installation - installation</t>
        </is>
      </c>
      <c r="F886" s="34" t="inlineStr">
        <is>
          <t>ONE_TO_ONE</t>
        </is>
      </c>
      <c r="G886" s="34" t="inlineStr">
        <is>
          <t>APPROVED</t>
        </is>
      </c>
      <c r="H886" s="34" t="inlineStr">
        <is>
          <t>New</t>
        </is>
      </c>
      <c r="I886" s="34" t="inlineStr">
        <is>
          <t>Source assignment -- not individually reviewed</t>
        </is>
      </c>
      <c r="J886" s="39" t="inlineStr"/>
      <c r="K886" s="34" t="inlineStr">
        <is>
          <t>Source assignment</t>
        </is>
      </c>
      <c r="L886" s="39" t="inlineStr"/>
      <c r="M886" s="34" t="inlineStr">
        <is>
          <t>Initial</t>
        </is>
      </c>
      <c r="N886" s="34" t="inlineStr">
        <is>
          <t>Rev 0</t>
        </is>
      </c>
      <c r="O886" s="34" t="inlineStr">
        <is>
          <t>R638-v1</t>
        </is>
      </c>
      <c r="P886" s="39" t="inlineStr"/>
      <c r="Q886" s="14" t="inlineStr"/>
      <c r="R886" s="39" t="inlineStr"/>
      <c r="S886" s="39" t="inlineStr"/>
      <c r="T886" s="39" t="inlineStr"/>
      <c r="U886" s="39" t="inlineStr"/>
      <c r="V886" s="34" t="inlineStr">
        <is>
          <t>WBS Code = 1.4.1</t>
        </is>
      </c>
      <c r="W886" s="14" t="inlineStr"/>
    </row>
    <row r="887" ht="49" customHeight="1">
      <c r="A887" s="34" t="inlineStr">
        <is>
          <t>1.4.1</t>
        </is>
      </c>
      <c r="B887" s="34" t="inlineStr">
        <is>
          <t>Vehicles and Depot - Fleet Supply</t>
        </is>
      </c>
      <c r="C887" s="34" t="inlineStr">
        <is>
          <t>Contractor Programme</t>
        </is>
      </c>
      <c r="D887" s="34" t="inlineStr">
        <is>
          <t>SCH-04-100</t>
        </is>
      </c>
      <c r="E887" s="34" t="inlineStr">
        <is>
          <t>Operations building: vehicle delivery inspection - turnover</t>
        </is>
      </c>
      <c r="F887" s="34" t="inlineStr">
        <is>
          <t>ONE_TO_ONE</t>
        </is>
      </c>
      <c r="G887" s="34" t="inlineStr">
        <is>
          <t>APPROVED</t>
        </is>
      </c>
      <c r="H887" s="34" t="inlineStr">
        <is>
          <t>New</t>
        </is>
      </c>
      <c r="I887" s="34" t="inlineStr">
        <is>
          <t>Source assignment -- not individually reviewed</t>
        </is>
      </c>
      <c r="J887" s="39" t="inlineStr"/>
      <c r="K887" s="34" t="inlineStr">
        <is>
          <t>Source assignment</t>
        </is>
      </c>
      <c r="L887" s="39" t="inlineStr"/>
      <c r="M887" s="34" t="inlineStr">
        <is>
          <t>Initial</t>
        </is>
      </c>
      <c r="N887" s="34" t="inlineStr">
        <is>
          <t>Rev 0</t>
        </is>
      </c>
      <c r="O887" s="34" t="inlineStr">
        <is>
          <t>R640-v1</t>
        </is>
      </c>
      <c r="P887" s="39" t="inlineStr"/>
      <c r="Q887" s="14" t="inlineStr"/>
      <c r="R887" s="39" t="inlineStr"/>
      <c r="S887" s="39" t="inlineStr"/>
      <c r="T887" s="39" t="inlineStr"/>
      <c r="U887" s="39" t="inlineStr"/>
      <c r="V887" s="34" t="inlineStr">
        <is>
          <t>WBS Code = 1.4.1</t>
        </is>
      </c>
      <c r="W887" s="14" t="inlineStr"/>
    </row>
    <row r="888" ht="49" customHeight="1">
      <c r="A888" s="34" t="inlineStr">
        <is>
          <t>1.4.1</t>
        </is>
      </c>
      <c r="B888" s="34" t="inlineStr">
        <is>
          <t>Vehicles and Depot - Fleet Supply</t>
        </is>
      </c>
      <c r="C888" s="34" t="inlineStr">
        <is>
          <t>Contractor Programme</t>
        </is>
      </c>
      <c r="D888" s="34" t="inlineStr">
        <is>
          <t>SCH-04-101</t>
        </is>
      </c>
      <c r="E888" s="34" t="inlineStr">
        <is>
          <t>Test track: wash-plant commissioning - release</t>
        </is>
      </c>
      <c r="F888" s="34" t="inlineStr">
        <is>
          <t>ONE_TO_ONE</t>
        </is>
      </c>
      <c r="G888" s="34" t="inlineStr">
        <is>
          <t>APPROVED</t>
        </is>
      </c>
      <c r="H888" s="34" t="inlineStr">
        <is>
          <t>New</t>
        </is>
      </c>
      <c r="I888" s="34" t="inlineStr">
        <is>
          <t>Source assignment -- not individually reviewed</t>
        </is>
      </c>
      <c r="J888" s="39" t="inlineStr"/>
      <c r="K888" s="34" t="inlineStr">
        <is>
          <t>Source assignment</t>
        </is>
      </c>
      <c r="L888" s="39" t="inlineStr"/>
      <c r="M888" s="34" t="inlineStr">
        <is>
          <t>Initial</t>
        </is>
      </c>
      <c r="N888" s="34" t="inlineStr">
        <is>
          <t>Rev 0</t>
        </is>
      </c>
      <c r="O888" s="34" t="inlineStr">
        <is>
          <t>R641-v1</t>
        </is>
      </c>
      <c r="P888" s="39" t="inlineStr"/>
      <c r="Q888" s="14" t="inlineStr"/>
      <c r="R888" s="39" t="inlineStr"/>
      <c r="S888" s="39" t="inlineStr"/>
      <c r="T888" s="39" t="inlineStr"/>
      <c r="U888" s="39" t="inlineStr"/>
      <c r="V888" s="34" t="inlineStr">
        <is>
          <t>WBS Code = 1.4.1</t>
        </is>
      </c>
      <c r="W888" s="14" t="inlineStr"/>
    </row>
    <row r="889" ht="49" customHeight="1">
      <c r="A889" s="34" t="inlineStr">
        <is>
          <t>1.4.1</t>
        </is>
      </c>
      <c r="B889" s="34" t="inlineStr">
        <is>
          <t>Vehicles and Depot - Fleet Supply</t>
        </is>
      </c>
      <c r="C889" s="34" t="inlineStr">
        <is>
          <t>Contractor Programme</t>
        </is>
      </c>
      <c r="D889" s="34" t="inlineStr">
        <is>
          <t>SCH-04-103</t>
        </is>
      </c>
      <c r="E889" s="34" t="inlineStr">
        <is>
          <t>Maintenance shop: depot structural fit-out - installation</t>
        </is>
      </c>
      <c r="F889" s="34" t="inlineStr">
        <is>
          <t>ONE_TO_ONE</t>
        </is>
      </c>
      <c r="G889" s="34" t="inlineStr">
        <is>
          <t>APPROVED</t>
        </is>
      </c>
      <c r="H889" s="34" t="inlineStr">
        <is>
          <t>New</t>
        </is>
      </c>
      <c r="I889" s="34" t="inlineStr">
        <is>
          <t>Source assignment -- not individually reviewed</t>
        </is>
      </c>
      <c r="J889" s="39" t="inlineStr"/>
      <c r="K889" s="34" t="inlineStr">
        <is>
          <t>Source assignment</t>
        </is>
      </c>
      <c r="L889" s="39" t="inlineStr"/>
      <c r="M889" s="34" t="inlineStr">
        <is>
          <t>Initial</t>
        </is>
      </c>
      <c r="N889" s="34" t="inlineStr">
        <is>
          <t>Rev 0</t>
        </is>
      </c>
      <c r="O889" s="34" t="inlineStr">
        <is>
          <t>R643-v1</t>
        </is>
      </c>
      <c r="P889" s="39" t="inlineStr"/>
      <c r="Q889" s="14" t="inlineStr"/>
      <c r="R889" s="39" t="inlineStr"/>
      <c r="S889" s="39" t="inlineStr"/>
      <c r="T889" s="39" t="inlineStr"/>
      <c r="U889" s="39" t="inlineStr"/>
      <c r="V889" s="34" t="inlineStr">
        <is>
          <t>WBS Code = 1.4.1</t>
        </is>
      </c>
      <c r="W889" s="14" t="inlineStr"/>
    </row>
    <row r="890" ht="49" customHeight="1">
      <c r="A890" s="34" t="inlineStr">
        <is>
          <t>1.4.1</t>
        </is>
      </c>
      <c r="B890" s="34" t="inlineStr">
        <is>
          <t>Vehicles and Depot - Fleet Supply</t>
        </is>
      </c>
      <c r="C890" s="34" t="inlineStr">
        <is>
          <t>Contractor Programme</t>
        </is>
      </c>
      <c r="D890" s="34" t="inlineStr">
        <is>
          <t>SCH-04-104</t>
        </is>
      </c>
      <c r="E890" s="34" t="inlineStr">
        <is>
          <t>Storage yard: workshop crane installation - inspection</t>
        </is>
      </c>
      <c r="F890" s="34" t="inlineStr">
        <is>
          <t>ONE_TO_ONE</t>
        </is>
      </c>
      <c r="G890" s="34" t="inlineStr">
        <is>
          <t>APPROVED</t>
        </is>
      </c>
      <c r="H890" s="34" t="inlineStr">
        <is>
          <t>New</t>
        </is>
      </c>
      <c r="I890" s="34" t="inlineStr">
        <is>
          <t>Source assignment -- not individually reviewed</t>
        </is>
      </c>
      <c r="J890" s="39" t="inlineStr"/>
      <c r="K890" s="34" t="inlineStr">
        <is>
          <t>Source assignment</t>
        </is>
      </c>
      <c r="L890" s="39" t="inlineStr"/>
      <c r="M890" s="34" t="inlineStr">
        <is>
          <t>Initial</t>
        </is>
      </c>
      <c r="N890" s="34" t="inlineStr">
        <is>
          <t>Rev 0</t>
        </is>
      </c>
      <c r="O890" s="34" t="inlineStr">
        <is>
          <t>R644-v1</t>
        </is>
      </c>
      <c r="P890" s="39" t="inlineStr"/>
      <c r="Q890" s="14" t="inlineStr"/>
      <c r="R890" s="39" t="inlineStr"/>
      <c r="S890" s="39" t="inlineStr"/>
      <c r="T890" s="39" t="inlineStr"/>
      <c r="U890" s="39" t="inlineStr"/>
      <c r="V890" s="34" t="inlineStr">
        <is>
          <t>WBS Code = 1.4.1</t>
        </is>
      </c>
      <c r="W890" s="14" t="inlineStr"/>
    </row>
    <row r="891" ht="49" customHeight="1">
      <c r="A891" s="34" t="inlineStr">
        <is>
          <t>1.4.1</t>
        </is>
      </c>
      <c r="B891" s="34" t="inlineStr">
        <is>
          <t>Vehicles and Depot - Fleet Supply</t>
        </is>
      </c>
      <c r="C891" s="34" t="inlineStr">
        <is>
          <t>Contractor Programme</t>
        </is>
      </c>
      <c r="D891" s="34" t="inlineStr">
        <is>
          <t>SCH-04-106</t>
        </is>
      </c>
      <c r="E891" s="34" t="inlineStr">
        <is>
          <t>Test track: wheel-lathe installation - release</t>
        </is>
      </c>
      <c r="F891" s="34" t="inlineStr">
        <is>
          <t>ONE_TO_ONE</t>
        </is>
      </c>
      <c r="G891" s="34" t="inlineStr">
        <is>
          <t>APPROVED</t>
        </is>
      </c>
      <c r="H891" s="34" t="inlineStr">
        <is>
          <t>New</t>
        </is>
      </c>
      <c r="I891" s="34" t="inlineStr">
        <is>
          <t>Source assignment -- not individually reviewed</t>
        </is>
      </c>
      <c r="J891" s="39" t="inlineStr"/>
      <c r="K891" s="34" t="inlineStr">
        <is>
          <t>Source assignment</t>
        </is>
      </c>
      <c r="L891" s="39" t="inlineStr"/>
      <c r="M891" s="34" t="inlineStr">
        <is>
          <t>Initial</t>
        </is>
      </c>
      <c r="N891" s="34" t="inlineStr">
        <is>
          <t>Rev 0</t>
        </is>
      </c>
      <c r="O891" s="34" t="inlineStr">
        <is>
          <t>R646-v1</t>
        </is>
      </c>
      <c r="P891" s="39" t="inlineStr"/>
      <c r="Q891" s="14" t="inlineStr"/>
      <c r="R891" s="39" t="inlineStr"/>
      <c r="S891" s="39" t="inlineStr"/>
      <c r="T891" s="39" t="inlineStr"/>
      <c r="U891" s="39" t="inlineStr"/>
      <c r="V891" s="34" t="inlineStr">
        <is>
          <t>WBS Code = 1.4.1</t>
        </is>
      </c>
      <c r="W891" s="14" t="inlineStr"/>
    </row>
    <row r="892" ht="49" customHeight="1">
      <c r="A892" s="34" t="inlineStr">
        <is>
          <t>1.4.1</t>
        </is>
      </c>
      <c r="B892" s="34" t="inlineStr">
        <is>
          <t>Vehicles and Depot - Fleet Supply</t>
        </is>
      </c>
      <c r="C892" s="34" t="inlineStr">
        <is>
          <t>Contractor Programme</t>
        </is>
      </c>
      <c r="D892" s="34" t="inlineStr">
        <is>
          <t>SCH-04-107</t>
        </is>
      </c>
      <c r="E892" s="34" t="inlineStr">
        <is>
          <t>Receiving track: fleet software load - field start</t>
        </is>
      </c>
      <c r="F892" s="34" t="inlineStr">
        <is>
          <t>ONE_TO_ONE</t>
        </is>
      </c>
      <c r="G892" s="34" t="inlineStr">
        <is>
          <t>APPROVED</t>
        </is>
      </c>
      <c r="H892" s="34" t="inlineStr">
        <is>
          <t>New</t>
        </is>
      </c>
      <c r="I892" s="34" t="inlineStr">
        <is>
          <t>Source assignment -- not individually reviewed</t>
        </is>
      </c>
      <c r="J892" s="39" t="inlineStr"/>
      <c r="K892" s="34" t="inlineStr">
        <is>
          <t>Source assignment</t>
        </is>
      </c>
      <c r="L892" s="39" t="inlineStr"/>
      <c r="M892" s="34" t="inlineStr">
        <is>
          <t>Initial</t>
        </is>
      </c>
      <c r="N892" s="34" t="inlineStr">
        <is>
          <t>Rev 0</t>
        </is>
      </c>
      <c r="O892" s="34" t="inlineStr">
        <is>
          <t>R647-v1</t>
        </is>
      </c>
      <c r="P892" s="39" t="inlineStr"/>
      <c r="Q892" s="14" t="inlineStr"/>
      <c r="R892" s="39" t="inlineStr"/>
      <c r="S892" s="39" t="inlineStr"/>
      <c r="T892" s="39" t="inlineStr"/>
      <c r="U892" s="39" t="inlineStr"/>
      <c r="V892" s="34" t="inlineStr">
        <is>
          <t>WBS Code = 1.4.1</t>
        </is>
      </c>
      <c r="W892" s="14" t="inlineStr"/>
    </row>
    <row r="893" ht="49" customHeight="1">
      <c r="A893" s="34" t="inlineStr">
        <is>
          <t>1.4.1</t>
        </is>
      </c>
      <c r="B893" s="34" t="inlineStr">
        <is>
          <t>Vehicles and Depot - Fleet Supply</t>
        </is>
      </c>
      <c r="C893" s="34" t="inlineStr">
        <is>
          <t>Contractor Programme</t>
        </is>
      </c>
      <c r="D893" s="34" t="inlineStr">
        <is>
          <t>SCH-04-109</t>
        </is>
      </c>
      <c r="E893" s="34" t="inlineStr">
        <is>
          <t>Storage yard: wash-plant commissioning - inspection</t>
        </is>
      </c>
      <c r="F893" s="34" t="inlineStr">
        <is>
          <t>ONE_TO_ONE</t>
        </is>
      </c>
      <c r="G893" s="34" t="inlineStr">
        <is>
          <t>APPROVED</t>
        </is>
      </c>
      <c r="H893" s="34" t="inlineStr">
        <is>
          <t>New</t>
        </is>
      </c>
      <c r="I893" s="34" t="inlineStr">
        <is>
          <t>Source assignment -- not individually reviewed</t>
        </is>
      </c>
      <c r="J893" s="39" t="inlineStr"/>
      <c r="K893" s="34" t="inlineStr">
        <is>
          <t>Source assignment</t>
        </is>
      </c>
      <c r="L893" s="39" t="inlineStr"/>
      <c r="M893" s="34" t="inlineStr">
        <is>
          <t>Initial</t>
        </is>
      </c>
      <c r="N893" s="34" t="inlineStr">
        <is>
          <t>Rev 0</t>
        </is>
      </c>
      <c r="O893" s="34" t="inlineStr">
        <is>
          <t>R649-v1</t>
        </is>
      </c>
      <c r="P893" s="39" t="inlineStr"/>
      <c r="Q893" s="14" t="inlineStr"/>
      <c r="R893" s="39" t="inlineStr"/>
      <c r="S893" s="39" t="inlineStr"/>
      <c r="T893" s="39" t="inlineStr"/>
      <c r="U893" s="39" t="inlineStr"/>
      <c r="V893" s="34" t="inlineStr">
        <is>
          <t>WBS Code = 1.4.1</t>
        </is>
      </c>
      <c r="W893" s="14" t="inlineStr"/>
    </row>
    <row r="894" ht="49" customHeight="1">
      <c r="A894" s="34" t="inlineStr">
        <is>
          <t>1.4.1</t>
        </is>
      </c>
      <c r="B894" s="34" t="inlineStr">
        <is>
          <t>Vehicles and Depot - Fleet Supply</t>
        </is>
      </c>
      <c r="C894" s="34" t="inlineStr">
        <is>
          <t>Contractor Programme</t>
        </is>
      </c>
      <c r="D894" s="34" t="inlineStr">
        <is>
          <t>SCH-04-110</t>
        </is>
      </c>
      <c r="E894" s="34" t="inlineStr">
        <is>
          <t>Operations building: maintenance-bay services - turnover</t>
        </is>
      </c>
      <c r="F894" s="34" t="inlineStr">
        <is>
          <t>ONE_TO_ONE</t>
        </is>
      </c>
      <c r="G894" s="34" t="inlineStr">
        <is>
          <t>APPROVED</t>
        </is>
      </c>
      <c r="H894" s="34" t="inlineStr">
        <is>
          <t>New</t>
        </is>
      </c>
      <c r="I894" s="34" t="inlineStr">
        <is>
          <t>Source assignment -- not individually reviewed</t>
        </is>
      </c>
      <c r="J894" s="39" t="inlineStr"/>
      <c r="K894" s="34" t="inlineStr">
        <is>
          <t>Source assignment</t>
        </is>
      </c>
      <c r="L894" s="39" t="inlineStr"/>
      <c r="M894" s="34" t="inlineStr">
        <is>
          <t>Initial</t>
        </is>
      </c>
      <c r="N894" s="34" t="inlineStr">
        <is>
          <t>Rev 0</t>
        </is>
      </c>
      <c r="O894" s="34" t="inlineStr">
        <is>
          <t>R650-v1</t>
        </is>
      </c>
      <c r="P894" s="39" t="inlineStr"/>
      <c r="Q894" s="14" t="inlineStr"/>
      <c r="R894" s="39" t="inlineStr"/>
      <c r="S894" s="39" t="inlineStr"/>
      <c r="T894" s="39" t="inlineStr"/>
      <c r="U894" s="39" t="inlineStr"/>
      <c r="V894" s="34" t="inlineStr">
        <is>
          <t>WBS Code = 1.4.1</t>
        </is>
      </c>
      <c r="W894" s="14" t="inlineStr"/>
    </row>
    <row r="895" ht="49" customHeight="1">
      <c r="A895" s="34" t="inlineStr">
        <is>
          <t>1.4.1</t>
        </is>
      </c>
      <c r="B895" s="34" t="inlineStr">
        <is>
          <t>Vehicles and Depot - Fleet Supply</t>
        </is>
      </c>
      <c r="C895" s="34" t="inlineStr">
        <is>
          <t>Contractor Programme</t>
        </is>
      </c>
      <c r="D895" s="34" t="inlineStr">
        <is>
          <t>SCH-04-112</t>
        </is>
      </c>
      <c r="E895" s="34" t="inlineStr">
        <is>
          <t>Receiving track: workshop crane installation - field start</t>
        </is>
      </c>
      <c r="F895" s="34" t="inlineStr">
        <is>
          <t>ONE_TO_ONE</t>
        </is>
      </c>
      <c r="G895" s="34" t="inlineStr">
        <is>
          <t>APPROVED</t>
        </is>
      </c>
      <c r="H895" s="34" t="inlineStr">
        <is>
          <t>New</t>
        </is>
      </c>
      <c r="I895" s="34" t="inlineStr">
        <is>
          <t>Source assignment -- not individually reviewed</t>
        </is>
      </c>
      <c r="J895" s="39" t="inlineStr"/>
      <c r="K895" s="34" t="inlineStr">
        <is>
          <t>Source assignment</t>
        </is>
      </c>
      <c r="L895" s="39" t="inlineStr"/>
      <c r="M895" s="34" t="inlineStr">
        <is>
          <t>Initial</t>
        </is>
      </c>
      <c r="N895" s="34" t="inlineStr">
        <is>
          <t>Rev 0</t>
        </is>
      </c>
      <c r="O895" s="34" t="inlineStr">
        <is>
          <t>R652-v1</t>
        </is>
      </c>
      <c r="P895" s="39" t="inlineStr"/>
      <c r="Q895" s="14" t="inlineStr"/>
      <c r="R895" s="39" t="inlineStr"/>
      <c r="S895" s="39" t="inlineStr"/>
      <c r="T895" s="39" t="inlineStr"/>
      <c r="U895" s="39" t="inlineStr"/>
      <c r="V895" s="34" t="inlineStr">
        <is>
          <t>WBS Code = 1.4.1</t>
        </is>
      </c>
      <c r="W895" s="14" t="inlineStr"/>
    </row>
    <row r="896" ht="49" customHeight="1">
      <c r="A896" s="34" t="inlineStr">
        <is>
          <t>1.4.1</t>
        </is>
      </c>
      <c r="B896" s="34" t="inlineStr">
        <is>
          <t>Vehicles and Depot - Fleet Supply</t>
        </is>
      </c>
      <c r="C896" s="34" t="inlineStr">
        <is>
          <t>Contractor Programme</t>
        </is>
      </c>
      <c r="D896" s="34" t="inlineStr">
        <is>
          <t>SCH-04-113</t>
        </is>
      </c>
      <c r="E896" s="34" t="inlineStr">
        <is>
          <t>Maintenance shop: vehicle-to-depot interface check - installation</t>
        </is>
      </c>
      <c r="F896" s="34" t="inlineStr">
        <is>
          <t>ONE_TO_ONE</t>
        </is>
      </c>
      <c r="G896" s="34" t="inlineStr">
        <is>
          <t>APPROVED</t>
        </is>
      </c>
      <c r="H896" s="34" t="inlineStr">
        <is>
          <t>New</t>
        </is>
      </c>
      <c r="I896" s="34" t="inlineStr">
        <is>
          <t>Source assignment -- not individually reviewed</t>
        </is>
      </c>
      <c r="J896" s="39" t="inlineStr"/>
      <c r="K896" s="34" t="inlineStr">
        <is>
          <t>Source assignment</t>
        </is>
      </c>
      <c r="L896" s="39" t="inlineStr"/>
      <c r="M896" s="34" t="inlineStr">
        <is>
          <t>Initial</t>
        </is>
      </c>
      <c r="N896" s="34" t="inlineStr">
        <is>
          <t>Rev 0</t>
        </is>
      </c>
      <c r="O896" s="34" t="inlineStr">
        <is>
          <t>R653-v1</t>
        </is>
      </c>
      <c r="P896" s="39" t="inlineStr"/>
      <c r="Q896" s="14" t="inlineStr"/>
      <c r="R896" s="39" t="inlineStr"/>
      <c r="S896" s="39" t="inlineStr"/>
      <c r="T896" s="39" t="inlineStr"/>
      <c r="U896" s="39" t="inlineStr"/>
      <c r="V896" s="34" t="inlineStr">
        <is>
          <t>WBS Code = 1.4.1</t>
        </is>
      </c>
      <c r="W896" s="14" t="inlineStr"/>
    </row>
    <row r="897" ht="49" customHeight="1">
      <c r="A897" s="34" t="inlineStr">
        <is>
          <t>1.4.1</t>
        </is>
      </c>
      <c r="B897" s="34" t="inlineStr">
        <is>
          <t>Vehicles and Depot - Fleet Supply</t>
        </is>
      </c>
      <c r="C897" s="34" t="inlineStr">
        <is>
          <t>Contractor Programme</t>
        </is>
      </c>
      <c r="D897" s="34" t="inlineStr">
        <is>
          <t>SCH-04-115</t>
        </is>
      </c>
      <c r="E897" s="34" t="inlineStr">
        <is>
          <t>Operations building: fleet software load - turnover</t>
        </is>
      </c>
      <c r="F897" s="34" t="inlineStr">
        <is>
          <t>ONE_TO_ONE</t>
        </is>
      </c>
      <c r="G897" s="34" t="inlineStr">
        <is>
          <t>APPROVED</t>
        </is>
      </c>
      <c r="H897" s="34" t="inlineStr">
        <is>
          <t>New</t>
        </is>
      </c>
      <c r="I897" s="34" t="inlineStr">
        <is>
          <t>Source assignment -- not individually reviewed</t>
        </is>
      </c>
      <c r="J897" s="39" t="inlineStr"/>
      <c r="K897" s="34" t="inlineStr">
        <is>
          <t>Source assignment</t>
        </is>
      </c>
      <c r="L897" s="39" t="inlineStr"/>
      <c r="M897" s="34" t="inlineStr">
        <is>
          <t>Initial</t>
        </is>
      </c>
      <c r="N897" s="34" t="inlineStr">
        <is>
          <t>Rev 0</t>
        </is>
      </c>
      <c r="O897" s="34" t="inlineStr">
        <is>
          <t>R655-v1</t>
        </is>
      </c>
      <c r="P897" s="39" t="inlineStr"/>
      <c r="Q897" s="14" t="inlineStr"/>
      <c r="R897" s="39" t="inlineStr"/>
      <c r="S897" s="39" t="inlineStr"/>
      <c r="T897" s="39" t="inlineStr"/>
      <c r="U897" s="39" t="inlineStr"/>
      <c r="V897" s="34" t="inlineStr">
        <is>
          <t>WBS Code = 1.4.1</t>
        </is>
      </c>
      <c r="W897" s="14" t="inlineStr"/>
    </row>
    <row r="898" ht="49" customHeight="1">
      <c r="A898" s="34" t="inlineStr">
        <is>
          <t>1.4.1</t>
        </is>
      </c>
      <c r="B898" s="34" t="inlineStr">
        <is>
          <t>Vehicles and Depot - Fleet Supply</t>
        </is>
      </c>
      <c r="C898" s="34" t="inlineStr">
        <is>
          <t>Contractor Programme</t>
        </is>
      </c>
      <c r="D898" s="34" t="inlineStr">
        <is>
          <t>SCH-04-116</t>
        </is>
      </c>
      <c r="E898" s="34" t="inlineStr">
        <is>
          <t>Test track: vehicle delivery inspection - release</t>
        </is>
      </c>
      <c r="F898" s="34" t="inlineStr">
        <is>
          <t>ONE_TO_ONE</t>
        </is>
      </c>
      <c r="G898" s="34" t="inlineStr">
        <is>
          <t>APPROVED</t>
        </is>
      </c>
      <c r="H898" s="34" t="inlineStr">
        <is>
          <t>New</t>
        </is>
      </c>
      <c r="I898" s="34" t="inlineStr">
        <is>
          <t>Source assignment -- not individually reviewed</t>
        </is>
      </c>
      <c r="J898" s="39" t="inlineStr"/>
      <c r="K898" s="34" t="inlineStr">
        <is>
          <t>Source assignment</t>
        </is>
      </c>
      <c r="L898" s="39" t="inlineStr"/>
      <c r="M898" s="34" t="inlineStr">
        <is>
          <t>Initial</t>
        </is>
      </c>
      <c r="N898" s="34" t="inlineStr">
        <is>
          <t>Rev 0</t>
        </is>
      </c>
      <c r="O898" s="34" t="inlineStr">
        <is>
          <t>R656-v1</t>
        </is>
      </c>
      <c r="P898" s="39" t="inlineStr"/>
      <c r="Q898" s="14" t="inlineStr"/>
      <c r="R898" s="39" t="inlineStr"/>
      <c r="S898" s="39" t="inlineStr"/>
      <c r="T898" s="39" t="inlineStr"/>
      <c r="U898" s="39" t="inlineStr"/>
      <c r="V898" s="34" t="inlineStr">
        <is>
          <t>WBS Code = 1.4.1</t>
        </is>
      </c>
      <c r="W898" s="14" t="inlineStr"/>
    </row>
    <row r="899" ht="49" customHeight="1">
      <c r="A899" s="34" t="inlineStr">
        <is>
          <t>1.4.1</t>
        </is>
      </c>
      <c r="B899" s="34" t="inlineStr">
        <is>
          <t>Vehicles and Depot - Fleet Supply</t>
        </is>
      </c>
      <c r="C899" s="34" t="inlineStr">
        <is>
          <t>Contractor Programme</t>
        </is>
      </c>
      <c r="D899" s="34" t="inlineStr">
        <is>
          <t>SCH-04-118</t>
        </is>
      </c>
      <c r="E899" s="34" t="inlineStr">
        <is>
          <t>Maintenance shop: maintenance-bay services - installation</t>
        </is>
      </c>
      <c r="F899" s="34" t="inlineStr">
        <is>
          <t>ONE_TO_ONE</t>
        </is>
      </c>
      <c r="G899" s="34" t="inlineStr">
        <is>
          <t>APPROVED</t>
        </is>
      </c>
      <c r="H899" s="34" t="inlineStr">
        <is>
          <t>New</t>
        </is>
      </c>
      <c r="I899" s="34" t="inlineStr">
        <is>
          <t>Source assignment -- not individually reviewed</t>
        </is>
      </c>
      <c r="J899" s="39" t="inlineStr"/>
      <c r="K899" s="34" t="inlineStr">
        <is>
          <t>Source assignment</t>
        </is>
      </c>
      <c r="L899" s="39" t="inlineStr"/>
      <c r="M899" s="34" t="inlineStr">
        <is>
          <t>Initial</t>
        </is>
      </c>
      <c r="N899" s="34" t="inlineStr">
        <is>
          <t>Rev 0</t>
        </is>
      </c>
      <c r="O899" s="34" t="inlineStr">
        <is>
          <t>R658-v1</t>
        </is>
      </c>
      <c r="P899" s="39" t="inlineStr"/>
      <c r="Q899" s="14" t="inlineStr"/>
      <c r="R899" s="39" t="inlineStr"/>
      <c r="S899" s="39" t="inlineStr"/>
      <c r="T899" s="39" t="inlineStr"/>
      <c r="U899" s="39" t="inlineStr"/>
      <c r="V899" s="34" t="inlineStr">
        <is>
          <t>WBS Code = 1.4.1</t>
        </is>
      </c>
      <c r="W899" s="14" t="inlineStr"/>
    </row>
    <row r="900" ht="49" customHeight="1">
      <c r="A900" s="34" t="inlineStr">
        <is>
          <t>1.4.1</t>
        </is>
      </c>
      <c r="B900" s="34" t="inlineStr">
        <is>
          <t>Vehicles and Depot - Fleet Supply</t>
        </is>
      </c>
      <c r="C900" s="34" t="inlineStr">
        <is>
          <t>Contractor Programme</t>
        </is>
      </c>
      <c r="D900" s="34" t="inlineStr">
        <is>
          <t>SCH-04-119</t>
        </is>
      </c>
      <c r="E900" s="34" t="inlineStr">
        <is>
          <t>Storage yard: depot structural fit-out - inspection</t>
        </is>
      </c>
      <c r="F900" s="34" t="inlineStr">
        <is>
          <t>ONE_TO_ONE</t>
        </is>
      </c>
      <c r="G900" s="34" t="inlineStr">
        <is>
          <t>APPROVED</t>
        </is>
      </c>
      <c r="H900" s="34" t="inlineStr">
        <is>
          <t>New</t>
        </is>
      </c>
      <c r="I900" s="34" t="inlineStr">
        <is>
          <t>Source assignment -- not individually reviewed</t>
        </is>
      </c>
      <c r="J900" s="39" t="inlineStr"/>
      <c r="K900" s="34" t="inlineStr">
        <is>
          <t>Source assignment</t>
        </is>
      </c>
      <c r="L900" s="39" t="inlineStr"/>
      <c r="M900" s="34" t="inlineStr">
        <is>
          <t>Initial</t>
        </is>
      </c>
      <c r="N900" s="34" t="inlineStr">
        <is>
          <t>Rev 0</t>
        </is>
      </c>
      <c r="O900" s="34" t="inlineStr">
        <is>
          <t>R659-v1</t>
        </is>
      </c>
      <c r="P900" s="39" t="inlineStr"/>
      <c r="Q900" s="14" t="inlineStr"/>
      <c r="R900" s="39" t="inlineStr"/>
      <c r="S900" s="39" t="inlineStr"/>
      <c r="T900" s="39" t="inlineStr"/>
      <c r="U900" s="39" t="inlineStr"/>
      <c r="V900" s="34" t="inlineStr">
        <is>
          <t>WBS Code = 1.4.1</t>
        </is>
      </c>
      <c r="W900" s="14" t="inlineStr"/>
    </row>
    <row r="901" ht="49" customHeight="1">
      <c r="A901" s="34" t="inlineStr">
        <is>
          <t>1.4.1</t>
        </is>
      </c>
      <c r="B901" s="34" t="inlineStr">
        <is>
          <t>Vehicles and Depot - Fleet Supply</t>
        </is>
      </c>
      <c r="C901" s="34" t="inlineStr">
        <is>
          <t>Contractor Programme</t>
        </is>
      </c>
      <c r="D901" s="34" t="inlineStr">
        <is>
          <t>SCH-04-121</t>
        </is>
      </c>
      <c r="E901" s="34" t="inlineStr">
        <is>
          <t>Test track: vehicle-to-depot interface check - release</t>
        </is>
      </c>
      <c r="F901" s="34" t="inlineStr">
        <is>
          <t>ONE_TO_ONE</t>
        </is>
      </c>
      <c r="G901" s="34" t="inlineStr">
        <is>
          <t>APPROVED</t>
        </is>
      </c>
      <c r="H901" s="34" t="inlineStr">
        <is>
          <t>New</t>
        </is>
      </c>
      <c r="I901" s="34" t="inlineStr">
        <is>
          <t>Source assignment -- not individually reviewed</t>
        </is>
      </c>
      <c r="J901" s="39" t="inlineStr"/>
      <c r="K901" s="34" t="inlineStr">
        <is>
          <t>Source assignment</t>
        </is>
      </c>
      <c r="L901" s="39" t="inlineStr"/>
      <c r="M901" s="34" t="inlineStr">
        <is>
          <t>Initial</t>
        </is>
      </c>
      <c r="N901" s="34" t="inlineStr">
        <is>
          <t>Rev 0</t>
        </is>
      </c>
      <c r="O901" s="34" t="inlineStr">
        <is>
          <t>R661-v1</t>
        </is>
      </c>
      <c r="P901" s="39" t="inlineStr"/>
      <c r="Q901" s="14" t="inlineStr"/>
      <c r="R901" s="39" t="inlineStr"/>
      <c r="S901" s="39" t="inlineStr"/>
      <c r="T901" s="39" t="inlineStr"/>
      <c r="U901" s="39" t="inlineStr"/>
      <c r="V901" s="34" t="inlineStr">
        <is>
          <t>WBS Code = 1.4.1</t>
        </is>
      </c>
      <c r="W901" s="14" t="inlineStr"/>
    </row>
    <row r="902" ht="49" customHeight="1">
      <c r="A902" s="34" t="inlineStr">
        <is>
          <t>1.4.1</t>
        </is>
      </c>
      <c r="B902" s="34" t="inlineStr">
        <is>
          <t>Vehicles and Depot - Fleet Supply</t>
        </is>
      </c>
      <c r="C902" s="34" t="inlineStr">
        <is>
          <t>Contractor Programme</t>
        </is>
      </c>
      <c r="D902" s="34" t="inlineStr">
        <is>
          <t>SCH-04-122</t>
        </is>
      </c>
      <c r="E902" s="34" t="inlineStr">
        <is>
          <t>Receiving track: wheel-lathe installation - field start</t>
        </is>
      </c>
      <c r="F902" s="34" t="inlineStr">
        <is>
          <t>ONE_TO_ONE</t>
        </is>
      </c>
      <c r="G902" s="34" t="inlineStr">
        <is>
          <t>APPROVED</t>
        </is>
      </c>
      <c r="H902" s="34" t="inlineStr">
        <is>
          <t>New</t>
        </is>
      </c>
      <c r="I902" s="34" t="inlineStr">
        <is>
          <t>Source assignment -- not individually reviewed</t>
        </is>
      </c>
      <c r="J902" s="39" t="inlineStr"/>
      <c r="K902" s="34" t="inlineStr">
        <is>
          <t>Source assignment</t>
        </is>
      </c>
      <c r="L902" s="39" t="inlineStr"/>
      <c r="M902" s="34" t="inlineStr">
        <is>
          <t>Initial</t>
        </is>
      </c>
      <c r="N902" s="34" t="inlineStr">
        <is>
          <t>Rev 0</t>
        </is>
      </c>
      <c r="O902" s="34" t="inlineStr">
        <is>
          <t>R662-v1</t>
        </is>
      </c>
      <c r="P902" s="39" t="inlineStr"/>
      <c r="Q902" s="14" t="inlineStr"/>
      <c r="R902" s="39" t="inlineStr"/>
      <c r="S902" s="39" t="inlineStr"/>
      <c r="T902" s="39" t="inlineStr"/>
      <c r="U902" s="39" t="inlineStr"/>
      <c r="V902" s="34" t="inlineStr">
        <is>
          <t>WBS Code = 1.4.1</t>
        </is>
      </c>
      <c r="W902" s="14" t="inlineStr"/>
    </row>
    <row r="903" ht="49" customHeight="1">
      <c r="A903" s="34" t="inlineStr">
        <is>
          <t>1.4.1</t>
        </is>
      </c>
      <c r="B903" s="34" t="inlineStr">
        <is>
          <t>Vehicles and Depot - Fleet Supply</t>
        </is>
      </c>
      <c r="C903" s="34" t="inlineStr">
        <is>
          <t>Contractor Programme</t>
        </is>
      </c>
      <c r="D903" s="34" t="inlineStr">
        <is>
          <t>SCH-04-124</t>
        </is>
      </c>
      <c r="E903" s="34" t="inlineStr">
        <is>
          <t>Storage yard: vehicle delivery inspection - inspection</t>
        </is>
      </c>
      <c r="F903" s="34" t="inlineStr">
        <is>
          <t>ONE_TO_ONE</t>
        </is>
      </c>
      <c r="G903" s="34" t="inlineStr">
        <is>
          <t>APPROVED</t>
        </is>
      </c>
      <c r="H903" s="34" t="inlineStr">
        <is>
          <t>New</t>
        </is>
      </c>
      <c r="I903" s="34" t="inlineStr">
        <is>
          <t>Source assignment -- not individually reviewed</t>
        </is>
      </c>
      <c r="J903" s="39" t="inlineStr"/>
      <c r="K903" s="34" t="inlineStr">
        <is>
          <t>Source assignment</t>
        </is>
      </c>
      <c r="L903" s="39" t="inlineStr"/>
      <c r="M903" s="34" t="inlineStr">
        <is>
          <t>Initial</t>
        </is>
      </c>
      <c r="N903" s="34" t="inlineStr">
        <is>
          <t>Rev 0</t>
        </is>
      </c>
      <c r="O903" s="34" t="inlineStr">
        <is>
          <t>R664-v1</t>
        </is>
      </c>
      <c r="P903" s="39" t="inlineStr"/>
      <c r="Q903" s="14" t="inlineStr"/>
      <c r="R903" s="39" t="inlineStr"/>
      <c r="S903" s="39" t="inlineStr"/>
      <c r="T903" s="39" t="inlineStr"/>
      <c r="U903" s="39" t="inlineStr"/>
      <c r="V903" s="34" t="inlineStr">
        <is>
          <t>WBS Code = 1.4.1</t>
        </is>
      </c>
      <c r="W903" s="14" t="inlineStr"/>
    </row>
    <row r="904" ht="49" customHeight="1">
      <c r="A904" s="34" t="inlineStr">
        <is>
          <t>1.4.1</t>
        </is>
      </c>
      <c r="B904" s="34" t="inlineStr">
        <is>
          <t>Vehicles and Depot - Fleet Supply</t>
        </is>
      </c>
      <c r="C904" s="34" t="inlineStr">
        <is>
          <t>Contractor Programme</t>
        </is>
      </c>
      <c r="D904" s="34" t="inlineStr">
        <is>
          <t>SCH-04-125</t>
        </is>
      </c>
      <c r="E904" s="34" t="inlineStr">
        <is>
          <t>Operations building: wash-plant commissioning - turnover</t>
        </is>
      </c>
      <c r="F904" s="34" t="inlineStr">
        <is>
          <t>ONE_TO_ONE</t>
        </is>
      </c>
      <c r="G904" s="34" t="inlineStr">
        <is>
          <t>APPROVED</t>
        </is>
      </c>
      <c r="H904" s="34" t="inlineStr">
        <is>
          <t>New</t>
        </is>
      </c>
      <c r="I904" s="34" t="inlineStr">
        <is>
          <t>Source assignment -- not individually reviewed</t>
        </is>
      </c>
      <c r="J904" s="39" t="inlineStr"/>
      <c r="K904" s="34" t="inlineStr">
        <is>
          <t>Source assignment</t>
        </is>
      </c>
      <c r="L904" s="39" t="inlineStr"/>
      <c r="M904" s="34" t="inlineStr">
        <is>
          <t>Initial</t>
        </is>
      </c>
      <c r="N904" s="34" t="inlineStr">
        <is>
          <t>Rev 0</t>
        </is>
      </c>
      <c r="O904" s="34" t="inlineStr">
        <is>
          <t>R665-v1</t>
        </is>
      </c>
      <c r="P904" s="39" t="inlineStr"/>
      <c r="Q904" s="14" t="inlineStr"/>
      <c r="R904" s="39" t="inlineStr"/>
      <c r="S904" s="39" t="inlineStr"/>
      <c r="T904" s="39" t="inlineStr"/>
      <c r="U904" s="39" t="inlineStr"/>
      <c r="V904" s="34" t="inlineStr">
        <is>
          <t>WBS Code = 1.4.1</t>
        </is>
      </c>
      <c r="W904" s="14" t="inlineStr"/>
    </row>
    <row r="905" ht="49" customHeight="1">
      <c r="A905" s="34" t="inlineStr">
        <is>
          <t>1.4.1</t>
        </is>
      </c>
      <c r="B905" s="34" t="inlineStr">
        <is>
          <t>Vehicles and Depot - Fleet Supply</t>
        </is>
      </c>
      <c r="C905" s="34" t="inlineStr">
        <is>
          <t>Contractor Programme</t>
        </is>
      </c>
      <c r="D905" s="34" t="inlineStr">
        <is>
          <t>SCH-04-127</t>
        </is>
      </c>
      <c r="E905" s="34" t="inlineStr">
        <is>
          <t>Receiving track: depot structural fit-out - field start</t>
        </is>
      </c>
      <c r="F905" s="34" t="inlineStr">
        <is>
          <t>ONE_TO_ONE</t>
        </is>
      </c>
      <c r="G905" s="34" t="inlineStr">
        <is>
          <t>APPROVED</t>
        </is>
      </c>
      <c r="H905" s="34" t="inlineStr">
        <is>
          <t>New</t>
        </is>
      </c>
      <c r="I905" s="34" t="inlineStr">
        <is>
          <t>Source assignment -- not individually reviewed</t>
        </is>
      </c>
      <c r="J905" s="39" t="inlineStr"/>
      <c r="K905" s="34" t="inlineStr">
        <is>
          <t>Source assignment</t>
        </is>
      </c>
      <c r="L905" s="39" t="inlineStr"/>
      <c r="M905" s="34" t="inlineStr">
        <is>
          <t>Initial</t>
        </is>
      </c>
      <c r="N905" s="34" t="inlineStr">
        <is>
          <t>Rev 0</t>
        </is>
      </c>
      <c r="O905" s="34" t="inlineStr">
        <is>
          <t>R667-v1</t>
        </is>
      </c>
      <c r="P905" s="39" t="inlineStr"/>
      <c r="Q905" s="14" t="inlineStr"/>
      <c r="R905" s="39" t="inlineStr"/>
      <c r="S905" s="39" t="inlineStr"/>
      <c r="T905" s="39" t="inlineStr"/>
      <c r="U905" s="39" t="inlineStr"/>
      <c r="V905" s="34" t="inlineStr">
        <is>
          <t>WBS Code = 1.4.1</t>
        </is>
      </c>
      <c r="W905" s="14" t="inlineStr"/>
    </row>
    <row r="906" ht="49" customHeight="1">
      <c r="A906" s="34" t="inlineStr">
        <is>
          <t>1.4.1</t>
        </is>
      </c>
      <c r="B906" s="34" t="inlineStr">
        <is>
          <t>Vehicles and Depot - Fleet Supply</t>
        </is>
      </c>
      <c r="C906" s="34" t="inlineStr">
        <is>
          <t>Contractor Programme</t>
        </is>
      </c>
      <c r="D906" s="34" t="inlineStr">
        <is>
          <t>SCH-04-128</t>
        </is>
      </c>
      <c r="E906" s="34" t="inlineStr">
        <is>
          <t>Maintenance shop: workshop crane installation - installation</t>
        </is>
      </c>
      <c r="F906" s="34" t="inlineStr">
        <is>
          <t>ONE_TO_ONE</t>
        </is>
      </c>
      <c r="G906" s="34" t="inlineStr">
        <is>
          <t>APPROVED</t>
        </is>
      </c>
      <c r="H906" s="34" t="inlineStr">
        <is>
          <t>New</t>
        </is>
      </c>
      <c r="I906" s="34" t="inlineStr">
        <is>
          <t>Source assignment -- not individually reviewed</t>
        </is>
      </c>
      <c r="J906" s="39" t="inlineStr"/>
      <c r="K906" s="34" t="inlineStr">
        <is>
          <t>Source assignment</t>
        </is>
      </c>
      <c r="L906" s="39" t="inlineStr"/>
      <c r="M906" s="34" t="inlineStr">
        <is>
          <t>Initial</t>
        </is>
      </c>
      <c r="N906" s="34" t="inlineStr">
        <is>
          <t>Rev 0</t>
        </is>
      </c>
      <c r="O906" s="34" t="inlineStr">
        <is>
          <t>R668-v1</t>
        </is>
      </c>
      <c r="P906" s="39" t="inlineStr"/>
      <c r="Q906" s="14" t="inlineStr"/>
      <c r="R906" s="39" t="inlineStr"/>
      <c r="S906" s="39" t="inlineStr"/>
      <c r="T906" s="39" t="inlineStr"/>
      <c r="U906" s="39" t="inlineStr"/>
      <c r="V906" s="34" t="inlineStr">
        <is>
          <t>WBS Code = 1.4.1</t>
        </is>
      </c>
      <c r="W906" s="14" t="inlineStr"/>
    </row>
    <row r="907" ht="49" customHeight="1">
      <c r="A907" s="34" t="inlineStr">
        <is>
          <t>1.4.1</t>
        </is>
      </c>
      <c r="B907" s="34" t="inlineStr">
        <is>
          <t>Vehicles and Depot - Fleet Supply</t>
        </is>
      </c>
      <c r="C907" s="34" t="inlineStr">
        <is>
          <t>Contractor Programme</t>
        </is>
      </c>
      <c r="D907" s="34" t="inlineStr">
        <is>
          <t>SCH-04-130</t>
        </is>
      </c>
      <c r="E907" s="34" t="inlineStr">
        <is>
          <t>Operations building: wheel-lathe installation - turnover</t>
        </is>
      </c>
      <c r="F907" s="34" t="inlineStr">
        <is>
          <t>ONE_TO_ONE</t>
        </is>
      </c>
      <c r="G907" s="34" t="inlineStr">
        <is>
          <t>APPROVED</t>
        </is>
      </c>
      <c r="H907" s="34" t="inlineStr">
        <is>
          <t>New</t>
        </is>
      </c>
      <c r="I907" s="34" t="inlineStr">
        <is>
          <t>Source assignment -- not individually reviewed</t>
        </is>
      </c>
      <c r="J907" s="39" t="inlineStr"/>
      <c r="K907" s="34" t="inlineStr">
        <is>
          <t>Source assignment</t>
        </is>
      </c>
      <c r="L907" s="39" t="inlineStr"/>
      <c r="M907" s="34" t="inlineStr">
        <is>
          <t>Initial</t>
        </is>
      </c>
      <c r="N907" s="34" t="inlineStr">
        <is>
          <t>Rev 0</t>
        </is>
      </c>
      <c r="O907" s="34" t="inlineStr">
        <is>
          <t>R670-v1</t>
        </is>
      </c>
      <c r="P907" s="39" t="inlineStr"/>
      <c r="Q907" s="14" t="inlineStr"/>
      <c r="R907" s="39" t="inlineStr"/>
      <c r="S907" s="39" t="inlineStr"/>
      <c r="T907" s="39" t="inlineStr"/>
      <c r="U907" s="39" t="inlineStr"/>
      <c r="V907" s="34" t="inlineStr">
        <is>
          <t>WBS Code = 1.4.1</t>
        </is>
      </c>
      <c r="W907" s="14" t="inlineStr"/>
    </row>
    <row r="908" ht="49" customHeight="1">
      <c r="A908" s="34" t="inlineStr">
        <is>
          <t>1.4.1</t>
        </is>
      </c>
      <c r="B908" s="34" t="inlineStr">
        <is>
          <t>Vehicles and Depot - Fleet Supply</t>
        </is>
      </c>
      <c r="C908" s="34" t="inlineStr">
        <is>
          <t>Contractor Programme</t>
        </is>
      </c>
      <c r="D908" s="34" t="inlineStr">
        <is>
          <t>SCH-04-131</t>
        </is>
      </c>
      <c r="E908" s="34" t="inlineStr">
        <is>
          <t>Test track: fleet software load - release</t>
        </is>
      </c>
      <c r="F908" s="34" t="inlineStr">
        <is>
          <t>ONE_TO_ONE</t>
        </is>
      </c>
      <c r="G908" s="34" t="inlineStr">
        <is>
          <t>APPROVED</t>
        </is>
      </c>
      <c r="H908" s="34" t="inlineStr">
        <is>
          <t>New</t>
        </is>
      </c>
      <c r="I908" s="34" t="inlineStr">
        <is>
          <t>Source assignment -- not individually reviewed</t>
        </is>
      </c>
      <c r="J908" s="39" t="inlineStr"/>
      <c r="K908" s="34" t="inlineStr">
        <is>
          <t>Source assignment</t>
        </is>
      </c>
      <c r="L908" s="39" t="inlineStr"/>
      <c r="M908" s="34" t="inlineStr">
        <is>
          <t>Initial</t>
        </is>
      </c>
      <c r="N908" s="34" t="inlineStr">
        <is>
          <t>Rev 0</t>
        </is>
      </c>
      <c r="O908" s="34" t="inlineStr">
        <is>
          <t>R671-v1</t>
        </is>
      </c>
      <c r="P908" s="39" t="inlineStr"/>
      <c r="Q908" s="14" t="inlineStr"/>
      <c r="R908" s="39" t="inlineStr"/>
      <c r="S908" s="39" t="inlineStr"/>
      <c r="T908" s="39" t="inlineStr"/>
      <c r="U908" s="39" t="inlineStr"/>
      <c r="V908" s="34" t="inlineStr">
        <is>
          <t>WBS Code = 1.4.1</t>
        </is>
      </c>
      <c r="W908" s="14" t="inlineStr"/>
    </row>
    <row r="909" ht="49" customHeight="1">
      <c r="A909" s="34" t="inlineStr">
        <is>
          <t>1.4.1</t>
        </is>
      </c>
      <c r="B909" s="34" t="inlineStr">
        <is>
          <t>Vehicles and Depot - Fleet Supply</t>
        </is>
      </c>
      <c r="C909" s="34" t="inlineStr">
        <is>
          <t>Contractor Programme</t>
        </is>
      </c>
      <c r="D909" s="34" t="inlineStr">
        <is>
          <t>SCH-04-133</t>
        </is>
      </c>
      <c r="E909" s="34" t="inlineStr">
        <is>
          <t>Maintenance shop: wash-plant commissioning - installation</t>
        </is>
      </c>
      <c r="F909" s="34" t="inlineStr">
        <is>
          <t>ONE_TO_ONE</t>
        </is>
      </c>
      <c r="G909" s="34" t="inlineStr">
        <is>
          <t>APPROVED</t>
        </is>
      </c>
      <c r="H909" s="34" t="inlineStr">
        <is>
          <t>New</t>
        </is>
      </c>
      <c r="I909" s="34" t="inlineStr">
        <is>
          <t>Source assignment -- not individually reviewed</t>
        </is>
      </c>
      <c r="J909" s="39" t="inlineStr"/>
      <c r="K909" s="34" t="inlineStr">
        <is>
          <t>Source assignment</t>
        </is>
      </c>
      <c r="L909" s="39" t="inlineStr"/>
      <c r="M909" s="34" t="inlineStr">
        <is>
          <t>Initial</t>
        </is>
      </c>
      <c r="N909" s="34" t="inlineStr">
        <is>
          <t>Rev 0</t>
        </is>
      </c>
      <c r="O909" s="34" t="inlineStr">
        <is>
          <t>R673-v1</t>
        </is>
      </c>
      <c r="P909" s="39" t="inlineStr"/>
      <c r="Q909" s="14" t="inlineStr"/>
      <c r="R909" s="39" t="inlineStr"/>
      <c r="S909" s="39" t="inlineStr"/>
      <c r="T909" s="39" t="inlineStr"/>
      <c r="U909" s="39" t="inlineStr"/>
      <c r="V909" s="34" t="inlineStr">
        <is>
          <t>WBS Code = 1.4.1</t>
        </is>
      </c>
      <c r="W909" s="14" t="inlineStr"/>
    </row>
    <row r="910" ht="49" customHeight="1">
      <c r="A910" s="34" t="inlineStr">
        <is>
          <t>1.4.1</t>
        </is>
      </c>
      <c r="B910" s="34" t="inlineStr">
        <is>
          <t>Vehicles and Depot - Fleet Supply</t>
        </is>
      </c>
      <c r="C910" s="34" t="inlineStr">
        <is>
          <t>Contractor Programme</t>
        </is>
      </c>
      <c r="D910" s="34" t="inlineStr">
        <is>
          <t>SCH-04-134</t>
        </is>
      </c>
      <c r="E910" s="34" t="inlineStr">
        <is>
          <t>Storage yard: maintenance-bay services - inspection</t>
        </is>
      </c>
      <c r="F910" s="34" t="inlineStr">
        <is>
          <t>ONE_TO_ONE</t>
        </is>
      </c>
      <c r="G910" s="34" t="inlineStr">
        <is>
          <t>APPROVED</t>
        </is>
      </c>
      <c r="H910" s="34" t="inlineStr">
        <is>
          <t>New</t>
        </is>
      </c>
      <c r="I910" s="34" t="inlineStr">
        <is>
          <t>Source assignment -- not individually reviewed</t>
        </is>
      </c>
      <c r="J910" s="39" t="inlineStr"/>
      <c r="K910" s="34" t="inlineStr">
        <is>
          <t>Source assignment</t>
        </is>
      </c>
      <c r="L910" s="39" t="inlineStr"/>
      <c r="M910" s="34" t="inlineStr">
        <is>
          <t>Initial</t>
        </is>
      </c>
      <c r="N910" s="34" t="inlineStr">
        <is>
          <t>Rev 0</t>
        </is>
      </c>
      <c r="O910" s="34" t="inlineStr">
        <is>
          <t>R674-v1</t>
        </is>
      </c>
      <c r="P910" s="39" t="inlineStr"/>
      <c r="Q910" s="14" t="inlineStr"/>
      <c r="R910" s="39" t="inlineStr"/>
      <c r="S910" s="39" t="inlineStr"/>
      <c r="T910" s="39" t="inlineStr"/>
      <c r="U910" s="39" t="inlineStr"/>
      <c r="V910" s="34" t="inlineStr">
        <is>
          <t>WBS Code = 1.4.1</t>
        </is>
      </c>
      <c r="W910" s="14" t="inlineStr"/>
    </row>
    <row r="911" ht="49" customHeight="1">
      <c r="A911" s="34" t="inlineStr">
        <is>
          <t>1.4.1</t>
        </is>
      </c>
      <c r="B911" s="34" t="inlineStr">
        <is>
          <t>Vehicles and Depot - Fleet Supply</t>
        </is>
      </c>
      <c r="C911" s="34" t="inlineStr">
        <is>
          <t>Contractor Programme</t>
        </is>
      </c>
      <c r="D911" s="34" t="inlineStr">
        <is>
          <t>SCH-04-136</t>
        </is>
      </c>
      <c r="E911" s="34" t="inlineStr">
        <is>
          <t>Test track: workshop crane installation - release</t>
        </is>
      </c>
      <c r="F911" s="34" t="inlineStr">
        <is>
          <t>ONE_TO_ONE</t>
        </is>
      </c>
      <c r="G911" s="34" t="inlineStr">
        <is>
          <t>APPROVED</t>
        </is>
      </c>
      <c r="H911" s="34" t="inlineStr">
        <is>
          <t>New</t>
        </is>
      </c>
      <c r="I911" s="34" t="inlineStr">
        <is>
          <t>Source assignment -- not individually reviewed</t>
        </is>
      </c>
      <c r="J911" s="39" t="inlineStr"/>
      <c r="K911" s="34" t="inlineStr">
        <is>
          <t>Source assignment</t>
        </is>
      </c>
      <c r="L911" s="39" t="inlineStr"/>
      <c r="M911" s="34" t="inlineStr">
        <is>
          <t>Initial</t>
        </is>
      </c>
      <c r="N911" s="34" t="inlineStr">
        <is>
          <t>Rev 0</t>
        </is>
      </c>
      <c r="O911" s="34" t="inlineStr">
        <is>
          <t>R676-v1</t>
        </is>
      </c>
      <c r="P911" s="39" t="inlineStr"/>
      <c r="Q911" s="14" t="inlineStr"/>
      <c r="R911" s="39" t="inlineStr"/>
      <c r="S911" s="39" t="inlineStr"/>
      <c r="T911" s="39" t="inlineStr"/>
      <c r="U911" s="39" t="inlineStr"/>
      <c r="V911" s="34" t="inlineStr">
        <is>
          <t>WBS Code = 1.4.1</t>
        </is>
      </c>
      <c r="W911" s="14" t="inlineStr"/>
    </row>
    <row r="912" ht="49" customHeight="1">
      <c r="A912" s="34" t="inlineStr">
        <is>
          <t>1.4.1</t>
        </is>
      </c>
      <c r="B912" s="34" t="inlineStr">
        <is>
          <t>Vehicles and Depot - Fleet Supply</t>
        </is>
      </c>
      <c r="C912" s="34" t="inlineStr">
        <is>
          <t>Contractor Programme</t>
        </is>
      </c>
      <c r="D912" s="34" t="inlineStr">
        <is>
          <t>SCH-04-137</t>
        </is>
      </c>
      <c r="E912" s="34" t="inlineStr">
        <is>
          <t>Receiving track: vehicle-to-depot interface check - field start</t>
        </is>
      </c>
      <c r="F912" s="34" t="inlineStr">
        <is>
          <t>ONE_TO_ONE</t>
        </is>
      </c>
      <c r="G912" s="34" t="inlineStr">
        <is>
          <t>APPROVED</t>
        </is>
      </c>
      <c r="H912" s="34" t="inlineStr">
        <is>
          <t>New</t>
        </is>
      </c>
      <c r="I912" s="34" t="inlineStr">
        <is>
          <t>Source assignment -- not individually reviewed</t>
        </is>
      </c>
      <c r="J912" s="39" t="inlineStr"/>
      <c r="K912" s="34" t="inlineStr">
        <is>
          <t>Source assignment</t>
        </is>
      </c>
      <c r="L912" s="39" t="inlineStr"/>
      <c r="M912" s="34" t="inlineStr">
        <is>
          <t>Initial</t>
        </is>
      </c>
      <c r="N912" s="34" t="inlineStr">
        <is>
          <t>Rev 0</t>
        </is>
      </c>
      <c r="O912" s="34" t="inlineStr">
        <is>
          <t>R677-v1</t>
        </is>
      </c>
      <c r="P912" s="39" t="inlineStr"/>
      <c r="Q912" s="14" t="inlineStr"/>
      <c r="R912" s="39" t="inlineStr"/>
      <c r="S912" s="39" t="inlineStr"/>
      <c r="T912" s="39" t="inlineStr"/>
      <c r="U912" s="39" t="inlineStr"/>
      <c r="V912" s="34" t="inlineStr">
        <is>
          <t>WBS Code = 1.4.1</t>
        </is>
      </c>
      <c r="W912" s="14" t="inlineStr"/>
    </row>
    <row r="913" ht="49" customHeight="1">
      <c r="A913" s="34" t="inlineStr">
        <is>
          <t>1.4.1</t>
        </is>
      </c>
      <c r="B913" s="34" t="inlineStr">
        <is>
          <t>Vehicles and Depot - Fleet Supply</t>
        </is>
      </c>
      <c r="C913" s="34" t="inlineStr">
        <is>
          <t>Contractor Programme</t>
        </is>
      </c>
      <c r="D913" s="34" t="inlineStr">
        <is>
          <t>SCH-04-139</t>
        </is>
      </c>
      <c r="E913" s="34" t="inlineStr">
        <is>
          <t>Storage yard: fleet software load - inspection</t>
        </is>
      </c>
      <c r="F913" s="34" t="inlineStr">
        <is>
          <t>ONE_TO_ONE</t>
        </is>
      </c>
      <c r="G913" s="34" t="inlineStr">
        <is>
          <t>APPROVED</t>
        </is>
      </c>
      <c r="H913" s="34" t="inlineStr">
        <is>
          <t>New</t>
        </is>
      </c>
      <c r="I913" s="34" t="inlineStr">
        <is>
          <t>Source assignment -- not individually reviewed</t>
        </is>
      </c>
      <c r="J913" s="39" t="inlineStr"/>
      <c r="K913" s="34" t="inlineStr">
        <is>
          <t>Source assignment</t>
        </is>
      </c>
      <c r="L913" s="39" t="inlineStr"/>
      <c r="M913" s="34" t="inlineStr">
        <is>
          <t>Initial</t>
        </is>
      </c>
      <c r="N913" s="34" t="inlineStr">
        <is>
          <t>Rev 0</t>
        </is>
      </c>
      <c r="O913" s="34" t="inlineStr">
        <is>
          <t>R679-v1</t>
        </is>
      </c>
      <c r="P913" s="39" t="inlineStr"/>
      <c r="Q913" s="14" t="inlineStr"/>
      <c r="R913" s="39" t="inlineStr"/>
      <c r="S913" s="39" t="inlineStr"/>
      <c r="T913" s="39" t="inlineStr"/>
      <c r="U913" s="39" t="inlineStr"/>
      <c r="V913" s="34" t="inlineStr">
        <is>
          <t>WBS Code = 1.4.1</t>
        </is>
      </c>
      <c r="W913" s="14" t="inlineStr"/>
    </row>
    <row r="914" ht="49" customHeight="1">
      <c r="A914" s="34" t="inlineStr">
        <is>
          <t>1.4.1</t>
        </is>
      </c>
      <c r="B914" s="34" t="inlineStr">
        <is>
          <t>Vehicles and Depot - Fleet Supply</t>
        </is>
      </c>
      <c r="C914" s="34" t="inlineStr">
        <is>
          <t>Contractor Programme</t>
        </is>
      </c>
      <c r="D914" s="34" t="inlineStr">
        <is>
          <t>SCH-04-140</t>
        </is>
      </c>
      <c r="E914" s="34" t="inlineStr">
        <is>
          <t>Operations building: vehicle delivery inspection - turnover</t>
        </is>
      </c>
      <c r="F914" s="34" t="inlineStr">
        <is>
          <t>ONE_TO_ONE</t>
        </is>
      </c>
      <c r="G914" s="34" t="inlineStr">
        <is>
          <t>APPROVED</t>
        </is>
      </c>
      <c r="H914" s="34" t="inlineStr">
        <is>
          <t>New</t>
        </is>
      </c>
      <c r="I914" s="34" t="inlineStr">
        <is>
          <t>Source assignment -- not individually reviewed</t>
        </is>
      </c>
      <c r="J914" s="39" t="inlineStr"/>
      <c r="K914" s="34" t="inlineStr">
        <is>
          <t>Source assignment</t>
        </is>
      </c>
      <c r="L914" s="39" t="inlineStr"/>
      <c r="M914" s="34" t="inlineStr">
        <is>
          <t>Initial</t>
        </is>
      </c>
      <c r="N914" s="34" t="inlineStr">
        <is>
          <t>Rev 0</t>
        </is>
      </c>
      <c r="O914" s="34" t="inlineStr">
        <is>
          <t>R680-v1</t>
        </is>
      </c>
      <c r="P914" s="39" t="inlineStr"/>
      <c r="Q914" s="14" t="inlineStr"/>
      <c r="R914" s="39" t="inlineStr"/>
      <c r="S914" s="39" t="inlineStr"/>
      <c r="T914" s="39" t="inlineStr"/>
      <c r="U914" s="39" t="inlineStr"/>
      <c r="V914" s="34" t="inlineStr">
        <is>
          <t>WBS Code = 1.4.1</t>
        </is>
      </c>
      <c r="W914" s="14" t="inlineStr"/>
    </row>
    <row r="915" ht="49" customHeight="1">
      <c r="A915" s="34" t="inlineStr">
        <is>
          <t>1.4.1</t>
        </is>
      </c>
      <c r="B915" s="34" t="inlineStr">
        <is>
          <t>Vehicles and Depot - Fleet Supply</t>
        </is>
      </c>
      <c r="C915" s="34" t="inlineStr">
        <is>
          <t>Contractor Programme</t>
        </is>
      </c>
      <c r="D915" s="34" t="inlineStr">
        <is>
          <t>SCH-04-142</t>
        </is>
      </c>
      <c r="E915" s="34" t="inlineStr">
        <is>
          <t>Receiving track: maintenance-bay services - field start</t>
        </is>
      </c>
      <c r="F915" s="34" t="inlineStr">
        <is>
          <t>ONE_TO_ONE</t>
        </is>
      </c>
      <c r="G915" s="34" t="inlineStr">
        <is>
          <t>APPROVED</t>
        </is>
      </c>
      <c r="H915" s="34" t="inlineStr">
        <is>
          <t>New</t>
        </is>
      </c>
      <c r="I915" s="34" t="inlineStr">
        <is>
          <t>Source assignment -- not individually reviewed</t>
        </is>
      </c>
      <c r="J915" s="39" t="inlineStr"/>
      <c r="K915" s="34" t="inlineStr">
        <is>
          <t>Source assignment</t>
        </is>
      </c>
      <c r="L915" s="39" t="inlineStr"/>
      <c r="M915" s="34" t="inlineStr">
        <is>
          <t>Initial</t>
        </is>
      </c>
      <c r="N915" s="34" t="inlineStr">
        <is>
          <t>Rev 0</t>
        </is>
      </c>
      <c r="O915" s="34" t="inlineStr">
        <is>
          <t>R682-v1</t>
        </is>
      </c>
      <c r="P915" s="39" t="inlineStr"/>
      <c r="Q915" s="14" t="inlineStr"/>
      <c r="R915" s="39" t="inlineStr"/>
      <c r="S915" s="39" t="inlineStr"/>
      <c r="T915" s="39" t="inlineStr"/>
      <c r="U915" s="39" t="inlineStr"/>
      <c r="V915" s="34" t="inlineStr">
        <is>
          <t>WBS Code = 1.4.1</t>
        </is>
      </c>
      <c r="W915" s="14" t="inlineStr"/>
    </row>
    <row r="916" ht="49" customHeight="1">
      <c r="A916" s="34" t="inlineStr">
        <is>
          <t>1.4.1</t>
        </is>
      </c>
      <c r="B916" s="34" t="inlineStr">
        <is>
          <t>Vehicles and Depot - Fleet Supply</t>
        </is>
      </c>
      <c r="C916" s="34" t="inlineStr">
        <is>
          <t>Contractor Programme</t>
        </is>
      </c>
      <c r="D916" s="34" t="inlineStr">
        <is>
          <t>SCH-04-143</t>
        </is>
      </c>
      <c r="E916" s="34" t="inlineStr">
        <is>
          <t>Maintenance shop: depot structural fit-out - installation</t>
        </is>
      </c>
      <c r="F916" s="34" t="inlineStr">
        <is>
          <t>ONE_TO_ONE</t>
        </is>
      </c>
      <c r="G916" s="34" t="inlineStr">
        <is>
          <t>APPROVED</t>
        </is>
      </c>
      <c r="H916" s="34" t="inlineStr">
        <is>
          <t>New</t>
        </is>
      </c>
      <c r="I916" s="34" t="inlineStr">
        <is>
          <t>Source assignment -- not individually reviewed</t>
        </is>
      </c>
      <c r="J916" s="39" t="inlineStr"/>
      <c r="K916" s="34" t="inlineStr">
        <is>
          <t>Source assignment</t>
        </is>
      </c>
      <c r="L916" s="39" t="inlineStr"/>
      <c r="M916" s="34" t="inlineStr">
        <is>
          <t>Initial</t>
        </is>
      </c>
      <c r="N916" s="34" t="inlineStr">
        <is>
          <t>Rev 0</t>
        </is>
      </c>
      <c r="O916" s="34" t="inlineStr">
        <is>
          <t>R683-v1</t>
        </is>
      </c>
      <c r="P916" s="39" t="inlineStr"/>
      <c r="Q916" s="14" t="inlineStr"/>
      <c r="R916" s="39" t="inlineStr"/>
      <c r="S916" s="39" t="inlineStr"/>
      <c r="T916" s="39" t="inlineStr"/>
      <c r="U916" s="39" t="inlineStr"/>
      <c r="V916" s="34" t="inlineStr">
        <is>
          <t>WBS Code = 1.4.1</t>
        </is>
      </c>
      <c r="W916" s="14" t="inlineStr"/>
    </row>
    <row r="917" ht="49" customHeight="1">
      <c r="A917" s="34" t="inlineStr">
        <is>
          <t>1.4.1</t>
        </is>
      </c>
      <c r="B917" s="34" t="inlineStr">
        <is>
          <t>Vehicles and Depot - Fleet Supply</t>
        </is>
      </c>
      <c r="C917" s="34" t="inlineStr">
        <is>
          <t>Contractor Programme</t>
        </is>
      </c>
      <c r="D917" s="34" t="inlineStr">
        <is>
          <t>SCH-04-145</t>
        </is>
      </c>
      <c r="E917" s="34" t="inlineStr">
        <is>
          <t>Operations building: vehicle-to-depot interface check - turnover</t>
        </is>
      </c>
      <c r="F917" s="34" t="inlineStr">
        <is>
          <t>ONE_TO_ONE</t>
        </is>
      </c>
      <c r="G917" s="34" t="inlineStr">
        <is>
          <t>APPROVED</t>
        </is>
      </c>
      <c r="H917" s="34" t="inlineStr">
        <is>
          <t>New</t>
        </is>
      </c>
      <c r="I917" s="34" t="inlineStr">
        <is>
          <t>Source assignment -- not individually reviewed</t>
        </is>
      </c>
      <c r="J917" s="39" t="inlineStr"/>
      <c r="K917" s="34" t="inlineStr">
        <is>
          <t>Source assignment</t>
        </is>
      </c>
      <c r="L917" s="39" t="inlineStr"/>
      <c r="M917" s="34" t="inlineStr">
        <is>
          <t>Initial</t>
        </is>
      </c>
      <c r="N917" s="34" t="inlineStr">
        <is>
          <t>Rev 0</t>
        </is>
      </c>
      <c r="O917" s="34" t="inlineStr">
        <is>
          <t>R685-v1</t>
        </is>
      </c>
      <c r="P917" s="39" t="inlineStr"/>
      <c r="Q917" s="14" t="inlineStr"/>
      <c r="R917" s="39" t="inlineStr"/>
      <c r="S917" s="39" t="inlineStr"/>
      <c r="T917" s="39" t="inlineStr"/>
      <c r="U917" s="39" t="inlineStr"/>
      <c r="V917" s="34" t="inlineStr">
        <is>
          <t>WBS Code = 1.4.1</t>
        </is>
      </c>
      <c r="W917" s="14" t="inlineStr"/>
    </row>
    <row r="918" ht="49" customHeight="1">
      <c r="A918" s="34" t="inlineStr">
        <is>
          <t>1.4.1</t>
        </is>
      </c>
      <c r="B918" s="34" t="inlineStr">
        <is>
          <t>Vehicles and Depot - Fleet Supply</t>
        </is>
      </c>
      <c r="C918" s="34" t="inlineStr">
        <is>
          <t>Contractor Programme</t>
        </is>
      </c>
      <c r="D918" s="34" t="inlineStr">
        <is>
          <t>SCH-04-146</t>
        </is>
      </c>
      <c r="E918" s="34" t="inlineStr">
        <is>
          <t>Test track: wheel-lathe installation - release</t>
        </is>
      </c>
      <c r="F918" s="34" t="inlineStr">
        <is>
          <t>ONE_TO_ONE</t>
        </is>
      </c>
      <c r="G918" s="34" t="inlineStr">
        <is>
          <t>APPROVED</t>
        </is>
      </c>
      <c r="H918" s="34" t="inlineStr">
        <is>
          <t>New</t>
        </is>
      </c>
      <c r="I918" s="34" t="inlineStr">
        <is>
          <t>Source assignment -- not individually reviewed</t>
        </is>
      </c>
      <c r="J918" s="39" t="inlineStr"/>
      <c r="K918" s="34" t="inlineStr">
        <is>
          <t>Source assignment</t>
        </is>
      </c>
      <c r="L918" s="39" t="inlineStr"/>
      <c r="M918" s="34" t="inlineStr">
        <is>
          <t>Initial</t>
        </is>
      </c>
      <c r="N918" s="34" t="inlineStr">
        <is>
          <t>Rev 0</t>
        </is>
      </c>
      <c r="O918" s="34" t="inlineStr">
        <is>
          <t>R686-v1</t>
        </is>
      </c>
      <c r="P918" s="39" t="inlineStr"/>
      <c r="Q918" s="14" t="inlineStr"/>
      <c r="R918" s="39" t="inlineStr"/>
      <c r="S918" s="39" t="inlineStr"/>
      <c r="T918" s="39" t="inlineStr"/>
      <c r="U918" s="39" t="inlineStr"/>
      <c r="V918" s="34" t="inlineStr">
        <is>
          <t>WBS Code = 1.4.1</t>
        </is>
      </c>
      <c r="W918" s="14" t="inlineStr"/>
    </row>
    <row r="919" ht="49" customHeight="1">
      <c r="A919" s="34" t="inlineStr">
        <is>
          <t>1.4.1</t>
        </is>
      </c>
      <c r="B919" s="34" t="inlineStr">
        <is>
          <t>Vehicles and Depot - Fleet Supply</t>
        </is>
      </c>
      <c r="C919" s="34" t="inlineStr">
        <is>
          <t>Contractor Programme</t>
        </is>
      </c>
      <c r="D919" s="34" t="inlineStr">
        <is>
          <t>SCH-04-148</t>
        </is>
      </c>
      <c r="E919" s="34" t="inlineStr">
        <is>
          <t>Maintenance shop: vehicle delivery inspection - installation</t>
        </is>
      </c>
      <c r="F919" s="34" t="inlineStr">
        <is>
          <t>ONE_TO_ONE</t>
        </is>
      </c>
      <c r="G919" s="34" t="inlineStr">
        <is>
          <t>APPROVED</t>
        </is>
      </c>
      <c r="H919" s="34" t="inlineStr">
        <is>
          <t>New</t>
        </is>
      </c>
      <c r="I919" s="34" t="inlineStr">
        <is>
          <t>Source assignment -- not individually reviewed</t>
        </is>
      </c>
      <c r="J919" s="39" t="inlineStr"/>
      <c r="K919" s="34" t="inlineStr">
        <is>
          <t>Source assignment</t>
        </is>
      </c>
      <c r="L919" s="39" t="inlineStr"/>
      <c r="M919" s="34" t="inlineStr">
        <is>
          <t>Initial</t>
        </is>
      </c>
      <c r="N919" s="34" t="inlineStr">
        <is>
          <t>Rev 0</t>
        </is>
      </c>
      <c r="O919" s="34" t="inlineStr">
        <is>
          <t>R688-v1</t>
        </is>
      </c>
      <c r="P919" s="39" t="inlineStr"/>
      <c r="Q919" s="14" t="inlineStr"/>
      <c r="R919" s="39" t="inlineStr"/>
      <c r="S919" s="39" t="inlineStr"/>
      <c r="T919" s="39" t="inlineStr"/>
      <c r="U919" s="39" t="inlineStr"/>
      <c r="V919" s="34" t="inlineStr">
        <is>
          <t>WBS Code = 1.4.1</t>
        </is>
      </c>
      <c r="W919" s="14" t="inlineStr"/>
    </row>
    <row r="920" ht="49" customHeight="1">
      <c r="A920" s="34" t="inlineStr">
        <is>
          <t>1.4.1</t>
        </is>
      </c>
      <c r="B920" s="34" t="inlineStr">
        <is>
          <t>Vehicles and Depot - Fleet Supply</t>
        </is>
      </c>
      <c r="C920" s="34" t="inlineStr">
        <is>
          <t>Contractor Programme</t>
        </is>
      </c>
      <c r="D920" s="34" t="inlineStr">
        <is>
          <t>SCH-04-149</t>
        </is>
      </c>
      <c r="E920" s="34" t="inlineStr">
        <is>
          <t>Storage yard: wash-plant commissioning - inspection</t>
        </is>
      </c>
      <c r="F920" s="34" t="inlineStr">
        <is>
          <t>ONE_TO_ONE</t>
        </is>
      </c>
      <c r="G920" s="34" t="inlineStr">
        <is>
          <t>APPROVED</t>
        </is>
      </c>
      <c r="H920" s="34" t="inlineStr">
        <is>
          <t>New</t>
        </is>
      </c>
      <c r="I920" s="34" t="inlineStr">
        <is>
          <t>Source assignment -- not individually reviewed</t>
        </is>
      </c>
      <c r="J920" s="39" t="inlineStr"/>
      <c r="K920" s="34" t="inlineStr">
        <is>
          <t>Source assignment</t>
        </is>
      </c>
      <c r="L920" s="39" t="inlineStr"/>
      <c r="M920" s="34" t="inlineStr">
        <is>
          <t>Initial</t>
        </is>
      </c>
      <c r="N920" s="34" t="inlineStr">
        <is>
          <t>Rev 0</t>
        </is>
      </c>
      <c r="O920" s="34" t="inlineStr">
        <is>
          <t>R689-v1</t>
        </is>
      </c>
      <c r="P920" s="39" t="inlineStr"/>
      <c r="Q920" s="14" t="inlineStr"/>
      <c r="R920" s="39" t="inlineStr"/>
      <c r="S920" s="39" t="inlineStr"/>
      <c r="T920" s="39" t="inlineStr"/>
      <c r="U920" s="39" t="inlineStr"/>
      <c r="V920" s="34" t="inlineStr">
        <is>
          <t>WBS Code = 1.4.1</t>
        </is>
      </c>
      <c r="W920" s="14" t="inlineStr"/>
    </row>
    <row r="921" ht="49" customHeight="1">
      <c r="A921" s="34" t="inlineStr">
        <is>
          <t>1.4.1</t>
        </is>
      </c>
      <c r="B921" s="34" t="inlineStr">
        <is>
          <t>Vehicles and Depot - Fleet Supply</t>
        </is>
      </c>
      <c r="C921" s="34" t="inlineStr">
        <is>
          <t>Contractor Programme</t>
        </is>
      </c>
      <c r="D921" s="34" t="inlineStr">
        <is>
          <t>SCH-04-151</t>
        </is>
      </c>
      <c r="E921" s="34" t="inlineStr">
        <is>
          <t>Test track: depot structural fit-out - release</t>
        </is>
      </c>
      <c r="F921" s="34" t="inlineStr">
        <is>
          <t>ONE_TO_ONE</t>
        </is>
      </c>
      <c r="G921" s="34" t="inlineStr">
        <is>
          <t>APPROVED</t>
        </is>
      </c>
      <c r="H921" s="34" t="inlineStr">
        <is>
          <t>New</t>
        </is>
      </c>
      <c r="I921" s="34" t="inlineStr">
        <is>
          <t>Source assignment -- not individually reviewed</t>
        </is>
      </c>
      <c r="J921" s="39" t="inlineStr"/>
      <c r="K921" s="34" t="inlineStr">
        <is>
          <t>Source assignment</t>
        </is>
      </c>
      <c r="L921" s="39" t="inlineStr"/>
      <c r="M921" s="34" t="inlineStr">
        <is>
          <t>Initial</t>
        </is>
      </c>
      <c r="N921" s="34" t="inlineStr">
        <is>
          <t>Rev 0</t>
        </is>
      </c>
      <c r="O921" s="34" t="inlineStr">
        <is>
          <t>R691-v1</t>
        </is>
      </c>
      <c r="P921" s="39" t="inlineStr"/>
      <c r="Q921" s="14" t="inlineStr"/>
      <c r="R921" s="39" t="inlineStr"/>
      <c r="S921" s="39" t="inlineStr"/>
      <c r="T921" s="39" t="inlineStr"/>
      <c r="U921" s="39" t="inlineStr"/>
      <c r="V921" s="34" t="inlineStr">
        <is>
          <t>WBS Code = 1.4.1</t>
        </is>
      </c>
      <c r="W921" s="14" t="inlineStr"/>
    </row>
    <row r="922" ht="49" customHeight="1">
      <c r="A922" s="34" t="inlineStr">
        <is>
          <t>1.4.1</t>
        </is>
      </c>
      <c r="B922" s="34" t="inlineStr">
        <is>
          <t>Vehicles and Depot - Fleet Supply</t>
        </is>
      </c>
      <c r="C922" s="34" t="inlineStr">
        <is>
          <t>Contractor Programme</t>
        </is>
      </c>
      <c r="D922" s="34" t="inlineStr">
        <is>
          <t>SCH-04-152</t>
        </is>
      </c>
      <c r="E922" s="34" t="inlineStr">
        <is>
          <t>Receiving track: workshop crane installation - field start</t>
        </is>
      </c>
      <c r="F922" s="34" t="inlineStr">
        <is>
          <t>ONE_TO_ONE</t>
        </is>
      </c>
      <c r="G922" s="34" t="inlineStr">
        <is>
          <t>APPROVED</t>
        </is>
      </c>
      <c r="H922" s="34" t="inlineStr">
        <is>
          <t>New</t>
        </is>
      </c>
      <c r="I922" s="34" t="inlineStr">
        <is>
          <t>Source assignment -- not individually reviewed</t>
        </is>
      </c>
      <c r="J922" s="39" t="inlineStr"/>
      <c r="K922" s="34" t="inlineStr">
        <is>
          <t>Source assignment</t>
        </is>
      </c>
      <c r="L922" s="39" t="inlineStr"/>
      <c r="M922" s="34" t="inlineStr">
        <is>
          <t>Initial</t>
        </is>
      </c>
      <c r="N922" s="34" t="inlineStr">
        <is>
          <t>Rev 0</t>
        </is>
      </c>
      <c r="O922" s="34" t="inlineStr">
        <is>
          <t>R692-v1</t>
        </is>
      </c>
      <c r="P922" s="39" t="inlineStr"/>
      <c r="Q922" s="14" t="inlineStr"/>
      <c r="R922" s="39" t="inlineStr"/>
      <c r="S922" s="39" t="inlineStr"/>
      <c r="T922" s="39" t="inlineStr"/>
      <c r="U922" s="39" t="inlineStr"/>
      <c r="V922" s="34" t="inlineStr">
        <is>
          <t>WBS Code = 1.4.1</t>
        </is>
      </c>
      <c r="W922" s="14" t="inlineStr"/>
    </row>
    <row r="923" ht="49" customHeight="1">
      <c r="A923" s="34" t="inlineStr">
        <is>
          <t>1.4.1</t>
        </is>
      </c>
      <c r="B923" s="34" t="inlineStr">
        <is>
          <t>Vehicles and Depot - Fleet Supply</t>
        </is>
      </c>
      <c r="C923" s="34" t="inlineStr">
        <is>
          <t>Contractor Programme</t>
        </is>
      </c>
      <c r="D923" s="34" t="inlineStr">
        <is>
          <t>SCH-04-154</t>
        </is>
      </c>
      <c r="E923" s="34" t="inlineStr">
        <is>
          <t>Storage yard: wheel-lathe installation - inspection</t>
        </is>
      </c>
      <c r="F923" s="34" t="inlineStr">
        <is>
          <t>ONE_TO_ONE</t>
        </is>
      </c>
      <c r="G923" s="34" t="inlineStr">
        <is>
          <t>APPROVED</t>
        </is>
      </c>
      <c r="H923" s="34" t="inlineStr">
        <is>
          <t>New</t>
        </is>
      </c>
      <c r="I923" s="34" t="inlineStr">
        <is>
          <t>Source assignment -- not individually reviewed</t>
        </is>
      </c>
      <c r="J923" s="39" t="inlineStr"/>
      <c r="K923" s="34" t="inlineStr">
        <is>
          <t>Source assignment</t>
        </is>
      </c>
      <c r="L923" s="39" t="inlineStr"/>
      <c r="M923" s="34" t="inlineStr">
        <is>
          <t>Initial</t>
        </is>
      </c>
      <c r="N923" s="34" t="inlineStr">
        <is>
          <t>Rev 0</t>
        </is>
      </c>
      <c r="O923" s="34" t="inlineStr">
        <is>
          <t>R694-v1</t>
        </is>
      </c>
      <c r="P923" s="39" t="inlineStr"/>
      <c r="Q923" s="14" t="inlineStr"/>
      <c r="R923" s="39" t="inlineStr"/>
      <c r="S923" s="39" t="inlineStr"/>
      <c r="T923" s="39" t="inlineStr"/>
      <c r="U923" s="39" t="inlineStr"/>
      <c r="V923" s="34" t="inlineStr">
        <is>
          <t>WBS Code = 1.4.1</t>
        </is>
      </c>
      <c r="W923" s="14" t="inlineStr"/>
    </row>
    <row r="924" ht="49" customHeight="1">
      <c r="A924" s="34" t="inlineStr">
        <is>
          <t>1.4.1</t>
        </is>
      </c>
      <c r="B924" s="34" t="inlineStr">
        <is>
          <t>Vehicles and Depot - Fleet Supply</t>
        </is>
      </c>
      <c r="C924" s="34" t="inlineStr">
        <is>
          <t>Contractor Programme</t>
        </is>
      </c>
      <c r="D924" s="34" t="inlineStr">
        <is>
          <t>SCH-04-155</t>
        </is>
      </c>
      <c r="E924" s="34" t="inlineStr">
        <is>
          <t>Operations building: fleet software load - turnover</t>
        </is>
      </c>
      <c r="F924" s="34" t="inlineStr">
        <is>
          <t>ONE_TO_ONE</t>
        </is>
      </c>
      <c r="G924" s="34" t="inlineStr">
        <is>
          <t>APPROVED</t>
        </is>
      </c>
      <c r="H924" s="34" t="inlineStr">
        <is>
          <t>New</t>
        </is>
      </c>
      <c r="I924" s="34" t="inlineStr">
        <is>
          <t>Source assignment -- not individually reviewed</t>
        </is>
      </c>
      <c r="J924" s="39" t="inlineStr"/>
      <c r="K924" s="34" t="inlineStr">
        <is>
          <t>Source assignment</t>
        </is>
      </c>
      <c r="L924" s="39" t="inlineStr"/>
      <c r="M924" s="34" t="inlineStr">
        <is>
          <t>Initial</t>
        </is>
      </c>
      <c r="N924" s="34" t="inlineStr">
        <is>
          <t>Rev 0</t>
        </is>
      </c>
      <c r="O924" s="34" t="inlineStr">
        <is>
          <t>R695-v1</t>
        </is>
      </c>
      <c r="P924" s="39" t="inlineStr"/>
      <c r="Q924" s="14" t="inlineStr"/>
      <c r="R924" s="39" t="inlineStr"/>
      <c r="S924" s="39" t="inlineStr"/>
      <c r="T924" s="39" t="inlineStr"/>
      <c r="U924" s="39" t="inlineStr"/>
      <c r="V924" s="34" t="inlineStr">
        <is>
          <t>WBS Code = 1.4.1</t>
        </is>
      </c>
      <c r="W924" s="14" t="inlineStr"/>
    </row>
    <row r="925" ht="49" customHeight="1">
      <c r="A925" s="34" t="inlineStr">
        <is>
          <t>1.4.1</t>
        </is>
      </c>
      <c r="B925" s="34" t="inlineStr">
        <is>
          <t>Vehicles and Depot - Fleet Supply</t>
        </is>
      </c>
      <c r="C925" s="34" t="inlineStr">
        <is>
          <t>Contractor Programme</t>
        </is>
      </c>
      <c r="D925" s="34" t="inlineStr">
        <is>
          <t>SCH-04-157</t>
        </is>
      </c>
      <c r="E925" s="34" t="inlineStr">
        <is>
          <t>Receiving track: wash-plant commissioning - field start</t>
        </is>
      </c>
      <c r="F925" s="34" t="inlineStr">
        <is>
          <t>ONE_TO_ONE</t>
        </is>
      </c>
      <c r="G925" s="34" t="inlineStr">
        <is>
          <t>APPROVED</t>
        </is>
      </c>
      <c r="H925" s="34" t="inlineStr">
        <is>
          <t>New</t>
        </is>
      </c>
      <c r="I925" s="34" t="inlineStr">
        <is>
          <t>Source assignment -- not individually reviewed</t>
        </is>
      </c>
      <c r="J925" s="39" t="inlineStr"/>
      <c r="K925" s="34" t="inlineStr">
        <is>
          <t>Source assignment</t>
        </is>
      </c>
      <c r="L925" s="39" t="inlineStr"/>
      <c r="M925" s="34" t="inlineStr">
        <is>
          <t>Initial</t>
        </is>
      </c>
      <c r="N925" s="34" t="inlineStr">
        <is>
          <t>Rev 0</t>
        </is>
      </c>
      <c r="O925" s="34" t="inlineStr">
        <is>
          <t>R697-v1</t>
        </is>
      </c>
      <c r="P925" s="39" t="inlineStr"/>
      <c r="Q925" s="14" t="inlineStr"/>
      <c r="R925" s="39" t="inlineStr"/>
      <c r="S925" s="39" t="inlineStr"/>
      <c r="T925" s="39" t="inlineStr"/>
      <c r="U925" s="39" t="inlineStr"/>
      <c r="V925" s="34" t="inlineStr">
        <is>
          <t>WBS Code = 1.4.1</t>
        </is>
      </c>
      <c r="W925" s="14" t="inlineStr"/>
    </row>
    <row r="926" ht="49" customHeight="1">
      <c r="A926" s="34" t="inlineStr">
        <is>
          <t>1.4.1</t>
        </is>
      </c>
      <c r="B926" s="34" t="inlineStr">
        <is>
          <t>Vehicles and Depot - Fleet Supply</t>
        </is>
      </c>
      <c r="C926" s="34" t="inlineStr">
        <is>
          <t>Contractor Programme</t>
        </is>
      </c>
      <c r="D926" s="34" t="inlineStr">
        <is>
          <t>SCH-04-158</t>
        </is>
      </c>
      <c r="E926" s="34" t="inlineStr">
        <is>
          <t>Maintenance shop: maintenance-bay services - installation</t>
        </is>
      </c>
      <c r="F926" s="34" t="inlineStr">
        <is>
          <t>ONE_TO_ONE</t>
        </is>
      </c>
      <c r="G926" s="34" t="inlineStr">
        <is>
          <t>APPROVED</t>
        </is>
      </c>
      <c r="H926" s="34" t="inlineStr">
        <is>
          <t>New</t>
        </is>
      </c>
      <c r="I926" s="34" t="inlineStr">
        <is>
          <t>Source assignment -- not individually reviewed</t>
        </is>
      </c>
      <c r="J926" s="39" t="inlineStr"/>
      <c r="K926" s="34" t="inlineStr">
        <is>
          <t>Source assignment</t>
        </is>
      </c>
      <c r="L926" s="39" t="inlineStr"/>
      <c r="M926" s="34" t="inlineStr">
        <is>
          <t>Initial</t>
        </is>
      </c>
      <c r="N926" s="34" t="inlineStr">
        <is>
          <t>Rev 0</t>
        </is>
      </c>
      <c r="O926" s="34" t="inlineStr">
        <is>
          <t>R698-v1</t>
        </is>
      </c>
      <c r="P926" s="39" t="inlineStr"/>
      <c r="Q926" s="14" t="inlineStr"/>
      <c r="R926" s="39" t="inlineStr"/>
      <c r="S926" s="39" t="inlineStr"/>
      <c r="T926" s="39" t="inlineStr"/>
      <c r="U926" s="39" t="inlineStr"/>
      <c r="V926" s="34" t="inlineStr">
        <is>
          <t>WBS Code = 1.4.1</t>
        </is>
      </c>
      <c r="W926" s="14" t="inlineStr"/>
    </row>
    <row r="927" ht="49" customHeight="1">
      <c r="A927" s="34" t="inlineStr">
        <is>
          <t>1.4.1</t>
        </is>
      </c>
      <c r="B927" s="34" t="inlineStr">
        <is>
          <t>Vehicles and Depot - Fleet Supply</t>
        </is>
      </c>
      <c r="C927" s="34" t="inlineStr">
        <is>
          <t>Contractor Programme</t>
        </is>
      </c>
      <c r="D927" s="34" t="inlineStr">
        <is>
          <t>SCH-04-160</t>
        </is>
      </c>
      <c r="E927" s="34" t="inlineStr">
        <is>
          <t>Operations building: workshop crane installation - turnover</t>
        </is>
      </c>
      <c r="F927" s="34" t="inlineStr">
        <is>
          <t>ONE_TO_ONE</t>
        </is>
      </c>
      <c r="G927" s="34" t="inlineStr">
        <is>
          <t>APPROVED</t>
        </is>
      </c>
      <c r="H927" s="34" t="inlineStr">
        <is>
          <t>New</t>
        </is>
      </c>
      <c r="I927" s="34" t="inlineStr">
        <is>
          <t>Source assignment -- not individually reviewed</t>
        </is>
      </c>
      <c r="J927" s="39" t="inlineStr"/>
      <c r="K927" s="34" t="inlineStr">
        <is>
          <t>Source assignment</t>
        </is>
      </c>
      <c r="L927" s="39" t="inlineStr"/>
      <c r="M927" s="34" t="inlineStr">
        <is>
          <t>Initial</t>
        </is>
      </c>
      <c r="N927" s="34" t="inlineStr">
        <is>
          <t>Rev 0</t>
        </is>
      </c>
      <c r="O927" s="34" t="inlineStr">
        <is>
          <t>R700-v1</t>
        </is>
      </c>
      <c r="P927" s="39" t="inlineStr"/>
      <c r="Q927" s="14" t="inlineStr"/>
      <c r="R927" s="39" t="inlineStr"/>
      <c r="S927" s="39" t="inlineStr"/>
      <c r="T927" s="39" t="inlineStr"/>
      <c r="U927" s="39" t="inlineStr"/>
      <c r="V927" s="34" t="inlineStr">
        <is>
          <t>WBS Code = 1.4.1</t>
        </is>
      </c>
      <c r="W927" s="14" t="inlineStr"/>
    </row>
    <row r="928" ht="49" customHeight="1">
      <c r="A928" s="34" t="inlineStr">
        <is>
          <t>1.4.1</t>
        </is>
      </c>
      <c r="B928" s="34" t="inlineStr">
        <is>
          <t>Vehicles and Depot - Fleet Supply</t>
        </is>
      </c>
      <c r="C928" s="34" t="inlineStr">
        <is>
          <t>Contractor Programme</t>
        </is>
      </c>
      <c r="D928" s="34" t="inlineStr">
        <is>
          <t>SCH-04-161</t>
        </is>
      </c>
      <c r="E928" s="34" t="inlineStr">
        <is>
          <t>Test track: vehicle-to-depot interface check - release</t>
        </is>
      </c>
      <c r="F928" s="34" t="inlineStr">
        <is>
          <t>ONE_TO_ONE</t>
        </is>
      </c>
      <c r="G928" s="34" t="inlineStr">
        <is>
          <t>APPROVED</t>
        </is>
      </c>
      <c r="H928" s="34" t="inlineStr">
        <is>
          <t>New</t>
        </is>
      </c>
      <c r="I928" s="34" t="inlineStr">
        <is>
          <t>Source assignment -- not individually reviewed</t>
        </is>
      </c>
      <c r="J928" s="39" t="inlineStr"/>
      <c r="K928" s="34" t="inlineStr">
        <is>
          <t>Source assignment</t>
        </is>
      </c>
      <c r="L928" s="39" t="inlineStr"/>
      <c r="M928" s="34" t="inlineStr">
        <is>
          <t>Initial</t>
        </is>
      </c>
      <c r="N928" s="34" t="inlineStr">
        <is>
          <t>Rev 0</t>
        </is>
      </c>
      <c r="O928" s="34" t="inlineStr">
        <is>
          <t>R701-v1</t>
        </is>
      </c>
      <c r="P928" s="39" t="inlineStr"/>
      <c r="Q928" s="14" t="inlineStr"/>
      <c r="R928" s="39" t="inlineStr"/>
      <c r="S928" s="39" t="inlineStr"/>
      <c r="T928" s="39" t="inlineStr"/>
      <c r="U928" s="39" t="inlineStr"/>
      <c r="V928" s="34" t="inlineStr">
        <is>
          <t>WBS Code = 1.4.1</t>
        </is>
      </c>
      <c r="W928" s="14" t="inlineStr"/>
    </row>
    <row r="929" ht="49" customHeight="1">
      <c r="A929" s="34" t="inlineStr">
        <is>
          <t>1.4.1</t>
        </is>
      </c>
      <c r="B929" s="34" t="inlineStr">
        <is>
          <t>Vehicles and Depot - Fleet Supply</t>
        </is>
      </c>
      <c r="C929" s="34" t="inlineStr">
        <is>
          <t>Contractor Programme</t>
        </is>
      </c>
      <c r="D929" s="34" t="inlineStr">
        <is>
          <t>SCH-04-163</t>
        </is>
      </c>
      <c r="E929" s="34" t="inlineStr">
        <is>
          <t>Maintenance shop: fleet software load - installation</t>
        </is>
      </c>
      <c r="F929" s="34" t="inlineStr">
        <is>
          <t>ONE_TO_ONE</t>
        </is>
      </c>
      <c r="G929" s="34" t="inlineStr">
        <is>
          <t>APPROVED</t>
        </is>
      </c>
      <c r="H929" s="34" t="inlineStr">
        <is>
          <t>New</t>
        </is>
      </c>
      <c r="I929" s="34" t="inlineStr">
        <is>
          <t>Source assignment -- not individually reviewed</t>
        </is>
      </c>
      <c r="J929" s="39" t="inlineStr"/>
      <c r="K929" s="34" t="inlineStr">
        <is>
          <t>Source assignment</t>
        </is>
      </c>
      <c r="L929" s="39" t="inlineStr"/>
      <c r="M929" s="34" t="inlineStr">
        <is>
          <t>Initial</t>
        </is>
      </c>
      <c r="N929" s="34" t="inlineStr">
        <is>
          <t>Rev 0</t>
        </is>
      </c>
      <c r="O929" s="34" t="inlineStr">
        <is>
          <t>R703-v1</t>
        </is>
      </c>
      <c r="P929" s="39" t="inlineStr"/>
      <c r="Q929" s="14" t="inlineStr"/>
      <c r="R929" s="39" t="inlineStr"/>
      <c r="S929" s="39" t="inlineStr"/>
      <c r="T929" s="39" t="inlineStr"/>
      <c r="U929" s="39" t="inlineStr"/>
      <c r="V929" s="34" t="inlineStr">
        <is>
          <t>WBS Code = 1.4.1</t>
        </is>
      </c>
      <c r="W929" s="14" t="inlineStr"/>
    </row>
    <row r="930" ht="49" customHeight="1">
      <c r="A930" s="34" t="inlineStr">
        <is>
          <t>1.4.1</t>
        </is>
      </c>
      <c r="B930" s="34" t="inlineStr">
        <is>
          <t>Vehicles and Depot - Fleet Supply</t>
        </is>
      </c>
      <c r="C930" s="34" t="inlineStr">
        <is>
          <t>Contractor Programme</t>
        </is>
      </c>
      <c r="D930" s="34" t="inlineStr">
        <is>
          <t>SCH-04-164</t>
        </is>
      </c>
      <c r="E930" s="34" t="inlineStr">
        <is>
          <t>Storage yard: vehicle delivery inspection - inspection</t>
        </is>
      </c>
      <c r="F930" s="34" t="inlineStr">
        <is>
          <t>ONE_TO_ONE</t>
        </is>
      </c>
      <c r="G930" s="34" t="inlineStr">
        <is>
          <t>APPROVED</t>
        </is>
      </c>
      <c r="H930" s="34" t="inlineStr">
        <is>
          <t>New</t>
        </is>
      </c>
      <c r="I930" s="34" t="inlineStr">
        <is>
          <t>Source assignment -- not individually reviewed</t>
        </is>
      </c>
      <c r="J930" s="39" t="inlineStr"/>
      <c r="K930" s="34" t="inlineStr">
        <is>
          <t>Source assignment</t>
        </is>
      </c>
      <c r="L930" s="39" t="inlineStr"/>
      <c r="M930" s="34" t="inlineStr">
        <is>
          <t>Initial</t>
        </is>
      </c>
      <c r="N930" s="34" t="inlineStr">
        <is>
          <t>Rev 0</t>
        </is>
      </c>
      <c r="O930" s="34" t="inlineStr">
        <is>
          <t>R704-v1</t>
        </is>
      </c>
      <c r="P930" s="39" t="inlineStr"/>
      <c r="Q930" s="14" t="inlineStr"/>
      <c r="R930" s="39" t="inlineStr"/>
      <c r="S930" s="39" t="inlineStr"/>
      <c r="T930" s="39" t="inlineStr"/>
      <c r="U930" s="39" t="inlineStr"/>
      <c r="V930" s="34" t="inlineStr">
        <is>
          <t>WBS Code = 1.4.1</t>
        </is>
      </c>
      <c r="W930" s="14" t="inlineStr"/>
    </row>
    <row r="931" ht="49" customHeight="1">
      <c r="A931" s="34" t="inlineStr">
        <is>
          <t>1.4.1</t>
        </is>
      </c>
      <c r="B931" s="34" t="inlineStr">
        <is>
          <t>Vehicles and Depot - Fleet Supply</t>
        </is>
      </c>
      <c r="C931" s="34" t="inlineStr">
        <is>
          <t>Contractor Programme</t>
        </is>
      </c>
      <c r="D931" s="34" t="inlineStr">
        <is>
          <t>SCH-04-166</t>
        </is>
      </c>
      <c r="E931" s="34" t="inlineStr">
        <is>
          <t>Test track: maintenance-bay services - release</t>
        </is>
      </c>
      <c r="F931" s="34" t="inlineStr">
        <is>
          <t>ONE_TO_ONE</t>
        </is>
      </c>
      <c r="G931" s="34" t="inlineStr">
        <is>
          <t>APPROVED</t>
        </is>
      </c>
      <c r="H931" s="34" t="inlineStr">
        <is>
          <t>New</t>
        </is>
      </c>
      <c r="I931" s="34" t="inlineStr">
        <is>
          <t>Source assignment -- not individually reviewed</t>
        </is>
      </c>
      <c r="J931" s="39" t="inlineStr"/>
      <c r="K931" s="34" t="inlineStr">
        <is>
          <t>Source assignment</t>
        </is>
      </c>
      <c r="L931" s="39" t="inlineStr"/>
      <c r="M931" s="34" t="inlineStr">
        <is>
          <t>Initial</t>
        </is>
      </c>
      <c r="N931" s="34" t="inlineStr">
        <is>
          <t>Rev 0</t>
        </is>
      </c>
      <c r="O931" s="34" t="inlineStr">
        <is>
          <t>R706-v1</t>
        </is>
      </c>
      <c r="P931" s="39" t="inlineStr"/>
      <c r="Q931" s="14" t="inlineStr"/>
      <c r="R931" s="39" t="inlineStr"/>
      <c r="S931" s="39" t="inlineStr"/>
      <c r="T931" s="39" t="inlineStr"/>
      <c r="U931" s="39" t="inlineStr"/>
      <c r="V931" s="34" t="inlineStr">
        <is>
          <t>WBS Code = 1.4.1</t>
        </is>
      </c>
      <c r="W931" s="14" t="inlineStr"/>
    </row>
    <row r="932" ht="49" customHeight="1">
      <c r="A932" s="34" t="inlineStr">
        <is>
          <t>1.4.1</t>
        </is>
      </c>
      <c r="B932" s="34" t="inlineStr">
        <is>
          <t>Vehicles and Depot - Fleet Supply</t>
        </is>
      </c>
      <c r="C932" s="34" t="inlineStr">
        <is>
          <t>Contractor Programme</t>
        </is>
      </c>
      <c r="D932" s="34" t="inlineStr">
        <is>
          <t>SCH-04-167</t>
        </is>
      </c>
      <c r="E932" s="34" t="inlineStr">
        <is>
          <t>Receiving track: depot structural fit-out - field start</t>
        </is>
      </c>
      <c r="F932" s="34" t="inlineStr">
        <is>
          <t>ONE_TO_ONE</t>
        </is>
      </c>
      <c r="G932" s="34" t="inlineStr">
        <is>
          <t>APPROVED</t>
        </is>
      </c>
      <c r="H932" s="34" t="inlineStr">
        <is>
          <t>New</t>
        </is>
      </c>
      <c r="I932" s="34" t="inlineStr">
        <is>
          <t>Source assignment -- not individually reviewed</t>
        </is>
      </c>
      <c r="J932" s="39" t="inlineStr"/>
      <c r="K932" s="34" t="inlineStr">
        <is>
          <t>Source assignment</t>
        </is>
      </c>
      <c r="L932" s="39" t="inlineStr"/>
      <c r="M932" s="34" t="inlineStr">
        <is>
          <t>Initial</t>
        </is>
      </c>
      <c r="N932" s="34" t="inlineStr">
        <is>
          <t>Rev 0</t>
        </is>
      </c>
      <c r="O932" s="34" t="inlineStr">
        <is>
          <t>R707-v1</t>
        </is>
      </c>
      <c r="P932" s="39" t="inlineStr"/>
      <c r="Q932" s="14" t="inlineStr"/>
      <c r="R932" s="39" t="inlineStr"/>
      <c r="S932" s="39" t="inlineStr"/>
      <c r="T932" s="39" t="inlineStr"/>
      <c r="U932" s="39" t="inlineStr"/>
      <c r="V932" s="34" t="inlineStr">
        <is>
          <t>WBS Code = 1.4.1</t>
        </is>
      </c>
      <c r="W932" s="14" t="inlineStr"/>
    </row>
    <row r="933" ht="49" customHeight="1">
      <c r="A933" s="34" t="inlineStr">
        <is>
          <t>1.4.1</t>
        </is>
      </c>
      <c r="B933" s="34" t="inlineStr">
        <is>
          <t>Vehicles and Depot - Fleet Supply</t>
        </is>
      </c>
      <c r="C933" s="34" t="inlineStr">
        <is>
          <t>Contractor Programme</t>
        </is>
      </c>
      <c r="D933" s="34" t="inlineStr">
        <is>
          <t>SCH-04-169</t>
        </is>
      </c>
      <c r="E933" s="34" t="inlineStr">
        <is>
          <t>Storage yard: vehicle-to-depot interface check - inspection</t>
        </is>
      </c>
      <c r="F933" s="34" t="inlineStr">
        <is>
          <t>ONE_TO_ONE</t>
        </is>
      </c>
      <c r="G933" s="34" t="inlineStr">
        <is>
          <t>APPROVED</t>
        </is>
      </c>
      <c r="H933" s="34" t="inlineStr">
        <is>
          <t>New</t>
        </is>
      </c>
      <c r="I933" s="34" t="inlineStr">
        <is>
          <t>Source assignment -- not individually reviewed</t>
        </is>
      </c>
      <c r="J933" s="39" t="inlineStr"/>
      <c r="K933" s="34" t="inlineStr">
        <is>
          <t>Source assignment</t>
        </is>
      </c>
      <c r="L933" s="39" t="inlineStr"/>
      <c r="M933" s="34" t="inlineStr">
        <is>
          <t>Initial</t>
        </is>
      </c>
      <c r="N933" s="34" t="inlineStr">
        <is>
          <t>Rev 0</t>
        </is>
      </c>
      <c r="O933" s="34" t="inlineStr">
        <is>
          <t>R709-v1</t>
        </is>
      </c>
      <c r="P933" s="39" t="inlineStr"/>
      <c r="Q933" s="14" t="inlineStr"/>
      <c r="R933" s="39" t="inlineStr"/>
      <c r="S933" s="39" t="inlineStr"/>
      <c r="T933" s="39" t="inlineStr"/>
      <c r="U933" s="39" t="inlineStr"/>
      <c r="V933" s="34" t="inlineStr">
        <is>
          <t>WBS Code = 1.4.1</t>
        </is>
      </c>
      <c r="W933" s="14" t="inlineStr"/>
    </row>
    <row r="934" ht="49" customHeight="1">
      <c r="A934" s="34" t="inlineStr">
        <is>
          <t>1.4.1</t>
        </is>
      </c>
      <c r="B934" s="34" t="inlineStr">
        <is>
          <t>Vehicles and Depot - Fleet Supply</t>
        </is>
      </c>
      <c r="C934" s="34" t="inlineStr">
        <is>
          <t>Contractor Programme</t>
        </is>
      </c>
      <c r="D934" s="34" t="inlineStr">
        <is>
          <t>SCH-04-170</t>
        </is>
      </c>
      <c r="E934" s="34" t="inlineStr">
        <is>
          <t>Operations building: wheel-lathe installation - turnover</t>
        </is>
      </c>
      <c r="F934" s="34" t="inlineStr">
        <is>
          <t>ONE_TO_ONE</t>
        </is>
      </c>
      <c r="G934" s="34" t="inlineStr">
        <is>
          <t>APPROVED</t>
        </is>
      </c>
      <c r="H934" s="34" t="inlineStr">
        <is>
          <t>New</t>
        </is>
      </c>
      <c r="I934" s="34" t="inlineStr">
        <is>
          <t>Source assignment -- not individually reviewed</t>
        </is>
      </c>
      <c r="J934" s="39" t="inlineStr"/>
      <c r="K934" s="34" t="inlineStr">
        <is>
          <t>Source assignment</t>
        </is>
      </c>
      <c r="L934" s="39" t="inlineStr"/>
      <c r="M934" s="34" t="inlineStr">
        <is>
          <t>Initial</t>
        </is>
      </c>
      <c r="N934" s="34" t="inlineStr">
        <is>
          <t>Rev 0</t>
        </is>
      </c>
      <c r="O934" s="34" t="inlineStr">
        <is>
          <t>R710-v1</t>
        </is>
      </c>
      <c r="P934" s="39" t="inlineStr"/>
      <c r="Q934" s="14" t="inlineStr"/>
      <c r="R934" s="39" t="inlineStr"/>
      <c r="S934" s="39" t="inlineStr"/>
      <c r="T934" s="39" t="inlineStr"/>
      <c r="U934" s="39" t="inlineStr"/>
      <c r="V934" s="34" t="inlineStr">
        <is>
          <t>WBS Code = 1.4.1</t>
        </is>
      </c>
      <c r="W934" s="14" t="inlineStr"/>
    </row>
    <row r="935" ht="49" customHeight="1">
      <c r="A935" s="34" t="inlineStr">
        <is>
          <t>1.4.1</t>
        </is>
      </c>
      <c r="B935" s="34" t="inlineStr">
        <is>
          <t>Vehicles and Depot - Fleet Supply</t>
        </is>
      </c>
      <c r="C935" s="34" t="inlineStr">
        <is>
          <t>Contractor Programme</t>
        </is>
      </c>
      <c r="D935" s="34" t="inlineStr">
        <is>
          <t>SCH-04-172</t>
        </is>
      </c>
      <c r="E935" s="34" t="inlineStr">
        <is>
          <t>Receiving track: vehicle delivery inspection - field start</t>
        </is>
      </c>
      <c r="F935" s="34" t="inlineStr">
        <is>
          <t>ONE_TO_ONE</t>
        </is>
      </c>
      <c r="G935" s="34" t="inlineStr">
        <is>
          <t>APPROVED</t>
        </is>
      </c>
      <c r="H935" s="34" t="inlineStr">
        <is>
          <t>New</t>
        </is>
      </c>
      <c r="I935" s="34" t="inlineStr">
        <is>
          <t>Source assignment -- not individually reviewed</t>
        </is>
      </c>
      <c r="J935" s="39" t="inlineStr"/>
      <c r="K935" s="34" t="inlineStr">
        <is>
          <t>Source assignment</t>
        </is>
      </c>
      <c r="L935" s="39" t="inlineStr"/>
      <c r="M935" s="34" t="inlineStr">
        <is>
          <t>Initial</t>
        </is>
      </c>
      <c r="N935" s="34" t="inlineStr">
        <is>
          <t>Rev 0</t>
        </is>
      </c>
      <c r="O935" s="34" t="inlineStr">
        <is>
          <t>R712-v1</t>
        </is>
      </c>
      <c r="P935" s="39" t="inlineStr"/>
      <c r="Q935" s="14" t="inlineStr"/>
      <c r="R935" s="39" t="inlineStr"/>
      <c r="S935" s="39" t="inlineStr"/>
      <c r="T935" s="39" t="inlineStr"/>
      <c r="U935" s="39" t="inlineStr"/>
      <c r="V935" s="34" t="inlineStr">
        <is>
          <t>WBS Code = 1.4.1</t>
        </is>
      </c>
      <c r="W935" s="14" t="inlineStr"/>
    </row>
    <row r="936" ht="49" customHeight="1">
      <c r="A936" s="34" t="inlineStr">
        <is>
          <t>1.4.1</t>
        </is>
      </c>
      <c r="B936" s="34" t="inlineStr">
        <is>
          <t>Vehicles and Depot - Fleet Supply</t>
        </is>
      </c>
      <c r="C936" s="34" t="inlineStr">
        <is>
          <t>Contractor Programme</t>
        </is>
      </c>
      <c r="D936" s="34" t="inlineStr">
        <is>
          <t>SCH-04-173</t>
        </is>
      </c>
      <c r="E936" s="34" t="inlineStr">
        <is>
          <t>Maintenance shop: wash-plant commissioning - installation</t>
        </is>
      </c>
      <c r="F936" s="34" t="inlineStr">
        <is>
          <t>ONE_TO_ONE</t>
        </is>
      </c>
      <c r="G936" s="34" t="inlineStr">
        <is>
          <t>APPROVED</t>
        </is>
      </c>
      <c r="H936" s="34" t="inlineStr">
        <is>
          <t>New</t>
        </is>
      </c>
      <c r="I936" s="34" t="inlineStr">
        <is>
          <t>Source assignment -- not individually reviewed</t>
        </is>
      </c>
      <c r="J936" s="39" t="inlineStr"/>
      <c r="K936" s="34" t="inlineStr">
        <is>
          <t>Source assignment</t>
        </is>
      </c>
      <c r="L936" s="39" t="inlineStr"/>
      <c r="M936" s="34" t="inlineStr">
        <is>
          <t>Initial</t>
        </is>
      </c>
      <c r="N936" s="34" t="inlineStr">
        <is>
          <t>Rev 0</t>
        </is>
      </c>
      <c r="O936" s="34" t="inlineStr">
        <is>
          <t>R713-v1</t>
        </is>
      </c>
      <c r="P936" s="39" t="inlineStr"/>
      <c r="Q936" s="14" t="inlineStr"/>
      <c r="R936" s="39" t="inlineStr"/>
      <c r="S936" s="39" t="inlineStr"/>
      <c r="T936" s="39" t="inlineStr"/>
      <c r="U936" s="39" t="inlineStr"/>
      <c r="V936" s="34" t="inlineStr">
        <is>
          <t>WBS Code = 1.4.1</t>
        </is>
      </c>
      <c r="W936" s="14" t="inlineStr"/>
    </row>
    <row r="937" ht="49" customHeight="1">
      <c r="A937" s="34" t="inlineStr">
        <is>
          <t>1.4.1</t>
        </is>
      </c>
      <c r="B937" s="34" t="inlineStr">
        <is>
          <t>Vehicles and Depot - Fleet Supply</t>
        </is>
      </c>
      <c r="C937" s="34" t="inlineStr">
        <is>
          <t>Contractor Programme</t>
        </is>
      </c>
      <c r="D937" s="34" t="inlineStr">
        <is>
          <t>SCH-04-175</t>
        </is>
      </c>
      <c r="E937" s="34" t="inlineStr">
        <is>
          <t>Operations building: depot structural fit-out - turnover</t>
        </is>
      </c>
      <c r="F937" s="34" t="inlineStr">
        <is>
          <t>ONE_TO_ONE</t>
        </is>
      </c>
      <c r="G937" s="34" t="inlineStr">
        <is>
          <t>APPROVED</t>
        </is>
      </c>
      <c r="H937" s="34" t="inlineStr">
        <is>
          <t>New</t>
        </is>
      </c>
      <c r="I937" s="34" t="inlineStr">
        <is>
          <t>Source assignment -- not individually reviewed</t>
        </is>
      </c>
      <c r="J937" s="39" t="inlineStr"/>
      <c r="K937" s="34" t="inlineStr">
        <is>
          <t>Source assignment</t>
        </is>
      </c>
      <c r="L937" s="39" t="inlineStr"/>
      <c r="M937" s="34" t="inlineStr">
        <is>
          <t>Initial</t>
        </is>
      </c>
      <c r="N937" s="34" t="inlineStr">
        <is>
          <t>Rev 0</t>
        </is>
      </c>
      <c r="O937" s="34" t="inlineStr">
        <is>
          <t>R715-v1</t>
        </is>
      </c>
      <c r="P937" s="39" t="inlineStr"/>
      <c r="Q937" s="14" t="inlineStr"/>
      <c r="R937" s="39" t="inlineStr"/>
      <c r="S937" s="39" t="inlineStr"/>
      <c r="T937" s="39" t="inlineStr"/>
      <c r="U937" s="39" t="inlineStr"/>
      <c r="V937" s="34" t="inlineStr">
        <is>
          <t>WBS Code = 1.4.1</t>
        </is>
      </c>
      <c r="W937" s="14" t="inlineStr"/>
    </row>
    <row r="938" ht="49" customHeight="1">
      <c r="A938" s="34" t="inlineStr">
        <is>
          <t>1.4.1</t>
        </is>
      </c>
      <c r="B938" s="34" t="inlineStr">
        <is>
          <t>Vehicles and Depot - Fleet Supply</t>
        </is>
      </c>
      <c r="C938" s="34" t="inlineStr">
        <is>
          <t>Contractor Programme</t>
        </is>
      </c>
      <c r="D938" s="34" t="inlineStr">
        <is>
          <t>SCH-04-176</t>
        </is>
      </c>
      <c r="E938" s="34" t="inlineStr">
        <is>
          <t>Test track: workshop crane installation - release</t>
        </is>
      </c>
      <c r="F938" s="34" t="inlineStr">
        <is>
          <t>ONE_TO_ONE</t>
        </is>
      </c>
      <c r="G938" s="34" t="inlineStr">
        <is>
          <t>APPROVED</t>
        </is>
      </c>
      <c r="H938" s="34" t="inlineStr">
        <is>
          <t>New</t>
        </is>
      </c>
      <c r="I938" s="34" t="inlineStr">
        <is>
          <t>Source assignment -- not individually reviewed</t>
        </is>
      </c>
      <c r="J938" s="39" t="inlineStr"/>
      <c r="K938" s="34" t="inlineStr">
        <is>
          <t>Source assignment</t>
        </is>
      </c>
      <c r="L938" s="39" t="inlineStr"/>
      <c r="M938" s="34" t="inlineStr">
        <is>
          <t>Initial</t>
        </is>
      </c>
      <c r="N938" s="34" t="inlineStr">
        <is>
          <t>Rev 0</t>
        </is>
      </c>
      <c r="O938" s="34" t="inlineStr">
        <is>
          <t>R716-v1</t>
        </is>
      </c>
      <c r="P938" s="39" t="inlineStr"/>
      <c r="Q938" s="14" t="inlineStr"/>
      <c r="R938" s="39" t="inlineStr"/>
      <c r="S938" s="39" t="inlineStr"/>
      <c r="T938" s="39" t="inlineStr"/>
      <c r="U938" s="39" t="inlineStr"/>
      <c r="V938" s="34" t="inlineStr">
        <is>
          <t>WBS Code = 1.4.1</t>
        </is>
      </c>
      <c r="W938" s="14" t="inlineStr"/>
    </row>
    <row r="939" ht="49" customHeight="1">
      <c r="A939" s="34" t="inlineStr">
        <is>
          <t>1.4.1</t>
        </is>
      </c>
      <c r="B939" s="34" t="inlineStr">
        <is>
          <t>Vehicles and Depot - Fleet Supply</t>
        </is>
      </c>
      <c r="C939" s="34" t="inlineStr">
        <is>
          <t>Contractor Programme</t>
        </is>
      </c>
      <c r="D939" s="34" t="inlineStr">
        <is>
          <t>SCH-04-178</t>
        </is>
      </c>
      <c r="E939" s="34" t="inlineStr">
        <is>
          <t>Maintenance shop: wheel-lathe installation - installation</t>
        </is>
      </c>
      <c r="F939" s="34" t="inlineStr">
        <is>
          <t>ONE_TO_ONE</t>
        </is>
      </c>
      <c r="G939" s="34" t="inlineStr">
        <is>
          <t>APPROVED</t>
        </is>
      </c>
      <c r="H939" s="34" t="inlineStr">
        <is>
          <t>New</t>
        </is>
      </c>
      <c r="I939" s="34" t="inlineStr">
        <is>
          <t>Source assignment -- not individually reviewed</t>
        </is>
      </c>
      <c r="J939" s="39" t="inlineStr"/>
      <c r="K939" s="34" t="inlineStr">
        <is>
          <t>Source assignment</t>
        </is>
      </c>
      <c r="L939" s="39" t="inlineStr"/>
      <c r="M939" s="34" t="inlineStr">
        <is>
          <t>Initial</t>
        </is>
      </c>
      <c r="N939" s="34" t="inlineStr">
        <is>
          <t>Rev 0</t>
        </is>
      </c>
      <c r="O939" s="34" t="inlineStr">
        <is>
          <t>R718-v1</t>
        </is>
      </c>
      <c r="P939" s="39" t="inlineStr"/>
      <c r="Q939" s="14" t="inlineStr"/>
      <c r="R939" s="39" t="inlineStr"/>
      <c r="S939" s="39" t="inlineStr"/>
      <c r="T939" s="39" t="inlineStr"/>
      <c r="U939" s="39" t="inlineStr"/>
      <c r="V939" s="34" t="inlineStr">
        <is>
          <t>WBS Code = 1.4.1</t>
        </is>
      </c>
      <c r="W939" s="14" t="inlineStr"/>
    </row>
    <row r="940" ht="49" customHeight="1">
      <c r="A940" s="34" t="inlineStr">
        <is>
          <t>1.4.1</t>
        </is>
      </c>
      <c r="B940" s="34" t="inlineStr">
        <is>
          <t>Vehicles and Depot - Fleet Supply</t>
        </is>
      </c>
      <c r="C940" s="34" t="inlineStr">
        <is>
          <t>Contractor Programme</t>
        </is>
      </c>
      <c r="D940" s="34" t="inlineStr">
        <is>
          <t>SCH-04-179</t>
        </is>
      </c>
      <c r="E940" s="34" t="inlineStr">
        <is>
          <t>Storage yard: fleet software load - inspection</t>
        </is>
      </c>
      <c r="F940" s="34" t="inlineStr">
        <is>
          <t>ONE_TO_ONE</t>
        </is>
      </c>
      <c r="G940" s="34" t="inlineStr">
        <is>
          <t>APPROVED</t>
        </is>
      </c>
      <c r="H940" s="34" t="inlineStr">
        <is>
          <t>New</t>
        </is>
      </c>
      <c r="I940" s="34" t="inlineStr">
        <is>
          <t>Source assignment -- not individually reviewed</t>
        </is>
      </c>
      <c r="J940" s="39" t="inlineStr"/>
      <c r="K940" s="34" t="inlineStr">
        <is>
          <t>Source assignment</t>
        </is>
      </c>
      <c r="L940" s="39" t="inlineStr"/>
      <c r="M940" s="34" t="inlineStr">
        <is>
          <t>Initial</t>
        </is>
      </c>
      <c r="N940" s="34" t="inlineStr">
        <is>
          <t>Rev 0</t>
        </is>
      </c>
      <c r="O940" s="34" t="inlineStr">
        <is>
          <t>R719-v1</t>
        </is>
      </c>
      <c r="P940" s="39" t="inlineStr"/>
      <c r="Q940" s="14" t="inlineStr"/>
      <c r="R940" s="39" t="inlineStr"/>
      <c r="S940" s="39" t="inlineStr"/>
      <c r="T940" s="39" t="inlineStr"/>
      <c r="U940" s="39" t="inlineStr"/>
      <c r="V940" s="34" t="inlineStr">
        <is>
          <t>WBS Code = 1.4.1</t>
        </is>
      </c>
      <c r="W940" s="14" t="inlineStr"/>
    </row>
    <row r="941" ht="49" customHeight="1">
      <c r="A941" s="34" t="inlineStr">
        <is>
          <t>1.4.1</t>
        </is>
      </c>
      <c r="B941" s="34" t="inlineStr">
        <is>
          <t>Vehicles and Depot - Fleet Supply</t>
        </is>
      </c>
      <c r="C941" s="34" t="inlineStr">
        <is>
          <t>Cost &amp; Forecast Control Accounts</t>
        </is>
      </c>
      <c r="D941" s="34" t="inlineStr">
        <is>
          <t>CST-04-001</t>
        </is>
      </c>
      <c r="E941" s="34" t="inlineStr">
        <is>
          <t>Vehicles and Depot - fleet supply - field package</t>
        </is>
      </c>
      <c r="F941" s="34" t="inlineStr">
        <is>
          <t>ONE_TO_ONE</t>
        </is>
      </c>
      <c r="G941" s="34" t="inlineStr">
        <is>
          <t>APPROVED</t>
        </is>
      </c>
      <c r="H941" s="34" t="inlineStr">
        <is>
          <t>New</t>
        </is>
      </c>
      <c r="I941" s="34" t="inlineStr">
        <is>
          <t>Source assignment -- not individually reviewed</t>
        </is>
      </c>
      <c r="J941" s="39" t="inlineStr"/>
      <c r="K941" s="34" t="inlineStr">
        <is>
          <t>Source assignment</t>
        </is>
      </c>
      <c r="L941" s="39" t="inlineStr"/>
      <c r="M941" s="34" t="inlineStr">
        <is>
          <t>Initial</t>
        </is>
      </c>
      <c r="N941" s="34" t="inlineStr">
        <is>
          <t>Rev 0</t>
        </is>
      </c>
      <c r="O941" s="34" t="inlineStr">
        <is>
          <t>R1323-v1</t>
        </is>
      </c>
      <c r="P941" s="39" t="inlineStr"/>
      <c r="Q941" s="14" t="inlineStr"/>
      <c r="R941" s="39" t="inlineStr"/>
      <c r="S941" s="39" t="inlineStr"/>
      <c r="T941" s="39" t="inlineStr"/>
      <c r="U941" s="39" t="inlineStr"/>
      <c r="V941" s="34" t="inlineStr">
        <is>
          <t>Cost Account = CA-4001; WBS Code = 1.4.1</t>
        </is>
      </c>
      <c r="W941" s="14" t="inlineStr"/>
    </row>
    <row r="942" ht="49" customHeight="1">
      <c r="A942" s="34" t="inlineStr">
        <is>
          <t>1.4.1</t>
        </is>
      </c>
      <c r="B942" s="34" t="inlineStr">
        <is>
          <t>Vehicles and Depot - Fleet Supply</t>
        </is>
      </c>
      <c r="C942" s="34" t="inlineStr">
        <is>
          <t>Cost &amp; Forecast Control Accounts</t>
        </is>
      </c>
      <c r="D942" s="34" t="inlineStr">
        <is>
          <t>CST-04-003</t>
        </is>
      </c>
      <c r="E942" s="34" t="inlineStr">
        <is>
          <t>Vehicles and Depot - spares - professional services</t>
        </is>
      </c>
      <c r="F942" s="34" t="inlineStr">
        <is>
          <t>ONE_TO_ONE</t>
        </is>
      </c>
      <c r="G942" s="34" t="inlineStr">
        <is>
          <t>APPROVED</t>
        </is>
      </c>
      <c r="H942" s="34" t="inlineStr">
        <is>
          <t>New</t>
        </is>
      </c>
      <c r="I942" s="34" t="inlineStr">
        <is>
          <t>Source assignment -- not individually reviewed</t>
        </is>
      </c>
      <c r="J942" s="39" t="inlineStr"/>
      <c r="K942" s="34" t="inlineStr">
        <is>
          <t>Source assignment</t>
        </is>
      </c>
      <c r="L942" s="39" t="inlineStr"/>
      <c r="M942" s="34" t="inlineStr">
        <is>
          <t>Initial</t>
        </is>
      </c>
      <c r="N942" s="34" t="inlineStr">
        <is>
          <t>Rev 0</t>
        </is>
      </c>
      <c r="O942" s="34" t="inlineStr">
        <is>
          <t>R1325-v1</t>
        </is>
      </c>
      <c r="P942" s="39" t="inlineStr"/>
      <c r="Q942" s="14" t="inlineStr"/>
      <c r="R942" s="39" t="inlineStr"/>
      <c r="S942" s="39" t="inlineStr"/>
      <c r="T942" s="39" t="inlineStr"/>
      <c r="U942" s="39" t="inlineStr"/>
      <c r="V942" s="34" t="inlineStr">
        <is>
          <t>Cost Account = CA-4003; WBS Code = 1.4.1</t>
        </is>
      </c>
      <c r="W942" s="14" t="inlineStr"/>
    </row>
    <row r="943" ht="49" customHeight="1">
      <c r="A943" s="34" t="inlineStr">
        <is>
          <t>1.4.1</t>
        </is>
      </c>
      <c r="B943" s="34" t="inlineStr">
        <is>
          <t>Vehicles and Depot - Fleet Supply</t>
        </is>
      </c>
      <c r="C943" s="34" t="inlineStr">
        <is>
          <t>Cost &amp; Forecast Control Accounts</t>
        </is>
      </c>
      <c r="D943" s="34" t="inlineStr">
        <is>
          <t>CST-04-005</t>
        </is>
      </c>
      <c r="E943" s="34" t="inlineStr">
        <is>
          <t>Vehicles and Depot - workshop equipment - closeout</t>
        </is>
      </c>
      <c r="F943" s="34" t="inlineStr">
        <is>
          <t>ONE_TO_ONE</t>
        </is>
      </c>
      <c r="G943" s="34" t="inlineStr">
        <is>
          <t>APPROVED</t>
        </is>
      </c>
      <c r="H943" s="34" t="inlineStr">
        <is>
          <t>New</t>
        </is>
      </c>
      <c r="I943" s="34" t="inlineStr">
        <is>
          <t>Source assignment -- not individually reviewed</t>
        </is>
      </c>
      <c r="J943" s="39" t="inlineStr"/>
      <c r="K943" s="34" t="inlineStr">
        <is>
          <t>Source assignment</t>
        </is>
      </c>
      <c r="L943" s="39" t="inlineStr"/>
      <c r="M943" s="34" t="inlineStr">
        <is>
          <t>Initial</t>
        </is>
      </c>
      <c r="N943" s="34" t="inlineStr">
        <is>
          <t>Rev 0</t>
        </is>
      </c>
      <c r="O943" s="34" t="inlineStr">
        <is>
          <t>R1327-v1</t>
        </is>
      </c>
      <c r="P943" s="39" t="inlineStr"/>
      <c r="Q943" s="14" t="inlineStr"/>
      <c r="R943" s="39" t="inlineStr"/>
      <c r="S943" s="39" t="inlineStr"/>
      <c r="T943" s="39" t="inlineStr"/>
      <c r="U943" s="39" t="inlineStr"/>
      <c r="V943" s="34" t="inlineStr">
        <is>
          <t>Cost Account = CA-4005; WBS Code = 1.4.1</t>
        </is>
      </c>
      <c r="W943" s="14" t="inlineStr"/>
    </row>
    <row r="944" ht="49" customHeight="1">
      <c r="A944" s="34" t="inlineStr">
        <is>
          <t>1.4.1</t>
        </is>
      </c>
      <c r="B944" s="34" t="inlineStr">
        <is>
          <t>Vehicles and Depot - Fleet Supply</t>
        </is>
      </c>
      <c r="C944" s="34" t="inlineStr">
        <is>
          <t>Cost &amp; Forecast Control Accounts</t>
        </is>
      </c>
      <c r="D944" s="34" t="inlineStr">
        <is>
          <t>CST-04-007</t>
        </is>
      </c>
      <c r="E944" s="34" t="inlineStr">
        <is>
          <t>Vehicles and Depot - fleet supply - supply and install</t>
        </is>
      </c>
      <c r="F944" s="34" t="inlineStr">
        <is>
          <t>ONE_TO_ONE</t>
        </is>
      </c>
      <c r="G944" s="34" t="inlineStr">
        <is>
          <t>APPROVED</t>
        </is>
      </c>
      <c r="H944" s="34" t="inlineStr">
        <is>
          <t>New</t>
        </is>
      </c>
      <c r="I944" s="34" t="inlineStr">
        <is>
          <t>Source assignment -- not individually reviewed</t>
        </is>
      </c>
      <c r="J944" s="39" t="inlineStr"/>
      <c r="K944" s="34" t="inlineStr">
        <is>
          <t>Source assignment</t>
        </is>
      </c>
      <c r="L944" s="39" t="inlineStr"/>
      <c r="M944" s="34" t="inlineStr">
        <is>
          <t>Initial</t>
        </is>
      </c>
      <c r="N944" s="34" t="inlineStr">
        <is>
          <t>Rev 0</t>
        </is>
      </c>
      <c r="O944" s="34" t="inlineStr">
        <is>
          <t>R1329-v1</t>
        </is>
      </c>
      <c r="P944" s="39" t="inlineStr"/>
      <c r="Q944" s="14" t="inlineStr"/>
      <c r="R944" s="39" t="inlineStr"/>
      <c r="S944" s="39" t="inlineStr"/>
      <c r="T944" s="39" t="inlineStr"/>
      <c r="U944" s="39" t="inlineStr"/>
      <c r="V944" s="34" t="inlineStr">
        <is>
          <t>Cost Account = CA-4007; WBS Code = 1.4.1</t>
        </is>
      </c>
      <c r="W944" s="14" t="inlineStr"/>
    </row>
    <row r="945" ht="49" customHeight="1">
      <c r="A945" s="34" t="inlineStr">
        <is>
          <t>1.4.1</t>
        </is>
      </c>
      <c r="B945" s="34" t="inlineStr">
        <is>
          <t>Vehicles and Depot - Fleet Supply</t>
        </is>
      </c>
      <c r="C945" s="34" t="inlineStr">
        <is>
          <t>Cost &amp; Forecast Control Accounts</t>
        </is>
      </c>
      <c r="D945" s="34" t="inlineStr">
        <is>
          <t>CST-04-009</t>
        </is>
      </c>
      <c r="E945" s="34" t="inlineStr">
        <is>
          <t>Vehicles and Depot - spares - allowance</t>
        </is>
      </c>
      <c r="F945" s="34" t="inlineStr">
        <is>
          <t>ONE_TO_ONE</t>
        </is>
      </c>
      <c r="G945" s="34" t="inlineStr">
        <is>
          <t>APPROVED</t>
        </is>
      </c>
      <c r="H945" s="34" t="inlineStr">
        <is>
          <t>New</t>
        </is>
      </c>
      <c r="I945" s="34" t="inlineStr">
        <is>
          <t>Source assignment -- not individually reviewed</t>
        </is>
      </c>
      <c r="J945" s="39" t="inlineStr"/>
      <c r="K945" s="34" t="inlineStr">
        <is>
          <t>Source assignment</t>
        </is>
      </c>
      <c r="L945" s="39" t="inlineStr"/>
      <c r="M945" s="34" t="inlineStr">
        <is>
          <t>Initial</t>
        </is>
      </c>
      <c r="N945" s="34" t="inlineStr">
        <is>
          <t>Rev 0</t>
        </is>
      </c>
      <c r="O945" s="34" t="inlineStr">
        <is>
          <t>R1331-v1</t>
        </is>
      </c>
      <c r="P945" s="39" t="inlineStr"/>
      <c r="Q945" s="14" t="inlineStr"/>
      <c r="R945" s="39" t="inlineStr"/>
      <c r="S945" s="39" t="inlineStr"/>
      <c r="T945" s="39" t="inlineStr"/>
      <c r="U945" s="39" t="inlineStr"/>
      <c r="V945" s="34" t="inlineStr">
        <is>
          <t>Cost Account = CA-4009; WBS Code = 1.4.1</t>
        </is>
      </c>
      <c r="W945" s="14" t="inlineStr"/>
    </row>
    <row r="946" ht="49" customHeight="1">
      <c r="A946" s="34" t="inlineStr">
        <is>
          <t>1.4.1</t>
        </is>
      </c>
      <c r="B946" s="34" t="inlineStr">
        <is>
          <t>Vehicles and Depot - Fleet Supply</t>
        </is>
      </c>
      <c r="C946" s="34" t="inlineStr">
        <is>
          <t>Cost &amp; Forecast Control Accounts</t>
        </is>
      </c>
      <c r="D946" s="34" t="inlineStr">
        <is>
          <t>CST-04-011</t>
        </is>
      </c>
      <c r="E946" s="34" t="inlineStr">
        <is>
          <t>Vehicles and Depot - workshop equipment - field package</t>
        </is>
      </c>
      <c r="F946" s="34" t="inlineStr">
        <is>
          <t>ONE_TO_ONE</t>
        </is>
      </c>
      <c r="G946" s="34" t="inlineStr">
        <is>
          <t>APPROVED</t>
        </is>
      </c>
      <c r="H946" s="34" t="inlineStr">
        <is>
          <t>New</t>
        </is>
      </c>
      <c r="I946" s="34" t="inlineStr">
        <is>
          <t>Source assignment -- not individually reviewed</t>
        </is>
      </c>
      <c r="J946" s="39" t="inlineStr"/>
      <c r="K946" s="34" t="inlineStr">
        <is>
          <t>Source assignment</t>
        </is>
      </c>
      <c r="L946" s="39" t="inlineStr"/>
      <c r="M946" s="34" t="inlineStr">
        <is>
          <t>Initial</t>
        </is>
      </c>
      <c r="N946" s="34" t="inlineStr">
        <is>
          <t>Rev 0</t>
        </is>
      </c>
      <c r="O946" s="34" t="inlineStr">
        <is>
          <t>R1333-v1</t>
        </is>
      </c>
      <c r="P946" s="39" t="inlineStr"/>
      <c r="Q946" s="14" t="inlineStr"/>
      <c r="R946" s="39" t="inlineStr"/>
      <c r="S946" s="39" t="inlineStr"/>
      <c r="T946" s="39" t="inlineStr"/>
      <c r="U946" s="39" t="inlineStr"/>
      <c r="V946" s="34" t="inlineStr">
        <is>
          <t>Cost Account = CA-4011; WBS Code = 1.4.1</t>
        </is>
      </c>
      <c r="W946" s="14" t="inlineStr"/>
    </row>
    <row r="947" ht="49" customHeight="1">
      <c r="A947" s="34" t="inlineStr">
        <is>
          <t>1.4.1</t>
        </is>
      </c>
      <c r="B947" s="34" t="inlineStr">
        <is>
          <t>Vehicles and Depot - Fleet Supply</t>
        </is>
      </c>
      <c r="C947" s="34" t="inlineStr">
        <is>
          <t>Cost &amp; Forecast Control Accounts</t>
        </is>
      </c>
      <c r="D947" s="34" t="inlineStr">
        <is>
          <t>CST-04-013</t>
        </is>
      </c>
      <c r="E947" s="34" t="inlineStr">
        <is>
          <t>Vehicles and Depot - fleet supply - professional services</t>
        </is>
      </c>
      <c r="F947" s="34" t="inlineStr">
        <is>
          <t>ONE_TO_ONE</t>
        </is>
      </c>
      <c r="G947" s="34" t="inlineStr">
        <is>
          <t>APPROVED</t>
        </is>
      </c>
      <c r="H947" s="34" t="inlineStr">
        <is>
          <t>New</t>
        </is>
      </c>
      <c r="I947" s="34" t="inlineStr">
        <is>
          <t>Source assignment -- not individually reviewed</t>
        </is>
      </c>
      <c r="J947" s="39" t="inlineStr"/>
      <c r="K947" s="34" t="inlineStr">
        <is>
          <t>Source assignment</t>
        </is>
      </c>
      <c r="L947" s="39" t="inlineStr"/>
      <c r="M947" s="34" t="inlineStr">
        <is>
          <t>Initial</t>
        </is>
      </c>
      <c r="N947" s="34" t="inlineStr">
        <is>
          <t>Rev 0</t>
        </is>
      </c>
      <c r="O947" s="34" t="inlineStr">
        <is>
          <t>R1335-v1</t>
        </is>
      </c>
      <c r="P947" s="39" t="inlineStr"/>
      <c r="Q947" s="14" t="inlineStr"/>
      <c r="R947" s="39" t="inlineStr"/>
      <c r="S947" s="39" t="inlineStr"/>
      <c r="T947" s="39" t="inlineStr"/>
      <c r="U947" s="39" t="inlineStr"/>
      <c r="V947" s="34" t="inlineStr">
        <is>
          <t>Cost Account = CA-4013; WBS Code = 1.4.1</t>
        </is>
      </c>
      <c r="W947" s="14" t="inlineStr"/>
    </row>
    <row r="948" ht="49" customHeight="1">
      <c r="A948" s="34" t="inlineStr">
        <is>
          <t>1.4.1</t>
        </is>
      </c>
      <c r="B948" s="34" t="inlineStr">
        <is>
          <t>Vehicles and Depot - Fleet Supply</t>
        </is>
      </c>
      <c r="C948" s="34" t="inlineStr">
        <is>
          <t>Cost &amp; Forecast Control Accounts</t>
        </is>
      </c>
      <c r="D948" s="34" t="inlineStr">
        <is>
          <t>CST-04-015</t>
        </is>
      </c>
      <c r="E948" s="34" t="inlineStr">
        <is>
          <t>Vehicles and Depot - spares - closeout</t>
        </is>
      </c>
      <c r="F948" s="34" t="inlineStr">
        <is>
          <t>ONE_TO_ONE</t>
        </is>
      </c>
      <c r="G948" s="34" t="inlineStr">
        <is>
          <t>APPROVED</t>
        </is>
      </c>
      <c r="H948" s="34" t="inlineStr">
        <is>
          <t>New</t>
        </is>
      </c>
      <c r="I948" s="34" t="inlineStr">
        <is>
          <t>Source assignment -- not individually reviewed</t>
        </is>
      </c>
      <c r="J948" s="39" t="inlineStr"/>
      <c r="K948" s="34" t="inlineStr">
        <is>
          <t>Source assignment</t>
        </is>
      </c>
      <c r="L948" s="39" t="inlineStr"/>
      <c r="M948" s="34" t="inlineStr">
        <is>
          <t>Initial</t>
        </is>
      </c>
      <c r="N948" s="34" t="inlineStr">
        <is>
          <t>Rev 0</t>
        </is>
      </c>
      <c r="O948" s="34" t="inlineStr">
        <is>
          <t>R1337-v1</t>
        </is>
      </c>
      <c r="P948" s="39" t="inlineStr"/>
      <c r="Q948" s="14" t="inlineStr"/>
      <c r="R948" s="39" t="inlineStr"/>
      <c r="S948" s="39" t="inlineStr"/>
      <c r="T948" s="39" t="inlineStr"/>
      <c r="U948" s="39" t="inlineStr"/>
      <c r="V948" s="34" t="inlineStr">
        <is>
          <t>Cost Account = CA-4015; WBS Code = 1.4.1</t>
        </is>
      </c>
      <c r="W948" s="14" t="inlineStr"/>
    </row>
    <row r="949" ht="49" customHeight="1">
      <c r="A949" s="34" t="inlineStr">
        <is>
          <t>1.4.1</t>
        </is>
      </c>
      <c r="B949" s="34" t="inlineStr">
        <is>
          <t>Vehicles and Depot - Fleet Supply</t>
        </is>
      </c>
      <c r="C949" s="34" t="inlineStr">
        <is>
          <t>Cost &amp; Forecast Control Accounts</t>
        </is>
      </c>
      <c r="D949" s="34" t="inlineStr">
        <is>
          <t>CST-04-017</t>
        </is>
      </c>
      <c r="E949" s="34" t="inlineStr">
        <is>
          <t>Vehicles and Depot - workshop equipment - supply and install</t>
        </is>
      </c>
      <c r="F949" s="34" t="inlineStr">
        <is>
          <t>ONE_TO_ONE</t>
        </is>
      </c>
      <c r="G949" s="34" t="inlineStr">
        <is>
          <t>APPROVED</t>
        </is>
      </c>
      <c r="H949" s="34" t="inlineStr">
        <is>
          <t>New</t>
        </is>
      </c>
      <c r="I949" s="34" t="inlineStr">
        <is>
          <t>Source assignment -- not individually reviewed</t>
        </is>
      </c>
      <c r="J949" s="39" t="inlineStr"/>
      <c r="K949" s="34" t="inlineStr">
        <is>
          <t>Source assignment</t>
        </is>
      </c>
      <c r="L949" s="39" t="inlineStr"/>
      <c r="M949" s="34" t="inlineStr">
        <is>
          <t>Initial</t>
        </is>
      </c>
      <c r="N949" s="34" t="inlineStr">
        <is>
          <t>Rev 0</t>
        </is>
      </c>
      <c r="O949" s="34" t="inlineStr">
        <is>
          <t>R1339-v1</t>
        </is>
      </c>
      <c r="P949" s="39" t="inlineStr"/>
      <c r="Q949" s="14" t="inlineStr"/>
      <c r="R949" s="39" t="inlineStr"/>
      <c r="S949" s="39" t="inlineStr"/>
      <c r="T949" s="39" t="inlineStr"/>
      <c r="U949" s="39" t="inlineStr"/>
      <c r="V949" s="34" t="inlineStr">
        <is>
          <t>Cost Account = CA-4017; WBS Code = 1.4.1</t>
        </is>
      </c>
      <c r="W949" s="14" t="inlineStr"/>
    </row>
    <row r="950" ht="49" customHeight="1">
      <c r="A950" s="34" t="inlineStr">
        <is>
          <t>1.4.1</t>
        </is>
      </c>
      <c r="B950" s="34" t="inlineStr">
        <is>
          <t>Vehicles and Depot - Fleet Supply</t>
        </is>
      </c>
      <c r="C950" s="34" t="inlineStr">
        <is>
          <t>Cost &amp; Forecast Control Accounts</t>
        </is>
      </c>
      <c r="D950" s="34" t="inlineStr">
        <is>
          <t>CST-04-019</t>
        </is>
      </c>
      <c r="E950" s="34" t="inlineStr">
        <is>
          <t>Vehicles and Depot - fleet supply - allowance</t>
        </is>
      </c>
      <c r="F950" s="34" t="inlineStr">
        <is>
          <t>ONE_TO_ONE</t>
        </is>
      </c>
      <c r="G950" s="34" t="inlineStr">
        <is>
          <t>APPROVED</t>
        </is>
      </c>
      <c r="H950" s="34" t="inlineStr">
        <is>
          <t>New</t>
        </is>
      </c>
      <c r="I950" s="34" t="inlineStr">
        <is>
          <t>Source assignment -- not individually reviewed</t>
        </is>
      </c>
      <c r="J950" s="39" t="inlineStr"/>
      <c r="K950" s="34" t="inlineStr">
        <is>
          <t>Source assignment</t>
        </is>
      </c>
      <c r="L950" s="39" t="inlineStr"/>
      <c r="M950" s="34" t="inlineStr">
        <is>
          <t>Initial</t>
        </is>
      </c>
      <c r="N950" s="34" t="inlineStr">
        <is>
          <t>Rev 0</t>
        </is>
      </c>
      <c r="O950" s="34" t="inlineStr">
        <is>
          <t>R1341-v1</t>
        </is>
      </c>
      <c r="P950" s="39" t="inlineStr"/>
      <c r="Q950" s="14" t="inlineStr"/>
      <c r="R950" s="39" t="inlineStr"/>
      <c r="S950" s="39" t="inlineStr"/>
      <c r="T950" s="39" t="inlineStr"/>
      <c r="U950" s="39" t="inlineStr"/>
      <c r="V950" s="34" t="inlineStr">
        <is>
          <t>Cost Account = CA-4019; WBS Code = 1.4.1</t>
        </is>
      </c>
      <c r="W950" s="14" t="inlineStr"/>
    </row>
    <row r="951" ht="49" customHeight="1">
      <c r="A951" s="34" t="inlineStr">
        <is>
          <t>1.4.1</t>
        </is>
      </c>
      <c r="B951" s="34" t="inlineStr">
        <is>
          <t>Vehicles and Depot - Fleet Supply</t>
        </is>
      </c>
      <c r="C951" s="34" t="inlineStr">
        <is>
          <t>Cost &amp; Forecast Control Accounts</t>
        </is>
      </c>
      <c r="D951" s="34" t="inlineStr">
        <is>
          <t>CST-04-021</t>
        </is>
      </c>
      <c r="E951" s="34" t="inlineStr">
        <is>
          <t>Vehicles and Depot - spares - field package</t>
        </is>
      </c>
      <c r="F951" s="34" t="inlineStr">
        <is>
          <t>ONE_TO_ONE</t>
        </is>
      </c>
      <c r="G951" s="34" t="inlineStr">
        <is>
          <t>APPROVED</t>
        </is>
      </c>
      <c r="H951" s="34" t="inlineStr">
        <is>
          <t>New</t>
        </is>
      </c>
      <c r="I951" s="34" t="inlineStr">
        <is>
          <t>Source assignment -- not individually reviewed</t>
        </is>
      </c>
      <c r="J951" s="39" t="inlineStr"/>
      <c r="K951" s="34" t="inlineStr">
        <is>
          <t>Source assignment</t>
        </is>
      </c>
      <c r="L951" s="39" t="inlineStr"/>
      <c r="M951" s="34" t="inlineStr">
        <is>
          <t>Initial</t>
        </is>
      </c>
      <c r="N951" s="34" t="inlineStr">
        <is>
          <t>Rev 0</t>
        </is>
      </c>
      <c r="O951" s="34" t="inlineStr">
        <is>
          <t>R1343-v1</t>
        </is>
      </c>
      <c r="P951" s="39" t="inlineStr"/>
      <c r="Q951" s="14" t="inlineStr"/>
      <c r="R951" s="39" t="inlineStr"/>
      <c r="S951" s="39" t="inlineStr"/>
      <c r="T951" s="39" t="inlineStr"/>
      <c r="U951" s="39" t="inlineStr"/>
      <c r="V951" s="34" t="inlineStr">
        <is>
          <t>Cost Account = CA-4021; WBS Code = 1.4.1</t>
        </is>
      </c>
      <c r="W951" s="14" t="inlineStr"/>
    </row>
    <row r="952" ht="49" customHeight="1">
      <c r="A952" s="34" t="inlineStr">
        <is>
          <t>1.4.1</t>
        </is>
      </c>
      <c r="B952" s="34" t="inlineStr">
        <is>
          <t>Vehicles and Depot - Fleet Supply</t>
        </is>
      </c>
      <c r="C952" s="34" t="inlineStr">
        <is>
          <t>Cost &amp; Forecast Control Accounts</t>
        </is>
      </c>
      <c r="D952" s="34" t="inlineStr">
        <is>
          <t>CST-04-023</t>
        </is>
      </c>
      <c r="E952" s="34" t="inlineStr">
        <is>
          <t>Vehicles and Depot - workshop equipment - professional services</t>
        </is>
      </c>
      <c r="F952" s="34" t="inlineStr">
        <is>
          <t>ONE_TO_ONE</t>
        </is>
      </c>
      <c r="G952" s="34" t="inlineStr">
        <is>
          <t>APPROVED</t>
        </is>
      </c>
      <c r="H952" s="34" t="inlineStr">
        <is>
          <t>New</t>
        </is>
      </c>
      <c r="I952" s="34" t="inlineStr">
        <is>
          <t>Source assignment -- not individually reviewed</t>
        </is>
      </c>
      <c r="J952" s="39" t="inlineStr"/>
      <c r="K952" s="34" t="inlineStr">
        <is>
          <t>Source assignment</t>
        </is>
      </c>
      <c r="L952" s="39" t="inlineStr"/>
      <c r="M952" s="34" t="inlineStr">
        <is>
          <t>Initial</t>
        </is>
      </c>
      <c r="N952" s="34" t="inlineStr">
        <is>
          <t>Rev 0</t>
        </is>
      </c>
      <c r="O952" s="34" t="inlineStr">
        <is>
          <t>R1345-v1</t>
        </is>
      </c>
      <c r="P952" s="39" t="inlineStr"/>
      <c r="Q952" s="14" t="inlineStr"/>
      <c r="R952" s="39" t="inlineStr"/>
      <c r="S952" s="39" t="inlineStr"/>
      <c r="T952" s="39" t="inlineStr"/>
      <c r="U952" s="39" t="inlineStr"/>
      <c r="V952" s="34" t="inlineStr">
        <is>
          <t>Cost Account = CA-4023; WBS Code = 1.4.1</t>
        </is>
      </c>
      <c r="W952" s="14" t="inlineStr"/>
    </row>
    <row r="953" ht="49" customHeight="1">
      <c r="A953" s="34" t="inlineStr">
        <is>
          <t>1.4.1</t>
        </is>
      </c>
      <c r="B953" s="34" t="inlineStr">
        <is>
          <t>Vehicles and Depot - Fleet Supply</t>
        </is>
      </c>
      <c r="C953" s="34" t="inlineStr">
        <is>
          <t>Cost &amp; Forecast Control Accounts</t>
        </is>
      </c>
      <c r="D953" s="34" t="inlineStr">
        <is>
          <t>CST-04-025</t>
        </is>
      </c>
      <c r="E953" s="34" t="inlineStr">
        <is>
          <t>Vehicles and Depot - fleet supply - closeout</t>
        </is>
      </c>
      <c r="F953" s="34" t="inlineStr">
        <is>
          <t>ONE_TO_ONE</t>
        </is>
      </c>
      <c r="G953" s="34" t="inlineStr">
        <is>
          <t>APPROVED</t>
        </is>
      </c>
      <c r="H953" s="34" t="inlineStr">
        <is>
          <t>New</t>
        </is>
      </c>
      <c r="I953" s="34" t="inlineStr">
        <is>
          <t>Source assignment -- not individually reviewed</t>
        </is>
      </c>
      <c r="J953" s="39" t="inlineStr"/>
      <c r="K953" s="34" t="inlineStr">
        <is>
          <t>Source assignment</t>
        </is>
      </c>
      <c r="L953" s="39" t="inlineStr"/>
      <c r="M953" s="34" t="inlineStr">
        <is>
          <t>Initial</t>
        </is>
      </c>
      <c r="N953" s="34" t="inlineStr">
        <is>
          <t>Rev 0</t>
        </is>
      </c>
      <c r="O953" s="34" t="inlineStr">
        <is>
          <t>R1347-v1</t>
        </is>
      </c>
      <c r="P953" s="39" t="inlineStr"/>
      <c r="Q953" s="14" t="inlineStr"/>
      <c r="R953" s="39" t="inlineStr"/>
      <c r="S953" s="39" t="inlineStr"/>
      <c r="T953" s="39" t="inlineStr"/>
      <c r="U953" s="39" t="inlineStr"/>
      <c r="V953" s="34" t="inlineStr">
        <is>
          <t>Cost Account = CA-4025; WBS Code = 1.4.1</t>
        </is>
      </c>
      <c r="W953" s="14" t="inlineStr"/>
    </row>
    <row r="954" ht="49" customHeight="1">
      <c r="A954" s="34" t="inlineStr">
        <is>
          <t>1.4.1</t>
        </is>
      </c>
      <c r="B954" s="34" t="inlineStr">
        <is>
          <t>Vehicles and Depot - Fleet Supply</t>
        </is>
      </c>
      <c r="C954" s="34" t="inlineStr">
        <is>
          <t>Cost &amp; Forecast Control Accounts</t>
        </is>
      </c>
      <c r="D954" s="34" t="inlineStr">
        <is>
          <t>CST-04-027</t>
        </is>
      </c>
      <c r="E954" s="34" t="inlineStr">
        <is>
          <t>Vehicles and Depot - spares - supply and install</t>
        </is>
      </c>
      <c r="F954" s="34" t="inlineStr">
        <is>
          <t>ONE_TO_ONE</t>
        </is>
      </c>
      <c r="G954" s="34" t="inlineStr">
        <is>
          <t>APPROVED</t>
        </is>
      </c>
      <c r="H954" s="34" t="inlineStr">
        <is>
          <t>New</t>
        </is>
      </c>
      <c r="I954" s="34" t="inlineStr">
        <is>
          <t>Source assignment -- not individually reviewed</t>
        </is>
      </c>
      <c r="J954" s="39" t="inlineStr"/>
      <c r="K954" s="34" t="inlineStr">
        <is>
          <t>Source assignment</t>
        </is>
      </c>
      <c r="L954" s="39" t="inlineStr"/>
      <c r="M954" s="34" t="inlineStr">
        <is>
          <t>Initial</t>
        </is>
      </c>
      <c r="N954" s="34" t="inlineStr">
        <is>
          <t>Rev 0</t>
        </is>
      </c>
      <c r="O954" s="34" t="inlineStr">
        <is>
          <t>R1349-v1</t>
        </is>
      </c>
      <c r="P954" s="39" t="inlineStr"/>
      <c r="Q954" s="14" t="inlineStr"/>
      <c r="R954" s="39" t="inlineStr"/>
      <c r="S954" s="39" t="inlineStr"/>
      <c r="T954" s="39" t="inlineStr"/>
      <c r="U954" s="39" t="inlineStr"/>
      <c r="V954" s="34" t="inlineStr">
        <is>
          <t>Cost Account = CA-4027; WBS Code = 1.4.1</t>
        </is>
      </c>
      <c r="W954" s="14" t="inlineStr"/>
    </row>
    <row r="955" ht="49" customHeight="1">
      <c r="A955" s="34" t="inlineStr">
        <is>
          <t>1.4.1</t>
        </is>
      </c>
      <c r="B955" s="34" t="inlineStr">
        <is>
          <t>Vehicles and Depot - Fleet Supply</t>
        </is>
      </c>
      <c r="C955" s="34" t="inlineStr">
        <is>
          <t>Cost &amp; Forecast Control Accounts</t>
        </is>
      </c>
      <c r="D955" s="34" t="inlineStr">
        <is>
          <t>CST-04-029</t>
        </is>
      </c>
      <c r="E955" s="34" t="inlineStr">
        <is>
          <t>Vehicles and Depot - workshop equipment - allowance</t>
        </is>
      </c>
      <c r="F955" s="34" t="inlineStr">
        <is>
          <t>ONE_TO_ONE</t>
        </is>
      </c>
      <c r="G955" s="34" t="inlineStr">
        <is>
          <t>APPROVED</t>
        </is>
      </c>
      <c r="H955" s="34" t="inlineStr">
        <is>
          <t>New</t>
        </is>
      </c>
      <c r="I955" s="34" t="inlineStr">
        <is>
          <t>Source assignment -- not individually reviewed</t>
        </is>
      </c>
      <c r="J955" s="39" t="inlineStr"/>
      <c r="K955" s="34" t="inlineStr">
        <is>
          <t>Source assignment</t>
        </is>
      </c>
      <c r="L955" s="39" t="inlineStr"/>
      <c r="M955" s="34" t="inlineStr">
        <is>
          <t>Initial</t>
        </is>
      </c>
      <c r="N955" s="34" t="inlineStr">
        <is>
          <t>Rev 0</t>
        </is>
      </c>
      <c r="O955" s="34" t="inlineStr">
        <is>
          <t>R1351-v1</t>
        </is>
      </c>
      <c r="P955" s="39" t="inlineStr"/>
      <c r="Q955" s="14" t="inlineStr"/>
      <c r="R955" s="39" t="inlineStr"/>
      <c r="S955" s="39" t="inlineStr"/>
      <c r="T955" s="39" t="inlineStr"/>
      <c r="U955" s="39" t="inlineStr"/>
      <c r="V955" s="34" t="inlineStr">
        <is>
          <t>Cost Account = CA-4029; WBS Code = 1.4.1</t>
        </is>
      </c>
      <c r="W955" s="14" t="inlineStr"/>
    </row>
    <row r="956" ht="49" customHeight="1">
      <c r="A956" s="34" t="inlineStr">
        <is>
          <t>1.4.1</t>
        </is>
      </c>
      <c r="B956" s="34" t="inlineStr">
        <is>
          <t>Vehicles and Depot - Fleet Supply</t>
        </is>
      </c>
      <c r="C956" s="34" t="inlineStr">
        <is>
          <t>Cost &amp; Forecast Control Accounts</t>
        </is>
      </c>
      <c r="D956" s="34" t="inlineStr">
        <is>
          <t>CST-04-031</t>
        </is>
      </c>
      <c r="E956" s="34" t="inlineStr">
        <is>
          <t>Vehicles and Depot - fleet supply - field package</t>
        </is>
      </c>
      <c r="F956" s="34" t="inlineStr">
        <is>
          <t>ONE_TO_ONE</t>
        </is>
      </c>
      <c r="G956" s="34" t="inlineStr">
        <is>
          <t>APPROVED</t>
        </is>
      </c>
      <c r="H956" s="34" t="inlineStr">
        <is>
          <t>New</t>
        </is>
      </c>
      <c r="I956" s="34" t="inlineStr">
        <is>
          <t>Source assignment -- not individually reviewed</t>
        </is>
      </c>
      <c r="J956" s="39" t="inlineStr"/>
      <c r="K956" s="34" t="inlineStr">
        <is>
          <t>Source assignment</t>
        </is>
      </c>
      <c r="L956" s="39" t="inlineStr"/>
      <c r="M956" s="34" t="inlineStr">
        <is>
          <t>Initial</t>
        </is>
      </c>
      <c r="N956" s="34" t="inlineStr">
        <is>
          <t>Rev 0</t>
        </is>
      </c>
      <c r="O956" s="34" t="inlineStr">
        <is>
          <t>R1353-v1</t>
        </is>
      </c>
      <c r="P956" s="39" t="inlineStr"/>
      <c r="Q956" s="14" t="inlineStr"/>
      <c r="R956" s="39" t="inlineStr"/>
      <c r="S956" s="39" t="inlineStr"/>
      <c r="T956" s="39" t="inlineStr"/>
      <c r="U956" s="39" t="inlineStr"/>
      <c r="V956" s="34" t="inlineStr">
        <is>
          <t>Cost Account = CA-4031; WBS Code = 1.4.1</t>
        </is>
      </c>
      <c r="W956" s="14" t="inlineStr"/>
    </row>
    <row r="957" ht="49" customHeight="1">
      <c r="A957" s="34" t="inlineStr">
        <is>
          <t>1.4.1</t>
        </is>
      </c>
      <c r="B957" s="34" t="inlineStr">
        <is>
          <t>Vehicles and Depot - Fleet Supply</t>
        </is>
      </c>
      <c r="C957" s="34" t="inlineStr">
        <is>
          <t>Cost &amp; Forecast Control Accounts</t>
        </is>
      </c>
      <c r="D957" s="34" t="inlineStr">
        <is>
          <t>CST-04-033</t>
        </is>
      </c>
      <c r="E957" s="34" t="inlineStr">
        <is>
          <t>Vehicles and Depot - spares - professional services</t>
        </is>
      </c>
      <c r="F957" s="34" t="inlineStr">
        <is>
          <t>ONE_TO_ONE</t>
        </is>
      </c>
      <c r="G957" s="34" t="inlineStr">
        <is>
          <t>APPROVED</t>
        </is>
      </c>
      <c r="H957" s="34" t="inlineStr">
        <is>
          <t>New</t>
        </is>
      </c>
      <c r="I957" s="34" t="inlineStr">
        <is>
          <t>Source assignment -- not individually reviewed</t>
        </is>
      </c>
      <c r="J957" s="39" t="inlineStr"/>
      <c r="K957" s="34" t="inlineStr">
        <is>
          <t>Source assignment</t>
        </is>
      </c>
      <c r="L957" s="39" t="inlineStr"/>
      <c r="M957" s="34" t="inlineStr">
        <is>
          <t>Initial</t>
        </is>
      </c>
      <c r="N957" s="34" t="inlineStr">
        <is>
          <t>Rev 0</t>
        </is>
      </c>
      <c r="O957" s="34" t="inlineStr">
        <is>
          <t>R1355-v1</t>
        </is>
      </c>
      <c r="P957" s="39" t="inlineStr"/>
      <c r="Q957" s="14" t="inlineStr"/>
      <c r="R957" s="39" t="inlineStr"/>
      <c r="S957" s="39" t="inlineStr"/>
      <c r="T957" s="39" t="inlineStr"/>
      <c r="U957" s="39" t="inlineStr"/>
      <c r="V957" s="34" t="inlineStr">
        <is>
          <t>Cost Account = CA-4033; WBS Code = 1.4.1</t>
        </is>
      </c>
      <c r="W957" s="14" t="inlineStr"/>
    </row>
    <row r="958" ht="49" customHeight="1">
      <c r="A958" s="34" t="inlineStr">
        <is>
          <t>1.4.1</t>
        </is>
      </c>
      <c r="B958" s="34" t="inlineStr">
        <is>
          <t>Vehicles and Depot - Fleet Supply</t>
        </is>
      </c>
      <c r="C958" s="34" t="inlineStr">
        <is>
          <t>Cost &amp; Forecast Control Accounts</t>
        </is>
      </c>
      <c r="D958" s="34" t="inlineStr">
        <is>
          <t>CST-04-035</t>
        </is>
      </c>
      <c r="E958" s="34" t="inlineStr">
        <is>
          <t>Vehicles and Depot - workshop equipment - closeout</t>
        </is>
      </c>
      <c r="F958" s="34" t="inlineStr">
        <is>
          <t>ONE_TO_ONE</t>
        </is>
      </c>
      <c r="G958" s="34" t="inlineStr">
        <is>
          <t>APPROVED</t>
        </is>
      </c>
      <c r="H958" s="34" t="inlineStr">
        <is>
          <t>New</t>
        </is>
      </c>
      <c r="I958" s="34" t="inlineStr">
        <is>
          <t>Source assignment -- not individually reviewed</t>
        </is>
      </c>
      <c r="J958" s="39" t="inlineStr"/>
      <c r="K958" s="34" t="inlineStr">
        <is>
          <t>Source assignment</t>
        </is>
      </c>
      <c r="L958" s="39" t="inlineStr"/>
      <c r="M958" s="34" t="inlineStr">
        <is>
          <t>Initial</t>
        </is>
      </c>
      <c r="N958" s="34" t="inlineStr">
        <is>
          <t>Rev 0</t>
        </is>
      </c>
      <c r="O958" s="34" t="inlineStr">
        <is>
          <t>R1357-v1</t>
        </is>
      </c>
      <c r="P958" s="39" t="inlineStr"/>
      <c r="Q958" s="14" t="inlineStr"/>
      <c r="R958" s="39" t="inlineStr"/>
      <c r="S958" s="39" t="inlineStr"/>
      <c r="T958" s="39" t="inlineStr"/>
      <c r="U958" s="39" t="inlineStr"/>
      <c r="V958" s="34" t="inlineStr">
        <is>
          <t>Cost Account = CA-4035; WBS Code = 1.4.1</t>
        </is>
      </c>
      <c r="W958" s="14" t="inlineStr"/>
    </row>
    <row r="959" ht="49" customHeight="1">
      <c r="A959" s="34" t="inlineStr">
        <is>
          <t>1.4.1</t>
        </is>
      </c>
      <c r="B959" s="34" t="inlineStr">
        <is>
          <t>Vehicles and Depot - Fleet Supply</t>
        </is>
      </c>
      <c r="C959" s="34" t="inlineStr">
        <is>
          <t>Cost &amp; Forecast Control Accounts</t>
        </is>
      </c>
      <c r="D959" s="34" t="inlineStr">
        <is>
          <t>CST-04-037</t>
        </is>
      </c>
      <c r="E959" s="34" t="inlineStr">
        <is>
          <t>Vehicles and Depot - fleet supply - supply and install</t>
        </is>
      </c>
      <c r="F959" s="34" t="inlineStr">
        <is>
          <t>ONE_TO_ONE</t>
        </is>
      </c>
      <c r="G959" s="34" t="inlineStr">
        <is>
          <t>APPROVED</t>
        </is>
      </c>
      <c r="H959" s="34" t="inlineStr">
        <is>
          <t>New</t>
        </is>
      </c>
      <c r="I959" s="34" t="inlineStr">
        <is>
          <t>Source assignment -- not individually reviewed</t>
        </is>
      </c>
      <c r="J959" s="39" t="inlineStr"/>
      <c r="K959" s="34" t="inlineStr">
        <is>
          <t>Source assignment</t>
        </is>
      </c>
      <c r="L959" s="39" t="inlineStr"/>
      <c r="M959" s="34" t="inlineStr">
        <is>
          <t>Initial</t>
        </is>
      </c>
      <c r="N959" s="34" t="inlineStr">
        <is>
          <t>Rev 0</t>
        </is>
      </c>
      <c r="O959" s="34" t="inlineStr">
        <is>
          <t>R1359-v1</t>
        </is>
      </c>
      <c r="P959" s="39" t="inlineStr"/>
      <c r="Q959" s="14" t="inlineStr"/>
      <c r="R959" s="39" t="inlineStr"/>
      <c r="S959" s="39" t="inlineStr"/>
      <c r="T959" s="39" t="inlineStr"/>
      <c r="U959" s="39" t="inlineStr"/>
      <c r="V959" s="34" t="inlineStr">
        <is>
          <t>Cost Account = CA-4037; WBS Code = 1.4.1</t>
        </is>
      </c>
      <c r="W959" s="14" t="inlineStr"/>
    </row>
    <row r="960" ht="49" customHeight="1">
      <c r="A960" s="34" t="inlineStr">
        <is>
          <t>1.4.1</t>
        </is>
      </c>
      <c r="B960" s="34" t="inlineStr">
        <is>
          <t>Vehicles and Depot - Fleet Supply</t>
        </is>
      </c>
      <c r="C960" s="34" t="inlineStr">
        <is>
          <t>Cost &amp; Forecast Control Accounts</t>
        </is>
      </c>
      <c r="D960" s="34" t="inlineStr">
        <is>
          <t>CST-04-039</t>
        </is>
      </c>
      <c r="E960" s="34" t="inlineStr">
        <is>
          <t>Vehicles and Depot - spares - allowance</t>
        </is>
      </c>
      <c r="F960" s="34" t="inlineStr">
        <is>
          <t>ONE_TO_ONE</t>
        </is>
      </c>
      <c r="G960" s="34" t="inlineStr">
        <is>
          <t>APPROVED</t>
        </is>
      </c>
      <c r="H960" s="34" t="inlineStr">
        <is>
          <t>New</t>
        </is>
      </c>
      <c r="I960" s="34" t="inlineStr">
        <is>
          <t>Source assignment -- not individually reviewed</t>
        </is>
      </c>
      <c r="J960" s="39" t="inlineStr"/>
      <c r="K960" s="34" t="inlineStr">
        <is>
          <t>Source assignment</t>
        </is>
      </c>
      <c r="L960" s="39" t="inlineStr"/>
      <c r="M960" s="34" t="inlineStr">
        <is>
          <t>Initial</t>
        </is>
      </c>
      <c r="N960" s="34" t="inlineStr">
        <is>
          <t>Rev 0</t>
        </is>
      </c>
      <c r="O960" s="34" t="inlineStr">
        <is>
          <t>R1361-v1</t>
        </is>
      </c>
      <c r="P960" s="39" t="inlineStr"/>
      <c r="Q960" s="14" t="inlineStr"/>
      <c r="R960" s="39" t="inlineStr"/>
      <c r="S960" s="39" t="inlineStr"/>
      <c r="T960" s="39" t="inlineStr"/>
      <c r="U960" s="39" t="inlineStr"/>
      <c r="V960" s="34" t="inlineStr">
        <is>
          <t>Cost Account = CA-4039; WBS Code = 1.4.1</t>
        </is>
      </c>
      <c r="W960" s="14" t="inlineStr"/>
    </row>
    <row r="961" ht="49" customHeight="1">
      <c r="A961" s="34" t="inlineStr">
        <is>
          <t>1.4.1</t>
        </is>
      </c>
      <c r="B961" s="34" t="inlineStr">
        <is>
          <t>Vehicles and Depot - Fleet Supply</t>
        </is>
      </c>
      <c r="C961" s="34" t="inlineStr">
        <is>
          <t>Cost &amp; Forecast Control Accounts</t>
        </is>
      </c>
      <c r="D961" s="34" t="inlineStr">
        <is>
          <t>CST-04-041</t>
        </is>
      </c>
      <c r="E961" s="34" t="inlineStr">
        <is>
          <t>Vehicles and Depot - workshop equipment - field package</t>
        </is>
      </c>
      <c r="F961" s="34" t="inlineStr">
        <is>
          <t>ONE_TO_ONE</t>
        </is>
      </c>
      <c r="G961" s="34" t="inlineStr">
        <is>
          <t>APPROVED</t>
        </is>
      </c>
      <c r="H961" s="34" t="inlineStr">
        <is>
          <t>New</t>
        </is>
      </c>
      <c r="I961" s="34" t="inlineStr">
        <is>
          <t>Source assignment -- not individually reviewed</t>
        </is>
      </c>
      <c r="J961" s="39" t="inlineStr"/>
      <c r="K961" s="34" t="inlineStr">
        <is>
          <t>Source assignment</t>
        </is>
      </c>
      <c r="L961" s="39" t="inlineStr"/>
      <c r="M961" s="34" t="inlineStr">
        <is>
          <t>Initial</t>
        </is>
      </c>
      <c r="N961" s="34" t="inlineStr">
        <is>
          <t>Rev 0</t>
        </is>
      </c>
      <c r="O961" s="34" t="inlineStr">
        <is>
          <t>R1363-v1</t>
        </is>
      </c>
      <c r="P961" s="39" t="inlineStr"/>
      <c r="Q961" s="14" t="inlineStr"/>
      <c r="R961" s="39" t="inlineStr"/>
      <c r="S961" s="39" t="inlineStr"/>
      <c r="T961" s="39" t="inlineStr"/>
      <c r="U961" s="39" t="inlineStr"/>
      <c r="V961" s="34" t="inlineStr">
        <is>
          <t>Cost Account = CA-4041; WBS Code = 1.4.1</t>
        </is>
      </c>
      <c r="W961" s="14" t="inlineStr"/>
    </row>
    <row r="962" ht="49" customHeight="1">
      <c r="A962" s="34" t="inlineStr">
        <is>
          <t>1.4.1</t>
        </is>
      </c>
      <c r="B962" s="34" t="inlineStr">
        <is>
          <t>Vehicles and Depot - Fleet Supply</t>
        </is>
      </c>
      <c r="C962" s="34" t="inlineStr">
        <is>
          <t>Cost &amp; Forecast Control Accounts</t>
        </is>
      </c>
      <c r="D962" s="34" t="inlineStr">
        <is>
          <t>CST-04-043</t>
        </is>
      </c>
      <c r="E962" s="34" t="inlineStr">
        <is>
          <t>Vehicles and Depot - fleet supply - professional services</t>
        </is>
      </c>
      <c r="F962" s="34" t="inlineStr">
        <is>
          <t>ONE_TO_ONE</t>
        </is>
      </c>
      <c r="G962" s="34" t="inlineStr">
        <is>
          <t>APPROVED</t>
        </is>
      </c>
      <c r="H962" s="34" t="inlineStr">
        <is>
          <t>New</t>
        </is>
      </c>
      <c r="I962" s="34" t="inlineStr">
        <is>
          <t>Source assignment -- not individually reviewed</t>
        </is>
      </c>
      <c r="J962" s="39" t="inlineStr"/>
      <c r="K962" s="34" t="inlineStr">
        <is>
          <t>Source assignment</t>
        </is>
      </c>
      <c r="L962" s="39" t="inlineStr"/>
      <c r="M962" s="34" t="inlineStr">
        <is>
          <t>Initial</t>
        </is>
      </c>
      <c r="N962" s="34" t="inlineStr">
        <is>
          <t>Rev 0</t>
        </is>
      </c>
      <c r="O962" s="34" t="inlineStr">
        <is>
          <t>R1365-v1</t>
        </is>
      </c>
      <c r="P962" s="39" t="inlineStr"/>
      <c r="Q962" s="14" t="inlineStr"/>
      <c r="R962" s="39" t="inlineStr"/>
      <c r="S962" s="39" t="inlineStr"/>
      <c r="T962" s="39" t="inlineStr"/>
      <c r="U962" s="39" t="inlineStr"/>
      <c r="V962" s="34" t="inlineStr">
        <is>
          <t>Cost Account = CA-4043; WBS Code = 1.4.1</t>
        </is>
      </c>
      <c r="W962" s="14" t="inlineStr"/>
    </row>
    <row r="963" ht="49" customHeight="1">
      <c r="A963" s="34" t="inlineStr">
        <is>
          <t>1.4.1</t>
        </is>
      </c>
      <c r="B963" s="34" t="inlineStr">
        <is>
          <t>Vehicles and Depot - Fleet Supply</t>
        </is>
      </c>
      <c r="C963" s="34" t="inlineStr">
        <is>
          <t>Cost &amp; Forecast Control Accounts</t>
        </is>
      </c>
      <c r="D963" s="34" t="inlineStr">
        <is>
          <t>CST-04-045</t>
        </is>
      </c>
      <c r="E963" s="34" t="inlineStr">
        <is>
          <t>Vehicles and Depot - spares - closeout</t>
        </is>
      </c>
      <c r="F963" s="34" t="inlineStr">
        <is>
          <t>ONE_TO_ONE</t>
        </is>
      </c>
      <c r="G963" s="34" t="inlineStr">
        <is>
          <t>APPROVED</t>
        </is>
      </c>
      <c r="H963" s="34" t="inlineStr">
        <is>
          <t>New</t>
        </is>
      </c>
      <c r="I963" s="34" t="inlineStr">
        <is>
          <t>Source assignment -- not individually reviewed</t>
        </is>
      </c>
      <c r="J963" s="39" t="inlineStr"/>
      <c r="K963" s="34" t="inlineStr">
        <is>
          <t>Source assignment</t>
        </is>
      </c>
      <c r="L963" s="39" t="inlineStr"/>
      <c r="M963" s="34" t="inlineStr">
        <is>
          <t>Initial</t>
        </is>
      </c>
      <c r="N963" s="34" t="inlineStr">
        <is>
          <t>Rev 0</t>
        </is>
      </c>
      <c r="O963" s="34" t="inlineStr">
        <is>
          <t>R1367-v1</t>
        </is>
      </c>
      <c r="P963" s="39" t="inlineStr"/>
      <c r="Q963" s="14" t="inlineStr"/>
      <c r="R963" s="39" t="inlineStr"/>
      <c r="S963" s="39" t="inlineStr"/>
      <c r="T963" s="39" t="inlineStr"/>
      <c r="U963" s="39" t="inlineStr"/>
      <c r="V963" s="34" t="inlineStr">
        <is>
          <t>Cost Account = CA-4045; WBS Code = 1.4.1</t>
        </is>
      </c>
      <c r="W963" s="14" t="inlineStr"/>
    </row>
    <row r="964" ht="49" customHeight="1">
      <c r="A964" s="34" t="inlineStr">
        <is>
          <t>1.4.1</t>
        </is>
      </c>
      <c r="B964" s="34" t="inlineStr">
        <is>
          <t>Vehicles and Depot - Fleet Supply</t>
        </is>
      </c>
      <c r="C964" s="34" t="inlineStr">
        <is>
          <t>Cost &amp; Forecast Control Accounts</t>
        </is>
      </c>
      <c r="D964" s="34" t="inlineStr">
        <is>
          <t>CST-04-047</t>
        </is>
      </c>
      <c r="E964" s="34" t="inlineStr">
        <is>
          <t>Vehicles and Depot - workshop equipment - supply and install</t>
        </is>
      </c>
      <c r="F964" s="34" t="inlineStr">
        <is>
          <t>ONE_TO_ONE</t>
        </is>
      </c>
      <c r="G964" s="34" t="inlineStr">
        <is>
          <t>APPROVED</t>
        </is>
      </c>
      <c r="H964" s="34" t="inlineStr">
        <is>
          <t>New</t>
        </is>
      </c>
      <c r="I964" s="34" t="inlineStr">
        <is>
          <t>Source assignment -- not individually reviewed</t>
        </is>
      </c>
      <c r="J964" s="39" t="inlineStr"/>
      <c r="K964" s="34" t="inlineStr">
        <is>
          <t>Source assignment</t>
        </is>
      </c>
      <c r="L964" s="39" t="inlineStr"/>
      <c r="M964" s="34" t="inlineStr">
        <is>
          <t>Initial</t>
        </is>
      </c>
      <c r="N964" s="34" t="inlineStr">
        <is>
          <t>Rev 0</t>
        </is>
      </c>
      <c r="O964" s="34" t="inlineStr">
        <is>
          <t>R1369-v1</t>
        </is>
      </c>
      <c r="P964" s="39" t="inlineStr"/>
      <c r="Q964" s="14" t="inlineStr"/>
      <c r="R964" s="39" t="inlineStr"/>
      <c r="S964" s="39" t="inlineStr"/>
      <c r="T964" s="39" t="inlineStr"/>
      <c r="U964" s="39" t="inlineStr"/>
      <c r="V964" s="34" t="inlineStr">
        <is>
          <t>Cost Account = CA-4047; WBS Code = 1.4.1</t>
        </is>
      </c>
      <c r="W964" s="14" t="inlineStr"/>
    </row>
    <row r="965" ht="49" customHeight="1">
      <c r="A965" s="34" t="inlineStr">
        <is>
          <t>1.4.1</t>
        </is>
      </c>
      <c r="B965" s="34" t="inlineStr">
        <is>
          <t>Vehicles and Depot - Fleet Supply</t>
        </is>
      </c>
      <c r="C965" s="34" t="inlineStr">
        <is>
          <t>Cost &amp; Forecast Control Accounts</t>
        </is>
      </c>
      <c r="D965" s="34" t="inlineStr">
        <is>
          <t>CST-04-049</t>
        </is>
      </c>
      <c r="E965" s="34" t="inlineStr">
        <is>
          <t>Vehicles and Depot - fleet supply - allowance</t>
        </is>
      </c>
      <c r="F965" s="34" t="inlineStr">
        <is>
          <t>ONE_TO_ONE</t>
        </is>
      </c>
      <c r="G965" s="34" t="inlineStr">
        <is>
          <t>APPROVED</t>
        </is>
      </c>
      <c r="H965" s="34" t="inlineStr">
        <is>
          <t>New</t>
        </is>
      </c>
      <c r="I965" s="34" t="inlineStr">
        <is>
          <t>Source assignment -- not individually reviewed</t>
        </is>
      </c>
      <c r="J965" s="39" t="inlineStr"/>
      <c r="K965" s="34" t="inlineStr">
        <is>
          <t>Source assignment</t>
        </is>
      </c>
      <c r="L965" s="39" t="inlineStr"/>
      <c r="M965" s="34" t="inlineStr">
        <is>
          <t>Initial</t>
        </is>
      </c>
      <c r="N965" s="34" t="inlineStr">
        <is>
          <t>Rev 0</t>
        </is>
      </c>
      <c r="O965" s="34" t="inlineStr">
        <is>
          <t>R1371-v1</t>
        </is>
      </c>
      <c r="P965" s="39" t="inlineStr"/>
      <c r="Q965" s="14" t="inlineStr"/>
      <c r="R965" s="39" t="inlineStr"/>
      <c r="S965" s="39" t="inlineStr"/>
      <c r="T965" s="39" t="inlineStr"/>
      <c r="U965" s="39" t="inlineStr"/>
      <c r="V965" s="34" t="inlineStr">
        <is>
          <t>Cost Account = CA-4049; WBS Code = 1.4.1</t>
        </is>
      </c>
      <c r="W965" s="14" t="inlineStr"/>
    </row>
    <row r="966" ht="49" customHeight="1">
      <c r="A966" s="34" t="inlineStr">
        <is>
          <t>1.4.1</t>
        </is>
      </c>
      <c r="B966" s="34" t="inlineStr">
        <is>
          <t>Vehicles and Depot - Fleet Supply</t>
        </is>
      </c>
      <c r="C966" s="34" t="inlineStr">
        <is>
          <t>Cost &amp; Forecast Control Accounts</t>
        </is>
      </c>
      <c r="D966" s="34" t="inlineStr">
        <is>
          <t>CST-04-051</t>
        </is>
      </c>
      <c r="E966" s="34" t="inlineStr">
        <is>
          <t>Vehicles and Depot - spares - field package</t>
        </is>
      </c>
      <c r="F966" s="34" t="inlineStr">
        <is>
          <t>ONE_TO_ONE</t>
        </is>
      </c>
      <c r="G966" s="34" t="inlineStr">
        <is>
          <t>APPROVED</t>
        </is>
      </c>
      <c r="H966" s="34" t="inlineStr">
        <is>
          <t>New</t>
        </is>
      </c>
      <c r="I966" s="34" t="inlineStr">
        <is>
          <t>Source assignment -- not individually reviewed</t>
        </is>
      </c>
      <c r="J966" s="39" t="inlineStr"/>
      <c r="K966" s="34" t="inlineStr">
        <is>
          <t>Source assignment</t>
        </is>
      </c>
      <c r="L966" s="39" t="inlineStr"/>
      <c r="M966" s="34" t="inlineStr">
        <is>
          <t>Initial</t>
        </is>
      </c>
      <c r="N966" s="34" t="inlineStr">
        <is>
          <t>Rev 0</t>
        </is>
      </c>
      <c r="O966" s="34" t="inlineStr">
        <is>
          <t>R1373-v1</t>
        </is>
      </c>
      <c r="P966" s="39" t="inlineStr"/>
      <c r="Q966" s="14" t="inlineStr"/>
      <c r="R966" s="39" t="inlineStr"/>
      <c r="S966" s="39" t="inlineStr"/>
      <c r="T966" s="39" t="inlineStr"/>
      <c r="U966" s="39" t="inlineStr"/>
      <c r="V966" s="34" t="inlineStr">
        <is>
          <t>Cost Account = CA-4051; WBS Code = 1.4.1</t>
        </is>
      </c>
      <c r="W966" s="14" t="inlineStr"/>
    </row>
    <row r="967" ht="49" customHeight="1">
      <c r="A967" s="34" t="inlineStr">
        <is>
          <t>1.4.1</t>
        </is>
      </c>
      <c r="B967" s="34" t="inlineStr">
        <is>
          <t>Vehicles and Depot - Fleet Supply</t>
        </is>
      </c>
      <c r="C967" s="34" t="inlineStr">
        <is>
          <t>Cost &amp; Forecast Control Accounts</t>
        </is>
      </c>
      <c r="D967" s="34" t="inlineStr">
        <is>
          <t>CST-04-053</t>
        </is>
      </c>
      <c r="E967" s="34" t="inlineStr">
        <is>
          <t>Vehicles and Depot - workshop equipment - professional services</t>
        </is>
      </c>
      <c r="F967" s="34" t="inlineStr">
        <is>
          <t>ONE_TO_ONE</t>
        </is>
      </c>
      <c r="G967" s="34" t="inlineStr">
        <is>
          <t>APPROVED</t>
        </is>
      </c>
      <c r="H967" s="34" t="inlineStr">
        <is>
          <t>New</t>
        </is>
      </c>
      <c r="I967" s="34" t="inlineStr">
        <is>
          <t>Source assignment -- not individually reviewed</t>
        </is>
      </c>
      <c r="J967" s="39" t="inlineStr"/>
      <c r="K967" s="34" t="inlineStr">
        <is>
          <t>Source assignment</t>
        </is>
      </c>
      <c r="L967" s="39" t="inlineStr"/>
      <c r="M967" s="34" t="inlineStr">
        <is>
          <t>Initial</t>
        </is>
      </c>
      <c r="N967" s="34" t="inlineStr">
        <is>
          <t>Rev 0</t>
        </is>
      </c>
      <c r="O967" s="34" t="inlineStr">
        <is>
          <t>R1375-v1</t>
        </is>
      </c>
      <c r="P967" s="39" t="inlineStr"/>
      <c r="Q967" s="14" t="inlineStr"/>
      <c r="R967" s="39" t="inlineStr"/>
      <c r="S967" s="39" t="inlineStr"/>
      <c r="T967" s="39" t="inlineStr"/>
      <c r="U967" s="39" t="inlineStr"/>
      <c r="V967" s="34" t="inlineStr">
        <is>
          <t>Cost Account = CA-4053; WBS Code = 1.4.1</t>
        </is>
      </c>
      <c r="W967" s="14" t="inlineStr"/>
    </row>
    <row r="968" ht="49" customHeight="1">
      <c r="A968" s="34" t="inlineStr">
        <is>
          <t>1.4.1</t>
        </is>
      </c>
      <c r="B968" s="34" t="inlineStr">
        <is>
          <t>Vehicles and Depot - Fleet Supply</t>
        </is>
      </c>
      <c r="C968" s="34" t="inlineStr">
        <is>
          <t>Cost &amp; Forecast Control Accounts</t>
        </is>
      </c>
      <c r="D968" s="34" t="inlineStr">
        <is>
          <t>CST-04-055</t>
        </is>
      </c>
      <c r="E968" s="34" t="inlineStr">
        <is>
          <t>Vehicles and Depot - fleet supply - closeout</t>
        </is>
      </c>
      <c r="F968" s="34" t="inlineStr">
        <is>
          <t>ONE_TO_ONE</t>
        </is>
      </c>
      <c r="G968" s="34" t="inlineStr">
        <is>
          <t>APPROVED</t>
        </is>
      </c>
      <c r="H968" s="34" t="inlineStr">
        <is>
          <t>New</t>
        </is>
      </c>
      <c r="I968" s="34" t="inlineStr">
        <is>
          <t>Source assignment -- not individually reviewed</t>
        </is>
      </c>
      <c r="J968" s="39" t="inlineStr"/>
      <c r="K968" s="34" t="inlineStr">
        <is>
          <t>Source assignment</t>
        </is>
      </c>
      <c r="L968" s="39" t="inlineStr"/>
      <c r="M968" s="34" t="inlineStr">
        <is>
          <t>Initial</t>
        </is>
      </c>
      <c r="N968" s="34" t="inlineStr">
        <is>
          <t>Rev 0</t>
        </is>
      </c>
      <c r="O968" s="34" t="inlineStr">
        <is>
          <t>R1377-v1</t>
        </is>
      </c>
      <c r="P968" s="39" t="inlineStr"/>
      <c r="Q968" s="14" t="inlineStr"/>
      <c r="R968" s="39" t="inlineStr"/>
      <c r="S968" s="39" t="inlineStr"/>
      <c r="T968" s="39" t="inlineStr"/>
      <c r="U968" s="39" t="inlineStr"/>
      <c r="V968" s="34" t="inlineStr">
        <is>
          <t>Cost Account = CA-4055; WBS Code = 1.4.1</t>
        </is>
      </c>
      <c r="W968" s="14" t="inlineStr"/>
    </row>
    <row r="969" ht="49" customHeight="1">
      <c r="A969" s="34" t="inlineStr">
        <is>
          <t>1.4.1</t>
        </is>
      </c>
      <c r="B969" s="34" t="inlineStr">
        <is>
          <t>Vehicles and Depot - Fleet Supply</t>
        </is>
      </c>
      <c r="C969" s="34" t="inlineStr">
        <is>
          <t>Cost &amp; Forecast Control Accounts</t>
        </is>
      </c>
      <c r="D969" s="34" t="inlineStr">
        <is>
          <t>CST-04-057</t>
        </is>
      </c>
      <c r="E969" s="34" t="inlineStr">
        <is>
          <t>Vehicles and Depot - spares - supply and install</t>
        </is>
      </c>
      <c r="F969" s="34" t="inlineStr">
        <is>
          <t>ONE_TO_ONE</t>
        </is>
      </c>
      <c r="G969" s="34" t="inlineStr">
        <is>
          <t>APPROVED</t>
        </is>
      </c>
      <c r="H969" s="34" t="inlineStr">
        <is>
          <t>New</t>
        </is>
      </c>
      <c r="I969" s="34" t="inlineStr">
        <is>
          <t>Source assignment -- not individually reviewed</t>
        </is>
      </c>
      <c r="J969" s="39" t="inlineStr"/>
      <c r="K969" s="34" t="inlineStr">
        <is>
          <t>Source assignment</t>
        </is>
      </c>
      <c r="L969" s="39" t="inlineStr"/>
      <c r="M969" s="34" t="inlineStr">
        <is>
          <t>Initial</t>
        </is>
      </c>
      <c r="N969" s="34" t="inlineStr">
        <is>
          <t>Rev 0</t>
        </is>
      </c>
      <c r="O969" s="34" t="inlineStr">
        <is>
          <t>R1379-v1</t>
        </is>
      </c>
      <c r="P969" s="39" t="inlineStr"/>
      <c r="Q969" s="14" t="inlineStr"/>
      <c r="R969" s="39" t="inlineStr"/>
      <c r="S969" s="39" t="inlineStr"/>
      <c r="T969" s="39" t="inlineStr"/>
      <c r="U969" s="39" t="inlineStr"/>
      <c r="V969" s="34" t="inlineStr">
        <is>
          <t>Cost Account = CA-4057; WBS Code = 1.4.1</t>
        </is>
      </c>
      <c r="W969" s="14" t="inlineStr"/>
    </row>
    <row r="970" ht="49" customHeight="1">
      <c r="A970" s="34" t="inlineStr">
        <is>
          <t>1.4.1</t>
        </is>
      </c>
      <c r="B970" s="34" t="inlineStr">
        <is>
          <t>Vehicles and Depot - Fleet Supply</t>
        </is>
      </c>
      <c r="C970" s="34" t="inlineStr">
        <is>
          <t>Cost &amp; Forecast Control Accounts</t>
        </is>
      </c>
      <c r="D970" s="34" t="inlineStr">
        <is>
          <t>CST-04-059</t>
        </is>
      </c>
      <c r="E970" s="34" t="inlineStr">
        <is>
          <t>Vehicles and Depot - workshop equipment - allowance</t>
        </is>
      </c>
      <c r="F970" s="34" t="inlineStr">
        <is>
          <t>ONE_TO_ONE</t>
        </is>
      </c>
      <c r="G970" s="34" t="inlineStr">
        <is>
          <t>APPROVED</t>
        </is>
      </c>
      <c r="H970" s="34" t="inlineStr">
        <is>
          <t>New</t>
        </is>
      </c>
      <c r="I970" s="34" t="inlineStr">
        <is>
          <t>Source assignment -- not individually reviewed</t>
        </is>
      </c>
      <c r="J970" s="39" t="inlineStr"/>
      <c r="K970" s="34" t="inlineStr">
        <is>
          <t>Source assignment</t>
        </is>
      </c>
      <c r="L970" s="39" t="inlineStr"/>
      <c r="M970" s="34" t="inlineStr">
        <is>
          <t>Initial</t>
        </is>
      </c>
      <c r="N970" s="34" t="inlineStr">
        <is>
          <t>Rev 0</t>
        </is>
      </c>
      <c r="O970" s="34" t="inlineStr">
        <is>
          <t>R1381-v1</t>
        </is>
      </c>
      <c r="P970" s="39" t="inlineStr"/>
      <c r="Q970" s="14" t="inlineStr"/>
      <c r="R970" s="39" t="inlineStr"/>
      <c r="S970" s="39" t="inlineStr"/>
      <c r="T970" s="39" t="inlineStr"/>
      <c r="U970" s="39" t="inlineStr"/>
      <c r="V970" s="34" t="inlineStr">
        <is>
          <t>Cost Account = CA-4059; WBS Code = 1.4.1</t>
        </is>
      </c>
      <c r="W970" s="14" t="inlineStr"/>
    </row>
    <row r="971" ht="49" customHeight="1">
      <c r="A971" s="34" t="inlineStr">
        <is>
          <t>1.4.1</t>
        </is>
      </c>
      <c r="B971" s="34" t="inlineStr">
        <is>
          <t>Vehicles and Depot - Fleet Supply</t>
        </is>
      </c>
      <c r="C971" s="34" t="inlineStr">
        <is>
          <t>Cost &amp; Forecast Control Accounts</t>
        </is>
      </c>
      <c r="D971" s="34" t="inlineStr">
        <is>
          <t>CST-04-061</t>
        </is>
      </c>
      <c r="E971" s="34" t="inlineStr">
        <is>
          <t>Vehicles and Depot - fleet supply - field package</t>
        </is>
      </c>
      <c r="F971" s="34" t="inlineStr">
        <is>
          <t>ONE_TO_ONE</t>
        </is>
      </c>
      <c r="G971" s="34" t="inlineStr">
        <is>
          <t>APPROVED</t>
        </is>
      </c>
      <c r="H971" s="34" t="inlineStr">
        <is>
          <t>New</t>
        </is>
      </c>
      <c r="I971" s="34" t="inlineStr">
        <is>
          <t>Source assignment -- not individually reviewed</t>
        </is>
      </c>
      <c r="J971" s="39" t="inlineStr"/>
      <c r="K971" s="34" t="inlineStr">
        <is>
          <t>Source assignment</t>
        </is>
      </c>
      <c r="L971" s="39" t="inlineStr"/>
      <c r="M971" s="34" t="inlineStr">
        <is>
          <t>Initial</t>
        </is>
      </c>
      <c r="N971" s="34" t="inlineStr">
        <is>
          <t>Rev 0</t>
        </is>
      </c>
      <c r="O971" s="34" t="inlineStr">
        <is>
          <t>R1383-v1</t>
        </is>
      </c>
      <c r="P971" s="39" t="inlineStr"/>
      <c r="Q971" s="14" t="inlineStr"/>
      <c r="R971" s="39" t="inlineStr"/>
      <c r="S971" s="39" t="inlineStr"/>
      <c r="T971" s="39" t="inlineStr"/>
      <c r="U971" s="39" t="inlineStr"/>
      <c r="V971" s="34" t="inlineStr">
        <is>
          <t>Cost Account = CA-4061; WBS Code = 1.4.1</t>
        </is>
      </c>
      <c r="W971" s="14" t="inlineStr"/>
    </row>
    <row r="972" ht="49" customHeight="1">
      <c r="A972" s="34" t="inlineStr">
        <is>
          <t>1.4.1</t>
        </is>
      </c>
      <c r="B972" s="34" t="inlineStr">
        <is>
          <t>Vehicles and Depot - Fleet Supply</t>
        </is>
      </c>
      <c r="C972" s="34" t="inlineStr">
        <is>
          <t>Cost &amp; Forecast Control Accounts</t>
        </is>
      </c>
      <c r="D972" s="34" t="inlineStr">
        <is>
          <t>CST-04-063</t>
        </is>
      </c>
      <c r="E972" s="34" t="inlineStr">
        <is>
          <t>Vehicles and Depot - spares - professional services</t>
        </is>
      </c>
      <c r="F972" s="34" t="inlineStr">
        <is>
          <t>ONE_TO_ONE</t>
        </is>
      </c>
      <c r="G972" s="34" t="inlineStr">
        <is>
          <t>APPROVED</t>
        </is>
      </c>
      <c r="H972" s="34" t="inlineStr">
        <is>
          <t>New</t>
        </is>
      </c>
      <c r="I972" s="34" t="inlineStr">
        <is>
          <t>Source assignment -- not individually reviewed</t>
        </is>
      </c>
      <c r="J972" s="39" t="inlineStr"/>
      <c r="K972" s="34" t="inlineStr">
        <is>
          <t>Source assignment</t>
        </is>
      </c>
      <c r="L972" s="39" t="inlineStr"/>
      <c r="M972" s="34" t="inlineStr">
        <is>
          <t>Initial</t>
        </is>
      </c>
      <c r="N972" s="34" t="inlineStr">
        <is>
          <t>Rev 0</t>
        </is>
      </c>
      <c r="O972" s="34" t="inlineStr">
        <is>
          <t>R1385-v1</t>
        </is>
      </c>
      <c r="P972" s="39" t="inlineStr"/>
      <c r="Q972" s="14" t="inlineStr"/>
      <c r="R972" s="39" t="inlineStr"/>
      <c r="S972" s="39" t="inlineStr"/>
      <c r="T972" s="39" t="inlineStr"/>
      <c r="U972" s="39" t="inlineStr"/>
      <c r="V972" s="34" t="inlineStr">
        <is>
          <t>Cost Account = CA-4063; WBS Code = 1.4.1</t>
        </is>
      </c>
      <c r="W972" s="14" t="inlineStr"/>
    </row>
    <row r="973" ht="49" customHeight="1">
      <c r="A973" s="34" t="inlineStr">
        <is>
          <t>1.4.1</t>
        </is>
      </c>
      <c r="B973" s="34" t="inlineStr">
        <is>
          <t>Vehicles and Depot - Fleet Supply</t>
        </is>
      </c>
      <c r="C973" s="34" t="inlineStr">
        <is>
          <t>Cost &amp; Forecast Control Accounts</t>
        </is>
      </c>
      <c r="D973" s="34" t="inlineStr">
        <is>
          <t>CST-04-065</t>
        </is>
      </c>
      <c r="E973" s="34" t="inlineStr">
        <is>
          <t>Vehicles and Depot - workshop equipment - closeout</t>
        </is>
      </c>
      <c r="F973" s="34" t="inlineStr">
        <is>
          <t>ONE_TO_ONE</t>
        </is>
      </c>
      <c r="G973" s="34" t="inlineStr">
        <is>
          <t>APPROVED</t>
        </is>
      </c>
      <c r="H973" s="34" t="inlineStr">
        <is>
          <t>New</t>
        </is>
      </c>
      <c r="I973" s="34" t="inlineStr">
        <is>
          <t>Source assignment -- not individually reviewed</t>
        </is>
      </c>
      <c r="J973" s="39" t="inlineStr"/>
      <c r="K973" s="34" t="inlineStr">
        <is>
          <t>Source assignment</t>
        </is>
      </c>
      <c r="L973" s="39" t="inlineStr"/>
      <c r="M973" s="34" t="inlineStr">
        <is>
          <t>Initial</t>
        </is>
      </c>
      <c r="N973" s="34" t="inlineStr">
        <is>
          <t>Rev 0</t>
        </is>
      </c>
      <c r="O973" s="34" t="inlineStr">
        <is>
          <t>R1387-v1</t>
        </is>
      </c>
      <c r="P973" s="39" t="inlineStr"/>
      <c r="Q973" s="14" t="inlineStr"/>
      <c r="R973" s="39" t="inlineStr"/>
      <c r="S973" s="39" t="inlineStr"/>
      <c r="T973" s="39" t="inlineStr"/>
      <c r="U973" s="39" t="inlineStr"/>
      <c r="V973" s="34" t="inlineStr">
        <is>
          <t>Cost Account = CA-4065; WBS Code = 1.4.1</t>
        </is>
      </c>
      <c r="W973" s="14" t="inlineStr"/>
    </row>
    <row r="974" ht="49" customHeight="1">
      <c r="A974" s="34" t="inlineStr">
        <is>
          <t>1.4.1</t>
        </is>
      </c>
      <c r="B974" s="34" t="inlineStr">
        <is>
          <t>Vehicles and Depot - Fleet Supply</t>
        </is>
      </c>
      <c r="C974" s="34" t="inlineStr">
        <is>
          <t>Cost &amp; Forecast Control Accounts</t>
        </is>
      </c>
      <c r="D974" s="34" t="inlineStr">
        <is>
          <t>CST-04-067</t>
        </is>
      </c>
      <c r="E974" s="34" t="inlineStr">
        <is>
          <t>Vehicles and Depot - fleet supply - supply and install</t>
        </is>
      </c>
      <c r="F974" s="34" t="inlineStr">
        <is>
          <t>ONE_TO_ONE</t>
        </is>
      </c>
      <c r="G974" s="34" t="inlineStr">
        <is>
          <t>APPROVED</t>
        </is>
      </c>
      <c r="H974" s="34" t="inlineStr">
        <is>
          <t>New</t>
        </is>
      </c>
      <c r="I974" s="34" t="inlineStr">
        <is>
          <t>Source assignment -- not individually reviewed</t>
        </is>
      </c>
      <c r="J974" s="39" t="inlineStr"/>
      <c r="K974" s="34" t="inlineStr">
        <is>
          <t>Source assignment</t>
        </is>
      </c>
      <c r="L974" s="39" t="inlineStr"/>
      <c r="M974" s="34" t="inlineStr">
        <is>
          <t>Initial</t>
        </is>
      </c>
      <c r="N974" s="34" t="inlineStr">
        <is>
          <t>Rev 0</t>
        </is>
      </c>
      <c r="O974" s="34" t="inlineStr">
        <is>
          <t>R1389-v1</t>
        </is>
      </c>
      <c r="P974" s="39" t="inlineStr"/>
      <c r="Q974" s="14" t="inlineStr"/>
      <c r="R974" s="39" t="inlineStr"/>
      <c r="S974" s="39" t="inlineStr"/>
      <c r="T974" s="39" t="inlineStr"/>
      <c r="U974" s="39" t="inlineStr"/>
      <c r="V974" s="34" t="inlineStr">
        <is>
          <t>Cost Account = CA-4067; WBS Code = 1.4.1</t>
        </is>
      </c>
      <c r="W974" s="14" t="inlineStr"/>
    </row>
    <row r="975" ht="49" customHeight="1">
      <c r="A975" s="34" t="inlineStr">
        <is>
          <t>1.4.1</t>
        </is>
      </c>
      <c r="B975" s="34" t="inlineStr">
        <is>
          <t>Vehicles and Depot - Fleet Supply</t>
        </is>
      </c>
      <c r="C975" s="34" t="inlineStr">
        <is>
          <t>Cost &amp; Forecast Control Accounts</t>
        </is>
      </c>
      <c r="D975" s="34" t="inlineStr">
        <is>
          <t>CST-04-069</t>
        </is>
      </c>
      <c r="E975" s="34" t="inlineStr">
        <is>
          <t>Vehicles and Depot - spares - allowance</t>
        </is>
      </c>
      <c r="F975" s="34" t="inlineStr">
        <is>
          <t>ONE_TO_ONE</t>
        </is>
      </c>
      <c r="G975" s="34" t="inlineStr">
        <is>
          <t>APPROVED</t>
        </is>
      </c>
      <c r="H975" s="34" t="inlineStr">
        <is>
          <t>New</t>
        </is>
      </c>
      <c r="I975" s="34" t="inlineStr">
        <is>
          <t>Source assignment -- not individually reviewed</t>
        </is>
      </c>
      <c r="J975" s="39" t="inlineStr"/>
      <c r="K975" s="34" t="inlineStr">
        <is>
          <t>Source assignment</t>
        </is>
      </c>
      <c r="L975" s="39" t="inlineStr"/>
      <c r="M975" s="34" t="inlineStr">
        <is>
          <t>Initial</t>
        </is>
      </c>
      <c r="N975" s="34" t="inlineStr">
        <is>
          <t>Rev 0</t>
        </is>
      </c>
      <c r="O975" s="34" t="inlineStr">
        <is>
          <t>R1391-v1</t>
        </is>
      </c>
      <c r="P975" s="39" t="inlineStr"/>
      <c r="Q975" s="14" t="inlineStr"/>
      <c r="R975" s="39" t="inlineStr"/>
      <c r="S975" s="39" t="inlineStr"/>
      <c r="T975" s="39" t="inlineStr"/>
      <c r="U975" s="39" t="inlineStr"/>
      <c r="V975" s="34" t="inlineStr">
        <is>
          <t>Cost Account = CA-4069; WBS Code = 1.4.1</t>
        </is>
      </c>
      <c r="W975" s="14" t="inlineStr"/>
    </row>
    <row r="976" ht="49" customHeight="1">
      <c r="A976" s="34" t="inlineStr">
        <is>
          <t>1.4.1</t>
        </is>
      </c>
      <c r="B976" s="34" t="inlineStr">
        <is>
          <t>Vehicles and Depot - Fleet Supply</t>
        </is>
      </c>
      <c r="C976" s="34" t="inlineStr">
        <is>
          <t>Cost &amp; Forecast Control Accounts</t>
        </is>
      </c>
      <c r="D976" s="34" t="inlineStr">
        <is>
          <t>CST-04-071</t>
        </is>
      </c>
      <c r="E976" s="34" t="inlineStr">
        <is>
          <t>Vehicles and Depot - workshop equipment - field package</t>
        </is>
      </c>
      <c r="F976" s="34" t="inlineStr">
        <is>
          <t>ONE_TO_ONE</t>
        </is>
      </c>
      <c r="G976" s="34" t="inlineStr">
        <is>
          <t>APPROVED</t>
        </is>
      </c>
      <c r="H976" s="34" t="inlineStr">
        <is>
          <t>New</t>
        </is>
      </c>
      <c r="I976" s="34" t="inlineStr">
        <is>
          <t>Source assignment -- not individually reviewed</t>
        </is>
      </c>
      <c r="J976" s="39" t="inlineStr"/>
      <c r="K976" s="34" t="inlineStr">
        <is>
          <t>Source assignment</t>
        </is>
      </c>
      <c r="L976" s="39" t="inlineStr"/>
      <c r="M976" s="34" t="inlineStr">
        <is>
          <t>Initial</t>
        </is>
      </c>
      <c r="N976" s="34" t="inlineStr">
        <is>
          <t>Rev 0</t>
        </is>
      </c>
      <c r="O976" s="34" t="inlineStr">
        <is>
          <t>R1393-v1</t>
        </is>
      </c>
      <c r="P976" s="39" t="inlineStr"/>
      <c r="Q976" s="14" t="inlineStr"/>
      <c r="R976" s="39" t="inlineStr"/>
      <c r="S976" s="39" t="inlineStr"/>
      <c r="T976" s="39" t="inlineStr"/>
      <c r="U976" s="39" t="inlineStr"/>
      <c r="V976" s="34" t="inlineStr">
        <is>
          <t>Cost Account = CA-4071; WBS Code = 1.4.1</t>
        </is>
      </c>
      <c r="W976" s="14" t="inlineStr"/>
    </row>
    <row r="977" ht="49" customHeight="1">
      <c r="A977" s="34" t="inlineStr">
        <is>
          <t>1.4.1</t>
        </is>
      </c>
      <c r="B977" s="34" t="inlineStr">
        <is>
          <t>Vehicles and Depot - Fleet Supply</t>
        </is>
      </c>
      <c r="C977" s="34" t="inlineStr">
        <is>
          <t>Cost &amp; Forecast Control Accounts</t>
        </is>
      </c>
      <c r="D977" s="34" t="inlineStr">
        <is>
          <t>CST-04-073</t>
        </is>
      </c>
      <c r="E977" s="34" t="inlineStr">
        <is>
          <t>Vehicles and Depot - fleet supply - professional services</t>
        </is>
      </c>
      <c r="F977" s="34" t="inlineStr">
        <is>
          <t>ONE_TO_ONE</t>
        </is>
      </c>
      <c r="G977" s="34" t="inlineStr">
        <is>
          <t>APPROVED</t>
        </is>
      </c>
      <c r="H977" s="34" t="inlineStr">
        <is>
          <t>New</t>
        </is>
      </c>
      <c r="I977" s="34" t="inlineStr">
        <is>
          <t>Source assignment -- not individually reviewed</t>
        </is>
      </c>
      <c r="J977" s="39" t="inlineStr"/>
      <c r="K977" s="34" t="inlineStr">
        <is>
          <t>Source assignment</t>
        </is>
      </c>
      <c r="L977" s="39" t="inlineStr"/>
      <c r="M977" s="34" t="inlineStr">
        <is>
          <t>Initial</t>
        </is>
      </c>
      <c r="N977" s="34" t="inlineStr">
        <is>
          <t>Rev 0</t>
        </is>
      </c>
      <c r="O977" s="34" t="inlineStr">
        <is>
          <t>R1395-v1</t>
        </is>
      </c>
      <c r="P977" s="39" t="inlineStr"/>
      <c r="Q977" s="14" t="inlineStr"/>
      <c r="R977" s="39" t="inlineStr"/>
      <c r="S977" s="39" t="inlineStr"/>
      <c r="T977" s="39" t="inlineStr"/>
      <c r="U977" s="39" t="inlineStr"/>
      <c r="V977" s="34" t="inlineStr">
        <is>
          <t>Cost Account = CA-4073; WBS Code = 1.4.1</t>
        </is>
      </c>
      <c r="W977" s="14" t="inlineStr"/>
    </row>
    <row r="978" ht="49" customHeight="1">
      <c r="A978" s="34" t="inlineStr">
        <is>
          <t>1.4.1</t>
        </is>
      </c>
      <c r="B978" s="34" t="inlineStr">
        <is>
          <t>Vehicles and Depot - Fleet Supply</t>
        </is>
      </c>
      <c r="C978" s="34" t="inlineStr">
        <is>
          <t>Cost &amp; Forecast Control Accounts</t>
        </is>
      </c>
      <c r="D978" s="34" t="inlineStr">
        <is>
          <t>CST-04-075</t>
        </is>
      </c>
      <c r="E978" s="34" t="inlineStr">
        <is>
          <t>Vehicles and Depot - spares - closeout</t>
        </is>
      </c>
      <c r="F978" s="34" t="inlineStr">
        <is>
          <t>ONE_TO_ONE</t>
        </is>
      </c>
      <c r="G978" s="34" t="inlineStr">
        <is>
          <t>APPROVED</t>
        </is>
      </c>
      <c r="H978" s="34" t="inlineStr">
        <is>
          <t>New</t>
        </is>
      </c>
      <c r="I978" s="34" t="inlineStr">
        <is>
          <t>Source assignment -- not individually reviewed</t>
        </is>
      </c>
      <c r="J978" s="39" t="inlineStr"/>
      <c r="K978" s="34" t="inlineStr">
        <is>
          <t>Source assignment</t>
        </is>
      </c>
      <c r="L978" s="39" t="inlineStr"/>
      <c r="M978" s="34" t="inlineStr">
        <is>
          <t>Initial</t>
        </is>
      </c>
      <c r="N978" s="34" t="inlineStr">
        <is>
          <t>Rev 0</t>
        </is>
      </c>
      <c r="O978" s="34" t="inlineStr">
        <is>
          <t>R1397-v1</t>
        </is>
      </c>
      <c r="P978" s="39" t="inlineStr"/>
      <c r="Q978" s="14" t="inlineStr"/>
      <c r="R978" s="39" t="inlineStr"/>
      <c r="S978" s="39" t="inlineStr"/>
      <c r="T978" s="39" t="inlineStr"/>
      <c r="U978" s="39" t="inlineStr"/>
      <c r="V978" s="34" t="inlineStr">
        <is>
          <t>Cost Account = CA-4075; WBS Code = 1.4.1</t>
        </is>
      </c>
      <c r="W978" s="14" t="inlineStr"/>
    </row>
    <row r="979" ht="49" customHeight="1">
      <c r="A979" s="34" t="inlineStr">
        <is>
          <t>1.4.1</t>
        </is>
      </c>
      <c r="B979" s="34" t="inlineStr">
        <is>
          <t>Vehicles and Depot - Fleet Supply</t>
        </is>
      </c>
      <c r="C979" s="34" t="inlineStr">
        <is>
          <t>Cost &amp; Forecast Control Accounts</t>
        </is>
      </c>
      <c r="D979" s="34" t="inlineStr">
        <is>
          <t>CST-04-077</t>
        </is>
      </c>
      <c r="E979" s="34" t="inlineStr">
        <is>
          <t>Vehicles and Depot - workshop equipment - supply and install</t>
        </is>
      </c>
      <c r="F979" s="34" t="inlineStr">
        <is>
          <t>ONE_TO_ONE</t>
        </is>
      </c>
      <c r="G979" s="34" t="inlineStr">
        <is>
          <t>APPROVED</t>
        </is>
      </c>
      <c r="H979" s="34" t="inlineStr">
        <is>
          <t>New</t>
        </is>
      </c>
      <c r="I979" s="34" t="inlineStr">
        <is>
          <t>Source assignment -- not individually reviewed</t>
        </is>
      </c>
      <c r="J979" s="39" t="inlineStr"/>
      <c r="K979" s="34" t="inlineStr">
        <is>
          <t>Source assignment</t>
        </is>
      </c>
      <c r="L979" s="39" t="inlineStr"/>
      <c r="M979" s="34" t="inlineStr">
        <is>
          <t>Initial</t>
        </is>
      </c>
      <c r="N979" s="34" t="inlineStr">
        <is>
          <t>Rev 0</t>
        </is>
      </c>
      <c r="O979" s="34" t="inlineStr">
        <is>
          <t>R1399-v1</t>
        </is>
      </c>
      <c r="P979" s="39" t="inlineStr"/>
      <c r="Q979" s="14" t="inlineStr"/>
      <c r="R979" s="39" t="inlineStr"/>
      <c r="S979" s="39" t="inlineStr"/>
      <c r="T979" s="39" t="inlineStr"/>
      <c r="U979" s="39" t="inlineStr"/>
      <c r="V979" s="34" t="inlineStr">
        <is>
          <t>Cost Account = CA-4077; WBS Code = 1.4.1</t>
        </is>
      </c>
      <c r="W979" s="14" t="inlineStr"/>
    </row>
    <row r="980" ht="49" customHeight="1">
      <c r="A980" s="34" t="inlineStr">
        <is>
          <t>1.4.1</t>
        </is>
      </c>
      <c r="B980" s="34" t="inlineStr">
        <is>
          <t>Vehicles and Depot - Fleet Supply</t>
        </is>
      </c>
      <c r="C980" s="34" t="inlineStr">
        <is>
          <t>Cost &amp; Forecast Control Accounts</t>
        </is>
      </c>
      <c r="D980" s="34" t="inlineStr">
        <is>
          <t>CST-04-079</t>
        </is>
      </c>
      <c r="E980" s="34" t="inlineStr">
        <is>
          <t>Vehicles and Depot - fleet supply - allowance</t>
        </is>
      </c>
      <c r="F980" s="34" t="inlineStr">
        <is>
          <t>ONE_TO_ONE</t>
        </is>
      </c>
      <c r="G980" s="34" t="inlineStr">
        <is>
          <t>APPROVED</t>
        </is>
      </c>
      <c r="H980" s="34" t="inlineStr">
        <is>
          <t>New</t>
        </is>
      </c>
      <c r="I980" s="34" t="inlineStr">
        <is>
          <t>Source assignment -- not individually reviewed</t>
        </is>
      </c>
      <c r="J980" s="39" t="inlineStr"/>
      <c r="K980" s="34" t="inlineStr">
        <is>
          <t>Source assignment</t>
        </is>
      </c>
      <c r="L980" s="39" t="inlineStr"/>
      <c r="M980" s="34" t="inlineStr">
        <is>
          <t>Initial</t>
        </is>
      </c>
      <c r="N980" s="34" t="inlineStr">
        <is>
          <t>Rev 0</t>
        </is>
      </c>
      <c r="O980" s="34" t="inlineStr">
        <is>
          <t>R1401-v1</t>
        </is>
      </c>
      <c r="P980" s="39" t="inlineStr"/>
      <c r="Q980" s="14" t="inlineStr"/>
      <c r="R980" s="39" t="inlineStr"/>
      <c r="S980" s="39" t="inlineStr"/>
      <c r="T980" s="39" t="inlineStr"/>
      <c r="U980" s="39" t="inlineStr"/>
      <c r="V980" s="34" t="inlineStr">
        <is>
          <t>Cost Account = CA-4079; WBS Code = 1.4.1</t>
        </is>
      </c>
      <c r="W980" s="14" t="inlineStr"/>
    </row>
    <row r="981" ht="49" customHeight="1">
      <c r="A981" s="34" t="inlineStr">
        <is>
          <t>1.4.2</t>
        </is>
      </c>
      <c r="B981" s="34" t="inlineStr">
        <is>
          <t>Vehicles and Depot - Depot Buildings</t>
        </is>
      </c>
      <c r="C981" s="34" t="inlineStr">
        <is>
          <t>Contractor Programme</t>
        </is>
      </c>
      <c r="D981" s="34" t="inlineStr">
        <is>
          <t>SCH-04-006</t>
        </is>
      </c>
      <c r="E981" s="34" t="inlineStr">
        <is>
          <t>Test track: maintenance-bay services - release</t>
        </is>
      </c>
      <c r="F981" s="34" t="inlineStr">
        <is>
          <t>ONE_TO_ONE</t>
        </is>
      </c>
      <c r="G981" s="34" t="inlineStr">
        <is>
          <t>APPROVED</t>
        </is>
      </c>
      <c r="H981" s="34" t="inlineStr">
        <is>
          <t>New</t>
        </is>
      </c>
      <c r="I981" s="34" t="inlineStr">
        <is>
          <t>Source assignment -- not individually reviewed</t>
        </is>
      </c>
      <c r="J981" s="39" t="inlineStr"/>
      <c r="K981" s="34" t="inlineStr">
        <is>
          <t>Source assignment</t>
        </is>
      </c>
      <c r="L981" s="39" t="inlineStr"/>
      <c r="M981" s="34" t="inlineStr">
        <is>
          <t>Initial</t>
        </is>
      </c>
      <c r="N981" s="34" t="inlineStr">
        <is>
          <t>Rev 0</t>
        </is>
      </c>
      <c r="O981" s="34" t="inlineStr">
        <is>
          <t>R546-v1</t>
        </is>
      </c>
      <c r="P981" s="39" t="inlineStr"/>
      <c r="Q981" s="14" t="inlineStr"/>
      <c r="R981" s="39" t="inlineStr"/>
      <c r="S981" s="39" t="inlineStr"/>
      <c r="T981" s="39" t="inlineStr"/>
      <c r="U981" s="39" t="inlineStr"/>
      <c r="V981" s="34" t="inlineStr">
        <is>
          <t>WBS Code = 1.4.2</t>
        </is>
      </c>
      <c r="W981" s="14" t="inlineStr"/>
    </row>
    <row r="982" ht="49" customHeight="1">
      <c r="A982" s="34" t="inlineStr">
        <is>
          <t>1.4.2</t>
        </is>
      </c>
      <c r="B982" s="34" t="inlineStr">
        <is>
          <t>Vehicles and Depot - Depot Buildings</t>
        </is>
      </c>
      <c r="C982" s="34" t="inlineStr">
        <is>
          <t>Contractor Programme</t>
        </is>
      </c>
      <c r="D982" s="34" t="inlineStr">
        <is>
          <t>SCH-04-009</t>
        </is>
      </c>
      <c r="E982" s="34" t="inlineStr">
        <is>
          <t>Storage yard: vehicle-to-depot interface check - inspection</t>
        </is>
      </c>
      <c r="F982" s="34" t="inlineStr">
        <is>
          <t>ONE_TO_ONE</t>
        </is>
      </c>
      <c r="G982" s="34" t="inlineStr">
        <is>
          <t>APPROVED</t>
        </is>
      </c>
      <c r="H982" s="34" t="inlineStr">
        <is>
          <t>New</t>
        </is>
      </c>
      <c r="I982" s="34" t="inlineStr">
        <is>
          <t>Source assignment -- not individually reviewed</t>
        </is>
      </c>
      <c r="J982" s="39" t="inlineStr"/>
      <c r="K982" s="34" t="inlineStr">
        <is>
          <t>Source assignment</t>
        </is>
      </c>
      <c r="L982" s="39" t="inlineStr"/>
      <c r="M982" s="34" t="inlineStr">
        <is>
          <t>Initial</t>
        </is>
      </c>
      <c r="N982" s="34" t="inlineStr">
        <is>
          <t>Rev 0</t>
        </is>
      </c>
      <c r="O982" s="34" t="inlineStr">
        <is>
          <t>R549-v1</t>
        </is>
      </c>
      <c r="P982" s="39" t="inlineStr"/>
      <c r="Q982" s="14" t="inlineStr"/>
      <c r="R982" s="39" t="inlineStr"/>
      <c r="S982" s="39" t="inlineStr"/>
      <c r="T982" s="39" t="inlineStr"/>
      <c r="U982" s="39" t="inlineStr"/>
      <c r="V982" s="34" t="inlineStr">
        <is>
          <t>WBS Code = 1.4.2</t>
        </is>
      </c>
      <c r="W982" s="14" t="inlineStr"/>
    </row>
    <row r="983" ht="49" customHeight="1">
      <c r="A983" s="34" t="inlineStr">
        <is>
          <t>1.4.2</t>
        </is>
      </c>
      <c r="B983" s="34" t="inlineStr">
        <is>
          <t>Vehicles and Depot - Depot Buildings</t>
        </is>
      </c>
      <c r="C983" s="34" t="inlineStr">
        <is>
          <t>Contractor Programme</t>
        </is>
      </c>
      <c r="D983" s="34" t="inlineStr">
        <is>
          <t>SCH-04-012</t>
        </is>
      </c>
      <c r="E983" s="34" t="inlineStr">
        <is>
          <t>Receiving track: vehicle delivery inspection - field start</t>
        </is>
      </c>
      <c r="F983" s="34" t="inlineStr">
        <is>
          <t>ONE_TO_ONE</t>
        </is>
      </c>
      <c r="G983" s="34" t="inlineStr">
        <is>
          <t>APPROVED</t>
        </is>
      </c>
      <c r="H983" s="34" t="inlineStr">
        <is>
          <t>New</t>
        </is>
      </c>
      <c r="I983" s="34" t="inlineStr">
        <is>
          <t>Source assignment -- not individually reviewed</t>
        </is>
      </c>
      <c r="J983" s="39" t="inlineStr"/>
      <c r="K983" s="34" t="inlineStr">
        <is>
          <t>Source assignment</t>
        </is>
      </c>
      <c r="L983" s="39" t="inlineStr"/>
      <c r="M983" s="34" t="inlineStr">
        <is>
          <t>Initial</t>
        </is>
      </c>
      <c r="N983" s="34" t="inlineStr">
        <is>
          <t>Rev 0</t>
        </is>
      </c>
      <c r="O983" s="34" t="inlineStr">
        <is>
          <t>R552-v1</t>
        </is>
      </c>
      <c r="P983" s="39" t="inlineStr"/>
      <c r="Q983" s="14" t="inlineStr"/>
      <c r="R983" s="39" t="inlineStr"/>
      <c r="S983" s="39" t="inlineStr"/>
      <c r="T983" s="39" t="inlineStr"/>
      <c r="U983" s="39" t="inlineStr"/>
      <c r="V983" s="34" t="inlineStr">
        <is>
          <t>WBS Code = 1.4.2</t>
        </is>
      </c>
      <c r="W983" s="14" t="inlineStr"/>
    </row>
    <row r="984" ht="49" customHeight="1">
      <c r="A984" s="34" t="inlineStr">
        <is>
          <t>1.4.2</t>
        </is>
      </c>
      <c r="B984" s="34" t="inlineStr">
        <is>
          <t>Vehicles and Depot - Depot Buildings</t>
        </is>
      </c>
      <c r="C984" s="34" t="inlineStr">
        <is>
          <t>Contractor Programme</t>
        </is>
      </c>
      <c r="D984" s="34" t="inlineStr">
        <is>
          <t>SCH-04-015</t>
        </is>
      </c>
      <c r="E984" s="34" t="inlineStr">
        <is>
          <t>Operations building: depot structural fit-out - turnover</t>
        </is>
      </c>
      <c r="F984" s="34" t="inlineStr">
        <is>
          <t>ONE_TO_ONE</t>
        </is>
      </c>
      <c r="G984" s="34" t="inlineStr">
        <is>
          <t>APPROVED</t>
        </is>
      </c>
      <c r="H984" s="34" t="inlineStr">
        <is>
          <t>New</t>
        </is>
      </c>
      <c r="I984" s="34" t="inlineStr">
        <is>
          <t>Source assignment -- not individually reviewed</t>
        </is>
      </c>
      <c r="J984" s="39" t="inlineStr"/>
      <c r="K984" s="34" t="inlineStr">
        <is>
          <t>Source assignment</t>
        </is>
      </c>
      <c r="L984" s="39" t="inlineStr"/>
      <c r="M984" s="34" t="inlineStr">
        <is>
          <t>Initial</t>
        </is>
      </c>
      <c r="N984" s="34" t="inlineStr">
        <is>
          <t>Rev 0</t>
        </is>
      </c>
      <c r="O984" s="34" t="inlineStr">
        <is>
          <t>R555-v1</t>
        </is>
      </c>
      <c r="P984" s="39" t="inlineStr"/>
      <c r="Q984" s="14" t="inlineStr"/>
      <c r="R984" s="39" t="inlineStr"/>
      <c r="S984" s="39" t="inlineStr"/>
      <c r="T984" s="39" t="inlineStr"/>
      <c r="U984" s="39" t="inlineStr"/>
      <c r="V984" s="34" t="inlineStr">
        <is>
          <t>WBS Code = 1.4.2</t>
        </is>
      </c>
      <c r="W984" s="14" t="inlineStr"/>
    </row>
    <row r="985" ht="49" customHeight="1">
      <c r="A985" s="34" t="inlineStr">
        <is>
          <t>1.4.2</t>
        </is>
      </c>
      <c r="B985" s="34" t="inlineStr">
        <is>
          <t>Vehicles and Depot - Depot Buildings</t>
        </is>
      </c>
      <c r="C985" s="34" t="inlineStr">
        <is>
          <t>Contractor Programme</t>
        </is>
      </c>
      <c r="D985" s="34" t="inlineStr">
        <is>
          <t>SCH-04-018</t>
        </is>
      </c>
      <c r="E985" s="34" t="inlineStr">
        <is>
          <t>Maintenance shop: wheel-lathe installation - installation</t>
        </is>
      </c>
      <c r="F985" s="34" t="inlineStr">
        <is>
          <t>ONE_TO_ONE</t>
        </is>
      </c>
      <c r="G985" s="34" t="inlineStr">
        <is>
          <t>APPROVED</t>
        </is>
      </c>
      <c r="H985" s="34" t="inlineStr">
        <is>
          <t>New</t>
        </is>
      </c>
      <c r="I985" s="34" t="inlineStr">
        <is>
          <t>Source assignment -- not individually reviewed</t>
        </is>
      </c>
      <c r="J985" s="39" t="inlineStr"/>
      <c r="K985" s="34" t="inlineStr">
        <is>
          <t>Source assignment</t>
        </is>
      </c>
      <c r="L985" s="39" t="inlineStr"/>
      <c r="M985" s="34" t="inlineStr">
        <is>
          <t>Initial</t>
        </is>
      </c>
      <c r="N985" s="34" t="inlineStr">
        <is>
          <t>Rev 0</t>
        </is>
      </c>
      <c r="O985" s="34" t="inlineStr">
        <is>
          <t>R558-v1</t>
        </is>
      </c>
      <c r="P985" s="39" t="inlineStr"/>
      <c r="Q985" s="14" t="inlineStr"/>
      <c r="R985" s="39" t="inlineStr"/>
      <c r="S985" s="39" t="inlineStr"/>
      <c r="T985" s="39" t="inlineStr"/>
      <c r="U985" s="39" t="inlineStr"/>
      <c r="V985" s="34" t="inlineStr">
        <is>
          <t>WBS Code = 1.4.2</t>
        </is>
      </c>
      <c r="W985" s="14" t="inlineStr"/>
    </row>
    <row r="986" ht="49" customHeight="1">
      <c r="A986" s="34" t="inlineStr">
        <is>
          <t>1.4.2</t>
        </is>
      </c>
      <c r="B986" s="34" t="inlineStr">
        <is>
          <t>Vehicles and Depot - Depot Buildings</t>
        </is>
      </c>
      <c r="C986" s="34" t="inlineStr">
        <is>
          <t>Contractor Programme</t>
        </is>
      </c>
      <c r="D986" s="34" t="inlineStr">
        <is>
          <t>SCH-04-021</t>
        </is>
      </c>
      <c r="E986" s="34" t="inlineStr">
        <is>
          <t>Test track: wash-plant commissioning - release</t>
        </is>
      </c>
      <c r="F986" s="34" t="inlineStr">
        <is>
          <t>ONE_TO_ONE</t>
        </is>
      </c>
      <c r="G986" s="34" t="inlineStr">
        <is>
          <t>APPROVED</t>
        </is>
      </c>
      <c r="H986" s="34" t="inlineStr">
        <is>
          <t>New</t>
        </is>
      </c>
      <c r="I986" s="34" t="inlineStr">
        <is>
          <t>Source assignment -- not individually reviewed</t>
        </is>
      </c>
      <c r="J986" s="39" t="inlineStr"/>
      <c r="K986" s="34" t="inlineStr">
        <is>
          <t>Source assignment</t>
        </is>
      </c>
      <c r="L986" s="39" t="inlineStr"/>
      <c r="M986" s="34" t="inlineStr">
        <is>
          <t>Initial</t>
        </is>
      </c>
      <c r="N986" s="34" t="inlineStr">
        <is>
          <t>Rev 0</t>
        </is>
      </c>
      <c r="O986" s="34" t="inlineStr">
        <is>
          <t>R561-v1</t>
        </is>
      </c>
      <c r="P986" s="39" t="inlineStr"/>
      <c r="Q986" s="14" t="inlineStr"/>
      <c r="R986" s="39" t="inlineStr"/>
      <c r="S986" s="39" t="inlineStr"/>
      <c r="T986" s="39" t="inlineStr"/>
      <c r="U986" s="39" t="inlineStr"/>
      <c r="V986" s="34" t="inlineStr">
        <is>
          <t>WBS Code = 1.4.2</t>
        </is>
      </c>
      <c r="W986" s="14" t="inlineStr"/>
    </row>
    <row r="987" ht="49" customHeight="1">
      <c r="A987" s="34" t="inlineStr">
        <is>
          <t>1.4.2</t>
        </is>
      </c>
      <c r="B987" s="34" t="inlineStr">
        <is>
          <t>Vehicles and Depot - Depot Buildings</t>
        </is>
      </c>
      <c r="C987" s="34" t="inlineStr">
        <is>
          <t>Contractor Programme</t>
        </is>
      </c>
      <c r="D987" s="34" t="inlineStr">
        <is>
          <t>SCH-04-024</t>
        </is>
      </c>
      <c r="E987" s="34" t="inlineStr">
        <is>
          <t>Storage yard: workshop crane installation - inspection</t>
        </is>
      </c>
      <c r="F987" s="34" t="inlineStr">
        <is>
          <t>ONE_TO_ONE</t>
        </is>
      </c>
      <c r="G987" s="34" t="inlineStr">
        <is>
          <t>APPROVED</t>
        </is>
      </c>
      <c r="H987" s="34" t="inlineStr">
        <is>
          <t>New</t>
        </is>
      </c>
      <c r="I987" s="34" t="inlineStr">
        <is>
          <t>Source assignment -- not individually reviewed</t>
        </is>
      </c>
      <c r="J987" s="39" t="inlineStr"/>
      <c r="K987" s="34" t="inlineStr">
        <is>
          <t>Source assignment</t>
        </is>
      </c>
      <c r="L987" s="39" t="inlineStr"/>
      <c r="M987" s="34" t="inlineStr">
        <is>
          <t>Initial</t>
        </is>
      </c>
      <c r="N987" s="34" t="inlineStr">
        <is>
          <t>Rev 0</t>
        </is>
      </c>
      <c r="O987" s="34" t="inlineStr">
        <is>
          <t>R564-v1</t>
        </is>
      </c>
      <c r="P987" s="39" t="inlineStr"/>
      <c r="Q987" s="14" t="inlineStr"/>
      <c r="R987" s="39" t="inlineStr"/>
      <c r="S987" s="39" t="inlineStr"/>
      <c r="T987" s="39" t="inlineStr"/>
      <c r="U987" s="39" t="inlineStr"/>
      <c r="V987" s="34" t="inlineStr">
        <is>
          <t>WBS Code = 1.4.2</t>
        </is>
      </c>
      <c r="W987" s="14" t="inlineStr"/>
    </row>
    <row r="988" ht="49" customHeight="1">
      <c r="A988" s="34" t="inlineStr">
        <is>
          <t>1.4.2</t>
        </is>
      </c>
      <c r="B988" s="34" t="inlineStr">
        <is>
          <t>Vehicles and Depot - Depot Buildings</t>
        </is>
      </c>
      <c r="C988" s="34" t="inlineStr">
        <is>
          <t>Contractor Programme</t>
        </is>
      </c>
      <c r="D988" s="34" t="inlineStr">
        <is>
          <t>SCH-04-027</t>
        </is>
      </c>
      <c r="E988" s="34" t="inlineStr">
        <is>
          <t>Receiving track: fleet software load - field start</t>
        </is>
      </c>
      <c r="F988" s="34" t="inlineStr">
        <is>
          <t>ONE_TO_ONE</t>
        </is>
      </c>
      <c r="G988" s="34" t="inlineStr">
        <is>
          <t>APPROVED</t>
        </is>
      </c>
      <c r="H988" s="34" t="inlineStr">
        <is>
          <t>New</t>
        </is>
      </c>
      <c r="I988" s="34" t="inlineStr">
        <is>
          <t>Source assignment -- not individually reviewed</t>
        </is>
      </c>
      <c r="J988" s="39" t="inlineStr"/>
      <c r="K988" s="34" t="inlineStr">
        <is>
          <t>Source assignment</t>
        </is>
      </c>
      <c r="L988" s="39" t="inlineStr"/>
      <c r="M988" s="34" t="inlineStr">
        <is>
          <t>Initial</t>
        </is>
      </c>
      <c r="N988" s="34" t="inlineStr">
        <is>
          <t>Rev 0</t>
        </is>
      </c>
      <c r="O988" s="34" t="inlineStr">
        <is>
          <t>R567-v1</t>
        </is>
      </c>
      <c r="P988" s="39" t="inlineStr"/>
      <c r="Q988" s="14" t="inlineStr"/>
      <c r="R988" s="39" t="inlineStr"/>
      <c r="S988" s="39" t="inlineStr"/>
      <c r="T988" s="39" t="inlineStr"/>
      <c r="U988" s="39" t="inlineStr"/>
      <c r="V988" s="34" t="inlineStr">
        <is>
          <t>WBS Code = 1.4.2</t>
        </is>
      </c>
      <c r="W988" s="14" t="inlineStr"/>
    </row>
    <row r="989" ht="49" customHeight="1">
      <c r="A989" s="34" t="inlineStr">
        <is>
          <t>1.4.2</t>
        </is>
      </c>
      <c r="B989" s="34" t="inlineStr">
        <is>
          <t>Vehicles and Depot - Depot Buildings</t>
        </is>
      </c>
      <c r="C989" s="34" t="inlineStr">
        <is>
          <t>Contractor Programme</t>
        </is>
      </c>
      <c r="D989" s="34" t="inlineStr">
        <is>
          <t>SCH-04-030</t>
        </is>
      </c>
      <c r="E989" s="34" t="inlineStr">
        <is>
          <t>Operations building: maintenance-bay services - turnover</t>
        </is>
      </c>
      <c r="F989" s="34" t="inlineStr">
        <is>
          <t>ONE_TO_ONE</t>
        </is>
      </c>
      <c r="G989" s="34" t="inlineStr">
        <is>
          <t>APPROVED</t>
        </is>
      </c>
      <c r="H989" s="34" t="inlineStr">
        <is>
          <t>New</t>
        </is>
      </c>
      <c r="I989" s="34" t="inlineStr">
        <is>
          <t>Source assignment -- not individually reviewed</t>
        </is>
      </c>
      <c r="J989" s="39" t="inlineStr"/>
      <c r="K989" s="34" t="inlineStr">
        <is>
          <t>Source assignment</t>
        </is>
      </c>
      <c r="L989" s="39" t="inlineStr"/>
      <c r="M989" s="34" t="inlineStr">
        <is>
          <t>Initial</t>
        </is>
      </c>
      <c r="N989" s="34" t="inlineStr">
        <is>
          <t>Rev 0</t>
        </is>
      </c>
      <c r="O989" s="34" t="inlineStr">
        <is>
          <t>R570-v1</t>
        </is>
      </c>
      <c r="P989" s="39" t="inlineStr"/>
      <c r="Q989" s="14" t="inlineStr"/>
      <c r="R989" s="39" t="inlineStr"/>
      <c r="S989" s="39" t="inlineStr"/>
      <c r="T989" s="39" t="inlineStr"/>
      <c r="U989" s="39" t="inlineStr"/>
      <c r="V989" s="34" t="inlineStr">
        <is>
          <t>WBS Code = 1.4.2</t>
        </is>
      </c>
      <c r="W989" s="14" t="inlineStr"/>
    </row>
    <row r="990" ht="49" customHeight="1">
      <c r="A990" s="34" t="inlineStr">
        <is>
          <t>1.4.2</t>
        </is>
      </c>
      <c r="B990" s="34" t="inlineStr">
        <is>
          <t>Vehicles and Depot - Depot Buildings</t>
        </is>
      </c>
      <c r="C990" s="34" t="inlineStr">
        <is>
          <t>Contractor Programme</t>
        </is>
      </c>
      <c r="D990" s="34" t="inlineStr">
        <is>
          <t>SCH-04-033</t>
        </is>
      </c>
      <c r="E990" s="34" t="inlineStr">
        <is>
          <t>Maintenance shop: vehicle-to-depot interface check - installation</t>
        </is>
      </c>
      <c r="F990" s="34" t="inlineStr">
        <is>
          <t>ONE_TO_ONE</t>
        </is>
      </c>
      <c r="G990" s="34" t="inlineStr">
        <is>
          <t>APPROVED</t>
        </is>
      </c>
      <c r="H990" s="34" t="inlineStr">
        <is>
          <t>New</t>
        </is>
      </c>
      <c r="I990" s="34" t="inlineStr">
        <is>
          <t>Source assignment -- not individually reviewed</t>
        </is>
      </c>
      <c r="J990" s="39" t="inlineStr"/>
      <c r="K990" s="34" t="inlineStr">
        <is>
          <t>Source assignment</t>
        </is>
      </c>
      <c r="L990" s="39" t="inlineStr"/>
      <c r="M990" s="34" t="inlineStr">
        <is>
          <t>Initial</t>
        </is>
      </c>
      <c r="N990" s="34" t="inlineStr">
        <is>
          <t>Rev 0</t>
        </is>
      </c>
      <c r="O990" s="34" t="inlineStr">
        <is>
          <t>R573-v1</t>
        </is>
      </c>
      <c r="P990" s="39" t="inlineStr"/>
      <c r="Q990" s="14" t="inlineStr"/>
      <c r="R990" s="39" t="inlineStr"/>
      <c r="S990" s="39" t="inlineStr"/>
      <c r="T990" s="39" t="inlineStr"/>
      <c r="U990" s="39" t="inlineStr"/>
      <c r="V990" s="34" t="inlineStr">
        <is>
          <t>WBS Code = 1.4.2</t>
        </is>
      </c>
      <c r="W990" s="14" t="inlineStr"/>
    </row>
    <row r="991" ht="49" customHeight="1">
      <c r="A991" s="34" t="inlineStr">
        <is>
          <t>1.4.2</t>
        </is>
      </c>
      <c r="B991" s="34" t="inlineStr">
        <is>
          <t>Vehicles and Depot - Depot Buildings</t>
        </is>
      </c>
      <c r="C991" s="34" t="inlineStr">
        <is>
          <t>Contractor Programme</t>
        </is>
      </c>
      <c r="D991" s="34" t="inlineStr">
        <is>
          <t>SCH-04-036</t>
        </is>
      </c>
      <c r="E991" s="34" t="inlineStr">
        <is>
          <t>Test track: vehicle delivery inspection - release</t>
        </is>
      </c>
      <c r="F991" s="34" t="inlineStr">
        <is>
          <t>ONE_TO_ONE</t>
        </is>
      </c>
      <c r="G991" s="34" t="inlineStr">
        <is>
          <t>APPROVED</t>
        </is>
      </c>
      <c r="H991" s="34" t="inlineStr">
        <is>
          <t>New</t>
        </is>
      </c>
      <c r="I991" s="34" t="inlineStr">
        <is>
          <t>Source assignment -- not individually reviewed</t>
        </is>
      </c>
      <c r="J991" s="39" t="inlineStr"/>
      <c r="K991" s="34" t="inlineStr">
        <is>
          <t>Source assignment</t>
        </is>
      </c>
      <c r="L991" s="39" t="inlineStr"/>
      <c r="M991" s="34" t="inlineStr">
        <is>
          <t>Initial</t>
        </is>
      </c>
      <c r="N991" s="34" t="inlineStr">
        <is>
          <t>Rev 0</t>
        </is>
      </c>
      <c r="O991" s="34" t="inlineStr">
        <is>
          <t>R576-v1</t>
        </is>
      </c>
      <c r="P991" s="39" t="inlineStr"/>
      <c r="Q991" s="14" t="inlineStr"/>
      <c r="R991" s="39" t="inlineStr"/>
      <c r="S991" s="39" t="inlineStr"/>
      <c r="T991" s="39" t="inlineStr"/>
      <c r="U991" s="39" t="inlineStr"/>
      <c r="V991" s="34" t="inlineStr">
        <is>
          <t>WBS Code = 1.4.2</t>
        </is>
      </c>
      <c r="W991" s="14" t="inlineStr"/>
    </row>
    <row r="992" ht="49" customHeight="1">
      <c r="A992" s="34" t="inlineStr">
        <is>
          <t>1.4.2</t>
        </is>
      </c>
      <c r="B992" s="34" t="inlineStr">
        <is>
          <t>Vehicles and Depot - Depot Buildings</t>
        </is>
      </c>
      <c r="C992" s="34" t="inlineStr">
        <is>
          <t>Contractor Programme</t>
        </is>
      </c>
      <c r="D992" s="34" t="inlineStr">
        <is>
          <t>SCH-04-039</t>
        </is>
      </c>
      <c r="E992" s="34" t="inlineStr">
        <is>
          <t>Storage yard: depot structural fit-out - inspection</t>
        </is>
      </c>
      <c r="F992" s="34" t="inlineStr">
        <is>
          <t>ONE_TO_ONE</t>
        </is>
      </c>
      <c r="G992" s="34" t="inlineStr">
        <is>
          <t>APPROVED</t>
        </is>
      </c>
      <c r="H992" s="34" t="inlineStr">
        <is>
          <t>New</t>
        </is>
      </c>
      <c r="I992" s="34" t="inlineStr">
        <is>
          <t>Source assignment -- not individually reviewed</t>
        </is>
      </c>
      <c r="J992" s="39" t="inlineStr"/>
      <c r="K992" s="34" t="inlineStr">
        <is>
          <t>Source assignment</t>
        </is>
      </c>
      <c r="L992" s="39" t="inlineStr"/>
      <c r="M992" s="34" t="inlineStr">
        <is>
          <t>Initial</t>
        </is>
      </c>
      <c r="N992" s="34" t="inlineStr">
        <is>
          <t>Rev 0</t>
        </is>
      </c>
      <c r="O992" s="34" t="inlineStr">
        <is>
          <t>R579-v1</t>
        </is>
      </c>
      <c r="P992" s="39" t="inlineStr"/>
      <c r="Q992" s="14" t="inlineStr"/>
      <c r="R992" s="39" t="inlineStr"/>
      <c r="S992" s="39" t="inlineStr"/>
      <c r="T992" s="39" t="inlineStr"/>
      <c r="U992" s="39" t="inlineStr"/>
      <c r="V992" s="34" t="inlineStr">
        <is>
          <t>WBS Code = 1.4.2</t>
        </is>
      </c>
      <c r="W992" s="14" t="inlineStr"/>
    </row>
    <row r="993" ht="49" customHeight="1">
      <c r="A993" s="34" t="inlineStr">
        <is>
          <t>1.4.2</t>
        </is>
      </c>
      <c r="B993" s="34" t="inlineStr">
        <is>
          <t>Vehicles and Depot - Depot Buildings</t>
        </is>
      </c>
      <c r="C993" s="34" t="inlineStr">
        <is>
          <t>Contractor Programme</t>
        </is>
      </c>
      <c r="D993" s="34" t="inlineStr">
        <is>
          <t>SCH-04-042</t>
        </is>
      </c>
      <c r="E993" s="34" t="inlineStr">
        <is>
          <t>Receiving track: wheel-lathe installation - field start</t>
        </is>
      </c>
      <c r="F993" s="34" t="inlineStr">
        <is>
          <t>ONE_TO_ONE</t>
        </is>
      </c>
      <c r="G993" s="34" t="inlineStr">
        <is>
          <t>APPROVED</t>
        </is>
      </c>
      <c r="H993" s="34" t="inlineStr">
        <is>
          <t>New</t>
        </is>
      </c>
      <c r="I993" s="34" t="inlineStr">
        <is>
          <t>Source assignment -- not individually reviewed</t>
        </is>
      </c>
      <c r="J993" s="39" t="inlineStr"/>
      <c r="K993" s="34" t="inlineStr">
        <is>
          <t>Source assignment</t>
        </is>
      </c>
      <c r="L993" s="39" t="inlineStr"/>
      <c r="M993" s="34" t="inlineStr">
        <is>
          <t>Initial</t>
        </is>
      </c>
      <c r="N993" s="34" t="inlineStr">
        <is>
          <t>Rev 0</t>
        </is>
      </c>
      <c r="O993" s="34" t="inlineStr">
        <is>
          <t>R582-v1</t>
        </is>
      </c>
      <c r="P993" s="39" t="inlineStr"/>
      <c r="Q993" s="14" t="inlineStr"/>
      <c r="R993" s="39" t="inlineStr"/>
      <c r="S993" s="39" t="inlineStr"/>
      <c r="T993" s="39" t="inlineStr"/>
      <c r="U993" s="39" t="inlineStr"/>
      <c r="V993" s="34" t="inlineStr">
        <is>
          <t>WBS Code = 1.4.2</t>
        </is>
      </c>
      <c r="W993" s="14" t="inlineStr"/>
    </row>
    <row r="994" ht="49" customHeight="1">
      <c r="A994" s="34" t="inlineStr">
        <is>
          <t>1.4.2</t>
        </is>
      </c>
      <c r="B994" s="34" t="inlineStr">
        <is>
          <t>Vehicles and Depot - Depot Buildings</t>
        </is>
      </c>
      <c r="C994" s="34" t="inlineStr">
        <is>
          <t>Contractor Programme</t>
        </is>
      </c>
      <c r="D994" s="34" t="inlineStr">
        <is>
          <t>SCH-04-045</t>
        </is>
      </c>
      <c r="E994" s="34" t="inlineStr">
        <is>
          <t>Operations building: wash-plant commissioning - turnover</t>
        </is>
      </c>
      <c r="F994" s="34" t="inlineStr">
        <is>
          <t>ONE_TO_ONE</t>
        </is>
      </c>
      <c r="G994" s="34" t="inlineStr">
        <is>
          <t>APPROVED</t>
        </is>
      </c>
      <c r="H994" s="34" t="inlineStr">
        <is>
          <t>New</t>
        </is>
      </c>
      <c r="I994" s="34" t="inlineStr">
        <is>
          <t>Source assignment -- not individually reviewed</t>
        </is>
      </c>
      <c r="J994" s="39" t="inlineStr"/>
      <c r="K994" s="34" t="inlineStr">
        <is>
          <t>Source assignment</t>
        </is>
      </c>
      <c r="L994" s="39" t="inlineStr"/>
      <c r="M994" s="34" t="inlineStr">
        <is>
          <t>Initial</t>
        </is>
      </c>
      <c r="N994" s="34" t="inlineStr">
        <is>
          <t>Rev 0</t>
        </is>
      </c>
      <c r="O994" s="34" t="inlineStr">
        <is>
          <t>R585-v1</t>
        </is>
      </c>
      <c r="P994" s="39" t="inlineStr"/>
      <c r="Q994" s="14" t="inlineStr"/>
      <c r="R994" s="39" t="inlineStr"/>
      <c r="S994" s="39" t="inlineStr"/>
      <c r="T994" s="39" t="inlineStr"/>
      <c r="U994" s="39" t="inlineStr"/>
      <c r="V994" s="34" t="inlineStr">
        <is>
          <t>WBS Code = 1.4.2</t>
        </is>
      </c>
      <c r="W994" s="14" t="inlineStr"/>
    </row>
    <row r="995" ht="49" customHeight="1">
      <c r="A995" s="34" t="inlineStr">
        <is>
          <t>1.4.2</t>
        </is>
      </c>
      <c r="B995" s="34" t="inlineStr">
        <is>
          <t>Vehicles and Depot - Depot Buildings</t>
        </is>
      </c>
      <c r="C995" s="34" t="inlineStr">
        <is>
          <t>Contractor Programme</t>
        </is>
      </c>
      <c r="D995" s="34" t="inlineStr">
        <is>
          <t>SCH-04-048</t>
        </is>
      </c>
      <c r="E995" s="34" t="inlineStr">
        <is>
          <t>Maintenance shop: workshop crane installation - installation</t>
        </is>
      </c>
      <c r="F995" s="34" t="inlineStr">
        <is>
          <t>ONE_TO_ONE</t>
        </is>
      </c>
      <c r="G995" s="34" t="inlineStr">
        <is>
          <t>APPROVED</t>
        </is>
      </c>
      <c r="H995" s="34" t="inlineStr">
        <is>
          <t>New</t>
        </is>
      </c>
      <c r="I995" s="34" t="inlineStr">
        <is>
          <t>Source assignment -- not individually reviewed</t>
        </is>
      </c>
      <c r="J995" s="39" t="inlineStr"/>
      <c r="K995" s="34" t="inlineStr">
        <is>
          <t>Source assignment</t>
        </is>
      </c>
      <c r="L995" s="39" t="inlineStr"/>
      <c r="M995" s="34" t="inlineStr">
        <is>
          <t>Initial</t>
        </is>
      </c>
      <c r="N995" s="34" t="inlineStr">
        <is>
          <t>Rev 0</t>
        </is>
      </c>
      <c r="O995" s="34" t="inlineStr">
        <is>
          <t>R588-v1</t>
        </is>
      </c>
      <c r="P995" s="39" t="inlineStr"/>
      <c r="Q995" s="14" t="inlineStr"/>
      <c r="R995" s="39" t="inlineStr"/>
      <c r="S995" s="39" t="inlineStr"/>
      <c r="T995" s="39" t="inlineStr"/>
      <c r="U995" s="39" t="inlineStr"/>
      <c r="V995" s="34" t="inlineStr">
        <is>
          <t>WBS Code = 1.4.2</t>
        </is>
      </c>
      <c r="W995" s="14" t="inlineStr"/>
    </row>
    <row r="996" ht="49" customHeight="1">
      <c r="A996" s="34" t="inlineStr">
        <is>
          <t>1.4.2</t>
        </is>
      </c>
      <c r="B996" s="34" t="inlineStr">
        <is>
          <t>Vehicles and Depot - Depot Buildings</t>
        </is>
      </c>
      <c r="C996" s="34" t="inlineStr">
        <is>
          <t>Contractor Programme</t>
        </is>
      </c>
      <c r="D996" s="34" t="inlineStr">
        <is>
          <t>SCH-04-051</t>
        </is>
      </c>
      <c r="E996" s="34" t="inlineStr">
        <is>
          <t>Test track: fleet software load - release</t>
        </is>
      </c>
      <c r="F996" s="34" t="inlineStr">
        <is>
          <t>ONE_TO_ONE</t>
        </is>
      </c>
      <c r="G996" s="34" t="inlineStr">
        <is>
          <t>APPROVED</t>
        </is>
      </c>
      <c r="H996" s="34" t="inlineStr">
        <is>
          <t>New</t>
        </is>
      </c>
      <c r="I996" s="34" t="inlineStr">
        <is>
          <t>Source assignment -- not individually reviewed</t>
        </is>
      </c>
      <c r="J996" s="39" t="inlineStr"/>
      <c r="K996" s="34" t="inlineStr">
        <is>
          <t>Source assignment</t>
        </is>
      </c>
      <c r="L996" s="39" t="inlineStr"/>
      <c r="M996" s="34" t="inlineStr">
        <is>
          <t>Initial</t>
        </is>
      </c>
      <c r="N996" s="34" t="inlineStr">
        <is>
          <t>Rev 0</t>
        </is>
      </c>
      <c r="O996" s="34" t="inlineStr">
        <is>
          <t>R591-v1</t>
        </is>
      </c>
      <c r="P996" s="39" t="inlineStr"/>
      <c r="Q996" s="14" t="inlineStr"/>
      <c r="R996" s="39" t="inlineStr"/>
      <c r="S996" s="39" t="inlineStr"/>
      <c r="T996" s="39" t="inlineStr"/>
      <c r="U996" s="39" t="inlineStr"/>
      <c r="V996" s="34" t="inlineStr">
        <is>
          <t>WBS Code = 1.4.2</t>
        </is>
      </c>
      <c r="W996" s="14" t="inlineStr"/>
    </row>
    <row r="997" ht="49" customHeight="1">
      <c r="A997" s="34" t="inlineStr">
        <is>
          <t>1.4.2</t>
        </is>
      </c>
      <c r="B997" s="34" t="inlineStr">
        <is>
          <t>Vehicles and Depot - Depot Buildings</t>
        </is>
      </c>
      <c r="C997" s="34" t="inlineStr">
        <is>
          <t>Contractor Programme</t>
        </is>
      </c>
      <c r="D997" s="34" t="inlineStr">
        <is>
          <t>SCH-04-054</t>
        </is>
      </c>
      <c r="E997" s="34" t="inlineStr">
        <is>
          <t>Storage yard: maintenance-bay services - inspection</t>
        </is>
      </c>
      <c r="F997" s="34" t="inlineStr">
        <is>
          <t>ONE_TO_ONE</t>
        </is>
      </c>
      <c r="G997" s="34" t="inlineStr">
        <is>
          <t>APPROVED</t>
        </is>
      </c>
      <c r="H997" s="34" t="inlineStr">
        <is>
          <t>New</t>
        </is>
      </c>
      <c r="I997" s="34" t="inlineStr">
        <is>
          <t>Source assignment -- not individually reviewed</t>
        </is>
      </c>
      <c r="J997" s="39" t="inlineStr"/>
      <c r="K997" s="34" t="inlineStr">
        <is>
          <t>Source assignment</t>
        </is>
      </c>
      <c r="L997" s="39" t="inlineStr"/>
      <c r="M997" s="34" t="inlineStr">
        <is>
          <t>Initial</t>
        </is>
      </c>
      <c r="N997" s="34" t="inlineStr">
        <is>
          <t>Rev 0</t>
        </is>
      </c>
      <c r="O997" s="34" t="inlineStr">
        <is>
          <t>R594-v1</t>
        </is>
      </c>
      <c r="P997" s="39" t="inlineStr"/>
      <c r="Q997" s="14" t="inlineStr"/>
      <c r="R997" s="39" t="inlineStr"/>
      <c r="S997" s="39" t="inlineStr"/>
      <c r="T997" s="39" t="inlineStr"/>
      <c r="U997" s="39" t="inlineStr"/>
      <c r="V997" s="34" t="inlineStr">
        <is>
          <t>WBS Code = 1.4.2</t>
        </is>
      </c>
      <c r="W997" s="14" t="inlineStr"/>
    </row>
    <row r="998" ht="49" customHeight="1">
      <c r="A998" s="34" t="inlineStr">
        <is>
          <t>1.4.2</t>
        </is>
      </c>
      <c r="B998" s="34" t="inlineStr">
        <is>
          <t>Vehicles and Depot - Depot Buildings</t>
        </is>
      </c>
      <c r="C998" s="34" t="inlineStr">
        <is>
          <t>Contractor Programme</t>
        </is>
      </c>
      <c r="D998" s="34" t="inlineStr">
        <is>
          <t>SCH-04-057</t>
        </is>
      </c>
      <c r="E998" s="34" t="inlineStr">
        <is>
          <t>Receiving track: vehicle-to-depot interface check - field start</t>
        </is>
      </c>
      <c r="F998" s="34" t="inlineStr">
        <is>
          <t>ONE_TO_ONE</t>
        </is>
      </c>
      <c r="G998" s="34" t="inlineStr">
        <is>
          <t>APPROVED</t>
        </is>
      </c>
      <c r="H998" s="34" t="inlineStr">
        <is>
          <t>New</t>
        </is>
      </c>
      <c r="I998" s="34" t="inlineStr">
        <is>
          <t>Source assignment -- not individually reviewed</t>
        </is>
      </c>
      <c r="J998" s="39" t="inlineStr"/>
      <c r="K998" s="34" t="inlineStr">
        <is>
          <t>Source assignment</t>
        </is>
      </c>
      <c r="L998" s="39" t="inlineStr"/>
      <c r="M998" s="34" t="inlineStr">
        <is>
          <t>Initial</t>
        </is>
      </c>
      <c r="N998" s="34" t="inlineStr">
        <is>
          <t>Rev 0</t>
        </is>
      </c>
      <c r="O998" s="34" t="inlineStr">
        <is>
          <t>R597-v1</t>
        </is>
      </c>
      <c r="P998" s="39" t="inlineStr"/>
      <c r="Q998" s="14" t="inlineStr"/>
      <c r="R998" s="39" t="inlineStr"/>
      <c r="S998" s="39" t="inlineStr"/>
      <c r="T998" s="39" t="inlineStr"/>
      <c r="U998" s="39" t="inlineStr"/>
      <c r="V998" s="34" t="inlineStr">
        <is>
          <t>WBS Code = 1.4.2</t>
        </is>
      </c>
      <c r="W998" s="14" t="inlineStr"/>
    </row>
    <row r="999" ht="49" customHeight="1">
      <c r="A999" s="34" t="inlineStr">
        <is>
          <t>1.4.2</t>
        </is>
      </c>
      <c r="B999" s="34" t="inlineStr">
        <is>
          <t>Vehicles and Depot - Depot Buildings</t>
        </is>
      </c>
      <c r="C999" s="34" t="inlineStr">
        <is>
          <t>Contractor Programme</t>
        </is>
      </c>
      <c r="D999" s="34" t="inlineStr">
        <is>
          <t>SCH-04-060</t>
        </is>
      </c>
      <c r="E999" s="34" t="inlineStr">
        <is>
          <t>Operations building: vehicle delivery inspection - turnover</t>
        </is>
      </c>
      <c r="F999" s="34" t="inlineStr">
        <is>
          <t>ONE_TO_ONE</t>
        </is>
      </c>
      <c r="G999" s="34" t="inlineStr">
        <is>
          <t>APPROVED</t>
        </is>
      </c>
      <c r="H999" s="34" t="inlineStr">
        <is>
          <t>New</t>
        </is>
      </c>
      <c r="I999" s="34" t="inlineStr">
        <is>
          <t>Source assignment -- not individually reviewed</t>
        </is>
      </c>
      <c r="J999" s="39" t="inlineStr"/>
      <c r="K999" s="34" t="inlineStr">
        <is>
          <t>Source assignment</t>
        </is>
      </c>
      <c r="L999" s="39" t="inlineStr"/>
      <c r="M999" s="34" t="inlineStr">
        <is>
          <t>Initial</t>
        </is>
      </c>
      <c r="N999" s="34" t="inlineStr">
        <is>
          <t>Rev 0</t>
        </is>
      </c>
      <c r="O999" s="34" t="inlineStr">
        <is>
          <t>R600-v1</t>
        </is>
      </c>
      <c r="P999" s="39" t="inlineStr"/>
      <c r="Q999" s="14" t="inlineStr"/>
      <c r="R999" s="39" t="inlineStr"/>
      <c r="S999" s="39" t="inlineStr"/>
      <c r="T999" s="39" t="inlineStr"/>
      <c r="U999" s="39" t="inlineStr"/>
      <c r="V999" s="34" t="inlineStr">
        <is>
          <t>WBS Code = 1.4.2</t>
        </is>
      </c>
      <c r="W999" s="14" t="inlineStr"/>
    </row>
    <row r="1000" ht="49" customHeight="1">
      <c r="A1000" s="34" t="inlineStr">
        <is>
          <t>1.4.2</t>
        </is>
      </c>
      <c r="B1000" s="34" t="inlineStr">
        <is>
          <t>Vehicles and Depot - Depot Buildings</t>
        </is>
      </c>
      <c r="C1000" s="34" t="inlineStr">
        <is>
          <t>Contractor Programme</t>
        </is>
      </c>
      <c r="D1000" s="34" t="inlineStr">
        <is>
          <t>SCH-04-063</t>
        </is>
      </c>
      <c r="E1000" s="34" t="inlineStr">
        <is>
          <t>Maintenance shop: depot structural fit-out - installation</t>
        </is>
      </c>
      <c r="F1000" s="34" t="inlineStr">
        <is>
          <t>ONE_TO_ONE</t>
        </is>
      </c>
      <c r="G1000" s="34" t="inlineStr">
        <is>
          <t>APPROVED</t>
        </is>
      </c>
      <c r="H1000" s="34" t="inlineStr">
        <is>
          <t>New</t>
        </is>
      </c>
      <c r="I1000" s="34" t="inlineStr">
        <is>
          <t>Source assignment -- not individually reviewed</t>
        </is>
      </c>
      <c r="J1000" s="39" t="inlineStr"/>
      <c r="K1000" s="34" t="inlineStr">
        <is>
          <t>Source assignment</t>
        </is>
      </c>
      <c r="L1000" s="39" t="inlineStr"/>
      <c r="M1000" s="34" t="inlineStr">
        <is>
          <t>Initial</t>
        </is>
      </c>
      <c r="N1000" s="34" t="inlineStr">
        <is>
          <t>Rev 0</t>
        </is>
      </c>
      <c r="O1000" s="34" t="inlineStr">
        <is>
          <t>R603-v1</t>
        </is>
      </c>
      <c r="P1000" s="39" t="inlineStr"/>
      <c r="Q1000" s="14" t="inlineStr"/>
      <c r="R1000" s="39" t="inlineStr"/>
      <c r="S1000" s="39" t="inlineStr"/>
      <c r="T1000" s="39" t="inlineStr"/>
      <c r="U1000" s="39" t="inlineStr"/>
      <c r="V1000" s="34" t="inlineStr">
        <is>
          <t>WBS Code = 1.4.2</t>
        </is>
      </c>
      <c r="W1000" s="14" t="inlineStr"/>
    </row>
    <row r="1001" ht="49" customHeight="1">
      <c r="A1001" s="34" t="inlineStr">
        <is>
          <t>1.4.2</t>
        </is>
      </c>
      <c r="B1001" s="34" t="inlineStr">
        <is>
          <t>Vehicles and Depot - Depot Buildings</t>
        </is>
      </c>
      <c r="C1001" s="34" t="inlineStr">
        <is>
          <t>Contractor Programme</t>
        </is>
      </c>
      <c r="D1001" s="34" t="inlineStr">
        <is>
          <t>SCH-04-066</t>
        </is>
      </c>
      <c r="E1001" s="34" t="inlineStr">
        <is>
          <t>Test track: wheel-lathe installation - release</t>
        </is>
      </c>
      <c r="F1001" s="34" t="inlineStr">
        <is>
          <t>ONE_TO_ONE</t>
        </is>
      </c>
      <c r="G1001" s="34" t="inlineStr">
        <is>
          <t>APPROVED</t>
        </is>
      </c>
      <c r="H1001" s="34" t="inlineStr">
        <is>
          <t>New</t>
        </is>
      </c>
      <c r="I1001" s="34" t="inlineStr">
        <is>
          <t>Source assignment -- not individually reviewed</t>
        </is>
      </c>
      <c r="J1001" s="39" t="inlineStr"/>
      <c r="K1001" s="34" t="inlineStr">
        <is>
          <t>Source assignment</t>
        </is>
      </c>
      <c r="L1001" s="39" t="inlineStr"/>
      <c r="M1001" s="34" t="inlineStr">
        <is>
          <t>Initial</t>
        </is>
      </c>
      <c r="N1001" s="34" t="inlineStr">
        <is>
          <t>Rev 0</t>
        </is>
      </c>
      <c r="O1001" s="34" t="inlineStr">
        <is>
          <t>R606-v1</t>
        </is>
      </c>
      <c r="P1001" s="39" t="inlineStr"/>
      <c r="Q1001" s="14" t="inlineStr"/>
      <c r="R1001" s="39" t="inlineStr"/>
      <c r="S1001" s="39" t="inlineStr"/>
      <c r="T1001" s="39" t="inlineStr"/>
      <c r="U1001" s="39" t="inlineStr"/>
      <c r="V1001" s="34" t="inlineStr">
        <is>
          <t>WBS Code = 1.4.2</t>
        </is>
      </c>
      <c r="W1001" s="14" t="inlineStr"/>
    </row>
    <row r="1002" ht="49" customHeight="1">
      <c r="A1002" s="34" t="inlineStr">
        <is>
          <t>1.4.2</t>
        </is>
      </c>
      <c r="B1002" s="34" t="inlineStr">
        <is>
          <t>Vehicles and Depot - Depot Buildings</t>
        </is>
      </c>
      <c r="C1002" s="34" t="inlineStr">
        <is>
          <t>Contractor Programme</t>
        </is>
      </c>
      <c r="D1002" s="34" t="inlineStr">
        <is>
          <t>SCH-04-069</t>
        </is>
      </c>
      <c r="E1002" s="34" t="inlineStr">
        <is>
          <t>Storage yard: wash-plant commissioning - inspection</t>
        </is>
      </c>
      <c r="F1002" s="34" t="inlineStr">
        <is>
          <t>ONE_TO_ONE</t>
        </is>
      </c>
      <c r="G1002" s="34" t="inlineStr">
        <is>
          <t>APPROVED</t>
        </is>
      </c>
      <c r="H1002" s="34" t="inlineStr">
        <is>
          <t>New</t>
        </is>
      </c>
      <c r="I1002" s="34" t="inlineStr">
        <is>
          <t>Source assignment -- not individually reviewed</t>
        </is>
      </c>
      <c r="J1002" s="39" t="inlineStr"/>
      <c r="K1002" s="34" t="inlineStr">
        <is>
          <t>Source assignment</t>
        </is>
      </c>
      <c r="L1002" s="39" t="inlineStr"/>
      <c r="M1002" s="34" t="inlineStr">
        <is>
          <t>Initial</t>
        </is>
      </c>
      <c r="N1002" s="34" t="inlineStr">
        <is>
          <t>Rev 0</t>
        </is>
      </c>
      <c r="O1002" s="34" t="inlineStr">
        <is>
          <t>R609-v1</t>
        </is>
      </c>
      <c r="P1002" s="39" t="inlineStr"/>
      <c r="Q1002" s="14" t="inlineStr"/>
      <c r="R1002" s="39" t="inlineStr"/>
      <c r="S1002" s="39" t="inlineStr"/>
      <c r="T1002" s="39" t="inlineStr"/>
      <c r="U1002" s="39" t="inlineStr"/>
      <c r="V1002" s="34" t="inlineStr">
        <is>
          <t>WBS Code = 1.4.2</t>
        </is>
      </c>
      <c r="W1002" s="14" t="inlineStr"/>
    </row>
    <row r="1003" ht="49" customHeight="1">
      <c r="A1003" s="34" t="inlineStr">
        <is>
          <t>1.4.2</t>
        </is>
      </c>
      <c r="B1003" s="34" t="inlineStr">
        <is>
          <t>Vehicles and Depot - Depot Buildings</t>
        </is>
      </c>
      <c r="C1003" s="34" t="inlineStr">
        <is>
          <t>Contractor Programme</t>
        </is>
      </c>
      <c r="D1003" s="34" t="inlineStr">
        <is>
          <t>SCH-04-072</t>
        </is>
      </c>
      <c r="E1003" s="34" t="inlineStr">
        <is>
          <t>Receiving track: workshop crane installation - field start</t>
        </is>
      </c>
      <c r="F1003" s="34" t="inlineStr">
        <is>
          <t>ONE_TO_ONE</t>
        </is>
      </c>
      <c r="G1003" s="34" t="inlineStr">
        <is>
          <t>APPROVED</t>
        </is>
      </c>
      <c r="H1003" s="34" t="inlineStr">
        <is>
          <t>New</t>
        </is>
      </c>
      <c r="I1003" s="34" t="inlineStr">
        <is>
          <t>Source assignment -- not individually reviewed</t>
        </is>
      </c>
      <c r="J1003" s="39" t="inlineStr"/>
      <c r="K1003" s="34" t="inlineStr">
        <is>
          <t>Source assignment</t>
        </is>
      </c>
      <c r="L1003" s="39" t="inlineStr"/>
      <c r="M1003" s="34" t="inlineStr">
        <is>
          <t>Initial</t>
        </is>
      </c>
      <c r="N1003" s="34" t="inlineStr">
        <is>
          <t>Rev 0</t>
        </is>
      </c>
      <c r="O1003" s="34" t="inlineStr">
        <is>
          <t>R612-v1</t>
        </is>
      </c>
      <c r="P1003" s="39" t="inlineStr"/>
      <c r="Q1003" s="14" t="inlineStr"/>
      <c r="R1003" s="39" t="inlineStr"/>
      <c r="S1003" s="39" t="inlineStr"/>
      <c r="T1003" s="39" t="inlineStr"/>
      <c r="U1003" s="39" t="inlineStr"/>
      <c r="V1003" s="34" t="inlineStr">
        <is>
          <t>WBS Code = 1.4.2</t>
        </is>
      </c>
      <c r="W1003" s="14" t="inlineStr"/>
    </row>
    <row r="1004" ht="49" customHeight="1">
      <c r="A1004" s="34" t="inlineStr">
        <is>
          <t>1.4.2</t>
        </is>
      </c>
      <c r="B1004" s="34" t="inlineStr">
        <is>
          <t>Vehicles and Depot - Depot Buildings</t>
        </is>
      </c>
      <c r="C1004" s="34" t="inlineStr">
        <is>
          <t>Contractor Programme</t>
        </is>
      </c>
      <c r="D1004" s="34" t="inlineStr">
        <is>
          <t>SCH-04-075</t>
        </is>
      </c>
      <c r="E1004" s="34" t="inlineStr">
        <is>
          <t>Operations building: fleet software load - turnover</t>
        </is>
      </c>
      <c r="F1004" s="34" t="inlineStr">
        <is>
          <t>ONE_TO_ONE</t>
        </is>
      </c>
      <c r="G1004" s="34" t="inlineStr">
        <is>
          <t>APPROVED</t>
        </is>
      </c>
      <c r="H1004" s="34" t="inlineStr">
        <is>
          <t>New</t>
        </is>
      </c>
      <c r="I1004" s="34" t="inlineStr">
        <is>
          <t>Source assignment -- not individually reviewed</t>
        </is>
      </c>
      <c r="J1004" s="39" t="inlineStr"/>
      <c r="K1004" s="34" t="inlineStr">
        <is>
          <t>Source assignment</t>
        </is>
      </c>
      <c r="L1004" s="39" t="inlineStr"/>
      <c r="M1004" s="34" t="inlineStr">
        <is>
          <t>Initial</t>
        </is>
      </c>
      <c r="N1004" s="34" t="inlineStr">
        <is>
          <t>Rev 0</t>
        </is>
      </c>
      <c r="O1004" s="34" t="inlineStr">
        <is>
          <t>R615-v1</t>
        </is>
      </c>
      <c r="P1004" s="39" t="inlineStr"/>
      <c r="Q1004" s="14" t="inlineStr"/>
      <c r="R1004" s="39" t="inlineStr"/>
      <c r="S1004" s="39" t="inlineStr"/>
      <c r="T1004" s="39" t="inlineStr"/>
      <c r="U1004" s="39" t="inlineStr"/>
      <c r="V1004" s="34" t="inlineStr">
        <is>
          <t>WBS Code = 1.4.2</t>
        </is>
      </c>
      <c r="W1004" s="14" t="inlineStr"/>
    </row>
    <row r="1005" ht="49" customHeight="1">
      <c r="A1005" s="34" t="inlineStr">
        <is>
          <t>1.4.2</t>
        </is>
      </c>
      <c r="B1005" s="34" t="inlineStr">
        <is>
          <t>Vehicles and Depot - Depot Buildings</t>
        </is>
      </c>
      <c r="C1005" s="34" t="inlineStr">
        <is>
          <t>Contractor Programme</t>
        </is>
      </c>
      <c r="D1005" s="34" t="inlineStr">
        <is>
          <t>SCH-04-078</t>
        </is>
      </c>
      <c r="E1005" s="34" t="inlineStr">
        <is>
          <t>Maintenance shop: maintenance-bay services - installation</t>
        </is>
      </c>
      <c r="F1005" s="34" t="inlineStr">
        <is>
          <t>ONE_TO_ONE</t>
        </is>
      </c>
      <c r="G1005" s="34" t="inlineStr">
        <is>
          <t>APPROVED</t>
        </is>
      </c>
      <c r="H1005" s="34" t="inlineStr">
        <is>
          <t>New</t>
        </is>
      </c>
      <c r="I1005" s="34" t="inlineStr">
        <is>
          <t>Source assignment -- not individually reviewed</t>
        </is>
      </c>
      <c r="J1005" s="39" t="inlineStr"/>
      <c r="K1005" s="34" t="inlineStr">
        <is>
          <t>Source assignment</t>
        </is>
      </c>
      <c r="L1005" s="39" t="inlineStr"/>
      <c r="M1005" s="34" t="inlineStr">
        <is>
          <t>Initial</t>
        </is>
      </c>
      <c r="N1005" s="34" t="inlineStr">
        <is>
          <t>Rev 0</t>
        </is>
      </c>
      <c r="O1005" s="34" t="inlineStr">
        <is>
          <t>R618-v1</t>
        </is>
      </c>
      <c r="P1005" s="39" t="inlineStr"/>
      <c r="Q1005" s="14" t="inlineStr"/>
      <c r="R1005" s="39" t="inlineStr"/>
      <c r="S1005" s="39" t="inlineStr"/>
      <c r="T1005" s="39" t="inlineStr"/>
      <c r="U1005" s="39" t="inlineStr"/>
      <c r="V1005" s="34" t="inlineStr">
        <is>
          <t>WBS Code = 1.4.2</t>
        </is>
      </c>
      <c r="W1005" s="14" t="inlineStr"/>
    </row>
    <row r="1006" ht="49" customHeight="1">
      <c r="A1006" s="34" t="inlineStr">
        <is>
          <t>1.4.2</t>
        </is>
      </c>
      <c r="B1006" s="34" t="inlineStr">
        <is>
          <t>Vehicles and Depot - Depot Buildings</t>
        </is>
      </c>
      <c r="C1006" s="34" t="inlineStr">
        <is>
          <t>Contractor Programme</t>
        </is>
      </c>
      <c r="D1006" s="34" t="inlineStr">
        <is>
          <t>SCH-04-081</t>
        </is>
      </c>
      <c r="E1006" s="34" t="inlineStr">
        <is>
          <t>Test track: vehicle-to-depot interface check - release</t>
        </is>
      </c>
      <c r="F1006" s="34" t="inlineStr">
        <is>
          <t>ONE_TO_ONE</t>
        </is>
      </c>
      <c r="G1006" s="34" t="inlineStr">
        <is>
          <t>APPROVED</t>
        </is>
      </c>
      <c r="H1006" s="34" t="inlineStr">
        <is>
          <t>New</t>
        </is>
      </c>
      <c r="I1006" s="34" t="inlineStr">
        <is>
          <t>Source assignment -- not individually reviewed</t>
        </is>
      </c>
      <c r="J1006" s="39" t="inlineStr"/>
      <c r="K1006" s="34" t="inlineStr">
        <is>
          <t>Source assignment</t>
        </is>
      </c>
      <c r="L1006" s="39" t="inlineStr"/>
      <c r="M1006" s="34" t="inlineStr">
        <is>
          <t>Initial</t>
        </is>
      </c>
      <c r="N1006" s="34" t="inlineStr">
        <is>
          <t>Rev 0</t>
        </is>
      </c>
      <c r="O1006" s="34" t="inlineStr">
        <is>
          <t>R621-v1</t>
        </is>
      </c>
      <c r="P1006" s="39" t="inlineStr"/>
      <c r="Q1006" s="14" t="inlineStr"/>
      <c r="R1006" s="39" t="inlineStr"/>
      <c r="S1006" s="39" t="inlineStr"/>
      <c r="T1006" s="39" t="inlineStr"/>
      <c r="U1006" s="39" t="inlineStr"/>
      <c r="V1006" s="34" t="inlineStr">
        <is>
          <t>WBS Code = 1.4.2</t>
        </is>
      </c>
      <c r="W1006" s="14" t="inlineStr"/>
    </row>
    <row r="1007" ht="49" customHeight="1">
      <c r="A1007" s="34" t="inlineStr">
        <is>
          <t>1.4.2</t>
        </is>
      </c>
      <c r="B1007" s="34" t="inlineStr">
        <is>
          <t>Vehicles and Depot - Depot Buildings</t>
        </is>
      </c>
      <c r="C1007" s="34" t="inlineStr">
        <is>
          <t>Contractor Programme</t>
        </is>
      </c>
      <c r="D1007" s="34" t="inlineStr">
        <is>
          <t>SCH-04-084</t>
        </is>
      </c>
      <c r="E1007" s="34" t="inlineStr">
        <is>
          <t>Storage yard: vehicle delivery inspection - inspection</t>
        </is>
      </c>
      <c r="F1007" s="34" t="inlineStr">
        <is>
          <t>ONE_TO_ONE</t>
        </is>
      </c>
      <c r="G1007" s="34" t="inlineStr">
        <is>
          <t>APPROVED</t>
        </is>
      </c>
      <c r="H1007" s="34" t="inlineStr">
        <is>
          <t>New</t>
        </is>
      </c>
      <c r="I1007" s="34" t="inlineStr">
        <is>
          <t>Source assignment -- not individually reviewed</t>
        </is>
      </c>
      <c r="J1007" s="39" t="inlineStr"/>
      <c r="K1007" s="34" t="inlineStr">
        <is>
          <t>Source assignment</t>
        </is>
      </c>
      <c r="L1007" s="39" t="inlineStr"/>
      <c r="M1007" s="34" t="inlineStr">
        <is>
          <t>Initial</t>
        </is>
      </c>
      <c r="N1007" s="34" t="inlineStr">
        <is>
          <t>Rev 0</t>
        </is>
      </c>
      <c r="O1007" s="34" t="inlineStr">
        <is>
          <t>R624-v1</t>
        </is>
      </c>
      <c r="P1007" s="39" t="inlineStr"/>
      <c r="Q1007" s="14" t="inlineStr"/>
      <c r="R1007" s="39" t="inlineStr"/>
      <c r="S1007" s="39" t="inlineStr"/>
      <c r="T1007" s="39" t="inlineStr"/>
      <c r="U1007" s="39" t="inlineStr"/>
      <c r="V1007" s="34" t="inlineStr">
        <is>
          <t>WBS Code = 1.4.2</t>
        </is>
      </c>
      <c r="W1007" s="14" t="inlineStr"/>
    </row>
    <row r="1008" ht="49" customHeight="1">
      <c r="A1008" s="34" t="inlineStr">
        <is>
          <t>1.4.2</t>
        </is>
      </c>
      <c r="B1008" s="34" t="inlineStr">
        <is>
          <t>Vehicles and Depot - Depot Buildings</t>
        </is>
      </c>
      <c r="C1008" s="34" t="inlineStr">
        <is>
          <t>Contractor Programme</t>
        </is>
      </c>
      <c r="D1008" s="34" t="inlineStr">
        <is>
          <t>SCH-04-087</t>
        </is>
      </c>
      <c r="E1008" s="34" t="inlineStr">
        <is>
          <t>Receiving track: depot structural fit-out - field start</t>
        </is>
      </c>
      <c r="F1008" s="34" t="inlineStr">
        <is>
          <t>ONE_TO_ONE</t>
        </is>
      </c>
      <c r="G1008" s="34" t="inlineStr">
        <is>
          <t>APPROVED</t>
        </is>
      </c>
      <c r="H1008" s="34" t="inlineStr">
        <is>
          <t>New</t>
        </is>
      </c>
      <c r="I1008" s="34" t="inlineStr">
        <is>
          <t>Source assignment -- not individually reviewed</t>
        </is>
      </c>
      <c r="J1008" s="39" t="inlineStr"/>
      <c r="K1008" s="34" t="inlineStr">
        <is>
          <t>Source assignment</t>
        </is>
      </c>
      <c r="L1008" s="39" t="inlineStr"/>
      <c r="M1008" s="34" t="inlineStr">
        <is>
          <t>Initial</t>
        </is>
      </c>
      <c r="N1008" s="34" t="inlineStr">
        <is>
          <t>Rev 0</t>
        </is>
      </c>
      <c r="O1008" s="34" t="inlineStr">
        <is>
          <t>R627-v1</t>
        </is>
      </c>
      <c r="P1008" s="39" t="inlineStr"/>
      <c r="Q1008" s="14" t="inlineStr"/>
      <c r="R1008" s="39" t="inlineStr"/>
      <c r="S1008" s="39" t="inlineStr"/>
      <c r="T1008" s="39" t="inlineStr"/>
      <c r="U1008" s="39" t="inlineStr"/>
      <c r="V1008" s="34" t="inlineStr">
        <is>
          <t>WBS Code = 1.4.2</t>
        </is>
      </c>
      <c r="W1008" s="14" t="inlineStr"/>
    </row>
    <row r="1009" ht="49" customHeight="1">
      <c r="A1009" s="34" t="inlineStr">
        <is>
          <t>1.4.2</t>
        </is>
      </c>
      <c r="B1009" s="34" t="inlineStr">
        <is>
          <t>Vehicles and Depot - Depot Buildings</t>
        </is>
      </c>
      <c r="C1009" s="34" t="inlineStr">
        <is>
          <t>Contractor Programme</t>
        </is>
      </c>
      <c r="D1009" s="34" t="inlineStr">
        <is>
          <t>SCH-04-090</t>
        </is>
      </c>
      <c r="E1009" s="34" t="inlineStr">
        <is>
          <t>Operations building: wheel-lathe installation - turnover</t>
        </is>
      </c>
      <c r="F1009" s="34" t="inlineStr">
        <is>
          <t>ONE_TO_ONE</t>
        </is>
      </c>
      <c r="G1009" s="34" t="inlineStr">
        <is>
          <t>APPROVED</t>
        </is>
      </c>
      <c r="H1009" s="34" t="inlineStr">
        <is>
          <t>New</t>
        </is>
      </c>
      <c r="I1009" s="34" t="inlineStr">
        <is>
          <t>Source assignment -- not individually reviewed</t>
        </is>
      </c>
      <c r="J1009" s="39" t="inlineStr"/>
      <c r="K1009" s="34" t="inlineStr">
        <is>
          <t>Source assignment</t>
        </is>
      </c>
      <c r="L1009" s="39" t="inlineStr"/>
      <c r="M1009" s="34" t="inlineStr">
        <is>
          <t>Initial</t>
        </is>
      </c>
      <c r="N1009" s="34" t="inlineStr">
        <is>
          <t>Rev 0</t>
        </is>
      </c>
      <c r="O1009" s="34" t="inlineStr">
        <is>
          <t>R630-v1</t>
        </is>
      </c>
      <c r="P1009" s="39" t="inlineStr"/>
      <c r="Q1009" s="14" t="inlineStr"/>
      <c r="R1009" s="39" t="inlineStr"/>
      <c r="S1009" s="39" t="inlineStr"/>
      <c r="T1009" s="39" t="inlineStr"/>
      <c r="U1009" s="39" t="inlineStr"/>
      <c r="V1009" s="34" t="inlineStr">
        <is>
          <t>WBS Code = 1.4.2</t>
        </is>
      </c>
      <c r="W1009" s="14" t="inlineStr"/>
    </row>
    <row r="1010" ht="49" customHeight="1">
      <c r="A1010" s="34" t="inlineStr">
        <is>
          <t>1.4.2</t>
        </is>
      </c>
      <c r="B1010" s="34" t="inlineStr">
        <is>
          <t>Vehicles and Depot - Depot Buildings</t>
        </is>
      </c>
      <c r="C1010" s="34" t="inlineStr">
        <is>
          <t>Contractor Programme</t>
        </is>
      </c>
      <c r="D1010" s="34" t="inlineStr">
        <is>
          <t>SCH-04-093</t>
        </is>
      </c>
      <c r="E1010" s="34" t="inlineStr">
        <is>
          <t>Maintenance shop: wash-plant commissioning - installation</t>
        </is>
      </c>
      <c r="F1010" s="34" t="inlineStr">
        <is>
          <t>ONE_TO_ONE</t>
        </is>
      </c>
      <c r="G1010" s="34" t="inlineStr">
        <is>
          <t>APPROVED</t>
        </is>
      </c>
      <c r="H1010" s="34" t="inlineStr">
        <is>
          <t>New</t>
        </is>
      </c>
      <c r="I1010" s="34" t="inlineStr">
        <is>
          <t>Source assignment -- not individually reviewed</t>
        </is>
      </c>
      <c r="J1010" s="39" t="inlineStr"/>
      <c r="K1010" s="34" t="inlineStr">
        <is>
          <t>Source assignment</t>
        </is>
      </c>
      <c r="L1010" s="39" t="inlineStr"/>
      <c r="M1010" s="34" t="inlineStr">
        <is>
          <t>Initial</t>
        </is>
      </c>
      <c r="N1010" s="34" t="inlineStr">
        <is>
          <t>Rev 0</t>
        </is>
      </c>
      <c r="O1010" s="34" t="inlineStr">
        <is>
          <t>R633-v1</t>
        </is>
      </c>
      <c r="P1010" s="39" t="inlineStr"/>
      <c r="Q1010" s="14" t="inlineStr"/>
      <c r="R1010" s="39" t="inlineStr"/>
      <c r="S1010" s="39" t="inlineStr"/>
      <c r="T1010" s="39" t="inlineStr"/>
      <c r="U1010" s="39" t="inlineStr"/>
      <c r="V1010" s="34" t="inlineStr">
        <is>
          <t>WBS Code = 1.4.2</t>
        </is>
      </c>
      <c r="W1010" s="14" t="inlineStr"/>
    </row>
    <row r="1011" ht="49" customHeight="1">
      <c r="A1011" s="34" t="inlineStr">
        <is>
          <t>1.4.2</t>
        </is>
      </c>
      <c r="B1011" s="34" t="inlineStr">
        <is>
          <t>Vehicles and Depot - Depot Buildings</t>
        </is>
      </c>
      <c r="C1011" s="34" t="inlineStr">
        <is>
          <t>Contractor Programme</t>
        </is>
      </c>
      <c r="D1011" s="34" t="inlineStr">
        <is>
          <t>SCH-04-096</t>
        </is>
      </c>
      <c r="E1011" s="34" t="inlineStr">
        <is>
          <t>Test track: workshop crane installation - release</t>
        </is>
      </c>
      <c r="F1011" s="34" t="inlineStr">
        <is>
          <t>ONE_TO_ONE</t>
        </is>
      </c>
      <c r="G1011" s="34" t="inlineStr">
        <is>
          <t>APPROVED</t>
        </is>
      </c>
      <c r="H1011" s="34" t="inlineStr">
        <is>
          <t>New</t>
        </is>
      </c>
      <c r="I1011" s="34" t="inlineStr">
        <is>
          <t>Source assignment -- not individually reviewed</t>
        </is>
      </c>
      <c r="J1011" s="39" t="inlineStr"/>
      <c r="K1011" s="34" t="inlineStr">
        <is>
          <t>Source assignment</t>
        </is>
      </c>
      <c r="L1011" s="39" t="inlineStr"/>
      <c r="M1011" s="34" t="inlineStr">
        <is>
          <t>Initial</t>
        </is>
      </c>
      <c r="N1011" s="34" t="inlineStr">
        <is>
          <t>Rev 0</t>
        </is>
      </c>
      <c r="O1011" s="34" t="inlineStr">
        <is>
          <t>R636-v1</t>
        </is>
      </c>
      <c r="P1011" s="39" t="inlineStr"/>
      <c r="Q1011" s="14" t="inlineStr"/>
      <c r="R1011" s="39" t="inlineStr"/>
      <c r="S1011" s="39" t="inlineStr"/>
      <c r="T1011" s="39" t="inlineStr"/>
      <c r="U1011" s="39" t="inlineStr"/>
      <c r="V1011" s="34" t="inlineStr">
        <is>
          <t>WBS Code = 1.4.2</t>
        </is>
      </c>
      <c r="W1011" s="14" t="inlineStr"/>
    </row>
    <row r="1012" ht="49" customHeight="1">
      <c r="A1012" s="34" t="inlineStr">
        <is>
          <t>1.4.2</t>
        </is>
      </c>
      <c r="B1012" s="34" t="inlineStr">
        <is>
          <t>Vehicles and Depot - Depot Buildings</t>
        </is>
      </c>
      <c r="C1012" s="34" t="inlineStr">
        <is>
          <t>Contractor Programme</t>
        </is>
      </c>
      <c r="D1012" s="34" t="inlineStr">
        <is>
          <t>SCH-04-099</t>
        </is>
      </c>
      <c r="E1012" s="34" t="inlineStr">
        <is>
          <t>Storage yard: fleet software load - inspection</t>
        </is>
      </c>
      <c r="F1012" s="34" t="inlineStr">
        <is>
          <t>ONE_TO_ONE</t>
        </is>
      </c>
      <c r="G1012" s="34" t="inlineStr">
        <is>
          <t>APPROVED</t>
        </is>
      </c>
      <c r="H1012" s="34" t="inlineStr">
        <is>
          <t>New</t>
        </is>
      </c>
      <c r="I1012" s="34" t="inlineStr">
        <is>
          <t>Source assignment -- not individually reviewed</t>
        </is>
      </c>
      <c r="J1012" s="39" t="inlineStr"/>
      <c r="K1012" s="34" t="inlineStr">
        <is>
          <t>Source assignment</t>
        </is>
      </c>
      <c r="L1012" s="39" t="inlineStr"/>
      <c r="M1012" s="34" t="inlineStr">
        <is>
          <t>Initial</t>
        </is>
      </c>
      <c r="N1012" s="34" t="inlineStr">
        <is>
          <t>Rev 0</t>
        </is>
      </c>
      <c r="O1012" s="34" t="inlineStr">
        <is>
          <t>R639-v1</t>
        </is>
      </c>
      <c r="P1012" s="39" t="inlineStr"/>
      <c r="Q1012" s="14" t="inlineStr"/>
      <c r="R1012" s="39" t="inlineStr"/>
      <c r="S1012" s="39" t="inlineStr"/>
      <c r="T1012" s="39" t="inlineStr"/>
      <c r="U1012" s="39" t="inlineStr"/>
      <c r="V1012" s="34" t="inlineStr">
        <is>
          <t>WBS Code = 1.4.2</t>
        </is>
      </c>
      <c r="W1012" s="14" t="inlineStr"/>
    </row>
    <row r="1013" ht="49" customHeight="1">
      <c r="A1013" s="34" t="inlineStr">
        <is>
          <t>1.4.2</t>
        </is>
      </c>
      <c r="B1013" s="34" t="inlineStr">
        <is>
          <t>Vehicles and Depot - Depot Buildings</t>
        </is>
      </c>
      <c r="C1013" s="34" t="inlineStr">
        <is>
          <t>Contractor Programme</t>
        </is>
      </c>
      <c r="D1013" s="34" t="inlineStr">
        <is>
          <t>SCH-04-102</t>
        </is>
      </c>
      <c r="E1013" s="34" t="inlineStr">
        <is>
          <t>Receiving track: maintenance-bay services - field start</t>
        </is>
      </c>
      <c r="F1013" s="34" t="inlineStr">
        <is>
          <t>ONE_TO_ONE</t>
        </is>
      </c>
      <c r="G1013" s="34" t="inlineStr">
        <is>
          <t>APPROVED</t>
        </is>
      </c>
      <c r="H1013" s="34" t="inlineStr">
        <is>
          <t>New</t>
        </is>
      </c>
      <c r="I1013" s="34" t="inlineStr">
        <is>
          <t>Source assignment -- not individually reviewed</t>
        </is>
      </c>
      <c r="J1013" s="39" t="inlineStr"/>
      <c r="K1013" s="34" t="inlineStr">
        <is>
          <t>Source assignment</t>
        </is>
      </c>
      <c r="L1013" s="39" t="inlineStr"/>
      <c r="M1013" s="34" t="inlineStr">
        <is>
          <t>Initial</t>
        </is>
      </c>
      <c r="N1013" s="34" t="inlineStr">
        <is>
          <t>Rev 0</t>
        </is>
      </c>
      <c r="O1013" s="34" t="inlineStr">
        <is>
          <t>R642-v1</t>
        </is>
      </c>
      <c r="P1013" s="39" t="inlineStr"/>
      <c r="Q1013" s="14" t="inlineStr"/>
      <c r="R1013" s="39" t="inlineStr"/>
      <c r="S1013" s="39" t="inlineStr"/>
      <c r="T1013" s="39" t="inlineStr"/>
      <c r="U1013" s="39" t="inlineStr"/>
      <c r="V1013" s="34" t="inlineStr">
        <is>
          <t>WBS Code = 1.4.2</t>
        </is>
      </c>
      <c r="W1013" s="14" t="inlineStr"/>
    </row>
    <row r="1014" ht="49" customHeight="1">
      <c r="A1014" s="34" t="inlineStr">
        <is>
          <t>1.4.2</t>
        </is>
      </c>
      <c r="B1014" s="34" t="inlineStr">
        <is>
          <t>Vehicles and Depot - Depot Buildings</t>
        </is>
      </c>
      <c r="C1014" s="34" t="inlineStr">
        <is>
          <t>Contractor Programme</t>
        </is>
      </c>
      <c r="D1014" s="34" t="inlineStr">
        <is>
          <t>SCH-04-105</t>
        </is>
      </c>
      <c r="E1014" s="34" t="inlineStr">
        <is>
          <t>Operations building: vehicle-to-depot interface check - turnover</t>
        </is>
      </c>
      <c r="F1014" s="34" t="inlineStr">
        <is>
          <t>ONE_TO_ONE</t>
        </is>
      </c>
      <c r="G1014" s="34" t="inlineStr">
        <is>
          <t>APPROVED</t>
        </is>
      </c>
      <c r="H1014" s="34" t="inlineStr">
        <is>
          <t>New</t>
        </is>
      </c>
      <c r="I1014" s="34" t="inlineStr">
        <is>
          <t>Source assignment -- not individually reviewed</t>
        </is>
      </c>
      <c r="J1014" s="39" t="inlineStr"/>
      <c r="K1014" s="34" t="inlineStr">
        <is>
          <t>Source assignment</t>
        </is>
      </c>
      <c r="L1014" s="39" t="inlineStr"/>
      <c r="M1014" s="34" t="inlineStr">
        <is>
          <t>Initial</t>
        </is>
      </c>
      <c r="N1014" s="34" t="inlineStr">
        <is>
          <t>Rev 0</t>
        </is>
      </c>
      <c r="O1014" s="34" t="inlineStr">
        <is>
          <t>R645-v1</t>
        </is>
      </c>
      <c r="P1014" s="39" t="inlineStr"/>
      <c r="Q1014" s="14" t="inlineStr"/>
      <c r="R1014" s="39" t="inlineStr"/>
      <c r="S1014" s="39" t="inlineStr"/>
      <c r="T1014" s="39" t="inlineStr"/>
      <c r="U1014" s="39" t="inlineStr"/>
      <c r="V1014" s="34" t="inlineStr">
        <is>
          <t>WBS Code = 1.4.2</t>
        </is>
      </c>
      <c r="W1014" s="14" t="inlineStr"/>
    </row>
    <row r="1015" ht="49" customHeight="1">
      <c r="A1015" s="34" t="inlineStr">
        <is>
          <t>1.4.2</t>
        </is>
      </c>
      <c r="B1015" s="34" t="inlineStr">
        <is>
          <t>Vehicles and Depot - Depot Buildings</t>
        </is>
      </c>
      <c r="C1015" s="34" t="inlineStr">
        <is>
          <t>Contractor Programme</t>
        </is>
      </c>
      <c r="D1015" s="34" t="inlineStr">
        <is>
          <t>SCH-04-108</t>
        </is>
      </c>
      <c r="E1015" s="34" t="inlineStr">
        <is>
          <t>Maintenance shop: vehicle delivery inspection - installation</t>
        </is>
      </c>
      <c r="F1015" s="34" t="inlineStr">
        <is>
          <t>ONE_TO_ONE</t>
        </is>
      </c>
      <c r="G1015" s="34" t="inlineStr">
        <is>
          <t>APPROVED</t>
        </is>
      </c>
      <c r="H1015" s="34" t="inlineStr">
        <is>
          <t>New</t>
        </is>
      </c>
      <c r="I1015" s="34" t="inlineStr">
        <is>
          <t>Source assignment -- not individually reviewed</t>
        </is>
      </c>
      <c r="J1015" s="39" t="inlineStr"/>
      <c r="K1015" s="34" t="inlineStr">
        <is>
          <t>Source assignment</t>
        </is>
      </c>
      <c r="L1015" s="39" t="inlineStr"/>
      <c r="M1015" s="34" t="inlineStr">
        <is>
          <t>Initial</t>
        </is>
      </c>
      <c r="N1015" s="34" t="inlineStr">
        <is>
          <t>Rev 0</t>
        </is>
      </c>
      <c r="O1015" s="34" t="inlineStr">
        <is>
          <t>R648-v1</t>
        </is>
      </c>
      <c r="P1015" s="39" t="inlineStr"/>
      <c r="Q1015" s="14" t="inlineStr"/>
      <c r="R1015" s="39" t="inlineStr"/>
      <c r="S1015" s="39" t="inlineStr"/>
      <c r="T1015" s="39" t="inlineStr"/>
      <c r="U1015" s="39" t="inlineStr"/>
      <c r="V1015" s="34" t="inlineStr">
        <is>
          <t>WBS Code = 1.4.2</t>
        </is>
      </c>
      <c r="W1015" s="14" t="inlineStr"/>
    </row>
    <row r="1016" ht="49" customHeight="1">
      <c r="A1016" s="34" t="inlineStr">
        <is>
          <t>1.4.2</t>
        </is>
      </c>
      <c r="B1016" s="34" t="inlineStr">
        <is>
          <t>Vehicles and Depot - Depot Buildings</t>
        </is>
      </c>
      <c r="C1016" s="34" t="inlineStr">
        <is>
          <t>Contractor Programme</t>
        </is>
      </c>
      <c r="D1016" s="34" t="inlineStr">
        <is>
          <t>SCH-04-111</t>
        </is>
      </c>
      <c r="E1016" s="34" t="inlineStr">
        <is>
          <t>Test track: depot structural fit-out - release</t>
        </is>
      </c>
      <c r="F1016" s="34" t="inlineStr">
        <is>
          <t>ONE_TO_ONE</t>
        </is>
      </c>
      <c r="G1016" s="34" t="inlineStr">
        <is>
          <t>APPROVED</t>
        </is>
      </c>
      <c r="H1016" s="34" t="inlineStr">
        <is>
          <t>New</t>
        </is>
      </c>
      <c r="I1016" s="34" t="inlineStr">
        <is>
          <t>Source assignment -- not individually reviewed</t>
        </is>
      </c>
      <c r="J1016" s="39" t="inlineStr"/>
      <c r="K1016" s="34" t="inlineStr">
        <is>
          <t>Source assignment</t>
        </is>
      </c>
      <c r="L1016" s="39" t="inlineStr"/>
      <c r="M1016" s="34" t="inlineStr">
        <is>
          <t>Initial</t>
        </is>
      </c>
      <c r="N1016" s="34" t="inlineStr">
        <is>
          <t>Rev 0</t>
        </is>
      </c>
      <c r="O1016" s="34" t="inlineStr">
        <is>
          <t>R651-v1</t>
        </is>
      </c>
      <c r="P1016" s="39" t="inlineStr"/>
      <c r="Q1016" s="14" t="inlineStr"/>
      <c r="R1016" s="39" t="inlineStr"/>
      <c r="S1016" s="39" t="inlineStr"/>
      <c r="T1016" s="39" t="inlineStr"/>
      <c r="U1016" s="39" t="inlineStr"/>
      <c r="V1016" s="34" t="inlineStr">
        <is>
          <t>WBS Code = 1.4.2</t>
        </is>
      </c>
      <c r="W1016" s="14" t="inlineStr"/>
    </row>
    <row r="1017" ht="49" customHeight="1">
      <c r="A1017" s="34" t="inlineStr">
        <is>
          <t>1.4.2</t>
        </is>
      </c>
      <c r="B1017" s="34" t="inlineStr">
        <is>
          <t>Vehicles and Depot - Depot Buildings</t>
        </is>
      </c>
      <c r="C1017" s="34" t="inlineStr">
        <is>
          <t>Contractor Programme</t>
        </is>
      </c>
      <c r="D1017" s="34" t="inlineStr">
        <is>
          <t>SCH-04-114</t>
        </is>
      </c>
      <c r="E1017" s="34" t="inlineStr">
        <is>
          <t>Storage yard: wheel-lathe installation - inspection</t>
        </is>
      </c>
      <c r="F1017" s="34" t="inlineStr">
        <is>
          <t>ONE_TO_ONE</t>
        </is>
      </c>
      <c r="G1017" s="34" t="inlineStr">
        <is>
          <t>APPROVED</t>
        </is>
      </c>
      <c r="H1017" s="34" t="inlineStr">
        <is>
          <t>New</t>
        </is>
      </c>
      <c r="I1017" s="34" t="inlineStr">
        <is>
          <t>Source assignment -- not individually reviewed</t>
        </is>
      </c>
      <c r="J1017" s="39" t="inlineStr"/>
      <c r="K1017" s="34" t="inlineStr">
        <is>
          <t>Source assignment</t>
        </is>
      </c>
      <c r="L1017" s="39" t="inlineStr"/>
      <c r="M1017" s="34" t="inlineStr">
        <is>
          <t>Initial</t>
        </is>
      </c>
      <c r="N1017" s="34" t="inlineStr">
        <is>
          <t>Rev 0</t>
        </is>
      </c>
      <c r="O1017" s="34" t="inlineStr">
        <is>
          <t>R654-v1</t>
        </is>
      </c>
      <c r="P1017" s="39" t="inlineStr"/>
      <c r="Q1017" s="14" t="inlineStr"/>
      <c r="R1017" s="39" t="inlineStr"/>
      <c r="S1017" s="39" t="inlineStr"/>
      <c r="T1017" s="39" t="inlineStr"/>
      <c r="U1017" s="39" t="inlineStr"/>
      <c r="V1017" s="34" t="inlineStr">
        <is>
          <t>WBS Code = 1.4.2</t>
        </is>
      </c>
      <c r="W1017" s="14" t="inlineStr"/>
    </row>
    <row r="1018" ht="49" customHeight="1">
      <c r="A1018" s="34" t="inlineStr">
        <is>
          <t>1.4.2</t>
        </is>
      </c>
      <c r="B1018" s="34" t="inlineStr">
        <is>
          <t>Vehicles and Depot - Depot Buildings</t>
        </is>
      </c>
      <c r="C1018" s="34" t="inlineStr">
        <is>
          <t>Contractor Programme</t>
        </is>
      </c>
      <c r="D1018" s="34" t="inlineStr">
        <is>
          <t>SCH-04-117</t>
        </is>
      </c>
      <c r="E1018" s="34" t="inlineStr">
        <is>
          <t>Receiving track: wash-plant commissioning - field start</t>
        </is>
      </c>
      <c r="F1018" s="34" t="inlineStr">
        <is>
          <t>ONE_TO_ONE</t>
        </is>
      </c>
      <c r="G1018" s="34" t="inlineStr">
        <is>
          <t>APPROVED</t>
        </is>
      </c>
      <c r="H1018" s="34" t="inlineStr">
        <is>
          <t>New</t>
        </is>
      </c>
      <c r="I1018" s="34" t="inlineStr">
        <is>
          <t>Source assignment -- not individually reviewed</t>
        </is>
      </c>
      <c r="J1018" s="39" t="inlineStr"/>
      <c r="K1018" s="34" t="inlineStr">
        <is>
          <t>Source assignment</t>
        </is>
      </c>
      <c r="L1018" s="39" t="inlineStr"/>
      <c r="M1018" s="34" t="inlineStr">
        <is>
          <t>Initial</t>
        </is>
      </c>
      <c r="N1018" s="34" t="inlineStr">
        <is>
          <t>Rev 0</t>
        </is>
      </c>
      <c r="O1018" s="34" t="inlineStr">
        <is>
          <t>R657-v1</t>
        </is>
      </c>
      <c r="P1018" s="39" t="inlineStr"/>
      <c r="Q1018" s="14" t="inlineStr"/>
      <c r="R1018" s="39" t="inlineStr"/>
      <c r="S1018" s="39" t="inlineStr"/>
      <c r="T1018" s="39" t="inlineStr"/>
      <c r="U1018" s="39" t="inlineStr"/>
      <c r="V1018" s="34" t="inlineStr">
        <is>
          <t>WBS Code = 1.4.2</t>
        </is>
      </c>
      <c r="W1018" s="14" t="inlineStr"/>
    </row>
    <row r="1019" ht="49" customHeight="1">
      <c r="A1019" s="34" t="inlineStr">
        <is>
          <t>1.4.2</t>
        </is>
      </c>
      <c r="B1019" s="34" t="inlineStr">
        <is>
          <t>Vehicles and Depot - Depot Buildings</t>
        </is>
      </c>
      <c r="C1019" s="34" t="inlineStr">
        <is>
          <t>Contractor Programme</t>
        </is>
      </c>
      <c r="D1019" s="34" t="inlineStr">
        <is>
          <t>SCH-04-120</t>
        </is>
      </c>
      <c r="E1019" s="34" t="inlineStr">
        <is>
          <t>Operations building: workshop crane installation - turnover</t>
        </is>
      </c>
      <c r="F1019" s="34" t="inlineStr">
        <is>
          <t>ONE_TO_ONE</t>
        </is>
      </c>
      <c r="G1019" s="34" t="inlineStr">
        <is>
          <t>APPROVED</t>
        </is>
      </c>
      <c r="H1019" s="34" t="inlineStr">
        <is>
          <t>New</t>
        </is>
      </c>
      <c r="I1019" s="34" t="inlineStr">
        <is>
          <t>Source assignment -- not individually reviewed</t>
        </is>
      </c>
      <c r="J1019" s="39" t="inlineStr"/>
      <c r="K1019" s="34" t="inlineStr">
        <is>
          <t>Source assignment</t>
        </is>
      </c>
      <c r="L1019" s="39" t="inlineStr"/>
      <c r="M1019" s="34" t="inlineStr">
        <is>
          <t>Initial</t>
        </is>
      </c>
      <c r="N1019" s="34" t="inlineStr">
        <is>
          <t>Rev 0</t>
        </is>
      </c>
      <c r="O1019" s="34" t="inlineStr">
        <is>
          <t>R660-v1</t>
        </is>
      </c>
      <c r="P1019" s="39" t="inlineStr"/>
      <c r="Q1019" s="14" t="inlineStr"/>
      <c r="R1019" s="39" t="inlineStr"/>
      <c r="S1019" s="39" t="inlineStr"/>
      <c r="T1019" s="39" t="inlineStr"/>
      <c r="U1019" s="39" t="inlineStr"/>
      <c r="V1019" s="34" t="inlineStr">
        <is>
          <t>WBS Code = 1.4.2</t>
        </is>
      </c>
      <c r="W1019" s="14" t="inlineStr"/>
    </row>
    <row r="1020" ht="49" customHeight="1">
      <c r="A1020" s="34" t="inlineStr">
        <is>
          <t>1.4.2</t>
        </is>
      </c>
      <c r="B1020" s="34" t="inlineStr">
        <is>
          <t>Vehicles and Depot - Depot Buildings</t>
        </is>
      </c>
      <c r="C1020" s="34" t="inlineStr">
        <is>
          <t>Contractor Programme</t>
        </is>
      </c>
      <c r="D1020" s="34" t="inlineStr">
        <is>
          <t>SCH-04-123</t>
        </is>
      </c>
      <c r="E1020" s="34" t="inlineStr">
        <is>
          <t>Maintenance shop: fleet software load - installation</t>
        </is>
      </c>
      <c r="F1020" s="34" t="inlineStr">
        <is>
          <t>ONE_TO_ONE</t>
        </is>
      </c>
      <c r="G1020" s="34" t="inlineStr">
        <is>
          <t>APPROVED</t>
        </is>
      </c>
      <c r="H1020" s="34" t="inlineStr">
        <is>
          <t>New</t>
        </is>
      </c>
      <c r="I1020" s="34" t="inlineStr">
        <is>
          <t>Source assignment -- not individually reviewed</t>
        </is>
      </c>
      <c r="J1020" s="39" t="inlineStr"/>
      <c r="K1020" s="34" t="inlineStr">
        <is>
          <t>Source assignment</t>
        </is>
      </c>
      <c r="L1020" s="39" t="inlineStr"/>
      <c r="M1020" s="34" t="inlineStr">
        <is>
          <t>Initial</t>
        </is>
      </c>
      <c r="N1020" s="34" t="inlineStr">
        <is>
          <t>Rev 0</t>
        </is>
      </c>
      <c r="O1020" s="34" t="inlineStr">
        <is>
          <t>R663-v1</t>
        </is>
      </c>
      <c r="P1020" s="39" t="inlineStr"/>
      <c r="Q1020" s="14" t="inlineStr"/>
      <c r="R1020" s="39" t="inlineStr"/>
      <c r="S1020" s="39" t="inlineStr"/>
      <c r="T1020" s="39" t="inlineStr"/>
      <c r="U1020" s="39" t="inlineStr"/>
      <c r="V1020" s="34" t="inlineStr">
        <is>
          <t>WBS Code = 1.4.2</t>
        </is>
      </c>
      <c r="W1020" s="14" t="inlineStr"/>
    </row>
    <row r="1021" ht="49" customHeight="1">
      <c r="A1021" s="34" t="inlineStr">
        <is>
          <t>1.4.2</t>
        </is>
      </c>
      <c r="B1021" s="34" t="inlineStr">
        <is>
          <t>Vehicles and Depot - Depot Buildings</t>
        </is>
      </c>
      <c r="C1021" s="34" t="inlineStr">
        <is>
          <t>Contractor Programme</t>
        </is>
      </c>
      <c r="D1021" s="34" t="inlineStr">
        <is>
          <t>SCH-04-126</t>
        </is>
      </c>
      <c r="E1021" s="34" t="inlineStr">
        <is>
          <t>Test track: maintenance-bay services - release</t>
        </is>
      </c>
      <c r="F1021" s="34" t="inlineStr">
        <is>
          <t>ONE_TO_ONE</t>
        </is>
      </c>
      <c r="G1021" s="34" t="inlineStr">
        <is>
          <t>APPROVED</t>
        </is>
      </c>
      <c r="H1021" s="34" t="inlineStr">
        <is>
          <t>New</t>
        </is>
      </c>
      <c r="I1021" s="34" t="inlineStr">
        <is>
          <t>Source assignment -- not individually reviewed</t>
        </is>
      </c>
      <c r="J1021" s="39" t="inlineStr"/>
      <c r="K1021" s="34" t="inlineStr">
        <is>
          <t>Source assignment</t>
        </is>
      </c>
      <c r="L1021" s="39" t="inlineStr"/>
      <c r="M1021" s="34" t="inlineStr">
        <is>
          <t>Initial</t>
        </is>
      </c>
      <c r="N1021" s="34" t="inlineStr">
        <is>
          <t>Rev 0</t>
        </is>
      </c>
      <c r="O1021" s="34" t="inlineStr">
        <is>
          <t>R666-v1</t>
        </is>
      </c>
      <c r="P1021" s="39" t="inlineStr"/>
      <c r="Q1021" s="14" t="inlineStr"/>
      <c r="R1021" s="39" t="inlineStr"/>
      <c r="S1021" s="39" t="inlineStr"/>
      <c r="T1021" s="39" t="inlineStr"/>
      <c r="U1021" s="39" t="inlineStr"/>
      <c r="V1021" s="34" t="inlineStr">
        <is>
          <t>WBS Code = 1.4.2</t>
        </is>
      </c>
      <c r="W1021" s="14" t="inlineStr"/>
    </row>
    <row r="1022" ht="49" customHeight="1">
      <c r="A1022" s="34" t="inlineStr">
        <is>
          <t>1.4.2</t>
        </is>
      </c>
      <c r="B1022" s="34" t="inlineStr">
        <is>
          <t>Vehicles and Depot - Depot Buildings</t>
        </is>
      </c>
      <c r="C1022" s="34" t="inlineStr">
        <is>
          <t>Contractor Programme</t>
        </is>
      </c>
      <c r="D1022" s="34" t="inlineStr">
        <is>
          <t>SCH-04-129</t>
        </is>
      </c>
      <c r="E1022" s="34" t="inlineStr">
        <is>
          <t>Storage yard: vehicle-to-depot interface check - inspection</t>
        </is>
      </c>
      <c r="F1022" s="34" t="inlineStr">
        <is>
          <t>ONE_TO_ONE</t>
        </is>
      </c>
      <c r="G1022" s="34" t="inlineStr">
        <is>
          <t>APPROVED</t>
        </is>
      </c>
      <c r="H1022" s="34" t="inlineStr">
        <is>
          <t>New</t>
        </is>
      </c>
      <c r="I1022" s="34" t="inlineStr">
        <is>
          <t>Source assignment -- not individually reviewed</t>
        </is>
      </c>
      <c r="J1022" s="39" t="inlineStr"/>
      <c r="K1022" s="34" t="inlineStr">
        <is>
          <t>Source assignment</t>
        </is>
      </c>
      <c r="L1022" s="39" t="inlineStr"/>
      <c r="M1022" s="34" t="inlineStr">
        <is>
          <t>Initial</t>
        </is>
      </c>
      <c r="N1022" s="34" t="inlineStr">
        <is>
          <t>Rev 0</t>
        </is>
      </c>
      <c r="O1022" s="34" t="inlineStr">
        <is>
          <t>R669-v1</t>
        </is>
      </c>
      <c r="P1022" s="39" t="inlineStr"/>
      <c r="Q1022" s="14" t="inlineStr"/>
      <c r="R1022" s="39" t="inlineStr"/>
      <c r="S1022" s="39" t="inlineStr"/>
      <c r="T1022" s="39" t="inlineStr"/>
      <c r="U1022" s="39" t="inlineStr"/>
      <c r="V1022" s="34" t="inlineStr">
        <is>
          <t>WBS Code = 1.4.2</t>
        </is>
      </c>
      <c r="W1022" s="14" t="inlineStr"/>
    </row>
    <row r="1023" ht="49" customHeight="1">
      <c r="A1023" s="34" t="inlineStr">
        <is>
          <t>1.4.2</t>
        </is>
      </c>
      <c r="B1023" s="34" t="inlineStr">
        <is>
          <t>Vehicles and Depot - Depot Buildings</t>
        </is>
      </c>
      <c r="C1023" s="34" t="inlineStr">
        <is>
          <t>Contractor Programme</t>
        </is>
      </c>
      <c r="D1023" s="34" t="inlineStr">
        <is>
          <t>SCH-04-132</t>
        </is>
      </c>
      <c r="E1023" s="34" t="inlineStr">
        <is>
          <t>Receiving track: vehicle delivery inspection - field start</t>
        </is>
      </c>
      <c r="F1023" s="34" t="inlineStr">
        <is>
          <t>ONE_TO_ONE</t>
        </is>
      </c>
      <c r="G1023" s="34" t="inlineStr">
        <is>
          <t>APPROVED</t>
        </is>
      </c>
      <c r="H1023" s="34" t="inlineStr">
        <is>
          <t>New</t>
        </is>
      </c>
      <c r="I1023" s="34" t="inlineStr">
        <is>
          <t>Source assignment -- not individually reviewed</t>
        </is>
      </c>
      <c r="J1023" s="39" t="inlineStr"/>
      <c r="K1023" s="34" t="inlineStr">
        <is>
          <t>Source assignment</t>
        </is>
      </c>
      <c r="L1023" s="39" t="inlineStr"/>
      <c r="M1023" s="34" t="inlineStr">
        <is>
          <t>Initial</t>
        </is>
      </c>
      <c r="N1023" s="34" t="inlineStr">
        <is>
          <t>Rev 0</t>
        </is>
      </c>
      <c r="O1023" s="34" t="inlineStr">
        <is>
          <t>R672-v1</t>
        </is>
      </c>
      <c r="P1023" s="39" t="inlineStr"/>
      <c r="Q1023" s="14" t="inlineStr"/>
      <c r="R1023" s="39" t="inlineStr"/>
      <c r="S1023" s="39" t="inlineStr"/>
      <c r="T1023" s="39" t="inlineStr"/>
      <c r="U1023" s="39" t="inlineStr"/>
      <c r="V1023" s="34" t="inlineStr">
        <is>
          <t>WBS Code = 1.4.2</t>
        </is>
      </c>
      <c r="W1023" s="14" t="inlineStr"/>
    </row>
    <row r="1024" ht="49" customHeight="1">
      <c r="A1024" s="34" t="inlineStr">
        <is>
          <t>1.4.2</t>
        </is>
      </c>
      <c r="B1024" s="34" t="inlineStr">
        <is>
          <t>Vehicles and Depot - Depot Buildings</t>
        </is>
      </c>
      <c r="C1024" s="34" t="inlineStr">
        <is>
          <t>Contractor Programme</t>
        </is>
      </c>
      <c r="D1024" s="34" t="inlineStr">
        <is>
          <t>SCH-04-135</t>
        </is>
      </c>
      <c r="E1024" s="34" t="inlineStr">
        <is>
          <t>Operations building: depot structural fit-out - turnover</t>
        </is>
      </c>
      <c r="F1024" s="34" t="inlineStr">
        <is>
          <t>ONE_TO_ONE</t>
        </is>
      </c>
      <c r="G1024" s="34" t="inlineStr">
        <is>
          <t>APPROVED</t>
        </is>
      </c>
      <c r="H1024" s="34" t="inlineStr">
        <is>
          <t>New</t>
        </is>
      </c>
      <c r="I1024" s="34" t="inlineStr">
        <is>
          <t>Source assignment -- not individually reviewed</t>
        </is>
      </c>
      <c r="J1024" s="39" t="inlineStr"/>
      <c r="K1024" s="34" t="inlineStr">
        <is>
          <t>Source assignment</t>
        </is>
      </c>
      <c r="L1024" s="39" t="inlineStr"/>
      <c r="M1024" s="34" t="inlineStr">
        <is>
          <t>Initial</t>
        </is>
      </c>
      <c r="N1024" s="34" t="inlineStr">
        <is>
          <t>Rev 0</t>
        </is>
      </c>
      <c r="O1024" s="34" t="inlineStr">
        <is>
          <t>R675-v1</t>
        </is>
      </c>
      <c r="P1024" s="39" t="inlineStr"/>
      <c r="Q1024" s="14" t="inlineStr"/>
      <c r="R1024" s="39" t="inlineStr"/>
      <c r="S1024" s="39" t="inlineStr"/>
      <c r="T1024" s="39" t="inlineStr"/>
      <c r="U1024" s="39" t="inlineStr"/>
      <c r="V1024" s="34" t="inlineStr">
        <is>
          <t>WBS Code = 1.4.2</t>
        </is>
      </c>
      <c r="W1024" s="14" t="inlineStr"/>
    </row>
    <row r="1025" ht="49" customHeight="1">
      <c r="A1025" s="34" t="inlineStr">
        <is>
          <t>1.4.2</t>
        </is>
      </c>
      <c r="B1025" s="34" t="inlineStr">
        <is>
          <t>Vehicles and Depot - Depot Buildings</t>
        </is>
      </c>
      <c r="C1025" s="34" t="inlineStr">
        <is>
          <t>Contractor Programme</t>
        </is>
      </c>
      <c r="D1025" s="34" t="inlineStr">
        <is>
          <t>SCH-04-138</t>
        </is>
      </c>
      <c r="E1025" s="34" t="inlineStr">
        <is>
          <t>Maintenance shop: wheel-lathe installation - installation</t>
        </is>
      </c>
      <c r="F1025" s="34" t="inlineStr">
        <is>
          <t>ONE_TO_ONE</t>
        </is>
      </c>
      <c r="G1025" s="34" t="inlineStr">
        <is>
          <t>APPROVED</t>
        </is>
      </c>
      <c r="H1025" s="34" t="inlineStr">
        <is>
          <t>New</t>
        </is>
      </c>
      <c r="I1025" s="34" t="inlineStr">
        <is>
          <t>Source assignment -- not individually reviewed</t>
        </is>
      </c>
      <c r="J1025" s="39" t="inlineStr"/>
      <c r="K1025" s="34" t="inlineStr">
        <is>
          <t>Source assignment</t>
        </is>
      </c>
      <c r="L1025" s="39" t="inlineStr"/>
      <c r="M1025" s="34" t="inlineStr">
        <is>
          <t>Initial</t>
        </is>
      </c>
      <c r="N1025" s="34" t="inlineStr">
        <is>
          <t>Rev 0</t>
        </is>
      </c>
      <c r="O1025" s="34" t="inlineStr">
        <is>
          <t>R678-v1</t>
        </is>
      </c>
      <c r="P1025" s="39" t="inlineStr"/>
      <c r="Q1025" s="14" t="inlineStr"/>
      <c r="R1025" s="39" t="inlineStr"/>
      <c r="S1025" s="39" t="inlineStr"/>
      <c r="T1025" s="39" t="inlineStr"/>
      <c r="U1025" s="39" t="inlineStr"/>
      <c r="V1025" s="34" t="inlineStr">
        <is>
          <t>WBS Code = 1.4.2</t>
        </is>
      </c>
      <c r="W1025" s="14" t="inlineStr"/>
    </row>
    <row r="1026" ht="49" customHeight="1">
      <c r="A1026" s="34" t="inlineStr">
        <is>
          <t>1.4.2</t>
        </is>
      </c>
      <c r="B1026" s="34" t="inlineStr">
        <is>
          <t>Vehicles and Depot - Depot Buildings</t>
        </is>
      </c>
      <c r="C1026" s="34" t="inlineStr">
        <is>
          <t>Contractor Programme</t>
        </is>
      </c>
      <c r="D1026" s="34" t="inlineStr">
        <is>
          <t>SCH-04-141</t>
        </is>
      </c>
      <c r="E1026" s="34" t="inlineStr">
        <is>
          <t>Test track: wash-plant commissioning - release</t>
        </is>
      </c>
      <c r="F1026" s="34" t="inlineStr">
        <is>
          <t>ONE_TO_ONE</t>
        </is>
      </c>
      <c r="G1026" s="34" t="inlineStr">
        <is>
          <t>APPROVED</t>
        </is>
      </c>
      <c r="H1026" s="34" t="inlineStr">
        <is>
          <t>New</t>
        </is>
      </c>
      <c r="I1026" s="34" t="inlineStr">
        <is>
          <t>Source assignment -- not individually reviewed</t>
        </is>
      </c>
      <c r="J1026" s="39" t="inlineStr"/>
      <c r="K1026" s="34" t="inlineStr">
        <is>
          <t>Source assignment</t>
        </is>
      </c>
      <c r="L1026" s="39" t="inlineStr"/>
      <c r="M1026" s="34" t="inlineStr">
        <is>
          <t>Initial</t>
        </is>
      </c>
      <c r="N1026" s="34" t="inlineStr">
        <is>
          <t>Rev 0</t>
        </is>
      </c>
      <c r="O1026" s="34" t="inlineStr">
        <is>
          <t>R681-v1</t>
        </is>
      </c>
      <c r="P1026" s="39" t="inlineStr"/>
      <c r="Q1026" s="14" t="inlineStr"/>
      <c r="R1026" s="39" t="inlineStr"/>
      <c r="S1026" s="39" t="inlineStr"/>
      <c r="T1026" s="39" t="inlineStr"/>
      <c r="U1026" s="39" t="inlineStr"/>
      <c r="V1026" s="34" t="inlineStr">
        <is>
          <t>WBS Code = 1.4.2</t>
        </is>
      </c>
      <c r="W1026" s="14" t="inlineStr"/>
    </row>
    <row r="1027" ht="49" customHeight="1">
      <c r="A1027" s="34" t="inlineStr">
        <is>
          <t>1.4.2</t>
        </is>
      </c>
      <c r="B1027" s="34" t="inlineStr">
        <is>
          <t>Vehicles and Depot - Depot Buildings</t>
        </is>
      </c>
      <c r="C1027" s="34" t="inlineStr">
        <is>
          <t>Contractor Programme</t>
        </is>
      </c>
      <c r="D1027" s="34" t="inlineStr">
        <is>
          <t>SCH-04-144</t>
        </is>
      </c>
      <c r="E1027" s="34" t="inlineStr">
        <is>
          <t>Storage yard: workshop crane installation - inspection</t>
        </is>
      </c>
      <c r="F1027" s="34" t="inlineStr">
        <is>
          <t>ONE_TO_ONE</t>
        </is>
      </c>
      <c r="G1027" s="34" t="inlineStr">
        <is>
          <t>APPROVED</t>
        </is>
      </c>
      <c r="H1027" s="34" t="inlineStr">
        <is>
          <t>New</t>
        </is>
      </c>
      <c r="I1027" s="34" t="inlineStr">
        <is>
          <t>Source assignment -- not individually reviewed</t>
        </is>
      </c>
      <c r="J1027" s="39" t="inlineStr"/>
      <c r="K1027" s="34" t="inlineStr">
        <is>
          <t>Source assignment</t>
        </is>
      </c>
      <c r="L1027" s="39" t="inlineStr"/>
      <c r="M1027" s="34" t="inlineStr">
        <is>
          <t>Initial</t>
        </is>
      </c>
      <c r="N1027" s="34" t="inlineStr">
        <is>
          <t>Rev 0</t>
        </is>
      </c>
      <c r="O1027" s="34" t="inlineStr">
        <is>
          <t>R684-v1</t>
        </is>
      </c>
      <c r="P1027" s="39" t="inlineStr"/>
      <c r="Q1027" s="14" t="inlineStr"/>
      <c r="R1027" s="39" t="inlineStr"/>
      <c r="S1027" s="39" t="inlineStr"/>
      <c r="T1027" s="39" t="inlineStr"/>
      <c r="U1027" s="39" t="inlineStr"/>
      <c r="V1027" s="34" t="inlineStr">
        <is>
          <t>WBS Code = 1.4.2</t>
        </is>
      </c>
      <c r="W1027" s="14" t="inlineStr"/>
    </row>
    <row r="1028" ht="49" customHeight="1">
      <c r="A1028" s="34" t="inlineStr">
        <is>
          <t>1.4.2</t>
        </is>
      </c>
      <c r="B1028" s="34" t="inlineStr">
        <is>
          <t>Vehicles and Depot - Depot Buildings</t>
        </is>
      </c>
      <c r="C1028" s="34" t="inlineStr">
        <is>
          <t>Contractor Programme</t>
        </is>
      </c>
      <c r="D1028" s="34" t="inlineStr">
        <is>
          <t>SCH-04-147</t>
        </is>
      </c>
      <c r="E1028" s="34" t="inlineStr">
        <is>
          <t>Receiving track: fleet software load - field start</t>
        </is>
      </c>
      <c r="F1028" s="34" t="inlineStr">
        <is>
          <t>ONE_TO_ONE</t>
        </is>
      </c>
      <c r="G1028" s="34" t="inlineStr">
        <is>
          <t>APPROVED</t>
        </is>
      </c>
      <c r="H1028" s="34" t="inlineStr">
        <is>
          <t>New</t>
        </is>
      </c>
      <c r="I1028" s="34" t="inlineStr">
        <is>
          <t>Source assignment -- not individually reviewed</t>
        </is>
      </c>
      <c r="J1028" s="39" t="inlineStr"/>
      <c r="K1028" s="34" t="inlineStr">
        <is>
          <t>Source assignment</t>
        </is>
      </c>
      <c r="L1028" s="39" t="inlineStr"/>
      <c r="M1028" s="34" t="inlineStr">
        <is>
          <t>Initial</t>
        </is>
      </c>
      <c r="N1028" s="34" t="inlineStr">
        <is>
          <t>Rev 0</t>
        </is>
      </c>
      <c r="O1028" s="34" t="inlineStr">
        <is>
          <t>R687-v1</t>
        </is>
      </c>
      <c r="P1028" s="39" t="inlineStr"/>
      <c r="Q1028" s="14" t="inlineStr"/>
      <c r="R1028" s="39" t="inlineStr"/>
      <c r="S1028" s="39" t="inlineStr"/>
      <c r="T1028" s="39" t="inlineStr"/>
      <c r="U1028" s="39" t="inlineStr"/>
      <c r="V1028" s="34" t="inlineStr">
        <is>
          <t>WBS Code = 1.4.2</t>
        </is>
      </c>
      <c r="W1028" s="14" t="inlineStr"/>
    </row>
    <row r="1029" ht="49" customHeight="1">
      <c r="A1029" s="34" t="inlineStr">
        <is>
          <t>1.4.2</t>
        </is>
      </c>
      <c r="B1029" s="34" t="inlineStr">
        <is>
          <t>Vehicles and Depot - Depot Buildings</t>
        </is>
      </c>
      <c r="C1029" s="34" t="inlineStr">
        <is>
          <t>Contractor Programme</t>
        </is>
      </c>
      <c r="D1029" s="34" t="inlineStr">
        <is>
          <t>SCH-04-150</t>
        </is>
      </c>
      <c r="E1029" s="34" t="inlineStr">
        <is>
          <t>Operations building: maintenance-bay services - turnover</t>
        </is>
      </c>
      <c r="F1029" s="34" t="inlineStr">
        <is>
          <t>ONE_TO_ONE</t>
        </is>
      </c>
      <c r="G1029" s="34" t="inlineStr">
        <is>
          <t>APPROVED</t>
        </is>
      </c>
      <c r="H1029" s="34" t="inlineStr">
        <is>
          <t>New</t>
        </is>
      </c>
      <c r="I1029" s="34" t="inlineStr">
        <is>
          <t>Source assignment -- not individually reviewed</t>
        </is>
      </c>
      <c r="J1029" s="39" t="inlineStr"/>
      <c r="K1029" s="34" t="inlineStr">
        <is>
          <t>Source assignment</t>
        </is>
      </c>
      <c r="L1029" s="39" t="inlineStr"/>
      <c r="M1029" s="34" t="inlineStr">
        <is>
          <t>Initial</t>
        </is>
      </c>
      <c r="N1029" s="34" t="inlineStr">
        <is>
          <t>Rev 0</t>
        </is>
      </c>
      <c r="O1029" s="34" t="inlineStr">
        <is>
          <t>R690-v1</t>
        </is>
      </c>
      <c r="P1029" s="39" t="inlineStr"/>
      <c r="Q1029" s="14" t="inlineStr"/>
      <c r="R1029" s="39" t="inlineStr"/>
      <c r="S1029" s="39" t="inlineStr"/>
      <c r="T1029" s="39" t="inlineStr"/>
      <c r="U1029" s="39" t="inlineStr"/>
      <c r="V1029" s="34" t="inlineStr">
        <is>
          <t>WBS Code = 1.4.2</t>
        </is>
      </c>
      <c r="W1029" s="14" t="inlineStr"/>
    </row>
    <row r="1030" ht="49" customHeight="1">
      <c r="A1030" s="34" t="inlineStr">
        <is>
          <t>1.4.2</t>
        </is>
      </c>
      <c r="B1030" s="34" t="inlineStr">
        <is>
          <t>Vehicles and Depot - Depot Buildings</t>
        </is>
      </c>
      <c r="C1030" s="34" t="inlineStr">
        <is>
          <t>Contractor Programme</t>
        </is>
      </c>
      <c r="D1030" s="34" t="inlineStr">
        <is>
          <t>SCH-04-153</t>
        </is>
      </c>
      <c r="E1030" s="34" t="inlineStr">
        <is>
          <t>Maintenance shop: vehicle-to-depot interface check - installation</t>
        </is>
      </c>
      <c r="F1030" s="34" t="inlineStr">
        <is>
          <t>ONE_TO_ONE</t>
        </is>
      </c>
      <c r="G1030" s="34" t="inlineStr">
        <is>
          <t>APPROVED</t>
        </is>
      </c>
      <c r="H1030" s="34" t="inlineStr">
        <is>
          <t>New</t>
        </is>
      </c>
      <c r="I1030" s="34" t="inlineStr">
        <is>
          <t>Source assignment -- not individually reviewed</t>
        </is>
      </c>
      <c r="J1030" s="39" t="inlineStr"/>
      <c r="K1030" s="34" t="inlineStr">
        <is>
          <t>Source assignment</t>
        </is>
      </c>
      <c r="L1030" s="39" t="inlineStr"/>
      <c r="M1030" s="34" t="inlineStr">
        <is>
          <t>Initial</t>
        </is>
      </c>
      <c r="N1030" s="34" t="inlineStr">
        <is>
          <t>Rev 0</t>
        </is>
      </c>
      <c r="O1030" s="34" t="inlineStr">
        <is>
          <t>R693-v1</t>
        </is>
      </c>
      <c r="P1030" s="39" t="inlineStr"/>
      <c r="Q1030" s="14" t="inlineStr"/>
      <c r="R1030" s="39" t="inlineStr"/>
      <c r="S1030" s="39" t="inlineStr"/>
      <c r="T1030" s="39" t="inlineStr"/>
      <c r="U1030" s="39" t="inlineStr"/>
      <c r="V1030" s="34" t="inlineStr">
        <is>
          <t>WBS Code = 1.4.2</t>
        </is>
      </c>
      <c r="W1030" s="14" t="inlineStr"/>
    </row>
    <row r="1031" ht="49" customHeight="1">
      <c r="A1031" s="34" t="inlineStr">
        <is>
          <t>1.4.2</t>
        </is>
      </c>
      <c r="B1031" s="34" t="inlineStr">
        <is>
          <t>Vehicles and Depot - Depot Buildings</t>
        </is>
      </c>
      <c r="C1031" s="34" t="inlineStr">
        <is>
          <t>Contractor Programme</t>
        </is>
      </c>
      <c r="D1031" s="34" t="inlineStr">
        <is>
          <t>SCH-04-156</t>
        </is>
      </c>
      <c r="E1031" s="34" t="inlineStr">
        <is>
          <t>Test track: vehicle delivery inspection - release</t>
        </is>
      </c>
      <c r="F1031" s="34" t="inlineStr">
        <is>
          <t>ONE_TO_ONE</t>
        </is>
      </c>
      <c r="G1031" s="34" t="inlineStr">
        <is>
          <t>APPROVED</t>
        </is>
      </c>
      <c r="H1031" s="34" t="inlineStr">
        <is>
          <t>New</t>
        </is>
      </c>
      <c r="I1031" s="34" t="inlineStr">
        <is>
          <t>Source assignment -- not individually reviewed</t>
        </is>
      </c>
      <c r="J1031" s="39" t="inlineStr"/>
      <c r="K1031" s="34" t="inlineStr">
        <is>
          <t>Source assignment</t>
        </is>
      </c>
      <c r="L1031" s="39" t="inlineStr"/>
      <c r="M1031" s="34" t="inlineStr">
        <is>
          <t>Initial</t>
        </is>
      </c>
      <c r="N1031" s="34" t="inlineStr">
        <is>
          <t>Rev 0</t>
        </is>
      </c>
      <c r="O1031" s="34" t="inlineStr">
        <is>
          <t>R696-v1</t>
        </is>
      </c>
      <c r="P1031" s="39" t="inlineStr"/>
      <c r="Q1031" s="14" t="inlineStr"/>
      <c r="R1031" s="39" t="inlineStr"/>
      <c r="S1031" s="39" t="inlineStr"/>
      <c r="T1031" s="39" t="inlineStr"/>
      <c r="U1031" s="39" t="inlineStr"/>
      <c r="V1031" s="34" t="inlineStr">
        <is>
          <t>WBS Code = 1.4.2</t>
        </is>
      </c>
      <c r="W1031" s="14" t="inlineStr"/>
    </row>
    <row r="1032" ht="49" customHeight="1">
      <c r="A1032" s="34" t="inlineStr">
        <is>
          <t>1.4.2</t>
        </is>
      </c>
      <c r="B1032" s="34" t="inlineStr">
        <is>
          <t>Vehicles and Depot - Depot Buildings</t>
        </is>
      </c>
      <c r="C1032" s="34" t="inlineStr">
        <is>
          <t>Contractor Programme</t>
        </is>
      </c>
      <c r="D1032" s="34" t="inlineStr">
        <is>
          <t>SCH-04-159</t>
        </is>
      </c>
      <c r="E1032" s="34" t="inlineStr">
        <is>
          <t>Storage yard: depot structural fit-out - inspection</t>
        </is>
      </c>
      <c r="F1032" s="34" t="inlineStr">
        <is>
          <t>ONE_TO_ONE</t>
        </is>
      </c>
      <c r="G1032" s="34" t="inlineStr">
        <is>
          <t>APPROVED</t>
        </is>
      </c>
      <c r="H1032" s="34" t="inlineStr">
        <is>
          <t>New</t>
        </is>
      </c>
      <c r="I1032" s="34" t="inlineStr">
        <is>
          <t>Source assignment -- not individually reviewed</t>
        </is>
      </c>
      <c r="J1032" s="39" t="inlineStr"/>
      <c r="K1032" s="34" t="inlineStr">
        <is>
          <t>Source assignment</t>
        </is>
      </c>
      <c r="L1032" s="39" t="inlineStr"/>
      <c r="M1032" s="34" t="inlineStr">
        <is>
          <t>Initial</t>
        </is>
      </c>
      <c r="N1032" s="34" t="inlineStr">
        <is>
          <t>Rev 0</t>
        </is>
      </c>
      <c r="O1032" s="34" t="inlineStr">
        <is>
          <t>R699-v1</t>
        </is>
      </c>
      <c r="P1032" s="39" t="inlineStr"/>
      <c r="Q1032" s="14" t="inlineStr"/>
      <c r="R1032" s="39" t="inlineStr"/>
      <c r="S1032" s="39" t="inlineStr"/>
      <c r="T1032" s="39" t="inlineStr"/>
      <c r="U1032" s="39" t="inlineStr"/>
      <c r="V1032" s="34" t="inlineStr">
        <is>
          <t>WBS Code = 1.4.2</t>
        </is>
      </c>
      <c r="W1032" s="14" t="inlineStr"/>
    </row>
    <row r="1033" ht="49" customHeight="1">
      <c r="A1033" s="34" t="inlineStr">
        <is>
          <t>1.4.2</t>
        </is>
      </c>
      <c r="B1033" s="34" t="inlineStr">
        <is>
          <t>Vehicles and Depot - Depot Buildings</t>
        </is>
      </c>
      <c r="C1033" s="34" t="inlineStr">
        <is>
          <t>Contractor Programme</t>
        </is>
      </c>
      <c r="D1033" s="34" t="inlineStr">
        <is>
          <t>SCH-04-162</t>
        </is>
      </c>
      <c r="E1033" s="34" t="inlineStr">
        <is>
          <t>Receiving track: wheel-lathe installation - field start</t>
        </is>
      </c>
      <c r="F1033" s="34" t="inlineStr">
        <is>
          <t>ONE_TO_ONE</t>
        </is>
      </c>
      <c r="G1033" s="34" t="inlineStr">
        <is>
          <t>APPROVED</t>
        </is>
      </c>
      <c r="H1033" s="34" t="inlineStr">
        <is>
          <t>New</t>
        </is>
      </c>
      <c r="I1033" s="34" t="inlineStr">
        <is>
          <t>Source assignment -- not individually reviewed</t>
        </is>
      </c>
      <c r="J1033" s="39" t="inlineStr"/>
      <c r="K1033" s="34" t="inlineStr">
        <is>
          <t>Source assignment</t>
        </is>
      </c>
      <c r="L1033" s="39" t="inlineStr"/>
      <c r="M1033" s="34" t="inlineStr">
        <is>
          <t>Initial</t>
        </is>
      </c>
      <c r="N1033" s="34" t="inlineStr">
        <is>
          <t>Rev 0</t>
        </is>
      </c>
      <c r="O1033" s="34" t="inlineStr">
        <is>
          <t>R702-v1</t>
        </is>
      </c>
      <c r="P1033" s="39" t="inlineStr"/>
      <c r="Q1033" s="14" t="inlineStr"/>
      <c r="R1033" s="39" t="inlineStr"/>
      <c r="S1033" s="39" t="inlineStr"/>
      <c r="T1033" s="39" t="inlineStr"/>
      <c r="U1033" s="39" t="inlineStr"/>
      <c r="V1033" s="34" t="inlineStr">
        <is>
          <t>WBS Code = 1.4.2</t>
        </is>
      </c>
      <c r="W1033" s="14" t="inlineStr"/>
    </row>
    <row r="1034" ht="49" customHeight="1">
      <c r="A1034" s="34" t="inlineStr">
        <is>
          <t>1.4.2</t>
        </is>
      </c>
      <c r="B1034" s="34" t="inlineStr">
        <is>
          <t>Vehicles and Depot - Depot Buildings</t>
        </is>
      </c>
      <c r="C1034" s="34" t="inlineStr">
        <is>
          <t>Contractor Programme</t>
        </is>
      </c>
      <c r="D1034" s="34" t="inlineStr">
        <is>
          <t>SCH-04-165</t>
        </is>
      </c>
      <c r="E1034" s="34" t="inlineStr">
        <is>
          <t>Operations building: wash-plant commissioning - turnover</t>
        </is>
      </c>
      <c r="F1034" s="34" t="inlineStr">
        <is>
          <t>ONE_TO_ONE</t>
        </is>
      </c>
      <c r="G1034" s="34" t="inlineStr">
        <is>
          <t>APPROVED</t>
        </is>
      </c>
      <c r="H1034" s="34" t="inlineStr">
        <is>
          <t>New</t>
        </is>
      </c>
      <c r="I1034" s="34" t="inlineStr">
        <is>
          <t>Source assignment -- not individually reviewed</t>
        </is>
      </c>
      <c r="J1034" s="39" t="inlineStr"/>
      <c r="K1034" s="34" t="inlineStr">
        <is>
          <t>Source assignment</t>
        </is>
      </c>
      <c r="L1034" s="39" t="inlineStr"/>
      <c r="M1034" s="34" t="inlineStr">
        <is>
          <t>Initial</t>
        </is>
      </c>
      <c r="N1034" s="34" t="inlineStr">
        <is>
          <t>Rev 0</t>
        </is>
      </c>
      <c r="O1034" s="34" t="inlineStr">
        <is>
          <t>R705-v1</t>
        </is>
      </c>
      <c r="P1034" s="39" t="inlineStr"/>
      <c r="Q1034" s="14" t="inlineStr"/>
      <c r="R1034" s="39" t="inlineStr"/>
      <c r="S1034" s="39" t="inlineStr"/>
      <c r="T1034" s="39" t="inlineStr"/>
      <c r="U1034" s="39" t="inlineStr"/>
      <c r="V1034" s="34" t="inlineStr">
        <is>
          <t>WBS Code = 1.4.2</t>
        </is>
      </c>
      <c r="W1034" s="14" t="inlineStr"/>
    </row>
    <row r="1035" ht="49" customHeight="1">
      <c r="A1035" s="34" t="inlineStr">
        <is>
          <t>1.4.2</t>
        </is>
      </c>
      <c r="B1035" s="34" t="inlineStr">
        <is>
          <t>Vehicles and Depot - Depot Buildings</t>
        </is>
      </c>
      <c r="C1035" s="34" t="inlineStr">
        <is>
          <t>Contractor Programme</t>
        </is>
      </c>
      <c r="D1035" s="34" t="inlineStr">
        <is>
          <t>SCH-04-168</t>
        </is>
      </c>
      <c r="E1035" s="34" t="inlineStr">
        <is>
          <t>Maintenance shop: workshop crane installation - installation</t>
        </is>
      </c>
      <c r="F1035" s="34" t="inlineStr">
        <is>
          <t>ONE_TO_ONE</t>
        </is>
      </c>
      <c r="G1035" s="34" t="inlineStr">
        <is>
          <t>APPROVED</t>
        </is>
      </c>
      <c r="H1035" s="34" t="inlineStr">
        <is>
          <t>New</t>
        </is>
      </c>
      <c r="I1035" s="34" t="inlineStr">
        <is>
          <t>Source assignment -- not individually reviewed</t>
        </is>
      </c>
      <c r="J1035" s="39" t="inlineStr"/>
      <c r="K1035" s="34" t="inlineStr">
        <is>
          <t>Source assignment</t>
        </is>
      </c>
      <c r="L1035" s="39" t="inlineStr"/>
      <c r="M1035" s="34" t="inlineStr">
        <is>
          <t>Initial</t>
        </is>
      </c>
      <c r="N1035" s="34" t="inlineStr">
        <is>
          <t>Rev 0</t>
        </is>
      </c>
      <c r="O1035" s="34" t="inlineStr">
        <is>
          <t>R708-v1</t>
        </is>
      </c>
      <c r="P1035" s="39" t="inlineStr"/>
      <c r="Q1035" s="14" t="inlineStr"/>
      <c r="R1035" s="39" t="inlineStr"/>
      <c r="S1035" s="39" t="inlineStr"/>
      <c r="T1035" s="39" t="inlineStr"/>
      <c r="U1035" s="39" t="inlineStr"/>
      <c r="V1035" s="34" t="inlineStr">
        <is>
          <t>WBS Code = 1.4.2</t>
        </is>
      </c>
      <c r="W1035" s="14" t="inlineStr"/>
    </row>
    <row r="1036" ht="49" customHeight="1">
      <c r="A1036" s="34" t="inlineStr">
        <is>
          <t>1.4.2</t>
        </is>
      </c>
      <c r="B1036" s="34" t="inlineStr">
        <is>
          <t>Vehicles and Depot - Depot Buildings</t>
        </is>
      </c>
      <c r="C1036" s="34" t="inlineStr">
        <is>
          <t>Contractor Programme</t>
        </is>
      </c>
      <c r="D1036" s="34" t="inlineStr">
        <is>
          <t>SCH-04-171</t>
        </is>
      </c>
      <c r="E1036" s="34" t="inlineStr">
        <is>
          <t>Test track: fleet software load - release</t>
        </is>
      </c>
      <c r="F1036" s="34" t="inlineStr">
        <is>
          <t>ONE_TO_ONE</t>
        </is>
      </c>
      <c r="G1036" s="34" t="inlineStr">
        <is>
          <t>APPROVED</t>
        </is>
      </c>
      <c r="H1036" s="34" t="inlineStr">
        <is>
          <t>New</t>
        </is>
      </c>
      <c r="I1036" s="34" t="inlineStr">
        <is>
          <t>Source assignment -- not individually reviewed</t>
        </is>
      </c>
      <c r="J1036" s="39" t="inlineStr"/>
      <c r="K1036" s="34" t="inlineStr">
        <is>
          <t>Source assignment</t>
        </is>
      </c>
      <c r="L1036" s="39" t="inlineStr"/>
      <c r="M1036" s="34" t="inlineStr">
        <is>
          <t>Initial</t>
        </is>
      </c>
      <c r="N1036" s="34" t="inlineStr">
        <is>
          <t>Rev 0</t>
        </is>
      </c>
      <c r="O1036" s="34" t="inlineStr">
        <is>
          <t>R711-v1</t>
        </is>
      </c>
      <c r="P1036" s="39" t="inlineStr"/>
      <c r="Q1036" s="14" t="inlineStr"/>
      <c r="R1036" s="39" t="inlineStr"/>
      <c r="S1036" s="39" t="inlineStr"/>
      <c r="T1036" s="39" t="inlineStr"/>
      <c r="U1036" s="39" t="inlineStr"/>
      <c r="V1036" s="34" t="inlineStr">
        <is>
          <t>WBS Code = 1.4.2</t>
        </is>
      </c>
      <c r="W1036" s="14" t="inlineStr"/>
    </row>
    <row r="1037" ht="49" customHeight="1">
      <c r="A1037" s="34" t="inlineStr">
        <is>
          <t>1.4.2</t>
        </is>
      </c>
      <c r="B1037" s="34" t="inlineStr">
        <is>
          <t>Vehicles and Depot - Depot Buildings</t>
        </is>
      </c>
      <c r="C1037" s="34" t="inlineStr">
        <is>
          <t>Contractor Programme</t>
        </is>
      </c>
      <c r="D1037" s="34" t="inlineStr">
        <is>
          <t>SCH-04-174</t>
        </is>
      </c>
      <c r="E1037" s="34" t="inlineStr">
        <is>
          <t>Storage yard: maintenance-bay services - inspection</t>
        </is>
      </c>
      <c r="F1037" s="34" t="inlineStr">
        <is>
          <t>ONE_TO_ONE</t>
        </is>
      </c>
      <c r="G1037" s="34" t="inlineStr">
        <is>
          <t>APPROVED</t>
        </is>
      </c>
      <c r="H1037" s="34" t="inlineStr">
        <is>
          <t>New</t>
        </is>
      </c>
      <c r="I1037" s="34" t="inlineStr">
        <is>
          <t>Source assignment -- not individually reviewed</t>
        </is>
      </c>
      <c r="J1037" s="39" t="inlineStr"/>
      <c r="K1037" s="34" t="inlineStr">
        <is>
          <t>Source assignment</t>
        </is>
      </c>
      <c r="L1037" s="39" t="inlineStr"/>
      <c r="M1037" s="34" t="inlineStr">
        <is>
          <t>Initial</t>
        </is>
      </c>
      <c r="N1037" s="34" t="inlineStr">
        <is>
          <t>Rev 0</t>
        </is>
      </c>
      <c r="O1037" s="34" t="inlineStr">
        <is>
          <t>R714-v1</t>
        </is>
      </c>
      <c r="P1037" s="39" t="inlineStr"/>
      <c r="Q1037" s="14" t="inlineStr"/>
      <c r="R1037" s="39" t="inlineStr"/>
      <c r="S1037" s="39" t="inlineStr"/>
      <c r="T1037" s="39" t="inlineStr"/>
      <c r="U1037" s="39" t="inlineStr"/>
      <c r="V1037" s="34" t="inlineStr">
        <is>
          <t>WBS Code = 1.4.2</t>
        </is>
      </c>
      <c r="W1037" s="14" t="inlineStr"/>
    </row>
    <row r="1038" ht="49" customHeight="1">
      <c r="A1038" s="34" t="inlineStr">
        <is>
          <t>1.4.2</t>
        </is>
      </c>
      <c r="B1038" s="34" t="inlineStr">
        <is>
          <t>Vehicles and Depot - Depot Buildings</t>
        </is>
      </c>
      <c r="C1038" s="34" t="inlineStr">
        <is>
          <t>Contractor Programme</t>
        </is>
      </c>
      <c r="D1038" s="34" t="inlineStr">
        <is>
          <t>SCH-04-177</t>
        </is>
      </c>
      <c r="E1038" s="34" t="inlineStr">
        <is>
          <t>Receiving track: vehicle-to-depot interface check - field start</t>
        </is>
      </c>
      <c r="F1038" s="34" t="inlineStr">
        <is>
          <t>ONE_TO_ONE</t>
        </is>
      </c>
      <c r="G1038" s="34" t="inlineStr">
        <is>
          <t>APPROVED</t>
        </is>
      </c>
      <c r="H1038" s="34" t="inlineStr">
        <is>
          <t>New</t>
        </is>
      </c>
      <c r="I1038" s="34" t="inlineStr">
        <is>
          <t>Source assignment -- not individually reviewed</t>
        </is>
      </c>
      <c r="J1038" s="39" t="inlineStr"/>
      <c r="K1038" s="34" t="inlineStr">
        <is>
          <t>Source assignment</t>
        </is>
      </c>
      <c r="L1038" s="39" t="inlineStr"/>
      <c r="M1038" s="34" t="inlineStr">
        <is>
          <t>Initial</t>
        </is>
      </c>
      <c r="N1038" s="34" t="inlineStr">
        <is>
          <t>Rev 0</t>
        </is>
      </c>
      <c r="O1038" s="34" t="inlineStr">
        <is>
          <t>R717-v1</t>
        </is>
      </c>
      <c r="P1038" s="39" t="inlineStr"/>
      <c r="Q1038" s="14" t="inlineStr"/>
      <c r="R1038" s="39" t="inlineStr"/>
      <c r="S1038" s="39" t="inlineStr"/>
      <c r="T1038" s="39" t="inlineStr"/>
      <c r="U1038" s="39" t="inlineStr"/>
      <c r="V1038" s="34" t="inlineStr">
        <is>
          <t>WBS Code = 1.4.2</t>
        </is>
      </c>
      <c r="W1038" s="14" t="inlineStr"/>
    </row>
    <row r="1039" ht="49" customHeight="1">
      <c r="A1039" s="34" t="inlineStr">
        <is>
          <t>1.4.2</t>
        </is>
      </c>
      <c r="B1039" s="34" t="inlineStr">
        <is>
          <t>Vehicles and Depot - Depot Buildings</t>
        </is>
      </c>
      <c r="C1039" s="34" t="inlineStr">
        <is>
          <t>Contractor Programme</t>
        </is>
      </c>
      <c r="D1039" s="34" t="inlineStr">
        <is>
          <t>SCH-04-180</t>
        </is>
      </c>
      <c r="E1039" s="34" t="inlineStr">
        <is>
          <t>Operations building: vehicle delivery inspection - turnover</t>
        </is>
      </c>
      <c r="F1039" s="34" t="inlineStr">
        <is>
          <t>ONE_TO_ONE</t>
        </is>
      </c>
      <c r="G1039" s="34" t="inlineStr">
        <is>
          <t>APPROVED</t>
        </is>
      </c>
      <c r="H1039" s="34" t="inlineStr">
        <is>
          <t>New</t>
        </is>
      </c>
      <c r="I1039" s="34" t="inlineStr">
        <is>
          <t>Source assignment -- not individually reviewed</t>
        </is>
      </c>
      <c r="J1039" s="39" t="inlineStr"/>
      <c r="K1039" s="34" t="inlineStr">
        <is>
          <t>Source assignment</t>
        </is>
      </c>
      <c r="L1039" s="39" t="inlineStr"/>
      <c r="M1039" s="34" t="inlineStr">
        <is>
          <t>Initial</t>
        </is>
      </c>
      <c r="N1039" s="34" t="inlineStr">
        <is>
          <t>Rev 0</t>
        </is>
      </c>
      <c r="O1039" s="34" t="inlineStr">
        <is>
          <t>R720-v1</t>
        </is>
      </c>
      <c r="P1039" s="39" t="inlineStr"/>
      <c r="Q1039" s="14" t="inlineStr"/>
      <c r="R1039" s="39" t="inlineStr"/>
      <c r="S1039" s="39" t="inlineStr"/>
      <c r="T1039" s="39" t="inlineStr"/>
      <c r="U1039" s="39" t="inlineStr"/>
      <c r="V1039" s="34" t="inlineStr">
        <is>
          <t>WBS Code = 1.4.2</t>
        </is>
      </c>
      <c r="W1039" s="14" t="inlineStr"/>
    </row>
    <row r="1040" ht="49" customHeight="1">
      <c r="A1040" s="34" t="inlineStr">
        <is>
          <t>1.4.2</t>
        </is>
      </c>
      <c r="B1040" s="34" t="inlineStr">
        <is>
          <t>Vehicles and Depot - Depot Buildings</t>
        </is>
      </c>
      <c r="C1040" s="34" t="inlineStr">
        <is>
          <t>Cost &amp; Forecast Control Accounts</t>
        </is>
      </c>
      <c r="D1040" s="34" t="inlineStr">
        <is>
          <t>CST-04-002</t>
        </is>
      </c>
      <c r="E1040" s="34" t="inlineStr">
        <is>
          <t>Vehicles and Depot - workshop equipment - supply and install</t>
        </is>
      </c>
      <c r="F1040" s="34" t="inlineStr">
        <is>
          <t>ONE_TO_ONE</t>
        </is>
      </c>
      <c r="G1040" s="34" t="inlineStr">
        <is>
          <t>APPROVED</t>
        </is>
      </c>
      <c r="H1040" s="34" t="inlineStr">
        <is>
          <t>New</t>
        </is>
      </c>
      <c r="I1040" s="34" t="inlineStr">
        <is>
          <t>Source assignment -- not individually reviewed</t>
        </is>
      </c>
      <c r="J1040" s="39" t="inlineStr"/>
      <c r="K1040" s="34" t="inlineStr">
        <is>
          <t>Source assignment</t>
        </is>
      </c>
      <c r="L1040" s="39" t="inlineStr"/>
      <c r="M1040" s="34" t="inlineStr">
        <is>
          <t>Initial</t>
        </is>
      </c>
      <c r="N1040" s="34" t="inlineStr">
        <is>
          <t>Rev 0</t>
        </is>
      </c>
      <c r="O1040" s="34" t="inlineStr">
        <is>
          <t>R1324-v1</t>
        </is>
      </c>
      <c r="P1040" s="39" t="inlineStr"/>
      <c r="Q1040" s="14" t="inlineStr"/>
      <c r="R1040" s="39" t="inlineStr"/>
      <c r="S1040" s="39" t="inlineStr"/>
      <c r="T1040" s="39" t="inlineStr"/>
      <c r="U1040" s="39" t="inlineStr"/>
      <c r="V1040" s="34" t="inlineStr">
        <is>
          <t>Cost Account = CA-4002; WBS Code = 1.4.2</t>
        </is>
      </c>
      <c r="W1040" s="14" t="inlineStr"/>
    </row>
    <row r="1041" ht="49" customHeight="1">
      <c r="A1041" s="34" t="inlineStr">
        <is>
          <t>1.4.2</t>
        </is>
      </c>
      <c r="B1041" s="34" t="inlineStr">
        <is>
          <t>Vehicles and Depot - Depot Buildings</t>
        </is>
      </c>
      <c r="C1041" s="34" t="inlineStr">
        <is>
          <t>Cost &amp; Forecast Control Accounts</t>
        </is>
      </c>
      <c r="D1041" s="34" t="inlineStr">
        <is>
          <t>CST-04-004</t>
        </is>
      </c>
      <c r="E1041" s="34" t="inlineStr">
        <is>
          <t>Vehicles and Depot - fleet supply - allowance</t>
        </is>
      </c>
      <c r="F1041" s="34" t="inlineStr">
        <is>
          <t>ONE_TO_ONE</t>
        </is>
      </c>
      <c r="G1041" s="34" t="inlineStr">
        <is>
          <t>APPROVED</t>
        </is>
      </c>
      <c r="H1041" s="34" t="inlineStr">
        <is>
          <t>New</t>
        </is>
      </c>
      <c r="I1041" s="34" t="inlineStr">
        <is>
          <t>Source assignment -- not individually reviewed</t>
        </is>
      </c>
      <c r="J1041" s="39" t="inlineStr"/>
      <c r="K1041" s="34" t="inlineStr">
        <is>
          <t>Source assignment</t>
        </is>
      </c>
      <c r="L1041" s="39" t="inlineStr"/>
      <c r="M1041" s="34" t="inlineStr">
        <is>
          <t>Initial</t>
        </is>
      </c>
      <c r="N1041" s="34" t="inlineStr">
        <is>
          <t>Rev 0</t>
        </is>
      </c>
      <c r="O1041" s="34" t="inlineStr">
        <is>
          <t>R1326-v1</t>
        </is>
      </c>
      <c r="P1041" s="39" t="inlineStr"/>
      <c r="Q1041" s="14" t="inlineStr"/>
      <c r="R1041" s="39" t="inlineStr"/>
      <c r="S1041" s="39" t="inlineStr"/>
      <c r="T1041" s="39" t="inlineStr"/>
      <c r="U1041" s="39" t="inlineStr"/>
      <c r="V1041" s="34" t="inlineStr">
        <is>
          <t>Cost Account = CA-4004; WBS Code = 1.4.2</t>
        </is>
      </c>
      <c r="W1041" s="14" t="inlineStr"/>
    </row>
    <row r="1042" ht="49" customHeight="1">
      <c r="A1042" s="34" t="inlineStr">
        <is>
          <t>1.4.2</t>
        </is>
      </c>
      <c r="B1042" s="34" t="inlineStr">
        <is>
          <t>Vehicles and Depot - Depot Buildings</t>
        </is>
      </c>
      <c r="C1042" s="34" t="inlineStr">
        <is>
          <t>Cost &amp; Forecast Control Accounts</t>
        </is>
      </c>
      <c r="D1042" s="34" t="inlineStr">
        <is>
          <t>CST-04-006</t>
        </is>
      </c>
      <c r="E1042" s="34" t="inlineStr">
        <is>
          <t>Vehicles and Depot - spares - field package</t>
        </is>
      </c>
      <c r="F1042" s="34" t="inlineStr">
        <is>
          <t>ONE_TO_ONE</t>
        </is>
      </c>
      <c r="G1042" s="34" t="inlineStr">
        <is>
          <t>APPROVED</t>
        </is>
      </c>
      <c r="H1042" s="34" t="inlineStr">
        <is>
          <t>New</t>
        </is>
      </c>
      <c r="I1042" s="34" t="inlineStr">
        <is>
          <t>Source assignment -- not individually reviewed</t>
        </is>
      </c>
      <c r="J1042" s="39" t="inlineStr"/>
      <c r="K1042" s="34" t="inlineStr">
        <is>
          <t>Source assignment</t>
        </is>
      </c>
      <c r="L1042" s="39" t="inlineStr"/>
      <c r="M1042" s="34" t="inlineStr">
        <is>
          <t>Initial</t>
        </is>
      </c>
      <c r="N1042" s="34" t="inlineStr">
        <is>
          <t>Rev 0</t>
        </is>
      </c>
      <c r="O1042" s="34" t="inlineStr">
        <is>
          <t>R1328-v1</t>
        </is>
      </c>
      <c r="P1042" s="39" t="inlineStr"/>
      <c r="Q1042" s="14" t="inlineStr"/>
      <c r="R1042" s="39" t="inlineStr"/>
      <c r="S1042" s="39" t="inlineStr"/>
      <c r="T1042" s="39" t="inlineStr"/>
      <c r="U1042" s="39" t="inlineStr"/>
      <c r="V1042" s="34" t="inlineStr">
        <is>
          <t>Cost Account = CA-4006; WBS Code = 1.4.2</t>
        </is>
      </c>
      <c r="W1042" s="14" t="inlineStr"/>
    </row>
    <row r="1043" ht="49" customHeight="1">
      <c r="A1043" s="34" t="inlineStr">
        <is>
          <t>1.4.2</t>
        </is>
      </c>
      <c r="B1043" s="34" t="inlineStr">
        <is>
          <t>Vehicles and Depot - Depot Buildings</t>
        </is>
      </c>
      <c r="C1043" s="34" t="inlineStr">
        <is>
          <t>Cost &amp; Forecast Control Accounts</t>
        </is>
      </c>
      <c r="D1043" s="34" t="inlineStr">
        <is>
          <t>CST-04-008</t>
        </is>
      </c>
      <c r="E1043" s="34" t="inlineStr">
        <is>
          <t>Vehicles and Depot - workshop equipment - professional services</t>
        </is>
      </c>
      <c r="F1043" s="34" t="inlineStr">
        <is>
          <t>ONE_TO_ONE</t>
        </is>
      </c>
      <c r="G1043" s="34" t="inlineStr">
        <is>
          <t>APPROVED</t>
        </is>
      </c>
      <c r="H1043" s="34" t="inlineStr">
        <is>
          <t>New</t>
        </is>
      </c>
      <c r="I1043" s="34" t="inlineStr">
        <is>
          <t>Source assignment -- not individually reviewed</t>
        </is>
      </c>
      <c r="J1043" s="39" t="inlineStr"/>
      <c r="K1043" s="34" t="inlineStr">
        <is>
          <t>Source assignment</t>
        </is>
      </c>
      <c r="L1043" s="39" t="inlineStr"/>
      <c r="M1043" s="34" t="inlineStr">
        <is>
          <t>Initial</t>
        </is>
      </c>
      <c r="N1043" s="34" t="inlineStr">
        <is>
          <t>Rev 0</t>
        </is>
      </c>
      <c r="O1043" s="34" t="inlineStr">
        <is>
          <t>R1330-v1</t>
        </is>
      </c>
      <c r="P1043" s="39" t="inlineStr"/>
      <c r="Q1043" s="14" t="inlineStr"/>
      <c r="R1043" s="39" t="inlineStr"/>
      <c r="S1043" s="39" t="inlineStr"/>
      <c r="T1043" s="39" t="inlineStr"/>
      <c r="U1043" s="39" t="inlineStr"/>
      <c r="V1043" s="34" t="inlineStr">
        <is>
          <t>Cost Account = CA-4008; WBS Code = 1.4.2</t>
        </is>
      </c>
      <c r="W1043" s="14" t="inlineStr"/>
    </row>
    <row r="1044" ht="49" customHeight="1">
      <c r="A1044" s="34" t="inlineStr">
        <is>
          <t>1.4.2</t>
        </is>
      </c>
      <c r="B1044" s="34" t="inlineStr">
        <is>
          <t>Vehicles and Depot - Depot Buildings</t>
        </is>
      </c>
      <c r="C1044" s="34" t="inlineStr">
        <is>
          <t>Cost &amp; Forecast Control Accounts</t>
        </is>
      </c>
      <c r="D1044" s="34" t="inlineStr">
        <is>
          <t>CST-04-010</t>
        </is>
      </c>
      <c r="E1044" s="34" t="inlineStr">
        <is>
          <t>Vehicles and Depot - fleet supply - closeout</t>
        </is>
      </c>
      <c r="F1044" s="34" t="inlineStr">
        <is>
          <t>ONE_TO_ONE</t>
        </is>
      </c>
      <c r="G1044" s="34" t="inlineStr">
        <is>
          <t>APPROVED</t>
        </is>
      </c>
      <c r="H1044" s="34" t="inlineStr">
        <is>
          <t>New</t>
        </is>
      </c>
      <c r="I1044" s="34" t="inlineStr">
        <is>
          <t>Source assignment -- not individually reviewed</t>
        </is>
      </c>
      <c r="J1044" s="39" t="inlineStr"/>
      <c r="K1044" s="34" t="inlineStr">
        <is>
          <t>Source assignment</t>
        </is>
      </c>
      <c r="L1044" s="39" t="inlineStr"/>
      <c r="M1044" s="34" t="inlineStr">
        <is>
          <t>Initial</t>
        </is>
      </c>
      <c r="N1044" s="34" t="inlineStr">
        <is>
          <t>Rev 0</t>
        </is>
      </c>
      <c r="O1044" s="34" t="inlineStr">
        <is>
          <t>R1332-v1</t>
        </is>
      </c>
      <c r="P1044" s="39" t="inlineStr"/>
      <c r="Q1044" s="14" t="inlineStr"/>
      <c r="R1044" s="39" t="inlineStr"/>
      <c r="S1044" s="39" t="inlineStr"/>
      <c r="T1044" s="39" t="inlineStr"/>
      <c r="U1044" s="39" t="inlineStr"/>
      <c r="V1044" s="34" t="inlineStr">
        <is>
          <t>Cost Account = CA-4010; WBS Code = 1.4.2</t>
        </is>
      </c>
      <c r="W1044" s="14" t="inlineStr"/>
    </row>
    <row r="1045" ht="49" customHeight="1">
      <c r="A1045" s="34" t="inlineStr">
        <is>
          <t>1.4.2</t>
        </is>
      </c>
      <c r="B1045" s="34" t="inlineStr">
        <is>
          <t>Vehicles and Depot - Depot Buildings</t>
        </is>
      </c>
      <c r="C1045" s="34" t="inlineStr">
        <is>
          <t>Cost &amp; Forecast Control Accounts</t>
        </is>
      </c>
      <c r="D1045" s="34" t="inlineStr">
        <is>
          <t>CST-04-012</t>
        </is>
      </c>
      <c r="E1045" s="34" t="inlineStr">
        <is>
          <t>Vehicles and Depot - spares - supply and install</t>
        </is>
      </c>
      <c r="F1045" s="34" t="inlineStr">
        <is>
          <t>ONE_TO_ONE</t>
        </is>
      </c>
      <c r="G1045" s="34" t="inlineStr">
        <is>
          <t>APPROVED</t>
        </is>
      </c>
      <c r="H1045" s="34" t="inlineStr">
        <is>
          <t>New</t>
        </is>
      </c>
      <c r="I1045" s="34" t="inlineStr">
        <is>
          <t>Source assignment -- not individually reviewed</t>
        </is>
      </c>
      <c r="J1045" s="39" t="inlineStr"/>
      <c r="K1045" s="34" t="inlineStr">
        <is>
          <t>Source assignment</t>
        </is>
      </c>
      <c r="L1045" s="39" t="inlineStr"/>
      <c r="M1045" s="34" t="inlineStr">
        <is>
          <t>Initial</t>
        </is>
      </c>
      <c r="N1045" s="34" t="inlineStr">
        <is>
          <t>Rev 0</t>
        </is>
      </c>
      <c r="O1045" s="34" t="inlineStr">
        <is>
          <t>R1334-v1</t>
        </is>
      </c>
      <c r="P1045" s="39" t="inlineStr"/>
      <c r="Q1045" s="14" t="inlineStr"/>
      <c r="R1045" s="39" t="inlineStr"/>
      <c r="S1045" s="39" t="inlineStr"/>
      <c r="T1045" s="39" t="inlineStr"/>
      <c r="U1045" s="39" t="inlineStr"/>
      <c r="V1045" s="34" t="inlineStr">
        <is>
          <t>Cost Account = CA-4012; WBS Code = 1.4.2</t>
        </is>
      </c>
      <c r="W1045" s="14" t="inlineStr"/>
    </row>
    <row r="1046" ht="49" customHeight="1">
      <c r="A1046" s="34" t="inlineStr">
        <is>
          <t>1.4.2</t>
        </is>
      </c>
      <c r="B1046" s="34" t="inlineStr">
        <is>
          <t>Vehicles and Depot - Depot Buildings</t>
        </is>
      </c>
      <c r="C1046" s="34" t="inlineStr">
        <is>
          <t>Cost &amp; Forecast Control Accounts</t>
        </is>
      </c>
      <c r="D1046" s="34" t="inlineStr">
        <is>
          <t>CST-04-014</t>
        </is>
      </c>
      <c r="E1046" s="34" t="inlineStr">
        <is>
          <t>Vehicles and Depot - workshop equipment - allowance</t>
        </is>
      </c>
      <c r="F1046" s="34" t="inlineStr">
        <is>
          <t>ONE_TO_ONE</t>
        </is>
      </c>
      <c r="G1046" s="34" t="inlineStr">
        <is>
          <t>APPROVED</t>
        </is>
      </c>
      <c r="H1046" s="34" t="inlineStr">
        <is>
          <t>New</t>
        </is>
      </c>
      <c r="I1046" s="34" t="inlineStr">
        <is>
          <t>Source assignment -- not individually reviewed</t>
        </is>
      </c>
      <c r="J1046" s="39" t="inlineStr"/>
      <c r="K1046" s="34" t="inlineStr">
        <is>
          <t>Source assignment</t>
        </is>
      </c>
      <c r="L1046" s="39" t="inlineStr"/>
      <c r="M1046" s="34" t="inlineStr">
        <is>
          <t>Initial</t>
        </is>
      </c>
      <c r="N1046" s="34" t="inlineStr">
        <is>
          <t>Rev 0</t>
        </is>
      </c>
      <c r="O1046" s="34" t="inlineStr">
        <is>
          <t>R1336-v1</t>
        </is>
      </c>
      <c r="P1046" s="39" t="inlineStr"/>
      <c r="Q1046" s="14" t="inlineStr"/>
      <c r="R1046" s="39" t="inlineStr"/>
      <c r="S1046" s="39" t="inlineStr"/>
      <c r="T1046" s="39" t="inlineStr"/>
      <c r="U1046" s="39" t="inlineStr"/>
      <c r="V1046" s="34" t="inlineStr">
        <is>
          <t>Cost Account = CA-4014; WBS Code = 1.4.2</t>
        </is>
      </c>
      <c r="W1046" s="14" t="inlineStr"/>
    </row>
    <row r="1047" ht="49" customHeight="1">
      <c r="A1047" s="34" t="inlineStr">
        <is>
          <t>1.4.2</t>
        </is>
      </c>
      <c r="B1047" s="34" t="inlineStr">
        <is>
          <t>Vehicles and Depot - Depot Buildings</t>
        </is>
      </c>
      <c r="C1047" s="34" t="inlineStr">
        <is>
          <t>Cost &amp; Forecast Control Accounts</t>
        </is>
      </c>
      <c r="D1047" s="34" t="inlineStr">
        <is>
          <t>CST-04-016</t>
        </is>
      </c>
      <c r="E1047" s="34" t="inlineStr">
        <is>
          <t>Vehicles and Depot - fleet supply - field package</t>
        </is>
      </c>
      <c r="F1047" s="34" t="inlineStr">
        <is>
          <t>ONE_TO_ONE</t>
        </is>
      </c>
      <c r="G1047" s="34" t="inlineStr">
        <is>
          <t>APPROVED</t>
        </is>
      </c>
      <c r="H1047" s="34" t="inlineStr">
        <is>
          <t>New</t>
        </is>
      </c>
      <c r="I1047" s="34" t="inlineStr">
        <is>
          <t>Source assignment -- not individually reviewed</t>
        </is>
      </c>
      <c r="J1047" s="39" t="inlineStr"/>
      <c r="K1047" s="34" t="inlineStr">
        <is>
          <t>Source assignment</t>
        </is>
      </c>
      <c r="L1047" s="39" t="inlineStr"/>
      <c r="M1047" s="34" t="inlineStr">
        <is>
          <t>Initial</t>
        </is>
      </c>
      <c r="N1047" s="34" t="inlineStr">
        <is>
          <t>Rev 0</t>
        </is>
      </c>
      <c r="O1047" s="34" t="inlineStr">
        <is>
          <t>R1338-v1</t>
        </is>
      </c>
      <c r="P1047" s="39" t="inlineStr"/>
      <c r="Q1047" s="14" t="inlineStr"/>
      <c r="R1047" s="39" t="inlineStr"/>
      <c r="S1047" s="39" t="inlineStr"/>
      <c r="T1047" s="39" t="inlineStr"/>
      <c r="U1047" s="39" t="inlineStr"/>
      <c r="V1047" s="34" t="inlineStr">
        <is>
          <t>Cost Account = CA-4016; WBS Code = 1.4.2</t>
        </is>
      </c>
      <c r="W1047" s="14" t="inlineStr"/>
    </row>
    <row r="1048" ht="49" customHeight="1">
      <c r="A1048" s="34" t="inlineStr">
        <is>
          <t>1.4.2</t>
        </is>
      </c>
      <c r="B1048" s="34" t="inlineStr">
        <is>
          <t>Vehicles and Depot - Depot Buildings</t>
        </is>
      </c>
      <c r="C1048" s="34" t="inlineStr">
        <is>
          <t>Cost &amp; Forecast Control Accounts</t>
        </is>
      </c>
      <c r="D1048" s="34" t="inlineStr">
        <is>
          <t>CST-04-018</t>
        </is>
      </c>
      <c r="E1048" s="34" t="inlineStr">
        <is>
          <t>Vehicles and Depot - spares - professional services</t>
        </is>
      </c>
      <c r="F1048" s="34" t="inlineStr">
        <is>
          <t>ONE_TO_ONE</t>
        </is>
      </c>
      <c r="G1048" s="34" t="inlineStr">
        <is>
          <t>APPROVED</t>
        </is>
      </c>
      <c r="H1048" s="34" t="inlineStr">
        <is>
          <t>New</t>
        </is>
      </c>
      <c r="I1048" s="34" t="inlineStr">
        <is>
          <t>Source assignment -- not individually reviewed</t>
        </is>
      </c>
      <c r="J1048" s="39" t="inlineStr"/>
      <c r="K1048" s="34" t="inlineStr">
        <is>
          <t>Source assignment</t>
        </is>
      </c>
      <c r="L1048" s="39" t="inlineStr"/>
      <c r="M1048" s="34" t="inlineStr">
        <is>
          <t>Initial</t>
        </is>
      </c>
      <c r="N1048" s="34" t="inlineStr">
        <is>
          <t>Rev 0</t>
        </is>
      </c>
      <c r="O1048" s="34" t="inlineStr">
        <is>
          <t>R1340-v1</t>
        </is>
      </c>
      <c r="P1048" s="39" t="inlineStr"/>
      <c r="Q1048" s="14" t="inlineStr"/>
      <c r="R1048" s="39" t="inlineStr"/>
      <c r="S1048" s="39" t="inlineStr"/>
      <c r="T1048" s="39" t="inlineStr"/>
      <c r="U1048" s="39" t="inlineStr"/>
      <c r="V1048" s="34" t="inlineStr">
        <is>
          <t>Cost Account = CA-4018; WBS Code = 1.4.2</t>
        </is>
      </c>
      <c r="W1048" s="14" t="inlineStr"/>
    </row>
    <row r="1049" ht="49" customHeight="1">
      <c r="A1049" s="34" t="inlineStr">
        <is>
          <t>1.4.2</t>
        </is>
      </c>
      <c r="B1049" s="34" t="inlineStr">
        <is>
          <t>Vehicles and Depot - Depot Buildings</t>
        </is>
      </c>
      <c r="C1049" s="34" t="inlineStr">
        <is>
          <t>Cost &amp; Forecast Control Accounts</t>
        </is>
      </c>
      <c r="D1049" s="34" t="inlineStr">
        <is>
          <t>CST-04-020</t>
        </is>
      </c>
      <c r="E1049" s="34" t="inlineStr">
        <is>
          <t>Vehicles and Depot - workshop equipment - closeout</t>
        </is>
      </c>
      <c r="F1049" s="34" t="inlineStr">
        <is>
          <t>ONE_TO_ONE</t>
        </is>
      </c>
      <c r="G1049" s="34" t="inlineStr">
        <is>
          <t>APPROVED</t>
        </is>
      </c>
      <c r="H1049" s="34" t="inlineStr">
        <is>
          <t>New</t>
        </is>
      </c>
      <c r="I1049" s="34" t="inlineStr">
        <is>
          <t>Source assignment -- not individually reviewed</t>
        </is>
      </c>
      <c r="J1049" s="39" t="inlineStr"/>
      <c r="K1049" s="34" t="inlineStr">
        <is>
          <t>Source assignment</t>
        </is>
      </c>
      <c r="L1049" s="39" t="inlineStr"/>
      <c r="M1049" s="34" t="inlineStr">
        <is>
          <t>Initial</t>
        </is>
      </c>
      <c r="N1049" s="34" t="inlineStr">
        <is>
          <t>Rev 0</t>
        </is>
      </c>
      <c r="O1049" s="34" t="inlineStr">
        <is>
          <t>R1342-v1</t>
        </is>
      </c>
      <c r="P1049" s="39" t="inlineStr"/>
      <c r="Q1049" s="14" t="inlineStr"/>
      <c r="R1049" s="39" t="inlineStr"/>
      <c r="S1049" s="39" t="inlineStr"/>
      <c r="T1049" s="39" t="inlineStr"/>
      <c r="U1049" s="39" t="inlineStr"/>
      <c r="V1049" s="34" t="inlineStr">
        <is>
          <t>Cost Account = CA-4020; WBS Code = 1.4.2</t>
        </is>
      </c>
      <c r="W1049" s="14" t="inlineStr"/>
    </row>
    <row r="1050" ht="49" customHeight="1">
      <c r="A1050" s="34" t="inlineStr">
        <is>
          <t>1.4.2</t>
        </is>
      </c>
      <c r="B1050" s="34" t="inlineStr">
        <is>
          <t>Vehicles and Depot - Depot Buildings</t>
        </is>
      </c>
      <c r="C1050" s="34" t="inlineStr">
        <is>
          <t>Cost &amp; Forecast Control Accounts</t>
        </is>
      </c>
      <c r="D1050" s="34" t="inlineStr">
        <is>
          <t>CST-04-022</t>
        </is>
      </c>
      <c r="E1050" s="34" t="inlineStr">
        <is>
          <t>Vehicles and Depot - fleet supply - supply and install</t>
        </is>
      </c>
      <c r="F1050" s="34" t="inlineStr">
        <is>
          <t>ONE_TO_ONE</t>
        </is>
      </c>
      <c r="G1050" s="34" t="inlineStr">
        <is>
          <t>APPROVED</t>
        </is>
      </c>
      <c r="H1050" s="34" t="inlineStr">
        <is>
          <t>New</t>
        </is>
      </c>
      <c r="I1050" s="34" t="inlineStr">
        <is>
          <t>Source assignment -- not individually reviewed</t>
        </is>
      </c>
      <c r="J1050" s="39" t="inlineStr"/>
      <c r="K1050" s="34" t="inlineStr">
        <is>
          <t>Source assignment</t>
        </is>
      </c>
      <c r="L1050" s="39" t="inlineStr"/>
      <c r="M1050" s="34" t="inlineStr">
        <is>
          <t>Initial</t>
        </is>
      </c>
      <c r="N1050" s="34" t="inlineStr">
        <is>
          <t>Rev 0</t>
        </is>
      </c>
      <c r="O1050" s="34" t="inlineStr">
        <is>
          <t>R1344-v1</t>
        </is>
      </c>
      <c r="P1050" s="39" t="inlineStr"/>
      <c r="Q1050" s="14" t="inlineStr"/>
      <c r="R1050" s="39" t="inlineStr"/>
      <c r="S1050" s="39" t="inlineStr"/>
      <c r="T1050" s="39" t="inlineStr"/>
      <c r="U1050" s="39" t="inlineStr"/>
      <c r="V1050" s="34" t="inlineStr">
        <is>
          <t>Cost Account = CA-4022; WBS Code = 1.4.2</t>
        </is>
      </c>
      <c r="W1050" s="14" t="inlineStr"/>
    </row>
    <row r="1051" ht="49" customHeight="1">
      <c r="A1051" s="34" t="inlineStr">
        <is>
          <t>1.4.2</t>
        </is>
      </c>
      <c r="B1051" s="34" t="inlineStr">
        <is>
          <t>Vehicles and Depot - Depot Buildings</t>
        </is>
      </c>
      <c r="C1051" s="34" t="inlineStr">
        <is>
          <t>Cost &amp; Forecast Control Accounts</t>
        </is>
      </c>
      <c r="D1051" s="34" t="inlineStr">
        <is>
          <t>CST-04-024</t>
        </is>
      </c>
      <c r="E1051" s="34" t="inlineStr">
        <is>
          <t>Vehicles and Depot - spares - allowance</t>
        </is>
      </c>
      <c r="F1051" s="34" t="inlineStr">
        <is>
          <t>ONE_TO_ONE</t>
        </is>
      </c>
      <c r="G1051" s="34" t="inlineStr">
        <is>
          <t>APPROVED</t>
        </is>
      </c>
      <c r="H1051" s="34" t="inlineStr">
        <is>
          <t>New</t>
        </is>
      </c>
      <c r="I1051" s="34" t="inlineStr">
        <is>
          <t>Source assignment -- not individually reviewed</t>
        </is>
      </c>
      <c r="J1051" s="39" t="inlineStr"/>
      <c r="K1051" s="34" t="inlineStr">
        <is>
          <t>Source assignment</t>
        </is>
      </c>
      <c r="L1051" s="39" t="inlineStr"/>
      <c r="M1051" s="34" t="inlineStr">
        <is>
          <t>Initial</t>
        </is>
      </c>
      <c r="N1051" s="34" t="inlineStr">
        <is>
          <t>Rev 0</t>
        </is>
      </c>
      <c r="O1051" s="34" t="inlineStr">
        <is>
          <t>R1346-v1</t>
        </is>
      </c>
      <c r="P1051" s="39" t="inlineStr"/>
      <c r="Q1051" s="14" t="inlineStr"/>
      <c r="R1051" s="39" t="inlineStr"/>
      <c r="S1051" s="39" t="inlineStr"/>
      <c r="T1051" s="39" t="inlineStr"/>
      <c r="U1051" s="39" t="inlineStr"/>
      <c r="V1051" s="34" t="inlineStr">
        <is>
          <t>Cost Account = CA-4024; WBS Code = 1.4.2</t>
        </is>
      </c>
      <c r="W1051" s="14" t="inlineStr"/>
    </row>
    <row r="1052" ht="49" customHeight="1">
      <c r="A1052" s="34" t="inlineStr">
        <is>
          <t>1.4.2</t>
        </is>
      </c>
      <c r="B1052" s="34" t="inlineStr">
        <is>
          <t>Vehicles and Depot - Depot Buildings</t>
        </is>
      </c>
      <c r="C1052" s="34" t="inlineStr">
        <is>
          <t>Cost &amp; Forecast Control Accounts</t>
        </is>
      </c>
      <c r="D1052" s="34" t="inlineStr">
        <is>
          <t>CST-04-026</t>
        </is>
      </c>
      <c r="E1052" s="34" t="inlineStr">
        <is>
          <t>Vehicles and Depot - workshop equipment - field package</t>
        </is>
      </c>
      <c r="F1052" s="34" t="inlineStr">
        <is>
          <t>ONE_TO_ONE</t>
        </is>
      </c>
      <c r="G1052" s="34" t="inlineStr">
        <is>
          <t>APPROVED</t>
        </is>
      </c>
      <c r="H1052" s="34" t="inlineStr">
        <is>
          <t>New</t>
        </is>
      </c>
      <c r="I1052" s="34" t="inlineStr">
        <is>
          <t>Source assignment -- not individually reviewed</t>
        </is>
      </c>
      <c r="J1052" s="39" t="inlineStr"/>
      <c r="K1052" s="34" t="inlineStr">
        <is>
          <t>Source assignment</t>
        </is>
      </c>
      <c r="L1052" s="39" t="inlineStr"/>
      <c r="M1052" s="34" t="inlineStr">
        <is>
          <t>Initial</t>
        </is>
      </c>
      <c r="N1052" s="34" t="inlineStr">
        <is>
          <t>Rev 0</t>
        </is>
      </c>
      <c r="O1052" s="34" t="inlineStr">
        <is>
          <t>R1348-v1</t>
        </is>
      </c>
      <c r="P1052" s="39" t="inlineStr"/>
      <c r="Q1052" s="14" t="inlineStr"/>
      <c r="R1052" s="39" t="inlineStr"/>
      <c r="S1052" s="39" t="inlineStr"/>
      <c r="T1052" s="39" t="inlineStr"/>
      <c r="U1052" s="39" t="inlineStr"/>
      <c r="V1052" s="34" t="inlineStr">
        <is>
          <t>Cost Account = CA-4026; WBS Code = 1.4.2</t>
        </is>
      </c>
      <c r="W1052" s="14" t="inlineStr"/>
    </row>
    <row r="1053" ht="49" customHeight="1">
      <c r="A1053" s="34" t="inlineStr">
        <is>
          <t>1.4.2</t>
        </is>
      </c>
      <c r="B1053" s="34" t="inlineStr">
        <is>
          <t>Vehicles and Depot - Depot Buildings</t>
        </is>
      </c>
      <c r="C1053" s="34" t="inlineStr">
        <is>
          <t>Cost &amp; Forecast Control Accounts</t>
        </is>
      </c>
      <c r="D1053" s="34" t="inlineStr">
        <is>
          <t>CST-04-028</t>
        </is>
      </c>
      <c r="E1053" s="34" t="inlineStr">
        <is>
          <t>Vehicles and Depot - fleet supply - professional services</t>
        </is>
      </c>
      <c r="F1053" s="34" t="inlineStr">
        <is>
          <t>ONE_TO_ONE</t>
        </is>
      </c>
      <c r="G1053" s="34" t="inlineStr">
        <is>
          <t>APPROVED</t>
        </is>
      </c>
      <c r="H1053" s="34" t="inlineStr">
        <is>
          <t>New</t>
        </is>
      </c>
      <c r="I1053" s="34" t="inlineStr">
        <is>
          <t>Source assignment -- not individually reviewed</t>
        </is>
      </c>
      <c r="J1053" s="39" t="inlineStr"/>
      <c r="K1053" s="34" t="inlineStr">
        <is>
          <t>Source assignment</t>
        </is>
      </c>
      <c r="L1053" s="39" t="inlineStr"/>
      <c r="M1053" s="34" t="inlineStr">
        <is>
          <t>Initial</t>
        </is>
      </c>
      <c r="N1053" s="34" t="inlineStr">
        <is>
          <t>Rev 0</t>
        </is>
      </c>
      <c r="O1053" s="34" t="inlineStr">
        <is>
          <t>R1350-v1</t>
        </is>
      </c>
      <c r="P1053" s="39" t="inlineStr"/>
      <c r="Q1053" s="14" t="inlineStr"/>
      <c r="R1053" s="39" t="inlineStr"/>
      <c r="S1053" s="39" t="inlineStr"/>
      <c r="T1053" s="39" t="inlineStr"/>
      <c r="U1053" s="39" t="inlineStr"/>
      <c r="V1053" s="34" t="inlineStr">
        <is>
          <t>Cost Account = CA-4028; WBS Code = 1.4.2</t>
        </is>
      </c>
      <c r="W1053" s="14" t="inlineStr"/>
    </row>
    <row r="1054" ht="49" customHeight="1">
      <c r="A1054" s="34" t="inlineStr">
        <is>
          <t>1.4.2</t>
        </is>
      </c>
      <c r="B1054" s="34" t="inlineStr">
        <is>
          <t>Vehicles and Depot - Depot Buildings</t>
        </is>
      </c>
      <c r="C1054" s="34" t="inlineStr">
        <is>
          <t>Cost &amp; Forecast Control Accounts</t>
        </is>
      </c>
      <c r="D1054" s="34" t="inlineStr">
        <is>
          <t>CST-04-030</t>
        </is>
      </c>
      <c r="E1054" s="34" t="inlineStr">
        <is>
          <t>Vehicles and Depot - spares - closeout</t>
        </is>
      </c>
      <c r="F1054" s="34" t="inlineStr">
        <is>
          <t>ONE_TO_ONE</t>
        </is>
      </c>
      <c r="G1054" s="34" t="inlineStr">
        <is>
          <t>APPROVED</t>
        </is>
      </c>
      <c r="H1054" s="34" t="inlineStr">
        <is>
          <t>New</t>
        </is>
      </c>
      <c r="I1054" s="34" t="inlineStr">
        <is>
          <t>Source assignment -- not individually reviewed</t>
        </is>
      </c>
      <c r="J1054" s="39" t="inlineStr"/>
      <c r="K1054" s="34" t="inlineStr">
        <is>
          <t>Source assignment</t>
        </is>
      </c>
      <c r="L1054" s="39" t="inlineStr"/>
      <c r="M1054" s="34" t="inlineStr">
        <is>
          <t>Initial</t>
        </is>
      </c>
      <c r="N1054" s="34" t="inlineStr">
        <is>
          <t>Rev 0</t>
        </is>
      </c>
      <c r="O1054" s="34" t="inlineStr">
        <is>
          <t>R1352-v1</t>
        </is>
      </c>
      <c r="P1054" s="39" t="inlineStr"/>
      <c r="Q1054" s="14" t="inlineStr"/>
      <c r="R1054" s="39" t="inlineStr"/>
      <c r="S1054" s="39" t="inlineStr"/>
      <c r="T1054" s="39" t="inlineStr"/>
      <c r="U1054" s="39" t="inlineStr"/>
      <c r="V1054" s="34" t="inlineStr">
        <is>
          <t>Cost Account = CA-4030; WBS Code = 1.4.2</t>
        </is>
      </c>
      <c r="W1054" s="14" t="inlineStr"/>
    </row>
    <row r="1055" ht="49" customHeight="1">
      <c r="A1055" s="34" t="inlineStr">
        <is>
          <t>1.4.2</t>
        </is>
      </c>
      <c r="B1055" s="34" t="inlineStr">
        <is>
          <t>Vehicles and Depot - Depot Buildings</t>
        </is>
      </c>
      <c r="C1055" s="34" t="inlineStr">
        <is>
          <t>Cost &amp; Forecast Control Accounts</t>
        </is>
      </c>
      <c r="D1055" s="34" t="inlineStr">
        <is>
          <t>CST-04-032</t>
        </is>
      </c>
      <c r="E1055" s="34" t="inlineStr">
        <is>
          <t>Vehicles and Depot - workshop equipment - supply and install</t>
        </is>
      </c>
      <c r="F1055" s="34" t="inlineStr">
        <is>
          <t>ONE_TO_ONE</t>
        </is>
      </c>
      <c r="G1055" s="34" t="inlineStr">
        <is>
          <t>APPROVED</t>
        </is>
      </c>
      <c r="H1055" s="34" t="inlineStr">
        <is>
          <t>New</t>
        </is>
      </c>
      <c r="I1055" s="34" t="inlineStr">
        <is>
          <t>Source assignment -- not individually reviewed</t>
        </is>
      </c>
      <c r="J1055" s="39" t="inlineStr"/>
      <c r="K1055" s="34" t="inlineStr">
        <is>
          <t>Source assignment</t>
        </is>
      </c>
      <c r="L1055" s="39" t="inlineStr"/>
      <c r="M1055" s="34" t="inlineStr">
        <is>
          <t>Initial</t>
        </is>
      </c>
      <c r="N1055" s="34" t="inlineStr">
        <is>
          <t>Rev 0</t>
        </is>
      </c>
      <c r="O1055" s="34" t="inlineStr">
        <is>
          <t>R1354-v1</t>
        </is>
      </c>
      <c r="P1055" s="39" t="inlineStr"/>
      <c r="Q1055" s="14" t="inlineStr"/>
      <c r="R1055" s="39" t="inlineStr"/>
      <c r="S1055" s="39" t="inlineStr"/>
      <c r="T1055" s="39" t="inlineStr"/>
      <c r="U1055" s="39" t="inlineStr"/>
      <c r="V1055" s="34" t="inlineStr">
        <is>
          <t>Cost Account = CA-4032; WBS Code = 1.4.2</t>
        </is>
      </c>
      <c r="W1055" s="14" t="inlineStr"/>
    </row>
    <row r="1056" ht="49" customHeight="1">
      <c r="A1056" s="34" t="inlineStr">
        <is>
          <t>1.4.2</t>
        </is>
      </c>
      <c r="B1056" s="34" t="inlineStr">
        <is>
          <t>Vehicles and Depot - Depot Buildings</t>
        </is>
      </c>
      <c r="C1056" s="34" t="inlineStr">
        <is>
          <t>Cost &amp; Forecast Control Accounts</t>
        </is>
      </c>
      <c r="D1056" s="34" t="inlineStr">
        <is>
          <t>CST-04-034</t>
        </is>
      </c>
      <c r="E1056" s="34" t="inlineStr">
        <is>
          <t>Vehicles and Depot - fleet supply - allowance</t>
        </is>
      </c>
      <c r="F1056" s="34" t="inlineStr">
        <is>
          <t>ONE_TO_ONE</t>
        </is>
      </c>
      <c r="G1056" s="34" t="inlineStr">
        <is>
          <t>APPROVED</t>
        </is>
      </c>
      <c r="H1056" s="34" t="inlineStr">
        <is>
          <t>New</t>
        </is>
      </c>
      <c r="I1056" s="34" t="inlineStr">
        <is>
          <t>Source assignment -- not individually reviewed</t>
        </is>
      </c>
      <c r="J1056" s="39" t="inlineStr"/>
      <c r="K1056" s="34" t="inlineStr">
        <is>
          <t>Source assignment</t>
        </is>
      </c>
      <c r="L1056" s="39" t="inlineStr"/>
      <c r="M1056" s="34" t="inlineStr">
        <is>
          <t>Initial</t>
        </is>
      </c>
      <c r="N1056" s="34" t="inlineStr">
        <is>
          <t>Rev 0</t>
        </is>
      </c>
      <c r="O1056" s="34" t="inlineStr">
        <is>
          <t>R1356-v1</t>
        </is>
      </c>
      <c r="P1056" s="39" t="inlineStr"/>
      <c r="Q1056" s="14" t="inlineStr"/>
      <c r="R1056" s="39" t="inlineStr"/>
      <c r="S1056" s="39" t="inlineStr"/>
      <c r="T1056" s="39" t="inlineStr"/>
      <c r="U1056" s="39" t="inlineStr"/>
      <c r="V1056" s="34" t="inlineStr">
        <is>
          <t>Cost Account = CA-4034; WBS Code = 1.4.2</t>
        </is>
      </c>
      <c r="W1056" s="14" t="inlineStr"/>
    </row>
    <row r="1057" ht="49" customHeight="1">
      <c r="A1057" s="34" t="inlineStr">
        <is>
          <t>1.4.2</t>
        </is>
      </c>
      <c r="B1057" s="34" t="inlineStr">
        <is>
          <t>Vehicles and Depot - Depot Buildings</t>
        </is>
      </c>
      <c r="C1057" s="34" t="inlineStr">
        <is>
          <t>Cost &amp; Forecast Control Accounts</t>
        </is>
      </c>
      <c r="D1057" s="34" t="inlineStr">
        <is>
          <t>CST-04-036</t>
        </is>
      </c>
      <c r="E1057" s="34" t="inlineStr">
        <is>
          <t>Vehicles and Depot - spares - field package</t>
        </is>
      </c>
      <c r="F1057" s="34" t="inlineStr">
        <is>
          <t>ONE_TO_ONE</t>
        </is>
      </c>
      <c r="G1057" s="34" t="inlineStr">
        <is>
          <t>APPROVED</t>
        </is>
      </c>
      <c r="H1057" s="34" t="inlineStr">
        <is>
          <t>New</t>
        </is>
      </c>
      <c r="I1057" s="34" t="inlineStr">
        <is>
          <t>Source assignment -- not individually reviewed</t>
        </is>
      </c>
      <c r="J1057" s="39" t="inlineStr"/>
      <c r="K1057" s="34" t="inlineStr">
        <is>
          <t>Source assignment</t>
        </is>
      </c>
      <c r="L1057" s="39" t="inlineStr"/>
      <c r="M1057" s="34" t="inlineStr">
        <is>
          <t>Initial</t>
        </is>
      </c>
      <c r="N1057" s="34" t="inlineStr">
        <is>
          <t>Rev 0</t>
        </is>
      </c>
      <c r="O1057" s="34" t="inlineStr">
        <is>
          <t>R1358-v1</t>
        </is>
      </c>
      <c r="P1057" s="39" t="inlineStr"/>
      <c r="Q1057" s="14" t="inlineStr"/>
      <c r="R1057" s="39" t="inlineStr"/>
      <c r="S1057" s="39" t="inlineStr"/>
      <c r="T1057" s="39" t="inlineStr"/>
      <c r="U1057" s="39" t="inlineStr"/>
      <c r="V1057" s="34" t="inlineStr">
        <is>
          <t>Cost Account = CA-4036; WBS Code = 1.4.2</t>
        </is>
      </c>
      <c r="W1057" s="14" t="inlineStr"/>
    </row>
    <row r="1058" ht="49" customHeight="1">
      <c r="A1058" s="34" t="inlineStr">
        <is>
          <t>1.4.2</t>
        </is>
      </c>
      <c r="B1058" s="34" t="inlineStr">
        <is>
          <t>Vehicles and Depot - Depot Buildings</t>
        </is>
      </c>
      <c r="C1058" s="34" t="inlineStr">
        <is>
          <t>Cost &amp; Forecast Control Accounts</t>
        </is>
      </c>
      <c r="D1058" s="34" t="inlineStr">
        <is>
          <t>CST-04-038</t>
        </is>
      </c>
      <c r="E1058" s="34" t="inlineStr">
        <is>
          <t>Vehicles and Depot - workshop equipment - professional services</t>
        </is>
      </c>
      <c r="F1058" s="34" t="inlineStr">
        <is>
          <t>ONE_TO_ONE</t>
        </is>
      </c>
      <c r="G1058" s="34" t="inlineStr">
        <is>
          <t>APPROVED</t>
        </is>
      </c>
      <c r="H1058" s="34" t="inlineStr">
        <is>
          <t>New</t>
        </is>
      </c>
      <c r="I1058" s="34" t="inlineStr">
        <is>
          <t>Source assignment -- not individually reviewed</t>
        </is>
      </c>
      <c r="J1058" s="39" t="inlineStr"/>
      <c r="K1058" s="34" t="inlineStr">
        <is>
          <t>Source assignment</t>
        </is>
      </c>
      <c r="L1058" s="39" t="inlineStr"/>
      <c r="M1058" s="34" t="inlineStr">
        <is>
          <t>Initial</t>
        </is>
      </c>
      <c r="N1058" s="34" t="inlineStr">
        <is>
          <t>Rev 0</t>
        </is>
      </c>
      <c r="O1058" s="34" t="inlineStr">
        <is>
          <t>R1360-v1</t>
        </is>
      </c>
      <c r="P1058" s="39" t="inlineStr"/>
      <c r="Q1058" s="14" t="inlineStr"/>
      <c r="R1058" s="39" t="inlineStr"/>
      <c r="S1058" s="39" t="inlineStr"/>
      <c r="T1058" s="39" t="inlineStr"/>
      <c r="U1058" s="39" t="inlineStr"/>
      <c r="V1058" s="34" t="inlineStr">
        <is>
          <t>Cost Account = CA-4038; WBS Code = 1.4.2</t>
        </is>
      </c>
      <c r="W1058" s="14" t="inlineStr"/>
    </row>
    <row r="1059" ht="49" customHeight="1">
      <c r="A1059" s="34" t="inlineStr">
        <is>
          <t>1.4.2</t>
        </is>
      </c>
      <c r="B1059" s="34" t="inlineStr">
        <is>
          <t>Vehicles and Depot - Depot Buildings</t>
        </is>
      </c>
      <c r="C1059" s="34" t="inlineStr">
        <is>
          <t>Cost &amp; Forecast Control Accounts</t>
        </is>
      </c>
      <c r="D1059" s="34" t="inlineStr">
        <is>
          <t>CST-04-040</t>
        </is>
      </c>
      <c r="E1059" s="34" t="inlineStr">
        <is>
          <t>Vehicles and Depot - fleet supply - closeout</t>
        </is>
      </c>
      <c r="F1059" s="34" t="inlineStr">
        <is>
          <t>ONE_TO_ONE</t>
        </is>
      </c>
      <c r="G1059" s="34" t="inlineStr">
        <is>
          <t>APPROVED</t>
        </is>
      </c>
      <c r="H1059" s="34" t="inlineStr">
        <is>
          <t>New</t>
        </is>
      </c>
      <c r="I1059" s="34" t="inlineStr">
        <is>
          <t>Source assignment -- not individually reviewed</t>
        </is>
      </c>
      <c r="J1059" s="39" t="inlineStr"/>
      <c r="K1059" s="34" t="inlineStr">
        <is>
          <t>Source assignment</t>
        </is>
      </c>
      <c r="L1059" s="39" t="inlineStr"/>
      <c r="M1059" s="34" t="inlineStr">
        <is>
          <t>Initial</t>
        </is>
      </c>
      <c r="N1059" s="34" t="inlineStr">
        <is>
          <t>Rev 0</t>
        </is>
      </c>
      <c r="O1059" s="34" t="inlineStr">
        <is>
          <t>R1362-v1</t>
        </is>
      </c>
      <c r="P1059" s="39" t="inlineStr"/>
      <c r="Q1059" s="14" t="inlineStr"/>
      <c r="R1059" s="39" t="inlineStr"/>
      <c r="S1059" s="39" t="inlineStr"/>
      <c r="T1059" s="39" t="inlineStr"/>
      <c r="U1059" s="39" t="inlineStr"/>
      <c r="V1059" s="34" t="inlineStr">
        <is>
          <t>Cost Account = CA-4040; WBS Code = 1.4.2</t>
        </is>
      </c>
      <c r="W1059" s="14" t="inlineStr"/>
    </row>
    <row r="1060" ht="49" customHeight="1">
      <c r="A1060" s="34" t="inlineStr">
        <is>
          <t>1.4.2</t>
        </is>
      </c>
      <c r="B1060" s="34" t="inlineStr">
        <is>
          <t>Vehicles and Depot - Depot Buildings</t>
        </is>
      </c>
      <c r="C1060" s="34" t="inlineStr">
        <is>
          <t>Cost &amp; Forecast Control Accounts</t>
        </is>
      </c>
      <c r="D1060" s="34" t="inlineStr">
        <is>
          <t>CST-04-042</t>
        </is>
      </c>
      <c r="E1060" s="34" t="inlineStr">
        <is>
          <t>Vehicles and Depot - spares - supply and install</t>
        </is>
      </c>
      <c r="F1060" s="34" t="inlineStr">
        <is>
          <t>ONE_TO_ONE</t>
        </is>
      </c>
      <c r="G1060" s="34" t="inlineStr">
        <is>
          <t>APPROVED</t>
        </is>
      </c>
      <c r="H1060" s="34" t="inlineStr">
        <is>
          <t>New</t>
        </is>
      </c>
      <c r="I1060" s="34" t="inlineStr">
        <is>
          <t>Source assignment -- not individually reviewed</t>
        </is>
      </c>
      <c r="J1060" s="39" t="inlineStr"/>
      <c r="K1060" s="34" t="inlineStr">
        <is>
          <t>Source assignment</t>
        </is>
      </c>
      <c r="L1060" s="39" t="inlineStr"/>
      <c r="M1060" s="34" t="inlineStr">
        <is>
          <t>Initial</t>
        </is>
      </c>
      <c r="N1060" s="34" t="inlineStr">
        <is>
          <t>Rev 0</t>
        </is>
      </c>
      <c r="O1060" s="34" t="inlineStr">
        <is>
          <t>R1364-v1</t>
        </is>
      </c>
      <c r="P1060" s="39" t="inlineStr"/>
      <c r="Q1060" s="14" t="inlineStr"/>
      <c r="R1060" s="39" t="inlineStr"/>
      <c r="S1060" s="39" t="inlineStr"/>
      <c r="T1060" s="39" t="inlineStr"/>
      <c r="U1060" s="39" t="inlineStr"/>
      <c r="V1060" s="34" t="inlineStr">
        <is>
          <t>Cost Account = CA-4042; WBS Code = 1.4.2</t>
        </is>
      </c>
      <c r="W1060" s="14" t="inlineStr"/>
    </row>
    <row r="1061" ht="49" customHeight="1">
      <c r="A1061" s="34" t="inlineStr">
        <is>
          <t>1.4.2</t>
        </is>
      </c>
      <c r="B1061" s="34" t="inlineStr">
        <is>
          <t>Vehicles and Depot - Depot Buildings</t>
        </is>
      </c>
      <c r="C1061" s="34" t="inlineStr">
        <is>
          <t>Cost &amp; Forecast Control Accounts</t>
        </is>
      </c>
      <c r="D1061" s="34" t="inlineStr">
        <is>
          <t>CST-04-044</t>
        </is>
      </c>
      <c r="E1061" s="34" t="inlineStr">
        <is>
          <t>Vehicles and Depot - workshop equipment - allowance</t>
        </is>
      </c>
      <c r="F1061" s="34" t="inlineStr">
        <is>
          <t>ONE_TO_ONE</t>
        </is>
      </c>
      <c r="G1061" s="34" t="inlineStr">
        <is>
          <t>APPROVED</t>
        </is>
      </c>
      <c r="H1061" s="34" t="inlineStr">
        <is>
          <t>New</t>
        </is>
      </c>
      <c r="I1061" s="34" t="inlineStr">
        <is>
          <t>Source assignment -- not individually reviewed</t>
        </is>
      </c>
      <c r="J1061" s="39" t="inlineStr"/>
      <c r="K1061" s="34" t="inlineStr">
        <is>
          <t>Source assignment</t>
        </is>
      </c>
      <c r="L1061" s="39" t="inlineStr"/>
      <c r="M1061" s="34" t="inlineStr">
        <is>
          <t>Initial</t>
        </is>
      </c>
      <c r="N1061" s="34" t="inlineStr">
        <is>
          <t>Rev 0</t>
        </is>
      </c>
      <c r="O1061" s="34" t="inlineStr">
        <is>
          <t>R1366-v1</t>
        </is>
      </c>
      <c r="P1061" s="39" t="inlineStr"/>
      <c r="Q1061" s="14" t="inlineStr"/>
      <c r="R1061" s="39" t="inlineStr"/>
      <c r="S1061" s="39" t="inlineStr"/>
      <c r="T1061" s="39" t="inlineStr"/>
      <c r="U1061" s="39" t="inlineStr"/>
      <c r="V1061" s="34" t="inlineStr">
        <is>
          <t>Cost Account = CA-4044; WBS Code = 1.4.2</t>
        </is>
      </c>
      <c r="W1061" s="14" t="inlineStr"/>
    </row>
    <row r="1062" ht="49" customHeight="1">
      <c r="A1062" s="34" t="inlineStr">
        <is>
          <t>1.4.2</t>
        </is>
      </c>
      <c r="B1062" s="34" t="inlineStr">
        <is>
          <t>Vehicles and Depot - Depot Buildings</t>
        </is>
      </c>
      <c r="C1062" s="34" t="inlineStr">
        <is>
          <t>Cost &amp; Forecast Control Accounts</t>
        </is>
      </c>
      <c r="D1062" s="34" t="inlineStr">
        <is>
          <t>CST-04-046</t>
        </is>
      </c>
      <c r="E1062" s="34" t="inlineStr">
        <is>
          <t>Vehicles and Depot - fleet supply - field package</t>
        </is>
      </c>
      <c r="F1062" s="34" t="inlineStr">
        <is>
          <t>ONE_TO_ONE</t>
        </is>
      </c>
      <c r="G1062" s="34" t="inlineStr">
        <is>
          <t>APPROVED</t>
        </is>
      </c>
      <c r="H1062" s="34" t="inlineStr">
        <is>
          <t>New</t>
        </is>
      </c>
      <c r="I1062" s="34" t="inlineStr">
        <is>
          <t>Source assignment -- not individually reviewed</t>
        </is>
      </c>
      <c r="J1062" s="39" t="inlineStr"/>
      <c r="K1062" s="34" t="inlineStr">
        <is>
          <t>Source assignment</t>
        </is>
      </c>
      <c r="L1062" s="39" t="inlineStr"/>
      <c r="M1062" s="34" t="inlineStr">
        <is>
          <t>Initial</t>
        </is>
      </c>
      <c r="N1062" s="34" t="inlineStr">
        <is>
          <t>Rev 0</t>
        </is>
      </c>
      <c r="O1062" s="34" t="inlineStr">
        <is>
          <t>R1368-v1</t>
        </is>
      </c>
      <c r="P1062" s="39" t="inlineStr"/>
      <c r="Q1062" s="14" t="inlineStr"/>
      <c r="R1062" s="39" t="inlineStr"/>
      <c r="S1062" s="39" t="inlineStr"/>
      <c r="T1062" s="39" t="inlineStr"/>
      <c r="U1062" s="39" t="inlineStr"/>
      <c r="V1062" s="34" t="inlineStr">
        <is>
          <t>Cost Account = CA-4046; WBS Code = 1.4.2</t>
        </is>
      </c>
      <c r="W1062" s="14" t="inlineStr"/>
    </row>
    <row r="1063" ht="49" customHeight="1">
      <c r="A1063" s="34" t="inlineStr">
        <is>
          <t>1.4.2</t>
        </is>
      </c>
      <c r="B1063" s="34" t="inlineStr">
        <is>
          <t>Vehicles and Depot - Depot Buildings</t>
        </is>
      </c>
      <c r="C1063" s="34" t="inlineStr">
        <is>
          <t>Cost &amp; Forecast Control Accounts</t>
        </is>
      </c>
      <c r="D1063" s="34" t="inlineStr">
        <is>
          <t>CST-04-048</t>
        </is>
      </c>
      <c r="E1063" s="34" t="inlineStr">
        <is>
          <t>Vehicles and Depot - spares - professional services</t>
        </is>
      </c>
      <c r="F1063" s="34" t="inlineStr">
        <is>
          <t>ONE_TO_ONE</t>
        </is>
      </c>
      <c r="G1063" s="34" t="inlineStr">
        <is>
          <t>APPROVED</t>
        </is>
      </c>
      <c r="H1063" s="34" t="inlineStr">
        <is>
          <t>New</t>
        </is>
      </c>
      <c r="I1063" s="34" t="inlineStr">
        <is>
          <t>Source assignment -- not individually reviewed</t>
        </is>
      </c>
      <c r="J1063" s="39" t="inlineStr"/>
      <c r="K1063" s="34" t="inlineStr">
        <is>
          <t>Source assignment</t>
        </is>
      </c>
      <c r="L1063" s="39" t="inlineStr"/>
      <c r="M1063" s="34" t="inlineStr">
        <is>
          <t>Initial</t>
        </is>
      </c>
      <c r="N1063" s="34" t="inlineStr">
        <is>
          <t>Rev 0</t>
        </is>
      </c>
      <c r="O1063" s="34" t="inlineStr">
        <is>
          <t>R1370-v1</t>
        </is>
      </c>
      <c r="P1063" s="39" t="inlineStr"/>
      <c r="Q1063" s="14" t="inlineStr"/>
      <c r="R1063" s="39" t="inlineStr"/>
      <c r="S1063" s="39" t="inlineStr"/>
      <c r="T1063" s="39" t="inlineStr"/>
      <c r="U1063" s="39" t="inlineStr"/>
      <c r="V1063" s="34" t="inlineStr">
        <is>
          <t>Cost Account = CA-4048; WBS Code = 1.4.2</t>
        </is>
      </c>
      <c r="W1063" s="14" t="inlineStr"/>
    </row>
    <row r="1064" ht="49" customHeight="1">
      <c r="A1064" s="34" t="inlineStr">
        <is>
          <t>1.4.2</t>
        </is>
      </c>
      <c r="B1064" s="34" t="inlineStr">
        <is>
          <t>Vehicles and Depot - Depot Buildings</t>
        </is>
      </c>
      <c r="C1064" s="34" t="inlineStr">
        <is>
          <t>Cost &amp; Forecast Control Accounts</t>
        </is>
      </c>
      <c r="D1064" s="34" t="inlineStr">
        <is>
          <t>CST-04-050</t>
        </is>
      </c>
      <c r="E1064" s="34" t="inlineStr">
        <is>
          <t>Vehicles and Depot - workshop equipment - closeout</t>
        </is>
      </c>
      <c r="F1064" s="34" t="inlineStr">
        <is>
          <t>ONE_TO_ONE</t>
        </is>
      </c>
      <c r="G1064" s="34" t="inlineStr">
        <is>
          <t>APPROVED</t>
        </is>
      </c>
      <c r="H1064" s="34" t="inlineStr">
        <is>
          <t>New</t>
        </is>
      </c>
      <c r="I1064" s="34" t="inlineStr">
        <is>
          <t>Source assignment -- not individually reviewed</t>
        </is>
      </c>
      <c r="J1064" s="39" t="inlineStr"/>
      <c r="K1064" s="34" t="inlineStr">
        <is>
          <t>Source assignment</t>
        </is>
      </c>
      <c r="L1064" s="39" t="inlineStr"/>
      <c r="M1064" s="34" t="inlineStr">
        <is>
          <t>Initial</t>
        </is>
      </c>
      <c r="N1064" s="34" t="inlineStr">
        <is>
          <t>Rev 0</t>
        </is>
      </c>
      <c r="O1064" s="34" t="inlineStr">
        <is>
          <t>R1372-v1</t>
        </is>
      </c>
      <c r="P1064" s="39" t="inlineStr"/>
      <c r="Q1064" s="14" t="inlineStr"/>
      <c r="R1064" s="39" t="inlineStr"/>
      <c r="S1064" s="39" t="inlineStr"/>
      <c r="T1064" s="39" t="inlineStr"/>
      <c r="U1064" s="39" t="inlineStr"/>
      <c r="V1064" s="34" t="inlineStr">
        <is>
          <t>Cost Account = CA-4050; WBS Code = 1.4.2</t>
        </is>
      </c>
      <c r="W1064" s="14" t="inlineStr"/>
    </row>
    <row r="1065" ht="49" customHeight="1">
      <c r="A1065" s="34" t="inlineStr">
        <is>
          <t>1.4.2</t>
        </is>
      </c>
      <c r="B1065" s="34" t="inlineStr">
        <is>
          <t>Vehicles and Depot - Depot Buildings</t>
        </is>
      </c>
      <c r="C1065" s="34" t="inlineStr">
        <is>
          <t>Cost &amp; Forecast Control Accounts</t>
        </is>
      </c>
      <c r="D1065" s="34" t="inlineStr">
        <is>
          <t>CST-04-052</t>
        </is>
      </c>
      <c r="E1065" s="34" t="inlineStr">
        <is>
          <t>Vehicles and Depot - fleet supply - supply and install</t>
        </is>
      </c>
      <c r="F1065" s="34" t="inlineStr">
        <is>
          <t>ONE_TO_ONE</t>
        </is>
      </c>
      <c r="G1065" s="34" t="inlineStr">
        <is>
          <t>APPROVED</t>
        </is>
      </c>
      <c r="H1065" s="34" t="inlineStr">
        <is>
          <t>New</t>
        </is>
      </c>
      <c r="I1065" s="34" t="inlineStr">
        <is>
          <t>Source assignment -- not individually reviewed</t>
        </is>
      </c>
      <c r="J1065" s="39" t="inlineStr"/>
      <c r="K1065" s="34" t="inlineStr">
        <is>
          <t>Source assignment</t>
        </is>
      </c>
      <c r="L1065" s="39" t="inlineStr"/>
      <c r="M1065" s="34" t="inlineStr">
        <is>
          <t>Initial</t>
        </is>
      </c>
      <c r="N1065" s="34" t="inlineStr">
        <is>
          <t>Rev 0</t>
        </is>
      </c>
      <c r="O1065" s="34" t="inlineStr">
        <is>
          <t>R1374-v1</t>
        </is>
      </c>
      <c r="P1065" s="39" t="inlineStr"/>
      <c r="Q1065" s="14" t="inlineStr"/>
      <c r="R1065" s="39" t="inlineStr"/>
      <c r="S1065" s="39" t="inlineStr"/>
      <c r="T1065" s="39" t="inlineStr"/>
      <c r="U1065" s="39" t="inlineStr"/>
      <c r="V1065" s="34" t="inlineStr">
        <is>
          <t>Cost Account = CA-4052; WBS Code = 1.4.2</t>
        </is>
      </c>
      <c r="W1065" s="14" t="inlineStr"/>
    </row>
    <row r="1066" ht="49" customHeight="1">
      <c r="A1066" s="34" t="inlineStr">
        <is>
          <t>1.4.2</t>
        </is>
      </c>
      <c r="B1066" s="34" t="inlineStr">
        <is>
          <t>Vehicles and Depot - Depot Buildings</t>
        </is>
      </c>
      <c r="C1066" s="34" t="inlineStr">
        <is>
          <t>Cost &amp; Forecast Control Accounts</t>
        </is>
      </c>
      <c r="D1066" s="34" t="inlineStr">
        <is>
          <t>CST-04-054</t>
        </is>
      </c>
      <c r="E1066" s="34" t="inlineStr">
        <is>
          <t>Vehicles and Depot - spares - allowance</t>
        </is>
      </c>
      <c r="F1066" s="34" t="inlineStr">
        <is>
          <t>ONE_TO_ONE</t>
        </is>
      </c>
      <c r="G1066" s="34" t="inlineStr">
        <is>
          <t>APPROVED</t>
        </is>
      </c>
      <c r="H1066" s="34" t="inlineStr">
        <is>
          <t>New</t>
        </is>
      </c>
      <c r="I1066" s="34" t="inlineStr">
        <is>
          <t>Source assignment -- not individually reviewed</t>
        </is>
      </c>
      <c r="J1066" s="39" t="inlineStr"/>
      <c r="K1066" s="34" t="inlineStr">
        <is>
          <t>Source assignment</t>
        </is>
      </c>
      <c r="L1066" s="39" t="inlineStr"/>
      <c r="M1066" s="34" t="inlineStr">
        <is>
          <t>Initial</t>
        </is>
      </c>
      <c r="N1066" s="34" t="inlineStr">
        <is>
          <t>Rev 0</t>
        </is>
      </c>
      <c r="O1066" s="34" t="inlineStr">
        <is>
          <t>R1376-v1</t>
        </is>
      </c>
      <c r="P1066" s="39" t="inlineStr"/>
      <c r="Q1066" s="14" t="inlineStr"/>
      <c r="R1066" s="39" t="inlineStr"/>
      <c r="S1066" s="39" t="inlineStr"/>
      <c r="T1066" s="39" t="inlineStr"/>
      <c r="U1066" s="39" t="inlineStr"/>
      <c r="V1066" s="34" t="inlineStr">
        <is>
          <t>Cost Account = CA-4054; WBS Code = 1.4.2</t>
        </is>
      </c>
      <c r="W1066" s="14" t="inlineStr"/>
    </row>
    <row r="1067" ht="49" customHeight="1">
      <c r="A1067" s="34" t="inlineStr">
        <is>
          <t>1.4.2</t>
        </is>
      </c>
      <c r="B1067" s="34" t="inlineStr">
        <is>
          <t>Vehicles and Depot - Depot Buildings</t>
        </is>
      </c>
      <c r="C1067" s="34" t="inlineStr">
        <is>
          <t>Cost &amp; Forecast Control Accounts</t>
        </is>
      </c>
      <c r="D1067" s="34" t="inlineStr">
        <is>
          <t>CST-04-056</t>
        </is>
      </c>
      <c r="E1067" s="34" t="inlineStr">
        <is>
          <t>Vehicles and Depot - workshop equipment - field package</t>
        </is>
      </c>
      <c r="F1067" s="34" t="inlineStr">
        <is>
          <t>ONE_TO_ONE</t>
        </is>
      </c>
      <c r="G1067" s="34" t="inlineStr">
        <is>
          <t>APPROVED</t>
        </is>
      </c>
      <c r="H1067" s="34" t="inlineStr">
        <is>
          <t>New</t>
        </is>
      </c>
      <c r="I1067" s="34" t="inlineStr">
        <is>
          <t>Source assignment -- not individually reviewed</t>
        </is>
      </c>
      <c r="J1067" s="39" t="inlineStr"/>
      <c r="K1067" s="34" t="inlineStr">
        <is>
          <t>Source assignment</t>
        </is>
      </c>
      <c r="L1067" s="39" t="inlineStr"/>
      <c r="M1067" s="34" t="inlineStr">
        <is>
          <t>Initial</t>
        </is>
      </c>
      <c r="N1067" s="34" t="inlineStr">
        <is>
          <t>Rev 0</t>
        </is>
      </c>
      <c r="O1067" s="34" t="inlineStr">
        <is>
          <t>R1378-v1</t>
        </is>
      </c>
      <c r="P1067" s="39" t="inlineStr"/>
      <c r="Q1067" s="14" t="inlineStr"/>
      <c r="R1067" s="39" t="inlineStr"/>
      <c r="S1067" s="39" t="inlineStr"/>
      <c r="T1067" s="39" t="inlineStr"/>
      <c r="U1067" s="39" t="inlineStr"/>
      <c r="V1067" s="34" t="inlineStr">
        <is>
          <t>Cost Account = CA-4056; WBS Code = 1.4.2</t>
        </is>
      </c>
      <c r="W1067" s="14" t="inlineStr"/>
    </row>
    <row r="1068" ht="49" customHeight="1">
      <c r="A1068" s="34" t="inlineStr">
        <is>
          <t>1.4.2</t>
        </is>
      </c>
      <c r="B1068" s="34" t="inlineStr">
        <is>
          <t>Vehicles and Depot - Depot Buildings</t>
        </is>
      </c>
      <c r="C1068" s="34" t="inlineStr">
        <is>
          <t>Cost &amp; Forecast Control Accounts</t>
        </is>
      </c>
      <c r="D1068" s="34" t="inlineStr">
        <is>
          <t>CST-04-058</t>
        </is>
      </c>
      <c r="E1068" s="34" t="inlineStr">
        <is>
          <t>Vehicles and Depot - fleet supply - professional services</t>
        </is>
      </c>
      <c r="F1068" s="34" t="inlineStr">
        <is>
          <t>ONE_TO_ONE</t>
        </is>
      </c>
      <c r="G1068" s="34" t="inlineStr">
        <is>
          <t>APPROVED</t>
        </is>
      </c>
      <c r="H1068" s="34" t="inlineStr">
        <is>
          <t>New</t>
        </is>
      </c>
      <c r="I1068" s="34" t="inlineStr">
        <is>
          <t>Source assignment -- not individually reviewed</t>
        </is>
      </c>
      <c r="J1068" s="39" t="inlineStr"/>
      <c r="K1068" s="34" t="inlineStr">
        <is>
          <t>Source assignment</t>
        </is>
      </c>
      <c r="L1068" s="39" t="inlineStr"/>
      <c r="M1068" s="34" t="inlineStr">
        <is>
          <t>Initial</t>
        </is>
      </c>
      <c r="N1068" s="34" t="inlineStr">
        <is>
          <t>Rev 0</t>
        </is>
      </c>
      <c r="O1068" s="34" t="inlineStr">
        <is>
          <t>R1380-v1</t>
        </is>
      </c>
      <c r="P1068" s="39" t="inlineStr"/>
      <c r="Q1068" s="14" t="inlineStr"/>
      <c r="R1068" s="39" t="inlineStr"/>
      <c r="S1068" s="39" t="inlineStr"/>
      <c r="T1068" s="39" t="inlineStr"/>
      <c r="U1068" s="39" t="inlineStr"/>
      <c r="V1068" s="34" t="inlineStr">
        <is>
          <t>Cost Account = CA-4058; WBS Code = 1.4.2</t>
        </is>
      </c>
      <c r="W1068" s="14" t="inlineStr"/>
    </row>
    <row r="1069" ht="49" customHeight="1">
      <c r="A1069" s="34" t="inlineStr">
        <is>
          <t>1.4.2</t>
        </is>
      </c>
      <c r="B1069" s="34" t="inlineStr">
        <is>
          <t>Vehicles and Depot - Depot Buildings</t>
        </is>
      </c>
      <c r="C1069" s="34" t="inlineStr">
        <is>
          <t>Cost &amp; Forecast Control Accounts</t>
        </is>
      </c>
      <c r="D1069" s="34" t="inlineStr">
        <is>
          <t>CST-04-060</t>
        </is>
      </c>
      <c r="E1069" s="34" t="inlineStr">
        <is>
          <t>Vehicles and Depot - spares - closeout</t>
        </is>
      </c>
      <c r="F1069" s="34" t="inlineStr">
        <is>
          <t>ONE_TO_ONE</t>
        </is>
      </c>
      <c r="G1069" s="34" t="inlineStr">
        <is>
          <t>APPROVED</t>
        </is>
      </c>
      <c r="H1069" s="34" t="inlineStr">
        <is>
          <t>New</t>
        </is>
      </c>
      <c r="I1069" s="34" t="inlineStr">
        <is>
          <t>Source assignment -- not individually reviewed</t>
        </is>
      </c>
      <c r="J1069" s="39" t="inlineStr"/>
      <c r="K1069" s="34" t="inlineStr">
        <is>
          <t>Source assignment</t>
        </is>
      </c>
      <c r="L1069" s="39" t="inlineStr"/>
      <c r="M1069" s="34" t="inlineStr">
        <is>
          <t>Initial</t>
        </is>
      </c>
      <c r="N1069" s="34" t="inlineStr">
        <is>
          <t>Rev 0</t>
        </is>
      </c>
      <c r="O1069" s="34" t="inlineStr">
        <is>
          <t>R1382-v1</t>
        </is>
      </c>
      <c r="P1069" s="39" t="inlineStr"/>
      <c r="Q1069" s="14" t="inlineStr"/>
      <c r="R1069" s="39" t="inlineStr"/>
      <c r="S1069" s="39" t="inlineStr"/>
      <c r="T1069" s="39" t="inlineStr"/>
      <c r="U1069" s="39" t="inlineStr"/>
      <c r="V1069" s="34" t="inlineStr">
        <is>
          <t>Cost Account = CA-4060; WBS Code = 1.4.2</t>
        </is>
      </c>
      <c r="W1069" s="14" t="inlineStr"/>
    </row>
    <row r="1070" ht="49" customHeight="1">
      <c r="A1070" s="34" t="inlineStr">
        <is>
          <t>1.4.2</t>
        </is>
      </c>
      <c r="B1070" s="34" t="inlineStr">
        <is>
          <t>Vehicles and Depot - Depot Buildings</t>
        </is>
      </c>
      <c r="C1070" s="34" t="inlineStr">
        <is>
          <t>Cost &amp; Forecast Control Accounts</t>
        </is>
      </c>
      <c r="D1070" s="34" t="inlineStr">
        <is>
          <t>CST-04-062</t>
        </is>
      </c>
      <c r="E1070" s="34" t="inlineStr">
        <is>
          <t>Vehicles and Depot - workshop equipment - supply and install</t>
        </is>
      </c>
      <c r="F1070" s="34" t="inlineStr">
        <is>
          <t>ONE_TO_ONE</t>
        </is>
      </c>
      <c r="G1070" s="34" t="inlineStr">
        <is>
          <t>APPROVED</t>
        </is>
      </c>
      <c r="H1070" s="34" t="inlineStr">
        <is>
          <t>New</t>
        </is>
      </c>
      <c r="I1070" s="34" t="inlineStr">
        <is>
          <t>Source assignment -- not individually reviewed</t>
        </is>
      </c>
      <c r="J1070" s="39" t="inlineStr"/>
      <c r="K1070" s="34" t="inlineStr">
        <is>
          <t>Source assignment</t>
        </is>
      </c>
      <c r="L1070" s="39" t="inlineStr"/>
      <c r="M1070" s="34" t="inlineStr">
        <is>
          <t>Initial</t>
        </is>
      </c>
      <c r="N1070" s="34" t="inlineStr">
        <is>
          <t>Rev 0</t>
        </is>
      </c>
      <c r="O1070" s="34" t="inlineStr">
        <is>
          <t>R1384-v1</t>
        </is>
      </c>
      <c r="P1070" s="39" t="inlineStr"/>
      <c r="Q1070" s="14" t="inlineStr"/>
      <c r="R1070" s="39" t="inlineStr"/>
      <c r="S1070" s="39" t="inlineStr"/>
      <c r="T1070" s="39" t="inlineStr"/>
      <c r="U1070" s="39" t="inlineStr"/>
      <c r="V1070" s="34" t="inlineStr">
        <is>
          <t>Cost Account = CA-4062; WBS Code = 1.4.2</t>
        </is>
      </c>
      <c r="W1070" s="14" t="inlineStr"/>
    </row>
    <row r="1071" ht="49" customHeight="1">
      <c r="A1071" s="34" t="inlineStr">
        <is>
          <t>1.4.2</t>
        </is>
      </c>
      <c r="B1071" s="34" t="inlineStr">
        <is>
          <t>Vehicles and Depot - Depot Buildings</t>
        </is>
      </c>
      <c r="C1071" s="34" t="inlineStr">
        <is>
          <t>Cost &amp; Forecast Control Accounts</t>
        </is>
      </c>
      <c r="D1071" s="34" t="inlineStr">
        <is>
          <t>CST-04-064</t>
        </is>
      </c>
      <c r="E1071" s="34" t="inlineStr">
        <is>
          <t>Vehicles and Depot - fleet supply - allowance</t>
        </is>
      </c>
      <c r="F1071" s="34" t="inlineStr">
        <is>
          <t>ONE_TO_ONE</t>
        </is>
      </c>
      <c r="G1071" s="34" t="inlineStr">
        <is>
          <t>APPROVED</t>
        </is>
      </c>
      <c r="H1071" s="34" t="inlineStr">
        <is>
          <t>New</t>
        </is>
      </c>
      <c r="I1071" s="34" t="inlineStr">
        <is>
          <t>Source assignment -- not individually reviewed</t>
        </is>
      </c>
      <c r="J1071" s="39" t="inlineStr"/>
      <c r="K1071" s="34" t="inlineStr">
        <is>
          <t>Source assignment</t>
        </is>
      </c>
      <c r="L1071" s="39" t="inlineStr"/>
      <c r="M1071" s="34" t="inlineStr">
        <is>
          <t>Initial</t>
        </is>
      </c>
      <c r="N1071" s="34" t="inlineStr">
        <is>
          <t>Rev 0</t>
        </is>
      </c>
      <c r="O1071" s="34" t="inlineStr">
        <is>
          <t>R1386-v1</t>
        </is>
      </c>
      <c r="P1071" s="39" t="inlineStr"/>
      <c r="Q1071" s="14" t="inlineStr"/>
      <c r="R1071" s="39" t="inlineStr"/>
      <c r="S1071" s="39" t="inlineStr"/>
      <c r="T1071" s="39" t="inlineStr"/>
      <c r="U1071" s="39" t="inlineStr"/>
      <c r="V1071" s="34" t="inlineStr">
        <is>
          <t>Cost Account = CA-4064; WBS Code = 1.4.2</t>
        </is>
      </c>
      <c r="W1071" s="14" t="inlineStr"/>
    </row>
    <row r="1072" ht="49" customHeight="1">
      <c r="A1072" s="34" t="inlineStr">
        <is>
          <t>1.4.2</t>
        </is>
      </c>
      <c r="B1072" s="34" t="inlineStr">
        <is>
          <t>Vehicles and Depot - Depot Buildings</t>
        </is>
      </c>
      <c r="C1072" s="34" t="inlineStr">
        <is>
          <t>Cost &amp; Forecast Control Accounts</t>
        </is>
      </c>
      <c r="D1072" s="34" t="inlineStr">
        <is>
          <t>CST-04-066</t>
        </is>
      </c>
      <c r="E1072" s="34" t="inlineStr">
        <is>
          <t>Vehicles and Depot - spares - field package</t>
        </is>
      </c>
      <c r="F1072" s="34" t="inlineStr">
        <is>
          <t>ONE_TO_ONE</t>
        </is>
      </c>
      <c r="G1072" s="34" t="inlineStr">
        <is>
          <t>APPROVED</t>
        </is>
      </c>
      <c r="H1072" s="34" t="inlineStr">
        <is>
          <t>New</t>
        </is>
      </c>
      <c r="I1072" s="34" t="inlineStr">
        <is>
          <t>Source assignment -- not individually reviewed</t>
        </is>
      </c>
      <c r="J1072" s="39" t="inlineStr"/>
      <c r="K1072" s="34" t="inlineStr">
        <is>
          <t>Source assignment</t>
        </is>
      </c>
      <c r="L1072" s="39" t="inlineStr"/>
      <c r="M1072" s="34" t="inlineStr">
        <is>
          <t>Initial</t>
        </is>
      </c>
      <c r="N1072" s="34" t="inlineStr">
        <is>
          <t>Rev 0</t>
        </is>
      </c>
      <c r="O1072" s="34" t="inlineStr">
        <is>
          <t>R1388-v1</t>
        </is>
      </c>
      <c r="P1072" s="39" t="inlineStr"/>
      <c r="Q1072" s="14" t="inlineStr"/>
      <c r="R1072" s="39" t="inlineStr"/>
      <c r="S1072" s="39" t="inlineStr"/>
      <c r="T1072" s="39" t="inlineStr"/>
      <c r="U1072" s="39" t="inlineStr"/>
      <c r="V1072" s="34" t="inlineStr">
        <is>
          <t>Cost Account = CA-4066; WBS Code = 1.4.2</t>
        </is>
      </c>
      <c r="W1072" s="14" t="inlineStr"/>
    </row>
    <row r="1073" ht="49" customHeight="1">
      <c r="A1073" s="34" t="inlineStr">
        <is>
          <t>1.4.2</t>
        </is>
      </c>
      <c r="B1073" s="34" t="inlineStr">
        <is>
          <t>Vehicles and Depot - Depot Buildings</t>
        </is>
      </c>
      <c r="C1073" s="34" t="inlineStr">
        <is>
          <t>Cost &amp; Forecast Control Accounts</t>
        </is>
      </c>
      <c r="D1073" s="34" t="inlineStr">
        <is>
          <t>CST-04-068</t>
        </is>
      </c>
      <c r="E1073" s="34" t="inlineStr">
        <is>
          <t>Vehicles and Depot - workshop equipment - professional services</t>
        </is>
      </c>
      <c r="F1073" s="34" t="inlineStr">
        <is>
          <t>ONE_TO_ONE</t>
        </is>
      </c>
      <c r="G1073" s="34" t="inlineStr">
        <is>
          <t>APPROVED</t>
        </is>
      </c>
      <c r="H1073" s="34" t="inlineStr">
        <is>
          <t>New</t>
        </is>
      </c>
      <c r="I1073" s="34" t="inlineStr">
        <is>
          <t>Source assignment -- not individually reviewed</t>
        </is>
      </c>
      <c r="J1073" s="39" t="inlineStr"/>
      <c r="K1073" s="34" t="inlineStr">
        <is>
          <t>Source assignment</t>
        </is>
      </c>
      <c r="L1073" s="39" t="inlineStr"/>
      <c r="M1073" s="34" t="inlineStr">
        <is>
          <t>Initial</t>
        </is>
      </c>
      <c r="N1073" s="34" t="inlineStr">
        <is>
          <t>Rev 0</t>
        </is>
      </c>
      <c r="O1073" s="34" t="inlineStr">
        <is>
          <t>R1390-v1</t>
        </is>
      </c>
      <c r="P1073" s="39" t="inlineStr"/>
      <c r="Q1073" s="14" t="inlineStr"/>
      <c r="R1073" s="39" t="inlineStr"/>
      <c r="S1073" s="39" t="inlineStr"/>
      <c r="T1073" s="39" t="inlineStr"/>
      <c r="U1073" s="39" t="inlineStr"/>
      <c r="V1073" s="34" t="inlineStr">
        <is>
          <t>Cost Account = CA-4068; WBS Code = 1.4.2</t>
        </is>
      </c>
      <c r="W1073" s="14" t="inlineStr"/>
    </row>
    <row r="1074" ht="49" customHeight="1">
      <c r="A1074" s="34" t="inlineStr">
        <is>
          <t>1.4.2</t>
        </is>
      </c>
      <c r="B1074" s="34" t="inlineStr">
        <is>
          <t>Vehicles and Depot - Depot Buildings</t>
        </is>
      </c>
      <c r="C1074" s="34" t="inlineStr">
        <is>
          <t>Cost &amp; Forecast Control Accounts</t>
        </is>
      </c>
      <c r="D1074" s="34" t="inlineStr">
        <is>
          <t>CST-04-070</t>
        </is>
      </c>
      <c r="E1074" s="34" t="inlineStr">
        <is>
          <t>Vehicles and Depot - fleet supply - closeout</t>
        </is>
      </c>
      <c r="F1074" s="34" t="inlineStr">
        <is>
          <t>ONE_TO_ONE</t>
        </is>
      </c>
      <c r="G1074" s="34" t="inlineStr">
        <is>
          <t>APPROVED</t>
        </is>
      </c>
      <c r="H1074" s="34" t="inlineStr">
        <is>
          <t>New</t>
        </is>
      </c>
      <c r="I1074" s="34" t="inlineStr">
        <is>
          <t>Source assignment -- not individually reviewed</t>
        </is>
      </c>
      <c r="J1074" s="39" t="inlineStr"/>
      <c r="K1074" s="34" t="inlineStr">
        <is>
          <t>Source assignment</t>
        </is>
      </c>
      <c r="L1074" s="39" t="inlineStr"/>
      <c r="M1074" s="34" t="inlineStr">
        <is>
          <t>Initial</t>
        </is>
      </c>
      <c r="N1074" s="34" t="inlineStr">
        <is>
          <t>Rev 0</t>
        </is>
      </c>
      <c r="O1074" s="34" t="inlineStr">
        <is>
          <t>R1392-v1</t>
        </is>
      </c>
      <c r="P1074" s="39" t="inlineStr"/>
      <c r="Q1074" s="14" t="inlineStr"/>
      <c r="R1074" s="39" t="inlineStr"/>
      <c r="S1074" s="39" t="inlineStr"/>
      <c r="T1074" s="39" t="inlineStr"/>
      <c r="U1074" s="39" t="inlineStr"/>
      <c r="V1074" s="34" t="inlineStr">
        <is>
          <t>Cost Account = CA-4070; WBS Code = 1.4.2</t>
        </is>
      </c>
      <c r="W1074" s="14" t="inlineStr"/>
    </row>
    <row r="1075" ht="49" customHeight="1">
      <c r="A1075" s="34" t="inlineStr">
        <is>
          <t>1.4.2</t>
        </is>
      </c>
      <c r="B1075" s="34" t="inlineStr">
        <is>
          <t>Vehicles and Depot - Depot Buildings</t>
        </is>
      </c>
      <c r="C1075" s="34" t="inlineStr">
        <is>
          <t>Cost &amp; Forecast Control Accounts</t>
        </is>
      </c>
      <c r="D1075" s="34" t="inlineStr">
        <is>
          <t>CST-04-072</t>
        </is>
      </c>
      <c r="E1075" s="34" t="inlineStr">
        <is>
          <t>Vehicles and Depot - spares - supply and install</t>
        </is>
      </c>
      <c r="F1075" s="34" t="inlineStr">
        <is>
          <t>ONE_TO_ONE</t>
        </is>
      </c>
      <c r="G1075" s="34" t="inlineStr">
        <is>
          <t>APPROVED</t>
        </is>
      </c>
      <c r="H1075" s="34" t="inlineStr">
        <is>
          <t>New</t>
        </is>
      </c>
      <c r="I1075" s="34" t="inlineStr">
        <is>
          <t>Source assignment -- not individually reviewed</t>
        </is>
      </c>
      <c r="J1075" s="39" t="inlineStr"/>
      <c r="K1075" s="34" t="inlineStr">
        <is>
          <t>Source assignment</t>
        </is>
      </c>
      <c r="L1075" s="39" t="inlineStr"/>
      <c r="M1075" s="34" t="inlineStr">
        <is>
          <t>Initial</t>
        </is>
      </c>
      <c r="N1075" s="34" t="inlineStr">
        <is>
          <t>Rev 0</t>
        </is>
      </c>
      <c r="O1075" s="34" t="inlineStr">
        <is>
          <t>R1394-v1</t>
        </is>
      </c>
      <c r="P1075" s="39" t="inlineStr"/>
      <c r="Q1075" s="14" t="inlineStr"/>
      <c r="R1075" s="39" t="inlineStr"/>
      <c r="S1075" s="39" t="inlineStr"/>
      <c r="T1075" s="39" t="inlineStr"/>
      <c r="U1075" s="39" t="inlineStr"/>
      <c r="V1075" s="34" t="inlineStr">
        <is>
          <t>Cost Account = CA-4072; WBS Code = 1.4.2</t>
        </is>
      </c>
      <c r="W1075" s="14" t="inlineStr"/>
    </row>
    <row r="1076" ht="49" customHeight="1">
      <c r="A1076" s="34" t="inlineStr">
        <is>
          <t>1.4.2</t>
        </is>
      </c>
      <c r="B1076" s="34" t="inlineStr">
        <is>
          <t>Vehicles and Depot - Depot Buildings</t>
        </is>
      </c>
      <c r="C1076" s="34" t="inlineStr">
        <is>
          <t>Cost &amp; Forecast Control Accounts</t>
        </is>
      </c>
      <c r="D1076" s="34" t="inlineStr">
        <is>
          <t>CST-04-074</t>
        </is>
      </c>
      <c r="E1076" s="34" t="inlineStr">
        <is>
          <t>Vehicles and Depot - workshop equipment - allowance</t>
        </is>
      </c>
      <c r="F1076" s="34" t="inlineStr">
        <is>
          <t>ONE_TO_ONE</t>
        </is>
      </c>
      <c r="G1076" s="34" t="inlineStr">
        <is>
          <t>APPROVED</t>
        </is>
      </c>
      <c r="H1076" s="34" t="inlineStr">
        <is>
          <t>New</t>
        </is>
      </c>
      <c r="I1076" s="34" t="inlineStr">
        <is>
          <t>Source assignment -- not individually reviewed</t>
        </is>
      </c>
      <c r="J1076" s="39" t="inlineStr"/>
      <c r="K1076" s="34" t="inlineStr">
        <is>
          <t>Source assignment</t>
        </is>
      </c>
      <c r="L1076" s="39" t="inlineStr"/>
      <c r="M1076" s="34" t="inlineStr">
        <is>
          <t>Initial</t>
        </is>
      </c>
      <c r="N1076" s="34" t="inlineStr">
        <is>
          <t>Rev 0</t>
        </is>
      </c>
      <c r="O1076" s="34" t="inlineStr">
        <is>
          <t>R1396-v1</t>
        </is>
      </c>
      <c r="P1076" s="39" t="inlineStr"/>
      <c r="Q1076" s="14" t="inlineStr"/>
      <c r="R1076" s="39" t="inlineStr"/>
      <c r="S1076" s="39" t="inlineStr"/>
      <c r="T1076" s="39" t="inlineStr"/>
      <c r="U1076" s="39" t="inlineStr"/>
      <c r="V1076" s="34" t="inlineStr">
        <is>
          <t>Cost Account = CA-4074; WBS Code = 1.4.2</t>
        </is>
      </c>
      <c r="W1076" s="14" t="inlineStr"/>
    </row>
    <row r="1077" ht="49" customHeight="1">
      <c r="A1077" s="34" t="inlineStr">
        <is>
          <t>1.4.2</t>
        </is>
      </c>
      <c r="B1077" s="34" t="inlineStr">
        <is>
          <t>Vehicles and Depot - Depot Buildings</t>
        </is>
      </c>
      <c r="C1077" s="34" t="inlineStr">
        <is>
          <t>Cost &amp; Forecast Control Accounts</t>
        </is>
      </c>
      <c r="D1077" s="34" t="inlineStr">
        <is>
          <t>CST-04-076</t>
        </is>
      </c>
      <c r="E1077" s="34" t="inlineStr">
        <is>
          <t>Vehicles and Depot - fleet supply - field package</t>
        </is>
      </c>
      <c r="F1077" s="34" t="inlineStr">
        <is>
          <t>ONE_TO_ONE</t>
        </is>
      </c>
      <c r="G1077" s="34" t="inlineStr">
        <is>
          <t>APPROVED</t>
        </is>
      </c>
      <c r="H1077" s="34" t="inlineStr">
        <is>
          <t>New</t>
        </is>
      </c>
      <c r="I1077" s="34" t="inlineStr">
        <is>
          <t>Source assignment -- not individually reviewed</t>
        </is>
      </c>
      <c r="J1077" s="39" t="inlineStr"/>
      <c r="K1077" s="34" t="inlineStr">
        <is>
          <t>Source assignment</t>
        </is>
      </c>
      <c r="L1077" s="39" t="inlineStr"/>
      <c r="M1077" s="34" t="inlineStr">
        <is>
          <t>Initial</t>
        </is>
      </c>
      <c r="N1077" s="34" t="inlineStr">
        <is>
          <t>Rev 0</t>
        </is>
      </c>
      <c r="O1077" s="34" t="inlineStr">
        <is>
          <t>R1398-v1</t>
        </is>
      </c>
      <c r="P1077" s="39" t="inlineStr"/>
      <c r="Q1077" s="14" t="inlineStr"/>
      <c r="R1077" s="39" t="inlineStr"/>
      <c r="S1077" s="39" t="inlineStr"/>
      <c r="T1077" s="39" t="inlineStr"/>
      <c r="U1077" s="39" t="inlineStr"/>
      <c r="V1077" s="34" t="inlineStr">
        <is>
          <t>Cost Account = CA-4076; WBS Code = 1.4.2</t>
        </is>
      </c>
      <c r="W1077" s="14" t="inlineStr"/>
    </row>
    <row r="1078" ht="49" customHeight="1">
      <c r="A1078" s="34" t="inlineStr">
        <is>
          <t>1.4.2</t>
        </is>
      </c>
      <c r="B1078" s="34" t="inlineStr">
        <is>
          <t>Vehicles and Depot - Depot Buildings</t>
        </is>
      </c>
      <c r="C1078" s="34" t="inlineStr">
        <is>
          <t>Cost &amp; Forecast Control Accounts</t>
        </is>
      </c>
      <c r="D1078" s="34" t="inlineStr">
        <is>
          <t>CST-04-078</t>
        </is>
      </c>
      <c r="E1078" s="34" t="inlineStr">
        <is>
          <t>Vehicles and Depot - spares - professional services</t>
        </is>
      </c>
      <c r="F1078" s="34" t="inlineStr">
        <is>
          <t>ONE_TO_ONE</t>
        </is>
      </c>
      <c r="G1078" s="34" t="inlineStr">
        <is>
          <t>APPROVED</t>
        </is>
      </c>
      <c r="H1078" s="34" t="inlineStr">
        <is>
          <t>New</t>
        </is>
      </c>
      <c r="I1078" s="34" t="inlineStr">
        <is>
          <t>Source assignment -- not individually reviewed</t>
        </is>
      </c>
      <c r="J1078" s="39" t="inlineStr"/>
      <c r="K1078" s="34" t="inlineStr">
        <is>
          <t>Source assignment</t>
        </is>
      </c>
      <c r="L1078" s="39" t="inlineStr"/>
      <c r="M1078" s="34" t="inlineStr">
        <is>
          <t>Initial</t>
        </is>
      </c>
      <c r="N1078" s="34" t="inlineStr">
        <is>
          <t>Rev 0</t>
        </is>
      </c>
      <c r="O1078" s="34" t="inlineStr">
        <is>
          <t>R1400-v1</t>
        </is>
      </c>
      <c r="P1078" s="39" t="inlineStr"/>
      <c r="Q1078" s="14" t="inlineStr"/>
      <c r="R1078" s="39" t="inlineStr"/>
      <c r="S1078" s="39" t="inlineStr"/>
      <c r="T1078" s="39" t="inlineStr"/>
      <c r="U1078" s="39" t="inlineStr"/>
      <c r="V1078" s="34" t="inlineStr">
        <is>
          <t>Cost Account = CA-4078; WBS Code = 1.4.2</t>
        </is>
      </c>
      <c r="W1078" s="14" t="inlineStr"/>
    </row>
    <row r="1079" ht="49" customHeight="1">
      <c r="A1079" s="34" t="inlineStr">
        <is>
          <t>1.4.2</t>
        </is>
      </c>
      <c r="B1079" s="34" t="inlineStr">
        <is>
          <t>Vehicles and Depot - Depot Buildings</t>
        </is>
      </c>
      <c r="C1079" s="34" t="inlineStr">
        <is>
          <t>Cost &amp; Forecast Control Accounts</t>
        </is>
      </c>
      <c r="D1079" s="34" t="inlineStr">
        <is>
          <t>CST-04-080</t>
        </is>
      </c>
      <c r="E1079" s="34" t="inlineStr">
        <is>
          <t>Vehicles and Depot - workshop equipment - closeout</t>
        </is>
      </c>
      <c r="F1079" s="34" t="inlineStr">
        <is>
          <t>ONE_TO_ONE</t>
        </is>
      </c>
      <c r="G1079" s="34" t="inlineStr">
        <is>
          <t>APPROVED</t>
        </is>
      </c>
      <c r="H1079" s="34" t="inlineStr">
        <is>
          <t>New</t>
        </is>
      </c>
      <c r="I1079" s="34" t="inlineStr">
        <is>
          <t>Source assignment -- not individually reviewed</t>
        </is>
      </c>
      <c r="J1079" s="39" t="inlineStr"/>
      <c r="K1079" s="34" t="inlineStr">
        <is>
          <t>Source assignment</t>
        </is>
      </c>
      <c r="L1079" s="39" t="inlineStr"/>
      <c r="M1079" s="34" t="inlineStr">
        <is>
          <t>Initial</t>
        </is>
      </c>
      <c r="N1079" s="34" t="inlineStr">
        <is>
          <t>Rev 0</t>
        </is>
      </c>
      <c r="O1079" s="34" t="inlineStr">
        <is>
          <t>R1402-v1</t>
        </is>
      </c>
      <c r="P1079" s="39" t="inlineStr"/>
      <c r="Q1079" s="14" t="inlineStr"/>
      <c r="R1079" s="39" t="inlineStr"/>
      <c r="S1079" s="39" t="inlineStr"/>
      <c r="T1079" s="39" t="inlineStr"/>
      <c r="U1079" s="39" t="inlineStr"/>
      <c r="V1079" s="34" t="inlineStr">
        <is>
          <t>Cost Account = CA-4080; WBS Code = 1.4.2</t>
        </is>
      </c>
      <c r="W1079" s="14" t="inlineStr"/>
    </row>
    <row r="1080" ht="49" customHeight="1">
      <c r="A1080" s="34" t="inlineStr">
        <is>
          <t>1.5</t>
        </is>
      </c>
      <c r="B1080" s="34" t="inlineStr">
        <is>
          <t>Testing and Commissioning</t>
        </is>
      </c>
      <c r="C1080" s="34" t="inlineStr">
        <is>
          <t>Commercial Package Register</t>
        </is>
      </c>
      <c r="D1080" s="34" t="inlineStr">
        <is>
          <t>PKG-041</t>
        </is>
      </c>
      <c r="E1080" s="34" t="inlineStr">
        <is>
          <t>Dynamic Testing</t>
        </is>
      </c>
      <c r="F1080" s="34" t="inlineStr">
        <is>
          <t>ONE_TO_ONE</t>
        </is>
      </c>
      <c r="G1080" s="34" t="inlineStr">
        <is>
          <t>APPROVED</t>
        </is>
      </c>
      <c r="H1080" s="34" t="inlineStr">
        <is>
          <t>New</t>
        </is>
      </c>
      <c r="I1080" s="34" t="inlineStr">
        <is>
          <t>Source assignment -- not individually reviewed</t>
        </is>
      </c>
      <c r="J1080" s="39" t="inlineStr"/>
      <c r="K1080" s="34" t="inlineStr">
        <is>
          <t>Source assignment</t>
        </is>
      </c>
      <c r="L1080" s="39" t="inlineStr"/>
      <c r="M1080" s="34" t="inlineStr">
        <is>
          <t>Initial</t>
        </is>
      </c>
      <c r="N1080" s="34" t="inlineStr">
        <is>
          <t>Rev 0</t>
        </is>
      </c>
      <c r="O1080" s="34" t="inlineStr">
        <is>
          <t>R1603-v1</t>
        </is>
      </c>
      <c r="P1080" s="39" t="inlineStr"/>
      <c r="Q1080" s="14" t="inlineStr"/>
      <c r="R1080" s="39" t="inlineStr"/>
      <c r="S1080" s="39" t="inlineStr"/>
      <c r="T1080" s="39" t="inlineStr"/>
      <c r="U1080" s="39" t="inlineStr"/>
      <c r="V1080" s="34" t="inlineStr">
        <is>
          <t>Package Code = PK-501; WBS Code = 1.5</t>
        </is>
      </c>
      <c r="W1080" s="14" t="inlineStr"/>
    </row>
    <row r="1081" ht="49" customHeight="1">
      <c r="A1081" s="34" t="inlineStr">
        <is>
          <t>1.5</t>
        </is>
      </c>
      <c r="B1081" s="34" t="inlineStr">
        <is>
          <t>Testing and Commissioning</t>
        </is>
      </c>
      <c r="C1081" s="34" t="inlineStr">
        <is>
          <t>Commercial Package Register</t>
        </is>
      </c>
      <c r="D1081" s="34" t="inlineStr">
        <is>
          <t>PKG-042</t>
        </is>
      </c>
      <c r="E1081" s="34" t="inlineStr">
        <is>
          <t>Safety Certification</t>
        </is>
      </c>
      <c r="F1081" s="34" t="inlineStr">
        <is>
          <t>ONE_TO_ONE</t>
        </is>
      </c>
      <c r="G1081" s="34" t="inlineStr">
        <is>
          <t>APPROVED</t>
        </is>
      </c>
      <c r="H1081" s="34" t="inlineStr">
        <is>
          <t>New</t>
        </is>
      </c>
      <c r="I1081" s="34" t="inlineStr">
        <is>
          <t>Source assignment -- not individually reviewed</t>
        </is>
      </c>
      <c r="J1081" s="39" t="inlineStr"/>
      <c r="K1081" s="34" t="inlineStr">
        <is>
          <t>Source assignment</t>
        </is>
      </c>
      <c r="L1081" s="39" t="inlineStr"/>
      <c r="M1081" s="34" t="inlineStr">
        <is>
          <t>Initial</t>
        </is>
      </c>
      <c r="N1081" s="34" t="inlineStr">
        <is>
          <t>Rev 0</t>
        </is>
      </c>
      <c r="O1081" s="34" t="inlineStr">
        <is>
          <t>R1604-v1</t>
        </is>
      </c>
      <c r="P1081" s="39" t="inlineStr"/>
      <c r="Q1081" s="14" t="inlineStr"/>
      <c r="R1081" s="39" t="inlineStr"/>
      <c r="S1081" s="39" t="inlineStr"/>
      <c r="T1081" s="39" t="inlineStr"/>
      <c r="U1081" s="39" t="inlineStr"/>
      <c r="V1081" s="34" t="inlineStr">
        <is>
          <t>Package Code = PK-502; WBS Code = 1.5</t>
        </is>
      </c>
      <c r="W1081" s="14" t="inlineStr"/>
    </row>
    <row r="1082" ht="49" customHeight="1">
      <c r="A1082" s="34" t="inlineStr">
        <is>
          <t>1.5</t>
        </is>
      </c>
      <c r="B1082" s="34" t="inlineStr">
        <is>
          <t>Testing and Commissioning</t>
        </is>
      </c>
      <c r="C1082" s="34" t="inlineStr">
        <is>
          <t>Commercial Package Register</t>
        </is>
      </c>
      <c r="D1082" s="34" t="inlineStr">
        <is>
          <t>PKG-043</t>
        </is>
      </c>
      <c r="E1082" s="34" t="inlineStr">
        <is>
          <t>Trial Running</t>
        </is>
      </c>
      <c r="F1082" s="34" t="inlineStr">
        <is>
          <t>ONE_TO_ONE</t>
        </is>
      </c>
      <c r="G1082" s="34" t="inlineStr">
        <is>
          <t>APPROVED</t>
        </is>
      </c>
      <c r="H1082" s="34" t="inlineStr">
        <is>
          <t>New</t>
        </is>
      </c>
      <c r="I1082" s="34" t="inlineStr">
        <is>
          <t>Source assignment -- not individually reviewed</t>
        </is>
      </c>
      <c r="J1082" s="39" t="inlineStr"/>
      <c r="K1082" s="34" t="inlineStr">
        <is>
          <t>Source assignment</t>
        </is>
      </c>
      <c r="L1082" s="39" t="inlineStr"/>
      <c r="M1082" s="34" t="inlineStr">
        <is>
          <t>Initial</t>
        </is>
      </c>
      <c r="N1082" s="34" t="inlineStr">
        <is>
          <t>Rev 0</t>
        </is>
      </c>
      <c r="O1082" s="34" t="inlineStr">
        <is>
          <t>R1605-v1</t>
        </is>
      </c>
      <c r="P1082" s="39" t="inlineStr"/>
      <c r="Q1082" s="14" t="inlineStr"/>
      <c r="R1082" s="39" t="inlineStr"/>
      <c r="S1082" s="39" t="inlineStr"/>
      <c r="T1082" s="39" t="inlineStr"/>
      <c r="U1082" s="39" t="inlineStr"/>
      <c r="V1082" s="34" t="inlineStr">
        <is>
          <t>Package Code = PK-503; WBS Code = 1.5</t>
        </is>
      </c>
      <c r="W1082" s="14" t="inlineStr"/>
    </row>
    <row r="1083" ht="49" customHeight="1">
      <c r="A1083" s="34" t="inlineStr">
        <is>
          <t>1.5</t>
        </is>
      </c>
      <c r="B1083" s="34" t="inlineStr">
        <is>
          <t>Testing and Commissioning</t>
        </is>
      </c>
      <c r="C1083" s="34" t="inlineStr">
        <is>
          <t>Commercial Package Register</t>
        </is>
      </c>
      <c r="D1083" s="34" t="inlineStr">
        <is>
          <t>PKG-044</t>
        </is>
      </c>
      <c r="E1083" s="34" t="inlineStr">
        <is>
          <t>Readiness Support</t>
        </is>
      </c>
      <c r="F1083" s="34" t="inlineStr">
        <is>
          <t>ONE_TO_ONE</t>
        </is>
      </c>
      <c r="G1083" s="34" t="inlineStr">
        <is>
          <t>APPROVED</t>
        </is>
      </c>
      <c r="H1083" s="34" t="inlineStr">
        <is>
          <t>New</t>
        </is>
      </c>
      <c r="I1083" s="34" t="inlineStr">
        <is>
          <t>Source assignment -- not individually reviewed</t>
        </is>
      </c>
      <c r="J1083" s="39" t="inlineStr"/>
      <c r="K1083" s="34" t="inlineStr">
        <is>
          <t>Source assignment</t>
        </is>
      </c>
      <c r="L1083" s="39" t="inlineStr"/>
      <c r="M1083" s="34" t="inlineStr">
        <is>
          <t>Initial</t>
        </is>
      </c>
      <c r="N1083" s="34" t="inlineStr">
        <is>
          <t>Rev 0</t>
        </is>
      </c>
      <c r="O1083" s="34" t="inlineStr">
        <is>
          <t>R1606-v1</t>
        </is>
      </c>
      <c r="P1083" s="39" t="inlineStr"/>
      <c r="Q1083" s="14" t="inlineStr"/>
      <c r="R1083" s="39" t="inlineStr"/>
      <c r="S1083" s="39" t="inlineStr"/>
      <c r="T1083" s="39" t="inlineStr"/>
      <c r="U1083" s="39" t="inlineStr"/>
      <c r="V1083" s="34" t="inlineStr">
        <is>
          <t>Package Code = PK-504; WBS Code = 1.5</t>
        </is>
      </c>
      <c r="W1083" s="14" t="inlineStr"/>
    </row>
    <row r="1084" ht="49" customHeight="1">
      <c r="A1084" s="34" t="inlineStr">
        <is>
          <t>1.5</t>
        </is>
      </c>
      <c r="B1084" s="34" t="inlineStr">
        <is>
          <t>Testing and Commissioning</t>
        </is>
      </c>
      <c r="C1084" s="34" t="inlineStr">
        <is>
          <t>Commercial Package Register</t>
        </is>
      </c>
      <c r="D1084" s="34" t="inlineStr">
        <is>
          <t>PKG-045</t>
        </is>
      </c>
      <c r="E1084" s="34" t="inlineStr">
        <is>
          <t>Dynamic Testing - Lot 2</t>
        </is>
      </c>
      <c r="F1084" s="34" t="inlineStr">
        <is>
          <t>ONE_TO_ONE</t>
        </is>
      </c>
      <c r="G1084" s="34" t="inlineStr">
        <is>
          <t>APPROVED</t>
        </is>
      </c>
      <c r="H1084" s="34" t="inlineStr">
        <is>
          <t>New</t>
        </is>
      </c>
      <c r="I1084" s="34" t="inlineStr">
        <is>
          <t>Source assignment -- not individually reviewed</t>
        </is>
      </c>
      <c r="J1084" s="39" t="inlineStr"/>
      <c r="K1084" s="34" t="inlineStr">
        <is>
          <t>Source assignment</t>
        </is>
      </c>
      <c r="L1084" s="39" t="inlineStr"/>
      <c r="M1084" s="34" t="inlineStr">
        <is>
          <t>Initial</t>
        </is>
      </c>
      <c r="N1084" s="34" t="inlineStr">
        <is>
          <t>Rev 0</t>
        </is>
      </c>
      <c r="O1084" s="34" t="inlineStr">
        <is>
          <t>R1607-v1</t>
        </is>
      </c>
      <c r="P1084" s="39" t="inlineStr"/>
      <c r="Q1084" s="14" t="inlineStr"/>
      <c r="R1084" s="39" t="inlineStr"/>
      <c r="S1084" s="39" t="inlineStr"/>
      <c r="T1084" s="39" t="inlineStr"/>
      <c r="U1084" s="39" t="inlineStr"/>
      <c r="V1084" s="34" t="inlineStr">
        <is>
          <t>Package Code = PK-505; WBS Code = 1.5</t>
        </is>
      </c>
      <c r="W1084" s="14" t="inlineStr"/>
    </row>
    <row r="1085" ht="49" customHeight="1">
      <c r="A1085" s="34" t="inlineStr">
        <is>
          <t>1.5</t>
        </is>
      </c>
      <c r="B1085" s="34" t="inlineStr">
        <is>
          <t>Testing and Commissioning</t>
        </is>
      </c>
      <c r="C1085" s="34" t="inlineStr">
        <is>
          <t>Commercial Package Register</t>
        </is>
      </c>
      <c r="D1085" s="34" t="inlineStr">
        <is>
          <t>PKG-046</t>
        </is>
      </c>
      <c r="E1085" s="34" t="inlineStr">
        <is>
          <t>Safety Certification - Lot 2</t>
        </is>
      </c>
      <c r="F1085" s="34" t="inlineStr">
        <is>
          <t>ONE_TO_ONE</t>
        </is>
      </c>
      <c r="G1085" s="34" t="inlineStr">
        <is>
          <t>APPROVED</t>
        </is>
      </c>
      <c r="H1085" s="34" t="inlineStr">
        <is>
          <t>New</t>
        </is>
      </c>
      <c r="I1085" s="34" t="inlineStr">
        <is>
          <t>Source assignment -- not individually reviewed</t>
        </is>
      </c>
      <c r="J1085" s="39" t="inlineStr"/>
      <c r="K1085" s="34" t="inlineStr">
        <is>
          <t>Source assignment</t>
        </is>
      </c>
      <c r="L1085" s="39" t="inlineStr"/>
      <c r="M1085" s="34" t="inlineStr">
        <is>
          <t>Initial</t>
        </is>
      </c>
      <c r="N1085" s="34" t="inlineStr">
        <is>
          <t>Rev 0</t>
        </is>
      </c>
      <c r="O1085" s="34" t="inlineStr">
        <is>
          <t>R1608-v1</t>
        </is>
      </c>
      <c r="P1085" s="39" t="inlineStr"/>
      <c r="Q1085" s="14" t="inlineStr"/>
      <c r="R1085" s="39" t="inlineStr"/>
      <c r="S1085" s="39" t="inlineStr"/>
      <c r="T1085" s="39" t="inlineStr"/>
      <c r="U1085" s="39" t="inlineStr"/>
      <c r="V1085" s="34" t="inlineStr">
        <is>
          <t>Package Code = PK-506; WBS Code = 1.5</t>
        </is>
      </c>
      <c r="W1085" s="14" t="inlineStr"/>
    </row>
    <row r="1086" ht="49" customHeight="1">
      <c r="A1086" s="34" t="inlineStr">
        <is>
          <t>1.5</t>
        </is>
      </c>
      <c r="B1086" s="34" t="inlineStr">
        <is>
          <t>Testing and Commissioning</t>
        </is>
      </c>
      <c r="C1086" s="34" t="inlineStr">
        <is>
          <t>Commercial Package Register</t>
        </is>
      </c>
      <c r="D1086" s="34" t="inlineStr">
        <is>
          <t>PKG-047</t>
        </is>
      </c>
      <c r="E1086" s="34" t="inlineStr">
        <is>
          <t>Trial Running - Lot 2</t>
        </is>
      </c>
      <c r="F1086" s="34" t="inlineStr">
        <is>
          <t>ONE_TO_ONE</t>
        </is>
      </c>
      <c r="G1086" s="34" t="inlineStr">
        <is>
          <t>APPROVED</t>
        </is>
      </c>
      <c r="H1086" s="34" t="inlineStr">
        <is>
          <t>New</t>
        </is>
      </c>
      <c r="I1086" s="34" t="inlineStr">
        <is>
          <t>Source assignment -- not individually reviewed</t>
        </is>
      </c>
      <c r="J1086" s="39" t="inlineStr"/>
      <c r="K1086" s="34" t="inlineStr">
        <is>
          <t>Source assignment</t>
        </is>
      </c>
      <c r="L1086" s="39" t="inlineStr"/>
      <c r="M1086" s="34" t="inlineStr">
        <is>
          <t>Initial</t>
        </is>
      </c>
      <c r="N1086" s="34" t="inlineStr">
        <is>
          <t>Rev 0</t>
        </is>
      </c>
      <c r="O1086" s="34" t="inlineStr">
        <is>
          <t>R1609-v1</t>
        </is>
      </c>
      <c r="P1086" s="39" t="inlineStr"/>
      <c r="Q1086" s="14" t="inlineStr"/>
      <c r="R1086" s="39" t="inlineStr"/>
      <c r="S1086" s="39" t="inlineStr"/>
      <c r="T1086" s="39" t="inlineStr"/>
      <c r="U1086" s="39" t="inlineStr"/>
      <c r="V1086" s="34" t="inlineStr">
        <is>
          <t>Package Code = PK-507; WBS Code = 1.5</t>
        </is>
      </c>
      <c r="W1086" s="14" t="inlineStr"/>
    </row>
    <row r="1087" ht="49" customHeight="1">
      <c r="A1087" s="34" t="inlineStr">
        <is>
          <t>1.5</t>
        </is>
      </c>
      <c r="B1087" s="34" t="inlineStr">
        <is>
          <t>Testing and Commissioning</t>
        </is>
      </c>
      <c r="C1087" s="34" t="inlineStr">
        <is>
          <t>Commercial Package Register</t>
        </is>
      </c>
      <c r="D1087" s="34" t="inlineStr">
        <is>
          <t>PKG-048</t>
        </is>
      </c>
      <c r="E1087" s="34" t="inlineStr">
        <is>
          <t>Readiness Support - Lot 2</t>
        </is>
      </c>
      <c r="F1087" s="34" t="inlineStr">
        <is>
          <t>ONE_TO_ONE</t>
        </is>
      </c>
      <c r="G1087" s="34" t="inlineStr">
        <is>
          <t>APPROVED</t>
        </is>
      </c>
      <c r="H1087" s="34" t="inlineStr">
        <is>
          <t>New</t>
        </is>
      </c>
      <c r="I1087" s="34" t="inlineStr">
        <is>
          <t>Source assignment -- not individually reviewed</t>
        </is>
      </c>
      <c r="J1087" s="39" t="inlineStr"/>
      <c r="K1087" s="34" t="inlineStr">
        <is>
          <t>Source assignment</t>
        </is>
      </c>
      <c r="L1087" s="39" t="inlineStr"/>
      <c r="M1087" s="34" t="inlineStr">
        <is>
          <t>Initial</t>
        </is>
      </c>
      <c r="N1087" s="34" t="inlineStr">
        <is>
          <t>Rev 0</t>
        </is>
      </c>
      <c r="O1087" s="34" t="inlineStr">
        <is>
          <t>R1610-v1</t>
        </is>
      </c>
      <c r="P1087" s="39" t="inlineStr"/>
      <c r="Q1087" s="14" t="inlineStr"/>
      <c r="R1087" s="39" t="inlineStr"/>
      <c r="S1087" s="39" t="inlineStr"/>
      <c r="T1087" s="39" t="inlineStr"/>
      <c r="U1087" s="39" t="inlineStr"/>
      <c r="V1087" s="34" t="inlineStr">
        <is>
          <t>Package Code = PK-508; WBS Code = 1.5</t>
        </is>
      </c>
      <c r="W1087" s="14" t="inlineStr"/>
    </row>
    <row r="1088" ht="49" customHeight="1">
      <c r="A1088" s="34" t="inlineStr">
        <is>
          <t>1.5</t>
        </is>
      </c>
      <c r="B1088" s="34" t="inlineStr">
        <is>
          <t>Testing and Commissioning</t>
        </is>
      </c>
      <c r="C1088" s="34" t="inlineStr">
        <is>
          <t>Commercial Package Register</t>
        </is>
      </c>
      <c r="D1088" s="34" t="inlineStr">
        <is>
          <t>PKG-049</t>
        </is>
      </c>
      <c r="E1088" s="34" t="inlineStr">
        <is>
          <t>Dynamic Testing - Lot 3</t>
        </is>
      </c>
      <c r="F1088" s="34" t="inlineStr">
        <is>
          <t>ONE_TO_ONE</t>
        </is>
      </c>
      <c r="G1088" s="34" t="inlineStr">
        <is>
          <t>APPROVED</t>
        </is>
      </c>
      <c r="H1088" s="34" t="inlineStr">
        <is>
          <t>New</t>
        </is>
      </c>
      <c r="I1088" s="34" t="inlineStr">
        <is>
          <t>Source assignment -- not individually reviewed</t>
        </is>
      </c>
      <c r="J1088" s="39" t="inlineStr"/>
      <c r="K1088" s="34" t="inlineStr">
        <is>
          <t>Source assignment</t>
        </is>
      </c>
      <c r="L1088" s="39" t="inlineStr"/>
      <c r="M1088" s="34" t="inlineStr">
        <is>
          <t>Initial</t>
        </is>
      </c>
      <c r="N1088" s="34" t="inlineStr">
        <is>
          <t>Rev 0</t>
        </is>
      </c>
      <c r="O1088" s="34" t="inlineStr">
        <is>
          <t>R1611-v1</t>
        </is>
      </c>
      <c r="P1088" s="39" t="inlineStr"/>
      <c r="Q1088" s="14" t="inlineStr"/>
      <c r="R1088" s="39" t="inlineStr"/>
      <c r="S1088" s="39" t="inlineStr"/>
      <c r="T1088" s="39" t="inlineStr"/>
      <c r="U1088" s="39" t="inlineStr"/>
      <c r="V1088" s="34" t="inlineStr">
        <is>
          <t>Package Code = PK-509; WBS Code = 1.5</t>
        </is>
      </c>
      <c r="W1088" s="14" t="inlineStr"/>
    </row>
    <row r="1089" ht="49" customHeight="1">
      <c r="A1089" s="34" t="inlineStr">
        <is>
          <t>1.5</t>
        </is>
      </c>
      <c r="B1089" s="34" t="inlineStr">
        <is>
          <t>Testing and Commissioning</t>
        </is>
      </c>
      <c r="C1089" s="34" t="inlineStr">
        <is>
          <t>Commercial Package Register</t>
        </is>
      </c>
      <c r="D1089" s="34" t="inlineStr">
        <is>
          <t>PKG-050</t>
        </is>
      </c>
      <c r="E1089" s="34" t="inlineStr">
        <is>
          <t>Safety Certification - Lot 3</t>
        </is>
      </c>
      <c r="F1089" s="34" t="inlineStr">
        <is>
          <t>ONE_TO_ONE</t>
        </is>
      </c>
      <c r="G1089" s="34" t="inlineStr">
        <is>
          <t>APPROVED</t>
        </is>
      </c>
      <c r="H1089" s="34" t="inlineStr">
        <is>
          <t>New</t>
        </is>
      </c>
      <c r="I1089" s="34" t="inlineStr">
        <is>
          <t>Source assignment -- not individually reviewed</t>
        </is>
      </c>
      <c r="J1089" s="39" t="inlineStr"/>
      <c r="K1089" s="34" t="inlineStr">
        <is>
          <t>Source assignment</t>
        </is>
      </c>
      <c r="L1089" s="39" t="inlineStr"/>
      <c r="M1089" s="34" t="inlineStr">
        <is>
          <t>Initial</t>
        </is>
      </c>
      <c r="N1089" s="34" t="inlineStr">
        <is>
          <t>Rev 0</t>
        </is>
      </c>
      <c r="O1089" s="34" t="inlineStr">
        <is>
          <t>R1612-v1</t>
        </is>
      </c>
      <c r="P1089" s="39" t="inlineStr"/>
      <c r="Q1089" s="14" t="inlineStr"/>
      <c r="R1089" s="39" t="inlineStr"/>
      <c r="S1089" s="39" t="inlineStr"/>
      <c r="T1089" s="39" t="inlineStr"/>
      <c r="U1089" s="39" t="inlineStr"/>
      <c r="V1089" s="34" t="inlineStr">
        <is>
          <t>Package Code = PK-510; WBS Code = 1.5</t>
        </is>
      </c>
      <c r="W1089" s="14" t="inlineStr"/>
    </row>
    <row r="1090" ht="49" customHeight="1">
      <c r="A1090" s="34" t="inlineStr">
        <is>
          <t>1.5.1</t>
        </is>
      </c>
      <c r="B1090" s="34" t="inlineStr">
        <is>
          <t>Testing and Commissioning - Test Readiness</t>
        </is>
      </c>
      <c r="C1090" s="34" t="inlineStr">
        <is>
          <t>Contractor Programme</t>
        </is>
      </c>
      <c r="D1090" s="34" t="inlineStr">
        <is>
          <t>SCH-05-001</t>
        </is>
      </c>
      <c r="E1090" s="34" t="inlineStr">
        <is>
          <t>Central section: test procedure readiness review - field start</t>
        </is>
      </c>
      <c r="F1090" s="34" t="inlineStr">
        <is>
          <t>ONE_TO_ONE</t>
        </is>
      </c>
      <c r="G1090" s="34" t="inlineStr">
        <is>
          <t>APPROVED</t>
        </is>
      </c>
      <c r="H1090" s="34" t="inlineStr">
        <is>
          <t>New</t>
        </is>
      </c>
      <c r="I1090" s="34" t="inlineStr">
        <is>
          <t>Source assignment -- not individually reviewed</t>
        </is>
      </c>
      <c r="J1090" s="39" t="inlineStr"/>
      <c r="K1090" s="34" t="inlineStr">
        <is>
          <t>Source assignment</t>
        </is>
      </c>
      <c r="L1090" s="39" t="inlineStr"/>
      <c r="M1090" s="34" t="inlineStr">
        <is>
          <t>Initial</t>
        </is>
      </c>
      <c r="N1090" s="34" t="inlineStr">
        <is>
          <t>Rev 0</t>
        </is>
      </c>
      <c r="O1090" s="34" t="inlineStr">
        <is>
          <t>R721-v1</t>
        </is>
      </c>
      <c r="P1090" s="39" t="inlineStr"/>
      <c r="Q1090" s="14" t="inlineStr"/>
      <c r="R1090" s="39" t="inlineStr"/>
      <c r="S1090" s="39" t="inlineStr"/>
      <c r="T1090" s="39" t="inlineStr"/>
      <c r="U1090" s="39" t="inlineStr"/>
      <c r="V1090" s="34" t="inlineStr">
        <is>
          <t>WBS Code = 1.5.1</t>
        </is>
      </c>
      <c r="W1090" s="14" t="inlineStr"/>
    </row>
    <row r="1091" ht="49" customHeight="1">
      <c r="A1091" s="34" t="inlineStr">
        <is>
          <t>1.5.1</t>
        </is>
      </c>
      <c r="B1091" s="34" t="inlineStr">
        <is>
          <t>Testing and Commissioning - Test Readiness</t>
        </is>
      </c>
      <c r="C1091" s="34" t="inlineStr">
        <is>
          <t>Contractor Programme</t>
        </is>
      </c>
      <c r="D1091" s="34" t="inlineStr">
        <is>
          <t>SCH-05-002</t>
        </is>
      </c>
      <c r="E1091" s="34" t="inlineStr">
        <is>
          <t>West terminal: emergency-response drill - installation</t>
        </is>
      </c>
      <c r="F1091" s="34" t="inlineStr">
        <is>
          <t>ONE_TO_ONE</t>
        </is>
      </c>
      <c r="G1091" s="34" t="inlineStr">
        <is>
          <t>APPROVED</t>
        </is>
      </c>
      <c r="H1091" s="34" t="inlineStr">
        <is>
          <t>New</t>
        </is>
      </c>
      <c r="I1091" s="34" t="inlineStr">
        <is>
          <t>Source assignment -- not individually reviewed</t>
        </is>
      </c>
      <c r="J1091" s="39" t="inlineStr"/>
      <c r="K1091" s="34" t="inlineStr">
        <is>
          <t>Source assignment</t>
        </is>
      </c>
      <c r="L1091" s="39" t="inlineStr"/>
      <c r="M1091" s="34" t="inlineStr">
        <is>
          <t>Initial</t>
        </is>
      </c>
      <c r="N1091" s="34" t="inlineStr">
        <is>
          <t>Rev 0</t>
        </is>
      </c>
      <c r="O1091" s="34" t="inlineStr">
        <is>
          <t>R722-v1</t>
        </is>
      </c>
      <c r="P1091" s="39" t="inlineStr"/>
      <c r="Q1091" s="14" t="inlineStr"/>
      <c r="R1091" s="39" t="inlineStr"/>
      <c r="S1091" s="39" t="inlineStr"/>
      <c r="T1091" s="39" t="inlineStr"/>
      <c r="U1091" s="39" t="inlineStr"/>
      <c r="V1091" s="34" t="inlineStr">
        <is>
          <t>WBS Code = 1.5.1</t>
        </is>
      </c>
      <c r="W1091" s="14" t="inlineStr"/>
    </row>
    <row r="1092" ht="49" customHeight="1">
      <c r="A1092" s="34" t="inlineStr">
        <is>
          <t>1.5.1</t>
        </is>
      </c>
      <c r="B1092" s="34" t="inlineStr">
        <is>
          <t>Testing and Commissioning - Test Readiness</t>
        </is>
      </c>
      <c r="C1092" s="34" t="inlineStr">
        <is>
          <t>Contractor Programme</t>
        </is>
      </c>
      <c r="D1092" s="34" t="inlineStr">
        <is>
          <t>SCH-05-004</t>
        </is>
      </c>
      <c r="E1092" s="34" t="inlineStr">
        <is>
          <t>Control Centre: mainline dynamic test - turnover</t>
        </is>
      </c>
      <c r="F1092" s="34" t="inlineStr">
        <is>
          <t>ONE_TO_ONE</t>
        </is>
      </c>
      <c r="G1092" s="34" t="inlineStr">
        <is>
          <t>APPROVED</t>
        </is>
      </c>
      <c r="H1092" s="34" t="inlineStr">
        <is>
          <t>New</t>
        </is>
      </c>
      <c r="I1092" s="34" t="inlineStr">
        <is>
          <t>Source assignment -- not individually reviewed</t>
        </is>
      </c>
      <c r="J1092" s="39" t="inlineStr"/>
      <c r="K1092" s="34" t="inlineStr">
        <is>
          <t>Source assignment</t>
        </is>
      </c>
      <c r="L1092" s="39" t="inlineStr"/>
      <c r="M1092" s="34" t="inlineStr">
        <is>
          <t>Initial</t>
        </is>
      </c>
      <c r="N1092" s="34" t="inlineStr">
        <is>
          <t>Rev 0</t>
        </is>
      </c>
      <c r="O1092" s="34" t="inlineStr">
        <is>
          <t>R724-v1</t>
        </is>
      </c>
      <c r="P1092" s="39" t="inlineStr"/>
      <c r="Q1092" s="14" t="inlineStr"/>
      <c r="R1092" s="39" t="inlineStr"/>
      <c r="S1092" s="39" t="inlineStr"/>
      <c r="T1092" s="39" t="inlineStr"/>
      <c r="U1092" s="39" t="inlineStr"/>
      <c r="V1092" s="34" t="inlineStr">
        <is>
          <t>WBS Code = 1.5.1</t>
        </is>
      </c>
      <c r="W1092" s="14" t="inlineStr"/>
    </row>
    <row r="1093" ht="49" customHeight="1">
      <c r="A1093" s="34" t="inlineStr">
        <is>
          <t>1.5.1</t>
        </is>
      </c>
      <c r="B1093" s="34" t="inlineStr">
        <is>
          <t>Testing and Commissioning - Test Readiness</t>
        </is>
      </c>
      <c r="C1093" s="34" t="inlineStr">
        <is>
          <t>Contractor Programme</t>
        </is>
      </c>
      <c r="D1093" s="34" t="inlineStr">
        <is>
          <t>SCH-05-005</t>
        </is>
      </c>
      <c r="E1093" s="34" t="inlineStr">
        <is>
          <t>Mainline east: safety certificate evidence closeout - release</t>
        </is>
      </c>
      <c r="F1093" s="34" t="inlineStr">
        <is>
          <t>ONE_TO_ONE</t>
        </is>
      </c>
      <c r="G1093" s="34" t="inlineStr">
        <is>
          <t>APPROVED</t>
        </is>
      </c>
      <c r="H1093" s="34" t="inlineStr">
        <is>
          <t>New</t>
        </is>
      </c>
      <c r="I1093" s="34" t="inlineStr">
        <is>
          <t>Source assignment -- not individually reviewed</t>
        </is>
      </c>
      <c r="J1093" s="39" t="inlineStr"/>
      <c r="K1093" s="34" t="inlineStr">
        <is>
          <t>Source assignment</t>
        </is>
      </c>
      <c r="L1093" s="39" t="inlineStr"/>
      <c r="M1093" s="34" t="inlineStr">
        <is>
          <t>Initial</t>
        </is>
      </c>
      <c r="N1093" s="34" t="inlineStr">
        <is>
          <t>Rev 0</t>
        </is>
      </c>
      <c r="O1093" s="34" t="inlineStr">
        <is>
          <t>R725-v1</t>
        </is>
      </c>
      <c r="P1093" s="39" t="inlineStr"/>
      <c r="Q1093" s="14" t="inlineStr"/>
      <c r="R1093" s="39" t="inlineStr"/>
      <c r="S1093" s="39" t="inlineStr"/>
      <c r="T1093" s="39" t="inlineStr"/>
      <c r="U1093" s="39" t="inlineStr"/>
      <c r="V1093" s="34" t="inlineStr">
        <is>
          <t>WBS Code = 1.5.1</t>
        </is>
      </c>
      <c r="W1093" s="14" t="inlineStr"/>
    </row>
    <row r="1094" ht="49" customHeight="1">
      <c r="A1094" s="34" t="inlineStr">
        <is>
          <t>1.5.1</t>
        </is>
      </c>
      <c r="B1094" s="34" t="inlineStr">
        <is>
          <t>Testing and Commissioning - Test Readiness</t>
        </is>
      </c>
      <c r="C1094" s="34" t="inlineStr">
        <is>
          <t>Contractor Programme</t>
        </is>
      </c>
      <c r="D1094" s="34" t="inlineStr">
        <is>
          <t>SCH-05-007</t>
        </is>
      </c>
      <c r="E1094" s="34" t="inlineStr">
        <is>
          <t>West terminal: station integrated test - installation</t>
        </is>
      </c>
      <c r="F1094" s="34" t="inlineStr">
        <is>
          <t>ONE_TO_ONE</t>
        </is>
      </c>
      <c r="G1094" s="34" t="inlineStr">
        <is>
          <t>APPROVED</t>
        </is>
      </c>
      <c r="H1094" s="34" t="inlineStr">
        <is>
          <t>New</t>
        </is>
      </c>
      <c r="I1094" s="34" t="inlineStr">
        <is>
          <t>Source assignment -- not individually reviewed</t>
        </is>
      </c>
      <c r="J1094" s="39" t="inlineStr"/>
      <c r="K1094" s="34" t="inlineStr">
        <is>
          <t>Source assignment</t>
        </is>
      </c>
      <c r="L1094" s="39" t="inlineStr"/>
      <c r="M1094" s="34" t="inlineStr">
        <is>
          <t>Initial</t>
        </is>
      </c>
      <c r="N1094" s="34" t="inlineStr">
        <is>
          <t>Rev 0</t>
        </is>
      </c>
      <c r="O1094" s="34" t="inlineStr">
        <is>
          <t>R727-v1</t>
        </is>
      </c>
      <c r="P1094" s="39" t="inlineStr"/>
      <c r="Q1094" s="14" t="inlineStr"/>
      <c r="R1094" s="39" t="inlineStr"/>
      <c r="S1094" s="39" t="inlineStr"/>
      <c r="T1094" s="39" t="inlineStr"/>
      <c r="U1094" s="39" t="inlineStr"/>
      <c r="V1094" s="34" t="inlineStr">
        <is>
          <t>WBS Code = 1.5.1</t>
        </is>
      </c>
      <c r="W1094" s="14" t="inlineStr"/>
    </row>
    <row r="1095" ht="49" customHeight="1">
      <c r="A1095" s="34" t="inlineStr">
        <is>
          <t>1.5.1</t>
        </is>
      </c>
      <c r="B1095" s="34" t="inlineStr">
        <is>
          <t>Testing and Commissioning - Test Readiness</t>
        </is>
      </c>
      <c r="C1095" s="34" t="inlineStr">
        <is>
          <t>Contractor Programme</t>
        </is>
      </c>
      <c r="D1095" s="34" t="inlineStr">
        <is>
          <t>SCH-05-008</t>
        </is>
      </c>
      <c r="E1095" s="34" t="inlineStr">
        <is>
          <t>Depot: trial-running shift - inspection</t>
        </is>
      </c>
      <c r="F1095" s="34" t="inlineStr">
        <is>
          <t>ONE_TO_ONE</t>
        </is>
      </c>
      <c r="G1095" s="34" t="inlineStr">
        <is>
          <t>APPROVED</t>
        </is>
      </c>
      <c r="H1095" s="34" t="inlineStr">
        <is>
          <t>New</t>
        </is>
      </c>
      <c r="I1095" s="34" t="inlineStr">
        <is>
          <t>Source assignment -- not individually reviewed</t>
        </is>
      </c>
      <c r="J1095" s="39" t="inlineStr"/>
      <c r="K1095" s="34" t="inlineStr">
        <is>
          <t>Source assignment</t>
        </is>
      </c>
      <c r="L1095" s="39" t="inlineStr"/>
      <c r="M1095" s="34" t="inlineStr">
        <is>
          <t>Initial</t>
        </is>
      </c>
      <c r="N1095" s="34" t="inlineStr">
        <is>
          <t>Rev 0</t>
        </is>
      </c>
      <c r="O1095" s="34" t="inlineStr">
        <is>
          <t>R728-v1</t>
        </is>
      </c>
      <c r="P1095" s="39" t="inlineStr"/>
      <c r="Q1095" s="14" t="inlineStr"/>
      <c r="R1095" s="39" t="inlineStr"/>
      <c r="S1095" s="39" t="inlineStr"/>
      <c r="T1095" s="39" t="inlineStr"/>
      <c r="U1095" s="39" t="inlineStr"/>
      <c r="V1095" s="34" t="inlineStr">
        <is>
          <t>WBS Code = 1.5.1</t>
        </is>
      </c>
      <c r="W1095" s="14" t="inlineStr"/>
    </row>
    <row r="1096" ht="49" customHeight="1">
      <c r="A1096" s="34" t="inlineStr">
        <is>
          <t>1.5.1</t>
        </is>
      </c>
      <c r="B1096" s="34" t="inlineStr">
        <is>
          <t>Testing and Commissioning - Test Readiness</t>
        </is>
      </c>
      <c r="C1096" s="34" t="inlineStr">
        <is>
          <t>Contractor Programme</t>
        </is>
      </c>
      <c r="D1096" s="34" t="inlineStr">
        <is>
          <t>SCH-05-010</t>
        </is>
      </c>
      <c r="E1096" s="34" t="inlineStr">
        <is>
          <t>Mainline east: emergency-response drill - release</t>
        </is>
      </c>
      <c r="F1096" s="34" t="inlineStr">
        <is>
          <t>ONE_TO_ONE</t>
        </is>
      </c>
      <c r="G1096" s="34" t="inlineStr">
        <is>
          <t>APPROVED</t>
        </is>
      </c>
      <c r="H1096" s="34" t="inlineStr">
        <is>
          <t>New</t>
        </is>
      </c>
      <c r="I1096" s="34" t="inlineStr">
        <is>
          <t>Source assignment -- not individually reviewed</t>
        </is>
      </c>
      <c r="J1096" s="39" t="inlineStr"/>
      <c r="K1096" s="34" t="inlineStr">
        <is>
          <t>Source assignment</t>
        </is>
      </c>
      <c r="L1096" s="39" t="inlineStr"/>
      <c r="M1096" s="34" t="inlineStr">
        <is>
          <t>Initial</t>
        </is>
      </c>
      <c r="N1096" s="34" t="inlineStr">
        <is>
          <t>Rev 0</t>
        </is>
      </c>
      <c r="O1096" s="34" t="inlineStr">
        <is>
          <t>R730-v1</t>
        </is>
      </c>
      <c r="P1096" s="39" t="inlineStr"/>
      <c r="Q1096" s="14" t="inlineStr"/>
      <c r="R1096" s="39" t="inlineStr"/>
      <c r="S1096" s="39" t="inlineStr"/>
      <c r="T1096" s="39" t="inlineStr"/>
      <c r="U1096" s="39" t="inlineStr"/>
      <c r="V1096" s="34" t="inlineStr">
        <is>
          <t>WBS Code = 1.5.1</t>
        </is>
      </c>
      <c r="W1096" s="14" t="inlineStr"/>
    </row>
    <row r="1097" ht="49" customHeight="1">
      <c r="A1097" s="34" t="inlineStr">
        <is>
          <t>1.5.1</t>
        </is>
      </c>
      <c r="B1097" s="34" t="inlineStr">
        <is>
          <t>Testing and Commissioning - Test Readiness</t>
        </is>
      </c>
      <c r="C1097" s="34" t="inlineStr">
        <is>
          <t>Contractor Programme</t>
        </is>
      </c>
      <c r="D1097" s="34" t="inlineStr">
        <is>
          <t>SCH-05-011</t>
        </is>
      </c>
      <c r="E1097" s="34" t="inlineStr">
        <is>
          <t>Central section: defect retest - field start</t>
        </is>
      </c>
      <c r="F1097" s="34" t="inlineStr">
        <is>
          <t>ONE_TO_ONE</t>
        </is>
      </c>
      <c r="G1097" s="34" t="inlineStr">
        <is>
          <t>APPROVED</t>
        </is>
      </c>
      <c r="H1097" s="34" t="inlineStr">
        <is>
          <t>New</t>
        </is>
      </c>
      <c r="I1097" s="34" t="inlineStr">
        <is>
          <t>Source assignment -- not individually reviewed</t>
        </is>
      </c>
      <c r="J1097" s="39" t="inlineStr"/>
      <c r="K1097" s="34" t="inlineStr">
        <is>
          <t>Source assignment</t>
        </is>
      </c>
      <c r="L1097" s="39" t="inlineStr"/>
      <c r="M1097" s="34" t="inlineStr">
        <is>
          <t>Initial</t>
        </is>
      </c>
      <c r="N1097" s="34" t="inlineStr">
        <is>
          <t>Rev 0</t>
        </is>
      </c>
      <c r="O1097" s="34" t="inlineStr">
        <is>
          <t>R731-v1</t>
        </is>
      </c>
      <c r="P1097" s="39" t="inlineStr"/>
      <c r="Q1097" s="14" t="inlineStr"/>
      <c r="R1097" s="39" t="inlineStr"/>
      <c r="S1097" s="39" t="inlineStr"/>
      <c r="T1097" s="39" t="inlineStr"/>
      <c r="U1097" s="39" t="inlineStr"/>
      <c r="V1097" s="34" t="inlineStr">
        <is>
          <t>WBS Code = 1.5.1</t>
        </is>
      </c>
      <c r="W1097" s="14" t="inlineStr"/>
    </row>
    <row r="1098" ht="49" customHeight="1">
      <c r="A1098" s="34" t="inlineStr">
        <is>
          <t>1.5.1</t>
        </is>
      </c>
      <c r="B1098" s="34" t="inlineStr">
        <is>
          <t>Testing and Commissioning - Test Readiness</t>
        </is>
      </c>
      <c r="C1098" s="34" t="inlineStr">
        <is>
          <t>Contractor Programme</t>
        </is>
      </c>
      <c r="D1098" s="34" t="inlineStr">
        <is>
          <t>SCH-05-013</t>
        </is>
      </c>
      <c r="E1098" s="34" t="inlineStr">
        <is>
          <t>Depot: safety certificate evidence closeout - inspection</t>
        </is>
      </c>
      <c r="F1098" s="34" t="inlineStr">
        <is>
          <t>ONE_TO_ONE</t>
        </is>
      </c>
      <c r="G1098" s="34" t="inlineStr">
        <is>
          <t>APPROVED</t>
        </is>
      </c>
      <c r="H1098" s="34" t="inlineStr">
        <is>
          <t>New</t>
        </is>
      </c>
      <c r="I1098" s="34" t="inlineStr">
        <is>
          <t>Source assignment -- not individually reviewed</t>
        </is>
      </c>
      <c r="J1098" s="39" t="inlineStr"/>
      <c r="K1098" s="34" t="inlineStr">
        <is>
          <t>Source assignment</t>
        </is>
      </c>
      <c r="L1098" s="39" t="inlineStr"/>
      <c r="M1098" s="34" t="inlineStr">
        <is>
          <t>Initial</t>
        </is>
      </c>
      <c r="N1098" s="34" t="inlineStr">
        <is>
          <t>Rev 0</t>
        </is>
      </c>
      <c r="O1098" s="34" t="inlineStr">
        <is>
          <t>R733-v1</t>
        </is>
      </c>
      <c r="P1098" s="39" t="inlineStr"/>
      <c r="Q1098" s="14" t="inlineStr"/>
      <c r="R1098" s="39" t="inlineStr"/>
      <c r="S1098" s="39" t="inlineStr"/>
      <c r="T1098" s="39" t="inlineStr"/>
      <c r="U1098" s="39" t="inlineStr"/>
      <c r="V1098" s="34" t="inlineStr">
        <is>
          <t>WBS Code = 1.5.1</t>
        </is>
      </c>
      <c r="W1098" s="14" t="inlineStr"/>
    </row>
    <row r="1099" ht="49" customHeight="1">
      <c r="A1099" s="34" t="inlineStr">
        <is>
          <t>1.5.1</t>
        </is>
      </c>
      <c r="B1099" s="34" t="inlineStr">
        <is>
          <t>Testing and Commissioning - Test Readiness</t>
        </is>
      </c>
      <c r="C1099" s="34" t="inlineStr">
        <is>
          <t>Contractor Programme</t>
        </is>
      </c>
      <c r="D1099" s="34" t="inlineStr">
        <is>
          <t>SCH-05-014</t>
        </is>
      </c>
      <c r="E1099" s="34" t="inlineStr">
        <is>
          <t>Control Centre: service-readiness review - turnover</t>
        </is>
      </c>
      <c r="F1099" s="34" t="inlineStr">
        <is>
          <t>ONE_TO_ONE</t>
        </is>
      </c>
      <c r="G1099" s="34" t="inlineStr">
        <is>
          <t>APPROVED</t>
        </is>
      </c>
      <c r="H1099" s="34" t="inlineStr">
        <is>
          <t>New</t>
        </is>
      </c>
      <c r="I1099" s="34" t="inlineStr">
        <is>
          <t>Source assignment -- not individually reviewed</t>
        </is>
      </c>
      <c r="J1099" s="39" t="inlineStr"/>
      <c r="K1099" s="34" t="inlineStr">
        <is>
          <t>Source assignment</t>
        </is>
      </c>
      <c r="L1099" s="39" t="inlineStr"/>
      <c r="M1099" s="34" t="inlineStr">
        <is>
          <t>Initial</t>
        </is>
      </c>
      <c r="N1099" s="34" t="inlineStr">
        <is>
          <t>Rev 0</t>
        </is>
      </c>
      <c r="O1099" s="34" t="inlineStr">
        <is>
          <t>R734-v1</t>
        </is>
      </c>
      <c r="P1099" s="39" t="inlineStr"/>
      <c r="Q1099" s="14" t="inlineStr"/>
      <c r="R1099" s="39" t="inlineStr"/>
      <c r="S1099" s="39" t="inlineStr"/>
      <c r="T1099" s="39" t="inlineStr"/>
      <c r="U1099" s="39" t="inlineStr"/>
      <c r="V1099" s="34" t="inlineStr">
        <is>
          <t>WBS Code = 1.5.1</t>
        </is>
      </c>
      <c r="W1099" s="14" t="inlineStr"/>
    </row>
    <row r="1100" ht="49" customHeight="1">
      <c r="A1100" s="34" t="inlineStr">
        <is>
          <t>1.5.1</t>
        </is>
      </c>
      <c r="B1100" s="34" t="inlineStr">
        <is>
          <t>Testing and Commissioning - Test Readiness</t>
        </is>
      </c>
      <c r="C1100" s="34" t="inlineStr">
        <is>
          <t>Contractor Programme</t>
        </is>
      </c>
      <c r="D1100" s="34" t="inlineStr">
        <is>
          <t>SCH-05-016</t>
        </is>
      </c>
      <c r="E1100" s="34" t="inlineStr">
        <is>
          <t>Central section: trial-running shift - field start</t>
        </is>
      </c>
      <c r="F1100" s="34" t="inlineStr">
        <is>
          <t>ONE_TO_ONE</t>
        </is>
      </c>
      <c r="G1100" s="34" t="inlineStr">
        <is>
          <t>APPROVED</t>
        </is>
      </c>
      <c r="H1100" s="34" t="inlineStr">
        <is>
          <t>New</t>
        </is>
      </c>
      <c r="I1100" s="34" t="inlineStr">
        <is>
          <t>Source assignment -- not individually reviewed</t>
        </is>
      </c>
      <c r="J1100" s="39" t="inlineStr"/>
      <c r="K1100" s="34" t="inlineStr">
        <is>
          <t>Source assignment</t>
        </is>
      </c>
      <c r="L1100" s="39" t="inlineStr"/>
      <c r="M1100" s="34" t="inlineStr">
        <is>
          <t>Initial</t>
        </is>
      </c>
      <c r="N1100" s="34" t="inlineStr">
        <is>
          <t>Rev 0</t>
        </is>
      </c>
      <c r="O1100" s="34" t="inlineStr">
        <is>
          <t>R736-v1</t>
        </is>
      </c>
      <c r="P1100" s="39" t="inlineStr"/>
      <c r="Q1100" s="14" t="inlineStr"/>
      <c r="R1100" s="39" t="inlineStr"/>
      <c r="S1100" s="39" t="inlineStr"/>
      <c r="T1100" s="39" t="inlineStr"/>
      <c r="U1100" s="39" t="inlineStr"/>
      <c r="V1100" s="34" t="inlineStr">
        <is>
          <t>WBS Code = 1.5.1</t>
        </is>
      </c>
      <c r="W1100" s="14" t="inlineStr"/>
    </row>
    <row r="1101" ht="49" customHeight="1">
      <c r="A1101" s="34" t="inlineStr">
        <is>
          <t>1.5.1</t>
        </is>
      </c>
      <c r="B1101" s="34" t="inlineStr">
        <is>
          <t>Testing and Commissioning - Test Readiness</t>
        </is>
      </c>
      <c r="C1101" s="34" t="inlineStr">
        <is>
          <t>Contractor Programme</t>
        </is>
      </c>
      <c r="D1101" s="34" t="inlineStr">
        <is>
          <t>SCH-05-017</t>
        </is>
      </c>
      <c r="E1101" s="34" t="inlineStr">
        <is>
          <t>West terminal: test procedure readiness review - installation</t>
        </is>
      </c>
      <c r="F1101" s="34" t="inlineStr">
        <is>
          <t>ONE_TO_ONE</t>
        </is>
      </c>
      <c r="G1101" s="34" t="inlineStr">
        <is>
          <t>APPROVED</t>
        </is>
      </c>
      <c r="H1101" s="34" t="inlineStr">
        <is>
          <t>New</t>
        </is>
      </c>
      <c r="I1101" s="34" t="inlineStr">
        <is>
          <t>Source assignment -- not individually reviewed</t>
        </is>
      </c>
      <c r="J1101" s="39" t="inlineStr"/>
      <c r="K1101" s="34" t="inlineStr">
        <is>
          <t>Source assignment</t>
        </is>
      </c>
      <c r="L1101" s="39" t="inlineStr"/>
      <c r="M1101" s="34" t="inlineStr">
        <is>
          <t>Initial</t>
        </is>
      </c>
      <c r="N1101" s="34" t="inlineStr">
        <is>
          <t>Rev 0</t>
        </is>
      </c>
      <c r="O1101" s="34" t="inlineStr">
        <is>
          <t>R737-v1</t>
        </is>
      </c>
      <c r="P1101" s="39" t="inlineStr"/>
      <c r="Q1101" s="14" t="inlineStr"/>
      <c r="R1101" s="39" t="inlineStr"/>
      <c r="S1101" s="39" t="inlineStr"/>
      <c r="T1101" s="39" t="inlineStr"/>
      <c r="U1101" s="39" t="inlineStr"/>
      <c r="V1101" s="34" t="inlineStr">
        <is>
          <t>WBS Code = 1.5.1</t>
        </is>
      </c>
      <c r="W1101" s="14" t="inlineStr"/>
    </row>
    <row r="1102" ht="49" customHeight="1">
      <c r="A1102" s="34" t="inlineStr">
        <is>
          <t>1.5.1</t>
        </is>
      </c>
      <c r="B1102" s="34" t="inlineStr">
        <is>
          <t>Testing and Commissioning - Test Readiness</t>
        </is>
      </c>
      <c r="C1102" s="34" t="inlineStr">
        <is>
          <t>Contractor Programme</t>
        </is>
      </c>
      <c r="D1102" s="34" t="inlineStr">
        <is>
          <t>SCH-05-019</t>
        </is>
      </c>
      <c r="E1102" s="34" t="inlineStr">
        <is>
          <t>Control Centre: defect retest - turnover</t>
        </is>
      </c>
      <c r="F1102" s="34" t="inlineStr">
        <is>
          <t>ONE_TO_ONE</t>
        </is>
      </c>
      <c r="G1102" s="34" t="inlineStr">
        <is>
          <t>APPROVED</t>
        </is>
      </c>
      <c r="H1102" s="34" t="inlineStr">
        <is>
          <t>New</t>
        </is>
      </c>
      <c r="I1102" s="34" t="inlineStr">
        <is>
          <t>Source assignment -- not individually reviewed</t>
        </is>
      </c>
      <c r="J1102" s="39" t="inlineStr"/>
      <c r="K1102" s="34" t="inlineStr">
        <is>
          <t>Source assignment</t>
        </is>
      </c>
      <c r="L1102" s="39" t="inlineStr"/>
      <c r="M1102" s="34" t="inlineStr">
        <is>
          <t>Initial</t>
        </is>
      </c>
      <c r="N1102" s="34" t="inlineStr">
        <is>
          <t>Rev 0</t>
        </is>
      </c>
      <c r="O1102" s="34" t="inlineStr">
        <is>
          <t>R739-v1</t>
        </is>
      </c>
      <c r="P1102" s="39" t="inlineStr"/>
      <c r="Q1102" s="14" t="inlineStr"/>
      <c r="R1102" s="39" t="inlineStr"/>
      <c r="S1102" s="39" t="inlineStr"/>
      <c r="T1102" s="39" t="inlineStr"/>
      <c r="U1102" s="39" t="inlineStr"/>
      <c r="V1102" s="34" t="inlineStr">
        <is>
          <t>WBS Code = 1.5.1</t>
        </is>
      </c>
      <c r="W1102" s="14" t="inlineStr"/>
    </row>
    <row r="1103" ht="49" customHeight="1">
      <c r="A1103" s="34" t="inlineStr">
        <is>
          <t>1.5.1</t>
        </is>
      </c>
      <c r="B1103" s="34" t="inlineStr">
        <is>
          <t>Testing and Commissioning - Test Readiness</t>
        </is>
      </c>
      <c r="C1103" s="34" t="inlineStr">
        <is>
          <t>Contractor Programme</t>
        </is>
      </c>
      <c r="D1103" s="34" t="inlineStr">
        <is>
          <t>SCH-05-020</t>
        </is>
      </c>
      <c r="E1103" s="34" t="inlineStr">
        <is>
          <t>Mainline east: mainline dynamic test - release</t>
        </is>
      </c>
      <c r="F1103" s="34" t="inlineStr">
        <is>
          <t>ONE_TO_ONE</t>
        </is>
      </c>
      <c r="G1103" s="34" t="inlineStr">
        <is>
          <t>APPROVED</t>
        </is>
      </c>
      <c r="H1103" s="34" t="inlineStr">
        <is>
          <t>New</t>
        </is>
      </c>
      <c r="I1103" s="34" t="inlineStr">
        <is>
          <t>Source assignment -- not individually reviewed</t>
        </is>
      </c>
      <c r="J1103" s="39" t="inlineStr"/>
      <c r="K1103" s="34" t="inlineStr">
        <is>
          <t>Source assignment</t>
        </is>
      </c>
      <c r="L1103" s="39" t="inlineStr"/>
      <c r="M1103" s="34" t="inlineStr">
        <is>
          <t>Initial</t>
        </is>
      </c>
      <c r="N1103" s="34" t="inlineStr">
        <is>
          <t>Rev 0</t>
        </is>
      </c>
      <c r="O1103" s="34" t="inlineStr">
        <is>
          <t>R740-v1</t>
        </is>
      </c>
      <c r="P1103" s="39" t="inlineStr"/>
      <c r="Q1103" s="14" t="inlineStr"/>
      <c r="R1103" s="39" t="inlineStr"/>
      <c r="S1103" s="39" t="inlineStr"/>
      <c r="T1103" s="39" t="inlineStr"/>
      <c r="U1103" s="39" t="inlineStr"/>
      <c r="V1103" s="34" t="inlineStr">
        <is>
          <t>WBS Code = 1.5.1</t>
        </is>
      </c>
      <c r="W1103" s="14" t="inlineStr"/>
    </row>
    <row r="1104" ht="49" customHeight="1">
      <c r="A1104" s="34" t="inlineStr">
        <is>
          <t>1.5.1</t>
        </is>
      </c>
      <c r="B1104" s="34" t="inlineStr">
        <is>
          <t>Testing and Commissioning - Test Readiness</t>
        </is>
      </c>
      <c r="C1104" s="34" t="inlineStr">
        <is>
          <t>Contractor Programme</t>
        </is>
      </c>
      <c r="D1104" s="34" t="inlineStr">
        <is>
          <t>SCH-05-022</t>
        </is>
      </c>
      <c r="E1104" s="34" t="inlineStr">
        <is>
          <t>West terminal: service-readiness review - installation</t>
        </is>
      </c>
      <c r="F1104" s="34" t="inlineStr">
        <is>
          <t>ONE_TO_ONE</t>
        </is>
      </c>
      <c r="G1104" s="34" t="inlineStr">
        <is>
          <t>APPROVED</t>
        </is>
      </c>
      <c r="H1104" s="34" t="inlineStr">
        <is>
          <t>New</t>
        </is>
      </c>
      <c r="I1104" s="34" t="inlineStr">
        <is>
          <t>Source assignment -- not individually reviewed</t>
        </is>
      </c>
      <c r="J1104" s="39" t="inlineStr"/>
      <c r="K1104" s="34" t="inlineStr">
        <is>
          <t>Source assignment</t>
        </is>
      </c>
      <c r="L1104" s="39" t="inlineStr"/>
      <c r="M1104" s="34" t="inlineStr">
        <is>
          <t>Initial</t>
        </is>
      </c>
      <c r="N1104" s="34" t="inlineStr">
        <is>
          <t>Rev 0</t>
        </is>
      </c>
      <c r="O1104" s="34" t="inlineStr">
        <is>
          <t>R742-v1</t>
        </is>
      </c>
      <c r="P1104" s="39" t="inlineStr"/>
      <c r="Q1104" s="14" t="inlineStr"/>
      <c r="R1104" s="39" t="inlineStr"/>
      <c r="S1104" s="39" t="inlineStr"/>
      <c r="T1104" s="39" t="inlineStr"/>
      <c r="U1104" s="39" t="inlineStr"/>
      <c r="V1104" s="34" t="inlineStr">
        <is>
          <t>WBS Code = 1.5.1</t>
        </is>
      </c>
      <c r="W1104" s="14" t="inlineStr"/>
    </row>
    <row r="1105" ht="49" customHeight="1">
      <c r="A1105" s="34" t="inlineStr">
        <is>
          <t>1.5.1</t>
        </is>
      </c>
      <c r="B1105" s="34" t="inlineStr">
        <is>
          <t>Testing and Commissioning - Test Readiness</t>
        </is>
      </c>
      <c r="C1105" s="34" t="inlineStr">
        <is>
          <t>Contractor Programme</t>
        </is>
      </c>
      <c r="D1105" s="34" t="inlineStr">
        <is>
          <t>SCH-05-023</t>
        </is>
      </c>
      <c r="E1105" s="34" t="inlineStr">
        <is>
          <t>Depot: station integrated test - inspection</t>
        </is>
      </c>
      <c r="F1105" s="34" t="inlineStr">
        <is>
          <t>ONE_TO_ONE</t>
        </is>
      </c>
      <c r="G1105" s="34" t="inlineStr">
        <is>
          <t>APPROVED</t>
        </is>
      </c>
      <c r="H1105" s="34" t="inlineStr">
        <is>
          <t>New</t>
        </is>
      </c>
      <c r="I1105" s="34" t="inlineStr">
        <is>
          <t>Source assignment -- not individually reviewed</t>
        </is>
      </c>
      <c r="J1105" s="39" t="inlineStr"/>
      <c r="K1105" s="34" t="inlineStr">
        <is>
          <t>Source assignment</t>
        </is>
      </c>
      <c r="L1105" s="39" t="inlineStr"/>
      <c r="M1105" s="34" t="inlineStr">
        <is>
          <t>Initial</t>
        </is>
      </c>
      <c r="N1105" s="34" t="inlineStr">
        <is>
          <t>Rev 0</t>
        </is>
      </c>
      <c r="O1105" s="34" t="inlineStr">
        <is>
          <t>R743-v1</t>
        </is>
      </c>
      <c r="P1105" s="39" t="inlineStr"/>
      <c r="Q1105" s="14" t="inlineStr"/>
      <c r="R1105" s="39" t="inlineStr"/>
      <c r="S1105" s="39" t="inlineStr"/>
      <c r="T1105" s="39" t="inlineStr"/>
      <c r="U1105" s="39" t="inlineStr"/>
      <c r="V1105" s="34" t="inlineStr">
        <is>
          <t>WBS Code = 1.5.1</t>
        </is>
      </c>
      <c r="W1105" s="14" t="inlineStr"/>
    </row>
    <row r="1106" ht="49" customHeight="1">
      <c r="A1106" s="34" t="inlineStr">
        <is>
          <t>1.5.1</t>
        </is>
      </c>
      <c r="B1106" s="34" t="inlineStr">
        <is>
          <t>Testing and Commissioning - Test Readiness</t>
        </is>
      </c>
      <c r="C1106" s="34" t="inlineStr">
        <is>
          <t>Contractor Programme</t>
        </is>
      </c>
      <c r="D1106" s="34" t="inlineStr">
        <is>
          <t>SCH-05-025</t>
        </is>
      </c>
      <c r="E1106" s="34" t="inlineStr">
        <is>
          <t>Mainline east: test procedure readiness review - release</t>
        </is>
      </c>
      <c r="F1106" s="34" t="inlineStr">
        <is>
          <t>ONE_TO_ONE</t>
        </is>
      </c>
      <c r="G1106" s="34" t="inlineStr">
        <is>
          <t>APPROVED</t>
        </is>
      </c>
      <c r="H1106" s="34" t="inlineStr">
        <is>
          <t>New</t>
        </is>
      </c>
      <c r="I1106" s="34" t="inlineStr">
        <is>
          <t>Source assignment -- not individually reviewed</t>
        </is>
      </c>
      <c r="J1106" s="39" t="inlineStr"/>
      <c r="K1106" s="34" t="inlineStr">
        <is>
          <t>Source assignment</t>
        </is>
      </c>
      <c r="L1106" s="39" t="inlineStr"/>
      <c r="M1106" s="34" t="inlineStr">
        <is>
          <t>Initial</t>
        </is>
      </c>
      <c r="N1106" s="34" t="inlineStr">
        <is>
          <t>Rev 0</t>
        </is>
      </c>
      <c r="O1106" s="34" t="inlineStr">
        <is>
          <t>R745-v1</t>
        </is>
      </c>
      <c r="P1106" s="39" t="inlineStr"/>
      <c r="Q1106" s="14" t="inlineStr"/>
      <c r="R1106" s="39" t="inlineStr"/>
      <c r="S1106" s="39" t="inlineStr"/>
      <c r="T1106" s="39" t="inlineStr"/>
      <c r="U1106" s="39" t="inlineStr"/>
      <c r="V1106" s="34" t="inlineStr">
        <is>
          <t>WBS Code = 1.5.1</t>
        </is>
      </c>
      <c r="W1106" s="14" t="inlineStr"/>
    </row>
    <row r="1107" ht="49" customHeight="1">
      <c r="A1107" s="34" t="inlineStr">
        <is>
          <t>1.5.1</t>
        </is>
      </c>
      <c r="B1107" s="34" t="inlineStr">
        <is>
          <t>Testing and Commissioning - Test Readiness</t>
        </is>
      </c>
      <c r="C1107" s="34" t="inlineStr">
        <is>
          <t>Contractor Programme</t>
        </is>
      </c>
      <c r="D1107" s="34" t="inlineStr">
        <is>
          <t>SCH-05-026</t>
        </is>
      </c>
      <c r="E1107" s="34" t="inlineStr">
        <is>
          <t>Central section: emergency-response drill - field start</t>
        </is>
      </c>
      <c r="F1107" s="34" t="inlineStr">
        <is>
          <t>ONE_TO_ONE</t>
        </is>
      </c>
      <c r="G1107" s="34" t="inlineStr">
        <is>
          <t>APPROVED</t>
        </is>
      </c>
      <c r="H1107" s="34" t="inlineStr">
        <is>
          <t>New</t>
        </is>
      </c>
      <c r="I1107" s="34" t="inlineStr">
        <is>
          <t>Source assignment -- not individually reviewed</t>
        </is>
      </c>
      <c r="J1107" s="39" t="inlineStr"/>
      <c r="K1107" s="34" t="inlineStr">
        <is>
          <t>Source assignment</t>
        </is>
      </c>
      <c r="L1107" s="39" t="inlineStr"/>
      <c r="M1107" s="34" t="inlineStr">
        <is>
          <t>Initial</t>
        </is>
      </c>
      <c r="N1107" s="34" t="inlineStr">
        <is>
          <t>Rev 0</t>
        </is>
      </c>
      <c r="O1107" s="34" t="inlineStr">
        <is>
          <t>R746-v1</t>
        </is>
      </c>
      <c r="P1107" s="39" t="inlineStr"/>
      <c r="Q1107" s="14" t="inlineStr"/>
      <c r="R1107" s="39" t="inlineStr"/>
      <c r="S1107" s="39" t="inlineStr"/>
      <c r="T1107" s="39" t="inlineStr"/>
      <c r="U1107" s="39" t="inlineStr"/>
      <c r="V1107" s="34" t="inlineStr">
        <is>
          <t>WBS Code = 1.5.1</t>
        </is>
      </c>
      <c r="W1107" s="14" t="inlineStr"/>
    </row>
    <row r="1108" ht="49" customHeight="1">
      <c r="A1108" s="34" t="inlineStr">
        <is>
          <t>1.5.1</t>
        </is>
      </c>
      <c r="B1108" s="34" t="inlineStr">
        <is>
          <t>Testing and Commissioning - Test Readiness</t>
        </is>
      </c>
      <c r="C1108" s="34" t="inlineStr">
        <is>
          <t>Contractor Programme</t>
        </is>
      </c>
      <c r="D1108" s="34" t="inlineStr">
        <is>
          <t>SCH-05-028</t>
        </is>
      </c>
      <c r="E1108" s="34" t="inlineStr">
        <is>
          <t>Depot: mainline dynamic test - inspection</t>
        </is>
      </c>
      <c r="F1108" s="34" t="inlineStr">
        <is>
          <t>ONE_TO_ONE</t>
        </is>
      </c>
      <c r="G1108" s="34" t="inlineStr">
        <is>
          <t>APPROVED</t>
        </is>
      </c>
      <c r="H1108" s="34" t="inlineStr">
        <is>
          <t>New</t>
        </is>
      </c>
      <c r="I1108" s="34" t="inlineStr">
        <is>
          <t>Source assignment -- not individually reviewed</t>
        </is>
      </c>
      <c r="J1108" s="39" t="inlineStr"/>
      <c r="K1108" s="34" t="inlineStr">
        <is>
          <t>Source assignment</t>
        </is>
      </c>
      <c r="L1108" s="39" t="inlineStr"/>
      <c r="M1108" s="34" t="inlineStr">
        <is>
          <t>Initial</t>
        </is>
      </c>
      <c r="N1108" s="34" t="inlineStr">
        <is>
          <t>Rev 0</t>
        </is>
      </c>
      <c r="O1108" s="34" t="inlineStr">
        <is>
          <t>R748-v1</t>
        </is>
      </c>
      <c r="P1108" s="39" t="inlineStr"/>
      <c r="Q1108" s="14" t="inlineStr"/>
      <c r="R1108" s="39" t="inlineStr"/>
      <c r="S1108" s="39" t="inlineStr"/>
      <c r="T1108" s="39" t="inlineStr"/>
      <c r="U1108" s="39" t="inlineStr"/>
      <c r="V1108" s="34" t="inlineStr">
        <is>
          <t>WBS Code = 1.5.1</t>
        </is>
      </c>
      <c r="W1108" s="14" t="inlineStr"/>
    </row>
    <row r="1109" ht="49" customHeight="1">
      <c r="A1109" s="34" t="inlineStr">
        <is>
          <t>1.5.1</t>
        </is>
      </c>
      <c r="B1109" s="34" t="inlineStr">
        <is>
          <t>Testing and Commissioning - Test Readiness</t>
        </is>
      </c>
      <c r="C1109" s="34" t="inlineStr">
        <is>
          <t>Contractor Programme</t>
        </is>
      </c>
      <c r="D1109" s="34" t="inlineStr">
        <is>
          <t>SCH-05-029</t>
        </is>
      </c>
      <c r="E1109" s="34" t="inlineStr">
        <is>
          <t>Control Centre: safety certificate evidence closeout - turnover</t>
        </is>
      </c>
      <c r="F1109" s="34" t="inlineStr">
        <is>
          <t>ONE_TO_ONE</t>
        </is>
      </c>
      <c r="G1109" s="34" t="inlineStr">
        <is>
          <t>APPROVED</t>
        </is>
      </c>
      <c r="H1109" s="34" t="inlineStr">
        <is>
          <t>New</t>
        </is>
      </c>
      <c r="I1109" s="34" t="inlineStr">
        <is>
          <t>Source assignment -- not individually reviewed</t>
        </is>
      </c>
      <c r="J1109" s="39" t="inlineStr"/>
      <c r="K1109" s="34" t="inlineStr">
        <is>
          <t>Source assignment</t>
        </is>
      </c>
      <c r="L1109" s="39" t="inlineStr"/>
      <c r="M1109" s="34" t="inlineStr">
        <is>
          <t>Initial</t>
        </is>
      </c>
      <c r="N1109" s="34" t="inlineStr">
        <is>
          <t>Rev 0</t>
        </is>
      </c>
      <c r="O1109" s="34" t="inlineStr">
        <is>
          <t>R749-v1</t>
        </is>
      </c>
      <c r="P1109" s="39" t="inlineStr"/>
      <c r="Q1109" s="14" t="inlineStr"/>
      <c r="R1109" s="39" t="inlineStr"/>
      <c r="S1109" s="39" t="inlineStr"/>
      <c r="T1109" s="39" t="inlineStr"/>
      <c r="U1109" s="39" t="inlineStr"/>
      <c r="V1109" s="34" t="inlineStr">
        <is>
          <t>WBS Code = 1.5.1</t>
        </is>
      </c>
      <c r="W1109" s="14" t="inlineStr"/>
    </row>
    <row r="1110" ht="49" customHeight="1">
      <c r="A1110" s="34" t="inlineStr">
        <is>
          <t>1.5.1</t>
        </is>
      </c>
      <c r="B1110" s="34" t="inlineStr">
        <is>
          <t>Testing and Commissioning - Test Readiness</t>
        </is>
      </c>
      <c r="C1110" s="34" t="inlineStr">
        <is>
          <t>Contractor Programme</t>
        </is>
      </c>
      <c r="D1110" s="34" t="inlineStr">
        <is>
          <t>SCH-05-031</t>
        </is>
      </c>
      <c r="E1110" s="34" t="inlineStr">
        <is>
          <t>Central section: station integrated test - field start</t>
        </is>
      </c>
      <c r="F1110" s="34" t="inlineStr">
        <is>
          <t>ONE_TO_ONE</t>
        </is>
      </c>
      <c r="G1110" s="34" t="inlineStr">
        <is>
          <t>APPROVED</t>
        </is>
      </c>
      <c r="H1110" s="34" t="inlineStr">
        <is>
          <t>New</t>
        </is>
      </c>
      <c r="I1110" s="34" t="inlineStr">
        <is>
          <t>Source assignment -- not individually reviewed</t>
        </is>
      </c>
      <c r="J1110" s="39" t="inlineStr"/>
      <c r="K1110" s="34" t="inlineStr">
        <is>
          <t>Source assignment</t>
        </is>
      </c>
      <c r="L1110" s="39" t="inlineStr"/>
      <c r="M1110" s="34" t="inlineStr">
        <is>
          <t>Initial</t>
        </is>
      </c>
      <c r="N1110" s="34" t="inlineStr">
        <is>
          <t>Rev 0</t>
        </is>
      </c>
      <c r="O1110" s="34" t="inlineStr">
        <is>
          <t>R751-v1</t>
        </is>
      </c>
      <c r="P1110" s="39" t="inlineStr"/>
      <c r="Q1110" s="14" t="inlineStr"/>
      <c r="R1110" s="39" t="inlineStr"/>
      <c r="S1110" s="39" t="inlineStr"/>
      <c r="T1110" s="39" t="inlineStr"/>
      <c r="U1110" s="39" t="inlineStr"/>
      <c r="V1110" s="34" t="inlineStr">
        <is>
          <t>WBS Code = 1.5.1</t>
        </is>
      </c>
      <c r="W1110" s="14" t="inlineStr"/>
    </row>
    <row r="1111" ht="49" customHeight="1">
      <c r="A1111" s="34" t="inlineStr">
        <is>
          <t>1.5.1</t>
        </is>
      </c>
      <c r="B1111" s="34" t="inlineStr">
        <is>
          <t>Testing and Commissioning - Test Readiness</t>
        </is>
      </c>
      <c r="C1111" s="34" t="inlineStr">
        <is>
          <t>Contractor Programme</t>
        </is>
      </c>
      <c r="D1111" s="34" t="inlineStr">
        <is>
          <t>SCH-05-032</t>
        </is>
      </c>
      <c r="E1111" s="34" t="inlineStr">
        <is>
          <t>West terminal: trial-running shift - installation</t>
        </is>
      </c>
      <c r="F1111" s="34" t="inlineStr">
        <is>
          <t>ONE_TO_ONE</t>
        </is>
      </c>
      <c r="G1111" s="34" t="inlineStr">
        <is>
          <t>APPROVED</t>
        </is>
      </c>
      <c r="H1111" s="34" t="inlineStr">
        <is>
          <t>New</t>
        </is>
      </c>
      <c r="I1111" s="34" t="inlineStr">
        <is>
          <t>Source assignment -- not individually reviewed</t>
        </is>
      </c>
      <c r="J1111" s="39" t="inlineStr"/>
      <c r="K1111" s="34" t="inlineStr">
        <is>
          <t>Source assignment</t>
        </is>
      </c>
      <c r="L1111" s="39" t="inlineStr"/>
      <c r="M1111" s="34" t="inlineStr">
        <is>
          <t>Initial</t>
        </is>
      </c>
      <c r="N1111" s="34" t="inlineStr">
        <is>
          <t>Rev 0</t>
        </is>
      </c>
      <c r="O1111" s="34" t="inlineStr">
        <is>
          <t>R752-v1</t>
        </is>
      </c>
      <c r="P1111" s="39" t="inlineStr"/>
      <c r="Q1111" s="14" t="inlineStr"/>
      <c r="R1111" s="39" t="inlineStr"/>
      <c r="S1111" s="39" t="inlineStr"/>
      <c r="T1111" s="39" t="inlineStr"/>
      <c r="U1111" s="39" t="inlineStr"/>
      <c r="V1111" s="34" t="inlineStr">
        <is>
          <t>WBS Code = 1.5.1</t>
        </is>
      </c>
      <c r="W1111" s="14" t="inlineStr"/>
    </row>
    <row r="1112" ht="49" customHeight="1">
      <c r="A1112" s="34" t="inlineStr">
        <is>
          <t>1.5.1</t>
        </is>
      </c>
      <c r="B1112" s="34" t="inlineStr">
        <is>
          <t>Testing and Commissioning - Test Readiness</t>
        </is>
      </c>
      <c r="C1112" s="34" t="inlineStr">
        <is>
          <t>Contractor Programme</t>
        </is>
      </c>
      <c r="D1112" s="34" t="inlineStr">
        <is>
          <t>SCH-05-034</t>
        </is>
      </c>
      <c r="E1112" s="34" t="inlineStr">
        <is>
          <t>Control Centre: emergency-response drill - turnover</t>
        </is>
      </c>
      <c r="F1112" s="34" t="inlineStr">
        <is>
          <t>ONE_TO_ONE</t>
        </is>
      </c>
      <c r="G1112" s="34" t="inlineStr">
        <is>
          <t>APPROVED</t>
        </is>
      </c>
      <c r="H1112" s="34" t="inlineStr">
        <is>
          <t>New</t>
        </is>
      </c>
      <c r="I1112" s="34" t="inlineStr">
        <is>
          <t>Source assignment -- not individually reviewed</t>
        </is>
      </c>
      <c r="J1112" s="39" t="inlineStr"/>
      <c r="K1112" s="34" t="inlineStr">
        <is>
          <t>Source assignment</t>
        </is>
      </c>
      <c r="L1112" s="39" t="inlineStr"/>
      <c r="M1112" s="34" t="inlineStr">
        <is>
          <t>Initial</t>
        </is>
      </c>
      <c r="N1112" s="34" t="inlineStr">
        <is>
          <t>Rev 0</t>
        </is>
      </c>
      <c r="O1112" s="34" t="inlineStr">
        <is>
          <t>R754-v1</t>
        </is>
      </c>
      <c r="P1112" s="39" t="inlineStr"/>
      <c r="Q1112" s="14" t="inlineStr"/>
      <c r="R1112" s="39" t="inlineStr"/>
      <c r="S1112" s="39" t="inlineStr"/>
      <c r="T1112" s="39" t="inlineStr"/>
      <c r="U1112" s="39" t="inlineStr"/>
      <c r="V1112" s="34" t="inlineStr">
        <is>
          <t>WBS Code = 1.5.1</t>
        </is>
      </c>
      <c r="W1112" s="14" t="inlineStr"/>
    </row>
    <row r="1113" ht="49" customHeight="1">
      <c r="A1113" s="34" t="inlineStr">
        <is>
          <t>1.5.1</t>
        </is>
      </c>
      <c r="B1113" s="34" t="inlineStr">
        <is>
          <t>Testing and Commissioning - Test Readiness</t>
        </is>
      </c>
      <c r="C1113" s="34" t="inlineStr">
        <is>
          <t>Contractor Programme</t>
        </is>
      </c>
      <c r="D1113" s="34" t="inlineStr">
        <is>
          <t>SCH-05-035</t>
        </is>
      </c>
      <c r="E1113" s="34" t="inlineStr">
        <is>
          <t>Mainline east: defect retest - release</t>
        </is>
      </c>
      <c r="F1113" s="34" t="inlineStr">
        <is>
          <t>ONE_TO_ONE</t>
        </is>
      </c>
      <c r="G1113" s="34" t="inlineStr">
        <is>
          <t>APPROVED</t>
        </is>
      </c>
      <c r="H1113" s="34" t="inlineStr">
        <is>
          <t>New</t>
        </is>
      </c>
      <c r="I1113" s="34" t="inlineStr">
        <is>
          <t>Source assignment -- not individually reviewed</t>
        </is>
      </c>
      <c r="J1113" s="39" t="inlineStr"/>
      <c r="K1113" s="34" t="inlineStr">
        <is>
          <t>Source assignment</t>
        </is>
      </c>
      <c r="L1113" s="39" t="inlineStr"/>
      <c r="M1113" s="34" t="inlineStr">
        <is>
          <t>Initial</t>
        </is>
      </c>
      <c r="N1113" s="34" t="inlineStr">
        <is>
          <t>Rev 0</t>
        </is>
      </c>
      <c r="O1113" s="34" t="inlineStr">
        <is>
          <t>R755-v1</t>
        </is>
      </c>
      <c r="P1113" s="39" t="inlineStr"/>
      <c r="Q1113" s="14" t="inlineStr"/>
      <c r="R1113" s="39" t="inlineStr"/>
      <c r="S1113" s="39" t="inlineStr"/>
      <c r="T1113" s="39" t="inlineStr"/>
      <c r="U1113" s="39" t="inlineStr"/>
      <c r="V1113" s="34" t="inlineStr">
        <is>
          <t>WBS Code = 1.5.1</t>
        </is>
      </c>
      <c r="W1113" s="14" t="inlineStr"/>
    </row>
    <row r="1114" ht="49" customHeight="1">
      <c r="A1114" s="34" t="inlineStr">
        <is>
          <t>1.5.1</t>
        </is>
      </c>
      <c r="B1114" s="34" t="inlineStr">
        <is>
          <t>Testing and Commissioning - Test Readiness</t>
        </is>
      </c>
      <c r="C1114" s="34" t="inlineStr">
        <is>
          <t>Contractor Programme</t>
        </is>
      </c>
      <c r="D1114" s="34" t="inlineStr">
        <is>
          <t>SCH-05-037</t>
        </is>
      </c>
      <c r="E1114" s="34" t="inlineStr">
        <is>
          <t>West terminal: safety certificate evidence closeout - installation</t>
        </is>
      </c>
      <c r="F1114" s="34" t="inlineStr">
        <is>
          <t>ONE_TO_ONE</t>
        </is>
      </c>
      <c r="G1114" s="34" t="inlineStr">
        <is>
          <t>APPROVED</t>
        </is>
      </c>
      <c r="H1114" s="34" t="inlineStr">
        <is>
          <t>New</t>
        </is>
      </c>
      <c r="I1114" s="34" t="inlineStr">
        <is>
          <t>Source assignment -- not individually reviewed</t>
        </is>
      </c>
      <c r="J1114" s="39" t="inlineStr"/>
      <c r="K1114" s="34" t="inlineStr">
        <is>
          <t>Source assignment</t>
        </is>
      </c>
      <c r="L1114" s="39" t="inlineStr"/>
      <c r="M1114" s="34" t="inlineStr">
        <is>
          <t>Initial</t>
        </is>
      </c>
      <c r="N1114" s="34" t="inlineStr">
        <is>
          <t>Rev 0</t>
        </is>
      </c>
      <c r="O1114" s="34" t="inlineStr">
        <is>
          <t>R757-v1</t>
        </is>
      </c>
      <c r="P1114" s="39" t="inlineStr"/>
      <c r="Q1114" s="14" t="inlineStr"/>
      <c r="R1114" s="39" t="inlineStr"/>
      <c r="S1114" s="39" t="inlineStr"/>
      <c r="T1114" s="39" t="inlineStr"/>
      <c r="U1114" s="39" t="inlineStr"/>
      <c r="V1114" s="34" t="inlineStr">
        <is>
          <t>WBS Code = 1.5.1</t>
        </is>
      </c>
      <c r="W1114" s="14" t="inlineStr"/>
    </row>
    <row r="1115" ht="49" customHeight="1">
      <c r="A1115" s="34" t="inlineStr">
        <is>
          <t>1.5.1</t>
        </is>
      </c>
      <c r="B1115" s="34" t="inlineStr">
        <is>
          <t>Testing and Commissioning - Test Readiness</t>
        </is>
      </c>
      <c r="C1115" s="34" t="inlineStr">
        <is>
          <t>Contractor Programme</t>
        </is>
      </c>
      <c r="D1115" s="34" t="inlineStr">
        <is>
          <t>SCH-05-038</t>
        </is>
      </c>
      <c r="E1115" s="34" t="inlineStr">
        <is>
          <t>Depot: service-readiness review - inspection</t>
        </is>
      </c>
      <c r="F1115" s="34" t="inlineStr">
        <is>
          <t>ONE_TO_ONE</t>
        </is>
      </c>
      <c r="G1115" s="34" t="inlineStr">
        <is>
          <t>APPROVED</t>
        </is>
      </c>
      <c r="H1115" s="34" t="inlineStr">
        <is>
          <t>New</t>
        </is>
      </c>
      <c r="I1115" s="34" t="inlineStr">
        <is>
          <t>Source assignment -- not individually reviewed</t>
        </is>
      </c>
      <c r="J1115" s="39" t="inlineStr"/>
      <c r="K1115" s="34" t="inlineStr">
        <is>
          <t>Source assignment</t>
        </is>
      </c>
      <c r="L1115" s="39" t="inlineStr"/>
      <c r="M1115" s="34" t="inlineStr">
        <is>
          <t>Initial</t>
        </is>
      </c>
      <c r="N1115" s="34" t="inlineStr">
        <is>
          <t>Rev 0</t>
        </is>
      </c>
      <c r="O1115" s="34" t="inlineStr">
        <is>
          <t>R758-v1</t>
        </is>
      </c>
      <c r="P1115" s="39" t="inlineStr"/>
      <c r="Q1115" s="14" t="inlineStr"/>
      <c r="R1115" s="39" t="inlineStr"/>
      <c r="S1115" s="39" t="inlineStr"/>
      <c r="T1115" s="39" t="inlineStr"/>
      <c r="U1115" s="39" t="inlineStr"/>
      <c r="V1115" s="34" t="inlineStr">
        <is>
          <t>WBS Code = 1.5.1</t>
        </is>
      </c>
      <c r="W1115" s="14" t="inlineStr"/>
    </row>
    <row r="1116" ht="49" customHeight="1">
      <c r="A1116" s="34" t="inlineStr">
        <is>
          <t>1.5.1</t>
        </is>
      </c>
      <c r="B1116" s="34" t="inlineStr">
        <is>
          <t>Testing and Commissioning - Test Readiness</t>
        </is>
      </c>
      <c r="C1116" s="34" t="inlineStr">
        <is>
          <t>Contractor Programme</t>
        </is>
      </c>
      <c r="D1116" s="34" t="inlineStr">
        <is>
          <t>SCH-05-040</t>
        </is>
      </c>
      <c r="E1116" s="34" t="inlineStr">
        <is>
          <t>Mainline east: trial-running shift - release</t>
        </is>
      </c>
      <c r="F1116" s="34" t="inlineStr">
        <is>
          <t>ONE_TO_ONE</t>
        </is>
      </c>
      <c r="G1116" s="34" t="inlineStr">
        <is>
          <t>APPROVED</t>
        </is>
      </c>
      <c r="H1116" s="34" t="inlineStr">
        <is>
          <t>New</t>
        </is>
      </c>
      <c r="I1116" s="34" t="inlineStr">
        <is>
          <t>Source assignment -- not individually reviewed</t>
        </is>
      </c>
      <c r="J1116" s="39" t="inlineStr"/>
      <c r="K1116" s="34" t="inlineStr">
        <is>
          <t>Source assignment</t>
        </is>
      </c>
      <c r="L1116" s="39" t="inlineStr"/>
      <c r="M1116" s="34" t="inlineStr">
        <is>
          <t>Initial</t>
        </is>
      </c>
      <c r="N1116" s="34" t="inlineStr">
        <is>
          <t>Rev 0</t>
        </is>
      </c>
      <c r="O1116" s="34" t="inlineStr">
        <is>
          <t>R760-v1</t>
        </is>
      </c>
      <c r="P1116" s="39" t="inlineStr"/>
      <c r="Q1116" s="14" t="inlineStr"/>
      <c r="R1116" s="39" t="inlineStr"/>
      <c r="S1116" s="39" t="inlineStr"/>
      <c r="T1116" s="39" t="inlineStr"/>
      <c r="U1116" s="39" t="inlineStr"/>
      <c r="V1116" s="34" t="inlineStr">
        <is>
          <t>WBS Code = 1.5.1</t>
        </is>
      </c>
      <c r="W1116" s="14" t="inlineStr"/>
    </row>
    <row r="1117" ht="49" customHeight="1">
      <c r="A1117" s="34" t="inlineStr">
        <is>
          <t>1.5.1</t>
        </is>
      </c>
      <c r="B1117" s="34" t="inlineStr">
        <is>
          <t>Testing and Commissioning - Test Readiness</t>
        </is>
      </c>
      <c r="C1117" s="34" t="inlineStr">
        <is>
          <t>Contractor Programme</t>
        </is>
      </c>
      <c r="D1117" s="34" t="inlineStr">
        <is>
          <t>SCH-05-041</t>
        </is>
      </c>
      <c r="E1117" s="34" t="inlineStr">
        <is>
          <t>Central section: test procedure readiness review - field start</t>
        </is>
      </c>
      <c r="F1117" s="34" t="inlineStr">
        <is>
          <t>ONE_TO_ONE</t>
        </is>
      </c>
      <c r="G1117" s="34" t="inlineStr">
        <is>
          <t>APPROVED</t>
        </is>
      </c>
      <c r="H1117" s="34" t="inlineStr">
        <is>
          <t>New</t>
        </is>
      </c>
      <c r="I1117" s="34" t="inlineStr">
        <is>
          <t>Source assignment -- not individually reviewed</t>
        </is>
      </c>
      <c r="J1117" s="39" t="inlineStr"/>
      <c r="K1117" s="34" t="inlineStr">
        <is>
          <t>Source assignment</t>
        </is>
      </c>
      <c r="L1117" s="39" t="inlineStr"/>
      <c r="M1117" s="34" t="inlineStr">
        <is>
          <t>Initial</t>
        </is>
      </c>
      <c r="N1117" s="34" t="inlineStr">
        <is>
          <t>Rev 0</t>
        </is>
      </c>
      <c r="O1117" s="34" t="inlineStr">
        <is>
          <t>R761-v1</t>
        </is>
      </c>
      <c r="P1117" s="39" t="inlineStr"/>
      <c r="Q1117" s="14" t="inlineStr"/>
      <c r="R1117" s="39" t="inlineStr"/>
      <c r="S1117" s="39" t="inlineStr"/>
      <c r="T1117" s="39" t="inlineStr"/>
      <c r="U1117" s="39" t="inlineStr"/>
      <c r="V1117" s="34" t="inlineStr">
        <is>
          <t>WBS Code = 1.5.1</t>
        </is>
      </c>
      <c r="W1117" s="14" t="inlineStr"/>
    </row>
    <row r="1118" ht="49" customHeight="1">
      <c r="A1118" s="34" t="inlineStr">
        <is>
          <t>1.5.1</t>
        </is>
      </c>
      <c r="B1118" s="34" t="inlineStr">
        <is>
          <t>Testing and Commissioning - Test Readiness</t>
        </is>
      </c>
      <c r="C1118" s="34" t="inlineStr">
        <is>
          <t>Contractor Programme</t>
        </is>
      </c>
      <c r="D1118" s="34" t="inlineStr">
        <is>
          <t>SCH-05-043</t>
        </is>
      </c>
      <c r="E1118" s="34" t="inlineStr">
        <is>
          <t>Depot: defect retest - inspection</t>
        </is>
      </c>
      <c r="F1118" s="34" t="inlineStr">
        <is>
          <t>ONE_TO_ONE</t>
        </is>
      </c>
      <c r="G1118" s="34" t="inlineStr">
        <is>
          <t>APPROVED</t>
        </is>
      </c>
      <c r="H1118" s="34" t="inlineStr">
        <is>
          <t>New</t>
        </is>
      </c>
      <c r="I1118" s="34" t="inlineStr">
        <is>
          <t>Source assignment -- not individually reviewed</t>
        </is>
      </c>
      <c r="J1118" s="39" t="inlineStr"/>
      <c r="K1118" s="34" t="inlineStr">
        <is>
          <t>Source assignment</t>
        </is>
      </c>
      <c r="L1118" s="39" t="inlineStr"/>
      <c r="M1118" s="34" t="inlineStr">
        <is>
          <t>Initial</t>
        </is>
      </c>
      <c r="N1118" s="34" t="inlineStr">
        <is>
          <t>Rev 0</t>
        </is>
      </c>
      <c r="O1118" s="34" t="inlineStr">
        <is>
          <t>R763-v1</t>
        </is>
      </c>
      <c r="P1118" s="39" t="inlineStr"/>
      <c r="Q1118" s="14" t="inlineStr"/>
      <c r="R1118" s="39" t="inlineStr"/>
      <c r="S1118" s="39" t="inlineStr"/>
      <c r="T1118" s="39" t="inlineStr"/>
      <c r="U1118" s="39" t="inlineStr"/>
      <c r="V1118" s="34" t="inlineStr">
        <is>
          <t>WBS Code = 1.5.1</t>
        </is>
      </c>
      <c r="W1118" s="14" t="inlineStr"/>
    </row>
    <row r="1119" ht="49" customHeight="1">
      <c r="A1119" s="34" t="inlineStr">
        <is>
          <t>1.5.1</t>
        </is>
      </c>
      <c r="B1119" s="34" t="inlineStr">
        <is>
          <t>Testing and Commissioning - Test Readiness</t>
        </is>
      </c>
      <c r="C1119" s="34" t="inlineStr">
        <is>
          <t>Contractor Programme</t>
        </is>
      </c>
      <c r="D1119" s="34" t="inlineStr">
        <is>
          <t>SCH-05-044</t>
        </is>
      </c>
      <c r="E1119" s="34" t="inlineStr">
        <is>
          <t>Control Centre: mainline dynamic test - turnover</t>
        </is>
      </c>
      <c r="F1119" s="34" t="inlineStr">
        <is>
          <t>ONE_TO_ONE</t>
        </is>
      </c>
      <c r="G1119" s="34" t="inlineStr">
        <is>
          <t>APPROVED</t>
        </is>
      </c>
      <c r="H1119" s="34" t="inlineStr">
        <is>
          <t>New</t>
        </is>
      </c>
      <c r="I1119" s="34" t="inlineStr">
        <is>
          <t>Source assignment -- not individually reviewed</t>
        </is>
      </c>
      <c r="J1119" s="39" t="inlineStr"/>
      <c r="K1119" s="34" t="inlineStr">
        <is>
          <t>Source assignment</t>
        </is>
      </c>
      <c r="L1119" s="39" t="inlineStr"/>
      <c r="M1119" s="34" t="inlineStr">
        <is>
          <t>Initial</t>
        </is>
      </c>
      <c r="N1119" s="34" t="inlineStr">
        <is>
          <t>Rev 0</t>
        </is>
      </c>
      <c r="O1119" s="34" t="inlineStr">
        <is>
          <t>R764-v1</t>
        </is>
      </c>
      <c r="P1119" s="39" t="inlineStr"/>
      <c r="Q1119" s="14" t="inlineStr"/>
      <c r="R1119" s="39" t="inlineStr"/>
      <c r="S1119" s="39" t="inlineStr"/>
      <c r="T1119" s="39" t="inlineStr"/>
      <c r="U1119" s="39" t="inlineStr"/>
      <c r="V1119" s="34" t="inlineStr">
        <is>
          <t>WBS Code = 1.5.1</t>
        </is>
      </c>
      <c r="W1119" s="14" t="inlineStr"/>
    </row>
    <row r="1120" ht="49" customHeight="1">
      <c r="A1120" s="34" t="inlineStr">
        <is>
          <t>1.5.1</t>
        </is>
      </c>
      <c r="B1120" s="34" t="inlineStr">
        <is>
          <t>Testing and Commissioning - Test Readiness</t>
        </is>
      </c>
      <c r="C1120" s="34" t="inlineStr">
        <is>
          <t>Contractor Programme</t>
        </is>
      </c>
      <c r="D1120" s="34" t="inlineStr">
        <is>
          <t>SCH-05-046</t>
        </is>
      </c>
      <c r="E1120" s="34" t="inlineStr">
        <is>
          <t>Central section: service-readiness review - field start</t>
        </is>
      </c>
      <c r="F1120" s="34" t="inlineStr">
        <is>
          <t>ONE_TO_ONE</t>
        </is>
      </c>
      <c r="G1120" s="34" t="inlineStr">
        <is>
          <t>APPROVED</t>
        </is>
      </c>
      <c r="H1120" s="34" t="inlineStr">
        <is>
          <t>New</t>
        </is>
      </c>
      <c r="I1120" s="34" t="inlineStr">
        <is>
          <t>Source assignment -- not individually reviewed</t>
        </is>
      </c>
      <c r="J1120" s="39" t="inlineStr"/>
      <c r="K1120" s="34" t="inlineStr">
        <is>
          <t>Source assignment</t>
        </is>
      </c>
      <c r="L1120" s="39" t="inlineStr"/>
      <c r="M1120" s="34" t="inlineStr">
        <is>
          <t>Initial</t>
        </is>
      </c>
      <c r="N1120" s="34" t="inlineStr">
        <is>
          <t>Rev 0</t>
        </is>
      </c>
      <c r="O1120" s="34" t="inlineStr">
        <is>
          <t>R766-v1</t>
        </is>
      </c>
      <c r="P1120" s="39" t="inlineStr"/>
      <c r="Q1120" s="14" t="inlineStr"/>
      <c r="R1120" s="39" t="inlineStr"/>
      <c r="S1120" s="39" t="inlineStr"/>
      <c r="T1120" s="39" t="inlineStr"/>
      <c r="U1120" s="39" t="inlineStr"/>
      <c r="V1120" s="34" t="inlineStr">
        <is>
          <t>WBS Code = 1.5.1</t>
        </is>
      </c>
      <c r="W1120" s="14" t="inlineStr"/>
    </row>
    <row r="1121" ht="49" customHeight="1">
      <c r="A1121" s="34" t="inlineStr">
        <is>
          <t>1.5.1</t>
        </is>
      </c>
      <c r="B1121" s="34" t="inlineStr">
        <is>
          <t>Testing and Commissioning - Test Readiness</t>
        </is>
      </c>
      <c r="C1121" s="34" t="inlineStr">
        <is>
          <t>Contractor Programme</t>
        </is>
      </c>
      <c r="D1121" s="34" t="inlineStr">
        <is>
          <t>SCH-05-047</t>
        </is>
      </c>
      <c r="E1121" s="34" t="inlineStr">
        <is>
          <t>West terminal: station integrated test - installation</t>
        </is>
      </c>
      <c r="F1121" s="34" t="inlineStr">
        <is>
          <t>ONE_TO_ONE</t>
        </is>
      </c>
      <c r="G1121" s="34" t="inlineStr">
        <is>
          <t>APPROVED</t>
        </is>
      </c>
      <c r="H1121" s="34" t="inlineStr">
        <is>
          <t>New</t>
        </is>
      </c>
      <c r="I1121" s="34" t="inlineStr">
        <is>
          <t>Source assignment -- not individually reviewed</t>
        </is>
      </c>
      <c r="J1121" s="39" t="inlineStr"/>
      <c r="K1121" s="34" t="inlineStr">
        <is>
          <t>Source assignment</t>
        </is>
      </c>
      <c r="L1121" s="39" t="inlineStr"/>
      <c r="M1121" s="34" t="inlineStr">
        <is>
          <t>Initial</t>
        </is>
      </c>
      <c r="N1121" s="34" t="inlineStr">
        <is>
          <t>Rev 0</t>
        </is>
      </c>
      <c r="O1121" s="34" t="inlineStr">
        <is>
          <t>R767-v1</t>
        </is>
      </c>
      <c r="P1121" s="39" t="inlineStr"/>
      <c r="Q1121" s="14" t="inlineStr"/>
      <c r="R1121" s="39" t="inlineStr"/>
      <c r="S1121" s="39" t="inlineStr"/>
      <c r="T1121" s="39" t="inlineStr"/>
      <c r="U1121" s="39" t="inlineStr"/>
      <c r="V1121" s="34" t="inlineStr">
        <is>
          <t>WBS Code = 1.5.1</t>
        </is>
      </c>
      <c r="W1121" s="14" t="inlineStr"/>
    </row>
    <row r="1122" ht="49" customHeight="1">
      <c r="A1122" s="34" t="inlineStr">
        <is>
          <t>1.5.1</t>
        </is>
      </c>
      <c r="B1122" s="34" t="inlineStr">
        <is>
          <t>Testing and Commissioning - Test Readiness</t>
        </is>
      </c>
      <c r="C1122" s="34" t="inlineStr">
        <is>
          <t>Contractor Programme</t>
        </is>
      </c>
      <c r="D1122" s="34" t="inlineStr">
        <is>
          <t>SCH-05-049</t>
        </is>
      </c>
      <c r="E1122" s="34" t="inlineStr">
        <is>
          <t>Control Centre: test procedure readiness review - turnover</t>
        </is>
      </c>
      <c r="F1122" s="34" t="inlineStr">
        <is>
          <t>ONE_TO_ONE</t>
        </is>
      </c>
      <c r="G1122" s="34" t="inlineStr">
        <is>
          <t>APPROVED</t>
        </is>
      </c>
      <c r="H1122" s="34" t="inlineStr">
        <is>
          <t>New</t>
        </is>
      </c>
      <c r="I1122" s="34" t="inlineStr">
        <is>
          <t>Source assignment -- not individually reviewed</t>
        </is>
      </c>
      <c r="J1122" s="39" t="inlineStr"/>
      <c r="K1122" s="34" t="inlineStr">
        <is>
          <t>Source assignment</t>
        </is>
      </c>
      <c r="L1122" s="39" t="inlineStr"/>
      <c r="M1122" s="34" t="inlineStr">
        <is>
          <t>Initial</t>
        </is>
      </c>
      <c r="N1122" s="34" t="inlineStr">
        <is>
          <t>Rev 0</t>
        </is>
      </c>
      <c r="O1122" s="34" t="inlineStr">
        <is>
          <t>R769-v1</t>
        </is>
      </c>
      <c r="P1122" s="39" t="inlineStr"/>
      <c r="Q1122" s="14" t="inlineStr"/>
      <c r="R1122" s="39" t="inlineStr"/>
      <c r="S1122" s="39" t="inlineStr"/>
      <c r="T1122" s="39" t="inlineStr"/>
      <c r="U1122" s="39" t="inlineStr"/>
      <c r="V1122" s="34" t="inlineStr">
        <is>
          <t>WBS Code = 1.5.1</t>
        </is>
      </c>
      <c r="W1122" s="14" t="inlineStr"/>
    </row>
    <row r="1123" ht="49" customHeight="1">
      <c r="A1123" s="34" t="inlineStr">
        <is>
          <t>1.5.1</t>
        </is>
      </c>
      <c r="B1123" s="34" t="inlineStr">
        <is>
          <t>Testing and Commissioning - Test Readiness</t>
        </is>
      </c>
      <c r="C1123" s="34" t="inlineStr">
        <is>
          <t>Contractor Programme</t>
        </is>
      </c>
      <c r="D1123" s="34" t="inlineStr">
        <is>
          <t>SCH-05-050</t>
        </is>
      </c>
      <c r="E1123" s="34" t="inlineStr">
        <is>
          <t>Mainline east: emergency-response drill - release</t>
        </is>
      </c>
      <c r="F1123" s="34" t="inlineStr">
        <is>
          <t>ONE_TO_ONE</t>
        </is>
      </c>
      <c r="G1123" s="34" t="inlineStr">
        <is>
          <t>APPROVED</t>
        </is>
      </c>
      <c r="H1123" s="34" t="inlineStr">
        <is>
          <t>New</t>
        </is>
      </c>
      <c r="I1123" s="34" t="inlineStr">
        <is>
          <t>Source assignment -- not individually reviewed</t>
        </is>
      </c>
      <c r="J1123" s="39" t="inlineStr"/>
      <c r="K1123" s="34" t="inlineStr">
        <is>
          <t>Source assignment</t>
        </is>
      </c>
      <c r="L1123" s="39" t="inlineStr"/>
      <c r="M1123" s="34" t="inlineStr">
        <is>
          <t>Initial</t>
        </is>
      </c>
      <c r="N1123" s="34" t="inlineStr">
        <is>
          <t>Rev 0</t>
        </is>
      </c>
      <c r="O1123" s="34" t="inlineStr">
        <is>
          <t>R770-v1</t>
        </is>
      </c>
      <c r="P1123" s="39" t="inlineStr"/>
      <c r="Q1123" s="14" t="inlineStr"/>
      <c r="R1123" s="39" t="inlineStr"/>
      <c r="S1123" s="39" t="inlineStr"/>
      <c r="T1123" s="39" t="inlineStr"/>
      <c r="U1123" s="39" t="inlineStr"/>
      <c r="V1123" s="34" t="inlineStr">
        <is>
          <t>WBS Code = 1.5.1</t>
        </is>
      </c>
      <c r="W1123" s="14" t="inlineStr"/>
    </row>
    <row r="1124" ht="49" customHeight="1">
      <c r="A1124" s="34" t="inlineStr">
        <is>
          <t>1.5.1</t>
        </is>
      </c>
      <c r="B1124" s="34" t="inlineStr">
        <is>
          <t>Testing and Commissioning - Test Readiness</t>
        </is>
      </c>
      <c r="C1124" s="34" t="inlineStr">
        <is>
          <t>Contractor Programme</t>
        </is>
      </c>
      <c r="D1124" s="34" t="inlineStr">
        <is>
          <t>SCH-05-052</t>
        </is>
      </c>
      <c r="E1124" s="34" t="inlineStr">
        <is>
          <t>West terminal: mainline dynamic test - installation</t>
        </is>
      </c>
      <c r="F1124" s="34" t="inlineStr">
        <is>
          <t>ONE_TO_ONE</t>
        </is>
      </c>
      <c r="G1124" s="34" t="inlineStr">
        <is>
          <t>APPROVED</t>
        </is>
      </c>
      <c r="H1124" s="34" t="inlineStr">
        <is>
          <t>New</t>
        </is>
      </c>
      <c r="I1124" s="34" t="inlineStr">
        <is>
          <t>Source assignment -- not individually reviewed</t>
        </is>
      </c>
      <c r="J1124" s="39" t="inlineStr"/>
      <c r="K1124" s="34" t="inlineStr">
        <is>
          <t>Source assignment</t>
        </is>
      </c>
      <c r="L1124" s="39" t="inlineStr"/>
      <c r="M1124" s="34" t="inlineStr">
        <is>
          <t>Initial</t>
        </is>
      </c>
      <c r="N1124" s="34" t="inlineStr">
        <is>
          <t>Rev 0</t>
        </is>
      </c>
      <c r="O1124" s="34" t="inlineStr">
        <is>
          <t>R772-v1</t>
        </is>
      </c>
      <c r="P1124" s="39" t="inlineStr"/>
      <c r="Q1124" s="14" t="inlineStr"/>
      <c r="R1124" s="39" t="inlineStr"/>
      <c r="S1124" s="39" t="inlineStr"/>
      <c r="T1124" s="39" t="inlineStr"/>
      <c r="U1124" s="39" t="inlineStr"/>
      <c r="V1124" s="34" t="inlineStr">
        <is>
          <t>WBS Code = 1.5.1</t>
        </is>
      </c>
      <c r="W1124" s="14" t="inlineStr"/>
    </row>
    <row r="1125" ht="49" customHeight="1">
      <c r="A1125" s="34" t="inlineStr">
        <is>
          <t>1.5.1</t>
        </is>
      </c>
      <c r="B1125" s="34" t="inlineStr">
        <is>
          <t>Testing and Commissioning - Test Readiness</t>
        </is>
      </c>
      <c r="C1125" s="34" t="inlineStr">
        <is>
          <t>Contractor Programme</t>
        </is>
      </c>
      <c r="D1125" s="34" t="inlineStr">
        <is>
          <t>SCH-05-053</t>
        </is>
      </c>
      <c r="E1125" s="34" t="inlineStr">
        <is>
          <t>Depot: safety certificate evidence closeout - inspection</t>
        </is>
      </c>
      <c r="F1125" s="34" t="inlineStr">
        <is>
          <t>ONE_TO_ONE</t>
        </is>
      </c>
      <c r="G1125" s="34" t="inlineStr">
        <is>
          <t>APPROVED</t>
        </is>
      </c>
      <c r="H1125" s="34" t="inlineStr">
        <is>
          <t>New</t>
        </is>
      </c>
      <c r="I1125" s="34" t="inlineStr">
        <is>
          <t>Source assignment -- not individually reviewed</t>
        </is>
      </c>
      <c r="J1125" s="39" t="inlineStr"/>
      <c r="K1125" s="34" t="inlineStr">
        <is>
          <t>Source assignment</t>
        </is>
      </c>
      <c r="L1125" s="39" t="inlineStr"/>
      <c r="M1125" s="34" t="inlineStr">
        <is>
          <t>Initial</t>
        </is>
      </c>
      <c r="N1125" s="34" t="inlineStr">
        <is>
          <t>Rev 0</t>
        </is>
      </c>
      <c r="O1125" s="34" t="inlineStr">
        <is>
          <t>R773-v1</t>
        </is>
      </c>
      <c r="P1125" s="39" t="inlineStr"/>
      <c r="Q1125" s="14" t="inlineStr"/>
      <c r="R1125" s="39" t="inlineStr"/>
      <c r="S1125" s="39" t="inlineStr"/>
      <c r="T1125" s="39" t="inlineStr"/>
      <c r="U1125" s="39" t="inlineStr"/>
      <c r="V1125" s="34" t="inlineStr">
        <is>
          <t>WBS Code = 1.5.1</t>
        </is>
      </c>
      <c r="W1125" s="14" t="inlineStr"/>
    </row>
    <row r="1126" ht="49" customHeight="1">
      <c r="A1126" s="34" t="inlineStr">
        <is>
          <t>1.5.1</t>
        </is>
      </c>
      <c r="B1126" s="34" t="inlineStr">
        <is>
          <t>Testing and Commissioning - Test Readiness</t>
        </is>
      </c>
      <c r="C1126" s="34" t="inlineStr">
        <is>
          <t>Contractor Programme</t>
        </is>
      </c>
      <c r="D1126" s="34" t="inlineStr">
        <is>
          <t>SCH-05-055</t>
        </is>
      </c>
      <c r="E1126" s="34" t="inlineStr">
        <is>
          <t>Mainline east: station integrated test - release</t>
        </is>
      </c>
      <c r="F1126" s="34" t="inlineStr">
        <is>
          <t>ONE_TO_ONE</t>
        </is>
      </c>
      <c r="G1126" s="34" t="inlineStr">
        <is>
          <t>APPROVED</t>
        </is>
      </c>
      <c r="H1126" s="34" t="inlineStr">
        <is>
          <t>New</t>
        </is>
      </c>
      <c r="I1126" s="34" t="inlineStr">
        <is>
          <t>Source assignment -- not individually reviewed</t>
        </is>
      </c>
      <c r="J1126" s="39" t="inlineStr"/>
      <c r="K1126" s="34" t="inlineStr">
        <is>
          <t>Source assignment</t>
        </is>
      </c>
      <c r="L1126" s="39" t="inlineStr"/>
      <c r="M1126" s="34" t="inlineStr">
        <is>
          <t>Initial</t>
        </is>
      </c>
      <c r="N1126" s="34" t="inlineStr">
        <is>
          <t>Rev 0</t>
        </is>
      </c>
      <c r="O1126" s="34" t="inlineStr">
        <is>
          <t>R775-v1</t>
        </is>
      </c>
      <c r="P1126" s="39" t="inlineStr"/>
      <c r="Q1126" s="14" t="inlineStr"/>
      <c r="R1126" s="39" t="inlineStr"/>
      <c r="S1126" s="39" t="inlineStr"/>
      <c r="T1126" s="39" t="inlineStr"/>
      <c r="U1126" s="39" t="inlineStr"/>
      <c r="V1126" s="34" t="inlineStr">
        <is>
          <t>WBS Code = 1.5.1</t>
        </is>
      </c>
      <c r="W1126" s="14" t="inlineStr"/>
    </row>
    <row r="1127" ht="49" customHeight="1">
      <c r="A1127" s="34" t="inlineStr">
        <is>
          <t>1.5.1</t>
        </is>
      </c>
      <c r="B1127" s="34" t="inlineStr">
        <is>
          <t>Testing and Commissioning - Test Readiness</t>
        </is>
      </c>
      <c r="C1127" s="34" t="inlineStr">
        <is>
          <t>Contractor Programme</t>
        </is>
      </c>
      <c r="D1127" s="34" t="inlineStr">
        <is>
          <t>SCH-05-056</t>
        </is>
      </c>
      <c r="E1127" s="34" t="inlineStr">
        <is>
          <t>Central section: trial-running shift - field start</t>
        </is>
      </c>
      <c r="F1127" s="34" t="inlineStr">
        <is>
          <t>ONE_TO_ONE</t>
        </is>
      </c>
      <c r="G1127" s="34" t="inlineStr">
        <is>
          <t>APPROVED</t>
        </is>
      </c>
      <c r="H1127" s="34" t="inlineStr">
        <is>
          <t>New</t>
        </is>
      </c>
      <c r="I1127" s="34" t="inlineStr">
        <is>
          <t>Source assignment -- not individually reviewed</t>
        </is>
      </c>
      <c r="J1127" s="39" t="inlineStr"/>
      <c r="K1127" s="34" t="inlineStr">
        <is>
          <t>Source assignment</t>
        </is>
      </c>
      <c r="L1127" s="39" t="inlineStr"/>
      <c r="M1127" s="34" t="inlineStr">
        <is>
          <t>Initial</t>
        </is>
      </c>
      <c r="N1127" s="34" t="inlineStr">
        <is>
          <t>Rev 0</t>
        </is>
      </c>
      <c r="O1127" s="34" t="inlineStr">
        <is>
          <t>R776-v1</t>
        </is>
      </c>
      <c r="P1127" s="39" t="inlineStr"/>
      <c r="Q1127" s="14" t="inlineStr"/>
      <c r="R1127" s="39" t="inlineStr"/>
      <c r="S1127" s="39" t="inlineStr"/>
      <c r="T1127" s="39" t="inlineStr"/>
      <c r="U1127" s="39" t="inlineStr"/>
      <c r="V1127" s="34" t="inlineStr">
        <is>
          <t>WBS Code = 1.5.1</t>
        </is>
      </c>
      <c r="W1127" s="14" t="inlineStr"/>
    </row>
    <row r="1128" ht="49" customHeight="1">
      <c r="A1128" s="34" t="inlineStr">
        <is>
          <t>1.5.1</t>
        </is>
      </c>
      <c r="B1128" s="34" t="inlineStr">
        <is>
          <t>Testing and Commissioning - Test Readiness</t>
        </is>
      </c>
      <c r="C1128" s="34" t="inlineStr">
        <is>
          <t>Contractor Programme</t>
        </is>
      </c>
      <c r="D1128" s="34" t="inlineStr">
        <is>
          <t>SCH-05-058</t>
        </is>
      </c>
      <c r="E1128" s="34" t="inlineStr">
        <is>
          <t>Depot: emergency-response drill - inspection</t>
        </is>
      </c>
      <c r="F1128" s="34" t="inlineStr">
        <is>
          <t>ONE_TO_ONE</t>
        </is>
      </c>
      <c r="G1128" s="34" t="inlineStr">
        <is>
          <t>APPROVED</t>
        </is>
      </c>
      <c r="H1128" s="34" t="inlineStr">
        <is>
          <t>New</t>
        </is>
      </c>
      <c r="I1128" s="34" t="inlineStr">
        <is>
          <t>Source assignment -- not individually reviewed</t>
        </is>
      </c>
      <c r="J1128" s="39" t="inlineStr"/>
      <c r="K1128" s="34" t="inlineStr">
        <is>
          <t>Source assignment</t>
        </is>
      </c>
      <c r="L1128" s="39" t="inlineStr"/>
      <c r="M1128" s="34" t="inlineStr">
        <is>
          <t>Initial</t>
        </is>
      </c>
      <c r="N1128" s="34" t="inlineStr">
        <is>
          <t>Rev 0</t>
        </is>
      </c>
      <c r="O1128" s="34" t="inlineStr">
        <is>
          <t>R778-v1</t>
        </is>
      </c>
      <c r="P1128" s="39" t="inlineStr"/>
      <c r="Q1128" s="14" t="inlineStr"/>
      <c r="R1128" s="39" t="inlineStr"/>
      <c r="S1128" s="39" t="inlineStr"/>
      <c r="T1128" s="39" t="inlineStr"/>
      <c r="U1128" s="39" t="inlineStr"/>
      <c r="V1128" s="34" t="inlineStr">
        <is>
          <t>WBS Code = 1.5.1</t>
        </is>
      </c>
      <c r="W1128" s="14" t="inlineStr"/>
    </row>
    <row r="1129" ht="49" customHeight="1">
      <c r="A1129" s="34" t="inlineStr">
        <is>
          <t>1.5.1</t>
        </is>
      </c>
      <c r="B1129" s="34" t="inlineStr">
        <is>
          <t>Testing and Commissioning - Test Readiness</t>
        </is>
      </c>
      <c r="C1129" s="34" t="inlineStr">
        <is>
          <t>Contractor Programme</t>
        </is>
      </c>
      <c r="D1129" s="34" t="inlineStr">
        <is>
          <t>SCH-05-059</t>
        </is>
      </c>
      <c r="E1129" s="34" t="inlineStr">
        <is>
          <t>Control Centre: defect retest - turnover</t>
        </is>
      </c>
      <c r="F1129" s="34" t="inlineStr">
        <is>
          <t>ONE_TO_ONE</t>
        </is>
      </c>
      <c r="G1129" s="34" t="inlineStr">
        <is>
          <t>APPROVED</t>
        </is>
      </c>
      <c r="H1129" s="34" t="inlineStr">
        <is>
          <t>New</t>
        </is>
      </c>
      <c r="I1129" s="34" t="inlineStr">
        <is>
          <t>Source assignment -- not individually reviewed</t>
        </is>
      </c>
      <c r="J1129" s="39" t="inlineStr"/>
      <c r="K1129" s="34" t="inlineStr">
        <is>
          <t>Source assignment</t>
        </is>
      </c>
      <c r="L1129" s="39" t="inlineStr"/>
      <c r="M1129" s="34" t="inlineStr">
        <is>
          <t>Initial</t>
        </is>
      </c>
      <c r="N1129" s="34" t="inlineStr">
        <is>
          <t>Rev 0</t>
        </is>
      </c>
      <c r="O1129" s="34" t="inlineStr">
        <is>
          <t>R779-v1</t>
        </is>
      </c>
      <c r="P1129" s="39" t="inlineStr"/>
      <c r="Q1129" s="14" t="inlineStr"/>
      <c r="R1129" s="39" t="inlineStr"/>
      <c r="S1129" s="39" t="inlineStr"/>
      <c r="T1129" s="39" t="inlineStr"/>
      <c r="U1129" s="39" t="inlineStr"/>
      <c r="V1129" s="34" t="inlineStr">
        <is>
          <t>WBS Code = 1.5.1</t>
        </is>
      </c>
      <c r="W1129" s="14" t="inlineStr"/>
    </row>
    <row r="1130" ht="49" customHeight="1">
      <c r="A1130" s="34" t="inlineStr">
        <is>
          <t>1.5.1</t>
        </is>
      </c>
      <c r="B1130" s="34" t="inlineStr">
        <is>
          <t>Testing and Commissioning - Test Readiness</t>
        </is>
      </c>
      <c r="C1130" s="34" t="inlineStr">
        <is>
          <t>Contractor Programme</t>
        </is>
      </c>
      <c r="D1130" s="34" t="inlineStr">
        <is>
          <t>SCH-05-061</t>
        </is>
      </c>
      <c r="E1130" s="34" t="inlineStr">
        <is>
          <t>Central section: safety certificate evidence closeout - field start</t>
        </is>
      </c>
      <c r="F1130" s="34" t="inlineStr">
        <is>
          <t>ONE_TO_ONE</t>
        </is>
      </c>
      <c r="G1130" s="34" t="inlineStr">
        <is>
          <t>APPROVED</t>
        </is>
      </c>
      <c r="H1130" s="34" t="inlineStr">
        <is>
          <t>New</t>
        </is>
      </c>
      <c r="I1130" s="34" t="inlineStr">
        <is>
          <t>Source assignment -- not individually reviewed</t>
        </is>
      </c>
      <c r="J1130" s="39" t="inlineStr"/>
      <c r="K1130" s="34" t="inlineStr">
        <is>
          <t>Source assignment</t>
        </is>
      </c>
      <c r="L1130" s="39" t="inlineStr"/>
      <c r="M1130" s="34" t="inlineStr">
        <is>
          <t>Initial</t>
        </is>
      </c>
      <c r="N1130" s="34" t="inlineStr">
        <is>
          <t>Rev 0</t>
        </is>
      </c>
      <c r="O1130" s="34" t="inlineStr">
        <is>
          <t>R781-v1</t>
        </is>
      </c>
      <c r="P1130" s="39" t="inlineStr"/>
      <c r="Q1130" s="14" t="inlineStr"/>
      <c r="R1130" s="39" t="inlineStr"/>
      <c r="S1130" s="39" t="inlineStr"/>
      <c r="T1130" s="39" t="inlineStr"/>
      <c r="U1130" s="39" t="inlineStr"/>
      <c r="V1130" s="34" t="inlineStr">
        <is>
          <t>WBS Code = 1.5.1</t>
        </is>
      </c>
      <c r="W1130" s="14" t="inlineStr"/>
    </row>
    <row r="1131" ht="49" customHeight="1">
      <c r="A1131" s="34" t="inlineStr">
        <is>
          <t>1.5.1</t>
        </is>
      </c>
      <c r="B1131" s="34" t="inlineStr">
        <is>
          <t>Testing and Commissioning - Test Readiness</t>
        </is>
      </c>
      <c r="C1131" s="34" t="inlineStr">
        <is>
          <t>Contractor Programme</t>
        </is>
      </c>
      <c r="D1131" s="34" t="inlineStr">
        <is>
          <t>SCH-05-062</t>
        </is>
      </c>
      <c r="E1131" s="34" t="inlineStr">
        <is>
          <t>West terminal: service-readiness review - installation</t>
        </is>
      </c>
      <c r="F1131" s="34" t="inlineStr">
        <is>
          <t>ONE_TO_ONE</t>
        </is>
      </c>
      <c r="G1131" s="34" t="inlineStr">
        <is>
          <t>APPROVED</t>
        </is>
      </c>
      <c r="H1131" s="34" t="inlineStr">
        <is>
          <t>New</t>
        </is>
      </c>
      <c r="I1131" s="34" t="inlineStr">
        <is>
          <t>Source assignment -- not individually reviewed</t>
        </is>
      </c>
      <c r="J1131" s="39" t="inlineStr"/>
      <c r="K1131" s="34" t="inlineStr">
        <is>
          <t>Source assignment</t>
        </is>
      </c>
      <c r="L1131" s="39" t="inlineStr"/>
      <c r="M1131" s="34" t="inlineStr">
        <is>
          <t>Initial</t>
        </is>
      </c>
      <c r="N1131" s="34" t="inlineStr">
        <is>
          <t>Rev 0</t>
        </is>
      </c>
      <c r="O1131" s="34" t="inlineStr">
        <is>
          <t>R782-v1</t>
        </is>
      </c>
      <c r="P1131" s="39" t="inlineStr"/>
      <c r="Q1131" s="14" t="inlineStr"/>
      <c r="R1131" s="39" t="inlineStr"/>
      <c r="S1131" s="39" t="inlineStr"/>
      <c r="T1131" s="39" t="inlineStr"/>
      <c r="U1131" s="39" t="inlineStr"/>
      <c r="V1131" s="34" t="inlineStr">
        <is>
          <t>WBS Code = 1.5.1</t>
        </is>
      </c>
      <c r="W1131" s="14" t="inlineStr"/>
    </row>
    <row r="1132" ht="49" customHeight="1">
      <c r="A1132" s="34" t="inlineStr">
        <is>
          <t>1.5.1</t>
        </is>
      </c>
      <c r="B1132" s="34" t="inlineStr">
        <is>
          <t>Testing and Commissioning - Test Readiness</t>
        </is>
      </c>
      <c r="C1132" s="34" t="inlineStr">
        <is>
          <t>Contractor Programme</t>
        </is>
      </c>
      <c r="D1132" s="34" t="inlineStr">
        <is>
          <t>SCH-05-064</t>
        </is>
      </c>
      <c r="E1132" s="34" t="inlineStr">
        <is>
          <t>Control Centre: trial-running shift - turnover</t>
        </is>
      </c>
      <c r="F1132" s="34" t="inlineStr">
        <is>
          <t>ONE_TO_ONE</t>
        </is>
      </c>
      <c r="G1132" s="34" t="inlineStr">
        <is>
          <t>APPROVED</t>
        </is>
      </c>
      <c r="H1132" s="34" t="inlineStr">
        <is>
          <t>New</t>
        </is>
      </c>
      <c r="I1132" s="34" t="inlineStr">
        <is>
          <t>Source assignment -- not individually reviewed</t>
        </is>
      </c>
      <c r="J1132" s="39" t="inlineStr"/>
      <c r="K1132" s="34" t="inlineStr">
        <is>
          <t>Source assignment</t>
        </is>
      </c>
      <c r="L1132" s="39" t="inlineStr"/>
      <c r="M1132" s="34" t="inlineStr">
        <is>
          <t>Initial</t>
        </is>
      </c>
      <c r="N1132" s="34" t="inlineStr">
        <is>
          <t>Rev 0</t>
        </is>
      </c>
      <c r="O1132" s="34" t="inlineStr">
        <is>
          <t>R784-v1</t>
        </is>
      </c>
      <c r="P1132" s="39" t="inlineStr"/>
      <c r="Q1132" s="14" t="inlineStr"/>
      <c r="R1132" s="39" t="inlineStr"/>
      <c r="S1132" s="39" t="inlineStr"/>
      <c r="T1132" s="39" t="inlineStr"/>
      <c r="U1132" s="39" t="inlineStr"/>
      <c r="V1132" s="34" t="inlineStr">
        <is>
          <t>WBS Code = 1.5.1</t>
        </is>
      </c>
      <c r="W1132" s="14" t="inlineStr"/>
    </row>
    <row r="1133" ht="49" customHeight="1">
      <c r="A1133" s="34" t="inlineStr">
        <is>
          <t>1.5.1</t>
        </is>
      </c>
      <c r="B1133" s="34" t="inlineStr">
        <is>
          <t>Testing and Commissioning - Test Readiness</t>
        </is>
      </c>
      <c r="C1133" s="34" t="inlineStr">
        <is>
          <t>Contractor Programme</t>
        </is>
      </c>
      <c r="D1133" s="34" t="inlineStr">
        <is>
          <t>SCH-05-065</t>
        </is>
      </c>
      <c r="E1133" s="34" t="inlineStr">
        <is>
          <t>Mainline east: test procedure readiness review - release</t>
        </is>
      </c>
      <c r="F1133" s="34" t="inlineStr">
        <is>
          <t>ONE_TO_ONE</t>
        </is>
      </c>
      <c r="G1133" s="34" t="inlineStr">
        <is>
          <t>APPROVED</t>
        </is>
      </c>
      <c r="H1133" s="34" t="inlineStr">
        <is>
          <t>New</t>
        </is>
      </c>
      <c r="I1133" s="34" t="inlineStr">
        <is>
          <t>Source assignment -- not individually reviewed</t>
        </is>
      </c>
      <c r="J1133" s="39" t="inlineStr"/>
      <c r="K1133" s="34" t="inlineStr">
        <is>
          <t>Source assignment</t>
        </is>
      </c>
      <c r="L1133" s="39" t="inlineStr"/>
      <c r="M1133" s="34" t="inlineStr">
        <is>
          <t>Initial</t>
        </is>
      </c>
      <c r="N1133" s="34" t="inlineStr">
        <is>
          <t>Rev 0</t>
        </is>
      </c>
      <c r="O1133" s="34" t="inlineStr">
        <is>
          <t>R785-v1</t>
        </is>
      </c>
      <c r="P1133" s="39" t="inlineStr"/>
      <c r="Q1133" s="14" t="inlineStr"/>
      <c r="R1133" s="39" t="inlineStr"/>
      <c r="S1133" s="39" t="inlineStr"/>
      <c r="T1133" s="39" t="inlineStr"/>
      <c r="U1133" s="39" t="inlineStr"/>
      <c r="V1133" s="34" t="inlineStr">
        <is>
          <t>WBS Code = 1.5.1</t>
        </is>
      </c>
      <c r="W1133" s="14" t="inlineStr"/>
    </row>
    <row r="1134" ht="49" customHeight="1">
      <c r="A1134" s="34" t="inlineStr">
        <is>
          <t>1.5.1</t>
        </is>
      </c>
      <c r="B1134" s="34" t="inlineStr">
        <is>
          <t>Testing and Commissioning - Test Readiness</t>
        </is>
      </c>
      <c r="C1134" s="34" t="inlineStr">
        <is>
          <t>Contractor Programme</t>
        </is>
      </c>
      <c r="D1134" s="34" t="inlineStr">
        <is>
          <t>SCH-05-067</t>
        </is>
      </c>
      <c r="E1134" s="34" t="inlineStr">
        <is>
          <t>West terminal: defect retest - installation</t>
        </is>
      </c>
      <c r="F1134" s="34" t="inlineStr">
        <is>
          <t>ONE_TO_ONE</t>
        </is>
      </c>
      <c r="G1134" s="34" t="inlineStr">
        <is>
          <t>APPROVED</t>
        </is>
      </c>
      <c r="H1134" s="34" t="inlineStr">
        <is>
          <t>New</t>
        </is>
      </c>
      <c r="I1134" s="34" t="inlineStr">
        <is>
          <t>Source assignment -- not individually reviewed</t>
        </is>
      </c>
      <c r="J1134" s="39" t="inlineStr"/>
      <c r="K1134" s="34" t="inlineStr">
        <is>
          <t>Source assignment</t>
        </is>
      </c>
      <c r="L1134" s="39" t="inlineStr"/>
      <c r="M1134" s="34" t="inlineStr">
        <is>
          <t>Initial</t>
        </is>
      </c>
      <c r="N1134" s="34" t="inlineStr">
        <is>
          <t>Rev 0</t>
        </is>
      </c>
      <c r="O1134" s="34" t="inlineStr">
        <is>
          <t>R787-v1</t>
        </is>
      </c>
      <c r="P1134" s="39" t="inlineStr"/>
      <c r="Q1134" s="14" t="inlineStr"/>
      <c r="R1134" s="39" t="inlineStr"/>
      <c r="S1134" s="39" t="inlineStr"/>
      <c r="T1134" s="39" t="inlineStr"/>
      <c r="U1134" s="39" t="inlineStr"/>
      <c r="V1134" s="34" t="inlineStr">
        <is>
          <t>WBS Code = 1.5.1</t>
        </is>
      </c>
      <c r="W1134" s="14" t="inlineStr"/>
    </row>
    <row r="1135" ht="49" customHeight="1">
      <c r="A1135" s="34" t="inlineStr">
        <is>
          <t>1.5.1</t>
        </is>
      </c>
      <c r="B1135" s="34" t="inlineStr">
        <is>
          <t>Testing and Commissioning - Test Readiness</t>
        </is>
      </c>
      <c r="C1135" s="34" t="inlineStr">
        <is>
          <t>Contractor Programme</t>
        </is>
      </c>
      <c r="D1135" s="34" t="inlineStr">
        <is>
          <t>SCH-05-068</t>
        </is>
      </c>
      <c r="E1135" s="34" t="inlineStr">
        <is>
          <t>Depot: mainline dynamic test - inspection</t>
        </is>
      </c>
      <c r="F1135" s="34" t="inlineStr">
        <is>
          <t>ONE_TO_ONE</t>
        </is>
      </c>
      <c r="G1135" s="34" t="inlineStr">
        <is>
          <t>APPROVED</t>
        </is>
      </c>
      <c r="H1135" s="34" t="inlineStr">
        <is>
          <t>New</t>
        </is>
      </c>
      <c r="I1135" s="34" t="inlineStr">
        <is>
          <t>Source assignment -- not individually reviewed</t>
        </is>
      </c>
      <c r="J1135" s="39" t="inlineStr"/>
      <c r="K1135" s="34" t="inlineStr">
        <is>
          <t>Source assignment</t>
        </is>
      </c>
      <c r="L1135" s="39" t="inlineStr"/>
      <c r="M1135" s="34" t="inlineStr">
        <is>
          <t>Initial</t>
        </is>
      </c>
      <c r="N1135" s="34" t="inlineStr">
        <is>
          <t>Rev 0</t>
        </is>
      </c>
      <c r="O1135" s="34" t="inlineStr">
        <is>
          <t>R788-v1</t>
        </is>
      </c>
      <c r="P1135" s="39" t="inlineStr"/>
      <c r="Q1135" s="14" t="inlineStr"/>
      <c r="R1135" s="39" t="inlineStr"/>
      <c r="S1135" s="39" t="inlineStr"/>
      <c r="T1135" s="39" t="inlineStr"/>
      <c r="U1135" s="39" t="inlineStr"/>
      <c r="V1135" s="34" t="inlineStr">
        <is>
          <t>WBS Code = 1.5.1</t>
        </is>
      </c>
      <c r="W1135" s="14" t="inlineStr"/>
    </row>
    <row r="1136" ht="49" customHeight="1">
      <c r="A1136" s="34" t="inlineStr">
        <is>
          <t>1.5.1</t>
        </is>
      </c>
      <c r="B1136" s="34" t="inlineStr">
        <is>
          <t>Testing and Commissioning - Test Readiness</t>
        </is>
      </c>
      <c r="C1136" s="34" t="inlineStr">
        <is>
          <t>Contractor Programme</t>
        </is>
      </c>
      <c r="D1136" s="34" t="inlineStr">
        <is>
          <t>SCH-05-070</t>
        </is>
      </c>
      <c r="E1136" s="34" t="inlineStr">
        <is>
          <t>Mainline east: service-readiness review - release</t>
        </is>
      </c>
      <c r="F1136" s="34" t="inlineStr">
        <is>
          <t>ONE_TO_ONE</t>
        </is>
      </c>
      <c r="G1136" s="34" t="inlineStr">
        <is>
          <t>APPROVED</t>
        </is>
      </c>
      <c r="H1136" s="34" t="inlineStr">
        <is>
          <t>New</t>
        </is>
      </c>
      <c r="I1136" s="34" t="inlineStr">
        <is>
          <t>Source assignment -- not individually reviewed</t>
        </is>
      </c>
      <c r="J1136" s="39" t="inlineStr"/>
      <c r="K1136" s="34" t="inlineStr">
        <is>
          <t>Source assignment</t>
        </is>
      </c>
      <c r="L1136" s="39" t="inlineStr"/>
      <c r="M1136" s="34" t="inlineStr">
        <is>
          <t>Initial</t>
        </is>
      </c>
      <c r="N1136" s="34" t="inlineStr">
        <is>
          <t>Rev 0</t>
        </is>
      </c>
      <c r="O1136" s="34" t="inlineStr">
        <is>
          <t>R790-v1</t>
        </is>
      </c>
      <c r="P1136" s="39" t="inlineStr"/>
      <c r="Q1136" s="14" t="inlineStr"/>
      <c r="R1136" s="39" t="inlineStr"/>
      <c r="S1136" s="39" t="inlineStr"/>
      <c r="T1136" s="39" t="inlineStr"/>
      <c r="U1136" s="39" t="inlineStr"/>
      <c r="V1136" s="34" t="inlineStr">
        <is>
          <t>WBS Code = 1.5.1</t>
        </is>
      </c>
      <c r="W1136" s="14" t="inlineStr"/>
    </row>
    <row r="1137" ht="49" customHeight="1">
      <c r="A1137" s="34" t="inlineStr">
        <is>
          <t>1.5.1</t>
        </is>
      </c>
      <c r="B1137" s="34" t="inlineStr">
        <is>
          <t>Testing and Commissioning - Test Readiness</t>
        </is>
      </c>
      <c r="C1137" s="34" t="inlineStr">
        <is>
          <t>Contractor Programme</t>
        </is>
      </c>
      <c r="D1137" s="34" t="inlineStr">
        <is>
          <t>SCH-05-071</t>
        </is>
      </c>
      <c r="E1137" s="34" t="inlineStr">
        <is>
          <t>Central section: station integrated test - field start</t>
        </is>
      </c>
      <c r="F1137" s="34" t="inlineStr">
        <is>
          <t>ONE_TO_ONE</t>
        </is>
      </c>
      <c r="G1137" s="34" t="inlineStr">
        <is>
          <t>APPROVED</t>
        </is>
      </c>
      <c r="H1137" s="34" t="inlineStr">
        <is>
          <t>New</t>
        </is>
      </c>
      <c r="I1137" s="34" t="inlineStr">
        <is>
          <t>Source assignment -- not individually reviewed</t>
        </is>
      </c>
      <c r="J1137" s="39" t="inlineStr"/>
      <c r="K1137" s="34" t="inlineStr">
        <is>
          <t>Source assignment</t>
        </is>
      </c>
      <c r="L1137" s="39" t="inlineStr"/>
      <c r="M1137" s="34" t="inlineStr">
        <is>
          <t>Initial</t>
        </is>
      </c>
      <c r="N1137" s="34" t="inlineStr">
        <is>
          <t>Rev 0</t>
        </is>
      </c>
      <c r="O1137" s="34" t="inlineStr">
        <is>
          <t>R791-v1</t>
        </is>
      </c>
      <c r="P1137" s="39" t="inlineStr"/>
      <c r="Q1137" s="14" t="inlineStr"/>
      <c r="R1137" s="39" t="inlineStr"/>
      <c r="S1137" s="39" t="inlineStr"/>
      <c r="T1137" s="39" t="inlineStr"/>
      <c r="U1137" s="39" t="inlineStr"/>
      <c r="V1137" s="34" t="inlineStr">
        <is>
          <t>WBS Code = 1.5.1</t>
        </is>
      </c>
      <c r="W1137" s="14" t="inlineStr"/>
    </row>
    <row r="1138" ht="49" customHeight="1">
      <c r="A1138" s="34" t="inlineStr">
        <is>
          <t>1.5.1</t>
        </is>
      </c>
      <c r="B1138" s="34" t="inlineStr">
        <is>
          <t>Testing and Commissioning - Test Readiness</t>
        </is>
      </c>
      <c r="C1138" s="34" t="inlineStr">
        <is>
          <t>Contractor Programme</t>
        </is>
      </c>
      <c r="D1138" s="34" t="inlineStr">
        <is>
          <t>SCH-05-073</t>
        </is>
      </c>
      <c r="E1138" s="34" t="inlineStr">
        <is>
          <t>Depot: test procedure readiness review - inspection</t>
        </is>
      </c>
      <c r="F1138" s="34" t="inlineStr">
        <is>
          <t>ONE_TO_ONE</t>
        </is>
      </c>
      <c r="G1138" s="34" t="inlineStr">
        <is>
          <t>APPROVED</t>
        </is>
      </c>
      <c r="H1138" s="34" t="inlineStr">
        <is>
          <t>New</t>
        </is>
      </c>
      <c r="I1138" s="34" t="inlineStr">
        <is>
          <t>Source assignment -- not individually reviewed</t>
        </is>
      </c>
      <c r="J1138" s="39" t="inlineStr"/>
      <c r="K1138" s="34" t="inlineStr">
        <is>
          <t>Source assignment</t>
        </is>
      </c>
      <c r="L1138" s="39" t="inlineStr"/>
      <c r="M1138" s="34" t="inlineStr">
        <is>
          <t>Initial</t>
        </is>
      </c>
      <c r="N1138" s="34" t="inlineStr">
        <is>
          <t>Rev 0</t>
        </is>
      </c>
      <c r="O1138" s="34" t="inlineStr">
        <is>
          <t>R793-v1</t>
        </is>
      </c>
      <c r="P1138" s="39" t="inlineStr"/>
      <c r="Q1138" s="14" t="inlineStr"/>
      <c r="R1138" s="39" t="inlineStr"/>
      <c r="S1138" s="39" t="inlineStr"/>
      <c r="T1138" s="39" t="inlineStr"/>
      <c r="U1138" s="39" t="inlineStr"/>
      <c r="V1138" s="34" t="inlineStr">
        <is>
          <t>WBS Code = 1.5.1</t>
        </is>
      </c>
      <c r="W1138" s="14" t="inlineStr"/>
    </row>
    <row r="1139" ht="49" customHeight="1">
      <c r="A1139" s="34" t="inlineStr">
        <is>
          <t>1.5.1</t>
        </is>
      </c>
      <c r="B1139" s="34" t="inlineStr">
        <is>
          <t>Testing and Commissioning - Test Readiness</t>
        </is>
      </c>
      <c r="C1139" s="34" t="inlineStr">
        <is>
          <t>Contractor Programme</t>
        </is>
      </c>
      <c r="D1139" s="34" t="inlineStr">
        <is>
          <t>SCH-05-074</t>
        </is>
      </c>
      <c r="E1139" s="34" t="inlineStr">
        <is>
          <t>Control Centre: emergency-response drill - turnover</t>
        </is>
      </c>
      <c r="F1139" s="34" t="inlineStr">
        <is>
          <t>ONE_TO_ONE</t>
        </is>
      </c>
      <c r="G1139" s="34" t="inlineStr">
        <is>
          <t>APPROVED</t>
        </is>
      </c>
      <c r="H1139" s="34" t="inlineStr">
        <is>
          <t>New</t>
        </is>
      </c>
      <c r="I1139" s="34" t="inlineStr">
        <is>
          <t>Source assignment -- not individually reviewed</t>
        </is>
      </c>
      <c r="J1139" s="39" t="inlineStr"/>
      <c r="K1139" s="34" t="inlineStr">
        <is>
          <t>Source assignment</t>
        </is>
      </c>
      <c r="L1139" s="39" t="inlineStr"/>
      <c r="M1139" s="34" t="inlineStr">
        <is>
          <t>Initial</t>
        </is>
      </c>
      <c r="N1139" s="34" t="inlineStr">
        <is>
          <t>Rev 0</t>
        </is>
      </c>
      <c r="O1139" s="34" t="inlineStr">
        <is>
          <t>R794-v1</t>
        </is>
      </c>
      <c r="P1139" s="39" t="inlineStr"/>
      <c r="Q1139" s="14" t="inlineStr"/>
      <c r="R1139" s="39" t="inlineStr"/>
      <c r="S1139" s="39" t="inlineStr"/>
      <c r="T1139" s="39" t="inlineStr"/>
      <c r="U1139" s="39" t="inlineStr"/>
      <c r="V1139" s="34" t="inlineStr">
        <is>
          <t>WBS Code = 1.5.1</t>
        </is>
      </c>
      <c r="W1139" s="14" t="inlineStr"/>
    </row>
    <row r="1140" ht="49" customHeight="1">
      <c r="A1140" s="34" t="inlineStr">
        <is>
          <t>1.5.1</t>
        </is>
      </c>
      <c r="B1140" s="34" t="inlineStr">
        <is>
          <t>Testing and Commissioning - Test Readiness</t>
        </is>
      </c>
      <c r="C1140" s="34" t="inlineStr">
        <is>
          <t>Contractor Programme</t>
        </is>
      </c>
      <c r="D1140" s="34" t="inlineStr">
        <is>
          <t>SCH-05-076</t>
        </is>
      </c>
      <c r="E1140" s="34" t="inlineStr">
        <is>
          <t>Central section: mainline dynamic test - field start</t>
        </is>
      </c>
      <c r="F1140" s="34" t="inlineStr">
        <is>
          <t>ONE_TO_ONE</t>
        </is>
      </c>
      <c r="G1140" s="34" t="inlineStr">
        <is>
          <t>APPROVED</t>
        </is>
      </c>
      <c r="H1140" s="34" t="inlineStr">
        <is>
          <t>New</t>
        </is>
      </c>
      <c r="I1140" s="34" t="inlineStr">
        <is>
          <t>Source assignment -- not individually reviewed</t>
        </is>
      </c>
      <c r="J1140" s="39" t="inlineStr"/>
      <c r="K1140" s="34" t="inlineStr">
        <is>
          <t>Source assignment</t>
        </is>
      </c>
      <c r="L1140" s="39" t="inlineStr"/>
      <c r="M1140" s="34" t="inlineStr">
        <is>
          <t>Initial</t>
        </is>
      </c>
      <c r="N1140" s="34" t="inlineStr">
        <is>
          <t>Rev 0</t>
        </is>
      </c>
      <c r="O1140" s="34" t="inlineStr">
        <is>
          <t>R796-v1</t>
        </is>
      </c>
      <c r="P1140" s="39" t="inlineStr"/>
      <c r="Q1140" s="14" t="inlineStr"/>
      <c r="R1140" s="39" t="inlineStr"/>
      <c r="S1140" s="39" t="inlineStr"/>
      <c r="T1140" s="39" t="inlineStr"/>
      <c r="U1140" s="39" t="inlineStr"/>
      <c r="V1140" s="34" t="inlineStr">
        <is>
          <t>WBS Code = 1.5.1</t>
        </is>
      </c>
      <c r="W1140" s="14" t="inlineStr"/>
    </row>
    <row r="1141" ht="49" customHeight="1">
      <c r="A1141" s="34" t="inlineStr">
        <is>
          <t>1.5.1</t>
        </is>
      </c>
      <c r="B1141" s="34" t="inlineStr">
        <is>
          <t>Testing and Commissioning - Test Readiness</t>
        </is>
      </c>
      <c r="C1141" s="34" t="inlineStr">
        <is>
          <t>Contractor Programme</t>
        </is>
      </c>
      <c r="D1141" s="34" t="inlineStr">
        <is>
          <t>SCH-05-077</t>
        </is>
      </c>
      <c r="E1141" s="34" t="inlineStr">
        <is>
          <t>West terminal: safety certificate evidence closeout - installation</t>
        </is>
      </c>
      <c r="F1141" s="34" t="inlineStr">
        <is>
          <t>ONE_TO_ONE</t>
        </is>
      </c>
      <c r="G1141" s="34" t="inlineStr">
        <is>
          <t>APPROVED</t>
        </is>
      </c>
      <c r="H1141" s="34" t="inlineStr">
        <is>
          <t>New</t>
        </is>
      </c>
      <c r="I1141" s="34" t="inlineStr">
        <is>
          <t>Source assignment -- not individually reviewed</t>
        </is>
      </c>
      <c r="J1141" s="39" t="inlineStr"/>
      <c r="K1141" s="34" t="inlineStr">
        <is>
          <t>Source assignment</t>
        </is>
      </c>
      <c r="L1141" s="39" t="inlineStr"/>
      <c r="M1141" s="34" t="inlineStr">
        <is>
          <t>Initial</t>
        </is>
      </c>
      <c r="N1141" s="34" t="inlineStr">
        <is>
          <t>Rev 0</t>
        </is>
      </c>
      <c r="O1141" s="34" t="inlineStr">
        <is>
          <t>R797-v1</t>
        </is>
      </c>
      <c r="P1141" s="39" t="inlineStr"/>
      <c r="Q1141" s="14" t="inlineStr"/>
      <c r="R1141" s="39" t="inlineStr"/>
      <c r="S1141" s="39" t="inlineStr"/>
      <c r="T1141" s="39" t="inlineStr"/>
      <c r="U1141" s="39" t="inlineStr"/>
      <c r="V1141" s="34" t="inlineStr">
        <is>
          <t>WBS Code = 1.5.1</t>
        </is>
      </c>
      <c r="W1141" s="14" t="inlineStr"/>
    </row>
    <row r="1142" ht="49" customHeight="1">
      <c r="A1142" s="34" t="inlineStr">
        <is>
          <t>1.5.1</t>
        </is>
      </c>
      <c r="B1142" s="34" t="inlineStr">
        <is>
          <t>Testing and Commissioning - Test Readiness</t>
        </is>
      </c>
      <c r="C1142" s="34" t="inlineStr">
        <is>
          <t>Contractor Programme</t>
        </is>
      </c>
      <c r="D1142" s="34" t="inlineStr">
        <is>
          <t>SCH-05-079</t>
        </is>
      </c>
      <c r="E1142" s="34" t="inlineStr">
        <is>
          <t>Control Centre: station integrated test - turnover</t>
        </is>
      </c>
      <c r="F1142" s="34" t="inlineStr">
        <is>
          <t>ONE_TO_ONE</t>
        </is>
      </c>
      <c r="G1142" s="34" t="inlineStr">
        <is>
          <t>APPROVED</t>
        </is>
      </c>
      <c r="H1142" s="34" t="inlineStr">
        <is>
          <t>New</t>
        </is>
      </c>
      <c r="I1142" s="34" t="inlineStr">
        <is>
          <t>Source assignment -- not individually reviewed</t>
        </is>
      </c>
      <c r="J1142" s="39" t="inlineStr"/>
      <c r="K1142" s="34" t="inlineStr">
        <is>
          <t>Source assignment</t>
        </is>
      </c>
      <c r="L1142" s="39" t="inlineStr"/>
      <c r="M1142" s="34" t="inlineStr">
        <is>
          <t>Initial</t>
        </is>
      </c>
      <c r="N1142" s="34" t="inlineStr">
        <is>
          <t>Rev 0</t>
        </is>
      </c>
      <c r="O1142" s="34" t="inlineStr">
        <is>
          <t>R799-v1</t>
        </is>
      </c>
      <c r="P1142" s="39" t="inlineStr"/>
      <c r="Q1142" s="14" t="inlineStr"/>
      <c r="R1142" s="39" t="inlineStr"/>
      <c r="S1142" s="39" t="inlineStr"/>
      <c r="T1142" s="39" t="inlineStr"/>
      <c r="U1142" s="39" t="inlineStr"/>
      <c r="V1142" s="34" t="inlineStr">
        <is>
          <t>WBS Code = 1.5.1</t>
        </is>
      </c>
      <c r="W1142" s="14" t="inlineStr"/>
    </row>
    <row r="1143" ht="49" customHeight="1">
      <c r="A1143" s="34" t="inlineStr">
        <is>
          <t>1.5.1</t>
        </is>
      </c>
      <c r="B1143" s="34" t="inlineStr">
        <is>
          <t>Testing and Commissioning - Test Readiness</t>
        </is>
      </c>
      <c r="C1143" s="34" t="inlineStr">
        <is>
          <t>Contractor Programme</t>
        </is>
      </c>
      <c r="D1143" s="34" t="inlineStr">
        <is>
          <t>SCH-05-080</t>
        </is>
      </c>
      <c r="E1143" s="34" t="inlineStr">
        <is>
          <t>Mainline east: trial-running shift - release</t>
        </is>
      </c>
      <c r="F1143" s="34" t="inlineStr">
        <is>
          <t>ONE_TO_ONE</t>
        </is>
      </c>
      <c r="G1143" s="34" t="inlineStr">
        <is>
          <t>APPROVED</t>
        </is>
      </c>
      <c r="H1143" s="34" t="inlineStr">
        <is>
          <t>New</t>
        </is>
      </c>
      <c r="I1143" s="34" t="inlineStr">
        <is>
          <t>Source assignment -- not individually reviewed</t>
        </is>
      </c>
      <c r="J1143" s="39" t="inlineStr"/>
      <c r="K1143" s="34" t="inlineStr">
        <is>
          <t>Source assignment</t>
        </is>
      </c>
      <c r="L1143" s="39" t="inlineStr"/>
      <c r="M1143" s="34" t="inlineStr">
        <is>
          <t>Initial</t>
        </is>
      </c>
      <c r="N1143" s="34" t="inlineStr">
        <is>
          <t>Rev 0</t>
        </is>
      </c>
      <c r="O1143" s="34" t="inlineStr">
        <is>
          <t>R800-v1</t>
        </is>
      </c>
      <c r="P1143" s="39" t="inlineStr"/>
      <c r="Q1143" s="14" t="inlineStr"/>
      <c r="R1143" s="39" t="inlineStr"/>
      <c r="S1143" s="39" t="inlineStr"/>
      <c r="T1143" s="39" t="inlineStr"/>
      <c r="U1143" s="39" t="inlineStr"/>
      <c r="V1143" s="34" t="inlineStr">
        <is>
          <t>WBS Code = 1.5.1</t>
        </is>
      </c>
      <c r="W1143" s="14" t="inlineStr"/>
    </row>
    <row r="1144" ht="49" customHeight="1">
      <c r="A1144" s="34" t="inlineStr">
        <is>
          <t>1.5.1</t>
        </is>
      </c>
      <c r="B1144" s="34" t="inlineStr">
        <is>
          <t>Testing and Commissioning - Test Readiness</t>
        </is>
      </c>
      <c r="C1144" s="34" t="inlineStr">
        <is>
          <t>Contractor Programme</t>
        </is>
      </c>
      <c r="D1144" s="34" t="inlineStr">
        <is>
          <t>SCH-05-082</t>
        </is>
      </c>
      <c r="E1144" s="34" t="inlineStr">
        <is>
          <t>West terminal: emergency-response drill - installation</t>
        </is>
      </c>
      <c r="F1144" s="34" t="inlineStr">
        <is>
          <t>ONE_TO_ONE</t>
        </is>
      </c>
      <c r="G1144" s="34" t="inlineStr">
        <is>
          <t>APPROVED</t>
        </is>
      </c>
      <c r="H1144" s="34" t="inlineStr">
        <is>
          <t>New</t>
        </is>
      </c>
      <c r="I1144" s="34" t="inlineStr">
        <is>
          <t>Source assignment -- not individually reviewed</t>
        </is>
      </c>
      <c r="J1144" s="39" t="inlineStr"/>
      <c r="K1144" s="34" t="inlineStr">
        <is>
          <t>Source assignment</t>
        </is>
      </c>
      <c r="L1144" s="39" t="inlineStr"/>
      <c r="M1144" s="34" t="inlineStr">
        <is>
          <t>Initial</t>
        </is>
      </c>
      <c r="N1144" s="34" t="inlineStr">
        <is>
          <t>Rev 0</t>
        </is>
      </c>
      <c r="O1144" s="34" t="inlineStr">
        <is>
          <t>R802-v1</t>
        </is>
      </c>
      <c r="P1144" s="39" t="inlineStr"/>
      <c r="Q1144" s="14" t="inlineStr"/>
      <c r="R1144" s="39" t="inlineStr"/>
      <c r="S1144" s="39" t="inlineStr"/>
      <c r="T1144" s="39" t="inlineStr"/>
      <c r="U1144" s="39" t="inlineStr"/>
      <c r="V1144" s="34" t="inlineStr">
        <is>
          <t>WBS Code = 1.5.1</t>
        </is>
      </c>
      <c r="W1144" s="14" t="inlineStr"/>
    </row>
    <row r="1145" ht="49" customHeight="1">
      <c r="A1145" s="34" t="inlineStr">
        <is>
          <t>1.5.1</t>
        </is>
      </c>
      <c r="B1145" s="34" t="inlineStr">
        <is>
          <t>Testing and Commissioning - Test Readiness</t>
        </is>
      </c>
      <c r="C1145" s="34" t="inlineStr">
        <is>
          <t>Contractor Programme</t>
        </is>
      </c>
      <c r="D1145" s="34" t="inlineStr">
        <is>
          <t>SCH-05-083</t>
        </is>
      </c>
      <c r="E1145" s="34" t="inlineStr">
        <is>
          <t>Depot: defect retest - inspection</t>
        </is>
      </c>
      <c r="F1145" s="34" t="inlineStr">
        <is>
          <t>ONE_TO_ONE</t>
        </is>
      </c>
      <c r="G1145" s="34" t="inlineStr">
        <is>
          <t>APPROVED</t>
        </is>
      </c>
      <c r="H1145" s="34" t="inlineStr">
        <is>
          <t>New</t>
        </is>
      </c>
      <c r="I1145" s="34" t="inlineStr">
        <is>
          <t>Source assignment -- not individually reviewed</t>
        </is>
      </c>
      <c r="J1145" s="39" t="inlineStr"/>
      <c r="K1145" s="34" t="inlineStr">
        <is>
          <t>Source assignment</t>
        </is>
      </c>
      <c r="L1145" s="39" t="inlineStr"/>
      <c r="M1145" s="34" t="inlineStr">
        <is>
          <t>Initial</t>
        </is>
      </c>
      <c r="N1145" s="34" t="inlineStr">
        <is>
          <t>Rev 0</t>
        </is>
      </c>
      <c r="O1145" s="34" t="inlineStr">
        <is>
          <t>R803-v1</t>
        </is>
      </c>
      <c r="P1145" s="39" t="inlineStr"/>
      <c r="Q1145" s="14" t="inlineStr"/>
      <c r="R1145" s="39" t="inlineStr"/>
      <c r="S1145" s="39" t="inlineStr"/>
      <c r="T1145" s="39" t="inlineStr"/>
      <c r="U1145" s="39" t="inlineStr"/>
      <c r="V1145" s="34" t="inlineStr">
        <is>
          <t>WBS Code = 1.5.1</t>
        </is>
      </c>
      <c r="W1145" s="14" t="inlineStr"/>
    </row>
    <row r="1146" ht="49" customHeight="1">
      <c r="A1146" s="34" t="inlineStr">
        <is>
          <t>1.5.1</t>
        </is>
      </c>
      <c r="B1146" s="34" t="inlineStr">
        <is>
          <t>Testing and Commissioning - Test Readiness</t>
        </is>
      </c>
      <c r="C1146" s="34" t="inlineStr">
        <is>
          <t>Contractor Programme</t>
        </is>
      </c>
      <c r="D1146" s="34" t="inlineStr">
        <is>
          <t>SCH-05-085</t>
        </is>
      </c>
      <c r="E1146" s="34" t="inlineStr">
        <is>
          <t>Mainline east: safety certificate evidence closeout - release</t>
        </is>
      </c>
      <c r="F1146" s="34" t="inlineStr">
        <is>
          <t>ONE_TO_ONE</t>
        </is>
      </c>
      <c r="G1146" s="34" t="inlineStr">
        <is>
          <t>APPROVED</t>
        </is>
      </c>
      <c r="H1146" s="34" t="inlineStr">
        <is>
          <t>New</t>
        </is>
      </c>
      <c r="I1146" s="34" t="inlineStr">
        <is>
          <t>Source assignment -- not individually reviewed</t>
        </is>
      </c>
      <c r="J1146" s="39" t="inlineStr"/>
      <c r="K1146" s="34" t="inlineStr">
        <is>
          <t>Source assignment</t>
        </is>
      </c>
      <c r="L1146" s="39" t="inlineStr"/>
      <c r="M1146" s="34" t="inlineStr">
        <is>
          <t>Initial</t>
        </is>
      </c>
      <c r="N1146" s="34" t="inlineStr">
        <is>
          <t>Rev 0</t>
        </is>
      </c>
      <c r="O1146" s="34" t="inlineStr">
        <is>
          <t>R805-v1</t>
        </is>
      </c>
      <c r="P1146" s="39" t="inlineStr"/>
      <c r="Q1146" s="14" t="inlineStr"/>
      <c r="R1146" s="39" t="inlineStr"/>
      <c r="S1146" s="39" t="inlineStr"/>
      <c r="T1146" s="39" t="inlineStr"/>
      <c r="U1146" s="39" t="inlineStr"/>
      <c r="V1146" s="34" t="inlineStr">
        <is>
          <t>WBS Code = 1.5.1</t>
        </is>
      </c>
      <c r="W1146" s="14" t="inlineStr"/>
    </row>
    <row r="1147" ht="49" customHeight="1">
      <c r="A1147" s="34" t="inlineStr">
        <is>
          <t>1.5.1</t>
        </is>
      </c>
      <c r="B1147" s="34" t="inlineStr">
        <is>
          <t>Testing and Commissioning - Test Readiness</t>
        </is>
      </c>
      <c r="C1147" s="34" t="inlineStr">
        <is>
          <t>Contractor Programme</t>
        </is>
      </c>
      <c r="D1147" s="34" t="inlineStr">
        <is>
          <t>SCH-05-086</t>
        </is>
      </c>
      <c r="E1147" s="34" t="inlineStr">
        <is>
          <t>Central section: service-readiness review - field start</t>
        </is>
      </c>
      <c r="F1147" s="34" t="inlineStr">
        <is>
          <t>ONE_TO_ONE</t>
        </is>
      </c>
      <c r="G1147" s="34" t="inlineStr">
        <is>
          <t>APPROVED</t>
        </is>
      </c>
      <c r="H1147" s="34" t="inlineStr">
        <is>
          <t>New</t>
        </is>
      </c>
      <c r="I1147" s="34" t="inlineStr">
        <is>
          <t>Source assignment -- not individually reviewed</t>
        </is>
      </c>
      <c r="J1147" s="39" t="inlineStr"/>
      <c r="K1147" s="34" t="inlineStr">
        <is>
          <t>Source assignment</t>
        </is>
      </c>
      <c r="L1147" s="39" t="inlineStr"/>
      <c r="M1147" s="34" t="inlineStr">
        <is>
          <t>Initial</t>
        </is>
      </c>
      <c r="N1147" s="34" t="inlineStr">
        <is>
          <t>Rev 0</t>
        </is>
      </c>
      <c r="O1147" s="34" t="inlineStr">
        <is>
          <t>R806-v1</t>
        </is>
      </c>
      <c r="P1147" s="39" t="inlineStr"/>
      <c r="Q1147" s="14" t="inlineStr"/>
      <c r="R1147" s="39" t="inlineStr"/>
      <c r="S1147" s="39" t="inlineStr"/>
      <c r="T1147" s="39" t="inlineStr"/>
      <c r="U1147" s="39" t="inlineStr"/>
      <c r="V1147" s="34" t="inlineStr">
        <is>
          <t>WBS Code = 1.5.1</t>
        </is>
      </c>
      <c r="W1147" s="14" t="inlineStr"/>
    </row>
    <row r="1148" ht="49" customHeight="1">
      <c r="A1148" s="34" t="inlineStr">
        <is>
          <t>1.5.1</t>
        </is>
      </c>
      <c r="B1148" s="34" t="inlineStr">
        <is>
          <t>Testing and Commissioning - Test Readiness</t>
        </is>
      </c>
      <c r="C1148" s="34" t="inlineStr">
        <is>
          <t>Contractor Programme</t>
        </is>
      </c>
      <c r="D1148" s="34" t="inlineStr">
        <is>
          <t>SCH-05-088</t>
        </is>
      </c>
      <c r="E1148" s="34" t="inlineStr">
        <is>
          <t>Depot: trial-running shift - inspection</t>
        </is>
      </c>
      <c r="F1148" s="34" t="inlineStr">
        <is>
          <t>ONE_TO_ONE</t>
        </is>
      </c>
      <c r="G1148" s="34" t="inlineStr">
        <is>
          <t>APPROVED</t>
        </is>
      </c>
      <c r="H1148" s="34" t="inlineStr">
        <is>
          <t>New</t>
        </is>
      </c>
      <c r="I1148" s="34" t="inlineStr">
        <is>
          <t>Source assignment -- not individually reviewed</t>
        </is>
      </c>
      <c r="J1148" s="39" t="inlineStr"/>
      <c r="K1148" s="34" t="inlineStr">
        <is>
          <t>Source assignment</t>
        </is>
      </c>
      <c r="L1148" s="39" t="inlineStr"/>
      <c r="M1148" s="34" t="inlineStr">
        <is>
          <t>Initial</t>
        </is>
      </c>
      <c r="N1148" s="34" t="inlineStr">
        <is>
          <t>Rev 0</t>
        </is>
      </c>
      <c r="O1148" s="34" t="inlineStr">
        <is>
          <t>R808-v1</t>
        </is>
      </c>
      <c r="P1148" s="39" t="inlineStr"/>
      <c r="Q1148" s="14" t="inlineStr"/>
      <c r="R1148" s="39" t="inlineStr"/>
      <c r="S1148" s="39" t="inlineStr"/>
      <c r="T1148" s="39" t="inlineStr"/>
      <c r="U1148" s="39" t="inlineStr"/>
      <c r="V1148" s="34" t="inlineStr">
        <is>
          <t>WBS Code = 1.5.1</t>
        </is>
      </c>
      <c r="W1148" s="14" t="inlineStr"/>
    </row>
    <row r="1149" ht="49" customHeight="1">
      <c r="A1149" s="34" t="inlineStr">
        <is>
          <t>1.5.1</t>
        </is>
      </c>
      <c r="B1149" s="34" t="inlineStr">
        <is>
          <t>Testing and Commissioning - Test Readiness</t>
        </is>
      </c>
      <c r="C1149" s="34" t="inlineStr">
        <is>
          <t>Contractor Programme</t>
        </is>
      </c>
      <c r="D1149" s="34" t="inlineStr">
        <is>
          <t>SCH-05-089</t>
        </is>
      </c>
      <c r="E1149" s="34" t="inlineStr">
        <is>
          <t>Control Centre: test procedure readiness review - turnover</t>
        </is>
      </c>
      <c r="F1149" s="34" t="inlineStr">
        <is>
          <t>ONE_TO_ONE</t>
        </is>
      </c>
      <c r="G1149" s="34" t="inlineStr">
        <is>
          <t>APPROVED</t>
        </is>
      </c>
      <c r="H1149" s="34" t="inlineStr">
        <is>
          <t>New</t>
        </is>
      </c>
      <c r="I1149" s="34" t="inlineStr">
        <is>
          <t>Source assignment -- not individually reviewed</t>
        </is>
      </c>
      <c r="J1149" s="39" t="inlineStr"/>
      <c r="K1149" s="34" t="inlineStr">
        <is>
          <t>Source assignment</t>
        </is>
      </c>
      <c r="L1149" s="39" t="inlineStr"/>
      <c r="M1149" s="34" t="inlineStr">
        <is>
          <t>Initial</t>
        </is>
      </c>
      <c r="N1149" s="34" t="inlineStr">
        <is>
          <t>Rev 0</t>
        </is>
      </c>
      <c r="O1149" s="34" t="inlineStr">
        <is>
          <t>R809-v1</t>
        </is>
      </c>
      <c r="P1149" s="39" t="inlineStr"/>
      <c r="Q1149" s="14" t="inlineStr"/>
      <c r="R1149" s="39" t="inlineStr"/>
      <c r="S1149" s="39" t="inlineStr"/>
      <c r="T1149" s="39" t="inlineStr"/>
      <c r="U1149" s="39" t="inlineStr"/>
      <c r="V1149" s="34" t="inlineStr">
        <is>
          <t>WBS Code = 1.5.1</t>
        </is>
      </c>
      <c r="W1149" s="14" t="inlineStr"/>
    </row>
    <row r="1150" ht="49" customHeight="1">
      <c r="A1150" s="34" t="inlineStr">
        <is>
          <t>1.5.1</t>
        </is>
      </c>
      <c r="B1150" s="34" t="inlineStr">
        <is>
          <t>Testing and Commissioning - Test Readiness</t>
        </is>
      </c>
      <c r="C1150" s="34" t="inlineStr">
        <is>
          <t>Contractor Programme</t>
        </is>
      </c>
      <c r="D1150" s="34" t="inlineStr">
        <is>
          <t>SCH-05-091</t>
        </is>
      </c>
      <c r="E1150" s="34" t="inlineStr">
        <is>
          <t>Central section: defect retest - field start</t>
        </is>
      </c>
      <c r="F1150" s="34" t="inlineStr">
        <is>
          <t>ONE_TO_ONE</t>
        </is>
      </c>
      <c r="G1150" s="34" t="inlineStr">
        <is>
          <t>APPROVED</t>
        </is>
      </c>
      <c r="H1150" s="34" t="inlineStr">
        <is>
          <t>New</t>
        </is>
      </c>
      <c r="I1150" s="34" t="inlineStr">
        <is>
          <t>Source assignment -- not individually reviewed</t>
        </is>
      </c>
      <c r="J1150" s="39" t="inlineStr"/>
      <c r="K1150" s="34" t="inlineStr">
        <is>
          <t>Source assignment</t>
        </is>
      </c>
      <c r="L1150" s="39" t="inlineStr"/>
      <c r="M1150" s="34" t="inlineStr">
        <is>
          <t>Initial</t>
        </is>
      </c>
      <c r="N1150" s="34" t="inlineStr">
        <is>
          <t>Rev 0</t>
        </is>
      </c>
      <c r="O1150" s="34" t="inlineStr">
        <is>
          <t>R811-v1</t>
        </is>
      </c>
      <c r="P1150" s="39" t="inlineStr"/>
      <c r="Q1150" s="14" t="inlineStr"/>
      <c r="R1150" s="39" t="inlineStr"/>
      <c r="S1150" s="39" t="inlineStr"/>
      <c r="T1150" s="39" t="inlineStr"/>
      <c r="U1150" s="39" t="inlineStr"/>
      <c r="V1150" s="34" t="inlineStr">
        <is>
          <t>WBS Code = 1.5.1</t>
        </is>
      </c>
      <c r="W1150" s="14" t="inlineStr"/>
    </row>
    <row r="1151" ht="49" customHeight="1">
      <c r="A1151" s="34" t="inlineStr">
        <is>
          <t>1.5.1</t>
        </is>
      </c>
      <c r="B1151" s="34" t="inlineStr">
        <is>
          <t>Testing and Commissioning - Test Readiness</t>
        </is>
      </c>
      <c r="C1151" s="34" t="inlineStr">
        <is>
          <t>Contractor Programme</t>
        </is>
      </c>
      <c r="D1151" s="34" t="inlineStr">
        <is>
          <t>SCH-05-092</t>
        </is>
      </c>
      <c r="E1151" s="34" t="inlineStr">
        <is>
          <t>West terminal: mainline dynamic test - installation</t>
        </is>
      </c>
      <c r="F1151" s="34" t="inlineStr">
        <is>
          <t>ONE_TO_ONE</t>
        </is>
      </c>
      <c r="G1151" s="34" t="inlineStr">
        <is>
          <t>APPROVED</t>
        </is>
      </c>
      <c r="H1151" s="34" t="inlineStr">
        <is>
          <t>New</t>
        </is>
      </c>
      <c r="I1151" s="34" t="inlineStr">
        <is>
          <t>Source assignment -- not individually reviewed</t>
        </is>
      </c>
      <c r="J1151" s="39" t="inlineStr"/>
      <c r="K1151" s="34" t="inlineStr">
        <is>
          <t>Source assignment</t>
        </is>
      </c>
      <c r="L1151" s="39" t="inlineStr"/>
      <c r="M1151" s="34" t="inlineStr">
        <is>
          <t>Initial</t>
        </is>
      </c>
      <c r="N1151" s="34" t="inlineStr">
        <is>
          <t>Rev 0</t>
        </is>
      </c>
      <c r="O1151" s="34" t="inlineStr">
        <is>
          <t>R812-v1</t>
        </is>
      </c>
      <c r="P1151" s="39" t="inlineStr"/>
      <c r="Q1151" s="14" t="inlineStr"/>
      <c r="R1151" s="39" t="inlineStr"/>
      <c r="S1151" s="39" t="inlineStr"/>
      <c r="T1151" s="39" t="inlineStr"/>
      <c r="U1151" s="39" t="inlineStr"/>
      <c r="V1151" s="34" t="inlineStr">
        <is>
          <t>WBS Code = 1.5.1</t>
        </is>
      </c>
      <c r="W1151" s="14" t="inlineStr"/>
    </row>
    <row r="1152" ht="49" customHeight="1">
      <c r="A1152" s="34" t="inlineStr">
        <is>
          <t>1.5.1</t>
        </is>
      </c>
      <c r="B1152" s="34" t="inlineStr">
        <is>
          <t>Testing and Commissioning - Test Readiness</t>
        </is>
      </c>
      <c r="C1152" s="34" t="inlineStr">
        <is>
          <t>Contractor Programme</t>
        </is>
      </c>
      <c r="D1152" s="34" t="inlineStr">
        <is>
          <t>SCH-05-094</t>
        </is>
      </c>
      <c r="E1152" s="34" t="inlineStr">
        <is>
          <t>Control Centre: service-readiness review - turnover</t>
        </is>
      </c>
      <c r="F1152" s="34" t="inlineStr">
        <is>
          <t>ONE_TO_ONE</t>
        </is>
      </c>
      <c r="G1152" s="34" t="inlineStr">
        <is>
          <t>APPROVED</t>
        </is>
      </c>
      <c r="H1152" s="34" t="inlineStr">
        <is>
          <t>New</t>
        </is>
      </c>
      <c r="I1152" s="34" t="inlineStr">
        <is>
          <t>Source assignment -- not individually reviewed</t>
        </is>
      </c>
      <c r="J1152" s="39" t="inlineStr"/>
      <c r="K1152" s="34" t="inlineStr">
        <is>
          <t>Source assignment</t>
        </is>
      </c>
      <c r="L1152" s="39" t="inlineStr"/>
      <c r="M1152" s="34" t="inlineStr">
        <is>
          <t>Initial</t>
        </is>
      </c>
      <c r="N1152" s="34" t="inlineStr">
        <is>
          <t>Rev 0</t>
        </is>
      </c>
      <c r="O1152" s="34" t="inlineStr">
        <is>
          <t>R814-v1</t>
        </is>
      </c>
      <c r="P1152" s="39" t="inlineStr"/>
      <c r="Q1152" s="14" t="inlineStr"/>
      <c r="R1152" s="39" t="inlineStr"/>
      <c r="S1152" s="39" t="inlineStr"/>
      <c r="T1152" s="39" t="inlineStr"/>
      <c r="U1152" s="39" t="inlineStr"/>
      <c r="V1152" s="34" t="inlineStr">
        <is>
          <t>WBS Code = 1.5.1</t>
        </is>
      </c>
      <c r="W1152" s="14" t="inlineStr"/>
    </row>
    <row r="1153" ht="49" customHeight="1">
      <c r="A1153" s="34" t="inlineStr">
        <is>
          <t>1.5.1</t>
        </is>
      </c>
      <c r="B1153" s="34" t="inlineStr">
        <is>
          <t>Testing and Commissioning - Test Readiness</t>
        </is>
      </c>
      <c r="C1153" s="34" t="inlineStr">
        <is>
          <t>Contractor Programme</t>
        </is>
      </c>
      <c r="D1153" s="34" t="inlineStr">
        <is>
          <t>SCH-05-095</t>
        </is>
      </c>
      <c r="E1153" s="34" t="inlineStr">
        <is>
          <t>Mainline east: station integrated test - release</t>
        </is>
      </c>
      <c r="F1153" s="34" t="inlineStr">
        <is>
          <t>ONE_TO_ONE</t>
        </is>
      </c>
      <c r="G1153" s="34" t="inlineStr">
        <is>
          <t>APPROVED</t>
        </is>
      </c>
      <c r="H1153" s="34" t="inlineStr">
        <is>
          <t>New</t>
        </is>
      </c>
      <c r="I1153" s="34" t="inlineStr">
        <is>
          <t>Source assignment -- not individually reviewed</t>
        </is>
      </c>
      <c r="J1153" s="39" t="inlineStr"/>
      <c r="K1153" s="34" t="inlineStr">
        <is>
          <t>Source assignment</t>
        </is>
      </c>
      <c r="L1153" s="39" t="inlineStr"/>
      <c r="M1153" s="34" t="inlineStr">
        <is>
          <t>Initial</t>
        </is>
      </c>
      <c r="N1153" s="34" t="inlineStr">
        <is>
          <t>Rev 0</t>
        </is>
      </c>
      <c r="O1153" s="34" t="inlineStr">
        <is>
          <t>R815-v1</t>
        </is>
      </c>
      <c r="P1153" s="39" t="inlineStr"/>
      <c r="Q1153" s="14" t="inlineStr"/>
      <c r="R1153" s="39" t="inlineStr"/>
      <c r="S1153" s="39" t="inlineStr"/>
      <c r="T1153" s="39" t="inlineStr"/>
      <c r="U1153" s="39" t="inlineStr"/>
      <c r="V1153" s="34" t="inlineStr">
        <is>
          <t>WBS Code = 1.5.1</t>
        </is>
      </c>
      <c r="W1153" s="14" t="inlineStr"/>
    </row>
    <row r="1154" ht="49" customHeight="1">
      <c r="A1154" s="34" t="inlineStr">
        <is>
          <t>1.5.1</t>
        </is>
      </c>
      <c r="B1154" s="34" t="inlineStr">
        <is>
          <t>Testing and Commissioning - Test Readiness</t>
        </is>
      </c>
      <c r="C1154" s="34" t="inlineStr">
        <is>
          <t>Contractor Programme</t>
        </is>
      </c>
      <c r="D1154" s="34" t="inlineStr">
        <is>
          <t>SCH-05-097</t>
        </is>
      </c>
      <c r="E1154" s="34" t="inlineStr">
        <is>
          <t>West terminal: test procedure readiness review - installation</t>
        </is>
      </c>
      <c r="F1154" s="34" t="inlineStr">
        <is>
          <t>ONE_TO_ONE</t>
        </is>
      </c>
      <c r="G1154" s="34" t="inlineStr">
        <is>
          <t>APPROVED</t>
        </is>
      </c>
      <c r="H1154" s="34" t="inlineStr">
        <is>
          <t>New</t>
        </is>
      </c>
      <c r="I1154" s="34" t="inlineStr">
        <is>
          <t>Source assignment -- not individually reviewed</t>
        </is>
      </c>
      <c r="J1154" s="39" t="inlineStr"/>
      <c r="K1154" s="34" t="inlineStr">
        <is>
          <t>Source assignment</t>
        </is>
      </c>
      <c r="L1154" s="39" t="inlineStr"/>
      <c r="M1154" s="34" t="inlineStr">
        <is>
          <t>Initial</t>
        </is>
      </c>
      <c r="N1154" s="34" t="inlineStr">
        <is>
          <t>Rev 0</t>
        </is>
      </c>
      <c r="O1154" s="34" t="inlineStr">
        <is>
          <t>R817-v1</t>
        </is>
      </c>
      <c r="P1154" s="39" t="inlineStr"/>
      <c r="Q1154" s="14" t="inlineStr"/>
      <c r="R1154" s="39" t="inlineStr"/>
      <c r="S1154" s="39" t="inlineStr"/>
      <c r="T1154" s="39" t="inlineStr"/>
      <c r="U1154" s="39" t="inlineStr"/>
      <c r="V1154" s="34" t="inlineStr">
        <is>
          <t>WBS Code = 1.5.1</t>
        </is>
      </c>
      <c r="W1154" s="14" t="inlineStr"/>
    </row>
    <row r="1155" ht="49" customHeight="1">
      <c r="A1155" s="34" t="inlineStr">
        <is>
          <t>1.5.1</t>
        </is>
      </c>
      <c r="B1155" s="34" t="inlineStr">
        <is>
          <t>Testing and Commissioning - Test Readiness</t>
        </is>
      </c>
      <c r="C1155" s="34" t="inlineStr">
        <is>
          <t>Contractor Programme</t>
        </is>
      </c>
      <c r="D1155" s="34" t="inlineStr">
        <is>
          <t>SCH-05-098</t>
        </is>
      </c>
      <c r="E1155" s="34" t="inlineStr">
        <is>
          <t>Depot: emergency-response drill - inspection</t>
        </is>
      </c>
      <c r="F1155" s="34" t="inlineStr">
        <is>
          <t>ONE_TO_ONE</t>
        </is>
      </c>
      <c r="G1155" s="34" t="inlineStr">
        <is>
          <t>APPROVED</t>
        </is>
      </c>
      <c r="H1155" s="34" t="inlineStr">
        <is>
          <t>New</t>
        </is>
      </c>
      <c r="I1155" s="34" t="inlineStr">
        <is>
          <t>Source assignment -- not individually reviewed</t>
        </is>
      </c>
      <c r="J1155" s="39" t="inlineStr"/>
      <c r="K1155" s="34" t="inlineStr">
        <is>
          <t>Source assignment</t>
        </is>
      </c>
      <c r="L1155" s="39" t="inlineStr"/>
      <c r="M1155" s="34" t="inlineStr">
        <is>
          <t>Initial</t>
        </is>
      </c>
      <c r="N1155" s="34" t="inlineStr">
        <is>
          <t>Rev 0</t>
        </is>
      </c>
      <c r="O1155" s="34" t="inlineStr">
        <is>
          <t>R818-v1</t>
        </is>
      </c>
      <c r="P1155" s="39" t="inlineStr"/>
      <c r="Q1155" s="14" t="inlineStr"/>
      <c r="R1155" s="39" t="inlineStr"/>
      <c r="S1155" s="39" t="inlineStr"/>
      <c r="T1155" s="39" t="inlineStr"/>
      <c r="U1155" s="39" t="inlineStr"/>
      <c r="V1155" s="34" t="inlineStr">
        <is>
          <t>WBS Code = 1.5.1</t>
        </is>
      </c>
      <c r="W1155" s="14" t="inlineStr"/>
    </row>
    <row r="1156" ht="49" customHeight="1">
      <c r="A1156" s="34" t="inlineStr">
        <is>
          <t>1.5.1</t>
        </is>
      </c>
      <c r="B1156" s="34" t="inlineStr">
        <is>
          <t>Testing and Commissioning - Test Readiness</t>
        </is>
      </c>
      <c r="C1156" s="34" t="inlineStr">
        <is>
          <t>Contractor Programme</t>
        </is>
      </c>
      <c r="D1156" s="34" t="inlineStr">
        <is>
          <t>SCH-05-100</t>
        </is>
      </c>
      <c r="E1156" s="34" t="inlineStr">
        <is>
          <t>Mainline east: mainline dynamic test - release</t>
        </is>
      </c>
      <c r="F1156" s="34" t="inlineStr">
        <is>
          <t>ONE_TO_ONE</t>
        </is>
      </c>
      <c r="G1156" s="34" t="inlineStr">
        <is>
          <t>APPROVED</t>
        </is>
      </c>
      <c r="H1156" s="34" t="inlineStr">
        <is>
          <t>New</t>
        </is>
      </c>
      <c r="I1156" s="34" t="inlineStr">
        <is>
          <t>Source assignment -- not individually reviewed</t>
        </is>
      </c>
      <c r="J1156" s="39" t="inlineStr"/>
      <c r="K1156" s="34" t="inlineStr">
        <is>
          <t>Source assignment</t>
        </is>
      </c>
      <c r="L1156" s="39" t="inlineStr"/>
      <c r="M1156" s="34" t="inlineStr">
        <is>
          <t>Initial</t>
        </is>
      </c>
      <c r="N1156" s="34" t="inlineStr">
        <is>
          <t>Rev 0</t>
        </is>
      </c>
      <c r="O1156" s="34" t="inlineStr">
        <is>
          <t>R820-v1</t>
        </is>
      </c>
      <c r="P1156" s="39" t="inlineStr"/>
      <c r="Q1156" s="14" t="inlineStr"/>
      <c r="R1156" s="39" t="inlineStr"/>
      <c r="S1156" s="39" t="inlineStr"/>
      <c r="T1156" s="39" t="inlineStr"/>
      <c r="U1156" s="39" t="inlineStr"/>
      <c r="V1156" s="34" t="inlineStr">
        <is>
          <t>WBS Code = 1.5.1</t>
        </is>
      </c>
      <c r="W1156" s="14" t="inlineStr"/>
    </row>
    <row r="1157" ht="49" customHeight="1">
      <c r="A1157" s="34" t="inlineStr">
        <is>
          <t>1.5.1</t>
        </is>
      </c>
      <c r="B1157" s="34" t="inlineStr">
        <is>
          <t>Testing and Commissioning - Test Readiness</t>
        </is>
      </c>
      <c r="C1157" s="34" t="inlineStr">
        <is>
          <t>Contractor Programme</t>
        </is>
      </c>
      <c r="D1157" s="34" t="inlineStr">
        <is>
          <t>SCH-05-101</t>
        </is>
      </c>
      <c r="E1157" s="34" t="inlineStr">
        <is>
          <t>Central section: safety certificate evidence closeout - field start</t>
        </is>
      </c>
      <c r="F1157" s="34" t="inlineStr">
        <is>
          <t>ONE_TO_ONE</t>
        </is>
      </c>
      <c r="G1157" s="34" t="inlineStr">
        <is>
          <t>APPROVED</t>
        </is>
      </c>
      <c r="H1157" s="34" t="inlineStr">
        <is>
          <t>New</t>
        </is>
      </c>
      <c r="I1157" s="34" t="inlineStr">
        <is>
          <t>Source assignment -- not individually reviewed</t>
        </is>
      </c>
      <c r="J1157" s="39" t="inlineStr"/>
      <c r="K1157" s="34" t="inlineStr">
        <is>
          <t>Source assignment</t>
        </is>
      </c>
      <c r="L1157" s="39" t="inlineStr"/>
      <c r="M1157" s="34" t="inlineStr">
        <is>
          <t>Initial</t>
        </is>
      </c>
      <c r="N1157" s="34" t="inlineStr">
        <is>
          <t>Rev 0</t>
        </is>
      </c>
      <c r="O1157" s="34" t="inlineStr">
        <is>
          <t>R821-v1</t>
        </is>
      </c>
      <c r="P1157" s="39" t="inlineStr"/>
      <c r="Q1157" s="14" t="inlineStr"/>
      <c r="R1157" s="39" t="inlineStr"/>
      <c r="S1157" s="39" t="inlineStr"/>
      <c r="T1157" s="39" t="inlineStr"/>
      <c r="U1157" s="39" t="inlineStr"/>
      <c r="V1157" s="34" t="inlineStr">
        <is>
          <t>WBS Code = 1.5.1</t>
        </is>
      </c>
      <c r="W1157" s="14" t="inlineStr"/>
    </row>
    <row r="1158" ht="49" customHeight="1">
      <c r="A1158" s="34" t="inlineStr">
        <is>
          <t>1.5.1</t>
        </is>
      </c>
      <c r="B1158" s="34" t="inlineStr">
        <is>
          <t>Testing and Commissioning - Test Readiness</t>
        </is>
      </c>
      <c r="C1158" s="34" t="inlineStr">
        <is>
          <t>Contractor Programme</t>
        </is>
      </c>
      <c r="D1158" s="34" t="inlineStr">
        <is>
          <t>SCH-05-103</t>
        </is>
      </c>
      <c r="E1158" s="34" t="inlineStr">
        <is>
          <t>Depot: station integrated test - inspection</t>
        </is>
      </c>
      <c r="F1158" s="34" t="inlineStr">
        <is>
          <t>ONE_TO_ONE</t>
        </is>
      </c>
      <c r="G1158" s="34" t="inlineStr">
        <is>
          <t>APPROVED</t>
        </is>
      </c>
      <c r="H1158" s="34" t="inlineStr">
        <is>
          <t>New</t>
        </is>
      </c>
      <c r="I1158" s="34" t="inlineStr">
        <is>
          <t>Source assignment -- not individually reviewed</t>
        </is>
      </c>
      <c r="J1158" s="39" t="inlineStr"/>
      <c r="K1158" s="34" t="inlineStr">
        <is>
          <t>Source assignment</t>
        </is>
      </c>
      <c r="L1158" s="39" t="inlineStr"/>
      <c r="M1158" s="34" t="inlineStr">
        <is>
          <t>Initial</t>
        </is>
      </c>
      <c r="N1158" s="34" t="inlineStr">
        <is>
          <t>Rev 0</t>
        </is>
      </c>
      <c r="O1158" s="34" t="inlineStr">
        <is>
          <t>R823-v1</t>
        </is>
      </c>
      <c r="P1158" s="39" t="inlineStr"/>
      <c r="Q1158" s="14" t="inlineStr"/>
      <c r="R1158" s="39" t="inlineStr"/>
      <c r="S1158" s="39" t="inlineStr"/>
      <c r="T1158" s="39" t="inlineStr"/>
      <c r="U1158" s="39" t="inlineStr"/>
      <c r="V1158" s="34" t="inlineStr">
        <is>
          <t>WBS Code = 1.5.1</t>
        </is>
      </c>
      <c r="W1158" s="14" t="inlineStr"/>
    </row>
    <row r="1159" ht="49" customHeight="1">
      <c r="A1159" s="34" t="inlineStr">
        <is>
          <t>1.5.1</t>
        </is>
      </c>
      <c r="B1159" s="34" t="inlineStr">
        <is>
          <t>Testing and Commissioning - Test Readiness</t>
        </is>
      </c>
      <c r="C1159" s="34" t="inlineStr">
        <is>
          <t>Contractor Programme</t>
        </is>
      </c>
      <c r="D1159" s="34" t="inlineStr">
        <is>
          <t>SCH-05-104</t>
        </is>
      </c>
      <c r="E1159" s="34" t="inlineStr">
        <is>
          <t>Control Centre: trial-running shift - turnover</t>
        </is>
      </c>
      <c r="F1159" s="34" t="inlineStr">
        <is>
          <t>ONE_TO_ONE</t>
        </is>
      </c>
      <c r="G1159" s="34" t="inlineStr">
        <is>
          <t>APPROVED</t>
        </is>
      </c>
      <c r="H1159" s="34" t="inlineStr">
        <is>
          <t>New</t>
        </is>
      </c>
      <c r="I1159" s="34" t="inlineStr">
        <is>
          <t>Source assignment -- not individually reviewed</t>
        </is>
      </c>
      <c r="J1159" s="39" t="inlineStr"/>
      <c r="K1159" s="34" t="inlineStr">
        <is>
          <t>Source assignment</t>
        </is>
      </c>
      <c r="L1159" s="39" t="inlineStr"/>
      <c r="M1159" s="34" t="inlineStr">
        <is>
          <t>Initial</t>
        </is>
      </c>
      <c r="N1159" s="34" t="inlineStr">
        <is>
          <t>Rev 0</t>
        </is>
      </c>
      <c r="O1159" s="34" t="inlineStr">
        <is>
          <t>R824-v1</t>
        </is>
      </c>
      <c r="P1159" s="39" t="inlineStr"/>
      <c r="Q1159" s="14" t="inlineStr"/>
      <c r="R1159" s="39" t="inlineStr"/>
      <c r="S1159" s="39" t="inlineStr"/>
      <c r="T1159" s="39" t="inlineStr"/>
      <c r="U1159" s="39" t="inlineStr"/>
      <c r="V1159" s="34" t="inlineStr">
        <is>
          <t>WBS Code = 1.5.1</t>
        </is>
      </c>
      <c r="W1159" s="14" t="inlineStr"/>
    </row>
    <row r="1160" ht="49" customHeight="1">
      <c r="A1160" s="34" t="inlineStr">
        <is>
          <t>1.5.1</t>
        </is>
      </c>
      <c r="B1160" s="34" t="inlineStr">
        <is>
          <t>Testing and Commissioning - Test Readiness</t>
        </is>
      </c>
      <c r="C1160" s="34" t="inlineStr">
        <is>
          <t>Contractor Programme</t>
        </is>
      </c>
      <c r="D1160" s="34" t="inlineStr">
        <is>
          <t>SCH-05-106</t>
        </is>
      </c>
      <c r="E1160" s="34" t="inlineStr">
        <is>
          <t>Central section: emergency-response drill - field start</t>
        </is>
      </c>
      <c r="F1160" s="34" t="inlineStr">
        <is>
          <t>ONE_TO_ONE</t>
        </is>
      </c>
      <c r="G1160" s="34" t="inlineStr">
        <is>
          <t>APPROVED</t>
        </is>
      </c>
      <c r="H1160" s="34" t="inlineStr">
        <is>
          <t>New</t>
        </is>
      </c>
      <c r="I1160" s="34" t="inlineStr">
        <is>
          <t>Source assignment -- not individually reviewed</t>
        </is>
      </c>
      <c r="J1160" s="39" t="inlineStr"/>
      <c r="K1160" s="34" t="inlineStr">
        <is>
          <t>Source assignment</t>
        </is>
      </c>
      <c r="L1160" s="39" t="inlineStr"/>
      <c r="M1160" s="34" t="inlineStr">
        <is>
          <t>Initial</t>
        </is>
      </c>
      <c r="N1160" s="34" t="inlineStr">
        <is>
          <t>Rev 0</t>
        </is>
      </c>
      <c r="O1160" s="34" t="inlineStr">
        <is>
          <t>R826-v1</t>
        </is>
      </c>
      <c r="P1160" s="39" t="inlineStr"/>
      <c r="Q1160" s="14" t="inlineStr"/>
      <c r="R1160" s="39" t="inlineStr"/>
      <c r="S1160" s="39" t="inlineStr"/>
      <c r="T1160" s="39" t="inlineStr"/>
      <c r="U1160" s="39" t="inlineStr"/>
      <c r="V1160" s="34" t="inlineStr">
        <is>
          <t>WBS Code = 1.5.1</t>
        </is>
      </c>
      <c r="W1160" s="14" t="inlineStr"/>
    </row>
    <row r="1161" ht="49" customHeight="1">
      <c r="A1161" s="34" t="inlineStr">
        <is>
          <t>1.5.1</t>
        </is>
      </c>
      <c r="B1161" s="34" t="inlineStr">
        <is>
          <t>Testing and Commissioning - Test Readiness</t>
        </is>
      </c>
      <c r="C1161" s="34" t="inlineStr">
        <is>
          <t>Contractor Programme</t>
        </is>
      </c>
      <c r="D1161" s="34" t="inlineStr">
        <is>
          <t>SCH-05-107</t>
        </is>
      </c>
      <c r="E1161" s="34" t="inlineStr">
        <is>
          <t>West terminal: defect retest - installation</t>
        </is>
      </c>
      <c r="F1161" s="34" t="inlineStr">
        <is>
          <t>ONE_TO_ONE</t>
        </is>
      </c>
      <c r="G1161" s="34" t="inlineStr">
        <is>
          <t>APPROVED</t>
        </is>
      </c>
      <c r="H1161" s="34" t="inlineStr">
        <is>
          <t>New</t>
        </is>
      </c>
      <c r="I1161" s="34" t="inlineStr">
        <is>
          <t>Source assignment -- not individually reviewed</t>
        </is>
      </c>
      <c r="J1161" s="39" t="inlineStr"/>
      <c r="K1161" s="34" t="inlineStr">
        <is>
          <t>Source assignment</t>
        </is>
      </c>
      <c r="L1161" s="39" t="inlineStr"/>
      <c r="M1161" s="34" t="inlineStr">
        <is>
          <t>Initial</t>
        </is>
      </c>
      <c r="N1161" s="34" t="inlineStr">
        <is>
          <t>Rev 0</t>
        </is>
      </c>
      <c r="O1161" s="34" t="inlineStr">
        <is>
          <t>R827-v1</t>
        </is>
      </c>
      <c r="P1161" s="39" t="inlineStr"/>
      <c r="Q1161" s="14" t="inlineStr"/>
      <c r="R1161" s="39" t="inlineStr"/>
      <c r="S1161" s="39" t="inlineStr"/>
      <c r="T1161" s="39" t="inlineStr"/>
      <c r="U1161" s="39" t="inlineStr"/>
      <c r="V1161" s="34" t="inlineStr">
        <is>
          <t>WBS Code = 1.5.1</t>
        </is>
      </c>
      <c r="W1161" s="14" t="inlineStr"/>
    </row>
    <row r="1162" ht="49" customHeight="1">
      <c r="A1162" s="34" t="inlineStr">
        <is>
          <t>1.5.1</t>
        </is>
      </c>
      <c r="B1162" s="34" t="inlineStr">
        <is>
          <t>Testing and Commissioning - Test Readiness</t>
        </is>
      </c>
      <c r="C1162" s="34" t="inlineStr">
        <is>
          <t>Contractor Programme</t>
        </is>
      </c>
      <c r="D1162" s="34" t="inlineStr">
        <is>
          <t>SCH-05-109</t>
        </is>
      </c>
      <c r="E1162" s="34" t="inlineStr">
        <is>
          <t>Control Centre: safety certificate evidence closeout - turnover</t>
        </is>
      </c>
      <c r="F1162" s="34" t="inlineStr">
        <is>
          <t>ONE_TO_ONE</t>
        </is>
      </c>
      <c r="G1162" s="34" t="inlineStr">
        <is>
          <t>APPROVED</t>
        </is>
      </c>
      <c r="H1162" s="34" t="inlineStr">
        <is>
          <t>New</t>
        </is>
      </c>
      <c r="I1162" s="34" t="inlineStr">
        <is>
          <t>Source assignment -- not individually reviewed</t>
        </is>
      </c>
      <c r="J1162" s="39" t="inlineStr"/>
      <c r="K1162" s="34" t="inlineStr">
        <is>
          <t>Source assignment</t>
        </is>
      </c>
      <c r="L1162" s="39" t="inlineStr"/>
      <c r="M1162" s="34" t="inlineStr">
        <is>
          <t>Initial</t>
        </is>
      </c>
      <c r="N1162" s="34" t="inlineStr">
        <is>
          <t>Rev 0</t>
        </is>
      </c>
      <c r="O1162" s="34" t="inlineStr">
        <is>
          <t>R829-v1</t>
        </is>
      </c>
      <c r="P1162" s="39" t="inlineStr"/>
      <c r="Q1162" s="14" t="inlineStr"/>
      <c r="R1162" s="39" t="inlineStr"/>
      <c r="S1162" s="39" t="inlineStr"/>
      <c r="T1162" s="39" t="inlineStr"/>
      <c r="U1162" s="39" t="inlineStr"/>
      <c r="V1162" s="34" t="inlineStr">
        <is>
          <t>WBS Code = 1.5.1</t>
        </is>
      </c>
      <c r="W1162" s="14" t="inlineStr"/>
    </row>
    <row r="1163" ht="49" customHeight="1">
      <c r="A1163" s="34" t="inlineStr">
        <is>
          <t>1.5.1</t>
        </is>
      </c>
      <c r="B1163" s="34" t="inlineStr">
        <is>
          <t>Testing and Commissioning - Test Readiness</t>
        </is>
      </c>
      <c r="C1163" s="34" t="inlineStr">
        <is>
          <t>Contractor Programme</t>
        </is>
      </c>
      <c r="D1163" s="34" t="inlineStr">
        <is>
          <t>SCH-05-110</t>
        </is>
      </c>
      <c r="E1163" s="34" t="inlineStr">
        <is>
          <t>Mainline east: service-readiness review - release</t>
        </is>
      </c>
      <c r="F1163" s="34" t="inlineStr">
        <is>
          <t>ONE_TO_ONE</t>
        </is>
      </c>
      <c r="G1163" s="34" t="inlineStr">
        <is>
          <t>APPROVED</t>
        </is>
      </c>
      <c r="H1163" s="34" t="inlineStr">
        <is>
          <t>New</t>
        </is>
      </c>
      <c r="I1163" s="34" t="inlineStr">
        <is>
          <t>Source assignment -- not individually reviewed</t>
        </is>
      </c>
      <c r="J1163" s="39" t="inlineStr"/>
      <c r="K1163" s="34" t="inlineStr">
        <is>
          <t>Source assignment</t>
        </is>
      </c>
      <c r="L1163" s="39" t="inlineStr"/>
      <c r="M1163" s="34" t="inlineStr">
        <is>
          <t>Initial</t>
        </is>
      </c>
      <c r="N1163" s="34" t="inlineStr">
        <is>
          <t>Rev 0</t>
        </is>
      </c>
      <c r="O1163" s="34" t="inlineStr">
        <is>
          <t>R830-v1</t>
        </is>
      </c>
      <c r="P1163" s="39" t="inlineStr"/>
      <c r="Q1163" s="14" t="inlineStr"/>
      <c r="R1163" s="39" t="inlineStr"/>
      <c r="S1163" s="39" t="inlineStr"/>
      <c r="T1163" s="39" t="inlineStr"/>
      <c r="U1163" s="39" t="inlineStr"/>
      <c r="V1163" s="34" t="inlineStr">
        <is>
          <t>WBS Code = 1.5.1</t>
        </is>
      </c>
      <c r="W1163" s="14" t="inlineStr"/>
    </row>
    <row r="1164" ht="49" customHeight="1">
      <c r="A1164" s="34" t="inlineStr">
        <is>
          <t>1.5.1</t>
        </is>
      </c>
      <c r="B1164" s="34" t="inlineStr">
        <is>
          <t>Testing and Commissioning - Test Readiness</t>
        </is>
      </c>
      <c r="C1164" s="34" t="inlineStr">
        <is>
          <t>Contractor Programme</t>
        </is>
      </c>
      <c r="D1164" s="34" t="inlineStr">
        <is>
          <t>SCH-05-112</t>
        </is>
      </c>
      <c r="E1164" s="34" t="inlineStr">
        <is>
          <t>West terminal: trial-running shift - installation</t>
        </is>
      </c>
      <c r="F1164" s="34" t="inlineStr">
        <is>
          <t>ONE_TO_ONE</t>
        </is>
      </c>
      <c r="G1164" s="34" t="inlineStr">
        <is>
          <t>APPROVED</t>
        </is>
      </c>
      <c r="H1164" s="34" t="inlineStr">
        <is>
          <t>New</t>
        </is>
      </c>
      <c r="I1164" s="34" t="inlineStr">
        <is>
          <t>Source assignment -- not individually reviewed</t>
        </is>
      </c>
      <c r="J1164" s="39" t="inlineStr"/>
      <c r="K1164" s="34" t="inlineStr">
        <is>
          <t>Source assignment</t>
        </is>
      </c>
      <c r="L1164" s="39" t="inlineStr"/>
      <c r="M1164" s="34" t="inlineStr">
        <is>
          <t>Initial</t>
        </is>
      </c>
      <c r="N1164" s="34" t="inlineStr">
        <is>
          <t>Rev 0</t>
        </is>
      </c>
      <c r="O1164" s="34" t="inlineStr">
        <is>
          <t>R832-v1</t>
        </is>
      </c>
      <c r="P1164" s="39" t="inlineStr"/>
      <c r="Q1164" s="14" t="inlineStr"/>
      <c r="R1164" s="39" t="inlineStr"/>
      <c r="S1164" s="39" t="inlineStr"/>
      <c r="T1164" s="39" t="inlineStr"/>
      <c r="U1164" s="39" t="inlineStr"/>
      <c r="V1164" s="34" t="inlineStr">
        <is>
          <t>WBS Code = 1.5.1</t>
        </is>
      </c>
      <c r="W1164" s="14" t="inlineStr"/>
    </row>
    <row r="1165" ht="49" customHeight="1">
      <c r="A1165" s="34" t="inlineStr">
        <is>
          <t>1.5.1</t>
        </is>
      </c>
      <c r="B1165" s="34" t="inlineStr">
        <is>
          <t>Testing and Commissioning - Test Readiness</t>
        </is>
      </c>
      <c r="C1165" s="34" t="inlineStr">
        <is>
          <t>Contractor Programme</t>
        </is>
      </c>
      <c r="D1165" s="34" t="inlineStr">
        <is>
          <t>SCH-05-113</t>
        </is>
      </c>
      <c r="E1165" s="34" t="inlineStr">
        <is>
          <t>Depot: test procedure readiness review - inspection</t>
        </is>
      </c>
      <c r="F1165" s="34" t="inlineStr">
        <is>
          <t>ONE_TO_ONE</t>
        </is>
      </c>
      <c r="G1165" s="34" t="inlineStr">
        <is>
          <t>APPROVED</t>
        </is>
      </c>
      <c r="H1165" s="34" t="inlineStr">
        <is>
          <t>New</t>
        </is>
      </c>
      <c r="I1165" s="34" t="inlineStr">
        <is>
          <t>Source assignment -- not individually reviewed</t>
        </is>
      </c>
      <c r="J1165" s="39" t="inlineStr"/>
      <c r="K1165" s="34" t="inlineStr">
        <is>
          <t>Source assignment</t>
        </is>
      </c>
      <c r="L1165" s="39" t="inlineStr"/>
      <c r="M1165" s="34" t="inlineStr">
        <is>
          <t>Initial</t>
        </is>
      </c>
      <c r="N1165" s="34" t="inlineStr">
        <is>
          <t>Rev 0</t>
        </is>
      </c>
      <c r="O1165" s="34" t="inlineStr">
        <is>
          <t>R833-v1</t>
        </is>
      </c>
      <c r="P1165" s="39" t="inlineStr"/>
      <c r="Q1165" s="14" t="inlineStr"/>
      <c r="R1165" s="39" t="inlineStr"/>
      <c r="S1165" s="39" t="inlineStr"/>
      <c r="T1165" s="39" t="inlineStr"/>
      <c r="U1165" s="39" t="inlineStr"/>
      <c r="V1165" s="34" t="inlineStr">
        <is>
          <t>WBS Code = 1.5.1</t>
        </is>
      </c>
      <c r="W1165" s="14" t="inlineStr"/>
    </row>
    <row r="1166" ht="49" customHeight="1">
      <c r="A1166" s="34" t="inlineStr">
        <is>
          <t>1.5.1</t>
        </is>
      </c>
      <c r="B1166" s="34" t="inlineStr">
        <is>
          <t>Testing and Commissioning - Test Readiness</t>
        </is>
      </c>
      <c r="C1166" s="34" t="inlineStr">
        <is>
          <t>Contractor Programme</t>
        </is>
      </c>
      <c r="D1166" s="34" t="inlineStr">
        <is>
          <t>SCH-05-115</t>
        </is>
      </c>
      <c r="E1166" s="34" t="inlineStr">
        <is>
          <t>Mainline east: defect retest - release</t>
        </is>
      </c>
      <c r="F1166" s="34" t="inlineStr">
        <is>
          <t>ONE_TO_ONE</t>
        </is>
      </c>
      <c r="G1166" s="34" t="inlineStr">
        <is>
          <t>APPROVED</t>
        </is>
      </c>
      <c r="H1166" s="34" t="inlineStr">
        <is>
          <t>New</t>
        </is>
      </c>
      <c r="I1166" s="34" t="inlineStr">
        <is>
          <t>Source assignment -- not individually reviewed</t>
        </is>
      </c>
      <c r="J1166" s="39" t="inlineStr"/>
      <c r="K1166" s="34" t="inlineStr">
        <is>
          <t>Source assignment</t>
        </is>
      </c>
      <c r="L1166" s="39" t="inlineStr"/>
      <c r="M1166" s="34" t="inlineStr">
        <is>
          <t>Initial</t>
        </is>
      </c>
      <c r="N1166" s="34" t="inlineStr">
        <is>
          <t>Rev 0</t>
        </is>
      </c>
      <c r="O1166" s="34" t="inlineStr">
        <is>
          <t>R835-v1</t>
        </is>
      </c>
      <c r="P1166" s="39" t="inlineStr"/>
      <c r="Q1166" s="14" t="inlineStr"/>
      <c r="R1166" s="39" t="inlineStr"/>
      <c r="S1166" s="39" t="inlineStr"/>
      <c r="T1166" s="39" t="inlineStr"/>
      <c r="U1166" s="39" t="inlineStr"/>
      <c r="V1166" s="34" t="inlineStr">
        <is>
          <t>WBS Code = 1.5.1</t>
        </is>
      </c>
      <c r="W1166" s="14" t="inlineStr"/>
    </row>
    <row r="1167" ht="49" customHeight="1">
      <c r="A1167" s="34" t="inlineStr">
        <is>
          <t>1.5.1</t>
        </is>
      </c>
      <c r="B1167" s="34" t="inlineStr">
        <is>
          <t>Testing and Commissioning - Test Readiness</t>
        </is>
      </c>
      <c r="C1167" s="34" t="inlineStr">
        <is>
          <t>Contractor Programme</t>
        </is>
      </c>
      <c r="D1167" s="34" t="inlineStr">
        <is>
          <t>SCH-05-116</t>
        </is>
      </c>
      <c r="E1167" s="34" t="inlineStr">
        <is>
          <t>Central section: mainline dynamic test - field start</t>
        </is>
      </c>
      <c r="F1167" s="34" t="inlineStr">
        <is>
          <t>ONE_TO_ONE</t>
        </is>
      </c>
      <c r="G1167" s="34" t="inlineStr">
        <is>
          <t>APPROVED</t>
        </is>
      </c>
      <c r="H1167" s="34" t="inlineStr">
        <is>
          <t>New</t>
        </is>
      </c>
      <c r="I1167" s="34" t="inlineStr">
        <is>
          <t>Source assignment -- not individually reviewed</t>
        </is>
      </c>
      <c r="J1167" s="39" t="inlineStr"/>
      <c r="K1167" s="34" t="inlineStr">
        <is>
          <t>Source assignment</t>
        </is>
      </c>
      <c r="L1167" s="39" t="inlineStr"/>
      <c r="M1167" s="34" t="inlineStr">
        <is>
          <t>Initial</t>
        </is>
      </c>
      <c r="N1167" s="34" t="inlineStr">
        <is>
          <t>Rev 0</t>
        </is>
      </c>
      <c r="O1167" s="34" t="inlineStr">
        <is>
          <t>R836-v1</t>
        </is>
      </c>
      <c r="P1167" s="39" t="inlineStr"/>
      <c r="Q1167" s="14" t="inlineStr"/>
      <c r="R1167" s="39" t="inlineStr"/>
      <c r="S1167" s="39" t="inlineStr"/>
      <c r="T1167" s="39" t="inlineStr"/>
      <c r="U1167" s="39" t="inlineStr"/>
      <c r="V1167" s="34" t="inlineStr">
        <is>
          <t>WBS Code = 1.5.1</t>
        </is>
      </c>
      <c r="W1167" s="14" t="inlineStr"/>
    </row>
    <row r="1168" ht="49" customHeight="1">
      <c r="A1168" s="34" t="inlineStr">
        <is>
          <t>1.5.1</t>
        </is>
      </c>
      <c r="B1168" s="34" t="inlineStr">
        <is>
          <t>Testing and Commissioning - Test Readiness</t>
        </is>
      </c>
      <c r="C1168" s="34" t="inlineStr">
        <is>
          <t>Contractor Programme</t>
        </is>
      </c>
      <c r="D1168" s="34" t="inlineStr">
        <is>
          <t>SCH-05-118</t>
        </is>
      </c>
      <c r="E1168" s="34" t="inlineStr">
        <is>
          <t>Depot: service-readiness review - inspection</t>
        </is>
      </c>
      <c r="F1168" s="34" t="inlineStr">
        <is>
          <t>ONE_TO_ONE</t>
        </is>
      </c>
      <c r="G1168" s="34" t="inlineStr">
        <is>
          <t>APPROVED</t>
        </is>
      </c>
      <c r="H1168" s="34" t="inlineStr">
        <is>
          <t>New</t>
        </is>
      </c>
      <c r="I1168" s="34" t="inlineStr">
        <is>
          <t>Source assignment -- not individually reviewed</t>
        </is>
      </c>
      <c r="J1168" s="39" t="inlineStr"/>
      <c r="K1168" s="34" t="inlineStr">
        <is>
          <t>Source assignment</t>
        </is>
      </c>
      <c r="L1168" s="39" t="inlineStr"/>
      <c r="M1168" s="34" t="inlineStr">
        <is>
          <t>Initial</t>
        </is>
      </c>
      <c r="N1168" s="34" t="inlineStr">
        <is>
          <t>Rev 0</t>
        </is>
      </c>
      <c r="O1168" s="34" t="inlineStr">
        <is>
          <t>R838-v1</t>
        </is>
      </c>
      <c r="P1168" s="39" t="inlineStr"/>
      <c r="Q1168" s="14" t="inlineStr"/>
      <c r="R1168" s="39" t="inlineStr"/>
      <c r="S1168" s="39" t="inlineStr"/>
      <c r="T1168" s="39" t="inlineStr"/>
      <c r="U1168" s="39" t="inlineStr"/>
      <c r="V1168" s="34" t="inlineStr">
        <is>
          <t>WBS Code = 1.5.1</t>
        </is>
      </c>
      <c r="W1168" s="14" t="inlineStr"/>
    </row>
    <row r="1169" ht="49" customHeight="1">
      <c r="A1169" s="34" t="inlineStr">
        <is>
          <t>1.5.1</t>
        </is>
      </c>
      <c r="B1169" s="34" t="inlineStr">
        <is>
          <t>Testing and Commissioning - Test Readiness</t>
        </is>
      </c>
      <c r="C1169" s="34" t="inlineStr">
        <is>
          <t>Contractor Programme</t>
        </is>
      </c>
      <c r="D1169" s="34" t="inlineStr">
        <is>
          <t>SCH-05-119</t>
        </is>
      </c>
      <c r="E1169" s="34" t="inlineStr">
        <is>
          <t>Control Centre: station integrated test - turnover</t>
        </is>
      </c>
      <c r="F1169" s="34" t="inlineStr">
        <is>
          <t>ONE_TO_ONE</t>
        </is>
      </c>
      <c r="G1169" s="34" t="inlineStr">
        <is>
          <t>APPROVED</t>
        </is>
      </c>
      <c r="H1169" s="34" t="inlineStr">
        <is>
          <t>New</t>
        </is>
      </c>
      <c r="I1169" s="34" t="inlineStr">
        <is>
          <t>Source assignment -- not individually reviewed</t>
        </is>
      </c>
      <c r="J1169" s="39" t="inlineStr"/>
      <c r="K1169" s="34" t="inlineStr">
        <is>
          <t>Source assignment</t>
        </is>
      </c>
      <c r="L1169" s="39" t="inlineStr"/>
      <c r="M1169" s="34" t="inlineStr">
        <is>
          <t>Initial</t>
        </is>
      </c>
      <c r="N1169" s="34" t="inlineStr">
        <is>
          <t>Rev 0</t>
        </is>
      </c>
      <c r="O1169" s="34" t="inlineStr">
        <is>
          <t>R839-v1</t>
        </is>
      </c>
      <c r="P1169" s="39" t="inlineStr"/>
      <c r="Q1169" s="14" t="inlineStr"/>
      <c r="R1169" s="39" t="inlineStr"/>
      <c r="S1169" s="39" t="inlineStr"/>
      <c r="T1169" s="39" t="inlineStr"/>
      <c r="U1169" s="39" t="inlineStr"/>
      <c r="V1169" s="34" t="inlineStr">
        <is>
          <t>WBS Code = 1.5.1</t>
        </is>
      </c>
      <c r="W1169" s="14" t="inlineStr"/>
    </row>
    <row r="1170" ht="49" customHeight="1">
      <c r="A1170" s="34" t="inlineStr">
        <is>
          <t>1.5.1</t>
        </is>
      </c>
      <c r="B1170" s="34" t="inlineStr">
        <is>
          <t>Testing and Commissioning - Test Readiness</t>
        </is>
      </c>
      <c r="C1170" s="34" t="inlineStr">
        <is>
          <t>Contractor Programme</t>
        </is>
      </c>
      <c r="D1170" s="34" t="inlineStr">
        <is>
          <t>SCH-05-121</t>
        </is>
      </c>
      <c r="E1170" s="34" t="inlineStr">
        <is>
          <t>Central section: test procedure readiness review - field start</t>
        </is>
      </c>
      <c r="F1170" s="34" t="inlineStr">
        <is>
          <t>ONE_TO_ONE</t>
        </is>
      </c>
      <c r="G1170" s="34" t="inlineStr">
        <is>
          <t>APPROVED</t>
        </is>
      </c>
      <c r="H1170" s="34" t="inlineStr">
        <is>
          <t>New</t>
        </is>
      </c>
      <c r="I1170" s="34" t="inlineStr">
        <is>
          <t>Source assignment -- not individually reviewed</t>
        </is>
      </c>
      <c r="J1170" s="39" t="inlineStr"/>
      <c r="K1170" s="34" t="inlineStr">
        <is>
          <t>Source assignment</t>
        </is>
      </c>
      <c r="L1170" s="39" t="inlineStr"/>
      <c r="M1170" s="34" t="inlineStr">
        <is>
          <t>Initial</t>
        </is>
      </c>
      <c r="N1170" s="34" t="inlineStr">
        <is>
          <t>Rev 0</t>
        </is>
      </c>
      <c r="O1170" s="34" t="inlineStr">
        <is>
          <t>R841-v1</t>
        </is>
      </c>
      <c r="P1170" s="39" t="inlineStr"/>
      <c r="Q1170" s="14" t="inlineStr"/>
      <c r="R1170" s="39" t="inlineStr"/>
      <c r="S1170" s="39" t="inlineStr"/>
      <c r="T1170" s="39" t="inlineStr"/>
      <c r="U1170" s="39" t="inlineStr"/>
      <c r="V1170" s="34" t="inlineStr">
        <is>
          <t>WBS Code = 1.5.1</t>
        </is>
      </c>
      <c r="W1170" s="14" t="inlineStr"/>
    </row>
    <row r="1171" ht="49" customHeight="1">
      <c r="A1171" s="34" t="inlineStr">
        <is>
          <t>1.5.1</t>
        </is>
      </c>
      <c r="B1171" s="34" t="inlineStr">
        <is>
          <t>Testing and Commissioning - Test Readiness</t>
        </is>
      </c>
      <c r="C1171" s="34" t="inlineStr">
        <is>
          <t>Contractor Programme</t>
        </is>
      </c>
      <c r="D1171" s="34" t="inlineStr">
        <is>
          <t>SCH-05-122</t>
        </is>
      </c>
      <c r="E1171" s="34" t="inlineStr">
        <is>
          <t>West terminal: emergency-response drill - installation</t>
        </is>
      </c>
      <c r="F1171" s="34" t="inlineStr">
        <is>
          <t>ONE_TO_ONE</t>
        </is>
      </c>
      <c r="G1171" s="34" t="inlineStr">
        <is>
          <t>APPROVED</t>
        </is>
      </c>
      <c r="H1171" s="34" t="inlineStr">
        <is>
          <t>New</t>
        </is>
      </c>
      <c r="I1171" s="34" t="inlineStr">
        <is>
          <t>Source assignment -- not individually reviewed</t>
        </is>
      </c>
      <c r="J1171" s="39" t="inlineStr"/>
      <c r="K1171" s="34" t="inlineStr">
        <is>
          <t>Source assignment</t>
        </is>
      </c>
      <c r="L1171" s="39" t="inlineStr"/>
      <c r="M1171" s="34" t="inlineStr">
        <is>
          <t>Initial</t>
        </is>
      </c>
      <c r="N1171" s="34" t="inlineStr">
        <is>
          <t>Rev 0</t>
        </is>
      </c>
      <c r="O1171" s="34" t="inlineStr">
        <is>
          <t>R842-v1</t>
        </is>
      </c>
      <c r="P1171" s="39" t="inlineStr"/>
      <c r="Q1171" s="14" t="inlineStr"/>
      <c r="R1171" s="39" t="inlineStr"/>
      <c r="S1171" s="39" t="inlineStr"/>
      <c r="T1171" s="39" t="inlineStr"/>
      <c r="U1171" s="39" t="inlineStr"/>
      <c r="V1171" s="34" t="inlineStr">
        <is>
          <t>WBS Code = 1.5.1</t>
        </is>
      </c>
      <c r="W1171" s="14" t="inlineStr"/>
    </row>
    <row r="1172" ht="49" customHeight="1">
      <c r="A1172" s="34" t="inlineStr">
        <is>
          <t>1.5.1</t>
        </is>
      </c>
      <c r="B1172" s="34" t="inlineStr">
        <is>
          <t>Testing and Commissioning - Test Readiness</t>
        </is>
      </c>
      <c r="C1172" s="34" t="inlineStr">
        <is>
          <t>Contractor Programme</t>
        </is>
      </c>
      <c r="D1172" s="34" t="inlineStr">
        <is>
          <t>SCH-05-124</t>
        </is>
      </c>
      <c r="E1172" s="34" t="inlineStr">
        <is>
          <t>Control Centre: mainline dynamic test - turnover</t>
        </is>
      </c>
      <c r="F1172" s="34" t="inlineStr">
        <is>
          <t>ONE_TO_ONE</t>
        </is>
      </c>
      <c r="G1172" s="34" t="inlineStr">
        <is>
          <t>APPROVED</t>
        </is>
      </c>
      <c r="H1172" s="34" t="inlineStr">
        <is>
          <t>New</t>
        </is>
      </c>
      <c r="I1172" s="34" t="inlineStr">
        <is>
          <t>Source assignment -- not individually reviewed</t>
        </is>
      </c>
      <c r="J1172" s="39" t="inlineStr"/>
      <c r="K1172" s="34" t="inlineStr">
        <is>
          <t>Source assignment</t>
        </is>
      </c>
      <c r="L1172" s="39" t="inlineStr"/>
      <c r="M1172" s="34" t="inlineStr">
        <is>
          <t>Initial</t>
        </is>
      </c>
      <c r="N1172" s="34" t="inlineStr">
        <is>
          <t>Rev 0</t>
        </is>
      </c>
      <c r="O1172" s="34" t="inlineStr">
        <is>
          <t>R844-v1</t>
        </is>
      </c>
      <c r="P1172" s="39" t="inlineStr"/>
      <c r="Q1172" s="14" t="inlineStr"/>
      <c r="R1172" s="39" t="inlineStr"/>
      <c r="S1172" s="39" t="inlineStr"/>
      <c r="T1172" s="39" t="inlineStr"/>
      <c r="U1172" s="39" t="inlineStr"/>
      <c r="V1172" s="34" t="inlineStr">
        <is>
          <t>WBS Code = 1.5.1</t>
        </is>
      </c>
      <c r="W1172" s="14" t="inlineStr"/>
    </row>
    <row r="1173" ht="49" customHeight="1">
      <c r="A1173" s="34" t="inlineStr">
        <is>
          <t>1.5.1</t>
        </is>
      </c>
      <c r="B1173" s="34" t="inlineStr">
        <is>
          <t>Testing and Commissioning - Test Readiness</t>
        </is>
      </c>
      <c r="C1173" s="34" t="inlineStr">
        <is>
          <t>Contractor Programme</t>
        </is>
      </c>
      <c r="D1173" s="34" t="inlineStr">
        <is>
          <t>SCH-05-125</t>
        </is>
      </c>
      <c r="E1173" s="34" t="inlineStr">
        <is>
          <t>Mainline east: safety certificate evidence closeout - release</t>
        </is>
      </c>
      <c r="F1173" s="34" t="inlineStr">
        <is>
          <t>ONE_TO_ONE</t>
        </is>
      </c>
      <c r="G1173" s="34" t="inlineStr">
        <is>
          <t>APPROVED</t>
        </is>
      </c>
      <c r="H1173" s="34" t="inlineStr">
        <is>
          <t>New</t>
        </is>
      </c>
      <c r="I1173" s="34" t="inlineStr">
        <is>
          <t>Source assignment -- not individually reviewed</t>
        </is>
      </c>
      <c r="J1173" s="39" t="inlineStr"/>
      <c r="K1173" s="34" t="inlineStr">
        <is>
          <t>Source assignment</t>
        </is>
      </c>
      <c r="L1173" s="39" t="inlineStr"/>
      <c r="M1173" s="34" t="inlineStr">
        <is>
          <t>Initial</t>
        </is>
      </c>
      <c r="N1173" s="34" t="inlineStr">
        <is>
          <t>Rev 0</t>
        </is>
      </c>
      <c r="O1173" s="34" t="inlineStr">
        <is>
          <t>R845-v1</t>
        </is>
      </c>
      <c r="P1173" s="39" t="inlineStr"/>
      <c r="Q1173" s="14" t="inlineStr"/>
      <c r="R1173" s="39" t="inlineStr"/>
      <c r="S1173" s="39" t="inlineStr"/>
      <c r="T1173" s="39" t="inlineStr"/>
      <c r="U1173" s="39" t="inlineStr"/>
      <c r="V1173" s="34" t="inlineStr">
        <is>
          <t>WBS Code = 1.5.1</t>
        </is>
      </c>
      <c r="W1173" s="14" t="inlineStr"/>
    </row>
    <row r="1174" ht="49" customHeight="1">
      <c r="A1174" s="34" t="inlineStr">
        <is>
          <t>1.5.1</t>
        </is>
      </c>
      <c r="B1174" s="34" t="inlineStr">
        <is>
          <t>Testing and Commissioning - Test Readiness</t>
        </is>
      </c>
      <c r="C1174" s="34" t="inlineStr">
        <is>
          <t>Contractor Programme</t>
        </is>
      </c>
      <c r="D1174" s="34" t="inlineStr">
        <is>
          <t>SCH-05-127</t>
        </is>
      </c>
      <c r="E1174" s="34" t="inlineStr">
        <is>
          <t>West terminal: station integrated test - installation</t>
        </is>
      </c>
      <c r="F1174" s="34" t="inlineStr">
        <is>
          <t>ONE_TO_ONE</t>
        </is>
      </c>
      <c r="G1174" s="34" t="inlineStr">
        <is>
          <t>APPROVED</t>
        </is>
      </c>
      <c r="H1174" s="34" t="inlineStr">
        <is>
          <t>New</t>
        </is>
      </c>
      <c r="I1174" s="34" t="inlineStr">
        <is>
          <t>Source assignment -- not individually reviewed</t>
        </is>
      </c>
      <c r="J1174" s="39" t="inlineStr"/>
      <c r="K1174" s="34" t="inlineStr">
        <is>
          <t>Source assignment</t>
        </is>
      </c>
      <c r="L1174" s="39" t="inlineStr"/>
      <c r="M1174" s="34" t="inlineStr">
        <is>
          <t>Initial</t>
        </is>
      </c>
      <c r="N1174" s="34" t="inlineStr">
        <is>
          <t>Rev 0</t>
        </is>
      </c>
      <c r="O1174" s="34" t="inlineStr">
        <is>
          <t>R847-v1</t>
        </is>
      </c>
      <c r="P1174" s="39" t="inlineStr"/>
      <c r="Q1174" s="14" t="inlineStr"/>
      <c r="R1174" s="39" t="inlineStr"/>
      <c r="S1174" s="39" t="inlineStr"/>
      <c r="T1174" s="39" t="inlineStr"/>
      <c r="U1174" s="39" t="inlineStr"/>
      <c r="V1174" s="34" t="inlineStr">
        <is>
          <t>WBS Code = 1.5.1</t>
        </is>
      </c>
      <c r="W1174" s="14" t="inlineStr"/>
    </row>
    <row r="1175" ht="49" customHeight="1">
      <c r="A1175" s="34" t="inlineStr">
        <is>
          <t>1.5.1</t>
        </is>
      </c>
      <c r="B1175" s="34" t="inlineStr">
        <is>
          <t>Testing and Commissioning - Test Readiness</t>
        </is>
      </c>
      <c r="C1175" s="34" t="inlineStr">
        <is>
          <t>Contractor Programme</t>
        </is>
      </c>
      <c r="D1175" s="34" t="inlineStr">
        <is>
          <t>SCH-05-128</t>
        </is>
      </c>
      <c r="E1175" s="34" t="inlineStr">
        <is>
          <t>Depot: trial-running shift - inspection</t>
        </is>
      </c>
      <c r="F1175" s="34" t="inlineStr">
        <is>
          <t>ONE_TO_ONE</t>
        </is>
      </c>
      <c r="G1175" s="34" t="inlineStr">
        <is>
          <t>APPROVED</t>
        </is>
      </c>
      <c r="H1175" s="34" t="inlineStr">
        <is>
          <t>New</t>
        </is>
      </c>
      <c r="I1175" s="34" t="inlineStr">
        <is>
          <t>Source assignment -- not individually reviewed</t>
        </is>
      </c>
      <c r="J1175" s="39" t="inlineStr"/>
      <c r="K1175" s="34" t="inlineStr">
        <is>
          <t>Source assignment</t>
        </is>
      </c>
      <c r="L1175" s="39" t="inlineStr"/>
      <c r="M1175" s="34" t="inlineStr">
        <is>
          <t>Initial</t>
        </is>
      </c>
      <c r="N1175" s="34" t="inlineStr">
        <is>
          <t>Rev 0</t>
        </is>
      </c>
      <c r="O1175" s="34" t="inlineStr">
        <is>
          <t>R848-v1</t>
        </is>
      </c>
      <c r="P1175" s="39" t="inlineStr"/>
      <c r="Q1175" s="14" t="inlineStr"/>
      <c r="R1175" s="39" t="inlineStr"/>
      <c r="S1175" s="39" t="inlineStr"/>
      <c r="T1175" s="39" t="inlineStr"/>
      <c r="U1175" s="39" t="inlineStr"/>
      <c r="V1175" s="34" t="inlineStr">
        <is>
          <t>WBS Code = 1.5.1</t>
        </is>
      </c>
      <c r="W1175" s="14" t="inlineStr"/>
    </row>
    <row r="1176" ht="49" customHeight="1">
      <c r="A1176" s="34" t="inlineStr">
        <is>
          <t>1.5.1</t>
        </is>
      </c>
      <c r="B1176" s="34" t="inlineStr">
        <is>
          <t>Testing and Commissioning - Test Readiness</t>
        </is>
      </c>
      <c r="C1176" s="34" t="inlineStr">
        <is>
          <t>Contractor Programme</t>
        </is>
      </c>
      <c r="D1176" s="34" t="inlineStr">
        <is>
          <t>SCH-05-130</t>
        </is>
      </c>
      <c r="E1176" s="34" t="inlineStr">
        <is>
          <t>Mainline east: emergency-response drill - release</t>
        </is>
      </c>
      <c r="F1176" s="34" t="inlineStr">
        <is>
          <t>ONE_TO_ONE</t>
        </is>
      </c>
      <c r="G1176" s="34" t="inlineStr">
        <is>
          <t>APPROVED</t>
        </is>
      </c>
      <c r="H1176" s="34" t="inlineStr">
        <is>
          <t>New</t>
        </is>
      </c>
      <c r="I1176" s="34" t="inlineStr">
        <is>
          <t>Source assignment -- not individually reviewed</t>
        </is>
      </c>
      <c r="J1176" s="39" t="inlineStr"/>
      <c r="K1176" s="34" t="inlineStr">
        <is>
          <t>Source assignment</t>
        </is>
      </c>
      <c r="L1176" s="39" t="inlineStr"/>
      <c r="M1176" s="34" t="inlineStr">
        <is>
          <t>Initial</t>
        </is>
      </c>
      <c r="N1176" s="34" t="inlineStr">
        <is>
          <t>Rev 0</t>
        </is>
      </c>
      <c r="O1176" s="34" t="inlineStr">
        <is>
          <t>R850-v1</t>
        </is>
      </c>
      <c r="P1176" s="39" t="inlineStr"/>
      <c r="Q1176" s="14" t="inlineStr"/>
      <c r="R1176" s="39" t="inlineStr"/>
      <c r="S1176" s="39" t="inlineStr"/>
      <c r="T1176" s="39" t="inlineStr"/>
      <c r="U1176" s="39" t="inlineStr"/>
      <c r="V1176" s="34" t="inlineStr">
        <is>
          <t>WBS Code = 1.5.1</t>
        </is>
      </c>
      <c r="W1176" s="14" t="inlineStr"/>
    </row>
    <row r="1177" ht="49" customHeight="1">
      <c r="A1177" s="34" t="inlineStr">
        <is>
          <t>1.5.1</t>
        </is>
      </c>
      <c r="B1177" s="34" t="inlineStr">
        <is>
          <t>Testing and Commissioning - Test Readiness</t>
        </is>
      </c>
      <c r="C1177" s="34" t="inlineStr">
        <is>
          <t>Contractor Programme</t>
        </is>
      </c>
      <c r="D1177" s="34" t="inlineStr">
        <is>
          <t>SCH-05-131</t>
        </is>
      </c>
      <c r="E1177" s="34" t="inlineStr">
        <is>
          <t>Central section: defect retest - field start</t>
        </is>
      </c>
      <c r="F1177" s="34" t="inlineStr">
        <is>
          <t>ONE_TO_ONE</t>
        </is>
      </c>
      <c r="G1177" s="34" t="inlineStr">
        <is>
          <t>APPROVED</t>
        </is>
      </c>
      <c r="H1177" s="34" t="inlineStr">
        <is>
          <t>New</t>
        </is>
      </c>
      <c r="I1177" s="34" t="inlineStr">
        <is>
          <t>Source assignment -- not individually reviewed</t>
        </is>
      </c>
      <c r="J1177" s="39" t="inlineStr"/>
      <c r="K1177" s="34" t="inlineStr">
        <is>
          <t>Source assignment</t>
        </is>
      </c>
      <c r="L1177" s="39" t="inlineStr"/>
      <c r="M1177" s="34" t="inlineStr">
        <is>
          <t>Initial</t>
        </is>
      </c>
      <c r="N1177" s="34" t="inlineStr">
        <is>
          <t>Rev 0</t>
        </is>
      </c>
      <c r="O1177" s="34" t="inlineStr">
        <is>
          <t>R851-v1</t>
        </is>
      </c>
      <c r="P1177" s="39" t="inlineStr"/>
      <c r="Q1177" s="14" t="inlineStr"/>
      <c r="R1177" s="39" t="inlineStr"/>
      <c r="S1177" s="39" t="inlineStr"/>
      <c r="T1177" s="39" t="inlineStr"/>
      <c r="U1177" s="39" t="inlineStr"/>
      <c r="V1177" s="34" t="inlineStr">
        <is>
          <t>WBS Code = 1.5.1</t>
        </is>
      </c>
      <c r="W1177" s="14" t="inlineStr"/>
    </row>
    <row r="1178" ht="49" customHeight="1">
      <c r="A1178" s="34" t="inlineStr">
        <is>
          <t>1.5.1</t>
        </is>
      </c>
      <c r="B1178" s="34" t="inlineStr">
        <is>
          <t>Testing and Commissioning - Test Readiness</t>
        </is>
      </c>
      <c r="C1178" s="34" t="inlineStr">
        <is>
          <t>Contractor Programme</t>
        </is>
      </c>
      <c r="D1178" s="34" t="inlineStr">
        <is>
          <t>SCH-05-133</t>
        </is>
      </c>
      <c r="E1178" s="34" t="inlineStr">
        <is>
          <t>Depot: safety certificate evidence closeout - inspection</t>
        </is>
      </c>
      <c r="F1178" s="34" t="inlineStr">
        <is>
          <t>ONE_TO_ONE</t>
        </is>
      </c>
      <c r="G1178" s="34" t="inlineStr">
        <is>
          <t>APPROVED</t>
        </is>
      </c>
      <c r="H1178" s="34" t="inlineStr">
        <is>
          <t>New</t>
        </is>
      </c>
      <c r="I1178" s="34" t="inlineStr">
        <is>
          <t>Source assignment -- not individually reviewed</t>
        </is>
      </c>
      <c r="J1178" s="39" t="inlineStr"/>
      <c r="K1178" s="34" t="inlineStr">
        <is>
          <t>Source assignment</t>
        </is>
      </c>
      <c r="L1178" s="39" t="inlineStr"/>
      <c r="M1178" s="34" t="inlineStr">
        <is>
          <t>Initial</t>
        </is>
      </c>
      <c r="N1178" s="34" t="inlineStr">
        <is>
          <t>Rev 0</t>
        </is>
      </c>
      <c r="O1178" s="34" t="inlineStr">
        <is>
          <t>R853-v1</t>
        </is>
      </c>
      <c r="P1178" s="39" t="inlineStr"/>
      <c r="Q1178" s="14" t="inlineStr"/>
      <c r="R1178" s="39" t="inlineStr"/>
      <c r="S1178" s="39" t="inlineStr"/>
      <c r="T1178" s="39" t="inlineStr"/>
      <c r="U1178" s="39" t="inlineStr"/>
      <c r="V1178" s="34" t="inlineStr">
        <is>
          <t>WBS Code = 1.5.1</t>
        </is>
      </c>
      <c r="W1178" s="14" t="inlineStr"/>
    </row>
    <row r="1179" ht="49" customHeight="1">
      <c r="A1179" s="34" t="inlineStr">
        <is>
          <t>1.5.1</t>
        </is>
      </c>
      <c r="B1179" s="34" t="inlineStr">
        <is>
          <t>Testing and Commissioning - Test Readiness</t>
        </is>
      </c>
      <c r="C1179" s="34" t="inlineStr">
        <is>
          <t>Contractor Programme</t>
        </is>
      </c>
      <c r="D1179" s="34" t="inlineStr">
        <is>
          <t>SCH-05-134</t>
        </is>
      </c>
      <c r="E1179" s="34" t="inlineStr">
        <is>
          <t>Control Centre: service-readiness review - turnover</t>
        </is>
      </c>
      <c r="F1179" s="34" t="inlineStr">
        <is>
          <t>ONE_TO_ONE</t>
        </is>
      </c>
      <c r="G1179" s="34" t="inlineStr">
        <is>
          <t>APPROVED</t>
        </is>
      </c>
      <c r="H1179" s="34" t="inlineStr">
        <is>
          <t>New</t>
        </is>
      </c>
      <c r="I1179" s="34" t="inlineStr">
        <is>
          <t>Source assignment -- not individually reviewed</t>
        </is>
      </c>
      <c r="J1179" s="39" t="inlineStr"/>
      <c r="K1179" s="34" t="inlineStr">
        <is>
          <t>Source assignment</t>
        </is>
      </c>
      <c r="L1179" s="39" t="inlineStr"/>
      <c r="M1179" s="34" t="inlineStr">
        <is>
          <t>Initial</t>
        </is>
      </c>
      <c r="N1179" s="34" t="inlineStr">
        <is>
          <t>Rev 0</t>
        </is>
      </c>
      <c r="O1179" s="34" t="inlineStr">
        <is>
          <t>R854-v1</t>
        </is>
      </c>
      <c r="P1179" s="39" t="inlineStr"/>
      <c r="Q1179" s="14" t="inlineStr"/>
      <c r="R1179" s="39" t="inlineStr"/>
      <c r="S1179" s="39" t="inlineStr"/>
      <c r="T1179" s="39" t="inlineStr"/>
      <c r="U1179" s="39" t="inlineStr"/>
      <c r="V1179" s="34" t="inlineStr">
        <is>
          <t>WBS Code = 1.5.1</t>
        </is>
      </c>
      <c r="W1179" s="14" t="inlineStr"/>
    </row>
    <row r="1180" ht="49" customHeight="1">
      <c r="A1180" s="34" t="inlineStr">
        <is>
          <t>1.5.1</t>
        </is>
      </c>
      <c r="B1180" s="34" t="inlineStr">
        <is>
          <t>Testing and Commissioning - Test Readiness</t>
        </is>
      </c>
      <c r="C1180" s="34" t="inlineStr">
        <is>
          <t>Contractor Programme</t>
        </is>
      </c>
      <c r="D1180" s="34" t="inlineStr">
        <is>
          <t>SCH-05-136</t>
        </is>
      </c>
      <c r="E1180" s="34" t="inlineStr">
        <is>
          <t>Central section: trial-running shift - field start</t>
        </is>
      </c>
      <c r="F1180" s="34" t="inlineStr">
        <is>
          <t>ONE_TO_ONE</t>
        </is>
      </c>
      <c r="G1180" s="34" t="inlineStr">
        <is>
          <t>APPROVED</t>
        </is>
      </c>
      <c r="H1180" s="34" t="inlineStr">
        <is>
          <t>New</t>
        </is>
      </c>
      <c r="I1180" s="34" t="inlineStr">
        <is>
          <t>Source assignment -- not individually reviewed</t>
        </is>
      </c>
      <c r="J1180" s="39" t="inlineStr"/>
      <c r="K1180" s="34" t="inlineStr">
        <is>
          <t>Source assignment</t>
        </is>
      </c>
      <c r="L1180" s="39" t="inlineStr"/>
      <c r="M1180" s="34" t="inlineStr">
        <is>
          <t>Initial</t>
        </is>
      </c>
      <c r="N1180" s="34" t="inlineStr">
        <is>
          <t>Rev 0</t>
        </is>
      </c>
      <c r="O1180" s="34" t="inlineStr">
        <is>
          <t>R856-v1</t>
        </is>
      </c>
      <c r="P1180" s="39" t="inlineStr"/>
      <c r="Q1180" s="14" t="inlineStr"/>
      <c r="R1180" s="39" t="inlineStr"/>
      <c r="S1180" s="39" t="inlineStr"/>
      <c r="T1180" s="39" t="inlineStr"/>
      <c r="U1180" s="39" t="inlineStr"/>
      <c r="V1180" s="34" t="inlineStr">
        <is>
          <t>WBS Code = 1.5.1</t>
        </is>
      </c>
      <c r="W1180" s="14" t="inlineStr"/>
    </row>
    <row r="1181" ht="49" customHeight="1">
      <c r="A1181" s="34" t="inlineStr">
        <is>
          <t>1.5.1</t>
        </is>
      </c>
      <c r="B1181" s="34" t="inlineStr">
        <is>
          <t>Testing and Commissioning - Test Readiness</t>
        </is>
      </c>
      <c r="C1181" s="34" t="inlineStr">
        <is>
          <t>Contractor Programme</t>
        </is>
      </c>
      <c r="D1181" s="34" t="inlineStr">
        <is>
          <t>SCH-05-137</t>
        </is>
      </c>
      <c r="E1181" s="34" t="inlineStr">
        <is>
          <t>West terminal: test procedure readiness review - installation</t>
        </is>
      </c>
      <c r="F1181" s="34" t="inlineStr">
        <is>
          <t>ONE_TO_ONE</t>
        </is>
      </c>
      <c r="G1181" s="34" t="inlineStr">
        <is>
          <t>APPROVED</t>
        </is>
      </c>
      <c r="H1181" s="34" t="inlineStr">
        <is>
          <t>New</t>
        </is>
      </c>
      <c r="I1181" s="34" t="inlineStr">
        <is>
          <t>Source assignment -- not individually reviewed</t>
        </is>
      </c>
      <c r="J1181" s="39" t="inlineStr"/>
      <c r="K1181" s="34" t="inlineStr">
        <is>
          <t>Source assignment</t>
        </is>
      </c>
      <c r="L1181" s="39" t="inlineStr"/>
      <c r="M1181" s="34" t="inlineStr">
        <is>
          <t>Initial</t>
        </is>
      </c>
      <c r="N1181" s="34" t="inlineStr">
        <is>
          <t>Rev 0</t>
        </is>
      </c>
      <c r="O1181" s="34" t="inlineStr">
        <is>
          <t>R857-v1</t>
        </is>
      </c>
      <c r="P1181" s="39" t="inlineStr"/>
      <c r="Q1181" s="14" t="inlineStr"/>
      <c r="R1181" s="39" t="inlineStr"/>
      <c r="S1181" s="39" t="inlineStr"/>
      <c r="T1181" s="39" t="inlineStr"/>
      <c r="U1181" s="39" t="inlineStr"/>
      <c r="V1181" s="34" t="inlineStr">
        <is>
          <t>WBS Code = 1.5.1</t>
        </is>
      </c>
      <c r="W1181" s="14" t="inlineStr"/>
    </row>
    <row r="1182" ht="49" customHeight="1">
      <c r="A1182" s="34" t="inlineStr">
        <is>
          <t>1.5.1</t>
        </is>
      </c>
      <c r="B1182" s="34" t="inlineStr">
        <is>
          <t>Testing and Commissioning - Test Readiness</t>
        </is>
      </c>
      <c r="C1182" s="34" t="inlineStr">
        <is>
          <t>Contractor Programme</t>
        </is>
      </c>
      <c r="D1182" s="34" t="inlineStr">
        <is>
          <t>SCH-05-139</t>
        </is>
      </c>
      <c r="E1182" s="34" t="inlineStr">
        <is>
          <t>Control Centre: defect retest - turnover</t>
        </is>
      </c>
      <c r="F1182" s="34" t="inlineStr">
        <is>
          <t>ONE_TO_ONE</t>
        </is>
      </c>
      <c r="G1182" s="34" t="inlineStr">
        <is>
          <t>APPROVED</t>
        </is>
      </c>
      <c r="H1182" s="34" t="inlineStr">
        <is>
          <t>New</t>
        </is>
      </c>
      <c r="I1182" s="34" t="inlineStr">
        <is>
          <t>Source assignment -- not individually reviewed</t>
        </is>
      </c>
      <c r="J1182" s="39" t="inlineStr"/>
      <c r="K1182" s="34" t="inlineStr">
        <is>
          <t>Source assignment</t>
        </is>
      </c>
      <c r="L1182" s="39" t="inlineStr"/>
      <c r="M1182" s="34" t="inlineStr">
        <is>
          <t>Initial</t>
        </is>
      </c>
      <c r="N1182" s="34" t="inlineStr">
        <is>
          <t>Rev 0</t>
        </is>
      </c>
      <c r="O1182" s="34" t="inlineStr">
        <is>
          <t>R859-v1</t>
        </is>
      </c>
      <c r="P1182" s="39" t="inlineStr"/>
      <c r="Q1182" s="14" t="inlineStr"/>
      <c r="R1182" s="39" t="inlineStr"/>
      <c r="S1182" s="39" t="inlineStr"/>
      <c r="T1182" s="39" t="inlineStr"/>
      <c r="U1182" s="39" t="inlineStr"/>
      <c r="V1182" s="34" t="inlineStr">
        <is>
          <t>WBS Code = 1.5.1</t>
        </is>
      </c>
      <c r="W1182" s="14" t="inlineStr"/>
    </row>
    <row r="1183" ht="49" customHeight="1">
      <c r="A1183" s="34" t="inlineStr">
        <is>
          <t>1.5.1</t>
        </is>
      </c>
      <c r="B1183" s="34" t="inlineStr">
        <is>
          <t>Testing and Commissioning - Test Readiness</t>
        </is>
      </c>
      <c r="C1183" s="34" t="inlineStr">
        <is>
          <t>Contractor Programme</t>
        </is>
      </c>
      <c r="D1183" s="34" t="inlineStr">
        <is>
          <t>SCH-05-140</t>
        </is>
      </c>
      <c r="E1183" s="34" t="inlineStr">
        <is>
          <t>Mainline east: mainline dynamic test - release</t>
        </is>
      </c>
      <c r="F1183" s="34" t="inlineStr">
        <is>
          <t>ONE_TO_ONE</t>
        </is>
      </c>
      <c r="G1183" s="34" t="inlineStr">
        <is>
          <t>APPROVED</t>
        </is>
      </c>
      <c r="H1183" s="34" t="inlineStr">
        <is>
          <t>New</t>
        </is>
      </c>
      <c r="I1183" s="34" t="inlineStr">
        <is>
          <t>Source assignment -- not individually reviewed</t>
        </is>
      </c>
      <c r="J1183" s="39" t="inlineStr"/>
      <c r="K1183" s="34" t="inlineStr">
        <is>
          <t>Source assignment</t>
        </is>
      </c>
      <c r="L1183" s="39" t="inlineStr"/>
      <c r="M1183" s="34" t="inlineStr">
        <is>
          <t>Initial</t>
        </is>
      </c>
      <c r="N1183" s="34" t="inlineStr">
        <is>
          <t>Rev 0</t>
        </is>
      </c>
      <c r="O1183" s="34" t="inlineStr">
        <is>
          <t>R860-v1</t>
        </is>
      </c>
      <c r="P1183" s="39" t="inlineStr"/>
      <c r="Q1183" s="14" t="inlineStr"/>
      <c r="R1183" s="39" t="inlineStr"/>
      <c r="S1183" s="39" t="inlineStr"/>
      <c r="T1183" s="39" t="inlineStr"/>
      <c r="U1183" s="39" t="inlineStr"/>
      <c r="V1183" s="34" t="inlineStr">
        <is>
          <t>WBS Code = 1.5.1</t>
        </is>
      </c>
      <c r="W1183" s="14" t="inlineStr"/>
    </row>
    <row r="1184" ht="49" customHeight="1">
      <c r="A1184" s="34" t="inlineStr">
        <is>
          <t>1.5.1</t>
        </is>
      </c>
      <c r="B1184" s="34" t="inlineStr">
        <is>
          <t>Testing and Commissioning - Test Readiness</t>
        </is>
      </c>
      <c r="C1184" s="34" t="inlineStr">
        <is>
          <t>Contractor Programme</t>
        </is>
      </c>
      <c r="D1184" s="34" t="inlineStr">
        <is>
          <t>SCH-05-142</t>
        </is>
      </c>
      <c r="E1184" s="34" t="inlineStr">
        <is>
          <t>West terminal: service-readiness review - installation</t>
        </is>
      </c>
      <c r="F1184" s="34" t="inlineStr">
        <is>
          <t>ONE_TO_ONE</t>
        </is>
      </c>
      <c r="G1184" s="34" t="inlineStr">
        <is>
          <t>APPROVED</t>
        </is>
      </c>
      <c r="H1184" s="34" t="inlineStr">
        <is>
          <t>New</t>
        </is>
      </c>
      <c r="I1184" s="34" t="inlineStr">
        <is>
          <t>Source assignment -- not individually reviewed</t>
        </is>
      </c>
      <c r="J1184" s="39" t="inlineStr"/>
      <c r="K1184" s="34" t="inlineStr">
        <is>
          <t>Source assignment</t>
        </is>
      </c>
      <c r="L1184" s="39" t="inlineStr"/>
      <c r="M1184" s="34" t="inlineStr">
        <is>
          <t>Initial</t>
        </is>
      </c>
      <c r="N1184" s="34" t="inlineStr">
        <is>
          <t>Rev 0</t>
        </is>
      </c>
      <c r="O1184" s="34" t="inlineStr">
        <is>
          <t>R862-v1</t>
        </is>
      </c>
      <c r="P1184" s="39" t="inlineStr"/>
      <c r="Q1184" s="14" t="inlineStr"/>
      <c r="R1184" s="39" t="inlineStr"/>
      <c r="S1184" s="39" t="inlineStr"/>
      <c r="T1184" s="39" t="inlineStr"/>
      <c r="U1184" s="39" t="inlineStr"/>
      <c r="V1184" s="34" t="inlineStr">
        <is>
          <t>WBS Code = 1.5.1</t>
        </is>
      </c>
      <c r="W1184" s="14" t="inlineStr"/>
    </row>
    <row r="1185" ht="49" customHeight="1">
      <c r="A1185" s="34" t="inlineStr">
        <is>
          <t>1.5.1</t>
        </is>
      </c>
      <c r="B1185" s="34" t="inlineStr">
        <is>
          <t>Testing and Commissioning - Test Readiness</t>
        </is>
      </c>
      <c r="C1185" s="34" t="inlineStr">
        <is>
          <t>Contractor Programme</t>
        </is>
      </c>
      <c r="D1185" s="34" t="inlineStr">
        <is>
          <t>SCH-05-143</t>
        </is>
      </c>
      <c r="E1185" s="34" t="inlineStr">
        <is>
          <t>Depot: station integrated test - inspection</t>
        </is>
      </c>
      <c r="F1185" s="34" t="inlineStr">
        <is>
          <t>ONE_TO_ONE</t>
        </is>
      </c>
      <c r="G1185" s="34" t="inlineStr">
        <is>
          <t>APPROVED</t>
        </is>
      </c>
      <c r="H1185" s="34" t="inlineStr">
        <is>
          <t>New</t>
        </is>
      </c>
      <c r="I1185" s="34" t="inlineStr">
        <is>
          <t>Source assignment -- not individually reviewed</t>
        </is>
      </c>
      <c r="J1185" s="39" t="inlineStr"/>
      <c r="K1185" s="34" t="inlineStr">
        <is>
          <t>Source assignment</t>
        </is>
      </c>
      <c r="L1185" s="39" t="inlineStr"/>
      <c r="M1185" s="34" t="inlineStr">
        <is>
          <t>Initial</t>
        </is>
      </c>
      <c r="N1185" s="34" t="inlineStr">
        <is>
          <t>Rev 0</t>
        </is>
      </c>
      <c r="O1185" s="34" t="inlineStr">
        <is>
          <t>R863-v1</t>
        </is>
      </c>
      <c r="P1185" s="39" t="inlineStr"/>
      <c r="Q1185" s="14" t="inlineStr"/>
      <c r="R1185" s="39" t="inlineStr"/>
      <c r="S1185" s="39" t="inlineStr"/>
      <c r="T1185" s="39" t="inlineStr"/>
      <c r="U1185" s="39" t="inlineStr"/>
      <c r="V1185" s="34" t="inlineStr">
        <is>
          <t>WBS Code = 1.5.1</t>
        </is>
      </c>
      <c r="W1185" s="14" t="inlineStr"/>
    </row>
    <row r="1186" ht="49" customHeight="1">
      <c r="A1186" s="34" t="inlineStr">
        <is>
          <t>1.5.1</t>
        </is>
      </c>
      <c r="B1186" s="34" t="inlineStr">
        <is>
          <t>Testing and Commissioning - Test Readiness</t>
        </is>
      </c>
      <c r="C1186" s="34" t="inlineStr">
        <is>
          <t>Contractor Programme</t>
        </is>
      </c>
      <c r="D1186" s="34" t="inlineStr">
        <is>
          <t>SCH-05-145</t>
        </is>
      </c>
      <c r="E1186" s="34" t="inlineStr">
        <is>
          <t>Mainline east: test procedure readiness review - release</t>
        </is>
      </c>
      <c r="F1186" s="34" t="inlineStr">
        <is>
          <t>ONE_TO_ONE</t>
        </is>
      </c>
      <c r="G1186" s="34" t="inlineStr">
        <is>
          <t>APPROVED</t>
        </is>
      </c>
      <c r="H1186" s="34" t="inlineStr">
        <is>
          <t>New</t>
        </is>
      </c>
      <c r="I1186" s="34" t="inlineStr">
        <is>
          <t>Source assignment -- not individually reviewed</t>
        </is>
      </c>
      <c r="J1186" s="39" t="inlineStr"/>
      <c r="K1186" s="34" t="inlineStr">
        <is>
          <t>Source assignment</t>
        </is>
      </c>
      <c r="L1186" s="39" t="inlineStr"/>
      <c r="M1186" s="34" t="inlineStr">
        <is>
          <t>Initial</t>
        </is>
      </c>
      <c r="N1186" s="34" t="inlineStr">
        <is>
          <t>Rev 0</t>
        </is>
      </c>
      <c r="O1186" s="34" t="inlineStr">
        <is>
          <t>R865-v1</t>
        </is>
      </c>
      <c r="P1186" s="39" t="inlineStr"/>
      <c r="Q1186" s="14" t="inlineStr"/>
      <c r="R1186" s="39" t="inlineStr"/>
      <c r="S1186" s="39" t="inlineStr"/>
      <c r="T1186" s="39" t="inlineStr"/>
      <c r="U1186" s="39" t="inlineStr"/>
      <c r="V1186" s="34" t="inlineStr">
        <is>
          <t>WBS Code = 1.5.1</t>
        </is>
      </c>
      <c r="W1186" s="14" t="inlineStr"/>
    </row>
    <row r="1187" ht="49" customHeight="1">
      <c r="A1187" s="34" t="inlineStr">
        <is>
          <t>1.5.1</t>
        </is>
      </c>
      <c r="B1187" s="34" t="inlineStr">
        <is>
          <t>Testing and Commissioning - Test Readiness</t>
        </is>
      </c>
      <c r="C1187" s="34" t="inlineStr">
        <is>
          <t>Contractor Programme</t>
        </is>
      </c>
      <c r="D1187" s="34" t="inlineStr">
        <is>
          <t>SCH-05-146</t>
        </is>
      </c>
      <c r="E1187" s="34" t="inlineStr">
        <is>
          <t>Central section: emergency-response drill - field start</t>
        </is>
      </c>
      <c r="F1187" s="34" t="inlineStr">
        <is>
          <t>ONE_TO_ONE</t>
        </is>
      </c>
      <c r="G1187" s="34" t="inlineStr">
        <is>
          <t>APPROVED</t>
        </is>
      </c>
      <c r="H1187" s="34" t="inlineStr">
        <is>
          <t>New</t>
        </is>
      </c>
      <c r="I1187" s="34" t="inlineStr">
        <is>
          <t>Source assignment -- not individually reviewed</t>
        </is>
      </c>
      <c r="J1187" s="39" t="inlineStr"/>
      <c r="K1187" s="34" t="inlineStr">
        <is>
          <t>Source assignment</t>
        </is>
      </c>
      <c r="L1187" s="39" t="inlineStr"/>
      <c r="M1187" s="34" t="inlineStr">
        <is>
          <t>Initial</t>
        </is>
      </c>
      <c r="N1187" s="34" t="inlineStr">
        <is>
          <t>Rev 0</t>
        </is>
      </c>
      <c r="O1187" s="34" t="inlineStr">
        <is>
          <t>R866-v1</t>
        </is>
      </c>
      <c r="P1187" s="39" t="inlineStr"/>
      <c r="Q1187" s="14" t="inlineStr"/>
      <c r="R1187" s="39" t="inlineStr"/>
      <c r="S1187" s="39" t="inlineStr"/>
      <c r="T1187" s="39" t="inlineStr"/>
      <c r="U1187" s="39" t="inlineStr"/>
      <c r="V1187" s="34" t="inlineStr">
        <is>
          <t>WBS Code = 1.5.1</t>
        </is>
      </c>
      <c r="W1187" s="14" t="inlineStr"/>
    </row>
    <row r="1188" ht="49" customHeight="1">
      <c r="A1188" s="34" t="inlineStr">
        <is>
          <t>1.5.1</t>
        </is>
      </c>
      <c r="B1188" s="34" t="inlineStr">
        <is>
          <t>Testing and Commissioning - Test Readiness</t>
        </is>
      </c>
      <c r="C1188" s="34" t="inlineStr">
        <is>
          <t>Contractor Programme</t>
        </is>
      </c>
      <c r="D1188" s="34" t="inlineStr">
        <is>
          <t>SCH-05-148</t>
        </is>
      </c>
      <c r="E1188" s="34" t="inlineStr">
        <is>
          <t>Depot: mainline dynamic test - inspection</t>
        </is>
      </c>
      <c r="F1188" s="34" t="inlineStr">
        <is>
          <t>ONE_TO_ONE</t>
        </is>
      </c>
      <c r="G1188" s="34" t="inlineStr">
        <is>
          <t>APPROVED</t>
        </is>
      </c>
      <c r="H1188" s="34" t="inlineStr">
        <is>
          <t>New</t>
        </is>
      </c>
      <c r="I1188" s="34" t="inlineStr">
        <is>
          <t>Source assignment -- not individually reviewed</t>
        </is>
      </c>
      <c r="J1188" s="39" t="inlineStr"/>
      <c r="K1188" s="34" t="inlineStr">
        <is>
          <t>Source assignment</t>
        </is>
      </c>
      <c r="L1188" s="39" t="inlineStr"/>
      <c r="M1188" s="34" t="inlineStr">
        <is>
          <t>Initial</t>
        </is>
      </c>
      <c r="N1188" s="34" t="inlineStr">
        <is>
          <t>Rev 0</t>
        </is>
      </c>
      <c r="O1188" s="34" t="inlineStr">
        <is>
          <t>R868-v1</t>
        </is>
      </c>
      <c r="P1188" s="39" t="inlineStr"/>
      <c r="Q1188" s="14" t="inlineStr"/>
      <c r="R1188" s="39" t="inlineStr"/>
      <c r="S1188" s="39" t="inlineStr"/>
      <c r="T1188" s="39" t="inlineStr"/>
      <c r="U1188" s="39" t="inlineStr"/>
      <c r="V1188" s="34" t="inlineStr">
        <is>
          <t>WBS Code = 1.5.1</t>
        </is>
      </c>
      <c r="W1188" s="14" t="inlineStr"/>
    </row>
    <row r="1189" ht="49" customHeight="1">
      <c r="A1189" s="34" t="inlineStr">
        <is>
          <t>1.5.1</t>
        </is>
      </c>
      <c r="B1189" s="34" t="inlineStr">
        <is>
          <t>Testing and Commissioning - Test Readiness</t>
        </is>
      </c>
      <c r="C1189" s="34" t="inlineStr">
        <is>
          <t>Contractor Programme</t>
        </is>
      </c>
      <c r="D1189" s="34" t="inlineStr">
        <is>
          <t>SCH-05-149</t>
        </is>
      </c>
      <c r="E1189" s="34" t="inlineStr">
        <is>
          <t>Control Centre: safety certificate evidence closeout - turnover</t>
        </is>
      </c>
      <c r="F1189" s="34" t="inlineStr">
        <is>
          <t>ONE_TO_ONE</t>
        </is>
      </c>
      <c r="G1189" s="34" t="inlineStr">
        <is>
          <t>APPROVED</t>
        </is>
      </c>
      <c r="H1189" s="34" t="inlineStr">
        <is>
          <t>New</t>
        </is>
      </c>
      <c r="I1189" s="34" t="inlineStr">
        <is>
          <t>Source assignment -- not individually reviewed</t>
        </is>
      </c>
      <c r="J1189" s="39" t="inlineStr"/>
      <c r="K1189" s="34" t="inlineStr">
        <is>
          <t>Source assignment</t>
        </is>
      </c>
      <c r="L1189" s="39" t="inlineStr"/>
      <c r="M1189" s="34" t="inlineStr">
        <is>
          <t>Initial</t>
        </is>
      </c>
      <c r="N1189" s="34" t="inlineStr">
        <is>
          <t>Rev 0</t>
        </is>
      </c>
      <c r="O1189" s="34" t="inlineStr">
        <is>
          <t>R869-v1</t>
        </is>
      </c>
      <c r="P1189" s="39" t="inlineStr"/>
      <c r="Q1189" s="14" t="inlineStr"/>
      <c r="R1189" s="39" t="inlineStr"/>
      <c r="S1189" s="39" t="inlineStr"/>
      <c r="T1189" s="39" t="inlineStr"/>
      <c r="U1189" s="39" t="inlineStr"/>
      <c r="V1189" s="34" t="inlineStr">
        <is>
          <t>WBS Code = 1.5.1</t>
        </is>
      </c>
      <c r="W1189" s="14" t="inlineStr"/>
    </row>
    <row r="1190" ht="49" customHeight="1">
      <c r="A1190" s="34" t="inlineStr">
        <is>
          <t>1.5.1</t>
        </is>
      </c>
      <c r="B1190" s="34" t="inlineStr">
        <is>
          <t>Testing and Commissioning - Test Readiness</t>
        </is>
      </c>
      <c r="C1190" s="34" t="inlineStr">
        <is>
          <t>Contractor Programme</t>
        </is>
      </c>
      <c r="D1190" s="34" t="inlineStr">
        <is>
          <t>SCH-05-151</t>
        </is>
      </c>
      <c r="E1190" s="34" t="inlineStr">
        <is>
          <t>Central section: station integrated test - field start</t>
        </is>
      </c>
      <c r="F1190" s="34" t="inlineStr">
        <is>
          <t>ONE_TO_ONE</t>
        </is>
      </c>
      <c r="G1190" s="34" t="inlineStr">
        <is>
          <t>APPROVED</t>
        </is>
      </c>
      <c r="H1190" s="34" t="inlineStr">
        <is>
          <t>New</t>
        </is>
      </c>
      <c r="I1190" s="34" t="inlineStr">
        <is>
          <t>Source assignment -- not individually reviewed</t>
        </is>
      </c>
      <c r="J1190" s="39" t="inlineStr"/>
      <c r="K1190" s="34" t="inlineStr">
        <is>
          <t>Source assignment</t>
        </is>
      </c>
      <c r="L1190" s="39" t="inlineStr"/>
      <c r="M1190" s="34" t="inlineStr">
        <is>
          <t>Initial</t>
        </is>
      </c>
      <c r="N1190" s="34" t="inlineStr">
        <is>
          <t>Rev 0</t>
        </is>
      </c>
      <c r="O1190" s="34" t="inlineStr">
        <is>
          <t>R871-v1</t>
        </is>
      </c>
      <c r="P1190" s="39" t="inlineStr"/>
      <c r="Q1190" s="14" t="inlineStr"/>
      <c r="R1190" s="39" t="inlineStr"/>
      <c r="S1190" s="39" t="inlineStr"/>
      <c r="T1190" s="39" t="inlineStr"/>
      <c r="U1190" s="39" t="inlineStr"/>
      <c r="V1190" s="34" t="inlineStr">
        <is>
          <t>WBS Code = 1.5.1</t>
        </is>
      </c>
      <c r="W1190" s="14" t="inlineStr"/>
    </row>
    <row r="1191" ht="49" customHeight="1">
      <c r="A1191" s="34" t="inlineStr">
        <is>
          <t>1.5.1</t>
        </is>
      </c>
      <c r="B1191" s="34" t="inlineStr">
        <is>
          <t>Testing and Commissioning - Test Readiness</t>
        </is>
      </c>
      <c r="C1191" s="34" t="inlineStr">
        <is>
          <t>Contractor Programme</t>
        </is>
      </c>
      <c r="D1191" s="34" t="inlineStr">
        <is>
          <t>SCH-05-152</t>
        </is>
      </c>
      <c r="E1191" s="34" t="inlineStr">
        <is>
          <t>West terminal: trial-running shift - installation</t>
        </is>
      </c>
      <c r="F1191" s="34" t="inlineStr">
        <is>
          <t>ONE_TO_ONE</t>
        </is>
      </c>
      <c r="G1191" s="34" t="inlineStr">
        <is>
          <t>APPROVED</t>
        </is>
      </c>
      <c r="H1191" s="34" t="inlineStr">
        <is>
          <t>New</t>
        </is>
      </c>
      <c r="I1191" s="34" t="inlineStr">
        <is>
          <t>Source assignment -- not individually reviewed</t>
        </is>
      </c>
      <c r="J1191" s="39" t="inlineStr"/>
      <c r="K1191" s="34" t="inlineStr">
        <is>
          <t>Source assignment</t>
        </is>
      </c>
      <c r="L1191" s="39" t="inlineStr"/>
      <c r="M1191" s="34" t="inlineStr">
        <is>
          <t>Initial</t>
        </is>
      </c>
      <c r="N1191" s="34" t="inlineStr">
        <is>
          <t>Rev 0</t>
        </is>
      </c>
      <c r="O1191" s="34" t="inlineStr">
        <is>
          <t>R872-v1</t>
        </is>
      </c>
      <c r="P1191" s="39" t="inlineStr"/>
      <c r="Q1191" s="14" t="inlineStr"/>
      <c r="R1191" s="39" t="inlineStr"/>
      <c r="S1191" s="39" t="inlineStr"/>
      <c r="T1191" s="39" t="inlineStr"/>
      <c r="U1191" s="39" t="inlineStr"/>
      <c r="V1191" s="34" t="inlineStr">
        <is>
          <t>WBS Code = 1.5.1</t>
        </is>
      </c>
      <c r="W1191" s="14" t="inlineStr"/>
    </row>
    <row r="1192" ht="49" customHeight="1">
      <c r="A1192" s="34" t="inlineStr">
        <is>
          <t>1.5.1</t>
        </is>
      </c>
      <c r="B1192" s="34" t="inlineStr">
        <is>
          <t>Testing and Commissioning - Test Readiness</t>
        </is>
      </c>
      <c r="C1192" s="34" t="inlineStr">
        <is>
          <t>Contractor Programme</t>
        </is>
      </c>
      <c r="D1192" s="34" t="inlineStr">
        <is>
          <t>SCH-05-154</t>
        </is>
      </c>
      <c r="E1192" s="34" t="inlineStr">
        <is>
          <t>Control Centre: emergency-response drill - turnover</t>
        </is>
      </c>
      <c r="F1192" s="34" t="inlineStr">
        <is>
          <t>ONE_TO_ONE</t>
        </is>
      </c>
      <c r="G1192" s="34" t="inlineStr">
        <is>
          <t>APPROVED</t>
        </is>
      </c>
      <c r="H1192" s="34" t="inlineStr">
        <is>
          <t>New</t>
        </is>
      </c>
      <c r="I1192" s="34" t="inlineStr">
        <is>
          <t>Source assignment -- not individually reviewed</t>
        </is>
      </c>
      <c r="J1192" s="39" t="inlineStr"/>
      <c r="K1192" s="34" t="inlineStr">
        <is>
          <t>Source assignment</t>
        </is>
      </c>
      <c r="L1192" s="39" t="inlineStr"/>
      <c r="M1192" s="34" t="inlineStr">
        <is>
          <t>Initial</t>
        </is>
      </c>
      <c r="N1192" s="34" t="inlineStr">
        <is>
          <t>Rev 0</t>
        </is>
      </c>
      <c r="O1192" s="34" t="inlineStr">
        <is>
          <t>R874-v1</t>
        </is>
      </c>
      <c r="P1192" s="39" t="inlineStr"/>
      <c r="Q1192" s="14" t="inlineStr"/>
      <c r="R1192" s="39" t="inlineStr"/>
      <c r="S1192" s="39" t="inlineStr"/>
      <c r="T1192" s="39" t="inlineStr"/>
      <c r="U1192" s="39" t="inlineStr"/>
      <c r="V1192" s="34" t="inlineStr">
        <is>
          <t>WBS Code = 1.5.1</t>
        </is>
      </c>
      <c r="W1192" s="14" t="inlineStr"/>
    </row>
    <row r="1193" ht="49" customHeight="1">
      <c r="A1193" s="34" t="inlineStr">
        <is>
          <t>1.5.1</t>
        </is>
      </c>
      <c r="B1193" s="34" t="inlineStr">
        <is>
          <t>Testing and Commissioning - Test Readiness</t>
        </is>
      </c>
      <c r="C1193" s="34" t="inlineStr">
        <is>
          <t>Contractor Programme</t>
        </is>
      </c>
      <c r="D1193" s="34" t="inlineStr">
        <is>
          <t>SCH-05-155</t>
        </is>
      </c>
      <c r="E1193" s="34" t="inlineStr">
        <is>
          <t>Mainline east: defect retest - release</t>
        </is>
      </c>
      <c r="F1193" s="34" t="inlineStr">
        <is>
          <t>ONE_TO_ONE</t>
        </is>
      </c>
      <c r="G1193" s="34" t="inlineStr">
        <is>
          <t>APPROVED</t>
        </is>
      </c>
      <c r="H1193" s="34" t="inlineStr">
        <is>
          <t>New</t>
        </is>
      </c>
      <c r="I1193" s="34" t="inlineStr">
        <is>
          <t>Source assignment -- not individually reviewed</t>
        </is>
      </c>
      <c r="J1193" s="39" t="inlineStr"/>
      <c r="K1193" s="34" t="inlineStr">
        <is>
          <t>Source assignment</t>
        </is>
      </c>
      <c r="L1193" s="39" t="inlineStr"/>
      <c r="M1193" s="34" t="inlineStr">
        <is>
          <t>Initial</t>
        </is>
      </c>
      <c r="N1193" s="34" t="inlineStr">
        <is>
          <t>Rev 0</t>
        </is>
      </c>
      <c r="O1193" s="34" t="inlineStr">
        <is>
          <t>R875-v1</t>
        </is>
      </c>
      <c r="P1193" s="39" t="inlineStr"/>
      <c r="Q1193" s="14" t="inlineStr"/>
      <c r="R1193" s="39" t="inlineStr"/>
      <c r="S1193" s="39" t="inlineStr"/>
      <c r="T1193" s="39" t="inlineStr"/>
      <c r="U1193" s="39" t="inlineStr"/>
      <c r="V1193" s="34" t="inlineStr">
        <is>
          <t>WBS Code = 1.5.1</t>
        </is>
      </c>
      <c r="W1193" s="14" t="inlineStr"/>
    </row>
    <row r="1194" ht="49" customHeight="1">
      <c r="A1194" s="34" t="inlineStr">
        <is>
          <t>1.5.1</t>
        </is>
      </c>
      <c r="B1194" s="34" t="inlineStr">
        <is>
          <t>Testing and Commissioning - Test Readiness</t>
        </is>
      </c>
      <c r="C1194" s="34" t="inlineStr">
        <is>
          <t>Contractor Programme</t>
        </is>
      </c>
      <c r="D1194" s="34" t="inlineStr">
        <is>
          <t>SCH-05-157</t>
        </is>
      </c>
      <c r="E1194" s="34" t="inlineStr">
        <is>
          <t>West terminal: safety certificate evidence closeout - installation</t>
        </is>
      </c>
      <c r="F1194" s="34" t="inlineStr">
        <is>
          <t>ONE_TO_ONE</t>
        </is>
      </c>
      <c r="G1194" s="34" t="inlineStr">
        <is>
          <t>APPROVED</t>
        </is>
      </c>
      <c r="H1194" s="34" t="inlineStr">
        <is>
          <t>New</t>
        </is>
      </c>
      <c r="I1194" s="34" t="inlineStr">
        <is>
          <t>Source assignment -- not individually reviewed</t>
        </is>
      </c>
      <c r="J1194" s="39" t="inlineStr"/>
      <c r="K1194" s="34" t="inlineStr">
        <is>
          <t>Source assignment</t>
        </is>
      </c>
      <c r="L1194" s="39" t="inlineStr"/>
      <c r="M1194" s="34" t="inlineStr">
        <is>
          <t>Initial</t>
        </is>
      </c>
      <c r="N1194" s="34" t="inlineStr">
        <is>
          <t>Rev 0</t>
        </is>
      </c>
      <c r="O1194" s="34" t="inlineStr">
        <is>
          <t>R877-v1</t>
        </is>
      </c>
      <c r="P1194" s="39" t="inlineStr"/>
      <c r="Q1194" s="14" t="inlineStr"/>
      <c r="R1194" s="39" t="inlineStr"/>
      <c r="S1194" s="39" t="inlineStr"/>
      <c r="T1194" s="39" t="inlineStr"/>
      <c r="U1194" s="39" t="inlineStr"/>
      <c r="V1194" s="34" t="inlineStr">
        <is>
          <t>WBS Code = 1.5.1</t>
        </is>
      </c>
      <c r="W1194" s="14" t="inlineStr"/>
    </row>
    <row r="1195" ht="49" customHeight="1">
      <c r="A1195" s="34" t="inlineStr">
        <is>
          <t>1.5.1</t>
        </is>
      </c>
      <c r="B1195" s="34" t="inlineStr">
        <is>
          <t>Testing and Commissioning - Test Readiness</t>
        </is>
      </c>
      <c r="C1195" s="34" t="inlineStr">
        <is>
          <t>Contractor Programme</t>
        </is>
      </c>
      <c r="D1195" s="34" t="inlineStr">
        <is>
          <t>SCH-05-158</t>
        </is>
      </c>
      <c r="E1195" s="34" t="inlineStr">
        <is>
          <t>Depot: service-readiness review - inspection</t>
        </is>
      </c>
      <c r="F1195" s="34" t="inlineStr">
        <is>
          <t>ONE_TO_ONE</t>
        </is>
      </c>
      <c r="G1195" s="34" t="inlineStr">
        <is>
          <t>APPROVED</t>
        </is>
      </c>
      <c r="H1195" s="34" t="inlineStr">
        <is>
          <t>New</t>
        </is>
      </c>
      <c r="I1195" s="34" t="inlineStr">
        <is>
          <t>Source assignment -- not individually reviewed</t>
        </is>
      </c>
      <c r="J1195" s="39" t="inlineStr"/>
      <c r="K1195" s="34" t="inlineStr">
        <is>
          <t>Source assignment</t>
        </is>
      </c>
      <c r="L1195" s="39" t="inlineStr"/>
      <c r="M1195" s="34" t="inlineStr">
        <is>
          <t>Initial</t>
        </is>
      </c>
      <c r="N1195" s="34" t="inlineStr">
        <is>
          <t>Rev 0</t>
        </is>
      </c>
      <c r="O1195" s="34" t="inlineStr">
        <is>
          <t>R878-v1</t>
        </is>
      </c>
      <c r="P1195" s="39" t="inlineStr"/>
      <c r="Q1195" s="14" t="inlineStr"/>
      <c r="R1195" s="39" t="inlineStr"/>
      <c r="S1195" s="39" t="inlineStr"/>
      <c r="T1195" s="39" t="inlineStr"/>
      <c r="U1195" s="39" t="inlineStr"/>
      <c r="V1195" s="34" t="inlineStr">
        <is>
          <t>WBS Code = 1.5.1</t>
        </is>
      </c>
      <c r="W1195" s="14" t="inlineStr"/>
    </row>
    <row r="1196" ht="49" customHeight="1">
      <c r="A1196" s="34" t="inlineStr">
        <is>
          <t>1.5.1</t>
        </is>
      </c>
      <c r="B1196" s="34" t="inlineStr">
        <is>
          <t>Testing and Commissioning - Test Readiness</t>
        </is>
      </c>
      <c r="C1196" s="34" t="inlineStr">
        <is>
          <t>Contractor Programme</t>
        </is>
      </c>
      <c r="D1196" s="34" t="inlineStr">
        <is>
          <t>SCH-05-160</t>
        </is>
      </c>
      <c r="E1196" s="34" t="inlineStr">
        <is>
          <t>Mainline east: trial-running shift - release</t>
        </is>
      </c>
      <c r="F1196" s="34" t="inlineStr">
        <is>
          <t>ONE_TO_ONE</t>
        </is>
      </c>
      <c r="G1196" s="34" t="inlineStr">
        <is>
          <t>APPROVED</t>
        </is>
      </c>
      <c r="H1196" s="34" t="inlineStr">
        <is>
          <t>New</t>
        </is>
      </c>
      <c r="I1196" s="34" t="inlineStr">
        <is>
          <t>Source assignment -- not individually reviewed</t>
        </is>
      </c>
      <c r="J1196" s="39" t="inlineStr"/>
      <c r="K1196" s="34" t="inlineStr">
        <is>
          <t>Source assignment</t>
        </is>
      </c>
      <c r="L1196" s="39" t="inlineStr"/>
      <c r="M1196" s="34" t="inlineStr">
        <is>
          <t>Initial</t>
        </is>
      </c>
      <c r="N1196" s="34" t="inlineStr">
        <is>
          <t>Rev 0</t>
        </is>
      </c>
      <c r="O1196" s="34" t="inlineStr">
        <is>
          <t>R880-v1</t>
        </is>
      </c>
      <c r="P1196" s="39" t="inlineStr"/>
      <c r="Q1196" s="14" t="inlineStr"/>
      <c r="R1196" s="39" t="inlineStr"/>
      <c r="S1196" s="39" t="inlineStr"/>
      <c r="T1196" s="39" t="inlineStr"/>
      <c r="U1196" s="39" t="inlineStr"/>
      <c r="V1196" s="34" t="inlineStr">
        <is>
          <t>WBS Code = 1.5.1</t>
        </is>
      </c>
      <c r="W1196" s="14" t="inlineStr"/>
    </row>
    <row r="1197" ht="49" customHeight="1">
      <c r="A1197" s="34" t="inlineStr">
        <is>
          <t>1.5.1</t>
        </is>
      </c>
      <c r="B1197" s="34" t="inlineStr">
        <is>
          <t>Testing and Commissioning - Test Readiness</t>
        </is>
      </c>
      <c r="C1197" s="34" t="inlineStr">
        <is>
          <t>Contractor Programme</t>
        </is>
      </c>
      <c r="D1197" s="34" t="inlineStr">
        <is>
          <t>SCH-05-161</t>
        </is>
      </c>
      <c r="E1197" s="34" t="inlineStr">
        <is>
          <t>Central section: test procedure readiness review - field start</t>
        </is>
      </c>
      <c r="F1197" s="34" t="inlineStr">
        <is>
          <t>ONE_TO_ONE</t>
        </is>
      </c>
      <c r="G1197" s="34" t="inlineStr">
        <is>
          <t>APPROVED</t>
        </is>
      </c>
      <c r="H1197" s="34" t="inlineStr">
        <is>
          <t>New</t>
        </is>
      </c>
      <c r="I1197" s="34" t="inlineStr">
        <is>
          <t>Source assignment -- not individually reviewed</t>
        </is>
      </c>
      <c r="J1197" s="39" t="inlineStr"/>
      <c r="K1197" s="34" t="inlineStr">
        <is>
          <t>Source assignment</t>
        </is>
      </c>
      <c r="L1197" s="39" t="inlineStr"/>
      <c r="M1197" s="34" t="inlineStr">
        <is>
          <t>Initial</t>
        </is>
      </c>
      <c r="N1197" s="34" t="inlineStr">
        <is>
          <t>Rev 0</t>
        </is>
      </c>
      <c r="O1197" s="34" t="inlineStr">
        <is>
          <t>R881-v1</t>
        </is>
      </c>
      <c r="P1197" s="39" t="inlineStr"/>
      <c r="Q1197" s="14" t="inlineStr"/>
      <c r="R1197" s="39" t="inlineStr"/>
      <c r="S1197" s="39" t="inlineStr"/>
      <c r="T1197" s="39" t="inlineStr"/>
      <c r="U1197" s="39" t="inlineStr"/>
      <c r="V1197" s="34" t="inlineStr">
        <is>
          <t>WBS Code = 1.5.1</t>
        </is>
      </c>
      <c r="W1197" s="14" t="inlineStr"/>
    </row>
    <row r="1198" ht="49" customHeight="1">
      <c r="A1198" s="34" t="inlineStr">
        <is>
          <t>1.5.1</t>
        </is>
      </c>
      <c r="B1198" s="34" t="inlineStr">
        <is>
          <t>Testing and Commissioning - Test Readiness</t>
        </is>
      </c>
      <c r="C1198" s="34" t="inlineStr">
        <is>
          <t>Contractor Programme</t>
        </is>
      </c>
      <c r="D1198" s="34" t="inlineStr">
        <is>
          <t>SCH-05-163</t>
        </is>
      </c>
      <c r="E1198" s="34" t="inlineStr">
        <is>
          <t>Depot: defect retest - inspection</t>
        </is>
      </c>
      <c r="F1198" s="34" t="inlineStr">
        <is>
          <t>ONE_TO_ONE</t>
        </is>
      </c>
      <c r="G1198" s="34" t="inlineStr">
        <is>
          <t>APPROVED</t>
        </is>
      </c>
      <c r="H1198" s="34" t="inlineStr">
        <is>
          <t>New</t>
        </is>
      </c>
      <c r="I1198" s="34" t="inlineStr">
        <is>
          <t>Source assignment -- not individually reviewed</t>
        </is>
      </c>
      <c r="J1198" s="39" t="inlineStr"/>
      <c r="K1198" s="34" t="inlineStr">
        <is>
          <t>Source assignment</t>
        </is>
      </c>
      <c r="L1198" s="39" t="inlineStr"/>
      <c r="M1198" s="34" t="inlineStr">
        <is>
          <t>Initial</t>
        </is>
      </c>
      <c r="N1198" s="34" t="inlineStr">
        <is>
          <t>Rev 0</t>
        </is>
      </c>
      <c r="O1198" s="34" t="inlineStr">
        <is>
          <t>R883-v1</t>
        </is>
      </c>
      <c r="P1198" s="39" t="inlineStr"/>
      <c r="Q1198" s="14" t="inlineStr"/>
      <c r="R1198" s="39" t="inlineStr"/>
      <c r="S1198" s="39" t="inlineStr"/>
      <c r="T1198" s="39" t="inlineStr"/>
      <c r="U1198" s="39" t="inlineStr"/>
      <c r="V1198" s="34" t="inlineStr">
        <is>
          <t>WBS Code = 1.5.1</t>
        </is>
      </c>
      <c r="W1198" s="14" t="inlineStr"/>
    </row>
    <row r="1199" ht="49" customHeight="1">
      <c r="A1199" s="34" t="inlineStr">
        <is>
          <t>1.5.1</t>
        </is>
      </c>
      <c r="B1199" s="34" t="inlineStr">
        <is>
          <t>Testing and Commissioning - Test Readiness</t>
        </is>
      </c>
      <c r="C1199" s="34" t="inlineStr">
        <is>
          <t>Contractor Programme</t>
        </is>
      </c>
      <c r="D1199" s="34" t="inlineStr">
        <is>
          <t>SCH-05-164</t>
        </is>
      </c>
      <c r="E1199" s="34" t="inlineStr">
        <is>
          <t>Control Centre: mainline dynamic test - turnover</t>
        </is>
      </c>
      <c r="F1199" s="34" t="inlineStr">
        <is>
          <t>ONE_TO_ONE</t>
        </is>
      </c>
      <c r="G1199" s="34" t="inlineStr">
        <is>
          <t>APPROVED</t>
        </is>
      </c>
      <c r="H1199" s="34" t="inlineStr">
        <is>
          <t>New</t>
        </is>
      </c>
      <c r="I1199" s="34" t="inlineStr">
        <is>
          <t>Source assignment -- not individually reviewed</t>
        </is>
      </c>
      <c r="J1199" s="39" t="inlineStr"/>
      <c r="K1199" s="34" t="inlineStr">
        <is>
          <t>Source assignment</t>
        </is>
      </c>
      <c r="L1199" s="39" t="inlineStr"/>
      <c r="M1199" s="34" t="inlineStr">
        <is>
          <t>Initial</t>
        </is>
      </c>
      <c r="N1199" s="34" t="inlineStr">
        <is>
          <t>Rev 0</t>
        </is>
      </c>
      <c r="O1199" s="34" t="inlineStr">
        <is>
          <t>R884-v1</t>
        </is>
      </c>
      <c r="P1199" s="39" t="inlineStr"/>
      <c r="Q1199" s="14" t="inlineStr"/>
      <c r="R1199" s="39" t="inlineStr"/>
      <c r="S1199" s="39" t="inlineStr"/>
      <c r="T1199" s="39" t="inlineStr"/>
      <c r="U1199" s="39" t="inlineStr"/>
      <c r="V1199" s="34" t="inlineStr">
        <is>
          <t>WBS Code = 1.5.1</t>
        </is>
      </c>
      <c r="W1199" s="14" t="inlineStr"/>
    </row>
    <row r="1200" ht="49" customHeight="1">
      <c r="A1200" s="34" t="inlineStr">
        <is>
          <t>1.5.1</t>
        </is>
      </c>
      <c r="B1200" s="34" t="inlineStr">
        <is>
          <t>Testing and Commissioning - Test Readiness</t>
        </is>
      </c>
      <c r="C1200" s="34" t="inlineStr">
        <is>
          <t>Contractor Programme</t>
        </is>
      </c>
      <c r="D1200" s="34" t="inlineStr">
        <is>
          <t>SCH-05-166</t>
        </is>
      </c>
      <c r="E1200" s="34" t="inlineStr">
        <is>
          <t>Central section: service-readiness review - field start</t>
        </is>
      </c>
      <c r="F1200" s="34" t="inlineStr">
        <is>
          <t>ONE_TO_ONE</t>
        </is>
      </c>
      <c r="G1200" s="34" t="inlineStr">
        <is>
          <t>APPROVED</t>
        </is>
      </c>
      <c r="H1200" s="34" t="inlineStr">
        <is>
          <t>New</t>
        </is>
      </c>
      <c r="I1200" s="34" t="inlineStr">
        <is>
          <t>Source assignment -- not individually reviewed</t>
        </is>
      </c>
      <c r="J1200" s="39" t="inlineStr"/>
      <c r="K1200" s="34" t="inlineStr">
        <is>
          <t>Source assignment</t>
        </is>
      </c>
      <c r="L1200" s="39" t="inlineStr"/>
      <c r="M1200" s="34" t="inlineStr">
        <is>
          <t>Initial</t>
        </is>
      </c>
      <c r="N1200" s="34" t="inlineStr">
        <is>
          <t>Rev 0</t>
        </is>
      </c>
      <c r="O1200" s="34" t="inlineStr">
        <is>
          <t>R886-v1</t>
        </is>
      </c>
      <c r="P1200" s="39" t="inlineStr"/>
      <c r="Q1200" s="14" t="inlineStr"/>
      <c r="R1200" s="39" t="inlineStr"/>
      <c r="S1200" s="39" t="inlineStr"/>
      <c r="T1200" s="39" t="inlineStr"/>
      <c r="U1200" s="39" t="inlineStr"/>
      <c r="V1200" s="34" t="inlineStr">
        <is>
          <t>WBS Code = 1.5.1</t>
        </is>
      </c>
      <c r="W1200" s="14" t="inlineStr"/>
    </row>
    <row r="1201" ht="49" customHeight="1">
      <c r="A1201" s="34" t="inlineStr">
        <is>
          <t>1.5.1</t>
        </is>
      </c>
      <c r="B1201" s="34" t="inlineStr">
        <is>
          <t>Testing and Commissioning - Test Readiness</t>
        </is>
      </c>
      <c r="C1201" s="34" t="inlineStr">
        <is>
          <t>Contractor Programme</t>
        </is>
      </c>
      <c r="D1201" s="34" t="inlineStr">
        <is>
          <t>SCH-05-167</t>
        </is>
      </c>
      <c r="E1201" s="34" t="inlineStr">
        <is>
          <t>West terminal: station integrated test - installation</t>
        </is>
      </c>
      <c r="F1201" s="34" t="inlineStr">
        <is>
          <t>ONE_TO_ONE</t>
        </is>
      </c>
      <c r="G1201" s="34" t="inlineStr">
        <is>
          <t>APPROVED</t>
        </is>
      </c>
      <c r="H1201" s="34" t="inlineStr">
        <is>
          <t>New</t>
        </is>
      </c>
      <c r="I1201" s="34" t="inlineStr">
        <is>
          <t>Source assignment -- not individually reviewed</t>
        </is>
      </c>
      <c r="J1201" s="39" t="inlineStr"/>
      <c r="K1201" s="34" t="inlineStr">
        <is>
          <t>Source assignment</t>
        </is>
      </c>
      <c r="L1201" s="39" t="inlineStr"/>
      <c r="M1201" s="34" t="inlineStr">
        <is>
          <t>Initial</t>
        </is>
      </c>
      <c r="N1201" s="34" t="inlineStr">
        <is>
          <t>Rev 0</t>
        </is>
      </c>
      <c r="O1201" s="34" t="inlineStr">
        <is>
          <t>R887-v1</t>
        </is>
      </c>
      <c r="P1201" s="39" t="inlineStr"/>
      <c r="Q1201" s="14" t="inlineStr"/>
      <c r="R1201" s="39" t="inlineStr"/>
      <c r="S1201" s="39" t="inlineStr"/>
      <c r="T1201" s="39" t="inlineStr"/>
      <c r="U1201" s="39" t="inlineStr"/>
      <c r="V1201" s="34" t="inlineStr">
        <is>
          <t>WBS Code = 1.5.1</t>
        </is>
      </c>
      <c r="W1201" s="14" t="inlineStr"/>
    </row>
    <row r="1202" ht="49" customHeight="1">
      <c r="A1202" s="34" t="inlineStr">
        <is>
          <t>1.5.1</t>
        </is>
      </c>
      <c r="B1202" s="34" t="inlineStr">
        <is>
          <t>Testing and Commissioning - Test Readiness</t>
        </is>
      </c>
      <c r="C1202" s="34" t="inlineStr">
        <is>
          <t>Contractor Programme</t>
        </is>
      </c>
      <c r="D1202" s="34" t="inlineStr">
        <is>
          <t>SCH-05-169</t>
        </is>
      </c>
      <c r="E1202" s="34" t="inlineStr">
        <is>
          <t>Control Centre: test procedure readiness review - turnover</t>
        </is>
      </c>
      <c r="F1202" s="34" t="inlineStr">
        <is>
          <t>ONE_TO_ONE</t>
        </is>
      </c>
      <c r="G1202" s="34" t="inlineStr">
        <is>
          <t>APPROVED</t>
        </is>
      </c>
      <c r="H1202" s="34" t="inlineStr">
        <is>
          <t>New</t>
        </is>
      </c>
      <c r="I1202" s="34" t="inlineStr">
        <is>
          <t>Source assignment -- not individually reviewed</t>
        </is>
      </c>
      <c r="J1202" s="39" t="inlineStr"/>
      <c r="K1202" s="34" t="inlineStr">
        <is>
          <t>Source assignment</t>
        </is>
      </c>
      <c r="L1202" s="39" t="inlineStr"/>
      <c r="M1202" s="34" t="inlineStr">
        <is>
          <t>Initial</t>
        </is>
      </c>
      <c r="N1202" s="34" t="inlineStr">
        <is>
          <t>Rev 0</t>
        </is>
      </c>
      <c r="O1202" s="34" t="inlineStr">
        <is>
          <t>R889-v1</t>
        </is>
      </c>
      <c r="P1202" s="39" t="inlineStr"/>
      <c r="Q1202" s="14" t="inlineStr"/>
      <c r="R1202" s="39" t="inlineStr"/>
      <c r="S1202" s="39" t="inlineStr"/>
      <c r="T1202" s="39" t="inlineStr"/>
      <c r="U1202" s="39" t="inlineStr"/>
      <c r="V1202" s="34" t="inlineStr">
        <is>
          <t>WBS Code = 1.5.1</t>
        </is>
      </c>
      <c r="W1202" s="14" t="inlineStr"/>
    </row>
    <row r="1203" ht="49" customHeight="1">
      <c r="A1203" s="34" t="inlineStr">
        <is>
          <t>1.5.1</t>
        </is>
      </c>
      <c r="B1203" s="34" t="inlineStr">
        <is>
          <t>Testing and Commissioning - Test Readiness</t>
        </is>
      </c>
      <c r="C1203" s="34" t="inlineStr">
        <is>
          <t>Contractor Programme</t>
        </is>
      </c>
      <c r="D1203" s="34" t="inlineStr">
        <is>
          <t>SCH-05-170</t>
        </is>
      </c>
      <c r="E1203" s="34" t="inlineStr">
        <is>
          <t>Mainline east: emergency-response drill - release</t>
        </is>
      </c>
      <c r="F1203" s="34" t="inlineStr">
        <is>
          <t>ONE_TO_ONE</t>
        </is>
      </c>
      <c r="G1203" s="34" t="inlineStr">
        <is>
          <t>APPROVED</t>
        </is>
      </c>
      <c r="H1203" s="34" t="inlineStr">
        <is>
          <t>New</t>
        </is>
      </c>
      <c r="I1203" s="34" t="inlineStr">
        <is>
          <t>Source assignment -- not individually reviewed</t>
        </is>
      </c>
      <c r="J1203" s="39" t="inlineStr"/>
      <c r="K1203" s="34" t="inlineStr">
        <is>
          <t>Source assignment</t>
        </is>
      </c>
      <c r="L1203" s="39" t="inlineStr"/>
      <c r="M1203" s="34" t="inlineStr">
        <is>
          <t>Initial</t>
        </is>
      </c>
      <c r="N1203" s="34" t="inlineStr">
        <is>
          <t>Rev 0</t>
        </is>
      </c>
      <c r="O1203" s="34" t="inlineStr">
        <is>
          <t>R890-v1</t>
        </is>
      </c>
      <c r="P1203" s="39" t="inlineStr"/>
      <c r="Q1203" s="14" t="inlineStr"/>
      <c r="R1203" s="39" t="inlineStr"/>
      <c r="S1203" s="39" t="inlineStr"/>
      <c r="T1203" s="39" t="inlineStr"/>
      <c r="U1203" s="39" t="inlineStr"/>
      <c r="V1203" s="34" t="inlineStr">
        <is>
          <t>WBS Code = 1.5.1</t>
        </is>
      </c>
      <c r="W1203" s="14" t="inlineStr"/>
    </row>
    <row r="1204" ht="49" customHeight="1">
      <c r="A1204" s="34" t="inlineStr">
        <is>
          <t>1.5.1</t>
        </is>
      </c>
      <c r="B1204" s="34" t="inlineStr">
        <is>
          <t>Testing and Commissioning - Test Readiness</t>
        </is>
      </c>
      <c r="C1204" s="34" t="inlineStr">
        <is>
          <t>Contractor Programme</t>
        </is>
      </c>
      <c r="D1204" s="34" t="inlineStr">
        <is>
          <t>SCH-05-172</t>
        </is>
      </c>
      <c r="E1204" s="34" t="inlineStr">
        <is>
          <t>West terminal: mainline dynamic test - installation</t>
        </is>
      </c>
      <c r="F1204" s="34" t="inlineStr">
        <is>
          <t>ONE_TO_ONE</t>
        </is>
      </c>
      <c r="G1204" s="34" t="inlineStr">
        <is>
          <t>APPROVED</t>
        </is>
      </c>
      <c r="H1204" s="34" t="inlineStr">
        <is>
          <t>New</t>
        </is>
      </c>
      <c r="I1204" s="34" t="inlineStr">
        <is>
          <t>Source assignment -- not individually reviewed</t>
        </is>
      </c>
      <c r="J1204" s="39" t="inlineStr"/>
      <c r="K1204" s="34" t="inlineStr">
        <is>
          <t>Source assignment</t>
        </is>
      </c>
      <c r="L1204" s="39" t="inlineStr"/>
      <c r="M1204" s="34" t="inlineStr">
        <is>
          <t>Initial</t>
        </is>
      </c>
      <c r="N1204" s="34" t="inlineStr">
        <is>
          <t>Rev 0</t>
        </is>
      </c>
      <c r="O1204" s="34" t="inlineStr">
        <is>
          <t>R892-v1</t>
        </is>
      </c>
      <c r="P1204" s="39" t="inlineStr"/>
      <c r="Q1204" s="14" t="inlineStr"/>
      <c r="R1204" s="39" t="inlineStr"/>
      <c r="S1204" s="39" t="inlineStr"/>
      <c r="T1204" s="39" t="inlineStr"/>
      <c r="U1204" s="39" t="inlineStr"/>
      <c r="V1204" s="34" t="inlineStr">
        <is>
          <t>WBS Code = 1.5.1</t>
        </is>
      </c>
      <c r="W1204" s="14" t="inlineStr"/>
    </row>
    <row r="1205" ht="49" customHeight="1">
      <c r="A1205" s="34" t="inlineStr">
        <is>
          <t>1.5.1</t>
        </is>
      </c>
      <c r="B1205" s="34" t="inlineStr">
        <is>
          <t>Testing and Commissioning - Test Readiness</t>
        </is>
      </c>
      <c r="C1205" s="34" t="inlineStr">
        <is>
          <t>Contractor Programme</t>
        </is>
      </c>
      <c r="D1205" s="34" t="inlineStr">
        <is>
          <t>SCH-05-173</t>
        </is>
      </c>
      <c r="E1205" s="34" t="inlineStr">
        <is>
          <t>Depot: safety certificate evidence closeout - inspection</t>
        </is>
      </c>
      <c r="F1205" s="34" t="inlineStr">
        <is>
          <t>ONE_TO_ONE</t>
        </is>
      </c>
      <c r="G1205" s="34" t="inlineStr">
        <is>
          <t>APPROVED</t>
        </is>
      </c>
      <c r="H1205" s="34" t="inlineStr">
        <is>
          <t>New</t>
        </is>
      </c>
      <c r="I1205" s="34" t="inlineStr">
        <is>
          <t>Source assignment -- not individually reviewed</t>
        </is>
      </c>
      <c r="J1205" s="39" t="inlineStr"/>
      <c r="K1205" s="34" t="inlineStr">
        <is>
          <t>Source assignment</t>
        </is>
      </c>
      <c r="L1205" s="39" t="inlineStr"/>
      <c r="M1205" s="34" t="inlineStr">
        <is>
          <t>Initial</t>
        </is>
      </c>
      <c r="N1205" s="34" t="inlineStr">
        <is>
          <t>Rev 0</t>
        </is>
      </c>
      <c r="O1205" s="34" t="inlineStr">
        <is>
          <t>R893-v1</t>
        </is>
      </c>
      <c r="P1205" s="39" t="inlineStr"/>
      <c r="Q1205" s="14" t="inlineStr"/>
      <c r="R1205" s="39" t="inlineStr"/>
      <c r="S1205" s="39" t="inlineStr"/>
      <c r="T1205" s="39" t="inlineStr"/>
      <c r="U1205" s="39" t="inlineStr"/>
      <c r="V1205" s="34" t="inlineStr">
        <is>
          <t>WBS Code = 1.5.1</t>
        </is>
      </c>
      <c r="W1205" s="14" t="inlineStr"/>
    </row>
    <row r="1206" ht="49" customHeight="1">
      <c r="A1206" s="34" t="inlineStr">
        <is>
          <t>1.5.1</t>
        </is>
      </c>
      <c r="B1206" s="34" t="inlineStr">
        <is>
          <t>Testing and Commissioning - Test Readiness</t>
        </is>
      </c>
      <c r="C1206" s="34" t="inlineStr">
        <is>
          <t>Contractor Programme</t>
        </is>
      </c>
      <c r="D1206" s="34" t="inlineStr">
        <is>
          <t>SCH-05-175</t>
        </is>
      </c>
      <c r="E1206" s="34" t="inlineStr">
        <is>
          <t>Mainline east: station integrated test - release</t>
        </is>
      </c>
      <c r="F1206" s="34" t="inlineStr">
        <is>
          <t>ONE_TO_ONE</t>
        </is>
      </c>
      <c r="G1206" s="34" t="inlineStr">
        <is>
          <t>APPROVED</t>
        </is>
      </c>
      <c r="H1206" s="34" t="inlineStr">
        <is>
          <t>New</t>
        </is>
      </c>
      <c r="I1206" s="34" t="inlineStr">
        <is>
          <t>Source assignment -- not individually reviewed</t>
        </is>
      </c>
      <c r="J1206" s="39" t="inlineStr"/>
      <c r="K1206" s="34" t="inlineStr">
        <is>
          <t>Source assignment</t>
        </is>
      </c>
      <c r="L1206" s="39" t="inlineStr"/>
      <c r="M1206" s="34" t="inlineStr">
        <is>
          <t>Initial</t>
        </is>
      </c>
      <c r="N1206" s="34" t="inlineStr">
        <is>
          <t>Rev 0</t>
        </is>
      </c>
      <c r="O1206" s="34" t="inlineStr">
        <is>
          <t>R895-v1</t>
        </is>
      </c>
      <c r="P1206" s="39" t="inlineStr"/>
      <c r="Q1206" s="14" t="inlineStr"/>
      <c r="R1206" s="39" t="inlineStr"/>
      <c r="S1206" s="39" t="inlineStr"/>
      <c r="T1206" s="39" t="inlineStr"/>
      <c r="U1206" s="39" t="inlineStr"/>
      <c r="V1206" s="34" t="inlineStr">
        <is>
          <t>WBS Code = 1.5.1</t>
        </is>
      </c>
      <c r="W1206" s="14" t="inlineStr"/>
    </row>
    <row r="1207" ht="49" customHeight="1">
      <c r="A1207" s="34" t="inlineStr">
        <is>
          <t>1.5.1</t>
        </is>
      </c>
      <c r="B1207" s="34" t="inlineStr">
        <is>
          <t>Testing and Commissioning - Test Readiness</t>
        </is>
      </c>
      <c r="C1207" s="34" t="inlineStr">
        <is>
          <t>Contractor Programme</t>
        </is>
      </c>
      <c r="D1207" s="34" t="inlineStr">
        <is>
          <t>SCH-05-176</t>
        </is>
      </c>
      <c r="E1207" s="34" t="inlineStr">
        <is>
          <t>Central section: trial-running shift - field start</t>
        </is>
      </c>
      <c r="F1207" s="34" t="inlineStr">
        <is>
          <t>ONE_TO_ONE</t>
        </is>
      </c>
      <c r="G1207" s="34" t="inlineStr">
        <is>
          <t>APPROVED</t>
        </is>
      </c>
      <c r="H1207" s="34" t="inlineStr">
        <is>
          <t>New</t>
        </is>
      </c>
      <c r="I1207" s="34" t="inlineStr">
        <is>
          <t>Source assignment -- not individually reviewed</t>
        </is>
      </c>
      <c r="J1207" s="39" t="inlineStr"/>
      <c r="K1207" s="34" t="inlineStr">
        <is>
          <t>Source assignment</t>
        </is>
      </c>
      <c r="L1207" s="39" t="inlineStr"/>
      <c r="M1207" s="34" t="inlineStr">
        <is>
          <t>Initial</t>
        </is>
      </c>
      <c r="N1207" s="34" t="inlineStr">
        <is>
          <t>Rev 0</t>
        </is>
      </c>
      <c r="O1207" s="34" t="inlineStr">
        <is>
          <t>R896-v1</t>
        </is>
      </c>
      <c r="P1207" s="39" t="inlineStr"/>
      <c r="Q1207" s="14" t="inlineStr"/>
      <c r="R1207" s="39" t="inlineStr"/>
      <c r="S1207" s="39" t="inlineStr"/>
      <c r="T1207" s="39" t="inlineStr"/>
      <c r="U1207" s="39" t="inlineStr"/>
      <c r="V1207" s="34" t="inlineStr">
        <is>
          <t>WBS Code = 1.5.1</t>
        </is>
      </c>
      <c r="W1207" s="14" t="inlineStr"/>
    </row>
    <row r="1208" ht="49" customHeight="1">
      <c r="A1208" s="34" t="inlineStr">
        <is>
          <t>1.5.1</t>
        </is>
      </c>
      <c r="B1208" s="34" t="inlineStr">
        <is>
          <t>Testing and Commissioning - Test Readiness</t>
        </is>
      </c>
      <c r="C1208" s="34" t="inlineStr">
        <is>
          <t>Contractor Programme</t>
        </is>
      </c>
      <c r="D1208" s="34" t="inlineStr">
        <is>
          <t>SCH-05-178</t>
        </is>
      </c>
      <c r="E1208" s="34" t="inlineStr">
        <is>
          <t>Depot: emergency-response drill - inspection</t>
        </is>
      </c>
      <c r="F1208" s="34" t="inlineStr">
        <is>
          <t>ONE_TO_ONE</t>
        </is>
      </c>
      <c r="G1208" s="34" t="inlineStr">
        <is>
          <t>APPROVED</t>
        </is>
      </c>
      <c r="H1208" s="34" t="inlineStr">
        <is>
          <t>New</t>
        </is>
      </c>
      <c r="I1208" s="34" t="inlineStr">
        <is>
          <t>Source assignment -- not individually reviewed</t>
        </is>
      </c>
      <c r="J1208" s="39" t="inlineStr"/>
      <c r="K1208" s="34" t="inlineStr">
        <is>
          <t>Source assignment</t>
        </is>
      </c>
      <c r="L1208" s="39" t="inlineStr"/>
      <c r="M1208" s="34" t="inlineStr">
        <is>
          <t>Initial</t>
        </is>
      </c>
      <c r="N1208" s="34" t="inlineStr">
        <is>
          <t>Rev 0</t>
        </is>
      </c>
      <c r="O1208" s="34" t="inlineStr">
        <is>
          <t>R898-v1</t>
        </is>
      </c>
      <c r="P1208" s="39" t="inlineStr"/>
      <c r="Q1208" s="14" t="inlineStr"/>
      <c r="R1208" s="39" t="inlineStr"/>
      <c r="S1208" s="39" t="inlineStr"/>
      <c r="T1208" s="39" t="inlineStr"/>
      <c r="U1208" s="39" t="inlineStr"/>
      <c r="V1208" s="34" t="inlineStr">
        <is>
          <t>WBS Code = 1.5.1</t>
        </is>
      </c>
      <c r="W1208" s="14" t="inlineStr"/>
    </row>
    <row r="1209" ht="49" customHeight="1">
      <c r="A1209" s="34" t="inlineStr">
        <is>
          <t>1.5.1</t>
        </is>
      </c>
      <c r="B1209" s="34" t="inlineStr">
        <is>
          <t>Testing and Commissioning - Test Readiness</t>
        </is>
      </c>
      <c r="C1209" s="34" t="inlineStr">
        <is>
          <t>Contractor Programme</t>
        </is>
      </c>
      <c r="D1209" s="34" t="inlineStr">
        <is>
          <t>SCH-05-179</t>
        </is>
      </c>
      <c r="E1209" s="34" t="inlineStr">
        <is>
          <t>Control Centre: defect retest - turnover</t>
        </is>
      </c>
      <c r="F1209" s="34" t="inlineStr">
        <is>
          <t>ONE_TO_ONE</t>
        </is>
      </c>
      <c r="G1209" s="34" t="inlineStr">
        <is>
          <t>APPROVED</t>
        </is>
      </c>
      <c r="H1209" s="34" t="inlineStr">
        <is>
          <t>New</t>
        </is>
      </c>
      <c r="I1209" s="34" t="inlineStr">
        <is>
          <t>Source assignment -- not individually reviewed</t>
        </is>
      </c>
      <c r="J1209" s="39" t="inlineStr"/>
      <c r="K1209" s="34" t="inlineStr">
        <is>
          <t>Source assignment</t>
        </is>
      </c>
      <c r="L1209" s="39" t="inlineStr"/>
      <c r="M1209" s="34" t="inlineStr">
        <is>
          <t>Initial</t>
        </is>
      </c>
      <c r="N1209" s="34" t="inlineStr">
        <is>
          <t>Rev 0</t>
        </is>
      </c>
      <c r="O1209" s="34" t="inlineStr">
        <is>
          <t>R899-v1</t>
        </is>
      </c>
      <c r="P1209" s="39" t="inlineStr"/>
      <c r="Q1209" s="14" t="inlineStr"/>
      <c r="R1209" s="39" t="inlineStr"/>
      <c r="S1209" s="39" t="inlineStr"/>
      <c r="T1209" s="39" t="inlineStr"/>
      <c r="U1209" s="39" t="inlineStr"/>
      <c r="V1209" s="34" t="inlineStr">
        <is>
          <t>WBS Code = 1.5.1</t>
        </is>
      </c>
      <c r="W1209" s="14" t="inlineStr"/>
    </row>
    <row r="1210" ht="49" customHeight="1">
      <c r="A1210" s="34" t="inlineStr">
        <is>
          <t>1.5.2</t>
        </is>
      </c>
      <c r="B1210" s="34" t="inlineStr">
        <is>
          <t>Testing and Commissioning - Dynamic Testing</t>
        </is>
      </c>
      <c r="C1210" s="34" t="inlineStr">
        <is>
          <t>Contractor Programme</t>
        </is>
      </c>
      <c r="D1210" s="34" t="inlineStr">
        <is>
          <t>SCH-05-003</t>
        </is>
      </c>
      <c r="E1210" s="34" t="inlineStr">
        <is>
          <t>Interface works near testing and commissioning boundary</t>
        </is>
      </c>
      <c r="F1210" s="34" t="inlineStr">
        <is>
          <t>ONE_TO_ONE</t>
        </is>
      </c>
      <c r="G1210" s="34" t="inlineStr">
        <is>
          <t>APPROVED</t>
        </is>
      </c>
      <c r="H1210" s="34" t="inlineStr">
        <is>
          <t>New</t>
        </is>
      </c>
      <c r="I1210" s="34" t="inlineStr">
        <is>
          <t>Source assignment -- not individually reviewed</t>
        </is>
      </c>
      <c r="J1210" s="39" t="inlineStr"/>
      <c r="K1210" s="34" t="inlineStr">
        <is>
          <t>Source assignment</t>
        </is>
      </c>
      <c r="L1210" s="39" t="inlineStr"/>
      <c r="M1210" s="34" t="inlineStr">
        <is>
          <t>Initial</t>
        </is>
      </c>
      <c r="N1210" s="34" t="inlineStr">
        <is>
          <t>Rev 0</t>
        </is>
      </c>
      <c r="O1210" s="34" t="inlineStr">
        <is>
          <t>R723-v1</t>
        </is>
      </c>
      <c r="P1210" s="39" t="inlineStr"/>
      <c r="Q1210" s="14" t="inlineStr"/>
      <c r="R1210" s="39" t="inlineStr"/>
      <c r="S1210" s="39" t="inlineStr"/>
      <c r="T1210" s="39" t="inlineStr"/>
      <c r="U1210" s="39" t="inlineStr"/>
      <c r="V1210" s="34" t="inlineStr">
        <is>
          <t>WBS Code = 1.5.2</t>
        </is>
      </c>
      <c r="W1210" s="14" t="inlineStr"/>
    </row>
    <row r="1211" ht="49" customHeight="1">
      <c r="A1211" s="34" t="inlineStr">
        <is>
          <t>1.5.2</t>
        </is>
      </c>
      <c r="B1211" s="34" t="inlineStr">
        <is>
          <t>Testing and Commissioning - Dynamic Testing</t>
        </is>
      </c>
      <c r="C1211" s="34" t="inlineStr">
        <is>
          <t>Contractor Programme</t>
        </is>
      </c>
      <c r="D1211" s="34" t="inlineStr">
        <is>
          <t>SCH-05-006</t>
        </is>
      </c>
      <c r="E1211" s="34" t="inlineStr">
        <is>
          <t>Central section: service-readiness review - field start</t>
        </is>
      </c>
      <c r="F1211" s="34" t="inlineStr">
        <is>
          <t>ONE_TO_ONE</t>
        </is>
      </c>
      <c r="G1211" s="34" t="inlineStr">
        <is>
          <t>APPROVED</t>
        </is>
      </c>
      <c r="H1211" s="34" t="inlineStr">
        <is>
          <t>New</t>
        </is>
      </c>
      <c r="I1211" s="34" t="inlineStr">
        <is>
          <t>Source assignment -- not individually reviewed</t>
        </is>
      </c>
      <c r="J1211" s="39" t="inlineStr"/>
      <c r="K1211" s="34" t="inlineStr">
        <is>
          <t>Source assignment</t>
        </is>
      </c>
      <c r="L1211" s="39" t="inlineStr"/>
      <c r="M1211" s="34" t="inlineStr">
        <is>
          <t>Initial</t>
        </is>
      </c>
      <c r="N1211" s="34" t="inlineStr">
        <is>
          <t>Rev 0</t>
        </is>
      </c>
      <c r="O1211" s="34" t="inlineStr">
        <is>
          <t>R726-v1</t>
        </is>
      </c>
      <c r="P1211" s="39" t="inlineStr"/>
      <c r="Q1211" s="14" t="inlineStr"/>
      <c r="R1211" s="39" t="inlineStr"/>
      <c r="S1211" s="39" t="inlineStr"/>
      <c r="T1211" s="39" t="inlineStr"/>
      <c r="U1211" s="39" t="inlineStr"/>
      <c r="V1211" s="34" t="inlineStr">
        <is>
          <t>WBS Code = 1.5.2</t>
        </is>
      </c>
      <c r="W1211" s="14" t="inlineStr"/>
    </row>
    <row r="1212" ht="49" customHeight="1">
      <c r="A1212" s="34" t="inlineStr">
        <is>
          <t>1.5.2</t>
        </is>
      </c>
      <c r="B1212" s="34" t="inlineStr">
        <is>
          <t>Testing and Commissioning - Dynamic Testing</t>
        </is>
      </c>
      <c r="C1212" s="34" t="inlineStr">
        <is>
          <t>Contractor Programme</t>
        </is>
      </c>
      <c r="D1212" s="34" t="inlineStr">
        <is>
          <t>SCH-05-009</t>
        </is>
      </c>
      <c r="E1212" s="34" t="inlineStr">
        <is>
          <t>Control Centre: test procedure readiness review - turnover</t>
        </is>
      </c>
      <c r="F1212" s="34" t="inlineStr">
        <is>
          <t>ONE_TO_ONE</t>
        </is>
      </c>
      <c r="G1212" s="34" t="inlineStr">
        <is>
          <t>APPROVED</t>
        </is>
      </c>
      <c r="H1212" s="34" t="inlineStr">
        <is>
          <t>New</t>
        </is>
      </c>
      <c r="I1212" s="34" t="inlineStr">
        <is>
          <t>Source assignment -- not individually reviewed</t>
        </is>
      </c>
      <c r="J1212" s="39" t="inlineStr"/>
      <c r="K1212" s="34" t="inlineStr">
        <is>
          <t>Source assignment</t>
        </is>
      </c>
      <c r="L1212" s="39" t="inlineStr"/>
      <c r="M1212" s="34" t="inlineStr">
        <is>
          <t>Initial</t>
        </is>
      </c>
      <c r="N1212" s="34" t="inlineStr">
        <is>
          <t>Rev 0</t>
        </is>
      </c>
      <c r="O1212" s="34" t="inlineStr">
        <is>
          <t>R729-v1</t>
        </is>
      </c>
      <c r="P1212" s="39" t="inlineStr"/>
      <c r="Q1212" s="14" t="inlineStr"/>
      <c r="R1212" s="39" t="inlineStr"/>
      <c r="S1212" s="39" t="inlineStr"/>
      <c r="T1212" s="39" t="inlineStr"/>
      <c r="U1212" s="39" t="inlineStr"/>
      <c r="V1212" s="34" t="inlineStr">
        <is>
          <t>WBS Code = 1.5.2</t>
        </is>
      </c>
      <c r="W1212" s="14" t="inlineStr"/>
    </row>
    <row r="1213" ht="49" customHeight="1">
      <c r="A1213" s="34" t="inlineStr">
        <is>
          <t>1.5.2</t>
        </is>
      </c>
      <c r="B1213" s="34" t="inlineStr">
        <is>
          <t>Testing and Commissioning - Dynamic Testing</t>
        </is>
      </c>
      <c r="C1213" s="34" t="inlineStr">
        <is>
          <t>Contractor Programme</t>
        </is>
      </c>
      <c r="D1213" s="34" t="inlineStr">
        <is>
          <t>SCH-05-012</t>
        </is>
      </c>
      <c r="E1213" s="34" t="inlineStr">
        <is>
          <t>West terminal: mainline dynamic test - installation</t>
        </is>
      </c>
      <c r="F1213" s="34" t="inlineStr">
        <is>
          <t>ONE_TO_ONE</t>
        </is>
      </c>
      <c r="G1213" s="34" t="inlineStr">
        <is>
          <t>APPROVED</t>
        </is>
      </c>
      <c r="H1213" s="34" t="inlineStr">
        <is>
          <t>New</t>
        </is>
      </c>
      <c r="I1213" s="34" t="inlineStr">
        <is>
          <t>Source assignment -- not individually reviewed</t>
        </is>
      </c>
      <c r="J1213" s="39" t="inlineStr"/>
      <c r="K1213" s="34" t="inlineStr">
        <is>
          <t>Source assignment</t>
        </is>
      </c>
      <c r="L1213" s="39" t="inlineStr"/>
      <c r="M1213" s="34" t="inlineStr">
        <is>
          <t>Initial</t>
        </is>
      </c>
      <c r="N1213" s="34" t="inlineStr">
        <is>
          <t>Rev 0</t>
        </is>
      </c>
      <c r="O1213" s="34" t="inlineStr">
        <is>
          <t>R732-v1</t>
        </is>
      </c>
      <c r="P1213" s="39" t="inlineStr"/>
      <c r="Q1213" s="14" t="inlineStr"/>
      <c r="R1213" s="39" t="inlineStr"/>
      <c r="S1213" s="39" t="inlineStr"/>
      <c r="T1213" s="39" t="inlineStr"/>
      <c r="U1213" s="39" t="inlineStr"/>
      <c r="V1213" s="34" t="inlineStr">
        <is>
          <t>WBS Code = 1.5.2</t>
        </is>
      </c>
      <c r="W1213" s="14" t="inlineStr"/>
    </row>
    <row r="1214" ht="49" customHeight="1">
      <c r="A1214" s="34" t="inlineStr">
        <is>
          <t>1.5.2</t>
        </is>
      </c>
      <c r="B1214" s="34" t="inlineStr">
        <is>
          <t>Testing and Commissioning - Dynamic Testing</t>
        </is>
      </c>
      <c r="C1214" s="34" t="inlineStr">
        <is>
          <t>Contractor Programme</t>
        </is>
      </c>
      <c r="D1214" s="34" t="inlineStr">
        <is>
          <t>SCH-05-015</t>
        </is>
      </c>
      <c r="E1214" s="34" t="inlineStr">
        <is>
          <t>Mainline east: station integrated test - release</t>
        </is>
      </c>
      <c r="F1214" s="34" t="inlineStr">
        <is>
          <t>ONE_TO_ONE</t>
        </is>
      </c>
      <c r="G1214" s="34" t="inlineStr">
        <is>
          <t>APPROVED</t>
        </is>
      </c>
      <c r="H1214" s="34" t="inlineStr">
        <is>
          <t>New</t>
        </is>
      </c>
      <c r="I1214" s="34" t="inlineStr">
        <is>
          <t>Source assignment -- not individually reviewed</t>
        </is>
      </c>
      <c r="J1214" s="39" t="inlineStr"/>
      <c r="K1214" s="34" t="inlineStr">
        <is>
          <t>Source assignment</t>
        </is>
      </c>
      <c r="L1214" s="39" t="inlineStr"/>
      <c r="M1214" s="34" t="inlineStr">
        <is>
          <t>Initial</t>
        </is>
      </c>
      <c r="N1214" s="34" t="inlineStr">
        <is>
          <t>Rev 0</t>
        </is>
      </c>
      <c r="O1214" s="34" t="inlineStr">
        <is>
          <t>R735-v1</t>
        </is>
      </c>
      <c r="P1214" s="39" t="inlineStr"/>
      <c r="Q1214" s="14" t="inlineStr"/>
      <c r="R1214" s="39" t="inlineStr"/>
      <c r="S1214" s="39" t="inlineStr"/>
      <c r="T1214" s="39" t="inlineStr"/>
      <c r="U1214" s="39" t="inlineStr"/>
      <c r="V1214" s="34" t="inlineStr">
        <is>
          <t>WBS Code = 1.5.2</t>
        </is>
      </c>
      <c r="W1214" s="14" t="inlineStr"/>
    </row>
    <row r="1215" ht="49" customHeight="1">
      <c r="A1215" s="34" t="inlineStr">
        <is>
          <t>1.5.2</t>
        </is>
      </c>
      <c r="B1215" s="34" t="inlineStr">
        <is>
          <t>Testing and Commissioning - Dynamic Testing</t>
        </is>
      </c>
      <c r="C1215" s="34" t="inlineStr">
        <is>
          <t>Contractor Programme</t>
        </is>
      </c>
      <c r="D1215" s="34" t="inlineStr">
        <is>
          <t>SCH-05-018</t>
        </is>
      </c>
      <c r="E1215" s="34" t="inlineStr">
        <is>
          <t>Depot: emergency-response drill - inspection</t>
        </is>
      </c>
      <c r="F1215" s="34" t="inlineStr">
        <is>
          <t>ONE_TO_ONE</t>
        </is>
      </c>
      <c r="G1215" s="34" t="inlineStr">
        <is>
          <t>APPROVED</t>
        </is>
      </c>
      <c r="H1215" s="34" t="inlineStr">
        <is>
          <t>New</t>
        </is>
      </c>
      <c r="I1215" s="34" t="inlineStr">
        <is>
          <t>Source assignment -- not individually reviewed</t>
        </is>
      </c>
      <c r="J1215" s="39" t="inlineStr"/>
      <c r="K1215" s="34" t="inlineStr">
        <is>
          <t>Source assignment</t>
        </is>
      </c>
      <c r="L1215" s="39" t="inlineStr"/>
      <c r="M1215" s="34" t="inlineStr">
        <is>
          <t>Initial</t>
        </is>
      </c>
      <c r="N1215" s="34" t="inlineStr">
        <is>
          <t>Rev 0</t>
        </is>
      </c>
      <c r="O1215" s="34" t="inlineStr">
        <is>
          <t>R738-v1</t>
        </is>
      </c>
      <c r="P1215" s="39" t="inlineStr"/>
      <c r="Q1215" s="14" t="inlineStr"/>
      <c r="R1215" s="39" t="inlineStr"/>
      <c r="S1215" s="39" t="inlineStr"/>
      <c r="T1215" s="39" t="inlineStr"/>
      <c r="U1215" s="39" t="inlineStr"/>
      <c r="V1215" s="34" t="inlineStr">
        <is>
          <t>WBS Code = 1.5.2</t>
        </is>
      </c>
      <c r="W1215" s="14" t="inlineStr"/>
    </row>
    <row r="1216" ht="49" customHeight="1">
      <c r="A1216" s="34" t="inlineStr">
        <is>
          <t>1.5.2</t>
        </is>
      </c>
      <c r="B1216" s="34" t="inlineStr">
        <is>
          <t>Testing and Commissioning - Dynamic Testing</t>
        </is>
      </c>
      <c r="C1216" s="34" t="inlineStr">
        <is>
          <t>Contractor Programme</t>
        </is>
      </c>
      <c r="D1216" s="34" t="inlineStr">
        <is>
          <t>SCH-05-021</t>
        </is>
      </c>
      <c r="E1216" s="34" t="inlineStr">
        <is>
          <t>Central section: safety certificate evidence closeout - field start</t>
        </is>
      </c>
      <c r="F1216" s="34" t="inlineStr">
        <is>
          <t>ONE_TO_ONE</t>
        </is>
      </c>
      <c r="G1216" s="34" t="inlineStr">
        <is>
          <t>APPROVED</t>
        </is>
      </c>
      <c r="H1216" s="34" t="inlineStr">
        <is>
          <t>New</t>
        </is>
      </c>
      <c r="I1216" s="34" t="inlineStr">
        <is>
          <t>Source assignment -- not individually reviewed</t>
        </is>
      </c>
      <c r="J1216" s="39" t="inlineStr"/>
      <c r="K1216" s="34" t="inlineStr">
        <is>
          <t>Source assignment</t>
        </is>
      </c>
      <c r="L1216" s="39" t="inlineStr"/>
      <c r="M1216" s="34" t="inlineStr">
        <is>
          <t>Initial</t>
        </is>
      </c>
      <c r="N1216" s="34" t="inlineStr">
        <is>
          <t>Rev 0</t>
        </is>
      </c>
      <c r="O1216" s="34" t="inlineStr">
        <is>
          <t>R741-v1</t>
        </is>
      </c>
      <c r="P1216" s="39" t="inlineStr"/>
      <c r="Q1216" s="14" t="inlineStr"/>
      <c r="R1216" s="39" t="inlineStr"/>
      <c r="S1216" s="39" t="inlineStr"/>
      <c r="T1216" s="39" t="inlineStr"/>
      <c r="U1216" s="39" t="inlineStr"/>
      <c r="V1216" s="34" t="inlineStr">
        <is>
          <t>WBS Code = 1.5.2</t>
        </is>
      </c>
      <c r="W1216" s="14" t="inlineStr"/>
    </row>
    <row r="1217" ht="49" customHeight="1">
      <c r="A1217" s="34" t="inlineStr">
        <is>
          <t>1.5.2</t>
        </is>
      </c>
      <c r="B1217" s="34" t="inlineStr">
        <is>
          <t>Testing and Commissioning - Dynamic Testing</t>
        </is>
      </c>
      <c r="C1217" s="34" t="inlineStr">
        <is>
          <t>Contractor Programme</t>
        </is>
      </c>
      <c r="D1217" s="34" t="inlineStr">
        <is>
          <t>SCH-05-024</t>
        </is>
      </c>
      <c r="E1217" s="34" t="inlineStr">
        <is>
          <t>Control Centre: trial-running shift - turnover</t>
        </is>
      </c>
      <c r="F1217" s="34" t="inlineStr">
        <is>
          <t>ONE_TO_ONE</t>
        </is>
      </c>
      <c r="G1217" s="34" t="inlineStr">
        <is>
          <t>APPROVED</t>
        </is>
      </c>
      <c r="H1217" s="34" t="inlineStr">
        <is>
          <t>New</t>
        </is>
      </c>
      <c r="I1217" s="34" t="inlineStr">
        <is>
          <t>Source assignment -- not individually reviewed</t>
        </is>
      </c>
      <c r="J1217" s="39" t="inlineStr"/>
      <c r="K1217" s="34" t="inlineStr">
        <is>
          <t>Source assignment</t>
        </is>
      </c>
      <c r="L1217" s="39" t="inlineStr"/>
      <c r="M1217" s="34" t="inlineStr">
        <is>
          <t>Initial</t>
        </is>
      </c>
      <c r="N1217" s="34" t="inlineStr">
        <is>
          <t>Rev 0</t>
        </is>
      </c>
      <c r="O1217" s="34" t="inlineStr">
        <is>
          <t>R744-v1</t>
        </is>
      </c>
      <c r="P1217" s="39" t="inlineStr"/>
      <c r="Q1217" s="14" t="inlineStr"/>
      <c r="R1217" s="39" t="inlineStr"/>
      <c r="S1217" s="39" t="inlineStr"/>
      <c r="T1217" s="39" t="inlineStr"/>
      <c r="U1217" s="39" t="inlineStr"/>
      <c r="V1217" s="34" t="inlineStr">
        <is>
          <t>WBS Code = 1.5.2</t>
        </is>
      </c>
      <c r="W1217" s="14" t="inlineStr"/>
    </row>
    <row r="1218" ht="49" customHeight="1">
      <c r="A1218" s="34" t="inlineStr">
        <is>
          <t>1.5.2</t>
        </is>
      </c>
      <c r="B1218" s="34" t="inlineStr">
        <is>
          <t>Testing and Commissioning - Dynamic Testing</t>
        </is>
      </c>
      <c r="C1218" s="34" t="inlineStr">
        <is>
          <t>Contractor Programme</t>
        </is>
      </c>
      <c r="D1218" s="34" t="inlineStr">
        <is>
          <t>SCH-05-027</t>
        </is>
      </c>
      <c r="E1218" s="34" t="inlineStr">
        <is>
          <t>West terminal: defect retest - installation</t>
        </is>
      </c>
      <c r="F1218" s="34" t="inlineStr">
        <is>
          <t>ONE_TO_ONE</t>
        </is>
      </c>
      <c r="G1218" s="34" t="inlineStr">
        <is>
          <t>APPROVED</t>
        </is>
      </c>
      <c r="H1218" s="34" t="inlineStr">
        <is>
          <t>New</t>
        </is>
      </c>
      <c r="I1218" s="34" t="inlineStr">
        <is>
          <t>Source assignment -- not individually reviewed</t>
        </is>
      </c>
      <c r="J1218" s="39" t="inlineStr"/>
      <c r="K1218" s="34" t="inlineStr">
        <is>
          <t>Source assignment</t>
        </is>
      </c>
      <c r="L1218" s="39" t="inlineStr"/>
      <c r="M1218" s="34" t="inlineStr">
        <is>
          <t>Initial</t>
        </is>
      </c>
      <c r="N1218" s="34" t="inlineStr">
        <is>
          <t>Rev 0</t>
        </is>
      </c>
      <c r="O1218" s="34" t="inlineStr">
        <is>
          <t>R747-v1</t>
        </is>
      </c>
      <c r="P1218" s="39" t="inlineStr"/>
      <c r="Q1218" s="14" t="inlineStr"/>
      <c r="R1218" s="39" t="inlineStr"/>
      <c r="S1218" s="39" t="inlineStr"/>
      <c r="T1218" s="39" t="inlineStr"/>
      <c r="U1218" s="39" t="inlineStr"/>
      <c r="V1218" s="34" t="inlineStr">
        <is>
          <t>WBS Code = 1.5.2</t>
        </is>
      </c>
      <c r="W1218" s="14" t="inlineStr"/>
    </row>
    <row r="1219" ht="49" customHeight="1">
      <c r="A1219" s="34" t="inlineStr">
        <is>
          <t>1.5.2</t>
        </is>
      </c>
      <c r="B1219" s="34" t="inlineStr">
        <is>
          <t>Testing and Commissioning - Dynamic Testing</t>
        </is>
      </c>
      <c r="C1219" s="34" t="inlineStr">
        <is>
          <t>Contractor Programme</t>
        </is>
      </c>
      <c r="D1219" s="34" t="inlineStr">
        <is>
          <t>SCH-05-030</t>
        </is>
      </c>
      <c r="E1219" s="34" t="inlineStr">
        <is>
          <t>Mainline east: service-readiness review - release</t>
        </is>
      </c>
      <c r="F1219" s="34" t="inlineStr">
        <is>
          <t>ONE_TO_ONE</t>
        </is>
      </c>
      <c r="G1219" s="34" t="inlineStr">
        <is>
          <t>APPROVED</t>
        </is>
      </c>
      <c r="H1219" s="34" t="inlineStr">
        <is>
          <t>New</t>
        </is>
      </c>
      <c r="I1219" s="34" t="inlineStr">
        <is>
          <t>Source assignment -- not individually reviewed</t>
        </is>
      </c>
      <c r="J1219" s="39" t="inlineStr"/>
      <c r="K1219" s="34" t="inlineStr">
        <is>
          <t>Source assignment</t>
        </is>
      </c>
      <c r="L1219" s="39" t="inlineStr"/>
      <c r="M1219" s="34" t="inlineStr">
        <is>
          <t>Initial</t>
        </is>
      </c>
      <c r="N1219" s="34" t="inlineStr">
        <is>
          <t>Rev 0</t>
        </is>
      </c>
      <c r="O1219" s="34" t="inlineStr">
        <is>
          <t>R750-v1</t>
        </is>
      </c>
      <c r="P1219" s="39" t="inlineStr"/>
      <c r="Q1219" s="14" t="inlineStr"/>
      <c r="R1219" s="39" t="inlineStr"/>
      <c r="S1219" s="39" t="inlineStr"/>
      <c r="T1219" s="39" t="inlineStr"/>
      <c r="U1219" s="39" t="inlineStr"/>
      <c r="V1219" s="34" t="inlineStr">
        <is>
          <t>WBS Code = 1.5.2</t>
        </is>
      </c>
      <c r="W1219" s="14" t="inlineStr"/>
    </row>
    <row r="1220" ht="49" customHeight="1">
      <c r="A1220" s="34" t="inlineStr">
        <is>
          <t>1.5.2</t>
        </is>
      </c>
      <c r="B1220" s="34" t="inlineStr">
        <is>
          <t>Testing and Commissioning - Dynamic Testing</t>
        </is>
      </c>
      <c r="C1220" s="34" t="inlineStr">
        <is>
          <t>Contractor Programme</t>
        </is>
      </c>
      <c r="D1220" s="34" t="inlineStr">
        <is>
          <t>SCH-05-033</t>
        </is>
      </c>
      <c r="E1220" s="34" t="inlineStr">
        <is>
          <t>Depot: test procedure readiness review - inspection</t>
        </is>
      </c>
      <c r="F1220" s="34" t="inlineStr">
        <is>
          <t>ONE_TO_ONE</t>
        </is>
      </c>
      <c r="G1220" s="34" t="inlineStr">
        <is>
          <t>APPROVED</t>
        </is>
      </c>
      <c r="H1220" s="34" t="inlineStr">
        <is>
          <t>New</t>
        </is>
      </c>
      <c r="I1220" s="34" t="inlineStr">
        <is>
          <t>Source assignment -- not individually reviewed</t>
        </is>
      </c>
      <c r="J1220" s="39" t="inlineStr"/>
      <c r="K1220" s="34" t="inlineStr">
        <is>
          <t>Source assignment</t>
        </is>
      </c>
      <c r="L1220" s="39" t="inlineStr"/>
      <c r="M1220" s="34" t="inlineStr">
        <is>
          <t>Initial</t>
        </is>
      </c>
      <c r="N1220" s="34" t="inlineStr">
        <is>
          <t>Rev 0</t>
        </is>
      </c>
      <c r="O1220" s="34" t="inlineStr">
        <is>
          <t>R753-v1</t>
        </is>
      </c>
      <c r="P1220" s="39" t="inlineStr"/>
      <c r="Q1220" s="14" t="inlineStr"/>
      <c r="R1220" s="39" t="inlineStr"/>
      <c r="S1220" s="39" t="inlineStr"/>
      <c r="T1220" s="39" t="inlineStr"/>
      <c r="U1220" s="39" t="inlineStr"/>
      <c r="V1220" s="34" t="inlineStr">
        <is>
          <t>WBS Code = 1.5.2</t>
        </is>
      </c>
      <c r="W1220" s="14" t="inlineStr"/>
    </row>
    <row r="1221" ht="49" customHeight="1">
      <c r="A1221" s="34" t="inlineStr">
        <is>
          <t>1.5.2</t>
        </is>
      </c>
      <c r="B1221" s="34" t="inlineStr">
        <is>
          <t>Testing and Commissioning - Dynamic Testing</t>
        </is>
      </c>
      <c r="C1221" s="34" t="inlineStr">
        <is>
          <t>Contractor Programme</t>
        </is>
      </c>
      <c r="D1221" s="34" t="inlineStr">
        <is>
          <t>SCH-05-036</t>
        </is>
      </c>
      <c r="E1221" s="34" t="inlineStr">
        <is>
          <t>Central section: mainline dynamic test - field start</t>
        </is>
      </c>
      <c r="F1221" s="34" t="inlineStr">
        <is>
          <t>ONE_TO_ONE</t>
        </is>
      </c>
      <c r="G1221" s="34" t="inlineStr">
        <is>
          <t>APPROVED</t>
        </is>
      </c>
      <c r="H1221" s="34" t="inlineStr">
        <is>
          <t>New</t>
        </is>
      </c>
      <c r="I1221" s="34" t="inlineStr">
        <is>
          <t>Source assignment -- not individually reviewed</t>
        </is>
      </c>
      <c r="J1221" s="39" t="inlineStr"/>
      <c r="K1221" s="34" t="inlineStr">
        <is>
          <t>Source assignment</t>
        </is>
      </c>
      <c r="L1221" s="39" t="inlineStr"/>
      <c r="M1221" s="34" t="inlineStr">
        <is>
          <t>Initial</t>
        </is>
      </c>
      <c r="N1221" s="34" t="inlineStr">
        <is>
          <t>Rev 0</t>
        </is>
      </c>
      <c r="O1221" s="34" t="inlineStr">
        <is>
          <t>R756-v1</t>
        </is>
      </c>
      <c r="P1221" s="39" t="inlineStr"/>
      <c r="Q1221" s="14" t="inlineStr"/>
      <c r="R1221" s="39" t="inlineStr"/>
      <c r="S1221" s="39" t="inlineStr"/>
      <c r="T1221" s="39" t="inlineStr"/>
      <c r="U1221" s="39" t="inlineStr"/>
      <c r="V1221" s="34" t="inlineStr">
        <is>
          <t>WBS Code = 1.5.2</t>
        </is>
      </c>
      <c r="W1221" s="14" t="inlineStr"/>
    </row>
    <row r="1222" ht="49" customHeight="1">
      <c r="A1222" s="34" t="inlineStr">
        <is>
          <t>1.5.2</t>
        </is>
      </c>
      <c r="B1222" s="34" t="inlineStr">
        <is>
          <t>Testing and Commissioning - Dynamic Testing</t>
        </is>
      </c>
      <c r="C1222" s="34" t="inlineStr">
        <is>
          <t>Contractor Programme</t>
        </is>
      </c>
      <c r="D1222" s="34" t="inlineStr">
        <is>
          <t>SCH-05-039</t>
        </is>
      </c>
      <c r="E1222" s="34" t="inlineStr">
        <is>
          <t>Control Centre: station integrated test - turnover</t>
        </is>
      </c>
      <c r="F1222" s="34" t="inlineStr">
        <is>
          <t>ONE_TO_ONE</t>
        </is>
      </c>
      <c r="G1222" s="34" t="inlineStr">
        <is>
          <t>APPROVED</t>
        </is>
      </c>
      <c r="H1222" s="34" t="inlineStr">
        <is>
          <t>New</t>
        </is>
      </c>
      <c r="I1222" s="34" t="inlineStr">
        <is>
          <t>Source assignment -- not individually reviewed</t>
        </is>
      </c>
      <c r="J1222" s="39" t="inlineStr"/>
      <c r="K1222" s="34" t="inlineStr">
        <is>
          <t>Source assignment</t>
        </is>
      </c>
      <c r="L1222" s="39" t="inlineStr"/>
      <c r="M1222" s="34" t="inlineStr">
        <is>
          <t>Initial</t>
        </is>
      </c>
      <c r="N1222" s="34" t="inlineStr">
        <is>
          <t>Rev 0</t>
        </is>
      </c>
      <c r="O1222" s="34" t="inlineStr">
        <is>
          <t>R759-v1</t>
        </is>
      </c>
      <c r="P1222" s="39" t="inlineStr"/>
      <c r="Q1222" s="14" t="inlineStr"/>
      <c r="R1222" s="39" t="inlineStr"/>
      <c r="S1222" s="39" t="inlineStr"/>
      <c r="T1222" s="39" t="inlineStr"/>
      <c r="U1222" s="39" t="inlineStr"/>
      <c r="V1222" s="34" t="inlineStr">
        <is>
          <t>WBS Code = 1.5.2</t>
        </is>
      </c>
      <c r="W1222" s="14" t="inlineStr"/>
    </row>
    <row r="1223" ht="49" customHeight="1">
      <c r="A1223" s="34" t="inlineStr">
        <is>
          <t>1.5.2</t>
        </is>
      </c>
      <c r="B1223" s="34" t="inlineStr">
        <is>
          <t>Testing and Commissioning - Dynamic Testing</t>
        </is>
      </c>
      <c r="C1223" s="34" t="inlineStr">
        <is>
          <t>Contractor Programme</t>
        </is>
      </c>
      <c r="D1223" s="34" t="inlineStr">
        <is>
          <t>SCH-05-042</t>
        </is>
      </c>
      <c r="E1223" s="34" t="inlineStr">
        <is>
          <t>West terminal: emergency-response drill - installation</t>
        </is>
      </c>
      <c r="F1223" s="34" t="inlineStr">
        <is>
          <t>ONE_TO_ONE</t>
        </is>
      </c>
      <c r="G1223" s="34" t="inlineStr">
        <is>
          <t>APPROVED</t>
        </is>
      </c>
      <c r="H1223" s="34" t="inlineStr">
        <is>
          <t>New</t>
        </is>
      </c>
      <c r="I1223" s="34" t="inlineStr">
        <is>
          <t>Source assignment -- not individually reviewed</t>
        </is>
      </c>
      <c r="J1223" s="39" t="inlineStr"/>
      <c r="K1223" s="34" t="inlineStr">
        <is>
          <t>Source assignment</t>
        </is>
      </c>
      <c r="L1223" s="39" t="inlineStr"/>
      <c r="M1223" s="34" t="inlineStr">
        <is>
          <t>Initial</t>
        </is>
      </c>
      <c r="N1223" s="34" t="inlineStr">
        <is>
          <t>Rev 0</t>
        </is>
      </c>
      <c r="O1223" s="34" t="inlineStr">
        <is>
          <t>R762-v1</t>
        </is>
      </c>
      <c r="P1223" s="39" t="inlineStr"/>
      <c r="Q1223" s="14" t="inlineStr"/>
      <c r="R1223" s="39" t="inlineStr"/>
      <c r="S1223" s="39" t="inlineStr"/>
      <c r="T1223" s="39" t="inlineStr"/>
      <c r="U1223" s="39" t="inlineStr"/>
      <c r="V1223" s="34" t="inlineStr">
        <is>
          <t>WBS Code = 1.5.2</t>
        </is>
      </c>
      <c r="W1223" s="14" t="inlineStr"/>
    </row>
    <row r="1224" ht="49" customHeight="1">
      <c r="A1224" s="34" t="inlineStr">
        <is>
          <t>1.5.2</t>
        </is>
      </c>
      <c r="B1224" s="34" t="inlineStr">
        <is>
          <t>Testing and Commissioning - Dynamic Testing</t>
        </is>
      </c>
      <c r="C1224" s="34" t="inlineStr">
        <is>
          <t>Contractor Programme</t>
        </is>
      </c>
      <c r="D1224" s="34" t="inlineStr">
        <is>
          <t>SCH-05-045</t>
        </is>
      </c>
      <c r="E1224" s="34" t="inlineStr">
        <is>
          <t>Mainline east: safety certificate evidence closeout - release</t>
        </is>
      </c>
      <c r="F1224" s="34" t="inlineStr">
        <is>
          <t>ONE_TO_ONE</t>
        </is>
      </c>
      <c r="G1224" s="34" t="inlineStr">
        <is>
          <t>APPROVED</t>
        </is>
      </c>
      <c r="H1224" s="34" t="inlineStr">
        <is>
          <t>New</t>
        </is>
      </c>
      <c r="I1224" s="34" t="inlineStr">
        <is>
          <t>Source assignment -- not individually reviewed</t>
        </is>
      </c>
      <c r="J1224" s="39" t="inlineStr"/>
      <c r="K1224" s="34" t="inlineStr">
        <is>
          <t>Source assignment</t>
        </is>
      </c>
      <c r="L1224" s="39" t="inlineStr"/>
      <c r="M1224" s="34" t="inlineStr">
        <is>
          <t>Initial</t>
        </is>
      </c>
      <c r="N1224" s="34" t="inlineStr">
        <is>
          <t>Rev 0</t>
        </is>
      </c>
      <c r="O1224" s="34" t="inlineStr">
        <is>
          <t>R765-v1</t>
        </is>
      </c>
      <c r="P1224" s="39" t="inlineStr"/>
      <c r="Q1224" s="14" t="inlineStr"/>
      <c r="R1224" s="39" t="inlineStr"/>
      <c r="S1224" s="39" t="inlineStr"/>
      <c r="T1224" s="39" t="inlineStr"/>
      <c r="U1224" s="39" t="inlineStr"/>
      <c r="V1224" s="34" t="inlineStr">
        <is>
          <t>WBS Code = 1.5.2</t>
        </is>
      </c>
      <c r="W1224" s="14" t="inlineStr"/>
    </row>
    <row r="1225" ht="49" customHeight="1">
      <c r="A1225" s="34" t="inlineStr">
        <is>
          <t>1.5.2</t>
        </is>
      </c>
      <c r="B1225" s="34" t="inlineStr">
        <is>
          <t>Testing and Commissioning - Dynamic Testing</t>
        </is>
      </c>
      <c r="C1225" s="34" t="inlineStr">
        <is>
          <t>Contractor Programme</t>
        </is>
      </c>
      <c r="D1225" s="34" t="inlineStr">
        <is>
          <t>SCH-05-048</t>
        </is>
      </c>
      <c r="E1225" s="34" t="inlineStr">
        <is>
          <t>Depot: trial-running shift - inspection</t>
        </is>
      </c>
      <c r="F1225" s="34" t="inlineStr">
        <is>
          <t>ONE_TO_ONE</t>
        </is>
      </c>
      <c r="G1225" s="34" t="inlineStr">
        <is>
          <t>APPROVED</t>
        </is>
      </c>
      <c r="H1225" s="34" t="inlineStr">
        <is>
          <t>New</t>
        </is>
      </c>
      <c r="I1225" s="34" t="inlineStr">
        <is>
          <t>Source assignment -- not individually reviewed</t>
        </is>
      </c>
      <c r="J1225" s="39" t="inlineStr"/>
      <c r="K1225" s="34" t="inlineStr">
        <is>
          <t>Source assignment</t>
        </is>
      </c>
      <c r="L1225" s="39" t="inlineStr"/>
      <c r="M1225" s="34" t="inlineStr">
        <is>
          <t>Initial</t>
        </is>
      </c>
      <c r="N1225" s="34" t="inlineStr">
        <is>
          <t>Rev 0</t>
        </is>
      </c>
      <c r="O1225" s="34" t="inlineStr">
        <is>
          <t>R768-v1</t>
        </is>
      </c>
      <c r="P1225" s="39" t="inlineStr"/>
      <c r="Q1225" s="14" t="inlineStr"/>
      <c r="R1225" s="39" t="inlineStr"/>
      <c r="S1225" s="39" t="inlineStr"/>
      <c r="T1225" s="39" t="inlineStr"/>
      <c r="U1225" s="39" t="inlineStr"/>
      <c r="V1225" s="34" t="inlineStr">
        <is>
          <t>WBS Code = 1.5.2</t>
        </is>
      </c>
      <c r="W1225" s="14" t="inlineStr"/>
    </row>
    <row r="1226" ht="49" customHeight="1">
      <c r="A1226" s="34" t="inlineStr">
        <is>
          <t>1.5.2</t>
        </is>
      </c>
      <c r="B1226" s="34" t="inlineStr">
        <is>
          <t>Testing and Commissioning - Dynamic Testing</t>
        </is>
      </c>
      <c r="C1226" s="34" t="inlineStr">
        <is>
          <t>Contractor Programme</t>
        </is>
      </c>
      <c r="D1226" s="34" t="inlineStr">
        <is>
          <t>SCH-05-051</t>
        </is>
      </c>
      <c r="E1226" s="34" t="inlineStr">
        <is>
          <t>Central section: defect retest - field start</t>
        </is>
      </c>
      <c r="F1226" s="34" t="inlineStr">
        <is>
          <t>ONE_TO_ONE</t>
        </is>
      </c>
      <c r="G1226" s="34" t="inlineStr">
        <is>
          <t>APPROVED</t>
        </is>
      </c>
      <c r="H1226" s="34" t="inlineStr">
        <is>
          <t>New</t>
        </is>
      </c>
      <c r="I1226" s="34" t="inlineStr">
        <is>
          <t>Source assignment -- not individually reviewed</t>
        </is>
      </c>
      <c r="J1226" s="39" t="inlineStr"/>
      <c r="K1226" s="34" t="inlineStr">
        <is>
          <t>Source assignment</t>
        </is>
      </c>
      <c r="L1226" s="39" t="inlineStr"/>
      <c r="M1226" s="34" t="inlineStr">
        <is>
          <t>Initial</t>
        </is>
      </c>
      <c r="N1226" s="34" t="inlineStr">
        <is>
          <t>Rev 0</t>
        </is>
      </c>
      <c r="O1226" s="34" t="inlineStr">
        <is>
          <t>R771-v1</t>
        </is>
      </c>
      <c r="P1226" s="39" t="inlineStr"/>
      <c r="Q1226" s="14" t="inlineStr"/>
      <c r="R1226" s="39" t="inlineStr"/>
      <c r="S1226" s="39" t="inlineStr"/>
      <c r="T1226" s="39" t="inlineStr"/>
      <c r="U1226" s="39" t="inlineStr"/>
      <c r="V1226" s="34" t="inlineStr">
        <is>
          <t>WBS Code = 1.5.2</t>
        </is>
      </c>
      <c r="W1226" s="14" t="inlineStr"/>
    </row>
    <row r="1227" ht="49" customHeight="1">
      <c r="A1227" s="34" t="inlineStr">
        <is>
          <t>1.5.2</t>
        </is>
      </c>
      <c r="B1227" s="34" t="inlineStr">
        <is>
          <t>Testing and Commissioning - Dynamic Testing</t>
        </is>
      </c>
      <c r="C1227" s="34" t="inlineStr">
        <is>
          <t>Contractor Programme</t>
        </is>
      </c>
      <c r="D1227" s="34" t="inlineStr">
        <is>
          <t>SCH-05-054</t>
        </is>
      </c>
      <c r="E1227" s="34" t="inlineStr">
        <is>
          <t>Control Centre: service-readiness review - turnover</t>
        </is>
      </c>
      <c r="F1227" s="34" t="inlineStr">
        <is>
          <t>ONE_TO_ONE</t>
        </is>
      </c>
      <c r="G1227" s="34" t="inlineStr">
        <is>
          <t>APPROVED</t>
        </is>
      </c>
      <c r="H1227" s="34" t="inlineStr">
        <is>
          <t>New</t>
        </is>
      </c>
      <c r="I1227" s="34" t="inlineStr">
        <is>
          <t>Source assignment -- not individually reviewed</t>
        </is>
      </c>
      <c r="J1227" s="39" t="inlineStr"/>
      <c r="K1227" s="34" t="inlineStr">
        <is>
          <t>Source assignment</t>
        </is>
      </c>
      <c r="L1227" s="39" t="inlineStr"/>
      <c r="M1227" s="34" t="inlineStr">
        <is>
          <t>Initial</t>
        </is>
      </c>
      <c r="N1227" s="34" t="inlineStr">
        <is>
          <t>Rev 0</t>
        </is>
      </c>
      <c r="O1227" s="34" t="inlineStr">
        <is>
          <t>R774-v1</t>
        </is>
      </c>
      <c r="P1227" s="39" t="inlineStr"/>
      <c r="Q1227" s="14" t="inlineStr"/>
      <c r="R1227" s="39" t="inlineStr"/>
      <c r="S1227" s="39" t="inlineStr"/>
      <c r="T1227" s="39" t="inlineStr"/>
      <c r="U1227" s="39" t="inlineStr"/>
      <c r="V1227" s="34" t="inlineStr">
        <is>
          <t>WBS Code = 1.5.2</t>
        </is>
      </c>
      <c r="W1227" s="14" t="inlineStr"/>
    </row>
    <row r="1228" ht="49" customHeight="1">
      <c r="A1228" s="34" t="inlineStr">
        <is>
          <t>1.5.2</t>
        </is>
      </c>
      <c r="B1228" s="34" t="inlineStr">
        <is>
          <t>Testing and Commissioning - Dynamic Testing</t>
        </is>
      </c>
      <c r="C1228" s="34" t="inlineStr">
        <is>
          <t>Contractor Programme</t>
        </is>
      </c>
      <c r="D1228" s="34" t="inlineStr">
        <is>
          <t>SCH-05-057</t>
        </is>
      </c>
      <c r="E1228" s="34" t="inlineStr">
        <is>
          <t>West terminal: test procedure readiness review - installation</t>
        </is>
      </c>
      <c r="F1228" s="34" t="inlineStr">
        <is>
          <t>ONE_TO_ONE</t>
        </is>
      </c>
      <c r="G1228" s="34" t="inlineStr">
        <is>
          <t>APPROVED</t>
        </is>
      </c>
      <c r="H1228" s="34" t="inlineStr">
        <is>
          <t>New</t>
        </is>
      </c>
      <c r="I1228" s="34" t="inlineStr">
        <is>
          <t>Source assignment -- not individually reviewed</t>
        </is>
      </c>
      <c r="J1228" s="39" t="inlineStr"/>
      <c r="K1228" s="34" t="inlineStr">
        <is>
          <t>Source assignment</t>
        </is>
      </c>
      <c r="L1228" s="39" t="inlineStr"/>
      <c r="M1228" s="34" t="inlineStr">
        <is>
          <t>Initial</t>
        </is>
      </c>
      <c r="N1228" s="34" t="inlineStr">
        <is>
          <t>Rev 0</t>
        </is>
      </c>
      <c r="O1228" s="34" t="inlineStr">
        <is>
          <t>R777-v1</t>
        </is>
      </c>
      <c r="P1228" s="39" t="inlineStr"/>
      <c r="Q1228" s="14" t="inlineStr"/>
      <c r="R1228" s="39" t="inlineStr"/>
      <c r="S1228" s="39" t="inlineStr"/>
      <c r="T1228" s="39" t="inlineStr"/>
      <c r="U1228" s="39" t="inlineStr"/>
      <c r="V1228" s="34" t="inlineStr">
        <is>
          <t>WBS Code = 1.5.2</t>
        </is>
      </c>
      <c r="W1228" s="14" t="inlineStr"/>
    </row>
    <row r="1229" ht="49" customHeight="1">
      <c r="A1229" s="34" t="inlineStr">
        <is>
          <t>1.5.2</t>
        </is>
      </c>
      <c r="B1229" s="34" t="inlineStr">
        <is>
          <t>Testing and Commissioning - Dynamic Testing</t>
        </is>
      </c>
      <c r="C1229" s="34" t="inlineStr">
        <is>
          <t>Contractor Programme</t>
        </is>
      </c>
      <c r="D1229" s="34" t="inlineStr">
        <is>
          <t>SCH-05-060</t>
        </is>
      </c>
      <c r="E1229" s="34" t="inlineStr">
        <is>
          <t>Mainline east: mainline dynamic test - release</t>
        </is>
      </c>
      <c r="F1229" s="34" t="inlineStr">
        <is>
          <t>ONE_TO_ONE</t>
        </is>
      </c>
      <c r="G1229" s="34" t="inlineStr">
        <is>
          <t>APPROVED</t>
        </is>
      </c>
      <c r="H1229" s="34" t="inlineStr">
        <is>
          <t>New</t>
        </is>
      </c>
      <c r="I1229" s="34" t="inlineStr">
        <is>
          <t>Source assignment -- not individually reviewed</t>
        </is>
      </c>
      <c r="J1229" s="39" t="inlineStr"/>
      <c r="K1229" s="34" t="inlineStr">
        <is>
          <t>Source assignment</t>
        </is>
      </c>
      <c r="L1229" s="39" t="inlineStr"/>
      <c r="M1229" s="34" t="inlineStr">
        <is>
          <t>Initial</t>
        </is>
      </c>
      <c r="N1229" s="34" t="inlineStr">
        <is>
          <t>Rev 0</t>
        </is>
      </c>
      <c r="O1229" s="34" t="inlineStr">
        <is>
          <t>R780-v1</t>
        </is>
      </c>
      <c r="P1229" s="39" t="inlineStr"/>
      <c r="Q1229" s="14" t="inlineStr"/>
      <c r="R1229" s="39" t="inlineStr"/>
      <c r="S1229" s="39" t="inlineStr"/>
      <c r="T1229" s="39" t="inlineStr"/>
      <c r="U1229" s="39" t="inlineStr"/>
      <c r="V1229" s="34" t="inlineStr">
        <is>
          <t>WBS Code = 1.5.2</t>
        </is>
      </c>
      <c r="W1229" s="14" t="inlineStr"/>
    </row>
    <row r="1230" ht="49" customHeight="1">
      <c r="A1230" s="34" t="inlineStr">
        <is>
          <t>1.5.2</t>
        </is>
      </c>
      <c r="B1230" s="34" t="inlineStr">
        <is>
          <t>Testing and Commissioning - Dynamic Testing</t>
        </is>
      </c>
      <c r="C1230" s="34" t="inlineStr">
        <is>
          <t>Contractor Programme</t>
        </is>
      </c>
      <c r="D1230" s="34" t="inlineStr">
        <is>
          <t>SCH-05-063</t>
        </is>
      </c>
      <c r="E1230" s="34" t="inlineStr">
        <is>
          <t>Depot: station integrated test - inspection</t>
        </is>
      </c>
      <c r="F1230" s="34" t="inlineStr">
        <is>
          <t>ONE_TO_ONE</t>
        </is>
      </c>
      <c r="G1230" s="34" t="inlineStr">
        <is>
          <t>APPROVED</t>
        </is>
      </c>
      <c r="H1230" s="34" t="inlineStr">
        <is>
          <t>New</t>
        </is>
      </c>
      <c r="I1230" s="34" t="inlineStr">
        <is>
          <t>Source assignment -- not individually reviewed</t>
        </is>
      </c>
      <c r="J1230" s="39" t="inlineStr"/>
      <c r="K1230" s="34" t="inlineStr">
        <is>
          <t>Source assignment</t>
        </is>
      </c>
      <c r="L1230" s="39" t="inlineStr"/>
      <c r="M1230" s="34" t="inlineStr">
        <is>
          <t>Initial</t>
        </is>
      </c>
      <c r="N1230" s="34" t="inlineStr">
        <is>
          <t>Rev 0</t>
        </is>
      </c>
      <c r="O1230" s="34" t="inlineStr">
        <is>
          <t>R783-v1</t>
        </is>
      </c>
      <c r="P1230" s="39" t="inlineStr"/>
      <c r="Q1230" s="14" t="inlineStr"/>
      <c r="R1230" s="39" t="inlineStr"/>
      <c r="S1230" s="39" t="inlineStr"/>
      <c r="T1230" s="39" t="inlineStr"/>
      <c r="U1230" s="39" t="inlineStr"/>
      <c r="V1230" s="34" t="inlineStr">
        <is>
          <t>WBS Code = 1.5.2</t>
        </is>
      </c>
      <c r="W1230" s="14" t="inlineStr"/>
    </row>
    <row r="1231" ht="49" customHeight="1">
      <c r="A1231" s="34" t="inlineStr">
        <is>
          <t>1.5.2</t>
        </is>
      </c>
      <c r="B1231" s="34" t="inlineStr">
        <is>
          <t>Testing and Commissioning - Dynamic Testing</t>
        </is>
      </c>
      <c r="C1231" s="34" t="inlineStr">
        <is>
          <t>Contractor Programme</t>
        </is>
      </c>
      <c r="D1231" s="34" t="inlineStr">
        <is>
          <t>SCH-05-066</t>
        </is>
      </c>
      <c r="E1231" s="34" t="inlineStr">
        <is>
          <t>Central section: emergency-response drill - field start</t>
        </is>
      </c>
      <c r="F1231" s="34" t="inlineStr">
        <is>
          <t>ONE_TO_ONE</t>
        </is>
      </c>
      <c r="G1231" s="34" t="inlineStr">
        <is>
          <t>APPROVED</t>
        </is>
      </c>
      <c r="H1231" s="34" t="inlineStr">
        <is>
          <t>New</t>
        </is>
      </c>
      <c r="I1231" s="34" t="inlineStr">
        <is>
          <t>Source assignment -- not individually reviewed</t>
        </is>
      </c>
      <c r="J1231" s="39" t="inlineStr"/>
      <c r="K1231" s="34" t="inlineStr">
        <is>
          <t>Source assignment</t>
        </is>
      </c>
      <c r="L1231" s="39" t="inlineStr"/>
      <c r="M1231" s="34" t="inlineStr">
        <is>
          <t>Initial</t>
        </is>
      </c>
      <c r="N1231" s="34" t="inlineStr">
        <is>
          <t>Rev 0</t>
        </is>
      </c>
      <c r="O1231" s="34" t="inlineStr">
        <is>
          <t>R786-v1</t>
        </is>
      </c>
      <c r="P1231" s="39" t="inlineStr"/>
      <c r="Q1231" s="14" t="inlineStr"/>
      <c r="R1231" s="39" t="inlineStr"/>
      <c r="S1231" s="39" t="inlineStr"/>
      <c r="T1231" s="39" t="inlineStr"/>
      <c r="U1231" s="39" t="inlineStr"/>
      <c r="V1231" s="34" t="inlineStr">
        <is>
          <t>WBS Code = 1.5.2</t>
        </is>
      </c>
      <c r="W1231" s="14" t="inlineStr"/>
    </row>
    <row r="1232" ht="49" customHeight="1">
      <c r="A1232" s="34" t="inlineStr">
        <is>
          <t>1.5.2</t>
        </is>
      </c>
      <c r="B1232" s="34" t="inlineStr">
        <is>
          <t>Testing and Commissioning - Dynamic Testing</t>
        </is>
      </c>
      <c r="C1232" s="34" t="inlineStr">
        <is>
          <t>Contractor Programme</t>
        </is>
      </c>
      <c r="D1232" s="34" t="inlineStr">
        <is>
          <t>SCH-05-069</t>
        </is>
      </c>
      <c r="E1232" s="34" t="inlineStr">
        <is>
          <t>Control Centre: safety certificate evidence closeout - turnover</t>
        </is>
      </c>
      <c r="F1232" s="34" t="inlineStr">
        <is>
          <t>ONE_TO_ONE</t>
        </is>
      </c>
      <c r="G1232" s="34" t="inlineStr">
        <is>
          <t>APPROVED</t>
        </is>
      </c>
      <c r="H1232" s="34" t="inlineStr">
        <is>
          <t>New</t>
        </is>
      </c>
      <c r="I1232" s="34" t="inlineStr">
        <is>
          <t>Source assignment -- not individually reviewed</t>
        </is>
      </c>
      <c r="J1232" s="39" t="inlineStr"/>
      <c r="K1232" s="34" t="inlineStr">
        <is>
          <t>Source assignment</t>
        </is>
      </c>
      <c r="L1232" s="39" t="inlineStr"/>
      <c r="M1232" s="34" t="inlineStr">
        <is>
          <t>Initial</t>
        </is>
      </c>
      <c r="N1232" s="34" t="inlineStr">
        <is>
          <t>Rev 0</t>
        </is>
      </c>
      <c r="O1232" s="34" t="inlineStr">
        <is>
          <t>R789-v1</t>
        </is>
      </c>
      <c r="P1232" s="39" t="inlineStr"/>
      <c r="Q1232" s="14" t="inlineStr"/>
      <c r="R1232" s="39" t="inlineStr"/>
      <c r="S1232" s="39" t="inlineStr"/>
      <c r="T1232" s="39" t="inlineStr"/>
      <c r="U1232" s="39" t="inlineStr"/>
      <c r="V1232" s="34" t="inlineStr">
        <is>
          <t>WBS Code = 1.5.2</t>
        </is>
      </c>
      <c r="W1232" s="14" t="inlineStr"/>
    </row>
    <row r="1233" ht="49" customHeight="1">
      <c r="A1233" s="34" t="inlineStr">
        <is>
          <t>1.5.2</t>
        </is>
      </c>
      <c r="B1233" s="34" t="inlineStr">
        <is>
          <t>Testing and Commissioning - Dynamic Testing</t>
        </is>
      </c>
      <c r="C1233" s="34" t="inlineStr">
        <is>
          <t>Contractor Programme</t>
        </is>
      </c>
      <c r="D1233" s="34" t="inlineStr">
        <is>
          <t>SCH-05-072</t>
        </is>
      </c>
      <c r="E1233" s="34" t="inlineStr">
        <is>
          <t>West terminal: trial-running shift - installation</t>
        </is>
      </c>
      <c r="F1233" s="34" t="inlineStr">
        <is>
          <t>ONE_TO_ONE</t>
        </is>
      </c>
      <c r="G1233" s="34" t="inlineStr">
        <is>
          <t>APPROVED</t>
        </is>
      </c>
      <c r="H1233" s="34" t="inlineStr">
        <is>
          <t>New</t>
        </is>
      </c>
      <c r="I1233" s="34" t="inlineStr">
        <is>
          <t>Source assignment -- not individually reviewed</t>
        </is>
      </c>
      <c r="J1233" s="39" t="inlineStr"/>
      <c r="K1233" s="34" t="inlineStr">
        <is>
          <t>Source assignment</t>
        </is>
      </c>
      <c r="L1233" s="39" t="inlineStr"/>
      <c r="M1233" s="34" t="inlineStr">
        <is>
          <t>Initial</t>
        </is>
      </c>
      <c r="N1233" s="34" t="inlineStr">
        <is>
          <t>Rev 0</t>
        </is>
      </c>
      <c r="O1233" s="34" t="inlineStr">
        <is>
          <t>R792-v1</t>
        </is>
      </c>
      <c r="P1233" s="39" t="inlineStr"/>
      <c r="Q1233" s="14" t="inlineStr"/>
      <c r="R1233" s="39" t="inlineStr"/>
      <c r="S1233" s="39" t="inlineStr"/>
      <c r="T1233" s="39" t="inlineStr"/>
      <c r="U1233" s="39" t="inlineStr"/>
      <c r="V1233" s="34" t="inlineStr">
        <is>
          <t>WBS Code = 1.5.2</t>
        </is>
      </c>
      <c r="W1233" s="14" t="inlineStr"/>
    </row>
    <row r="1234" ht="49" customHeight="1">
      <c r="A1234" s="34" t="inlineStr">
        <is>
          <t>1.5.2</t>
        </is>
      </c>
      <c r="B1234" s="34" t="inlineStr">
        <is>
          <t>Testing and Commissioning - Dynamic Testing</t>
        </is>
      </c>
      <c r="C1234" s="34" t="inlineStr">
        <is>
          <t>Contractor Programme</t>
        </is>
      </c>
      <c r="D1234" s="34" t="inlineStr">
        <is>
          <t>SCH-05-075</t>
        </is>
      </c>
      <c r="E1234" s="34" t="inlineStr">
        <is>
          <t>Mainline east: defect retest - release</t>
        </is>
      </c>
      <c r="F1234" s="34" t="inlineStr">
        <is>
          <t>ONE_TO_ONE</t>
        </is>
      </c>
      <c r="G1234" s="34" t="inlineStr">
        <is>
          <t>APPROVED</t>
        </is>
      </c>
      <c r="H1234" s="34" t="inlineStr">
        <is>
          <t>New</t>
        </is>
      </c>
      <c r="I1234" s="34" t="inlineStr">
        <is>
          <t>Source assignment -- not individually reviewed</t>
        </is>
      </c>
      <c r="J1234" s="39" t="inlineStr"/>
      <c r="K1234" s="34" t="inlineStr">
        <is>
          <t>Source assignment</t>
        </is>
      </c>
      <c r="L1234" s="39" t="inlineStr"/>
      <c r="M1234" s="34" t="inlineStr">
        <is>
          <t>Initial</t>
        </is>
      </c>
      <c r="N1234" s="34" t="inlineStr">
        <is>
          <t>Rev 0</t>
        </is>
      </c>
      <c r="O1234" s="34" t="inlineStr">
        <is>
          <t>R795-v1</t>
        </is>
      </c>
      <c r="P1234" s="39" t="inlineStr"/>
      <c r="Q1234" s="14" t="inlineStr"/>
      <c r="R1234" s="39" t="inlineStr"/>
      <c r="S1234" s="39" t="inlineStr"/>
      <c r="T1234" s="39" t="inlineStr"/>
      <c r="U1234" s="39" t="inlineStr"/>
      <c r="V1234" s="34" t="inlineStr">
        <is>
          <t>WBS Code = 1.5.2</t>
        </is>
      </c>
      <c r="W1234" s="14" t="inlineStr"/>
    </row>
    <row r="1235" ht="49" customHeight="1">
      <c r="A1235" s="34" t="inlineStr">
        <is>
          <t>1.5.2</t>
        </is>
      </c>
      <c r="B1235" s="34" t="inlineStr">
        <is>
          <t>Testing and Commissioning - Dynamic Testing</t>
        </is>
      </c>
      <c r="C1235" s="34" t="inlineStr">
        <is>
          <t>Contractor Programme</t>
        </is>
      </c>
      <c r="D1235" s="34" t="inlineStr">
        <is>
          <t>SCH-05-078</t>
        </is>
      </c>
      <c r="E1235" s="34" t="inlineStr">
        <is>
          <t>Depot: service-readiness review - inspection</t>
        </is>
      </c>
      <c r="F1235" s="34" t="inlineStr">
        <is>
          <t>ONE_TO_ONE</t>
        </is>
      </c>
      <c r="G1235" s="34" t="inlineStr">
        <is>
          <t>APPROVED</t>
        </is>
      </c>
      <c r="H1235" s="34" t="inlineStr">
        <is>
          <t>New</t>
        </is>
      </c>
      <c r="I1235" s="34" t="inlineStr">
        <is>
          <t>Source assignment -- not individually reviewed</t>
        </is>
      </c>
      <c r="J1235" s="39" t="inlineStr"/>
      <c r="K1235" s="34" t="inlineStr">
        <is>
          <t>Source assignment</t>
        </is>
      </c>
      <c r="L1235" s="39" t="inlineStr"/>
      <c r="M1235" s="34" t="inlineStr">
        <is>
          <t>Initial</t>
        </is>
      </c>
      <c r="N1235" s="34" t="inlineStr">
        <is>
          <t>Rev 0</t>
        </is>
      </c>
      <c r="O1235" s="34" t="inlineStr">
        <is>
          <t>R798-v1</t>
        </is>
      </c>
      <c r="P1235" s="39" t="inlineStr"/>
      <c r="Q1235" s="14" t="inlineStr"/>
      <c r="R1235" s="39" t="inlineStr"/>
      <c r="S1235" s="39" t="inlineStr"/>
      <c r="T1235" s="39" t="inlineStr"/>
      <c r="U1235" s="39" t="inlineStr"/>
      <c r="V1235" s="34" t="inlineStr">
        <is>
          <t>WBS Code = 1.5.2</t>
        </is>
      </c>
      <c r="W1235" s="14" t="inlineStr"/>
    </row>
    <row r="1236" ht="49" customHeight="1">
      <c r="A1236" s="34" t="inlineStr">
        <is>
          <t>1.5.2</t>
        </is>
      </c>
      <c r="B1236" s="34" t="inlineStr">
        <is>
          <t>Testing and Commissioning - Dynamic Testing</t>
        </is>
      </c>
      <c r="C1236" s="34" t="inlineStr">
        <is>
          <t>Contractor Programme</t>
        </is>
      </c>
      <c r="D1236" s="34" t="inlineStr">
        <is>
          <t>SCH-05-081</t>
        </is>
      </c>
      <c r="E1236" s="34" t="inlineStr">
        <is>
          <t>Central section: test procedure readiness review - field start</t>
        </is>
      </c>
      <c r="F1236" s="34" t="inlineStr">
        <is>
          <t>ONE_TO_ONE</t>
        </is>
      </c>
      <c r="G1236" s="34" t="inlineStr">
        <is>
          <t>APPROVED</t>
        </is>
      </c>
      <c r="H1236" s="34" t="inlineStr">
        <is>
          <t>New</t>
        </is>
      </c>
      <c r="I1236" s="34" t="inlineStr">
        <is>
          <t>Source assignment -- not individually reviewed</t>
        </is>
      </c>
      <c r="J1236" s="39" t="inlineStr"/>
      <c r="K1236" s="34" t="inlineStr">
        <is>
          <t>Source assignment</t>
        </is>
      </c>
      <c r="L1236" s="39" t="inlineStr"/>
      <c r="M1236" s="34" t="inlineStr">
        <is>
          <t>Initial</t>
        </is>
      </c>
      <c r="N1236" s="34" t="inlineStr">
        <is>
          <t>Rev 0</t>
        </is>
      </c>
      <c r="O1236" s="34" t="inlineStr">
        <is>
          <t>R801-v1</t>
        </is>
      </c>
      <c r="P1236" s="39" t="inlineStr"/>
      <c r="Q1236" s="14" t="inlineStr"/>
      <c r="R1236" s="39" t="inlineStr"/>
      <c r="S1236" s="39" t="inlineStr"/>
      <c r="T1236" s="39" t="inlineStr"/>
      <c r="U1236" s="39" t="inlineStr"/>
      <c r="V1236" s="34" t="inlineStr">
        <is>
          <t>WBS Code = 1.5.2</t>
        </is>
      </c>
      <c r="W1236" s="14" t="inlineStr"/>
    </row>
    <row r="1237" ht="49" customHeight="1">
      <c r="A1237" s="34" t="inlineStr">
        <is>
          <t>1.5.2</t>
        </is>
      </c>
      <c r="B1237" s="34" t="inlineStr">
        <is>
          <t>Testing and Commissioning - Dynamic Testing</t>
        </is>
      </c>
      <c r="C1237" s="34" t="inlineStr">
        <is>
          <t>Contractor Programme</t>
        </is>
      </c>
      <c r="D1237" s="34" t="inlineStr">
        <is>
          <t>SCH-05-084</t>
        </is>
      </c>
      <c r="E1237" s="34" t="inlineStr">
        <is>
          <t>Control Centre: mainline dynamic test - turnover</t>
        </is>
      </c>
      <c r="F1237" s="34" t="inlineStr">
        <is>
          <t>ONE_TO_ONE</t>
        </is>
      </c>
      <c r="G1237" s="34" t="inlineStr">
        <is>
          <t>APPROVED</t>
        </is>
      </c>
      <c r="H1237" s="34" t="inlineStr">
        <is>
          <t>New</t>
        </is>
      </c>
      <c r="I1237" s="34" t="inlineStr">
        <is>
          <t>Source assignment -- not individually reviewed</t>
        </is>
      </c>
      <c r="J1237" s="39" t="inlineStr"/>
      <c r="K1237" s="34" t="inlineStr">
        <is>
          <t>Source assignment</t>
        </is>
      </c>
      <c r="L1237" s="39" t="inlineStr"/>
      <c r="M1237" s="34" t="inlineStr">
        <is>
          <t>Initial</t>
        </is>
      </c>
      <c r="N1237" s="34" t="inlineStr">
        <is>
          <t>Rev 0</t>
        </is>
      </c>
      <c r="O1237" s="34" t="inlineStr">
        <is>
          <t>R804-v1</t>
        </is>
      </c>
      <c r="P1237" s="39" t="inlineStr"/>
      <c r="Q1237" s="14" t="inlineStr"/>
      <c r="R1237" s="39" t="inlineStr"/>
      <c r="S1237" s="39" t="inlineStr"/>
      <c r="T1237" s="39" t="inlineStr"/>
      <c r="U1237" s="39" t="inlineStr"/>
      <c r="V1237" s="34" t="inlineStr">
        <is>
          <t>WBS Code = 1.5.2</t>
        </is>
      </c>
      <c r="W1237" s="14" t="inlineStr"/>
    </row>
    <row r="1238" ht="49" customHeight="1">
      <c r="A1238" s="34" t="inlineStr">
        <is>
          <t>1.5.2</t>
        </is>
      </c>
      <c r="B1238" s="34" t="inlineStr">
        <is>
          <t>Testing and Commissioning - Dynamic Testing</t>
        </is>
      </c>
      <c r="C1238" s="34" t="inlineStr">
        <is>
          <t>Contractor Programme</t>
        </is>
      </c>
      <c r="D1238" s="34" t="inlineStr">
        <is>
          <t>SCH-05-087</t>
        </is>
      </c>
      <c r="E1238" s="34" t="inlineStr">
        <is>
          <t>West terminal: station integrated test - installation</t>
        </is>
      </c>
      <c r="F1238" s="34" t="inlineStr">
        <is>
          <t>ONE_TO_ONE</t>
        </is>
      </c>
      <c r="G1238" s="34" t="inlineStr">
        <is>
          <t>APPROVED</t>
        </is>
      </c>
      <c r="H1238" s="34" t="inlineStr">
        <is>
          <t>New</t>
        </is>
      </c>
      <c r="I1238" s="34" t="inlineStr">
        <is>
          <t>Source assignment -- not individually reviewed</t>
        </is>
      </c>
      <c r="J1238" s="39" t="inlineStr"/>
      <c r="K1238" s="34" t="inlineStr">
        <is>
          <t>Source assignment</t>
        </is>
      </c>
      <c r="L1238" s="39" t="inlineStr"/>
      <c r="M1238" s="34" t="inlineStr">
        <is>
          <t>Initial</t>
        </is>
      </c>
      <c r="N1238" s="34" t="inlineStr">
        <is>
          <t>Rev 0</t>
        </is>
      </c>
      <c r="O1238" s="34" t="inlineStr">
        <is>
          <t>R807-v1</t>
        </is>
      </c>
      <c r="P1238" s="39" t="inlineStr"/>
      <c r="Q1238" s="14" t="inlineStr"/>
      <c r="R1238" s="39" t="inlineStr"/>
      <c r="S1238" s="39" t="inlineStr"/>
      <c r="T1238" s="39" t="inlineStr"/>
      <c r="U1238" s="39" t="inlineStr"/>
      <c r="V1238" s="34" t="inlineStr">
        <is>
          <t>WBS Code = 1.5.2</t>
        </is>
      </c>
      <c r="W1238" s="14" t="inlineStr"/>
    </row>
    <row r="1239" ht="49" customHeight="1">
      <c r="A1239" s="34" t="inlineStr">
        <is>
          <t>1.5.2</t>
        </is>
      </c>
      <c r="B1239" s="34" t="inlineStr">
        <is>
          <t>Testing and Commissioning - Dynamic Testing</t>
        </is>
      </c>
      <c r="C1239" s="34" t="inlineStr">
        <is>
          <t>Contractor Programme</t>
        </is>
      </c>
      <c r="D1239" s="34" t="inlineStr">
        <is>
          <t>SCH-05-090</t>
        </is>
      </c>
      <c r="E1239" s="34" t="inlineStr">
        <is>
          <t>Mainline east: emergency-response drill - release</t>
        </is>
      </c>
      <c r="F1239" s="34" t="inlineStr">
        <is>
          <t>ONE_TO_ONE</t>
        </is>
      </c>
      <c r="G1239" s="34" t="inlineStr">
        <is>
          <t>APPROVED</t>
        </is>
      </c>
      <c r="H1239" s="34" t="inlineStr">
        <is>
          <t>New</t>
        </is>
      </c>
      <c r="I1239" s="34" t="inlineStr">
        <is>
          <t>Source assignment -- not individually reviewed</t>
        </is>
      </c>
      <c r="J1239" s="39" t="inlineStr"/>
      <c r="K1239" s="34" t="inlineStr">
        <is>
          <t>Source assignment</t>
        </is>
      </c>
      <c r="L1239" s="39" t="inlineStr"/>
      <c r="M1239" s="34" t="inlineStr">
        <is>
          <t>Initial</t>
        </is>
      </c>
      <c r="N1239" s="34" t="inlineStr">
        <is>
          <t>Rev 0</t>
        </is>
      </c>
      <c r="O1239" s="34" t="inlineStr">
        <is>
          <t>R810-v1</t>
        </is>
      </c>
      <c r="P1239" s="39" t="inlineStr"/>
      <c r="Q1239" s="14" t="inlineStr"/>
      <c r="R1239" s="39" t="inlineStr"/>
      <c r="S1239" s="39" t="inlineStr"/>
      <c r="T1239" s="39" t="inlineStr"/>
      <c r="U1239" s="39" t="inlineStr"/>
      <c r="V1239" s="34" t="inlineStr">
        <is>
          <t>WBS Code = 1.5.2</t>
        </is>
      </c>
      <c r="W1239" s="14" t="inlineStr"/>
    </row>
    <row r="1240" ht="49" customHeight="1">
      <c r="A1240" s="34" t="inlineStr">
        <is>
          <t>1.5.2</t>
        </is>
      </c>
      <c r="B1240" s="34" t="inlineStr">
        <is>
          <t>Testing and Commissioning - Dynamic Testing</t>
        </is>
      </c>
      <c r="C1240" s="34" t="inlineStr">
        <is>
          <t>Contractor Programme</t>
        </is>
      </c>
      <c r="D1240" s="34" t="inlineStr">
        <is>
          <t>SCH-05-093</t>
        </is>
      </c>
      <c r="E1240" s="34" t="inlineStr">
        <is>
          <t>Depot: safety certificate evidence closeout - inspection</t>
        </is>
      </c>
      <c r="F1240" s="34" t="inlineStr">
        <is>
          <t>ONE_TO_ONE</t>
        </is>
      </c>
      <c r="G1240" s="34" t="inlineStr">
        <is>
          <t>APPROVED</t>
        </is>
      </c>
      <c r="H1240" s="34" t="inlineStr">
        <is>
          <t>New</t>
        </is>
      </c>
      <c r="I1240" s="34" t="inlineStr">
        <is>
          <t>Source assignment -- not individually reviewed</t>
        </is>
      </c>
      <c r="J1240" s="39" t="inlineStr"/>
      <c r="K1240" s="34" t="inlineStr">
        <is>
          <t>Source assignment</t>
        </is>
      </c>
      <c r="L1240" s="39" t="inlineStr"/>
      <c r="M1240" s="34" t="inlineStr">
        <is>
          <t>Initial</t>
        </is>
      </c>
      <c r="N1240" s="34" t="inlineStr">
        <is>
          <t>Rev 0</t>
        </is>
      </c>
      <c r="O1240" s="34" t="inlineStr">
        <is>
          <t>R813-v1</t>
        </is>
      </c>
      <c r="P1240" s="39" t="inlineStr"/>
      <c r="Q1240" s="14" t="inlineStr"/>
      <c r="R1240" s="39" t="inlineStr"/>
      <c r="S1240" s="39" t="inlineStr"/>
      <c r="T1240" s="39" t="inlineStr"/>
      <c r="U1240" s="39" t="inlineStr"/>
      <c r="V1240" s="34" t="inlineStr">
        <is>
          <t>WBS Code = 1.5.2</t>
        </is>
      </c>
      <c r="W1240" s="14" t="inlineStr"/>
    </row>
    <row r="1241" ht="49" customHeight="1">
      <c r="A1241" s="34" t="inlineStr">
        <is>
          <t>1.5.2</t>
        </is>
      </c>
      <c r="B1241" s="34" t="inlineStr">
        <is>
          <t>Testing and Commissioning - Dynamic Testing</t>
        </is>
      </c>
      <c r="C1241" s="34" t="inlineStr">
        <is>
          <t>Contractor Programme</t>
        </is>
      </c>
      <c r="D1241" s="34" t="inlineStr">
        <is>
          <t>SCH-05-096</t>
        </is>
      </c>
      <c r="E1241" s="34" t="inlineStr">
        <is>
          <t>Central section: trial-running shift - field start</t>
        </is>
      </c>
      <c r="F1241" s="34" t="inlineStr">
        <is>
          <t>ONE_TO_ONE</t>
        </is>
      </c>
      <c r="G1241" s="34" t="inlineStr">
        <is>
          <t>APPROVED</t>
        </is>
      </c>
      <c r="H1241" s="34" t="inlineStr">
        <is>
          <t>New</t>
        </is>
      </c>
      <c r="I1241" s="34" t="inlineStr">
        <is>
          <t>Source assignment -- not individually reviewed</t>
        </is>
      </c>
      <c r="J1241" s="39" t="inlineStr"/>
      <c r="K1241" s="34" t="inlineStr">
        <is>
          <t>Source assignment</t>
        </is>
      </c>
      <c r="L1241" s="39" t="inlineStr"/>
      <c r="M1241" s="34" t="inlineStr">
        <is>
          <t>Initial</t>
        </is>
      </c>
      <c r="N1241" s="34" t="inlineStr">
        <is>
          <t>Rev 0</t>
        </is>
      </c>
      <c r="O1241" s="34" t="inlineStr">
        <is>
          <t>R816-v1</t>
        </is>
      </c>
      <c r="P1241" s="39" t="inlineStr"/>
      <c r="Q1241" s="14" t="inlineStr"/>
      <c r="R1241" s="39" t="inlineStr"/>
      <c r="S1241" s="39" t="inlineStr"/>
      <c r="T1241" s="39" t="inlineStr"/>
      <c r="U1241" s="39" t="inlineStr"/>
      <c r="V1241" s="34" t="inlineStr">
        <is>
          <t>WBS Code = 1.5.2</t>
        </is>
      </c>
      <c r="W1241" s="14" t="inlineStr"/>
    </row>
    <row r="1242" ht="49" customHeight="1">
      <c r="A1242" s="34" t="inlineStr">
        <is>
          <t>1.5.2</t>
        </is>
      </c>
      <c r="B1242" s="34" t="inlineStr">
        <is>
          <t>Testing and Commissioning - Dynamic Testing</t>
        </is>
      </c>
      <c r="C1242" s="34" t="inlineStr">
        <is>
          <t>Contractor Programme</t>
        </is>
      </c>
      <c r="D1242" s="34" t="inlineStr">
        <is>
          <t>SCH-05-099</t>
        </is>
      </c>
      <c r="E1242" s="34" t="inlineStr">
        <is>
          <t>Control Centre: defect retest - turnover</t>
        </is>
      </c>
      <c r="F1242" s="34" t="inlineStr">
        <is>
          <t>ONE_TO_ONE</t>
        </is>
      </c>
      <c r="G1242" s="34" t="inlineStr">
        <is>
          <t>APPROVED</t>
        </is>
      </c>
      <c r="H1242" s="34" t="inlineStr">
        <is>
          <t>New</t>
        </is>
      </c>
      <c r="I1242" s="34" t="inlineStr">
        <is>
          <t>Source assignment -- not individually reviewed</t>
        </is>
      </c>
      <c r="J1242" s="39" t="inlineStr"/>
      <c r="K1242" s="34" t="inlineStr">
        <is>
          <t>Source assignment</t>
        </is>
      </c>
      <c r="L1242" s="39" t="inlineStr"/>
      <c r="M1242" s="34" t="inlineStr">
        <is>
          <t>Initial</t>
        </is>
      </c>
      <c r="N1242" s="34" t="inlineStr">
        <is>
          <t>Rev 0</t>
        </is>
      </c>
      <c r="O1242" s="34" t="inlineStr">
        <is>
          <t>R819-v1</t>
        </is>
      </c>
      <c r="P1242" s="39" t="inlineStr"/>
      <c r="Q1242" s="14" t="inlineStr"/>
      <c r="R1242" s="39" t="inlineStr"/>
      <c r="S1242" s="39" t="inlineStr"/>
      <c r="T1242" s="39" t="inlineStr"/>
      <c r="U1242" s="39" t="inlineStr"/>
      <c r="V1242" s="34" t="inlineStr">
        <is>
          <t>WBS Code = 1.5.2</t>
        </is>
      </c>
      <c r="W1242" s="14" t="inlineStr"/>
    </row>
    <row r="1243" ht="49" customHeight="1">
      <c r="A1243" s="34" t="inlineStr">
        <is>
          <t>1.5.2</t>
        </is>
      </c>
      <c r="B1243" s="34" t="inlineStr">
        <is>
          <t>Testing and Commissioning - Dynamic Testing</t>
        </is>
      </c>
      <c r="C1243" s="34" t="inlineStr">
        <is>
          <t>Contractor Programme</t>
        </is>
      </c>
      <c r="D1243" s="34" t="inlineStr">
        <is>
          <t>SCH-05-102</t>
        </is>
      </c>
      <c r="E1243" s="34" t="inlineStr">
        <is>
          <t>West terminal: service-readiness review - installation</t>
        </is>
      </c>
      <c r="F1243" s="34" t="inlineStr">
        <is>
          <t>ONE_TO_ONE</t>
        </is>
      </c>
      <c r="G1243" s="34" t="inlineStr">
        <is>
          <t>APPROVED</t>
        </is>
      </c>
      <c r="H1243" s="34" t="inlineStr">
        <is>
          <t>New</t>
        </is>
      </c>
      <c r="I1243" s="34" t="inlineStr">
        <is>
          <t>Source assignment -- not individually reviewed</t>
        </is>
      </c>
      <c r="J1243" s="39" t="inlineStr"/>
      <c r="K1243" s="34" t="inlineStr">
        <is>
          <t>Source assignment</t>
        </is>
      </c>
      <c r="L1243" s="39" t="inlineStr"/>
      <c r="M1243" s="34" t="inlineStr">
        <is>
          <t>Initial</t>
        </is>
      </c>
      <c r="N1243" s="34" t="inlineStr">
        <is>
          <t>Rev 0</t>
        </is>
      </c>
      <c r="O1243" s="34" t="inlineStr">
        <is>
          <t>R822-v1</t>
        </is>
      </c>
      <c r="P1243" s="39" t="inlineStr"/>
      <c r="Q1243" s="14" t="inlineStr"/>
      <c r="R1243" s="39" t="inlineStr"/>
      <c r="S1243" s="39" t="inlineStr"/>
      <c r="T1243" s="39" t="inlineStr"/>
      <c r="U1243" s="39" t="inlineStr"/>
      <c r="V1243" s="34" t="inlineStr">
        <is>
          <t>WBS Code = 1.5.2</t>
        </is>
      </c>
      <c r="W1243" s="14" t="inlineStr"/>
    </row>
    <row r="1244" ht="49" customHeight="1">
      <c r="A1244" s="34" t="inlineStr">
        <is>
          <t>1.5.2</t>
        </is>
      </c>
      <c r="B1244" s="34" t="inlineStr">
        <is>
          <t>Testing and Commissioning - Dynamic Testing</t>
        </is>
      </c>
      <c r="C1244" s="34" t="inlineStr">
        <is>
          <t>Contractor Programme</t>
        </is>
      </c>
      <c r="D1244" s="34" t="inlineStr">
        <is>
          <t>SCH-05-105</t>
        </is>
      </c>
      <c r="E1244" s="34" t="inlineStr">
        <is>
          <t>Mainline east: test procedure readiness review - release</t>
        </is>
      </c>
      <c r="F1244" s="34" t="inlineStr">
        <is>
          <t>ONE_TO_ONE</t>
        </is>
      </c>
      <c r="G1244" s="34" t="inlineStr">
        <is>
          <t>APPROVED</t>
        </is>
      </c>
      <c r="H1244" s="34" t="inlineStr">
        <is>
          <t>New</t>
        </is>
      </c>
      <c r="I1244" s="34" t="inlineStr">
        <is>
          <t>Source assignment -- not individually reviewed</t>
        </is>
      </c>
      <c r="J1244" s="39" t="inlineStr"/>
      <c r="K1244" s="34" t="inlineStr">
        <is>
          <t>Source assignment</t>
        </is>
      </c>
      <c r="L1244" s="39" t="inlineStr"/>
      <c r="M1244" s="34" t="inlineStr">
        <is>
          <t>Initial</t>
        </is>
      </c>
      <c r="N1244" s="34" t="inlineStr">
        <is>
          <t>Rev 0</t>
        </is>
      </c>
      <c r="O1244" s="34" t="inlineStr">
        <is>
          <t>R825-v1</t>
        </is>
      </c>
      <c r="P1244" s="39" t="inlineStr"/>
      <c r="Q1244" s="14" t="inlineStr"/>
      <c r="R1244" s="39" t="inlineStr"/>
      <c r="S1244" s="39" t="inlineStr"/>
      <c r="T1244" s="39" t="inlineStr"/>
      <c r="U1244" s="39" t="inlineStr"/>
      <c r="V1244" s="34" t="inlineStr">
        <is>
          <t>WBS Code = 1.5.2</t>
        </is>
      </c>
      <c r="W1244" s="14" t="inlineStr"/>
    </row>
    <row r="1245" ht="49" customHeight="1">
      <c r="A1245" s="34" t="inlineStr">
        <is>
          <t>1.5.2</t>
        </is>
      </c>
      <c r="B1245" s="34" t="inlineStr">
        <is>
          <t>Testing and Commissioning - Dynamic Testing</t>
        </is>
      </c>
      <c r="C1245" s="34" t="inlineStr">
        <is>
          <t>Contractor Programme</t>
        </is>
      </c>
      <c r="D1245" s="34" t="inlineStr">
        <is>
          <t>SCH-05-108</t>
        </is>
      </c>
      <c r="E1245" s="34" t="inlineStr">
        <is>
          <t>Depot: mainline dynamic test - inspection</t>
        </is>
      </c>
      <c r="F1245" s="34" t="inlineStr">
        <is>
          <t>ONE_TO_ONE</t>
        </is>
      </c>
      <c r="G1245" s="34" t="inlineStr">
        <is>
          <t>APPROVED</t>
        </is>
      </c>
      <c r="H1245" s="34" t="inlineStr">
        <is>
          <t>New</t>
        </is>
      </c>
      <c r="I1245" s="34" t="inlineStr">
        <is>
          <t>Source assignment -- not individually reviewed</t>
        </is>
      </c>
      <c r="J1245" s="39" t="inlineStr"/>
      <c r="K1245" s="34" t="inlineStr">
        <is>
          <t>Source assignment</t>
        </is>
      </c>
      <c r="L1245" s="39" t="inlineStr"/>
      <c r="M1245" s="34" t="inlineStr">
        <is>
          <t>Initial</t>
        </is>
      </c>
      <c r="N1245" s="34" t="inlineStr">
        <is>
          <t>Rev 0</t>
        </is>
      </c>
      <c r="O1245" s="34" t="inlineStr">
        <is>
          <t>R828-v1</t>
        </is>
      </c>
      <c r="P1245" s="39" t="inlineStr"/>
      <c r="Q1245" s="14" t="inlineStr"/>
      <c r="R1245" s="39" t="inlineStr"/>
      <c r="S1245" s="39" t="inlineStr"/>
      <c r="T1245" s="39" t="inlineStr"/>
      <c r="U1245" s="39" t="inlineStr"/>
      <c r="V1245" s="34" t="inlineStr">
        <is>
          <t>WBS Code = 1.5.2</t>
        </is>
      </c>
      <c r="W1245" s="14" t="inlineStr"/>
    </row>
    <row r="1246" ht="49" customHeight="1">
      <c r="A1246" s="34" t="inlineStr">
        <is>
          <t>1.5.2</t>
        </is>
      </c>
      <c r="B1246" s="34" t="inlineStr">
        <is>
          <t>Testing and Commissioning - Dynamic Testing</t>
        </is>
      </c>
      <c r="C1246" s="34" t="inlineStr">
        <is>
          <t>Contractor Programme</t>
        </is>
      </c>
      <c r="D1246" s="34" t="inlineStr">
        <is>
          <t>SCH-05-111</t>
        </is>
      </c>
      <c r="E1246" s="34" t="inlineStr">
        <is>
          <t>Central section: station integrated test - field start</t>
        </is>
      </c>
      <c r="F1246" s="34" t="inlineStr">
        <is>
          <t>ONE_TO_ONE</t>
        </is>
      </c>
      <c r="G1246" s="34" t="inlineStr">
        <is>
          <t>APPROVED</t>
        </is>
      </c>
      <c r="H1246" s="34" t="inlineStr">
        <is>
          <t>New</t>
        </is>
      </c>
      <c r="I1246" s="34" t="inlineStr">
        <is>
          <t>Source assignment -- not individually reviewed</t>
        </is>
      </c>
      <c r="J1246" s="39" t="inlineStr"/>
      <c r="K1246" s="34" t="inlineStr">
        <is>
          <t>Source assignment</t>
        </is>
      </c>
      <c r="L1246" s="39" t="inlineStr"/>
      <c r="M1246" s="34" t="inlineStr">
        <is>
          <t>Initial</t>
        </is>
      </c>
      <c r="N1246" s="34" t="inlineStr">
        <is>
          <t>Rev 0</t>
        </is>
      </c>
      <c r="O1246" s="34" t="inlineStr">
        <is>
          <t>R831-v1</t>
        </is>
      </c>
      <c r="P1246" s="39" t="inlineStr"/>
      <c r="Q1246" s="14" t="inlineStr"/>
      <c r="R1246" s="39" t="inlineStr"/>
      <c r="S1246" s="39" t="inlineStr"/>
      <c r="T1246" s="39" t="inlineStr"/>
      <c r="U1246" s="39" t="inlineStr"/>
      <c r="V1246" s="34" t="inlineStr">
        <is>
          <t>WBS Code = 1.5.2</t>
        </is>
      </c>
      <c r="W1246" s="14" t="inlineStr"/>
    </row>
    <row r="1247" ht="49" customHeight="1">
      <c r="A1247" s="34" t="inlineStr">
        <is>
          <t>1.5.2</t>
        </is>
      </c>
      <c r="B1247" s="34" t="inlineStr">
        <is>
          <t>Testing and Commissioning - Dynamic Testing</t>
        </is>
      </c>
      <c r="C1247" s="34" t="inlineStr">
        <is>
          <t>Contractor Programme</t>
        </is>
      </c>
      <c r="D1247" s="34" t="inlineStr">
        <is>
          <t>SCH-05-114</t>
        </is>
      </c>
      <c r="E1247" s="34" t="inlineStr">
        <is>
          <t>Control Centre: emergency-response drill - turnover</t>
        </is>
      </c>
      <c r="F1247" s="34" t="inlineStr">
        <is>
          <t>ONE_TO_ONE</t>
        </is>
      </c>
      <c r="G1247" s="34" t="inlineStr">
        <is>
          <t>APPROVED</t>
        </is>
      </c>
      <c r="H1247" s="34" t="inlineStr">
        <is>
          <t>New</t>
        </is>
      </c>
      <c r="I1247" s="34" t="inlineStr">
        <is>
          <t>Source assignment -- not individually reviewed</t>
        </is>
      </c>
      <c r="J1247" s="39" t="inlineStr"/>
      <c r="K1247" s="34" t="inlineStr">
        <is>
          <t>Source assignment</t>
        </is>
      </c>
      <c r="L1247" s="39" t="inlineStr"/>
      <c r="M1247" s="34" t="inlineStr">
        <is>
          <t>Initial</t>
        </is>
      </c>
      <c r="N1247" s="34" t="inlineStr">
        <is>
          <t>Rev 0</t>
        </is>
      </c>
      <c r="O1247" s="34" t="inlineStr">
        <is>
          <t>R834-v1</t>
        </is>
      </c>
      <c r="P1247" s="39" t="inlineStr"/>
      <c r="Q1247" s="14" t="inlineStr"/>
      <c r="R1247" s="39" t="inlineStr"/>
      <c r="S1247" s="39" t="inlineStr"/>
      <c r="T1247" s="39" t="inlineStr"/>
      <c r="U1247" s="39" t="inlineStr"/>
      <c r="V1247" s="34" t="inlineStr">
        <is>
          <t>WBS Code = 1.5.2</t>
        </is>
      </c>
      <c r="W1247" s="14" t="inlineStr"/>
    </row>
    <row r="1248" ht="49" customHeight="1">
      <c r="A1248" s="34" t="inlineStr">
        <is>
          <t>1.5.2</t>
        </is>
      </c>
      <c r="B1248" s="34" t="inlineStr">
        <is>
          <t>Testing and Commissioning - Dynamic Testing</t>
        </is>
      </c>
      <c r="C1248" s="34" t="inlineStr">
        <is>
          <t>Contractor Programme</t>
        </is>
      </c>
      <c r="D1248" s="34" t="inlineStr">
        <is>
          <t>SCH-05-117</t>
        </is>
      </c>
      <c r="E1248" s="34" t="inlineStr">
        <is>
          <t>West terminal: safety certificate evidence closeout - installation</t>
        </is>
      </c>
      <c r="F1248" s="34" t="inlineStr">
        <is>
          <t>ONE_TO_ONE</t>
        </is>
      </c>
      <c r="G1248" s="34" t="inlineStr">
        <is>
          <t>APPROVED</t>
        </is>
      </c>
      <c r="H1248" s="34" t="inlineStr">
        <is>
          <t>New</t>
        </is>
      </c>
      <c r="I1248" s="34" t="inlineStr">
        <is>
          <t>Source assignment -- not individually reviewed</t>
        </is>
      </c>
      <c r="J1248" s="39" t="inlineStr"/>
      <c r="K1248" s="34" t="inlineStr">
        <is>
          <t>Source assignment</t>
        </is>
      </c>
      <c r="L1248" s="39" t="inlineStr"/>
      <c r="M1248" s="34" t="inlineStr">
        <is>
          <t>Initial</t>
        </is>
      </c>
      <c r="N1248" s="34" t="inlineStr">
        <is>
          <t>Rev 0</t>
        </is>
      </c>
      <c r="O1248" s="34" t="inlineStr">
        <is>
          <t>R837-v1</t>
        </is>
      </c>
      <c r="P1248" s="39" t="inlineStr"/>
      <c r="Q1248" s="14" t="inlineStr"/>
      <c r="R1248" s="39" t="inlineStr"/>
      <c r="S1248" s="39" t="inlineStr"/>
      <c r="T1248" s="39" t="inlineStr"/>
      <c r="U1248" s="39" t="inlineStr"/>
      <c r="V1248" s="34" t="inlineStr">
        <is>
          <t>WBS Code = 1.5.2</t>
        </is>
      </c>
      <c r="W1248" s="14" t="inlineStr"/>
    </row>
    <row r="1249" ht="49" customHeight="1">
      <c r="A1249" s="34" t="inlineStr">
        <is>
          <t>1.5.2</t>
        </is>
      </c>
      <c r="B1249" s="34" t="inlineStr">
        <is>
          <t>Testing and Commissioning - Dynamic Testing</t>
        </is>
      </c>
      <c r="C1249" s="34" t="inlineStr">
        <is>
          <t>Contractor Programme</t>
        </is>
      </c>
      <c r="D1249" s="34" t="inlineStr">
        <is>
          <t>SCH-05-120</t>
        </is>
      </c>
      <c r="E1249" s="34" t="inlineStr">
        <is>
          <t>Mainline east: trial-running shift - release</t>
        </is>
      </c>
      <c r="F1249" s="34" t="inlineStr">
        <is>
          <t>ONE_TO_ONE</t>
        </is>
      </c>
      <c r="G1249" s="34" t="inlineStr">
        <is>
          <t>APPROVED</t>
        </is>
      </c>
      <c r="H1249" s="34" t="inlineStr">
        <is>
          <t>New</t>
        </is>
      </c>
      <c r="I1249" s="34" t="inlineStr">
        <is>
          <t>Source assignment -- not individually reviewed</t>
        </is>
      </c>
      <c r="J1249" s="39" t="inlineStr"/>
      <c r="K1249" s="34" t="inlineStr">
        <is>
          <t>Source assignment</t>
        </is>
      </c>
      <c r="L1249" s="39" t="inlineStr"/>
      <c r="M1249" s="34" t="inlineStr">
        <is>
          <t>Initial</t>
        </is>
      </c>
      <c r="N1249" s="34" t="inlineStr">
        <is>
          <t>Rev 0</t>
        </is>
      </c>
      <c r="O1249" s="34" t="inlineStr">
        <is>
          <t>R840-v1</t>
        </is>
      </c>
      <c r="P1249" s="39" t="inlineStr"/>
      <c r="Q1249" s="14" t="inlineStr"/>
      <c r="R1249" s="39" t="inlineStr"/>
      <c r="S1249" s="39" t="inlineStr"/>
      <c r="T1249" s="39" t="inlineStr"/>
      <c r="U1249" s="39" t="inlineStr"/>
      <c r="V1249" s="34" t="inlineStr">
        <is>
          <t>WBS Code = 1.5.2</t>
        </is>
      </c>
      <c r="W1249" s="14" t="inlineStr"/>
    </row>
    <row r="1250" ht="49" customHeight="1">
      <c r="A1250" s="34" t="inlineStr">
        <is>
          <t>1.5.2</t>
        </is>
      </c>
      <c r="B1250" s="34" t="inlineStr">
        <is>
          <t>Testing and Commissioning - Dynamic Testing</t>
        </is>
      </c>
      <c r="C1250" s="34" t="inlineStr">
        <is>
          <t>Contractor Programme</t>
        </is>
      </c>
      <c r="D1250" s="34" t="inlineStr">
        <is>
          <t>SCH-05-123</t>
        </is>
      </c>
      <c r="E1250" s="34" t="inlineStr">
        <is>
          <t>Depot: defect retest - inspection</t>
        </is>
      </c>
      <c r="F1250" s="34" t="inlineStr">
        <is>
          <t>ONE_TO_ONE</t>
        </is>
      </c>
      <c r="G1250" s="34" t="inlineStr">
        <is>
          <t>APPROVED</t>
        </is>
      </c>
      <c r="H1250" s="34" t="inlineStr">
        <is>
          <t>New</t>
        </is>
      </c>
      <c r="I1250" s="34" t="inlineStr">
        <is>
          <t>Source assignment -- not individually reviewed</t>
        </is>
      </c>
      <c r="J1250" s="39" t="inlineStr"/>
      <c r="K1250" s="34" t="inlineStr">
        <is>
          <t>Source assignment</t>
        </is>
      </c>
      <c r="L1250" s="39" t="inlineStr"/>
      <c r="M1250" s="34" t="inlineStr">
        <is>
          <t>Initial</t>
        </is>
      </c>
      <c r="N1250" s="34" t="inlineStr">
        <is>
          <t>Rev 0</t>
        </is>
      </c>
      <c r="O1250" s="34" t="inlineStr">
        <is>
          <t>R843-v1</t>
        </is>
      </c>
      <c r="P1250" s="39" t="inlineStr"/>
      <c r="Q1250" s="14" t="inlineStr"/>
      <c r="R1250" s="39" t="inlineStr"/>
      <c r="S1250" s="39" t="inlineStr"/>
      <c r="T1250" s="39" t="inlineStr"/>
      <c r="U1250" s="39" t="inlineStr"/>
      <c r="V1250" s="34" t="inlineStr">
        <is>
          <t>WBS Code = 1.5.2</t>
        </is>
      </c>
      <c r="W1250" s="14" t="inlineStr"/>
    </row>
    <row r="1251" ht="49" customHeight="1">
      <c r="A1251" s="34" t="inlineStr">
        <is>
          <t>1.5.2</t>
        </is>
      </c>
      <c r="B1251" s="34" t="inlineStr">
        <is>
          <t>Testing and Commissioning - Dynamic Testing</t>
        </is>
      </c>
      <c r="C1251" s="34" t="inlineStr">
        <is>
          <t>Contractor Programme</t>
        </is>
      </c>
      <c r="D1251" s="34" t="inlineStr">
        <is>
          <t>SCH-05-126</t>
        </is>
      </c>
      <c r="E1251" s="34" t="inlineStr">
        <is>
          <t>Central section: service-readiness review - field start</t>
        </is>
      </c>
      <c r="F1251" s="34" t="inlineStr">
        <is>
          <t>ONE_TO_ONE</t>
        </is>
      </c>
      <c r="G1251" s="34" t="inlineStr">
        <is>
          <t>APPROVED</t>
        </is>
      </c>
      <c r="H1251" s="34" t="inlineStr">
        <is>
          <t>New</t>
        </is>
      </c>
      <c r="I1251" s="34" t="inlineStr">
        <is>
          <t>Source assignment -- not individually reviewed</t>
        </is>
      </c>
      <c r="J1251" s="39" t="inlineStr"/>
      <c r="K1251" s="34" t="inlineStr">
        <is>
          <t>Source assignment</t>
        </is>
      </c>
      <c r="L1251" s="39" t="inlineStr"/>
      <c r="M1251" s="34" t="inlineStr">
        <is>
          <t>Initial</t>
        </is>
      </c>
      <c r="N1251" s="34" t="inlineStr">
        <is>
          <t>Rev 0</t>
        </is>
      </c>
      <c r="O1251" s="34" t="inlineStr">
        <is>
          <t>R846-v1</t>
        </is>
      </c>
      <c r="P1251" s="39" t="inlineStr"/>
      <c r="Q1251" s="14" t="inlineStr"/>
      <c r="R1251" s="39" t="inlineStr"/>
      <c r="S1251" s="39" t="inlineStr"/>
      <c r="T1251" s="39" t="inlineStr"/>
      <c r="U1251" s="39" t="inlineStr"/>
      <c r="V1251" s="34" t="inlineStr">
        <is>
          <t>WBS Code = 1.5.2</t>
        </is>
      </c>
      <c r="W1251" s="14" t="inlineStr"/>
    </row>
    <row r="1252" ht="49" customHeight="1">
      <c r="A1252" s="34" t="inlineStr">
        <is>
          <t>1.5.2</t>
        </is>
      </c>
      <c r="B1252" s="34" t="inlineStr">
        <is>
          <t>Testing and Commissioning - Dynamic Testing</t>
        </is>
      </c>
      <c r="C1252" s="34" t="inlineStr">
        <is>
          <t>Contractor Programme</t>
        </is>
      </c>
      <c r="D1252" s="34" t="inlineStr">
        <is>
          <t>SCH-05-129</t>
        </is>
      </c>
      <c r="E1252" s="34" t="inlineStr">
        <is>
          <t>Control Centre: test procedure readiness review - turnover</t>
        </is>
      </c>
      <c r="F1252" s="34" t="inlineStr">
        <is>
          <t>ONE_TO_ONE</t>
        </is>
      </c>
      <c r="G1252" s="34" t="inlineStr">
        <is>
          <t>APPROVED</t>
        </is>
      </c>
      <c r="H1252" s="34" t="inlineStr">
        <is>
          <t>New</t>
        </is>
      </c>
      <c r="I1252" s="34" t="inlineStr">
        <is>
          <t>Source assignment -- not individually reviewed</t>
        </is>
      </c>
      <c r="J1252" s="39" t="inlineStr"/>
      <c r="K1252" s="34" t="inlineStr">
        <is>
          <t>Source assignment</t>
        </is>
      </c>
      <c r="L1252" s="39" t="inlineStr"/>
      <c r="M1252" s="34" t="inlineStr">
        <is>
          <t>Initial</t>
        </is>
      </c>
      <c r="N1252" s="34" t="inlineStr">
        <is>
          <t>Rev 0</t>
        </is>
      </c>
      <c r="O1252" s="34" t="inlineStr">
        <is>
          <t>R849-v1</t>
        </is>
      </c>
      <c r="P1252" s="39" t="inlineStr"/>
      <c r="Q1252" s="14" t="inlineStr"/>
      <c r="R1252" s="39" t="inlineStr"/>
      <c r="S1252" s="39" t="inlineStr"/>
      <c r="T1252" s="39" t="inlineStr"/>
      <c r="U1252" s="39" t="inlineStr"/>
      <c r="V1252" s="34" t="inlineStr">
        <is>
          <t>WBS Code = 1.5.2</t>
        </is>
      </c>
      <c r="W1252" s="14" t="inlineStr"/>
    </row>
    <row r="1253" ht="49" customHeight="1">
      <c r="A1253" s="34" t="inlineStr">
        <is>
          <t>1.5.2</t>
        </is>
      </c>
      <c r="B1253" s="34" t="inlineStr">
        <is>
          <t>Testing and Commissioning - Dynamic Testing</t>
        </is>
      </c>
      <c r="C1253" s="34" t="inlineStr">
        <is>
          <t>Contractor Programme</t>
        </is>
      </c>
      <c r="D1253" s="34" t="inlineStr">
        <is>
          <t>SCH-05-132</t>
        </is>
      </c>
      <c r="E1253" s="34" t="inlineStr">
        <is>
          <t>West terminal: mainline dynamic test - installation</t>
        </is>
      </c>
      <c r="F1253" s="34" t="inlineStr">
        <is>
          <t>ONE_TO_ONE</t>
        </is>
      </c>
      <c r="G1253" s="34" t="inlineStr">
        <is>
          <t>APPROVED</t>
        </is>
      </c>
      <c r="H1253" s="34" t="inlineStr">
        <is>
          <t>New</t>
        </is>
      </c>
      <c r="I1253" s="34" t="inlineStr">
        <is>
          <t>Source assignment -- not individually reviewed</t>
        </is>
      </c>
      <c r="J1253" s="39" t="inlineStr"/>
      <c r="K1253" s="34" t="inlineStr">
        <is>
          <t>Source assignment</t>
        </is>
      </c>
      <c r="L1253" s="39" t="inlineStr"/>
      <c r="M1253" s="34" t="inlineStr">
        <is>
          <t>Initial</t>
        </is>
      </c>
      <c r="N1253" s="34" t="inlineStr">
        <is>
          <t>Rev 0</t>
        </is>
      </c>
      <c r="O1253" s="34" t="inlineStr">
        <is>
          <t>R852-v1</t>
        </is>
      </c>
      <c r="P1253" s="39" t="inlineStr"/>
      <c r="Q1253" s="14" t="inlineStr"/>
      <c r="R1253" s="39" t="inlineStr"/>
      <c r="S1253" s="39" t="inlineStr"/>
      <c r="T1253" s="39" t="inlineStr"/>
      <c r="U1253" s="39" t="inlineStr"/>
      <c r="V1253" s="34" t="inlineStr">
        <is>
          <t>WBS Code = 1.5.2</t>
        </is>
      </c>
      <c r="W1253" s="14" t="inlineStr"/>
    </row>
    <row r="1254" ht="49" customHeight="1">
      <c r="A1254" s="34" t="inlineStr">
        <is>
          <t>1.5.2</t>
        </is>
      </c>
      <c r="B1254" s="34" t="inlineStr">
        <is>
          <t>Testing and Commissioning - Dynamic Testing</t>
        </is>
      </c>
      <c r="C1254" s="34" t="inlineStr">
        <is>
          <t>Contractor Programme</t>
        </is>
      </c>
      <c r="D1254" s="34" t="inlineStr">
        <is>
          <t>SCH-05-135</t>
        </is>
      </c>
      <c r="E1254" s="34" t="inlineStr">
        <is>
          <t>Mainline east: station integrated test - release</t>
        </is>
      </c>
      <c r="F1254" s="34" t="inlineStr">
        <is>
          <t>ONE_TO_ONE</t>
        </is>
      </c>
      <c r="G1254" s="34" t="inlineStr">
        <is>
          <t>APPROVED</t>
        </is>
      </c>
      <c r="H1254" s="34" t="inlineStr">
        <is>
          <t>New</t>
        </is>
      </c>
      <c r="I1254" s="34" t="inlineStr">
        <is>
          <t>Source assignment -- not individually reviewed</t>
        </is>
      </c>
      <c r="J1254" s="39" t="inlineStr"/>
      <c r="K1254" s="34" t="inlineStr">
        <is>
          <t>Source assignment</t>
        </is>
      </c>
      <c r="L1254" s="39" t="inlineStr"/>
      <c r="M1254" s="34" t="inlineStr">
        <is>
          <t>Initial</t>
        </is>
      </c>
      <c r="N1254" s="34" t="inlineStr">
        <is>
          <t>Rev 0</t>
        </is>
      </c>
      <c r="O1254" s="34" t="inlineStr">
        <is>
          <t>R855-v1</t>
        </is>
      </c>
      <c r="P1254" s="39" t="inlineStr"/>
      <c r="Q1254" s="14" t="inlineStr"/>
      <c r="R1254" s="39" t="inlineStr"/>
      <c r="S1254" s="39" t="inlineStr"/>
      <c r="T1254" s="39" t="inlineStr"/>
      <c r="U1254" s="39" t="inlineStr"/>
      <c r="V1254" s="34" t="inlineStr">
        <is>
          <t>WBS Code = 1.5.2</t>
        </is>
      </c>
      <c r="W1254" s="14" t="inlineStr"/>
    </row>
    <row r="1255" ht="49" customHeight="1">
      <c r="A1255" s="34" t="inlineStr">
        <is>
          <t>1.5.2</t>
        </is>
      </c>
      <c r="B1255" s="34" t="inlineStr">
        <is>
          <t>Testing and Commissioning - Dynamic Testing</t>
        </is>
      </c>
      <c r="C1255" s="34" t="inlineStr">
        <is>
          <t>Contractor Programme</t>
        </is>
      </c>
      <c r="D1255" s="34" t="inlineStr">
        <is>
          <t>SCH-05-138</t>
        </is>
      </c>
      <c r="E1255" s="34" t="inlineStr">
        <is>
          <t>Depot: emergency-response drill - inspection</t>
        </is>
      </c>
      <c r="F1255" s="34" t="inlineStr">
        <is>
          <t>ONE_TO_ONE</t>
        </is>
      </c>
      <c r="G1255" s="34" t="inlineStr">
        <is>
          <t>APPROVED</t>
        </is>
      </c>
      <c r="H1255" s="34" t="inlineStr">
        <is>
          <t>New</t>
        </is>
      </c>
      <c r="I1255" s="34" t="inlineStr">
        <is>
          <t>Source assignment -- not individually reviewed</t>
        </is>
      </c>
      <c r="J1255" s="39" t="inlineStr"/>
      <c r="K1255" s="34" t="inlineStr">
        <is>
          <t>Source assignment</t>
        </is>
      </c>
      <c r="L1255" s="39" t="inlineStr"/>
      <c r="M1255" s="34" t="inlineStr">
        <is>
          <t>Initial</t>
        </is>
      </c>
      <c r="N1255" s="34" t="inlineStr">
        <is>
          <t>Rev 0</t>
        </is>
      </c>
      <c r="O1255" s="34" t="inlineStr">
        <is>
          <t>R858-v1</t>
        </is>
      </c>
      <c r="P1255" s="39" t="inlineStr"/>
      <c r="Q1255" s="14" t="inlineStr"/>
      <c r="R1255" s="39" t="inlineStr"/>
      <c r="S1255" s="39" t="inlineStr"/>
      <c r="T1255" s="39" t="inlineStr"/>
      <c r="U1255" s="39" t="inlineStr"/>
      <c r="V1255" s="34" t="inlineStr">
        <is>
          <t>WBS Code = 1.5.2</t>
        </is>
      </c>
      <c r="W1255" s="14" t="inlineStr"/>
    </row>
    <row r="1256" ht="49" customHeight="1">
      <c r="A1256" s="34" t="inlineStr">
        <is>
          <t>1.5.2</t>
        </is>
      </c>
      <c r="B1256" s="34" t="inlineStr">
        <is>
          <t>Testing and Commissioning - Dynamic Testing</t>
        </is>
      </c>
      <c r="C1256" s="34" t="inlineStr">
        <is>
          <t>Contractor Programme</t>
        </is>
      </c>
      <c r="D1256" s="34" t="inlineStr">
        <is>
          <t>SCH-05-141</t>
        </is>
      </c>
      <c r="E1256" s="34" t="inlineStr">
        <is>
          <t>Central section: safety certificate evidence closeout - field start</t>
        </is>
      </c>
      <c r="F1256" s="34" t="inlineStr">
        <is>
          <t>ONE_TO_ONE</t>
        </is>
      </c>
      <c r="G1256" s="34" t="inlineStr">
        <is>
          <t>APPROVED</t>
        </is>
      </c>
      <c r="H1256" s="34" t="inlineStr">
        <is>
          <t>New</t>
        </is>
      </c>
      <c r="I1256" s="34" t="inlineStr">
        <is>
          <t>Source assignment -- not individually reviewed</t>
        </is>
      </c>
      <c r="J1256" s="39" t="inlineStr"/>
      <c r="K1256" s="34" t="inlineStr">
        <is>
          <t>Source assignment</t>
        </is>
      </c>
      <c r="L1256" s="39" t="inlineStr"/>
      <c r="M1256" s="34" t="inlineStr">
        <is>
          <t>Initial</t>
        </is>
      </c>
      <c r="N1256" s="34" t="inlineStr">
        <is>
          <t>Rev 0</t>
        </is>
      </c>
      <c r="O1256" s="34" t="inlineStr">
        <is>
          <t>R861-v1</t>
        </is>
      </c>
      <c r="P1256" s="39" t="inlineStr"/>
      <c r="Q1256" s="14" t="inlineStr"/>
      <c r="R1256" s="39" t="inlineStr"/>
      <c r="S1256" s="39" t="inlineStr"/>
      <c r="T1256" s="39" t="inlineStr"/>
      <c r="U1256" s="39" t="inlineStr"/>
      <c r="V1256" s="34" t="inlineStr">
        <is>
          <t>WBS Code = 1.5.2</t>
        </is>
      </c>
      <c r="W1256" s="14" t="inlineStr"/>
    </row>
    <row r="1257" ht="49" customHeight="1">
      <c r="A1257" s="34" t="inlineStr">
        <is>
          <t>1.5.2</t>
        </is>
      </c>
      <c r="B1257" s="34" t="inlineStr">
        <is>
          <t>Testing and Commissioning - Dynamic Testing</t>
        </is>
      </c>
      <c r="C1257" s="34" t="inlineStr">
        <is>
          <t>Contractor Programme</t>
        </is>
      </c>
      <c r="D1257" s="34" t="inlineStr">
        <is>
          <t>SCH-05-144</t>
        </is>
      </c>
      <c r="E1257" s="34" t="inlineStr">
        <is>
          <t>Control Centre: trial-running shift - turnover</t>
        </is>
      </c>
      <c r="F1257" s="34" t="inlineStr">
        <is>
          <t>ONE_TO_ONE</t>
        </is>
      </c>
      <c r="G1257" s="34" t="inlineStr">
        <is>
          <t>APPROVED</t>
        </is>
      </c>
      <c r="H1257" s="34" t="inlineStr">
        <is>
          <t>New</t>
        </is>
      </c>
      <c r="I1257" s="34" t="inlineStr">
        <is>
          <t>Source assignment -- not individually reviewed</t>
        </is>
      </c>
      <c r="J1257" s="39" t="inlineStr"/>
      <c r="K1257" s="34" t="inlineStr">
        <is>
          <t>Source assignment</t>
        </is>
      </c>
      <c r="L1257" s="39" t="inlineStr"/>
      <c r="M1257" s="34" t="inlineStr">
        <is>
          <t>Initial</t>
        </is>
      </c>
      <c r="N1257" s="34" t="inlineStr">
        <is>
          <t>Rev 0</t>
        </is>
      </c>
      <c r="O1257" s="34" t="inlineStr">
        <is>
          <t>R864-v1</t>
        </is>
      </c>
      <c r="P1257" s="39" t="inlineStr"/>
      <c r="Q1257" s="14" t="inlineStr"/>
      <c r="R1257" s="39" t="inlineStr"/>
      <c r="S1257" s="39" t="inlineStr"/>
      <c r="T1257" s="39" t="inlineStr"/>
      <c r="U1257" s="39" t="inlineStr"/>
      <c r="V1257" s="34" t="inlineStr">
        <is>
          <t>WBS Code = 1.5.2</t>
        </is>
      </c>
      <c r="W1257" s="14" t="inlineStr"/>
    </row>
    <row r="1258" ht="49" customHeight="1">
      <c r="A1258" s="34" t="inlineStr">
        <is>
          <t>1.5.2</t>
        </is>
      </c>
      <c r="B1258" s="34" t="inlineStr">
        <is>
          <t>Testing and Commissioning - Dynamic Testing</t>
        </is>
      </c>
      <c r="C1258" s="34" t="inlineStr">
        <is>
          <t>Contractor Programme</t>
        </is>
      </c>
      <c r="D1258" s="34" t="inlineStr">
        <is>
          <t>SCH-05-147</t>
        </is>
      </c>
      <c r="E1258" s="34" t="inlineStr">
        <is>
          <t>West terminal: defect retest - installation</t>
        </is>
      </c>
      <c r="F1258" s="34" t="inlineStr">
        <is>
          <t>ONE_TO_ONE</t>
        </is>
      </c>
      <c r="G1258" s="34" t="inlineStr">
        <is>
          <t>APPROVED</t>
        </is>
      </c>
      <c r="H1258" s="34" t="inlineStr">
        <is>
          <t>New</t>
        </is>
      </c>
      <c r="I1258" s="34" t="inlineStr">
        <is>
          <t>Source assignment -- not individually reviewed</t>
        </is>
      </c>
      <c r="J1258" s="39" t="inlineStr"/>
      <c r="K1258" s="34" t="inlineStr">
        <is>
          <t>Source assignment</t>
        </is>
      </c>
      <c r="L1258" s="39" t="inlineStr"/>
      <c r="M1258" s="34" t="inlineStr">
        <is>
          <t>Initial</t>
        </is>
      </c>
      <c r="N1258" s="34" t="inlineStr">
        <is>
          <t>Rev 0</t>
        </is>
      </c>
      <c r="O1258" s="34" t="inlineStr">
        <is>
          <t>R867-v1</t>
        </is>
      </c>
      <c r="P1258" s="39" t="inlineStr"/>
      <c r="Q1258" s="14" t="inlineStr"/>
      <c r="R1258" s="39" t="inlineStr"/>
      <c r="S1258" s="39" t="inlineStr"/>
      <c r="T1258" s="39" t="inlineStr"/>
      <c r="U1258" s="39" t="inlineStr"/>
      <c r="V1258" s="34" t="inlineStr">
        <is>
          <t>WBS Code = 1.5.2</t>
        </is>
      </c>
      <c r="W1258" s="14" t="inlineStr"/>
    </row>
    <row r="1259" ht="49" customHeight="1">
      <c r="A1259" s="34" t="inlineStr">
        <is>
          <t>1.5.2</t>
        </is>
      </c>
      <c r="B1259" s="34" t="inlineStr">
        <is>
          <t>Testing and Commissioning - Dynamic Testing</t>
        </is>
      </c>
      <c r="C1259" s="34" t="inlineStr">
        <is>
          <t>Contractor Programme</t>
        </is>
      </c>
      <c r="D1259" s="34" t="inlineStr">
        <is>
          <t>SCH-05-150</t>
        </is>
      </c>
      <c r="E1259" s="34" t="inlineStr">
        <is>
          <t>Mainline east: service-readiness review - release</t>
        </is>
      </c>
      <c r="F1259" s="34" t="inlineStr">
        <is>
          <t>ONE_TO_ONE</t>
        </is>
      </c>
      <c r="G1259" s="34" t="inlineStr">
        <is>
          <t>APPROVED</t>
        </is>
      </c>
      <c r="H1259" s="34" t="inlineStr">
        <is>
          <t>New</t>
        </is>
      </c>
      <c r="I1259" s="34" t="inlineStr">
        <is>
          <t>Source assignment -- not individually reviewed</t>
        </is>
      </c>
      <c r="J1259" s="39" t="inlineStr"/>
      <c r="K1259" s="34" t="inlineStr">
        <is>
          <t>Source assignment</t>
        </is>
      </c>
      <c r="L1259" s="39" t="inlineStr"/>
      <c r="M1259" s="34" t="inlineStr">
        <is>
          <t>Initial</t>
        </is>
      </c>
      <c r="N1259" s="34" t="inlineStr">
        <is>
          <t>Rev 0</t>
        </is>
      </c>
      <c r="O1259" s="34" t="inlineStr">
        <is>
          <t>R870-v1</t>
        </is>
      </c>
      <c r="P1259" s="39" t="inlineStr"/>
      <c r="Q1259" s="14" t="inlineStr"/>
      <c r="R1259" s="39" t="inlineStr"/>
      <c r="S1259" s="39" t="inlineStr"/>
      <c r="T1259" s="39" t="inlineStr"/>
      <c r="U1259" s="39" t="inlineStr"/>
      <c r="V1259" s="34" t="inlineStr">
        <is>
          <t>WBS Code = 1.5.2</t>
        </is>
      </c>
      <c r="W1259" s="14" t="inlineStr"/>
    </row>
    <row r="1260" ht="49" customHeight="1">
      <c r="A1260" s="34" t="inlineStr">
        <is>
          <t>1.5.2</t>
        </is>
      </c>
      <c r="B1260" s="34" t="inlineStr">
        <is>
          <t>Testing and Commissioning - Dynamic Testing</t>
        </is>
      </c>
      <c r="C1260" s="34" t="inlineStr">
        <is>
          <t>Contractor Programme</t>
        </is>
      </c>
      <c r="D1260" s="34" t="inlineStr">
        <is>
          <t>SCH-05-153</t>
        </is>
      </c>
      <c r="E1260" s="34" t="inlineStr">
        <is>
          <t>Depot: test procedure readiness review - inspection</t>
        </is>
      </c>
      <c r="F1260" s="34" t="inlineStr">
        <is>
          <t>ONE_TO_ONE</t>
        </is>
      </c>
      <c r="G1260" s="34" t="inlineStr">
        <is>
          <t>APPROVED</t>
        </is>
      </c>
      <c r="H1260" s="34" t="inlineStr">
        <is>
          <t>New</t>
        </is>
      </c>
      <c r="I1260" s="34" t="inlineStr">
        <is>
          <t>Source assignment -- not individually reviewed</t>
        </is>
      </c>
      <c r="J1260" s="39" t="inlineStr"/>
      <c r="K1260" s="34" t="inlineStr">
        <is>
          <t>Source assignment</t>
        </is>
      </c>
      <c r="L1260" s="39" t="inlineStr"/>
      <c r="M1260" s="34" t="inlineStr">
        <is>
          <t>Initial</t>
        </is>
      </c>
      <c r="N1260" s="34" t="inlineStr">
        <is>
          <t>Rev 0</t>
        </is>
      </c>
      <c r="O1260" s="34" t="inlineStr">
        <is>
          <t>R873-v1</t>
        </is>
      </c>
      <c r="P1260" s="39" t="inlineStr"/>
      <c r="Q1260" s="14" t="inlineStr"/>
      <c r="R1260" s="39" t="inlineStr"/>
      <c r="S1260" s="39" t="inlineStr"/>
      <c r="T1260" s="39" t="inlineStr"/>
      <c r="U1260" s="39" t="inlineStr"/>
      <c r="V1260" s="34" t="inlineStr">
        <is>
          <t>WBS Code = 1.5.2</t>
        </is>
      </c>
      <c r="W1260" s="14" t="inlineStr"/>
    </row>
    <row r="1261" ht="49" customHeight="1">
      <c r="A1261" s="34" t="inlineStr">
        <is>
          <t>1.5.2</t>
        </is>
      </c>
      <c r="B1261" s="34" t="inlineStr">
        <is>
          <t>Testing and Commissioning - Dynamic Testing</t>
        </is>
      </c>
      <c r="C1261" s="34" t="inlineStr">
        <is>
          <t>Contractor Programme</t>
        </is>
      </c>
      <c r="D1261" s="34" t="inlineStr">
        <is>
          <t>SCH-05-156</t>
        </is>
      </c>
      <c r="E1261" s="34" t="inlineStr">
        <is>
          <t>Central section: mainline dynamic test - field start</t>
        </is>
      </c>
      <c r="F1261" s="34" t="inlineStr">
        <is>
          <t>ONE_TO_ONE</t>
        </is>
      </c>
      <c r="G1261" s="34" t="inlineStr">
        <is>
          <t>APPROVED</t>
        </is>
      </c>
      <c r="H1261" s="34" t="inlineStr">
        <is>
          <t>New</t>
        </is>
      </c>
      <c r="I1261" s="34" t="inlineStr">
        <is>
          <t>Source assignment -- not individually reviewed</t>
        </is>
      </c>
      <c r="J1261" s="39" t="inlineStr"/>
      <c r="K1261" s="34" t="inlineStr">
        <is>
          <t>Source assignment</t>
        </is>
      </c>
      <c r="L1261" s="39" t="inlineStr"/>
      <c r="M1261" s="34" t="inlineStr">
        <is>
          <t>Initial</t>
        </is>
      </c>
      <c r="N1261" s="34" t="inlineStr">
        <is>
          <t>Rev 0</t>
        </is>
      </c>
      <c r="O1261" s="34" t="inlineStr">
        <is>
          <t>R876-v1</t>
        </is>
      </c>
      <c r="P1261" s="39" t="inlineStr"/>
      <c r="Q1261" s="14" t="inlineStr"/>
      <c r="R1261" s="39" t="inlineStr"/>
      <c r="S1261" s="39" t="inlineStr"/>
      <c r="T1261" s="39" t="inlineStr"/>
      <c r="U1261" s="39" t="inlineStr"/>
      <c r="V1261" s="34" t="inlineStr">
        <is>
          <t>WBS Code = 1.5.2</t>
        </is>
      </c>
      <c r="W1261" s="14" t="inlineStr"/>
    </row>
    <row r="1262" ht="49" customHeight="1">
      <c r="A1262" s="34" t="inlineStr">
        <is>
          <t>1.5.2</t>
        </is>
      </c>
      <c r="B1262" s="34" t="inlineStr">
        <is>
          <t>Testing and Commissioning - Dynamic Testing</t>
        </is>
      </c>
      <c r="C1262" s="34" t="inlineStr">
        <is>
          <t>Contractor Programme</t>
        </is>
      </c>
      <c r="D1262" s="34" t="inlineStr">
        <is>
          <t>SCH-05-159</t>
        </is>
      </c>
      <c r="E1262" s="34" t="inlineStr">
        <is>
          <t>Control Centre: station integrated test - turnover</t>
        </is>
      </c>
      <c r="F1262" s="34" t="inlineStr">
        <is>
          <t>ONE_TO_ONE</t>
        </is>
      </c>
      <c r="G1262" s="34" t="inlineStr">
        <is>
          <t>APPROVED</t>
        </is>
      </c>
      <c r="H1262" s="34" t="inlineStr">
        <is>
          <t>New</t>
        </is>
      </c>
      <c r="I1262" s="34" t="inlineStr">
        <is>
          <t>Source assignment -- not individually reviewed</t>
        </is>
      </c>
      <c r="J1262" s="39" t="inlineStr"/>
      <c r="K1262" s="34" t="inlineStr">
        <is>
          <t>Source assignment</t>
        </is>
      </c>
      <c r="L1262" s="39" t="inlineStr"/>
      <c r="M1262" s="34" t="inlineStr">
        <is>
          <t>Initial</t>
        </is>
      </c>
      <c r="N1262" s="34" t="inlineStr">
        <is>
          <t>Rev 0</t>
        </is>
      </c>
      <c r="O1262" s="34" t="inlineStr">
        <is>
          <t>R879-v1</t>
        </is>
      </c>
      <c r="P1262" s="39" t="inlineStr"/>
      <c r="Q1262" s="14" t="inlineStr"/>
      <c r="R1262" s="39" t="inlineStr"/>
      <c r="S1262" s="39" t="inlineStr"/>
      <c r="T1262" s="39" t="inlineStr"/>
      <c r="U1262" s="39" t="inlineStr"/>
      <c r="V1262" s="34" t="inlineStr">
        <is>
          <t>WBS Code = 1.5.2</t>
        </is>
      </c>
      <c r="W1262" s="14" t="inlineStr"/>
    </row>
    <row r="1263" ht="49" customHeight="1">
      <c r="A1263" s="34" t="inlineStr">
        <is>
          <t>1.5.2</t>
        </is>
      </c>
      <c r="B1263" s="34" t="inlineStr">
        <is>
          <t>Testing and Commissioning - Dynamic Testing</t>
        </is>
      </c>
      <c r="C1263" s="34" t="inlineStr">
        <is>
          <t>Contractor Programme</t>
        </is>
      </c>
      <c r="D1263" s="34" t="inlineStr">
        <is>
          <t>SCH-05-162</t>
        </is>
      </c>
      <c r="E1263" s="34" t="inlineStr">
        <is>
          <t>West terminal: emergency-response drill - installation</t>
        </is>
      </c>
      <c r="F1263" s="34" t="inlineStr">
        <is>
          <t>ONE_TO_ONE</t>
        </is>
      </c>
      <c r="G1263" s="34" t="inlineStr">
        <is>
          <t>APPROVED</t>
        </is>
      </c>
      <c r="H1263" s="34" t="inlineStr">
        <is>
          <t>New</t>
        </is>
      </c>
      <c r="I1263" s="34" t="inlineStr">
        <is>
          <t>Source assignment -- not individually reviewed</t>
        </is>
      </c>
      <c r="J1263" s="39" t="inlineStr"/>
      <c r="K1263" s="34" t="inlineStr">
        <is>
          <t>Source assignment</t>
        </is>
      </c>
      <c r="L1263" s="39" t="inlineStr"/>
      <c r="M1263" s="34" t="inlineStr">
        <is>
          <t>Initial</t>
        </is>
      </c>
      <c r="N1263" s="34" t="inlineStr">
        <is>
          <t>Rev 0</t>
        </is>
      </c>
      <c r="O1263" s="34" t="inlineStr">
        <is>
          <t>R882-v1</t>
        </is>
      </c>
      <c r="P1263" s="39" t="inlineStr"/>
      <c r="Q1263" s="14" t="inlineStr"/>
      <c r="R1263" s="39" t="inlineStr"/>
      <c r="S1263" s="39" t="inlineStr"/>
      <c r="T1263" s="39" t="inlineStr"/>
      <c r="U1263" s="39" t="inlineStr"/>
      <c r="V1263" s="34" t="inlineStr">
        <is>
          <t>WBS Code = 1.5.2</t>
        </is>
      </c>
      <c r="W1263" s="14" t="inlineStr"/>
    </row>
    <row r="1264" ht="49" customHeight="1">
      <c r="A1264" s="34" t="inlineStr">
        <is>
          <t>1.5.2</t>
        </is>
      </c>
      <c r="B1264" s="34" t="inlineStr">
        <is>
          <t>Testing and Commissioning - Dynamic Testing</t>
        </is>
      </c>
      <c r="C1264" s="34" t="inlineStr">
        <is>
          <t>Contractor Programme</t>
        </is>
      </c>
      <c r="D1264" s="34" t="inlineStr">
        <is>
          <t>SCH-05-165</t>
        </is>
      </c>
      <c r="E1264" s="34" t="inlineStr">
        <is>
          <t>Mainline east: safety certificate evidence closeout - release</t>
        </is>
      </c>
      <c r="F1264" s="34" t="inlineStr">
        <is>
          <t>ONE_TO_ONE</t>
        </is>
      </c>
      <c r="G1264" s="34" t="inlineStr">
        <is>
          <t>APPROVED</t>
        </is>
      </c>
      <c r="H1264" s="34" t="inlineStr">
        <is>
          <t>New</t>
        </is>
      </c>
      <c r="I1264" s="34" t="inlineStr">
        <is>
          <t>Source assignment -- not individually reviewed</t>
        </is>
      </c>
      <c r="J1264" s="39" t="inlineStr"/>
      <c r="K1264" s="34" t="inlineStr">
        <is>
          <t>Source assignment</t>
        </is>
      </c>
      <c r="L1264" s="39" t="inlineStr"/>
      <c r="M1264" s="34" t="inlineStr">
        <is>
          <t>Initial</t>
        </is>
      </c>
      <c r="N1264" s="34" t="inlineStr">
        <is>
          <t>Rev 0</t>
        </is>
      </c>
      <c r="O1264" s="34" t="inlineStr">
        <is>
          <t>R885-v1</t>
        </is>
      </c>
      <c r="P1264" s="39" t="inlineStr"/>
      <c r="Q1264" s="14" t="inlineStr"/>
      <c r="R1264" s="39" t="inlineStr"/>
      <c r="S1264" s="39" t="inlineStr"/>
      <c r="T1264" s="39" t="inlineStr"/>
      <c r="U1264" s="39" t="inlineStr"/>
      <c r="V1264" s="34" t="inlineStr">
        <is>
          <t>WBS Code = 1.5.2</t>
        </is>
      </c>
      <c r="W1264" s="14" t="inlineStr"/>
    </row>
    <row r="1265" ht="49" customHeight="1">
      <c r="A1265" s="34" t="inlineStr">
        <is>
          <t>1.5.2</t>
        </is>
      </c>
      <c r="B1265" s="34" t="inlineStr">
        <is>
          <t>Testing and Commissioning - Dynamic Testing</t>
        </is>
      </c>
      <c r="C1265" s="34" t="inlineStr">
        <is>
          <t>Contractor Programme</t>
        </is>
      </c>
      <c r="D1265" s="34" t="inlineStr">
        <is>
          <t>SCH-05-168</t>
        </is>
      </c>
      <c r="E1265" s="34" t="inlineStr">
        <is>
          <t>Depot: trial-running shift - inspection</t>
        </is>
      </c>
      <c r="F1265" s="34" t="inlineStr">
        <is>
          <t>ONE_TO_ONE</t>
        </is>
      </c>
      <c r="G1265" s="34" t="inlineStr">
        <is>
          <t>APPROVED</t>
        </is>
      </c>
      <c r="H1265" s="34" t="inlineStr">
        <is>
          <t>New</t>
        </is>
      </c>
      <c r="I1265" s="34" t="inlineStr">
        <is>
          <t>Source assignment -- not individually reviewed</t>
        </is>
      </c>
      <c r="J1265" s="39" t="inlineStr"/>
      <c r="K1265" s="34" t="inlineStr">
        <is>
          <t>Source assignment</t>
        </is>
      </c>
      <c r="L1265" s="39" t="inlineStr"/>
      <c r="M1265" s="34" t="inlineStr">
        <is>
          <t>Initial</t>
        </is>
      </c>
      <c r="N1265" s="34" t="inlineStr">
        <is>
          <t>Rev 0</t>
        </is>
      </c>
      <c r="O1265" s="34" t="inlineStr">
        <is>
          <t>R888-v1</t>
        </is>
      </c>
      <c r="P1265" s="39" t="inlineStr"/>
      <c r="Q1265" s="14" t="inlineStr"/>
      <c r="R1265" s="39" t="inlineStr"/>
      <c r="S1265" s="39" t="inlineStr"/>
      <c r="T1265" s="39" t="inlineStr"/>
      <c r="U1265" s="39" t="inlineStr"/>
      <c r="V1265" s="34" t="inlineStr">
        <is>
          <t>WBS Code = 1.5.2</t>
        </is>
      </c>
      <c r="W1265" s="14" t="inlineStr"/>
    </row>
    <row r="1266" ht="49" customHeight="1">
      <c r="A1266" s="34" t="inlineStr">
        <is>
          <t>1.5.2</t>
        </is>
      </c>
      <c r="B1266" s="34" t="inlineStr">
        <is>
          <t>Testing and Commissioning - Dynamic Testing</t>
        </is>
      </c>
      <c r="C1266" s="34" t="inlineStr">
        <is>
          <t>Contractor Programme</t>
        </is>
      </c>
      <c r="D1266" s="34" t="inlineStr">
        <is>
          <t>SCH-05-171</t>
        </is>
      </c>
      <c r="E1266" s="34" t="inlineStr">
        <is>
          <t>Central section: defect retest - field start</t>
        </is>
      </c>
      <c r="F1266" s="34" t="inlineStr">
        <is>
          <t>ONE_TO_ONE</t>
        </is>
      </c>
      <c r="G1266" s="34" t="inlineStr">
        <is>
          <t>APPROVED</t>
        </is>
      </c>
      <c r="H1266" s="34" t="inlineStr">
        <is>
          <t>New</t>
        </is>
      </c>
      <c r="I1266" s="34" t="inlineStr">
        <is>
          <t>Source assignment -- not individually reviewed</t>
        </is>
      </c>
      <c r="J1266" s="39" t="inlineStr"/>
      <c r="K1266" s="34" t="inlineStr">
        <is>
          <t>Source assignment</t>
        </is>
      </c>
      <c r="L1266" s="39" t="inlineStr"/>
      <c r="M1266" s="34" t="inlineStr">
        <is>
          <t>Initial</t>
        </is>
      </c>
      <c r="N1266" s="34" t="inlineStr">
        <is>
          <t>Rev 0</t>
        </is>
      </c>
      <c r="O1266" s="34" t="inlineStr">
        <is>
          <t>R891-v1</t>
        </is>
      </c>
      <c r="P1266" s="39" t="inlineStr"/>
      <c r="Q1266" s="14" t="inlineStr"/>
      <c r="R1266" s="39" t="inlineStr"/>
      <c r="S1266" s="39" t="inlineStr"/>
      <c r="T1266" s="39" t="inlineStr"/>
      <c r="U1266" s="39" t="inlineStr"/>
      <c r="V1266" s="34" t="inlineStr">
        <is>
          <t>WBS Code = 1.5.2</t>
        </is>
      </c>
      <c r="W1266" s="14" t="inlineStr"/>
    </row>
    <row r="1267" ht="49" customHeight="1">
      <c r="A1267" s="34" t="inlineStr">
        <is>
          <t>1.5.2</t>
        </is>
      </c>
      <c r="B1267" s="34" t="inlineStr">
        <is>
          <t>Testing and Commissioning - Dynamic Testing</t>
        </is>
      </c>
      <c r="C1267" s="34" t="inlineStr">
        <is>
          <t>Contractor Programme</t>
        </is>
      </c>
      <c r="D1267" s="34" t="inlineStr">
        <is>
          <t>SCH-05-174</t>
        </is>
      </c>
      <c r="E1267" s="34" t="inlineStr">
        <is>
          <t>Control Centre: service-readiness review - turnover</t>
        </is>
      </c>
      <c r="F1267" s="34" t="inlineStr">
        <is>
          <t>ONE_TO_ONE</t>
        </is>
      </c>
      <c r="G1267" s="34" t="inlineStr">
        <is>
          <t>APPROVED</t>
        </is>
      </c>
      <c r="H1267" s="34" t="inlineStr">
        <is>
          <t>New</t>
        </is>
      </c>
      <c r="I1267" s="34" t="inlineStr">
        <is>
          <t>Source assignment -- not individually reviewed</t>
        </is>
      </c>
      <c r="J1267" s="39" t="inlineStr"/>
      <c r="K1267" s="34" t="inlineStr">
        <is>
          <t>Source assignment</t>
        </is>
      </c>
      <c r="L1267" s="39" t="inlineStr"/>
      <c r="M1267" s="34" t="inlineStr">
        <is>
          <t>Initial</t>
        </is>
      </c>
      <c r="N1267" s="34" t="inlineStr">
        <is>
          <t>Rev 0</t>
        </is>
      </c>
      <c r="O1267" s="34" t="inlineStr">
        <is>
          <t>R894-v1</t>
        </is>
      </c>
      <c r="P1267" s="39" t="inlineStr"/>
      <c r="Q1267" s="14" t="inlineStr"/>
      <c r="R1267" s="39" t="inlineStr"/>
      <c r="S1267" s="39" t="inlineStr"/>
      <c r="T1267" s="39" t="inlineStr"/>
      <c r="U1267" s="39" t="inlineStr"/>
      <c r="V1267" s="34" t="inlineStr">
        <is>
          <t>WBS Code = 1.5.2</t>
        </is>
      </c>
      <c r="W1267" s="14" t="inlineStr"/>
    </row>
    <row r="1268" ht="49" customHeight="1">
      <c r="A1268" s="34" t="inlineStr">
        <is>
          <t>1.5.2</t>
        </is>
      </c>
      <c r="B1268" s="34" t="inlineStr">
        <is>
          <t>Testing and Commissioning - Dynamic Testing</t>
        </is>
      </c>
      <c r="C1268" s="34" t="inlineStr">
        <is>
          <t>Contractor Programme</t>
        </is>
      </c>
      <c r="D1268" s="34" t="inlineStr">
        <is>
          <t>SCH-05-177</t>
        </is>
      </c>
      <c r="E1268" s="34" t="inlineStr">
        <is>
          <t>West terminal: test procedure readiness review - installation</t>
        </is>
      </c>
      <c r="F1268" s="34" t="inlineStr">
        <is>
          <t>ONE_TO_ONE</t>
        </is>
      </c>
      <c r="G1268" s="34" t="inlineStr">
        <is>
          <t>APPROVED</t>
        </is>
      </c>
      <c r="H1268" s="34" t="inlineStr">
        <is>
          <t>New</t>
        </is>
      </c>
      <c r="I1268" s="34" t="inlineStr">
        <is>
          <t>Source assignment -- not individually reviewed</t>
        </is>
      </c>
      <c r="J1268" s="39" t="inlineStr"/>
      <c r="K1268" s="34" t="inlineStr">
        <is>
          <t>Source assignment</t>
        </is>
      </c>
      <c r="L1268" s="39" t="inlineStr"/>
      <c r="M1268" s="34" t="inlineStr">
        <is>
          <t>Initial</t>
        </is>
      </c>
      <c r="N1268" s="34" t="inlineStr">
        <is>
          <t>Rev 0</t>
        </is>
      </c>
      <c r="O1268" s="34" t="inlineStr">
        <is>
          <t>R897-v1</t>
        </is>
      </c>
      <c r="P1268" s="39" t="inlineStr"/>
      <c r="Q1268" s="14" t="inlineStr"/>
      <c r="R1268" s="39" t="inlineStr"/>
      <c r="S1268" s="39" t="inlineStr"/>
      <c r="T1268" s="39" t="inlineStr"/>
      <c r="U1268" s="39" t="inlineStr"/>
      <c r="V1268" s="34" t="inlineStr">
        <is>
          <t>WBS Code = 1.5.2</t>
        </is>
      </c>
      <c r="W1268" s="14" t="inlineStr"/>
    </row>
    <row r="1269" ht="49" customHeight="1">
      <c r="A1269" s="34" t="inlineStr">
        <is>
          <t>1.5.2</t>
        </is>
      </c>
      <c r="B1269" s="34" t="inlineStr">
        <is>
          <t>Testing and Commissioning - Dynamic Testing</t>
        </is>
      </c>
      <c r="C1269" s="34" t="inlineStr">
        <is>
          <t>Contractor Programme</t>
        </is>
      </c>
      <c r="D1269" s="34" t="inlineStr">
        <is>
          <t>SCH-05-180</t>
        </is>
      </c>
      <c r="E1269" s="34" t="inlineStr">
        <is>
          <t>Mainline east: mainline dynamic test - release</t>
        </is>
      </c>
      <c r="F1269" s="34" t="inlineStr">
        <is>
          <t>ONE_TO_ONE</t>
        </is>
      </c>
      <c r="G1269" s="34" t="inlineStr">
        <is>
          <t>APPROVED</t>
        </is>
      </c>
      <c r="H1269" s="34" t="inlineStr">
        <is>
          <t>New</t>
        </is>
      </c>
      <c r="I1269" s="34" t="inlineStr">
        <is>
          <t>Source assignment -- not individually reviewed</t>
        </is>
      </c>
      <c r="J1269" s="39" t="inlineStr"/>
      <c r="K1269" s="34" t="inlineStr">
        <is>
          <t>Source assignment</t>
        </is>
      </c>
      <c r="L1269" s="39" t="inlineStr"/>
      <c r="M1269" s="34" t="inlineStr">
        <is>
          <t>Initial</t>
        </is>
      </c>
      <c r="N1269" s="34" t="inlineStr">
        <is>
          <t>Rev 0</t>
        </is>
      </c>
      <c r="O1269" s="34" t="inlineStr">
        <is>
          <t>R900-v1</t>
        </is>
      </c>
      <c r="P1269" s="39" t="inlineStr"/>
      <c r="Q1269" s="14" t="inlineStr"/>
      <c r="R1269" s="39" t="inlineStr"/>
      <c r="S1269" s="39" t="inlineStr"/>
      <c r="T1269" s="39" t="inlineStr"/>
      <c r="U1269" s="39" t="inlineStr"/>
      <c r="V1269" s="34" t="inlineStr">
        <is>
          <t>WBS Code = 1.5.2</t>
        </is>
      </c>
      <c r="W1269" s="14" t="inlineStr"/>
    </row>
    <row r="1270" ht="49" customHeight="1">
      <c r="A1270" s="34" t="inlineStr">
        <is>
          <t>1.6</t>
        </is>
      </c>
      <c r="B1270" s="34" t="inlineStr">
        <is>
          <t>Program Management</t>
        </is>
      </c>
      <c r="C1270" s="34" t="inlineStr">
        <is>
          <t>Commercial Package Register</t>
        </is>
      </c>
      <c r="D1270" s="34" t="inlineStr">
        <is>
          <t>PKG-051</t>
        </is>
      </c>
      <c r="E1270" s="34" t="inlineStr">
        <is>
          <t>Program Controls</t>
        </is>
      </c>
      <c r="F1270" s="34" t="inlineStr">
        <is>
          <t>ONE_TO_ONE</t>
        </is>
      </c>
      <c r="G1270" s="34" t="inlineStr">
        <is>
          <t>APPROVED</t>
        </is>
      </c>
      <c r="H1270" s="34" t="inlineStr">
        <is>
          <t>New</t>
        </is>
      </c>
      <c r="I1270" s="34" t="inlineStr">
        <is>
          <t>Source assignment -- not individually reviewed</t>
        </is>
      </c>
      <c r="J1270" s="39" t="inlineStr"/>
      <c r="K1270" s="34" t="inlineStr">
        <is>
          <t>Source assignment</t>
        </is>
      </c>
      <c r="L1270" s="39" t="inlineStr"/>
      <c r="M1270" s="34" t="inlineStr">
        <is>
          <t>Initial</t>
        </is>
      </c>
      <c r="N1270" s="34" t="inlineStr">
        <is>
          <t>Rev 0</t>
        </is>
      </c>
      <c r="O1270" s="34" t="inlineStr">
        <is>
          <t>R1613-v1</t>
        </is>
      </c>
      <c r="P1270" s="39" t="inlineStr"/>
      <c r="Q1270" s="14" t="inlineStr"/>
      <c r="R1270" s="39" t="inlineStr"/>
      <c r="S1270" s="39" t="inlineStr"/>
      <c r="T1270" s="39" t="inlineStr"/>
      <c r="U1270" s="39" t="inlineStr"/>
      <c r="V1270" s="34" t="inlineStr">
        <is>
          <t>Package Code = PK-601; WBS Code = 1.6</t>
        </is>
      </c>
      <c r="W1270" s="14" t="inlineStr"/>
    </row>
    <row r="1271" ht="49" customHeight="1">
      <c r="A1271" s="34" t="inlineStr">
        <is>
          <t>1.6</t>
        </is>
      </c>
      <c r="B1271" s="34" t="inlineStr">
        <is>
          <t>Program Management</t>
        </is>
      </c>
      <c r="C1271" s="34" t="inlineStr">
        <is>
          <t>Commercial Package Register</t>
        </is>
      </c>
      <c r="D1271" s="34" t="inlineStr">
        <is>
          <t>PKG-052</t>
        </is>
      </c>
      <c r="E1271" s="34" t="inlineStr">
        <is>
          <t>Commercial Advisory</t>
        </is>
      </c>
      <c r="F1271" s="34" t="inlineStr">
        <is>
          <t>ONE_TO_ONE</t>
        </is>
      </c>
      <c r="G1271" s="34" t="inlineStr">
        <is>
          <t>APPROVED</t>
        </is>
      </c>
      <c r="H1271" s="34" t="inlineStr">
        <is>
          <t>New</t>
        </is>
      </c>
      <c r="I1271" s="34" t="inlineStr">
        <is>
          <t>Source assignment -- not individually reviewed</t>
        </is>
      </c>
      <c r="J1271" s="39" t="inlineStr"/>
      <c r="K1271" s="34" t="inlineStr">
        <is>
          <t>Source assignment</t>
        </is>
      </c>
      <c r="L1271" s="39" t="inlineStr"/>
      <c r="M1271" s="34" t="inlineStr">
        <is>
          <t>Initial</t>
        </is>
      </c>
      <c r="N1271" s="34" t="inlineStr">
        <is>
          <t>Rev 0</t>
        </is>
      </c>
      <c r="O1271" s="34" t="inlineStr">
        <is>
          <t>R1614-v1</t>
        </is>
      </c>
      <c r="P1271" s="39" t="inlineStr"/>
      <c r="Q1271" s="14" t="inlineStr"/>
      <c r="R1271" s="39" t="inlineStr"/>
      <c r="S1271" s="39" t="inlineStr"/>
      <c r="T1271" s="39" t="inlineStr"/>
      <c r="U1271" s="39" t="inlineStr"/>
      <c r="V1271" s="34" t="inlineStr">
        <is>
          <t>Package Code = PK-602; WBS Code = 1.6</t>
        </is>
      </c>
      <c r="W1271" s="14" t="inlineStr"/>
    </row>
    <row r="1272" ht="49" customHeight="1">
      <c r="A1272" s="34" t="inlineStr">
        <is>
          <t>1.6</t>
        </is>
      </c>
      <c r="B1272" s="34" t="inlineStr">
        <is>
          <t>Program Management</t>
        </is>
      </c>
      <c r="C1272" s="34" t="inlineStr">
        <is>
          <t>Commercial Package Register</t>
        </is>
      </c>
      <c r="D1272" s="34" t="inlineStr">
        <is>
          <t>PKG-053</t>
        </is>
      </c>
      <c r="E1272" s="34" t="inlineStr">
        <is>
          <t>Permitting Support</t>
        </is>
      </c>
      <c r="F1272" s="34" t="inlineStr">
        <is>
          <t>ONE_TO_ONE</t>
        </is>
      </c>
      <c r="G1272" s="34" t="inlineStr">
        <is>
          <t>APPROVED</t>
        </is>
      </c>
      <c r="H1272" s="34" t="inlineStr">
        <is>
          <t>New</t>
        </is>
      </c>
      <c r="I1272" s="34" t="inlineStr">
        <is>
          <t>Source assignment -- not individually reviewed</t>
        </is>
      </c>
      <c r="J1272" s="39" t="inlineStr"/>
      <c r="K1272" s="34" t="inlineStr">
        <is>
          <t>Source assignment</t>
        </is>
      </c>
      <c r="L1272" s="39" t="inlineStr"/>
      <c r="M1272" s="34" t="inlineStr">
        <is>
          <t>Initial</t>
        </is>
      </c>
      <c r="N1272" s="34" t="inlineStr">
        <is>
          <t>Rev 0</t>
        </is>
      </c>
      <c r="O1272" s="34" t="inlineStr">
        <is>
          <t>R1615-v1</t>
        </is>
      </c>
      <c r="P1272" s="39" t="inlineStr"/>
      <c r="Q1272" s="14" t="inlineStr"/>
      <c r="R1272" s="39" t="inlineStr"/>
      <c r="S1272" s="39" t="inlineStr"/>
      <c r="T1272" s="39" t="inlineStr"/>
      <c r="U1272" s="39" t="inlineStr"/>
      <c r="V1272" s="34" t="inlineStr">
        <is>
          <t>Package Code = PK-603; WBS Code = 1.6</t>
        </is>
      </c>
      <c r="W1272" s="14" t="inlineStr"/>
    </row>
    <row r="1273" ht="49" customHeight="1">
      <c r="A1273" s="34" t="inlineStr">
        <is>
          <t>1.6</t>
        </is>
      </c>
      <c r="B1273" s="34" t="inlineStr">
        <is>
          <t>Program Management</t>
        </is>
      </c>
      <c r="C1273" s="34" t="inlineStr">
        <is>
          <t>Commercial Package Register</t>
        </is>
      </c>
      <c r="D1273" s="34" t="inlineStr">
        <is>
          <t>PKG-054</t>
        </is>
      </c>
      <c r="E1273" s="34" t="inlineStr">
        <is>
          <t>Delivery Integration</t>
        </is>
      </c>
      <c r="F1273" s="34" t="inlineStr">
        <is>
          <t>ONE_TO_ONE</t>
        </is>
      </c>
      <c r="G1273" s="34" t="inlineStr">
        <is>
          <t>APPROVED</t>
        </is>
      </c>
      <c r="H1273" s="34" t="inlineStr">
        <is>
          <t>New</t>
        </is>
      </c>
      <c r="I1273" s="34" t="inlineStr">
        <is>
          <t>Source assignment -- not individually reviewed</t>
        </is>
      </c>
      <c r="J1273" s="39" t="inlineStr"/>
      <c r="K1273" s="34" t="inlineStr">
        <is>
          <t>Source assignment</t>
        </is>
      </c>
      <c r="L1273" s="39" t="inlineStr"/>
      <c r="M1273" s="34" t="inlineStr">
        <is>
          <t>Initial</t>
        </is>
      </c>
      <c r="N1273" s="34" t="inlineStr">
        <is>
          <t>Rev 0</t>
        </is>
      </c>
      <c r="O1273" s="34" t="inlineStr">
        <is>
          <t>R1616-v1</t>
        </is>
      </c>
      <c r="P1273" s="39" t="inlineStr"/>
      <c r="Q1273" s="14" t="inlineStr"/>
      <c r="R1273" s="39" t="inlineStr"/>
      <c r="S1273" s="39" t="inlineStr"/>
      <c r="T1273" s="39" t="inlineStr"/>
      <c r="U1273" s="39" t="inlineStr"/>
      <c r="V1273" s="34" t="inlineStr">
        <is>
          <t>Package Code = PK-604; WBS Code = 1.6</t>
        </is>
      </c>
      <c r="W1273" s="14" t="inlineStr"/>
    </row>
    <row r="1274" ht="49" customHeight="1">
      <c r="A1274" s="34" t="inlineStr">
        <is>
          <t>1.6</t>
        </is>
      </c>
      <c r="B1274" s="34" t="inlineStr">
        <is>
          <t>Program Management</t>
        </is>
      </c>
      <c r="C1274" s="34" t="inlineStr">
        <is>
          <t>Commercial Package Register</t>
        </is>
      </c>
      <c r="D1274" s="34" t="inlineStr">
        <is>
          <t>PKG-055</t>
        </is>
      </c>
      <c r="E1274" s="34" t="inlineStr">
        <is>
          <t>Program Controls - Lot 2</t>
        </is>
      </c>
      <c r="F1274" s="34" t="inlineStr">
        <is>
          <t>ONE_TO_ONE</t>
        </is>
      </c>
      <c r="G1274" s="34" t="inlineStr">
        <is>
          <t>APPROVED</t>
        </is>
      </c>
      <c r="H1274" s="34" t="inlineStr">
        <is>
          <t>New</t>
        </is>
      </c>
      <c r="I1274" s="34" t="inlineStr">
        <is>
          <t>Source assignment -- not individually reviewed</t>
        </is>
      </c>
      <c r="J1274" s="39" t="inlineStr"/>
      <c r="K1274" s="34" t="inlineStr">
        <is>
          <t>Source assignment</t>
        </is>
      </c>
      <c r="L1274" s="39" t="inlineStr"/>
      <c r="M1274" s="34" t="inlineStr">
        <is>
          <t>Initial</t>
        </is>
      </c>
      <c r="N1274" s="34" t="inlineStr">
        <is>
          <t>Rev 0</t>
        </is>
      </c>
      <c r="O1274" s="34" t="inlineStr">
        <is>
          <t>R1617-v1</t>
        </is>
      </c>
      <c r="P1274" s="39" t="inlineStr"/>
      <c r="Q1274" s="14" t="inlineStr"/>
      <c r="R1274" s="39" t="inlineStr"/>
      <c r="S1274" s="39" t="inlineStr"/>
      <c r="T1274" s="39" t="inlineStr"/>
      <c r="U1274" s="39" t="inlineStr"/>
      <c r="V1274" s="34" t="inlineStr">
        <is>
          <t>Package Code = PK-605; WBS Code = 1.6</t>
        </is>
      </c>
      <c r="W1274" s="14" t="inlineStr"/>
    </row>
    <row r="1275" ht="49" customHeight="1">
      <c r="A1275" s="34" t="inlineStr">
        <is>
          <t>1.6</t>
        </is>
      </c>
      <c r="B1275" s="34" t="inlineStr">
        <is>
          <t>Program Management</t>
        </is>
      </c>
      <c r="C1275" s="34" t="inlineStr">
        <is>
          <t>Commercial Package Register</t>
        </is>
      </c>
      <c r="D1275" s="34" t="inlineStr">
        <is>
          <t>PKG-056</t>
        </is>
      </c>
      <c r="E1275" s="34" t="inlineStr">
        <is>
          <t>Commercial Advisory - Lot 2</t>
        </is>
      </c>
      <c r="F1275" s="34" t="inlineStr">
        <is>
          <t>ONE_TO_ONE</t>
        </is>
      </c>
      <c r="G1275" s="34" t="inlineStr">
        <is>
          <t>APPROVED</t>
        </is>
      </c>
      <c r="H1275" s="34" t="inlineStr">
        <is>
          <t>New</t>
        </is>
      </c>
      <c r="I1275" s="34" t="inlineStr">
        <is>
          <t>Source assignment -- not individually reviewed</t>
        </is>
      </c>
      <c r="J1275" s="39" t="inlineStr"/>
      <c r="K1275" s="34" t="inlineStr">
        <is>
          <t>Source assignment</t>
        </is>
      </c>
      <c r="L1275" s="39" t="inlineStr"/>
      <c r="M1275" s="34" t="inlineStr">
        <is>
          <t>Initial</t>
        </is>
      </c>
      <c r="N1275" s="34" t="inlineStr">
        <is>
          <t>Rev 0</t>
        </is>
      </c>
      <c r="O1275" s="34" t="inlineStr">
        <is>
          <t>R1618-v1</t>
        </is>
      </c>
      <c r="P1275" s="39" t="inlineStr"/>
      <c r="Q1275" s="14" t="inlineStr"/>
      <c r="R1275" s="39" t="inlineStr"/>
      <c r="S1275" s="39" t="inlineStr"/>
      <c r="T1275" s="39" t="inlineStr"/>
      <c r="U1275" s="39" t="inlineStr"/>
      <c r="V1275" s="34" t="inlineStr">
        <is>
          <t>Package Code = PK-606; WBS Code = 1.6</t>
        </is>
      </c>
      <c r="W1275" s="14" t="inlineStr"/>
    </row>
    <row r="1276" ht="49" customHeight="1">
      <c r="A1276" s="34" t="inlineStr">
        <is>
          <t>1.6</t>
        </is>
      </c>
      <c r="B1276" s="34" t="inlineStr">
        <is>
          <t>Program Management</t>
        </is>
      </c>
      <c r="C1276" s="34" t="inlineStr">
        <is>
          <t>Commercial Package Register</t>
        </is>
      </c>
      <c r="D1276" s="34" t="inlineStr">
        <is>
          <t>PKG-057</t>
        </is>
      </c>
      <c r="E1276" s="34" t="inlineStr">
        <is>
          <t>Permitting Support - Lot 2</t>
        </is>
      </c>
      <c r="F1276" s="34" t="inlineStr">
        <is>
          <t>ONE_TO_ONE</t>
        </is>
      </c>
      <c r="G1276" s="34" t="inlineStr">
        <is>
          <t>APPROVED</t>
        </is>
      </c>
      <c r="H1276" s="34" t="inlineStr">
        <is>
          <t>New</t>
        </is>
      </c>
      <c r="I1276" s="34" t="inlineStr">
        <is>
          <t>Source assignment -- not individually reviewed</t>
        </is>
      </c>
      <c r="J1276" s="39" t="inlineStr"/>
      <c r="K1276" s="34" t="inlineStr">
        <is>
          <t>Source assignment</t>
        </is>
      </c>
      <c r="L1276" s="39" t="inlineStr"/>
      <c r="M1276" s="34" t="inlineStr">
        <is>
          <t>Initial</t>
        </is>
      </c>
      <c r="N1276" s="34" t="inlineStr">
        <is>
          <t>Rev 0</t>
        </is>
      </c>
      <c r="O1276" s="34" t="inlineStr">
        <is>
          <t>R1619-v1</t>
        </is>
      </c>
      <c r="P1276" s="39" t="inlineStr"/>
      <c r="Q1276" s="14" t="inlineStr"/>
      <c r="R1276" s="39" t="inlineStr"/>
      <c r="S1276" s="39" t="inlineStr"/>
      <c r="T1276" s="39" t="inlineStr"/>
      <c r="U1276" s="39" t="inlineStr"/>
      <c r="V1276" s="34" t="inlineStr">
        <is>
          <t>Package Code = PK-607; WBS Code = 1.6</t>
        </is>
      </c>
      <c r="W1276" s="14" t="inlineStr"/>
    </row>
    <row r="1277" ht="49" customHeight="1">
      <c r="A1277" s="34" t="inlineStr">
        <is>
          <t>1.6</t>
        </is>
      </c>
      <c r="B1277" s="34" t="inlineStr">
        <is>
          <t>Program Management</t>
        </is>
      </c>
      <c r="C1277" s="34" t="inlineStr">
        <is>
          <t>Commercial Package Register</t>
        </is>
      </c>
      <c r="D1277" s="34" t="inlineStr">
        <is>
          <t>PKG-058</t>
        </is>
      </c>
      <c r="E1277" s="34" t="inlineStr">
        <is>
          <t>Delivery Integration - Lot 2</t>
        </is>
      </c>
      <c r="F1277" s="34" t="inlineStr">
        <is>
          <t>ONE_TO_ONE</t>
        </is>
      </c>
      <c r="G1277" s="34" t="inlineStr">
        <is>
          <t>APPROVED</t>
        </is>
      </c>
      <c r="H1277" s="34" t="inlineStr">
        <is>
          <t>New</t>
        </is>
      </c>
      <c r="I1277" s="34" t="inlineStr">
        <is>
          <t>Source assignment -- not individually reviewed</t>
        </is>
      </c>
      <c r="J1277" s="39" t="inlineStr"/>
      <c r="K1277" s="34" t="inlineStr">
        <is>
          <t>Source assignment</t>
        </is>
      </c>
      <c r="L1277" s="39" t="inlineStr"/>
      <c r="M1277" s="34" t="inlineStr">
        <is>
          <t>Initial</t>
        </is>
      </c>
      <c r="N1277" s="34" t="inlineStr">
        <is>
          <t>Rev 0</t>
        </is>
      </c>
      <c r="O1277" s="34" t="inlineStr">
        <is>
          <t>R1620-v1</t>
        </is>
      </c>
      <c r="P1277" s="39" t="inlineStr"/>
      <c r="Q1277" s="14" t="inlineStr"/>
      <c r="R1277" s="39" t="inlineStr"/>
      <c r="S1277" s="39" t="inlineStr"/>
      <c r="T1277" s="39" t="inlineStr"/>
      <c r="U1277" s="39" t="inlineStr"/>
      <c r="V1277" s="34" t="inlineStr">
        <is>
          <t>Package Code = PK-608; WBS Code = 1.6</t>
        </is>
      </c>
      <c r="W1277" s="14" t="inlineStr"/>
    </row>
    <row r="1278" ht="49" customHeight="1">
      <c r="A1278" s="34" t="inlineStr">
        <is>
          <t>1.6</t>
        </is>
      </c>
      <c r="B1278" s="34" t="inlineStr">
        <is>
          <t>Program Management</t>
        </is>
      </c>
      <c r="C1278" s="34" t="inlineStr">
        <is>
          <t>Commercial Package Register</t>
        </is>
      </c>
      <c r="D1278" s="34" t="inlineStr">
        <is>
          <t>PKG-059</t>
        </is>
      </c>
      <c r="E1278" s="34" t="inlineStr">
        <is>
          <t>Program Controls - Lot 3</t>
        </is>
      </c>
      <c r="F1278" s="34" t="inlineStr">
        <is>
          <t>ONE_TO_ONE</t>
        </is>
      </c>
      <c r="G1278" s="34" t="inlineStr">
        <is>
          <t>APPROVED</t>
        </is>
      </c>
      <c r="H1278" s="34" t="inlineStr">
        <is>
          <t>New</t>
        </is>
      </c>
      <c r="I1278" s="34" t="inlineStr">
        <is>
          <t>Source assignment -- not individually reviewed</t>
        </is>
      </c>
      <c r="J1278" s="39" t="inlineStr"/>
      <c r="K1278" s="34" t="inlineStr">
        <is>
          <t>Source assignment</t>
        </is>
      </c>
      <c r="L1278" s="39" t="inlineStr"/>
      <c r="M1278" s="34" t="inlineStr">
        <is>
          <t>Initial</t>
        </is>
      </c>
      <c r="N1278" s="34" t="inlineStr">
        <is>
          <t>Rev 0</t>
        </is>
      </c>
      <c r="O1278" s="34" t="inlineStr">
        <is>
          <t>R1621-v1</t>
        </is>
      </c>
      <c r="P1278" s="39" t="inlineStr"/>
      <c r="Q1278" s="14" t="inlineStr"/>
      <c r="R1278" s="39" t="inlineStr"/>
      <c r="S1278" s="39" t="inlineStr"/>
      <c r="T1278" s="39" t="inlineStr"/>
      <c r="U1278" s="39" t="inlineStr"/>
      <c r="V1278" s="34" t="inlineStr">
        <is>
          <t>Package Code = PK-609; WBS Code = 1.6</t>
        </is>
      </c>
      <c r="W1278" s="14" t="inlineStr"/>
    </row>
    <row r="1279" ht="49" customHeight="1">
      <c r="A1279" s="34" t="inlineStr">
        <is>
          <t>1.6</t>
        </is>
      </c>
      <c r="B1279" s="34" t="inlineStr">
        <is>
          <t>Program Management</t>
        </is>
      </c>
      <c r="C1279" s="34" t="inlineStr">
        <is>
          <t>Commercial Package Register</t>
        </is>
      </c>
      <c r="D1279" s="34" t="inlineStr">
        <is>
          <t>PKG-060</t>
        </is>
      </c>
      <c r="E1279" s="34" t="inlineStr">
        <is>
          <t>Commercial Advisory - Lot 3</t>
        </is>
      </c>
      <c r="F1279" s="34" t="inlineStr">
        <is>
          <t>ONE_TO_ONE</t>
        </is>
      </c>
      <c r="G1279" s="34" t="inlineStr">
        <is>
          <t>APPROVED</t>
        </is>
      </c>
      <c r="H1279" s="34" t="inlineStr">
        <is>
          <t>New</t>
        </is>
      </c>
      <c r="I1279" s="34" t="inlineStr">
        <is>
          <t>Source assignment -- not individually reviewed</t>
        </is>
      </c>
      <c r="J1279" s="39" t="inlineStr"/>
      <c r="K1279" s="34" t="inlineStr">
        <is>
          <t>Source assignment</t>
        </is>
      </c>
      <c r="L1279" s="39" t="inlineStr"/>
      <c r="M1279" s="34" t="inlineStr">
        <is>
          <t>Initial</t>
        </is>
      </c>
      <c r="N1279" s="34" t="inlineStr">
        <is>
          <t>Rev 0</t>
        </is>
      </c>
      <c r="O1279" s="34" t="inlineStr">
        <is>
          <t>R1622-v1</t>
        </is>
      </c>
      <c r="P1279" s="39" t="inlineStr"/>
      <c r="Q1279" s="14" t="inlineStr"/>
      <c r="R1279" s="39" t="inlineStr"/>
      <c r="S1279" s="39" t="inlineStr"/>
      <c r="T1279" s="39" t="inlineStr"/>
      <c r="U1279" s="39" t="inlineStr"/>
      <c r="V1279" s="34" t="inlineStr">
        <is>
          <t>Package Code = PK-610; WBS Code = 1.6</t>
        </is>
      </c>
      <c r="W1279" s="14" t="inlineStr"/>
    </row>
    <row r="1280" ht="64" customHeight="1">
      <c r="A1280" s="34" t="inlineStr">
        <is>
          <t>1.6.1</t>
        </is>
      </c>
      <c r="B1280" s="34" t="inlineStr">
        <is>
          <t>Program Management - Program Controls</t>
        </is>
      </c>
      <c r="C1280" s="34" t="inlineStr">
        <is>
          <t>Cost &amp; Forecast Control Accounts</t>
        </is>
      </c>
      <c r="D1280" s="34" t="inlineStr">
        <is>
          <t>CST-06-001</t>
        </is>
      </c>
      <c r="E1280" s="34" t="inlineStr">
        <is>
          <t>Program Management - design integration - professional services</t>
        </is>
      </c>
      <c r="F1280" s="34" t="inlineStr">
        <is>
          <t>ONE_TO_ONE</t>
        </is>
      </c>
      <c r="G1280" s="34" t="inlineStr">
        <is>
          <t>APPROVED</t>
        </is>
      </c>
      <c r="H1280" s="34" t="inlineStr">
        <is>
          <t>New</t>
        </is>
      </c>
      <c r="I1280" s="34" t="inlineStr">
        <is>
          <t>Source assignment -- not individually reviewed</t>
        </is>
      </c>
      <c r="J1280" s="39" t="inlineStr"/>
      <c r="K1280" s="34" t="inlineStr">
        <is>
          <t>Source assignment</t>
        </is>
      </c>
      <c r="L1280" s="39" t="inlineStr"/>
      <c r="M1280" s="34" t="inlineStr">
        <is>
          <t>Initial</t>
        </is>
      </c>
      <c r="N1280" s="34" t="inlineStr">
        <is>
          <t>Rev 0</t>
        </is>
      </c>
      <c r="O1280" s="34" t="inlineStr">
        <is>
          <t>R1483-v1</t>
        </is>
      </c>
      <c r="P1280" s="39" t="inlineStr"/>
      <c r="Q1280" s="14" t="inlineStr"/>
      <c r="R1280" s="39" t="inlineStr"/>
      <c r="S1280" s="39" t="inlineStr"/>
      <c r="T1280" s="39" t="inlineStr"/>
      <c r="U1280" s="39" t="inlineStr"/>
      <c r="V1280" s="34" t="inlineStr">
        <is>
          <t>Cost Account = CA-6001; WBS Code = 1.6.1</t>
        </is>
      </c>
      <c r="W1280" s="14" t="inlineStr"/>
    </row>
    <row r="1281" ht="64" customHeight="1">
      <c r="A1281" s="34" t="inlineStr">
        <is>
          <t>1.6.1</t>
        </is>
      </c>
      <c r="B1281" s="34" t="inlineStr">
        <is>
          <t>Program Management - Program Controls</t>
        </is>
      </c>
      <c r="C1281" s="34" t="inlineStr">
        <is>
          <t>Cost &amp; Forecast Control Accounts</t>
        </is>
      </c>
      <c r="D1281" s="34" t="inlineStr">
        <is>
          <t>CST-06-003</t>
        </is>
      </c>
      <c r="E1281" s="34" t="inlineStr">
        <is>
          <t>Program Management - program controls - closeout</t>
        </is>
      </c>
      <c r="F1281" s="34" t="inlineStr">
        <is>
          <t>ONE_TO_ONE</t>
        </is>
      </c>
      <c r="G1281" s="34" t="inlineStr">
        <is>
          <t>APPROVED</t>
        </is>
      </c>
      <c r="H1281" s="34" t="inlineStr">
        <is>
          <t>New</t>
        </is>
      </c>
      <c r="I1281" s="34" t="inlineStr">
        <is>
          <t>Source assignment -- not individually reviewed</t>
        </is>
      </c>
      <c r="J1281" s="39" t="inlineStr"/>
      <c r="K1281" s="34" t="inlineStr">
        <is>
          <t>Source assignment</t>
        </is>
      </c>
      <c r="L1281" s="39" t="inlineStr"/>
      <c r="M1281" s="34" t="inlineStr">
        <is>
          <t>Initial</t>
        </is>
      </c>
      <c r="N1281" s="34" t="inlineStr">
        <is>
          <t>Rev 0</t>
        </is>
      </c>
      <c r="O1281" s="34" t="inlineStr">
        <is>
          <t>R1485-v1</t>
        </is>
      </c>
      <c r="P1281" s="39" t="inlineStr"/>
      <c r="Q1281" s="14" t="inlineStr"/>
      <c r="R1281" s="39" t="inlineStr"/>
      <c r="S1281" s="39" t="inlineStr"/>
      <c r="T1281" s="39" t="inlineStr"/>
      <c r="U1281" s="39" t="inlineStr"/>
      <c r="V1281" s="34" t="inlineStr">
        <is>
          <t>Cost Account = CA-6003; WBS Code = 1.6.1</t>
        </is>
      </c>
      <c r="W1281" s="14" t="inlineStr"/>
    </row>
    <row r="1282" ht="64" customHeight="1">
      <c r="A1282" s="34" t="inlineStr">
        <is>
          <t>1.6.1</t>
        </is>
      </c>
      <c r="B1282" s="34" t="inlineStr">
        <is>
          <t>Program Management - Program Controls</t>
        </is>
      </c>
      <c r="C1282" s="34" t="inlineStr">
        <is>
          <t>Cost &amp; Forecast Control Accounts</t>
        </is>
      </c>
      <c r="D1282" s="34" t="inlineStr">
        <is>
          <t>CST-06-005</t>
        </is>
      </c>
      <c r="E1282" s="34" t="inlineStr">
        <is>
          <t>Program Management - stakeholder services - supply and install</t>
        </is>
      </c>
      <c r="F1282" s="34" t="inlineStr">
        <is>
          <t>ONE_TO_ONE</t>
        </is>
      </c>
      <c r="G1282" s="34" t="inlineStr">
        <is>
          <t>APPROVED</t>
        </is>
      </c>
      <c r="H1282" s="34" t="inlineStr">
        <is>
          <t>New</t>
        </is>
      </c>
      <c r="I1282" s="34" t="inlineStr">
        <is>
          <t>Source assignment -- not individually reviewed</t>
        </is>
      </c>
      <c r="J1282" s="39" t="inlineStr"/>
      <c r="K1282" s="34" t="inlineStr">
        <is>
          <t>Source assignment</t>
        </is>
      </c>
      <c r="L1282" s="39" t="inlineStr"/>
      <c r="M1282" s="34" t="inlineStr">
        <is>
          <t>Initial</t>
        </is>
      </c>
      <c r="N1282" s="34" t="inlineStr">
        <is>
          <t>Rev 0</t>
        </is>
      </c>
      <c r="O1282" s="34" t="inlineStr">
        <is>
          <t>R1487-v1</t>
        </is>
      </c>
      <c r="P1282" s="39" t="inlineStr"/>
      <c r="Q1282" s="14" t="inlineStr"/>
      <c r="R1282" s="39" t="inlineStr"/>
      <c r="S1282" s="39" t="inlineStr"/>
      <c r="T1282" s="39" t="inlineStr"/>
      <c r="U1282" s="39" t="inlineStr"/>
      <c r="V1282" s="34" t="inlineStr">
        <is>
          <t>Cost Account = CA-6005; WBS Code = 1.6.1</t>
        </is>
      </c>
      <c r="W1282" s="14" t="inlineStr"/>
    </row>
    <row r="1283" ht="64" customHeight="1">
      <c r="A1283" s="34" t="inlineStr">
        <is>
          <t>1.6.1</t>
        </is>
      </c>
      <c r="B1283" s="34" t="inlineStr">
        <is>
          <t>Program Management - Program Controls</t>
        </is>
      </c>
      <c r="C1283" s="34" t="inlineStr">
        <is>
          <t>Cost &amp; Forecast Control Accounts</t>
        </is>
      </c>
      <c r="D1283" s="34" t="inlineStr">
        <is>
          <t>CST-06-007</t>
        </is>
      </c>
      <c r="E1283" s="34" t="inlineStr">
        <is>
          <t>Program Management - design integration - allowance</t>
        </is>
      </c>
      <c r="F1283" s="34" t="inlineStr">
        <is>
          <t>ONE_TO_ONE</t>
        </is>
      </c>
      <c r="G1283" s="34" t="inlineStr">
        <is>
          <t>APPROVED</t>
        </is>
      </c>
      <c r="H1283" s="34" t="inlineStr">
        <is>
          <t>New</t>
        </is>
      </c>
      <c r="I1283" s="34" t="inlineStr">
        <is>
          <t>Source assignment -- not individually reviewed</t>
        </is>
      </c>
      <c r="J1283" s="39" t="inlineStr"/>
      <c r="K1283" s="34" t="inlineStr">
        <is>
          <t>Source assignment</t>
        </is>
      </c>
      <c r="L1283" s="39" t="inlineStr"/>
      <c r="M1283" s="34" t="inlineStr">
        <is>
          <t>Initial</t>
        </is>
      </c>
      <c r="N1283" s="34" t="inlineStr">
        <is>
          <t>Rev 0</t>
        </is>
      </c>
      <c r="O1283" s="34" t="inlineStr">
        <is>
          <t>R1489-v1</t>
        </is>
      </c>
      <c r="P1283" s="39" t="inlineStr"/>
      <c r="Q1283" s="14" t="inlineStr"/>
      <c r="R1283" s="39" t="inlineStr"/>
      <c r="S1283" s="39" t="inlineStr"/>
      <c r="T1283" s="39" t="inlineStr"/>
      <c r="U1283" s="39" t="inlineStr"/>
      <c r="V1283" s="34" t="inlineStr">
        <is>
          <t>Cost Account = CA-6007; WBS Code = 1.6.1</t>
        </is>
      </c>
      <c r="W1283" s="14" t="inlineStr"/>
    </row>
    <row r="1284" ht="64" customHeight="1">
      <c r="A1284" s="34" t="inlineStr">
        <is>
          <t>1.6.1</t>
        </is>
      </c>
      <c r="B1284" s="34" t="inlineStr">
        <is>
          <t>Program Management - Program Controls</t>
        </is>
      </c>
      <c r="C1284" s="34" t="inlineStr">
        <is>
          <t>Cost &amp; Forecast Control Accounts</t>
        </is>
      </c>
      <c r="D1284" s="34" t="inlineStr">
        <is>
          <t>CST-06-009</t>
        </is>
      </c>
      <c r="E1284" s="34" t="inlineStr">
        <is>
          <t>Program Management - program controls - field package</t>
        </is>
      </c>
      <c r="F1284" s="34" t="inlineStr">
        <is>
          <t>ONE_TO_ONE</t>
        </is>
      </c>
      <c r="G1284" s="34" t="inlineStr">
        <is>
          <t>APPROVED</t>
        </is>
      </c>
      <c r="H1284" s="34" t="inlineStr">
        <is>
          <t>New</t>
        </is>
      </c>
      <c r="I1284" s="34" t="inlineStr">
        <is>
          <t>Source assignment -- not individually reviewed</t>
        </is>
      </c>
      <c r="J1284" s="39" t="inlineStr"/>
      <c r="K1284" s="34" t="inlineStr">
        <is>
          <t>Source assignment</t>
        </is>
      </c>
      <c r="L1284" s="39" t="inlineStr"/>
      <c r="M1284" s="34" t="inlineStr">
        <is>
          <t>Initial</t>
        </is>
      </c>
      <c r="N1284" s="34" t="inlineStr">
        <is>
          <t>Rev 0</t>
        </is>
      </c>
      <c r="O1284" s="34" t="inlineStr">
        <is>
          <t>R1491-v1</t>
        </is>
      </c>
      <c r="P1284" s="39" t="inlineStr"/>
      <c r="Q1284" s="14" t="inlineStr"/>
      <c r="R1284" s="39" t="inlineStr"/>
      <c r="S1284" s="39" t="inlineStr"/>
      <c r="T1284" s="39" t="inlineStr"/>
      <c r="U1284" s="39" t="inlineStr"/>
      <c r="V1284" s="34" t="inlineStr">
        <is>
          <t>Cost Account = CA-6009; WBS Code = 1.6.1</t>
        </is>
      </c>
      <c r="W1284" s="14" t="inlineStr"/>
    </row>
    <row r="1285" ht="64" customHeight="1">
      <c r="A1285" s="34" t="inlineStr">
        <is>
          <t>1.6.1</t>
        </is>
      </c>
      <c r="B1285" s="34" t="inlineStr">
        <is>
          <t>Program Management - Program Controls</t>
        </is>
      </c>
      <c r="C1285" s="34" t="inlineStr">
        <is>
          <t>Cost &amp; Forecast Control Accounts</t>
        </is>
      </c>
      <c r="D1285" s="34" t="inlineStr">
        <is>
          <t>CST-06-011</t>
        </is>
      </c>
      <c r="E1285" s="34" t="inlineStr">
        <is>
          <t>Program Management - stakeholder services - professional services</t>
        </is>
      </c>
      <c r="F1285" s="34" t="inlineStr">
        <is>
          <t>ONE_TO_ONE</t>
        </is>
      </c>
      <c r="G1285" s="34" t="inlineStr">
        <is>
          <t>APPROVED</t>
        </is>
      </c>
      <c r="H1285" s="34" t="inlineStr">
        <is>
          <t>New</t>
        </is>
      </c>
      <c r="I1285" s="34" t="inlineStr">
        <is>
          <t>Source assignment -- not individually reviewed</t>
        </is>
      </c>
      <c r="J1285" s="39" t="inlineStr"/>
      <c r="K1285" s="34" t="inlineStr">
        <is>
          <t>Source assignment</t>
        </is>
      </c>
      <c r="L1285" s="39" t="inlineStr"/>
      <c r="M1285" s="34" t="inlineStr">
        <is>
          <t>Initial</t>
        </is>
      </c>
      <c r="N1285" s="34" t="inlineStr">
        <is>
          <t>Rev 0</t>
        </is>
      </c>
      <c r="O1285" s="34" t="inlineStr">
        <is>
          <t>R1493-v1</t>
        </is>
      </c>
      <c r="P1285" s="39" t="inlineStr"/>
      <c r="Q1285" s="14" t="inlineStr"/>
      <c r="R1285" s="39" t="inlineStr"/>
      <c r="S1285" s="39" t="inlineStr"/>
      <c r="T1285" s="39" t="inlineStr"/>
      <c r="U1285" s="39" t="inlineStr"/>
      <c r="V1285" s="34" t="inlineStr">
        <is>
          <t>Cost Account = CA-6011; WBS Code = 1.6.1</t>
        </is>
      </c>
      <c r="W1285" s="14" t="inlineStr"/>
    </row>
    <row r="1286" ht="64" customHeight="1">
      <c r="A1286" s="34" t="inlineStr">
        <is>
          <t>1.6.1</t>
        </is>
      </c>
      <c r="B1286" s="34" t="inlineStr">
        <is>
          <t>Program Management - Program Controls</t>
        </is>
      </c>
      <c r="C1286" s="34" t="inlineStr">
        <is>
          <t>Cost &amp; Forecast Control Accounts</t>
        </is>
      </c>
      <c r="D1286" s="34" t="inlineStr">
        <is>
          <t>CST-06-013</t>
        </is>
      </c>
      <c r="E1286" s="34" t="inlineStr">
        <is>
          <t>Program Management - design integration - closeout</t>
        </is>
      </c>
      <c r="F1286" s="34" t="inlineStr">
        <is>
          <t>ONE_TO_ONE</t>
        </is>
      </c>
      <c r="G1286" s="34" t="inlineStr">
        <is>
          <t>APPROVED</t>
        </is>
      </c>
      <c r="H1286" s="34" t="inlineStr">
        <is>
          <t>New</t>
        </is>
      </c>
      <c r="I1286" s="34" t="inlineStr">
        <is>
          <t>Source assignment -- not individually reviewed</t>
        </is>
      </c>
      <c r="J1286" s="39" t="inlineStr"/>
      <c r="K1286" s="34" t="inlineStr">
        <is>
          <t>Source assignment</t>
        </is>
      </c>
      <c r="L1286" s="39" t="inlineStr"/>
      <c r="M1286" s="34" t="inlineStr">
        <is>
          <t>Initial</t>
        </is>
      </c>
      <c r="N1286" s="34" t="inlineStr">
        <is>
          <t>Rev 0</t>
        </is>
      </c>
      <c r="O1286" s="34" t="inlineStr">
        <is>
          <t>R1495-v1</t>
        </is>
      </c>
      <c r="P1286" s="39" t="inlineStr"/>
      <c r="Q1286" s="14" t="inlineStr"/>
      <c r="R1286" s="39" t="inlineStr"/>
      <c r="S1286" s="39" t="inlineStr"/>
      <c r="T1286" s="39" t="inlineStr"/>
      <c r="U1286" s="39" t="inlineStr"/>
      <c r="V1286" s="34" t="inlineStr">
        <is>
          <t>Cost Account = CA-6013; WBS Code = 1.6.1</t>
        </is>
      </c>
      <c r="W1286" s="14" t="inlineStr"/>
    </row>
    <row r="1287" ht="64" customHeight="1">
      <c r="A1287" s="34" t="inlineStr">
        <is>
          <t>1.6.1</t>
        </is>
      </c>
      <c r="B1287" s="34" t="inlineStr">
        <is>
          <t>Program Management - Program Controls</t>
        </is>
      </c>
      <c r="C1287" s="34" t="inlineStr">
        <is>
          <t>Cost &amp; Forecast Control Accounts</t>
        </is>
      </c>
      <c r="D1287" s="34" t="inlineStr">
        <is>
          <t>CST-06-015</t>
        </is>
      </c>
      <c r="E1287" s="34" t="inlineStr">
        <is>
          <t>Program Management - program controls - supply and install</t>
        </is>
      </c>
      <c r="F1287" s="34" t="inlineStr">
        <is>
          <t>ONE_TO_ONE</t>
        </is>
      </c>
      <c r="G1287" s="34" t="inlineStr">
        <is>
          <t>APPROVED</t>
        </is>
      </c>
      <c r="H1287" s="34" t="inlineStr">
        <is>
          <t>New</t>
        </is>
      </c>
      <c r="I1287" s="34" t="inlineStr">
        <is>
          <t>Source assignment -- not individually reviewed</t>
        </is>
      </c>
      <c r="J1287" s="39" t="inlineStr"/>
      <c r="K1287" s="34" t="inlineStr">
        <is>
          <t>Source assignment</t>
        </is>
      </c>
      <c r="L1287" s="39" t="inlineStr"/>
      <c r="M1287" s="34" t="inlineStr">
        <is>
          <t>Initial</t>
        </is>
      </c>
      <c r="N1287" s="34" t="inlineStr">
        <is>
          <t>Rev 0</t>
        </is>
      </c>
      <c r="O1287" s="34" t="inlineStr">
        <is>
          <t>R1497-v1</t>
        </is>
      </c>
      <c r="P1287" s="39" t="inlineStr"/>
      <c r="Q1287" s="14" t="inlineStr"/>
      <c r="R1287" s="39" t="inlineStr"/>
      <c r="S1287" s="39" t="inlineStr"/>
      <c r="T1287" s="39" t="inlineStr"/>
      <c r="U1287" s="39" t="inlineStr"/>
      <c r="V1287" s="34" t="inlineStr">
        <is>
          <t>Cost Account = CA-6015; WBS Code = 1.6.1</t>
        </is>
      </c>
      <c r="W1287" s="14" t="inlineStr"/>
    </row>
    <row r="1288" ht="64" customHeight="1">
      <c r="A1288" s="34" t="inlineStr">
        <is>
          <t>1.6.1</t>
        </is>
      </c>
      <c r="B1288" s="34" t="inlineStr">
        <is>
          <t>Program Management - Program Controls</t>
        </is>
      </c>
      <c r="C1288" s="34" t="inlineStr">
        <is>
          <t>Cost &amp; Forecast Control Accounts</t>
        </is>
      </c>
      <c r="D1288" s="34" t="inlineStr">
        <is>
          <t>CST-06-017</t>
        </is>
      </c>
      <c r="E1288" s="34" t="inlineStr">
        <is>
          <t>Program Management - stakeholder services - allowance</t>
        </is>
      </c>
      <c r="F1288" s="34" t="inlineStr">
        <is>
          <t>ONE_TO_ONE</t>
        </is>
      </c>
      <c r="G1288" s="34" t="inlineStr">
        <is>
          <t>APPROVED</t>
        </is>
      </c>
      <c r="H1288" s="34" t="inlineStr">
        <is>
          <t>New</t>
        </is>
      </c>
      <c r="I1288" s="34" t="inlineStr">
        <is>
          <t>Source assignment -- not individually reviewed</t>
        </is>
      </c>
      <c r="J1288" s="39" t="inlineStr"/>
      <c r="K1288" s="34" t="inlineStr">
        <is>
          <t>Source assignment</t>
        </is>
      </c>
      <c r="L1288" s="39" t="inlineStr"/>
      <c r="M1288" s="34" t="inlineStr">
        <is>
          <t>Initial</t>
        </is>
      </c>
      <c r="N1288" s="34" t="inlineStr">
        <is>
          <t>Rev 0</t>
        </is>
      </c>
      <c r="O1288" s="34" t="inlineStr">
        <is>
          <t>R1499-v1</t>
        </is>
      </c>
      <c r="P1288" s="39" t="inlineStr"/>
      <c r="Q1288" s="14" t="inlineStr"/>
      <c r="R1288" s="39" t="inlineStr"/>
      <c r="S1288" s="39" t="inlineStr"/>
      <c r="T1288" s="39" t="inlineStr"/>
      <c r="U1288" s="39" t="inlineStr"/>
      <c r="V1288" s="34" t="inlineStr">
        <is>
          <t>Cost Account = CA-6017; WBS Code = 1.6.1</t>
        </is>
      </c>
      <c r="W1288" s="14" t="inlineStr"/>
    </row>
    <row r="1289" ht="64" customHeight="1">
      <c r="A1289" s="34" t="inlineStr">
        <is>
          <t>1.6.1</t>
        </is>
      </c>
      <c r="B1289" s="34" t="inlineStr">
        <is>
          <t>Program Management - Program Controls</t>
        </is>
      </c>
      <c r="C1289" s="34" t="inlineStr">
        <is>
          <t>Cost &amp; Forecast Control Accounts</t>
        </is>
      </c>
      <c r="D1289" s="34" t="inlineStr">
        <is>
          <t>CST-06-019</t>
        </is>
      </c>
      <c r="E1289" s="34" t="inlineStr">
        <is>
          <t>Program Management - design integration - field package</t>
        </is>
      </c>
      <c r="F1289" s="34" t="inlineStr">
        <is>
          <t>ONE_TO_ONE</t>
        </is>
      </c>
      <c r="G1289" s="34" t="inlineStr">
        <is>
          <t>APPROVED</t>
        </is>
      </c>
      <c r="H1289" s="34" t="inlineStr">
        <is>
          <t>New</t>
        </is>
      </c>
      <c r="I1289" s="34" t="inlineStr">
        <is>
          <t>Source assignment -- not individually reviewed</t>
        </is>
      </c>
      <c r="J1289" s="39" t="inlineStr"/>
      <c r="K1289" s="34" t="inlineStr">
        <is>
          <t>Source assignment</t>
        </is>
      </c>
      <c r="L1289" s="39" t="inlineStr"/>
      <c r="M1289" s="34" t="inlineStr">
        <is>
          <t>Initial</t>
        </is>
      </c>
      <c r="N1289" s="34" t="inlineStr">
        <is>
          <t>Rev 0</t>
        </is>
      </c>
      <c r="O1289" s="34" t="inlineStr">
        <is>
          <t>R1501-v1</t>
        </is>
      </c>
      <c r="P1289" s="39" t="inlineStr"/>
      <c r="Q1289" s="14" t="inlineStr"/>
      <c r="R1289" s="39" t="inlineStr"/>
      <c r="S1289" s="39" t="inlineStr"/>
      <c r="T1289" s="39" t="inlineStr"/>
      <c r="U1289" s="39" t="inlineStr"/>
      <c r="V1289" s="34" t="inlineStr">
        <is>
          <t>Cost Account = CA-6019; WBS Code = 1.6.1</t>
        </is>
      </c>
      <c r="W1289" s="14" t="inlineStr"/>
    </row>
    <row r="1290" ht="64" customHeight="1">
      <c r="A1290" s="34" t="inlineStr">
        <is>
          <t>1.6.1</t>
        </is>
      </c>
      <c r="B1290" s="34" t="inlineStr">
        <is>
          <t>Program Management - Program Controls</t>
        </is>
      </c>
      <c r="C1290" s="34" t="inlineStr">
        <is>
          <t>Cost &amp; Forecast Control Accounts</t>
        </is>
      </c>
      <c r="D1290" s="34" t="inlineStr">
        <is>
          <t>CST-06-021</t>
        </is>
      </c>
      <c r="E1290" s="34" t="inlineStr">
        <is>
          <t>Program Management - program controls - professional services</t>
        </is>
      </c>
      <c r="F1290" s="34" t="inlineStr">
        <is>
          <t>ONE_TO_ONE</t>
        </is>
      </c>
      <c r="G1290" s="34" t="inlineStr">
        <is>
          <t>APPROVED</t>
        </is>
      </c>
      <c r="H1290" s="34" t="inlineStr">
        <is>
          <t>New</t>
        </is>
      </c>
      <c r="I1290" s="34" t="inlineStr">
        <is>
          <t>Source assignment -- not individually reviewed</t>
        </is>
      </c>
      <c r="J1290" s="39" t="inlineStr"/>
      <c r="K1290" s="34" t="inlineStr">
        <is>
          <t>Source assignment</t>
        </is>
      </c>
      <c r="L1290" s="39" t="inlineStr"/>
      <c r="M1290" s="34" t="inlineStr">
        <is>
          <t>Initial</t>
        </is>
      </c>
      <c r="N1290" s="34" t="inlineStr">
        <is>
          <t>Rev 0</t>
        </is>
      </c>
      <c r="O1290" s="34" t="inlineStr">
        <is>
          <t>R1503-v1</t>
        </is>
      </c>
      <c r="P1290" s="39" t="inlineStr"/>
      <c r="Q1290" s="14" t="inlineStr"/>
      <c r="R1290" s="39" t="inlineStr"/>
      <c r="S1290" s="39" t="inlineStr"/>
      <c r="T1290" s="39" t="inlineStr"/>
      <c r="U1290" s="39" t="inlineStr"/>
      <c r="V1290" s="34" t="inlineStr">
        <is>
          <t>Cost Account = CA-6021; WBS Code = 1.6.1</t>
        </is>
      </c>
      <c r="W1290" s="14" t="inlineStr"/>
    </row>
    <row r="1291" ht="64" customHeight="1">
      <c r="A1291" s="34" t="inlineStr">
        <is>
          <t>1.6.1</t>
        </is>
      </c>
      <c r="B1291" s="34" t="inlineStr">
        <is>
          <t>Program Management - Program Controls</t>
        </is>
      </c>
      <c r="C1291" s="34" t="inlineStr">
        <is>
          <t>Cost &amp; Forecast Control Accounts</t>
        </is>
      </c>
      <c r="D1291" s="34" t="inlineStr">
        <is>
          <t>CST-06-023</t>
        </is>
      </c>
      <c r="E1291" s="34" t="inlineStr">
        <is>
          <t>Program Management - stakeholder services - closeout</t>
        </is>
      </c>
      <c r="F1291" s="34" t="inlineStr">
        <is>
          <t>ONE_TO_ONE</t>
        </is>
      </c>
      <c r="G1291" s="34" t="inlineStr">
        <is>
          <t>APPROVED</t>
        </is>
      </c>
      <c r="H1291" s="34" t="inlineStr">
        <is>
          <t>New</t>
        </is>
      </c>
      <c r="I1291" s="34" t="inlineStr">
        <is>
          <t>Source assignment -- not individually reviewed</t>
        </is>
      </c>
      <c r="J1291" s="39" t="inlineStr"/>
      <c r="K1291" s="34" t="inlineStr">
        <is>
          <t>Source assignment</t>
        </is>
      </c>
      <c r="L1291" s="39" t="inlineStr"/>
      <c r="M1291" s="34" t="inlineStr">
        <is>
          <t>Initial</t>
        </is>
      </c>
      <c r="N1291" s="34" t="inlineStr">
        <is>
          <t>Rev 0</t>
        </is>
      </c>
      <c r="O1291" s="34" t="inlineStr">
        <is>
          <t>R1505-v1</t>
        </is>
      </c>
      <c r="P1291" s="39" t="inlineStr"/>
      <c r="Q1291" s="14" t="inlineStr"/>
      <c r="R1291" s="39" t="inlineStr"/>
      <c r="S1291" s="39" t="inlineStr"/>
      <c r="T1291" s="39" t="inlineStr"/>
      <c r="U1291" s="39" t="inlineStr"/>
      <c r="V1291" s="34" t="inlineStr">
        <is>
          <t>Cost Account = CA-6023; WBS Code = 1.6.1</t>
        </is>
      </c>
      <c r="W1291" s="14" t="inlineStr"/>
    </row>
    <row r="1292" ht="64" customHeight="1">
      <c r="A1292" s="34" t="inlineStr">
        <is>
          <t>1.6.1</t>
        </is>
      </c>
      <c r="B1292" s="34" t="inlineStr">
        <is>
          <t>Program Management - Program Controls</t>
        </is>
      </c>
      <c r="C1292" s="34" t="inlineStr">
        <is>
          <t>Cost &amp; Forecast Control Accounts</t>
        </is>
      </c>
      <c r="D1292" s="34" t="inlineStr">
        <is>
          <t>CST-06-025</t>
        </is>
      </c>
      <c r="E1292" s="34" t="inlineStr">
        <is>
          <t>Program Management - design integration - supply and install</t>
        </is>
      </c>
      <c r="F1292" s="34" t="inlineStr">
        <is>
          <t>ONE_TO_ONE</t>
        </is>
      </c>
      <c r="G1292" s="34" t="inlineStr">
        <is>
          <t>APPROVED</t>
        </is>
      </c>
      <c r="H1292" s="34" t="inlineStr">
        <is>
          <t>New</t>
        </is>
      </c>
      <c r="I1292" s="34" t="inlineStr">
        <is>
          <t>Source assignment -- not individually reviewed</t>
        </is>
      </c>
      <c r="J1292" s="39" t="inlineStr"/>
      <c r="K1292" s="34" t="inlineStr">
        <is>
          <t>Source assignment</t>
        </is>
      </c>
      <c r="L1292" s="39" t="inlineStr"/>
      <c r="M1292" s="34" t="inlineStr">
        <is>
          <t>Initial</t>
        </is>
      </c>
      <c r="N1292" s="34" t="inlineStr">
        <is>
          <t>Rev 0</t>
        </is>
      </c>
      <c r="O1292" s="34" t="inlineStr">
        <is>
          <t>R1507-v1</t>
        </is>
      </c>
      <c r="P1292" s="39" t="inlineStr"/>
      <c r="Q1292" s="14" t="inlineStr"/>
      <c r="R1292" s="39" t="inlineStr"/>
      <c r="S1292" s="39" t="inlineStr"/>
      <c r="T1292" s="39" t="inlineStr"/>
      <c r="U1292" s="39" t="inlineStr"/>
      <c r="V1292" s="34" t="inlineStr">
        <is>
          <t>Cost Account = CA-6025; WBS Code = 1.6.1</t>
        </is>
      </c>
      <c r="W1292" s="14" t="inlineStr"/>
    </row>
    <row r="1293" ht="64" customHeight="1">
      <c r="A1293" s="34" t="inlineStr">
        <is>
          <t>1.6.1</t>
        </is>
      </c>
      <c r="B1293" s="34" t="inlineStr">
        <is>
          <t>Program Management - Program Controls</t>
        </is>
      </c>
      <c r="C1293" s="34" t="inlineStr">
        <is>
          <t>Cost &amp; Forecast Control Accounts</t>
        </is>
      </c>
      <c r="D1293" s="34" t="inlineStr">
        <is>
          <t>CST-06-027</t>
        </is>
      </c>
      <c r="E1293" s="34" t="inlineStr">
        <is>
          <t>Program Management - program controls - allowance</t>
        </is>
      </c>
      <c r="F1293" s="34" t="inlineStr">
        <is>
          <t>ONE_TO_ONE</t>
        </is>
      </c>
      <c r="G1293" s="34" t="inlineStr">
        <is>
          <t>APPROVED</t>
        </is>
      </c>
      <c r="H1293" s="34" t="inlineStr">
        <is>
          <t>New</t>
        </is>
      </c>
      <c r="I1293" s="34" t="inlineStr">
        <is>
          <t>Source assignment -- not individually reviewed</t>
        </is>
      </c>
      <c r="J1293" s="39" t="inlineStr"/>
      <c r="K1293" s="34" t="inlineStr">
        <is>
          <t>Source assignment</t>
        </is>
      </c>
      <c r="L1293" s="39" t="inlineStr"/>
      <c r="M1293" s="34" t="inlineStr">
        <is>
          <t>Initial</t>
        </is>
      </c>
      <c r="N1293" s="34" t="inlineStr">
        <is>
          <t>Rev 0</t>
        </is>
      </c>
      <c r="O1293" s="34" t="inlineStr">
        <is>
          <t>R1509-v1</t>
        </is>
      </c>
      <c r="P1293" s="39" t="inlineStr"/>
      <c r="Q1293" s="14" t="inlineStr"/>
      <c r="R1293" s="39" t="inlineStr"/>
      <c r="S1293" s="39" t="inlineStr"/>
      <c r="T1293" s="39" t="inlineStr"/>
      <c r="U1293" s="39" t="inlineStr"/>
      <c r="V1293" s="34" t="inlineStr">
        <is>
          <t>Cost Account = CA-6027; WBS Code = 1.6.1</t>
        </is>
      </c>
      <c r="W1293" s="14" t="inlineStr"/>
    </row>
    <row r="1294" ht="64" customHeight="1">
      <c r="A1294" s="34" t="inlineStr">
        <is>
          <t>1.6.1</t>
        </is>
      </c>
      <c r="B1294" s="34" t="inlineStr">
        <is>
          <t>Program Management - Program Controls</t>
        </is>
      </c>
      <c r="C1294" s="34" t="inlineStr">
        <is>
          <t>Cost &amp; Forecast Control Accounts</t>
        </is>
      </c>
      <c r="D1294" s="34" t="inlineStr">
        <is>
          <t>CST-06-029</t>
        </is>
      </c>
      <c r="E1294" s="34" t="inlineStr">
        <is>
          <t>Program Management - stakeholder services - field package</t>
        </is>
      </c>
      <c r="F1294" s="34" t="inlineStr">
        <is>
          <t>ONE_TO_ONE</t>
        </is>
      </c>
      <c r="G1294" s="34" t="inlineStr">
        <is>
          <t>APPROVED</t>
        </is>
      </c>
      <c r="H1294" s="34" t="inlineStr">
        <is>
          <t>New</t>
        </is>
      </c>
      <c r="I1294" s="34" t="inlineStr">
        <is>
          <t>Source assignment -- not individually reviewed</t>
        </is>
      </c>
      <c r="J1294" s="39" t="inlineStr"/>
      <c r="K1294" s="34" t="inlineStr">
        <is>
          <t>Source assignment</t>
        </is>
      </c>
      <c r="L1294" s="39" t="inlineStr"/>
      <c r="M1294" s="34" t="inlineStr">
        <is>
          <t>Initial</t>
        </is>
      </c>
      <c r="N1294" s="34" t="inlineStr">
        <is>
          <t>Rev 0</t>
        </is>
      </c>
      <c r="O1294" s="34" t="inlineStr">
        <is>
          <t>R1511-v1</t>
        </is>
      </c>
      <c r="P1294" s="39" t="inlineStr"/>
      <c r="Q1294" s="14" t="inlineStr"/>
      <c r="R1294" s="39" t="inlineStr"/>
      <c r="S1294" s="39" t="inlineStr"/>
      <c r="T1294" s="39" t="inlineStr"/>
      <c r="U1294" s="39" t="inlineStr"/>
      <c r="V1294" s="34" t="inlineStr">
        <is>
          <t>Cost Account = CA-6029; WBS Code = 1.6.1</t>
        </is>
      </c>
      <c r="W1294" s="14" t="inlineStr"/>
    </row>
    <row r="1295" ht="64" customHeight="1">
      <c r="A1295" s="34" t="inlineStr">
        <is>
          <t>1.6.1</t>
        </is>
      </c>
      <c r="B1295" s="34" t="inlineStr">
        <is>
          <t>Program Management - Program Controls</t>
        </is>
      </c>
      <c r="C1295" s="34" t="inlineStr">
        <is>
          <t>Cost &amp; Forecast Control Accounts</t>
        </is>
      </c>
      <c r="D1295" s="34" t="inlineStr">
        <is>
          <t>CST-06-031</t>
        </is>
      </c>
      <c r="E1295" s="34" t="inlineStr">
        <is>
          <t>Program Management - design integration - professional services</t>
        </is>
      </c>
      <c r="F1295" s="34" t="inlineStr">
        <is>
          <t>ONE_TO_ONE</t>
        </is>
      </c>
      <c r="G1295" s="34" t="inlineStr">
        <is>
          <t>APPROVED</t>
        </is>
      </c>
      <c r="H1295" s="34" t="inlineStr">
        <is>
          <t>New</t>
        </is>
      </c>
      <c r="I1295" s="34" t="inlineStr">
        <is>
          <t>Source assignment -- not individually reviewed</t>
        </is>
      </c>
      <c r="J1295" s="39" t="inlineStr"/>
      <c r="K1295" s="34" t="inlineStr">
        <is>
          <t>Source assignment</t>
        </is>
      </c>
      <c r="L1295" s="39" t="inlineStr"/>
      <c r="M1295" s="34" t="inlineStr">
        <is>
          <t>Initial</t>
        </is>
      </c>
      <c r="N1295" s="34" t="inlineStr">
        <is>
          <t>Rev 0</t>
        </is>
      </c>
      <c r="O1295" s="34" t="inlineStr">
        <is>
          <t>R1513-v1</t>
        </is>
      </c>
      <c r="P1295" s="39" t="inlineStr"/>
      <c r="Q1295" s="14" t="inlineStr"/>
      <c r="R1295" s="39" t="inlineStr"/>
      <c r="S1295" s="39" t="inlineStr"/>
      <c r="T1295" s="39" t="inlineStr"/>
      <c r="U1295" s="39" t="inlineStr"/>
      <c r="V1295" s="34" t="inlineStr">
        <is>
          <t>Cost Account = CA-6031; WBS Code = 1.6.1</t>
        </is>
      </c>
      <c r="W1295" s="14" t="inlineStr"/>
    </row>
    <row r="1296" ht="64" customHeight="1">
      <c r="A1296" s="34" t="inlineStr">
        <is>
          <t>1.6.1</t>
        </is>
      </c>
      <c r="B1296" s="34" t="inlineStr">
        <is>
          <t>Program Management - Program Controls</t>
        </is>
      </c>
      <c r="C1296" s="34" t="inlineStr">
        <is>
          <t>Cost &amp; Forecast Control Accounts</t>
        </is>
      </c>
      <c r="D1296" s="34" t="inlineStr">
        <is>
          <t>CST-06-033</t>
        </is>
      </c>
      <c r="E1296" s="34" t="inlineStr">
        <is>
          <t>Program Management - program controls - closeout</t>
        </is>
      </c>
      <c r="F1296" s="34" t="inlineStr">
        <is>
          <t>ONE_TO_ONE</t>
        </is>
      </c>
      <c r="G1296" s="34" t="inlineStr">
        <is>
          <t>APPROVED</t>
        </is>
      </c>
      <c r="H1296" s="34" t="inlineStr">
        <is>
          <t>New</t>
        </is>
      </c>
      <c r="I1296" s="34" t="inlineStr">
        <is>
          <t>Source assignment -- not individually reviewed</t>
        </is>
      </c>
      <c r="J1296" s="39" t="inlineStr"/>
      <c r="K1296" s="34" t="inlineStr">
        <is>
          <t>Source assignment</t>
        </is>
      </c>
      <c r="L1296" s="39" t="inlineStr"/>
      <c r="M1296" s="34" t="inlineStr">
        <is>
          <t>Initial</t>
        </is>
      </c>
      <c r="N1296" s="34" t="inlineStr">
        <is>
          <t>Rev 0</t>
        </is>
      </c>
      <c r="O1296" s="34" t="inlineStr">
        <is>
          <t>R1515-v1</t>
        </is>
      </c>
      <c r="P1296" s="39" t="inlineStr"/>
      <c r="Q1296" s="14" t="inlineStr"/>
      <c r="R1296" s="39" t="inlineStr"/>
      <c r="S1296" s="39" t="inlineStr"/>
      <c r="T1296" s="39" t="inlineStr"/>
      <c r="U1296" s="39" t="inlineStr"/>
      <c r="V1296" s="34" t="inlineStr">
        <is>
          <t>Cost Account = CA-6033; WBS Code = 1.6.1</t>
        </is>
      </c>
      <c r="W1296" s="14" t="inlineStr"/>
    </row>
    <row r="1297" ht="64" customHeight="1">
      <c r="A1297" s="34" t="inlineStr">
        <is>
          <t>1.6.1</t>
        </is>
      </c>
      <c r="B1297" s="34" t="inlineStr">
        <is>
          <t>Program Management - Program Controls</t>
        </is>
      </c>
      <c r="C1297" s="34" t="inlineStr">
        <is>
          <t>Cost &amp; Forecast Control Accounts</t>
        </is>
      </c>
      <c r="D1297" s="34" t="inlineStr">
        <is>
          <t>CST-06-035</t>
        </is>
      </c>
      <c r="E1297" s="34" t="inlineStr">
        <is>
          <t>Program Management - stakeholder services - supply and install</t>
        </is>
      </c>
      <c r="F1297" s="34" t="inlineStr">
        <is>
          <t>ONE_TO_ONE</t>
        </is>
      </c>
      <c r="G1297" s="34" t="inlineStr">
        <is>
          <t>APPROVED</t>
        </is>
      </c>
      <c r="H1297" s="34" t="inlineStr">
        <is>
          <t>New</t>
        </is>
      </c>
      <c r="I1297" s="34" t="inlineStr">
        <is>
          <t>Source assignment -- not individually reviewed</t>
        </is>
      </c>
      <c r="J1297" s="39" t="inlineStr"/>
      <c r="K1297" s="34" t="inlineStr">
        <is>
          <t>Source assignment</t>
        </is>
      </c>
      <c r="L1297" s="39" t="inlineStr"/>
      <c r="M1297" s="34" t="inlineStr">
        <is>
          <t>Initial</t>
        </is>
      </c>
      <c r="N1297" s="34" t="inlineStr">
        <is>
          <t>Rev 0</t>
        </is>
      </c>
      <c r="O1297" s="34" t="inlineStr">
        <is>
          <t>R1517-v1</t>
        </is>
      </c>
      <c r="P1297" s="39" t="inlineStr"/>
      <c r="Q1297" s="14" t="inlineStr"/>
      <c r="R1297" s="39" t="inlineStr"/>
      <c r="S1297" s="39" t="inlineStr"/>
      <c r="T1297" s="39" t="inlineStr"/>
      <c r="U1297" s="39" t="inlineStr"/>
      <c r="V1297" s="34" t="inlineStr">
        <is>
          <t>Cost Account = CA-6035; WBS Code = 1.6.1</t>
        </is>
      </c>
      <c r="W1297" s="14" t="inlineStr"/>
    </row>
    <row r="1298" ht="64" customHeight="1">
      <c r="A1298" s="34" t="inlineStr">
        <is>
          <t>1.6.1</t>
        </is>
      </c>
      <c r="B1298" s="34" t="inlineStr">
        <is>
          <t>Program Management - Program Controls</t>
        </is>
      </c>
      <c r="C1298" s="34" t="inlineStr">
        <is>
          <t>Cost &amp; Forecast Control Accounts</t>
        </is>
      </c>
      <c r="D1298" s="34" t="inlineStr">
        <is>
          <t>CST-06-037</t>
        </is>
      </c>
      <c r="E1298" s="34" t="inlineStr">
        <is>
          <t>Program Management - design integration - allowance</t>
        </is>
      </c>
      <c r="F1298" s="34" t="inlineStr">
        <is>
          <t>ONE_TO_ONE</t>
        </is>
      </c>
      <c r="G1298" s="34" t="inlineStr">
        <is>
          <t>APPROVED</t>
        </is>
      </c>
      <c r="H1298" s="34" t="inlineStr">
        <is>
          <t>New</t>
        </is>
      </c>
      <c r="I1298" s="34" t="inlineStr">
        <is>
          <t>Source assignment -- not individually reviewed</t>
        </is>
      </c>
      <c r="J1298" s="39" t="inlineStr"/>
      <c r="K1298" s="34" t="inlineStr">
        <is>
          <t>Source assignment</t>
        </is>
      </c>
      <c r="L1298" s="39" t="inlineStr"/>
      <c r="M1298" s="34" t="inlineStr">
        <is>
          <t>Initial</t>
        </is>
      </c>
      <c r="N1298" s="34" t="inlineStr">
        <is>
          <t>Rev 0</t>
        </is>
      </c>
      <c r="O1298" s="34" t="inlineStr">
        <is>
          <t>R1519-v1</t>
        </is>
      </c>
      <c r="P1298" s="39" t="inlineStr"/>
      <c r="Q1298" s="14" t="inlineStr"/>
      <c r="R1298" s="39" t="inlineStr"/>
      <c r="S1298" s="39" t="inlineStr"/>
      <c r="T1298" s="39" t="inlineStr"/>
      <c r="U1298" s="39" t="inlineStr"/>
      <c r="V1298" s="34" t="inlineStr">
        <is>
          <t>Cost Account = CA-6037; WBS Code = 1.6.1</t>
        </is>
      </c>
      <c r="W1298" s="14" t="inlineStr"/>
    </row>
    <row r="1299" ht="64" customHeight="1">
      <c r="A1299" s="34" t="inlineStr">
        <is>
          <t>1.6.1</t>
        </is>
      </c>
      <c r="B1299" s="34" t="inlineStr">
        <is>
          <t>Program Management - Program Controls</t>
        </is>
      </c>
      <c r="C1299" s="34" t="inlineStr">
        <is>
          <t>Cost &amp; Forecast Control Accounts</t>
        </is>
      </c>
      <c r="D1299" s="34" t="inlineStr">
        <is>
          <t>CST-06-039</t>
        </is>
      </c>
      <c r="E1299" s="34" t="inlineStr">
        <is>
          <t>Program Management - program controls - field package</t>
        </is>
      </c>
      <c r="F1299" s="34" t="inlineStr">
        <is>
          <t>ONE_TO_ONE</t>
        </is>
      </c>
      <c r="G1299" s="34" t="inlineStr">
        <is>
          <t>APPROVED</t>
        </is>
      </c>
      <c r="H1299" s="34" t="inlineStr">
        <is>
          <t>New</t>
        </is>
      </c>
      <c r="I1299" s="34" t="inlineStr">
        <is>
          <t>Source assignment -- not individually reviewed</t>
        </is>
      </c>
      <c r="J1299" s="39" t="inlineStr"/>
      <c r="K1299" s="34" t="inlineStr">
        <is>
          <t>Source assignment</t>
        </is>
      </c>
      <c r="L1299" s="39" t="inlineStr"/>
      <c r="M1299" s="34" t="inlineStr">
        <is>
          <t>Initial</t>
        </is>
      </c>
      <c r="N1299" s="34" t="inlineStr">
        <is>
          <t>Rev 0</t>
        </is>
      </c>
      <c r="O1299" s="34" t="inlineStr">
        <is>
          <t>R1521-v1</t>
        </is>
      </c>
      <c r="P1299" s="39" t="inlineStr"/>
      <c r="Q1299" s="14" t="inlineStr"/>
      <c r="R1299" s="39" t="inlineStr"/>
      <c r="S1299" s="39" t="inlineStr"/>
      <c r="T1299" s="39" t="inlineStr"/>
      <c r="U1299" s="39" t="inlineStr"/>
      <c r="V1299" s="34" t="inlineStr">
        <is>
          <t>Cost Account = CA-6039; WBS Code = 1.6.1</t>
        </is>
      </c>
      <c r="W1299" s="14" t="inlineStr"/>
    </row>
    <row r="1300" ht="64" customHeight="1">
      <c r="A1300" s="34" t="inlineStr">
        <is>
          <t>1.6.1</t>
        </is>
      </c>
      <c r="B1300" s="34" t="inlineStr">
        <is>
          <t>Program Management - Program Controls</t>
        </is>
      </c>
      <c r="C1300" s="34" t="inlineStr">
        <is>
          <t>Cost &amp; Forecast Control Accounts</t>
        </is>
      </c>
      <c r="D1300" s="34" t="inlineStr">
        <is>
          <t>CST-06-041</t>
        </is>
      </c>
      <c r="E1300" s="34" t="inlineStr">
        <is>
          <t>Program Management - stakeholder services - professional services</t>
        </is>
      </c>
      <c r="F1300" s="34" t="inlineStr">
        <is>
          <t>ONE_TO_ONE</t>
        </is>
      </c>
      <c r="G1300" s="34" t="inlineStr">
        <is>
          <t>APPROVED</t>
        </is>
      </c>
      <c r="H1300" s="34" t="inlineStr">
        <is>
          <t>New</t>
        </is>
      </c>
      <c r="I1300" s="34" t="inlineStr">
        <is>
          <t>Source assignment -- not individually reviewed</t>
        </is>
      </c>
      <c r="J1300" s="39" t="inlineStr"/>
      <c r="K1300" s="34" t="inlineStr">
        <is>
          <t>Source assignment</t>
        </is>
      </c>
      <c r="L1300" s="39" t="inlineStr"/>
      <c r="M1300" s="34" t="inlineStr">
        <is>
          <t>Initial</t>
        </is>
      </c>
      <c r="N1300" s="34" t="inlineStr">
        <is>
          <t>Rev 0</t>
        </is>
      </c>
      <c r="O1300" s="34" t="inlineStr">
        <is>
          <t>R1523-v1</t>
        </is>
      </c>
      <c r="P1300" s="39" t="inlineStr"/>
      <c r="Q1300" s="14" t="inlineStr"/>
      <c r="R1300" s="39" t="inlineStr"/>
      <c r="S1300" s="39" t="inlineStr"/>
      <c r="T1300" s="39" t="inlineStr"/>
      <c r="U1300" s="39" t="inlineStr"/>
      <c r="V1300" s="34" t="inlineStr">
        <is>
          <t>Cost Account = CA-6041; WBS Code = 1.6.1</t>
        </is>
      </c>
      <c r="W1300" s="14" t="inlineStr"/>
    </row>
    <row r="1301" ht="64" customHeight="1">
      <c r="A1301" s="34" t="inlineStr">
        <is>
          <t>1.6.1</t>
        </is>
      </c>
      <c r="B1301" s="34" t="inlineStr">
        <is>
          <t>Program Management - Program Controls</t>
        </is>
      </c>
      <c r="C1301" s="34" t="inlineStr">
        <is>
          <t>Cost &amp; Forecast Control Accounts</t>
        </is>
      </c>
      <c r="D1301" s="34" t="inlineStr">
        <is>
          <t>CST-06-043</t>
        </is>
      </c>
      <c r="E1301" s="34" t="inlineStr">
        <is>
          <t>Program Management - design integration - closeout</t>
        </is>
      </c>
      <c r="F1301" s="34" t="inlineStr">
        <is>
          <t>ONE_TO_ONE</t>
        </is>
      </c>
      <c r="G1301" s="34" t="inlineStr">
        <is>
          <t>APPROVED</t>
        </is>
      </c>
      <c r="H1301" s="34" t="inlineStr">
        <is>
          <t>New</t>
        </is>
      </c>
      <c r="I1301" s="34" t="inlineStr">
        <is>
          <t>Source assignment -- not individually reviewed</t>
        </is>
      </c>
      <c r="J1301" s="39" t="inlineStr"/>
      <c r="K1301" s="34" t="inlineStr">
        <is>
          <t>Source assignment</t>
        </is>
      </c>
      <c r="L1301" s="39" t="inlineStr"/>
      <c r="M1301" s="34" t="inlineStr">
        <is>
          <t>Initial</t>
        </is>
      </c>
      <c r="N1301" s="34" t="inlineStr">
        <is>
          <t>Rev 0</t>
        </is>
      </c>
      <c r="O1301" s="34" t="inlineStr">
        <is>
          <t>R1525-v1</t>
        </is>
      </c>
      <c r="P1301" s="39" t="inlineStr"/>
      <c r="Q1301" s="14" t="inlineStr"/>
      <c r="R1301" s="39" t="inlineStr"/>
      <c r="S1301" s="39" t="inlineStr"/>
      <c r="T1301" s="39" t="inlineStr"/>
      <c r="U1301" s="39" t="inlineStr"/>
      <c r="V1301" s="34" t="inlineStr">
        <is>
          <t>Cost Account = CA-6043; WBS Code = 1.6.1</t>
        </is>
      </c>
      <c r="W1301" s="14" t="inlineStr"/>
    </row>
    <row r="1302" ht="64" customHeight="1">
      <c r="A1302" s="34" t="inlineStr">
        <is>
          <t>1.6.1</t>
        </is>
      </c>
      <c r="B1302" s="34" t="inlineStr">
        <is>
          <t>Program Management - Program Controls</t>
        </is>
      </c>
      <c r="C1302" s="34" t="inlineStr">
        <is>
          <t>Cost &amp; Forecast Control Accounts</t>
        </is>
      </c>
      <c r="D1302" s="34" t="inlineStr">
        <is>
          <t>CST-06-045</t>
        </is>
      </c>
      <c r="E1302" s="34" t="inlineStr">
        <is>
          <t>Program Management - program controls - supply and install</t>
        </is>
      </c>
      <c r="F1302" s="34" t="inlineStr">
        <is>
          <t>ONE_TO_ONE</t>
        </is>
      </c>
      <c r="G1302" s="34" t="inlineStr">
        <is>
          <t>APPROVED</t>
        </is>
      </c>
      <c r="H1302" s="34" t="inlineStr">
        <is>
          <t>New</t>
        </is>
      </c>
      <c r="I1302" s="34" t="inlineStr">
        <is>
          <t>Source assignment -- not individually reviewed</t>
        </is>
      </c>
      <c r="J1302" s="39" t="inlineStr"/>
      <c r="K1302" s="34" t="inlineStr">
        <is>
          <t>Source assignment</t>
        </is>
      </c>
      <c r="L1302" s="39" t="inlineStr"/>
      <c r="M1302" s="34" t="inlineStr">
        <is>
          <t>Initial</t>
        </is>
      </c>
      <c r="N1302" s="34" t="inlineStr">
        <is>
          <t>Rev 0</t>
        </is>
      </c>
      <c r="O1302" s="34" t="inlineStr">
        <is>
          <t>R1527-v1</t>
        </is>
      </c>
      <c r="P1302" s="39" t="inlineStr"/>
      <c r="Q1302" s="14" t="inlineStr"/>
      <c r="R1302" s="39" t="inlineStr"/>
      <c r="S1302" s="39" t="inlineStr"/>
      <c r="T1302" s="39" t="inlineStr"/>
      <c r="U1302" s="39" t="inlineStr"/>
      <c r="V1302" s="34" t="inlineStr">
        <is>
          <t>Cost Account = CA-6045; WBS Code = 1.6.1</t>
        </is>
      </c>
      <c r="W1302" s="14" t="inlineStr"/>
    </row>
    <row r="1303" ht="64" customHeight="1">
      <c r="A1303" s="34" t="inlineStr">
        <is>
          <t>1.6.1</t>
        </is>
      </c>
      <c r="B1303" s="34" t="inlineStr">
        <is>
          <t>Program Management - Program Controls</t>
        </is>
      </c>
      <c r="C1303" s="34" t="inlineStr">
        <is>
          <t>Cost &amp; Forecast Control Accounts</t>
        </is>
      </c>
      <c r="D1303" s="34" t="inlineStr">
        <is>
          <t>CST-06-047</t>
        </is>
      </c>
      <c r="E1303" s="34" t="inlineStr">
        <is>
          <t>Program Management - stakeholder services - allowance</t>
        </is>
      </c>
      <c r="F1303" s="34" t="inlineStr">
        <is>
          <t>ONE_TO_ONE</t>
        </is>
      </c>
      <c r="G1303" s="34" t="inlineStr">
        <is>
          <t>APPROVED</t>
        </is>
      </c>
      <c r="H1303" s="34" t="inlineStr">
        <is>
          <t>New</t>
        </is>
      </c>
      <c r="I1303" s="34" t="inlineStr">
        <is>
          <t>Source assignment -- not individually reviewed</t>
        </is>
      </c>
      <c r="J1303" s="39" t="inlineStr"/>
      <c r="K1303" s="34" t="inlineStr">
        <is>
          <t>Source assignment</t>
        </is>
      </c>
      <c r="L1303" s="39" t="inlineStr"/>
      <c r="M1303" s="34" t="inlineStr">
        <is>
          <t>Initial</t>
        </is>
      </c>
      <c r="N1303" s="34" t="inlineStr">
        <is>
          <t>Rev 0</t>
        </is>
      </c>
      <c r="O1303" s="34" t="inlineStr">
        <is>
          <t>R1529-v1</t>
        </is>
      </c>
      <c r="P1303" s="39" t="inlineStr"/>
      <c r="Q1303" s="14" t="inlineStr"/>
      <c r="R1303" s="39" t="inlineStr"/>
      <c r="S1303" s="39" t="inlineStr"/>
      <c r="T1303" s="39" t="inlineStr"/>
      <c r="U1303" s="39" t="inlineStr"/>
      <c r="V1303" s="34" t="inlineStr">
        <is>
          <t>Cost Account = CA-6047; WBS Code = 1.6.1</t>
        </is>
      </c>
      <c r="W1303" s="14" t="inlineStr"/>
    </row>
    <row r="1304" ht="64" customHeight="1">
      <c r="A1304" s="34" t="inlineStr">
        <is>
          <t>1.6.1</t>
        </is>
      </c>
      <c r="B1304" s="34" t="inlineStr">
        <is>
          <t>Program Management - Program Controls</t>
        </is>
      </c>
      <c r="C1304" s="34" t="inlineStr">
        <is>
          <t>Cost &amp; Forecast Control Accounts</t>
        </is>
      </c>
      <c r="D1304" s="34" t="inlineStr">
        <is>
          <t>CST-06-049</t>
        </is>
      </c>
      <c r="E1304" s="34" t="inlineStr">
        <is>
          <t>Program Management - design integration - field package</t>
        </is>
      </c>
      <c r="F1304" s="34" t="inlineStr">
        <is>
          <t>ONE_TO_ONE</t>
        </is>
      </c>
      <c r="G1304" s="34" t="inlineStr">
        <is>
          <t>APPROVED</t>
        </is>
      </c>
      <c r="H1304" s="34" t="inlineStr">
        <is>
          <t>New</t>
        </is>
      </c>
      <c r="I1304" s="34" t="inlineStr">
        <is>
          <t>Source assignment -- not individually reviewed</t>
        </is>
      </c>
      <c r="J1304" s="39" t="inlineStr"/>
      <c r="K1304" s="34" t="inlineStr">
        <is>
          <t>Source assignment</t>
        </is>
      </c>
      <c r="L1304" s="39" t="inlineStr"/>
      <c r="M1304" s="34" t="inlineStr">
        <is>
          <t>Initial</t>
        </is>
      </c>
      <c r="N1304" s="34" t="inlineStr">
        <is>
          <t>Rev 0</t>
        </is>
      </c>
      <c r="O1304" s="34" t="inlineStr">
        <is>
          <t>R1531-v1</t>
        </is>
      </c>
      <c r="P1304" s="39" t="inlineStr"/>
      <c r="Q1304" s="14" t="inlineStr"/>
      <c r="R1304" s="39" t="inlineStr"/>
      <c r="S1304" s="39" t="inlineStr"/>
      <c r="T1304" s="39" t="inlineStr"/>
      <c r="U1304" s="39" t="inlineStr"/>
      <c r="V1304" s="34" t="inlineStr">
        <is>
          <t>Cost Account = CA-6049; WBS Code = 1.6.1</t>
        </is>
      </c>
      <c r="W1304" s="14" t="inlineStr"/>
    </row>
    <row r="1305" ht="64" customHeight="1">
      <c r="A1305" s="34" t="inlineStr">
        <is>
          <t>1.6.1</t>
        </is>
      </c>
      <c r="B1305" s="34" t="inlineStr">
        <is>
          <t>Program Management - Program Controls</t>
        </is>
      </c>
      <c r="C1305" s="34" t="inlineStr">
        <is>
          <t>Cost &amp; Forecast Control Accounts</t>
        </is>
      </c>
      <c r="D1305" s="34" t="inlineStr">
        <is>
          <t>CST-06-051</t>
        </is>
      </c>
      <c r="E1305" s="34" t="inlineStr">
        <is>
          <t>Program Management - program controls - professional services</t>
        </is>
      </c>
      <c r="F1305" s="34" t="inlineStr">
        <is>
          <t>ONE_TO_ONE</t>
        </is>
      </c>
      <c r="G1305" s="34" t="inlineStr">
        <is>
          <t>APPROVED</t>
        </is>
      </c>
      <c r="H1305" s="34" t="inlineStr">
        <is>
          <t>New</t>
        </is>
      </c>
      <c r="I1305" s="34" t="inlineStr">
        <is>
          <t>Source assignment -- not individually reviewed</t>
        </is>
      </c>
      <c r="J1305" s="39" t="inlineStr"/>
      <c r="K1305" s="34" t="inlineStr">
        <is>
          <t>Source assignment</t>
        </is>
      </c>
      <c r="L1305" s="39" t="inlineStr"/>
      <c r="M1305" s="34" t="inlineStr">
        <is>
          <t>Initial</t>
        </is>
      </c>
      <c r="N1305" s="34" t="inlineStr">
        <is>
          <t>Rev 0</t>
        </is>
      </c>
      <c r="O1305" s="34" t="inlineStr">
        <is>
          <t>R1533-v1</t>
        </is>
      </c>
      <c r="P1305" s="39" t="inlineStr"/>
      <c r="Q1305" s="14" t="inlineStr"/>
      <c r="R1305" s="39" t="inlineStr"/>
      <c r="S1305" s="39" t="inlineStr"/>
      <c r="T1305" s="39" t="inlineStr"/>
      <c r="U1305" s="39" t="inlineStr"/>
      <c r="V1305" s="34" t="inlineStr">
        <is>
          <t>Cost Account = CA-6051; WBS Code = 1.6.1</t>
        </is>
      </c>
      <c r="W1305" s="14" t="inlineStr"/>
    </row>
    <row r="1306" ht="64" customHeight="1">
      <c r="A1306" s="34" t="inlineStr">
        <is>
          <t>1.6.1</t>
        </is>
      </c>
      <c r="B1306" s="34" t="inlineStr">
        <is>
          <t>Program Management - Program Controls</t>
        </is>
      </c>
      <c r="C1306" s="34" t="inlineStr">
        <is>
          <t>Cost &amp; Forecast Control Accounts</t>
        </is>
      </c>
      <c r="D1306" s="34" t="inlineStr">
        <is>
          <t>CST-06-053</t>
        </is>
      </c>
      <c r="E1306" s="34" t="inlineStr">
        <is>
          <t>Program Management - stakeholder services - closeout</t>
        </is>
      </c>
      <c r="F1306" s="34" t="inlineStr">
        <is>
          <t>ONE_TO_ONE</t>
        </is>
      </c>
      <c r="G1306" s="34" t="inlineStr">
        <is>
          <t>APPROVED</t>
        </is>
      </c>
      <c r="H1306" s="34" t="inlineStr">
        <is>
          <t>New</t>
        </is>
      </c>
      <c r="I1306" s="34" t="inlineStr">
        <is>
          <t>Source assignment -- not individually reviewed</t>
        </is>
      </c>
      <c r="J1306" s="39" t="inlineStr"/>
      <c r="K1306" s="34" t="inlineStr">
        <is>
          <t>Source assignment</t>
        </is>
      </c>
      <c r="L1306" s="39" t="inlineStr"/>
      <c r="M1306" s="34" t="inlineStr">
        <is>
          <t>Initial</t>
        </is>
      </c>
      <c r="N1306" s="34" t="inlineStr">
        <is>
          <t>Rev 0</t>
        </is>
      </c>
      <c r="O1306" s="34" t="inlineStr">
        <is>
          <t>R1535-v1</t>
        </is>
      </c>
      <c r="P1306" s="39" t="inlineStr"/>
      <c r="Q1306" s="14" t="inlineStr"/>
      <c r="R1306" s="39" t="inlineStr"/>
      <c r="S1306" s="39" t="inlineStr"/>
      <c r="T1306" s="39" t="inlineStr"/>
      <c r="U1306" s="39" t="inlineStr"/>
      <c r="V1306" s="34" t="inlineStr">
        <is>
          <t>Cost Account = CA-6053; WBS Code = 1.6.1</t>
        </is>
      </c>
      <c r="W1306" s="14" t="inlineStr"/>
    </row>
    <row r="1307" ht="64" customHeight="1">
      <c r="A1307" s="34" t="inlineStr">
        <is>
          <t>1.6.1</t>
        </is>
      </c>
      <c r="B1307" s="34" t="inlineStr">
        <is>
          <t>Program Management - Program Controls</t>
        </is>
      </c>
      <c r="C1307" s="34" t="inlineStr">
        <is>
          <t>Cost &amp; Forecast Control Accounts</t>
        </is>
      </c>
      <c r="D1307" s="34" t="inlineStr">
        <is>
          <t>CST-06-055</t>
        </is>
      </c>
      <c r="E1307" s="34" t="inlineStr">
        <is>
          <t>Program Management - design integration - supply and install</t>
        </is>
      </c>
      <c r="F1307" s="34" t="inlineStr">
        <is>
          <t>ONE_TO_ONE</t>
        </is>
      </c>
      <c r="G1307" s="34" t="inlineStr">
        <is>
          <t>APPROVED</t>
        </is>
      </c>
      <c r="H1307" s="34" t="inlineStr">
        <is>
          <t>New</t>
        </is>
      </c>
      <c r="I1307" s="34" t="inlineStr">
        <is>
          <t>Source assignment -- not individually reviewed</t>
        </is>
      </c>
      <c r="J1307" s="39" t="inlineStr"/>
      <c r="K1307" s="34" t="inlineStr">
        <is>
          <t>Source assignment</t>
        </is>
      </c>
      <c r="L1307" s="39" t="inlineStr"/>
      <c r="M1307" s="34" t="inlineStr">
        <is>
          <t>Initial</t>
        </is>
      </c>
      <c r="N1307" s="34" t="inlineStr">
        <is>
          <t>Rev 0</t>
        </is>
      </c>
      <c r="O1307" s="34" t="inlineStr">
        <is>
          <t>R1537-v1</t>
        </is>
      </c>
      <c r="P1307" s="39" t="inlineStr"/>
      <c r="Q1307" s="14" t="inlineStr"/>
      <c r="R1307" s="39" t="inlineStr"/>
      <c r="S1307" s="39" t="inlineStr"/>
      <c r="T1307" s="39" t="inlineStr"/>
      <c r="U1307" s="39" t="inlineStr"/>
      <c r="V1307" s="34" t="inlineStr">
        <is>
          <t>Cost Account = CA-6055; WBS Code = 1.6.1</t>
        </is>
      </c>
      <c r="W1307" s="14" t="inlineStr"/>
    </row>
    <row r="1308" ht="64" customHeight="1">
      <c r="A1308" s="34" t="inlineStr">
        <is>
          <t>1.6.1</t>
        </is>
      </c>
      <c r="B1308" s="34" t="inlineStr">
        <is>
          <t>Program Management - Program Controls</t>
        </is>
      </c>
      <c r="C1308" s="34" t="inlineStr">
        <is>
          <t>Cost &amp; Forecast Control Accounts</t>
        </is>
      </c>
      <c r="D1308" s="34" t="inlineStr">
        <is>
          <t>CST-06-057</t>
        </is>
      </c>
      <c r="E1308" s="34" t="inlineStr">
        <is>
          <t>Program Management - program controls - allowance</t>
        </is>
      </c>
      <c r="F1308" s="34" t="inlineStr">
        <is>
          <t>ONE_TO_ONE</t>
        </is>
      </c>
      <c r="G1308" s="34" t="inlineStr">
        <is>
          <t>APPROVED</t>
        </is>
      </c>
      <c r="H1308" s="34" t="inlineStr">
        <is>
          <t>New</t>
        </is>
      </c>
      <c r="I1308" s="34" t="inlineStr">
        <is>
          <t>Source assignment -- not individually reviewed</t>
        </is>
      </c>
      <c r="J1308" s="39" t="inlineStr"/>
      <c r="K1308" s="34" t="inlineStr">
        <is>
          <t>Source assignment</t>
        </is>
      </c>
      <c r="L1308" s="39" t="inlineStr"/>
      <c r="M1308" s="34" t="inlineStr">
        <is>
          <t>Initial</t>
        </is>
      </c>
      <c r="N1308" s="34" t="inlineStr">
        <is>
          <t>Rev 0</t>
        </is>
      </c>
      <c r="O1308" s="34" t="inlineStr">
        <is>
          <t>R1539-v1</t>
        </is>
      </c>
      <c r="P1308" s="39" t="inlineStr"/>
      <c r="Q1308" s="14" t="inlineStr"/>
      <c r="R1308" s="39" t="inlineStr"/>
      <c r="S1308" s="39" t="inlineStr"/>
      <c r="T1308" s="39" t="inlineStr"/>
      <c r="U1308" s="39" t="inlineStr"/>
      <c r="V1308" s="34" t="inlineStr">
        <is>
          <t>Cost Account = CA-6057; WBS Code = 1.6.1</t>
        </is>
      </c>
      <c r="W1308" s="14" t="inlineStr"/>
    </row>
    <row r="1309" ht="64" customHeight="1">
      <c r="A1309" s="34" t="inlineStr">
        <is>
          <t>1.6.1</t>
        </is>
      </c>
      <c r="B1309" s="34" t="inlineStr">
        <is>
          <t>Program Management - Program Controls</t>
        </is>
      </c>
      <c r="C1309" s="34" t="inlineStr">
        <is>
          <t>Cost &amp; Forecast Control Accounts</t>
        </is>
      </c>
      <c r="D1309" s="34" t="inlineStr">
        <is>
          <t>CST-06-059</t>
        </is>
      </c>
      <c r="E1309" s="34" t="inlineStr">
        <is>
          <t>Program Management - stakeholder services - field package</t>
        </is>
      </c>
      <c r="F1309" s="34" t="inlineStr">
        <is>
          <t>ONE_TO_ONE</t>
        </is>
      </c>
      <c r="G1309" s="34" t="inlineStr">
        <is>
          <t>APPROVED</t>
        </is>
      </c>
      <c r="H1309" s="34" t="inlineStr">
        <is>
          <t>New</t>
        </is>
      </c>
      <c r="I1309" s="34" t="inlineStr">
        <is>
          <t>Source assignment -- not individually reviewed</t>
        </is>
      </c>
      <c r="J1309" s="39" t="inlineStr"/>
      <c r="K1309" s="34" t="inlineStr">
        <is>
          <t>Source assignment</t>
        </is>
      </c>
      <c r="L1309" s="39" t="inlineStr"/>
      <c r="M1309" s="34" t="inlineStr">
        <is>
          <t>Initial</t>
        </is>
      </c>
      <c r="N1309" s="34" t="inlineStr">
        <is>
          <t>Rev 0</t>
        </is>
      </c>
      <c r="O1309" s="34" t="inlineStr">
        <is>
          <t>R1541-v1</t>
        </is>
      </c>
      <c r="P1309" s="39" t="inlineStr"/>
      <c r="Q1309" s="14" t="inlineStr"/>
      <c r="R1309" s="39" t="inlineStr"/>
      <c r="S1309" s="39" t="inlineStr"/>
      <c r="T1309" s="39" t="inlineStr"/>
      <c r="U1309" s="39" t="inlineStr"/>
      <c r="V1309" s="34" t="inlineStr">
        <is>
          <t>Cost Account = CA-6059; WBS Code = 1.6.1</t>
        </is>
      </c>
      <c r="W1309" s="14" t="inlineStr"/>
    </row>
    <row r="1310" ht="64" customHeight="1">
      <c r="A1310" s="34" t="inlineStr">
        <is>
          <t>1.6.1</t>
        </is>
      </c>
      <c r="B1310" s="34" t="inlineStr">
        <is>
          <t>Program Management - Program Controls</t>
        </is>
      </c>
      <c r="C1310" s="34" t="inlineStr">
        <is>
          <t>Cost &amp; Forecast Control Accounts</t>
        </is>
      </c>
      <c r="D1310" s="34" t="inlineStr">
        <is>
          <t>CST-06-061</t>
        </is>
      </c>
      <c r="E1310" s="34" t="inlineStr">
        <is>
          <t>Program Management - design integration - professional services</t>
        </is>
      </c>
      <c r="F1310" s="34" t="inlineStr">
        <is>
          <t>ONE_TO_ONE</t>
        </is>
      </c>
      <c r="G1310" s="34" t="inlineStr">
        <is>
          <t>APPROVED</t>
        </is>
      </c>
      <c r="H1310" s="34" t="inlineStr">
        <is>
          <t>New</t>
        </is>
      </c>
      <c r="I1310" s="34" t="inlineStr">
        <is>
          <t>Source assignment -- not individually reviewed</t>
        </is>
      </c>
      <c r="J1310" s="39" t="inlineStr"/>
      <c r="K1310" s="34" t="inlineStr">
        <is>
          <t>Source assignment</t>
        </is>
      </c>
      <c r="L1310" s="39" t="inlineStr"/>
      <c r="M1310" s="34" t="inlineStr">
        <is>
          <t>Initial</t>
        </is>
      </c>
      <c r="N1310" s="34" t="inlineStr">
        <is>
          <t>Rev 0</t>
        </is>
      </c>
      <c r="O1310" s="34" t="inlineStr">
        <is>
          <t>R1543-v1</t>
        </is>
      </c>
      <c r="P1310" s="39" t="inlineStr"/>
      <c r="Q1310" s="14" t="inlineStr"/>
      <c r="R1310" s="39" t="inlineStr"/>
      <c r="S1310" s="39" t="inlineStr"/>
      <c r="T1310" s="39" t="inlineStr"/>
      <c r="U1310" s="39" t="inlineStr"/>
      <c r="V1310" s="34" t="inlineStr">
        <is>
          <t>Cost Account = CA-6061; WBS Code = 1.6.1</t>
        </is>
      </c>
      <c r="W1310" s="14" t="inlineStr"/>
    </row>
    <row r="1311" ht="64" customHeight="1">
      <c r="A1311" s="34" t="inlineStr">
        <is>
          <t>1.6.1</t>
        </is>
      </c>
      <c r="B1311" s="34" t="inlineStr">
        <is>
          <t>Program Management - Program Controls</t>
        </is>
      </c>
      <c r="C1311" s="34" t="inlineStr">
        <is>
          <t>Cost &amp; Forecast Control Accounts</t>
        </is>
      </c>
      <c r="D1311" s="34" t="inlineStr">
        <is>
          <t>CST-06-063</t>
        </is>
      </c>
      <c r="E1311" s="34" t="inlineStr">
        <is>
          <t>Program Management - program controls - closeout</t>
        </is>
      </c>
      <c r="F1311" s="34" t="inlineStr">
        <is>
          <t>ONE_TO_ONE</t>
        </is>
      </c>
      <c r="G1311" s="34" t="inlineStr">
        <is>
          <t>APPROVED</t>
        </is>
      </c>
      <c r="H1311" s="34" t="inlineStr">
        <is>
          <t>New</t>
        </is>
      </c>
      <c r="I1311" s="34" t="inlineStr">
        <is>
          <t>Source assignment -- not individually reviewed</t>
        </is>
      </c>
      <c r="J1311" s="39" t="inlineStr"/>
      <c r="K1311" s="34" t="inlineStr">
        <is>
          <t>Source assignment</t>
        </is>
      </c>
      <c r="L1311" s="39" t="inlineStr"/>
      <c r="M1311" s="34" t="inlineStr">
        <is>
          <t>Initial</t>
        </is>
      </c>
      <c r="N1311" s="34" t="inlineStr">
        <is>
          <t>Rev 0</t>
        </is>
      </c>
      <c r="O1311" s="34" t="inlineStr">
        <is>
          <t>R1545-v1</t>
        </is>
      </c>
      <c r="P1311" s="39" t="inlineStr"/>
      <c r="Q1311" s="14" t="inlineStr"/>
      <c r="R1311" s="39" t="inlineStr"/>
      <c r="S1311" s="39" t="inlineStr"/>
      <c r="T1311" s="39" t="inlineStr"/>
      <c r="U1311" s="39" t="inlineStr"/>
      <c r="V1311" s="34" t="inlineStr">
        <is>
          <t>Cost Account = CA-6063; WBS Code = 1.6.1</t>
        </is>
      </c>
      <c r="W1311" s="14" t="inlineStr"/>
    </row>
    <row r="1312" ht="64" customHeight="1">
      <c r="A1312" s="34" t="inlineStr">
        <is>
          <t>1.6.1</t>
        </is>
      </c>
      <c r="B1312" s="34" t="inlineStr">
        <is>
          <t>Program Management - Program Controls</t>
        </is>
      </c>
      <c r="C1312" s="34" t="inlineStr">
        <is>
          <t>Cost &amp; Forecast Control Accounts</t>
        </is>
      </c>
      <c r="D1312" s="34" t="inlineStr">
        <is>
          <t>CST-06-065</t>
        </is>
      </c>
      <c r="E1312" s="34" t="inlineStr">
        <is>
          <t>Program Management - stakeholder services - supply and install</t>
        </is>
      </c>
      <c r="F1312" s="34" t="inlineStr">
        <is>
          <t>ONE_TO_ONE</t>
        </is>
      </c>
      <c r="G1312" s="34" t="inlineStr">
        <is>
          <t>APPROVED</t>
        </is>
      </c>
      <c r="H1312" s="34" t="inlineStr">
        <is>
          <t>New</t>
        </is>
      </c>
      <c r="I1312" s="34" t="inlineStr">
        <is>
          <t>Source assignment -- not individually reviewed</t>
        </is>
      </c>
      <c r="J1312" s="39" t="inlineStr"/>
      <c r="K1312" s="34" t="inlineStr">
        <is>
          <t>Source assignment</t>
        </is>
      </c>
      <c r="L1312" s="39" t="inlineStr"/>
      <c r="M1312" s="34" t="inlineStr">
        <is>
          <t>Initial</t>
        </is>
      </c>
      <c r="N1312" s="34" t="inlineStr">
        <is>
          <t>Rev 0</t>
        </is>
      </c>
      <c r="O1312" s="34" t="inlineStr">
        <is>
          <t>R1547-v1</t>
        </is>
      </c>
      <c r="P1312" s="39" t="inlineStr"/>
      <c r="Q1312" s="14" t="inlineStr"/>
      <c r="R1312" s="39" t="inlineStr"/>
      <c r="S1312" s="39" t="inlineStr"/>
      <c r="T1312" s="39" t="inlineStr"/>
      <c r="U1312" s="39" t="inlineStr"/>
      <c r="V1312" s="34" t="inlineStr">
        <is>
          <t>Cost Account = CA-6065; WBS Code = 1.6.1</t>
        </is>
      </c>
      <c r="W1312" s="14" t="inlineStr"/>
    </row>
    <row r="1313" ht="64" customHeight="1">
      <c r="A1313" s="34" t="inlineStr">
        <is>
          <t>1.6.1</t>
        </is>
      </c>
      <c r="B1313" s="34" t="inlineStr">
        <is>
          <t>Program Management - Program Controls</t>
        </is>
      </c>
      <c r="C1313" s="34" t="inlineStr">
        <is>
          <t>Cost &amp; Forecast Control Accounts</t>
        </is>
      </c>
      <c r="D1313" s="34" t="inlineStr">
        <is>
          <t>CST-06-067</t>
        </is>
      </c>
      <c r="E1313" s="34" t="inlineStr">
        <is>
          <t>Program Management - design integration - allowance</t>
        </is>
      </c>
      <c r="F1313" s="34" t="inlineStr">
        <is>
          <t>ONE_TO_ONE</t>
        </is>
      </c>
      <c r="G1313" s="34" t="inlineStr">
        <is>
          <t>APPROVED</t>
        </is>
      </c>
      <c r="H1313" s="34" t="inlineStr">
        <is>
          <t>New</t>
        </is>
      </c>
      <c r="I1313" s="34" t="inlineStr">
        <is>
          <t>Source assignment -- not individually reviewed</t>
        </is>
      </c>
      <c r="J1313" s="39" t="inlineStr"/>
      <c r="K1313" s="34" t="inlineStr">
        <is>
          <t>Source assignment</t>
        </is>
      </c>
      <c r="L1313" s="39" t="inlineStr"/>
      <c r="M1313" s="34" t="inlineStr">
        <is>
          <t>Initial</t>
        </is>
      </c>
      <c r="N1313" s="34" t="inlineStr">
        <is>
          <t>Rev 0</t>
        </is>
      </c>
      <c r="O1313" s="34" t="inlineStr">
        <is>
          <t>R1549-v1</t>
        </is>
      </c>
      <c r="P1313" s="39" t="inlineStr"/>
      <c r="Q1313" s="14" t="inlineStr"/>
      <c r="R1313" s="39" t="inlineStr"/>
      <c r="S1313" s="39" t="inlineStr"/>
      <c r="T1313" s="39" t="inlineStr"/>
      <c r="U1313" s="39" t="inlineStr"/>
      <c r="V1313" s="34" t="inlineStr">
        <is>
          <t>Cost Account = CA-6067; WBS Code = 1.6.1</t>
        </is>
      </c>
      <c r="W1313" s="14" t="inlineStr"/>
    </row>
    <row r="1314" ht="64" customHeight="1">
      <c r="A1314" s="34" t="inlineStr">
        <is>
          <t>1.6.1</t>
        </is>
      </c>
      <c r="B1314" s="34" t="inlineStr">
        <is>
          <t>Program Management - Program Controls</t>
        </is>
      </c>
      <c r="C1314" s="34" t="inlineStr">
        <is>
          <t>Cost &amp; Forecast Control Accounts</t>
        </is>
      </c>
      <c r="D1314" s="34" t="inlineStr">
        <is>
          <t>CST-06-069</t>
        </is>
      </c>
      <c r="E1314" s="34" t="inlineStr">
        <is>
          <t>Program Management - program controls - field package</t>
        </is>
      </c>
      <c r="F1314" s="34" t="inlineStr">
        <is>
          <t>ONE_TO_ONE</t>
        </is>
      </c>
      <c r="G1314" s="34" t="inlineStr">
        <is>
          <t>APPROVED</t>
        </is>
      </c>
      <c r="H1314" s="34" t="inlineStr">
        <is>
          <t>New</t>
        </is>
      </c>
      <c r="I1314" s="34" t="inlineStr">
        <is>
          <t>Source assignment -- not individually reviewed</t>
        </is>
      </c>
      <c r="J1314" s="39" t="inlineStr"/>
      <c r="K1314" s="34" t="inlineStr">
        <is>
          <t>Source assignment</t>
        </is>
      </c>
      <c r="L1314" s="39" t="inlineStr"/>
      <c r="M1314" s="34" t="inlineStr">
        <is>
          <t>Initial</t>
        </is>
      </c>
      <c r="N1314" s="34" t="inlineStr">
        <is>
          <t>Rev 0</t>
        </is>
      </c>
      <c r="O1314" s="34" t="inlineStr">
        <is>
          <t>R1551-v1</t>
        </is>
      </c>
      <c r="P1314" s="39" t="inlineStr"/>
      <c r="Q1314" s="14" t="inlineStr"/>
      <c r="R1314" s="39" t="inlineStr"/>
      <c r="S1314" s="39" t="inlineStr"/>
      <c r="T1314" s="39" t="inlineStr"/>
      <c r="U1314" s="39" t="inlineStr"/>
      <c r="V1314" s="34" t="inlineStr">
        <is>
          <t>Cost Account = CA-6069; WBS Code = 1.6.1</t>
        </is>
      </c>
      <c r="W1314" s="14" t="inlineStr"/>
    </row>
    <row r="1315" ht="64" customHeight="1">
      <c r="A1315" s="34" t="inlineStr">
        <is>
          <t>1.6.1</t>
        </is>
      </c>
      <c r="B1315" s="34" t="inlineStr">
        <is>
          <t>Program Management - Program Controls</t>
        </is>
      </c>
      <c r="C1315" s="34" t="inlineStr">
        <is>
          <t>Cost &amp; Forecast Control Accounts</t>
        </is>
      </c>
      <c r="D1315" s="34" t="inlineStr">
        <is>
          <t>CST-06-071</t>
        </is>
      </c>
      <c r="E1315" s="34" t="inlineStr">
        <is>
          <t>Program Management - stakeholder services - professional services</t>
        </is>
      </c>
      <c r="F1315" s="34" t="inlineStr">
        <is>
          <t>ONE_TO_ONE</t>
        </is>
      </c>
      <c r="G1315" s="34" t="inlineStr">
        <is>
          <t>APPROVED</t>
        </is>
      </c>
      <c r="H1315" s="34" t="inlineStr">
        <is>
          <t>New</t>
        </is>
      </c>
      <c r="I1315" s="34" t="inlineStr">
        <is>
          <t>Source assignment -- not individually reviewed</t>
        </is>
      </c>
      <c r="J1315" s="39" t="inlineStr"/>
      <c r="K1315" s="34" t="inlineStr">
        <is>
          <t>Source assignment</t>
        </is>
      </c>
      <c r="L1315" s="39" t="inlineStr"/>
      <c r="M1315" s="34" t="inlineStr">
        <is>
          <t>Initial</t>
        </is>
      </c>
      <c r="N1315" s="34" t="inlineStr">
        <is>
          <t>Rev 0</t>
        </is>
      </c>
      <c r="O1315" s="34" t="inlineStr">
        <is>
          <t>R1553-v1</t>
        </is>
      </c>
      <c r="P1315" s="39" t="inlineStr"/>
      <c r="Q1315" s="14" t="inlineStr"/>
      <c r="R1315" s="39" t="inlineStr"/>
      <c r="S1315" s="39" t="inlineStr"/>
      <c r="T1315" s="39" t="inlineStr"/>
      <c r="U1315" s="39" t="inlineStr"/>
      <c r="V1315" s="34" t="inlineStr">
        <is>
          <t>Cost Account = CA-6071; WBS Code = 1.6.1</t>
        </is>
      </c>
      <c r="W1315" s="14" t="inlineStr"/>
    </row>
    <row r="1316" ht="64" customHeight="1">
      <c r="A1316" s="34" t="inlineStr">
        <is>
          <t>1.6.1</t>
        </is>
      </c>
      <c r="B1316" s="34" t="inlineStr">
        <is>
          <t>Program Management - Program Controls</t>
        </is>
      </c>
      <c r="C1316" s="34" t="inlineStr">
        <is>
          <t>Cost &amp; Forecast Control Accounts</t>
        </is>
      </c>
      <c r="D1316" s="34" t="inlineStr">
        <is>
          <t>CST-06-073</t>
        </is>
      </c>
      <c r="E1316" s="34" t="inlineStr">
        <is>
          <t>Program Management - design integration - closeout</t>
        </is>
      </c>
      <c r="F1316" s="34" t="inlineStr">
        <is>
          <t>ONE_TO_ONE</t>
        </is>
      </c>
      <c r="G1316" s="34" t="inlineStr">
        <is>
          <t>APPROVED</t>
        </is>
      </c>
      <c r="H1316" s="34" t="inlineStr">
        <is>
          <t>New</t>
        </is>
      </c>
      <c r="I1316" s="34" t="inlineStr">
        <is>
          <t>Source assignment -- not individually reviewed</t>
        </is>
      </c>
      <c r="J1316" s="39" t="inlineStr"/>
      <c r="K1316" s="34" t="inlineStr">
        <is>
          <t>Source assignment</t>
        </is>
      </c>
      <c r="L1316" s="39" t="inlineStr"/>
      <c r="M1316" s="34" t="inlineStr">
        <is>
          <t>Initial</t>
        </is>
      </c>
      <c r="N1316" s="34" t="inlineStr">
        <is>
          <t>Rev 0</t>
        </is>
      </c>
      <c r="O1316" s="34" t="inlineStr">
        <is>
          <t>R1555-v1</t>
        </is>
      </c>
      <c r="P1316" s="39" t="inlineStr"/>
      <c r="Q1316" s="14" t="inlineStr"/>
      <c r="R1316" s="39" t="inlineStr"/>
      <c r="S1316" s="39" t="inlineStr"/>
      <c r="T1316" s="39" t="inlineStr"/>
      <c r="U1316" s="39" t="inlineStr"/>
      <c r="V1316" s="34" t="inlineStr">
        <is>
          <t>Cost Account = CA-6073; WBS Code = 1.6.1</t>
        </is>
      </c>
      <c r="W1316" s="14" t="inlineStr"/>
    </row>
    <row r="1317" ht="64" customHeight="1">
      <c r="A1317" s="34" t="inlineStr">
        <is>
          <t>1.6.1</t>
        </is>
      </c>
      <c r="B1317" s="34" t="inlineStr">
        <is>
          <t>Program Management - Program Controls</t>
        </is>
      </c>
      <c r="C1317" s="34" t="inlineStr">
        <is>
          <t>Cost &amp; Forecast Control Accounts</t>
        </is>
      </c>
      <c r="D1317" s="34" t="inlineStr">
        <is>
          <t>CST-06-075</t>
        </is>
      </c>
      <c r="E1317" s="34" t="inlineStr">
        <is>
          <t>Program Management - program controls - supply and install</t>
        </is>
      </c>
      <c r="F1317" s="34" t="inlineStr">
        <is>
          <t>ONE_TO_ONE</t>
        </is>
      </c>
      <c r="G1317" s="34" t="inlineStr">
        <is>
          <t>APPROVED</t>
        </is>
      </c>
      <c r="H1317" s="34" t="inlineStr">
        <is>
          <t>New</t>
        </is>
      </c>
      <c r="I1317" s="34" t="inlineStr">
        <is>
          <t>Source assignment -- not individually reviewed</t>
        </is>
      </c>
      <c r="J1317" s="39" t="inlineStr"/>
      <c r="K1317" s="34" t="inlineStr">
        <is>
          <t>Source assignment</t>
        </is>
      </c>
      <c r="L1317" s="39" t="inlineStr"/>
      <c r="M1317" s="34" t="inlineStr">
        <is>
          <t>Initial</t>
        </is>
      </c>
      <c r="N1317" s="34" t="inlineStr">
        <is>
          <t>Rev 0</t>
        </is>
      </c>
      <c r="O1317" s="34" t="inlineStr">
        <is>
          <t>R1557-v1</t>
        </is>
      </c>
      <c r="P1317" s="39" t="inlineStr"/>
      <c r="Q1317" s="14" t="inlineStr"/>
      <c r="R1317" s="39" t="inlineStr"/>
      <c r="S1317" s="39" t="inlineStr"/>
      <c r="T1317" s="39" t="inlineStr"/>
      <c r="U1317" s="39" t="inlineStr"/>
      <c r="V1317" s="34" t="inlineStr">
        <is>
          <t>Cost Account = CA-6075; WBS Code = 1.6.1</t>
        </is>
      </c>
      <c r="W1317" s="14" t="inlineStr"/>
    </row>
    <row r="1318" ht="64" customHeight="1">
      <c r="A1318" s="34" t="inlineStr">
        <is>
          <t>1.6.1</t>
        </is>
      </c>
      <c r="B1318" s="34" t="inlineStr">
        <is>
          <t>Program Management - Program Controls</t>
        </is>
      </c>
      <c r="C1318" s="34" t="inlineStr">
        <is>
          <t>Cost &amp; Forecast Control Accounts</t>
        </is>
      </c>
      <c r="D1318" s="34" t="inlineStr">
        <is>
          <t>CST-06-077</t>
        </is>
      </c>
      <c r="E1318" s="34" t="inlineStr">
        <is>
          <t>Program Management - stakeholder services - allowance</t>
        </is>
      </c>
      <c r="F1318" s="34" t="inlineStr">
        <is>
          <t>ONE_TO_ONE</t>
        </is>
      </c>
      <c r="G1318" s="34" t="inlineStr">
        <is>
          <t>APPROVED</t>
        </is>
      </c>
      <c r="H1318" s="34" t="inlineStr">
        <is>
          <t>New</t>
        </is>
      </c>
      <c r="I1318" s="34" t="inlineStr">
        <is>
          <t>Source assignment -- not individually reviewed</t>
        </is>
      </c>
      <c r="J1318" s="39" t="inlineStr"/>
      <c r="K1318" s="34" t="inlineStr">
        <is>
          <t>Source assignment</t>
        </is>
      </c>
      <c r="L1318" s="39" t="inlineStr"/>
      <c r="M1318" s="34" t="inlineStr">
        <is>
          <t>Initial</t>
        </is>
      </c>
      <c r="N1318" s="34" t="inlineStr">
        <is>
          <t>Rev 0</t>
        </is>
      </c>
      <c r="O1318" s="34" t="inlineStr">
        <is>
          <t>R1559-v1</t>
        </is>
      </c>
      <c r="P1318" s="39" t="inlineStr"/>
      <c r="Q1318" s="14" t="inlineStr"/>
      <c r="R1318" s="39" t="inlineStr"/>
      <c r="S1318" s="39" t="inlineStr"/>
      <c r="T1318" s="39" t="inlineStr"/>
      <c r="U1318" s="39" t="inlineStr"/>
      <c r="V1318" s="34" t="inlineStr">
        <is>
          <t>Cost Account = CA-6077; WBS Code = 1.6.1</t>
        </is>
      </c>
      <c r="W1318" s="14" t="inlineStr"/>
    </row>
    <row r="1319" ht="64" customHeight="1">
      <c r="A1319" s="34" t="inlineStr">
        <is>
          <t>1.6.1</t>
        </is>
      </c>
      <c r="B1319" s="34" t="inlineStr">
        <is>
          <t>Program Management - Program Controls</t>
        </is>
      </c>
      <c r="C1319" s="34" t="inlineStr">
        <is>
          <t>Cost &amp; Forecast Control Accounts</t>
        </is>
      </c>
      <c r="D1319" s="34" t="inlineStr">
        <is>
          <t>CST-06-079</t>
        </is>
      </c>
      <c r="E1319" s="34" t="inlineStr">
        <is>
          <t>Program Management - design integration - field package</t>
        </is>
      </c>
      <c r="F1319" s="34" t="inlineStr">
        <is>
          <t>ONE_TO_ONE</t>
        </is>
      </c>
      <c r="G1319" s="34" t="inlineStr">
        <is>
          <t>APPROVED</t>
        </is>
      </c>
      <c r="H1319" s="34" t="inlineStr">
        <is>
          <t>New</t>
        </is>
      </c>
      <c r="I1319" s="34" t="inlineStr">
        <is>
          <t>Source assignment -- not individually reviewed</t>
        </is>
      </c>
      <c r="J1319" s="39" t="inlineStr"/>
      <c r="K1319" s="34" t="inlineStr">
        <is>
          <t>Source assignment</t>
        </is>
      </c>
      <c r="L1319" s="39" t="inlineStr"/>
      <c r="M1319" s="34" t="inlineStr">
        <is>
          <t>Initial</t>
        </is>
      </c>
      <c r="N1319" s="34" t="inlineStr">
        <is>
          <t>Rev 0</t>
        </is>
      </c>
      <c r="O1319" s="34" t="inlineStr">
        <is>
          <t>R1561-v1</t>
        </is>
      </c>
      <c r="P1319" s="39" t="inlineStr"/>
      <c r="Q1319" s="14" t="inlineStr"/>
      <c r="R1319" s="39" t="inlineStr"/>
      <c r="S1319" s="39" t="inlineStr"/>
      <c r="T1319" s="39" t="inlineStr"/>
      <c r="U1319" s="39" t="inlineStr"/>
      <c r="V1319" s="34" t="inlineStr">
        <is>
          <t>Cost Account = CA-6079; WBS Code = 1.6.1</t>
        </is>
      </c>
      <c r="W1319" s="14" t="inlineStr"/>
    </row>
    <row r="1320" ht="64" customHeight="1">
      <c r="A1320" s="34" t="inlineStr">
        <is>
          <t>1.6.2</t>
        </is>
      </c>
      <c r="B1320" s="34" t="inlineStr">
        <is>
          <t>Program Management - Commercial &amp; Procurement</t>
        </is>
      </c>
      <c r="C1320" s="34" t="inlineStr">
        <is>
          <t>Cost &amp; Forecast Control Accounts</t>
        </is>
      </c>
      <c r="D1320" s="34" t="inlineStr">
        <is>
          <t>CST-06-002</t>
        </is>
      </c>
      <c r="E1320" s="34" t="inlineStr">
        <is>
          <t>Program Management - stakeholder services - allowance</t>
        </is>
      </c>
      <c r="F1320" s="34" t="inlineStr">
        <is>
          <t>ONE_TO_ONE</t>
        </is>
      </c>
      <c r="G1320" s="34" t="inlineStr">
        <is>
          <t>APPROVED</t>
        </is>
      </c>
      <c r="H1320" s="34" t="inlineStr">
        <is>
          <t>New</t>
        </is>
      </c>
      <c r="I1320" s="34" t="inlineStr">
        <is>
          <t>Source assignment -- not individually reviewed</t>
        </is>
      </c>
      <c r="J1320" s="39" t="inlineStr"/>
      <c r="K1320" s="34" t="inlineStr">
        <is>
          <t>Source assignment</t>
        </is>
      </c>
      <c r="L1320" s="39" t="inlineStr"/>
      <c r="M1320" s="34" t="inlineStr">
        <is>
          <t>Initial</t>
        </is>
      </c>
      <c r="N1320" s="34" t="inlineStr">
        <is>
          <t>Rev 0</t>
        </is>
      </c>
      <c r="O1320" s="34" t="inlineStr">
        <is>
          <t>R1484-v1</t>
        </is>
      </c>
      <c r="P1320" s="39" t="inlineStr"/>
      <c r="Q1320" s="14" t="inlineStr"/>
      <c r="R1320" s="39" t="inlineStr"/>
      <c r="S1320" s="39" t="inlineStr"/>
      <c r="T1320" s="39" t="inlineStr"/>
      <c r="U1320" s="39" t="inlineStr"/>
      <c r="V1320" s="34" t="inlineStr">
        <is>
          <t>Cost Account = CA-6002; WBS Code = 1.6.2</t>
        </is>
      </c>
      <c r="W1320" s="14" t="inlineStr"/>
    </row>
    <row r="1321" ht="64" customHeight="1">
      <c r="A1321" s="34" t="inlineStr">
        <is>
          <t>1.6.2</t>
        </is>
      </c>
      <c r="B1321" s="34" t="inlineStr">
        <is>
          <t>Program Management - Commercial &amp; Procurement</t>
        </is>
      </c>
      <c r="C1321" s="34" t="inlineStr">
        <is>
          <t>Cost &amp; Forecast Control Accounts</t>
        </is>
      </c>
      <c r="D1321" s="34" t="inlineStr">
        <is>
          <t>CST-06-004</t>
        </is>
      </c>
      <c r="E1321" s="34" t="inlineStr">
        <is>
          <t>Program Management - design integration - field package</t>
        </is>
      </c>
      <c r="F1321" s="34" t="inlineStr">
        <is>
          <t>ONE_TO_ONE</t>
        </is>
      </c>
      <c r="G1321" s="34" t="inlineStr">
        <is>
          <t>APPROVED</t>
        </is>
      </c>
      <c r="H1321" s="34" t="inlineStr">
        <is>
          <t>New</t>
        </is>
      </c>
      <c r="I1321" s="34" t="inlineStr">
        <is>
          <t>Source assignment -- not individually reviewed</t>
        </is>
      </c>
      <c r="J1321" s="39" t="inlineStr"/>
      <c r="K1321" s="34" t="inlineStr">
        <is>
          <t>Source assignment</t>
        </is>
      </c>
      <c r="L1321" s="39" t="inlineStr"/>
      <c r="M1321" s="34" t="inlineStr">
        <is>
          <t>Initial</t>
        </is>
      </c>
      <c r="N1321" s="34" t="inlineStr">
        <is>
          <t>Rev 0</t>
        </is>
      </c>
      <c r="O1321" s="34" t="inlineStr">
        <is>
          <t>R1486-v1</t>
        </is>
      </c>
      <c r="P1321" s="39" t="inlineStr"/>
      <c r="Q1321" s="14" t="inlineStr"/>
      <c r="R1321" s="39" t="inlineStr"/>
      <c r="S1321" s="39" t="inlineStr"/>
      <c r="T1321" s="39" t="inlineStr"/>
      <c r="U1321" s="39" t="inlineStr"/>
      <c r="V1321" s="34" t="inlineStr">
        <is>
          <t>Cost Account = CA-6004; WBS Code = 1.6.2</t>
        </is>
      </c>
      <c r="W1321" s="14" t="inlineStr"/>
    </row>
    <row r="1322" ht="64" customHeight="1">
      <c r="A1322" s="34" t="inlineStr">
        <is>
          <t>1.6.2</t>
        </is>
      </c>
      <c r="B1322" s="34" t="inlineStr">
        <is>
          <t>Program Management - Commercial &amp; Procurement</t>
        </is>
      </c>
      <c r="C1322" s="34" t="inlineStr">
        <is>
          <t>Cost &amp; Forecast Control Accounts</t>
        </is>
      </c>
      <c r="D1322" s="34" t="inlineStr">
        <is>
          <t>CST-06-006</t>
        </is>
      </c>
      <c r="E1322" s="34" t="inlineStr">
        <is>
          <t>Program Management - program controls - professional services</t>
        </is>
      </c>
      <c r="F1322" s="34" t="inlineStr">
        <is>
          <t>ONE_TO_ONE</t>
        </is>
      </c>
      <c r="G1322" s="34" t="inlineStr">
        <is>
          <t>APPROVED</t>
        </is>
      </c>
      <c r="H1322" s="34" t="inlineStr">
        <is>
          <t>New</t>
        </is>
      </c>
      <c r="I1322" s="34" t="inlineStr">
        <is>
          <t>Source assignment -- not individually reviewed</t>
        </is>
      </c>
      <c r="J1322" s="39" t="inlineStr"/>
      <c r="K1322" s="34" t="inlineStr">
        <is>
          <t>Source assignment</t>
        </is>
      </c>
      <c r="L1322" s="39" t="inlineStr"/>
      <c r="M1322" s="34" t="inlineStr">
        <is>
          <t>Initial</t>
        </is>
      </c>
      <c r="N1322" s="34" t="inlineStr">
        <is>
          <t>Rev 0</t>
        </is>
      </c>
      <c r="O1322" s="34" t="inlineStr">
        <is>
          <t>R1488-v1</t>
        </is>
      </c>
      <c r="P1322" s="39" t="inlineStr"/>
      <c r="Q1322" s="14" t="inlineStr"/>
      <c r="R1322" s="39" t="inlineStr"/>
      <c r="S1322" s="39" t="inlineStr"/>
      <c r="T1322" s="39" t="inlineStr"/>
      <c r="U1322" s="39" t="inlineStr"/>
      <c r="V1322" s="34" t="inlineStr">
        <is>
          <t>Cost Account = CA-6006; WBS Code = 1.6.2</t>
        </is>
      </c>
      <c r="W1322" s="14" t="inlineStr"/>
    </row>
    <row r="1323" ht="64" customHeight="1">
      <c r="A1323" s="34" t="inlineStr">
        <is>
          <t>1.6.2</t>
        </is>
      </c>
      <c r="B1323" s="34" t="inlineStr">
        <is>
          <t>Program Management - Commercial &amp; Procurement</t>
        </is>
      </c>
      <c r="C1323" s="34" t="inlineStr">
        <is>
          <t>Cost &amp; Forecast Control Accounts</t>
        </is>
      </c>
      <c r="D1323" s="34" t="inlineStr">
        <is>
          <t>CST-06-008</t>
        </is>
      </c>
      <c r="E1323" s="34" t="inlineStr">
        <is>
          <t>Program Management - stakeholder services - closeout</t>
        </is>
      </c>
      <c r="F1323" s="34" t="inlineStr">
        <is>
          <t>ONE_TO_ONE</t>
        </is>
      </c>
      <c r="G1323" s="34" t="inlineStr">
        <is>
          <t>APPROVED</t>
        </is>
      </c>
      <c r="H1323" s="34" t="inlineStr">
        <is>
          <t>New</t>
        </is>
      </c>
      <c r="I1323" s="34" t="inlineStr">
        <is>
          <t>Source assignment -- not individually reviewed</t>
        </is>
      </c>
      <c r="J1323" s="39" t="inlineStr"/>
      <c r="K1323" s="34" t="inlineStr">
        <is>
          <t>Source assignment</t>
        </is>
      </c>
      <c r="L1323" s="39" t="inlineStr"/>
      <c r="M1323" s="34" t="inlineStr">
        <is>
          <t>Initial</t>
        </is>
      </c>
      <c r="N1323" s="34" t="inlineStr">
        <is>
          <t>Rev 0</t>
        </is>
      </c>
      <c r="O1323" s="34" t="inlineStr">
        <is>
          <t>R1490-v1</t>
        </is>
      </c>
      <c r="P1323" s="39" t="inlineStr"/>
      <c r="Q1323" s="14" t="inlineStr"/>
      <c r="R1323" s="39" t="inlineStr"/>
      <c r="S1323" s="39" t="inlineStr"/>
      <c r="T1323" s="39" t="inlineStr"/>
      <c r="U1323" s="39" t="inlineStr"/>
      <c r="V1323" s="34" t="inlineStr">
        <is>
          <t>Cost Account = CA-6008; WBS Code = 1.6.2</t>
        </is>
      </c>
      <c r="W1323" s="14" t="inlineStr"/>
    </row>
    <row r="1324" ht="64" customHeight="1">
      <c r="A1324" s="34" t="inlineStr">
        <is>
          <t>1.6.2</t>
        </is>
      </c>
      <c r="B1324" s="34" t="inlineStr">
        <is>
          <t>Program Management - Commercial &amp; Procurement</t>
        </is>
      </c>
      <c r="C1324" s="34" t="inlineStr">
        <is>
          <t>Cost &amp; Forecast Control Accounts</t>
        </is>
      </c>
      <c r="D1324" s="34" t="inlineStr">
        <is>
          <t>CST-06-010</t>
        </is>
      </c>
      <c r="E1324" s="34" t="inlineStr">
        <is>
          <t>Program Management - design integration - supply and install</t>
        </is>
      </c>
      <c r="F1324" s="34" t="inlineStr">
        <is>
          <t>ONE_TO_ONE</t>
        </is>
      </c>
      <c r="G1324" s="34" t="inlineStr">
        <is>
          <t>APPROVED</t>
        </is>
      </c>
      <c r="H1324" s="34" t="inlineStr">
        <is>
          <t>New</t>
        </is>
      </c>
      <c r="I1324" s="34" t="inlineStr">
        <is>
          <t>Source assignment -- not individually reviewed</t>
        </is>
      </c>
      <c r="J1324" s="39" t="inlineStr"/>
      <c r="K1324" s="34" t="inlineStr">
        <is>
          <t>Source assignment</t>
        </is>
      </c>
      <c r="L1324" s="39" t="inlineStr"/>
      <c r="M1324" s="34" t="inlineStr">
        <is>
          <t>Initial</t>
        </is>
      </c>
      <c r="N1324" s="34" t="inlineStr">
        <is>
          <t>Rev 0</t>
        </is>
      </c>
      <c r="O1324" s="34" t="inlineStr">
        <is>
          <t>R1492-v1</t>
        </is>
      </c>
      <c r="P1324" s="39" t="inlineStr"/>
      <c r="Q1324" s="14" t="inlineStr"/>
      <c r="R1324" s="39" t="inlineStr"/>
      <c r="S1324" s="39" t="inlineStr"/>
      <c r="T1324" s="39" t="inlineStr"/>
      <c r="U1324" s="39" t="inlineStr"/>
      <c r="V1324" s="34" t="inlineStr">
        <is>
          <t>Cost Account = CA-6010; WBS Code = 1.6.2</t>
        </is>
      </c>
      <c r="W1324" s="14" t="inlineStr"/>
    </row>
    <row r="1325" ht="64" customHeight="1">
      <c r="A1325" s="34" t="inlineStr">
        <is>
          <t>1.6.2</t>
        </is>
      </c>
      <c r="B1325" s="34" t="inlineStr">
        <is>
          <t>Program Management - Commercial &amp; Procurement</t>
        </is>
      </c>
      <c r="C1325" s="34" t="inlineStr">
        <is>
          <t>Cost &amp; Forecast Control Accounts</t>
        </is>
      </c>
      <c r="D1325" s="34" t="inlineStr">
        <is>
          <t>CST-06-012</t>
        </is>
      </c>
      <c r="E1325" s="34" t="inlineStr">
        <is>
          <t>Program Management - program controls - allowance</t>
        </is>
      </c>
      <c r="F1325" s="34" t="inlineStr">
        <is>
          <t>ONE_TO_ONE</t>
        </is>
      </c>
      <c r="G1325" s="34" t="inlineStr">
        <is>
          <t>APPROVED</t>
        </is>
      </c>
      <c r="H1325" s="34" t="inlineStr">
        <is>
          <t>New</t>
        </is>
      </c>
      <c r="I1325" s="34" t="inlineStr">
        <is>
          <t>Source assignment -- not individually reviewed</t>
        </is>
      </c>
      <c r="J1325" s="39" t="inlineStr"/>
      <c r="K1325" s="34" t="inlineStr">
        <is>
          <t>Source assignment</t>
        </is>
      </c>
      <c r="L1325" s="39" t="inlineStr"/>
      <c r="M1325" s="34" t="inlineStr">
        <is>
          <t>Initial</t>
        </is>
      </c>
      <c r="N1325" s="34" t="inlineStr">
        <is>
          <t>Rev 0</t>
        </is>
      </c>
      <c r="O1325" s="34" t="inlineStr">
        <is>
          <t>R1494-v1</t>
        </is>
      </c>
      <c r="P1325" s="39" t="inlineStr"/>
      <c r="Q1325" s="14" t="inlineStr"/>
      <c r="R1325" s="39" t="inlineStr"/>
      <c r="S1325" s="39" t="inlineStr"/>
      <c r="T1325" s="39" t="inlineStr"/>
      <c r="U1325" s="39" t="inlineStr"/>
      <c r="V1325" s="34" t="inlineStr">
        <is>
          <t>Cost Account = CA-6012; WBS Code = 1.6.2</t>
        </is>
      </c>
      <c r="W1325" s="14" t="inlineStr"/>
    </row>
    <row r="1326" ht="64" customHeight="1">
      <c r="A1326" s="34" t="inlineStr">
        <is>
          <t>1.6.2</t>
        </is>
      </c>
      <c r="B1326" s="34" t="inlineStr">
        <is>
          <t>Program Management - Commercial &amp; Procurement</t>
        </is>
      </c>
      <c r="C1326" s="34" t="inlineStr">
        <is>
          <t>Cost &amp; Forecast Control Accounts</t>
        </is>
      </c>
      <c r="D1326" s="34" t="inlineStr">
        <is>
          <t>CST-06-014</t>
        </is>
      </c>
      <c r="E1326" s="34" t="inlineStr">
        <is>
          <t>Program Management - stakeholder services - field package</t>
        </is>
      </c>
      <c r="F1326" s="34" t="inlineStr">
        <is>
          <t>ONE_TO_ONE</t>
        </is>
      </c>
      <c r="G1326" s="34" t="inlineStr">
        <is>
          <t>APPROVED</t>
        </is>
      </c>
      <c r="H1326" s="34" t="inlineStr">
        <is>
          <t>New</t>
        </is>
      </c>
      <c r="I1326" s="34" t="inlineStr">
        <is>
          <t>Source assignment -- not individually reviewed</t>
        </is>
      </c>
      <c r="J1326" s="39" t="inlineStr"/>
      <c r="K1326" s="34" t="inlineStr">
        <is>
          <t>Source assignment</t>
        </is>
      </c>
      <c r="L1326" s="39" t="inlineStr"/>
      <c r="M1326" s="34" t="inlineStr">
        <is>
          <t>Initial</t>
        </is>
      </c>
      <c r="N1326" s="34" t="inlineStr">
        <is>
          <t>Rev 0</t>
        </is>
      </c>
      <c r="O1326" s="34" t="inlineStr">
        <is>
          <t>R1496-v1</t>
        </is>
      </c>
      <c r="P1326" s="39" t="inlineStr"/>
      <c r="Q1326" s="14" t="inlineStr"/>
      <c r="R1326" s="39" t="inlineStr"/>
      <c r="S1326" s="39" t="inlineStr"/>
      <c r="T1326" s="39" t="inlineStr"/>
      <c r="U1326" s="39" t="inlineStr"/>
      <c r="V1326" s="34" t="inlineStr">
        <is>
          <t>Cost Account = CA-6014; WBS Code = 1.6.2</t>
        </is>
      </c>
      <c r="W1326" s="14" t="inlineStr"/>
    </row>
    <row r="1327" ht="64" customHeight="1">
      <c r="A1327" s="34" t="inlineStr">
        <is>
          <t>1.6.2</t>
        </is>
      </c>
      <c r="B1327" s="34" t="inlineStr">
        <is>
          <t>Program Management - Commercial &amp; Procurement</t>
        </is>
      </c>
      <c r="C1327" s="34" t="inlineStr">
        <is>
          <t>Cost &amp; Forecast Control Accounts</t>
        </is>
      </c>
      <c r="D1327" s="34" t="inlineStr">
        <is>
          <t>CST-06-016</t>
        </is>
      </c>
      <c r="E1327" s="34" t="inlineStr">
        <is>
          <t>Program Management - design integration - professional services</t>
        </is>
      </c>
      <c r="F1327" s="34" t="inlineStr">
        <is>
          <t>ONE_TO_ONE</t>
        </is>
      </c>
      <c r="G1327" s="34" t="inlineStr">
        <is>
          <t>APPROVED</t>
        </is>
      </c>
      <c r="H1327" s="34" t="inlineStr">
        <is>
          <t>New</t>
        </is>
      </c>
      <c r="I1327" s="34" t="inlineStr">
        <is>
          <t>Source assignment -- not individually reviewed</t>
        </is>
      </c>
      <c r="J1327" s="39" t="inlineStr"/>
      <c r="K1327" s="34" t="inlineStr">
        <is>
          <t>Source assignment</t>
        </is>
      </c>
      <c r="L1327" s="39" t="inlineStr"/>
      <c r="M1327" s="34" t="inlineStr">
        <is>
          <t>Initial</t>
        </is>
      </c>
      <c r="N1327" s="34" t="inlineStr">
        <is>
          <t>Rev 0</t>
        </is>
      </c>
      <c r="O1327" s="34" t="inlineStr">
        <is>
          <t>R1498-v1</t>
        </is>
      </c>
      <c r="P1327" s="39" t="inlineStr"/>
      <c r="Q1327" s="14" t="inlineStr"/>
      <c r="R1327" s="39" t="inlineStr"/>
      <c r="S1327" s="39" t="inlineStr"/>
      <c r="T1327" s="39" t="inlineStr"/>
      <c r="U1327" s="39" t="inlineStr"/>
      <c r="V1327" s="34" t="inlineStr">
        <is>
          <t>Cost Account = CA-6016; WBS Code = 1.6.2</t>
        </is>
      </c>
      <c r="W1327" s="14" t="inlineStr"/>
    </row>
    <row r="1328" ht="64" customHeight="1">
      <c r="A1328" s="34" t="inlineStr">
        <is>
          <t>1.6.2</t>
        </is>
      </c>
      <c r="B1328" s="34" t="inlineStr">
        <is>
          <t>Program Management - Commercial &amp; Procurement</t>
        </is>
      </c>
      <c r="C1328" s="34" t="inlineStr">
        <is>
          <t>Cost &amp; Forecast Control Accounts</t>
        </is>
      </c>
      <c r="D1328" s="34" t="inlineStr">
        <is>
          <t>CST-06-018</t>
        </is>
      </c>
      <c r="E1328" s="34" t="inlineStr">
        <is>
          <t>Program Management - program controls - closeout</t>
        </is>
      </c>
      <c r="F1328" s="34" t="inlineStr">
        <is>
          <t>ONE_TO_ONE</t>
        </is>
      </c>
      <c r="G1328" s="34" t="inlineStr">
        <is>
          <t>APPROVED</t>
        </is>
      </c>
      <c r="H1328" s="34" t="inlineStr">
        <is>
          <t>New</t>
        </is>
      </c>
      <c r="I1328" s="34" t="inlineStr">
        <is>
          <t>Source assignment -- not individually reviewed</t>
        </is>
      </c>
      <c r="J1328" s="39" t="inlineStr"/>
      <c r="K1328" s="34" t="inlineStr">
        <is>
          <t>Source assignment</t>
        </is>
      </c>
      <c r="L1328" s="39" t="inlineStr"/>
      <c r="M1328" s="34" t="inlineStr">
        <is>
          <t>Initial</t>
        </is>
      </c>
      <c r="N1328" s="34" t="inlineStr">
        <is>
          <t>Rev 0</t>
        </is>
      </c>
      <c r="O1328" s="34" t="inlineStr">
        <is>
          <t>R1500-v1</t>
        </is>
      </c>
      <c r="P1328" s="39" t="inlineStr"/>
      <c r="Q1328" s="14" t="inlineStr"/>
      <c r="R1328" s="39" t="inlineStr"/>
      <c r="S1328" s="39" t="inlineStr"/>
      <c r="T1328" s="39" t="inlineStr"/>
      <c r="U1328" s="39" t="inlineStr"/>
      <c r="V1328" s="34" t="inlineStr">
        <is>
          <t>Cost Account = CA-6018; WBS Code = 1.6.2</t>
        </is>
      </c>
      <c r="W1328" s="14" t="inlineStr"/>
    </row>
    <row r="1329" ht="64" customHeight="1">
      <c r="A1329" s="34" t="inlineStr">
        <is>
          <t>1.6.2</t>
        </is>
      </c>
      <c r="B1329" s="34" t="inlineStr">
        <is>
          <t>Program Management - Commercial &amp; Procurement</t>
        </is>
      </c>
      <c r="C1329" s="34" t="inlineStr">
        <is>
          <t>Cost &amp; Forecast Control Accounts</t>
        </is>
      </c>
      <c r="D1329" s="34" t="inlineStr">
        <is>
          <t>CST-06-020</t>
        </is>
      </c>
      <c r="E1329" s="34" t="inlineStr">
        <is>
          <t>Program Management - stakeholder services - supply and install</t>
        </is>
      </c>
      <c r="F1329" s="34" t="inlineStr">
        <is>
          <t>ONE_TO_ONE</t>
        </is>
      </c>
      <c r="G1329" s="34" t="inlineStr">
        <is>
          <t>APPROVED</t>
        </is>
      </c>
      <c r="H1329" s="34" t="inlineStr">
        <is>
          <t>New</t>
        </is>
      </c>
      <c r="I1329" s="34" t="inlineStr">
        <is>
          <t>Source assignment -- not individually reviewed</t>
        </is>
      </c>
      <c r="J1329" s="39" t="inlineStr"/>
      <c r="K1329" s="34" t="inlineStr">
        <is>
          <t>Source assignment</t>
        </is>
      </c>
      <c r="L1329" s="39" t="inlineStr"/>
      <c r="M1329" s="34" t="inlineStr">
        <is>
          <t>Initial</t>
        </is>
      </c>
      <c r="N1329" s="34" t="inlineStr">
        <is>
          <t>Rev 0</t>
        </is>
      </c>
      <c r="O1329" s="34" t="inlineStr">
        <is>
          <t>R1502-v1</t>
        </is>
      </c>
      <c r="P1329" s="39" t="inlineStr"/>
      <c r="Q1329" s="14" t="inlineStr"/>
      <c r="R1329" s="39" t="inlineStr"/>
      <c r="S1329" s="39" t="inlineStr"/>
      <c r="T1329" s="39" t="inlineStr"/>
      <c r="U1329" s="39" t="inlineStr"/>
      <c r="V1329" s="34" t="inlineStr">
        <is>
          <t>Cost Account = CA-6020; WBS Code = 1.6.2</t>
        </is>
      </c>
      <c r="W1329" s="14" t="inlineStr"/>
    </row>
    <row r="1330" ht="64" customHeight="1">
      <c r="A1330" s="34" t="inlineStr">
        <is>
          <t>1.6.2</t>
        </is>
      </c>
      <c r="B1330" s="34" t="inlineStr">
        <is>
          <t>Program Management - Commercial &amp; Procurement</t>
        </is>
      </c>
      <c r="C1330" s="34" t="inlineStr">
        <is>
          <t>Cost &amp; Forecast Control Accounts</t>
        </is>
      </c>
      <c r="D1330" s="34" t="inlineStr">
        <is>
          <t>CST-06-022</t>
        </is>
      </c>
      <c r="E1330" s="34" t="inlineStr">
        <is>
          <t>Program Management - design integration - allowance</t>
        </is>
      </c>
      <c r="F1330" s="34" t="inlineStr">
        <is>
          <t>ONE_TO_ONE</t>
        </is>
      </c>
      <c r="G1330" s="34" t="inlineStr">
        <is>
          <t>APPROVED</t>
        </is>
      </c>
      <c r="H1330" s="34" t="inlineStr">
        <is>
          <t>New</t>
        </is>
      </c>
      <c r="I1330" s="34" t="inlineStr">
        <is>
          <t>Source assignment -- not individually reviewed</t>
        </is>
      </c>
      <c r="J1330" s="39" t="inlineStr"/>
      <c r="K1330" s="34" t="inlineStr">
        <is>
          <t>Source assignment</t>
        </is>
      </c>
      <c r="L1330" s="39" t="inlineStr"/>
      <c r="M1330" s="34" t="inlineStr">
        <is>
          <t>Initial</t>
        </is>
      </c>
      <c r="N1330" s="34" t="inlineStr">
        <is>
          <t>Rev 0</t>
        </is>
      </c>
      <c r="O1330" s="34" t="inlineStr">
        <is>
          <t>R1504-v1</t>
        </is>
      </c>
      <c r="P1330" s="39" t="inlineStr"/>
      <c r="Q1330" s="14" t="inlineStr"/>
      <c r="R1330" s="39" t="inlineStr"/>
      <c r="S1330" s="39" t="inlineStr"/>
      <c r="T1330" s="39" t="inlineStr"/>
      <c r="U1330" s="39" t="inlineStr"/>
      <c r="V1330" s="34" t="inlineStr">
        <is>
          <t>Cost Account = CA-6022; WBS Code = 1.6.2</t>
        </is>
      </c>
      <c r="W1330" s="14" t="inlineStr"/>
    </row>
    <row r="1331" ht="64" customHeight="1">
      <c r="A1331" s="34" t="inlineStr">
        <is>
          <t>1.6.2</t>
        </is>
      </c>
      <c r="B1331" s="34" t="inlineStr">
        <is>
          <t>Program Management - Commercial &amp; Procurement</t>
        </is>
      </c>
      <c r="C1331" s="34" t="inlineStr">
        <is>
          <t>Cost &amp; Forecast Control Accounts</t>
        </is>
      </c>
      <c r="D1331" s="34" t="inlineStr">
        <is>
          <t>CST-06-024</t>
        </is>
      </c>
      <c r="E1331" s="34" t="inlineStr">
        <is>
          <t>Program Management - program controls - field package</t>
        </is>
      </c>
      <c r="F1331" s="34" t="inlineStr">
        <is>
          <t>ONE_TO_ONE</t>
        </is>
      </c>
      <c r="G1331" s="34" t="inlineStr">
        <is>
          <t>APPROVED</t>
        </is>
      </c>
      <c r="H1331" s="34" t="inlineStr">
        <is>
          <t>New</t>
        </is>
      </c>
      <c r="I1331" s="34" t="inlineStr">
        <is>
          <t>Source assignment -- not individually reviewed</t>
        </is>
      </c>
      <c r="J1331" s="39" t="inlineStr"/>
      <c r="K1331" s="34" t="inlineStr">
        <is>
          <t>Source assignment</t>
        </is>
      </c>
      <c r="L1331" s="39" t="inlineStr"/>
      <c r="M1331" s="34" t="inlineStr">
        <is>
          <t>Initial</t>
        </is>
      </c>
      <c r="N1331" s="34" t="inlineStr">
        <is>
          <t>Rev 0</t>
        </is>
      </c>
      <c r="O1331" s="34" t="inlineStr">
        <is>
          <t>R1506-v1</t>
        </is>
      </c>
      <c r="P1331" s="39" t="inlineStr"/>
      <c r="Q1331" s="14" t="inlineStr"/>
      <c r="R1331" s="39" t="inlineStr"/>
      <c r="S1331" s="39" t="inlineStr"/>
      <c r="T1331" s="39" t="inlineStr"/>
      <c r="U1331" s="39" t="inlineStr"/>
      <c r="V1331" s="34" t="inlineStr">
        <is>
          <t>Cost Account = CA-6024; WBS Code = 1.6.2</t>
        </is>
      </c>
      <c r="W1331" s="14" t="inlineStr"/>
    </row>
    <row r="1332" ht="64" customHeight="1">
      <c r="A1332" s="34" t="inlineStr">
        <is>
          <t>1.6.2</t>
        </is>
      </c>
      <c r="B1332" s="34" t="inlineStr">
        <is>
          <t>Program Management - Commercial &amp; Procurement</t>
        </is>
      </c>
      <c r="C1332" s="34" t="inlineStr">
        <is>
          <t>Cost &amp; Forecast Control Accounts</t>
        </is>
      </c>
      <c r="D1332" s="34" t="inlineStr">
        <is>
          <t>CST-06-026</t>
        </is>
      </c>
      <c r="E1332" s="34" t="inlineStr">
        <is>
          <t>Program Management - stakeholder services - professional services</t>
        </is>
      </c>
      <c r="F1332" s="34" t="inlineStr">
        <is>
          <t>ONE_TO_ONE</t>
        </is>
      </c>
      <c r="G1332" s="34" t="inlineStr">
        <is>
          <t>APPROVED</t>
        </is>
      </c>
      <c r="H1332" s="34" t="inlineStr">
        <is>
          <t>New</t>
        </is>
      </c>
      <c r="I1332" s="34" t="inlineStr">
        <is>
          <t>Source assignment -- not individually reviewed</t>
        </is>
      </c>
      <c r="J1332" s="39" t="inlineStr"/>
      <c r="K1332" s="34" t="inlineStr">
        <is>
          <t>Source assignment</t>
        </is>
      </c>
      <c r="L1332" s="39" t="inlineStr"/>
      <c r="M1332" s="34" t="inlineStr">
        <is>
          <t>Initial</t>
        </is>
      </c>
      <c r="N1332" s="34" t="inlineStr">
        <is>
          <t>Rev 0</t>
        </is>
      </c>
      <c r="O1332" s="34" t="inlineStr">
        <is>
          <t>R1508-v1</t>
        </is>
      </c>
      <c r="P1332" s="39" t="inlineStr"/>
      <c r="Q1332" s="14" t="inlineStr"/>
      <c r="R1332" s="39" t="inlineStr"/>
      <c r="S1332" s="39" t="inlineStr"/>
      <c r="T1332" s="39" t="inlineStr"/>
      <c r="U1332" s="39" t="inlineStr"/>
      <c r="V1332" s="34" t="inlineStr">
        <is>
          <t>Cost Account = CA-6026; WBS Code = 1.6.2</t>
        </is>
      </c>
      <c r="W1332" s="14" t="inlineStr"/>
    </row>
    <row r="1333" ht="64" customHeight="1">
      <c r="A1333" s="34" t="inlineStr">
        <is>
          <t>1.6.2</t>
        </is>
      </c>
      <c r="B1333" s="34" t="inlineStr">
        <is>
          <t>Program Management - Commercial &amp; Procurement</t>
        </is>
      </c>
      <c r="C1333" s="34" t="inlineStr">
        <is>
          <t>Cost &amp; Forecast Control Accounts</t>
        </is>
      </c>
      <c r="D1333" s="34" t="inlineStr">
        <is>
          <t>CST-06-028</t>
        </is>
      </c>
      <c r="E1333" s="34" t="inlineStr">
        <is>
          <t>Program Management - design integration - closeout</t>
        </is>
      </c>
      <c r="F1333" s="34" t="inlineStr">
        <is>
          <t>ONE_TO_ONE</t>
        </is>
      </c>
      <c r="G1333" s="34" t="inlineStr">
        <is>
          <t>APPROVED</t>
        </is>
      </c>
      <c r="H1333" s="34" t="inlineStr">
        <is>
          <t>New</t>
        </is>
      </c>
      <c r="I1333" s="34" t="inlineStr">
        <is>
          <t>Source assignment -- not individually reviewed</t>
        </is>
      </c>
      <c r="J1333" s="39" t="inlineStr"/>
      <c r="K1333" s="34" t="inlineStr">
        <is>
          <t>Source assignment</t>
        </is>
      </c>
      <c r="L1333" s="39" t="inlineStr"/>
      <c r="M1333" s="34" t="inlineStr">
        <is>
          <t>Initial</t>
        </is>
      </c>
      <c r="N1333" s="34" t="inlineStr">
        <is>
          <t>Rev 0</t>
        </is>
      </c>
      <c r="O1333" s="34" t="inlineStr">
        <is>
          <t>R1510-v1</t>
        </is>
      </c>
      <c r="P1333" s="39" t="inlineStr"/>
      <c r="Q1333" s="14" t="inlineStr"/>
      <c r="R1333" s="39" t="inlineStr"/>
      <c r="S1333" s="39" t="inlineStr"/>
      <c r="T1333" s="39" t="inlineStr"/>
      <c r="U1333" s="39" t="inlineStr"/>
      <c r="V1333" s="34" t="inlineStr">
        <is>
          <t>Cost Account = CA-6028; WBS Code = 1.6.2</t>
        </is>
      </c>
      <c r="W1333" s="14" t="inlineStr"/>
    </row>
    <row r="1334" ht="64" customHeight="1">
      <c r="A1334" s="34" t="inlineStr">
        <is>
          <t>1.6.2</t>
        </is>
      </c>
      <c r="B1334" s="34" t="inlineStr">
        <is>
          <t>Program Management - Commercial &amp; Procurement</t>
        </is>
      </c>
      <c r="C1334" s="34" t="inlineStr">
        <is>
          <t>Cost &amp; Forecast Control Accounts</t>
        </is>
      </c>
      <c r="D1334" s="34" t="inlineStr">
        <is>
          <t>CST-06-030</t>
        </is>
      </c>
      <c r="E1334" s="34" t="inlineStr">
        <is>
          <t>Program Management - program controls - supply and install</t>
        </is>
      </c>
      <c r="F1334" s="34" t="inlineStr">
        <is>
          <t>ONE_TO_ONE</t>
        </is>
      </c>
      <c r="G1334" s="34" t="inlineStr">
        <is>
          <t>APPROVED</t>
        </is>
      </c>
      <c r="H1334" s="34" t="inlineStr">
        <is>
          <t>New</t>
        </is>
      </c>
      <c r="I1334" s="34" t="inlineStr">
        <is>
          <t>Source assignment -- not individually reviewed</t>
        </is>
      </c>
      <c r="J1334" s="39" t="inlineStr"/>
      <c r="K1334" s="34" t="inlineStr">
        <is>
          <t>Source assignment</t>
        </is>
      </c>
      <c r="L1334" s="39" t="inlineStr"/>
      <c r="M1334" s="34" t="inlineStr">
        <is>
          <t>Initial</t>
        </is>
      </c>
      <c r="N1334" s="34" t="inlineStr">
        <is>
          <t>Rev 0</t>
        </is>
      </c>
      <c r="O1334" s="34" t="inlineStr">
        <is>
          <t>R1512-v1</t>
        </is>
      </c>
      <c r="P1334" s="39" t="inlineStr"/>
      <c r="Q1334" s="14" t="inlineStr"/>
      <c r="R1334" s="39" t="inlineStr"/>
      <c r="S1334" s="39" t="inlineStr"/>
      <c r="T1334" s="39" t="inlineStr"/>
      <c r="U1334" s="39" t="inlineStr"/>
      <c r="V1334" s="34" t="inlineStr">
        <is>
          <t>Cost Account = CA-6030; WBS Code = 1.6.2</t>
        </is>
      </c>
      <c r="W1334" s="14" t="inlineStr"/>
    </row>
    <row r="1335" ht="64" customHeight="1">
      <c r="A1335" s="34" t="inlineStr">
        <is>
          <t>1.6.2</t>
        </is>
      </c>
      <c r="B1335" s="34" t="inlineStr">
        <is>
          <t>Program Management - Commercial &amp; Procurement</t>
        </is>
      </c>
      <c r="C1335" s="34" t="inlineStr">
        <is>
          <t>Cost &amp; Forecast Control Accounts</t>
        </is>
      </c>
      <c r="D1335" s="34" t="inlineStr">
        <is>
          <t>CST-06-032</t>
        </is>
      </c>
      <c r="E1335" s="34" t="inlineStr">
        <is>
          <t>Program Management - stakeholder services - allowance</t>
        </is>
      </c>
      <c r="F1335" s="34" t="inlineStr">
        <is>
          <t>ONE_TO_ONE</t>
        </is>
      </c>
      <c r="G1335" s="34" t="inlineStr">
        <is>
          <t>APPROVED</t>
        </is>
      </c>
      <c r="H1335" s="34" t="inlineStr">
        <is>
          <t>New</t>
        </is>
      </c>
      <c r="I1335" s="34" t="inlineStr">
        <is>
          <t>Source assignment -- not individually reviewed</t>
        </is>
      </c>
      <c r="J1335" s="39" t="inlineStr"/>
      <c r="K1335" s="34" t="inlineStr">
        <is>
          <t>Source assignment</t>
        </is>
      </c>
      <c r="L1335" s="39" t="inlineStr"/>
      <c r="M1335" s="34" t="inlineStr">
        <is>
          <t>Initial</t>
        </is>
      </c>
      <c r="N1335" s="34" t="inlineStr">
        <is>
          <t>Rev 0</t>
        </is>
      </c>
      <c r="O1335" s="34" t="inlineStr">
        <is>
          <t>R1514-v1</t>
        </is>
      </c>
      <c r="P1335" s="39" t="inlineStr"/>
      <c r="Q1335" s="14" t="inlineStr"/>
      <c r="R1335" s="39" t="inlineStr"/>
      <c r="S1335" s="39" t="inlineStr"/>
      <c r="T1335" s="39" t="inlineStr"/>
      <c r="U1335" s="39" t="inlineStr"/>
      <c r="V1335" s="34" t="inlineStr">
        <is>
          <t>Cost Account = CA-6032; WBS Code = 1.6.2</t>
        </is>
      </c>
      <c r="W1335" s="14" t="inlineStr"/>
    </row>
    <row r="1336" ht="64" customHeight="1">
      <c r="A1336" s="34" t="inlineStr">
        <is>
          <t>1.6.2</t>
        </is>
      </c>
      <c r="B1336" s="34" t="inlineStr">
        <is>
          <t>Program Management - Commercial &amp; Procurement</t>
        </is>
      </c>
      <c r="C1336" s="34" t="inlineStr">
        <is>
          <t>Cost &amp; Forecast Control Accounts</t>
        </is>
      </c>
      <c r="D1336" s="34" t="inlineStr">
        <is>
          <t>CST-06-034</t>
        </is>
      </c>
      <c r="E1336" s="34" t="inlineStr">
        <is>
          <t>Program Management - design integration - field package</t>
        </is>
      </c>
      <c r="F1336" s="34" t="inlineStr">
        <is>
          <t>ONE_TO_ONE</t>
        </is>
      </c>
      <c r="G1336" s="34" t="inlineStr">
        <is>
          <t>APPROVED</t>
        </is>
      </c>
      <c r="H1336" s="34" t="inlineStr">
        <is>
          <t>New</t>
        </is>
      </c>
      <c r="I1336" s="34" t="inlineStr">
        <is>
          <t>Source assignment -- not individually reviewed</t>
        </is>
      </c>
      <c r="J1336" s="39" t="inlineStr"/>
      <c r="K1336" s="34" t="inlineStr">
        <is>
          <t>Source assignment</t>
        </is>
      </c>
      <c r="L1336" s="39" t="inlineStr"/>
      <c r="M1336" s="34" t="inlineStr">
        <is>
          <t>Initial</t>
        </is>
      </c>
      <c r="N1336" s="34" t="inlineStr">
        <is>
          <t>Rev 0</t>
        </is>
      </c>
      <c r="O1336" s="34" t="inlineStr">
        <is>
          <t>R1516-v1</t>
        </is>
      </c>
      <c r="P1336" s="39" t="inlineStr"/>
      <c r="Q1336" s="14" t="inlineStr"/>
      <c r="R1336" s="39" t="inlineStr"/>
      <c r="S1336" s="39" t="inlineStr"/>
      <c r="T1336" s="39" t="inlineStr"/>
      <c r="U1336" s="39" t="inlineStr"/>
      <c r="V1336" s="34" t="inlineStr">
        <is>
          <t>Cost Account = CA-6034; WBS Code = 1.6.2</t>
        </is>
      </c>
      <c r="W1336" s="14" t="inlineStr"/>
    </row>
    <row r="1337" ht="64" customHeight="1">
      <c r="A1337" s="34" t="inlineStr">
        <is>
          <t>1.6.2</t>
        </is>
      </c>
      <c r="B1337" s="34" t="inlineStr">
        <is>
          <t>Program Management - Commercial &amp; Procurement</t>
        </is>
      </c>
      <c r="C1337" s="34" t="inlineStr">
        <is>
          <t>Cost &amp; Forecast Control Accounts</t>
        </is>
      </c>
      <c r="D1337" s="34" t="inlineStr">
        <is>
          <t>CST-06-036</t>
        </is>
      </c>
      <c r="E1337" s="34" t="inlineStr">
        <is>
          <t>Program Management - program controls - professional services</t>
        </is>
      </c>
      <c r="F1337" s="34" t="inlineStr">
        <is>
          <t>ONE_TO_ONE</t>
        </is>
      </c>
      <c r="G1337" s="34" t="inlineStr">
        <is>
          <t>APPROVED</t>
        </is>
      </c>
      <c r="H1337" s="34" t="inlineStr">
        <is>
          <t>New</t>
        </is>
      </c>
      <c r="I1337" s="34" t="inlineStr">
        <is>
          <t>Source assignment -- not individually reviewed</t>
        </is>
      </c>
      <c r="J1337" s="39" t="inlineStr"/>
      <c r="K1337" s="34" t="inlineStr">
        <is>
          <t>Source assignment</t>
        </is>
      </c>
      <c r="L1337" s="39" t="inlineStr"/>
      <c r="M1337" s="34" t="inlineStr">
        <is>
          <t>Initial</t>
        </is>
      </c>
      <c r="N1337" s="34" t="inlineStr">
        <is>
          <t>Rev 0</t>
        </is>
      </c>
      <c r="O1337" s="34" t="inlineStr">
        <is>
          <t>R1518-v1</t>
        </is>
      </c>
      <c r="P1337" s="39" t="inlineStr"/>
      <c r="Q1337" s="14" t="inlineStr"/>
      <c r="R1337" s="39" t="inlineStr"/>
      <c r="S1337" s="39" t="inlineStr"/>
      <c r="T1337" s="39" t="inlineStr"/>
      <c r="U1337" s="39" t="inlineStr"/>
      <c r="V1337" s="34" t="inlineStr">
        <is>
          <t>Cost Account = CA-6036; WBS Code = 1.6.2</t>
        </is>
      </c>
      <c r="W1337" s="14" t="inlineStr"/>
    </row>
    <row r="1338" ht="64" customHeight="1">
      <c r="A1338" s="34" t="inlineStr">
        <is>
          <t>1.6.2</t>
        </is>
      </c>
      <c r="B1338" s="34" t="inlineStr">
        <is>
          <t>Program Management - Commercial &amp; Procurement</t>
        </is>
      </c>
      <c r="C1338" s="34" t="inlineStr">
        <is>
          <t>Cost &amp; Forecast Control Accounts</t>
        </is>
      </c>
      <c r="D1338" s="34" t="inlineStr">
        <is>
          <t>CST-06-038</t>
        </is>
      </c>
      <c r="E1338" s="34" t="inlineStr">
        <is>
          <t>Program Management - stakeholder services - closeout</t>
        </is>
      </c>
      <c r="F1338" s="34" t="inlineStr">
        <is>
          <t>ONE_TO_ONE</t>
        </is>
      </c>
      <c r="G1338" s="34" t="inlineStr">
        <is>
          <t>APPROVED</t>
        </is>
      </c>
      <c r="H1338" s="34" t="inlineStr">
        <is>
          <t>New</t>
        </is>
      </c>
      <c r="I1338" s="34" t="inlineStr">
        <is>
          <t>Source assignment -- not individually reviewed</t>
        </is>
      </c>
      <c r="J1338" s="39" t="inlineStr"/>
      <c r="K1338" s="34" t="inlineStr">
        <is>
          <t>Source assignment</t>
        </is>
      </c>
      <c r="L1338" s="39" t="inlineStr"/>
      <c r="M1338" s="34" t="inlineStr">
        <is>
          <t>Initial</t>
        </is>
      </c>
      <c r="N1338" s="34" t="inlineStr">
        <is>
          <t>Rev 0</t>
        </is>
      </c>
      <c r="O1338" s="34" t="inlineStr">
        <is>
          <t>R1520-v1</t>
        </is>
      </c>
      <c r="P1338" s="39" t="inlineStr"/>
      <c r="Q1338" s="14" t="inlineStr"/>
      <c r="R1338" s="39" t="inlineStr"/>
      <c r="S1338" s="39" t="inlineStr"/>
      <c r="T1338" s="39" t="inlineStr"/>
      <c r="U1338" s="39" t="inlineStr"/>
      <c r="V1338" s="34" t="inlineStr">
        <is>
          <t>Cost Account = CA-6038; WBS Code = 1.6.2</t>
        </is>
      </c>
      <c r="W1338" s="14" t="inlineStr"/>
    </row>
    <row r="1339" ht="64" customHeight="1">
      <c r="A1339" s="34" t="inlineStr">
        <is>
          <t>1.6.2</t>
        </is>
      </c>
      <c r="B1339" s="34" t="inlineStr">
        <is>
          <t>Program Management - Commercial &amp; Procurement</t>
        </is>
      </c>
      <c r="C1339" s="34" t="inlineStr">
        <is>
          <t>Cost &amp; Forecast Control Accounts</t>
        </is>
      </c>
      <c r="D1339" s="34" t="inlineStr">
        <is>
          <t>CST-06-040</t>
        </is>
      </c>
      <c r="E1339" s="34" t="inlineStr">
        <is>
          <t>Program Management - design integration - supply and install</t>
        </is>
      </c>
      <c r="F1339" s="34" t="inlineStr">
        <is>
          <t>ONE_TO_ONE</t>
        </is>
      </c>
      <c r="G1339" s="34" t="inlineStr">
        <is>
          <t>APPROVED</t>
        </is>
      </c>
      <c r="H1339" s="34" t="inlineStr">
        <is>
          <t>New</t>
        </is>
      </c>
      <c r="I1339" s="34" t="inlineStr">
        <is>
          <t>Source assignment -- not individually reviewed</t>
        </is>
      </c>
      <c r="J1339" s="39" t="inlineStr"/>
      <c r="K1339" s="34" t="inlineStr">
        <is>
          <t>Source assignment</t>
        </is>
      </c>
      <c r="L1339" s="39" t="inlineStr"/>
      <c r="M1339" s="34" t="inlineStr">
        <is>
          <t>Initial</t>
        </is>
      </c>
      <c r="N1339" s="34" t="inlineStr">
        <is>
          <t>Rev 0</t>
        </is>
      </c>
      <c r="O1339" s="34" t="inlineStr">
        <is>
          <t>R1522-v1</t>
        </is>
      </c>
      <c r="P1339" s="39" t="inlineStr"/>
      <c r="Q1339" s="14" t="inlineStr"/>
      <c r="R1339" s="39" t="inlineStr"/>
      <c r="S1339" s="39" t="inlineStr"/>
      <c r="T1339" s="39" t="inlineStr"/>
      <c r="U1339" s="39" t="inlineStr"/>
      <c r="V1339" s="34" t="inlineStr">
        <is>
          <t>Cost Account = CA-6040; WBS Code = 1.6.2</t>
        </is>
      </c>
      <c r="W1339" s="14" t="inlineStr"/>
    </row>
    <row r="1340" ht="64" customHeight="1">
      <c r="A1340" s="34" t="inlineStr">
        <is>
          <t>1.6.2</t>
        </is>
      </c>
      <c r="B1340" s="34" t="inlineStr">
        <is>
          <t>Program Management - Commercial &amp; Procurement</t>
        </is>
      </c>
      <c r="C1340" s="34" t="inlineStr">
        <is>
          <t>Cost &amp; Forecast Control Accounts</t>
        </is>
      </c>
      <c r="D1340" s="34" t="inlineStr">
        <is>
          <t>CST-06-042</t>
        </is>
      </c>
      <c r="E1340" s="34" t="inlineStr">
        <is>
          <t>Program Management - program controls - allowance</t>
        </is>
      </c>
      <c r="F1340" s="34" t="inlineStr">
        <is>
          <t>ONE_TO_ONE</t>
        </is>
      </c>
      <c r="G1340" s="34" t="inlineStr">
        <is>
          <t>APPROVED</t>
        </is>
      </c>
      <c r="H1340" s="34" t="inlineStr">
        <is>
          <t>New</t>
        </is>
      </c>
      <c r="I1340" s="34" t="inlineStr">
        <is>
          <t>Source assignment -- not individually reviewed</t>
        </is>
      </c>
      <c r="J1340" s="39" t="inlineStr"/>
      <c r="K1340" s="34" t="inlineStr">
        <is>
          <t>Source assignment</t>
        </is>
      </c>
      <c r="L1340" s="39" t="inlineStr"/>
      <c r="M1340" s="34" t="inlineStr">
        <is>
          <t>Initial</t>
        </is>
      </c>
      <c r="N1340" s="34" t="inlineStr">
        <is>
          <t>Rev 0</t>
        </is>
      </c>
      <c r="O1340" s="34" t="inlineStr">
        <is>
          <t>R1524-v1</t>
        </is>
      </c>
      <c r="P1340" s="39" t="inlineStr"/>
      <c r="Q1340" s="14" t="inlineStr"/>
      <c r="R1340" s="39" t="inlineStr"/>
      <c r="S1340" s="39" t="inlineStr"/>
      <c r="T1340" s="39" t="inlineStr"/>
      <c r="U1340" s="39" t="inlineStr"/>
      <c r="V1340" s="34" t="inlineStr">
        <is>
          <t>Cost Account = CA-6042; WBS Code = 1.6.2</t>
        </is>
      </c>
      <c r="W1340" s="14" t="inlineStr"/>
    </row>
    <row r="1341" ht="64" customHeight="1">
      <c r="A1341" s="34" t="inlineStr">
        <is>
          <t>1.6.2</t>
        </is>
      </c>
      <c r="B1341" s="34" t="inlineStr">
        <is>
          <t>Program Management - Commercial &amp; Procurement</t>
        </is>
      </c>
      <c r="C1341" s="34" t="inlineStr">
        <is>
          <t>Cost &amp; Forecast Control Accounts</t>
        </is>
      </c>
      <c r="D1341" s="34" t="inlineStr">
        <is>
          <t>CST-06-044</t>
        </is>
      </c>
      <c r="E1341" s="34" t="inlineStr">
        <is>
          <t>Program Management - stakeholder services - field package</t>
        </is>
      </c>
      <c r="F1341" s="34" t="inlineStr">
        <is>
          <t>ONE_TO_ONE</t>
        </is>
      </c>
      <c r="G1341" s="34" t="inlineStr">
        <is>
          <t>APPROVED</t>
        </is>
      </c>
      <c r="H1341" s="34" t="inlineStr">
        <is>
          <t>New</t>
        </is>
      </c>
      <c r="I1341" s="34" t="inlineStr">
        <is>
          <t>Source assignment -- not individually reviewed</t>
        </is>
      </c>
      <c r="J1341" s="39" t="inlineStr"/>
      <c r="K1341" s="34" t="inlineStr">
        <is>
          <t>Source assignment</t>
        </is>
      </c>
      <c r="L1341" s="39" t="inlineStr"/>
      <c r="M1341" s="34" t="inlineStr">
        <is>
          <t>Initial</t>
        </is>
      </c>
      <c r="N1341" s="34" t="inlineStr">
        <is>
          <t>Rev 0</t>
        </is>
      </c>
      <c r="O1341" s="34" t="inlineStr">
        <is>
          <t>R1526-v1</t>
        </is>
      </c>
      <c r="P1341" s="39" t="inlineStr"/>
      <c r="Q1341" s="14" t="inlineStr"/>
      <c r="R1341" s="39" t="inlineStr"/>
      <c r="S1341" s="39" t="inlineStr"/>
      <c r="T1341" s="39" t="inlineStr"/>
      <c r="U1341" s="39" t="inlineStr"/>
      <c r="V1341" s="34" t="inlineStr">
        <is>
          <t>Cost Account = CA-6044; WBS Code = 1.6.2</t>
        </is>
      </c>
      <c r="W1341" s="14" t="inlineStr"/>
    </row>
    <row r="1342" ht="64" customHeight="1">
      <c r="A1342" s="34" t="inlineStr">
        <is>
          <t>1.6.2</t>
        </is>
      </c>
      <c r="B1342" s="34" t="inlineStr">
        <is>
          <t>Program Management - Commercial &amp; Procurement</t>
        </is>
      </c>
      <c r="C1342" s="34" t="inlineStr">
        <is>
          <t>Cost &amp; Forecast Control Accounts</t>
        </is>
      </c>
      <c r="D1342" s="34" t="inlineStr">
        <is>
          <t>CST-06-046</t>
        </is>
      </c>
      <c r="E1342" s="34" t="inlineStr">
        <is>
          <t>Program Management - design integration - professional services</t>
        </is>
      </c>
      <c r="F1342" s="34" t="inlineStr">
        <is>
          <t>ONE_TO_ONE</t>
        </is>
      </c>
      <c r="G1342" s="34" t="inlineStr">
        <is>
          <t>APPROVED</t>
        </is>
      </c>
      <c r="H1342" s="34" t="inlineStr">
        <is>
          <t>New</t>
        </is>
      </c>
      <c r="I1342" s="34" t="inlineStr">
        <is>
          <t>Source assignment -- not individually reviewed</t>
        </is>
      </c>
      <c r="J1342" s="39" t="inlineStr"/>
      <c r="K1342" s="34" t="inlineStr">
        <is>
          <t>Source assignment</t>
        </is>
      </c>
      <c r="L1342" s="39" t="inlineStr"/>
      <c r="M1342" s="34" t="inlineStr">
        <is>
          <t>Initial</t>
        </is>
      </c>
      <c r="N1342" s="34" t="inlineStr">
        <is>
          <t>Rev 0</t>
        </is>
      </c>
      <c r="O1342" s="34" t="inlineStr">
        <is>
          <t>R1528-v1</t>
        </is>
      </c>
      <c r="P1342" s="39" t="inlineStr"/>
      <c r="Q1342" s="14" t="inlineStr"/>
      <c r="R1342" s="39" t="inlineStr"/>
      <c r="S1342" s="39" t="inlineStr"/>
      <c r="T1342" s="39" t="inlineStr"/>
      <c r="U1342" s="39" t="inlineStr"/>
      <c r="V1342" s="34" t="inlineStr">
        <is>
          <t>Cost Account = CA-6046; WBS Code = 1.6.2</t>
        </is>
      </c>
      <c r="W1342" s="14" t="inlineStr"/>
    </row>
    <row r="1343" ht="64" customHeight="1">
      <c r="A1343" s="34" t="inlineStr">
        <is>
          <t>1.6.2</t>
        </is>
      </c>
      <c r="B1343" s="34" t="inlineStr">
        <is>
          <t>Program Management - Commercial &amp; Procurement</t>
        </is>
      </c>
      <c r="C1343" s="34" t="inlineStr">
        <is>
          <t>Cost &amp; Forecast Control Accounts</t>
        </is>
      </c>
      <c r="D1343" s="34" t="inlineStr">
        <is>
          <t>CST-06-048</t>
        </is>
      </c>
      <c r="E1343" s="34" t="inlineStr">
        <is>
          <t>Program Management - program controls - closeout</t>
        </is>
      </c>
      <c r="F1343" s="34" t="inlineStr">
        <is>
          <t>ONE_TO_ONE</t>
        </is>
      </c>
      <c r="G1343" s="34" t="inlineStr">
        <is>
          <t>APPROVED</t>
        </is>
      </c>
      <c r="H1343" s="34" t="inlineStr">
        <is>
          <t>New</t>
        </is>
      </c>
      <c r="I1343" s="34" t="inlineStr">
        <is>
          <t>Source assignment -- not individually reviewed</t>
        </is>
      </c>
      <c r="J1343" s="39" t="inlineStr"/>
      <c r="K1343" s="34" t="inlineStr">
        <is>
          <t>Source assignment</t>
        </is>
      </c>
      <c r="L1343" s="39" t="inlineStr"/>
      <c r="M1343" s="34" t="inlineStr">
        <is>
          <t>Initial</t>
        </is>
      </c>
      <c r="N1343" s="34" t="inlineStr">
        <is>
          <t>Rev 0</t>
        </is>
      </c>
      <c r="O1343" s="34" t="inlineStr">
        <is>
          <t>R1530-v1</t>
        </is>
      </c>
      <c r="P1343" s="39" t="inlineStr"/>
      <c r="Q1343" s="14" t="inlineStr"/>
      <c r="R1343" s="39" t="inlineStr"/>
      <c r="S1343" s="39" t="inlineStr"/>
      <c r="T1343" s="39" t="inlineStr"/>
      <c r="U1343" s="39" t="inlineStr"/>
      <c r="V1343" s="34" t="inlineStr">
        <is>
          <t>Cost Account = CA-6048; WBS Code = 1.6.2</t>
        </is>
      </c>
      <c r="W1343" s="14" t="inlineStr"/>
    </row>
    <row r="1344" ht="64" customHeight="1">
      <c r="A1344" s="34" t="inlineStr">
        <is>
          <t>1.6.2</t>
        </is>
      </c>
      <c r="B1344" s="34" t="inlineStr">
        <is>
          <t>Program Management - Commercial &amp; Procurement</t>
        </is>
      </c>
      <c r="C1344" s="34" t="inlineStr">
        <is>
          <t>Cost &amp; Forecast Control Accounts</t>
        </is>
      </c>
      <c r="D1344" s="34" t="inlineStr">
        <is>
          <t>CST-06-050</t>
        </is>
      </c>
      <c r="E1344" s="34" t="inlineStr">
        <is>
          <t>Program Management - stakeholder services - supply and install</t>
        </is>
      </c>
      <c r="F1344" s="34" t="inlineStr">
        <is>
          <t>ONE_TO_ONE</t>
        </is>
      </c>
      <c r="G1344" s="34" t="inlineStr">
        <is>
          <t>APPROVED</t>
        </is>
      </c>
      <c r="H1344" s="34" t="inlineStr">
        <is>
          <t>New</t>
        </is>
      </c>
      <c r="I1344" s="34" t="inlineStr">
        <is>
          <t>Source assignment -- not individually reviewed</t>
        </is>
      </c>
      <c r="J1344" s="39" t="inlineStr"/>
      <c r="K1344" s="34" t="inlineStr">
        <is>
          <t>Source assignment</t>
        </is>
      </c>
      <c r="L1344" s="39" t="inlineStr"/>
      <c r="M1344" s="34" t="inlineStr">
        <is>
          <t>Initial</t>
        </is>
      </c>
      <c r="N1344" s="34" t="inlineStr">
        <is>
          <t>Rev 0</t>
        </is>
      </c>
      <c r="O1344" s="34" t="inlineStr">
        <is>
          <t>R1532-v1</t>
        </is>
      </c>
      <c r="P1344" s="39" t="inlineStr"/>
      <c r="Q1344" s="14" t="inlineStr"/>
      <c r="R1344" s="39" t="inlineStr"/>
      <c r="S1344" s="39" t="inlineStr"/>
      <c r="T1344" s="39" t="inlineStr"/>
      <c r="U1344" s="39" t="inlineStr"/>
      <c r="V1344" s="34" t="inlineStr">
        <is>
          <t>Cost Account = CA-6050; WBS Code = 1.6.2</t>
        </is>
      </c>
      <c r="W1344" s="14" t="inlineStr"/>
    </row>
    <row r="1345" ht="64" customHeight="1">
      <c r="A1345" s="34" t="inlineStr">
        <is>
          <t>1.6.2</t>
        </is>
      </c>
      <c r="B1345" s="34" t="inlineStr">
        <is>
          <t>Program Management - Commercial &amp; Procurement</t>
        </is>
      </c>
      <c r="C1345" s="34" t="inlineStr">
        <is>
          <t>Cost &amp; Forecast Control Accounts</t>
        </is>
      </c>
      <c r="D1345" s="34" t="inlineStr">
        <is>
          <t>CST-06-052</t>
        </is>
      </c>
      <c r="E1345" s="34" t="inlineStr">
        <is>
          <t>Program Management - design integration - allowance</t>
        </is>
      </c>
      <c r="F1345" s="34" t="inlineStr">
        <is>
          <t>ONE_TO_ONE</t>
        </is>
      </c>
      <c r="G1345" s="34" t="inlineStr">
        <is>
          <t>APPROVED</t>
        </is>
      </c>
      <c r="H1345" s="34" t="inlineStr">
        <is>
          <t>New</t>
        </is>
      </c>
      <c r="I1345" s="34" t="inlineStr">
        <is>
          <t>Source assignment -- not individually reviewed</t>
        </is>
      </c>
      <c r="J1345" s="39" t="inlineStr"/>
      <c r="K1345" s="34" t="inlineStr">
        <is>
          <t>Source assignment</t>
        </is>
      </c>
      <c r="L1345" s="39" t="inlineStr"/>
      <c r="M1345" s="34" t="inlineStr">
        <is>
          <t>Initial</t>
        </is>
      </c>
      <c r="N1345" s="34" t="inlineStr">
        <is>
          <t>Rev 0</t>
        </is>
      </c>
      <c r="O1345" s="34" t="inlineStr">
        <is>
          <t>R1534-v1</t>
        </is>
      </c>
      <c r="P1345" s="39" t="inlineStr"/>
      <c r="Q1345" s="14" t="inlineStr"/>
      <c r="R1345" s="39" t="inlineStr"/>
      <c r="S1345" s="39" t="inlineStr"/>
      <c r="T1345" s="39" t="inlineStr"/>
      <c r="U1345" s="39" t="inlineStr"/>
      <c r="V1345" s="34" t="inlineStr">
        <is>
          <t>Cost Account = CA-6052; WBS Code = 1.6.2</t>
        </is>
      </c>
      <c r="W1345" s="14" t="inlineStr"/>
    </row>
    <row r="1346" ht="64" customHeight="1">
      <c r="A1346" s="34" t="inlineStr">
        <is>
          <t>1.6.2</t>
        </is>
      </c>
      <c r="B1346" s="34" t="inlineStr">
        <is>
          <t>Program Management - Commercial &amp; Procurement</t>
        </is>
      </c>
      <c r="C1346" s="34" t="inlineStr">
        <is>
          <t>Cost &amp; Forecast Control Accounts</t>
        </is>
      </c>
      <c r="D1346" s="34" t="inlineStr">
        <is>
          <t>CST-06-054</t>
        </is>
      </c>
      <c r="E1346" s="34" t="inlineStr">
        <is>
          <t>Program Management - program controls - field package</t>
        </is>
      </c>
      <c r="F1346" s="34" t="inlineStr">
        <is>
          <t>ONE_TO_ONE</t>
        </is>
      </c>
      <c r="G1346" s="34" t="inlineStr">
        <is>
          <t>APPROVED</t>
        </is>
      </c>
      <c r="H1346" s="34" t="inlineStr">
        <is>
          <t>New</t>
        </is>
      </c>
      <c r="I1346" s="34" t="inlineStr">
        <is>
          <t>Source assignment -- not individually reviewed</t>
        </is>
      </c>
      <c r="J1346" s="39" t="inlineStr"/>
      <c r="K1346" s="34" t="inlineStr">
        <is>
          <t>Source assignment</t>
        </is>
      </c>
      <c r="L1346" s="39" t="inlineStr"/>
      <c r="M1346" s="34" t="inlineStr">
        <is>
          <t>Initial</t>
        </is>
      </c>
      <c r="N1346" s="34" t="inlineStr">
        <is>
          <t>Rev 0</t>
        </is>
      </c>
      <c r="O1346" s="34" t="inlineStr">
        <is>
          <t>R1536-v1</t>
        </is>
      </c>
      <c r="P1346" s="39" t="inlineStr"/>
      <c r="Q1346" s="14" t="inlineStr"/>
      <c r="R1346" s="39" t="inlineStr"/>
      <c r="S1346" s="39" t="inlineStr"/>
      <c r="T1346" s="39" t="inlineStr"/>
      <c r="U1346" s="39" t="inlineStr"/>
      <c r="V1346" s="34" t="inlineStr">
        <is>
          <t>Cost Account = CA-6054; WBS Code = 1.6.2</t>
        </is>
      </c>
      <c r="W1346" s="14" t="inlineStr"/>
    </row>
    <row r="1347" ht="64" customHeight="1">
      <c r="A1347" s="34" t="inlineStr">
        <is>
          <t>1.6.2</t>
        </is>
      </c>
      <c r="B1347" s="34" t="inlineStr">
        <is>
          <t>Program Management - Commercial &amp; Procurement</t>
        </is>
      </c>
      <c r="C1347" s="34" t="inlineStr">
        <is>
          <t>Cost &amp; Forecast Control Accounts</t>
        </is>
      </c>
      <c r="D1347" s="34" t="inlineStr">
        <is>
          <t>CST-06-056</t>
        </is>
      </c>
      <c r="E1347" s="34" t="inlineStr">
        <is>
          <t>Program Management - stakeholder services - professional services</t>
        </is>
      </c>
      <c r="F1347" s="34" t="inlineStr">
        <is>
          <t>ONE_TO_ONE</t>
        </is>
      </c>
      <c r="G1347" s="34" t="inlineStr">
        <is>
          <t>APPROVED</t>
        </is>
      </c>
      <c r="H1347" s="34" t="inlineStr">
        <is>
          <t>New</t>
        </is>
      </c>
      <c r="I1347" s="34" t="inlineStr">
        <is>
          <t>Source assignment -- not individually reviewed</t>
        </is>
      </c>
      <c r="J1347" s="39" t="inlineStr"/>
      <c r="K1347" s="34" t="inlineStr">
        <is>
          <t>Source assignment</t>
        </is>
      </c>
      <c r="L1347" s="39" t="inlineStr"/>
      <c r="M1347" s="34" t="inlineStr">
        <is>
          <t>Initial</t>
        </is>
      </c>
      <c r="N1347" s="34" t="inlineStr">
        <is>
          <t>Rev 0</t>
        </is>
      </c>
      <c r="O1347" s="34" t="inlineStr">
        <is>
          <t>R1538-v1</t>
        </is>
      </c>
      <c r="P1347" s="39" t="inlineStr"/>
      <c r="Q1347" s="14" t="inlineStr"/>
      <c r="R1347" s="39" t="inlineStr"/>
      <c r="S1347" s="39" t="inlineStr"/>
      <c r="T1347" s="39" t="inlineStr"/>
      <c r="U1347" s="39" t="inlineStr"/>
      <c r="V1347" s="34" t="inlineStr">
        <is>
          <t>Cost Account = CA-6056; WBS Code = 1.6.2</t>
        </is>
      </c>
      <c r="W1347" s="14" t="inlineStr"/>
    </row>
    <row r="1348" ht="64" customHeight="1">
      <c r="A1348" s="34" t="inlineStr">
        <is>
          <t>1.6.2</t>
        </is>
      </c>
      <c r="B1348" s="34" t="inlineStr">
        <is>
          <t>Program Management - Commercial &amp; Procurement</t>
        </is>
      </c>
      <c r="C1348" s="34" t="inlineStr">
        <is>
          <t>Cost &amp; Forecast Control Accounts</t>
        </is>
      </c>
      <c r="D1348" s="34" t="inlineStr">
        <is>
          <t>CST-06-058</t>
        </is>
      </c>
      <c r="E1348" s="34" t="inlineStr">
        <is>
          <t>Program Management - design integration - closeout</t>
        </is>
      </c>
      <c r="F1348" s="34" t="inlineStr">
        <is>
          <t>ONE_TO_ONE</t>
        </is>
      </c>
      <c r="G1348" s="34" t="inlineStr">
        <is>
          <t>APPROVED</t>
        </is>
      </c>
      <c r="H1348" s="34" t="inlineStr">
        <is>
          <t>New</t>
        </is>
      </c>
      <c r="I1348" s="34" t="inlineStr">
        <is>
          <t>Source assignment -- not individually reviewed</t>
        </is>
      </c>
      <c r="J1348" s="39" t="inlineStr"/>
      <c r="K1348" s="34" t="inlineStr">
        <is>
          <t>Source assignment</t>
        </is>
      </c>
      <c r="L1348" s="39" t="inlineStr"/>
      <c r="M1348" s="34" t="inlineStr">
        <is>
          <t>Initial</t>
        </is>
      </c>
      <c r="N1348" s="34" t="inlineStr">
        <is>
          <t>Rev 0</t>
        </is>
      </c>
      <c r="O1348" s="34" t="inlineStr">
        <is>
          <t>R1540-v1</t>
        </is>
      </c>
      <c r="P1348" s="39" t="inlineStr"/>
      <c r="Q1348" s="14" t="inlineStr"/>
      <c r="R1348" s="39" t="inlineStr"/>
      <c r="S1348" s="39" t="inlineStr"/>
      <c r="T1348" s="39" t="inlineStr"/>
      <c r="U1348" s="39" t="inlineStr"/>
      <c r="V1348" s="34" t="inlineStr">
        <is>
          <t>Cost Account = CA-6058; WBS Code = 1.6.2</t>
        </is>
      </c>
      <c r="W1348" s="14" t="inlineStr"/>
    </row>
    <row r="1349" ht="64" customHeight="1">
      <c r="A1349" s="34" t="inlineStr">
        <is>
          <t>1.6.2</t>
        </is>
      </c>
      <c r="B1349" s="34" t="inlineStr">
        <is>
          <t>Program Management - Commercial &amp; Procurement</t>
        </is>
      </c>
      <c r="C1349" s="34" t="inlineStr">
        <is>
          <t>Cost &amp; Forecast Control Accounts</t>
        </is>
      </c>
      <c r="D1349" s="34" t="inlineStr">
        <is>
          <t>CST-06-060</t>
        </is>
      </c>
      <c r="E1349" s="34" t="inlineStr">
        <is>
          <t>Program Management - program controls - supply and install</t>
        </is>
      </c>
      <c r="F1349" s="34" t="inlineStr">
        <is>
          <t>ONE_TO_ONE</t>
        </is>
      </c>
      <c r="G1349" s="34" t="inlineStr">
        <is>
          <t>APPROVED</t>
        </is>
      </c>
      <c r="H1349" s="34" t="inlineStr">
        <is>
          <t>New</t>
        </is>
      </c>
      <c r="I1349" s="34" t="inlineStr">
        <is>
          <t>Source assignment -- not individually reviewed</t>
        </is>
      </c>
      <c r="J1349" s="39" t="inlineStr"/>
      <c r="K1349" s="34" t="inlineStr">
        <is>
          <t>Source assignment</t>
        </is>
      </c>
      <c r="L1349" s="39" t="inlineStr"/>
      <c r="M1349" s="34" t="inlineStr">
        <is>
          <t>Initial</t>
        </is>
      </c>
      <c r="N1349" s="34" t="inlineStr">
        <is>
          <t>Rev 0</t>
        </is>
      </c>
      <c r="O1349" s="34" t="inlineStr">
        <is>
          <t>R1542-v1</t>
        </is>
      </c>
      <c r="P1349" s="39" t="inlineStr"/>
      <c r="Q1349" s="14" t="inlineStr"/>
      <c r="R1349" s="39" t="inlineStr"/>
      <c r="S1349" s="39" t="inlineStr"/>
      <c r="T1349" s="39" t="inlineStr"/>
      <c r="U1349" s="39" t="inlineStr"/>
      <c r="V1349" s="34" t="inlineStr">
        <is>
          <t>Cost Account = CA-6060; WBS Code = 1.6.2</t>
        </is>
      </c>
      <c r="W1349" s="14" t="inlineStr"/>
    </row>
    <row r="1350" ht="64" customHeight="1">
      <c r="A1350" s="34" t="inlineStr">
        <is>
          <t>1.6.2</t>
        </is>
      </c>
      <c r="B1350" s="34" t="inlineStr">
        <is>
          <t>Program Management - Commercial &amp; Procurement</t>
        </is>
      </c>
      <c r="C1350" s="34" t="inlineStr">
        <is>
          <t>Cost &amp; Forecast Control Accounts</t>
        </is>
      </c>
      <c r="D1350" s="34" t="inlineStr">
        <is>
          <t>CST-06-062</t>
        </is>
      </c>
      <c r="E1350" s="34" t="inlineStr">
        <is>
          <t>Program Management - stakeholder services - allowance</t>
        </is>
      </c>
      <c r="F1350" s="34" t="inlineStr">
        <is>
          <t>ONE_TO_ONE</t>
        </is>
      </c>
      <c r="G1350" s="34" t="inlineStr">
        <is>
          <t>APPROVED</t>
        </is>
      </c>
      <c r="H1350" s="34" t="inlineStr">
        <is>
          <t>New</t>
        </is>
      </c>
      <c r="I1350" s="34" t="inlineStr">
        <is>
          <t>Source assignment -- not individually reviewed</t>
        </is>
      </c>
      <c r="J1350" s="39" t="inlineStr"/>
      <c r="K1350" s="34" t="inlineStr">
        <is>
          <t>Source assignment</t>
        </is>
      </c>
      <c r="L1350" s="39" t="inlineStr"/>
      <c r="M1350" s="34" t="inlineStr">
        <is>
          <t>Initial</t>
        </is>
      </c>
      <c r="N1350" s="34" t="inlineStr">
        <is>
          <t>Rev 0</t>
        </is>
      </c>
      <c r="O1350" s="34" t="inlineStr">
        <is>
          <t>R1544-v1</t>
        </is>
      </c>
      <c r="P1350" s="39" t="inlineStr"/>
      <c r="Q1350" s="14" t="inlineStr"/>
      <c r="R1350" s="39" t="inlineStr"/>
      <c r="S1350" s="39" t="inlineStr"/>
      <c r="T1350" s="39" t="inlineStr"/>
      <c r="U1350" s="39" t="inlineStr"/>
      <c r="V1350" s="34" t="inlineStr">
        <is>
          <t>Cost Account = CA-6062; WBS Code = 1.6.2</t>
        </is>
      </c>
      <c r="W1350" s="14" t="inlineStr"/>
    </row>
    <row r="1351" ht="64" customHeight="1">
      <c r="A1351" s="34" t="inlineStr">
        <is>
          <t>1.6.2</t>
        </is>
      </c>
      <c r="B1351" s="34" t="inlineStr">
        <is>
          <t>Program Management - Commercial &amp; Procurement</t>
        </is>
      </c>
      <c r="C1351" s="34" t="inlineStr">
        <is>
          <t>Cost &amp; Forecast Control Accounts</t>
        </is>
      </c>
      <c r="D1351" s="34" t="inlineStr">
        <is>
          <t>CST-06-064</t>
        </is>
      </c>
      <c r="E1351" s="34" t="inlineStr">
        <is>
          <t>Program Management - design integration - field package</t>
        </is>
      </c>
      <c r="F1351" s="34" t="inlineStr">
        <is>
          <t>ONE_TO_ONE</t>
        </is>
      </c>
      <c r="G1351" s="34" t="inlineStr">
        <is>
          <t>APPROVED</t>
        </is>
      </c>
      <c r="H1351" s="34" t="inlineStr">
        <is>
          <t>New</t>
        </is>
      </c>
      <c r="I1351" s="34" t="inlineStr">
        <is>
          <t>Source assignment -- not individually reviewed</t>
        </is>
      </c>
      <c r="J1351" s="39" t="inlineStr"/>
      <c r="K1351" s="34" t="inlineStr">
        <is>
          <t>Source assignment</t>
        </is>
      </c>
      <c r="L1351" s="39" t="inlineStr"/>
      <c r="M1351" s="34" t="inlineStr">
        <is>
          <t>Initial</t>
        </is>
      </c>
      <c r="N1351" s="34" t="inlineStr">
        <is>
          <t>Rev 0</t>
        </is>
      </c>
      <c r="O1351" s="34" t="inlineStr">
        <is>
          <t>R1546-v1</t>
        </is>
      </c>
      <c r="P1351" s="39" t="inlineStr"/>
      <c r="Q1351" s="14" t="inlineStr"/>
      <c r="R1351" s="39" t="inlineStr"/>
      <c r="S1351" s="39" t="inlineStr"/>
      <c r="T1351" s="39" t="inlineStr"/>
      <c r="U1351" s="39" t="inlineStr"/>
      <c r="V1351" s="34" t="inlineStr">
        <is>
          <t>Cost Account = CA-6064; WBS Code = 1.6.2</t>
        </is>
      </c>
      <c r="W1351" s="14" t="inlineStr"/>
    </row>
    <row r="1352" ht="64" customHeight="1">
      <c r="A1352" s="34" t="inlineStr">
        <is>
          <t>1.6.2</t>
        </is>
      </c>
      <c r="B1352" s="34" t="inlineStr">
        <is>
          <t>Program Management - Commercial &amp; Procurement</t>
        </is>
      </c>
      <c r="C1352" s="34" t="inlineStr">
        <is>
          <t>Cost &amp; Forecast Control Accounts</t>
        </is>
      </c>
      <c r="D1352" s="34" t="inlineStr">
        <is>
          <t>CST-06-066</t>
        </is>
      </c>
      <c r="E1352" s="34" t="inlineStr">
        <is>
          <t>Program Management - program controls - professional services</t>
        </is>
      </c>
      <c r="F1352" s="34" t="inlineStr">
        <is>
          <t>ONE_TO_ONE</t>
        </is>
      </c>
      <c r="G1352" s="34" t="inlineStr">
        <is>
          <t>APPROVED</t>
        </is>
      </c>
      <c r="H1352" s="34" t="inlineStr">
        <is>
          <t>New</t>
        </is>
      </c>
      <c r="I1352" s="34" t="inlineStr">
        <is>
          <t>Source assignment -- not individually reviewed</t>
        </is>
      </c>
      <c r="J1352" s="39" t="inlineStr"/>
      <c r="K1352" s="34" t="inlineStr">
        <is>
          <t>Source assignment</t>
        </is>
      </c>
      <c r="L1352" s="39" t="inlineStr"/>
      <c r="M1352" s="34" t="inlineStr">
        <is>
          <t>Initial</t>
        </is>
      </c>
      <c r="N1352" s="34" t="inlineStr">
        <is>
          <t>Rev 0</t>
        </is>
      </c>
      <c r="O1352" s="34" t="inlineStr">
        <is>
          <t>R1548-v1</t>
        </is>
      </c>
      <c r="P1352" s="39" t="inlineStr"/>
      <c r="Q1352" s="14" t="inlineStr"/>
      <c r="R1352" s="39" t="inlineStr"/>
      <c r="S1352" s="39" t="inlineStr"/>
      <c r="T1352" s="39" t="inlineStr"/>
      <c r="U1352" s="39" t="inlineStr"/>
      <c r="V1352" s="34" t="inlineStr">
        <is>
          <t>Cost Account = CA-6066; WBS Code = 1.6.2</t>
        </is>
      </c>
      <c r="W1352" s="14" t="inlineStr"/>
    </row>
    <row r="1353" ht="64" customHeight="1">
      <c r="A1353" s="34" t="inlineStr">
        <is>
          <t>1.6.2</t>
        </is>
      </c>
      <c r="B1353" s="34" t="inlineStr">
        <is>
          <t>Program Management - Commercial &amp; Procurement</t>
        </is>
      </c>
      <c r="C1353" s="34" t="inlineStr">
        <is>
          <t>Cost &amp; Forecast Control Accounts</t>
        </is>
      </c>
      <c r="D1353" s="34" t="inlineStr">
        <is>
          <t>CST-06-068</t>
        </is>
      </c>
      <c r="E1353" s="34" t="inlineStr">
        <is>
          <t>Program Management - stakeholder services - closeout</t>
        </is>
      </c>
      <c r="F1353" s="34" t="inlineStr">
        <is>
          <t>ONE_TO_ONE</t>
        </is>
      </c>
      <c r="G1353" s="34" t="inlineStr">
        <is>
          <t>APPROVED</t>
        </is>
      </c>
      <c r="H1353" s="34" t="inlineStr">
        <is>
          <t>New</t>
        </is>
      </c>
      <c r="I1353" s="34" t="inlineStr">
        <is>
          <t>Source assignment -- not individually reviewed</t>
        </is>
      </c>
      <c r="J1353" s="39" t="inlineStr"/>
      <c r="K1353" s="34" t="inlineStr">
        <is>
          <t>Source assignment</t>
        </is>
      </c>
      <c r="L1353" s="39" t="inlineStr"/>
      <c r="M1353" s="34" t="inlineStr">
        <is>
          <t>Initial</t>
        </is>
      </c>
      <c r="N1353" s="34" t="inlineStr">
        <is>
          <t>Rev 0</t>
        </is>
      </c>
      <c r="O1353" s="34" t="inlineStr">
        <is>
          <t>R1550-v1</t>
        </is>
      </c>
      <c r="P1353" s="39" t="inlineStr"/>
      <c r="Q1353" s="14" t="inlineStr"/>
      <c r="R1353" s="39" t="inlineStr"/>
      <c r="S1353" s="39" t="inlineStr"/>
      <c r="T1353" s="39" t="inlineStr"/>
      <c r="U1353" s="39" t="inlineStr"/>
      <c r="V1353" s="34" t="inlineStr">
        <is>
          <t>Cost Account = CA-6068; WBS Code = 1.6.2</t>
        </is>
      </c>
      <c r="W1353" s="14" t="inlineStr"/>
    </row>
    <row r="1354" ht="64" customHeight="1">
      <c r="A1354" s="34" t="inlineStr">
        <is>
          <t>1.6.2</t>
        </is>
      </c>
      <c r="B1354" s="34" t="inlineStr">
        <is>
          <t>Program Management - Commercial &amp; Procurement</t>
        </is>
      </c>
      <c r="C1354" s="34" t="inlineStr">
        <is>
          <t>Cost &amp; Forecast Control Accounts</t>
        </is>
      </c>
      <c r="D1354" s="34" t="inlineStr">
        <is>
          <t>CST-06-070</t>
        </is>
      </c>
      <c r="E1354" s="34" t="inlineStr">
        <is>
          <t>Program Management - design integration - supply and install</t>
        </is>
      </c>
      <c r="F1354" s="34" t="inlineStr">
        <is>
          <t>ONE_TO_ONE</t>
        </is>
      </c>
      <c r="G1354" s="34" t="inlineStr">
        <is>
          <t>APPROVED</t>
        </is>
      </c>
      <c r="H1354" s="34" t="inlineStr">
        <is>
          <t>New</t>
        </is>
      </c>
      <c r="I1354" s="34" t="inlineStr">
        <is>
          <t>Source assignment -- not individually reviewed</t>
        </is>
      </c>
      <c r="J1354" s="39" t="inlineStr"/>
      <c r="K1354" s="34" t="inlineStr">
        <is>
          <t>Source assignment</t>
        </is>
      </c>
      <c r="L1354" s="39" t="inlineStr"/>
      <c r="M1354" s="34" t="inlineStr">
        <is>
          <t>Initial</t>
        </is>
      </c>
      <c r="N1354" s="34" t="inlineStr">
        <is>
          <t>Rev 0</t>
        </is>
      </c>
      <c r="O1354" s="34" t="inlineStr">
        <is>
          <t>R1552-v1</t>
        </is>
      </c>
      <c r="P1354" s="39" t="inlineStr"/>
      <c r="Q1354" s="14" t="inlineStr"/>
      <c r="R1354" s="39" t="inlineStr"/>
      <c r="S1354" s="39" t="inlineStr"/>
      <c r="T1354" s="39" t="inlineStr"/>
      <c r="U1354" s="39" t="inlineStr"/>
      <c r="V1354" s="34" t="inlineStr">
        <is>
          <t>Cost Account = CA-6070; WBS Code = 1.6.2</t>
        </is>
      </c>
      <c r="W1354" s="14" t="inlineStr"/>
    </row>
    <row r="1355" ht="64" customHeight="1">
      <c r="A1355" s="34" t="inlineStr">
        <is>
          <t>1.6.2</t>
        </is>
      </c>
      <c r="B1355" s="34" t="inlineStr">
        <is>
          <t>Program Management - Commercial &amp; Procurement</t>
        </is>
      </c>
      <c r="C1355" s="34" t="inlineStr">
        <is>
          <t>Cost &amp; Forecast Control Accounts</t>
        </is>
      </c>
      <c r="D1355" s="34" t="inlineStr">
        <is>
          <t>CST-06-072</t>
        </is>
      </c>
      <c r="E1355" s="34" t="inlineStr">
        <is>
          <t>Program Management - program controls - allowance</t>
        </is>
      </c>
      <c r="F1355" s="34" t="inlineStr">
        <is>
          <t>ONE_TO_ONE</t>
        </is>
      </c>
      <c r="G1355" s="34" t="inlineStr">
        <is>
          <t>APPROVED</t>
        </is>
      </c>
      <c r="H1355" s="34" t="inlineStr">
        <is>
          <t>New</t>
        </is>
      </c>
      <c r="I1355" s="34" t="inlineStr">
        <is>
          <t>Source assignment -- not individually reviewed</t>
        </is>
      </c>
      <c r="J1355" s="39" t="inlineStr"/>
      <c r="K1355" s="34" t="inlineStr">
        <is>
          <t>Source assignment</t>
        </is>
      </c>
      <c r="L1355" s="39" t="inlineStr"/>
      <c r="M1355" s="34" t="inlineStr">
        <is>
          <t>Initial</t>
        </is>
      </c>
      <c r="N1355" s="34" t="inlineStr">
        <is>
          <t>Rev 0</t>
        </is>
      </c>
      <c r="O1355" s="34" t="inlineStr">
        <is>
          <t>R1554-v1</t>
        </is>
      </c>
      <c r="P1355" s="39" t="inlineStr"/>
      <c r="Q1355" s="14" t="inlineStr"/>
      <c r="R1355" s="39" t="inlineStr"/>
      <c r="S1355" s="39" t="inlineStr"/>
      <c r="T1355" s="39" t="inlineStr"/>
      <c r="U1355" s="39" t="inlineStr"/>
      <c r="V1355" s="34" t="inlineStr">
        <is>
          <t>Cost Account = CA-6072; WBS Code = 1.6.2</t>
        </is>
      </c>
      <c r="W1355" s="14" t="inlineStr"/>
    </row>
    <row r="1356" ht="64" customHeight="1">
      <c r="A1356" s="34" t="inlineStr">
        <is>
          <t>1.6.2</t>
        </is>
      </c>
      <c r="B1356" s="34" t="inlineStr">
        <is>
          <t>Program Management - Commercial &amp; Procurement</t>
        </is>
      </c>
      <c r="C1356" s="34" t="inlineStr">
        <is>
          <t>Cost &amp; Forecast Control Accounts</t>
        </is>
      </c>
      <c r="D1356" s="34" t="inlineStr">
        <is>
          <t>CST-06-074</t>
        </is>
      </c>
      <c r="E1356" s="34" t="inlineStr">
        <is>
          <t>Program Management - stakeholder services - field package</t>
        </is>
      </c>
      <c r="F1356" s="34" t="inlineStr">
        <is>
          <t>ONE_TO_ONE</t>
        </is>
      </c>
      <c r="G1356" s="34" t="inlineStr">
        <is>
          <t>APPROVED</t>
        </is>
      </c>
      <c r="H1356" s="34" t="inlineStr">
        <is>
          <t>New</t>
        </is>
      </c>
      <c r="I1356" s="34" t="inlineStr">
        <is>
          <t>Source assignment -- not individually reviewed</t>
        </is>
      </c>
      <c r="J1356" s="39" t="inlineStr"/>
      <c r="K1356" s="34" t="inlineStr">
        <is>
          <t>Source assignment</t>
        </is>
      </c>
      <c r="L1356" s="39" t="inlineStr"/>
      <c r="M1356" s="34" t="inlineStr">
        <is>
          <t>Initial</t>
        </is>
      </c>
      <c r="N1356" s="34" t="inlineStr">
        <is>
          <t>Rev 0</t>
        </is>
      </c>
      <c r="O1356" s="34" t="inlineStr">
        <is>
          <t>R1556-v1</t>
        </is>
      </c>
      <c r="P1356" s="39" t="inlineStr"/>
      <c r="Q1356" s="14" t="inlineStr"/>
      <c r="R1356" s="39" t="inlineStr"/>
      <c r="S1356" s="39" t="inlineStr"/>
      <c r="T1356" s="39" t="inlineStr"/>
      <c r="U1356" s="39" t="inlineStr"/>
      <c r="V1356" s="34" t="inlineStr">
        <is>
          <t>Cost Account = CA-6074; WBS Code = 1.6.2</t>
        </is>
      </c>
      <c r="W1356" s="14" t="inlineStr"/>
    </row>
    <row r="1357" ht="64" customHeight="1">
      <c r="A1357" s="34" t="inlineStr">
        <is>
          <t>1.6.2</t>
        </is>
      </c>
      <c r="B1357" s="34" t="inlineStr">
        <is>
          <t>Program Management - Commercial &amp; Procurement</t>
        </is>
      </c>
      <c r="C1357" s="34" t="inlineStr">
        <is>
          <t>Cost &amp; Forecast Control Accounts</t>
        </is>
      </c>
      <c r="D1357" s="34" t="inlineStr">
        <is>
          <t>CST-06-076</t>
        </is>
      </c>
      <c r="E1357" s="34" t="inlineStr">
        <is>
          <t>Program Management - design integration - professional services</t>
        </is>
      </c>
      <c r="F1357" s="34" t="inlineStr">
        <is>
          <t>ONE_TO_ONE</t>
        </is>
      </c>
      <c r="G1357" s="34" t="inlineStr">
        <is>
          <t>APPROVED</t>
        </is>
      </c>
      <c r="H1357" s="34" t="inlineStr">
        <is>
          <t>New</t>
        </is>
      </c>
      <c r="I1357" s="34" t="inlineStr">
        <is>
          <t>Source assignment -- not individually reviewed</t>
        </is>
      </c>
      <c r="J1357" s="39" t="inlineStr"/>
      <c r="K1357" s="34" t="inlineStr">
        <is>
          <t>Source assignment</t>
        </is>
      </c>
      <c r="L1357" s="39" t="inlineStr"/>
      <c r="M1357" s="34" t="inlineStr">
        <is>
          <t>Initial</t>
        </is>
      </c>
      <c r="N1357" s="34" t="inlineStr">
        <is>
          <t>Rev 0</t>
        </is>
      </c>
      <c r="O1357" s="34" t="inlineStr">
        <is>
          <t>R1558-v1</t>
        </is>
      </c>
      <c r="P1357" s="39" t="inlineStr"/>
      <c r="Q1357" s="14" t="inlineStr"/>
      <c r="R1357" s="39" t="inlineStr"/>
      <c r="S1357" s="39" t="inlineStr"/>
      <c r="T1357" s="39" t="inlineStr"/>
      <c r="U1357" s="39" t="inlineStr"/>
      <c r="V1357" s="34" t="inlineStr">
        <is>
          <t>Cost Account = CA-6076; WBS Code = 1.6.2</t>
        </is>
      </c>
      <c r="W1357" s="14" t="inlineStr"/>
    </row>
    <row r="1358" ht="64" customHeight="1">
      <c r="A1358" s="34" t="inlineStr">
        <is>
          <t>1.6.2</t>
        </is>
      </c>
      <c r="B1358" s="34" t="inlineStr">
        <is>
          <t>Program Management - Commercial &amp; Procurement</t>
        </is>
      </c>
      <c r="C1358" s="34" t="inlineStr">
        <is>
          <t>Cost &amp; Forecast Control Accounts</t>
        </is>
      </c>
      <c r="D1358" s="34" t="inlineStr">
        <is>
          <t>CST-06-078</t>
        </is>
      </c>
      <c r="E1358" s="34" t="inlineStr">
        <is>
          <t>Program Management - program controls - closeout</t>
        </is>
      </c>
      <c r="F1358" s="34" t="inlineStr">
        <is>
          <t>ONE_TO_ONE</t>
        </is>
      </c>
      <c r="G1358" s="34" t="inlineStr">
        <is>
          <t>APPROVED</t>
        </is>
      </c>
      <c r="H1358" s="34" t="inlineStr">
        <is>
          <t>New</t>
        </is>
      </c>
      <c r="I1358" s="34" t="inlineStr">
        <is>
          <t>Source assignment -- not individually reviewed</t>
        </is>
      </c>
      <c r="J1358" s="39" t="inlineStr"/>
      <c r="K1358" s="34" t="inlineStr">
        <is>
          <t>Source assignment</t>
        </is>
      </c>
      <c r="L1358" s="39" t="inlineStr"/>
      <c r="M1358" s="34" t="inlineStr">
        <is>
          <t>Initial</t>
        </is>
      </c>
      <c r="N1358" s="34" t="inlineStr">
        <is>
          <t>Rev 0</t>
        </is>
      </c>
      <c r="O1358" s="34" t="inlineStr">
        <is>
          <t>R1560-v1</t>
        </is>
      </c>
      <c r="P1358" s="39" t="inlineStr"/>
      <c r="Q1358" s="14" t="inlineStr"/>
      <c r="R1358" s="39" t="inlineStr"/>
      <c r="S1358" s="39" t="inlineStr"/>
      <c r="T1358" s="39" t="inlineStr"/>
      <c r="U1358" s="39" t="inlineStr"/>
      <c r="V1358" s="34" t="inlineStr">
        <is>
          <t>Cost Account = CA-6078; WBS Code = 1.6.2</t>
        </is>
      </c>
      <c r="W1358" s="14" t="inlineStr"/>
    </row>
    <row r="1359" ht="64" customHeight="1">
      <c r="A1359" s="34" t="inlineStr">
        <is>
          <t>1.6.2</t>
        </is>
      </c>
      <c r="B1359" s="34" t="inlineStr">
        <is>
          <t>Program Management - Commercial &amp; Procurement</t>
        </is>
      </c>
      <c r="C1359" s="34" t="inlineStr">
        <is>
          <t>Cost &amp; Forecast Control Accounts</t>
        </is>
      </c>
      <c r="D1359" s="34" t="inlineStr">
        <is>
          <t>CST-06-080</t>
        </is>
      </c>
      <c r="E1359" s="34" t="inlineStr">
        <is>
          <t>Program Management - stakeholder services - supply and install</t>
        </is>
      </c>
      <c r="F1359" s="34" t="inlineStr">
        <is>
          <t>ONE_TO_ONE</t>
        </is>
      </c>
      <c r="G1359" s="34" t="inlineStr">
        <is>
          <t>APPROVED</t>
        </is>
      </c>
      <c r="H1359" s="34" t="inlineStr">
        <is>
          <t>New</t>
        </is>
      </c>
      <c r="I1359" s="34" t="inlineStr">
        <is>
          <t>Source assignment -- not individually reviewed</t>
        </is>
      </c>
      <c r="J1359" s="39" t="inlineStr"/>
      <c r="K1359" s="34" t="inlineStr">
        <is>
          <t>Source assignment</t>
        </is>
      </c>
      <c r="L1359" s="39" t="inlineStr"/>
      <c r="M1359" s="34" t="inlineStr">
        <is>
          <t>Initial</t>
        </is>
      </c>
      <c r="N1359" s="34" t="inlineStr">
        <is>
          <t>Rev 0</t>
        </is>
      </c>
      <c r="O1359" s="34" t="inlineStr">
        <is>
          <t>R1562-v1</t>
        </is>
      </c>
      <c r="P1359" s="39" t="inlineStr"/>
      <c r="Q1359" s="14" t="inlineStr"/>
      <c r="R1359" s="39" t="inlineStr"/>
      <c r="S1359" s="39" t="inlineStr"/>
      <c r="T1359" s="39" t="inlineStr"/>
      <c r="U1359" s="39" t="inlineStr"/>
      <c r="V1359" s="34" t="inlineStr">
        <is>
          <t>Cost Account = CA-6080; WBS Code = 1.6.2</t>
        </is>
      </c>
      <c r="W1359" s="14" t="inlineStr"/>
    </row>
    <row r="1360" ht="79" customHeight="1">
      <c r="A1360" s="34" t="inlineStr">
        <is>
          <t>NEW_SCOPE</t>
        </is>
      </c>
      <c r="B1360" s="39" t="inlineStr"/>
      <c r="C1360" s="34" t="inlineStr">
        <is>
          <t>Contractor Programme</t>
        </is>
      </c>
      <c r="D1360" s="34" t="inlineStr">
        <is>
          <t>SCH-90-901</t>
        </is>
      </c>
      <c r="E1360" s="34" t="inlineStr">
        <is>
          <t>Temporary offsite logistics compound</t>
        </is>
      </c>
      <c r="F1360" s="34" t="inlineStr">
        <is>
          <t>NEW_SCOPE</t>
        </is>
      </c>
      <c r="G1360" s="34" t="inlineStr">
        <is>
          <t>APPROVED</t>
        </is>
      </c>
      <c r="H1360" s="34" t="inlineStr">
        <is>
          <t>New</t>
        </is>
      </c>
      <c r="I1360" s="34" t="inlineStr">
        <is>
          <t>Professional decision</t>
        </is>
      </c>
      <c r="J1360" s="34" t="inlineStr">
        <is>
          <t>Maya Chen, Owner Project Controls</t>
        </is>
      </c>
      <c r="K1360" s="34" t="inlineStr">
        <is>
          <t>Professional</t>
        </is>
      </c>
      <c r="L1360" s="39" t="inlineStr"/>
      <c r="M1360" s="34" t="inlineStr">
        <is>
          <t>Initial</t>
        </is>
      </c>
      <c r="N1360" s="34" t="inlineStr">
        <is>
          <t>Rev 0</t>
        </is>
      </c>
      <c r="O1360" s="34" t="inlineStr">
        <is>
          <t>R1081-v2</t>
        </is>
      </c>
      <c r="P1360" s="39" t="inlineStr"/>
      <c r="Q1360" s="14" t="inlineStr"/>
      <c r="R1360" s="39" t="inlineStr"/>
      <c r="S1360" s="39" t="inlineStr"/>
      <c r="T1360" s="34" t="inlineStr">
        <is>
          <t>Individual</t>
        </is>
      </c>
      <c r="U1360" s="39" t="inlineStr"/>
      <c r="V1360" s="34" t="inlineStr">
        <is>
          <t>WBS Code = 2.1</t>
        </is>
      </c>
      <c r="W1360" s="34" t="inlineStr">
        <is>
          <t>Source states 'WBS Code' = '2.1' -- names no element of this WBS -- professional reason (Maya Chen, Owner Project Controls): Source states a project-delivery code outside the currently approved Owner WBS.</t>
        </is>
      </c>
    </row>
    <row r="1361" ht="49" customHeight="1">
      <c r="A1361" s="34" t="inlineStr">
        <is>
          <t>NO_WBS</t>
        </is>
      </c>
      <c r="B1361" s="39" t="inlineStr"/>
      <c r="C1361" s="34" t="inlineStr">
        <is>
          <t>Contractor Programme</t>
        </is>
      </c>
      <c r="D1361" s="34" t="inlineStr">
        <is>
          <t>SCH-90-902</t>
        </is>
      </c>
      <c r="E1361" s="34" t="inlineStr">
        <is>
          <t>Corporate training unrelated to project delivery scope</t>
        </is>
      </c>
      <c r="F1361" s="34" t="inlineStr">
        <is>
          <t>NO_WBS</t>
        </is>
      </c>
      <c r="G1361" s="34" t="inlineStr">
        <is>
          <t>APPROVED</t>
        </is>
      </c>
      <c r="H1361" s="34" t="inlineStr">
        <is>
          <t>New</t>
        </is>
      </c>
      <c r="I1361" s="34" t="inlineStr">
        <is>
          <t>Professional decision</t>
        </is>
      </c>
      <c r="J1361" s="34" t="inlineStr">
        <is>
          <t>Maya Chen, Owner Project Controls</t>
        </is>
      </c>
      <c r="K1361" s="34" t="inlineStr">
        <is>
          <t>Professional</t>
        </is>
      </c>
      <c r="L1361" s="39" t="inlineStr"/>
      <c r="M1361" s="34" t="inlineStr">
        <is>
          <t>Initial</t>
        </is>
      </c>
      <c r="N1361" s="34" t="inlineStr">
        <is>
          <t>Rev 0</t>
        </is>
      </c>
      <c r="O1361" s="34" t="inlineStr">
        <is>
          <t>R1082-v2</t>
        </is>
      </c>
      <c r="P1361" s="39" t="inlineStr"/>
      <c r="Q1361" s="14" t="inlineStr"/>
      <c r="R1361" s="39" t="inlineStr"/>
      <c r="S1361" s="39" t="inlineStr"/>
      <c r="T1361" s="34" t="inlineStr">
        <is>
          <t>Individual</t>
        </is>
      </c>
      <c r="U1361" s="39" t="inlineStr"/>
      <c r="V1361" s="14" t="inlineStr"/>
      <c r="W1361" s="14" t="inlineStr"/>
    </row>
    <row r="1362" ht="64" customHeight="1">
      <c r="A1362" s="34" t="inlineStr">
        <is>
          <t>UNSURE</t>
        </is>
      </c>
      <c r="B1362" s="39" t="inlineStr"/>
      <c r="C1362" s="34" t="inlineStr">
        <is>
          <t>Contractor Programme</t>
        </is>
      </c>
      <c r="D1362" s="34" t="inlineStr">
        <is>
          <t>SCH-02-003</t>
        </is>
      </c>
      <c r="E1362" s="34" t="inlineStr">
        <is>
          <t>Interface works near stations boundary</t>
        </is>
      </c>
      <c r="F1362" s="34" t="inlineStr">
        <is>
          <t>UNSURE</t>
        </is>
      </c>
      <c r="G1362" s="34" t="inlineStr">
        <is>
          <t>APPROVED</t>
        </is>
      </c>
      <c r="H1362" s="34" t="inlineStr">
        <is>
          <t>New</t>
        </is>
      </c>
      <c r="I1362" s="34" t="inlineStr">
        <is>
          <t>Professional decision</t>
        </is>
      </c>
      <c r="J1362" s="34" t="inlineStr">
        <is>
          <t>Maya Chen, Owner Project Controls</t>
        </is>
      </c>
      <c r="K1362" s="34" t="inlineStr">
        <is>
          <t>Professional</t>
        </is>
      </c>
      <c r="L1362" s="39" t="inlineStr"/>
      <c r="M1362" s="34" t="inlineStr">
        <is>
          <t>Initial</t>
        </is>
      </c>
      <c r="N1362" s="34" t="inlineStr">
        <is>
          <t>Rev 0</t>
        </is>
      </c>
      <c r="O1362" s="34" t="inlineStr">
        <is>
          <t>R183-v2</t>
        </is>
      </c>
      <c r="P1362" s="39" t="inlineStr"/>
      <c r="Q1362" s="14" t="inlineStr"/>
      <c r="R1362" s="39" t="inlineStr"/>
      <c r="S1362" s="39" t="inlineStr"/>
      <c r="T1362" s="34" t="inlineStr">
        <is>
          <t>Group decision (182 records sharing one decision state)</t>
        </is>
      </c>
      <c r="U1362" s="39" t="inlineStr"/>
      <c r="V1362" s="14" t="inlineStr"/>
      <c r="W1362" s="14" t="inlineStr"/>
    </row>
    <row r="1363" ht="64" customHeight="1">
      <c r="A1363" s="34" t="inlineStr">
        <is>
          <t>UNSURE</t>
        </is>
      </c>
      <c r="B1363" s="39" t="inlineStr"/>
      <c r="C1363" s="34" t="inlineStr">
        <is>
          <t>Contractor Programme</t>
        </is>
      </c>
      <c r="D1363" s="34" t="inlineStr">
        <is>
          <t>SCH-04-003</t>
        </is>
      </c>
      <c r="E1363" s="34" t="inlineStr">
        <is>
          <t>Interface works near vehicles and depot boundary</t>
        </is>
      </c>
      <c r="F1363" s="34" t="inlineStr">
        <is>
          <t>UNSURE</t>
        </is>
      </c>
      <c r="G1363" s="34" t="inlineStr">
        <is>
          <t>APPROVED</t>
        </is>
      </c>
      <c r="H1363" s="34" t="inlineStr">
        <is>
          <t>New</t>
        </is>
      </c>
      <c r="I1363" s="34" t="inlineStr">
        <is>
          <t>Professional decision</t>
        </is>
      </c>
      <c r="J1363" s="34" t="inlineStr">
        <is>
          <t>Maya Chen, Owner Project Controls</t>
        </is>
      </c>
      <c r="K1363" s="34" t="inlineStr">
        <is>
          <t>Professional</t>
        </is>
      </c>
      <c r="L1363" s="39" t="inlineStr"/>
      <c r="M1363" s="34" t="inlineStr">
        <is>
          <t>Initial</t>
        </is>
      </c>
      <c r="N1363" s="34" t="inlineStr">
        <is>
          <t>Rev 0</t>
        </is>
      </c>
      <c r="O1363" s="34" t="inlineStr">
        <is>
          <t>R543-v2</t>
        </is>
      </c>
      <c r="P1363" s="39" t="inlineStr"/>
      <c r="Q1363" s="14" t="inlineStr"/>
      <c r="R1363" s="39" t="inlineStr"/>
      <c r="S1363" s="39" t="inlineStr"/>
      <c r="T1363" s="34" t="inlineStr">
        <is>
          <t>Group decision (182 records sharing one decision state)</t>
        </is>
      </c>
      <c r="U1363" s="39" t="inlineStr"/>
      <c r="V1363" s="14" t="inlineStr"/>
      <c r="W1363" s="14" t="inlineStr"/>
    </row>
    <row r="1364" ht="64" customHeight="1">
      <c r="A1364" s="34" t="inlineStr">
        <is>
          <t>UNSURE</t>
        </is>
      </c>
      <c r="B1364" s="39" t="inlineStr"/>
      <c r="C1364" s="34" t="inlineStr">
        <is>
          <t>Contractor Programme</t>
        </is>
      </c>
      <c r="D1364" s="34" t="inlineStr">
        <is>
          <t>SCH-06-001</t>
        </is>
      </c>
      <c r="E1364" s="34" t="inlineStr">
        <is>
          <t>Systems package: commercial change review - installation</t>
        </is>
      </c>
      <c r="F1364" s="34" t="inlineStr">
        <is>
          <t>UNSURE</t>
        </is>
      </c>
      <c r="G1364" s="34" t="inlineStr">
        <is>
          <t>APPROVED</t>
        </is>
      </c>
      <c r="H1364" s="34" t="inlineStr">
        <is>
          <t>New</t>
        </is>
      </c>
      <c r="I1364" s="34" t="inlineStr">
        <is>
          <t>Professional decision</t>
        </is>
      </c>
      <c r="J1364" s="34" t="inlineStr">
        <is>
          <t>Maya Chen, Owner Project Controls</t>
        </is>
      </c>
      <c r="K1364" s="34" t="inlineStr">
        <is>
          <t>Professional</t>
        </is>
      </c>
      <c r="L1364" s="39" t="inlineStr"/>
      <c r="M1364" s="34" t="inlineStr">
        <is>
          <t>Initial</t>
        </is>
      </c>
      <c r="N1364" s="34" t="inlineStr">
        <is>
          <t>Rev 0</t>
        </is>
      </c>
      <c r="O1364" s="34" t="inlineStr">
        <is>
          <t>R901-v2</t>
        </is>
      </c>
      <c r="P1364" s="39" t="inlineStr"/>
      <c r="Q1364" s="14" t="inlineStr"/>
      <c r="R1364" s="39" t="inlineStr"/>
      <c r="S1364" s="39" t="inlineStr"/>
      <c r="T1364" s="34" t="inlineStr">
        <is>
          <t>Group decision (182 records sharing one decision state)</t>
        </is>
      </c>
      <c r="U1364" s="39" t="inlineStr"/>
      <c r="V1364" s="14" t="inlineStr"/>
      <c r="W1364" s="14" t="inlineStr"/>
    </row>
    <row r="1365" ht="64" customHeight="1">
      <c r="A1365" s="34" t="inlineStr">
        <is>
          <t>UNSURE</t>
        </is>
      </c>
      <c r="B1365" s="39" t="inlineStr"/>
      <c r="C1365" s="34" t="inlineStr">
        <is>
          <t>Contractor Programme</t>
        </is>
      </c>
      <c r="D1365" s="34" t="inlineStr">
        <is>
          <t>SCH-06-002</t>
        </is>
      </c>
      <c r="E1365" s="34" t="inlineStr">
        <is>
          <t>Fleet package: design-package integration review - inspection</t>
        </is>
      </c>
      <c r="F1365" s="34" t="inlineStr">
        <is>
          <t>UNSURE</t>
        </is>
      </c>
      <c r="G1365" s="34" t="inlineStr">
        <is>
          <t>APPROVED</t>
        </is>
      </c>
      <c r="H1365" s="34" t="inlineStr">
        <is>
          <t>New</t>
        </is>
      </c>
      <c r="I1365" s="34" t="inlineStr">
        <is>
          <t>Professional decision</t>
        </is>
      </c>
      <c r="J1365" s="34" t="inlineStr">
        <is>
          <t>Maya Chen, Owner Project Controls</t>
        </is>
      </c>
      <c r="K1365" s="34" t="inlineStr">
        <is>
          <t>Professional</t>
        </is>
      </c>
      <c r="L1365" s="39" t="inlineStr"/>
      <c r="M1365" s="34" t="inlineStr">
        <is>
          <t>Initial</t>
        </is>
      </c>
      <c r="N1365" s="34" t="inlineStr">
        <is>
          <t>Rev 0</t>
        </is>
      </c>
      <c r="O1365" s="34" t="inlineStr">
        <is>
          <t>R902-v2</t>
        </is>
      </c>
      <c r="P1365" s="39" t="inlineStr"/>
      <c r="Q1365" s="14" t="inlineStr"/>
      <c r="R1365" s="39" t="inlineStr"/>
      <c r="S1365" s="39" t="inlineStr"/>
      <c r="T1365" s="34" t="inlineStr">
        <is>
          <t>Group decision (182 records sharing one decision state)</t>
        </is>
      </c>
      <c r="U1365" s="39" t="inlineStr"/>
      <c r="V1365" s="14" t="inlineStr"/>
      <c r="W1365" s="14" t="inlineStr"/>
    </row>
    <row r="1366" ht="64" customHeight="1">
      <c r="A1366" s="34" t="inlineStr">
        <is>
          <t>UNSURE</t>
        </is>
      </c>
      <c r="B1366" s="39" t="inlineStr"/>
      <c r="C1366" s="34" t="inlineStr">
        <is>
          <t>Contractor Programme</t>
        </is>
      </c>
      <c r="D1366" s="34" t="inlineStr">
        <is>
          <t>SCH-06-003</t>
        </is>
      </c>
      <c r="E1366" s="34" t="inlineStr">
        <is>
          <t>Interface works near program management boundary</t>
        </is>
      </c>
      <c r="F1366" s="34" t="inlineStr">
        <is>
          <t>UNSURE</t>
        </is>
      </c>
      <c r="G1366" s="34" t="inlineStr">
        <is>
          <t>APPROVED</t>
        </is>
      </c>
      <c r="H1366" s="34" t="inlineStr">
        <is>
          <t>New</t>
        </is>
      </c>
      <c r="I1366" s="34" t="inlineStr">
        <is>
          <t>Professional decision</t>
        </is>
      </c>
      <c r="J1366" s="34" t="inlineStr">
        <is>
          <t>Maya Chen, Owner Project Controls</t>
        </is>
      </c>
      <c r="K1366" s="34" t="inlineStr">
        <is>
          <t>Professional</t>
        </is>
      </c>
      <c r="L1366" s="39" t="inlineStr"/>
      <c r="M1366" s="34" t="inlineStr">
        <is>
          <t>Initial</t>
        </is>
      </c>
      <c r="N1366" s="34" t="inlineStr">
        <is>
          <t>Rev 0</t>
        </is>
      </c>
      <c r="O1366" s="34" t="inlineStr">
        <is>
          <t>R903-v2</t>
        </is>
      </c>
      <c r="P1366" s="39" t="inlineStr"/>
      <c r="Q1366" s="14" t="inlineStr"/>
      <c r="R1366" s="39" t="inlineStr"/>
      <c r="S1366" s="39" t="inlineStr"/>
      <c r="T1366" s="34" t="inlineStr">
        <is>
          <t>Group decision (182 records sharing one decision state)</t>
        </is>
      </c>
      <c r="U1366" s="39" t="inlineStr"/>
      <c r="V1366" s="14" t="inlineStr"/>
      <c r="W1366" s="14" t="inlineStr"/>
    </row>
    <row r="1367" ht="64" customHeight="1">
      <c r="A1367" s="34" t="inlineStr">
        <is>
          <t>UNSURE</t>
        </is>
      </c>
      <c r="B1367" s="39" t="inlineStr"/>
      <c r="C1367" s="34" t="inlineStr">
        <is>
          <t>Contractor Programme</t>
        </is>
      </c>
      <c r="D1367" s="34" t="inlineStr">
        <is>
          <t>SCH-06-004</t>
        </is>
      </c>
      <c r="E1367" s="34" t="inlineStr">
        <is>
          <t>Civil package: permit coordination - release</t>
        </is>
      </c>
      <c r="F1367" s="34" t="inlineStr">
        <is>
          <t>UNSURE</t>
        </is>
      </c>
      <c r="G1367" s="34" t="inlineStr">
        <is>
          <t>APPROVED</t>
        </is>
      </c>
      <c r="H1367" s="34" t="inlineStr">
        <is>
          <t>New</t>
        </is>
      </c>
      <c r="I1367" s="34" t="inlineStr">
        <is>
          <t>Professional decision</t>
        </is>
      </c>
      <c r="J1367" s="34" t="inlineStr">
        <is>
          <t>Maya Chen, Owner Project Controls</t>
        </is>
      </c>
      <c r="K1367" s="34" t="inlineStr">
        <is>
          <t>Professional</t>
        </is>
      </c>
      <c r="L1367" s="39" t="inlineStr"/>
      <c r="M1367" s="34" t="inlineStr">
        <is>
          <t>Initial</t>
        </is>
      </c>
      <c r="N1367" s="34" t="inlineStr">
        <is>
          <t>Rev 0</t>
        </is>
      </c>
      <c r="O1367" s="34" t="inlineStr">
        <is>
          <t>R904-v2</t>
        </is>
      </c>
      <c r="P1367" s="39" t="inlineStr"/>
      <c r="Q1367" s="14" t="inlineStr"/>
      <c r="R1367" s="39" t="inlineStr"/>
      <c r="S1367" s="39" t="inlineStr"/>
      <c r="T1367" s="34" t="inlineStr">
        <is>
          <t>Group decision (182 records sharing one decision state)</t>
        </is>
      </c>
      <c r="U1367" s="39" t="inlineStr"/>
      <c r="V1367" s="14" t="inlineStr"/>
      <c r="W1367" s="14" t="inlineStr"/>
    </row>
    <row r="1368" ht="64" customHeight="1">
      <c r="A1368" s="34" t="inlineStr">
        <is>
          <t>UNSURE</t>
        </is>
      </c>
      <c r="B1368" s="39" t="inlineStr"/>
      <c r="C1368" s="34" t="inlineStr">
        <is>
          <t>Contractor Programme</t>
        </is>
      </c>
      <c r="D1368" s="34" t="inlineStr">
        <is>
          <t>SCH-06-005</t>
        </is>
      </c>
      <c r="E1368" s="34" t="inlineStr">
        <is>
          <t>Stations package: delivery risk workshop - field start</t>
        </is>
      </c>
      <c r="F1368" s="34" t="inlineStr">
        <is>
          <t>UNSURE</t>
        </is>
      </c>
      <c r="G1368" s="34" t="inlineStr">
        <is>
          <t>APPROVED</t>
        </is>
      </c>
      <c r="H1368" s="34" t="inlineStr">
        <is>
          <t>New</t>
        </is>
      </c>
      <c r="I1368" s="34" t="inlineStr">
        <is>
          <t>Professional decision</t>
        </is>
      </c>
      <c r="J1368" s="34" t="inlineStr">
        <is>
          <t>Maya Chen, Owner Project Controls</t>
        </is>
      </c>
      <c r="K1368" s="34" t="inlineStr">
        <is>
          <t>Professional</t>
        </is>
      </c>
      <c r="L1368" s="39" t="inlineStr"/>
      <c r="M1368" s="34" t="inlineStr">
        <is>
          <t>Initial</t>
        </is>
      </c>
      <c r="N1368" s="34" t="inlineStr">
        <is>
          <t>Rev 0</t>
        </is>
      </c>
      <c r="O1368" s="34" t="inlineStr">
        <is>
          <t>R905-v2</t>
        </is>
      </c>
      <c r="P1368" s="39" t="inlineStr"/>
      <c r="Q1368" s="14" t="inlineStr"/>
      <c r="R1368" s="39" t="inlineStr"/>
      <c r="S1368" s="39" t="inlineStr"/>
      <c r="T1368" s="34" t="inlineStr">
        <is>
          <t>Group decision (182 records sharing one decision state)</t>
        </is>
      </c>
      <c r="U1368" s="39" t="inlineStr"/>
      <c r="V1368" s="14" t="inlineStr"/>
      <c r="W1368" s="14" t="inlineStr"/>
    </row>
    <row r="1369" ht="64" customHeight="1">
      <c r="A1369" s="34" t="inlineStr">
        <is>
          <t>UNSURE</t>
        </is>
      </c>
      <c r="B1369" s="39" t="inlineStr"/>
      <c r="C1369" s="34" t="inlineStr">
        <is>
          <t>Contractor Programme</t>
        </is>
      </c>
      <c r="D1369" s="34" t="inlineStr">
        <is>
          <t>SCH-06-006</t>
        </is>
      </c>
      <c r="E1369" s="34" t="inlineStr">
        <is>
          <t>Systems package: monthly controls cut-off - installation</t>
        </is>
      </c>
      <c r="F1369" s="34" t="inlineStr">
        <is>
          <t>UNSURE</t>
        </is>
      </c>
      <c r="G1369" s="34" t="inlineStr">
        <is>
          <t>APPROVED</t>
        </is>
      </c>
      <c r="H1369" s="34" t="inlineStr">
        <is>
          <t>New</t>
        </is>
      </c>
      <c r="I1369" s="34" t="inlineStr">
        <is>
          <t>Professional decision</t>
        </is>
      </c>
      <c r="J1369" s="34" t="inlineStr">
        <is>
          <t>Maya Chen, Owner Project Controls</t>
        </is>
      </c>
      <c r="K1369" s="34" t="inlineStr">
        <is>
          <t>Professional</t>
        </is>
      </c>
      <c r="L1369" s="39" t="inlineStr"/>
      <c r="M1369" s="34" t="inlineStr">
        <is>
          <t>Initial</t>
        </is>
      </c>
      <c r="N1369" s="34" t="inlineStr">
        <is>
          <t>Rev 0</t>
        </is>
      </c>
      <c r="O1369" s="34" t="inlineStr">
        <is>
          <t>R906-v2</t>
        </is>
      </c>
      <c r="P1369" s="39" t="inlineStr"/>
      <c r="Q1369" s="14" t="inlineStr"/>
      <c r="R1369" s="39" t="inlineStr"/>
      <c r="S1369" s="39" t="inlineStr"/>
      <c r="T1369" s="34" t="inlineStr">
        <is>
          <t>Group decision (182 records sharing one decision state)</t>
        </is>
      </c>
      <c r="U1369" s="39" t="inlineStr"/>
      <c r="V1369" s="14" t="inlineStr"/>
      <c r="W1369" s="14" t="inlineStr"/>
    </row>
    <row r="1370" ht="64" customHeight="1">
      <c r="A1370" s="34" t="inlineStr">
        <is>
          <t>UNSURE</t>
        </is>
      </c>
      <c r="B1370" s="39" t="inlineStr"/>
      <c r="C1370" s="34" t="inlineStr">
        <is>
          <t>Contractor Programme</t>
        </is>
      </c>
      <c r="D1370" s="34" t="inlineStr">
        <is>
          <t>SCH-06-007</t>
        </is>
      </c>
      <c r="E1370" s="34" t="inlineStr">
        <is>
          <t>Fleet package: stakeholder interface meeting - inspection</t>
        </is>
      </c>
      <c r="F1370" s="34" t="inlineStr">
        <is>
          <t>UNSURE</t>
        </is>
      </c>
      <c r="G1370" s="34" t="inlineStr">
        <is>
          <t>APPROVED</t>
        </is>
      </c>
      <c r="H1370" s="34" t="inlineStr">
        <is>
          <t>New</t>
        </is>
      </c>
      <c r="I1370" s="34" t="inlineStr">
        <is>
          <t>Professional decision</t>
        </is>
      </c>
      <c r="J1370" s="34" t="inlineStr">
        <is>
          <t>Maya Chen, Owner Project Controls</t>
        </is>
      </c>
      <c r="K1370" s="34" t="inlineStr">
        <is>
          <t>Professional</t>
        </is>
      </c>
      <c r="L1370" s="39" t="inlineStr"/>
      <c r="M1370" s="34" t="inlineStr">
        <is>
          <t>Initial</t>
        </is>
      </c>
      <c r="N1370" s="34" t="inlineStr">
        <is>
          <t>Rev 0</t>
        </is>
      </c>
      <c r="O1370" s="34" t="inlineStr">
        <is>
          <t>R907-v2</t>
        </is>
      </c>
      <c r="P1370" s="39" t="inlineStr"/>
      <c r="Q1370" s="14" t="inlineStr"/>
      <c r="R1370" s="39" t="inlineStr"/>
      <c r="S1370" s="39" t="inlineStr"/>
      <c r="T1370" s="34" t="inlineStr">
        <is>
          <t>Group decision (182 records sharing one decision state)</t>
        </is>
      </c>
      <c r="U1370" s="39" t="inlineStr"/>
      <c r="V1370" s="14" t="inlineStr"/>
      <c r="W1370" s="14" t="inlineStr"/>
    </row>
    <row r="1371" ht="64" customHeight="1">
      <c r="A1371" s="34" t="inlineStr">
        <is>
          <t>UNSURE</t>
        </is>
      </c>
      <c r="B1371" s="39" t="inlineStr"/>
      <c r="C1371" s="34" t="inlineStr">
        <is>
          <t>Contractor Programme</t>
        </is>
      </c>
      <c r="D1371" s="34" t="inlineStr">
        <is>
          <t>SCH-06-008</t>
        </is>
      </c>
      <c r="E1371" s="34" t="inlineStr">
        <is>
          <t>Program office: baseline change control - turnover</t>
        </is>
      </c>
      <c r="F1371" s="34" t="inlineStr">
        <is>
          <t>UNSURE</t>
        </is>
      </c>
      <c r="G1371" s="34" t="inlineStr">
        <is>
          <t>APPROVED</t>
        </is>
      </c>
      <c r="H1371" s="34" t="inlineStr">
        <is>
          <t>New</t>
        </is>
      </c>
      <c r="I1371" s="34" t="inlineStr">
        <is>
          <t>Professional decision</t>
        </is>
      </c>
      <c r="J1371" s="34" t="inlineStr">
        <is>
          <t>Maya Chen, Owner Project Controls</t>
        </is>
      </c>
      <c r="K1371" s="34" t="inlineStr">
        <is>
          <t>Professional</t>
        </is>
      </c>
      <c r="L1371" s="39" t="inlineStr"/>
      <c r="M1371" s="34" t="inlineStr">
        <is>
          <t>Initial</t>
        </is>
      </c>
      <c r="N1371" s="34" t="inlineStr">
        <is>
          <t>Rev 0</t>
        </is>
      </c>
      <c r="O1371" s="34" t="inlineStr">
        <is>
          <t>R908-v2</t>
        </is>
      </c>
      <c r="P1371" s="39" t="inlineStr"/>
      <c r="Q1371" s="14" t="inlineStr"/>
      <c r="R1371" s="39" t="inlineStr"/>
      <c r="S1371" s="39" t="inlineStr"/>
      <c r="T1371" s="34" t="inlineStr">
        <is>
          <t>Group decision (182 records sharing one decision state)</t>
        </is>
      </c>
      <c r="U1371" s="39" t="inlineStr"/>
      <c r="V1371" s="14" t="inlineStr"/>
      <c r="W1371" s="14" t="inlineStr"/>
    </row>
    <row r="1372" ht="64" customHeight="1">
      <c r="A1372" s="34" t="inlineStr">
        <is>
          <t>UNSURE</t>
        </is>
      </c>
      <c r="B1372" s="39" t="inlineStr"/>
      <c r="C1372" s="34" t="inlineStr">
        <is>
          <t>Contractor Programme</t>
        </is>
      </c>
      <c r="D1372" s="34" t="inlineStr">
        <is>
          <t>SCH-06-009</t>
        </is>
      </c>
      <c r="E1372" s="34" t="inlineStr">
        <is>
          <t>Civil package: commercial change review - release</t>
        </is>
      </c>
      <c r="F1372" s="34" t="inlineStr">
        <is>
          <t>UNSURE</t>
        </is>
      </c>
      <c r="G1372" s="34" t="inlineStr">
        <is>
          <t>APPROVED</t>
        </is>
      </c>
      <c r="H1372" s="34" t="inlineStr">
        <is>
          <t>New</t>
        </is>
      </c>
      <c r="I1372" s="34" t="inlineStr">
        <is>
          <t>Professional decision</t>
        </is>
      </c>
      <c r="J1372" s="34" t="inlineStr">
        <is>
          <t>Maya Chen, Owner Project Controls</t>
        </is>
      </c>
      <c r="K1372" s="34" t="inlineStr">
        <is>
          <t>Professional</t>
        </is>
      </c>
      <c r="L1372" s="39" t="inlineStr"/>
      <c r="M1372" s="34" t="inlineStr">
        <is>
          <t>Initial</t>
        </is>
      </c>
      <c r="N1372" s="34" t="inlineStr">
        <is>
          <t>Rev 0</t>
        </is>
      </c>
      <c r="O1372" s="34" t="inlineStr">
        <is>
          <t>R909-v2</t>
        </is>
      </c>
      <c r="P1372" s="39" t="inlineStr"/>
      <c r="Q1372" s="14" t="inlineStr"/>
      <c r="R1372" s="39" t="inlineStr"/>
      <c r="S1372" s="39" t="inlineStr"/>
      <c r="T1372" s="34" t="inlineStr">
        <is>
          <t>Group decision (182 records sharing one decision state)</t>
        </is>
      </c>
      <c r="U1372" s="39" t="inlineStr"/>
      <c r="V1372" s="14" t="inlineStr"/>
      <c r="W1372" s="14" t="inlineStr"/>
    </row>
    <row r="1373" ht="64" customHeight="1">
      <c r="A1373" s="34" t="inlineStr">
        <is>
          <t>UNSURE</t>
        </is>
      </c>
      <c r="B1373" s="39" t="inlineStr"/>
      <c r="C1373" s="34" t="inlineStr">
        <is>
          <t>Contractor Programme</t>
        </is>
      </c>
      <c r="D1373" s="34" t="inlineStr">
        <is>
          <t>SCH-06-010</t>
        </is>
      </c>
      <c r="E1373" s="34" t="inlineStr">
        <is>
          <t>Stations package: design-package integration review - field start</t>
        </is>
      </c>
      <c r="F1373" s="34" t="inlineStr">
        <is>
          <t>UNSURE</t>
        </is>
      </c>
      <c r="G1373" s="34" t="inlineStr">
        <is>
          <t>APPROVED</t>
        </is>
      </c>
      <c r="H1373" s="34" t="inlineStr">
        <is>
          <t>New</t>
        </is>
      </c>
      <c r="I1373" s="34" t="inlineStr">
        <is>
          <t>Professional decision</t>
        </is>
      </c>
      <c r="J1373" s="34" t="inlineStr">
        <is>
          <t>Maya Chen, Owner Project Controls</t>
        </is>
      </c>
      <c r="K1373" s="34" t="inlineStr">
        <is>
          <t>Professional</t>
        </is>
      </c>
      <c r="L1373" s="39" t="inlineStr"/>
      <c r="M1373" s="34" t="inlineStr">
        <is>
          <t>Initial</t>
        </is>
      </c>
      <c r="N1373" s="34" t="inlineStr">
        <is>
          <t>Rev 0</t>
        </is>
      </c>
      <c r="O1373" s="34" t="inlineStr">
        <is>
          <t>R910-v2</t>
        </is>
      </c>
      <c r="P1373" s="39" t="inlineStr"/>
      <c r="Q1373" s="14" t="inlineStr"/>
      <c r="R1373" s="39" t="inlineStr"/>
      <c r="S1373" s="39" t="inlineStr"/>
      <c r="T1373" s="34" t="inlineStr">
        <is>
          <t>Group decision (182 records sharing one decision state)</t>
        </is>
      </c>
      <c r="U1373" s="39" t="inlineStr"/>
      <c r="V1373" s="14" t="inlineStr"/>
      <c r="W1373" s="14" t="inlineStr"/>
    </row>
    <row r="1374" ht="64" customHeight="1">
      <c r="A1374" s="34" t="inlineStr">
        <is>
          <t>UNSURE</t>
        </is>
      </c>
      <c r="B1374" s="39" t="inlineStr"/>
      <c r="C1374" s="34" t="inlineStr">
        <is>
          <t>Contractor Programme</t>
        </is>
      </c>
      <c r="D1374" s="34" t="inlineStr">
        <is>
          <t>SCH-06-011</t>
        </is>
      </c>
      <c r="E1374" s="34" t="inlineStr">
        <is>
          <t>Systems package: executive reporting close - installation</t>
        </is>
      </c>
      <c r="F1374" s="34" t="inlineStr">
        <is>
          <t>UNSURE</t>
        </is>
      </c>
      <c r="G1374" s="34" t="inlineStr">
        <is>
          <t>APPROVED</t>
        </is>
      </c>
      <c r="H1374" s="34" t="inlineStr">
        <is>
          <t>New</t>
        </is>
      </c>
      <c r="I1374" s="34" t="inlineStr">
        <is>
          <t>Professional decision</t>
        </is>
      </c>
      <c r="J1374" s="34" t="inlineStr">
        <is>
          <t>Maya Chen, Owner Project Controls</t>
        </is>
      </c>
      <c r="K1374" s="34" t="inlineStr">
        <is>
          <t>Professional</t>
        </is>
      </c>
      <c r="L1374" s="39" t="inlineStr"/>
      <c r="M1374" s="34" t="inlineStr">
        <is>
          <t>Initial</t>
        </is>
      </c>
      <c r="N1374" s="34" t="inlineStr">
        <is>
          <t>Rev 0</t>
        </is>
      </c>
      <c r="O1374" s="34" t="inlineStr">
        <is>
          <t>R911-v2</t>
        </is>
      </c>
      <c r="P1374" s="39" t="inlineStr"/>
      <c r="Q1374" s="14" t="inlineStr"/>
      <c r="R1374" s="39" t="inlineStr"/>
      <c r="S1374" s="39" t="inlineStr"/>
      <c r="T1374" s="34" t="inlineStr">
        <is>
          <t>Group decision (182 records sharing one decision state)</t>
        </is>
      </c>
      <c r="U1374" s="39" t="inlineStr"/>
      <c r="V1374" s="14" t="inlineStr"/>
      <c r="W1374" s="14" t="inlineStr"/>
    </row>
    <row r="1375" ht="64" customHeight="1">
      <c r="A1375" s="34" t="inlineStr">
        <is>
          <t>UNSURE</t>
        </is>
      </c>
      <c r="B1375" s="39" t="inlineStr"/>
      <c r="C1375" s="34" t="inlineStr">
        <is>
          <t>Contractor Programme</t>
        </is>
      </c>
      <c r="D1375" s="34" t="inlineStr">
        <is>
          <t>SCH-06-012</t>
        </is>
      </c>
      <c r="E1375" s="34" t="inlineStr">
        <is>
          <t>Fleet package: permit coordination - inspection</t>
        </is>
      </c>
      <c r="F1375" s="34" t="inlineStr">
        <is>
          <t>UNSURE</t>
        </is>
      </c>
      <c r="G1375" s="34" t="inlineStr">
        <is>
          <t>APPROVED</t>
        </is>
      </c>
      <c r="H1375" s="34" t="inlineStr">
        <is>
          <t>New</t>
        </is>
      </c>
      <c r="I1375" s="34" t="inlineStr">
        <is>
          <t>Professional decision</t>
        </is>
      </c>
      <c r="J1375" s="34" t="inlineStr">
        <is>
          <t>Maya Chen, Owner Project Controls</t>
        </is>
      </c>
      <c r="K1375" s="34" t="inlineStr">
        <is>
          <t>Professional</t>
        </is>
      </c>
      <c r="L1375" s="39" t="inlineStr"/>
      <c r="M1375" s="34" t="inlineStr">
        <is>
          <t>Initial</t>
        </is>
      </c>
      <c r="N1375" s="34" t="inlineStr">
        <is>
          <t>Rev 0</t>
        </is>
      </c>
      <c r="O1375" s="34" t="inlineStr">
        <is>
          <t>R912-v2</t>
        </is>
      </c>
      <c r="P1375" s="39" t="inlineStr"/>
      <c r="Q1375" s="14" t="inlineStr"/>
      <c r="R1375" s="39" t="inlineStr"/>
      <c r="S1375" s="39" t="inlineStr"/>
      <c r="T1375" s="34" t="inlineStr">
        <is>
          <t>Group decision (182 records sharing one decision state)</t>
        </is>
      </c>
      <c r="U1375" s="39" t="inlineStr"/>
      <c r="V1375" s="14" t="inlineStr"/>
      <c r="W1375" s="14" t="inlineStr"/>
    </row>
    <row r="1376" ht="64" customHeight="1">
      <c r="A1376" s="34" t="inlineStr">
        <is>
          <t>UNSURE</t>
        </is>
      </c>
      <c r="B1376" s="39" t="inlineStr"/>
      <c r="C1376" s="34" t="inlineStr">
        <is>
          <t>Contractor Programme</t>
        </is>
      </c>
      <c r="D1376" s="34" t="inlineStr">
        <is>
          <t>SCH-06-013</t>
        </is>
      </c>
      <c r="E1376" s="34" t="inlineStr">
        <is>
          <t>Program office: delivery risk workshop - turnover</t>
        </is>
      </c>
      <c r="F1376" s="34" t="inlineStr">
        <is>
          <t>UNSURE</t>
        </is>
      </c>
      <c r="G1376" s="34" t="inlineStr">
        <is>
          <t>APPROVED</t>
        </is>
      </c>
      <c r="H1376" s="34" t="inlineStr">
        <is>
          <t>New</t>
        </is>
      </c>
      <c r="I1376" s="34" t="inlineStr">
        <is>
          <t>Professional decision</t>
        </is>
      </c>
      <c r="J1376" s="34" t="inlineStr">
        <is>
          <t>Maya Chen, Owner Project Controls</t>
        </is>
      </c>
      <c r="K1376" s="34" t="inlineStr">
        <is>
          <t>Professional</t>
        </is>
      </c>
      <c r="L1376" s="39" t="inlineStr"/>
      <c r="M1376" s="34" t="inlineStr">
        <is>
          <t>Initial</t>
        </is>
      </c>
      <c r="N1376" s="34" t="inlineStr">
        <is>
          <t>Rev 0</t>
        </is>
      </c>
      <c r="O1376" s="34" t="inlineStr">
        <is>
          <t>R913-v2</t>
        </is>
      </c>
      <c r="P1376" s="39" t="inlineStr"/>
      <c r="Q1376" s="14" t="inlineStr"/>
      <c r="R1376" s="39" t="inlineStr"/>
      <c r="S1376" s="39" t="inlineStr"/>
      <c r="T1376" s="34" t="inlineStr">
        <is>
          <t>Group decision (182 records sharing one decision state)</t>
        </is>
      </c>
      <c r="U1376" s="39" t="inlineStr"/>
      <c r="V1376" s="14" t="inlineStr"/>
      <c r="W1376" s="14" t="inlineStr"/>
    </row>
    <row r="1377" ht="64" customHeight="1">
      <c r="A1377" s="34" t="inlineStr">
        <is>
          <t>UNSURE</t>
        </is>
      </c>
      <c r="B1377" s="39" t="inlineStr"/>
      <c r="C1377" s="34" t="inlineStr">
        <is>
          <t>Contractor Programme</t>
        </is>
      </c>
      <c r="D1377" s="34" t="inlineStr">
        <is>
          <t>SCH-06-014</t>
        </is>
      </c>
      <c r="E1377" s="34" t="inlineStr">
        <is>
          <t>Civil package: monthly controls cut-off - release</t>
        </is>
      </c>
      <c r="F1377" s="34" t="inlineStr">
        <is>
          <t>UNSURE</t>
        </is>
      </c>
      <c r="G1377" s="34" t="inlineStr">
        <is>
          <t>APPROVED</t>
        </is>
      </c>
      <c r="H1377" s="34" t="inlineStr">
        <is>
          <t>New</t>
        </is>
      </c>
      <c r="I1377" s="34" t="inlineStr">
        <is>
          <t>Professional decision</t>
        </is>
      </c>
      <c r="J1377" s="34" t="inlineStr">
        <is>
          <t>Maya Chen, Owner Project Controls</t>
        </is>
      </c>
      <c r="K1377" s="34" t="inlineStr">
        <is>
          <t>Professional</t>
        </is>
      </c>
      <c r="L1377" s="39" t="inlineStr"/>
      <c r="M1377" s="34" t="inlineStr">
        <is>
          <t>Initial</t>
        </is>
      </c>
      <c r="N1377" s="34" t="inlineStr">
        <is>
          <t>Rev 0</t>
        </is>
      </c>
      <c r="O1377" s="34" t="inlineStr">
        <is>
          <t>R914-v2</t>
        </is>
      </c>
      <c r="P1377" s="39" t="inlineStr"/>
      <c r="Q1377" s="14" t="inlineStr"/>
      <c r="R1377" s="39" t="inlineStr"/>
      <c r="S1377" s="39" t="inlineStr"/>
      <c r="T1377" s="34" t="inlineStr">
        <is>
          <t>Group decision (182 records sharing one decision state)</t>
        </is>
      </c>
      <c r="U1377" s="39" t="inlineStr"/>
      <c r="V1377" s="14" t="inlineStr"/>
      <c r="W1377" s="14" t="inlineStr"/>
    </row>
    <row r="1378" ht="64" customHeight="1">
      <c r="A1378" s="34" t="inlineStr">
        <is>
          <t>UNSURE</t>
        </is>
      </c>
      <c r="B1378" s="39" t="inlineStr"/>
      <c r="C1378" s="34" t="inlineStr">
        <is>
          <t>Contractor Programme</t>
        </is>
      </c>
      <c r="D1378" s="34" t="inlineStr">
        <is>
          <t>SCH-06-015</t>
        </is>
      </c>
      <c r="E1378" s="34" t="inlineStr">
        <is>
          <t>Stations package: stakeholder interface meeting - field start</t>
        </is>
      </c>
      <c r="F1378" s="34" t="inlineStr">
        <is>
          <t>UNSURE</t>
        </is>
      </c>
      <c r="G1378" s="34" t="inlineStr">
        <is>
          <t>APPROVED</t>
        </is>
      </c>
      <c r="H1378" s="34" t="inlineStr">
        <is>
          <t>New</t>
        </is>
      </c>
      <c r="I1378" s="34" t="inlineStr">
        <is>
          <t>Professional decision</t>
        </is>
      </c>
      <c r="J1378" s="34" t="inlineStr">
        <is>
          <t>Maya Chen, Owner Project Controls</t>
        </is>
      </c>
      <c r="K1378" s="34" t="inlineStr">
        <is>
          <t>Professional</t>
        </is>
      </c>
      <c r="L1378" s="39" t="inlineStr"/>
      <c r="M1378" s="34" t="inlineStr">
        <is>
          <t>Initial</t>
        </is>
      </c>
      <c r="N1378" s="34" t="inlineStr">
        <is>
          <t>Rev 0</t>
        </is>
      </c>
      <c r="O1378" s="34" t="inlineStr">
        <is>
          <t>R915-v2</t>
        </is>
      </c>
      <c r="P1378" s="39" t="inlineStr"/>
      <c r="Q1378" s="14" t="inlineStr"/>
      <c r="R1378" s="39" t="inlineStr"/>
      <c r="S1378" s="39" t="inlineStr"/>
      <c r="T1378" s="34" t="inlineStr">
        <is>
          <t>Group decision (182 records sharing one decision state)</t>
        </is>
      </c>
      <c r="U1378" s="39" t="inlineStr"/>
      <c r="V1378" s="14" t="inlineStr"/>
      <c r="W1378" s="14" t="inlineStr"/>
    </row>
    <row r="1379" ht="64" customHeight="1">
      <c r="A1379" s="34" t="inlineStr">
        <is>
          <t>UNSURE</t>
        </is>
      </c>
      <c r="B1379" s="39" t="inlineStr"/>
      <c r="C1379" s="34" t="inlineStr">
        <is>
          <t>Contractor Programme</t>
        </is>
      </c>
      <c r="D1379" s="34" t="inlineStr">
        <is>
          <t>SCH-06-016</t>
        </is>
      </c>
      <c r="E1379" s="34" t="inlineStr">
        <is>
          <t>Systems package: baseline change control - installation</t>
        </is>
      </c>
      <c r="F1379" s="34" t="inlineStr">
        <is>
          <t>UNSURE</t>
        </is>
      </c>
      <c r="G1379" s="34" t="inlineStr">
        <is>
          <t>APPROVED</t>
        </is>
      </c>
      <c r="H1379" s="34" t="inlineStr">
        <is>
          <t>New</t>
        </is>
      </c>
      <c r="I1379" s="34" t="inlineStr">
        <is>
          <t>Professional decision</t>
        </is>
      </c>
      <c r="J1379" s="34" t="inlineStr">
        <is>
          <t>Maya Chen, Owner Project Controls</t>
        </is>
      </c>
      <c r="K1379" s="34" t="inlineStr">
        <is>
          <t>Professional</t>
        </is>
      </c>
      <c r="L1379" s="39" t="inlineStr"/>
      <c r="M1379" s="34" t="inlineStr">
        <is>
          <t>Initial</t>
        </is>
      </c>
      <c r="N1379" s="34" t="inlineStr">
        <is>
          <t>Rev 0</t>
        </is>
      </c>
      <c r="O1379" s="34" t="inlineStr">
        <is>
          <t>R916-v2</t>
        </is>
      </c>
      <c r="P1379" s="39" t="inlineStr"/>
      <c r="Q1379" s="14" t="inlineStr"/>
      <c r="R1379" s="39" t="inlineStr"/>
      <c r="S1379" s="39" t="inlineStr"/>
      <c r="T1379" s="34" t="inlineStr">
        <is>
          <t>Group decision (182 records sharing one decision state)</t>
        </is>
      </c>
      <c r="U1379" s="39" t="inlineStr"/>
      <c r="V1379" s="14" t="inlineStr"/>
      <c r="W1379" s="14" t="inlineStr"/>
    </row>
    <row r="1380" ht="64" customHeight="1">
      <c r="A1380" s="34" t="inlineStr">
        <is>
          <t>UNSURE</t>
        </is>
      </c>
      <c r="B1380" s="39" t="inlineStr"/>
      <c r="C1380" s="34" t="inlineStr">
        <is>
          <t>Contractor Programme</t>
        </is>
      </c>
      <c r="D1380" s="34" t="inlineStr">
        <is>
          <t>SCH-06-017</t>
        </is>
      </c>
      <c r="E1380" s="34" t="inlineStr">
        <is>
          <t>Fleet package: commercial change review - inspection</t>
        </is>
      </c>
      <c r="F1380" s="34" t="inlineStr">
        <is>
          <t>UNSURE</t>
        </is>
      </c>
      <c r="G1380" s="34" t="inlineStr">
        <is>
          <t>APPROVED</t>
        </is>
      </c>
      <c r="H1380" s="34" t="inlineStr">
        <is>
          <t>New</t>
        </is>
      </c>
      <c r="I1380" s="34" t="inlineStr">
        <is>
          <t>Professional decision</t>
        </is>
      </c>
      <c r="J1380" s="34" t="inlineStr">
        <is>
          <t>Maya Chen, Owner Project Controls</t>
        </is>
      </c>
      <c r="K1380" s="34" t="inlineStr">
        <is>
          <t>Professional</t>
        </is>
      </c>
      <c r="L1380" s="39" t="inlineStr"/>
      <c r="M1380" s="34" t="inlineStr">
        <is>
          <t>Initial</t>
        </is>
      </c>
      <c r="N1380" s="34" t="inlineStr">
        <is>
          <t>Rev 0</t>
        </is>
      </c>
      <c r="O1380" s="34" t="inlineStr">
        <is>
          <t>R917-v2</t>
        </is>
      </c>
      <c r="P1380" s="39" t="inlineStr"/>
      <c r="Q1380" s="14" t="inlineStr"/>
      <c r="R1380" s="39" t="inlineStr"/>
      <c r="S1380" s="39" t="inlineStr"/>
      <c r="T1380" s="34" t="inlineStr">
        <is>
          <t>Group decision (182 records sharing one decision state)</t>
        </is>
      </c>
      <c r="U1380" s="39" t="inlineStr"/>
      <c r="V1380" s="14" t="inlineStr"/>
      <c r="W1380" s="14" t="inlineStr"/>
    </row>
    <row r="1381" ht="64" customHeight="1">
      <c r="A1381" s="34" t="inlineStr">
        <is>
          <t>UNSURE</t>
        </is>
      </c>
      <c r="B1381" s="39" t="inlineStr"/>
      <c r="C1381" s="34" t="inlineStr">
        <is>
          <t>Contractor Programme</t>
        </is>
      </c>
      <c r="D1381" s="34" t="inlineStr">
        <is>
          <t>SCH-06-018</t>
        </is>
      </c>
      <c r="E1381" s="34" t="inlineStr">
        <is>
          <t>Program office: design-package integration review - turnover</t>
        </is>
      </c>
      <c r="F1381" s="34" t="inlineStr">
        <is>
          <t>UNSURE</t>
        </is>
      </c>
      <c r="G1381" s="34" t="inlineStr">
        <is>
          <t>APPROVED</t>
        </is>
      </c>
      <c r="H1381" s="34" t="inlineStr">
        <is>
          <t>New</t>
        </is>
      </c>
      <c r="I1381" s="34" t="inlineStr">
        <is>
          <t>Professional decision</t>
        </is>
      </c>
      <c r="J1381" s="34" t="inlineStr">
        <is>
          <t>Maya Chen, Owner Project Controls</t>
        </is>
      </c>
      <c r="K1381" s="34" t="inlineStr">
        <is>
          <t>Professional</t>
        </is>
      </c>
      <c r="L1381" s="39" t="inlineStr"/>
      <c r="M1381" s="34" t="inlineStr">
        <is>
          <t>Initial</t>
        </is>
      </c>
      <c r="N1381" s="34" t="inlineStr">
        <is>
          <t>Rev 0</t>
        </is>
      </c>
      <c r="O1381" s="34" t="inlineStr">
        <is>
          <t>R918-v2</t>
        </is>
      </c>
      <c r="P1381" s="39" t="inlineStr"/>
      <c r="Q1381" s="14" t="inlineStr"/>
      <c r="R1381" s="39" t="inlineStr"/>
      <c r="S1381" s="39" t="inlineStr"/>
      <c r="T1381" s="34" t="inlineStr">
        <is>
          <t>Group decision (182 records sharing one decision state)</t>
        </is>
      </c>
      <c r="U1381" s="39" t="inlineStr"/>
      <c r="V1381" s="14" t="inlineStr"/>
      <c r="W1381" s="14" t="inlineStr"/>
    </row>
    <row r="1382" ht="64" customHeight="1">
      <c r="A1382" s="34" t="inlineStr">
        <is>
          <t>UNSURE</t>
        </is>
      </c>
      <c r="B1382" s="39" t="inlineStr"/>
      <c r="C1382" s="34" t="inlineStr">
        <is>
          <t>Contractor Programme</t>
        </is>
      </c>
      <c r="D1382" s="34" t="inlineStr">
        <is>
          <t>SCH-06-019</t>
        </is>
      </c>
      <c r="E1382" s="34" t="inlineStr">
        <is>
          <t>Civil package: executive reporting close - release</t>
        </is>
      </c>
      <c r="F1382" s="34" t="inlineStr">
        <is>
          <t>UNSURE</t>
        </is>
      </c>
      <c r="G1382" s="34" t="inlineStr">
        <is>
          <t>APPROVED</t>
        </is>
      </c>
      <c r="H1382" s="34" t="inlineStr">
        <is>
          <t>New</t>
        </is>
      </c>
      <c r="I1382" s="34" t="inlineStr">
        <is>
          <t>Professional decision</t>
        </is>
      </c>
      <c r="J1382" s="34" t="inlineStr">
        <is>
          <t>Maya Chen, Owner Project Controls</t>
        </is>
      </c>
      <c r="K1382" s="34" t="inlineStr">
        <is>
          <t>Professional</t>
        </is>
      </c>
      <c r="L1382" s="39" t="inlineStr"/>
      <c r="M1382" s="34" t="inlineStr">
        <is>
          <t>Initial</t>
        </is>
      </c>
      <c r="N1382" s="34" t="inlineStr">
        <is>
          <t>Rev 0</t>
        </is>
      </c>
      <c r="O1382" s="34" t="inlineStr">
        <is>
          <t>R919-v2</t>
        </is>
      </c>
      <c r="P1382" s="39" t="inlineStr"/>
      <c r="Q1382" s="14" t="inlineStr"/>
      <c r="R1382" s="39" t="inlineStr"/>
      <c r="S1382" s="39" t="inlineStr"/>
      <c r="T1382" s="34" t="inlineStr">
        <is>
          <t>Group decision (182 records sharing one decision state)</t>
        </is>
      </c>
      <c r="U1382" s="39" t="inlineStr"/>
      <c r="V1382" s="14" t="inlineStr"/>
      <c r="W1382" s="14" t="inlineStr"/>
    </row>
    <row r="1383" ht="64" customHeight="1">
      <c r="A1383" s="34" t="inlineStr">
        <is>
          <t>UNSURE</t>
        </is>
      </c>
      <c r="B1383" s="39" t="inlineStr"/>
      <c r="C1383" s="34" t="inlineStr">
        <is>
          <t>Contractor Programme</t>
        </is>
      </c>
      <c r="D1383" s="34" t="inlineStr">
        <is>
          <t>SCH-06-020</t>
        </is>
      </c>
      <c r="E1383" s="34" t="inlineStr">
        <is>
          <t>Stations package: permit coordination - field start</t>
        </is>
      </c>
      <c r="F1383" s="34" t="inlineStr">
        <is>
          <t>UNSURE</t>
        </is>
      </c>
      <c r="G1383" s="34" t="inlineStr">
        <is>
          <t>APPROVED</t>
        </is>
      </c>
      <c r="H1383" s="34" t="inlineStr">
        <is>
          <t>New</t>
        </is>
      </c>
      <c r="I1383" s="34" t="inlineStr">
        <is>
          <t>Professional decision</t>
        </is>
      </c>
      <c r="J1383" s="34" t="inlineStr">
        <is>
          <t>Maya Chen, Owner Project Controls</t>
        </is>
      </c>
      <c r="K1383" s="34" t="inlineStr">
        <is>
          <t>Professional</t>
        </is>
      </c>
      <c r="L1383" s="39" t="inlineStr"/>
      <c r="M1383" s="34" t="inlineStr">
        <is>
          <t>Initial</t>
        </is>
      </c>
      <c r="N1383" s="34" t="inlineStr">
        <is>
          <t>Rev 0</t>
        </is>
      </c>
      <c r="O1383" s="34" t="inlineStr">
        <is>
          <t>R920-v2</t>
        </is>
      </c>
      <c r="P1383" s="39" t="inlineStr"/>
      <c r="Q1383" s="14" t="inlineStr"/>
      <c r="R1383" s="39" t="inlineStr"/>
      <c r="S1383" s="39" t="inlineStr"/>
      <c r="T1383" s="34" t="inlineStr">
        <is>
          <t>Group decision (182 records sharing one decision state)</t>
        </is>
      </c>
      <c r="U1383" s="39" t="inlineStr"/>
      <c r="V1383" s="14" t="inlineStr"/>
      <c r="W1383" s="14" t="inlineStr"/>
    </row>
    <row r="1384" ht="64" customHeight="1">
      <c r="A1384" s="34" t="inlineStr">
        <is>
          <t>UNSURE</t>
        </is>
      </c>
      <c r="B1384" s="39" t="inlineStr"/>
      <c r="C1384" s="34" t="inlineStr">
        <is>
          <t>Contractor Programme</t>
        </is>
      </c>
      <c r="D1384" s="34" t="inlineStr">
        <is>
          <t>SCH-06-021</t>
        </is>
      </c>
      <c r="E1384" s="34" t="inlineStr">
        <is>
          <t>Systems package: delivery risk workshop - installation</t>
        </is>
      </c>
      <c r="F1384" s="34" t="inlineStr">
        <is>
          <t>UNSURE</t>
        </is>
      </c>
      <c r="G1384" s="34" t="inlineStr">
        <is>
          <t>APPROVED</t>
        </is>
      </c>
      <c r="H1384" s="34" t="inlineStr">
        <is>
          <t>New</t>
        </is>
      </c>
      <c r="I1384" s="34" t="inlineStr">
        <is>
          <t>Professional decision</t>
        </is>
      </c>
      <c r="J1384" s="34" t="inlineStr">
        <is>
          <t>Maya Chen, Owner Project Controls</t>
        </is>
      </c>
      <c r="K1384" s="34" t="inlineStr">
        <is>
          <t>Professional</t>
        </is>
      </c>
      <c r="L1384" s="39" t="inlineStr"/>
      <c r="M1384" s="34" t="inlineStr">
        <is>
          <t>Initial</t>
        </is>
      </c>
      <c r="N1384" s="34" t="inlineStr">
        <is>
          <t>Rev 0</t>
        </is>
      </c>
      <c r="O1384" s="34" t="inlineStr">
        <is>
          <t>R921-v2</t>
        </is>
      </c>
      <c r="P1384" s="39" t="inlineStr"/>
      <c r="Q1384" s="14" t="inlineStr"/>
      <c r="R1384" s="39" t="inlineStr"/>
      <c r="S1384" s="39" t="inlineStr"/>
      <c r="T1384" s="34" t="inlineStr">
        <is>
          <t>Group decision (182 records sharing one decision state)</t>
        </is>
      </c>
      <c r="U1384" s="39" t="inlineStr"/>
      <c r="V1384" s="14" t="inlineStr"/>
      <c r="W1384" s="14" t="inlineStr"/>
    </row>
    <row r="1385" ht="64" customHeight="1">
      <c r="A1385" s="34" t="inlineStr">
        <is>
          <t>UNSURE</t>
        </is>
      </c>
      <c r="B1385" s="39" t="inlineStr"/>
      <c r="C1385" s="34" t="inlineStr">
        <is>
          <t>Contractor Programme</t>
        </is>
      </c>
      <c r="D1385" s="34" t="inlineStr">
        <is>
          <t>SCH-06-022</t>
        </is>
      </c>
      <c r="E1385" s="34" t="inlineStr">
        <is>
          <t>Fleet package: monthly controls cut-off - inspection</t>
        </is>
      </c>
      <c r="F1385" s="34" t="inlineStr">
        <is>
          <t>UNSURE</t>
        </is>
      </c>
      <c r="G1385" s="34" t="inlineStr">
        <is>
          <t>APPROVED</t>
        </is>
      </c>
      <c r="H1385" s="34" t="inlineStr">
        <is>
          <t>New</t>
        </is>
      </c>
      <c r="I1385" s="34" t="inlineStr">
        <is>
          <t>Professional decision</t>
        </is>
      </c>
      <c r="J1385" s="34" t="inlineStr">
        <is>
          <t>Maya Chen, Owner Project Controls</t>
        </is>
      </c>
      <c r="K1385" s="34" t="inlineStr">
        <is>
          <t>Professional</t>
        </is>
      </c>
      <c r="L1385" s="39" t="inlineStr"/>
      <c r="M1385" s="34" t="inlineStr">
        <is>
          <t>Initial</t>
        </is>
      </c>
      <c r="N1385" s="34" t="inlineStr">
        <is>
          <t>Rev 0</t>
        </is>
      </c>
      <c r="O1385" s="34" t="inlineStr">
        <is>
          <t>R922-v2</t>
        </is>
      </c>
      <c r="P1385" s="39" t="inlineStr"/>
      <c r="Q1385" s="14" t="inlineStr"/>
      <c r="R1385" s="39" t="inlineStr"/>
      <c r="S1385" s="39" t="inlineStr"/>
      <c r="T1385" s="34" t="inlineStr">
        <is>
          <t>Group decision (182 records sharing one decision state)</t>
        </is>
      </c>
      <c r="U1385" s="39" t="inlineStr"/>
      <c r="V1385" s="14" t="inlineStr"/>
      <c r="W1385" s="14" t="inlineStr"/>
    </row>
    <row r="1386" ht="64" customHeight="1">
      <c r="A1386" s="34" t="inlineStr">
        <is>
          <t>UNSURE</t>
        </is>
      </c>
      <c r="B1386" s="39" t="inlineStr"/>
      <c r="C1386" s="34" t="inlineStr">
        <is>
          <t>Contractor Programme</t>
        </is>
      </c>
      <c r="D1386" s="34" t="inlineStr">
        <is>
          <t>SCH-06-023</t>
        </is>
      </c>
      <c r="E1386" s="34" t="inlineStr">
        <is>
          <t>Program office: stakeholder interface meeting - turnover</t>
        </is>
      </c>
      <c r="F1386" s="34" t="inlineStr">
        <is>
          <t>UNSURE</t>
        </is>
      </c>
      <c r="G1386" s="34" t="inlineStr">
        <is>
          <t>APPROVED</t>
        </is>
      </c>
      <c r="H1386" s="34" t="inlineStr">
        <is>
          <t>New</t>
        </is>
      </c>
      <c r="I1386" s="34" t="inlineStr">
        <is>
          <t>Professional decision</t>
        </is>
      </c>
      <c r="J1386" s="34" t="inlineStr">
        <is>
          <t>Maya Chen, Owner Project Controls</t>
        </is>
      </c>
      <c r="K1386" s="34" t="inlineStr">
        <is>
          <t>Professional</t>
        </is>
      </c>
      <c r="L1386" s="39" t="inlineStr"/>
      <c r="M1386" s="34" t="inlineStr">
        <is>
          <t>Initial</t>
        </is>
      </c>
      <c r="N1386" s="34" t="inlineStr">
        <is>
          <t>Rev 0</t>
        </is>
      </c>
      <c r="O1386" s="34" t="inlineStr">
        <is>
          <t>R923-v2</t>
        </is>
      </c>
      <c r="P1386" s="39" t="inlineStr"/>
      <c r="Q1386" s="14" t="inlineStr"/>
      <c r="R1386" s="39" t="inlineStr"/>
      <c r="S1386" s="39" t="inlineStr"/>
      <c r="T1386" s="34" t="inlineStr">
        <is>
          <t>Group decision (182 records sharing one decision state)</t>
        </is>
      </c>
      <c r="U1386" s="39" t="inlineStr"/>
      <c r="V1386" s="14" t="inlineStr"/>
      <c r="W1386" s="14" t="inlineStr"/>
    </row>
    <row r="1387" ht="64" customHeight="1">
      <c r="A1387" s="34" t="inlineStr">
        <is>
          <t>UNSURE</t>
        </is>
      </c>
      <c r="B1387" s="39" t="inlineStr"/>
      <c r="C1387" s="34" t="inlineStr">
        <is>
          <t>Contractor Programme</t>
        </is>
      </c>
      <c r="D1387" s="34" t="inlineStr">
        <is>
          <t>SCH-06-024</t>
        </is>
      </c>
      <c r="E1387" s="34" t="inlineStr">
        <is>
          <t>Civil package: baseline change control - release</t>
        </is>
      </c>
      <c r="F1387" s="34" t="inlineStr">
        <is>
          <t>UNSURE</t>
        </is>
      </c>
      <c r="G1387" s="34" t="inlineStr">
        <is>
          <t>APPROVED</t>
        </is>
      </c>
      <c r="H1387" s="34" t="inlineStr">
        <is>
          <t>New</t>
        </is>
      </c>
      <c r="I1387" s="34" t="inlineStr">
        <is>
          <t>Professional decision</t>
        </is>
      </c>
      <c r="J1387" s="34" t="inlineStr">
        <is>
          <t>Maya Chen, Owner Project Controls</t>
        </is>
      </c>
      <c r="K1387" s="34" t="inlineStr">
        <is>
          <t>Professional</t>
        </is>
      </c>
      <c r="L1387" s="39" t="inlineStr"/>
      <c r="M1387" s="34" t="inlineStr">
        <is>
          <t>Initial</t>
        </is>
      </c>
      <c r="N1387" s="34" t="inlineStr">
        <is>
          <t>Rev 0</t>
        </is>
      </c>
      <c r="O1387" s="34" t="inlineStr">
        <is>
          <t>R924-v2</t>
        </is>
      </c>
      <c r="P1387" s="39" t="inlineStr"/>
      <c r="Q1387" s="14" t="inlineStr"/>
      <c r="R1387" s="39" t="inlineStr"/>
      <c r="S1387" s="39" t="inlineStr"/>
      <c r="T1387" s="34" t="inlineStr">
        <is>
          <t>Group decision (182 records sharing one decision state)</t>
        </is>
      </c>
      <c r="U1387" s="39" t="inlineStr"/>
      <c r="V1387" s="14" t="inlineStr"/>
      <c r="W1387" s="14" t="inlineStr"/>
    </row>
    <row r="1388" ht="64" customHeight="1">
      <c r="A1388" s="34" t="inlineStr">
        <is>
          <t>UNSURE</t>
        </is>
      </c>
      <c r="B1388" s="39" t="inlineStr"/>
      <c r="C1388" s="34" t="inlineStr">
        <is>
          <t>Contractor Programme</t>
        </is>
      </c>
      <c r="D1388" s="34" t="inlineStr">
        <is>
          <t>SCH-06-025</t>
        </is>
      </c>
      <c r="E1388" s="34" t="inlineStr">
        <is>
          <t>Stations package: commercial change review - field start</t>
        </is>
      </c>
      <c r="F1388" s="34" t="inlineStr">
        <is>
          <t>UNSURE</t>
        </is>
      </c>
      <c r="G1388" s="34" t="inlineStr">
        <is>
          <t>APPROVED</t>
        </is>
      </c>
      <c r="H1388" s="34" t="inlineStr">
        <is>
          <t>New</t>
        </is>
      </c>
      <c r="I1388" s="34" t="inlineStr">
        <is>
          <t>Professional decision</t>
        </is>
      </c>
      <c r="J1388" s="34" t="inlineStr">
        <is>
          <t>Maya Chen, Owner Project Controls</t>
        </is>
      </c>
      <c r="K1388" s="34" t="inlineStr">
        <is>
          <t>Professional</t>
        </is>
      </c>
      <c r="L1388" s="39" t="inlineStr"/>
      <c r="M1388" s="34" t="inlineStr">
        <is>
          <t>Initial</t>
        </is>
      </c>
      <c r="N1388" s="34" t="inlineStr">
        <is>
          <t>Rev 0</t>
        </is>
      </c>
      <c r="O1388" s="34" t="inlineStr">
        <is>
          <t>R925-v2</t>
        </is>
      </c>
      <c r="P1388" s="39" t="inlineStr"/>
      <c r="Q1388" s="14" t="inlineStr"/>
      <c r="R1388" s="39" t="inlineStr"/>
      <c r="S1388" s="39" t="inlineStr"/>
      <c r="T1388" s="34" t="inlineStr">
        <is>
          <t>Group decision (182 records sharing one decision state)</t>
        </is>
      </c>
      <c r="U1388" s="39" t="inlineStr"/>
      <c r="V1388" s="14" t="inlineStr"/>
      <c r="W1388" s="14" t="inlineStr"/>
    </row>
    <row r="1389" ht="64" customHeight="1">
      <c r="A1389" s="34" t="inlineStr">
        <is>
          <t>UNSURE</t>
        </is>
      </c>
      <c r="B1389" s="39" t="inlineStr"/>
      <c r="C1389" s="34" t="inlineStr">
        <is>
          <t>Contractor Programme</t>
        </is>
      </c>
      <c r="D1389" s="34" t="inlineStr">
        <is>
          <t>SCH-06-026</t>
        </is>
      </c>
      <c r="E1389" s="34" t="inlineStr">
        <is>
          <t>Systems package: design-package integration review - installation</t>
        </is>
      </c>
      <c r="F1389" s="34" t="inlineStr">
        <is>
          <t>UNSURE</t>
        </is>
      </c>
      <c r="G1389" s="34" t="inlineStr">
        <is>
          <t>APPROVED</t>
        </is>
      </c>
      <c r="H1389" s="34" t="inlineStr">
        <is>
          <t>New</t>
        </is>
      </c>
      <c r="I1389" s="34" t="inlineStr">
        <is>
          <t>Professional decision</t>
        </is>
      </c>
      <c r="J1389" s="34" t="inlineStr">
        <is>
          <t>Maya Chen, Owner Project Controls</t>
        </is>
      </c>
      <c r="K1389" s="34" t="inlineStr">
        <is>
          <t>Professional</t>
        </is>
      </c>
      <c r="L1389" s="39" t="inlineStr"/>
      <c r="M1389" s="34" t="inlineStr">
        <is>
          <t>Initial</t>
        </is>
      </c>
      <c r="N1389" s="34" t="inlineStr">
        <is>
          <t>Rev 0</t>
        </is>
      </c>
      <c r="O1389" s="34" t="inlineStr">
        <is>
          <t>R926-v2</t>
        </is>
      </c>
      <c r="P1389" s="39" t="inlineStr"/>
      <c r="Q1389" s="14" t="inlineStr"/>
      <c r="R1389" s="39" t="inlineStr"/>
      <c r="S1389" s="39" t="inlineStr"/>
      <c r="T1389" s="34" t="inlineStr">
        <is>
          <t>Group decision (182 records sharing one decision state)</t>
        </is>
      </c>
      <c r="U1389" s="39" t="inlineStr"/>
      <c r="V1389" s="14" t="inlineStr"/>
      <c r="W1389" s="14" t="inlineStr"/>
    </row>
    <row r="1390" ht="64" customHeight="1">
      <c r="A1390" s="34" t="inlineStr">
        <is>
          <t>UNSURE</t>
        </is>
      </c>
      <c r="B1390" s="39" t="inlineStr"/>
      <c r="C1390" s="34" t="inlineStr">
        <is>
          <t>Contractor Programme</t>
        </is>
      </c>
      <c r="D1390" s="34" t="inlineStr">
        <is>
          <t>SCH-06-027</t>
        </is>
      </c>
      <c r="E1390" s="34" t="inlineStr">
        <is>
          <t>Fleet package: executive reporting close - inspection</t>
        </is>
      </c>
      <c r="F1390" s="34" t="inlineStr">
        <is>
          <t>UNSURE</t>
        </is>
      </c>
      <c r="G1390" s="34" t="inlineStr">
        <is>
          <t>APPROVED</t>
        </is>
      </c>
      <c r="H1390" s="34" t="inlineStr">
        <is>
          <t>New</t>
        </is>
      </c>
      <c r="I1390" s="34" t="inlineStr">
        <is>
          <t>Professional decision</t>
        </is>
      </c>
      <c r="J1390" s="34" t="inlineStr">
        <is>
          <t>Maya Chen, Owner Project Controls</t>
        </is>
      </c>
      <c r="K1390" s="34" t="inlineStr">
        <is>
          <t>Professional</t>
        </is>
      </c>
      <c r="L1390" s="39" t="inlineStr"/>
      <c r="M1390" s="34" t="inlineStr">
        <is>
          <t>Initial</t>
        </is>
      </c>
      <c r="N1390" s="34" t="inlineStr">
        <is>
          <t>Rev 0</t>
        </is>
      </c>
      <c r="O1390" s="34" t="inlineStr">
        <is>
          <t>R927-v2</t>
        </is>
      </c>
      <c r="P1390" s="39" t="inlineStr"/>
      <c r="Q1390" s="14" t="inlineStr"/>
      <c r="R1390" s="39" t="inlineStr"/>
      <c r="S1390" s="39" t="inlineStr"/>
      <c r="T1390" s="34" t="inlineStr">
        <is>
          <t>Group decision (182 records sharing one decision state)</t>
        </is>
      </c>
      <c r="U1390" s="39" t="inlineStr"/>
      <c r="V1390" s="14" t="inlineStr"/>
      <c r="W1390" s="14" t="inlineStr"/>
    </row>
    <row r="1391" ht="64" customHeight="1">
      <c r="A1391" s="34" t="inlineStr">
        <is>
          <t>UNSURE</t>
        </is>
      </c>
      <c r="B1391" s="39" t="inlineStr"/>
      <c r="C1391" s="34" t="inlineStr">
        <is>
          <t>Contractor Programme</t>
        </is>
      </c>
      <c r="D1391" s="34" t="inlineStr">
        <is>
          <t>SCH-06-028</t>
        </is>
      </c>
      <c r="E1391" s="34" t="inlineStr">
        <is>
          <t>Program office: permit coordination - turnover</t>
        </is>
      </c>
      <c r="F1391" s="34" t="inlineStr">
        <is>
          <t>UNSURE</t>
        </is>
      </c>
      <c r="G1391" s="34" t="inlineStr">
        <is>
          <t>APPROVED</t>
        </is>
      </c>
      <c r="H1391" s="34" t="inlineStr">
        <is>
          <t>New</t>
        </is>
      </c>
      <c r="I1391" s="34" t="inlineStr">
        <is>
          <t>Professional decision</t>
        </is>
      </c>
      <c r="J1391" s="34" t="inlineStr">
        <is>
          <t>Maya Chen, Owner Project Controls</t>
        </is>
      </c>
      <c r="K1391" s="34" t="inlineStr">
        <is>
          <t>Professional</t>
        </is>
      </c>
      <c r="L1391" s="39" t="inlineStr"/>
      <c r="M1391" s="34" t="inlineStr">
        <is>
          <t>Initial</t>
        </is>
      </c>
      <c r="N1391" s="34" t="inlineStr">
        <is>
          <t>Rev 0</t>
        </is>
      </c>
      <c r="O1391" s="34" t="inlineStr">
        <is>
          <t>R928-v2</t>
        </is>
      </c>
      <c r="P1391" s="39" t="inlineStr"/>
      <c r="Q1391" s="14" t="inlineStr"/>
      <c r="R1391" s="39" t="inlineStr"/>
      <c r="S1391" s="39" t="inlineStr"/>
      <c r="T1391" s="34" t="inlineStr">
        <is>
          <t>Group decision (182 records sharing one decision state)</t>
        </is>
      </c>
      <c r="U1391" s="39" t="inlineStr"/>
      <c r="V1391" s="14" t="inlineStr"/>
      <c r="W1391" s="14" t="inlineStr"/>
    </row>
    <row r="1392" ht="64" customHeight="1">
      <c r="A1392" s="34" t="inlineStr">
        <is>
          <t>UNSURE</t>
        </is>
      </c>
      <c r="B1392" s="39" t="inlineStr"/>
      <c r="C1392" s="34" t="inlineStr">
        <is>
          <t>Contractor Programme</t>
        </is>
      </c>
      <c r="D1392" s="34" t="inlineStr">
        <is>
          <t>SCH-06-029</t>
        </is>
      </c>
      <c r="E1392" s="34" t="inlineStr">
        <is>
          <t>Civil package: delivery risk workshop - release</t>
        </is>
      </c>
      <c r="F1392" s="34" t="inlineStr">
        <is>
          <t>UNSURE</t>
        </is>
      </c>
      <c r="G1392" s="34" t="inlineStr">
        <is>
          <t>APPROVED</t>
        </is>
      </c>
      <c r="H1392" s="34" t="inlineStr">
        <is>
          <t>New</t>
        </is>
      </c>
      <c r="I1392" s="34" t="inlineStr">
        <is>
          <t>Professional decision</t>
        </is>
      </c>
      <c r="J1392" s="34" t="inlineStr">
        <is>
          <t>Maya Chen, Owner Project Controls</t>
        </is>
      </c>
      <c r="K1392" s="34" t="inlineStr">
        <is>
          <t>Professional</t>
        </is>
      </c>
      <c r="L1392" s="39" t="inlineStr"/>
      <c r="M1392" s="34" t="inlineStr">
        <is>
          <t>Initial</t>
        </is>
      </c>
      <c r="N1392" s="34" t="inlineStr">
        <is>
          <t>Rev 0</t>
        </is>
      </c>
      <c r="O1392" s="34" t="inlineStr">
        <is>
          <t>R929-v2</t>
        </is>
      </c>
      <c r="P1392" s="39" t="inlineStr"/>
      <c r="Q1392" s="14" t="inlineStr"/>
      <c r="R1392" s="39" t="inlineStr"/>
      <c r="S1392" s="39" t="inlineStr"/>
      <c r="T1392" s="34" t="inlineStr">
        <is>
          <t>Group decision (182 records sharing one decision state)</t>
        </is>
      </c>
      <c r="U1392" s="39" t="inlineStr"/>
      <c r="V1392" s="14" t="inlineStr"/>
      <c r="W1392" s="14" t="inlineStr"/>
    </row>
    <row r="1393" ht="64" customHeight="1">
      <c r="A1393" s="34" t="inlineStr">
        <is>
          <t>UNSURE</t>
        </is>
      </c>
      <c r="B1393" s="39" t="inlineStr"/>
      <c r="C1393" s="34" t="inlineStr">
        <is>
          <t>Contractor Programme</t>
        </is>
      </c>
      <c r="D1393" s="34" t="inlineStr">
        <is>
          <t>SCH-06-030</t>
        </is>
      </c>
      <c r="E1393" s="34" t="inlineStr">
        <is>
          <t>Stations package: monthly controls cut-off - field start</t>
        </is>
      </c>
      <c r="F1393" s="34" t="inlineStr">
        <is>
          <t>UNSURE</t>
        </is>
      </c>
      <c r="G1393" s="34" t="inlineStr">
        <is>
          <t>APPROVED</t>
        </is>
      </c>
      <c r="H1393" s="34" t="inlineStr">
        <is>
          <t>New</t>
        </is>
      </c>
      <c r="I1393" s="34" t="inlineStr">
        <is>
          <t>Professional decision</t>
        </is>
      </c>
      <c r="J1393" s="34" t="inlineStr">
        <is>
          <t>Maya Chen, Owner Project Controls</t>
        </is>
      </c>
      <c r="K1393" s="34" t="inlineStr">
        <is>
          <t>Professional</t>
        </is>
      </c>
      <c r="L1393" s="39" t="inlineStr"/>
      <c r="M1393" s="34" t="inlineStr">
        <is>
          <t>Initial</t>
        </is>
      </c>
      <c r="N1393" s="34" t="inlineStr">
        <is>
          <t>Rev 0</t>
        </is>
      </c>
      <c r="O1393" s="34" t="inlineStr">
        <is>
          <t>R930-v2</t>
        </is>
      </c>
      <c r="P1393" s="39" t="inlineStr"/>
      <c r="Q1393" s="14" t="inlineStr"/>
      <c r="R1393" s="39" t="inlineStr"/>
      <c r="S1393" s="39" t="inlineStr"/>
      <c r="T1393" s="34" t="inlineStr">
        <is>
          <t>Group decision (182 records sharing one decision state)</t>
        </is>
      </c>
      <c r="U1393" s="39" t="inlineStr"/>
      <c r="V1393" s="14" t="inlineStr"/>
      <c r="W1393" s="14" t="inlineStr"/>
    </row>
    <row r="1394" ht="64" customHeight="1">
      <c r="A1394" s="34" t="inlineStr">
        <is>
          <t>UNSURE</t>
        </is>
      </c>
      <c r="B1394" s="39" t="inlineStr"/>
      <c r="C1394" s="34" t="inlineStr">
        <is>
          <t>Contractor Programme</t>
        </is>
      </c>
      <c r="D1394" s="34" t="inlineStr">
        <is>
          <t>SCH-06-031</t>
        </is>
      </c>
      <c r="E1394" s="34" t="inlineStr">
        <is>
          <t>Systems package: stakeholder interface meeting - installation</t>
        </is>
      </c>
      <c r="F1394" s="34" t="inlineStr">
        <is>
          <t>UNSURE</t>
        </is>
      </c>
      <c r="G1394" s="34" t="inlineStr">
        <is>
          <t>APPROVED</t>
        </is>
      </c>
      <c r="H1394" s="34" t="inlineStr">
        <is>
          <t>New</t>
        </is>
      </c>
      <c r="I1394" s="34" t="inlineStr">
        <is>
          <t>Professional decision</t>
        </is>
      </c>
      <c r="J1394" s="34" t="inlineStr">
        <is>
          <t>Maya Chen, Owner Project Controls</t>
        </is>
      </c>
      <c r="K1394" s="34" t="inlineStr">
        <is>
          <t>Professional</t>
        </is>
      </c>
      <c r="L1394" s="39" t="inlineStr"/>
      <c r="M1394" s="34" t="inlineStr">
        <is>
          <t>Initial</t>
        </is>
      </c>
      <c r="N1394" s="34" t="inlineStr">
        <is>
          <t>Rev 0</t>
        </is>
      </c>
      <c r="O1394" s="34" t="inlineStr">
        <is>
          <t>R931-v2</t>
        </is>
      </c>
      <c r="P1394" s="39" t="inlineStr"/>
      <c r="Q1394" s="14" t="inlineStr"/>
      <c r="R1394" s="39" t="inlineStr"/>
      <c r="S1394" s="39" t="inlineStr"/>
      <c r="T1394" s="34" t="inlineStr">
        <is>
          <t>Group decision (182 records sharing one decision state)</t>
        </is>
      </c>
      <c r="U1394" s="39" t="inlineStr"/>
      <c r="V1394" s="14" t="inlineStr"/>
      <c r="W1394" s="14" t="inlineStr"/>
    </row>
    <row r="1395" ht="64" customHeight="1">
      <c r="A1395" s="34" t="inlineStr">
        <is>
          <t>UNSURE</t>
        </is>
      </c>
      <c r="B1395" s="39" t="inlineStr"/>
      <c r="C1395" s="34" t="inlineStr">
        <is>
          <t>Contractor Programme</t>
        </is>
      </c>
      <c r="D1395" s="34" t="inlineStr">
        <is>
          <t>SCH-06-032</t>
        </is>
      </c>
      <c r="E1395" s="34" t="inlineStr">
        <is>
          <t>Fleet package: baseline change control - inspection</t>
        </is>
      </c>
      <c r="F1395" s="34" t="inlineStr">
        <is>
          <t>UNSURE</t>
        </is>
      </c>
      <c r="G1395" s="34" t="inlineStr">
        <is>
          <t>APPROVED</t>
        </is>
      </c>
      <c r="H1395" s="34" t="inlineStr">
        <is>
          <t>New</t>
        </is>
      </c>
      <c r="I1395" s="34" t="inlineStr">
        <is>
          <t>Professional decision</t>
        </is>
      </c>
      <c r="J1395" s="34" t="inlineStr">
        <is>
          <t>Maya Chen, Owner Project Controls</t>
        </is>
      </c>
      <c r="K1395" s="34" t="inlineStr">
        <is>
          <t>Professional</t>
        </is>
      </c>
      <c r="L1395" s="39" t="inlineStr"/>
      <c r="M1395" s="34" t="inlineStr">
        <is>
          <t>Initial</t>
        </is>
      </c>
      <c r="N1395" s="34" t="inlineStr">
        <is>
          <t>Rev 0</t>
        </is>
      </c>
      <c r="O1395" s="34" t="inlineStr">
        <is>
          <t>R932-v2</t>
        </is>
      </c>
      <c r="P1395" s="39" t="inlineStr"/>
      <c r="Q1395" s="14" t="inlineStr"/>
      <c r="R1395" s="39" t="inlineStr"/>
      <c r="S1395" s="39" t="inlineStr"/>
      <c r="T1395" s="34" t="inlineStr">
        <is>
          <t>Group decision (182 records sharing one decision state)</t>
        </is>
      </c>
      <c r="U1395" s="39" t="inlineStr"/>
      <c r="V1395" s="14" t="inlineStr"/>
      <c r="W1395" s="14" t="inlineStr"/>
    </row>
    <row r="1396" ht="64" customHeight="1">
      <c r="A1396" s="34" t="inlineStr">
        <is>
          <t>UNSURE</t>
        </is>
      </c>
      <c r="B1396" s="39" t="inlineStr"/>
      <c r="C1396" s="34" t="inlineStr">
        <is>
          <t>Contractor Programme</t>
        </is>
      </c>
      <c r="D1396" s="34" t="inlineStr">
        <is>
          <t>SCH-06-033</t>
        </is>
      </c>
      <c r="E1396" s="34" t="inlineStr">
        <is>
          <t>Program office: commercial change review - turnover</t>
        </is>
      </c>
      <c r="F1396" s="34" t="inlineStr">
        <is>
          <t>UNSURE</t>
        </is>
      </c>
      <c r="G1396" s="34" t="inlineStr">
        <is>
          <t>APPROVED</t>
        </is>
      </c>
      <c r="H1396" s="34" t="inlineStr">
        <is>
          <t>New</t>
        </is>
      </c>
      <c r="I1396" s="34" t="inlineStr">
        <is>
          <t>Professional decision</t>
        </is>
      </c>
      <c r="J1396" s="34" t="inlineStr">
        <is>
          <t>Maya Chen, Owner Project Controls</t>
        </is>
      </c>
      <c r="K1396" s="34" t="inlineStr">
        <is>
          <t>Professional</t>
        </is>
      </c>
      <c r="L1396" s="39" t="inlineStr"/>
      <c r="M1396" s="34" t="inlineStr">
        <is>
          <t>Initial</t>
        </is>
      </c>
      <c r="N1396" s="34" t="inlineStr">
        <is>
          <t>Rev 0</t>
        </is>
      </c>
      <c r="O1396" s="34" t="inlineStr">
        <is>
          <t>R933-v2</t>
        </is>
      </c>
      <c r="P1396" s="39" t="inlineStr"/>
      <c r="Q1396" s="14" t="inlineStr"/>
      <c r="R1396" s="39" t="inlineStr"/>
      <c r="S1396" s="39" t="inlineStr"/>
      <c r="T1396" s="34" t="inlineStr">
        <is>
          <t>Group decision (182 records sharing one decision state)</t>
        </is>
      </c>
      <c r="U1396" s="39" t="inlineStr"/>
      <c r="V1396" s="14" t="inlineStr"/>
      <c r="W1396" s="14" t="inlineStr"/>
    </row>
    <row r="1397" ht="64" customHeight="1">
      <c r="A1397" s="34" t="inlineStr">
        <is>
          <t>UNSURE</t>
        </is>
      </c>
      <c r="B1397" s="39" t="inlineStr"/>
      <c r="C1397" s="34" t="inlineStr">
        <is>
          <t>Contractor Programme</t>
        </is>
      </c>
      <c r="D1397" s="34" t="inlineStr">
        <is>
          <t>SCH-06-034</t>
        </is>
      </c>
      <c r="E1397" s="34" t="inlineStr">
        <is>
          <t>Civil package: design-package integration review - release</t>
        </is>
      </c>
      <c r="F1397" s="34" t="inlineStr">
        <is>
          <t>UNSURE</t>
        </is>
      </c>
      <c r="G1397" s="34" t="inlineStr">
        <is>
          <t>APPROVED</t>
        </is>
      </c>
      <c r="H1397" s="34" t="inlineStr">
        <is>
          <t>New</t>
        </is>
      </c>
      <c r="I1397" s="34" t="inlineStr">
        <is>
          <t>Professional decision</t>
        </is>
      </c>
      <c r="J1397" s="34" t="inlineStr">
        <is>
          <t>Maya Chen, Owner Project Controls</t>
        </is>
      </c>
      <c r="K1397" s="34" t="inlineStr">
        <is>
          <t>Professional</t>
        </is>
      </c>
      <c r="L1397" s="39" t="inlineStr"/>
      <c r="M1397" s="34" t="inlineStr">
        <is>
          <t>Initial</t>
        </is>
      </c>
      <c r="N1397" s="34" t="inlineStr">
        <is>
          <t>Rev 0</t>
        </is>
      </c>
      <c r="O1397" s="34" t="inlineStr">
        <is>
          <t>R934-v2</t>
        </is>
      </c>
      <c r="P1397" s="39" t="inlineStr"/>
      <c r="Q1397" s="14" t="inlineStr"/>
      <c r="R1397" s="39" t="inlineStr"/>
      <c r="S1397" s="39" t="inlineStr"/>
      <c r="T1397" s="34" t="inlineStr">
        <is>
          <t>Group decision (182 records sharing one decision state)</t>
        </is>
      </c>
      <c r="U1397" s="39" t="inlineStr"/>
      <c r="V1397" s="14" t="inlineStr"/>
      <c r="W1397" s="14" t="inlineStr"/>
    </row>
    <row r="1398" ht="64" customHeight="1">
      <c r="A1398" s="34" t="inlineStr">
        <is>
          <t>UNSURE</t>
        </is>
      </c>
      <c r="B1398" s="39" t="inlineStr"/>
      <c r="C1398" s="34" t="inlineStr">
        <is>
          <t>Contractor Programme</t>
        </is>
      </c>
      <c r="D1398" s="34" t="inlineStr">
        <is>
          <t>SCH-06-035</t>
        </is>
      </c>
      <c r="E1398" s="34" t="inlineStr">
        <is>
          <t>Stations package: executive reporting close - field start</t>
        </is>
      </c>
      <c r="F1398" s="34" t="inlineStr">
        <is>
          <t>UNSURE</t>
        </is>
      </c>
      <c r="G1398" s="34" t="inlineStr">
        <is>
          <t>APPROVED</t>
        </is>
      </c>
      <c r="H1398" s="34" t="inlineStr">
        <is>
          <t>New</t>
        </is>
      </c>
      <c r="I1398" s="34" t="inlineStr">
        <is>
          <t>Professional decision</t>
        </is>
      </c>
      <c r="J1398" s="34" t="inlineStr">
        <is>
          <t>Maya Chen, Owner Project Controls</t>
        </is>
      </c>
      <c r="K1398" s="34" t="inlineStr">
        <is>
          <t>Professional</t>
        </is>
      </c>
      <c r="L1398" s="39" t="inlineStr"/>
      <c r="M1398" s="34" t="inlineStr">
        <is>
          <t>Initial</t>
        </is>
      </c>
      <c r="N1398" s="34" t="inlineStr">
        <is>
          <t>Rev 0</t>
        </is>
      </c>
      <c r="O1398" s="34" t="inlineStr">
        <is>
          <t>R935-v2</t>
        </is>
      </c>
      <c r="P1398" s="39" t="inlineStr"/>
      <c r="Q1398" s="14" t="inlineStr"/>
      <c r="R1398" s="39" t="inlineStr"/>
      <c r="S1398" s="39" t="inlineStr"/>
      <c r="T1398" s="34" t="inlineStr">
        <is>
          <t>Group decision (182 records sharing one decision state)</t>
        </is>
      </c>
      <c r="U1398" s="39" t="inlineStr"/>
      <c r="V1398" s="14" t="inlineStr"/>
      <c r="W1398" s="14" t="inlineStr"/>
    </row>
    <row r="1399" ht="64" customHeight="1">
      <c r="A1399" s="34" t="inlineStr">
        <is>
          <t>UNSURE</t>
        </is>
      </c>
      <c r="B1399" s="39" t="inlineStr"/>
      <c r="C1399" s="34" t="inlineStr">
        <is>
          <t>Contractor Programme</t>
        </is>
      </c>
      <c r="D1399" s="34" t="inlineStr">
        <is>
          <t>SCH-06-036</t>
        </is>
      </c>
      <c r="E1399" s="34" t="inlineStr">
        <is>
          <t>Systems package: permit coordination - installation</t>
        </is>
      </c>
      <c r="F1399" s="34" t="inlineStr">
        <is>
          <t>UNSURE</t>
        </is>
      </c>
      <c r="G1399" s="34" t="inlineStr">
        <is>
          <t>APPROVED</t>
        </is>
      </c>
      <c r="H1399" s="34" t="inlineStr">
        <is>
          <t>New</t>
        </is>
      </c>
      <c r="I1399" s="34" t="inlineStr">
        <is>
          <t>Professional decision</t>
        </is>
      </c>
      <c r="J1399" s="34" t="inlineStr">
        <is>
          <t>Maya Chen, Owner Project Controls</t>
        </is>
      </c>
      <c r="K1399" s="34" t="inlineStr">
        <is>
          <t>Professional</t>
        </is>
      </c>
      <c r="L1399" s="39" t="inlineStr"/>
      <c r="M1399" s="34" t="inlineStr">
        <is>
          <t>Initial</t>
        </is>
      </c>
      <c r="N1399" s="34" t="inlineStr">
        <is>
          <t>Rev 0</t>
        </is>
      </c>
      <c r="O1399" s="34" t="inlineStr">
        <is>
          <t>R936-v2</t>
        </is>
      </c>
      <c r="P1399" s="39" t="inlineStr"/>
      <c r="Q1399" s="14" t="inlineStr"/>
      <c r="R1399" s="39" t="inlineStr"/>
      <c r="S1399" s="39" t="inlineStr"/>
      <c r="T1399" s="34" t="inlineStr">
        <is>
          <t>Group decision (182 records sharing one decision state)</t>
        </is>
      </c>
      <c r="U1399" s="39" t="inlineStr"/>
      <c r="V1399" s="14" t="inlineStr"/>
      <c r="W1399" s="14" t="inlineStr"/>
    </row>
    <row r="1400" ht="64" customHeight="1">
      <c r="A1400" s="34" t="inlineStr">
        <is>
          <t>UNSURE</t>
        </is>
      </c>
      <c r="B1400" s="39" t="inlineStr"/>
      <c r="C1400" s="34" t="inlineStr">
        <is>
          <t>Contractor Programme</t>
        </is>
      </c>
      <c r="D1400" s="34" t="inlineStr">
        <is>
          <t>SCH-06-037</t>
        </is>
      </c>
      <c r="E1400" s="34" t="inlineStr">
        <is>
          <t>Fleet package: delivery risk workshop - inspection</t>
        </is>
      </c>
      <c r="F1400" s="34" t="inlineStr">
        <is>
          <t>UNSURE</t>
        </is>
      </c>
      <c r="G1400" s="34" t="inlineStr">
        <is>
          <t>APPROVED</t>
        </is>
      </c>
      <c r="H1400" s="34" t="inlineStr">
        <is>
          <t>New</t>
        </is>
      </c>
      <c r="I1400" s="34" t="inlineStr">
        <is>
          <t>Professional decision</t>
        </is>
      </c>
      <c r="J1400" s="34" t="inlineStr">
        <is>
          <t>Maya Chen, Owner Project Controls</t>
        </is>
      </c>
      <c r="K1400" s="34" t="inlineStr">
        <is>
          <t>Professional</t>
        </is>
      </c>
      <c r="L1400" s="39" t="inlineStr"/>
      <c r="M1400" s="34" t="inlineStr">
        <is>
          <t>Initial</t>
        </is>
      </c>
      <c r="N1400" s="34" t="inlineStr">
        <is>
          <t>Rev 0</t>
        </is>
      </c>
      <c r="O1400" s="34" t="inlineStr">
        <is>
          <t>R937-v2</t>
        </is>
      </c>
      <c r="P1400" s="39" t="inlineStr"/>
      <c r="Q1400" s="14" t="inlineStr"/>
      <c r="R1400" s="39" t="inlineStr"/>
      <c r="S1400" s="39" t="inlineStr"/>
      <c r="T1400" s="34" t="inlineStr">
        <is>
          <t>Group decision (182 records sharing one decision state)</t>
        </is>
      </c>
      <c r="U1400" s="39" t="inlineStr"/>
      <c r="V1400" s="14" t="inlineStr"/>
      <c r="W1400" s="14" t="inlineStr"/>
    </row>
    <row r="1401" ht="64" customHeight="1">
      <c r="A1401" s="34" t="inlineStr">
        <is>
          <t>UNSURE</t>
        </is>
      </c>
      <c r="B1401" s="39" t="inlineStr"/>
      <c r="C1401" s="34" t="inlineStr">
        <is>
          <t>Contractor Programme</t>
        </is>
      </c>
      <c r="D1401" s="34" t="inlineStr">
        <is>
          <t>SCH-06-038</t>
        </is>
      </c>
      <c r="E1401" s="34" t="inlineStr">
        <is>
          <t>Program office: monthly controls cut-off - turnover</t>
        </is>
      </c>
      <c r="F1401" s="34" t="inlineStr">
        <is>
          <t>UNSURE</t>
        </is>
      </c>
      <c r="G1401" s="34" t="inlineStr">
        <is>
          <t>APPROVED</t>
        </is>
      </c>
      <c r="H1401" s="34" t="inlineStr">
        <is>
          <t>New</t>
        </is>
      </c>
      <c r="I1401" s="34" t="inlineStr">
        <is>
          <t>Professional decision</t>
        </is>
      </c>
      <c r="J1401" s="34" t="inlineStr">
        <is>
          <t>Maya Chen, Owner Project Controls</t>
        </is>
      </c>
      <c r="K1401" s="34" t="inlineStr">
        <is>
          <t>Professional</t>
        </is>
      </c>
      <c r="L1401" s="39" t="inlineStr"/>
      <c r="M1401" s="34" t="inlineStr">
        <is>
          <t>Initial</t>
        </is>
      </c>
      <c r="N1401" s="34" t="inlineStr">
        <is>
          <t>Rev 0</t>
        </is>
      </c>
      <c r="O1401" s="34" t="inlineStr">
        <is>
          <t>R938-v2</t>
        </is>
      </c>
      <c r="P1401" s="39" t="inlineStr"/>
      <c r="Q1401" s="14" t="inlineStr"/>
      <c r="R1401" s="39" t="inlineStr"/>
      <c r="S1401" s="39" t="inlineStr"/>
      <c r="T1401" s="34" t="inlineStr">
        <is>
          <t>Group decision (182 records sharing one decision state)</t>
        </is>
      </c>
      <c r="U1401" s="39" t="inlineStr"/>
      <c r="V1401" s="14" t="inlineStr"/>
      <c r="W1401" s="14" t="inlineStr"/>
    </row>
    <row r="1402" ht="64" customHeight="1">
      <c r="A1402" s="34" t="inlineStr">
        <is>
          <t>UNSURE</t>
        </is>
      </c>
      <c r="B1402" s="39" t="inlineStr"/>
      <c r="C1402" s="34" t="inlineStr">
        <is>
          <t>Contractor Programme</t>
        </is>
      </c>
      <c r="D1402" s="34" t="inlineStr">
        <is>
          <t>SCH-06-039</t>
        </is>
      </c>
      <c r="E1402" s="34" t="inlineStr">
        <is>
          <t>Civil package: stakeholder interface meeting - release</t>
        </is>
      </c>
      <c r="F1402" s="34" t="inlineStr">
        <is>
          <t>UNSURE</t>
        </is>
      </c>
      <c r="G1402" s="34" t="inlineStr">
        <is>
          <t>APPROVED</t>
        </is>
      </c>
      <c r="H1402" s="34" t="inlineStr">
        <is>
          <t>New</t>
        </is>
      </c>
      <c r="I1402" s="34" t="inlineStr">
        <is>
          <t>Professional decision</t>
        </is>
      </c>
      <c r="J1402" s="34" t="inlineStr">
        <is>
          <t>Maya Chen, Owner Project Controls</t>
        </is>
      </c>
      <c r="K1402" s="34" t="inlineStr">
        <is>
          <t>Professional</t>
        </is>
      </c>
      <c r="L1402" s="39" t="inlineStr"/>
      <c r="M1402" s="34" t="inlineStr">
        <is>
          <t>Initial</t>
        </is>
      </c>
      <c r="N1402" s="34" t="inlineStr">
        <is>
          <t>Rev 0</t>
        </is>
      </c>
      <c r="O1402" s="34" t="inlineStr">
        <is>
          <t>R939-v2</t>
        </is>
      </c>
      <c r="P1402" s="39" t="inlineStr"/>
      <c r="Q1402" s="14" t="inlineStr"/>
      <c r="R1402" s="39" t="inlineStr"/>
      <c r="S1402" s="39" t="inlineStr"/>
      <c r="T1402" s="34" t="inlineStr">
        <is>
          <t>Group decision (182 records sharing one decision state)</t>
        </is>
      </c>
      <c r="U1402" s="39" t="inlineStr"/>
      <c r="V1402" s="14" t="inlineStr"/>
      <c r="W1402" s="14" t="inlineStr"/>
    </row>
    <row r="1403" ht="64" customHeight="1">
      <c r="A1403" s="34" t="inlineStr">
        <is>
          <t>UNSURE</t>
        </is>
      </c>
      <c r="B1403" s="39" t="inlineStr"/>
      <c r="C1403" s="34" t="inlineStr">
        <is>
          <t>Contractor Programme</t>
        </is>
      </c>
      <c r="D1403" s="34" t="inlineStr">
        <is>
          <t>SCH-06-040</t>
        </is>
      </c>
      <c r="E1403" s="34" t="inlineStr">
        <is>
          <t>Stations package: baseline change control - field start</t>
        </is>
      </c>
      <c r="F1403" s="34" t="inlineStr">
        <is>
          <t>UNSURE</t>
        </is>
      </c>
      <c r="G1403" s="34" t="inlineStr">
        <is>
          <t>APPROVED</t>
        </is>
      </c>
      <c r="H1403" s="34" t="inlineStr">
        <is>
          <t>New</t>
        </is>
      </c>
      <c r="I1403" s="34" t="inlineStr">
        <is>
          <t>Professional decision</t>
        </is>
      </c>
      <c r="J1403" s="34" t="inlineStr">
        <is>
          <t>Maya Chen, Owner Project Controls</t>
        </is>
      </c>
      <c r="K1403" s="34" t="inlineStr">
        <is>
          <t>Professional</t>
        </is>
      </c>
      <c r="L1403" s="39" t="inlineStr"/>
      <c r="M1403" s="34" t="inlineStr">
        <is>
          <t>Initial</t>
        </is>
      </c>
      <c r="N1403" s="34" t="inlineStr">
        <is>
          <t>Rev 0</t>
        </is>
      </c>
      <c r="O1403" s="34" t="inlineStr">
        <is>
          <t>R940-v2</t>
        </is>
      </c>
      <c r="P1403" s="39" t="inlineStr"/>
      <c r="Q1403" s="14" t="inlineStr"/>
      <c r="R1403" s="39" t="inlineStr"/>
      <c r="S1403" s="39" t="inlineStr"/>
      <c r="T1403" s="34" t="inlineStr">
        <is>
          <t>Group decision (182 records sharing one decision state)</t>
        </is>
      </c>
      <c r="U1403" s="39" t="inlineStr"/>
      <c r="V1403" s="14" t="inlineStr"/>
      <c r="W1403" s="14" t="inlineStr"/>
    </row>
    <row r="1404" ht="64" customHeight="1">
      <c r="A1404" s="34" t="inlineStr">
        <is>
          <t>UNSURE</t>
        </is>
      </c>
      <c r="B1404" s="39" t="inlineStr"/>
      <c r="C1404" s="34" t="inlineStr">
        <is>
          <t>Contractor Programme</t>
        </is>
      </c>
      <c r="D1404" s="34" t="inlineStr">
        <is>
          <t>SCH-06-041</t>
        </is>
      </c>
      <c r="E1404" s="34" t="inlineStr">
        <is>
          <t>Systems package: commercial change review - installation</t>
        </is>
      </c>
      <c r="F1404" s="34" t="inlineStr">
        <is>
          <t>UNSURE</t>
        </is>
      </c>
      <c r="G1404" s="34" t="inlineStr">
        <is>
          <t>APPROVED</t>
        </is>
      </c>
      <c r="H1404" s="34" t="inlineStr">
        <is>
          <t>New</t>
        </is>
      </c>
      <c r="I1404" s="34" t="inlineStr">
        <is>
          <t>Professional decision</t>
        </is>
      </c>
      <c r="J1404" s="34" t="inlineStr">
        <is>
          <t>Maya Chen, Owner Project Controls</t>
        </is>
      </c>
      <c r="K1404" s="34" t="inlineStr">
        <is>
          <t>Professional</t>
        </is>
      </c>
      <c r="L1404" s="39" t="inlineStr"/>
      <c r="M1404" s="34" t="inlineStr">
        <is>
          <t>Initial</t>
        </is>
      </c>
      <c r="N1404" s="34" t="inlineStr">
        <is>
          <t>Rev 0</t>
        </is>
      </c>
      <c r="O1404" s="34" t="inlineStr">
        <is>
          <t>R941-v2</t>
        </is>
      </c>
      <c r="P1404" s="39" t="inlineStr"/>
      <c r="Q1404" s="14" t="inlineStr"/>
      <c r="R1404" s="39" t="inlineStr"/>
      <c r="S1404" s="39" t="inlineStr"/>
      <c r="T1404" s="34" t="inlineStr">
        <is>
          <t>Group decision (182 records sharing one decision state)</t>
        </is>
      </c>
      <c r="U1404" s="39" t="inlineStr"/>
      <c r="V1404" s="14" t="inlineStr"/>
      <c r="W1404" s="14" t="inlineStr"/>
    </row>
    <row r="1405" ht="64" customHeight="1">
      <c r="A1405" s="34" t="inlineStr">
        <is>
          <t>UNSURE</t>
        </is>
      </c>
      <c r="B1405" s="39" t="inlineStr"/>
      <c r="C1405" s="34" t="inlineStr">
        <is>
          <t>Contractor Programme</t>
        </is>
      </c>
      <c r="D1405" s="34" t="inlineStr">
        <is>
          <t>SCH-06-042</t>
        </is>
      </c>
      <c r="E1405" s="34" t="inlineStr">
        <is>
          <t>Fleet package: design-package integration review - inspection</t>
        </is>
      </c>
      <c r="F1405" s="34" t="inlineStr">
        <is>
          <t>UNSURE</t>
        </is>
      </c>
      <c r="G1405" s="34" t="inlineStr">
        <is>
          <t>APPROVED</t>
        </is>
      </c>
      <c r="H1405" s="34" t="inlineStr">
        <is>
          <t>New</t>
        </is>
      </c>
      <c r="I1405" s="34" t="inlineStr">
        <is>
          <t>Professional decision</t>
        </is>
      </c>
      <c r="J1405" s="34" t="inlineStr">
        <is>
          <t>Maya Chen, Owner Project Controls</t>
        </is>
      </c>
      <c r="K1405" s="34" t="inlineStr">
        <is>
          <t>Professional</t>
        </is>
      </c>
      <c r="L1405" s="39" t="inlineStr"/>
      <c r="M1405" s="34" t="inlineStr">
        <is>
          <t>Initial</t>
        </is>
      </c>
      <c r="N1405" s="34" t="inlineStr">
        <is>
          <t>Rev 0</t>
        </is>
      </c>
      <c r="O1405" s="34" t="inlineStr">
        <is>
          <t>R942-v2</t>
        </is>
      </c>
      <c r="P1405" s="39" t="inlineStr"/>
      <c r="Q1405" s="14" t="inlineStr"/>
      <c r="R1405" s="39" t="inlineStr"/>
      <c r="S1405" s="39" t="inlineStr"/>
      <c r="T1405" s="34" t="inlineStr">
        <is>
          <t>Group decision (182 records sharing one decision state)</t>
        </is>
      </c>
      <c r="U1405" s="39" t="inlineStr"/>
      <c r="V1405" s="14" t="inlineStr"/>
      <c r="W1405" s="14" t="inlineStr"/>
    </row>
    <row r="1406" ht="64" customHeight="1">
      <c r="A1406" s="34" t="inlineStr">
        <is>
          <t>UNSURE</t>
        </is>
      </c>
      <c r="B1406" s="39" t="inlineStr"/>
      <c r="C1406" s="34" t="inlineStr">
        <is>
          <t>Contractor Programme</t>
        </is>
      </c>
      <c r="D1406" s="34" t="inlineStr">
        <is>
          <t>SCH-06-043</t>
        </is>
      </c>
      <c r="E1406" s="34" t="inlineStr">
        <is>
          <t>Program office: executive reporting close - turnover</t>
        </is>
      </c>
      <c r="F1406" s="34" t="inlineStr">
        <is>
          <t>UNSURE</t>
        </is>
      </c>
      <c r="G1406" s="34" t="inlineStr">
        <is>
          <t>APPROVED</t>
        </is>
      </c>
      <c r="H1406" s="34" t="inlineStr">
        <is>
          <t>New</t>
        </is>
      </c>
      <c r="I1406" s="34" t="inlineStr">
        <is>
          <t>Professional decision</t>
        </is>
      </c>
      <c r="J1406" s="34" t="inlineStr">
        <is>
          <t>Maya Chen, Owner Project Controls</t>
        </is>
      </c>
      <c r="K1406" s="34" t="inlineStr">
        <is>
          <t>Professional</t>
        </is>
      </c>
      <c r="L1406" s="39" t="inlineStr"/>
      <c r="M1406" s="34" t="inlineStr">
        <is>
          <t>Initial</t>
        </is>
      </c>
      <c r="N1406" s="34" t="inlineStr">
        <is>
          <t>Rev 0</t>
        </is>
      </c>
      <c r="O1406" s="34" t="inlineStr">
        <is>
          <t>R943-v2</t>
        </is>
      </c>
      <c r="P1406" s="39" t="inlineStr"/>
      <c r="Q1406" s="14" t="inlineStr"/>
      <c r="R1406" s="39" t="inlineStr"/>
      <c r="S1406" s="39" t="inlineStr"/>
      <c r="T1406" s="34" t="inlineStr">
        <is>
          <t>Group decision (182 records sharing one decision state)</t>
        </is>
      </c>
      <c r="U1406" s="39" t="inlineStr"/>
      <c r="V1406" s="14" t="inlineStr"/>
      <c r="W1406" s="14" t="inlineStr"/>
    </row>
    <row r="1407" ht="64" customHeight="1">
      <c r="A1407" s="34" t="inlineStr">
        <is>
          <t>UNSURE</t>
        </is>
      </c>
      <c r="B1407" s="39" t="inlineStr"/>
      <c r="C1407" s="34" t="inlineStr">
        <is>
          <t>Contractor Programme</t>
        </is>
      </c>
      <c r="D1407" s="34" t="inlineStr">
        <is>
          <t>SCH-06-044</t>
        </is>
      </c>
      <c r="E1407" s="34" t="inlineStr">
        <is>
          <t>Civil package: permit coordination - release</t>
        </is>
      </c>
      <c r="F1407" s="34" t="inlineStr">
        <is>
          <t>UNSURE</t>
        </is>
      </c>
      <c r="G1407" s="34" t="inlineStr">
        <is>
          <t>APPROVED</t>
        </is>
      </c>
      <c r="H1407" s="34" t="inlineStr">
        <is>
          <t>New</t>
        </is>
      </c>
      <c r="I1407" s="34" t="inlineStr">
        <is>
          <t>Professional decision</t>
        </is>
      </c>
      <c r="J1407" s="34" t="inlineStr">
        <is>
          <t>Maya Chen, Owner Project Controls</t>
        </is>
      </c>
      <c r="K1407" s="34" t="inlineStr">
        <is>
          <t>Professional</t>
        </is>
      </c>
      <c r="L1407" s="39" t="inlineStr"/>
      <c r="M1407" s="34" t="inlineStr">
        <is>
          <t>Initial</t>
        </is>
      </c>
      <c r="N1407" s="34" t="inlineStr">
        <is>
          <t>Rev 0</t>
        </is>
      </c>
      <c r="O1407" s="34" t="inlineStr">
        <is>
          <t>R944-v2</t>
        </is>
      </c>
      <c r="P1407" s="39" t="inlineStr"/>
      <c r="Q1407" s="14" t="inlineStr"/>
      <c r="R1407" s="39" t="inlineStr"/>
      <c r="S1407" s="39" t="inlineStr"/>
      <c r="T1407" s="34" t="inlineStr">
        <is>
          <t>Group decision (182 records sharing one decision state)</t>
        </is>
      </c>
      <c r="U1407" s="39" t="inlineStr"/>
      <c r="V1407" s="14" t="inlineStr"/>
      <c r="W1407" s="14" t="inlineStr"/>
    </row>
    <row r="1408" ht="64" customHeight="1">
      <c r="A1408" s="34" t="inlineStr">
        <is>
          <t>UNSURE</t>
        </is>
      </c>
      <c r="B1408" s="39" t="inlineStr"/>
      <c r="C1408" s="34" t="inlineStr">
        <is>
          <t>Contractor Programme</t>
        </is>
      </c>
      <c r="D1408" s="34" t="inlineStr">
        <is>
          <t>SCH-06-045</t>
        </is>
      </c>
      <c r="E1408" s="34" t="inlineStr">
        <is>
          <t>Stations package: delivery risk workshop - field start</t>
        </is>
      </c>
      <c r="F1408" s="34" t="inlineStr">
        <is>
          <t>UNSURE</t>
        </is>
      </c>
      <c r="G1408" s="34" t="inlineStr">
        <is>
          <t>APPROVED</t>
        </is>
      </c>
      <c r="H1408" s="34" t="inlineStr">
        <is>
          <t>New</t>
        </is>
      </c>
      <c r="I1408" s="34" t="inlineStr">
        <is>
          <t>Professional decision</t>
        </is>
      </c>
      <c r="J1408" s="34" t="inlineStr">
        <is>
          <t>Maya Chen, Owner Project Controls</t>
        </is>
      </c>
      <c r="K1408" s="34" t="inlineStr">
        <is>
          <t>Professional</t>
        </is>
      </c>
      <c r="L1408" s="39" t="inlineStr"/>
      <c r="M1408" s="34" t="inlineStr">
        <is>
          <t>Initial</t>
        </is>
      </c>
      <c r="N1408" s="34" t="inlineStr">
        <is>
          <t>Rev 0</t>
        </is>
      </c>
      <c r="O1408" s="34" t="inlineStr">
        <is>
          <t>R945-v2</t>
        </is>
      </c>
      <c r="P1408" s="39" t="inlineStr"/>
      <c r="Q1408" s="14" t="inlineStr"/>
      <c r="R1408" s="39" t="inlineStr"/>
      <c r="S1408" s="39" t="inlineStr"/>
      <c r="T1408" s="34" t="inlineStr">
        <is>
          <t>Group decision (182 records sharing one decision state)</t>
        </is>
      </c>
      <c r="U1408" s="39" t="inlineStr"/>
      <c r="V1408" s="14" t="inlineStr"/>
      <c r="W1408" s="14" t="inlineStr"/>
    </row>
    <row r="1409" ht="64" customHeight="1">
      <c r="A1409" s="34" t="inlineStr">
        <is>
          <t>UNSURE</t>
        </is>
      </c>
      <c r="B1409" s="39" t="inlineStr"/>
      <c r="C1409" s="34" t="inlineStr">
        <is>
          <t>Contractor Programme</t>
        </is>
      </c>
      <c r="D1409" s="34" t="inlineStr">
        <is>
          <t>SCH-06-046</t>
        </is>
      </c>
      <c r="E1409" s="34" t="inlineStr">
        <is>
          <t>Systems package: monthly controls cut-off - installation</t>
        </is>
      </c>
      <c r="F1409" s="34" t="inlineStr">
        <is>
          <t>UNSURE</t>
        </is>
      </c>
      <c r="G1409" s="34" t="inlineStr">
        <is>
          <t>APPROVED</t>
        </is>
      </c>
      <c r="H1409" s="34" t="inlineStr">
        <is>
          <t>New</t>
        </is>
      </c>
      <c r="I1409" s="34" t="inlineStr">
        <is>
          <t>Professional decision</t>
        </is>
      </c>
      <c r="J1409" s="34" t="inlineStr">
        <is>
          <t>Maya Chen, Owner Project Controls</t>
        </is>
      </c>
      <c r="K1409" s="34" t="inlineStr">
        <is>
          <t>Professional</t>
        </is>
      </c>
      <c r="L1409" s="39" t="inlineStr"/>
      <c r="M1409" s="34" t="inlineStr">
        <is>
          <t>Initial</t>
        </is>
      </c>
      <c r="N1409" s="34" t="inlineStr">
        <is>
          <t>Rev 0</t>
        </is>
      </c>
      <c r="O1409" s="34" t="inlineStr">
        <is>
          <t>R946-v2</t>
        </is>
      </c>
      <c r="P1409" s="39" t="inlineStr"/>
      <c r="Q1409" s="14" t="inlineStr"/>
      <c r="R1409" s="39" t="inlineStr"/>
      <c r="S1409" s="39" t="inlineStr"/>
      <c r="T1409" s="34" t="inlineStr">
        <is>
          <t>Group decision (182 records sharing one decision state)</t>
        </is>
      </c>
      <c r="U1409" s="39" t="inlineStr"/>
      <c r="V1409" s="14" t="inlineStr"/>
      <c r="W1409" s="14" t="inlineStr"/>
    </row>
    <row r="1410" ht="64" customHeight="1">
      <c r="A1410" s="34" t="inlineStr">
        <is>
          <t>UNSURE</t>
        </is>
      </c>
      <c r="B1410" s="39" t="inlineStr"/>
      <c r="C1410" s="34" t="inlineStr">
        <is>
          <t>Contractor Programme</t>
        </is>
      </c>
      <c r="D1410" s="34" t="inlineStr">
        <is>
          <t>SCH-06-047</t>
        </is>
      </c>
      <c r="E1410" s="34" t="inlineStr">
        <is>
          <t>Fleet package: stakeholder interface meeting - inspection</t>
        </is>
      </c>
      <c r="F1410" s="34" t="inlineStr">
        <is>
          <t>UNSURE</t>
        </is>
      </c>
      <c r="G1410" s="34" t="inlineStr">
        <is>
          <t>APPROVED</t>
        </is>
      </c>
      <c r="H1410" s="34" t="inlineStr">
        <is>
          <t>New</t>
        </is>
      </c>
      <c r="I1410" s="34" t="inlineStr">
        <is>
          <t>Professional decision</t>
        </is>
      </c>
      <c r="J1410" s="34" t="inlineStr">
        <is>
          <t>Maya Chen, Owner Project Controls</t>
        </is>
      </c>
      <c r="K1410" s="34" t="inlineStr">
        <is>
          <t>Professional</t>
        </is>
      </c>
      <c r="L1410" s="39" t="inlineStr"/>
      <c r="M1410" s="34" t="inlineStr">
        <is>
          <t>Initial</t>
        </is>
      </c>
      <c r="N1410" s="34" t="inlineStr">
        <is>
          <t>Rev 0</t>
        </is>
      </c>
      <c r="O1410" s="34" t="inlineStr">
        <is>
          <t>R947-v2</t>
        </is>
      </c>
      <c r="P1410" s="39" t="inlineStr"/>
      <c r="Q1410" s="14" t="inlineStr"/>
      <c r="R1410" s="39" t="inlineStr"/>
      <c r="S1410" s="39" t="inlineStr"/>
      <c r="T1410" s="34" t="inlineStr">
        <is>
          <t>Group decision (182 records sharing one decision state)</t>
        </is>
      </c>
      <c r="U1410" s="39" t="inlineStr"/>
      <c r="V1410" s="14" t="inlineStr"/>
      <c r="W1410" s="14" t="inlineStr"/>
    </row>
    <row r="1411" ht="64" customHeight="1">
      <c r="A1411" s="34" t="inlineStr">
        <is>
          <t>UNSURE</t>
        </is>
      </c>
      <c r="B1411" s="39" t="inlineStr"/>
      <c r="C1411" s="34" t="inlineStr">
        <is>
          <t>Contractor Programme</t>
        </is>
      </c>
      <c r="D1411" s="34" t="inlineStr">
        <is>
          <t>SCH-06-048</t>
        </is>
      </c>
      <c r="E1411" s="34" t="inlineStr">
        <is>
          <t>Program office: baseline change control - turnover</t>
        </is>
      </c>
      <c r="F1411" s="34" t="inlineStr">
        <is>
          <t>UNSURE</t>
        </is>
      </c>
      <c r="G1411" s="34" t="inlineStr">
        <is>
          <t>APPROVED</t>
        </is>
      </c>
      <c r="H1411" s="34" t="inlineStr">
        <is>
          <t>New</t>
        </is>
      </c>
      <c r="I1411" s="34" t="inlineStr">
        <is>
          <t>Professional decision</t>
        </is>
      </c>
      <c r="J1411" s="34" t="inlineStr">
        <is>
          <t>Maya Chen, Owner Project Controls</t>
        </is>
      </c>
      <c r="K1411" s="34" t="inlineStr">
        <is>
          <t>Professional</t>
        </is>
      </c>
      <c r="L1411" s="39" t="inlineStr"/>
      <c r="M1411" s="34" t="inlineStr">
        <is>
          <t>Initial</t>
        </is>
      </c>
      <c r="N1411" s="34" t="inlineStr">
        <is>
          <t>Rev 0</t>
        </is>
      </c>
      <c r="O1411" s="34" t="inlineStr">
        <is>
          <t>R948-v2</t>
        </is>
      </c>
      <c r="P1411" s="39" t="inlineStr"/>
      <c r="Q1411" s="14" t="inlineStr"/>
      <c r="R1411" s="39" t="inlineStr"/>
      <c r="S1411" s="39" t="inlineStr"/>
      <c r="T1411" s="34" t="inlineStr">
        <is>
          <t>Group decision (182 records sharing one decision state)</t>
        </is>
      </c>
      <c r="U1411" s="39" t="inlineStr"/>
      <c r="V1411" s="14" t="inlineStr"/>
      <c r="W1411" s="14" t="inlineStr"/>
    </row>
    <row r="1412" ht="64" customHeight="1">
      <c r="A1412" s="34" t="inlineStr">
        <is>
          <t>UNSURE</t>
        </is>
      </c>
      <c r="B1412" s="39" t="inlineStr"/>
      <c r="C1412" s="34" t="inlineStr">
        <is>
          <t>Contractor Programme</t>
        </is>
      </c>
      <c r="D1412" s="34" t="inlineStr">
        <is>
          <t>SCH-06-049</t>
        </is>
      </c>
      <c r="E1412" s="34" t="inlineStr">
        <is>
          <t>Civil package: commercial change review - release</t>
        </is>
      </c>
      <c r="F1412" s="34" t="inlineStr">
        <is>
          <t>UNSURE</t>
        </is>
      </c>
      <c r="G1412" s="34" t="inlineStr">
        <is>
          <t>APPROVED</t>
        </is>
      </c>
      <c r="H1412" s="34" t="inlineStr">
        <is>
          <t>New</t>
        </is>
      </c>
      <c r="I1412" s="34" t="inlineStr">
        <is>
          <t>Professional decision</t>
        </is>
      </c>
      <c r="J1412" s="34" t="inlineStr">
        <is>
          <t>Maya Chen, Owner Project Controls</t>
        </is>
      </c>
      <c r="K1412" s="34" t="inlineStr">
        <is>
          <t>Professional</t>
        </is>
      </c>
      <c r="L1412" s="39" t="inlineStr"/>
      <c r="M1412" s="34" t="inlineStr">
        <is>
          <t>Initial</t>
        </is>
      </c>
      <c r="N1412" s="34" t="inlineStr">
        <is>
          <t>Rev 0</t>
        </is>
      </c>
      <c r="O1412" s="34" t="inlineStr">
        <is>
          <t>R949-v2</t>
        </is>
      </c>
      <c r="P1412" s="39" t="inlineStr"/>
      <c r="Q1412" s="14" t="inlineStr"/>
      <c r="R1412" s="39" t="inlineStr"/>
      <c r="S1412" s="39" t="inlineStr"/>
      <c r="T1412" s="34" t="inlineStr">
        <is>
          <t>Group decision (182 records sharing one decision state)</t>
        </is>
      </c>
      <c r="U1412" s="39" t="inlineStr"/>
      <c r="V1412" s="14" t="inlineStr"/>
      <c r="W1412" s="14" t="inlineStr"/>
    </row>
    <row r="1413" ht="64" customHeight="1">
      <c r="A1413" s="34" t="inlineStr">
        <is>
          <t>UNSURE</t>
        </is>
      </c>
      <c r="B1413" s="39" t="inlineStr"/>
      <c r="C1413" s="34" t="inlineStr">
        <is>
          <t>Contractor Programme</t>
        </is>
      </c>
      <c r="D1413" s="34" t="inlineStr">
        <is>
          <t>SCH-06-050</t>
        </is>
      </c>
      <c r="E1413" s="34" t="inlineStr">
        <is>
          <t>Stations package: design-package integration review - field start</t>
        </is>
      </c>
      <c r="F1413" s="34" t="inlineStr">
        <is>
          <t>UNSURE</t>
        </is>
      </c>
      <c r="G1413" s="34" t="inlineStr">
        <is>
          <t>APPROVED</t>
        </is>
      </c>
      <c r="H1413" s="34" t="inlineStr">
        <is>
          <t>New</t>
        </is>
      </c>
      <c r="I1413" s="34" t="inlineStr">
        <is>
          <t>Professional decision</t>
        </is>
      </c>
      <c r="J1413" s="34" t="inlineStr">
        <is>
          <t>Maya Chen, Owner Project Controls</t>
        </is>
      </c>
      <c r="K1413" s="34" t="inlineStr">
        <is>
          <t>Professional</t>
        </is>
      </c>
      <c r="L1413" s="39" t="inlineStr"/>
      <c r="M1413" s="34" t="inlineStr">
        <is>
          <t>Initial</t>
        </is>
      </c>
      <c r="N1413" s="34" t="inlineStr">
        <is>
          <t>Rev 0</t>
        </is>
      </c>
      <c r="O1413" s="34" t="inlineStr">
        <is>
          <t>R950-v2</t>
        </is>
      </c>
      <c r="P1413" s="39" t="inlineStr"/>
      <c r="Q1413" s="14" t="inlineStr"/>
      <c r="R1413" s="39" t="inlineStr"/>
      <c r="S1413" s="39" t="inlineStr"/>
      <c r="T1413" s="34" t="inlineStr">
        <is>
          <t>Group decision (182 records sharing one decision state)</t>
        </is>
      </c>
      <c r="U1413" s="39" t="inlineStr"/>
      <c r="V1413" s="14" t="inlineStr"/>
      <c r="W1413" s="14" t="inlineStr"/>
    </row>
    <row r="1414" ht="64" customHeight="1">
      <c r="A1414" s="34" t="inlineStr">
        <is>
          <t>UNSURE</t>
        </is>
      </c>
      <c r="B1414" s="39" t="inlineStr"/>
      <c r="C1414" s="34" t="inlineStr">
        <is>
          <t>Contractor Programme</t>
        </is>
      </c>
      <c r="D1414" s="34" t="inlineStr">
        <is>
          <t>SCH-06-051</t>
        </is>
      </c>
      <c r="E1414" s="34" t="inlineStr">
        <is>
          <t>Systems package: executive reporting close - installation</t>
        </is>
      </c>
      <c r="F1414" s="34" t="inlineStr">
        <is>
          <t>UNSURE</t>
        </is>
      </c>
      <c r="G1414" s="34" t="inlineStr">
        <is>
          <t>APPROVED</t>
        </is>
      </c>
      <c r="H1414" s="34" t="inlineStr">
        <is>
          <t>New</t>
        </is>
      </c>
      <c r="I1414" s="34" t="inlineStr">
        <is>
          <t>Professional decision</t>
        </is>
      </c>
      <c r="J1414" s="34" t="inlineStr">
        <is>
          <t>Maya Chen, Owner Project Controls</t>
        </is>
      </c>
      <c r="K1414" s="34" t="inlineStr">
        <is>
          <t>Professional</t>
        </is>
      </c>
      <c r="L1414" s="39" t="inlineStr"/>
      <c r="M1414" s="34" t="inlineStr">
        <is>
          <t>Initial</t>
        </is>
      </c>
      <c r="N1414" s="34" t="inlineStr">
        <is>
          <t>Rev 0</t>
        </is>
      </c>
      <c r="O1414" s="34" t="inlineStr">
        <is>
          <t>R951-v2</t>
        </is>
      </c>
      <c r="P1414" s="39" t="inlineStr"/>
      <c r="Q1414" s="14" t="inlineStr"/>
      <c r="R1414" s="39" t="inlineStr"/>
      <c r="S1414" s="39" t="inlineStr"/>
      <c r="T1414" s="34" t="inlineStr">
        <is>
          <t>Group decision (182 records sharing one decision state)</t>
        </is>
      </c>
      <c r="U1414" s="39" t="inlineStr"/>
      <c r="V1414" s="14" t="inlineStr"/>
      <c r="W1414" s="14" t="inlineStr"/>
    </row>
    <row r="1415" ht="64" customHeight="1">
      <c r="A1415" s="34" t="inlineStr">
        <is>
          <t>UNSURE</t>
        </is>
      </c>
      <c r="B1415" s="39" t="inlineStr"/>
      <c r="C1415" s="34" t="inlineStr">
        <is>
          <t>Contractor Programme</t>
        </is>
      </c>
      <c r="D1415" s="34" t="inlineStr">
        <is>
          <t>SCH-06-052</t>
        </is>
      </c>
      <c r="E1415" s="34" t="inlineStr">
        <is>
          <t>Fleet package: permit coordination - inspection</t>
        </is>
      </c>
      <c r="F1415" s="34" t="inlineStr">
        <is>
          <t>UNSURE</t>
        </is>
      </c>
      <c r="G1415" s="34" t="inlineStr">
        <is>
          <t>APPROVED</t>
        </is>
      </c>
      <c r="H1415" s="34" t="inlineStr">
        <is>
          <t>New</t>
        </is>
      </c>
      <c r="I1415" s="34" t="inlineStr">
        <is>
          <t>Professional decision</t>
        </is>
      </c>
      <c r="J1415" s="34" t="inlineStr">
        <is>
          <t>Maya Chen, Owner Project Controls</t>
        </is>
      </c>
      <c r="K1415" s="34" t="inlineStr">
        <is>
          <t>Professional</t>
        </is>
      </c>
      <c r="L1415" s="39" t="inlineStr"/>
      <c r="M1415" s="34" t="inlineStr">
        <is>
          <t>Initial</t>
        </is>
      </c>
      <c r="N1415" s="34" t="inlineStr">
        <is>
          <t>Rev 0</t>
        </is>
      </c>
      <c r="O1415" s="34" t="inlineStr">
        <is>
          <t>R952-v2</t>
        </is>
      </c>
      <c r="P1415" s="39" t="inlineStr"/>
      <c r="Q1415" s="14" t="inlineStr"/>
      <c r="R1415" s="39" t="inlineStr"/>
      <c r="S1415" s="39" t="inlineStr"/>
      <c r="T1415" s="34" t="inlineStr">
        <is>
          <t>Group decision (182 records sharing one decision state)</t>
        </is>
      </c>
      <c r="U1415" s="39" t="inlineStr"/>
      <c r="V1415" s="14" t="inlineStr"/>
      <c r="W1415" s="14" t="inlineStr"/>
    </row>
    <row r="1416" ht="64" customHeight="1">
      <c r="A1416" s="34" t="inlineStr">
        <is>
          <t>UNSURE</t>
        </is>
      </c>
      <c r="B1416" s="39" t="inlineStr"/>
      <c r="C1416" s="34" t="inlineStr">
        <is>
          <t>Contractor Programme</t>
        </is>
      </c>
      <c r="D1416" s="34" t="inlineStr">
        <is>
          <t>SCH-06-053</t>
        </is>
      </c>
      <c r="E1416" s="34" t="inlineStr">
        <is>
          <t>Program office: delivery risk workshop - turnover</t>
        </is>
      </c>
      <c r="F1416" s="34" t="inlineStr">
        <is>
          <t>UNSURE</t>
        </is>
      </c>
      <c r="G1416" s="34" t="inlineStr">
        <is>
          <t>APPROVED</t>
        </is>
      </c>
      <c r="H1416" s="34" t="inlineStr">
        <is>
          <t>New</t>
        </is>
      </c>
      <c r="I1416" s="34" t="inlineStr">
        <is>
          <t>Professional decision</t>
        </is>
      </c>
      <c r="J1416" s="34" t="inlineStr">
        <is>
          <t>Maya Chen, Owner Project Controls</t>
        </is>
      </c>
      <c r="K1416" s="34" t="inlineStr">
        <is>
          <t>Professional</t>
        </is>
      </c>
      <c r="L1416" s="39" t="inlineStr"/>
      <c r="M1416" s="34" t="inlineStr">
        <is>
          <t>Initial</t>
        </is>
      </c>
      <c r="N1416" s="34" t="inlineStr">
        <is>
          <t>Rev 0</t>
        </is>
      </c>
      <c r="O1416" s="34" t="inlineStr">
        <is>
          <t>R953-v2</t>
        </is>
      </c>
      <c r="P1416" s="39" t="inlineStr"/>
      <c r="Q1416" s="14" t="inlineStr"/>
      <c r="R1416" s="39" t="inlineStr"/>
      <c r="S1416" s="39" t="inlineStr"/>
      <c r="T1416" s="34" t="inlineStr">
        <is>
          <t>Group decision (182 records sharing one decision state)</t>
        </is>
      </c>
      <c r="U1416" s="39" t="inlineStr"/>
      <c r="V1416" s="14" t="inlineStr"/>
      <c r="W1416" s="14" t="inlineStr"/>
    </row>
    <row r="1417" ht="64" customHeight="1">
      <c r="A1417" s="34" t="inlineStr">
        <is>
          <t>UNSURE</t>
        </is>
      </c>
      <c r="B1417" s="39" t="inlineStr"/>
      <c r="C1417" s="34" t="inlineStr">
        <is>
          <t>Contractor Programme</t>
        </is>
      </c>
      <c r="D1417" s="34" t="inlineStr">
        <is>
          <t>SCH-06-054</t>
        </is>
      </c>
      <c r="E1417" s="34" t="inlineStr">
        <is>
          <t>Civil package: monthly controls cut-off - release</t>
        </is>
      </c>
      <c r="F1417" s="34" t="inlineStr">
        <is>
          <t>UNSURE</t>
        </is>
      </c>
      <c r="G1417" s="34" t="inlineStr">
        <is>
          <t>APPROVED</t>
        </is>
      </c>
      <c r="H1417" s="34" t="inlineStr">
        <is>
          <t>New</t>
        </is>
      </c>
      <c r="I1417" s="34" t="inlineStr">
        <is>
          <t>Professional decision</t>
        </is>
      </c>
      <c r="J1417" s="34" t="inlineStr">
        <is>
          <t>Maya Chen, Owner Project Controls</t>
        </is>
      </c>
      <c r="K1417" s="34" t="inlineStr">
        <is>
          <t>Professional</t>
        </is>
      </c>
      <c r="L1417" s="39" t="inlineStr"/>
      <c r="M1417" s="34" t="inlineStr">
        <is>
          <t>Initial</t>
        </is>
      </c>
      <c r="N1417" s="34" t="inlineStr">
        <is>
          <t>Rev 0</t>
        </is>
      </c>
      <c r="O1417" s="34" t="inlineStr">
        <is>
          <t>R954-v2</t>
        </is>
      </c>
      <c r="P1417" s="39" t="inlineStr"/>
      <c r="Q1417" s="14" t="inlineStr"/>
      <c r="R1417" s="39" t="inlineStr"/>
      <c r="S1417" s="39" t="inlineStr"/>
      <c r="T1417" s="34" t="inlineStr">
        <is>
          <t>Group decision (182 records sharing one decision state)</t>
        </is>
      </c>
      <c r="U1417" s="39" t="inlineStr"/>
      <c r="V1417" s="14" t="inlineStr"/>
      <c r="W1417" s="14" t="inlineStr"/>
    </row>
    <row r="1418" ht="64" customHeight="1">
      <c r="A1418" s="34" t="inlineStr">
        <is>
          <t>UNSURE</t>
        </is>
      </c>
      <c r="B1418" s="39" t="inlineStr"/>
      <c r="C1418" s="34" t="inlineStr">
        <is>
          <t>Contractor Programme</t>
        </is>
      </c>
      <c r="D1418" s="34" t="inlineStr">
        <is>
          <t>SCH-06-055</t>
        </is>
      </c>
      <c r="E1418" s="34" t="inlineStr">
        <is>
          <t>Stations package: stakeholder interface meeting - field start</t>
        </is>
      </c>
      <c r="F1418" s="34" t="inlineStr">
        <is>
          <t>UNSURE</t>
        </is>
      </c>
      <c r="G1418" s="34" t="inlineStr">
        <is>
          <t>APPROVED</t>
        </is>
      </c>
      <c r="H1418" s="34" t="inlineStr">
        <is>
          <t>New</t>
        </is>
      </c>
      <c r="I1418" s="34" t="inlineStr">
        <is>
          <t>Professional decision</t>
        </is>
      </c>
      <c r="J1418" s="34" t="inlineStr">
        <is>
          <t>Maya Chen, Owner Project Controls</t>
        </is>
      </c>
      <c r="K1418" s="34" t="inlineStr">
        <is>
          <t>Professional</t>
        </is>
      </c>
      <c r="L1418" s="39" t="inlineStr"/>
      <c r="M1418" s="34" t="inlineStr">
        <is>
          <t>Initial</t>
        </is>
      </c>
      <c r="N1418" s="34" t="inlineStr">
        <is>
          <t>Rev 0</t>
        </is>
      </c>
      <c r="O1418" s="34" t="inlineStr">
        <is>
          <t>R955-v2</t>
        </is>
      </c>
      <c r="P1418" s="39" t="inlineStr"/>
      <c r="Q1418" s="14" t="inlineStr"/>
      <c r="R1418" s="39" t="inlineStr"/>
      <c r="S1418" s="39" t="inlineStr"/>
      <c r="T1418" s="34" t="inlineStr">
        <is>
          <t>Group decision (182 records sharing one decision state)</t>
        </is>
      </c>
      <c r="U1418" s="39" t="inlineStr"/>
      <c r="V1418" s="14" t="inlineStr"/>
      <c r="W1418" s="14" t="inlineStr"/>
    </row>
    <row r="1419" ht="64" customHeight="1">
      <c r="A1419" s="34" t="inlineStr">
        <is>
          <t>UNSURE</t>
        </is>
      </c>
      <c r="B1419" s="39" t="inlineStr"/>
      <c r="C1419" s="34" t="inlineStr">
        <is>
          <t>Contractor Programme</t>
        </is>
      </c>
      <c r="D1419" s="34" t="inlineStr">
        <is>
          <t>SCH-06-056</t>
        </is>
      </c>
      <c r="E1419" s="34" t="inlineStr">
        <is>
          <t>Systems package: baseline change control - installation</t>
        </is>
      </c>
      <c r="F1419" s="34" t="inlineStr">
        <is>
          <t>UNSURE</t>
        </is>
      </c>
      <c r="G1419" s="34" t="inlineStr">
        <is>
          <t>APPROVED</t>
        </is>
      </c>
      <c r="H1419" s="34" t="inlineStr">
        <is>
          <t>New</t>
        </is>
      </c>
      <c r="I1419" s="34" t="inlineStr">
        <is>
          <t>Professional decision</t>
        </is>
      </c>
      <c r="J1419" s="34" t="inlineStr">
        <is>
          <t>Maya Chen, Owner Project Controls</t>
        </is>
      </c>
      <c r="K1419" s="34" t="inlineStr">
        <is>
          <t>Professional</t>
        </is>
      </c>
      <c r="L1419" s="39" t="inlineStr"/>
      <c r="M1419" s="34" t="inlineStr">
        <is>
          <t>Initial</t>
        </is>
      </c>
      <c r="N1419" s="34" t="inlineStr">
        <is>
          <t>Rev 0</t>
        </is>
      </c>
      <c r="O1419" s="34" t="inlineStr">
        <is>
          <t>R956-v2</t>
        </is>
      </c>
      <c r="P1419" s="39" t="inlineStr"/>
      <c r="Q1419" s="14" t="inlineStr"/>
      <c r="R1419" s="39" t="inlineStr"/>
      <c r="S1419" s="39" t="inlineStr"/>
      <c r="T1419" s="34" t="inlineStr">
        <is>
          <t>Group decision (182 records sharing one decision state)</t>
        </is>
      </c>
      <c r="U1419" s="39" t="inlineStr"/>
      <c r="V1419" s="14" t="inlineStr"/>
      <c r="W1419" s="14" t="inlineStr"/>
    </row>
    <row r="1420" ht="64" customHeight="1">
      <c r="A1420" s="34" t="inlineStr">
        <is>
          <t>UNSURE</t>
        </is>
      </c>
      <c r="B1420" s="39" t="inlineStr"/>
      <c r="C1420" s="34" t="inlineStr">
        <is>
          <t>Contractor Programme</t>
        </is>
      </c>
      <c r="D1420" s="34" t="inlineStr">
        <is>
          <t>SCH-06-057</t>
        </is>
      </c>
      <c r="E1420" s="34" t="inlineStr">
        <is>
          <t>Fleet package: commercial change review - inspection</t>
        </is>
      </c>
      <c r="F1420" s="34" t="inlineStr">
        <is>
          <t>UNSURE</t>
        </is>
      </c>
      <c r="G1420" s="34" t="inlineStr">
        <is>
          <t>APPROVED</t>
        </is>
      </c>
      <c r="H1420" s="34" t="inlineStr">
        <is>
          <t>New</t>
        </is>
      </c>
      <c r="I1420" s="34" t="inlineStr">
        <is>
          <t>Professional decision</t>
        </is>
      </c>
      <c r="J1420" s="34" t="inlineStr">
        <is>
          <t>Maya Chen, Owner Project Controls</t>
        </is>
      </c>
      <c r="K1420" s="34" t="inlineStr">
        <is>
          <t>Professional</t>
        </is>
      </c>
      <c r="L1420" s="39" t="inlineStr"/>
      <c r="M1420" s="34" t="inlineStr">
        <is>
          <t>Initial</t>
        </is>
      </c>
      <c r="N1420" s="34" t="inlineStr">
        <is>
          <t>Rev 0</t>
        </is>
      </c>
      <c r="O1420" s="34" t="inlineStr">
        <is>
          <t>R957-v2</t>
        </is>
      </c>
      <c r="P1420" s="39" t="inlineStr"/>
      <c r="Q1420" s="14" t="inlineStr"/>
      <c r="R1420" s="39" t="inlineStr"/>
      <c r="S1420" s="39" t="inlineStr"/>
      <c r="T1420" s="34" t="inlineStr">
        <is>
          <t>Group decision (182 records sharing one decision state)</t>
        </is>
      </c>
      <c r="U1420" s="39" t="inlineStr"/>
      <c r="V1420" s="14" t="inlineStr"/>
      <c r="W1420" s="14" t="inlineStr"/>
    </row>
    <row r="1421" ht="64" customHeight="1">
      <c r="A1421" s="34" t="inlineStr">
        <is>
          <t>UNSURE</t>
        </is>
      </c>
      <c r="B1421" s="39" t="inlineStr"/>
      <c r="C1421" s="34" t="inlineStr">
        <is>
          <t>Contractor Programme</t>
        </is>
      </c>
      <c r="D1421" s="34" t="inlineStr">
        <is>
          <t>SCH-06-058</t>
        </is>
      </c>
      <c r="E1421" s="34" t="inlineStr">
        <is>
          <t>Program office: design-package integration review - turnover</t>
        </is>
      </c>
      <c r="F1421" s="34" t="inlineStr">
        <is>
          <t>UNSURE</t>
        </is>
      </c>
      <c r="G1421" s="34" t="inlineStr">
        <is>
          <t>APPROVED</t>
        </is>
      </c>
      <c r="H1421" s="34" t="inlineStr">
        <is>
          <t>New</t>
        </is>
      </c>
      <c r="I1421" s="34" t="inlineStr">
        <is>
          <t>Professional decision</t>
        </is>
      </c>
      <c r="J1421" s="34" t="inlineStr">
        <is>
          <t>Maya Chen, Owner Project Controls</t>
        </is>
      </c>
      <c r="K1421" s="34" t="inlineStr">
        <is>
          <t>Professional</t>
        </is>
      </c>
      <c r="L1421" s="39" t="inlineStr"/>
      <c r="M1421" s="34" t="inlineStr">
        <is>
          <t>Initial</t>
        </is>
      </c>
      <c r="N1421" s="34" t="inlineStr">
        <is>
          <t>Rev 0</t>
        </is>
      </c>
      <c r="O1421" s="34" t="inlineStr">
        <is>
          <t>R958-v2</t>
        </is>
      </c>
      <c r="P1421" s="39" t="inlineStr"/>
      <c r="Q1421" s="14" t="inlineStr"/>
      <c r="R1421" s="39" t="inlineStr"/>
      <c r="S1421" s="39" t="inlineStr"/>
      <c r="T1421" s="34" t="inlineStr">
        <is>
          <t>Group decision (182 records sharing one decision state)</t>
        </is>
      </c>
      <c r="U1421" s="39" t="inlineStr"/>
      <c r="V1421" s="14" t="inlineStr"/>
      <c r="W1421" s="14" t="inlineStr"/>
    </row>
    <row r="1422" ht="64" customHeight="1">
      <c r="A1422" s="34" t="inlineStr">
        <is>
          <t>UNSURE</t>
        </is>
      </c>
      <c r="B1422" s="39" t="inlineStr"/>
      <c r="C1422" s="34" t="inlineStr">
        <is>
          <t>Contractor Programme</t>
        </is>
      </c>
      <c r="D1422" s="34" t="inlineStr">
        <is>
          <t>SCH-06-059</t>
        </is>
      </c>
      <c r="E1422" s="34" t="inlineStr">
        <is>
          <t>Civil package: executive reporting close - release</t>
        </is>
      </c>
      <c r="F1422" s="34" t="inlineStr">
        <is>
          <t>UNSURE</t>
        </is>
      </c>
      <c r="G1422" s="34" t="inlineStr">
        <is>
          <t>APPROVED</t>
        </is>
      </c>
      <c r="H1422" s="34" t="inlineStr">
        <is>
          <t>New</t>
        </is>
      </c>
      <c r="I1422" s="34" t="inlineStr">
        <is>
          <t>Professional decision</t>
        </is>
      </c>
      <c r="J1422" s="34" t="inlineStr">
        <is>
          <t>Maya Chen, Owner Project Controls</t>
        </is>
      </c>
      <c r="K1422" s="34" t="inlineStr">
        <is>
          <t>Professional</t>
        </is>
      </c>
      <c r="L1422" s="39" t="inlineStr"/>
      <c r="M1422" s="34" t="inlineStr">
        <is>
          <t>Initial</t>
        </is>
      </c>
      <c r="N1422" s="34" t="inlineStr">
        <is>
          <t>Rev 0</t>
        </is>
      </c>
      <c r="O1422" s="34" t="inlineStr">
        <is>
          <t>R959-v2</t>
        </is>
      </c>
      <c r="P1422" s="39" t="inlineStr"/>
      <c r="Q1422" s="14" t="inlineStr"/>
      <c r="R1422" s="39" t="inlineStr"/>
      <c r="S1422" s="39" t="inlineStr"/>
      <c r="T1422" s="34" t="inlineStr">
        <is>
          <t>Group decision (182 records sharing one decision state)</t>
        </is>
      </c>
      <c r="U1422" s="39" t="inlineStr"/>
      <c r="V1422" s="14" t="inlineStr"/>
      <c r="W1422" s="14" t="inlineStr"/>
    </row>
    <row r="1423" ht="64" customHeight="1">
      <c r="A1423" s="34" t="inlineStr">
        <is>
          <t>UNSURE</t>
        </is>
      </c>
      <c r="B1423" s="39" t="inlineStr"/>
      <c r="C1423" s="34" t="inlineStr">
        <is>
          <t>Contractor Programme</t>
        </is>
      </c>
      <c r="D1423" s="34" t="inlineStr">
        <is>
          <t>SCH-06-060</t>
        </is>
      </c>
      <c r="E1423" s="34" t="inlineStr">
        <is>
          <t>Stations package: permit coordination - field start</t>
        </is>
      </c>
      <c r="F1423" s="34" t="inlineStr">
        <is>
          <t>UNSURE</t>
        </is>
      </c>
      <c r="G1423" s="34" t="inlineStr">
        <is>
          <t>APPROVED</t>
        </is>
      </c>
      <c r="H1423" s="34" t="inlineStr">
        <is>
          <t>New</t>
        </is>
      </c>
      <c r="I1423" s="34" t="inlineStr">
        <is>
          <t>Professional decision</t>
        </is>
      </c>
      <c r="J1423" s="34" t="inlineStr">
        <is>
          <t>Maya Chen, Owner Project Controls</t>
        </is>
      </c>
      <c r="K1423" s="34" t="inlineStr">
        <is>
          <t>Professional</t>
        </is>
      </c>
      <c r="L1423" s="39" t="inlineStr"/>
      <c r="M1423" s="34" t="inlineStr">
        <is>
          <t>Initial</t>
        </is>
      </c>
      <c r="N1423" s="34" t="inlineStr">
        <is>
          <t>Rev 0</t>
        </is>
      </c>
      <c r="O1423" s="34" t="inlineStr">
        <is>
          <t>R960-v2</t>
        </is>
      </c>
      <c r="P1423" s="39" t="inlineStr"/>
      <c r="Q1423" s="14" t="inlineStr"/>
      <c r="R1423" s="39" t="inlineStr"/>
      <c r="S1423" s="39" t="inlineStr"/>
      <c r="T1423" s="34" t="inlineStr">
        <is>
          <t>Group decision (182 records sharing one decision state)</t>
        </is>
      </c>
      <c r="U1423" s="39" t="inlineStr"/>
      <c r="V1423" s="14" t="inlineStr"/>
      <c r="W1423" s="14" t="inlineStr"/>
    </row>
    <row r="1424" ht="64" customHeight="1">
      <c r="A1424" s="34" t="inlineStr">
        <is>
          <t>UNSURE</t>
        </is>
      </c>
      <c r="B1424" s="39" t="inlineStr"/>
      <c r="C1424" s="34" t="inlineStr">
        <is>
          <t>Contractor Programme</t>
        </is>
      </c>
      <c r="D1424" s="34" t="inlineStr">
        <is>
          <t>SCH-06-061</t>
        </is>
      </c>
      <c r="E1424" s="34" t="inlineStr">
        <is>
          <t>Systems package: delivery risk workshop - installation</t>
        </is>
      </c>
      <c r="F1424" s="34" t="inlineStr">
        <is>
          <t>UNSURE</t>
        </is>
      </c>
      <c r="G1424" s="34" t="inlineStr">
        <is>
          <t>APPROVED</t>
        </is>
      </c>
      <c r="H1424" s="34" t="inlineStr">
        <is>
          <t>New</t>
        </is>
      </c>
      <c r="I1424" s="34" t="inlineStr">
        <is>
          <t>Professional decision</t>
        </is>
      </c>
      <c r="J1424" s="34" t="inlineStr">
        <is>
          <t>Maya Chen, Owner Project Controls</t>
        </is>
      </c>
      <c r="K1424" s="34" t="inlineStr">
        <is>
          <t>Professional</t>
        </is>
      </c>
      <c r="L1424" s="39" t="inlineStr"/>
      <c r="M1424" s="34" t="inlineStr">
        <is>
          <t>Initial</t>
        </is>
      </c>
      <c r="N1424" s="34" t="inlineStr">
        <is>
          <t>Rev 0</t>
        </is>
      </c>
      <c r="O1424" s="34" t="inlineStr">
        <is>
          <t>R961-v2</t>
        </is>
      </c>
      <c r="P1424" s="39" t="inlineStr"/>
      <c r="Q1424" s="14" t="inlineStr"/>
      <c r="R1424" s="39" t="inlineStr"/>
      <c r="S1424" s="39" t="inlineStr"/>
      <c r="T1424" s="34" t="inlineStr">
        <is>
          <t>Group decision (182 records sharing one decision state)</t>
        </is>
      </c>
      <c r="U1424" s="39" t="inlineStr"/>
      <c r="V1424" s="14" t="inlineStr"/>
      <c r="W1424" s="14" t="inlineStr"/>
    </row>
    <row r="1425" ht="64" customHeight="1">
      <c r="A1425" s="34" t="inlineStr">
        <is>
          <t>UNSURE</t>
        </is>
      </c>
      <c r="B1425" s="39" t="inlineStr"/>
      <c r="C1425" s="34" t="inlineStr">
        <is>
          <t>Contractor Programme</t>
        </is>
      </c>
      <c r="D1425" s="34" t="inlineStr">
        <is>
          <t>SCH-06-062</t>
        </is>
      </c>
      <c r="E1425" s="34" t="inlineStr">
        <is>
          <t>Fleet package: monthly controls cut-off - inspection</t>
        </is>
      </c>
      <c r="F1425" s="34" t="inlineStr">
        <is>
          <t>UNSURE</t>
        </is>
      </c>
      <c r="G1425" s="34" t="inlineStr">
        <is>
          <t>APPROVED</t>
        </is>
      </c>
      <c r="H1425" s="34" t="inlineStr">
        <is>
          <t>New</t>
        </is>
      </c>
      <c r="I1425" s="34" t="inlineStr">
        <is>
          <t>Professional decision</t>
        </is>
      </c>
      <c r="J1425" s="34" t="inlineStr">
        <is>
          <t>Maya Chen, Owner Project Controls</t>
        </is>
      </c>
      <c r="K1425" s="34" t="inlineStr">
        <is>
          <t>Professional</t>
        </is>
      </c>
      <c r="L1425" s="39" t="inlineStr"/>
      <c r="M1425" s="34" t="inlineStr">
        <is>
          <t>Initial</t>
        </is>
      </c>
      <c r="N1425" s="34" t="inlineStr">
        <is>
          <t>Rev 0</t>
        </is>
      </c>
      <c r="O1425" s="34" t="inlineStr">
        <is>
          <t>R962-v2</t>
        </is>
      </c>
      <c r="P1425" s="39" t="inlineStr"/>
      <c r="Q1425" s="14" t="inlineStr"/>
      <c r="R1425" s="39" t="inlineStr"/>
      <c r="S1425" s="39" t="inlineStr"/>
      <c r="T1425" s="34" t="inlineStr">
        <is>
          <t>Group decision (182 records sharing one decision state)</t>
        </is>
      </c>
      <c r="U1425" s="39" t="inlineStr"/>
      <c r="V1425" s="14" t="inlineStr"/>
      <c r="W1425" s="14" t="inlineStr"/>
    </row>
    <row r="1426" ht="64" customHeight="1">
      <c r="A1426" s="34" t="inlineStr">
        <is>
          <t>UNSURE</t>
        </is>
      </c>
      <c r="B1426" s="39" t="inlineStr"/>
      <c r="C1426" s="34" t="inlineStr">
        <is>
          <t>Contractor Programme</t>
        </is>
      </c>
      <c r="D1426" s="34" t="inlineStr">
        <is>
          <t>SCH-06-063</t>
        </is>
      </c>
      <c r="E1426" s="34" t="inlineStr">
        <is>
          <t>Program office: stakeholder interface meeting - turnover</t>
        </is>
      </c>
      <c r="F1426" s="34" t="inlineStr">
        <is>
          <t>UNSURE</t>
        </is>
      </c>
      <c r="G1426" s="34" t="inlineStr">
        <is>
          <t>APPROVED</t>
        </is>
      </c>
      <c r="H1426" s="34" t="inlineStr">
        <is>
          <t>New</t>
        </is>
      </c>
      <c r="I1426" s="34" t="inlineStr">
        <is>
          <t>Professional decision</t>
        </is>
      </c>
      <c r="J1426" s="34" t="inlineStr">
        <is>
          <t>Maya Chen, Owner Project Controls</t>
        </is>
      </c>
      <c r="K1426" s="34" t="inlineStr">
        <is>
          <t>Professional</t>
        </is>
      </c>
      <c r="L1426" s="39" t="inlineStr"/>
      <c r="M1426" s="34" t="inlineStr">
        <is>
          <t>Initial</t>
        </is>
      </c>
      <c r="N1426" s="34" t="inlineStr">
        <is>
          <t>Rev 0</t>
        </is>
      </c>
      <c r="O1426" s="34" t="inlineStr">
        <is>
          <t>R963-v2</t>
        </is>
      </c>
      <c r="P1426" s="39" t="inlineStr"/>
      <c r="Q1426" s="14" t="inlineStr"/>
      <c r="R1426" s="39" t="inlineStr"/>
      <c r="S1426" s="39" t="inlineStr"/>
      <c r="T1426" s="34" t="inlineStr">
        <is>
          <t>Group decision (182 records sharing one decision state)</t>
        </is>
      </c>
      <c r="U1426" s="39" t="inlineStr"/>
      <c r="V1426" s="14" t="inlineStr"/>
      <c r="W1426" s="14" t="inlineStr"/>
    </row>
    <row r="1427" ht="64" customHeight="1">
      <c r="A1427" s="34" t="inlineStr">
        <is>
          <t>UNSURE</t>
        </is>
      </c>
      <c r="B1427" s="39" t="inlineStr"/>
      <c r="C1427" s="34" t="inlineStr">
        <is>
          <t>Contractor Programme</t>
        </is>
      </c>
      <c r="D1427" s="34" t="inlineStr">
        <is>
          <t>SCH-06-064</t>
        </is>
      </c>
      <c r="E1427" s="34" t="inlineStr">
        <is>
          <t>Civil package: baseline change control - release</t>
        </is>
      </c>
      <c r="F1427" s="34" t="inlineStr">
        <is>
          <t>UNSURE</t>
        </is>
      </c>
      <c r="G1427" s="34" t="inlineStr">
        <is>
          <t>APPROVED</t>
        </is>
      </c>
      <c r="H1427" s="34" t="inlineStr">
        <is>
          <t>New</t>
        </is>
      </c>
      <c r="I1427" s="34" t="inlineStr">
        <is>
          <t>Professional decision</t>
        </is>
      </c>
      <c r="J1427" s="34" t="inlineStr">
        <is>
          <t>Maya Chen, Owner Project Controls</t>
        </is>
      </c>
      <c r="K1427" s="34" t="inlineStr">
        <is>
          <t>Professional</t>
        </is>
      </c>
      <c r="L1427" s="39" t="inlineStr"/>
      <c r="M1427" s="34" t="inlineStr">
        <is>
          <t>Initial</t>
        </is>
      </c>
      <c r="N1427" s="34" t="inlineStr">
        <is>
          <t>Rev 0</t>
        </is>
      </c>
      <c r="O1427" s="34" t="inlineStr">
        <is>
          <t>R964-v2</t>
        </is>
      </c>
      <c r="P1427" s="39" t="inlineStr"/>
      <c r="Q1427" s="14" t="inlineStr"/>
      <c r="R1427" s="39" t="inlineStr"/>
      <c r="S1427" s="39" t="inlineStr"/>
      <c r="T1427" s="34" t="inlineStr">
        <is>
          <t>Group decision (182 records sharing one decision state)</t>
        </is>
      </c>
      <c r="U1427" s="39" t="inlineStr"/>
      <c r="V1427" s="14" t="inlineStr"/>
      <c r="W1427" s="14" t="inlineStr"/>
    </row>
    <row r="1428" ht="64" customHeight="1">
      <c r="A1428" s="34" t="inlineStr">
        <is>
          <t>UNSURE</t>
        </is>
      </c>
      <c r="B1428" s="39" t="inlineStr"/>
      <c r="C1428" s="34" t="inlineStr">
        <is>
          <t>Contractor Programme</t>
        </is>
      </c>
      <c r="D1428" s="34" t="inlineStr">
        <is>
          <t>SCH-06-065</t>
        </is>
      </c>
      <c r="E1428" s="34" t="inlineStr">
        <is>
          <t>Stations package: commercial change review - field start</t>
        </is>
      </c>
      <c r="F1428" s="34" t="inlineStr">
        <is>
          <t>UNSURE</t>
        </is>
      </c>
      <c r="G1428" s="34" t="inlineStr">
        <is>
          <t>APPROVED</t>
        </is>
      </c>
      <c r="H1428" s="34" t="inlineStr">
        <is>
          <t>New</t>
        </is>
      </c>
      <c r="I1428" s="34" t="inlineStr">
        <is>
          <t>Professional decision</t>
        </is>
      </c>
      <c r="J1428" s="34" t="inlineStr">
        <is>
          <t>Maya Chen, Owner Project Controls</t>
        </is>
      </c>
      <c r="K1428" s="34" t="inlineStr">
        <is>
          <t>Professional</t>
        </is>
      </c>
      <c r="L1428" s="39" t="inlineStr"/>
      <c r="M1428" s="34" t="inlineStr">
        <is>
          <t>Initial</t>
        </is>
      </c>
      <c r="N1428" s="34" t="inlineStr">
        <is>
          <t>Rev 0</t>
        </is>
      </c>
      <c r="O1428" s="34" t="inlineStr">
        <is>
          <t>R965-v2</t>
        </is>
      </c>
      <c r="P1428" s="39" t="inlineStr"/>
      <c r="Q1428" s="14" t="inlineStr"/>
      <c r="R1428" s="39" t="inlineStr"/>
      <c r="S1428" s="39" t="inlineStr"/>
      <c r="T1428" s="34" t="inlineStr">
        <is>
          <t>Group decision (182 records sharing one decision state)</t>
        </is>
      </c>
      <c r="U1428" s="39" t="inlineStr"/>
      <c r="V1428" s="14" t="inlineStr"/>
      <c r="W1428" s="14" t="inlineStr"/>
    </row>
    <row r="1429" ht="64" customHeight="1">
      <c r="A1429" s="34" t="inlineStr">
        <is>
          <t>UNSURE</t>
        </is>
      </c>
      <c r="B1429" s="39" t="inlineStr"/>
      <c r="C1429" s="34" t="inlineStr">
        <is>
          <t>Contractor Programme</t>
        </is>
      </c>
      <c r="D1429" s="34" t="inlineStr">
        <is>
          <t>SCH-06-066</t>
        </is>
      </c>
      <c r="E1429" s="34" t="inlineStr">
        <is>
          <t>Systems package: design-package integration review - installation</t>
        </is>
      </c>
      <c r="F1429" s="34" t="inlineStr">
        <is>
          <t>UNSURE</t>
        </is>
      </c>
      <c r="G1429" s="34" t="inlineStr">
        <is>
          <t>APPROVED</t>
        </is>
      </c>
      <c r="H1429" s="34" t="inlineStr">
        <is>
          <t>New</t>
        </is>
      </c>
      <c r="I1429" s="34" t="inlineStr">
        <is>
          <t>Professional decision</t>
        </is>
      </c>
      <c r="J1429" s="34" t="inlineStr">
        <is>
          <t>Maya Chen, Owner Project Controls</t>
        </is>
      </c>
      <c r="K1429" s="34" t="inlineStr">
        <is>
          <t>Professional</t>
        </is>
      </c>
      <c r="L1429" s="39" t="inlineStr"/>
      <c r="M1429" s="34" t="inlineStr">
        <is>
          <t>Initial</t>
        </is>
      </c>
      <c r="N1429" s="34" t="inlineStr">
        <is>
          <t>Rev 0</t>
        </is>
      </c>
      <c r="O1429" s="34" t="inlineStr">
        <is>
          <t>R966-v2</t>
        </is>
      </c>
      <c r="P1429" s="39" t="inlineStr"/>
      <c r="Q1429" s="14" t="inlineStr"/>
      <c r="R1429" s="39" t="inlineStr"/>
      <c r="S1429" s="39" t="inlineStr"/>
      <c r="T1429" s="34" t="inlineStr">
        <is>
          <t>Group decision (182 records sharing one decision state)</t>
        </is>
      </c>
      <c r="U1429" s="39" t="inlineStr"/>
      <c r="V1429" s="14" t="inlineStr"/>
      <c r="W1429" s="14" t="inlineStr"/>
    </row>
    <row r="1430" ht="64" customHeight="1">
      <c r="A1430" s="34" t="inlineStr">
        <is>
          <t>UNSURE</t>
        </is>
      </c>
      <c r="B1430" s="39" t="inlineStr"/>
      <c r="C1430" s="34" t="inlineStr">
        <is>
          <t>Contractor Programme</t>
        </is>
      </c>
      <c r="D1430" s="34" t="inlineStr">
        <is>
          <t>SCH-06-067</t>
        </is>
      </c>
      <c r="E1430" s="34" t="inlineStr">
        <is>
          <t>Fleet package: executive reporting close - inspection</t>
        </is>
      </c>
      <c r="F1430" s="34" t="inlineStr">
        <is>
          <t>UNSURE</t>
        </is>
      </c>
      <c r="G1430" s="34" t="inlineStr">
        <is>
          <t>APPROVED</t>
        </is>
      </c>
      <c r="H1430" s="34" t="inlineStr">
        <is>
          <t>New</t>
        </is>
      </c>
      <c r="I1430" s="34" t="inlineStr">
        <is>
          <t>Professional decision</t>
        </is>
      </c>
      <c r="J1430" s="34" t="inlineStr">
        <is>
          <t>Maya Chen, Owner Project Controls</t>
        </is>
      </c>
      <c r="K1430" s="34" t="inlineStr">
        <is>
          <t>Professional</t>
        </is>
      </c>
      <c r="L1430" s="39" t="inlineStr"/>
      <c r="M1430" s="34" t="inlineStr">
        <is>
          <t>Initial</t>
        </is>
      </c>
      <c r="N1430" s="34" t="inlineStr">
        <is>
          <t>Rev 0</t>
        </is>
      </c>
      <c r="O1430" s="34" t="inlineStr">
        <is>
          <t>R967-v2</t>
        </is>
      </c>
      <c r="P1430" s="39" t="inlineStr"/>
      <c r="Q1430" s="14" t="inlineStr"/>
      <c r="R1430" s="39" t="inlineStr"/>
      <c r="S1430" s="39" t="inlineStr"/>
      <c r="T1430" s="34" t="inlineStr">
        <is>
          <t>Group decision (182 records sharing one decision state)</t>
        </is>
      </c>
      <c r="U1430" s="39" t="inlineStr"/>
      <c r="V1430" s="14" t="inlineStr"/>
      <c r="W1430" s="14" t="inlineStr"/>
    </row>
    <row r="1431" ht="64" customHeight="1">
      <c r="A1431" s="34" t="inlineStr">
        <is>
          <t>UNSURE</t>
        </is>
      </c>
      <c r="B1431" s="39" t="inlineStr"/>
      <c r="C1431" s="34" t="inlineStr">
        <is>
          <t>Contractor Programme</t>
        </is>
      </c>
      <c r="D1431" s="34" t="inlineStr">
        <is>
          <t>SCH-06-068</t>
        </is>
      </c>
      <c r="E1431" s="34" t="inlineStr">
        <is>
          <t>Program office: permit coordination - turnover</t>
        </is>
      </c>
      <c r="F1431" s="34" t="inlineStr">
        <is>
          <t>UNSURE</t>
        </is>
      </c>
      <c r="G1431" s="34" t="inlineStr">
        <is>
          <t>APPROVED</t>
        </is>
      </c>
      <c r="H1431" s="34" t="inlineStr">
        <is>
          <t>New</t>
        </is>
      </c>
      <c r="I1431" s="34" t="inlineStr">
        <is>
          <t>Professional decision</t>
        </is>
      </c>
      <c r="J1431" s="34" t="inlineStr">
        <is>
          <t>Maya Chen, Owner Project Controls</t>
        </is>
      </c>
      <c r="K1431" s="34" t="inlineStr">
        <is>
          <t>Professional</t>
        </is>
      </c>
      <c r="L1431" s="39" t="inlineStr"/>
      <c r="M1431" s="34" t="inlineStr">
        <is>
          <t>Initial</t>
        </is>
      </c>
      <c r="N1431" s="34" t="inlineStr">
        <is>
          <t>Rev 0</t>
        </is>
      </c>
      <c r="O1431" s="34" t="inlineStr">
        <is>
          <t>R968-v2</t>
        </is>
      </c>
      <c r="P1431" s="39" t="inlineStr"/>
      <c r="Q1431" s="14" t="inlineStr"/>
      <c r="R1431" s="39" t="inlineStr"/>
      <c r="S1431" s="39" t="inlineStr"/>
      <c r="T1431" s="34" t="inlineStr">
        <is>
          <t>Group decision (182 records sharing one decision state)</t>
        </is>
      </c>
      <c r="U1431" s="39" t="inlineStr"/>
      <c r="V1431" s="14" t="inlineStr"/>
      <c r="W1431" s="14" t="inlineStr"/>
    </row>
    <row r="1432" ht="64" customHeight="1">
      <c r="A1432" s="34" t="inlineStr">
        <is>
          <t>UNSURE</t>
        </is>
      </c>
      <c r="B1432" s="39" t="inlineStr"/>
      <c r="C1432" s="34" t="inlineStr">
        <is>
          <t>Contractor Programme</t>
        </is>
      </c>
      <c r="D1432" s="34" t="inlineStr">
        <is>
          <t>SCH-06-069</t>
        </is>
      </c>
      <c r="E1432" s="34" t="inlineStr">
        <is>
          <t>Civil package: delivery risk workshop - release</t>
        </is>
      </c>
      <c r="F1432" s="34" t="inlineStr">
        <is>
          <t>UNSURE</t>
        </is>
      </c>
      <c r="G1432" s="34" t="inlineStr">
        <is>
          <t>APPROVED</t>
        </is>
      </c>
      <c r="H1432" s="34" t="inlineStr">
        <is>
          <t>New</t>
        </is>
      </c>
      <c r="I1432" s="34" t="inlineStr">
        <is>
          <t>Professional decision</t>
        </is>
      </c>
      <c r="J1432" s="34" t="inlineStr">
        <is>
          <t>Maya Chen, Owner Project Controls</t>
        </is>
      </c>
      <c r="K1432" s="34" t="inlineStr">
        <is>
          <t>Professional</t>
        </is>
      </c>
      <c r="L1432" s="39" t="inlineStr"/>
      <c r="M1432" s="34" t="inlineStr">
        <is>
          <t>Initial</t>
        </is>
      </c>
      <c r="N1432" s="34" t="inlineStr">
        <is>
          <t>Rev 0</t>
        </is>
      </c>
      <c r="O1432" s="34" t="inlineStr">
        <is>
          <t>R969-v2</t>
        </is>
      </c>
      <c r="P1432" s="39" t="inlineStr"/>
      <c r="Q1432" s="14" t="inlineStr"/>
      <c r="R1432" s="39" t="inlineStr"/>
      <c r="S1432" s="39" t="inlineStr"/>
      <c r="T1432" s="34" t="inlineStr">
        <is>
          <t>Group decision (182 records sharing one decision state)</t>
        </is>
      </c>
      <c r="U1432" s="39" t="inlineStr"/>
      <c r="V1432" s="14" t="inlineStr"/>
      <c r="W1432" s="14" t="inlineStr"/>
    </row>
    <row r="1433" ht="64" customHeight="1">
      <c r="A1433" s="34" t="inlineStr">
        <is>
          <t>UNSURE</t>
        </is>
      </c>
      <c r="B1433" s="39" t="inlineStr"/>
      <c r="C1433" s="34" t="inlineStr">
        <is>
          <t>Contractor Programme</t>
        </is>
      </c>
      <c r="D1433" s="34" t="inlineStr">
        <is>
          <t>SCH-06-070</t>
        </is>
      </c>
      <c r="E1433" s="34" t="inlineStr">
        <is>
          <t>Stations package: monthly controls cut-off - field start</t>
        </is>
      </c>
      <c r="F1433" s="34" t="inlineStr">
        <is>
          <t>UNSURE</t>
        </is>
      </c>
      <c r="G1433" s="34" t="inlineStr">
        <is>
          <t>APPROVED</t>
        </is>
      </c>
      <c r="H1433" s="34" t="inlineStr">
        <is>
          <t>New</t>
        </is>
      </c>
      <c r="I1433" s="34" t="inlineStr">
        <is>
          <t>Professional decision</t>
        </is>
      </c>
      <c r="J1433" s="34" t="inlineStr">
        <is>
          <t>Maya Chen, Owner Project Controls</t>
        </is>
      </c>
      <c r="K1433" s="34" t="inlineStr">
        <is>
          <t>Professional</t>
        </is>
      </c>
      <c r="L1433" s="39" t="inlineStr"/>
      <c r="M1433" s="34" t="inlineStr">
        <is>
          <t>Initial</t>
        </is>
      </c>
      <c r="N1433" s="34" t="inlineStr">
        <is>
          <t>Rev 0</t>
        </is>
      </c>
      <c r="O1433" s="34" t="inlineStr">
        <is>
          <t>R970-v2</t>
        </is>
      </c>
      <c r="P1433" s="39" t="inlineStr"/>
      <c r="Q1433" s="14" t="inlineStr"/>
      <c r="R1433" s="39" t="inlineStr"/>
      <c r="S1433" s="39" t="inlineStr"/>
      <c r="T1433" s="34" t="inlineStr">
        <is>
          <t>Group decision (182 records sharing one decision state)</t>
        </is>
      </c>
      <c r="U1433" s="39" t="inlineStr"/>
      <c r="V1433" s="14" t="inlineStr"/>
      <c r="W1433" s="14" t="inlineStr"/>
    </row>
    <row r="1434" ht="64" customHeight="1">
      <c r="A1434" s="34" t="inlineStr">
        <is>
          <t>UNSURE</t>
        </is>
      </c>
      <c r="B1434" s="39" t="inlineStr"/>
      <c r="C1434" s="34" t="inlineStr">
        <is>
          <t>Contractor Programme</t>
        </is>
      </c>
      <c r="D1434" s="34" t="inlineStr">
        <is>
          <t>SCH-06-071</t>
        </is>
      </c>
      <c r="E1434" s="34" t="inlineStr">
        <is>
          <t>Systems package: stakeholder interface meeting - installation</t>
        </is>
      </c>
      <c r="F1434" s="34" t="inlineStr">
        <is>
          <t>UNSURE</t>
        </is>
      </c>
      <c r="G1434" s="34" t="inlineStr">
        <is>
          <t>APPROVED</t>
        </is>
      </c>
      <c r="H1434" s="34" t="inlineStr">
        <is>
          <t>New</t>
        </is>
      </c>
      <c r="I1434" s="34" t="inlineStr">
        <is>
          <t>Professional decision</t>
        </is>
      </c>
      <c r="J1434" s="34" t="inlineStr">
        <is>
          <t>Maya Chen, Owner Project Controls</t>
        </is>
      </c>
      <c r="K1434" s="34" t="inlineStr">
        <is>
          <t>Professional</t>
        </is>
      </c>
      <c r="L1434" s="39" t="inlineStr"/>
      <c r="M1434" s="34" t="inlineStr">
        <is>
          <t>Initial</t>
        </is>
      </c>
      <c r="N1434" s="34" t="inlineStr">
        <is>
          <t>Rev 0</t>
        </is>
      </c>
      <c r="O1434" s="34" t="inlineStr">
        <is>
          <t>R971-v2</t>
        </is>
      </c>
      <c r="P1434" s="39" t="inlineStr"/>
      <c r="Q1434" s="14" t="inlineStr"/>
      <c r="R1434" s="39" t="inlineStr"/>
      <c r="S1434" s="39" t="inlineStr"/>
      <c r="T1434" s="34" t="inlineStr">
        <is>
          <t>Group decision (182 records sharing one decision state)</t>
        </is>
      </c>
      <c r="U1434" s="39" t="inlineStr"/>
      <c r="V1434" s="14" t="inlineStr"/>
      <c r="W1434" s="14" t="inlineStr"/>
    </row>
    <row r="1435" ht="64" customHeight="1">
      <c r="A1435" s="34" t="inlineStr">
        <is>
          <t>UNSURE</t>
        </is>
      </c>
      <c r="B1435" s="39" t="inlineStr"/>
      <c r="C1435" s="34" t="inlineStr">
        <is>
          <t>Contractor Programme</t>
        </is>
      </c>
      <c r="D1435" s="34" t="inlineStr">
        <is>
          <t>SCH-06-072</t>
        </is>
      </c>
      <c r="E1435" s="34" t="inlineStr">
        <is>
          <t>Fleet package: baseline change control - inspection</t>
        </is>
      </c>
      <c r="F1435" s="34" t="inlineStr">
        <is>
          <t>UNSURE</t>
        </is>
      </c>
      <c r="G1435" s="34" t="inlineStr">
        <is>
          <t>APPROVED</t>
        </is>
      </c>
      <c r="H1435" s="34" t="inlineStr">
        <is>
          <t>New</t>
        </is>
      </c>
      <c r="I1435" s="34" t="inlineStr">
        <is>
          <t>Professional decision</t>
        </is>
      </c>
      <c r="J1435" s="34" t="inlineStr">
        <is>
          <t>Maya Chen, Owner Project Controls</t>
        </is>
      </c>
      <c r="K1435" s="34" t="inlineStr">
        <is>
          <t>Professional</t>
        </is>
      </c>
      <c r="L1435" s="39" t="inlineStr"/>
      <c r="M1435" s="34" t="inlineStr">
        <is>
          <t>Initial</t>
        </is>
      </c>
      <c r="N1435" s="34" t="inlineStr">
        <is>
          <t>Rev 0</t>
        </is>
      </c>
      <c r="O1435" s="34" t="inlineStr">
        <is>
          <t>R972-v2</t>
        </is>
      </c>
      <c r="P1435" s="39" t="inlineStr"/>
      <c r="Q1435" s="14" t="inlineStr"/>
      <c r="R1435" s="39" t="inlineStr"/>
      <c r="S1435" s="39" t="inlineStr"/>
      <c r="T1435" s="34" t="inlineStr">
        <is>
          <t>Group decision (182 records sharing one decision state)</t>
        </is>
      </c>
      <c r="U1435" s="39" t="inlineStr"/>
      <c r="V1435" s="14" t="inlineStr"/>
      <c r="W1435" s="14" t="inlineStr"/>
    </row>
    <row r="1436" ht="64" customHeight="1">
      <c r="A1436" s="34" t="inlineStr">
        <is>
          <t>UNSURE</t>
        </is>
      </c>
      <c r="B1436" s="39" t="inlineStr"/>
      <c r="C1436" s="34" t="inlineStr">
        <is>
          <t>Contractor Programme</t>
        </is>
      </c>
      <c r="D1436" s="34" t="inlineStr">
        <is>
          <t>SCH-06-073</t>
        </is>
      </c>
      <c r="E1436" s="34" t="inlineStr">
        <is>
          <t>Program office: commercial change review - turnover</t>
        </is>
      </c>
      <c r="F1436" s="34" t="inlineStr">
        <is>
          <t>UNSURE</t>
        </is>
      </c>
      <c r="G1436" s="34" t="inlineStr">
        <is>
          <t>APPROVED</t>
        </is>
      </c>
      <c r="H1436" s="34" t="inlineStr">
        <is>
          <t>New</t>
        </is>
      </c>
      <c r="I1436" s="34" t="inlineStr">
        <is>
          <t>Professional decision</t>
        </is>
      </c>
      <c r="J1436" s="34" t="inlineStr">
        <is>
          <t>Maya Chen, Owner Project Controls</t>
        </is>
      </c>
      <c r="K1436" s="34" t="inlineStr">
        <is>
          <t>Professional</t>
        </is>
      </c>
      <c r="L1436" s="39" t="inlineStr"/>
      <c r="M1436" s="34" t="inlineStr">
        <is>
          <t>Initial</t>
        </is>
      </c>
      <c r="N1436" s="34" t="inlineStr">
        <is>
          <t>Rev 0</t>
        </is>
      </c>
      <c r="O1436" s="34" t="inlineStr">
        <is>
          <t>R973-v2</t>
        </is>
      </c>
      <c r="P1436" s="39" t="inlineStr"/>
      <c r="Q1436" s="14" t="inlineStr"/>
      <c r="R1436" s="39" t="inlineStr"/>
      <c r="S1436" s="39" t="inlineStr"/>
      <c r="T1436" s="34" t="inlineStr">
        <is>
          <t>Group decision (182 records sharing one decision state)</t>
        </is>
      </c>
      <c r="U1436" s="39" t="inlineStr"/>
      <c r="V1436" s="14" t="inlineStr"/>
      <c r="W1436" s="14" t="inlineStr"/>
    </row>
    <row r="1437" ht="64" customHeight="1">
      <c r="A1437" s="34" t="inlineStr">
        <is>
          <t>UNSURE</t>
        </is>
      </c>
      <c r="B1437" s="39" t="inlineStr"/>
      <c r="C1437" s="34" t="inlineStr">
        <is>
          <t>Contractor Programme</t>
        </is>
      </c>
      <c r="D1437" s="34" t="inlineStr">
        <is>
          <t>SCH-06-074</t>
        </is>
      </c>
      <c r="E1437" s="34" t="inlineStr">
        <is>
          <t>Civil package: design-package integration review - release</t>
        </is>
      </c>
      <c r="F1437" s="34" t="inlineStr">
        <is>
          <t>UNSURE</t>
        </is>
      </c>
      <c r="G1437" s="34" t="inlineStr">
        <is>
          <t>APPROVED</t>
        </is>
      </c>
      <c r="H1437" s="34" t="inlineStr">
        <is>
          <t>New</t>
        </is>
      </c>
      <c r="I1437" s="34" t="inlineStr">
        <is>
          <t>Professional decision</t>
        </is>
      </c>
      <c r="J1437" s="34" t="inlineStr">
        <is>
          <t>Maya Chen, Owner Project Controls</t>
        </is>
      </c>
      <c r="K1437" s="34" t="inlineStr">
        <is>
          <t>Professional</t>
        </is>
      </c>
      <c r="L1437" s="39" t="inlineStr"/>
      <c r="M1437" s="34" t="inlineStr">
        <is>
          <t>Initial</t>
        </is>
      </c>
      <c r="N1437" s="34" t="inlineStr">
        <is>
          <t>Rev 0</t>
        </is>
      </c>
      <c r="O1437" s="34" t="inlineStr">
        <is>
          <t>R974-v2</t>
        </is>
      </c>
      <c r="P1437" s="39" t="inlineStr"/>
      <c r="Q1437" s="14" t="inlineStr"/>
      <c r="R1437" s="39" t="inlineStr"/>
      <c r="S1437" s="39" t="inlineStr"/>
      <c r="T1437" s="34" t="inlineStr">
        <is>
          <t>Group decision (182 records sharing one decision state)</t>
        </is>
      </c>
      <c r="U1437" s="39" t="inlineStr"/>
      <c r="V1437" s="14" t="inlineStr"/>
      <c r="W1437" s="14" t="inlineStr"/>
    </row>
    <row r="1438" ht="64" customHeight="1">
      <c r="A1438" s="34" t="inlineStr">
        <is>
          <t>UNSURE</t>
        </is>
      </c>
      <c r="B1438" s="39" t="inlineStr"/>
      <c r="C1438" s="34" t="inlineStr">
        <is>
          <t>Contractor Programme</t>
        </is>
      </c>
      <c r="D1438" s="34" t="inlineStr">
        <is>
          <t>SCH-06-075</t>
        </is>
      </c>
      <c r="E1438" s="34" t="inlineStr">
        <is>
          <t>Stations package: executive reporting close - field start</t>
        </is>
      </c>
      <c r="F1438" s="34" t="inlineStr">
        <is>
          <t>UNSURE</t>
        </is>
      </c>
      <c r="G1438" s="34" t="inlineStr">
        <is>
          <t>APPROVED</t>
        </is>
      </c>
      <c r="H1438" s="34" t="inlineStr">
        <is>
          <t>New</t>
        </is>
      </c>
      <c r="I1438" s="34" t="inlineStr">
        <is>
          <t>Professional decision</t>
        </is>
      </c>
      <c r="J1438" s="34" t="inlineStr">
        <is>
          <t>Maya Chen, Owner Project Controls</t>
        </is>
      </c>
      <c r="K1438" s="34" t="inlineStr">
        <is>
          <t>Professional</t>
        </is>
      </c>
      <c r="L1438" s="39" t="inlineStr"/>
      <c r="M1438" s="34" t="inlineStr">
        <is>
          <t>Initial</t>
        </is>
      </c>
      <c r="N1438" s="34" t="inlineStr">
        <is>
          <t>Rev 0</t>
        </is>
      </c>
      <c r="O1438" s="34" t="inlineStr">
        <is>
          <t>R975-v2</t>
        </is>
      </c>
      <c r="P1438" s="39" t="inlineStr"/>
      <c r="Q1438" s="14" t="inlineStr"/>
      <c r="R1438" s="39" t="inlineStr"/>
      <c r="S1438" s="39" t="inlineStr"/>
      <c r="T1438" s="34" t="inlineStr">
        <is>
          <t>Group decision (182 records sharing one decision state)</t>
        </is>
      </c>
      <c r="U1438" s="39" t="inlineStr"/>
      <c r="V1438" s="14" t="inlineStr"/>
      <c r="W1438" s="14" t="inlineStr"/>
    </row>
    <row r="1439" ht="64" customHeight="1">
      <c r="A1439" s="34" t="inlineStr">
        <is>
          <t>UNSURE</t>
        </is>
      </c>
      <c r="B1439" s="39" t="inlineStr"/>
      <c r="C1439" s="34" t="inlineStr">
        <is>
          <t>Contractor Programme</t>
        </is>
      </c>
      <c r="D1439" s="34" t="inlineStr">
        <is>
          <t>SCH-06-076</t>
        </is>
      </c>
      <c r="E1439" s="34" t="inlineStr">
        <is>
          <t>Systems package: permit coordination - installation</t>
        </is>
      </c>
      <c r="F1439" s="34" t="inlineStr">
        <is>
          <t>UNSURE</t>
        </is>
      </c>
      <c r="G1439" s="34" t="inlineStr">
        <is>
          <t>APPROVED</t>
        </is>
      </c>
      <c r="H1439" s="34" t="inlineStr">
        <is>
          <t>New</t>
        </is>
      </c>
      <c r="I1439" s="34" t="inlineStr">
        <is>
          <t>Professional decision</t>
        </is>
      </c>
      <c r="J1439" s="34" t="inlineStr">
        <is>
          <t>Maya Chen, Owner Project Controls</t>
        </is>
      </c>
      <c r="K1439" s="34" t="inlineStr">
        <is>
          <t>Professional</t>
        </is>
      </c>
      <c r="L1439" s="39" t="inlineStr"/>
      <c r="M1439" s="34" t="inlineStr">
        <is>
          <t>Initial</t>
        </is>
      </c>
      <c r="N1439" s="34" t="inlineStr">
        <is>
          <t>Rev 0</t>
        </is>
      </c>
      <c r="O1439" s="34" t="inlineStr">
        <is>
          <t>R976-v2</t>
        </is>
      </c>
      <c r="P1439" s="39" t="inlineStr"/>
      <c r="Q1439" s="14" t="inlineStr"/>
      <c r="R1439" s="39" t="inlineStr"/>
      <c r="S1439" s="39" t="inlineStr"/>
      <c r="T1439" s="34" t="inlineStr">
        <is>
          <t>Group decision (182 records sharing one decision state)</t>
        </is>
      </c>
      <c r="U1439" s="39" t="inlineStr"/>
      <c r="V1439" s="14" t="inlineStr"/>
      <c r="W1439" s="14" t="inlineStr"/>
    </row>
    <row r="1440" ht="64" customHeight="1">
      <c r="A1440" s="34" t="inlineStr">
        <is>
          <t>UNSURE</t>
        </is>
      </c>
      <c r="B1440" s="39" t="inlineStr"/>
      <c r="C1440" s="34" t="inlineStr">
        <is>
          <t>Contractor Programme</t>
        </is>
      </c>
      <c r="D1440" s="34" t="inlineStr">
        <is>
          <t>SCH-06-077</t>
        </is>
      </c>
      <c r="E1440" s="34" t="inlineStr">
        <is>
          <t>Fleet package: delivery risk workshop - inspection</t>
        </is>
      </c>
      <c r="F1440" s="34" t="inlineStr">
        <is>
          <t>UNSURE</t>
        </is>
      </c>
      <c r="G1440" s="34" t="inlineStr">
        <is>
          <t>APPROVED</t>
        </is>
      </c>
      <c r="H1440" s="34" t="inlineStr">
        <is>
          <t>New</t>
        </is>
      </c>
      <c r="I1440" s="34" t="inlineStr">
        <is>
          <t>Professional decision</t>
        </is>
      </c>
      <c r="J1440" s="34" t="inlineStr">
        <is>
          <t>Maya Chen, Owner Project Controls</t>
        </is>
      </c>
      <c r="K1440" s="34" t="inlineStr">
        <is>
          <t>Professional</t>
        </is>
      </c>
      <c r="L1440" s="39" t="inlineStr"/>
      <c r="M1440" s="34" t="inlineStr">
        <is>
          <t>Initial</t>
        </is>
      </c>
      <c r="N1440" s="34" t="inlineStr">
        <is>
          <t>Rev 0</t>
        </is>
      </c>
      <c r="O1440" s="34" t="inlineStr">
        <is>
          <t>R977-v2</t>
        </is>
      </c>
      <c r="P1440" s="39" t="inlineStr"/>
      <c r="Q1440" s="14" t="inlineStr"/>
      <c r="R1440" s="39" t="inlineStr"/>
      <c r="S1440" s="39" t="inlineStr"/>
      <c r="T1440" s="34" t="inlineStr">
        <is>
          <t>Group decision (182 records sharing one decision state)</t>
        </is>
      </c>
      <c r="U1440" s="39" t="inlineStr"/>
      <c r="V1440" s="14" t="inlineStr"/>
      <c r="W1440" s="14" t="inlineStr"/>
    </row>
    <row r="1441" ht="64" customHeight="1">
      <c r="A1441" s="34" t="inlineStr">
        <is>
          <t>UNSURE</t>
        </is>
      </c>
      <c r="B1441" s="39" t="inlineStr"/>
      <c r="C1441" s="34" t="inlineStr">
        <is>
          <t>Contractor Programme</t>
        </is>
      </c>
      <c r="D1441" s="34" t="inlineStr">
        <is>
          <t>SCH-06-078</t>
        </is>
      </c>
      <c r="E1441" s="34" t="inlineStr">
        <is>
          <t>Program office: monthly controls cut-off - turnover</t>
        </is>
      </c>
      <c r="F1441" s="34" t="inlineStr">
        <is>
          <t>UNSURE</t>
        </is>
      </c>
      <c r="G1441" s="34" t="inlineStr">
        <is>
          <t>APPROVED</t>
        </is>
      </c>
      <c r="H1441" s="34" t="inlineStr">
        <is>
          <t>New</t>
        </is>
      </c>
      <c r="I1441" s="34" t="inlineStr">
        <is>
          <t>Professional decision</t>
        </is>
      </c>
      <c r="J1441" s="34" t="inlineStr">
        <is>
          <t>Maya Chen, Owner Project Controls</t>
        </is>
      </c>
      <c r="K1441" s="34" t="inlineStr">
        <is>
          <t>Professional</t>
        </is>
      </c>
      <c r="L1441" s="39" t="inlineStr"/>
      <c r="M1441" s="34" t="inlineStr">
        <is>
          <t>Initial</t>
        </is>
      </c>
      <c r="N1441" s="34" t="inlineStr">
        <is>
          <t>Rev 0</t>
        </is>
      </c>
      <c r="O1441" s="34" t="inlineStr">
        <is>
          <t>R978-v2</t>
        </is>
      </c>
      <c r="P1441" s="39" t="inlineStr"/>
      <c r="Q1441" s="14" t="inlineStr"/>
      <c r="R1441" s="39" t="inlineStr"/>
      <c r="S1441" s="39" t="inlineStr"/>
      <c r="T1441" s="34" t="inlineStr">
        <is>
          <t>Group decision (182 records sharing one decision state)</t>
        </is>
      </c>
      <c r="U1441" s="39" t="inlineStr"/>
      <c r="V1441" s="14" t="inlineStr"/>
      <c r="W1441" s="14" t="inlineStr"/>
    </row>
    <row r="1442" ht="64" customHeight="1">
      <c r="A1442" s="34" t="inlineStr">
        <is>
          <t>UNSURE</t>
        </is>
      </c>
      <c r="B1442" s="39" t="inlineStr"/>
      <c r="C1442" s="34" t="inlineStr">
        <is>
          <t>Contractor Programme</t>
        </is>
      </c>
      <c r="D1442" s="34" t="inlineStr">
        <is>
          <t>SCH-06-079</t>
        </is>
      </c>
      <c r="E1442" s="34" t="inlineStr">
        <is>
          <t>Civil package: stakeholder interface meeting - release</t>
        </is>
      </c>
      <c r="F1442" s="34" t="inlineStr">
        <is>
          <t>UNSURE</t>
        </is>
      </c>
      <c r="G1442" s="34" t="inlineStr">
        <is>
          <t>APPROVED</t>
        </is>
      </c>
      <c r="H1442" s="34" t="inlineStr">
        <is>
          <t>New</t>
        </is>
      </c>
      <c r="I1442" s="34" t="inlineStr">
        <is>
          <t>Professional decision</t>
        </is>
      </c>
      <c r="J1442" s="34" t="inlineStr">
        <is>
          <t>Maya Chen, Owner Project Controls</t>
        </is>
      </c>
      <c r="K1442" s="34" t="inlineStr">
        <is>
          <t>Professional</t>
        </is>
      </c>
      <c r="L1442" s="39" t="inlineStr"/>
      <c r="M1442" s="34" t="inlineStr">
        <is>
          <t>Initial</t>
        </is>
      </c>
      <c r="N1442" s="34" t="inlineStr">
        <is>
          <t>Rev 0</t>
        </is>
      </c>
      <c r="O1442" s="34" t="inlineStr">
        <is>
          <t>R979-v2</t>
        </is>
      </c>
      <c r="P1442" s="39" t="inlineStr"/>
      <c r="Q1442" s="14" t="inlineStr"/>
      <c r="R1442" s="39" t="inlineStr"/>
      <c r="S1442" s="39" t="inlineStr"/>
      <c r="T1442" s="34" t="inlineStr">
        <is>
          <t>Group decision (182 records sharing one decision state)</t>
        </is>
      </c>
      <c r="U1442" s="39" t="inlineStr"/>
      <c r="V1442" s="14" t="inlineStr"/>
      <c r="W1442" s="14" t="inlineStr"/>
    </row>
    <row r="1443" ht="64" customHeight="1">
      <c r="A1443" s="34" t="inlineStr">
        <is>
          <t>UNSURE</t>
        </is>
      </c>
      <c r="B1443" s="39" t="inlineStr"/>
      <c r="C1443" s="34" t="inlineStr">
        <is>
          <t>Contractor Programme</t>
        </is>
      </c>
      <c r="D1443" s="34" t="inlineStr">
        <is>
          <t>SCH-06-080</t>
        </is>
      </c>
      <c r="E1443" s="34" t="inlineStr">
        <is>
          <t>Stations package: baseline change control - field start</t>
        </is>
      </c>
      <c r="F1443" s="34" t="inlineStr">
        <is>
          <t>UNSURE</t>
        </is>
      </c>
      <c r="G1443" s="34" t="inlineStr">
        <is>
          <t>APPROVED</t>
        </is>
      </c>
      <c r="H1443" s="34" t="inlineStr">
        <is>
          <t>New</t>
        </is>
      </c>
      <c r="I1443" s="34" t="inlineStr">
        <is>
          <t>Professional decision</t>
        </is>
      </c>
      <c r="J1443" s="34" t="inlineStr">
        <is>
          <t>Maya Chen, Owner Project Controls</t>
        </is>
      </c>
      <c r="K1443" s="34" t="inlineStr">
        <is>
          <t>Professional</t>
        </is>
      </c>
      <c r="L1443" s="39" t="inlineStr"/>
      <c r="M1443" s="34" t="inlineStr">
        <is>
          <t>Initial</t>
        </is>
      </c>
      <c r="N1443" s="34" t="inlineStr">
        <is>
          <t>Rev 0</t>
        </is>
      </c>
      <c r="O1443" s="34" t="inlineStr">
        <is>
          <t>R980-v2</t>
        </is>
      </c>
      <c r="P1443" s="39" t="inlineStr"/>
      <c r="Q1443" s="14" t="inlineStr"/>
      <c r="R1443" s="39" t="inlineStr"/>
      <c r="S1443" s="39" t="inlineStr"/>
      <c r="T1443" s="34" t="inlineStr">
        <is>
          <t>Group decision (182 records sharing one decision state)</t>
        </is>
      </c>
      <c r="U1443" s="39" t="inlineStr"/>
      <c r="V1443" s="14" t="inlineStr"/>
      <c r="W1443" s="14" t="inlineStr"/>
    </row>
    <row r="1444" ht="64" customHeight="1">
      <c r="A1444" s="34" t="inlineStr">
        <is>
          <t>UNSURE</t>
        </is>
      </c>
      <c r="B1444" s="39" t="inlineStr"/>
      <c r="C1444" s="34" t="inlineStr">
        <is>
          <t>Contractor Programme</t>
        </is>
      </c>
      <c r="D1444" s="34" t="inlineStr">
        <is>
          <t>SCH-06-081</t>
        </is>
      </c>
      <c r="E1444" s="34" t="inlineStr">
        <is>
          <t>Systems package: commercial change review - installation</t>
        </is>
      </c>
      <c r="F1444" s="34" t="inlineStr">
        <is>
          <t>UNSURE</t>
        </is>
      </c>
      <c r="G1444" s="34" t="inlineStr">
        <is>
          <t>APPROVED</t>
        </is>
      </c>
      <c r="H1444" s="34" t="inlineStr">
        <is>
          <t>New</t>
        </is>
      </c>
      <c r="I1444" s="34" t="inlineStr">
        <is>
          <t>Professional decision</t>
        </is>
      </c>
      <c r="J1444" s="34" t="inlineStr">
        <is>
          <t>Maya Chen, Owner Project Controls</t>
        </is>
      </c>
      <c r="K1444" s="34" t="inlineStr">
        <is>
          <t>Professional</t>
        </is>
      </c>
      <c r="L1444" s="39" t="inlineStr"/>
      <c r="M1444" s="34" t="inlineStr">
        <is>
          <t>Initial</t>
        </is>
      </c>
      <c r="N1444" s="34" t="inlineStr">
        <is>
          <t>Rev 0</t>
        </is>
      </c>
      <c r="O1444" s="34" t="inlineStr">
        <is>
          <t>R981-v2</t>
        </is>
      </c>
      <c r="P1444" s="39" t="inlineStr"/>
      <c r="Q1444" s="14" t="inlineStr"/>
      <c r="R1444" s="39" t="inlineStr"/>
      <c r="S1444" s="39" t="inlineStr"/>
      <c r="T1444" s="34" t="inlineStr">
        <is>
          <t>Group decision (182 records sharing one decision state)</t>
        </is>
      </c>
      <c r="U1444" s="39" t="inlineStr"/>
      <c r="V1444" s="14" t="inlineStr"/>
      <c r="W1444" s="14" t="inlineStr"/>
    </row>
    <row r="1445" ht="64" customHeight="1">
      <c r="A1445" s="34" t="inlineStr">
        <is>
          <t>UNSURE</t>
        </is>
      </c>
      <c r="B1445" s="39" t="inlineStr"/>
      <c r="C1445" s="34" t="inlineStr">
        <is>
          <t>Contractor Programme</t>
        </is>
      </c>
      <c r="D1445" s="34" t="inlineStr">
        <is>
          <t>SCH-06-082</t>
        </is>
      </c>
      <c r="E1445" s="34" t="inlineStr">
        <is>
          <t>Fleet package: design-package integration review - inspection</t>
        </is>
      </c>
      <c r="F1445" s="34" t="inlineStr">
        <is>
          <t>UNSURE</t>
        </is>
      </c>
      <c r="G1445" s="34" t="inlineStr">
        <is>
          <t>APPROVED</t>
        </is>
      </c>
      <c r="H1445" s="34" t="inlineStr">
        <is>
          <t>New</t>
        </is>
      </c>
      <c r="I1445" s="34" t="inlineStr">
        <is>
          <t>Professional decision</t>
        </is>
      </c>
      <c r="J1445" s="34" t="inlineStr">
        <is>
          <t>Maya Chen, Owner Project Controls</t>
        </is>
      </c>
      <c r="K1445" s="34" t="inlineStr">
        <is>
          <t>Professional</t>
        </is>
      </c>
      <c r="L1445" s="39" t="inlineStr"/>
      <c r="M1445" s="34" t="inlineStr">
        <is>
          <t>Initial</t>
        </is>
      </c>
      <c r="N1445" s="34" t="inlineStr">
        <is>
          <t>Rev 0</t>
        </is>
      </c>
      <c r="O1445" s="34" t="inlineStr">
        <is>
          <t>R982-v2</t>
        </is>
      </c>
      <c r="P1445" s="39" t="inlineStr"/>
      <c r="Q1445" s="14" t="inlineStr"/>
      <c r="R1445" s="39" t="inlineStr"/>
      <c r="S1445" s="39" t="inlineStr"/>
      <c r="T1445" s="34" t="inlineStr">
        <is>
          <t>Group decision (182 records sharing one decision state)</t>
        </is>
      </c>
      <c r="U1445" s="39" t="inlineStr"/>
      <c r="V1445" s="14" t="inlineStr"/>
      <c r="W1445" s="14" t="inlineStr"/>
    </row>
    <row r="1446" ht="64" customHeight="1">
      <c r="A1446" s="34" t="inlineStr">
        <is>
          <t>UNSURE</t>
        </is>
      </c>
      <c r="B1446" s="39" t="inlineStr"/>
      <c r="C1446" s="34" t="inlineStr">
        <is>
          <t>Contractor Programme</t>
        </is>
      </c>
      <c r="D1446" s="34" t="inlineStr">
        <is>
          <t>SCH-06-083</t>
        </is>
      </c>
      <c r="E1446" s="34" t="inlineStr">
        <is>
          <t>Program office: executive reporting close - turnover</t>
        </is>
      </c>
      <c r="F1446" s="34" t="inlineStr">
        <is>
          <t>UNSURE</t>
        </is>
      </c>
      <c r="G1446" s="34" t="inlineStr">
        <is>
          <t>APPROVED</t>
        </is>
      </c>
      <c r="H1446" s="34" t="inlineStr">
        <is>
          <t>New</t>
        </is>
      </c>
      <c r="I1446" s="34" t="inlineStr">
        <is>
          <t>Professional decision</t>
        </is>
      </c>
      <c r="J1446" s="34" t="inlineStr">
        <is>
          <t>Maya Chen, Owner Project Controls</t>
        </is>
      </c>
      <c r="K1446" s="34" t="inlineStr">
        <is>
          <t>Professional</t>
        </is>
      </c>
      <c r="L1446" s="39" t="inlineStr"/>
      <c r="M1446" s="34" t="inlineStr">
        <is>
          <t>Initial</t>
        </is>
      </c>
      <c r="N1446" s="34" t="inlineStr">
        <is>
          <t>Rev 0</t>
        </is>
      </c>
      <c r="O1446" s="34" t="inlineStr">
        <is>
          <t>R983-v2</t>
        </is>
      </c>
      <c r="P1446" s="39" t="inlineStr"/>
      <c r="Q1446" s="14" t="inlineStr"/>
      <c r="R1446" s="39" t="inlineStr"/>
      <c r="S1446" s="39" t="inlineStr"/>
      <c r="T1446" s="34" t="inlineStr">
        <is>
          <t>Group decision (182 records sharing one decision state)</t>
        </is>
      </c>
      <c r="U1446" s="39" t="inlineStr"/>
      <c r="V1446" s="14" t="inlineStr"/>
      <c r="W1446" s="14" t="inlineStr"/>
    </row>
    <row r="1447" ht="64" customHeight="1">
      <c r="A1447" s="34" t="inlineStr">
        <is>
          <t>UNSURE</t>
        </is>
      </c>
      <c r="B1447" s="39" t="inlineStr"/>
      <c r="C1447" s="34" t="inlineStr">
        <is>
          <t>Contractor Programme</t>
        </is>
      </c>
      <c r="D1447" s="34" t="inlineStr">
        <is>
          <t>SCH-06-084</t>
        </is>
      </c>
      <c r="E1447" s="34" t="inlineStr">
        <is>
          <t>Civil package: permit coordination - release</t>
        </is>
      </c>
      <c r="F1447" s="34" t="inlineStr">
        <is>
          <t>UNSURE</t>
        </is>
      </c>
      <c r="G1447" s="34" t="inlineStr">
        <is>
          <t>APPROVED</t>
        </is>
      </c>
      <c r="H1447" s="34" t="inlineStr">
        <is>
          <t>New</t>
        </is>
      </c>
      <c r="I1447" s="34" t="inlineStr">
        <is>
          <t>Professional decision</t>
        </is>
      </c>
      <c r="J1447" s="34" t="inlineStr">
        <is>
          <t>Maya Chen, Owner Project Controls</t>
        </is>
      </c>
      <c r="K1447" s="34" t="inlineStr">
        <is>
          <t>Professional</t>
        </is>
      </c>
      <c r="L1447" s="39" t="inlineStr"/>
      <c r="M1447" s="34" t="inlineStr">
        <is>
          <t>Initial</t>
        </is>
      </c>
      <c r="N1447" s="34" t="inlineStr">
        <is>
          <t>Rev 0</t>
        </is>
      </c>
      <c r="O1447" s="34" t="inlineStr">
        <is>
          <t>R984-v2</t>
        </is>
      </c>
      <c r="P1447" s="39" t="inlineStr"/>
      <c r="Q1447" s="14" t="inlineStr"/>
      <c r="R1447" s="39" t="inlineStr"/>
      <c r="S1447" s="39" t="inlineStr"/>
      <c r="T1447" s="34" t="inlineStr">
        <is>
          <t>Group decision (182 records sharing one decision state)</t>
        </is>
      </c>
      <c r="U1447" s="39" t="inlineStr"/>
      <c r="V1447" s="14" t="inlineStr"/>
      <c r="W1447" s="14" t="inlineStr"/>
    </row>
    <row r="1448" ht="64" customHeight="1">
      <c r="A1448" s="34" t="inlineStr">
        <is>
          <t>UNSURE</t>
        </is>
      </c>
      <c r="B1448" s="39" t="inlineStr"/>
      <c r="C1448" s="34" t="inlineStr">
        <is>
          <t>Contractor Programme</t>
        </is>
      </c>
      <c r="D1448" s="34" t="inlineStr">
        <is>
          <t>SCH-06-085</t>
        </is>
      </c>
      <c r="E1448" s="34" t="inlineStr">
        <is>
          <t>Stations package: delivery risk workshop - field start</t>
        </is>
      </c>
      <c r="F1448" s="34" t="inlineStr">
        <is>
          <t>UNSURE</t>
        </is>
      </c>
      <c r="G1448" s="34" t="inlineStr">
        <is>
          <t>APPROVED</t>
        </is>
      </c>
      <c r="H1448" s="34" t="inlineStr">
        <is>
          <t>New</t>
        </is>
      </c>
      <c r="I1448" s="34" t="inlineStr">
        <is>
          <t>Professional decision</t>
        </is>
      </c>
      <c r="J1448" s="34" t="inlineStr">
        <is>
          <t>Maya Chen, Owner Project Controls</t>
        </is>
      </c>
      <c r="K1448" s="34" t="inlineStr">
        <is>
          <t>Professional</t>
        </is>
      </c>
      <c r="L1448" s="39" t="inlineStr"/>
      <c r="M1448" s="34" t="inlineStr">
        <is>
          <t>Initial</t>
        </is>
      </c>
      <c r="N1448" s="34" t="inlineStr">
        <is>
          <t>Rev 0</t>
        </is>
      </c>
      <c r="O1448" s="34" t="inlineStr">
        <is>
          <t>R985-v2</t>
        </is>
      </c>
      <c r="P1448" s="39" t="inlineStr"/>
      <c r="Q1448" s="14" t="inlineStr"/>
      <c r="R1448" s="39" t="inlineStr"/>
      <c r="S1448" s="39" t="inlineStr"/>
      <c r="T1448" s="34" t="inlineStr">
        <is>
          <t>Group decision (182 records sharing one decision state)</t>
        </is>
      </c>
      <c r="U1448" s="39" t="inlineStr"/>
      <c r="V1448" s="14" t="inlineStr"/>
      <c r="W1448" s="14" t="inlineStr"/>
    </row>
    <row r="1449" ht="64" customHeight="1">
      <c r="A1449" s="34" t="inlineStr">
        <is>
          <t>UNSURE</t>
        </is>
      </c>
      <c r="B1449" s="39" t="inlineStr"/>
      <c r="C1449" s="34" t="inlineStr">
        <is>
          <t>Contractor Programme</t>
        </is>
      </c>
      <c r="D1449" s="34" t="inlineStr">
        <is>
          <t>SCH-06-086</t>
        </is>
      </c>
      <c r="E1449" s="34" t="inlineStr">
        <is>
          <t>Systems package: monthly controls cut-off - installation</t>
        </is>
      </c>
      <c r="F1449" s="34" t="inlineStr">
        <is>
          <t>UNSURE</t>
        </is>
      </c>
      <c r="G1449" s="34" t="inlineStr">
        <is>
          <t>APPROVED</t>
        </is>
      </c>
      <c r="H1449" s="34" t="inlineStr">
        <is>
          <t>New</t>
        </is>
      </c>
      <c r="I1449" s="34" t="inlineStr">
        <is>
          <t>Professional decision</t>
        </is>
      </c>
      <c r="J1449" s="34" t="inlineStr">
        <is>
          <t>Maya Chen, Owner Project Controls</t>
        </is>
      </c>
      <c r="K1449" s="34" t="inlineStr">
        <is>
          <t>Professional</t>
        </is>
      </c>
      <c r="L1449" s="39" t="inlineStr"/>
      <c r="M1449" s="34" t="inlineStr">
        <is>
          <t>Initial</t>
        </is>
      </c>
      <c r="N1449" s="34" t="inlineStr">
        <is>
          <t>Rev 0</t>
        </is>
      </c>
      <c r="O1449" s="34" t="inlineStr">
        <is>
          <t>R986-v2</t>
        </is>
      </c>
      <c r="P1449" s="39" t="inlineStr"/>
      <c r="Q1449" s="14" t="inlineStr"/>
      <c r="R1449" s="39" t="inlineStr"/>
      <c r="S1449" s="39" t="inlineStr"/>
      <c r="T1449" s="34" t="inlineStr">
        <is>
          <t>Group decision (182 records sharing one decision state)</t>
        </is>
      </c>
      <c r="U1449" s="39" t="inlineStr"/>
      <c r="V1449" s="14" t="inlineStr"/>
      <c r="W1449" s="14" t="inlineStr"/>
    </row>
    <row r="1450" ht="64" customHeight="1">
      <c r="A1450" s="34" t="inlineStr">
        <is>
          <t>UNSURE</t>
        </is>
      </c>
      <c r="B1450" s="39" t="inlineStr"/>
      <c r="C1450" s="34" t="inlineStr">
        <is>
          <t>Contractor Programme</t>
        </is>
      </c>
      <c r="D1450" s="34" t="inlineStr">
        <is>
          <t>SCH-06-087</t>
        </is>
      </c>
      <c r="E1450" s="34" t="inlineStr">
        <is>
          <t>Fleet package: stakeholder interface meeting - inspection</t>
        </is>
      </c>
      <c r="F1450" s="34" t="inlineStr">
        <is>
          <t>UNSURE</t>
        </is>
      </c>
      <c r="G1450" s="34" t="inlineStr">
        <is>
          <t>APPROVED</t>
        </is>
      </c>
      <c r="H1450" s="34" t="inlineStr">
        <is>
          <t>New</t>
        </is>
      </c>
      <c r="I1450" s="34" t="inlineStr">
        <is>
          <t>Professional decision</t>
        </is>
      </c>
      <c r="J1450" s="34" t="inlineStr">
        <is>
          <t>Maya Chen, Owner Project Controls</t>
        </is>
      </c>
      <c r="K1450" s="34" t="inlineStr">
        <is>
          <t>Professional</t>
        </is>
      </c>
      <c r="L1450" s="39" t="inlineStr"/>
      <c r="M1450" s="34" t="inlineStr">
        <is>
          <t>Initial</t>
        </is>
      </c>
      <c r="N1450" s="34" t="inlineStr">
        <is>
          <t>Rev 0</t>
        </is>
      </c>
      <c r="O1450" s="34" t="inlineStr">
        <is>
          <t>R987-v2</t>
        </is>
      </c>
      <c r="P1450" s="39" t="inlineStr"/>
      <c r="Q1450" s="14" t="inlineStr"/>
      <c r="R1450" s="39" t="inlineStr"/>
      <c r="S1450" s="39" t="inlineStr"/>
      <c r="T1450" s="34" t="inlineStr">
        <is>
          <t>Group decision (182 records sharing one decision state)</t>
        </is>
      </c>
      <c r="U1450" s="39" t="inlineStr"/>
      <c r="V1450" s="14" t="inlineStr"/>
      <c r="W1450" s="14" t="inlineStr"/>
    </row>
    <row r="1451" ht="64" customHeight="1">
      <c r="A1451" s="34" t="inlineStr">
        <is>
          <t>UNSURE</t>
        </is>
      </c>
      <c r="B1451" s="39" t="inlineStr"/>
      <c r="C1451" s="34" t="inlineStr">
        <is>
          <t>Contractor Programme</t>
        </is>
      </c>
      <c r="D1451" s="34" t="inlineStr">
        <is>
          <t>SCH-06-088</t>
        </is>
      </c>
      <c r="E1451" s="34" t="inlineStr">
        <is>
          <t>Program office: baseline change control - turnover</t>
        </is>
      </c>
      <c r="F1451" s="34" t="inlineStr">
        <is>
          <t>UNSURE</t>
        </is>
      </c>
      <c r="G1451" s="34" t="inlineStr">
        <is>
          <t>APPROVED</t>
        </is>
      </c>
      <c r="H1451" s="34" t="inlineStr">
        <is>
          <t>New</t>
        </is>
      </c>
      <c r="I1451" s="34" t="inlineStr">
        <is>
          <t>Professional decision</t>
        </is>
      </c>
      <c r="J1451" s="34" t="inlineStr">
        <is>
          <t>Maya Chen, Owner Project Controls</t>
        </is>
      </c>
      <c r="K1451" s="34" t="inlineStr">
        <is>
          <t>Professional</t>
        </is>
      </c>
      <c r="L1451" s="39" t="inlineStr"/>
      <c r="M1451" s="34" t="inlineStr">
        <is>
          <t>Initial</t>
        </is>
      </c>
      <c r="N1451" s="34" t="inlineStr">
        <is>
          <t>Rev 0</t>
        </is>
      </c>
      <c r="O1451" s="34" t="inlineStr">
        <is>
          <t>R988-v2</t>
        </is>
      </c>
      <c r="P1451" s="39" t="inlineStr"/>
      <c r="Q1451" s="14" t="inlineStr"/>
      <c r="R1451" s="39" t="inlineStr"/>
      <c r="S1451" s="39" t="inlineStr"/>
      <c r="T1451" s="34" t="inlineStr">
        <is>
          <t>Group decision (182 records sharing one decision state)</t>
        </is>
      </c>
      <c r="U1451" s="39" t="inlineStr"/>
      <c r="V1451" s="14" t="inlineStr"/>
      <c r="W1451" s="14" t="inlineStr"/>
    </row>
    <row r="1452" ht="64" customHeight="1">
      <c r="A1452" s="34" t="inlineStr">
        <is>
          <t>UNSURE</t>
        </is>
      </c>
      <c r="B1452" s="39" t="inlineStr"/>
      <c r="C1452" s="34" t="inlineStr">
        <is>
          <t>Contractor Programme</t>
        </is>
      </c>
      <c r="D1452" s="34" t="inlineStr">
        <is>
          <t>SCH-06-089</t>
        </is>
      </c>
      <c r="E1452" s="34" t="inlineStr">
        <is>
          <t>Civil package: commercial change review - release</t>
        </is>
      </c>
      <c r="F1452" s="34" t="inlineStr">
        <is>
          <t>UNSURE</t>
        </is>
      </c>
      <c r="G1452" s="34" t="inlineStr">
        <is>
          <t>APPROVED</t>
        </is>
      </c>
      <c r="H1452" s="34" t="inlineStr">
        <is>
          <t>New</t>
        </is>
      </c>
      <c r="I1452" s="34" t="inlineStr">
        <is>
          <t>Professional decision</t>
        </is>
      </c>
      <c r="J1452" s="34" t="inlineStr">
        <is>
          <t>Maya Chen, Owner Project Controls</t>
        </is>
      </c>
      <c r="K1452" s="34" t="inlineStr">
        <is>
          <t>Professional</t>
        </is>
      </c>
      <c r="L1452" s="39" t="inlineStr"/>
      <c r="M1452" s="34" t="inlineStr">
        <is>
          <t>Initial</t>
        </is>
      </c>
      <c r="N1452" s="34" t="inlineStr">
        <is>
          <t>Rev 0</t>
        </is>
      </c>
      <c r="O1452" s="34" t="inlineStr">
        <is>
          <t>R989-v2</t>
        </is>
      </c>
      <c r="P1452" s="39" t="inlineStr"/>
      <c r="Q1452" s="14" t="inlineStr"/>
      <c r="R1452" s="39" t="inlineStr"/>
      <c r="S1452" s="39" t="inlineStr"/>
      <c r="T1452" s="34" t="inlineStr">
        <is>
          <t>Group decision (182 records sharing one decision state)</t>
        </is>
      </c>
      <c r="U1452" s="39" t="inlineStr"/>
      <c r="V1452" s="14" t="inlineStr"/>
      <c r="W1452" s="14" t="inlineStr"/>
    </row>
    <row r="1453" ht="64" customHeight="1">
      <c r="A1453" s="34" t="inlineStr">
        <is>
          <t>UNSURE</t>
        </is>
      </c>
      <c r="B1453" s="39" t="inlineStr"/>
      <c r="C1453" s="34" t="inlineStr">
        <is>
          <t>Contractor Programme</t>
        </is>
      </c>
      <c r="D1453" s="34" t="inlineStr">
        <is>
          <t>SCH-06-090</t>
        </is>
      </c>
      <c r="E1453" s="34" t="inlineStr">
        <is>
          <t>Stations package: design-package integration review - field start</t>
        </is>
      </c>
      <c r="F1453" s="34" t="inlineStr">
        <is>
          <t>UNSURE</t>
        </is>
      </c>
      <c r="G1453" s="34" t="inlineStr">
        <is>
          <t>APPROVED</t>
        </is>
      </c>
      <c r="H1453" s="34" t="inlineStr">
        <is>
          <t>New</t>
        </is>
      </c>
      <c r="I1453" s="34" t="inlineStr">
        <is>
          <t>Professional decision</t>
        </is>
      </c>
      <c r="J1453" s="34" t="inlineStr">
        <is>
          <t>Maya Chen, Owner Project Controls</t>
        </is>
      </c>
      <c r="K1453" s="34" t="inlineStr">
        <is>
          <t>Professional</t>
        </is>
      </c>
      <c r="L1453" s="39" t="inlineStr"/>
      <c r="M1453" s="34" t="inlineStr">
        <is>
          <t>Initial</t>
        </is>
      </c>
      <c r="N1453" s="34" t="inlineStr">
        <is>
          <t>Rev 0</t>
        </is>
      </c>
      <c r="O1453" s="34" t="inlineStr">
        <is>
          <t>R990-v2</t>
        </is>
      </c>
      <c r="P1453" s="39" t="inlineStr"/>
      <c r="Q1453" s="14" t="inlineStr"/>
      <c r="R1453" s="39" t="inlineStr"/>
      <c r="S1453" s="39" t="inlineStr"/>
      <c r="T1453" s="34" t="inlineStr">
        <is>
          <t>Group decision (182 records sharing one decision state)</t>
        </is>
      </c>
      <c r="U1453" s="39" t="inlineStr"/>
      <c r="V1453" s="14" t="inlineStr"/>
      <c r="W1453" s="14" t="inlineStr"/>
    </row>
    <row r="1454" ht="64" customHeight="1">
      <c r="A1454" s="34" t="inlineStr">
        <is>
          <t>UNSURE</t>
        </is>
      </c>
      <c r="B1454" s="39" t="inlineStr"/>
      <c r="C1454" s="34" t="inlineStr">
        <is>
          <t>Contractor Programme</t>
        </is>
      </c>
      <c r="D1454" s="34" t="inlineStr">
        <is>
          <t>SCH-06-091</t>
        </is>
      </c>
      <c r="E1454" s="34" t="inlineStr">
        <is>
          <t>Systems package: executive reporting close - installation</t>
        </is>
      </c>
      <c r="F1454" s="34" t="inlineStr">
        <is>
          <t>UNSURE</t>
        </is>
      </c>
      <c r="G1454" s="34" t="inlineStr">
        <is>
          <t>APPROVED</t>
        </is>
      </c>
      <c r="H1454" s="34" t="inlineStr">
        <is>
          <t>New</t>
        </is>
      </c>
      <c r="I1454" s="34" t="inlineStr">
        <is>
          <t>Professional decision</t>
        </is>
      </c>
      <c r="J1454" s="34" t="inlineStr">
        <is>
          <t>Maya Chen, Owner Project Controls</t>
        </is>
      </c>
      <c r="K1454" s="34" t="inlineStr">
        <is>
          <t>Professional</t>
        </is>
      </c>
      <c r="L1454" s="39" t="inlineStr"/>
      <c r="M1454" s="34" t="inlineStr">
        <is>
          <t>Initial</t>
        </is>
      </c>
      <c r="N1454" s="34" t="inlineStr">
        <is>
          <t>Rev 0</t>
        </is>
      </c>
      <c r="O1454" s="34" t="inlineStr">
        <is>
          <t>R991-v2</t>
        </is>
      </c>
      <c r="P1454" s="39" t="inlineStr"/>
      <c r="Q1454" s="14" t="inlineStr"/>
      <c r="R1454" s="39" t="inlineStr"/>
      <c r="S1454" s="39" t="inlineStr"/>
      <c r="T1454" s="34" t="inlineStr">
        <is>
          <t>Group decision (182 records sharing one decision state)</t>
        </is>
      </c>
      <c r="U1454" s="39" t="inlineStr"/>
      <c r="V1454" s="14" t="inlineStr"/>
      <c r="W1454" s="14" t="inlineStr"/>
    </row>
    <row r="1455" ht="64" customHeight="1">
      <c r="A1455" s="34" t="inlineStr">
        <is>
          <t>UNSURE</t>
        </is>
      </c>
      <c r="B1455" s="39" t="inlineStr"/>
      <c r="C1455" s="34" t="inlineStr">
        <is>
          <t>Contractor Programme</t>
        </is>
      </c>
      <c r="D1455" s="34" t="inlineStr">
        <is>
          <t>SCH-06-092</t>
        </is>
      </c>
      <c r="E1455" s="34" t="inlineStr">
        <is>
          <t>Fleet package: permit coordination - inspection</t>
        </is>
      </c>
      <c r="F1455" s="34" t="inlineStr">
        <is>
          <t>UNSURE</t>
        </is>
      </c>
      <c r="G1455" s="34" t="inlineStr">
        <is>
          <t>APPROVED</t>
        </is>
      </c>
      <c r="H1455" s="34" t="inlineStr">
        <is>
          <t>New</t>
        </is>
      </c>
      <c r="I1455" s="34" t="inlineStr">
        <is>
          <t>Professional decision</t>
        </is>
      </c>
      <c r="J1455" s="34" t="inlineStr">
        <is>
          <t>Maya Chen, Owner Project Controls</t>
        </is>
      </c>
      <c r="K1455" s="34" t="inlineStr">
        <is>
          <t>Professional</t>
        </is>
      </c>
      <c r="L1455" s="39" t="inlineStr"/>
      <c r="M1455" s="34" t="inlineStr">
        <is>
          <t>Initial</t>
        </is>
      </c>
      <c r="N1455" s="34" t="inlineStr">
        <is>
          <t>Rev 0</t>
        </is>
      </c>
      <c r="O1455" s="34" t="inlineStr">
        <is>
          <t>R992-v2</t>
        </is>
      </c>
      <c r="P1455" s="39" t="inlineStr"/>
      <c r="Q1455" s="14" t="inlineStr"/>
      <c r="R1455" s="39" t="inlineStr"/>
      <c r="S1455" s="39" t="inlineStr"/>
      <c r="T1455" s="34" t="inlineStr">
        <is>
          <t>Group decision (182 records sharing one decision state)</t>
        </is>
      </c>
      <c r="U1455" s="39" t="inlineStr"/>
      <c r="V1455" s="14" t="inlineStr"/>
      <c r="W1455" s="14" t="inlineStr"/>
    </row>
    <row r="1456" ht="64" customHeight="1">
      <c r="A1456" s="34" t="inlineStr">
        <is>
          <t>UNSURE</t>
        </is>
      </c>
      <c r="B1456" s="39" t="inlineStr"/>
      <c r="C1456" s="34" t="inlineStr">
        <is>
          <t>Contractor Programme</t>
        </is>
      </c>
      <c r="D1456" s="34" t="inlineStr">
        <is>
          <t>SCH-06-093</t>
        </is>
      </c>
      <c r="E1456" s="34" t="inlineStr">
        <is>
          <t>Program office: delivery risk workshop - turnover</t>
        </is>
      </c>
      <c r="F1456" s="34" t="inlineStr">
        <is>
          <t>UNSURE</t>
        </is>
      </c>
      <c r="G1456" s="34" t="inlineStr">
        <is>
          <t>APPROVED</t>
        </is>
      </c>
      <c r="H1456" s="34" t="inlineStr">
        <is>
          <t>New</t>
        </is>
      </c>
      <c r="I1456" s="34" t="inlineStr">
        <is>
          <t>Professional decision</t>
        </is>
      </c>
      <c r="J1456" s="34" t="inlineStr">
        <is>
          <t>Maya Chen, Owner Project Controls</t>
        </is>
      </c>
      <c r="K1456" s="34" t="inlineStr">
        <is>
          <t>Professional</t>
        </is>
      </c>
      <c r="L1456" s="39" t="inlineStr"/>
      <c r="M1456" s="34" t="inlineStr">
        <is>
          <t>Initial</t>
        </is>
      </c>
      <c r="N1456" s="34" t="inlineStr">
        <is>
          <t>Rev 0</t>
        </is>
      </c>
      <c r="O1456" s="34" t="inlineStr">
        <is>
          <t>R993-v2</t>
        </is>
      </c>
      <c r="P1456" s="39" t="inlineStr"/>
      <c r="Q1456" s="14" t="inlineStr"/>
      <c r="R1456" s="39" t="inlineStr"/>
      <c r="S1456" s="39" t="inlineStr"/>
      <c r="T1456" s="34" t="inlineStr">
        <is>
          <t>Group decision (182 records sharing one decision state)</t>
        </is>
      </c>
      <c r="U1456" s="39" t="inlineStr"/>
      <c r="V1456" s="14" t="inlineStr"/>
      <c r="W1456" s="14" t="inlineStr"/>
    </row>
    <row r="1457" ht="64" customHeight="1">
      <c r="A1457" s="34" t="inlineStr">
        <is>
          <t>UNSURE</t>
        </is>
      </c>
      <c r="B1457" s="39" t="inlineStr"/>
      <c r="C1457" s="34" t="inlineStr">
        <is>
          <t>Contractor Programme</t>
        </is>
      </c>
      <c r="D1457" s="34" t="inlineStr">
        <is>
          <t>SCH-06-094</t>
        </is>
      </c>
      <c r="E1457" s="34" t="inlineStr">
        <is>
          <t>Civil package: monthly controls cut-off - release</t>
        </is>
      </c>
      <c r="F1457" s="34" t="inlineStr">
        <is>
          <t>UNSURE</t>
        </is>
      </c>
      <c r="G1457" s="34" t="inlineStr">
        <is>
          <t>APPROVED</t>
        </is>
      </c>
      <c r="H1457" s="34" t="inlineStr">
        <is>
          <t>New</t>
        </is>
      </c>
      <c r="I1457" s="34" t="inlineStr">
        <is>
          <t>Professional decision</t>
        </is>
      </c>
      <c r="J1457" s="34" t="inlineStr">
        <is>
          <t>Maya Chen, Owner Project Controls</t>
        </is>
      </c>
      <c r="K1457" s="34" t="inlineStr">
        <is>
          <t>Professional</t>
        </is>
      </c>
      <c r="L1457" s="39" t="inlineStr"/>
      <c r="M1457" s="34" t="inlineStr">
        <is>
          <t>Initial</t>
        </is>
      </c>
      <c r="N1457" s="34" t="inlineStr">
        <is>
          <t>Rev 0</t>
        </is>
      </c>
      <c r="O1457" s="34" t="inlineStr">
        <is>
          <t>R994-v2</t>
        </is>
      </c>
      <c r="P1457" s="39" t="inlineStr"/>
      <c r="Q1457" s="14" t="inlineStr"/>
      <c r="R1457" s="39" t="inlineStr"/>
      <c r="S1457" s="39" t="inlineStr"/>
      <c r="T1457" s="34" t="inlineStr">
        <is>
          <t>Group decision (182 records sharing one decision state)</t>
        </is>
      </c>
      <c r="U1457" s="39" t="inlineStr"/>
      <c r="V1457" s="14" t="inlineStr"/>
      <c r="W1457" s="14" t="inlineStr"/>
    </row>
    <row r="1458" ht="64" customHeight="1">
      <c r="A1458" s="34" t="inlineStr">
        <is>
          <t>UNSURE</t>
        </is>
      </c>
      <c r="B1458" s="39" t="inlineStr"/>
      <c r="C1458" s="34" t="inlineStr">
        <is>
          <t>Contractor Programme</t>
        </is>
      </c>
      <c r="D1458" s="34" t="inlineStr">
        <is>
          <t>SCH-06-095</t>
        </is>
      </c>
      <c r="E1458" s="34" t="inlineStr">
        <is>
          <t>Stations package: stakeholder interface meeting - field start</t>
        </is>
      </c>
      <c r="F1458" s="34" t="inlineStr">
        <is>
          <t>UNSURE</t>
        </is>
      </c>
      <c r="G1458" s="34" t="inlineStr">
        <is>
          <t>APPROVED</t>
        </is>
      </c>
      <c r="H1458" s="34" t="inlineStr">
        <is>
          <t>New</t>
        </is>
      </c>
      <c r="I1458" s="34" t="inlineStr">
        <is>
          <t>Professional decision</t>
        </is>
      </c>
      <c r="J1458" s="34" t="inlineStr">
        <is>
          <t>Maya Chen, Owner Project Controls</t>
        </is>
      </c>
      <c r="K1458" s="34" t="inlineStr">
        <is>
          <t>Professional</t>
        </is>
      </c>
      <c r="L1458" s="39" t="inlineStr"/>
      <c r="M1458" s="34" t="inlineStr">
        <is>
          <t>Initial</t>
        </is>
      </c>
      <c r="N1458" s="34" t="inlineStr">
        <is>
          <t>Rev 0</t>
        </is>
      </c>
      <c r="O1458" s="34" t="inlineStr">
        <is>
          <t>R995-v2</t>
        </is>
      </c>
      <c r="P1458" s="39" t="inlineStr"/>
      <c r="Q1458" s="14" t="inlineStr"/>
      <c r="R1458" s="39" t="inlineStr"/>
      <c r="S1458" s="39" t="inlineStr"/>
      <c r="T1458" s="34" t="inlineStr">
        <is>
          <t>Group decision (182 records sharing one decision state)</t>
        </is>
      </c>
      <c r="U1458" s="39" t="inlineStr"/>
      <c r="V1458" s="14" t="inlineStr"/>
      <c r="W1458" s="14" t="inlineStr"/>
    </row>
    <row r="1459" ht="64" customHeight="1">
      <c r="A1459" s="34" t="inlineStr">
        <is>
          <t>UNSURE</t>
        </is>
      </c>
      <c r="B1459" s="39" t="inlineStr"/>
      <c r="C1459" s="34" t="inlineStr">
        <is>
          <t>Contractor Programme</t>
        </is>
      </c>
      <c r="D1459" s="34" t="inlineStr">
        <is>
          <t>SCH-06-096</t>
        </is>
      </c>
      <c r="E1459" s="34" t="inlineStr">
        <is>
          <t>Systems package: baseline change control - installation</t>
        </is>
      </c>
      <c r="F1459" s="34" t="inlineStr">
        <is>
          <t>UNSURE</t>
        </is>
      </c>
      <c r="G1459" s="34" t="inlineStr">
        <is>
          <t>APPROVED</t>
        </is>
      </c>
      <c r="H1459" s="34" t="inlineStr">
        <is>
          <t>New</t>
        </is>
      </c>
      <c r="I1459" s="34" t="inlineStr">
        <is>
          <t>Professional decision</t>
        </is>
      </c>
      <c r="J1459" s="34" t="inlineStr">
        <is>
          <t>Maya Chen, Owner Project Controls</t>
        </is>
      </c>
      <c r="K1459" s="34" t="inlineStr">
        <is>
          <t>Professional</t>
        </is>
      </c>
      <c r="L1459" s="39" t="inlineStr"/>
      <c r="M1459" s="34" t="inlineStr">
        <is>
          <t>Initial</t>
        </is>
      </c>
      <c r="N1459" s="34" t="inlineStr">
        <is>
          <t>Rev 0</t>
        </is>
      </c>
      <c r="O1459" s="34" t="inlineStr">
        <is>
          <t>R996-v2</t>
        </is>
      </c>
      <c r="P1459" s="39" t="inlineStr"/>
      <c r="Q1459" s="14" t="inlineStr"/>
      <c r="R1459" s="39" t="inlineStr"/>
      <c r="S1459" s="39" t="inlineStr"/>
      <c r="T1459" s="34" t="inlineStr">
        <is>
          <t>Group decision (182 records sharing one decision state)</t>
        </is>
      </c>
      <c r="U1459" s="39" t="inlineStr"/>
      <c r="V1459" s="14" t="inlineStr"/>
      <c r="W1459" s="14" t="inlineStr"/>
    </row>
    <row r="1460" ht="64" customHeight="1">
      <c r="A1460" s="34" t="inlineStr">
        <is>
          <t>UNSURE</t>
        </is>
      </c>
      <c r="B1460" s="39" t="inlineStr"/>
      <c r="C1460" s="34" t="inlineStr">
        <is>
          <t>Contractor Programme</t>
        </is>
      </c>
      <c r="D1460" s="34" t="inlineStr">
        <is>
          <t>SCH-06-097</t>
        </is>
      </c>
      <c r="E1460" s="34" t="inlineStr">
        <is>
          <t>Fleet package: commercial change review - inspection</t>
        </is>
      </c>
      <c r="F1460" s="34" t="inlineStr">
        <is>
          <t>UNSURE</t>
        </is>
      </c>
      <c r="G1460" s="34" t="inlineStr">
        <is>
          <t>APPROVED</t>
        </is>
      </c>
      <c r="H1460" s="34" t="inlineStr">
        <is>
          <t>New</t>
        </is>
      </c>
      <c r="I1460" s="34" t="inlineStr">
        <is>
          <t>Professional decision</t>
        </is>
      </c>
      <c r="J1460" s="34" t="inlineStr">
        <is>
          <t>Maya Chen, Owner Project Controls</t>
        </is>
      </c>
      <c r="K1460" s="34" t="inlineStr">
        <is>
          <t>Professional</t>
        </is>
      </c>
      <c r="L1460" s="39" t="inlineStr"/>
      <c r="M1460" s="34" t="inlineStr">
        <is>
          <t>Initial</t>
        </is>
      </c>
      <c r="N1460" s="34" t="inlineStr">
        <is>
          <t>Rev 0</t>
        </is>
      </c>
      <c r="O1460" s="34" t="inlineStr">
        <is>
          <t>R997-v2</t>
        </is>
      </c>
      <c r="P1460" s="39" t="inlineStr"/>
      <c r="Q1460" s="14" t="inlineStr"/>
      <c r="R1460" s="39" t="inlineStr"/>
      <c r="S1460" s="39" t="inlineStr"/>
      <c r="T1460" s="34" t="inlineStr">
        <is>
          <t>Group decision (182 records sharing one decision state)</t>
        </is>
      </c>
      <c r="U1460" s="39" t="inlineStr"/>
      <c r="V1460" s="14" t="inlineStr"/>
      <c r="W1460" s="14" t="inlineStr"/>
    </row>
    <row r="1461" ht="64" customHeight="1">
      <c r="A1461" s="34" t="inlineStr">
        <is>
          <t>UNSURE</t>
        </is>
      </c>
      <c r="B1461" s="39" t="inlineStr"/>
      <c r="C1461" s="34" t="inlineStr">
        <is>
          <t>Contractor Programme</t>
        </is>
      </c>
      <c r="D1461" s="34" t="inlineStr">
        <is>
          <t>SCH-06-098</t>
        </is>
      </c>
      <c r="E1461" s="34" t="inlineStr">
        <is>
          <t>Program office: design-package integration review - turnover</t>
        </is>
      </c>
      <c r="F1461" s="34" t="inlineStr">
        <is>
          <t>UNSURE</t>
        </is>
      </c>
      <c r="G1461" s="34" t="inlineStr">
        <is>
          <t>APPROVED</t>
        </is>
      </c>
      <c r="H1461" s="34" t="inlineStr">
        <is>
          <t>New</t>
        </is>
      </c>
      <c r="I1461" s="34" t="inlineStr">
        <is>
          <t>Professional decision</t>
        </is>
      </c>
      <c r="J1461" s="34" t="inlineStr">
        <is>
          <t>Maya Chen, Owner Project Controls</t>
        </is>
      </c>
      <c r="K1461" s="34" t="inlineStr">
        <is>
          <t>Professional</t>
        </is>
      </c>
      <c r="L1461" s="39" t="inlineStr"/>
      <c r="M1461" s="34" t="inlineStr">
        <is>
          <t>Initial</t>
        </is>
      </c>
      <c r="N1461" s="34" t="inlineStr">
        <is>
          <t>Rev 0</t>
        </is>
      </c>
      <c r="O1461" s="34" t="inlineStr">
        <is>
          <t>R998-v2</t>
        </is>
      </c>
      <c r="P1461" s="39" t="inlineStr"/>
      <c r="Q1461" s="14" t="inlineStr"/>
      <c r="R1461" s="39" t="inlineStr"/>
      <c r="S1461" s="39" t="inlineStr"/>
      <c r="T1461" s="34" t="inlineStr">
        <is>
          <t>Group decision (182 records sharing one decision state)</t>
        </is>
      </c>
      <c r="U1461" s="39" t="inlineStr"/>
      <c r="V1461" s="14" t="inlineStr"/>
      <c r="W1461" s="14" t="inlineStr"/>
    </row>
    <row r="1462" ht="64" customHeight="1">
      <c r="A1462" s="34" t="inlineStr">
        <is>
          <t>UNSURE</t>
        </is>
      </c>
      <c r="B1462" s="39" t="inlineStr"/>
      <c r="C1462" s="34" t="inlineStr">
        <is>
          <t>Contractor Programme</t>
        </is>
      </c>
      <c r="D1462" s="34" t="inlineStr">
        <is>
          <t>SCH-06-099</t>
        </is>
      </c>
      <c r="E1462" s="34" t="inlineStr">
        <is>
          <t>Civil package: executive reporting close - release</t>
        </is>
      </c>
      <c r="F1462" s="34" t="inlineStr">
        <is>
          <t>UNSURE</t>
        </is>
      </c>
      <c r="G1462" s="34" t="inlineStr">
        <is>
          <t>APPROVED</t>
        </is>
      </c>
      <c r="H1462" s="34" t="inlineStr">
        <is>
          <t>New</t>
        </is>
      </c>
      <c r="I1462" s="34" t="inlineStr">
        <is>
          <t>Professional decision</t>
        </is>
      </c>
      <c r="J1462" s="34" t="inlineStr">
        <is>
          <t>Maya Chen, Owner Project Controls</t>
        </is>
      </c>
      <c r="K1462" s="34" t="inlineStr">
        <is>
          <t>Professional</t>
        </is>
      </c>
      <c r="L1462" s="39" t="inlineStr"/>
      <c r="M1462" s="34" t="inlineStr">
        <is>
          <t>Initial</t>
        </is>
      </c>
      <c r="N1462" s="34" t="inlineStr">
        <is>
          <t>Rev 0</t>
        </is>
      </c>
      <c r="O1462" s="34" t="inlineStr">
        <is>
          <t>R999-v2</t>
        </is>
      </c>
      <c r="P1462" s="39" t="inlineStr"/>
      <c r="Q1462" s="14" t="inlineStr"/>
      <c r="R1462" s="39" t="inlineStr"/>
      <c r="S1462" s="39" t="inlineStr"/>
      <c r="T1462" s="34" t="inlineStr">
        <is>
          <t>Group decision (182 records sharing one decision state)</t>
        </is>
      </c>
      <c r="U1462" s="39" t="inlineStr"/>
      <c r="V1462" s="14" t="inlineStr"/>
      <c r="W1462" s="14" t="inlineStr"/>
    </row>
    <row r="1463" ht="64" customHeight="1">
      <c r="A1463" s="34" t="inlineStr">
        <is>
          <t>UNSURE</t>
        </is>
      </c>
      <c r="B1463" s="39" t="inlineStr"/>
      <c r="C1463" s="34" t="inlineStr">
        <is>
          <t>Contractor Programme</t>
        </is>
      </c>
      <c r="D1463" s="34" t="inlineStr">
        <is>
          <t>SCH-06-100</t>
        </is>
      </c>
      <c r="E1463" s="34" t="inlineStr">
        <is>
          <t>Stations package: permit coordination - field start</t>
        </is>
      </c>
      <c r="F1463" s="34" t="inlineStr">
        <is>
          <t>UNSURE</t>
        </is>
      </c>
      <c r="G1463" s="34" t="inlineStr">
        <is>
          <t>APPROVED</t>
        </is>
      </c>
      <c r="H1463" s="34" t="inlineStr">
        <is>
          <t>New</t>
        </is>
      </c>
      <c r="I1463" s="34" t="inlineStr">
        <is>
          <t>Professional decision</t>
        </is>
      </c>
      <c r="J1463" s="34" t="inlineStr">
        <is>
          <t>Maya Chen, Owner Project Controls</t>
        </is>
      </c>
      <c r="K1463" s="34" t="inlineStr">
        <is>
          <t>Professional</t>
        </is>
      </c>
      <c r="L1463" s="39" t="inlineStr"/>
      <c r="M1463" s="34" t="inlineStr">
        <is>
          <t>Initial</t>
        </is>
      </c>
      <c r="N1463" s="34" t="inlineStr">
        <is>
          <t>Rev 0</t>
        </is>
      </c>
      <c r="O1463" s="34" t="inlineStr">
        <is>
          <t>R1000-v2</t>
        </is>
      </c>
      <c r="P1463" s="39" t="inlineStr"/>
      <c r="Q1463" s="14" t="inlineStr"/>
      <c r="R1463" s="39" t="inlineStr"/>
      <c r="S1463" s="39" t="inlineStr"/>
      <c r="T1463" s="34" t="inlineStr">
        <is>
          <t>Group decision (182 records sharing one decision state)</t>
        </is>
      </c>
      <c r="U1463" s="39" t="inlineStr"/>
      <c r="V1463" s="14" t="inlineStr"/>
      <c r="W1463" s="14" t="inlineStr"/>
    </row>
    <row r="1464" ht="64" customHeight="1">
      <c r="A1464" s="34" t="inlineStr">
        <is>
          <t>UNSURE</t>
        </is>
      </c>
      <c r="B1464" s="39" t="inlineStr"/>
      <c r="C1464" s="34" t="inlineStr">
        <is>
          <t>Contractor Programme</t>
        </is>
      </c>
      <c r="D1464" s="34" t="inlineStr">
        <is>
          <t>SCH-06-101</t>
        </is>
      </c>
      <c r="E1464" s="34" t="inlineStr">
        <is>
          <t>Systems package: delivery risk workshop - installation</t>
        </is>
      </c>
      <c r="F1464" s="34" t="inlineStr">
        <is>
          <t>UNSURE</t>
        </is>
      </c>
      <c r="G1464" s="34" t="inlineStr">
        <is>
          <t>APPROVED</t>
        </is>
      </c>
      <c r="H1464" s="34" t="inlineStr">
        <is>
          <t>New</t>
        </is>
      </c>
      <c r="I1464" s="34" t="inlineStr">
        <is>
          <t>Professional decision</t>
        </is>
      </c>
      <c r="J1464" s="34" t="inlineStr">
        <is>
          <t>Maya Chen, Owner Project Controls</t>
        </is>
      </c>
      <c r="K1464" s="34" t="inlineStr">
        <is>
          <t>Professional</t>
        </is>
      </c>
      <c r="L1464" s="39" t="inlineStr"/>
      <c r="M1464" s="34" t="inlineStr">
        <is>
          <t>Initial</t>
        </is>
      </c>
      <c r="N1464" s="34" t="inlineStr">
        <is>
          <t>Rev 0</t>
        </is>
      </c>
      <c r="O1464" s="34" t="inlineStr">
        <is>
          <t>R1001-v2</t>
        </is>
      </c>
      <c r="P1464" s="39" t="inlineStr"/>
      <c r="Q1464" s="14" t="inlineStr"/>
      <c r="R1464" s="39" t="inlineStr"/>
      <c r="S1464" s="39" t="inlineStr"/>
      <c r="T1464" s="34" t="inlineStr">
        <is>
          <t>Group decision (182 records sharing one decision state)</t>
        </is>
      </c>
      <c r="U1464" s="39" t="inlineStr"/>
      <c r="V1464" s="14" t="inlineStr"/>
      <c r="W1464" s="14" t="inlineStr"/>
    </row>
    <row r="1465" ht="64" customHeight="1">
      <c r="A1465" s="34" t="inlineStr">
        <is>
          <t>UNSURE</t>
        </is>
      </c>
      <c r="B1465" s="39" t="inlineStr"/>
      <c r="C1465" s="34" t="inlineStr">
        <is>
          <t>Contractor Programme</t>
        </is>
      </c>
      <c r="D1465" s="34" t="inlineStr">
        <is>
          <t>SCH-06-102</t>
        </is>
      </c>
      <c r="E1465" s="34" t="inlineStr">
        <is>
          <t>Fleet package: monthly controls cut-off - inspection</t>
        </is>
      </c>
      <c r="F1465" s="34" t="inlineStr">
        <is>
          <t>UNSURE</t>
        </is>
      </c>
      <c r="G1465" s="34" t="inlineStr">
        <is>
          <t>APPROVED</t>
        </is>
      </c>
      <c r="H1465" s="34" t="inlineStr">
        <is>
          <t>New</t>
        </is>
      </c>
      <c r="I1465" s="34" t="inlineStr">
        <is>
          <t>Professional decision</t>
        </is>
      </c>
      <c r="J1465" s="34" t="inlineStr">
        <is>
          <t>Maya Chen, Owner Project Controls</t>
        </is>
      </c>
      <c r="K1465" s="34" t="inlineStr">
        <is>
          <t>Professional</t>
        </is>
      </c>
      <c r="L1465" s="39" t="inlineStr"/>
      <c r="M1465" s="34" t="inlineStr">
        <is>
          <t>Initial</t>
        </is>
      </c>
      <c r="N1465" s="34" t="inlineStr">
        <is>
          <t>Rev 0</t>
        </is>
      </c>
      <c r="O1465" s="34" t="inlineStr">
        <is>
          <t>R1002-v2</t>
        </is>
      </c>
      <c r="P1465" s="39" t="inlineStr"/>
      <c r="Q1465" s="14" t="inlineStr"/>
      <c r="R1465" s="39" t="inlineStr"/>
      <c r="S1465" s="39" t="inlineStr"/>
      <c r="T1465" s="34" t="inlineStr">
        <is>
          <t>Group decision (182 records sharing one decision state)</t>
        </is>
      </c>
      <c r="U1465" s="39" t="inlineStr"/>
      <c r="V1465" s="14" t="inlineStr"/>
      <c r="W1465" s="14" t="inlineStr"/>
    </row>
    <row r="1466" ht="64" customHeight="1">
      <c r="A1466" s="34" t="inlineStr">
        <is>
          <t>UNSURE</t>
        </is>
      </c>
      <c r="B1466" s="39" t="inlineStr"/>
      <c r="C1466" s="34" t="inlineStr">
        <is>
          <t>Contractor Programme</t>
        </is>
      </c>
      <c r="D1466" s="34" t="inlineStr">
        <is>
          <t>SCH-06-103</t>
        </is>
      </c>
      <c r="E1466" s="34" t="inlineStr">
        <is>
          <t>Program office: stakeholder interface meeting - turnover</t>
        </is>
      </c>
      <c r="F1466" s="34" t="inlineStr">
        <is>
          <t>UNSURE</t>
        </is>
      </c>
      <c r="G1466" s="34" t="inlineStr">
        <is>
          <t>APPROVED</t>
        </is>
      </c>
      <c r="H1466" s="34" t="inlineStr">
        <is>
          <t>New</t>
        </is>
      </c>
      <c r="I1466" s="34" t="inlineStr">
        <is>
          <t>Professional decision</t>
        </is>
      </c>
      <c r="J1466" s="34" t="inlineStr">
        <is>
          <t>Maya Chen, Owner Project Controls</t>
        </is>
      </c>
      <c r="K1466" s="34" t="inlineStr">
        <is>
          <t>Professional</t>
        </is>
      </c>
      <c r="L1466" s="39" t="inlineStr"/>
      <c r="M1466" s="34" t="inlineStr">
        <is>
          <t>Initial</t>
        </is>
      </c>
      <c r="N1466" s="34" t="inlineStr">
        <is>
          <t>Rev 0</t>
        </is>
      </c>
      <c r="O1466" s="34" t="inlineStr">
        <is>
          <t>R1003-v2</t>
        </is>
      </c>
      <c r="P1466" s="39" t="inlineStr"/>
      <c r="Q1466" s="14" t="inlineStr"/>
      <c r="R1466" s="39" t="inlineStr"/>
      <c r="S1466" s="39" t="inlineStr"/>
      <c r="T1466" s="34" t="inlineStr">
        <is>
          <t>Group decision (182 records sharing one decision state)</t>
        </is>
      </c>
      <c r="U1466" s="39" t="inlineStr"/>
      <c r="V1466" s="14" t="inlineStr"/>
      <c r="W1466" s="14" t="inlineStr"/>
    </row>
    <row r="1467" ht="64" customHeight="1">
      <c r="A1467" s="34" t="inlineStr">
        <is>
          <t>UNSURE</t>
        </is>
      </c>
      <c r="B1467" s="39" t="inlineStr"/>
      <c r="C1467" s="34" t="inlineStr">
        <is>
          <t>Contractor Programme</t>
        </is>
      </c>
      <c r="D1467" s="34" t="inlineStr">
        <is>
          <t>SCH-06-104</t>
        </is>
      </c>
      <c r="E1467" s="34" t="inlineStr">
        <is>
          <t>Civil package: baseline change control - release</t>
        </is>
      </c>
      <c r="F1467" s="34" t="inlineStr">
        <is>
          <t>UNSURE</t>
        </is>
      </c>
      <c r="G1467" s="34" t="inlineStr">
        <is>
          <t>APPROVED</t>
        </is>
      </c>
      <c r="H1467" s="34" t="inlineStr">
        <is>
          <t>New</t>
        </is>
      </c>
      <c r="I1467" s="34" t="inlineStr">
        <is>
          <t>Professional decision</t>
        </is>
      </c>
      <c r="J1467" s="34" t="inlineStr">
        <is>
          <t>Maya Chen, Owner Project Controls</t>
        </is>
      </c>
      <c r="K1467" s="34" t="inlineStr">
        <is>
          <t>Professional</t>
        </is>
      </c>
      <c r="L1467" s="39" t="inlineStr"/>
      <c r="M1467" s="34" t="inlineStr">
        <is>
          <t>Initial</t>
        </is>
      </c>
      <c r="N1467" s="34" t="inlineStr">
        <is>
          <t>Rev 0</t>
        </is>
      </c>
      <c r="O1467" s="34" t="inlineStr">
        <is>
          <t>R1004-v2</t>
        </is>
      </c>
      <c r="P1467" s="39" t="inlineStr"/>
      <c r="Q1467" s="14" t="inlineStr"/>
      <c r="R1467" s="39" t="inlineStr"/>
      <c r="S1467" s="39" t="inlineStr"/>
      <c r="T1467" s="34" t="inlineStr">
        <is>
          <t>Group decision (182 records sharing one decision state)</t>
        </is>
      </c>
      <c r="U1467" s="39" t="inlineStr"/>
      <c r="V1467" s="14" t="inlineStr"/>
      <c r="W1467" s="14" t="inlineStr"/>
    </row>
    <row r="1468" ht="64" customHeight="1">
      <c r="A1468" s="34" t="inlineStr">
        <is>
          <t>UNSURE</t>
        </is>
      </c>
      <c r="B1468" s="39" t="inlineStr"/>
      <c r="C1468" s="34" t="inlineStr">
        <is>
          <t>Contractor Programme</t>
        </is>
      </c>
      <c r="D1468" s="34" t="inlineStr">
        <is>
          <t>SCH-06-105</t>
        </is>
      </c>
      <c r="E1468" s="34" t="inlineStr">
        <is>
          <t>Stations package: commercial change review - field start</t>
        </is>
      </c>
      <c r="F1468" s="34" t="inlineStr">
        <is>
          <t>UNSURE</t>
        </is>
      </c>
      <c r="G1468" s="34" t="inlineStr">
        <is>
          <t>APPROVED</t>
        </is>
      </c>
      <c r="H1468" s="34" t="inlineStr">
        <is>
          <t>New</t>
        </is>
      </c>
      <c r="I1468" s="34" t="inlineStr">
        <is>
          <t>Professional decision</t>
        </is>
      </c>
      <c r="J1468" s="34" t="inlineStr">
        <is>
          <t>Maya Chen, Owner Project Controls</t>
        </is>
      </c>
      <c r="K1468" s="34" t="inlineStr">
        <is>
          <t>Professional</t>
        </is>
      </c>
      <c r="L1468" s="39" t="inlineStr"/>
      <c r="M1468" s="34" t="inlineStr">
        <is>
          <t>Initial</t>
        </is>
      </c>
      <c r="N1468" s="34" t="inlineStr">
        <is>
          <t>Rev 0</t>
        </is>
      </c>
      <c r="O1468" s="34" t="inlineStr">
        <is>
          <t>R1005-v2</t>
        </is>
      </c>
      <c r="P1468" s="39" t="inlineStr"/>
      <c r="Q1468" s="14" t="inlineStr"/>
      <c r="R1468" s="39" t="inlineStr"/>
      <c r="S1468" s="39" t="inlineStr"/>
      <c r="T1468" s="34" t="inlineStr">
        <is>
          <t>Group decision (182 records sharing one decision state)</t>
        </is>
      </c>
      <c r="U1468" s="39" t="inlineStr"/>
      <c r="V1468" s="14" t="inlineStr"/>
      <c r="W1468" s="14" t="inlineStr"/>
    </row>
    <row r="1469" ht="64" customHeight="1">
      <c r="A1469" s="34" t="inlineStr">
        <is>
          <t>UNSURE</t>
        </is>
      </c>
      <c r="B1469" s="39" t="inlineStr"/>
      <c r="C1469" s="34" t="inlineStr">
        <is>
          <t>Contractor Programme</t>
        </is>
      </c>
      <c r="D1469" s="34" t="inlineStr">
        <is>
          <t>SCH-06-106</t>
        </is>
      </c>
      <c r="E1469" s="34" t="inlineStr">
        <is>
          <t>Systems package: design-package integration review - installation</t>
        </is>
      </c>
      <c r="F1469" s="34" t="inlineStr">
        <is>
          <t>UNSURE</t>
        </is>
      </c>
      <c r="G1469" s="34" t="inlineStr">
        <is>
          <t>APPROVED</t>
        </is>
      </c>
      <c r="H1469" s="34" t="inlineStr">
        <is>
          <t>New</t>
        </is>
      </c>
      <c r="I1469" s="34" t="inlineStr">
        <is>
          <t>Professional decision</t>
        </is>
      </c>
      <c r="J1469" s="34" t="inlineStr">
        <is>
          <t>Maya Chen, Owner Project Controls</t>
        </is>
      </c>
      <c r="K1469" s="34" t="inlineStr">
        <is>
          <t>Professional</t>
        </is>
      </c>
      <c r="L1469" s="39" t="inlineStr"/>
      <c r="M1469" s="34" t="inlineStr">
        <is>
          <t>Initial</t>
        </is>
      </c>
      <c r="N1469" s="34" t="inlineStr">
        <is>
          <t>Rev 0</t>
        </is>
      </c>
      <c r="O1469" s="34" t="inlineStr">
        <is>
          <t>R1006-v2</t>
        </is>
      </c>
      <c r="P1469" s="39" t="inlineStr"/>
      <c r="Q1469" s="14" t="inlineStr"/>
      <c r="R1469" s="39" t="inlineStr"/>
      <c r="S1469" s="39" t="inlineStr"/>
      <c r="T1469" s="34" t="inlineStr">
        <is>
          <t>Group decision (182 records sharing one decision state)</t>
        </is>
      </c>
      <c r="U1469" s="39" t="inlineStr"/>
      <c r="V1469" s="14" t="inlineStr"/>
      <c r="W1469" s="14" t="inlineStr"/>
    </row>
    <row r="1470" ht="64" customHeight="1">
      <c r="A1470" s="34" t="inlineStr">
        <is>
          <t>UNSURE</t>
        </is>
      </c>
      <c r="B1470" s="39" t="inlineStr"/>
      <c r="C1470" s="34" t="inlineStr">
        <is>
          <t>Contractor Programme</t>
        </is>
      </c>
      <c r="D1470" s="34" t="inlineStr">
        <is>
          <t>SCH-06-107</t>
        </is>
      </c>
      <c r="E1470" s="34" t="inlineStr">
        <is>
          <t>Fleet package: executive reporting close - inspection</t>
        </is>
      </c>
      <c r="F1470" s="34" t="inlineStr">
        <is>
          <t>UNSURE</t>
        </is>
      </c>
      <c r="G1470" s="34" t="inlineStr">
        <is>
          <t>APPROVED</t>
        </is>
      </c>
      <c r="H1470" s="34" t="inlineStr">
        <is>
          <t>New</t>
        </is>
      </c>
      <c r="I1470" s="34" t="inlineStr">
        <is>
          <t>Professional decision</t>
        </is>
      </c>
      <c r="J1470" s="34" t="inlineStr">
        <is>
          <t>Maya Chen, Owner Project Controls</t>
        </is>
      </c>
      <c r="K1470" s="34" t="inlineStr">
        <is>
          <t>Professional</t>
        </is>
      </c>
      <c r="L1470" s="39" t="inlineStr"/>
      <c r="M1470" s="34" t="inlineStr">
        <is>
          <t>Initial</t>
        </is>
      </c>
      <c r="N1470" s="34" t="inlineStr">
        <is>
          <t>Rev 0</t>
        </is>
      </c>
      <c r="O1470" s="34" t="inlineStr">
        <is>
          <t>R1007-v2</t>
        </is>
      </c>
      <c r="P1470" s="39" t="inlineStr"/>
      <c r="Q1470" s="14" t="inlineStr"/>
      <c r="R1470" s="39" t="inlineStr"/>
      <c r="S1470" s="39" t="inlineStr"/>
      <c r="T1470" s="34" t="inlineStr">
        <is>
          <t>Group decision (182 records sharing one decision state)</t>
        </is>
      </c>
      <c r="U1470" s="39" t="inlineStr"/>
      <c r="V1470" s="14" t="inlineStr"/>
      <c r="W1470" s="14" t="inlineStr"/>
    </row>
    <row r="1471" ht="64" customHeight="1">
      <c r="A1471" s="34" t="inlineStr">
        <is>
          <t>UNSURE</t>
        </is>
      </c>
      <c r="B1471" s="39" t="inlineStr"/>
      <c r="C1471" s="34" t="inlineStr">
        <is>
          <t>Contractor Programme</t>
        </is>
      </c>
      <c r="D1471" s="34" t="inlineStr">
        <is>
          <t>SCH-06-108</t>
        </is>
      </c>
      <c r="E1471" s="34" t="inlineStr">
        <is>
          <t>Program office: permit coordination - turnover</t>
        </is>
      </c>
      <c r="F1471" s="34" t="inlineStr">
        <is>
          <t>UNSURE</t>
        </is>
      </c>
      <c r="G1471" s="34" t="inlineStr">
        <is>
          <t>APPROVED</t>
        </is>
      </c>
      <c r="H1471" s="34" t="inlineStr">
        <is>
          <t>New</t>
        </is>
      </c>
      <c r="I1471" s="34" t="inlineStr">
        <is>
          <t>Professional decision</t>
        </is>
      </c>
      <c r="J1471" s="34" t="inlineStr">
        <is>
          <t>Maya Chen, Owner Project Controls</t>
        </is>
      </c>
      <c r="K1471" s="34" t="inlineStr">
        <is>
          <t>Professional</t>
        </is>
      </c>
      <c r="L1471" s="39" t="inlineStr"/>
      <c r="M1471" s="34" t="inlineStr">
        <is>
          <t>Initial</t>
        </is>
      </c>
      <c r="N1471" s="34" t="inlineStr">
        <is>
          <t>Rev 0</t>
        </is>
      </c>
      <c r="O1471" s="34" t="inlineStr">
        <is>
          <t>R1008-v2</t>
        </is>
      </c>
      <c r="P1471" s="39" t="inlineStr"/>
      <c r="Q1471" s="14" t="inlineStr"/>
      <c r="R1471" s="39" t="inlineStr"/>
      <c r="S1471" s="39" t="inlineStr"/>
      <c r="T1471" s="34" t="inlineStr">
        <is>
          <t>Group decision (182 records sharing one decision state)</t>
        </is>
      </c>
      <c r="U1471" s="39" t="inlineStr"/>
      <c r="V1471" s="14" t="inlineStr"/>
      <c r="W1471" s="14" t="inlineStr"/>
    </row>
    <row r="1472" ht="64" customHeight="1">
      <c r="A1472" s="34" t="inlineStr">
        <is>
          <t>UNSURE</t>
        </is>
      </c>
      <c r="B1472" s="39" t="inlineStr"/>
      <c r="C1472" s="34" t="inlineStr">
        <is>
          <t>Contractor Programme</t>
        </is>
      </c>
      <c r="D1472" s="34" t="inlineStr">
        <is>
          <t>SCH-06-109</t>
        </is>
      </c>
      <c r="E1472" s="34" t="inlineStr">
        <is>
          <t>Civil package: delivery risk workshop - release</t>
        </is>
      </c>
      <c r="F1472" s="34" t="inlineStr">
        <is>
          <t>UNSURE</t>
        </is>
      </c>
      <c r="G1472" s="34" t="inlineStr">
        <is>
          <t>APPROVED</t>
        </is>
      </c>
      <c r="H1472" s="34" t="inlineStr">
        <is>
          <t>New</t>
        </is>
      </c>
      <c r="I1472" s="34" t="inlineStr">
        <is>
          <t>Professional decision</t>
        </is>
      </c>
      <c r="J1472" s="34" t="inlineStr">
        <is>
          <t>Maya Chen, Owner Project Controls</t>
        </is>
      </c>
      <c r="K1472" s="34" t="inlineStr">
        <is>
          <t>Professional</t>
        </is>
      </c>
      <c r="L1472" s="39" t="inlineStr"/>
      <c r="M1472" s="34" t="inlineStr">
        <is>
          <t>Initial</t>
        </is>
      </c>
      <c r="N1472" s="34" t="inlineStr">
        <is>
          <t>Rev 0</t>
        </is>
      </c>
      <c r="O1472" s="34" t="inlineStr">
        <is>
          <t>R1009-v2</t>
        </is>
      </c>
      <c r="P1472" s="39" t="inlineStr"/>
      <c r="Q1472" s="14" t="inlineStr"/>
      <c r="R1472" s="39" t="inlineStr"/>
      <c r="S1472" s="39" t="inlineStr"/>
      <c r="T1472" s="34" t="inlineStr">
        <is>
          <t>Group decision (182 records sharing one decision state)</t>
        </is>
      </c>
      <c r="U1472" s="39" t="inlineStr"/>
      <c r="V1472" s="14" t="inlineStr"/>
      <c r="W1472" s="14" t="inlineStr"/>
    </row>
    <row r="1473" ht="64" customHeight="1">
      <c r="A1473" s="34" t="inlineStr">
        <is>
          <t>UNSURE</t>
        </is>
      </c>
      <c r="B1473" s="39" t="inlineStr"/>
      <c r="C1473" s="34" t="inlineStr">
        <is>
          <t>Contractor Programme</t>
        </is>
      </c>
      <c r="D1473" s="34" t="inlineStr">
        <is>
          <t>SCH-06-110</t>
        </is>
      </c>
      <c r="E1473" s="34" t="inlineStr">
        <is>
          <t>Stations package: monthly controls cut-off - field start</t>
        </is>
      </c>
      <c r="F1473" s="34" t="inlineStr">
        <is>
          <t>UNSURE</t>
        </is>
      </c>
      <c r="G1473" s="34" t="inlineStr">
        <is>
          <t>APPROVED</t>
        </is>
      </c>
      <c r="H1473" s="34" t="inlineStr">
        <is>
          <t>New</t>
        </is>
      </c>
      <c r="I1473" s="34" t="inlineStr">
        <is>
          <t>Professional decision</t>
        </is>
      </c>
      <c r="J1473" s="34" t="inlineStr">
        <is>
          <t>Maya Chen, Owner Project Controls</t>
        </is>
      </c>
      <c r="K1473" s="34" t="inlineStr">
        <is>
          <t>Professional</t>
        </is>
      </c>
      <c r="L1473" s="39" t="inlineStr"/>
      <c r="M1473" s="34" t="inlineStr">
        <is>
          <t>Initial</t>
        </is>
      </c>
      <c r="N1473" s="34" t="inlineStr">
        <is>
          <t>Rev 0</t>
        </is>
      </c>
      <c r="O1473" s="34" t="inlineStr">
        <is>
          <t>R1010-v2</t>
        </is>
      </c>
      <c r="P1473" s="39" t="inlineStr"/>
      <c r="Q1473" s="14" t="inlineStr"/>
      <c r="R1473" s="39" t="inlineStr"/>
      <c r="S1473" s="39" t="inlineStr"/>
      <c r="T1473" s="34" t="inlineStr">
        <is>
          <t>Group decision (182 records sharing one decision state)</t>
        </is>
      </c>
      <c r="U1473" s="39" t="inlineStr"/>
      <c r="V1473" s="14" t="inlineStr"/>
      <c r="W1473" s="14" t="inlineStr"/>
    </row>
    <row r="1474" ht="64" customHeight="1">
      <c r="A1474" s="34" t="inlineStr">
        <is>
          <t>UNSURE</t>
        </is>
      </c>
      <c r="B1474" s="39" t="inlineStr"/>
      <c r="C1474" s="34" t="inlineStr">
        <is>
          <t>Contractor Programme</t>
        </is>
      </c>
      <c r="D1474" s="34" t="inlineStr">
        <is>
          <t>SCH-06-111</t>
        </is>
      </c>
      <c r="E1474" s="34" t="inlineStr">
        <is>
          <t>Systems package: stakeholder interface meeting - installation</t>
        </is>
      </c>
      <c r="F1474" s="34" t="inlineStr">
        <is>
          <t>UNSURE</t>
        </is>
      </c>
      <c r="G1474" s="34" t="inlineStr">
        <is>
          <t>APPROVED</t>
        </is>
      </c>
      <c r="H1474" s="34" t="inlineStr">
        <is>
          <t>New</t>
        </is>
      </c>
      <c r="I1474" s="34" t="inlineStr">
        <is>
          <t>Professional decision</t>
        </is>
      </c>
      <c r="J1474" s="34" t="inlineStr">
        <is>
          <t>Maya Chen, Owner Project Controls</t>
        </is>
      </c>
      <c r="K1474" s="34" t="inlineStr">
        <is>
          <t>Professional</t>
        </is>
      </c>
      <c r="L1474" s="39" t="inlineStr"/>
      <c r="M1474" s="34" t="inlineStr">
        <is>
          <t>Initial</t>
        </is>
      </c>
      <c r="N1474" s="34" t="inlineStr">
        <is>
          <t>Rev 0</t>
        </is>
      </c>
      <c r="O1474" s="34" t="inlineStr">
        <is>
          <t>R1011-v2</t>
        </is>
      </c>
      <c r="P1474" s="39" t="inlineStr"/>
      <c r="Q1474" s="14" t="inlineStr"/>
      <c r="R1474" s="39" t="inlineStr"/>
      <c r="S1474" s="39" t="inlineStr"/>
      <c r="T1474" s="34" t="inlineStr">
        <is>
          <t>Group decision (182 records sharing one decision state)</t>
        </is>
      </c>
      <c r="U1474" s="39" t="inlineStr"/>
      <c r="V1474" s="14" t="inlineStr"/>
      <c r="W1474" s="14" t="inlineStr"/>
    </row>
    <row r="1475" ht="64" customHeight="1">
      <c r="A1475" s="34" t="inlineStr">
        <is>
          <t>UNSURE</t>
        </is>
      </c>
      <c r="B1475" s="39" t="inlineStr"/>
      <c r="C1475" s="34" t="inlineStr">
        <is>
          <t>Contractor Programme</t>
        </is>
      </c>
      <c r="D1475" s="34" t="inlineStr">
        <is>
          <t>SCH-06-112</t>
        </is>
      </c>
      <c r="E1475" s="34" t="inlineStr">
        <is>
          <t>Fleet package: baseline change control - inspection</t>
        </is>
      </c>
      <c r="F1475" s="34" t="inlineStr">
        <is>
          <t>UNSURE</t>
        </is>
      </c>
      <c r="G1475" s="34" t="inlineStr">
        <is>
          <t>APPROVED</t>
        </is>
      </c>
      <c r="H1475" s="34" t="inlineStr">
        <is>
          <t>New</t>
        </is>
      </c>
      <c r="I1475" s="34" t="inlineStr">
        <is>
          <t>Professional decision</t>
        </is>
      </c>
      <c r="J1475" s="34" t="inlineStr">
        <is>
          <t>Maya Chen, Owner Project Controls</t>
        </is>
      </c>
      <c r="K1475" s="34" t="inlineStr">
        <is>
          <t>Professional</t>
        </is>
      </c>
      <c r="L1475" s="39" t="inlineStr"/>
      <c r="M1475" s="34" t="inlineStr">
        <is>
          <t>Initial</t>
        </is>
      </c>
      <c r="N1475" s="34" t="inlineStr">
        <is>
          <t>Rev 0</t>
        </is>
      </c>
      <c r="O1475" s="34" t="inlineStr">
        <is>
          <t>R1012-v2</t>
        </is>
      </c>
      <c r="P1475" s="39" t="inlineStr"/>
      <c r="Q1475" s="14" t="inlineStr"/>
      <c r="R1475" s="39" t="inlineStr"/>
      <c r="S1475" s="39" t="inlineStr"/>
      <c r="T1475" s="34" t="inlineStr">
        <is>
          <t>Group decision (182 records sharing one decision state)</t>
        </is>
      </c>
      <c r="U1475" s="39" t="inlineStr"/>
      <c r="V1475" s="14" t="inlineStr"/>
      <c r="W1475" s="14" t="inlineStr"/>
    </row>
    <row r="1476" ht="64" customHeight="1">
      <c r="A1476" s="34" t="inlineStr">
        <is>
          <t>UNSURE</t>
        </is>
      </c>
      <c r="B1476" s="39" t="inlineStr"/>
      <c r="C1476" s="34" t="inlineStr">
        <is>
          <t>Contractor Programme</t>
        </is>
      </c>
      <c r="D1476" s="34" t="inlineStr">
        <is>
          <t>SCH-06-113</t>
        </is>
      </c>
      <c r="E1476" s="34" t="inlineStr">
        <is>
          <t>Program office: commercial change review - turnover</t>
        </is>
      </c>
      <c r="F1476" s="34" t="inlineStr">
        <is>
          <t>UNSURE</t>
        </is>
      </c>
      <c r="G1476" s="34" t="inlineStr">
        <is>
          <t>APPROVED</t>
        </is>
      </c>
      <c r="H1476" s="34" t="inlineStr">
        <is>
          <t>New</t>
        </is>
      </c>
      <c r="I1476" s="34" t="inlineStr">
        <is>
          <t>Professional decision</t>
        </is>
      </c>
      <c r="J1476" s="34" t="inlineStr">
        <is>
          <t>Maya Chen, Owner Project Controls</t>
        </is>
      </c>
      <c r="K1476" s="34" t="inlineStr">
        <is>
          <t>Professional</t>
        </is>
      </c>
      <c r="L1476" s="39" t="inlineStr"/>
      <c r="M1476" s="34" t="inlineStr">
        <is>
          <t>Initial</t>
        </is>
      </c>
      <c r="N1476" s="34" t="inlineStr">
        <is>
          <t>Rev 0</t>
        </is>
      </c>
      <c r="O1476" s="34" t="inlineStr">
        <is>
          <t>R1013-v2</t>
        </is>
      </c>
      <c r="P1476" s="39" t="inlineStr"/>
      <c r="Q1476" s="14" t="inlineStr"/>
      <c r="R1476" s="39" t="inlineStr"/>
      <c r="S1476" s="39" t="inlineStr"/>
      <c r="T1476" s="34" t="inlineStr">
        <is>
          <t>Group decision (182 records sharing one decision state)</t>
        </is>
      </c>
      <c r="U1476" s="39" t="inlineStr"/>
      <c r="V1476" s="14" t="inlineStr"/>
      <c r="W1476" s="14" t="inlineStr"/>
    </row>
    <row r="1477" ht="64" customHeight="1">
      <c r="A1477" s="34" t="inlineStr">
        <is>
          <t>UNSURE</t>
        </is>
      </c>
      <c r="B1477" s="39" t="inlineStr"/>
      <c r="C1477" s="34" t="inlineStr">
        <is>
          <t>Contractor Programme</t>
        </is>
      </c>
      <c r="D1477" s="34" t="inlineStr">
        <is>
          <t>SCH-06-114</t>
        </is>
      </c>
      <c r="E1477" s="34" t="inlineStr">
        <is>
          <t>Civil package: design-package integration review - release</t>
        </is>
      </c>
      <c r="F1477" s="34" t="inlineStr">
        <is>
          <t>UNSURE</t>
        </is>
      </c>
      <c r="G1477" s="34" t="inlineStr">
        <is>
          <t>APPROVED</t>
        </is>
      </c>
      <c r="H1477" s="34" t="inlineStr">
        <is>
          <t>New</t>
        </is>
      </c>
      <c r="I1477" s="34" t="inlineStr">
        <is>
          <t>Professional decision</t>
        </is>
      </c>
      <c r="J1477" s="34" t="inlineStr">
        <is>
          <t>Maya Chen, Owner Project Controls</t>
        </is>
      </c>
      <c r="K1477" s="34" t="inlineStr">
        <is>
          <t>Professional</t>
        </is>
      </c>
      <c r="L1477" s="39" t="inlineStr"/>
      <c r="M1477" s="34" t="inlineStr">
        <is>
          <t>Initial</t>
        </is>
      </c>
      <c r="N1477" s="34" t="inlineStr">
        <is>
          <t>Rev 0</t>
        </is>
      </c>
      <c r="O1477" s="34" t="inlineStr">
        <is>
          <t>R1014-v2</t>
        </is>
      </c>
      <c r="P1477" s="39" t="inlineStr"/>
      <c r="Q1477" s="14" t="inlineStr"/>
      <c r="R1477" s="39" t="inlineStr"/>
      <c r="S1477" s="39" t="inlineStr"/>
      <c r="T1477" s="34" t="inlineStr">
        <is>
          <t>Group decision (182 records sharing one decision state)</t>
        </is>
      </c>
      <c r="U1477" s="39" t="inlineStr"/>
      <c r="V1477" s="14" t="inlineStr"/>
      <c r="W1477" s="14" t="inlineStr"/>
    </row>
    <row r="1478" ht="64" customHeight="1">
      <c r="A1478" s="34" t="inlineStr">
        <is>
          <t>UNSURE</t>
        </is>
      </c>
      <c r="B1478" s="39" t="inlineStr"/>
      <c r="C1478" s="34" t="inlineStr">
        <is>
          <t>Contractor Programme</t>
        </is>
      </c>
      <c r="D1478" s="34" t="inlineStr">
        <is>
          <t>SCH-06-115</t>
        </is>
      </c>
      <c r="E1478" s="34" t="inlineStr">
        <is>
          <t>Stations package: executive reporting close - field start</t>
        </is>
      </c>
      <c r="F1478" s="34" t="inlineStr">
        <is>
          <t>UNSURE</t>
        </is>
      </c>
      <c r="G1478" s="34" t="inlineStr">
        <is>
          <t>APPROVED</t>
        </is>
      </c>
      <c r="H1478" s="34" t="inlineStr">
        <is>
          <t>New</t>
        </is>
      </c>
      <c r="I1478" s="34" t="inlineStr">
        <is>
          <t>Professional decision</t>
        </is>
      </c>
      <c r="J1478" s="34" t="inlineStr">
        <is>
          <t>Maya Chen, Owner Project Controls</t>
        </is>
      </c>
      <c r="K1478" s="34" t="inlineStr">
        <is>
          <t>Professional</t>
        </is>
      </c>
      <c r="L1478" s="39" t="inlineStr"/>
      <c r="M1478" s="34" t="inlineStr">
        <is>
          <t>Initial</t>
        </is>
      </c>
      <c r="N1478" s="34" t="inlineStr">
        <is>
          <t>Rev 0</t>
        </is>
      </c>
      <c r="O1478" s="34" t="inlineStr">
        <is>
          <t>R1015-v2</t>
        </is>
      </c>
      <c r="P1478" s="39" t="inlineStr"/>
      <c r="Q1478" s="14" t="inlineStr"/>
      <c r="R1478" s="39" t="inlineStr"/>
      <c r="S1478" s="39" t="inlineStr"/>
      <c r="T1478" s="34" t="inlineStr">
        <is>
          <t>Group decision (182 records sharing one decision state)</t>
        </is>
      </c>
      <c r="U1478" s="39" t="inlineStr"/>
      <c r="V1478" s="14" t="inlineStr"/>
      <c r="W1478" s="14" t="inlineStr"/>
    </row>
    <row r="1479" ht="64" customHeight="1">
      <c r="A1479" s="34" t="inlineStr">
        <is>
          <t>UNSURE</t>
        </is>
      </c>
      <c r="B1479" s="39" t="inlineStr"/>
      <c r="C1479" s="34" t="inlineStr">
        <is>
          <t>Contractor Programme</t>
        </is>
      </c>
      <c r="D1479" s="34" t="inlineStr">
        <is>
          <t>SCH-06-116</t>
        </is>
      </c>
      <c r="E1479" s="34" t="inlineStr">
        <is>
          <t>Systems package: permit coordination - installation</t>
        </is>
      </c>
      <c r="F1479" s="34" t="inlineStr">
        <is>
          <t>UNSURE</t>
        </is>
      </c>
      <c r="G1479" s="34" t="inlineStr">
        <is>
          <t>APPROVED</t>
        </is>
      </c>
      <c r="H1479" s="34" t="inlineStr">
        <is>
          <t>New</t>
        </is>
      </c>
      <c r="I1479" s="34" t="inlineStr">
        <is>
          <t>Professional decision</t>
        </is>
      </c>
      <c r="J1479" s="34" t="inlineStr">
        <is>
          <t>Maya Chen, Owner Project Controls</t>
        </is>
      </c>
      <c r="K1479" s="34" t="inlineStr">
        <is>
          <t>Professional</t>
        </is>
      </c>
      <c r="L1479" s="39" t="inlineStr"/>
      <c r="M1479" s="34" t="inlineStr">
        <is>
          <t>Initial</t>
        </is>
      </c>
      <c r="N1479" s="34" t="inlineStr">
        <is>
          <t>Rev 0</t>
        </is>
      </c>
      <c r="O1479" s="34" t="inlineStr">
        <is>
          <t>R1016-v2</t>
        </is>
      </c>
      <c r="P1479" s="39" t="inlineStr"/>
      <c r="Q1479" s="14" t="inlineStr"/>
      <c r="R1479" s="39" t="inlineStr"/>
      <c r="S1479" s="39" t="inlineStr"/>
      <c r="T1479" s="34" t="inlineStr">
        <is>
          <t>Group decision (182 records sharing one decision state)</t>
        </is>
      </c>
      <c r="U1479" s="39" t="inlineStr"/>
      <c r="V1479" s="14" t="inlineStr"/>
      <c r="W1479" s="14" t="inlineStr"/>
    </row>
    <row r="1480" ht="64" customHeight="1">
      <c r="A1480" s="34" t="inlineStr">
        <is>
          <t>UNSURE</t>
        </is>
      </c>
      <c r="B1480" s="39" t="inlineStr"/>
      <c r="C1480" s="34" t="inlineStr">
        <is>
          <t>Contractor Programme</t>
        </is>
      </c>
      <c r="D1480" s="34" t="inlineStr">
        <is>
          <t>SCH-06-117</t>
        </is>
      </c>
      <c r="E1480" s="34" t="inlineStr">
        <is>
          <t>Fleet package: delivery risk workshop - inspection</t>
        </is>
      </c>
      <c r="F1480" s="34" t="inlineStr">
        <is>
          <t>UNSURE</t>
        </is>
      </c>
      <c r="G1480" s="34" t="inlineStr">
        <is>
          <t>APPROVED</t>
        </is>
      </c>
      <c r="H1480" s="34" t="inlineStr">
        <is>
          <t>New</t>
        </is>
      </c>
      <c r="I1480" s="34" t="inlineStr">
        <is>
          <t>Professional decision</t>
        </is>
      </c>
      <c r="J1480" s="34" t="inlineStr">
        <is>
          <t>Maya Chen, Owner Project Controls</t>
        </is>
      </c>
      <c r="K1480" s="34" t="inlineStr">
        <is>
          <t>Professional</t>
        </is>
      </c>
      <c r="L1480" s="39" t="inlineStr"/>
      <c r="M1480" s="34" t="inlineStr">
        <is>
          <t>Initial</t>
        </is>
      </c>
      <c r="N1480" s="34" t="inlineStr">
        <is>
          <t>Rev 0</t>
        </is>
      </c>
      <c r="O1480" s="34" t="inlineStr">
        <is>
          <t>R1017-v2</t>
        </is>
      </c>
      <c r="P1480" s="39" t="inlineStr"/>
      <c r="Q1480" s="14" t="inlineStr"/>
      <c r="R1480" s="39" t="inlineStr"/>
      <c r="S1480" s="39" t="inlineStr"/>
      <c r="T1480" s="34" t="inlineStr">
        <is>
          <t>Group decision (182 records sharing one decision state)</t>
        </is>
      </c>
      <c r="U1480" s="39" t="inlineStr"/>
      <c r="V1480" s="14" t="inlineStr"/>
      <c r="W1480" s="14" t="inlineStr"/>
    </row>
    <row r="1481" ht="64" customHeight="1">
      <c r="A1481" s="34" t="inlineStr">
        <is>
          <t>UNSURE</t>
        </is>
      </c>
      <c r="B1481" s="39" t="inlineStr"/>
      <c r="C1481" s="34" t="inlineStr">
        <is>
          <t>Contractor Programme</t>
        </is>
      </c>
      <c r="D1481" s="34" t="inlineStr">
        <is>
          <t>SCH-06-118</t>
        </is>
      </c>
      <c r="E1481" s="34" t="inlineStr">
        <is>
          <t>Program office: monthly controls cut-off - turnover</t>
        </is>
      </c>
      <c r="F1481" s="34" t="inlineStr">
        <is>
          <t>UNSURE</t>
        </is>
      </c>
      <c r="G1481" s="34" t="inlineStr">
        <is>
          <t>APPROVED</t>
        </is>
      </c>
      <c r="H1481" s="34" t="inlineStr">
        <is>
          <t>New</t>
        </is>
      </c>
      <c r="I1481" s="34" t="inlineStr">
        <is>
          <t>Professional decision</t>
        </is>
      </c>
      <c r="J1481" s="34" t="inlineStr">
        <is>
          <t>Maya Chen, Owner Project Controls</t>
        </is>
      </c>
      <c r="K1481" s="34" t="inlineStr">
        <is>
          <t>Professional</t>
        </is>
      </c>
      <c r="L1481" s="39" t="inlineStr"/>
      <c r="M1481" s="34" t="inlineStr">
        <is>
          <t>Initial</t>
        </is>
      </c>
      <c r="N1481" s="34" t="inlineStr">
        <is>
          <t>Rev 0</t>
        </is>
      </c>
      <c r="O1481" s="34" t="inlineStr">
        <is>
          <t>R1018-v2</t>
        </is>
      </c>
      <c r="P1481" s="39" t="inlineStr"/>
      <c r="Q1481" s="14" t="inlineStr"/>
      <c r="R1481" s="39" t="inlineStr"/>
      <c r="S1481" s="39" t="inlineStr"/>
      <c r="T1481" s="34" t="inlineStr">
        <is>
          <t>Group decision (182 records sharing one decision state)</t>
        </is>
      </c>
      <c r="U1481" s="39" t="inlineStr"/>
      <c r="V1481" s="14" t="inlineStr"/>
      <c r="W1481" s="14" t="inlineStr"/>
    </row>
    <row r="1482" ht="64" customHeight="1">
      <c r="A1482" s="34" t="inlineStr">
        <is>
          <t>UNSURE</t>
        </is>
      </c>
      <c r="B1482" s="39" t="inlineStr"/>
      <c r="C1482" s="34" t="inlineStr">
        <is>
          <t>Contractor Programme</t>
        </is>
      </c>
      <c r="D1482" s="34" t="inlineStr">
        <is>
          <t>SCH-06-119</t>
        </is>
      </c>
      <c r="E1482" s="34" t="inlineStr">
        <is>
          <t>Civil package: stakeholder interface meeting - release</t>
        </is>
      </c>
      <c r="F1482" s="34" t="inlineStr">
        <is>
          <t>UNSURE</t>
        </is>
      </c>
      <c r="G1482" s="34" t="inlineStr">
        <is>
          <t>APPROVED</t>
        </is>
      </c>
      <c r="H1482" s="34" t="inlineStr">
        <is>
          <t>New</t>
        </is>
      </c>
      <c r="I1482" s="34" t="inlineStr">
        <is>
          <t>Professional decision</t>
        </is>
      </c>
      <c r="J1482" s="34" t="inlineStr">
        <is>
          <t>Maya Chen, Owner Project Controls</t>
        </is>
      </c>
      <c r="K1482" s="34" t="inlineStr">
        <is>
          <t>Professional</t>
        </is>
      </c>
      <c r="L1482" s="39" t="inlineStr"/>
      <c r="M1482" s="34" t="inlineStr">
        <is>
          <t>Initial</t>
        </is>
      </c>
      <c r="N1482" s="34" t="inlineStr">
        <is>
          <t>Rev 0</t>
        </is>
      </c>
      <c r="O1482" s="34" t="inlineStr">
        <is>
          <t>R1019-v2</t>
        </is>
      </c>
      <c r="P1482" s="39" t="inlineStr"/>
      <c r="Q1482" s="14" t="inlineStr"/>
      <c r="R1482" s="39" t="inlineStr"/>
      <c r="S1482" s="39" t="inlineStr"/>
      <c r="T1482" s="34" t="inlineStr">
        <is>
          <t>Group decision (182 records sharing one decision state)</t>
        </is>
      </c>
      <c r="U1482" s="39" t="inlineStr"/>
      <c r="V1482" s="14" t="inlineStr"/>
      <c r="W1482" s="14" t="inlineStr"/>
    </row>
    <row r="1483" ht="64" customHeight="1">
      <c r="A1483" s="34" t="inlineStr">
        <is>
          <t>UNSURE</t>
        </is>
      </c>
      <c r="B1483" s="39" t="inlineStr"/>
      <c r="C1483" s="34" t="inlineStr">
        <is>
          <t>Contractor Programme</t>
        </is>
      </c>
      <c r="D1483" s="34" t="inlineStr">
        <is>
          <t>SCH-06-120</t>
        </is>
      </c>
      <c r="E1483" s="34" t="inlineStr">
        <is>
          <t>Stations package: baseline change control - field start</t>
        </is>
      </c>
      <c r="F1483" s="34" t="inlineStr">
        <is>
          <t>UNSURE</t>
        </is>
      </c>
      <c r="G1483" s="34" t="inlineStr">
        <is>
          <t>APPROVED</t>
        </is>
      </c>
      <c r="H1483" s="34" t="inlineStr">
        <is>
          <t>New</t>
        </is>
      </c>
      <c r="I1483" s="34" t="inlineStr">
        <is>
          <t>Professional decision</t>
        </is>
      </c>
      <c r="J1483" s="34" t="inlineStr">
        <is>
          <t>Maya Chen, Owner Project Controls</t>
        </is>
      </c>
      <c r="K1483" s="34" t="inlineStr">
        <is>
          <t>Professional</t>
        </is>
      </c>
      <c r="L1483" s="39" t="inlineStr"/>
      <c r="M1483" s="34" t="inlineStr">
        <is>
          <t>Initial</t>
        </is>
      </c>
      <c r="N1483" s="34" t="inlineStr">
        <is>
          <t>Rev 0</t>
        </is>
      </c>
      <c r="O1483" s="34" t="inlineStr">
        <is>
          <t>R1020-v2</t>
        </is>
      </c>
      <c r="P1483" s="39" t="inlineStr"/>
      <c r="Q1483" s="14" t="inlineStr"/>
      <c r="R1483" s="39" t="inlineStr"/>
      <c r="S1483" s="39" t="inlineStr"/>
      <c r="T1483" s="34" t="inlineStr">
        <is>
          <t>Group decision (182 records sharing one decision state)</t>
        </is>
      </c>
      <c r="U1483" s="39" t="inlineStr"/>
      <c r="V1483" s="14" t="inlineStr"/>
      <c r="W1483" s="14" t="inlineStr"/>
    </row>
    <row r="1484" ht="64" customHeight="1">
      <c r="A1484" s="34" t="inlineStr">
        <is>
          <t>UNSURE</t>
        </is>
      </c>
      <c r="B1484" s="39" t="inlineStr"/>
      <c r="C1484" s="34" t="inlineStr">
        <is>
          <t>Contractor Programme</t>
        </is>
      </c>
      <c r="D1484" s="34" t="inlineStr">
        <is>
          <t>SCH-06-121</t>
        </is>
      </c>
      <c r="E1484" s="34" t="inlineStr">
        <is>
          <t>Systems package: commercial change review - installation</t>
        </is>
      </c>
      <c r="F1484" s="34" t="inlineStr">
        <is>
          <t>UNSURE</t>
        </is>
      </c>
      <c r="G1484" s="34" t="inlineStr">
        <is>
          <t>APPROVED</t>
        </is>
      </c>
      <c r="H1484" s="34" t="inlineStr">
        <is>
          <t>New</t>
        </is>
      </c>
      <c r="I1484" s="34" t="inlineStr">
        <is>
          <t>Professional decision</t>
        </is>
      </c>
      <c r="J1484" s="34" t="inlineStr">
        <is>
          <t>Maya Chen, Owner Project Controls</t>
        </is>
      </c>
      <c r="K1484" s="34" t="inlineStr">
        <is>
          <t>Professional</t>
        </is>
      </c>
      <c r="L1484" s="39" t="inlineStr"/>
      <c r="M1484" s="34" t="inlineStr">
        <is>
          <t>Initial</t>
        </is>
      </c>
      <c r="N1484" s="34" t="inlineStr">
        <is>
          <t>Rev 0</t>
        </is>
      </c>
      <c r="O1484" s="34" t="inlineStr">
        <is>
          <t>R1021-v2</t>
        </is>
      </c>
      <c r="P1484" s="39" t="inlineStr"/>
      <c r="Q1484" s="14" t="inlineStr"/>
      <c r="R1484" s="39" t="inlineStr"/>
      <c r="S1484" s="39" t="inlineStr"/>
      <c r="T1484" s="34" t="inlineStr">
        <is>
          <t>Group decision (182 records sharing one decision state)</t>
        </is>
      </c>
      <c r="U1484" s="39" t="inlineStr"/>
      <c r="V1484" s="14" t="inlineStr"/>
      <c r="W1484" s="14" t="inlineStr"/>
    </row>
    <row r="1485" ht="64" customHeight="1">
      <c r="A1485" s="34" t="inlineStr">
        <is>
          <t>UNSURE</t>
        </is>
      </c>
      <c r="B1485" s="39" t="inlineStr"/>
      <c r="C1485" s="34" t="inlineStr">
        <is>
          <t>Contractor Programme</t>
        </is>
      </c>
      <c r="D1485" s="34" t="inlineStr">
        <is>
          <t>SCH-06-122</t>
        </is>
      </c>
      <c r="E1485" s="34" t="inlineStr">
        <is>
          <t>Fleet package: design-package integration review - inspection</t>
        </is>
      </c>
      <c r="F1485" s="34" t="inlineStr">
        <is>
          <t>UNSURE</t>
        </is>
      </c>
      <c r="G1485" s="34" t="inlineStr">
        <is>
          <t>APPROVED</t>
        </is>
      </c>
      <c r="H1485" s="34" t="inlineStr">
        <is>
          <t>New</t>
        </is>
      </c>
      <c r="I1485" s="34" t="inlineStr">
        <is>
          <t>Professional decision</t>
        </is>
      </c>
      <c r="J1485" s="34" t="inlineStr">
        <is>
          <t>Maya Chen, Owner Project Controls</t>
        </is>
      </c>
      <c r="K1485" s="34" t="inlineStr">
        <is>
          <t>Professional</t>
        </is>
      </c>
      <c r="L1485" s="39" t="inlineStr"/>
      <c r="M1485" s="34" t="inlineStr">
        <is>
          <t>Initial</t>
        </is>
      </c>
      <c r="N1485" s="34" t="inlineStr">
        <is>
          <t>Rev 0</t>
        </is>
      </c>
      <c r="O1485" s="34" t="inlineStr">
        <is>
          <t>R1022-v2</t>
        </is>
      </c>
      <c r="P1485" s="39" t="inlineStr"/>
      <c r="Q1485" s="14" t="inlineStr"/>
      <c r="R1485" s="39" t="inlineStr"/>
      <c r="S1485" s="39" t="inlineStr"/>
      <c r="T1485" s="34" t="inlineStr">
        <is>
          <t>Group decision (182 records sharing one decision state)</t>
        </is>
      </c>
      <c r="U1485" s="39" t="inlineStr"/>
      <c r="V1485" s="14" t="inlineStr"/>
      <c r="W1485" s="14" t="inlineStr"/>
    </row>
    <row r="1486" ht="64" customHeight="1">
      <c r="A1486" s="34" t="inlineStr">
        <is>
          <t>UNSURE</t>
        </is>
      </c>
      <c r="B1486" s="39" t="inlineStr"/>
      <c r="C1486" s="34" t="inlineStr">
        <is>
          <t>Contractor Programme</t>
        </is>
      </c>
      <c r="D1486" s="34" t="inlineStr">
        <is>
          <t>SCH-06-123</t>
        </is>
      </c>
      <c r="E1486" s="34" t="inlineStr">
        <is>
          <t>Program office: executive reporting close - turnover</t>
        </is>
      </c>
      <c r="F1486" s="34" t="inlineStr">
        <is>
          <t>UNSURE</t>
        </is>
      </c>
      <c r="G1486" s="34" t="inlineStr">
        <is>
          <t>APPROVED</t>
        </is>
      </c>
      <c r="H1486" s="34" t="inlineStr">
        <is>
          <t>New</t>
        </is>
      </c>
      <c r="I1486" s="34" t="inlineStr">
        <is>
          <t>Professional decision</t>
        </is>
      </c>
      <c r="J1486" s="34" t="inlineStr">
        <is>
          <t>Maya Chen, Owner Project Controls</t>
        </is>
      </c>
      <c r="K1486" s="34" t="inlineStr">
        <is>
          <t>Professional</t>
        </is>
      </c>
      <c r="L1486" s="39" t="inlineStr"/>
      <c r="M1486" s="34" t="inlineStr">
        <is>
          <t>Initial</t>
        </is>
      </c>
      <c r="N1486" s="34" t="inlineStr">
        <is>
          <t>Rev 0</t>
        </is>
      </c>
      <c r="O1486" s="34" t="inlineStr">
        <is>
          <t>R1023-v2</t>
        </is>
      </c>
      <c r="P1486" s="39" t="inlineStr"/>
      <c r="Q1486" s="14" t="inlineStr"/>
      <c r="R1486" s="39" t="inlineStr"/>
      <c r="S1486" s="39" t="inlineStr"/>
      <c r="T1486" s="34" t="inlineStr">
        <is>
          <t>Group decision (182 records sharing one decision state)</t>
        </is>
      </c>
      <c r="U1486" s="39" t="inlineStr"/>
      <c r="V1486" s="14" t="inlineStr"/>
      <c r="W1486" s="14" t="inlineStr"/>
    </row>
    <row r="1487" ht="64" customHeight="1">
      <c r="A1487" s="34" t="inlineStr">
        <is>
          <t>UNSURE</t>
        </is>
      </c>
      <c r="B1487" s="39" t="inlineStr"/>
      <c r="C1487" s="34" t="inlineStr">
        <is>
          <t>Contractor Programme</t>
        </is>
      </c>
      <c r="D1487" s="34" t="inlineStr">
        <is>
          <t>SCH-06-124</t>
        </is>
      </c>
      <c r="E1487" s="34" t="inlineStr">
        <is>
          <t>Civil package: permit coordination - release</t>
        </is>
      </c>
      <c r="F1487" s="34" t="inlineStr">
        <is>
          <t>UNSURE</t>
        </is>
      </c>
      <c r="G1487" s="34" t="inlineStr">
        <is>
          <t>APPROVED</t>
        </is>
      </c>
      <c r="H1487" s="34" t="inlineStr">
        <is>
          <t>New</t>
        </is>
      </c>
      <c r="I1487" s="34" t="inlineStr">
        <is>
          <t>Professional decision</t>
        </is>
      </c>
      <c r="J1487" s="34" t="inlineStr">
        <is>
          <t>Maya Chen, Owner Project Controls</t>
        </is>
      </c>
      <c r="K1487" s="34" t="inlineStr">
        <is>
          <t>Professional</t>
        </is>
      </c>
      <c r="L1487" s="39" t="inlineStr"/>
      <c r="M1487" s="34" t="inlineStr">
        <is>
          <t>Initial</t>
        </is>
      </c>
      <c r="N1487" s="34" t="inlineStr">
        <is>
          <t>Rev 0</t>
        </is>
      </c>
      <c r="O1487" s="34" t="inlineStr">
        <is>
          <t>R1024-v2</t>
        </is>
      </c>
      <c r="P1487" s="39" t="inlineStr"/>
      <c r="Q1487" s="14" t="inlineStr"/>
      <c r="R1487" s="39" t="inlineStr"/>
      <c r="S1487" s="39" t="inlineStr"/>
      <c r="T1487" s="34" t="inlineStr">
        <is>
          <t>Group decision (182 records sharing one decision state)</t>
        </is>
      </c>
      <c r="U1487" s="39" t="inlineStr"/>
      <c r="V1487" s="14" t="inlineStr"/>
      <c r="W1487" s="14" t="inlineStr"/>
    </row>
    <row r="1488" ht="64" customHeight="1">
      <c r="A1488" s="34" t="inlineStr">
        <is>
          <t>UNSURE</t>
        </is>
      </c>
      <c r="B1488" s="39" t="inlineStr"/>
      <c r="C1488" s="34" t="inlineStr">
        <is>
          <t>Contractor Programme</t>
        </is>
      </c>
      <c r="D1488" s="34" t="inlineStr">
        <is>
          <t>SCH-06-125</t>
        </is>
      </c>
      <c r="E1488" s="34" t="inlineStr">
        <is>
          <t>Stations package: delivery risk workshop - field start</t>
        </is>
      </c>
      <c r="F1488" s="34" t="inlineStr">
        <is>
          <t>UNSURE</t>
        </is>
      </c>
      <c r="G1488" s="34" t="inlineStr">
        <is>
          <t>APPROVED</t>
        </is>
      </c>
      <c r="H1488" s="34" t="inlineStr">
        <is>
          <t>New</t>
        </is>
      </c>
      <c r="I1488" s="34" t="inlineStr">
        <is>
          <t>Professional decision</t>
        </is>
      </c>
      <c r="J1488" s="34" t="inlineStr">
        <is>
          <t>Maya Chen, Owner Project Controls</t>
        </is>
      </c>
      <c r="K1488" s="34" t="inlineStr">
        <is>
          <t>Professional</t>
        </is>
      </c>
      <c r="L1488" s="39" t="inlineStr"/>
      <c r="M1488" s="34" t="inlineStr">
        <is>
          <t>Initial</t>
        </is>
      </c>
      <c r="N1488" s="34" t="inlineStr">
        <is>
          <t>Rev 0</t>
        </is>
      </c>
      <c r="O1488" s="34" t="inlineStr">
        <is>
          <t>R1025-v2</t>
        </is>
      </c>
      <c r="P1488" s="39" t="inlineStr"/>
      <c r="Q1488" s="14" t="inlineStr"/>
      <c r="R1488" s="39" t="inlineStr"/>
      <c r="S1488" s="39" t="inlineStr"/>
      <c r="T1488" s="34" t="inlineStr">
        <is>
          <t>Group decision (182 records sharing one decision state)</t>
        </is>
      </c>
      <c r="U1488" s="39" t="inlineStr"/>
      <c r="V1488" s="14" t="inlineStr"/>
      <c r="W1488" s="14" t="inlineStr"/>
    </row>
    <row r="1489" ht="64" customHeight="1">
      <c r="A1489" s="34" t="inlineStr">
        <is>
          <t>UNSURE</t>
        </is>
      </c>
      <c r="B1489" s="39" t="inlineStr"/>
      <c r="C1489" s="34" t="inlineStr">
        <is>
          <t>Contractor Programme</t>
        </is>
      </c>
      <c r="D1489" s="34" t="inlineStr">
        <is>
          <t>SCH-06-126</t>
        </is>
      </c>
      <c r="E1489" s="34" t="inlineStr">
        <is>
          <t>Systems package: monthly controls cut-off - installation</t>
        </is>
      </c>
      <c r="F1489" s="34" t="inlineStr">
        <is>
          <t>UNSURE</t>
        </is>
      </c>
      <c r="G1489" s="34" t="inlineStr">
        <is>
          <t>APPROVED</t>
        </is>
      </c>
      <c r="H1489" s="34" t="inlineStr">
        <is>
          <t>New</t>
        </is>
      </c>
      <c r="I1489" s="34" t="inlineStr">
        <is>
          <t>Professional decision</t>
        </is>
      </c>
      <c r="J1489" s="34" t="inlineStr">
        <is>
          <t>Maya Chen, Owner Project Controls</t>
        </is>
      </c>
      <c r="K1489" s="34" t="inlineStr">
        <is>
          <t>Professional</t>
        </is>
      </c>
      <c r="L1489" s="39" t="inlineStr"/>
      <c r="M1489" s="34" t="inlineStr">
        <is>
          <t>Initial</t>
        </is>
      </c>
      <c r="N1489" s="34" t="inlineStr">
        <is>
          <t>Rev 0</t>
        </is>
      </c>
      <c r="O1489" s="34" t="inlineStr">
        <is>
          <t>R1026-v2</t>
        </is>
      </c>
      <c r="P1489" s="39" t="inlineStr"/>
      <c r="Q1489" s="14" t="inlineStr"/>
      <c r="R1489" s="39" t="inlineStr"/>
      <c r="S1489" s="39" t="inlineStr"/>
      <c r="T1489" s="34" t="inlineStr">
        <is>
          <t>Group decision (182 records sharing one decision state)</t>
        </is>
      </c>
      <c r="U1489" s="39" t="inlineStr"/>
      <c r="V1489" s="14" t="inlineStr"/>
      <c r="W1489" s="14" t="inlineStr"/>
    </row>
    <row r="1490" ht="64" customHeight="1">
      <c r="A1490" s="34" t="inlineStr">
        <is>
          <t>UNSURE</t>
        </is>
      </c>
      <c r="B1490" s="39" t="inlineStr"/>
      <c r="C1490" s="34" t="inlineStr">
        <is>
          <t>Contractor Programme</t>
        </is>
      </c>
      <c r="D1490" s="34" t="inlineStr">
        <is>
          <t>SCH-06-127</t>
        </is>
      </c>
      <c r="E1490" s="34" t="inlineStr">
        <is>
          <t>Fleet package: stakeholder interface meeting - inspection</t>
        </is>
      </c>
      <c r="F1490" s="34" t="inlineStr">
        <is>
          <t>UNSURE</t>
        </is>
      </c>
      <c r="G1490" s="34" t="inlineStr">
        <is>
          <t>APPROVED</t>
        </is>
      </c>
      <c r="H1490" s="34" t="inlineStr">
        <is>
          <t>New</t>
        </is>
      </c>
      <c r="I1490" s="34" t="inlineStr">
        <is>
          <t>Professional decision</t>
        </is>
      </c>
      <c r="J1490" s="34" t="inlineStr">
        <is>
          <t>Maya Chen, Owner Project Controls</t>
        </is>
      </c>
      <c r="K1490" s="34" t="inlineStr">
        <is>
          <t>Professional</t>
        </is>
      </c>
      <c r="L1490" s="39" t="inlineStr"/>
      <c r="M1490" s="34" t="inlineStr">
        <is>
          <t>Initial</t>
        </is>
      </c>
      <c r="N1490" s="34" t="inlineStr">
        <is>
          <t>Rev 0</t>
        </is>
      </c>
      <c r="O1490" s="34" t="inlineStr">
        <is>
          <t>R1027-v2</t>
        </is>
      </c>
      <c r="P1490" s="39" t="inlineStr"/>
      <c r="Q1490" s="14" t="inlineStr"/>
      <c r="R1490" s="39" t="inlineStr"/>
      <c r="S1490" s="39" t="inlineStr"/>
      <c r="T1490" s="34" t="inlineStr">
        <is>
          <t>Group decision (182 records sharing one decision state)</t>
        </is>
      </c>
      <c r="U1490" s="39" t="inlineStr"/>
      <c r="V1490" s="14" t="inlineStr"/>
      <c r="W1490" s="14" t="inlineStr"/>
    </row>
    <row r="1491" ht="64" customHeight="1">
      <c r="A1491" s="34" t="inlineStr">
        <is>
          <t>UNSURE</t>
        </is>
      </c>
      <c r="B1491" s="39" t="inlineStr"/>
      <c r="C1491" s="34" t="inlineStr">
        <is>
          <t>Contractor Programme</t>
        </is>
      </c>
      <c r="D1491" s="34" t="inlineStr">
        <is>
          <t>SCH-06-128</t>
        </is>
      </c>
      <c r="E1491" s="34" t="inlineStr">
        <is>
          <t>Program office: baseline change control - turnover</t>
        </is>
      </c>
      <c r="F1491" s="34" t="inlineStr">
        <is>
          <t>UNSURE</t>
        </is>
      </c>
      <c r="G1491" s="34" t="inlineStr">
        <is>
          <t>APPROVED</t>
        </is>
      </c>
      <c r="H1491" s="34" t="inlineStr">
        <is>
          <t>New</t>
        </is>
      </c>
      <c r="I1491" s="34" t="inlineStr">
        <is>
          <t>Professional decision</t>
        </is>
      </c>
      <c r="J1491" s="34" t="inlineStr">
        <is>
          <t>Maya Chen, Owner Project Controls</t>
        </is>
      </c>
      <c r="K1491" s="34" t="inlineStr">
        <is>
          <t>Professional</t>
        </is>
      </c>
      <c r="L1491" s="39" t="inlineStr"/>
      <c r="M1491" s="34" t="inlineStr">
        <is>
          <t>Initial</t>
        </is>
      </c>
      <c r="N1491" s="34" t="inlineStr">
        <is>
          <t>Rev 0</t>
        </is>
      </c>
      <c r="O1491" s="34" t="inlineStr">
        <is>
          <t>R1028-v2</t>
        </is>
      </c>
      <c r="P1491" s="39" t="inlineStr"/>
      <c r="Q1491" s="14" t="inlineStr"/>
      <c r="R1491" s="39" t="inlineStr"/>
      <c r="S1491" s="39" t="inlineStr"/>
      <c r="T1491" s="34" t="inlineStr">
        <is>
          <t>Group decision (182 records sharing one decision state)</t>
        </is>
      </c>
      <c r="U1491" s="39" t="inlineStr"/>
      <c r="V1491" s="14" t="inlineStr"/>
      <c r="W1491" s="14" t="inlineStr"/>
    </row>
    <row r="1492" ht="64" customHeight="1">
      <c r="A1492" s="34" t="inlineStr">
        <is>
          <t>UNSURE</t>
        </is>
      </c>
      <c r="B1492" s="39" t="inlineStr"/>
      <c r="C1492" s="34" t="inlineStr">
        <is>
          <t>Contractor Programme</t>
        </is>
      </c>
      <c r="D1492" s="34" t="inlineStr">
        <is>
          <t>SCH-06-129</t>
        </is>
      </c>
      <c r="E1492" s="34" t="inlineStr">
        <is>
          <t>Civil package: commercial change review - release</t>
        </is>
      </c>
      <c r="F1492" s="34" t="inlineStr">
        <is>
          <t>UNSURE</t>
        </is>
      </c>
      <c r="G1492" s="34" t="inlineStr">
        <is>
          <t>APPROVED</t>
        </is>
      </c>
      <c r="H1492" s="34" t="inlineStr">
        <is>
          <t>New</t>
        </is>
      </c>
      <c r="I1492" s="34" t="inlineStr">
        <is>
          <t>Professional decision</t>
        </is>
      </c>
      <c r="J1492" s="34" t="inlineStr">
        <is>
          <t>Maya Chen, Owner Project Controls</t>
        </is>
      </c>
      <c r="K1492" s="34" t="inlineStr">
        <is>
          <t>Professional</t>
        </is>
      </c>
      <c r="L1492" s="39" t="inlineStr"/>
      <c r="M1492" s="34" t="inlineStr">
        <is>
          <t>Initial</t>
        </is>
      </c>
      <c r="N1492" s="34" t="inlineStr">
        <is>
          <t>Rev 0</t>
        </is>
      </c>
      <c r="O1492" s="34" t="inlineStr">
        <is>
          <t>R1029-v2</t>
        </is>
      </c>
      <c r="P1492" s="39" t="inlineStr"/>
      <c r="Q1492" s="14" t="inlineStr"/>
      <c r="R1492" s="39" t="inlineStr"/>
      <c r="S1492" s="39" t="inlineStr"/>
      <c r="T1492" s="34" t="inlineStr">
        <is>
          <t>Group decision (182 records sharing one decision state)</t>
        </is>
      </c>
      <c r="U1492" s="39" t="inlineStr"/>
      <c r="V1492" s="14" t="inlineStr"/>
      <c r="W1492" s="14" t="inlineStr"/>
    </row>
    <row r="1493" ht="64" customHeight="1">
      <c r="A1493" s="34" t="inlineStr">
        <is>
          <t>UNSURE</t>
        </is>
      </c>
      <c r="B1493" s="39" t="inlineStr"/>
      <c r="C1493" s="34" t="inlineStr">
        <is>
          <t>Contractor Programme</t>
        </is>
      </c>
      <c r="D1493" s="34" t="inlineStr">
        <is>
          <t>SCH-06-130</t>
        </is>
      </c>
      <c r="E1493" s="34" t="inlineStr">
        <is>
          <t>Stations package: design-package integration review - field start</t>
        </is>
      </c>
      <c r="F1493" s="34" t="inlineStr">
        <is>
          <t>UNSURE</t>
        </is>
      </c>
      <c r="G1493" s="34" t="inlineStr">
        <is>
          <t>APPROVED</t>
        </is>
      </c>
      <c r="H1493" s="34" t="inlineStr">
        <is>
          <t>New</t>
        </is>
      </c>
      <c r="I1493" s="34" t="inlineStr">
        <is>
          <t>Professional decision</t>
        </is>
      </c>
      <c r="J1493" s="34" t="inlineStr">
        <is>
          <t>Maya Chen, Owner Project Controls</t>
        </is>
      </c>
      <c r="K1493" s="34" t="inlineStr">
        <is>
          <t>Professional</t>
        </is>
      </c>
      <c r="L1493" s="39" t="inlineStr"/>
      <c r="M1493" s="34" t="inlineStr">
        <is>
          <t>Initial</t>
        </is>
      </c>
      <c r="N1493" s="34" t="inlineStr">
        <is>
          <t>Rev 0</t>
        </is>
      </c>
      <c r="O1493" s="34" t="inlineStr">
        <is>
          <t>R1030-v2</t>
        </is>
      </c>
      <c r="P1493" s="39" t="inlineStr"/>
      <c r="Q1493" s="14" t="inlineStr"/>
      <c r="R1493" s="39" t="inlineStr"/>
      <c r="S1493" s="39" t="inlineStr"/>
      <c r="T1493" s="34" t="inlineStr">
        <is>
          <t>Group decision (182 records sharing one decision state)</t>
        </is>
      </c>
      <c r="U1493" s="39" t="inlineStr"/>
      <c r="V1493" s="14" t="inlineStr"/>
      <c r="W1493" s="14" t="inlineStr"/>
    </row>
    <row r="1494" ht="64" customHeight="1">
      <c r="A1494" s="34" t="inlineStr">
        <is>
          <t>UNSURE</t>
        </is>
      </c>
      <c r="B1494" s="39" t="inlineStr"/>
      <c r="C1494" s="34" t="inlineStr">
        <is>
          <t>Contractor Programme</t>
        </is>
      </c>
      <c r="D1494" s="34" t="inlineStr">
        <is>
          <t>SCH-06-131</t>
        </is>
      </c>
      <c r="E1494" s="34" t="inlineStr">
        <is>
          <t>Systems package: executive reporting close - installation</t>
        </is>
      </c>
      <c r="F1494" s="34" t="inlineStr">
        <is>
          <t>UNSURE</t>
        </is>
      </c>
      <c r="G1494" s="34" t="inlineStr">
        <is>
          <t>APPROVED</t>
        </is>
      </c>
      <c r="H1494" s="34" t="inlineStr">
        <is>
          <t>New</t>
        </is>
      </c>
      <c r="I1494" s="34" t="inlineStr">
        <is>
          <t>Professional decision</t>
        </is>
      </c>
      <c r="J1494" s="34" t="inlineStr">
        <is>
          <t>Maya Chen, Owner Project Controls</t>
        </is>
      </c>
      <c r="K1494" s="34" t="inlineStr">
        <is>
          <t>Professional</t>
        </is>
      </c>
      <c r="L1494" s="39" t="inlineStr"/>
      <c r="M1494" s="34" t="inlineStr">
        <is>
          <t>Initial</t>
        </is>
      </c>
      <c r="N1494" s="34" t="inlineStr">
        <is>
          <t>Rev 0</t>
        </is>
      </c>
      <c r="O1494" s="34" t="inlineStr">
        <is>
          <t>R1031-v2</t>
        </is>
      </c>
      <c r="P1494" s="39" t="inlineStr"/>
      <c r="Q1494" s="14" t="inlineStr"/>
      <c r="R1494" s="39" t="inlineStr"/>
      <c r="S1494" s="39" t="inlineStr"/>
      <c r="T1494" s="34" t="inlineStr">
        <is>
          <t>Group decision (182 records sharing one decision state)</t>
        </is>
      </c>
      <c r="U1494" s="39" t="inlineStr"/>
      <c r="V1494" s="14" t="inlineStr"/>
      <c r="W1494" s="14" t="inlineStr"/>
    </row>
    <row r="1495" ht="64" customHeight="1">
      <c r="A1495" s="34" t="inlineStr">
        <is>
          <t>UNSURE</t>
        </is>
      </c>
      <c r="B1495" s="39" t="inlineStr"/>
      <c r="C1495" s="34" t="inlineStr">
        <is>
          <t>Contractor Programme</t>
        </is>
      </c>
      <c r="D1495" s="34" t="inlineStr">
        <is>
          <t>SCH-06-132</t>
        </is>
      </c>
      <c r="E1495" s="34" t="inlineStr">
        <is>
          <t>Fleet package: permit coordination - inspection</t>
        </is>
      </c>
      <c r="F1495" s="34" t="inlineStr">
        <is>
          <t>UNSURE</t>
        </is>
      </c>
      <c r="G1495" s="34" t="inlineStr">
        <is>
          <t>APPROVED</t>
        </is>
      </c>
      <c r="H1495" s="34" t="inlineStr">
        <is>
          <t>New</t>
        </is>
      </c>
      <c r="I1495" s="34" t="inlineStr">
        <is>
          <t>Professional decision</t>
        </is>
      </c>
      <c r="J1495" s="34" t="inlineStr">
        <is>
          <t>Maya Chen, Owner Project Controls</t>
        </is>
      </c>
      <c r="K1495" s="34" t="inlineStr">
        <is>
          <t>Professional</t>
        </is>
      </c>
      <c r="L1495" s="39" t="inlineStr"/>
      <c r="M1495" s="34" t="inlineStr">
        <is>
          <t>Initial</t>
        </is>
      </c>
      <c r="N1495" s="34" t="inlineStr">
        <is>
          <t>Rev 0</t>
        </is>
      </c>
      <c r="O1495" s="34" t="inlineStr">
        <is>
          <t>R1032-v2</t>
        </is>
      </c>
      <c r="P1495" s="39" t="inlineStr"/>
      <c r="Q1495" s="14" t="inlineStr"/>
      <c r="R1495" s="39" t="inlineStr"/>
      <c r="S1495" s="39" t="inlineStr"/>
      <c r="T1495" s="34" t="inlineStr">
        <is>
          <t>Group decision (182 records sharing one decision state)</t>
        </is>
      </c>
      <c r="U1495" s="39" t="inlineStr"/>
      <c r="V1495" s="14" t="inlineStr"/>
      <c r="W1495" s="14" t="inlineStr"/>
    </row>
    <row r="1496" ht="64" customHeight="1">
      <c r="A1496" s="34" t="inlineStr">
        <is>
          <t>UNSURE</t>
        </is>
      </c>
      <c r="B1496" s="39" t="inlineStr"/>
      <c r="C1496" s="34" t="inlineStr">
        <is>
          <t>Contractor Programme</t>
        </is>
      </c>
      <c r="D1496" s="34" t="inlineStr">
        <is>
          <t>SCH-06-133</t>
        </is>
      </c>
      <c r="E1496" s="34" t="inlineStr">
        <is>
          <t>Program office: delivery risk workshop - turnover</t>
        </is>
      </c>
      <c r="F1496" s="34" t="inlineStr">
        <is>
          <t>UNSURE</t>
        </is>
      </c>
      <c r="G1496" s="34" t="inlineStr">
        <is>
          <t>APPROVED</t>
        </is>
      </c>
      <c r="H1496" s="34" t="inlineStr">
        <is>
          <t>New</t>
        </is>
      </c>
      <c r="I1496" s="34" t="inlineStr">
        <is>
          <t>Professional decision</t>
        </is>
      </c>
      <c r="J1496" s="34" t="inlineStr">
        <is>
          <t>Maya Chen, Owner Project Controls</t>
        </is>
      </c>
      <c r="K1496" s="34" t="inlineStr">
        <is>
          <t>Professional</t>
        </is>
      </c>
      <c r="L1496" s="39" t="inlineStr"/>
      <c r="M1496" s="34" t="inlineStr">
        <is>
          <t>Initial</t>
        </is>
      </c>
      <c r="N1496" s="34" t="inlineStr">
        <is>
          <t>Rev 0</t>
        </is>
      </c>
      <c r="O1496" s="34" t="inlineStr">
        <is>
          <t>R1033-v2</t>
        </is>
      </c>
      <c r="P1496" s="39" t="inlineStr"/>
      <c r="Q1496" s="14" t="inlineStr"/>
      <c r="R1496" s="39" t="inlineStr"/>
      <c r="S1496" s="39" t="inlineStr"/>
      <c r="T1496" s="34" t="inlineStr">
        <is>
          <t>Group decision (182 records sharing one decision state)</t>
        </is>
      </c>
      <c r="U1496" s="39" t="inlineStr"/>
      <c r="V1496" s="14" t="inlineStr"/>
      <c r="W1496" s="14" t="inlineStr"/>
    </row>
    <row r="1497" ht="64" customHeight="1">
      <c r="A1497" s="34" t="inlineStr">
        <is>
          <t>UNSURE</t>
        </is>
      </c>
      <c r="B1497" s="39" t="inlineStr"/>
      <c r="C1497" s="34" t="inlineStr">
        <is>
          <t>Contractor Programme</t>
        </is>
      </c>
      <c r="D1497" s="34" t="inlineStr">
        <is>
          <t>SCH-06-134</t>
        </is>
      </c>
      <c r="E1497" s="34" t="inlineStr">
        <is>
          <t>Civil package: monthly controls cut-off - release</t>
        </is>
      </c>
      <c r="F1497" s="34" t="inlineStr">
        <is>
          <t>UNSURE</t>
        </is>
      </c>
      <c r="G1497" s="34" t="inlineStr">
        <is>
          <t>APPROVED</t>
        </is>
      </c>
      <c r="H1497" s="34" t="inlineStr">
        <is>
          <t>New</t>
        </is>
      </c>
      <c r="I1497" s="34" t="inlineStr">
        <is>
          <t>Professional decision</t>
        </is>
      </c>
      <c r="J1497" s="34" t="inlineStr">
        <is>
          <t>Maya Chen, Owner Project Controls</t>
        </is>
      </c>
      <c r="K1497" s="34" t="inlineStr">
        <is>
          <t>Professional</t>
        </is>
      </c>
      <c r="L1497" s="39" t="inlineStr"/>
      <c r="M1497" s="34" t="inlineStr">
        <is>
          <t>Initial</t>
        </is>
      </c>
      <c r="N1497" s="34" t="inlineStr">
        <is>
          <t>Rev 0</t>
        </is>
      </c>
      <c r="O1497" s="34" t="inlineStr">
        <is>
          <t>R1034-v2</t>
        </is>
      </c>
      <c r="P1497" s="39" t="inlineStr"/>
      <c r="Q1497" s="14" t="inlineStr"/>
      <c r="R1497" s="39" t="inlineStr"/>
      <c r="S1497" s="39" t="inlineStr"/>
      <c r="T1497" s="34" t="inlineStr">
        <is>
          <t>Group decision (182 records sharing one decision state)</t>
        </is>
      </c>
      <c r="U1497" s="39" t="inlineStr"/>
      <c r="V1497" s="14" t="inlineStr"/>
      <c r="W1497" s="14" t="inlineStr"/>
    </row>
    <row r="1498" ht="64" customHeight="1">
      <c r="A1498" s="34" t="inlineStr">
        <is>
          <t>UNSURE</t>
        </is>
      </c>
      <c r="B1498" s="39" t="inlineStr"/>
      <c r="C1498" s="34" t="inlineStr">
        <is>
          <t>Contractor Programme</t>
        </is>
      </c>
      <c r="D1498" s="34" t="inlineStr">
        <is>
          <t>SCH-06-135</t>
        </is>
      </c>
      <c r="E1498" s="34" t="inlineStr">
        <is>
          <t>Stations package: stakeholder interface meeting - field start</t>
        </is>
      </c>
      <c r="F1498" s="34" t="inlineStr">
        <is>
          <t>UNSURE</t>
        </is>
      </c>
      <c r="G1498" s="34" t="inlineStr">
        <is>
          <t>APPROVED</t>
        </is>
      </c>
      <c r="H1498" s="34" t="inlineStr">
        <is>
          <t>New</t>
        </is>
      </c>
      <c r="I1498" s="34" t="inlineStr">
        <is>
          <t>Professional decision</t>
        </is>
      </c>
      <c r="J1498" s="34" t="inlineStr">
        <is>
          <t>Maya Chen, Owner Project Controls</t>
        </is>
      </c>
      <c r="K1498" s="34" t="inlineStr">
        <is>
          <t>Professional</t>
        </is>
      </c>
      <c r="L1498" s="39" t="inlineStr"/>
      <c r="M1498" s="34" t="inlineStr">
        <is>
          <t>Initial</t>
        </is>
      </c>
      <c r="N1498" s="34" t="inlineStr">
        <is>
          <t>Rev 0</t>
        </is>
      </c>
      <c r="O1498" s="34" t="inlineStr">
        <is>
          <t>R1035-v2</t>
        </is>
      </c>
      <c r="P1498" s="39" t="inlineStr"/>
      <c r="Q1498" s="14" t="inlineStr"/>
      <c r="R1498" s="39" t="inlineStr"/>
      <c r="S1498" s="39" t="inlineStr"/>
      <c r="T1498" s="34" t="inlineStr">
        <is>
          <t>Group decision (182 records sharing one decision state)</t>
        </is>
      </c>
      <c r="U1498" s="39" t="inlineStr"/>
      <c r="V1498" s="14" t="inlineStr"/>
      <c r="W1498" s="14" t="inlineStr"/>
    </row>
    <row r="1499" ht="64" customHeight="1">
      <c r="A1499" s="34" t="inlineStr">
        <is>
          <t>UNSURE</t>
        </is>
      </c>
      <c r="B1499" s="39" t="inlineStr"/>
      <c r="C1499" s="34" t="inlineStr">
        <is>
          <t>Contractor Programme</t>
        </is>
      </c>
      <c r="D1499" s="34" t="inlineStr">
        <is>
          <t>SCH-06-136</t>
        </is>
      </c>
      <c r="E1499" s="34" t="inlineStr">
        <is>
          <t>Systems package: baseline change control - installation</t>
        </is>
      </c>
      <c r="F1499" s="34" t="inlineStr">
        <is>
          <t>UNSURE</t>
        </is>
      </c>
      <c r="G1499" s="34" t="inlineStr">
        <is>
          <t>APPROVED</t>
        </is>
      </c>
      <c r="H1499" s="34" t="inlineStr">
        <is>
          <t>New</t>
        </is>
      </c>
      <c r="I1499" s="34" t="inlineStr">
        <is>
          <t>Professional decision</t>
        </is>
      </c>
      <c r="J1499" s="34" t="inlineStr">
        <is>
          <t>Maya Chen, Owner Project Controls</t>
        </is>
      </c>
      <c r="K1499" s="34" t="inlineStr">
        <is>
          <t>Professional</t>
        </is>
      </c>
      <c r="L1499" s="39" t="inlineStr"/>
      <c r="M1499" s="34" t="inlineStr">
        <is>
          <t>Initial</t>
        </is>
      </c>
      <c r="N1499" s="34" t="inlineStr">
        <is>
          <t>Rev 0</t>
        </is>
      </c>
      <c r="O1499" s="34" t="inlineStr">
        <is>
          <t>R1036-v2</t>
        </is>
      </c>
      <c r="P1499" s="39" t="inlineStr"/>
      <c r="Q1499" s="14" t="inlineStr"/>
      <c r="R1499" s="39" t="inlineStr"/>
      <c r="S1499" s="39" t="inlineStr"/>
      <c r="T1499" s="34" t="inlineStr">
        <is>
          <t>Group decision (182 records sharing one decision state)</t>
        </is>
      </c>
      <c r="U1499" s="39" t="inlineStr"/>
      <c r="V1499" s="14" t="inlineStr"/>
      <c r="W1499" s="14" t="inlineStr"/>
    </row>
    <row r="1500" ht="64" customHeight="1">
      <c r="A1500" s="34" t="inlineStr">
        <is>
          <t>UNSURE</t>
        </is>
      </c>
      <c r="B1500" s="39" t="inlineStr"/>
      <c r="C1500" s="34" t="inlineStr">
        <is>
          <t>Contractor Programme</t>
        </is>
      </c>
      <c r="D1500" s="34" t="inlineStr">
        <is>
          <t>SCH-06-137</t>
        </is>
      </c>
      <c r="E1500" s="34" t="inlineStr">
        <is>
          <t>Fleet package: commercial change review - inspection</t>
        </is>
      </c>
      <c r="F1500" s="34" t="inlineStr">
        <is>
          <t>UNSURE</t>
        </is>
      </c>
      <c r="G1500" s="34" t="inlineStr">
        <is>
          <t>APPROVED</t>
        </is>
      </c>
      <c r="H1500" s="34" t="inlineStr">
        <is>
          <t>New</t>
        </is>
      </c>
      <c r="I1500" s="34" t="inlineStr">
        <is>
          <t>Professional decision</t>
        </is>
      </c>
      <c r="J1500" s="34" t="inlineStr">
        <is>
          <t>Maya Chen, Owner Project Controls</t>
        </is>
      </c>
      <c r="K1500" s="34" t="inlineStr">
        <is>
          <t>Professional</t>
        </is>
      </c>
      <c r="L1500" s="39" t="inlineStr"/>
      <c r="M1500" s="34" t="inlineStr">
        <is>
          <t>Initial</t>
        </is>
      </c>
      <c r="N1500" s="34" t="inlineStr">
        <is>
          <t>Rev 0</t>
        </is>
      </c>
      <c r="O1500" s="34" t="inlineStr">
        <is>
          <t>R1037-v2</t>
        </is>
      </c>
      <c r="P1500" s="39" t="inlineStr"/>
      <c r="Q1500" s="14" t="inlineStr"/>
      <c r="R1500" s="39" t="inlineStr"/>
      <c r="S1500" s="39" t="inlineStr"/>
      <c r="T1500" s="34" t="inlineStr">
        <is>
          <t>Group decision (182 records sharing one decision state)</t>
        </is>
      </c>
      <c r="U1500" s="39" t="inlineStr"/>
      <c r="V1500" s="14" t="inlineStr"/>
      <c r="W1500" s="14" t="inlineStr"/>
    </row>
    <row r="1501" ht="64" customHeight="1">
      <c r="A1501" s="34" t="inlineStr">
        <is>
          <t>UNSURE</t>
        </is>
      </c>
      <c r="B1501" s="39" t="inlineStr"/>
      <c r="C1501" s="34" t="inlineStr">
        <is>
          <t>Contractor Programme</t>
        </is>
      </c>
      <c r="D1501" s="34" t="inlineStr">
        <is>
          <t>SCH-06-138</t>
        </is>
      </c>
      <c r="E1501" s="34" t="inlineStr">
        <is>
          <t>Program office: design-package integration review - turnover</t>
        </is>
      </c>
      <c r="F1501" s="34" t="inlineStr">
        <is>
          <t>UNSURE</t>
        </is>
      </c>
      <c r="G1501" s="34" t="inlineStr">
        <is>
          <t>APPROVED</t>
        </is>
      </c>
      <c r="H1501" s="34" t="inlineStr">
        <is>
          <t>New</t>
        </is>
      </c>
      <c r="I1501" s="34" t="inlineStr">
        <is>
          <t>Professional decision</t>
        </is>
      </c>
      <c r="J1501" s="34" t="inlineStr">
        <is>
          <t>Maya Chen, Owner Project Controls</t>
        </is>
      </c>
      <c r="K1501" s="34" t="inlineStr">
        <is>
          <t>Professional</t>
        </is>
      </c>
      <c r="L1501" s="39" t="inlineStr"/>
      <c r="M1501" s="34" t="inlineStr">
        <is>
          <t>Initial</t>
        </is>
      </c>
      <c r="N1501" s="34" t="inlineStr">
        <is>
          <t>Rev 0</t>
        </is>
      </c>
      <c r="O1501" s="34" t="inlineStr">
        <is>
          <t>R1038-v2</t>
        </is>
      </c>
      <c r="P1501" s="39" t="inlineStr"/>
      <c r="Q1501" s="14" t="inlineStr"/>
      <c r="R1501" s="39" t="inlineStr"/>
      <c r="S1501" s="39" t="inlineStr"/>
      <c r="T1501" s="34" t="inlineStr">
        <is>
          <t>Group decision (182 records sharing one decision state)</t>
        </is>
      </c>
      <c r="U1501" s="39" t="inlineStr"/>
      <c r="V1501" s="14" t="inlineStr"/>
      <c r="W1501" s="14" t="inlineStr"/>
    </row>
    <row r="1502" ht="64" customHeight="1">
      <c r="A1502" s="34" t="inlineStr">
        <is>
          <t>UNSURE</t>
        </is>
      </c>
      <c r="B1502" s="39" t="inlineStr"/>
      <c r="C1502" s="34" t="inlineStr">
        <is>
          <t>Contractor Programme</t>
        </is>
      </c>
      <c r="D1502" s="34" t="inlineStr">
        <is>
          <t>SCH-06-139</t>
        </is>
      </c>
      <c r="E1502" s="34" t="inlineStr">
        <is>
          <t>Civil package: executive reporting close - release</t>
        </is>
      </c>
      <c r="F1502" s="34" t="inlineStr">
        <is>
          <t>UNSURE</t>
        </is>
      </c>
      <c r="G1502" s="34" t="inlineStr">
        <is>
          <t>APPROVED</t>
        </is>
      </c>
      <c r="H1502" s="34" t="inlineStr">
        <is>
          <t>New</t>
        </is>
      </c>
      <c r="I1502" s="34" t="inlineStr">
        <is>
          <t>Professional decision</t>
        </is>
      </c>
      <c r="J1502" s="34" t="inlineStr">
        <is>
          <t>Maya Chen, Owner Project Controls</t>
        </is>
      </c>
      <c r="K1502" s="34" t="inlineStr">
        <is>
          <t>Professional</t>
        </is>
      </c>
      <c r="L1502" s="39" t="inlineStr"/>
      <c r="M1502" s="34" t="inlineStr">
        <is>
          <t>Initial</t>
        </is>
      </c>
      <c r="N1502" s="34" t="inlineStr">
        <is>
          <t>Rev 0</t>
        </is>
      </c>
      <c r="O1502" s="34" t="inlineStr">
        <is>
          <t>R1039-v2</t>
        </is>
      </c>
      <c r="P1502" s="39" t="inlineStr"/>
      <c r="Q1502" s="14" t="inlineStr"/>
      <c r="R1502" s="39" t="inlineStr"/>
      <c r="S1502" s="39" t="inlineStr"/>
      <c r="T1502" s="34" t="inlineStr">
        <is>
          <t>Group decision (182 records sharing one decision state)</t>
        </is>
      </c>
      <c r="U1502" s="39" t="inlineStr"/>
      <c r="V1502" s="14" t="inlineStr"/>
      <c r="W1502" s="14" t="inlineStr"/>
    </row>
    <row r="1503" ht="64" customHeight="1">
      <c r="A1503" s="34" t="inlineStr">
        <is>
          <t>UNSURE</t>
        </is>
      </c>
      <c r="B1503" s="39" t="inlineStr"/>
      <c r="C1503" s="34" t="inlineStr">
        <is>
          <t>Contractor Programme</t>
        </is>
      </c>
      <c r="D1503" s="34" t="inlineStr">
        <is>
          <t>SCH-06-140</t>
        </is>
      </c>
      <c r="E1503" s="34" t="inlineStr">
        <is>
          <t>Stations package: permit coordination - field start</t>
        </is>
      </c>
      <c r="F1503" s="34" t="inlineStr">
        <is>
          <t>UNSURE</t>
        </is>
      </c>
      <c r="G1503" s="34" t="inlineStr">
        <is>
          <t>APPROVED</t>
        </is>
      </c>
      <c r="H1503" s="34" t="inlineStr">
        <is>
          <t>New</t>
        </is>
      </c>
      <c r="I1503" s="34" t="inlineStr">
        <is>
          <t>Professional decision</t>
        </is>
      </c>
      <c r="J1503" s="34" t="inlineStr">
        <is>
          <t>Maya Chen, Owner Project Controls</t>
        </is>
      </c>
      <c r="K1503" s="34" t="inlineStr">
        <is>
          <t>Professional</t>
        </is>
      </c>
      <c r="L1503" s="39" t="inlineStr"/>
      <c r="M1503" s="34" t="inlineStr">
        <is>
          <t>Initial</t>
        </is>
      </c>
      <c r="N1503" s="34" t="inlineStr">
        <is>
          <t>Rev 0</t>
        </is>
      </c>
      <c r="O1503" s="34" t="inlineStr">
        <is>
          <t>R1040-v2</t>
        </is>
      </c>
      <c r="P1503" s="39" t="inlineStr"/>
      <c r="Q1503" s="14" t="inlineStr"/>
      <c r="R1503" s="39" t="inlineStr"/>
      <c r="S1503" s="39" t="inlineStr"/>
      <c r="T1503" s="34" t="inlineStr">
        <is>
          <t>Group decision (182 records sharing one decision state)</t>
        </is>
      </c>
      <c r="U1503" s="39" t="inlineStr"/>
      <c r="V1503" s="14" t="inlineStr"/>
      <c r="W1503" s="14" t="inlineStr"/>
    </row>
    <row r="1504" ht="64" customHeight="1">
      <c r="A1504" s="34" t="inlineStr">
        <is>
          <t>UNSURE</t>
        </is>
      </c>
      <c r="B1504" s="39" t="inlineStr"/>
      <c r="C1504" s="34" t="inlineStr">
        <is>
          <t>Contractor Programme</t>
        </is>
      </c>
      <c r="D1504" s="34" t="inlineStr">
        <is>
          <t>SCH-06-141</t>
        </is>
      </c>
      <c r="E1504" s="34" t="inlineStr">
        <is>
          <t>Systems package: delivery risk workshop - installation</t>
        </is>
      </c>
      <c r="F1504" s="34" t="inlineStr">
        <is>
          <t>UNSURE</t>
        </is>
      </c>
      <c r="G1504" s="34" t="inlineStr">
        <is>
          <t>APPROVED</t>
        </is>
      </c>
      <c r="H1504" s="34" t="inlineStr">
        <is>
          <t>New</t>
        </is>
      </c>
      <c r="I1504" s="34" t="inlineStr">
        <is>
          <t>Professional decision</t>
        </is>
      </c>
      <c r="J1504" s="34" t="inlineStr">
        <is>
          <t>Maya Chen, Owner Project Controls</t>
        </is>
      </c>
      <c r="K1504" s="34" t="inlineStr">
        <is>
          <t>Professional</t>
        </is>
      </c>
      <c r="L1504" s="39" t="inlineStr"/>
      <c r="M1504" s="34" t="inlineStr">
        <is>
          <t>Initial</t>
        </is>
      </c>
      <c r="N1504" s="34" t="inlineStr">
        <is>
          <t>Rev 0</t>
        </is>
      </c>
      <c r="O1504" s="34" t="inlineStr">
        <is>
          <t>R1041-v2</t>
        </is>
      </c>
      <c r="P1504" s="39" t="inlineStr"/>
      <c r="Q1504" s="14" t="inlineStr"/>
      <c r="R1504" s="39" t="inlineStr"/>
      <c r="S1504" s="39" t="inlineStr"/>
      <c r="T1504" s="34" t="inlineStr">
        <is>
          <t>Group decision (182 records sharing one decision state)</t>
        </is>
      </c>
      <c r="U1504" s="39" t="inlineStr"/>
      <c r="V1504" s="14" t="inlineStr"/>
      <c r="W1504" s="14" t="inlineStr"/>
    </row>
    <row r="1505" ht="64" customHeight="1">
      <c r="A1505" s="34" t="inlineStr">
        <is>
          <t>UNSURE</t>
        </is>
      </c>
      <c r="B1505" s="39" t="inlineStr"/>
      <c r="C1505" s="34" t="inlineStr">
        <is>
          <t>Contractor Programme</t>
        </is>
      </c>
      <c r="D1505" s="34" t="inlineStr">
        <is>
          <t>SCH-06-142</t>
        </is>
      </c>
      <c r="E1505" s="34" t="inlineStr">
        <is>
          <t>Fleet package: monthly controls cut-off - inspection</t>
        </is>
      </c>
      <c r="F1505" s="34" t="inlineStr">
        <is>
          <t>UNSURE</t>
        </is>
      </c>
      <c r="G1505" s="34" t="inlineStr">
        <is>
          <t>APPROVED</t>
        </is>
      </c>
      <c r="H1505" s="34" t="inlineStr">
        <is>
          <t>New</t>
        </is>
      </c>
      <c r="I1505" s="34" t="inlineStr">
        <is>
          <t>Professional decision</t>
        </is>
      </c>
      <c r="J1505" s="34" t="inlineStr">
        <is>
          <t>Maya Chen, Owner Project Controls</t>
        </is>
      </c>
      <c r="K1505" s="34" t="inlineStr">
        <is>
          <t>Professional</t>
        </is>
      </c>
      <c r="L1505" s="39" t="inlineStr"/>
      <c r="M1505" s="34" t="inlineStr">
        <is>
          <t>Initial</t>
        </is>
      </c>
      <c r="N1505" s="34" t="inlineStr">
        <is>
          <t>Rev 0</t>
        </is>
      </c>
      <c r="O1505" s="34" t="inlineStr">
        <is>
          <t>R1042-v2</t>
        </is>
      </c>
      <c r="P1505" s="39" t="inlineStr"/>
      <c r="Q1505" s="14" t="inlineStr"/>
      <c r="R1505" s="39" t="inlineStr"/>
      <c r="S1505" s="39" t="inlineStr"/>
      <c r="T1505" s="34" t="inlineStr">
        <is>
          <t>Group decision (182 records sharing one decision state)</t>
        </is>
      </c>
      <c r="U1505" s="39" t="inlineStr"/>
      <c r="V1505" s="14" t="inlineStr"/>
      <c r="W1505" s="14" t="inlineStr"/>
    </row>
    <row r="1506" ht="64" customHeight="1">
      <c r="A1506" s="34" t="inlineStr">
        <is>
          <t>UNSURE</t>
        </is>
      </c>
      <c r="B1506" s="39" t="inlineStr"/>
      <c r="C1506" s="34" t="inlineStr">
        <is>
          <t>Contractor Programme</t>
        </is>
      </c>
      <c r="D1506" s="34" t="inlineStr">
        <is>
          <t>SCH-06-143</t>
        </is>
      </c>
      <c r="E1506" s="34" t="inlineStr">
        <is>
          <t>Program office: stakeholder interface meeting - turnover</t>
        </is>
      </c>
      <c r="F1506" s="34" t="inlineStr">
        <is>
          <t>UNSURE</t>
        </is>
      </c>
      <c r="G1506" s="34" t="inlineStr">
        <is>
          <t>APPROVED</t>
        </is>
      </c>
      <c r="H1506" s="34" t="inlineStr">
        <is>
          <t>New</t>
        </is>
      </c>
      <c r="I1506" s="34" t="inlineStr">
        <is>
          <t>Professional decision</t>
        </is>
      </c>
      <c r="J1506" s="34" t="inlineStr">
        <is>
          <t>Maya Chen, Owner Project Controls</t>
        </is>
      </c>
      <c r="K1506" s="34" t="inlineStr">
        <is>
          <t>Professional</t>
        </is>
      </c>
      <c r="L1506" s="39" t="inlineStr"/>
      <c r="M1506" s="34" t="inlineStr">
        <is>
          <t>Initial</t>
        </is>
      </c>
      <c r="N1506" s="34" t="inlineStr">
        <is>
          <t>Rev 0</t>
        </is>
      </c>
      <c r="O1506" s="34" t="inlineStr">
        <is>
          <t>R1043-v2</t>
        </is>
      </c>
      <c r="P1506" s="39" t="inlineStr"/>
      <c r="Q1506" s="14" t="inlineStr"/>
      <c r="R1506" s="39" t="inlineStr"/>
      <c r="S1506" s="39" t="inlineStr"/>
      <c r="T1506" s="34" t="inlineStr">
        <is>
          <t>Group decision (182 records sharing one decision state)</t>
        </is>
      </c>
      <c r="U1506" s="39" t="inlineStr"/>
      <c r="V1506" s="14" t="inlineStr"/>
      <c r="W1506" s="14" t="inlineStr"/>
    </row>
    <row r="1507" ht="64" customHeight="1">
      <c r="A1507" s="34" t="inlineStr">
        <is>
          <t>UNSURE</t>
        </is>
      </c>
      <c r="B1507" s="39" t="inlineStr"/>
      <c r="C1507" s="34" t="inlineStr">
        <is>
          <t>Contractor Programme</t>
        </is>
      </c>
      <c r="D1507" s="34" t="inlineStr">
        <is>
          <t>SCH-06-144</t>
        </is>
      </c>
      <c r="E1507" s="34" t="inlineStr">
        <is>
          <t>Civil package: baseline change control - release</t>
        </is>
      </c>
      <c r="F1507" s="34" t="inlineStr">
        <is>
          <t>UNSURE</t>
        </is>
      </c>
      <c r="G1507" s="34" t="inlineStr">
        <is>
          <t>APPROVED</t>
        </is>
      </c>
      <c r="H1507" s="34" t="inlineStr">
        <is>
          <t>New</t>
        </is>
      </c>
      <c r="I1507" s="34" t="inlineStr">
        <is>
          <t>Professional decision</t>
        </is>
      </c>
      <c r="J1507" s="34" t="inlineStr">
        <is>
          <t>Maya Chen, Owner Project Controls</t>
        </is>
      </c>
      <c r="K1507" s="34" t="inlineStr">
        <is>
          <t>Professional</t>
        </is>
      </c>
      <c r="L1507" s="39" t="inlineStr"/>
      <c r="M1507" s="34" t="inlineStr">
        <is>
          <t>Initial</t>
        </is>
      </c>
      <c r="N1507" s="34" t="inlineStr">
        <is>
          <t>Rev 0</t>
        </is>
      </c>
      <c r="O1507" s="34" t="inlineStr">
        <is>
          <t>R1044-v2</t>
        </is>
      </c>
      <c r="P1507" s="39" t="inlineStr"/>
      <c r="Q1507" s="14" t="inlineStr"/>
      <c r="R1507" s="39" t="inlineStr"/>
      <c r="S1507" s="39" t="inlineStr"/>
      <c r="T1507" s="34" t="inlineStr">
        <is>
          <t>Group decision (182 records sharing one decision state)</t>
        </is>
      </c>
      <c r="U1507" s="39" t="inlineStr"/>
      <c r="V1507" s="14" t="inlineStr"/>
      <c r="W1507" s="14" t="inlineStr"/>
    </row>
    <row r="1508" ht="64" customHeight="1">
      <c r="A1508" s="34" t="inlineStr">
        <is>
          <t>UNSURE</t>
        </is>
      </c>
      <c r="B1508" s="39" t="inlineStr"/>
      <c r="C1508" s="34" t="inlineStr">
        <is>
          <t>Contractor Programme</t>
        </is>
      </c>
      <c r="D1508" s="34" t="inlineStr">
        <is>
          <t>SCH-06-145</t>
        </is>
      </c>
      <c r="E1508" s="34" t="inlineStr">
        <is>
          <t>Stations package: commercial change review - field start</t>
        </is>
      </c>
      <c r="F1508" s="34" t="inlineStr">
        <is>
          <t>UNSURE</t>
        </is>
      </c>
      <c r="G1508" s="34" t="inlineStr">
        <is>
          <t>APPROVED</t>
        </is>
      </c>
      <c r="H1508" s="34" t="inlineStr">
        <is>
          <t>New</t>
        </is>
      </c>
      <c r="I1508" s="34" t="inlineStr">
        <is>
          <t>Professional decision</t>
        </is>
      </c>
      <c r="J1508" s="34" t="inlineStr">
        <is>
          <t>Maya Chen, Owner Project Controls</t>
        </is>
      </c>
      <c r="K1508" s="34" t="inlineStr">
        <is>
          <t>Professional</t>
        </is>
      </c>
      <c r="L1508" s="39" t="inlineStr"/>
      <c r="M1508" s="34" t="inlineStr">
        <is>
          <t>Initial</t>
        </is>
      </c>
      <c r="N1508" s="34" t="inlineStr">
        <is>
          <t>Rev 0</t>
        </is>
      </c>
      <c r="O1508" s="34" t="inlineStr">
        <is>
          <t>R1045-v2</t>
        </is>
      </c>
      <c r="P1508" s="39" t="inlineStr"/>
      <c r="Q1508" s="14" t="inlineStr"/>
      <c r="R1508" s="39" t="inlineStr"/>
      <c r="S1508" s="39" t="inlineStr"/>
      <c r="T1508" s="34" t="inlineStr">
        <is>
          <t>Group decision (182 records sharing one decision state)</t>
        </is>
      </c>
      <c r="U1508" s="39" t="inlineStr"/>
      <c r="V1508" s="14" t="inlineStr"/>
      <c r="W1508" s="14" t="inlineStr"/>
    </row>
    <row r="1509" ht="64" customHeight="1">
      <c r="A1509" s="34" t="inlineStr">
        <is>
          <t>UNSURE</t>
        </is>
      </c>
      <c r="B1509" s="39" t="inlineStr"/>
      <c r="C1509" s="34" t="inlineStr">
        <is>
          <t>Contractor Programme</t>
        </is>
      </c>
      <c r="D1509" s="34" t="inlineStr">
        <is>
          <t>SCH-06-146</t>
        </is>
      </c>
      <c r="E1509" s="34" t="inlineStr">
        <is>
          <t>Systems package: design-package integration review - installation</t>
        </is>
      </c>
      <c r="F1509" s="34" t="inlineStr">
        <is>
          <t>UNSURE</t>
        </is>
      </c>
      <c r="G1509" s="34" t="inlineStr">
        <is>
          <t>APPROVED</t>
        </is>
      </c>
      <c r="H1509" s="34" t="inlineStr">
        <is>
          <t>New</t>
        </is>
      </c>
      <c r="I1509" s="34" t="inlineStr">
        <is>
          <t>Professional decision</t>
        </is>
      </c>
      <c r="J1509" s="34" t="inlineStr">
        <is>
          <t>Maya Chen, Owner Project Controls</t>
        </is>
      </c>
      <c r="K1509" s="34" t="inlineStr">
        <is>
          <t>Professional</t>
        </is>
      </c>
      <c r="L1509" s="39" t="inlineStr"/>
      <c r="M1509" s="34" t="inlineStr">
        <is>
          <t>Initial</t>
        </is>
      </c>
      <c r="N1509" s="34" t="inlineStr">
        <is>
          <t>Rev 0</t>
        </is>
      </c>
      <c r="O1509" s="34" t="inlineStr">
        <is>
          <t>R1046-v2</t>
        </is>
      </c>
      <c r="P1509" s="39" t="inlineStr"/>
      <c r="Q1509" s="14" t="inlineStr"/>
      <c r="R1509" s="39" t="inlineStr"/>
      <c r="S1509" s="39" t="inlineStr"/>
      <c r="T1509" s="34" t="inlineStr">
        <is>
          <t>Group decision (182 records sharing one decision state)</t>
        </is>
      </c>
      <c r="U1509" s="39" t="inlineStr"/>
      <c r="V1509" s="14" t="inlineStr"/>
      <c r="W1509" s="14" t="inlineStr"/>
    </row>
    <row r="1510" ht="64" customHeight="1">
      <c r="A1510" s="34" t="inlineStr">
        <is>
          <t>UNSURE</t>
        </is>
      </c>
      <c r="B1510" s="39" t="inlineStr"/>
      <c r="C1510" s="34" t="inlineStr">
        <is>
          <t>Contractor Programme</t>
        </is>
      </c>
      <c r="D1510" s="34" t="inlineStr">
        <is>
          <t>SCH-06-147</t>
        </is>
      </c>
      <c r="E1510" s="34" t="inlineStr">
        <is>
          <t>Fleet package: executive reporting close - inspection</t>
        </is>
      </c>
      <c r="F1510" s="34" t="inlineStr">
        <is>
          <t>UNSURE</t>
        </is>
      </c>
      <c r="G1510" s="34" t="inlineStr">
        <is>
          <t>APPROVED</t>
        </is>
      </c>
      <c r="H1510" s="34" t="inlineStr">
        <is>
          <t>New</t>
        </is>
      </c>
      <c r="I1510" s="34" t="inlineStr">
        <is>
          <t>Professional decision</t>
        </is>
      </c>
      <c r="J1510" s="34" t="inlineStr">
        <is>
          <t>Maya Chen, Owner Project Controls</t>
        </is>
      </c>
      <c r="K1510" s="34" t="inlineStr">
        <is>
          <t>Professional</t>
        </is>
      </c>
      <c r="L1510" s="39" t="inlineStr"/>
      <c r="M1510" s="34" t="inlineStr">
        <is>
          <t>Initial</t>
        </is>
      </c>
      <c r="N1510" s="34" t="inlineStr">
        <is>
          <t>Rev 0</t>
        </is>
      </c>
      <c r="O1510" s="34" t="inlineStr">
        <is>
          <t>R1047-v2</t>
        </is>
      </c>
      <c r="P1510" s="39" t="inlineStr"/>
      <c r="Q1510" s="14" t="inlineStr"/>
      <c r="R1510" s="39" t="inlineStr"/>
      <c r="S1510" s="39" t="inlineStr"/>
      <c r="T1510" s="34" t="inlineStr">
        <is>
          <t>Group decision (182 records sharing one decision state)</t>
        </is>
      </c>
      <c r="U1510" s="39" t="inlineStr"/>
      <c r="V1510" s="14" t="inlineStr"/>
      <c r="W1510" s="14" t="inlineStr"/>
    </row>
    <row r="1511" ht="64" customHeight="1">
      <c r="A1511" s="34" t="inlineStr">
        <is>
          <t>UNSURE</t>
        </is>
      </c>
      <c r="B1511" s="39" t="inlineStr"/>
      <c r="C1511" s="34" t="inlineStr">
        <is>
          <t>Contractor Programme</t>
        </is>
      </c>
      <c r="D1511" s="34" t="inlineStr">
        <is>
          <t>SCH-06-148</t>
        </is>
      </c>
      <c r="E1511" s="34" t="inlineStr">
        <is>
          <t>Program office: permit coordination - turnover</t>
        </is>
      </c>
      <c r="F1511" s="34" t="inlineStr">
        <is>
          <t>UNSURE</t>
        </is>
      </c>
      <c r="G1511" s="34" t="inlineStr">
        <is>
          <t>APPROVED</t>
        </is>
      </c>
      <c r="H1511" s="34" t="inlineStr">
        <is>
          <t>New</t>
        </is>
      </c>
      <c r="I1511" s="34" t="inlineStr">
        <is>
          <t>Professional decision</t>
        </is>
      </c>
      <c r="J1511" s="34" t="inlineStr">
        <is>
          <t>Maya Chen, Owner Project Controls</t>
        </is>
      </c>
      <c r="K1511" s="34" t="inlineStr">
        <is>
          <t>Professional</t>
        </is>
      </c>
      <c r="L1511" s="39" t="inlineStr"/>
      <c r="M1511" s="34" t="inlineStr">
        <is>
          <t>Initial</t>
        </is>
      </c>
      <c r="N1511" s="34" t="inlineStr">
        <is>
          <t>Rev 0</t>
        </is>
      </c>
      <c r="O1511" s="34" t="inlineStr">
        <is>
          <t>R1048-v2</t>
        </is>
      </c>
      <c r="P1511" s="39" t="inlineStr"/>
      <c r="Q1511" s="14" t="inlineStr"/>
      <c r="R1511" s="39" t="inlineStr"/>
      <c r="S1511" s="39" t="inlineStr"/>
      <c r="T1511" s="34" t="inlineStr">
        <is>
          <t>Group decision (182 records sharing one decision state)</t>
        </is>
      </c>
      <c r="U1511" s="39" t="inlineStr"/>
      <c r="V1511" s="14" t="inlineStr"/>
      <c r="W1511" s="14" t="inlineStr"/>
    </row>
    <row r="1512" ht="64" customHeight="1">
      <c r="A1512" s="34" t="inlineStr">
        <is>
          <t>UNSURE</t>
        </is>
      </c>
      <c r="B1512" s="39" t="inlineStr"/>
      <c r="C1512" s="34" t="inlineStr">
        <is>
          <t>Contractor Programme</t>
        </is>
      </c>
      <c r="D1512" s="34" t="inlineStr">
        <is>
          <t>SCH-06-149</t>
        </is>
      </c>
      <c r="E1512" s="34" t="inlineStr">
        <is>
          <t>Civil package: delivery risk workshop - release</t>
        </is>
      </c>
      <c r="F1512" s="34" t="inlineStr">
        <is>
          <t>UNSURE</t>
        </is>
      </c>
      <c r="G1512" s="34" t="inlineStr">
        <is>
          <t>APPROVED</t>
        </is>
      </c>
      <c r="H1512" s="34" t="inlineStr">
        <is>
          <t>New</t>
        </is>
      </c>
      <c r="I1512" s="34" t="inlineStr">
        <is>
          <t>Professional decision</t>
        </is>
      </c>
      <c r="J1512" s="34" t="inlineStr">
        <is>
          <t>Maya Chen, Owner Project Controls</t>
        </is>
      </c>
      <c r="K1512" s="34" t="inlineStr">
        <is>
          <t>Professional</t>
        </is>
      </c>
      <c r="L1512" s="39" t="inlineStr"/>
      <c r="M1512" s="34" t="inlineStr">
        <is>
          <t>Initial</t>
        </is>
      </c>
      <c r="N1512" s="34" t="inlineStr">
        <is>
          <t>Rev 0</t>
        </is>
      </c>
      <c r="O1512" s="34" t="inlineStr">
        <is>
          <t>R1049-v2</t>
        </is>
      </c>
      <c r="P1512" s="39" t="inlineStr"/>
      <c r="Q1512" s="14" t="inlineStr"/>
      <c r="R1512" s="39" t="inlineStr"/>
      <c r="S1512" s="39" t="inlineStr"/>
      <c r="T1512" s="34" t="inlineStr">
        <is>
          <t>Group decision (182 records sharing one decision state)</t>
        </is>
      </c>
      <c r="U1512" s="39" t="inlineStr"/>
      <c r="V1512" s="14" t="inlineStr"/>
      <c r="W1512" s="14" t="inlineStr"/>
    </row>
    <row r="1513" ht="64" customHeight="1">
      <c r="A1513" s="34" t="inlineStr">
        <is>
          <t>UNSURE</t>
        </is>
      </c>
      <c r="B1513" s="39" t="inlineStr"/>
      <c r="C1513" s="34" t="inlineStr">
        <is>
          <t>Contractor Programme</t>
        </is>
      </c>
      <c r="D1513" s="34" t="inlineStr">
        <is>
          <t>SCH-06-150</t>
        </is>
      </c>
      <c r="E1513" s="34" t="inlineStr">
        <is>
          <t>Stations package: monthly controls cut-off - field start</t>
        </is>
      </c>
      <c r="F1513" s="34" t="inlineStr">
        <is>
          <t>UNSURE</t>
        </is>
      </c>
      <c r="G1513" s="34" t="inlineStr">
        <is>
          <t>APPROVED</t>
        </is>
      </c>
      <c r="H1513" s="34" t="inlineStr">
        <is>
          <t>New</t>
        </is>
      </c>
      <c r="I1513" s="34" t="inlineStr">
        <is>
          <t>Professional decision</t>
        </is>
      </c>
      <c r="J1513" s="34" t="inlineStr">
        <is>
          <t>Maya Chen, Owner Project Controls</t>
        </is>
      </c>
      <c r="K1513" s="34" t="inlineStr">
        <is>
          <t>Professional</t>
        </is>
      </c>
      <c r="L1513" s="39" t="inlineStr"/>
      <c r="M1513" s="34" t="inlineStr">
        <is>
          <t>Initial</t>
        </is>
      </c>
      <c r="N1513" s="34" t="inlineStr">
        <is>
          <t>Rev 0</t>
        </is>
      </c>
      <c r="O1513" s="34" t="inlineStr">
        <is>
          <t>R1050-v2</t>
        </is>
      </c>
      <c r="P1513" s="39" t="inlineStr"/>
      <c r="Q1513" s="14" t="inlineStr"/>
      <c r="R1513" s="39" t="inlineStr"/>
      <c r="S1513" s="39" t="inlineStr"/>
      <c r="T1513" s="34" t="inlineStr">
        <is>
          <t>Group decision (182 records sharing one decision state)</t>
        </is>
      </c>
      <c r="U1513" s="39" t="inlineStr"/>
      <c r="V1513" s="14" t="inlineStr"/>
      <c r="W1513" s="14" t="inlineStr"/>
    </row>
    <row r="1514" ht="64" customHeight="1">
      <c r="A1514" s="34" t="inlineStr">
        <is>
          <t>UNSURE</t>
        </is>
      </c>
      <c r="B1514" s="39" t="inlineStr"/>
      <c r="C1514" s="34" t="inlineStr">
        <is>
          <t>Contractor Programme</t>
        </is>
      </c>
      <c r="D1514" s="34" t="inlineStr">
        <is>
          <t>SCH-06-151</t>
        </is>
      </c>
      <c r="E1514" s="34" t="inlineStr">
        <is>
          <t>Systems package: stakeholder interface meeting - installation</t>
        </is>
      </c>
      <c r="F1514" s="34" t="inlineStr">
        <is>
          <t>UNSURE</t>
        </is>
      </c>
      <c r="G1514" s="34" t="inlineStr">
        <is>
          <t>APPROVED</t>
        </is>
      </c>
      <c r="H1514" s="34" t="inlineStr">
        <is>
          <t>New</t>
        </is>
      </c>
      <c r="I1514" s="34" t="inlineStr">
        <is>
          <t>Professional decision</t>
        </is>
      </c>
      <c r="J1514" s="34" t="inlineStr">
        <is>
          <t>Maya Chen, Owner Project Controls</t>
        </is>
      </c>
      <c r="K1514" s="34" t="inlineStr">
        <is>
          <t>Professional</t>
        </is>
      </c>
      <c r="L1514" s="39" t="inlineStr"/>
      <c r="M1514" s="34" t="inlineStr">
        <is>
          <t>Initial</t>
        </is>
      </c>
      <c r="N1514" s="34" t="inlineStr">
        <is>
          <t>Rev 0</t>
        </is>
      </c>
      <c r="O1514" s="34" t="inlineStr">
        <is>
          <t>R1051-v2</t>
        </is>
      </c>
      <c r="P1514" s="39" t="inlineStr"/>
      <c r="Q1514" s="14" t="inlineStr"/>
      <c r="R1514" s="39" t="inlineStr"/>
      <c r="S1514" s="39" t="inlineStr"/>
      <c r="T1514" s="34" t="inlineStr">
        <is>
          <t>Group decision (182 records sharing one decision state)</t>
        </is>
      </c>
      <c r="U1514" s="39" t="inlineStr"/>
      <c r="V1514" s="14" t="inlineStr"/>
      <c r="W1514" s="14" t="inlineStr"/>
    </row>
    <row r="1515" ht="64" customHeight="1">
      <c r="A1515" s="34" t="inlineStr">
        <is>
          <t>UNSURE</t>
        </is>
      </c>
      <c r="B1515" s="39" t="inlineStr"/>
      <c r="C1515" s="34" t="inlineStr">
        <is>
          <t>Contractor Programme</t>
        </is>
      </c>
      <c r="D1515" s="34" t="inlineStr">
        <is>
          <t>SCH-06-152</t>
        </is>
      </c>
      <c r="E1515" s="34" t="inlineStr">
        <is>
          <t>Fleet package: baseline change control - inspection</t>
        </is>
      </c>
      <c r="F1515" s="34" t="inlineStr">
        <is>
          <t>UNSURE</t>
        </is>
      </c>
      <c r="G1515" s="34" t="inlineStr">
        <is>
          <t>APPROVED</t>
        </is>
      </c>
      <c r="H1515" s="34" t="inlineStr">
        <is>
          <t>New</t>
        </is>
      </c>
      <c r="I1515" s="34" t="inlineStr">
        <is>
          <t>Professional decision</t>
        </is>
      </c>
      <c r="J1515" s="34" t="inlineStr">
        <is>
          <t>Maya Chen, Owner Project Controls</t>
        </is>
      </c>
      <c r="K1515" s="34" t="inlineStr">
        <is>
          <t>Professional</t>
        </is>
      </c>
      <c r="L1515" s="39" t="inlineStr"/>
      <c r="M1515" s="34" t="inlineStr">
        <is>
          <t>Initial</t>
        </is>
      </c>
      <c r="N1515" s="34" t="inlineStr">
        <is>
          <t>Rev 0</t>
        </is>
      </c>
      <c r="O1515" s="34" t="inlineStr">
        <is>
          <t>R1052-v2</t>
        </is>
      </c>
      <c r="P1515" s="39" t="inlineStr"/>
      <c r="Q1515" s="14" t="inlineStr"/>
      <c r="R1515" s="39" t="inlineStr"/>
      <c r="S1515" s="39" t="inlineStr"/>
      <c r="T1515" s="34" t="inlineStr">
        <is>
          <t>Group decision (182 records sharing one decision state)</t>
        </is>
      </c>
      <c r="U1515" s="39" t="inlineStr"/>
      <c r="V1515" s="14" t="inlineStr"/>
      <c r="W1515" s="14" t="inlineStr"/>
    </row>
    <row r="1516" ht="64" customHeight="1">
      <c r="A1516" s="34" t="inlineStr">
        <is>
          <t>UNSURE</t>
        </is>
      </c>
      <c r="B1516" s="39" t="inlineStr"/>
      <c r="C1516" s="34" t="inlineStr">
        <is>
          <t>Contractor Programme</t>
        </is>
      </c>
      <c r="D1516" s="34" t="inlineStr">
        <is>
          <t>SCH-06-153</t>
        </is>
      </c>
      <c r="E1516" s="34" t="inlineStr">
        <is>
          <t>Program office: commercial change review - turnover</t>
        </is>
      </c>
      <c r="F1516" s="34" t="inlineStr">
        <is>
          <t>UNSURE</t>
        </is>
      </c>
      <c r="G1516" s="34" t="inlineStr">
        <is>
          <t>APPROVED</t>
        </is>
      </c>
      <c r="H1516" s="34" t="inlineStr">
        <is>
          <t>New</t>
        </is>
      </c>
      <c r="I1516" s="34" t="inlineStr">
        <is>
          <t>Professional decision</t>
        </is>
      </c>
      <c r="J1516" s="34" t="inlineStr">
        <is>
          <t>Maya Chen, Owner Project Controls</t>
        </is>
      </c>
      <c r="K1516" s="34" t="inlineStr">
        <is>
          <t>Professional</t>
        </is>
      </c>
      <c r="L1516" s="39" t="inlineStr"/>
      <c r="M1516" s="34" t="inlineStr">
        <is>
          <t>Initial</t>
        </is>
      </c>
      <c r="N1516" s="34" t="inlineStr">
        <is>
          <t>Rev 0</t>
        </is>
      </c>
      <c r="O1516" s="34" t="inlineStr">
        <is>
          <t>R1053-v2</t>
        </is>
      </c>
      <c r="P1516" s="39" t="inlineStr"/>
      <c r="Q1516" s="14" t="inlineStr"/>
      <c r="R1516" s="39" t="inlineStr"/>
      <c r="S1516" s="39" t="inlineStr"/>
      <c r="T1516" s="34" t="inlineStr">
        <is>
          <t>Group decision (182 records sharing one decision state)</t>
        </is>
      </c>
      <c r="U1516" s="39" t="inlineStr"/>
      <c r="V1516" s="14" t="inlineStr"/>
      <c r="W1516" s="14" t="inlineStr"/>
    </row>
    <row r="1517" ht="64" customHeight="1">
      <c r="A1517" s="34" t="inlineStr">
        <is>
          <t>UNSURE</t>
        </is>
      </c>
      <c r="B1517" s="39" t="inlineStr"/>
      <c r="C1517" s="34" t="inlineStr">
        <is>
          <t>Contractor Programme</t>
        </is>
      </c>
      <c r="D1517" s="34" t="inlineStr">
        <is>
          <t>SCH-06-154</t>
        </is>
      </c>
      <c r="E1517" s="34" t="inlineStr">
        <is>
          <t>Civil package: design-package integration review - release</t>
        </is>
      </c>
      <c r="F1517" s="34" t="inlineStr">
        <is>
          <t>UNSURE</t>
        </is>
      </c>
      <c r="G1517" s="34" t="inlineStr">
        <is>
          <t>APPROVED</t>
        </is>
      </c>
      <c r="H1517" s="34" t="inlineStr">
        <is>
          <t>New</t>
        </is>
      </c>
      <c r="I1517" s="34" t="inlineStr">
        <is>
          <t>Professional decision</t>
        </is>
      </c>
      <c r="J1517" s="34" t="inlineStr">
        <is>
          <t>Maya Chen, Owner Project Controls</t>
        </is>
      </c>
      <c r="K1517" s="34" t="inlineStr">
        <is>
          <t>Professional</t>
        </is>
      </c>
      <c r="L1517" s="39" t="inlineStr"/>
      <c r="M1517" s="34" t="inlineStr">
        <is>
          <t>Initial</t>
        </is>
      </c>
      <c r="N1517" s="34" t="inlineStr">
        <is>
          <t>Rev 0</t>
        </is>
      </c>
      <c r="O1517" s="34" t="inlineStr">
        <is>
          <t>R1054-v2</t>
        </is>
      </c>
      <c r="P1517" s="39" t="inlineStr"/>
      <c r="Q1517" s="14" t="inlineStr"/>
      <c r="R1517" s="39" t="inlineStr"/>
      <c r="S1517" s="39" t="inlineStr"/>
      <c r="T1517" s="34" t="inlineStr">
        <is>
          <t>Group decision (182 records sharing one decision state)</t>
        </is>
      </c>
      <c r="U1517" s="39" t="inlineStr"/>
      <c r="V1517" s="14" t="inlineStr"/>
      <c r="W1517" s="14" t="inlineStr"/>
    </row>
    <row r="1518" ht="64" customHeight="1">
      <c r="A1518" s="34" t="inlineStr">
        <is>
          <t>UNSURE</t>
        </is>
      </c>
      <c r="B1518" s="39" t="inlineStr"/>
      <c r="C1518" s="34" t="inlineStr">
        <is>
          <t>Contractor Programme</t>
        </is>
      </c>
      <c r="D1518" s="34" t="inlineStr">
        <is>
          <t>SCH-06-155</t>
        </is>
      </c>
      <c r="E1518" s="34" t="inlineStr">
        <is>
          <t>Stations package: executive reporting close - field start</t>
        </is>
      </c>
      <c r="F1518" s="34" t="inlineStr">
        <is>
          <t>UNSURE</t>
        </is>
      </c>
      <c r="G1518" s="34" t="inlineStr">
        <is>
          <t>APPROVED</t>
        </is>
      </c>
      <c r="H1518" s="34" t="inlineStr">
        <is>
          <t>New</t>
        </is>
      </c>
      <c r="I1518" s="34" t="inlineStr">
        <is>
          <t>Professional decision</t>
        </is>
      </c>
      <c r="J1518" s="34" t="inlineStr">
        <is>
          <t>Maya Chen, Owner Project Controls</t>
        </is>
      </c>
      <c r="K1518" s="34" t="inlineStr">
        <is>
          <t>Professional</t>
        </is>
      </c>
      <c r="L1518" s="39" t="inlineStr"/>
      <c r="M1518" s="34" t="inlineStr">
        <is>
          <t>Initial</t>
        </is>
      </c>
      <c r="N1518" s="34" t="inlineStr">
        <is>
          <t>Rev 0</t>
        </is>
      </c>
      <c r="O1518" s="34" t="inlineStr">
        <is>
          <t>R1055-v2</t>
        </is>
      </c>
      <c r="P1518" s="39" t="inlineStr"/>
      <c r="Q1518" s="14" t="inlineStr"/>
      <c r="R1518" s="39" t="inlineStr"/>
      <c r="S1518" s="39" t="inlineStr"/>
      <c r="T1518" s="34" t="inlineStr">
        <is>
          <t>Group decision (182 records sharing one decision state)</t>
        </is>
      </c>
      <c r="U1518" s="39" t="inlineStr"/>
      <c r="V1518" s="14" t="inlineStr"/>
      <c r="W1518" s="14" t="inlineStr"/>
    </row>
    <row r="1519" ht="64" customHeight="1">
      <c r="A1519" s="34" t="inlineStr">
        <is>
          <t>UNSURE</t>
        </is>
      </c>
      <c r="B1519" s="39" t="inlineStr"/>
      <c r="C1519" s="34" t="inlineStr">
        <is>
          <t>Contractor Programme</t>
        </is>
      </c>
      <c r="D1519" s="34" t="inlineStr">
        <is>
          <t>SCH-06-156</t>
        </is>
      </c>
      <c r="E1519" s="34" t="inlineStr">
        <is>
          <t>Systems package: permit coordination - installation</t>
        </is>
      </c>
      <c r="F1519" s="34" t="inlineStr">
        <is>
          <t>UNSURE</t>
        </is>
      </c>
      <c r="G1519" s="34" t="inlineStr">
        <is>
          <t>APPROVED</t>
        </is>
      </c>
      <c r="H1519" s="34" t="inlineStr">
        <is>
          <t>New</t>
        </is>
      </c>
      <c r="I1519" s="34" t="inlineStr">
        <is>
          <t>Professional decision</t>
        </is>
      </c>
      <c r="J1519" s="34" t="inlineStr">
        <is>
          <t>Maya Chen, Owner Project Controls</t>
        </is>
      </c>
      <c r="K1519" s="34" t="inlineStr">
        <is>
          <t>Professional</t>
        </is>
      </c>
      <c r="L1519" s="39" t="inlineStr"/>
      <c r="M1519" s="34" t="inlineStr">
        <is>
          <t>Initial</t>
        </is>
      </c>
      <c r="N1519" s="34" t="inlineStr">
        <is>
          <t>Rev 0</t>
        </is>
      </c>
      <c r="O1519" s="34" t="inlineStr">
        <is>
          <t>R1056-v2</t>
        </is>
      </c>
      <c r="P1519" s="39" t="inlineStr"/>
      <c r="Q1519" s="14" t="inlineStr"/>
      <c r="R1519" s="39" t="inlineStr"/>
      <c r="S1519" s="39" t="inlineStr"/>
      <c r="T1519" s="34" t="inlineStr">
        <is>
          <t>Group decision (182 records sharing one decision state)</t>
        </is>
      </c>
      <c r="U1519" s="39" t="inlineStr"/>
      <c r="V1519" s="14" t="inlineStr"/>
      <c r="W1519" s="14" t="inlineStr"/>
    </row>
    <row r="1520" ht="64" customHeight="1">
      <c r="A1520" s="34" t="inlineStr">
        <is>
          <t>UNSURE</t>
        </is>
      </c>
      <c r="B1520" s="39" t="inlineStr"/>
      <c r="C1520" s="34" t="inlineStr">
        <is>
          <t>Contractor Programme</t>
        </is>
      </c>
      <c r="D1520" s="34" t="inlineStr">
        <is>
          <t>SCH-06-157</t>
        </is>
      </c>
      <c r="E1520" s="34" t="inlineStr">
        <is>
          <t>Fleet package: delivery risk workshop - inspection</t>
        </is>
      </c>
      <c r="F1520" s="34" t="inlineStr">
        <is>
          <t>UNSURE</t>
        </is>
      </c>
      <c r="G1520" s="34" t="inlineStr">
        <is>
          <t>APPROVED</t>
        </is>
      </c>
      <c r="H1520" s="34" t="inlineStr">
        <is>
          <t>New</t>
        </is>
      </c>
      <c r="I1520" s="34" t="inlineStr">
        <is>
          <t>Professional decision</t>
        </is>
      </c>
      <c r="J1520" s="34" t="inlineStr">
        <is>
          <t>Maya Chen, Owner Project Controls</t>
        </is>
      </c>
      <c r="K1520" s="34" t="inlineStr">
        <is>
          <t>Professional</t>
        </is>
      </c>
      <c r="L1520" s="39" t="inlineStr"/>
      <c r="M1520" s="34" t="inlineStr">
        <is>
          <t>Initial</t>
        </is>
      </c>
      <c r="N1520" s="34" t="inlineStr">
        <is>
          <t>Rev 0</t>
        </is>
      </c>
      <c r="O1520" s="34" t="inlineStr">
        <is>
          <t>R1057-v2</t>
        </is>
      </c>
      <c r="P1520" s="39" t="inlineStr"/>
      <c r="Q1520" s="14" t="inlineStr"/>
      <c r="R1520" s="39" t="inlineStr"/>
      <c r="S1520" s="39" t="inlineStr"/>
      <c r="T1520" s="34" t="inlineStr">
        <is>
          <t>Group decision (182 records sharing one decision state)</t>
        </is>
      </c>
      <c r="U1520" s="39" t="inlineStr"/>
      <c r="V1520" s="14" t="inlineStr"/>
      <c r="W1520" s="14" t="inlineStr"/>
    </row>
    <row r="1521" ht="64" customHeight="1">
      <c r="A1521" s="34" t="inlineStr">
        <is>
          <t>UNSURE</t>
        </is>
      </c>
      <c r="B1521" s="39" t="inlineStr"/>
      <c r="C1521" s="34" t="inlineStr">
        <is>
          <t>Contractor Programme</t>
        </is>
      </c>
      <c r="D1521" s="34" t="inlineStr">
        <is>
          <t>SCH-06-158</t>
        </is>
      </c>
      <c r="E1521" s="34" t="inlineStr">
        <is>
          <t>Program office: monthly controls cut-off - turnover</t>
        </is>
      </c>
      <c r="F1521" s="34" t="inlineStr">
        <is>
          <t>UNSURE</t>
        </is>
      </c>
      <c r="G1521" s="34" t="inlineStr">
        <is>
          <t>APPROVED</t>
        </is>
      </c>
      <c r="H1521" s="34" t="inlineStr">
        <is>
          <t>New</t>
        </is>
      </c>
      <c r="I1521" s="34" t="inlineStr">
        <is>
          <t>Professional decision</t>
        </is>
      </c>
      <c r="J1521" s="34" t="inlineStr">
        <is>
          <t>Maya Chen, Owner Project Controls</t>
        </is>
      </c>
      <c r="K1521" s="34" t="inlineStr">
        <is>
          <t>Professional</t>
        </is>
      </c>
      <c r="L1521" s="39" t="inlineStr"/>
      <c r="M1521" s="34" t="inlineStr">
        <is>
          <t>Initial</t>
        </is>
      </c>
      <c r="N1521" s="34" t="inlineStr">
        <is>
          <t>Rev 0</t>
        </is>
      </c>
      <c r="O1521" s="34" t="inlineStr">
        <is>
          <t>R1058-v2</t>
        </is>
      </c>
      <c r="P1521" s="39" t="inlineStr"/>
      <c r="Q1521" s="14" t="inlineStr"/>
      <c r="R1521" s="39" t="inlineStr"/>
      <c r="S1521" s="39" t="inlineStr"/>
      <c r="T1521" s="34" t="inlineStr">
        <is>
          <t>Group decision (182 records sharing one decision state)</t>
        </is>
      </c>
      <c r="U1521" s="39" t="inlineStr"/>
      <c r="V1521" s="14" t="inlineStr"/>
      <c r="W1521" s="14" t="inlineStr"/>
    </row>
    <row r="1522" ht="64" customHeight="1">
      <c r="A1522" s="34" t="inlineStr">
        <is>
          <t>UNSURE</t>
        </is>
      </c>
      <c r="B1522" s="39" t="inlineStr"/>
      <c r="C1522" s="34" t="inlineStr">
        <is>
          <t>Contractor Programme</t>
        </is>
      </c>
      <c r="D1522" s="34" t="inlineStr">
        <is>
          <t>SCH-06-159</t>
        </is>
      </c>
      <c r="E1522" s="34" t="inlineStr">
        <is>
          <t>Civil package: stakeholder interface meeting - release</t>
        </is>
      </c>
      <c r="F1522" s="34" t="inlineStr">
        <is>
          <t>UNSURE</t>
        </is>
      </c>
      <c r="G1522" s="34" t="inlineStr">
        <is>
          <t>APPROVED</t>
        </is>
      </c>
      <c r="H1522" s="34" t="inlineStr">
        <is>
          <t>New</t>
        </is>
      </c>
      <c r="I1522" s="34" t="inlineStr">
        <is>
          <t>Professional decision</t>
        </is>
      </c>
      <c r="J1522" s="34" t="inlineStr">
        <is>
          <t>Maya Chen, Owner Project Controls</t>
        </is>
      </c>
      <c r="K1522" s="34" t="inlineStr">
        <is>
          <t>Professional</t>
        </is>
      </c>
      <c r="L1522" s="39" t="inlineStr"/>
      <c r="M1522" s="34" t="inlineStr">
        <is>
          <t>Initial</t>
        </is>
      </c>
      <c r="N1522" s="34" t="inlineStr">
        <is>
          <t>Rev 0</t>
        </is>
      </c>
      <c r="O1522" s="34" t="inlineStr">
        <is>
          <t>R1059-v2</t>
        </is>
      </c>
      <c r="P1522" s="39" t="inlineStr"/>
      <c r="Q1522" s="14" t="inlineStr"/>
      <c r="R1522" s="39" t="inlineStr"/>
      <c r="S1522" s="39" t="inlineStr"/>
      <c r="T1522" s="34" t="inlineStr">
        <is>
          <t>Group decision (182 records sharing one decision state)</t>
        </is>
      </c>
      <c r="U1522" s="39" t="inlineStr"/>
      <c r="V1522" s="14" t="inlineStr"/>
      <c r="W1522" s="14" t="inlineStr"/>
    </row>
    <row r="1523" ht="64" customHeight="1">
      <c r="A1523" s="34" t="inlineStr">
        <is>
          <t>UNSURE</t>
        </is>
      </c>
      <c r="B1523" s="39" t="inlineStr"/>
      <c r="C1523" s="34" t="inlineStr">
        <is>
          <t>Contractor Programme</t>
        </is>
      </c>
      <c r="D1523" s="34" t="inlineStr">
        <is>
          <t>SCH-06-160</t>
        </is>
      </c>
      <c r="E1523" s="34" t="inlineStr">
        <is>
          <t>Stations package: baseline change control - field start</t>
        </is>
      </c>
      <c r="F1523" s="34" t="inlineStr">
        <is>
          <t>UNSURE</t>
        </is>
      </c>
      <c r="G1523" s="34" t="inlineStr">
        <is>
          <t>APPROVED</t>
        </is>
      </c>
      <c r="H1523" s="34" t="inlineStr">
        <is>
          <t>New</t>
        </is>
      </c>
      <c r="I1523" s="34" t="inlineStr">
        <is>
          <t>Professional decision</t>
        </is>
      </c>
      <c r="J1523" s="34" t="inlineStr">
        <is>
          <t>Maya Chen, Owner Project Controls</t>
        </is>
      </c>
      <c r="K1523" s="34" t="inlineStr">
        <is>
          <t>Professional</t>
        </is>
      </c>
      <c r="L1523" s="39" t="inlineStr"/>
      <c r="M1523" s="34" t="inlineStr">
        <is>
          <t>Initial</t>
        </is>
      </c>
      <c r="N1523" s="34" t="inlineStr">
        <is>
          <t>Rev 0</t>
        </is>
      </c>
      <c r="O1523" s="34" t="inlineStr">
        <is>
          <t>R1060-v2</t>
        </is>
      </c>
      <c r="P1523" s="39" t="inlineStr"/>
      <c r="Q1523" s="14" t="inlineStr"/>
      <c r="R1523" s="39" t="inlineStr"/>
      <c r="S1523" s="39" t="inlineStr"/>
      <c r="T1523" s="34" t="inlineStr">
        <is>
          <t>Group decision (182 records sharing one decision state)</t>
        </is>
      </c>
      <c r="U1523" s="39" t="inlineStr"/>
      <c r="V1523" s="14" t="inlineStr"/>
      <c r="W1523" s="14" t="inlineStr"/>
    </row>
    <row r="1524" ht="64" customHeight="1">
      <c r="A1524" s="34" t="inlineStr">
        <is>
          <t>UNSURE</t>
        </is>
      </c>
      <c r="B1524" s="39" t="inlineStr"/>
      <c r="C1524" s="34" t="inlineStr">
        <is>
          <t>Contractor Programme</t>
        </is>
      </c>
      <c r="D1524" s="34" t="inlineStr">
        <is>
          <t>SCH-06-161</t>
        </is>
      </c>
      <c r="E1524" s="34" t="inlineStr">
        <is>
          <t>Systems package: commercial change review - installation</t>
        </is>
      </c>
      <c r="F1524" s="34" t="inlineStr">
        <is>
          <t>UNSURE</t>
        </is>
      </c>
      <c r="G1524" s="34" t="inlineStr">
        <is>
          <t>APPROVED</t>
        </is>
      </c>
      <c r="H1524" s="34" t="inlineStr">
        <is>
          <t>New</t>
        </is>
      </c>
      <c r="I1524" s="34" t="inlineStr">
        <is>
          <t>Professional decision</t>
        </is>
      </c>
      <c r="J1524" s="34" t="inlineStr">
        <is>
          <t>Maya Chen, Owner Project Controls</t>
        </is>
      </c>
      <c r="K1524" s="34" t="inlineStr">
        <is>
          <t>Professional</t>
        </is>
      </c>
      <c r="L1524" s="39" t="inlineStr"/>
      <c r="M1524" s="34" t="inlineStr">
        <is>
          <t>Initial</t>
        </is>
      </c>
      <c r="N1524" s="34" t="inlineStr">
        <is>
          <t>Rev 0</t>
        </is>
      </c>
      <c r="O1524" s="34" t="inlineStr">
        <is>
          <t>R1061-v2</t>
        </is>
      </c>
      <c r="P1524" s="39" t="inlineStr"/>
      <c r="Q1524" s="14" t="inlineStr"/>
      <c r="R1524" s="39" t="inlineStr"/>
      <c r="S1524" s="39" t="inlineStr"/>
      <c r="T1524" s="34" t="inlineStr">
        <is>
          <t>Group decision (182 records sharing one decision state)</t>
        </is>
      </c>
      <c r="U1524" s="39" t="inlineStr"/>
      <c r="V1524" s="14" t="inlineStr"/>
      <c r="W1524" s="14" t="inlineStr"/>
    </row>
    <row r="1525" ht="64" customHeight="1">
      <c r="A1525" s="34" t="inlineStr">
        <is>
          <t>UNSURE</t>
        </is>
      </c>
      <c r="B1525" s="39" t="inlineStr"/>
      <c r="C1525" s="34" t="inlineStr">
        <is>
          <t>Contractor Programme</t>
        </is>
      </c>
      <c r="D1525" s="34" t="inlineStr">
        <is>
          <t>SCH-06-162</t>
        </is>
      </c>
      <c r="E1525" s="34" t="inlineStr">
        <is>
          <t>Fleet package: design-package integration review - inspection</t>
        </is>
      </c>
      <c r="F1525" s="34" t="inlineStr">
        <is>
          <t>UNSURE</t>
        </is>
      </c>
      <c r="G1525" s="34" t="inlineStr">
        <is>
          <t>APPROVED</t>
        </is>
      </c>
      <c r="H1525" s="34" t="inlineStr">
        <is>
          <t>New</t>
        </is>
      </c>
      <c r="I1525" s="34" t="inlineStr">
        <is>
          <t>Professional decision</t>
        </is>
      </c>
      <c r="J1525" s="34" t="inlineStr">
        <is>
          <t>Maya Chen, Owner Project Controls</t>
        </is>
      </c>
      <c r="K1525" s="34" t="inlineStr">
        <is>
          <t>Professional</t>
        </is>
      </c>
      <c r="L1525" s="39" t="inlineStr"/>
      <c r="M1525" s="34" t="inlineStr">
        <is>
          <t>Initial</t>
        </is>
      </c>
      <c r="N1525" s="34" t="inlineStr">
        <is>
          <t>Rev 0</t>
        </is>
      </c>
      <c r="O1525" s="34" t="inlineStr">
        <is>
          <t>R1062-v2</t>
        </is>
      </c>
      <c r="P1525" s="39" t="inlineStr"/>
      <c r="Q1525" s="14" t="inlineStr"/>
      <c r="R1525" s="39" t="inlineStr"/>
      <c r="S1525" s="39" t="inlineStr"/>
      <c r="T1525" s="34" t="inlineStr">
        <is>
          <t>Group decision (182 records sharing one decision state)</t>
        </is>
      </c>
      <c r="U1525" s="39" t="inlineStr"/>
      <c r="V1525" s="14" t="inlineStr"/>
      <c r="W1525" s="14" t="inlineStr"/>
    </row>
    <row r="1526" ht="64" customHeight="1">
      <c r="A1526" s="34" t="inlineStr">
        <is>
          <t>UNSURE</t>
        </is>
      </c>
      <c r="B1526" s="39" t="inlineStr"/>
      <c r="C1526" s="34" t="inlineStr">
        <is>
          <t>Contractor Programme</t>
        </is>
      </c>
      <c r="D1526" s="34" t="inlineStr">
        <is>
          <t>SCH-06-163</t>
        </is>
      </c>
      <c r="E1526" s="34" t="inlineStr">
        <is>
          <t>Program office: executive reporting close - turnover</t>
        </is>
      </c>
      <c r="F1526" s="34" t="inlineStr">
        <is>
          <t>UNSURE</t>
        </is>
      </c>
      <c r="G1526" s="34" t="inlineStr">
        <is>
          <t>APPROVED</t>
        </is>
      </c>
      <c r="H1526" s="34" t="inlineStr">
        <is>
          <t>New</t>
        </is>
      </c>
      <c r="I1526" s="34" t="inlineStr">
        <is>
          <t>Professional decision</t>
        </is>
      </c>
      <c r="J1526" s="34" t="inlineStr">
        <is>
          <t>Maya Chen, Owner Project Controls</t>
        </is>
      </c>
      <c r="K1526" s="34" t="inlineStr">
        <is>
          <t>Professional</t>
        </is>
      </c>
      <c r="L1526" s="39" t="inlineStr"/>
      <c r="M1526" s="34" t="inlineStr">
        <is>
          <t>Initial</t>
        </is>
      </c>
      <c r="N1526" s="34" t="inlineStr">
        <is>
          <t>Rev 0</t>
        </is>
      </c>
      <c r="O1526" s="34" t="inlineStr">
        <is>
          <t>R1063-v2</t>
        </is>
      </c>
      <c r="P1526" s="39" t="inlineStr"/>
      <c r="Q1526" s="14" t="inlineStr"/>
      <c r="R1526" s="39" t="inlineStr"/>
      <c r="S1526" s="39" t="inlineStr"/>
      <c r="T1526" s="34" t="inlineStr">
        <is>
          <t>Group decision (182 records sharing one decision state)</t>
        </is>
      </c>
      <c r="U1526" s="39" t="inlineStr"/>
      <c r="V1526" s="14" t="inlineStr"/>
      <c r="W1526" s="14" t="inlineStr"/>
    </row>
    <row r="1527" ht="64" customHeight="1">
      <c r="A1527" s="34" t="inlineStr">
        <is>
          <t>UNSURE</t>
        </is>
      </c>
      <c r="B1527" s="39" t="inlineStr"/>
      <c r="C1527" s="34" t="inlineStr">
        <is>
          <t>Contractor Programme</t>
        </is>
      </c>
      <c r="D1527" s="34" t="inlineStr">
        <is>
          <t>SCH-06-164</t>
        </is>
      </c>
      <c r="E1527" s="34" t="inlineStr">
        <is>
          <t>Civil package: permit coordination - release</t>
        </is>
      </c>
      <c r="F1527" s="34" t="inlineStr">
        <is>
          <t>UNSURE</t>
        </is>
      </c>
      <c r="G1527" s="34" t="inlineStr">
        <is>
          <t>APPROVED</t>
        </is>
      </c>
      <c r="H1527" s="34" t="inlineStr">
        <is>
          <t>New</t>
        </is>
      </c>
      <c r="I1527" s="34" t="inlineStr">
        <is>
          <t>Professional decision</t>
        </is>
      </c>
      <c r="J1527" s="34" t="inlineStr">
        <is>
          <t>Maya Chen, Owner Project Controls</t>
        </is>
      </c>
      <c r="K1527" s="34" t="inlineStr">
        <is>
          <t>Professional</t>
        </is>
      </c>
      <c r="L1527" s="39" t="inlineStr"/>
      <c r="M1527" s="34" t="inlineStr">
        <is>
          <t>Initial</t>
        </is>
      </c>
      <c r="N1527" s="34" t="inlineStr">
        <is>
          <t>Rev 0</t>
        </is>
      </c>
      <c r="O1527" s="34" t="inlineStr">
        <is>
          <t>R1064-v2</t>
        </is>
      </c>
      <c r="P1527" s="39" t="inlineStr"/>
      <c r="Q1527" s="14" t="inlineStr"/>
      <c r="R1527" s="39" t="inlineStr"/>
      <c r="S1527" s="39" t="inlineStr"/>
      <c r="T1527" s="34" t="inlineStr">
        <is>
          <t>Group decision (182 records sharing one decision state)</t>
        </is>
      </c>
      <c r="U1527" s="39" t="inlineStr"/>
      <c r="V1527" s="14" t="inlineStr"/>
      <c r="W1527" s="14" t="inlineStr"/>
    </row>
    <row r="1528" ht="64" customHeight="1">
      <c r="A1528" s="34" t="inlineStr">
        <is>
          <t>UNSURE</t>
        </is>
      </c>
      <c r="B1528" s="39" t="inlineStr"/>
      <c r="C1528" s="34" t="inlineStr">
        <is>
          <t>Contractor Programme</t>
        </is>
      </c>
      <c r="D1528" s="34" t="inlineStr">
        <is>
          <t>SCH-06-165</t>
        </is>
      </c>
      <c r="E1528" s="34" t="inlineStr">
        <is>
          <t>Stations package: delivery risk workshop - field start</t>
        </is>
      </c>
      <c r="F1528" s="34" t="inlineStr">
        <is>
          <t>UNSURE</t>
        </is>
      </c>
      <c r="G1528" s="34" t="inlineStr">
        <is>
          <t>APPROVED</t>
        </is>
      </c>
      <c r="H1528" s="34" t="inlineStr">
        <is>
          <t>New</t>
        </is>
      </c>
      <c r="I1528" s="34" t="inlineStr">
        <is>
          <t>Professional decision</t>
        </is>
      </c>
      <c r="J1528" s="34" t="inlineStr">
        <is>
          <t>Maya Chen, Owner Project Controls</t>
        </is>
      </c>
      <c r="K1528" s="34" t="inlineStr">
        <is>
          <t>Professional</t>
        </is>
      </c>
      <c r="L1528" s="39" t="inlineStr"/>
      <c r="M1528" s="34" t="inlineStr">
        <is>
          <t>Initial</t>
        </is>
      </c>
      <c r="N1528" s="34" t="inlineStr">
        <is>
          <t>Rev 0</t>
        </is>
      </c>
      <c r="O1528" s="34" t="inlineStr">
        <is>
          <t>R1065-v2</t>
        </is>
      </c>
      <c r="P1528" s="39" t="inlineStr"/>
      <c r="Q1528" s="14" t="inlineStr"/>
      <c r="R1528" s="39" t="inlineStr"/>
      <c r="S1528" s="39" t="inlineStr"/>
      <c r="T1528" s="34" t="inlineStr">
        <is>
          <t>Group decision (182 records sharing one decision state)</t>
        </is>
      </c>
      <c r="U1528" s="39" t="inlineStr"/>
      <c r="V1528" s="14" t="inlineStr"/>
      <c r="W1528" s="14" t="inlineStr"/>
    </row>
    <row r="1529" ht="64" customHeight="1">
      <c r="A1529" s="34" t="inlineStr">
        <is>
          <t>UNSURE</t>
        </is>
      </c>
      <c r="B1529" s="39" t="inlineStr"/>
      <c r="C1529" s="34" t="inlineStr">
        <is>
          <t>Contractor Programme</t>
        </is>
      </c>
      <c r="D1529" s="34" t="inlineStr">
        <is>
          <t>SCH-06-166</t>
        </is>
      </c>
      <c r="E1529" s="34" t="inlineStr">
        <is>
          <t>Systems package: monthly controls cut-off - installation</t>
        </is>
      </c>
      <c r="F1529" s="34" t="inlineStr">
        <is>
          <t>UNSURE</t>
        </is>
      </c>
      <c r="G1529" s="34" t="inlineStr">
        <is>
          <t>APPROVED</t>
        </is>
      </c>
      <c r="H1529" s="34" t="inlineStr">
        <is>
          <t>New</t>
        </is>
      </c>
      <c r="I1529" s="34" t="inlineStr">
        <is>
          <t>Professional decision</t>
        </is>
      </c>
      <c r="J1529" s="34" t="inlineStr">
        <is>
          <t>Maya Chen, Owner Project Controls</t>
        </is>
      </c>
      <c r="K1529" s="34" t="inlineStr">
        <is>
          <t>Professional</t>
        </is>
      </c>
      <c r="L1529" s="39" t="inlineStr"/>
      <c r="M1529" s="34" t="inlineStr">
        <is>
          <t>Initial</t>
        </is>
      </c>
      <c r="N1529" s="34" t="inlineStr">
        <is>
          <t>Rev 0</t>
        </is>
      </c>
      <c r="O1529" s="34" t="inlineStr">
        <is>
          <t>R1066-v2</t>
        </is>
      </c>
      <c r="P1529" s="39" t="inlineStr"/>
      <c r="Q1529" s="14" t="inlineStr"/>
      <c r="R1529" s="39" t="inlineStr"/>
      <c r="S1529" s="39" t="inlineStr"/>
      <c r="T1529" s="34" t="inlineStr">
        <is>
          <t>Group decision (182 records sharing one decision state)</t>
        </is>
      </c>
      <c r="U1529" s="39" t="inlineStr"/>
      <c r="V1529" s="14" t="inlineStr"/>
      <c r="W1529" s="14" t="inlineStr"/>
    </row>
    <row r="1530" ht="64" customHeight="1">
      <c r="A1530" s="34" t="inlineStr">
        <is>
          <t>UNSURE</t>
        </is>
      </c>
      <c r="B1530" s="39" t="inlineStr"/>
      <c r="C1530" s="34" t="inlineStr">
        <is>
          <t>Contractor Programme</t>
        </is>
      </c>
      <c r="D1530" s="34" t="inlineStr">
        <is>
          <t>SCH-06-167</t>
        </is>
      </c>
      <c r="E1530" s="34" t="inlineStr">
        <is>
          <t>Fleet package: stakeholder interface meeting - inspection</t>
        </is>
      </c>
      <c r="F1530" s="34" t="inlineStr">
        <is>
          <t>UNSURE</t>
        </is>
      </c>
      <c r="G1530" s="34" t="inlineStr">
        <is>
          <t>APPROVED</t>
        </is>
      </c>
      <c r="H1530" s="34" t="inlineStr">
        <is>
          <t>New</t>
        </is>
      </c>
      <c r="I1530" s="34" t="inlineStr">
        <is>
          <t>Professional decision</t>
        </is>
      </c>
      <c r="J1530" s="34" t="inlineStr">
        <is>
          <t>Maya Chen, Owner Project Controls</t>
        </is>
      </c>
      <c r="K1530" s="34" t="inlineStr">
        <is>
          <t>Professional</t>
        </is>
      </c>
      <c r="L1530" s="39" t="inlineStr"/>
      <c r="M1530" s="34" t="inlineStr">
        <is>
          <t>Initial</t>
        </is>
      </c>
      <c r="N1530" s="34" t="inlineStr">
        <is>
          <t>Rev 0</t>
        </is>
      </c>
      <c r="O1530" s="34" t="inlineStr">
        <is>
          <t>R1067-v2</t>
        </is>
      </c>
      <c r="P1530" s="39" t="inlineStr"/>
      <c r="Q1530" s="14" t="inlineStr"/>
      <c r="R1530" s="39" t="inlineStr"/>
      <c r="S1530" s="39" t="inlineStr"/>
      <c r="T1530" s="34" t="inlineStr">
        <is>
          <t>Group decision (182 records sharing one decision state)</t>
        </is>
      </c>
      <c r="U1530" s="39" t="inlineStr"/>
      <c r="V1530" s="14" t="inlineStr"/>
      <c r="W1530" s="14" t="inlineStr"/>
    </row>
    <row r="1531" ht="64" customHeight="1">
      <c r="A1531" s="34" t="inlineStr">
        <is>
          <t>UNSURE</t>
        </is>
      </c>
      <c r="B1531" s="39" t="inlineStr"/>
      <c r="C1531" s="34" t="inlineStr">
        <is>
          <t>Contractor Programme</t>
        </is>
      </c>
      <c r="D1531" s="34" t="inlineStr">
        <is>
          <t>SCH-06-168</t>
        </is>
      </c>
      <c r="E1531" s="34" t="inlineStr">
        <is>
          <t>Program office: baseline change control - turnover</t>
        </is>
      </c>
      <c r="F1531" s="34" t="inlineStr">
        <is>
          <t>UNSURE</t>
        </is>
      </c>
      <c r="G1531" s="34" t="inlineStr">
        <is>
          <t>APPROVED</t>
        </is>
      </c>
      <c r="H1531" s="34" t="inlineStr">
        <is>
          <t>New</t>
        </is>
      </c>
      <c r="I1531" s="34" t="inlineStr">
        <is>
          <t>Professional decision</t>
        </is>
      </c>
      <c r="J1531" s="34" t="inlineStr">
        <is>
          <t>Maya Chen, Owner Project Controls</t>
        </is>
      </c>
      <c r="K1531" s="34" t="inlineStr">
        <is>
          <t>Professional</t>
        </is>
      </c>
      <c r="L1531" s="39" t="inlineStr"/>
      <c r="M1531" s="34" t="inlineStr">
        <is>
          <t>Initial</t>
        </is>
      </c>
      <c r="N1531" s="34" t="inlineStr">
        <is>
          <t>Rev 0</t>
        </is>
      </c>
      <c r="O1531" s="34" t="inlineStr">
        <is>
          <t>R1068-v2</t>
        </is>
      </c>
      <c r="P1531" s="39" t="inlineStr"/>
      <c r="Q1531" s="14" t="inlineStr"/>
      <c r="R1531" s="39" t="inlineStr"/>
      <c r="S1531" s="39" t="inlineStr"/>
      <c r="T1531" s="34" t="inlineStr">
        <is>
          <t>Group decision (182 records sharing one decision state)</t>
        </is>
      </c>
      <c r="U1531" s="39" t="inlineStr"/>
      <c r="V1531" s="14" t="inlineStr"/>
      <c r="W1531" s="14" t="inlineStr"/>
    </row>
    <row r="1532" ht="64" customHeight="1">
      <c r="A1532" s="34" t="inlineStr">
        <is>
          <t>UNSURE</t>
        </is>
      </c>
      <c r="B1532" s="39" t="inlineStr"/>
      <c r="C1532" s="34" t="inlineStr">
        <is>
          <t>Contractor Programme</t>
        </is>
      </c>
      <c r="D1532" s="34" t="inlineStr">
        <is>
          <t>SCH-06-169</t>
        </is>
      </c>
      <c r="E1532" s="34" t="inlineStr">
        <is>
          <t>Civil package: commercial change review - release</t>
        </is>
      </c>
      <c r="F1532" s="34" t="inlineStr">
        <is>
          <t>UNSURE</t>
        </is>
      </c>
      <c r="G1532" s="34" t="inlineStr">
        <is>
          <t>APPROVED</t>
        </is>
      </c>
      <c r="H1532" s="34" t="inlineStr">
        <is>
          <t>New</t>
        </is>
      </c>
      <c r="I1532" s="34" t="inlineStr">
        <is>
          <t>Professional decision</t>
        </is>
      </c>
      <c r="J1532" s="34" t="inlineStr">
        <is>
          <t>Maya Chen, Owner Project Controls</t>
        </is>
      </c>
      <c r="K1532" s="34" t="inlineStr">
        <is>
          <t>Professional</t>
        </is>
      </c>
      <c r="L1532" s="39" t="inlineStr"/>
      <c r="M1532" s="34" t="inlineStr">
        <is>
          <t>Initial</t>
        </is>
      </c>
      <c r="N1532" s="34" t="inlineStr">
        <is>
          <t>Rev 0</t>
        </is>
      </c>
      <c r="O1532" s="34" t="inlineStr">
        <is>
          <t>R1069-v2</t>
        </is>
      </c>
      <c r="P1532" s="39" t="inlineStr"/>
      <c r="Q1532" s="14" t="inlineStr"/>
      <c r="R1532" s="39" t="inlineStr"/>
      <c r="S1532" s="39" t="inlineStr"/>
      <c r="T1532" s="34" t="inlineStr">
        <is>
          <t>Group decision (182 records sharing one decision state)</t>
        </is>
      </c>
      <c r="U1532" s="39" t="inlineStr"/>
      <c r="V1532" s="14" t="inlineStr"/>
      <c r="W1532" s="14" t="inlineStr"/>
    </row>
    <row r="1533" ht="64" customHeight="1">
      <c r="A1533" s="34" t="inlineStr">
        <is>
          <t>UNSURE</t>
        </is>
      </c>
      <c r="B1533" s="39" t="inlineStr"/>
      <c r="C1533" s="34" t="inlineStr">
        <is>
          <t>Contractor Programme</t>
        </is>
      </c>
      <c r="D1533" s="34" t="inlineStr">
        <is>
          <t>SCH-06-170</t>
        </is>
      </c>
      <c r="E1533" s="34" t="inlineStr">
        <is>
          <t>Stations package: design-package integration review - field start</t>
        </is>
      </c>
      <c r="F1533" s="34" t="inlineStr">
        <is>
          <t>UNSURE</t>
        </is>
      </c>
      <c r="G1533" s="34" t="inlineStr">
        <is>
          <t>APPROVED</t>
        </is>
      </c>
      <c r="H1533" s="34" t="inlineStr">
        <is>
          <t>New</t>
        </is>
      </c>
      <c r="I1533" s="34" t="inlineStr">
        <is>
          <t>Professional decision</t>
        </is>
      </c>
      <c r="J1533" s="34" t="inlineStr">
        <is>
          <t>Maya Chen, Owner Project Controls</t>
        </is>
      </c>
      <c r="K1533" s="34" t="inlineStr">
        <is>
          <t>Professional</t>
        </is>
      </c>
      <c r="L1533" s="39" t="inlineStr"/>
      <c r="M1533" s="34" t="inlineStr">
        <is>
          <t>Initial</t>
        </is>
      </c>
      <c r="N1533" s="34" t="inlineStr">
        <is>
          <t>Rev 0</t>
        </is>
      </c>
      <c r="O1533" s="34" t="inlineStr">
        <is>
          <t>R1070-v2</t>
        </is>
      </c>
      <c r="P1533" s="39" t="inlineStr"/>
      <c r="Q1533" s="14" t="inlineStr"/>
      <c r="R1533" s="39" t="inlineStr"/>
      <c r="S1533" s="39" t="inlineStr"/>
      <c r="T1533" s="34" t="inlineStr">
        <is>
          <t>Group decision (182 records sharing one decision state)</t>
        </is>
      </c>
      <c r="U1533" s="39" t="inlineStr"/>
      <c r="V1533" s="14" t="inlineStr"/>
      <c r="W1533" s="14" t="inlineStr"/>
    </row>
    <row r="1534" ht="64" customHeight="1">
      <c r="A1534" s="34" t="inlineStr">
        <is>
          <t>UNSURE</t>
        </is>
      </c>
      <c r="B1534" s="39" t="inlineStr"/>
      <c r="C1534" s="34" t="inlineStr">
        <is>
          <t>Contractor Programme</t>
        </is>
      </c>
      <c r="D1534" s="34" t="inlineStr">
        <is>
          <t>SCH-06-171</t>
        </is>
      </c>
      <c r="E1534" s="34" t="inlineStr">
        <is>
          <t>Systems package: executive reporting close - installation</t>
        </is>
      </c>
      <c r="F1534" s="34" t="inlineStr">
        <is>
          <t>UNSURE</t>
        </is>
      </c>
      <c r="G1534" s="34" t="inlineStr">
        <is>
          <t>APPROVED</t>
        </is>
      </c>
      <c r="H1534" s="34" t="inlineStr">
        <is>
          <t>New</t>
        </is>
      </c>
      <c r="I1534" s="34" t="inlineStr">
        <is>
          <t>Professional decision</t>
        </is>
      </c>
      <c r="J1534" s="34" t="inlineStr">
        <is>
          <t>Maya Chen, Owner Project Controls</t>
        </is>
      </c>
      <c r="K1534" s="34" t="inlineStr">
        <is>
          <t>Professional</t>
        </is>
      </c>
      <c r="L1534" s="39" t="inlineStr"/>
      <c r="M1534" s="34" t="inlineStr">
        <is>
          <t>Initial</t>
        </is>
      </c>
      <c r="N1534" s="34" t="inlineStr">
        <is>
          <t>Rev 0</t>
        </is>
      </c>
      <c r="O1534" s="34" t="inlineStr">
        <is>
          <t>R1071-v2</t>
        </is>
      </c>
      <c r="P1534" s="39" t="inlineStr"/>
      <c r="Q1534" s="14" t="inlineStr"/>
      <c r="R1534" s="39" t="inlineStr"/>
      <c r="S1534" s="39" t="inlineStr"/>
      <c r="T1534" s="34" t="inlineStr">
        <is>
          <t>Group decision (182 records sharing one decision state)</t>
        </is>
      </c>
      <c r="U1534" s="39" t="inlineStr"/>
      <c r="V1534" s="14" t="inlineStr"/>
      <c r="W1534" s="14" t="inlineStr"/>
    </row>
    <row r="1535" ht="64" customHeight="1">
      <c r="A1535" s="34" t="inlineStr">
        <is>
          <t>UNSURE</t>
        </is>
      </c>
      <c r="B1535" s="39" t="inlineStr"/>
      <c r="C1535" s="34" t="inlineStr">
        <is>
          <t>Contractor Programme</t>
        </is>
      </c>
      <c r="D1535" s="34" t="inlineStr">
        <is>
          <t>SCH-06-172</t>
        </is>
      </c>
      <c r="E1535" s="34" t="inlineStr">
        <is>
          <t>Fleet package: permit coordination - inspection</t>
        </is>
      </c>
      <c r="F1535" s="34" t="inlineStr">
        <is>
          <t>UNSURE</t>
        </is>
      </c>
      <c r="G1535" s="34" t="inlineStr">
        <is>
          <t>APPROVED</t>
        </is>
      </c>
      <c r="H1535" s="34" t="inlineStr">
        <is>
          <t>New</t>
        </is>
      </c>
      <c r="I1535" s="34" t="inlineStr">
        <is>
          <t>Professional decision</t>
        </is>
      </c>
      <c r="J1535" s="34" t="inlineStr">
        <is>
          <t>Maya Chen, Owner Project Controls</t>
        </is>
      </c>
      <c r="K1535" s="34" t="inlineStr">
        <is>
          <t>Professional</t>
        </is>
      </c>
      <c r="L1535" s="39" t="inlineStr"/>
      <c r="M1535" s="34" t="inlineStr">
        <is>
          <t>Initial</t>
        </is>
      </c>
      <c r="N1535" s="34" t="inlineStr">
        <is>
          <t>Rev 0</t>
        </is>
      </c>
      <c r="O1535" s="34" t="inlineStr">
        <is>
          <t>R1072-v2</t>
        </is>
      </c>
      <c r="P1535" s="39" t="inlineStr"/>
      <c r="Q1535" s="14" t="inlineStr"/>
      <c r="R1535" s="39" t="inlineStr"/>
      <c r="S1535" s="39" t="inlineStr"/>
      <c r="T1535" s="34" t="inlineStr">
        <is>
          <t>Group decision (182 records sharing one decision state)</t>
        </is>
      </c>
      <c r="U1535" s="39" t="inlineStr"/>
      <c r="V1535" s="14" t="inlineStr"/>
      <c r="W1535" s="14" t="inlineStr"/>
    </row>
    <row r="1536" ht="64" customHeight="1">
      <c r="A1536" s="34" t="inlineStr">
        <is>
          <t>UNSURE</t>
        </is>
      </c>
      <c r="B1536" s="39" t="inlineStr"/>
      <c r="C1536" s="34" t="inlineStr">
        <is>
          <t>Contractor Programme</t>
        </is>
      </c>
      <c r="D1536" s="34" t="inlineStr">
        <is>
          <t>SCH-06-173</t>
        </is>
      </c>
      <c r="E1536" s="34" t="inlineStr">
        <is>
          <t>Program office: delivery risk workshop - turnover</t>
        </is>
      </c>
      <c r="F1536" s="34" t="inlineStr">
        <is>
          <t>UNSURE</t>
        </is>
      </c>
      <c r="G1536" s="34" t="inlineStr">
        <is>
          <t>APPROVED</t>
        </is>
      </c>
      <c r="H1536" s="34" t="inlineStr">
        <is>
          <t>New</t>
        </is>
      </c>
      <c r="I1536" s="34" t="inlineStr">
        <is>
          <t>Professional decision</t>
        </is>
      </c>
      <c r="J1536" s="34" t="inlineStr">
        <is>
          <t>Maya Chen, Owner Project Controls</t>
        </is>
      </c>
      <c r="K1536" s="34" t="inlineStr">
        <is>
          <t>Professional</t>
        </is>
      </c>
      <c r="L1536" s="39" t="inlineStr"/>
      <c r="M1536" s="34" t="inlineStr">
        <is>
          <t>Initial</t>
        </is>
      </c>
      <c r="N1536" s="34" t="inlineStr">
        <is>
          <t>Rev 0</t>
        </is>
      </c>
      <c r="O1536" s="34" t="inlineStr">
        <is>
          <t>R1073-v2</t>
        </is>
      </c>
      <c r="P1536" s="39" t="inlineStr"/>
      <c r="Q1536" s="14" t="inlineStr"/>
      <c r="R1536" s="39" t="inlineStr"/>
      <c r="S1536" s="39" t="inlineStr"/>
      <c r="T1536" s="34" t="inlineStr">
        <is>
          <t>Group decision (182 records sharing one decision state)</t>
        </is>
      </c>
      <c r="U1536" s="39" t="inlineStr"/>
      <c r="V1536" s="14" t="inlineStr"/>
      <c r="W1536" s="14" t="inlineStr"/>
    </row>
    <row r="1537" ht="64" customHeight="1">
      <c r="A1537" s="34" t="inlineStr">
        <is>
          <t>UNSURE</t>
        </is>
      </c>
      <c r="B1537" s="39" t="inlineStr"/>
      <c r="C1537" s="34" t="inlineStr">
        <is>
          <t>Contractor Programme</t>
        </is>
      </c>
      <c r="D1537" s="34" t="inlineStr">
        <is>
          <t>SCH-06-174</t>
        </is>
      </c>
      <c r="E1537" s="34" t="inlineStr">
        <is>
          <t>Civil package: monthly controls cut-off - release</t>
        </is>
      </c>
      <c r="F1537" s="34" t="inlineStr">
        <is>
          <t>UNSURE</t>
        </is>
      </c>
      <c r="G1537" s="34" t="inlineStr">
        <is>
          <t>APPROVED</t>
        </is>
      </c>
      <c r="H1537" s="34" t="inlineStr">
        <is>
          <t>New</t>
        </is>
      </c>
      <c r="I1537" s="34" t="inlineStr">
        <is>
          <t>Professional decision</t>
        </is>
      </c>
      <c r="J1537" s="34" t="inlineStr">
        <is>
          <t>Maya Chen, Owner Project Controls</t>
        </is>
      </c>
      <c r="K1537" s="34" t="inlineStr">
        <is>
          <t>Professional</t>
        </is>
      </c>
      <c r="L1537" s="39" t="inlineStr"/>
      <c r="M1537" s="34" t="inlineStr">
        <is>
          <t>Initial</t>
        </is>
      </c>
      <c r="N1537" s="34" t="inlineStr">
        <is>
          <t>Rev 0</t>
        </is>
      </c>
      <c r="O1537" s="34" t="inlineStr">
        <is>
          <t>R1074-v2</t>
        </is>
      </c>
      <c r="P1537" s="39" t="inlineStr"/>
      <c r="Q1537" s="14" t="inlineStr"/>
      <c r="R1537" s="39" t="inlineStr"/>
      <c r="S1537" s="39" t="inlineStr"/>
      <c r="T1537" s="34" t="inlineStr">
        <is>
          <t>Group decision (182 records sharing one decision state)</t>
        </is>
      </c>
      <c r="U1537" s="39" t="inlineStr"/>
      <c r="V1537" s="14" t="inlineStr"/>
      <c r="W1537" s="14" t="inlineStr"/>
    </row>
    <row r="1538" ht="64" customHeight="1">
      <c r="A1538" s="34" t="inlineStr">
        <is>
          <t>UNSURE</t>
        </is>
      </c>
      <c r="B1538" s="39" t="inlineStr"/>
      <c r="C1538" s="34" t="inlineStr">
        <is>
          <t>Contractor Programme</t>
        </is>
      </c>
      <c r="D1538" s="34" t="inlineStr">
        <is>
          <t>SCH-06-175</t>
        </is>
      </c>
      <c r="E1538" s="34" t="inlineStr">
        <is>
          <t>Stations package: stakeholder interface meeting - field start</t>
        </is>
      </c>
      <c r="F1538" s="34" t="inlineStr">
        <is>
          <t>UNSURE</t>
        </is>
      </c>
      <c r="G1538" s="34" t="inlineStr">
        <is>
          <t>APPROVED</t>
        </is>
      </c>
      <c r="H1538" s="34" t="inlineStr">
        <is>
          <t>New</t>
        </is>
      </c>
      <c r="I1538" s="34" t="inlineStr">
        <is>
          <t>Professional decision</t>
        </is>
      </c>
      <c r="J1538" s="34" t="inlineStr">
        <is>
          <t>Maya Chen, Owner Project Controls</t>
        </is>
      </c>
      <c r="K1538" s="34" t="inlineStr">
        <is>
          <t>Professional</t>
        </is>
      </c>
      <c r="L1538" s="39" t="inlineStr"/>
      <c r="M1538" s="34" t="inlineStr">
        <is>
          <t>Initial</t>
        </is>
      </c>
      <c r="N1538" s="34" t="inlineStr">
        <is>
          <t>Rev 0</t>
        </is>
      </c>
      <c r="O1538" s="34" t="inlineStr">
        <is>
          <t>R1075-v2</t>
        </is>
      </c>
      <c r="P1538" s="39" t="inlineStr"/>
      <c r="Q1538" s="14" t="inlineStr"/>
      <c r="R1538" s="39" t="inlineStr"/>
      <c r="S1538" s="39" t="inlineStr"/>
      <c r="T1538" s="34" t="inlineStr">
        <is>
          <t>Group decision (182 records sharing one decision state)</t>
        </is>
      </c>
      <c r="U1538" s="39" t="inlineStr"/>
      <c r="V1538" s="14" t="inlineStr"/>
      <c r="W1538" s="14" t="inlineStr"/>
    </row>
    <row r="1539" ht="64" customHeight="1">
      <c r="A1539" s="34" t="inlineStr">
        <is>
          <t>UNSURE</t>
        </is>
      </c>
      <c r="B1539" s="39" t="inlineStr"/>
      <c r="C1539" s="34" t="inlineStr">
        <is>
          <t>Contractor Programme</t>
        </is>
      </c>
      <c r="D1539" s="34" t="inlineStr">
        <is>
          <t>SCH-06-176</t>
        </is>
      </c>
      <c r="E1539" s="34" t="inlineStr">
        <is>
          <t>Systems package: baseline change control - installation</t>
        </is>
      </c>
      <c r="F1539" s="34" t="inlineStr">
        <is>
          <t>UNSURE</t>
        </is>
      </c>
      <c r="G1539" s="34" t="inlineStr">
        <is>
          <t>APPROVED</t>
        </is>
      </c>
      <c r="H1539" s="34" t="inlineStr">
        <is>
          <t>New</t>
        </is>
      </c>
      <c r="I1539" s="34" t="inlineStr">
        <is>
          <t>Professional decision</t>
        </is>
      </c>
      <c r="J1539" s="34" t="inlineStr">
        <is>
          <t>Maya Chen, Owner Project Controls</t>
        </is>
      </c>
      <c r="K1539" s="34" t="inlineStr">
        <is>
          <t>Professional</t>
        </is>
      </c>
      <c r="L1539" s="39" t="inlineStr"/>
      <c r="M1539" s="34" t="inlineStr">
        <is>
          <t>Initial</t>
        </is>
      </c>
      <c r="N1539" s="34" t="inlineStr">
        <is>
          <t>Rev 0</t>
        </is>
      </c>
      <c r="O1539" s="34" t="inlineStr">
        <is>
          <t>R1076-v2</t>
        </is>
      </c>
      <c r="P1539" s="39" t="inlineStr"/>
      <c r="Q1539" s="14" t="inlineStr"/>
      <c r="R1539" s="39" t="inlineStr"/>
      <c r="S1539" s="39" t="inlineStr"/>
      <c r="T1539" s="34" t="inlineStr">
        <is>
          <t>Group decision (182 records sharing one decision state)</t>
        </is>
      </c>
      <c r="U1539" s="39" t="inlineStr"/>
      <c r="V1539" s="14" t="inlineStr"/>
      <c r="W1539" s="14" t="inlineStr"/>
    </row>
    <row r="1540" ht="64" customHeight="1">
      <c r="A1540" s="34" t="inlineStr">
        <is>
          <t>UNSURE</t>
        </is>
      </c>
      <c r="B1540" s="39" t="inlineStr"/>
      <c r="C1540" s="34" t="inlineStr">
        <is>
          <t>Contractor Programme</t>
        </is>
      </c>
      <c r="D1540" s="34" t="inlineStr">
        <is>
          <t>SCH-06-177</t>
        </is>
      </c>
      <c r="E1540" s="34" t="inlineStr">
        <is>
          <t>Fleet package: commercial change review - inspection</t>
        </is>
      </c>
      <c r="F1540" s="34" t="inlineStr">
        <is>
          <t>UNSURE</t>
        </is>
      </c>
      <c r="G1540" s="34" t="inlineStr">
        <is>
          <t>APPROVED</t>
        </is>
      </c>
      <c r="H1540" s="34" t="inlineStr">
        <is>
          <t>New</t>
        </is>
      </c>
      <c r="I1540" s="34" t="inlineStr">
        <is>
          <t>Professional decision</t>
        </is>
      </c>
      <c r="J1540" s="34" t="inlineStr">
        <is>
          <t>Maya Chen, Owner Project Controls</t>
        </is>
      </c>
      <c r="K1540" s="34" t="inlineStr">
        <is>
          <t>Professional</t>
        </is>
      </c>
      <c r="L1540" s="39" t="inlineStr"/>
      <c r="M1540" s="34" t="inlineStr">
        <is>
          <t>Initial</t>
        </is>
      </c>
      <c r="N1540" s="34" t="inlineStr">
        <is>
          <t>Rev 0</t>
        </is>
      </c>
      <c r="O1540" s="34" t="inlineStr">
        <is>
          <t>R1077-v2</t>
        </is>
      </c>
      <c r="P1540" s="39" t="inlineStr"/>
      <c r="Q1540" s="14" t="inlineStr"/>
      <c r="R1540" s="39" t="inlineStr"/>
      <c r="S1540" s="39" t="inlineStr"/>
      <c r="T1540" s="34" t="inlineStr">
        <is>
          <t>Group decision (182 records sharing one decision state)</t>
        </is>
      </c>
      <c r="U1540" s="39" t="inlineStr"/>
      <c r="V1540" s="14" t="inlineStr"/>
      <c r="W1540" s="14" t="inlineStr"/>
    </row>
    <row r="1541" ht="64" customHeight="1">
      <c r="A1541" s="34" t="inlineStr">
        <is>
          <t>UNSURE</t>
        </is>
      </c>
      <c r="B1541" s="39" t="inlineStr"/>
      <c r="C1541" s="34" t="inlineStr">
        <is>
          <t>Contractor Programme</t>
        </is>
      </c>
      <c r="D1541" s="34" t="inlineStr">
        <is>
          <t>SCH-06-178</t>
        </is>
      </c>
      <c r="E1541" s="34" t="inlineStr">
        <is>
          <t>Program office: design-package integration review - turnover</t>
        </is>
      </c>
      <c r="F1541" s="34" t="inlineStr">
        <is>
          <t>UNSURE</t>
        </is>
      </c>
      <c r="G1541" s="34" t="inlineStr">
        <is>
          <t>APPROVED</t>
        </is>
      </c>
      <c r="H1541" s="34" t="inlineStr">
        <is>
          <t>New</t>
        </is>
      </c>
      <c r="I1541" s="34" t="inlineStr">
        <is>
          <t>Professional decision</t>
        </is>
      </c>
      <c r="J1541" s="34" t="inlineStr">
        <is>
          <t>Maya Chen, Owner Project Controls</t>
        </is>
      </c>
      <c r="K1541" s="34" t="inlineStr">
        <is>
          <t>Professional</t>
        </is>
      </c>
      <c r="L1541" s="39" t="inlineStr"/>
      <c r="M1541" s="34" t="inlineStr">
        <is>
          <t>Initial</t>
        </is>
      </c>
      <c r="N1541" s="34" t="inlineStr">
        <is>
          <t>Rev 0</t>
        </is>
      </c>
      <c r="O1541" s="34" t="inlineStr">
        <is>
          <t>R1078-v2</t>
        </is>
      </c>
      <c r="P1541" s="39" t="inlineStr"/>
      <c r="Q1541" s="14" t="inlineStr"/>
      <c r="R1541" s="39" t="inlineStr"/>
      <c r="S1541" s="39" t="inlineStr"/>
      <c r="T1541" s="34" t="inlineStr">
        <is>
          <t>Group decision (182 records sharing one decision state)</t>
        </is>
      </c>
      <c r="U1541" s="39" t="inlineStr"/>
      <c r="V1541" s="14" t="inlineStr"/>
      <c r="W1541" s="14" t="inlineStr"/>
    </row>
    <row r="1542" ht="64" customHeight="1">
      <c r="A1542" s="34" t="inlineStr">
        <is>
          <t>UNSURE</t>
        </is>
      </c>
      <c r="B1542" s="39" t="inlineStr"/>
      <c r="C1542" s="34" t="inlineStr">
        <is>
          <t>Contractor Programme</t>
        </is>
      </c>
      <c r="D1542" s="34" t="inlineStr">
        <is>
          <t>SCH-06-179</t>
        </is>
      </c>
      <c r="E1542" s="34" t="inlineStr">
        <is>
          <t>Civil package: executive reporting close - release</t>
        </is>
      </c>
      <c r="F1542" s="34" t="inlineStr">
        <is>
          <t>UNSURE</t>
        </is>
      </c>
      <c r="G1542" s="34" t="inlineStr">
        <is>
          <t>APPROVED</t>
        </is>
      </c>
      <c r="H1542" s="34" t="inlineStr">
        <is>
          <t>New</t>
        </is>
      </c>
      <c r="I1542" s="34" t="inlineStr">
        <is>
          <t>Professional decision</t>
        </is>
      </c>
      <c r="J1542" s="34" t="inlineStr">
        <is>
          <t>Maya Chen, Owner Project Controls</t>
        </is>
      </c>
      <c r="K1542" s="34" t="inlineStr">
        <is>
          <t>Professional</t>
        </is>
      </c>
      <c r="L1542" s="39" t="inlineStr"/>
      <c r="M1542" s="34" t="inlineStr">
        <is>
          <t>Initial</t>
        </is>
      </c>
      <c r="N1542" s="34" t="inlineStr">
        <is>
          <t>Rev 0</t>
        </is>
      </c>
      <c r="O1542" s="34" t="inlineStr">
        <is>
          <t>R1079-v2</t>
        </is>
      </c>
      <c r="P1542" s="39" t="inlineStr"/>
      <c r="Q1542" s="14" t="inlineStr"/>
      <c r="R1542" s="39" t="inlineStr"/>
      <c r="S1542" s="39" t="inlineStr"/>
      <c r="T1542" s="34" t="inlineStr">
        <is>
          <t>Group decision (182 records sharing one decision state)</t>
        </is>
      </c>
      <c r="U1542" s="39" t="inlineStr"/>
      <c r="V1542" s="14" t="inlineStr"/>
      <c r="W1542" s="14" t="inlineStr"/>
    </row>
    <row r="1543" ht="64" customHeight="1">
      <c r="A1543" s="34" t="inlineStr">
        <is>
          <t>UNSURE</t>
        </is>
      </c>
      <c r="B1543" s="39" t="inlineStr"/>
      <c r="C1543" s="34" t="inlineStr">
        <is>
          <t>Contractor Programme</t>
        </is>
      </c>
      <c r="D1543" s="34" t="inlineStr">
        <is>
          <t>SCH-06-180</t>
        </is>
      </c>
      <c r="E1543" s="34" t="inlineStr">
        <is>
          <t>Stations package: permit coordination - field start</t>
        </is>
      </c>
      <c r="F1543" s="34" t="inlineStr">
        <is>
          <t>UNSURE</t>
        </is>
      </c>
      <c r="G1543" s="34" t="inlineStr">
        <is>
          <t>APPROVED</t>
        </is>
      </c>
      <c r="H1543" s="34" t="inlineStr">
        <is>
          <t>New</t>
        </is>
      </c>
      <c r="I1543" s="34" t="inlineStr">
        <is>
          <t>Professional decision</t>
        </is>
      </c>
      <c r="J1543" s="34" t="inlineStr">
        <is>
          <t>Maya Chen, Owner Project Controls</t>
        </is>
      </c>
      <c r="K1543" s="34" t="inlineStr">
        <is>
          <t>Professional</t>
        </is>
      </c>
      <c r="L1543" s="39" t="inlineStr"/>
      <c r="M1543" s="34" t="inlineStr">
        <is>
          <t>Initial</t>
        </is>
      </c>
      <c r="N1543" s="34" t="inlineStr">
        <is>
          <t>Rev 0</t>
        </is>
      </c>
      <c r="O1543" s="34" t="inlineStr">
        <is>
          <t>R1080-v2</t>
        </is>
      </c>
      <c r="P1543" s="39" t="inlineStr"/>
      <c r="Q1543" s="14" t="inlineStr"/>
      <c r="R1543" s="39" t="inlineStr"/>
      <c r="S1543" s="39" t="inlineStr"/>
      <c r="T1543" s="34" t="inlineStr">
        <is>
          <t>Group decision (182 records sharing one decision state)</t>
        </is>
      </c>
      <c r="U1543" s="39" t="inlineStr"/>
      <c r="V1543" s="14" t="inlineStr"/>
      <c r="W1543" s="14" t="inlineStr"/>
    </row>
    <row r="1544" ht="64" customHeight="1">
      <c r="A1544" s="34" t="inlineStr">
        <is>
          <t>UNSURE</t>
        </is>
      </c>
      <c r="B1544" s="39" t="inlineStr"/>
      <c r="C1544" s="34" t="inlineStr">
        <is>
          <t>Cost &amp; Forecast Control Accounts</t>
        </is>
      </c>
      <c r="D1544" s="34" t="inlineStr">
        <is>
          <t>CST-03-004</t>
        </is>
      </c>
      <c r="E1544" s="34" t="inlineStr">
        <is>
          <t>Systems - systems integration - professional services</t>
        </is>
      </c>
      <c r="F1544" s="34" t="inlineStr">
        <is>
          <t>UNSURE</t>
        </is>
      </c>
      <c r="G1544" s="34" t="inlineStr">
        <is>
          <t>APPROVED</t>
        </is>
      </c>
      <c r="H1544" s="34" t="inlineStr">
        <is>
          <t>New</t>
        </is>
      </c>
      <c r="I1544" s="34" t="inlineStr">
        <is>
          <t>Professional decision</t>
        </is>
      </c>
      <c r="J1544" s="34" t="inlineStr">
        <is>
          <t>Maya Chen, Owner Project Controls</t>
        </is>
      </c>
      <c r="K1544" s="34" t="inlineStr">
        <is>
          <t>Professional</t>
        </is>
      </c>
      <c r="L1544" s="39" t="inlineStr"/>
      <c r="M1544" s="34" t="inlineStr">
        <is>
          <t>Initial</t>
        </is>
      </c>
      <c r="N1544" s="34" t="inlineStr">
        <is>
          <t>Rev 0</t>
        </is>
      </c>
      <c r="O1544" s="34" t="inlineStr">
        <is>
          <t>R1246-v2</t>
        </is>
      </c>
      <c r="P1544" s="39" t="inlineStr"/>
      <c r="Q1544" s="14" t="inlineStr"/>
      <c r="R1544" s="39" t="inlineStr"/>
      <c r="S1544" s="39" t="inlineStr"/>
      <c r="T1544" s="34" t="inlineStr">
        <is>
          <t>Group decision (81 records sharing one decision state)</t>
        </is>
      </c>
      <c r="U1544" s="39" t="inlineStr"/>
      <c r="V1544" s="34" t="inlineStr">
        <is>
          <t>Cost Account = CA-3004</t>
        </is>
      </c>
      <c r="W1544" s="14" t="inlineStr"/>
    </row>
    <row r="1545" ht="64" customHeight="1">
      <c r="A1545" s="34" t="inlineStr">
        <is>
          <t>UNSURE</t>
        </is>
      </c>
      <c r="B1545" s="39" t="inlineStr"/>
      <c r="C1545" s="34" t="inlineStr">
        <is>
          <t>Cost &amp; Forecast Control Accounts</t>
        </is>
      </c>
      <c r="D1545" s="34" t="inlineStr">
        <is>
          <t>CST-05-001</t>
        </is>
      </c>
      <c r="E1545" s="34" t="inlineStr">
        <is>
          <t>Testing &amp; readiness - trial running - control account</t>
        </is>
      </c>
      <c r="F1545" s="34" t="inlineStr">
        <is>
          <t>UNSURE</t>
        </is>
      </c>
      <c r="G1545" s="34" t="inlineStr">
        <is>
          <t>APPROVED</t>
        </is>
      </c>
      <c r="H1545" s="34" t="inlineStr">
        <is>
          <t>New</t>
        </is>
      </c>
      <c r="I1545" s="34" t="inlineStr">
        <is>
          <t>Professional decision</t>
        </is>
      </c>
      <c r="J1545" s="34" t="inlineStr">
        <is>
          <t>Maya Chen, Owner Project Controls</t>
        </is>
      </c>
      <c r="K1545" s="34" t="inlineStr">
        <is>
          <t>Professional</t>
        </is>
      </c>
      <c r="L1545" s="39" t="inlineStr"/>
      <c r="M1545" s="34" t="inlineStr">
        <is>
          <t>Initial</t>
        </is>
      </c>
      <c r="N1545" s="34" t="inlineStr">
        <is>
          <t>Rev 0</t>
        </is>
      </c>
      <c r="O1545" s="34" t="inlineStr">
        <is>
          <t>R1403-v2</t>
        </is>
      </c>
      <c r="P1545" s="39" t="inlineStr"/>
      <c r="Q1545" s="14" t="inlineStr"/>
      <c r="R1545" s="39" t="inlineStr"/>
      <c r="S1545" s="39" t="inlineStr"/>
      <c r="T1545" s="34" t="inlineStr">
        <is>
          <t>Group decision (81 records sharing one decision state)</t>
        </is>
      </c>
      <c r="U1545" s="39" t="inlineStr"/>
      <c r="V1545" s="34" t="inlineStr">
        <is>
          <t>Cost Account = CA-5001</t>
        </is>
      </c>
      <c r="W1545" s="14" t="inlineStr"/>
    </row>
    <row r="1546" ht="64" customHeight="1">
      <c r="A1546" s="34" t="inlineStr">
        <is>
          <t>UNSURE</t>
        </is>
      </c>
      <c r="B1546" s="39" t="inlineStr"/>
      <c r="C1546" s="34" t="inlineStr">
        <is>
          <t>Cost &amp; Forecast Control Accounts</t>
        </is>
      </c>
      <c r="D1546" s="34" t="inlineStr">
        <is>
          <t>CST-05-002</t>
        </is>
      </c>
      <c r="E1546" s="34" t="inlineStr">
        <is>
          <t>Testing &amp; readiness - safety certification - control account</t>
        </is>
      </c>
      <c r="F1546" s="34" t="inlineStr">
        <is>
          <t>UNSURE</t>
        </is>
      </c>
      <c r="G1546" s="34" t="inlineStr">
        <is>
          <t>APPROVED</t>
        </is>
      </c>
      <c r="H1546" s="34" t="inlineStr">
        <is>
          <t>New</t>
        </is>
      </c>
      <c r="I1546" s="34" t="inlineStr">
        <is>
          <t>Professional decision</t>
        </is>
      </c>
      <c r="J1546" s="34" t="inlineStr">
        <is>
          <t>Maya Chen, Owner Project Controls</t>
        </is>
      </c>
      <c r="K1546" s="34" t="inlineStr">
        <is>
          <t>Professional</t>
        </is>
      </c>
      <c r="L1546" s="39" t="inlineStr"/>
      <c r="M1546" s="34" t="inlineStr">
        <is>
          <t>Initial</t>
        </is>
      </c>
      <c r="N1546" s="34" t="inlineStr">
        <is>
          <t>Rev 0</t>
        </is>
      </c>
      <c r="O1546" s="34" t="inlineStr">
        <is>
          <t>R1404-v2</t>
        </is>
      </c>
      <c r="P1546" s="39" t="inlineStr"/>
      <c r="Q1546" s="14" t="inlineStr"/>
      <c r="R1546" s="39" t="inlineStr"/>
      <c r="S1546" s="39" t="inlineStr"/>
      <c r="T1546" s="34" t="inlineStr">
        <is>
          <t>Group decision (81 records sharing one decision state)</t>
        </is>
      </c>
      <c r="U1546" s="39" t="inlineStr"/>
      <c r="V1546" s="34" t="inlineStr">
        <is>
          <t>Cost Account = CA-5002</t>
        </is>
      </c>
      <c r="W1546" s="14" t="inlineStr"/>
    </row>
    <row r="1547" ht="64" customHeight="1">
      <c r="A1547" s="34" t="inlineStr">
        <is>
          <t>UNSURE</t>
        </is>
      </c>
      <c r="B1547" s="39" t="inlineStr"/>
      <c r="C1547" s="34" t="inlineStr">
        <is>
          <t>Cost &amp; Forecast Control Accounts</t>
        </is>
      </c>
      <c r="D1547" s="34" t="inlineStr">
        <is>
          <t>CST-05-003</t>
        </is>
      </c>
      <c r="E1547" s="34" t="inlineStr">
        <is>
          <t>Testing &amp; readiness - defect closeout - control account</t>
        </is>
      </c>
      <c r="F1547" s="34" t="inlineStr">
        <is>
          <t>UNSURE</t>
        </is>
      </c>
      <c r="G1547" s="34" t="inlineStr">
        <is>
          <t>APPROVED</t>
        </is>
      </c>
      <c r="H1547" s="34" t="inlineStr">
        <is>
          <t>New</t>
        </is>
      </c>
      <c r="I1547" s="34" t="inlineStr">
        <is>
          <t>Professional decision</t>
        </is>
      </c>
      <c r="J1547" s="34" t="inlineStr">
        <is>
          <t>Maya Chen, Owner Project Controls</t>
        </is>
      </c>
      <c r="K1547" s="34" t="inlineStr">
        <is>
          <t>Professional</t>
        </is>
      </c>
      <c r="L1547" s="39" t="inlineStr"/>
      <c r="M1547" s="34" t="inlineStr">
        <is>
          <t>Initial</t>
        </is>
      </c>
      <c r="N1547" s="34" t="inlineStr">
        <is>
          <t>Rev 0</t>
        </is>
      </c>
      <c r="O1547" s="34" t="inlineStr">
        <is>
          <t>R1405-v2</t>
        </is>
      </c>
      <c r="P1547" s="39" t="inlineStr"/>
      <c r="Q1547" s="14" t="inlineStr"/>
      <c r="R1547" s="39" t="inlineStr"/>
      <c r="S1547" s="39" t="inlineStr"/>
      <c r="T1547" s="34" t="inlineStr">
        <is>
          <t>Group decision (81 records sharing one decision state)</t>
        </is>
      </c>
      <c r="U1547" s="39" t="inlineStr"/>
      <c r="V1547" s="34" t="inlineStr">
        <is>
          <t>Cost Account = CA-5003</t>
        </is>
      </c>
      <c r="W1547" s="14" t="inlineStr"/>
    </row>
    <row r="1548" ht="64" customHeight="1">
      <c r="A1548" s="34" t="inlineStr">
        <is>
          <t>UNSURE</t>
        </is>
      </c>
      <c r="B1548" s="39" t="inlineStr"/>
      <c r="C1548" s="34" t="inlineStr">
        <is>
          <t>Cost &amp; Forecast Control Accounts</t>
        </is>
      </c>
      <c r="D1548" s="34" t="inlineStr">
        <is>
          <t>CST-05-004</t>
        </is>
      </c>
      <c r="E1548" s="34" t="inlineStr">
        <is>
          <t>Testing &amp; readiness - test management - control account</t>
        </is>
      </c>
      <c r="F1548" s="34" t="inlineStr">
        <is>
          <t>UNSURE</t>
        </is>
      </c>
      <c r="G1548" s="34" t="inlineStr">
        <is>
          <t>APPROVED</t>
        </is>
      </c>
      <c r="H1548" s="34" t="inlineStr">
        <is>
          <t>New</t>
        </is>
      </c>
      <c r="I1548" s="34" t="inlineStr">
        <is>
          <t>Professional decision</t>
        </is>
      </c>
      <c r="J1548" s="34" t="inlineStr">
        <is>
          <t>Maya Chen, Owner Project Controls</t>
        </is>
      </c>
      <c r="K1548" s="34" t="inlineStr">
        <is>
          <t>Professional</t>
        </is>
      </c>
      <c r="L1548" s="39" t="inlineStr"/>
      <c r="M1548" s="34" t="inlineStr">
        <is>
          <t>Initial</t>
        </is>
      </c>
      <c r="N1548" s="34" t="inlineStr">
        <is>
          <t>Rev 0</t>
        </is>
      </c>
      <c r="O1548" s="34" t="inlineStr">
        <is>
          <t>R1406-v2</t>
        </is>
      </c>
      <c r="P1548" s="39" t="inlineStr"/>
      <c r="Q1548" s="14" t="inlineStr"/>
      <c r="R1548" s="39" t="inlineStr"/>
      <c r="S1548" s="39" t="inlineStr"/>
      <c r="T1548" s="34" t="inlineStr">
        <is>
          <t>Group decision (81 records sharing one decision state)</t>
        </is>
      </c>
      <c r="U1548" s="39" t="inlineStr"/>
      <c r="V1548" s="34" t="inlineStr">
        <is>
          <t>Cost Account = CA-5004</t>
        </is>
      </c>
      <c r="W1548" s="14" t="inlineStr"/>
    </row>
    <row r="1549" ht="64" customHeight="1">
      <c r="A1549" s="34" t="inlineStr">
        <is>
          <t>UNSURE</t>
        </is>
      </c>
      <c r="B1549" s="39" t="inlineStr"/>
      <c r="C1549" s="34" t="inlineStr">
        <is>
          <t>Cost &amp; Forecast Control Accounts</t>
        </is>
      </c>
      <c r="D1549" s="34" t="inlineStr">
        <is>
          <t>CST-05-005</t>
        </is>
      </c>
      <c r="E1549" s="34" t="inlineStr">
        <is>
          <t>Testing &amp; readiness - trial running - control account</t>
        </is>
      </c>
      <c r="F1549" s="34" t="inlineStr">
        <is>
          <t>UNSURE</t>
        </is>
      </c>
      <c r="G1549" s="34" t="inlineStr">
        <is>
          <t>APPROVED</t>
        </is>
      </c>
      <c r="H1549" s="34" t="inlineStr">
        <is>
          <t>New</t>
        </is>
      </c>
      <c r="I1549" s="34" t="inlineStr">
        <is>
          <t>Professional decision</t>
        </is>
      </c>
      <c r="J1549" s="34" t="inlineStr">
        <is>
          <t>Maya Chen, Owner Project Controls</t>
        </is>
      </c>
      <c r="K1549" s="34" t="inlineStr">
        <is>
          <t>Professional</t>
        </is>
      </c>
      <c r="L1549" s="39" t="inlineStr"/>
      <c r="M1549" s="34" t="inlineStr">
        <is>
          <t>Initial</t>
        </is>
      </c>
      <c r="N1549" s="34" t="inlineStr">
        <is>
          <t>Rev 0</t>
        </is>
      </c>
      <c r="O1549" s="34" t="inlineStr">
        <is>
          <t>R1407-v2</t>
        </is>
      </c>
      <c r="P1549" s="39" t="inlineStr"/>
      <c r="Q1549" s="14" t="inlineStr"/>
      <c r="R1549" s="39" t="inlineStr"/>
      <c r="S1549" s="39" t="inlineStr"/>
      <c r="T1549" s="34" t="inlineStr">
        <is>
          <t>Group decision (81 records sharing one decision state)</t>
        </is>
      </c>
      <c r="U1549" s="39" t="inlineStr"/>
      <c r="V1549" s="34" t="inlineStr">
        <is>
          <t>Cost Account = CA-5005</t>
        </is>
      </c>
      <c r="W1549" s="14" t="inlineStr"/>
    </row>
    <row r="1550" ht="64" customHeight="1">
      <c r="A1550" s="34" t="inlineStr">
        <is>
          <t>UNSURE</t>
        </is>
      </c>
      <c r="B1550" s="39" t="inlineStr"/>
      <c r="C1550" s="34" t="inlineStr">
        <is>
          <t>Cost &amp; Forecast Control Accounts</t>
        </is>
      </c>
      <c r="D1550" s="34" t="inlineStr">
        <is>
          <t>CST-05-006</t>
        </is>
      </c>
      <c r="E1550" s="34" t="inlineStr">
        <is>
          <t>Testing &amp; readiness - safety certification - control account</t>
        </is>
      </c>
      <c r="F1550" s="34" t="inlineStr">
        <is>
          <t>UNSURE</t>
        </is>
      </c>
      <c r="G1550" s="34" t="inlineStr">
        <is>
          <t>APPROVED</t>
        </is>
      </c>
      <c r="H1550" s="34" t="inlineStr">
        <is>
          <t>New</t>
        </is>
      </c>
      <c r="I1550" s="34" t="inlineStr">
        <is>
          <t>Professional decision</t>
        </is>
      </c>
      <c r="J1550" s="34" t="inlineStr">
        <is>
          <t>Maya Chen, Owner Project Controls</t>
        </is>
      </c>
      <c r="K1550" s="34" t="inlineStr">
        <is>
          <t>Professional</t>
        </is>
      </c>
      <c r="L1550" s="39" t="inlineStr"/>
      <c r="M1550" s="34" t="inlineStr">
        <is>
          <t>Initial</t>
        </is>
      </c>
      <c r="N1550" s="34" t="inlineStr">
        <is>
          <t>Rev 0</t>
        </is>
      </c>
      <c r="O1550" s="34" t="inlineStr">
        <is>
          <t>R1408-v2</t>
        </is>
      </c>
      <c r="P1550" s="39" t="inlineStr"/>
      <c r="Q1550" s="14" t="inlineStr"/>
      <c r="R1550" s="39" t="inlineStr"/>
      <c r="S1550" s="39" t="inlineStr"/>
      <c r="T1550" s="34" t="inlineStr">
        <is>
          <t>Group decision (81 records sharing one decision state)</t>
        </is>
      </c>
      <c r="U1550" s="39" t="inlineStr"/>
      <c r="V1550" s="34" t="inlineStr">
        <is>
          <t>Cost Account = CA-5006</t>
        </is>
      </c>
      <c r="W1550" s="14" t="inlineStr"/>
    </row>
    <row r="1551" ht="64" customHeight="1">
      <c r="A1551" s="34" t="inlineStr">
        <is>
          <t>UNSURE</t>
        </is>
      </c>
      <c r="B1551" s="39" t="inlineStr"/>
      <c r="C1551" s="34" t="inlineStr">
        <is>
          <t>Cost &amp; Forecast Control Accounts</t>
        </is>
      </c>
      <c r="D1551" s="34" t="inlineStr">
        <is>
          <t>CST-05-007</t>
        </is>
      </c>
      <c r="E1551" s="34" t="inlineStr">
        <is>
          <t>Testing &amp; readiness - defect closeout - control account</t>
        </is>
      </c>
      <c r="F1551" s="34" t="inlineStr">
        <is>
          <t>UNSURE</t>
        </is>
      </c>
      <c r="G1551" s="34" t="inlineStr">
        <is>
          <t>APPROVED</t>
        </is>
      </c>
      <c r="H1551" s="34" t="inlineStr">
        <is>
          <t>New</t>
        </is>
      </c>
      <c r="I1551" s="34" t="inlineStr">
        <is>
          <t>Professional decision</t>
        </is>
      </c>
      <c r="J1551" s="34" t="inlineStr">
        <is>
          <t>Maya Chen, Owner Project Controls</t>
        </is>
      </c>
      <c r="K1551" s="34" t="inlineStr">
        <is>
          <t>Professional</t>
        </is>
      </c>
      <c r="L1551" s="39" t="inlineStr"/>
      <c r="M1551" s="34" t="inlineStr">
        <is>
          <t>Initial</t>
        </is>
      </c>
      <c r="N1551" s="34" t="inlineStr">
        <is>
          <t>Rev 0</t>
        </is>
      </c>
      <c r="O1551" s="34" t="inlineStr">
        <is>
          <t>R1409-v2</t>
        </is>
      </c>
      <c r="P1551" s="39" t="inlineStr"/>
      <c r="Q1551" s="14" t="inlineStr"/>
      <c r="R1551" s="39" t="inlineStr"/>
      <c r="S1551" s="39" t="inlineStr"/>
      <c r="T1551" s="34" t="inlineStr">
        <is>
          <t>Group decision (81 records sharing one decision state)</t>
        </is>
      </c>
      <c r="U1551" s="39" t="inlineStr"/>
      <c r="V1551" s="34" t="inlineStr">
        <is>
          <t>Cost Account = CA-5007</t>
        </is>
      </c>
      <c r="W1551" s="14" t="inlineStr"/>
    </row>
    <row r="1552" ht="64" customHeight="1">
      <c r="A1552" s="34" t="inlineStr">
        <is>
          <t>UNSURE</t>
        </is>
      </c>
      <c r="B1552" s="39" t="inlineStr"/>
      <c r="C1552" s="34" t="inlineStr">
        <is>
          <t>Cost &amp; Forecast Control Accounts</t>
        </is>
      </c>
      <c r="D1552" s="34" t="inlineStr">
        <is>
          <t>CST-05-008</t>
        </is>
      </c>
      <c r="E1552" s="34" t="inlineStr">
        <is>
          <t>Testing &amp; readiness - test management - control account</t>
        </is>
      </c>
      <c r="F1552" s="34" t="inlineStr">
        <is>
          <t>UNSURE</t>
        </is>
      </c>
      <c r="G1552" s="34" t="inlineStr">
        <is>
          <t>APPROVED</t>
        </is>
      </c>
      <c r="H1552" s="34" t="inlineStr">
        <is>
          <t>New</t>
        </is>
      </c>
      <c r="I1552" s="34" t="inlineStr">
        <is>
          <t>Professional decision</t>
        </is>
      </c>
      <c r="J1552" s="34" t="inlineStr">
        <is>
          <t>Maya Chen, Owner Project Controls</t>
        </is>
      </c>
      <c r="K1552" s="34" t="inlineStr">
        <is>
          <t>Professional</t>
        </is>
      </c>
      <c r="L1552" s="39" t="inlineStr"/>
      <c r="M1552" s="34" t="inlineStr">
        <is>
          <t>Initial</t>
        </is>
      </c>
      <c r="N1552" s="34" t="inlineStr">
        <is>
          <t>Rev 0</t>
        </is>
      </c>
      <c r="O1552" s="34" t="inlineStr">
        <is>
          <t>R1410-v2</t>
        </is>
      </c>
      <c r="P1552" s="39" t="inlineStr"/>
      <c r="Q1552" s="14" t="inlineStr"/>
      <c r="R1552" s="39" t="inlineStr"/>
      <c r="S1552" s="39" t="inlineStr"/>
      <c r="T1552" s="34" t="inlineStr">
        <is>
          <t>Group decision (81 records sharing one decision state)</t>
        </is>
      </c>
      <c r="U1552" s="39" t="inlineStr"/>
      <c r="V1552" s="34" t="inlineStr">
        <is>
          <t>Cost Account = CA-5008</t>
        </is>
      </c>
      <c r="W1552" s="14" t="inlineStr"/>
    </row>
    <row r="1553" ht="64" customHeight="1">
      <c r="A1553" s="34" t="inlineStr">
        <is>
          <t>UNSURE</t>
        </is>
      </c>
      <c r="B1553" s="39" t="inlineStr"/>
      <c r="C1553" s="34" t="inlineStr">
        <is>
          <t>Cost &amp; Forecast Control Accounts</t>
        </is>
      </c>
      <c r="D1553" s="34" t="inlineStr">
        <is>
          <t>CST-05-009</t>
        </is>
      </c>
      <c r="E1553" s="34" t="inlineStr">
        <is>
          <t>Testing &amp; readiness - trial running - control account</t>
        </is>
      </c>
      <c r="F1553" s="34" t="inlineStr">
        <is>
          <t>UNSURE</t>
        </is>
      </c>
      <c r="G1553" s="34" t="inlineStr">
        <is>
          <t>APPROVED</t>
        </is>
      </c>
      <c r="H1553" s="34" t="inlineStr">
        <is>
          <t>New</t>
        </is>
      </c>
      <c r="I1553" s="34" t="inlineStr">
        <is>
          <t>Professional decision</t>
        </is>
      </c>
      <c r="J1553" s="34" t="inlineStr">
        <is>
          <t>Maya Chen, Owner Project Controls</t>
        </is>
      </c>
      <c r="K1553" s="34" t="inlineStr">
        <is>
          <t>Professional</t>
        </is>
      </c>
      <c r="L1553" s="39" t="inlineStr"/>
      <c r="M1553" s="34" t="inlineStr">
        <is>
          <t>Initial</t>
        </is>
      </c>
      <c r="N1553" s="34" t="inlineStr">
        <is>
          <t>Rev 0</t>
        </is>
      </c>
      <c r="O1553" s="34" t="inlineStr">
        <is>
          <t>R1411-v2</t>
        </is>
      </c>
      <c r="P1553" s="39" t="inlineStr"/>
      <c r="Q1553" s="14" t="inlineStr"/>
      <c r="R1553" s="39" t="inlineStr"/>
      <c r="S1553" s="39" t="inlineStr"/>
      <c r="T1553" s="34" t="inlineStr">
        <is>
          <t>Group decision (81 records sharing one decision state)</t>
        </is>
      </c>
      <c r="U1553" s="39" t="inlineStr"/>
      <c r="V1553" s="34" t="inlineStr">
        <is>
          <t>Cost Account = CA-5009</t>
        </is>
      </c>
      <c r="W1553" s="14" t="inlineStr"/>
    </row>
    <row r="1554" ht="64" customHeight="1">
      <c r="A1554" s="34" t="inlineStr">
        <is>
          <t>UNSURE</t>
        </is>
      </c>
      <c r="B1554" s="39" t="inlineStr"/>
      <c r="C1554" s="34" t="inlineStr">
        <is>
          <t>Cost &amp; Forecast Control Accounts</t>
        </is>
      </c>
      <c r="D1554" s="34" t="inlineStr">
        <is>
          <t>CST-05-010</t>
        </is>
      </c>
      <c r="E1554" s="34" t="inlineStr">
        <is>
          <t>Testing &amp; readiness - safety certification - control account</t>
        </is>
      </c>
      <c r="F1554" s="34" t="inlineStr">
        <is>
          <t>UNSURE</t>
        </is>
      </c>
      <c r="G1554" s="34" t="inlineStr">
        <is>
          <t>APPROVED</t>
        </is>
      </c>
      <c r="H1554" s="34" t="inlineStr">
        <is>
          <t>New</t>
        </is>
      </c>
      <c r="I1554" s="34" t="inlineStr">
        <is>
          <t>Professional decision</t>
        </is>
      </c>
      <c r="J1554" s="34" t="inlineStr">
        <is>
          <t>Maya Chen, Owner Project Controls</t>
        </is>
      </c>
      <c r="K1554" s="34" t="inlineStr">
        <is>
          <t>Professional</t>
        </is>
      </c>
      <c r="L1554" s="39" t="inlineStr"/>
      <c r="M1554" s="34" t="inlineStr">
        <is>
          <t>Initial</t>
        </is>
      </c>
      <c r="N1554" s="34" t="inlineStr">
        <is>
          <t>Rev 0</t>
        </is>
      </c>
      <c r="O1554" s="34" t="inlineStr">
        <is>
          <t>R1412-v2</t>
        </is>
      </c>
      <c r="P1554" s="39" t="inlineStr"/>
      <c r="Q1554" s="14" t="inlineStr"/>
      <c r="R1554" s="39" t="inlineStr"/>
      <c r="S1554" s="39" t="inlineStr"/>
      <c r="T1554" s="34" t="inlineStr">
        <is>
          <t>Group decision (81 records sharing one decision state)</t>
        </is>
      </c>
      <c r="U1554" s="39" t="inlineStr"/>
      <c r="V1554" s="34" t="inlineStr">
        <is>
          <t>Cost Account = CA-5010</t>
        </is>
      </c>
      <c r="W1554" s="14" t="inlineStr"/>
    </row>
    <row r="1555" ht="64" customHeight="1">
      <c r="A1555" s="34" t="inlineStr">
        <is>
          <t>UNSURE</t>
        </is>
      </c>
      <c r="B1555" s="39" t="inlineStr"/>
      <c r="C1555" s="34" t="inlineStr">
        <is>
          <t>Cost &amp; Forecast Control Accounts</t>
        </is>
      </c>
      <c r="D1555" s="34" t="inlineStr">
        <is>
          <t>CST-05-011</t>
        </is>
      </c>
      <c r="E1555" s="34" t="inlineStr">
        <is>
          <t>Testing &amp; readiness - defect closeout - control account</t>
        </is>
      </c>
      <c r="F1555" s="34" t="inlineStr">
        <is>
          <t>UNSURE</t>
        </is>
      </c>
      <c r="G1555" s="34" t="inlineStr">
        <is>
          <t>APPROVED</t>
        </is>
      </c>
      <c r="H1555" s="34" t="inlineStr">
        <is>
          <t>New</t>
        </is>
      </c>
      <c r="I1555" s="34" t="inlineStr">
        <is>
          <t>Professional decision</t>
        </is>
      </c>
      <c r="J1555" s="34" t="inlineStr">
        <is>
          <t>Maya Chen, Owner Project Controls</t>
        </is>
      </c>
      <c r="K1555" s="34" t="inlineStr">
        <is>
          <t>Professional</t>
        </is>
      </c>
      <c r="L1555" s="39" t="inlineStr"/>
      <c r="M1555" s="34" t="inlineStr">
        <is>
          <t>Initial</t>
        </is>
      </c>
      <c r="N1555" s="34" t="inlineStr">
        <is>
          <t>Rev 0</t>
        </is>
      </c>
      <c r="O1555" s="34" t="inlineStr">
        <is>
          <t>R1413-v2</t>
        </is>
      </c>
      <c r="P1555" s="39" t="inlineStr"/>
      <c r="Q1555" s="14" t="inlineStr"/>
      <c r="R1555" s="39" t="inlineStr"/>
      <c r="S1555" s="39" t="inlineStr"/>
      <c r="T1555" s="34" t="inlineStr">
        <is>
          <t>Group decision (81 records sharing one decision state)</t>
        </is>
      </c>
      <c r="U1555" s="39" t="inlineStr"/>
      <c r="V1555" s="34" t="inlineStr">
        <is>
          <t>Cost Account = CA-5011</t>
        </is>
      </c>
      <c r="W1555" s="14" t="inlineStr"/>
    </row>
    <row r="1556" ht="64" customHeight="1">
      <c r="A1556" s="34" t="inlineStr">
        <is>
          <t>UNSURE</t>
        </is>
      </c>
      <c r="B1556" s="39" t="inlineStr"/>
      <c r="C1556" s="34" t="inlineStr">
        <is>
          <t>Cost &amp; Forecast Control Accounts</t>
        </is>
      </c>
      <c r="D1556" s="34" t="inlineStr">
        <is>
          <t>CST-05-012</t>
        </is>
      </c>
      <c r="E1556" s="34" t="inlineStr">
        <is>
          <t>Testing &amp; readiness - test management - control account</t>
        </is>
      </c>
      <c r="F1556" s="34" t="inlineStr">
        <is>
          <t>UNSURE</t>
        </is>
      </c>
      <c r="G1556" s="34" t="inlineStr">
        <is>
          <t>APPROVED</t>
        </is>
      </c>
      <c r="H1556" s="34" t="inlineStr">
        <is>
          <t>New</t>
        </is>
      </c>
      <c r="I1556" s="34" t="inlineStr">
        <is>
          <t>Professional decision</t>
        </is>
      </c>
      <c r="J1556" s="34" t="inlineStr">
        <is>
          <t>Maya Chen, Owner Project Controls</t>
        </is>
      </c>
      <c r="K1556" s="34" t="inlineStr">
        <is>
          <t>Professional</t>
        </is>
      </c>
      <c r="L1556" s="39" t="inlineStr"/>
      <c r="M1556" s="34" t="inlineStr">
        <is>
          <t>Initial</t>
        </is>
      </c>
      <c r="N1556" s="34" t="inlineStr">
        <is>
          <t>Rev 0</t>
        </is>
      </c>
      <c r="O1556" s="34" t="inlineStr">
        <is>
          <t>R1414-v2</t>
        </is>
      </c>
      <c r="P1556" s="39" t="inlineStr"/>
      <c r="Q1556" s="14" t="inlineStr"/>
      <c r="R1556" s="39" t="inlineStr"/>
      <c r="S1556" s="39" t="inlineStr"/>
      <c r="T1556" s="34" t="inlineStr">
        <is>
          <t>Group decision (81 records sharing one decision state)</t>
        </is>
      </c>
      <c r="U1556" s="39" t="inlineStr"/>
      <c r="V1556" s="34" t="inlineStr">
        <is>
          <t>Cost Account = CA-5012</t>
        </is>
      </c>
      <c r="W1556" s="14" t="inlineStr"/>
    </row>
    <row r="1557" ht="64" customHeight="1">
      <c r="A1557" s="34" t="inlineStr">
        <is>
          <t>UNSURE</t>
        </is>
      </c>
      <c r="B1557" s="39" t="inlineStr"/>
      <c r="C1557" s="34" t="inlineStr">
        <is>
          <t>Cost &amp; Forecast Control Accounts</t>
        </is>
      </c>
      <c r="D1557" s="34" t="inlineStr">
        <is>
          <t>CST-05-013</t>
        </is>
      </c>
      <c r="E1557" s="34" t="inlineStr">
        <is>
          <t>Testing &amp; readiness - trial running - control account</t>
        </is>
      </c>
      <c r="F1557" s="34" t="inlineStr">
        <is>
          <t>UNSURE</t>
        </is>
      </c>
      <c r="G1557" s="34" t="inlineStr">
        <is>
          <t>APPROVED</t>
        </is>
      </c>
      <c r="H1557" s="34" t="inlineStr">
        <is>
          <t>New</t>
        </is>
      </c>
      <c r="I1557" s="34" t="inlineStr">
        <is>
          <t>Professional decision</t>
        </is>
      </c>
      <c r="J1557" s="34" t="inlineStr">
        <is>
          <t>Maya Chen, Owner Project Controls</t>
        </is>
      </c>
      <c r="K1557" s="34" t="inlineStr">
        <is>
          <t>Professional</t>
        </is>
      </c>
      <c r="L1557" s="39" t="inlineStr"/>
      <c r="M1557" s="34" t="inlineStr">
        <is>
          <t>Initial</t>
        </is>
      </c>
      <c r="N1557" s="34" t="inlineStr">
        <is>
          <t>Rev 0</t>
        </is>
      </c>
      <c r="O1557" s="34" t="inlineStr">
        <is>
          <t>R1415-v2</t>
        </is>
      </c>
      <c r="P1557" s="39" t="inlineStr"/>
      <c r="Q1557" s="14" t="inlineStr"/>
      <c r="R1557" s="39" t="inlineStr"/>
      <c r="S1557" s="39" t="inlineStr"/>
      <c r="T1557" s="34" t="inlineStr">
        <is>
          <t>Group decision (81 records sharing one decision state)</t>
        </is>
      </c>
      <c r="U1557" s="39" t="inlineStr"/>
      <c r="V1557" s="34" t="inlineStr">
        <is>
          <t>Cost Account = CA-5013</t>
        </is>
      </c>
      <c r="W1557" s="14" t="inlineStr"/>
    </row>
    <row r="1558" ht="64" customHeight="1">
      <c r="A1558" s="34" t="inlineStr">
        <is>
          <t>UNSURE</t>
        </is>
      </c>
      <c r="B1558" s="39" t="inlineStr"/>
      <c r="C1558" s="34" t="inlineStr">
        <is>
          <t>Cost &amp; Forecast Control Accounts</t>
        </is>
      </c>
      <c r="D1558" s="34" t="inlineStr">
        <is>
          <t>CST-05-014</t>
        </is>
      </c>
      <c r="E1558" s="34" t="inlineStr">
        <is>
          <t>Testing &amp; readiness - safety certification - control account</t>
        </is>
      </c>
      <c r="F1558" s="34" t="inlineStr">
        <is>
          <t>UNSURE</t>
        </is>
      </c>
      <c r="G1558" s="34" t="inlineStr">
        <is>
          <t>APPROVED</t>
        </is>
      </c>
      <c r="H1558" s="34" t="inlineStr">
        <is>
          <t>New</t>
        </is>
      </c>
      <c r="I1558" s="34" t="inlineStr">
        <is>
          <t>Professional decision</t>
        </is>
      </c>
      <c r="J1558" s="34" t="inlineStr">
        <is>
          <t>Maya Chen, Owner Project Controls</t>
        </is>
      </c>
      <c r="K1558" s="34" t="inlineStr">
        <is>
          <t>Professional</t>
        </is>
      </c>
      <c r="L1558" s="39" t="inlineStr"/>
      <c r="M1558" s="34" t="inlineStr">
        <is>
          <t>Initial</t>
        </is>
      </c>
      <c r="N1558" s="34" t="inlineStr">
        <is>
          <t>Rev 0</t>
        </is>
      </c>
      <c r="O1558" s="34" t="inlineStr">
        <is>
          <t>R1416-v2</t>
        </is>
      </c>
      <c r="P1558" s="39" t="inlineStr"/>
      <c r="Q1558" s="14" t="inlineStr"/>
      <c r="R1558" s="39" t="inlineStr"/>
      <c r="S1558" s="39" t="inlineStr"/>
      <c r="T1558" s="34" t="inlineStr">
        <is>
          <t>Group decision (81 records sharing one decision state)</t>
        </is>
      </c>
      <c r="U1558" s="39" t="inlineStr"/>
      <c r="V1558" s="34" t="inlineStr">
        <is>
          <t>Cost Account = CA-5014</t>
        </is>
      </c>
      <c r="W1558" s="14" t="inlineStr"/>
    </row>
    <row r="1559" ht="64" customHeight="1">
      <c r="A1559" s="34" t="inlineStr">
        <is>
          <t>UNSURE</t>
        </is>
      </c>
      <c r="B1559" s="39" t="inlineStr"/>
      <c r="C1559" s="34" t="inlineStr">
        <is>
          <t>Cost &amp; Forecast Control Accounts</t>
        </is>
      </c>
      <c r="D1559" s="34" t="inlineStr">
        <is>
          <t>CST-05-015</t>
        </is>
      </c>
      <c r="E1559" s="34" t="inlineStr">
        <is>
          <t>Testing &amp; readiness - defect closeout - control account</t>
        </is>
      </c>
      <c r="F1559" s="34" t="inlineStr">
        <is>
          <t>UNSURE</t>
        </is>
      </c>
      <c r="G1559" s="34" t="inlineStr">
        <is>
          <t>APPROVED</t>
        </is>
      </c>
      <c r="H1559" s="34" t="inlineStr">
        <is>
          <t>New</t>
        </is>
      </c>
      <c r="I1559" s="34" t="inlineStr">
        <is>
          <t>Professional decision</t>
        </is>
      </c>
      <c r="J1559" s="34" t="inlineStr">
        <is>
          <t>Maya Chen, Owner Project Controls</t>
        </is>
      </c>
      <c r="K1559" s="34" t="inlineStr">
        <is>
          <t>Professional</t>
        </is>
      </c>
      <c r="L1559" s="39" t="inlineStr"/>
      <c r="M1559" s="34" t="inlineStr">
        <is>
          <t>Initial</t>
        </is>
      </c>
      <c r="N1559" s="34" t="inlineStr">
        <is>
          <t>Rev 0</t>
        </is>
      </c>
      <c r="O1559" s="34" t="inlineStr">
        <is>
          <t>R1417-v2</t>
        </is>
      </c>
      <c r="P1559" s="39" t="inlineStr"/>
      <c r="Q1559" s="14" t="inlineStr"/>
      <c r="R1559" s="39" t="inlineStr"/>
      <c r="S1559" s="39" t="inlineStr"/>
      <c r="T1559" s="34" t="inlineStr">
        <is>
          <t>Group decision (81 records sharing one decision state)</t>
        </is>
      </c>
      <c r="U1559" s="39" t="inlineStr"/>
      <c r="V1559" s="34" t="inlineStr">
        <is>
          <t>Cost Account = CA-5015</t>
        </is>
      </c>
      <c r="W1559" s="14" t="inlineStr"/>
    </row>
    <row r="1560" ht="64" customHeight="1">
      <c r="A1560" s="34" t="inlineStr">
        <is>
          <t>UNSURE</t>
        </is>
      </c>
      <c r="B1560" s="39" t="inlineStr"/>
      <c r="C1560" s="34" t="inlineStr">
        <is>
          <t>Cost &amp; Forecast Control Accounts</t>
        </is>
      </c>
      <c r="D1560" s="34" t="inlineStr">
        <is>
          <t>CST-05-016</t>
        </is>
      </c>
      <c r="E1560" s="34" t="inlineStr">
        <is>
          <t>Testing &amp; readiness - test management - control account</t>
        </is>
      </c>
      <c r="F1560" s="34" t="inlineStr">
        <is>
          <t>UNSURE</t>
        </is>
      </c>
      <c r="G1560" s="34" t="inlineStr">
        <is>
          <t>APPROVED</t>
        </is>
      </c>
      <c r="H1560" s="34" t="inlineStr">
        <is>
          <t>New</t>
        </is>
      </c>
      <c r="I1560" s="34" t="inlineStr">
        <is>
          <t>Professional decision</t>
        </is>
      </c>
      <c r="J1560" s="34" t="inlineStr">
        <is>
          <t>Maya Chen, Owner Project Controls</t>
        </is>
      </c>
      <c r="K1560" s="34" t="inlineStr">
        <is>
          <t>Professional</t>
        </is>
      </c>
      <c r="L1560" s="39" t="inlineStr"/>
      <c r="M1560" s="34" t="inlineStr">
        <is>
          <t>Initial</t>
        </is>
      </c>
      <c r="N1560" s="34" t="inlineStr">
        <is>
          <t>Rev 0</t>
        </is>
      </c>
      <c r="O1560" s="34" t="inlineStr">
        <is>
          <t>R1418-v2</t>
        </is>
      </c>
      <c r="P1560" s="39" t="inlineStr"/>
      <c r="Q1560" s="14" t="inlineStr"/>
      <c r="R1560" s="39" t="inlineStr"/>
      <c r="S1560" s="39" t="inlineStr"/>
      <c r="T1560" s="34" t="inlineStr">
        <is>
          <t>Group decision (81 records sharing one decision state)</t>
        </is>
      </c>
      <c r="U1560" s="39" t="inlineStr"/>
      <c r="V1560" s="34" t="inlineStr">
        <is>
          <t>Cost Account = CA-5016</t>
        </is>
      </c>
      <c r="W1560" s="14" t="inlineStr"/>
    </row>
    <row r="1561" ht="64" customHeight="1">
      <c r="A1561" s="34" t="inlineStr">
        <is>
          <t>UNSURE</t>
        </is>
      </c>
      <c r="B1561" s="39" t="inlineStr"/>
      <c r="C1561" s="34" t="inlineStr">
        <is>
          <t>Cost &amp; Forecast Control Accounts</t>
        </is>
      </c>
      <c r="D1561" s="34" t="inlineStr">
        <is>
          <t>CST-05-017</t>
        </is>
      </c>
      <c r="E1561" s="34" t="inlineStr">
        <is>
          <t>Testing &amp; readiness - trial running - control account</t>
        </is>
      </c>
      <c r="F1561" s="34" t="inlineStr">
        <is>
          <t>UNSURE</t>
        </is>
      </c>
      <c r="G1561" s="34" t="inlineStr">
        <is>
          <t>APPROVED</t>
        </is>
      </c>
      <c r="H1561" s="34" t="inlineStr">
        <is>
          <t>New</t>
        </is>
      </c>
      <c r="I1561" s="34" t="inlineStr">
        <is>
          <t>Professional decision</t>
        </is>
      </c>
      <c r="J1561" s="34" t="inlineStr">
        <is>
          <t>Maya Chen, Owner Project Controls</t>
        </is>
      </c>
      <c r="K1561" s="34" t="inlineStr">
        <is>
          <t>Professional</t>
        </is>
      </c>
      <c r="L1561" s="39" t="inlineStr"/>
      <c r="M1561" s="34" t="inlineStr">
        <is>
          <t>Initial</t>
        </is>
      </c>
      <c r="N1561" s="34" t="inlineStr">
        <is>
          <t>Rev 0</t>
        </is>
      </c>
      <c r="O1561" s="34" t="inlineStr">
        <is>
          <t>R1419-v2</t>
        </is>
      </c>
      <c r="P1561" s="39" t="inlineStr"/>
      <c r="Q1561" s="14" t="inlineStr"/>
      <c r="R1561" s="39" t="inlineStr"/>
      <c r="S1561" s="39" t="inlineStr"/>
      <c r="T1561" s="34" t="inlineStr">
        <is>
          <t>Group decision (81 records sharing one decision state)</t>
        </is>
      </c>
      <c r="U1561" s="39" t="inlineStr"/>
      <c r="V1561" s="34" t="inlineStr">
        <is>
          <t>Cost Account = CA-5017</t>
        </is>
      </c>
      <c r="W1561" s="14" t="inlineStr"/>
    </row>
    <row r="1562" ht="64" customHeight="1">
      <c r="A1562" s="34" t="inlineStr">
        <is>
          <t>UNSURE</t>
        </is>
      </c>
      <c r="B1562" s="39" t="inlineStr"/>
      <c r="C1562" s="34" t="inlineStr">
        <is>
          <t>Cost &amp; Forecast Control Accounts</t>
        </is>
      </c>
      <c r="D1562" s="34" t="inlineStr">
        <is>
          <t>CST-05-018</t>
        </is>
      </c>
      <c r="E1562" s="34" t="inlineStr">
        <is>
          <t>Testing &amp; readiness - safety certification - control account</t>
        </is>
      </c>
      <c r="F1562" s="34" t="inlineStr">
        <is>
          <t>UNSURE</t>
        </is>
      </c>
      <c r="G1562" s="34" t="inlineStr">
        <is>
          <t>APPROVED</t>
        </is>
      </c>
      <c r="H1562" s="34" t="inlineStr">
        <is>
          <t>New</t>
        </is>
      </c>
      <c r="I1562" s="34" t="inlineStr">
        <is>
          <t>Professional decision</t>
        </is>
      </c>
      <c r="J1562" s="34" t="inlineStr">
        <is>
          <t>Maya Chen, Owner Project Controls</t>
        </is>
      </c>
      <c r="K1562" s="34" t="inlineStr">
        <is>
          <t>Professional</t>
        </is>
      </c>
      <c r="L1562" s="39" t="inlineStr"/>
      <c r="M1562" s="34" t="inlineStr">
        <is>
          <t>Initial</t>
        </is>
      </c>
      <c r="N1562" s="34" t="inlineStr">
        <is>
          <t>Rev 0</t>
        </is>
      </c>
      <c r="O1562" s="34" t="inlineStr">
        <is>
          <t>R1420-v2</t>
        </is>
      </c>
      <c r="P1562" s="39" t="inlineStr"/>
      <c r="Q1562" s="14" t="inlineStr"/>
      <c r="R1562" s="39" t="inlineStr"/>
      <c r="S1562" s="39" t="inlineStr"/>
      <c r="T1562" s="34" t="inlineStr">
        <is>
          <t>Group decision (81 records sharing one decision state)</t>
        </is>
      </c>
      <c r="U1562" s="39" t="inlineStr"/>
      <c r="V1562" s="34" t="inlineStr">
        <is>
          <t>Cost Account = CA-5018</t>
        </is>
      </c>
      <c r="W1562" s="14" t="inlineStr"/>
    </row>
    <row r="1563" ht="64" customHeight="1">
      <c r="A1563" s="34" t="inlineStr">
        <is>
          <t>UNSURE</t>
        </is>
      </c>
      <c r="B1563" s="39" t="inlineStr"/>
      <c r="C1563" s="34" t="inlineStr">
        <is>
          <t>Cost &amp; Forecast Control Accounts</t>
        </is>
      </c>
      <c r="D1563" s="34" t="inlineStr">
        <is>
          <t>CST-05-019</t>
        </is>
      </c>
      <c r="E1563" s="34" t="inlineStr">
        <is>
          <t>Testing &amp; readiness - defect closeout - control account</t>
        </is>
      </c>
      <c r="F1563" s="34" t="inlineStr">
        <is>
          <t>UNSURE</t>
        </is>
      </c>
      <c r="G1563" s="34" t="inlineStr">
        <is>
          <t>APPROVED</t>
        </is>
      </c>
      <c r="H1563" s="34" t="inlineStr">
        <is>
          <t>New</t>
        </is>
      </c>
      <c r="I1563" s="34" t="inlineStr">
        <is>
          <t>Professional decision</t>
        </is>
      </c>
      <c r="J1563" s="34" t="inlineStr">
        <is>
          <t>Maya Chen, Owner Project Controls</t>
        </is>
      </c>
      <c r="K1563" s="34" t="inlineStr">
        <is>
          <t>Professional</t>
        </is>
      </c>
      <c r="L1563" s="39" t="inlineStr"/>
      <c r="M1563" s="34" t="inlineStr">
        <is>
          <t>Initial</t>
        </is>
      </c>
      <c r="N1563" s="34" t="inlineStr">
        <is>
          <t>Rev 0</t>
        </is>
      </c>
      <c r="O1563" s="34" t="inlineStr">
        <is>
          <t>R1421-v2</t>
        </is>
      </c>
      <c r="P1563" s="39" t="inlineStr"/>
      <c r="Q1563" s="14" t="inlineStr"/>
      <c r="R1563" s="39" t="inlineStr"/>
      <c r="S1563" s="39" t="inlineStr"/>
      <c r="T1563" s="34" t="inlineStr">
        <is>
          <t>Group decision (81 records sharing one decision state)</t>
        </is>
      </c>
      <c r="U1563" s="39" t="inlineStr"/>
      <c r="V1563" s="34" t="inlineStr">
        <is>
          <t>Cost Account = CA-5019</t>
        </is>
      </c>
      <c r="W1563" s="14" t="inlineStr"/>
    </row>
    <row r="1564" ht="64" customHeight="1">
      <c r="A1564" s="34" t="inlineStr">
        <is>
          <t>UNSURE</t>
        </is>
      </c>
      <c r="B1564" s="39" t="inlineStr"/>
      <c r="C1564" s="34" t="inlineStr">
        <is>
          <t>Cost &amp; Forecast Control Accounts</t>
        </is>
      </c>
      <c r="D1564" s="34" t="inlineStr">
        <is>
          <t>CST-05-020</t>
        </is>
      </c>
      <c r="E1564" s="34" t="inlineStr">
        <is>
          <t>Testing &amp; readiness - test management - control account</t>
        </is>
      </c>
      <c r="F1564" s="34" t="inlineStr">
        <is>
          <t>UNSURE</t>
        </is>
      </c>
      <c r="G1564" s="34" t="inlineStr">
        <is>
          <t>APPROVED</t>
        </is>
      </c>
      <c r="H1564" s="34" t="inlineStr">
        <is>
          <t>New</t>
        </is>
      </c>
      <c r="I1564" s="34" t="inlineStr">
        <is>
          <t>Professional decision</t>
        </is>
      </c>
      <c r="J1564" s="34" t="inlineStr">
        <is>
          <t>Maya Chen, Owner Project Controls</t>
        </is>
      </c>
      <c r="K1564" s="34" t="inlineStr">
        <is>
          <t>Professional</t>
        </is>
      </c>
      <c r="L1564" s="39" t="inlineStr"/>
      <c r="M1564" s="34" t="inlineStr">
        <is>
          <t>Initial</t>
        </is>
      </c>
      <c r="N1564" s="34" t="inlineStr">
        <is>
          <t>Rev 0</t>
        </is>
      </c>
      <c r="O1564" s="34" t="inlineStr">
        <is>
          <t>R1422-v2</t>
        </is>
      </c>
      <c r="P1564" s="39" t="inlineStr"/>
      <c r="Q1564" s="14" t="inlineStr"/>
      <c r="R1564" s="39" t="inlineStr"/>
      <c r="S1564" s="39" t="inlineStr"/>
      <c r="T1564" s="34" t="inlineStr">
        <is>
          <t>Group decision (81 records sharing one decision state)</t>
        </is>
      </c>
      <c r="U1564" s="39" t="inlineStr"/>
      <c r="V1564" s="34" t="inlineStr">
        <is>
          <t>Cost Account = CA-5020</t>
        </is>
      </c>
      <c r="W1564" s="14" t="inlineStr"/>
    </row>
    <row r="1565" ht="64" customHeight="1">
      <c r="A1565" s="34" t="inlineStr">
        <is>
          <t>UNSURE</t>
        </is>
      </c>
      <c r="B1565" s="39" t="inlineStr"/>
      <c r="C1565" s="34" t="inlineStr">
        <is>
          <t>Cost &amp; Forecast Control Accounts</t>
        </is>
      </c>
      <c r="D1565" s="34" t="inlineStr">
        <is>
          <t>CST-05-021</t>
        </is>
      </c>
      <c r="E1565" s="34" t="inlineStr">
        <is>
          <t>Testing &amp; readiness - trial running - control account</t>
        </is>
      </c>
      <c r="F1565" s="34" t="inlineStr">
        <is>
          <t>UNSURE</t>
        </is>
      </c>
      <c r="G1565" s="34" t="inlineStr">
        <is>
          <t>APPROVED</t>
        </is>
      </c>
      <c r="H1565" s="34" t="inlineStr">
        <is>
          <t>New</t>
        </is>
      </c>
      <c r="I1565" s="34" t="inlineStr">
        <is>
          <t>Professional decision</t>
        </is>
      </c>
      <c r="J1565" s="34" t="inlineStr">
        <is>
          <t>Maya Chen, Owner Project Controls</t>
        </is>
      </c>
      <c r="K1565" s="34" t="inlineStr">
        <is>
          <t>Professional</t>
        </is>
      </c>
      <c r="L1565" s="39" t="inlineStr"/>
      <c r="M1565" s="34" t="inlineStr">
        <is>
          <t>Initial</t>
        </is>
      </c>
      <c r="N1565" s="34" t="inlineStr">
        <is>
          <t>Rev 0</t>
        </is>
      </c>
      <c r="O1565" s="34" t="inlineStr">
        <is>
          <t>R1423-v2</t>
        </is>
      </c>
      <c r="P1565" s="39" t="inlineStr"/>
      <c r="Q1565" s="14" t="inlineStr"/>
      <c r="R1565" s="39" t="inlineStr"/>
      <c r="S1565" s="39" t="inlineStr"/>
      <c r="T1565" s="34" t="inlineStr">
        <is>
          <t>Group decision (81 records sharing one decision state)</t>
        </is>
      </c>
      <c r="U1565" s="39" t="inlineStr"/>
      <c r="V1565" s="34" t="inlineStr">
        <is>
          <t>Cost Account = CA-5021</t>
        </is>
      </c>
      <c r="W1565" s="14" t="inlineStr"/>
    </row>
    <row r="1566" ht="64" customHeight="1">
      <c r="A1566" s="34" t="inlineStr">
        <is>
          <t>UNSURE</t>
        </is>
      </c>
      <c r="B1566" s="39" t="inlineStr"/>
      <c r="C1566" s="34" t="inlineStr">
        <is>
          <t>Cost &amp; Forecast Control Accounts</t>
        </is>
      </c>
      <c r="D1566" s="34" t="inlineStr">
        <is>
          <t>CST-05-022</t>
        </is>
      </c>
      <c r="E1566" s="34" t="inlineStr">
        <is>
          <t>Testing &amp; readiness - safety certification - control account</t>
        </is>
      </c>
      <c r="F1566" s="34" t="inlineStr">
        <is>
          <t>UNSURE</t>
        </is>
      </c>
      <c r="G1566" s="34" t="inlineStr">
        <is>
          <t>APPROVED</t>
        </is>
      </c>
      <c r="H1566" s="34" t="inlineStr">
        <is>
          <t>New</t>
        </is>
      </c>
      <c r="I1566" s="34" t="inlineStr">
        <is>
          <t>Professional decision</t>
        </is>
      </c>
      <c r="J1566" s="34" t="inlineStr">
        <is>
          <t>Maya Chen, Owner Project Controls</t>
        </is>
      </c>
      <c r="K1566" s="34" t="inlineStr">
        <is>
          <t>Professional</t>
        </is>
      </c>
      <c r="L1566" s="39" t="inlineStr"/>
      <c r="M1566" s="34" t="inlineStr">
        <is>
          <t>Initial</t>
        </is>
      </c>
      <c r="N1566" s="34" t="inlineStr">
        <is>
          <t>Rev 0</t>
        </is>
      </c>
      <c r="O1566" s="34" t="inlineStr">
        <is>
          <t>R1424-v2</t>
        </is>
      </c>
      <c r="P1566" s="39" t="inlineStr"/>
      <c r="Q1566" s="14" t="inlineStr"/>
      <c r="R1566" s="39" t="inlineStr"/>
      <c r="S1566" s="39" t="inlineStr"/>
      <c r="T1566" s="34" t="inlineStr">
        <is>
          <t>Group decision (81 records sharing one decision state)</t>
        </is>
      </c>
      <c r="U1566" s="39" t="inlineStr"/>
      <c r="V1566" s="34" t="inlineStr">
        <is>
          <t>Cost Account = CA-5022</t>
        </is>
      </c>
      <c r="W1566" s="14" t="inlineStr"/>
    </row>
    <row r="1567" ht="64" customHeight="1">
      <c r="A1567" s="34" t="inlineStr">
        <is>
          <t>UNSURE</t>
        </is>
      </c>
      <c r="B1567" s="39" t="inlineStr"/>
      <c r="C1567" s="34" t="inlineStr">
        <is>
          <t>Cost &amp; Forecast Control Accounts</t>
        </is>
      </c>
      <c r="D1567" s="34" t="inlineStr">
        <is>
          <t>CST-05-023</t>
        </is>
      </c>
      <c r="E1567" s="34" t="inlineStr">
        <is>
          <t>Testing &amp; readiness - defect closeout - control account</t>
        </is>
      </c>
      <c r="F1567" s="34" t="inlineStr">
        <is>
          <t>UNSURE</t>
        </is>
      </c>
      <c r="G1567" s="34" t="inlineStr">
        <is>
          <t>APPROVED</t>
        </is>
      </c>
      <c r="H1567" s="34" t="inlineStr">
        <is>
          <t>New</t>
        </is>
      </c>
      <c r="I1567" s="34" t="inlineStr">
        <is>
          <t>Professional decision</t>
        </is>
      </c>
      <c r="J1567" s="34" t="inlineStr">
        <is>
          <t>Maya Chen, Owner Project Controls</t>
        </is>
      </c>
      <c r="K1567" s="34" t="inlineStr">
        <is>
          <t>Professional</t>
        </is>
      </c>
      <c r="L1567" s="39" t="inlineStr"/>
      <c r="M1567" s="34" t="inlineStr">
        <is>
          <t>Initial</t>
        </is>
      </c>
      <c r="N1567" s="34" t="inlineStr">
        <is>
          <t>Rev 0</t>
        </is>
      </c>
      <c r="O1567" s="34" t="inlineStr">
        <is>
          <t>R1425-v2</t>
        </is>
      </c>
      <c r="P1567" s="39" t="inlineStr"/>
      <c r="Q1567" s="14" t="inlineStr"/>
      <c r="R1567" s="39" t="inlineStr"/>
      <c r="S1567" s="39" t="inlineStr"/>
      <c r="T1567" s="34" t="inlineStr">
        <is>
          <t>Group decision (81 records sharing one decision state)</t>
        </is>
      </c>
      <c r="U1567" s="39" t="inlineStr"/>
      <c r="V1567" s="34" t="inlineStr">
        <is>
          <t>Cost Account = CA-5023</t>
        </is>
      </c>
      <c r="W1567" s="14" t="inlineStr"/>
    </row>
    <row r="1568" ht="64" customHeight="1">
      <c r="A1568" s="34" t="inlineStr">
        <is>
          <t>UNSURE</t>
        </is>
      </c>
      <c r="B1568" s="39" t="inlineStr"/>
      <c r="C1568" s="34" t="inlineStr">
        <is>
          <t>Cost &amp; Forecast Control Accounts</t>
        </is>
      </c>
      <c r="D1568" s="34" t="inlineStr">
        <is>
          <t>CST-05-024</t>
        </is>
      </c>
      <c r="E1568" s="34" t="inlineStr">
        <is>
          <t>Testing &amp; readiness - test management - control account</t>
        </is>
      </c>
      <c r="F1568" s="34" t="inlineStr">
        <is>
          <t>UNSURE</t>
        </is>
      </c>
      <c r="G1568" s="34" t="inlineStr">
        <is>
          <t>APPROVED</t>
        </is>
      </c>
      <c r="H1568" s="34" t="inlineStr">
        <is>
          <t>New</t>
        </is>
      </c>
      <c r="I1568" s="34" t="inlineStr">
        <is>
          <t>Professional decision</t>
        </is>
      </c>
      <c r="J1568" s="34" t="inlineStr">
        <is>
          <t>Maya Chen, Owner Project Controls</t>
        </is>
      </c>
      <c r="K1568" s="34" t="inlineStr">
        <is>
          <t>Professional</t>
        </is>
      </c>
      <c r="L1568" s="39" t="inlineStr"/>
      <c r="M1568" s="34" t="inlineStr">
        <is>
          <t>Initial</t>
        </is>
      </c>
      <c r="N1568" s="34" t="inlineStr">
        <is>
          <t>Rev 0</t>
        </is>
      </c>
      <c r="O1568" s="34" t="inlineStr">
        <is>
          <t>R1426-v2</t>
        </is>
      </c>
      <c r="P1568" s="39" t="inlineStr"/>
      <c r="Q1568" s="14" t="inlineStr"/>
      <c r="R1568" s="39" t="inlineStr"/>
      <c r="S1568" s="39" t="inlineStr"/>
      <c r="T1568" s="34" t="inlineStr">
        <is>
          <t>Group decision (81 records sharing one decision state)</t>
        </is>
      </c>
      <c r="U1568" s="39" t="inlineStr"/>
      <c r="V1568" s="34" t="inlineStr">
        <is>
          <t>Cost Account = CA-5024</t>
        </is>
      </c>
      <c r="W1568" s="14" t="inlineStr"/>
    </row>
    <row r="1569" ht="64" customHeight="1">
      <c r="A1569" s="34" t="inlineStr">
        <is>
          <t>UNSURE</t>
        </is>
      </c>
      <c r="B1569" s="39" t="inlineStr"/>
      <c r="C1569" s="34" t="inlineStr">
        <is>
          <t>Cost &amp; Forecast Control Accounts</t>
        </is>
      </c>
      <c r="D1569" s="34" t="inlineStr">
        <is>
          <t>CST-05-025</t>
        </is>
      </c>
      <c r="E1569" s="34" t="inlineStr">
        <is>
          <t>Testing &amp; readiness - trial running - control account</t>
        </is>
      </c>
      <c r="F1569" s="34" t="inlineStr">
        <is>
          <t>UNSURE</t>
        </is>
      </c>
      <c r="G1569" s="34" t="inlineStr">
        <is>
          <t>APPROVED</t>
        </is>
      </c>
      <c r="H1569" s="34" t="inlineStr">
        <is>
          <t>New</t>
        </is>
      </c>
      <c r="I1569" s="34" t="inlineStr">
        <is>
          <t>Professional decision</t>
        </is>
      </c>
      <c r="J1569" s="34" t="inlineStr">
        <is>
          <t>Maya Chen, Owner Project Controls</t>
        </is>
      </c>
      <c r="K1569" s="34" t="inlineStr">
        <is>
          <t>Professional</t>
        </is>
      </c>
      <c r="L1569" s="39" t="inlineStr"/>
      <c r="M1569" s="34" t="inlineStr">
        <is>
          <t>Initial</t>
        </is>
      </c>
      <c r="N1569" s="34" t="inlineStr">
        <is>
          <t>Rev 0</t>
        </is>
      </c>
      <c r="O1569" s="34" t="inlineStr">
        <is>
          <t>R1427-v2</t>
        </is>
      </c>
      <c r="P1569" s="39" t="inlineStr"/>
      <c r="Q1569" s="14" t="inlineStr"/>
      <c r="R1569" s="39" t="inlineStr"/>
      <c r="S1569" s="39" t="inlineStr"/>
      <c r="T1569" s="34" t="inlineStr">
        <is>
          <t>Group decision (81 records sharing one decision state)</t>
        </is>
      </c>
      <c r="U1569" s="39" t="inlineStr"/>
      <c r="V1569" s="34" t="inlineStr">
        <is>
          <t>Cost Account = CA-5025</t>
        </is>
      </c>
      <c r="W1569" s="14" t="inlineStr"/>
    </row>
    <row r="1570" ht="64" customHeight="1">
      <c r="A1570" s="34" t="inlineStr">
        <is>
          <t>UNSURE</t>
        </is>
      </c>
      <c r="B1570" s="39" t="inlineStr"/>
      <c r="C1570" s="34" t="inlineStr">
        <is>
          <t>Cost &amp; Forecast Control Accounts</t>
        </is>
      </c>
      <c r="D1570" s="34" t="inlineStr">
        <is>
          <t>CST-05-026</t>
        </is>
      </c>
      <c r="E1570" s="34" t="inlineStr">
        <is>
          <t>Testing &amp; readiness - safety certification - control account</t>
        </is>
      </c>
      <c r="F1570" s="34" t="inlineStr">
        <is>
          <t>UNSURE</t>
        </is>
      </c>
      <c r="G1570" s="34" t="inlineStr">
        <is>
          <t>APPROVED</t>
        </is>
      </c>
      <c r="H1570" s="34" t="inlineStr">
        <is>
          <t>New</t>
        </is>
      </c>
      <c r="I1570" s="34" t="inlineStr">
        <is>
          <t>Professional decision</t>
        </is>
      </c>
      <c r="J1570" s="34" t="inlineStr">
        <is>
          <t>Maya Chen, Owner Project Controls</t>
        </is>
      </c>
      <c r="K1570" s="34" t="inlineStr">
        <is>
          <t>Professional</t>
        </is>
      </c>
      <c r="L1570" s="39" t="inlineStr"/>
      <c r="M1570" s="34" t="inlineStr">
        <is>
          <t>Initial</t>
        </is>
      </c>
      <c r="N1570" s="34" t="inlineStr">
        <is>
          <t>Rev 0</t>
        </is>
      </c>
      <c r="O1570" s="34" t="inlineStr">
        <is>
          <t>R1428-v2</t>
        </is>
      </c>
      <c r="P1570" s="39" t="inlineStr"/>
      <c r="Q1570" s="14" t="inlineStr"/>
      <c r="R1570" s="39" t="inlineStr"/>
      <c r="S1570" s="39" t="inlineStr"/>
      <c r="T1570" s="34" t="inlineStr">
        <is>
          <t>Group decision (81 records sharing one decision state)</t>
        </is>
      </c>
      <c r="U1570" s="39" t="inlineStr"/>
      <c r="V1570" s="34" t="inlineStr">
        <is>
          <t>Cost Account = CA-5026</t>
        </is>
      </c>
      <c r="W1570" s="14" t="inlineStr"/>
    </row>
    <row r="1571" ht="64" customHeight="1">
      <c r="A1571" s="34" t="inlineStr">
        <is>
          <t>UNSURE</t>
        </is>
      </c>
      <c r="B1571" s="39" t="inlineStr"/>
      <c r="C1571" s="34" t="inlineStr">
        <is>
          <t>Cost &amp; Forecast Control Accounts</t>
        </is>
      </c>
      <c r="D1571" s="34" t="inlineStr">
        <is>
          <t>CST-05-027</t>
        </is>
      </c>
      <c r="E1571" s="34" t="inlineStr">
        <is>
          <t>Testing &amp; readiness - defect closeout - control account</t>
        </is>
      </c>
      <c r="F1571" s="34" t="inlineStr">
        <is>
          <t>UNSURE</t>
        </is>
      </c>
      <c r="G1571" s="34" t="inlineStr">
        <is>
          <t>APPROVED</t>
        </is>
      </c>
      <c r="H1571" s="34" t="inlineStr">
        <is>
          <t>New</t>
        </is>
      </c>
      <c r="I1571" s="34" t="inlineStr">
        <is>
          <t>Professional decision</t>
        </is>
      </c>
      <c r="J1571" s="34" t="inlineStr">
        <is>
          <t>Maya Chen, Owner Project Controls</t>
        </is>
      </c>
      <c r="K1571" s="34" t="inlineStr">
        <is>
          <t>Professional</t>
        </is>
      </c>
      <c r="L1571" s="39" t="inlineStr"/>
      <c r="M1571" s="34" t="inlineStr">
        <is>
          <t>Initial</t>
        </is>
      </c>
      <c r="N1571" s="34" t="inlineStr">
        <is>
          <t>Rev 0</t>
        </is>
      </c>
      <c r="O1571" s="34" t="inlineStr">
        <is>
          <t>R1429-v2</t>
        </is>
      </c>
      <c r="P1571" s="39" t="inlineStr"/>
      <c r="Q1571" s="14" t="inlineStr"/>
      <c r="R1571" s="39" t="inlineStr"/>
      <c r="S1571" s="39" t="inlineStr"/>
      <c r="T1571" s="34" t="inlineStr">
        <is>
          <t>Group decision (81 records sharing one decision state)</t>
        </is>
      </c>
      <c r="U1571" s="39" t="inlineStr"/>
      <c r="V1571" s="34" t="inlineStr">
        <is>
          <t>Cost Account = CA-5027</t>
        </is>
      </c>
      <c r="W1571" s="14" t="inlineStr"/>
    </row>
    <row r="1572" ht="64" customHeight="1">
      <c r="A1572" s="34" t="inlineStr">
        <is>
          <t>UNSURE</t>
        </is>
      </c>
      <c r="B1572" s="39" t="inlineStr"/>
      <c r="C1572" s="34" t="inlineStr">
        <is>
          <t>Cost &amp; Forecast Control Accounts</t>
        </is>
      </c>
      <c r="D1572" s="34" t="inlineStr">
        <is>
          <t>CST-05-028</t>
        </is>
      </c>
      <c r="E1572" s="34" t="inlineStr">
        <is>
          <t>Testing &amp; readiness - test management - control account</t>
        </is>
      </c>
      <c r="F1572" s="34" t="inlineStr">
        <is>
          <t>UNSURE</t>
        </is>
      </c>
      <c r="G1572" s="34" t="inlineStr">
        <is>
          <t>APPROVED</t>
        </is>
      </c>
      <c r="H1572" s="34" t="inlineStr">
        <is>
          <t>New</t>
        </is>
      </c>
      <c r="I1572" s="34" t="inlineStr">
        <is>
          <t>Professional decision</t>
        </is>
      </c>
      <c r="J1572" s="34" t="inlineStr">
        <is>
          <t>Maya Chen, Owner Project Controls</t>
        </is>
      </c>
      <c r="K1572" s="34" t="inlineStr">
        <is>
          <t>Professional</t>
        </is>
      </c>
      <c r="L1572" s="39" t="inlineStr"/>
      <c r="M1572" s="34" t="inlineStr">
        <is>
          <t>Initial</t>
        </is>
      </c>
      <c r="N1572" s="34" t="inlineStr">
        <is>
          <t>Rev 0</t>
        </is>
      </c>
      <c r="O1572" s="34" t="inlineStr">
        <is>
          <t>R1430-v2</t>
        </is>
      </c>
      <c r="P1572" s="39" t="inlineStr"/>
      <c r="Q1572" s="14" t="inlineStr"/>
      <c r="R1572" s="39" t="inlineStr"/>
      <c r="S1572" s="39" t="inlineStr"/>
      <c r="T1572" s="34" t="inlineStr">
        <is>
          <t>Group decision (81 records sharing one decision state)</t>
        </is>
      </c>
      <c r="U1572" s="39" t="inlineStr"/>
      <c r="V1572" s="34" t="inlineStr">
        <is>
          <t>Cost Account = CA-5028</t>
        </is>
      </c>
      <c r="W1572" s="14" t="inlineStr"/>
    </row>
    <row r="1573" ht="64" customHeight="1">
      <c r="A1573" s="34" t="inlineStr">
        <is>
          <t>UNSURE</t>
        </is>
      </c>
      <c r="B1573" s="39" t="inlineStr"/>
      <c r="C1573" s="34" t="inlineStr">
        <is>
          <t>Cost &amp; Forecast Control Accounts</t>
        </is>
      </c>
      <c r="D1573" s="34" t="inlineStr">
        <is>
          <t>CST-05-029</t>
        </is>
      </c>
      <c r="E1573" s="34" t="inlineStr">
        <is>
          <t>Testing &amp; readiness - trial running - control account</t>
        </is>
      </c>
      <c r="F1573" s="34" t="inlineStr">
        <is>
          <t>UNSURE</t>
        </is>
      </c>
      <c r="G1573" s="34" t="inlineStr">
        <is>
          <t>APPROVED</t>
        </is>
      </c>
      <c r="H1573" s="34" t="inlineStr">
        <is>
          <t>New</t>
        </is>
      </c>
      <c r="I1573" s="34" t="inlineStr">
        <is>
          <t>Professional decision</t>
        </is>
      </c>
      <c r="J1573" s="34" t="inlineStr">
        <is>
          <t>Maya Chen, Owner Project Controls</t>
        </is>
      </c>
      <c r="K1573" s="34" t="inlineStr">
        <is>
          <t>Professional</t>
        </is>
      </c>
      <c r="L1573" s="39" t="inlineStr"/>
      <c r="M1573" s="34" t="inlineStr">
        <is>
          <t>Initial</t>
        </is>
      </c>
      <c r="N1573" s="34" t="inlineStr">
        <is>
          <t>Rev 0</t>
        </is>
      </c>
      <c r="O1573" s="34" t="inlineStr">
        <is>
          <t>R1431-v2</t>
        </is>
      </c>
      <c r="P1573" s="39" t="inlineStr"/>
      <c r="Q1573" s="14" t="inlineStr"/>
      <c r="R1573" s="39" t="inlineStr"/>
      <c r="S1573" s="39" t="inlineStr"/>
      <c r="T1573" s="34" t="inlineStr">
        <is>
          <t>Group decision (81 records sharing one decision state)</t>
        </is>
      </c>
      <c r="U1573" s="39" t="inlineStr"/>
      <c r="V1573" s="34" t="inlineStr">
        <is>
          <t>Cost Account = CA-5029</t>
        </is>
      </c>
      <c r="W1573" s="14" t="inlineStr"/>
    </row>
    <row r="1574" ht="64" customHeight="1">
      <c r="A1574" s="34" t="inlineStr">
        <is>
          <t>UNSURE</t>
        </is>
      </c>
      <c r="B1574" s="39" t="inlineStr"/>
      <c r="C1574" s="34" t="inlineStr">
        <is>
          <t>Cost &amp; Forecast Control Accounts</t>
        </is>
      </c>
      <c r="D1574" s="34" t="inlineStr">
        <is>
          <t>CST-05-030</t>
        </is>
      </c>
      <c r="E1574" s="34" t="inlineStr">
        <is>
          <t>Testing &amp; readiness - safety certification - control account</t>
        </is>
      </c>
      <c r="F1574" s="34" t="inlineStr">
        <is>
          <t>UNSURE</t>
        </is>
      </c>
      <c r="G1574" s="34" t="inlineStr">
        <is>
          <t>APPROVED</t>
        </is>
      </c>
      <c r="H1574" s="34" t="inlineStr">
        <is>
          <t>New</t>
        </is>
      </c>
      <c r="I1574" s="34" t="inlineStr">
        <is>
          <t>Professional decision</t>
        </is>
      </c>
      <c r="J1574" s="34" t="inlineStr">
        <is>
          <t>Maya Chen, Owner Project Controls</t>
        </is>
      </c>
      <c r="K1574" s="34" t="inlineStr">
        <is>
          <t>Professional</t>
        </is>
      </c>
      <c r="L1574" s="39" t="inlineStr"/>
      <c r="M1574" s="34" t="inlineStr">
        <is>
          <t>Initial</t>
        </is>
      </c>
      <c r="N1574" s="34" t="inlineStr">
        <is>
          <t>Rev 0</t>
        </is>
      </c>
      <c r="O1574" s="34" t="inlineStr">
        <is>
          <t>R1432-v2</t>
        </is>
      </c>
      <c r="P1574" s="39" t="inlineStr"/>
      <c r="Q1574" s="14" t="inlineStr"/>
      <c r="R1574" s="39" t="inlineStr"/>
      <c r="S1574" s="39" t="inlineStr"/>
      <c r="T1574" s="34" t="inlineStr">
        <is>
          <t>Group decision (81 records sharing one decision state)</t>
        </is>
      </c>
      <c r="U1574" s="39" t="inlineStr"/>
      <c r="V1574" s="34" t="inlineStr">
        <is>
          <t>Cost Account = CA-5030</t>
        </is>
      </c>
      <c r="W1574" s="14" t="inlineStr"/>
    </row>
    <row r="1575" ht="64" customHeight="1">
      <c r="A1575" s="34" t="inlineStr">
        <is>
          <t>UNSURE</t>
        </is>
      </c>
      <c r="B1575" s="39" t="inlineStr"/>
      <c r="C1575" s="34" t="inlineStr">
        <is>
          <t>Cost &amp; Forecast Control Accounts</t>
        </is>
      </c>
      <c r="D1575" s="34" t="inlineStr">
        <is>
          <t>CST-05-031</t>
        </is>
      </c>
      <c r="E1575" s="34" t="inlineStr">
        <is>
          <t>Testing &amp; readiness - defect closeout - control account</t>
        </is>
      </c>
      <c r="F1575" s="34" t="inlineStr">
        <is>
          <t>UNSURE</t>
        </is>
      </c>
      <c r="G1575" s="34" t="inlineStr">
        <is>
          <t>APPROVED</t>
        </is>
      </c>
      <c r="H1575" s="34" t="inlineStr">
        <is>
          <t>New</t>
        </is>
      </c>
      <c r="I1575" s="34" t="inlineStr">
        <is>
          <t>Professional decision</t>
        </is>
      </c>
      <c r="J1575" s="34" t="inlineStr">
        <is>
          <t>Maya Chen, Owner Project Controls</t>
        </is>
      </c>
      <c r="K1575" s="34" t="inlineStr">
        <is>
          <t>Professional</t>
        </is>
      </c>
      <c r="L1575" s="39" t="inlineStr"/>
      <c r="M1575" s="34" t="inlineStr">
        <is>
          <t>Initial</t>
        </is>
      </c>
      <c r="N1575" s="34" t="inlineStr">
        <is>
          <t>Rev 0</t>
        </is>
      </c>
      <c r="O1575" s="34" t="inlineStr">
        <is>
          <t>R1433-v2</t>
        </is>
      </c>
      <c r="P1575" s="39" t="inlineStr"/>
      <c r="Q1575" s="14" t="inlineStr"/>
      <c r="R1575" s="39" t="inlineStr"/>
      <c r="S1575" s="39" t="inlineStr"/>
      <c r="T1575" s="34" t="inlineStr">
        <is>
          <t>Group decision (81 records sharing one decision state)</t>
        </is>
      </c>
      <c r="U1575" s="39" t="inlineStr"/>
      <c r="V1575" s="34" t="inlineStr">
        <is>
          <t>Cost Account = CA-5031</t>
        </is>
      </c>
      <c r="W1575" s="14" t="inlineStr"/>
    </row>
    <row r="1576" ht="64" customHeight="1">
      <c r="A1576" s="34" t="inlineStr">
        <is>
          <t>UNSURE</t>
        </is>
      </c>
      <c r="B1576" s="39" t="inlineStr"/>
      <c r="C1576" s="34" t="inlineStr">
        <is>
          <t>Cost &amp; Forecast Control Accounts</t>
        </is>
      </c>
      <c r="D1576" s="34" t="inlineStr">
        <is>
          <t>CST-05-032</t>
        </is>
      </c>
      <c r="E1576" s="34" t="inlineStr">
        <is>
          <t>Testing &amp; readiness - test management - control account</t>
        </is>
      </c>
      <c r="F1576" s="34" t="inlineStr">
        <is>
          <t>UNSURE</t>
        </is>
      </c>
      <c r="G1576" s="34" t="inlineStr">
        <is>
          <t>APPROVED</t>
        </is>
      </c>
      <c r="H1576" s="34" t="inlineStr">
        <is>
          <t>New</t>
        </is>
      </c>
      <c r="I1576" s="34" t="inlineStr">
        <is>
          <t>Professional decision</t>
        </is>
      </c>
      <c r="J1576" s="34" t="inlineStr">
        <is>
          <t>Maya Chen, Owner Project Controls</t>
        </is>
      </c>
      <c r="K1576" s="34" t="inlineStr">
        <is>
          <t>Professional</t>
        </is>
      </c>
      <c r="L1576" s="39" t="inlineStr"/>
      <c r="M1576" s="34" t="inlineStr">
        <is>
          <t>Initial</t>
        </is>
      </c>
      <c r="N1576" s="34" t="inlineStr">
        <is>
          <t>Rev 0</t>
        </is>
      </c>
      <c r="O1576" s="34" t="inlineStr">
        <is>
          <t>R1434-v2</t>
        </is>
      </c>
      <c r="P1576" s="39" t="inlineStr"/>
      <c r="Q1576" s="14" t="inlineStr"/>
      <c r="R1576" s="39" t="inlineStr"/>
      <c r="S1576" s="39" t="inlineStr"/>
      <c r="T1576" s="34" t="inlineStr">
        <is>
          <t>Group decision (81 records sharing one decision state)</t>
        </is>
      </c>
      <c r="U1576" s="39" t="inlineStr"/>
      <c r="V1576" s="34" t="inlineStr">
        <is>
          <t>Cost Account = CA-5032</t>
        </is>
      </c>
      <c r="W1576" s="14" t="inlineStr"/>
    </row>
    <row r="1577" ht="64" customHeight="1">
      <c r="A1577" s="34" t="inlineStr">
        <is>
          <t>UNSURE</t>
        </is>
      </c>
      <c r="B1577" s="39" t="inlineStr"/>
      <c r="C1577" s="34" t="inlineStr">
        <is>
          <t>Cost &amp; Forecast Control Accounts</t>
        </is>
      </c>
      <c r="D1577" s="34" t="inlineStr">
        <is>
          <t>CST-05-033</t>
        </is>
      </c>
      <c r="E1577" s="34" t="inlineStr">
        <is>
          <t>Testing &amp; readiness - trial running - control account</t>
        </is>
      </c>
      <c r="F1577" s="34" t="inlineStr">
        <is>
          <t>UNSURE</t>
        </is>
      </c>
      <c r="G1577" s="34" t="inlineStr">
        <is>
          <t>APPROVED</t>
        </is>
      </c>
      <c r="H1577" s="34" t="inlineStr">
        <is>
          <t>New</t>
        </is>
      </c>
      <c r="I1577" s="34" t="inlineStr">
        <is>
          <t>Professional decision</t>
        </is>
      </c>
      <c r="J1577" s="34" t="inlineStr">
        <is>
          <t>Maya Chen, Owner Project Controls</t>
        </is>
      </c>
      <c r="K1577" s="34" t="inlineStr">
        <is>
          <t>Professional</t>
        </is>
      </c>
      <c r="L1577" s="39" t="inlineStr"/>
      <c r="M1577" s="34" t="inlineStr">
        <is>
          <t>Initial</t>
        </is>
      </c>
      <c r="N1577" s="34" t="inlineStr">
        <is>
          <t>Rev 0</t>
        </is>
      </c>
      <c r="O1577" s="34" t="inlineStr">
        <is>
          <t>R1435-v2</t>
        </is>
      </c>
      <c r="P1577" s="39" t="inlineStr"/>
      <c r="Q1577" s="14" t="inlineStr"/>
      <c r="R1577" s="39" t="inlineStr"/>
      <c r="S1577" s="39" t="inlineStr"/>
      <c r="T1577" s="34" t="inlineStr">
        <is>
          <t>Group decision (81 records sharing one decision state)</t>
        </is>
      </c>
      <c r="U1577" s="39" t="inlineStr"/>
      <c r="V1577" s="34" t="inlineStr">
        <is>
          <t>Cost Account = CA-5033</t>
        </is>
      </c>
      <c r="W1577" s="14" t="inlineStr"/>
    </row>
    <row r="1578" ht="64" customHeight="1">
      <c r="A1578" s="34" t="inlineStr">
        <is>
          <t>UNSURE</t>
        </is>
      </c>
      <c r="B1578" s="39" t="inlineStr"/>
      <c r="C1578" s="34" t="inlineStr">
        <is>
          <t>Cost &amp; Forecast Control Accounts</t>
        </is>
      </c>
      <c r="D1578" s="34" t="inlineStr">
        <is>
          <t>CST-05-034</t>
        </is>
      </c>
      <c r="E1578" s="34" t="inlineStr">
        <is>
          <t>Testing &amp; readiness - safety certification - control account</t>
        </is>
      </c>
      <c r="F1578" s="34" t="inlineStr">
        <is>
          <t>UNSURE</t>
        </is>
      </c>
      <c r="G1578" s="34" t="inlineStr">
        <is>
          <t>APPROVED</t>
        </is>
      </c>
      <c r="H1578" s="34" t="inlineStr">
        <is>
          <t>New</t>
        </is>
      </c>
      <c r="I1578" s="34" t="inlineStr">
        <is>
          <t>Professional decision</t>
        </is>
      </c>
      <c r="J1578" s="34" t="inlineStr">
        <is>
          <t>Maya Chen, Owner Project Controls</t>
        </is>
      </c>
      <c r="K1578" s="34" t="inlineStr">
        <is>
          <t>Professional</t>
        </is>
      </c>
      <c r="L1578" s="39" t="inlineStr"/>
      <c r="M1578" s="34" t="inlineStr">
        <is>
          <t>Initial</t>
        </is>
      </c>
      <c r="N1578" s="34" t="inlineStr">
        <is>
          <t>Rev 0</t>
        </is>
      </c>
      <c r="O1578" s="34" t="inlineStr">
        <is>
          <t>R1436-v2</t>
        </is>
      </c>
      <c r="P1578" s="39" t="inlineStr"/>
      <c r="Q1578" s="14" t="inlineStr"/>
      <c r="R1578" s="39" t="inlineStr"/>
      <c r="S1578" s="39" t="inlineStr"/>
      <c r="T1578" s="34" t="inlineStr">
        <is>
          <t>Group decision (81 records sharing one decision state)</t>
        </is>
      </c>
      <c r="U1578" s="39" t="inlineStr"/>
      <c r="V1578" s="34" t="inlineStr">
        <is>
          <t>Cost Account = CA-5034</t>
        </is>
      </c>
      <c r="W1578" s="14" t="inlineStr"/>
    </row>
    <row r="1579" ht="64" customHeight="1">
      <c r="A1579" s="34" t="inlineStr">
        <is>
          <t>UNSURE</t>
        </is>
      </c>
      <c r="B1579" s="39" t="inlineStr"/>
      <c r="C1579" s="34" t="inlineStr">
        <is>
          <t>Cost &amp; Forecast Control Accounts</t>
        </is>
      </c>
      <c r="D1579" s="34" t="inlineStr">
        <is>
          <t>CST-05-035</t>
        </is>
      </c>
      <c r="E1579" s="34" t="inlineStr">
        <is>
          <t>Testing &amp; readiness - defect closeout - control account</t>
        </is>
      </c>
      <c r="F1579" s="34" t="inlineStr">
        <is>
          <t>UNSURE</t>
        </is>
      </c>
      <c r="G1579" s="34" t="inlineStr">
        <is>
          <t>APPROVED</t>
        </is>
      </c>
      <c r="H1579" s="34" t="inlineStr">
        <is>
          <t>New</t>
        </is>
      </c>
      <c r="I1579" s="34" t="inlineStr">
        <is>
          <t>Professional decision</t>
        </is>
      </c>
      <c r="J1579" s="34" t="inlineStr">
        <is>
          <t>Maya Chen, Owner Project Controls</t>
        </is>
      </c>
      <c r="K1579" s="34" t="inlineStr">
        <is>
          <t>Professional</t>
        </is>
      </c>
      <c r="L1579" s="39" t="inlineStr"/>
      <c r="M1579" s="34" t="inlineStr">
        <is>
          <t>Initial</t>
        </is>
      </c>
      <c r="N1579" s="34" t="inlineStr">
        <is>
          <t>Rev 0</t>
        </is>
      </c>
      <c r="O1579" s="34" t="inlineStr">
        <is>
          <t>R1437-v2</t>
        </is>
      </c>
      <c r="P1579" s="39" t="inlineStr"/>
      <c r="Q1579" s="14" t="inlineStr"/>
      <c r="R1579" s="39" t="inlineStr"/>
      <c r="S1579" s="39" t="inlineStr"/>
      <c r="T1579" s="34" t="inlineStr">
        <is>
          <t>Group decision (81 records sharing one decision state)</t>
        </is>
      </c>
      <c r="U1579" s="39" t="inlineStr"/>
      <c r="V1579" s="34" t="inlineStr">
        <is>
          <t>Cost Account = CA-5035</t>
        </is>
      </c>
      <c r="W1579" s="14" t="inlineStr"/>
    </row>
    <row r="1580" ht="64" customHeight="1">
      <c r="A1580" s="34" t="inlineStr">
        <is>
          <t>UNSURE</t>
        </is>
      </c>
      <c r="B1580" s="39" t="inlineStr"/>
      <c r="C1580" s="34" t="inlineStr">
        <is>
          <t>Cost &amp; Forecast Control Accounts</t>
        </is>
      </c>
      <c r="D1580" s="34" t="inlineStr">
        <is>
          <t>CST-05-036</t>
        </is>
      </c>
      <c r="E1580" s="34" t="inlineStr">
        <is>
          <t>Testing &amp; readiness - test management - control account</t>
        </is>
      </c>
      <c r="F1580" s="34" t="inlineStr">
        <is>
          <t>UNSURE</t>
        </is>
      </c>
      <c r="G1580" s="34" t="inlineStr">
        <is>
          <t>APPROVED</t>
        </is>
      </c>
      <c r="H1580" s="34" t="inlineStr">
        <is>
          <t>New</t>
        </is>
      </c>
      <c r="I1580" s="34" t="inlineStr">
        <is>
          <t>Professional decision</t>
        </is>
      </c>
      <c r="J1580" s="34" t="inlineStr">
        <is>
          <t>Maya Chen, Owner Project Controls</t>
        </is>
      </c>
      <c r="K1580" s="34" t="inlineStr">
        <is>
          <t>Professional</t>
        </is>
      </c>
      <c r="L1580" s="39" t="inlineStr"/>
      <c r="M1580" s="34" t="inlineStr">
        <is>
          <t>Initial</t>
        </is>
      </c>
      <c r="N1580" s="34" t="inlineStr">
        <is>
          <t>Rev 0</t>
        </is>
      </c>
      <c r="O1580" s="34" t="inlineStr">
        <is>
          <t>R1438-v2</t>
        </is>
      </c>
      <c r="P1580" s="39" t="inlineStr"/>
      <c r="Q1580" s="14" t="inlineStr"/>
      <c r="R1580" s="39" t="inlineStr"/>
      <c r="S1580" s="39" t="inlineStr"/>
      <c r="T1580" s="34" t="inlineStr">
        <is>
          <t>Group decision (81 records sharing one decision state)</t>
        </is>
      </c>
      <c r="U1580" s="39" t="inlineStr"/>
      <c r="V1580" s="34" t="inlineStr">
        <is>
          <t>Cost Account = CA-5036</t>
        </is>
      </c>
      <c r="W1580" s="14" t="inlineStr"/>
    </row>
    <row r="1581" ht="64" customHeight="1">
      <c r="A1581" s="34" t="inlineStr">
        <is>
          <t>UNSURE</t>
        </is>
      </c>
      <c r="B1581" s="39" t="inlineStr"/>
      <c r="C1581" s="34" t="inlineStr">
        <is>
          <t>Cost &amp; Forecast Control Accounts</t>
        </is>
      </c>
      <c r="D1581" s="34" t="inlineStr">
        <is>
          <t>CST-05-037</t>
        </is>
      </c>
      <c r="E1581" s="34" t="inlineStr">
        <is>
          <t>Testing &amp; readiness - trial running - control account</t>
        </is>
      </c>
      <c r="F1581" s="34" t="inlineStr">
        <is>
          <t>UNSURE</t>
        </is>
      </c>
      <c r="G1581" s="34" t="inlineStr">
        <is>
          <t>APPROVED</t>
        </is>
      </c>
      <c r="H1581" s="34" t="inlineStr">
        <is>
          <t>New</t>
        </is>
      </c>
      <c r="I1581" s="34" t="inlineStr">
        <is>
          <t>Professional decision</t>
        </is>
      </c>
      <c r="J1581" s="34" t="inlineStr">
        <is>
          <t>Maya Chen, Owner Project Controls</t>
        </is>
      </c>
      <c r="K1581" s="34" t="inlineStr">
        <is>
          <t>Professional</t>
        </is>
      </c>
      <c r="L1581" s="39" t="inlineStr"/>
      <c r="M1581" s="34" t="inlineStr">
        <is>
          <t>Initial</t>
        </is>
      </c>
      <c r="N1581" s="34" t="inlineStr">
        <is>
          <t>Rev 0</t>
        </is>
      </c>
      <c r="O1581" s="34" t="inlineStr">
        <is>
          <t>R1439-v2</t>
        </is>
      </c>
      <c r="P1581" s="39" t="inlineStr"/>
      <c r="Q1581" s="14" t="inlineStr"/>
      <c r="R1581" s="39" t="inlineStr"/>
      <c r="S1581" s="39" t="inlineStr"/>
      <c r="T1581" s="34" t="inlineStr">
        <is>
          <t>Group decision (81 records sharing one decision state)</t>
        </is>
      </c>
      <c r="U1581" s="39" t="inlineStr"/>
      <c r="V1581" s="34" t="inlineStr">
        <is>
          <t>Cost Account = CA-5037</t>
        </is>
      </c>
      <c r="W1581" s="14" t="inlineStr"/>
    </row>
    <row r="1582" ht="64" customHeight="1">
      <c r="A1582" s="34" t="inlineStr">
        <is>
          <t>UNSURE</t>
        </is>
      </c>
      <c r="B1582" s="39" t="inlineStr"/>
      <c r="C1582" s="34" t="inlineStr">
        <is>
          <t>Cost &amp; Forecast Control Accounts</t>
        </is>
      </c>
      <c r="D1582" s="34" t="inlineStr">
        <is>
          <t>CST-05-038</t>
        </is>
      </c>
      <c r="E1582" s="34" t="inlineStr">
        <is>
          <t>Testing &amp; readiness - safety certification - control account</t>
        </is>
      </c>
      <c r="F1582" s="34" t="inlineStr">
        <is>
          <t>UNSURE</t>
        </is>
      </c>
      <c r="G1582" s="34" t="inlineStr">
        <is>
          <t>APPROVED</t>
        </is>
      </c>
      <c r="H1582" s="34" t="inlineStr">
        <is>
          <t>New</t>
        </is>
      </c>
      <c r="I1582" s="34" t="inlineStr">
        <is>
          <t>Professional decision</t>
        </is>
      </c>
      <c r="J1582" s="34" t="inlineStr">
        <is>
          <t>Maya Chen, Owner Project Controls</t>
        </is>
      </c>
      <c r="K1582" s="34" t="inlineStr">
        <is>
          <t>Professional</t>
        </is>
      </c>
      <c r="L1582" s="39" t="inlineStr"/>
      <c r="M1582" s="34" t="inlineStr">
        <is>
          <t>Initial</t>
        </is>
      </c>
      <c r="N1582" s="34" t="inlineStr">
        <is>
          <t>Rev 0</t>
        </is>
      </c>
      <c r="O1582" s="34" t="inlineStr">
        <is>
          <t>R1440-v2</t>
        </is>
      </c>
      <c r="P1582" s="39" t="inlineStr"/>
      <c r="Q1582" s="14" t="inlineStr"/>
      <c r="R1582" s="39" t="inlineStr"/>
      <c r="S1582" s="39" t="inlineStr"/>
      <c r="T1582" s="34" t="inlineStr">
        <is>
          <t>Group decision (81 records sharing one decision state)</t>
        </is>
      </c>
      <c r="U1582" s="39" t="inlineStr"/>
      <c r="V1582" s="34" t="inlineStr">
        <is>
          <t>Cost Account = CA-5038</t>
        </is>
      </c>
      <c r="W1582" s="14" t="inlineStr"/>
    </row>
    <row r="1583" ht="64" customHeight="1">
      <c r="A1583" s="34" t="inlineStr">
        <is>
          <t>UNSURE</t>
        </is>
      </c>
      <c r="B1583" s="39" t="inlineStr"/>
      <c r="C1583" s="34" t="inlineStr">
        <is>
          <t>Cost &amp; Forecast Control Accounts</t>
        </is>
      </c>
      <c r="D1583" s="34" t="inlineStr">
        <is>
          <t>CST-05-039</t>
        </is>
      </c>
      <c r="E1583" s="34" t="inlineStr">
        <is>
          <t>Testing &amp; readiness - defect closeout - control account</t>
        </is>
      </c>
      <c r="F1583" s="34" t="inlineStr">
        <is>
          <t>UNSURE</t>
        </is>
      </c>
      <c r="G1583" s="34" t="inlineStr">
        <is>
          <t>APPROVED</t>
        </is>
      </c>
      <c r="H1583" s="34" t="inlineStr">
        <is>
          <t>New</t>
        </is>
      </c>
      <c r="I1583" s="34" t="inlineStr">
        <is>
          <t>Professional decision</t>
        </is>
      </c>
      <c r="J1583" s="34" t="inlineStr">
        <is>
          <t>Maya Chen, Owner Project Controls</t>
        </is>
      </c>
      <c r="K1583" s="34" t="inlineStr">
        <is>
          <t>Professional</t>
        </is>
      </c>
      <c r="L1583" s="39" t="inlineStr"/>
      <c r="M1583" s="34" t="inlineStr">
        <is>
          <t>Initial</t>
        </is>
      </c>
      <c r="N1583" s="34" t="inlineStr">
        <is>
          <t>Rev 0</t>
        </is>
      </c>
      <c r="O1583" s="34" t="inlineStr">
        <is>
          <t>R1441-v2</t>
        </is>
      </c>
      <c r="P1583" s="39" t="inlineStr"/>
      <c r="Q1583" s="14" t="inlineStr"/>
      <c r="R1583" s="39" t="inlineStr"/>
      <c r="S1583" s="39" t="inlineStr"/>
      <c r="T1583" s="34" t="inlineStr">
        <is>
          <t>Group decision (81 records sharing one decision state)</t>
        </is>
      </c>
      <c r="U1583" s="39" t="inlineStr"/>
      <c r="V1583" s="34" t="inlineStr">
        <is>
          <t>Cost Account = CA-5039</t>
        </is>
      </c>
      <c r="W1583" s="14" t="inlineStr"/>
    </row>
    <row r="1584" ht="64" customHeight="1">
      <c r="A1584" s="34" t="inlineStr">
        <is>
          <t>UNSURE</t>
        </is>
      </c>
      <c r="B1584" s="39" t="inlineStr"/>
      <c r="C1584" s="34" t="inlineStr">
        <is>
          <t>Cost &amp; Forecast Control Accounts</t>
        </is>
      </c>
      <c r="D1584" s="34" t="inlineStr">
        <is>
          <t>CST-05-040</t>
        </is>
      </c>
      <c r="E1584" s="34" t="inlineStr">
        <is>
          <t>Testing &amp; readiness - test management - control account</t>
        </is>
      </c>
      <c r="F1584" s="34" t="inlineStr">
        <is>
          <t>UNSURE</t>
        </is>
      </c>
      <c r="G1584" s="34" t="inlineStr">
        <is>
          <t>APPROVED</t>
        </is>
      </c>
      <c r="H1584" s="34" t="inlineStr">
        <is>
          <t>New</t>
        </is>
      </c>
      <c r="I1584" s="34" t="inlineStr">
        <is>
          <t>Professional decision</t>
        </is>
      </c>
      <c r="J1584" s="34" t="inlineStr">
        <is>
          <t>Maya Chen, Owner Project Controls</t>
        </is>
      </c>
      <c r="K1584" s="34" t="inlineStr">
        <is>
          <t>Professional</t>
        </is>
      </c>
      <c r="L1584" s="39" t="inlineStr"/>
      <c r="M1584" s="34" t="inlineStr">
        <is>
          <t>Initial</t>
        </is>
      </c>
      <c r="N1584" s="34" t="inlineStr">
        <is>
          <t>Rev 0</t>
        </is>
      </c>
      <c r="O1584" s="34" t="inlineStr">
        <is>
          <t>R1442-v2</t>
        </is>
      </c>
      <c r="P1584" s="39" t="inlineStr"/>
      <c r="Q1584" s="14" t="inlineStr"/>
      <c r="R1584" s="39" t="inlineStr"/>
      <c r="S1584" s="39" t="inlineStr"/>
      <c r="T1584" s="34" t="inlineStr">
        <is>
          <t>Group decision (81 records sharing one decision state)</t>
        </is>
      </c>
      <c r="U1584" s="39" t="inlineStr"/>
      <c r="V1584" s="34" t="inlineStr">
        <is>
          <t>Cost Account = CA-5040</t>
        </is>
      </c>
      <c r="W1584" s="14" t="inlineStr"/>
    </row>
    <row r="1585" ht="64" customHeight="1">
      <c r="A1585" s="34" t="inlineStr">
        <is>
          <t>UNSURE</t>
        </is>
      </c>
      <c r="B1585" s="39" t="inlineStr"/>
      <c r="C1585" s="34" t="inlineStr">
        <is>
          <t>Cost &amp; Forecast Control Accounts</t>
        </is>
      </c>
      <c r="D1585" s="34" t="inlineStr">
        <is>
          <t>CST-05-041</t>
        </is>
      </c>
      <c r="E1585" s="34" t="inlineStr">
        <is>
          <t>Testing &amp; readiness - trial running - control account</t>
        </is>
      </c>
      <c r="F1585" s="34" t="inlineStr">
        <is>
          <t>UNSURE</t>
        </is>
      </c>
      <c r="G1585" s="34" t="inlineStr">
        <is>
          <t>APPROVED</t>
        </is>
      </c>
      <c r="H1585" s="34" t="inlineStr">
        <is>
          <t>New</t>
        </is>
      </c>
      <c r="I1585" s="34" t="inlineStr">
        <is>
          <t>Professional decision</t>
        </is>
      </c>
      <c r="J1585" s="34" t="inlineStr">
        <is>
          <t>Maya Chen, Owner Project Controls</t>
        </is>
      </c>
      <c r="K1585" s="34" t="inlineStr">
        <is>
          <t>Professional</t>
        </is>
      </c>
      <c r="L1585" s="39" t="inlineStr"/>
      <c r="M1585" s="34" t="inlineStr">
        <is>
          <t>Initial</t>
        </is>
      </c>
      <c r="N1585" s="34" t="inlineStr">
        <is>
          <t>Rev 0</t>
        </is>
      </c>
      <c r="O1585" s="34" t="inlineStr">
        <is>
          <t>R1443-v2</t>
        </is>
      </c>
      <c r="P1585" s="39" t="inlineStr"/>
      <c r="Q1585" s="14" t="inlineStr"/>
      <c r="R1585" s="39" t="inlineStr"/>
      <c r="S1585" s="39" t="inlineStr"/>
      <c r="T1585" s="34" t="inlineStr">
        <is>
          <t>Group decision (81 records sharing one decision state)</t>
        </is>
      </c>
      <c r="U1585" s="39" t="inlineStr"/>
      <c r="V1585" s="34" t="inlineStr">
        <is>
          <t>Cost Account = CA-5041</t>
        </is>
      </c>
      <c r="W1585" s="14" t="inlineStr"/>
    </row>
    <row r="1586" ht="64" customHeight="1">
      <c r="A1586" s="34" t="inlineStr">
        <is>
          <t>UNSURE</t>
        </is>
      </c>
      <c r="B1586" s="39" t="inlineStr"/>
      <c r="C1586" s="34" t="inlineStr">
        <is>
          <t>Cost &amp; Forecast Control Accounts</t>
        </is>
      </c>
      <c r="D1586" s="34" t="inlineStr">
        <is>
          <t>CST-05-042</t>
        </is>
      </c>
      <c r="E1586" s="34" t="inlineStr">
        <is>
          <t>Testing &amp; readiness - safety certification - control account</t>
        </is>
      </c>
      <c r="F1586" s="34" t="inlineStr">
        <is>
          <t>UNSURE</t>
        </is>
      </c>
      <c r="G1586" s="34" t="inlineStr">
        <is>
          <t>APPROVED</t>
        </is>
      </c>
      <c r="H1586" s="34" t="inlineStr">
        <is>
          <t>New</t>
        </is>
      </c>
      <c r="I1586" s="34" t="inlineStr">
        <is>
          <t>Professional decision</t>
        </is>
      </c>
      <c r="J1586" s="34" t="inlineStr">
        <is>
          <t>Maya Chen, Owner Project Controls</t>
        </is>
      </c>
      <c r="K1586" s="34" t="inlineStr">
        <is>
          <t>Professional</t>
        </is>
      </c>
      <c r="L1586" s="39" t="inlineStr"/>
      <c r="M1586" s="34" t="inlineStr">
        <is>
          <t>Initial</t>
        </is>
      </c>
      <c r="N1586" s="34" t="inlineStr">
        <is>
          <t>Rev 0</t>
        </is>
      </c>
      <c r="O1586" s="34" t="inlineStr">
        <is>
          <t>R1444-v2</t>
        </is>
      </c>
      <c r="P1586" s="39" t="inlineStr"/>
      <c r="Q1586" s="14" t="inlineStr"/>
      <c r="R1586" s="39" t="inlineStr"/>
      <c r="S1586" s="39" t="inlineStr"/>
      <c r="T1586" s="34" t="inlineStr">
        <is>
          <t>Group decision (81 records sharing one decision state)</t>
        </is>
      </c>
      <c r="U1586" s="39" t="inlineStr"/>
      <c r="V1586" s="34" t="inlineStr">
        <is>
          <t>Cost Account = CA-5042</t>
        </is>
      </c>
      <c r="W1586" s="14" t="inlineStr"/>
    </row>
    <row r="1587" ht="64" customHeight="1">
      <c r="A1587" s="34" t="inlineStr">
        <is>
          <t>UNSURE</t>
        </is>
      </c>
      <c r="B1587" s="39" t="inlineStr"/>
      <c r="C1587" s="34" t="inlineStr">
        <is>
          <t>Cost &amp; Forecast Control Accounts</t>
        </is>
      </c>
      <c r="D1587" s="34" t="inlineStr">
        <is>
          <t>CST-05-043</t>
        </is>
      </c>
      <c r="E1587" s="34" t="inlineStr">
        <is>
          <t>Testing &amp; readiness - defect closeout - control account</t>
        </is>
      </c>
      <c r="F1587" s="34" t="inlineStr">
        <is>
          <t>UNSURE</t>
        </is>
      </c>
      <c r="G1587" s="34" t="inlineStr">
        <is>
          <t>APPROVED</t>
        </is>
      </c>
      <c r="H1587" s="34" t="inlineStr">
        <is>
          <t>New</t>
        </is>
      </c>
      <c r="I1587" s="34" t="inlineStr">
        <is>
          <t>Professional decision</t>
        </is>
      </c>
      <c r="J1587" s="34" t="inlineStr">
        <is>
          <t>Maya Chen, Owner Project Controls</t>
        </is>
      </c>
      <c r="K1587" s="34" t="inlineStr">
        <is>
          <t>Professional</t>
        </is>
      </c>
      <c r="L1587" s="39" t="inlineStr"/>
      <c r="M1587" s="34" t="inlineStr">
        <is>
          <t>Initial</t>
        </is>
      </c>
      <c r="N1587" s="34" t="inlineStr">
        <is>
          <t>Rev 0</t>
        </is>
      </c>
      <c r="O1587" s="34" t="inlineStr">
        <is>
          <t>R1445-v2</t>
        </is>
      </c>
      <c r="P1587" s="39" t="inlineStr"/>
      <c r="Q1587" s="14" t="inlineStr"/>
      <c r="R1587" s="39" t="inlineStr"/>
      <c r="S1587" s="39" t="inlineStr"/>
      <c r="T1587" s="34" t="inlineStr">
        <is>
          <t>Group decision (81 records sharing one decision state)</t>
        </is>
      </c>
      <c r="U1587" s="39" t="inlineStr"/>
      <c r="V1587" s="34" t="inlineStr">
        <is>
          <t>Cost Account = CA-5043</t>
        </is>
      </c>
      <c r="W1587" s="14" t="inlineStr"/>
    </row>
    <row r="1588" ht="64" customHeight="1">
      <c r="A1588" s="34" t="inlineStr">
        <is>
          <t>UNSURE</t>
        </is>
      </c>
      <c r="B1588" s="39" t="inlineStr"/>
      <c r="C1588" s="34" t="inlineStr">
        <is>
          <t>Cost &amp; Forecast Control Accounts</t>
        </is>
      </c>
      <c r="D1588" s="34" t="inlineStr">
        <is>
          <t>CST-05-044</t>
        </is>
      </c>
      <c r="E1588" s="34" t="inlineStr">
        <is>
          <t>Testing &amp; readiness - test management - control account</t>
        </is>
      </c>
      <c r="F1588" s="34" t="inlineStr">
        <is>
          <t>UNSURE</t>
        </is>
      </c>
      <c r="G1588" s="34" t="inlineStr">
        <is>
          <t>APPROVED</t>
        </is>
      </c>
      <c r="H1588" s="34" t="inlineStr">
        <is>
          <t>New</t>
        </is>
      </c>
      <c r="I1588" s="34" t="inlineStr">
        <is>
          <t>Professional decision</t>
        </is>
      </c>
      <c r="J1588" s="34" t="inlineStr">
        <is>
          <t>Maya Chen, Owner Project Controls</t>
        </is>
      </c>
      <c r="K1588" s="34" t="inlineStr">
        <is>
          <t>Professional</t>
        </is>
      </c>
      <c r="L1588" s="39" t="inlineStr"/>
      <c r="M1588" s="34" t="inlineStr">
        <is>
          <t>Initial</t>
        </is>
      </c>
      <c r="N1588" s="34" t="inlineStr">
        <is>
          <t>Rev 0</t>
        </is>
      </c>
      <c r="O1588" s="34" t="inlineStr">
        <is>
          <t>R1446-v2</t>
        </is>
      </c>
      <c r="P1588" s="39" t="inlineStr"/>
      <c r="Q1588" s="14" t="inlineStr"/>
      <c r="R1588" s="39" t="inlineStr"/>
      <c r="S1588" s="39" t="inlineStr"/>
      <c r="T1588" s="34" t="inlineStr">
        <is>
          <t>Group decision (81 records sharing one decision state)</t>
        </is>
      </c>
      <c r="U1588" s="39" t="inlineStr"/>
      <c r="V1588" s="34" t="inlineStr">
        <is>
          <t>Cost Account = CA-5044</t>
        </is>
      </c>
      <c r="W1588" s="14" t="inlineStr"/>
    </row>
    <row r="1589" ht="64" customHeight="1">
      <c r="A1589" s="34" t="inlineStr">
        <is>
          <t>UNSURE</t>
        </is>
      </c>
      <c r="B1589" s="39" t="inlineStr"/>
      <c r="C1589" s="34" t="inlineStr">
        <is>
          <t>Cost &amp; Forecast Control Accounts</t>
        </is>
      </c>
      <c r="D1589" s="34" t="inlineStr">
        <is>
          <t>CST-05-045</t>
        </is>
      </c>
      <c r="E1589" s="34" t="inlineStr">
        <is>
          <t>Testing &amp; readiness - trial running - control account</t>
        </is>
      </c>
      <c r="F1589" s="34" t="inlineStr">
        <is>
          <t>UNSURE</t>
        </is>
      </c>
      <c r="G1589" s="34" t="inlineStr">
        <is>
          <t>APPROVED</t>
        </is>
      </c>
      <c r="H1589" s="34" t="inlineStr">
        <is>
          <t>New</t>
        </is>
      </c>
      <c r="I1589" s="34" t="inlineStr">
        <is>
          <t>Professional decision</t>
        </is>
      </c>
      <c r="J1589" s="34" t="inlineStr">
        <is>
          <t>Maya Chen, Owner Project Controls</t>
        </is>
      </c>
      <c r="K1589" s="34" t="inlineStr">
        <is>
          <t>Professional</t>
        </is>
      </c>
      <c r="L1589" s="39" t="inlineStr"/>
      <c r="M1589" s="34" t="inlineStr">
        <is>
          <t>Initial</t>
        </is>
      </c>
      <c r="N1589" s="34" t="inlineStr">
        <is>
          <t>Rev 0</t>
        </is>
      </c>
      <c r="O1589" s="34" t="inlineStr">
        <is>
          <t>R1447-v2</t>
        </is>
      </c>
      <c r="P1589" s="39" t="inlineStr"/>
      <c r="Q1589" s="14" t="inlineStr"/>
      <c r="R1589" s="39" t="inlineStr"/>
      <c r="S1589" s="39" t="inlineStr"/>
      <c r="T1589" s="34" t="inlineStr">
        <is>
          <t>Group decision (81 records sharing one decision state)</t>
        </is>
      </c>
      <c r="U1589" s="39" t="inlineStr"/>
      <c r="V1589" s="34" t="inlineStr">
        <is>
          <t>Cost Account = CA-5045</t>
        </is>
      </c>
      <c r="W1589" s="14" t="inlineStr"/>
    </row>
    <row r="1590" ht="64" customHeight="1">
      <c r="A1590" s="34" t="inlineStr">
        <is>
          <t>UNSURE</t>
        </is>
      </c>
      <c r="B1590" s="39" t="inlineStr"/>
      <c r="C1590" s="34" t="inlineStr">
        <is>
          <t>Cost &amp; Forecast Control Accounts</t>
        </is>
      </c>
      <c r="D1590" s="34" t="inlineStr">
        <is>
          <t>CST-05-046</t>
        </is>
      </c>
      <c r="E1590" s="34" t="inlineStr">
        <is>
          <t>Testing &amp; readiness - safety certification - control account</t>
        </is>
      </c>
      <c r="F1590" s="34" t="inlineStr">
        <is>
          <t>UNSURE</t>
        </is>
      </c>
      <c r="G1590" s="34" t="inlineStr">
        <is>
          <t>APPROVED</t>
        </is>
      </c>
      <c r="H1590" s="34" t="inlineStr">
        <is>
          <t>New</t>
        </is>
      </c>
      <c r="I1590" s="34" t="inlineStr">
        <is>
          <t>Professional decision</t>
        </is>
      </c>
      <c r="J1590" s="34" t="inlineStr">
        <is>
          <t>Maya Chen, Owner Project Controls</t>
        </is>
      </c>
      <c r="K1590" s="34" t="inlineStr">
        <is>
          <t>Professional</t>
        </is>
      </c>
      <c r="L1590" s="39" t="inlineStr"/>
      <c r="M1590" s="34" t="inlineStr">
        <is>
          <t>Initial</t>
        </is>
      </c>
      <c r="N1590" s="34" t="inlineStr">
        <is>
          <t>Rev 0</t>
        </is>
      </c>
      <c r="O1590" s="34" t="inlineStr">
        <is>
          <t>R1448-v2</t>
        </is>
      </c>
      <c r="P1590" s="39" t="inlineStr"/>
      <c r="Q1590" s="14" t="inlineStr"/>
      <c r="R1590" s="39" t="inlineStr"/>
      <c r="S1590" s="39" t="inlineStr"/>
      <c r="T1590" s="34" t="inlineStr">
        <is>
          <t>Group decision (81 records sharing one decision state)</t>
        </is>
      </c>
      <c r="U1590" s="39" t="inlineStr"/>
      <c r="V1590" s="34" t="inlineStr">
        <is>
          <t>Cost Account = CA-5046</t>
        </is>
      </c>
      <c r="W1590" s="14" t="inlineStr"/>
    </row>
    <row r="1591" ht="64" customHeight="1">
      <c r="A1591" s="34" t="inlineStr">
        <is>
          <t>UNSURE</t>
        </is>
      </c>
      <c r="B1591" s="39" t="inlineStr"/>
      <c r="C1591" s="34" t="inlineStr">
        <is>
          <t>Cost &amp; Forecast Control Accounts</t>
        </is>
      </c>
      <c r="D1591" s="34" t="inlineStr">
        <is>
          <t>CST-05-047</t>
        </is>
      </c>
      <c r="E1591" s="34" t="inlineStr">
        <is>
          <t>Testing &amp; readiness - defect closeout - control account</t>
        </is>
      </c>
      <c r="F1591" s="34" t="inlineStr">
        <is>
          <t>UNSURE</t>
        </is>
      </c>
      <c r="G1591" s="34" t="inlineStr">
        <is>
          <t>APPROVED</t>
        </is>
      </c>
      <c r="H1591" s="34" t="inlineStr">
        <is>
          <t>New</t>
        </is>
      </c>
      <c r="I1591" s="34" t="inlineStr">
        <is>
          <t>Professional decision</t>
        </is>
      </c>
      <c r="J1591" s="34" t="inlineStr">
        <is>
          <t>Maya Chen, Owner Project Controls</t>
        </is>
      </c>
      <c r="K1591" s="34" t="inlineStr">
        <is>
          <t>Professional</t>
        </is>
      </c>
      <c r="L1591" s="39" t="inlineStr"/>
      <c r="M1591" s="34" t="inlineStr">
        <is>
          <t>Initial</t>
        </is>
      </c>
      <c r="N1591" s="34" t="inlineStr">
        <is>
          <t>Rev 0</t>
        </is>
      </c>
      <c r="O1591" s="34" t="inlineStr">
        <is>
          <t>R1449-v2</t>
        </is>
      </c>
      <c r="P1591" s="39" t="inlineStr"/>
      <c r="Q1591" s="14" t="inlineStr"/>
      <c r="R1591" s="39" t="inlineStr"/>
      <c r="S1591" s="39" t="inlineStr"/>
      <c r="T1591" s="34" t="inlineStr">
        <is>
          <t>Group decision (81 records sharing one decision state)</t>
        </is>
      </c>
      <c r="U1591" s="39" t="inlineStr"/>
      <c r="V1591" s="34" t="inlineStr">
        <is>
          <t>Cost Account = CA-5047</t>
        </is>
      </c>
      <c r="W1591" s="14" t="inlineStr"/>
    </row>
    <row r="1592" ht="64" customHeight="1">
      <c r="A1592" s="34" t="inlineStr">
        <is>
          <t>UNSURE</t>
        </is>
      </c>
      <c r="B1592" s="39" t="inlineStr"/>
      <c r="C1592" s="34" t="inlineStr">
        <is>
          <t>Cost &amp; Forecast Control Accounts</t>
        </is>
      </c>
      <c r="D1592" s="34" t="inlineStr">
        <is>
          <t>CST-05-048</t>
        </is>
      </c>
      <c r="E1592" s="34" t="inlineStr">
        <is>
          <t>Testing &amp; readiness - test management - control account</t>
        </is>
      </c>
      <c r="F1592" s="34" t="inlineStr">
        <is>
          <t>UNSURE</t>
        </is>
      </c>
      <c r="G1592" s="34" t="inlineStr">
        <is>
          <t>APPROVED</t>
        </is>
      </c>
      <c r="H1592" s="34" t="inlineStr">
        <is>
          <t>New</t>
        </is>
      </c>
      <c r="I1592" s="34" t="inlineStr">
        <is>
          <t>Professional decision</t>
        </is>
      </c>
      <c r="J1592" s="34" t="inlineStr">
        <is>
          <t>Maya Chen, Owner Project Controls</t>
        </is>
      </c>
      <c r="K1592" s="34" t="inlineStr">
        <is>
          <t>Professional</t>
        </is>
      </c>
      <c r="L1592" s="39" t="inlineStr"/>
      <c r="M1592" s="34" t="inlineStr">
        <is>
          <t>Initial</t>
        </is>
      </c>
      <c r="N1592" s="34" t="inlineStr">
        <is>
          <t>Rev 0</t>
        </is>
      </c>
      <c r="O1592" s="34" t="inlineStr">
        <is>
          <t>R1450-v2</t>
        </is>
      </c>
      <c r="P1592" s="39" t="inlineStr"/>
      <c r="Q1592" s="14" t="inlineStr"/>
      <c r="R1592" s="39" t="inlineStr"/>
      <c r="S1592" s="39" t="inlineStr"/>
      <c r="T1592" s="34" t="inlineStr">
        <is>
          <t>Group decision (81 records sharing one decision state)</t>
        </is>
      </c>
      <c r="U1592" s="39" t="inlineStr"/>
      <c r="V1592" s="34" t="inlineStr">
        <is>
          <t>Cost Account = CA-5048</t>
        </is>
      </c>
      <c r="W1592" s="14" t="inlineStr"/>
    </row>
    <row r="1593" ht="64" customHeight="1">
      <c r="A1593" s="34" t="inlineStr">
        <is>
          <t>UNSURE</t>
        </is>
      </c>
      <c r="B1593" s="39" t="inlineStr"/>
      <c r="C1593" s="34" t="inlineStr">
        <is>
          <t>Cost &amp; Forecast Control Accounts</t>
        </is>
      </c>
      <c r="D1593" s="34" t="inlineStr">
        <is>
          <t>CST-05-049</t>
        </is>
      </c>
      <c r="E1593" s="34" t="inlineStr">
        <is>
          <t>Testing &amp; readiness - trial running - control account</t>
        </is>
      </c>
      <c r="F1593" s="34" t="inlineStr">
        <is>
          <t>UNSURE</t>
        </is>
      </c>
      <c r="G1593" s="34" t="inlineStr">
        <is>
          <t>APPROVED</t>
        </is>
      </c>
      <c r="H1593" s="34" t="inlineStr">
        <is>
          <t>New</t>
        </is>
      </c>
      <c r="I1593" s="34" t="inlineStr">
        <is>
          <t>Professional decision</t>
        </is>
      </c>
      <c r="J1593" s="34" t="inlineStr">
        <is>
          <t>Maya Chen, Owner Project Controls</t>
        </is>
      </c>
      <c r="K1593" s="34" t="inlineStr">
        <is>
          <t>Professional</t>
        </is>
      </c>
      <c r="L1593" s="39" t="inlineStr"/>
      <c r="M1593" s="34" t="inlineStr">
        <is>
          <t>Initial</t>
        </is>
      </c>
      <c r="N1593" s="34" t="inlineStr">
        <is>
          <t>Rev 0</t>
        </is>
      </c>
      <c r="O1593" s="34" t="inlineStr">
        <is>
          <t>R1451-v2</t>
        </is>
      </c>
      <c r="P1593" s="39" t="inlineStr"/>
      <c r="Q1593" s="14" t="inlineStr"/>
      <c r="R1593" s="39" t="inlineStr"/>
      <c r="S1593" s="39" t="inlineStr"/>
      <c r="T1593" s="34" t="inlineStr">
        <is>
          <t>Group decision (81 records sharing one decision state)</t>
        </is>
      </c>
      <c r="U1593" s="39" t="inlineStr"/>
      <c r="V1593" s="34" t="inlineStr">
        <is>
          <t>Cost Account = CA-5049</t>
        </is>
      </c>
      <c r="W1593" s="14" t="inlineStr"/>
    </row>
    <row r="1594" ht="64" customHeight="1">
      <c r="A1594" s="34" t="inlineStr">
        <is>
          <t>UNSURE</t>
        </is>
      </c>
      <c r="B1594" s="39" t="inlineStr"/>
      <c r="C1594" s="34" t="inlineStr">
        <is>
          <t>Cost &amp; Forecast Control Accounts</t>
        </is>
      </c>
      <c r="D1594" s="34" t="inlineStr">
        <is>
          <t>CST-05-050</t>
        </is>
      </c>
      <c r="E1594" s="34" t="inlineStr">
        <is>
          <t>Testing &amp; readiness - safety certification - control account</t>
        </is>
      </c>
      <c r="F1594" s="34" t="inlineStr">
        <is>
          <t>UNSURE</t>
        </is>
      </c>
      <c r="G1594" s="34" t="inlineStr">
        <is>
          <t>APPROVED</t>
        </is>
      </c>
      <c r="H1594" s="34" t="inlineStr">
        <is>
          <t>New</t>
        </is>
      </c>
      <c r="I1594" s="34" t="inlineStr">
        <is>
          <t>Professional decision</t>
        </is>
      </c>
      <c r="J1594" s="34" t="inlineStr">
        <is>
          <t>Maya Chen, Owner Project Controls</t>
        </is>
      </c>
      <c r="K1594" s="34" t="inlineStr">
        <is>
          <t>Professional</t>
        </is>
      </c>
      <c r="L1594" s="39" t="inlineStr"/>
      <c r="M1594" s="34" t="inlineStr">
        <is>
          <t>Initial</t>
        </is>
      </c>
      <c r="N1594" s="34" t="inlineStr">
        <is>
          <t>Rev 0</t>
        </is>
      </c>
      <c r="O1594" s="34" t="inlineStr">
        <is>
          <t>R1452-v2</t>
        </is>
      </c>
      <c r="P1594" s="39" t="inlineStr"/>
      <c r="Q1594" s="14" t="inlineStr"/>
      <c r="R1594" s="39" t="inlineStr"/>
      <c r="S1594" s="39" t="inlineStr"/>
      <c r="T1594" s="34" t="inlineStr">
        <is>
          <t>Group decision (81 records sharing one decision state)</t>
        </is>
      </c>
      <c r="U1594" s="39" t="inlineStr"/>
      <c r="V1594" s="34" t="inlineStr">
        <is>
          <t>Cost Account = CA-5050</t>
        </is>
      </c>
      <c r="W1594" s="14" t="inlineStr"/>
    </row>
    <row r="1595" ht="64" customHeight="1">
      <c r="A1595" s="34" t="inlineStr">
        <is>
          <t>UNSURE</t>
        </is>
      </c>
      <c r="B1595" s="39" t="inlineStr"/>
      <c r="C1595" s="34" t="inlineStr">
        <is>
          <t>Cost &amp; Forecast Control Accounts</t>
        </is>
      </c>
      <c r="D1595" s="34" t="inlineStr">
        <is>
          <t>CST-05-051</t>
        </is>
      </c>
      <c r="E1595" s="34" t="inlineStr">
        <is>
          <t>Testing &amp; readiness - defect closeout - control account</t>
        </is>
      </c>
      <c r="F1595" s="34" t="inlineStr">
        <is>
          <t>UNSURE</t>
        </is>
      </c>
      <c r="G1595" s="34" t="inlineStr">
        <is>
          <t>APPROVED</t>
        </is>
      </c>
      <c r="H1595" s="34" t="inlineStr">
        <is>
          <t>New</t>
        </is>
      </c>
      <c r="I1595" s="34" t="inlineStr">
        <is>
          <t>Professional decision</t>
        </is>
      </c>
      <c r="J1595" s="34" t="inlineStr">
        <is>
          <t>Maya Chen, Owner Project Controls</t>
        </is>
      </c>
      <c r="K1595" s="34" t="inlineStr">
        <is>
          <t>Professional</t>
        </is>
      </c>
      <c r="L1595" s="39" t="inlineStr"/>
      <c r="M1595" s="34" t="inlineStr">
        <is>
          <t>Initial</t>
        </is>
      </c>
      <c r="N1595" s="34" t="inlineStr">
        <is>
          <t>Rev 0</t>
        </is>
      </c>
      <c r="O1595" s="34" t="inlineStr">
        <is>
          <t>R1453-v2</t>
        </is>
      </c>
      <c r="P1595" s="39" t="inlineStr"/>
      <c r="Q1595" s="14" t="inlineStr"/>
      <c r="R1595" s="39" t="inlineStr"/>
      <c r="S1595" s="39" t="inlineStr"/>
      <c r="T1595" s="34" t="inlineStr">
        <is>
          <t>Group decision (81 records sharing one decision state)</t>
        </is>
      </c>
      <c r="U1595" s="39" t="inlineStr"/>
      <c r="V1595" s="34" t="inlineStr">
        <is>
          <t>Cost Account = CA-5051</t>
        </is>
      </c>
      <c r="W1595" s="14" t="inlineStr"/>
    </row>
    <row r="1596" ht="64" customHeight="1">
      <c r="A1596" s="34" t="inlineStr">
        <is>
          <t>UNSURE</t>
        </is>
      </c>
      <c r="B1596" s="39" t="inlineStr"/>
      <c r="C1596" s="34" t="inlineStr">
        <is>
          <t>Cost &amp; Forecast Control Accounts</t>
        </is>
      </c>
      <c r="D1596" s="34" t="inlineStr">
        <is>
          <t>CST-05-052</t>
        </is>
      </c>
      <c r="E1596" s="34" t="inlineStr">
        <is>
          <t>Testing &amp; readiness - test management - control account</t>
        </is>
      </c>
      <c r="F1596" s="34" t="inlineStr">
        <is>
          <t>UNSURE</t>
        </is>
      </c>
      <c r="G1596" s="34" t="inlineStr">
        <is>
          <t>APPROVED</t>
        </is>
      </c>
      <c r="H1596" s="34" t="inlineStr">
        <is>
          <t>New</t>
        </is>
      </c>
      <c r="I1596" s="34" t="inlineStr">
        <is>
          <t>Professional decision</t>
        </is>
      </c>
      <c r="J1596" s="34" t="inlineStr">
        <is>
          <t>Maya Chen, Owner Project Controls</t>
        </is>
      </c>
      <c r="K1596" s="34" t="inlineStr">
        <is>
          <t>Professional</t>
        </is>
      </c>
      <c r="L1596" s="39" t="inlineStr"/>
      <c r="M1596" s="34" t="inlineStr">
        <is>
          <t>Initial</t>
        </is>
      </c>
      <c r="N1596" s="34" t="inlineStr">
        <is>
          <t>Rev 0</t>
        </is>
      </c>
      <c r="O1596" s="34" t="inlineStr">
        <is>
          <t>R1454-v2</t>
        </is>
      </c>
      <c r="P1596" s="39" t="inlineStr"/>
      <c r="Q1596" s="14" t="inlineStr"/>
      <c r="R1596" s="39" t="inlineStr"/>
      <c r="S1596" s="39" t="inlineStr"/>
      <c r="T1596" s="34" t="inlineStr">
        <is>
          <t>Group decision (81 records sharing one decision state)</t>
        </is>
      </c>
      <c r="U1596" s="39" t="inlineStr"/>
      <c r="V1596" s="34" t="inlineStr">
        <is>
          <t>Cost Account = CA-5052</t>
        </is>
      </c>
      <c r="W1596" s="14" t="inlineStr"/>
    </row>
    <row r="1597" ht="64" customHeight="1">
      <c r="A1597" s="34" t="inlineStr">
        <is>
          <t>UNSURE</t>
        </is>
      </c>
      <c r="B1597" s="39" t="inlineStr"/>
      <c r="C1597" s="34" t="inlineStr">
        <is>
          <t>Cost &amp; Forecast Control Accounts</t>
        </is>
      </c>
      <c r="D1597" s="34" t="inlineStr">
        <is>
          <t>CST-05-053</t>
        </is>
      </c>
      <c r="E1597" s="34" t="inlineStr">
        <is>
          <t>Testing &amp; readiness - trial running - control account</t>
        </is>
      </c>
      <c r="F1597" s="34" t="inlineStr">
        <is>
          <t>UNSURE</t>
        </is>
      </c>
      <c r="G1597" s="34" t="inlineStr">
        <is>
          <t>APPROVED</t>
        </is>
      </c>
      <c r="H1597" s="34" t="inlineStr">
        <is>
          <t>New</t>
        </is>
      </c>
      <c r="I1597" s="34" t="inlineStr">
        <is>
          <t>Professional decision</t>
        </is>
      </c>
      <c r="J1597" s="34" t="inlineStr">
        <is>
          <t>Maya Chen, Owner Project Controls</t>
        </is>
      </c>
      <c r="K1597" s="34" t="inlineStr">
        <is>
          <t>Professional</t>
        </is>
      </c>
      <c r="L1597" s="39" t="inlineStr"/>
      <c r="M1597" s="34" t="inlineStr">
        <is>
          <t>Initial</t>
        </is>
      </c>
      <c r="N1597" s="34" t="inlineStr">
        <is>
          <t>Rev 0</t>
        </is>
      </c>
      <c r="O1597" s="34" t="inlineStr">
        <is>
          <t>R1455-v2</t>
        </is>
      </c>
      <c r="P1597" s="39" t="inlineStr"/>
      <c r="Q1597" s="14" t="inlineStr"/>
      <c r="R1597" s="39" t="inlineStr"/>
      <c r="S1597" s="39" t="inlineStr"/>
      <c r="T1597" s="34" t="inlineStr">
        <is>
          <t>Group decision (81 records sharing one decision state)</t>
        </is>
      </c>
      <c r="U1597" s="39" t="inlineStr"/>
      <c r="V1597" s="34" t="inlineStr">
        <is>
          <t>Cost Account = CA-5053</t>
        </is>
      </c>
      <c r="W1597" s="14" t="inlineStr"/>
    </row>
    <row r="1598" ht="64" customHeight="1">
      <c r="A1598" s="34" t="inlineStr">
        <is>
          <t>UNSURE</t>
        </is>
      </c>
      <c r="B1598" s="39" t="inlineStr"/>
      <c r="C1598" s="34" t="inlineStr">
        <is>
          <t>Cost &amp; Forecast Control Accounts</t>
        </is>
      </c>
      <c r="D1598" s="34" t="inlineStr">
        <is>
          <t>CST-05-054</t>
        </is>
      </c>
      <c r="E1598" s="34" t="inlineStr">
        <is>
          <t>Testing &amp; readiness - safety certification - control account</t>
        </is>
      </c>
      <c r="F1598" s="34" t="inlineStr">
        <is>
          <t>UNSURE</t>
        </is>
      </c>
      <c r="G1598" s="34" t="inlineStr">
        <is>
          <t>APPROVED</t>
        </is>
      </c>
      <c r="H1598" s="34" t="inlineStr">
        <is>
          <t>New</t>
        </is>
      </c>
      <c r="I1598" s="34" t="inlineStr">
        <is>
          <t>Professional decision</t>
        </is>
      </c>
      <c r="J1598" s="34" t="inlineStr">
        <is>
          <t>Maya Chen, Owner Project Controls</t>
        </is>
      </c>
      <c r="K1598" s="34" t="inlineStr">
        <is>
          <t>Professional</t>
        </is>
      </c>
      <c r="L1598" s="39" t="inlineStr"/>
      <c r="M1598" s="34" t="inlineStr">
        <is>
          <t>Initial</t>
        </is>
      </c>
      <c r="N1598" s="34" t="inlineStr">
        <is>
          <t>Rev 0</t>
        </is>
      </c>
      <c r="O1598" s="34" t="inlineStr">
        <is>
          <t>R1456-v2</t>
        </is>
      </c>
      <c r="P1598" s="39" t="inlineStr"/>
      <c r="Q1598" s="14" t="inlineStr"/>
      <c r="R1598" s="39" t="inlineStr"/>
      <c r="S1598" s="39" t="inlineStr"/>
      <c r="T1598" s="34" t="inlineStr">
        <is>
          <t>Group decision (81 records sharing one decision state)</t>
        </is>
      </c>
      <c r="U1598" s="39" t="inlineStr"/>
      <c r="V1598" s="34" t="inlineStr">
        <is>
          <t>Cost Account = CA-5054</t>
        </is>
      </c>
      <c r="W1598" s="14" t="inlineStr"/>
    </row>
    <row r="1599" ht="64" customHeight="1">
      <c r="A1599" s="34" t="inlineStr">
        <is>
          <t>UNSURE</t>
        </is>
      </c>
      <c r="B1599" s="39" t="inlineStr"/>
      <c r="C1599" s="34" t="inlineStr">
        <is>
          <t>Cost &amp; Forecast Control Accounts</t>
        </is>
      </c>
      <c r="D1599" s="34" t="inlineStr">
        <is>
          <t>CST-05-055</t>
        </is>
      </c>
      <c r="E1599" s="34" t="inlineStr">
        <is>
          <t>Testing &amp; readiness - defect closeout - control account</t>
        </is>
      </c>
      <c r="F1599" s="34" t="inlineStr">
        <is>
          <t>UNSURE</t>
        </is>
      </c>
      <c r="G1599" s="34" t="inlineStr">
        <is>
          <t>APPROVED</t>
        </is>
      </c>
      <c r="H1599" s="34" t="inlineStr">
        <is>
          <t>New</t>
        </is>
      </c>
      <c r="I1599" s="34" t="inlineStr">
        <is>
          <t>Professional decision</t>
        </is>
      </c>
      <c r="J1599" s="34" t="inlineStr">
        <is>
          <t>Maya Chen, Owner Project Controls</t>
        </is>
      </c>
      <c r="K1599" s="34" t="inlineStr">
        <is>
          <t>Professional</t>
        </is>
      </c>
      <c r="L1599" s="39" t="inlineStr"/>
      <c r="M1599" s="34" t="inlineStr">
        <is>
          <t>Initial</t>
        </is>
      </c>
      <c r="N1599" s="34" t="inlineStr">
        <is>
          <t>Rev 0</t>
        </is>
      </c>
      <c r="O1599" s="34" t="inlineStr">
        <is>
          <t>R1457-v2</t>
        </is>
      </c>
      <c r="P1599" s="39" t="inlineStr"/>
      <c r="Q1599" s="14" t="inlineStr"/>
      <c r="R1599" s="39" t="inlineStr"/>
      <c r="S1599" s="39" t="inlineStr"/>
      <c r="T1599" s="34" t="inlineStr">
        <is>
          <t>Group decision (81 records sharing one decision state)</t>
        </is>
      </c>
      <c r="U1599" s="39" t="inlineStr"/>
      <c r="V1599" s="34" t="inlineStr">
        <is>
          <t>Cost Account = CA-5055</t>
        </is>
      </c>
      <c r="W1599" s="14" t="inlineStr"/>
    </row>
    <row r="1600" ht="64" customHeight="1">
      <c r="A1600" s="34" t="inlineStr">
        <is>
          <t>UNSURE</t>
        </is>
      </c>
      <c r="B1600" s="39" t="inlineStr"/>
      <c r="C1600" s="34" t="inlineStr">
        <is>
          <t>Cost &amp; Forecast Control Accounts</t>
        </is>
      </c>
      <c r="D1600" s="34" t="inlineStr">
        <is>
          <t>CST-05-056</t>
        </is>
      </c>
      <c r="E1600" s="34" t="inlineStr">
        <is>
          <t>Testing &amp; readiness - test management - control account</t>
        </is>
      </c>
      <c r="F1600" s="34" t="inlineStr">
        <is>
          <t>UNSURE</t>
        </is>
      </c>
      <c r="G1600" s="34" t="inlineStr">
        <is>
          <t>APPROVED</t>
        </is>
      </c>
      <c r="H1600" s="34" t="inlineStr">
        <is>
          <t>New</t>
        </is>
      </c>
      <c r="I1600" s="34" t="inlineStr">
        <is>
          <t>Professional decision</t>
        </is>
      </c>
      <c r="J1600" s="34" t="inlineStr">
        <is>
          <t>Maya Chen, Owner Project Controls</t>
        </is>
      </c>
      <c r="K1600" s="34" t="inlineStr">
        <is>
          <t>Professional</t>
        </is>
      </c>
      <c r="L1600" s="39" t="inlineStr"/>
      <c r="M1600" s="34" t="inlineStr">
        <is>
          <t>Initial</t>
        </is>
      </c>
      <c r="N1600" s="34" t="inlineStr">
        <is>
          <t>Rev 0</t>
        </is>
      </c>
      <c r="O1600" s="34" t="inlineStr">
        <is>
          <t>R1458-v2</t>
        </is>
      </c>
      <c r="P1600" s="39" t="inlineStr"/>
      <c r="Q1600" s="14" t="inlineStr"/>
      <c r="R1600" s="39" t="inlineStr"/>
      <c r="S1600" s="39" t="inlineStr"/>
      <c r="T1600" s="34" t="inlineStr">
        <is>
          <t>Group decision (81 records sharing one decision state)</t>
        </is>
      </c>
      <c r="U1600" s="39" t="inlineStr"/>
      <c r="V1600" s="34" t="inlineStr">
        <is>
          <t>Cost Account = CA-5056</t>
        </is>
      </c>
      <c r="W1600" s="14" t="inlineStr"/>
    </row>
    <row r="1601" ht="64" customHeight="1">
      <c r="A1601" s="34" t="inlineStr">
        <is>
          <t>UNSURE</t>
        </is>
      </c>
      <c r="B1601" s="39" t="inlineStr"/>
      <c r="C1601" s="34" t="inlineStr">
        <is>
          <t>Cost &amp; Forecast Control Accounts</t>
        </is>
      </c>
      <c r="D1601" s="34" t="inlineStr">
        <is>
          <t>CST-05-057</t>
        </is>
      </c>
      <c r="E1601" s="34" t="inlineStr">
        <is>
          <t>Testing &amp; readiness - trial running - control account</t>
        </is>
      </c>
      <c r="F1601" s="34" t="inlineStr">
        <is>
          <t>UNSURE</t>
        </is>
      </c>
      <c r="G1601" s="34" t="inlineStr">
        <is>
          <t>APPROVED</t>
        </is>
      </c>
      <c r="H1601" s="34" t="inlineStr">
        <is>
          <t>New</t>
        </is>
      </c>
      <c r="I1601" s="34" t="inlineStr">
        <is>
          <t>Professional decision</t>
        </is>
      </c>
      <c r="J1601" s="34" t="inlineStr">
        <is>
          <t>Maya Chen, Owner Project Controls</t>
        </is>
      </c>
      <c r="K1601" s="34" t="inlineStr">
        <is>
          <t>Professional</t>
        </is>
      </c>
      <c r="L1601" s="39" t="inlineStr"/>
      <c r="M1601" s="34" t="inlineStr">
        <is>
          <t>Initial</t>
        </is>
      </c>
      <c r="N1601" s="34" t="inlineStr">
        <is>
          <t>Rev 0</t>
        </is>
      </c>
      <c r="O1601" s="34" t="inlineStr">
        <is>
          <t>R1459-v2</t>
        </is>
      </c>
      <c r="P1601" s="39" t="inlineStr"/>
      <c r="Q1601" s="14" t="inlineStr"/>
      <c r="R1601" s="39" t="inlineStr"/>
      <c r="S1601" s="39" t="inlineStr"/>
      <c r="T1601" s="34" t="inlineStr">
        <is>
          <t>Group decision (81 records sharing one decision state)</t>
        </is>
      </c>
      <c r="U1601" s="39" t="inlineStr"/>
      <c r="V1601" s="34" t="inlineStr">
        <is>
          <t>Cost Account = CA-5057</t>
        </is>
      </c>
      <c r="W1601" s="14" t="inlineStr"/>
    </row>
    <row r="1602" ht="64" customHeight="1">
      <c r="A1602" s="34" t="inlineStr">
        <is>
          <t>UNSURE</t>
        </is>
      </c>
      <c r="B1602" s="39" t="inlineStr"/>
      <c r="C1602" s="34" t="inlineStr">
        <is>
          <t>Cost &amp; Forecast Control Accounts</t>
        </is>
      </c>
      <c r="D1602" s="34" t="inlineStr">
        <is>
          <t>CST-05-058</t>
        </is>
      </c>
      <c r="E1602" s="34" t="inlineStr">
        <is>
          <t>Testing &amp; readiness - safety certification - control account</t>
        </is>
      </c>
      <c r="F1602" s="34" t="inlineStr">
        <is>
          <t>UNSURE</t>
        </is>
      </c>
      <c r="G1602" s="34" t="inlineStr">
        <is>
          <t>APPROVED</t>
        </is>
      </c>
      <c r="H1602" s="34" t="inlineStr">
        <is>
          <t>New</t>
        </is>
      </c>
      <c r="I1602" s="34" t="inlineStr">
        <is>
          <t>Professional decision</t>
        </is>
      </c>
      <c r="J1602" s="34" t="inlineStr">
        <is>
          <t>Maya Chen, Owner Project Controls</t>
        </is>
      </c>
      <c r="K1602" s="34" t="inlineStr">
        <is>
          <t>Professional</t>
        </is>
      </c>
      <c r="L1602" s="39" t="inlineStr"/>
      <c r="M1602" s="34" t="inlineStr">
        <is>
          <t>Initial</t>
        </is>
      </c>
      <c r="N1602" s="34" t="inlineStr">
        <is>
          <t>Rev 0</t>
        </is>
      </c>
      <c r="O1602" s="34" t="inlineStr">
        <is>
          <t>R1460-v2</t>
        </is>
      </c>
      <c r="P1602" s="39" t="inlineStr"/>
      <c r="Q1602" s="14" t="inlineStr"/>
      <c r="R1602" s="39" t="inlineStr"/>
      <c r="S1602" s="39" t="inlineStr"/>
      <c r="T1602" s="34" t="inlineStr">
        <is>
          <t>Group decision (81 records sharing one decision state)</t>
        </is>
      </c>
      <c r="U1602" s="39" t="inlineStr"/>
      <c r="V1602" s="34" t="inlineStr">
        <is>
          <t>Cost Account = CA-5058</t>
        </is>
      </c>
      <c r="W1602" s="14" t="inlineStr"/>
    </row>
    <row r="1603" ht="64" customHeight="1">
      <c r="A1603" s="34" t="inlineStr">
        <is>
          <t>UNSURE</t>
        </is>
      </c>
      <c r="B1603" s="39" t="inlineStr"/>
      <c r="C1603" s="34" t="inlineStr">
        <is>
          <t>Cost &amp; Forecast Control Accounts</t>
        </is>
      </c>
      <c r="D1603" s="34" t="inlineStr">
        <is>
          <t>CST-05-059</t>
        </is>
      </c>
      <c r="E1603" s="34" t="inlineStr">
        <is>
          <t>Testing &amp; readiness - defect closeout - control account</t>
        </is>
      </c>
      <c r="F1603" s="34" t="inlineStr">
        <is>
          <t>UNSURE</t>
        </is>
      </c>
      <c r="G1603" s="34" t="inlineStr">
        <is>
          <t>APPROVED</t>
        </is>
      </c>
      <c r="H1603" s="34" t="inlineStr">
        <is>
          <t>New</t>
        </is>
      </c>
      <c r="I1603" s="34" t="inlineStr">
        <is>
          <t>Professional decision</t>
        </is>
      </c>
      <c r="J1603" s="34" t="inlineStr">
        <is>
          <t>Maya Chen, Owner Project Controls</t>
        </is>
      </c>
      <c r="K1603" s="34" t="inlineStr">
        <is>
          <t>Professional</t>
        </is>
      </c>
      <c r="L1603" s="39" t="inlineStr"/>
      <c r="M1603" s="34" t="inlineStr">
        <is>
          <t>Initial</t>
        </is>
      </c>
      <c r="N1603" s="34" t="inlineStr">
        <is>
          <t>Rev 0</t>
        </is>
      </c>
      <c r="O1603" s="34" t="inlineStr">
        <is>
          <t>R1461-v2</t>
        </is>
      </c>
      <c r="P1603" s="39" t="inlineStr"/>
      <c r="Q1603" s="14" t="inlineStr"/>
      <c r="R1603" s="39" t="inlineStr"/>
      <c r="S1603" s="39" t="inlineStr"/>
      <c r="T1603" s="34" t="inlineStr">
        <is>
          <t>Group decision (81 records sharing one decision state)</t>
        </is>
      </c>
      <c r="U1603" s="39" t="inlineStr"/>
      <c r="V1603" s="34" t="inlineStr">
        <is>
          <t>Cost Account = CA-5059</t>
        </is>
      </c>
      <c r="W1603" s="14" t="inlineStr"/>
    </row>
    <row r="1604" ht="64" customHeight="1">
      <c r="A1604" s="34" t="inlineStr">
        <is>
          <t>UNSURE</t>
        </is>
      </c>
      <c r="B1604" s="39" t="inlineStr"/>
      <c r="C1604" s="34" t="inlineStr">
        <is>
          <t>Cost &amp; Forecast Control Accounts</t>
        </is>
      </c>
      <c r="D1604" s="34" t="inlineStr">
        <is>
          <t>CST-05-060</t>
        </is>
      </c>
      <c r="E1604" s="34" t="inlineStr">
        <is>
          <t>Testing &amp; readiness - test management - control account</t>
        </is>
      </c>
      <c r="F1604" s="34" t="inlineStr">
        <is>
          <t>UNSURE</t>
        </is>
      </c>
      <c r="G1604" s="34" t="inlineStr">
        <is>
          <t>APPROVED</t>
        </is>
      </c>
      <c r="H1604" s="34" t="inlineStr">
        <is>
          <t>New</t>
        </is>
      </c>
      <c r="I1604" s="34" t="inlineStr">
        <is>
          <t>Professional decision</t>
        </is>
      </c>
      <c r="J1604" s="34" t="inlineStr">
        <is>
          <t>Maya Chen, Owner Project Controls</t>
        </is>
      </c>
      <c r="K1604" s="34" t="inlineStr">
        <is>
          <t>Professional</t>
        </is>
      </c>
      <c r="L1604" s="39" t="inlineStr"/>
      <c r="M1604" s="34" t="inlineStr">
        <is>
          <t>Initial</t>
        </is>
      </c>
      <c r="N1604" s="34" t="inlineStr">
        <is>
          <t>Rev 0</t>
        </is>
      </c>
      <c r="O1604" s="34" t="inlineStr">
        <is>
          <t>R1462-v2</t>
        </is>
      </c>
      <c r="P1604" s="39" t="inlineStr"/>
      <c r="Q1604" s="14" t="inlineStr"/>
      <c r="R1604" s="39" t="inlineStr"/>
      <c r="S1604" s="39" t="inlineStr"/>
      <c r="T1604" s="34" t="inlineStr">
        <is>
          <t>Group decision (81 records sharing one decision state)</t>
        </is>
      </c>
      <c r="U1604" s="39" t="inlineStr"/>
      <c r="V1604" s="34" t="inlineStr">
        <is>
          <t>Cost Account = CA-5060</t>
        </is>
      </c>
      <c r="W1604" s="14" t="inlineStr"/>
    </row>
    <row r="1605" ht="64" customHeight="1">
      <c r="A1605" s="34" t="inlineStr">
        <is>
          <t>UNSURE</t>
        </is>
      </c>
      <c r="B1605" s="39" t="inlineStr"/>
      <c r="C1605" s="34" t="inlineStr">
        <is>
          <t>Cost &amp; Forecast Control Accounts</t>
        </is>
      </c>
      <c r="D1605" s="34" t="inlineStr">
        <is>
          <t>CST-05-061</t>
        </is>
      </c>
      <c r="E1605" s="34" t="inlineStr">
        <is>
          <t>Testing &amp; readiness - trial running - control account</t>
        </is>
      </c>
      <c r="F1605" s="34" t="inlineStr">
        <is>
          <t>UNSURE</t>
        </is>
      </c>
      <c r="G1605" s="34" t="inlineStr">
        <is>
          <t>APPROVED</t>
        </is>
      </c>
      <c r="H1605" s="34" t="inlineStr">
        <is>
          <t>New</t>
        </is>
      </c>
      <c r="I1605" s="34" t="inlineStr">
        <is>
          <t>Professional decision</t>
        </is>
      </c>
      <c r="J1605" s="34" t="inlineStr">
        <is>
          <t>Maya Chen, Owner Project Controls</t>
        </is>
      </c>
      <c r="K1605" s="34" t="inlineStr">
        <is>
          <t>Professional</t>
        </is>
      </c>
      <c r="L1605" s="39" t="inlineStr"/>
      <c r="M1605" s="34" t="inlineStr">
        <is>
          <t>Initial</t>
        </is>
      </c>
      <c r="N1605" s="34" t="inlineStr">
        <is>
          <t>Rev 0</t>
        </is>
      </c>
      <c r="O1605" s="34" t="inlineStr">
        <is>
          <t>R1463-v2</t>
        </is>
      </c>
      <c r="P1605" s="39" t="inlineStr"/>
      <c r="Q1605" s="14" t="inlineStr"/>
      <c r="R1605" s="39" t="inlineStr"/>
      <c r="S1605" s="39" t="inlineStr"/>
      <c r="T1605" s="34" t="inlineStr">
        <is>
          <t>Group decision (81 records sharing one decision state)</t>
        </is>
      </c>
      <c r="U1605" s="39" t="inlineStr"/>
      <c r="V1605" s="34" t="inlineStr">
        <is>
          <t>Cost Account = CA-5061</t>
        </is>
      </c>
      <c r="W1605" s="14" t="inlineStr"/>
    </row>
    <row r="1606" ht="64" customHeight="1">
      <c r="A1606" s="34" t="inlineStr">
        <is>
          <t>UNSURE</t>
        </is>
      </c>
      <c r="B1606" s="39" t="inlineStr"/>
      <c r="C1606" s="34" t="inlineStr">
        <is>
          <t>Cost &amp; Forecast Control Accounts</t>
        </is>
      </c>
      <c r="D1606" s="34" t="inlineStr">
        <is>
          <t>CST-05-062</t>
        </is>
      </c>
      <c r="E1606" s="34" t="inlineStr">
        <is>
          <t>Testing &amp; readiness - safety certification - control account</t>
        </is>
      </c>
      <c r="F1606" s="34" t="inlineStr">
        <is>
          <t>UNSURE</t>
        </is>
      </c>
      <c r="G1606" s="34" t="inlineStr">
        <is>
          <t>APPROVED</t>
        </is>
      </c>
      <c r="H1606" s="34" t="inlineStr">
        <is>
          <t>New</t>
        </is>
      </c>
      <c r="I1606" s="34" t="inlineStr">
        <is>
          <t>Professional decision</t>
        </is>
      </c>
      <c r="J1606" s="34" t="inlineStr">
        <is>
          <t>Maya Chen, Owner Project Controls</t>
        </is>
      </c>
      <c r="K1606" s="34" t="inlineStr">
        <is>
          <t>Professional</t>
        </is>
      </c>
      <c r="L1606" s="39" t="inlineStr"/>
      <c r="M1606" s="34" t="inlineStr">
        <is>
          <t>Initial</t>
        </is>
      </c>
      <c r="N1606" s="34" t="inlineStr">
        <is>
          <t>Rev 0</t>
        </is>
      </c>
      <c r="O1606" s="34" t="inlineStr">
        <is>
          <t>R1464-v2</t>
        </is>
      </c>
      <c r="P1606" s="39" t="inlineStr"/>
      <c r="Q1606" s="14" t="inlineStr"/>
      <c r="R1606" s="39" t="inlineStr"/>
      <c r="S1606" s="39" t="inlineStr"/>
      <c r="T1606" s="34" t="inlineStr">
        <is>
          <t>Group decision (81 records sharing one decision state)</t>
        </is>
      </c>
      <c r="U1606" s="39" t="inlineStr"/>
      <c r="V1606" s="34" t="inlineStr">
        <is>
          <t>Cost Account = CA-5062</t>
        </is>
      </c>
      <c r="W1606" s="14" t="inlineStr"/>
    </row>
    <row r="1607" ht="64" customHeight="1">
      <c r="A1607" s="34" t="inlineStr">
        <is>
          <t>UNSURE</t>
        </is>
      </c>
      <c r="B1607" s="39" t="inlineStr"/>
      <c r="C1607" s="34" t="inlineStr">
        <is>
          <t>Cost &amp; Forecast Control Accounts</t>
        </is>
      </c>
      <c r="D1607" s="34" t="inlineStr">
        <is>
          <t>CST-05-063</t>
        </is>
      </c>
      <c r="E1607" s="34" t="inlineStr">
        <is>
          <t>Testing &amp; readiness - defect closeout - control account</t>
        </is>
      </c>
      <c r="F1607" s="34" t="inlineStr">
        <is>
          <t>UNSURE</t>
        </is>
      </c>
      <c r="G1607" s="34" t="inlineStr">
        <is>
          <t>APPROVED</t>
        </is>
      </c>
      <c r="H1607" s="34" t="inlineStr">
        <is>
          <t>New</t>
        </is>
      </c>
      <c r="I1607" s="34" t="inlineStr">
        <is>
          <t>Professional decision</t>
        </is>
      </c>
      <c r="J1607" s="34" t="inlineStr">
        <is>
          <t>Maya Chen, Owner Project Controls</t>
        </is>
      </c>
      <c r="K1607" s="34" t="inlineStr">
        <is>
          <t>Professional</t>
        </is>
      </c>
      <c r="L1607" s="39" t="inlineStr"/>
      <c r="M1607" s="34" t="inlineStr">
        <is>
          <t>Initial</t>
        </is>
      </c>
      <c r="N1607" s="34" t="inlineStr">
        <is>
          <t>Rev 0</t>
        </is>
      </c>
      <c r="O1607" s="34" t="inlineStr">
        <is>
          <t>R1465-v2</t>
        </is>
      </c>
      <c r="P1607" s="39" t="inlineStr"/>
      <c r="Q1607" s="14" t="inlineStr"/>
      <c r="R1607" s="39" t="inlineStr"/>
      <c r="S1607" s="39" t="inlineStr"/>
      <c r="T1607" s="34" t="inlineStr">
        <is>
          <t>Group decision (81 records sharing one decision state)</t>
        </is>
      </c>
      <c r="U1607" s="39" t="inlineStr"/>
      <c r="V1607" s="34" t="inlineStr">
        <is>
          <t>Cost Account = CA-5063</t>
        </is>
      </c>
      <c r="W1607" s="14" t="inlineStr"/>
    </row>
    <row r="1608" ht="64" customHeight="1">
      <c r="A1608" s="34" t="inlineStr">
        <is>
          <t>UNSURE</t>
        </is>
      </c>
      <c r="B1608" s="39" t="inlineStr"/>
      <c r="C1608" s="34" t="inlineStr">
        <is>
          <t>Cost &amp; Forecast Control Accounts</t>
        </is>
      </c>
      <c r="D1608" s="34" t="inlineStr">
        <is>
          <t>CST-05-064</t>
        </is>
      </c>
      <c r="E1608" s="34" t="inlineStr">
        <is>
          <t>Testing &amp; readiness - test management - control account</t>
        </is>
      </c>
      <c r="F1608" s="34" t="inlineStr">
        <is>
          <t>UNSURE</t>
        </is>
      </c>
      <c r="G1608" s="34" t="inlineStr">
        <is>
          <t>APPROVED</t>
        </is>
      </c>
      <c r="H1608" s="34" t="inlineStr">
        <is>
          <t>New</t>
        </is>
      </c>
      <c r="I1608" s="34" t="inlineStr">
        <is>
          <t>Professional decision</t>
        </is>
      </c>
      <c r="J1608" s="34" t="inlineStr">
        <is>
          <t>Maya Chen, Owner Project Controls</t>
        </is>
      </c>
      <c r="K1608" s="34" t="inlineStr">
        <is>
          <t>Professional</t>
        </is>
      </c>
      <c r="L1608" s="39" t="inlineStr"/>
      <c r="M1608" s="34" t="inlineStr">
        <is>
          <t>Initial</t>
        </is>
      </c>
      <c r="N1608" s="34" t="inlineStr">
        <is>
          <t>Rev 0</t>
        </is>
      </c>
      <c r="O1608" s="34" t="inlineStr">
        <is>
          <t>R1466-v2</t>
        </is>
      </c>
      <c r="P1608" s="39" t="inlineStr"/>
      <c r="Q1608" s="14" t="inlineStr"/>
      <c r="R1608" s="39" t="inlineStr"/>
      <c r="S1608" s="39" t="inlineStr"/>
      <c r="T1608" s="34" t="inlineStr">
        <is>
          <t>Group decision (81 records sharing one decision state)</t>
        </is>
      </c>
      <c r="U1608" s="39" t="inlineStr"/>
      <c r="V1608" s="34" t="inlineStr">
        <is>
          <t>Cost Account = CA-5064</t>
        </is>
      </c>
      <c r="W1608" s="14" t="inlineStr"/>
    </row>
    <row r="1609" ht="64" customHeight="1">
      <c r="A1609" s="34" t="inlineStr">
        <is>
          <t>UNSURE</t>
        </is>
      </c>
      <c r="B1609" s="39" t="inlineStr"/>
      <c r="C1609" s="34" t="inlineStr">
        <is>
          <t>Cost &amp; Forecast Control Accounts</t>
        </is>
      </c>
      <c r="D1609" s="34" t="inlineStr">
        <is>
          <t>CST-05-065</t>
        </is>
      </c>
      <c r="E1609" s="34" t="inlineStr">
        <is>
          <t>Testing &amp; readiness - trial running - control account</t>
        </is>
      </c>
      <c r="F1609" s="34" t="inlineStr">
        <is>
          <t>UNSURE</t>
        </is>
      </c>
      <c r="G1609" s="34" t="inlineStr">
        <is>
          <t>APPROVED</t>
        </is>
      </c>
      <c r="H1609" s="34" t="inlineStr">
        <is>
          <t>New</t>
        </is>
      </c>
      <c r="I1609" s="34" t="inlineStr">
        <is>
          <t>Professional decision</t>
        </is>
      </c>
      <c r="J1609" s="34" t="inlineStr">
        <is>
          <t>Maya Chen, Owner Project Controls</t>
        </is>
      </c>
      <c r="K1609" s="34" t="inlineStr">
        <is>
          <t>Professional</t>
        </is>
      </c>
      <c r="L1609" s="39" t="inlineStr"/>
      <c r="M1609" s="34" t="inlineStr">
        <is>
          <t>Initial</t>
        </is>
      </c>
      <c r="N1609" s="34" t="inlineStr">
        <is>
          <t>Rev 0</t>
        </is>
      </c>
      <c r="O1609" s="34" t="inlineStr">
        <is>
          <t>R1467-v2</t>
        </is>
      </c>
      <c r="P1609" s="39" t="inlineStr"/>
      <c r="Q1609" s="14" t="inlineStr"/>
      <c r="R1609" s="39" t="inlineStr"/>
      <c r="S1609" s="39" t="inlineStr"/>
      <c r="T1609" s="34" t="inlineStr">
        <is>
          <t>Group decision (81 records sharing one decision state)</t>
        </is>
      </c>
      <c r="U1609" s="39" t="inlineStr"/>
      <c r="V1609" s="34" t="inlineStr">
        <is>
          <t>Cost Account = CA-5065</t>
        </is>
      </c>
      <c r="W1609" s="14" t="inlineStr"/>
    </row>
    <row r="1610" ht="64" customHeight="1">
      <c r="A1610" s="34" t="inlineStr">
        <is>
          <t>UNSURE</t>
        </is>
      </c>
      <c r="B1610" s="39" t="inlineStr"/>
      <c r="C1610" s="34" t="inlineStr">
        <is>
          <t>Cost &amp; Forecast Control Accounts</t>
        </is>
      </c>
      <c r="D1610" s="34" t="inlineStr">
        <is>
          <t>CST-05-066</t>
        </is>
      </c>
      <c r="E1610" s="34" t="inlineStr">
        <is>
          <t>Testing &amp; readiness - safety certification - control account</t>
        </is>
      </c>
      <c r="F1610" s="34" t="inlineStr">
        <is>
          <t>UNSURE</t>
        </is>
      </c>
      <c r="G1610" s="34" t="inlineStr">
        <is>
          <t>APPROVED</t>
        </is>
      </c>
      <c r="H1610" s="34" t="inlineStr">
        <is>
          <t>New</t>
        </is>
      </c>
      <c r="I1610" s="34" t="inlineStr">
        <is>
          <t>Professional decision</t>
        </is>
      </c>
      <c r="J1610" s="34" t="inlineStr">
        <is>
          <t>Maya Chen, Owner Project Controls</t>
        </is>
      </c>
      <c r="K1610" s="34" t="inlineStr">
        <is>
          <t>Professional</t>
        </is>
      </c>
      <c r="L1610" s="39" t="inlineStr"/>
      <c r="M1610" s="34" t="inlineStr">
        <is>
          <t>Initial</t>
        </is>
      </c>
      <c r="N1610" s="34" t="inlineStr">
        <is>
          <t>Rev 0</t>
        </is>
      </c>
      <c r="O1610" s="34" t="inlineStr">
        <is>
          <t>R1468-v2</t>
        </is>
      </c>
      <c r="P1610" s="39" t="inlineStr"/>
      <c r="Q1610" s="14" t="inlineStr"/>
      <c r="R1610" s="39" t="inlineStr"/>
      <c r="S1610" s="39" t="inlineStr"/>
      <c r="T1610" s="34" t="inlineStr">
        <is>
          <t>Group decision (81 records sharing one decision state)</t>
        </is>
      </c>
      <c r="U1610" s="39" t="inlineStr"/>
      <c r="V1610" s="34" t="inlineStr">
        <is>
          <t>Cost Account = CA-5066</t>
        </is>
      </c>
      <c r="W1610" s="14" t="inlineStr"/>
    </row>
    <row r="1611" ht="64" customHeight="1">
      <c r="A1611" s="34" t="inlineStr">
        <is>
          <t>UNSURE</t>
        </is>
      </c>
      <c r="B1611" s="39" t="inlineStr"/>
      <c r="C1611" s="34" t="inlineStr">
        <is>
          <t>Cost &amp; Forecast Control Accounts</t>
        </is>
      </c>
      <c r="D1611" s="34" t="inlineStr">
        <is>
          <t>CST-05-067</t>
        </is>
      </c>
      <c r="E1611" s="34" t="inlineStr">
        <is>
          <t>Testing &amp; readiness - defect closeout - control account</t>
        </is>
      </c>
      <c r="F1611" s="34" t="inlineStr">
        <is>
          <t>UNSURE</t>
        </is>
      </c>
      <c r="G1611" s="34" t="inlineStr">
        <is>
          <t>APPROVED</t>
        </is>
      </c>
      <c r="H1611" s="34" t="inlineStr">
        <is>
          <t>New</t>
        </is>
      </c>
      <c r="I1611" s="34" t="inlineStr">
        <is>
          <t>Professional decision</t>
        </is>
      </c>
      <c r="J1611" s="34" t="inlineStr">
        <is>
          <t>Maya Chen, Owner Project Controls</t>
        </is>
      </c>
      <c r="K1611" s="34" t="inlineStr">
        <is>
          <t>Professional</t>
        </is>
      </c>
      <c r="L1611" s="39" t="inlineStr"/>
      <c r="M1611" s="34" t="inlineStr">
        <is>
          <t>Initial</t>
        </is>
      </c>
      <c r="N1611" s="34" t="inlineStr">
        <is>
          <t>Rev 0</t>
        </is>
      </c>
      <c r="O1611" s="34" t="inlineStr">
        <is>
          <t>R1469-v2</t>
        </is>
      </c>
      <c r="P1611" s="39" t="inlineStr"/>
      <c r="Q1611" s="14" t="inlineStr"/>
      <c r="R1611" s="39" t="inlineStr"/>
      <c r="S1611" s="39" t="inlineStr"/>
      <c r="T1611" s="34" t="inlineStr">
        <is>
          <t>Group decision (81 records sharing one decision state)</t>
        </is>
      </c>
      <c r="U1611" s="39" t="inlineStr"/>
      <c r="V1611" s="34" t="inlineStr">
        <is>
          <t>Cost Account = CA-5067</t>
        </is>
      </c>
      <c r="W1611" s="14" t="inlineStr"/>
    </row>
    <row r="1612" ht="64" customHeight="1">
      <c r="A1612" s="34" t="inlineStr">
        <is>
          <t>UNSURE</t>
        </is>
      </c>
      <c r="B1612" s="39" t="inlineStr"/>
      <c r="C1612" s="34" t="inlineStr">
        <is>
          <t>Cost &amp; Forecast Control Accounts</t>
        </is>
      </c>
      <c r="D1612" s="34" t="inlineStr">
        <is>
          <t>CST-05-068</t>
        </is>
      </c>
      <c r="E1612" s="34" t="inlineStr">
        <is>
          <t>Testing &amp; readiness - test management - control account</t>
        </is>
      </c>
      <c r="F1612" s="34" t="inlineStr">
        <is>
          <t>UNSURE</t>
        </is>
      </c>
      <c r="G1612" s="34" t="inlineStr">
        <is>
          <t>APPROVED</t>
        </is>
      </c>
      <c r="H1612" s="34" t="inlineStr">
        <is>
          <t>New</t>
        </is>
      </c>
      <c r="I1612" s="34" t="inlineStr">
        <is>
          <t>Professional decision</t>
        </is>
      </c>
      <c r="J1612" s="34" t="inlineStr">
        <is>
          <t>Maya Chen, Owner Project Controls</t>
        </is>
      </c>
      <c r="K1612" s="34" t="inlineStr">
        <is>
          <t>Professional</t>
        </is>
      </c>
      <c r="L1612" s="39" t="inlineStr"/>
      <c r="M1612" s="34" t="inlineStr">
        <is>
          <t>Initial</t>
        </is>
      </c>
      <c r="N1612" s="34" t="inlineStr">
        <is>
          <t>Rev 0</t>
        </is>
      </c>
      <c r="O1612" s="34" t="inlineStr">
        <is>
          <t>R1470-v2</t>
        </is>
      </c>
      <c r="P1612" s="39" t="inlineStr"/>
      <c r="Q1612" s="14" t="inlineStr"/>
      <c r="R1612" s="39" t="inlineStr"/>
      <c r="S1612" s="39" t="inlineStr"/>
      <c r="T1612" s="34" t="inlineStr">
        <is>
          <t>Group decision (81 records sharing one decision state)</t>
        </is>
      </c>
      <c r="U1612" s="39" t="inlineStr"/>
      <c r="V1612" s="34" t="inlineStr">
        <is>
          <t>Cost Account = CA-5068</t>
        </is>
      </c>
      <c r="W1612" s="14" t="inlineStr"/>
    </row>
    <row r="1613" ht="64" customHeight="1">
      <c r="A1613" s="34" t="inlineStr">
        <is>
          <t>UNSURE</t>
        </is>
      </c>
      <c r="B1613" s="39" t="inlineStr"/>
      <c r="C1613" s="34" t="inlineStr">
        <is>
          <t>Cost &amp; Forecast Control Accounts</t>
        </is>
      </c>
      <c r="D1613" s="34" t="inlineStr">
        <is>
          <t>CST-05-069</t>
        </is>
      </c>
      <c r="E1613" s="34" t="inlineStr">
        <is>
          <t>Testing &amp; readiness - trial running - control account</t>
        </is>
      </c>
      <c r="F1613" s="34" t="inlineStr">
        <is>
          <t>UNSURE</t>
        </is>
      </c>
      <c r="G1613" s="34" t="inlineStr">
        <is>
          <t>APPROVED</t>
        </is>
      </c>
      <c r="H1613" s="34" t="inlineStr">
        <is>
          <t>New</t>
        </is>
      </c>
      <c r="I1613" s="34" t="inlineStr">
        <is>
          <t>Professional decision</t>
        </is>
      </c>
      <c r="J1613" s="34" t="inlineStr">
        <is>
          <t>Maya Chen, Owner Project Controls</t>
        </is>
      </c>
      <c r="K1613" s="34" t="inlineStr">
        <is>
          <t>Professional</t>
        </is>
      </c>
      <c r="L1613" s="39" t="inlineStr"/>
      <c r="M1613" s="34" t="inlineStr">
        <is>
          <t>Initial</t>
        </is>
      </c>
      <c r="N1613" s="34" t="inlineStr">
        <is>
          <t>Rev 0</t>
        </is>
      </c>
      <c r="O1613" s="34" t="inlineStr">
        <is>
          <t>R1471-v2</t>
        </is>
      </c>
      <c r="P1613" s="39" t="inlineStr"/>
      <c r="Q1613" s="14" t="inlineStr"/>
      <c r="R1613" s="39" t="inlineStr"/>
      <c r="S1613" s="39" t="inlineStr"/>
      <c r="T1613" s="34" t="inlineStr">
        <is>
          <t>Group decision (81 records sharing one decision state)</t>
        </is>
      </c>
      <c r="U1613" s="39" t="inlineStr"/>
      <c r="V1613" s="34" t="inlineStr">
        <is>
          <t>Cost Account = CA-5069</t>
        </is>
      </c>
      <c r="W1613" s="14" t="inlineStr"/>
    </row>
    <row r="1614" ht="64" customHeight="1">
      <c r="A1614" s="34" t="inlineStr">
        <is>
          <t>UNSURE</t>
        </is>
      </c>
      <c r="B1614" s="39" t="inlineStr"/>
      <c r="C1614" s="34" t="inlineStr">
        <is>
          <t>Cost &amp; Forecast Control Accounts</t>
        </is>
      </c>
      <c r="D1614" s="34" t="inlineStr">
        <is>
          <t>CST-05-070</t>
        </is>
      </c>
      <c r="E1614" s="34" t="inlineStr">
        <is>
          <t>Testing &amp; readiness - safety certification - control account</t>
        </is>
      </c>
      <c r="F1614" s="34" t="inlineStr">
        <is>
          <t>UNSURE</t>
        </is>
      </c>
      <c r="G1614" s="34" t="inlineStr">
        <is>
          <t>APPROVED</t>
        </is>
      </c>
      <c r="H1614" s="34" t="inlineStr">
        <is>
          <t>New</t>
        </is>
      </c>
      <c r="I1614" s="34" t="inlineStr">
        <is>
          <t>Professional decision</t>
        </is>
      </c>
      <c r="J1614" s="34" t="inlineStr">
        <is>
          <t>Maya Chen, Owner Project Controls</t>
        </is>
      </c>
      <c r="K1614" s="34" t="inlineStr">
        <is>
          <t>Professional</t>
        </is>
      </c>
      <c r="L1614" s="39" t="inlineStr"/>
      <c r="M1614" s="34" t="inlineStr">
        <is>
          <t>Initial</t>
        </is>
      </c>
      <c r="N1614" s="34" t="inlineStr">
        <is>
          <t>Rev 0</t>
        </is>
      </c>
      <c r="O1614" s="34" t="inlineStr">
        <is>
          <t>R1472-v2</t>
        </is>
      </c>
      <c r="P1614" s="39" t="inlineStr"/>
      <c r="Q1614" s="14" t="inlineStr"/>
      <c r="R1614" s="39" t="inlineStr"/>
      <c r="S1614" s="39" t="inlineStr"/>
      <c r="T1614" s="34" t="inlineStr">
        <is>
          <t>Group decision (81 records sharing one decision state)</t>
        </is>
      </c>
      <c r="U1614" s="39" t="inlineStr"/>
      <c r="V1614" s="34" t="inlineStr">
        <is>
          <t>Cost Account = CA-5070</t>
        </is>
      </c>
      <c r="W1614" s="14" t="inlineStr"/>
    </row>
    <row r="1615" ht="64" customHeight="1">
      <c r="A1615" s="34" t="inlineStr">
        <is>
          <t>UNSURE</t>
        </is>
      </c>
      <c r="B1615" s="39" t="inlineStr"/>
      <c r="C1615" s="34" t="inlineStr">
        <is>
          <t>Cost &amp; Forecast Control Accounts</t>
        </is>
      </c>
      <c r="D1615" s="34" t="inlineStr">
        <is>
          <t>CST-05-071</t>
        </is>
      </c>
      <c r="E1615" s="34" t="inlineStr">
        <is>
          <t>Testing &amp; readiness - defect closeout - control account</t>
        </is>
      </c>
      <c r="F1615" s="34" t="inlineStr">
        <is>
          <t>UNSURE</t>
        </is>
      </c>
      <c r="G1615" s="34" t="inlineStr">
        <is>
          <t>APPROVED</t>
        </is>
      </c>
      <c r="H1615" s="34" t="inlineStr">
        <is>
          <t>New</t>
        </is>
      </c>
      <c r="I1615" s="34" t="inlineStr">
        <is>
          <t>Professional decision</t>
        </is>
      </c>
      <c r="J1615" s="34" t="inlineStr">
        <is>
          <t>Maya Chen, Owner Project Controls</t>
        </is>
      </c>
      <c r="K1615" s="34" t="inlineStr">
        <is>
          <t>Professional</t>
        </is>
      </c>
      <c r="L1615" s="39" t="inlineStr"/>
      <c r="M1615" s="34" t="inlineStr">
        <is>
          <t>Initial</t>
        </is>
      </c>
      <c r="N1615" s="34" t="inlineStr">
        <is>
          <t>Rev 0</t>
        </is>
      </c>
      <c r="O1615" s="34" t="inlineStr">
        <is>
          <t>R1473-v2</t>
        </is>
      </c>
      <c r="P1615" s="39" t="inlineStr"/>
      <c r="Q1615" s="14" t="inlineStr"/>
      <c r="R1615" s="39" t="inlineStr"/>
      <c r="S1615" s="39" t="inlineStr"/>
      <c r="T1615" s="34" t="inlineStr">
        <is>
          <t>Group decision (81 records sharing one decision state)</t>
        </is>
      </c>
      <c r="U1615" s="39" t="inlineStr"/>
      <c r="V1615" s="34" t="inlineStr">
        <is>
          <t>Cost Account = CA-5071</t>
        </is>
      </c>
      <c r="W1615" s="14" t="inlineStr"/>
    </row>
    <row r="1616" ht="64" customHeight="1">
      <c r="A1616" s="34" t="inlineStr">
        <is>
          <t>UNSURE</t>
        </is>
      </c>
      <c r="B1616" s="39" t="inlineStr"/>
      <c r="C1616" s="34" t="inlineStr">
        <is>
          <t>Cost &amp; Forecast Control Accounts</t>
        </is>
      </c>
      <c r="D1616" s="34" t="inlineStr">
        <is>
          <t>CST-05-072</t>
        </is>
      </c>
      <c r="E1616" s="34" t="inlineStr">
        <is>
          <t>Testing &amp; readiness - test management - control account</t>
        </is>
      </c>
      <c r="F1616" s="34" t="inlineStr">
        <is>
          <t>UNSURE</t>
        </is>
      </c>
      <c r="G1616" s="34" t="inlineStr">
        <is>
          <t>APPROVED</t>
        </is>
      </c>
      <c r="H1616" s="34" t="inlineStr">
        <is>
          <t>New</t>
        </is>
      </c>
      <c r="I1616" s="34" t="inlineStr">
        <is>
          <t>Professional decision</t>
        </is>
      </c>
      <c r="J1616" s="34" t="inlineStr">
        <is>
          <t>Maya Chen, Owner Project Controls</t>
        </is>
      </c>
      <c r="K1616" s="34" t="inlineStr">
        <is>
          <t>Professional</t>
        </is>
      </c>
      <c r="L1616" s="39" t="inlineStr"/>
      <c r="M1616" s="34" t="inlineStr">
        <is>
          <t>Initial</t>
        </is>
      </c>
      <c r="N1616" s="34" t="inlineStr">
        <is>
          <t>Rev 0</t>
        </is>
      </c>
      <c r="O1616" s="34" t="inlineStr">
        <is>
          <t>R1474-v2</t>
        </is>
      </c>
      <c r="P1616" s="39" t="inlineStr"/>
      <c r="Q1616" s="14" t="inlineStr"/>
      <c r="R1616" s="39" t="inlineStr"/>
      <c r="S1616" s="39" t="inlineStr"/>
      <c r="T1616" s="34" t="inlineStr">
        <is>
          <t>Group decision (81 records sharing one decision state)</t>
        </is>
      </c>
      <c r="U1616" s="39" t="inlineStr"/>
      <c r="V1616" s="34" t="inlineStr">
        <is>
          <t>Cost Account = CA-5072</t>
        </is>
      </c>
      <c r="W1616" s="14" t="inlineStr"/>
    </row>
    <row r="1617" ht="64" customHeight="1">
      <c r="A1617" s="34" t="inlineStr">
        <is>
          <t>UNSURE</t>
        </is>
      </c>
      <c r="B1617" s="39" t="inlineStr"/>
      <c r="C1617" s="34" t="inlineStr">
        <is>
          <t>Cost &amp; Forecast Control Accounts</t>
        </is>
      </c>
      <c r="D1617" s="34" t="inlineStr">
        <is>
          <t>CST-05-073</t>
        </is>
      </c>
      <c r="E1617" s="34" t="inlineStr">
        <is>
          <t>Testing &amp; readiness - trial running - control account</t>
        </is>
      </c>
      <c r="F1617" s="34" t="inlineStr">
        <is>
          <t>UNSURE</t>
        </is>
      </c>
      <c r="G1617" s="34" t="inlineStr">
        <is>
          <t>APPROVED</t>
        </is>
      </c>
      <c r="H1617" s="34" t="inlineStr">
        <is>
          <t>New</t>
        </is>
      </c>
      <c r="I1617" s="34" t="inlineStr">
        <is>
          <t>Professional decision</t>
        </is>
      </c>
      <c r="J1617" s="34" t="inlineStr">
        <is>
          <t>Maya Chen, Owner Project Controls</t>
        </is>
      </c>
      <c r="K1617" s="34" t="inlineStr">
        <is>
          <t>Professional</t>
        </is>
      </c>
      <c r="L1617" s="39" t="inlineStr"/>
      <c r="M1617" s="34" t="inlineStr">
        <is>
          <t>Initial</t>
        </is>
      </c>
      <c r="N1617" s="34" t="inlineStr">
        <is>
          <t>Rev 0</t>
        </is>
      </c>
      <c r="O1617" s="34" t="inlineStr">
        <is>
          <t>R1475-v2</t>
        </is>
      </c>
      <c r="P1617" s="39" t="inlineStr"/>
      <c r="Q1617" s="14" t="inlineStr"/>
      <c r="R1617" s="39" t="inlineStr"/>
      <c r="S1617" s="39" t="inlineStr"/>
      <c r="T1617" s="34" t="inlineStr">
        <is>
          <t>Group decision (81 records sharing one decision state)</t>
        </is>
      </c>
      <c r="U1617" s="39" t="inlineStr"/>
      <c r="V1617" s="34" t="inlineStr">
        <is>
          <t>Cost Account = CA-5073</t>
        </is>
      </c>
      <c r="W1617" s="14" t="inlineStr"/>
    </row>
    <row r="1618" ht="64" customHeight="1">
      <c r="A1618" s="34" t="inlineStr">
        <is>
          <t>UNSURE</t>
        </is>
      </c>
      <c r="B1618" s="39" t="inlineStr"/>
      <c r="C1618" s="34" t="inlineStr">
        <is>
          <t>Cost &amp; Forecast Control Accounts</t>
        </is>
      </c>
      <c r="D1618" s="34" t="inlineStr">
        <is>
          <t>CST-05-074</t>
        </is>
      </c>
      <c r="E1618" s="34" t="inlineStr">
        <is>
          <t>Testing &amp; readiness - safety certification - control account</t>
        </is>
      </c>
      <c r="F1618" s="34" t="inlineStr">
        <is>
          <t>UNSURE</t>
        </is>
      </c>
      <c r="G1618" s="34" t="inlineStr">
        <is>
          <t>APPROVED</t>
        </is>
      </c>
      <c r="H1618" s="34" t="inlineStr">
        <is>
          <t>New</t>
        </is>
      </c>
      <c r="I1618" s="34" t="inlineStr">
        <is>
          <t>Professional decision</t>
        </is>
      </c>
      <c r="J1618" s="34" t="inlineStr">
        <is>
          <t>Maya Chen, Owner Project Controls</t>
        </is>
      </c>
      <c r="K1618" s="34" t="inlineStr">
        <is>
          <t>Professional</t>
        </is>
      </c>
      <c r="L1618" s="39" t="inlineStr"/>
      <c r="M1618" s="34" t="inlineStr">
        <is>
          <t>Initial</t>
        </is>
      </c>
      <c r="N1618" s="34" t="inlineStr">
        <is>
          <t>Rev 0</t>
        </is>
      </c>
      <c r="O1618" s="34" t="inlineStr">
        <is>
          <t>R1476-v2</t>
        </is>
      </c>
      <c r="P1618" s="39" t="inlineStr"/>
      <c r="Q1618" s="14" t="inlineStr"/>
      <c r="R1618" s="39" t="inlineStr"/>
      <c r="S1618" s="39" t="inlineStr"/>
      <c r="T1618" s="34" t="inlineStr">
        <is>
          <t>Group decision (81 records sharing one decision state)</t>
        </is>
      </c>
      <c r="U1618" s="39" t="inlineStr"/>
      <c r="V1618" s="34" t="inlineStr">
        <is>
          <t>Cost Account = CA-5074</t>
        </is>
      </c>
      <c r="W1618" s="14" t="inlineStr"/>
    </row>
    <row r="1619" ht="64" customHeight="1">
      <c r="A1619" s="34" t="inlineStr">
        <is>
          <t>UNSURE</t>
        </is>
      </c>
      <c r="B1619" s="39" t="inlineStr"/>
      <c r="C1619" s="34" t="inlineStr">
        <is>
          <t>Cost &amp; Forecast Control Accounts</t>
        </is>
      </c>
      <c r="D1619" s="34" t="inlineStr">
        <is>
          <t>CST-05-075</t>
        </is>
      </c>
      <c r="E1619" s="34" t="inlineStr">
        <is>
          <t>Testing &amp; readiness - defect closeout - control account</t>
        </is>
      </c>
      <c r="F1619" s="34" t="inlineStr">
        <is>
          <t>UNSURE</t>
        </is>
      </c>
      <c r="G1619" s="34" t="inlineStr">
        <is>
          <t>APPROVED</t>
        </is>
      </c>
      <c r="H1619" s="34" t="inlineStr">
        <is>
          <t>New</t>
        </is>
      </c>
      <c r="I1619" s="34" t="inlineStr">
        <is>
          <t>Professional decision</t>
        </is>
      </c>
      <c r="J1619" s="34" t="inlineStr">
        <is>
          <t>Maya Chen, Owner Project Controls</t>
        </is>
      </c>
      <c r="K1619" s="34" t="inlineStr">
        <is>
          <t>Professional</t>
        </is>
      </c>
      <c r="L1619" s="39" t="inlineStr"/>
      <c r="M1619" s="34" t="inlineStr">
        <is>
          <t>Initial</t>
        </is>
      </c>
      <c r="N1619" s="34" t="inlineStr">
        <is>
          <t>Rev 0</t>
        </is>
      </c>
      <c r="O1619" s="34" t="inlineStr">
        <is>
          <t>R1477-v2</t>
        </is>
      </c>
      <c r="P1619" s="39" t="inlineStr"/>
      <c r="Q1619" s="14" t="inlineStr"/>
      <c r="R1619" s="39" t="inlineStr"/>
      <c r="S1619" s="39" t="inlineStr"/>
      <c r="T1619" s="34" t="inlineStr">
        <is>
          <t>Group decision (81 records sharing one decision state)</t>
        </is>
      </c>
      <c r="U1619" s="39" t="inlineStr"/>
      <c r="V1619" s="34" t="inlineStr">
        <is>
          <t>Cost Account = CA-5075</t>
        </is>
      </c>
      <c r="W1619" s="14" t="inlineStr"/>
    </row>
    <row r="1620" ht="64" customHeight="1">
      <c r="A1620" s="34" t="inlineStr">
        <is>
          <t>UNSURE</t>
        </is>
      </c>
      <c r="B1620" s="39" t="inlineStr"/>
      <c r="C1620" s="34" t="inlineStr">
        <is>
          <t>Cost &amp; Forecast Control Accounts</t>
        </is>
      </c>
      <c r="D1620" s="34" t="inlineStr">
        <is>
          <t>CST-05-076</t>
        </is>
      </c>
      <c r="E1620" s="34" t="inlineStr">
        <is>
          <t>Testing &amp; readiness - test management - control account</t>
        </is>
      </c>
      <c r="F1620" s="34" t="inlineStr">
        <is>
          <t>UNSURE</t>
        </is>
      </c>
      <c r="G1620" s="34" t="inlineStr">
        <is>
          <t>APPROVED</t>
        </is>
      </c>
      <c r="H1620" s="34" t="inlineStr">
        <is>
          <t>New</t>
        </is>
      </c>
      <c r="I1620" s="34" t="inlineStr">
        <is>
          <t>Professional decision</t>
        </is>
      </c>
      <c r="J1620" s="34" t="inlineStr">
        <is>
          <t>Maya Chen, Owner Project Controls</t>
        </is>
      </c>
      <c r="K1620" s="34" t="inlineStr">
        <is>
          <t>Professional</t>
        </is>
      </c>
      <c r="L1620" s="39" t="inlineStr"/>
      <c r="M1620" s="34" t="inlineStr">
        <is>
          <t>Initial</t>
        </is>
      </c>
      <c r="N1620" s="34" t="inlineStr">
        <is>
          <t>Rev 0</t>
        </is>
      </c>
      <c r="O1620" s="34" t="inlineStr">
        <is>
          <t>R1478-v2</t>
        </is>
      </c>
      <c r="P1620" s="39" t="inlineStr"/>
      <c r="Q1620" s="14" t="inlineStr"/>
      <c r="R1620" s="39" t="inlineStr"/>
      <c r="S1620" s="39" t="inlineStr"/>
      <c r="T1620" s="34" t="inlineStr">
        <is>
          <t>Group decision (81 records sharing one decision state)</t>
        </is>
      </c>
      <c r="U1620" s="39" t="inlineStr"/>
      <c r="V1620" s="34" t="inlineStr">
        <is>
          <t>Cost Account = CA-5076</t>
        </is>
      </c>
      <c r="W1620" s="14" t="inlineStr"/>
    </row>
    <row r="1621" ht="64" customHeight="1">
      <c r="A1621" s="34" t="inlineStr">
        <is>
          <t>UNSURE</t>
        </is>
      </c>
      <c r="B1621" s="39" t="inlineStr"/>
      <c r="C1621" s="34" t="inlineStr">
        <is>
          <t>Cost &amp; Forecast Control Accounts</t>
        </is>
      </c>
      <c r="D1621" s="34" t="inlineStr">
        <is>
          <t>CST-05-077</t>
        </is>
      </c>
      <c r="E1621" s="34" t="inlineStr">
        <is>
          <t>Testing &amp; readiness - trial running - control account</t>
        </is>
      </c>
      <c r="F1621" s="34" t="inlineStr">
        <is>
          <t>UNSURE</t>
        </is>
      </c>
      <c r="G1621" s="34" t="inlineStr">
        <is>
          <t>APPROVED</t>
        </is>
      </c>
      <c r="H1621" s="34" t="inlineStr">
        <is>
          <t>New</t>
        </is>
      </c>
      <c r="I1621" s="34" t="inlineStr">
        <is>
          <t>Professional decision</t>
        </is>
      </c>
      <c r="J1621" s="34" t="inlineStr">
        <is>
          <t>Maya Chen, Owner Project Controls</t>
        </is>
      </c>
      <c r="K1621" s="34" t="inlineStr">
        <is>
          <t>Professional</t>
        </is>
      </c>
      <c r="L1621" s="39" t="inlineStr"/>
      <c r="M1621" s="34" t="inlineStr">
        <is>
          <t>Initial</t>
        </is>
      </c>
      <c r="N1621" s="34" t="inlineStr">
        <is>
          <t>Rev 0</t>
        </is>
      </c>
      <c r="O1621" s="34" t="inlineStr">
        <is>
          <t>R1479-v2</t>
        </is>
      </c>
      <c r="P1621" s="39" t="inlineStr"/>
      <c r="Q1621" s="14" t="inlineStr"/>
      <c r="R1621" s="39" t="inlineStr"/>
      <c r="S1621" s="39" t="inlineStr"/>
      <c r="T1621" s="34" t="inlineStr">
        <is>
          <t>Group decision (81 records sharing one decision state)</t>
        </is>
      </c>
      <c r="U1621" s="39" t="inlineStr"/>
      <c r="V1621" s="34" t="inlineStr">
        <is>
          <t>Cost Account = CA-5077</t>
        </is>
      </c>
      <c r="W1621" s="14" t="inlineStr"/>
    </row>
    <row r="1622" ht="64" customHeight="1">
      <c r="A1622" s="34" t="inlineStr">
        <is>
          <t>UNSURE</t>
        </is>
      </c>
      <c r="B1622" s="39" t="inlineStr"/>
      <c r="C1622" s="34" t="inlineStr">
        <is>
          <t>Cost &amp; Forecast Control Accounts</t>
        </is>
      </c>
      <c r="D1622" s="34" t="inlineStr">
        <is>
          <t>CST-05-078</t>
        </is>
      </c>
      <c r="E1622" s="34" t="inlineStr">
        <is>
          <t>Testing &amp; readiness - safety certification - control account</t>
        </is>
      </c>
      <c r="F1622" s="34" t="inlineStr">
        <is>
          <t>UNSURE</t>
        </is>
      </c>
      <c r="G1622" s="34" t="inlineStr">
        <is>
          <t>APPROVED</t>
        </is>
      </c>
      <c r="H1622" s="34" t="inlineStr">
        <is>
          <t>New</t>
        </is>
      </c>
      <c r="I1622" s="34" t="inlineStr">
        <is>
          <t>Professional decision</t>
        </is>
      </c>
      <c r="J1622" s="34" t="inlineStr">
        <is>
          <t>Maya Chen, Owner Project Controls</t>
        </is>
      </c>
      <c r="K1622" s="34" t="inlineStr">
        <is>
          <t>Professional</t>
        </is>
      </c>
      <c r="L1622" s="39" t="inlineStr"/>
      <c r="M1622" s="34" t="inlineStr">
        <is>
          <t>Initial</t>
        </is>
      </c>
      <c r="N1622" s="34" t="inlineStr">
        <is>
          <t>Rev 0</t>
        </is>
      </c>
      <c r="O1622" s="34" t="inlineStr">
        <is>
          <t>R1480-v2</t>
        </is>
      </c>
      <c r="P1622" s="39" t="inlineStr"/>
      <c r="Q1622" s="14" t="inlineStr"/>
      <c r="R1622" s="39" t="inlineStr"/>
      <c r="S1622" s="39" t="inlineStr"/>
      <c r="T1622" s="34" t="inlineStr">
        <is>
          <t>Group decision (81 records sharing one decision state)</t>
        </is>
      </c>
      <c r="U1622" s="39" t="inlineStr"/>
      <c r="V1622" s="34" t="inlineStr">
        <is>
          <t>Cost Account = CA-5078</t>
        </is>
      </c>
      <c r="W1622" s="14" t="inlineStr"/>
    </row>
    <row r="1623" ht="64" customHeight="1">
      <c r="A1623" s="34" t="inlineStr">
        <is>
          <t>UNSURE</t>
        </is>
      </c>
      <c r="B1623" s="39" t="inlineStr"/>
      <c r="C1623" s="34" t="inlineStr">
        <is>
          <t>Cost &amp; Forecast Control Accounts</t>
        </is>
      </c>
      <c r="D1623" s="34" t="inlineStr">
        <is>
          <t>CST-05-079</t>
        </is>
      </c>
      <c r="E1623" s="34" t="inlineStr">
        <is>
          <t>Testing &amp; readiness - defect closeout - control account</t>
        </is>
      </c>
      <c r="F1623" s="34" t="inlineStr">
        <is>
          <t>UNSURE</t>
        </is>
      </c>
      <c r="G1623" s="34" t="inlineStr">
        <is>
          <t>APPROVED</t>
        </is>
      </c>
      <c r="H1623" s="34" t="inlineStr">
        <is>
          <t>New</t>
        </is>
      </c>
      <c r="I1623" s="34" t="inlineStr">
        <is>
          <t>Professional decision</t>
        </is>
      </c>
      <c r="J1623" s="34" t="inlineStr">
        <is>
          <t>Maya Chen, Owner Project Controls</t>
        </is>
      </c>
      <c r="K1623" s="34" t="inlineStr">
        <is>
          <t>Professional</t>
        </is>
      </c>
      <c r="L1623" s="39" t="inlineStr"/>
      <c r="M1623" s="34" t="inlineStr">
        <is>
          <t>Initial</t>
        </is>
      </c>
      <c r="N1623" s="34" t="inlineStr">
        <is>
          <t>Rev 0</t>
        </is>
      </c>
      <c r="O1623" s="34" t="inlineStr">
        <is>
          <t>R1481-v2</t>
        </is>
      </c>
      <c r="P1623" s="39" t="inlineStr"/>
      <c r="Q1623" s="14" t="inlineStr"/>
      <c r="R1623" s="39" t="inlineStr"/>
      <c r="S1623" s="39" t="inlineStr"/>
      <c r="T1623" s="34" t="inlineStr">
        <is>
          <t>Group decision (81 records sharing one decision state)</t>
        </is>
      </c>
      <c r="U1623" s="39" t="inlineStr"/>
      <c r="V1623" s="34" t="inlineStr">
        <is>
          <t>Cost Account = CA-5079</t>
        </is>
      </c>
      <c r="W1623" s="14" t="inlineStr"/>
    </row>
    <row r="1624" ht="64" customHeight="1">
      <c r="A1624" s="34" t="inlineStr">
        <is>
          <t>UNSURE</t>
        </is>
      </c>
      <c r="B1624" s="39" t="inlineStr"/>
      <c r="C1624" s="34" t="inlineStr">
        <is>
          <t>Cost &amp; Forecast Control Accounts</t>
        </is>
      </c>
      <c r="D1624" s="34" t="inlineStr">
        <is>
          <t>CST-05-080</t>
        </is>
      </c>
      <c r="E1624" s="34" t="inlineStr">
        <is>
          <t>Testing &amp; readiness - test management - control account</t>
        </is>
      </c>
      <c r="F1624" s="34" t="inlineStr">
        <is>
          <t>UNSURE</t>
        </is>
      </c>
      <c r="G1624" s="34" t="inlineStr">
        <is>
          <t>APPROVED</t>
        </is>
      </c>
      <c r="H1624" s="34" t="inlineStr">
        <is>
          <t>New</t>
        </is>
      </c>
      <c r="I1624" s="34" t="inlineStr">
        <is>
          <t>Professional decision</t>
        </is>
      </c>
      <c r="J1624" s="34" t="inlineStr">
        <is>
          <t>Maya Chen, Owner Project Controls</t>
        </is>
      </c>
      <c r="K1624" s="34" t="inlineStr">
        <is>
          <t>Professional</t>
        </is>
      </c>
      <c r="L1624" s="39" t="inlineStr"/>
      <c r="M1624" s="34" t="inlineStr">
        <is>
          <t>Initial</t>
        </is>
      </c>
      <c r="N1624" s="34" t="inlineStr">
        <is>
          <t>Rev 0</t>
        </is>
      </c>
      <c r="O1624" s="34" t="inlineStr">
        <is>
          <t>R1482-v2</t>
        </is>
      </c>
      <c r="P1624" s="39" t="inlineStr"/>
      <c r="Q1624" s="14" t="inlineStr"/>
      <c r="R1624" s="39" t="inlineStr"/>
      <c r="S1624" s="39" t="inlineStr"/>
      <c r="T1624" s="34" t="inlineStr">
        <is>
          <t>Group decision (81 records sharing one decision state)</t>
        </is>
      </c>
      <c r="U1624" s="39" t="inlineStr"/>
      <c r="V1624" s="34" t="inlineStr">
        <is>
          <t>Cost Account = CA-5080</t>
        </is>
      </c>
      <c r="W1624" s="14" t="inlineStr"/>
    </row>
  </sheetData>
  <autoFilter ref="A1:W1624"/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H80"/>
  <sheetViews>
    <sheetView showGridLines="0" tabSelected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25" customWidth="1" min="4" max="4"/>
    <col width="18" customWidth="1" min="5" max="5"/>
    <col width="10" customWidth="1" min="6" max="6"/>
    <col width="24" customWidth="1" min="7" max="7"/>
    <col width="18" customWidth="1" min="8" max="8"/>
  </cols>
  <sheetData>
    <row r="1" ht="34" customHeight="1">
      <c r="A1" s="91" t="inlineStr">
        <is>
          <t>Code</t>
        </is>
      </c>
      <c r="B1" s="91" t="inlineStr">
        <is>
          <t>Name</t>
        </is>
      </c>
      <c r="C1" s="91" t="inlineStr">
        <is>
          <t>Parent Code</t>
        </is>
      </c>
      <c r="D1" s="91" t="inlineStr">
        <is>
          <t>Represented Dimension</t>
        </is>
      </c>
      <c r="E1" s="91" t="inlineStr">
        <is>
          <t>Scope Nature</t>
        </is>
      </c>
      <c r="F1" s="91" t="inlineStr">
        <is>
          <t>Roll-up</t>
        </is>
      </c>
      <c r="G1" s="91" t="inlineStr">
        <is>
          <t>Provenance</t>
        </is>
      </c>
      <c r="H1" s="91" t="inlineStr">
        <is>
          <t>Current Rows Mapped</t>
        </is>
      </c>
    </row>
    <row r="2" ht="94" customHeight="1">
      <c r="A2" s="34" t="inlineStr">
        <is>
          <t>1</t>
        </is>
      </c>
      <c r="B2" s="112" t="inlineStr">
        <is>
          <t>HarbourLink Urban Transit Expansion</t>
        </is>
      </c>
      <c r="C2" s="39" t="inlineStr"/>
      <c r="D2" s="14" t="inlineStr"/>
      <c r="E2" s="34" t="inlineStr">
        <is>
          <t>Deliverable</t>
        </is>
      </c>
      <c r="F2" s="39" t="inlineStr"/>
      <c r="G2" s="34" t="inlineStr">
        <is>
          <t>System Proposed</t>
        </is>
      </c>
      <c r="H2" s="34">
        <f>COUNTIFS('MASTER DATA'!$A$2:$A$1624,A2,'MASTER DATA'!$G$2:$G$1624,"&lt;&gt;RETIRED")</f>
        <v/>
      </c>
    </row>
    <row r="3" ht="94" customHeight="1">
      <c r="A3" s="34" t="inlineStr">
        <is>
          <t>1.1</t>
        </is>
      </c>
      <c r="B3" s="104" t="inlineStr">
        <is>
          <t>Guideway and Civil</t>
        </is>
      </c>
      <c r="C3" s="34" t="inlineStr">
        <is>
          <t>1</t>
        </is>
      </c>
      <c r="D3" s="14" t="inlineStr"/>
      <c r="E3" s="34" t="inlineStr">
        <is>
          <t>Deliverable</t>
        </is>
      </c>
      <c r="F3" s="39" t="inlineStr"/>
      <c r="G3" s="34" t="inlineStr">
        <is>
          <t>System Proposed</t>
        </is>
      </c>
      <c r="H3" s="34">
        <f>COUNTIFS('MASTER DATA'!$A$2:$A$1624,A3,'MASTER DATA'!$G$2:$G$1624,"&lt;&gt;RETIRED")</f>
        <v/>
      </c>
    </row>
    <row r="4" ht="94" customHeight="1">
      <c r="A4" s="34" t="inlineStr">
        <is>
          <t>1.1.1</t>
        </is>
      </c>
      <c r="B4" s="105" t="inlineStr">
        <is>
          <t>Guideway and Civil - Guideway Structures</t>
        </is>
      </c>
      <c r="C4" s="34" t="inlineStr">
        <is>
          <t>1.1</t>
        </is>
      </c>
      <c r="D4" s="14" t="inlineStr"/>
      <c r="E4" s="34" t="inlineStr">
        <is>
          <t>Deliverable</t>
        </is>
      </c>
      <c r="F4" s="39" t="inlineStr"/>
      <c r="G4" s="34" t="inlineStr">
        <is>
          <t>System Proposed</t>
        </is>
      </c>
      <c r="H4" s="34">
        <f>COUNTIFS('MASTER DATA'!$A$2:$A$1624,A4,'MASTER DATA'!$G$2:$G$1624,"&lt;&gt;RETIRED")</f>
        <v/>
      </c>
    </row>
    <row r="5" ht="94" customHeight="1">
      <c r="A5" s="34" t="inlineStr">
        <is>
          <t>1.1.1.1</t>
        </is>
      </c>
      <c r="B5" s="106" t="inlineStr">
        <is>
          <t>Guideway Structures - East Segment</t>
        </is>
      </c>
      <c r="C5" s="34" t="inlineStr">
        <is>
          <t>1.1.1</t>
        </is>
      </c>
      <c r="D5" s="14" t="inlineStr"/>
      <c r="E5" s="34" t="inlineStr">
        <is>
          <t>Deliverable</t>
        </is>
      </c>
      <c r="F5" s="39" t="inlineStr"/>
      <c r="G5" s="34" t="inlineStr">
        <is>
          <t>System Proposed</t>
        </is>
      </c>
      <c r="H5" s="34">
        <f>COUNTIFS('MASTER DATA'!$A$2:$A$1624,A5,'MASTER DATA'!$G$2:$G$1624,"&lt;&gt;RETIRED")</f>
        <v/>
      </c>
    </row>
    <row r="6" ht="94" customHeight="1">
      <c r="A6" s="34" t="inlineStr">
        <is>
          <t>1.1.1.2</t>
        </is>
      </c>
      <c r="B6" s="106" t="inlineStr">
        <is>
          <t>Guideway Structures - West Segment</t>
        </is>
      </c>
      <c r="C6" s="34" t="inlineStr">
        <is>
          <t>1.1.1</t>
        </is>
      </c>
      <c r="D6" s="14" t="inlineStr"/>
      <c r="E6" s="34" t="inlineStr">
        <is>
          <t>Deliverable</t>
        </is>
      </c>
      <c r="F6" s="39" t="inlineStr"/>
      <c r="G6" s="34" t="inlineStr">
        <is>
          <t>System Proposed</t>
        </is>
      </c>
      <c r="H6" s="34">
        <f>COUNTIFS('MASTER DATA'!$A$2:$A$1624,A6,'MASTER DATA'!$G$2:$G$1624,"&lt;&gt;RETIRED")</f>
        <v/>
      </c>
    </row>
    <row r="7" ht="94" customHeight="1">
      <c r="A7" s="34" t="inlineStr">
        <is>
          <t>1.1.2</t>
        </is>
      </c>
      <c r="B7" s="105" t="inlineStr">
        <is>
          <t>Guideway and Civil - Utility &amp; Roadworks</t>
        </is>
      </c>
      <c r="C7" s="34" t="inlineStr">
        <is>
          <t>1.1</t>
        </is>
      </c>
      <c r="D7" s="14" t="inlineStr"/>
      <c r="E7" s="34" t="inlineStr">
        <is>
          <t>Deliverable</t>
        </is>
      </c>
      <c r="F7" s="39" t="inlineStr"/>
      <c r="G7" s="34" t="inlineStr">
        <is>
          <t>System Proposed</t>
        </is>
      </c>
      <c r="H7" s="34">
        <f>COUNTIFS('MASTER DATA'!$A$2:$A$1624,A7,'MASTER DATA'!$G$2:$G$1624,"&lt;&gt;RETIRED")</f>
        <v/>
      </c>
    </row>
    <row r="8" ht="94" customHeight="1">
      <c r="A8" s="34" t="inlineStr">
        <is>
          <t>1.1.2.1</t>
        </is>
      </c>
      <c r="B8" s="106" t="inlineStr">
        <is>
          <t>Utility &amp; Roadworks - East Segment</t>
        </is>
      </c>
      <c r="C8" s="34" t="inlineStr">
        <is>
          <t>1.1.2</t>
        </is>
      </c>
      <c r="D8" s="14" t="inlineStr"/>
      <c r="E8" s="34" t="inlineStr">
        <is>
          <t>Deliverable</t>
        </is>
      </c>
      <c r="F8" s="39" t="inlineStr"/>
      <c r="G8" s="34" t="inlineStr">
        <is>
          <t>System Proposed</t>
        </is>
      </c>
      <c r="H8" s="34">
        <f>COUNTIFS('MASTER DATA'!$A$2:$A$1624,A8,'MASTER DATA'!$G$2:$G$1624,"&lt;&gt;RETIRED")</f>
        <v/>
      </c>
    </row>
    <row r="9" ht="94" customHeight="1">
      <c r="A9" s="34" t="inlineStr">
        <is>
          <t>1.1.2.2</t>
        </is>
      </c>
      <c r="B9" s="106" t="inlineStr">
        <is>
          <t>Utility &amp; Roadworks - West Segment</t>
        </is>
      </c>
      <c r="C9" s="34" t="inlineStr">
        <is>
          <t>1.1.2</t>
        </is>
      </c>
      <c r="D9" s="14" t="inlineStr"/>
      <c r="E9" s="34" t="inlineStr">
        <is>
          <t>Deliverable</t>
        </is>
      </c>
      <c r="F9" s="39" t="inlineStr"/>
      <c r="G9" s="34" t="inlineStr">
        <is>
          <t>System Proposed</t>
        </is>
      </c>
      <c r="H9" s="34">
        <f>COUNTIFS('MASTER DATA'!$A$2:$A$1624,A9,'MASTER DATA'!$G$2:$G$1624,"&lt;&gt;RETIRED")</f>
        <v/>
      </c>
    </row>
    <row r="10" ht="94" customHeight="1">
      <c r="A10" s="34" t="inlineStr">
        <is>
          <t>1.1.3</t>
        </is>
      </c>
      <c r="B10" s="105" t="inlineStr">
        <is>
          <t>Guideway and Civil - Track Support Works</t>
        </is>
      </c>
      <c r="C10" s="34" t="inlineStr">
        <is>
          <t>1.1</t>
        </is>
      </c>
      <c r="D10" s="14" t="inlineStr"/>
      <c r="E10" s="34" t="inlineStr">
        <is>
          <t>Deliverable</t>
        </is>
      </c>
      <c r="F10" s="39" t="inlineStr"/>
      <c r="G10" s="34" t="inlineStr">
        <is>
          <t>System Proposed</t>
        </is>
      </c>
      <c r="H10" s="34">
        <f>COUNTIFS('MASTER DATA'!$A$2:$A$1624,A10,'MASTER DATA'!$G$2:$G$1624,"&lt;&gt;RETIRED")</f>
        <v/>
      </c>
    </row>
    <row r="11" ht="94" customHeight="1">
      <c r="A11" s="34" t="inlineStr">
        <is>
          <t>1.1.3.1</t>
        </is>
      </c>
      <c r="B11" s="106" t="inlineStr">
        <is>
          <t>Track Support Works - East Segment</t>
        </is>
      </c>
      <c r="C11" s="34" t="inlineStr">
        <is>
          <t>1.1.3</t>
        </is>
      </c>
      <c r="D11" s="14" t="inlineStr"/>
      <c r="E11" s="34" t="inlineStr">
        <is>
          <t>Deliverable</t>
        </is>
      </c>
      <c r="F11" s="39" t="inlineStr"/>
      <c r="G11" s="34" t="inlineStr">
        <is>
          <t>System Proposed</t>
        </is>
      </c>
      <c r="H11" s="34">
        <f>COUNTIFS('MASTER DATA'!$A$2:$A$1624,A11,'MASTER DATA'!$G$2:$G$1624,"&lt;&gt;RETIRED")</f>
        <v/>
      </c>
    </row>
    <row r="12" ht="94" customHeight="1">
      <c r="A12" s="34" t="inlineStr">
        <is>
          <t>1.1.3.2</t>
        </is>
      </c>
      <c r="B12" s="106" t="inlineStr">
        <is>
          <t>Track Support Works - West Segment</t>
        </is>
      </c>
      <c r="C12" s="34" t="inlineStr">
        <is>
          <t>1.1.3</t>
        </is>
      </c>
      <c r="D12" s="14" t="inlineStr"/>
      <c r="E12" s="34" t="inlineStr">
        <is>
          <t>Deliverable</t>
        </is>
      </c>
      <c r="F12" s="39" t="inlineStr"/>
      <c r="G12" s="34" t="inlineStr">
        <is>
          <t>System Proposed</t>
        </is>
      </c>
      <c r="H12" s="34">
        <f>COUNTIFS('MASTER DATA'!$A$2:$A$1624,A12,'MASTER DATA'!$G$2:$G$1624,"&lt;&gt;RETIRED")</f>
        <v/>
      </c>
    </row>
    <row r="13" ht="94" customHeight="1">
      <c r="A13" s="34" t="inlineStr">
        <is>
          <t>1.1.4</t>
        </is>
      </c>
      <c r="B13" s="105" t="inlineStr">
        <is>
          <t>Guideway and Civil - Civil Interfaces</t>
        </is>
      </c>
      <c r="C13" s="34" t="inlineStr">
        <is>
          <t>1.1</t>
        </is>
      </c>
      <c r="D13" s="14" t="inlineStr"/>
      <c r="E13" s="34" t="inlineStr">
        <is>
          <t>Deliverable</t>
        </is>
      </c>
      <c r="F13" s="39" t="inlineStr"/>
      <c r="G13" s="34" t="inlineStr">
        <is>
          <t>System Proposed</t>
        </is>
      </c>
      <c r="H13" s="34">
        <f>COUNTIFS('MASTER DATA'!$A$2:$A$1624,A13,'MASTER DATA'!$G$2:$G$1624,"&lt;&gt;RETIRED")</f>
        <v/>
      </c>
    </row>
    <row r="14" ht="94" customHeight="1">
      <c r="A14" s="34" t="inlineStr">
        <is>
          <t>1.1.4.1</t>
        </is>
      </c>
      <c r="B14" s="106" t="inlineStr">
        <is>
          <t>Civil Interfaces - East Segment</t>
        </is>
      </c>
      <c r="C14" s="34" t="inlineStr">
        <is>
          <t>1.1.4</t>
        </is>
      </c>
      <c r="D14" s="14" t="inlineStr"/>
      <c r="E14" s="34" t="inlineStr">
        <is>
          <t>Deliverable</t>
        </is>
      </c>
      <c r="F14" s="39" t="inlineStr"/>
      <c r="G14" s="34" t="inlineStr">
        <is>
          <t>System Proposed</t>
        </is>
      </c>
      <c r="H14" s="34">
        <f>COUNTIFS('MASTER DATA'!$A$2:$A$1624,A14,'MASTER DATA'!$G$2:$G$1624,"&lt;&gt;RETIRED")</f>
        <v/>
      </c>
    </row>
    <row r="15" ht="94" customHeight="1">
      <c r="A15" s="34" t="inlineStr">
        <is>
          <t>1.1.4.2</t>
        </is>
      </c>
      <c r="B15" s="106" t="inlineStr">
        <is>
          <t>Civil Interfaces - West Segment</t>
        </is>
      </c>
      <c r="C15" s="34" t="inlineStr">
        <is>
          <t>1.1.4</t>
        </is>
      </c>
      <c r="D15" s="14" t="inlineStr"/>
      <c r="E15" s="34" t="inlineStr">
        <is>
          <t>Deliverable</t>
        </is>
      </c>
      <c r="F15" s="39" t="inlineStr"/>
      <c r="G15" s="34" t="inlineStr">
        <is>
          <t>System Proposed</t>
        </is>
      </c>
      <c r="H15" s="34">
        <f>COUNTIFS('MASTER DATA'!$A$2:$A$1624,A15,'MASTER DATA'!$G$2:$G$1624,"&lt;&gt;RETIRED")</f>
        <v/>
      </c>
    </row>
    <row r="16" ht="94" customHeight="1">
      <c r="A16" s="34" t="inlineStr">
        <is>
          <t>1.2</t>
        </is>
      </c>
      <c r="B16" s="104" t="inlineStr">
        <is>
          <t>Stations</t>
        </is>
      </c>
      <c r="C16" s="34" t="inlineStr">
        <is>
          <t>1</t>
        </is>
      </c>
      <c r="D16" s="14" t="inlineStr"/>
      <c r="E16" s="34" t="inlineStr">
        <is>
          <t>Deliverable</t>
        </is>
      </c>
      <c r="F16" s="39" t="inlineStr"/>
      <c r="G16" s="34" t="inlineStr">
        <is>
          <t>System Proposed</t>
        </is>
      </c>
      <c r="H16" s="34">
        <f>COUNTIFS('MASTER DATA'!$A$2:$A$1624,A16,'MASTER DATA'!$G$2:$G$1624,"&lt;&gt;RETIRED")</f>
        <v/>
      </c>
    </row>
    <row r="17" ht="94" customHeight="1">
      <c r="A17" s="34" t="inlineStr">
        <is>
          <t>1.2.1</t>
        </is>
      </c>
      <c r="B17" s="105" t="inlineStr">
        <is>
          <t>Stations - Station Structures</t>
        </is>
      </c>
      <c r="C17" s="34" t="inlineStr">
        <is>
          <t>1.2</t>
        </is>
      </c>
      <c r="D17" s="14" t="inlineStr"/>
      <c r="E17" s="34" t="inlineStr">
        <is>
          <t>Deliverable</t>
        </is>
      </c>
      <c r="F17" s="39" t="inlineStr"/>
      <c r="G17" s="34" t="inlineStr">
        <is>
          <t>System Proposed</t>
        </is>
      </c>
      <c r="H17" s="34">
        <f>COUNTIFS('MASTER DATA'!$A$2:$A$1624,A17,'MASTER DATA'!$G$2:$G$1624,"&lt;&gt;RETIRED")</f>
        <v/>
      </c>
    </row>
    <row r="18" ht="94" customHeight="1">
      <c r="A18" s="34" t="inlineStr">
        <is>
          <t>1.2.1.1</t>
        </is>
      </c>
      <c r="B18" s="106" t="inlineStr">
        <is>
          <t>Station Structures - Concourse &amp; Entries</t>
        </is>
      </c>
      <c r="C18" s="34" t="inlineStr">
        <is>
          <t>1.2.1</t>
        </is>
      </c>
      <c r="D18" s="14" t="inlineStr"/>
      <c r="E18" s="34" t="inlineStr">
        <is>
          <t>Deliverable</t>
        </is>
      </c>
      <c r="F18" s="39" t="inlineStr"/>
      <c r="G18" s="34" t="inlineStr">
        <is>
          <t>System Proposed</t>
        </is>
      </c>
      <c r="H18" s="34">
        <f>COUNTIFS('MASTER DATA'!$A$2:$A$1624,A18,'MASTER DATA'!$G$2:$G$1624,"&lt;&gt;RETIRED")</f>
        <v/>
      </c>
    </row>
    <row r="19" ht="94" customHeight="1">
      <c r="A19" s="34" t="inlineStr">
        <is>
          <t>1.2.1.2</t>
        </is>
      </c>
      <c r="B19" s="106" t="inlineStr">
        <is>
          <t>Station Structures - Platforms &amp; Back-of-House</t>
        </is>
      </c>
      <c r="C19" s="34" t="inlineStr">
        <is>
          <t>1.2.1</t>
        </is>
      </c>
      <c r="D19" s="14" t="inlineStr"/>
      <c r="E19" s="34" t="inlineStr">
        <is>
          <t>Deliverable</t>
        </is>
      </c>
      <c r="F19" s="39" t="inlineStr"/>
      <c r="G19" s="34" t="inlineStr">
        <is>
          <t>System Proposed</t>
        </is>
      </c>
      <c r="H19" s="34">
        <f>COUNTIFS('MASTER DATA'!$A$2:$A$1624,A19,'MASTER DATA'!$G$2:$G$1624,"&lt;&gt;RETIRED")</f>
        <v/>
      </c>
    </row>
    <row r="20" ht="94" customHeight="1">
      <c r="A20" s="34" t="inlineStr">
        <is>
          <t>1.2.2</t>
        </is>
      </c>
      <c r="B20" s="105" t="inlineStr">
        <is>
          <t>Stations - Architectural Fit-Out</t>
        </is>
      </c>
      <c r="C20" s="34" t="inlineStr">
        <is>
          <t>1.2</t>
        </is>
      </c>
      <c r="D20" s="14" t="inlineStr"/>
      <c r="E20" s="34" t="inlineStr">
        <is>
          <t>Deliverable</t>
        </is>
      </c>
      <c r="F20" s="39" t="inlineStr"/>
      <c r="G20" s="34" t="inlineStr">
        <is>
          <t>System Proposed</t>
        </is>
      </c>
      <c r="H20" s="34">
        <f>COUNTIFS('MASTER DATA'!$A$2:$A$1624,A20,'MASTER DATA'!$G$2:$G$1624,"&lt;&gt;RETIRED")</f>
        <v/>
      </c>
    </row>
    <row r="21" ht="94" customHeight="1">
      <c r="A21" s="34" t="inlineStr">
        <is>
          <t>1.2.2.1</t>
        </is>
      </c>
      <c r="B21" s="106" t="inlineStr">
        <is>
          <t>Architectural Fit-Out - Concourse &amp; Entries</t>
        </is>
      </c>
      <c r="C21" s="34" t="inlineStr">
        <is>
          <t>1.2.2</t>
        </is>
      </c>
      <c r="D21" s="14" t="inlineStr"/>
      <c r="E21" s="34" t="inlineStr">
        <is>
          <t>Deliverable</t>
        </is>
      </c>
      <c r="F21" s="39" t="inlineStr"/>
      <c r="G21" s="34" t="inlineStr">
        <is>
          <t>System Proposed</t>
        </is>
      </c>
      <c r="H21" s="34">
        <f>COUNTIFS('MASTER DATA'!$A$2:$A$1624,A21,'MASTER DATA'!$G$2:$G$1624,"&lt;&gt;RETIRED")</f>
        <v/>
      </c>
    </row>
    <row r="22" ht="94" customHeight="1">
      <c r="A22" s="34" t="inlineStr">
        <is>
          <t>1.2.2.2</t>
        </is>
      </c>
      <c r="B22" s="106" t="inlineStr">
        <is>
          <t>Architectural Fit-Out - Platforms &amp; Back-of-House</t>
        </is>
      </c>
      <c r="C22" s="34" t="inlineStr">
        <is>
          <t>1.2.2</t>
        </is>
      </c>
      <c r="D22" s="14" t="inlineStr"/>
      <c r="E22" s="34" t="inlineStr">
        <is>
          <t>Deliverable</t>
        </is>
      </c>
      <c r="F22" s="39" t="inlineStr"/>
      <c r="G22" s="34" t="inlineStr">
        <is>
          <t>System Proposed</t>
        </is>
      </c>
      <c r="H22" s="34">
        <f>COUNTIFS('MASTER DATA'!$A$2:$A$1624,A22,'MASTER DATA'!$G$2:$G$1624,"&lt;&gt;RETIRED")</f>
        <v/>
      </c>
    </row>
    <row r="23" ht="94" customHeight="1">
      <c r="A23" s="34" t="inlineStr">
        <is>
          <t>1.2.3</t>
        </is>
      </c>
      <c r="B23" s="105" t="inlineStr">
        <is>
          <t>Stations - Station Building Services</t>
        </is>
      </c>
      <c r="C23" s="34" t="inlineStr">
        <is>
          <t>1.2</t>
        </is>
      </c>
      <c r="D23" s="14" t="inlineStr"/>
      <c r="E23" s="34" t="inlineStr">
        <is>
          <t>Deliverable</t>
        </is>
      </c>
      <c r="F23" s="39" t="inlineStr"/>
      <c r="G23" s="34" t="inlineStr">
        <is>
          <t>System Proposed</t>
        </is>
      </c>
      <c r="H23" s="34">
        <f>COUNTIFS('MASTER DATA'!$A$2:$A$1624,A23,'MASTER DATA'!$G$2:$G$1624,"&lt;&gt;RETIRED")</f>
        <v/>
      </c>
    </row>
    <row r="24" ht="94" customHeight="1">
      <c r="A24" s="34" t="inlineStr">
        <is>
          <t>1.2.3.1</t>
        </is>
      </c>
      <c r="B24" s="106" t="inlineStr">
        <is>
          <t>Station Building Services - Concourse &amp; Entries</t>
        </is>
      </c>
      <c r="C24" s="34" t="inlineStr">
        <is>
          <t>1.2.3</t>
        </is>
      </c>
      <c r="D24" s="14" t="inlineStr"/>
      <c r="E24" s="34" t="inlineStr">
        <is>
          <t>Deliverable</t>
        </is>
      </c>
      <c r="F24" s="39" t="inlineStr"/>
      <c r="G24" s="34" t="inlineStr">
        <is>
          <t>System Proposed</t>
        </is>
      </c>
      <c r="H24" s="34">
        <f>COUNTIFS('MASTER DATA'!$A$2:$A$1624,A24,'MASTER DATA'!$G$2:$G$1624,"&lt;&gt;RETIRED")</f>
        <v/>
      </c>
    </row>
    <row r="25" ht="94" customHeight="1">
      <c r="A25" s="34" t="inlineStr">
        <is>
          <t>1.2.3.2</t>
        </is>
      </c>
      <c r="B25" s="106" t="inlineStr">
        <is>
          <t>Station Building Services - Platforms &amp; Back-of-House</t>
        </is>
      </c>
      <c r="C25" s="34" t="inlineStr">
        <is>
          <t>1.2.3</t>
        </is>
      </c>
      <c r="D25" s="14" t="inlineStr"/>
      <c r="E25" s="34" t="inlineStr">
        <is>
          <t>Deliverable</t>
        </is>
      </c>
      <c r="F25" s="39" t="inlineStr"/>
      <c r="G25" s="34" t="inlineStr">
        <is>
          <t>System Proposed</t>
        </is>
      </c>
      <c r="H25" s="34">
        <f>COUNTIFS('MASTER DATA'!$A$2:$A$1624,A25,'MASTER DATA'!$G$2:$G$1624,"&lt;&gt;RETIRED")</f>
        <v/>
      </c>
    </row>
    <row r="26" ht="94" customHeight="1">
      <c r="A26" s="34" t="inlineStr">
        <is>
          <t>1.2.4</t>
        </is>
      </c>
      <c r="B26" s="105" t="inlineStr">
        <is>
          <t>Stations - Public Realm</t>
        </is>
      </c>
      <c r="C26" s="34" t="inlineStr">
        <is>
          <t>1.2</t>
        </is>
      </c>
      <c r="D26" s="14" t="inlineStr"/>
      <c r="E26" s="34" t="inlineStr">
        <is>
          <t>Deliverable</t>
        </is>
      </c>
      <c r="F26" s="39" t="inlineStr"/>
      <c r="G26" s="34" t="inlineStr">
        <is>
          <t>System Proposed</t>
        </is>
      </c>
      <c r="H26" s="34">
        <f>COUNTIFS('MASTER DATA'!$A$2:$A$1624,A26,'MASTER DATA'!$G$2:$G$1624,"&lt;&gt;RETIRED")</f>
        <v/>
      </c>
    </row>
    <row r="27" ht="94" customHeight="1">
      <c r="A27" s="34" t="inlineStr">
        <is>
          <t>1.2.4.1</t>
        </is>
      </c>
      <c r="B27" s="106" t="inlineStr">
        <is>
          <t>Public Realm - Concourse &amp; Entries</t>
        </is>
      </c>
      <c r="C27" s="34" t="inlineStr">
        <is>
          <t>1.2.4</t>
        </is>
      </c>
      <c r="D27" s="14" t="inlineStr"/>
      <c r="E27" s="34" t="inlineStr">
        <is>
          <t>Deliverable</t>
        </is>
      </c>
      <c r="F27" s="39" t="inlineStr"/>
      <c r="G27" s="34" t="inlineStr">
        <is>
          <t>System Proposed</t>
        </is>
      </c>
      <c r="H27" s="34">
        <f>COUNTIFS('MASTER DATA'!$A$2:$A$1624,A27,'MASTER DATA'!$G$2:$G$1624,"&lt;&gt;RETIRED")</f>
        <v/>
      </c>
    </row>
    <row r="28" ht="94" customHeight="1">
      <c r="A28" s="34" t="inlineStr">
        <is>
          <t>1.2.4.2</t>
        </is>
      </c>
      <c r="B28" s="106" t="inlineStr">
        <is>
          <t>Public Realm - Platforms &amp; Back-of-House</t>
        </is>
      </c>
      <c r="C28" s="34" t="inlineStr">
        <is>
          <t>1.2.4</t>
        </is>
      </c>
      <c r="D28" s="14" t="inlineStr"/>
      <c r="E28" s="34" t="inlineStr">
        <is>
          <t>Deliverable</t>
        </is>
      </c>
      <c r="F28" s="39" t="inlineStr"/>
      <c r="G28" s="34" t="inlineStr">
        <is>
          <t>System Proposed</t>
        </is>
      </c>
      <c r="H28" s="34">
        <f>COUNTIFS('MASTER DATA'!$A$2:$A$1624,A28,'MASTER DATA'!$G$2:$G$1624,"&lt;&gt;RETIRED")</f>
        <v/>
      </c>
    </row>
    <row r="29" ht="94" customHeight="1">
      <c r="A29" s="34" t="inlineStr">
        <is>
          <t>1.3</t>
        </is>
      </c>
      <c r="B29" s="104" t="inlineStr">
        <is>
          <t>Systems</t>
        </is>
      </c>
      <c r="C29" s="34" t="inlineStr">
        <is>
          <t>1</t>
        </is>
      </c>
      <c r="D29" s="14" t="inlineStr"/>
      <c r="E29" s="34" t="inlineStr">
        <is>
          <t>Deliverable</t>
        </is>
      </c>
      <c r="F29" s="39" t="inlineStr"/>
      <c r="G29" s="34" t="inlineStr">
        <is>
          <t>System Proposed</t>
        </is>
      </c>
      <c r="H29" s="34">
        <f>COUNTIFS('MASTER DATA'!$A$2:$A$1624,A29,'MASTER DATA'!$G$2:$G$1624,"&lt;&gt;RETIRED")</f>
        <v/>
      </c>
    </row>
    <row r="30" ht="94" customHeight="1">
      <c r="A30" s="34" t="inlineStr">
        <is>
          <t>1.3.1</t>
        </is>
      </c>
      <c r="B30" s="105" t="inlineStr">
        <is>
          <t>Systems - Traction Power</t>
        </is>
      </c>
      <c r="C30" s="34" t="inlineStr">
        <is>
          <t>1.3</t>
        </is>
      </c>
      <c r="D30" s="14" t="inlineStr"/>
      <c r="E30" s="34" t="inlineStr">
        <is>
          <t>Deliverable</t>
        </is>
      </c>
      <c r="F30" s="39" t="inlineStr"/>
      <c r="G30" s="34" t="inlineStr">
        <is>
          <t>System Proposed</t>
        </is>
      </c>
      <c r="H30" s="34">
        <f>COUNTIFS('MASTER DATA'!$A$2:$A$1624,A30,'MASTER DATA'!$G$2:$G$1624,"&lt;&gt;RETIRED")</f>
        <v/>
      </c>
    </row>
    <row r="31" ht="94" customHeight="1">
      <c r="A31" s="34" t="inlineStr">
        <is>
          <t>1.3.1.1</t>
        </is>
      </c>
      <c r="B31" s="106" t="inlineStr">
        <is>
          <t>Traction Power - Wayside</t>
        </is>
      </c>
      <c r="C31" s="34" t="inlineStr">
        <is>
          <t>1.3.1</t>
        </is>
      </c>
      <c r="D31" s="14" t="inlineStr"/>
      <c r="E31" s="34" t="inlineStr">
        <is>
          <t>Deliverable</t>
        </is>
      </c>
      <c r="F31" s="39" t="inlineStr"/>
      <c r="G31" s="34" t="inlineStr">
        <is>
          <t>System Proposed</t>
        </is>
      </c>
      <c r="H31" s="34">
        <f>COUNTIFS('MASTER DATA'!$A$2:$A$1624,A31,'MASTER DATA'!$G$2:$G$1624,"&lt;&gt;RETIRED")</f>
        <v/>
      </c>
    </row>
    <row r="32" ht="94" customHeight="1">
      <c r="A32" s="34" t="inlineStr">
        <is>
          <t>1.3.1.2</t>
        </is>
      </c>
      <c r="B32" s="106" t="inlineStr">
        <is>
          <t>Traction Power - Control Centre &amp; Stations</t>
        </is>
      </c>
      <c r="C32" s="34" t="inlineStr">
        <is>
          <t>1.3.1</t>
        </is>
      </c>
      <c r="D32" s="14" t="inlineStr"/>
      <c r="E32" s="34" t="inlineStr">
        <is>
          <t>Deliverable</t>
        </is>
      </c>
      <c r="F32" s="39" t="inlineStr"/>
      <c r="G32" s="34" t="inlineStr">
        <is>
          <t>System Proposed</t>
        </is>
      </c>
      <c r="H32" s="34">
        <f>COUNTIFS('MASTER DATA'!$A$2:$A$1624,A32,'MASTER DATA'!$G$2:$G$1624,"&lt;&gt;RETIRED")</f>
        <v/>
      </c>
    </row>
    <row r="33" ht="94" customHeight="1">
      <c r="A33" s="34" t="inlineStr">
        <is>
          <t>1.3.2</t>
        </is>
      </c>
      <c r="B33" s="105" t="inlineStr">
        <is>
          <t>Systems - Signalling &amp; Train Control</t>
        </is>
      </c>
      <c r="C33" s="34" t="inlineStr">
        <is>
          <t>1.3</t>
        </is>
      </c>
      <c r="D33" s="14" t="inlineStr"/>
      <c r="E33" s="34" t="inlineStr">
        <is>
          <t>Deliverable</t>
        </is>
      </c>
      <c r="F33" s="39" t="inlineStr"/>
      <c r="G33" s="34" t="inlineStr">
        <is>
          <t>System Proposed</t>
        </is>
      </c>
      <c r="H33" s="34">
        <f>COUNTIFS('MASTER DATA'!$A$2:$A$1624,A33,'MASTER DATA'!$G$2:$G$1624,"&lt;&gt;RETIRED")</f>
        <v/>
      </c>
    </row>
    <row r="34" ht="94" customHeight="1">
      <c r="A34" s="34" t="inlineStr">
        <is>
          <t>1.3.2.1</t>
        </is>
      </c>
      <c r="B34" s="106" t="inlineStr">
        <is>
          <t>Signalling &amp; Train Control - Wayside</t>
        </is>
      </c>
      <c r="C34" s="34" t="inlineStr">
        <is>
          <t>1.3.2</t>
        </is>
      </c>
      <c r="D34" s="14" t="inlineStr"/>
      <c r="E34" s="34" t="inlineStr">
        <is>
          <t>Deliverable</t>
        </is>
      </c>
      <c r="F34" s="39" t="inlineStr"/>
      <c r="G34" s="34" t="inlineStr">
        <is>
          <t>System Proposed</t>
        </is>
      </c>
      <c r="H34" s="34">
        <f>COUNTIFS('MASTER DATA'!$A$2:$A$1624,A34,'MASTER DATA'!$G$2:$G$1624,"&lt;&gt;RETIRED")</f>
        <v/>
      </c>
    </row>
    <row r="35" ht="94" customHeight="1">
      <c r="A35" s="34" t="inlineStr">
        <is>
          <t>1.3.2.2</t>
        </is>
      </c>
      <c r="B35" s="106" t="inlineStr">
        <is>
          <t>Signalling &amp; Train Control - Control Centre &amp; Stations</t>
        </is>
      </c>
      <c r="C35" s="34" t="inlineStr">
        <is>
          <t>1.3.2</t>
        </is>
      </c>
      <c r="D35" s="14" t="inlineStr"/>
      <c r="E35" s="34" t="inlineStr">
        <is>
          <t>Deliverable</t>
        </is>
      </c>
      <c r="F35" s="39" t="inlineStr"/>
      <c r="G35" s="34" t="inlineStr">
        <is>
          <t>System Proposed</t>
        </is>
      </c>
      <c r="H35" s="34">
        <f>COUNTIFS('MASTER DATA'!$A$2:$A$1624,A35,'MASTER DATA'!$G$2:$G$1624,"&lt;&gt;RETIRED")</f>
        <v/>
      </c>
    </row>
    <row r="36" ht="94" customHeight="1">
      <c r="A36" s="34" t="inlineStr">
        <is>
          <t>1.3.3</t>
        </is>
      </c>
      <c r="B36" s="105" t="inlineStr">
        <is>
          <t>Systems - Communications</t>
        </is>
      </c>
      <c r="C36" s="34" t="inlineStr">
        <is>
          <t>1.3</t>
        </is>
      </c>
      <c r="D36" s="14" t="inlineStr"/>
      <c r="E36" s="34" t="inlineStr">
        <is>
          <t>Deliverable</t>
        </is>
      </c>
      <c r="F36" s="39" t="inlineStr"/>
      <c r="G36" s="34" t="inlineStr">
        <is>
          <t>System Proposed</t>
        </is>
      </c>
      <c r="H36" s="34">
        <f>COUNTIFS('MASTER DATA'!$A$2:$A$1624,A36,'MASTER DATA'!$G$2:$G$1624,"&lt;&gt;RETIRED")</f>
        <v/>
      </c>
    </row>
    <row r="37" ht="94" customHeight="1">
      <c r="A37" s="34" t="inlineStr">
        <is>
          <t>1.3.3.1</t>
        </is>
      </c>
      <c r="B37" s="106" t="inlineStr">
        <is>
          <t>Communications - Wayside</t>
        </is>
      </c>
      <c r="C37" s="34" t="inlineStr">
        <is>
          <t>1.3.3</t>
        </is>
      </c>
      <c r="D37" s="14" t="inlineStr"/>
      <c r="E37" s="34" t="inlineStr">
        <is>
          <t>Deliverable</t>
        </is>
      </c>
      <c r="F37" s="39" t="inlineStr"/>
      <c r="G37" s="34" t="inlineStr">
        <is>
          <t>System Proposed</t>
        </is>
      </c>
      <c r="H37" s="34">
        <f>COUNTIFS('MASTER DATA'!$A$2:$A$1624,A37,'MASTER DATA'!$G$2:$G$1624,"&lt;&gt;RETIRED")</f>
        <v/>
      </c>
    </row>
    <row r="38" ht="94" customHeight="1">
      <c r="A38" s="34" t="inlineStr">
        <is>
          <t>1.3.3.2</t>
        </is>
      </c>
      <c r="B38" s="106" t="inlineStr">
        <is>
          <t>Communications - Control Centre &amp; Stations</t>
        </is>
      </c>
      <c r="C38" s="34" t="inlineStr">
        <is>
          <t>1.3.3</t>
        </is>
      </c>
      <c r="D38" s="14" t="inlineStr"/>
      <c r="E38" s="34" t="inlineStr">
        <is>
          <t>Deliverable</t>
        </is>
      </c>
      <c r="F38" s="39" t="inlineStr"/>
      <c r="G38" s="34" t="inlineStr">
        <is>
          <t>System Proposed</t>
        </is>
      </c>
      <c r="H38" s="34">
        <f>COUNTIFS('MASTER DATA'!$A$2:$A$1624,A38,'MASTER DATA'!$G$2:$G$1624,"&lt;&gt;RETIRED")</f>
        <v/>
      </c>
    </row>
    <row r="39" ht="94" customHeight="1">
      <c r="A39" s="34" t="inlineStr">
        <is>
          <t>1.3.4</t>
        </is>
      </c>
      <c r="B39" s="105" t="inlineStr">
        <is>
          <t>Systems - Systems Integration</t>
        </is>
      </c>
      <c r="C39" s="34" t="inlineStr">
        <is>
          <t>1.3</t>
        </is>
      </c>
      <c r="D39" s="14" t="inlineStr"/>
      <c r="E39" s="34" t="inlineStr">
        <is>
          <t>Deliverable</t>
        </is>
      </c>
      <c r="F39" s="39" t="inlineStr"/>
      <c r="G39" s="34" t="inlineStr">
        <is>
          <t>System Proposed</t>
        </is>
      </c>
      <c r="H39" s="34">
        <f>COUNTIFS('MASTER DATA'!$A$2:$A$1624,A39,'MASTER DATA'!$G$2:$G$1624,"&lt;&gt;RETIRED")</f>
        <v/>
      </c>
    </row>
    <row r="40" ht="94" customHeight="1">
      <c r="A40" s="34" t="inlineStr">
        <is>
          <t>1.3.4.1</t>
        </is>
      </c>
      <c r="B40" s="106" t="inlineStr">
        <is>
          <t>Systems Integration - Wayside</t>
        </is>
      </c>
      <c r="C40" s="34" t="inlineStr">
        <is>
          <t>1.3.4</t>
        </is>
      </c>
      <c r="D40" s="14" t="inlineStr"/>
      <c r="E40" s="34" t="inlineStr">
        <is>
          <t>Deliverable</t>
        </is>
      </c>
      <c r="F40" s="39" t="inlineStr"/>
      <c r="G40" s="34" t="inlineStr">
        <is>
          <t>System Proposed</t>
        </is>
      </c>
      <c r="H40" s="34">
        <f>COUNTIFS('MASTER DATA'!$A$2:$A$1624,A40,'MASTER DATA'!$G$2:$G$1624,"&lt;&gt;RETIRED")</f>
        <v/>
      </c>
    </row>
    <row r="41" ht="94" customHeight="1">
      <c r="A41" s="34" t="inlineStr">
        <is>
          <t>1.3.4.2</t>
        </is>
      </c>
      <c r="B41" s="106" t="inlineStr">
        <is>
          <t>Systems Integration - Control Centre &amp; Stations</t>
        </is>
      </c>
      <c r="C41" s="34" t="inlineStr">
        <is>
          <t>1.3.4</t>
        </is>
      </c>
      <c r="D41" s="14" t="inlineStr"/>
      <c r="E41" s="34" t="inlineStr">
        <is>
          <t>Deliverable</t>
        </is>
      </c>
      <c r="F41" s="39" t="inlineStr"/>
      <c r="G41" s="34" t="inlineStr">
        <is>
          <t>System Proposed</t>
        </is>
      </c>
      <c r="H41" s="34">
        <f>COUNTIFS('MASTER DATA'!$A$2:$A$1624,A41,'MASTER DATA'!$G$2:$G$1624,"&lt;&gt;RETIRED")</f>
        <v/>
      </c>
    </row>
    <row r="42" ht="94" customHeight="1">
      <c r="A42" s="34" t="inlineStr">
        <is>
          <t>1.4</t>
        </is>
      </c>
      <c r="B42" s="104" t="inlineStr">
        <is>
          <t>Vehicles and Depot</t>
        </is>
      </c>
      <c r="C42" s="34" t="inlineStr">
        <is>
          <t>1</t>
        </is>
      </c>
      <c r="D42" s="14" t="inlineStr"/>
      <c r="E42" s="34" t="inlineStr">
        <is>
          <t>Deliverable</t>
        </is>
      </c>
      <c r="F42" s="39" t="inlineStr"/>
      <c r="G42" s="34" t="inlineStr">
        <is>
          <t>System Proposed</t>
        </is>
      </c>
      <c r="H42" s="34">
        <f>COUNTIFS('MASTER DATA'!$A$2:$A$1624,A42,'MASTER DATA'!$G$2:$G$1624,"&lt;&gt;RETIRED")</f>
        <v/>
      </c>
    </row>
    <row r="43" ht="94" customHeight="1">
      <c r="A43" s="34" t="inlineStr">
        <is>
          <t>1.4.1</t>
        </is>
      </c>
      <c r="B43" s="105" t="inlineStr">
        <is>
          <t>Vehicles and Depot - Fleet Supply</t>
        </is>
      </c>
      <c r="C43" s="34" t="inlineStr">
        <is>
          <t>1.4</t>
        </is>
      </c>
      <c r="D43" s="14" t="inlineStr"/>
      <c r="E43" s="34" t="inlineStr">
        <is>
          <t>Deliverable</t>
        </is>
      </c>
      <c r="F43" s="39" t="inlineStr"/>
      <c r="G43" s="34" t="inlineStr">
        <is>
          <t>System Proposed</t>
        </is>
      </c>
      <c r="H43" s="34">
        <f>COUNTIFS('MASTER DATA'!$A$2:$A$1624,A43,'MASTER DATA'!$G$2:$G$1624,"&lt;&gt;RETIRED")</f>
        <v/>
      </c>
    </row>
    <row r="44" ht="94" customHeight="1">
      <c r="A44" s="34" t="inlineStr">
        <is>
          <t>1.4.1.1</t>
        </is>
      </c>
      <c r="B44" s="106" t="inlineStr">
        <is>
          <t>Fleet Supply - Maintenance Facility</t>
        </is>
      </c>
      <c r="C44" s="34" t="inlineStr">
        <is>
          <t>1.4.1</t>
        </is>
      </c>
      <c r="D44" s="14" t="inlineStr"/>
      <c r="E44" s="34" t="inlineStr">
        <is>
          <t>Deliverable</t>
        </is>
      </c>
      <c r="F44" s="39" t="inlineStr"/>
      <c r="G44" s="34" t="inlineStr">
        <is>
          <t>System Proposed</t>
        </is>
      </c>
      <c r="H44" s="34">
        <f>COUNTIFS('MASTER DATA'!$A$2:$A$1624,A44,'MASTER DATA'!$G$2:$G$1624,"&lt;&gt;RETIRED")</f>
        <v/>
      </c>
    </row>
    <row r="45" ht="94" customHeight="1">
      <c r="A45" s="34" t="inlineStr">
        <is>
          <t>1.4.1.2</t>
        </is>
      </c>
      <c r="B45" s="106" t="inlineStr">
        <is>
          <t>Fleet Supply - Storage &amp; Commissioning Yard</t>
        </is>
      </c>
      <c r="C45" s="34" t="inlineStr">
        <is>
          <t>1.4.1</t>
        </is>
      </c>
      <c r="D45" s="14" t="inlineStr"/>
      <c r="E45" s="34" t="inlineStr">
        <is>
          <t>Deliverable</t>
        </is>
      </c>
      <c r="F45" s="39" t="inlineStr"/>
      <c r="G45" s="34" t="inlineStr">
        <is>
          <t>System Proposed</t>
        </is>
      </c>
      <c r="H45" s="34">
        <f>COUNTIFS('MASTER DATA'!$A$2:$A$1624,A45,'MASTER DATA'!$G$2:$G$1624,"&lt;&gt;RETIRED")</f>
        <v/>
      </c>
    </row>
    <row r="46" ht="94" customHeight="1">
      <c r="A46" s="34" t="inlineStr">
        <is>
          <t>1.4.2</t>
        </is>
      </c>
      <c r="B46" s="105" t="inlineStr">
        <is>
          <t>Vehicles and Depot - Depot Buildings</t>
        </is>
      </c>
      <c r="C46" s="34" t="inlineStr">
        <is>
          <t>1.4</t>
        </is>
      </c>
      <c r="D46" s="14" t="inlineStr"/>
      <c r="E46" s="34" t="inlineStr">
        <is>
          <t>Deliverable</t>
        </is>
      </c>
      <c r="F46" s="39" t="inlineStr"/>
      <c r="G46" s="34" t="inlineStr">
        <is>
          <t>System Proposed</t>
        </is>
      </c>
      <c r="H46" s="34">
        <f>COUNTIFS('MASTER DATA'!$A$2:$A$1624,A46,'MASTER DATA'!$G$2:$G$1624,"&lt;&gt;RETIRED")</f>
        <v/>
      </c>
    </row>
    <row r="47" ht="94" customHeight="1">
      <c r="A47" s="34" t="inlineStr">
        <is>
          <t>1.4.2.1</t>
        </is>
      </c>
      <c r="B47" s="106" t="inlineStr">
        <is>
          <t>Depot Buildings - Maintenance Facility</t>
        </is>
      </c>
      <c r="C47" s="34" t="inlineStr">
        <is>
          <t>1.4.2</t>
        </is>
      </c>
      <c r="D47" s="14" t="inlineStr"/>
      <c r="E47" s="34" t="inlineStr">
        <is>
          <t>Deliverable</t>
        </is>
      </c>
      <c r="F47" s="39" t="inlineStr"/>
      <c r="G47" s="34" t="inlineStr">
        <is>
          <t>System Proposed</t>
        </is>
      </c>
      <c r="H47" s="34">
        <f>COUNTIFS('MASTER DATA'!$A$2:$A$1624,A47,'MASTER DATA'!$G$2:$G$1624,"&lt;&gt;RETIRED")</f>
        <v/>
      </c>
    </row>
    <row r="48" ht="94" customHeight="1">
      <c r="A48" s="34" t="inlineStr">
        <is>
          <t>1.4.2.2</t>
        </is>
      </c>
      <c r="B48" s="106" t="inlineStr">
        <is>
          <t>Depot Buildings - Storage &amp; Commissioning Yard</t>
        </is>
      </c>
      <c r="C48" s="34" t="inlineStr">
        <is>
          <t>1.4.2</t>
        </is>
      </c>
      <c r="D48" s="14" t="inlineStr"/>
      <c r="E48" s="34" t="inlineStr">
        <is>
          <t>Deliverable</t>
        </is>
      </c>
      <c r="F48" s="39" t="inlineStr"/>
      <c r="G48" s="34" t="inlineStr">
        <is>
          <t>System Proposed</t>
        </is>
      </c>
      <c r="H48" s="34">
        <f>COUNTIFS('MASTER DATA'!$A$2:$A$1624,A48,'MASTER DATA'!$G$2:$G$1624,"&lt;&gt;RETIRED")</f>
        <v/>
      </c>
    </row>
    <row r="49" ht="94" customHeight="1">
      <c r="A49" s="34" t="inlineStr">
        <is>
          <t>1.4.3</t>
        </is>
      </c>
      <c r="B49" s="105" t="inlineStr">
        <is>
          <t>Vehicles and Depot - Workshop Equipment</t>
        </is>
      </c>
      <c r="C49" s="34" t="inlineStr">
        <is>
          <t>1.4</t>
        </is>
      </c>
      <c r="D49" s="14" t="inlineStr"/>
      <c r="E49" s="34" t="inlineStr">
        <is>
          <t>Deliverable</t>
        </is>
      </c>
      <c r="F49" s="39" t="inlineStr"/>
      <c r="G49" s="34" t="inlineStr">
        <is>
          <t>System Proposed</t>
        </is>
      </c>
      <c r="H49" s="34">
        <f>COUNTIFS('MASTER DATA'!$A$2:$A$1624,A49,'MASTER DATA'!$G$2:$G$1624,"&lt;&gt;RETIRED")</f>
        <v/>
      </c>
    </row>
    <row r="50" ht="94" customHeight="1">
      <c r="A50" s="34" t="inlineStr">
        <is>
          <t>1.4.3.1</t>
        </is>
      </c>
      <c r="B50" s="106" t="inlineStr">
        <is>
          <t>Workshop Equipment - Maintenance Facility</t>
        </is>
      </c>
      <c r="C50" s="34" t="inlineStr">
        <is>
          <t>1.4.3</t>
        </is>
      </c>
      <c r="D50" s="14" t="inlineStr"/>
      <c r="E50" s="34" t="inlineStr">
        <is>
          <t>Deliverable</t>
        </is>
      </c>
      <c r="F50" s="39" t="inlineStr"/>
      <c r="G50" s="34" t="inlineStr">
        <is>
          <t>System Proposed</t>
        </is>
      </c>
      <c r="H50" s="34">
        <f>COUNTIFS('MASTER DATA'!$A$2:$A$1624,A50,'MASTER DATA'!$G$2:$G$1624,"&lt;&gt;RETIRED")</f>
        <v/>
      </c>
    </row>
    <row r="51" ht="94" customHeight="1">
      <c r="A51" s="34" t="inlineStr">
        <is>
          <t>1.4.3.2</t>
        </is>
      </c>
      <c r="B51" s="106" t="inlineStr">
        <is>
          <t>Workshop Equipment - Storage &amp; Commissioning Yard</t>
        </is>
      </c>
      <c r="C51" s="34" t="inlineStr">
        <is>
          <t>1.4.3</t>
        </is>
      </c>
      <c r="D51" s="14" t="inlineStr"/>
      <c r="E51" s="34" t="inlineStr">
        <is>
          <t>Deliverable</t>
        </is>
      </c>
      <c r="F51" s="39" t="inlineStr"/>
      <c r="G51" s="34" t="inlineStr">
        <is>
          <t>System Proposed</t>
        </is>
      </c>
      <c r="H51" s="34">
        <f>COUNTIFS('MASTER DATA'!$A$2:$A$1624,A51,'MASTER DATA'!$G$2:$G$1624,"&lt;&gt;RETIRED")</f>
        <v/>
      </c>
    </row>
    <row r="52" ht="94" customHeight="1">
      <c r="A52" s="34" t="inlineStr">
        <is>
          <t>1.4.4</t>
        </is>
      </c>
      <c r="B52" s="105" t="inlineStr">
        <is>
          <t>Vehicles and Depot - Vehicle Integration</t>
        </is>
      </c>
      <c r="C52" s="34" t="inlineStr">
        <is>
          <t>1.4</t>
        </is>
      </c>
      <c r="D52" s="14" t="inlineStr"/>
      <c r="E52" s="34" t="inlineStr">
        <is>
          <t>Deliverable</t>
        </is>
      </c>
      <c r="F52" s="39" t="inlineStr"/>
      <c r="G52" s="34" t="inlineStr">
        <is>
          <t>System Proposed</t>
        </is>
      </c>
      <c r="H52" s="34">
        <f>COUNTIFS('MASTER DATA'!$A$2:$A$1624,A52,'MASTER DATA'!$G$2:$G$1624,"&lt;&gt;RETIRED")</f>
        <v/>
      </c>
    </row>
    <row r="53" ht="94" customHeight="1">
      <c r="A53" s="34" t="inlineStr">
        <is>
          <t>1.4.4.1</t>
        </is>
      </c>
      <c r="B53" s="106" t="inlineStr">
        <is>
          <t>Vehicle Integration - Maintenance Facility</t>
        </is>
      </c>
      <c r="C53" s="34" t="inlineStr">
        <is>
          <t>1.4.4</t>
        </is>
      </c>
      <c r="D53" s="14" t="inlineStr"/>
      <c r="E53" s="34" t="inlineStr">
        <is>
          <t>Deliverable</t>
        </is>
      </c>
      <c r="F53" s="39" t="inlineStr"/>
      <c r="G53" s="34" t="inlineStr">
        <is>
          <t>System Proposed</t>
        </is>
      </c>
      <c r="H53" s="34">
        <f>COUNTIFS('MASTER DATA'!$A$2:$A$1624,A53,'MASTER DATA'!$G$2:$G$1624,"&lt;&gt;RETIRED")</f>
        <v/>
      </c>
    </row>
    <row r="54" ht="94" customHeight="1">
      <c r="A54" s="34" t="inlineStr">
        <is>
          <t>1.4.4.2</t>
        </is>
      </c>
      <c r="B54" s="106" t="inlineStr">
        <is>
          <t>Vehicle Integration - Storage &amp; Commissioning Yard</t>
        </is>
      </c>
      <c r="C54" s="34" t="inlineStr">
        <is>
          <t>1.4.4</t>
        </is>
      </c>
      <c r="D54" s="14" t="inlineStr"/>
      <c r="E54" s="34" t="inlineStr">
        <is>
          <t>Deliverable</t>
        </is>
      </c>
      <c r="F54" s="39" t="inlineStr"/>
      <c r="G54" s="34" t="inlineStr">
        <is>
          <t>System Proposed</t>
        </is>
      </c>
      <c r="H54" s="34">
        <f>COUNTIFS('MASTER DATA'!$A$2:$A$1624,A54,'MASTER DATA'!$G$2:$G$1624,"&lt;&gt;RETIRED")</f>
        <v/>
      </c>
    </row>
    <row r="55" ht="94" customHeight="1">
      <c r="A55" s="34" t="inlineStr">
        <is>
          <t>1.5</t>
        </is>
      </c>
      <c r="B55" s="104" t="inlineStr">
        <is>
          <t>Testing and Commissioning</t>
        </is>
      </c>
      <c r="C55" s="34" t="inlineStr">
        <is>
          <t>1</t>
        </is>
      </c>
      <c r="D55" s="14" t="inlineStr"/>
      <c r="E55" s="34" t="inlineStr">
        <is>
          <t>Deliverable</t>
        </is>
      </c>
      <c r="F55" s="39" t="inlineStr"/>
      <c r="G55" s="34" t="inlineStr">
        <is>
          <t>System Proposed</t>
        </is>
      </c>
      <c r="H55" s="34">
        <f>COUNTIFS('MASTER DATA'!$A$2:$A$1624,A55,'MASTER DATA'!$G$2:$G$1624,"&lt;&gt;RETIRED")</f>
        <v/>
      </c>
    </row>
    <row r="56" ht="94" customHeight="1">
      <c r="A56" s="34" t="inlineStr">
        <is>
          <t>1.5.1</t>
        </is>
      </c>
      <c r="B56" s="105" t="inlineStr">
        <is>
          <t>Testing and Commissioning - Test Readiness</t>
        </is>
      </c>
      <c r="C56" s="34" t="inlineStr">
        <is>
          <t>1.5</t>
        </is>
      </c>
      <c r="D56" s="14" t="inlineStr"/>
      <c r="E56" s="34" t="inlineStr">
        <is>
          <t>Deliverable</t>
        </is>
      </c>
      <c r="F56" s="39" t="inlineStr"/>
      <c r="G56" s="34" t="inlineStr">
        <is>
          <t>System Proposed</t>
        </is>
      </c>
      <c r="H56" s="34">
        <f>COUNTIFS('MASTER DATA'!$A$2:$A$1624,A56,'MASTER DATA'!$G$2:$G$1624,"&lt;&gt;RETIRED")</f>
        <v/>
      </c>
    </row>
    <row r="57" ht="94" customHeight="1">
      <c r="A57" s="34" t="inlineStr">
        <is>
          <t>1.5.1.1</t>
        </is>
      </c>
      <c r="B57" s="106" t="inlineStr">
        <is>
          <t>Test Readiness - Mainline</t>
        </is>
      </c>
      <c r="C57" s="34" t="inlineStr">
        <is>
          <t>1.5.1</t>
        </is>
      </c>
      <c r="D57" s="14" t="inlineStr"/>
      <c r="E57" s="34" t="inlineStr">
        <is>
          <t>Deliverable</t>
        </is>
      </c>
      <c r="F57" s="39" t="inlineStr"/>
      <c r="G57" s="34" t="inlineStr">
        <is>
          <t>System Proposed</t>
        </is>
      </c>
      <c r="H57" s="34">
        <f>COUNTIFS('MASTER DATA'!$A$2:$A$1624,A57,'MASTER DATA'!$G$2:$G$1624,"&lt;&gt;RETIRED")</f>
        <v/>
      </c>
    </row>
    <row r="58" ht="94" customHeight="1">
      <c r="A58" s="34" t="inlineStr">
        <is>
          <t>1.5.1.2</t>
        </is>
      </c>
      <c r="B58" s="106" t="inlineStr">
        <is>
          <t>Test Readiness - Depot &amp; Stations</t>
        </is>
      </c>
      <c r="C58" s="34" t="inlineStr">
        <is>
          <t>1.5.1</t>
        </is>
      </c>
      <c r="D58" s="14" t="inlineStr"/>
      <c r="E58" s="34" t="inlineStr">
        <is>
          <t>Deliverable</t>
        </is>
      </c>
      <c r="F58" s="39" t="inlineStr"/>
      <c r="G58" s="34" t="inlineStr">
        <is>
          <t>System Proposed</t>
        </is>
      </c>
      <c r="H58" s="34">
        <f>COUNTIFS('MASTER DATA'!$A$2:$A$1624,A58,'MASTER DATA'!$G$2:$G$1624,"&lt;&gt;RETIRED")</f>
        <v/>
      </c>
    </row>
    <row r="59" ht="94" customHeight="1">
      <c r="A59" s="34" t="inlineStr">
        <is>
          <t>1.5.2</t>
        </is>
      </c>
      <c r="B59" s="105" t="inlineStr">
        <is>
          <t>Testing and Commissioning - Dynamic Testing</t>
        </is>
      </c>
      <c r="C59" s="34" t="inlineStr">
        <is>
          <t>1.5</t>
        </is>
      </c>
      <c r="D59" s="14" t="inlineStr"/>
      <c r="E59" s="34" t="inlineStr">
        <is>
          <t>Deliverable</t>
        </is>
      </c>
      <c r="F59" s="39" t="inlineStr"/>
      <c r="G59" s="34" t="inlineStr">
        <is>
          <t>System Proposed</t>
        </is>
      </c>
      <c r="H59" s="34">
        <f>COUNTIFS('MASTER DATA'!$A$2:$A$1624,A59,'MASTER DATA'!$G$2:$G$1624,"&lt;&gt;RETIRED")</f>
        <v/>
      </c>
    </row>
    <row r="60" ht="94" customHeight="1">
      <c r="A60" s="34" t="inlineStr">
        <is>
          <t>1.5.2.1</t>
        </is>
      </c>
      <c r="B60" s="106" t="inlineStr">
        <is>
          <t>Dynamic Testing - Mainline</t>
        </is>
      </c>
      <c r="C60" s="34" t="inlineStr">
        <is>
          <t>1.5.2</t>
        </is>
      </c>
      <c r="D60" s="14" t="inlineStr"/>
      <c r="E60" s="34" t="inlineStr">
        <is>
          <t>Deliverable</t>
        </is>
      </c>
      <c r="F60" s="39" t="inlineStr"/>
      <c r="G60" s="34" t="inlineStr">
        <is>
          <t>System Proposed</t>
        </is>
      </c>
      <c r="H60" s="34">
        <f>COUNTIFS('MASTER DATA'!$A$2:$A$1624,A60,'MASTER DATA'!$G$2:$G$1624,"&lt;&gt;RETIRED")</f>
        <v/>
      </c>
    </row>
    <row r="61" ht="94" customHeight="1">
      <c r="A61" s="34" t="inlineStr">
        <is>
          <t>1.5.2.2</t>
        </is>
      </c>
      <c r="B61" s="106" t="inlineStr">
        <is>
          <t>Dynamic Testing - Depot &amp; Stations</t>
        </is>
      </c>
      <c r="C61" s="34" t="inlineStr">
        <is>
          <t>1.5.2</t>
        </is>
      </c>
      <c r="D61" s="14" t="inlineStr"/>
      <c r="E61" s="34" t="inlineStr">
        <is>
          <t>Deliverable</t>
        </is>
      </c>
      <c r="F61" s="39" t="inlineStr"/>
      <c r="G61" s="34" t="inlineStr">
        <is>
          <t>System Proposed</t>
        </is>
      </c>
      <c r="H61" s="34">
        <f>COUNTIFS('MASTER DATA'!$A$2:$A$1624,A61,'MASTER DATA'!$G$2:$G$1624,"&lt;&gt;RETIRED")</f>
        <v/>
      </c>
    </row>
    <row r="62" ht="94" customHeight="1">
      <c r="A62" s="34" t="inlineStr">
        <is>
          <t>1.5.3</t>
        </is>
      </c>
      <c r="B62" s="105" t="inlineStr">
        <is>
          <t>Testing and Commissioning - Safety Certification</t>
        </is>
      </c>
      <c r="C62" s="34" t="inlineStr">
        <is>
          <t>1.5</t>
        </is>
      </c>
      <c r="D62" s="14" t="inlineStr"/>
      <c r="E62" s="34" t="inlineStr">
        <is>
          <t>Deliverable</t>
        </is>
      </c>
      <c r="F62" s="39" t="inlineStr"/>
      <c r="G62" s="34" t="inlineStr">
        <is>
          <t>System Proposed</t>
        </is>
      </c>
      <c r="H62" s="34">
        <f>COUNTIFS('MASTER DATA'!$A$2:$A$1624,A62,'MASTER DATA'!$G$2:$G$1624,"&lt;&gt;RETIRED")</f>
        <v/>
      </c>
    </row>
    <row r="63" ht="94" customHeight="1">
      <c r="A63" s="34" t="inlineStr">
        <is>
          <t>1.5.3.1</t>
        </is>
      </c>
      <c r="B63" s="106" t="inlineStr">
        <is>
          <t>Safety Certification - Mainline</t>
        </is>
      </c>
      <c r="C63" s="34" t="inlineStr">
        <is>
          <t>1.5.3</t>
        </is>
      </c>
      <c r="D63" s="14" t="inlineStr"/>
      <c r="E63" s="34" t="inlineStr">
        <is>
          <t>Deliverable</t>
        </is>
      </c>
      <c r="F63" s="39" t="inlineStr"/>
      <c r="G63" s="34" t="inlineStr">
        <is>
          <t>System Proposed</t>
        </is>
      </c>
      <c r="H63" s="34">
        <f>COUNTIFS('MASTER DATA'!$A$2:$A$1624,A63,'MASTER DATA'!$G$2:$G$1624,"&lt;&gt;RETIRED")</f>
        <v/>
      </c>
    </row>
    <row r="64" ht="94" customHeight="1">
      <c r="A64" s="34" t="inlineStr">
        <is>
          <t>1.5.3.2</t>
        </is>
      </c>
      <c r="B64" s="106" t="inlineStr">
        <is>
          <t>Safety Certification - Depot &amp; Stations</t>
        </is>
      </c>
      <c r="C64" s="34" t="inlineStr">
        <is>
          <t>1.5.3</t>
        </is>
      </c>
      <c r="D64" s="14" t="inlineStr"/>
      <c r="E64" s="34" t="inlineStr">
        <is>
          <t>Deliverable</t>
        </is>
      </c>
      <c r="F64" s="39" t="inlineStr"/>
      <c r="G64" s="34" t="inlineStr">
        <is>
          <t>System Proposed</t>
        </is>
      </c>
      <c r="H64" s="34">
        <f>COUNTIFS('MASTER DATA'!$A$2:$A$1624,A64,'MASTER DATA'!$G$2:$G$1624,"&lt;&gt;RETIRED")</f>
        <v/>
      </c>
    </row>
    <row r="65" ht="94" customHeight="1">
      <c r="A65" s="34" t="inlineStr">
        <is>
          <t>1.5.4</t>
        </is>
      </c>
      <c r="B65" s="105" t="inlineStr">
        <is>
          <t>Testing and Commissioning - Service Readiness</t>
        </is>
      </c>
      <c r="C65" s="34" t="inlineStr">
        <is>
          <t>1.5</t>
        </is>
      </c>
      <c r="D65" s="14" t="inlineStr"/>
      <c r="E65" s="34" t="inlineStr">
        <is>
          <t>Deliverable</t>
        </is>
      </c>
      <c r="F65" s="39" t="inlineStr"/>
      <c r="G65" s="34" t="inlineStr">
        <is>
          <t>System Proposed</t>
        </is>
      </c>
      <c r="H65" s="34">
        <f>COUNTIFS('MASTER DATA'!$A$2:$A$1624,A65,'MASTER DATA'!$G$2:$G$1624,"&lt;&gt;RETIRED")</f>
        <v/>
      </c>
    </row>
    <row r="66" ht="94" customHeight="1">
      <c r="A66" s="34" t="inlineStr">
        <is>
          <t>1.5.4.1</t>
        </is>
      </c>
      <c r="B66" s="106" t="inlineStr">
        <is>
          <t>Service Readiness - Mainline</t>
        </is>
      </c>
      <c r="C66" s="34" t="inlineStr">
        <is>
          <t>1.5.4</t>
        </is>
      </c>
      <c r="D66" s="14" t="inlineStr"/>
      <c r="E66" s="34" t="inlineStr">
        <is>
          <t>Deliverable</t>
        </is>
      </c>
      <c r="F66" s="39" t="inlineStr"/>
      <c r="G66" s="34" t="inlineStr">
        <is>
          <t>System Proposed</t>
        </is>
      </c>
      <c r="H66" s="34">
        <f>COUNTIFS('MASTER DATA'!$A$2:$A$1624,A66,'MASTER DATA'!$G$2:$G$1624,"&lt;&gt;RETIRED")</f>
        <v/>
      </c>
    </row>
    <row r="67" ht="94" customHeight="1">
      <c r="A67" s="34" t="inlineStr">
        <is>
          <t>1.5.4.2</t>
        </is>
      </c>
      <c r="B67" s="106" t="inlineStr">
        <is>
          <t>Service Readiness - Depot &amp; Stations</t>
        </is>
      </c>
      <c r="C67" s="34" t="inlineStr">
        <is>
          <t>1.5.4</t>
        </is>
      </c>
      <c r="D67" s="14" t="inlineStr"/>
      <c r="E67" s="34" t="inlineStr">
        <is>
          <t>Deliverable</t>
        </is>
      </c>
      <c r="F67" s="39" t="inlineStr"/>
      <c r="G67" s="34" t="inlineStr">
        <is>
          <t>System Proposed</t>
        </is>
      </c>
      <c r="H67" s="34">
        <f>COUNTIFS('MASTER DATA'!$A$2:$A$1624,A67,'MASTER DATA'!$G$2:$G$1624,"&lt;&gt;RETIRED")</f>
        <v/>
      </c>
    </row>
    <row r="68" ht="94" customHeight="1">
      <c r="A68" s="34" t="inlineStr">
        <is>
          <t>1.6</t>
        </is>
      </c>
      <c r="B68" s="104" t="inlineStr">
        <is>
          <t>Program Management</t>
        </is>
      </c>
      <c r="C68" s="34" t="inlineStr">
        <is>
          <t>1</t>
        </is>
      </c>
      <c r="D68" s="14" t="inlineStr"/>
      <c r="E68" s="34" t="inlineStr">
        <is>
          <t>Deliverable</t>
        </is>
      </c>
      <c r="F68" s="39" t="inlineStr"/>
      <c r="G68" s="34" t="inlineStr">
        <is>
          <t>System Proposed</t>
        </is>
      </c>
      <c r="H68" s="34">
        <f>COUNTIFS('MASTER DATA'!$A$2:$A$1624,A68,'MASTER DATA'!$G$2:$G$1624,"&lt;&gt;RETIRED")</f>
        <v/>
      </c>
    </row>
    <row r="69" ht="94" customHeight="1">
      <c r="A69" s="34" t="inlineStr">
        <is>
          <t>1.6.1</t>
        </is>
      </c>
      <c r="B69" s="105" t="inlineStr">
        <is>
          <t>Program Management - Program Controls</t>
        </is>
      </c>
      <c r="C69" s="34" t="inlineStr">
        <is>
          <t>1.6</t>
        </is>
      </c>
      <c r="D69" s="14" t="inlineStr"/>
      <c r="E69" s="34" t="inlineStr">
        <is>
          <t>Deliverable</t>
        </is>
      </c>
      <c r="F69" s="39" t="inlineStr"/>
      <c r="G69" s="34" t="inlineStr">
        <is>
          <t>System Proposed</t>
        </is>
      </c>
      <c r="H69" s="34">
        <f>COUNTIFS('MASTER DATA'!$A$2:$A$1624,A69,'MASTER DATA'!$G$2:$G$1624,"&lt;&gt;RETIRED")</f>
        <v/>
      </c>
    </row>
    <row r="70" ht="94" customHeight="1">
      <c r="A70" s="34" t="inlineStr">
        <is>
          <t>1.6.1.1</t>
        </is>
      </c>
      <c r="B70" s="106" t="inlineStr">
        <is>
          <t>Program Controls - Owner Team</t>
        </is>
      </c>
      <c r="C70" s="34" t="inlineStr">
        <is>
          <t>1.6.1</t>
        </is>
      </c>
      <c r="D70" s="14" t="inlineStr"/>
      <c r="E70" s="34" t="inlineStr">
        <is>
          <t>Deliverable</t>
        </is>
      </c>
      <c r="F70" s="39" t="inlineStr"/>
      <c r="G70" s="34" t="inlineStr">
        <is>
          <t>System Proposed</t>
        </is>
      </c>
      <c r="H70" s="34">
        <f>COUNTIFS('MASTER DATA'!$A$2:$A$1624,A70,'MASTER DATA'!$G$2:$G$1624,"&lt;&gt;RETIRED")</f>
        <v/>
      </c>
    </row>
    <row r="71" ht="94" customHeight="1">
      <c r="A71" s="34" t="inlineStr">
        <is>
          <t>1.6.1.2</t>
        </is>
      </c>
      <c r="B71" s="106" t="inlineStr">
        <is>
          <t>Program Controls - Delivery Partners</t>
        </is>
      </c>
      <c r="C71" s="34" t="inlineStr">
        <is>
          <t>1.6.1</t>
        </is>
      </c>
      <c r="D71" s="14" t="inlineStr"/>
      <c r="E71" s="34" t="inlineStr">
        <is>
          <t>Deliverable</t>
        </is>
      </c>
      <c r="F71" s="39" t="inlineStr"/>
      <c r="G71" s="34" t="inlineStr">
        <is>
          <t>System Proposed</t>
        </is>
      </c>
      <c r="H71" s="34">
        <f>COUNTIFS('MASTER DATA'!$A$2:$A$1624,A71,'MASTER DATA'!$G$2:$G$1624,"&lt;&gt;RETIRED")</f>
        <v/>
      </c>
    </row>
    <row r="72" ht="94" customHeight="1">
      <c r="A72" s="34" t="inlineStr">
        <is>
          <t>1.6.2</t>
        </is>
      </c>
      <c r="B72" s="105" t="inlineStr">
        <is>
          <t>Program Management - Commercial &amp; Procurement</t>
        </is>
      </c>
      <c r="C72" s="34" t="inlineStr">
        <is>
          <t>1.6</t>
        </is>
      </c>
      <c r="D72" s="14" t="inlineStr"/>
      <c r="E72" s="34" t="inlineStr">
        <is>
          <t>Deliverable</t>
        </is>
      </c>
      <c r="F72" s="39" t="inlineStr"/>
      <c r="G72" s="34" t="inlineStr">
        <is>
          <t>System Proposed</t>
        </is>
      </c>
      <c r="H72" s="34">
        <f>COUNTIFS('MASTER DATA'!$A$2:$A$1624,A72,'MASTER DATA'!$G$2:$G$1624,"&lt;&gt;RETIRED")</f>
        <v/>
      </c>
    </row>
    <row r="73" ht="94" customHeight="1">
      <c r="A73" s="34" t="inlineStr">
        <is>
          <t>1.6.2.1</t>
        </is>
      </c>
      <c r="B73" s="106" t="inlineStr">
        <is>
          <t>Commercial &amp; Procurement - Owner Team</t>
        </is>
      </c>
      <c r="C73" s="34" t="inlineStr">
        <is>
          <t>1.6.2</t>
        </is>
      </c>
      <c r="D73" s="14" t="inlineStr"/>
      <c r="E73" s="34" t="inlineStr">
        <is>
          <t>Deliverable</t>
        </is>
      </c>
      <c r="F73" s="39" t="inlineStr"/>
      <c r="G73" s="34" t="inlineStr">
        <is>
          <t>System Proposed</t>
        </is>
      </c>
      <c r="H73" s="34">
        <f>COUNTIFS('MASTER DATA'!$A$2:$A$1624,A73,'MASTER DATA'!$G$2:$G$1624,"&lt;&gt;RETIRED")</f>
        <v/>
      </c>
    </row>
    <row r="74" ht="94" customHeight="1">
      <c r="A74" s="34" t="inlineStr">
        <is>
          <t>1.6.2.2</t>
        </is>
      </c>
      <c r="B74" s="106" t="inlineStr">
        <is>
          <t>Commercial &amp; Procurement - Delivery Partners</t>
        </is>
      </c>
      <c r="C74" s="34" t="inlineStr">
        <is>
          <t>1.6.2</t>
        </is>
      </c>
      <c r="D74" s="14" t="inlineStr"/>
      <c r="E74" s="34" t="inlineStr">
        <is>
          <t>Deliverable</t>
        </is>
      </c>
      <c r="F74" s="39" t="inlineStr"/>
      <c r="G74" s="34" t="inlineStr">
        <is>
          <t>System Proposed</t>
        </is>
      </c>
      <c r="H74" s="34">
        <f>COUNTIFS('MASTER DATA'!$A$2:$A$1624,A74,'MASTER DATA'!$G$2:$G$1624,"&lt;&gt;RETIRED")</f>
        <v/>
      </c>
    </row>
    <row r="75" ht="94" customHeight="1">
      <c r="A75" s="34" t="inlineStr">
        <is>
          <t>1.6.3</t>
        </is>
      </c>
      <c r="B75" s="105" t="inlineStr">
        <is>
          <t>Program Management - Stakeholder &amp; Permits</t>
        </is>
      </c>
      <c r="C75" s="34" t="inlineStr">
        <is>
          <t>1.6</t>
        </is>
      </c>
      <c r="D75" s="14" t="inlineStr"/>
      <c r="E75" s="34" t="inlineStr">
        <is>
          <t>Deliverable</t>
        </is>
      </c>
      <c r="F75" s="39" t="inlineStr"/>
      <c r="G75" s="34" t="inlineStr">
        <is>
          <t>System Proposed</t>
        </is>
      </c>
      <c r="H75" s="34">
        <f>COUNTIFS('MASTER DATA'!$A$2:$A$1624,A75,'MASTER DATA'!$G$2:$G$1624,"&lt;&gt;RETIRED")</f>
        <v/>
      </c>
    </row>
    <row r="76" ht="94" customHeight="1">
      <c r="A76" s="34" t="inlineStr">
        <is>
          <t>1.6.3.1</t>
        </is>
      </c>
      <c r="B76" s="106" t="inlineStr">
        <is>
          <t>Stakeholder &amp; Permits - Owner Team</t>
        </is>
      </c>
      <c r="C76" s="34" t="inlineStr">
        <is>
          <t>1.6.3</t>
        </is>
      </c>
      <c r="D76" s="14" t="inlineStr"/>
      <c r="E76" s="34" t="inlineStr">
        <is>
          <t>Deliverable</t>
        </is>
      </c>
      <c r="F76" s="39" t="inlineStr"/>
      <c r="G76" s="34" t="inlineStr">
        <is>
          <t>System Proposed</t>
        </is>
      </c>
      <c r="H76" s="34">
        <f>COUNTIFS('MASTER DATA'!$A$2:$A$1624,A76,'MASTER DATA'!$G$2:$G$1624,"&lt;&gt;RETIRED")</f>
        <v/>
      </c>
    </row>
    <row r="77" ht="94" customHeight="1">
      <c r="A77" s="34" t="inlineStr">
        <is>
          <t>1.6.3.2</t>
        </is>
      </c>
      <c r="B77" s="106" t="inlineStr">
        <is>
          <t>Stakeholder &amp; Permits - Delivery Partners</t>
        </is>
      </c>
      <c r="C77" s="34" t="inlineStr">
        <is>
          <t>1.6.3</t>
        </is>
      </c>
      <c r="D77" s="14" t="inlineStr"/>
      <c r="E77" s="34" t="inlineStr">
        <is>
          <t>Deliverable</t>
        </is>
      </c>
      <c r="F77" s="39" t="inlineStr"/>
      <c r="G77" s="34" t="inlineStr">
        <is>
          <t>System Proposed</t>
        </is>
      </c>
      <c r="H77" s="34">
        <f>COUNTIFS('MASTER DATA'!$A$2:$A$1624,A77,'MASTER DATA'!$G$2:$G$1624,"&lt;&gt;RETIRED")</f>
        <v/>
      </c>
    </row>
    <row r="78" ht="94" customHeight="1">
      <c r="A78" s="34" t="inlineStr">
        <is>
          <t>1.6.4</t>
        </is>
      </c>
      <c r="B78" s="105" t="inlineStr">
        <is>
          <t>Program Management - Delivery Integration</t>
        </is>
      </c>
      <c r="C78" s="34" t="inlineStr">
        <is>
          <t>1.6</t>
        </is>
      </c>
      <c r="D78" s="14" t="inlineStr"/>
      <c r="E78" s="34" t="inlineStr">
        <is>
          <t>Deliverable</t>
        </is>
      </c>
      <c r="F78" s="39" t="inlineStr"/>
      <c r="G78" s="34" t="inlineStr">
        <is>
          <t>System Proposed</t>
        </is>
      </c>
      <c r="H78" s="34">
        <f>COUNTIFS('MASTER DATA'!$A$2:$A$1624,A78,'MASTER DATA'!$G$2:$G$1624,"&lt;&gt;RETIRED")</f>
        <v/>
      </c>
    </row>
    <row r="79" ht="94" customHeight="1">
      <c r="A79" s="34" t="inlineStr">
        <is>
          <t>1.6.4.1</t>
        </is>
      </c>
      <c r="B79" s="106" t="inlineStr">
        <is>
          <t>Delivery Integration - Owner Team</t>
        </is>
      </c>
      <c r="C79" s="34" t="inlineStr">
        <is>
          <t>1.6.4</t>
        </is>
      </c>
      <c r="D79" s="14" t="inlineStr"/>
      <c r="E79" s="34" t="inlineStr">
        <is>
          <t>Deliverable</t>
        </is>
      </c>
      <c r="F79" s="39" t="inlineStr"/>
      <c r="G79" s="34" t="inlineStr">
        <is>
          <t>System Proposed</t>
        </is>
      </c>
      <c r="H79" s="34">
        <f>COUNTIFS('MASTER DATA'!$A$2:$A$1624,A79,'MASTER DATA'!$G$2:$G$1624,"&lt;&gt;RETIRED")</f>
        <v/>
      </c>
    </row>
    <row r="80" ht="94" customHeight="1">
      <c r="A80" s="34" t="inlineStr">
        <is>
          <t>1.6.4.2</t>
        </is>
      </c>
      <c r="B80" s="106" t="inlineStr">
        <is>
          <t>Delivery Integration - Delivery Partners</t>
        </is>
      </c>
      <c r="C80" s="34" t="inlineStr">
        <is>
          <t>1.6.4</t>
        </is>
      </c>
      <c r="D80" s="14" t="inlineStr"/>
      <c r="E80" s="34" t="inlineStr">
        <is>
          <t>Deliverable</t>
        </is>
      </c>
      <c r="F80" s="39" t="inlineStr"/>
      <c r="G80" s="34" t="inlineStr">
        <is>
          <t>System Proposed</t>
        </is>
      </c>
      <c r="H80" s="34">
        <f>COUNTIFS('MASTER DATA'!$A$2:$A$1624,A80,'MASTER DATA'!$G$2:$G$1624,"&lt;&gt;RETIRED")</f>
        <v/>
      </c>
    </row>
  </sheetData>
  <autoFilter ref="A1:H80"/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J81"/>
  <sheetViews>
    <sheetView showGridLines="0" tabSelected="0" zoomScale="100"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8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8" customWidth="1" min="9" max="9"/>
    <col width="12" customWidth="1" min="10" max="10"/>
  </cols>
  <sheetData>
    <row r="1" ht="34" customHeight="1">
      <c r="A1" s="91" t="inlineStr">
        <is>
          <t>WBS Code</t>
        </is>
      </c>
      <c r="B1" s="91" t="inlineStr">
        <is>
          <t>WBS Element</t>
        </is>
      </c>
      <c r="C1" s="91" t="inlineStr">
        <is>
          <t>Level</t>
        </is>
      </c>
      <c r="D1" s="91" t="inlineStr">
        <is>
          <t>Schedule</t>
        </is>
      </c>
      <c r="E1" s="91" t="inlineStr">
        <is>
          <t>Cost</t>
        </is>
      </c>
      <c r="F1" s="91" t="inlineStr">
        <is>
          <t>Package / Contract</t>
        </is>
      </c>
      <c r="G1" s="91" t="inlineStr">
        <is>
          <t>Other</t>
        </is>
      </c>
      <c r="H1" s="91" t="inlineStr">
        <is>
          <t>Governed</t>
        </is>
      </c>
      <c r="I1" s="91" t="inlineStr">
        <is>
          <t>Needing Attention</t>
        </is>
      </c>
      <c r="J1" s="91" t="inlineStr">
        <is>
          <t>Changed</t>
        </is>
      </c>
    </row>
    <row r="2" ht="34" customHeight="1">
      <c r="A2" s="53" t="inlineStr"/>
      <c r="B2" s="102" t="inlineStr">
        <is>
          <t>HarbourLink Urban Transit Expansion</t>
        </is>
      </c>
      <c r="C2" s="66" t="n">
        <v>0</v>
      </c>
      <c r="D2" s="66" t="n">
        <v>898</v>
      </c>
      <c r="E2" s="66" t="n">
        <v>399</v>
      </c>
      <c r="F2" s="66" t="n">
        <v>60</v>
      </c>
      <c r="G2" s="66" t="n">
        <v>0</v>
      </c>
      <c r="H2" s="66" t="n">
        <v>1357</v>
      </c>
      <c r="I2" s="66" t="n">
        <v>0</v>
      </c>
      <c r="J2" s="66" t="n">
        <v>1357</v>
      </c>
    </row>
    <row r="3" ht="34" customHeight="1">
      <c r="A3" s="102" t="inlineStr">
        <is>
          <t>1</t>
        </is>
      </c>
      <c r="B3" s="103" t="inlineStr">
        <is>
          <t>HarbourLink Urban Transit Expansion</t>
        </is>
      </c>
      <c r="C3" s="66" t="n">
        <v>1</v>
      </c>
      <c r="D3" s="66" t="n">
        <v>898</v>
      </c>
      <c r="E3" s="66" t="n">
        <v>399</v>
      </c>
      <c r="F3" s="66" t="n">
        <v>60</v>
      </c>
      <c r="G3" s="66" t="n">
        <v>0</v>
      </c>
      <c r="H3" s="66" t="n">
        <v>1357</v>
      </c>
      <c r="I3" s="66" t="n">
        <v>0</v>
      </c>
      <c r="J3" s="66" t="n">
        <v>1357</v>
      </c>
    </row>
    <row r="4" ht="19" customHeight="1">
      <c r="A4" s="34" t="inlineStr">
        <is>
          <t>1.1</t>
        </is>
      </c>
      <c r="B4" s="104" t="inlineStr">
        <is>
          <t>Guideway and Civil</t>
        </is>
      </c>
      <c r="C4" s="95" t="n">
        <v>2</v>
      </c>
      <c r="D4" s="95" t="n">
        <v>180</v>
      </c>
      <c r="E4" s="95" t="n">
        <v>80</v>
      </c>
      <c r="F4" s="95" t="n">
        <v>10</v>
      </c>
      <c r="G4" s="95" t="n">
        <v>0</v>
      </c>
      <c r="H4" s="95" t="n">
        <v>270</v>
      </c>
      <c r="I4" s="95" t="n">
        <v>0</v>
      </c>
      <c r="J4" s="95" t="n">
        <v>270</v>
      </c>
    </row>
    <row r="5" ht="34" customHeight="1">
      <c r="A5" s="34" t="inlineStr">
        <is>
          <t>1.1.1</t>
        </is>
      </c>
      <c r="B5" s="105" t="inlineStr">
        <is>
          <t>Guideway and Civil - Guideway Structures</t>
        </is>
      </c>
      <c r="C5" s="95" t="n">
        <v>3</v>
      </c>
      <c r="D5" s="95" t="n">
        <v>120</v>
      </c>
      <c r="E5" s="95" t="n">
        <v>40</v>
      </c>
      <c r="F5" s="95" t="n">
        <v>0</v>
      </c>
      <c r="G5" s="95" t="n">
        <v>0</v>
      </c>
      <c r="H5" s="95" t="n">
        <v>160</v>
      </c>
      <c r="I5" s="95" t="n">
        <v>0</v>
      </c>
      <c r="J5" s="95" t="n">
        <v>160</v>
      </c>
    </row>
    <row r="6" ht="19" customHeight="1">
      <c r="A6" s="34" t="inlineStr">
        <is>
          <t>1.1.1.1</t>
        </is>
      </c>
      <c r="B6" s="106" t="inlineStr">
        <is>
          <t>Guideway Structures - East Segment</t>
        </is>
      </c>
      <c r="C6" s="95" t="n">
        <v>4</v>
      </c>
      <c r="D6" s="95" t="n">
        <v>0</v>
      </c>
      <c r="E6" s="95" t="n">
        <v>0</v>
      </c>
      <c r="F6" s="95" t="n">
        <v>0</v>
      </c>
      <c r="G6" s="95" t="n">
        <v>0</v>
      </c>
      <c r="H6" s="95" t="n">
        <v>0</v>
      </c>
      <c r="I6" s="95" t="n">
        <v>0</v>
      </c>
      <c r="J6" s="95" t="n">
        <v>0</v>
      </c>
    </row>
    <row r="7" ht="19" customHeight="1">
      <c r="A7" s="34" t="inlineStr">
        <is>
          <t>1.1.1.2</t>
        </is>
      </c>
      <c r="B7" s="106" t="inlineStr">
        <is>
          <t>Guideway Structures - West Segment</t>
        </is>
      </c>
      <c r="C7" s="95" t="n">
        <v>4</v>
      </c>
      <c r="D7" s="95" t="n">
        <v>0</v>
      </c>
      <c r="E7" s="95" t="n">
        <v>0</v>
      </c>
      <c r="F7" s="95" t="n">
        <v>0</v>
      </c>
      <c r="G7" s="95" t="n">
        <v>0</v>
      </c>
      <c r="H7" s="95" t="n">
        <v>0</v>
      </c>
      <c r="I7" s="95" t="n">
        <v>0</v>
      </c>
      <c r="J7" s="95" t="n">
        <v>0</v>
      </c>
    </row>
    <row r="8" ht="34" customHeight="1">
      <c r="A8" s="34" t="inlineStr">
        <is>
          <t>1.1.2</t>
        </is>
      </c>
      <c r="B8" s="105" t="inlineStr">
        <is>
          <t>Guideway and Civil - Utility &amp; Roadworks</t>
        </is>
      </c>
      <c r="C8" s="95" t="n">
        <v>3</v>
      </c>
      <c r="D8" s="95" t="n">
        <v>60</v>
      </c>
      <c r="E8" s="95" t="n">
        <v>40</v>
      </c>
      <c r="F8" s="95" t="n">
        <v>0</v>
      </c>
      <c r="G8" s="95" t="n">
        <v>0</v>
      </c>
      <c r="H8" s="95" t="n">
        <v>100</v>
      </c>
      <c r="I8" s="95" t="n">
        <v>0</v>
      </c>
      <c r="J8" s="95" t="n">
        <v>100</v>
      </c>
    </row>
    <row r="9" ht="19" customHeight="1">
      <c r="A9" s="34" t="inlineStr">
        <is>
          <t>1.1.2.1</t>
        </is>
      </c>
      <c r="B9" s="106" t="inlineStr">
        <is>
          <t>Utility &amp; Roadworks - East Segment</t>
        </is>
      </c>
      <c r="C9" s="95" t="n">
        <v>4</v>
      </c>
      <c r="D9" s="95" t="n">
        <v>0</v>
      </c>
      <c r="E9" s="95" t="n">
        <v>0</v>
      </c>
      <c r="F9" s="95" t="n">
        <v>0</v>
      </c>
      <c r="G9" s="95" t="n">
        <v>0</v>
      </c>
      <c r="H9" s="95" t="n">
        <v>0</v>
      </c>
      <c r="I9" s="95" t="n">
        <v>0</v>
      </c>
      <c r="J9" s="95" t="n">
        <v>0</v>
      </c>
    </row>
    <row r="10" ht="19" customHeight="1">
      <c r="A10" s="34" t="inlineStr">
        <is>
          <t>1.1.2.2</t>
        </is>
      </c>
      <c r="B10" s="106" t="inlineStr">
        <is>
          <t>Utility &amp; Roadworks - West Segment</t>
        </is>
      </c>
      <c r="C10" s="95" t="n">
        <v>4</v>
      </c>
      <c r="D10" s="95" t="n">
        <v>0</v>
      </c>
      <c r="E10" s="95" t="n">
        <v>0</v>
      </c>
      <c r="F10" s="95" t="n">
        <v>0</v>
      </c>
      <c r="G10" s="95" t="n">
        <v>0</v>
      </c>
      <c r="H10" s="95" t="n">
        <v>0</v>
      </c>
      <c r="I10" s="95" t="n">
        <v>0</v>
      </c>
      <c r="J10" s="95" t="n">
        <v>0</v>
      </c>
    </row>
    <row r="11" ht="34" customHeight="1">
      <c r="A11" s="34" t="inlineStr">
        <is>
          <t>1.1.3</t>
        </is>
      </c>
      <c r="B11" s="105" t="inlineStr">
        <is>
          <t>Guideway and Civil - Track Support Works</t>
        </is>
      </c>
      <c r="C11" s="95" t="n">
        <v>3</v>
      </c>
      <c r="D11" s="95" t="n">
        <v>0</v>
      </c>
      <c r="E11" s="95" t="n">
        <v>0</v>
      </c>
      <c r="F11" s="95" t="n">
        <v>0</v>
      </c>
      <c r="G11" s="95" t="n">
        <v>0</v>
      </c>
      <c r="H11" s="95" t="n">
        <v>0</v>
      </c>
      <c r="I11" s="95" t="n">
        <v>0</v>
      </c>
      <c r="J11" s="95" t="n">
        <v>0</v>
      </c>
    </row>
    <row r="12" ht="19" customHeight="1">
      <c r="A12" s="34" t="inlineStr">
        <is>
          <t>1.1.3.1</t>
        </is>
      </c>
      <c r="B12" s="106" t="inlineStr">
        <is>
          <t>Track Support Works - East Segment</t>
        </is>
      </c>
      <c r="C12" s="95" t="n">
        <v>4</v>
      </c>
      <c r="D12" s="95" t="n">
        <v>0</v>
      </c>
      <c r="E12" s="95" t="n">
        <v>0</v>
      </c>
      <c r="F12" s="95" t="n">
        <v>0</v>
      </c>
      <c r="G12" s="95" t="n">
        <v>0</v>
      </c>
      <c r="H12" s="95" t="n">
        <v>0</v>
      </c>
      <c r="I12" s="95" t="n">
        <v>0</v>
      </c>
      <c r="J12" s="95" t="n">
        <v>0</v>
      </c>
    </row>
    <row r="13" ht="19" customHeight="1">
      <c r="A13" s="34" t="inlineStr">
        <is>
          <t>1.1.3.2</t>
        </is>
      </c>
      <c r="B13" s="106" t="inlineStr">
        <is>
          <t>Track Support Works - West Segment</t>
        </is>
      </c>
      <c r="C13" s="95" t="n">
        <v>4</v>
      </c>
      <c r="D13" s="95" t="n">
        <v>0</v>
      </c>
      <c r="E13" s="95" t="n">
        <v>0</v>
      </c>
      <c r="F13" s="95" t="n">
        <v>0</v>
      </c>
      <c r="G13" s="95" t="n">
        <v>0</v>
      </c>
      <c r="H13" s="95" t="n">
        <v>0</v>
      </c>
      <c r="I13" s="95" t="n">
        <v>0</v>
      </c>
      <c r="J13" s="95" t="n">
        <v>0</v>
      </c>
    </row>
    <row r="14" ht="34" customHeight="1">
      <c r="A14" s="34" t="inlineStr">
        <is>
          <t>1.1.4</t>
        </is>
      </c>
      <c r="B14" s="105" t="inlineStr">
        <is>
          <t>Guideway and Civil - Civil Interfaces</t>
        </is>
      </c>
      <c r="C14" s="95" t="n">
        <v>3</v>
      </c>
      <c r="D14" s="95" t="n">
        <v>0</v>
      </c>
      <c r="E14" s="95" t="n">
        <v>0</v>
      </c>
      <c r="F14" s="95" t="n">
        <v>0</v>
      </c>
      <c r="G14" s="95" t="n">
        <v>0</v>
      </c>
      <c r="H14" s="95" t="n">
        <v>0</v>
      </c>
      <c r="I14" s="95" t="n">
        <v>0</v>
      </c>
      <c r="J14" s="95" t="n">
        <v>0</v>
      </c>
    </row>
    <row r="15" ht="19" customHeight="1">
      <c r="A15" s="34" t="inlineStr">
        <is>
          <t>1.1.4.1</t>
        </is>
      </c>
      <c r="B15" s="106" t="inlineStr">
        <is>
          <t>Civil Interfaces - East Segment</t>
        </is>
      </c>
      <c r="C15" s="95" t="n">
        <v>4</v>
      </c>
      <c r="D15" s="95" t="n">
        <v>0</v>
      </c>
      <c r="E15" s="95" t="n">
        <v>0</v>
      </c>
      <c r="F15" s="95" t="n">
        <v>0</v>
      </c>
      <c r="G15" s="95" t="n">
        <v>0</v>
      </c>
      <c r="H15" s="95" t="n">
        <v>0</v>
      </c>
      <c r="I15" s="95" t="n">
        <v>0</v>
      </c>
      <c r="J15" s="95" t="n">
        <v>0</v>
      </c>
    </row>
    <row r="16" ht="19" customHeight="1">
      <c r="A16" s="34" t="inlineStr">
        <is>
          <t>1.1.4.2</t>
        </is>
      </c>
      <c r="B16" s="106" t="inlineStr">
        <is>
          <t>Civil Interfaces - West Segment</t>
        </is>
      </c>
      <c r="C16" s="95" t="n">
        <v>4</v>
      </c>
      <c r="D16" s="95" t="n">
        <v>0</v>
      </c>
      <c r="E16" s="95" t="n">
        <v>0</v>
      </c>
      <c r="F16" s="95" t="n">
        <v>0</v>
      </c>
      <c r="G16" s="95" t="n">
        <v>0</v>
      </c>
      <c r="H16" s="95" t="n">
        <v>0</v>
      </c>
      <c r="I16" s="95" t="n">
        <v>0</v>
      </c>
      <c r="J16" s="95" t="n">
        <v>0</v>
      </c>
    </row>
    <row r="17" ht="19" customHeight="1">
      <c r="A17" s="34" t="inlineStr">
        <is>
          <t>1.2</t>
        </is>
      </c>
      <c r="B17" s="104" t="inlineStr">
        <is>
          <t>Stations</t>
        </is>
      </c>
      <c r="C17" s="95" t="n">
        <v>2</v>
      </c>
      <c r="D17" s="95" t="n">
        <v>179</v>
      </c>
      <c r="E17" s="95" t="n">
        <v>80</v>
      </c>
      <c r="F17" s="95" t="n">
        <v>11</v>
      </c>
      <c r="G17" s="95" t="n">
        <v>0</v>
      </c>
      <c r="H17" s="95" t="n">
        <v>270</v>
      </c>
      <c r="I17" s="95" t="n">
        <v>0</v>
      </c>
      <c r="J17" s="95" t="n">
        <v>270</v>
      </c>
    </row>
    <row r="18" ht="19" customHeight="1">
      <c r="A18" s="34" t="inlineStr">
        <is>
          <t>1.2.1</t>
        </is>
      </c>
      <c r="B18" s="105" t="inlineStr">
        <is>
          <t>Stations - Station Structures</t>
        </is>
      </c>
      <c r="C18" s="95" t="n">
        <v>3</v>
      </c>
      <c r="D18" s="95" t="n">
        <v>120</v>
      </c>
      <c r="E18" s="95" t="n">
        <v>40</v>
      </c>
      <c r="F18" s="95" t="n">
        <v>0</v>
      </c>
      <c r="G18" s="95" t="n">
        <v>0</v>
      </c>
      <c r="H18" s="95" t="n">
        <v>160</v>
      </c>
      <c r="I18" s="95" t="n">
        <v>0</v>
      </c>
      <c r="J18" s="95" t="n">
        <v>160</v>
      </c>
    </row>
    <row r="19" ht="34" customHeight="1">
      <c r="A19" s="34" t="inlineStr">
        <is>
          <t>1.2.1.1</t>
        </is>
      </c>
      <c r="B19" s="106" t="inlineStr">
        <is>
          <t>Station Structures - Concourse &amp; Entries</t>
        </is>
      </c>
      <c r="C19" s="95" t="n">
        <v>4</v>
      </c>
      <c r="D19" s="95" t="n">
        <v>0</v>
      </c>
      <c r="E19" s="95" t="n">
        <v>0</v>
      </c>
      <c r="F19" s="95" t="n">
        <v>0</v>
      </c>
      <c r="G19" s="95" t="n">
        <v>0</v>
      </c>
      <c r="H19" s="95" t="n">
        <v>0</v>
      </c>
      <c r="I19" s="95" t="n">
        <v>0</v>
      </c>
      <c r="J19" s="95" t="n">
        <v>0</v>
      </c>
    </row>
    <row r="20" ht="34" customHeight="1">
      <c r="A20" s="34" t="inlineStr">
        <is>
          <t>1.2.1.2</t>
        </is>
      </c>
      <c r="B20" s="106" t="inlineStr">
        <is>
          <t>Station Structures - Platforms &amp; Back-of-House</t>
        </is>
      </c>
      <c r="C20" s="95" t="n">
        <v>4</v>
      </c>
      <c r="D20" s="95" t="n">
        <v>0</v>
      </c>
      <c r="E20" s="95" t="n">
        <v>0</v>
      </c>
      <c r="F20" s="95" t="n">
        <v>0</v>
      </c>
      <c r="G20" s="95" t="n">
        <v>0</v>
      </c>
      <c r="H20" s="95" t="n">
        <v>0</v>
      </c>
      <c r="I20" s="95" t="n">
        <v>0</v>
      </c>
      <c r="J20" s="95" t="n">
        <v>0</v>
      </c>
    </row>
    <row r="21" ht="19" customHeight="1">
      <c r="A21" s="34" t="inlineStr">
        <is>
          <t>1.2.2</t>
        </is>
      </c>
      <c r="B21" s="105" t="inlineStr">
        <is>
          <t>Stations - Architectural Fit-Out</t>
        </is>
      </c>
      <c r="C21" s="95" t="n">
        <v>3</v>
      </c>
      <c r="D21" s="95" t="n">
        <v>59</v>
      </c>
      <c r="E21" s="95" t="n">
        <v>40</v>
      </c>
      <c r="F21" s="95" t="n">
        <v>0</v>
      </c>
      <c r="G21" s="95" t="n">
        <v>0</v>
      </c>
      <c r="H21" s="95" t="n">
        <v>99</v>
      </c>
      <c r="I21" s="95" t="n">
        <v>0</v>
      </c>
      <c r="J21" s="95" t="n">
        <v>99</v>
      </c>
    </row>
    <row r="22" ht="34" customHeight="1">
      <c r="A22" s="34" t="inlineStr">
        <is>
          <t>1.2.2.1</t>
        </is>
      </c>
      <c r="B22" s="106" t="inlineStr">
        <is>
          <t>Architectural Fit-Out - Concourse &amp; Entries</t>
        </is>
      </c>
      <c r="C22" s="95" t="n">
        <v>4</v>
      </c>
      <c r="D22" s="95" t="n">
        <v>0</v>
      </c>
      <c r="E22" s="95" t="n">
        <v>0</v>
      </c>
      <c r="F22" s="95" t="n">
        <v>0</v>
      </c>
      <c r="G22" s="95" t="n">
        <v>0</v>
      </c>
      <c r="H22" s="95" t="n">
        <v>0</v>
      </c>
      <c r="I22" s="95" t="n">
        <v>0</v>
      </c>
      <c r="J22" s="95" t="n">
        <v>0</v>
      </c>
    </row>
    <row r="23" ht="34" customHeight="1">
      <c r="A23" s="34" t="inlineStr">
        <is>
          <t>1.2.2.2</t>
        </is>
      </c>
      <c r="B23" s="106" t="inlineStr">
        <is>
          <t>Architectural Fit-Out - Platforms &amp; Back-of-House</t>
        </is>
      </c>
      <c r="C23" s="95" t="n">
        <v>4</v>
      </c>
      <c r="D23" s="95" t="n">
        <v>0</v>
      </c>
      <c r="E23" s="95" t="n">
        <v>0</v>
      </c>
      <c r="F23" s="95" t="n">
        <v>0</v>
      </c>
      <c r="G23" s="95" t="n">
        <v>0</v>
      </c>
      <c r="H23" s="95" t="n">
        <v>0</v>
      </c>
      <c r="I23" s="95" t="n">
        <v>0</v>
      </c>
      <c r="J23" s="95" t="n">
        <v>0</v>
      </c>
    </row>
    <row r="24" ht="34" customHeight="1">
      <c r="A24" s="34" t="inlineStr">
        <is>
          <t>1.2.3</t>
        </is>
      </c>
      <c r="B24" s="105" t="inlineStr">
        <is>
          <t>Stations - Station Building Services</t>
        </is>
      </c>
      <c r="C24" s="95" t="n">
        <v>3</v>
      </c>
      <c r="D24" s="95" t="n">
        <v>0</v>
      </c>
      <c r="E24" s="95" t="n">
        <v>0</v>
      </c>
      <c r="F24" s="95" t="n">
        <v>0</v>
      </c>
      <c r="G24" s="95" t="n">
        <v>0</v>
      </c>
      <c r="H24" s="95" t="n">
        <v>0</v>
      </c>
      <c r="I24" s="95" t="n">
        <v>0</v>
      </c>
      <c r="J24" s="95" t="n">
        <v>0</v>
      </c>
    </row>
    <row r="25" ht="34" customHeight="1">
      <c r="A25" s="34" t="inlineStr">
        <is>
          <t>1.2.3.1</t>
        </is>
      </c>
      <c r="B25" s="106" t="inlineStr">
        <is>
          <t>Station Building Services - Concourse &amp; Entries</t>
        </is>
      </c>
      <c r="C25" s="95" t="n">
        <v>4</v>
      </c>
      <c r="D25" s="95" t="n">
        <v>0</v>
      </c>
      <c r="E25" s="95" t="n">
        <v>0</v>
      </c>
      <c r="F25" s="95" t="n">
        <v>0</v>
      </c>
      <c r="G25" s="95" t="n">
        <v>0</v>
      </c>
      <c r="H25" s="95" t="n">
        <v>0</v>
      </c>
      <c r="I25" s="95" t="n">
        <v>0</v>
      </c>
      <c r="J25" s="95" t="n">
        <v>0</v>
      </c>
    </row>
    <row r="26" ht="34" customHeight="1">
      <c r="A26" s="34" t="inlineStr">
        <is>
          <t>1.2.3.2</t>
        </is>
      </c>
      <c r="B26" s="106" t="inlineStr">
        <is>
          <t>Station Building Services - Platforms &amp; Back-of-House</t>
        </is>
      </c>
      <c r="C26" s="95" t="n">
        <v>4</v>
      </c>
      <c r="D26" s="95" t="n">
        <v>0</v>
      </c>
      <c r="E26" s="95" t="n">
        <v>0</v>
      </c>
      <c r="F26" s="95" t="n">
        <v>0</v>
      </c>
      <c r="G26" s="95" t="n">
        <v>0</v>
      </c>
      <c r="H26" s="95" t="n">
        <v>0</v>
      </c>
      <c r="I26" s="95" t="n">
        <v>0</v>
      </c>
      <c r="J26" s="95" t="n">
        <v>0</v>
      </c>
    </row>
    <row r="27" ht="19" customHeight="1">
      <c r="A27" s="34" t="inlineStr">
        <is>
          <t>1.2.4</t>
        </is>
      </c>
      <c r="B27" s="105" t="inlineStr">
        <is>
          <t>Stations - Public Realm</t>
        </is>
      </c>
      <c r="C27" s="95" t="n">
        <v>3</v>
      </c>
      <c r="D27" s="95" t="n">
        <v>0</v>
      </c>
      <c r="E27" s="95" t="n">
        <v>0</v>
      </c>
      <c r="F27" s="95" t="n">
        <v>0</v>
      </c>
      <c r="G27" s="95" t="n">
        <v>0</v>
      </c>
      <c r="H27" s="95" t="n">
        <v>0</v>
      </c>
      <c r="I27" s="95" t="n">
        <v>0</v>
      </c>
      <c r="J27" s="95" t="n">
        <v>0</v>
      </c>
    </row>
    <row r="28" ht="19" customHeight="1">
      <c r="A28" s="34" t="inlineStr">
        <is>
          <t>1.2.4.1</t>
        </is>
      </c>
      <c r="B28" s="106" t="inlineStr">
        <is>
          <t>Public Realm - Concourse &amp; Entries</t>
        </is>
      </c>
      <c r="C28" s="95" t="n">
        <v>4</v>
      </c>
      <c r="D28" s="95" t="n">
        <v>0</v>
      </c>
      <c r="E28" s="95" t="n">
        <v>0</v>
      </c>
      <c r="F28" s="95" t="n">
        <v>0</v>
      </c>
      <c r="G28" s="95" t="n">
        <v>0</v>
      </c>
      <c r="H28" s="95" t="n">
        <v>0</v>
      </c>
      <c r="I28" s="95" t="n">
        <v>0</v>
      </c>
      <c r="J28" s="95" t="n">
        <v>0</v>
      </c>
    </row>
    <row r="29" ht="34" customHeight="1">
      <c r="A29" s="34" t="inlineStr">
        <is>
          <t>1.2.4.2</t>
        </is>
      </c>
      <c r="B29" s="106" t="inlineStr">
        <is>
          <t>Public Realm - Platforms &amp; Back-of-House</t>
        </is>
      </c>
      <c r="C29" s="95" t="n">
        <v>4</v>
      </c>
      <c r="D29" s="95" t="n">
        <v>0</v>
      </c>
      <c r="E29" s="95" t="n">
        <v>0</v>
      </c>
      <c r="F29" s="95" t="n">
        <v>0</v>
      </c>
      <c r="G29" s="95" t="n">
        <v>0</v>
      </c>
      <c r="H29" s="95" t="n">
        <v>0</v>
      </c>
      <c r="I29" s="95" t="n">
        <v>0</v>
      </c>
      <c r="J29" s="95" t="n">
        <v>0</v>
      </c>
    </row>
    <row r="30" ht="19" customHeight="1">
      <c r="A30" s="34" t="inlineStr">
        <is>
          <t>1.3</t>
        </is>
      </c>
      <c r="B30" s="104" t="inlineStr">
        <is>
          <t>Systems</t>
        </is>
      </c>
      <c r="C30" s="95" t="n">
        <v>2</v>
      </c>
      <c r="D30" s="95" t="n">
        <v>180</v>
      </c>
      <c r="E30" s="95" t="n">
        <v>79</v>
      </c>
      <c r="F30" s="95" t="n">
        <v>10</v>
      </c>
      <c r="G30" s="95" t="n">
        <v>0</v>
      </c>
      <c r="H30" s="95" t="n">
        <v>269</v>
      </c>
      <c r="I30" s="95" t="n">
        <v>0</v>
      </c>
      <c r="J30" s="95" t="n">
        <v>269</v>
      </c>
    </row>
    <row r="31" ht="19" customHeight="1">
      <c r="A31" s="34" t="inlineStr">
        <is>
          <t>1.3.1</t>
        </is>
      </c>
      <c r="B31" s="105" t="inlineStr">
        <is>
          <t>Systems - Traction Power</t>
        </is>
      </c>
      <c r="C31" s="95" t="n">
        <v>3</v>
      </c>
      <c r="D31" s="95" t="n">
        <v>120</v>
      </c>
      <c r="E31" s="95" t="n">
        <v>40</v>
      </c>
      <c r="F31" s="95" t="n">
        <v>0</v>
      </c>
      <c r="G31" s="95" t="n">
        <v>0</v>
      </c>
      <c r="H31" s="95" t="n">
        <v>160</v>
      </c>
      <c r="I31" s="95" t="n">
        <v>0</v>
      </c>
      <c r="J31" s="95" t="n">
        <v>160</v>
      </c>
    </row>
    <row r="32" ht="19" customHeight="1">
      <c r="A32" s="34" t="inlineStr">
        <is>
          <t>1.3.1.1</t>
        </is>
      </c>
      <c r="B32" s="106" t="inlineStr">
        <is>
          <t>Traction Power - Wayside</t>
        </is>
      </c>
      <c r="C32" s="95" t="n">
        <v>4</v>
      </c>
      <c r="D32" s="95" t="n">
        <v>0</v>
      </c>
      <c r="E32" s="95" t="n">
        <v>0</v>
      </c>
      <c r="F32" s="95" t="n">
        <v>0</v>
      </c>
      <c r="G32" s="95" t="n">
        <v>0</v>
      </c>
      <c r="H32" s="95" t="n">
        <v>0</v>
      </c>
      <c r="I32" s="95" t="n">
        <v>0</v>
      </c>
      <c r="J32" s="95" t="n">
        <v>0</v>
      </c>
    </row>
    <row r="33" ht="34" customHeight="1">
      <c r="A33" s="34" t="inlineStr">
        <is>
          <t>1.3.1.2</t>
        </is>
      </c>
      <c r="B33" s="106" t="inlineStr">
        <is>
          <t>Traction Power - Control Centre &amp; Stations</t>
        </is>
      </c>
      <c r="C33" s="95" t="n">
        <v>4</v>
      </c>
      <c r="D33" s="95" t="n">
        <v>0</v>
      </c>
      <c r="E33" s="95" t="n">
        <v>0</v>
      </c>
      <c r="F33" s="95" t="n">
        <v>0</v>
      </c>
      <c r="G33" s="95" t="n">
        <v>0</v>
      </c>
      <c r="H33" s="95" t="n">
        <v>0</v>
      </c>
      <c r="I33" s="95" t="n">
        <v>0</v>
      </c>
      <c r="J33" s="95" t="n">
        <v>0</v>
      </c>
    </row>
    <row r="34" ht="34" customHeight="1">
      <c r="A34" s="34" t="inlineStr">
        <is>
          <t>1.3.2</t>
        </is>
      </c>
      <c r="B34" s="105" t="inlineStr">
        <is>
          <t>Systems - Signalling &amp; Train Control</t>
        </is>
      </c>
      <c r="C34" s="95" t="n">
        <v>3</v>
      </c>
      <c r="D34" s="95" t="n">
        <v>60</v>
      </c>
      <c r="E34" s="95" t="n">
        <v>39</v>
      </c>
      <c r="F34" s="95" t="n">
        <v>0</v>
      </c>
      <c r="G34" s="95" t="n">
        <v>0</v>
      </c>
      <c r="H34" s="95" t="n">
        <v>99</v>
      </c>
      <c r="I34" s="95" t="n">
        <v>0</v>
      </c>
      <c r="J34" s="95" t="n">
        <v>99</v>
      </c>
    </row>
    <row r="35" ht="34" customHeight="1">
      <c r="A35" s="34" t="inlineStr">
        <is>
          <t>1.3.2.1</t>
        </is>
      </c>
      <c r="B35" s="106" t="inlineStr">
        <is>
          <t>Signalling &amp; Train Control - Wayside</t>
        </is>
      </c>
      <c r="C35" s="95" t="n">
        <v>4</v>
      </c>
      <c r="D35" s="95" t="n">
        <v>0</v>
      </c>
      <c r="E35" s="95" t="n">
        <v>0</v>
      </c>
      <c r="F35" s="95" t="n">
        <v>0</v>
      </c>
      <c r="G35" s="95" t="n">
        <v>0</v>
      </c>
      <c r="H35" s="95" t="n">
        <v>0</v>
      </c>
      <c r="I35" s="95" t="n">
        <v>0</v>
      </c>
      <c r="J35" s="95" t="n">
        <v>0</v>
      </c>
    </row>
    <row r="36" ht="34" customHeight="1">
      <c r="A36" s="34" t="inlineStr">
        <is>
          <t>1.3.2.2</t>
        </is>
      </c>
      <c r="B36" s="106" t="inlineStr">
        <is>
          <t>Signalling &amp; Train Control - Control Centre &amp; Stations</t>
        </is>
      </c>
      <c r="C36" s="95" t="n">
        <v>4</v>
      </c>
      <c r="D36" s="95" t="n">
        <v>0</v>
      </c>
      <c r="E36" s="95" t="n">
        <v>0</v>
      </c>
      <c r="F36" s="95" t="n">
        <v>0</v>
      </c>
      <c r="G36" s="95" t="n">
        <v>0</v>
      </c>
      <c r="H36" s="95" t="n">
        <v>0</v>
      </c>
      <c r="I36" s="95" t="n">
        <v>0</v>
      </c>
      <c r="J36" s="95" t="n">
        <v>0</v>
      </c>
    </row>
    <row r="37" ht="19" customHeight="1">
      <c r="A37" s="34" t="inlineStr">
        <is>
          <t>1.3.3</t>
        </is>
      </c>
      <c r="B37" s="105" t="inlineStr">
        <is>
          <t>Systems - Communications</t>
        </is>
      </c>
      <c r="C37" s="95" t="n">
        <v>3</v>
      </c>
      <c r="D37" s="95" t="n">
        <v>0</v>
      </c>
      <c r="E37" s="95" t="n">
        <v>0</v>
      </c>
      <c r="F37" s="95" t="n">
        <v>0</v>
      </c>
      <c r="G37" s="95" t="n">
        <v>0</v>
      </c>
      <c r="H37" s="95" t="n">
        <v>0</v>
      </c>
      <c r="I37" s="95" t="n">
        <v>0</v>
      </c>
      <c r="J37" s="95" t="n">
        <v>0</v>
      </c>
    </row>
    <row r="38" ht="19" customHeight="1">
      <c r="A38" s="34" t="inlineStr">
        <is>
          <t>1.3.3.1</t>
        </is>
      </c>
      <c r="B38" s="106" t="inlineStr">
        <is>
          <t>Communications - Wayside</t>
        </is>
      </c>
      <c r="C38" s="95" t="n">
        <v>4</v>
      </c>
      <c r="D38" s="95" t="n">
        <v>0</v>
      </c>
      <c r="E38" s="95" t="n">
        <v>0</v>
      </c>
      <c r="F38" s="95" t="n">
        <v>0</v>
      </c>
      <c r="G38" s="95" t="n">
        <v>0</v>
      </c>
      <c r="H38" s="95" t="n">
        <v>0</v>
      </c>
      <c r="I38" s="95" t="n">
        <v>0</v>
      </c>
      <c r="J38" s="95" t="n">
        <v>0</v>
      </c>
    </row>
    <row r="39" ht="34" customHeight="1">
      <c r="A39" s="34" t="inlineStr">
        <is>
          <t>1.3.3.2</t>
        </is>
      </c>
      <c r="B39" s="106" t="inlineStr">
        <is>
          <t>Communications - Control Centre &amp; Stations</t>
        </is>
      </c>
      <c r="C39" s="95" t="n">
        <v>4</v>
      </c>
      <c r="D39" s="95" t="n">
        <v>0</v>
      </c>
      <c r="E39" s="95" t="n">
        <v>0</v>
      </c>
      <c r="F39" s="95" t="n">
        <v>0</v>
      </c>
      <c r="G39" s="95" t="n">
        <v>0</v>
      </c>
      <c r="H39" s="95" t="n">
        <v>0</v>
      </c>
      <c r="I39" s="95" t="n">
        <v>0</v>
      </c>
      <c r="J39" s="95" t="n">
        <v>0</v>
      </c>
    </row>
    <row r="40" ht="19" customHeight="1">
      <c r="A40" s="34" t="inlineStr">
        <is>
          <t>1.3.4</t>
        </is>
      </c>
      <c r="B40" s="105" t="inlineStr">
        <is>
          <t>Systems - Systems Integration</t>
        </is>
      </c>
      <c r="C40" s="95" t="n">
        <v>3</v>
      </c>
      <c r="D40" s="95" t="n">
        <v>0</v>
      </c>
      <c r="E40" s="95" t="n">
        <v>0</v>
      </c>
      <c r="F40" s="95" t="n">
        <v>0</v>
      </c>
      <c r="G40" s="95" t="n">
        <v>0</v>
      </c>
      <c r="H40" s="95" t="n">
        <v>0</v>
      </c>
      <c r="I40" s="95" t="n">
        <v>0</v>
      </c>
      <c r="J40" s="95" t="n">
        <v>0</v>
      </c>
    </row>
    <row r="41" ht="19" customHeight="1">
      <c r="A41" s="34" t="inlineStr">
        <is>
          <t>1.3.4.1</t>
        </is>
      </c>
      <c r="B41" s="106" t="inlineStr">
        <is>
          <t>Systems Integration - Wayside</t>
        </is>
      </c>
      <c r="C41" s="95" t="n">
        <v>4</v>
      </c>
      <c r="D41" s="95" t="n">
        <v>0</v>
      </c>
      <c r="E41" s="95" t="n">
        <v>0</v>
      </c>
      <c r="F41" s="95" t="n">
        <v>0</v>
      </c>
      <c r="G41" s="95" t="n">
        <v>0</v>
      </c>
      <c r="H41" s="95" t="n">
        <v>0</v>
      </c>
      <c r="I41" s="95" t="n">
        <v>0</v>
      </c>
      <c r="J41" s="95" t="n">
        <v>0</v>
      </c>
    </row>
    <row r="42" ht="34" customHeight="1">
      <c r="A42" s="34" t="inlineStr">
        <is>
          <t>1.3.4.2</t>
        </is>
      </c>
      <c r="B42" s="106" t="inlineStr">
        <is>
          <t>Systems Integration - Control Centre &amp; Stations</t>
        </is>
      </c>
      <c r="C42" s="95" t="n">
        <v>4</v>
      </c>
      <c r="D42" s="95" t="n">
        <v>0</v>
      </c>
      <c r="E42" s="95" t="n">
        <v>0</v>
      </c>
      <c r="F42" s="95" t="n">
        <v>0</v>
      </c>
      <c r="G42" s="95" t="n">
        <v>0</v>
      </c>
      <c r="H42" s="95" t="n">
        <v>0</v>
      </c>
      <c r="I42" s="95" t="n">
        <v>0</v>
      </c>
      <c r="J42" s="95" t="n">
        <v>0</v>
      </c>
    </row>
    <row r="43" ht="19" customHeight="1">
      <c r="A43" s="34" t="inlineStr">
        <is>
          <t>1.4</t>
        </is>
      </c>
      <c r="B43" s="104" t="inlineStr">
        <is>
          <t>Vehicles and Depot</t>
        </is>
      </c>
      <c r="C43" s="95" t="n">
        <v>2</v>
      </c>
      <c r="D43" s="95" t="n">
        <v>179</v>
      </c>
      <c r="E43" s="95" t="n">
        <v>80</v>
      </c>
      <c r="F43" s="95" t="n">
        <v>10</v>
      </c>
      <c r="G43" s="95" t="n">
        <v>0</v>
      </c>
      <c r="H43" s="95" t="n">
        <v>269</v>
      </c>
      <c r="I43" s="95" t="n">
        <v>0</v>
      </c>
      <c r="J43" s="95" t="n">
        <v>269</v>
      </c>
    </row>
    <row r="44" ht="19" customHeight="1">
      <c r="A44" s="34" t="inlineStr">
        <is>
          <t>1.4.1</t>
        </is>
      </c>
      <c r="B44" s="105" t="inlineStr">
        <is>
          <t>Vehicles and Depot - Fleet Supply</t>
        </is>
      </c>
      <c r="C44" s="95" t="n">
        <v>3</v>
      </c>
      <c r="D44" s="95" t="n">
        <v>120</v>
      </c>
      <c r="E44" s="95" t="n">
        <v>40</v>
      </c>
      <c r="F44" s="95" t="n">
        <v>0</v>
      </c>
      <c r="G44" s="95" t="n">
        <v>0</v>
      </c>
      <c r="H44" s="95" t="n">
        <v>160</v>
      </c>
      <c r="I44" s="95" t="n">
        <v>0</v>
      </c>
      <c r="J44" s="95" t="n">
        <v>160</v>
      </c>
    </row>
    <row r="45" ht="19" customHeight="1">
      <c r="A45" s="34" t="inlineStr">
        <is>
          <t>1.4.1.1</t>
        </is>
      </c>
      <c r="B45" s="106" t="inlineStr">
        <is>
          <t>Fleet Supply - Maintenance Facility</t>
        </is>
      </c>
      <c r="C45" s="95" t="n">
        <v>4</v>
      </c>
      <c r="D45" s="95" t="n">
        <v>0</v>
      </c>
      <c r="E45" s="95" t="n">
        <v>0</v>
      </c>
      <c r="F45" s="95" t="n">
        <v>0</v>
      </c>
      <c r="G45" s="95" t="n">
        <v>0</v>
      </c>
      <c r="H45" s="95" t="n">
        <v>0</v>
      </c>
      <c r="I45" s="95" t="n">
        <v>0</v>
      </c>
      <c r="J45" s="95" t="n">
        <v>0</v>
      </c>
    </row>
    <row r="46" ht="34" customHeight="1">
      <c r="A46" s="34" t="inlineStr">
        <is>
          <t>1.4.1.2</t>
        </is>
      </c>
      <c r="B46" s="106" t="inlineStr">
        <is>
          <t>Fleet Supply - Storage &amp; Commissioning Yard</t>
        </is>
      </c>
      <c r="C46" s="95" t="n">
        <v>4</v>
      </c>
      <c r="D46" s="95" t="n">
        <v>0</v>
      </c>
      <c r="E46" s="95" t="n">
        <v>0</v>
      </c>
      <c r="F46" s="95" t="n">
        <v>0</v>
      </c>
      <c r="G46" s="95" t="n">
        <v>0</v>
      </c>
      <c r="H46" s="95" t="n">
        <v>0</v>
      </c>
      <c r="I46" s="95" t="n">
        <v>0</v>
      </c>
      <c r="J46" s="95" t="n">
        <v>0</v>
      </c>
    </row>
    <row r="47" ht="34" customHeight="1">
      <c r="A47" s="34" t="inlineStr">
        <is>
          <t>1.4.2</t>
        </is>
      </c>
      <c r="B47" s="105" t="inlineStr">
        <is>
          <t>Vehicles and Depot - Depot Buildings</t>
        </is>
      </c>
      <c r="C47" s="95" t="n">
        <v>3</v>
      </c>
      <c r="D47" s="95" t="n">
        <v>59</v>
      </c>
      <c r="E47" s="95" t="n">
        <v>40</v>
      </c>
      <c r="F47" s="95" t="n">
        <v>0</v>
      </c>
      <c r="G47" s="95" t="n">
        <v>0</v>
      </c>
      <c r="H47" s="95" t="n">
        <v>99</v>
      </c>
      <c r="I47" s="95" t="n">
        <v>0</v>
      </c>
      <c r="J47" s="95" t="n">
        <v>99</v>
      </c>
    </row>
    <row r="48" ht="34" customHeight="1">
      <c r="A48" s="34" t="inlineStr">
        <is>
          <t>1.4.2.1</t>
        </is>
      </c>
      <c r="B48" s="106" t="inlineStr">
        <is>
          <t>Depot Buildings - Maintenance Facility</t>
        </is>
      </c>
      <c r="C48" s="95" t="n">
        <v>4</v>
      </c>
      <c r="D48" s="95" t="n">
        <v>0</v>
      </c>
      <c r="E48" s="95" t="n">
        <v>0</v>
      </c>
      <c r="F48" s="95" t="n">
        <v>0</v>
      </c>
      <c r="G48" s="95" t="n">
        <v>0</v>
      </c>
      <c r="H48" s="95" t="n">
        <v>0</v>
      </c>
      <c r="I48" s="95" t="n">
        <v>0</v>
      </c>
      <c r="J48" s="95" t="n">
        <v>0</v>
      </c>
    </row>
    <row r="49" ht="34" customHeight="1">
      <c r="A49" s="34" t="inlineStr">
        <is>
          <t>1.4.2.2</t>
        </is>
      </c>
      <c r="B49" s="106" t="inlineStr">
        <is>
          <t>Depot Buildings - Storage &amp; Commissioning Yard</t>
        </is>
      </c>
      <c r="C49" s="95" t="n">
        <v>4</v>
      </c>
      <c r="D49" s="95" t="n">
        <v>0</v>
      </c>
      <c r="E49" s="95" t="n">
        <v>0</v>
      </c>
      <c r="F49" s="95" t="n">
        <v>0</v>
      </c>
      <c r="G49" s="95" t="n">
        <v>0</v>
      </c>
      <c r="H49" s="95" t="n">
        <v>0</v>
      </c>
      <c r="I49" s="95" t="n">
        <v>0</v>
      </c>
      <c r="J49" s="95" t="n">
        <v>0</v>
      </c>
    </row>
    <row r="50" ht="34" customHeight="1">
      <c r="A50" s="34" t="inlineStr">
        <is>
          <t>1.4.3</t>
        </is>
      </c>
      <c r="B50" s="105" t="inlineStr">
        <is>
          <t>Vehicles and Depot - Workshop Equipment</t>
        </is>
      </c>
      <c r="C50" s="95" t="n">
        <v>3</v>
      </c>
      <c r="D50" s="95" t="n">
        <v>0</v>
      </c>
      <c r="E50" s="95" t="n">
        <v>0</v>
      </c>
      <c r="F50" s="95" t="n">
        <v>0</v>
      </c>
      <c r="G50" s="95" t="n">
        <v>0</v>
      </c>
      <c r="H50" s="95" t="n">
        <v>0</v>
      </c>
      <c r="I50" s="95" t="n">
        <v>0</v>
      </c>
      <c r="J50" s="95" t="n">
        <v>0</v>
      </c>
    </row>
    <row r="51" ht="34" customHeight="1">
      <c r="A51" s="34" t="inlineStr">
        <is>
          <t>1.4.3.1</t>
        </is>
      </c>
      <c r="B51" s="106" t="inlineStr">
        <is>
          <t>Workshop Equipment - Maintenance Facility</t>
        </is>
      </c>
      <c r="C51" s="95" t="n">
        <v>4</v>
      </c>
      <c r="D51" s="95" t="n">
        <v>0</v>
      </c>
      <c r="E51" s="95" t="n">
        <v>0</v>
      </c>
      <c r="F51" s="95" t="n">
        <v>0</v>
      </c>
      <c r="G51" s="95" t="n">
        <v>0</v>
      </c>
      <c r="H51" s="95" t="n">
        <v>0</v>
      </c>
      <c r="I51" s="95" t="n">
        <v>0</v>
      </c>
      <c r="J51" s="95" t="n">
        <v>0</v>
      </c>
    </row>
    <row r="52" ht="34" customHeight="1">
      <c r="A52" s="34" t="inlineStr">
        <is>
          <t>1.4.3.2</t>
        </is>
      </c>
      <c r="B52" s="106" t="inlineStr">
        <is>
          <t>Workshop Equipment - Storage &amp; Commissioning Yard</t>
        </is>
      </c>
      <c r="C52" s="95" t="n">
        <v>4</v>
      </c>
      <c r="D52" s="95" t="n">
        <v>0</v>
      </c>
      <c r="E52" s="95" t="n">
        <v>0</v>
      </c>
      <c r="F52" s="95" t="n">
        <v>0</v>
      </c>
      <c r="G52" s="95" t="n">
        <v>0</v>
      </c>
      <c r="H52" s="95" t="n">
        <v>0</v>
      </c>
      <c r="I52" s="95" t="n">
        <v>0</v>
      </c>
      <c r="J52" s="95" t="n">
        <v>0</v>
      </c>
    </row>
    <row r="53" ht="34" customHeight="1">
      <c r="A53" s="34" t="inlineStr">
        <is>
          <t>1.4.4</t>
        </is>
      </c>
      <c r="B53" s="105" t="inlineStr">
        <is>
          <t>Vehicles and Depot - Vehicle Integration</t>
        </is>
      </c>
      <c r="C53" s="95" t="n">
        <v>3</v>
      </c>
      <c r="D53" s="95" t="n">
        <v>0</v>
      </c>
      <c r="E53" s="95" t="n">
        <v>0</v>
      </c>
      <c r="F53" s="95" t="n">
        <v>0</v>
      </c>
      <c r="G53" s="95" t="n">
        <v>0</v>
      </c>
      <c r="H53" s="95" t="n">
        <v>0</v>
      </c>
      <c r="I53" s="95" t="n">
        <v>0</v>
      </c>
      <c r="J53" s="95" t="n">
        <v>0</v>
      </c>
    </row>
    <row r="54" ht="34" customHeight="1">
      <c r="A54" s="34" t="inlineStr">
        <is>
          <t>1.4.4.1</t>
        </is>
      </c>
      <c r="B54" s="106" t="inlineStr">
        <is>
          <t>Vehicle Integration - Maintenance Facility</t>
        </is>
      </c>
      <c r="C54" s="95" t="n">
        <v>4</v>
      </c>
      <c r="D54" s="95" t="n">
        <v>0</v>
      </c>
      <c r="E54" s="95" t="n">
        <v>0</v>
      </c>
      <c r="F54" s="95" t="n">
        <v>0</v>
      </c>
      <c r="G54" s="95" t="n">
        <v>0</v>
      </c>
      <c r="H54" s="95" t="n">
        <v>0</v>
      </c>
      <c r="I54" s="95" t="n">
        <v>0</v>
      </c>
      <c r="J54" s="95" t="n">
        <v>0</v>
      </c>
    </row>
    <row r="55" ht="34" customHeight="1">
      <c r="A55" s="34" t="inlineStr">
        <is>
          <t>1.4.4.2</t>
        </is>
      </c>
      <c r="B55" s="106" t="inlineStr">
        <is>
          <t>Vehicle Integration - Storage &amp; Commissioning Yard</t>
        </is>
      </c>
      <c r="C55" s="95" t="n">
        <v>4</v>
      </c>
      <c r="D55" s="95" t="n">
        <v>0</v>
      </c>
      <c r="E55" s="95" t="n">
        <v>0</v>
      </c>
      <c r="F55" s="95" t="n">
        <v>0</v>
      </c>
      <c r="G55" s="95" t="n">
        <v>0</v>
      </c>
      <c r="H55" s="95" t="n">
        <v>0</v>
      </c>
      <c r="I55" s="95" t="n">
        <v>0</v>
      </c>
      <c r="J55" s="95" t="n">
        <v>0</v>
      </c>
    </row>
    <row r="56" ht="19" customHeight="1">
      <c r="A56" s="34" t="inlineStr">
        <is>
          <t>1.5</t>
        </is>
      </c>
      <c r="B56" s="104" t="inlineStr">
        <is>
          <t>Testing and Commissioning</t>
        </is>
      </c>
      <c r="C56" s="95" t="n">
        <v>2</v>
      </c>
      <c r="D56" s="95" t="n">
        <v>180</v>
      </c>
      <c r="E56" s="95" t="n">
        <v>0</v>
      </c>
      <c r="F56" s="95" t="n">
        <v>10</v>
      </c>
      <c r="G56" s="95" t="n">
        <v>0</v>
      </c>
      <c r="H56" s="95" t="n">
        <v>190</v>
      </c>
      <c r="I56" s="95" t="n">
        <v>0</v>
      </c>
      <c r="J56" s="95" t="n">
        <v>190</v>
      </c>
    </row>
    <row r="57" ht="34" customHeight="1">
      <c r="A57" s="34" t="inlineStr">
        <is>
          <t>1.5.1</t>
        </is>
      </c>
      <c r="B57" s="105" t="inlineStr">
        <is>
          <t>Testing and Commissioning - Test Readiness</t>
        </is>
      </c>
      <c r="C57" s="95" t="n">
        <v>3</v>
      </c>
      <c r="D57" s="95" t="n">
        <v>120</v>
      </c>
      <c r="E57" s="95" t="n">
        <v>0</v>
      </c>
      <c r="F57" s="95" t="n">
        <v>0</v>
      </c>
      <c r="G57" s="95" t="n">
        <v>0</v>
      </c>
      <c r="H57" s="95" t="n">
        <v>120</v>
      </c>
      <c r="I57" s="95" t="n">
        <v>0</v>
      </c>
      <c r="J57" s="95" t="n">
        <v>120</v>
      </c>
    </row>
    <row r="58" ht="19" customHeight="1">
      <c r="A58" s="34" t="inlineStr">
        <is>
          <t>1.5.1.1</t>
        </is>
      </c>
      <c r="B58" s="106" t="inlineStr">
        <is>
          <t>Test Readiness - Mainline</t>
        </is>
      </c>
      <c r="C58" s="95" t="n">
        <v>4</v>
      </c>
      <c r="D58" s="95" t="n">
        <v>0</v>
      </c>
      <c r="E58" s="95" t="n">
        <v>0</v>
      </c>
      <c r="F58" s="95" t="n">
        <v>0</v>
      </c>
      <c r="G58" s="95" t="n">
        <v>0</v>
      </c>
      <c r="H58" s="95" t="n">
        <v>0</v>
      </c>
      <c r="I58" s="95" t="n">
        <v>0</v>
      </c>
      <c r="J58" s="95" t="n">
        <v>0</v>
      </c>
    </row>
    <row r="59" ht="19" customHeight="1">
      <c r="A59" s="34" t="inlineStr">
        <is>
          <t>1.5.1.2</t>
        </is>
      </c>
      <c r="B59" s="106" t="inlineStr">
        <is>
          <t>Test Readiness - Depot &amp; Stations</t>
        </is>
      </c>
      <c r="C59" s="95" t="n">
        <v>4</v>
      </c>
      <c r="D59" s="95" t="n">
        <v>0</v>
      </c>
      <c r="E59" s="95" t="n">
        <v>0</v>
      </c>
      <c r="F59" s="95" t="n">
        <v>0</v>
      </c>
      <c r="G59" s="95" t="n">
        <v>0</v>
      </c>
      <c r="H59" s="95" t="n">
        <v>0</v>
      </c>
      <c r="I59" s="95" t="n">
        <v>0</v>
      </c>
      <c r="J59" s="95" t="n">
        <v>0</v>
      </c>
    </row>
    <row r="60" ht="34" customHeight="1">
      <c r="A60" s="34" t="inlineStr">
        <is>
          <t>1.5.2</t>
        </is>
      </c>
      <c r="B60" s="105" t="inlineStr">
        <is>
          <t>Testing and Commissioning - Dynamic Testing</t>
        </is>
      </c>
      <c r="C60" s="95" t="n">
        <v>3</v>
      </c>
      <c r="D60" s="95" t="n">
        <v>60</v>
      </c>
      <c r="E60" s="95" t="n">
        <v>0</v>
      </c>
      <c r="F60" s="95" t="n">
        <v>0</v>
      </c>
      <c r="G60" s="95" t="n">
        <v>0</v>
      </c>
      <c r="H60" s="95" t="n">
        <v>60</v>
      </c>
      <c r="I60" s="95" t="n">
        <v>0</v>
      </c>
      <c r="J60" s="95" t="n">
        <v>60</v>
      </c>
    </row>
    <row r="61" ht="19" customHeight="1">
      <c r="A61" s="34" t="inlineStr">
        <is>
          <t>1.5.2.1</t>
        </is>
      </c>
      <c r="B61" s="106" t="inlineStr">
        <is>
          <t>Dynamic Testing - Mainline</t>
        </is>
      </c>
      <c r="C61" s="95" t="n">
        <v>4</v>
      </c>
      <c r="D61" s="95" t="n">
        <v>0</v>
      </c>
      <c r="E61" s="95" t="n">
        <v>0</v>
      </c>
      <c r="F61" s="95" t="n">
        <v>0</v>
      </c>
      <c r="G61" s="95" t="n">
        <v>0</v>
      </c>
      <c r="H61" s="95" t="n">
        <v>0</v>
      </c>
      <c r="I61" s="95" t="n">
        <v>0</v>
      </c>
      <c r="J61" s="95" t="n">
        <v>0</v>
      </c>
    </row>
    <row r="62" ht="19" customHeight="1">
      <c r="A62" s="34" t="inlineStr">
        <is>
          <t>1.5.2.2</t>
        </is>
      </c>
      <c r="B62" s="106" t="inlineStr">
        <is>
          <t>Dynamic Testing - Depot &amp; Stations</t>
        </is>
      </c>
      <c r="C62" s="95" t="n">
        <v>4</v>
      </c>
      <c r="D62" s="95" t="n">
        <v>0</v>
      </c>
      <c r="E62" s="95" t="n">
        <v>0</v>
      </c>
      <c r="F62" s="95" t="n">
        <v>0</v>
      </c>
      <c r="G62" s="95" t="n">
        <v>0</v>
      </c>
      <c r="H62" s="95" t="n">
        <v>0</v>
      </c>
      <c r="I62" s="95" t="n">
        <v>0</v>
      </c>
      <c r="J62" s="95" t="n">
        <v>0</v>
      </c>
    </row>
    <row r="63" ht="34" customHeight="1">
      <c r="A63" s="34" t="inlineStr">
        <is>
          <t>1.5.3</t>
        </is>
      </c>
      <c r="B63" s="105" t="inlineStr">
        <is>
          <t>Testing and Commissioning - Safety Certification</t>
        </is>
      </c>
      <c r="C63" s="95" t="n">
        <v>3</v>
      </c>
      <c r="D63" s="95" t="n">
        <v>0</v>
      </c>
      <c r="E63" s="95" t="n">
        <v>0</v>
      </c>
      <c r="F63" s="95" t="n">
        <v>0</v>
      </c>
      <c r="G63" s="95" t="n">
        <v>0</v>
      </c>
      <c r="H63" s="95" t="n">
        <v>0</v>
      </c>
      <c r="I63" s="95" t="n">
        <v>0</v>
      </c>
      <c r="J63" s="95" t="n">
        <v>0</v>
      </c>
    </row>
    <row r="64" ht="19" customHeight="1">
      <c r="A64" s="34" t="inlineStr">
        <is>
          <t>1.5.3.1</t>
        </is>
      </c>
      <c r="B64" s="106" t="inlineStr">
        <is>
          <t>Safety Certification - Mainline</t>
        </is>
      </c>
      <c r="C64" s="95" t="n">
        <v>4</v>
      </c>
      <c r="D64" s="95" t="n">
        <v>0</v>
      </c>
      <c r="E64" s="95" t="n">
        <v>0</v>
      </c>
      <c r="F64" s="95" t="n">
        <v>0</v>
      </c>
      <c r="G64" s="95" t="n">
        <v>0</v>
      </c>
      <c r="H64" s="95" t="n">
        <v>0</v>
      </c>
      <c r="I64" s="95" t="n">
        <v>0</v>
      </c>
      <c r="J64" s="95" t="n">
        <v>0</v>
      </c>
    </row>
    <row r="65" ht="34" customHeight="1">
      <c r="A65" s="34" t="inlineStr">
        <is>
          <t>1.5.3.2</t>
        </is>
      </c>
      <c r="B65" s="106" t="inlineStr">
        <is>
          <t>Safety Certification - Depot &amp; Stations</t>
        </is>
      </c>
      <c r="C65" s="95" t="n">
        <v>4</v>
      </c>
      <c r="D65" s="95" t="n">
        <v>0</v>
      </c>
      <c r="E65" s="95" t="n">
        <v>0</v>
      </c>
      <c r="F65" s="95" t="n">
        <v>0</v>
      </c>
      <c r="G65" s="95" t="n">
        <v>0</v>
      </c>
      <c r="H65" s="95" t="n">
        <v>0</v>
      </c>
      <c r="I65" s="95" t="n">
        <v>0</v>
      </c>
      <c r="J65" s="95" t="n">
        <v>0</v>
      </c>
    </row>
    <row r="66" ht="34" customHeight="1">
      <c r="A66" s="34" t="inlineStr">
        <is>
          <t>1.5.4</t>
        </is>
      </c>
      <c r="B66" s="105" t="inlineStr">
        <is>
          <t>Testing and Commissioning - Service Readiness</t>
        </is>
      </c>
      <c r="C66" s="95" t="n">
        <v>3</v>
      </c>
      <c r="D66" s="95" t="n">
        <v>0</v>
      </c>
      <c r="E66" s="95" t="n">
        <v>0</v>
      </c>
      <c r="F66" s="95" t="n">
        <v>0</v>
      </c>
      <c r="G66" s="95" t="n">
        <v>0</v>
      </c>
      <c r="H66" s="95" t="n">
        <v>0</v>
      </c>
      <c r="I66" s="95" t="n">
        <v>0</v>
      </c>
      <c r="J66" s="95" t="n">
        <v>0</v>
      </c>
    </row>
    <row r="67" ht="19" customHeight="1">
      <c r="A67" s="34" t="inlineStr">
        <is>
          <t>1.5.4.1</t>
        </is>
      </c>
      <c r="B67" s="106" t="inlineStr">
        <is>
          <t>Service Readiness - Mainline</t>
        </is>
      </c>
      <c r="C67" s="95" t="n">
        <v>4</v>
      </c>
      <c r="D67" s="95" t="n">
        <v>0</v>
      </c>
      <c r="E67" s="95" t="n">
        <v>0</v>
      </c>
      <c r="F67" s="95" t="n">
        <v>0</v>
      </c>
      <c r="G67" s="95" t="n">
        <v>0</v>
      </c>
      <c r="H67" s="95" t="n">
        <v>0</v>
      </c>
      <c r="I67" s="95" t="n">
        <v>0</v>
      </c>
      <c r="J67" s="95" t="n">
        <v>0</v>
      </c>
    </row>
    <row r="68" ht="34" customHeight="1">
      <c r="A68" s="34" t="inlineStr">
        <is>
          <t>1.5.4.2</t>
        </is>
      </c>
      <c r="B68" s="106" t="inlineStr">
        <is>
          <t>Service Readiness - Depot &amp; Stations</t>
        </is>
      </c>
      <c r="C68" s="95" t="n">
        <v>4</v>
      </c>
      <c r="D68" s="95" t="n">
        <v>0</v>
      </c>
      <c r="E68" s="95" t="n">
        <v>0</v>
      </c>
      <c r="F68" s="95" t="n">
        <v>0</v>
      </c>
      <c r="G68" s="95" t="n">
        <v>0</v>
      </c>
      <c r="H68" s="95" t="n">
        <v>0</v>
      </c>
      <c r="I68" s="95" t="n">
        <v>0</v>
      </c>
      <c r="J68" s="95" t="n">
        <v>0</v>
      </c>
    </row>
    <row r="69" ht="19" customHeight="1">
      <c r="A69" s="34" t="inlineStr">
        <is>
          <t>1.6</t>
        </is>
      </c>
      <c r="B69" s="104" t="inlineStr">
        <is>
          <t>Program Management</t>
        </is>
      </c>
      <c r="C69" s="95" t="n">
        <v>2</v>
      </c>
      <c r="D69" s="95" t="n">
        <v>0</v>
      </c>
      <c r="E69" s="95" t="n">
        <v>80</v>
      </c>
      <c r="F69" s="95" t="n">
        <v>10</v>
      </c>
      <c r="G69" s="95" t="n">
        <v>0</v>
      </c>
      <c r="H69" s="95" t="n">
        <v>90</v>
      </c>
      <c r="I69" s="95" t="n">
        <v>0</v>
      </c>
      <c r="J69" s="95" t="n">
        <v>90</v>
      </c>
    </row>
    <row r="70" ht="34" customHeight="1">
      <c r="A70" s="34" t="inlineStr">
        <is>
          <t>1.6.1</t>
        </is>
      </c>
      <c r="B70" s="105" t="inlineStr">
        <is>
          <t>Program Management - Program Controls</t>
        </is>
      </c>
      <c r="C70" s="95" t="n">
        <v>3</v>
      </c>
      <c r="D70" s="95" t="n">
        <v>0</v>
      </c>
      <c r="E70" s="95" t="n">
        <v>40</v>
      </c>
      <c r="F70" s="95" t="n">
        <v>0</v>
      </c>
      <c r="G70" s="95" t="n">
        <v>0</v>
      </c>
      <c r="H70" s="95" t="n">
        <v>40</v>
      </c>
      <c r="I70" s="95" t="n">
        <v>0</v>
      </c>
      <c r="J70" s="95" t="n">
        <v>40</v>
      </c>
    </row>
    <row r="71" ht="19" customHeight="1">
      <c r="A71" s="34" t="inlineStr">
        <is>
          <t>1.6.1.1</t>
        </is>
      </c>
      <c r="B71" s="106" t="inlineStr">
        <is>
          <t>Program Controls - Owner Team</t>
        </is>
      </c>
      <c r="C71" s="95" t="n">
        <v>4</v>
      </c>
      <c r="D71" s="95" t="n">
        <v>0</v>
      </c>
      <c r="E71" s="95" t="n">
        <v>0</v>
      </c>
      <c r="F71" s="95" t="n">
        <v>0</v>
      </c>
      <c r="G71" s="95" t="n">
        <v>0</v>
      </c>
      <c r="H71" s="95" t="n">
        <v>0</v>
      </c>
      <c r="I71" s="95" t="n">
        <v>0</v>
      </c>
      <c r="J71" s="95" t="n">
        <v>0</v>
      </c>
    </row>
    <row r="72" ht="34" customHeight="1">
      <c r="A72" s="34" t="inlineStr">
        <is>
          <t>1.6.1.2</t>
        </is>
      </c>
      <c r="B72" s="106" t="inlineStr">
        <is>
          <t>Program Controls - Delivery Partners</t>
        </is>
      </c>
      <c r="C72" s="95" t="n">
        <v>4</v>
      </c>
      <c r="D72" s="95" t="n">
        <v>0</v>
      </c>
      <c r="E72" s="95" t="n">
        <v>0</v>
      </c>
      <c r="F72" s="95" t="n">
        <v>0</v>
      </c>
      <c r="G72" s="95" t="n">
        <v>0</v>
      </c>
      <c r="H72" s="95" t="n">
        <v>0</v>
      </c>
      <c r="I72" s="95" t="n">
        <v>0</v>
      </c>
      <c r="J72" s="95" t="n">
        <v>0</v>
      </c>
    </row>
    <row r="73" ht="34" customHeight="1">
      <c r="A73" s="34" t="inlineStr">
        <is>
          <t>1.6.2</t>
        </is>
      </c>
      <c r="B73" s="105" t="inlineStr">
        <is>
          <t>Program Management - Commercial &amp; Procurement</t>
        </is>
      </c>
      <c r="C73" s="95" t="n">
        <v>3</v>
      </c>
      <c r="D73" s="95" t="n">
        <v>0</v>
      </c>
      <c r="E73" s="95" t="n">
        <v>40</v>
      </c>
      <c r="F73" s="95" t="n">
        <v>0</v>
      </c>
      <c r="G73" s="95" t="n">
        <v>0</v>
      </c>
      <c r="H73" s="95" t="n">
        <v>40</v>
      </c>
      <c r="I73" s="95" t="n">
        <v>0</v>
      </c>
      <c r="J73" s="95" t="n">
        <v>40</v>
      </c>
    </row>
    <row r="74" ht="34" customHeight="1">
      <c r="A74" s="34" t="inlineStr">
        <is>
          <t>1.6.2.1</t>
        </is>
      </c>
      <c r="B74" s="106" t="inlineStr">
        <is>
          <t>Commercial &amp; Procurement - Owner Team</t>
        </is>
      </c>
      <c r="C74" s="95" t="n">
        <v>4</v>
      </c>
      <c r="D74" s="95" t="n">
        <v>0</v>
      </c>
      <c r="E74" s="95" t="n">
        <v>0</v>
      </c>
      <c r="F74" s="95" t="n">
        <v>0</v>
      </c>
      <c r="G74" s="95" t="n">
        <v>0</v>
      </c>
      <c r="H74" s="95" t="n">
        <v>0</v>
      </c>
      <c r="I74" s="95" t="n">
        <v>0</v>
      </c>
      <c r="J74" s="95" t="n">
        <v>0</v>
      </c>
    </row>
    <row r="75" ht="34" customHeight="1">
      <c r="A75" s="34" t="inlineStr">
        <is>
          <t>1.6.2.2</t>
        </is>
      </c>
      <c r="B75" s="106" t="inlineStr">
        <is>
          <t>Commercial &amp; Procurement - Delivery Partners</t>
        </is>
      </c>
      <c r="C75" s="95" t="n">
        <v>4</v>
      </c>
      <c r="D75" s="95" t="n">
        <v>0</v>
      </c>
      <c r="E75" s="95" t="n">
        <v>0</v>
      </c>
      <c r="F75" s="95" t="n">
        <v>0</v>
      </c>
      <c r="G75" s="95" t="n">
        <v>0</v>
      </c>
      <c r="H75" s="95" t="n">
        <v>0</v>
      </c>
      <c r="I75" s="95" t="n">
        <v>0</v>
      </c>
      <c r="J75" s="95" t="n">
        <v>0</v>
      </c>
    </row>
    <row r="76" ht="34" customHeight="1">
      <c r="A76" s="34" t="inlineStr">
        <is>
          <t>1.6.3</t>
        </is>
      </c>
      <c r="B76" s="105" t="inlineStr">
        <is>
          <t>Program Management - Stakeholder &amp; Permits</t>
        </is>
      </c>
      <c r="C76" s="95" t="n">
        <v>3</v>
      </c>
      <c r="D76" s="95" t="n">
        <v>0</v>
      </c>
      <c r="E76" s="95" t="n">
        <v>0</v>
      </c>
      <c r="F76" s="95" t="n">
        <v>0</v>
      </c>
      <c r="G76" s="95" t="n">
        <v>0</v>
      </c>
      <c r="H76" s="95" t="n">
        <v>0</v>
      </c>
      <c r="I76" s="95" t="n">
        <v>0</v>
      </c>
      <c r="J76" s="95" t="n">
        <v>0</v>
      </c>
    </row>
    <row r="77" ht="19" customHeight="1">
      <c r="A77" s="34" t="inlineStr">
        <is>
          <t>1.6.3.1</t>
        </is>
      </c>
      <c r="B77" s="106" t="inlineStr">
        <is>
          <t>Stakeholder &amp; Permits - Owner Team</t>
        </is>
      </c>
      <c r="C77" s="95" t="n">
        <v>4</v>
      </c>
      <c r="D77" s="95" t="n">
        <v>0</v>
      </c>
      <c r="E77" s="95" t="n">
        <v>0</v>
      </c>
      <c r="F77" s="95" t="n">
        <v>0</v>
      </c>
      <c r="G77" s="95" t="n">
        <v>0</v>
      </c>
      <c r="H77" s="95" t="n">
        <v>0</v>
      </c>
      <c r="I77" s="95" t="n">
        <v>0</v>
      </c>
      <c r="J77" s="95" t="n">
        <v>0</v>
      </c>
    </row>
    <row r="78" ht="34" customHeight="1">
      <c r="A78" s="34" t="inlineStr">
        <is>
          <t>1.6.3.2</t>
        </is>
      </c>
      <c r="B78" s="106" t="inlineStr">
        <is>
          <t>Stakeholder &amp; Permits - Delivery Partners</t>
        </is>
      </c>
      <c r="C78" s="95" t="n">
        <v>4</v>
      </c>
      <c r="D78" s="95" t="n">
        <v>0</v>
      </c>
      <c r="E78" s="95" t="n">
        <v>0</v>
      </c>
      <c r="F78" s="95" t="n">
        <v>0</v>
      </c>
      <c r="G78" s="95" t="n">
        <v>0</v>
      </c>
      <c r="H78" s="95" t="n">
        <v>0</v>
      </c>
      <c r="I78" s="95" t="n">
        <v>0</v>
      </c>
      <c r="J78" s="95" t="n">
        <v>0</v>
      </c>
    </row>
    <row r="79" ht="34" customHeight="1">
      <c r="A79" s="34" t="inlineStr">
        <is>
          <t>1.6.4</t>
        </is>
      </c>
      <c r="B79" s="105" t="inlineStr">
        <is>
          <t>Program Management - Delivery Integration</t>
        </is>
      </c>
      <c r="C79" s="95" t="n">
        <v>3</v>
      </c>
      <c r="D79" s="95" t="n">
        <v>0</v>
      </c>
      <c r="E79" s="95" t="n">
        <v>0</v>
      </c>
      <c r="F79" s="95" t="n">
        <v>0</v>
      </c>
      <c r="G79" s="95" t="n">
        <v>0</v>
      </c>
      <c r="H79" s="95" t="n">
        <v>0</v>
      </c>
      <c r="I79" s="95" t="n">
        <v>0</v>
      </c>
      <c r="J79" s="95" t="n">
        <v>0</v>
      </c>
    </row>
    <row r="80" ht="19" customHeight="1">
      <c r="A80" s="34" t="inlineStr">
        <is>
          <t>1.6.4.1</t>
        </is>
      </c>
      <c r="B80" s="106" t="inlineStr">
        <is>
          <t>Delivery Integration - Owner Team</t>
        </is>
      </c>
      <c r="C80" s="95" t="n">
        <v>4</v>
      </c>
      <c r="D80" s="95" t="n">
        <v>0</v>
      </c>
      <c r="E80" s="95" t="n">
        <v>0</v>
      </c>
      <c r="F80" s="95" t="n">
        <v>0</v>
      </c>
      <c r="G80" s="95" t="n">
        <v>0</v>
      </c>
      <c r="H80" s="95" t="n">
        <v>0</v>
      </c>
      <c r="I80" s="95" t="n">
        <v>0</v>
      </c>
      <c r="J80" s="95" t="n">
        <v>0</v>
      </c>
    </row>
    <row r="81" ht="34" customHeight="1">
      <c r="A81" s="34" t="inlineStr">
        <is>
          <t>1.6.4.2</t>
        </is>
      </c>
      <c r="B81" s="106" t="inlineStr">
        <is>
          <t>Delivery Integration - Delivery Partners</t>
        </is>
      </c>
      <c r="C81" s="95" t="n">
        <v>4</v>
      </c>
      <c r="D81" s="95" t="n">
        <v>0</v>
      </c>
      <c r="E81" s="95" t="n">
        <v>0</v>
      </c>
      <c r="F81" s="95" t="n">
        <v>0</v>
      </c>
      <c r="G81" s="95" t="n">
        <v>0</v>
      </c>
      <c r="H81" s="95" t="n">
        <v>0</v>
      </c>
      <c r="I81" s="95" t="n">
        <v>0</v>
      </c>
      <c r="J81" s="95" t="n">
        <v>0</v>
      </c>
    </row>
  </sheetData>
  <autoFilter ref="A1:J81"/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F266"/>
  <sheetViews>
    <sheetView showGridLines="0" tabSelected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8" customWidth="1" min="3" max="3"/>
    <col width="18" customWidth="1" min="4" max="4"/>
    <col width="20" customWidth="1" min="5" max="5"/>
    <col width="38" customWidth="1" min="6" max="6"/>
  </cols>
  <sheetData>
    <row r="1" ht="34" customHeight="1">
      <c r="A1" s="91" t="inlineStr">
        <is>
          <t>Source Document</t>
        </is>
      </c>
      <c r="B1" s="91" t="inlineStr">
        <is>
          <t>Source Record ID</t>
        </is>
      </c>
      <c r="C1" s="91" t="inlineStr">
        <is>
          <t>Description</t>
        </is>
      </c>
      <c r="D1" s="91" t="inlineStr">
        <is>
          <t>Relationship Type</t>
        </is>
      </c>
      <c r="E1" s="91" t="inlineStr">
        <is>
          <t>Decided By</t>
        </is>
      </c>
      <c r="F1" s="91" t="inlineStr">
        <is>
          <t>Basis</t>
        </is>
      </c>
    </row>
    <row r="2" ht="34" customHeight="1">
      <c r="A2" s="34" t="inlineStr">
        <is>
          <t>Contractor Programme</t>
        </is>
      </c>
      <c r="B2" s="34" t="inlineStr">
        <is>
          <t>SCH-90-901</t>
        </is>
      </c>
      <c r="C2" s="34" t="inlineStr">
        <is>
          <t>Temporary offsite logistics compound</t>
        </is>
      </c>
      <c r="D2" s="34" t="inlineStr">
        <is>
          <t>NEW_SCOPE</t>
        </is>
      </c>
      <c r="E2" s="34" t="inlineStr">
        <is>
          <t>Maya Chen, Owner Project Controls</t>
        </is>
      </c>
      <c r="F2" s="34" t="inlineStr">
        <is>
          <t>Professional decision</t>
        </is>
      </c>
    </row>
    <row r="3" ht="34" customHeight="1">
      <c r="A3" s="34" t="inlineStr">
        <is>
          <t>Contractor Programme</t>
        </is>
      </c>
      <c r="B3" s="34" t="inlineStr">
        <is>
          <t>SCH-90-902</t>
        </is>
      </c>
      <c r="C3" s="34" t="inlineStr">
        <is>
          <t>Corporate training unrelated to project delivery scope</t>
        </is>
      </c>
      <c r="D3" s="34" t="inlineStr">
        <is>
          <t>NO_WBS</t>
        </is>
      </c>
      <c r="E3" s="34" t="inlineStr">
        <is>
          <t>Maya Chen, Owner Project Controls</t>
        </is>
      </c>
      <c r="F3" s="34" t="inlineStr">
        <is>
          <t>Professional decision</t>
        </is>
      </c>
    </row>
    <row r="4" ht="34" customHeight="1">
      <c r="A4" s="34" t="inlineStr">
        <is>
          <t>Contractor Programme</t>
        </is>
      </c>
      <c r="B4" s="34" t="inlineStr">
        <is>
          <t>SCH-02-003</t>
        </is>
      </c>
      <c r="C4" s="34" t="inlineStr">
        <is>
          <t>Interface works near stations boundary</t>
        </is>
      </c>
      <c r="D4" s="34" t="inlineStr">
        <is>
          <t>UNSURE</t>
        </is>
      </c>
      <c r="E4" s="34" t="inlineStr">
        <is>
          <t>Maya Chen, Owner Project Controls</t>
        </is>
      </c>
      <c r="F4" s="34" t="inlineStr">
        <is>
          <t>Professional decision</t>
        </is>
      </c>
    </row>
    <row r="5" ht="34" customHeight="1">
      <c r="A5" s="34" t="inlineStr">
        <is>
          <t>Contractor Programme</t>
        </is>
      </c>
      <c r="B5" s="34" t="inlineStr">
        <is>
          <t>SCH-04-003</t>
        </is>
      </c>
      <c r="C5" s="34" t="inlineStr">
        <is>
          <t>Interface works near vehicles and depot boundary</t>
        </is>
      </c>
      <c r="D5" s="34" t="inlineStr">
        <is>
          <t>UNSURE</t>
        </is>
      </c>
      <c r="E5" s="34" t="inlineStr">
        <is>
          <t>Maya Chen, Owner Project Controls</t>
        </is>
      </c>
      <c r="F5" s="34" t="inlineStr">
        <is>
          <t>Professional decision</t>
        </is>
      </c>
    </row>
    <row r="6" ht="34" customHeight="1">
      <c r="A6" s="34" t="inlineStr">
        <is>
          <t>Contractor Programme</t>
        </is>
      </c>
      <c r="B6" s="34" t="inlineStr">
        <is>
          <t>SCH-06-001</t>
        </is>
      </c>
      <c r="C6" s="34" t="inlineStr">
        <is>
          <t>Systems package: commercial change review - installation</t>
        </is>
      </c>
      <c r="D6" s="34" t="inlineStr">
        <is>
          <t>UNSURE</t>
        </is>
      </c>
      <c r="E6" s="34" t="inlineStr">
        <is>
          <t>Maya Chen, Owner Project Controls</t>
        </is>
      </c>
      <c r="F6" s="34" t="inlineStr">
        <is>
          <t>Professional decision</t>
        </is>
      </c>
    </row>
    <row r="7" ht="34" customHeight="1">
      <c r="A7" s="34" t="inlineStr">
        <is>
          <t>Contractor Programme</t>
        </is>
      </c>
      <c r="B7" s="34" t="inlineStr">
        <is>
          <t>SCH-06-002</t>
        </is>
      </c>
      <c r="C7" s="34" t="inlineStr">
        <is>
          <t>Fleet package: design-package integration review - inspection</t>
        </is>
      </c>
      <c r="D7" s="34" t="inlineStr">
        <is>
          <t>UNSURE</t>
        </is>
      </c>
      <c r="E7" s="34" t="inlineStr">
        <is>
          <t>Maya Chen, Owner Project Controls</t>
        </is>
      </c>
      <c r="F7" s="34" t="inlineStr">
        <is>
          <t>Professional decision</t>
        </is>
      </c>
    </row>
    <row r="8" ht="34" customHeight="1">
      <c r="A8" s="34" t="inlineStr">
        <is>
          <t>Contractor Programme</t>
        </is>
      </c>
      <c r="B8" s="34" t="inlineStr">
        <is>
          <t>SCH-06-003</t>
        </is>
      </c>
      <c r="C8" s="34" t="inlineStr">
        <is>
          <t>Interface works near program management boundary</t>
        </is>
      </c>
      <c r="D8" s="34" t="inlineStr">
        <is>
          <t>UNSURE</t>
        </is>
      </c>
      <c r="E8" s="34" t="inlineStr">
        <is>
          <t>Maya Chen, Owner Project Controls</t>
        </is>
      </c>
      <c r="F8" s="34" t="inlineStr">
        <is>
          <t>Professional decision</t>
        </is>
      </c>
    </row>
    <row r="9" ht="34" customHeight="1">
      <c r="A9" s="34" t="inlineStr">
        <is>
          <t>Contractor Programme</t>
        </is>
      </c>
      <c r="B9" s="34" t="inlineStr">
        <is>
          <t>SCH-06-004</t>
        </is>
      </c>
      <c r="C9" s="34" t="inlineStr">
        <is>
          <t>Civil package: permit coordination - release</t>
        </is>
      </c>
      <c r="D9" s="34" t="inlineStr">
        <is>
          <t>UNSURE</t>
        </is>
      </c>
      <c r="E9" s="34" t="inlineStr">
        <is>
          <t>Maya Chen, Owner Project Controls</t>
        </is>
      </c>
      <c r="F9" s="34" t="inlineStr">
        <is>
          <t>Professional decision</t>
        </is>
      </c>
    </row>
    <row r="10" ht="34" customHeight="1">
      <c r="A10" s="34" t="inlineStr">
        <is>
          <t>Contractor Programme</t>
        </is>
      </c>
      <c r="B10" s="34" t="inlineStr">
        <is>
          <t>SCH-06-005</t>
        </is>
      </c>
      <c r="C10" s="34" t="inlineStr">
        <is>
          <t>Stations package: delivery risk workshop - field start</t>
        </is>
      </c>
      <c r="D10" s="34" t="inlineStr">
        <is>
          <t>UNSURE</t>
        </is>
      </c>
      <c r="E10" s="34" t="inlineStr">
        <is>
          <t>Maya Chen, Owner Project Controls</t>
        </is>
      </c>
      <c r="F10" s="34" t="inlineStr">
        <is>
          <t>Professional decision</t>
        </is>
      </c>
    </row>
    <row r="11" ht="34" customHeight="1">
      <c r="A11" s="34" t="inlineStr">
        <is>
          <t>Contractor Programme</t>
        </is>
      </c>
      <c r="B11" s="34" t="inlineStr">
        <is>
          <t>SCH-06-006</t>
        </is>
      </c>
      <c r="C11" s="34" t="inlineStr">
        <is>
          <t>Systems package: monthly controls cut-off - installation</t>
        </is>
      </c>
      <c r="D11" s="34" t="inlineStr">
        <is>
          <t>UNSURE</t>
        </is>
      </c>
      <c r="E11" s="34" t="inlineStr">
        <is>
          <t>Maya Chen, Owner Project Controls</t>
        </is>
      </c>
      <c r="F11" s="34" t="inlineStr">
        <is>
          <t>Professional decision</t>
        </is>
      </c>
    </row>
    <row r="12" ht="34" customHeight="1">
      <c r="A12" s="34" t="inlineStr">
        <is>
          <t>Contractor Programme</t>
        </is>
      </c>
      <c r="B12" s="34" t="inlineStr">
        <is>
          <t>SCH-06-007</t>
        </is>
      </c>
      <c r="C12" s="34" t="inlineStr">
        <is>
          <t>Fleet package: stakeholder interface meeting - inspection</t>
        </is>
      </c>
      <c r="D12" s="34" t="inlineStr">
        <is>
          <t>UNSURE</t>
        </is>
      </c>
      <c r="E12" s="34" t="inlineStr">
        <is>
          <t>Maya Chen, Owner Project Controls</t>
        </is>
      </c>
      <c r="F12" s="34" t="inlineStr">
        <is>
          <t>Professional decision</t>
        </is>
      </c>
    </row>
    <row r="13" ht="34" customHeight="1">
      <c r="A13" s="34" t="inlineStr">
        <is>
          <t>Contractor Programme</t>
        </is>
      </c>
      <c r="B13" s="34" t="inlineStr">
        <is>
          <t>SCH-06-008</t>
        </is>
      </c>
      <c r="C13" s="34" t="inlineStr">
        <is>
          <t>Program office: baseline change control - turnover</t>
        </is>
      </c>
      <c r="D13" s="34" t="inlineStr">
        <is>
          <t>UNSURE</t>
        </is>
      </c>
      <c r="E13" s="34" t="inlineStr">
        <is>
          <t>Maya Chen, Owner Project Controls</t>
        </is>
      </c>
      <c r="F13" s="34" t="inlineStr">
        <is>
          <t>Professional decision</t>
        </is>
      </c>
    </row>
    <row r="14" ht="34" customHeight="1">
      <c r="A14" s="34" t="inlineStr">
        <is>
          <t>Contractor Programme</t>
        </is>
      </c>
      <c r="B14" s="34" t="inlineStr">
        <is>
          <t>SCH-06-009</t>
        </is>
      </c>
      <c r="C14" s="34" t="inlineStr">
        <is>
          <t>Civil package: commercial change review - release</t>
        </is>
      </c>
      <c r="D14" s="34" t="inlineStr">
        <is>
          <t>UNSURE</t>
        </is>
      </c>
      <c r="E14" s="34" t="inlineStr">
        <is>
          <t>Maya Chen, Owner Project Controls</t>
        </is>
      </c>
      <c r="F14" s="34" t="inlineStr">
        <is>
          <t>Professional decision</t>
        </is>
      </c>
    </row>
    <row r="15" ht="34" customHeight="1">
      <c r="A15" s="34" t="inlineStr">
        <is>
          <t>Contractor Programme</t>
        </is>
      </c>
      <c r="B15" s="34" t="inlineStr">
        <is>
          <t>SCH-06-010</t>
        </is>
      </c>
      <c r="C15" s="34" t="inlineStr">
        <is>
          <t>Stations package: design-package integration review - field start</t>
        </is>
      </c>
      <c r="D15" s="34" t="inlineStr">
        <is>
          <t>UNSURE</t>
        </is>
      </c>
      <c r="E15" s="34" t="inlineStr">
        <is>
          <t>Maya Chen, Owner Project Controls</t>
        </is>
      </c>
      <c r="F15" s="34" t="inlineStr">
        <is>
          <t>Professional decision</t>
        </is>
      </c>
    </row>
    <row r="16" ht="34" customHeight="1">
      <c r="A16" s="34" t="inlineStr">
        <is>
          <t>Contractor Programme</t>
        </is>
      </c>
      <c r="B16" s="34" t="inlineStr">
        <is>
          <t>SCH-06-011</t>
        </is>
      </c>
      <c r="C16" s="34" t="inlineStr">
        <is>
          <t>Systems package: executive reporting close - installation</t>
        </is>
      </c>
      <c r="D16" s="34" t="inlineStr">
        <is>
          <t>UNSURE</t>
        </is>
      </c>
      <c r="E16" s="34" t="inlineStr">
        <is>
          <t>Maya Chen, Owner Project Controls</t>
        </is>
      </c>
      <c r="F16" s="34" t="inlineStr">
        <is>
          <t>Professional decision</t>
        </is>
      </c>
    </row>
    <row r="17" ht="34" customHeight="1">
      <c r="A17" s="34" t="inlineStr">
        <is>
          <t>Contractor Programme</t>
        </is>
      </c>
      <c r="B17" s="34" t="inlineStr">
        <is>
          <t>SCH-06-012</t>
        </is>
      </c>
      <c r="C17" s="34" t="inlineStr">
        <is>
          <t>Fleet package: permit coordination - inspection</t>
        </is>
      </c>
      <c r="D17" s="34" t="inlineStr">
        <is>
          <t>UNSURE</t>
        </is>
      </c>
      <c r="E17" s="34" t="inlineStr">
        <is>
          <t>Maya Chen, Owner Project Controls</t>
        </is>
      </c>
      <c r="F17" s="34" t="inlineStr">
        <is>
          <t>Professional decision</t>
        </is>
      </c>
    </row>
    <row r="18" ht="34" customHeight="1">
      <c r="A18" s="34" t="inlineStr">
        <is>
          <t>Contractor Programme</t>
        </is>
      </c>
      <c r="B18" s="34" t="inlineStr">
        <is>
          <t>SCH-06-013</t>
        </is>
      </c>
      <c r="C18" s="34" t="inlineStr">
        <is>
          <t>Program office: delivery risk workshop - turnover</t>
        </is>
      </c>
      <c r="D18" s="34" t="inlineStr">
        <is>
          <t>UNSURE</t>
        </is>
      </c>
      <c r="E18" s="34" t="inlineStr">
        <is>
          <t>Maya Chen, Owner Project Controls</t>
        </is>
      </c>
      <c r="F18" s="34" t="inlineStr">
        <is>
          <t>Professional decision</t>
        </is>
      </c>
    </row>
    <row r="19" ht="34" customHeight="1">
      <c r="A19" s="34" t="inlineStr">
        <is>
          <t>Contractor Programme</t>
        </is>
      </c>
      <c r="B19" s="34" t="inlineStr">
        <is>
          <t>SCH-06-014</t>
        </is>
      </c>
      <c r="C19" s="34" t="inlineStr">
        <is>
          <t>Civil package: monthly controls cut-off - release</t>
        </is>
      </c>
      <c r="D19" s="34" t="inlineStr">
        <is>
          <t>UNSURE</t>
        </is>
      </c>
      <c r="E19" s="34" t="inlineStr">
        <is>
          <t>Maya Chen, Owner Project Controls</t>
        </is>
      </c>
      <c r="F19" s="34" t="inlineStr">
        <is>
          <t>Professional decision</t>
        </is>
      </c>
    </row>
    <row r="20" ht="34" customHeight="1">
      <c r="A20" s="34" t="inlineStr">
        <is>
          <t>Contractor Programme</t>
        </is>
      </c>
      <c r="B20" s="34" t="inlineStr">
        <is>
          <t>SCH-06-015</t>
        </is>
      </c>
      <c r="C20" s="34" t="inlineStr">
        <is>
          <t>Stations package: stakeholder interface meeting - field start</t>
        </is>
      </c>
      <c r="D20" s="34" t="inlineStr">
        <is>
          <t>UNSURE</t>
        </is>
      </c>
      <c r="E20" s="34" t="inlineStr">
        <is>
          <t>Maya Chen, Owner Project Controls</t>
        </is>
      </c>
      <c r="F20" s="34" t="inlineStr">
        <is>
          <t>Professional decision</t>
        </is>
      </c>
    </row>
    <row r="21" ht="34" customHeight="1">
      <c r="A21" s="34" t="inlineStr">
        <is>
          <t>Contractor Programme</t>
        </is>
      </c>
      <c r="B21" s="34" t="inlineStr">
        <is>
          <t>SCH-06-016</t>
        </is>
      </c>
      <c r="C21" s="34" t="inlineStr">
        <is>
          <t>Systems package: baseline change control - installation</t>
        </is>
      </c>
      <c r="D21" s="34" t="inlineStr">
        <is>
          <t>UNSURE</t>
        </is>
      </c>
      <c r="E21" s="34" t="inlineStr">
        <is>
          <t>Maya Chen, Owner Project Controls</t>
        </is>
      </c>
      <c r="F21" s="34" t="inlineStr">
        <is>
          <t>Professional decision</t>
        </is>
      </c>
    </row>
    <row r="22" ht="34" customHeight="1">
      <c r="A22" s="34" t="inlineStr">
        <is>
          <t>Contractor Programme</t>
        </is>
      </c>
      <c r="B22" s="34" t="inlineStr">
        <is>
          <t>SCH-06-017</t>
        </is>
      </c>
      <c r="C22" s="34" t="inlineStr">
        <is>
          <t>Fleet package: commercial change review - inspection</t>
        </is>
      </c>
      <c r="D22" s="34" t="inlineStr">
        <is>
          <t>UNSURE</t>
        </is>
      </c>
      <c r="E22" s="34" t="inlineStr">
        <is>
          <t>Maya Chen, Owner Project Controls</t>
        </is>
      </c>
      <c r="F22" s="34" t="inlineStr">
        <is>
          <t>Professional decision</t>
        </is>
      </c>
    </row>
    <row r="23" ht="34" customHeight="1">
      <c r="A23" s="34" t="inlineStr">
        <is>
          <t>Contractor Programme</t>
        </is>
      </c>
      <c r="B23" s="34" t="inlineStr">
        <is>
          <t>SCH-06-018</t>
        </is>
      </c>
      <c r="C23" s="34" t="inlineStr">
        <is>
          <t>Program office: design-package integration review - turnover</t>
        </is>
      </c>
      <c r="D23" s="34" t="inlineStr">
        <is>
          <t>UNSURE</t>
        </is>
      </c>
      <c r="E23" s="34" t="inlineStr">
        <is>
          <t>Maya Chen, Owner Project Controls</t>
        </is>
      </c>
      <c r="F23" s="34" t="inlineStr">
        <is>
          <t>Professional decision</t>
        </is>
      </c>
    </row>
    <row r="24" ht="34" customHeight="1">
      <c r="A24" s="34" t="inlineStr">
        <is>
          <t>Contractor Programme</t>
        </is>
      </c>
      <c r="B24" s="34" t="inlineStr">
        <is>
          <t>SCH-06-019</t>
        </is>
      </c>
      <c r="C24" s="34" t="inlineStr">
        <is>
          <t>Civil package: executive reporting close - release</t>
        </is>
      </c>
      <c r="D24" s="34" t="inlineStr">
        <is>
          <t>UNSURE</t>
        </is>
      </c>
      <c r="E24" s="34" t="inlineStr">
        <is>
          <t>Maya Chen, Owner Project Controls</t>
        </is>
      </c>
      <c r="F24" s="34" t="inlineStr">
        <is>
          <t>Professional decision</t>
        </is>
      </c>
    </row>
    <row r="25" ht="34" customHeight="1">
      <c r="A25" s="34" t="inlineStr">
        <is>
          <t>Contractor Programme</t>
        </is>
      </c>
      <c r="B25" s="34" t="inlineStr">
        <is>
          <t>SCH-06-020</t>
        </is>
      </c>
      <c r="C25" s="34" t="inlineStr">
        <is>
          <t>Stations package: permit coordination - field start</t>
        </is>
      </c>
      <c r="D25" s="34" t="inlineStr">
        <is>
          <t>UNSURE</t>
        </is>
      </c>
      <c r="E25" s="34" t="inlineStr">
        <is>
          <t>Maya Chen, Owner Project Controls</t>
        </is>
      </c>
      <c r="F25" s="34" t="inlineStr">
        <is>
          <t>Professional decision</t>
        </is>
      </c>
    </row>
    <row r="26" ht="34" customHeight="1">
      <c r="A26" s="34" t="inlineStr">
        <is>
          <t>Contractor Programme</t>
        </is>
      </c>
      <c r="B26" s="34" t="inlineStr">
        <is>
          <t>SCH-06-021</t>
        </is>
      </c>
      <c r="C26" s="34" t="inlineStr">
        <is>
          <t>Systems package: delivery risk workshop - installation</t>
        </is>
      </c>
      <c r="D26" s="34" t="inlineStr">
        <is>
          <t>UNSURE</t>
        </is>
      </c>
      <c r="E26" s="34" t="inlineStr">
        <is>
          <t>Maya Chen, Owner Project Controls</t>
        </is>
      </c>
      <c r="F26" s="34" t="inlineStr">
        <is>
          <t>Professional decision</t>
        </is>
      </c>
    </row>
    <row r="27" ht="34" customHeight="1">
      <c r="A27" s="34" t="inlineStr">
        <is>
          <t>Contractor Programme</t>
        </is>
      </c>
      <c r="B27" s="34" t="inlineStr">
        <is>
          <t>SCH-06-022</t>
        </is>
      </c>
      <c r="C27" s="34" t="inlineStr">
        <is>
          <t>Fleet package: monthly controls cut-off - inspection</t>
        </is>
      </c>
      <c r="D27" s="34" t="inlineStr">
        <is>
          <t>UNSURE</t>
        </is>
      </c>
      <c r="E27" s="34" t="inlineStr">
        <is>
          <t>Maya Chen, Owner Project Controls</t>
        </is>
      </c>
      <c r="F27" s="34" t="inlineStr">
        <is>
          <t>Professional decision</t>
        </is>
      </c>
    </row>
    <row r="28" ht="34" customHeight="1">
      <c r="A28" s="34" t="inlineStr">
        <is>
          <t>Contractor Programme</t>
        </is>
      </c>
      <c r="B28" s="34" t="inlineStr">
        <is>
          <t>SCH-06-023</t>
        </is>
      </c>
      <c r="C28" s="34" t="inlineStr">
        <is>
          <t>Program office: stakeholder interface meeting - turnover</t>
        </is>
      </c>
      <c r="D28" s="34" t="inlineStr">
        <is>
          <t>UNSURE</t>
        </is>
      </c>
      <c r="E28" s="34" t="inlineStr">
        <is>
          <t>Maya Chen, Owner Project Controls</t>
        </is>
      </c>
      <c r="F28" s="34" t="inlineStr">
        <is>
          <t>Professional decision</t>
        </is>
      </c>
    </row>
    <row r="29" ht="34" customHeight="1">
      <c r="A29" s="34" t="inlineStr">
        <is>
          <t>Contractor Programme</t>
        </is>
      </c>
      <c r="B29" s="34" t="inlineStr">
        <is>
          <t>SCH-06-024</t>
        </is>
      </c>
      <c r="C29" s="34" t="inlineStr">
        <is>
          <t>Civil package: baseline change control - release</t>
        </is>
      </c>
      <c r="D29" s="34" t="inlineStr">
        <is>
          <t>UNSURE</t>
        </is>
      </c>
      <c r="E29" s="34" t="inlineStr">
        <is>
          <t>Maya Chen, Owner Project Controls</t>
        </is>
      </c>
      <c r="F29" s="34" t="inlineStr">
        <is>
          <t>Professional decision</t>
        </is>
      </c>
    </row>
    <row r="30" ht="34" customHeight="1">
      <c r="A30" s="34" t="inlineStr">
        <is>
          <t>Contractor Programme</t>
        </is>
      </c>
      <c r="B30" s="34" t="inlineStr">
        <is>
          <t>SCH-06-025</t>
        </is>
      </c>
      <c r="C30" s="34" t="inlineStr">
        <is>
          <t>Stations package: commercial change review - field start</t>
        </is>
      </c>
      <c r="D30" s="34" t="inlineStr">
        <is>
          <t>UNSURE</t>
        </is>
      </c>
      <c r="E30" s="34" t="inlineStr">
        <is>
          <t>Maya Chen, Owner Project Controls</t>
        </is>
      </c>
      <c r="F30" s="34" t="inlineStr">
        <is>
          <t>Professional decision</t>
        </is>
      </c>
    </row>
    <row r="31" ht="34" customHeight="1">
      <c r="A31" s="34" t="inlineStr">
        <is>
          <t>Contractor Programme</t>
        </is>
      </c>
      <c r="B31" s="34" t="inlineStr">
        <is>
          <t>SCH-06-026</t>
        </is>
      </c>
      <c r="C31" s="34" t="inlineStr">
        <is>
          <t>Systems package: design-package integration review - installation</t>
        </is>
      </c>
      <c r="D31" s="34" t="inlineStr">
        <is>
          <t>UNSURE</t>
        </is>
      </c>
      <c r="E31" s="34" t="inlineStr">
        <is>
          <t>Maya Chen, Owner Project Controls</t>
        </is>
      </c>
      <c r="F31" s="34" t="inlineStr">
        <is>
          <t>Professional decision</t>
        </is>
      </c>
    </row>
    <row r="32" ht="34" customHeight="1">
      <c r="A32" s="34" t="inlineStr">
        <is>
          <t>Contractor Programme</t>
        </is>
      </c>
      <c r="B32" s="34" t="inlineStr">
        <is>
          <t>SCH-06-027</t>
        </is>
      </c>
      <c r="C32" s="34" t="inlineStr">
        <is>
          <t>Fleet package: executive reporting close - inspection</t>
        </is>
      </c>
      <c r="D32" s="34" t="inlineStr">
        <is>
          <t>UNSURE</t>
        </is>
      </c>
      <c r="E32" s="34" t="inlineStr">
        <is>
          <t>Maya Chen, Owner Project Controls</t>
        </is>
      </c>
      <c r="F32" s="34" t="inlineStr">
        <is>
          <t>Professional decision</t>
        </is>
      </c>
    </row>
    <row r="33" ht="34" customHeight="1">
      <c r="A33" s="34" t="inlineStr">
        <is>
          <t>Contractor Programme</t>
        </is>
      </c>
      <c r="B33" s="34" t="inlineStr">
        <is>
          <t>SCH-06-028</t>
        </is>
      </c>
      <c r="C33" s="34" t="inlineStr">
        <is>
          <t>Program office: permit coordination - turnover</t>
        </is>
      </c>
      <c r="D33" s="34" t="inlineStr">
        <is>
          <t>UNSURE</t>
        </is>
      </c>
      <c r="E33" s="34" t="inlineStr">
        <is>
          <t>Maya Chen, Owner Project Controls</t>
        </is>
      </c>
      <c r="F33" s="34" t="inlineStr">
        <is>
          <t>Professional decision</t>
        </is>
      </c>
    </row>
    <row r="34" ht="34" customHeight="1">
      <c r="A34" s="34" t="inlineStr">
        <is>
          <t>Contractor Programme</t>
        </is>
      </c>
      <c r="B34" s="34" t="inlineStr">
        <is>
          <t>SCH-06-029</t>
        </is>
      </c>
      <c r="C34" s="34" t="inlineStr">
        <is>
          <t>Civil package: delivery risk workshop - release</t>
        </is>
      </c>
      <c r="D34" s="34" t="inlineStr">
        <is>
          <t>UNSURE</t>
        </is>
      </c>
      <c r="E34" s="34" t="inlineStr">
        <is>
          <t>Maya Chen, Owner Project Controls</t>
        </is>
      </c>
      <c r="F34" s="34" t="inlineStr">
        <is>
          <t>Professional decision</t>
        </is>
      </c>
    </row>
    <row r="35" ht="34" customHeight="1">
      <c r="A35" s="34" t="inlineStr">
        <is>
          <t>Contractor Programme</t>
        </is>
      </c>
      <c r="B35" s="34" t="inlineStr">
        <is>
          <t>SCH-06-030</t>
        </is>
      </c>
      <c r="C35" s="34" t="inlineStr">
        <is>
          <t>Stations package: monthly controls cut-off - field start</t>
        </is>
      </c>
      <c r="D35" s="34" t="inlineStr">
        <is>
          <t>UNSURE</t>
        </is>
      </c>
      <c r="E35" s="34" t="inlineStr">
        <is>
          <t>Maya Chen, Owner Project Controls</t>
        </is>
      </c>
      <c r="F35" s="34" t="inlineStr">
        <is>
          <t>Professional decision</t>
        </is>
      </c>
    </row>
    <row r="36" ht="34" customHeight="1">
      <c r="A36" s="34" t="inlineStr">
        <is>
          <t>Contractor Programme</t>
        </is>
      </c>
      <c r="B36" s="34" t="inlineStr">
        <is>
          <t>SCH-06-031</t>
        </is>
      </c>
      <c r="C36" s="34" t="inlineStr">
        <is>
          <t>Systems package: stakeholder interface meeting - installation</t>
        </is>
      </c>
      <c r="D36" s="34" t="inlineStr">
        <is>
          <t>UNSURE</t>
        </is>
      </c>
      <c r="E36" s="34" t="inlineStr">
        <is>
          <t>Maya Chen, Owner Project Controls</t>
        </is>
      </c>
      <c r="F36" s="34" t="inlineStr">
        <is>
          <t>Professional decision</t>
        </is>
      </c>
    </row>
    <row r="37" ht="34" customHeight="1">
      <c r="A37" s="34" t="inlineStr">
        <is>
          <t>Contractor Programme</t>
        </is>
      </c>
      <c r="B37" s="34" t="inlineStr">
        <is>
          <t>SCH-06-032</t>
        </is>
      </c>
      <c r="C37" s="34" t="inlineStr">
        <is>
          <t>Fleet package: baseline change control - inspection</t>
        </is>
      </c>
      <c r="D37" s="34" t="inlineStr">
        <is>
          <t>UNSURE</t>
        </is>
      </c>
      <c r="E37" s="34" t="inlineStr">
        <is>
          <t>Maya Chen, Owner Project Controls</t>
        </is>
      </c>
      <c r="F37" s="34" t="inlineStr">
        <is>
          <t>Professional decision</t>
        </is>
      </c>
    </row>
    <row r="38" ht="34" customHeight="1">
      <c r="A38" s="34" t="inlineStr">
        <is>
          <t>Contractor Programme</t>
        </is>
      </c>
      <c r="B38" s="34" t="inlineStr">
        <is>
          <t>SCH-06-033</t>
        </is>
      </c>
      <c r="C38" s="34" t="inlineStr">
        <is>
          <t>Program office: commercial change review - turnover</t>
        </is>
      </c>
      <c r="D38" s="34" t="inlineStr">
        <is>
          <t>UNSURE</t>
        </is>
      </c>
      <c r="E38" s="34" t="inlineStr">
        <is>
          <t>Maya Chen, Owner Project Controls</t>
        </is>
      </c>
      <c r="F38" s="34" t="inlineStr">
        <is>
          <t>Professional decision</t>
        </is>
      </c>
    </row>
    <row r="39" ht="34" customHeight="1">
      <c r="A39" s="34" t="inlineStr">
        <is>
          <t>Contractor Programme</t>
        </is>
      </c>
      <c r="B39" s="34" t="inlineStr">
        <is>
          <t>SCH-06-034</t>
        </is>
      </c>
      <c r="C39" s="34" t="inlineStr">
        <is>
          <t>Civil package: design-package integration review - release</t>
        </is>
      </c>
      <c r="D39" s="34" t="inlineStr">
        <is>
          <t>UNSURE</t>
        </is>
      </c>
      <c r="E39" s="34" t="inlineStr">
        <is>
          <t>Maya Chen, Owner Project Controls</t>
        </is>
      </c>
      <c r="F39" s="34" t="inlineStr">
        <is>
          <t>Professional decision</t>
        </is>
      </c>
    </row>
    <row r="40" ht="34" customHeight="1">
      <c r="A40" s="34" t="inlineStr">
        <is>
          <t>Contractor Programme</t>
        </is>
      </c>
      <c r="B40" s="34" t="inlineStr">
        <is>
          <t>SCH-06-035</t>
        </is>
      </c>
      <c r="C40" s="34" t="inlineStr">
        <is>
          <t>Stations package: executive reporting close - field start</t>
        </is>
      </c>
      <c r="D40" s="34" t="inlineStr">
        <is>
          <t>UNSURE</t>
        </is>
      </c>
      <c r="E40" s="34" t="inlineStr">
        <is>
          <t>Maya Chen, Owner Project Controls</t>
        </is>
      </c>
      <c r="F40" s="34" t="inlineStr">
        <is>
          <t>Professional decision</t>
        </is>
      </c>
    </row>
    <row r="41" ht="34" customHeight="1">
      <c r="A41" s="34" t="inlineStr">
        <is>
          <t>Contractor Programme</t>
        </is>
      </c>
      <c r="B41" s="34" t="inlineStr">
        <is>
          <t>SCH-06-036</t>
        </is>
      </c>
      <c r="C41" s="34" t="inlineStr">
        <is>
          <t>Systems package: permit coordination - installation</t>
        </is>
      </c>
      <c r="D41" s="34" t="inlineStr">
        <is>
          <t>UNSURE</t>
        </is>
      </c>
      <c r="E41" s="34" t="inlineStr">
        <is>
          <t>Maya Chen, Owner Project Controls</t>
        </is>
      </c>
      <c r="F41" s="34" t="inlineStr">
        <is>
          <t>Professional decision</t>
        </is>
      </c>
    </row>
    <row r="42" ht="34" customHeight="1">
      <c r="A42" s="34" t="inlineStr">
        <is>
          <t>Contractor Programme</t>
        </is>
      </c>
      <c r="B42" s="34" t="inlineStr">
        <is>
          <t>SCH-06-037</t>
        </is>
      </c>
      <c r="C42" s="34" t="inlineStr">
        <is>
          <t>Fleet package: delivery risk workshop - inspection</t>
        </is>
      </c>
      <c r="D42" s="34" t="inlineStr">
        <is>
          <t>UNSURE</t>
        </is>
      </c>
      <c r="E42" s="34" t="inlineStr">
        <is>
          <t>Maya Chen, Owner Project Controls</t>
        </is>
      </c>
      <c r="F42" s="34" t="inlineStr">
        <is>
          <t>Professional decision</t>
        </is>
      </c>
    </row>
    <row r="43" ht="34" customHeight="1">
      <c r="A43" s="34" t="inlineStr">
        <is>
          <t>Contractor Programme</t>
        </is>
      </c>
      <c r="B43" s="34" t="inlineStr">
        <is>
          <t>SCH-06-038</t>
        </is>
      </c>
      <c r="C43" s="34" t="inlineStr">
        <is>
          <t>Program office: monthly controls cut-off - turnover</t>
        </is>
      </c>
      <c r="D43" s="34" t="inlineStr">
        <is>
          <t>UNSURE</t>
        </is>
      </c>
      <c r="E43" s="34" t="inlineStr">
        <is>
          <t>Maya Chen, Owner Project Controls</t>
        </is>
      </c>
      <c r="F43" s="34" t="inlineStr">
        <is>
          <t>Professional decision</t>
        </is>
      </c>
    </row>
    <row r="44" ht="34" customHeight="1">
      <c r="A44" s="34" t="inlineStr">
        <is>
          <t>Contractor Programme</t>
        </is>
      </c>
      <c r="B44" s="34" t="inlineStr">
        <is>
          <t>SCH-06-039</t>
        </is>
      </c>
      <c r="C44" s="34" t="inlineStr">
        <is>
          <t>Civil package: stakeholder interface meeting - release</t>
        </is>
      </c>
      <c r="D44" s="34" t="inlineStr">
        <is>
          <t>UNSURE</t>
        </is>
      </c>
      <c r="E44" s="34" t="inlineStr">
        <is>
          <t>Maya Chen, Owner Project Controls</t>
        </is>
      </c>
      <c r="F44" s="34" t="inlineStr">
        <is>
          <t>Professional decision</t>
        </is>
      </c>
    </row>
    <row r="45" ht="34" customHeight="1">
      <c r="A45" s="34" t="inlineStr">
        <is>
          <t>Contractor Programme</t>
        </is>
      </c>
      <c r="B45" s="34" t="inlineStr">
        <is>
          <t>SCH-06-040</t>
        </is>
      </c>
      <c r="C45" s="34" t="inlineStr">
        <is>
          <t>Stations package: baseline change control - field start</t>
        </is>
      </c>
      <c r="D45" s="34" t="inlineStr">
        <is>
          <t>UNSURE</t>
        </is>
      </c>
      <c r="E45" s="34" t="inlineStr">
        <is>
          <t>Maya Chen, Owner Project Controls</t>
        </is>
      </c>
      <c r="F45" s="34" t="inlineStr">
        <is>
          <t>Professional decision</t>
        </is>
      </c>
    </row>
    <row r="46" ht="34" customHeight="1">
      <c r="A46" s="34" t="inlineStr">
        <is>
          <t>Contractor Programme</t>
        </is>
      </c>
      <c r="B46" s="34" t="inlineStr">
        <is>
          <t>SCH-06-041</t>
        </is>
      </c>
      <c r="C46" s="34" t="inlineStr">
        <is>
          <t>Systems package: commercial change review - installation</t>
        </is>
      </c>
      <c r="D46" s="34" t="inlineStr">
        <is>
          <t>UNSURE</t>
        </is>
      </c>
      <c r="E46" s="34" t="inlineStr">
        <is>
          <t>Maya Chen, Owner Project Controls</t>
        </is>
      </c>
      <c r="F46" s="34" t="inlineStr">
        <is>
          <t>Professional decision</t>
        </is>
      </c>
    </row>
    <row r="47" ht="34" customHeight="1">
      <c r="A47" s="34" t="inlineStr">
        <is>
          <t>Contractor Programme</t>
        </is>
      </c>
      <c r="B47" s="34" t="inlineStr">
        <is>
          <t>SCH-06-042</t>
        </is>
      </c>
      <c r="C47" s="34" t="inlineStr">
        <is>
          <t>Fleet package: design-package integration review - inspection</t>
        </is>
      </c>
      <c r="D47" s="34" t="inlineStr">
        <is>
          <t>UNSURE</t>
        </is>
      </c>
      <c r="E47" s="34" t="inlineStr">
        <is>
          <t>Maya Chen, Owner Project Controls</t>
        </is>
      </c>
      <c r="F47" s="34" t="inlineStr">
        <is>
          <t>Professional decision</t>
        </is>
      </c>
    </row>
    <row r="48" ht="34" customHeight="1">
      <c r="A48" s="34" t="inlineStr">
        <is>
          <t>Contractor Programme</t>
        </is>
      </c>
      <c r="B48" s="34" t="inlineStr">
        <is>
          <t>SCH-06-043</t>
        </is>
      </c>
      <c r="C48" s="34" t="inlineStr">
        <is>
          <t>Program office: executive reporting close - turnover</t>
        </is>
      </c>
      <c r="D48" s="34" t="inlineStr">
        <is>
          <t>UNSURE</t>
        </is>
      </c>
      <c r="E48" s="34" t="inlineStr">
        <is>
          <t>Maya Chen, Owner Project Controls</t>
        </is>
      </c>
      <c r="F48" s="34" t="inlineStr">
        <is>
          <t>Professional decision</t>
        </is>
      </c>
    </row>
    <row r="49" ht="34" customHeight="1">
      <c r="A49" s="34" t="inlineStr">
        <is>
          <t>Contractor Programme</t>
        </is>
      </c>
      <c r="B49" s="34" t="inlineStr">
        <is>
          <t>SCH-06-044</t>
        </is>
      </c>
      <c r="C49" s="34" t="inlineStr">
        <is>
          <t>Civil package: permit coordination - release</t>
        </is>
      </c>
      <c r="D49" s="34" t="inlineStr">
        <is>
          <t>UNSURE</t>
        </is>
      </c>
      <c r="E49" s="34" t="inlineStr">
        <is>
          <t>Maya Chen, Owner Project Controls</t>
        </is>
      </c>
      <c r="F49" s="34" t="inlineStr">
        <is>
          <t>Professional decision</t>
        </is>
      </c>
    </row>
    <row r="50" ht="34" customHeight="1">
      <c r="A50" s="34" t="inlineStr">
        <is>
          <t>Contractor Programme</t>
        </is>
      </c>
      <c r="B50" s="34" t="inlineStr">
        <is>
          <t>SCH-06-045</t>
        </is>
      </c>
      <c r="C50" s="34" t="inlineStr">
        <is>
          <t>Stations package: delivery risk workshop - field start</t>
        </is>
      </c>
      <c r="D50" s="34" t="inlineStr">
        <is>
          <t>UNSURE</t>
        </is>
      </c>
      <c r="E50" s="34" t="inlineStr">
        <is>
          <t>Maya Chen, Owner Project Controls</t>
        </is>
      </c>
      <c r="F50" s="34" t="inlineStr">
        <is>
          <t>Professional decision</t>
        </is>
      </c>
    </row>
    <row r="51" ht="34" customHeight="1">
      <c r="A51" s="34" t="inlineStr">
        <is>
          <t>Contractor Programme</t>
        </is>
      </c>
      <c r="B51" s="34" t="inlineStr">
        <is>
          <t>SCH-06-046</t>
        </is>
      </c>
      <c r="C51" s="34" t="inlineStr">
        <is>
          <t>Systems package: monthly controls cut-off - installation</t>
        </is>
      </c>
      <c r="D51" s="34" t="inlineStr">
        <is>
          <t>UNSURE</t>
        </is>
      </c>
      <c r="E51" s="34" t="inlineStr">
        <is>
          <t>Maya Chen, Owner Project Controls</t>
        </is>
      </c>
      <c r="F51" s="34" t="inlineStr">
        <is>
          <t>Professional decision</t>
        </is>
      </c>
    </row>
    <row r="52" ht="34" customHeight="1">
      <c r="A52" s="34" t="inlineStr">
        <is>
          <t>Contractor Programme</t>
        </is>
      </c>
      <c r="B52" s="34" t="inlineStr">
        <is>
          <t>SCH-06-047</t>
        </is>
      </c>
      <c r="C52" s="34" t="inlineStr">
        <is>
          <t>Fleet package: stakeholder interface meeting - inspection</t>
        </is>
      </c>
      <c r="D52" s="34" t="inlineStr">
        <is>
          <t>UNSURE</t>
        </is>
      </c>
      <c r="E52" s="34" t="inlineStr">
        <is>
          <t>Maya Chen, Owner Project Controls</t>
        </is>
      </c>
      <c r="F52" s="34" t="inlineStr">
        <is>
          <t>Professional decision</t>
        </is>
      </c>
    </row>
    <row r="53" ht="34" customHeight="1">
      <c r="A53" s="34" t="inlineStr">
        <is>
          <t>Contractor Programme</t>
        </is>
      </c>
      <c r="B53" s="34" t="inlineStr">
        <is>
          <t>SCH-06-048</t>
        </is>
      </c>
      <c r="C53" s="34" t="inlineStr">
        <is>
          <t>Program office: baseline change control - turnover</t>
        </is>
      </c>
      <c r="D53" s="34" t="inlineStr">
        <is>
          <t>UNSURE</t>
        </is>
      </c>
      <c r="E53" s="34" t="inlineStr">
        <is>
          <t>Maya Chen, Owner Project Controls</t>
        </is>
      </c>
      <c r="F53" s="34" t="inlineStr">
        <is>
          <t>Professional decision</t>
        </is>
      </c>
    </row>
    <row r="54" ht="34" customHeight="1">
      <c r="A54" s="34" t="inlineStr">
        <is>
          <t>Contractor Programme</t>
        </is>
      </c>
      <c r="B54" s="34" t="inlineStr">
        <is>
          <t>SCH-06-049</t>
        </is>
      </c>
      <c r="C54" s="34" t="inlineStr">
        <is>
          <t>Civil package: commercial change review - release</t>
        </is>
      </c>
      <c r="D54" s="34" t="inlineStr">
        <is>
          <t>UNSURE</t>
        </is>
      </c>
      <c r="E54" s="34" t="inlineStr">
        <is>
          <t>Maya Chen, Owner Project Controls</t>
        </is>
      </c>
      <c r="F54" s="34" t="inlineStr">
        <is>
          <t>Professional decision</t>
        </is>
      </c>
    </row>
    <row r="55" ht="34" customHeight="1">
      <c r="A55" s="34" t="inlineStr">
        <is>
          <t>Contractor Programme</t>
        </is>
      </c>
      <c r="B55" s="34" t="inlineStr">
        <is>
          <t>SCH-06-050</t>
        </is>
      </c>
      <c r="C55" s="34" t="inlineStr">
        <is>
          <t>Stations package: design-package integration review - field start</t>
        </is>
      </c>
      <c r="D55" s="34" t="inlineStr">
        <is>
          <t>UNSURE</t>
        </is>
      </c>
      <c r="E55" s="34" t="inlineStr">
        <is>
          <t>Maya Chen, Owner Project Controls</t>
        </is>
      </c>
      <c r="F55" s="34" t="inlineStr">
        <is>
          <t>Professional decision</t>
        </is>
      </c>
    </row>
    <row r="56" ht="34" customHeight="1">
      <c r="A56" s="34" t="inlineStr">
        <is>
          <t>Contractor Programme</t>
        </is>
      </c>
      <c r="B56" s="34" t="inlineStr">
        <is>
          <t>SCH-06-051</t>
        </is>
      </c>
      <c r="C56" s="34" t="inlineStr">
        <is>
          <t>Systems package: executive reporting close - installation</t>
        </is>
      </c>
      <c r="D56" s="34" t="inlineStr">
        <is>
          <t>UNSURE</t>
        </is>
      </c>
      <c r="E56" s="34" t="inlineStr">
        <is>
          <t>Maya Chen, Owner Project Controls</t>
        </is>
      </c>
      <c r="F56" s="34" t="inlineStr">
        <is>
          <t>Professional decision</t>
        </is>
      </c>
    </row>
    <row r="57" ht="34" customHeight="1">
      <c r="A57" s="34" t="inlineStr">
        <is>
          <t>Contractor Programme</t>
        </is>
      </c>
      <c r="B57" s="34" t="inlineStr">
        <is>
          <t>SCH-06-052</t>
        </is>
      </c>
      <c r="C57" s="34" t="inlineStr">
        <is>
          <t>Fleet package: permit coordination - inspection</t>
        </is>
      </c>
      <c r="D57" s="34" t="inlineStr">
        <is>
          <t>UNSURE</t>
        </is>
      </c>
      <c r="E57" s="34" t="inlineStr">
        <is>
          <t>Maya Chen, Owner Project Controls</t>
        </is>
      </c>
      <c r="F57" s="34" t="inlineStr">
        <is>
          <t>Professional decision</t>
        </is>
      </c>
    </row>
    <row r="58" ht="34" customHeight="1">
      <c r="A58" s="34" t="inlineStr">
        <is>
          <t>Contractor Programme</t>
        </is>
      </c>
      <c r="B58" s="34" t="inlineStr">
        <is>
          <t>SCH-06-053</t>
        </is>
      </c>
      <c r="C58" s="34" t="inlineStr">
        <is>
          <t>Program office: delivery risk workshop - turnover</t>
        </is>
      </c>
      <c r="D58" s="34" t="inlineStr">
        <is>
          <t>UNSURE</t>
        </is>
      </c>
      <c r="E58" s="34" t="inlineStr">
        <is>
          <t>Maya Chen, Owner Project Controls</t>
        </is>
      </c>
      <c r="F58" s="34" t="inlineStr">
        <is>
          <t>Professional decision</t>
        </is>
      </c>
    </row>
    <row r="59" ht="34" customHeight="1">
      <c r="A59" s="34" t="inlineStr">
        <is>
          <t>Contractor Programme</t>
        </is>
      </c>
      <c r="B59" s="34" t="inlineStr">
        <is>
          <t>SCH-06-054</t>
        </is>
      </c>
      <c r="C59" s="34" t="inlineStr">
        <is>
          <t>Civil package: monthly controls cut-off - release</t>
        </is>
      </c>
      <c r="D59" s="34" t="inlineStr">
        <is>
          <t>UNSURE</t>
        </is>
      </c>
      <c r="E59" s="34" t="inlineStr">
        <is>
          <t>Maya Chen, Owner Project Controls</t>
        </is>
      </c>
      <c r="F59" s="34" t="inlineStr">
        <is>
          <t>Professional decision</t>
        </is>
      </c>
    </row>
    <row r="60" ht="34" customHeight="1">
      <c r="A60" s="34" t="inlineStr">
        <is>
          <t>Contractor Programme</t>
        </is>
      </c>
      <c r="B60" s="34" t="inlineStr">
        <is>
          <t>SCH-06-055</t>
        </is>
      </c>
      <c r="C60" s="34" t="inlineStr">
        <is>
          <t>Stations package: stakeholder interface meeting - field start</t>
        </is>
      </c>
      <c r="D60" s="34" t="inlineStr">
        <is>
          <t>UNSURE</t>
        </is>
      </c>
      <c r="E60" s="34" t="inlineStr">
        <is>
          <t>Maya Chen, Owner Project Controls</t>
        </is>
      </c>
      <c r="F60" s="34" t="inlineStr">
        <is>
          <t>Professional decision</t>
        </is>
      </c>
    </row>
    <row r="61" ht="34" customHeight="1">
      <c r="A61" s="34" t="inlineStr">
        <is>
          <t>Contractor Programme</t>
        </is>
      </c>
      <c r="B61" s="34" t="inlineStr">
        <is>
          <t>SCH-06-056</t>
        </is>
      </c>
      <c r="C61" s="34" t="inlineStr">
        <is>
          <t>Systems package: baseline change control - installation</t>
        </is>
      </c>
      <c r="D61" s="34" t="inlineStr">
        <is>
          <t>UNSURE</t>
        </is>
      </c>
      <c r="E61" s="34" t="inlineStr">
        <is>
          <t>Maya Chen, Owner Project Controls</t>
        </is>
      </c>
      <c r="F61" s="34" t="inlineStr">
        <is>
          <t>Professional decision</t>
        </is>
      </c>
    </row>
    <row r="62" ht="34" customHeight="1">
      <c r="A62" s="34" t="inlineStr">
        <is>
          <t>Contractor Programme</t>
        </is>
      </c>
      <c r="B62" s="34" t="inlineStr">
        <is>
          <t>SCH-06-057</t>
        </is>
      </c>
      <c r="C62" s="34" t="inlineStr">
        <is>
          <t>Fleet package: commercial change review - inspection</t>
        </is>
      </c>
      <c r="D62" s="34" t="inlineStr">
        <is>
          <t>UNSURE</t>
        </is>
      </c>
      <c r="E62" s="34" t="inlineStr">
        <is>
          <t>Maya Chen, Owner Project Controls</t>
        </is>
      </c>
      <c r="F62" s="34" t="inlineStr">
        <is>
          <t>Professional decision</t>
        </is>
      </c>
    </row>
    <row r="63" ht="34" customHeight="1">
      <c r="A63" s="34" t="inlineStr">
        <is>
          <t>Contractor Programme</t>
        </is>
      </c>
      <c r="B63" s="34" t="inlineStr">
        <is>
          <t>SCH-06-058</t>
        </is>
      </c>
      <c r="C63" s="34" t="inlineStr">
        <is>
          <t>Program office: design-package integration review - turnover</t>
        </is>
      </c>
      <c r="D63" s="34" t="inlineStr">
        <is>
          <t>UNSURE</t>
        </is>
      </c>
      <c r="E63" s="34" t="inlineStr">
        <is>
          <t>Maya Chen, Owner Project Controls</t>
        </is>
      </c>
      <c r="F63" s="34" t="inlineStr">
        <is>
          <t>Professional decision</t>
        </is>
      </c>
    </row>
    <row r="64" ht="34" customHeight="1">
      <c r="A64" s="34" t="inlineStr">
        <is>
          <t>Contractor Programme</t>
        </is>
      </c>
      <c r="B64" s="34" t="inlineStr">
        <is>
          <t>SCH-06-059</t>
        </is>
      </c>
      <c r="C64" s="34" t="inlineStr">
        <is>
          <t>Civil package: executive reporting close - release</t>
        </is>
      </c>
      <c r="D64" s="34" t="inlineStr">
        <is>
          <t>UNSURE</t>
        </is>
      </c>
      <c r="E64" s="34" t="inlineStr">
        <is>
          <t>Maya Chen, Owner Project Controls</t>
        </is>
      </c>
      <c r="F64" s="34" t="inlineStr">
        <is>
          <t>Professional decision</t>
        </is>
      </c>
    </row>
    <row r="65" ht="34" customHeight="1">
      <c r="A65" s="34" t="inlineStr">
        <is>
          <t>Contractor Programme</t>
        </is>
      </c>
      <c r="B65" s="34" t="inlineStr">
        <is>
          <t>SCH-06-060</t>
        </is>
      </c>
      <c r="C65" s="34" t="inlineStr">
        <is>
          <t>Stations package: permit coordination - field start</t>
        </is>
      </c>
      <c r="D65" s="34" t="inlineStr">
        <is>
          <t>UNSURE</t>
        </is>
      </c>
      <c r="E65" s="34" t="inlineStr">
        <is>
          <t>Maya Chen, Owner Project Controls</t>
        </is>
      </c>
      <c r="F65" s="34" t="inlineStr">
        <is>
          <t>Professional decision</t>
        </is>
      </c>
    </row>
    <row r="66" ht="34" customHeight="1">
      <c r="A66" s="34" t="inlineStr">
        <is>
          <t>Contractor Programme</t>
        </is>
      </c>
      <c r="B66" s="34" t="inlineStr">
        <is>
          <t>SCH-06-061</t>
        </is>
      </c>
      <c r="C66" s="34" t="inlineStr">
        <is>
          <t>Systems package: delivery risk workshop - installation</t>
        </is>
      </c>
      <c r="D66" s="34" t="inlineStr">
        <is>
          <t>UNSURE</t>
        </is>
      </c>
      <c r="E66" s="34" t="inlineStr">
        <is>
          <t>Maya Chen, Owner Project Controls</t>
        </is>
      </c>
      <c r="F66" s="34" t="inlineStr">
        <is>
          <t>Professional decision</t>
        </is>
      </c>
    </row>
    <row r="67" ht="34" customHeight="1">
      <c r="A67" s="34" t="inlineStr">
        <is>
          <t>Contractor Programme</t>
        </is>
      </c>
      <c r="B67" s="34" t="inlineStr">
        <is>
          <t>SCH-06-062</t>
        </is>
      </c>
      <c r="C67" s="34" t="inlineStr">
        <is>
          <t>Fleet package: monthly controls cut-off - inspection</t>
        </is>
      </c>
      <c r="D67" s="34" t="inlineStr">
        <is>
          <t>UNSURE</t>
        </is>
      </c>
      <c r="E67" s="34" t="inlineStr">
        <is>
          <t>Maya Chen, Owner Project Controls</t>
        </is>
      </c>
      <c r="F67" s="34" t="inlineStr">
        <is>
          <t>Professional decision</t>
        </is>
      </c>
    </row>
    <row r="68" ht="34" customHeight="1">
      <c r="A68" s="34" t="inlineStr">
        <is>
          <t>Contractor Programme</t>
        </is>
      </c>
      <c r="B68" s="34" t="inlineStr">
        <is>
          <t>SCH-06-063</t>
        </is>
      </c>
      <c r="C68" s="34" t="inlineStr">
        <is>
          <t>Program office: stakeholder interface meeting - turnover</t>
        </is>
      </c>
      <c r="D68" s="34" t="inlineStr">
        <is>
          <t>UNSURE</t>
        </is>
      </c>
      <c r="E68" s="34" t="inlineStr">
        <is>
          <t>Maya Chen, Owner Project Controls</t>
        </is>
      </c>
      <c r="F68" s="34" t="inlineStr">
        <is>
          <t>Professional decision</t>
        </is>
      </c>
    </row>
    <row r="69" ht="34" customHeight="1">
      <c r="A69" s="34" t="inlineStr">
        <is>
          <t>Contractor Programme</t>
        </is>
      </c>
      <c r="B69" s="34" t="inlineStr">
        <is>
          <t>SCH-06-064</t>
        </is>
      </c>
      <c r="C69" s="34" t="inlineStr">
        <is>
          <t>Civil package: baseline change control - release</t>
        </is>
      </c>
      <c r="D69" s="34" t="inlineStr">
        <is>
          <t>UNSURE</t>
        </is>
      </c>
      <c r="E69" s="34" t="inlineStr">
        <is>
          <t>Maya Chen, Owner Project Controls</t>
        </is>
      </c>
      <c r="F69" s="34" t="inlineStr">
        <is>
          <t>Professional decision</t>
        </is>
      </c>
    </row>
    <row r="70" ht="34" customHeight="1">
      <c r="A70" s="34" t="inlineStr">
        <is>
          <t>Contractor Programme</t>
        </is>
      </c>
      <c r="B70" s="34" t="inlineStr">
        <is>
          <t>SCH-06-065</t>
        </is>
      </c>
      <c r="C70" s="34" t="inlineStr">
        <is>
          <t>Stations package: commercial change review - field start</t>
        </is>
      </c>
      <c r="D70" s="34" t="inlineStr">
        <is>
          <t>UNSURE</t>
        </is>
      </c>
      <c r="E70" s="34" t="inlineStr">
        <is>
          <t>Maya Chen, Owner Project Controls</t>
        </is>
      </c>
      <c r="F70" s="34" t="inlineStr">
        <is>
          <t>Professional decision</t>
        </is>
      </c>
    </row>
    <row r="71" ht="34" customHeight="1">
      <c r="A71" s="34" t="inlineStr">
        <is>
          <t>Contractor Programme</t>
        </is>
      </c>
      <c r="B71" s="34" t="inlineStr">
        <is>
          <t>SCH-06-066</t>
        </is>
      </c>
      <c r="C71" s="34" t="inlineStr">
        <is>
          <t>Systems package: design-package integration review - installation</t>
        </is>
      </c>
      <c r="D71" s="34" t="inlineStr">
        <is>
          <t>UNSURE</t>
        </is>
      </c>
      <c r="E71" s="34" t="inlineStr">
        <is>
          <t>Maya Chen, Owner Project Controls</t>
        </is>
      </c>
      <c r="F71" s="34" t="inlineStr">
        <is>
          <t>Professional decision</t>
        </is>
      </c>
    </row>
    <row r="72" ht="34" customHeight="1">
      <c r="A72" s="34" t="inlineStr">
        <is>
          <t>Contractor Programme</t>
        </is>
      </c>
      <c r="B72" s="34" t="inlineStr">
        <is>
          <t>SCH-06-067</t>
        </is>
      </c>
      <c r="C72" s="34" t="inlineStr">
        <is>
          <t>Fleet package: executive reporting close - inspection</t>
        </is>
      </c>
      <c r="D72" s="34" t="inlineStr">
        <is>
          <t>UNSURE</t>
        </is>
      </c>
      <c r="E72" s="34" t="inlineStr">
        <is>
          <t>Maya Chen, Owner Project Controls</t>
        </is>
      </c>
      <c r="F72" s="34" t="inlineStr">
        <is>
          <t>Professional decision</t>
        </is>
      </c>
    </row>
    <row r="73" ht="34" customHeight="1">
      <c r="A73" s="34" t="inlineStr">
        <is>
          <t>Contractor Programme</t>
        </is>
      </c>
      <c r="B73" s="34" t="inlineStr">
        <is>
          <t>SCH-06-068</t>
        </is>
      </c>
      <c r="C73" s="34" t="inlineStr">
        <is>
          <t>Program office: permit coordination - turnover</t>
        </is>
      </c>
      <c r="D73" s="34" t="inlineStr">
        <is>
          <t>UNSURE</t>
        </is>
      </c>
      <c r="E73" s="34" t="inlineStr">
        <is>
          <t>Maya Chen, Owner Project Controls</t>
        </is>
      </c>
      <c r="F73" s="34" t="inlineStr">
        <is>
          <t>Professional decision</t>
        </is>
      </c>
    </row>
    <row r="74" ht="34" customHeight="1">
      <c r="A74" s="34" t="inlineStr">
        <is>
          <t>Contractor Programme</t>
        </is>
      </c>
      <c r="B74" s="34" t="inlineStr">
        <is>
          <t>SCH-06-069</t>
        </is>
      </c>
      <c r="C74" s="34" t="inlineStr">
        <is>
          <t>Civil package: delivery risk workshop - release</t>
        </is>
      </c>
      <c r="D74" s="34" t="inlineStr">
        <is>
          <t>UNSURE</t>
        </is>
      </c>
      <c r="E74" s="34" t="inlineStr">
        <is>
          <t>Maya Chen, Owner Project Controls</t>
        </is>
      </c>
      <c r="F74" s="34" t="inlineStr">
        <is>
          <t>Professional decision</t>
        </is>
      </c>
    </row>
    <row r="75" ht="34" customHeight="1">
      <c r="A75" s="34" t="inlineStr">
        <is>
          <t>Contractor Programme</t>
        </is>
      </c>
      <c r="B75" s="34" t="inlineStr">
        <is>
          <t>SCH-06-070</t>
        </is>
      </c>
      <c r="C75" s="34" t="inlineStr">
        <is>
          <t>Stations package: monthly controls cut-off - field start</t>
        </is>
      </c>
      <c r="D75" s="34" t="inlineStr">
        <is>
          <t>UNSURE</t>
        </is>
      </c>
      <c r="E75" s="34" t="inlineStr">
        <is>
          <t>Maya Chen, Owner Project Controls</t>
        </is>
      </c>
      <c r="F75" s="34" t="inlineStr">
        <is>
          <t>Professional decision</t>
        </is>
      </c>
    </row>
    <row r="76" ht="34" customHeight="1">
      <c r="A76" s="34" t="inlineStr">
        <is>
          <t>Contractor Programme</t>
        </is>
      </c>
      <c r="B76" s="34" t="inlineStr">
        <is>
          <t>SCH-06-071</t>
        </is>
      </c>
      <c r="C76" s="34" t="inlineStr">
        <is>
          <t>Systems package: stakeholder interface meeting - installation</t>
        </is>
      </c>
      <c r="D76" s="34" t="inlineStr">
        <is>
          <t>UNSURE</t>
        </is>
      </c>
      <c r="E76" s="34" t="inlineStr">
        <is>
          <t>Maya Chen, Owner Project Controls</t>
        </is>
      </c>
      <c r="F76" s="34" t="inlineStr">
        <is>
          <t>Professional decision</t>
        </is>
      </c>
    </row>
    <row r="77" ht="34" customHeight="1">
      <c r="A77" s="34" t="inlineStr">
        <is>
          <t>Contractor Programme</t>
        </is>
      </c>
      <c r="B77" s="34" t="inlineStr">
        <is>
          <t>SCH-06-072</t>
        </is>
      </c>
      <c r="C77" s="34" t="inlineStr">
        <is>
          <t>Fleet package: baseline change control - inspection</t>
        </is>
      </c>
      <c r="D77" s="34" t="inlineStr">
        <is>
          <t>UNSURE</t>
        </is>
      </c>
      <c r="E77" s="34" t="inlineStr">
        <is>
          <t>Maya Chen, Owner Project Controls</t>
        </is>
      </c>
      <c r="F77" s="34" t="inlineStr">
        <is>
          <t>Professional decision</t>
        </is>
      </c>
    </row>
    <row r="78" ht="34" customHeight="1">
      <c r="A78" s="34" t="inlineStr">
        <is>
          <t>Contractor Programme</t>
        </is>
      </c>
      <c r="B78" s="34" t="inlineStr">
        <is>
          <t>SCH-06-073</t>
        </is>
      </c>
      <c r="C78" s="34" t="inlineStr">
        <is>
          <t>Program office: commercial change review - turnover</t>
        </is>
      </c>
      <c r="D78" s="34" t="inlineStr">
        <is>
          <t>UNSURE</t>
        </is>
      </c>
      <c r="E78" s="34" t="inlineStr">
        <is>
          <t>Maya Chen, Owner Project Controls</t>
        </is>
      </c>
      <c r="F78" s="34" t="inlineStr">
        <is>
          <t>Professional decision</t>
        </is>
      </c>
    </row>
    <row r="79" ht="34" customHeight="1">
      <c r="A79" s="34" t="inlineStr">
        <is>
          <t>Contractor Programme</t>
        </is>
      </c>
      <c r="B79" s="34" t="inlineStr">
        <is>
          <t>SCH-06-074</t>
        </is>
      </c>
      <c r="C79" s="34" t="inlineStr">
        <is>
          <t>Civil package: design-package integration review - release</t>
        </is>
      </c>
      <c r="D79" s="34" t="inlineStr">
        <is>
          <t>UNSURE</t>
        </is>
      </c>
      <c r="E79" s="34" t="inlineStr">
        <is>
          <t>Maya Chen, Owner Project Controls</t>
        </is>
      </c>
      <c r="F79" s="34" t="inlineStr">
        <is>
          <t>Professional decision</t>
        </is>
      </c>
    </row>
    <row r="80" ht="34" customHeight="1">
      <c r="A80" s="34" t="inlineStr">
        <is>
          <t>Contractor Programme</t>
        </is>
      </c>
      <c r="B80" s="34" t="inlineStr">
        <is>
          <t>SCH-06-075</t>
        </is>
      </c>
      <c r="C80" s="34" t="inlineStr">
        <is>
          <t>Stations package: executive reporting close - field start</t>
        </is>
      </c>
      <c r="D80" s="34" t="inlineStr">
        <is>
          <t>UNSURE</t>
        </is>
      </c>
      <c r="E80" s="34" t="inlineStr">
        <is>
          <t>Maya Chen, Owner Project Controls</t>
        </is>
      </c>
      <c r="F80" s="34" t="inlineStr">
        <is>
          <t>Professional decision</t>
        </is>
      </c>
    </row>
    <row r="81" ht="34" customHeight="1">
      <c r="A81" s="34" t="inlineStr">
        <is>
          <t>Contractor Programme</t>
        </is>
      </c>
      <c r="B81" s="34" t="inlineStr">
        <is>
          <t>SCH-06-076</t>
        </is>
      </c>
      <c r="C81" s="34" t="inlineStr">
        <is>
          <t>Systems package: permit coordination - installation</t>
        </is>
      </c>
      <c r="D81" s="34" t="inlineStr">
        <is>
          <t>UNSURE</t>
        </is>
      </c>
      <c r="E81" s="34" t="inlineStr">
        <is>
          <t>Maya Chen, Owner Project Controls</t>
        </is>
      </c>
      <c r="F81" s="34" t="inlineStr">
        <is>
          <t>Professional decision</t>
        </is>
      </c>
    </row>
    <row r="82" ht="34" customHeight="1">
      <c r="A82" s="34" t="inlineStr">
        <is>
          <t>Contractor Programme</t>
        </is>
      </c>
      <c r="B82" s="34" t="inlineStr">
        <is>
          <t>SCH-06-077</t>
        </is>
      </c>
      <c r="C82" s="34" t="inlineStr">
        <is>
          <t>Fleet package: delivery risk workshop - inspection</t>
        </is>
      </c>
      <c r="D82" s="34" t="inlineStr">
        <is>
          <t>UNSURE</t>
        </is>
      </c>
      <c r="E82" s="34" t="inlineStr">
        <is>
          <t>Maya Chen, Owner Project Controls</t>
        </is>
      </c>
      <c r="F82" s="34" t="inlineStr">
        <is>
          <t>Professional decision</t>
        </is>
      </c>
    </row>
    <row r="83" ht="34" customHeight="1">
      <c r="A83" s="34" t="inlineStr">
        <is>
          <t>Contractor Programme</t>
        </is>
      </c>
      <c r="B83" s="34" t="inlineStr">
        <is>
          <t>SCH-06-078</t>
        </is>
      </c>
      <c r="C83" s="34" t="inlineStr">
        <is>
          <t>Program office: monthly controls cut-off - turnover</t>
        </is>
      </c>
      <c r="D83" s="34" t="inlineStr">
        <is>
          <t>UNSURE</t>
        </is>
      </c>
      <c r="E83" s="34" t="inlineStr">
        <is>
          <t>Maya Chen, Owner Project Controls</t>
        </is>
      </c>
      <c r="F83" s="34" t="inlineStr">
        <is>
          <t>Professional decision</t>
        </is>
      </c>
    </row>
    <row r="84" ht="34" customHeight="1">
      <c r="A84" s="34" t="inlineStr">
        <is>
          <t>Contractor Programme</t>
        </is>
      </c>
      <c r="B84" s="34" t="inlineStr">
        <is>
          <t>SCH-06-079</t>
        </is>
      </c>
      <c r="C84" s="34" t="inlineStr">
        <is>
          <t>Civil package: stakeholder interface meeting - release</t>
        </is>
      </c>
      <c r="D84" s="34" t="inlineStr">
        <is>
          <t>UNSURE</t>
        </is>
      </c>
      <c r="E84" s="34" t="inlineStr">
        <is>
          <t>Maya Chen, Owner Project Controls</t>
        </is>
      </c>
      <c r="F84" s="34" t="inlineStr">
        <is>
          <t>Professional decision</t>
        </is>
      </c>
    </row>
    <row r="85" ht="34" customHeight="1">
      <c r="A85" s="34" t="inlineStr">
        <is>
          <t>Contractor Programme</t>
        </is>
      </c>
      <c r="B85" s="34" t="inlineStr">
        <is>
          <t>SCH-06-080</t>
        </is>
      </c>
      <c r="C85" s="34" t="inlineStr">
        <is>
          <t>Stations package: baseline change control - field start</t>
        </is>
      </c>
      <c r="D85" s="34" t="inlineStr">
        <is>
          <t>UNSURE</t>
        </is>
      </c>
      <c r="E85" s="34" t="inlineStr">
        <is>
          <t>Maya Chen, Owner Project Controls</t>
        </is>
      </c>
      <c r="F85" s="34" t="inlineStr">
        <is>
          <t>Professional decision</t>
        </is>
      </c>
    </row>
    <row r="86" ht="34" customHeight="1">
      <c r="A86" s="34" t="inlineStr">
        <is>
          <t>Contractor Programme</t>
        </is>
      </c>
      <c r="B86" s="34" t="inlineStr">
        <is>
          <t>SCH-06-081</t>
        </is>
      </c>
      <c r="C86" s="34" t="inlineStr">
        <is>
          <t>Systems package: commercial change review - installation</t>
        </is>
      </c>
      <c r="D86" s="34" t="inlineStr">
        <is>
          <t>UNSURE</t>
        </is>
      </c>
      <c r="E86" s="34" t="inlineStr">
        <is>
          <t>Maya Chen, Owner Project Controls</t>
        </is>
      </c>
      <c r="F86" s="34" t="inlineStr">
        <is>
          <t>Professional decision</t>
        </is>
      </c>
    </row>
    <row r="87" ht="34" customHeight="1">
      <c r="A87" s="34" t="inlineStr">
        <is>
          <t>Contractor Programme</t>
        </is>
      </c>
      <c r="B87" s="34" t="inlineStr">
        <is>
          <t>SCH-06-082</t>
        </is>
      </c>
      <c r="C87" s="34" t="inlineStr">
        <is>
          <t>Fleet package: design-package integration review - inspection</t>
        </is>
      </c>
      <c r="D87" s="34" t="inlineStr">
        <is>
          <t>UNSURE</t>
        </is>
      </c>
      <c r="E87" s="34" t="inlineStr">
        <is>
          <t>Maya Chen, Owner Project Controls</t>
        </is>
      </c>
      <c r="F87" s="34" t="inlineStr">
        <is>
          <t>Professional decision</t>
        </is>
      </c>
    </row>
    <row r="88" ht="34" customHeight="1">
      <c r="A88" s="34" t="inlineStr">
        <is>
          <t>Contractor Programme</t>
        </is>
      </c>
      <c r="B88" s="34" t="inlineStr">
        <is>
          <t>SCH-06-083</t>
        </is>
      </c>
      <c r="C88" s="34" t="inlineStr">
        <is>
          <t>Program office: executive reporting close - turnover</t>
        </is>
      </c>
      <c r="D88" s="34" t="inlineStr">
        <is>
          <t>UNSURE</t>
        </is>
      </c>
      <c r="E88" s="34" t="inlineStr">
        <is>
          <t>Maya Chen, Owner Project Controls</t>
        </is>
      </c>
      <c r="F88" s="34" t="inlineStr">
        <is>
          <t>Professional decision</t>
        </is>
      </c>
    </row>
    <row r="89" ht="34" customHeight="1">
      <c r="A89" s="34" t="inlineStr">
        <is>
          <t>Contractor Programme</t>
        </is>
      </c>
      <c r="B89" s="34" t="inlineStr">
        <is>
          <t>SCH-06-084</t>
        </is>
      </c>
      <c r="C89" s="34" t="inlineStr">
        <is>
          <t>Civil package: permit coordination - release</t>
        </is>
      </c>
      <c r="D89" s="34" t="inlineStr">
        <is>
          <t>UNSURE</t>
        </is>
      </c>
      <c r="E89" s="34" t="inlineStr">
        <is>
          <t>Maya Chen, Owner Project Controls</t>
        </is>
      </c>
      <c r="F89" s="34" t="inlineStr">
        <is>
          <t>Professional decision</t>
        </is>
      </c>
    </row>
    <row r="90" ht="34" customHeight="1">
      <c r="A90" s="34" t="inlineStr">
        <is>
          <t>Contractor Programme</t>
        </is>
      </c>
      <c r="B90" s="34" t="inlineStr">
        <is>
          <t>SCH-06-085</t>
        </is>
      </c>
      <c r="C90" s="34" t="inlineStr">
        <is>
          <t>Stations package: delivery risk workshop - field start</t>
        </is>
      </c>
      <c r="D90" s="34" t="inlineStr">
        <is>
          <t>UNSURE</t>
        </is>
      </c>
      <c r="E90" s="34" t="inlineStr">
        <is>
          <t>Maya Chen, Owner Project Controls</t>
        </is>
      </c>
      <c r="F90" s="34" t="inlineStr">
        <is>
          <t>Professional decision</t>
        </is>
      </c>
    </row>
    <row r="91" ht="34" customHeight="1">
      <c r="A91" s="34" t="inlineStr">
        <is>
          <t>Contractor Programme</t>
        </is>
      </c>
      <c r="B91" s="34" t="inlineStr">
        <is>
          <t>SCH-06-086</t>
        </is>
      </c>
      <c r="C91" s="34" t="inlineStr">
        <is>
          <t>Systems package: monthly controls cut-off - installation</t>
        </is>
      </c>
      <c r="D91" s="34" t="inlineStr">
        <is>
          <t>UNSURE</t>
        </is>
      </c>
      <c r="E91" s="34" t="inlineStr">
        <is>
          <t>Maya Chen, Owner Project Controls</t>
        </is>
      </c>
      <c r="F91" s="34" t="inlineStr">
        <is>
          <t>Professional decision</t>
        </is>
      </c>
    </row>
    <row r="92" ht="34" customHeight="1">
      <c r="A92" s="34" t="inlineStr">
        <is>
          <t>Contractor Programme</t>
        </is>
      </c>
      <c r="B92" s="34" t="inlineStr">
        <is>
          <t>SCH-06-087</t>
        </is>
      </c>
      <c r="C92" s="34" t="inlineStr">
        <is>
          <t>Fleet package: stakeholder interface meeting - inspection</t>
        </is>
      </c>
      <c r="D92" s="34" t="inlineStr">
        <is>
          <t>UNSURE</t>
        </is>
      </c>
      <c r="E92" s="34" t="inlineStr">
        <is>
          <t>Maya Chen, Owner Project Controls</t>
        </is>
      </c>
      <c r="F92" s="34" t="inlineStr">
        <is>
          <t>Professional decision</t>
        </is>
      </c>
    </row>
    <row r="93" ht="34" customHeight="1">
      <c r="A93" s="34" t="inlineStr">
        <is>
          <t>Contractor Programme</t>
        </is>
      </c>
      <c r="B93" s="34" t="inlineStr">
        <is>
          <t>SCH-06-088</t>
        </is>
      </c>
      <c r="C93" s="34" t="inlineStr">
        <is>
          <t>Program office: baseline change control - turnover</t>
        </is>
      </c>
      <c r="D93" s="34" t="inlineStr">
        <is>
          <t>UNSURE</t>
        </is>
      </c>
      <c r="E93" s="34" t="inlineStr">
        <is>
          <t>Maya Chen, Owner Project Controls</t>
        </is>
      </c>
      <c r="F93" s="34" t="inlineStr">
        <is>
          <t>Professional decision</t>
        </is>
      </c>
    </row>
    <row r="94" ht="34" customHeight="1">
      <c r="A94" s="34" t="inlineStr">
        <is>
          <t>Contractor Programme</t>
        </is>
      </c>
      <c r="B94" s="34" t="inlineStr">
        <is>
          <t>SCH-06-089</t>
        </is>
      </c>
      <c r="C94" s="34" t="inlineStr">
        <is>
          <t>Civil package: commercial change review - release</t>
        </is>
      </c>
      <c r="D94" s="34" t="inlineStr">
        <is>
          <t>UNSURE</t>
        </is>
      </c>
      <c r="E94" s="34" t="inlineStr">
        <is>
          <t>Maya Chen, Owner Project Controls</t>
        </is>
      </c>
      <c r="F94" s="34" t="inlineStr">
        <is>
          <t>Professional decision</t>
        </is>
      </c>
    </row>
    <row r="95" ht="34" customHeight="1">
      <c r="A95" s="34" t="inlineStr">
        <is>
          <t>Contractor Programme</t>
        </is>
      </c>
      <c r="B95" s="34" t="inlineStr">
        <is>
          <t>SCH-06-090</t>
        </is>
      </c>
      <c r="C95" s="34" t="inlineStr">
        <is>
          <t>Stations package: design-package integration review - field start</t>
        </is>
      </c>
      <c r="D95" s="34" t="inlineStr">
        <is>
          <t>UNSURE</t>
        </is>
      </c>
      <c r="E95" s="34" t="inlineStr">
        <is>
          <t>Maya Chen, Owner Project Controls</t>
        </is>
      </c>
      <c r="F95" s="34" t="inlineStr">
        <is>
          <t>Professional decision</t>
        </is>
      </c>
    </row>
    <row r="96" ht="34" customHeight="1">
      <c r="A96" s="34" t="inlineStr">
        <is>
          <t>Contractor Programme</t>
        </is>
      </c>
      <c r="B96" s="34" t="inlineStr">
        <is>
          <t>SCH-06-091</t>
        </is>
      </c>
      <c r="C96" s="34" t="inlineStr">
        <is>
          <t>Systems package: executive reporting close - installation</t>
        </is>
      </c>
      <c r="D96" s="34" t="inlineStr">
        <is>
          <t>UNSURE</t>
        </is>
      </c>
      <c r="E96" s="34" t="inlineStr">
        <is>
          <t>Maya Chen, Owner Project Controls</t>
        </is>
      </c>
      <c r="F96" s="34" t="inlineStr">
        <is>
          <t>Professional decision</t>
        </is>
      </c>
    </row>
    <row r="97" ht="34" customHeight="1">
      <c r="A97" s="34" t="inlineStr">
        <is>
          <t>Contractor Programme</t>
        </is>
      </c>
      <c r="B97" s="34" t="inlineStr">
        <is>
          <t>SCH-06-092</t>
        </is>
      </c>
      <c r="C97" s="34" t="inlineStr">
        <is>
          <t>Fleet package: permit coordination - inspection</t>
        </is>
      </c>
      <c r="D97" s="34" t="inlineStr">
        <is>
          <t>UNSURE</t>
        </is>
      </c>
      <c r="E97" s="34" t="inlineStr">
        <is>
          <t>Maya Chen, Owner Project Controls</t>
        </is>
      </c>
      <c r="F97" s="34" t="inlineStr">
        <is>
          <t>Professional decision</t>
        </is>
      </c>
    </row>
    <row r="98" ht="34" customHeight="1">
      <c r="A98" s="34" t="inlineStr">
        <is>
          <t>Contractor Programme</t>
        </is>
      </c>
      <c r="B98" s="34" t="inlineStr">
        <is>
          <t>SCH-06-093</t>
        </is>
      </c>
      <c r="C98" s="34" t="inlineStr">
        <is>
          <t>Program office: delivery risk workshop - turnover</t>
        </is>
      </c>
      <c r="D98" s="34" t="inlineStr">
        <is>
          <t>UNSURE</t>
        </is>
      </c>
      <c r="E98" s="34" t="inlineStr">
        <is>
          <t>Maya Chen, Owner Project Controls</t>
        </is>
      </c>
      <c r="F98" s="34" t="inlineStr">
        <is>
          <t>Professional decision</t>
        </is>
      </c>
    </row>
    <row r="99" ht="34" customHeight="1">
      <c r="A99" s="34" t="inlineStr">
        <is>
          <t>Contractor Programme</t>
        </is>
      </c>
      <c r="B99" s="34" t="inlineStr">
        <is>
          <t>SCH-06-094</t>
        </is>
      </c>
      <c r="C99" s="34" t="inlineStr">
        <is>
          <t>Civil package: monthly controls cut-off - release</t>
        </is>
      </c>
      <c r="D99" s="34" t="inlineStr">
        <is>
          <t>UNSURE</t>
        </is>
      </c>
      <c r="E99" s="34" t="inlineStr">
        <is>
          <t>Maya Chen, Owner Project Controls</t>
        </is>
      </c>
      <c r="F99" s="34" t="inlineStr">
        <is>
          <t>Professional decision</t>
        </is>
      </c>
    </row>
    <row r="100" ht="34" customHeight="1">
      <c r="A100" s="34" t="inlineStr">
        <is>
          <t>Contractor Programme</t>
        </is>
      </c>
      <c r="B100" s="34" t="inlineStr">
        <is>
          <t>SCH-06-095</t>
        </is>
      </c>
      <c r="C100" s="34" t="inlineStr">
        <is>
          <t>Stations package: stakeholder interface meeting - field start</t>
        </is>
      </c>
      <c r="D100" s="34" t="inlineStr">
        <is>
          <t>UNSURE</t>
        </is>
      </c>
      <c r="E100" s="34" t="inlineStr">
        <is>
          <t>Maya Chen, Owner Project Controls</t>
        </is>
      </c>
      <c r="F100" s="34" t="inlineStr">
        <is>
          <t>Professional decision</t>
        </is>
      </c>
    </row>
    <row r="101" ht="34" customHeight="1">
      <c r="A101" s="34" t="inlineStr">
        <is>
          <t>Contractor Programme</t>
        </is>
      </c>
      <c r="B101" s="34" t="inlineStr">
        <is>
          <t>SCH-06-096</t>
        </is>
      </c>
      <c r="C101" s="34" t="inlineStr">
        <is>
          <t>Systems package: baseline change control - installation</t>
        </is>
      </c>
      <c r="D101" s="34" t="inlineStr">
        <is>
          <t>UNSURE</t>
        </is>
      </c>
      <c r="E101" s="34" t="inlineStr">
        <is>
          <t>Maya Chen, Owner Project Controls</t>
        </is>
      </c>
      <c r="F101" s="34" t="inlineStr">
        <is>
          <t>Professional decision</t>
        </is>
      </c>
    </row>
    <row r="102" ht="34" customHeight="1">
      <c r="A102" s="34" t="inlineStr">
        <is>
          <t>Contractor Programme</t>
        </is>
      </c>
      <c r="B102" s="34" t="inlineStr">
        <is>
          <t>SCH-06-097</t>
        </is>
      </c>
      <c r="C102" s="34" t="inlineStr">
        <is>
          <t>Fleet package: commercial change review - inspection</t>
        </is>
      </c>
      <c r="D102" s="34" t="inlineStr">
        <is>
          <t>UNSURE</t>
        </is>
      </c>
      <c r="E102" s="34" t="inlineStr">
        <is>
          <t>Maya Chen, Owner Project Controls</t>
        </is>
      </c>
      <c r="F102" s="34" t="inlineStr">
        <is>
          <t>Professional decision</t>
        </is>
      </c>
    </row>
    <row r="103" ht="34" customHeight="1">
      <c r="A103" s="34" t="inlineStr">
        <is>
          <t>Contractor Programme</t>
        </is>
      </c>
      <c r="B103" s="34" t="inlineStr">
        <is>
          <t>SCH-06-098</t>
        </is>
      </c>
      <c r="C103" s="34" t="inlineStr">
        <is>
          <t>Program office: design-package integration review - turnover</t>
        </is>
      </c>
      <c r="D103" s="34" t="inlineStr">
        <is>
          <t>UNSURE</t>
        </is>
      </c>
      <c r="E103" s="34" t="inlineStr">
        <is>
          <t>Maya Chen, Owner Project Controls</t>
        </is>
      </c>
      <c r="F103" s="34" t="inlineStr">
        <is>
          <t>Professional decision</t>
        </is>
      </c>
    </row>
    <row r="104" ht="34" customHeight="1">
      <c r="A104" s="34" t="inlineStr">
        <is>
          <t>Contractor Programme</t>
        </is>
      </c>
      <c r="B104" s="34" t="inlineStr">
        <is>
          <t>SCH-06-099</t>
        </is>
      </c>
      <c r="C104" s="34" t="inlineStr">
        <is>
          <t>Civil package: executive reporting close - release</t>
        </is>
      </c>
      <c r="D104" s="34" t="inlineStr">
        <is>
          <t>UNSURE</t>
        </is>
      </c>
      <c r="E104" s="34" t="inlineStr">
        <is>
          <t>Maya Chen, Owner Project Controls</t>
        </is>
      </c>
      <c r="F104" s="34" t="inlineStr">
        <is>
          <t>Professional decision</t>
        </is>
      </c>
    </row>
    <row r="105" ht="34" customHeight="1">
      <c r="A105" s="34" t="inlineStr">
        <is>
          <t>Contractor Programme</t>
        </is>
      </c>
      <c r="B105" s="34" t="inlineStr">
        <is>
          <t>SCH-06-100</t>
        </is>
      </c>
      <c r="C105" s="34" t="inlineStr">
        <is>
          <t>Stations package: permit coordination - field start</t>
        </is>
      </c>
      <c r="D105" s="34" t="inlineStr">
        <is>
          <t>UNSURE</t>
        </is>
      </c>
      <c r="E105" s="34" t="inlineStr">
        <is>
          <t>Maya Chen, Owner Project Controls</t>
        </is>
      </c>
      <c r="F105" s="34" t="inlineStr">
        <is>
          <t>Professional decision</t>
        </is>
      </c>
    </row>
    <row r="106" ht="34" customHeight="1">
      <c r="A106" s="34" t="inlineStr">
        <is>
          <t>Contractor Programme</t>
        </is>
      </c>
      <c r="B106" s="34" t="inlineStr">
        <is>
          <t>SCH-06-101</t>
        </is>
      </c>
      <c r="C106" s="34" t="inlineStr">
        <is>
          <t>Systems package: delivery risk workshop - installation</t>
        </is>
      </c>
      <c r="D106" s="34" t="inlineStr">
        <is>
          <t>UNSURE</t>
        </is>
      </c>
      <c r="E106" s="34" t="inlineStr">
        <is>
          <t>Maya Chen, Owner Project Controls</t>
        </is>
      </c>
      <c r="F106" s="34" t="inlineStr">
        <is>
          <t>Professional decision</t>
        </is>
      </c>
    </row>
    <row r="107" ht="34" customHeight="1">
      <c r="A107" s="34" t="inlineStr">
        <is>
          <t>Contractor Programme</t>
        </is>
      </c>
      <c r="B107" s="34" t="inlineStr">
        <is>
          <t>SCH-06-102</t>
        </is>
      </c>
      <c r="C107" s="34" t="inlineStr">
        <is>
          <t>Fleet package: monthly controls cut-off - inspection</t>
        </is>
      </c>
      <c r="D107" s="34" t="inlineStr">
        <is>
          <t>UNSURE</t>
        </is>
      </c>
      <c r="E107" s="34" t="inlineStr">
        <is>
          <t>Maya Chen, Owner Project Controls</t>
        </is>
      </c>
      <c r="F107" s="34" t="inlineStr">
        <is>
          <t>Professional decision</t>
        </is>
      </c>
    </row>
    <row r="108" ht="34" customHeight="1">
      <c r="A108" s="34" t="inlineStr">
        <is>
          <t>Contractor Programme</t>
        </is>
      </c>
      <c r="B108" s="34" t="inlineStr">
        <is>
          <t>SCH-06-103</t>
        </is>
      </c>
      <c r="C108" s="34" t="inlineStr">
        <is>
          <t>Program office: stakeholder interface meeting - turnover</t>
        </is>
      </c>
      <c r="D108" s="34" t="inlineStr">
        <is>
          <t>UNSURE</t>
        </is>
      </c>
      <c r="E108" s="34" t="inlineStr">
        <is>
          <t>Maya Chen, Owner Project Controls</t>
        </is>
      </c>
      <c r="F108" s="34" t="inlineStr">
        <is>
          <t>Professional decision</t>
        </is>
      </c>
    </row>
    <row r="109" ht="34" customHeight="1">
      <c r="A109" s="34" t="inlineStr">
        <is>
          <t>Contractor Programme</t>
        </is>
      </c>
      <c r="B109" s="34" t="inlineStr">
        <is>
          <t>SCH-06-104</t>
        </is>
      </c>
      <c r="C109" s="34" t="inlineStr">
        <is>
          <t>Civil package: baseline change control - release</t>
        </is>
      </c>
      <c r="D109" s="34" t="inlineStr">
        <is>
          <t>UNSURE</t>
        </is>
      </c>
      <c r="E109" s="34" t="inlineStr">
        <is>
          <t>Maya Chen, Owner Project Controls</t>
        </is>
      </c>
      <c r="F109" s="34" t="inlineStr">
        <is>
          <t>Professional decision</t>
        </is>
      </c>
    </row>
    <row r="110" ht="34" customHeight="1">
      <c r="A110" s="34" t="inlineStr">
        <is>
          <t>Contractor Programme</t>
        </is>
      </c>
      <c r="B110" s="34" t="inlineStr">
        <is>
          <t>SCH-06-105</t>
        </is>
      </c>
      <c r="C110" s="34" t="inlineStr">
        <is>
          <t>Stations package: commercial change review - field start</t>
        </is>
      </c>
      <c r="D110" s="34" t="inlineStr">
        <is>
          <t>UNSURE</t>
        </is>
      </c>
      <c r="E110" s="34" t="inlineStr">
        <is>
          <t>Maya Chen, Owner Project Controls</t>
        </is>
      </c>
      <c r="F110" s="34" t="inlineStr">
        <is>
          <t>Professional decision</t>
        </is>
      </c>
    </row>
    <row r="111" ht="34" customHeight="1">
      <c r="A111" s="34" t="inlineStr">
        <is>
          <t>Contractor Programme</t>
        </is>
      </c>
      <c r="B111" s="34" t="inlineStr">
        <is>
          <t>SCH-06-106</t>
        </is>
      </c>
      <c r="C111" s="34" t="inlineStr">
        <is>
          <t>Systems package: design-package integration review - installation</t>
        </is>
      </c>
      <c r="D111" s="34" t="inlineStr">
        <is>
          <t>UNSURE</t>
        </is>
      </c>
      <c r="E111" s="34" t="inlineStr">
        <is>
          <t>Maya Chen, Owner Project Controls</t>
        </is>
      </c>
      <c r="F111" s="34" t="inlineStr">
        <is>
          <t>Professional decision</t>
        </is>
      </c>
    </row>
    <row r="112" ht="34" customHeight="1">
      <c r="A112" s="34" t="inlineStr">
        <is>
          <t>Contractor Programme</t>
        </is>
      </c>
      <c r="B112" s="34" t="inlineStr">
        <is>
          <t>SCH-06-107</t>
        </is>
      </c>
      <c r="C112" s="34" t="inlineStr">
        <is>
          <t>Fleet package: executive reporting close - inspection</t>
        </is>
      </c>
      <c r="D112" s="34" t="inlineStr">
        <is>
          <t>UNSURE</t>
        </is>
      </c>
      <c r="E112" s="34" t="inlineStr">
        <is>
          <t>Maya Chen, Owner Project Controls</t>
        </is>
      </c>
      <c r="F112" s="34" t="inlineStr">
        <is>
          <t>Professional decision</t>
        </is>
      </c>
    </row>
    <row r="113" ht="34" customHeight="1">
      <c r="A113" s="34" t="inlineStr">
        <is>
          <t>Contractor Programme</t>
        </is>
      </c>
      <c r="B113" s="34" t="inlineStr">
        <is>
          <t>SCH-06-108</t>
        </is>
      </c>
      <c r="C113" s="34" t="inlineStr">
        <is>
          <t>Program office: permit coordination - turnover</t>
        </is>
      </c>
      <c r="D113" s="34" t="inlineStr">
        <is>
          <t>UNSURE</t>
        </is>
      </c>
      <c r="E113" s="34" t="inlineStr">
        <is>
          <t>Maya Chen, Owner Project Controls</t>
        </is>
      </c>
      <c r="F113" s="34" t="inlineStr">
        <is>
          <t>Professional decision</t>
        </is>
      </c>
    </row>
    <row r="114" ht="34" customHeight="1">
      <c r="A114" s="34" t="inlineStr">
        <is>
          <t>Contractor Programme</t>
        </is>
      </c>
      <c r="B114" s="34" t="inlineStr">
        <is>
          <t>SCH-06-109</t>
        </is>
      </c>
      <c r="C114" s="34" t="inlineStr">
        <is>
          <t>Civil package: delivery risk workshop - release</t>
        </is>
      </c>
      <c r="D114" s="34" t="inlineStr">
        <is>
          <t>UNSURE</t>
        </is>
      </c>
      <c r="E114" s="34" t="inlineStr">
        <is>
          <t>Maya Chen, Owner Project Controls</t>
        </is>
      </c>
      <c r="F114" s="34" t="inlineStr">
        <is>
          <t>Professional decision</t>
        </is>
      </c>
    </row>
    <row r="115" ht="34" customHeight="1">
      <c r="A115" s="34" t="inlineStr">
        <is>
          <t>Contractor Programme</t>
        </is>
      </c>
      <c r="B115" s="34" t="inlineStr">
        <is>
          <t>SCH-06-110</t>
        </is>
      </c>
      <c r="C115" s="34" t="inlineStr">
        <is>
          <t>Stations package: monthly controls cut-off - field start</t>
        </is>
      </c>
      <c r="D115" s="34" t="inlineStr">
        <is>
          <t>UNSURE</t>
        </is>
      </c>
      <c r="E115" s="34" t="inlineStr">
        <is>
          <t>Maya Chen, Owner Project Controls</t>
        </is>
      </c>
      <c r="F115" s="34" t="inlineStr">
        <is>
          <t>Professional decision</t>
        </is>
      </c>
    </row>
    <row r="116" ht="34" customHeight="1">
      <c r="A116" s="34" t="inlineStr">
        <is>
          <t>Contractor Programme</t>
        </is>
      </c>
      <c r="B116" s="34" t="inlineStr">
        <is>
          <t>SCH-06-111</t>
        </is>
      </c>
      <c r="C116" s="34" t="inlineStr">
        <is>
          <t>Systems package: stakeholder interface meeting - installation</t>
        </is>
      </c>
      <c r="D116" s="34" t="inlineStr">
        <is>
          <t>UNSURE</t>
        </is>
      </c>
      <c r="E116" s="34" t="inlineStr">
        <is>
          <t>Maya Chen, Owner Project Controls</t>
        </is>
      </c>
      <c r="F116" s="34" t="inlineStr">
        <is>
          <t>Professional decision</t>
        </is>
      </c>
    </row>
    <row r="117" ht="34" customHeight="1">
      <c r="A117" s="34" t="inlineStr">
        <is>
          <t>Contractor Programme</t>
        </is>
      </c>
      <c r="B117" s="34" t="inlineStr">
        <is>
          <t>SCH-06-112</t>
        </is>
      </c>
      <c r="C117" s="34" t="inlineStr">
        <is>
          <t>Fleet package: baseline change control - inspection</t>
        </is>
      </c>
      <c r="D117" s="34" t="inlineStr">
        <is>
          <t>UNSURE</t>
        </is>
      </c>
      <c r="E117" s="34" t="inlineStr">
        <is>
          <t>Maya Chen, Owner Project Controls</t>
        </is>
      </c>
      <c r="F117" s="34" t="inlineStr">
        <is>
          <t>Professional decision</t>
        </is>
      </c>
    </row>
    <row r="118" ht="34" customHeight="1">
      <c r="A118" s="34" t="inlineStr">
        <is>
          <t>Contractor Programme</t>
        </is>
      </c>
      <c r="B118" s="34" t="inlineStr">
        <is>
          <t>SCH-06-113</t>
        </is>
      </c>
      <c r="C118" s="34" t="inlineStr">
        <is>
          <t>Program office: commercial change review - turnover</t>
        </is>
      </c>
      <c r="D118" s="34" t="inlineStr">
        <is>
          <t>UNSURE</t>
        </is>
      </c>
      <c r="E118" s="34" t="inlineStr">
        <is>
          <t>Maya Chen, Owner Project Controls</t>
        </is>
      </c>
      <c r="F118" s="34" t="inlineStr">
        <is>
          <t>Professional decision</t>
        </is>
      </c>
    </row>
    <row r="119" ht="34" customHeight="1">
      <c r="A119" s="34" t="inlineStr">
        <is>
          <t>Contractor Programme</t>
        </is>
      </c>
      <c r="B119" s="34" t="inlineStr">
        <is>
          <t>SCH-06-114</t>
        </is>
      </c>
      <c r="C119" s="34" t="inlineStr">
        <is>
          <t>Civil package: design-package integration review - release</t>
        </is>
      </c>
      <c r="D119" s="34" t="inlineStr">
        <is>
          <t>UNSURE</t>
        </is>
      </c>
      <c r="E119" s="34" t="inlineStr">
        <is>
          <t>Maya Chen, Owner Project Controls</t>
        </is>
      </c>
      <c r="F119" s="34" t="inlineStr">
        <is>
          <t>Professional decision</t>
        </is>
      </c>
    </row>
    <row r="120" ht="34" customHeight="1">
      <c r="A120" s="34" t="inlineStr">
        <is>
          <t>Contractor Programme</t>
        </is>
      </c>
      <c r="B120" s="34" t="inlineStr">
        <is>
          <t>SCH-06-115</t>
        </is>
      </c>
      <c r="C120" s="34" t="inlineStr">
        <is>
          <t>Stations package: executive reporting close - field start</t>
        </is>
      </c>
      <c r="D120" s="34" t="inlineStr">
        <is>
          <t>UNSURE</t>
        </is>
      </c>
      <c r="E120" s="34" t="inlineStr">
        <is>
          <t>Maya Chen, Owner Project Controls</t>
        </is>
      </c>
      <c r="F120" s="34" t="inlineStr">
        <is>
          <t>Professional decision</t>
        </is>
      </c>
    </row>
    <row r="121" ht="34" customHeight="1">
      <c r="A121" s="34" t="inlineStr">
        <is>
          <t>Contractor Programme</t>
        </is>
      </c>
      <c r="B121" s="34" t="inlineStr">
        <is>
          <t>SCH-06-116</t>
        </is>
      </c>
      <c r="C121" s="34" t="inlineStr">
        <is>
          <t>Systems package: permit coordination - installation</t>
        </is>
      </c>
      <c r="D121" s="34" t="inlineStr">
        <is>
          <t>UNSURE</t>
        </is>
      </c>
      <c r="E121" s="34" t="inlineStr">
        <is>
          <t>Maya Chen, Owner Project Controls</t>
        </is>
      </c>
      <c r="F121" s="34" t="inlineStr">
        <is>
          <t>Professional decision</t>
        </is>
      </c>
    </row>
    <row r="122" ht="34" customHeight="1">
      <c r="A122" s="34" t="inlineStr">
        <is>
          <t>Contractor Programme</t>
        </is>
      </c>
      <c r="B122" s="34" t="inlineStr">
        <is>
          <t>SCH-06-117</t>
        </is>
      </c>
      <c r="C122" s="34" t="inlineStr">
        <is>
          <t>Fleet package: delivery risk workshop - inspection</t>
        </is>
      </c>
      <c r="D122" s="34" t="inlineStr">
        <is>
          <t>UNSURE</t>
        </is>
      </c>
      <c r="E122" s="34" t="inlineStr">
        <is>
          <t>Maya Chen, Owner Project Controls</t>
        </is>
      </c>
      <c r="F122" s="34" t="inlineStr">
        <is>
          <t>Professional decision</t>
        </is>
      </c>
    </row>
    <row r="123" ht="34" customHeight="1">
      <c r="A123" s="34" t="inlineStr">
        <is>
          <t>Contractor Programme</t>
        </is>
      </c>
      <c r="B123" s="34" t="inlineStr">
        <is>
          <t>SCH-06-118</t>
        </is>
      </c>
      <c r="C123" s="34" t="inlineStr">
        <is>
          <t>Program office: monthly controls cut-off - turnover</t>
        </is>
      </c>
      <c r="D123" s="34" t="inlineStr">
        <is>
          <t>UNSURE</t>
        </is>
      </c>
      <c r="E123" s="34" t="inlineStr">
        <is>
          <t>Maya Chen, Owner Project Controls</t>
        </is>
      </c>
      <c r="F123" s="34" t="inlineStr">
        <is>
          <t>Professional decision</t>
        </is>
      </c>
    </row>
    <row r="124" ht="34" customHeight="1">
      <c r="A124" s="34" t="inlineStr">
        <is>
          <t>Contractor Programme</t>
        </is>
      </c>
      <c r="B124" s="34" t="inlineStr">
        <is>
          <t>SCH-06-119</t>
        </is>
      </c>
      <c r="C124" s="34" t="inlineStr">
        <is>
          <t>Civil package: stakeholder interface meeting - release</t>
        </is>
      </c>
      <c r="D124" s="34" t="inlineStr">
        <is>
          <t>UNSURE</t>
        </is>
      </c>
      <c r="E124" s="34" t="inlineStr">
        <is>
          <t>Maya Chen, Owner Project Controls</t>
        </is>
      </c>
      <c r="F124" s="34" t="inlineStr">
        <is>
          <t>Professional decision</t>
        </is>
      </c>
    </row>
    <row r="125" ht="34" customHeight="1">
      <c r="A125" s="34" t="inlineStr">
        <is>
          <t>Contractor Programme</t>
        </is>
      </c>
      <c r="B125" s="34" t="inlineStr">
        <is>
          <t>SCH-06-120</t>
        </is>
      </c>
      <c r="C125" s="34" t="inlineStr">
        <is>
          <t>Stations package: baseline change control - field start</t>
        </is>
      </c>
      <c r="D125" s="34" t="inlineStr">
        <is>
          <t>UNSURE</t>
        </is>
      </c>
      <c r="E125" s="34" t="inlineStr">
        <is>
          <t>Maya Chen, Owner Project Controls</t>
        </is>
      </c>
      <c r="F125" s="34" t="inlineStr">
        <is>
          <t>Professional decision</t>
        </is>
      </c>
    </row>
    <row r="126" ht="34" customHeight="1">
      <c r="A126" s="34" t="inlineStr">
        <is>
          <t>Contractor Programme</t>
        </is>
      </c>
      <c r="B126" s="34" t="inlineStr">
        <is>
          <t>SCH-06-121</t>
        </is>
      </c>
      <c r="C126" s="34" t="inlineStr">
        <is>
          <t>Systems package: commercial change review - installation</t>
        </is>
      </c>
      <c r="D126" s="34" t="inlineStr">
        <is>
          <t>UNSURE</t>
        </is>
      </c>
      <c r="E126" s="34" t="inlineStr">
        <is>
          <t>Maya Chen, Owner Project Controls</t>
        </is>
      </c>
      <c r="F126" s="34" t="inlineStr">
        <is>
          <t>Professional decision</t>
        </is>
      </c>
    </row>
    <row r="127" ht="34" customHeight="1">
      <c r="A127" s="34" t="inlineStr">
        <is>
          <t>Contractor Programme</t>
        </is>
      </c>
      <c r="B127" s="34" t="inlineStr">
        <is>
          <t>SCH-06-122</t>
        </is>
      </c>
      <c r="C127" s="34" t="inlineStr">
        <is>
          <t>Fleet package: design-package integration review - inspection</t>
        </is>
      </c>
      <c r="D127" s="34" t="inlineStr">
        <is>
          <t>UNSURE</t>
        </is>
      </c>
      <c r="E127" s="34" t="inlineStr">
        <is>
          <t>Maya Chen, Owner Project Controls</t>
        </is>
      </c>
      <c r="F127" s="34" t="inlineStr">
        <is>
          <t>Professional decision</t>
        </is>
      </c>
    </row>
    <row r="128" ht="34" customHeight="1">
      <c r="A128" s="34" t="inlineStr">
        <is>
          <t>Contractor Programme</t>
        </is>
      </c>
      <c r="B128" s="34" t="inlineStr">
        <is>
          <t>SCH-06-123</t>
        </is>
      </c>
      <c r="C128" s="34" t="inlineStr">
        <is>
          <t>Program office: executive reporting close - turnover</t>
        </is>
      </c>
      <c r="D128" s="34" t="inlineStr">
        <is>
          <t>UNSURE</t>
        </is>
      </c>
      <c r="E128" s="34" t="inlineStr">
        <is>
          <t>Maya Chen, Owner Project Controls</t>
        </is>
      </c>
      <c r="F128" s="34" t="inlineStr">
        <is>
          <t>Professional decision</t>
        </is>
      </c>
    </row>
    <row r="129" ht="34" customHeight="1">
      <c r="A129" s="34" t="inlineStr">
        <is>
          <t>Contractor Programme</t>
        </is>
      </c>
      <c r="B129" s="34" t="inlineStr">
        <is>
          <t>SCH-06-124</t>
        </is>
      </c>
      <c r="C129" s="34" t="inlineStr">
        <is>
          <t>Civil package: permit coordination - release</t>
        </is>
      </c>
      <c r="D129" s="34" t="inlineStr">
        <is>
          <t>UNSURE</t>
        </is>
      </c>
      <c r="E129" s="34" t="inlineStr">
        <is>
          <t>Maya Chen, Owner Project Controls</t>
        </is>
      </c>
      <c r="F129" s="34" t="inlineStr">
        <is>
          <t>Professional decision</t>
        </is>
      </c>
    </row>
    <row r="130" ht="34" customHeight="1">
      <c r="A130" s="34" t="inlineStr">
        <is>
          <t>Contractor Programme</t>
        </is>
      </c>
      <c r="B130" s="34" t="inlineStr">
        <is>
          <t>SCH-06-125</t>
        </is>
      </c>
      <c r="C130" s="34" t="inlineStr">
        <is>
          <t>Stations package: delivery risk workshop - field start</t>
        </is>
      </c>
      <c r="D130" s="34" t="inlineStr">
        <is>
          <t>UNSURE</t>
        </is>
      </c>
      <c r="E130" s="34" t="inlineStr">
        <is>
          <t>Maya Chen, Owner Project Controls</t>
        </is>
      </c>
      <c r="F130" s="34" t="inlineStr">
        <is>
          <t>Professional decision</t>
        </is>
      </c>
    </row>
    <row r="131" ht="34" customHeight="1">
      <c r="A131" s="34" t="inlineStr">
        <is>
          <t>Contractor Programme</t>
        </is>
      </c>
      <c r="B131" s="34" t="inlineStr">
        <is>
          <t>SCH-06-126</t>
        </is>
      </c>
      <c r="C131" s="34" t="inlineStr">
        <is>
          <t>Systems package: monthly controls cut-off - installation</t>
        </is>
      </c>
      <c r="D131" s="34" t="inlineStr">
        <is>
          <t>UNSURE</t>
        </is>
      </c>
      <c r="E131" s="34" t="inlineStr">
        <is>
          <t>Maya Chen, Owner Project Controls</t>
        </is>
      </c>
      <c r="F131" s="34" t="inlineStr">
        <is>
          <t>Professional decision</t>
        </is>
      </c>
    </row>
    <row r="132" ht="34" customHeight="1">
      <c r="A132" s="34" t="inlineStr">
        <is>
          <t>Contractor Programme</t>
        </is>
      </c>
      <c r="B132" s="34" t="inlineStr">
        <is>
          <t>SCH-06-127</t>
        </is>
      </c>
      <c r="C132" s="34" t="inlineStr">
        <is>
          <t>Fleet package: stakeholder interface meeting - inspection</t>
        </is>
      </c>
      <c r="D132" s="34" t="inlineStr">
        <is>
          <t>UNSURE</t>
        </is>
      </c>
      <c r="E132" s="34" t="inlineStr">
        <is>
          <t>Maya Chen, Owner Project Controls</t>
        </is>
      </c>
      <c r="F132" s="34" t="inlineStr">
        <is>
          <t>Professional decision</t>
        </is>
      </c>
    </row>
    <row r="133" ht="34" customHeight="1">
      <c r="A133" s="34" t="inlineStr">
        <is>
          <t>Contractor Programme</t>
        </is>
      </c>
      <c r="B133" s="34" t="inlineStr">
        <is>
          <t>SCH-06-128</t>
        </is>
      </c>
      <c r="C133" s="34" t="inlineStr">
        <is>
          <t>Program office: baseline change control - turnover</t>
        </is>
      </c>
      <c r="D133" s="34" t="inlineStr">
        <is>
          <t>UNSURE</t>
        </is>
      </c>
      <c r="E133" s="34" t="inlineStr">
        <is>
          <t>Maya Chen, Owner Project Controls</t>
        </is>
      </c>
      <c r="F133" s="34" t="inlineStr">
        <is>
          <t>Professional decision</t>
        </is>
      </c>
    </row>
    <row r="134" ht="34" customHeight="1">
      <c r="A134" s="34" t="inlineStr">
        <is>
          <t>Contractor Programme</t>
        </is>
      </c>
      <c r="B134" s="34" t="inlineStr">
        <is>
          <t>SCH-06-129</t>
        </is>
      </c>
      <c r="C134" s="34" t="inlineStr">
        <is>
          <t>Civil package: commercial change review - release</t>
        </is>
      </c>
      <c r="D134" s="34" t="inlineStr">
        <is>
          <t>UNSURE</t>
        </is>
      </c>
      <c r="E134" s="34" t="inlineStr">
        <is>
          <t>Maya Chen, Owner Project Controls</t>
        </is>
      </c>
      <c r="F134" s="34" t="inlineStr">
        <is>
          <t>Professional decision</t>
        </is>
      </c>
    </row>
    <row r="135" ht="34" customHeight="1">
      <c r="A135" s="34" t="inlineStr">
        <is>
          <t>Contractor Programme</t>
        </is>
      </c>
      <c r="B135" s="34" t="inlineStr">
        <is>
          <t>SCH-06-130</t>
        </is>
      </c>
      <c r="C135" s="34" t="inlineStr">
        <is>
          <t>Stations package: design-package integration review - field start</t>
        </is>
      </c>
      <c r="D135" s="34" t="inlineStr">
        <is>
          <t>UNSURE</t>
        </is>
      </c>
      <c r="E135" s="34" t="inlineStr">
        <is>
          <t>Maya Chen, Owner Project Controls</t>
        </is>
      </c>
      <c r="F135" s="34" t="inlineStr">
        <is>
          <t>Professional decision</t>
        </is>
      </c>
    </row>
    <row r="136" ht="34" customHeight="1">
      <c r="A136" s="34" t="inlineStr">
        <is>
          <t>Contractor Programme</t>
        </is>
      </c>
      <c r="B136" s="34" t="inlineStr">
        <is>
          <t>SCH-06-131</t>
        </is>
      </c>
      <c r="C136" s="34" t="inlineStr">
        <is>
          <t>Systems package: executive reporting close - installation</t>
        </is>
      </c>
      <c r="D136" s="34" t="inlineStr">
        <is>
          <t>UNSURE</t>
        </is>
      </c>
      <c r="E136" s="34" t="inlineStr">
        <is>
          <t>Maya Chen, Owner Project Controls</t>
        </is>
      </c>
      <c r="F136" s="34" t="inlineStr">
        <is>
          <t>Professional decision</t>
        </is>
      </c>
    </row>
    <row r="137" ht="34" customHeight="1">
      <c r="A137" s="34" t="inlineStr">
        <is>
          <t>Contractor Programme</t>
        </is>
      </c>
      <c r="B137" s="34" t="inlineStr">
        <is>
          <t>SCH-06-132</t>
        </is>
      </c>
      <c r="C137" s="34" t="inlineStr">
        <is>
          <t>Fleet package: permit coordination - inspection</t>
        </is>
      </c>
      <c r="D137" s="34" t="inlineStr">
        <is>
          <t>UNSURE</t>
        </is>
      </c>
      <c r="E137" s="34" t="inlineStr">
        <is>
          <t>Maya Chen, Owner Project Controls</t>
        </is>
      </c>
      <c r="F137" s="34" t="inlineStr">
        <is>
          <t>Professional decision</t>
        </is>
      </c>
    </row>
    <row r="138" ht="34" customHeight="1">
      <c r="A138" s="34" t="inlineStr">
        <is>
          <t>Contractor Programme</t>
        </is>
      </c>
      <c r="B138" s="34" t="inlineStr">
        <is>
          <t>SCH-06-133</t>
        </is>
      </c>
      <c r="C138" s="34" t="inlineStr">
        <is>
          <t>Program office: delivery risk workshop - turnover</t>
        </is>
      </c>
      <c r="D138" s="34" t="inlineStr">
        <is>
          <t>UNSURE</t>
        </is>
      </c>
      <c r="E138" s="34" t="inlineStr">
        <is>
          <t>Maya Chen, Owner Project Controls</t>
        </is>
      </c>
      <c r="F138" s="34" t="inlineStr">
        <is>
          <t>Professional decision</t>
        </is>
      </c>
    </row>
    <row r="139" ht="34" customHeight="1">
      <c r="A139" s="34" t="inlineStr">
        <is>
          <t>Contractor Programme</t>
        </is>
      </c>
      <c r="B139" s="34" t="inlineStr">
        <is>
          <t>SCH-06-134</t>
        </is>
      </c>
      <c r="C139" s="34" t="inlineStr">
        <is>
          <t>Civil package: monthly controls cut-off - release</t>
        </is>
      </c>
      <c r="D139" s="34" t="inlineStr">
        <is>
          <t>UNSURE</t>
        </is>
      </c>
      <c r="E139" s="34" t="inlineStr">
        <is>
          <t>Maya Chen, Owner Project Controls</t>
        </is>
      </c>
      <c r="F139" s="34" t="inlineStr">
        <is>
          <t>Professional decision</t>
        </is>
      </c>
    </row>
    <row r="140" ht="34" customHeight="1">
      <c r="A140" s="34" t="inlineStr">
        <is>
          <t>Contractor Programme</t>
        </is>
      </c>
      <c r="B140" s="34" t="inlineStr">
        <is>
          <t>SCH-06-135</t>
        </is>
      </c>
      <c r="C140" s="34" t="inlineStr">
        <is>
          <t>Stations package: stakeholder interface meeting - field start</t>
        </is>
      </c>
      <c r="D140" s="34" t="inlineStr">
        <is>
          <t>UNSURE</t>
        </is>
      </c>
      <c r="E140" s="34" t="inlineStr">
        <is>
          <t>Maya Chen, Owner Project Controls</t>
        </is>
      </c>
      <c r="F140" s="34" t="inlineStr">
        <is>
          <t>Professional decision</t>
        </is>
      </c>
    </row>
    <row r="141" ht="34" customHeight="1">
      <c r="A141" s="34" t="inlineStr">
        <is>
          <t>Contractor Programme</t>
        </is>
      </c>
      <c r="B141" s="34" t="inlineStr">
        <is>
          <t>SCH-06-136</t>
        </is>
      </c>
      <c r="C141" s="34" t="inlineStr">
        <is>
          <t>Systems package: baseline change control - installation</t>
        </is>
      </c>
      <c r="D141" s="34" t="inlineStr">
        <is>
          <t>UNSURE</t>
        </is>
      </c>
      <c r="E141" s="34" t="inlineStr">
        <is>
          <t>Maya Chen, Owner Project Controls</t>
        </is>
      </c>
      <c r="F141" s="34" t="inlineStr">
        <is>
          <t>Professional decision</t>
        </is>
      </c>
    </row>
    <row r="142" ht="34" customHeight="1">
      <c r="A142" s="34" t="inlineStr">
        <is>
          <t>Contractor Programme</t>
        </is>
      </c>
      <c r="B142" s="34" t="inlineStr">
        <is>
          <t>SCH-06-137</t>
        </is>
      </c>
      <c r="C142" s="34" t="inlineStr">
        <is>
          <t>Fleet package: commercial change review - inspection</t>
        </is>
      </c>
      <c r="D142" s="34" t="inlineStr">
        <is>
          <t>UNSURE</t>
        </is>
      </c>
      <c r="E142" s="34" t="inlineStr">
        <is>
          <t>Maya Chen, Owner Project Controls</t>
        </is>
      </c>
      <c r="F142" s="34" t="inlineStr">
        <is>
          <t>Professional decision</t>
        </is>
      </c>
    </row>
    <row r="143" ht="34" customHeight="1">
      <c r="A143" s="34" t="inlineStr">
        <is>
          <t>Contractor Programme</t>
        </is>
      </c>
      <c r="B143" s="34" t="inlineStr">
        <is>
          <t>SCH-06-138</t>
        </is>
      </c>
      <c r="C143" s="34" t="inlineStr">
        <is>
          <t>Program office: design-package integration review - turnover</t>
        </is>
      </c>
      <c r="D143" s="34" t="inlineStr">
        <is>
          <t>UNSURE</t>
        </is>
      </c>
      <c r="E143" s="34" t="inlineStr">
        <is>
          <t>Maya Chen, Owner Project Controls</t>
        </is>
      </c>
      <c r="F143" s="34" t="inlineStr">
        <is>
          <t>Professional decision</t>
        </is>
      </c>
    </row>
    <row r="144" ht="34" customHeight="1">
      <c r="A144" s="34" t="inlineStr">
        <is>
          <t>Contractor Programme</t>
        </is>
      </c>
      <c r="B144" s="34" t="inlineStr">
        <is>
          <t>SCH-06-139</t>
        </is>
      </c>
      <c r="C144" s="34" t="inlineStr">
        <is>
          <t>Civil package: executive reporting close - release</t>
        </is>
      </c>
      <c r="D144" s="34" t="inlineStr">
        <is>
          <t>UNSURE</t>
        </is>
      </c>
      <c r="E144" s="34" t="inlineStr">
        <is>
          <t>Maya Chen, Owner Project Controls</t>
        </is>
      </c>
      <c r="F144" s="34" t="inlineStr">
        <is>
          <t>Professional decision</t>
        </is>
      </c>
    </row>
    <row r="145" ht="34" customHeight="1">
      <c r="A145" s="34" t="inlineStr">
        <is>
          <t>Contractor Programme</t>
        </is>
      </c>
      <c r="B145" s="34" t="inlineStr">
        <is>
          <t>SCH-06-140</t>
        </is>
      </c>
      <c r="C145" s="34" t="inlineStr">
        <is>
          <t>Stations package: permit coordination - field start</t>
        </is>
      </c>
      <c r="D145" s="34" t="inlineStr">
        <is>
          <t>UNSURE</t>
        </is>
      </c>
      <c r="E145" s="34" t="inlineStr">
        <is>
          <t>Maya Chen, Owner Project Controls</t>
        </is>
      </c>
      <c r="F145" s="34" t="inlineStr">
        <is>
          <t>Professional decision</t>
        </is>
      </c>
    </row>
    <row r="146" ht="34" customHeight="1">
      <c r="A146" s="34" t="inlineStr">
        <is>
          <t>Contractor Programme</t>
        </is>
      </c>
      <c r="B146" s="34" t="inlineStr">
        <is>
          <t>SCH-06-141</t>
        </is>
      </c>
      <c r="C146" s="34" t="inlineStr">
        <is>
          <t>Systems package: delivery risk workshop - installation</t>
        </is>
      </c>
      <c r="D146" s="34" t="inlineStr">
        <is>
          <t>UNSURE</t>
        </is>
      </c>
      <c r="E146" s="34" t="inlineStr">
        <is>
          <t>Maya Chen, Owner Project Controls</t>
        </is>
      </c>
      <c r="F146" s="34" t="inlineStr">
        <is>
          <t>Professional decision</t>
        </is>
      </c>
    </row>
    <row r="147" ht="34" customHeight="1">
      <c r="A147" s="34" t="inlineStr">
        <is>
          <t>Contractor Programme</t>
        </is>
      </c>
      <c r="B147" s="34" t="inlineStr">
        <is>
          <t>SCH-06-142</t>
        </is>
      </c>
      <c r="C147" s="34" t="inlineStr">
        <is>
          <t>Fleet package: monthly controls cut-off - inspection</t>
        </is>
      </c>
      <c r="D147" s="34" t="inlineStr">
        <is>
          <t>UNSURE</t>
        </is>
      </c>
      <c r="E147" s="34" t="inlineStr">
        <is>
          <t>Maya Chen, Owner Project Controls</t>
        </is>
      </c>
      <c r="F147" s="34" t="inlineStr">
        <is>
          <t>Professional decision</t>
        </is>
      </c>
    </row>
    <row r="148" ht="34" customHeight="1">
      <c r="A148" s="34" t="inlineStr">
        <is>
          <t>Contractor Programme</t>
        </is>
      </c>
      <c r="B148" s="34" t="inlineStr">
        <is>
          <t>SCH-06-143</t>
        </is>
      </c>
      <c r="C148" s="34" t="inlineStr">
        <is>
          <t>Program office: stakeholder interface meeting - turnover</t>
        </is>
      </c>
      <c r="D148" s="34" t="inlineStr">
        <is>
          <t>UNSURE</t>
        </is>
      </c>
      <c r="E148" s="34" t="inlineStr">
        <is>
          <t>Maya Chen, Owner Project Controls</t>
        </is>
      </c>
      <c r="F148" s="34" t="inlineStr">
        <is>
          <t>Professional decision</t>
        </is>
      </c>
    </row>
    <row r="149" ht="34" customHeight="1">
      <c r="A149" s="34" t="inlineStr">
        <is>
          <t>Contractor Programme</t>
        </is>
      </c>
      <c r="B149" s="34" t="inlineStr">
        <is>
          <t>SCH-06-144</t>
        </is>
      </c>
      <c r="C149" s="34" t="inlineStr">
        <is>
          <t>Civil package: baseline change control - release</t>
        </is>
      </c>
      <c r="D149" s="34" t="inlineStr">
        <is>
          <t>UNSURE</t>
        </is>
      </c>
      <c r="E149" s="34" t="inlineStr">
        <is>
          <t>Maya Chen, Owner Project Controls</t>
        </is>
      </c>
      <c r="F149" s="34" t="inlineStr">
        <is>
          <t>Professional decision</t>
        </is>
      </c>
    </row>
    <row r="150" ht="34" customHeight="1">
      <c r="A150" s="34" t="inlineStr">
        <is>
          <t>Contractor Programme</t>
        </is>
      </c>
      <c r="B150" s="34" t="inlineStr">
        <is>
          <t>SCH-06-145</t>
        </is>
      </c>
      <c r="C150" s="34" t="inlineStr">
        <is>
          <t>Stations package: commercial change review - field start</t>
        </is>
      </c>
      <c r="D150" s="34" t="inlineStr">
        <is>
          <t>UNSURE</t>
        </is>
      </c>
      <c r="E150" s="34" t="inlineStr">
        <is>
          <t>Maya Chen, Owner Project Controls</t>
        </is>
      </c>
      <c r="F150" s="34" t="inlineStr">
        <is>
          <t>Professional decision</t>
        </is>
      </c>
    </row>
    <row r="151" ht="34" customHeight="1">
      <c r="A151" s="34" t="inlineStr">
        <is>
          <t>Contractor Programme</t>
        </is>
      </c>
      <c r="B151" s="34" t="inlineStr">
        <is>
          <t>SCH-06-146</t>
        </is>
      </c>
      <c r="C151" s="34" t="inlineStr">
        <is>
          <t>Systems package: design-package integration review - installation</t>
        </is>
      </c>
      <c r="D151" s="34" t="inlineStr">
        <is>
          <t>UNSURE</t>
        </is>
      </c>
      <c r="E151" s="34" t="inlineStr">
        <is>
          <t>Maya Chen, Owner Project Controls</t>
        </is>
      </c>
      <c r="F151" s="34" t="inlineStr">
        <is>
          <t>Professional decision</t>
        </is>
      </c>
    </row>
    <row r="152" ht="34" customHeight="1">
      <c r="A152" s="34" t="inlineStr">
        <is>
          <t>Contractor Programme</t>
        </is>
      </c>
      <c r="B152" s="34" t="inlineStr">
        <is>
          <t>SCH-06-147</t>
        </is>
      </c>
      <c r="C152" s="34" t="inlineStr">
        <is>
          <t>Fleet package: executive reporting close - inspection</t>
        </is>
      </c>
      <c r="D152" s="34" t="inlineStr">
        <is>
          <t>UNSURE</t>
        </is>
      </c>
      <c r="E152" s="34" t="inlineStr">
        <is>
          <t>Maya Chen, Owner Project Controls</t>
        </is>
      </c>
      <c r="F152" s="34" t="inlineStr">
        <is>
          <t>Professional decision</t>
        </is>
      </c>
    </row>
    <row r="153" ht="34" customHeight="1">
      <c r="A153" s="34" t="inlineStr">
        <is>
          <t>Contractor Programme</t>
        </is>
      </c>
      <c r="B153" s="34" t="inlineStr">
        <is>
          <t>SCH-06-148</t>
        </is>
      </c>
      <c r="C153" s="34" t="inlineStr">
        <is>
          <t>Program office: permit coordination - turnover</t>
        </is>
      </c>
      <c r="D153" s="34" t="inlineStr">
        <is>
          <t>UNSURE</t>
        </is>
      </c>
      <c r="E153" s="34" t="inlineStr">
        <is>
          <t>Maya Chen, Owner Project Controls</t>
        </is>
      </c>
      <c r="F153" s="34" t="inlineStr">
        <is>
          <t>Professional decision</t>
        </is>
      </c>
    </row>
    <row r="154" ht="34" customHeight="1">
      <c r="A154" s="34" t="inlineStr">
        <is>
          <t>Contractor Programme</t>
        </is>
      </c>
      <c r="B154" s="34" t="inlineStr">
        <is>
          <t>SCH-06-149</t>
        </is>
      </c>
      <c r="C154" s="34" t="inlineStr">
        <is>
          <t>Civil package: delivery risk workshop - release</t>
        </is>
      </c>
      <c r="D154" s="34" t="inlineStr">
        <is>
          <t>UNSURE</t>
        </is>
      </c>
      <c r="E154" s="34" t="inlineStr">
        <is>
          <t>Maya Chen, Owner Project Controls</t>
        </is>
      </c>
      <c r="F154" s="34" t="inlineStr">
        <is>
          <t>Professional decision</t>
        </is>
      </c>
    </row>
    <row r="155" ht="34" customHeight="1">
      <c r="A155" s="34" t="inlineStr">
        <is>
          <t>Contractor Programme</t>
        </is>
      </c>
      <c r="B155" s="34" t="inlineStr">
        <is>
          <t>SCH-06-150</t>
        </is>
      </c>
      <c r="C155" s="34" t="inlineStr">
        <is>
          <t>Stations package: monthly controls cut-off - field start</t>
        </is>
      </c>
      <c r="D155" s="34" t="inlineStr">
        <is>
          <t>UNSURE</t>
        </is>
      </c>
      <c r="E155" s="34" t="inlineStr">
        <is>
          <t>Maya Chen, Owner Project Controls</t>
        </is>
      </c>
      <c r="F155" s="34" t="inlineStr">
        <is>
          <t>Professional decision</t>
        </is>
      </c>
    </row>
    <row r="156" ht="34" customHeight="1">
      <c r="A156" s="34" t="inlineStr">
        <is>
          <t>Contractor Programme</t>
        </is>
      </c>
      <c r="B156" s="34" t="inlineStr">
        <is>
          <t>SCH-06-151</t>
        </is>
      </c>
      <c r="C156" s="34" t="inlineStr">
        <is>
          <t>Systems package: stakeholder interface meeting - installation</t>
        </is>
      </c>
      <c r="D156" s="34" t="inlineStr">
        <is>
          <t>UNSURE</t>
        </is>
      </c>
      <c r="E156" s="34" t="inlineStr">
        <is>
          <t>Maya Chen, Owner Project Controls</t>
        </is>
      </c>
      <c r="F156" s="34" t="inlineStr">
        <is>
          <t>Professional decision</t>
        </is>
      </c>
    </row>
    <row r="157" ht="34" customHeight="1">
      <c r="A157" s="34" t="inlineStr">
        <is>
          <t>Contractor Programme</t>
        </is>
      </c>
      <c r="B157" s="34" t="inlineStr">
        <is>
          <t>SCH-06-152</t>
        </is>
      </c>
      <c r="C157" s="34" t="inlineStr">
        <is>
          <t>Fleet package: baseline change control - inspection</t>
        </is>
      </c>
      <c r="D157" s="34" t="inlineStr">
        <is>
          <t>UNSURE</t>
        </is>
      </c>
      <c r="E157" s="34" t="inlineStr">
        <is>
          <t>Maya Chen, Owner Project Controls</t>
        </is>
      </c>
      <c r="F157" s="34" t="inlineStr">
        <is>
          <t>Professional decision</t>
        </is>
      </c>
    </row>
    <row r="158" ht="34" customHeight="1">
      <c r="A158" s="34" t="inlineStr">
        <is>
          <t>Contractor Programme</t>
        </is>
      </c>
      <c r="B158" s="34" t="inlineStr">
        <is>
          <t>SCH-06-153</t>
        </is>
      </c>
      <c r="C158" s="34" t="inlineStr">
        <is>
          <t>Program office: commercial change review - turnover</t>
        </is>
      </c>
      <c r="D158" s="34" t="inlineStr">
        <is>
          <t>UNSURE</t>
        </is>
      </c>
      <c r="E158" s="34" t="inlineStr">
        <is>
          <t>Maya Chen, Owner Project Controls</t>
        </is>
      </c>
      <c r="F158" s="34" t="inlineStr">
        <is>
          <t>Professional decision</t>
        </is>
      </c>
    </row>
    <row r="159" ht="34" customHeight="1">
      <c r="A159" s="34" t="inlineStr">
        <is>
          <t>Contractor Programme</t>
        </is>
      </c>
      <c r="B159" s="34" t="inlineStr">
        <is>
          <t>SCH-06-154</t>
        </is>
      </c>
      <c r="C159" s="34" t="inlineStr">
        <is>
          <t>Civil package: design-package integration review - release</t>
        </is>
      </c>
      <c r="D159" s="34" t="inlineStr">
        <is>
          <t>UNSURE</t>
        </is>
      </c>
      <c r="E159" s="34" t="inlineStr">
        <is>
          <t>Maya Chen, Owner Project Controls</t>
        </is>
      </c>
      <c r="F159" s="34" t="inlineStr">
        <is>
          <t>Professional decision</t>
        </is>
      </c>
    </row>
    <row r="160" ht="34" customHeight="1">
      <c r="A160" s="34" t="inlineStr">
        <is>
          <t>Contractor Programme</t>
        </is>
      </c>
      <c r="B160" s="34" t="inlineStr">
        <is>
          <t>SCH-06-155</t>
        </is>
      </c>
      <c r="C160" s="34" t="inlineStr">
        <is>
          <t>Stations package: executive reporting close - field start</t>
        </is>
      </c>
      <c r="D160" s="34" t="inlineStr">
        <is>
          <t>UNSURE</t>
        </is>
      </c>
      <c r="E160" s="34" t="inlineStr">
        <is>
          <t>Maya Chen, Owner Project Controls</t>
        </is>
      </c>
      <c r="F160" s="34" t="inlineStr">
        <is>
          <t>Professional decision</t>
        </is>
      </c>
    </row>
    <row r="161" ht="34" customHeight="1">
      <c r="A161" s="34" t="inlineStr">
        <is>
          <t>Contractor Programme</t>
        </is>
      </c>
      <c r="B161" s="34" t="inlineStr">
        <is>
          <t>SCH-06-156</t>
        </is>
      </c>
      <c r="C161" s="34" t="inlineStr">
        <is>
          <t>Systems package: permit coordination - installation</t>
        </is>
      </c>
      <c r="D161" s="34" t="inlineStr">
        <is>
          <t>UNSURE</t>
        </is>
      </c>
      <c r="E161" s="34" t="inlineStr">
        <is>
          <t>Maya Chen, Owner Project Controls</t>
        </is>
      </c>
      <c r="F161" s="34" t="inlineStr">
        <is>
          <t>Professional decision</t>
        </is>
      </c>
    </row>
    <row r="162" ht="34" customHeight="1">
      <c r="A162" s="34" t="inlineStr">
        <is>
          <t>Contractor Programme</t>
        </is>
      </c>
      <c r="B162" s="34" t="inlineStr">
        <is>
          <t>SCH-06-157</t>
        </is>
      </c>
      <c r="C162" s="34" t="inlineStr">
        <is>
          <t>Fleet package: delivery risk workshop - inspection</t>
        </is>
      </c>
      <c r="D162" s="34" t="inlineStr">
        <is>
          <t>UNSURE</t>
        </is>
      </c>
      <c r="E162" s="34" t="inlineStr">
        <is>
          <t>Maya Chen, Owner Project Controls</t>
        </is>
      </c>
      <c r="F162" s="34" t="inlineStr">
        <is>
          <t>Professional decision</t>
        </is>
      </c>
    </row>
    <row r="163" ht="34" customHeight="1">
      <c r="A163" s="34" t="inlineStr">
        <is>
          <t>Contractor Programme</t>
        </is>
      </c>
      <c r="B163" s="34" t="inlineStr">
        <is>
          <t>SCH-06-158</t>
        </is>
      </c>
      <c r="C163" s="34" t="inlineStr">
        <is>
          <t>Program office: monthly controls cut-off - turnover</t>
        </is>
      </c>
      <c r="D163" s="34" t="inlineStr">
        <is>
          <t>UNSURE</t>
        </is>
      </c>
      <c r="E163" s="34" t="inlineStr">
        <is>
          <t>Maya Chen, Owner Project Controls</t>
        </is>
      </c>
      <c r="F163" s="34" t="inlineStr">
        <is>
          <t>Professional decision</t>
        </is>
      </c>
    </row>
    <row r="164" ht="34" customHeight="1">
      <c r="A164" s="34" t="inlineStr">
        <is>
          <t>Contractor Programme</t>
        </is>
      </c>
      <c r="B164" s="34" t="inlineStr">
        <is>
          <t>SCH-06-159</t>
        </is>
      </c>
      <c r="C164" s="34" t="inlineStr">
        <is>
          <t>Civil package: stakeholder interface meeting - release</t>
        </is>
      </c>
      <c r="D164" s="34" t="inlineStr">
        <is>
          <t>UNSURE</t>
        </is>
      </c>
      <c r="E164" s="34" t="inlineStr">
        <is>
          <t>Maya Chen, Owner Project Controls</t>
        </is>
      </c>
      <c r="F164" s="34" t="inlineStr">
        <is>
          <t>Professional decision</t>
        </is>
      </c>
    </row>
    <row r="165" ht="34" customHeight="1">
      <c r="A165" s="34" t="inlineStr">
        <is>
          <t>Contractor Programme</t>
        </is>
      </c>
      <c r="B165" s="34" t="inlineStr">
        <is>
          <t>SCH-06-160</t>
        </is>
      </c>
      <c r="C165" s="34" t="inlineStr">
        <is>
          <t>Stations package: baseline change control - field start</t>
        </is>
      </c>
      <c r="D165" s="34" t="inlineStr">
        <is>
          <t>UNSURE</t>
        </is>
      </c>
      <c r="E165" s="34" t="inlineStr">
        <is>
          <t>Maya Chen, Owner Project Controls</t>
        </is>
      </c>
      <c r="F165" s="34" t="inlineStr">
        <is>
          <t>Professional decision</t>
        </is>
      </c>
    </row>
    <row r="166" ht="34" customHeight="1">
      <c r="A166" s="34" t="inlineStr">
        <is>
          <t>Contractor Programme</t>
        </is>
      </c>
      <c r="B166" s="34" t="inlineStr">
        <is>
          <t>SCH-06-161</t>
        </is>
      </c>
      <c r="C166" s="34" t="inlineStr">
        <is>
          <t>Systems package: commercial change review - installation</t>
        </is>
      </c>
      <c r="D166" s="34" t="inlineStr">
        <is>
          <t>UNSURE</t>
        </is>
      </c>
      <c r="E166" s="34" t="inlineStr">
        <is>
          <t>Maya Chen, Owner Project Controls</t>
        </is>
      </c>
      <c r="F166" s="34" t="inlineStr">
        <is>
          <t>Professional decision</t>
        </is>
      </c>
    </row>
    <row r="167" ht="34" customHeight="1">
      <c r="A167" s="34" t="inlineStr">
        <is>
          <t>Contractor Programme</t>
        </is>
      </c>
      <c r="B167" s="34" t="inlineStr">
        <is>
          <t>SCH-06-162</t>
        </is>
      </c>
      <c r="C167" s="34" t="inlineStr">
        <is>
          <t>Fleet package: design-package integration review - inspection</t>
        </is>
      </c>
      <c r="D167" s="34" t="inlineStr">
        <is>
          <t>UNSURE</t>
        </is>
      </c>
      <c r="E167" s="34" t="inlineStr">
        <is>
          <t>Maya Chen, Owner Project Controls</t>
        </is>
      </c>
      <c r="F167" s="34" t="inlineStr">
        <is>
          <t>Professional decision</t>
        </is>
      </c>
    </row>
    <row r="168" ht="34" customHeight="1">
      <c r="A168" s="34" t="inlineStr">
        <is>
          <t>Contractor Programme</t>
        </is>
      </c>
      <c r="B168" s="34" t="inlineStr">
        <is>
          <t>SCH-06-163</t>
        </is>
      </c>
      <c r="C168" s="34" t="inlineStr">
        <is>
          <t>Program office: executive reporting close - turnover</t>
        </is>
      </c>
      <c r="D168" s="34" t="inlineStr">
        <is>
          <t>UNSURE</t>
        </is>
      </c>
      <c r="E168" s="34" t="inlineStr">
        <is>
          <t>Maya Chen, Owner Project Controls</t>
        </is>
      </c>
      <c r="F168" s="34" t="inlineStr">
        <is>
          <t>Professional decision</t>
        </is>
      </c>
    </row>
    <row r="169" ht="34" customHeight="1">
      <c r="A169" s="34" t="inlineStr">
        <is>
          <t>Contractor Programme</t>
        </is>
      </c>
      <c r="B169" s="34" t="inlineStr">
        <is>
          <t>SCH-06-164</t>
        </is>
      </c>
      <c r="C169" s="34" t="inlineStr">
        <is>
          <t>Civil package: permit coordination - release</t>
        </is>
      </c>
      <c r="D169" s="34" t="inlineStr">
        <is>
          <t>UNSURE</t>
        </is>
      </c>
      <c r="E169" s="34" t="inlineStr">
        <is>
          <t>Maya Chen, Owner Project Controls</t>
        </is>
      </c>
      <c r="F169" s="34" t="inlineStr">
        <is>
          <t>Professional decision</t>
        </is>
      </c>
    </row>
    <row r="170" ht="34" customHeight="1">
      <c r="A170" s="34" t="inlineStr">
        <is>
          <t>Contractor Programme</t>
        </is>
      </c>
      <c r="B170" s="34" t="inlineStr">
        <is>
          <t>SCH-06-165</t>
        </is>
      </c>
      <c r="C170" s="34" t="inlineStr">
        <is>
          <t>Stations package: delivery risk workshop - field start</t>
        </is>
      </c>
      <c r="D170" s="34" t="inlineStr">
        <is>
          <t>UNSURE</t>
        </is>
      </c>
      <c r="E170" s="34" t="inlineStr">
        <is>
          <t>Maya Chen, Owner Project Controls</t>
        </is>
      </c>
      <c r="F170" s="34" t="inlineStr">
        <is>
          <t>Professional decision</t>
        </is>
      </c>
    </row>
    <row r="171" ht="34" customHeight="1">
      <c r="A171" s="34" t="inlineStr">
        <is>
          <t>Contractor Programme</t>
        </is>
      </c>
      <c r="B171" s="34" t="inlineStr">
        <is>
          <t>SCH-06-166</t>
        </is>
      </c>
      <c r="C171" s="34" t="inlineStr">
        <is>
          <t>Systems package: monthly controls cut-off - installation</t>
        </is>
      </c>
      <c r="D171" s="34" t="inlineStr">
        <is>
          <t>UNSURE</t>
        </is>
      </c>
      <c r="E171" s="34" t="inlineStr">
        <is>
          <t>Maya Chen, Owner Project Controls</t>
        </is>
      </c>
      <c r="F171" s="34" t="inlineStr">
        <is>
          <t>Professional decision</t>
        </is>
      </c>
    </row>
    <row r="172" ht="34" customHeight="1">
      <c r="A172" s="34" t="inlineStr">
        <is>
          <t>Contractor Programme</t>
        </is>
      </c>
      <c r="B172" s="34" t="inlineStr">
        <is>
          <t>SCH-06-167</t>
        </is>
      </c>
      <c r="C172" s="34" t="inlineStr">
        <is>
          <t>Fleet package: stakeholder interface meeting - inspection</t>
        </is>
      </c>
      <c r="D172" s="34" t="inlineStr">
        <is>
          <t>UNSURE</t>
        </is>
      </c>
      <c r="E172" s="34" t="inlineStr">
        <is>
          <t>Maya Chen, Owner Project Controls</t>
        </is>
      </c>
      <c r="F172" s="34" t="inlineStr">
        <is>
          <t>Professional decision</t>
        </is>
      </c>
    </row>
    <row r="173" ht="34" customHeight="1">
      <c r="A173" s="34" t="inlineStr">
        <is>
          <t>Contractor Programme</t>
        </is>
      </c>
      <c r="B173" s="34" t="inlineStr">
        <is>
          <t>SCH-06-168</t>
        </is>
      </c>
      <c r="C173" s="34" t="inlineStr">
        <is>
          <t>Program office: baseline change control - turnover</t>
        </is>
      </c>
      <c r="D173" s="34" t="inlineStr">
        <is>
          <t>UNSURE</t>
        </is>
      </c>
      <c r="E173" s="34" t="inlineStr">
        <is>
          <t>Maya Chen, Owner Project Controls</t>
        </is>
      </c>
      <c r="F173" s="34" t="inlineStr">
        <is>
          <t>Professional decision</t>
        </is>
      </c>
    </row>
    <row r="174" ht="34" customHeight="1">
      <c r="A174" s="34" t="inlineStr">
        <is>
          <t>Contractor Programme</t>
        </is>
      </c>
      <c r="B174" s="34" t="inlineStr">
        <is>
          <t>SCH-06-169</t>
        </is>
      </c>
      <c r="C174" s="34" t="inlineStr">
        <is>
          <t>Civil package: commercial change review - release</t>
        </is>
      </c>
      <c r="D174" s="34" t="inlineStr">
        <is>
          <t>UNSURE</t>
        </is>
      </c>
      <c r="E174" s="34" t="inlineStr">
        <is>
          <t>Maya Chen, Owner Project Controls</t>
        </is>
      </c>
      <c r="F174" s="34" t="inlineStr">
        <is>
          <t>Professional decision</t>
        </is>
      </c>
    </row>
    <row r="175" ht="34" customHeight="1">
      <c r="A175" s="34" t="inlineStr">
        <is>
          <t>Contractor Programme</t>
        </is>
      </c>
      <c r="B175" s="34" t="inlineStr">
        <is>
          <t>SCH-06-170</t>
        </is>
      </c>
      <c r="C175" s="34" t="inlineStr">
        <is>
          <t>Stations package: design-package integration review - field start</t>
        </is>
      </c>
      <c r="D175" s="34" t="inlineStr">
        <is>
          <t>UNSURE</t>
        </is>
      </c>
      <c r="E175" s="34" t="inlineStr">
        <is>
          <t>Maya Chen, Owner Project Controls</t>
        </is>
      </c>
      <c r="F175" s="34" t="inlineStr">
        <is>
          <t>Professional decision</t>
        </is>
      </c>
    </row>
    <row r="176" ht="34" customHeight="1">
      <c r="A176" s="34" t="inlineStr">
        <is>
          <t>Contractor Programme</t>
        </is>
      </c>
      <c r="B176" s="34" t="inlineStr">
        <is>
          <t>SCH-06-171</t>
        </is>
      </c>
      <c r="C176" s="34" t="inlineStr">
        <is>
          <t>Systems package: executive reporting close - installation</t>
        </is>
      </c>
      <c r="D176" s="34" t="inlineStr">
        <is>
          <t>UNSURE</t>
        </is>
      </c>
      <c r="E176" s="34" t="inlineStr">
        <is>
          <t>Maya Chen, Owner Project Controls</t>
        </is>
      </c>
      <c r="F176" s="34" t="inlineStr">
        <is>
          <t>Professional decision</t>
        </is>
      </c>
    </row>
    <row r="177" ht="34" customHeight="1">
      <c r="A177" s="34" t="inlineStr">
        <is>
          <t>Contractor Programme</t>
        </is>
      </c>
      <c r="B177" s="34" t="inlineStr">
        <is>
          <t>SCH-06-172</t>
        </is>
      </c>
      <c r="C177" s="34" t="inlineStr">
        <is>
          <t>Fleet package: permit coordination - inspection</t>
        </is>
      </c>
      <c r="D177" s="34" t="inlineStr">
        <is>
          <t>UNSURE</t>
        </is>
      </c>
      <c r="E177" s="34" t="inlineStr">
        <is>
          <t>Maya Chen, Owner Project Controls</t>
        </is>
      </c>
      <c r="F177" s="34" t="inlineStr">
        <is>
          <t>Professional decision</t>
        </is>
      </c>
    </row>
    <row r="178" ht="34" customHeight="1">
      <c r="A178" s="34" t="inlineStr">
        <is>
          <t>Contractor Programme</t>
        </is>
      </c>
      <c r="B178" s="34" t="inlineStr">
        <is>
          <t>SCH-06-173</t>
        </is>
      </c>
      <c r="C178" s="34" t="inlineStr">
        <is>
          <t>Program office: delivery risk workshop - turnover</t>
        </is>
      </c>
      <c r="D178" s="34" t="inlineStr">
        <is>
          <t>UNSURE</t>
        </is>
      </c>
      <c r="E178" s="34" t="inlineStr">
        <is>
          <t>Maya Chen, Owner Project Controls</t>
        </is>
      </c>
      <c r="F178" s="34" t="inlineStr">
        <is>
          <t>Professional decision</t>
        </is>
      </c>
    </row>
    <row r="179" ht="34" customHeight="1">
      <c r="A179" s="34" t="inlineStr">
        <is>
          <t>Contractor Programme</t>
        </is>
      </c>
      <c r="B179" s="34" t="inlineStr">
        <is>
          <t>SCH-06-174</t>
        </is>
      </c>
      <c r="C179" s="34" t="inlineStr">
        <is>
          <t>Civil package: monthly controls cut-off - release</t>
        </is>
      </c>
      <c r="D179" s="34" t="inlineStr">
        <is>
          <t>UNSURE</t>
        </is>
      </c>
      <c r="E179" s="34" t="inlineStr">
        <is>
          <t>Maya Chen, Owner Project Controls</t>
        </is>
      </c>
      <c r="F179" s="34" t="inlineStr">
        <is>
          <t>Professional decision</t>
        </is>
      </c>
    </row>
    <row r="180" ht="34" customHeight="1">
      <c r="A180" s="34" t="inlineStr">
        <is>
          <t>Contractor Programme</t>
        </is>
      </c>
      <c r="B180" s="34" t="inlineStr">
        <is>
          <t>SCH-06-175</t>
        </is>
      </c>
      <c r="C180" s="34" t="inlineStr">
        <is>
          <t>Stations package: stakeholder interface meeting - field start</t>
        </is>
      </c>
      <c r="D180" s="34" t="inlineStr">
        <is>
          <t>UNSURE</t>
        </is>
      </c>
      <c r="E180" s="34" t="inlineStr">
        <is>
          <t>Maya Chen, Owner Project Controls</t>
        </is>
      </c>
      <c r="F180" s="34" t="inlineStr">
        <is>
          <t>Professional decision</t>
        </is>
      </c>
    </row>
    <row r="181" ht="34" customHeight="1">
      <c r="A181" s="34" t="inlineStr">
        <is>
          <t>Contractor Programme</t>
        </is>
      </c>
      <c r="B181" s="34" t="inlineStr">
        <is>
          <t>SCH-06-176</t>
        </is>
      </c>
      <c r="C181" s="34" t="inlineStr">
        <is>
          <t>Systems package: baseline change control - installation</t>
        </is>
      </c>
      <c r="D181" s="34" t="inlineStr">
        <is>
          <t>UNSURE</t>
        </is>
      </c>
      <c r="E181" s="34" t="inlineStr">
        <is>
          <t>Maya Chen, Owner Project Controls</t>
        </is>
      </c>
      <c r="F181" s="34" t="inlineStr">
        <is>
          <t>Professional decision</t>
        </is>
      </c>
    </row>
    <row r="182" ht="34" customHeight="1">
      <c r="A182" s="34" t="inlineStr">
        <is>
          <t>Contractor Programme</t>
        </is>
      </c>
      <c r="B182" s="34" t="inlineStr">
        <is>
          <t>SCH-06-177</t>
        </is>
      </c>
      <c r="C182" s="34" t="inlineStr">
        <is>
          <t>Fleet package: commercial change review - inspection</t>
        </is>
      </c>
      <c r="D182" s="34" t="inlineStr">
        <is>
          <t>UNSURE</t>
        </is>
      </c>
      <c r="E182" s="34" t="inlineStr">
        <is>
          <t>Maya Chen, Owner Project Controls</t>
        </is>
      </c>
      <c r="F182" s="34" t="inlineStr">
        <is>
          <t>Professional decision</t>
        </is>
      </c>
    </row>
    <row r="183" ht="34" customHeight="1">
      <c r="A183" s="34" t="inlineStr">
        <is>
          <t>Contractor Programme</t>
        </is>
      </c>
      <c r="B183" s="34" t="inlineStr">
        <is>
          <t>SCH-06-178</t>
        </is>
      </c>
      <c r="C183" s="34" t="inlineStr">
        <is>
          <t>Program office: design-package integration review - turnover</t>
        </is>
      </c>
      <c r="D183" s="34" t="inlineStr">
        <is>
          <t>UNSURE</t>
        </is>
      </c>
      <c r="E183" s="34" t="inlineStr">
        <is>
          <t>Maya Chen, Owner Project Controls</t>
        </is>
      </c>
      <c r="F183" s="34" t="inlineStr">
        <is>
          <t>Professional decision</t>
        </is>
      </c>
    </row>
    <row r="184" ht="34" customHeight="1">
      <c r="A184" s="34" t="inlineStr">
        <is>
          <t>Contractor Programme</t>
        </is>
      </c>
      <c r="B184" s="34" t="inlineStr">
        <is>
          <t>SCH-06-179</t>
        </is>
      </c>
      <c r="C184" s="34" t="inlineStr">
        <is>
          <t>Civil package: executive reporting close - release</t>
        </is>
      </c>
      <c r="D184" s="34" t="inlineStr">
        <is>
          <t>UNSURE</t>
        </is>
      </c>
      <c r="E184" s="34" t="inlineStr">
        <is>
          <t>Maya Chen, Owner Project Controls</t>
        </is>
      </c>
      <c r="F184" s="34" t="inlineStr">
        <is>
          <t>Professional decision</t>
        </is>
      </c>
    </row>
    <row r="185" ht="34" customHeight="1">
      <c r="A185" s="34" t="inlineStr">
        <is>
          <t>Contractor Programme</t>
        </is>
      </c>
      <c r="B185" s="34" t="inlineStr">
        <is>
          <t>SCH-06-180</t>
        </is>
      </c>
      <c r="C185" s="34" t="inlineStr">
        <is>
          <t>Stations package: permit coordination - field start</t>
        </is>
      </c>
      <c r="D185" s="34" t="inlineStr">
        <is>
          <t>UNSURE</t>
        </is>
      </c>
      <c r="E185" s="34" t="inlineStr">
        <is>
          <t>Maya Chen, Owner Project Controls</t>
        </is>
      </c>
      <c r="F185" s="34" t="inlineStr">
        <is>
          <t>Professional decision</t>
        </is>
      </c>
    </row>
    <row r="186" ht="34" customHeight="1">
      <c r="A186" s="34" t="inlineStr">
        <is>
          <t>Cost &amp; Forecast Control Accounts</t>
        </is>
      </c>
      <c r="B186" s="34" t="inlineStr">
        <is>
          <t>CST-03-004</t>
        </is>
      </c>
      <c r="C186" s="34" t="inlineStr">
        <is>
          <t>Systems - systems integration - professional services</t>
        </is>
      </c>
      <c r="D186" s="34" t="inlineStr">
        <is>
          <t>UNSURE</t>
        </is>
      </c>
      <c r="E186" s="34" t="inlineStr">
        <is>
          <t>Maya Chen, Owner Project Controls</t>
        </is>
      </c>
      <c r="F186" s="34" t="inlineStr">
        <is>
          <t>Professional decision</t>
        </is>
      </c>
    </row>
    <row r="187" ht="34" customHeight="1">
      <c r="A187" s="34" t="inlineStr">
        <is>
          <t>Cost &amp; Forecast Control Accounts</t>
        </is>
      </c>
      <c r="B187" s="34" t="inlineStr">
        <is>
          <t>CST-05-001</t>
        </is>
      </c>
      <c r="C187" s="34" t="inlineStr">
        <is>
          <t>Testing &amp; readiness - trial running - control account</t>
        </is>
      </c>
      <c r="D187" s="34" t="inlineStr">
        <is>
          <t>UNSURE</t>
        </is>
      </c>
      <c r="E187" s="34" t="inlineStr">
        <is>
          <t>Maya Chen, Owner Project Controls</t>
        </is>
      </c>
      <c r="F187" s="34" t="inlineStr">
        <is>
          <t>Professional decision</t>
        </is>
      </c>
    </row>
    <row r="188" ht="34" customHeight="1">
      <c r="A188" s="34" t="inlineStr">
        <is>
          <t>Cost &amp; Forecast Control Accounts</t>
        </is>
      </c>
      <c r="B188" s="34" t="inlineStr">
        <is>
          <t>CST-05-002</t>
        </is>
      </c>
      <c r="C188" s="34" t="inlineStr">
        <is>
          <t>Testing &amp; readiness - safety certification - control account</t>
        </is>
      </c>
      <c r="D188" s="34" t="inlineStr">
        <is>
          <t>UNSURE</t>
        </is>
      </c>
      <c r="E188" s="34" t="inlineStr">
        <is>
          <t>Maya Chen, Owner Project Controls</t>
        </is>
      </c>
      <c r="F188" s="34" t="inlineStr">
        <is>
          <t>Professional decision</t>
        </is>
      </c>
    </row>
    <row r="189" ht="34" customHeight="1">
      <c r="A189" s="34" t="inlineStr">
        <is>
          <t>Cost &amp; Forecast Control Accounts</t>
        </is>
      </c>
      <c r="B189" s="34" t="inlineStr">
        <is>
          <t>CST-05-003</t>
        </is>
      </c>
      <c r="C189" s="34" t="inlineStr">
        <is>
          <t>Testing &amp; readiness - defect closeout - control account</t>
        </is>
      </c>
      <c r="D189" s="34" t="inlineStr">
        <is>
          <t>UNSURE</t>
        </is>
      </c>
      <c r="E189" s="34" t="inlineStr">
        <is>
          <t>Maya Chen, Owner Project Controls</t>
        </is>
      </c>
      <c r="F189" s="34" t="inlineStr">
        <is>
          <t>Professional decision</t>
        </is>
      </c>
    </row>
    <row r="190" ht="34" customHeight="1">
      <c r="A190" s="34" t="inlineStr">
        <is>
          <t>Cost &amp; Forecast Control Accounts</t>
        </is>
      </c>
      <c r="B190" s="34" t="inlineStr">
        <is>
          <t>CST-05-004</t>
        </is>
      </c>
      <c r="C190" s="34" t="inlineStr">
        <is>
          <t>Testing &amp; readiness - test management - control account</t>
        </is>
      </c>
      <c r="D190" s="34" t="inlineStr">
        <is>
          <t>UNSURE</t>
        </is>
      </c>
      <c r="E190" s="34" t="inlineStr">
        <is>
          <t>Maya Chen, Owner Project Controls</t>
        </is>
      </c>
      <c r="F190" s="34" t="inlineStr">
        <is>
          <t>Professional decision</t>
        </is>
      </c>
    </row>
    <row r="191" ht="34" customHeight="1">
      <c r="A191" s="34" t="inlineStr">
        <is>
          <t>Cost &amp; Forecast Control Accounts</t>
        </is>
      </c>
      <c r="B191" s="34" t="inlineStr">
        <is>
          <t>CST-05-005</t>
        </is>
      </c>
      <c r="C191" s="34" t="inlineStr">
        <is>
          <t>Testing &amp; readiness - trial running - control account</t>
        </is>
      </c>
      <c r="D191" s="34" t="inlineStr">
        <is>
          <t>UNSURE</t>
        </is>
      </c>
      <c r="E191" s="34" t="inlineStr">
        <is>
          <t>Maya Chen, Owner Project Controls</t>
        </is>
      </c>
      <c r="F191" s="34" t="inlineStr">
        <is>
          <t>Professional decision</t>
        </is>
      </c>
    </row>
    <row r="192" ht="34" customHeight="1">
      <c r="A192" s="34" t="inlineStr">
        <is>
          <t>Cost &amp; Forecast Control Accounts</t>
        </is>
      </c>
      <c r="B192" s="34" t="inlineStr">
        <is>
          <t>CST-05-006</t>
        </is>
      </c>
      <c r="C192" s="34" t="inlineStr">
        <is>
          <t>Testing &amp; readiness - safety certification - control account</t>
        </is>
      </c>
      <c r="D192" s="34" t="inlineStr">
        <is>
          <t>UNSURE</t>
        </is>
      </c>
      <c r="E192" s="34" t="inlineStr">
        <is>
          <t>Maya Chen, Owner Project Controls</t>
        </is>
      </c>
      <c r="F192" s="34" t="inlineStr">
        <is>
          <t>Professional decision</t>
        </is>
      </c>
    </row>
    <row r="193" ht="34" customHeight="1">
      <c r="A193" s="34" t="inlineStr">
        <is>
          <t>Cost &amp; Forecast Control Accounts</t>
        </is>
      </c>
      <c r="B193" s="34" t="inlineStr">
        <is>
          <t>CST-05-007</t>
        </is>
      </c>
      <c r="C193" s="34" t="inlineStr">
        <is>
          <t>Testing &amp; readiness - defect closeout - control account</t>
        </is>
      </c>
      <c r="D193" s="34" t="inlineStr">
        <is>
          <t>UNSURE</t>
        </is>
      </c>
      <c r="E193" s="34" t="inlineStr">
        <is>
          <t>Maya Chen, Owner Project Controls</t>
        </is>
      </c>
      <c r="F193" s="34" t="inlineStr">
        <is>
          <t>Professional decision</t>
        </is>
      </c>
    </row>
    <row r="194" ht="34" customHeight="1">
      <c r="A194" s="34" t="inlineStr">
        <is>
          <t>Cost &amp; Forecast Control Accounts</t>
        </is>
      </c>
      <c r="B194" s="34" t="inlineStr">
        <is>
          <t>CST-05-008</t>
        </is>
      </c>
      <c r="C194" s="34" t="inlineStr">
        <is>
          <t>Testing &amp; readiness - test management - control account</t>
        </is>
      </c>
      <c r="D194" s="34" t="inlineStr">
        <is>
          <t>UNSURE</t>
        </is>
      </c>
      <c r="E194" s="34" t="inlineStr">
        <is>
          <t>Maya Chen, Owner Project Controls</t>
        </is>
      </c>
      <c r="F194" s="34" t="inlineStr">
        <is>
          <t>Professional decision</t>
        </is>
      </c>
    </row>
    <row r="195" ht="34" customHeight="1">
      <c r="A195" s="34" t="inlineStr">
        <is>
          <t>Cost &amp; Forecast Control Accounts</t>
        </is>
      </c>
      <c r="B195" s="34" t="inlineStr">
        <is>
          <t>CST-05-009</t>
        </is>
      </c>
      <c r="C195" s="34" t="inlineStr">
        <is>
          <t>Testing &amp; readiness - trial running - control account</t>
        </is>
      </c>
      <c r="D195" s="34" t="inlineStr">
        <is>
          <t>UNSURE</t>
        </is>
      </c>
      <c r="E195" s="34" t="inlineStr">
        <is>
          <t>Maya Chen, Owner Project Controls</t>
        </is>
      </c>
      <c r="F195" s="34" t="inlineStr">
        <is>
          <t>Professional decision</t>
        </is>
      </c>
    </row>
    <row r="196" ht="34" customHeight="1">
      <c r="A196" s="34" t="inlineStr">
        <is>
          <t>Cost &amp; Forecast Control Accounts</t>
        </is>
      </c>
      <c r="B196" s="34" t="inlineStr">
        <is>
          <t>CST-05-010</t>
        </is>
      </c>
      <c r="C196" s="34" t="inlineStr">
        <is>
          <t>Testing &amp; readiness - safety certification - control account</t>
        </is>
      </c>
      <c r="D196" s="34" t="inlineStr">
        <is>
          <t>UNSURE</t>
        </is>
      </c>
      <c r="E196" s="34" t="inlineStr">
        <is>
          <t>Maya Chen, Owner Project Controls</t>
        </is>
      </c>
      <c r="F196" s="34" t="inlineStr">
        <is>
          <t>Professional decision</t>
        </is>
      </c>
    </row>
    <row r="197" ht="34" customHeight="1">
      <c r="A197" s="34" t="inlineStr">
        <is>
          <t>Cost &amp; Forecast Control Accounts</t>
        </is>
      </c>
      <c r="B197" s="34" t="inlineStr">
        <is>
          <t>CST-05-011</t>
        </is>
      </c>
      <c r="C197" s="34" t="inlineStr">
        <is>
          <t>Testing &amp; readiness - defect closeout - control account</t>
        </is>
      </c>
      <c r="D197" s="34" t="inlineStr">
        <is>
          <t>UNSURE</t>
        </is>
      </c>
      <c r="E197" s="34" t="inlineStr">
        <is>
          <t>Maya Chen, Owner Project Controls</t>
        </is>
      </c>
      <c r="F197" s="34" t="inlineStr">
        <is>
          <t>Professional decision</t>
        </is>
      </c>
    </row>
    <row r="198" ht="34" customHeight="1">
      <c r="A198" s="34" t="inlineStr">
        <is>
          <t>Cost &amp; Forecast Control Accounts</t>
        </is>
      </c>
      <c r="B198" s="34" t="inlineStr">
        <is>
          <t>CST-05-012</t>
        </is>
      </c>
      <c r="C198" s="34" t="inlineStr">
        <is>
          <t>Testing &amp; readiness - test management - control account</t>
        </is>
      </c>
      <c r="D198" s="34" t="inlineStr">
        <is>
          <t>UNSURE</t>
        </is>
      </c>
      <c r="E198" s="34" t="inlineStr">
        <is>
          <t>Maya Chen, Owner Project Controls</t>
        </is>
      </c>
      <c r="F198" s="34" t="inlineStr">
        <is>
          <t>Professional decision</t>
        </is>
      </c>
    </row>
    <row r="199" ht="34" customHeight="1">
      <c r="A199" s="34" t="inlineStr">
        <is>
          <t>Cost &amp; Forecast Control Accounts</t>
        </is>
      </c>
      <c r="B199" s="34" t="inlineStr">
        <is>
          <t>CST-05-013</t>
        </is>
      </c>
      <c r="C199" s="34" t="inlineStr">
        <is>
          <t>Testing &amp; readiness - trial running - control account</t>
        </is>
      </c>
      <c r="D199" s="34" t="inlineStr">
        <is>
          <t>UNSURE</t>
        </is>
      </c>
      <c r="E199" s="34" t="inlineStr">
        <is>
          <t>Maya Chen, Owner Project Controls</t>
        </is>
      </c>
      <c r="F199" s="34" t="inlineStr">
        <is>
          <t>Professional decision</t>
        </is>
      </c>
    </row>
    <row r="200" ht="34" customHeight="1">
      <c r="A200" s="34" t="inlineStr">
        <is>
          <t>Cost &amp; Forecast Control Accounts</t>
        </is>
      </c>
      <c r="B200" s="34" t="inlineStr">
        <is>
          <t>CST-05-014</t>
        </is>
      </c>
      <c r="C200" s="34" t="inlineStr">
        <is>
          <t>Testing &amp; readiness - safety certification - control account</t>
        </is>
      </c>
      <c r="D200" s="34" t="inlineStr">
        <is>
          <t>UNSURE</t>
        </is>
      </c>
      <c r="E200" s="34" t="inlineStr">
        <is>
          <t>Maya Chen, Owner Project Controls</t>
        </is>
      </c>
      <c r="F200" s="34" t="inlineStr">
        <is>
          <t>Professional decision</t>
        </is>
      </c>
    </row>
    <row r="201" ht="34" customHeight="1">
      <c r="A201" s="34" t="inlineStr">
        <is>
          <t>Cost &amp; Forecast Control Accounts</t>
        </is>
      </c>
      <c r="B201" s="34" t="inlineStr">
        <is>
          <t>CST-05-015</t>
        </is>
      </c>
      <c r="C201" s="34" t="inlineStr">
        <is>
          <t>Testing &amp; readiness - defect closeout - control account</t>
        </is>
      </c>
      <c r="D201" s="34" t="inlineStr">
        <is>
          <t>UNSURE</t>
        </is>
      </c>
      <c r="E201" s="34" t="inlineStr">
        <is>
          <t>Maya Chen, Owner Project Controls</t>
        </is>
      </c>
      <c r="F201" s="34" t="inlineStr">
        <is>
          <t>Professional decision</t>
        </is>
      </c>
    </row>
    <row r="202" ht="34" customHeight="1">
      <c r="A202" s="34" t="inlineStr">
        <is>
          <t>Cost &amp; Forecast Control Accounts</t>
        </is>
      </c>
      <c r="B202" s="34" t="inlineStr">
        <is>
          <t>CST-05-016</t>
        </is>
      </c>
      <c r="C202" s="34" t="inlineStr">
        <is>
          <t>Testing &amp; readiness - test management - control account</t>
        </is>
      </c>
      <c r="D202" s="34" t="inlineStr">
        <is>
          <t>UNSURE</t>
        </is>
      </c>
      <c r="E202" s="34" t="inlineStr">
        <is>
          <t>Maya Chen, Owner Project Controls</t>
        </is>
      </c>
      <c r="F202" s="34" t="inlineStr">
        <is>
          <t>Professional decision</t>
        </is>
      </c>
    </row>
    <row r="203" ht="34" customHeight="1">
      <c r="A203" s="34" t="inlineStr">
        <is>
          <t>Cost &amp; Forecast Control Accounts</t>
        </is>
      </c>
      <c r="B203" s="34" t="inlineStr">
        <is>
          <t>CST-05-017</t>
        </is>
      </c>
      <c r="C203" s="34" t="inlineStr">
        <is>
          <t>Testing &amp; readiness - trial running - control account</t>
        </is>
      </c>
      <c r="D203" s="34" t="inlineStr">
        <is>
          <t>UNSURE</t>
        </is>
      </c>
      <c r="E203" s="34" t="inlineStr">
        <is>
          <t>Maya Chen, Owner Project Controls</t>
        </is>
      </c>
      <c r="F203" s="34" t="inlineStr">
        <is>
          <t>Professional decision</t>
        </is>
      </c>
    </row>
    <row r="204" ht="34" customHeight="1">
      <c r="A204" s="34" t="inlineStr">
        <is>
          <t>Cost &amp; Forecast Control Accounts</t>
        </is>
      </c>
      <c r="B204" s="34" t="inlineStr">
        <is>
          <t>CST-05-018</t>
        </is>
      </c>
      <c r="C204" s="34" t="inlineStr">
        <is>
          <t>Testing &amp; readiness - safety certification - control account</t>
        </is>
      </c>
      <c r="D204" s="34" t="inlineStr">
        <is>
          <t>UNSURE</t>
        </is>
      </c>
      <c r="E204" s="34" t="inlineStr">
        <is>
          <t>Maya Chen, Owner Project Controls</t>
        </is>
      </c>
      <c r="F204" s="34" t="inlineStr">
        <is>
          <t>Professional decision</t>
        </is>
      </c>
    </row>
    <row r="205" ht="34" customHeight="1">
      <c r="A205" s="34" t="inlineStr">
        <is>
          <t>Cost &amp; Forecast Control Accounts</t>
        </is>
      </c>
      <c r="B205" s="34" t="inlineStr">
        <is>
          <t>CST-05-019</t>
        </is>
      </c>
      <c r="C205" s="34" t="inlineStr">
        <is>
          <t>Testing &amp; readiness - defect closeout - control account</t>
        </is>
      </c>
      <c r="D205" s="34" t="inlineStr">
        <is>
          <t>UNSURE</t>
        </is>
      </c>
      <c r="E205" s="34" t="inlineStr">
        <is>
          <t>Maya Chen, Owner Project Controls</t>
        </is>
      </c>
      <c r="F205" s="34" t="inlineStr">
        <is>
          <t>Professional decision</t>
        </is>
      </c>
    </row>
    <row r="206" ht="34" customHeight="1">
      <c r="A206" s="34" t="inlineStr">
        <is>
          <t>Cost &amp; Forecast Control Accounts</t>
        </is>
      </c>
      <c r="B206" s="34" t="inlineStr">
        <is>
          <t>CST-05-020</t>
        </is>
      </c>
      <c r="C206" s="34" t="inlineStr">
        <is>
          <t>Testing &amp; readiness - test management - control account</t>
        </is>
      </c>
      <c r="D206" s="34" t="inlineStr">
        <is>
          <t>UNSURE</t>
        </is>
      </c>
      <c r="E206" s="34" t="inlineStr">
        <is>
          <t>Maya Chen, Owner Project Controls</t>
        </is>
      </c>
      <c r="F206" s="34" t="inlineStr">
        <is>
          <t>Professional decision</t>
        </is>
      </c>
    </row>
    <row r="207" ht="34" customHeight="1">
      <c r="A207" s="34" t="inlineStr">
        <is>
          <t>Cost &amp; Forecast Control Accounts</t>
        </is>
      </c>
      <c r="B207" s="34" t="inlineStr">
        <is>
          <t>CST-05-021</t>
        </is>
      </c>
      <c r="C207" s="34" t="inlineStr">
        <is>
          <t>Testing &amp; readiness - trial running - control account</t>
        </is>
      </c>
      <c r="D207" s="34" t="inlineStr">
        <is>
          <t>UNSURE</t>
        </is>
      </c>
      <c r="E207" s="34" t="inlineStr">
        <is>
          <t>Maya Chen, Owner Project Controls</t>
        </is>
      </c>
      <c r="F207" s="34" t="inlineStr">
        <is>
          <t>Professional decision</t>
        </is>
      </c>
    </row>
    <row r="208" ht="34" customHeight="1">
      <c r="A208" s="34" t="inlineStr">
        <is>
          <t>Cost &amp; Forecast Control Accounts</t>
        </is>
      </c>
      <c r="B208" s="34" t="inlineStr">
        <is>
          <t>CST-05-022</t>
        </is>
      </c>
      <c r="C208" s="34" t="inlineStr">
        <is>
          <t>Testing &amp; readiness - safety certification - control account</t>
        </is>
      </c>
      <c r="D208" s="34" t="inlineStr">
        <is>
          <t>UNSURE</t>
        </is>
      </c>
      <c r="E208" s="34" t="inlineStr">
        <is>
          <t>Maya Chen, Owner Project Controls</t>
        </is>
      </c>
      <c r="F208" s="34" t="inlineStr">
        <is>
          <t>Professional decision</t>
        </is>
      </c>
    </row>
    <row r="209" ht="34" customHeight="1">
      <c r="A209" s="34" t="inlineStr">
        <is>
          <t>Cost &amp; Forecast Control Accounts</t>
        </is>
      </c>
      <c r="B209" s="34" t="inlineStr">
        <is>
          <t>CST-05-023</t>
        </is>
      </c>
      <c r="C209" s="34" t="inlineStr">
        <is>
          <t>Testing &amp; readiness - defect closeout - control account</t>
        </is>
      </c>
      <c r="D209" s="34" t="inlineStr">
        <is>
          <t>UNSURE</t>
        </is>
      </c>
      <c r="E209" s="34" t="inlineStr">
        <is>
          <t>Maya Chen, Owner Project Controls</t>
        </is>
      </c>
      <c r="F209" s="34" t="inlineStr">
        <is>
          <t>Professional decision</t>
        </is>
      </c>
    </row>
    <row r="210" ht="34" customHeight="1">
      <c r="A210" s="34" t="inlineStr">
        <is>
          <t>Cost &amp; Forecast Control Accounts</t>
        </is>
      </c>
      <c r="B210" s="34" t="inlineStr">
        <is>
          <t>CST-05-024</t>
        </is>
      </c>
      <c r="C210" s="34" t="inlineStr">
        <is>
          <t>Testing &amp; readiness - test management - control account</t>
        </is>
      </c>
      <c r="D210" s="34" t="inlineStr">
        <is>
          <t>UNSURE</t>
        </is>
      </c>
      <c r="E210" s="34" t="inlineStr">
        <is>
          <t>Maya Chen, Owner Project Controls</t>
        </is>
      </c>
      <c r="F210" s="34" t="inlineStr">
        <is>
          <t>Professional decision</t>
        </is>
      </c>
    </row>
    <row r="211" ht="34" customHeight="1">
      <c r="A211" s="34" t="inlineStr">
        <is>
          <t>Cost &amp; Forecast Control Accounts</t>
        </is>
      </c>
      <c r="B211" s="34" t="inlineStr">
        <is>
          <t>CST-05-025</t>
        </is>
      </c>
      <c r="C211" s="34" t="inlineStr">
        <is>
          <t>Testing &amp; readiness - trial running - control account</t>
        </is>
      </c>
      <c r="D211" s="34" t="inlineStr">
        <is>
          <t>UNSURE</t>
        </is>
      </c>
      <c r="E211" s="34" t="inlineStr">
        <is>
          <t>Maya Chen, Owner Project Controls</t>
        </is>
      </c>
      <c r="F211" s="34" t="inlineStr">
        <is>
          <t>Professional decision</t>
        </is>
      </c>
    </row>
    <row r="212" ht="34" customHeight="1">
      <c r="A212" s="34" t="inlineStr">
        <is>
          <t>Cost &amp; Forecast Control Accounts</t>
        </is>
      </c>
      <c r="B212" s="34" t="inlineStr">
        <is>
          <t>CST-05-026</t>
        </is>
      </c>
      <c r="C212" s="34" t="inlineStr">
        <is>
          <t>Testing &amp; readiness - safety certification - control account</t>
        </is>
      </c>
      <c r="D212" s="34" t="inlineStr">
        <is>
          <t>UNSURE</t>
        </is>
      </c>
      <c r="E212" s="34" t="inlineStr">
        <is>
          <t>Maya Chen, Owner Project Controls</t>
        </is>
      </c>
      <c r="F212" s="34" t="inlineStr">
        <is>
          <t>Professional decision</t>
        </is>
      </c>
    </row>
    <row r="213" ht="34" customHeight="1">
      <c r="A213" s="34" t="inlineStr">
        <is>
          <t>Cost &amp; Forecast Control Accounts</t>
        </is>
      </c>
      <c r="B213" s="34" t="inlineStr">
        <is>
          <t>CST-05-027</t>
        </is>
      </c>
      <c r="C213" s="34" t="inlineStr">
        <is>
          <t>Testing &amp; readiness - defect closeout - control account</t>
        </is>
      </c>
      <c r="D213" s="34" t="inlineStr">
        <is>
          <t>UNSURE</t>
        </is>
      </c>
      <c r="E213" s="34" t="inlineStr">
        <is>
          <t>Maya Chen, Owner Project Controls</t>
        </is>
      </c>
      <c r="F213" s="34" t="inlineStr">
        <is>
          <t>Professional decision</t>
        </is>
      </c>
    </row>
    <row r="214" ht="34" customHeight="1">
      <c r="A214" s="34" t="inlineStr">
        <is>
          <t>Cost &amp; Forecast Control Accounts</t>
        </is>
      </c>
      <c r="B214" s="34" t="inlineStr">
        <is>
          <t>CST-05-028</t>
        </is>
      </c>
      <c r="C214" s="34" t="inlineStr">
        <is>
          <t>Testing &amp; readiness - test management - control account</t>
        </is>
      </c>
      <c r="D214" s="34" t="inlineStr">
        <is>
          <t>UNSURE</t>
        </is>
      </c>
      <c r="E214" s="34" t="inlineStr">
        <is>
          <t>Maya Chen, Owner Project Controls</t>
        </is>
      </c>
      <c r="F214" s="34" t="inlineStr">
        <is>
          <t>Professional decision</t>
        </is>
      </c>
    </row>
    <row r="215" ht="34" customHeight="1">
      <c r="A215" s="34" t="inlineStr">
        <is>
          <t>Cost &amp; Forecast Control Accounts</t>
        </is>
      </c>
      <c r="B215" s="34" t="inlineStr">
        <is>
          <t>CST-05-029</t>
        </is>
      </c>
      <c r="C215" s="34" t="inlineStr">
        <is>
          <t>Testing &amp; readiness - trial running - control account</t>
        </is>
      </c>
      <c r="D215" s="34" t="inlineStr">
        <is>
          <t>UNSURE</t>
        </is>
      </c>
      <c r="E215" s="34" t="inlineStr">
        <is>
          <t>Maya Chen, Owner Project Controls</t>
        </is>
      </c>
      <c r="F215" s="34" t="inlineStr">
        <is>
          <t>Professional decision</t>
        </is>
      </c>
    </row>
    <row r="216" ht="34" customHeight="1">
      <c r="A216" s="34" t="inlineStr">
        <is>
          <t>Cost &amp; Forecast Control Accounts</t>
        </is>
      </c>
      <c r="B216" s="34" t="inlineStr">
        <is>
          <t>CST-05-030</t>
        </is>
      </c>
      <c r="C216" s="34" t="inlineStr">
        <is>
          <t>Testing &amp; readiness - safety certification - control account</t>
        </is>
      </c>
      <c r="D216" s="34" t="inlineStr">
        <is>
          <t>UNSURE</t>
        </is>
      </c>
      <c r="E216" s="34" t="inlineStr">
        <is>
          <t>Maya Chen, Owner Project Controls</t>
        </is>
      </c>
      <c r="F216" s="34" t="inlineStr">
        <is>
          <t>Professional decision</t>
        </is>
      </c>
    </row>
    <row r="217" ht="34" customHeight="1">
      <c r="A217" s="34" t="inlineStr">
        <is>
          <t>Cost &amp; Forecast Control Accounts</t>
        </is>
      </c>
      <c r="B217" s="34" t="inlineStr">
        <is>
          <t>CST-05-031</t>
        </is>
      </c>
      <c r="C217" s="34" t="inlineStr">
        <is>
          <t>Testing &amp; readiness - defect closeout - control account</t>
        </is>
      </c>
      <c r="D217" s="34" t="inlineStr">
        <is>
          <t>UNSURE</t>
        </is>
      </c>
      <c r="E217" s="34" t="inlineStr">
        <is>
          <t>Maya Chen, Owner Project Controls</t>
        </is>
      </c>
      <c r="F217" s="34" t="inlineStr">
        <is>
          <t>Professional decision</t>
        </is>
      </c>
    </row>
    <row r="218" ht="34" customHeight="1">
      <c r="A218" s="34" t="inlineStr">
        <is>
          <t>Cost &amp; Forecast Control Accounts</t>
        </is>
      </c>
      <c r="B218" s="34" t="inlineStr">
        <is>
          <t>CST-05-032</t>
        </is>
      </c>
      <c r="C218" s="34" t="inlineStr">
        <is>
          <t>Testing &amp; readiness - test management - control account</t>
        </is>
      </c>
      <c r="D218" s="34" t="inlineStr">
        <is>
          <t>UNSURE</t>
        </is>
      </c>
      <c r="E218" s="34" t="inlineStr">
        <is>
          <t>Maya Chen, Owner Project Controls</t>
        </is>
      </c>
      <c r="F218" s="34" t="inlineStr">
        <is>
          <t>Professional decision</t>
        </is>
      </c>
    </row>
    <row r="219" ht="34" customHeight="1">
      <c r="A219" s="34" t="inlineStr">
        <is>
          <t>Cost &amp; Forecast Control Accounts</t>
        </is>
      </c>
      <c r="B219" s="34" t="inlineStr">
        <is>
          <t>CST-05-033</t>
        </is>
      </c>
      <c r="C219" s="34" t="inlineStr">
        <is>
          <t>Testing &amp; readiness - trial running - control account</t>
        </is>
      </c>
      <c r="D219" s="34" t="inlineStr">
        <is>
          <t>UNSURE</t>
        </is>
      </c>
      <c r="E219" s="34" t="inlineStr">
        <is>
          <t>Maya Chen, Owner Project Controls</t>
        </is>
      </c>
      <c r="F219" s="34" t="inlineStr">
        <is>
          <t>Professional decision</t>
        </is>
      </c>
    </row>
    <row r="220" ht="34" customHeight="1">
      <c r="A220" s="34" t="inlineStr">
        <is>
          <t>Cost &amp; Forecast Control Accounts</t>
        </is>
      </c>
      <c r="B220" s="34" t="inlineStr">
        <is>
          <t>CST-05-034</t>
        </is>
      </c>
      <c r="C220" s="34" t="inlineStr">
        <is>
          <t>Testing &amp; readiness - safety certification - control account</t>
        </is>
      </c>
      <c r="D220" s="34" t="inlineStr">
        <is>
          <t>UNSURE</t>
        </is>
      </c>
      <c r="E220" s="34" t="inlineStr">
        <is>
          <t>Maya Chen, Owner Project Controls</t>
        </is>
      </c>
      <c r="F220" s="34" t="inlineStr">
        <is>
          <t>Professional decision</t>
        </is>
      </c>
    </row>
    <row r="221" ht="34" customHeight="1">
      <c r="A221" s="34" t="inlineStr">
        <is>
          <t>Cost &amp; Forecast Control Accounts</t>
        </is>
      </c>
      <c r="B221" s="34" t="inlineStr">
        <is>
          <t>CST-05-035</t>
        </is>
      </c>
      <c r="C221" s="34" t="inlineStr">
        <is>
          <t>Testing &amp; readiness - defect closeout - control account</t>
        </is>
      </c>
      <c r="D221" s="34" t="inlineStr">
        <is>
          <t>UNSURE</t>
        </is>
      </c>
      <c r="E221" s="34" t="inlineStr">
        <is>
          <t>Maya Chen, Owner Project Controls</t>
        </is>
      </c>
      <c r="F221" s="34" t="inlineStr">
        <is>
          <t>Professional decision</t>
        </is>
      </c>
    </row>
    <row r="222" ht="34" customHeight="1">
      <c r="A222" s="34" t="inlineStr">
        <is>
          <t>Cost &amp; Forecast Control Accounts</t>
        </is>
      </c>
      <c r="B222" s="34" t="inlineStr">
        <is>
          <t>CST-05-036</t>
        </is>
      </c>
      <c r="C222" s="34" t="inlineStr">
        <is>
          <t>Testing &amp; readiness - test management - control account</t>
        </is>
      </c>
      <c r="D222" s="34" t="inlineStr">
        <is>
          <t>UNSURE</t>
        </is>
      </c>
      <c r="E222" s="34" t="inlineStr">
        <is>
          <t>Maya Chen, Owner Project Controls</t>
        </is>
      </c>
      <c r="F222" s="34" t="inlineStr">
        <is>
          <t>Professional decision</t>
        </is>
      </c>
    </row>
    <row r="223" ht="34" customHeight="1">
      <c r="A223" s="34" t="inlineStr">
        <is>
          <t>Cost &amp; Forecast Control Accounts</t>
        </is>
      </c>
      <c r="B223" s="34" t="inlineStr">
        <is>
          <t>CST-05-037</t>
        </is>
      </c>
      <c r="C223" s="34" t="inlineStr">
        <is>
          <t>Testing &amp; readiness - trial running - control account</t>
        </is>
      </c>
      <c r="D223" s="34" t="inlineStr">
        <is>
          <t>UNSURE</t>
        </is>
      </c>
      <c r="E223" s="34" t="inlineStr">
        <is>
          <t>Maya Chen, Owner Project Controls</t>
        </is>
      </c>
      <c r="F223" s="34" t="inlineStr">
        <is>
          <t>Professional decision</t>
        </is>
      </c>
    </row>
    <row r="224" ht="34" customHeight="1">
      <c r="A224" s="34" t="inlineStr">
        <is>
          <t>Cost &amp; Forecast Control Accounts</t>
        </is>
      </c>
      <c r="B224" s="34" t="inlineStr">
        <is>
          <t>CST-05-038</t>
        </is>
      </c>
      <c r="C224" s="34" t="inlineStr">
        <is>
          <t>Testing &amp; readiness - safety certification - control account</t>
        </is>
      </c>
      <c r="D224" s="34" t="inlineStr">
        <is>
          <t>UNSURE</t>
        </is>
      </c>
      <c r="E224" s="34" t="inlineStr">
        <is>
          <t>Maya Chen, Owner Project Controls</t>
        </is>
      </c>
      <c r="F224" s="34" t="inlineStr">
        <is>
          <t>Professional decision</t>
        </is>
      </c>
    </row>
    <row r="225" ht="34" customHeight="1">
      <c r="A225" s="34" t="inlineStr">
        <is>
          <t>Cost &amp; Forecast Control Accounts</t>
        </is>
      </c>
      <c r="B225" s="34" t="inlineStr">
        <is>
          <t>CST-05-039</t>
        </is>
      </c>
      <c r="C225" s="34" t="inlineStr">
        <is>
          <t>Testing &amp; readiness - defect closeout - control account</t>
        </is>
      </c>
      <c r="D225" s="34" t="inlineStr">
        <is>
          <t>UNSURE</t>
        </is>
      </c>
      <c r="E225" s="34" t="inlineStr">
        <is>
          <t>Maya Chen, Owner Project Controls</t>
        </is>
      </c>
      <c r="F225" s="34" t="inlineStr">
        <is>
          <t>Professional decision</t>
        </is>
      </c>
    </row>
    <row r="226" ht="34" customHeight="1">
      <c r="A226" s="34" t="inlineStr">
        <is>
          <t>Cost &amp; Forecast Control Accounts</t>
        </is>
      </c>
      <c r="B226" s="34" t="inlineStr">
        <is>
          <t>CST-05-040</t>
        </is>
      </c>
      <c r="C226" s="34" t="inlineStr">
        <is>
          <t>Testing &amp; readiness - test management - control account</t>
        </is>
      </c>
      <c r="D226" s="34" t="inlineStr">
        <is>
          <t>UNSURE</t>
        </is>
      </c>
      <c r="E226" s="34" t="inlineStr">
        <is>
          <t>Maya Chen, Owner Project Controls</t>
        </is>
      </c>
      <c r="F226" s="34" t="inlineStr">
        <is>
          <t>Professional decision</t>
        </is>
      </c>
    </row>
    <row r="227" ht="34" customHeight="1">
      <c r="A227" s="34" t="inlineStr">
        <is>
          <t>Cost &amp; Forecast Control Accounts</t>
        </is>
      </c>
      <c r="B227" s="34" t="inlineStr">
        <is>
          <t>CST-05-041</t>
        </is>
      </c>
      <c r="C227" s="34" t="inlineStr">
        <is>
          <t>Testing &amp; readiness - trial running - control account</t>
        </is>
      </c>
      <c r="D227" s="34" t="inlineStr">
        <is>
          <t>UNSURE</t>
        </is>
      </c>
      <c r="E227" s="34" t="inlineStr">
        <is>
          <t>Maya Chen, Owner Project Controls</t>
        </is>
      </c>
      <c r="F227" s="34" t="inlineStr">
        <is>
          <t>Professional decision</t>
        </is>
      </c>
    </row>
    <row r="228" ht="34" customHeight="1">
      <c r="A228" s="34" t="inlineStr">
        <is>
          <t>Cost &amp; Forecast Control Accounts</t>
        </is>
      </c>
      <c r="B228" s="34" t="inlineStr">
        <is>
          <t>CST-05-042</t>
        </is>
      </c>
      <c r="C228" s="34" t="inlineStr">
        <is>
          <t>Testing &amp; readiness - safety certification - control account</t>
        </is>
      </c>
      <c r="D228" s="34" t="inlineStr">
        <is>
          <t>UNSURE</t>
        </is>
      </c>
      <c r="E228" s="34" t="inlineStr">
        <is>
          <t>Maya Chen, Owner Project Controls</t>
        </is>
      </c>
      <c r="F228" s="34" t="inlineStr">
        <is>
          <t>Professional decision</t>
        </is>
      </c>
    </row>
    <row r="229" ht="34" customHeight="1">
      <c r="A229" s="34" t="inlineStr">
        <is>
          <t>Cost &amp; Forecast Control Accounts</t>
        </is>
      </c>
      <c r="B229" s="34" t="inlineStr">
        <is>
          <t>CST-05-043</t>
        </is>
      </c>
      <c r="C229" s="34" t="inlineStr">
        <is>
          <t>Testing &amp; readiness - defect closeout - control account</t>
        </is>
      </c>
      <c r="D229" s="34" t="inlineStr">
        <is>
          <t>UNSURE</t>
        </is>
      </c>
      <c r="E229" s="34" t="inlineStr">
        <is>
          <t>Maya Chen, Owner Project Controls</t>
        </is>
      </c>
      <c r="F229" s="34" t="inlineStr">
        <is>
          <t>Professional decision</t>
        </is>
      </c>
    </row>
    <row r="230" ht="34" customHeight="1">
      <c r="A230" s="34" t="inlineStr">
        <is>
          <t>Cost &amp; Forecast Control Accounts</t>
        </is>
      </c>
      <c r="B230" s="34" t="inlineStr">
        <is>
          <t>CST-05-044</t>
        </is>
      </c>
      <c r="C230" s="34" t="inlineStr">
        <is>
          <t>Testing &amp; readiness - test management - control account</t>
        </is>
      </c>
      <c r="D230" s="34" t="inlineStr">
        <is>
          <t>UNSURE</t>
        </is>
      </c>
      <c r="E230" s="34" t="inlineStr">
        <is>
          <t>Maya Chen, Owner Project Controls</t>
        </is>
      </c>
      <c r="F230" s="34" t="inlineStr">
        <is>
          <t>Professional decision</t>
        </is>
      </c>
    </row>
    <row r="231" ht="34" customHeight="1">
      <c r="A231" s="34" t="inlineStr">
        <is>
          <t>Cost &amp; Forecast Control Accounts</t>
        </is>
      </c>
      <c r="B231" s="34" t="inlineStr">
        <is>
          <t>CST-05-045</t>
        </is>
      </c>
      <c r="C231" s="34" t="inlineStr">
        <is>
          <t>Testing &amp; readiness - trial running - control account</t>
        </is>
      </c>
      <c r="D231" s="34" t="inlineStr">
        <is>
          <t>UNSURE</t>
        </is>
      </c>
      <c r="E231" s="34" t="inlineStr">
        <is>
          <t>Maya Chen, Owner Project Controls</t>
        </is>
      </c>
      <c r="F231" s="34" t="inlineStr">
        <is>
          <t>Professional decision</t>
        </is>
      </c>
    </row>
    <row r="232" ht="34" customHeight="1">
      <c r="A232" s="34" t="inlineStr">
        <is>
          <t>Cost &amp; Forecast Control Accounts</t>
        </is>
      </c>
      <c r="B232" s="34" t="inlineStr">
        <is>
          <t>CST-05-046</t>
        </is>
      </c>
      <c r="C232" s="34" t="inlineStr">
        <is>
          <t>Testing &amp; readiness - safety certification - control account</t>
        </is>
      </c>
      <c r="D232" s="34" t="inlineStr">
        <is>
          <t>UNSURE</t>
        </is>
      </c>
      <c r="E232" s="34" t="inlineStr">
        <is>
          <t>Maya Chen, Owner Project Controls</t>
        </is>
      </c>
      <c r="F232" s="34" t="inlineStr">
        <is>
          <t>Professional decision</t>
        </is>
      </c>
    </row>
    <row r="233" ht="34" customHeight="1">
      <c r="A233" s="34" t="inlineStr">
        <is>
          <t>Cost &amp; Forecast Control Accounts</t>
        </is>
      </c>
      <c r="B233" s="34" t="inlineStr">
        <is>
          <t>CST-05-047</t>
        </is>
      </c>
      <c r="C233" s="34" t="inlineStr">
        <is>
          <t>Testing &amp; readiness - defect closeout - control account</t>
        </is>
      </c>
      <c r="D233" s="34" t="inlineStr">
        <is>
          <t>UNSURE</t>
        </is>
      </c>
      <c r="E233" s="34" t="inlineStr">
        <is>
          <t>Maya Chen, Owner Project Controls</t>
        </is>
      </c>
      <c r="F233" s="34" t="inlineStr">
        <is>
          <t>Professional decision</t>
        </is>
      </c>
    </row>
    <row r="234" ht="34" customHeight="1">
      <c r="A234" s="34" t="inlineStr">
        <is>
          <t>Cost &amp; Forecast Control Accounts</t>
        </is>
      </c>
      <c r="B234" s="34" t="inlineStr">
        <is>
          <t>CST-05-048</t>
        </is>
      </c>
      <c r="C234" s="34" t="inlineStr">
        <is>
          <t>Testing &amp; readiness - test management - control account</t>
        </is>
      </c>
      <c r="D234" s="34" t="inlineStr">
        <is>
          <t>UNSURE</t>
        </is>
      </c>
      <c r="E234" s="34" t="inlineStr">
        <is>
          <t>Maya Chen, Owner Project Controls</t>
        </is>
      </c>
      <c r="F234" s="34" t="inlineStr">
        <is>
          <t>Professional decision</t>
        </is>
      </c>
    </row>
    <row r="235" ht="34" customHeight="1">
      <c r="A235" s="34" t="inlineStr">
        <is>
          <t>Cost &amp; Forecast Control Accounts</t>
        </is>
      </c>
      <c r="B235" s="34" t="inlineStr">
        <is>
          <t>CST-05-049</t>
        </is>
      </c>
      <c r="C235" s="34" t="inlineStr">
        <is>
          <t>Testing &amp; readiness - trial running - control account</t>
        </is>
      </c>
      <c r="D235" s="34" t="inlineStr">
        <is>
          <t>UNSURE</t>
        </is>
      </c>
      <c r="E235" s="34" t="inlineStr">
        <is>
          <t>Maya Chen, Owner Project Controls</t>
        </is>
      </c>
      <c r="F235" s="34" t="inlineStr">
        <is>
          <t>Professional decision</t>
        </is>
      </c>
    </row>
    <row r="236" ht="34" customHeight="1">
      <c r="A236" s="34" t="inlineStr">
        <is>
          <t>Cost &amp; Forecast Control Accounts</t>
        </is>
      </c>
      <c r="B236" s="34" t="inlineStr">
        <is>
          <t>CST-05-050</t>
        </is>
      </c>
      <c r="C236" s="34" t="inlineStr">
        <is>
          <t>Testing &amp; readiness - safety certification - control account</t>
        </is>
      </c>
      <c r="D236" s="34" t="inlineStr">
        <is>
          <t>UNSURE</t>
        </is>
      </c>
      <c r="E236" s="34" t="inlineStr">
        <is>
          <t>Maya Chen, Owner Project Controls</t>
        </is>
      </c>
      <c r="F236" s="34" t="inlineStr">
        <is>
          <t>Professional decision</t>
        </is>
      </c>
    </row>
    <row r="237" ht="34" customHeight="1">
      <c r="A237" s="34" t="inlineStr">
        <is>
          <t>Cost &amp; Forecast Control Accounts</t>
        </is>
      </c>
      <c r="B237" s="34" t="inlineStr">
        <is>
          <t>CST-05-051</t>
        </is>
      </c>
      <c r="C237" s="34" t="inlineStr">
        <is>
          <t>Testing &amp; readiness - defect closeout - control account</t>
        </is>
      </c>
      <c r="D237" s="34" t="inlineStr">
        <is>
          <t>UNSURE</t>
        </is>
      </c>
      <c r="E237" s="34" t="inlineStr">
        <is>
          <t>Maya Chen, Owner Project Controls</t>
        </is>
      </c>
      <c r="F237" s="34" t="inlineStr">
        <is>
          <t>Professional decision</t>
        </is>
      </c>
    </row>
    <row r="238" ht="34" customHeight="1">
      <c r="A238" s="34" t="inlineStr">
        <is>
          <t>Cost &amp; Forecast Control Accounts</t>
        </is>
      </c>
      <c r="B238" s="34" t="inlineStr">
        <is>
          <t>CST-05-052</t>
        </is>
      </c>
      <c r="C238" s="34" t="inlineStr">
        <is>
          <t>Testing &amp; readiness - test management - control account</t>
        </is>
      </c>
      <c r="D238" s="34" t="inlineStr">
        <is>
          <t>UNSURE</t>
        </is>
      </c>
      <c r="E238" s="34" t="inlineStr">
        <is>
          <t>Maya Chen, Owner Project Controls</t>
        </is>
      </c>
      <c r="F238" s="34" t="inlineStr">
        <is>
          <t>Professional decision</t>
        </is>
      </c>
    </row>
    <row r="239" ht="34" customHeight="1">
      <c r="A239" s="34" t="inlineStr">
        <is>
          <t>Cost &amp; Forecast Control Accounts</t>
        </is>
      </c>
      <c r="B239" s="34" t="inlineStr">
        <is>
          <t>CST-05-053</t>
        </is>
      </c>
      <c r="C239" s="34" t="inlineStr">
        <is>
          <t>Testing &amp; readiness - trial running - control account</t>
        </is>
      </c>
      <c r="D239" s="34" t="inlineStr">
        <is>
          <t>UNSURE</t>
        </is>
      </c>
      <c r="E239" s="34" t="inlineStr">
        <is>
          <t>Maya Chen, Owner Project Controls</t>
        </is>
      </c>
      <c r="F239" s="34" t="inlineStr">
        <is>
          <t>Professional decision</t>
        </is>
      </c>
    </row>
    <row r="240" ht="34" customHeight="1">
      <c r="A240" s="34" t="inlineStr">
        <is>
          <t>Cost &amp; Forecast Control Accounts</t>
        </is>
      </c>
      <c r="B240" s="34" t="inlineStr">
        <is>
          <t>CST-05-054</t>
        </is>
      </c>
      <c r="C240" s="34" t="inlineStr">
        <is>
          <t>Testing &amp; readiness - safety certification - control account</t>
        </is>
      </c>
      <c r="D240" s="34" t="inlineStr">
        <is>
          <t>UNSURE</t>
        </is>
      </c>
      <c r="E240" s="34" t="inlineStr">
        <is>
          <t>Maya Chen, Owner Project Controls</t>
        </is>
      </c>
      <c r="F240" s="34" t="inlineStr">
        <is>
          <t>Professional decision</t>
        </is>
      </c>
    </row>
    <row r="241" ht="34" customHeight="1">
      <c r="A241" s="34" t="inlineStr">
        <is>
          <t>Cost &amp; Forecast Control Accounts</t>
        </is>
      </c>
      <c r="B241" s="34" t="inlineStr">
        <is>
          <t>CST-05-055</t>
        </is>
      </c>
      <c r="C241" s="34" t="inlineStr">
        <is>
          <t>Testing &amp; readiness - defect closeout - control account</t>
        </is>
      </c>
      <c r="D241" s="34" t="inlineStr">
        <is>
          <t>UNSURE</t>
        </is>
      </c>
      <c r="E241" s="34" t="inlineStr">
        <is>
          <t>Maya Chen, Owner Project Controls</t>
        </is>
      </c>
      <c r="F241" s="34" t="inlineStr">
        <is>
          <t>Professional decision</t>
        </is>
      </c>
    </row>
    <row r="242" ht="34" customHeight="1">
      <c r="A242" s="34" t="inlineStr">
        <is>
          <t>Cost &amp; Forecast Control Accounts</t>
        </is>
      </c>
      <c r="B242" s="34" t="inlineStr">
        <is>
          <t>CST-05-056</t>
        </is>
      </c>
      <c r="C242" s="34" t="inlineStr">
        <is>
          <t>Testing &amp; readiness - test management - control account</t>
        </is>
      </c>
      <c r="D242" s="34" t="inlineStr">
        <is>
          <t>UNSURE</t>
        </is>
      </c>
      <c r="E242" s="34" t="inlineStr">
        <is>
          <t>Maya Chen, Owner Project Controls</t>
        </is>
      </c>
      <c r="F242" s="34" t="inlineStr">
        <is>
          <t>Professional decision</t>
        </is>
      </c>
    </row>
    <row r="243" ht="34" customHeight="1">
      <c r="A243" s="34" t="inlineStr">
        <is>
          <t>Cost &amp; Forecast Control Accounts</t>
        </is>
      </c>
      <c r="B243" s="34" t="inlineStr">
        <is>
          <t>CST-05-057</t>
        </is>
      </c>
      <c r="C243" s="34" t="inlineStr">
        <is>
          <t>Testing &amp; readiness - trial running - control account</t>
        </is>
      </c>
      <c r="D243" s="34" t="inlineStr">
        <is>
          <t>UNSURE</t>
        </is>
      </c>
      <c r="E243" s="34" t="inlineStr">
        <is>
          <t>Maya Chen, Owner Project Controls</t>
        </is>
      </c>
      <c r="F243" s="34" t="inlineStr">
        <is>
          <t>Professional decision</t>
        </is>
      </c>
    </row>
    <row r="244" ht="34" customHeight="1">
      <c r="A244" s="34" t="inlineStr">
        <is>
          <t>Cost &amp; Forecast Control Accounts</t>
        </is>
      </c>
      <c r="B244" s="34" t="inlineStr">
        <is>
          <t>CST-05-058</t>
        </is>
      </c>
      <c r="C244" s="34" t="inlineStr">
        <is>
          <t>Testing &amp; readiness - safety certification - control account</t>
        </is>
      </c>
      <c r="D244" s="34" t="inlineStr">
        <is>
          <t>UNSURE</t>
        </is>
      </c>
      <c r="E244" s="34" t="inlineStr">
        <is>
          <t>Maya Chen, Owner Project Controls</t>
        </is>
      </c>
      <c r="F244" s="34" t="inlineStr">
        <is>
          <t>Professional decision</t>
        </is>
      </c>
    </row>
    <row r="245" ht="34" customHeight="1">
      <c r="A245" s="34" t="inlineStr">
        <is>
          <t>Cost &amp; Forecast Control Accounts</t>
        </is>
      </c>
      <c r="B245" s="34" t="inlineStr">
        <is>
          <t>CST-05-059</t>
        </is>
      </c>
      <c r="C245" s="34" t="inlineStr">
        <is>
          <t>Testing &amp; readiness - defect closeout - control account</t>
        </is>
      </c>
      <c r="D245" s="34" t="inlineStr">
        <is>
          <t>UNSURE</t>
        </is>
      </c>
      <c r="E245" s="34" t="inlineStr">
        <is>
          <t>Maya Chen, Owner Project Controls</t>
        </is>
      </c>
      <c r="F245" s="34" t="inlineStr">
        <is>
          <t>Professional decision</t>
        </is>
      </c>
    </row>
    <row r="246" ht="34" customHeight="1">
      <c r="A246" s="34" t="inlineStr">
        <is>
          <t>Cost &amp; Forecast Control Accounts</t>
        </is>
      </c>
      <c r="B246" s="34" t="inlineStr">
        <is>
          <t>CST-05-060</t>
        </is>
      </c>
      <c r="C246" s="34" t="inlineStr">
        <is>
          <t>Testing &amp; readiness - test management - control account</t>
        </is>
      </c>
      <c r="D246" s="34" t="inlineStr">
        <is>
          <t>UNSURE</t>
        </is>
      </c>
      <c r="E246" s="34" t="inlineStr">
        <is>
          <t>Maya Chen, Owner Project Controls</t>
        </is>
      </c>
      <c r="F246" s="34" t="inlineStr">
        <is>
          <t>Professional decision</t>
        </is>
      </c>
    </row>
    <row r="247" ht="34" customHeight="1">
      <c r="A247" s="34" t="inlineStr">
        <is>
          <t>Cost &amp; Forecast Control Accounts</t>
        </is>
      </c>
      <c r="B247" s="34" t="inlineStr">
        <is>
          <t>CST-05-061</t>
        </is>
      </c>
      <c r="C247" s="34" t="inlineStr">
        <is>
          <t>Testing &amp; readiness - trial running - control account</t>
        </is>
      </c>
      <c r="D247" s="34" t="inlineStr">
        <is>
          <t>UNSURE</t>
        </is>
      </c>
      <c r="E247" s="34" t="inlineStr">
        <is>
          <t>Maya Chen, Owner Project Controls</t>
        </is>
      </c>
      <c r="F247" s="34" t="inlineStr">
        <is>
          <t>Professional decision</t>
        </is>
      </c>
    </row>
    <row r="248" ht="34" customHeight="1">
      <c r="A248" s="34" t="inlineStr">
        <is>
          <t>Cost &amp; Forecast Control Accounts</t>
        </is>
      </c>
      <c r="B248" s="34" t="inlineStr">
        <is>
          <t>CST-05-062</t>
        </is>
      </c>
      <c r="C248" s="34" t="inlineStr">
        <is>
          <t>Testing &amp; readiness - safety certification - control account</t>
        </is>
      </c>
      <c r="D248" s="34" t="inlineStr">
        <is>
          <t>UNSURE</t>
        </is>
      </c>
      <c r="E248" s="34" t="inlineStr">
        <is>
          <t>Maya Chen, Owner Project Controls</t>
        </is>
      </c>
      <c r="F248" s="34" t="inlineStr">
        <is>
          <t>Professional decision</t>
        </is>
      </c>
    </row>
    <row r="249" ht="34" customHeight="1">
      <c r="A249" s="34" t="inlineStr">
        <is>
          <t>Cost &amp; Forecast Control Accounts</t>
        </is>
      </c>
      <c r="B249" s="34" t="inlineStr">
        <is>
          <t>CST-05-063</t>
        </is>
      </c>
      <c r="C249" s="34" t="inlineStr">
        <is>
          <t>Testing &amp; readiness - defect closeout - control account</t>
        </is>
      </c>
      <c r="D249" s="34" t="inlineStr">
        <is>
          <t>UNSURE</t>
        </is>
      </c>
      <c r="E249" s="34" t="inlineStr">
        <is>
          <t>Maya Chen, Owner Project Controls</t>
        </is>
      </c>
      <c r="F249" s="34" t="inlineStr">
        <is>
          <t>Professional decision</t>
        </is>
      </c>
    </row>
    <row r="250" ht="34" customHeight="1">
      <c r="A250" s="34" t="inlineStr">
        <is>
          <t>Cost &amp; Forecast Control Accounts</t>
        </is>
      </c>
      <c r="B250" s="34" t="inlineStr">
        <is>
          <t>CST-05-064</t>
        </is>
      </c>
      <c r="C250" s="34" t="inlineStr">
        <is>
          <t>Testing &amp; readiness - test management - control account</t>
        </is>
      </c>
      <c r="D250" s="34" t="inlineStr">
        <is>
          <t>UNSURE</t>
        </is>
      </c>
      <c r="E250" s="34" t="inlineStr">
        <is>
          <t>Maya Chen, Owner Project Controls</t>
        </is>
      </c>
      <c r="F250" s="34" t="inlineStr">
        <is>
          <t>Professional decision</t>
        </is>
      </c>
    </row>
    <row r="251" ht="34" customHeight="1">
      <c r="A251" s="34" t="inlineStr">
        <is>
          <t>Cost &amp; Forecast Control Accounts</t>
        </is>
      </c>
      <c r="B251" s="34" t="inlineStr">
        <is>
          <t>CST-05-065</t>
        </is>
      </c>
      <c r="C251" s="34" t="inlineStr">
        <is>
          <t>Testing &amp; readiness - trial running - control account</t>
        </is>
      </c>
      <c r="D251" s="34" t="inlineStr">
        <is>
          <t>UNSURE</t>
        </is>
      </c>
      <c r="E251" s="34" t="inlineStr">
        <is>
          <t>Maya Chen, Owner Project Controls</t>
        </is>
      </c>
      <c r="F251" s="34" t="inlineStr">
        <is>
          <t>Professional decision</t>
        </is>
      </c>
    </row>
    <row r="252" ht="34" customHeight="1">
      <c r="A252" s="34" t="inlineStr">
        <is>
          <t>Cost &amp; Forecast Control Accounts</t>
        </is>
      </c>
      <c r="B252" s="34" t="inlineStr">
        <is>
          <t>CST-05-066</t>
        </is>
      </c>
      <c r="C252" s="34" t="inlineStr">
        <is>
          <t>Testing &amp; readiness - safety certification - control account</t>
        </is>
      </c>
      <c r="D252" s="34" t="inlineStr">
        <is>
          <t>UNSURE</t>
        </is>
      </c>
      <c r="E252" s="34" t="inlineStr">
        <is>
          <t>Maya Chen, Owner Project Controls</t>
        </is>
      </c>
      <c r="F252" s="34" t="inlineStr">
        <is>
          <t>Professional decision</t>
        </is>
      </c>
    </row>
    <row r="253" ht="34" customHeight="1">
      <c r="A253" s="34" t="inlineStr">
        <is>
          <t>Cost &amp; Forecast Control Accounts</t>
        </is>
      </c>
      <c r="B253" s="34" t="inlineStr">
        <is>
          <t>CST-05-067</t>
        </is>
      </c>
      <c r="C253" s="34" t="inlineStr">
        <is>
          <t>Testing &amp; readiness - defect closeout - control account</t>
        </is>
      </c>
      <c r="D253" s="34" t="inlineStr">
        <is>
          <t>UNSURE</t>
        </is>
      </c>
      <c r="E253" s="34" t="inlineStr">
        <is>
          <t>Maya Chen, Owner Project Controls</t>
        </is>
      </c>
      <c r="F253" s="34" t="inlineStr">
        <is>
          <t>Professional decision</t>
        </is>
      </c>
    </row>
    <row r="254" ht="34" customHeight="1">
      <c r="A254" s="34" t="inlineStr">
        <is>
          <t>Cost &amp; Forecast Control Accounts</t>
        </is>
      </c>
      <c r="B254" s="34" t="inlineStr">
        <is>
          <t>CST-05-068</t>
        </is>
      </c>
      <c r="C254" s="34" t="inlineStr">
        <is>
          <t>Testing &amp; readiness - test management - control account</t>
        </is>
      </c>
      <c r="D254" s="34" t="inlineStr">
        <is>
          <t>UNSURE</t>
        </is>
      </c>
      <c r="E254" s="34" t="inlineStr">
        <is>
          <t>Maya Chen, Owner Project Controls</t>
        </is>
      </c>
      <c r="F254" s="34" t="inlineStr">
        <is>
          <t>Professional decision</t>
        </is>
      </c>
    </row>
    <row r="255" ht="34" customHeight="1">
      <c r="A255" s="34" t="inlineStr">
        <is>
          <t>Cost &amp; Forecast Control Accounts</t>
        </is>
      </c>
      <c r="B255" s="34" t="inlineStr">
        <is>
          <t>CST-05-069</t>
        </is>
      </c>
      <c r="C255" s="34" t="inlineStr">
        <is>
          <t>Testing &amp; readiness - trial running - control account</t>
        </is>
      </c>
      <c r="D255" s="34" t="inlineStr">
        <is>
          <t>UNSURE</t>
        </is>
      </c>
      <c r="E255" s="34" t="inlineStr">
        <is>
          <t>Maya Chen, Owner Project Controls</t>
        </is>
      </c>
      <c r="F255" s="34" t="inlineStr">
        <is>
          <t>Professional decision</t>
        </is>
      </c>
    </row>
    <row r="256" ht="34" customHeight="1">
      <c r="A256" s="34" t="inlineStr">
        <is>
          <t>Cost &amp; Forecast Control Accounts</t>
        </is>
      </c>
      <c r="B256" s="34" t="inlineStr">
        <is>
          <t>CST-05-070</t>
        </is>
      </c>
      <c r="C256" s="34" t="inlineStr">
        <is>
          <t>Testing &amp; readiness - safety certification - control account</t>
        </is>
      </c>
      <c r="D256" s="34" t="inlineStr">
        <is>
          <t>UNSURE</t>
        </is>
      </c>
      <c r="E256" s="34" t="inlineStr">
        <is>
          <t>Maya Chen, Owner Project Controls</t>
        </is>
      </c>
      <c r="F256" s="34" t="inlineStr">
        <is>
          <t>Professional decision</t>
        </is>
      </c>
    </row>
    <row r="257" ht="34" customHeight="1">
      <c r="A257" s="34" t="inlineStr">
        <is>
          <t>Cost &amp; Forecast Control Accounts</t>
        </is>
      </c>
      <c r="B257" s="34" t="inlineStr">
        <is>
          <t>CST-05-071</t>
        </is>
      </c>
      <c r="C257" s="34" t="inlineStr">
        <is>
          <t>Testing &amp; readiness - defect closeout - control account</t>
        </is>
      </c>
      <c r="D257" s="34" t="inlineStr">
        <is>
          <t>UNSURE</t>
        </is>
      </c>
      <c r="E257" s="34" t="inlineStr">
        <is>
          <t>Maya Chen, Owner Project Controls</t>
        </is>
      </c>
      <c r="F257" s="34" t="inlineStr">
        <is>
          <t>Professional decision</t>
        </is>
      </c>
    </row>
    <row r="258" ht="34" customHeight="1">
      <c r="A258" s="34" t="inlineStr">
        <is>
          <t>Cost &amp; Forecast Control Accounts</t>
        </is>
      </c>
      <c r="B258" s="34" t="inlineStr">
        <is>
          <t>CST-05-072</t>
        </is>
      </c>
      <c r="C258" s="34" t="inlineStr">
        <is>
          <t>Testing &amp; readiness - test management - control account</t>
        </is>
      </c>
      <c r="D258" s="34" t="inlineStr">
        <is>
          <t>UNSURE</t>
        </is>
      </c>
      <c r="E258" s="34" t="inlineStr">
        <is>
          <t>Maya Chen, Owner Project Controls</t>
        </is>
      </c>
      <c r="F258" s="34" t="inlineStr">
        <is>
          <t>Professional decision</t>
        </is>
      </c>
    </row>
    <row r="259" ht="34" customHeight="1">
      <c r="A259" s="34" t="inlineStr">
        <is>
          <t>Cost &amp; Forecast Control Accounts</t>
        </is>
      </c>
      <c r="B259" s="34" t="inlineStr">
        <is>
          <t>CST-05-073</t>
        </is>
      </c>
      <c r="C259" s="34" t="inlineStr">
        <is>
          <t>Testing &amp; readiness - trial running - control account</t>
        </is>
      </c>
      <c r="D259" s="34" t="inlineStr">
        <is>
          <t>UNSURE</t>
        </is>
      </c>
      <c r="E259" s="34" t="inlineStr">
        <is>
          <t>Maya Chen, Owner Project Controls</t>
        </is>
      </c>
      <c r="F259" s="34" t="inlineStr">
        <is>
          <t>Professional decision</t>
        </is>
      </c>
    </row>
    <row r="260" ht="34" customHeight="1">
      <c r="A260" s="34" t="inlineStr">
        <is>
          <t>Cost &amp; Forecast Control Accounts</t>
        </is>
      </c>
      <c r="B260" s="34" t="inlineStr">
        <is>
          <t>CST-05-074</t>
        </is>
      </c>
      <c r="C260" s="34" t="inlineStr">
        <is>
          <t>Testing &amp; readiness - safety certification - control account</t>
        </is>
      </c>
      <c r="D260" s="34" t="inlineStr">
        <is>
          <t>UNSURE</t>
        </is>
      </c>
      <c r="E260" s="34" t="inlineStr">
        <is>
          <t>Maya Chen, Owner Project Controls</t>
        </is>
      </c>
      <c r="F260" s="34" t="inlineStr">
        <is>
          <t>Professional decision</t>
        </is>
      </c>
    </row>
    <row r="261" ht="34" customHeight="1">
      <c r="A261" s="34" t="inlineStr">
        <is>
          <t>Cost &amp; Forecast Control Accounts</t>
        </is>
      </c>
      <c r="B261" s="34" t="inlineStr">
        <is>
          <t>CST-05-075</t>
        </is>
      </c>
      <c r="C261" s="34" t="inlineStr">
        <is>
          <t>Testing &amp; readiness - defect closeout - control account</t>
        </is>
      </c>
      <c r="D261" s="34" t="inlineStr">
        <is>
          <t>UNSURE</t>
        </is>
      </c>
      <c r="E261" s="34" t="inlineStr">
        <is>
          <t>Maya Chen, Owner Project Controls</t>
        </is>
      </c>
      <c r="F261" s="34" t="inlineStr">
        <is>
          <t>Professional decision</t>
        </is>
      </c>
    </row>
    <row r="262" ht="34" customHeight="1">
      <c r="A262" s="34" t="inlineStr">
        <is>
          <t>Cost &amp; Forecast Control Accounts</t>
        </is>
      </c>
      <c r="B262" s="34" t="inlineStr">
        <is>
          <t>CST-05-076</t>
        </is>
      </c>
      <c r="C262" s="34" t="inlineStr">
        <is>
          <t>Testing &amp; readiness - test management - control account</t>
        </is>
      </c>
      <c r="D262" s="34" t="inlineStr">
        <is>
          <t>UNSURE</t>
        </is>
      </c>
      <c r="E262" s="34" t="inlineStr">
        <is>
          <t>Maya Chen, Owner Project Controls</t>
        </is>
      </c>
      <c r="F262" s="34" t="inlineStr">
        <is>
          <t>Professional decision</t>
        </is>
      </c>
    </row>
    <row r="263" ht="34" customHeight="1">
      <c r="A263" s="34" t="inlineStr">
        <is>
          <t>Cost &amp; Forecast Control Accounts</t>
        </is>
      </c>
      <c r="B263" s="34" t="inlineStr">
        <is>
          <t>CST-05-077</t>
        </is>
      </c>
      <c r="C263" s="34" t="inlineStr">
        <is>
          <t>Testing &amp; readiness - trial running - control account</t>
        </is>
      </c>
      <c r="D263" s="34" t="inlineStr">
        <is>
          <t>UNSURE</t>
        </is>
      </c>
      <c r="E263" s="34" t="inlineStr">
        <is>
          <t>Maya Chen, Owner Project Controls</t>
        </is>
      </c>
      <c r="F263" s="34" t="inlineStr">
        <is>
          <t>Professional decision</t>
        </is>
      </c>
    </row>
    <row r="264" ht="34" customHeight="1">
      <c r="A264" s="34" t="inlineStr">
        <is>
          <t>Cost &amp; Forecast Control Accounts</t>
        </is>
      </c>
      <c r="B264" s="34" t="inlineStr">
        <is>
          <t>CST-05-078</t>
        </is>
      </c>
      <c r="C264" s="34" t="inlineStr">
        <is>
          <t>Testing &amp; readiness - safety certification - control account</t>
        </is>
      </c>
      <c r="D264" s="34" t="inlineStr">
        <is>
          <t>UNSURE</t>
        </is>
      </c>
      <c r="E264" s="34" t="inlineStr">
        <is>
          <t>Maya Chen, Owner Project Controls</t>
        </is>
      </c>
      <c r="F264" s="34" t="inlineStr">
        <is>
          <t>Professional decision</t>
        </is>
      </c>
    </row>
    <row r="265" ht="34" customHeight="1">
      <c r="A265" s="34" t="inlineStr">
        <is>
          <t>Cost &amp; Forecast Control Accounts</t>
        </is>
      </c>
      <c r="B265" s="34" t="inlineStr">
        <is>
          <t>CST-05-079</t>
        </is>
      </c>
      <c r="C265" s="34" t="inlineStr">
        <is>
          <t>Testing &amp; readiness - defect closeout - control account</t>
        </is>
      </c>
      <c r="D265" s="34" t="inlineStr">
        <is>
          <t>UNSURE</t>
        </is>
      </c>
      <c r="E265" s="34" t="inlineStr">
        <is>
          <t>Maya Chen, Owner Project Controls</t>
        </is>
      </c>
      <c r="F265" s="34" t="inlineStr">
        <is>
          <t>Professional decision</t>
        </is>
      </c>
    </row>
    <row r="266" ht="34" customHeight="1">
      <c r="A266" s="34" t="inlineStr">
        <is>
          <t>Cost &amp; Forecast Control Accounts</t>
        </is>
      </c>
      <c r="B266" s="34" t="inlineStr">
        <is>
          <t>CST-05-080</t>
        </is>
      </c>
      <c r="C266" s="34" t="inlineStr">
        <is>
          <t>Testing &amp; readiness - test management - control account</t>
        </is>
      </c>
      <c r="D266" s="34" t="inlineStr">
        <is>
          <t>UNSURE</t>
        </is>
      </c>
      <c r="E266" s="34" t="inlineStr">
        <is>
          <t>Maya Chen, Owner Project Controls</t>
        </is>
      </c>
      <c r="F266" s="34" t="inlineStr">
        <is>
          <t>Professional decision</t>
        </is>
      </c>
    </row>
  </sheetData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E8"/>
  <sheetViews>
    <sheetView showGridLines="0" tabSelected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4" customWidth="1" min="4" max="4"/>
    <col width="22" customWidth="1" min="5" max="5"/>
  </cols>
  <sheetData>
    <row r="1" ht="34" customHeight="1">
      <c r="A1" s="28" t="inlineStr">
        <is>
          <t>Mapping versions</t>
        </is>
      </c>
    </row>
    <row r="2" ht="30" customHeight="1">
      <c r="A2" s="91" t="inlineStr">
        <is>
          <t>Mapping Version</t>
        </is>
      </c>
      <c r="B2" s="91" t="inlineStr">
        <is>
          <t>Status</t>
        </is>
      </c>
      <c r="C2" s="91" t="inlineStr">
        <is>
          <t>Purpose</t>
        </is>
      </c>
      <c r="D2" s="91" t="inlineStr">
        <is>
          <t>Approved By</t>
        </is>
      </c>
      <c r="E2" s="91" t="inlineStr">
        <is>
          <t>Approved (UTC)</t>
        </is>
      </c>
    </row>
    <row r="3" ht="34" customHeight="1">
      <c r="A3" s="34" t="inlineStr">
        <is>
          <t>MV-1</t>
        </is>
      </c>
      <c r="B3" s="34" t="inlineStr">
        <is>
          <t>SUPERSEDED</t>
        </is>
      </c>
      <c r="C3" s="34" t="inlineStr">
        <is>
          <t>REPORTING</t>
        </is>
      </c>
      <c r="D3" s="34" t="inlineStr">
        <is>
          <t>Maya Chen, Owner Project Controls</t>
        </is>
      </c>
      <c r="E3" s="34" t="inlineStr">
        <is>
          <t>2026-10-12 14:25</t>
        </is>
      </c>
    </row>
    <row r="4" ht="34" customHeight="1">
      <c r="A4" s="34" t="inlineStr">
        <is>
          <t>MV-2</t>
        </is>
      </c>
      <c r="B4" s="34" t="inlineStr">
        <is>
          <t>APPROVED</t>
        </is>
      </c>
      <c r="C4" s="34" t="inlineStr">
        <is>
          <t>REPORTING</t>
        </is>
      </c>
      <c r="D4" s="34" t="inlineStr">
        <is>
          <t>Maya Chen, Owner Project Controls</t>
        </is>
      </c>
      <c r="E4" s="34" t="inlineStr">
        <is>
          <t>2026-10-12 14:28</t>
        </is>
      </c>
    </row>
    <row r="6" ht="19" customHeight="1">
      <c r="A6" s="28" t="inlineStr">
        <is>
          <t>WBS versions</t>
        </is>
      </c>
    </row>
    <row r="7" ht="34" customHeight="1">
      <c r="A7" s="91" t="inlineStr">
        <is>
          <t>WBS Version</t>
        </is>
      </c>
      <c r="B7" s="91" t="inlineStr">
        <is>
          <t>Status</t>
        </is>
      </c>
      <c r="C7" s="91" t="inlineStr">
        <is>
          <t>Approved By</t>
        </is>
      </c>
      <c r="D7" s="91" t="inlineStr">
        <is>
          <t>Effective From (UTC)</t>
        </is>
      </c>
      <c r="E7" s="91" t="inlineStr">
        <is>
          <t>Effective To (UTC)</t>
        </is>
      </c>
    </row>
    <row r="8" ht="49" customHeight="1">
      <c r="A8" s="95" t="n">
        <v>1</v>
      </c>
      <c r="B8" s="34" t="inlineStr">
        <is>
          <t>ACTIVE</t>
        </is>
      </c>
      <c r="C8" s="34" t="inlineStr">
        <is>
          <t>Maya Chen, Owner Project Controls</t>
        </is>
      </c>
      <c r="D8" s="34" t="inlineStr">
        <is>
          <t>2026-10-12 14:24</t>
        </is>
      </c>
      <c r="E8" s="39" t="inlineStr"/>
    </row>
  </sheetData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8B8F97"/>
    <outlinePr summaryBelow="0" summaryRight="0"/>
    <pageSetUpPr fitToPage="1"/>
  </sheetPr>
  <dimension ref="A1:B40"/>
  <sheetViews>
    <sheetView showGridLines="0" tabSelected="0" zoomScale="100" zoomScaleNormal="100"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 ht="19" customHeight="1">
      <c r="A1" s="82" t="inlineStr">
        <is>
          <t>WBS↔LINK by ZP Synergy Group</t>
        </is>
      </c>
    </row>
    <row r="2" ht="45" customHeight="1">
      <c r="A2" s="113" t="inlineStr">
        <is>
          <t>SUPPORTING SUMMARY: legacy reconciliation detail</t>
        </is>
      </c>
    </row>
    <row r="3" ht="49" customHeight="1">
      <c r="A3" s="33" t="inlineStr">
        <is>
          <t>EXECUTIVE VIEW is the primary management summary. This sheet preserves established reconciliation detail.</t>
        </is>
      </c>
    </row>
    <row r="5" ht="19" customHeight="1">
      <c r="A5" s="86" t="inlineStr">
        <is>
          <t>Project</t>
        </is>
      </c>
      <c r="B5" s="22" t="inlineStr">
        <is>
          <t>HarbourLink Urban Transit Expansion</t>
        </is>
      </c>
    </row>
    <row r="6" ht="19" customHeight="1">
      <c r="A6" s="86" t="inlineStr">
        <is>
          <t>Approval state</t>
        </is>
      </c>
      <c r="B6" s="22" t="inlineStr">
        <is>
          <t>APPROVED -- Maya Chen, Owner Project Controls, 2026-10-12 14:25 UTC</t>
        </is>
      </c>
    </row>
    <row r="7" ht="34" customHeight="1">
      <c r="A7" s="86" t="inlineStr">
        <is>
          <t>Data date</t>
        </is>
      </c>
      <c r="B7" s="22" t="inlineStr">
        <is>
          <t>2027-06-30 (Contractor Programme Rev 0); 2027-06-30 (Cost &amp; Forecast Control Accounts Rev 0); 2027-06-30 (Commercial Package Register Rev 0)</t>
        </is>
      </c>
    </row>
    <row r="8" ht="19" customHeight="1">
      <c r="A8" s="86" t="inlineStr">
        <is>
          <t>Generated (UTC)</t>
        </is>
      </c>
      <c r="B8" s="22" t="inlineStr">
        <is>
          <t>2026-10-13 13:45</t>
        </is>
      </c>
    </row>
    <row r="9" ht="19" customHeight="1">
      <c r="A9" s="86" t="inlineStr">
        <is>
          <t>Mapping version</t>
        </is>
      </c>
      <c r="B9" s="22" t="inlineStr">
        <is>
          <t>MV-1 (Reporting)</t>
        </is>
      </c>
    </row>
    <row r="10" ht="19" customHeight="1">
      <c r="A10" s="86" t="inlineStr">
        <is>
          <t>Approved by</t>
        </is>
      </c>
      <c r="B10" s="22" t="inlineStr">
        <is>
          <t>Maya Chen, Owner Project Controls</t>
        </is>
      </c>
    </row>
    <row r="11" ht="19" customHeight="1">
      <c r="A11" s="86" t="inlineStr">
        <is>
          <t>Approved (UTC)</t>
        </is>
      </c>
      <c r="B11" s="22" t="inlineStr">
        <is>
          <t>2026-10-12 14:25</t>
        </is>
      </c>
    </row>
    <row r="12" ht="19" customHeight="1">
      <c r="A12" s="86" t="inlineStr">
        <is>
          <t>Against WBS version</t>
        </is>
      </c>
      <c r="B12" s="22" t="inlineStr">
        <is>
          <t>1, approved by Maya Chen, Owner Project Controls</t>
        </is>
      </c>
    </row>
    <row r="13" ht="34" customHeight="1">
      <c r="A13" s="86" t="inlineStr">
        <is>
          <t>Source documents</t>
        </is>
      </c>
      <c r="B13" s="22" t="inlineStr">
        <is>
          <t>Contractor Programme (Rev 0); Cost &amp; Forecast Control Accounts (Rev 0); Commercial Package Register (Rev 0)</t>
        </is>
      </c>
    </row>
    <row r="14" ht="19" customHeight="1">
      <c r="A14" s="86" t="inlineStr">
        <is>
          <t>WBS generated from</t>
        </is>
      </c>
      <c r="B14" s="22" t="inlineStr">
        <is>
          <t>Owner WBS</t>
        </is>
      </c>
    </row>
    <row r="15" ht="79" customHeight="1">
      <c r="A15" s="86" t="inlineStr">
        <is>
          <t>Source representation</t>
        </is>
      </c>
      <c r="B15" s="22" t="inlineStr">
        <is>
          <t>Established: every materially populated supplied region has an established TABLE or CONTEXT interpretation, and every table used has a governed role. Output reconciliation shows that the Crosswalk, XLSX, PDF and JSON consume one governed state. It does not show that the upstream source representation is true: that is the source representation integrity gate.</t>
        </is>
      </c>
    </row>
    <row r="16" ht="19" customHeight="1">
      <c r="A16" s="86" t="inlineStr">
        <is>
          <t>Produced with</t>
        </is>
      </c>
      <c r="B16" s="22" t="inlineStr">
        <is>
          <t>Premium Workbook Rev 2</t>
        </is>
      </c>
    </row>
    <row r="18" ht="34" customHeight="1">
      <c r="A18" s="28" t="inlineStr">
        <is>
          <t>Counts (live formulas over MASTER DATA)</t>
        </is>
      </c>
    </row>
    <row r="19" ht="19" customHeight="1">
      <c r="A19" s="36" t="inlineStr">
        <is>
          <t>By change vs previous version</t>
        </is>
      </c>
      <c r="B19" s="80" t="n"/>
    </row>
    <row r="20" ht="19" customHeight="1">
      <c r="A20" s="22" t="inlineStr">
        <is>
          <t>Carried forward</t>
        </is>
      </c>
      <c r="B20" s="114">
        <f>COUNTIF('MASTER DATA'!$H$2:$H$1624,"Carried forward")</f>
        <v/>
      </c>
    </row>
    <row r="21" ht="19" customHeight="1">
      <c r="A21" s="22" t="inlineStr">
        <is>
          <t>Re-keyed, revalidated</t>
        </is>
      </c>
      <c r="B21" s="114">
        <f>COUNTIF('MASTER DATA'!$H$2:$H$1624,"Re-keyed, revalidated")</f>
        <v/>
      </c>
    </row>
    <row r="22" ht="19" customHeight="1">
      <c r="A22" s="22" t="inlineStr">
        <is>
          <t>Changed, re-decided</t>
        </is>
      </c>
      <c r="B22" s="114">
        <f>COUNTIF('MASTER DATA'!$H$2:$H$1624,"Changed, re-decided")</f>
        <v/>
      </c>
    </row>
    <row r="23" ht="19" customHeight="1">
      <c r="A23" s="22" t="inlineStr">
        <is>
          <t>New</t>
        </is>
      </c>
      <c r="B23" s="114">
        <f>COUNTIF('MASTER DATA'!$H$2:$H$1624,"New")</f>
        <v/>
      </c>
    </row>
    <row r="24" ht="19" customHeight="1">
      <c r="A24" s="22" t="inlineStr">
        <is>
          <t>Retired</t>
        </is>
      </c>
      <c r="B24" s="114">
        <f>COUNTIF('MASTER DATA'!$H$2:$H$1624,"Retired")</f>
        <v/>
      </c>
    </row>
    <row r="25" ht="19" customHeight="1">
      <c r="A25" s="36" t="inlineStr">
        <is>
          <t>By basis</t>
        </is>
      </c>
      <c r="B25" s="80" t="n"/>
    </row>
    <row r="26" ht="19" customHeight="1">
      <c r="A26" s="22" t="inlineStr">
        <is>
          <t>Professional decision</t>
        </is>
      </c>
      <c r="B26" s="114">
        <f>COUNTIF('MASTER DATA'!$I$2:$I$1624,"Professional decision")</f>
        <v/>
      </c>
    </row>
    <row r="27" ht="34" customHeight="1">
      <c r="A27" s="22" t="inlineStr">
        <is>
          <t>Earlier professional decision, carried forward</t>
        </is>
      </c>
      <c r="B27" s="114">
        <f>COUNTIF('MASTER DATA'!$I$2:$I$1624,"Earlier professional decision, carried forward")</f>
        <v/>
      </c>
    </row>
    <row r="28" ht="34" customHeight="1">
      <c r="A28" s="22" t="inlineStr">
        <is>
          <t>Source assignment -- not individually reviewed</t>
        </is>
      </c>
      <c r="B28" s="114">
        <f>COUNTIF('MASTER DATA'!$I$2:$I$1624,"Source assignment -- not individually reviewed")</f>
        <v/>
      </c>
    </row>
    <row r="29" ht="19" customHeight="1">
      <c r="A29" s="22" t="inlineStr">
        <is>
          <t>WBS↔LINK -- not individually reviewed</t>
        </is>
      </c>
      <c r="B29" s="114">
        <f>COUNTIF('MASTER DATA'!$I$2:$I$1624,"WBS↔LINK -- not individually reviewed")</f>
        <v/>
      </c>
    </row>
    <row r="30" ht="19" customHeight="1">
      <c r="A30" s="22" t="inlineStr">
        <is>
          <t>Retired -- no longer reported</t>
        </is>
      </c>
      <c r="B30" s="114">
        <f>COUNTIF('MASTER DATA'!$I$2:$I$1624,"Retired -- no longer reported")</f>
        <v/>
      </c>
    </row>
    <row r="31" ht="19" customHeight="1">
      <c r="A31" s="36" t="inlineStr">
        <is>
          <t>By relationship type</t>
        </is>
      </c>
      <c r="B31" s="80" t="n"/>
    </row>
    <row r="32" ht="19" customHeight="1">
      <c r="A32" s="22" t="inlineStr">
        <is>
          <t>ONE_TO_ONE</t>
        </is>
      </c>
      <c r="B32" s="114">
        <f>COUNTIF('MASTER DATA'!$F$2:$F$1624,"ONE_TO_ONE")</f>
        <v/>
      </c>
    </row>
    <row r="33" ht="19" customHeight="1">
      <c r="A33" s="22" t="inlineStr">
        <is>
          <t>ONE_TO_MANY</t>
        </is>
      </c>
      <c r="B33" s="114">
        <f>COUNTIF('MASTER DATA'!$F$2:$F$1624,"ONE_TO_MANY")</f>
        <v/>
      </c>
    </row>
    <row r="34" ht="19" customHeight="1">
      <c r="A34" s="22" t="inlineStr">
        <is>
          <t>NO_WBS</t>
        </is>
      </c>
      <c r="B34" s="114">
        <f>COUNTIF('MASTER DATA'!$F$2:$F$1624,"NO_WBS")</f>
        <v/>
      </c>
    </row>
    <row r="35" ht="19" customHeight="1">
      <c r="A35" s="22" t="inlineStr">
        <is>
          <t>NEW_SCOPE</t>
        </is>
      </c>
      <c r="B35" s="114">
        <f>COUNTIF('MASTER DATA'!$F$2:$F$1624,"NEW_SCOPE")</f>
        <v/>
      </c>
    </row>
    <row r="36" ht="19" customHeight="1">
      <c r="A36" s="22" t="inlineStr">
        <is>
          <t>UNSURE</t>
        </is>
      </c>
      <c r="B36" s="114">
        <f>COUNTIF('MASTER DATA'!$F$2:$F$1624,"UNSURE")</f>
        <v/>
      </c>
    </row>
    <row r="37" ht="19" customHeight="1">
      <c r="A37" s="28" t="inlineStr">
        <is>
          <t>Total rows</t>
        </is>
      </c>
      <c r="B37" s="28">
        <f>COUNTA('MASTER DATA'!$O$2:$O$1624)</f>
        <v/>
      </c>
    </row>
    <row r="38" ht="94" customHeight="1">
      <c r="A38" s="89" t="inlineStr">
        <is>
          <t>Check: basis rows add up to the total</t>
        </is>
      </c>
      <c r="B38" s="89">
        <f>IF(COUNTIF('MASTER DATA'!$I$2:$I$1624,"Professional decision")+COUNTIF('MASTER DATA'!$I$2:$I$1624,"Earlier professional decision, carried forward")+COUNTIF('MASTER DATA'!$I$2:$I$1624,"Source assignment -- not individually reviewed")+COUNTIF('MASTER DATA'!$I$2:$I$1624,"WBS↔LINK -- not individually reviewed")+COUNTIF('MASTER DATA'!$I$2:$I$1624,"Retired -- no longer reported")=COUNTA('MASTER DATA'!$O$2:$O$1624),"reconciled","DOES NOT RECONCILE")</f>
        <v/>
      </c>
    </row>
    <row r="40" ht="34" customHeight="1">
      <c r="A40" s="87" t="inlineStr">
        <is>
          <t>Canonical executive position: 03 EXECUTIVE VIEW</t>
        </is>
      </c>
    </row>
  </sheetData>
  <hyperlinks>
    <hyperlink xmlns:r="http://schemas.openxmlformats.org/officeDocument/2006/relationships" ref="A40" r:id="rId1"/>
  </hyperlinks>
  <pageMargins left="0.75" right="0.75" top="1" bottom="1" header="0.5" footer="0.5"/>
  <pageSetup fitToHeight="0" fitToWidth="1"/>
  <headerFooter>
    <oddHeader/>
    <oddFooter>&amp;LSynthetic example&amp;CWBS↔LINK™ · ZP Synergy Group Inc.&amp;RPremium Workbook Rev 2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2026-10-13T13:45:24Z</dcterms:created>
  <dcterms:modified xmlns:dcterms="http://purl.org/dc/terms/" xmlns:xsi="http://www.w3.org/2001/XMLSchema-instance" xsi:type="dcterms:W3CDTF">2026-10-14T05:06:41Z</dcterms:modified>
</cp:coreProperties>
</file>